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licerCaches/slicerCache1.xml" ContentType="application/vnd.ms-excel.slicerCache+xml"/>
  <Override PartName="/xl/slicerCaches/slicerCache2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slicers/slicer1.xml" ContentType="application/vnd.ms-excel.slicer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usn\OneDrive\Área de Trabalho\Excel_hashtag\Excel_Intermediário\Funções de Trabalho\Exercícios\"/>
    </mc:Choice>
  </mc:AlternateContent>
  <xr:revisionPtr revIDLastSave="0" documentId="8_{96C2B83D-E720-4282-84F3-26671FA1FCD8}" xr6:coauthVersionLast="47" xr6:coauthVersionMax="47" xr10:uidLastSave="{00000000-0000-0000-0000-000000000000}"/>
  <bookViews>
    <workbookView xWindow="20370" yWindow="-2370" windowWidth="29040" windowHeight="15840" tabRatio="857" activeTab="6" xr2:uid="{FF770310-D00C-4311-BF74-A05F0601AF27}"/>
  </bookViews>
  <sheets>
    <sheet name="Comece Aqui" sheetId="5" r:id="rId1"/>
    <sheet name="Base de Dados" sheetId="1" r:id="rId2"/>
    <sheet name="Perguntas 1 a 24" sheetId="4" r:id="rId3"/>
    <sheet name="Controle Financeiro" sheetId="6" r:id="rId4"/>
    <sheet name="Perguntas 25 e 26 - Financeiro" sheetId="7" r:id="rId5"/>
    <sheet name="Base Vendas" sheetId="8" r:id="rId6"/>
    <sheet name="Perguntas 27 a 30 - Vendas" sheetId="9" r:id="rId7"/>
  </sheets>
  <definedNames>
    <definedName name="_xlnm._FilterDatabase" localSheetId="1" hidden="1">'Base de Dados'!$N$1:$O$3844</definedName>
    <definedName name="_xlnm._FilterDatabase" localSheetId="5" hidden="1">'Base Vendas'!$A$1:$F$3500</definedName>
    <definedName name="SegmentaçãodeDados_Origem">#N/A</definedName>
    <definedName name="SegmentaçãodeDados_País_de_Destino">#N/A</definedName>
  </definedNames>
  <calcPr calcId="191029"/>
  <extLst>
    <ext xmlns:x14="http://schemas.microsoft.com/office/spreadsheetml/2009/9/main" uri="{79F54976-1DA5-4618-B147-4CDE4B953A38}">
      <x14:workbookPr/>
    </ext>
    <ext xmlns:x15="http://schemas.microsoft.com/office/spreadsheetml/2010/11/main" uri="{46BE6895-7355-4a93-B00E-2C351335B9C9}">
      <x15:slicerCaches xmlns:x14="http://schemas.microsoft.com/office/spreadsheetml/2009/9/main">
        <x14:slicerCache r:id="rId8"/>
        <x14:slicerCache r:id="rId9"/>
      </x15:slicerCaches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N2" i="8" l="1" a="1"/>
  <c r="N2" i="8"/>
  <c r="O2" i="8" s="1"/>
  <c r="K2" i="8" a="1"/>
  <c r="K2" i="8"/>
  <c r="L2" i="8" s="1"/>
  <c r="E7" i="7"/>
  <c r="E8" i="7"/>
  <c r="E9" i="7"/>
  <c r="E10" i="7"/>
  <c r="E11" i="7"/>
  <c r="E12" i="7"/>
  <c r="E13" i="7"/>
  <c r="E14" i="7"/>
  <c r="E15" i="7"/>
  <c r="E16" i="7"/>
  <c r="E17" i="7"/>
  <c r="E18" i="7"/>
  <c r="E19" i="7"/>
  <c r="E20" i="7"/>
  <c r="E21" i="7"/>
  <c r="E22" i="7"/>
  <c r="E23" i="7"/>
  <c r="E24" i="7"/>
  <c r="E25" i="7"/>
  <c r="E26" i="7"/>
  <c r="E27" i="7"/>
  <c r="E28" i="7"/>
  <c r="E29" i="7"/>
  <c r="E30" i="7"/>
  <c r="E31" i="7"/>
  <c r="E32" i="7"/>
  <c r="E33" i="7"/>
  <c r="E34" i="7"/>
  <c r="E35" i="7"/>
  <c r="E36" i="7"/>
  <c r="E37" i="7"/>
  <c r="E38" i="7"/>
  <c r="E39" i="7"/>
  <c r="E40" i="7"/>
  <c r="E41" i="7"/>
  <c r="E42" i="7"/>
  <c r="E43" i="7"/>
  <c r="E44" i="7"/>
  <c r="E45" i="7"/>
  <c r="E46" i="7"/>
  <c r="E47" i="7"/>
  <c r="E48" i="7"/>
  <c r="E49" i="7"/>
  <c r="E50" i="7"/>
  <c r="E51" i="7"/>
  <c r="E52" i="7"/>
  <c r="E53" i="7"/>
  <c r="E54" i="7"/>
  <c r="E55" i="7"/>
  <c r="E56" i="7"/>
  <c r="E57" i="7"/>
  <c r="E58" i="7"/>
  <c r="E59" i="7"/>
  <c r="E60" i="7"/>
  <c r="E61" i="7"/>
  <c r="E62" i="7"/>
  <c r="E63" i="7"/>
  <c r="E64" i="7"/>
  <c r="E65" i="7"/>
  <c r="E66" i="7"/>
  <c r="E67" i="7"/>
  <c r="E68" i="7"/>
  <c r="E69" i="7"/>
  <c r="E70" i="7"/>
  <c r="E71" i="7"/>
  <c r="E72" i="7"/>
  <c r="E73" i="7"/>
  <c r="E74" i="7"/>
  <c r="E75" i="7"/>
  <c r="E76" i="7"/>
  <c r="E77" i="7"/>
  <c r="E78" i="7"/>
  <c r="MX22" i="6"/>
  <c r="MW22" i="6"/>
  <c r="MV22" i="6"/>
  <c r="MU22" i="6"/>
  <c r="MT22" i="6"/>
  <c r="MS22" i="6"/>
  <c r="MR22" i="6"/>
  <c r="MQ22" i="6"/>
  <c r="MP22" i="6"/>
  <c r="MO22" i="6"/>
  <c r="MN22" i="6"/>
  <c r="MM22" i="6"/>
  <c r="ML22" i="6"/>
  <c r="MK22" i="6"/>
  <c r="MJ22" i="6"/>
  <c r="MI22" i="6"/>
  <c r="MH22" i="6"/>
  <c r="MG22" i="6"/>
  <c r="MF22" i="6"/>
  <c r="ME22" i="6"/>
  <c r="MD22" i="6"/>
  <c r="MC22" i="6"/>
  <c r="MB22" i="6"/>
  <c r="MA22" i="6"/>
  <c r="LZ22" i="6"/>
  <c r="LY22" i="6"/>
  <c r="LX22" i="6"/>
  <c r="LW22" i="6"/>
  <c r="LV22" i="6"/>
  <c r="LU22" i="6"/>
  <c r="LT22" i="6"/>
  <c r="LS22" i="6"/>
  <c r="LR22" i="6"/>
  <c r="LQ22" i="6"/>
  <c r="LP22" i="6"/>
  <c r="LO22" i="6"/>
  <c r="LN22" i="6"/>
  <c r="LM22" i="6"/>
  <c r="LL22" i="6"/>
  <c r="LK22" i="6"/>
  <c r="LJ22" i="6"/>
  <c r="LI22" i="6"/>
  <c r="LH22" i="6"/>
  <c r="LG22" i="6"/>
  <c r="LF22" i="6"/>
  <c r="LE22" i="6"/>
  <c r="LD22" i="6"/>
  <c r="LC22" i="6"/>
  <c r="LB22" i="6"/>
  <c r="LA22" i="6"/>
  <c r="KZ22" i="6"/>
  <c r="KY22" i="6"/>
  <c r="KX22" i="6"/>
  <c r="KW22" i="6"/>
  <c r="KV22" i="6"/>
  <c r="KU22" i="6"/>
  <c r="KT22" i="6"/>
  <c r="KS22" i="6"/>
  <c r="KR22" i="6"/>
  <c r="KQ22" i="6"/>
  <c r="KP22" i="6"/>
  <c r="KO22" i="6"/>
  <c r="KN22" i="6"/>
  <c r="KM22" i="6"/>
  <c r="KL22" i="6"/>
  <c r="KK22" i="6"/>
  <c r="KJ22" i="6"/>
  <c r="KI22" i="6"/>
  <c r="KH22" i="6"/>
  <c r="KG22" i="6"/>
  <c r="KF22" i="6"/>
  <c r="KE22" i="6"/>
  <c r="KD22" i="6"/>
  <c r="KC22" i="6"/>
  <c r="KB22" i="6"/>
  <c r="KA22" i="6"/>
  <c r="JZ22" i="6"/>
  <c r="JY22" i="6"/>
  <c r="JX22" i="6"/>
  <c r="JW22" i="6"/>
  <c r="JV22" i="6"/>
  <c r="JU22" i="6"/>
  <c r="JT22" i="6"/>
  <c r="JS22" i="6"/>
  <c r="JR22" i="6"/>
  <c r="JQ22" i="6"/>
  <c r="JP22" i="6"/>
  <c r="JO22" i="6"/>
  <c r="JN22" i="6"/>
  <c r="JM22" i="6"/>
  <c r="JL22" i="6"/>
  <c r="JK22" i="6"/>
  <c r="JJ22" i="6"/>
  <c r="JI22" i="6"/>
  <c r="JH22" i="6"/>
  <c r="JG22" i="6"/>
  <c r="JF22" i="6"/>
  <c r="JE22" i="6"/>
  <c r="JD22" i="6"/>
  <c r="JC22" i="6"/>
  <c r="JB22" i="6"/>
  <c r="JA22" i="6"/>
  <c r="IZ22" i="6"/>
  <c r="IY22" i="6"/>
  <c r="IX22" i="6"/>
  <c r="IW22" i="6"/>
  <c r="IV22" i="6"/>
  <c r="IU22" i="6"/>
  <c r="IT22" i="6"/>
  <c r="IS22" i="6"/>
  <c r="IR22" i="6"/>
  <c r="IQ22" i="6"/>
  <c r="IP22" i="6"/>
  <c r="IO22" i="6"/>
  <c r="IN22" i="6"/>
  <c r="IM22" i="6"/>
  <c r="IL22" i="6"/>
  <c r="IK22" i="6"/>
  <c r="IJ22" i="6"/>
  <c r="II22" i="6"/>
  <c r="IH22" i="6"/>
  <c r="IG22" i="6"/>
  <c r="IF22" i="6"/>
  <c r="IE22" i="6"/>
  <c r="ID22" i="6"/>
  <c r="IC22" i="6"/>
  <c r="IB22" i="6"/>
  <c r="IA22" i="6"/>
  <c r="HZ22" i="6"/>
  <c r="HY22" i="6"/>
  <c r="HX22" i="6"/>
  <c r="HW22" i="6"/>
  <c r="HV22" i="6"/>
  <c r="HU22" i="6"/>
  <c r="HT22" i="6"/>
  <c r="HS22" i="6"/>
  <c r="HR22" i="6"/>
  <c r="HQ22" i="6"/>
  <c r="HP22" i="6"/>
  <c r="HO22" i="6"/>
  <c r="HN22" i="6"/>
  <c r="HM22" i="6"/>
  <c r="HL22" i="6"/>
  <c r="HK22" i="6"/>
  <c r="HJ22" i="6"/>
  <c r="HI22" i="6"/>
  <c r="HH22" i="6"/>
  <c r="HG22" i="6"/>
  <c r="HF22" i="6"/>
  <c r="HE22" i="6"/>
  <c r="HD22" i="6"/>
  <c r="HC22" i="6"/>
  <c r="HB22" i="6"/>
  <c r="HA22" i="6"/>
  <c r="GZ22" i="6"/>
  <c r="GY22" i="6"/>
  <c r="GX22" i="6"/>
  <c r="GW22" i="6"/>
  <c r="GV22" i="6"/>
  <c r="GU22" i="6"/>
  <c r="GT22" i="6"/>
  <c r="GS22" i="6"/>
  <c r="GR22" i="6"/>
  <c r="GQ22" i="6"/>
  <c r="GP22" i="6"/>
  <c r="GO22" i="6"/>
  <c r="GN22" i="6"/>
  <c r="GM22" i="6"/>
  <c r="GL22" i="6"/>
  <c r="GK22" i="6"/>
  <c r="GJ22" i="6"/>
  <c r="GI22" i="6"/>
  <c r="GH22" i="6"/>
  <c r="GG22" i="6"/>
  <c r="GF22" i="6"/>
  <c r="GE22" i="6"/>
  <c r="GD22" i="6"/>
  <c r="GC22" i="6"/>
  <c r="GB22" i="6"/>
  <c r="GA22" i="6"/>
  <c r="FZ22" i="6"/>
  <c r="FY22" i="6"/>
  <c r="FX22" i="6"/>
  <c r="FW22" i="6"/>
  <c r="FV22" i="6"/>
  <c r="FU22" i="6"/>
  <c r="FT22" i="6"/>
  <c r="FS22" i="6"/>
  <c r="FR22" i="6"/>
  <c r="FQ22" i="6"/>
  <c r="FP22" i="6"/>
  <c r="FO22" i="6"/>
  <c r="FN22" i="6"/>
  <c r="FM22" i="6"/>
  <c r="FL22" i="6"/>
  <c r="FK22" i="6"/>
  <c r="FJ22" i="6"/>
  <c r="FI22" i="6"/>
  <c r="FH22" i="6"/>
  <c r="FG22" i="6"/>
  <c r="FF22" i="6"/>
  <c r="FE22" i="6"/>
  <c r="FD22" i="6"/>
  <c r="FC22" i="6"/>
  <c r="FB22" i="6"/>
  <c r="FA22" i="6"/>
  <c r="EZ22" i="6"/>
  <c r="EY22" i="6"/>
  <c r="EX22" i="6"/>
  <c r="EW22" i="6"/>
  <c r="EV22" i="6"/>
  <c r="EU22" i="6"/>
  <c r="ET22" i="6"/>
  <c r="ES22" i="6"/>
  <c r="ER22" i="6"/>
  <c r="EQ22" i="6"/>
  <c r="EP22" i="6"/>
  <c r="EO22" i="6"/>
  <c r="EN22" i="6"/>
  <c r="EM22" i="6"/>
  <c r="EL22" i="6"/>
  <c r="EK22" i="6"/>
  <c r="EJ22" i="6"/>
  <c r="EI22" i="6"/>
  <c r="EH22" i="6"/>
  <c r="EG22" i="6"/>
  <c r="EF22" i="6"/>
  <c r="EE22" i="6"/>
  <c r="ED22" i="6"/>
  <c r="EC22" i="6"/>
  <c r="EB22" i="6"/>
  <c r="EA22" i="6"/>
  <c r="DZ22" i="6"/>
  <c r="DY22" i="6"/>
  <c r="DX22" i="6"/>
  <c r="DW22" i="6"/>
  <c r="DV22" i="6"/>
  <c r="DU22" i="6"/>
  <c r="DT22" i="6"/>
  <c r="DS22" i="6"/>
  <c r="DR22" i="6"/>
  <c r="DQ22" i="6"/>
  <c r="DP22" i="6"/>
  <c r="DO22" i="6"/>
  <c r="DN22" i="6"/>
  <c r="DM22" i="6"/>
  <c r="DL22" i="6"/>
  <c r="DK22" i="6"/>
  <c r="DJ22" i="6"/>
  <c r="DI22" i="6"/>
  <c r="DH22" i="6"/>
  <c r="DG22" i="6"/>
  <c r="DF22" i="6"/>
  <c r="DE22" i="6"/>
  <c r="DD22" i="6"/>
  <c r="DC22" i="6"/>
  <c r="DB22" i="6"/>
  <c r="DA22" i="6"/>
  <c r="CZ22" i="6"/>
  <c r="CY22" i="6"/>
  <c r="CX22" i="6"/>
  <c r="CW22" i="6"/>
  <c r="CV22" i="6"/>
  <c r="CU22" i="6"/>
  <c r="CT22" i="6"/>
  <c r="CS22" i="6"/>
  <c r="CR22" i="6"/>
  <c r="CQ22" i="6"/>
  <c r="CP22" i="6"/>
  <c r="CO22" i="6"/>
  <c r="CN22" i="6"/>
  <c r="CM22" i="6"/>
  <c r="CL22" i="6"/>
  <c r="CK22" i="6"/>
  <c r="CJ22" i="6"/>
  <c r="CI22" i="6"/>
  <c r="CH22" i="6"/>
  <c r="CG22" i="6"/>
  <c r="CF22" i="6"/>
  <c r="CE22" i="6"/>
  <c r="CD22" i="6"/>
  <c r="CC22" i="6"/>
  <c r="CB22" i="6"/>
  <c r="CA22" i="6"/>
  <c r="BZ22" i="6"/>
  <c r="BY22" i="6"/>
  <c r="BX22" i="6"/>
  <c r="BW22" i="6"/>
  <c r="BV22" i="6"/>
  <c r="BU22" i="6"/>
  <c r="BT22" i="6"/>
  <c r="BS22" i="6"/>
  <c r="BR22" i="6"/>
  <c r="BQ22" i="6"/>
  <c r="BP22" i="6"/>
  <c r="BO22" i="6"/>
  <c r="BN22" i="6"/>
  <c r="BM22" i="6"/>
  <c r="BL22" i="6"/>
  <c r="BK22" i="6"/>
  <c r="BJ22" i="6"/>
  <c r="BI22" i="6"/>
  <c r="BH22" i="6"/>
  <c r="BG22" i="6"/>
  <c r="BF22" i="6"/>
  <c r="BE22" i="6"/>
  <c r="BD22" i="6"/>
  <c r="BC22" i="6"/>
  <c r="BB22" i="6"/>
  <c r="BA22" i="6"/>
  <c r="AZ22" i="6"/>
  <c r="AY22" i="6"/>
  <c r="AX22" i="6"/>
  <c r="AW22" i="6"/>
  <c r="AV22" i="6"/>
  <c r="AU22" i="6"/>
  <c r="AT22" i="6"/>
  <c r="AS22" i="6"/>
  <c r="AR22" i="6"/>
  <c r="AQ22" i="6"/>
  <c r="AP22" i="6"/>
  <c r="AO22" i="6"/>
  <c r="AN22" i="6"/>
  <c r="AM22" i="6"/>
  <c r="AL22" i="6"/>
  <c r="AK22" i="6"/>
  <c r="AJ22" i="6"/>
  <c r="AI22" i="6"/>
  <c r="AH22" i="6"/>
  <c r="AG22" i="6"/>
  <c r="AF22" i="6"/>
  <c r="AE22" i="6"/>
  <c r="AD22" i="6"/>
  <c r="AC22" i="6"/>
  <c r="AB22" i="6"/>
  <c r="AA22" i="6"/>
  <c r="Z22" i="6"/>
  <c r="Y22" i="6"/>
  <c r="X22" i="6"/>
  <c r="W22" i="6"/>
  <c r="V22" i="6"/>
  <c r="U22" i="6"/>
  <c r="T22" i="6"/>
  <c r="S22" i="6"/>
  <c r="R22" i="6"/>
  <c r="P22" i="6"/>
  <c r="O22" i="6"/>
  <c r="N22" i="6"/>
  <c r="M22" i="6"/>
  <c r="L22" i="6"/>
  <c r="K22" i="6"/>
  <c r="J22" i="6"/>
  <c r="I22" i="6"/>
  <c r="H22" i="6"/>
  <c r="G22" i="6"/>
  <c r="F22" i="6"/>
  <c r="E22" i="6"/>
  <c r="D22" i="6"/>
  <c r="D23" i="6" s="1"/>
  <c r="E23" i="6" s="1"/>
  <c r="F23" i="6" s="1"/>
  <c r="G23" i="6" s="1"/>
  <c r="H23" i="6" s="1"/>
  <c r="I23" i="6" s="1"/>
  <c r="J23" i="6" s="1"/>
  <c r="K23" i="6" s="1"/>
  <c r="L23" i="6" s="1"/>
  <c r="M23" i="6" s="1"/>
  <c r="N23" i="6" s="1"/>
  <c r="O23" i="6" s="1"/>
  <c r="P23" i="6" s="1"/>
  <c r="MX20" i="6"/>
  <c r="MW20" i="6"/>
  <c r="MV20" i="6"/>
  <c r="MU20" i="6"/>
  <c r="MT20" i="6"/>
  <c r="MS20" i="6"/>
  <c r="MR20" i="6"/>
  <c r="MQ20" i="6"/>
  <c r="MP20" i="6"/>
  <c r="MO20" i="6"/>
  <c r="MN20" i="6"/>
  <c r="MM20" i="6"/>
  <c r="ML20" i="6"/>
  <c r="MK20" i="6"/>
  <c r="MJ20" i="6"/>
  <c r="MI20" i="6"/>
  <c r="MH20" i="6"/>
  <c r="MG20" i="6"/>
  <c r="MF20" i="6"/>
  <c r="ME20" i="6"/>
  <c r="MD20" i="6"/>
  <c r="MC20" i="6"/>
  <c r="MB20" i="6"/>
  <c r="MA20" i="6"/>
  <c r="LZ20" i="6"/>
  <c r="LY20" i="6"/>
  <c r="LX20" i="6"/>
  <c r="LW20" i="6"/>
  <c r="LV20" i="6"/>
  <c r="LU20" i="6"/>
  <c r="LT20" i="6"/>
  <c r="LS20" i="6"/>
  <c r="LR20" i="6"/>
  <c r="LQ20" i="6"/>
  <c r="LP20" i="6"/>
  <c r="LO20" i="6"/>
  <c r="LN20" i="6"/>
  <c r="LM20" i="6"/>
  <c r="LL20" i="6"/>
  <c r="LK20" i="6"/>
  <c r="LJ20" i="6"/>
  <c r="LI20" i="6"/>
  <c r="LH20" i="6"/>
  <c r="LG20" i="6"/>
  <c r="LF20" i="6"/>
  <c r="LE20" i="6"/>
  <c r="LD20" i="6"/>
  <c r="LC20" i="6"/>
  <c r="LB20" i="6"/>
  <c r="LA20" i="6"/>
  <c r="KZ20" i="6"/>
  <c r="KY20" i="6"/>
  <c r="KX20" i="6"/>
  <c r="KW20" i="6"/>
  <c r="KV20" i="6"/>
  <c r="KU20" i="6"/>
  <c r="KT20" i="6"/>
  <c r="KS20" i="6"/>
  <c r="KR20" i="6"/>
  <c r="KQ20" i="6"/>
  <c r="KP20" i="6"/>
  <c r="KO20" i="6"/>
  <c r="KN20" i="6"/>
  <c r="KM20" i="6"/>
  <c r="KL20" i="6"/>
  <c r="KK20" i="6"/>
  <c r="KJ20" i="6"/>
  <c r="KI20" i="6"/>
  <c r="KH20" i="6"/>
  <c r="KG20" i="6"/>
  <c r="KF20" i="6"/>
  <c r="KE20" i="6"/>
  <c r="KD20" i="6"/>
  <c r="KC20" i="6"/>
  <c r="KB20" i="6"/>
  <c r="KA20" i="6"/>
  <c r="JZ20" i="6"/>
  <c r="JY20" i="6"/>
  <c r="JX20" i="6"/>
  <c r="JW20" i="6"/>
  <c r="JV20" i="6"/>
  <c r="JU20" i="6"/>
  <c r="JT20" i="6"/>
  <c r="JS20" i="6"/>
  <c r="JR20" i="6"/>
  <c r="JQ20" i="6"/>
  <c r="JP20" i="6"/>
  <c r="JO20" i="6"/>
  <c r="JN20" i="6"/>
  <c r="JM20" i="6"/>
  <c r="JL20" i="6"/>
  <c r="JK20" i="6"/>
  <c r="JJ20" i="6"/>
  <c r="JI20" i="6"/>
  <c r="JH20" i="6"/>
  <c r="JG20" i="6"/>
  <c r="JF20" i="6"/>
  <c r="JE20" i="6"/>
  <c r="JD20" i="6"/>
  <c r="JC20" i="6"/>
  <c r="JB20" i="6"/>
  <c r="JA20" i="6"/>
  <c r="IZ20" i="6"/>
  <c r="IY20" i="6"/>
  <c r="IX20" i="6"/>
  <c r="IW20" i="6"/>
  <c r="IV20" i="6"/>
  <c r="IU20" i="6"/>
  <c r="IT20" i="6"/>
  <c r="IS20" i="6"/>
  <c r="IR20" i="6"/>
  <c r="IQ20" i="6"/>
  <c r="IP20" i="6"/>
  <c r="IO20" i="6"/>
  <c r="IN20" i="6"/>
  <c r="IM20" i="6"/>
  <c r="IL20" i="6"/>
  <c r="IK20" i="6"/>
  <c r="IJ20" i="6"/>
  <c r="II20" i="6"/>
  <c r="IH20" i="6"/>
  <c r="IG20" i="6"/>
  <c r="IF20" i="6"/>
  <c r="IE20" i="6"/>
  <c r="ID20" i="6"/>
  <c r="IC20" i="6"/>
  <c r="IB20" i="6"/>
  <c r="IA20" i="6"/>
  <c r="HZ20" i="6"/>
  <c r="HY20" i="6"/>
  <c r="HX20" i="6"/>
  <c r="HW20" i="6"/>
  <c r="HV20" i="6"/>
  <c r="HU20" i="6"/>
  <c r="HT20" i="6"/>
  <c r="HS20" i="6"/>
  <c r="HR20" i="6"/>
  <c r="HQ20" i="6"/>
  <c r="HP20" i="6"/>
  <c r="HO20" i="6"/>
  <c r="HN20" i="6"/>
  <c r="HM20" i="6"/>
  <c r="HL20" i="6"/>
  <c r="HK20" i="6"/>
  <c r="HJ20" i="6"/>
  <c r="HI20" i="6"/>
  <c r="HH20" i="6"/>
  <c r="HG20" i="6"/>
  <c r="HF20" i="6"/>
  <c r="HE20" i="6"/>
  <c r="HD20" i="6"/>
  <c r="HC20" i="6"/>
  <c r="HB20" i="6"/>
  <c r="HA20" i="6"/>
  <c r="GZ20" i="6"/>
  <c r="GY20" i="6"/>
  <c r="GX20" i="6"/>
  <c r="GW20" i="6"/>
  <c r="GV20" i="6"/>
  <c r="GU20" i="6"/>
  <c r="GT20" i="6"/>
  <c r="GS20" i="6"/>
  <c r="GR20" i="6"/>
  <c r="GQ20" i="6"/>
  <c r="GP20" i="6"/>
  <c r="GO20" i="6"/>
  <c r="GN20" i="6"/>
  <c r="GM20" i="6"/>
  <c r="GL20" i="6"/>
  <c r="GK20" i="6"/>
  <c r="GJ20" i="6"/>
  <c r="GI20" i="6"/>
  <c r="GH20" i="6"/>
  <c r="GG20" i="6"/>
  <c r="GF20" i="6"/>
  <c r="GE20" i="6"/>
  <c r="GD20" i="6"/>
  <c r="GC20" i="6"/>
  <c r="GB20" i="6"/>
  <c r="GA20" i="6"/>
  <c r="FZ20" i="6"/>
  <c r="FY20" i="6"/>
  <c r="FX20" i="6"/>
  <c r="FW20" i="6"/>
  <c r="FV20" i="6"/>
  <c r="FU20" i="6"/>
  <c r="FT20" i="6"/>
  <c r="FS20" i="6"/>
  <c r="FR20" i="6"/>
  <c r="FQ20" i="6"/>
  <c r="FP20" i="6"/>
  <c r="FO20" i="6"/>
  <c r="FN20" i="6"/>
  <c r="FM20" i="6"/>
  <c r="FL20" i="6"/>
  <c r="FK20" i="6"/>
  <c r="FJ20" i="6"/>
  <c r="FI20" i="6"/>
  <c r="FH20" i="6"/>
  <c r="FG20" i="6"/>
  <c r="FF20" i="6"/>
  <c r="FE20" i="6"/>
  <c r="FD20" i="6"/>
  <c r="FC20" i="6"/>
  <c r="FB20" i="6"/>
  <c r="FA20" i="6"/>
  <c r="EZ20" i="6"/>
  <c r="EY20" i="6"/>
  <c r="EX20" i="6"/>
  <c r="EW20" i="6"/>
  <c r="EV20" i="6"/>
  <c r="EU20" i="6"/>
  <c r="ET20" i="6"/>
  <c r="ES20" i="6"/>
  <c r="ER20" i="6"/>
  <c r="EQ20" i="6"/>
  <c r="EP20" i="6"/>
  <c r="EO20" i="6"/>
  <c r="EN20" i="6"/>
  <c r="EM20" i="6"/>
  <c r="EL20" i="6"/>
  <c r="EK20" i="6"/>
  <c r="EJ20" i="6"/>
  <c r="EI20" i="6"/>
  <c r="EH20" i="6"/>
  <c r="EG20" i="6"/>
  <c r="EF20" i="6"/>
  <c r="EE20" i="6"/>
  <c r="ED20" i="6"/>
  <c r="EC20" i="6"/>
  <c r="EB20" i="6"/>
  <c r="EA20" i="6"/>
  <c r="DZ20" i="6"/>
  <c r="DY20" i="6"/>
  <c r="DX20" i="6"/>
  <c r="DW20" i="6"/>
  <c r="DV20" i="6"/>
  <c r="DU20" i="6"/>
  <c r="DT20" i="6"/>
  <c r="DS20" i="6"/>
  <c r="DR20" i="6"/>
  <c r="DQ20" i="6"/>
  <c r="DP20" i="6"/>
  <c r="DO20" i="6"/>
  <c r="DN20" i="6"/>
  <c r="DM20" i="6"/>
  <c r="DL20" i="6"/>
  <c r="DK20" i="6"/>
  <c r="DJ20" i="6"/>
  <c r="DI20" i="6"/>
  <c r="DH20" i="6"/>
  <c r="DG20" i="6"/>
  <c r="DF20" i="6"/>
  <c r="DE20" i="6"/>
  <c r="DD20" i="6"/>
  <c r="DC20" i="6"/>
  <c r="DB20" i="6"/>
  <c r="DA20" i="6"/>
  <c r="CZ20" i="6"/>
  <c r="CY20" i="6"/>
  <c r="CX20" i="6"/>
  <c r="CW20" i="6"/>
  <c r="CV20" i="6"/>
  <c r="CU20" i="6"/>
  <c r="CT20" i="6"/>
  <c r="CS20" i="6"/>
  <c r="CR20" i="6"/>
  <c r="CQ20" i="6"/>
  <c r="CP20" i="6"/>
  <c r="CO20" i="6"/>
  <c r="CN20" i="6"/>
  <c r="CM20" i="6"/>
  <c r="CL20" i="6"/>
  <c r="CK20" i="6"/>
  <c r="CJ20" i="6"/>
  <c r="CI20" i="6"/>
  <c r="CH20" i="6"/>
  <c r="CG20" i="6"/>
  <c r="CF20" i="6"/>
  <c r="CE20" i="6"/>
  <c r="CD20" i="6"/>
  <c r="CC20" i="6"/>
  <c r="CB20" i="6"/>
  <c r="CA20" i="6"/>
  <c r="BZ20" i="6"/>
  <c r="BY20" i="6"/>
  <c r="BX20" i="6"/>
  <c r="BW20" i="6"/>
  <c r="BV20" i="6"/>
  <c r="BU20" i="6"/>
  <c r="BT20" i="6"/>
  <c r="BS20" i="6"/>
  <c r="BR20" i="6"/>
  <c r="BQ20" i="6"/>
  <c r="BP20" i="6"/>
  <c r="BO20" i="6"/>
  <c r="BN20" i="6"/>
  <c r="BM20" i="6"/>
  <c r="BL20" i="6"/>
  <c r="BK20" i="6"/>
  <c r="BJ20" i="6"/>
  <c r="BI20" i="6"/>
  <c r="BH20" i="6"/>
  <c r="BG20" i="6"/>
  <c r="BF20" i="6"/>
  <c r="BE20" i="6"/>
  <c r="BD20" i="6"/>
  <c r="BC20" i="6"/>
  <c r="BB20" i="6"/>
  <c r="BA20" i="6"/>
  <c r="AZ20" i="6"/>
  <c r="AY20" i="6"/>
  <c r="AX20" i="6"/>
  <c r="AW20" i="6"/>
  <c r="AV20" i="6"/>
  <c r="AU20" i="6"/>
  <c r="AT20" i="6"/>
  <c r="AS20" i="6"/>
  <c r="AR20" i="6"/>
  <c r="AQ20" i="6"/>
  <c r="AP20" i="6"/>
  <c r="AO20" i="6"/>
  <c r="AN20" i="6"/>
  <c r="AM20" i="6"/>
  <c r="AL20" i="6"/>
  <c r="AK20" i="6"/>
  <c r="AJ20" i="6"/>
  <c r="AI20" i="6"/>
  <c r="AH20" i="6"/>
  <c r="AG20" i="6"/>
  <c r="AF20" i="6"/>
  <c r="AE20" i="6"/>
  <c r="AD20" i="6"/>
  <c r="AC20" i="6"/>
  <c r="AB20" i="6"/>
  <c r="AA20" i="6"/>
  <c r="Z20" i="6"/>
  <c r="Y20" i="6"/>
  <c r="X20" i="6"/>
  <c r="W20" i="6"/>
  <c r="V20" i="6"/>
  <c r="U20" i="6"/>
  <c r="T20" i="6"/>
  <c r="S20" i="6"/>
  <c r="R20" i="6"/>
  <c r="Q20" i="6"/>
  <c r="P20" i="6"/>
  <c r="O20" i="6"/>
  <c r="N20" i="6"/>
  <c r="M20" i="6"/>
  <c r="L20" i="6"/>
  <c r="K20" i="6"/>
  <c r="J20" i="6"/>
  <c r="I20" i="6"/>
  <c r="H20" i="6"/>
  <c r="G20" i="6"/>
  <c r="F20" i="6"/>
  <c r="E20" i="6"/>
  <c r="D20" i="6"/>
  <c r="MX19" i="6"/>
  <c r="MW19" i="6"/>
  <c r="MV19" i="6"/>
  <c r="MU19" i="6"/>
  <c r="MT19" i="6"/>
  <c r="MS19" i="6"/>
  <c r="MR19" i="6"/>
  <c r="MQ19" i="6"/>
  <c r="MP19" i="6"/>
  <c r="MO19" i="6"/>
  <c r="MN19" i="6"/>
  <c r="MM19" i="6"/>
  <c r="ML19" i="6"/>
  <c r="MK19" i="6"/>
  <c r="MJ19" i="6"/>
  <c r="MI19" i="6"/>
  <c r="MH19" i="6"/>
  <c r="MG19" i="6"/>
  <c r="MF19" i="6"/>
  <c r="ME19" i="6"/>
  <c r="MD19" i="6"/>
  <c r="MC19" i="6"/>
  <c r="MB19" i="6"/>
  <c r="MA19" i="6"/>
  <c r="LZ19" i="6"/>
  <c r="LY19" i="6"/>
  <c r="LX19" i="6"/>
  <c r="LW19" i="6"/>
  <c r="LV19" i="6"/>
  <c r="LU19" i="6"/>
  <c r="LT19" i="6"/>
  <c r="LS19" i="6"/>
  <c r="LR19" i="6"/>
  <c r="LQ19" i="6"/>
  <c r="LP19" i="6"/>
  <c r="LO19" i="6"/>
  <c r="LN19" i="6"/>
  <c r="LM19" i="6"/>
  <c r="LL19" i="6"/>
  <c r="LK19" i="6"/>
  <c r="LJ19" i="6"/>
  <c r="LI19" i="6"/>
  <c r="LH19" i="6"/>
  <c r="LG19" i="6"/>
  <c r="LF19" i="6"/>
  <c r="LE19" i="6"/>
  <c r="LD19" i="6"/>
  <c r="LC19" i="6"/>
  <c r="LB19" i="6"/>
  <c r="LA19" i="6"/>
  <c r="KZ19" i="6"/>
  <c r="KY19" i="6"/>
  <c r="KX19" i="6"/>
  <c r="KW19" i="6"/>
  <c r="KV19" i="6"/>
  <c r="KU19" i="6"/>
  <c r="KT19" i="6"/>
  <c r="KS19" i="6"/>
  <c r="KR19" i="6"/>
  <c r="KQ19" i="6"/>
  <c r="KP19" i="6"/>
  <c r="KO19" i="6"/>
  <c r="KN19" i="6"/>
  <c r="KM19" i="6"/>
  <c r="KL19" i="6"/>
  <c r="KK19" i="6"/>
  <c r="KJ19" i="6"/>
  <c r="KI19" i="6"/>
  <c r="KH19" i="6"/>
  <c r="KG19" i="6"/>
  <c r="KF19" i="6"/>
  <c r="KE19" i="6"/>
  <c r="KD19" i="6"/>
  <c r="KC19" i="6"/>
  <c r="KB19" i="6"/>
  <c r="KA19" i="6"/>
  <c r="JZ19" i="6"/>
  <c r="JY19" i="6"/>
  <c r="JX19" i="6"/>
  <c r="JW19" i="6"/>
  <c r="JV19" i="6"/>
  <c r="JU19" i="6"/>
  <c r="JT19" i="6"/>
  <c r="JS19" i="6"/>
  <c r="JR19" i="6"/>
  <c r="JQ19" i="6"/>
  <c r="JP19" i="6"/>
  <c r="JO19" i="6"/>
  <c r="JN19" i="6"/>
  <c r="JM19" i="6"/>
  <c r="JL19" i="6"/>
  <c r="JK19" i="6"/>
  <c r="JJ19" i="6"/>
  <c r="JI19" i="6"/>
  <c r="JH19" i="6"/>
  <c r="JG19" i="6"/>
  <c r="JF19" i="6"/>
  <c r="JE19" i="6"/>
  <c r="JD19" i="6"/>
  <c r="JC19" i="6"/>
  <c r="JB19" i="6"/>
  <c r="JA19" i="6"/>
  <c r="IZ19" i="6"/>
  <c r="IY19" i="6"/>
  <c r="IX19" i="6"/>
  <c r="IW19" i="6"/>
  <c r="IV19" i="6"/>
  <c r="IU19" i="6"/>
  <c r="IT19" i="6"/>
  <c r="IS19" i="6"/>
  <c r="IR19" i="6"/>
  <c r="IQ19" i="6"/>
  <c r="IP19" i="6"/>
  <c r="IO19" i="6"/>
  <c r="IN19" i="6"/>
  <c r="IM19" i="6"/>
  <c r="IL19" i="6"/>
  <c r="IK19" i="6"/>
  <c r="IJ19" i="6"/>
  <c r="II19" i="6"/>
  <c r="IH19" i="6"/>
  <c r="IG19" i="6"/>
  <c r="IF19" i="6"/>
  <c r="IE19" i="6"/>
  <c r="ID19" i="6"/>
  <c r="IC19" i="6"/>
  <c r="IB19" i="6"/>
  <c r="IA19" i="6"/>
  <c r="HZ19" i="6"/>
  <c r="HY19" i="6"/>
  <c r="HX19" i="6"/>
  <c r="HW19" i="6"/>
  <c r="HV19" i="6"/>
  <c r="HU19" i="6"/>
  <c r="HT19" i="6"/>
  <c r="HS19" i="6"/>
  <c r="HR19" i="6"/>
  <c r="HQ19" i="6"/>
  <c r="HP19" i="6"/>
  <c r="HO19" i="6"/>
  <c r="HN19" i="6"/>
  <c r="HM19" i="6"/>
  <c r="HL19" i="6"/>
  <c r="HK19" i="6"/>
  <c r="HJ19" i="6"/>
  <c r="HI19" i="6"/>
  <c r="HH19" i="6"/>
  <c r="HG19" i="6"/>
  <c r="HF19" i="6"/>
  <c r="HE19" i="6"/>
  <c r="HD19" i="6"/>
  <c r="HC19" i="6"/>
  <c r="HB19" i="6"/>
  <c r="HA19" i="6"/>
  <c r="GZ19" i="6"/>
  <c r="GY19" i="6"/>
  <c r="GX19" i="6"/>
  <c r="GW19" i="6"/>
  <c r="GV19" i="6"/>
  <c r="GU19" i="6"/>
  <c r="GT19" i="6"/>
  <c r="GS19" i="6"/>
  <c r="GR19" i="6"/>
  <c r="GQ19" i="6"/>
  <c r="GP19" i="6"/>
  <c r="GO19" i="6"/>
  <c r="GN19" i="6"/>
  <c r="GM19" i="6"/>
  <c r="GL19" i="6"/>
  <c r="GK19" i="6"/>
  <c r="GJ19" i="6"/>
  <c r="GI19" i="6"/>
  <c r="GH19" i="6"/>
  <c r="GG19" i="6"/>
  <c r="GF19" i="6"/>
  <c r="GE19" i="6"/>
  <c r="GD19" i="6"/>
  <c r="GC19" i="6"/>
  <c r="GB19" i="6"/>
  <c r="GA19" i="6"/>
  <c r="FZ19" i="6"/>
  <c r="FY19" i="6"/>
  <c r="FX19" i="6"/>
  <c r="FW19" i="6"/>
  <c r="FV19" i="6"/>
  <c r="FU19" i="6"/>
  <c r="FT19" i="6"/>
  <c r="FS19" i="6"/>
  <c r="FR19" i="6"/>
  <c r="FQ19" i="6"/>
  <c r="FP19" i="6"/>
  <c r="FO19" i="6"/>
  <c r="FN19" i="6"/>
  <c r="FM19" i="6"/>
  <c r="FL19" i="6"/>
  <c r="FK19" i="6"/>
  <c r="FJ19" i="6"/>
  <c r="FI19" i="6"/>
  <c r="FH19" i="6"/>
  <c r="FG19" i="6"/>
  <c r="FF19" i="6"/>
  <c r="FE19" i="6"/>
  <c r="FD19" i="6"/>
  <c r="FC19" i="6"/>
  <c r="FB19" i="6"/>
  <c r="FA19" i="6"/>
  <c r="EZ19" i="6"/>
  <c r="EY19" i="6"/>
  <c r="EX19" i="6"/>
  <c r="EW19" i="6"/>
  <c r="EV19" i="6"/>
  <c r="EU19" i="6"/>
  <c r="ET19" i="6"/>
  <c r="ES19" i="6"/>
  <c r="ER19" i="6"/>
  <c r="EQ19" i="6"/>
  <c r="EP19" i="6"/>
  <c r="EO19" i="6"/>
  <c r="EN19" i="6"/>
  <c r="EM19" i="6"/>
  <c r="EL19" i="6"/>
  <c r="EK19" i="6"/>
  <c r="EJ19" i="6"/>
  <c r="EI19" i="6"/>
  <c r="EH19" i="6"/>
  <c r="EG19" i="6"/>
  <c r="EF19" i="6"/>
  <c r="EE19" i="6"/>
  <c r="ED19" i="6"/>
  <c r="EC19" i="6"/>
  <c r="EB19" i="6"/>
  <c r="EA19" i="6"/>
  <c r="DZ19" i="6"/>
  <c r="DY19" i="6"/>
  <c r="DX19" i="6"/>
  <c r="DW19" i="6"/>
  <c r="DV19" i="6"/>
  <c r="DU19" i="6"/>
  <c r="DT19" i="6"/>
  <c r="DS19" i="6"/>
  <c r="DR19" i="6"/>
  <c r="DQ19" i="6"/>
  <c r="DP19" i="6"/>
  <c r="DO19" i="6"/>
  <c r="DN19" i="6"/>
  <c r="DM19" i="6"/>
  <c r="DL19" i="6"/>
  <c r="DK19" i="6"/>
  <c r="DJ19" i="6"/>
  <c r="DI19" i="6"/>
  <c r="DH19" i="6"/>
  <c r="DG19" i="6"/>
  <c r="DF19" i="6"/>
  <c r="DE19" i="6"/>
  <c r="DD19" i="6"/>
  <c r="DC19" i="6"/>
  <c r="DB19" i="6"/>
  <c r="DA19" i="6"/>
  <c r="CZ19" i="6"/>
  <c r="CY19" i="6"/>
  <c r="CX19" i="6"/>
  <c r="CW19" i="6"/>
  <c r="CV19" i="6"/>
  <c r="CU19" i="6"/>
  <c r="CT19" i="6"/>
  <c r="CS19" i="6"/>
  <c r="CR19" i="6"/>
  <c r="CQ19" i="6"/>
  <c r="CP19" i="6"/>
  <c r="CO19" i="6"/>
  <c r="CN19" i="6"/>
  <c r="CM19" i="6"/>
  <c r="CL19" i="6"/>
  <c r="CK19" i="6"/>
  <c r="CJ19" i="6"/>
  <c r="CI19" i="6"/>
  <c r="CH19" i="6"/>
  <c r="CG19" i="6"/>
  <c r="CF19" i="6"/>
  <c r="CE19" i="6"/>
  <c r="CD19" i="6"/>
  <c r="CC19" i="6"/>
  <c r="CB19" i="6"/>
  <c r="CA19" i="6"/>
  <c r="BZ19" i="6"/>
  <c r="BY19" i="6"/>
  <c r="BX19" i="6"/>
  <c r="BW19" i="6"/>
  <c r="BV19" i="6"/>
  <c r="BU19" i="6"/>
  <c r="BT19" i="6"/>
  <c r="BS19" i="6"/>
  <c r="BR19" i="6"/>
  <c r="BQ19" i="6"/>
  <c r="BP19" i="6"/>
  <c r="BO19" i="6"/>
  <c r="BN19" i="6"/>
  <c r="BM19" i="6"/>
  <c r="BL19" i="6"/>
  <c r="BK19" i="6"/>
  <c r="BJ19" i="6"/>
  <c r="BI19" i="6"/>
  <c r="BH19" i="6"/>
  <c r="BG19" i="6"/>
  <c r="BF19" i="6"/>
  <c r="BE19" i="6"/>
  <c r="BD19" i="6"/>
  <c r="BC19" i="6"/>
  <c r="BB19" i="6"/>
  <c r="BA19" i="6"/>
  <c r="AZ19" i="6"/>
  <c r="AY19" i="6"/>
  <c r="AX19" i="6"/>
  <c r="AW19" i="6"/>
  <c r="AV19" i="6"/>
  <c r="AU19" i="6"/>
  <c r="AT19" i="6"/>
  <c r="AS19" i="6"/>
  <c r="AR19" i="6"/>
  <c r="AQ19" i="6"/>
  <c r="AP19" i="6"/>
  <c r="AO19" i="6"/>
  <c r="AN19" i="6"/>
  <c r="AM19" i="6"/>
  <c r="AL19" i="6"/>
  <c r="AK19" i="6"/>
  <c r="AJ19" i="6"/>
  <c r="AI19" i="6"/>
  <c r="AH19" i="6"/>
  <c r="AG19" i="6"/>
  <c r="AF19" i="6"/>
  <c r="AE19" i="6"/>
  <c r="AD19" i="6"/>
  <c r="AC19" i="6"/>
  <c r="AB19" i="6"/>
  <c r="AA19" i="6"/>
  <c r="Z19" i="6"/>
  <c r="Y19" i="6"/>
  <c r="X19" i="6"/>
  <c r="W19" i="6"/>
  <c r="V19" i="6"/>
  <c r="U19" i="6"/>
  <c r="T19" i="6"/>
  <c r="S19" i="6"/>
  <c r="R19" i="6"/>
  <c r="Q19" i="6"/>
  <c r="P19" i="6"/>
  <c r="O19" i="6"/>
  <c r="N19" i="6"/>
  <c r="M19" i="6"/>
  <c r="L19" i="6"/>
  <c r="K19" i="6"/>
  <c r="J19" i="6"/>
  <c r="I19" i="6"/>
  <c r="H19" i="6"/>
  <c r="G19" i="6"/>
  <c r="F19" i="6"/>
  <c r="E19" i="6"/>
  <c r="D19" i="6"/>
  <c r="C19" i="6"/>
  <c r="G5" i="1" a="1"/>
  <c r="G5" i="1"/>
  <c r="G3" i="1" a="1"/>
  <c r="G3" i="1"/>
  <c r="G2" i="1" a="1"/>
  <c r="G2" i="1"/>
  <c r="C22" i="6"/>
  <c r="L65" i="4"/>
  <c r="N54" i="4" a="1"/>
  <c r="N54" i="4"/>
  <c r="N55" i="4" a="1"/>
  <c r="N55" i="4"/>
  <c r="N56" i="4" a="1"/>
  <c r="N56" i="4"/>
  <c r="N57" i="4" a="1"/>
  <c r="N57" i="4"/>
  <c r="N53" i="4" a="1"/>
  <c r="N53" i="4"/>
  <c r="M54" i="4" a="1"/>
  <c r="M54" i="4"/>
  <c r="M55" i="4" a="1"/>
  <c r="M55" i="4"/>
  <c r="M56" i="4" a="1"/>
  <c r="M56" i="4"/>
  <c r="M57" i="4" a="1"/>
  <c r="M57" i="4"/>
  <c r="M53" i="4" a="1"/>
  <c r="M53" i="4"/>
  <c r="L54" i="4" a="1"/>
  <c r="L54" i="4"/>
  <c r="L55" i="4" a="1"/>
  <c r="L55" i="4"/>
  <c r="L56" i="4" a="1"/>
  <c r="L56" i="4"/>
  <c r="L57" i="4" a="1"/>
  <c r="L57" i="4"/>
  <c r="L53" i="4" a="1"/>
  <c r="L53" i="4"/>
  <c r="K54" i="4" a="1"/>
  <c r="K54" i="4"/>
  <c r="K55" i="4" a="1"/>
  <c r="K55" i="4"/>
  <c r="K56" i="4" a="1"/>
  <c r="K56" i="4"/>
  <c r="K57" i="4" a="1"/>
  <c r="K57" i="4"/>
  <c r="K53" i="4" a="1"/>
  <c r="K53" i="4"/>
  <c r="D6" i="1"/>
  <c r="K16" i="4"/>
  <c r="N1" i="1" a="1"/>
  <c r="N1" i="1"/>
  <c r="G63" i="4"/>
  <c r="F63" i="4"/>
  <c r="D63" i="4"/>
  <c r="C63" i="4"/>
  <c r="G45" i="4"/>
  <c r="F45" i="4"/>
  <c r="E45" i="4"/>
  <c r="D45" i="4"/>
  <c r="C45" i="4"/>
  <c r="O3" i="8" l="1"/>
  <c r="O4" i="8"/>
  <c r="O5" i="8"/>
  <c r="O6" i="8"/>
  <c r="O7" i="8"/>
  <c r="O8" i="8"/>
  <c r="O9" i="8"/>
  <c r="L3" i="8"/>
  <c r="L4" i="8"/>
  <c r="L5" i="8"/>
  <c r="L6" i="8"/>
  <c r="L7" i="8"/>
  <c r="L8" i="8"/>
  <c r="L9" i="8"/>
  <c r="L10" i="8"/>
  <c r="L11" i="8"/>
  <c r="L12" i="8"/>
  <c r="L13" i="8"/>
  <c r="L14" i="8"/>
  <c r="L15" i="8"/>
  <c r="L16" i="8"/>
  <c r="L17" i="8"/>
  <c r="L18" i="8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87" i="1"/>
  <c r="O88" i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1003" i="1"/>
  <c r="O1004" i="1"/>
  <c r="O1005" i="1"/>
  <c r="O1006" i="1"/>
  <c r="O1007" i="1"/>
  <c r="O1008" i="1"/>
  <c r="O1009" i="1"/>
  <c r="O1010" i="1"/>
  <c r="O1011" i="1"/>
  <c r="O1012" i="1"/>
  <c r="O1013" i="1"/>
  <c r="O1014" i="1"/>
  <c r="O1015" i="1"/>
  <c r="O1016" i="1"/>
  <c r="O1017" i="1"/>
  <c r="O1018" i="1"/>
  <c r="O1019" i="1"/>
  <c r="O1020" i="1"/>
  <c r="O1021" i="1"/>
  <c r="O1022" i="1"/>
  <c r="O1023" i="1"/>
  <c r="O1024" i="1"/>
  <c r="O1025" i="1"/>
  <c r="O1026" i="1"/>
  <c r="O1027" i="1"/>
  <c r="O1028" i="1"/>
  <c r="O1029" i="1"/>
  <c r="O1030" i="1"/>
  <c r="O1031" i="1"/>
  <c r="O1032" i="1"/>
  <c r="O1033" i="1"/>
  <c r="O1034" i="1"/>
  <c r="O1035" i="1"/>
  <c r="O1036" i="1"/>
  <c r="O1037" i="1"/>
  <c r="O1038" i="1"/>
  <c r="O1039" i="1"/>
  <c r="O1040" i="1"/>
  <c r="O1041" i="1"/>
  <c r="O1042" i="1"/>
  <c r="O1043" i="1"/>
  <c r="O1044" i="1"/>
  <c r="O1045" i="1"/>
  <c r="O1046" i="1"/>
  <c r="O1047" i="1"/>
  <c r="O1048" i="1"/>
  <c r="O1049" i="1"/>
  <c r="O1050" i="1"/>
  <c r="O1051" i="1"/>
  <c r="O1052" i="1"/>
  <c r="O1053" i="1"/>
  <c r="O1054" i="1"/>
  <c r="O1055" i="1"/>
  <c r="O1056" i="1"/>
  <c r="O1057" i="1"/>
  <c r="O1058" i="1"/>
  <c r="O1059" i="1"/>
  <c r="O1060" i="1"/>
  <c r="O1061" i="1"/>
  <c r="O1062" i="1"/>
  <c r="O1063" i="1"/>
  <c r="O1064" i="1"/>
  <c r="O1065" i="1"/>
  <c r="O1066" i="1"/>
  <c r="O1067" i="1"/>
  <c r="O1068" i="1"/>
  <c r="O1069" i="1"/>
  <c r="O1070" i="1"/>
  <c r="O1071" i="1"/>
  <c r="O1072" i="1"/>
  <c r="O1073" i="1"/>
  <c r="O1074" i="1"/>
  <c r="O1075" i="1"/>
  <c r="O1076" i="1"/>
  <c r="O1077" i="1"/>
  <c r="O1078" i="1"/>
  <c r="O1079" i="1"/>
  <c r="O1080" i="1"/>
  <c r="O1081" i="1"/>
  <c r="O1082" i="1"/>
  <c r="O1083" i="1"/>
  <c r="O1084" i="1"/>
  <c r="O1085" i="1"/>
  <c r="O1086" i="1"/>
  <c r="O1087" i="1"/>
  <c r="O1088" i="1"/>
  <c r="O1089" i="1"/>
  <c r="O1090" i="1"/>
  <c r="O1091" i="1"/>
  <c r="O1092" i="1"/>
  <c r="O1093" i="1"/>
  <c r="O1094" i="1"/>
  <c r="O1095" i="1"/>
  <c r="O1096" i="1"/>
  <c r="O1097" i="1"/>
  <c r="O1098" i="1"/>
  <c r="O1099" i="1"/>
  <c r="O1100" i="1"/>
  <c r="O1101" i="1"/>
  <c r="O1102" i="1"/>
  <c r="O1103" i="1"/>
  <c r="O1104" i="1"/>
  <c r="O1105" i="1"/>
  <c r="O1106" i="1"/>
  <c r="O1107" i="1"/>
  <c r="O1108" i="1"/>
  <c r="O1109" i="1"/>
  <c r="O1110" i="1"/>
  <c r="O1111" i="1"/>
  <c r="O1112" i="1"/>
  <c r="O1113" i="1"/>
  <c r="O1114" i="1"/>
  <c r="O1115" i="1"/>
  <c r="O1116" i="1"/>
  <c r="O1117" i="1"/>
  <c r="O1118" i="1"/>
  <c r="O1119" i="1"/>
  <c r="O1120" i="1"/>
  <c r="O1121" i="1"/>
  <c r="O1122" i="1"/>
  <c r="O1123" i="1"/>
  <c r="O1124" i="1"/>
  <c r="O1125" i="1"/>
  <c r="O1126" i="1"/>
  <c r="O1127" i="1"/>
  <c r="O1128" i="1"/>
  <c r="O1129" i="1"/>
  <c r="O1130" i="1"/>
  <c r="O1131" i="1"/>
  <c r="O1132" i="1"/>
  <c r="O1133" i="1"/>
  <c r="O1134" i="1"/>
  <c r="O1135" i="1"/>
  <c r="O1136" i="1"/>
  <c r="O1137" i="1"/>
  <c r="O1138" i="1"/>
  <c r="O1139" i="1"/>
  <c r="O1140" i="1"/>
  <c r="O1141" i="1"/>
  <c r="O1142" i="1"/>
  <c r="O1143" i="1"/>
  <c r="O1144" i="1"/>
  <c r="O1145" i="1"/>
  <c r="O1146" i="1"/>
  <c r="O1147" i="1"/>
  <c r="O1148" i="1"/>
  <c r="O1149" i="1"/>
  <c r="O1150" i="1"/>
  <c r="O1151" i="1"/>
  <c r="O1152" i="1"/>
  <c r="O1153" i="1"/>
  <c r="O1154" i="1"/>
  <c r="O1155" i="1"/>
  <c r="O1156" i="1"/>
  <c r="O1157" i="1"/>
  <c r="O1158" i="1"/>
  <c r="O1159" i="1"/>
  <c r="O1160" i="1"/>
  <c r="O1161" i="1"/>
  <c r="O1162" i="1"/>
  <c r="O1163" i="1"/>
  <c r="O1164" i="1"/>
  <c r="O1165" i="1"/>
  <c r="O1166" i="1"/>
  <c r="O1167" i="1"/>
  <c r="O1168" i="1"/>
  <c r="O1169" i="1"/>
  <c r="O1170" i="1"/>
  <c r="O1171" i="1"/>
  <c r="O1172" i="1"/>
  <c r="O1173" i="1"/>
  <c r="O1174" i="1"/>
  <c r="O1175" i="1"/>
  <c r="O1176" i="1"/>
  <c r="O1177" i="1"/>
  <c r="O1178" i="1"/>
  <c r="O1179" i="1"/>
  <c r="O1180" i="1"/>
  <c r="O1181" i="1"/>
  <c r="O1182" i="1"/>
  <c r="O1183" i="1"/>
  <c r="O1184" i="1"/>
  <c r="O1185" i="1"/>
  <c r="O1186" i="1"/>
  <c r="O1187" i="1"/>
  <c r="O1188" i="1"/>
  <c r="O1189" i="1"/>
  <c r="O1190" i="1"/>
  <c r="O1191" i="1"/>
  <c r="O1192" i="1"/>
  <c r="O1193" i="1"/>
  <c r="O1194" i="1"/>
  <c r="O1195" i="1"/>
  <c r="O1196" i="1"/>
  <c r="O1197" i="1"/>
  <c r="O1198" i="1"/>
  <c r="O1199" i="1"/>
  <c r="O1200" i="1"/>
  <c r="O1201" i="1"/>
  <c r="O1202" i="1"/>
  <c r="O1203" i="1"/>
  <c r="O1204" i="1"/>
  <c r="O1205" i="1"/>
  <c r="O1206" i="1"/>
  <c r="O1207" i="1"/>
  <c r="O1208" i="1"/>
  <c r="O1209" i="1"/>
  <c r="O1210" i="1"/>
  <c r="O1211" i="1"/>
  <c r="O1212" i="1"/>
  <c r="O1213" i="1"/>
  <c r="O1214" i="1"/>
  <c r="O1215" i="1"/>
  <c r="O1216" i="1"/>
  <c r="O1217" i="1"/>
  <c r="O1218" i="1"/>
  <c r="O1219" i="1"/>
  <c r="O1220" i="1"/>
  <c r="O1221" i="1"/>
  <c r="O1222" i="1"/>
  <c r="O1223" i="1"/>
  <c r="O1224" i="1"/>
  <c r="O1225" i="1"/>
  <c r="O1226" i="1"/>
  <c r="O1227" i="1"/>
  <c r="O1228" i="1"/>
  <c r="O1229" i="1"/>
  <c r="O1230" i="1"/>
  <c r="O1231" i="1"/>
  <c r="O1232" i="1"/>
  <c r="O1233" i="1"/>
  <c r="O1234" i="1"/>
  <c r="O1235" i="1"/>
  <c r="O1236" i="1"/>
  <c r="O1237" i="1"/>
  <c r="O1238" i="1"/>
  <c r="O1239" i="1"/>
  <c r="O1240" i="1"/>
  <c r="O1241" i="1"/>
  <c r="O1242" i="1"/>
  <c r="O1243" i="1"/>
  <c r="O1244" i="1"/>
  <c r="O1245" i="1"/>
  <c r="O1246" i="1"/>
  <c r="O1247" i="1"/>
  <c r="O1248" i="1"/>
  <c r="O1249" i="1"/>
  <c r="O1250" i="1"/>
  <c r="O1251" i="1"/>
  <c r="O1252" i="1"/>
  <c r="O1253" i="1"/>
  <c r="O1254" i="1"/>
  <c r="O1255" i="1"/>
  <c r="O1256" i="1"/>
  <c r="O1257" i="1"/>
  <c r="O1258" i="1"/>
  <c r="O1259" i="1"/>
  <c r="O1260" i="1"/>
  <c r="O1261" i="1"/>
  <c r="O1262" i="1"/>
  <c r="O1263" i="1"/>
  <c r="O1264" i="1"/>
  <c r="O1265" i="1"/>
  <c r="O1266" i="1"/>
  <c r="O1267" i="1"/>
  <c r="O1268" i="1"/>
  <c r="O1269" i="1"/>
  <c r="O1270" i="1"/>
  <c r="O1271" i="1"/>
  <c r="O1272" i="1"/>
  <c r="O1273" i="1"/>
  <c r="O1274" i="1"/>
  <c r="O1275" i="1"/>
  <c r="O1276" i="1"/>
  <c r="O1277" i="1"/>
  <c r="O1278" i="1"/>
  <c r="O1279" i="1"/>
  <c r="O1280" i="1"/>
  <c r="O1281" i="1"/>
  <c r="O1282" i="1"/>
  <c r="O1283" i="1"/>
  <c r="O1284" i="1"/>
  <c r="O1285" i="1"/>
  <c r="O1286" i="1"/>
  <c r="O1287" i="1"/>
  <c r="O1288" i="1"/>
  <c r="O1289" i="1"/>
  <c r="O1290" i="1"/>
  <c r="O1291" i="1"/>
  <c r="O1292" i="1"/>
  <c r="O1293" i="1"/>
  <c r="O1294" i="1"/>
  <c r="O1295" i="1"/>
  <c r="O1296" i="1"/>
  <c r="O1297" i="1"/>
  <c r="O1298" i="1"/>
  <c r="O1299" i="1"/>
  <c r="O1300" i="1"/>
  <c r="O1301" i="1"/>
  <c r="O1302" i="1"/>
  <c r="O1303" i="1"/>
  <c r="O1304" i="1"/>
  <c r="O1305" i="1"/>
  <c r="O1306" i="1"/>
  <c r="O1307" i="1"/>
  <c r="O1308" i="1"/>
  <c r="O1309" i="1"/>
  <c r="O1310" i="1"/>
  <c r="O1311" i="1"/>
  <c r="O1312" i="1"/>
  <c r="O1313" i="1"/>
  <c r="O1314" i="1"/>
  <c r="O1315" i="1"/>
  <c r="O1316" i="1"/>
  <c r="O1317" i="1"/>
  <c r="O1318" i="1"/>
  <c r="O1319" i="1"/>
  <c r="O1320" i="1"/>
  <c r="O1321" i="1"/>
  <c r="O1322" i="1"/>
  <c r="O1323" i="1"/>
  <c r="O1324" i="1"/>
  <c r="O1325" i="1"/>
  <c r="O1326" i="1"/>
  <c r="O1327" i="1"/>
  <c r="O1328" i="1"/>
  <c r="O1329" i="1"/>
  <c r="O1330" i="1"/>
  <c r="O1331" i="1"/>
  <c r="O1332" i="1"/>
  <c r="O1333" i="1"/>
  <c r="O1334" i="1"/>
  <c r="O1335" i="1"/>
  <c r="O1336" i="1"/>
  <c r="O1337" i="1"/>
  <c r="O1338" i="1"/>
  <c r="O1339" i="1"/>
  <c r="O1340" i="1"/>
  <c r="O1341" i="1"/>
  <c r="O1342" i="1"/>
  <c r="O1343" i="1"/>
  <c r="O1344" i="1"/>
  <c r="O1345" i="1"/>
  <c r="O1346" i="1"/>
  <c r="O1347" i="1"/>
  <c r="O1348" i="1"/>
  <c r="O1349" i="1"/>
  <c r="O1350" i="1"/>
  <c r="O1351" i="1"/>
  <c r="O1352" i="1"/>
  <c r="O1353" i="1"/>
  <c r="O1354" i="1"/>
  <c r="O1355" i="1"/>
  <c r="O1356" i="1"/>
  <c r="O1357" i="1"/>
  <c r="O1358" i="1"/>
  <c r="O1359" i="1"/>
  <c r="O1360" i="1"/>
  <c r="O1361" i="1"/>
  <c r="O1362" i="1"/>
  <c r="O1363" i="1"/>
  <c r="O1364" i="1"/>
  <c r="O1365" i="1"/>
  <c r="O1366" i="1"/>
  <c r="O1367" i="1"/>
  <c r="O1368" i="1"/>
  <c r="O1369" i="1"/>
  <c r="O1370" i="1"/>
  <c r="O1371" i="1"/>
  <c r="O1372" i="1"/>
  <c r="O1373" i="1"/>
  <c r="O1374" i="1"/>
  <c r="O1375" i="1"/>
  <c r="O1376" i="1"/>
  <c r="O1377" i="1"/>
  <c r="O1378" i="1"/>
  <c r="O1379" i="1"/>
  <c r="O1380" i="1"/>
  <c r="O1381" i="1"/>
  <c r="O1382" i="1"/>
  <c r="O1383" i="1"/>
  <c r="O1384" i="1"/>
  <c r="O1385" i="1"/>
  <c r="O1386" i="1"/>
  <c r="O1387" i="1"/>
  <c r="O1388" i="1"/>
  <c r="O1389" i="1"/>
  <c r="O1390" i="1"/>
  <c r="O1391" i="1"/>
  <c r="O1392" i="1"/>
  <c r="O1393" i="1"/>
  <c r="O1394" i="1"/>
  <c r="O1395" i="1"/>
  <c r="O1396" i="1"/>
  <c r="O1397" i="1"/>
  <c r="O1398" i="1"/>
  <c r="O1399" i="1"/>
  <c r="O1400" i="1"/>
  <c r="O1401" i="1"/>
  <c r="O1402" i="1"/>
  <c r="O1403" i="1"/>
  <c r="O1404" i="1"/>
  <c r="O1405" i="1"/>
  <c r="O1406" i="1"/>
  <c r="O1407" i="1"/>
  <c r="O1408" i="1"/>
  <c r="O1409" i="1"/>
  <c r="O1410" i="1"/>
  <c r="O1411" i="1"/>
  <c r="O1412" i="1"/>
  <c r="O1413" i="1"/>
  <c r="O1414" i="1"/>
  <c r="O1415" i="1"/>
  <c r="O1416" i="1"/>
  <c r="O1417" i="1"/>
  <c r="O1418" i="1"/>
  <c r="O1419" i="1"/>
  <c r="O1420" i="1"/>
  <c r="O1421" i="1"/>
  <c r="O1422" i="1"/>
  <c r="O1423" i="1"/>
  <c r="O1424" i="1"/>
  <c r="O1425" i="1"/>
  <c r="O1426" i="1"/>
  <c r="O1427" i="1"/>
  <c r="O1428" i="1"/>
  <c r="O1429" i="1"/>
  <c r="O1430" i="1"/>
  <c r="O1431" i="1"/>
  <c r="O1432" i="1"/>
  <c r="O1433" i="1"/>
  <c r="O1434" i="1"/>
  <c r="O1435" i="1"/>
  <c r="O1436" i="1"/>
  <c r="O1437" i="1"/>
  <c r="O1438" i="1"/>
  <c r="O1439" i="1"/>
  <c r="O1440" i="1"/>
  <c r="O1441" i="1"/>
  <c r="O1442" i="1"/>
  <c r="O1443" i="1"/>
  <c r="O1444" i="1"/>
  <c r="O1445" i="1"/>
  <c r="O1446" i="1"/>
  <c r="O1447" i="1"/>
  <c r="O1448" i="1"/>
  <c r="O1449" i="1"/>
  <c r="O1450" i="1"/>
  <c r="O1451" i="1"/>
  <c r="O1452" i="1"/>
  <c r="O1453" i="1"/>
  <c r="O1454" i="1"/>
  <c r="O1455" i="1"/>
  <c r="O1456" i="1"/>
  <c r="O1457" i="1"/>
  <c r="O1458" i="1"/>
  <c r="O1459" i="1"/>
  <c r="O1460" i="1"/>
  <c r="O1461" i="1"/>
  <c r="O1462" i="1"/>
  <c r="O1463" i="1"/>
  <c r="O1464" i="1"/>
  <c r="O1465" i="1"/>
  <c r="O1466" i="1"/>
  <c r="O1467" i="1"/>
  <c r="O1468" i="1"/>
  <c r="O1469" i="1"/>
  <c r="O1470" i="1"/>
  <c r="O1471" i="1"/>
  <c r="O1472" i="1"/>
  <c r="O1473" i="1"/>
  <c r="O1474" i="1"/>
  <c r="O1475" i="1"/>
  <c r="O1476" i="1"/>
  <c r="O1477" i="1"/>
  <c r="O1478" i="1"/>
  <c r="O1479" i="1"/>
  <c r="O1480" i="1"/>
  <c r="O1481" i="1"/>
  <c r="O1482" i="1"/>
  <c r="O1483" i="1"/>
  <c r="O1484" i="1"/>
  <c r="O1485" i="1"/>
  <c r="O1486" i="1"/>
  <c r="O1487" i="1"/>
  <c r="O1488" i="1"/>
  <c r="O1489" i="1"/>
  <c r="O1490" i="1"/>
  <c r="O1491" i="1"/>
  <c r="O1492" i="1"/>
  <c r="O1493" i="1"/>
  <c r="O1494" i="1"/>
  <c r="O1495" i="1"/>
  <c r="O1496" i="1"/>
  <c r="O1497" i="1"/>
  <c r="O1498" i="1"/>
  <c r="O1499" i="1"/>
  <c r="O1500" i="1"/>
  <c r="O1501" i="1"/>
  <c r="O1502" i="1"/>
  <c r="O1503" i="1"/>
  <c r="O1504" i="1"/>
  <c r="O1505" i="1"/>
  <c r="O1506" i="1"/>
  <c r="O1507" i="1"/>
  <c r="O1508" i="1"/>
  <c r="O1509" i="1"/>
  <c r="O1510" i="1"/>
  <c r="O1511" i="1"/>
  <c r="O1512" i="1"/>
  <c r="O1513" i="1"/>
  <c r="O1514" i="1"/>
  <c r="O1515" i="1"/>
  <c r="O1516" i="1"/>
  <c r="O1517" i="1"/>
  <c r="O1518" i="1"/>
  <c r="O1519" i="1"/>
  <c r="O1520" i="1"/>
  <c r="O1521" i="1"/>
  <c r="O1522" i="1"/>
  <c r="O1523" i="1"/>
  <c r="O1524" i="1"/>
  <c r="O1525" i="1"/>
  <c r="O1526" i="1"/>
  <c r="O1527" i="1"/>
  <c r="O1528" i="1"/>
  <c r="O1529" i="1"/>
  <c r="O1530" i="1"/>
  <c r="O1531" i="1"/>
  <c r="O1532" i="1"/>
  <c r="O1533" i="1"/>
  <c r="O1534" i="1"/>
  <c r="O1535" i="1"/>
  <c r="O1536" i="1"/>
  <c r="O1537" i="1"/>
  <c r="O1538" i="1"/>
  <c r="O1539" i="1"/>
  <c r="O1540" i="1"/>
  <c r="O1541" i="1"/>
  <c r="O1542" i="1"/>
  <c r="O1543" i="1"/>
  <c r="O1544" i="1"/>
  <c r="O1545" i="1"/>
  <c r="O1546" i="1"/>
  <c r="O1547" i="1"/>
  <c r="O1548" i="1"/>
  <c r="O1549" i="1"/>
  <c r="O1550" i="1"/>
  <c r="O1551" i="1"/>
  <c r="O1552" i="1"/>
  <c r="O1553" i="1"/>
  <c r="O1554" i="1"/>
  <c r="O1555" i="1"/>
  <c r="O1556" i="1"/>
  <c r="O1557" i="1"/>
  <c r="O1558" i="1"/>
  <c r="O1559" i="1"/>
  <c r="O1560" i="1"/>
  <c r="O1561" i="1"/>
  <c r="O1562" i="1"/>
  <c r="O1563" i="1"/>
  <c r="O1564" i="1"/>
  <c r="O1565" i="1"/>
  <c r="O1566" i="1"/>
  <c r="O1567" i="1"/>
  <c r="O1568" i="1"/>
  <c r="O1569" i="1"/>
  <c r="O1570" i="1"/>
  <c r="O1571" i="1"/>
  <c r="O1572" i="1"/>
  <c r="O1573" i="1"/>
  <c r="O1574" i="1"/>
  <c r="O1575" i="1"/>
  <c r="O1576" i="1"/>
  <c r="O1577" i="1"/>
  <c r="O1578" i="1"/>
  <c r="O1579" i="1"/>
  <c r="O1580" i="1"/>
  <c r="O1581" i="1"/>
  <c r="O1582" i="1"/>
  <c r="O1583" i="1"/>
  <c r="O1584" i="1"/>
  <c r="O1585" i="1"/>
  <c r="O1586" i="1"/>
  <c r="O1587" i="1"/>
  <c r="O1588" i="1"/>
  <c r="O1589" i="1"/>
  <c r="O1590" i="1"/>
  <c r="O1591" i="1"/>
  <c r="O1592" i="1"/>
  <c r="O1593" i="1"/>
  <c r="O1594" i="1"/>
  <c r="O1595" i="1"/>
  <c r="O1596" i="1"/>
  <c r="O1597" i="1"/>
  <c r="O1598" i="1"/>
  <c r="O1599" i="1"/>
  <c r="O1600" i="1"/>
  <c r="O1601" i="1"/>
  <c r="O1602" i="1"/>
  <c r="O1603" i="1"/>
  <c r="O1604" i="1"/>
  <c r="O1605" i="1"/>
  <c r="O1606" i="1"/>
  <c r="O1607" i="1"/>
  <c r="O1608" i="1"/>
  <c r="O1609" i="1"/>
  <c r="O1610" i="1"/>
  <c r="O1611" i="1"/>
  <c r="O1612" i="1"/>
  <c r="O1613" i="1"/>
  <c r="O1614" i="1"/>
  <c r="O1615" i="1"/>
  <c r="O1616" i="1"/>
  <c r="O1617" i="1"/>
  <c r="O1618" i="1"/>
  <c r="O1619" i="1"/>
  <c r="O1620" i="1"/>
  <c r="O1621" i="1"/>
  <c r="O1622" i="1"/>
  <c r="O1623" i="1"/>
  <c r="O1624" i="1"/>
  <c r="O1625" i="1"/>
  <c r="O1626" i="1"/>
  <c r="O1627" i="1"/>
  <c r="O1628" i="1"/>
  <c r="O1629" i="1"/>
  <c r="O1630" i="1"/>
  <c r="O1631" i="1"/>
  <c r="O1632" i="1"/>
  <c r="O1633" i="1"/>
  <c r="O1634" i="1"/>
  <c r="O1635" i="1"/>
  <c r="O1636" i="1"/>
  <c r="O1637" i="1"/>
  <c r="O1638" i="1"/>
  <c r="O1639" i="1"/>
  <c r="O1640" i="1"/>
  <c r="O1641" i="1"/>
  <c r="O1642" i="1"/>
  <c r="O1643" i="1"/>
  <c r="O1644" i="1"/>
  <c r="O1645" i="1"/>
  <c r="O1646" i="1"/>
  <c r="O1647" i="1"/>
  <c r="O1648" i="1"/>
  <c r="O1649" i="1"/>
  <c r="O1650" i="1"/>
  <c r="O1651" i="1"/>
  <c r="O1652" i="1"/>
  <c r="O1653" i="1"/>
  <c r="O1654" i="1"/>
  <c r="O1655" i="1"/>
  <c r="O1656" i="1"/>
  <c r="O1657" i="1"/>
  <c r="O1658" i="1"/>
  <c r="O1659" i="1"/>
  <c r="O1660" i="1"/>
  <c r="O1661" i="1"/>
  <c r="O1662" i="1"/>
  <c r="O1663" i="1"/>
  <c r="O1664" i="1"/>
  <c r="O1665" i="1"/>
  <c r="O1666" i="1"/>
  <c r="O1667" i="1"/>
  <c r="O1668" i="1"/>
  <c r="O1669" i="1"/>
  <c r="O1670" i="1"/>
  <c r="O1671" i="1"/>
  <c r="O1672" i="1"/>
  <c r="O1673" i="1"/>
  <c r="O1674" i="1"/>
  <c r="O1675" i="1"/>
  <c r="O1676" i="1"/>
  <c r="O1677" i="1"/>
  <c r="O1678" i="1"/>
  <c r="O1679" i="1"/>
  <c r="O1680" i="1"/>
  <c r="O1681" i="1"/>
  <c r="O1682" i="1"/>
  <c r="O1683" i="1"/>
  <c r="O1684" i="1"/>
  <c r="O1685" i="1"/>
  <c r="O1686" i="1"/>
  <c r="O1687" i="1"/>
  <c r="O1688" i="1"/>
  <c r="O1689" i="1"/>
  <c r="O1690" i="1"/>
  <c r="O1691" i="1"/>
  <c r="O1692" i="1"/>
  <c r="O1693" i="1"/>
  <c r="O1694" i="1"/>
  <c r="O1695" i="1"/>
  <c r="O1696" i="1"/>
  <c r="O1697" i="1"/>
  <c r="O1698" i="1"/>
  <c r="O1699" i="1"/>
  <c r="O1700" i="1"/>
  <c r="O1701" i="1"/>
  <c r="O1702" i="1"/>
  <c r="O1703" i="1"/>
  <c r="O1704" i="1"/>
  <c r="O1705" i="1"/>
  <c r="O1706" i="1"/>
  <c r="O1707" i="1"/>
  <c r="O1708" i="1"/>
  <c r="O1709" i="1"/>
  <c r="O1710" i="1"/>
  <c r="O1711" i="1"/>
  <c r="O1712" i="1"/>
  <c r="O1713" i="1"/>
  <c r="O1714" i="1"/>
  <c r="O1715" i="1"/>
  <c r="O1716" i="1"/>
  <c r="O1717" i="1"/>
  <c r="O1718" i="1"/>
  <c r="O1719" i="1"/>
  <c r="O1720" i="1"/>
  <c r="O1721" i="1"/>
  <c r="O1722" i="1"/>
  <c r="O1723" i="1"/>
  <c r="O1724" i="1"/>
  <c r="O1725" i="1"/>
  <c r="O1726" i="1"/>
  <c r="O1727" i="1"/>
  <c r="O1728" i="1"/>
  <c r="O1729" i="1"/>
  <c r="O1730" i="1"/>
  <c r="O1731" i="1"/>
  <c r="O1732" i="1"/>
  <c r="O1733" i="1"/>
  <c r="O1734" i="1"/>
  <c r="O1735" i="1"/>
  <c r="O1736" i="1"/>
  <c r="O1737" i="1"/>
  <c r="O1738" i="1"/>
  <c r="O1739" i="1"/>
  <c r="O1740" i="1"/>
  <c r="O1741" i="1"/>
  <c r="O1742" i="1"/>
  <c r="O1743" i="1"/>
  <c r="O1744" i="1"/>
  <c r="O1745" i="1"/>
  <c r="O1746" i="1"/>
  <c r="O1747" i="1"/>
  <c r="O1748" i="1"/>
  <c r="O1749" i="1"/>
  <c r="O1750" i="1"/>
  <c r="O1751" i="1"/>
  <c r="O1752" i="1"/>
  <c r="O1753" i="1"/>
  <c r="O1754" i="1"/>
  <c r="O1755" i="1"/>
  <c r="O1756" i="1"/>
  <c r="O1757" i="1"/>
  <c r="O1758" i="1"/>
  <c r="O1759" i="1"/>
  <c r="O1760" i="1"/>
  <c r="O1761" i="1"/>
  <c r="O1762" i="1"/>
  <c r="O1763" i="1"/>
  <c r="O1764" i="1"/>
  <c r="O1765" i="1"/>
  <c r="O1766" i="1"/>
  <c r="O1767" i="1"/>
  <c r="O1768" i="1"/>
  <c r="O1769" i="1"/>
  <c r="O1770" i="1"/>
  <c r="O1771" i="1"/>
  <c r="O1772" i="1"/>
  <c r="O1773" i="1"/>
  <c r="O1774" i="1"/>
  <c r="O1775" i="1"/>
  <c r="O1776" i="1"/>
  <c r="O1777" i="1"/>
  <c r="O1778" i="1"/>
  <c r="O1779" i="1"/>
  <c r="O1780" i="1"/>
  <c r="O1781" i="1"/>
  <c r="O1782" i="1"/>
  <c r="O1783" i="1"/>
  <c r="O1784" i="1"/>
  <c r="O1785" i="1"/>
  <c r="O1786" i="1"/>
  <c r="O1787" i="1"/>
  <c r="O1788" i="1"/>
  <c r="O1789" i="1"/>
  <c r="O1790" i="1"/>
  <c r="O1791" i="1"/>
  <c r="O1792" i="1"/>
  <c r="O1793" i="1"/>
  <c r="O1794" i="1"/>
  <c r="O1795" i="1"/>
  <c r="O1796" i="1"/>
  <c r="O1797" i="1"/>
  <c r="O1798" i="1"/>
  <c r="O1799" i="1"/>
  <c r="O1800" i="1"/>
  <c r="O1801" i="1"/>
  <c r="O1802" i="1"/>
  <c r="O1803" i="1"/>
  <c r="O1804" i="1"/>
  <c r="O1805" i="1"/>
  <c r="O1806" i="1"/>
  <c r="O1807" i="1"/>
  <c r="O1808" i="1"/>
  <c r="O1809" i="1"/>
  <c r="O1810" i="1"/>
  <c r="O1811" i="1"/>
  <c r="O1812" i="1"/>
  <c r="O1813" i="1"/>
  <c r="O1814" i="1"/>
  <c r="O1815" i="1"/>
  <c r="O1816" i="1"/>
  <c r="O1817" i="1"/>
  <c r="O1818" i="1"/>
  <c r="O1819" i="1"/>
  <c r="O1820" i="1"/>
  <c r="O1821" i="1"/>
  <c r="O1822" i="1"/>
  <c r="O1823" i="1"/>
  <c r="O1824" i="1"/>
  <c r="O1825" i="1"/>
  <c r="O1826" i="1"/>
  <c r="O1827" i="1"/>
  <c r="O1828" i="1"/>
  <c r="O1829" i="1"/>
  <c r="O1830" i="1"/>
  <c r="O1831" i="1"/>
  <c r="O1832" i="1"/>
  <c r="O1833" i="1"/>
  <c r="O1834" i="1"/>
  <c r="O1835" i="1"/>
  <c r="O1836" i="1"/>
  <c r="O1837" i="1"/>
  <c r="O1838" i="1"/>
  <c r="O1839" i="1"/>
  <c r="O1840" i="1"/>
  <c r="O1841" i="1"/>
  <c r="O1842" i="1"/>
  <c r="O1843" i="1"/>
  <c r="O1844" i="1"/>
  <c r="O1845" i="1"/>
  <c r="O1846" i="1"/>
  <c r="O1847" i="1"/>
  <c r="O1848" i="1"/>
  <c r="O1849" i="1"/>
  <c r="O1850" i="1"/>
  <c r="O1851" i="1"/>
  <c r="O1852" i="1"/>
  <c r="O1853" i="1"/>
  <c r="O1854" i="1"/>
  <c r="O1855" i="1"/>
  <c r="O1856" i="1"/>
  <c r="O1857" i="1"/>
  <c r="O1858" i="1"/>
  <c r="O1859" i="1"/>
  <c r="O1860" i="1"/>
  <c r="O1861" i="1"/>
  <c r="O1862" i="1"/>
  <c r="O1863" i="1"/>
  <c r="O1864" i="1"/>
  <c r="O1865" i="1"/>
  <c r="O1866" i="1"/>
  <c r="O1867" i="1"/>
  <c r="O1868" i="1"/>
  <c r="O1869" i="1"/>
  <c r="O1870" i="1"/>
  <c r="O1871" i="1"/>
  <c r="O1872" i="1"/>
  <c r="O1873" i="1"/>
  <c r="O1874" i="1"/>
  <c r="O1875" i="1"/>
  <c r="O1876" i="1"/>
  <c r="O1877" i="1"/>
  <c r="O1878" i="1"/>
  <c r="O1879" i="1"/>
  <c r="O1880" i="1"/>
  <c r="O1881" i="1"/>
  <c r="O1882" i="1"/>
  <c r="O1883" i="1"/>
  <c r="O1884" i="1"/>
  <c r="O1885" i="1"/>
  <c r="O1886" i="1"/>
  <c r="O1887" i="1"/>
  <c r="O1888" i="1"/>
  <c r="O1889" i="1"/>
  <c r="O1890" i="1"/>
  <c r="O1891" i="1"/>
  <c r="O1892" i="1"/>
  <c r="O1893" i="1"/>
  <c r="O1894" i="1"/>
  <c r="O1895" i="1"/>
  <c r="O1896" i="1"/>
  <c r="O1897" i="1"/>
  <c r="O1898" i="1"/>
  <c r="O1899" i="1"/>
  <c r="O1900" i="1"/>
  <c r="O1901" i="1"/>
  <c r="O1902" i="1"/>
  <c r="O1903" i="1"/>
  <c r="O1904" i="1"/>
  <c r="O1905" i="1"/>
  <c r="O1906" i="1"/>
  <c r="O1907" i="1"/>
  <c r="O1908" i="1"/>
  <c r="O1909" i="1"/>
  <c r="O1910" i="1"/>
  <c r="O1911" i="1"/>
  <c r="O1912" i="1"/>
  <c r="O1913" i="1"/>
  <c r="O1914" i="1"/>
  <c r="O1915" i="1"/>
  <c r="O1916" i="1"/>
  <c r="O1917" i="1"/>
  <c r="O1918" i="1"/>
  <c r="O1919" i="1"/>
  <c r="O1920" i="1"/>
  <c r="O1921" i="1"/>
  <c r="O1922" i="1"/>
  <c r="O1923" i="1"/>
  <c r="O1924" i="1"/>
  <c r="O1925" i="1"/>
  <c r="O1926" i="1"/>
  <c r="O1927" i="1"/>
  <c r="O1928" i="1"/>
  <c r="O1929" i="1"/>
  <c r="O1930" i="1"/>
  <c r="O1931" i="1"/>
  <c r="O1932" i="1"/>
  <c r="O1933" i="1"/>
  <c r="O1934" i="1"/>
  <c r="O1935" i="1"/>
  <c r="O1936" i="1"/>
  <c r="O1937" i="1"/>
  <c r="O1938" i="1"/>
  <c r="O1939" i="1"/>
  <c r="O1940" i="1"/>
  <c r="O1941" i="1"/>
  <c r="O1942" i="1"/>
  <c r="O1943" i="1"/>
  <c r="O1944" i="1"/>
  <c r="O1945" i="1"/>
  <c r="O1946" i="1"/>
  <c r="O1947" i="1"/>
  <c r="O1948" i="1"/>
  <c r="O1949" i="1"/>
  <c r="O1950" i="1"/>
  <c r="O1951" i="1"/>
  <c r="O1952" i="1"/>
  <c r="O1953" i="1"/>
  <c r="O1954" i="1"/>
  <c r="O1955" i="1"/>
  <c r="O1956" i="1"/>
  <c r="O1957" i="1"/>
  <c r="O1958" i="1"/>
  <c r="O1959" i="1"/>
  <c r="O1960" i="1"/>
  <c r="O1961" i="1"/>
  <c r="O1962" i="1"/>
  <c r="O1963" i="1"/>
  <c r="O1964" i="1"/>
  <c r="O1965" i="1"/>
  <c r="O1966" i="1"/>
  <c r="O1967" i="1"/>
  <c r="O1968" i="1"/>
  <c r="O1969" i="1"/>
  <c r="O1970" i="1"/>
  <c r="O1971" i="1"/>
  <c r="O1972" i="1"/>
  <c r="O1973" i="1"/>
  <c r="O1974" i="1"/>
  <c r="O1975" i="1"/>
  <c r="O1976" i="1"/>
  <c r="O1977" i="1"/>
  <c r="O1978" i="1"/>
  <c r="O1979" i="1"/>
  <c r="O1980" i="1"/>
  <c r="O1981" i="1"/>
  <c r="O1982" i="1"/>
  <c r="O1983" i="1"/>
  <c r="O1984" i="1"/>
  <c r="O1985" i="1"/>
  <c r="O1986" i="1"/>
  <c r="O1987" i="1"/>
  <c r="O1988" i="1"/>
  <c r="O1989" i="1"/>
  <c r="O1990" i="1"/>
  <c r="O1991" i="1"/>
  <c r="O1992" i="1"/>
  <c r="O1993" i="1"/>
  <c r="O1994" i="1"/>
  <c r="O1995" i="1"/>
  <c r="O1996" i="1"/>
  <c r="O1997" i="1"/>
  <c r="O1998" i="1"/>
  <c r="O1999" i="1"/>
  <c r="O2000" i="1"/>
  <c r="O2001" i="1"/>
  <c r="O2002" i="1"/>
  <c r="O2003" i="1"/>
  <c r="O2004" i="1"/>
  <c r="O2005" i="1"/>
  <c r="O2006" i="1"/>
  <c r="O2007" i="1"/>
  <c r="O2008" i="1"/>
  <c r="O2009" i="1"/>
  <c r="O2010" i="1"/>
  <c r="O2011" i="1"/>
  <c r="O2012" i="1"/>
  <c r="O2013" i="1"/>
  <c r="O2014" i="1"/>
  <c r="O2015" i="1"/>
  <c r="O2016" i="1"/>
  <c r="O2017" i="1"/>
  <c r="O2018" i="1"/>
  <c r="O2019" i="1"/>
  <c r="O2020" i="1"/>
  <c r="O2021" i="1"/>
  <c r="O2022" i="1"/>
  <c r="O2023" i="1"/>
  <c r="O2024" i="1"/>
  <c r="O2025" i="1"/>
  <c r="O2026" i="1"/>
  <c r="O2027" i="1"/>
  <c r="O2028" i="1"/>
  <c r="O2029" i="1"/>
  <c r="O2030" i="1"/>
  <c r="O2031" i="1"/>
  <c r="O2032" i="1"/>
  <c r="O2033" i="1"/>
  <c r="O2034" i="1"/>
  <c r="O2035" i="1"/>
  <c r="O2036" i="1"/>
  <c r="O2037" i="1"/>
  <c r="O2038" i="1"/>
  <c r="O2039" i="1"/>
  <c r="O2040" i="1"/>
  <c r="O2041" i="1"/>
  <c r="O2042" i="1"/>
  <c r="O2043" i="1"/>
  <c r="O2044" i="1"/>
  <c r="O2045" i="1"/>
  <c r="O2046" i="1"/>
  <c r="O2047" i="1"/>
  <c r="O2048" i="1"/>
  <c r="O2049" i="1"/>
  <c r="O2050" i="1"/>
  <c r="O2051" i="1"/>
  <c r="O2052" i="1"/>
  <c r="O2053" i="1"/>
  <c r="O2054" i="1"/>
  <c r="O2055" i="1"/>
  <c r="O2056" i="1"/>
  <c r="O2057" i="1"/>
  <c r="O2058" i="1"/>
  <c r="O2059" i="1"/>
  <c r="O2060" i="1"/>
  <c r="O2061" i="1"/>
  <c r="O2062" i="1"/>
  <c r="O2063" i="1"/>
  <c r="O2064" i="1"/>
  <c r="O2065" i="1"/>
  <c r="O2066" i="1"/>
  <c r="O2067" i="1"/>
  <c r="O2068" i="1"/>
  <c r="O2069" i="1"/>
  <c r="O2070" i="1"/>
  <c r="O2071" i="1"/>
  <c r="O2072" i="1"/>
  <c r="O2073" i="1"/>
  <c r="O2074" i="1"/>
  <c r="O2075" i="1"/>
  <c r="O2076" i="1"/>
  <c r="O2077" i="1"/>
  <c r="O2078" i="1"/>
  <c r="O2079" i="1"/>
  <c r="O2080" i="1"/>
  <c r="O2081" i="1"/>
  <c r="O2082" i="1"/>
  <c r="O2083" i="1"/>
  <c r="O2084" i="1"/>
  <c r="O2085" i="1"/>
  <c r="O2086" i="1"/>
  <c r="O2087" i="1"/>
  <c r="O2088" i="1"/>
  <c r="O2089" i="1"/>
  <c r="O2090" i="1"/>
  <c r="O2091" i="1"/>
  <c r="O2092" i="1"/>
  <c r="O2093" i="1"/>
  <c r="O2094" i="1"/>
  <c r="O2095" i="1"/>
  <c r="O2096" i="1"/>
  <c r="O2097" i="1"/>
  <c r="O2098" i="1"/>
  <c r="O2099" i="1"/>
  <c r="O2100" i="1"/>
  <c r="O2101" i="1"/>
  <c r="O2102" i="1"/>
  <c r="O2103" i="1"/>
  <c r="O2104" i="1"/>
  <c r="O2105" i="1"/>
  <c r="O2106" i="1"/>
  <c r="O2107" i="1"/>
  <c r="O2108" i="1"/>
  <c r="O2109" i="1"/>
  <c r="O2110" i="1"/>
  <c r="O2111" i="1"/>
  <c r="O2112" i="1"/>
  <c r="O2113" i="1"/>
  <c r="O2114" i="1"/>
  <c r="O2115" i="1"/>
  <c r="O2116" i="1"/>
  <c r="O2117" i="1"/>
  <c r="O2118" i="1"/>
  <c r="O2119" i="1"/>
  <c r="O2120" i="1"/>
  <c r="O2121" i="1"/>
  <c r="O2122" i="1"/>
  <c r="O2123" i="1"/>
  <c r="O2124" i="1"/>
  <c r="O2125" i="1"/>
  <c r="O2126" i="1"/>
  <c r="O2127" i="1"/>
  <c r="O2128" i="1"/>
  <c r="O2129" i="1"/>
  <c r="O2130" i="1"/>
  <c r="O2131" i="1"/>
  <c r="O2132" i="1"/>
  <c r="O2133" i="1"/>
  <c r="O2134" i="1"/>
  <c r="O2135" i="1"/>
  <c r="O2136" i="1"/>
  <c r="O2137" i="1"/>
  <c r="O2138" i="1"/>
  <c r="O2139" i="1"/>
  <c r="O2140" i="1"/>
  <c r="O2141" i="1"/>
  <c r="O2142" i="1"/>
  <c r="O2143" i="1"/>
  <c r="O2144" i="1"/>
  <c r="O2145" i="1"/>
  <c r="O2146" i="1"/>
  <c r="O2147" i="1"/>
  <c r="O2148" i="1"/>
  <c r="O2149" i="1"/>
  <c r="O2150" i="1"/>
  <c r="O2151" i="1"/>
  <c r="O2152" i="1"/>
  <c r="O2153" i="1"/>
  <c r="O2154" i="1"/>
  <c r="O2155" i="1"/>
  <c r="O2156" i="1"/>
  <c r="O2157" i="1"/>
  <c r="O2158" i="1"/>
  <c r="O2159" i="1"/>
  <c r="O2160" i="1"/>
  <c r="O2161" i="1"/>
  <c r="O2162" i="1"/>
  <c r="O2163" i="1"/>
  <c r="O2164" i="1"/>
  <c r="O2165" i="1"/>
  <c r="O2166" i="1"/>
  <c r="O2167" i="1"/>
  <c r="O2168" i="1"/>
  <c r="O2169" i="1"/>
  <c r="O2170" i="1"/>
  <c r="O2171" i="1"/>
  <c r="O2172" i="1"/>
  <c r="O2173" i="1"/>
  <c r="O2174" i="1"/>
  <c r="O2175" i="1"/>
  <c r="O2176" i="1"/>
  <c r="O2177" i="1"/>
  <c r="O2178" i="1"/>
  <c r="O2179" i="1"/>
  <c r="O2180" i="1"/>
  <c r="O2181" i="1"/>
  <c r="O2182" i="1"/>
  <c r="O2183" i="1"/>
  <c r="O2184" i="1"/>
  <c r="O2185" i="1"/>
  <c r="O2186" i="1"/>
  <c r="O2187" i="1"/>
  <c r="O2188" i="1"/>
  <c r="O2189" i="1"/>
  <c r="O2190" i="1"/>
  <c r="O2191" i="1"/>
  <c r="O2192" i="1"/>
  <c r="O2193" i="1"/>
  <c r="O2194" i="1"/>
  <c r="O2195" i="1"/>
  <c r="O2196" i="1"/>
  <c r="O2197" i="1"/>
  <c r="O2198" i="1"/>
  <c r="O2199" i="1"/>
  <c r="O2200" i="1"/>
  <c r="O2201" i="1"/>
  <c r="O2202" i="1"/>
  <c r="O2203" i="1"/>
  <c r="O2204" i="1"/>
  <c r="O2205" i="1"/>
  <c r="O2206" i="1"/>
  <c r="O2207" i="1"/>
  <c r="O2208" i="1"/>
  <c r="O2209" i="1"/>
  <c r="O2210" i="1"/>
  <c r="O2211" i="1"/>
  <c r="O2212" i="1"/>
  <c r="O2213" i="1"/>
  <c r="O2214" i="1"/>
  <c r="O2215" i="1"/>
  <c r="O2216" i="1"/>
  <c r="O2217" i="1"/>
  <c r="O2218" i="1"/>
  <c r="O2219" i="1"/>
  <c r="O2220" i="1"/>
  <c r="O2221" i="1"/>
  <c r="O2222" i="1"/>
  <c r="O2223" i="1"/>
  <c r="O2224" i="1"/>
  <c r="O2225" i="1"/>
  <c r="O2226" i="1"/>
  <c r="O2227" i="1"/>
  <c r="O2228" i="1"/>
  <c r="O2229" i="1"/>
  <c r="O2230" i="1"/>
  <c r="O2231" i="1"/>
  <c r="O2232" i="1"/>
  <c r="O2233" i="1"/>
  <c r="O2234" i="1"/>
  <c r="O2235" i="1"/>
  <c r="O2236" i="1"/>
  <c r="O2237" i="1"/>
  <c r="O2238" i="1"/>
  <c r="O2239" i="1"/>
  <c r="O2240" i="1"/>
  <c r="O2241" i="1"/>
  <c r="O2242" i="1"/>
  <c r="O2243" i="1"/>
  <c r="O2244" i="1"/>
  <c r="O2245" i="1"/>
  <c r="O2246" i="1"/>
  <c r="O2247" i="1"/>
  <c r="O2248" i="1"/>
  <c r="O2249" i="1"/>
  <c r="O2250" i="1"/>
  <c r="O2251" i="1"/>
  <c r="O2252" i="1"/>
  <c r="O2253" i="1"/>
  <c r="O2254" i="1"/>
  <c r="O2255" i="1"/>
  <c r="O2256" i="1"/>
  <c r="O2257" i="1"/>
  <c r="O2258" i="1"/>
  <c r="O2259" i="1"/>
  <c r="O2260" i="1"/>
  <c r="O2261" i="1"/>
  <c r="O2262" i="1"/>
  <c r="O2263" i="1"/>
  <c r="O2264" i="1"/>
  <c r="O2265" i="1"/>
  <c r="O2266" i="1"/>
  <c r="O2267" i="1"/>
  <c r="O2268" i="1"/>
  <c r="O2269" i="1"/>
  <c r="O2270" i="1"/>
  <c r="O2271" i="1"/>
  <c r="O2272" i="1"/>
  <c r="O2273" i="1"/>
  <c r="O2274" i="1"/>
  <c r="O2275" i="1"/>
  <c r="O2276" i="1"/>
  <c r="O2277" i="1"/>
  <c r="O2278" i="1"/>
  <c r="O2279" i="1"/>
  <c r="O2280" i="1"/>
  <c r="O2281" i="1"/>
  <c r="O2282" i="1"/>
  <c r="O2283" i="1"/>
  <c r="O2284" i="1"/>
  <c r="O2285" i="1"/>
  <c r="O2286" i="1"/>
  <c r="O2287" i="1"/>
  <c r="O2288" i="1"/>
  <c r="O2289" i="1"/>
  <c r="O2290" i="1"/>
  <c r="O2291" i="1"/>
  <c r="O2292" i="1"/>
  <c r="O2293" i="1"/>
  <c r="O2294" i="1"/>
  <c r="O2295" i="1"/>
  <c r="O2296" i="1"/>
  <c r="O2297" i="1"/>
  <c r="O2298" i="1"/>
  <c r="O2299" i="1"/>
  <c r="O2300" i="1"/>
  <c r="O2301" i="1"/>
  <c r="O2302" i="1"/>
  <c r="O2303" i="1"/>
  <c r="O2304" i="1"/>
  <c r="O2305" i="1"/>
  <c r="O2306" i="1"/>
  <c r="O2307" i="1"/>
  <c r="O2308" i="1"/>
  <c r="O2309" i="1"/>
  <c r="O2310" i="1"/>
  <c r="O2311" i="1"/>
  <c r="O2312" i="1"/>
  <c r="O2313" i="1"/>
  <c r="O2314" i="1"/>
  <c r="O2315" i="1"/>
  <c r="O2316" i="1"/>
  <c r="O2317" i="1"/>
  <c r="O2318" i="1"/>
  <c r="O2319" i="1"/>
  <c r="O2320" i="1"/>
  <c r="O2321" i="1"/>
  <c r="O2322" i="1"/>
  <c r="O2323" i="1"/>
  <c r="O2324" i="1"/>
  <c r="O2325" i="1"/>
  <c r="O2326" i="1"/>
  <c r="O2327" i="1"/>
  <c r="O2328" i="1"/>
  <c r="O2329" i="1"/>
  <c r="O2330" i="1"/>
  <c r="O2331" i="1"/>
  <c r="O2332" i="1"/>
  <c r="O2333" i="1"/>
  <c r="O2334" i="1"/>
  <c r="O2335" i="1"/>
  <c r="O2336" i="1"/>
  <c r="O2337" i="1"/>
  <c r="O2338" i="1"/>
  <c r="O2339" i="1"/>
  <c r="O2340" i="1"/>
  <c r="O2341" i="1"/>
  <c r="O2342" i="1"/>
  <c r="O2343" i="1"/>
  <c r="O2344" i="1"/>
  <c r="O2345" i="1"/>
  <c r="O2346" i="1"/>
  <c r="O2347" i="1"/>
  <c r="O2348" i="1"/>
  <c r="O2349" i="1"/>
  <c r="O2350" i="1"/>
  <c r="O2351" i="1"/>
  <c r="O2352" i="1"/>
  <c r="O2353" i="1"/>
  <c r="O2354" i="1"/>
  <c r="O2355" i="1"/>
  <c r="O2356" i="1"/>
  <c r="O2357" i="1"/>
  <c r="O2358" i="1"/>
  <c r="O2359" i="1"/>
  <c r="O2360" i="1"/>
  <c r="O2361" i="1"/>
  <c r="O2362" i="1"/>
  <c r="O2363" i="1"/>
  <c r="O2364" i="1"/>
  <c r="O2365" i="1"/>
  <c r="O2366" i="1"/>
  <c r="O2367" i="1"/>
  <c r="O2368" i="1"/>
  <c r="O2369" i="1"/>
  <c r="O2370" i="1"/>
  <c r="O2371" i="1"/>
  <c r="O2372" i="1"/>
  <c r="O2373" i="1"/>
  <c r="O2374" i="1"/>
  <c r="O2375" i="1"/>
  <c r="O2376" i="1"/>
  <c r="O2377" i="1"/>
  <c r="O2378" i="1"/>
  <c r="O2379" i="1"/>
  <c r="O2380" i="1"/>
  <c r="O2381" i="1"/>
  <c r="O2382" i="1"/>
  <c r="O2383" i="1"/>
  <c r="O2384" i="1"/>
  <c r="O2385" i="1"/>
  <c r="O2386" i="1"/>
  <c r="O2387" i="1"/>
  <c r="O2388" i="1"/>
  <c r="O2389" i="1"/>
  <c r="O2390" i="1"/>
  <c r="O2391" i="1"/>
  <c r="O2392" i="1"/>
  <c r="O2393" i="1"/>
  <c r="O2394" i="1"/>
  <c r="O2395" i="1"/>
  <c r="O2396" i="1"/>
  <c r="O2397" i="1"/>
  <c r="O2398" i="1"/>
  <c r="O2399" i="1"/>
  <c r="O2400" i="1"/>
  <c r="O2401" i="1"/>
  <c r="O2402" i="1"/>
  <c r="O2403" i="1"/>
  <c r="O2404" i="1"/>
  <c r="O2405" i="1"/>
  <c r="O2406" i="1"/>
  <c r="O2407" i="1"/>
  <c r="O2408" i="1"/>
  <c r="O2409" i="1"/>
  <c r="O2410" i="1"/>
  <c r="O2411" i="1"/>
  <c r="O2412" i="1"/>
  <c r="O2413" i="1"/>
  <c r="O2414" i="1"/>
  <c r="O2415" i="1"/>
  <c r="O2416" i="1"/>
  <c r="O2417" i="1"/>
  <c r="O2418" i="1"/>
  <c r="O2419" i="1"/>
  <c r="O2420" i="1"/>
  <c r="O2421" i="1"/>
  <c r="O2422" i="1"/>
  <c r="O2423" i="1"/>
  <c r="O2424" i="1"/>
  <c r="O2425" i="1"/>
  <c r="O2426" i="1"/>
  <c r="O2427" i="1"/>
  <c r="O2428" i="1"/>
  <c r="O2429" i="1"/>
  <c r="O2430" i="1"/>
  <c r="O2431" i="1"/>
  <c r="O2432" i="1"/>
  <c r="O2433" i="1"/>
  <c r="O2434" i="1"/>
  <c r="O2435" i="1"/>
  <c r="O2436" i="1"/>
  <c r="O2437" i="1"/>
  <c r="O2438" i="1"/>
  <c r="O2439" i="1"/>
  <c r="O2440" i="1"/>
  <c r="O2441" i="1"/>
  <c r="O2442" i="1"/>
  <c r="O2443" i="1"/>
  <c r="O2444" i="1"/>
  <c r="O2445" i="1"/>
  <c r="O2446" i="1"/>
  <c r="O2447" i="1"/>
  <c r="O2448" i="1"/>
  <c r="O2449" i="1"/>
  <c r="O2450" i="1"/>
  <c r="O2451" i="1"/>
  <c r="O2452" i="1"/>
  <c r="O2453" i="1"/>
  <c r="O2454" i="1"/>
  <c r="O2455" i="1"/>
  <c r="O2456" i="1"/>
  <c r="O2457" i="1"/>
  <c r="O2458" i="1"/>
  <c r="O2459" i="1"/>
  <c r="O2460" i="1"/>
  <c r="O2461" i="1"/>
  <c r="O2462" i="1"/>
  <c r="O2463" i="1"/>
  <c r="O2464" i="1"/>
  <c r="O2465" i="1"/>
  <c r="O2466" i="1"/>
  <c r="O2467" i="1"/>
  <c r="O2468" i="1"/>
  <c r="O2469" i="1"/>
  <c r="O2470" i="1"/>
  <c r="O2471" i="1"/>
  <c r="O2472" i="1"/>
  <c r="O2473" i="1"/>
  <c r="O2474" i="1"/>
  <c r="O2475" i="1"/>
  <c r="O2476" i="1"/>
  <c r="O2477" i="1"/>
  <c r="O2478" i="1"/>
  <c r="O2479" i="1"/>
  <c r="O2480" i="1"/>
  <c r="O2481" i="1"/>
  <c r="O2482" i="1"/>
  <c r="O2483" i="1"/>
  <c r="O2484" i="1"/>
  <c r="O2485" i="1"/>
  <c r="O2486" i="1"/>
  <c r="O2487" i="1"/>
  <c r="O2488" i="1"/>
  <c r="O2489" i="1"/>
  <c r="O2490" i="1"/>
  <c r="O2491" i="1"/>
  <c r="O2492" i="1"/>
  <c r="O2493" i="1"/>
  <c r="O2494" i="1"/>
  <c r="O2495" i="1"/>
  <c r="O2496" i="1"/>
  <c r="O2497" i="1"/>
  <c r="O2498" i="1"/>
  <c r="O2499" i="1"/>
  <c r="O2500" i="1"/>
  <c r="O2501" i="1"/>
  <c r="O2502" i="1"/>
  <c r="O2503" i="1"/>
  <c r="O2504" i="1"/>
  <c r="O2505" i="1"/>
  <c r="O2506" i="1"/>
  <c r="O2507" i="1"/>
  <c r="O2508" i="1"/>
  <c r="O2509" i="1"/>
  <c r="O2510" i="1"/>
  <c r="O2511" i="1"/>
  <c r="O2512" i="1"/>
  <c r="O2513" i="1"/>
  <c r="O2514" i="1"/>
  <c r="O2515" i="1"/>
  <c r="O2516" i="1"/>
  <c r="O2517" i="1"/>
  <c r="O2518" i="1"/>
  <c r="O2519" i="1"/>
  <c r="O2520" i="1"/>
  <c r="O2521" i="1"/>
  <c r="O2522" i="1"/>
  <c r="O2523" i="1"/>
  <c r="O2524" i="1"/>
  <c r="O2525" i="1"/>
  <c r="O2526" i="1"/>
  <c r="O2527" i="1"/>
  <c r="O2528" i="1"/>
  <c r="O2529" i="1"/>
  <c r="O2530" i="1"/>
  <c r="O2531" i="1"/>
  <c r="O2532" i="1"/>
  <c r="O2533" i="1"/>
  <c r="O2534" i="1"/>
  <c r="O2535" i="1"/>
  <c r="O2536" i="1"/>
  <c r="O2537" i="1"/>
  <c r="O2538" i="1"/>
  <c r="O2539" i="1"/>
  <c r="O2540" i="1"/>
  <c r="O2541" i="1"/>
  <c r="O2542" i="1"/>
  <c r="O2543" i="1"/>
  <c r="O2544" i="1"/>
  <c r="O2545" i="1"/>
  <c r="O2546" i="1"/>
  <c r="O2547" i="1"/>
  <c r="O2548" i="1"/>
  <c r="O2549" i="1"/>
  <c r="O2550" i="1"/>
  <c r="O2551" i="1"/>
  <c r="O2552" i="1"/>
  <c r="O2553" i="1"/>
  <c r="O2554" i="1"/>
  <c r="O2555" i="1"/>
  <c r="O2556" i="1"/>
  <c r="O2557" i="1"/>
  <c r="O2558" i="1"/>
  <c r="O2559" i="1"/>
  <c r="O2560" i="1"/>
  <c r="O2561" i="1"/>
  <c r="O2562" i="1"/>
  <c r="O2563" i="1"/>
  <c r="O2564" i="1"/>
  <c r="O2565" i="1"/>
  <c r="O2566" i="1"/>
  <c r="O2567" i="1"/>
  <c r="O2568" i="1"/>
  <c r="O2569" i="1"/>
  <c r="O2570" i="1"/>
  <c r="O2571" i="1"/>
  <c r="O2572" i="1"/>
  <c r="O2573" i="1"/>
  <c r="O2574" i="1"/>
  <c r="O2575" i="1"/>
  <c r="O2576" i="1"/>
  <c r="O2577" i="1"/>
  <c r="O2578" i="1"/>
  <c r="O2579" i="1"/>
  <c r="O2580" i="1"/>
  <c r="O2581" i="1"/>
  <c r="O2582" i="1"/>
  <c r="O2583" i="1"/>
  <c r="O2584" i="1"/>
  <c r="O2585" i="1"/>
  <c r="O2586" i="1"/>
  <c r="O2587" i="1"/>
  <c r="O2588" i="1"/>
  <c r="O2589" i="1"/>
  <c r="O2590" i="1"/>
  <c r="O2591" i="1"/>
  <c r="O2592" i="1"/>
  <c r="O2593" i="1"/>
  <c r="O2594" i="1"/>
  <c r="O2595" i="1"/>
  <c r="O2596" i="1"/>
  <c r="O2597" i="1"/>
  <c r="O2598" i="1"/>
  <c r="O2599" i="1"/>
  <c r="O2600" i="1"/>
  <c r="O2601" i="1"/>
  <c r="O2602" i="1"/>
  <c r="O2603" i="1"/>
  <c r="O2604" i="1"/>
  <c r="O2605" i="1"/>
  <c r="O2606" i="1"/>
  <c r="O2607" i="1"/>
  <c r="O2608" i="1"/>
  <c r="O2609" i="1"/>
  <c r="O2610" i="1"/>
  <c r="O2611" i="1"/>
  <c r="O2612" i="1"/>
  <c r="O2613" i="1"/>
  <c r="O2614" i="1"/>
  <c r="O2615" i="1"/>
  <c r="O2616" i="1"/>
  <c r="O2617" i="1"/>
  <c r="O2618" i="1"/>
  <c r="O2619" i="1"/>
  <c r="O2620" i="1"/>
  <c r="O2621" i="1"/>
  <c r="O2622" i="1"/>
  <c r="O2623" i="1"/>
  <c r="O2624" i="1"/>
  <c r="O2625" i="1"/>
  <c r="O2626" i="1"/>
  <c r="O2627" i="1"/>
  <c r="O2628" i="1"/>
  <c r="O2629" i="1"/>
  <c r="O2630" i="1"/>
  <c r="O2631" i="1"/>
  <c r="O2632" i="1"/>
  <c r="O2633" i="1"/>
  <c r="O2634" i="1"/>
  <c r="O2635" i="1"/>
  <c r="O2636" i="1"/>
  <c r="O2637" i="1"/>
  <c r="O2638" i="1"/>
  <c r="O2639" i="1"/>
  <c r="O2640" i="1"/>
  <c r="O2641" i="1"/>
  <c r="O2642" i="1"/>
  <c r="O2643" i="1"/>
  <c r="O2644" i="1"/>
  <c r="O2645" i="1"/>
  <c r="O2646" i="1"/>
  <c r="O2647" i="1"/>
  <c r="O2648" i="1"/>
  <c r="O2649" i="1"/>
  <c r="O2650" i="1"/>
  <c r="O2651" i="1"/>
  <c r="O2652" i="1"/>
  <c r="O2653" i="1"/>
  <c r="O2654" i="1"/>
  <c r="O2655" i="1"/>
  <c r="O2656" i="1"/>
  <c r="O2657" i="1"/>
  <c r="O2658" i="1"/>
  <c r="O2659" i="1"/>
  <c r="O2660" i="1"/>
  <c r="O2661" i="1"/>
  <c r="O2662" i="1"/>
  <c r="O2663" i="1"/>
  <c r="O2664" i="1"/>
  <c r="O2665" i="1"/>
  <c r="O2666" i="1"/>
  <c r="O2667" i="1"/>
  <c r="O2668" i="1"/>
  <c r="O2669" i="1"/>
  <c r="O2670" i="1"/>
  <c r="O2671" i="1"/>
  <c r="O2672" i="1"/>
  <c r="O2673" i="1"/>
  <c r="O2674" i="1"/>
  <c r="O2675" i="1"/>
  <c r="O2676" i="1"/>
  <c r="O2677" i="1"/>
  <c r="O2678" i="1"/>
  <c r="O2679" i="1"/>
  <c r="O2680" i="1"/>
  <c r="O2681" i="1"/>
  <c r="O2682" i="1"/>
  <c r="O2683" i="1"/>
  <c r="O2684" i="1"/>
  <c r="O2685" i="1"/>
  <c r="O2686" i="1"/>
  <c r="O2687" i="1"/>
  <c r="O2688" i="1"/>
  <c r="O2689" i="1"/>
  <c r="O2690" i="1"/>
  <c r="O2691" i="1"/>
  <c r="O2692" i="1"/>
  <c r="O2693" i="1"/>
  <c r="O2694" i="1"/>
  <c r="O2695" i="1"/>
  <c r="O2696" i="1"/>
  <c r="O2697" i="1"/>
  <c r="O2698" i="1"/>
  <c r="O2699" i="1"/>
  <c r="O2700" i="1"/>
  <c r="O2701" i="1"/>
  <c r="O2702" i="1"/>
  <c r="O2703" i="1"/>
  <c r="O2704" i="1"/>
  <c r="O2705" i="1"/>
  <c r="O2706" i="1"/>
  <c r="O2707" i="1"/>
  <c r="O2708" i="1"/>
  <c r="O2709" i="1"/>
  <c r="O2710" i="1"/>
  <c r="O2711" i="1"/>
  <c r="O2712" i="1"/>
  <c r="O2713" i="1"/>
  <c r="O2714" i="1"/>
  <c r="O2715" i="1"/>
  <c r="O2716" i="1"/>
  <c r="O2717" i="1"/>
  <c r="O2718" i="1"/>
  <c r="O2719" i="1"/>
  <c r="O2720" i="1"/>
  <c r="O2721" i="1"/>
  <c r="O2722" i="1"/>
  <c r="O2723" i="1"/>
  <c r="O2724" i="1"/>
  <c r="O2725" i="1"/>
  <c r="O2726" i="1"/>
  <c r="O2727" i="1"/>
  <c r="O2728" i="1"/>
  <c r="O2729" i="1"/>
  <c r="O2730" i="1"/>
  <c r="O2731" i="1"/>
  <c r="O2732" i="1"/>
  <c r="O2733" i="1"/>
  <c r="O2734" i="1"/>
  <c r="O2735" i="1"/>
  <c r="O2736" i="1"/>
  <c r="O2737" i="1"/>
  <c r="O2738" i="1"/>
  <c r="O2739" i="1"/>
  <c r="O2740" i="1"/>
  <c r="O2741" i="1"/>
  <c r="O2742" i="1"/>
  <c r="O2743" i="1"/>
  <c r="O2744" i="1"/>
  <c r="O2745" i="1"/>
  <c r="O2746" i="1"/>
  <c r="O2747" i="1"/>
  <c r="O2748" i="1"/>
  <c r="O2749" i="1"/>
  <c r="O2750" i="1"/>
  <c r="O2751" i="1"/>
  <c r="O2752" i="1"/>
  <c r="O2753" i="1"/>
  <c r="O2754" i="1"/>
  <c r="O2755" i="1"/>
  <c r="O2756" i="1"/>
  <c r="O2757" i="1"/>
  <c r="O2758" i="1"/>
  <c r="O2759" i="1"/>
  <c r="O2760" i="1"/>
  <c r="O2761" i="1"/>
  <c r="O2762" i="1"/>
  <c r="O2763" i="1"/>
  <c r="O2764" i="1"/>
  <c r="O2765" i="1"/>
  <c r="O2766" i="1"/>
  <c r="O2767" i="1"/>
  <c r="O2768" i="1"/>
  <c r="O2769" i="1"/>
  <c r="O2770" i="1"/>
  <c r="O2771" i="1"/>
  <c r="O2772" i="1"/>
  <c r="O2773" i="1"/>
  <c r="O2774" i="1"/>
  <c r="O2775" i="1"/>
  <c r="O2776" i="1"/>
  <c r="O2777" i="1"/>
  <c r="O2778" i="1"/>
  <c r="O2779" i="1"/>
  <c r="O2780" i="1"/>
  <c r="O2781" i="1"/>
  <c r="O2782" i="1"/>
  <c r="O2783" i="1"/>
  <c r="O2784" i="1"/>
  <c r="O2785" i="1"/>
  <c r="O2786" i="1"/>
  <c r="O2787" i="1"/>
  <c r="O2788" i="1"/>
  <c r="O2789" i="1"/>
  <c r="O2790" i="1"/>
  <c r="O2791" i="1"/>
  <c r="O2792" i="1"/>
  <c r="O2793" i="1"/>
  <c r="O2794" i="1"/>
  <c r="O2795" i="1"/>
  <c r="O2796" i="1"/>
  <c r="O2797" i="1"/>
  <c r="O2798" i="1"/>
  <c r="O2799" i="1"/>
  <c r="O2800" i="1"/>
  <c r="O2801" i="1"/>
  <c r="O2802" i="1"/>
  <c r="O2803" i="1"/>
  <c r="O2804" i="1"/>
  <c r="O2805" i="1"/>
  <c r="O2806" i="1"/>
  <c r="O2807" i="1"/>
  <c r="O2808" i="1"/>
  <c r="O2809" i="1"/>
  <c r="O2810" i="1"/>
  <c r="O2811" i="1"/>
  <c r="O2812" i="1"/>
  <c r="O2813" i="1"/>
  <c r="O2814" i="1"/>
  <c r="O2815" i="1"/>
  <c r="O2816" i="1"/>
  <c r="O2817" i="1"/>
  <c r="O2818" i="1"/>
  <c r="O2819" i="1"/>
  <c r="O2820" i="1"/>
  <c r="O2821" i="1"/>
  <c r="O2822" i="1"/>
  <c r="O2823" i="1"/>
  <c r="O2824" i="1"/>
  <c r="O2825" i="1"/>
  <c r="O2826" i="1"/>
  <c r="O2827" i="1"/>
  <c r="O2828" i="1"/>
  <c r="O2829" i="1"/>
  <c r="O2830" i="1"/>
  <c r="O2831" i="1"/>
  <c r="O2832" i="1"/>
  <c r="O2833" i="1"/>
  <c r="O2834" i="1"/>
  <c r="O2835" i="1"/>
  <c r="O2836" i="1"/>
  <c r="O2837" i="1"/>
  <c r="O2838" i="1"/>
  <c r="O2839" i="1"/>
  <c r="O2840" i="1"/>
  <c r="O2841" i="1"/>
  <c r="O2842" i="1"/>
  <c r="O2843" i="1"/>
  <c r="O2844" i="1"/>
  <c r="O2845" i="1"/>
  <c r="O2846" i="1"/>
  <c r="O2847" i="1"/>
  <c r="O2848" i="1"/>
  <c r="O2849" i="1"/>
  <c r="O2850" i="1"/>
  <c r="O2851" i="1"/>
  <c r="O2852" i="1"/>
  <c r="O2853" i="1"/>
  <c r="O2854" i="1"/>
  <c r="O2855" i="1"/>
  <c r="O2856" i="1"/>
  <c r="O2857" i="1"/>
  <c r="O2858" i="1"/>
  <c r="O2859" i="1"/>
  <c r="O2860" i="1"/>
  <c r="O2861" i="1"/>
  <c r="O2862" i="1"/>
  <c r="O2863" i="1"/>
  <c r="O2864" i="1"/>
  <c r="O2865" i="1"/>
  <c r="O2866" i="1"/>
  <c r="O2867" i="1"/>
  <c r="O2868" i="1"/>
  <c r="O2869" i="1"/>
  <c r="O2870" i="1"/>
  <c r="O2871" i="1"/>
  <c r="O2872" i="1"/>
  <c r="O2873" i="1"/>
  <c r="O2874" i="1"/>
  <c r="O2875" i="1"/>
  <c r="O2876" i="1"/>
  <c r="O2877" i="1"/>
  <c r="O2878" i="1"/>
  <c r="O2879" i="1"/>
  <c r="O2880" i="1"/>
  <c r="O2881" i="1"/>
  <c r="O2882" i="1"/>
  <c r="O2883" i="1"/>
  <c r="O2884" i="1"/>
  <c r="O2885" i="1"/>
  <c r="O2886" i="1"/>
  <c r="O2887" i="1"/>
  <c r="O2888" i="1"/>
  <c r="O2889" i="1"/>
  <c r="O2890" i="1"/>
  <c r="O2891" i="1"/>
  <c r="O2892" i="1"/>
  <c r="O2893" i="1"/>
  <c r="O2894" i="1"/>
  <c r="O2895" i="1"/>
  <c r="O2896" i="1"/>
  <c r="O2897" i="1"/>
  <c r="O2898" i="1"/>
  <c r="O2899" i="1"/>
  <c r="O2900" i="1"/>
  <c r="O2901" i="1"/>
  <c r="O2902" i="1"/>
  <c r="O2903" i="1"/>
  <c r="O2904" i="1"/>
  <c r="O2905" i="1"/>
  <c r="O2906" i="1"/>
  <c r="O2907" i="1"/>
  <c r="O2908" i="1"/>
  <c r="O2909" i="1"/>
  <c r="O2910" i="1"/>
  <c r="O2911" i="1"/>
  <c r="O2912" i="1"/>
  <c r="O2913" i="1"/>
  <c r="O2914" i="1"/>
  <c r="O2915" i="1"/>
  <c r="O2916" i="1"/>
  <c r="O2917" i="1"/>
  <c r="O2918" i="1"/>
  <c r="O2919" i="1"/>
  <c r="O2920" i="1"/>
  <c r="O2921" i="1"/>
  <c r="O2922" i="1"/>
  <c r="O2923" i="1"/>
  <c r="O2924" i="1"/>
  <c r="O2925" i="1"/>
  <c r="O2926" i="1"/>
  <c r="O2927" i="1"/>
  <c r="O2928" i="1"/>
  <c r="O2929" i="1"/>
  <c r="O2930" i="1"/>
  <c r="O2931" i="1"/>
  <c r="O2932" i="1"/>
  <c r="O2933" i="1"/>
  <c r="O2934" i="1"/>
  <c r="O2935" i="1"/>
  <c r="O2936" i="1"/>
  <c r="O2937" i="1"/>
  <c r="O2938" i="1"/>
  <c r="O2939" i="1"/>
  <c r="O2940" i="1"/>
  <c r="O2941" i="1"/>
  <c r="O2942" i="1"/>
  <c r="O2943" i="1"/>
  <c r="O2944" i="1"/>
  <c r="O2945" i="1"/>
  <c r="O2946" i="1"/>
  <c r="O2947" i="1"/>
  <c r="O2948" i="1"/>
  <c r="O2949" i="1"/>
  <c r="O2950" i="1"/>
  <c r="O2951" i="1"/>
  <c r="O2952" i="1"/>
  <c r="O2953" i="1"/>
  <c r="O2954" i="1"/>
  <c r="O2955" i="1"/>
  <c r="O2956" i="1"/>
  <c r="O2957" i="1"/>
  <c r="O2958" i="1"/>
  <c r="O2959" i="1"/>
  <c r="O2960" i="1"/>
  <c r="O2961" i="1"/>
  <c r="O2962" i="1"/>
  <c r="O2963" i="1"/>
  <c r="O2964" i="1"/>
  <c r="O2965" i="1"/>
  <c r="O2966" i="1"/>
  <c r="O2967" i="1"/>
  <c r="O2968" i="1"/>
  <c r="O2969" i="1"/>
  <c r="O2970" i="1"/>
  <c r="O2971" i="1"/>
  <c r="O2972" i="1"/>
  <c r="O2973" i="1"/>
  <c r="O2974" i="1"/>
  <c r="O2975" i="1"/>
  <c r="O2976" i="1"/>
  <c r="O2977" i="1"/>
  <c r="O2978" i="1"/>
  <c r="O2979" i="1"/>
  <c r="O2980" i="1"/>
  <c r="O2981" i="1"/>
  <c r="O2982" i="1"/>
  <c r="O2983" i="1"/>
  <c r="O2984" i="1"/>
  <c r="O2985" i="1"/>
  <c r="O2986" i="1"/>
  <c r="O2987" i="1"/>
  <c r="O2988" i="1"/>
  <c r="O2989" i="1"/>
  <c r="O2990" i="1"/>
  <c r="O2991" i="1"/>
  <c r="O2992" i="1"/>
  <c r="O2993" i="1"/>
  <c r="O2994" i="1"/>
  <c r="O2995" i="1"/>
  <c r="O2996" i="1"/>
  <c r="O2997" i="1"/>
  <c r="O2998" i="1"/>
  <c r="O2999" i="1"/>
  <c r="O3000" i="1"/>
  <c r="O3001" i="1"/>
  <c r="O3002" i="1"/>
  <c r="O3003" i="1"/>
  <c r="O3004" i="1"/>
  <c r="O3005" i="1"/>
  <c r="O3006" i="1"/>
  <c r="O3007" i="1"/>
  <c r="O3008" i="1"/>
  <c r="O3009" i="1"/>
  <c r="O3010" i="1"/>
  <c r="O3011" i="1"/>
  <c r="O3012" i="1"/>
  <c r="O3013" i="1"/>
  <c r="O3014" i="1"/>
  <c r="O3015" i="1"/>
  <c r="O3016" i="1"/>
  <c r="O3017" i="1"/>
  <c r="O3018" i="1"/>
  <c r="O3019" i="1"/>
  <c r="O3020" i="1"/>
  <c r="O3021" i="1"/>
  <c r="O3022" i="1"/>
  <c r="O3023" i="1"/>
  <c r="O3024" i="1"/>
  <c r="O3025" i="1"/>
  <c r="O3026" i="1"/>
  <c r="O3027" i="1"/>
  <c r="O3028" i="1"/>
  <c r="O3029" i="1"/>
  <c r="O3030" i="1"/>
  <c r="O3031" i="1"/>
  <c r="O3032" i="1"/>
  <c r="O3033" i="1"/>
  <c r="O3034" i="1"/>
  <c r="O3035" i="1"/>
  <c r="O3036" i="1"/>
  <c r="O3037" i="1"/>
  <c r="O3038" i="1"/>
  <c r="O3039" i="1"/>
  <c r="O3040" i="1"/>
  <c r="O3041" i="1"/>
  <c r="O3042" i="1"/>
  <c r="O3043" i="1"/>
  <c r="O3044" i="1"/>
  <c r="O3045" i="1"/>
  <c r="O3046" i="1"/>
  <c r="O3047" i="1"/>
  <c r="O3048" i="1"/>
  <c r="O3049" i="1"/>
  <c r="O3050" i="1"/>
  <c r="O3051" i="1"/>
  <c r="O3052" i="1"/>
  <c r="O3053" i="1"/>
  <c r="O3054" i="1"/>
  <c r="O3055" i="1"/>
  <c r="O3056" i="1"/>
  <c r="O3057" i="1"/>
  <c r="O3058" i="1"/>
  <c r="O3059" i="1"/>
  <c r="O3060" i="1"/>
  <c r="O3061" i="1"/>
  <c r="O3062" i="1"/>
  <c r="O3063" i="1"/>
  <c r="O3064" i="1"/>
  <c r="O3065" i="1"/>
  <c r="O3066" i="1"/>
  <c r="O3067" i="1"/>
  <c r="O3068" i="1"/>
  <c r="O3069" i="1"/>
  <c r="O3070" i="1"/>
  <c r="O3071" i="1"/>
  <c r="O3072" i="1"/>
  <c r="O3073" i="1"/>
  <c r="O3074" i="1"/>
  <c r="O3075" i="1"/>
  <c r="O3076" i="1"/>
  <c r="O3077" i="1"/>
  <c r="O3078" i="1"/>
  <c r="O3079" i="1"/>
  <c r="O3080" i="1"/>
  <c r="O3081" i="1"/>
  <c r="O3082" i="1"/>
  <c r="O3083" i="1"/>
  <c r="O3084" i="1"/>
  <c r="O3085" i="1"/>
  <c r="O3086" i="1"/>
  <c r="O3087" i="1"/>
  <c r="O3088" i="1"/>
  <c r="O3089" i="1"/>
  <c r="O3090" i="1"/>
  <c r="O3091" i="1"/>
  <c r="O3092" i="1"/>
  <c r="O3093" i="1"/>
  <c r="O3094" i="1"/>
  <c r="O3095" i="1"/>
  <c r="O3096" i="1"/>
  <c r="O3097" i="1"/>
  <c r="O3098" i="1"/>
  <c r="O3099" i="1"/>
  <c r="O3100" i="1"/>
  <c r="O3101" i="1"/>
  <c r="O3102" i="1"/>
  <c r="O3103" i="1"/>
  <c r="O3104" i="1"/>
  <c r="O3105" i="1"/>
  <c r="O3106" i="1"/>
  <c r="O3107" i="1"/>
  <c r="O3108" i="1"/>
  <c r="O3109" i="1"/>
  <c r="O3110" i="1"/>
  <c r="O3111" i="1"/>
  <c r="O3112" i="1"/>
  <c r="O3113" i="1"/>
  <c r="O3114" i="1"/>
  <c r="O3115" i="1"/>
  <c r="O3116" i="1"/>
  <c r="O3117" i="1"/>
  <c r="O3118" i="1"/>
  <c r="O3119" i="1"/>
  <c r="O3120" i="1"/>
  <c r="O3121" i="1"/>
  <c r="O3122" i="1"/>
  <c r="O3123" i="1"/>
  <c r="O3124" i="1"/>
  <c r="O3125" i="1"/>
  <c r="O3126" i="1"/>
  <c r="O3127" i="1"/>
  <c r="O3128" i="1"/>
  <c r="O3129" i="1"/>
  <c r="O3130" i="1"/>
  <c r="O3131" i="1"/>
  <c r="O3132" i="1"/>
  <c r="O3133" i="1"/>
  <c r="O3134" i="1"/>
  <c r="O3135" i="1"/>
  <c r="O3136" i="1"/>
  <c r="O3137" i="1"/>
  <c r="O3138" i="1"/>
  <c r="O3139" i="1"/>
  <c r="O3140" i="1"/>
  <c r="O3141" i="1"/>
  <c r="O3142" i="1"/>
  <c r="O3143" i="1"/>
  <c r="O3144" i="1"/>
  <c r="O3145" i="1"/>
  <c r="O3146" i="1"/>
  <c r="O3147" i="1"/>
  <c r="O3148" i="1"/>
  <c r="O3149" i="1"/>
  <c r="O3150" i="1"/>
  <c r="O3151" i="1"/>
  <c r="O3152" i="1"/>
  <c r="O3153" i="1"/>
  <c r="O3154" i="1"/>
  <c r="O3155" i="1"/>
  <c r="O3156" i="1"/>
  <c r="O3157" i="1"/>
  <c r="O3158" i="1"/>
  <c r="O3159" i="1"/>
  <c r="O3160" i="1"/>
  <c r="O3161" i="1"/>
  <c r="O3162" i="1"/>
  <c r="O3163" i="1"/>
  <c r="O3164" i="1"/>
  <c r="O3165" i="1"/>
  <c r="O3166" i="1"/>
  <c r="O3167" i="1"/>
  <c r="O3168" i="1"/>
  <c r="O3169" i="1"/>
  <c r="O3170" i="1"/>
  <c r="O3171" i="1"/>
  <c r="O3172" i="1"/>
  <c r="O3173" i="1"/>
  <c r="O3174" i="1"/>
  <c r="O3175" i="1"/>
  <c r="O3176" i="1"/>
  <c r="O3177" i="1"/>
  <c r="O3178" i="1"/>
  <c r="O3179" i="1"/>
  <c r="O3180" i="1"/>
  <c r="O3181" i="1"/>
  <c r="O3182" i="1"/>
  <c r="O3183" i="1"/>
  <c r="O3184" i="1"/>
  <c r="O3185" i="1"/>
  <c r="O3186" i="1"/>
  <c r="O3187" i="1"/>
  <c r="O3188" i="1"/>
  <c r="O3189" i="1"/>
  <c r="O3190" i="1"/>
  <c r="O3191" i="1"/>
  <c r="O3192" i="1"/>
  <c r="O3193" i="1"/>
  <c r="O3194" i="1"/>
  <c r="O3195" i="1"/>
  <c r="O3196" i="1"/>
  <c r="O3197" i="1"/>
  <c r="O3198" i="1"/>
  <c r="O3199" i="1"/>
  <c r="O3200" i="1"/>
  <c r="O3201" i="1"/>
  <c r="O3202" i="1"/>
  <c r="O3203" i="1"/>
  <c r="O3204" i="1"/>
  <c r="O3205" i="1"/>
  <c r="O3206" i="1"/>
  <c r="O3207" i="1"/>
  <c r="O3208" i="1"/>
  <c r="O3209" i="1"/>
  <c r="O3210" i="1"/>
  <c r="O3211" i="1"/>
  <c r="O3212" i="1"/>
  <c r="O3213" i="1"/>
  <c r="O3214" i="1"/>
  <c r="O3215" i="1"/>
  <c r="O3216" i="1"/>
  <c r="O3217" i="1"/>
  <c r="O3218" i="1"/>
  <c r="O3219" i="1"/>
  <c r="O3220" i="1"/>
  <c r="O3221" i="1"/>
  <c r="O3222" i="1"/>
  <c r="O3223" i="1"/>
  <c r="O3224" i="1"/>
  <c r="O3225" i="1"/>
  <c r="O3226" i="1"/>
  <c r="O3227" i="1"/>
  <c r="O3228" i="1"/>
  <c r="O3229" i="1"/>
  <c r="O3230" i="1"/>
  <c r="O3231" i="1"/>
  <c r="O3232" i="1"/>
  <c r="O3233" i="1"/>
  <c r="O3234" i="1"/>
  <c r="O3235" i="1"/>
  <c r="O3236" i="1"/>
  <c r="O3237" i="1"/>
  <c r="O3238" i="1"/>
  <c r="O3239" i="1"/>
  <c r="O3240" i="1"/>
  <c r="O3241" i="1"/>
  <c r="O3242" i="1"/>
  <c r="O3243" i="1"/>
  <c r="O3244" i="1"/>
  <c r="O3245" i="1"/>
  <c r="O3246" i="1"/>
  <c r="O3247" i="1"/>
  <c r="O3248" i="1"/>
  <c r="O3249" i="1"/>
  <c r="O3250" i="1"/>
  <c r="O3251" i="1"/>
  <c r="O3252" i="1"/>
  <c r="O3253" i="1"/>
  <c r="O3254" i="1"/>
  <c r="O3255" i="1"/>
  <c r="O3256" i="1"/>
  <c r="O3257" i="1"/>
  <c r="O3258" i="1"/>
  <c r="O3259" i="1"/>
  <c r="O3260" i="1"/>
  <c r="O3261" i="1"/>
  <c r="O3262" i="1"/>
  <c r="O3263" i="1"/>
  <c r="O3264" i="1"/>
  <c r="O3265" i="1"/>
  <c r="O3266" i="1"/>
  <c r="O3267" i="1"/>
  <c r="O3268" i="1"/>
  <c r="O3269" i="1"/>
  <c r="O3270" i="1"/>
  <c r="O3271" i="1"/>
  <c r="O3272" i="1"/>
  <c r="O3273" i="1"/>
  <c r="O3274" i="1"/>
  <c r="O3275" i="1"/>
  <c r="O3276" i="1"/>
  <c r="O3277" i="1"/>
  <c r="O3278" i="1"/>
  <c r="O3279" i="1"/>
  <c r="O3280" i="1"/>
  <c r="O3281" i="1"/>
  <c r="O3282" i="1"/>
  <c r="O3283" i="1"/>
  <c r="O3284" i="1"/>
  <c r="O3285" i="1"/>
  <c r="O3286" i="1"/>
  <c r="O3287" i="1"/>
  <c r="O3288" i="1"/>
  <c r="O3289" i="1"/>
  <c r="O3290" i="1"/>
  <c r="O3291" i="1"/>
  <c r="O3292" i="1"/>
  <c r="O3293" i="1"/>
  <c r="O3294" i="1"/>
  <c r="O3295" i="1"/>
  <c r="O3296" i="1"/>
  <c r="O3297" i="1"/>
  <c r="O3298" i="1"/>
  <c r="O3299" i="1"/>
  <c r="O3300" i="1"/>
  <c r="O3301" i="1"/>
  <c r="O3302" i="1"/>
  <c r="O3303" i="1"/>
  <c r="O3304" i="1"/>
  <c r="O3305" i="1"/>
  <c r="O3306" i="1"/>
  <c r="O3307" i="1"/>
  <c r="O3308" i="1"/>
  <c r="O3309" i="1"/>
  <c r="O3310" i="1"/>
  <c r="O3311" i="1"/>
  <c r="O3312" i="1"/>
  <c r="O3313" i="1"/>
  <c r="O3314" i="1"/>
  <c r="O3315" i="1"/>
  <c r="O3316" i="1"/>
  <c r="O3317" i="1"/>
  <c r="O3318" i="1"/>
  <c r="O3319" i="1"/>
  <c r="O3320" i="1"/>
  <c r="O3321" i="1"/>
  <c r="O3322" i="1"/>
  <c r="O3323" i="1"/>
  <c r="O3324" i="1"/>
  <c r="O3325" i="1"/>
  <c r="O3326" i="1"/>
  <c r="O3327" i="1"/>
  <c r="O3328" i="1"/>
  <c r="O3329" i="1"/>
  <c r="O3330" i="1"/>
  <c r="O3331" i="1"/>
  <c r="O3332" i="1"/>
  <c r="O3333" i="1"/>
  <c r="O3334" i="1"/>
  <c r="O3335" i="1"/>
  <c r="O3336" i="1"/>
  <c r="O3337" i="1"/>
  <c r="O3338" i="1"/>
  <c r="O3339" i="1"/>
  <c r="O3340" i="1"/>
  <c r="O3341" i="1"/>
  <c r="O3342" i="1"/>
  <c r="O3343" i="1"/>
  <c r="O3344" i="1"/>
  <c r="O3345" i="1"/>
  <c r="O3346" i="1"/>
  <c r="O3347" i="1"/>
  <c r="O3348" i="1"/>
  <c r="O3349" i="1"/>
  <c r="O3350" i="1"/>
  <c r="O3351" i="1"/>
  <c r="O3352" i="1"/>
  <c r="O3353" i="1"/>
  <c r="O3354" i="1"/>
  <c r="O3355" i="1"/>
  <c r="O3356" i="1"/>
  <c r="O3357" i="1"/>
  <c r="O3358" i="1"/>
  <c r="O3359" i="1"/>
  <c r="O3360" i="1"/>
  <c r="O3361" i="1"/>
  <c r="O3362" i="1"/>
  <c r="O3363" i="1"/>
  <c r="O3364" i="1"/>
  <c r="O3365" i="1"/>
  <c r="O3366" i="1"/>
  <c r="O3367" i="1"/>
  <c r="O3368" i="1"/>
  <c r="O3369" i="1"/>
  <c r="O3370" i="1"/>
  <c r="O3371" i="1"/>
  <c r="O3372" i="1"/>
  <c r="O3373" i="1"/>
  <c r="O3374" i="1"/>
  <c r="O3375" i="1"/>
  <c r="O3376" i="1"/>
  <c r="O3377" i="1"/>
  <c r="O3378" i="1"/>
  <c r="O3379" i="1"/>
  <c r="O3380" i="1"/>
  <c r="O3381" i="1"/>
  <c r="O3382" i="1"/>
  <c r="O3383" i="1"/>
  <c r="O3384" i="1"/>
  <c r="O3385" i="1"/>
  <c r="O3386" i="1"/>
  <c r="O3387" i="1"/>
  <c r="O3388" i="1"/>
  <c r="O3389" i="1"/>
  <c r="O3390" i="1"/>
  <c r="O3391" i="1"/>
  <c r="O3392" i="1"/>
  <c r="O3393" i="1"/>
  <c r="O3394" i="1"/>
  <c r="O3395" i="1"/>
  <c r="O3396" i="1"/>
  <c r="O3397" i="1"/>
  <c r="O3398" i="1"/>
  <c r="O3399" i="1"/>
  <c r="O3400" i="1"/>
  <c r="O3401" i="1"/>
  <c r="O3402" i="1"/>
  <c r="O3403" i="1"/>
  <c r="O3404" i="1"/>
  <c r="O3405" i="1"/>
  <c r="O3406" i="1"/>
  <c r="O3407" i="1"/>
  <c r="O3408" i="1"/>
  <c r="O3409" i="1"/>
  <c r="O3410" i="1"/>
  <c r="O3411" i="1"/>
  <c r="O3412" i="1"/>
  <c r="O3413" i="1"/>
  <c r="O3414" i="1"/>
  <c r="O3415" i="1"/>
  <c r="O3416" i="1"/>
  <c r="O3417" i="1"/>
  <c r="O3418" i="1"/>
  <c r="O3419" i="1"/>
  <c r="O3420" i="1"/>
  <c r="O3421" i="1"/>
  <c r="O3422" i="1"/>
  <c r="O3423" i="1"/>
  <c r="O3424" i="1"/>
  <c r="O3425" i="1"/>
  <c r="O3426" i="1"/>
  <c r="O3427" i="1"/>
  <c r="O3428" i="1"/>
  <c r="O3429" i="1"/>
  <c r="O3430" i="1"/>
  <c r="O3431" i="1"/>
  <c r="O3432" i="1"/>
  <c r="O3433" i="1"/>
  <c r="O3434" i="1"/>
  <c r="O3435" i="1"/>
  <c r="O3436" i="1"/>
  <c r="O3437" i="1"/>
  <c r="O3438" i="1"/>
  <c r="O3439" i="1"/>
  <c r="O3440" i="1"/>
  <c r="O3441" i="1"/>
  <c r="O3442" i="1"/>
  <c r="O3443" i="1"/>
  <c r="O3444" i="1"/>
  <c r="O3445" i="1"/>
  <c r="O3446" i="1"/>
  <c r="O3447" i="1"/>
  <c r="O3448" i="1"/>
  <c r="O3449" i="1"/>
  <c r="O3450" i="1"/>
  <c r="O3451" i="1"/>
  <c r="O3452" i="1"/>
  <c r="O3453" i="1"/>
  <c r="O3454" i="1"/>
  <c r="O3455" i="1"/>
  <c r="O3456" i="1"/>
  <c r="O3457" i="1"/>
  <c r="O3458" i="1"/>
  <c r="O3459" i="1"/>
  <c r="O3460" i="1"/>
  <c r="O3461" i="1"/>
  <c r="O3462" i="1"/>
  <c r="O3463" i="1"/>
  <c r="O3464" i="1"/>
  <c r="O3465" i="1"/>
  <c r="O3466" i="1"/>
  <c r="O3467" i="1"/>
  <c r="O3468" i="1"/>
  <c r="O3469" i="1"/>
  <c r="O3470" i="1"/>
  <c r="O3471" i="1"/>
  <c r="O3472" i="1"/>
  <c r="O3473" i="1"/>
  <c r="O3474" i="1"/>
  <c r="O3475" i="1"/>
  <c r="O3476" i="1"/>
  <c r="O3477" i="1"/>
  <c r="O3478" i="1"/>
  <c r="O3479" i="1"/>
  <c r="O3480" i="1"/>
  <c r="O3481" i="1"/>
  <c r="O3482" i="1"/>
  <c r="O3483" i="1"/>
  <c r="O3484" i="1"/>
  <c r="O3485" i="1"/>
  <c r="O3486" i="1"/>
  <c r="O3487" i="1"/>
  <c r="O3488" i="1"/>
  <c r="O3489" i="1"/>
  <c r="O3490" i="1"/>
  <c r="O3491" i="1"/>
  <c r="O3492" i="1"/>
  <c r="O3493" i="1"/>
  <c r="O3494" i="1"/>
  <c r="O3495" i="1"/>
  <c r="O3496" i="1"/>
  <c r="O3497" i="1"/>
  <c r="O3498" i="1"/>
  <c r="O3499" i="1"/>
  <c r="O3500" i="1"/>
  <c r="O3501" i="1"/>
  <c r="O3502" i="1"/>
  <c r="O3503" i="1"/>
  <c r="O3504" i="1"/>
  <c r="O3505" i="1"/>
  <c r="O3506" i="1"/>
  <c r="O3507" i="1"/>
  <c r="O3508" i="1"/>
  <c r="O3509" i="1"/>
  <c r="O3510" i="1"/>
  <c r="O3511" i="1"/>
  <c r="O3512" i="1"/>
  <c r="O3513" i="1"/>
  <c r="O3514" i="1"/>
  <c r="O3515" i="1"/>
  <c r="O3516" i="1"/>
  <c r="O3517" i="1"/>
  <c r="O3518" i="1"/>
  <c r="O3519" i="1"/>
  <c r="O3520" i="1"/>
  <c r="O3521" i="1"/>
  <c r="O3522" i="1"/>
  <c r="O3523" i="1"/>
  <c r="O3524" i="1"/>
  <c r="O3525" i="1"/>
  <c r="O3526" i="1"/>
  <c r="O3527" i="1"/>
  <c r="O3528" i="1"/>
  <c r="O3529" i="1"/>
  <c r="O3530" i="1"/>
  <c r="O3531" i="1"/>
  <c r="O3532" i="1"/>
  <c r="O3533" i="1"/>
  <c r="O3534" i="1"/>
  <c r="O3535" i="1"/>
  <c r="O3536" i="1"/>
  <c r="O3537" i="1"/>
  <c r="O3538" i="1"/>
  <c r="O3539" i="1"/>
  <c r="O3540" i="1"/>
  <c r="O3541" i="1"/>
  <c r="O3542" i="1"/>
  <c r="O3543" i="1"/>
  <c r="O3544" i="1"/>
  <c r="O3545" i="1"/>
  <c r="O3546" i="1"/>
  <c r="O3547" i="1"/>
  <c r="O3548" i="1"/>
  <c r="O3549" i="1"/>
  <c r="O3550" i="1"/>
  <c r="O3551" i="1"/>
  <c r="O3552" i="1"/>
  <c r="O3553" i="1"/>
  <c r="O3554" i="1"/>
  <c r="O3555" i="1"/>
  <c r="O3556" i="1"/>
  <c r="O3557" i="1"/>
  <c r="O3558" i="1"/>
  <c r="O3559" i="1"/>
  <c r="O3560" i="1"/>
  <c r="O3561" i="1"/>
  <c r="O3562" i="1"/>
  <c r="O3563" i="1"/>
  <c r="O3564" i="1"/>
  <c r="O3565" i="1"/>
  <c r="O3566" i="1"/>
  <c r="O3567" i="1"/>
  <c r="O3568" i="1"/>
  <c r="O3569" i="1"/>
  <c r="O3570" i="1"/>
  <c r="O3571" i="1"/>
  <c r="O3572" i="1"/>
  <c r="O3573" i="1"/>
  <c r="O3574" i="1"/>
  <c r="O3575" i="1"/>
  <c r="O3576" i="1"/>
  <c r="O3577" i="1"/>
  <c r="O3578" i="1"/>
  <c r="O3579" i="1"/>
  <c r="O3580" i="1"/>
  <c r="O3581" i="1"/>
  <c r="O3582" i="1"/>
  <c r="O3583" i="1"/>
  <c r="O3584" i="1"/>
  <c r="O3585" i="1"/>
  <c r="O3586" i="1"/>
  <c r="O3587" i="1"/>
  <c r="O3588" i="1"/>
  <c r="O3589" i="1"/>
  <c r="O3590" i="1"/>
  <c r="O3591" i="1"/>
  <c r="O3592" i="1"/>
  <c r="O3593" i="1"/>
  <c r="O3594" i="1"/>
  <c r="O3595" i="1"/>
  <c r="O3596" i="1"/>
  <c r="O3597" i="1"/>
  <c r="O3598" i="1"/>
  <c r="O3599" i="1"/>
  <c r="O3600" i="1"/>
  <c r="O3601" i="1"/>
  <c r="O3602" i="1"/>
  <c r="O3603" i="1"/>
  <c r="O3604" i="1"/>
  <c r="O3605" i="1"/>
  <c r="O3606" i="1"/>
  <c r="O3607" i="1"/>
  <c r="O3608" i="1"/>
  <c r="O3609" i="1"/>
  <c r="O3610" i="1"/>
  <c r="O3611" i="1"/>
  <c r="O3612" i="1"/>
  <c r="O3613" i="1"/>
  <c r="O3614" i="1"/>
  <c r="O3615" i="1"/>
  <c r="O3616" i="1"/>
  <c r="O3617" i="1"/>
  <c r="O3618" i="1"/>
  <c r="O3619" i="1"/>
  <c r="O3620" i="1"/>
  <c r="O3621" i="1"/>
  <c r="O3622" i="1"/>
  <c r="O3623" i="1"/>
  <c r="O3624" i="1"/>
  <c r="O3625" i="1"/>
  <c r="O3626" i="1"/>
  <c r="O3627" i="1"/>
  <c r="O3628" i="1"/>
  <c r="O3629" i="1"/>
  <c r="O3630" i="1"/>
  <c r="O3631" i="1"/>
  <c r="O3632" i="1"/>
  <c r="O3633" i="1"/>
  <c r="O3634" i="1"/>
  <c r="O3635" i="1"/>
  <c r="O3636" i="1"/>
  <c r="O3637" i="1"/>
  <c r="O3638" i="1"/>
  <c r="O3639" i="1"/>
  <c r="O3640" i="1"/>
  <c r="O3641" i="1"/>
  <c r="O3642" i="1"/>
  <c r="O3643" i="1"/>
  <c r="O3644" i="1"/>
  <c r="O3645" i="1"/>
  <c r="O3646" i="1"/>
  <c r="O3647" i="1"/>
  <c r="O3648" i="1"/>
  <c r="O3649" i="1"/>
  <c r="O3650" i="1"/>
  <c r="O3651" i="1"/>
  <c r="O3652" i="1"/>
  <c r="O3653" i="1"/>
  <c r="O3654" i="1"/>
  <c r="O3655" i="1"/>
  <c r="O3656" i="1"/>
  <c r="O3657" i="1"/>
  <c r="O3658" i="1"/>
  <c r="O3659" i="1"/>
  <c r="O3660" i="1"/>
  <c r="O3661" i="1"/>
  <c r="O3662" i="1"/>
  <c r="O3663" i="1"/>
  <c r="O3664" i="1"/>
  <c r="O3665" i="1"/>
  <c r="O3666" i="1"/>
  <c r="O3667" i="1"/>
  <c r="O3668" i="1"/>
  <c r="O3669" i="1"/>
  <c r="O3670" i="1"/>
  <c r="O3671" i="1"/>
  <c r="O3672" i="1"/>
  <c r="O3673" i="1"/>
  <c r="O3674" i="1"/>
  <c r="O3675" i="1"/>
  <c r="O3676" i="1"/>
  <c r="O3677" i="1"/>
  <c r="O3678" i="1"/>
  <c r="O3679" i="1"/>
  <c r="O3680" i="1"/>
  <c r="O3681" i="1"/>
  <c r="O3682" i="1"/>
  <c r="O3683" i="1"/>
  <c r="O3684" i="1"/>
  <c r="O3685" i="1"/>
  <c r="O3686" i="1"/>
  <c r="O3687" i="1"/>
  <c r="O3688" i="1"/>
  <c r="O3689" i="1"/>
  <c r="O3690" i="1"/>
  <c r="O3691" i="1"/>
  <c r="O3692" i="1"/>
  <c r="O3693" i="1"/>
  <c r="O3694" i="1"/>
  <c r="O3695" i="1"/>
  <c r="O3696" i="1"/>
  <c r="O3697" i="1"/>
  <c r="O3698" i="1"/>
  <c r="O3699" i="1"/>
  <c r="O3700" i="1"/>
  <c r="O3701" i="1"/>
  <c r="O3702" i="1"/>
  <c r="O3703" i="1"/>
  <c r="O3704" i="1"/>
  <c r="O3705" i="1"/>
  <c r="O3706" i="1"/>
  <c r="O3707" i="1"/>
  <c r="O3708" i="1"/>
  <c r="O3709" i="1"/>
  <c r="O3710" i="1"/>
  <c r="O3711" i="1"/>
  <c r="O3712" i="1"/>
  <c r="O3713" i="1"/>
  <c r="O3714" i="1"/>
  <c r="O3715" i="1"/>
  <c r="O3716" i="1"/>
  <c r="O3717" i="1"/>
  <c r="O3718" i="1"/>
  <c r="O3719" i="1"/>
  <c r="O3720" i="1"/>
  <c r="O3721" i="1"/>
  <c r="O3722" i="1"/>
  <c r="O3723" i="1"/>
  <c r="O3724" i="1"/>
  <c r="O3725" i="1"/>
  <c r="O3726" i="1"/>
  <c r="O3727" i="1"/>
  <c r="O3728" i="1"/>
  <c r="O3729" i="1"/>
  <c r="O3730" i="1"/>
  <c r="O3731" i="1"/>
  <c r="O3732" i="1"/>
  <c r="O3733" i="1"/>
  <c r="O3734" i="1"/>
  <c r="O3735" i="1"/>
  <c r="O3736" i="1"/>
  <c r="O3737" i="1"/>
  <c r="O3738" i="1"/>
  <c r="O3739" i="1"/>
  <c r="O3740" i="1"/>
  <c r="O3741" i="1"/>
  <c r="O3742" i="1"/>
  <c r="O3743" i="1"/>
  <c r="O3744" i="1"/>
  <c r="O3745" i="1"/>
  <c r="O3746" i="1"/>
  <c r="O3747" i="1"/>
  <c r="O3748" i="1"/>
  <c r="O3749" i="1"/>
  <c r="O3750" i="1"/>
  <c r="O3751" i="1"/>
  <c r="O3752" i="1"/>
  <c r="O3753" i="1"/>
  <c r="O3754" i="1"/>
  <c r="O3755" i="1"/>
  <c r="O3756" i="1"/>
  <c r="O3757" i="1"/>
  <c r="O3758" i="1"/>
  <c r="O3759" i="1"/>
  <c r="O3760" i="1"/>
  <c r="O3761" i="1"/>
  <c r="O3762" i="1"/>
  <c r="O3763" i="1"/>
  <c r="O3764" i="1"/>
  <c r="O3765" i="1"/>
  <c r="O3766" i="1"/>
  <c r="O3767" i="1"/>
  <c r="O3768" i="1"/>
  <c r="O3769" i="1"/>
  <c r="O3770" i="1"/>
  <c r="O3771" i="1"/>
  <c r="O3772" i="1"/>
  <c r="O3773" i="1"/>
  <c r="O3774" i="1"/>
  <c r="O3775" i="1"/>
  <c r="O3776" i="1"/>
  <c r="O3777" i="1"/>
  <c r="O3778" i="1"/>
  <c r="O3779" i="1"/>
  <c r="O3780" i="1"/>
  <c r="O3781" i="1"/>
  <c r="O3782" i="1"/>
  <c r="O3783" i="1"/>
  <c r="O3784" i="1"/>
  <c r="O3785" i="1"/>
  <c r="O3786" i="1"/>
  <c r="O3787" i="1"/>
  <c r="O3788" i="1"/>
  <c r="O3789" i="1"/>
  <c r="O3790" i="1"/>
  <c r="O3791" i="1"/>
  <c r="O3792" i="1"/>
  <c r="O3793" i="1"/>
  <c r="O3794" i="1"/>
  <c r="O3795" i="1"/>
  <c r="O3796" i="1"/>
  <c r="O3797" i="1"/>
  <c r="O3798" i="1"/>
  <c r="O3799" i="1"/>
  <c r="O3800" i="1"/>
  <c r="O3801" i="1"/>
  <c r="O3802" i="1"/>
  <c r="O3803" i="1"/>
  <c r="O3804" i="1"/>
  <c r="O3805" i="1"/>
  <c r="O3806" i="1"/>
  <c r="O3807" i="1"/>
  <c r="O3808" i="1"/>
  <c r="O3809" i="1"/>
  <c r="O3810" i="1"/>
  <c r="O3811" i="1"/>
  <c r="O3812" i="1"/>
  <c r="O3813" i="1"/>
  <c r="O3814" i="1"/>
  <c r="O3815" i="1"/>
  <c r="O3816" i="1"/>
  <c r="O3817" i="1"/>
  <c r="O3818" i="1"/>
  <c r="O3819" i="1"/>
  <c r="O3820" i="1"/>
  <c r="O3821" i="1"/>
  <c r="O3822" i="1"/>
  <c r="O3823" i="1"/>
  <c r="O3824" i="1"/>
  <c r="O3825" i="1"/>
  <c r="O3826" i="1"/>
  <c r="O3827" i="1"/>
  <c r="O3828" i="1"/>
  <c r="O3829" i="1"/>
  <c r="O3830" i="1"/>
  <c r="O3831" i="1"/>
  <c r="O3832" i="1"/>
  <c r="O3833" i="1"/>
  <c r="O3834" i="1"/>
  <c r="O3835" i="1"/>
  <c r="O3836" i="1"/>
  <c r="O3837" i="1"/>
  <c r="O3838" i="1"/>
  <c r="O3839" i="1"/>
  <c r="O3840" i="1"/>
  <c r="O3841" i="1"/>
  <c r="O3842" i="1"/>
  <c r="O3843" i="1"/>
  <c r="O3844" i="1"/>
  <c r="O2" i="1"/>
  <c r="K46" i="4" s="1" a="1"/>
  <c r="K46" i="4" s="1"/>
  <c r="G38" i="4"/>
  <c r="F38" i="4"/>
  <c r="E38" i="4"/>
  <c r="D38" i="4"/>
  <c r="C38" i="4"/>
  <c r="I23" i="9" a="1"/>
  <c r="I23" i="9"/>
  <c r="I20" i="9"/>
  <c r="I17" i="9"/>
  <c r="S25" i="1"/>
  <c r="Q22" i="6"/>
  <c r="C23" i="6"/>
  <c r="Q23" i="6" s="1"/>
  <c r="R23" i="6" s="1"/>
  <c r="S23" i="6" s="1"/>
  <c r="T23" i="6" s="1"/>
  <c r="U23" i="6" s="1"/>
  <c r="V23" i="6" s="1"/>
  <c r="W23" i="6" s="1"/>
  <c r="X23" i="6" s="1"/>
  <c r="Y23" i="6" s="1"/>
  <c r="Z23" i="6" s="1"/>
  <c r="AA23" i="6" s="1"/>
  <c r="AB23" i="6" s="1"/>
  <c r="AC23" i="6" s="1"/>
  <c r="AD23" i="6" s="1"/>
  <c r="AE23" i="6" s="1"/>
  <c r="AF23" i="6" s="1"/>
  <c r="AG23" i="6" s="1"/>
  <c r="AH23" i="6" s="1"/>
  <c r="AI23" i="6" s="1"/>
  <c r="AJ23" i="6" s="1"/>
  <c r="AK23" i="6" s="1"/>
  <c r="AL23" i="6" s="1"/>
  <c r="AM23" i="6" s="1"/>
  <c r="AN23" i="6" s="1"/>
  <c r="AO23" i="6" s="1"/>
  <c r="AP23" i="6" s="1"/>
  <c r="AQ23" i="6" s="1"/>
  <c r="AR23" i="6" s="1"/>
  <c r="AS23" i="6" s="1"/>
  <c r="AT23" i="6" s="1"/>
  <c r="AU23" i="6" s="1"/>
  <c r="AV23" i="6" s="1"/>
  <c r="AW23" i="6" s="1"/>
  <c r="AX23" i="6" s="1"/>
  <c r="AY23" i="6" s="1"/>
  <c r="AZ23" i="6" s="1"/>
  <c r="BA23" i="6" s="1"/>
  <c r="BB23" i="6" s="1"/>
  <c r="BC23" i="6" s="1"/>
  <c r="BD23" i="6" s="1"/>
  <c r="BE23" i="6" s="1"/>
  <c r="BF23" i="6" s="1"/>
  <c r="BG23" i="6" s="1"/>
  <c r="BH23" i="6" s="1"/>
  <c r="BI23" i="6" s="1"/>
  <c r="BJ23" i="6" s="1"/>
  <c r="BK23" i="6" s="1"/>
  <c r="BL23" i="6" s="1"/>
  <c r="BM23" i="6" s="1"/>
  <c r="BN23" i="6" s="1"/>
  <c r="BO23" i="6" s="1"/>
  <c r="BP23" i="6" s="1"/>
  <c r="BQ23" i="6" s="1"/>
  <c r="BR23" i="6" s="1"/>
  <c r="BS23" i="6" s="1"/>
  <c r="BT23" i="6" s="1"/>
  <c r="BU23" i="6" s="1"/>
  <c r="BV23" i="6" s="1"/>
  <c r="BW23" i="6" s="1"/>
  <c r="BX23" i="6" s="1"/>
  <c r="BY23" i="6" s="1"/>
  <c r="BZ23" i="6" s="1"/>
  <c r="CA23" i="6" s="1"/>
  <c r="CB23" i="6" s="1"/>
  <c r="CC23" i="6" s="1"/>
  <c r="CD23" i="6" s="1"/>
  <c r="CE23" i="6" s="1"/>
  <c r="CF23" i="6" s="1"/>
  <c r="CG23" i="6" s="1"/>
  <c r="CH23" i="6" s="1"/>
  <c r="CI23" i="6" s="1"/>
  <c r="CJ23" i="6" s="1"/>
  <c r="CK23" i="6" s="1"/>
  <c r="CL23" i="6" s="1"/>
  <c r="CM23" i="6" s="1"/>
  <c r="CN23" i="6" s="1"/>
  <c r="CO23" i="6" s="1"/>
  <c r="CP23" i="6" s="1"/>
  <c r="CQ23" i="6" s="1"/>
  <c r="CR23" i="6" s="1"/>
  <c r="CS23" i="6" s="1"/>
  <c r="CT23" i="6" s="1"/>
  <c r="CU23" i="6" s="1"/>
  <c r="CV23" i="6" s="1"/>
  <c r="CW23" i="6" s="1"/>
  <c r="CX23" i="6" s="1"/>
  <c r="CY23" i="6" s="1"/>
  <c r="CZ23" i="6" s="1"/>
  <c r="DA23" i="6" s="1"/>
  <c r="DB23" i="6" s="1"/>
  <c r="DC23" i="6" s="1"/>
  <c r="DD23" i="6" s="1"/>
  <c r="DE23" i="6" s="1"/>
  <c r="DF23" i="6" s="1"/>
  <c r="DG23" i="6" s="1"/>
  <c r="DH23" i="6" s="1"/>
  <c r="DI23" i="6" s="1"/>
  <c r="DJ23" i="6" s="1"/>
  <c r="DK23" i="6" s="1"/>
  <c r="DL23" i="6" s="1"/>
  <c r="DM23" i="6" s="1"/>
  <c r="DN23" i="6" s="1"/>
  <c r="DO23" i="6" s="1"/>
  <c r="DP23" i="6" s="1"/>
  <c r="DQ23" i="6" s="1"/>
  <c r="DR23" i="6" s="1"/>
  <c r="DS23" i="6" s="1"/>
  <c r="DT23" i="6" s="1"/>
  <c r="DU23" i="6" s="1"/>
  <c r="DV23" i="6" s="1"/>
  <c r="DW23" i="6" s="1"/>
  <c r="DX23" i="6" s="1"/>
  <c r="DY23" i="6" s="1"/>
  <c r="DZ23" i="6" s="1"/>
  <c r="EA23" i="6" s="1"/>
  <c r="EB23" i="6" s="1"/>
  <c r="EC23" i="6" s="1"/>
  <c r="ED23" i="6" s="1"/>
  <c r="EE23" i="6" s="1"/>
  <c r="EF23" i="6" s="1"/>
  <c r="EG23" i="6" s="1"/>
  <c r="EH23" i="6" s="1"/>
  <c r="EI23" i="6" s="1"/>
  <c r="EJ23" i="6" s="1"/>
  <c r="EK23" i="6" s="1"/>
  <c r="EL23" i="6" s="1"/>
  <c r="EM23" i="6" s="1"/>
  <c r="EN23" i="6" s="1"/>
  <c r="EO23" i="6" s="1"/>
  <c r="EP23" i="6" s="1"/>
  <c r="EQ23" i="6" s="1"/>
  <c r="ER23" i="6" s="1"/>
  <c r="ES23" i="6" s="1"/>
  <c r="ET23" i="6" s="1"/>
  <c r="EU23" i="6" s="1"/>
  <c r="EV23" i="6" s="1"/>
  <c r="EW23" i="6" s="1"/>
  <c r="EX23" i="6" s="1"/>
  <c r="EY23" i="6" s="1"/>
  <c r="EZ23" i="6" s="1"/>
  <c r="FA23" i="6" s="1"/>
  <c r="FB23" i="6" s="1"/>
  <c r="FC23" i="6" s="1"/>
  <c r="FD23" i="6" s="1"/>
  <c r="FE23" i="6" s="1"/>
  <c r="FF23" i="6" s="1"/>
  <c r="FG23" i="6" s="1"/>
  <c r="FH23" i="6" s="1"/>
  <c r="FI23" i="6" s="1"/>
  <c r="FJ23" i="6" s="1"/>
  <c r="FK23" i="6" s="1"/>
  <c r="FL23" i="6" s="1"/>
  <c r="FM23" i="6" s="1"/>
  <c r="FN23" i="6" s="1"/>
  <c r="FO23" i="6" s="1"/>
  <c r="FP23" i="6" s="1"/>
  <c r="FQ23" i="6" s="1"/>
  <c r="FR23" i="6" s="1"/>
  <c r="FS23" i="6" s="1"/>
  <c r="FT23" i="6" s="1"/>
  <c r="FU23" i="6" s="1"/>
  <c r="FV23" i="6" s="1"/>
  <c r="FW23" i="6" s="1"/>
  <c r="FX23" i="6" s="1"/>
  <c r="FY23" i="6" s="1"/>
  <c r="FZ23" i="6" s="1"/>
  <c r="GA23" i="6" s="1"/>
  <c r="GB23" i="6" s="1"/>
  <c r="GC23" i="6" s="1"/>
  <c r="GD23" i="6" s="1"/>
  <c r="GE23" i="6" s="1"/>
  <c r="GF23" i="6" s="1"/>
  <c r="GG23" i="6" s="1"/>
  <c r="GH23" i="6" s="1"/>
  <c r="GI23" i="6" s="1"/>
  <c r="GJ23" i="6" s="1"/>
  <c r="GK23" i="6" s="1"/>
  <c r="GL23" i="6" s="1"/>
  <c r="GM23" i="6" s="1"/>
  <c r="GN23" i="6" s="1"/>
  <c r="GO23" i="6" s="1"/>
  <c r="GP23" i="6" s="1"/>
  <c r="GQ23" i="6" s="1"/>
  <c r="GR23" i="6" s="1"/>
  <c r="GS23" i="6" s="1"/>
  <c r="GT23" i="6" s="1"/>
  <c r="GU23" i="6" s="1"/>
  <c r="GV23" i="6" s="1"/>
  <c r="GW23" i="6" s="1"/>
  <c r="GX23" i="6" s="1"/>
  <c r="GY23" i="6" s="1"/>
  <c r="GZ23" i="6" s="1"/>
  <c r="HA23" i="6" s="1"/>
  <c r="HB23" i="6" s="1"/>
  <c r="HC23" i="6" s="1"/>
  <c r="HD23" i="6" s="1"/>
  <c r="HE23" i="6" s="1"/>
  <c r="HF23" i="6" s="1"/>
  <c r="HG23" i="6" s="1"/>
  <c r="HH23" i="6" s="1"/>
  <c r="HI23" i="6" s="1"/>
  <c r="HJ23" i="6" s="1"/>
  <c r="HK23" i="6" s="1"/>
  <c r="HL23" i="6" s="1"/>
  <c r="HM23" i="6" s="1"/>
  <c r="HN23" i="6" s="1"/>
  <c r="HO23" i="6" s="1"/>
  <c r="HP23" i="6" s="1"/>
  <c r="HQ23" i="6" s="1"/>
  <c r="HR23" i="6" s="1"/>
  <c r="HS23" i="6" s="1"/>
  <c r="HT23" i="6" s="1"/>
  <c r="HU23" i="6" s="1"/>
  <c r="HV23" i="6" s="1"/>
  <c r="HW23" i="6" s="1"/>
  <c r="HX23" i="6" s="1"/>
  <c r="HY23" i="6" s="1"/>
  <c r="HZ23" i="6" s="1"/>
  <c r="IA23" i="6" s="1"/>
  <c r="IB23" i="6" s="1"/>
  <c r="IC23" i="6" s="1"/>
  <c r="ID23" i="6" s="1"/>
  <c r="IE23" i="6" s="1"/>
  <c r="IF23" i="6" s="1"/>
  <c r="IG23" i="6" s="1"/>
  <c r="IH23" i="6" s="1"/>
  <c r="II23" i="6" s="1"/>
  <c r="IJ23" i="6" s="1"/>
  <c r="IK23" i="6" s="1"/>
  <c r="IL23" i="6" s="1"/>
  <c r="IM23" i="6" s="1"/>
  <c r="IN23" i="6" s="1"/>
  <c r="IO23" i="6" s="1"/>
  <c r="IP23" i="6" s="1"/>
  <c r="IQ23" i="6" s="1"/>
  <c r="IR23" i="6" s="1"/>
  <c r="IS23" i="6" s="1"/>
  <c r="IT23" i="6" s="1"/>
  <c r="IU23" i="6" s="1"/>
  <c r="IV23" i="6" s="1"/>
  <c r="IW23" i="6" s="1"/>
  <c r="IX23" i="6" s="1"/>
  <c r="IY23" i="6" s="1"/>
  <c r="IZ23" i="6" s="1"/>
  <c r="JA23" i="6" s="1"/>
  <c r="JB23" i="6" s="1"/>
  <c r="JC23" i="6" s="1"/>
  <c r="JD23" i="6" s="1"/>
  <c r="JE23" i="6" s="1"/>
  <c r="JF23" i="6" s="1"/>
  <c r="JG23" i="6" s="1"/>
  <c r="JH23" i="6" s="1"/>
  <c r="JI23" i="6" s="1"/>
  <c r="JJ23" i="6" s="1"/>
  <c r="JK23" i="6" s="1"/>
  <c r="JL23" i="6" s="1"/>
  <c r="JM23" i="6" s="1"/>
  <c r="JN23" i="6" s="1"/>
  <c r="JO23" i="6" s="1"/>
  <c r="JP23" i="6" s="1"/>
  <c r="JQ23" i="6" s="1"/>
  <c r="JR23" i="6" s="1"/>
  <c r="JS23" i="6" s="1"/>
  <c r="JT23" i="6" s="1"/>
  <c r="JU23" i="6" s="1"/>
  <c r="JV23" i="6" s="1"/>
  <c r="JW23" i="6" s="1"/>
  <c r="JX23" i="6" s="1"/>
  <c r="JY23" i="6" s="1"/>
  <c r="JZ23" i="6" s="1"/>
  <c r="KA23" i="6" s="1"/>
  <c r="KB23" i="6" s="1"/>
  <c r="KC23" i="6" s="1"/>
  <c r="KD23" i="6" s="1"/>
  <c r="KE23" i="6" s="1"/>
  <c r="KF23" i="6" s="1"/>
  <c r="KG23" i="6" s="1"/>
  <c r="KH23" i="6" s="1"/>
  <c r="KI23" i="6" s="1"/>
  <c r="KJ23" i="6" s="1"/>
  <c r="KK23" i="6" s="1"/>
  <c r="KL23" i="6" s="1"/>
  <c r="KM23" i="6" s="1"/>
  <c r="KN23" i="6" s="1"/>
  <c r="KO23" i="6" s="1"/>
  <c r="KP23" i="6" s="1"/>
  <c r="KQ23" i="6" s="1"/>
  <c r="KR23" i="6" s="1"/>
  <c r="KS23" i="6" s="1"/>
  <c r="KT23" i="6" s="1"/>
  <c r="KU23" i="6" s="1"/>
  <c r="KV23" i="6" s="1"/>
  <c r="KW23" i="6" s="1"/>
  <c r="KX23" i="6" s="1"/>
  <c r="KY23" i="6" s="1"/>
  <c r="KZ23" i="6" s="1"/>
  <c r="LA23" i="6" s="1"/>
  <c r="LB23" i="6" s="1"/>
  <c r="LC23" i="6" s="1"/>
  <c r="LD23" i="6" s="1"/>
  <c r="LE23" i="6" s="1"/>
  <c r="LF23" i="6" s="1"/>
  <c r="LG23" i="6" s="1"/>
  <c r="LH23" i="6" s="1"/>
  <c r="LI23" i="6" s="1"/>
  <c r="LJ23" i="6" s="1"/>
  <c r="LK23" i="6" s="1"/>
  <c r="LL23" i="6" s="1"/>
  <c r="LM23" i="6" s="1"/>
  <c r="LN23" i="6" s="1"/>
  <c r="LO23" i="6" s="1"/>
  <c r="LP23" i="6" s="1"/>
  <c r="LQ23" i="6" s="1"/>
  <c r="LR23" i="6" s="1"/>
  <c r="LS23" i="6" s="1"/>
  <c r="LT23" i="6" s="1"/>
  <c r="LU23" i="6" s="1"/>
  <c r="LV23" i="6" s="1"/>
  <c r="LW23" i="6" s="1"/>
  <c r="LX23" i="6" s="1"/>
  <c r="LY23" i="6" s="1"/>
  <c r="LZ23" i="6" s="1"/>
  <c r="MA23" i="6" s="1"/>
  <c r="MB23" i="6" s="1"/>
  <c r="MC23" i="6" s="1"/>
  <c r="MD23" i="6" s="1"/>
  <c r="ME23" i="6" s="1"/>
  <c r="MF23" i="6" s="1"/>
  <c r="MG23" i="6" s="1"/>
  <c r="MH23" i="6" s="1"/>
  <c r="MI23" i="6" s="1"/>
  <c r="MJ23" i="6" s="1"/>
  <c r="MK23" i="6" s="1"/>
  <c r="ML23" i="6" s="1"/>
  <c r="MM23" i="6" s="1"/>
  <c r="MN23" i="6" s="1"/>
  <c r="MO23" i="6" s="1"/>
  <c r="MP23" i="6" s="1"/>
  <c r="MQ23" i="6" s="1"/>
  <c r="MR23" i="6" s="1"/>
  <c r="MS23" i="6" s="1"/>
  <c r="MT23" i="6" s="1"/>
  <c r="MU23" i="6" s="1"/>
  <c r="MV23" i="6" s="1"/>
  <c r="MW23" i="6" s="1"/>
  <c r="MX23" i="6" s="1"/>
  <c r="C20" i="6"/>
  <c r="G7" i="1" a="1"/>
  <c r="G7" i="1"/>
  <c r="G10" i="1" a="1"/>
  <c r="G10" i="1"/>
  <c r="G4" i="1" a="1"/>
  <c r="G4" i="1"/>
  <c r="G9" i="1" a="1"/>
  <c r="G9" i="1"/>
  <c r="G8" i="1" a="1"/>
  <c r="G8" i="1"/>
  <c r="G11" i="1" a="1"/>
  <c r="G11" i="1"/>
  <c r="G12" i="1" a="1"/>
  <c r="G12" i="1"/>
  <c r="G15" i="1" a="1"/>
  <c r="G15" i="1"/>
  <c r="G13" i="1" a="1"/>
  <c r="G13" i="1"/>
  <c r="G14" i="1" a="1"/>
  <c r="G14" i="1"/>
  <c r="G16" i="1" a="1"/>
  <c r="G16" i="1"/>
  <c r="G17" i="1" a="1"/>
  <c r="G17" i="1"/>
  <c r="G18" i="1" a="1"/>
  <c r="G18" i="1"/>
  <c r="G19" i="1" a="1"/>
  <c r="G19" i="1"/>
  <c r="G20" i="1" a="1"/>
  <c r="G20" i="1"/>
  <c r="G21" i="1" a="1"/>
  <c r="G21" i="1"/>
  <c r="G22" i="1" a="1"/>
  <c r="G22" i="1"/>
  <c r="G25" i="1" a="1"/>
  <c r="G25" i="1"/>
  <c r="G24" i="1" a="1"/>
  <c r="G24" i="1"/>
  <c r="G23" i="1" a="1"/>
  <c r="G23" i="1"/>
  <c r="G26" i="1" a="1"/>
  <c r="G26" i="1"/>
  <c r="G27" i="1" a="1"/>
  <c r="G27" i="1"/>
  <c r="G28" i="1" a="1"/>
  <c r="G28" i="1"/>
  <c r="G29" i="1" a="1"/>
  <c r="G29" i="1"/>
  <c r="G30" i="1" a="1"/>
  <c r="G30" i="1"/>
  <c r="G32" i="1" a="1"/>
  <c r="G32" i="1"/>
  <c r="G33" i="1" a="1"/>
  <c r="G33" i="1"/>
  <c r="G31" i="1" a="1"/>
  <c r="G31" i="1"/>
  <c r="G34" i="1" a="1"/>
  <c r="G34" i="1"/>
  <c r="G36" i="1" a="1"/>
  <c r="G36" i="1"/>
  <c r="G35" i="1" a="1"/>
  <c r="G35" i="1"/>
  <c r="G37" i="1" a="1"/>
  <c r="G37" i="1"/>
  <c r="G38" i="1" a="1"/>
  <c r="G38" i="1"/>
  <c r="G40" i="1" a="1"/>
  <c r="G40" i="1"/>
  <c r="G39" i="1" a="1"/>
  <c r="G39" i="1"/>
  <c r="G41" i="1" a="1"/>
  <c r="G41" i="1"/>
  <c r="G42" i="1" a="1"/>
  <c r="G42" i="1"/>
  <c r="G43" i="1" a="1"/>
  <c r="G43" i="1"/>
  <c r="G46" i="1" a="1"/>
  <c r="G46" i="1"/>
  <c r="G44" i="1" a="1"/>
  <c r="G44" i="1"/>
  <c r="G45" i="1" a="1"/>
  <c r="G45" i="1"/>
  <c r="G49" i="1" a="1"/>
  <c r="G49" i="1"/>
  <c r="G47" i="1" a="1"/>
  <c r="G47" i="1"/>
  <c r="G48" i="1" a="1"/>
  <c r="G48" i="1"/>
  <c r="G50" i="1" a="1"/>
  <c r="G50" i="1"/>
  <c r="G52" i="1" a="1"/>
  <c r="G52" i="1"/>
  <c r="G51" i="1" a="1"/>
  <c r="G51" i="1"/>
  <c r="G54" i="1" a="1"/>
  <c r="G54" i="1"/>
  <c r="G53" i="1" a="1"/>
  <c r="G53" i="1"/>
  <c r="G55" i="1" a="1"/>
  <c r="G55" i="1"/>
  <c r="G56" i="1" a="1"/>
  <c r="G56" i="1"/>
  <c r="G59" i="1" a="1"/>
  <c r="G59" i="1"/>
  <c r="G57" i="1" a="1"/>
  <c r="G57" i="1"/>
  <c r="G58" i="1" a="1"/>
  <c r="G58" i="1"/>
  <c r="G60" i="1" a="1"/>
  <c r="G60" i="1"/>
  <c r="G61" i="1" a="1"/>
  <c r="G61" i="1"/>
  <c r="G62" i="1" a="1"/>
  <c r="G62" i="1"/>
  <c r="G63" i="1" a="1"/>
  <c r="G63" i="1"/>
  <c r="G67" i="1" a="1"/>
  <c r="G67" i="1"/>
  <c r="G64" i="1" a="1"/>
  <c r="G64" i="1"/>
  <c r="G65" i="1" a="1"/>
  <c r="G65" i="1"/>
  <c r="G66" i="1" a="1"/>
  <c r="G66" i="1"/>
  <c r="G68" i="1" a="1"/>
  <c r="G68" i="1"/>
  <c r="G69" i="1" a="1"/>
  <c r="G69" i="1"/>
  <c r="G70" i="1" a="1"/>
  <c r="G70" i="1"/>
  <c r="G71" i="1" a="1"/>
  <c r="G71" i="1"/>
  <c r="G72" i="1" a="1"/>
  <c r="G72" i="1"/>
  <c r="G73" i="1" a="1"/>
  <c r="G73" i="1"/>
  <c r="G74" i="1" a="1"/>
  <c r="G74" i="1"/>
  <c r="G75" i="1" a="1"/>
  <c r="G75" i="1"/>
  <c r="G76" i="1" a="1"/>
  <c r="G76" i="1"/>
  <c r="G78" i="1" a="1"/>
  <c r="G78" i="1"/>
  <c r="G77" i="1" a="1"/>
  <c r="G77" i="1"/>
  <c r="G79" i="1" a="1"/>
  <c r="G79" i="1"/>
  <c r="G80" i="1" a="1"/>
  <c r="G80" i="1"/>
  <c r="G82" i="1" a="1"/>
  <c r="G82" i="1"/>
  <c r="G81" i="1" a="1"/>
  <c r="G81" i="1"/>
  <c r="G83" i="1" a="1"/>
  <c r="G83" i="1"/>
  <c r="G84" i="1" a="1"/>
  <c r="G84" i="1"/>
  <c r="G85" i="1" a="1"/>
  <c r="G85" i="1"/>
  <c r="G86" i="1" a="1"/>
  <c r="G86" i="1"/>
  <c r="G87" i="1" a="1"/>
  <c r="G87" i="1"/>
  <c r="G88" i="1" a="1"/>
  <c r="G88" i="1"/>
  <c r="G89" i="1" a="1"/>
  <c r="G89" i="1"/>
  <c r="G90" i="1" a="1"/>
  <c r="G90" i="1"/>
  <c r="G91" i="1" a="1"/>
  <c r="G91" i="1"/>
  <c r="G92" i="1" a="1"/>
  <c r="G92" i="1"/>
  <c r="G93" i="1" a="1"/>
  <c r="G93" i="1"/>
  <c r="G94" i="1" a="1"/>
  <c r="G94" i="1"/>
  <c r="G97" i="1" a="1"/>
  <c r="G97" i="1"/>
  <c r="G96" i="1" a="1"/>
  <c r="G96" i="1"/>
  <c r="G95" i="1" a="1"/>
  <c r="G95" i="1"/>
  <c r="G98" i="1" a="1"/>
  <c r="G98" i="1"/>
  <c r="G99" i="1" a="1"/>
  <c r="G99" i="1"/>
  <c r="G100" i="1" a="1"/>
  <c r="G100" i="1"/>
  <c r="G101" i="1" a="1"/>
  <c r="G101" i="1"/>
  <c r="G103" i="1" a="1"/>
  <c r="G103" i="1"/>
  <c r="G104" i="1" a="1"/>
  <c r="G104" i="1"/>
  <c r="G102" i="1" a="1"/>
  <c r="G102" i="1"/>
  <c r="G105" i="1" a="1"/>
  <c r="G105" i="1"/>
  <c r="G106" i="1" a="1"/>
  <c r="G106" i="1"/>
  <c r="G107" i="1" a="1"/>
  <c r="G107" i="1"/>
  <c r="G108" i="1" a="1"/>
  <c r="G108" i="1"/>
  <c r="G110" i="1" a="1"/>
  <c r="G110" i="1"/>
  <c r="G109" i="1" a="1"/>
  <c r="G109" i="1"/>
  <c r="G112" i="1" a="1"/>
  <c r="G112" i="1"/>
  <c r="G111" i="1" a="1"/>
  <c r="G111" i="1"/>
  <c r="G113" i="1" a="1"/>
  <c r="G113" i="1"/>
  <c r="G114" i="1" a="1"/>
  <c r="G114" i="1"/>
  <c r="G115" i="1" a="1"/>
  <c r="G115" i="1"/>
  <c r="G116" i="1" a="1"/>
  <c r="G116" i="1"/>
  <c r="G117" i="1" a="1"/>
  <c r="G117" i="1"/>
  <c r="G118" i="1" a="1"/>
  <c r="G118" i="1"/>
  <c r="G119" i="1" a="1"/>
  <c r="G119" i="1"/>
  <c r="G121" i="1" a="1"/>
  <c r="G121" i="1"/>
  <c r="G120" i="1" a="1"/>
  <c r="G120" i="1"/>
  <c r="G122" i="1" a="1"/>
  <c r="G122" i="1"/>
  <c r="G123" i="1" a="1"/>
  <c r="G123" i="1"/>
  <c r="G124" i="1" a="1"/>
  <c r="G124" i="1"/>
  <c r="G125" i="1" a="1"/>
  <c r="G125" i="1"/>
  <c r="G126" i="1" a="1"/>
  <c r="G126" i="1"/>
  <c r="G128" i="1" a="1"/>
  <c r="G128" i="1"/>
  <c r="G127" i="1" a="1"/>
  <c r="G127" i="1"/>
  <c r="G129" i="1" a="1"/>
  <c r="G129" i="1"/>
  <c r="G131" i="1" a="1"/>
  <c r="G131" i="1"/>
  <c r="G133" i="1" a="1"/>
  <c r="G133" i="1"/>
  <c r="G130" i="1" a="1"/>
  <c r="G130" i="1"/>
  <c r="G132" i="1" a="1"/>
  <c r="G132" i="1"/>
  <c r="G134" i="1" a="1"/>
  <c r="G134" i="1"/>
  <c r="G135" i="1" a="1"/>
  <c r="G135" i="1"/>
  <c r="G136" i="1" a="1"/>
  <c r="G136" i="1"/>
  <c r="G137" i="1" a="1"/>
  <c r="G137" i="1"/>
  <c r="G138" i="1" a="1"/>
  <c r="G138" i="1"/>
  <c r="G139" i="1" a="1"/>
  <c r="G139" i="1"/>
  <c r="G141" i="1" a="1"/>
  <c r="G141" i="1"/>
  <c r="G140" i="1" a="1"/>
  <c r="G140" i="1"/>
  <c r="G143" i="1" a="1"/>
  <c r="G143" i="1"/>
  <c r="G142" i="1" a="1"/>
  <c r="G142" i="1"/>
  <c r="G145" i="1" a="1"/>
  <c r="G145" i="1"/>
  <c r="G144" i="1" a="1"/>
  <c r="G144" i="1"/>
  <c r="G146" i="1" a="1"/>
  <c r="G146" i="1"/>
  <c r="G147" i="1" a="1"/>
  <c r="G147" i="1"/>
  <c r="G150" i="1" a="1"/>
  <c r="G150" i="1"/>
  <c r="G148" i="1" a="1"/>
  <c r="G148" i="1"/>
  <c r="G149" i="1" a="1"/>
  <c r="G149" i="1"/>
  <c r="G151" i="1" a="1"/>
  <c r="G151" i="1"/>
  <c r="G152" i="1" a="1"/>
  <c r="G152" i="1"/>
  <c r="G153" i="1" a="1"/>
  <c r="G153" i="1"/>
  <c r="G154" i="1" a="1"/>
  <c r="G154" i="1"/>
  <c r="G158" i="1" a="1"/>
  <c r="G158" i="1"/>
  <c r="G156" i="1" a="1"/>
  <c r="G156" i="1"/>
  <c r="G157" i="1" a="1"/>
  <c r="G157" i="1"/>
  <c r="G155" i="1" a="1"/>
  <c r="G155" i="1"/>
  <c r="G160" i="1" a="1"/>
  <c r="G160" i="1"/>
  <c r="G159" i="1" a="1"/>
  <c r="G159" i="1"/>
  <c r="G163" i="1" a="1"/>
  <c r="G163" i="1"/>
  <c r="G161" i="1" a="1"/>
  <c r="G161" i="1"/>
  <c r="G162" i="1" a="1"/>
  <c r="G162" i="1"/>
  <c r="G164" i="1" a="1"/>
  <c r="G164" i="1"/>
  <c r="G165" i="1" a="1"/>
  <c r="G165" i="1"/>
  <c r="G166" i="1" a="1"/>
  <c r="G166" i="1"/>
  <c r="G168" i="1" a="1"/>
  <c r="G168" i="1"/>
  <c r="G167" i="1" a="1"/>
  <c r="G167" i="1"/>
  <c r="G169" i="1" a="1"/>
  <c r="G169" i="1"/>
  <c r="G170" i="1" a="1"/>
  <c r="G170" i="1"/>
  <c r="G171" i="1" a="1"/>
  <c r="G171" i="1"/>
  <c r="G172" i="1" a="1"/>
  <c r="G172" i="1"/>
  <c r="G174" i="1" a="1"/>
  <c r="G174" i="1"/>
  <c r="G173" i="1" a="1"/>
  <c r="G173" i="1"/>
  <c r="G175" i="1" a="1"/>
  <c r="G175" i="1"/>
  <c r="G177" i="1" a="1"/>
  <c r="G177" i="1"/>
  <c r="G176" i="1" a="1"/>
  <c r="G176" i="1"/>
  <c r="G179" i="1" a="1"/>
  <c r="G179" i="1"/>
  <c r="G180" i="1" a="1"/>
  <c r="G180" i="1"/>
  <c r="G178" i="1" a="1"/>
  <c r="G178" i="1"/>
  <c r="G181" i="1" a="1"/>
  <c r="G181" i="1"/>
  <c r="G184" i="1" a="1"/>
  <c r="G184" i="1"/>
  <c r="G182" i="1" a="1"/>
  <c r="G182" i="1"/>
  <c r="G183" i="1" a="1"/>
  <c r="G183" i="1"/>
  <c r="G185" i="1" a="1"/>
  <c r="G185" i="1"/>
  <c r="G186" i="1" a="1"/>
  <c r="G186" i="1"/>
  <c r="G187" i="1" a="1"/>
  <c r="G187" i="1"/>
  <c r="G189" i="1" a="1"/>
  <c r="G189" i="1"/>
  <c r="G188" i="1" a="1"/>
  <c r="G188" i="1"/>
  <c r="G191" i="1" a="1"/>
  <c r="G191" i="1"/>
  <c r="G190" i="1" a="1"/>
  <c r="G190" i="1"/>
  <c r="G192" i="1" a="1"/>
  <c r="G192" i="1"/>
  <c r="G193" i="1" a="1"/>
  <c r="G193" i="1"/>
  <c r="G195" i="1" a="1"/>
  <c r="G195" i="1"/>
  <c r="G194" i="1" a="1"/>
  <c r="G194" i="1"/>
  <c r="G197" i="1" a="1"/>
  <c r="G197" i="1"/>
  <c r="G199" i="1" a="1"/>
  <c r="G199" i="1"/>
  <c r="G198" i="1" a="1"/>
  <c r="G198" i="1"/>
  <c r="G196" i="1" a="1"/>
  <c r="G196" i="1"/>
  <c r="G200" i="1" a="1"/>
  <c r="G200" i="1"/>
  <c r="G201" i="1" a="1"/>
  <c r="G201" i="1"/>
  <c r="G202" i="1" a="1"/>
  <c r="G202" i="1"/>
  <c r="G204" i="1" a="1"/>
  <c r="G204" i="1"/>
  <c r="G203" i="1" a="1"/>
  <c r="G203" i="1"/>
  <c r="G205" i="1" a="1"/>
  <c r="G205" i="1"/>
  <c r="G206" i="1" a="1"/>
  <c r="G206" i="1"/>
  <c r="G208" i="1" a="1"/>
  <c r="G208" i="1"/>
  <c r="G207" i="1" a="1"/>
  <c r="G207" i="1"/>
  <c r="G209" i="1" a="1"/>
  <c r="G209" i="1"/>
  <c r="G210" i="1" a="1"/>
  <c r="G210" i="1"/>
  <c r="G212" i="1" a="1"/>
  <c r="G212" i="1"/>
  <c r="G211" i="1" a="1"/>
  <c r="G211" i="1"/>
  <c r="G213" i="1" a="1"/>
  <c r="G213" i="1"/>
  <c r="G214" i="1" a="1"/>
  <c r="G214" i="1"/>
  <c r="G215" i="1" a="1"/>
  <c r="G215" i="1"/>
  <c r="G216" i="1" a="1"/>
  <c r="G216" i="1"/>
  <c r="G217" i="1" a="1"/>
  <c r="G217" i="1"/>
  <c r="G219" i="1" a="1"/>
  <c r="G219" i="1"/>
  <c r="G218" i="1" a="1"/>
  <c r="G218" i="1"/>
  <c r="G220" i="1" a="1"/>
  <c r="G220" i="1"/>
  <c r="G222" i="1" a="1"/>
  <c r="G222" i="1"/>
  <c r="G223" i="1" a="1"/>
  <c r="G223" i="1"/>
  <c r="G221" i="1" a="1"/>
  <c r="G221" i="1"/>
  <c r="G224" i="1" a="1"/>
  <c r="G224" i="1"/>
  <c r="G226" i="1" a="1"/>
  <c r="G226" i="1"/>
  <c r="G225" i="1" a="1"/>
  <c r="G225" i="1"/>
  <c r="G227" i="1" a="1"/>
  <c r="G227" i="1"/>
  <c r="G228" i="1" a="1"/>
  <c r="G228" i="1"/>
  <c r="G229" i="1" a="1"/>
  <c r="G229" i="1"/>
  <c r="G232" i="1" a="1"/>
  <c r="G232" i="1"/>
  <c r="G231" i="1" a="1"/>
  <c r="G231" i="1"/>
  <c r="G230" i="1" a="1"/>
  <c r="G230" i="1"/>
  <c r="G233" i="1" a="1"/>
  <c r="G233" i="1"/>
  <c r="G235" i="1" a="1"/>
  <c r="G235" i="1"/>
  <c r="G234" i="1" a="1"/>
  <c r="G234" i="1"/>
  <c r="G236" i="1" a="1"/>
  <c r="G236" i="1"/>
  <c r="G239" i="1" a="1"/>
  <c r="G239" i="1"/>
  <c r="G237" i="1" a="1"/>
  <c r="G237" i="1"/>
  <c r="G238" i="1" a="1"/>
  <c r="G238" i="1"/>
  <c r="G242" i="1" a="1"/>
  <c r="G242" i="1"/>
  <c r="G240" i="1" a="1"/>
  <c r="G240" i="1"/>
  <c r="G241" i="1" a="1"/>
  <c r="G241" i="1"/>
  <c r="G243" i="1" a="1"/>
  <c r="G243" i="1"/>
  <c r="G244" i="1" a="1"/>
  <c r="G244" i="1"/>
  <c r="G245" i="1" a="1"/>
  <c r="G245" i="1"/>
  <c r="G246" i="1" a="1"/>
  <c r="G246" i="1"/>
  <c r="G247" i="1" a="1"/>
  <c r="G247" i="1"/>
  <c r="G249" i="1" a="1"/>
  <c r="G249" i="1"/>
  <c r="G250" i="1" a="1"/>
  <c r="G250" i="1"/>
  <c r="G248" i="1" a="1"/>
  <c r="G248" i="1"/>
  <c r="G251" i="1" a="1"/>
  <c r="G251" i="1"/>
  <c r="G252" i="1" a="1"/>
  <c r="G252" i="1"/>
  <c r="G253" i="1" a="1"/>
  <c r="G253" i="1"/>
  <c r="G254" i="1" a="1"/>
  <c r="G254" i="1"/>
  <c r="G255" i="1" a="1"/>
  <c r="G255" i="1"/>
  <c r="G256" i="1" a="1"/>
  <c r="G256" i="1"/>
  <c r="G257" i="1" a="1"/>
  <c r="G257" i="1"/>
  <c r="G258" i="1" a="1"/>
  <c r="G258" i="1"/>
  <c r="G259" i="1" a="1"/>
  <c r="G259" i="1"/>
  <c r="G262" i="1" a="1"/>
  <c r="G262" i="1"/>
  <c r="G260" i="1" a="1"/>
  <c r="G260" i="1"/>
  <c r="G261" i="1" a="1"/>
  <c r="G261" i="1"/>
  <c r="G263" i="1" a="1"/>
  <c r="G263" i="1"/>
  <c r="G266" i="1" a="1"/>
  <c r="G266" i="1"/>
  <c r="G264" i="1" a="1"/>
  <c r="G264" i="1"/>
  <c r="G268" i="1" a="1"/>
  <c r="G268" i="1"/>
  <c r="G267" i="1" a="1"/>
  <c r="G267" i="1"/>
  <c r="G265" i="1" a="1"/>
  <c r="G265" i="1"/>
  <c r="G269" i="1" a="1"/>
  <c r="G269" i="1"/>
  <c r="G273" i="1" a="1"/>
  <c r="G273" i="1"/>
  <c r="G270" i="1" a="1"/>
  <c r="G270" i="1"/>
  <c r="G271" i="1" a="1"/>
  <c r="G271" i="1"/>
  <c r="G272" i="1" a="1"/>
  <c r="G272" i="1"/>
  <c r="G274" i="1" a="1"/>
  <c r="G274" i="1"/>
  <c r="G275" i="1" a="1"/>
  <c r="G275" i="1"/>
  <c r="G276" i="1" a="1"/>
  <c r="G276" i="1"/>
  <c r="G277" i="1" a="1"/>
  <c r="G277" i="1"/>
  <c r="G278" i="1" a="1"/>
  <c r="G278" i="1"/>
  <c r="G279" i="1" a="1"/>
  <c r="G279" i="1"/>
  <c r="G280" i="1" a="1"/>
  <c r="G280" i="1"/>
  <c r="G281" i="1" a="1"/>
  <c r="G281" i="1"/>
  <c r="G282" i="1" a="1"/>
  <c r="G282" i="1"/>
  <c r="G285" i="1" a="1"/>
  <c r="G285" i="1"/>
  <c r="G286" i="1" a="1"/>
  <c r="G286" i="1"/>
  <c r="G283" i="1" a="1"/>
  <c r="G283" i="1"/>
  <c r="G284" i="1" a="1"/>
  <c r="G284" i="1"/>
  <c r="G287" i="1" a="1"/>
  <c r="G287" i="1"/>
  <c r="G288" i="1" a="1"/>
  <c r="G288" i="1"/>
  <c r="G289" i="1" a="1"/>
  <c r="G289" i="1"/>
  <c r="G290" i="1" a="1"/>
  <c r="G290" i="1"/>
  <c r="G291" i="1" a="1"/>
  <c r="G291" i="1"/>
  <c r="G292" i="1" a="1"/>
  <c r="G292" i="1"/>
  <c r="G293" i="1" a="1"/>
  <c r="G293" i="1"/>
  <c r="G294" i="1" a="1"/>
  <c r="G294" i="1"/>
  <c r="G295" i="1" a="1"/>
  <c r="G295" i="1"/>
  <c r="G297" i="1" a="1"/>
  <c r="G297" i="1"/>
  <c r="G299" i="1" a="1"/>
  <c r="G299" i="1"/>
  <c r="G298" i="1" a="1"/>
  <c r="G298" i="1"/>
  <c r="G296" i="1" a="1"/>
  <c r="G296" i="1"/>
  <c r="G302" i="1" a="1"/>
  <c r="G302" i="1"/>
  <c r="G306" i="1" a="1"/>
  <c r="G306" i="1"/>
  <c r="G304" i="1" a="1"/>
  <c r="G304" i="1"/>
  <c r="G305" i="1" a="1"/>
  <c r="G305" i="1"/>
  <c r="G303" i="1" a="1"/>
  <c r="G303" i="1"/>
  <c r="G301" i="1" a="1"/>
  <c r="G301" i="1"/>
  <c r="G300" i="1" a="1"/>
  <c r="G300" i="1"/>
  <c r="G307" i="1" a="1"/>
  <c r="G307" i="1"/>
  <c r="G308" i="1" a="1"/>
  <c r="G308" i="1"/>
  <c r="G310" i="1" a="1"/>
  <c r="G310" i="1"/>
  <c r="G309" i="1" a="1"/>
  <c r="G309" i="1"/>
  <c r="G311" i="1" a="1"/>
  <c r="G311" i="1"/>
  <c r="G312" i="1" a="1"/>
  <c r="G312" i="1"/>
  <c r="G313" i="1" a="1"/>
  <c r="G313" i="1"/>
  <c r="G314" i="1" a="1"/>
  <c r="G314" i="1"/>
  <c r="G315" i="1" a="1"/>
  <c r="G315" i="1"/>
  <c r="G316" i="1" a="1"/>
  <c r="G316" i="1"/>
  <c r="G317" i="1" a="1"/>
  <c r="G317" i="1"/>
  <c r="G318" i="1" a="1"/>
  <c r="G318" i="1"/>
  <c r="G319" i="1" a="1"/>
  <c r="G319" i="1"/>
  <c r="G320" i="1" a="1"/>
  <c r="G320" i="1"/>
  <c r="G323" i="1" a="1"/>
  <c r="G323" i="1"/>
  <c r="G322" i="1" a="1"/>
  <c r="G322" i="1"/>
  <c r="G321" i="1" a="1"/>
  <c r="G321" i="1"/>
  <c r="G325" i="1" a="1"/>
  <c r="G325" i="1"/>
  <c r="G324" i="1" a="1"/>
  <c r="G324" i="1"/>
  <c r="G326" i="1" a="1"/>
  <c r="G326" i="1"/>
  <c r="G327" i="1" a="1"/>
  <c r="G327" i="1"/>
  <c r="G328" i="1" a="1"/>
  <c r="G328" i="1"/>
  <c r="G330" i="1" a="1"/>
  <c r="G330" i="1"/>
  <c r="G329" i="1" a="1"/>
  <c r="G329" i="1"/>
  <c r="G331" i="1" a="1"/>
  <c r="G331" i="1"/>
  <c r="G333" i="1" a="1"/>
  <c r="G333" i="1"/>
  <c r="G332" i="1" a="1"/>
  <c r="G332" i="1"/>
  <c r="G335" i="1" a="1"/>
  <c r="G335" i="1"/>
  <c r="G334" i="1" a="1"/>
  <c r="G334" i="1"/>
  <c r="G336" i="1" a="1"/>
  <c r="G336" i="1"/>
  <c r="G339" i="1" a="1"/>
  <c r="G339" i="1"/>
  <c r="G338" i="1" a="1"/>
  <c r="G338" i="1"/>
  <c r="G337" i="1" a="1"/>
  <c r="G337" i="1"/>
  <c r="G341" i="1" a="1"/>
  <c r="G341" i="1"/>
  <c r="G340" i="1" a="1"/>
  <c r="G340" i="1"/>
  <c r="G344" i="1" a="1"/>
  <c r="G344" i="1"/>
  <c r="G345" i="1" a="1"/>
  <c r="G345" i="1"/>
  <c r="G342" i="1" a="1"/>
  <c r="G342" i="1"/>
  <c r="G343" i="1" a="1"/>
  <c r="G343" i="1"/>
  <c r="G347" i="1" a="1"/>
  <c r="G347" i="1"/>
  <c r="G346" i="1" a="1"/>
  <c r="G346" i="1"/>
  <c r="G353" i="1" a="1"/>
  <c r="G353" i="1"/>
  <c r="G352" i="1" a="1"/>
  <c r="G352" i="1"/>
  <c r="G348" i="1" a="1"/>
  <c r="G348" i="1"/>
  <c r="G350" i="1" a="1"/>
  <c r="G350" i="1"/>
  <c r="G351" i="1" a="1"/>
  <c r="G351" i="1"/>
  <c r="G349" i="1" a="1"/>
  <c r="G349" i="1"/>
  <c r="G354" i="1" a="1"/>
  <c r="G354" i="1"/>
  <c r="G355" i="1" a="1"/>
  <c r="G355" i="1"/>
  <c r="G356" i="1" a="1"/>
  <c r="G356" i="1"/>
  <c r="G357" i="1" a="1"/>
  <c r="G357" i="1"/>
  <c r="G359" i="1" a="1"/>
  <c r="G359" i="1"/>
  <c r="G358" i="1" a="1"/>
  <c r="G358" i="1"/>
  <c r="G360" i="1" a="1"/>
  <c r="G360" i="1"/>
  <c r="G362" i="1" a="1"/>
  <c r="G362" i="1"/>
  <c r="G361" i="1" a="1"/>
  <c r="G361" i="1"/>
  <c r="G363" i="1" a="1"/>
  <c r="G363" i="1"/>
  <c r="G365" i="1" a="1"/>
  <c r="G365" i="1"/>
  <c r="G364" i="1" a="1"/>
  <c r="G364" i="1"/>
  <c r="G366" i="1" a="1"/>
  <c r="G366" i="1"/>
  <c r="G367" i="1" a="1"/>
  <c r="G367" i="1"/>
  <c r="G368" i="1" a="1"/>
  <c r="G368" i="1"/>
  <c r="G369" i="1" a="1"/>
  <c r="G369" i="1"/>
  <c r="G370" i="1" a="1"/>
  <c r="G370" i="1"/>
  <c r="G371" i="1" a="1"/>
  <c r="G371" i="1"/>
  <c r="G372" i="1" a="1"/>
  <c r="G372" i="1"/>
  <c r="G373" i="1" a="1"/>
  <c r="G373" i="1"/>
  <c r="G376" i="1" a="1"/>
  <c r="G376" i="1"/>
  <c r="G374" i="1" a="1"/>
  <c r="G374" i="1"/>
  <c r="G375" i="1" a="1"/>
  <c r="G375" i="1"/>
  <c r="G377" i="1" a="1"/>
  <c r="G377" i="1"/>
  <c r="G379" i="1" a="1"/>
  <c r="G379" i="1"/>
  <c r="G378" i="1" a="1"/>
  <c r="G378" i="1"/>
  <c r="G380" i="1" a="1"/>
  <c r="G380" i="1"/>
  <c r="G381" i="1" a="1"/>
  <c r="G381" i="1"/>
  <c r="G383" i="1" a="1"/>
  <c r="G383" i="1"/>
  <c r="G382" i="1" a="1"/>
  <c r="G382" i="1"/>
  <c r="G384" i="1" a="1"/>
  <c r="G384" i="1"/>
  <c r="G386" i="1" a="1"/>
  <c r="G386" i="1"/>
  <c r="G385" i="1" a="1"/>
  <c r="G385" i="1"/>
  <c r="G387" i="1" a="1"/>
  <c r="G387" i="1"/>
  <c r="G388" i="1" a="1"/>
  <c r="G388" i="1"/>
  <c r="G389" i="1" a="1"/>
  <c r="G389" i="1"/>
  <c r="G391" i="1" a="1"/>
  <c r="G391" i="1"/>
  <c r="G390" i="1" a="1"/>
  <c r="G390" i="1"/>
  <c r="G392" i="1" a="1"/>
  <c r="G392" i="1"/>
  <c r="G393" i="1" a="1"/>
  <c r="G393" i="1"/>
  <c r="G394" i="1" a="1"/>
  <c r="G394" i="1"/>
  <c r="G395" i="1" a="1"/>
  <c r="G395" i="1"/>
  <c r="G396" i="1" a="1"/>
  <c r="G396" i="1"/>
  <c r="G397" i="1" a="1"/>
  <c r="G397" i="1"/>
  <c r="G399" i="1" a="1"/>
  <c r="G399" i="1"/>
  <c r="G398" i="1" a="1"/>
  <c r="G398" i="1"/>
  <c r="G400" i="1" a="1"/>
  <c r="G400" i="1"/>
  <c r="G401" i="1" a="1"/>
  <c r="G401" i="1"/>
  <c r="G402" i="1" a="1"/>
  <c r="G402" i="1"/>
  <c r="G403" i="1" a="1"/>
  <c r="G403" i="1"/>
  <c r="G404" i="1" a="1"/>
  <c r="G404" i="1"/>
  <c r="G406" i="1" a="1"/>
  <c r="G406" i="1"/>
  <c r="G405" i="1" a="1"/>
  <c r="G405" i="1"/>
  <c r="G407" i="1" a="1"/>
  <c r="G407" i="1"/>
  <c r="G410" i="1" a="1"/>
  <c r="G410" i="1"/>
  <c r="G409" i="1" a="1"/>
  <c r="G409" i="1"/>
  <c r="G408" i="1" a="1"/>
  <c r="G408" i="1"/>
  <c r="G412" i="1" a="1"/>
  <c r="G412" i="1"/>
  <c r="G411" i="1" a="1"/>
  <c r="G411" i="1"/>
  <c r="G413" i="1" a="1"/>
  <c r="G413" i="1"/>
  <c r="G416" i="1" a="1"/>
  <c r="G416" i="1"/>
  <c r="G414" i="1" a="1"/>
  <c r="G414" i="1"/>
  <c r="G415" i="1" a="1"/>
  <c r="G415" i="1"/>
  <c r="G417" i="1" a="1"/>
  <c r="G417" i="1"/>
  <c r="G418" i="1" a="1"/>
  <c r="G418" i="1"/>
  <c r="G419" i="1" a="1"/>
  <c r="G419" i="1"/>
  <c r="G420" i="1" a="1"/>
  <c r="G420" i="1"/>
  <c r="G423" i="1" a="1"/>
  <c r="G423" i="1"/>
  <c r="G422" i="1" a="1"/>
  <c r="G422" i="1"/>
  <c r="G421" i="1" a="1"/>
  <c r="G421" i="1"/>
  <c r="G424" i="1" a="1"/>
  <c r="G424" i="1"/>
  <c r="G426" i="1" a="1"/>
  <c r="G426" i="1"/>
  <c r="G425" i="1" a="1"/>
  <c r="G425" i="1"/>
  <c r="G428" i="1" a="1"/>
  <c r="G428" i="1"/>
  <c r="G429" i="1" a="1"/>
  <c r="G429" i="1"/>
  <c r="G427" i="1" a="1"/>
  <c r="G427" i="1"/>
  <c r="G430" i="1" a="1"/>
  <c r="G430" i="1"/>
  <c r="G431" i="1" a="1"/>
  <c r="G431" i="1"/>
  <c r="G432" i="1" a="1"/>
  <c r="G432" i="1"/>
  <c r="G433" i="1" a="1"/>
  <c r="G433" i="1"/>
  <c r="G434" i="1" a="1"/>
  <c r="G434" i="1"/>
  <c r="G437" i="1" a="1"/>
  <c r="G437" i="1"/>
  <c r="G435" i="1" a="1"/>
  <c r="G435" i="1"/>
  <c r="G436" i="1" a="1"/>
  <c r="G436" i="1"/>
  <c r="G438" i="1" a="1"/>
  <c r="G438" i="1"/>
  <c r="G439" i="1" a="1"/>
  <c r="G439" i="1"/>
  <c r="G440" i="1" a="1"/>
  <c r="G440" i="1"/>
  <c r="G441" i="1" a="1"/>
  <c r="G441" i="1"/>
  <c r="G442" i="1" a="1"/>
  <c r="G442" i="1"/>
  <c r="G446" i="1" a="1"/>
  <c r="G446" i="1"/>
  <c r="G445" i="1" a="1"/>
  <c r="G445" i="1"/>
  <c r="G443" i="1" a="1"/>
  <c r="G443" i="1"/>
  <c r="G447" i="1" a="1"/>
  <c r="G447" i="1"/>
  <c r="G444" i="1" a="1"/>
  <c r="G444" i="1"/>
  <c r="G448" i="1" a="1"/>
  <c r="G448" i="1"/>
  <c r="G450" i="1" a="1"/>
  <c r="G450" i="1"/>
  <c r="G449" i="1" a="1"/>
  <c r="G449" i="1"/>
  <c r="G451" i="1" a="1"/>
  <c r="G451" i="1"/>
  <c r="G452" i="1" a="1"/>
  <c r="G452" i="1"/>
  <c r="G453" i="1" a="1"/>
  <c r="G453" i="1"/>
  <c r="G454" i="1" a="1"/>
  <c r="G454" i="1"/>
  <c r="G455" i="1" a="1"/>
  <c r="G455" i="1"/>
  <c r="G456" i="1" a="1"/>
  <c r="G456" i="1"/>
  <c r="G457" i="1" a="1"/>
  <c r="G457" i="1"/>
  <c r="G458" i="1" a="1"/>
  <c r="G458" i="1"/>
  <c r="G459" i="1" a="1"/>
  <c r="G459" i="1"/>
  <c r="G460" i="1" a="1"/>
  <c r="G460" i="1"/>
  <c r="G461" i="1" a="1"/>
  <c r="G461" i="1"/>
  <c r="G462" i="1" a="1"/>
  <c r="G462" i="1"/>
  <c r="G463" i="1" a="1"/>
  <c r="G463" i="1"/>
  <c r="G466" i="1" a="1"/>
  <c r="G466" i="1"/>
  <c r="G465" i="1" a="1"/>
  <c r="G465" i="1"/>
  <c r="G464" i="1" a="1"/>
  <c r="G464" i="1"/>
  <c r="G467" i="1" a="1"/>
  <c r="G467" i="1"/>
  <c r="G469" i="1" a="1"/>
  <c r="G469" i="1"/>
  <c r="G470" i="1" a="1"/>
  <c r="G470" i="1"/>
  <c r="G468" i="1" a="1"/>
  <c r="G468" i="1"/>
  <c r="G472" i="1" a="1"/>
  <c r="G472" i="1"/>
  <c r="G471" i="1" a="1"/>
  <c r="G471" i="1"/>
  <c r="G473" i="1" a="1"/>
  <c r="G473" i="1"/>
  <c r="G476" i="1" a="1"/>
  <c r="G476" i="1"/>
  <c r="G474" i="1" a="1"/>
  <c r="G474" i="1"/>
  <c r="G475" i="1" a="1"/>
  <c r="G475" i="1"/>
  <c r="G478" i="1" a="1"/>
  <c r="G478" i="1"/>
  <c r="G477" i="1" a="1"/>
  <c r="G477" i="1"/>
  <c r="G481" i="1" a="1"/>
  <c r="G481" i="1"/>
  <c r="G480" i="1" a="1"/>
  <c r="G480" i="1"/>
  <c r="G479" i="1" a="1"/>
  <c r="G479" i="1"/>
  <c r="G482" i="1" a="1"/>
  <c r="G482" i="1"/>
  <c r="G484" i="1" a="1"/>
  <c r="G484" i="1"/>
  <c r="G483" i="1" a="1"/>
  <c r="G483" i="1"/>
  <c r="G486" i="1" a="1"/>
  <c r="G486" i="1"/>
  <c r="G485" i="1" a="1"/>
  <c r="G485" i="1"/>
  <c r="G488" i="1" a="1"/>
  <c r="G488" i="1"/>
  <c r="G489" i="1" a="1"/>
  <c r="G489" i="1"/>
  <c r="G487" i="1" a="1"/>
  <c r="G487" i="1"/>
  <c r="G490" i="1" a="1"/>
  <c r="G490" i="1"/>
  <c r="G491" i="1" a="1"/>
  <c r="G491" i="1"/>
  <c r="G492" i="1" a="1"/>
  <c r="G492" i="1"/>
  <c r="G493" i="1" a="1"/>
  <c r="G493" i="1"/>
  <c r="G495" i="1" a="1"/>
  <c r="G495" i="1"/>
  <c r="G494" i="1" a="1"/>
  <c r="G494" i="1"/>
  <c r="G496" i="1" a="1"/>
  <c r="G496" i="1"/>
  <c r="G497" i="1" a="1"/>
  <c r="G497" i="1"/>
  <c r="G498" i="1" a="1"/>
  <c r="G498" i="1"/>
  <c r="G499" i="1" a="1"/>
  <c r="G499" i="1"/>
  <c r="G500" i="1" a="1"/>
  <c r="G500" i="1"/>
  <c r="G501" i="1" a="1"/>
  <c r="G501" i="1"/>
  <c r="G502" i="1" a="1"/>
  <c r="G502" i="1"/>
  <c r="G503" i="1" a="1"/>
  <c r="G503" i="1"/>
  <c r="G504" i="1" a="1"/>
  <c r="G504" i="1"/>
  <c r="G506" i="1" a="1"/>
  <c r="G506" i="1"/>
  <c r="G505" i="1" a="1"/>
  <c r="G505" i="1"/>
  <c r="G507" i="1" a="1"/>
  <c r="G507" i="1"/>
  <c r="G508" i="1" a="1"/>
  <c r="G508" i="1"/>
  <c r="G509" i="1" a="1"/>
  <c r="G509" i="1"/>
  <c r="G512" i="1" a="1"/>
  <c r="G512" i="1"/>
  <c r="G511" i="1" a="1"/>
  <c r="G511" i="1"/>
  <c r="G510" i="1" a="1"/>
  <c r="G510" i="1"/>
  <c r="G513" i="1" a="1"/>
  <c r="G513" i="1"/>
  <c r="G515" i="1" a="1"/>
  <c r="G515" i="1"/>
  <c r="G514" i="1" a="1"/>
  <c r="G514" i="1"/>
  <c r="G516" i="1" a="1"/>
  <c r="G516" i="1"/>
  <c r="G517" i="1" a="1"/>
  <c r="G517" i="1"/>
  <c r="G521" i="1" a="1"/>
  <c r="G521" i="1"/>
  <c r="G518" i="1" a="1"/>
  <c r="G518" i="1"/>
  <c r="G519" i="1" a="1"/>
  <c r="G519" i="1"/>
  <c r="G520" i="1" a="1"/>
  <c r="G520" i="1"/>
  <c r="G522" i="1" a="1"/>
  <c r="G522" i="1"/>
  <c r="G524" i="1" a="1"/>
  <c r="G524" i="1"/>
  <c r="G523" i="1" a="1"/>
  <c r="G523" i="1"/>
  <c r="G527" i="1" a="1"/>
  <c r="G527" i="1"/>
  <c r="G525" i="1" a="1"/>
  <c r="G525" i="1"/>
  <c r="G526" i="1" a="1"/>
  <c r="G526" i="1"/>
  <c r="G528" i="1" a="1"/>
  <c r="G528" i="1"/>
  <c r="G529" i="1" a="1"/>
  <c r="G529" i="1"/>
  <c r="G530" i="1" a="1"/>
  <c r="G530" i="1"/>
  <c r="G532" i="1" a="1"/>
  <c r="G532" i="1"/>
  <c r="G531" i="1" a="1"/>
  <c r="G531" i="1"/>
  <c r="G534" i="1" a="1"/>
  <c r="G534" i="1"/>
  <c r="G533" i="1" a="1"/>
  <c r="G533" i="1"/>
  <c r="G536" i="1" a="1"/>
  <c r="G536" i="1"/>
  <c r="G535" i="1" a="1"/>
  <c r="G535" i="1"/>
  <c r="G537" i="1" a="1"/>
  <c r="G537" i="1"/>
  <c r="G540" i="1" a="1"/>
  <c r="G540" i="1"/>
  <c r="G539" i="1" a="1"/>
  <c r="G539" i="1"/>
  <c r="G538" i="1" a="1"/>
  <c r="G538" i="1"/>
  <c r="G541" i="1" a="1"/>
  <c r="G541" i="1"/>
  <c r="G542" i="1" a="1"/>
  <c r="G542" i="1"/>
  <c r="G544" i="1" a="1"/>
  <c r="G544" i="1"/>
  <c r="G543" i="1" a="1"/>
  <c r="G543" i="1"/>
  <c r="G545" i="1" a="1"/>
  <c r="G545" i="1"/>
  <c r="G546" i="1" a="1"/>
  <c r="G546" i="1"/>
  <c r="G549" i="1" a="1"/>
  <c r="G549" i="1"/>
  <c r="G547" i="1" a="1"/>
  <c r="G547" i="1"/>
  <c r="G548" i="1" a="1"/>
  <c r="G548" i="1"/>
  <c r="G550" i="1" a="1"/>
  <c r="G550" i="1"/>
  <c r="G551" i="1" a="1"/>
  <c r="G551" i="1"/>
  <c r="G552" i="1" a="1"/>
  <c r="G552" i="1"/>
  <c r="G553" i="1" a="1"/>
  <c r="G553" i="1"/>
  <c r="G554" i="1" a="1"/>
  <c r="G554" i="1"/>
  <c r="G555" i="1" a="1"/>
  <c r="G555" i="1"/>
  <c r="G556" i="1" a="1"/>
  <c r="G556" i="1"/>
  <c r="G557" i="1" a="1"/>
  <c r="G557" i="1"/>
  <c r="G559" i="1" a="1"/>
  <c r="G559" i="1"/>
  <c r="G560" i="1" a="1"/>
  <c r="G560" i="1"/>
  <c r="G558" i="1" a="1"/>
  <c r="G558" i="1"/>
  <c r="G562" i="1" a="1"/>
  <c r="G562" i="1"/>
  <c r="G561" i="1" a="1"/>
  <c r="G561" i="1"/>
  <c r="G563" i="1" a="1"/>
  <c r="G563" i="1"/>
  <c r="G564" i="1" a="1"/>
  <c r="G564" i="1"/>
  <c r="G566" i="1" a="1"/>
  <c r="G566" i="1"/>
  <c r="G567" i="1" a="1"/>
  <c r="G567" i="1"/>
  <c r="G565" i="1" a="1"/>
  <c r="G565" i="1"/>
  <c r="G568" i="1" a="1"/>
  <c r="G568" i="1"/>
  <c r="G569" i="1" a="1"/>
  <c r="G569" i="1"/>
  <c r="G570" i="1" a="1"/>
  <c r="G570" i="1"/>
  <c r="G571" i="1" a="1"/>
  <c r="G571" i="1"/>
  <c r="G572" i="1" a="1"/>
  <c r="G572" i="1"/>
  <c r="G574" i="1" a="1"/>
  <c r="G574" i="1"/>
  <c r="G575" i="1" a="1"/>
  <c r="G575" i="1"/>
  <c r="G573" i="1" a="1"/>
  <c r="G573" i="1"/>
  <c r="G576" i="1" a="1"/>
  <c r="G576" i="1"/>
  <c r="G580" i="1" a="1"/>
  <c r="G580" i="1"/>
  <c r="G579" i="1" a="1"/>
  <c r="G579" i="1"/>
  <c r="G577" i="1" a="1"/>
  <c r="G577" i="1"/>
  <c r="G578" i="1" a="1"/>
  <c r="G578" i="1"/>
  <c r="G581" i="1" a="1"/>
  <c r="G581" i="1"/>
  <c r="G585" i="1" a="1"/>
  <c r="G585" i="1"/>
  <c r="G582" i="1" a="1"/>
  <c r="G582" i="1"/>
  <c r="G584" i="1" a="1"/>
  <c r="G584" i="1"/>
  <c r="G583" i="1" a="1"/>
  <c r="G583" i="1"/>
  <c r="G586" i="1" a="1"/>
  <c r="G586" i="1"/>
  <c r="G589" i="1" a="1"/>
  <c r="G589" i="1"/>
  <c r="G588" i="1" a="1"/>
  <c r="G588" i="1"/>
  <c r="G587" i="1" a="1"/>
  <c r="G587" i="1"/>
  <c r="G590" i="1" a="1"/>
  <c r="G590" i="1"/>
  <c r="G591" i="1" a="1"/>
  <c r="G591" i="1"/>
  <c r="G592" i="1" a="1"/>
  <c r="G592" i="1"/>
  <c r="G593" i="1" a="1"/>
  <c r="G593" i="1"/>
  <c r="G597" i="1" a="1"/>
  <c r="G597" i="1"/>
  <c r="G594" i="1" a="1"/>
  <c r="G594" i="1"/>
  <c r="G596" i="1" a="1"/>
  <c r="G596" i="1"/>
  <c r="G595" i="1" a="1"/>
  <c r="G595" i="1"/>
  <c r="G598" i="1" a="1"/>
  <c r="G598" i="1"/>
  <c r="G599" i="1" a="1"/>
  <c r="G599" i="1"/>
  <c r="G601" i="1" a="1"/>
  <c r="G601" i="1"/>
  <c r="G600" i="1" a="1"/>
  <c r="G600" i="1"/>
  <c r="G602" i="1" a="1"/>
  <c r="G602" i="1"/>
  <c r="G603" i="1" a="1"/>
  <c r="G603" i="1"/>
  <c r="G604" i="1" a="1"/>
  <c r="G604" i="1"/>
  <c r="G605" i="1" a="1"/>
  <c r="G605" i="1"/>
  <c r="G608" i="1" a="1"/>
  <c r="G608" i="1"/>
  <c r="G609" i="1" a="1"/>
  <c r="G609" i="1"/>
  <c r="G607" i="1" a="1"/>
  <c r="G607" i="1"/>
  <c r="G606" i="1" a="1"/>
  <c r="G606" i="1"/>
  <c r="G610" i="1" a="1"/>
  <c r="G610" i="1"/>
  <c r="G612" i="1" a="1"/>
  <c r="G612" i="1"/>
  <c r="G611" i="1" a="1"/>
  <c r="G611" i="1"/>
  <c r="G613" i="1" a="1"/>
  <c r="G613" i="1"/>
  <c r="G614" i="1" a="1"/>
  <c r="G614" i="1"/>
  <c r="G618" i="1" a="1"/>
  <c r="G618" i="1"/>
  <c r="G617" i="1" a="1"/>
  <c r="G617" i="1"/>
  <c r="G616" i="1" a="1"/>
  <c r="G616" i="1"/>
  <c r="G619" i="1" a="1"/>
  <c r="G619" i="1"/>
  <c r="G615" i="1" a="1"/>
  <c r="G615" i="1"/>
  <c r="G621" i="1" a="1"/>
  <c r="G621" i="1"/>
  <c r="G620" i="1" a="1"/>
  <c r="G620" i="1"/>
  <c r="G623" i="1" a="1"/>
  <c r="G623" i="1"/>
  <c r="G622" i="1" a="1"/>
  <c r="G622" i="1"/>
  <c r="G626" i="1" a="1"/>
  <c r="G626" i="1"/>
  <c r="G625" i="1" a="1"/>
  <c r="G625" i="1"/>
  <c r="G624" i="1" a="1"/>
  <c r="G624" i="1"/>
  <c r="G628" i="1" a="1"/>
  <c r="G628" i="1"/>
  <c r="G627" i="1" a="1"/>
  <c r="G627" i="1"/>
  <c r="G629" i="1" a="1"/>
  <c r="G629" i="1"/>
  <c r="G630" i="1" a="1"/>
  <c r="G630" i="1"/>
  <c r="G632" i="1" a="1"/>
  <c r="G632" i="1"/>
  <c r="G631" i="1" a="1"/>
  <c r="G631" i="1"/>
  <c r="G633" i="1" a="1"/>
  <c r="G633" i="1"/>
  <c r="G636" i="1" a="1"/>
  <c r="G636" i="1"/>
  <c r="G634" i="1" a="1"/>
  <c r="G634" i="1"/>
  <c r="G635" i="1" a="1"/>
  <c r="G635" i="1"/>
  <c r="G637" i="1" a="1"/>
  <c r="G637" i="1"/>
  <c r="G638" i="1" a="1"/>
  <c r="G638" i="1"/>
  <c r="G639" i="1" a="1"/>
  <c r="G639" i="1"/>
  <c r="G640" i="1" a="1"/>
  <c r="G640" i="1"/>
  <c r="G643" i="1" a="1"/>
  <c r="G643" i="1"/>
  <c r="G641" i="1" a="1"/>
  <c r="G641" i="1"/>
  <c r="G642" i="1" a="1"/>
  <c r="G642" i="1"/>
  <c r="G644" i="1" a="1"/>
  <c r="G644" i="1"/>
  <c r="G646" i="1" a="1"/>
  <c r="G646" i="1"/>
  <c r="G645" i="1" a="1"/>
  <c r="G645" i="1"/>
  <c r="G647" i="1" a="1"/>
  <c r="G647" i="1"/>
  <c r="G649" i="1" a="1"/>
  <c r="G649" i="1"/>
  <c r="G648" i="1" a="1"/>
  <c r="G648" i="1"/>
  <c r="G650" i="1" a="1"/>
  <c r="G650" i="1"/>
  <c r="G651" i="1" a="1"/>
  <c r="G651" i="1"/>
  <c r="G652" i="1" a="1"/>
  <c r="G652" i="1"/>
  <c r="G653" i="1" a="1"/>
  <c r="G653" i="1"/>
  <c r="G654" i="1" a="1"/>
  <c r="G654" i="1"/>
  <c r="G657" i="1" a="1"/>
  <c r="G657" i="1"/>
  <c r="G655" i="1" a="1"/>
  <c r="G655" i="1"/>
  <c r="G656" i="1" a="1"/>
  <c r="G656" i="1"/>
  <c r="G658" i="1" a="1"/>
  <c r="G658" i="1"/>
  <c r="G661" i="1" a="1"/>
  <c r="G661" i="1"/>
  <c r="G662" i="1" a="1"/>
  <c r="G662" i="1"/>
  <c r="G663" i="1" a="1"/>
  <c r="G663" i="1"/>
  <c r="G659" i="1" a="1"/>
  <c r="G659" i="1"/>
  <c r="G660" i="1" a="1"/>
  <c r="G660" i="1"/>
  <c r="G665" i="1" a="1"/>
  <c r="G665" i="1"/>
  <c r="G664" i="1" a="1"/>
  <c r="G664" i="1"/>
  <c r="G667" i="1" a="1"/>
  <c r="G667" i="1"/>
  <c r="G666" i="1" a="1"/>
  <c r="G666" i="1"/>
  <c r="G668" i="1" a="1"/>
  <c r="G668" i="1"/>
  <c r="G671" i="1" a="1"/>
  <c r="G671" i="1"/>
  <c r="G670" i="1" a="1"/>
  <c r="G670" i="1"/>
  <c r="G669" i="1" a="1"/>
  <c r="G669" i="1"/>
  <c r="G672" i="1" a="1"/>
  <c r="G672" i="1"/>
  <c r="G673" i="1" a="1"/>
  <c r="G673" i="1"/>
  <c r="G674" i="1" a="1"/>
  <c r="G674" i="1"/>
  <c r="G675" i="1" a="1"/>
  <c r="G675" i="1"/>
  <c r="G677" i="1" a="1"/>
  <c r="G677" i="1"/>
  <c r="G676" i="1" a="1"/>
  <c r="G676" i="1"/>
  <c r="G678" i="1" a="1"/>
  <c r="G678" i="1"/>
  <c r="G681" i="1" a="1"/>
  <c r="G681" i="1"/>
  <c r="G680" i="1" a="1"/>
  <c r="G680" i="1"/>
  <c r="G679" i="1" a="1"/>
  <c r="G679" i="1"/>
  <c r="G683" i="1" a="1"/>
  <c r="G683" i="1"/>
  <c r="G682" i="1" a="1"/>
  <c r="G682" i="1"/>
  <c r="G684" i="1" a="1"/>
  <c r="G684" i="1"/>
  <c r="G685" i="1" a="1"/>
  <c r="G685" i="1"/>
  <c r="G688" i="1" a="1"/>
  <c r="G688" i="1"/>
  <c r="G686" i="1" a="1"/>
  <c r="G686" i="1"/>
  <c r="G687" i="1" a="1"/>
  <c r="G687" i="1"/>
  <c r="G690" i="1" a="1"/>
  <c r="G690" i="1"/>
  <c r="G693" i="1" a="1"/>
  <c r="G693" i="1"/>
  <c r="G692" i="1" a="1"/>
  <c r="G692" i="1"/>
  <c r="G689" i="1" a="1"/>
  <c r="G689" i="1"/>
  <c r="G691" i="1" a="1"/>
  <c r="G691" i="1"/>
  <c r="G696" i="1" a="1"/>
  <c r="G696" i="1"/>
  <c r="G695" i="1" a="1"/>
  <c r="G695" i="1"/>
  <c r="G694" i="1" a="1"/>
  <c r="G694" i="1"/>
  <c r="G697" i="1" a="1"/>
  <c r="G697" i="1"/>
  <c r="G698" i="1" a="1"/>
  <c r="G698" i="1"/>
  <c r="G699" i="1" a="1"/>
  <c r="G699" i="1"/>
  <c r="G700" i="1" a="1"/>
  <c r="G700" i="1"/>
  <c r="G701" i="1" a="1"/>
  <c r="G701" i="1"/>
  <c r="G702" i="1" a="1"/>
  <c r="G702" i="1"/>
  <c r="G703" i="1" a="1"/>
  <c r="G703" i="1"/>
  <c r="G704" i="1" a="1"/>
  <c r="G704" i="1"/>
  <c r="G705" i="1" a="1"/>
  <c r="G705" i="1"/>
  <c r="G708" i="1" a="1"/>
  <c r="G708" i="1"/>
  <c r="G709" i="1" a="1"/>
  <c r="G709" i="1"/>
  <c r="G706" i="1" a="1"/>
  <c r="G706" i="1"/>
  <c r="G707" i="1" a="1"/>
  <c r="G707" i="1"/>
  <c r="G711" i="1" a="1"/>
  <c r="G711" i="1"/>
  <c r="G710" i="1" a="1"/>
  <c r="G710" i="1"/>
  <c r="G713" i="1" a="1"/>
  <c r="G713" i="1"/>
  <c r="G712" i="1" a="1"/>
  <c r="G712" i="1"/>
  <c r="G715" i="1" a="1"/>
  <c r="G715" i="1"/>
  <c r="G714" i="1" a="1"/>
  <c r="G714" i="1"/>
  <c r="G719" i="1" a="1"/>
  <c r="G719" i="1"/>
  <c r="G718" i="1" a="1"/>
  <c r="G718" i="1"/>
  <c r="G716" i="1" a="1"/>
  <c r="G716" i="1"/>
  <c r="G717" i="1" a="1"/>
  <c r="G717" i="1"/>
  <c r="G720" i="1" a="1"/>
  <c r="G720" i="1"/>
  <c r="G721" i="1" a="1"/>
  <c r="G721" i="1"/>
  <c r="G724" i="1" a="1"/>
  <c r="G724" i="1"/>
  <c r="G723" i="1" a="1"/>
  <c r="G723" i="1"/>
  <c r="G722" i="1" a="1"/>
  <c r="G722" i="1"/>
  <c r="G725" i="1" a="1"/>
  <c r="G725" i="1"/>
  <c r="G726" i="1" a="1"/>
  <c r="G726" i="1"/>
  <c r="G727" i="1" a="1"/>
  <c r="G727" i="1"/>
  <c r="G728" i="1" a="1"/>
  <c r="G728" i="1"/>
  <c r="G729" i="1" a="1"/>
  <c r="G729" i="1"/>
  <c r="G730" i="1" a="1"/>
  <c r="G730" i="1"/>
  <c r="G732" i="1" a="1"/>
  <c r="G732" i="1"/>
  <c r="G731" i="1" a="1"/>
  <c r="G731" i="1"/>
  <c r="G734" i="1" a="1"/>
  <c r="G734" i="1"/>
  <c r="G733" i="1" a="1"/>
  <c r="G733" i="1"/>
  <c r="G737" i="1" a="1"/>
  <c r="G737" i="1"/>
  <c r="G738" i="1" a="1"/>
  <c r="G738" i="1"/>
  <c r="G736" i="1" a="1"/>
  <c r="G736" i="1"/>
  <c r="G735" i="1" a="1"/>
  <c r="G735" i="1"/>
  <c r="G742" i="1" a="1"/>
  <c r="G742" i="1"/>
  <c r="G741" i="1" a="1"/>
  <c r="G741" i="1"/>
  <c r="G740" i="1" a="1"/>
  <c r="G740" i="1"/>
  <c r="G739" i="1" a="1"/>
  <c r="G739" i="1"/>
  <c r="G743" i="1" a="1"/>
  <c r="G743" i="1"/>
  <c r="G744" i="1" a="1"/>
  <c r="G744" i="1"/>
  <c r="G745" i="1" a="1"/>
  <c r="G745" i="1"/>
  <c r="G747" i="1" a="1"/>
  <c r="G747" i="1"/>
  <c r="G746" i="1" a="1"/>
  <c r="G746" i="1"/>
  <c r="G748" i="1" a="1"/>
  <c r="G748" i="1"/>
  <c r="G749" i="1" a="1"/>
  <c r="G749" i="1"/>
  <c r="G750" i="1" a="1"/>
  <c r="G750" i="1"/>
  <c r="G752" i="1" a="1"/>
  <c r="G752" i="1"/>
  <c r="G751" i="1" a="1"/>
  <c r="G751" i="1"/>
  <c r="G753" i="1" a="1"/>
  <c r="G753" i="1"/>
  <c r="G755" i="1" a="1"/>
  <c r="G755" i="1"/>
  <c r="G754" i="1" a="1"/>
  <c r="G754" i="1"/>
  <c r="G757" i="1" a="1"/>
  <c r="G757" i="1"/>
  <c r="G756" i="1" a="1"/>
  <c r="G756" i="1"/>
  <c r="G758" i="1" a="1"/>
  <c r="G758" i="1"/>
  <c r="G759" i="1" a="1"/>
  <c r="G759" i="1"/>
  <c r="G762" i="1" a="1"/>
  <c r="G762" i="1"/>
  <c r="G761" i="1" a="1"/>
  <c r="G761" i="1"/>
  <c r="G763" i="1" a="1"/>
  <c r="G763" i="1"/>
  <c r="G760" i="1" a="1"/>
  <c r="G760" i="1"/>
  <c r="G764" i="1" a="1"/>
  <c r="G764" i="1"/>
  <c r="G765" i="1" a="1"/>
  <c r="G765" i="1"/>
  <c r="G766" i="1" a="1"/>
  <c r="G766" i="1"/>
  <c r="G767" i="1" a="1"/>
  <c r="G767" i="1"/>
  <c r="G770" i="1" a="1"/>
  <c r="G770" i="1"/>
  <c r="G771" i="1" a="1"/>
  <c r="G771" i="1"/>
  <c r="G769" i="1" a="1"/>
  <c r="G769" i="1"/>
  <c r="G772" i="1" a="1"/>
  <c r="G772" i="1"/>
  <c r="G768" i="1" a="1"/>
  <c r="G768" i="1"/>
  <c r="G773" i="1" a="1"/>
  <c r="G773" i="1"/>
  <c r="G774" i="1" a="1"/>
  <c r="G774" i="1"/>
  <c r="G776" i="1" a="1"/>
  <c r="G776" i="1"/>
  <c r="G775" i="1" a="1"/>
  <c r="G775" i="1"/>
  <c r="G777" i="1" a="1"/>
  <c r="G777" i="1"/>
  <c r="G778" i="1" a="1"/>
  <c r="G778" i="1"/>
  <c r="G779" i="1" a="1"/>
  <c r="G779" i="1"/>
  <c r="G780" i="1" a="1"/>
  <c r="G780" i="1"/>
  <c r="G781" i="1" a="1"/>
  <c r="G781" i="1"/>
  <c r="G784" i="1" a="1"/>
  <c r="G784" i="1"/>
  <c r="G785" i="1" a="1"/>
  <c r="G785" i="1"/>
  <c r="G782" i="1" a="1"/>
  <c r="G782" i="1"/>
  <c r="G783" i="1" a="1"/>
  <c r="G783" i="1"/>
  <c r="G787" i="1" a="1"/>
  <c r="G787" i="1"/>
  <c r="G788" i="1" a="1"/>
  <c r="G788" i="1"/>
  <c r="G786" i="1" a="1"/>
  <c r="G786" i="1"/>
  <c r="G790" i="1" a="1"/>
  <c r="G790" i="1"/>
  <c r="G789" i="1" a="1"/>
  <c r="G789" i="1"/>
  <c r="G791" i="1" a="1"/>
  <c r="G791" i="1"/>
  <c r="G792" i="1" a="1"/>
  <c r="G792" i="1"/>
  <c r="G793" i="1" a="1"/>
  <c r="G793" i="1"/>
  <c r="G794" i="1" a="1"/>
  <c r="G794" i="1"/>
  <c r="G795" i="1" a="1"/>
  <c r="G795" i="1"/>
  <c r="G796" i="1" a="1"/>
  <c r="G796" i="1"/>
  <c r="G797" i="1" a="1"/>
  <c r="G797" i="1"/>
  <c r="G799" i="1" a="1"/>
  <c r="G799" i="1"/>
  <c r="G798" i="1" a="1"/>
  <c r="G798" i="1"/>
  <c r="G801" i="1" a="1"/>
  <c r="G801" i="1"/>
  <c r="G802" i="1" a="1"/>
  <c r="G802" i="1"/>
  <c r="G800" i="1" a="1"/>
  <c r="G800" i="1"/>
  <c r="G804" i="1" a="1"/>
  <c r="G804" i="1"/>
  <c r="G803" i="1" a="1"/>
  <c r="G803" i="1"/>
  <c r="G806" i="1" a="1"/>
  <c r="G806" i="1"/>
  <c r="G805" i="1" a="1"/>
  <c r="G805" i="1"/>
  <c r="G808" i="1" a="1"/>
  <c r="G808" i="1"/>
  <c r="G807" i="1" a="1"/>
  <c r="G807" i="1"/>
  <c r="G809" i="1" a="1"/>
  <c r="G809" i="1"/>
  <c r="G810" i="1" a="1"/>
  <c r="G810" i="1"/>
  <c r="G811" i="1" a="1"/>
  <c r="G811" i="1"/>
  <c r="G813" i="1" a="1"/>
  <c r="G813" i="1"/>
  <c r="G812" i="1" a="1"/>
  <c r="G812" i="1"/>
  <c r="G815" i="1" a="1"/>
  <c r="G815" i="1"/>
  <c r="G816" i="1" a="1"/>
  <c r="G816" i="1"/>
  <c r="G814" i="1" a="1"/>
  <c r="G814" i="1"/>
  <c r="G817" i="1" a="1"/>
  <c r="G817" i="1"/>
  <c r="G819" i="1" a="1"/>
  <c r="G819" i="1"/>
  <c r="G818" i="1" a="1"/>
  <c r="G818" i="1"/>
  <c r="G821" i="1" a="1"/>
  <c r="G821" i="1"/>
  <c r="G820" i="1" a="1"/>
  <c r="G820" i="1"/>
  <c r="G822" i="1" a="1"/>
  <c r="G822" i="1"/>
  <c r="G823" i="1" a="1"/>
  <c r="G823" i="1"/>
  <c r="G824" i="1" a="1"/>
  <c r="G824" i="1"/>
  <c r="G826" i="1" a="1"/>
  <c r="G826" i="1"/>
  <c r="G825" i="1" a="1"/>
  <c r="G825" i="1"/>
  <c r="G827" i="1" a="1"/>
  <c r="G827" i="1"/>
  <c r="G828" i="1" a="1"/>
  <c r="G828" i="1"/>
  <c r="G829" i="1" a="1"/>
  <c r="G829" i="1"/>
  <c r="G830" i="1" a="1"/>
  <c r="G830" i="1"/>
  <c r="G831" i="1" a="1"/>
  <c r="G831" i="1"/>
  <c r="G832" i="1" a="1"/>
  <c r="G832" i="1"/>
  <c r="G833" i="1" a="1"/>
  <c r="G833" i="1"/>
  <c r="G834" i="1" a="1"/>
  <c r="G834" i="1"/>
  <c r="G835" i="1" a="1"/>
  <c r="G835" i="1"/>
  <c r="G836" i="1" a="1"/>
  <c r="G836" i="1"/>
  <c r="G837" i="1" a="1"/>
  <c r="G837" i="1"/>
  <c r="G838" i="1" a="1"/>
  <c r="G838" i="1"/>
  <c r="G840" i="1" a="1"/>
  <c r="G840" i="1"/>
  <c r="G839" i="1" a="1"/>
  <c r="G839" i="1"/>
  <c r="G841" i="1" a="1"/>
  <c r="G841" i="1"/>
  <c r="G844" i="1" a="1"/>
  <c r="G844" i="1"/>
  <c r="G842" i="1" a="1"/>
  <c r="G842" i="1"/>
  <c r="G843" i="1" a="1"/>
  <c r="G843" i="1"/>
  <c r="G845" i="1" a="1"/>
  <c r="G845" i="1"/>
  <c r="G846" i="1" a="1"/>
  <c r="G846" i="1"/>
  <c r="G847" i="1" a="1"/>
  <c r="G847" i="1"/>
  <c r="G849" i="1" a="1"/>
  <c r="G849" i="1"/>
  <c r="G848" i="1" a="1"/>
  <c r="G848" i="1"/>
  <c r="G850" i="1" a="1"/>
  <c r="G850" i="1"/>
  <c r="G852" i="1" a="1"/>
  <c r="G852" i="1"/>
  <c r="G851" i="1" a="1"/>
  <c r="G851" i="1"/>
  <c r="G854" i="1" a="1"/>
  <c r="G854" i="1"/>
  <c r="G853" i="1" a="1"/>
  <c r="G853" i="1"/>
  <c r="G855" i="1" a="1"/>
  <c r="G855" i="1"/>
  <c r="G856" i="1" a="1"/>
  <c r="G856" i="1"/>
  <c r="G857" i="1" a="1"/>
  <c r="G857" i="1"/>
  <c r="G858" i="1" a="1"/>
  <c r="G858" i="1"/>
  <c r="G859" i="1" a="1"/>
  <c r="G859" i="1"/>
  <c r="G860" i="1" a="1"/>
  <c r="G860" i="1"/>
  <c r="G861" i="1" a="1"/>
  <c r="G861" i="1"/>
  <c r="G862" i="1" a="1"/>
  <c r="G862" i="1"/>
  <c r="G865" i="1" a="1"/>
  <c r="G865" i="1"/>
  <c r="G863" i="1" a="1"/>
  <c r="G863" i="1"/>
  <c r="G864" i="1" a="1"/>
  <c r="G864" i="1"/>
  <c r="G866" i="1" a="1"/>
  <c r="G866" i="1"/>
  <c r="G867" i="1" a="1"/>
  <c r="G867" i="1"/>
  <c r="G868" i="1" a="1"/>
  <c r="G868" i="1"/>
  <c r="G869" i="1" a="1"/>
  <c r="G869" i="1"/>
  <c r="G871" i="1" a="1"/>
  <c r="G871" i="1"/>
  <c r="G872" i="1" a="1"/>
  <c r="G872" i="1"/>
  <c r="G873" i="1" a="1"/>
  <c r="G873" i="1"/>
  <c r="G870" i="1" a="1"/>
  <c r="G870" i="1"/>
  <c r="G874" i="1" a="1"/>
  <c r="G874" i="1"/>
  <c r="G875" i="1" a="1"/>
  <c r="G875" i="1"/>
  <c r="G876" i="1" a="1"/>
  <c r="G876" i="1"/>
  <c r="G878" i="1" a="1"/>
  <c r="G878" i="1"/>
  <c r="G877" i="1" a="1"/>
  <c r="G877" i="1"/>
  <c r="G880" i="1" a="1"/>
  <c r="G880" i="1"/>
  <c r="G879" i="1" a="1"/>
  <c r="G879" i="1"/>
  <c r="G881" i="1" a="1"/>
  <c r="G881" i="1"/>
  <c r="G882" i="1" a="1"/>
  <c r="G882" i="1"/>
  <c r="G883" i="1" a="1"/>
  <c r="G883" i="1"/>
  <c r="G884" i="1" a="1"/>
  <c r="G884" i="1"/>
  <c r="G885" i="1" a="1"/>
  <c r="G885" i="1"/>
  <c r="G886" i="1" a="1"/>
  <c r="G886" i="1"/>
  <c r="G887" i="1" a="1"/>
  <c r="G887" i="1"/>
  <c r="G888" i="1" a="1"/>
  <c r="G888" i="1"/>
  <c r="G889" i="1" a="1"/>
  <c r="G889" i="1"/>
  <c r="G890" i="1" a="1"/>
  <c r="G890" i="1"/>
  <c r="G891" i="1" a="1"/>
  <c r="G891" i="1"/>
  <c r="G892" i="1" a="1"/>
  <c r="G892" i="1"/>
  <c r="G893" i="1" a="1"/>
  <c r="G893" i="1"/>
  <c r="G894" i="1" a="1"/>
  <c r="G894" i="1"/>
  <c r="G895" i="1" a="1"/>
  <c r="G895" i="1"/>
  <c r="G896" i="1" a="1"/>
  <c r="G896" i="1"/>
  <c r="G897" i="1" a="1"/>
  <c r="G897" i="1"/>
  <c r="G898" i="1" a="1"/>
  <c r="G898" i="1"/>
  <c r="G900" i="1" a="1"/>
  <c r="G900" i="1"/>
  <c r="G899" i="1" a="1"/>
  <c r="G899" i="1"/>
  <c r="G902" i="1" a="1"/>
  <c r="G902" i="1"/>
  <c r="G901" i="1" a="1"/>
  <c r="G901" i="1"/>
  <c r="G903" i="1" a="1"/>
  <c r="G903" i="1"/>
  <c r="G904" i="1" a="1"/>
  <c r="G904" i="1"/>
  <c r="G905" i="1" a="1"/>
  <c r="G905" i="1"/>
  <c r="G906" i="1" a="1"/>
  <c r="G906" i="1"/>
  <c r="G909" i="1" a="1"/>
  <c r="G909" i="1"/>
  <c r="G908" i="1" a="1"/>
  <c r="G908" i="1"/>
  <c r="G907" i="1" a="1"/>
  <c r="G907" i="1"/>
  <c r="G911" i="1" a="1"/>
  <c r="G911" i="1"/>
  <c r="G910" i="1" a="1"/>
  <c r="G910" i="1"/>
  <c r="G913" i="1" a="1"/>
  <c r="G913" i="1"/>
  <c r="G912" i="1" a="1"/>
  <c r="G912" i="1"/>
  <c r="G914" i="1" a="1"/>
  <c r="G914" i="1"/>
  <c r="G915" i="1" a="1"/>
  <c r="G915" i="1"/>
  <c r="G916" i="1" a="1"/>
  <c r="G916" i="1"/>
  <c r="G918" i="1" a="1"/>
  <c r="G918" i="1"/>
  <c r="G917" i="1" a="1"/>
  <c r="G917" i="1"/>
  <c r="G919" i="1" a="1"/>
  <c r="G919" i="1"/>
  <c r="G920" i="1" a="1"/>
  <c r="G920" i="1"/>
  <c r="G921" i="1" a="1"/>
  <c r="G921" i="1"/>
  <c r="G922" i="1" a="1"/>
  <c r="G922" i="1"/>
  <c r="G923" i="1" a="1"/>
  <c r="G923" i="1"/>
  <c r="G924" i="1" a="1"/>
  <c r="G924" i="1"/>
  <c r="G927" i="1" a="1"/>
  <c r="G927" i="1"/>
  <c r="G925" i="1" a="1"/>
  <c r="G925" i="1"/>
  <c r="G926" i="1" a="1"/>
  <c r="G926" i="1"/>
  <c r="G928" i="1" a="1"/>
  <c r="G928" i="1"/>
  <c r="G929" i="1" a="1"/>
  <c r="G929" i="1"/>
  <c r="G930" i="1" a="1"/>
  <c r="G930" i="1"/>
  <c r="G933" i="1" a="1"/>
  <c r="G933" i="1"/>
  <c r="G931" i="1" a="1"/>
  <c r="G931" i="1"/>
  <c r="G932" i="1" a="1"/>
  <c r="G932" i="1"/>
  <c r="G934" i="1" a="1"/>
  <c r="G934" i="1"/>
  <c r="G937" i="1" a="1"/>
  <c r="G937" i="1"/>
  <c r="G935" i="1" a="1"/>
  <c r="G935" i="1"/>
  <c r="G936" i="1" a="1"/>
  <c r="G936" i="1"/>
  <c r="G938" i="1" a="1"/>
  <c r="G938" i="1"/>
  <c r="G942" i="1" a="1"/>
  <c r="G942" i="1"/>
  <c r="G939" i="1" a="1"/>
  <c r="G939" i="1"/>
  <c r="G941" i="1" a="1"/>
  <c r="G941" i="1"/>
  <c r="G940" i="1" a="1"/>
  <c r="G940" i="1"/>
  <c r="G943" i="1" a="1"/>
  <c r="G943" i="1"/>
  <c r="G944" i="1" a="1"/>
  <c r="G944" i="1"/>
  <c r="G948" i="1" a="1"/>
  <c r="G948" i="1"/>
  <c r="G946" i="1" a="1"/>
  <c r="G946" i="1"/>
  <c r="G947" i="1" a="1"/>
  <c r="G947" i="1"/>
  <c r="G945" i="1" a="1"/>
  <c r="G945" i="1"/>
  <c r="G949" i="1" a="1"/>
  <c r="G949" i="1"/>
  <c r="G950" i="1" a="1"/>
  <c r="G950" i="1"/>
  <c r="G951" i="1" a="1"/>
  <c r="G951" i="1"/>
  <c r="G953" i="1" a="1"/>
  <c r="G953" i="1"/>
  <c r="G952" i="1" a="1"/>
  <c r="G952" i="1"/>
  <c r="G954" i="1" a="1"/>
  <c r="G954" i="1"/>
  <c r="G956" i="1" a="1"/>
  <c r="G956" i="1"/>
  <c r="G957" i="1" a="1"/>
  <c r="G957" i="1"/>
  <c r="G955" i="1" a="1"/>
  <c r="G955" i="1"/>
  <c r="G959" i="1" a="1"/>
  <c r="G959" i="1"/>
  <c r="G958" i="1" a="1"/>
  <c r="G958" i="1"/>
  <c r="G960" i="1" a="1"/>
  <c r="G960" i="1"/>
  <c r="G962" i="1" a="1"/>
  <c r="G962" i="1"/>
  <c r="G961" i="1" a="1"/>
  <c r="G961" i="1"/>
  <c r="G963" i="1" a="1"/>
  <c r="G963" i="1"/>
  <c r="G964" i="1" a="1"/>
  <c r="G964" i="1"/>
  <c r="G965" i="1" a="1"/>
  <c r="G965" i="1"/>
  <c r="G966" i="1" a="1"/>
  <c r="G966" i="1"/>
  <c r="G967" i="1" a="1"/>
  <c r="G967" i="1"/>
  <c r="G968" i="1" a="1"/>
  <c r="G968" i="1"/>
  <c r="G969" i="1" a="1"/>
  <c r="G969" i="1"/>
  <c r="G970" i="1" a="1"/>
  <c r="G970" i="1"/>
  <c r="G972" i="1" a="1"/>
  <c r="G972" i="1"/>
  <c r="G971" i="1" a="1"/>
  <c r="G971" i="1"/>
  <c r="G974" i="1" a="1"/>
  <c r="G974" i="1"/>
  <c r="G973" i="1" a="1"/>
  <c r="G973" i="1"/>
  <c r="G975" i="1" a="1"/>
  <c r="G975" i="1"/>
  <c r="G976" i="1" a="1"/>
  <c r="G976" i="1"/>
  <c r="G977" i="1" a="1"/>
  <c r="G977" i="1"/>
  <c r="G978" i="1" a="1"/>
  <c r="G978" i="1"/>
  <c r="G979" i="1" a="1"/>
  <c r="G979" i="1"/>
  <c r="G980" i="1" a="1"/>
  <c r="G980" i="1"/>
  <c r="G982" i="1" a="1"/>
  <c r="G982" i="1"/>
  <c r="G981" i="1" a="1"/>
  <c r="G981" i="1"/>
  <c r="G983" i="1" a="1"/>
  <c r="G983" i="1"/>
  <c r="G984" i="1" a="1"/>
  <c r="G984" i="1"/>
  <c r="G985" i="1" a="1"/>
  <c r="G985" i="1"/>
  <c r="G986" i="1" a="1"/>
  <c r="G986" i="1"/>
  <c r="G987" i="1" a="1"/>
  <c r="G987" i="1"/>
  <c r="G988" i="1" a="1"/>
  <c r="G988" i="1"/>
  <c r="G989" i="1" a="1"/>
  <c r="G989" i="1"/>
  <c r="G990" i="1" a="1"/>
  <c r="G990" i="1"/>
  <c r="G993" i="1" a="1"/>
  <c r="G993" i="1"/>
  <c r="G991" i="1" a="1"/>
  <c r="G991" i="1"/>
  <c r="G992" i="1" a="1"/>
  <c r="G992" i="1"/>
  <c r="G995" i="1" a="1"/>
  <c r="G995" i="1"/>
  <c r="G994" i="1" a="1"/>
  <c r="G994" i="1"/>
  <c r="G996" i="1" a="1"/>
  <c r="G996" i="1"/>
  <c r="G1002" i="1" a="1"/>
  <c r="G1002" i="1"/>
  <c r="G1000" i="1" a="1"/>
  <c r="G1000" i="1"/>
  <c r="G997" i="1" a="1"/>
  <c r="G997" i="1"/>
  <c r="G998" i="1" a="1"/>
  <c r="G998" i="1"/>
  <c r="G999" i="1" a="1"/>
  <c r="G999" i="1"/>
  <c r="G1001" i="1" a="1"/>
  <c r="G1001" i="1"/>
  <c r="G1003" i="1" a="1"/>
  <c r="G1003" i="1"/>
  <c r="G1004" i="1" a="1"/>
  <c r="G1004" i="1"/>
  <c r="G1007" i="1" a="1"/>
  <c r="G1007" i="1"/>
  <c r="G1005" i="1" a="1"/>
  <c r="G1005" i="1"/>
  <c r="G1006" i="1" a="1"/>
  <c r="G1006" i="1"/>
  <c r="G1008" i="1" a="1"/>
  <c r="G1008" i="1"/>
  <c r="G1010" i="1" a="1"/>
  <c r="G1010" i="1"/>
  <c r="G1009" i="1" a="1"/>
  <c r="G1009" i="1"/>
  <c r="G1012" i="1" a="1"/>
  <c r="G1012" i="1"/>
  <c r="G1011" i="1" a="1"/>
  <c r="G1011" i="1"/>
  <c r="G1013" i="1" a="1"/>
  <c r="G1013" i="1"/>
  <c r="G1014" i="1" a="1"/>
  <c r="G1014" i="1"/>
  <c r="G1015" i="1" a="1"/>
  <c r="G1015" i="1"/>
  <c r="G1016" i="1" a="1"/>
  <c r="G1016" i="1"/>
  <c r="G1017" i="1" a="1"/>
  <c r="G1017" i="1"/>
  <c r="G1018" i="1" a="1"/>
  <c r="G1018" i="1"/>
  <c r="G1019" i="1" a="1"/>
  <c r="G1019" i="1"/>
  <c r="G1021" i="1" a="1"/>
  <c r="G1021" i="1"/>
  <c r="G1020" i="1" a="1"/>
  <c r="G1020" i="1"/>
  <c r="G1022" i="1" a="1"/>
  <c r="G1022" i="1"/>
  <c r="G1023" i="1" a="1"/>
  <c r="G1023" i="1"/>
  <c r="G1025" i="1" a="1"/>
  <c r="G1025" i="1"/>
  <c r="G1024" i="1" a="1"/>
  <c r="G1024" i="1"/>
  <c r="G1026" i="1" a="1"/>
  <c r="G1026" i="1"/>
  <c r="G1028" i="1" a="1"/>
  <c r="G1028" i="1"/>
  <c r="G1027" i="1" a="1"/>
  <c r="G1027" i="1"/>
  <c r="G1029" i="1" a="1"/>
  <c r="G1029" i="1"/>
  <c r="G1031" i="1" a="1"/>
  <c r="G1031" i="1"/>
  <c r="G1030" i="1" a="1"/>
  <c r="G1030" i="1"/>
  <c r="G1032" i="1" a="1"/>
  <c r="G1032" i="1"/>
  <c r="G1034" i="1" a="1"/>
  <c r="G1034" i="1"/>
  <c r="G1033" i="1" a="1"/>
  <c r="G1033" i="1"/>
  <c r="G1035" i="1" a="1"/>
  <c r="G1035" i="1"/>
  <c r="G1038" i="1" a="1"/>
  <c r="G1038" i="1"/>
  <c r="G1036" i="1" a="1"/>
  <c r="G1036" i="1"/>
  <c r="G1037" i="1" a="1"/>
  <c r="G1037" i="1"/>
  <c r="G1039" i="1" a="1"/>
  <c r="G1039" i="1"/>
  <c r="G1040" i="1" a="1"/>
  <c r="G1040" i="1"/>
  <c r="G1041" i="1" a="1"/>
  <c r="G1041" i="1"/>
  <c r="G1042" i="1" a="1"/>
  <c r="G1042" i="1"/>
  <c r="G1043" i="1" a="1"/>
  <c r="G1043" i="1"/>
  <c r="G1044" i="1" a="1"/>
  <c r="G1044" i="1"/>
  <c r="G1046" i="1" a="1"/>
  <c r="G1046" i="1"/>
  <c r="G1045" i="1" a="1"/>
  <c r="G1045" i="1"/>
  <c r="G1049" i="1" a="1"/>
  <c r="G1049" i="1"/>
  <c r="G1047" i="1" a="1"/>
  <c r="G1047" i="1"/>
  <c r="G1048" i="1" a="1"/>
  <c r="G1048" i="1"/>
  <c r="G1050" i="1" a="1"/>
  <c r="G1050" i="1"/>
  <c r="G1051" i="1" a="1"/>
  <c r="G1051" i="1"/>
  <c r="G1052" i="1" a="1"/>
  <c r="G1052" i="1"/>
  <c r="G1053" i="1" a="1"/>
  <c r="G1053" i="1"/>
  <c r="G1055" i="1" a="1"/>
  <c r="G1055" i="1"/>
  <c r="G1054" i="1" a="1"/>
  <c r="G1054" i="1"/>
  <c r="G1056" i="1" a="1"/>
  <c r="G1056" i="1"/>
  <c r="G1057" i="1" a="1"/>
  <c r="G1057" i="1"/>
  <c r="G1058" i="1" a="1"/>
  <c r="G1058" i="1"/>
  <c r="G1059" i="1" a="1"/>
  <c r="G1059" i="1"/>
  <c r="G1061" i="1" a="1"/>
  <c r="G1061" i="1"/>
  <c r="G1060" i="1" a="1"/>
  <c r="G1060" i="1"/>
  <c r="G1063" i="1" a="1"/>
  <c r="G1063" i="1"/>
  <c r="G1062" i="1" a="1"/>
  <c r="G1062" i="1"/>
  <c r="G1064" i="1" a="1"/>
  <c r="G1064" i="1"/>
  <c r="G1065" i="1" a="1"/>
  <c r="G1065" i="1"/>
  <c r="G1066" i="1" a="1"/>
  <c r="G1066" i="1"/>
  <c r="G1070" i="1" a="1"/>
  <c r="G1070" i="1"/>
  <c r="G1068" i="1" a="1"/>
  <c r="G1068" i="1"/>
  <c r="G1069" i="1" a="1"/>
  <c r="G1069" i="1"/>
  <c r="G1071" i="1" a="1"/>
  <c r="G1071" i="1"/>
  <c r="G1067" i="1" a="1"/>
  <c r="G1067" i="1"/>
  <c r="G1072" i="1" a="1"/>
  <c r="G1072" i="1"/>
  <c r="G1073" i="1" a="1"/>
  <c r="G1073" i="1"/>
  <c r="G1074" i="1" a="1"/>
  <c r="G1074" i="1"/>
  <c r="G1075" i="1" a="1"/>
  <c r="G1075" i="1"/>
  <c r="G1076" i="1" a="1"/>
  <c r="G1076" i="1"/>
  <c r="G1078" i="1" a="1"/>
  <c r="G1078" i="1"/>
  <c r="G1077" i="1" a="1"/>
  <c r="G1077" i="1"/>
  <c r="G1080" i="1" a="1"/>
  <c r="G1080" i="1"/>
  <c r="G1079" i="1" a="1"/>
  <c r="G1079" i="1"/>
  <c r="G1081" i="1" a="1"/>
  <c r="G1081" i="1"/>
  <c r="G1083" i="1" a="1"/>
  <c r="G1083" i="1"/>
  <c r="G1084" i="1" a="1"/>
  <c r="G1084" i="1"/>
  <c r="G1082" i="1" a="1"/>
  <c r="G1082" i="1"/>
  <c r="G1085" i="1" a="1"/>
  <c r="G1085" i="1"/>
  <c r="G1086" i="1" a="1"/>
  <c r="G1086" i="1"/>
  <c r="G1089" i="1" a="1"/>
  <c r="G1089" i="1"/>
  <c r="G1088" i="1" a="1"/>
  <c r="G1088" i="1"/>
  <c r="G1087" i="1" a="1"/>
  <c r="G1087" i="1"/>
  <c r="G1090" i="1" a="1"/>
  <c r="G1090" i="1"/>
  <c r="G1091" i="1" a="1"/>
  <c r="G1091" i="1"/>
  <c r="G1093" i="1" a="1"/>
  <c r="G1093" i="1"/>
  <c r="G1094" i="1" a="1"/>
  <c r="G1094" i="1"/>
  <c r="G1092" i="1" a="1"/>
  <c r="G1092" i="1"/>
  <c r="G1095" i="1" a="1"/>
  <c r="G1095" i="1"/>
  <c r="G1096" i="1" a="1"/>
  <c r="G1096" i="1"/>
  <c r="G1097" i="1" a="1"/>
  <c r="G1097" i="1"/>
  <c r="G1098" i="1" a="1"/>
  <c r="G1098" i="1"/>
  <c r="G1099" i="1" a="1"/>
  <c r="G1099" i="1"/>
  <c r="G1100" i="1" a="1"/>
  <c r="G1100" i="1"/>
  <c r="G1101" i="1" a="1"/>
  <c r="G1101" i="1"/>
  <c r="G1102" i="1" a="1"/>
  <c r="G1102" i="1"/>
  <c r="G1103" i="1" a="1"/>
  <c r="G1103" i="1"/>
  <c r="G1104" i="1" a="1"/>
  <c r="G1104" i="1"/>
  <c r="G1105" i="1" a="1"/>
  <c r="G1105" i="1"/>
  <c r="G1106" i="1" a="1"/>
  <c r="G1106" i="1"/>
  <c r="G1107" i="1" a="1"/>
  <c r="G1107" i="1"/>
  <c r="G1108" i="1" a="1"/>
  <c r="G1108" i="1"/>
  <c r="G1109" i="1" a="1"/>
  <c r="G1109" i="1"/>
  <c r="G1110" i="1" a="1"/>
  <c r="G1110" i="1"/>
  <c r="G1114" i="1" a="1"/>
  <c r="G1114" i="1"/>
  <c r="G1115" i="1" a="1"/>
  <c r="G1115" i="1"/>
  <c r="G1112" i="1" a="1"/>
  <c r="G1112" i="1"/>
  <c r="G1113" i="1" a="1"/>
  <c r="G1113" i="1"/>
  <c r="G1116" i="1" a="1"/>
  <c r="G1116" i="1"/>
  <c r="G1111" i="1" a="1"/>
  <c r="G1111" i="1"/>
  <c r="G1119" i="1" a="1"/>
  <c r="G1119" i="1"/>
  <c r="G1118" i="1" a="1"/>
  <c r="G1118" i="1"/>
  <c r="G1117" i="1" a="1"/>
  <c r="G1117" i="1"/>
  <c r="G1121" i="1" a="1"/>
  <c r="G1121" i="1"/>
  <c r="G1120" i="1" a="1"/>
  <c r="G1120" i="1"/>
  <c r="G1122" i="1" a="1"/>
  <c r="G1122" i="1"/>
  <c r="G1123" i="1" a="1"/>
  <c r="G1123" i="1"/>
  <c r="G1124" i="1" a="1"/>
  <c r="G1124" i="1"/>
  <c r="G1126" i="1" a="1"/>
  <c r="G1126" i="1"/>
  <c r="G1125" i="1" a="1"/>
  <c r="G1125" i="1"/>
  <c r="G1127" i="1" a="1"/>
  <c r="G1127" i="1"/>
  <c r="G1128" i="1" a="1"/>
  <c r="G1128" i="1"/>
  <c r="G1131" i="1" a="1"/>
  <c r="G1131" i="1"/>
  <c r="G1130" i="1" a="1"/>
  <c r="G1130" i="1"/>
  <c r="G1129" i="1" a="1"/>
  <c r="G1129" i="1"/>
  <c r="G1133" i="1" a="1"/>
  <c r="G1133" i="1"/>
  <c r="G1132" i="1" a="1"/>
  <c r="G1132" i="1"/>
  <c r="G1134" i="1" a="1"/>
  <c r="G1134" i="1"/>
  <c r="G1135" i="1" a="1"/>
  <c r="G1135" i="1"/>
  <c r="G1136" i="1" a="1"/>
  <c r="G1136" i="1"/>
  <c r="G1138" i="1" a="1"/>
  <c r="G1138" i="1"/>
  <c r="G1137" i="1" a="1"/>
  <c r="G1137" i="1"/>
  <c r="G1139" i="1" a="1"/>
  <c r="G1139" i="1"/>
  <c r="G1141" i="1" a="1"/>
  <c r="G1141" i="1"/>
  <c r="G1144" i="1" a="1"/>
  <c r="G1144" i="1"/>
  <c r="G1142" i="1" a="1"/>
  <c r="G1142" i="1"/>
  <c r="G1140" i="1" a="1"/>
  <c r="G1140" i="1"/>
  <c r="G1143" i="1" a="1"/>
  <c r="G1143" i="1"/>
  <c r="G1146" i="1" a="1"/>
  <c r="G1146" i="1"/>
  <c r="G1145" i="1" a="1"/>
  <c r="G1145" i="1"/>
  <c r="G1149" i="1" a="1"/>
  <c r="G1149" i="1"/>
  <c r="G1147" i="1" a="1"/>
  <c r="G1147" i="1"/>
  <c r="G1148" i="1" a="1"/>
  <c r="G1148" i="1"/>
  <c r="G1150" i="1" a="1"/>
  <c r="G1150" i="1"/>
  <c r="G1151" i="1" a="1"/>
  <c r="G1151" i="1"/>
  <c r="G1152" i="1" a="1"/>
  <c r="G1152" i="1"/>
  <c r="G1153" i="1" a="1"/>
  <c r="G1153" i="1"/>
  <c r="G1156" i="1" a="1"/>
  <c r="G1156" i="1"/>
  <c r="G1154" i="1" a="1"/>
  <c r="G1154" i="1"/>
  <c r="G1155" i="1" a="1"/>
  <c r="G1155" i="1"/>
  <c r="G1160" i="1" a="1"/>
  <c r="G1160" i="1"/>
  <c r="G1157" i="1" a="1"/>
  <c r="G1157" i="1"/>
  <c r="G1159" i="1" a="1"/>
  <c r="G1159" i="1"/>
  <c r="G1158" i="1" a="1"/>
  <c r="G1158" i="1"/>
  <c r="G1161" i="1" a="1"/>
  <c r="G1161" i="1"/>
  <c r="G1162" i="1" a="1"/>
  <c r="G1162" i="1"/>
  <c r="G1163" i="1" a="1"/>
  <c r="G1163" i="1"/>
  <c r="G1164" i="1" a="1"/>
  <c r="G1164" i="1"/>
  <c r="G1165" i="1" a="1"/>
  <c r="G1165" i="1"/>
  <c r="G1166" i="1" a="1"/>
  <c r="G1166" i="1"/>
  <c r="G1169" i="1" a="1"/>
  <c r="G1169" i="1"/>
  <c r="G1168" i="1" a="1"/>
  <c r="G1168" i="1"/>
  <c r="G1167" i="1" a="1"/>
  <c r="G1167" i="1"/>
  <c r="G1171" i="1" a="1"/>
  <c r="G1171" i="1"/>
  <c r="G1172" i="1" a="1"/>
  <c r="G1172" i="1"/>
  <c r="G1170" i="1" a="1"/>
  <c r="G1170" i="1"/>
  <c r="G1176" i="1" a="1"/>
  <c r="G1176" i="1"/>
  <c r="G1175" i="1" a="1"/>
  <c r="G1175" i="1"/>
  <c r="G1174" i="1" a="1"/>
  <c r="G1174" i="1"/>
  <c r="G1173" i="1" a="1"/>
  <c r="G1173" i="1"/>
  <c r="G1178" i="1" a="1"/>
  <c r="G1178" i="1"/>
  <c r="G1177" i="1" a="1"/>
  <c r="G1177" i="1"/>
  <c r="G1180" i="1" a="1"/>
  <c r="G1180" i="1"/>
  <c r="G1181" i="1" a="1"/>
  <c r="G1181" i="1"/>
  <c r="G1182" i="1" a="1"/>
  <c r="G1182" i="1"/>
  <c r="G1179" i="1" a="1"/>
  <c r="G1179" i="1"/>
  <c r="G1183" i="1" a="1"/>
  <c r="G1183" i="1"/>
  <c r="G1185" i="1" a="1"/>
  <c r="G1185" i="1"/>
  <c r="G1186" i="1" a="1"/>
  <c r="G1186" i="1"/>
  <c r="G1184" i="1" a="1"/>
  <c r="G1184" i="1"/>
  <c r="G1188" i="1" a="1"/>
  <c r="G1188" i="1"/>
  <c r="G1189" i="1" a="1"/>
  <c r="G1189" i="1"/>
  <c r="G1187" i="1" a="1"/>
  <c r="G1187" i="1"/>
  <c r="G1190" i="1" a="1"/>
  <c r="G1190" i="1"/>
  <c r="G1191" i="1" a="1"/>
  <c r="G1191" i="1"/>
  <c r="G1192" i="1" a="1"/>
  <c r="G1192" i="1"/>
  <c r="G1193" i="1" a="1"/>
  <c r="G1193" i="1"/>
  <c r="G1196" i="1" a="1"/>
  <c r="G1196" i="1"/>
  <c r="G1195" i="1" a="1"/>
  <c r="G1195" i="1"/>
  <c r="G1194" i="1" a="1"/>
  <c r="G1194" i="1"/>
  <c r="G1198" i="1" a="1"/>
  <c r="G1198" i="1"/>
  <c r="G1197" i="1" a="1"/>
  <c r="G1197" i="1"/>
  <c r="G1199" i="1" a="1"/>
  <c r="G1199" i="1"/>
  <c r="G1200" i="1" a="1"/>
  <c r="G1200" i="1"/>
  <c r="G1201" i="1" a="1"/>
  <c r="G1201" i="1"/>
  <c r="G1205" i="1" a="1"/>
  <c r="G1205" i="1"/>
  <c r="G1204" i="1" a="1"/>
  <c r="G1204" i="1"/>
  <c r="G1203" i="1" a="1"/>
  <c r="G1203" i="1"/>
  <c r="G1206" i="1" a="1"/>
  <c r="G1206" i="1"/>
  <c r="G1202" i="1" a="1"/>
  <c r="G1202" i="1"/>
  <c r="G1210" i="1" a="1"/>
  <c r="G1210" i="1"/>
  <c r="G1209" i="1" a="1"/>
  <c r="G1209" i="1"/>
  <c r="G1207" i="1" a="1"/>
  <c r="G1207" i="1"/>
  <c r="G1211" i="1" a="1"/>
  <c r="G1211" i="1"/>
  <c r="G1208" i="1" a="1"/>
  <c r="G1208" i="1"/>
  <c r="G1214" i="1" a="1"/>
  <c r="G1214" i="1"/>
  <c r="G1212" i="1" a="1"/>
  <c r="G1212" i="1"/>
  <c r="G1213" i="1" a="1"/>
  <c r="G1213" i="1"/>
  <c r="G1215" i="1" a="1"/>
  <c r="G1215" i="1"/>
  <c r="G1216" i="1" a="1"/>
  <c r="G1216" i="1"/>
  <c r="G1217" i="1" a="1"/>
  <c r="G1217" i="1"/>
  <c r="G1219" i="1" a="1"/>
  <c r="G1219" i="1"/>
  <c r="G1218" i="1" a="1"/>
  <c r="G1218" i="1"/>
  <c r="G1220" i="1" a="1"/>
  <c r="G1220" i="1"/>
  <c r="G1221" i="1" a="1"/>
  <c r="G1221" i="1"/>
  <c r="G1222" i="1" a="1"/>
  <c r="G1222" i="1"/>
  <c r="G1223" i="1" a="1"/>
  <c r="G1223" i="1"/>
  <c r="G1228" i="1" a="1"/>
  <c r="G1228" i="1"/>
  <c r="G1224" i="1" a="1"/>
  <c r="G1224" i="1"/>
  <c r="G1226" i="1" a="1"/>
  <c r="G1226" i="1"/>
  <c r="G1227" i="1" a="1"/>
  <c r="G1227" i="1"/>
  <c r="G1225" i="1" a="1"/>
  <c r="G1225" i="1"/>
  <c r="G1229" i="1" a="1"/>
  <c r="G1229" i="1"/>
  <c r="G1230" i="1" a="1"/>
  <c r="G1230" i="1"/>
  <c r="G1232" i="1" a="1"/>
  <c r="G1232" i="1"/>
  <c r="G1233" i="1" a="1"/>
  <c r="G1233" i="1"/>
  <c r="G1231" i="1" a="1"/>
  <c r="G1231" i="1"/>
  <c r="G1236" i="1" a="1"/>
  <c r="G1236" i="1"/>
  <c r="G1234" i="1" a="1"/>
  <c r="G1234" i="1"/>
  <c r="G1235" i="1" a="1"/>
  <c r="G1235" i="1"/>
  <c r="G1237" i="1" a="1"/>
  <c r="G1237" i="1"/>
  <c r="G1239" i="1" a="1"/>
  <c r="G1239" i="1"/>
  <c r="G1238" i="1" a="1"/>
  <c r="G1238" i="1"/>
  <c r="G1240" i="1" a="1"/>
  <c r="G1240" i="1"/>
  <c r="G1242" i="1" a="1"/>
  <c r="G1242" i="1"/>
  <c r="G1241" i="1" a="1"/>
  <c r="G1241" i="1"/>
  <c r="G1246" i="1" a="1"/>
  <c r="G1246" i="1"/>
  <c r="G1244" i="1" a="1"/>
  <c r="G1244" i="1"/>
  <c r="G1245" i="1" a="1"/>
  <c r="G1245" i="1"/>
  <c r="G1243" i="1" a="1"/>
  <c r="G1243" i="1"/>
  <c r="G1247" i="1" a="1"/>
  <c r="G1247" i="1"/>
  <c r="G1248" i="1" a="1"/>
  <c r="G1248" i="1"/>
  <c r="G1249" i="1" a="1"/>
  <c r="G1249" i="1"/>
  <c r="G1250" i="1" a="1"/>
  <c r="G1250" i="1"/>
  <c r="G1252" i="1" a="1"/>
  <c r="G1252" i="1"/>
  <c r="G1251" i="1" a="1"/>
  <c r="G1251" i="1"/>
  <c r="G1253" i="1" a="1"/>
  <c r="G1253" i="1"/>
  <c r="G1254" i="1" a="1"/>
  <c r="G1254" i="1"/>
  <c r="G1256" i="1" a="1"/>
  <c r="G1256" i="1"/>
  <c r="G1255" i="1" a="1"/>
  <c r="G1255" i="1"/>
  <c r="G1258" i="1" a="1"/>
  <c r="G1258" i="1"/>
  <c r="G1257" i="1" a="1"/>
  <c r="G1257" i="1"/>
  <c r="G1259" i="1" a="1"/>
  <c r="G1259" i="1"/>
  <c r="G1260" i="1" a="1"/>
  <c r="G1260" i="1"/>
  <c r="G1261" i="1" a="1"/>
  <c r="G1261" i="1"/>
  <c r="G1262" i="1" a="1"/>
  <c r="G1262" i="1"/>
  <c r="G1263" i="1" a="1"/>
  <c r="G1263" i="1"/>
  <c r="G1264" i="1" a="1"/>
  <c r="G1264" i="1"/>
  <c r="G1267" i="1" a="1"/>
  <c r="G1267" i="1"/>
  <c r="G1266" i="1" a="1"/>
  <c r="G1266" i="1"/>
  <c r="G1268" i="1" a="1"/>
  <c r="G1268" i="1"/>
  <c r="G1265" i="1" a="1"/>
  <c r="G1265" i="1"/>
  <c r="G1271" i="1" a="1"/>
  <c r="G1271" i="1"/>
  <c r="G1272" i="1" a="1"/>
  <c r="G1272" i="1"/>
  <c r="G1269" i="1" a="1"/>
  <c r="G1269" i="1"/>
  <c r="G1270" i="1" a="1"/>
  <c r="G1270" i="1"/>
  <c r="G1274" i="1" a="1"/>
  <c r="G1274" i="1"/>
  <c r="G1273" i="1" a="1"/>
  <c r="G1273" i="1"/>
  <c r="G1276" i="1" a="1"/>
  <c r="G1276" i="1"/>
  <c r="G1275" i="1" a="1"/>
  <c r="G1275" i="1"/>
  <c r="G1278" i="1" a="1"/>
  <c r="G1278" i="1"/>
  <c r="G1281" i="1" a="1"/>
  <c r="G1281" i="1"/>
  <c r="G1277" i="1" a="1"/>
  <c r="G1277" i="1"/>
  <c r="G1279" i="1" a="1"/>
  <c r="G1279" i="1"/>
  <c r="G1282" i="1" a="1"/>
  <c r="G1282" i="1"/>
  <c r="G1280" i="1" a="1"/>
  <c r="G1280" i="1"/>
  <c r="G1284" i="1" a="1"/>
  <c r="G1284" i="1"/>
  <c r="G1283" i="1" a="1"/>
  <c r="G1283" i="1"/>
  <c r="G1285" i="1" a="1"/>
  <c r="G1285" i="1"/>
  <c r="G1286" i="1" a="1"/>
  <c r="G1286" i="1"/>
  <c r="G1288" i="1" a="1"/>
  <c r="G1288" i="1"/>
  <c r="G1287" i="1" a="1"/>
  <c r="G1287" i="1"/>
  <c r="G1289" i="1" a="1"/>
  <c r="G1289" i="1"/>
  <c r="G1290" i="1" a="1"/>
  <c r="G1290" i="1"/>
  <c r="G1291" i="1" a="1"/>
  <c r="G1291" i="1"/>
  <c r="G1292" i="1" a="1"/>
  <c r="G1292" i="1"/>
  <c r="G1293" i="1" a="1"/>
  <c r="G1293" i="1"/>
  <c r="G1295" i="1" a="1"/>
  <c r="G1295" i="1"/>
  <c r="G1294" i="1" a="1"/>
  <c r="G1294" i="1"/>
  <c r="G1296" i="1" a="1"/>
  <c r="G1296" i="1"/>
  <c r="G1297" i="1" a="1"/>
  <c r="G1297" i="1"/>
  <c r="G1298" i="1" a="1"/>
  <c r="G1298" i="1"/>
  <c r="G1300" i="1" a="1"/>
  <c r="G1300" i="1"/>
  <c r="G1299" i="1" a="1"/>
  <c r="G1299" i="1"/>
  <c r="G1301" i="1" a="1"/>
  <c r="G1301" i="1"/>
  <c r="G1302" i="1" a="1"/>
  <c r="G1302" i="1"/>
  <c r="G1303" i="1" a="1"/>
  <c r="G1303" i="1"/>
  <c r="G1304" i="1" a="1"/>
  <c r="G1304" i="1"/>
  <c r="G1306" i="1" a="1"/>
  <c r="G1306" i="1"/>
  <c r="G1305" i="1" a="1"/>
  <c r="G1305" i="1"/>
  <c r="G1309" i="1" a="1"/>
  <c r="G1309" i="1"/>
  <c r="G1307" i="1" a="1"/>
  <c r="G1307" i="1"/>
  <c r="G1308" i="1" a="1"/>
  <c r="G1308" i="1"/>
  <c r="G1312" i="1" a="1"/>
  <c r="G1312" i="1"/>
  <c r="G1313" i="1" a="1"/>
  <c r="G1313" i="1"/>
  <c r="G1310" i="1" a="1"/>
  <c r="G1310" i="1"/>
  <c r="G1311" i="1" a="1"/>
  <c r="G1311" i="1"/>
  <c r="G1314" i="1" a="1"/>
  <c r="G1314" i="1"/>
  <c r="G1315" i="1" a="1"/>
  <c r="G1315" i="1"/>
  <c r="G1319" i="1" a="1"/>
  <c r="G1319" i="1"/>
  <c r="G1317" i="1" a="1"/>
  <c r="G1317" i="1"/>
  <c r="G1316" i="1" a="1"/>
  <c r="G1316" i="1"/>
  <c r="G1318" i="1" a="1"/>
  <c r="G1318" i="1"/>
  <c r="G1320" i="1" a="1"/>
  <c r="G1320" i="1"/>
  <c r="G1321" i="1" a="1"/>
  <c r="G1321" i="1"/>
  <c r="G1323" i="1" a="1"/>
  <c r="G1323" i="1"/>
  <c r="G1322" i="1" a="1"/>
  <c r="G1322" i="1"/>
  <c r="G1324" i="1" a="1"/>
  <c r="G1324" i="1"/>
  <c r="G1325" i="1" a="1"/>
  <c r="G1325" i="1"/>
  <c r="G1326" i="1" a="1"/>
  <c r="G1326" i="1"/>
  <c r="G1328" i="1" a="1"/>
  <c r="G1328" i="1"/>
  <c r="G1327" i="1" a="1"/>
  <c r="G1327" i="1"/>
  <c r="G1331" i="1" a="1"/>
  <c r="G1331" i="1"/>
  <c r="G1330" i="1" a="1"/>
  <c r="G1330" i="1"/>
  <c r="G1329" i="1" a="1"/>
  <c r="G1329" i="1"/>
  <c r="G1332" i="1" a="1"/>
  <c r="G1332" i="1"/>
  <c r="G1333" i="1" a="1"/>
  <c r="G1333" i="1"/>
  <c r="G1335" i="1" a="1"/>
  <c r="G1335" i="1"/>
  <c r="G1334" i="1" a="1"/>
  <c r="G1334" i="1"/>
  <c r="G1337" i="1" a="1"/>
  <c r="G1337" i="1"/>
  <c r="G1336" i="1" a="1"/>
  <c r="G1336" i="1"/>
  <c r="G1338" i="1" a="1"/>
  <c r="G1338" i="1"/>
  <c r="G1339" i="1" a="1"/>
  <c r="G1339" i="1"/>
  <c r="G1340" i="1" a="1"/>
  <c r="G1340" i="1"/>
  <c r="G1341" i="1" a="1"/>
  <c r="G1341" i="1"/>
  <c r="G1342" i="1" a="1"/>
  <c r="G1342" i="1"/>
  <c r="G1343" i="1" a="1"/>
  <c r="G1343" i="1"/>
  <c r="G1344" i="1" a="1"/>
  <c r="G1344" i="1"/>
  <c r="G1345" i="1" a="1"/>
  <c r="G1345" i="1"/>
  <c r="G1346" i="1" a="1"/>
  <c r="G1346" i="1"/>
  <c r="G1347" i="1" a="1"/>
  <c r="G1347" i="1"/>
  <c r="G1348" i="1" a="1"/>
  <c r="G1348" i="1"/>
  <c r="G1349" i="1" a="1"/>
  <c r="G1349" i="1"/>
  <c r="G1351" i="1" a="1"/>
  <c r="G1351" i="1"/>
  <c r="G1350" i="1" a="1"/>
  <c r="G1350" i="1"/>
  <c r="G1352" i="1" a="1"/>
  <c r="G1352" i="1"/>
  <c r="G1353" i="1" a="1"/>
  <c r="G1353" i="1"/>
  <c r="G1354" i="1" a="1"/>
  <c r="G1354" i="1"/>
  <c r="G1356" i="1" a="1"/>
  <c r="G1356" i="1"/>
  <c r="G1355" i="1" a="1"/>
  <c r="G1355" i="1"/>
  <c r="G1358" i="1" a="1"/>
  <c r="G1358" i="1"/>
  <c r="G1357" i="1" a="1"/>
  <c r="G1357" i="1"/>
  <c r="G1359" i="1" a="1"/>
  <c r="G1359" i="1"/>
  <c r="G1360" i="1" a="1"/>
  <c r="G1360" i="1"/>
  <c r="G1361" i="1" a="1"/>
  <c r="G1361" i="1"/>
  <c r="G1362" i="1" a="1"/>
  <c r="G1362" i="1"/>
  <c r="G1365" i="1" a="1"/>
  <c r="G1365" i="1"/>
  <c r="G1364" i="1" a="1"/>
  <c r="G1364" i="1"/>
  <c r="G1363" i="1" a="1"/>
  <c r="G1363" i="1"/>
  <c r="G1366" i="1" a="1"/>
  <c r="G1366" i="1"/>
  <c r="G1369" i="1" a="1"/>
  <c r="G1369" i="1"/>
  <c r="G1368" i="1" a="1"/>
  <c r="G1368" i="1"/>
  <c r="G1367" i="1" a="1"/>
  <c r="G1367" i="1"/>
  <c r="G1370" i="1" a="1"/>
  <c r="G1370" i="1"/>
  <c r="G1371" i="1" a="1"/>
  <c r="G1371" i="1"/>
  <c r="G1373" i="1" a="1"/>
  <c r="G1373" i="1"/>
  <c r="G1372" i="1" a="1"/>
  <c r="G1372" i="1"/>
  <c r="G1374" i="1" a="1"/>
  <c r="G1374" i="1"/>
  <c r="G1377" i="1" a="1"/>
  <c r="G1377" i="1"/>
  <c r="G1376" i="1" a="1"/>
  <c r="G1376" i="1"/>
  <c r="G1375" i="1" a="1"/>
  <c r="G1375" i="1"/>
  <c r="G1380" i="1" a="1"/>
  <c r="G1380" i="1"/>
  <c r="G1379" i="1" a="1"/>
  <c r="G1379" i="1"/>
  <c r="G1381" i="1" a="1"/>
  <c r="G1381" i="1"/>
  <c r="G1378" i="1" a="1"/>
  <c r="G1378" i="1"/>
  <c r="G1382" i="1" a="1"/>
  <c r="G1382" i="1"/>
  <c r="G1383" i="1" a="1"/>
  <c r="G1383" i="1"/>
  <c r="G1385" i="1" a="1"/>
  <c r="G1385" i="1"/>
  <c r="G1384" i="1" a="1"/>
  <c r="G1384" i="1"/>
  <c r="G1386" i="1" a="1"/>
  <c r="G1386" i="1"/>
  <c r="G1387" i="1" a="1"/>
  <c r="G1387" i="1"/>
  <c r="G1390" i="1" a="1"/>
  <c r="G1390" i="1"/>
  <c r="G1389" i="1" a="1"/>
  <c r="G1389" i="1"/>
  <c r="G1388" i="1" a="1"/>
  <c r="G1388" i="1"/>
  <c r="G1392" i="1" a="1"/>
  <c r="G1392" i="1"/>
  <c r="G1395" i="1" a="1"/>
  <c r="G1395" i="1"/>
  <c r="G1393" i="1" a="1"/>
  <c r="G1393" i="1"/>
  <c r="G1394" i="1" a="1"/>
  <c r="G1394" i="1"/>
  <c r="G1391" i="1" a="1"/>
  <c r="G1391" i="1"/>
  <c r="G1396" i="1" a="1"/>
  <c r="G1396" i="1"/>
  <c r="G1397" i="1" a="1"/>
  <c r="G1397" i="1"/>
  <c r="G1398" i="1" a="1"/>
  <c r="G1398" i="1"/>
  <c r="G1399" i="1" a="1"/>
  <c r="G1399" i="1"/>
  <c r="G1400" i="1" a="1"/>
  <c r="G1400" i="1"/>
  <c r="G1401" i="1" a="1"/>
  <c r="G1401" i="1"/>
  <c r="G1403" i="1" a="1"/>
  <c r="G1403" i="1"/>
  <c r="G1402" i="1" a="1"/>
  <c r="G1402" i="1"/>
  <c r="G1405" i="1" a="1"/>
  <c r="G1405" i="1"/>
  <c r="G1404" i="1" a="1"/>
  <c r="G1404" i="1"/>
  <c r="G1407" i="1" a="1"/>
  <c r="G1407" i="1"/>
  <c r="G1409" i="1" a="1"/>
  <c r="G1409" i="1"/>
  <c r="G1408" i="1" a="1"/>
  <c r="G1408" i="1"/>
  <c r="G1406" i="1" a="1"/>
  <c r="G1406" i="1"/>
  <c r="G1410" i="1" a="1"/>
  <c r="G1410" i="1"/>
  <c r="G1412" i="1" a="1"/>
  <c r="G1412" i="1"/>
  <c r="G1414" i="1" a="1"/>
  <c r="G1414" i="1"/>
  <c r="G1413" i="1" a="1"/>
  <c r="G1413" i="1"/>
  <c r="G1411" i="1" a="1"/>
  <c r="G1411" i="1"/>
  <c r="G1416" i="1" a="1"/>
  <c r="G1416" i="1"/>
  <c r="G1415" i="1" a="1"/>
  <c r="G1415" i="1"/>
  <c r="G1417" i="1" a="1"/>
  <c r="G1417" i="1"/>
  <c r="G1419" i="1" a="1"/>
  <c r="G1419" i="1"/>
  <c r="G1418" i="1" a="1"/>
  <c r="G1418" i="1"/>
  <c r="G1421" i="1" a="1"/>
  <c r="G1421" i="1"/>
  <c r="G1420" i="1" a="1"/>
  <c r="G1420" i="1"/>
  <c r="G1423" i="1" a="1"/>
  <c r="G1423" i="1"/>
  <c r="G1422" i="1" a="1"/>
  <c r="G1422" i="1"/>
  <c r="G1424" i="1" a="1"/>
  <c r="G1424" i="1"/>
  <c r="G1425" i="1" a="1"/>
  <c r="G1425" i="1"/>
  <c r="G1426" i="1" a="1"/>
  <c r="G1426" i="1"/>
  <c r="G1427" i="1" a="1"/>
  <c r="G1427" i="1"/>
  <c r="G1428" i="1" a="1"/>
  <c r="G1428" i="1"/>
  <c r="G1431" i="1" a="1"/>
  <c r="G1431" i="1"/>
  <c r="G1429" i="1" a="1"/>
  <c r="G1429" i="1"/>
  <c r="G1430" i="1" a="1"/>
  <c r="G1430" i="1"/>
  <c r="G1433" i="1" a="1"/>
  <c r="G1433" i="1"/>
  <c r="G1432" i="1" a="1"/>
  <c r="G1432" i="1"/>
  <c r="G1434" i="1" a="1"/>
  <c r="G1434" i="1"/>
  <c r="G1435" i="1" a="1"/>
  <c r="G1435" i="1"/>
  <c r="G1436" i="1" a="1"/>
  <c r="G1436" i="1"/>
  <c r="G1437" i="1" a="1"/>
  <c r="G1437" i="1"/>
  <c r="G1438" i="1" a="1"/>
  <c r="G1438" i="1"/>
  <c r="G1439" i="1" a="1"/>
  <c r="G1439" i="1"/>
  <c r="G1441" i="1" a="1"/>
  <c r="G1441" i="1"/>
  <c r="G1444" i="1" a="1"/>
  <c r="G1444" i="1"/>
  <c r="G1445" i="1" a="1"/>
  <c r="G1445" i="1"/>
  <c r="G1442" i="1" a="1"/>
  <c r="G1442" i="1"/>
  <c r="G1440" i="1" a="1"/>
  <c r="G1440" i="1"/>
  <c r="G1443" i="1" a="1"/>
  <c r="G1443" i="1"/>
  <c r="G1446" i="1" a="1"/>
  <c r="G1446" i="1"/>
  <c r="G1448" i="1" a="1"/>
  <c r="G1448" i="1"/>
  <c r="G1447" i="1" a="1"/>
  <c r="G1447" i="1"/>
  <c r="G1450" i="1" a="1"/>
  <c r="G1450" i="1"/>
  <c r="G1449" i="1" a="1"/>
  <c r="G1449" i="1"/>
  <c r="G1453" i="1" a="1"/>
  <c r="G1453" i="1"/>
  <c r="G1451" i="1" a="1"/>
  <c r="G1451" i="1"/>
  <c r="G1452" i="1" a="1"/>
  <c r="G1452" i="1"/>
  <c r="G1455" i="1" a="1"/>
  <c r="G1455" i="1"/>
  <c r="G1454" i="1" a="1"/>
  <c r="G1454" i="1"/>
  <c r="G1456" i="1" a="1"/>
  <c r="G1456" i="1"/>
  <c r="G1457" i="1" a="1"/>
  <c r="G1457" i="1"/>
  <c r="G1458" i="1" a="1"/>
  <c r="G1458" i="1"/>
  <c r="G1459" i="1" a="1"/>
  <c r="G1459" i="1"/>
  <c r="G1461" i="1" a="1"/>
  <c r="G1461" i="1"/>
  <c r="G1460" i="1" a="1"/>
  <c r="G1460" i="1"/>
  <c r="G1462" i="1" a="1"/>
  <c r="G1462" i="1"/>
  <c r="G1464" i="1" a="1"/>
  <c r="G1464" i="1"/>
  <c r="G1463" i="1" a="1"/>
  <c r="G1463" i="1"/>
  <c r="G1465" i="1" a="1"/>
  <c r="G1465" i="1"/>
  <c r="G1466" i="1" a="1"/>
  <c r="G1466" i="1"/>
  <c r="G1467" i="1" a="1"/>
  <c r="G1467" i="1"/>
  <c r="G1468" i="1" a="1"/>
  <c r="G1468" i="1"/>
  <c r="G1469" i="1" a="1"/>
  <c r="G1469" i="1"/>
  <c r="G1472" i="1" a="1"/>
  <c r="G1472" i="1"/>
  <c r="G1470" i="1" a="1"/>
  <c r="G1470" i="1"/>
  <c r="G1471" i="1" a="1"/>
  <c r="G1471" i="1"/>
  <c r="G1473" i="1" a="1"/>
  <c r="G1473" i="1"/>
  <c r="G1475" i="1" a="1"/>
  <c r="G1475" i="1"/>
  <c r="G1474" i="1" a="1"/>
  <c r="G1474" i="1"/>
  <c r="G1476" i="1" a="1"/>
  <c r="G1476" i="1"/>
  <c r="G1479" i="1" a="1"/>
  <c r="G1479" i="1"/>
  <c r="G1478" i="1" a="1"/>
  <c r="G1478" i="1"/>
  <c r="G1477" i="1" a="1"/>
  <c r="G1477" i="1"/>
  <c r="G1481" i="1" a="1"/>
  <c r="G1481" i="1"/>
  <c r="G1480" i="1" a="1"/>
  <c r="G1480" i="1"/>
  <c r="G1482" i="1" a="1"/>
  <c r="G1482" i="1"/>
  <c r="G1483" i="1" a="1"/>
  <c r="G1483" i="1"/>
  <c r="G1486" i="1" a="1"/>
  <c r="G1486" i="1"/>
  <c r="G1485" i="1" a="1"/>
  <c r="G1485" i="1"/>
  <c r="G1484" i="1" a="1"/>
  <c r="G1484" i="1"/>
  <c r="G1488" i="1" a="1"/>
  <c r="G1488" i="1"/>
  <c r="G1489" i="1" a="1"/>
  <c r="G1489" i="1"/>
  <c r="G1487" i="1" a="1"/>
  <c r="G1487" i="1"/>
  <c r="G1490" i="1" a="1"/>
  <c r="G1490" i="1"/>
  <c r="G1491" i="1" a="1"/>
  <c r="G1491" i="1"/>
  <c r="G1492" i="1" a="1"/>
  <c r="G1492" i="1"/>
  <c r="G1493" i="1" a="1"/>
  <c r="G1493" i="1"/>
  <c r="G1494" i="1" a="1"/>
  <c r="G1494" i="1"/>
  <c r="G1496" i="1" a="1"/>
  <c r="G1496" i="1"/>
  <c r="G1495" i="1" a="1"/>
  <c r="G1495" i="1"/>
  <c r="G1497" i="1" a="1"/>
  <c r="G1497" i="1"/>
  <c r="G1498" i="1" a="1"/>
  <c r="G1498" i="1"/>
  <c r="G1499" i="1" a="1"/>
  <c r="G1499" i="1"/>
  <c r="G1501" i="1" a="1"/>
  <c r="G1501" i="1"/>
  <c r="G1500" i="1" a="1"/>
  <c r="G1500" i="1"/>
  <c r="G1505" i="1" a="1"/>
  <c r="G1505" i="1"/>
  <c r="G1504" i="1" a="1"/>
  <c r="G1504" i="1"/>
  <c r="G1503" i="1" a="1"/>
  <c r="G1503" i="1"/>
  <c r="G1502" i="1" a="1"/>
  <c r="G1502" i="1"/>
  <c r="G1507" i="1" a="1"/>
  <c r="G1507" i="1"/>
  <c r="G1506" i="1" a="1"/>
  <c r="G1506" i="1"/>
  <c r="G1509" i="1" a="1"/>
  <c r="G1509" i="1"/>
  <c r="G1508" i="1" a="1"/>
  <c r="G1508" i="1"/>
  <c r="G1511" i="1" a="1"/>
  <c r="G1511" i="1"/>
  <c r="G1510" i="1" a="1"/>
  <c r="G1510" i="1"/>
  <c r="G1512" i="1" a="1"/>
  <c r="G1512" i="1"/>
  <c r="G1513" i="1" a="1"/>
  <c r="G1513" i="1"/>
  <c r="G1514" i="1" a="1"/>
  <c r="G1514" i="1"/>
  <c r="G1518" i="1" a="1"/>
  <c r="G1518" i="1"/>
  <c r="G1515" i="1" a="1"/>
  <c r="G1515" i="1"/>
  <c r="G1516" i="1" a="1"/>
  <c r="G1516" i="1"/>
  <c r="G1517" i="1" a="1"/>
  <c r="G1517" i="1"/>
  <c r="G1520" i="1" a="1"/>
  <c r="G1520" i="1"/>
  <c r="G1519" i="1" a="1"/>
  <c r="G1519" i="1"/>
  <c r="G1524" i="1" a="1"/>
  <c r="G1524" i="1"/>
  <c r="G1523" i="1" a="1"/>
  <c r="G1523" i="1"/>
  <c r="G1521" i="1" a="1"/>
  <c r="G1521" i="1"/>
  <c r="G1522" i="1" a="1"/>
  <c r="G1522" i="1"/>
  <c r="G1525" i="1" a="1"/>
  <c r="G1525" i="1"/>
  <c r="G1526" i="1" a="1"/>
  <c r="G1526" i="1"/>
  <c r="G1527" i="1" a="1"/>
  <c r="G1527" i="1"/>
  <c r="G1528" i="1" a="1"/>
  <c r="G1528" i="1"/>
  <c r="G1529" i="1" a="1"/>
  <c r="G1529" i="1"/>
  <c r="G1530" i="1" a="1"/>
  <c r="G1530" i="1"/>
  <c r="G1532" i="1" a="1"/>
  <c r="G1532" i="1"/>
  <c r="G1531" i="1" a="1"/>
  <c r="G1531" i="1"/>
  <c r="G1533" i="1" a="1"/>
  <c r="G1533" i="1"/>
  <c r="G1534" i="1" a="1"/>
  <c r="G1534" i="1"/>
  <c r="G1537" i="1" a="1"/>
  <c r="G1537" i="1"/>
  <c r="G1535" i="1" a="1"/>
  <c r="G1535" i="1"/>
  <c r="G1536" i="1" a="1"/>
  <c r="G1536" i="1"/>
  <c r="G1539" i="1" a="1"/>
  <c r="G1539" i="1"/>
  <c r="G1538" i="1" a="1"/>
  <c r="G1538" i="1"/>
  <c r="G1540" i="1" a="1"/>
  <c r="G1540" i="1"/>
  <c r="G1544" i="1" a="1"/>
  <c r="G1544" i="1"/>
  <c r="G1542" i="1" a="1"/>
  <c r="G1542" i="1"/>
  <c r="G1543" i="1" a="1"/>
  <c r="G1543" i="1"/>
  <c r="G1541" i="1" a="1"/>
  <c r="G1541" i="1"/>
  <c r="G1547" i="1" a="1"/>
  <c r="G1547" i="1"/>
  <c r="G1545" i="1" a="1"/>
  <c r="G1545" i="1"/>
  <c r="G1548" i="1" a="1"/>
  <c r="G1548" i="1"/>
  <c r="G1546" i="1" a="1"/>
  <c r="G1546" i="1"/>
  <c r="G1549" i="1" a="1"/>
  <c r="G1549" i="1"/>
  <c r="G1550" i="1" a="1"/>
  <c r="G1550" i="1"/>
  <c r="G1552" i="1" a="1"/>
  <c r="G1552" i="1"/>
  <c r="G1551" i="1" a="1"/>
  <c r="G1551" i="1"/>
  <c r="G1554" i="1" a="1"/>
  <c r="G1554" i="1"/>
  <c r="G1553" i="1" a="1"/>
  <c r="G1553" i="1"/>
  <c r="G1556" i="1" a="1"/>
  <c r="G1556" i="1"/>
  <c r="G1555" i="1" a="1"/>
  <c r="G1555" i="1"/>
  <c r="G1557" i="1" a="1"/>
  <c r="G1557" i="1"/>
  <c r="G1558" i="1" a="1"/>
  <c r="G1558" i="1"/>
  <c r="G1560" i="1" a="1"/>
  <c r="G1560" i="1"/>
  <c r="G1559" i="1" a="1"/>
  <c r="G1559" i="1"/>
  <c r="G1561" i="1" a="1"/>
  <c r="G1561" i="1"/>
  <c r="G1562" i="1" a="1"/>
  <c r="G1562" i="1"/>
  <c r="G1564" i="1" a="1"/>
  <c r="G1564" i="1"/>
  <c r="G1563" i="1" a="1"/>
  <c r="G1563" i="1"/>
  <c r="G1565" i="1" a="1"/>
  <c r="G1565" i="1"/>
  <c r="G1566" i="1" a="1"/>
  <c r="G1566" i="1"/>
  <c r="G1567" i="1" a="1"/>
  <c r="G1567" i="1"/>
  <c r="G1570" i="1" a="1"/>
  <c r="G1570" i="1"/>
  <c r="G1568" i="1" a="1"/>
  <c r="G1568" i="1"/>
  <c r="G1569" i="1" a="1"/>
  <c r="G1569" i="1"/>
  <c r="G1572" i="1" a="1"/>
  <c r="G1572" i="1"/>
  <c r="G1571" i="1" a="1"/>
  <c r="G1571" i="1"/>
  <c r="G1573" i="1" a="1"/>
  <c r="G1573" i="1"/>
  <c r="G1574" i="1" a="1"/>
  <c r="G1574" i="1"/>
  <c r="G1575" i="1" a="1"/>
  <c r="G1575" i="1"/>
  <c r="G1576" i="1" a="1"/>
  <c r="G1576" i="1"/>
  <c r="G1578" i="1" a="1"/>
  <c r="G1578" i="1"/>
  <c r="G1577" i="1" a="1"/>
  <c r="G1577" i="1"/>
  <c r="G1579" i="1" a="1"/>
  <c r="G1579" i="1"/>
  <c r="G1580" i="1" a="1"/>
  <c r="G1580" i="1"/>
  <c r="G1583" i="1" a="1"/>
  <c r="G1583" i="1"/>
  <c r="G1584" i="1" a="1"/>
  <c r="G1584" i="1"/>
  <c r="G1581" i="1" a="1"/>
  <c r="G1581" i="1"/>
  <c r="G1582" i="1" a="1"/>
  <c r="G1582" i="1"/>
  <c r="G1585" i="1" a="1"/>
  <c r="G1585" i="1"/>
  <c r="G1587" i="1" a="1"/>
  <c r="G1587" i="1"/>
  <c r="G1586" i="1" a="1"/>
  <c r="G1586" i="1"/>
  <c r="G1588" i="1" a="1"/>
  <c r="G1588" i="1"/>
  <c r="G1589" i="1" a="1"/>
  <c r="G1589" i="1"/>
  <c r="G1590" i="1" a="1"/>
  <c r="G1590" i="1"/>
  <c r="G1591" i="1" a="1"/>
  <c r="G1591" i="1"/>
  <c r="G1592" i="1" a="1"/>
  <c r="G1592" i="1"/>
  <c r="G1593" i="1" a="1"/>
  <c r="G1593" i="1"/>
  <c r="G1595" i="1" a="1"/>
  <c r="G1595" i="1"/>
  <c r="G1594" i="1" a="1"/>
  <c r="G1594" i="1"/>
  <c r="G1597" i="1" a="1"/>
  <c r="G1597" i="1"/>
  <c r="G1596" i="1" a="1"/>
  <c r="G1596" i="1"/>
  <c r="G1599" i="1" a="1"/>
  <c r="G1599" i="1"/>
  <c r="G1598" i="1" a="1"/>
  <c r="G1598" i="1"/>
  <c r="G1600" i="1" a="1"/>
  <c r="G1600" i="1"/>
  <c r="G1603" i="1" a="1"/>
  <c r="G1603" i="1"/>
  <c r="G1602" i="1" a="1"/>
  <c r="G1602" i="1"/>
  <c r="G1601" i="1" a="1"/>
  <c r="G1601" i="1"/>
  <c r="G1604" i="1" a="1"/>
  <c r="G1604" i="1"/>
  <c r="G1605" i="1" a="1"/>
  <c r="G1605" i="1"/>
  <c r="G1606" i="1" a="1"/>
  <c r="G1606" i="1"/>
  <c r="G1607" i="1" a="1"/>
  <c r="G1607" i="1"/>
  <c r="G1608" i="1" a="1"/>
  <c r="G1608" i="1"/>
  <c r="G1609" i="1" a="1"/>
  <c r="G1609" i="1"/>
  <c r="G1610" i="1" a="1"/>
  <c r="G1610" i="1"/>
  <c r="G1611" i="1" a="1"/>
  <c r="G1611" i="1"/>
  <c r="G1613" i="1" a="1"/>
  <c r="G1613" i="1"/>
  <c r="G1612" i="1" a="1"/>
  <c r="G1612" i="1"/>
  <c r="G1614" i="1" a="1"/>
  <c r="G1614" i="1"/>
  <c r="G1616" i="1" a="1"/>
  <c r="G1616" i="1"/>
  <c r="G1615" i="1" a="1"/>
  <c r="G1615" i="1"/>
  <c r="G1617" i="1" a="1"/>
  <c r="G1617" i="1"/>
  <c r="G1618" i="1" a="1"/>
  <c r="G1618" i="1"/>
  <c r="G1619" i="1" a="1"/>
  <c r="G1619" i="1"/>
  <c r="G1620" i="1" a="1"/>
  <c r="G1620" i="1"/>
  <c r="G1621" i="1" a="1"/>
  <c r="G1621" i="1"/>
  <c r="G1622" i="1" a="1"/>
  <c r="G1622" i="1"/>
  <c r="G1623" i="1" a="1"/>
  <c r="G1623" i="1"/>
  <c r="G1624" i="1" a="1"/>
  <c r="G1624" i="1"/>
  <c r="G1625" i="1" a="1"/>
  <c r="G1625" i="1"/>
  <c r="G1626" i="1" a="1"/>
  <c r="G1626" i="1"/>
  <c r="G1627" i="1" a="1"/>
  <c r="G1627" i="1"/>
  <c r="G1628" i="1" a="1"/>
  <c r="G1628" i="1"/>
  <c r="G1629" i="1" a="1"/>
  <c r="G1629" i="1"/>
  <c r="G1630" i="1" a="1"/>
  <c r="G1630" i="1"/>
  <c r="G1631" i="1" a="1"/>
  <c r="G1631" i="1"/>
  <c r="G1634" i="1" a="1"/>
  <c r="G1634" i="1"/>
  <c r="G1632" i="1" a="1"/>
  <c r="G1632" i="1"/>
  <c r="G1633" i="1" a="1"/>
  <c r="G1633" i="1"/>
  <c r="G1636" i="1" a="1"/>
  <c r="G1636" i="1"/>
  <c r="G1635" i="1" a="1"/>
  <c r="G1635" i="1"/>
  <c r="G1637" i="1" a="1"/>
  <c r="G1637" i="1"/>
  <c r="G1640" i="1" a="1"/>
  <c r="G1640" i="1"/>
  <c r="G1639" i="1" a="1"/>
  <c r="G1639" i="1"/>
  <c r="G1638" i="1" a="1"/>
  <c r="G1638" i="1"/>
  <c r="G1641" i="1" a="1"/>
  <c r="G1641" i="1"/>
  <c r="G1642" i="1" a="1"/>
  <c r="G1642" i="1"/>
  <c r="G1643" i="1" a="1"/>
  <c r="G1643" i="1"/>
  <c r="G1644" i="1" a="1"/>
  <c r="G1644" i="1"/>
  <c r="G1645" i="1" a="1"/>
  <c r="G1645" i="1"/>
  <c r="G1647" i="1" a="1"/>
  <c r="G1647" i="1"/>
  <c r="G1646" i="1" a="1"/>
  <c r="G1646" i="1"/>
  <c r="G1648" i="1" a="1"/>
  <c r="G1648" i="1"/>
  <c r="G1649" i="1" a="1"/>
  <c r="G1649" i="1"/>
  <c r="G1650" i="1" a="1"/>
  <c r="G1650" i="1"/>
  <c r="G1651" i="1" a="1"/>
  <c r="G1651" i="1"/>
  <c r="G1652" i="1" a="1"/>
  <c r="G1652" i="1"/>
  <c r="G1653" i="1" a="1"/>
  <c r="G1653" i="1"/>
  <c r="G1654" i="1" a="1"/>
  <c r="G1654" i="1"/>
  <c r="G1655" i="1" a="1"/>
  <c r="G1655" i="1"/>
  <c r="G1658" i="1" a="1"/>
  <c r="G1658" i="1"/>
  <c r="G1657" i="1" a="1"/>
  <c r="G1657" i="1"/>
  <c r="G1656" i="1" a="1"/>
  <c r="G1656" i="1"/>
  <c r="G1659" i="1" a="1"/>
  <c r="G1659" i="1"/>
  <c r="G1661" i="1" a="1"/>
  <c r="G1661" i="1"/>
  <c r="G1660" i="1" a="1"/>
  <c r="G1660" i="1"/>
  <c r="G1662" i="1" a="1"/>
  <c r="G1662" i="1"/>
  <c r="G1663" i="1" a="1"/>
  <c r="G1663" i="1"/>
  <c r="G1664" i="1" a="1"/>
  <c r="G1664" i="1"/>
  <c r="G1665" i="1" a="1"/>
  <c r="G1665" i="1"/>
  <c r="G1667" i="1" a="1"/>
  <c r="G1667" i="1"/>
  <c r="G1666" i="1" a="1"/>
  <c r="G1666" i="1"/>
  <c r="G1670" i="1" a="1"/>
  <c r="G1670" i="1"/>
  <c r="G1669" i="1" a="1"/>
  <c r="G1669" i="1"/>
  <c r="G1668" i="1" a="1"/>
  <c r="G1668" i="1"/>
  <c r="G1671" i="1" a="1"/>
  <c r="G1671" i="1"/>
  <c r="G1673" i="1" a="1"/>
  <c r="G1673" i="1"/>
  <c r="G1672" i="1" a="1"/>
  <c r="G1672" i="1"/>
  <c r="G1674" i="1" a="1"/>
  <c r="G1674" i="1"/>
  <c r="G1676" i="1" a="1"/>
  <c r="G1676" i="1"/>
  <c r="G1675" i="1" a="1"/>
  <c r="G1675" i="1"/>
  <c r="G1677" i="1" a="1"/>
  <c r="G1677" i="1"/>
  <c r="G1679" i="1" a="1"/>
  <c r="G1679" i="1"/>
  <c r="G1678" i="1" a="1"/>
  <c r="G1678" i="1"/>
  <c r="G1680" i="1" a="1"/>
  <c r="G1680" i="1"/>
  <c r="G1681" i="1" a="1"/>
  <c r="G1681" i="1"/>
  <c r="G1682" i="1" a="1"/>
  <c r="G1682" i="1"/>
  <c r="G1683" i="1" a="1"/>
  <c r="G1683" i="1"/>
  <c r="G1684" i="1" a="1"/>
  <c r="G1684" i="1"/>
  <c r="G1687" i="1" a="1"/>
  <c r="G1687" i="1"/>
  <c r="G1685" i="1" a="1"/>
  <c r="G1685" i="1"/>
  <c r="G1686" i="1" a="1"/>
  <c r="G1686" i="1"/>
  <c r="G1689" i="1" a="1"/>
  <c r="G1689" i="1"/>
  <c r="G1688" i="1" a="1"/>
  <c r="G1688" i="1"/>
  <c r="G1691" i="1" a="1"/>
  <c r="G1691" i="1"/>
  <c r="G1690" i="1" a="1"/>
  <c r="G1690" i="1"/>
  <c r="G1693" i="1" a="1"/>
  <c r="G1693" i="1"/>
  <c r="G1692" i="1" a="1"/>
  <c r="G1692" i="1"/>
  <c r="G1694" i="1" a="1"/>
  <c r="G1694" i="1"/>
  <c r="G1695" i="1" a="1"/>
  <c r="G1695" i="1"/>
  <c r="G1696" i="1" a="1"/>
  <c r="G1696" i="1"/>
  <c r="G1697" i="1" a="1"/>
  <c r="G1697" i="1"/>
  <c r="G1699" i="1" a="1"/>
  <c r="G1699" i="1"/>
  <c r="G1698" i="1" a="1"/>
  <c r="G1698" i="1"/>
  <c r="G1700" i="1" a="1"/>
  <c r="G1700" i="1"/>
  <c r="G1701" i="1" a="1"/>
  <c r="G1701" i="1"/>
  <c r="G1702" i="1" a="1"/>
  <c r="G1702" i="1"/>
  <c r="G1703" i="1" a="1"/>
  <c r="G1703" i="1"/>
  <c r="G1705" i="1" a="1"/>
  <c r="G1705" i="1"/>
  <c r="G1704" i="1" a="1"/>
  <c r="G1704" i="1"/>
  <c r="G1706" i="1" a="1"/>
  <c r="G1706" i="1"/>
  <c r="G1708" i="1" a="1"/>
  <c r="G1708" i="1"/>
  <c r="G1709" i="1" a="1"/>
  <c r="G1709" i="1"/>
  <c r="G1707" i="1" a="1"/>
  <c r="G1707" i="1"/>
  <c r="G1711" i="1" a="1"/>
  <c r="G1711" i="1"/>
  <c r="G1710" i="1" a="1"/>
  <c r="G1710" i="1"/>
  <c r="G1712" i="1" a="1"/>
  <c r="G1712" i="1"/>
  <c r="G1713" i="1" a="1"/>
  <c r="G1713" i="1"/>
  <c r="G1715" i="1" a="1"/>
  <c r="G1715" i="1"/>
  <c r="G1714" i="1" a="1"/>
  <c r="G1714" i="1"/>
  <c r="G1716" i="1" a="1"/>
  <c r="G1716" i="1"/>
  <c r="G1717" i="1" a="1"/>
  <c r="G1717" i="1"/>
  <c r="G1719" i="1" a="1"/>
  <c r="G1719" i="1"/>
  <c r="G1718" i="1" a="1"/>
  <c r="G1718" i="1"/>
  <c r="G1720" i="1" a="1"/>
  <c r="G1720" i="1"/>
  <c r="G1722" i="1" a="1"/>
  <c r="G1722" i="1"/>
  <c r="G1721" i="1" a="1"/>
  <c r="G1721" i="1"/>
  <c r="G1725" i="1" a="1"/>
  <c r="G1725" i="1"/>
  <c r="G1723" i="1" a="1"/>
  <c r="G1723" i="1"/>
  <c r="G1724" i="1" a="1"/>
  <c r="G1724" i="1"/>
  <c r="G1726" i="1" a="1"/>
  <c r="G1726" i="1"/>
  <c r="G1727" i="1" a="1"/>
  <c r="G1727" i="1"/>
  <c r="G1728" i="1" a="1"/>
  <c r="G1728" i="1"/>
  <c r="G1730" i="1" a="1"/>
  <c r="G1730" i="1"/>
  <c r="G1729" i="1" a="1"/>
  <c r="G1729" i="1"/>
  <c r="G1731" i="1" a="1"/>
  <c r="G1731" i="1"/>
  <c r="G1732" i="1" a="1"/>
  <c r="G1732" i="1"/>
  <c r="G1733" i="1" a="1"/>
  <c r="G1733" i="1"/>
  <c r="G1734" i="1" a="1"/>
  <c r="G1734" i="1"/>
  <c r="G1735" i="1" a="1"/>
  <c r="G1735" i="1"/>
  <c r="G1736" i="1" a="1"/>
  <c r="G1736" i="1"/>
  <c r="G1739" i="1" a="1"/>
  <c r="G1739" i="1"/>
  <c r="G1737" i="1" a="1"/>
  <c r="G1737" i="1"/>
  <c r="G1740" i="1" a="1"/>
  <c r="G1740" i="1"/>
  <c r="G1738" i="1" a="1"/>
  <c r="G1738" i="1"/>
  <c r="G1741" i="1" a="1"/>
  <c r="G1741" i="1"/>
  <c r="G1742" i="1" a="1"/>
  <c r="G1742" i="1"/>
  <c r="G1743" i="1" a="1"/>
  <c r="G1743" i="1"/>
  <c r="G1744" i="1" a="1"/>
  <c r="G1744" i="1"/>
  <c r="G1745" i="1" a="1"/>
  <c r="G1745" i="1"/>
  <c r="G1746" i="1" a="1"/>
  <c r="G1746" i="1"/>
  <c r="G1749" i="1" a="1"/>
  <c r="G1749" i="1"/>
  <c r="G1751" i="1" a="1"/>
  <c r="G1751" i="1"/>
  <c r="G1748" i="1" a="1"/>
  <c r="G1748" i="1"/>
  <c r="G1752" i="1" a="1"/>
  <c r="G1752" i="1"/>
  <c r="G1747" i="1" a="1"/>
  <c r="G1747" i="1"/>
  <c r="G1750" i="1" a="1"/>
  <c r="G1750" i="1"/>
  <c r="G1753" i="1" a="1"/>
  <c r="G1753" i="1"/>
  <c r="G1754" i="1" a="1"/>
  <c r="G1754" i="1"/>
  <c r="G1755" i="1" a="1"/>
  <c r="G1755" i="1"/>
  <c r="G1757" i="1" a="1"/>
  <c r="G1757" i="1"/>
  <c r="G1756" i="1" a="1"/>
  <c r="G1756" i="1"/>
  <c r="G1759" i="1" a="1"/>
  <c r="G1759" i="1"/>
  <c r="G1758" i="1" a="1"/>
  <c r="G1758" i="1"/>
  <c r="G1760" i="1" a="1"/>
  <c r="G1760" i="1"/>
  <c r="G1761" i="1" a="1"/>
  <c r="G1761" i="1"/>
  <c r="G1762" i="1" a="1"/>
  <c r="G1762" i="1"/>
  <c r="G1764" i="1" a="1"/>
  <c r="G1764" i="1"/>
  <c r="G1763" i="1" a="1"/>
  <c r="G1763" i="1"/>
  <c r="G1765" i="1" a="1"/>
  <c r="G1765" i="1"/>
  <c r="G1767" i="1" a="1"/>
  <c r="G1767" i="1"/>
  <c r="G1768" i="1" a="1"/>
  <c r="G1768" i="1"/>
  <c r="G1766" i="1" a="1"/>
  <c r="G1766" i="1"/>
  <c r="G1769" i="1" a="1"/>
  <c r="G1769" i="1"/>
  <c r="G1770" i="1" a="1"/>
  <c r="G1770" i="1"/>
  <c r="G1771" i="1" a="1"/>
  <c r="G1771" i="1"/>
  <c r="G1774" i="1" a="1"/>
  <c r="G1774" i="1"/>
  <c r="G1772" i="1" a="1"/>
  <c r="G1772" i="1"/>
  <c r="G1773" i="1" a="1"/>
  <c r="G1773" i="1"/>
  <c r="G1776" i="1" a="1"/>
  <c r="G1776" i="1"/>
  <c r="G1775" i="1" a="1"/>
  <c r="G1775" i="1"/>
  <c r="G1778" i="1" a="1"/>
  <c r="G1778" i="1"/>
  <c r="G1777" i="1" a="1"/>
  <c r="G1777" i="1"/>
  <c r="G1779" i="1" a="1"/>
  <c r="G1779" i="1"/>
  <c r="G1780" i="1" a="1"/>
  <c r="G1780" i="1"/>
  <c r="G1782" i="1" a="1"/>
  <c r="G1782" i="1"/>
  <c r="G1781" i="1" a="1"/>
  <c r="G1781" i="1"/>
  <c r="G1783" i="1" a="1"/>
  <c r="G1783" i="1"/>
  <c r="G1784" i="1" a="1"/>
  <c r="G1784" i="1"/>
  <c r="G1787" i="1" a="1"/>
  <c r="G1787" i="1"/>
  <c r="G1785" i="1" a="1"/>
  <c r="G1785" i="1"/>
  <c r="G1786" i="1" a="1"/>
  <c r="G1786" i="1"/>
  <c r="G1788" i="1" a="1"/>
  <c r="G1788" i="1"/>
  <c r="G1789" i="1" a="1"/>
  <c r="G1789" i="1"/>
  <c r="G1790" i="1" a="1"/>
  <c r="G1790" i="1"/>
  <c r="G1792" i="1" a="1"/>
  <c r="G1792" i="1"/>
  <c r="G1791" i="1" a="1"/>
  <c r="G1791" i="1"/>
  <c r="G1794" i="1" a="1"/>
  <c r="G1794" i="1"/>
  <c r="G1793" i="1" a="1"/>
  <c r="G1793" i="1"/>
  <c r="G1795" i="1" a="1"/>
  <c r="G1795" i="1"/>
  <c r="G1797" i="1" a="1"/>
  <c r="G1797" i="1"/>
  <c r="G1798" i="1" a="1"/>
  <c r="G1798" i="1"/>
  <c r="G1796" i="1" a="1"/>
  <c r="G1796" i="1"/>
  <c r="G1799" i="1" a="1"/>
  <c r="G1799" i="1"/>
  <c r="G1801" i="1" a="1"/>
  <c r="G1801" i="1"/>
  <c r="G1800" i="1" a="1"/>
  <c r="G1800" i="1"/>
  <c r="G1802" i="1" a="1"/>
  <c r="G1802" i="1"/>
  <c r="G1806" i="1" a="1"/>
  <c r="G1806" i="1"/>
  <c r="G1803" i="1" a="1"/>
  <c r="G1803" i="1"/>
  <c r="G1804" i="1" a="1"/>
  <c r="G1804" i="1"/>
  <c r="G1805" i="1" a="1"/>
  <c r="G1805" i="1"/>
  <c r="G1807" i="1" a="1"/>
  <c r="G1807" i="1"/>
  <c r="G1811" i="1" a="1"/>
  <c r="G1811" i="1"/>
  <c r="G1810" i="1" a="1"/>
  <c r="G1810" i="1"/>
  <c r="G1809" i="1" a="1"/>
  <c r="G1809" i="1"/>
  <c r="G1808" i="1" a="1"/>
  <c r="G1808" i="1"/>
  <c r="G1812" i="1" a="1"/>
  <c r="G1812" i="1"/>
  <c r="G1813" i="1" a="1"/>
  <c r="G1813" i="1"/>
  <c r="G1814" i="1" a="1"/>
  <c r="G1814" i="1"/>
  <c r="G1815" i="1" a="1"/>
  <c r="G1815" i="1"/>
  <c r="G1816" i="1" a="1"/>
  <c r="G1816" i="1"/>
  <c r="G1817" i="1" a="1"/>
  <c r="G1817" i="1"/>
  <c r="G1818" i="1" a="1"/>
  <c r="G1818" i="1"/>
  <c r="G1821" i="1" a="1"/>
  <c r="G1821" i="1"/>
  <c r="G1819" i="1" a="1"/>
  <c r="G1819" i="1"/>
  <c r="G1820" i="1" a="1"/>
  <c r="G1820" i="1"/>
  <c r="G1822" i="1" a="1"/>
  <c r="G1822" i="1"/>
  <c r="G1824" i="1" a="1"/>
  <c r="G1824" i="1"/>
  <c r="G1823" i="1" a="1"/>
  <c r="G1823" i="1"/>
  <c r="G1826" i="1" a="1"/>
  <c r="G1826" i="1"/>
  <c r="G1825" i="1" a="1"/>
  <c r="G1825" i="1"/>
  <c r="G1828" i="1" a="1"/>
  <c r="G1828" i="1"/>
  <c r="G1827" i="1" a="1"/>
  <c r="G1827" i="1"/>
  <c r="G1829" i="1" a="1"/>
  <c r="G1829" i="1"/>
  <c r="G1830" i="1" a="1"/>
  <c r="G1830" i="1"/>
  <c r="G1833" i="1" a="1"/>
  <c r="G1833" i="1"/>
  <c r="G1831" i="1" a="1"/>
  <c r="G1831" i="1"/>
  <c r="G1832" i="1" a="1"/>
  <c r="G1832" i="1"/>
  <c r="G1834" i="1" a="1"/>
  <c r="G1834" i="1"/>
  <c r="G1835" i="1" a="1"/>
  <c r="G1835" i="1"/>
  <c r="G1836" i="1" a="1"/>
  <c r="G1836" i="1"/>
  <c r="G1837" i="1" a="1"/>
  <c r="G1837" i="1"/>
  <c r="G1838" i="1" a="1"/>
  <c r="G1838" i="1"/>
  <c r="G1839" i="1" a="1"/>
  <c r="G1839" i="1"/>
  <c r="G1840" i="1" a="1"/>
  <c r="G1840" i="1"/>
  <c r="G1841" i="1" a="1"/>
  <c r="G1841" i="1"/>
  <c r="G1842" i="1" a="1"/>
  <c r="G1842" i="1"/>
  <c r="G1844" i="1" a="1"/>
  <c r="G1844" i="1"/>
  <c r="G1843" i="1" a="1"/>
  <c r="G1843" i="1"/>
  <c r="G1845" i="1" a="1"/>
  <c r="G1845" i="1"/>
  <c r="G1846" i="1" a="1"/>
  <c r="G1846" i="1"/>
  <c r="G1847" i="1" a="1"/>
  <c r="G1847" i="1"/>
  <c r="G1848" i="1" a="1"/>
  <c r="G1848" i="1"/>
  <c r="G1849" i="1" a="1"/>
  <c r="G1849" i="1"/>
  <c r="G1850" i="1" a="1"/>
  <c r="G1850" i="1"/>
  <c r="G1851" i="1" a="1"/>
  <c r="G1851" i="1"/>
  <c r="G1852" i="1" a="1"/>
  <c r="G1852" i="1"/>
  <c r="G1853" i="1" a="1"/>
  <c r="G1853" i="1"/>
  <c r="G1854" i="1" a="1"/>
  <c r="G1854" i="1"/>
  <c r="G1857" i="1" a="1"/>
  <c r="G1857" i="1"/>
  <c r="G1855" i="1" a="1"/>
  <c r="G1855" i="1"/>
  <c r="G1856" i="1" a="1"/>
  <c r="G1856" i="1"/>
  <c r="G1858" i="1" a="1"/>
  <c r="G1858" i="1"/>
  <c r="G1859" i="1" a="1"/>
  <c r="G1859" i="1"/>
  <c r="G1860" i="1" a="1"/>
  <c r="G1860" i="1"/>
  <c r="G1862" i="1" a="1"/>
  <c r="G1862" i="1"/>
  <c r="G1861" i="1" a="1"/>
  <c r="G1861" i="1"/>
  <c r="G1863" i="1" a="1"/>
  <c r="G1863" i="1"/>
  <c r="G1865" i="1" a="1"/>
  <c r="G1865" i="1"/>
  <c r="G1864" i="1" a="1"/>
  <c r="G1864" i="1"/>
  <c r="G1866" i="1" a="1"/>
  <c r="G1866" i="1"/>
  <c r="G1867" i="1" a="1"/>
  <c r="G1867" i="1"/>
  <c r="G1868" i="1" a="1"/>
  <c r="G1868" i="1"/>
  <c r="G1871" i="1" a="1"/>
  <c r="G1871" i="1"/>
  <c r="G1872" i="1" a="1"/>
  <c r="G1872" i="1"/>
  <c r="G1870" i="1" a="1"/>
  <c r="G1870" i="1"/>
  <c r="G1869" i="1" a="1"/>
  <c r="G1869" i="1"/>
  <c r="G1873" i="1" a="1"/>
  <c r="G1873" i="1"/>
  <c r="G1874" i="1" a="1"/>
  <c r="G1874" i="1"/>
  <c r="G1875" i="1" a="1"/>
  <c r="G1875" i="1"/>
  <c r="G1878" i="1" a="1"/>
  <c r="G1878" i="1"/>
  <c r="G1877" i="1" a="1"/>
  <c r="G1877" i="1"/>
  <c r="G1876" i="1" a="1"/>
  <c r="G1876" i="1"/>
  <c r="G1879" i="1" a="1"/>
  <c r="G1879" i="1"/>
  <c r="G1880" i="1" a="1"/>
  <c r="G1880" i="1"/>
  <c r="G1881" i="1" a="1"/>
  <c r="G1881" i="1"/>
  <c r="G1882" i="1" a="1"/>
  <c r="G1882" i="1"/>
  <c r="G1885" i="1" a="1"/>
  <c r="G1885" i="1"/>
  <c r="G1883" i="1" a="1"/>
  <c r="G1883" i="1"/>
  <c r="G1884" i="1" a="1"/>
  <c r="G1884" i="1"/>
  <c r="G1886" i="1" a="1"/>
  <c r="G1886" i="1"/>
  <c r="G1887" i="1" a="1"/>
  <c r="G1887" i="1"/>
  <c r="G1888" i="1" a="1"/>
  <c r="G1888" i="1"/>
  <c r="G1890" i="1" a="1"/>
  <c r="G1890" i="1"/>
  <c r="G1889" i="1" a="1"/>
  <c r="G1889" i="1"/>
  <c r="G1891" i="1" a="1"/>
  <c r="G1891" i="1"/>
  <c r="G1892" i="1" a="1"/>
  <c r="G1892" i="1"/>
  <c r="G1894" i="1" a="1"/>
  <c r="G1894" i="1"/>
  <c r="G1893" i="1" a="1"/>
  <c r="G1893" i="1"/>
  <c r="G1897" i="1" a="1"/>
  <c r="G1897" i="1"/>
  <c r="G1895" i="1" a="1"/>
  <c r="G1895" i="1"/>
  <c r="G1898" i="1" a="1"/>
  <c r="G1898" i="1"/>
  <c r="G1896" i="1" a="1"/>
  <c r="G1896" i="1"/>
  <c r="G1899" i="1" a="1"/>
  <c r="G1899" i="1"/>
  <c r="G1901" i="1" a="1"/>
  <c r="G1901" i="1"/>
  <c r="G1900" i="1" a="1"/>
  <c r="G1900" i="1"/>
  <c r="G1902" i="1" a="1"/>
  <c r="G1902" i="1"/>
  <c r="G1905" i="1" a="1"/>
  <c r="G1905" i="1"/>
  <c r="G1903" i="1" a="1"/>
  <c r="G1903" i="1"/>
  <c r="G1904" i="1" a="1"/>
  <c r="G1904" i="1"/>
  <c r="G1907" i="1" a="1"/>
  <c r="G1907" i="1"/>
  <c r="G1906" i="1" a="1"/>
  <c r="G1906" i="1"/>
  <c r="G1909" i="1" a="1"/>
  <c r="G1909" i="1"/>
  <c r="G1908" i="1" a="1"/>
  <c r="G1908" i="1"/>
  <c r="G1910" i="1" a="1"/>
  <c r="G1910" i="1"/>
  <c r="G1912" i="1" a="1"/>
  <c r="G1912" i="1"/>
  <c r="G1911" i="1" a="1"/>
  <c r="G1911" i="1"/>
  <c r="G1914" i="1" a="1"/>
  <c r="G1914" i="1"/>
  <c r="G1913" i="1" a="1"/>
  <c r="G1913" i="1"/>
  <c r="G1916" i="1" a="1"/>
  <c r="G1916" i="1"/>
  <c r="G1915" i="1" a="1"/>
  <c r="G1915" i="1"/>
  <c r="G1917" i="1" a="1"/>
  <c r="G1917" i="1"/>
  <c r="G1918" i="1" a="1"/>
  <c r="G1918" i="1"/>
  <c r="G1921" i="1" a="1"/>
  <c r="G1921" i="1"/>
  <c r="G1919" i="1" a="1"/>
  <c r="G1919" i="1"/>
  <c r="G1920" i="1" a="1"/>
  <c r="G1920" i="1"/>
  <c r="G1922" i="1" a="1"/>
  <c r="G1922" i="1"/>
  <c r="G1923" i="1" a="1"/>
  <c r="G1923" i="1"/>
  <c r="G1924" i="1" a="1"/>
  <c r="G1924" i="1"/>
  <c r="G1925" i="1" a="1"/>
  <c r="G1925" i="1"/>
  <c r="G1926" i="1" a="1"/>
  <c r="G1926" i="1"/>
  <c r="G1927" i="1" a="1"/>
  <c r="G1927" i="1"/>
  <c r="G1929" i="1" a="1"/>
  <c r="G1929" i="1"/>
  <c r="G1930" i="1" a="1"/>
  <c r="G1930" i="1"/>
  <c r="G1928" i="1" a="1"/>
  <c r="G1928" i="1"/>
  <c r="G1933" i="1" a="1"/>
  <c r="G1933" i="1"/>
  <c r="G1931" i="1" a="1"/>
  <c r="G1931" i="1"/>
  <c r="G1932" i="1" a="1"/>
  <c r="G1932" i="1"/>
  <c r="G1934" i="1" a="1"/>
  <c r="G1934" i="1"/>
  <c r="G1937" i="1" a="1"/>
  <c r="G1937" i="1"/>
  <c r="G1936" i="1" a="1"/>
  <c r="G1936" i="1"/>
  <c r="G1935" i="1" a="1"/>
  <c r="G1935" i="1"/>
  <c r="G1938" i="1" a="1"/>
  <c r="G1938" i="1"/>
  <c r="G1939" i="1" a="1"/>
  <c r="G1939" i="1"/>
  <c r="G1940" i="1" a="1"/>
  <c r="G1940" i="1"/>
  <c r="G1941" i="1" a="1"/>
  <c r="G1941" i="1"/>
  <c r="G1942" i="1" a="1"/>
  <c r="G1942" i="1"/>
  <c r="G1944" i="1" a="1"/>
  <c r="G1944" i="1"/>
  <c r="G1945" i="1" a="1"/>
  <c r="G1945" i="1"/>
  <c r="G1943" i="1" a="1"/>
  <c r="G1943" i="1"/>
  <c r="G1946" i="1" a="1"/>
  <c r="G1946" i="1"/>
  <c r="G1947" i="1" a="1"/>
  <c r="G1947" i="1"/>
  <c r="G1948" i="1" a="1"/>
  <c r="G1948" i="1"/>
  <c r="G1949" i="1" a="1"/>
  <c r="G1949" i="1"/>
  <c r="G1950" i="1" a="1"/>
  <c r="G1950" i="1"/>
  <c r="G1951" i="1" a="1"/>
  <c r="G1951" i="1"/>
  <c r="G1952" i="1" a="1"/>
  <c r="G1952" i="1"/>
  <c r="G1953" i="1" a="1"/>
  <c r="G1953" i="1"/>
  <c r="G1955" i="1" a="1"/>
  <c r="G1955" i="1"/>
  <c r="G1954" i="1" a="1"/>
  <c r="G1954" i="1"/>
  <c r="G1956" i="1" a="1"/>
  <c r="G1956" i="1"/>
  <c r="G1957" i="1" a="1"/>
  <c r="G1957" i="1"/>
  <c r="G1960" i="1" a="1"/>
  <c r="G1960" i="1"/>
  <c r="G1959" i="1" a="1"/>
  <c r="G1959" i="1"/>
  <c r="G1961" i="1" a="1"/>
  <c r="G1961" i="1"/>
  <c r="G1958" i="1" a="1"/>
  <c r="G1958" i="1"/>
  <c r="G1962" i="1" a="1"/>
  <c r="G1962" i="1"/>
  <c r="G1963" i="1" a="1"/>
  <c r="G1963" i="1"/>
  <c r="G1964" i="1" a="1"/>
  <c r="G1964" i="1"/>
  <c r="G1966" i="1" a="1"/>
  <c r="G1966" i="1"/>
  <c r="G1965" i="1" a="1"/>
  <c r="G1965" i="1"/>
  <c r="G1967" i="1" a="1"/>
  <c r="G1967" i="1"/>
  <c r="G1969" i="1" a="1"/>
  <c r="G1969" i="1"/>
  <c r="G1968" i="1" a="1"/>
  <c r="G1968" i="1"/>
  <c r="G1970" i="1" a="1"/>
  <c r="G1970" i="1"/>
  <c r="G1971" i="1" a="1"/>
  <c r="G1971" i="1"/>
  <c r="G1973" i="1" a="1"/>
  <c r="G1973" i="1"/>
  <c r="G1972" i="1" a="1"/>
  <c r="G1972" i="1"/>
  <c r="G1974" i="1" a="1"/>
  <c r="G1974" i="1"/>
  <c r="G1975" i="1" a="1"/>
  <c r="G1975" i="1"/>
  <c r="G1977" i="1" a="1"/>
  <c r="G1977" i="1"/>
  <c r="G1979" i="1" a="1"/>
  <c r="G1979" i="1"/>
  <c r="G1976" i="1" a="1"/>
  <c r="G1976" i="1"/>
  <c r="G1978" i="1" a="1"/>
  <c r="G1978" i="1"/>
  <c r="G1980" i="1" a="1"/>
  <c r="G1980" i="1"/>
  <c r="G1982" i="1" a="1"/>
  <c r="G1982" i="1"/>
  <c r="G1981" i="1" a="1"/>
  <c r="G1981" i="1"/>
  <c r="G1983" i="1" a="1"/>
  <c r="G1983" i="1"/>
  <c r="G1984" i="1" a="1"/>
  <c r="G1984" i="1"/>
  <c r="G1985" i="1" a="1"/>
  <c r="G1985" i="1"/>
  <c r="G1986" i="1" a="1"/>
  <c r="G1986" i="1"/>
  <c r="G1987" i="1" a="1"/>
  <c r="G1987" i="1"/>
  <c r="G1988" i="1" a="1"/>
  <c r="G1988" i="1"/>
  <c r="G1990" i="1" a="1"/>
  <c r="G1990" i="1"/>
  <c r="G1989" i="1" a="1"/>
  <c r="G1989" i="1"/>
  <c r="G1991" i="1" a="1"/>
  <c r="G1991" i="1"/>
  <c r="G1992" i="1" a="1"/>
  <c r="G1992" i="1"/>
  <c r="G1994" i="1" a="1"/>
  <c r="G1994" i="1"/>
  <c r="G1993" i="1" a="1"/>
  <c r="G1993" i="1"/>
  <c r="G1996" i="1" a="1"/>
  <c r="G1996" i="1"/>
  <c r="G1995" i="1" a="1"/>
  <c r="G1995" i="1"/>
  <c r="G1997" i="1" a="1"/>
  <c r="G1997" i="1"/>
  <c r="G1999" i="1" a="1"/>
  <c r="G1999" i="1"/>
  <c r="G1998" i="1" a="1"/>
  <c r="G1998" i="1"/>
  <c r="G2000" i="1" a="1"/>
  <c r="G2000" i="1"/>
  <c r="G2001" i="1" a="1"/>
  <c r="G2001" i="1"/>
  <c r="G2002" i="1" a="1"/>
  <c r="G2002" i="1"/>
  <c r="G2004" i="1" a="1"/>
  <c r="G2004" i="1"/>
  <c r="G2003" i="1" a="1"/>
  <c r="G2003" i="1"/>
  <c r="G2006" i="1" a="1"/>
  <c r="G2006" i="1"/>
  <c r="G2005" i="1" a="1"/>
  <c r="G2005" i="1"/>
  <c r="G2007" i="1" a="1"/>
  <c r="G2007" i="1"/>
  <c r="G2008" i="1" a="1"/>
  <c r="G2008" i="1"/>
  <c r="G2009" i="1" a="1"/>
  <c r="G2009" i="1"/>
  <c r="G2010" i="1" a="1"/>
  <c r="G2010" i="1"/>
  <c r="G2012" i="1" a="1"/>
  <c r="G2012" i="1"/>
  <c r="G2011" i="1" a="1"/>
  <c r="G2011" i="1"/>
  <c r="G2013" i="1" a="1"/>
  <c r="G2013" i="1"/>
  <c r="G2014" i="1" a="1"/>
  <c r="G2014" i="1"/>
  <c r="G2015" i="1" a="1"/>
  <c r="G2015" i="1"/>
  <c r="G2016" i="1" a="1"/>
  <c r="G2016" i="1"/>
  <c r="G2018" i="1" a="1"/>
  <c r="G2018" i="1"/>
  <c r="G2017" i="1" a="1"/>
  <c r="G2017" i="1"/>
  <c r="G2019" i="1" a="1"/>
  <c r="G2019" i="1"/>
  <c r="G2020" i="1" a="1"/>
  <c r="G2020" i="1"/>
  <c r="G2022" i="1" a="1"/>
  <c r="G2022" i="1"/>
  <c r="G2021" i="1" a="1"/>
  <c r="G2021" i="1"/>
  <c r="G2023" i="1" a="1"/>
  <c r="G2023" i="1"/>
  <c r="G2024" i="1" a="1"/>
  <c r="G2024" i="1"/>
  <c r="G2026" i="1" a="1"/>
  <c r="G2026" i="1"/>
  <c r="G2025" i="1" a="1"/>
  <c r="G2025" i="1"/>
  <c r="G2027" i="1" a="1"/>
  <c r="G2027" i="1"/>
  <c r="G2028" i="1" a="1"/>
  <c r="G2028" i="1"/>
  <c r="G2029" i="1" a="1"/>
  <c r="G2029" i="1"/>
  <c r="G2031" i="1" a="1"/>
  <c r="G2031" i="1"/>
  <c r="G2030" i="1" a="1"/>
  <c r="G2030" i="1"/>
  <c r="G2032" i="1" a="1"/>
  <c r="G2032" i="1"/>
  <c r="G2033" i="1" a="1"/>
  <c r="G2033" i="1"/>
  <c r="G2034" i="1" a="1"/>
  <c r="G2034" i="1"/>
  <c r="G2036" i="1" a="1"/>
  <c r="G2036" i="1"/>
  <c r="G2035" i="1" a="1"/>
  <c r="G2035" i="1"/>
  <c r="G2038" i="1" a="1"/>
  <c r="G2038" i="1"/>
  <c r="G2037" i="1" a="1"/>
  <c r="G2037" i="1"/>
  <c r="G2039" i="1" a="1"/>
  <c r="G2039" i="1"/>
  <c r="G2041" i="1" a="1"/>
  <c r="G2041" i="1"/>
  <c r="G2040" i="1" a="1"/>
  <c r="G2040" i="1"/>
  <c r="G2042" i="1" a="1"/>
  <c r="G2042" i="1"/>
  <c r="G2043" i="1" a="1"/>
  <c r="G2043" i="1"/>
  <c r="G2045" i="1" a="1"/>
  <c r="G2045" i="1"/>
  <c r="G2044" i="1" a="1"/>
  <c r="G2044" i="1"/>
  <c r="G2046" i="1" a="1"/>
  <c r="G2046" i="1"/>
  <c r="G2047" i="1" a="1"/>
  <c r="G2047" i="1"/>
  <c r="G2050" i="1" a="1"/>
  <c r="G2050" i="1"/>
  <c r="G2052" i="1" a="1"/>
  <c r="G2052" i="1"/>
  <c r="G2049" i="1" a="1"/>
  <c r="G2049" i="1"/>
  <c r="G2048" i="1" a="1"/>
  <c r="G2048" i="1"/>
  <c r="G2051" i="1" a="1"/>
  <c r="G2051" i="1"/>
  <c r="G2053" i="1" a="1"/>
  <c r="G2053" i="1"/>
  <c r="G2054" i="1" a="1"/>
  <c r="G2054" i="1"/>
  <c r="G2057" i="1" a="1"/>
  <c r="G2057" i="1"/>
  <c r="G2055" i="1" a="1"/>
  <c r="G2055" i="1"/>
  <c r="G2056" i="1" a="1"/>
  <c r="G2056" i="1"/>
  <c r="G2058" i="1" a="1"/>
  <c r="G2058" i="1"/>
  <c r="G2059" i="1" a="1"/>
  <c r="G2059" i="1"/>
  <c r="G2062" i="1" a="1"/>
  <c r="G2062" i="1"/>
  <c r="G2061" i="1" a="1"/>
  <c r="G2061" i="1"/>
  <c r="G2060" i="1" a="1"/>
  <c r="G2060" i="1"/>
  <c r="G2068" i="1" a="1"/>
  <c r="G2068" i="1"/>
  <c r="G2066" i="1" a="1"/>
  <c r="G2066" i="1"/>
  <c r="G2067" i="1" a="1"/>
  <c r="G2067" i="1"/>
  <c r="G2063" i="1" a="1"/>
  <c r="G2063" i="1"/>
  <c r="G2065" i="1" a="1"/>
  <c r="G2065" i="1"/>
  <c r="G2064" i="1" a="1"/>
  <c r="G2064" i="1"/>
  <c r="G2069" i="1" a="1"/>
  <c r="G2069" i="1"/>
  <c r="G2070" i="1" a="1"/>
  <c r="G2070" i="1"/>
  <c r="G2071" i="1" a="1"/>
  <c r="G2071" i="1"/>
  <c r="G2072" i="1" a="1"/>
  <c r="G2072" i="1"/>
  <c r="G2073" i="1" a="1"/>
  <c r="G2073" i="1"/>
  <c r="G2074" i="1" a="1"/>
  <c r="G2074" i="1"/>
  <c r="G2075" i="1" a="1"/>
  <c r="G2075" i="1"/>
  <c r="G2076" i="1" a="1"/>
  <c r="G2076" i="1"/>
  <c r="G2077" i="1" a="1"/>
  <c r="G2077" i="1"/>
  <c r="G2080" i="1" a="1"/>
  <c r="G2080" i="1"/>
  <c r="G2078" i="1" a="1"/>
  <c r="G2078" i="1"/>
  <c r="G2081" i="1" a="1"/>
  <c r="G2081" i="1"/>
  <c r="G2079" i="1" a="1"/>
  <c r="G2079" i="1"/>
  <c r="G2082" i="1" a="1"/>
  <c r="G2082" i="1"/>
  <c r="G2084" i="1" a="1"/>
  <c r="G2084" i="1"/>
  <c r="G2083" i="1" a="1"/>
  <c r="G2083" i="1"/>
  <c r="G2086" i="1" a="1"/>
  <c r="G2086" i="1"/>
  <c r="G2085" i="1" a="1"/>
  <c r="G2085" i="1"/>
  <c r="G2088" i="1" a="1"/>
  <c r="G2088" i="1"/>
  <c r="G2087" i="1" a="1"/>
  <c r="G2087" i="1"/>
  <c r="G2089" i="1" a="1"/>
  <c r="G2089" i="1"/>
  <c r="G2090" i="1" a="1"/>
  <c r="G2090" i="1"/>
  <c r="G2091" i="1" a="1"/>
  <c r="G2091" i="1"/>
  <c r="G2093" i="1" a="1"/>
  <c r="G2093" i="1"/>
  <c r="G2092" i="1" a="1"/>
  <c r="G2092" i="1"/>
  <c r="G2094" i="1" a="1"/>
  <c r="G2094" i="1"/>
  <c r="G2097" i="1" a="1"/>
  <c r="G2097" i="1"/>
  <c r="G2095" i="1" a="1"/>
  <c r="G2095" i="1"/>
  <c r="G2096" i="1" a="1"/>
  <c r="G2096" i="1"/>
  <c r="G2098" i="1" a="1"/>
  <c r="G2098" i="1"/>
  <c r="G2099" i="1" a="1"/>
  <c r="G2099" i="1"/>
  <c r="G2100" i="1" a="1"/>
  <c r="G2100" i="1"/>
  <c r="G2101" i="1" a="1"/>
  <c r="G2101" i="1"/>
  <c r="G2103" i="1" a="1"/>
  <c r="G2103" i="1"/>
  <c r="G2102" i="1" a="1"/>
  <c r="G2102" i="1"/>
  <c r="G2104" i="1" a="1"/>
  <c r="G2104" i="1"/>
  <c r="G2105" i="1" a="1"/>
  <c r="G2105" i="1"/>
  <c r="G2106" i="1" a="1"/>
  <c r="G2106" i="1"/>
  <c r="G2107" i="1" a="1"/>
  <c r="G2107" i="1"/>
  <c r="G2108" i="1" a="1"/>
  <c r="G2108" i="1"/>
  <c r="G2109" i="1" a="1"/>
  <c r="G2109" i="1"/>
  <c r="G2110" i="1" a="1"/>
  <c r="G2110" i="1"/>
  <c r="G2112" i="1" a="1"/>
  <c r="G2112" i="1"/>
  <c r="G2111" i="1" a="1"/>
  <c r="G2111" i="1"/>
  <c r="G2113" i="1" a="1"/>
  <c r="G2113" i="1"/>
  <c r="G2114" i="1" a="1"/>
  <c r="G2114" i="1"/>
  <c r="G2116" i="1" a="1"/>
  <c r="G2116" i="1"/>
  <c r="G2115" i="1" a="1"/>
  <c r="G2115" i="1"/>
  <c r="G2118" i="1" a="1"/>
  <c r="G2118" i="1"/>
  <c r="G2117" i="1" a="1"/>
  <c r="G2117" i="1"/>
  <c r="G2119" i="1" a="1"/>
  <c r="G2119" i="1"/>
  <c r="G2121" i="1" a="1"/>
  <c r="G2121" i="1"/>
  <c r="G2120" i="1" a="1"/>
  <c r="G2120" i="1"/>
  <c r="G2123" i="1" a="1"/>
  <c r="G2123" i="1"/>
  <c r="G2122" i="1" a="1"/>
  <c r="G2122" i="1"/>
  <c r="G2127" i="1" a="1"/>
  <c r="G2127" i="1"/>
  <c r="G2126" i="1" a="1"/>
  <c r="G2126" i="1"/>
  <c r="G2128" i="1" a="1"/>
  <c r="G2128" i="1"/>
  <c r="G2124" i="1" a="1"/>
  <c r="G2124" i="1"/>
  <c r="G2125" i="1" a="1"/>
  <c r="G2125" i="1"/>
  <c r="G2130" i="1" a="1"/>
  <c r="G2130" i="1"/>
  <c r="G2129" i="1" a="1"/>
  <c r="G2129" i="1"/>
  <c r="G2131" i="1" a="1"/>
  <c r="G2131" i="1"/>
  <c r="G2132" i="1" a="1"/>
  <c r="G2132" i="1"/>
  <c r="G2133" i="1" a="1"/>
  <c r="G2133" i="1"/>
  <c r="G2136" i="1" a="1"/>
  <c r="G2136" i="1"/>
  <c r="G2137" i="1" a="1"/>
  <c r="G2137" i="1"/>
  <c r="G2135" i="1" a="1"/>
  <c r="G2135" i="1"/>
  <c r="G2134" i="1" a="1"/>
  <c r="G2134" i="1"/>
  <c r="G2139" i="1" a="1"/>
  <c r="G2139" i="1"/>
  <c r="G2138" i="1" a="1"/>
  <c r="G2138" i="1"/>
  <c r="G2140" i="1" a="1"/>
  <c r="G2140" i="1"/>
  <c r="G2142" i="1" a="1"/>
  <c r="G2142" i="1"/>
  <c r="G2141" i="1" a="1"/>
  <c r="G2141" i="1"/>
  <c r="G2143" i="1" a="1"/>
  <c r="G2143" i="1"/>
  <c r="G2144" i="1" a="1"/>
  <c r="G2144" i="1"/>
  <c r="G2145" i="1" a="1"/>
  <c r="G2145" i="1"/>
  <c r="G2146" i="1" a="1"/>
  <c r="G2146" i="1"/>
  <c r="G2147" i="1" a="1"/>
  <c r="G2147" i="1"/>
  <c r="G2149" i="1" a="1"/>
  <c r="G2149" i="1"/>
  <c r="G2150" i="1" a="1"/>
  <c r="G2150" i="1"/>
  <c r="G2148" i="1" a="1"/>
  <c r="G2148" i="1"/>
  <c r="G2151" i="1" a="1"/>
  <c r="G2151" i="1"/>
  <c r="G2152" i="1" a="1"/>
  <c r="G2152" i="1"/>
  <c r="G2153" i="1" a="1"/>
  <c r="G2153" i="1"/>
  <c r="G2154" i="1" a="1"/>
  <c r="G2154" i="1"/>
  <c r="G2155" i="1" a="1"/>
  <c r="G2155" i="1"/>
  <c r="G2157" i="1" a="1"/>
  <c r="G2157" i="1"/>
  <c r="G2158" i="1" a="1"/>
  <c r="G2158" i="1"/>
  <c r="G2159" i="1" a="1"/>
  <c r="G2159" i="1"/>
  <c r="G2156" i="1" a="1"/>
  <c r="G2156" i="1"/>
  <c r="G2160" i="1" a="1"/>
  <c r="G2160" i="1"/>
  <c r="G2161" i="1" a="1"/>
  <c r="G2161" i="1"/>
  <c r="G2162" i="1" a="1"/>
  <c r="G2162" i="1"/>
  <c r="G2163" i="1" a="1"/>
  <c r="G2163" i="1"/>
  <c r="G2164" i="1" a="1"/>
  <c r="G2164" i="1"/>
  <c r="G2165" i="1" a="1"/>
  <c r="G2165" i="1"/>
  <c r="G2167" i="1" a="1"/>
  <c r="G2167" i="1"/>
  <c r="G2166" i="1" a="1"/>
  <c r="G2166" i="1"/>
  <c r="G2168" i="1" a="1"/>
  <c r="G2168" i="1"/>
  <c r="G2171" i="1" a="1"/>
  <c r="G2171" i="1"/>
  <c r="G2170" i="1" a="1"/>
  <c r="G2170" i="1"/>
  <c r="G2169" i="1" a="1"/>
  <c r="G2169" i="1"/>
  <c r="G2173" i="1" a="1"/>
  <c r="G2173" i="1"/>
  <c r="G2172" i="1" a="1"/>
  <c r="G2172" i="1"/>
  <c r="G2174" i="1" a="1"/>
  <c r="G2174" i="1"/>
  <c r="G2176" i="1" a="1"/>
  <c r="G2176" i="1"/>
  <c r="G2175" i="1" a="1"/>
  <c r="G2175" i="1"/>
  <c r="G2177" i="1" a="1"/>
  <c r="G2177" i="1"/>
  <c r="G2179" i="1" a="1"/>
  <c r="G2179" i="1"/>
  <c r="G2178" i="1" a="1"/>
  <c r="G2178" i="1"/>
  <c r="G2180" i="1" a="1"/>
  <c r="G2180" i="1"/>
  <c r="G2183" i="1" a="1"/>
  <c r="G2183" i="1"/>
  <c r="G2184" i="1" a="1"/>
  <c r="G2184" i="1"/>
  <c r="G2182" i="1" a="1"/>
  <c r="G2182" i="1"/>
  <c r="G2181" i="1" a="1"/>
  <c r="G2181" i="1"/>
  <c r="G2185" i="1" a="1"/>
  <c r="G2185" i="1"/>
  <c r="G2187" i="1" a="1"/>
  <c r="G2187" i="1"/>
  <c r="G2186" i="1" a="1"/>
  <c r="G2186" i="1"/>
  <c r="G2188" i="1" a="1"/>
  <c r="G2188" i="1"/>
  <c r="G2190" i="1" a="1"/>
  <c r="G2190" i="1"/>
  <c r="G2189" i="1" a="1"/>
  <c r="G2189" i="1"/>
  <c r="G2191" i="1" a="1"/>
  <c r="G2191" i="1"/>
  <c r="G2192" i="1" a="1"/>
  <c r="G2192" i="1"/>
  <c r="G2193" i="1" a="1"/>
  <c r="G2193" i="1"/>
  <c r="G2194" i="1" a="1"/>
  <c r="G2194" i="1"/>
  <c r="G2195" i="1" a="1"/>
  <c r="G2195" i="1"/>
  <c r="G2198" i="1" a="1"/>
  <c r="G2198" i="1"/>
  <c r="G2197" i="1" a="1"/>
  <c r="G2197" i="1"/>
  <c r="G2196" i="1" a="1"/>
  <c r="G2196" i="1"/>
  <c r="G2200" i="1" a="1"/>
  <c r="G2200" i="1"/>
  <c r="G2199" i="1" a="1"/>
  <c r="G2199" i="1"/>
  <c r="G2202" i="1" a="1"/>
  <c r="G2202" i="1"/>
  <c r="G2201" i="1" a="1"/>
  <c r="G2201" i="1"/>
  <c r="G2203" i="1" a="1"/>
  <c r="G2203" i="1"/>
  <c r="G2204" i="1" a="1"/>
  <c r="G2204" i="1"/>
  <c r="G2205" i="1" a="1"/>
  <c r="G2205" i="1"/>
  <c r="G2209" i="1" a="1"/>
  <c r="G2209" i="1"/>
  <c r="G2211" i="1" a="1"/>
  <c r="G2211" i="1"/>
  <c r="G2206" i="1" a="1"/>
  <c r="G2206" i="1"/>
  <c r="G2207" i="1" a="1"/>
  <c r="G2207" i="1"/>
  <c r="G2208" i="1" a="1"/>
  <c r="G2208" i="1"/>
  <c r="G2212" i="1" a="1"/>
  <c r="G2212" i="1"/>
  <c r="G2210" i="1" a="1"/>
  <c r="G2210" i="1"/>
  <c r="G2213" i="1" a="1"/>
  <c r="G2213" i="1"/>
  <c r="G2214" i="1" a="1"/>
  <c r="G2214" i="1"/>
  <c r="G2215" i="1" a="1"/>
  <c r="G2215" i="1"/>
  <c r="G2218" i="1" a="1"/>
  <c r="G2218" i="1"/>
  <c r="G2216" i="1" a="1"/>
  <c r="G2216" i="1"/>
  <c r="G2217" i="1" a="1"/>
  <c r="G2217" i="1"/>
  <c r="G2220" i="1" a="1"/>
  <c r="G2220" i="1"/>
  <c r="G2219" i="1" a="1"/>
  <c r="G2219" i="1"/>
  <c r="G2221" i="1" a="1"/>
  <c r="G2221" i="1"/>
  <c r="G2222" i="1" a="1"/>
  <c r="G2222" i="1"/>
  <c r="G2223" i="1" a="1"/>
  <c r="G2223" i="1"/>
  <c r="G2224" i="1" a="1"/>
  <c r="G2224" i="1"/>
  <c r="G2227" i="1" a="1"/>
  <c r="G2227" i="1"/>
  <c r="G2226" i="1" a="1"/>
  <c r="G2226" i="1"/>
  <c r="G2225" i="1" a="1"/>
  <c r="G2225" i="1"/>
  <c r="G2228" i="1" a="1"/>
  <c r="G2228" i="1"/>
  <c r="G2229" i="1" a="1"/>
  <c r="G2229" i="1"/>
  <c r="G2230" i="1" a="1"/>
  <c r="G2230" i="1"/>
  <c r="G2231" i="1" a="1"/>
  <c r="G2231" i="1"/>
  <c r="G2233" i="1" a="1"/>
  <c r="G2233" i="1"/>
  <c r="G2232" i="1" a="1"/>
  <c r="G2232" i="1"/>
  <c r="G2234" i="1" a="1"/>
  <c r="G2234" i="1"/>
  <c r="G2236" i="1" a="1"/>
  <c r="G2236" i="1"/>
  <c r="G2235" i="1" a="1"/>
  <c r="G2235" i="1"/>
  <c r="G2237" i="1" a="1"/>
  <c r="G2237" i="1"/>
  <c r="G2238" i="1" a="1"/>
  <c r="G2238" i="1"/>
  <c r="G2240" i="1" a="1"/>
  <c r="G2240" i="1"/>
  <c r="G2239" i="1" a="1"/>
  <c r="G2239" i="1"/>
  <c r="G2242" i="1" a="1"/>
  <c r="G2242" i="1"/>
  <c r="G2241" i="1" a="1"/>
  <c r="G2241" i="1"/>
  <c r="G2243" i="1" a="1"/>
  <c r="G2243" i="1"/>
  <c r="G2245" i="1" a="1"/>
  <c r="G2245" i="1"/>
  <c r="G2244" i="1" a="1"/>
  <c r="G2244" i="1"/>
  <c r="G2246" i="1" a="1"/>
  <c r="G2246" i="1"/>
  <c r="G2248" i="1" a="1"/>
  <c r="G2248" i="1"/>
  <c r="G2247" i="1" a="1"/>
  <c r="G2247" i="1"/>
  <c r="G2249" i="1" a="1"/>
  <c r="G2249" i="1"/>
  <c r="G2250" i="1" a="1"/>
  <c r="G2250" i="1"/>
  <c r="G2251" i="1" a="1"/>
  <c r="G2251" i="1"/>
  <c r="G2252" i="1" a="1"/>
  <c r="G2252" i="1"/>
  <c r="G2253" i="1" a="1"/>
  <c r="G2253" i="1"/>
  <c r="G2255" i="1" a="1"/>
  <c r="G2255" i="1"/>
  <c r="G2254" i="1" a="1"/>
  <c r="G2254" i="1"/>
  <c r="G2256" i="1" a="1"/>
  <c r="G2256" i="1"/>
  <c r="G2257" i="1" a="1"/>
  <c r="G2257" i="1"/>
  <c r="G2258" i="1" a="1"/>
  <c r="G2258" i="1"/>
  <c r="G2259" i="1" a="1"/>
  <c r="G2259" i="1"/>
  <c r="G2261" i="1" a="1"/>
  <c r="G2261" i="1"/>
  <c r="G2260" i="1" a="1"/>
  <c r="G2260" i="1"/>
  <c r="G2262" i="1" a="1"/>
  <c r="G2262" i="1"/>
  <c r="G2263" i="1" a="1"/>
  <c r="G2263" i="1"/>
  <c r="G2264" i="1" a="1"/>
  <c r="G2264" i="1"/>
  <c r="G2265" i="1" a="1"/>
  <c r="G2265" i="1"/>
  <c r="G2266" i="1" a="1"/>
  <c r="G2266" i="1"/>
  <c r="G2267" i="1" a="1"/>
  <c r="G2267" i="1"/>
  <c r="G2268" i="1" a="1"/>
  <c r="G2268" i="1"/>
  <c r="G2269" i="1" a="1"/>
  <c r="G2269" i="1"/>
  <c r="G2270" i="1" a="1"/>
  <c r="G2270" i="1"/>
  <c r="G2271" i="1" a="1"/>
  <c r="G2271" i="1"/>
  <c r="G2272" i="1" a="1"/>
  <c r="G2272" i="1"/>
  <c r="G2273" i="1" a="1"/>
  <c r="G2273" i="1"/>
  <c r="G2274" i="1" a="1"/>
  <c r="G2274" i="1"/>
  <c r="G2277" i="1" a="1"/>
  <c r="G2277" i="1"/>
  <c r="G2275" i="1" a="1"/>
  <c r="G2275" i="1"/>
  <c r="G2276" i="1" a="1"/>
  <c r="G2276" i="1"/>
  <c r="G2278" i="1" a="1"/>
  <c r="G2278" i="1"/>
  <c r="G2280" i="1" a="1"/>
  <c r="G2280" i="1"/>
  <c r="G2279" i="1" a="1"/>
  <c r="G2279" i="1"/>
  <c r="G2281" i="1" a="1"/>
  <c r="G2281" i="1"/>
  <c r="G2283" i="1" a="1"/>
  <c r="G2283" i="1"/>
  <c r="G2282" i="1" a="1"/>
  <c r="G2282" i="1"/>
  <c r="G2284" i="1" a="1"/>
  <c r="G2284" i="1"/>
  <c r="G2285" i="1" a="1"/>
  <c r="G2285" i="1"/>
  <c r="G2286" i="1" a="1"/>
  <c r="G2286" i="1"/>
  <c r="G2287" i="1" a="1"/>
  <c r="G2287" i="1"/>
  <c r="G2289" i="1" a="1"/>
  <c r="G2289" i="1"/>
  <c r="G2288" i="1" a="1"/>
  <c r="G2288" i="1"/>
  <c r="G2290" i="1" a="1"/>
  <c r="G2290" i="1"/>
  <c r="G2291" i="1" a="1"/>
  <c r="G2291" i="1"/>
  <c r="G2292" i="1" a="1"/>
  <c r="G2292" i="1"/>
  <c r="G2294" i="1" a="1"/>
  <c r="G2294" i="1"/>
  <c r="G2295" i="1" a="1"/>
  <c r="G2295" i="1"/>
  <c r="G2293" i="1" a="1"/>
  <c r="G2293" i="1"/>
  <c r="G2296" i="1" a="1"/>
  <c r="G2296" i="1"/>
  <c r="G2297" i="1" a="1"/>
  <c r="G2297" i="1"/>
  <c r="G2298" i="1" a="1"/>
  <c r="G2298" i="1"/>
  <c r="G2300" i="1" a="1"/>
  <c r="G2300" i="1"/>
  <c r="G2299" i="1" a="1"/>
  <c r="G2299" i="1"/>
  <c r="G2301" i="1" a="1"/>
  <c r="G2301" i="1"/>
  <c r="G2302" i="1" a="1"/>
  <c r="G2302" i="1"/>
  <c r="G2304" i="1" a="1"/>
  <c r="G2304" i="1"/>
  <c r="G2303" i="1" a="1"/>
  <c r="G2303" i="1"/>
  <c r="G2305" i="1" a="1"/>
  <c r="G2305" i="1"/>
  <c r="G2306" i="1" a="1"/>
  <c r="G2306" i="1"/>
  <c r="G2307" i="1" a="1"/>
  <c r="G2307" i="1"/>
  <c r="G2308" i="1" a="1"/>
  <c r="G2308" i="1"/>
  <c r="G2313" i="1" a="1"/>
  <c r="G2313" i="1"/>
  <c r="G2309" i="1" a="1"/>
  <c r="G2309" i="1"/>
  <c r="G2310" i="1" a="1"/>
  <c r="G2310" i="1"/>
  <c r="G2312" i="1" a="1"/>
  <c r="G2312" i="1"/>
  <c r="G2311" i="1" a="1"/>
  <c r="G2311" i="1"/>
  <c r="G2315" i="1" a="1"/>
  <c r="G2315" i="1"/>
  <c r="G2314" i="1" a="1"/>
  <c r="G2314" i="1"/>
  <c r="G2316" i="1" a="1"/>
  <c r="G2316" i="1"/>
  <c r="G2317" i="1" a="1"/>
  <c r="G2317" i="1"/>
  <c r="G2318" i="1" a="1"/>
  <c r="G2318" i="1"/>
  <c r="G2319" i="1" a="1"/>
  <c r="G2319" i="1"/>
  <c r="G2320" i="1" a="1"/>
  <c r="G2320" i="1"/>
  <c r="G2322" i="1" a="1"/>
  <c r="G2322" i="1"/>
  <c r="G2321" i="1" a="1"/>
  <c r="G2321" i="1"/>
  <c r="G2323" i="1" a="1"/>
  <c r="G2323" i="1"/>
  <c r="G2324" i="1" a="1"/>
  <c r="G2324" i="1"/>
  <c r="G2325" i="1" a="1"/>
  <c r="G2325" i="1"/>
  <c r="G2326" i="1" a="1"/>
  <c r="G2326" i="1"/>
  <c r="G2327" i="1" a="1"/>
  <c r="G2327" i="1"/>
  <c r="G2328" i="1" a="1"/>
  <c r="G2328" i="1"/>
  <c r="G2329" i="1" a="1"/>
  <c r="G2329" i="1"/>
  <c r="G2330" i="1" a="1"/>
  <c r="G2330" i="1"/>
  <c r="G2331" i="1" a="1"/>
  <c r="G2331" i="1"/>
  <c r="G2332" i="1" a="1"/>
  <c r="G2332" i="1"/>
  <c r="G2333" i="1" a="1"/>
  <c r="G2333" i="1"/>
  <c r="G2335" i="1" a="1"/>
  <c r="G2335" i="1"/>
  <c r="G2334" i="1" a="1"/>
  <c r="G2334" i="1"/>
  <c r="G2337" i="1" a="1"/>
  <c r="G2337" i="1"/>
  <c r="G2336" i="1" a="1"/>
  <c r="G2336" i="1"/>
  <c r="G2338" i="1" a="1"/>
  <c r="G2338" i="1"/>
  <c r="G2339" i="1" a="1"/>
  <c r="G2339" i="1"/>
  <c r="G2340" i="1" a="1"/>
  <c r="G2340" i="1"/>
  <c r="G2341" i="1" a="1"/>
  <c r="G2341" i="1"/>
  <c r="G2342" i="1" a="1"/>
  <c r="G2342" i="1"/>
  <c r="G2345" i="1" a="1"/>
  <c r="G2345" i="1"/>
  <c r="G2344" i="1" a="1"/>
  <c r="G2344" i="1"/>
  <c r="G2343" i="1" a="1"/>
  <c r="G2343" i="1"/>
  <c r="G2346" i="1" a="1"/>
  <c r="G2346" i="1"/>
  <c r="G2347" i="1" a="1"/>
  <c r="G2347" i="1"/>
  <c r="G2348" i="1" a="1"/>
  <c r="G2348" i="1"/>
  <c r="G2349" i="1" a="1"/>
  <c r="G2349" i="1"/>
  <c r="G2350" i="1" a="1"/>
  <c r="G2350" i="1"/>
  <c r="G2351" i="1" a="1"/>
  <c r="G2351" i="1"/>
  <c r="G2352" i="1" a="1"/>
  <c r="G2352" i="1"/>
  <c r="G2353" i="1" a="1"/>
  <c r="G2353" i="1"/>
  <c r="G2354" i="1" a="1"/>
  <c r="G2354" i="1"/>
  <c r="G2356" i="1" a="1"/>
  <c r="G2356" i="1"/>
  <c r="G2355" i="1" a="1"/>
  <c r="G2355" i="1"/>
  <c r="G2358" i="1" a="1"/>
  <c r="G2358" i="1"/>
  <c r="G2360" i="1" a="1"/>
  <c r="G2360" i="1"/>
  <c r="G2359" i="1" a="1"/>
  <c r="G2359" i="1"/>
  <c r="G2357" i="1" a="1"/>
  <c r="G2357" i="1"/>
  <c r="G2362" i="1" a="1"/>
  <c r="G2362" i="1"/>
  <c r="G2361" i="1" a="1"/>
  <c r="G2361" i="1"/>
  <c r="G2363" i="1" a="1"/>
  <c r="G2363" i="1"/>
  <c r="G2364" i="1" a="1"/>
  <c r="G2364" i="1"/>
  <c r="G2366" i="1" a="1"/>
  <c r="G2366" i="1"/>
  <c r="G2367" i="1" a="1"/>
  <c r="G2367" i="1"/>
  <c r="G2365" i="1" a="1"/>
  <c r="G2365" i="1"/>
  <c r="G2368" i="1" a="1"/>
  <c r="G2368" i="1"/>
  <c r="G2370" i="1" a="1"/>
  <c r="G2370" i="1"/>
  <c r="G2369" i="1" a="1"/>
  <c r="G2369" i="1"/>
  <c r="G2371" i="1" a="1"/>
  <c r="G2371" i="1"/>
  <c r="G2372" i="1" a="1"/>
  <c r="G2372" i="1"/>
  <c r="G2374" i="1" a="1"/>
  <c r="G2374" i="1"/>
  <c r="G2373" i="1" a="1"/>
  <c r="G2373" i="1"/>
  <c r="G2376" i="1" a="1"/>
  <c r="G2376" i="1"/>
  <c r="G2375" i="1" a="1"/>
  <c r="G2375" i="1"/>
  <c r="G2377" i="1" a="1"/>
  <c r="G2377" i="1"/>
  <c r="G2378" i="1" a="1"/>
  <c r="G2378" i="1"/>
  <c r="G2379" i="1" a="1"/>
  <c r="G2379" i="1"/>
  <c r="G2380" i="1" a="1"/>
  <c r="G2380" i="1"/>
  <c r="G2382" i="1" a="1"/>
  <c r="G2382" i="1"/>
  <c r="G2381" i="1" a="1"/>
  <c r="G2381" i="1"/>
  <c r="G2385" i="1" a="1"/>
  <c r="G2385" i="1"/>
  <c r="G2383" i="1" a="1"/>
  <c r="G2383" i="1"/>
  <c r="G2384" i="1" a="1"/>
  <c r="G2384" i="1"/>
  <c r="G2386" i="1" a="1"/>
  <c r="G2386" i="1"/>
  <c r="G2387" i="1" a="1"/>
  <c r="G2387" i="1"/>
  <c r="G2388" i="1" a="1"/>
  <c r="G2388" i="1"/>
  <c r="G2390" i="1" a="1"/>
  <c r="G2390" i="1"/>
  <c r="G2389" i="1" a="1"/>
  <c r="G2389" i="1"/>
  <c r="G2393" i="1" a="1"/>
  <c r="G2393" i="1"/>
  <c r="G2391" i="1" a="1"/>
  <c r="G2391" i="1"/>
  <c r="G2392" i="1" a="1"/>
  <c r="G2392" i="1"/>
  <c r="G2395" i="1" a="1"/>
  <c r="G2395" i="1"/>
  <c r="G2396" i="1" a="1"/>
  <c r="G2396" i="1"/>
  <c r="G2397" i="1" a="1"/>
  <c r="G2397" i="1"/>
  <c r="G2394" i="1" a="1"/>
  <c r="G2394" i="1"/>
  <c r="G2398" i="1" a="1"/>
  <c r="G2398" i="1"/>
  <c r="G2400" i="1" a="1"/>
  <c r="G2400" i="1"/>
  <c r="G2399" i="1" a="1"/>
  <c r="G2399" i="1"/>
  <c r="G2402" i="1" a="1"/>
  <c r="G2402" i="1"/>
  <c r="G2401" i="1" a="1"/>
  <c r="G2401" i="1"/>
  <c r="G2403" i="1" a="1"/>
  <c r="G2403" i="1"/>
  <c r="G2404" i="1" a="1"/>
  <c r="G2404" i="1"/>
  <c r="G2405" i="1" a="1"/>
  <c r="G2405" i="1"/>
  <c r="G2406" i="1" a="1"/>
  <c r="G2406" i="1"/>
  <c r="G2407" i="1" a="1"/>
  <c r="G2407" i="1"/>
  <c r="G2408" i="1" a="1"/>
  <c r="G2408" i="1"/>
  <c r="G2409" i="1" a="1"/>
  <c r="G2409" i="1"/>
  <c r="G2411" i="1" a="1"/>
  <c r="G2411" i="1"/>
  <c r="G2410" i="1" a="1"/>
  <c r="G2410" i="1"/>
  <c r="G2412" i="1" a="1"/>
  <c r="G2412" i="1"/>
  <c r="G2413" i="1" a="1"/>
  <c r="G2413" i="1"/>
  <c r="G2414" i="1" a="1"/>
  <c r="G2414" i="1"/>
  <c r="G2415" i="1" a="1"/>
  <c r="G2415" i="1"/>
  <c r="G2417" i="1" a="1"/>
  <c r="G2417" i="1"/>
  <c r="G2416" i="1" a="1"/>
  <c r="G2416" i="1"/>
  <c r="G2418" i="1" a="1"/>
  <c r="G2418" i="1"/>
  <c r="G2420" i="1" a="1"/>
  <c r="G2420" i="1"/>
  <c r="G2419" i="1" a="1"/>
  <c r="G2419" i="1"/>
  <c r="G2421" i="1" a="1"/>
  <c r="G2421" i="1"/>
  <c r="G2422" i="1" a="1"/>
  <c r="G2422" i="1"/>
  <c r="G2423" i="1" a="1"/>
  <c r="G2423" i="1"/>
  <c r="G2425" i="1" a="1"/>
  <c r="G2425" i="1"/>
  <c r="G2424" i="1" a="1"/>
  <c r="G2424" i="1"/>
  <c r="G2426" i="1" a="1"/>
  <c r="G2426" i="1"/>
  <c r="G2427" i="1" a="1"/>
  <c r="G2427" i="1"/>
  <c r="G2428" i="1" a="1"/>
  <c r="G2428" i="1"/>
  <c r="G2429" i="1" a="1"/>
  <c r="G2429" i="1"/>
  <c r="G2431" i="1" a="1"/>
  <c r="G2431" i="1"/>
  <c r="G2430" i="1" a="1"/>
  <c r="G2430" i="1"/>
  <c r="G2432" i="1" a="1"/>
  <c r="G2432" i="1"/>
  <c r="G2433" i="1" a="1"/>
  <c r="G2433" i="1"/>
  <c r="G2435" i="1" a="1"/>
  <c r="G2435" i="1"/>
  <c r="G2434" i="1" a="1"/>
  <c r="G2434" i="1"/>
  <c r="G2437" i="1" a="1"/>
  <c r="G2437" i="1"/>
  <c r="G2436" i="1" a="1"/>
  <c r="G2436" i="1"/>
  <c r="G2440" i="1" a="1"/>
  <c r="G2440" i="1"/>
  <c r="G2438" i="1" a="1"/>
  <c r="G2438" i="1"/>
  <c r="G2441" i="1" a="1"/>
  <c r="G2441" i="1"/>
  <c r="G2439" i="1" a="1"/>
  <c r="G2439" i="1"/>
  <c r="G2444" i="1" a="1"/>
  <c r="G2444" i="1"/>
  <c r="G2442" i="1" a="1"/>
  <c r="G2442" i="1"/>
  <c r="G2443" i="1" a="1"/>
  <c r="G2443" i="1"/>
  <c r="G2446" i="1" a="1"/>
  <c r="G2446" i="1"/>
  <c r="G2445" i="1" a="1"/>
  <c r="G2445" i="1"/>
  <c r="G2447" i="1" a="1"/>
  <c r="G2447" i="1"/>
  <c r="G2448" i="1" a="1"/>
  <c r="G2448" i="1"/>
  <c r="G2450" i="1" a="1"/>
  <c r="G2450" i="1"/>
  <c r="G2449" i="1" a="1"/>
  <c r="G2449" i="1"/>
  <c r="G2451" i="1" a="1"/>
  <c r="G2451" i="1"/>
  <c r="G2452" i="1" a="1"/>
  <c r="G2452" i="1"/>
  <c r="G2455" i="1" a="1"/>
  <c r="G2455" i="1"/>
  <c r="G2453" i="1" a="1"/>
  <c r="G2453" i="1"/>
  <c r="G2454" i="1" a="1"/>
  <c r="G2454" i="1"/>
  <c r="G2457" i="1" a="1"/>
  <c r="G2457" i="1"/>
  <c r="G2456" i="1" a="1"/>
  <c r="G2456" i="1"/>
  <c r="G2458" i="1" a="1"/>
  <c r="G2458" i="1"/>
  <c r="G2459" i="1" a="1"/>
  <c r="G2459" i="1"/>
  <c r="G2460" i="1" a="1"/>
  <c r="G2460" i="1"/>
  <c r="G2461" i="1" a="1"/>
  <c r="G2461" i="1"/>
  <c r="G2463" i="1" a="1"/>
  <c r="G2463" i="1"/>
  <c r="G2462" i="1" a="1"/>
  <c r="G2462" i="1"/>
  <c r="G2465" i="1" a="1"/>
  <c r="G2465" i="1"/>
  <c r="G2464" i="1" a="1"/>
  <c r="G2464" i="1"/>
  <c r="G2466" i="1" a="1"/>
  <c r="G2466" i="1"/>
  <c r="G2467" i="1" a="1"/>
  <c r="G2467" i="1"/>
  <c r="G2469" i="1" a="1"/>
  <c r="G2469" i="1"/>
  <c r="G2468" i="1" a="1"/>
  <c r="G2468" i="1"/>
  <c r="G2470" i="1" a="1"/>
  <c r="G2470" i="1"/>
  <c r="G2471" i="1" a="1"/>
  <c r="G2471" i="1"/>
  <c r="G2472" i="1" a="1"/>
  <c r="G2472" i="1"/>
  <c r="G2473" i="1" a="1"/>
  <c r="G2473" i="1"/>
  <c r="G2474" i="1" a="1"/>
  <c r="G2474" i="1"/>
  <c r="G2475" i="1" a="1"/>
  <c r="G2475" i="1"/>
  <c r="G2476" i="1" a="1"/>
  <c r="G2476" i="1"/>
  <c r="G2477" i="1" a="1"/>
  <c r="G2477" i="1"/>
  <c r="G2478" i="1" a="1"/>
  <c r="G2478" i="1"/>
  <c r="G2480" i="1" a="1"/>
  <c r="G2480" i="1"/>
  <c r="G2479" i="1" a="1"/>
  <c r="G2479" i="1"/>
  <c r="G2481" i="1" a="1"/>
  <c r="G2481" i="1"/>
  <c r="G2484" i="1" a="1"/>
  <c r="G2484" i="1"/>
  <c r="G2482" i="1" a="1"/>
  <c r="G2482" i="1"/>
  <c r="G2485" i="1" a="1"/>
  <c r="G2485" i="1"/>
  <c r="G2483" i="1" a="1"/>
  <c r="G2483" i="1"/>
  <c r="G2486" i="1" a="1"/>
  <c r="G2486" i="1"/>
  <c r="G2488" i="1" a="1"/>
  <c r="G2488" i="1"/>
  <c r="G2489" i="1" a="1"/>
  <c r="G2489" i="1"/>
  <c r="G2487" i="1" a="1"/>
  <c r="G2487" i="1"/>
  <c r="G2490" i="1" a="1"/>
  <c r="G2490" i="1"/>
  <c r="G2493" i="1" a="1"/>
  <c r="G2493" i="1"/>
  <c r="G2492" i="1" a="1"/>
  <c r="G2492" i="1"/>
  <c r="G2491" i="1" a="1"/>
  <c r="G2491" i="1"/>
  <c r="G2494" i="1" a="1"/>
  <c r="G2494" i="1"/>
  <c r="G2496" i="1" a="1"/>
  <c r="G2496" i="1"/>
  <c r="G2495" i="1" a="1"/>
  <c r="G2495" i="1"/>
  <c r="G2497" i="1" a="1"/>
  <c r="G2497" i="1"/>
  <c r="G2498" i="1" a="1"/>
  <c r="G2498" i="1"/>
  <c r="G2500" i="1" a="1"/>
  <c r="G2500" i="1"/>
  <c r="G2499" i="1" a="1"/>
  <c r="G2499" i="1"/>
  <c r="G2501" i="1" a="1"/>
  <c r="G2501" i="1"/>
  <c r="G2502" i="1" a="1"/>
  <c r="G2502" i="1"/>
  <c r="G2503" i="1" a="1"/>
  <c r="G2503" i="1"/>
  <c r="G2504" i="1" a="1"/>
  <c r="G2504" i="1"/>
  <c r="G2505" i="1" a="1"/>
  <c r="G2505" i="1"/>
  <c r="G2506" i="1" a="1"/>
  <c r="G2506" i="1"/>
  <c r="G2507" i="1" a="1"/>
  <c r="G2507" i="1"/>
  <c r="G2508" i="1" a="1"/>
  <c r="G2508" i="1"/>
  <c r="G2510" i="1" a="1"/>
  <c r="G2510" i="1"/>
  <c r="G2509" i="1" a="1"/>
  <c r="G2509" i="1"/>
  <c r="G2511" i="1" a="1"/>
  <c r="G2511" i="1"/>
  <c r="G2513" i="1" a="1"/>
  <c r="G2513" i="1"/>
  <c r="G2512" i="1" a="1"/>
  <c r="G2512" i="1"/>
  <c r="G2514" i="1" a="1"/>
  <c r="G2514" i="1"/>
  <c r="G2515" i="1" a="1"/>
  <c r="G2515" i="1"/>
  <c r="G2516" i="1" a="1"/>
  <c r="G2516" i="1"/>
  <c r="G2517" i="1" a="1"/>
  <c r="G2517" i="1"/>
  <c r="G2518" i="1" a="1"/>
  <c r="G2518" i="1"/>
  <c r="G2519" i="1" a="1"/>
  <c r="G2519" i="1"/>
  <c r="G2520" i="1" a="1"/>
  <c r="G2520" i="1"/>
  <c r="G2521" i="1" a="1"/>
  <c r="G2521" i="1"/>
  <c r="G2523" i="1" a="1"/>
  <c r="G2523" i="1"/>
  <c r="G2522" i="1" a="1"/>
  <c r="G2522" i="1"/>
  <c r="G2524" i="1" a="1"/>
  <c r="G2524" i="1"/>
  <c r="G2525" i="1" a="1"/>
  <c r="G2525" i="1"/>
  <c r="G2526" i="1" a="1"/>
  <c r="G2526" i="1"/>
  <c r="G2528" i="1" a="1"/>
  <c r="G2528" i="1"/>
  <c r="G2527" i="1" a="1"/>
  <c r="G2527" i="1"/>
  <c r="G2530" i="1" a="1"/>
  <c r="G2530" i="1"/>
  <c r="G2531" i="1" a="1"/>
  <c r="G2531" i="1"/>
  <c r="G2529" i="1" a="1"/>
  <c r="G2529" i="1"/>
  <c r="G2532" i="1" a="1"/>
  <c r="G2532" i="1"/>
  <c r="G2533" i="1" a="1"/>
  <c r="G2533" i="1"/>
  <c r="G2534" i="1" a="1"/>
  <c r="G2534" i="1"/>
  <c r="G2535" i="1" a="1"/>
  <c r="G2535" i="1"/>
  <c r="G2536" i="1" a="1"/>
  <c r="G2536" i="1"/>
  <c r="G2537" i="1" a="1"/>
  <c r="G2537" i="1"/>
  <c r="G2539" i="1" a="1"/>
  <c r="G2539" i="1"/>
  <c r="G2538" i="1" a="1"/>
  <c r="G2538" i="1"/>
  <c r="G2540" i="1" a="1"/>
  <c r="G2540" i="1"/>
  <c r="G2541" i="1" a="1"/>
  <c r="G2541" i="1"/>
  <c r="G2542" i="1" a="1"/>
  <c r="G2542" i="1"/>
  <c r="G2544" i="1" a="1"/>
  <c r="G2544" i="1"/>
  <c r="G2543" i="1" a="1"/>
  <c r="G2543" i="1"/>
  <c r="G2545" i="1" a="1"/>
  <c r="G2545" i="1"/>
  <c r="G2546" i="1" a="1"/>
  <c r="G2546" i="1"/>
  <c r="G2549" i="1" a="1"/>
  <c r="G2549" i="1"/>
  <c r="G2548" i="1" a="1"/>
  <c r="G2548" i="1"/>
  <c r="G2547" i="1" a="1"/>
  <c r="G2547" i="1"/>
  <c r="G2551" i="1" a="1"/>
  <c r="G2551" i="1"/>
  <c r="G2552" i="1" a="1"/>
  <c r="G2552" i="1"/>
  <c r="G2550" i="1" a="1"/>
  <c r="G2550" i="1"/>
  <c r="G2553" i="1" a="1"/>
  <c r="G2553" i="1"/>
  <c r="G2554" i="1" a="1"/>
  <c r="G2554" i="1"/>
  <c r="G2555" i="1" a="1"/>
  <c r="G2555" i="1"/>
  <c r="G2557" i="1" a="1"/>
  <c r="G2557" i="1"/>
  <c r="G2558" i="1" a="1"/>
  <c r="G2558" i="1"/>
  <c r="G2556" i="1" a="1"/>
  <c r="G2556" i="1"/>
  <c r="G2559" i="1" a="1"/>
  <c r="G2559" i="1"/>
  <c r="G2561" i="1" a="1"/>
  <c r="G2561" i="1"/>
  <c r="G2560" i="1" a="1"/>
  <c r="G2560" i="1"/>
  <c r="G2562" i="1" a="1"/>
  <c r="G2562" i="1"/>
  <c r="G2565" i="1" a="1"/>
  <c r="G2565" i="1"/>
  <c r="G2564" i="1" a="1"/>
  <c r="G2564" i="1"/>
  <c r="G2563" i="1" a="1"/>
  <c r="G2563" i="1"/>
  <c r="G2566" i="1" a="1"/>
  <c r="G2566" i="1"/>
  <c r="G2567" i="1" a="1"/>
  <c r="G2567" i="1"/>
  <c r="G2568" i="1" a="1"/>
  <c r="G2568" i="1"/>
  <c r="G2569" i="1" a="1"/>
  <c r="G2569" i="1"/>
  <c r="G2570" i="1" a="1"/>
  <c r="G2570" i="1"/>
  <c r="G2572" i="1" a="1"/>
  <c r="G2572" i="1"/>
  <c r="G2571" i="1" a="1"/>
  <c r="G2571" i="1"/>
  <c r="G2573" i="1" a="1"/>
  <c r="G2573" i="1"/>
  <c r="G2574" i="1" a="1"/>
  <c r="G2574" i="1"/>
  <c r="G2575" i="1" a="1"/>
  <c r="G2575" i="1"/>
  <c r="G2576" i="1" a="1"/>
  <c r="G2576" i="1"/>
  <c r="G2577" i="1" a="1"/>
  <c r="G2577" i="1"/>
  <c r="G2578" i="1" a="1"/>
  <c r="G2578" i="1"/>
  <c r="G2579" i="1" a="1"/>
  <c r="G2579" i="1"/>
  <c r="G2580" i="1" a="1"/>
  <c r="G2580" i="1"/>
  <c r="G2581" i="1" a="1"/>
  <c r="G2581" i="1"/>
  <c r="G2582" i="1" a="1"/>
  <c r="G2582" i="1"/>
  <c r="G2583" i="1" a="1"/>
  <c r="G2583" i="1"/>
  <c r="G2584" i="1" a="1"/>
  <c r="G2584" i="1"/>
  <c r="G2585" i="1" a="1"/>
  <c r="G2585" i="1"/>
  <c r="G2586" i="1" a="1"/>
  <c r="G2586" i="1"/>
  <c r="G2587" i="1" a="1"/>
  <c r="G2587" i="1"/>
  <c r="G2588" i="1" a="1"/>
  <c r="G2588" i="1"/>
  <c r="G2589" i="1" a="1"/>
  <c r="G2589" i="1"/>
  <c r="G2590" i="1" a="1"/>
  <c r="G2590" i="1"/>
  <c r="G2591" i="1" a="1"/>
  <c r="G2591" i="1"/>
  <c r="G2592" i="1" a="1"/>
  <c r="G2592" i="1"/>
  <c r="G2593" i="1" a="1"/>
  <c r="G2593" i="1"/>
  <c r="G2594" i="1" a="1"/>
  <c r="G2594" i="1"/>
  <c r="G2595" i="1" a="1"/>
  <c r="G2595" i="1"/>
  <c r="G2597" i="1" a="1"/>
  <c r="G2597" i="1"/>
  <c r="G2596" i="1" a="1"/>
  <c r="G2596" i="1"/>
  <c r="G2599" i="1" a="1"/>
  <c r="G2599" i="1"/>
  <c r="G2600" i="1" a="1"/>
  <c r="G2600" i="1"/>
  <c r="G2601" i="1" a="1"/>
  <c r="G2601" i="1"/>
  <c r="G2598" i="1" a="1"/>
  <c r="G2598" i="1"/>
  <c r="G2602" i="1" a="1"/>
  <c r="G2602" i="1"/>
  <c r="G2603" i="1" a="1"/>
  <c r="G2603" i="1"/>
  <c r="G2604" i="1" a="1"/>
  <c r="G2604" i="1"/>
  <c r="G2606" i="1" a="1"/>
  <c r="G2606" i="1"/>
  <c r="G2605" i="1" a="1"/>
  <c r="G2605" i="1"/>
  <c r="G2608" i="1" a="1"/>
  <c r="G2608" i="1"/>
  <c r="G2607" i="1" a="1"/>
  <c r="G2607" i="1"/>
  <c r="G2609" i="1" a="1"/>
  <c r="G2609" i="1"/>
  <c r="G2610" i="1" a="1"/>
  <c r="G2610" i="1"/>
  <c r="G2611" i="1" a="1"/>
  <c r="G2611" i="1"/>
  <c r="G2614" i="1" a="1"/>
  <c r="G2614" i="1"/>
  <c r="G2613" i="1" a="1"/>
  <c r="G2613" i="1"/>
  <c r="G2612" i="1" a="1"/>
  <c r="G2612" i="1"/>
  <c r="G2615" i="1" a="1"/>
  <c r="G2615" i="1"/>
  <c r="G2617" i="1" a="1"/>
  <c r="G2617" i="1"/>
  <c r="G2616" i="1" a="1"/>
  <c r="G2616" i="1"/>
  <c r="G2618" i="1" a="1"/>
  <c r="G2618" i="1"/>
  <c r="G2619" i="1" a="1"/>
  <c r="G2619" i="1"/>
  <c r="G2620" i="1" a="1"/>
  <c r="G2620" i="1"/>
  <c r="G2621" i="1" a="1"/>
  <c r="G2621" i="1"/>
  <c r="G2622" i="1" a="1"/>
  <c r="G2622" i="1"/>
  <c r="G2626" i="1" a="1"/>
  <c r="G2626" i="1"/>
  <c r="G2624" i="1" a="1"/>
  <c r="G2624" i="1"/>
  <c r="G2623" i="1" a="1"/>
  <c r="G2623" i="1"/>
  <c r="G2627" i="1" a="1"/>
  <c r="G2627" i="1"/>
  <c r="G2625" i="1" a="1"/>
  <c r="G2625" i="1"/>
  <c r="G2628" i="1" a="1"/>
  <c r="G2628" i="1"/>
  <c r="G2629" i="1" a="1"/>
  <c r="G2629" i="1"/>
  <c r="G2631" i="1" a="1"/>
  <c r="G2631" i="1"/>
  <c r="G2630" i="1" a="1"/>
  <c r="G2630" i="1"/>
  <c r="G2632" i="1" a="1"/>
  <c r="G2632" i="1"/>
  <c r="G2633" i="1" a="1"/>
  <c r="G2633" i="1"/>
  <c r="G2634" i="1" a="1"/>
  <c r="G2634" i="1"/>
  <c r="G2635" i="1" a="1"/>
  <c r="G2635" i="1"/>
  <c r="G2637" i="1" a="1"/>
  <c r="G2637" i="1"/>
  <c r="G2638" i="1" a="1"/>
  <c r="G2638" i="1"/>
  <c r="G2636" i="1" a="1"/>
  <c r="G2636" i="1"/>
  <c r="G2639" i="1" a="1"/>
  <c r="G2639" i="1"/>
  <c r="G2641" i="1" a="1"/>
  <c r="G2641" i="1"/>
  <c r="G2642" i="1" a="1"/>
  <c r="G2642" i="1"/>
  <c r="G2640" i="1" a="1"/>
  <c r="G2640" i="1"/>
  <c r="G2643" i="1" a="1"/>
  <c r="G2643" i="1"/>
  <c r="G2644" i="1" a="1"/>
  <c r="G2644" i="1"/>
  <c r="G2645" i="1" a="1"/>
  <c r="G2645" i="1"/>
  <c r="G2646" i="1" a="1"/>
  <c r="G2646" i="1"/>
  <c r="G2647" i="1" a="1"/>
  <c r="G2647" i="1"/>
  <c r="G2648" i="1" a="1"/>
  <c r="G2648" i="1"/>
  <c r="G2649" i="1" a="1"/>
  <c r="G2649" i="1"/>
  <c r="G2651" i="1" a="1"/>
  <c r="G2651" i="1"/>
  <c r="G2652" i="1" a="1"/>
  <c r="G2652" i="1"/>
  <c r="G2650" i="1" a="1"/>
  <c r="G2650" i="1"/>
  <c r="G2653" i="1" a="1"/>
  <c r="G2653" i="1"/>
  <c r="G2654" i="1" a="1"/>
  <c r="G2654" i="1"/>
  <c r="G2656" i="1" a="1"/>
  <c r="G2656" i="1"/>
  <c r="G2657" i="1" a="1"/>
  <c r="G2657" i="1"/>
  <c r="G2655" i="1" a="1"/>
  <c r="G2655" i="1"/>
  <c r="G2658" i="1" a="1"/>
  <c r="G2658" i="1"/>
  <c r="G2659" i="1" a="1"/>
  <c r="G2659" i="1"/>
  <c r="G2660" i="1" a="1"/>
  <c r="G2660" i="1"/>
  <c r="G2661" i="1" a="1"/>
  <c r="G2661" i="1"/>
  <c r="G2662" i="1" a="1"/>
  <c r="G2662" i="1"/>
  <c r="G2663" i="1" a="1"/>
  <c r="G2663" i="1"/>
  <c r="G2666" i="1" a="1"/>
  <c r="G2666" i="1"/>
  <c r="G2665" i="1" a="1"/>
  <c r="G2665" i="1"/>
  <c r="G2664" i="1" a="1"/>
  <c r="G2664" i="1"/>
  <c r="G2667" i="1" a="1"/>
  <c r="G2667" i="1"/>
  <c r="G2668" i="1" a="1"/>
  <c r="G2668" i="1"/>
  <c r="G2670" i="1" a="1"/>
  <c r="G2670" i="1"/>
  <c r="G2672" i="1" a="1"/>
  <c r="G2672" i="1"/>
  <c r="G2671" i="1" a="1"/>
  <c r="G2671" i="1"/>
  <c r="G2669" i="1" a="1"/>
  <c r="G2669" i="1"/>
  <c r="G2674" i="1" a="1"/>
  <c r="G2674" i="1"/>
  <c r="G2673" i="1" a="1"/>
  <c r="G2673" i="1"/>
  <c r="G2675" i="1" a="1"/>
  <c r="G2675" i="1"/>
  <c r="G2676" i="1" a="1"/>
  <c r="G2676" i="1"/>
  <c r="G2677" i="1" a="1"/>
  <c r="G2677" i="1"/>
  <c r="G2678" i="1" a="1"/>
  <c r="G2678" i="1"/>
  <c r="G2679" i="1" a="1"/>
  <c r="G2679" i="1"/>
  <c r="G2680" i="1" a="1"/>
  <c r="G2680" i="1"/>
  <c r="G2681" i="1" a="1"/>
  <c r="G2681" i="1"/>
  <c r="G2682" i="1" a="1"/>
  <c r="G2682" i="1"/>
  <c r="G2683" i="1" a="1"/>
  <c r="G2683" i="1"/>
  <c r="G2685" i="1" a="1"/>
  <c r="G2685" i="1"/>
  <c r="G2684" i="1" a="1"/>
  <c r="G2684" i="1"/>
  <c r="G2687" i="1" a="1"/>
  <c r="G2687" i="1"/>
  <c r="G2688" i="1" a="1"/>
  <c r="G2688" i="1"/>
  <c r="G2686" i="1" a="1"/>
  <c r="G2686" i="1"/>
  <c r="G2690" i="1" a="1"/>
  <c r="G2690" i="1"/>
  <c r="G2689" i="1" a="1"/>
  <c r="G2689" i="1"/>
  <c r="G2691" i="1" a="1"/>
  <c r="G2691" i="1"/>
  <c r="G2692" i="1" a="1"/>
  <c r="G2692" i="1"/>
  <c r="G2693" i="1" a="1"/>
  <c r="G2693" i="1"/>
  <c r="G2694" i="1" a="1"/>
  <c r="G2694" i="1"/>
  <c r="G2695" i="1" a="1"/>
  <c r="G2695" i="1"/>
  <c r="G2696" i="1" a="1"/>
  <c r="G2696" i="1"/>
  <c r="G2697" i="1" a="1"/>
  <c r="G2697" i="1"/>
  <c r="G2699" i="1" a="1"/>
  <c r="G2699" i="1"/>
  <c r="G2698" i="1" a="1"/>
  <c r="G2698" i="1"/>
  <c r="G2700" i="1" a="1"/>
  <c r="G2700" i="1"/>
  <c r="G2701" i="1" a="1"/>
  <c r="G2701" i="1"/>
  <c r="G2702" i="1" a="1"/>
  <c r="G2702" i="1"/>
  <c r="G2704" i="1" a="1"/>
  <c r="G2704" i="1"/>
  <c r="G2705" i="1" a="1"/>
  <c r="G2705" i="1"/>
  <c r="G2706" i="1" a="1"/>
  <c r="G2706" i="1"/>
  <c r="G2703" i="1" a="1"/>
  <c r="G2703" i="1"/>
  <c r="G2707" i="1" a="1"/>
  <c r="G2707" i="1"/>
  <c r="G2709" i="1" a="1"/>
  <c r="G2709" i="1"/>
  <c r="G2710" i="1" a="1"/>
  <c r="G2710" i="1"/>
  <c r="G2708" i="1" a="1"/>
  <c r="G2708" i="1"/>
  <c r="G2711" i="1" a="1"/>
  <c r="G2711" i="1"/>
  <c r="G2712" i="1" a="1"/>
  <c r="G2712" i="1"/>
  <c r="G2713" i="1" a="1"/>
  <c r="G2713" i="1"/>
  <c r="G2714" i="1" a="1"/>
  <c r="G2714" i="1"/>
  <c r="G2719" i="1" a="1"/>
  <c r="G2719" i="1"/>
  <c r="G2716" i="1" a="1"/>
  <c r="G2716" i="1"/>
  <c r="G2718" i="1" a="1"/>
  <c r="G2718" i="1"/>
  <c r="G2715" i="1" a="1"/>
  <c r="G2715" i="1"/>
  <c r="G2717" i="1" a="1"/>
  <c r="G2717" i="1"/>
  <c r="G2721" i="1" a="1"/>
  <c r="G2721" i="1"/>
  <c r="G2722" i="1" a="1"/>
  <c r="G2722" i="1"/>
  <c r="G2720" i="1" a="1"/>
  <c r="G2720" i="1"/>
  <c r="G2723" i="1" a="1"/>
  <c r="G2723" i="1"/>
  <c r="G2724" i="1" a="1"/>
  <c r="G2724" i="1"/>
  <c r="G2726" i="1" a="1"/>
  <c r="G2726" i="1"/>
  <c r="G2725" i="1" a="1"/>
  <c r="G2725" i="1"/>
  <c r="G2728" i="1" a="1"/>
  <c r="G2728" i="1"/>
  <c r="G2727" i="1" a="1"/>
  <c r="G2727" i="1"/>
  <c r="G2729" i="1" a="1"/>
  <c r="G2729" i="1"/>
  <c r="G2731" i="1" a="1"/>
  <c r="G2731" i="1"/>
  <c r="G2732" i="1" a="1"/>
  <c r="G2732" i="1"/>
  <c r="G2730" i="1" a="1"/>
  <c r="G2730" i="1"/>
  <c r="G2734" i="1" a="1"/>
  <c r="G2734" i="1"/>
  <c r="G2733" i="1" a="1"/>
  <c r="G2733" i="1"/>
  <c r="G2736" i="1" a="1"/>
  <c r="G2736" i="1"/>
  <c r="G2735" i="1" a="1"/>
  <c r="G2735" i="1"/>
  <c r="G2739" i="1" a="1"/>
  <c r="G2739" i="1"/>
  <c r="G2738" i="1" a="1"/>
  <c r="G2738" i="1"/>
  <c r="G2737" i="1" a="1"/>
  <c r="G2737" i="1"/>
  <c r="G2740" i="1" a="1"/>
  <c r="G2740" i="1"/>
  <c r="G2741" i="1" a="1"/>
  <c r="G2741" i="1"/>
  <c r="G2743" i="1" a="1"/>
  <c r="G2743" i="1"/>
  <c r="G2742" i="1" a="1"/>
  <c r="G2742" i="1"/>
  <c r="G2744" i="1" a="1"/>
  <c r="G2744" i="1"/>
  <c r="G2745" i="1" a="1"/>
  <c r="G2745" i="1"/>
  <c r="G2746" i="1" a="1"/>
  <c r="G2746" i="1"/>
  <c r="G2747" i="1" a="1"/>
  <c r="G2747" i="1"/>
  <c r="G2748" i="1" a="1"/>
  <c r="G2748" i="1"/>
  <c r="G2749" i="1" a="1"/>
  <c r="G2749" i="1"/>
  <c r="G2751" i="1" a="1"/>
  <c r="G2751" i="1"/>
  <c r="G2750" i="1" a="1"/>
  <c r="G2750" i="1"/>
  <c r="G2752" i="1" a="1"/>
  <c r="G2752" i="1"/>
  <c r="G2755" i="1" a="1"/>
  <c r="G2755" i="1"/>
  <c r="G2754" i="1" a="1"/>
  <c r="G2754" i="1"/>
  <c r="G2753" i="1" a="1"/>
  <c r="G2753" i="1"/>
  <c r="G2756" i="1" a="1"/>
  <c r="G2756" i="1"/>
  <c r="G2757" i="1" a="1"/>
  <c r="G2757" i="1"/>
  <c r="G2758" i="1" a="1"/>
  <c r="G2758" i="1"/>
  <c r="G2759" i="1" a="1"/>
  <c r="G2759" i="1"/>
  <c r="G2760" i="1" a="1"/>
  <c r="G2760" i="1"/>
  <c r="G2763" i="1" a="1"/>
  <c r="G2763" i="1"/>
  <c r="G2762" i="1" a="1"/>
  <c r="G2762" i="1"/>
  <c r="G2761" i="1" a="1"/>
  <c r="G2761" i="1"/>
  <c r="G2764" i="1" a="1"/>
  <c r="G2764" i="1"/>
  <c r="G2767" i="1" a="1"/>
  <c r="G2767" i="1"/>
  <c r="G2765" i="1" a="1"/>
  <c r="G2765" i="1"/>
  <c r="G2766" i="1" a="1"/>
  <c r="G2766" i="1"/>
  <c r="G2768" i="1" a="1"/>
  <c r="G2768" i="1"/>
  <c r="G2769" i="1" a="1"/>
  <c r="G2769" i="1"/>
  <c r="G2771" i="1" a="1"/>
  <c r="G2771" i="1"/>
  <c r="G2770" i="1" a="1"/>
  <c r="G2770" i="1"/>
  <c r="G2773" i="1" a="1"/>
  <c r="G2773" i="1"/>
  <c r="G2772" i="1" a="1"/>
  <c r="G2772" i="1"/>
  <c r="G2774" i="1" a="1"/>
  <c r="G2774" i="1"/>
  <c r="G2778" i="1" a="1"/>
  <c r="G2778" i="1"/>
  <c r="G2775" i="1" a="1"/>
  <c r="G2775" i="1"/>
  <c r="G2776" i="1" a="1"/>
  <c r="G2776" i="1"/>
  <c r="G2777" i="1" a="1"/>
  <c r="G2777" i="1"/>
  <c r="G2779" i="1" a="1"/>
  <c r="G2779" i="1"/>
  <c r="G2780" i="1" a="1"/>
  <c r="G2780" i="1"/>
  <c r="G2781" i="1" a="1"/>
  <c r="G2781" i="1"/>
  <c r="G2782" i="1" a="1"/>
  <c r="G2782" i="1"/>
  <c r="G2783" i="1" a="1"/>
  <c r="G2783" i="1"/>
  <c r="G2785" i="1" a="1"/>
  <c r="G2785" i="1"/>
  <c r="G2784" i="1" a="1"/>
  <c r="G2784" i="1"/>
  <c r="G2786" i="1" a="1"/>
  <c r="G2786" i="1"/>
  <c r="G2787" i="1" a="1"/>
  <c r="G2787" i="1"/>
  <c r="G2788" i="1" a="1"/>
  <c r="G2788" i="1"/>
  <c r="G2791" i="1" a="1"/>
  <c r="G2791" i="1"/>
  <c r="G2790" i="1" a="1"/>
  <c r="G2790" i="1"/>
  <c r="G2789" i="1" a="1"/>
  <c r="G2789" i="1"/>
  <c r="G2793" i="1" a="1"/>
  <c r="G2793" i="1"/>
  <c r="G2792" i="1" a="1"/>
  <c r="G2792" i="1"/>
  <c r="G2796" i="1" a="1"/>
  <c r="G2796" i="1"/>
  <c r="G2795" i="1" a="1"/>
  <c r="G2795" i="1"/>
  <c r="G2794" i="1" a="1"/>
  <c r="G2794" i="1"/>
  <c r="G2797" i="1" a="1"/>
  <c r="G2797" i="1"/>
  <c r="G2798" i="1" a="1"/>
  <c r="G2798" i="1"/>
  <c r="G2800" i="1" a="1"/>
  <c r="G2800" i="1"/>
  <c r="G2799" i="1" a="1"/>
  <c r="G2799" i="1"/>
  <c r="G2802" i="1" a="1"/>
  <c r="G2802" i="1"/>
  <c r="G2801" i="1" a="1"/>
  <c r="G2801" i="1"/>
  <c r="G2804" i="1" a="1"/>
  <c r="G2804" i="1"/>
  <c r="G2803" i="1" a="1"/>
  <c r="G2803" i="1"/>
  <c r="G2805" i="1" a="1"/>
  <c r="G2805" i="1"/>
  <c r="G2806" i="1" a="1"/>
  <c r="G2806" i="1"/>
  <c r="G2807" i="1" a="1"/>
  <c r="G2807" i="1"/>
  <c r="G2809" i="1" a="1"/>
  <c r="G2809" i="1"/>
  <c r="G2808" i="1" a="1"/>
  <c r="G2808" i="1"/>
  <c r="G2810" i="1" a="1"/>
  <c r="G2810" i="1"/>
  <c r="G2811" i="1" a="1"/>
  <c r="G2811" i="1"/>
  <c r="G2812" i="1" a="1"/>
  <c r="G2812" i="1"/>
  <c r="G2813" i="1" a="1"/>
  <c r="G2813" i="1"/>
  <c r="G2815" i="1" a="1"/>
  <c r="G2815" i="1"/>
  <c r="G2814" i="1" a="1"/>
  <c r="G2814" i="1"/>
  <c r="G2816" i="1" a="1"/>
  <c r="G2816" i="1"/>
  <c r="G2818" i="1" a="1"/>
  <c r="G2818" i="1"/>
  <c r="G2817" i="1" a="1"/>
  <c r="G2817" i="1"/>
  <c r="G2819" i="1" a="1"/>
  <c r="G2819" i="1"/>
  <c r="G2820" i="1" a="1"/>
  <c r="G2820" i="1"/>
  <c r="G2821" i="1" a="1"/>
  <c r="G2821" i="1"/>
  <c r="G2822" i="1" a="1"/>
  <c r="G2822" i="1"/>
  <c r="G2824" i="1" a="1"/>
  <c r="G2824" i="1"/>
  <c r="G2823" i="1" a="1"/>
  <c r="G2823" i="1"/>
  <c r="G2825" i="1" a="1"/>
  <c r="G2825" i="1"/>
  <c r="G2826" i="1" a="1"/>
  <c r="G2826" i="1"/>
  <c r="G2827" i="1" a="1"/>
  <c r="G2827" i="1"/>
  <c r="G2829" i="1" a="1"/>
  <c r="G2829" i="1"/>
  <c r="G2828" i="1" a="1"/>
  <c r="G2828" i="1"/>
  <c r="G2830" i="1" a="1"/>
  <c r="G2830" i="1"/>
  <c r="G2831" i="1" a="1"/>
  <c r="G2831" i="1"/>
  <c r="G2832" i="1" a="1"/>
  <c r="G2832" i="1"/>
  <c r="G2833" i="1" a="1"/>
  <c r="G2833" i="1"/>
  <c r="G2834" i="1" a="1"/>
  <c r="G2834" i="1"/>
  <c r="G2835" i="1" a="1"/>
  <c r="G2835" i="1"/>
  <c r="G2837" i="1" a="1"/>
  <c r="G2837" i="1"/>
  <c r="G2836" i="1" a="1"/>
  <c r="G2836" i="1"/>
  <c r="G2838" i="1" a="1"/>
  <c r="G2838" i="1"/>
  <c r="G2840" i="1" a="1"/>
  <c r="G2840" i="1"/>
  <c r="G2839" i="1" a="1"/>
  <c r="G2839" i="1"/>
  <c r="G2841" i="1" a="1"/>
  <c r="G2841" i="1"/>
  <c r="G2842" i="1" a="1"/>
  <c r="G2842" i="1"/>
  <c r="G2843" i="1" a="1"/>
  <c r="G2843" i="1"/>
  <c r="G2845" i="1" a="1"/>
  <c r="G2845" i="1"/>
  <c r="G2844" i="1" a="1"/>
  <c r="G2844" i="1"/>
  <c r="G2846" i="1" a="1"/>
  <c r="G2846" i="1"/>
  <c r="G2847" i="1" a="1"/>
  <c r="G2847" i="1"/>
  <c r="G2849" i="1" a="1"/>
  <c r="G2849" i="1"/>
  <c r="G2848" i="1" a="1"/>
  <c r="G2848" i="1"/>
  <c r="G2850" i="1" a="1"/>
  <c r="G2850" i="1"/>
  <c r="G2851" i="1" a="1"/>
  <c r="G2851" i="1"/>
  <c r="G2852" i="1" a="1"/>
  <c r="G2852" i="1"/>
  <c r="G2854" i="1" a="1"/>
  <c r="G2854" i="1"/>
  <c r="G2853" i="1" a="1"/>
  <c r="G2853" i="1"/>
  <c r="G2855" i="1" a="1"/>
  <c r="G2855" i="1"/>
  <c r="G2856" i="1" a="1"/>
  <c r="G2856" i="1"/>
  <c r="G2857" i="1" a="1"/>
  <c r="G2857" i="1"/>
  <c r="G2858" i="1" a="1"/>
  <c r="G2858" i="1"/>
  <c r="G2859" i="1" a="1"/>
  <c r="G2859" i="1"/>
  <c r="G2861" i="1" a="1"/>
  <c r="G2861" i="1"/>
  <c r="G2860" i="1" a="1"/>
  <c r="G2860" i="1"/>
  <c r="G2862" i="1" a="1"/>
  <c r="G2862" i="1"/>
  <c r="G2863" i="1" a="1"/>
  <c r="G2863" i="1"/>
  <c r="G2864" i="1" a="1"/>
  <c r="G2864" i="1"/>
  <c r="G2865" i="1" a="1"/>
  <c r="G2865" i="1"/>
  <c r="G2866" i="1" a="1"/>
  <c r="G2866" i="1"/>
  <c r="G2868" i="1" a="1"/>
  <c r="G2868" i="1"/>
  <c r="G2869" i="1" a="1"/>
  <c r="G2869" i="1"/>
  <c r="G2870" i="1" a="1"/>
  <c r="G2870" i="1"/>
  <c r="G2867" i="1" a="1"/>
  <c r="G2867" i="1"/>
  <c r="G2874" i="1" a="1"/>
  <c r="G2874" i="1"/>
  <c r="G2872" i="1" a="1"/>
  <c r="G2872" i="1"/>
  <c r="G2873" i="1" a="1"/>
  <c r="G2873" i="1"/>
  <c r="G2871" i="1" a="1"/>
  <c r="G2871" i="1"/>
  <c r="G2875" i="1" a="1"/>
  <c r="G2875" i="1"/>
  <c r="G2876" i="1" a="1"/>
  <c r="G2876" i="1"/>
  <c r="G2877" i="1" a="1"/>
  <c r="G2877" i="1"/>
  <c r="G2878" i="1" a="1"/>
  <c r="G2878" i="1"/>
  <c r="G2879" i="1" a="1"/>
  <c r="G2879" i="1"/>
  <c r="G2880" i="1" a="1"/>
  <c r="G2880" i="1"/>
  <c r="G2881" i="1" a="1"/>
  <c r="G2881" i="1"/>
  <c r="G2884" i="1" a="1"/>
  <c r="G2884" i="1"/>
  <c r="G2883" i="1" a="1"/>
  <c r="G2883" i="1"/>
  <c r="G2882" i="1" a="1"/>
  <c r="G2882" i="1"/>
  <c r="G2885" i="1" a="1"/>
  <c r="G2885" i="1"/>
  <c r="G2886" i="1" a="1"/>
  <c r="G2886" i="1"/>
  <c r="G2887" i="1" a="1"/>
  <c r="G2887" i="1"/>
  <c r="G2892" i="1" a="1"/>
  <c r="G2892" i="1"/>
  <c r="G2888" i="1" a="1"/>
  <c r="G2888" i="1"/>
  <c r="G2891" i="1" a="1"/>
  <c r="G2891" i="1"/>
  <c r="G2890" i="1" a="1"/>
  <c r="G2890" i="1"/>
  <c r="G2889" i="1" a="1"/>
  <c r="G2889" i="1"/>
  <c r="G2894" i="1" a="1"/>
  <c r="G2894" i="1"/>
  <c r="G2893" i="1" a="1"/>
  <c r="G2893" i="1"/>
  <c r="G2895" i="1" a="1"/>
  <c r="G2895" i="1"/>
  <c r="G2896" i="1" a="1"/>
  <c r="G2896" i="1"/>
  <c r="G2898" i="1" a="1"/>
  <c r="G2898" i="1"/>
  <c r="G2899" i="1" a="1"/>
  <c r="G2899" i="1"/>
  <c r="G2897" i="1" a="1"/>
  <c r="G2897" i="1"/>
  <c r="G2900" i="1" a="1"/>
  <c r="G2900" i="1"/>
  <c r="G2905" i="1" a="1"/>
  <c r="G2905" i="1"/>
  <c r="G2903" i="1" a="1"/>
  <c r="G2903" i="1"/>
  <c r="G2902" i="1" a="1"/>
  <c r="G2902" i="1"/>
  <c r="G2901" i="1" a="1"/>
  <c r="G2901" i="1"/>
  <c r="G2904" i="1" a="1"/>
  <c r="G2904" i="1"/>
  <c r="G2907" i="1" a="1"/>
  <c r="G2907" i="1"/>
  <c r="G2909" i="1" a="1"/>
  <c r="G2909" i="1"/>
  <c r="G2906" i="1" a="1"/>
  <c r="G2906" i="1"/>
  <c r="G2908" i="1" a="1"/>
  <c r="G2908" i="1"/>
  <c r="G2911" i="1" a="1"/>
  <c r="G2911" i="1"/>
  <c r="G2910" i="1" a="1"/>
  <c r="G2910" i="1"/>
  <c r="G2912" i="1" a="1"/>
  <c r="G2912" i="1"/>
  <c r="G2913" i="1" a="1"/>
  <c r="G2913" i="1"/>
  <c r="G2915" i="1" a="1"/>
  <c r="G2915" i="1"/>
  <c r="G2914" i="1" a="1"/>
  <c r="G2914" i="1"/>
  <c r="G2916" i="1" a="1"/>
  <c r="G2916" i="1"/>
  <c r="G2917" i="1" a="1"/>
  <c r="G2917" i="1"/>
  <c r="G2918" i="1" a="1"/>
  <c r="G2918" i="1"/>
  <c r="G2919" i="1" a="1"/>
  <c r="G2919" i="1"/>
  <c r="G2920" i="1" a="1"/>
  <c r="G2920" i="1"/>
  <c r="G2921" i="1" a="1"/>
  <c r="G2921" i="1"/>
  <c r="G2925" i="1" a="1"/>
  <c r="G2925" i="1"/>
  <c r="G2923" i="1" a="1"/>
  <c r="G2923" i="1"/>
  <c r="G2922" i="1" a="1"/>
  <c r="G2922" i="1"/>
  <c r="G2924" i="1" a="1"/>
  <c r="G2924" i="1"/>
  <c r="G2926" i="1" a="1"/>
  <c r="G2926" i="1"/>
  <c r="G2930" i="1" a="1"/>
  <c r="G2930" i="1"/>
  <c r="G2927" i="1" a="1"/>
  <c r="G2927" i="1"/>
  <c r="G2928" i="1" a="1"/>
  <c r="G2928" i="1"/>
  <c r="G2929" i="1" a="1"/>
  <c r="G2929" i="1"/>
  <c r="G2931" i="1" a="1"/>
  <c r="G2931" i="1"/>
  <c r="G2932" i="1" a="1"/>
  <c r="G2932" i="1"/>
  <c r="G2933" i="1" a="1"/>
  <c r="G2933" i="1"/>
  <c r="G2934" i="1" a="1"/>
  <c r="G2934" i="1"/>
  <c r="G2936" i="1" a="1"/>
  <c r="G2936" i="1"/>
  <c r="G2935" i="1" a="1"/>
  <c r="G2935" i="1"/>
  <c r="G2937" i="1" a="1"/>
  <c r="G2937" i="1"/>
  <c r="G2938" i="1" a="1"/>
  <c r="G2938" i="1"/>
  <c r="G2939" i="1" a="1"/>
  <c r="G2939" i="1"/>
  <c r="G2940" i="1" a="1"/>
  <c r="G2940" i="1"/>
  <c r="G2943" i="1" a="1"/>
  <c r="G2943" i="1"/>
  <c r="G2942" i="1" a="1"/>
  <c r="G2942" i="1"/>
  <c r="G2945" i="1" a="1"/>
  <c r="G2945" i="1"/>
  <c r="G2944" i="1" a="1"/>
  <c r="G2944" i="1"/>
  <c r="G2941" i="1" a="1"/>
  <c r="G2941" i="1"/>
  <c r="G2946" i="1" a="1"/>
  <c r="G2946" i="1"/>
  <c r="G2947" i="1" a="1"/>
  <c r="G2947" i="1"/>
  <c r="G2948" i="1" a="1"/>
  <c r="G2948" i="1"/>
  <c r="G2949" i="1" a="1"/>
  <c r="G2949" i="1"/>
  <c r="G2951" i="1" a="1"/>
  <c r="G2951" i="1"/>
  <c r="G2950" i="1" a="1"/>
  <c r="G2950" i="1"/>
  <c r="G2952" i="1" a="1"/>
  <c r="G2952" i="1"/>
  <c r="G2953" i="1" a="1"/>
  <c r="G2953" i="1"/>
  <c r="G2954" i="1" a="1"/>
  <c r="G2954" i="1"/>
  <c r="G2955" i="1" a="1"/>
  <c r="G2955" i="1"/>
  <c r="G2959" i="1" a="1"/>
  <c r="G2959" i="1"/>
  <c r="G2957" i="1" a="1"/>
  <c r="G2957" i="1"/>
  <c r="G2958" i="1" a="1"/>
  <c r="G2958" i="1"/>
  <c r="G2956" i="1" a="1"/>
  <c r="G2956" i="1"/>
  <c r="G2960" i="1" a="1"/>
  <c r="G2960" i="1"/>
  <c r="G2961" i="1" a="1"/>
  <c r="G2961" i="1"/>
  <c r="G2962" i="1" a="1"/>
  <c r="G2962" i="1"/>
  <c r="G2963" i="1" a="1"/>
  <c r="G2963" i="1"/>
  <c r="G2964" i="1" a="1"/>
  <c r="G2964" i="1"/>
  <c r="G2965" i="1" a="1"/>
  <c r="G2965" i="1"/>
  <c r="G2967" i="1" a="1"/>
  <c r="G2967" i="1"/>
  <c r="G2966" i="1" a="1"/>
  <c r="G2966" i="1"/>
  <c r="G2968" i="1" a="1"/>
  <c r="G2968" i="1"/>
  <c r="G2969" i="1" a="1"/>
  <c r="G2969" i="1"/>
  <c r="G2970" i="1" a="1"/>
  <c r="G2970" i="1"/>
  <c r="G2973" i="1" a="1"/>
  <c r="G2973" i="1"/>
  <c r="G2971" i="1" a="1"/>
  <c r="G2971" i="1"/>
  <c r="G2972" i="1" a="1"/>
  <c r="G2972" i="1"/>
  <c r="G2974" i="1" a="1"/>
  <c r="G2974" i="1"/>
  <c r="G2977" i="1" a="1"/>
  <c r="G2977" i="1"/>
  <c r="G2975" i="1" a="1"/>
  <c r="G2975" i="1"/>
  <c r="G2976" i="1" a="1"/>
  <c r="G2976" i="1"/>
  <c r="G2978" i="1" a="1"/>
  <c r="G2978" i="1"/>
  <c r="G2980" i="1" a="1"/>
  <c r="G2980" i="1"/>
  <c r="G2979" i="1" a="1"/>
  <c r="G2979" i="1"/>
  <c r="G2981" i="1" a="1"/>
  <c r="G2981" i="1"/>
  <c r="G2983" i="1" a="1"/>
  <c r="G2983" i="1"/>
  <c r="G2982" i="1" a="1"/>
  <c r="G2982" i="1"/>
  <c r="G2984" i="1" a="1"/>
  <c r="G2984" i="1"/>
  <c r="G2985" i="1" a="1"/>
  <c r="G2985" i="1"/>
  <c r="G2986" i="1" a="1"/>
  <c r="G2986" i="1"/>
  <c r="G2988" i="1" a="1"/>
  <c r="G2988" i="1"/>
  <c r="G2987" i="1" a="1"/>
  <c r="G2987" i="1"/>
  <c r="G2991" i="1" a="1"/>
  <c r="G2991" i="1"/>
  <c r="G2990" i="1" a="1"/>
  <c r="G2990" i="1"/>
  <c r="G2989" i="1" a="1"/>
  <c r="G2989" i="1"/>
  <c r="G2992" i="1" a="1"/>
  <c r="G2992" i="1"/>
  <c r="G2993" i="1" a="1"/>
  <c r="G2993" i="1"/>
  <c r="G2994" i="1" a="1"/>
  <c r="G2994" i="1"/>
  <c r="G2997" i="1" a="1"/>
  <c r="G2997" i="1"/>
  <c r="G2996" i="1" a="1"/>
  <c r="G2996" i="1"/>
  <c r="G2995" i="1" a="1"/>
  <c r="G2995" i="1"/>
  <c r="G2998" i="1" a="1"/>
  <c r="G2998" i="1"/>
  <c r="G2999" i="1" a="1"/>
  <c r="G2999" i="1"/>
  <c r="G3000" i="1" a="1"/>
  <c r="G3000" i="1"/>
  <c r="G3001" i="1" a="1"/>
  <c r="G3001" i="1"/>
  <c r="G3004" i="1" a="1"/>
  <c r="G3004" i="1"/>
  <c r="G3003" i="1" a="1"/>
  <c r="G3003" i="1"/>
  <c r="G3002" i="1" a="1"/>
  <c r="G3002" i="1"/>
  <c r="G3005" i="1" a="1"/>
  <c r="G3005" i="1"/>
  <c r="G3009" i="1" a="1"/>
  <c r="G3009" i="1"/>
  <c r="G3006" i="1" a="1"/>
  <c r="G3006" i="1"/>
  <c r="G3007" i="1" a="1"/>
  <c r="G3007" i="1"/>
  <c r="G3008" i="1" a="1"/>
  <c r="G3008" i="1"/>
  <c r="G3011" i="1" a="1"/>
  <c r="G3011" i="1"/>
  <c r="G3012" i="1" a="1"/>
  <c r="G3012" i="1"/>
  <c r="G3010" i="1" a="1"/>
  <c r="G3010" i="1"/>
  <c r="G3013" i="1" a="1"/>
  <c r="G3013" i="1"/>
  <c r="G3014" i="1" a="1"/>
  <c r="G3014" i="1"/>
  <c r="G3015" i="1" a="1"/>
  <c r="G3015" i="1"/>
  <c r="G3016" i="1" a="1"/>
  <c r="G3016" i="1"/>
  <c r="G3018" i="1" a="1"/>
  <c r="G3018" i="1"/>
  <c r="G3017" i="1" a="1"/>
  <c r="G3017" i="1"/>
  <c r="G3019" i="1" a="1"/>
  <c r="G3019" i="1"/>
  <c r="G3020" i="1" a="1"/>
  <c r="G3020" i="1"/>
  <c r="G3021" i="1" a="1"/>
  <c r="G3021" i="1"/>
  <c r="G3022" i="1" a="1"/>
  <c r="G3022" i="1"/>
  <c r="G3023" i="1" a="1"/>
  <c r="G3023" i="1"/>
  <c r="G3025" i="1" a="1"/>
  <c r="G3025" i="1"/>
  <c r="G3026" i="1" a="1"/>
  <c r="G3026" i="1"/>
  <c r="G3024" i="1" a="1"/>
  <c r="G3024" i="1"/>
  <c r="G3027" i="1" a="1"/>
  <c r="G3027" i="1"/>
  <c r="G3028" i="1" a="1"/>
  <c r="G3028" i="1"/>
  <c r="G3029" i="1" a="1"/>
  <c r="G3029" i="1"/>
  <c r="G3030" i="1" a="1"/>
  <c r="G3030" i="1"/>
  <c r="G3033" i="1" a="1"/>
  <c r="G3033" i="1"/>
  <c r="G3031" i="1" a="1"/>
  <c r="G3031" i="1"/>
  <c r="G3034" i="1" a="1"/>
  <c r="G3034" i="1"/>
  <c r="G3035" i="1" a="1"/>
  <c r="G3035" i="1"/>
  <c r="G3032" i="1" a="1"/>
  <c r="G3032" i="1"/>
  <c r="G3037" i="1" a="1"/>
  <c r="G3037" i="1"/>
  <c r="G3036" i="1" a="1"/>
  <c r="G3036" i="1"/>
  <c r="G3038" i="1" a="1"/>
  <c r="G3038" i="1"/>
  <c r="G3039" i="1" a="1"/>
  <c r="G3039" i="1"/>
  <c r="G3040" i="1" a="1"/>
  <c r="G3040" i="1"/>
  <c r="G3041" i="1" a="1"/>
  <c r="G3041" i="1"/>
  <c r="G3042" i="1" a="1"/>
  <c r="G3042" i="1"/>
  <c r="G3043" i="1" a="1"/>
  <c r="G3043" i="1"/>
  <c r="G3044" i="1" a="1"/>
  <c r="G3044" i="1"/>
  <c r="G3045" i="1" a="1"/>
  <c r="G3045" i="1"/>
  <c r="G3048" i="1" a="1"/>
  <c r="G3048" i="1"/>
  <c r="G3046" i="1" a="1"/>
  <c r="G3046" i="1"/>
  <c r="G3047" i="1" a="1"/>
  <c r="G3047" i="1"/>
  <c r="G3049" i="1" a="1"/>
  <c r="G3049" i="1"/>
  <c r="G3050" i="1" a="1"/>
  <c r="G3050" i="1"/>
  <c r="G3051" i="1" a="1"/>
  <c r="G3051" i="1"/>
  <c r="G3052" i="1" a="1"/>
  <c r="G3052" i="1"/>
  <c r="G3054" i="1" a="1"/>
  <c r="G3054" i="1"/>
  <c r="G3053" i="1" a="1"/>
  <c r="G3053" i="1"/>
  <c r="G3055" i="1" a="1"/>
  <c r="G3055" i="1"/>
  <c r="G3056" i="1" a="1"/>
  <c r="G3056" i="1"/>
  <c r="G3057" i="1" a="1"/>
  <c r="G3057" i="1"/>
  <c r="G3058" i="1" a="1"/>
  <c r="G3058" i="1"/>
  <c r="G3059" i="1" a="1"/>
  <c r="G3059" i="1"/>
  <c r="G3060" i="1" a="1"/>
  <c r="G3060" i="1"/>
  <c r="G3061" i="1" a="1"/>
  <c r="G3061" i="1"/>
  <c r="G3063" i="1" a="1"/>
  <c r="G3063" i="1"/>
  <c r="G3062" i="1" a="1"/>
  <c r="G3062" i="1"/>
  <c r="G3064" i="1" a="1"/>
  <c r="G3064" i="1"/>
  <c r="G3066" i="1" a="1"/>
  <c r="G3066" i="1"/>
  <c r="G3065" i="1" a="1"/>
  <c r="G3065" i="1"/>
  <c r="G3068" i="1" a="1"/>
  <c r="G3068" i="1"/>
  <c r="G3067" i="1" a="1"/>
  <c r="G3067" i="1"/>
  <c r="G3069" i="1" a="1"/>
  <c r="G3069" i="1"/>
  <c r="G3070" i="1" a="1"/>
  <c r="G3070" i="1"/>
  <c r="G3071" i="1" a="1"/>
  <c r="G3071" i="1"/>
  <c r="G3073" i="1" a="1"/>
  <c r="G3073" i="1"/>
  <c r="G3072" i="1" a="1"/>
  <c r="G3072" i="1"/>
  <c r="G3075" i="1" a="1"/>
  <c r="G3075" i="1"/>
  <c r="G3074" i="1" a="1"/>
  <c r="G3074" i="1"/>
  <c r="G3076" i="1" a="1"/>
  <c r="G3076" i="1"/>
  <c r="G3077" i="1" a="1"/>
  <c r="G3077" i="1"/>
  <c r="G3078" i="1" a="1"/>
  <c r="G3078" i="1"/>
  <c r="G3079" i="1" a="1"/>
  <c r="G3079" i="1"/>
  <c r="G3080" i="1" a="1"/>
  <c r="G3080" i="1"/>
  <c r="G3082" i="1" a="1"/>
  <c r="G3082" i="1"/>
  <c r="G3081" i="1" a="1"/>
  <c r="G3081" i="1"/>
  <c r="G3083" i="1" a="1"/>
  <c r="G3083" i="1"/>
  <c r="G3084" i="1" a="1"/>
  <c r="G3084" i="1"/>
  <c r="G3085" i="1" a="1"/>
  <c r="G3085" i="1"/>
  <c r="G3086" i="1" a="1"/>
  <c r="G3086" i="1"/>
  <c r="G3087" i="1" a="1"/>
  <c r="G3087" i="1"/>
  <c r="G3089" i="1" a="1"/>
  <c r="G3089" i="1"/>
  <c r="G3090" i="1" a="1"/>
  <c r="G3090" i="1"/>
  <c r="G3088" i="1" a="1"/>
  <c r="G3088" i="1"/>
  <c r="G3093" i="1" a="1"/>
  <c r="G3093" i="1"/>
  <c r="G3092" i="1" a="1"/>
  <c r="G3092" i="1"/>
  <c r="G3091" i="1" a="1"/>
  <c r="G3091" i="1"/>
  <c r="G3094" i="1" a="1"/>
  <c r="G3094" i="1"/>
  <c r="G3095" i="1" a="1"/>
  <c r="G3095" i="1"/>
  <c r="G3096" i="1" a="1"/>
  <c r="G3096" i="1"/>
  <c r="G3100" i="1" a="1"/>
  <c r="G3100" i="1"/>
  <c r="G3098" i="1" a="1"/>
  <c r="G3098" i="1"/>
  <c r="G3099" i="1" a="1"/>
  <c r="G3099" i="1"/>
  <c r="G3097" i="1" a="1"/>
  <c r="G3097" i="1"/>
  <c r="G3101" i="1" a="1"/>
  <c r="G3101" i="1"/>
  <c r="G3102" i="1" a="1"/>
  <c r="G3102" i="1"/>
  <c r="G3104" i="1" a="1"/>
  <c r="G3104" i="1"/>
  <c r="G3105" i="1" a="1"/>
  <c r="G3105" i="1"/>
  <c r="G3103" i="1" a="1"/>
  <c r="G3103" i="1"/>
  <c r="G3107" i="1" a="1"/>
  <c r="G3107" i="1"/>
  <c r="G3106" i="1" a="1"/>
  <c r="G3106" i="1"/>
  <c r="G3108" i="1" a="1"/>
  <c r="G3108" i="1"/>
  <c r="G3109" i="1" a="1"/>
  <c r="G3109" i="1"/>
  <c r="G3111" i="1" a="1"/>
  <c r="G3111" i="1"/>
  <c r="G3110" i="1" a="1"/>
  <c r="G3110" i="1"/>
  <c r="G3112" i="1" a="1"/>
  <c r="G3112" i="1"/>
  <c r="G3113" i="1" a="1"/>
  <c r="G3113" i="1"/>
  <c r="G3114" i="1" a="1"/>
  <c r="G3114" i="1"/>
  <c r="G3115" i="1" a="1"/>
  <c r="G3115" i="1"/>
  <c r="G3116" i="1" a="1"/>
  <c r="G3116" i="1"/>
  <c r="G3117" i="1" a="1"/>
  <c r="G3117" i="1"/>
  <c r="G3119" i="1" a="1"/>
  <c r="G3119" i="1"/>
  <c r="G3118" i="1" a="1"/>
  <c r="G3118" i="1"/>
  <c r="G3120" i="1" a="1"/>
  <c r="G3120" i="1"/>
  <c r="G3121" i="1" a="1"/>
  <c r="G3121" i="1"/>
  <c r="G3122" i="1" a="1"/>
  <c r="G3122" i="1"/>
  <c r="G3123" i="1" a="1"/>
  <c r="G3123" i="1"/>
  <c r="G3124" i="1" a="1"/>
  <c r="G3124" i="1"/>
  <c r="G3126" i="1" a="1"/>
  <c r="G3126" i="1"/>
  <c r="G3127" i="1" a="1"/>
  <c r="G3127" i="1"/>
  <c r="G3125" i="1" a="1"/>
  <c r="G3125" i="1"/>
  <c r="G3128" i="1" a="1"/>
  <c r="G3128" i="1"/>
  <c r="G3129" i="1" a="1"/>
  <c r="G3129" i="1"/>
  <c r="G3130" i="1" a="1"/>
  <c r="G3130" i="1"/>
  <c r="G3131" i="1" a="1"/>
  <c r="G3131" i="1"/>
  <c r="G3132" i="1" a="1"/>
  <c r="G3132" i="1"/>
  <c r="G3134" i="1" a="1"/>
  <c r="G3134" i="1"/>
  <c r="G3133" i="1" a="1"/>
  <c r="G3133" i="1"/>
  <c r="G3136" i="1" a="1"/>
  <c r="G3136" i="1"/>
  <c r="G3135" i="1" a="1"/>
  <c r="G3135" i="1"/>
  <c r="G3137" i="1" a="1"/>
  <c r="G3137" i="1"/>
  <c r="G3138" i="1" a="1"/>
  <c r="G3138" i="1"/>
  <c r="G3139" i="1" a="1"/>
  <c r="G3139" i="1"/>
  <c r="G3141" i="1" a="1"/>
  <c r="G3141" i="1"/>
  <c r="G3140" i="1" a="1"/>
  <c r="G3140" i="1"/>
  <c r="G3144" i="1" a="1"/>
  <c r="G3144" i="1"/>
  <c r="G3142" i="1" a="1"/>
  <c r="G3142" i="1"/>
  <c r="G3145" i="1" a="1"/>
  <c r="G3145" i="1"/>
  <c r="G3143" i="1" a="1"/>
  <c r="G3143" i="1"/>
  <c r="G3146" i="1" a="1"/>
  <c r="G3146" i="1"/>
  <c r="G3147" i="1" a="1"/>
  <c r="G3147" i="1"/>
  <c r="G3149" i="1" a="1"/>
  <c r="G3149" i="1"/>
  <c r="G3148" i="1" a="1"/>
  <c r="G3148" i="1"/>
  <c r="G3150" i="1" a="1"/>
  <c r="G3150" i="1"/>
  <c r="G3151" i="1" a="1"/>
  <c r="G3151" i="1"/>
  <c r="G3152" i="1" a="1"/>
  <c r="G3152" i="1"/>
  <c r="G3153" i="1" a="1"/>
  <c r="G3153" i="1"/>
  <c r="G3154" i="1" a="1"/>
  <c r="G3154" i="1"/>
  <c r="G3155" i="1" a="1"/>
  <c r="G3155" i="1"/>
  <c r="G3156" i="1" a="1"/>
  <c r="G3156" i="1"/>
  <c r="G3157" i="1" a="1"/>
  <c r="G3157" i="1"/>
  <c r="G3162" i="1" a="1"/>
  <c r="G3162" i="1"/>
  <c r="G3160" i="1" a="1"/>
  <c r="G3160" i="1"/>
  <c r="G3161" i="1" a="1"/>
  <c r="G3161" i="1"/>
  <c r="G3158" i="1" a="1"/>
  <c r="G3158" i="1"/>
  <c r="G3159" i="1" a="1"/>
  <c r="G3159" i="1"/>
  <c r="G3164" i="1" a="1"/>
  <c r="G3164" i="1"/>
  <c r="G3163" i="1" a="1"/>
  <c r="G3163" i="1"/>
  <c r="G3167" i="1" a="1"/>
  <c r="G3167" i="1"/>
  <c r="G3165" i="1" a="1"/>
  <c r="G3165" i="1"/>
  <c r="G3166" i="1" a="1"/>
  <c r="G3166" i="1"/>
  <c r="G3169" i="1" a="1"/>
  <c r="G3169" i="1"/>
  <c r="G3168" i="1" a="1"/>
  <c r="G3168" i="1"/>
  <c r="G3170" i="1" a="1"/>
  <c r="G3170" i="1"/>
  <c r="G3171" i="1" a="1"/>
  <c r="G3171" i="1"/>
  <c r="G3172" i="1" a="1"/>
  <c r="G3172" i="1"/>
  <c r="G3173" i="1" a="1"/>
  <c r="G3173" i="1"/>
  <c r="G3176" i="1" a="1"/>
  <c r="G3176" i="1"/>
  <c r="G3175" i="1" a="1"/>
  <c r="G3175" i="1"/>
  <c r="G3174" i="1" a="1"/>
  <c r="G3174" i="1"/>
  <c r="G3178" i="1" a="1"/>
  <c r="G3178" i="1"/>
  <c r="G3177" i="1" a="1"/>
  <c r="G3177" i="1"/>
  <c r="G3179" i="1" a="1"/>
  <c r="G3179" i="1"/>
  <c r="G3180" i="1" a="1"/>
  <c r="G3180" i="1"/>
  <c r="G3181" i="1" a="1"/>
  <c r="G3181" i="1"/>
  <c r="G3182" i="1" a="1"/>
  <c r="G3182" i="1"/>
  <c r="G3185" i="1" a="1"/>
  <c r="G3185" i="1"/>
  <c r="G3184" i="1" a="1"/>
  <c r="G3184" i="1"/>
  <c r="G3183" i="1" a="1"/>
  <c r="G3183" i="1"/>
  <c r="G3188" i="1" a="1"/>
  <c r="G3188" i="1"/>
  <c r="G3189" i="1" a="1"/>
  <c r="G3189" i="1"/>
  <c r="G3186" i="1" a="1"/>
  <c r="G3186" i="1"/>
  <c r="G3187" i="1" a="1"/>
  <c r="G3187" i="1"/>
  <c r="G3190" i="1" a="1"/>
  <c r="G3190" i="1"/>
  <c r="G3191" i="1" a="1"/>
  <c r="G3191" i="1"/>
  <c r="G3196" i="1" a="1"/>
  <c r="G3196" i="1"/>
  <c r="G3192" i="1" a="1"/>
  <c r="G3192" i="1"/>
  <c r="G3195" i="1" a="1"/>
  <c r="G3195" i="1"/>
  <c r="G3193" i="1" a="1"/>
  <c r="G3193" i="1"/>
  <c r="G3194" i="1" a="1"/>
  <c r="G3194" i="1"/>
  <c r="G3197" i="1" a="1"/>
  <c r="G3197" i="1"/>
  <c r="G3198" i="1" a="1"/>
  <c r="G3198" i="1"/>
  <c r="G3203" i="1" a="1"/>
  <c r="G3203" i="1"/>
  <c r="G3200" i="1" a="1"/>
  <c r="G3200" i="1"/>
  <c r="G3199" i="1" a="1"/>
  <c r="G3199" i="1"/>
  <c r="G3202" i="1" a="1"/>
  <c r="G3202" i="1"/>
  <c r="G3201" i="1" a="1"/>
  <c r="G3201" i="1"/>
  <c r="G3204" i="1" a="1"/>
  <c r="G3204" i="1"/>
  <c r="G3206" i="1" a="1"/>
  <c r="G3206" i="1"/>
  <c r="G3205" i="1" a="1"/>
  <c r="G3205" i="1"/>
  <c r="G3208" i="1" a="1"/>
  <c r="G3208" i="1"/>
  <c r="G3209" i="1" a="1"/>
  <c r="G3209" i="1"/>
  <c r="G3211" i="1" a="1"/>
  <c r="G3211" i="1"/>
  <c r="G3210" i="1" a="1"/>
  <c r="G3210" i="1"/>
  <c r="G3207" i="1" a="1"/>
  <c r="G3207" i="1"/>
  <c r="G3213" i="1" a="1"/>
  <c r="G3213" i="1"/>
  <c r="G3212" i="1" a="1"/>
  <c r="G3212" i="1"/>
  <c r="G3214" i="1" a="1"/>
  <c r="G3214" i="1"/>
  <c r="G3216" i="1" a="1"/>
  <c r="G3216" i="1"/>
  <c r="G3215" i="1" a="1"/>
  <c r="G3215" i="1"/>
  <c r="G3217" i="1" a="1"/>
  <c r="G3217" i="1"/>
  <c r="G3221" i="1" a="1"/>
  <c r="G3221" i="1"/>
  <c r="G3218" i="1" a="1"/>
  <c r="G3218" i="1"/>
  <c r="G3220" i="1" a="1"/>
  <c r="G3220" i="1"/>
  <c r="G3219" i="1" a="1"/>
  <c r="G3219" i="1"/>
  <c r="G3222" i="1" a="1"/>
  <c r="G3222" i="1"/>
  <c r="G3223" i="1" a="1"/>
  <c r="G3223" i="1"/>
  <c r="G3224" i="1" a="1"/>
  <c r="G3224" i="1"/>
  <c r="G3225" i="1" a="1"/>
  <c r="G3225" i="1"/>
  <c r="G3229" i="1" a="1"/>
  <c r="G3229" i="1"/>
  <c r="G3228" i="1" a="1"/>
  <c r="G3228" i="1"/>
  <c r="G3226" i="1" a="1"/>
  <c r="G3226" i="1"/>
  <c r="G3227" i="1" a="1"/>
  <c r="G3227" i="1"/>
  <c r="G3230" i="1" a="1"/>
  <c r="G3230" i="1"/>
  <c r="G3233" i="1" a="1"/>
  <c r="G3233" i="1"/>
  <c r="G3232" i="1" a="1"/>
  <c r="G3232" i="1"/>
  <c r="G3231" i="1" a="1"/>
  <c r="G3231" i="1"/>
  <c r="G3234" i="1" a="1"/>
  <c r="G3234" i="1"/>
  <c r="G3235" i="1" a="1"/>
  <c r="G3235" i="1"/>
  <c r="G3238" i="1" a="1"/>
  <c r="G3238" i="1"/>
  <c r="G3236" i="1" a="1"/>
  <c r="G3236" i="1"/>
  <c r="G3237" i="1" a="1"/>
  <c r="G3237" i="1"/>
  <c r="G3239" i="1" a="1"/>
  <c r="G3239" i="1"/>
  <c r="G3240" i="1" a="1"/>
  <c r="G3240" i="1"/>
  <c r="G3242" i="1" a="1"/>
  <c r="G3242" i="1"/>
  <c r="G3241" i="1" a="1"/>
  <c r="G3241" i="1"/>
  <c r="G3243" i="1" a="1"/>
  <c r="G3243" i="1"/>
  <c r="G3244" i="1" a="1"/>
  <c r="G3244" i="1"/>
  <c r="G3245" i="1" a="1"/>
  <c r="G3245" i="1"/>
  <c r="G3246" i="1" a="1"/>
  <c r="G3246" i="1"/>
  <c r="G3247" i="1" a="1"/>
  <c r="G3247" i="1"/>
  <c r="G3248" i="1" a="1"/>
  <c r="G3248" i="1"/>
  <c r="G3249" i="1" a="1"/>
  <c r="G3249" i="1"/>
  <c r="G3250" i="1" a="1"/>
  <c r="G3250" i="1"/>
  <c r="G3251" i="1" a="1"/>
  <c r="G3251" i="1"/>
  <c r="G3252" i="1" a="1"/>
  <c r="G3252" i="1"/>
  <c r="G3253" i="1" a="1"/>
  <c r="G3253" i="1"/>
  <c r="G3254" i="1" a="1"/>
  <c r="G3254" i="1"/>
  <c r="G3255" i="1" a="1"/>
  <c r="G3255" i="1"/>
  <c r="G3257" i="1" a="1"/>
  <c r="G3257" i="1"/>
  <c r="G3256" i="1" a="1"/>
  <c r="G3256" i="1"/>
  <c r="G3258" i="1" a="1"/>
  <c r="G3258" i="1"/>
  <c r="G3259" i="1" a="1"/>
  <c r="G3259" i="1"/>
  <c r="G3260" i="1" a="1"/>
  <c r="G3260" i="1"/>
  <c r="G3261" i="1" a="1"/>
  <c r="G3261" i="1"/>
  <c r="G3263" i="1" a="1"/>
  <c r="G3263" i="1"/>
  <c r="G3262" i="1" a="1"/>
  <c r="G3262" i="1"/>
  <c r="G3264" i="1" a="1"/>
  <c r="G3264" i="1"/>
  <c r="G3265" i="1" a="1"/>
  <c r="G3265" i="1"/>
  <c r="G3268" i="1" a="1"/>
  <c r="G3268" i="1"/>
  <c r="G3266" i="1" a="1"/>
  <c r="G3266" i="1"/>
  <c r="G3267" i="1" a="1"/>
  <c r="G3267" i="1"/>
  <c r="G3270" i="1" a="1"/>
  <c r="G3270" i="1"/>
  <c r="G3269" i="1" a="1"/>
  <c r="G3269" i="1"/>
  <c r="G3275" i="1" a="1"/>
  <c r="G3275" i="1"/>
  <c r="G3273" i="1" a="1"/>
  <c r="G3273" i="1"/>
  <c r="G3276" i="1" a="1"/>
  <c r="G3276" i="1"/>
  <c r="G3274" i="1" a="1"/>
  <c r="G3274" i="1"/>
  <c r="G3271" i="1" a="1"/>
  <c r="G3271" i="1"/>
  <c r="G3272" i="1" a="1"/>
  <c r="G3272" i="1"/>
  <c r="G3277" i="1" a="1"/>
  <c r="G3277" i="1"/>
  <c r="G3279" i="1" a="1"/>
  <c r="G3279" i="1"/>
  <c r="G3278" i="1" a="1"/>
  <c r="G3278" i="1"/>
  <c r="G3280" i="1" a="1"/>
  <c r="G3280" i="1"/>
  <c r="G3282" i="1" a="1"/>
  <c r="G3282" i="1"/>
  <c r="G3283" i="1" a="1"/>
  <c r="G3283" i="1"/>
  <c r="G3284" i="1" a="1"/>
  <c r="G3284" i="1"/>
  <c r="G3281" i="1" a="1"/>
  <c r="G3281" i="1"/>
  <c r="G3285" i="1" a="1"/>
  <c r="G3285" i="1"/>
  <c r="G3286" i="1" a="1"/>
  <c r="G3286" i="1"/>
  <c r="G3287" i="1" a="1"/>
  <c r="G3287" i="1"/>
  <c r="G3288" i="1" a="1"/>
  <c r="G3288" i="1"/>
  <c r="G3289" i="1" a="1"/>
  <c r="G3289" i="1"/>
  <c r="G3290" i="1" a="1"/>
  <c r="G3290" i="1"/>
  <c r="G3291" i="1" a="1"/>
  <c r="G3291" i="1"/>
  <c r="G3292" i="1" a="1"/>
  <c r="G3292" i="1"/>
  <c r="G3293" i="1" a="1"/>
  <c r="G3293" i="1"/>
  <c r="G3294" i="1" a="1"/>
  <c r="G3294" i="1"/>
  <c r="G3295" i="1" a="1"/>
  <c r="G3295" i="1"/>
  <c r="G3296" i="1" a="1"/>
  <c r="G3296" i="1"/>
  <c r="G3299" i="1" a="1"/>
  <c r="G3299" i="1"/>
  <c r="G3297" i="1" a="1"/>
  <c r="G3297" i="1"/>
  <c r="G3298" i="1" a="1"/>
  <c r="G3298" i="1"/>
  <c r="G3300" i="1" a="1"/>
  <c r="G3300" i="1"/>
  <c r="G3301" i="1" a="1"/>
  <c r="G3301" i="1"/>
  <c r="G3302" i="1" a="1"/>
  <c r="G3302" i="1"/>
  <c r="G3305" i="1" a="1"/>
  <c r="G3305" i="1"/>
  <c r="G3303" i="1" a="1"/>
  <c r="G3303" i="1"/>
  <c r="G3304" i="1" a="1"/>
  <c r="G3304" i="1"/>
  <c r="G3307" i="1" a="1"/>
  <c r="G3307" i="1"/>
  <c r="G3306" i="1" a="1"/>
  <c r="G3306" i="1"/>
  <c r="G3308" i="1" a="1"/>
  <c r="G3308" i="1"/>
  <c r="G3310" i="1" a="1"/>
  <c r="G3310" i="1"/>
  <c r="G3309" i="1" a="1"/>
  <c r="G3309" i="1"/>
  <c r="G3311" i="1" a="1"/>
  <c r="G3311" i="1"/>
  <c r="G3312" i="1" a="1"/>
  <c r="G3312" i="1"/>
  <c r="G3313" i="1" a="1"/>
  <c r="G3313" i="1"/>
  <c r="G3314" i="1" a="1"/>
  <c r="G3314" i="1"/>
  <c r="G3315" i="1" a="1"/>
  <c r="G3315" i="1"/>
  <c r="G3316" i="1" a="1"/>
  <c r="G3316" i="1"/>
  <c r="G3317" i="1" a="1"/>
  <c r="G3317" i="1"/>
  <c r="G3318" i="1" a="1"/>
  <c r="G3318" i="1"/>
  <c r="G3319" i="1" a="1"/>
  <c r="G3319" i="1"/>
  <c r="G3320" i="1" a="1"/>
  <c r="G3320" i="1"/>
  <c r="G3321" i="1" a="1"/>
  <c r="G3321" i="1"/>
  <c r="G3322" i="1" a="1"/>
  <c r="G3322" i="1"/>
  <c r="G3323" i="1" a="1"/>
  <c r="G3323" i="1"/>
  <c r="G3324" i="1" a="1"/>
  <c r="G3324" i="1"/>
  <c r="G3325" i="1" a="1"/>
  <c r="G3325" i="1"/>
  <c r="G3326" i="1" a="1"/>
  <c r="G3326" i="1"/>
  <c r="G3327" i="1" a="1"/>
  <c r="G3327" i="1"/>
  <c r="G3328" i="1" a="1"/>
  <c r="G3328" i="1"/>
  <c r="G3329" i="1" a="1"/>
  <c r="G3329" i="1"/>
  <c r="G3330" i="1" a="1"/>
  <c r="G3330" i="1"/>
  <c r="G3332" i="1" a="1"/>
  <c r="G3332" i="1"/>
  <c r="G3331" i="1" a="1"/>
  <c r="G3331" i="1"/>
  <c r="G3333" i="1" a="1"/>
  <c r="G3333" i="1"/>
  <c r="G3335" i="1" a="1"/>
  <c r="G3335" i="1"/>
  <c r="G3334" i="1" a="1"/>
  <c r="G3334" i="1"/>
  <c r="G3340" i="1" a="1"/>
  <c r="G3340" i="1"/>
  <c r="G3338" i="1" a="1"/>
  <c r="G3338" i="1"/>
  <c r="G3337" i="1" a="1"/>
  <c r="G3337" i="1"/>
  <c r="G3336" i="1" a="1"/>
  <c r="G3336" i="1"/>
  <c r="G3339" i="1" a="1"/>
  <c r="G3339" i="1"/>
  <c r="G3341" i="1" a="1"/>
  <c r="G3341" i="1"/>
  <c r="G3342" i="1" a="1"/>
  <c r="G3342" i="1"/>
  <c r="G3343" i="1" a="1"/>
  <c r="G3343" i="1"/>
  <c r="G3344" i="1" a="1"/>
  <c r="G3344" i="1"/>
  <c r="G3345" i="1" a="1"/>
  <c r="G3345" i="1"/>
  <c r="G3350" i="1" a="1"/>
  <c r="G3350" i="1"/>
  <c r="G3348" i="1" a="1"/>
  <c r="G3348" i="1"/>
  <c r="G3346" i="1" a="1"/>
  <c r="G3346" i="1"/>
  <c r="G3349" i="1" a="1"/>
  <c r="G3349" i="1"/>
  <c r="G3347" i="1" a="1"/>
  <c r="G3347" i="1"/>
  <c r="G3351" i="1" a="1"/>
  <c r="G3351" i="1"/>
  <c r="G3353" i="1" a="1"/>
  <c r="G3353" i="1"/>
  <c r="G3352" i="1" a="1"/>
  <c r="G3352" i="1"/>
  <c r="G3355" i="1" a="1"/>
  <c r="G3355" i="1"/>
  <c r="G3354" i="1" a="1"/>
  <c r="G3354" i="1"/>
  <c r="G3356" i="1" a="1"/>
  <c r="G3356" i="1"/>
  <c r="G3357" i="1" a="1"/>
  <c r="G3357" i="1"/>
  <c r="G3358" i="1" a="1"/>
  <c r="G3358" i="1"/>
  <c r="G3360" i="1" a="1"/>
  <c r="G3360" i="1"/>
  <c r="G3359" i="1" a="1"/>
  <c r="G3359" i="1"/>
  <c r="G3361" i="1" a="1"/>
  <c r="G3361" i="1"/>
  <c r="G3363" i="1" a="1"/>
  <c r="G3363" i="1"/>
  <c r="G3364" i="1" a="1"/>
  <c r="G3364" i="1"/>
  <c r="G3365" i="1" a="1"/>
  <c r="G3365" i="1"/>
  <c r="G3366" i="1" a="1"/>
  <c r="G3366" i="1"/>
  <c r="G3367" i="1" a="1"/>
  <c r="G3367" i="1"/>
  <c r="G3362" i="1" a="1"/>
  <c r="G3362" i="1"/>
  <c r="G3368" i="1" a="1"/>
  <c r="G3368" i="1"/>
  <c r="G3369" i="1" a="1"/>
  <c r="G3369" i="1"/>
  <c r="G3370" i="1" a="1"/>
  <c r="G3370" i="1"/>
  <c r="G3371" i="1" a="1"/>
  <c r="G3371" i="1"/>
  <c r="G3372" i="1" a="1"/>
  <c r="G3372" i="1"/>
  <c r="G3373" i="1" a="1"/>
  <c r="G3373" i="1"/>
  <c r="G3374" i="1" a="1"/>
  <c r="G3374" i="1"/>
  <c r="G3375" i="1" a="1"/>
  <c r="G3375" i="1"/>
  <c r="G3376" i="1" a="1"/>
  <c r="G3376" i="1"/>
  <c r="G3377" i="1" a="1"/>
  <c r="G3377" i="1"/>
  <c r="G3378" i="1" a="1"/>
  <c r="G3378" i="1"/>
  <c r="G3379" i="1" a="1"/>
  <c r="G3379" i="1"/>
  <c r="G3384" i="1" a="1"/>
  <c r="G3384" i="1"/>
  <c r="G3380" i="1" a="1"/>
  <c r="G3380" i="1"/>
  <c r="G3381" i="1" a="1"/>
  <c r="G3381" i="1"/>
  <c r="G3382" i="1" a="1"/>
  <c r="G3382" i="1"/>
  <c r="G3383" i="1" a="1"/>
  <c r="G3383" i="1"/>
  <c r="G3387" i="1" a="1"/>
  <c r="G3387" i="1"/>
  <c r="G3386" i="1" a="1"/>
  <c r="G3386" i="1"/>
  <c r="G3385" i="1" a="1"/>
  <c r="G3385" i="1"/>
  <c r="G3388" i="1" a="1"/>
  <c r="G3388" i="1"/>
  <c r="G3390" i="1" a="1"/>
  <c r="G3390" i="1"/>
  <c r="G3389" i="1" a="1"/>
  <c r="G3389" i="1"/>
  <c r="G3392" i="1" a="1"/>
  <c r="G3392" i="1"/>
  <c r="G3391" i="1" a="1"/>
  <c r="G3391" i="1"/>
  <c r="G3393" i="1" a="1"/>
  <c r="G3393" i="1"/>
  <c r="G3396" i="1" a="1"/>
  <c r="G3396" i="1"/>
  <c r="G3395" i="1" a="1"/>
  <c r="G3395" i="1"/>
  <c r="G3394" i="1" a="1"/>
  <c r="G3394" i="1"/>
  <c r="G3397" i="1" a="1"/>
  <c r="G3397" i="1"/>
  <c r="G3400" i="1" a="1"/>
  <c r="G3400" i="1"/>
  <c r="G3399" i="1" a="1"/>
  <c r="G3399" i="1"/>
  <c r="G3401" i="1" a="1"/>
  <c r="G3401" i="1"/>
  <c r="G3398" i="1" a="1"/>
  <c r="G3398" i="1"/>
  <c r="G3402" i="1" a="1"/>
  <c r="G3402" i="1"/>
  <c r="G3404" i="1" a="1"/>
  <c r="G3404" i="1"/>
  <c r="G3405" i="1" a="1"/>
  <c r="G3405" i="1"/>
  <c r="G3403" i="1" a="1"/>
  <c r="G3403" i="1"/>
  <c r="G3406" i="1" a="1"/>
  <c r="G3406" i="1"/>
  <c r="G3407" i="1" a="1"/>
  <c r="G3407" i="1"/>
  <c r="G3408" i="1" a="1"/>
  <c r="G3408" i="1"/>
  <c r="G3411" i="1" a="1"/>
  <c r="G3411" i="1"/>
  <c r="G3409" i="1" a="1"/>
  <c r="G3409" i="1"/>
  <c r="G3410" i="1" a="1"/>
  <c r="G3410" i="1"/>
  <c r="G3414" i="1" a="1"/>
  <c r="G3414" i="1"/>
  <c r="G3413" i="1" a="1"/>
  <c r="G3413" i="1"/>
  <c r="G3412" i="1" a="1"/>
  <c r="G3412" i="1"/>
  <c r="G3415" i="1" a="1"/>
  <c r="G3415" i="1"/>
  <c r="G3417" i="1" a="1"/>
  <c r="G3417" i="1"/>
  <c r="G3416" i="1" a="1"/>
  <c r="G3416" i="1"/>
  <c r="G3418" i="1" a="1"/>
  <c r="G3418" i="1"/>
  <c r="G3419" i="1" a="1"/>
  <c r="G3419" i="1"/>
  <c r="G3420" i="1" a="1"/>
  <c r="G3420" i="1"/>
  <c r="G3422" i="1" a="1"/>
  <c r="G3422" i="1"/>
  <c r="G3421" i="1" a="1"/>
  <c r="G3421" i="1"/>
  <c r="G3423" i="1" a="1"/>
  <c r="G3423" i="1"/>
  <c r="G3424" i="1" a="1"/>
  <c r="G3424" i="1"/>
  <c r="G3426" i="1" a="1"/>
  <c r="G3426" i="1"/>
  <c r="G3425" i="1" a="1"/>
  <c r="G3425" i="1"/>
  <c r="G3427" i="1" a="1"/>
  <c r="G3427" i="1"/>
  <c r="G3428" i="1" a="1"/>
  <c r="G3428" i="1"/>
  <c r="G3429" i="1" a="1"/>
  <c r="G3429" i="1"/>
  <c r="G3430" i="1" a="1"/>
  <c r="G3430" i="1"/>
  <c r="G3431" i="1" a="1"/>
  <c r="G3431" i="1"/>
  <c r="G3432" i="1" a="1"/>
  <c r="G3432" i="1"/>
  <c r="G3434" i="1" a="1"/>
  <c r="G3434" i="1"/>
  <c r="G3433" i="1" a="1"/>
  <c r="G3433" i="1"/>
  <c r="G3435" i="1" a="1"/>
  <c r="G3435" i="1"/>
  <c r="G3437" i="1" a="1"/>
  <c r="G3437" i="1"/>
  <c r="G3436" i="1" a="1"/>
  <c r="G3436" i="1"/>
  <c r="G3438" i="1" a="1"/>
  <c r="G3438" i="1"/>
  <c r="G3439" i="1" a="1"/>
  <c r="G3439" i="1"/>
  <c r="G3440" i="1" a="1"/>
  <c r="G3440" i="1"/>
  <c r="G3441" i="1" a="1"/>
  <c r="G3441" i="1"/>
  <c r="G3442" i="1" a="1"/>
  <c r="G3442" i="1"/>
  <c r="G3443" i="1" a="1"/>
  <c r="G3443" i="1"/>
  <c r="G3445" i="1" a="1"/>
  <c r="G3445" i="1"/>
  <c r="G3444" i="1" a="1"/>
  <c r="G3444" i="1"/>
  <c r="G3446" i="1" a="1"/>
  <c r="G3446" i="1"/>
  <c r="G3447" i="1" a="1"/>
  <c r="G3447" i="1"/>
  <c r="G3448" i="1" a="1"/>
  <c r="G3448" i="1"/>
  <c r="G3449" i="1" a="1"/>
  <c r="G3449" i="1"/>
  <c r="G3450" i="1" a="1"/>
  <c r="G3450" i="1"/>
  <c r="G3451" i="1" a="1"/>
  <c r="G3451" i="1"/>
  <c r="G3452" i="1" a="1"/>
  <c r="G3452" i="1"/>
  <c r="G3455" i="1" a="1"/>
  <c r="G3455" i="1"/>
  <c r="G3454" i="1" a="1"/>
  <c r="G3454" i="1"/>
  <c r="G3453" i="1" a="1"/>
  <c r="G3453" i="1"/>
  <c r="G3457" i="1" a="1"/>
  <c r="G3457" i="1"/>
  <c r="G3456" i="1" a="1"/>
  <c r="G3456" i="1"/>
  <c r="G3458" i="1" a="1"/>
  <c r="G3458" i="1"/>
  <c r="G3461" i="1" a="1"/>
  <c r="G3461" i="1"/>
  <c r="G3460" i="1" a="1"/>
  <c r="G3460" i="1"/>
  <c r="G3459" i="1" a="1"/>
  <c r="G3459" i="1"/>
  <c r="G3464" i="1" a="1"/>
  <c r="G3464" i="1"/>
  <c r="G3462" i="1" a="1"/>
  <c r="G3462" i="1"/>
  <c r="G3465" i="1" a="1"/>
  <c r="G3465" i="1"/>
  <c r="G3463" i="1" a="1"/>
  <c r="G3463" i="1"/>
  <c r="G3466" i="1" a="1"/>
  <c r="G3466" i="1"/>
  <c r="G3468" i="1" a="1"/>
  <c r="G3468" i="1"/>
  <c r="G3467" i="1" a="1"/>
  <c r="G3467" i="1"/>
  <c r="G3470" i="1" a="1"/>
  <c r="G3470" i="1"/>
  <c r="G3469" i="1" a="1"/>
  <c r="G3469" i="1"/>
  <c r="G3471" i="1" a="1"/>
  <c r="G3471" i="1"/>
  <c r="G3472" i="1" a="1"/>
  <c r="G3472" i="1"/>
  <c r="G3473" i="1" a="1"/>
  <c r="G3473" i="1"/>
  <c r="G3474" i="1" a="1"/>
  <c r="G3474" i="1"/>
  <c r="G3475" i="1" a="1"/>
  <c r="G3475" i="1"/>
  <c r="G3476" i="1" a="1"/>
  <c r="G3476" i="1"/>
  <c r="G3477" i="1" a="1"/>
  <c r="G3477" i="1"/>
  <c r="G3480" i="1" a="1"/>
  <c r="G3480" i="1"/>
  <c r="G3478" i="1" a="1"/>
  <c r="G3478" i="1"/>
  <c r="G3479" i="1" a="1"/>
  <c r="G3479" i="1"/>
  <c r="G3481" i="1" a="1"/>
  <c r="G3481" i="1"/>
  <c r="G3482" i="1" a="1"/>
  <c r="G3482" i="1"/>
  <c r="G3483" i="1" a="1"/>
  <c r="G3483" i="1"/>
  <c r="G3484" i="1" a="1"/>
  <c r="G3484" i="1"/>
  <c r="G3485" i="1" a="1"/>
  <c r="G3485" i="1"/>
  <c r="G3486" i="1" a="1"/>
  <c r="G3486" i="1"/>
  <c r="G3487" i="1" a="1"/>
  <c r="G3487" i="1"/>
  <c r="G3488" i="1" a="1"/>
  <c r="G3488" i="1"/>
  <c r="G3489" i="1" a="1"/>
  <c r="G3489" i="1"/>
  <c r="G3492" i="1" a="1"/>
  <c r="G3492" i="1"/>
  <c r="G3490" i="1" a="1"/>
  <c r="G3490" i="1"/>
  <c r="G3491" i="1" a="1"/>
  <c r="G3491" i="1"/>
  <c r="G3493" i="1" a="1"/>
  <c r="G3493" i="1"/>
  <c r="G3494" i="1" a="1"/>
  <c r="G3494" i="1"/>
  <c r="G3495" i="1" a="1"/>
  <c r="G3495" i="1"/>
  <c r="G3496" i="1" a="1"/>
  <c r="G3496" i="1"/>
  <c r="G3497" i="1" a="1"/>
  <c r="G3497" i="1"/>
  <c r="G3498" i="1" a="1"/>
  <c r="G3498" i="1"/>
  <c r="G3500" i="1" a="1"/>
  <c r="G3500" i="1"/>
  <c r="G3499" i="1" a="1"/>
  <c r="G3499" i="1"/>
  <c r="G3504" i="1" a="1"/>
  <c r="G3504" i="1"/>
  <c r="G3503" i="1" a="1"/>
  <c r="G3503" i="1"/>
  <c r="G3502" i="1" a="1"/>
  <c r="G3502" i="1"/>
  <c r="G3505" i="1" a="1"/>
  <c r="G3505" i="1"/>
  <c r="G3501" i="1" a="1"/>
  <c r="G3501" i="1"/>
  <c r="G3506" i="1" a="1"/>
  <c r="G3506" i="1"/>
  <c r="G3509" i="1" a="1"/>
  <c r="G3509" i="1"/>
  <c r="G3507" i="1" a="1"/>
  <c r="G3507" i="1"/>
  <c r="G3508" i="1" a="1"/>
  <c r="G3508" i="1"/>
  <c r="G3511" i="1" a="1"/>
  <c r="G3511" i="1"/>
  <c r="G3510" i="1" a="1"/>
  <c r="G3510" i="1"/>
  <c r="G3512" i="1" a="1"/>
  <c r="G3512" i="1"/>
  <c r="G3514" i="1" a="1"/>
  <c r="G3514" i="1"/>
  <c r="G3513" i="1" a="1"/>
  <c r="G3513" i="1"/>
  <c r="G3515" i="1" a="1"/>
  <c r="G3515" i="1"/>
  <c r="G3517" i="1" a="1"/>
  <c r="G3517" i="1"/>
  <c r="G3516" i="1" a="1"/>
  <c r="G3516" i="1"/>
  <c r="G3518" i="1" a="1"/>
  <c r="G3518" i="1"/>
  <c r="G3520" i="1" a="1"/>
  <c r="G3520" i="1"/>
  <c r="G3519" i="1" a="1"/>
  <c r="G3519" i="1"/>
  <c r="G3523" i="1" a="1"/>
  <c r="G3523" i="1"/>
  <c r="G3521" i="1" a="1"/>
  <c r="G3521" i="1"/>
  <c r="G3522" i="1" a="1"/>
  <c r="G3522" i="1"/>
  <c r="G3525" i="1" a="1"/>
  <c r="G3525" i="1"/>
  <c r="G3524" i="1" a="1"/>
  <c r="G3524" i="1"/>
  <c r="G3527" i="1" a="1"/>
  <c r="G3527" i="1"/>
  <c r="G3526" i="1" a="1"/>
  <c r="G3526" i="1"/>
  <c r="G3528" i="1" a="1"/>
  <c r="G3528" i="1"/>
  <c r="G3529" i="1" a="1"/>
  <c r="G3529" i="1"/>
  <c r="G3530" i="1" a="1"/>
  <c r="G3530" i="1"/>
  <c r="G3532" i="1" a="1"/>
  <c r="G3532" i="1"/>
  <c r="G3531" i="1" a="1"/>
  <c r="G3531" i="1"/>
  <c r="G3533" i="1" a="1"/>
  <c r="G3533" i="1"/>
  <c r="G3535" i="1" a="1"/>
  <c r="G3535" i="1"/>
  <c r="G3534" i="1" a="1"/>
  <c r="G3534" i="1"/>
  <c r="G3538" i="1" a="1"/>
  <c r="G3538" i="1"/>
  <c r="G3536" i="1" a="1"/>
  <c r="G3536" i="1"/>
  <c r="G3537" i="1" a="1"/>
  <c r="G3537" i="1"/>
  <c r="G3539" i="1" a="1"/>
  <c r="G3539" i="1"/>
  <c r="G3540" i="1" a="1"/>
  <c r="G3540" i="1"/>
  <c r="G3541" i="1" a="1"/>
  <c r="G3541" i="1"/>
  <c r="G3542" i="1" a="1"/>
  <c r="G3542" i="1"/>
  <c r="G3543" i="1" a="1"/>
  <c r="G3543" i="1"/>
  <c r="G3544" i="1" a="1"/>
  <c r="G3544" i="1"/>
  <c r="G3546" i="1" a="1"/>
  <c r="G3546" i="1"/>
  <c r="G3547" i="1" a="1"/>
  <c r="G3547" i="1"/>
  <c r="G3545" i="1" a="1"/>
  <c r="G3545" i="1"/>
  <c r="G3549" i="1" a="1"/>
  <c r="G3549" i="1"/>
  <c r="G3548" i="1" a="1"/>
  <c r="G3548" i="1"/>
  <c r="G3550" i="1" a="1"/>
  <c r="G3550" i="1"/>
  <c r="G3551" i="1" a="1"/>
  <c r="G3551" i="1"/>
  <c r="G3552" i="1" a="1"/>
  <c r="G3552" i="1"/>
  <c r="G3554" i="1" a="1"/>
  <c r="G3554" i="1"/>
  <c r="G3553" i="1" a="1"/>
  <c r="G3553" i="1"/>
  <c r="G3556" i="1" a="1"/>
  <c r="G3556" i="1"/>
  <c r="G3555" i="1" a="1"/>
  <c r="G3555" i="1"/>
  <c r="G3558" i="1" a="1"/>
  <c r="G3558" i="1"/>
  <c r="G3557" i="1" a="1"/>
  <c r="G3557" i="1"/>
  <c r="G3559" i="1" a="1"/>
  <c r="G3559" i="1"/>
  <c r="G3560" i="1" a="1"/>
  <c r="G3560" i="1"/>
  <c r="G3561" i="1" a="1"/>
  <c r="G3561" i="1"/>
  <c r="G3562" i="1" a="1"/>
  <c r="G3562" i="1"/>
  <c r="G3563" i="1" a="1"/>
  <c r="G3563" i="1"/>
  <c r="G3565" i="1" a="1"/>
  <c r="G3565" i="1"/>
  <c r="G3564" i="1" a="1"/>
  <c r="G3564" i="1"/>
  <c r="G3566" i="1" a="1"/>
  <c r="G3566" i="1"/>
  <c r="G3568" i="1" a="1"/>
  <c r="G3568" i="1"/>
  <c r="G3569" i="1" a="1"/>
  <c r="G3569" i="1"/>
  <c r="G3567" i="1" a="1"/>
  <c r="G3567" i="1"/>
  <c r="G3570" i="1" a="1"/>
  <c r="G3570" i="1"/>
  <c r="G3571" i="1" a="1"/>
  <c r="G3571" i="1"/>
  <c r="G3574" i="1" a="1"/>
  <c r="G3574" i="1"/>
  <c r="G3573" i="1" a="1"/>
  <c r="G3573" i="1"/>
  <c r="G3572" i="1" a="1"/>
  <c r="G3572" i="1"/>
  <c r="G3575" i="1" a="1"/>
  <c r="G3575" i="1"/>
  <c r="G3576" i="1" a="1"/>
  <c r="G3576" i="1"/>
  <c r="G3577" i="1" a="1"/>
  <c r="G3577" i="1"/>
  <c r="G3578" i="1" a="1"/>
  <c r="G3578" i="1"/>
  <c r="G3579" i="1" a="1"/>
  <c r="G3579" i="1"/>
  <c r="G3580" i="1" a="1"/>
  <c r="G3580" i="1"/>
  <c r="G3581" i="1" a="1"/>
  <c r="G3581" i="1"/>
  <c r="G3583" i="1" a="1"/>
  <c r="G3583" i="1"/>
  <c r="G3584" i="1" a="1"/>
  <c r="G3584" i="1"/>
  <c r="G3582" i="1" a="1"/>
  <c r="G3582" i="1"/>
  <c r="G3585" i="1" a="1"/>
  <c r="G3585" i="1"/>
  <c r="G3586" i="1" a="1"/>
  <c r="G3586" i="1"/>
  <c r="G3588" i="1" a="1"/>
  <c r="G3588" i="1"/>
  <c r="G3587" i="1" a="1"/>
  <c r="G3587" i="1"/>
  <c r="G3589" i="1" a="1"/>
  <c r="G3589" i="1"/>
  <c r="G3590" i="1" a="1"/>
  <c r="G3590" i="1"/>
  <c r="G3591" i="1" a="1"/>
  <c r="G3591" i="1"/>
  <c r="G3592" i="1" a="1"/>
  <c r="G3592" i="1"/>
  <c r="G3594" i="1" a="1"/>
  <c r="G3594" i="1"/>
  <c r="G3593" i="1" a="1"/>
  <c r="G3593" i="1"/>
  <c r="G3595" i="1" a="1"/>
  <c r="G3595" i="1"/>
  <c r="G3596" i="1" a="1"/>
  <c r="G3596" i="1"/>
  <c r="G3597" i="1" a="1"/>
  <c r="G3597" i="1"/>
  <c r="G3598" i="1" a="1"/>
  <c r="G3598" i="1"/>
  <c r="G3600" i="1" a="1"/>
  <c r="G3600" i="1"/>
  <c r="G3601" i="1" a="1"/>
  <c r="G3601" i="1"/>
  <c r="G3599" i="1" a="1"/>
  <c r="G3599" i="1"/>
  <c r="G3602" i="1" a="1"/>
  <c r="G3602" i="1"/>
  <c r="G3603" i="1" a="1"/>
  <c r="G3603" i="1"/>
  <c r="G3604" i="1" a="1"/>
  <c r="G3604" i="1"/>
  <c r="G3607" i="1" a="1"/>
  <c r="G3607" i="1"/>
  <c r="G3606" i="1" a="1"/>
  <c r="G3606" i="1"/>
  <c r="G3605" i="1" a="1"/>
  <c r="G3605" i="1"/>
  <c r="G3609" i="1" a="1"/>
  <c r="G3609" i="1"/>
  <c r="G3608" i="1" a="1"/>
  <c r="G3608" i="1"/>
  <c r="G3610" i="1" a="1"/>
  <c r="G3610" i="1"/>
  <c r="G3612" i="1" a="1"/>
  <c r="G3612" i="1"/>
  <c r="G3611" i="1" a="1"/>
  <c r="G3611" i="1"/>
  <c r="G3613" i="1" a="1"/>
  <c r="G3613" i="1"/>
  <c r="G3614" i="1" a="1"/>
  <c r="G3614" i="1"/>
  <c r="G3617" i="1" a="1"/>
  <c r="G3617" i="1"/>
  <c r="G3615" i="1" a="1"/>
  <c r="G3615" i="1"/>
  <c r="G3616" i="1" a="1"/>
  <c r="G3616" i="1"/>
  <c r="G3618" i="1" a="1"/>
  <c r="G3618" i="1"/>
  <c r="G3620" i="1" a="1"/>
  <c r="G3620" i="1"/>
  <c r="G3621" i="1" a="1"/>
  <c r="G3621" i="1"/>
  <c r="G3619" i="1" a="1"/>
  <c r="G3619" i="1"/>
  <c r="G3624" i="1" a="1"/>
  <c r="G3624" i="1"/>
  <c r="G3622" i="1" a="1"/>
  <c r="G3622" i="1"/>
  <c r="G3623" i="1" a="1"/>
  <c r="G3623" i="1"/>
  <c r="G3625" i="1" a="1"/>
  <c r="G3625" i="1"/>
  <c r="G3626" i="1" a="1"/>
  <c r="G3626" i="1"/>
  <c r="G3627" i="1" a="1"/>
  <c r="G3627" i="1"/>
  <c r="G3628" i="1" a="1"/>
  <c r="G3628" i="1"/>
  <c r="G3629" i="1" a="1"/>
  <c r="G3629" i="1"/>
  <c r="G3630" i="1" a="1"/>
  <c r="G3630" i="1"/>
  <c r="G3631" i="1" a="1"/>
  <c r="G3631" i="1"/>
  <c r="G3632" i="1" a="1"/>
  <c r="G3632" i="1"/>
  <c r="G3633" i="1" a="1"/>
  <c r="G3633" i="1"/>
  <c r="G3634" i="1" a="1"/>
  <c r="G3634" i="1"/>
  <c r="G3635" i="1" a="1"/>
  <c r="G3635" i="1"/>
  <c r="G3637" i="1" a="1"/>
  <c r="G3637" i="1"/>
  <c r="G3636" i="1" a="1"/>
  <c r="G3636" i="1"/>
  <c r="G3638" i="1" a="1"/>
  <c r="G3638" i="1"/>
  <c r="G3639" i="1" a="1"/>
  <c r="G3639" i="1"/>
  <c r="G3641" i="1" a="1"/>
  <c r="G3641" i="1"/>
  <c r="G3640" i="1" a="1"/>
  <c r="G3640" i="1"/>
  <c r="G3642" i="1" a="1"/>
  <c r="G3642" i="1"/>
  <c r="G3643" i="1" a="1"/>
  <c r="G3643" i="1"/>
  <c r="G3645" i="1" a="1"/>
  <c r="G3645" i="1"/>
  <c r="G3646" i="1" a="1"/>
  <c r="G3646" i="1"/>
  <c r="G3644" i="1" a="1"/>
  <c r="G3644" i="1"/>
  <c r="G3649" i="1" a="1"/>
  <c r="G3649" i="1"/>
  <c r="G3647" i="1" a="1"/>
  <c r="G3647" i="1"/>
  <c r="G3648" i="1" a="1"/>
  <c r="G3648" i="1"/>
  <c r="G3650" i="1" a="1"/>
  <c r="G3650" i="1"/>
  <c r="G3653" i="1" a="1"/>
  <c r="G3653" i="1"/>
  <c r="G3652" i="1" a="1"/>
  <c r="G3652" i="1"/>
  <c r="G3651" i="1" a="1"/>
  <c r="G3651" i="1"/>
  <c r="G3654" i="1" a="1"/>
  <c r="G3654" i="1"/>
  <c r="G3655" i="1" a="1"/>
  <c r="G3655" i="1"/>
  <c r="G3657" i="1" a="1"/>
  <c r="G3657" i="1"/>
  <c r="G3656" i="1" a="1"/>
  <c r="G3656" i="1"/>
  <c r="G3658" i="1" a="1"/>
  <c r="G3658" i="1"/>
  <c r="G3659" i="1" a="1"/>
  <c r="G3659" i="1"/>
  <c r="G3662" i="1" a="1"/>
  <c r="G3662" i="1"/>
  <c r="G3661" i="1" a="1"/>
  <c r="G3661" i="1"/>
  <c r="G3660" i="1" a="1"/>
  <c r="G3660" i="1"/>
  <c r="G3663" i="1" a="1"/>
  <c r="G3663" i="1"/>
  <c r="G3666" i="1" a="1"/>
  <c r="G3666" i="1"/>
  <c r="G3664" i="1" a="1"/>
  <c r="G3664" i="1"/>
  <c r="G3669" i="1" a="1"/>
  <c r="G3669" i="1"/>
  <c r="G3668" i="1" a="1"/>
  <c r="G3668" i="1"/>
  <c r="G3665" i="1" a="1"/>
  <c r="G3665" i="1"/>
  <c r="G3667" i="1" a="1"/>
  <c r="G3667" i="1"/>
  <c r="G3670" i="1" a="1"/>
  <c r="G3670" i="1"/>
  <c r="G3671" i="1" a="1"/>
  <c r="G3671" i="1"/>
  <c r="G3672" i="1" a="1"/>
  <c r="G3672" i="1"/>
  <c r="G3673" i="1" a="1"/>
  <c r="G3673" i="1"/>
  <c r="G3674" i="1" a="1"/>
  <c r="G3674" i="1"/>
  <c r="G3675" i="1" a="1"/>
  <c r="G3675" i="1"/>
  <c r="G3676" i="1" a="1"/>
  <c r="G3676" i="1"/>
  <c r="G3677" i="1" a="1"/>
  <c r="G3677" i="1"/>
  <c r="G3678" i="1" a="1"/>
  <c r="G3678" i="1"/>
  <c r="G3680" i="1" a="1"/>
  <c r="G3680" i="1"/>
  <c r="G3682" i="1" a="1"/>
  <c r="G3682" i="1"/>
  <c r="G3679" i="1" a="1"/>
  <c r="G3679" i="1"/>
  <c r="G3681" i="1" a="1"/>
  <c r="G3681" i="1"/>
  <c r="G3683" i="1" a="1"/>
  <c r="G3683" i="1"/>
  <c r="G3684" i="1" a="1"/>
  <c r="G3684" i="1"/>
  <c r="G3685" i="1" a="1"/>
  <c r="G3685" i="1"/>
  <c r="G3686" i="1" a="1"/>
  <c r="G3686" i="1"/>
  <c r="G3687" i="1" a="1"/>
  <c r="G3687" i="1"/>
  <c r="G3688" i="1" a="1"/>
  <c r="G3688" i="1"/>
  <c r="G3689" i="1" a="1"/>
  <c r="G3689" i="1"/>
  <c r="G3692" i="1" a="1"/>
  <c r="G3692" i="1"/>
  <c r="G3691" i="1" a="1"/>
  <c r="G3691" i="1"/>
  <c r="G3690" i="1" a="1"/>
  <c r="G3690" i="1"/>
  <c r="G3693" i="1" a="1"/>
  <c r="G3693" i="1"/>
  <c r="G3694" i="1" a="1"/>
  <c r="G3694" i="1"/>
  <c r="G3695" i="1" a="1"/>
  <c r="G3695" i="1"/>
  <c r="G3696" i="1" a="1"/>
  <c r="G3696" i="1"/>
  <c r="G3699" i="1" a="1"/>
  <c r="G3699" i="1"/>
  <c r="G3698" i="1" a="1"/>
  <c r="G3698" i="1"/>
  <c r="G3697" i="1" a="1"/>
  <c r="G3697" i="1"/>
  <c r="G3701" i="1" a="1"/>
  <c r="G3701" i="1"/>
  <c r="G3700" i="1" a="1"/>
  <c r="G3700" i="1"/>
  <c r="G3702" i="1" a="1"/>
  <c r="G3702" i="1"/>
  <c r="G3707" i="1" a="1"/>
  <c r="G3707" i="1"/>
  <c r="G3704" i="1" a="1"/>
  <c r="G3704" i="1"/>
  <c r="G3705" i="1" a="1"/>
  <c r="G3705" i="1"/>
  <c r="G3706" i="1" a="1"/>
  <c r="G3706" i="1"/>
  <c r="G3703" i="1" a="1"/>
  <c r="G3703" i="1"/>
  <c r="G3709" i="1" a="1"/>
  <c r="G3709" i="1"/>
  <c r="G3708" i="1" a="1"/>
  <c r="G3708" i="1"/>
  <c r="G3711" i="1" a="1"/>
  <c r="G3711" i="1"/>
  <c r="G3710" i="1" a="1"/>
  <c r="G3710" i="1"/>
  <c r="G3713" i="1" a="1"/>
  <c r="G3713" i="1"/>
  <c r="G3712" i="1" a="1"/>
  <c r="G3712" i="1"/>
  <c r="G3714" i="1" a="1"/>
  <c r="G3714" i="1"/>
  <c r="G3715" i="1" a="1"/>
  <c r="G3715" i="1"/>
  <c r="G3716" i="1" a="1"/>
  <c r="G3716" i="1"/>
  <c r="G3717" i="1" a="1"/>
  <c r="G3717" i="1"/>
  <c r="G3718" i="1" a="1"/>
  <c r="G3718" i="1"/>
  <c r="G3719" i="1" a="1"/>
  <c r="G3719" i="1"/>
  <c r="G3720" i="1" a="1"/>
  <c r="G3720" i="1"/>
  <c r="G3721" i="1" a="1"/>
  <c r="G3721" i="1"/>
  <c r="G3722" i="1" a="1"/>
  <c r="G3722" i="1"/>
  <c r="G3723" i="1" a="1"/>
  <c r="G3723" i="1"/>
  <c r="G3725" i="1" a="1"/>
  <c r="G3725" i="1"/>
  <c r="G3726" i="1" a="1"/>
  <c r="G3726" i="1"/>
  <c r="G3724" i="1" a="1"/>
  <c r="G3724" i="1"/>
  <c r="G3727" i="1" a="1"/>
  <c r="G3727" i="1"/>
  <c r="G3728" i="1" a="1"/>
  <c r="G3728" i="1"/>
  <c r="G3731" i="1" a="1"/>
  <c r="G3731" i="1"/>
  <c r="G3730" i="1" a="1"/>
  <c r="G3730" i="1"/>
  <c r="G3729" i="1" a="1"/>
  <c r="G3729" i="1"/>
  <c r="G3733" i="1" a="1"/>
  <c r="G3733" i="1"/>
  <c r="G3732" i="1" a="1"/>
  <c r="G3732" i="1"/>
  <c r="G3734" i="1" a="1"/>
  <c r="G3734" i="1"/>
  <c r="G3735" i="1" a="1"/>
  <c r="G3735" i="1"/>
  <c r="G3736" i="1" a="1"/>
  <c r="G3736" i="1"/>
  <c r="G3737" i="1" a="1"/>
  <c r="G3737" i="1"/>
  <c r="G3741" i="1" a="1"/>
  <c r="G3741" i="1"/>
  <c r="G3739" i="1" a="1"/>
  <c r="G3739" i="1"/>
  <c r="G3740" i="1" a="1"/>
  <c r="G3740" i="1"/>
  <c r="G3738" i="1" a="1"/>
  <c r="G3738" i="1"/>
  <c r="G3742" i="1" a="1"/>
  <c r="G3742" i="1"/>
  <c r="G3743" i="1" a="1"/>
  <c r="G3743" i="1"/>
  <c r="G3744" i="1" a="1"/>
  <c r="G3744" i="1"/>
  <c r="G3745" i="1" a="1"/>
  <c r="G3745" i="1"/>
  <c r="G3746" i="1" a="1"/>
  <c r="G3746" i="1"/>
  <c r="G3748" i="1" a="1"/>
  <c r="G3748" i="1"/>
  <c r="G3747" i="1" a="1"/>
  <c r="G3747" i="1"/>
  <c r="G3749" i="1" a="1"/>
  <c r="G3749" i="1"/>
  <c r="G3752" i="1" a="1"/>
  <c r="G3752" i="1"/>
  <c r="G3751" i="1" a="1"/>
  <c r="G3751" i="1"/>
  <c r="G3750" i="1" a="1"/>
  <c r="G3750" i="1"/>
  <c r="G3753" i="1" a="1"/>
  <c r="G3753" i="1"/>
  <c r="G3755" i="1" a="1"/>
  <c r="G3755" i="1"/>
  <c r="G3754" i="1" a="1"/>
  <c r="G3754" i="1"/>
  <c r="G3756" i="1" a="1"/>
  <c r="G3756" i="1"/>
  <c r="G3758" i="1" a="1"/>
  <c r="G3758" i="1"/>
  <c r="G3757" i="1" a="1"/>
  <c r="G3757" i="1"/>
  <c r="G3759" i="1" a="1"/>
  <c r="G3759" i="1"/>
  <c r="G3763" i="1" a="1"/>
  <c r="G3763" i="1"/>
  <c r="G3762" i="1" a="1"/>
  <c r="G3762" i="1"/>
  <c r="G3760" i="1" a="1"/>
  <c r="G3760" i="1"/>
  <c r="G3761" i="1" a="1"/>
  <c r="G3761" i="1"/>
  <c r="G3764" i="1" a="1"/>
  <c r="G3764" i="1"/>
  <c r="G3765" i="1" a="1"/>
  <c r="G3765" i="1"/>
  <c r="G3766" i="1" a="1"/>
  <c r="G3766" i="1"/>
  <c r="G3767" i="1" a="1"/>
  <c r="G3767" i="1"/>
  <c r="G3768" i="1" a="1"/>
  <c r="G3768" i="1"/>
  <c r="G3769" i="1" a="1"/>
  <c r="G3769" i="1"/>
  <c r="G3770" i="1" a="1"/>
  <c r="G3770" i="1"/>
  <c r="G3772" i="1" a="1"/>
  <c r="G3772" i="1"/>
  <c r="G3771" i="1" a="1"/>
  <c r="G3771" i="1"/>
  <c r="G3774" i="1" a="1"/>
  <c r="G3774" i="1"/>
  <c r="G3773" i="1" a="1"/>
  <c r="G3773" i="1"/>
  <c r="G3775" i="1" a="1"/>
  <c r="G3775" i="1"/>
  <c r="G3776" i="1" a="1"/>
  <c r="G3776" i="1"/>
  <c r="G3777" i="1" a="1"/>
  <c r="G3777" i="1"/>
  <c r="G3778" i="1" a="1"/>
  <c r="G3778" i="1"/>
  <c r="G3779" i="1" a="1"/>
  <c r="G3779" i="1"/>
  <c r="G3780" i="1" a="1"/>
  <c r="G3780" i="1"/>
  <c r="G3784" i="1" a="1"/>
  <c r="G3784" i="1"/>
  <c r="G3781" i="1" a="1"/>
  <c r="G3781" i="1"/>
  <c r="G3783" i="1" a="1"/>
  <c r="G3783" i="1"/>
  <c r="G3782" i="1" a="1"/>
  <c r="G3782" i="1"/>
  <c r="G3786" i="1" a="1"/>
  <c r="G3786" i="1"/>
  <c r="G3785" i="1" a="1"/>
  <c r="G3785" i="1"/>
  <c r="G3787" i="1" a="1"/>
  <c r="G3787" i="1"/>
  <c r="G3788" i="1" a="1"/>
  <c r="G3788" i="1"/>
  <c r="G3789" i="1" a="1"/>
  <c r="G3789" i="1"/>
  <c r="G3790" i="1" a="1"/>
  <c r="G3790" i="1"/>
  <c r="G3791" i="1" a="1"/>
  <c r="G3791" i="1"/>
  <c r="G3792" i="1" a="1"/>
  <c r="G3792" i="1"/>
  <c r="G3793" i="1" a="1"/>
  <c r="G3793" i="1"/>
  <c r="G3797" i="1" a="1"/>
  <c r="G3797" i="1"/>
  <c r="G3796" i="1" a="1"/>
  <c r="G3796" i="1"/>
  <c r="G3795" i="1" a="1"/>
  <c r="G3795" i="1"/>
  <c r="G3794" i="1" a="1"/>
  <c r="G3794" i="1"/>
  <c r="G3799" i="1" a="1"/>
  <c r="G3799" i="1"/>
  <c r="G3801" i="1" a="1"/>
  <c r="G3801" i="1"/>
  <c r="G3800" i="1" a="1"/>
  <c r="G3800" i="1"/>
  <c r="G3798" i="1" a="1"/>
  <c r="G3798" i="1"/>
  <c r="G3802" i="1" a="1"/>
  <c r="G3802" i="1"/>
  <c r="G3803" i="1" a="1"/>
  <c r="G3803" i="1"/>
  <c r="G3804" i="1" a="1"/>
  <c r="G3804" i="1"/>
  <c r="G3805" i="1" a="1"/>
  <c r="G3805" i="1"/>
  <c r="G3806" i="1" a="1"/>
  <c r="G3806" i="1"/>
  <c r="G3807" i="1" a="1"/>
  <c r="G3807" i="1"/>
  <c r="G3808" i="1" a="1"/>
  <c r="G3808" i="1"/>
  <c r="G3809" i="1" a="1"/>
  <c r="G3809" i="1"/>
  <c r="G3810" i="1" a="1"/>
  <c r="G3810" i="1"/>
  <c r="G3811" i="1" a="1"/>
  <c r="G3811" i="1"/>
  <c r="G3812" i="1" a="1"/>
  <c r="G3812" i="1"/>
  <c r="G3813" i="1" a="1"/>
  <c r="G3813" i="1"/>
  <c r="G3814" i="1" a="1"/>
  <c r="G3814" i="1"/>
  <c r="G3815" i="1" a="1"/>
  <c r="G3815" i="1"/>
  <c r="G3816" i="1" a="1"/>
  <c r="G3816" i="1"/>
  <c r="G3817" i="1" a="1"/>
  <c r="G3817" i="1"/>
  <c r="G3818" i="1" a="1"/>
  <c r="G3818" i="1"/>
  <c r="G3820" i="1" a="1"/>
  <c r="G3820" i="1"/>
  <c r="G3819" i="1" a="1"/>
  <c r="G3819" i="1"/>
  <c r="G3821" i="1" a="1"/>
  <c r="G3821" i="1"/>
  <c r="G3822" i="1" a="1"/>
  <c r="G3822" i="1"/>
  <c r="G3823" i="1" a="1"/>
  <c r="G3823" i="1"/>
  <c r="G3824" i="1" a="1"/>
  <c r="G3824" i="1"/>
  <c r="G3826" i="1" a="1"/>
  <c r="G3826" i="1"/>
  <c r="G3825" i="1" a="1"/>
  <c r="G3825" i="1"/>
  <c r="G3827" i="1" a="1"/>
  <c r="G3827" i="1"/>
  <c r="G3828" i="1" a="1"/>
  <c r="G3828" i="1"/>
  <c r="G3829" i="1" a="1"/>
  <c r="G3829" i="1"/>
  <c r="G3830" i="1" a="1"/>
  <c r="G3830" i="1"/>
  <c r="G3831" i="1" a="1"/>
  <c r="G3831" i="1"/>
  <c r="G3832" i="1" a="1"/>
  <c r="G3832" i="1"/>
  <c r="G3833" i="1" a="1"/>
  <c r="G3833" i="1"/>
  <c r="G3834" i="1" a="1"/>
  <c r="G3834" i="1"/>
  <c r="G3835" i="1" a="1"/>
  <c r="G3835" i="1"/>
  <c r="G3837" i="1" a="1"/>
  <c r="G3837" i="1"/>
  <c r="G3836" i="1" a="1"/>
  <c r="G3836" i="1"/>
  <c r="G3840" i="1" a="1"/>
  <c r="G3840" i="1"/>
  <c r="G3838" i="1" a="1"/>
  <c r="G3838" i="1"/>
  <c r="G3839" i="1" a="1"/>
  <c r="G3839" i="1"/>
  <c r="G3841" i="1" a="1"/>
  <c r="G3841" i="1"/>
  <c r="G3842" i="1" a="1"/>
  <c r="G3842" i="1"/>
  <c r="G3844" i="1" a="1"/>
  <c r="G3844" i="1"/>
  <c r="G3843" i="1" a="1"/>
  <c r="G3843" i="1"/>
  <c r="G3846" i="1" a="1"/>
  <c r="G3846" i="1"/>
  <c r="G3845" i="1" a="1"/>
  <c r="G3845" i="1"/>
  <c r="G3847" i="1" a="1"/>
  <c r="G3847" i="1"/>
  <c r="G3848" i="1" a="1"/>
  <c r="G3848" i="1"/>
  <c r="G3851" i="1" a="1"/>
  <c r="G3851" i="1"/>
  <c r="G3849" i="1" a="1"/>
  <c r="G3849" i="1"/>
  <c r="G3850" i="1" a="1"/>
  <c r="G3850" i="1"/>
  <c r="G3852" i="1" a="1"/>
  <c r="G3852" i="1"/>
  <c r="G3853" i="1" a="1"/>
  <c r="G3853" i="1"/>
  <c r="G3854" i="1" a="1"/>
  <c r="G3854" i="1"/>
  <c r="G3855" i="1" a="1"/>
  <c r="G3855" i="1"/>
  <c r="G3856" i="1" a="1"/>
  <c r="G3856" i="1"/>
  <c r="G6" i="1" a="1"/>
  <c r="G6" i="1"/>
  <c r="H2" i="1"/>
  <c r="V25" i="1" a="1"/>
  <c r="V25" i="1"/>
  <c r="V26" i="1" a="1"/>
  <c r="V26" i="1"/>
  <c r="V27" i="1" a="1"/>
  <c r="V27" i="1"/>
  <c r="V28" i="1" a="1"/>
  <c r="V28" i="1"/>
  <c r="V24" i="1" a="1"/>
  <c r="V24" i="1"/>
  <c r="U25" i="1" a="1"/>
  <c r="U25" i="1"/>
  <c r="U26" i="1" a="1"/>
  <c r="U26" i="1"/>
  <c r="U27" i="1" a="1"/>
  <c r="U27" i="1"/>
  <c r="U28" i="1" a="1"/>
  <c r="U28" i="1"/>
  <c r="U24" i="1" a="1"/>
  <c r="U24" i="1"/>
  <c r="T25" i="1"/>
  <c r="T26" i="1"/>
  <c r="T27" i="1"/>
  <c r="T28" i="1"/>
  <c r="T24" i="1"/>
  <c r="S26" i="1"/>
  <c r="S27" i="1"/>
  <c r="S28" i="1"/>
  <c r="S24" i="1"/>
  <c r="R7" i="1"/>
  <c r="D7" i="1"/>
  <c r="D10" i="1"/>
  <c r="D3" i="1"/>
  <c r="D2" i="1"/>
  <c r="D4" i="1"/>
  <c r="D5" i="1"/>
  <c r="D9" i="1"/>
  <c r="D8" i="1"/>
  <c r="D11" i="1"/>
  <c r="D12" i="1"/>
  <c r="D15" i="1"/>
  <c r="D13" i="1"/>
  <c r="D14" i="1"/>
  <c r="D16" i="1"/>
  <c r="D17" i="1"/>
  <c r="D18" i="1"/>
  <c r="D19" i="1"/>
  <c r="D20" i="1"/>
  <c r="D21" i="1"/>
  <c r="D22" i="1"/>
  <c r="D25" i="1"/>
  <c r="D24" i="1"/>
  <c r="D23" i="1"/>
  <c r="D26" i="1"/>
  <c r="D27" i="1"/>
  <c r="D28" i="1"/>
  <c r="D29" i="1"/>
  <c r="D30" i="1"/>
  <c r="D32" i="1"/>
  <c r="D33" i="1"/>
  <c r="D31" i="1"/>
  <c r="D34" i="1"/>
  <c r="D36" i="1"/>
  <c r="D35" i="1"/>
  <c r="D37" i="1"/>
  <c r="D38" i="1"/>
  <c r="D40" i="1"/>
  <c r="D39" i="1"/>
  <c r="D41" i="1"/>
  <c r="D42" i="1"/>
  <c r="D43" i="1"/>
  <c r="D46" i="1"/>
  <c r="D44" i="1"/>
  <c r="D45" i="1"/>
  <c r="D49" i="1"/>
  <c r="D47" i="1"/>
  <c r="D48" i="1"/>
  <c r="D50" i="1"/>
  <c r="D52" i="1"/>
  <c r="D51" i="1"/>
  <c r="D54" i="1"/>
  <c r="D53" i="1"/>
  <c r="D55" i="1"/>
  <c r="D56" i="1"/>
  <c r="D59" i="1"/>
  <c r="D57" i="1"/>
  <c r="D58" i="1"/>
  <c r="D60" i="1"/>
  <c r="D61" i="1"/>
  <c r="D62" i="1"/>
  <c r="D63" i="1"/>
  <c r="D67" i="1"/>
  <c r="D64" i="1"/>
  <c r="D65" i="1"/>
  <c r="D66" i="1"/>
  <c r="D68" i="1"/>
  <c r="D69" i="1"/>
  <c r="D70" i="1"/>
  <c r="D71" i="1"/>
  <c r="D72" i="1"/>
  <c r="D73" i="1"/>
  <c r="D74" i="1"/>
  <c r="D75" i="1"/>
  <c r="D76" i="1"/>
  <c r="D78" i="1"/>
  <c r="D77" i="1"/>
  <c r="D79" i="1"/>
  <c r="D80" i="1"/>
  <c r="D82" i="1"/>
  <c r="D81" i="1"/>
  <c r="D83" i="1"/>
  <c r="D84" i="1"/>
  <c r="D85" i="1"/>
  <c r="D86" i="1"/>
  <c r="D87" i="1"/>
  <c r="D88" i="1"/>
  <c r="D89" i="1"/>
  <c r="D90" i="1"/>
  <c r="D91" i="1"/>
  <c r="D92" i="1"/>
  <c r="D93" i="1"/>
  <c r="D94" i="1"/>
  <c r="D97" i="1"/>
  <c r="D96" i="1"/>
  <c r="D95" i="1"/>
  <c r="D98" i="1"/>
  <c r="D99" i="1"/>
  <c r="D100" i="1"/>
  <c r="D101" i="1"/>
  <c r="D103" i="1"/>
  <c r="D104" i="1"/>
  <c r="D102" i="1"/>
  <c r="D105" i="1"/>
  <c r="D106" i="1"/>
  <c r="D107" i="1"/>
  <c r="D108" i="1"/>
  <c r="D110" i="1"/>
  <c r="D109" i="1"/>
  <c r="D112" i="1"/>
  <c r="D111" i="1"/>
  <c r="D113" i="1"/>
  <c r="D114" i="1"/>
  <c r="D115" i="1"/>
  <c r="D116" i="1"/>
  <c r="D117" i="1"/>
  <c r="D118" i="1"/>
  <c r="D119" i="1"/>
  <c r="D121" i="1"/>
  <c r="D120" i="1"/>
  <c r="D122" i="1"/>
  <c r="D123" i="1"/>
  <c r="D124" i="1"/>
  <c r="D125" i="1"/>
  <c r="D126" i="1"/>
  <c r="D128" i="1"/>
  <c r="D127" i="1"/>
  <c r="D129" i="1"/>
  <c r="D131" i="1"/>
  <c r="D133" i="1"/>
  <c r="D130" i="1"/>
  <c r="D132" i="1"/>
  <c r="D134" i="1"/>
  <c r="D135" i="1"/>
  <c r="D136" i="1"/>
  <c r="D137" i="1"/>
  <c r="D138" i="1"/>
  <c r="D139" i="1"/>
  <c r="D141" i="1"/>
  <c r="D140" i="1"/>
  <c r="D143" i="1"/>
  <c r="D142" i="1"/>
  <c r="D145" i="1"/>
  <c r="D144" i="1"/>
  <c r="D146" i="1"/>
  <c r="D147" i="1"/>
  <c r="D150" i="1"/>
  <c r="D148" i="1"/>
  <c r="D149" i="1"/>
  <c r="D151" i="1"/>
  <c r="D152" i="1"/>
  <c r="D153" i="1"/>
  <c r="D154" i="1"/>
  <c r="D158" i="1"/>
  <c r="D156" i="1"/>
  <c r="D157" i="1"/>
  <c r="D155" i="1"/>
  <c r="D160" i="1"/>
  <c r="D159" i="1"/>
  <c r="D163" i="1"/>
  <c r="D161" i="1"/>
  <c r="D162" i="1"/>
  <c r="D164" i="1"/>
  <c r="D165" i="1"/>
  <c r="D166" i="1"/>
  <c r="D168" i="1"/>
  <c r="D167" i="1"/>
  <c r="D169" i="1"/>
  <c r="D170" i="1"/>
  <c r="D171" i="1"/>
  <c r="D172" i="1"/>
  <c r="D174" i="1"/>
  <c r="D173" i="1"/>
  <c r="D175" i="1"/>
  <c r="D177" i="1"/>
  <c r="D176" i="1"/>
  <c r="D179" i="1"/>
  <c r="D180" i="1"/>
  <c r="D178" i="1"/>
  <c r="D181" i="1"/>
  <c r="D184" i="1"/>
  <c r="D182" i="1"/>
  <c r="D183" i="1"/>
  <c r="D185" i="1"/>
  <c r="D186" i="1"/>
  <c r="D187" i="1"/>
  <c r="D189" i="1"/>
  <c r="D188" i="1"/>
  <c r="D191" i="1"/>
  <c r="D190" i="1"/>
  <c r="D192" i="1"/>
  <c r="D193" i="1"/>
  <c r="D195" i="1"/>
  <c r="D194" i="1"/>
  <c r="D197" i="1"/>
  <c r="D199" i="1"/>
  <c r="D198" i="1"/>
  <c r="D196" i="1"/>
  <c r="D200" i="1"/>
  <c r="D201" i="1"/>
  <c r="D202" i="1"/>
  <c r="D204" i="1"/>
  <c r="D203" i="1"/>
  <c r="D205" i="1"/>
  <c r="D206" i="1"/>
  <c r="D208" i="1"/>
  <c r="D207" i="1"/>
  <c r="D209" i="1"/>
  <c r="D210" i="1"/>
  <c r="D212" i="1"/>
  <c r="D211" i="1"/>
  <c r="D213" i="1"/>
  <c r="D214" i="1"/>
  <c r="D215" i="1"/>
  <c r="D216" i="1"/>
  <c r="D217" i="1"/>
  <c r="D219" i="1"/>
  <c r="D218" i="1"/>
  <c r="D220" i="1"/>
  <c r="D222" i="1"/>
  <c r="D223" i="1"/>
  <c r="D221" i="1"/>
  <c r="D224" i="1"/>
  <c r="D226" i="1"/>
  <c r="D225" i="1"/>
  <c r="D227" i="1"/>
  <c r="D228" i="1"/>
  <c r="D229" i="1"/>
  <c r="D232" i="1"/>
  <c r="D231" i="1"/>
  <c r="D230" i="1"/>
  <c r="D233" i="1"/>
  <c r="D235" i="1"/>
  <c r="D234" i="1"/>
  <c r="D236" i="1"/>
  <c r="D239" i="1"/>
  <c r="D237" i="1"/>
  <c r="D238" i="1"/>
  <c r="D242" i="1"/>
  <c r="D240" i="1"/>
  <c r="D241" i="1"/>
  <c r="D243" i="1"/>
  <c r="D244" i="1"/>
  <c r="D245" i="1"/>
  <c r="D246" i="1"/>
  <c r="D247" i="1"/>
  <c r="D249" i="1"/>
  <c r="D250" i="1"/>
  <c r="D248" i="1"/>
  <c r="D251" i="1"/>
  <c r="D252" i="1"/>
  <c r="D253" i="1"/>
  <c r="D254" i="1"/>
  <c r="D255" i="1"/>
  <c r="D256" i="1"/>
  <c r="D257" i="1"/>
  <c r="D258" i="1"/>
  <c r="D259" i="1"/>
  <c r="D262" i="1"/>
  <c r="D260" i="1"/>
  <c r="D261" i="1"/>
  <c r="D263" i="1"/>
  <c r="D266" i="1"/>
  <c r="D264" i="1"/>
  <c r="D268" i="1"/>
  <c r="D267" i="1"/>
  <c r="D265" i="1"/>
  <c r="D269" i="1"/>
  <c r="D273" i="1"/>
  <c r="D270" i="1"/>
  <c r="D271" i="1"/>
  <c r="D272" i="1"/>
  <c r="D274" i="1"/>
  <c r="D275" i="1"/>
  <c r="D276" i="1"/>
  <c r="D277" i="1"/>
  <c r="D278" i="1"/>
  <c r="D279" i="1"/>
  <c r="D280" i="1"/>
  <c r="D281" i="1"/>
  <c r="D282" i="1"/>
  <c r="D285" i="1"/>
  <c r="D286" i="1"/>
  <c r="D283" i="1"/>
  <c r="D284" i="1"/>
  <c r="D287" i="1"/>
  <c r="D288" i="1"/>
  <c r="D289" i="1"/>
  <c r="D290" i="1"/>
  <c r="D291" i="1"/>
  <c r="D292" i="1"/>
  <c r="D293" i="1"/>
  <c r="D294" i="1"/>
  <c r="D295" i="1"/>
  <c r="D297" i="1"/>
  <c r="D299" i="1"/>
  <c r="D298" i="1"/>
  <c r="D296" i="1"/>
  <c r="D302" i="1"/>
  <c r="D306" i="1"/>
  <c r="D304" i="1"/>
  <c r="D305" i="1"/>
  <c r="D303" i="1"/>
  <c r="D301" i="1"/>
  <c r="D300" i="1"/>
  <c r="D307" i="1"/>
  <c r="D308" i="1"/>
  <c r="D310" i="1"/>
  <c r="D309" i="1"/>
  <c r="D311" i="1"/>
  <c r="D312" i="1"/>
  <c r="D313" i="1"/>
  <c r="D314" i="1"/>
  <c r="D315" i="1"/>
  <c r="D316" i="1"/>
  <c r="D317" i="1"/>
  <c r="D318" i="1"/>
  <c r="D319" i="1"/>
  <c r="D320" i="1"/>
  <c r="D323" i="1"/>
  <c r="D322" i="1"/>
  <c r="D321" i="1"/>
  <c r="D325" i="1"/>
  <c r="D324" i="1"/>
  <c r="D326" i="1"/>
  <c r="D327" i="1"/>
  <c r="D328" i="1"/>
  <c r="D330" i="1"/>
  <c r="D329" i="1"/>
  <c r="D331" i="1"/>
  <c r="D333" i="1"/>
  <c r="D332" i="1"/>
  <c r="D335" i="1"/>
  <c r="D334" i="1"/>
  <c r="D336" i="1"/>
  <c r="D339" i="1"/>
  <c r="D338" i="1"/>
  <c r="D337" i="1"/>
  <c r="D341" i="1"/>
  <c r="D340" i="1"/>
  <c r="D344" i="1"/>
  <c r="D345" i="1"/>
  <c r="D342" i="1"/>
  <c r="D343" i="1"/>
  <c r="D347" i="1"/>
  <c r="D346" i="1"/>
  <c r="D353" i="1"/>
  <c r="D352" i="1"/>
  <c r="D348" i="1"/>
  <c r="D350" i="1"/>
  <c r="D351" i="1"/>
  <c r="D349" i="1"/>
  <c r="D354" i="1"/>
  <c r="D355" i="1"/>
  <c r="D356" i="1"/>
  <c r="D357" i="1"/>
  <c r="D359" i="1"/>
  <c r="D358" i="1"/>
  <c r="D360" i="1"/>
  <c r="D362" i="1"/>
  <c r="D361" i="1"/>
  <c r="D363" i="1"/>
  <c r="D365" i="1"/>
  <c r="D364" i="1"/>
  <c r="D366" i="1"/>
  <c r="D367" i="1"/>
  <c r="D368" i="1"/>
  <c r="D369" i="1"/>
  <c r="D370" i="1"/>
  <c r="D371" i="1"/>
  <c r="D372" i="1"/>
  <c r="D373" i="1"/>
  <c r="D376" i="1"/>
  <c r="D374" i="1"/>
  <c r="D375" i="1"/>
  <c r="D377" i="1"/>
  <c r="D379" i="1"/>
  <c r="D378" i="1"/>
  <c r="D380" i="1"/>
  <c r="D381" i="1"/>
  <c r="D383" i="1"/>
  <c r="D382" i="1"/>
  <c r="D384" i="1"/>
  <c r="D386" i="1"/>
  <c r="D385" i="1"/>
  <c r="D387" i="1"/>
  <c r="D388" i="1"/>
  <c r="D389" i="1"/>
  <c r="D391" i="1"/>
  <c r="D390" i="1"/>
  <c r="D392" i="1"/>
  <c r="D393" i="1"/>
  <c r="D394" i="1"/>
  <c r="D395" i="1"/>
  <c r="D396" i="1"/>
  <c r="D397" i="1"/>
  <c r="D399" i="1"/>
  <c r="D398" i="1"/>
  <c r="D400" i="1"/>
  <c r="D401" i="1"/>
  <c r="D402" i="1"/>
  <c r="D403" i="1"/>
  <c r="D404" i="1"/>
  <c r="D406" i="1"/>
  <c r="D405" i="1"/>
  <c r="D407" i="1"/>
  <c r="D410" i="1"/>
  <c r="D409" i="1"/>
  <c r="D408" i="1"/>
  <c r="D412" i="1"/>
  <c r="D411" i="1"/>
  <c r="D413" i="1"/>
  <c r="D416" i="1"/>
  <c r="D414" i="1"/>
  <c r="D415" i="1"/>
  <c r="D417" i="1"/>
  <c r="D418" i="1"/>
  <c r="D419" i="1"/>
  <c r="D420" i="1"/>
  <c r="D423" i="1"/>
  <c r="D422" i="1"/>
  <c r="D421" i="1"/>
  <c r="D424" i="1"/>
  <c r="D426" i="1"/>
  <c r="D425" i="1"/>
  <c r="D428" i="1"/>
  <c r="D429" i="1"/>
  <c r="D427" i="1"/>
  <c r="D430" i="1"/>
  <c r="D431" i="1"/>
  <c r="D432" i="1"/>
  <c r="D433" i="1"/>
  <c r="D434" i="1"/>
  <c r="D437" i="1"/>
  <c r="D435" i="1"/>
  <c r="D436" i="1"/>
  <c r="D438" i="1"/>
  <c r="D439" i="1"/>
  <c r="D440" i="1"/>
  <c r="D441" i="1"/>
  <c r="D442" i="1"/>
  <c r="D446" i="1"/>
  <c r="D445" i="1"/>
  <c r="D443" i="1"/>
  <c r="D447" i="1"/>
  <c r="D444" i="1"/>
  <c r="D448" i="1"/>
  <c r="D450" i="1"/>
  <c r="D449" i="1"/>
  <c r="D451" i="1"/>
  <c r="D452" i="1"/>
  <c r="D453" i="1"/>
  <c r="D454" i="1"/>
  <c r="D455" i="1"/>
  <c r="D456" i="1"/>
  <c r="D457" i="1"/>
  <c r="D458" i="1"/>
  <c r="D459" i="1"/>
  <c r="D460" i="1"/>
  <c r="D461" i="1"/>
  <c r="D462" i="1"/>
  <c r="D463" i="1"/>
  <c r="D466" i="1"/>
  <c r="D465" i="1"/>
  <c r="D464" i="1"/>
  <c r="D467" i="1"/>
  <c r="D469" i="1"/>
  <c r="D470" i="1"/>
  <c r="D468" i="1"/>
  <c r="D472" i="1"/>
  <c r="D471" i="1"/>
  <c r="D473" i="1"/>
  <c r="D476" i="1"/>
  <c r="D474" i="1"/>
  <c r="D475" i="1"/>
  <c r="D478" i="1"/>
  <c r="D477" i="1"/>
  <c r="D481" i="1"/>
  <c r="D480" i="1"/>
  <c r="D479" i="1"/>
  <c r="D482" i="1"/>
  <c r="D484" i="1"/>
  <c r="D483" i="1"/>
  <c r="D486" i="1"/>
  <c r="D485" i="1"/>
  <c r="D488" i="1"/>
  <c r="D489" i="1"/>
  <c r="D487" i="1"/>
  <c r="D490" i="1"/>
  <c r="D491" i="1"/>
  <c r="D492" i="1"/>
  <c r="D493" i="1"/>
  <c r="D495" i="1"/>
  <c r="D494" i="1"/>
  <c r="D496" i="1"/>
  <c r="D497" i="1"/>
  <c r="D498" i="1"/>
  <c r="D499" i="1"/>
  <c r="D500" i="1"/>
  <c r="D501" i="1"/>
  <c r="D502" i="1"/>
  <c r="D503" i="1"/>
  <c r="D504" i="1"/>
  <c r="D506" i="1"/>
  <c r="D505" i="1"/>
  <c r="D507" i="1"/>
  <c r="D508" i="1"/>
  <c r="D509" i="1"/>
  <c r="D512" i="1"/>
  <c r="D511" i="1"/>
  <c r="D510" i="1"/>
  <c r="D513" i="1"/>
  <c r="D515" i="1"/>
  <c r="D514" i="1"/>
  <c r="D516" i="1"/>
  <c r="D517" i="1"/>
  <c r="D521" i="1"/>
  <c r="D518" i="1"/>
  <c r="D519" i="1"/>
  <c r="D520" i="1"/>
  <c r="D522" i="1"/>
  <c r="D524" i="1"/>
  <c r="D523" i="1"/>
  <c r="D527" i="1"/>
  <c r="D525" i="1"/>
  <c r="D526" i="1"/>
  <c r="D528" i="1"/>
  <c r="D529" i="1"/>
  <c r="D530" i="1"/>
  <c r="D532" i="1"/>
  <c r="D531" i="1"/>
  <c r="D534" i="1"/>
  <c r="D533" i="1"/>
  <c r="D536" i="1"/>
  <c r="D535" i="1"/>
  <c r="D537" i="1"/>
  <c r="D540" i="1"/>
  <c r="D539" i="1"/>
  <c r="D538" i="1"/>
  <c r="D541" i="1"/>
  <c r="D542" i="1"/>
  <c r="D544" i="1"/>
  <c r="D543" i="1"/>
  <c r="D545" i="1"/>
  <c r="D546" i="1"/>
  <c r="D549" i="1"/>
  <c r="D547" i="1"/>
  <c r="D548" i="1"/>
  <c r="D550" i="1"/>
  <c r="D551" i="1"/>
  <c r="D552" i="1"/>
  <c r="D553" i="1"/>
  <c r="D554" i="1"/>
  <c r="D555" i="1"/>
  <c r="D556" i="1"/>
  <c r="D557" i="1"/>
  <c r="D559" i="1"/>
  <c r="D560" i="1"/>
  <c r="D558" i="1"/>
  <c r="D562" i="1"/>
  <c r="D561" i="1"/>
  <c r="D563" i="1"/>
  <c r="D564" i="1"/>
  <c r="D566" i="1"/>
  <c r="D567" i="1"/>
  <c r="D565" i="1"/>
  <c r="D568" i="1"/>
  <c r="D569" i="1"/>
  <c r="D570" i="1"/>
  <c r="D571" i="1"/>
  <c r="D572" i="1"/>
  <c r="D574" i="1"/>
  <c r="D575" i="1"/>
  <c r="D573" i="1"/>
  <c r="D576" i="1"/>
  <c r="D580" i="1"/>
  <c r="D579" i="1"/>
  <c r="D577" i="1"/>
  <c r="D578" i="1"/>
  <c r="D581" i="1"/>
  <c r="D585" i="1"/>
  <c r="D582" i="1"/>
  <c r="D584" i="1"/>
  <c r="D583" i="1"/>
  <c r="D586" i="1"/>
  <c r="D589" i="1"/>
  <c r="D588" i="1"/>
  <c r="D587" i="1"/>
  <c r="D590" i="1"/>
  <c r="D591" i="1"/>
  <c r="D592" i="1"/>
  <c r="D593" i="1"/>
  <c r="D597" i="1"/>
  <c r="D594" i="1"/>
  <c r="D596" i="1"/>
  <c r="D595" i="1"/>
  <c r="D598" i="1"/>
  <c r="D599" i="1"/>
  <c r="D601" i="1"/>
  <c r="D600" i="1"/>
  <c r="D602" i="1"/>
  <c r="D603" i="1"/>
  <c r="D604" i="1"/>
  <c r="D605" i="1"/>
  <c r="D608" i="1"/>
  <c r="D609" i="1"/>
  <c r="D607" i="1"/>
  <c r="D606" i="1"/>
  <c r="D610" i="1"/>
  <c r="D612" i="1"/>
  <c r="D611" i="1"/>
  <c r="D613" i="1"/>
  <c r="D614" i="1"/>
  <c r="D618" i="1"/>
  <c r="D617" i="1"/>
  <c r="D616" i="1"/>
  <c r="D619" i="1"/>
  <c r="D615" i="1"/>
  <c r="D621" i="1"/>
  <c r="D620" i="1"/>
  <c r="D623" i="1"/>
  <c r="D622" i="1"/>
  <c r="D626" i="1"/>
  <c r="D625" i="1"/>
  <c r="D624" i="1"/>
  <c r="D628" i="1"/>
  <c r="D627" i="1"/>
  <c r="D629" i="1"/>
  <c r="D630" i="1"/>
  <c r="D632" i="1"/>
  <c r="D631" i="1"/>
  <c r="D633" i="1"/>
  <c r="D636" i="1"/>
  <c r="D634" i="1"/>
  <c r="D635" i="1"/>
  <c r="D637" i="1"/>
  <c r="D638" i="1"/>
  <c r="D639" i="1"/>
  <c r="D640" i="1"/>
  <c r="D643" i="1"/>
  <c r="D641" i="1"/>
  <c r="D642" i="1"/>
  <c r="D644" i="1"/>
  <c r="D646" i="1"/>
  <c r="D645" i="1"/>
  <c r="D647" i="1"/>
  <c r="D649" i="1"/>
  <c r="D648" i="1"/>
  <c r="D650" i="1"/>
  <c r="D651" i="1"/>
  <c r="D652" i="1"/>
  <c r="D653" i="1"/>
  <c r="D654" i="1"/>
  <c r="D657" i="1"/>
  <c r="D655" i="1"/>
  <c r="D656" i="1"/>
  <c r="D658" i="1"/>
  <c r="D661" i="1"/>
  <c r="D662" i="1"/>
  <c r="D663" i="1"/>
  <c r="D659" i="1"/>
  <c r="D660" i="1"/>
  <c r="D665" i="1"/>
  <c r="D664" i="1"/>
  <c r="D667" i="1"/>
  <c r="D666" i="1"/>
  <c r="D668" i="1"/>
  <c r="D671" i="1"/>
  <c r="D670" i="1"/>
  <c r="D669" i="1"/>
  <c r="D672" i="1"/>
  <c r="D673" i="1"/>
  <c r="D674" i="1"/>
  <c r="D675" i="1"/>
  <c r="D677" i="1"/>
  <c r="D676" i="1"/>
  <c r="D678" i="1"/>
  <c r="D681" i="1"/>
  <c r="D680" i="1"/>
  <c r="D679" i="1"/>
  <c r="D683" i="1"/>
  <c r="D682" i="1"/>
  <c r="D684" i="1"/>
  <c r="D685" i="1"/>
  <c r="D688" i="1"/>
  <c r="D686" i="1"/>
  <c r="D687" i="1"/>
  <c r="D690" i="1"/>
  <c r="D693" i="1"/>
  <c r="D692" i="1"/>
  <c r="D689" i="1"/>
  <c r="D691" i="1"/>
  <c r="D696" i="1"/>
  <c r="D695" i="1"/>
  <c r="D694" i="1"/>
  <c r="D697" i="1"/>
  <c r="D698" i="1"/>
  <c r="D699" i="1"/>
  <c r="D700" i="1"/>
  <c r="D701" i="1"/>
  <c r="D702" i="1"/>
  <c r="D703" i="1"/>
  <c r="D704" i="1"/>
  <c r="D705" i="1"/>
  <c r="D708" i="1"/>
  <c r="D709" i="1"/>
  <c r="D706" i="1"/>
  <c r="D707" i="1"/>
  <c r="D711" i="1"/>
  <c r="D710" i="1"/>
  <c r="D713" i="1"/>
  <c r="D712" i="1"/>
  <c r="D715" i="1"/>
  <c r="D714" i="1"/>
  <c r="D719" i="1"/>
  <c r="D718" i="1"/>
  <c r="D716" i="1"/>
  <c r="D717" i="1"/>
  <c r="D720" i="1"/>
  <c r="D721" i="1"/>
  <c r="D724" i="1"/>
  <c r="D723" i="1"/>
  <c r="D722" i="1"/>
  <c r="D725" i="1"/>
  <c r="D726" i="1"/>
  <c r="D727" i="1"/>
  <c r="D728" i="1"/>
  <c r="D729" i="1"/>
  <c r="D730" i="1"/>
  <c r="D732" i="1"/>
  <c r="D731" i="1"/>
  <c r="D734" i="1"/>
  <c r="D733" i="1"/>
  <c r="D737" i="1"/>
  <c r="D738" i="1"/>
  <c r="D736" i="1"/>
  <c r="D735" i="1"/>
  <c r="D742" i="1"/>
  <c r="D741" i="1"/>
  <c r="D740" i="1"/>
  <c r="D739" i="1"/>
  <c r="D743" i="1"/>
  <c r="D744" i="1"/>
  <c r="D745" i="1"/>
  <c r="D747" i="1"/>
  <c r="D746" i="1"/>
  <c r="D748" i="1"/>
  <c r="D749" i="1"/>
  <c r="D750" i="1"/>
  <c r="D752" i="1"/>
  <c r="D751" i="1"/>
  <c r="D753" i="1"/>
  <c r="D755" i="1"/>
  <c r="D754" i="1"/>
  <c r="D757" i="1"/>
  <c r="D756" i="1"/>
  <c r="D758" i="1"/>
  <c r="D759" i="1"/>
  <c r="D762" i="1"/>
  <c r="D761" i="1"/>
  <c r="D763" i="1"/>
  <c r="D760" i="1"/>
  <c r="D764" i="1"/>
  <c r="D765" i="1"/>
  <c r="D766" i="1"/>
  <c r="D767" i="1"/>
  <c r="D770" i="1"/>
  <c r="D771" i="1"/>
  <c r="D769" i="1"/>
  <c r="D772" i="1"/>
  <c r="D768" i="1"/>
  <c r="D773" i="1"/>
  <c r="D774" i="1"/>
  <c r="D776" i="1"/>
  <c r="D775" i="1"/>
  <c r="D777" i="1"/>
  <c r="D778" i="1"/>
  <c r="D779" i="1"/>
  <c r="D780" i="1"/>
  <c r="D781" i="1"/>
  <c r="D784" i="1"/>
  <c r="D785" i="1"/>
  <c r="D782" i="1"/>
  <c r="D783" i="1"/>
  <c r="D787" i="1"/>
  <c r="D788" i="1"/>
  <c r="D786" i="1"/>
  <c r="D790" i="1"/>
  <c r="D789" i="1"/>
  <c r="D791" i="1"/>
  <c r="D792" i="1"/>
  <c r="D793" i="1"/>
  <c r="D794" i="1"/>
  <c r="D795" i="1"/>
  <c r="D796" i="1"/>
  <c r="D797" i="1"/>
  <c r="D799" i="1"/>
  <c r="D798" i="1"/>
  <c r="D801" i="1"/>
  <c r="D802" i="1"/>
  <c r="D800" i="1"/>
  <c r="D804" i="1"/>
  <c r="D803" i="1"/>
  <c r="D806" i="1"/>
  <c r="D805" i="1"/>
  <c r="D808" i="1"/>
  <c r="D807" i="1"/>
  <c r="D809" i="1"/>
  <c r="D810" i="1"/>
  <c r="D811" i="1"/>
  <c r="D813" i="1"/>
  <c r="D812" i="1"/>
  <c r="D815" i="1"/>
  <c r="D816" i="1"/>
  <c r="D814" i="1"/>
  <c r="D817" i="1"/>
  <c r="D819" i="1"/>
  <c r="D818" i="1"/>
  <c r="D821" i="1"/>
  <c r="D820" i="1"/>
  <c r="D822" i="1"/>
  <c r="D823" i="1"/>
  <c r="D824" i="1"/>
  <c r="D826" i="1"/>
  <c r="D825" i="1"/>
  <c r="D827" i="1"/>
  <c r="D828" i="1"/>
  <c r="D829" i="1"/>
  <c r="D830" i="1"/>
  <c r="D831" i="1"/>
  <c r="D832" i="1"/>
  <c r="D833" i="1"/>
  <c r="D834" i="1"/>
  <c r="D835" i="1"/>
  <c r="D836" i="1"/>
  <c r="D837" i="1"/>
  <c r="D838" i="1"/>
  <c r="D840" i="1"/>
  <c r="D839" i="1"/>
  <c r="D841" i="1"/>
  <c r="D844" i="1"/>
  <c r="D842" i="1"/>
  <c r="D843" i="1"/>
  <c r="D845" i="1"/>
  <c r="D846" i="1"/>
  <c r="D847" i="1"/>
  <c r="D849" i="1"/>
  <c r="D848" i="1"/>
  <c r="D850" i="1"/>
  <c r="D852" i="1"/>
  <c r="D851" i="1"/>
  <c r="D854" i="1"/>
  <c r="D853" i="1"/>
  <c r="D855" i="1"/>
  <c r="D856" i="1"/>
  <c r="D857" i="1"/>
  <c r="D858" i="1"/>
  <c r="D859" i="1"/>
  <c r="D860" i="1"/>
  <c r="D861" i="1"/>
  <c r="D862" i="1"/>
  <c r="D865" i="1"/>
  <c r="D863" i="1"/>
  <c r="D864" i="1"/>
  <c r="D866" i="1"/>
  <c r="D867" i="1"/>
  <c r="D868" i="1"/>
  <c r="D869" i="1"/>
  <c r="D871" i="1"/>
  <c r="D872" i="1"/>
  <c r="D873" i="1"/>
  <c r="D870" i="1"/>
  <c r="D874" i="1"/>
  <c r="D875" i="1"/>
  <c r="D876" i="1"/>
  <c r="D878" i="1"/>
  <c r="D877" i="1"/>
  <c r="D880" i="1"/>
  <c r="D879" i="1"/>
  <c r="D881" i="1"/>
  <c r="D882" i="1"/>
  <c r="D883" i="1"/>
  <c r="D884" i="1"/>
  <c r="D885" i="1"/>
  <c r="D886" i="1"/>
  <c r="D887" i="1"/>
  <c r="D888" i="1"/>
  <c r="D889" i="1"/>
  <c r="D890" i="1"/>
  <c r="D891" i="1"/>
  <c r="D892" i="1"/>
  <c r="D893" i="1"/>
  <c r="D894" i="1"/>
  <c r="D895" i="1"/>
  <c r="D896" i="1"/>
  <c r="D897" i="1"/>
  <c r="D898" i="1"/>
  <c r="D900" i="1"/>
  <c r="D899" i="1"/>
  <c r="D902" i="1"/>
  <c r="D901" i="1"/>
  <c r="D903" i="1"/>
  <c r="D904" i="1"/>
  <c r="D905" i="1"/>
  <c r="D906" i="1"/>
  <c r="D909" i="1"/>
  <c r="D908" i="1"/>
  <c r="D907" i="1"/>
  <c r="D911" i="1"/>
  <c r="D910" i="1"/>
  <c r="D913" i="1"/>
  <c r="D912" i="1"/>
  <c r="D914" i="1"/>
  <c r="D915" i="1"/>
  <c r="D916" i="1"/>
  <c r="D918" i="1"/>
  <c r="D917" i="1"/>
  <c r="D919" i="1"/>
  <c r="D920" i="1"/>
  <c r="D921" i="1"/>
  <c r="D922" i="1"/>
  <c r="D923" i="1"/>
  <c r="D924" i="1"/>
  <c r="D927" i="1"/>
  <c r="D925" i="1"/>
  <c r="D926" i="1"/>
  <c r="D928" i="1"/>
  <c r="D929" i="1"/>
  <c r="D930" i="1"/>
  <c r="D933" i="1"/>
  <c r="D931" i="1"/>
  <c r="D932" i="1"/>
  <c r="D934" i="1"/>
  <c r="D937" i="1"/>
  <c r="D935" i="1"/>
  <c r="D936" i="1"/>
  <c r="D938" i="1"/>
  <c r="D942" i="1"/>
  <c r="D939" i="1"/>
  <c r="D941" i="1"/>
  <c r="D940" i="1"/>
  <c r="D943" i="1"/>
  <c r="D944" i="1"/>
  <c r="D948" i="1"/>
  <c r="D946" i="1"/>
  <c r="D947" i="1"/>
  <c r="D945" i="1"/>
  <c r="D949" i="1"/>
  <c r="D950" i="1"/>
  <c r="D951" i="1"/>
  <c r="D953" i="1"/>
  <c r="D952" i="1"/>
  <c r="D954" i="1"/>
  <c r="D956" i="1"/>
  <c r="D957" i="1"/>
  <c r="D955" i="1"/>
  <c r="D959" i="1"/>
  <c r="D958" i="1"/>
  <c r="D960" i="1"/>
  <c r="D962" i="1"/>
  <c r="D961" i="1"/>
  <c r="D963" i="1"/>
  <c r="D964" i="1"/>
  <c r="D965" i="1"/>
  <c r="D966" i="1"/>
  <c r="D967" i="1"/>
  <c r="D968" i="1"/>
  <c r="D969" i="1"/>
  <c r="D970" i="1"/>
  <c r="D972" i="1"/>
  <c r="D971" i="1"/>
  <c r="D974" i="1"/>
  <c r="D973" i="1"/>
  <c r="D975" i="1"/>
  <c r="D976" i="1"/>
  <c r="D977" i="1"/>
  <c r="D978" i="1"/>
  <c r="D979" i="1"/>
  <c r="D980" i="1"/>
  <c r="D982" i="1"/>
  <c r="D981" i="1"/>
  <c r="D983" i="1"/>
  <c r="D984" i="1"/>
  <c r="D985" i="1"/>
  <c r="D986" i="1"/>
  <c r="D987" i="1"/>
  <c r="D988" i="1"/>
  <c r="D989" i="1"/>
  <c r="D990" i="1"/>
  <c r="D993" i="1"/>
  <c r="D991" i="1"/>
  <c r="D992" i="1"/>
  <c r="D995" i="1"/>
  <c r="D994" i="1"/>
  <c r="D996" i="1"/>
  <c r="D1002" i="1"/>
  <c r="D1000" i="1"/>
  <c r="D997" i="1"/>
  <c r="D998" i="1"/>
  <c r="D999" i="1"/>
  <c r="D1001" i="1"/>
  <c r="D1003" i="1"/>
  <c r="D1004" i="1"/>
  <c r="D1007" i="1"/>
  <c r="D1005" i="1"/>
  <c r="D1006" i="1"/>
  <c r="D1008" i="1"/>
  <c r="D1010" i="1"/>
  <c r="D1009" i="1"/>
  <c r="D1012" i="1"/>
  <c r="D1011" i="1"/>
  <c r="D1013" i="1"/>
  <c r="D1014" i="1"/>
  <c r="D1015" i="1"/>
  <c r="D1016" i="1"/>
  <c r="D1017" i="1"/>
  <c r="D1018" i="1"/>
  <c r="D1019" i="1"/>
  <c r="D1021" i="1"/>
  <c r="D1020" i="1"/>
  <c r="D1022" i="1"/>
  <c r="D1023" i="1"/>
  <c r="D1025" i="1"/>
  <c r="D1024" i="1"/>
  <c r="D1026" i="1"/>
  <c r="D1028" i="1"/>
  <c r="D1027" i="1"/>
  <c r="D1029" i="1"/>
  <c r="D1031" i="1"/>
  <c r="D1030" i="1"/>
  <c r="D1032" i="1"/>
  <c r="D1034" i="1"/>
  <c r="D1033" i="1"/>
  <c r="D1035" i="1"/>
  <c r="D1038" i="1"/>
  <c r="D1036" i="1"/>
  <c r="D1037" i="1"/>
  <c r="D1039" i="1"/>
  <c r="D1040" i="1"/>
  <c r="D1041" i="1"/>
  <c r="D1042" i="1"/>
  <c r="D1043" i="1"/>
  <c r="D1044" i="1"/>
  <c r="D1046" i="1"/>
  <c r="D1045" i="1"/>
  <c r="D1049" i="1"/>
  <c r="D1047" i="1"/>
  <c r="D1048" i="1"/>
  <c r="D1050" i="1"/>
  <c r="D1051" i="1"/>
  <c r="D1052" i="1"/>
  <c r="D1053" i="1"/>
  <c r="D1055" i="1"/>
  <c r="D1054" i="1"/>
  <c r="D1056" i="1"/>
  <c r="D1057" i="1"/>
  <c r="D1058" i="1"/>
  <c r="D1059" i="1"/>
  <c r="D1061" i="1"/>
  <c r="D1060" i="1"/>
  <c r="D1063" i="1"/>
  <c r="D1062" i="1"/>
  <c r="D1064" i="1"/>
  <c r="D1065" i="1"/>
  <c r="D1066" i="1"/>
  <c r="D1070" i="1"/>
  <c r="D1068" i="1"/>
  <c r="D1069" i="1"/>
  <c r="D1071" i="1"/>
  <c r="D1067" i="1"/>
  <c r="D1072" i="1"/>
  <c r="D1073" i="1"/>
  <c r="D1074" i="1"/>
  <c r="D1075" i="1"/>
  <c r="D1076" i="1"/>
  <c r="D1078" i="1"/>
  <c r="D1077" i="1"/>
  <c r="D1080" i="1"/>
  <c r="D1079" i="1"/>
  <c r="D1081" i="1"/>
  <c r="D1083" i="1"/>
  <c r="D1084" i="1"/>
  <c r="D1082" i="1"/>
  <c r="D1085" i="1"/>
  <c r="D1086" i="1"/>
  <c r="D1089" i="1"/>
  <c r="D1088" i="1"/>
  <c r="D1087" i="1"/>
  <c r="D1090" i="1"/>
  <c r="D1091" i="1"/>
  <c r="D1093" i="1"/>
  <c r="D1094" i="1"/>
  <c r="D1092" i="1"/>
  <c r="D1095" i="1"/>
  <c r="D1096" i="1"/>
  <c r="D1097" i="1"/>
  <c r="D1098" i="1"/>
  <c r="D1099" i="1"/>
  <c r="D1100" i="1"/>
  <c r="D1101" i="1"/>
  <c r="D1102" i="1"/>
  <c r="D1103" i="1"/>
  <c r="D1104" i="1"/>
  <c r="D1105" i="1"/>
  <c r="D1106" i="1"/>
  <c r="D1107" i="1"/>
  <c r="D1108" i="1"/>
  <c r="D1109" i="1"/>
  <c r="D1110" i="1"/>
  <c r="D1114" i="1"/>
  <c r="D1115" i="1"/>
  <c r="D1112" i="1"/>
  <c r="D1113" i="1"/>
  <c r="D1116" i="1"/>
  <c r="D1111" i="1"/>
  <c r="D1119" i="1"/>
  <c r="D1118" i="1"/>
  <c r="D1117" i="1"/>
  <c r="D1121" i="1"/>
  <c r="D1120" i="1"/>
  <c r="D1122" i="1"/>
  <c r="D1123" i="1"/>
  <c r="D1124" i="1"/>
  <c r="D1126" i="1"/>
  <c r="D1125" i="1"/>
  <c r="D1127" i="1"/>
  <c r="D1128" i="1"/>
  <c r="D1131" i="1"/>
  <c r="D1130" i="1"/>
  <c r="D1129" i="1"/>
  <c r="D1133" i="1"/>
  <c r="D1132" i="1"/>
  <c r="D1134" i="1"/>
  <c r="D1135" i="1"/>
  <c r="D1136" i="1"/>
  <c r="D1138" i="1"/>
  <c r="D1137" i="1"/>
  <c r="D1139" i="1"/>
  <c r="D1141" i="1"/>
  <c r="D1144" i="1"/>
  <c r="D1142" i="1"/>
  <c r="D1140" i="1"/>
  <c r="D1143" i="1"/>
  <c r="D1146" i="1"/>
  <c r="D1145" i="1"/>
  <c r="D1149" i="1"/>
  <c r="D1147" i="1"/>
  <c r="D1148" i="1"/>
  <c r="D1150" i="1"/>
  <c r="D1151" i="1"/>
  <c r="D1152" i="1"/>
  <c r="D1153" i="1"/>
  <c r="D1156" i="1"/>
  <c r="D1154" i="1"/>
  <c r="D1155" i="1"/>
  <c r="D1160" i="1"/>
  <c r="D1157" i="1"/>
  <c r="D1159" i="1"/>
  <c r="D1158" i="1"/>
  <c r="D1161" i="1"/>
  <c r="D1162" i="1"/>
  <c r="D1163" i="1"/>
  <c r="D1164" i="1"/>
  <c r="D1165" i="1"/>
  <c r="D1166" i="1"/>
  <c r="D1169" i="1"/>
  <c r="D1168" i="1"/>
  <c r="D1167" i="1"/>
  <c r="D1171" i="1"/>
  <c r="D1172" i="1"/>
  <c r="D1170" i="1"/>
  <c r="D1176" i="1"/>
  <c r="D1175" i="1"/>
  <c r="D1174" i="1"/>
  <c r="D1173" i="1"/>
  <c r="D1178" i="1"/>
  <c r="D1177" i="1"/>
  <c r="D1180" i="1"/>
  <c r="D1181" i="1"/>
  <c r="D1182" i="1"/>
  <c r="D1179" i="1"/>
  <c r="D1183" i="1"/>
  <c r="D1185" i="1"/>
  <c r="D1186" i="1"/>
  <c r="D1184" i="1"/>
  <c r="D1188" i="1"/>
  <c r="D1189" i="1"/>
  <c r="D1187" i="1"/>
  <c r="D1190" i="1"/>
  <c r="D1191" i="1"/>
  <c r="D1192" i="1"/>
  <c r="D1193" i="1"/>
  <c r="D1196" i="1"/>
  <c r="D1195" i="1"/>
  <c r="D1194" i="1"/>
  <c r="D1198" i="1"/>
  <c r="D1197" i="1"/>
  <c r="D1199" i="1"/>
  <c r="D1200" i="1"/>
  <c r="D1201" i="1"/>
  <c r="D1205" i="1"/>
  <c r="D1204" i="1"/>
  <c r="D1203" i="1"/>
  <c r="D1206" i="1"/>
  <c r="D1202" i="1"/>
  <c r="D1210" i="1"/>
  <c r="D1209" i="1"/>
  <c r="D1207" i="1"/>
  <c r="D1211" i="1"/>
  <c r="D1208" i="1"/>
  <c r="D1214" i="1"/>
  <c r="D1212" i="1"/>
  <c r="D1213" i="1"/>
  <c r="D1215" i="1"/>
  <c r="D1216" i="1"/>
  <c r="D1217" i="1"/>
  <c r="D1219" i="1"/>
  <c r="D1218" i="1"/>
  <c r="D1220" i="1"/>
  <c r="D1221" i="1"/>
  <c r="D1222" i="1"/>
  <c r="D1223" i="1"/>
  <c r="D1228" i="1"/>
  <c r="D1224" i="1"/>
  <c r="D1226" i="1"/>
  <c r="D1227" i="1"/>
  <c r="D1225" i="1"/>
  <c r="D1229" i="1"/>
  <c r="D1230" i="1"/>
  <c r="D1232" i="1"/>
  <c r="D1233" i="1"/>
  <c r="D1231" i="1"/>
  <c r="D1236" i="1"/>
  <c r="D1234" i="1"/>
  <c r="D1235" i="1"/>
  <c r="D1237" i="1"/>
  <c r="D1239" i="1"/>
  <c r="D1238" i="1"/>
  <c r="D1240" i="1"/>
  <c r="D1242" i="1"/>
  <c r="D1241" i="1"/>
  <c r="D1246" i="1"/>
  <c r="D1244" i="1"/>
  <c r="D1245" i="1"/>
  <c r="D1243" i="1"/>
  <c r="D1247" i="1"/>
  <c r="D1248" i="1"/>
  <c r="D1249" i="1"/>
  <c r="D1250" i="1"/>
  <c r="D1252" i="1"/>
  <c r="D1251" i="1"/>
  <c r="D1253" i="1"/>
  <c r="D1254" i="1"/>
  <c r="D1256" i="1"/>
  <c r="D1255" i="1"/>
  <c r="D1258" i="1"/>
  <c r="D1257" i="1"/>
  <c r="D1259" i="1"/>
  <c r="D1260" i="1"/>
  <c r="D1261" i="1"/>
  <c r="D1262" i="1"/>
  <c r="D1263" i="1"/>
  <c r="D1264" i="1"/>
  <c r="D1267" i="1"/>
  <c r="D1266" i="1"/>
  <c r="D1268" i="1"/>
  <c r="D1265" i="1"/>
  <c r="D1271" i="1"/>
  <c r="D1272" i="1"/>
  <c r="D1269" i="1"/>
  <c r="D1270" i="1"/>
  <c r="D1274" i="1"/>
  <c r="D1273" i="1"/>
  <c r="D1276" i="1"/>
  <c r="D1275" i="1"/>
  <c r="D1278" i="1"/>
  <c r="D1281" i="1"/>
  <c r="D1277" i="1"/>
  <c r="D1279" i="1"/>
  <c r="D1282" i="1"/>
  <c r="D1280" i="1"/>
  <c r="D1284" i="1"/>
  <c r="D1283" i="1"/>
  <c r="D1285" i="1"/>
  <c r="D1286" i="1"/>
  <c r="D1288" i="1"/>
  <c r="D1287" i="1"/>
  <c r="D1289" i="1"/>
  <c r="D1290" i="1"/>
  <c r="D1291" i="1"/>
  <c r="D1292" i="1"/>
  <c r="D1293" i="1"/>
  <c r="D1295" i="1"/>
  <c r="D1294" i="1"/>
  <c r="D1296" i="1"/>
  <c r="D1297" i="1"/>
  <c r="D1298" i="1"/>
  <c r="D1300" i="1"/>
  <c r="D1299" i="1"/>
  <c r="D1301" i="1"/>
  <c r="D1302" i="1"/>
  <c r="D1303" i="1"/>
  <c r="D1304" i="1"/>
  <c r="D1306" i="1"/>
  <c r="D1305" i="1"/>
  <c r="D1309" i="1"/>
  <c r="D1307" i="1"/>
  <c r="D1308" i="1"/>
  <c r="D1312" i="1"/>
  <c r="D1313" i="1"/>
  <c r="D1310" i="1"/>
  <c r="D1311" i="1"/>
  <c r="D1314" i="1"/>
  <c r="D1315" i="1"/>
  <c r="D1319" i="1"/>
  <c r="D1317" i="1"/>
  <c r="D1316" i="1"/>
  <c r="D1318" i="1"/>
  <c r="D1320" i="1"/>
  <c r="D1321" i="1"/>
  <c r="D1323" i="1"/>
  <c r="D1322" i="1"/>
  <c r="D1324" i="1"/>
  <c r="D1325" i="1"/>
  <c r="D1326" i="1"/>
  <c r="D1328" i="1"/>
  <c r="D1327" i="1"/>
  <c r="D1331" i="1"/>
  <c r="D1330" i="1"/>
  <c r="D1329" i="1"/>
  <c r="D1332" i="1"/>
  <c r="D1333" i="1"/>
  <c r="D1335" i="1"/>
  <c r="D1334" i="1"/>
  <c r="D1337" i="1"/>
  <c r="D1336" i="1"/>
  <c r="D1338" i="1"/>
  <c r="D1339" i="1"/>
  <c r="D1340" i="1"/>
  <c r="D1341" i="1"/>
  <c r="D1342" i="1"/>
  <c r="D1343" i="1"/>
  <c r="D1344" i="1"/>
  <c r="D1345" i="1"/>
  <c r="D1346" i="1"/>
  <c r="D1347" i="1"/>
  <c r="D1348" i="1"/>
  <c r="D1349" i="1"/>
  <c r="D1351" i="1"/>
  <c r="D1350" i="1"/>
  <c r="D1352" i="1"/>
  <c r="D1353" i="1"/>
  <c r="D1354" i="1"/>
  <c r="D1356" i="1"/>
  <c r="D1355" i="1"/>
  <c r="D1358" i="1"/>
  <c r="D1357" i="1"/>
  <c r="D1359" i="1"/>
  <c r="D1360" i="1"/>
  <c r="D1361" i="1"/>
  <c r="D1362" i="1"/>
  <c r="D1365" i="1"/>
  <c r="D1364" i="1"/>
  <c r="D1363" i="1"/>
  <c r="D1366" i="1"/>
  <c r="D1369" i="1"/>
  <c r="D1368" i="1"/>
  <c r="D1367" i="1"/>
  <c r="D1370" i="1"/>
  <c r="D1371" i="1"/>
  <c r="D1373" i="1"/>
  <c r="D1372" i="1"/>
  <c r="D1374" i="1"/>
  <c r="D1377" i="1"/>
  <c r="D1376" i="1"/>
  <c r="D1375" i="1"/>
  <c r="D1380" i="1"/>
  <c r="D1379" i="1"/>
  <c r="D1381" i="1"/>
  <c r="D1378" i="1"/>
  <c r="D1382" i="1"/>
  <c r="D1383" i="1"/>
  <c r="D1385" i="1"/>
  <c r="D1384" i="1"/>
  <c r="D1386" i="1"/>
  <c r="D1387" i="1"/>
  <c r="D1390" i="1"/>
  <c r="D1389" i="1"/>
  <c r="D1388" i="1"/>
  <c r="D1392" i="1"/>
  <c r="D1395" i="1"/>
  <c r="D1393" i="1"/>
  <c r="D1394" i="1"/>
  <c r="D1391" i="1"/>
  <c r="D1396" i="1"/>
  <c r="D1397" i="1"/>
  <c r="D1398" i="1"/>
  <c r="D1399" i="1"/>
  <c r="D1400" i="1"/>
  <c r="D1401" i="1"/>
  <c r="D1403" i="1"/>
  <c r="D1402" i="1"/>
  <c r="D1405" i="1"/>
  <c r="D1404" i="1"/>
  <c r="D1407" i="1"/>
  <c r="D1409" i="1"/>
  <c r="D1408" i="1"/>
  <c r="D1406" i="1"/>
  <c r="D1410" i="1"/>
  <c r="D1412" i="1"/>
  <c r="D1414" i="1"/>
  <c r="D1413" i="1"/>
  <c r="D1411" i="1"/>
  <c r="D1416" i="1"/>
  <c r="D1415" i="1"/>
  <c r="D1417" i="1"/>
  <c r="D1419" i="1"/>
  <c r="D1418" i="1"/>
  <c r="D1421" i="1"/>
  <c r="D1420" i="1"/>
  <c r="D1423" i="1"/>
  <c r="D1422" i="1"/>
  <c r="D1424" i="1"/>
  <c r="D1425" i="1"/>
  <c r="D1426" i="1"/>
  <c r="D1427" i="1"/>
  <c r="D1428" i="1"/>
  <c r="D1431" i="1"/>
  <c r="D1429" i="1"/>
  <c r="D1430" i="1"/>
  <c r="D1433" i="1"/>
  <c r="D1432" i="1"/>
  <c r="D1434" i="1"/>
  <c r="D1435" i="1"/>
  <c r="D1436" i="1"/>
  <c r="D1437" i="1"/>
  <c r="D1438" i="1"/>
  <c r="D1439" i="1"/>
  <c r="D1441" i="1"/>
  <c r="D1444" i="1"/>
  <c r="D1445" i="1"/>
  <c r="D1442" i="1"/>
  <c r="D1440" i="1"/>
  <c r="D1443" i="1"/>
  <c r="D1446" i="1"/>
  <c r="D1448" i="1"/>
  <c r="D1447" i="1"/>
  <c r="D1450" i="1"/>
  <c r="D1449" i="1"/>
  <c r="D1453" i="1"/>
  <c r="D1451" i="1"/>
  <c r="D1452" i="1"/>
  <c r="D1455" i="1"/>
  <c r="D1454" i="1"/>
  <c r="D1456" i="1"/>
  <c r="D1457" i="1"/>
  <c r="D1458" i="1"/>
  <c r="D1459" i="1"/>
  <c r="D1461" i="1"/>
  <c r="D1460" i="1"/>
  <c r="D1462" i="1"/>
  <c r="D1464" i="1"/>
  <c r="D1463" i="1"/>
  <c r="D1465" i="1"/>
  <c r="D1466" i="1"/>
  <c r="D1467" i="1"/>
  <c r="D1468" i="1"/>
  <c r="D1469" i="1"/>
  <c r="D1472" i="1"/>
  <c r="D1470" i="1"/>
  <c r="D1471" i="1"/>
  <c r="D1473" i="1"/>
  <c r="D1475" i="1"/>
  <c r="D1474" i="1"/>
  <c r="D1476" i="1"/>
  <c r="D1479" i="1"/>
  <c r="D1478" i="1"/>
  <c r="D1477" i="1"/>
  <c r="D1481" i="1"/>
  <c r="D1480" i="1"/>
  <c r="D1482" i="1"/>
  <c r="D1483" i="1"/>
  <c r="D1486" i="1"/>
  <c r="D1485" i="1"/>
  <c r="D1484" i="1"/>
  <c r="D1488" i="1"/>
  <c r="D1489" i="1"/>
  <c r="D1487" i="1"/>
  <c r="D1490" i="1"/>
  <c r="D1491" i="1"/>
  <c r="D1492" i="1"/>
  <c r="D1493" i="1"/>
  <c r="D1494" i="1"/>
  <c r="D1496" i="1"/>
  <c r="D1495" i="1"/>
  <c r="D1497" i="1"/>
  <c r="D1498" i="1"/>
  <c r="D1499" i="1"/>
  <c r="D1501" i="1"/>
  <c r="D1500" i="1"/>
  <c r="D1505" i="1"/>
  <c r="D1504" i="1"/>
  <c r="D1503" i="1"/>
  <c r="D1502" i="1"/>
  <c r="D1507" i="1"/>
  <c r="D1506" i="1"/>
  <c r="D1509" i="1"/>
  <c r="D1508" i="1"/>
  <c r="D1511" i="1"/>
  <c r="D1510" i="1"/>
  <c r="D1512" i="1"/>
  <c r="D1513" i="1"/>
  <c r="D1514" i="1"/>
  <c r="D1518" i="1"/>
  <c r="D1515" i="1"/>
  <c r="D1516" i="1"/>
  <c r="D1517" i="1"/>
  <c r="D1520" i="1"/>
  <c r="D1519" i="1"/>
  <c r="D1524" i="1"/>
  <c r="D1523" i="1"/>
  <c r="D1521" i="1"/>
  <c r="D1522" i="1"/>
  <c r="D1525" i="1"/>
  <c r="D1526" i="1"/>
  <c r="D1527" i="1"/>
  <c r="D1528" i="1"/>
  <c r="D1529" i="1"/>
  <c r="D1530" i="1"/>
  <c r="D1532" i="1"/>
  <c r="D1531" i="1"/>
  <c r="D1533" i="1"/>
  <c r="D1534" i="1"/>
  <c r="D1537" i="1"/>
  <c r="D1535" i="1"/>
  <c r="D1536" i="1"/>
  <c r="D1539" i="1"/>
  <c r="D1538" i="1"/>
  <c r="D1540" i="1"/>
  <c r="D1544" i="1"/>
  <c r="D1542" i="1"/>
  <c r="D1543" i="1"/>
  <c r="D1541" i="1"/>
  <c r="D1547" i="1"/>
  <c r="D1545" i="1"/>
  <c r="D1548" i="1"/>
  <c r="D1546" i="1"/>
  <c r="D1549" i="1"/>
  <c r="D1550" i="1"/>
  <c r="D1552" i="1"/>
  <c r="D1551" i="1"/>
  <c r="D1554" i="1"/>
  <c r="D1553" i="1"/>
  <c r="D1556" i="1"/>
  <c r="D1555" i="1"/>
  <c r="D1557" i="1"/>
  <c r="D1558" i="1"/>
  <c r="D1560" i="1"/>
  <c r="D1559" i="1"/>
  <c r="D1561" i="1"/>
  <c r="D1562" i="1"/>
  <c r="D1564" i="1"/>
  <c r="D1563" i="1"/>
  <c r="D1565" i="1"/>
  <c r="D1566" i="1"/>
  <c r="D1567" i="1"/>
  <c r="D1570" i="1"/>
  <c r="D1568" i="1"/>
  <c r="D1569" i="1"/>
  <c r="D1572" i="1"/>
  <c r="D1571" i="1"/>
  <c r="D1573" i="1"/>
  <c r="D1574" i="1"/>
  <c r="D1575" i="1"/>
  <c r="D1576" i="1"/>
  <c r="D1578" i="1"/>
  <c r="D1577" i="1"/>
  <c r="D1579" i="1"/>
  <c r="D1580" i="1"/>
  <c r="D1583" i="1"/>
  <c r="D1584" i="1"/>
  <c r="D1581" i="1"/>
  <c r="D1582" i="1"/>
  <c r="D1585" i="1"/>
  <c r="D1587" i="1"/>
  <c r="D1586" i="1"/>
  <c r="D1588" i="1"/>
  <c r="D1589" i="1"/>
  <c r="D1590" i="1"/>
  <c r="D1591" i="1"/>
  <c r="D1592" i="1"/>
  <c r="D1593" i="1"/>
  <c r="D1595" i="1"/>
  <c r="D1594" i="1"/>
  <c r="D1597" i="1"/>
  <c r="D1596" i="1"/>
  <c r="D1599" i="1"/>
  <c r="D1598" i="1"/>
  <c r="D1600" i="1"/>
  <c r="D1603" i="1"/>
  <c r="D1602" i="1"/>
  <c r="D1601" i="1"/>
  <c r="D1604" i="1"/>
  <c r="D1605" i="1"/>
  <c r="D1606" i="1"/>
  <c r="D1607" i="1"/>
  <c r="D1608" i="1"/>
  <c r="D1609" i="1"/>
  <c r="D1610" i="1"/>
  <c r="D1611" i="1"/>
  <c r="D1613" i="1"/>
  <c r="D1612" i="1"/>
  <c r="D1614" i="1"/>
  <c r="D1616" i="1"/>
  <c r="D1615" i="1"/>
  <c r="D1617" i="1"/>
  <c r="D1618" i="1"/>
  <c r="D1619" i="1"/>
  <c r="D1620" i="1"/>
  <c r="D1621" i="1"/>
  <c r="D1622" i="1"/>
  <c r="D1623" i="1"/>
  <c r="D1624" i="1"/>
  <c r="D1625" i="1"/>
  <c r="D1626" i="1"/>
  <c r="D1627" i="1"/>
  <c r="D1628" i="1"/>
  <c r="D1629" i="1"/>
  <c r="D1630" i="1"/>
  <c r="D1631" i="1"/>
  <c r="D1634" i="1"/>
  <c r="D1632" i="1"/>
  <c r="D1633" i="1"/>
  <c r="D1636" i="1"/>
  <c r="D1635" i="1"/>
  <c r="D1637" i="1"/>
  <c r="D1640" i="1"/>
  <c r="D1639" i="1"/>
  <c r="D1638" i="1"/>
  <c r="D1641" i="1"/>
  <c r="D1642" i="1"/>
  <c r="D1643" i="1"/>
  <c r="D1644" i="1"/>
  <c r="D1645" i="1"/>
  <c r="D1647" i="1"/>
  <c r="D1646" i="1"/>
  <c r="D1648" i="1"/>
  <c r="D1649" i="1"/>
  <c r="D1650" i="1"/>
  <c r="D1651" i="1"/>
  <c r="D1652" i="1"/>
  <c r="D1653" i="1"/>
  <c r="D1654" i="1"/>
  <c r="D1655" i="1"/>
  <c r="D1658" i="1"/>
  <c r="D1657" i="1"/>
  <c r="D1656" i="1"/>
  <c r="D1659" i="1"/>
  <c r="D1661" i="1"/>
  <c r="D1660" i="1"/>
  <c r="D1662" i="1"/>
  <c r="D1663" i="1"/>
  <c r="D1664" i="1"/>
  <c r="D1665" i="1"/>
  <c r="D1667" i="1"/>
  <c r="D1666" i="1"/>
  <c r="D1670" i="1"/>
  <c r="D1669" i="1"/>
  <c r="D1668" i="1"/>
  <c r="D1671" i="1"/>
  <c r="D1673" i="1"/>
  <c r="D1672" i="1"/>
  <c r="D1674" i="1"/>
  <c r="D1676" i="1"/>
  <c r="D1675" i="1"/>
  <c r="D1677" i="1"/>
  <c r="D1679" i="1"/>
  <c r="D1678" i="1"/>
  <c r="D1680" i="1"/>
  <c r="D1681" i="1"/>
  <c r="D1682" i="1"/>
  <c r="D1683" i="1"/>
  <c r="D1684" i="1"/>
  <c r="D1687" i="1"/>
  <c r="D1685" i="1"/>
  <c r="D1686" i="1"/>
  <c r="D1689" i="1"/>
  <c r="D1688" i="1"/>
  <c r="D1691" i="1"/>
  <c r="D1690" i="1"/>
  <c r="D1693" i="1"/>
  <c r="D1692" i="1"/>
  <c r="D1694" i="1"/>
  <c r="D1695" i="1"/>
  <c r="D1696" i="1"/>
  <c r="D1697" i="1"/>
  <c r="D1699" i="1"/>
  <c r="D1698" i="1"/>
  <c r="D1700" i="1"/>
  <c r="D1701" i="1"/>
  <c r="D1702" i="1"/>
  <c r="D1703" i="1"/>
  <c r="D1705" i="1"/>
  <c r="D1704" i="1"/>
  <c r="D1706" i="1"/>
  <c r="D1708" i="1"/>
  <c r="D1709" i="1"/>
  <c r="D1707" i="1"/>
  <c r="D1711" i="1"/>
  <c r="D1710" i="1"/>
  <c r="D1712" i="1"/>
  <c r="D1713" i="1"/>
  <c r="D1715" i="1"/>
  <c r="D1714" i="1"/>
  <c r="D1716" i="1"/>
  <c r="D1717" i="1"/>
  <c r="D1719" i="1"/>
  <c r="D1718" i="1"/>
  <c r="D1720" i="1"/>
  <c r="D1722" i="1"/>
  <c r="D1721" i="1"/>
  <c r="D1725" i="1"/>
  <c r="D1723" i="1"/>
  <c r="D1724" i="1"/>
  <c r="D1726" i="1"/>
  <c r="D1727" i="1"/>
  <c r="D1728" i="1"/>
  <c r="D1730" i="1"/>
  <c r="D1729" i="1"/>
  <c r="D1731" i="1"/>
  <c r="D1732" i="1"/>
  <c r="D1733" i="1"/>
  <c r="D1734" i="1"/>
  <c r="D1735" i="1"/>
  <c r="D1736" i="1"/>
  <c r="D1739" i="1"/>
  <c r="D1737" i="1"/>
  <c r="D1740" i="1"/>
  <c r="D1738" i="1"/>
  <c r="D1741" i="1"/>
  <c r="D1742" i="1"/>
  <c r="D1743" i="1"/>
  <c r="D1744" i="1"/>
  <c r="D1745" i="1"/>
  <c r="D1746" i="1"/>
  <c r="D1749" i="1"/>
  <c r="D1751" i="1"/>
  <c r="D1748" i="1"/>
  <c r="D1752" i="1"/>
  <c r="D1747" i="1"/>
  <c r="D1750" i="1"/>
  <c r="D1753" i="1"/>
  <c r="D1754" i="1"/>
  <c r="D1755" i="1"/>
  <c r="D1757" i="1"/>
  <c r="D1756" i="1"/>
  <c r="D1759" i="1"/>
  <c r="D1758" i="1"/>
  <c r="D1760" i="1"/>
  <c r="D1761" i="1"/>
  <c r="D1762" i="1"/>
  <c r="D1764" i="1"/>
  <c r="D1763" i="1"/>
  <c r="D1765" i="1"/>
  <c r="D1767" i="1"/>
  <c r="D1768" i="1"/>
  <c r="D1766" i="1"/>
  <c r="D1769" i="1"/>
  <c r="D1770" i="1"/>
  <c r="D1771" i="1"/>
  <c r="D1774" i="1"/>
  <c r="D1772" i="1"/>
  <c r="D1773" i="1"/>
  <c r="D1776" i="1"/>
  <c r="D1775" i="1"/>
  <c r="D1778" i="1"/>
  <c r="D1777" i="1"/>
  <c r="D1779" i="1"/>
  <c r="D1780" i="1"/>
  <c r="D1782" i="1"/>
  <c r="D1781" i="1"/>
  <c r="D1783" i="1"/>
  <c r="D1784" i="1"/>
  <c r="D1787" i="1"/>
  <c r="D1785" i="1"/>
  <c r="D1786" i="1"/>
  <c r="D1788" i="1"/>
  <c r="D1789" i="1"/>
  <c r="D1790" i="1"/>
  <c r="D1792" i="1"/>
  <c r="D1791" i="1"/>
  <c r="D1794" i="1"/>
  <c r="D1793" i="1"/>
  <c r="D1795" i="1"/>
  <c r="D1797" i="1"/>
  <c r="D1798" i="1"/>
  <c r="D1796" i="1"/>
  <c r="D1799" i="1"/>
  <c r="D1801" i="1"/>
  <c r="D1800" i="1"/>
  <c r="D1802" i="1"/>
  <c r="D1806" i="1"/>
  <c r="D1803" i="1"/>
  <c r="D1804" i="1"/>
  <c r="D1805" i="1"/>
  <c r="D1807" i="1"/>
  <c r="D1811" i="1"/>
  <c r="D1810" i="1"/>
  <c r="D1809" i="1"/>
  <c r="D1808" i="1"/>
  <c r="D1812" i="1"/>
  <c r="D1813" i="1"/>
  <c r="D1814" i="1"/>
  <c r="D1815" i="1"/>
  <c r="D1816" i="1"/>
  <c r="D1817" i="1"/>
  <c r="D1818" i="1"/>
  <c r="D1821" i="1"/>
  <c r="D1819" i="1"/>
  <c r="D1820" i="1"/>
  <c r="D1822" i="1"/>
  <c r="D1824" i="1"/>
  <c r="D1823" i="1"/>
  <c r="D1826" i="1"/>
  <c r="D1825" i="1"/>
  <c r="D1828" i="1"/>
  <c r="D1827" i="1"/>
  <c r="D1829" i="1"/>
  <c r="D1830" i="1"/>
  <c r="D1833" i="1"/>
  <c r="D1831" i="1"/>
  <c r="D1832" i="1"/>
  <c r="D1834" i="1"/>
  <c r="D1835" i="1"/>
  <c r="D1836" i="1"/>
  <c r="D1837" i="1"/>
  <c r="D1838" i="1"/>
  <c r="D1839" i="1"/>
  <c r="D1840" i="1"/>
  <c r="D1841" i="1"/>
  <c r="D1842" i="1"/>
  <c r="D1844" i="1"/>
  <c r="D1843" i="1"/>
  <c r="D1845" i="1"/>
  <c r="D1846" i="1"/>
  <c r="D1847" i="1"/>
  <c r="D1848" i="1"/>
  <c r="D1849" i="1"/>
  <c r="D1850" i="1"/>
  <c r="D1851" i="1"/>
  <c r="D1852" i="1"/>
  <c r="D1853" i="1"/>
  <c r="D1854" i="1"/>
  <c r="D1857" i="1"/>
  <c r="D1855" i="1"/>
  <c r="D1856" i="1"/>
  <c r="D1858" i="1"/>
  <c r="D1859" i="1"/>
  <c r="D1860" i="1"/>
  <c r="D1862" i="1"/>
  <c r="D1861" i="1"/>
  <c r="D1863" i="1"/>
  <c r="D1865" i="1"/>
  <c r="D1864" i="1"/>
  <c r="D1866" i="1"/>
  <c r="D1867" i="1"/>
  <c r="D1868" i="1"/>
  <c r="D1871" i="1"/>
  <c r="D1872" i="1"/>
  <c r="D1870" i="1"/>
  <c r="D1869" i="1"/>
  <c r="D1873" i="1"/>
  <c r="D1874" i="1"/>
  <c r="D1875" i="1"/>
  <c r="D1878" i="1"/>
  <c r="D1877" i="1"/>
  <c r="D1876" i="1"/>
  <c r="D1879" i="1"/>
  <c r="D1880" i="1"/>
  <c r="D1881" i="1"/>
  <c r="D1882" i="1"/>
  <c r="D1885" i="1"/>
  <c r="D1883" i="1"/>
  <c r="D1884" i="1"/>
  <c r="D1886" i="1"/>
  <c r="D1887" i="1"/>
  <c r="D1888" i="1"/>
  <c r="D1890" i="1"/>
  <c r="D1889" i="1"/>
  <c r="D1891" i="1"/>
  <c r="D1892" i="1"/>
  <c r="D1894" i="1"/>
  <c r="D1893" i="1"/>
  <c r="D1897" i="1"/>
  <c r="D1895" i="1"/>
  <c r="D1898" i="1"/>
  <c r="D1896" i="1"/>
  <c r="D1899" i="1"/>
  <c r="D1901" i="1"/>
  <c r="D1900" i="1"/>
  <c r="D1902" i="1"/>
  <c r="D1905" i="1"/>
  <c r="D1903" i="1"/>
  <c r="D1904" i="1"/>
  <c r="D1907" i="1"/>
  <c r="D1906" i="1"/>
  <c r="D1909" i="1"/>
  <c r="D1908" i="1"/>
  <c r="D1910" i="1"/>
  <c r="D1912" i="1"/>
  <c r="D1911" i="1"/>
  <c r="D1914" i="1"/>
  <c r="D1913" i="1"/>
  <c r="D1916" i="1"/>
  <c r="D1915" i="1"/>
  <c r="D1917" i="1"/>
  <c r="D1918" i="1"/>
  <c r="D1921" i="1"/>
  <c r="D1919" i="1"/>
  <c r="D1920" i="1"/>
  <c r="D1922" i="1"/>
  <c r="D1923" i="1"/>
  <c r="D1924" i="1"/>
  <c r="D1925" i="1"/>
  <c r="D1926" i="1"/>
  <c r="D1927" i="1"/>
  <c r="D1929" i="1"/>
  <c r="D1930" i="1"/>
  <c r="D1928" i="1"/>
  <c r="D1933" i="1"/>
  <c r="D1931" i="1"/>
  <c r="D1932" i="1"/>
  <c r="D1934" i="1"/>
  <c r="D1937" i="1"/>
  <c r="D1936" i="1"/>
  <c r="D1935" i="1"/>
  <c r="D1938" i="1"/>
  <c r="D1939" i="1"/>
  <c r="D1940" i="1"/>
  <c r="D1941" i="1"/>
  <c r="D1942" i="1"/>
  <c r="D1944" i="1"/>
  <c r="D1945" i="1"/>
  <c r="D1943" i="1"/>
  <c r="D1946" i="1"/>
  <c r="D1947" i="1"/>
  <c r="D1948" i="1"/>
  <c r="D1949" i="1"/>
  <c r="D1950" i="1"/>
  <c r="D1951" i="1"/>
  <c r="D1952" i="1"/>
  <c r="D1953" i="1"/>
  <c r="D1955" i="1"/>
  <c r="D1954" i="1"/>
  <c r="D1956" i="1"/>
  <c r="D1957" i="1"/>
  <c r="D1960" i="1"/>
  <c r="D1959" i="1"/>
  <c r="D1961" i="1"/>
  <c r="D1958" i="1"/>
  <c r="D1962" i="1"/>
  <c r="D1963" i="1"/>
  <c r="D1964" i="1"/>
  <c r="D1966" i="1"/>
  <c r="D1965" i="1"/>
  <c r="D1967" i="1"/>
  <c r="D1969" i="1"/>
  <c r="D1968" i="1"/>
  <c r="D1970" i="1"/>
  <c r="D1971" i="1"/>
  <c r="D1973" i="1"/>
  <c r="D1972" i="1"/>
  <c r="D1974" i="1"/>
  <c r="D1975" i="1"/>
  <c r="D1977" i="1"/>
  <c r="D1979" i="1"/>
  <c r="D1976" i="1"/>
  <c r="D1978" i="1"/>
  <c r="D1980" i="1"/>
  <c r="D1982" i="1"/>
  <c r="D1981" i="1"/>
  <c r="D1983" i="1"/>
  <c r="D1984" i="1"/>
  <c r="D1985" i="1"/>
  <c r="D1986" i="1"/>
  <c r="D1987" i="1"/>
  <c r="D1988" i="1"/>
  <c r="D1990" i="1"/>
  <c r="D1989" i="1"/>
  <c r="D1991" i="1"/>
  <c r="D1992" i="1"/>
  <c r="D1994" i="1"/>
  <c r="D1993" i="1"/>
  <c r="D1996" i="1"/>
  <c r="D1995" i="1"/>
  <c r="D1997" i="1"/>
  <c r="D1999" i="1"/>
  <c r="D1998" i="1"/>
  <c r="D2000" i="1"/>
  <c r="D2001" i="1"/>
  <c r="D2002" i="1"/>
  <c r="D2004" i="1"/>
  <c r="D2003" i="1"/>
  <c r="D2006" i="1"/>
  <c r="D2005" i="1"/>
  <c r="D2007" i="1"/>
  <c r="D2008" i="1"/>
  <c r="D2009" i="1"/>
  <c r="D2010" i="1"/>
  <c r="D2012" i="1"/>
  <c r="D2011" i="1"/>
  <c r="D2013" i="1"/>
  <c r="D2014" i="1"/>
  <c r="D2015" i="1"/>
  <c r="D2016" i="1"/>
  <c r="D2018" i="1"/>
  <c r="D2017" i="1"/>
  <c r="D2019" i="1"/>
  <c r="D2020" i="1"/>
  <c r="D2022" i="1"/>
  <c r="D2021" i="1"/>
  <c r="D2023" i="1"/>
  <c r="D2024" i="1"/>
  <c r="D2026" i="1"/>
  <c r="D2025" i="1"/>
  <c r="D2027" i="1"/>
  <c r="D2028" i="1"/>
  <c r="D2029" i="1"/>
  <c r="D2031" i="1"/>
  <c r="D2030" i="1"/>
  <c r="D2032" i="1"/>
  <c r="D2033" i="1"/>
  <c r="D2034" i="1"/>
  <c r="D2036" i="1"/>
  <c r="D2035" i="1"/>
  <c r="D2038" i="1"/>
  <c r="D2037" i="1"/>
  <c r="D2039" i="1"/>
  <c r="D2041" i="1"/>
  <c r="D2040" i="1"/>
  <c r="D2042" i="1"/>
  <c r="D2043" i="1"/>
  <c r="D2045" i="1"/>
  <c r="D2044" i="1"/>
  <c r="D2046" i="1"/>
  <c r="D2047" i="1"/>
  <c r="D2050" i="1"/>
  <c r="D2052" i="1"/>
  <c r="D2049" i="1"/>
  <c r="D2048" i="1"/>
  <c r="D2051" i="1"/>
  <c r="D2053" i="1"/>
  <c r="D2054" i="1"/>
  <c r="D2057" i="1"/>
  <c r="D2055" i="1"/>
  <c r="D2056" i="1"/>
  <c r="D2058" i="1"/>
  <c r="D2059" i="1"/>
  <c r="D2062" i="1"/>
  <c r="D2061" i="1"/>
  <c r="D2060" i="1"/>
  <c r="D2068" i="1"/>
  <c r="D2066" i="1"/>
  <c r="D2067" i="1"/>
  <c r="D2063" i="1"/>
  <c r="D2065" i="1"/>
  <c r="D2064" i="1"/>
  <c r="D2069" i="1"/>
  <c r="D2070" i="1"/>
  <c r="D2071" i="1"/>
  <c r="D2072" i="1"/>
  <c r="D2073" i="1"/>
  <c r="D2074" i="1"/>
  <c r="D2075" i="1"/>
  <c r="D2076" i="1"/>
  <c r="D2077" i="1"/>
  <c r="D2080" i="1"/>
  <c r="D2078" i="1"/>
  <c r="D2081" i="1"/>
  <c r="D2079" i="1"/>
  <c r="D2082" i="1"/>
  <c r="D2084" i="1"/>
  <c r="D2083" i="1"/>
  <c r="D2086" i="1"/>
  <c r="D2085" i="1"/>
  <c r="D2088" i="1"/>
  <c r="D2087" i="1"/>
  <c r="D2089" i="1"/>
  <c r="D2090" i="1"/>
  <c r="D2091" i="1"/>
  <c r="D2093" i="1"/>
  <c r="D2092" i="1"/>
  <c r="D2094" i="1"/>
  <c r="D2097" i="1"/>
  <c r="D2095" i="1"/>
  <c r="D2096" i="1"/>
  <c r="D2098" i="1"/>
  <c r="D2099" i="1"/>
  <c r="D2100" i="1"/>
  <c r="D2101" i="1"/>
  <c r="D2103" i="1"/>
  <c r="D2102" i="1"/>
  <c r="D2104" i="1"/>
  <c r="D2105" i="1"/>
  <c r="D2106" i="1"/>
  <c r="D2107" i="1"/>
  <c r="D2108" i="1"/>
  <c r="D2109" i="1"/>
  <c r="D2110" i="1"/>
  <c r="D2112" i="1"/>
  <c r="D2111" i="1"/>
  <c r="D2113" i="1"/>
  <c r="D2114" i="1"/>
  <c r="D2116" i="1"/>
  <c r="D2115" i="1"/>
  <c r="D2118" i="1"/>
  <c r="D2117" i="1"/>
  <c r="D2119" i="1"/>
  <c r="D2121" i="1"/>
  <c r="D2120" i="1"/>
  <c r="D2123" i="1"/>
  <c r="D2122" i="1"/>
  <c r="D2127" i="1"/>
  <c r="D2126" i="1"/>
  <c r="D2128" i="1"/>
  <c r="D2124" i="1"/>
  <c r="D2125" i="1"/>
  <c r="D2130" i="1"/>
  <c r="D2129" i="1"/>
  <c r="D2131" i="1"/>
  <c r="D2132" i="1"/>
  <c r="D2133" i="1"/>
  <c r="D2136" i="1"/>
  <c r="D2137" i="1"/>
  <c r="D2135" i="1"/>
  <c r="D2134" i="1"/>
  <c r="D2139" i="1"/>
  <c r="D2138" i="1"/>
  <c r="D2140" i="1"/>
  <c r="D2142" i="1"/>
  <c r="D2141" i="1"/>
  <c r="D2143" i="1"/>
  <c r="D2144" i="1"/>
  <c r="D2145" i="1"/>
  <c r="D2146" i="1"/>
  <c r="D2147" i="1"/>
  <c r="D2149" i="1"/>
  <c r="D2150" i="1"/>
  <c r="D2148" i="1"/>
  <c r="D2151" i="1"/>
  <c r="D2152" i="1"/>
  <c r="D2153" i="1"/>
  <c r="D2154" i="1"/>
  <c r="D2155" i="1"/>
  <c r="D2157" i="1"/>
  <c r="D2158" i="1"/>
  <c r="D2159" i="1"/>
  <c r="D2156" i="1"/>
  <c r="D2160" i="1"/>
  <c r="D2161" i="1"/>
  <c r="D2162" i="1"/>
  <c r="D2163" i="1"/>
  <c r="D2164" i="1"/>
  <c r="D2165" i="1"/>
  <c r="D2167" i="1"/>
  <c r="D2166" i="1"/>
  <c r="D2168" i="1"/>
  <c r="D2171" i="1"/>
  <c r="D2170" i="1"/>
  <c r="D2169" i="1"/>
  <c r="D2173" i="1"/>
  <c r="D2172" i="1"/>
  <c r="D2174" i="1"/>
  <c r="D2176" i="1"/>
  <c r="D2175" i="1"/>
  <c r="D2177" i="1"/>
  <c r="D2179" i="1"/>
  <c r="D2178" i="1"/>
  <c r="D2180" i="1"/>
  <c r="D2183" i="1"/>
  <c r="D2184" i="1"/>
  <c r="D2182" i="1"/>
  <c r="D2181" i="1"/>
  <c r="D2185" i="1"/>
  <c r="D2187" i="1"/>
  <c r="D2186" i="1"/>
  <c r="D2188" i="1"/>
  <c r="D2190" i="1"/>
  <c r="D2189" i="1"/>
  <c r="D2191" i="1"/>
  <c r="D2192" i="1"/>
  <c r="D2193" i="1"/>
  <c r="D2194" i="1"/>
  <c r="D2195" i="1"/>
  <c r="D2198" i="1"/>
  <c r="D2197" i="1"/>
  <c r="D2196" i="1"/>
  <c r="D2200" i="1"/>
  <c r="D2199" i="1"/>
  <c r="D2202" i="1"/>
  <c r="D2201" i="1"/>
  <c r="D2203" i="1"/>
  <c r="D2204" i="1"/>
  <c r="D2205" i="1"/>
  <c r="D2209" i="1"/>
  <c r="D2211" i="1"/>
  <c r="D2206" i="1"/>
  <c r="D2207" i="1"/>
  <c r="D2208" i="1"/>
  <c r="D2212" i="1"/>
  <c r="D2210" i="1"/>
  <c r="D2213" i="1"/>
  <c r="D2214" i="1"/>
  <c r="D2215" i="1"/>
  <c r="D2218" i="1"/>
  <c r="D2216" i="1"/>
  <c r="D2217" i="1"/>
  <c r="D2220" i="1"/>
  <c r="D2219" i="1"/>
  <c r="D2221" i="1"/>
  <c r="D2222" i="1"/>
  <c r="D2223" i="1"/>
  <c r="D2224" i="1"/>
  <c r="D2227" i="1"/>
  <c r="D2226" i="1"/>
  <c r="D2225" i="1"/>
  <c r="D2228" i="1"/>
  <c r="D2229" i="1"/>
  <c r="D2230" i="1"/>
  <c r="D2231" i="1"/>
  <c r="D2233" i="1"/>
  <c r="D2232" i="1"/>
  <c r="D2234" i="1"/>
  <c r="D2236" i="1"/>
  <c r="D2235" i="1"/>
  <c r="D2237" i="1"/>
  <c r="D2238" i="1"/>
  <c r="D2240" i="1"/>
  <c r="D2239" i="1"/>
  <c r="D2242" i="1"/>
  <c r="D2241" i="1"/>
  <c r="D2243" i="1"/>
  <c r="D2245" i="1"/>
  <c r="D2244" i="1"/>
  <c r="D2246" i="1"/>
  <c r="D2248" i="1"/>
  <c r="D2247" i="1"/>
  <c r="D2249" i="1"/>
  <c r="D2250" i="1"/>
  <c r="D2251" i="1"/>
  <c r="D2252" i="1"/>
  <c r="D2253" i="1"/>
  <c r="D2255" i="1"/>
  <c r="D2254" i="1"/>
  <c r="D2256" i="1"/>
  <c r="D2257" i="1"/>
  <c r="D2258" i="1"/>
  <c r="D2259" i="1"/>
  <c r="D2261" i="1"/>
  <c r="D2260" i="1"/>
  <c r="D2262" i="1"/>
  <c r="D2263" i="1"/>
  <c r="D2264" i="1"/>
  <c r="D2265" i="1"/>
  <c r="D2266" i="1"/>
  <c r="D2267" i="1"/>
  <c r="D2268" i="1"/>
  <c r="D2269" i="1"/>
  <c r="D2270" i="1"/>
  <c r="D2271" i="1"/>
  <c r="D2272" i="1"/>
  <c r="D2273" i="1"/>
  <c r="D2274" i="1"/>
  <c r="D2277" i="1"/>
  <c r="D2275" i="1"/>
  <c r="D2276" i="1"/>
  <c r="D2278" i="1"/>
  <c r="D2280" i="1"/>
  <c r="D2279" i="1"/>
  <c r="D2281" i="1"/>
  <c r="D2283" i="1"/>
  <c r="D2282" i="1"/>
  <c r="D2284" i="1"/>
  <c r="D2285" i="1"/>
  <c r="D2286" i="1"/>
  <c r="D2287" i="1"/>
  <c r="D2289" i="1"/>
  <c r="D2288" i="1"/>
  <c r="D2290" i="1"/>
  <c r="D2291" i="1"/>
  <c r="D2292" i="1"/>
  <c r="D2294" i="1"/>
  <c r="D2295" i="1"/>
  <c r="D2293" i="1"/>
  <c r="D2296" i="1"/>
  <c r="D2297" i="1"/>
  <c r="D2298" i="1"/>
  <c r="D2300" i="1"/>
  <c r="D2299" i="1"/>
  <c r="D2301" i="1"/>
  <c r="D2302" i="1"/>
  <c r="D2304" i="1"/>
  <c r="D2303" i="1"/>
  <c r="D2305" i="1"/>
  <c r="D2306" i="1"/>
  <c r="D2307" i="1"/>
  <c r="D2308" i="1"/>
  <c r="D2313" i="1"/>
  <c r="D2309" i="1"/>
  <c r="D2310" i="1"/>
  <c r="D2312" i="1"/>
  <c r="D2311" i="1"/>
  <c r="D2315" i="1"/>
  <c r="D2314" i="1"/>
  <c r="D2316" i="1"/>
  <c r="D2317" i="1"/>
  <c r="D2318" i="1"/>
  <c r="D2319" i="1"/>
  <c r="D2320" i="1"/>
  <c r="D2322" i="1"/>
  <c r="D2321" i="1"/>
  <c r="D2323" i="1"/>
  <c r="D2324" i="1"/>
  <c r="D2325" i="1"/>
  <c r="D2326" i="1"/>
  <c r="D2327" i="1"/>
  <c r="D2328" i="1"/>
  <c r="D2329" i="1"/>
  <c r="D2330" i="1"/>
  <c r="D2331" i="1"/>
  <c r="D2332" i="1"/>
  <c r="D2333" i="1"/>
  <c r="D2335" i="1"/>
  <c r="D2334" i="1"/>
  <c r="D2337" i="1"/>
  <c r="D2336" i="1"/>
  <c r="D2338" i="1"/>
  <c r="D2339" i="1"/>
  <c r="D2340" i="1"/>
  <c r="D2341" i="1"/>
  <c r="D2342" i="1"/>
  <c r="D2345" i="1"/>
  <c r="D2344" i="1"/>
  <c r="D2343" i="1"/>
  <c r="D2346" i="1"/>
  <c r="D2347" i="1"/>
  <c r="D2348" i="1"/>
  <c r="D2349" i="1"/>
  <c r="D2350" i="1"/>
  <c r="D2351" i="1"/>
  <c r="D2352" i="1"/>
  <c r="D2353" i="1"/>
  <c r="D2354" i="1"/>
  <c r="D2356" i="1"/>
  <c r="D2355" i="1"/>
  <c r="D2358" i="1"/>
  <c r="D2360" i="1"/>
  <c r="D2359" i="1"/>
  <c r="D2357" i="1"/>
  <c r="D2362" i="1"/>
  <c r="D2361" i="1"/>
  <c r="D2363" i="1"/>
  <c r="D2364" i="1"/>
  <c r="D2366" i="1"/>
  <c r="D2367" i="1"/>
  <c r="D2365" i="1"/>
  <c r="D2368" i="1"/>
  <c r="D2370" i="1"/>
  <c r="D2369" i="1"/>
  <c r="D2371" i="1"/>
  <c r="D2372" i="1"/>
  <c r="D2374" i="1"/>
  <c r="D2373" i="1"/>
  <c r="D2376" i="1"/>
  <c r="D2375" i="1"/>
  <c r="D2377" i="1"/>
  <c r="D2378" i="1"/>
  <c r="D2379" i="1"/>
  <c r="D2380" i="1"/>
  <c r="D2382" i="1"/>
  <c r="D2381" i="1"/>
  <c r="D2385" i="1"/>
  <c r="D2383" i="1"/>
  <c r="D2384" i="1"/>
  <c r="D2386" i="1"/>
  <c r="D2387" i="1"/>
  <c r="D2388" i="1"/>
  <c r="D2390" i="1"/>
  <c r="D2389" i="1"/>
  <c r="D2393" i="1"/>
  <c r="D2391" i="1"/>
  <c r="D2392" i="1"/>
  <c r="D2395" i="1"/>
  <c r="D2396" i="1"/>
  <c r="D2397" i="1"/>
  <c r="D2394" i="1"/>
  <c r="D2398" i="1"/>
  <c r="D2400" i="1"/>
  <c r="D2399" i="1"/>
  <c r="D2402" i="1"/>
  <c r="D2401" i="1"/>
  <c r="D2403" i="1"/>
  <c r="D2404" i="1"/>
  <c r="D2405" i="1"/>
  <c r="D2406" i="1"/>
  <c r="D2407" i="1"/>
  <c r="D2408" i="1"/>
  <c r="D2409" i="1"/>
  <c r="D2411" i="1"/>
  <c r="D2410" i="1"/>
  <c r="D2412" i="1"/>
  <c r="D2413" i="1"/>
  <c r="D2414" i="1"/>
  <c r="D2415" i="1"/>
  <c r="D2417" i="1"/>
  <c r="D2416" i="1"/>
  <c r="D2418" i="1"/>
  <c r="D2420" i="1"/>
  <c r="D2419" i="1"/>
  <c r="D2421" i="1"/>
  <c r="D2422" i="1"/>
  <c r="D2423" i="1"/>
  <c r="D2425" i="1"/>
  <c r="D2424" i="1"/>
  <c r="D2426" i="1"/>
  <c r="D2427" i="1"/>
  <c r="D2428" i="1"/>
  <c r="D2429" i="1"/>
  <c r="D2431" i="1"/>
  <c r="D2430" i="1"/>
  <c r="D2432" i="1"/>
  <c r="D2433" i="1"/>
  <c r="D2435" i="1"/>
  <c r="D2434" i="1"/>
  <c r="D2437" i="1"/>
  <c r="D2436" i="1"/>
  <c r="D2440" i="1"/>
  <c r="D2438" i="1"/>
  <c r="D2441" i="1"/>
  <c r="D2439" i="1"/>
  <c r="D2444" i="1"/>
  <c r="D2442" i="1"/>
  <c r="D2443" i="1"/>
  <c r="D2446" i="1"/>
  <c r="D2445" i="1"/>
  <c r="D2447" i="1"/>
  <c r="D2448" i="1"/>
  <c r="D2450" i="1"/>
  <c r="D2449" i="1"/>
  <c r="D2451" i="1"/>
  <c r="D2452" i="1"/>
  <c r="D2455" i="1"/>
  <c r="D2453" i="1"/>
  <c r="D2454" i="1"/>
  <c r="D2457" i="1"/>
  <c r="D2456" i="1"/>
  <c r="D2458" i="1"/>
  <c r="D2459" i="1"/>
  <c r="D2460" i="1"/>
  <c r="D2461" i="1"/>
  <c r="D2463" i="1"/>
  <c r="D2462" i="1"/>
  <c r="D2465" i="1"/>
  <c r="D2464" i="1"/>
  <c r="D2466" i="1"/>
  <c r="D2467" i="1"/>
  <c r="D2469" i="1"/>
  <c r="D2468" i="1"/>
  <c r="D2470" i="1"/>
  <c r="D2471" i="1"/>
  <c r="D2472" i="1"/>
  <c r="D2473" i="1"/>
  <c r="D2474" i="1"/>
  <c r="D2475" i="1"/>
  <c r="D2476" i="1"/>
  <c r="D2477" i="1"/>
  <c r="D2478" i="1"/>
  <c r="D2480" i="1"/>
  <c r="D2479" i="1"/>
  <c r="D2481" i="1"/>
  <c r="D2484" i="1"/>
  <c r="D2482" i="1"/>
  <c r="D2485" i="1"/>
  <c r="D2483" i="1"/>
  <c r="D2486" i="1"/>
  <c r="D2488" i="1"/>
  <c r="D2489" i="1"/>
  <c r="D2487" i="1"/>
  <c r="D2490" i="1"/>
  <c r="D2493" i="1"/>
  <c r="D2492" i="1"/>
  <c r="D2491" i="1"/>
  <c r="D2494" i="1"/>
  <c r="D2496" i="1"/>
  <c r="D2495" i="1"/>
  <c r="D2497" i="1"/>
  <c r="D2498" i="1"/>
  <c r="D2500" i="1"/>
  <c r="D2499" i="1"/>
  <c r="D2501" i="1"/>
  <c r="D2502" i="1"/>
  <c r="D2503" i="1"/>
  <c r="D2504" i="1"/>
  <c r="D2505" i="1"/>
  <c r="D2506" i="1"/>
  <c r="D2507" i="1"/>
  <c r="D2508" i="1"/>
  <c r="D2510" i="1"/>
  <c r="D2509" i="1"/>
  <c r="D2511" i="1"/>
  <c r="D2513" i="1"/>
  <c r="D2512" i="1"/>
  <c r="D2514" i="1"/>
  <c r="D2515" i="1"/>
  <c r="D2516" i="1"/>
  <c r="D2517" i="1"/>
  <c r="D2518" i="1"/>
  <c r="D2519" i="1"/>
  <c r="D2520" i="1"/>
  <c r="D2521" i="1"/>
  <c r="D2523" i="1"/>
  <c r="D2522" i="1"/>
  <c r="D2524" i="1"/>
  <c r="D2525" i="1"/>
  <c r="D2526" i="1"/>
  <c r="D2528" i="1"/>
  <c r="D2527" i="1"/>
  <c r="D2530" i="1"/>
  <c r="D2531" i="1"/>
  <c r="D2529" i="1"/>
  <c r="D2532" i="1"/>
  <c r="D2533" i="1"/>
  <c r="D2534" i="1"/>
  <c r="D2535" i="1"/>
  <c r="D2536" i="1"/>
  <c r="D2537" i="1"/>
  <c r="D2539" i="1"/>
  <c r="D2538" i="1"/>
  <c r="D2540" i="1"/>
  <c r="D2541" i="1"/>
  <c r="D2542" i="1"/>
  <c r="D2544" i="1"/>
  <c r="D2543" i="1"/>
  <c r="D2545" i="1"/>
  <c r="D2546" i="1"/>
  <c r="D2549" i="1"/>
  <c r="D2548" i="1"/>
  <c r="D2547" i="1"/>
  <c r="D2551" i="1"/>
  <c r="D2552" i="1"/>
  <c r="D2550" i="1"/>
  <c r="D2553" i="1"/>
  <c r="D2554" i="1"/>
  <c r="D2555" i="1"/>
  <c r="D2557" i="1"/>
  <c r="D2558" i="1"/>
  <c r="D2556" i="1"/>
  <c r="D2559" i="1"/>
  <c r="D2561" i="1"/>
  <c r="D2560" i="1"/>
  <c r="D2562" i="1"/>
  <c r="D2565" i="1"/>
  <c r="D2564" i="1"/>
  <c r="D2563" i="1"/>
  <c r="D2566" i="1"/>
  <c r="D2567" i="1"/>
  <c r="D2568" i="1"/>
  <c r="D2569" i="1"/>
  <c r="D2570" i="1"/>
  <c r="D2572" i="1"/>
  <c r="D2571" i="1"/>
  <c r="D2573" i="1"/>
  <c r="D2574" i="1"/>
  <c r="D2575" i="1"/>
  <c r="D2576" i="1"/>
  <c r="D2577" i="1"/>
  <c r="D2578" i="1"/>
  <c r="D2579" i="1"/>
  <c r="D2580" i="1"/>
  <c r="D2581" i="1"/>
  <c r="D2582" i="1"/>
  <c r="D2583" i="1"/>
  <c r="D2584" i="1"/>
  <c r="D2585" i="1"/>
  <c r="D2586" i="1"/>
  <c r="D2587" i="1"/>
  <c r="D2588" i="1"/>
  <c r="D2589" i="1"/>
  <c r="D2590" i="1"/>
  <c r="D2591" i="1"/>
  <c r="D2592" i="1"/>
  <c r="D2593" i="1"/>
  <c r="D2594" i="1"/>
  <c r="D2595" i="1"/>
  <c r="D2597" i="1"/>
  <c r="D2596" i="1"/>
  <c r="D2599" i="1"/>
  <c r="D2600" i="1"/>
  <c r="D2601" i="1"/>
  <c r="D2598" i="1"/>
  <c r="D2602" i="1"/>
  <c r="D2603" i="1"/>
  <c r="D2604" i="1"/>
  <c r="D2606" i="1"/>
  <c r="D2605" i="1"/>
  <c r="D2608" i="1"/>
  <c r="D2607" i="1"/>
  <c r="D2609" i="1"/>
  <c r="D2610" i="1"/>
  <c r="D2611" i="1"/>
  <c r="D2614" i="1"/>
  <c r="D2613" i="1"/>
  <c r="D2612" i="1"/>
  <c r="D2615" i="1"/>
  <c r="D2617" i="1"/>
  <c r="D2616" i="1"/>
  <c r="D2618" i="1"/>
  <c r="D2619" i="1"/>
  <c r="D2620" i="1"/>
  <c r="D2621" i="1"/>
  <c r="D2622" i="1"/>
  <c r="D2626" i="1"/>
  <c r="D2624" i="1"/>
  <c r="D2623" i="1"/>
  <c r="D2627" i="1"/>
  <c r="D2625" i="1"/>
  <c r="D2628" i="1"/>
  <c r="D2629" i="1"/>
  <c r="D2631" i="1"/>
  <c r="D2630" i="1"/>
  <c r="D2632" i="1"/>
  <c r="D2633" i="1"/>
  <c r="D2634" i="1"/>
  <c r="D2635" i="1"/>
  <c r="D2637" i="1"/>
  <c r="D2638" i="1"/>
  <c r="D2636" i="1"/>
  <c r="D2639" i="1"/>
  <c r="D2641" i="1"/>
  <c r="D2642" i="1"/>
  <c r="D2640" i="1"/>
  <c r="D2643" i="1"/>
  <c r="D2644" i="1"/>
  <c r="D2645" i="1"/>
  <c r="D2646" i="1"/>
  <c r="D2647" i="1"/>
  <c r="D2648" i="1"/>
  <c r="D2649" i="1"/>
  <c r="D2651" i="1"/>
  <c r="D2652" i="1"/>
  <c r="D2650" i="1"/>
  <c r="D2653" i="1"/>
  <c r="D2654" i="1"/>
  <c r="D2656" i="1"/>
  <c r="D2657" i="1"/>
  <c r="D2655" i="1"/>
  <c r="D2658" i="1"/>
  <c r="D2659" i="1"/>
  <c r="D2660" i="1"/>
  <c r="D2661" i="1"/>
  <c r="D2662" i="1"/>
  <c r="D2663" i="1"/>
  <c r="D2666" i="1"/>
  <c r="D2665" i="1"/>
  <c r="D2664" i="1"/>
  <c r="D2667" i="1"/>
  <c r="D2668" i="1"/>
  <c r="D2670" i="1"/>
  <c r="D2672" i="1"/>
  <c r="D2671" i="1"/>
  <c r="D2669" i="1"/>
  <c r="D2674" i="1"/>
  <c r="D2673" i="1"/>
  <c r="D2675" i="1"/>
  <c r="D2676" i="1"/>
  <c r="D2677" i="1"/>
  <c r="D2678" i="1"/>
  <c r="D2679" i="1"/>
  <c r="D2680" i="1"/>
  <c r="D2681" i="1"/>
  <c r="D2682" i="1"/>
  <c r="D2683" i="1"/>
  <c r="D2685" i="1"/>
  <c r="D2684" i="1"/>
  <c r="D2687" i="1"/>
  <c r="D2688" i="1"/>
  <c r="D2686" i="1"/>
  <c r="D2690" i="1"/>
  <c r="D2689" i="1"/>
  <c r="D2691" i="1"/>
  <c r="D2692" i="1"/>
  <c r="D2693" i="1"/>
  <c r="D2694" i="1"/>
  <c r="D2695" i="1"/>
  <c r="D2696" i="1"/>
  <c r="D2697" i="1"/>
  <c r="D2699" i="1"/>
  <c r="D2698" i="1"/>
  <c r="D2700" i="1"/>
  <c r="D2701" i="1"/>
  <c r="D2702" i="1"/>
  <c r="D2704" i="1"/>
  <c r="D2705" i="1"/>
  <c r="D2706" i="1"/>
  <c r="D2703" i="1"/>
  <c r="D2707" i="1"/>
  <c r="D2709" i="1"/>
  <c r="D2710" i="1"/>
  <c r="D2708" i="1"/>
  <c r="D2711" i="1"/>
  <c r="D2712" i="1"/>
  <c r="D2713" i="1"/>
  <c r="D2714" i="1"/>
  <c r="D2719" i="1"/>
  <c r="D2716" i="1"/>
  <c r="D2718" i="1"/>
  <c r="D2715" i="1"/>
  <c r="D2717" i="1"/>
  <c r="D2721" i="1"/>
  <c r="D2722" i="1"/>
  <c r="D2720" i="1"/>
  <c r="D2723" i="1"/>
  <c r="D2724" i="1"/>
  <c r="D2726" i="1"/>
  <c r="D2725" i="1"/>
  <c r="D2728" i="1"/>
  <c r="D2727" i="1"/>
  <c r="D2729" i="1"/>
  <c r="D2731" i="1"/>
  <c r="D2732" i="1"/>
  <c r="D2730" i="1"/>
  <c r="D2734" i="1"/>
  <c r="D2733" i="1"/>
  <c r="D2736" i="1"/>
  <c r="D2735" i="1"/>
  <c r="D2739" i="1"/>
  <c r="D2738" i="1"/>
  <c r="D2737" i="1"/>
  <c r="D2740" i="1"/>
  <c r="D2741" i="1"/>
  <c r="D2743" i="1"/>
  <c r="D2742" i="1"/>
  <c r="D2744" i="1"/>
  <c r="D2745" i="1"/>
  <c r="D2746" i="1"/>
  <c r="D2747" i="1"/>
  <c r="D2748" i="1"/>
  <c r="D2749" i="1"/>
  <c r="D2751" i="1"/>
  <c r="D2750" i="1"/>
  <c r="D2752" i="1"/>
  <c r="D2755" i="1"/>
  <c r="D2754" i="1"/>
  <c r="D2753" i="1"/>
  <c r="D2756" i="1"/>
  <c r="D2757" i="1"/>
  <c r="D2758" i="1"/>
  <c r="D2759" i="1"/>
  <c r="D2760" i="1"/>
  <c r="D2763" i="1"/>
  <c r="D2762" i="1"/>
  <c r="D2761" i="1"/>
  <c r="D2764" i="1"/>
  <c r="D2767" i="1"/>
  <c r="D2765" i="1"/>
  <c r="D2766" i="1"/>
  <c r="D2768" i="1"/>
  <c r="D2769" i="1"/>
  <c r="D2771" i="1"/>
  <c r="D2770" i="1"/>
  <c r="D2773" i="1"/>
  <c r="D2772" i="1"/>
  <c r="D2774" i="1"/>
  <c r="D2778" i="1"/>
  <c r="D2775" i="1"/>
  <c r="D2776" i="1"/>
  <c r="D2777" i="1"/>
  <c r="D2779" i="1"/>
  <c r="D2780" i="1"/>
  <c r="D2781" i="1"/>
  <c r="D2782" i="1"/>
  <c r="D2783" i="1"/>
  <c r="D2785" i="1"/>
  <c r="D2784" i="1"/>
  <c r="D2786" i="1"/>
  <c r="D2787" i="1"/>
  <c r="D2788" i="1"/>
  <c r="D2791" i="1"/>
  <c r="D2790" i="1"/>
  <c r="D2789" i="1"/>
  <c r="D2793" i="1"/>
  <c r="D2792" i="1"/>
  <c r="D2796" i="1"/>
  <c r="D2795" i="1"/>
  <c r="D2794" i="1"/>
  <c r="D2797" i="1"/>
  <c r="D2798" i="1"/>
  <c r="D2800" i="1"/>
  <c r="D2799" i="1"/>
  <c r="D2802" i="1"/>
  <c r="D2801" i="1"/>
  <c r="D2804" i="1"/>
  <c r="D2803" i="1"/>
  <c r="D2805" i="1"/>
  <c r="D2806" i="1"/>
  <c r="D2807" i="1"/>
  <c r="D2809" i="1"/>
  <c r="D2808" i="1"/>
  <c r="D2810" i="1"/>
  <c r="D2811" i="1"/>
  <c r="D2812" i="1"/>
  <c r="D2813" i="1"/>
  <c r="D2815" i="1"/>
  <c r="D2814" i="1"/>
  <c r="D2816" i="1"/>
  <c r="D2818" i="1"/>
  <c r="D2817" i="1"/>
  <c r="D2819" i="1"/>
  <c r="D2820" i="1"/>
  <c r="D2821" i="1"/>
  <c r="D2822" i="1"/>
  <c r="D2824" i="1"/>
  <c r="D2823" i="1"/>
  <c r="D2825" i="1"/>
  <c r="D2826" i="1"/>
  <c r="D2827" i="1"/>
  <c r="D2829" i="1"/>
  <c r="D2828" i="1"/>
  <c r="D2830" i="1"/>
  <c r="D2831" i="1"/>
  <c r="D2832" i="1"/>
  <c r="D2833" i="1"/>
  <c r="D2834" i="1"/>
  <c r="D2835" i="1"/>
  <c r="D2837" i="1"/>
  <c r="D2836" i="1"/>
  <c r="D2838" i="1"/>
  <c r="D2840" i="1"/>
  <c r="D2839" i="1"/>
  <c r="D2841" i="1"/>
  <c r="D2842" i="1"/>
  <c r="D2843" i="1"/>
  <c r="D2845" i="1"/>
  <c r="D2844" i="1"/>
  <c r="D2846" i="1"/>
  <c r="D2847" i="1"/>
  <c r="D2849" i="1"/>
  <c r="D2848" i="1"/>
  <c r="D2850" i="1"/>
  <c r="D2851" i="1"/>
  <c r="D2852" i="1"/>
  <c r="D2854" i="1"/>
  <c r="D2853" i="1"/>
  <c r="D2855" i="1"/>
  <c r="D2856" i="1"/>
  <c r="D2857" i="1"/>
  <c r="D2858" i="1"/>
  <c r="D2859" i="1"/>
  <c r="D2861" i="1"/>
  <c r="D2860" i="1"/>
  <c r="D2862" i="1"/>
  <c r="D2863" i="1"/>
  <c r="D2864" i="1"/>
  <c r="D2865" i="1"/>
  <c r="D2866" i="1"/>
  <c r="D2868" i="1"/>
  <c r="D2869" i="1"/>
  <c r="D2870" i="1"/>
  <c r="D2867" i="1"/>
  <c r="D2874" i="1"/>
  <c r="D2872" i="1"/>
  <c r="D2873" i="1"/>
  <c r="D2871" i="1"/>
  <c r="D2875" i="1"/>
  <c r="D2876" i="1"/>
  <c r="D2877" i="1"/>
  <c r="D2878" i="1"/>
  <c r="D2879" i="1"/>
  <c r="D2880" i="1"/>
  <c r="D2881" i="1"/>
  <c r="D2884" i="1"/>
  <c r="D2883" i="1"/>
  <c r="D2882" i="1"/>
  <c r="D2885" i="1"/>
  <c r="D2886" i="1"/>
  <c r="D2887" i="1"/>
  <c r="D2892" i="1"/>
  <c r="D2888" i="1"/>
  <c r="D2891" i="1"/>
  <c r="D2890" i="1"/>
  <c r="D2889" i="1"/>
  <c r="D2894" i="1"/>
  <c r="D2893" i="1"/>
  <c r="D2895" i="1"/>
  <c r="D2896" i="1"/>
  <c r="D2898" i="1"/>
  <c r="D2899" i="1"/>
  <c r="D2897" i="1"/>
  <c r="D2900" i="1"/>
  <c r="D2905" i="1"/>
  <c r="D2903" i="1"/>
  <c r="D2902" i="1"/>
  <c r="D2901" i="1"/>
  <c r="D2904" i="1"/>
  <c r="D2907" i="1"/>
  <c r="D2909" i="1"/>
  <c r="D2906" i="1"/>
  <c r="D2908" i="1"/>
  <c r="D2911" i="1"/>
  <c r="D2910" i="1"/>
  <c r="D2912" i="1"/>
  <c r="D2913" i="1"/>
  <c r="D2915" i="1"/>
  <c r="D2914" i="1"/>
  <c r="D2916" i="1"/>
  <c r="D2917" i="1"/>
  <c r="D2918" i="1"/>
  <c r="D2919" i="1"/>
  <c r="D2920" i="1"/>
  <c r="D2921" i="1"/>
  <c r="D2925" i="1"/>
  <c r="D2923" i="1"/>
  <c r="D2922" i="1"/>
  <c r="D2924" i="1"/>
  <c r="D2926" i="1"/>
  <c r="D2930" i="1"/>
  <c r="D2927" i="1"/>
  <c r="D2928" i="1"/>
  <c r="D2929" i="1"/>
  <c r="D2931" i="1"/>
  <c r="D2932" i="1"/>
  <c r="D2933" i="1"/>
  <c r="D2934" i="1"/>
  <c r="D2936" i="1"/>
  <c r="D2935" i="1"/>
  <c r="D2937" i="1"/>
  <c r="D2938" i="1"/>
  <c r="D2939" i="1"/>
  <c r="D2940" i="1"/>
  <c r="D2943" i="1"/>
  <c r="D2942" i="1"/>
  <c r="D2945" i="1"/>
  <c r="D2944" i="1"/>
  <c r="D2941" i="1"/>
  <c r="D2946" i="1"/>
  <c r="D2947" i="1"/>
  <c r="D2948" i="1"/>
  <c r="D2949" i="1"/>
  <c r="D2951" i="1"/>
  <c r="D2950" i="1"/>
  <c r="D2952" i="1"/>
  <c r="D2953" i="1"/>
  <c r="D2954" i="1"/>
  <c r="D2955" i="1"/>
  <c r="D2959" i="1"/>
  <c r="D2957" i="1"/>
  <c r="D2958" i="1"/>
  <c r="D2956" i="1"/>
  <c r="D2960" i="1"/>
  <c r="D2961" i="1"/>
  <c r="D2962" i="1"/>
  <c r="D2963" i="1"/>
  <c r="D2964" i="1"/>
  <c r="D2965" i="1"/>
  <c r="D2967" i="1"/>
  <c r="D2966" i="1"/>
  <c r="D2968" i="1"/>
  <c r="D2969" i="1"/>
  <c r="D2970" i="1"/>
  <c r="D2973" i="1"/>
  <c r="D2971" i="1"/>
  <c r="D2972" i="1"/>
  <c r="D2974" i="1"/>
  <c r="D2977" i="1"/>
  <c r="D2975" i="1"/>
  <c r="D2976" i="1"/>
  <c r="D2978" i="1"/>
  <c r="D2980" i="1"/>
  <c r="D2979" i="1"/>
  <c r="D2981" i="1"/>
  <c r="D2983" i="1"/>
  <c r="D2982" i="1"/>
  <c r="D2984" i="1"/>
  <c r="D2985" i="1"/>
  <c r="D2986" i="1"/>
  <c r="D2988" i="1"/>
  <c r="D2987" i="1"/>
  <c r="D2991" i="1"/>
  <c r="D2990" i="1"/>
  <c r="D2989" i="1"/>
  <c r="D2992" i="1"/>
  <c r="D2993" i="1"/>
  <c r="D2994" i="1"/>
  <c r="D2997" i="1"/>
  <c r="D2996" i="1"/>
  <c r="D2995" i="1"/>
  <c r="D2998" i="1"/>
  <c r="D2999" i="1"/>
  <c r="D3000" i="1"/>
  <c r="D3001" i="1"/>
  <c r="D3004" i="1"/>
  <c r="D3003" i="1"/>
  <c r="D3002" i="1"/>
  <c r="D3005" i="1"/>
  <c r="D3009" i="1"/>
  <c r="D3006" i="1"/>
  <c r="D3007" i="1"/>
  <c r="D3008" i="1"/>
  <c r="D3011" i="1"/>
  <c r="D3012" i="1"/>
  <c r="D3010" i="1"/>
  <c r="D3013" i="1"/>
  <c r="D3014" i="1"/>
  <c r="D3015" i="1"/>
  <c r="D3016" i="1"/>
  <c r="D3018" i="1"/>
  <c r="D3017" i="1"/>
  <c r="D3019" i="1"/>
  <c r="D3020" i="1"/>
  <c r="D3021" i="1"/>
  <c r="D3022" i="1"/>
  <c r="D3023" i="1"/>
  <c r="D3025" i="1"/>
  <c r="D3026" i="1"/>
  <c r="D3024" i="1"/>
  <c r="D3027" i="1"/>
  <c r="D3028" i="1"/>
  <c r="D3029" i="1"/>
  <c r="D3030" i="1"/>
  <c r="D3033" i="1"/>
  <c r="D3031" i="1"/>
  <c r="D3034" i="1"/>
  <c r="D3035" i="1"/>
  <c r="D3032" i="1"/>
  <c r="D3037" i="1"/>
  <c r="D3036" i="1"/>
  <c r="D3038" i="1"/>
  <c r="D3039" i="1"/>
  <c r="D3040" i="1"/>
  <c r="D3041" i="1"/>
  <c r="D3042" i="1"/>
  <c r="D3043" i="1"/>
  <c r="D3044" i="1"/>
  <c r="D3045" i="1"/>
  <c r="D3048" i="1"/>
  <c r="D3046" i="1"/>
  <c r="D3047" i="1"/>
  <c r="D3049" i="1"/>
  <c r="D3050" i="1"/>
  <c r="D3051" i="1"/>
  <c r="D3052" i="1"/>
  <c r="D3054" i="1"/>
  <c r="D3053" i="1"/>
  <c r="D3055" i="1"/>
  <c r="D3056" i="1"/>
  <c r="D3057" i="1"/>
  <c r="D3058" i="1"/>
  <c r="D3059" i="1"/>
  <c r="D3060" i="1"/>
  <c r="D3061" i="1"/>
  <c r="D3063" i="1"/>
  <c r="D3062" i="1"/>
  <c r="D3064" i="1"/>
  <c r="D3066" i="1"/>
  <c r="D3065" i="1"/>
  <c r="D3068" i="1"/>
  <c r="D3067" i="1"/>
  <c r="D3069" i="1"/>
  <c r="D3070" i="1"/>
  <c r="D3071" i="1"/>
  <c r="D3073" i="1"/>
  <c r="D3072" i="1"/>
  <c r="D3075" i="1"/>
  <c r="D3074" i="1"/>
  <c r="D3076" i="1"/>
  <c r="D3077" i="1"/>
  <c r="D3078" i="1"/>
  <c r="D3079" i="1"/>
  <c r="D3080" i="1"/>
  <c r="D3082" i="1"/>
  <c r="D3081" i="1"/>
  <c r="D3083" i="1"/>
  <c r="D3084" i="1"/>
  <c r="D3085" i="1"/>
  <c r="D3086" i="1"/>
  <c r="D3087" i="1"/>
  <c r="D3089" i="1"/>
  <c r="D3090" i="1"/>
  <c r="D3088" i="1"/>
  <c r="D3093" i="1"/>
  <c r="D3092" i="1"/>
  <c r="D3091" i="1"/>
  <c r="D3094" i="1"/>
  <c r="D3095" i="1"/>
  <c r="D3096" i="1"/>
  <c r="D3100" i="1"/>
  <c r="D3098" i="1"/>
  <c r="D3099" i="1"/>
  <c r="D3097" i="1"/>
  <c r="D3101" i="1"/>
  <c r="D3102" i="1"/>
  <c r="D3104" i="1"/>
  <c r="D3105" i="1"/>
  <c r="D3103" i="1"/>
  <c r="D3107" i="1"/>
  <c r="D3106" i="1"/>
  <c r="D3108" i="1"/>
  <c r="D3109" i="1"/>
  <c r="D3111" i="1"/>
  <c r="D3110" i="1"/>
  <c r="D3112" i="1"/>
  <c r="D3113" i="1"/>
  <c r="D3114" i="1"/>
  <c r="D3115" i="1"/>
  <c r="D3116" i="1"/>
  <c r="D3117" i="1"/>
  <c r="D3119" i="1"/>
  <c r="D3118" i="1"/>
  <c r="D3120" i="1"/>
  <c r="D3121" i="1"/>
  <c r="D3122" i="1"/>
  <c r="D3123" i="1"/>
  <c r="D3124" i="1"/>
  <c r="D3126" i="1"/>
  <c r="D3127" i="1"/>
  <c r="D3125" i="1"/>
  <c r="D3128" i="1"/>
  <c r="D3129" i="1"/>
  <c r="D3130" i="1"/>
  <c r="D3131" i="1"/>
  <c r="D3132" i="1"/>
  <c r="D3134" i="1"/>
  <c r="D3133" i="1"/>
  <c r="D3136" i="1"/>
  <c r="D3135" i="1"/>
  <c r="D3137" i="1"/>
  <c r="D3138" i="1"/>
  <c r="D3139" i="1"/>
  <c r="D3141" i="1"/>
  <c r="D3140" i="1"/>
  <c r="D3144" i="1"/>
  <c r="D3142" i="1"/>
  <c r="D3145" i="1"/>
  <c r="D3143" i="1"/>
  <c r="D3146" i="1"/>
  <c r="D3147" i="1"/>
  <c r="D3149" i="1"/>
  <c r="D3148" i="1"/>
  <c r="D3150" i="1"/>
  <c r="D3151" i="1"/>
  <c r="D3152" i="1"/>
  <c r="D3153" i="1"/>
  <c r="D3154" i="1"/>
  <c r="D3155" i="1"/>
  <c r="D3156" i="1"/>
  <c r="D3157" i="1"/>
  <c r="D3162" i="1"/>
  <c r="D3160" i="1"/>
  <c r="D3161" i="1"/>
  <c r="D3158" i="1"/>
  <c r="D3159" i="1"/>
  <c r="D3164" i="1"/>
  <c r="D3163" i="1"/>
  <c r="D3167" i="1"/>
  <c r="D3165" i="1"/>
  <c r="D3166" i="1"/>
  <c r="D3169" i="1"/>
  <c r="D3168" i="1"/>
  <c r="D3170" i="1"/>
  <c r="D3171" i="1"/>
  <c r="D3172" i="1"/>
  <c r="D3173" i="1"/>
  <c r="D3176" i="1"/>
  <c r="D3175" i="1"/>
  <c r="D3174" i="1"/>
  <c r="D3178" i="1"/>
  <c r="D3177" i="1"/>
  <c r="D3179" i="1"/>
  <c r="D3180" i="1"/>
  <c r="D3181" i="1"/>
  <c r="D3182" i="1"/>
  <c r="D3185" i="1"/>
  <c r="D3184" i="1"/>
  <c r="D3183" i="1"/>
  <c r="D3188" i="1"/>
  <c r="D3189" i="1"/>
  <c r="D3186" i="1"/>
  <c r="D3187" i="1"/>
  <c r="D3190" i="1"/>
  <c r="D3191" i="1"/>
  <c r="D3196" i="1"/>
  <c r="D3192" i="1"/>
  <c r="D3195" i="1"/>
  <c r="D3193" i="1"/>
  <c r="D3194" i="1"/>
  <c r="D3197" i="1"/>
  <c r="D3198" i="1"/>
  <c r="D3203" i="1"/>
  <c r="D3200" i="1"/>
  <c r="D3199" i="1"/>
  <c r="D3202" i="1"/>
  <c r="D3201" i="1"/>
  <c r="D3204" i="1"/>
  <c r="D3206" i="1"/>
  <c r="D3205" i="1"/>
  <c r="D3208" i="1"/>
  <c r="D3209" i="1"/>
  <c r="D3211" i="1"/>
  <c r="D3210" i="1"/>
  <c r="D3207" i="1"/>
  <c r="D3213" i="1"/>
  <c r="D3212" i="1"/>
  <c r="D3214" i="1"/>
  <c r="D3216" i="1"/>
  <c r="D3215" i="1"/>
  <c r="D3217" i="1"/>
  <c r="D3221" i="1"/>
  <c r="D3218" i="1"/>
  <c r="D3220" i="1"/>
  <c r="D3219" i="1"/>
  <c r="D3222" i="1"/>
  <c r="D3223" i="1"/>
  <c r="D3224" i="1"/>
  <c r="D3225" i="1"/>
  <c r="D3229" i="1"/>
  <c r="D3228" i="1"/>
  <c r="D3226" i="1"/>
  <c r="D3227" i="1"/>
  <c r="D3230" i="1"/>
  <c r="D3233" i="1"/>
  <c r="D3232" i="1"/>
  <c r="D3231" i="1"/>
  <c r="D3234" i="1"/>
  <c r="D3235" i="1"/>
  <c r="D3238" i="1"/>
  <c r="D3236" i="1"/>
  <c r="D3237" i="1"/>
  <c r="D3239" i="1"/>
  <c r="D3240" i="1"/>
  <c r="D3242" i="1"/>
  <c r="D3241" i="1"/>
  <c r="D3243" i="1"/>
  <c r="D3244" i="1"/>
  <c r="D3245" i="1"/>
  <c r="D3246" i="1"/>
  <c r="D3247" i="1"/>
  <c r="D3248" i="1"/>
  <c r="D3249" i="1"/>
  <c r="D3250" i="1"/>
  <c r="D3251" i="1"/>
  <c r="D3252" i="1"/>
  <c r="D3253" i="1"/>
  <c r="D3254" i="1"/>
  <c r="D3255" i="1"/>
  <c r="D3257" i="1"/>
  <c r="D3256" i="1"/>
  <c r="D3258" i="1"/>
  <c r="D3259" i="1"/>
  <c r="D3260" i="1"/>
  <c r="D3261" i="1"/>
  <c r="D3263" i="1"/>
  <c r="D3262" i="1"/>
  <c r="D3264" i="1"/>
  <c r="D3265" i="1"/>
  <c r="D3268" i="1"/>
  <c r="D3266" i="1"/>
  <c r="D3267" i="1"/>
  <c r="D3270" i="1"/>
  <c r="D3269" i="1"/>
  <c r="D3275" i="1"/>
  <c r="D3273" i="1"/>
  <c r="D3276" i="1"/>
  <c r="D3274" i="1"/>
  <c r="D3271" i="1"/>
  <c r="D3272" i="1"/>
  <c r="D3277" i="1"/>
  <c r="D3279" i="1"/>
  <c r="D3278" i="1"/>
  <c r="D3280" i="1"/>
  <c r="D3282" i="1"/>
  <c r="D3283" i="1"/>
  <c r="D3284" i="1"/>
  <c r="D3281" i="1"/>
  <c r="D3285" i="1"/>
  <c r="D3286" i="1"/>
  <c r="D3287" i="1"/>
  <c r="D3288" i="1"/>
  <c r="D3289" i="1"/>
  <c r="D3290" i="1"/>
  <c r="D3291" i="1"/>
  <c r="D3292" i="1"/>
  <c r="D3293" i="1"/>
  <c r="D3294" i="1"/>
  <c r="D3295" i="1"/>
  <c r="D3296" i="1"/>
  <c r="D3299" i="1"/>
  <c r="D3297" i="1"/>
  <c r="D3298" i="1"/>
  <c r="D3300" i="1"/>
  <c r="D3301" i="1"/>
  <c r="D3302" i="1"/>
  <c r="D3305" i="1"/>
  <c r="D3303" i="1"/>
  <c r="D3304" i="1"/>
  <c r="D3307" i="1"/>
  <c r="D3306" i="1"/>
  <c r="D3308" i="1"/>
  <c r="D3310" i="1"/>
  <c r="D3309" i="1"/>
  <c r="D3311" i="1"/>
  <c r="D3312" i="1"/>
  <c r="D3313" i="1"/>
  <c r="D3314" i="1"/>
  <c r="D3315" i="1"/>
  <c r="D3316" i="1"/>
  <c r="D3317" i="1"/>
  <c r="D3318" i="1"/>
  <c r="D3319" i="1"/>
  <c r="D3320" i="1"/>
  <c r="D3321" i="1"/>
  <c r="D3322" i="1"/>
  <c r="D3323" i="1"/>
  <c r="D3324" i="1"/>
  <c r="D3325" i="1"/>
  <c r="D3326" i="1"/>
  <c r="D3327" i="1"/>
  <c r="D3328" i="1"/>
  <c r="D3329" i="1"/>
  <c r="D3330" i="1"/>
  <c r="D3332" i="1"/>
  <c r="D3331" i="1"/>
  <c r="D3333" i="1"/>
  <c r="D3335" i="1"/>
  <c r="D3334" i="1"/>
  <c r="D3340" i="1"/>
  <c r="D3338" i="1"/>
  <c r="D3337" i="1"/>
  <c r="D3336" i="1"/>
  <c r="D3339" i="1"/>
  <c r="D3341" i="1"/>
  <c r="D3342" i="1"/>
  <c r="D3343" i="1"/>
  <c r="D3344" i="1"/>
  <c r="D3345" i="1"/>
  <c r="D3350" i="1"/>
  <c r="D3348" i="1"/>
  <c r="D3346" i="1"/>
  <c r="D3349" i="1"/>
  <c r="D3347" i="1"/>
  <c r="D3351" i="1"/>
  <c r="D3353" i="1"/>
  <c r="D3352" i="1"/>
  <c r="D3355" i="1"/>
  <c r="D3354" i="1"/>
  <c r="D3356" i="1"/>
  <c r="D3357" i="1"/>
  <c r="D3358" i="1"/>
  <c r="D3360" i="1"/>
  <c r="D3359" i="1"/>
  <c r="D3361" i="1"/>
  <c r="D3363" i="1"/>
  <c r="D3364" i="1"/>
  <c r="D3365" i="1"/>
  <c r="D3366" i="1"/>
  <c r="D3367" i="1"/>
  <c r="D3362" i="1"/>
  <c r="D3368" i="1"/>
  <c r="D3369" i="1"/>
  <c r="D3370" i="1"/>
  <c r="D3371" i="1"/>
  <c r="D3372" i="1"/>
  <c r="D3373" i="1"/>
  <c r="D3374" i="1"/>
  <c r="D3375" i="1"/>
  <c r="D3376" i="1"/>
  <c r="D3377" i="1"/>
  <c r="D3378" i="1"/>
  <c r="D3379" i="1"/>
  <c r="D3384" i="1"/>
  <c r="D3380" i="1"/>
  <c r="D3381" i="1"/>
  <c r="D3382" i="1"/>
  <c r="D3383" i="1"/>
  <c r="D3387" i="1"/>
  <c r="D3386" i="1"/>
  <c r="D3385" i="1"/>
  <c r="D3388" i="1"/>
  <c r="D3390" i="1"/>
  <c r="D3389" i="1"/>
  <c r="D3392" i="1"/>
  <c r="D3391" i="1"/>
  <c r="D3393" i="1"/>
  <c r="D3396" i="1"/>
  <c r="D3395" i="1"/>
  <c r="D3394" i="1"/>
  <c r="D3397" i="1"/>
  <c r="D3400" i="1"/>
  <c r="D3399" i="1"/>
  <c r="D3401" i="1"/>
  <c r="D3398" i="1"/>
  <c r="D3402" i="1"/>
  <c r="D3404" i="1"/>
  <c r="D3405" i="1"/>
  <c r="D3403" i="1"/>
  <c r="D3406" i="1"/>
  <c r="D3407" i="1"/>
  <c r="D3408" i="1"/>
  <c r="D3411" i="1"/>
  <c r="D3409" i="1"/>
  <c r="D3410" i="1"/>
  <c r="D3414" i="1"/>
  <c r="D3413" i="1"/>
  <c r="D3412" i="1"/>
  <c r="D3415" i="1"/>
  <c r="D3417" i="1"/>
  <c r="D3416" i="1"/>
  <c r="D3418" i="1"/>
  <c r="D3419" i="1"/>
  <c r="D3420" i="1"/>
  <c r="D3422" i="1"/>
  <c r="D3421" i="1"/>
  <c r="D3423" i="1"/>
  <c r="D3424" i="1"/>
  <c r="D3426" i="1"/>
  <c r="D3425" i="1"/>
  <c r="D3427" i="1"/>
  <c r="D3428" i="1"/>
  <c r="D3429" i="1"/>
  <c r="D3430" i="1"/>
  <c r="D3431" i="1"/>
  <c r="D3432" i="1"/>
  <c r="D3434" i="1"/>
  <c r="D3433" i="1"/>
  <c r="D3435" i="1"/>
  <c r="D3437" i="1"/>
  <c r="D3436" i="1"/>
  <c r="D3438" i="1"/>
  <c r="D3439" i="1"/>
  <c r="D3440" i="1"/>
  <c r="D3441" i="1"/>
  <c r="D3442" i="1"/>
  <c r="D3443" i="1"/>
  <c r="D3445" i="1"/>
  <c r="D3444" i="1"/>
  <c r="D3446" i="1"/>
  <c r="D3447" i="1"/>
  <c r="D3448" i="1"/>
  <c r="D3449" i="1"/>
  <c r="D3450" i="1"/>
  <c r="D3451" i="1"/>
  <c r="D3452" i="1"/>
  <c r="D3455" i="1"/>
  <c r="D3454" i="1"/>
  <c r="D3453" i="1"/>
  <c r="D3457" i="1"/>
  <c r="D3456" i="1"/>
  <c r="D3458" i="1"/>
  <c r="D3461" i="1"/>
  <c r="D3460" i="1"/>
  <c r="D3459" i="1"/>
  <c r="D3464" i="1"/>
  <c r="D3462" i="1"/>
  <c r="D3465" i="1"/>
  <c r="D3463" i="1"/>
  <c r="D3466" i="1"/>
  <c r="D3468" i="1"/>
  <c r="D3467" i="1"/>
  <c r="D3470" i="1"/>
  <c r="D3469" i="1"/>
  <c r="D3471" i="1"/>
  <c r="D3472" i="1"/>
  <c r="D3473" i="1"/>
  <c r="D3474" i="1"/>
  <c r="D3475" i="1"/>
  <c r="D3476" i="1"/>
  <c r="D3477" i="1"/>
  <c r="D3480" i="1"/>
  <c r="D3478" i="1"/>
  <c r="D3479" i="1"/>
  <c r="D3481" i="1"/>
  <c r="D3482" i="1"/>
  <c r="D3483" i="1"/>
  <c r="D3484" i="1"/>
  <c r="D3485" i="1"/>
  <c r="D3486" i="1"/>
  <c r="D3487" i="1"/>
  <c r="D3488" i="1"/>
  <c r="D3489" i="1"/>
  <c r="D3492" i="1"/>
  <c r="D3490" i="1"/>
  <c r="D3491" i="1"/>
  <c r="D3493" i="1"/>
  <c r="D3494" i="1"/>
  <c r="D3495" i="1"/>
  <c r="D3496" i="1"/>
  <c r="D3497" i="1"/>
  <c r="D3498" i="1"/>
  <c r="D3500" i="1"/>
  <c r="D3499" i="1"/>
  <c r="D3504" i="1"/>
  <c r="D3503" i="1"/>
  <c r="D3502" i="1"/>
  <c r="D3505" i="1"/>
  <c r="D3501" i="1"/>
  <c r="D3506" i="1"/>
  <c r="D3509" i="1"/>
  <c r="D3507" i="1"/>
  <c r="D3508" i="1"/>
  <c r="D3511" i="1"/>
  <c r="D3510" i="1"/>
  <c r="D3512" i="1"/>
  <c r="D3514" i="1"/>
  <c r="D3513" i="1"/>
  <c r="D3515" i="1"/>
  <c r="D3517" i="1"/>
  <c r="D3516" i="1"/>
  <c r="D3518" i="1"/>
  <c r="D3520" i="1"/>
  <c r="D3519" i="1"/>
  <c r="D3523" i="1"/>
  <c r="D3521" i="1"/>
  <c r="D3522" i="1"/>
  <c r="D3525" i="1"/>
  <c r="D3524" i="1"/>
  <c r="D3527" i="1"/>
  <c r="D3526" i="1"/>
  <c r="D3528" i="1"/>
  <c r="D3529" i="1"/>
  <c r="D3530" i="1"/>
  <c r="D3532" i="1"/>
  <c r="D3531" i="1"/>
  <c r="D3533" i="1"/>
  <c r="D3535" i="1"/>
  <c r="D3534" i="1"/>
  <c r="D3538" i="1"/>
  <c r="D3536" i="1"/>
  <c r="D3537" i="1"/>
  <c r="D3539" i="1"/>
  <c r="D3540" i="1"/>
  <c r="D3541" i="1"/>
  <c r="D3542" i="1"/>
  <c r="D3543" i="1"/>
  <c r="D3544" i="1"/>
  <c r="D3546" i="1"/>
  <c r="D3547" i="1"/>
  <c r="D3545" i="1"/>
  <c r="D3549" i="1"/>
  <c r="D3548" i="1"/>
  <c r="D3550" i="1"/>
  <c r="D3551" i="1"/>
  <c r="D3552" i="1"/>
  <c r="D3554" i="1"/>
  <c r="D3553" i="1"/>
  <c r="D3556" i="1"/>
  <c r="D3555" i="1"/>
  <c r="D3558" i="1"/>
  <c r="D3557" i="1"/>
  <c r="D3559" i="1"/>
  <c r="D3560" i="1"/>
  <c r="D3561" i="1"/>
  <c r="D3562" i="1"/>
  <c r="D3563" i="1"/>
  <c r="D3565" i="1"/>
  <c r="D3564" i="1"/>
  <c r="D3566" i="1"/>
  <c r="D3568" i="1"/>
  <c r="D3569" i="1"/>
  <c r="D3567" i="1"/>
  <c r="D3570" i="1"/>
  <c r="D3571" i="1"/>
  <c r="D3574" i="1"/>
  <c r="D3573" i="1"/>
  <c r="D3572" i="1"/>
  <c r="D3575" i="1"/>
  <c r="D3576" i="1"/>
  <c r="D3577" i="1"/>
  <c r="D3578" i="1"/>
  <c r="D3579" i="1"/>
  <c r="D3580" i="1"/>
  <c r="D3581" i="1"/>
  <c r="D3583" i="1"/>
  <c r="D3584" i="1"/>
  <c r="D3582" i="1"/>
  <c r="D3585" i="1"/>
  <c r="D3586" i="1"/>
  <c r="D3588" i="1"/>
  <c r="D3587" i="1"/>
  <c r="D3589" i="1"/>
  <c r="D3590" i="1"/>
  <c r="D3591" i="1"/>
  <c r="D3592" i="1"/>
  <c r="D3594" i="1"/>
  <c r="D3593" i="1"/>
  <c r="D3595" i="1"/>
  <c r="D3596" i="1"/>
  <c r="D3597" i="1"/>
  <c r="D3598" i="1"/>
  <c r="D3600" i="1"/>
  <c r="D3601" i="1"/>
  <c r="D3599" i="1"/>
  <c r="D3602" i="1"/>
  <c r="D3603" i="1"/>
  <c r="D3604" i="1"/>
  <c r="D3607" i="1"/>
  <c r="D3606" i="1"/>
  <c r="D3605" i="1"/>
  <c r="D3609" i="1"/>
  <c r="D3608" i="1"/>
  <c r="D3610" i="1"/>
  <c r="D3612" i="1"/>
  <c r="D3611" i="1"/>
  <c r="D3613" i="1"/>
  <c r="D3614" i="1"/>
  <c r="D3617" i="1"/>
  <c r="D3615" i="1"/>
  <c r="D3616" i="1"/>
  <c r="D3618" i="1"/>
  <c r="D3620" i="1"/>
  <c r="D3621" i="1"/>
  <c r="D3619" i="1"/>
  <c r="D3624" i="1"/>
  <c r="D3622" i="1"/>
  <c r="D3623" i="1"/>
  <c r="D3625" i="1"/>
  <c r="D3626" i="1"/>
  <c r="D3627" i="1"/>
  <c r="D3628" i="1"/>
  <c r="D3629" i="1"/>
  <c r="D3630" i="1"/>
  <c r="D3631" i="1"/>
  <c r="D3632" i="1"/>
  <c r="D3633" i="1"/>
  <c r="D3634" i="1"/>
  <c r="D3635" i="1"/>
  <c r="D3637" i="1"/>
  <c r="D3636" i="1"/>
  <c r="D3638" i="1"/>
  <c r="D3639" i="1"/>
  <c r="D3641" i="1"/>
  <c r="D3640" i="1"/>
  <c r="D3642" i="1"/>
  <c r="D3643" i="1"/>
  <c r="D3645" i="1"/>
  <c r="D3646" i="1"/>
  <c r="D3644" i="1"/>
  <c r="D3649" i="1"/>
  <c r="D3647" i="1"/>
  <c r="D3648" i="1"/>
  <c r="D3650" i="1"/>
  <c r="D3653" i="1"/>
  <c r="D3652" i="1"/>
  <c r="D3651" i="1"/>
  <c r="D3654" i="1"/>
  <c r="D3655" i="1"/>
  <c r="D3657" i="1"/>
  <c r="D3656" i="1"/>
  <c r="D3658" i="1"/>
  <c r="D3659" i="1"/>
  <c r="D3662" i="1"/>
  <c r="D3661" i="1"/>
  <c r="D3660" i="1"/>
  <c r="D3663" i="1"/>
  <c r="D3666" i="1"/>
  <c r="D3664" i="1"/>
  <c r="D3669" i="1"/>
  <c r="D3668" i="1"/>
  <c r="D3665" i="1"/>
  <c r="D3667" i="1"/>
  <c r="D3670" i="1"/>
  <c r="D3671" i="1"/>
  <c r="D3672" i="1"/>
  <c r="D3673" i="1"/>
  <c r="D3674" i="1"/>
  <c r="D3675" i="1"/>
  <c r="D3676" i="1"/>
  <c r="D3677" i="1"/>
  <c r="D3678" i="1"/>
  <c r="D3680" i="1"/>
  <c r="D3682" i="1"/>
  <c r="D3679" i="1"/>
  <c r="D3681" i="1"/>
  <c r="D3683" i="1"/>
  <c r="D3684" i="1"/>
  <c r="D3685" i="1"/>
  <c r="D3686" i="1"/>
  <c r="D3687" i="1"/>
  <c r="D3688" i="1"/>
  <c r="D3689" i="1"/>
  <c r="D3692" i="1"/>
  <c r="D3691" i="1"/>
  <c r="D3690" i="1"/>
  <c r="D3693" i="1"/>
  <c r="D3694" i="1"/>
  <c r="D3695" i="1"/>
  <c r="D3696" i="1"/>
  <c r="D3699" i="1"/>
  <c r="D3698" i="1"/>
  <c r="D3697" i="1"/>
  <c r="D3701" i="1"/>
  <c r="D3700" i="1"/>
  <c r="D3702" i="1"/>
  <c r="D3707" i="1"/>
  <c r="D3704" i="1"/>
  <c r="D3705" i="1"/>
  <c r="D3706" i="1"/>
  <c r="D3703" i="1"/>
  <c r="D3709" i="1"/>
  <c r="D3708" i="1"/>
  <c r="D3711" i="1"/>
  <c r="D3710" i="1"/>
  <c r="D3713" i="1"/>
  <c r="D3712" i="1"/>
  <c r="D3714" i="1"/>
  <c r="D3715" i="1"/>
  <c r="D3716" i="1"/>
  <c r="D3717" i="1"/>
  <c r="D3718" i="1"/>
  <c r="D3719" i="1"/>
  <c r="D3720" i="1"/>
  <c r="D3721" i="1"/>
  <c r="D3722" i="1"/>
  <c r="D3723" i="1"/>
  <c r="D3725" i="1"/>
  <c r="D3726" i="1"/>
  <c r="D3724" i="1"/>
  <c r="D3727" i="1"/>
  <c r="D3728" i="1"/>
  <c r="D3731" i="1"/>
  <c r="D3730" i="1"/>
  <c r="D3729" i="1"/>
  <c r="D3733" i="1"/>
  <c r="D3732" i="1"/>
  <c r="D3734" i="1"/>
  <c r="D3735" i="1"/>
  <c r="D3736" i="1"/>
  <c r="D3737" i="1"/>
  <c r="D3741" i="1"/>
  <c r="D3739" i="1"/>
  <c r="D3740" i="1"/>
  <c r="D3738" i="1"/>
  <c r="D3742" i="1"/>
  <c r="D3743" i="1"/>
  <c r="D3744" i="1"/>
  <c r="D3745" i="1"/>
  <c r="D3746" i="1"/>
  <c r="D3748" i="1"/>
  <c r="D3747" i="1"/>
  <c r="D3749" i="1"/>
  <c r="D3752" i="1"/>
  <c r="D3751" i="1"/>
  <c r="D3750" i="1"/>
  <c r="D3753" i="1"/>
  <c r="D3755" i="1"/>
  <c r="D3754" i="1"/>
  <c r="D3756" i="1"/>
  <c r="D3758" i="1"/>
  <c r="D3757" i="1"/>
  <c r="D3759" i="1"/>
  <c r="D3763" i="1"/>
  <c r="D3762" i="1"/>
  <c r="D3760" i="1"/>
  <c r="D3761" i="1"/>
  <c r="D3764" i="1"/>
  <c r="D3765" i="1"/>
  <c r="D3766" i="1"/>
  <c r="D3767" i="1"/>
  <c r="D3768" i="1"/>
  <c r="D3769" i="1"/>
  <c r="D3770" i="1"/>
  <c r="D3772" i="1"/>
  <c r="D3771" i="1"/>
  <c r="D3774" i="1"/>
  <c r="D3773" i="1"/>
  <c r="D3775" i="1"/>
  <c r="D3776" i="1"/>
  <c r="D3777" i="1"/>
  <c r="D3778" i="1"/>
  <c r="D3779" i="1"/>
  <c r="D3780" i="1"/>
  <c r="D3784" i="1"/>
  <c r="D3781" i="1"/>
  <c r="D3783" i="1"/>
  <c r="D3782" i="1"/>
  <c r="D3786" i="1"/>
  <c r="D3785" i="1"/>
  <c r="D3787" i="1"/>
  <c r="D3788" i="1"/>
  <c r="D3789" i="1"/>
  <c r="D3790" i="1"/>
  <c r="D3791" i="1"/>
  <c r="D3792" i="1"/>
  <c r="D3793" i="1"/>
  <c r="D3797" i="1"/>
  <c r="D3796" i="1"/>
  <c r="D3795" i="1"/>
  <c r="D3794" i="1"/>
  <c r="D3799" i="1"/>
  <c r="D3801" i="1"/>
  <c r="D3800" i="1"/>
  <c r="D3798" i="1"/>
  <c r="D3802" i="1"/>
  <c r="D3803" i="1"/>
  <c r="D3804" i="1"/>
  <c r="D3805" i="1"/>
  <c r="D3806" i="1"/>
  <c r="D3807" i="1"/>
  <c r="D3808" i="1"/>
  <c r="D3809" i="1"/>
  <c r="D3810" i="1"/>
  <c r="D3811" i="1"/>
  <c r="D3812" i="1"/>
  <c r="D3813" i="1"/>
  <c r="D3814" i="1"/>
  <c r="D3815" i="1"/>
  <c r="D3816" i="1"/>
  <c r="D3817" i="1"/>
  <c r="D3818" i="1"/>
  <c r="D3820" i="1"/>
  <c r="D3819" i="1"/>
  <c r="D3821" i="1"/>
  <c r="D3822" i="1"/>
  <c r="D3823" i="1"/>
  <c r="D3824" i="1"/>
  <c r="D3826" i="1"/>
  <c r="D3825" i="1"/>
  <c r="D3827" i="1"/>
  <c r="D3828" i="1"/>
  <c r="D3829" i="1"/>
  <c r="D3830" i="1"/>
  <c r="D3831" i="1"/>
  <c r="D3832" i="1"/>
  <c r="D3833" i="1"/>
  <c r="D3834" i="1"/>
  <c r="D3835" i="1"/>
  <c r="D3837" i="1"/>
  <c r="D3836" i="1"/>
  <c r="D3840" i="1"/>
  <c r="D3838" i="1"/>
  <c r="D3839" i="1"/>
  <c r="D3841" i="1"/>
  <c r="D3842" i="1"/>
  <c r="D3844" i="1"/>
  <c r="D3843" i="1"/>
  <c r="D3846" i="1"/>
  <c r="D3845" i="1"/>
  <c r="D3847" i="1"/>
  <c r="D3848" i="1"/>
  <c r="D3851" i="1"/>
  <c r="D3849" i="1"/>
  <c r="D3850" i="1"/>
  <c r="D3852" i="1"/>
  <c r="D3853" i="1"/>
  <c r="D3854" i="1"/>
  <c r="D3855" i="1"/>
  <c r="D3856" i="1"/>
  <c r="M16" i="4"/>
  <c r="M17" i="4"/>
  <c r="M18" i="4"/>
  <c r="M19" i="4"/>
  <c r="M20" i="4"/>
  <c r="M21" i="4"/>
  <c r="M22" i="4"/>
  <c r="M15" i="4"/>
  <c r="L16" i="4"/>
  <c r="L17" i="4"/>
  <c r="L18" i="4"/>
  <c r="L19" i="4"/>
  <c r="L20" i="4"/>
  <c r="L21" i="4"/>
  <c r="L22" i="4"/>
  <c r="L15" i="4"/>
  <c r="K15" i="4"/>
  <c r="K17" i="4"/>
  <c r="K18" i="4"/>
  <c r="K19" i="4"/>
  <c r="K20" i="4"/>
  <c r="K21" i="4"/>
  <c r="K22" i="4"/>
  <c r="E6" i="1"/>
  <c r="E7" i="1"/>
  <c r="E10" i="1"/>
  <c r="E3" i="1"/>
  <c r="E2" i="1"/>
  <c r="E4" i="1"/>
  <c r="E5" i="1"/>
  <c r="E9" i="1"/>
  <c r="E8" i="1"/>
  <c r="E11" i="1"/>
  <c r="E12" i="1"/>
  <c r="E15" i="1"/>
  <c r="E13" i="1"/>
  <c r="E14" i="1"/>
  <c r="E16" i="1"/>
  <c r="E17" i="1"/>
  <c r="E18" i="1"/>
  <c r="E19" i="1"/>
  <c r="E20" i="1"/>
  <c r="E21" i="1"/>
  <c r="E22" i="1"/>
  <c r="E25" i="1"/>
  <c r="E24" i="1"/>
  <c r="E23" i="1"/>
  <c r="E26" i="1"/>
  <c r="E27" i="1"/>
  <c r="E28" i="1"/>
  <c r="E29" i="1"/>
  <c r="E30" i="1"/>
  <c r="E32" i="1"/>
  <c r="E33" i="1"/>
  <c r="E31" i="1"/>
  <c r="E34" i="1"/>
  <c r="E36" i="1"/>
  <c r="E35" i="1"/>
  <c r="E37" i="1"/>
  <c r="E38" i="1"/>
  <c r="E40" i="1"/>
  <c r="E39" i="1"/>
  <c r="E41" i="1"/>
  <c r="E42" i="1"/>
  <c r="E43" i="1"/>
  <c r="E46" i="1"/>
  <c r="E44" i="1"/>
  <c r="E45" i="1"/>
  <c r="E49" i="1"/>
  <c r="E47" i="1"/>
  <c r="E48" i="1"/>
  <c r="E50" i="1"/>
  <c r="E52" i="1"/>
  <c r="E51" i="1"/>
  <c r="E54" i="1"/>
  <c r="E53" i="1"/>
  <c r="E55" i="1"/>
  <c r="E56" i="1"/>
  <c r="E59" i="1"/>
  <c r="E57" i="1"/>
  <c r="E58" i="1"/>
  <c r="E60" i="1"/>
  <c r="E61" i="1"/>
  <c r="E62" i="1"/>
  <c r="E63" i="1"/>
  <c r="E67" i="1"/>
  <c r="E64" i="1"/>
  <c r="E65" i="1"/>
  <c r="E66" i="1"/>
  <c r="E68" i="1"/>
  <c r="E69" i="1"/>
  <c r="E70" i="1"/>
  <c r="E71" i="1"/>
  <c r="E72" i="1"/>
  <c r="E73" i="1"/>
  <c r="E74" i="1"/>
  <c r="E75" i="1"/>
  <c r="E76" i="1"/>
  <c r="E78" i="1"/>
  <c r="E77" i="1"/>
  <c r="E79" i="1"/>
  <c r="E80" i="1"/>
  <c r="E82" i="1"/>
  <c r="E81" i="1"/>
  <c r="E83" i="1"/>
  <c r="E84" i="1"/>
  <c r="E85" i="1"/>
  <c r="E86" i="1"/>
  <c r="E87" i="1"/>
  <c r="E88" i="1"/>
  <c r="E89" i="1"/>
  <c r="E90" i="1"/>
  <c r="E91" i="1"/>
  <c r="E92" i="1"/>
  <c r="E93" i="1"/>
  <c r="E94" i="1"/>
  <c r="E97" i="1"/>
  <c r="E96" i="1"/>
  <c r="E95" i="1"/>
  <c r="E98" i="1"/>
  <c r="E99" i="1"/>
  <c r="E100" i="1"/>
  <c r="E101" i="1"/>
  <c r="E103" i="1"/>
  <c r="E104" i="1"/>
  <c r="E102" i="1"/>
  <c r="E105" i="1"/>
  <c r="E106" i="1"/>
  <c r="E107" i="1"/>
  <c r="E108" i="1"/>
  <c r="E110" i="1"/>
  <c r="E109" i="1"/>
  <c r="E112" i="1"/>
  <c r="E111" i="1"/>
  <c r="E113" i="1"/>
  <c r="E114" i="1"/>
  <c r="E115" i="1"/>
  <c r="E116" i="1"/>
  <c r="E117" i="1"/>
  <c r="E118" i="1"/>
  <c r="E119" i="1"/>
  <c r="E121" i="1"/>
  <c r="E120" i="1"/>
  <c r="E122" i="1"/>
  <c r="E123" i="1"/>
  <c r="E124" i="1"/>
  <c r="E125" i="1"/>
  <c r="E126" i="1"/>
  <c r="E128" i="1"/>
  <c r="E127" i="1"/>
  <c r="E129" i="1"/>
  <c r="E131" i="1"/>
  <c r="E133" i="1"/>
  <c r="E130" i="1"/>
  <c r="E132" i="1"/>
  <c r="E134" i="1"/>
  <c r="E135" i="1"/>
  <c r="E136" i="1"/>
  <c r="E137" i="1"/>
  <c r="E138" i="1"/>
  <c r="E139" i="1"/>
  <c r="E141" i="1"/>
  <c r="E140" i="1"/>
  <c r="E143" i="1"/>
  <c r="E142" i="1"/>
  <c r="E145" i="1"/>
  <c r="E144" i="1"/>
  <c r="E146" i="1"/>
  <c r="E147" i="1"/>
  <c r="E150" i="1"/>
  <c r="E148" i="1"/>
  <c r="E149" i="1"/>
  <c r="E151" i="1"/>
  <c r="E152" i="1"/>
  <c r="E153" i="1"/>
  <c r="E154" i="1"/>
  <c r="E158" i="1"/>
  <c r="E156" i="1"/>
  <c r="E157" i="1"/>
  <c r="E155" i="1"/>
  <c r="E160" i="1"/>
  <c r="E159" i="1"/>
  <c r="E163" i="1"/>
  <c r="E161" i="1"/>
  <c r="E162" i="1"/>
  <c r="E164" i="1"/>
  <c r="E165" i="1"/>
  <c r="E166" i="1"/>
  <c r="E168" i="1"/>
  <c r="E167" i="1"/>
  <c r="E169" i="1"/>
  <c r="E170" i="1"/>
  <c r="E171" i="1"/>
  <c r="E172" i="1"/>
  <c r="E174" i="1"/>
  <c r="E173" i="1"/>
  <c r="E175" i="1"/>
  <c r="E177" i="1"/>
  <c r="E176" i="1"/>
  <c r="E179" i="1"/>
  <c r="E180" i="1"/>
  <c r="E178" i="1"/>
  <c r="E181" i="1"/>
  <c r="E184" i="1"/>
  <c r="E182" i="1"/>
  <c r="E183" i="1"/>
  <c r="E185" i="1"/>
  <c r="E186" i="1"/>
  <c r="E187" i="1"/>
  <c r="E189" i="1"/>
  <c r="E188" i="1"/>
  <c r="E191" i="1"/>
  <c r="E190" i="1"/>
  <c r="E192" i="1"/>
  <c r="E193" i="1"/>
  <c r="E195" i="1"/>
  <c r="E194" i="1"/>
  <c r="E197" i="1"/>
  <c r="E199" i="1"/>
  <c r="E198" i="1"/>
  <c r="E196" i="1"/>
  <c r="E200" i="1"/>
  <c r="E201" i="1"/>
  <c r="E202" i="1"/>
  <c r="E204" i="1"/>
  <c r="E203" i="1"/>
  <c r="E205" i="1"/>
  <c r="E206" i="1"/>
  <c r="E208" i="1"/>
  <c r="E207" i="1"/>
  <c r="E209" i="1"/>
  <c r="E210" i="1"/>
  <c r="E212" i="1"/>
  <c r="E211" i="1"/>
  <c r="E213" i="1"/>
  <c r="E214" i="1"/>
  <c r="E215" i="1"/>
  <c r="E216" i="1"/>
  <c r="E217" i="1"/>
  <c r="E219" i="1"/>
  <c r="E218" i="1"/>
  <c r="E220" i="1"/>
  <c r="E222" i="1"/>
  <c r="E223" i="1"/>
  <c r="E221" i="1"/>
  <c r="E224" i="1"/>
  <c r="E226" i="1"/>
  <c r="E225" i="1"/>
  <c r="E227" i="1"/>
  <c r="E228" i="1"/>
  <c r="E229" i="1"/>
  <c r="E232" i="1"/>
  <c r="E231" i="1"/>
  <c r="E230" i="1"/>
  <c r="E233" i="1"/>
  <c r="E235" i="1"/>
  <c r="E234" i="1"/>
  <c r="E236" i="1"/>
  <c r="E239" i="1"/>
  <c r="E237" i="1"/>
  <c r="E238" i="1"/>
  <c r="E242" i="1"/>
  <c r="E240" i="1"/>
  <c r="E241" i="1"/>
  <c r="E243" i="1"/>
  <c r="E244" i="1"/>
  <c r="E245" i="1"/>
  <c r="E246" i="1"/>
  <c r="E247" i="1"/>
  <c r="E249" i="1"/>
  <c r="E250" i="1"/>
  <c r="E248" i="1"/>
  <c r="E251" i="1"/>
  <c r="E252" i="1"/>
  <c r="E253" i="1"/>
  <c r="E254" i="1"/>
  <c r="E255" i="1"/>
  <c r="E256" i="1"/>
  <c r="E257" i="1"/>
  <c r="E258" i="1"/>
  <c r="E259" i="1"/>
  <c r="E262" i="1"/>
  <c r="E260" i="1"/>
  <c r="E261" i="1"/>
  <c r="E263" i="1"/>
  <c r="E266" i="1"/>
  <c r="E264" i="1"/>
  <c r="E268" i="1"/>
  <c r="E267" i="1"/>
  <c r="E265" i="1"/>
  <c r="E269" i="1"/>
  <c r="E273" i="1"/>
  <c r="E270" i="1"/>
  <c r="E271" i="1"/>
  <c r="E272" i="1"/>
  <c r="E274" i="1"/>
  <c r="E275" i="1"/>
  <c r="E276" i="1"/>
  <c r="E277" i="1"/>
  <c r="E278" i="1"/>
  <c r="E279" i="1"/>
  <c r="E280" i="1"/>
  <c r="E281" i="1"/>
  <c r="E282" i="1"/>
  <c r="E285" i="1"/>
  <c r="E286" i="1"/>
  <c r="E283" i="1"/>
  <c r="E284" i="1"/>
  <c r="E287" i="1"/>
  <c r="E288" i="1"/>
  <c r="E289" i="1"/>
  <c r="E290" i="1"/>
  <c r="E291" i="1"/>
  <c r="E292" i="1"/>
  <c r="E293" i="1"/>
  <c r="E294" i="1"/>
  <c r="E295" i="1"/>
  <c r="E297" i="1"/>
  <c r="E299" i="1"/>
  <c r="E298" i="1"/>
  <c r="E296" i="1"/>
  <c r="E302" i="1"/>
  <c r="E306" i="1"/>
  <c r="E304" i="1"/>
  <c r="E305" i="1"/>
  <c r="E303" i="1"/>
  <c r="E301" i="1"/>
  <c r="E300" i="1"/>
  <c r="E307" i="1"/>
  <c r="E308" i="1"/>
  <c r="E310" i="1"/>
  <c r="E309" i="1"/>
  <c r="E311" i="1"/>
  <c r="E312" i="1"/>
  <c r="E313" i="1"/>
  <c r="E314" i="1"/>
  <c r="E315" i="1"/>
  <c r="E316" i="1"/>
  <c r="E317" i="1"/>
  <c r="E318" i="1"/>
  <c r="E319" i="1"/>
  <c r="E320" i="1"/>
  <c r="E323" i="1"/>
  <c r="E322" i="1"/>
  <c r="E321" i="1"/>
  <c r="E325" i="1"/>
  <c r="E324" i="1"/>
  <c r="E326" i="1"/>
  <c r="E327" i="1"/>
  <c r="E328" i="1"/>
  <c r="E330" i="1"/>
  <c r="E329" i="1"/>
  <c r="E331" i="1"/>
  <c r="E333" i="1"/>
  <c r="E332" i="1"/>
  <c r="E335" i="1"/>
  <c r="E334" i="1"/>
  <c r="E336" i="1"/>
  <c r="E339" i="1"/>
  <c r="E338" i="1"/>
  <c r="E337" i="1"/>
  <c r="E341" i="1"/>
  <c r="E340" i="1"/>
  <c r="E344" i="1"/>
  <c r="E345" i="1"/>
  <c r="E342" i="1"/>
  <c r="E343" i="1"/>
  <c r="E347" i="1"/>
  <c r="E346" i="1"/>
  <c r="E353" i="1"/>
  <c r="E352" i="1"/>
  <c r="E348" i="1"/>
  <c r="E350" i="1"/>
  <c r="E351" i="1"/>
  <c r="E349" i="1"/>
  <c r="E354" i="1"/>
  <c r="E355" i="1"/>
  <c r="E356" i="1"/>
  <c r="E357" i="1"/>
  <c r="E359" i="1"/>
  <c r="E358" i="1"/>
  <c r="E360" i="1"/>
  <c r="E362" i="1"/>
  <c r="E361" i="1"/>
  <c r="E363" i="1"/>
  <c r="E365" i="1"/>
  <c r="E364" i="1"/>
  <c r="E366" i="1"/>
  <c r="E367" i="1"/>
  <c r="E368" i="1"/>
  <c r="E369" i="1"/>
  <c r="E370" i="1"/>
  <c r="E371" i="1"/>
  <c r="E372" i="1"/>
  <c r="E373" i="1"/>
  <c r="E376" i="1"/>
  <c r="E374" i="1"/>
  <c r="E375" i="1"/>
  <c r="E377" i="1"/>
  <c r="E379" i="1"/>
  <c r="E378" i="1"/>
  <c r="E380" i="1"/>
  <c r="E381" i="1"/>
  <c r="E383" i="1"/>
  <c r="E382" i="1"/>
  <c r="E384" i="1"/>
  <c r="E386" i="1"/>
  <c r="E385" i="1"/>
  <c r="E387" i="1"/>
  <c r="E388" i="1"/>
  <c r="E389" i="1"/>
  <c r="E391" i="1"/>
  <c r="E390" i="1"/>
  <c r="E392" i="1"/>
  <c r="E393" i="1"/>
  <c r="E394" i="1"/>
  <c r="E395" i="1"/>
  <c r="E396" i="1"/>
  <c r="E397" i="1"/>
  <c r="E399" i="1"/>
  <c r="E398" i="1"/>
  <c r="E400" i="1"/>
  <c r="E401" i="1"/>
  <c r="E402" i="1"/>
  <c r="E403" i="1"/>
  <c r="E404" i="1"/>
  <c r="E406" i="1"/>
  <c r="E405" i="1"/>
  <c r="E407" i="1"/>
  <c r="E410" i="1"/>
  <c r="E409" i="1"/>
  <c r="E408" i="1"/>
  <c r="E412" i="1"/>
  <c r="E411" i="1"/>
  <c r="E413" i="1"/>
  <c r="E416" i="1"/>
  <c r="E414" i="1"/>
  <c r="E415" i="1"/>
  <c r="E417" i="1"/>
  <c r="E418" i="1"/>
  <c r="E419" i="1"/>
  <c r="E420" i="1"/>
  <c r="E423" i="1"/>
  <c r="E422" i="1"/>
  <c r="E421" i="1"/>
  <c r="E424" i="1"/>
  <c r="E426" i="1"/>
  <c r="E425" i="1"/>
  <c r="E428" i="1"/>
  <c r="E429" i="1"/>
  <c r="E427" i="1"/>
  <c r="E430" i="1"/>
  <c r="E431" i="1"/>
  <c r="E432" i="1"/>
  <c r="E433" i="1"/>
  <c r="E434" i="1"/>
  <c r="E437" i="1"/>
  <c r="E435" i="1"/>
  <c r="E436" i="1"/>
  <c r="E438" i="1"/>
  <c r="E439" i="1"/>
  <c r="E440" i="1"/>
  <c r="E441" i="1"/>
  <c r="E442" i="1"/>
  <c r="E446" i="1"/>
  <c r="E445" i="1"/>
  <c r="E443" i="1"/>
  <c r="E447" i="1"/>
  <c r="E444" i="1"/>
  <c r="E448" i="1"/>
  <c r="E450" i="1"/>
  <c r="E449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6" i="1"/>
  <c r="E465" i="1"/>
  <c r="E464" i="1"/>
  <c r="E467" i="1"/>
  <c r="E469" i="1"/>
  <c r="E470" i="1"/>
  <c r="E468" i="1"/>
  <c r="E472" i="1"/>
  <c r="E471" i="1"/>
  <c r="E473" i="1"/>
  <c r="E476" i="1"/>
  <c r="E474" i="1"/>
  <c r="E475" i="1"/>
  <c r="E478" i="1"/>
  <c r="E477" i="1"/>
  <c r="E481" i="1"/>
  <c r="E480" i="1"/>
  <c r="E479" i="1"/>
  <c r="E482" i="1"/>
  <c r="E484" i="1"/>
  <c r="E483" i="1"/>
  <c r="E486" i="1"/>
  <c r="E485" i="1"/>
  <c r="E488" i="1"/>
  <c r="E489" i="1"/>
  <c r="E487" i="1"/>
  <c r="E490" i="1"/>
  <c r="E491" i="1"/>
  <c r="E492" i="1"/>
  <c r="E493" i="1"/>
  <c r="E495" i="1"/>
  <c r="E494" i="1"/>
  <c r="E496" i="1"/>
  <c r="E497" i="1"/>
  <c r="E498" i="1"/>
  <c r="E499" i="1"/>
  <c r="E500" i="1"/>
  <c r="E501" i="1"/>
  <c r="E502" i="1"/>
  <c r="E503" i="1"/>
  <c r="E504" i="1"/>
  <c r="E506" i="1"/>
  <c r="E505" i="1"/>
  <c r="E507" i="1"/>
  <c r="E508" i="1"/>
  <c r="E509" i="1"/>
  <c r="E512" i="1"/>
  <c r="E511" i="1"/>
  <c r="E510" i="1"/>
  <c r="E513" i="1"/>
  <c r="E515" i="1"/>
  <c r="E514" i="1"/>
  <c r="E516" i="1"/>
  <c r="E517" i="1"/>
  <c r="E521" i="1"/>
  <c r="E518" i="1"/>
  <c r="E519" i="1"/>
  <c r="E520" i="1"/>
  <c r="E522" i="1"/>
  <c r="E524" i="1"/>
  <c r="E523" i="1"/>
  <c r="E527" i="1"/>
  <c r="E525" i="1"/>
  <c r="E526" i="1"/>
  <c r="E528" i="1"/>
  <c r="E529" i="1"/>
  <c r="E530" i="1"/>
  <c r="E532" i="1"/>
  <c r="E531" i="1"/>
  <c r="E534" i="1"/>
  <c r="E533" i="1"/>
  <c r="E536" i="1"/>
  <c r="E535" i="1"/>
  <c r="E537" i="1"/>
  <c r="E540" i="1"/>
  <c r="E539" i="1"/>
  <c r="E538" i="1"/>
  <c r="E541" i="1"/>
  <c r="E542" i="1"/>
  <c r="E544" i="1"/>
  <c r="E543" i="1"/>
  <c r="E545" i="1"/>
  <c r="E546" i="1"/>
  <c r="E549" i="1"/>
  <c r="E547" i="1"/>
  <c r="E548" i="1"/>
  <c r="E550" i="1"/>
  <c r="E551" i="1"/>
  <c r="E552" i="1"/>
  <c r="E553" i="1"/>
  <c r="E554" i="1"/>
  <c r="E555" i="1"/>
  <c r="E556" i="1"/>
  <c r="E557" i="1"/>
  <c r="E559" i="1"/>
  <c r="E560" i="1"/>
  <c r="E558" i="1"/>
  <c r="E562" i="1"/>
  <c r="E561" i="1"/>
  <c r="E563" i="1"/>
  <c r="E564" i="1"/>
  <c r="E566" i="1"/>
  <c r="E567" i="1"/>
  <c r="E565" i="1"/>
  <c r="E568" i="1"/>
  <c r="E569" i="1"/>
  <c r="E570" i="1"/>
  <c r="E571" i="1"/>
  <c r="E572" i="1"/>
  <c r="E574" i="1"/>
  <c r="E575" i="1"/>
  <c r="E573" i="1"/>
  <c r="E576" i="1"/>
  <c r="E580" i="1"/>
  <c r="E579" i="1"/>
  <c r="E577" i="1"/>
  <c r="E578" i="1"/>
  <c r="E581" i="1"/>
  <c r="E585" i="1"/>
  <c r="E582" i="1"/>
  <c r="E584" i="1"/>
  <c r="E583" i="1"/>
  <c r="E586" i="1"/>
  <c r="E589" i="1"/>
  <c r="E588" i="1"/>
  <c r="E587" i="1"/>
  <c r="E590" i="1"/>
  <c r="E591" i="1"/>
  <c r="E592" i="1"/>
  <c r="E593" i="1"/>
  <c r="E597" i="1"/>
  <c r="E594" i="1"/>
  <c r="E596" i="1"/>
  <c r="E595" i="1"/>
  <c r="E598" i="1"/>
  <c r="E599" i="1"/>
  <c r="E601" i="1"/>
  <c r="E600" i="1"/>
  <c r="E602" i="1"/>
  <c r="E603" i="1"/>
  <c r="E604" i="1"/>
  <c r="E605" i="1"/>
  <c r="E608" i="1"/>
  <c r="E609" i="1"/>
  <c r="E607" i="1"/>
  <c r="E606" i="1"/>
  <c r="E610" i="1"/>
  <c r="E612" i="1"/>
  <c r="E611" i="1"/>
  <c r="E613" i="1"/>
  <c r="E614" i="1"/>
  <c r="E618" i="1"/>
  <c r="E617" i="1"/>
  <c r="E616" i="1"/>
  <c r="E619" i="1"/>
  <c r="E615" i="1"/>
  <c r="E621" i="1"/>
  <c r="E620" i="1"/>
  <c r="E623" i="1"/>
  <c r="E622" i="1"/>
  <c r="E626" i="1"/>
  <c r="E625" i="1"/>
  <c r="E624" i="1"/>
  <c r="E628" i="1"/>
  <c r="E627" i="1"/>
  <c r="E629" i="1"/>
  <c r="E630" i="1"/>
  <c r="E632" i="1"/>
  <c r="E631" i="1"/>
  <c r="E633" i="1"/>
  <c r="E636" i="1"/>
  <c r="E634" i="1"/>
  <c r="E635" i="1"/>
  <c r="E637" i="1"/>
  <c r="E638" i="1"/>
  <c r="E639" i="1"/>
  <c r="E640" i="1"/>
  <c r="E643" i="1"/>
  <c r="E641" i="1"/>
  <c r="E642" i="1"/>
  <c r="E644" i="1"/>
  <c r="E646" i="1"/>
  <c r="E645" i="1"/>
  <c r="E647" i="1"/>
  <c r="E649" i="1"/>
  <c r="E648" i="1"/>
  <c r="E650" i="1"/>
  <c r="E651" i="1"/>
  <c r="E652" i="1"/>
  <c r="E653" i="1"/>
  <c r="E654" i="1"/>
  <c r="E657" i="1"/>
  <c r="E655" i="1"/>
  <c r="E656" i="1"/>
  <c r="E658" i="1"/>
  <c r="E661" i="1"/>
  <c r="E662" i="1"/>
  <c r="E663" i="1"/>
  <c r="E659" i="1"/>
  <c r="E660" i="1"/>
  <c r="E665" i="1"/>
  <c r="E664" i="1"/>
  <c r="E667" i="1"/>
  <c r="E666" i="1"/>
  <c r="E668" i="1"/>
  <c r="E671" i="1"/>
  <c r="E670" i="1"/>
  <c r="E669" i="1"/>
  <c r="E672" i="1"/>
  <c r="E673" i="1"/>
  <c r="E674" i="1"/>
  <c r="E675" i="1"/>
  <c r="E677" i="1"/>
  <c r="E676" i="1"/>
  <c r="E678" i="1"/>
  <c r="E681" i="1"/>
  <c r="E680" i="1"/>
  <c r="E679" i="1"/>
  <c r="E683" i="1"/>
  <c r="E682" i="1"/>
  <c r="E684" i="1"/>
  <c r="E685" i="1"/>
  <c r="E688" i="1"/>
  <c r="E686" i="1"/>
  <c r="E687" i="1"/>
  <c r="E690" i="1"/>
  <c r="E693" i="1"/>
  <c r="E692" i="1"/>
  <c r="E689" i="1"/>
  <c r="E691" i="1"/>
  <c r="E696" i="1"/>
  <c r="E695" i="1"/>
  <c r="E694" i="1"/>
  <c r="E697" i="1"/>
  <c r="E698" i="1"/>
  <c r="E699" i="1"/>
  <c r="E700" i="1"/>
  <c r="E701" i="1"/>
  <c r="E702" i="1"/>
  <c r="E703" i="1"/>
  <c r="E704" i="1"/>
  <c r="E705" i="1"/>
  <c r="E708" i="1"/>
  <c r="E709" i="1"/>
  <c r="E706" i="1"/>
  <c r="E707" i="1"/>
  <c r="E711" i="1"/>
  <c r="E710" i="1"/>
  <c r="E713" i="1"/>
  <c r="E712" i="1"/>
  <c r="E715" i="1"/>
  <c r="E714" i="1"/>
  <c r="E719" i="1"/>
  <c r="E718" i="1"/>
  <c r="E716" i="1"/>
  <c r="E717" i="1"/>
  <c r="E720" i="1"/>
  <c r="E721" i="1"/>
  <c r="E724" i="1"/>
  <c r="E723" i="1"/>
  <c r="E722" i="1"/>
  <c r="E725" i="1"/>
  <c r="E726" i="1"/>
  <c r="E727" i="1"/>
  <c r="E728" i="1"/>
  <c r="E729" i="1"/>
  <c r="E730" i="1"/>
  <c r="E732" i="1"/>
  <c r="E731" i="1"/>
  <c r="E734" i="1"/>
  <c r="E733" i="1"/>
  <c r="E737" i="1"/>
  <c r="E738" i="1"/>
  <c r="E736" i="1"/>
  <c r="E735" i="1"/>
  <c r="E742" i="1"/>
  <c r="E741" i="1"/>
  <c r="E740" i="1"/>
  <c r="E739" i="1"/>
  <c r="E743" i="1"/>
  <c r="E744" i="1"/>
  <c r="E745" i="1"/>
  <c r="E747" i="1"/>
  <c r="E746" i="1"/>
  <c r="E748" i="1"/>
  <c r="E749" i="1"/>
  <c r="E750" i="1"/>
  <c r="E752" i="1"/>
  <c r="E751" i="1"/>
  <c r="E753" i="1"/>
  <c r="E755" i="1"/>
  <c r="E754" i="1"/>
  <c r="E757" i="1"/>
  <c r="E756" i="1"/>
  <c r="E758" i="1"/>
  <c r="E759" i="1"/>
  <c r="E762" i="1"/>
  <c r="E761" i="1"/>
  <c r="E763" i="1"/>
  <c r="E760" i="1"/>
  <c r="E764" i="1"/>
  <c r="E765" i="1"/>
  <c r="E766" i="1"/>
  <c r="E767" i="1"/>
  <c r="E770" i="1"/>
  <c r="E771" i="1"/>
  <c r="E769" i="1"/>
  <c r="E772" i="1"/>
  <c r="E768" i="1"/>
  <c r="E773" i="1"/>
  <c r="E774" i="1"/>
  <c r="E776" i="1"/>
  <c r="E775" i="1"/>
  <c r="E777" i="1"/>
  <c r="E778" i="1"/>
  <c r="E779" i="1"/>
  <c r="E780" i="1"/>
  <c r="E781" i="1"/>
  <c r="E784" i="1"/>
  <c r="E785" i="1"/>
  <c r="E782" i="1"/>
  <c r="E783" i="1"/>
  <c r="E787" i="1"/>
  <c r="E788" i="1"/>
  <c r="E786" i="1"/>
  <c r="E790" i="1"/>
  <c r="E789" i="1"/>
  <c r="E791" i="1"/>
  <c r="E792" i="1"/>
  <c r="E793" i="1"/>
  <c r="E794" i="1"/>
  <c r="E795" i="1"/>
  <c r="E796" i="1"/>
  <c r="E797" i="1"/>
  <c r="E799" i="1"/>
  <c r="E798" i="1"/>
  <c r="E801" i="1"/>
  <c r="E802" i="1"/>
  <c r="E800" i="1"/>
  <c r="E804" i="1"/>
  <c r="E803" i="1"/>
  <c r="E806" i="1"/>
  <c r="E805" i="1"/>
  <c r="E808" i="1"/>
  <c r="E807" i="1"/>
  <c r="E809" i="1"/>
  <c r="E810" i="1"/>
  <c r="E811" i="1"/>
  <c r="E813" i="1"/>
  <c r="E812" i="1"/>
  <c r="E815" i="1"/>
  <c r="E816" i="1"/>
  <c r="E814" i="1"/>
  <c r="E817" i="1"/>
  <c r="E819" i="1"/>
  <c r="E818" i="1"/>
  <c r="E821" i="1"/>
  <c r="E820" i="1"/>
  <c r="E822" i="1"/>
  <c r="E823" i="1"/>
  <c r="E824" i="1"/>
  <c r="E826" i="1"/>
  <c r="E825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40" i="1"/>
  <c r="E839" i="1"/>
  <c r="E841" i="1"/>
  <c r="E844" i="1"/>
  <c r="E842" i="1"/>
  <c r="E843" i="1"/>
  <c r="E845" i="1"/>
  <c r="E846" i="1"/>
  <c r="E847" i="1"/>
  <c r="E849" i="1"/>
  <c r="E848" i="1"/>
  <c r="E850" i="1"/>
  <c r="E852" i="1"/>
  <c r="E851" i="1"/>
  <c r="E854" i="1"/>
  <c r="E853" i="1"/>
  <c r="E855" i="1"/>
  <c r="E856" i="1"/>
  <c r="E857" i="1"/>
  <c r="E858" i="1"/>
  <c r="E859" i="1"/>
  <c r="E860" i="1"/>
  <c r="E861" i="1"/>
  <c r="E862" i="1"/>
  <c r="E865" i="1"/>
  <c r="E863" i="1"/>
  <c r="E864" i="1"/>
  <c r="E866" i="1"/>
  <c r="E867" i="1"/>
  <c r="E868" i="1"/>
  <c r="E869" i="1"/>
  <c r="E871" i="1"/>
  <c r="E872" i="1"/>
  <c r="E873" i="1"/>
  <c r="E870" i="1"/>
  <c r="E874" i="1"/>
  <c r="E875" i="1"/>
  <c r="E876" i="1"/>
  <c r="E878" i="1"/>
  <c r="E877" i="1"/>
  <c r="E880" i="1"/>
  <c r="E879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900" i="1"/>
  <c r="E899" i="1"/>
  <c r="E902" i="1"/>
  <c r="E901" i="1"/>
  <c r="E903" i="1"/>
  <c r="E904" i="1"/>
  <c r="E905" i="1"/>
  <c r="E906" i="1"/>
  <c r="E909" i="1"/>
  <c r="E908" i="1"/>
  <c r="E907" i="1"/>
  <c r="E911" i="1"/>
  <c r="E910" i="1"/>
  <c r="E913" i="1"/>
  <c r="E912" i="1"/>
  <c r="E914" i="1"/>
  <c r="E915" i="1"/>
  <c r="E916" i="1"/>
  <c r="E918" i="1"/>
  <c r="E917" i="1"/>
  <c r="E919" i="1"/>
  <c r="E920" i="1"/>
  <c r="E921" i="1"/>
  <c r="E922" i="1"/>
  <c r="E923" i="1"/>
  <c r="E924" i="1"/>
  <c r="E927" i="1"/>
  <c r="E925" i="1"/>
  <c r="E926" i="1"/>
  <c r="E928" i="1"/>
  <c r="E929" i="1"/>
  <c r="E930" i="1"/>
  <c r="E933" i="1"/>
  <c r="E931" i="1"/>
  <c r="E932" i="1"/>
  <c r="E934" i="1"/>
  <c r="E937" i="1"/>
  <c r="E935" i="1"/>
  <c r="E936" i="1"/>
  <c r="E938" i="1"/>
  <c r="E942" i="1"/>
  <c r="E939" i="1"/>
  <c r="E941" i="1"/>
  <c r="E940" i="1"/>
  <c r="E943" i="1"/>
  <c r="E944" i="1"/>
  <c r="E948" i="1"/>
  <c r="E946" i="1"/>
  <c r="E947" i="1"/>
  <c r="E945" i="1"/>
  <c r="E949" i="1"/>
  <c r="E950" i="1"/>
  <c r="E951" i="1"/>
  <c r="E953" i="1"/>
  <c r="E952" i="1"/>
  <c r="E954" i="1"/>
  <c r="E956" i="1"/>
  <c r="E957" i="1"/>
  <c r="E955" i="1"/>
  <c r="E959" i="1"/>
  <c r="E958" i="1"/>
  <c r="E960" i="1"/>
  <c r="E962" i="1"/>
  <c r="E961" i="1"/>
  <c r="E963" i="1"/>
  <c r="E964" i="1"/>
  <c r="E965" i="1"/>
  <c r="E966" i="1"/>
  <c r="E967" i="1"/>
  <c r="E968" i="1"/>
  <c r="E969" i="1"/>
  <c r="E970" i="1"/>
  <c r="E972" i="1"/>
  <c r="E971" i="1"/>
  <c r="E974" i="1"/>
  <c r="E973" i="1"/>
  <c r="E975" i="1"/>
  <c r="E976" i="1"/>
  <c r="E977" i="1"/>
  <c r="E978" i="1"/>
  <c r="E979" i="1"/>
  <c r="E980" i="1"/>
  <c r="E982" i="1"/>
  <c r="E981" i="1"/>
  <c r="E983" i="1"/>
  <c r="E984" i="1"/>
  <c r="E985" i="1"/>
  <c r="E986" i="1"/>
  <c r="E987" i="1"/>
  <c r="E988" i="1"/>
  <c r="E989" i="1"/>
  <c r="E990" i="1"/>
  <c r="E993" i="1"/>
  <c r="E991" i="1"/>
  <c r="E992" i="1"/>
  <c r="E995" i="1"/>
  <c r="E994" i="1"/>
  <c r="E996" i="1"/>
  <c r="E1002" i="1"/>
  <c r="E1000" i="1"/>
  <c r="E997" i="1"/>
  <c r="E998" i="1"/>
  <c r="E999" i="1"/>
  <c r="E1001" i="1"/>
  <c r="E1003" i="1"/>
  <c r="E1004" i="1"/>
  <c r="E1007" i="1"/>
  <c r="E1005" i="1"/>
  <c r="E1006" i="1"/>
  <c r="E1008" i="1"/>
  <c r="E1010" i="1"/>
  <c r="E1009" i="1"/>
  <c r="E1012" i="1"/>
  <c r="E1011" i="1"/>
  <c r="E1013" i="1"/>
  <c r="E1014" i="1"/>
  <c r="E1015" i="1"/>
  <c r="E1016" i="1"/>
  <c r="E1017" i="1"/>
  <c r="E1018" i="1"/>
  <c r="E1019" i="1"/>
  <c r="E1021" i="1"/>
  <c r="E1020" i="1"/>
  <c r="E1022" i="1"/>
  <c r="E1023" i="1"/>
  <c r="E1025" i="1"/>
  <c r="E1024" i="1"/>
  <c r="E1026" i="1"/>
  <c r="E1028" i="1"/>
  <c r="E1027" i="1"/>
  <c r="E1029" i="1"/>
  <c r="E1031" i="1"/>
  <c r="E1030" i="1"/>
  <c r="E1032" i="1"/>
  <c r="E1034" i="1"/>
  <c r="E1033" i="1"/>
  <c r="E1035" i="1"/>
  <c r="E1038" i="1"/>
  <c r="E1036" i="1"/>
  <c r="E1037" i="1"/>
  <c r="E1039" i="1"/>
  <c r="E1040" i="1"/>
  <c r="E1041" i="1"/>
  <c r="E1042" i="1"/>
  <c r="E1043" i="1"/>
  <c r="E1044" i="1"/>
  <c r="E1046" i="1"/>
  <c r="E1045" i="1"/>
  <c r="E1049" i="1"/>
  <c r="E1047" i="1"/>
  <c r="E1048" i="1"/>
  <c r="E1050" i="1"/>
  <c r="E1051" i="1"/>
  <c r="E1052" i="1"/>
  <c r="E1053" i="1"/>
  <c r="E1055" i="1"/>
  <c r="E1054" i="1"/>
  <c r="E1056" i="1"/>
  <c r="E1057" i="1"/>
  <c r="E1058" i="1"/>
  <c r="E1059" i="1"/>
  <c r="E1061" i="1"/>
  <c r="E1060" i="1"/>
  <c r="E1063" i="1"/>
  <c r="E1062" i="1"/>
  <c r="E1064" i="1"/>
  <c r="E1065" i="1"/>
  <c r="E1066" i="1"/>
  <c r="E1070" i="1"/>
  <c r="E1068" i="1"/>
  <c r="E1069" i="1"/>
  <c r="E1071" i="1"/>
  <c r="E1067" i="1"/>
  <c r="E1072" i="1"/>
  <c r="E1073" i="1"/>
  <c r="E1074" i="1"/>
  <c r="E1075" i="1"/>
  <c r="E1076" i="1"/>
  <c r="E1078" i="1"/>
  <c r="E1077" i="1"/>
  <c r="E1080" i="1"/>
  <c r="E1079" i="1"/>
  <c r="E1081" i="1"/>
  <c r="E1083" i="1"/>
  <c r="E1084" i="1"/>
  <c r="E1082" i="1"/>
  <c r="E1085" i="1"/>
  <c r="E1086" i="1"/>
  <c r="E1089" i="1"/>
  <c r="E1088" i="1"/>
  <c r="E1087" i="1"/>
  <c r="E1090" i="1"/>
  <c r="E1091" i="1"/>
  <c r="E1093" i="1"/>
  <c r="E1094" i="1"/>
  <c r="E1092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4" i="1"/>
  <c r="E1115" i="1"/>
  <c r="E1112" i="1"/>
  <c r="E1113" i="1"/>
  <c r="E1116" i="1"/>
  <c r="E1111" i="1"/>
  <c r="E1119" i="1"/>
  <c r="E1118" i="1"/>
  <c r="E1117" i="1"/>
  <c r="E1121" i="1"/>
  <c r="E1120" i="1"/>
  <c r="E1122" i="1"/>
  <c r="E1123" i="1"/>
  <c r="E1124" i="1"/>
  <c r="E1126" i="1"/>
  <c r="E1125" i="1"/>
  <c r="E1127" i="1"/>
  <c r="E1128" i="1"/>
  <c r="E1131" i="1"/>
  <c r="E1130" i="1"/>
  <c r="E1129" i="1"/>
  <c r="E1133" i="1"/>
  <c r="E1132" i="1"/>
  <c r="E1134" i="1"/>
  <c r="E1135" i="1"/>
  <c r="E1136" i="1"/>
  <c r="E1138" i="1"/>
  <c r="E1137" i="1"/>
  <c r="E1139" i="1"/>
  <c r="E1141" i="1"/>
  <c r="E1144" i="1"/>
  <c r="E1142" i="1"/>
  <c r="E1140" i="1"/>
  <c r="E1143" i="1"/>
  <c r="E1146" i="1"/>
  <c r="E1145" i="1"/>
  <c r="E1149" i="1"/>
  <c r="E1147" i="1"/>
  <c r="E1148" i="1"/>
  <c r="E1150" i="1"/>
  <c r="E1151" i="1"/>
  <c r="E1152" i="1"/>
  <c r="E1153" i="1"/>
  <c r="E1156" i="1"/>
  <c r="E1154" i="1"/>
  <c r="E1155" i="1"/>
  <c r="E1160" i="1"/>
  <c r="E1157" i="1"/>
  <c r="E1159" i="1"/>
  <c r="E1158" i="1"/>
  <c r="E1161" i="1"/>
  <c r="E1162" i="1"/>
  <c r="E1163" i="1"/>
  <c r="E1164" i="1"/>
  <c r="E1165" i="1"/>
  <c r="E1166" i="1"/>
  <c r="E1169" i="1"/>
  <c r="E1168" i="1"/>
  <c r="E1167" i="1"/>
  <c r="E1171" i="1"/>
  <c r="E1172" i="1"/>
  <c r="E1170" i="1"/>
  <c r="E1176" i="1"/>
  <c r="E1175" i="1"/>
  <c r="E1174" i="1"/>
  <c r="E1173" i="1"/>
  <c r="E1178" i="1"/>
  <c r="E1177" i="1"/>
  <c r="E1180" i="1"/>
  <c r="E1181" i="1"/>
  <c r="E1182" i="1"/>
  <c r="E1179" i="1"/>
  <c r="E1183" i="1"/>
  <c r="E1185" i="1"/>
  <c r="E1186" i="1"/>
  <c r="E1184" i="1"/>
  <c r="E1188" i="1"/>
  <c r="E1189" i="1"/>
  <c r="E1187" i="1"/>
  <c r="E1190" i="1"/>
  <c r="E1191" i="1"/>
  <c r="E1192" i="1"/>
  <c r="E1193" i="1"/>
  <c r="E1196" i="1"/>
  <c r="E1195" i="1"/>
  <c r="E1194" i="1"/>
  <c r="E1198" i="1"/>
  <c r="E1197" i="1"/>
  <c r="E1199" i="1"/>
  <c r="E1200" i="1"/>
  <c r="E1201" i="1"/>
  <c r="E1205" i="1"/>
  <c r="E1204" i="1"/>
  <c r="E1203" i="1"/>
  <c r="E1206" i="1"/>
  <c r="E1202" i="1"/>
  <c r="E1210" i="1"/>
  <c r="E1209" i="1"/>
  <c r="E1207" i="1"/>
  <c r="E1211" i="1"/>
  <c r="E1208" i="1"/>
  <c r="E1214" i="1"/>
  <c r="E1212" i="1"/>
  <c r="E1213" i="1"/>
  <c r="E1215" i="1"/>
  <c r="E1216" i="1"/>
  <c r="E1217" i="1"/>
  <c r="E1219" i="1"/>
  <c r="E1218" i="1"/>
  <c r="E1220" i="1"/>
  <c r="E1221" i="1"/>
  <c r="E1222" i="1"/>
  <c r="E1223" i="1"/>
  <c r="E1228" i="1"/>
  <c r="E1224" i="1"/>
  <c r="E1226" i="1"/>
  <c r="E1227" i="1"/>
  <c r="E1225" i="1"/>
  <c r="E1229" i="1"/>
  <c r="E1230" i="1"/>
  <c r="E1232" i="1"/>
  <c r="E1233" i="1"/>
  <c r="E1231" i="1"/>
  <c r="E1236" i="1"/>
  <c r="E1234" i="1"/>
  <c r="E1235" i="1"/>
  <c r="E1237" i="1"/>
  <c r="E1239" i="1"/>
  <c r="E1238" i="1"/>
  <c r="E1240" i="1"/>
  <c r="E1242" i="1"/>
  <c r="E1241" i="1"/>
  <c r="E1246" i="1"/>
  <c r="E1244" i="1"/>
  <c r="E1245" i="1"/>
  <c r="E1243" i="1"/>
  <c r="E1247" i="1"/>
  <c r="E1248" i="1"/>
  <c r="E1249" i="1"/>
  <c r="E1250" i="1"/>
  <c r="E1252" i="1"/>
  <c r="E1251" i="1"/>
  <c r="E1253" i="1"/>
  <c r="E1254" i="1"/>
  <c r="E1256" i="1"/>
  <c r="E1255" i="1"/>
  <c r="E1258" i="1"/>
  <c r="E1257" i="1"/>
  <c r="E1259" i="1"/>
  <c r="E1260" i="1"/>
  <c r="E1261" i="1"/>
  <c r="E1262" i="1"/>
  <c r="E1263" i="1"/>
  <c r="E1264" i="1"/>
  <c r="E1267" i="1"/>
  <c r="E1266" i="1"/>
  <c r="E1268" i="1"/>
  <c r="E1265" i="1"/>
  <c r="E1271" i="1"/>
  <c r="E1272" i="1"/>
  <c r="E1269" i="1"/>
  <c r="E1270" i="1"/>
  <c r="E1274" i="1"/>
  <c r="E1273" i="1"/>
  <c r="E1276" i="1"/>
  <c r="E1275" i="1"/>
  <c r="E1278" i="1"/>
  <c r="E1281" i="1"/>
  <c r="E1277" i="1"/>
  <c r="E1279" i="1"/>
  <c r="E1282" i="1"/>
  <c r="E1280" i="1"/>
  <c r="E1284" i="1"/>
  <c r="E1283" i="1"/>
  <c r="E1285" i="1"/>
  <c r="E1286" i="1"/>
  <c r="E1288" i="1"/>
  <c r="E1287" i="1"/>
  <c r="E1289" i="1"/>
  <c r="E1290" i="1"/>
  <c r="E1291" i="1"/>
  <c r="E1292" i="1"/>
  <c r="E1293" i="1"/>
  <c r="E1295" i="1"/>
  <c r="E1294" i="1"/>
  <c r="E1296" i="1"/>
  <c r="E1297" i="1"/>
  <c r="E1298" i="1"/>
  <c r="E1300" i="1"/>
  <c r="E1299" i="1"/>
  <c r="E1301" i="1"/>
  <c r="E1302" i="1"/>
  <c r="E1303" i="1"/>
  <c r="E1304" i="1"/>
  <c r="E1306" i="1"/>
  <c r="E1305" i="1"/>
  <c r="E1309" i="1"/>
  <c r="E1307" i="1"/>
  <c r="E1308" i="1"/>
  <c r="E1312" i="1"/>
  <c r="E1313" i="1"/>
  <c r="E1310" i="1"/>
  <c r="E1311" i="1"/>
  <c r="E1314" i="1"/>
  <c r="E1315" i="1"/>
  <c r="E1319" i="1"/>
  <c r="E1317" i="1"/>
  <c r="E1316" i="1"/>
  <c r="E1318" i="1"/>
  <c r="E1320" i="1"/>
  <c r="E1321" i="1"/>
  <c r="E1323" i="1"/>
  <c r="E1322" i="1"/>
  <c r="E1324" i="1"/>
  <c r="E1325" i="1"/>
  <c r="E1326" i="1"/>
  <c r="E1328" i="1"/>
  <c r="E1327" i="1"/>
  <c r="E1331" i="1"/>
  <c r="E1330" i="1"/>
  <c r="E1329" i="1"/>
  <c r="E1332" i="1"/>
  <c r="E1333" i="1"/>
  <c r="E1335" i="1"/>
  <c r="E1334" i="1"/>
  <c r="E1337" i="1"/>
  <c r="E1336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1" i="1"/>
  <c r="E1350" i="1"/>
  <c r="E1352" i="1"/>
  <c r="E1353" i="1"/>
  <c r="E1354" i="1"/>
  <c r="E1356" i="1"/>
  <c r="E1355" i="1"/>
  <c r="E1358" i="1"/>
  <c r="E1357" i="1"/>
  <c r="E1359" i="1"/>
  <c r="E1360" i="1"/>
  <c r="E1361" i="1"/>
  <c r="E1362" i="1"/>
  <c r="E1365" i="1"/>
  <c r="E1364" i="1"/>
  <c r="E1363" i="1"/>
  <c r="E1366" i="1"/>
  <c r="E1369" i="1"/>
  <c r="E1368" i="1"/>
  <c r="E1367" i="1"/>
  <c r="E1370" i="1"/>
  <c r="E1371" i="1"/>
  <c r="E1373" i="1"/>
  <c r="E1372" i="1"/>
  <c r="E1374" i="1"/>
  <c r="E1377" i="1"/>
  <c r="E1376" i="1"/>
  <c r="E1375" i="1"/>
  <c r="E1380" i="1"/>
  <c r="E1379" i="1"/>
  <c r="E1381" i="1"/>
  <c r="E1378" i="1"/>
  <c r="E1382" i="1"/>
  <c r="E1383" i="1"/>
  <c r="E1385" i="1"/>
  <c r="E1384" i="1"/>
  <c r="E1386" i="1"/>
  <c r="E1387" i="1"/>
  <c r="E1390" i="1"/>
  <c r="E1389" i="1"/>
  <c r="E1388" i="1"/>
  <c r="E1392" i="1"/>
  <c r="E1395" i="1"/>
  <c r="E1393" i="1"/>
  <c r="E1394" i="1"/>
  <c r="E1391" i="1"/>
  <c r="E1396" i="1"/>
  <c r="E1397" i="1"/>
  <c r="E1398" i="1"/>
  <c r="E1399" i="1"/>
  <c r="E1400" i="1"/>
  <c r="E1401" i="1"/>
  <c r="E1403" i="1"/>
  <c r="E1402" i="1"/>
  <c r="E1405" i="1"/>
  <c r="E1404" i="1"/>
  <c r="E1407" i="1"/>
  <c r="E1409" i="1"/>
  <c r="E1408" i="1"/>
  <c r="E1406" i="1"/>
  <c r="E1410" i="1"/>
  <c r="E1412" i="1"/>
  <c r="E1414" i="1"/>
  <c r="E1413" i="1"/>
  <c r="E1411" i="1"/>
  <c r="E1416" i="1"/>
  <c r="E1415" i="1"/>
  <c r="E1417" i="1"/>
  <c r="E1419" i="1"/>
  <c r="E1418" i="1"/>
  <c r="E1421" i="1"/>
  <c r="E1420" i="1"/>
  <c r="E1423" i="1"/>
  <c r="E1422" i="1"/>
  <c r="E1424" i="1"/>
  <c r="E1425" i="1"/>
  <c r="E1426" i="1"/>
  <c r="E1427" i="1"/>
  <c r="E1428" i="1"/>
  <c r="E1431" i="1"/>
  <c r="E1429" i="1"/>
  <c r="E1430" i="1"/>
  <c r="E1433" i="1"/>
  <c r="E1432" i="1"/>
  <c r="E1434" i="1"/>
  <c r="E1435" i="1"/>
  <c r="E1436" i="1"/>
  <c r="E1437" i="1"/>
  <c r="E1438" i="1"/>
  <c r="E1439" i="1"/>
  <c r="E1441" i="1"/>
  <c r="E1444" i="1"/>
  <c r="E1445" i="1"/>
  <c r="E1442" i="1"/>
  <c r="E1440" i="1"/>
  <c r="E1443" i="1"/>
  <c r="E1446" i="1"/>
  <c r="E1448" i="1"/>
  <c r="E1447" i="1"/>
  <c r="E1450" i="1"/>
  <c r="E1449" i="1"/>
  <c r="E1453" i="1"/>
  <c r="E1451" i="1"/>
  <c r="E1452" i="1"/>
  <c r="E1455" i="1"/>
  <c r="E1454" i="1"/>
  <c r="E1456" i="1"/>
  <c r="E1457" i="1"/>
  <c r="E1458" i="1"/>
  <c r="E1459" i="1"/>
  <c r="E1461" i="1"/>
  <c r="E1460" i="1"/>
  <c r="E1462" i="1"/>
  <c r="E1464" i="1"/>
  <c r="E1463" i="1"/>
  <c r="E1465" i="1"/>
  <c r="E1466" i="1"/>
  <c r="E1467" i="1"/>
  <c r="E1468" i="1"/>
  <c r="E1469" i="1"/>
  <c r="E1472" i="1"/>
  <c r="E1470" i="1"/>
  <c r="E1471" i="1"/>
  <c r="E1473" i="1"/>
  <c r="E1475" i="1"/>
  <c r="E1474" i="1"/>
  <c r="E1476" i="1"/>
  <c r="E1479" i="1"/>
  <c r="E1478" i="1"/>
  <c r="E1477" i="1"/>
  <c r="E1481" i="1"/>
  <c r="E1480" i="1"/>
  <c r="E1482" i="1"/>
  <c r="E1483" i="1"/>
  <c r="E1486" i="1"/>
  <c r="E1485" i="1"/>
  <c r="E1484" i="1"/>
  <c r="E1488" i="1"/>
  <c r="E1489" i="1"/>
  <c r="E1487" i="1"/>
  <c r="E1490" i="1"/>
  <c r="E1491" i="1"/>
  <c r="E1492" i="1"/>
  <c r="E1493" i="1"/>
  <c r="E1494" i="1"/>
  <c r="E1496" i="1"/>
  <c r="E1495" i="1"/>
  <c r="E1497" i="1"/>
  <c r="E1498" i="1"/>
  <c r="E1499" i="1"/>
  <c r="E1501" i="1"/>
  <c r="E1500" i="1"/>
  <c r="E1505" i="1"/>
  <c r="E1504" i="1"/>
  <c r="E1503" i="1"/>
  <c r="E1502" i="1"/>
  <c r="E1507" i="1"/>
  <c r="E1506" i="1"/>
  <c r="E1509" i="1"/>
  <c r="E1508" i="1"/>
  <c r="E1511" i="1"/>
  <c r="E1510" i="1"/>
  <c r="E1512" i="1"/>
  <c r="E1513" i="1"/>
  <c r="E1514" i="1"/>
  <c r="E1518" i="1"/>
  <c r="E1515" i="1"/>
  <c r="E1516" i="1"/>
  <c r="E1517" i="1"/>
  <c r="E1520" i="1"/>
  <c r="E1519" i="1"/>
  <c r="E1524" i="1"/>
  <c r="E1523" i="1"/>
  <c r="E1521" i="1"/>
  <c r="E1522" i="1"/>
  <c r="E1525" i="1"/>
  <c r="E1526" i="1"/>
  <c r="E1527" i="1"/>
  <c r="E1528" i="1"/>
  <c r="E1529" i="1"/>
  <c r="E1530" i="1"/>
  <c r="E1532" i="1"/>
  <c r="E1531" i="1"/>
  <c r="E1533" i="1"/>
  <c r="E1534" i="1"/>
  <c r="E1537" i="1"/>
  <c r="E1535" i="1"/>
  <c r="E1536" i="1"/>
  <c r="E1539" i="1"/>
  <c r="E1538" i="1"/>
  <c r="E1540" i="1"/>
  <c r="E1544" i="1"/>
  <c r="E1542" i="1"/>
  <c r="E1543" i="1"/>
  <c r="E1541" i="1"/>
  <c r="E1547" i="1"/>
  <c r="E1545" i="1"/>
  <c r="E1548" i="1"/>
  <c r="E1546" i="1"/>
  <c r="E1549" i="1"/>
  <c r="E1550" i="1"/>
  <c r="E1552" i="1"/>
  <c r="E1551" i="1"/>
  <c r="E1554" i="1"/>
  <c r="E1553" i="1"/>
  <c r="E1556" i="1"/>
  <c r="E1555" i="1"/>
  <c r="E1557" i="1"/>
  <c r="E1558" i="1"/>
  <c r="E1560" i="1"/>
  <c r="E1559" i="1"/>
  <c r="E1561" i="1"/>
  <c r="E1562" i="1"/>
  <c r="E1564" i="1"/>
  <c r="E1563" i="1"/>
  <c r="E1565" i="1"/>
  <c r="E1566" i="1"/>
  <c r="E1567" i="1"/>
  <c r="E1570" i="1"/>
  <c r="E1568" i="1"/>
  <c r="E1569" i="1"/>
  <c r="E1572" i="1"/>
  <c r="E1571" i="1"/>
  <c r="E1573" i="1"/>
  <c r="E1574" i="1"/>
  <c r="E1575" i="1"/>
  <c r="E1576" i="1"/>
  <c r="E1578" i="1"/>
  <c r="E1577" i="1"/>
  <c r="E1579" i="1"/>
  <c r="E1580" i="1"/>
  <c r="E1583" i="1"/>
  <c r="E1584" i="1"/>
  <c r="E1581" i="1"/>
  <c r="E1582" i="1"/>
  <c r="E1585" i="1"/>
  <c r="E1587" i="1"/>
  <c r="E1586" i="1"/>
  <c r="E1588" i="1"/>
  <c r="E1589" i="1"/>
  <c r="E1590" i="1"/>
  <c r="E1591" i="1"/>
  <c r="E1592" i="1"/>
  <c r="E1593" i="1"/>
  <c r="E1595" i="1"/>
  <c r="E1594" i="1"/>
  <c r="E1597" i="1"/>
  <c r="E1596" i="1"/>
  <c r="E1599" i="1"/>
  <c r="E1598" i="1"/>
  <c r="E1600" i="1"/>
  <c r="E1603" i="1"/>
  <c r="E1602" i="1"/>
  <c r="E1601" i="1"/>
  <c r="E1604" i="1"/>
  <c r="E1605" i="1"/>
  <c r="E1606" i="1"/>
  <c r="E1607" i="1"/>
  <c r="E1608" i="1"/>
  <c r="E1609" i="1"/>
  <c r="E1610" i="1"/>
  <c r="E1611" i="1"/>
  <c r="E1613" i="1"/>
  <c r="E1612" i="1"/>
  <c r="E1614" i="1"/>
  <c r="E1616" i="1"/>
  <c r="E1615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4" i="1"/>
  <c r="E1632" i="1"/>
  <c r="E1633" i="1"/>
  <c r="E1636" i="1"/>
  <c r="E1635" i="1"/>
  <c r="E1637" i="1"/>
  <c r="E1640" i="1"/>
  <c r="E1639" i="1"/>
  <c r="E1638" i="1"/>
  <c r="E1641" i="1"/>
  <c r="E1642" i="1"/>
  <c r="E1643" i="1"/>
  <c r="E1644" i="1"/>
  <c r="E1645" i="1"/>
  <c r="E1647" i="1"/>
  <c r="E1646" i="1"/>
  <c r="E1648" i="1"/>
  <c r="E1649" i="1"/>
  <c r="E1650" i="1"/>
  <c r="E1651" i="1"/>
  <c r="E1652" i="1"/>
  <c r="E1653" i="1"/>
  <c r="E1654" i="1"/>
  <c r="E1655" i="1"/>
  <c r="E1658" i="1"/>
  <c r="E1657" i="1"/>
  <c r="E1656" i="1"/>
  <c r="E1659" i="1"/>
  <c r="E1661" i="1"/>
  <c r="E1660" i="1"/>
  <c r="E1662" i="1"/>
  <c r="E1663" i="1"/>
  <c r="E1664" i="1"/>
  <c r="E1665" i="1"/>
  <c r="E1667" i="1"/>
  <c r="E1666" i="1"/>
  <c r="E1670" i="1"/>
  <c r="E1669" i="1"/>
  <c r="E1668" i="1"/>
  <c r="E1671" i="1"/>
  <c r="E1673" i="1"/>
  <c r="E1672" i="1"/>
  <c r="E1674" i="1"/>
  <c r="E1676" i="1"/>
  <c r="E1675" i="1"/>
  <c r="E1677" i="1"/>
  <c r="E1679" i="1"/>
  <c r="E1678" i="1"/>
  <c r="E1680" i="1"/>
  <c r="E1681" i="1"/>
  <c r="E1682" i="1"/>
  <c r="E1683" i="1"/>
  <c r="E1684" i="1"/>
  <c r="E1687" i="1"/>
  <c r="E1685" i="1"/>
  <c r="E1686" i="1"/>
  <c r="E1689" i="1"/>
  <c r="E1688" i="1"/>
  <c r="E1691" i="1"/>
  <c r="E1690" i="1"/>
  <c r="E1693" i="1"/>
  <c r="E1692" i="1"/>
  <c r="E1694" i="1"/>
  <c r="E1695" i="1"/>
  <c r="E1696" i="1"/>
  <c r="E1697" i="1"/>
  <c r="E1699" i="1"/>
  <c r="E1698" i="1"/>
  <c r="E1700" i="1"/>
  <c r="E1701" i="1"/>
  <c r="E1702" i="1"/>
  <c r="E1703" i="1"/>
  <c r="E1705" i="1"/>
  <c r="E1704" i="1"/>
  <c r="E1706" i="1"/>
  <c r="E1708" i="1"/>
  <c r="E1709" i="1"/>
  <c r="E1707" i="1"/>
  <c r="E1711" i="1"/>
  <c r="E1710" i="1"/>
  <c r="E1712" i="1"/>
  <c r="E1713" i="1"/>
  <c r="E1715" i="1"/>
  <c r="E1714" i="1"/>
  <c r="E1716" i="1"/>
  <c r="E1717" i="1"/>
  <c r="E1719" i="1"/>
  <c r="E1718" i="1"/>
  <c r="E1720" i="1"/>
  <c r="E1722" i="1"/>
  <c r="E1721" i="1"/>
  <c r="E1725" i="1"/>
  <c r="E1723" i="1"/>
  <c r="E1724" i="1"/>
  <c r="E1726" i="1"/>
  <c r="E1727" i="1"/>
  <c r="E1728" i="1"/>
  <c r="E1730" i="1"/>
  <c r="E1729" i="1"/>
  <c r="E1731" i="1"/>
  <c r="E1732" i="1"/>
  <c r="E1733" i="1"/>
  <c r="E1734" i="1"/>
  <c r="E1735" i="1"/>
  <c r="E1736" i="1"/>
  <c r="E1739" i="1"/>
  <c r="E1737" i="1"/>
  <c r="E1740" i="1"/>
  <c r="E1738" i="1"/>
  <c r="E1741" i="1"/>
  <c r="E1742" i="1"/>
  <c r="E1743" i="1"/>
  <c r="E1744" i="1"/>
  <c r="E1745" i="1"/>
  <c r="E1746" i="1"/>
  <c r="E1749" i="1"/>
  <c r="E1751" i="1"/>
  <c r="E1748" i="1"/>
  <c r="E1752" i="1"/>
  <c r="E1747" i="1"/>
  <c r="E1750" i="1"/>
  <c r="E1753" i="1"/>
  <c r="E1754" i="1"/>
  <c r="E1755" i="1"/>
  <c r="E1757" i="1"/>
  <c r="E1756" i="1"/>
  <c r="E1759" i="1"/>
  <c r="E1758" i="1"/>
  <c r="E1760" i="1"/>
  <c r="E1761" i="1"/>
  <c r="E1762" i="1"/>
  <c r="E1764" i="1"/>
  <c r="E1763" i="1"/>
  <c r="E1765" i="1"/>
  <c r="E1767" i="1"/>
  <c r="E1768" i="1"/>
  <c r="E1766" i="1"/>
  <c r="E1769" i="1"/>
  <c r="E1770" i="1"/>
  <c r="E1771" i="1"/>
  <c r="E1774" i="1"/>
  <c r="E1772" i="1"/>
  <c r="E1773" i="1"/>
  <c r="E1776" i="1"/>
  <c r="E1775" i="1"/>
  <c r="E1778" i="1"/>
  <c r="E1777" i="1"/>
  <c r="E1779" i="1"/>
  <c r="E1780" i="1"/>
  <c r="E1782" i="1"/>
  <c r="E1781" i="1"/>
  <c r="E1783" i="1"/>
  <c r="E1784" i="1"/>
  <c r="E1787" i="1"/>
  <c r="E1785" i="1"/>
  <c r="E1786" i="1"/>
  <c r="E1788" i="1"/>
  <c r="E1789" i="1"/>
  <c r="E1790" i="1"/>
  <c r="E1792" i="1"/>
  <c r="E1791" i="1"/>
  <c r="E1794" i="1"/>
  <c r="E1793" i="1"/>
  <c r="E1795" i="1"/>
  <c r="E1797" i="1"/>
  <c r="E1798" i="1"/>
  <c r="E1796" i="1"/>
  <c r="E1799" i="1"/>
  <c r="E1801" i="1"/>
  <c r="E1800" i="1"/>
  <c r="E1802" i="1"/>
  <c r="E1806" i="1"/>
  <c r="E1803" i="1"/>
  <c r="E1804" i="1"/>
  <c r="E1805" i="1"/>
  <c r="E1807" i="1"/>
  <c r="E1811" i="1"/>
  <c r="E1810" i="1"/>
  <c r="E1809" i="1"/>
  <c r="E1808" i="1"/>
  <c r="E1812" i="1"/>
  <c r="E1813" i="1"/>
  <c r="E1814" i="1"/>
  <c r="E1815" i="1"/>
  <c r="E1816" i="1"/>
  <c r="E1817" i="1"/>
  <c r="E1818" i="1"/>
  <c r="E1821" i="1"/>
  <c r="E1819" i="1"/>
  <c r="E1820" i="1"/>
  <c r="E1822" i="1"/>
  <c r="E1824" i="1"/>
  <c r="E1823" i="1"/>
  <c r="E1826" i="1"/>
  <c r="E1825" i="1"/>
  <c r="E1828" i="1"/>
  <c r="E1827" i="1"/>
  <c r="E1829" i="1"/>
  <c r="E1830" i="1"/>
  <c r="E1833" i="1"/>
  <c r="E1831" i="1"/>
  <c r="E1832" i="1"/>
  <c r="E1834" i="1"/>
  <c r="E1835" i="1"/>
  <c r="E1836" i="1"/>
  <c r="E1837" i="1"/>
  <c r="E1838" i="1"/>
  <c r="E1839" i="1"/>
  <c r="E1840" i="1"/>
  <c r="E1841" i="1"/>
  <c r="E1842" i="1"/>
  <c r="E1844" i="1"/>
  <c r="E1843" i="1"/>
  <c r="E1845" i="1"/>
  <c r="E1846" i="1"/>
  <c r="E1847" i="1"/>
  <c r="E1848" i="1"/>
  <c r="E1849" i="1"/>
  <c r="E1850" i="1"/>
  <c r="E1851" i="1"/>
  <c r="E1852" i="1"/>
  <c r="E1853" i="1"/>
  <c r="E1854" i="1"/>
  <c r="E1857" i="1"/>
  <c r="E1855" i="1"/>
  <c r="E1856" i="1"/>
  <c r="E1858" i="1"/>
  <c r="E1859" i="1"/>
  <c r="E1860" i="1"/>
  <c r="E1862" i="1"/>
  <c r="E1861" i="1"/>
  <c r="E1863" i="1"/>
  <c r="E1865" i="1"/>
  <c r="E1864" i="1"/>
  <c r="E1866" i="1"/>
  <c r="E1867" i="1"/>
  <c r="E1868" i="1"/>
  <c r="E1871" i="1"/>
  <c r="E1872" i="1"/>
  <c r="E1870" i="1"/>
  <c r="E1869" i="1"/>
  <c r="E1873" i="1"/>
  <c r="E1874" i="1"/>
  <c r="E1875" i="1"/>
  <c r="E1878" i="1"/>
  <c r="E1877" i="1"/>
  <c r="E1876" i="1"/>
  <c r="E1879" i="1"/>
  <c r="E1880" i="1"/>
  <c r="E1881" i="1"/>
  <c r="E1882" i="1"/>
  <c r="E1885" i="1"/>
  <c r="E1883" i="1"/>
  <c r="E1884" i="1"/>
  <c r="E1886" i="1"/>
  <c r="E1887" i="1"/>
  <c r="E1888" i="1"/>
  <c r="E1890" i="1"/>
  <c r="E1889" i="1"/>
  <c r="E1891" i="1"/>
  <c r="E1892" i="1"/>
  <c r="E1894" i="1"/>
  <c r="E1893" i="1"/>
  <c r="E1897" i="1"/>
  <c r="E1895" i="1"/>
  <c r="E1898" i="1"/>
  <c r="E1896" i="1"/>
  <c r="E1899" i="1"/>
  <c r="E1901" i="1"/>
  <c r="E1900" i="1"/>
  <c r="E1902" i="1"/>
  <c r="E1905" i="1"/>
  <c r="E1903" i="1"/>
  <c r="E1904" i="1"/>
  <c r="E1907" i="1"/>
  <c r="E1906" i="1"/>
  <c r="E1909" i="1"/>
  <c r="E1908" i="1"/>
  <c r="E1910" i="1"/>
  <c r="E1912" i="1"/>
  <c r="E1911" i="1"/>
  <c r="E1914" i="1"/>
  <c r="E1913" i="1"/>
  <c r="E1916" i="1"/>
  <c r="E1915" i="1"/>
  <c r="E1917" i="1"/>
  <c r="E1918" i="1"/>
  <c r="E1921" i="1"/>
  <c r="E1919" i="1"/>
  <c r="E1920" i="1"/>
  <c r="E1922" i="1"/>
  <c r="E1923" i="1"/>
  <c r="E1924" i="1"/>
  <c r="E1925" i="1"/>
  <c r="E1926" i="1"/>
  <c r="E1927" i="1"/>
  <c r="E1929" i="1"/>
  <c r="E1930" i="1"/>
  <c r="E1928" i="1"/>
  <c r="E1933" i="1"/>
  <c r="E1931" i="1"/>
  <c r="E1932" i="1"/>
  <c r="E1934" i="1"/>
  <c r="E1937" i="1"/>
  <c r="E1936" i="1"/>
  <c r="E1935" i="1"/>
  <c r="E1938" i="1"/>
  <c r="E1939" i="1"/>
  <c r="E1940" i="1"/>
  <c r="E1941" i="1"/>
  <c r="E1942" i="1"/>
  <c r="E1944" i="1"/>
  <c r="E1945" i="1"/>
  <c r="E1943" i="1"/>
  <c r="E1946" i="1"/>
  <c r="E1947" i="1"/>
  <c r="E1948" i="1"/>
  <c r="E1949" i="1"/>
  <c r="E1950" i="1"/>
  <c r="E1951" i="1"/>
  <c r="E1952" i="1"/>
  <c r="E1953" i="1"/>
  <c r="E1955" i="1"/>
  <c r="E1954" i="1"/>
  <c r="E1956" i="1"/>
  <c r="E1957" i="1"/>
  <c r="E1960" i="1"/>
  <c r="E1959" i="1"/>
  <c r="E1961" i="1"/>
  <c r="E1958" i="1"/>
  <c r="E1962" i="1"/>
  <c r="E1963" i="1"/>
  <c r="E1964" i="1"/>
  <c r="E1966" i="1"/>
  <c r="E1965" i="1"/>
  <c r="E1967" i="1"/>
  <c r="E1969" i="1"/>
  <c r="E1968" i="1"/>
  <c r="E1970" i="1"/>
  <c r="E1971" i="1"/>
  <c r="E1973" i="1"/>
  <c r="E1972" i="1"/>
  <c r="E1974" i="1"/>
  <c r="E1975" i="1"/>
  <c r="E1977" i="1"/>
  <c r="E1979" i="1"/>
  <c r="E1976" i="1"/>
  <c r="E1978" i="1"/>
  <c r="E1980" i="1"/>
  <c r="E1982" i="1"/>
  <c r="E1981" i="1"/>
  <c r="E1983" i="1"/>
  <c r="E1984" i="1"/>
  <c r="E1985" i="1"/>
  <c r="E1986" i="1"/>
  <c r="E1987" i="1"/>
  <c r="E1988" i="1"/>
  <c r="E1990" i="1"/>
  <c r="E1989" i="1"/>
  <c r="E1991" i="1"/>
  <c r="E1992" i="1"/>
  <c r="E1994" i="1"/>
  <c r="E1993" i="1"/>
  <c r="E1996" i="1"/>
  <c r="E1995" i="1"/>
  <c r="E1997" i="1"/>
  <c r="E1999" i="1"/>
  <c r="E1998" i="1"/>
  <c r="E2000" i="1"/>
  <c r="E2001" i="1"/>
  <c r="E2002" i="1"/>
  <c r="E2004" i="1"/>
  <c r="E2003" i="1"/>
  <c r="E2006" i="1"/>
  <c r="E2005" i="1"/>
  <c r="E2007" i="1"/>
  <c r="E2008" i="1"/>
  <c r="E2009" i="1"/>
  <c r="E2010" i="1"/>
  <c r="E2012" i="1"/>
  <c r="E2011" i="1"/>
  <c r="E2013" i="1"/>
  <c r="E2014" i="1"/>
  <c r="E2015" i="1"/>
  <c r="E2016" i="1"/>
  <c r="E2018" i="1"/>
  <c r="E2017" i="1"/>
  <c r="E2019" i="1"/>
  <c r="E2020" i="1"/>
  <c r="E2022" i="1"/>
  <c r="E2021" i="1"/>
  <c r="E2023" i="1"/>
  <c r="E2024" i="1"/>
  <c r="E2026" i="1"/>
  <c r="E2025" i="1"/>
  <c r="E2027" i="1"/>
  <c r="E2028" i="1"/>
  <c r="E2029" i="1"/>
  <c r="E2031" i="1"/>
  <c r="E2030" i="1"/>
  <c r="E2032" i="1"/>
  <c r="E2033" i="1"/>
  <c r="E2034" i="1"/>
  <c r="E2036" i="1"/>
  <c r="E2035" i="1"/>
  <c r="E2038" i="1"/>
  <c r="E2037" i="1"/>
  <c r="E2039" i="1"/>
  <c r="E2041" i="1"/>
  <c r="E2040" i="1"/>
  <c r="E2042" i="1"/>
  <c r="E2043" i="1"/>
  <c r="E2045" i="1"/>
  <c r="E2044" i="1"/>
  <c r="E2046" i="1"/>
  <c r="E2047" i="1"/>
  <c r="E2050" i="1"/>
  <c r="E2052" i="1"/>
  <c r="E2049" i="1"/>
  <c r="E2048" i="1"/>
  <c r="E2051" i="1"/>
  <c r="E2053" i="1"/>
  <c r="E2054" i="1"/>
  <c r="E2057" i="1"/>
  <c r="E2055" i="1"/>
  <c r="E2056" i="1"/>
  <c r="E2058" i="1"/>
  <c r="E2059" i="1"/>
  <c r="E2062" i="1"/>
  <c r="E2061" i="1"/>
  <c r="E2060" i="1"/>
  <c r="E2068" i="1"/>
  <c r="E2066" i="1"/>
  <c r="E2067" i="1"/>
  <c r="E2063" i="1"/>
  <c r="E2065" i="1"/>
  <c r="E2064" i="1"/>
  <c r="E2069" i="1"/>
  <c r="E2070" i="1"/>
  <c r="E2071" i="1"/>
  <c r="E2072" i="1"/>
  <c r="E2073" i="1"/>
  <c r="E2074" i="1"/>
  <c r="E2075" i="1"/>
  <c r="E2076" i="1"/>
  <c r="E2077" i="1"/>
  <c r="E2080" i="1"/>
  <c r="E2078" i="1"/>
  <c r="E2081" i="1"/>
  <c r="E2079" i="1"/>
  <c r="E2082" i="1"/>
  <c r="E2084" i="1"/>
  <c r="E2083" i="1"/>
  <c r="E2086" i="1"/>
  <c r="E2085" i="1"/>
  <c r="E2088" i="1"/>
  <c r="E2087" i="1"/>
  <c r="E2089" i="1"/>
  <c r="E2090" i="1"/>
  <c r="E2091" i="1"/>
  <c r="E2093" i="1"/>
  <c r="E2092" i="1"/>
  <c r="E2094" i="1"/>
  <c r="E2097" i="1"/>
  <c r="E2095" i="1"/>
  <c r="E2096" i="1"/>
  <c r="E2098" i="1"/>
  <c r="E2099" i="1"/>
  <c r="E2100" i="1"/>
  <c r="E2101" i="1"/>
  <c r="E2103" i="1"/>
  <c r="E2102" i="1"/>
  <c r="E2104" i="1"/>
  <c r="E2105" i="1"/>
  <c r="E2106" i="1"/>
  <c r="E2107" i="1"/>
  <c r="E2108" i="1"/>
  <c r="E2109" i="1"/>
  <c r="E2110" i="1"/>
  <c r="E2112" i="1"/>
  <c r="E2111" i="1"/>
  <c r="E2113" i="1"/>
  <c r="E2114" i="1"/>
  <c r="E2116" i="1"/>
  <c r="E2115" i="1"/>
  <c r="E2118" i="1"/>
  <c r="E2117" i="1"/>
  <c r="E2119" i="1"/>
  <c r="E2121" i="1"/>
  <c r="E2120" i="1"/>
  <c r="E2123" i="1"/>
  <c r="E2122" i="1"/>
  <c r="E2127" i="1"/>
  <c r="E2126" i="1"/>
  <c r="E2128" i="1"/>
  <c r="E2124" i="1"/>
  <c r="E2125" i="1"/>
  <c r="E2130" i="1"/>
  <c r="E2129" i="1"/>
  <c r="E2131" i="1"/>
  <c r="E2132" i="1"/>
  <c r="E2133" i="1"/>
  <c r="E2136" i="1"/>
  <c r="E2137" i="1"/>
  <c r="E2135" i="1"/>
  <c r="E2134" i="1"/>
  <c r="E2139" i="1"/>
  <c r="E2138" i="1"/>
  <c r="E2140" i="1"/>
  <c r="E2142" i="1"/>
  <c r="E2141" i="1"/>
  <c r="E2143" i="1"/>
  <c r="E2144" i="1"/>
  <c r="E2145" i="1"/>
  <c r="E2146" i="1"/>
  <c r="E2147" i="1"/>
  <c r="E2149" i="1"/>
  <c r="E2150" i="1"/>
  <c r="E2148" i="1"/>
  <c r="E2151" i="1"/>
  <c r="E2152" i="1"/>
  <c r="E2153" i="1"/>
  <c r="E2154" i="1"/>
  <c r="E2155" i="1"/>
  <c r="E2157" i="1"/>
  <c r="E2158" i="1"/>
  <c r="E2159" i="1"/>
  <c r="E2156" i="1"/>
  <c r="E2160" i="1"/>
  <c r="E2161" i="1"/>
  <c r="E2162" i="1"/>
  <c r="E2163" i="1"/>
  <c r="E2164" i="1"/>
  <c r="E2165" i="1"/>
  <c r="E2167" i="1"/>
  <c r="E2166" i="1"/>
  <c r="E2168" i="1"/>
  <c r="E2171" i="1"/>
  <c r="E2170" i="1"/>
  <c r="E2169" i="1"/>
  <c r="E2173" i="1"/>
  <c r="E2172" i="1"/>
  <c r="E2174" i="1"/>
  <c r="E2176" i="1"/>
  <c r="E2175" i="1"/>
  <c r="E2177" i="1"/>
  <c r="E2179" i="1"/>
  <c r="E2178" i="1"/>
  <c r="E2180" i="1"/>
  <c r="E2183" i="1"/>
  <c r="E2184" i="1"/>
  <c r="E2182" i="1"/>
  <c r="E2181" i="1"/>
  <c r="E2185" i="1"/>
  <c r="E2187" i="1"/>
  <c r="E2186" i="1"/>
  <c r="E2188" i="1"/>
  <c r="E2190" i="1"/>
  <c r="E2189" i="1"/>
  <c r="E2191" i="1"/>
  <c r="E2192" i="1"/>
  <c r="E2193" i="1"/>
  <c r="E2194" i="1"/>
  <c r="E2195" i="1"/>
  <c r="E2198" i="1"/>
  <c r="E2197" i="1"/>
  <c r="E2196" i="1"/>
  <c r="E2200" i="1"/>
  <c r="E2199" i="1"/>
  <c r="E2202" i="1"/>
  <c r="E2201" i="1"/>
  <c r="E2203" i="1"/>
  <c r="E2204" i="1"/>
  <c r="E2205" i="1"/>
  <c r="E2209" i="1"/>
  <c r="E2211" i="1"/>
  <c r="E2206" i="1"/>
  <c r="E2207" i="1"/>
  <c r="E2208" i="1"/>
  <c r="E2212" i="1"/>
  <c r="E2210" i="1"/>
  <c r="E2213" i="1"/>
  <c r="E2214" i="1"/>
  <c r="E2215" i="1"/>
  <c r="E2218" i="1"/>
  <c r="E2216" i="1"/>
  <c r="E2217" i="1"/>
  <c r="E2220" i="1"/>
  <c r="E2219" i="1"/>
  <c r="E2221" i="1"/>
  <c r="E2222" i="1"/>
  <c r="E2223" i="1"/>
  <c r="E2224" i="1"/>
  <c r="E2227" i="1"/>
  <c r="E2226" i="1"/>
  <c r="E2225" i="1"/>
  <c r="E2228" i="1"/>
  <c r="E2229" i="1"/>
  <c r="E2230" i="1"/>
  <c r="E2231" i="1"/>
  <c r="E2233" i="1"/>
  <c r="E2232" i="1"/>
  <c r="E2234" i="1"/>
  <c r="E2236" i="1"/>
  <c r="E2235" i="1"/>
  <c r="E2237" i="1"/>
  <c r="E2238" i="1"/>
  <c r="E2240" i="1"/>
  <c r="E2239" i="1"/>
  <c r="E2242" i="1"/>
  <c r="E2241" i="1"/>
  <c r="E2243" i="1"/>
  <c r="E2245" i="1"/>
  <c r="E2244" i="1"/>
  <c r="E2246" i="1"/>
  <c r="E2248" i="1"/>
  <c r="E2247" i="1"/>
  <c r="E2249" i="1"/>
  <c r="E2250" i="1"/>
  <c r="E2251" i="1"/>
  <c r="E2252" i="1"/>
  <c r="E2253" i="1"/>
  <c r="E2255" i="1"/>
  <c r="E2254" i="1"/>
  <c r="E2256" i="1"/>
  <c r="E2257" i="1"/>
  <c r="E2258" i="1"/>
  <c r="E2259" i="1"/>
  <c r="E2261" i="1"/>
  <c r="E2260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7" i="1"/>
  <c r="E2275" i="1"/>
  <c r="E2276" i="1"/>
  <c r="E2278" i="1"/>
  <c r="E2280" i="1"/>
  <c r="E2279" i="1"/>
  <c r="E2281" i="1"/>
  <c r="E2283" i="1"/>
  <c r="E2282" i="1"/>
  <c r="E2284" i="1"/>
  <c r="E2285" i="1"/>
  <c r="E2286" i="1"/>
  <c r="E2287" i="1"/>
  <c r="E2289" i="1"/>
  <c r="E2288" i="1"/>
  <c r="E2290" i="1"/>
  <c r="E2291" i="1"/>
  <c r="E2292" i="1"/>
  <c r="E2294" i="1"/>
  <c r="E2295" i="1"/>
  <c r="E2293" i="1"/>
  <c r="E2296" i="1"/>
  <c r="E2297" i="1"/>
  <c r="E2298" i="1"/>
  <c r="E2300" i="1"/>
  <c r="E2299" i="1"/>
  <c r="E2301" i="1"/>
  <c r="E2302" i="1"/>
  <c r="E2304" i="1"/>
  <c r="E2303" i="1"/>
  <c r="E2305" i="1"/>
  <c r="E2306" i="1"/>
  <c r="E2307" i="1"/>
  <c r="E2308" i="1"/>
  <c r="E2313" i="1"/>
  <c r="E2309" i="1"/>
  <c r="E2310" i="1"/>
  <c r="E2312" i="1"/>
  <c r="E2311" i="1"/>
  <c r="E2315" i="1"/>
  <c r="E2314" i="1"/>
  <c r="E2316" i="1"/>
  <c r="E2317" i="1"/>
  <c r="E2318" i="1"/>
  <c r="E2319" i="1"/>
  <c r="E2320" i="1"/>
  <c r="E2322" i="1"/>
  <c r="E2321" i="1"/>
  <c r="E2323" i="1"/>
  <c r="E2324" i="1"/>
  <c r="E2325" i="1"/>
  <c r="E2326" i="1"/>
  <c r="E2327" i="1"/>
  <c r="E2328" i="1"/>
  <c r="E2329" i="1"/>
  <c r="E2330" i="1"/>
  <c r="E2331" i="1"/>
  <c r="E2332" i="1"/>
  <c r="E2333" i="1"/>
  <c r="E2335" i="1"/>
  <c r="E2334" i="1"/>
  <c r="E2337" i="1"/>
  <c r="E2336" i="1"/>
  <c r="E2338" i="1"/>
  <c r="E2339" i="1"/>
  <c r="E2340" i="1"/>
  <c r="E2341" i="1"/>
  <c r="E2342" i="1"/>
  <c r="E2345" i="1"/>
  <c r="E2344" i="1"/>
  <c r="E2343" i="1"/>
  <c r="E2346" i="1"/>
  <c r="E2347" i="1"/>
  <c r="E2348" i="1"/>
  <c r="E2349" i="1"/>
  <c r="E2350" i="1"/>
  <c r="E2351" i="1"/>
  <c r="E2352" i="1"/>
  <c r="E2353" i="1"/>
  <c r="E2354" i="1"/>
  <c r="E2356" i="1"/>
  <c r="E2355" i="1"/>
  <c r="E2358" i="1"/>
  <c r="E2360" i="1"/>
  <c r="E2359" i="1"/>
  <c r="E2357" i="1"/>
  <c r="E2362" i="1"/>
  <c r="E2361" i="1"/>
  <c r="E2363" i="1"/>
  <c r="E2364" i="1"/>
  <c r="E2366" i="1"/>
  <c r="E2367" i="1"/>
  <c r="E2365" i="1"/>
  <c r="E2368" i="1"/>
  <c r="E2370" i="1"/>
  <c r="E2369" i="1"/>
  <c r="E2371" i="1"/>
  <c r="E2372" i="1"/>
  <c r="E2374" i="1"/>
  <c r="E2373" i="1"/>
  <c r="E2376" i="1"/>
  <c r="E2375" i="1"/>
  <c r="E2377" i="1"/>
  <c r="E2378" i="1"/>
  <c r="E2379" i="1"/>
  <c r="E2380" i="1"/>
  <c r="E2382" i="1"/>
  <c r="E2381" i="1"/>
  <c r="E2385" i="1"/>
  <c r="E2383" i="1"/>
  <c r="E2384" i="1"/>
  <c r="E2386" i="1"/>
  <c r="E2387" i="1"/>
  <c r="E2388" i="1"/>
  <c r="E2390" i="1"/>
  <c r="E2389" i="1"/>
  <c r="E2393" i="1"/>
  <c r="E2391" i="1"/>
  <c r="E2392" i="1"/>
  <c r="E2395" i="1"/>
  <c r="E2396" i="1"/>
  <c r="E2397" i="1"/>
  <c r="E2394" i="1"/>
  <c r="E2398" i="1"/>
  <c r="E2400" i="1"/>
  <c r="E2399" i="1"/>
  <c r="E2402" i="1"/>
  <c r="E2401" i="1"/>
  <c r="E2403" i="1"/>
  <c r="E2404" i="1"/>
  <c r="E2405" i="1"/>
  <c r="E2406" i="1"/>
  <c r="E2407" i="1"/>
  <c r="E2408" i="1"/>
  <c r="E2409" i="1"/>
  <c r="E2411" i="1"/>
  <c r="E2410" i="1"/>
  <c r="E2412" i="1"/>
  <c r="E2413" i="1"/>
  <c r="E2414" i="1"/>
  <c r="E2415" i="1"/>
  <c r="E2417" i="1"/>
  <c r="E2416" i="1"/>
  <c r="E2418" i="1"/>
  <c r="E2420" i="1"/>
  <c r="E2419" i="1"/>
  <c r="E2421" i="1"/>
  <c r="E2422" i="1"/>
  <c r="E2423" i="1"/>
  <c r="E2425" i="1"/>
  <c r="E2424" i="1"/>
  <c r="E2426" i="1"/>
  <c r="E2427" i="1"/>
  <c r="E2428" i="1"/>
  <c r="E2429" i="1"/>
  <c r="E2431" i="1"/>
  <c r="E2430" i="1"/>
  <c r="E2432" i="1"/>
  <c r="E2433" i="1"/>
  <c r="E2435" i="1"/>
  <c r="E2434" i="1"/>
  <c r="E2437" i="1"/>
  <c r="E2436" i="1"/>
  <c r="E2440" i="1"/>
  <c r="E2438" i="1"/>
  <c r="E2441" i="1"/>
  <c r="E2439" i="1"/>
  <c r="E2444" i="1"/>
  <c r="E2442" i="1"/>
  <c r="E2443" i="1"/>
  <c r="E2446" i="1"/>
  <c r="E2445" i="1"/>
  <c r="E2447" i="1"/>
  <c r="E2448" i="1"/>
  <c r="E2450" i="1"/>
  <c r="E2449" i="1"/>
  <c r="E2451" i="1"/>
  <c r="E2452" i="1"/>
  <c r="E2455" i="1"/>
  <c r="E2453" i="1"/>
  <c r="E2454" i="1"/>
  <c r="E2457" i="1"/>
  <c r="E2456" i="1"/>
  <c r="E2458" i="1"/>
  <c r="E2459" i="1"/>
  <c r="E2460" i="1"/>
  <c r="E2461" i="1"/>
  <c r="E2463" i="1"/>
  <c r="E2462" i="1"/>
  <c r="E2465" i="1"/>
  <c r="E2464" i="1"/>
  <c r="E2466" i="1"/>
  <c r="E2467" i="1"/>
  <c r="E2469" i="1"/>
  <c r="E2468" i="1"/>
  <c r="E2470" i="1"/>
  <c r="E2471" i="1"/>
  <c r="E2472" i="1"/>
  <c r="E2473" i="1"/>
  <c r="E2474" i="1"/>
  <c r="E2475" i="1"/>
  <c r="E2476" i="1"/>
  <c r="E2477" i="1"/>
  <c r="E2478" i="1"/>
  <c r="E2480" i="1"/>
  <c r="E2479" i="1"/>
  <c r="E2481" i="1"/>
  <c r="E2484" i="1"/>
  <c r="E2482" i="1"/>
  <c r="E2485" i="1"/>
  <c r="E2483" i="1"/>
  <c r="E2486" i="1"/>
  <c r="E2488" i="1"/>
  <c r="E2489" i="1"/>
  <c r="E2487" i="1"/>
  <c r="E2490" i="1"/>
  <c r="E2493" i="1"/>
  <c r="E2492" i="1"/>
  <c r="E2491" i="1"/>
  <c r="E2494" i="1"/>
  <c r="E2496" i="1"/>
  <c r="E2495" i="1"/>
  <c r="E2497" i="1"/>
  <c r="E2498" i="1"/>
  <c r="E2500" i="1"/>
  <c r="E2499" i="1"/>
  <c r="E2501" i="1"/>
  <c r="E2502" i="1"/>
  <c r="E2503" i="1"/>
  <c r="E2504" i="1"/>
  <c r="E2505" i="1"/>
  <c r="E2506" i="1"/>
  <c r="E2507" i="1"/>
  <c r="E2508" i="1"/>
  <c r="E2510" i="1"/>
  <c r="E2509" i="1"/>
  <c r="E2511" i="1"/>
  <c r="E2513" i="1"/>
  <c r="E2512" i="1"/>
  <c r="E2514" i="1"/>
  <c r="E2515" i="1"/>
  <c r="E2516" i="1"/>
  <c r="E2517" i="1"/>
  <c r="E2518" i="1"/>
  <c r="E2519" i="1"/>
  <c r="E2520" i="1"/>
  <c r="E2521" i="1"/>
  <c r="E2523" i="1"/>
  <c r="E2522" i="1"/>
  <c r="E2524" i="1"/>
  <c r="E2525" i="1"/>
  <c r="E2526" i="1"/>
  <c r="E2528" i="1"/>
  <c r="E2527" i="1"/>
  <c r="E2530" i="1"/>
  <c r="E2531" i="1"/>
  <c r="E2529" i="1"/>
  <c r="E2532" i="1"/>
  <c r="E2533" i="1"/>
  <c r="E2534" i="1"/>
  <c r="E2535" i="1"/>
  <c r="E2536" i="1"/>
  <c r="E2537" i="1"/>
  <c r="E2539" i="1"/>
  <c r="E2538" i="1"/>
  <c r="E2540" i="1"/>
  <c r="E2541" i="1"/>
  <c r="E2542" i="1"/>
  <c r="E2544" i="1"/>
  <c r="E2543" i="1"/>
  <c r="E2545" i="1"/>
  <c r="E2546" i="1"/>
  <c r="E2549" i="1"/>
  <c r="E2548" i="1"/>
  <c r="E2547" i="1"/>
  <c r="E2551" i="1"/>
  <c r="E2552" i="1"/>
  <c r="E2550" i="1"/>
  <c r="E2553" i="1"/>
  <c r="E2554" i="1"/>
  <c r="E2555" i="1"/>
  <c r="E2557" i="1"/>
  <c r="E2558" i="1"/>
  <c r="E2556" i="1"/>
  <c r="E2559" i="1"/>
  <c r="E2561" i="1"/>
  <c r="E2560" i="1"/>
  <c r="E2562" i="1"/>
  <c r="E2565" i="1"/>
  <c r="E2564" i="1"/>
  <c r="E2563" i="1"/>
  <c r="E2566" i="1"/>
  <c r="E2567" i="1"/>
  <c r="E2568" i="1"/>
  <c r="E2569" i="1"/>
  <c r="E2570" i="1"/>
  <c r="E2572" i="1"/>
  <c r="E2571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7" i="1"/>
  <c r="E2596" i="1"/>
  <c r="E2599" i="1"/>
  <c r="E2600" i="1"/>
  <c r="E2601" i="1"/>
  <c r="E2598" i="1"/>
  <c r="E2602" i="1"/>
  <c r="E2603" i="1"/>
  <c r="E2604" i="1"/>
  <c r="E2606" i="1"/>
  <c r="E2605" i="1"/>
  <c r="E2608" i="1"/>
  <c r="E2607" i="1"/>
  <c r="E2609" i="1"/>
  <c r="E2610" i="1"/>
  <c r="E2611" i="1"/>
  <c r="E2614" i="1"/>
  <c r="E2613" i="1"/>
  <c r="E2612" i="1"/>
  <c r="E2615" i="1"/>
  <c r="E2617" i="1"/>
  <c r="E2616" i="1"/>
  <c r="E2618" i="1"/>
  <c r="E2619" i="1"/>
  <c r="E2620" i="1"/>
  <c r="E2621" i="1"/>
  <c r="E2622" i="1"/>
  <c r="E2626" i="1"/>
  <c r="E2624" i="1"/>
  <c r="E2623" i="1"/>
  <c r="E2627" i="1"/>
  <c r="E2625" i="1"/>
  <c r="E2628" i="1"/>
  <c r="E2629" i="1"/>
  <c r="E2631" i="1"/>
  <c r="E2630" i="1"/>
  <c r="E2632" i="1"/>
  <c r="E2633" i="1"/>
  <c r="E2634" i="1"/>
  <c r="E2635" i="1"/>
  <c r="E2637" i="1"/>
  <c r="E2638" i="1"/>
  <c r="E2636" i="1"/>
  <c r="E2639" i="1"/>
  <c r="E2641" i="1"/>
  <c r="E2642" i="1"/>
  <c r="E2640" i="1"/>
  <c r="E2643" i="1"/>
  <c r="E2644" i="1"/>
  <c r="E2645" i="1"/>
  <c r="E2646" i="1"/>
  <c r="E2647" i="1"/>
  <c r="E2648" i="1"/>
  <c r="E2649" i="1"/>
  <c r="E2651" i="1"/>
  <c r="E2652" i="1"/>
  <c r="E2650" i="1"/>
  <c r="E2653" i="1"/>
  <c r="E2654" i="1"/>
  <c r="E2656" i="1"/>
  <c r="E2657" i="1"/>
  <c r="E2655" i="1"/>
  <c r="E2658" i="1"/>
  <c r="E2659" i="1"/>
  <c r="E2660" i="1"/>
  <c r="E2661" i="1"/>
  <c r="E2662" i="1"/>
  <c r="E2663" i="1"/>
  <c r="E2666" i="1"/>
  <c r="E2665" i="1"/>
  <c r="E2664" i="1"/>
  <c r="E2667" i="1"/>
  <c r="E2668" i="1"/>
  <c r="E2670" i="1"/>
  <c r="E2672" i="1"/>
  <c r="E2671" i="1"/>
  <c r="E2669" i="1"/>
  <c r="E2674" i="1"/>
  <c r="E2673" i="1"/>
  <c r="E2675" i="1"/>
  <c r="E2676" i="1"/>
  <c r="E2677" i="1"/>
  <c r="E2678" i="1"/>
  <c r="E2679" i="1"/>
  <c r="E2680" i="1"/>
  <c r="E2681" i="1"/>
  <c r="E2682" i="1"/>
  <c r="E2683" i="1"/>
  <c r="E2685" i="1"/>
  <c r="E2684" i="1"/>
  <c r="E2687" i="1"/>
  <c r="E2688" i="1"/>
  <c r="E2686" i="1"/>
  <c r="E2690" i="1"/>
  <c r="E2689" i="1"/>
  <c r="E2691" i="1"/>
  <c r="E2692" i="1"/>
  <c r="E2693" i="1"/>
  <c r="E2694" i="1"/>
  <c r="E2695" i="1"/>
  <c r="E2696" i="1"/>
  <c r="E2697" i="1"/>
  <c r="E2699" i="1"/>
  <c r="E2698" i="1"/>
  <c r="E2700" i="1"/>
  <c r="E2701" i="1"/>
  <c r="E2702" i="1"/>
  <c r="E2704" i="1"/>
  <c r="E2705" i="1"/>
  <c r="E2706" i="1"/>
  <c r="E2703" i="1"/>
  <c r="E2707" i="1"/>
  <c r="E2709" i="1"/>
  <c r="E2710" i="1"/>
  <c r="E2708" i="1"/>
  <c r="E2711" i="1"/>
  <c r="E2712" i="1"/>
  <c r="E2713" i="1"/>
  <c r="E2714" i="1"/>
  <c r="E2719" i="1"/>
  <c r="E2716" i="1"/>
  <c r="E2718" i="1"/>
  <c r="E2715" i="1"/>
  <c r="E2717" i="1"/>
  <c r="E2721" i="1"/>
  <c r="E2722" i="1"/>
  <c r="E2720" i="1"/>
  <c r="E2723" i="1"/>
  <c r="E2724" i="1"/>
  <c r="E2726" i="1"/>
  <c r="E2725" i="1"/>
  <c r="E2728" i="1"/>
  <c r="E2727" i="1"/>
  <c r="E2729" i="1"/>
  <c r="E2731" i="1"/>
  <c r="E2732" i="1"/>
  <c r="E2730" i="1"/>
  <c r="E2734" i="1"/>
  <c r="E2733" i="1"/>
  <c r="E2736" i="1"/>
  <c r="E2735" i="1"/>
  <c r="E2739" i="1"/>
  <c r="E2738" i="1"/>
  <c r="E2737" i="1"/>
  <c r="E2740" i="1"/>
  <c r="E2741" i="1"/>
  <c r="E2743" i="1"/>
  <c r="E2742" i="1"/>
  <c r="E2744" i="1"/>
  <c r="E2745" i="1"/>
  <c r="E2746" i="1"/>
  <c r="E2747" i="1"/>
  <c r="E2748" i="1"/>
  <c r="E2749" i="1"/>
  <c r="E2751" i="1"/>
  <c r="E2750" i="1"/>
  <c r="E2752" i="1"/>
  <c r="E2755" i="1"/>
  <c r="E2754" i="1"/>
  <c r="E2753" i="1"/>
  <c r="E2756" i="1"/>
  <c r="E2757" i="1"/>
  <c r="E2758" i="1"/>
  <c r="E2759" i="1"/>
  <c r="E2760" i="1"/>
  <c r="E2763" i="1"/>
  <c r="E2762" i="1"/>
  <c r="E2761" i="1"/>
  <c r="E2764" i="1"/>
  <c r="E2767" i="1"/>
  <c r="E2765" i="1"/>
  <c r="E2766" i="1"/>
  <c r="E2768" i="1"/>
  <c r="E2769" i="1"/>
  <c r="E2771" i="1"/>
  <c r="E2770" i="1"/>
  <c r="E2773" i="1"/>
  <c r="E2772" i="1"/>
  <c r="E2774" i="1"/>
  <c r="E2778" i="1"/>
  <c r="E2775" i="1"/>
  <c r="E2776" i="1"/>
  <c r="E2777" i="1"/>
  <c r="E2779" i="1"/>
  <c r="E2780" i="1"/>
  <c r="E2781" i="1"/>
  <c r="E2782" i="1"/>
  <c r="E2783" i="1"/>
  <c r="E2785" i="1"/>
  <c r="E2784" i="1"/>
  <c r="E2786" i="1"/>
  <c r="E2787" i="1"/>
  <c r="E2788" i="1"/>
  <c r="E2791" i="1"/>
  <c r="E2790" i="1"/>
  <c r="E2789" i="1"/>
  <c r="E2793" i="1"/>
  <c r="E2792" i="1"/>
  <c r="E2796" i="1"/>
  <c r="E2795" i="1"/>
  <c r="E2794" i="1"/>
  <c r="E2797" i="1"/>
  <c r="E2798" i="1"/>
  <c r="E2800" i="1"/>
  <c r="E2799" i="1"/>
  <c r="E2802" i="1"/>
  <c r="E2801" i="1"/>
  <c r="E2804" i="1"/>
  <c r="E2803" i="1"/>
  <c r="E2805" i="1"/>
  <c r="E2806" i="1"/>
  <c r="E2807" i="1"/>
  <c r="E2809" i="1"/>
  <c r="E2808" i="1"/>
  <c r="E2810" i="1"/>
  <c r="E2811" i="1"/>
  <c r="E2812" i="1"/>
  <c r="E2813" i="1"/>
  <c r="E2815" i="1"/>
  <c r="E2814" i="1"/>
  <c r="E2816" i="1"/>
  <c r="E2818" i="1"/>
  <c r="E2817" i="1"/>
  <c r="E2819" i="1"/>
  <c r="E2820" i="1"/>
  <c r="E2821" i="1"/>
  <c r="E2822" i="1"/>
  <c r="E2824" i="1"/>
  <c r="E2823" i="1"/>
  <c r="E2825" i="1"/>
  <c r="E2826" i="1"/>
  <c r="E2827" i="1"/>
  <c r="E2829" i="1"/>
  <c r="E2828" i="1"/>
  <c r="E2830" i="1"/>
  <c r="E2831" i="1"/>
  <c r="E2832" i="1"/>
  <c r="E2833" i="1"/>
  <c r="E2834" i="1"/>
  <c r="E2835" i="1"/>
  <c r="E2837" i="1"/>
  <c r="E2836" i="1"/>
  <c r="E2838" i="1"/>
  <c r="E2840" i="1"/>
  <c r="E2839" i="1"/>
  <c r="E2841" i="1"/>
  <c r="E2842" i="1"/>
  <c r="E2843" i="1"/>
  <c r="E2845" i="1"/>
  <c r="E2844" i="1"/>
  <c r="E2846" i="1"/>
  <c r="E2847" i="1"/>
  <c r="E2849" i="1"/>
  <c r="E2848" i="1"/>
  <c r="E2850" i="1"/>
  <c r="E2851" i="1"/>
  <c r="E2852" i="1"/>
  <c r="E2854" i="1"/>
  <c r="E2853" i="1"/>
  <c r="E2855" i="1"/>
  <c r="E2856" i="1"/>
  <c r="E2857" i="1"/>
  <c r="E2858" i="1"/>
  <c r="E2859" i="1"/>
  <c r="E2861" i="1"/>
  <c r="E2860" i="1"/>
  <c r="E2862" i="1"/>
  <c r="E2863" i="1"/>
  <c r="E2864" i="1"/>
  <c r="E2865" i="1"/>
  <c r="E2866" i="1"/>
  <c r="E2868" i="1"/>
  <c r="E2869" i="1"/>
  <c r="E2870" i="1"/>
  <c r="E2867" i="1"/>
  <c r="E2874" i="1"/>
  <c r="E2872" i="1"/>
  <c r="E2873" i="1"/>
  <c r="E2871" i="1"/>
  <c r="E2875" i="1"/>
  <c r="E2876" i="1"/>
  <c r="E2877" i="1"/>
  <c r="E2878" i="1"/>
  <c r="E2879" i="1"/>
  <c r="E2880" i="1"/>
  <c r="E2881" i="1"/>
  <c r="E2884" i="1"/>
  <c r="E2883" i="1"/>
  <c r="E2882" i="1"/>
  <c r="E2885" i="1"/>
  <c r="E2886" i="1"/>
  <c r="E2887" i="1"/>
  <c r="E2892" i="1"/>
  <c r="E2888" i="1"/>
  <c r="E2891" i="1"/>
  <c r="E2890" i="1"/>
  <c r="E2889" i="1"/>
  <c r="E2894" i="1"/>
  <c r="E2893" i="1"/>
  <c r="E2895" i="1"/>
  <c r="E2896" i="1"/>
  <c r="E2898" i="1"/>
  <c r="E2899" i="1"/>
  <c r="E2897" i="1"/>
  <c r="E2900" i="1"/>
  <c r="E2905" i="1"/>
  <c r="E2903" i="1"/>
  <c r="E2902" i="1"/>
  <c r="E2901" i="1"/>
  <c r="E2904" i="1"/>
  <c r="E2907" i="1"/>
  <c r="E2909" i="1"/>
  <c r="E2906" i="1"/>
  <c r="E2908" i="1"/>
  <c r="E2911" i="1"/>
  <c r="E2910" i="1"/>
  <c r="E2912" i="1"/>
  <c r="E2913" i="1"/>
  <c r="E2915" i="1"/>
  <c r="E2914" i="1"/>
  <c r="E2916" i="1"/>
  <c r="E2917" i="1"/>
  <c r="E2918" i="1"/>
  <c r="E2919" i="1"/>
  <c r="E2920" i="1"/>
  <c r="E2921" i="1"/>
  <c r="E2925" i="1"/>
  <c r="E2923" i="1"/>
  <c r="E2922" i="1"/>
  <c r="E2924" i="1"/>
  <c r="E2926" i="1"/>
  <c r="E2930" i="1"/>
  <c r="E2927" i="1"/>
  <c r="E2928" i="1"/>
  <c r="E2929" i="1"/>
  <c r="E2931" i="1"/>
  <c r="E2932" i="1"/>
  <c r="E2933" i="1"/>
  <c r="E2934" i="1"/>
  <c r="E2936" i="1"/>
  <c r="E2935" i="1"/>
  <c r="E2937" i="1"/>
  <c r="E2938" i="1"/>
  <c r="E2939" i="1"/>
  <c r="E2940" i="1"/>
  <c r="E2943" i="1"/>
  <c r="E2942" i="1"/>
  <c r="E2945" i="1"/>
  <c r="E2944" i="1"/>
  <c r="E2941" i="1"/>
  <c r="E2946" i="1"/>
  <c r="E2947" i="1"/>
  <c r="E2948" i="1"/>
  <c r="E2949" i="1"/>
  <c r="E2951" i="1"/>
  <c r="E2950" i="1"/>
  <c r="E2952" i="1"/>
  <c r="E2953" i="1"/>
  <c r="E2954" i="1"/>
  <c r="E2955" i="1"/>
  <c r="E2959" i="1"/>
  <c r="E2957" i="1"/>
  <c r="E2958" i="1"/>
  <c r="E2956" i="1"/>
  <c r="E2960" i="1"/>
  <c r="E2961" i="1"/>
  <c r="E2962" i="1"/>
  <c r="E2963" i="1"/>
  <c r="E2964" i="1"/>
  <c r="E2965" i="1"/>
  <c r="E2967" i="1"/>
  <c r="E2966" i="1"/>
  <c r="E2968" i="1"/>
  <c r="E2969" i="1"/>
  <c r="E2970" i="1"/>
  <c r="E2973" i="1"/>
  <c r="E2971" i="1"/>
  <c r="E2972" i="1"/>
  <c r="E2974" i="1"/>
  <c r="E2977" i="1"/>
  <c r="E2975" i="1"/>
  <c r="E2976" i="1"/>
  <c r="E2978" i="1"/>
  <c r="E2980" i="1"/>
  <c r="E2979" i="1"/>
  <c r="E2981" i="1"/>
  <c r="E2983" i="1"/>
  <c r="E2982" i="1"/>
  <c r="E2984" i="1"/>
  <c r="E2985" i="1"/>
  <c r="E2986" i="1"/>
  <c r="E2988" i="1"/>
  <c r="E2987" i="1"/>
  <c r="E2991" i="1"/>
  <c r="E2990" i="1"/>
  <c r="E2989" i="1"/>
  <c r="E2992" i="1"/>
  <c r="E2993" i="1"/>
  <c r="E2994" i="1"/>
  <c r="E2997" i="1"/>
  <c r="E2996" i="1"/>
  <c r="E2995" i="1"/>
  <c r="E2998" i="1"/>
  <c r="E2999" i="1"/>
  <c r="E3000" i="1"/>
  <c r="E3001" i="1"/>
  <c r="E3004" i="1"/>
  <c r="E3003" i="1"/>
  <c r="E3002" i="1"/>
  <c r="E3005" i="1"/>
  <c r="E3009" i="1"/>
  <c r="E3006" i="1"/>
  <c r="E3007" i="1"/>
  <c r="E3008" i="1"/>
  <c r="E3011" i="1"/>
  <c r="E3012" i="1"/>
  <c r="E3010" i="1"/>
  <c r="E3013" i="1"/>
  <c r="E3014" i="1"/>
  <c r="E3015" i="1"/>
  <c r="E3016" i="1"/>
  <c r="E3018" i="1"/>
  <c r="E3017" i="1"/>
  <c r="E3019" i="1"/>
  <c r="E3020" i="1"/>
  <c r="E3021" i="1"/>
  <c r="E3022" i="1"/>
  <c r="E3023" i="1"/>
  <c r="E3025" i="1"/>
  <c r="E3026" i="1"/>
  <c r="E3024" i="1"/>
  <c r="E3027" i="1"/>
  <c r="E3028" i="1"/>
  <c r="E3029" i="1"/>
  <c r="E3030" i="1"/>
  <c r="E3033" i="1"/>
  <c r="E3031" i="1"/>
  <c r="E3034" i="1"/>
  <c r="E3035" i="1"/>
  <c r="E3032" i="1"/>
  <c r="E3037" i="1"/>
  <c r="E3036" i="1"/>
  <c r="E3038" i="1"/>
  <c r="E3039" i="1"/>
  <c r="E3040" i="1"/>
  <c r="E3041" i="1"/>
  <c r="E3042" i="1"/>
  <c r="E3043" i="1"/>
  <c r="E3044" i="1"/>
  <c r="E3045" i="1"/>
  <c r="E3048" i="1"/>
  <c r="E3046" i="1"/>
  <c r="E3047" i="1"/>
  <c r="E3049" i="1"/>
  <c r="E3050" i="1"/>
  <c r="E3051" i="1"/>
  <c r="E3052" i="1"/>
  <c r="E3054" i="1"/>
  <c r="E3053" i="1"/>
  <c r="E3055" i="1"/>
  <c r="E3056" i="1"/>
  <c r="E3057" i="1"/>
  <c r="E3058" i="1"/>
  <c r="E3059" i="1"/>
  <c r="E3060" i="1"/>
  <c r="E3061" i="1"/>
  <c r="E3063" i="1"/>
  <c r="E3062" i="1"/>
  <c r="E3064" i="1"/>
  <c r="E3066" i="1"/>
  <c r="E3065" i="1"/>
  <c r="E3068" i="1"/>
  <c r="E3067" i="1"/>
  <c r="E3069" i="1"/>
  <c r="E3070" i="1"/>
  <c r="E3071" i="1"/>
  <c r="E3073" i="1"/>
  <c r="E3072" i="1"/>
  <c r="E3075" i="1"/>
  <c r="E3074" i="1"/>
  <c r="E3076" i="1"/>
  <c r="E3077" i="1"/>
  <c r="E3078" i="1"/>
  <c r="E3079" i="1"/>
  <c r="E3080" i="1"/>
  <c r="E3082" i="1"/>
  <c r="E3081" i="1"/>
  <c r="E3083" i="1"/>
  <c r="E3084" i="1"/>
  <c r="E3085" i="1"/>
  <c r="E3086" i="1"/>
  <c r="E3087" i="1"/>
  <c r="E3089" i="1"/>
  <c r="E3090" i="1"/>
  <c r="E3088" i="1"/>
  <c r="E3093" i="1"/>
  <c r="E3092" i="1"/>
  <c r="E3091" i="1"/>
  <c r="E3094" i="1"/>
  <c r="E3095" i="1"/>
  <c r="E3096" i="1"/>
  <c r="E3100" i="1"/>
  <c r="E3098" i="1"/>
  <c r="E3099" i="1"/>
  <c r="E3097" i="1"/>
  <c r="E3101" i="1"/>
  <c r="E3102" i="1"/>
  <c r="E3104" i="1"/>
  <c r="E3105" i="1"/>
  <c r="E3103" i="1"/>
  <c r="E3107" i="1"/>
  <c r="E3106" i="1"/>
  <c r="E3108" i="1"/>
  <c r="E3109" i="1"/>
  <c r="E3111" i="1"/>
  <c r="E3110" i="1"/>
  <c r="E3112" i="1"/>
  <c r="E3113" i="1"/>
  <c r="E3114" i="1"/>
  <c r="E3115" i="1"/>
  <c r="E3116" i="1"/>
  <c r="E3117" i="1"/>
  <c r="E3119" i="1"/>
  <c r="E3118" i="1"/>
  <c r="E3120" i="1"/>
  <c r="E3121" i="1"/>
  <c r="E3122" i="1"/>
  <c r="E3123" i="1"/>
  <c r="E3124" i="1"/>
  <c r="E3126" i="1"/>
  <c r="E3127" i="1"/>
  <c r="E3125" i="1"/>
  <c r="E3128" i="1"/>
  <c r="E3129" i="1"/>
  <c r="E3130" i="1"/>
  <c r="E3131" i="1"/>
  <c r="E3132" i="1"/>
  <c r="E3134" i="1"/>
  <c r="E3133" i="1"/>
  <c r="E3136" i="1"/>
  <c r="E3135" i="1"/>
  <c r="E3137" i="1"/>
  <c r="E3138" i="1"/>
  <c r="E3139" i="1"/>
  <c r="E3141" i="1"/>
  <c r="E3140" i="1"/>
  <c r="E3144" i="1"/>
  <c r="E3142" i="1"/>
  <c r="E3145" i="1"/>
  <c r="E3143" i="1"/>
  <c r="E3146" i="1"/>
  <c r="E3147" i="1"/>
  <c r="E3149" i="1"/>
  <c r="E3148" i="1"/>
  <c r="E3150" i="1"/>
  <c r="E3151" i="1"/>
  <c r="E3152" i="1"/>
  <c r="E3153" i="1"/>
  <c r="E3154" i="1"/>
  <c r="E3155" i="1"/>
  <c r="E3156" i="1"/>
  <c r="E3157" i="1"/>
  <c r="E3162" i="1"/>
  <c r="E3160" i="1"/>
  <c r="E3161" i="1"/>
  <c r="E3158" i="1"/>
  <c r="E3159" i="1"/>
  <c r="E3164" i="1"/>
  <c r="E3163" i="1"/>
  <c r="E3167" i="1"/>
  <c r="E3165" i="1"/>
  <c r="E3166" i="1"/>
  <c r="E3169" i="1"/>
  <c r="E3168" i="1"/>
  <c r="E3170" i="1"/>
  <c r="E3171" i="1"/>
  <c r="E3172" i="1"/>
  <c r="E3173" i="1"/>
  <c r="E3176" i="1"/>
  <c r="E3175" i="1"/>
  <c r="E3174" i="1"/>
  <c r="E3178" i="1"/>
  <c r="E3177" i="1"/>
  <c r="E3179" i="1"/>
  <c r="E3180" i="1"/>
  <c r="E3181" i="1"/>
  <c r="E3182" i="1"/>
  <c r="E3185" i="1"/>
  <c r="E3184" i="1"/>
  <c r="E3183" i="1"/>
  <c r="E3188" i="1"/>
  <c r="E3189" i="1"/>
  <c r="E3186" i="1"/>
  <c r="E3187" i="1"/>
  <c r="E3190" i="1"/>
  <c r="E3191" i="1"/>
  <c r="E3196" i="1"/>
  <c r="E3192" i="1"/>
  <c r="E3195" i="1"/>
  <c r="E3193" i="1"/>
  <c r="E3194" i="1"/>
  <c r="E3197" i="1"/>
  <c r="E3198" i="1"/>
  <c r="E3203" i="1"/>
  <c r="E3200" i="1"/>
  <c r="E3199" i="1"/>
  <c r="E3202" i="1"/>
  <c r="E3201" i="1"/>
  <c r="E3204" i="1"/>
  <c r="E3206" i="1"/>
  <c r="E3205" i="1"/>
  <c r="E3208" i="1"/>
  <c r="E3209" i="1"/>
  <c r="E3211" i="1"/>
  <c r="E3210" i="1"/>
  <c r="E3207" i="1"/>
  <c r="E3213" i="1"/>
  <c r="E3212" i="1"/>
  <c r="E3214" i="1"/>
  <c r="E3216" i="1"/>
  <c r="E3215" i="1"/>
  <c r="E3217" i="1"/>
  <c r="E3221" i="1"/>
  <c r="E3218" i="1"/>
  <c r="E3220" i="1"/>
  <c r="E3219" i="1"/>
  <c r="E3222" i="1"/>
  <c r="E3223" i="1"/>
  <c r="E3224" i="1"/>
  <c r="E3225" i="1"/>
  <c r="E3229" i="1"/>
  <c r="E3228" i="1"/>
  <c r="E3226" i="1"/>
  <c r="E3227" i="1"/>
  <c r="E3230" i="1"/>
  <c r="E3233" i="1"/>
  <c r="E3232" i="1"/>
  <c r="E3231" i="1"/>
  <c r="E3234" i="1"/>
  <c r="E3235" i="1"/>
  <c r="E3238" i="1"/>
  <c r="E3236" i="1"/>
  <c r="E3237" i="1"/>
  <c r="E3239" i="1"/>
  <c r="E3240" i="1"/>
  <c r="E3242" i="1"/>
  <c r="E3241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7" i="1"/>
  <c r="E3256" i="1"/>
  <c r="E3258" i="1"/>
  <c r="E3259" i="1"/>
  <c r="E3260" i="1"/>
  <c r="E3261" i="1"/>
  <c r="E3263" i="1"/>
  <c r="E3262" i="1"/>
  <c r="E3264" i="1"/>
  <c r="E3265" i="1"/>
  <c r="E3268" i="1"/>
  <c r="E3266" i="1"/>
  <c r="E3267" i="1"/>
  <c r="E3270" i="1"/>
  <c r="E3269" i="1"/>
  <c r="E3275" i="1"/>
  <c r="E3273" i="1"/>
  <c r="E3276" i="1"/>
  <c r="E3274" i="1"/>
  <c r="E3271" i="1"/>
  <c r="E3272" i="1"/>
  <c r="E3277" i="1"/>
  <c r="E3279" i="1"/>
  <c r="E3278" i="1"/>
  <c r="E3280" i="1"/>
  <c r="E3282" i="1"/>
  <c r="E3283" i="1"/>
  <c r="E3284" i="1"/>
  <c r="E3281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9" i="1"/>
  <c r="E3297" i="1"/>
  <c r="E3298" i="1"/>
  <c r="E3300" i="1"/>
  <c r="E3301" i="1"/>
  <c r="E3302" i="1"/>
  <c r="E3305" i="1"/>
  <c r="E3303" i="1"/>
  <c r="E3304" i="1"/>
  <c r="E3307" i="1"/>
  <c r="E3306" i="1"/>
  <c r="E3308" i="1"/>
  <c r="E3310" i="1"/>
  <c r="E3309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2" i="1"/>
  <c r="E3331" i="1"/>
  <c r="E3333" i="1"/>
  <c r="E3335" i="1"/>
  <c r="E3334" i="1"/>
  <c r="E3340" i="1"/>
  <c r="E3338" i="1"/>
  <c r="E3337" i="1"/>
  <c r="E3336" i="1"/>
  <c r="E3339" i="1"/>
  <c r="E3341" i="1"/>
  <c r="E3342" i="1"/>
  <c r="E3343" i="1"/>
  <c r="E3344" i="1"/>
  <c r="E3345" i="1"/>
  <c r="E3350" i="1"/>
  <c r="E3348" i="1"/>
  <c r="E3346" i="1"/>
  <c r="E3349" i="1"/>
  <c r="E3347" i="1"/>
  <c r="E3351" i="1"/>
  <c r="E3353" i="1"/>
  <c r="E3352" i="1"/>
  <c r="E3355" i="1"/>
  <c r="E3354" i="1"/>
  <c r="E3356" i="1"/>
  <c r="E3357" i="1"/>
  <c r="E3358" i="1"/>
  <c r="E3360" i="1"/>
  <c r="E3359" i="1"/>
  <c r="E3361" i="1"/>
  <c r="E3363" i="1"/>
  <c r="E3364" i="1"/>
  <c r="E3365" i="1"/>
  <c r="E3366" i="1"/>
  <c r="E3367" i="1"/>
  <c r="E3362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4" i="1"/>
  <c r="E3380" i="1"/>
  <c r="E3381" i="1"/>
  <c r="E3382" i="1"/>
  <c r="E3383" i="1"/>
  <c r="E3387" i="1"/>
  <c r="E3386" i="1"/>
  <c r="E3385" i="1"/>
  <c r="E3388" i="1"/>
  <c r="E3390" i="1"/>
  <c r="E3389" i="1"/>
  <c r="E3392" i="1"/>
  <c r="E3391" i="1"/>
  <c r="E3393" i="1"/>
  <c r="E3396" i="1"/>
  <c r="E3395" i="1"/>
  <c r="E3394" i="1"/>
  <c r="E3397" i="1"/>
  <c r="E3400" i="1"/>
  <c r="E3399" i="1"/>
  <c r="E3401" i="1"/>
  <c r="E3398" i="1"/>
  <c r="E3402" i="1"/>
  <c r="E3404" i="1"/>
  <c r="E3405" i="1"/>
  <c r="E3403" i="1"/>
  <c r="E3406" i="1"/>
  <c r="E3407" i="1"/>
  <c r="E3408" i="1"/>
  <c r="E3411" i="1"/>
  <c r="E3409" i="1"/>
  <c r="E3410" i="1"/>
  <c r="E3414" i="1"/>
  <c r="E3413" i="1"/>
  <c r="E3412" i="1"/>
  <c r="E3415" i="1"/>
  <c r="E3417" i="1"/>
  <c r="E3416" i="1"/>
  <c r="E3418" i="1"/>
  <c r="E3419" i="1"/>
  <c r="E3420" i="1"/>
  <c r="E3422" i="1"/>
  <c r="E3421" i="1"/>
  <c r="E3423" i="1"/>
  <c r="E3424" i="1"/>
  <c r="E3426" i="1"/>
  <c r="E3425" i="1"/>
  <c r="E3427" i="1"/>
  <c r="E3428" i="1"/>
  <c r="E3429" i="1"/>
  <c r="E3430" i="1"/>
  <c r="E3431" i="1"/>
  <c r="E3432" i="1"/>
  <c r="E3434" i="1"/>
  <c r="E3433" i="1"/>
  <c r="E3435" i="1"/>
  <c r="E3437" i="1"/>
  <c r="E3436" i="1"/>
  <c r="E3438" i="1"/>
  <c r="E3439" i="1"/>
  <c r="E3440" i="1"/>
  <c r="E3441" i="1"/>
  <c r="E3442" i="1"/>
  <c r="E3443" i="1"/>
  <c r="E3445" i="1"/>
  <c r="E3444" i="1"/>
  <c r="E3446" i="1"/>
  <c r="E3447" i="1"/>
  <c r="E3448" i="1"/>
  <c r="E3449" i="1"/>
  <c r="E3450" i="1"/>
  <c r="E3451" i="1"/>
  <c r="E3452" i="1"/>
  <c r="E3455" i="1"/>
  <c r="E3454" i="1"/>
  <c r="E3453" i="1"/>
  <c r="E3457" i="1"/>
  <c r="E3456" i="1"/>
  <c r="E3458" i="1"/>
  <c r="E3461" i="1"/>
  <c r="E3460" i="1"/>
  <c r="E3459" i="1"/>
  <c r="E3464" i="1"/>
  <c r="E3462" i="1"/>
  <c r="E3465" i="1"/>
  <c r="E3463" i="1"/>
  <c r="E3466" i="1"/>
  <c r="E3468" i="1"/>
  <c r="E3467" i="1"/>
  <c r="E3470" i="1"/>
  <c r="E3469" i="1"/>
  <c r="E3471" i="1"/>
  <c r="E3472" i="1"/>
  <c r="E3473" i="1"/>
  <c r="E3474" i="1"/>
  <c r="E3475" i="1"/>
  <c r="E3476" i="1"/>
  <c r="E3477" i="1"/>
  <c r="E3480" i="1"/>
  <c r="E3478" i="1"/>
  <c r="E3479" i="1"/>
  <c r="E3481" i="1"/>
  <c r="E3482" i="1"/>
  <c r="E3483" i="1"/>
  <c r="E3484" i="1"/>
  <c r="E3485" i="1"/>
  <c r="E3486" i="1"/>
  <c r="E3487" i="1"/>
  <c r="E3488" i="1"/>
  <c r="E3489" i="1"/>
  <c r="E3492" i="1"/>
  <c r="E3490" i="1"/>
  <c r="E3491" i="1"/>
  <c r="E3493" i="1"/>
  <c r="E3494" i="1"/>
  <c r="E3495" i="1"/>
  <c r="E3496" i="1"/>
  <c r="E3497" i="1"/>
  <c r="E3498" i="1"/>
  <c r="E3500" i="1"/>
  <c r="E3499" i="1"/>
  <c r="E3504" i="1"/>
  <c r="E3503" i="1"/>
  <c r="E3502" i="1"/>
  <c r="E3505" i="1"/>
  <c r="E3501" i="1"/>
  <c r="E3506" i="1"/>
  <c r="E3509" i="1"/>
  <c r="E3507" i="1"/>
  <c r="E3508" i="1"/>
  <c r="E3511" i="1"/>
  <c r="E3510" i="1"/>
  <c r="E3512" i="1"/>
  <c r="E3514" i="1"/>
  <c r="E3513" i="1"/>
  <c r="E3515" i="1"/>
  <c r="E3517" i="1"/>
  <c r="E3516" i="1"/>
  <c r="E3518" i="1"/>
  <c r="E3520" i="1"/>
  <c r="E3519" i="1"/>
  <c r="E3523" i="1"/>
  <c r="E3521" i="1"/>
  <c r="E3522" i="1"/>
  <c r="E3525" i="1"/>
  <c r="E3524" i="1"/>
  <c r="E3527" i="1"/>
  <c r="E3526" i="1"/>
  <c r="E3528" i="1"/>
  <c r="E3529" i="1"/>
  <c r="E3530" i="1"/>
  <c r="E3532" i="1"/>
  <c r="E3531" i="1"/>
  <c r="E3533" i="1"/>
  <c r="E3535" i="1"/>
  <c r="E3534" i="1"/>
  <c r="E3538" i="1"/>
  <c r="E3536" i="1"/>
  <c r="E3537" i="1"/>
  <c r="E3539" i="1"/>
  <c r="E3540" i="1"/>
  <c r="E3541" i="1"/>
  <c r="E3542" i="1"/>
  <c r="E3543" i="1"/>
  <c r="E3544" i="1"/>
  <c r="E3546" i="1"/>
  <c r="E3547" i="1"/>
  <c r="E3545" i="1"/>
  <c r="E3549" i="1"/>
  <c r="E3548" i="1"/>
  <c r="E3550" i="1"/>
  <c r="E3551" i="1"/>
  <c r="E3552" i="1"/>
  <c r="E3554" i="1"/>
  <c r="E3553" i="1"/>
  <c r="E3556" i="1"/>
  <c r="E3555" i="1"/>
  <c r="E3558" i="1"/>
  <c r="E3557" i="1"/>
  <c r="E3559" i="1"/>
  <c r="E3560" i="1"/>
  <c r="E3561" i="1"/>
  <c r="E3562" i="1"/>
  <c r="E3563" i="1"/>
  <c r="E3565" i="1"/>
  <c r="E3564" i="1"/>
  <c r="E3566" i="1"/>
  <c r="E3568" i="1"/>
  <c r="E3569" i="1"/>
  <c r="E3567" i="1"/>
  <c r="E3570" i="1"/>
  <c r="E3571" i="1"/>
  <c r="E3574" i="1"/>
  <c r="E3573" i="1"/>
  <c r="E3572" i="1"/>
  <c r="E3575" i="1"/>
  <c r="E3576" i="1"/>
  <c r="E3577" i="1"/>
  <c r="E3578" i="1"/>
  <c r="E3579" i="1"/>
  <c r="E3580" i="1"/>
  <c r="E3581" i="1"/>
  <c r="E3583" i="1"/>
  <c r="E3584" i="1"/>
  <c r="E3582" i="1"/>
  <c r="E3585" i="1"/>
  <c r="E3586" i="1"/>
  <c r="E3588" i="1"/>
  <c r="E3587" i="1"/>
  <c r="E3589" i="1"/>
  <c r="E3590" i="1"/>
  <c r="E3591" i="1"/>
  <c r="E3592" i="1"/>
  <c r="E3594" i="1"/>
  <c r="E3593" i="1"/>
  <c r="E3595" i="1"/>
  <c r="E3596" i="1"/>
  <c r="E3597" i="1"/>
  <c r="E3598" i="1"/>
  <c r="E3600" i="1"/>
  <c r="E3601" i="1"/>
  <c r="E3599" i="1"/>
  <c r="E3602" i="1"/>
  <c r="E3603" i="1"/>
  <c r="E3604" i="1"/>
  <c r="E3607" i="1"/>
  <c r="E3606" i="1"/>
  <c r="E3605" i="1"/>
  <c r="E3609" i="1"/>
  <c r="E3608" i="1"/>
  <c r="E3610" i="1"/>
  <c r="E3612" i="1"/>
  <c r="E3611" i="1"/>
  <c r="E3613" i="1"/>
  <c r="E3614" i="1"/>
  <c r="E3617" i="1"/>
  <c r="E3615" i="1"/>
  <c r="E3616" i="1"/>
  <c r="E3618" i="1"/>
  <c r="E3620" i="1"/>
  <c r="E3621" i="1"/>
  <c r="E3619" i="1"/>
  <c r="E3624" i="1"/>
  <c r="E3622" i="1"/>
  <c r="E3623" i="1"/>
  <c r="E3625" i="1"/>
  <c r="E3626" i="1"/>
  <c r="E3627" i="1"/>
  <c r="E3628" i="1"/>
  <c r="E3629" i="1"/>
  <c r="E3630" i="1"/>
  <c r="E3631" i="1"/>
  <c r="E3632" i="1"/>
  <c r="E3633" i="1"/>
  <c r="E3634" i="1"/>
  <c r="E3635" i="1"/>
  <c r="E3637" i="1"/>
  <c r="E3636" i="1"/>
  <c r="E3638" i="1"/>
  <c r="E3639" i="1"/>
  <c r="E3641" i="1"/>
  <c r="E3640" i="1"/>
  <c r="E3642" i="1"/>
  <c r="E3643" i="1"/>
  <c r="E3645" i="1"/>
  <c r="E3646" i="1"/>
  <c r="E3644" i="1"/>
  <c r="E3649" i="1"/>
  <c r="E3647" i="1"/>
  <c r="E3648" i="1"/>
  <c r="E3650" i="1"/>
  <c r="E3653" i="1"/>
  <c r="E3652" i="1"/>
  <c r="E3651" i="1"/>
  <c r="E3654" i="1"/>
  <c r="E3655" i="1"/>
  <c r="E3657" i="1"/>
  <c r="E3656" i="1"/>
  <c r="E3658" i="1"/>
  <c r="E3659" i="1"/>
  <c r="E3662" i="1"/>
  <c r="E3661" i="1"/>
  <c r="E3660" i="1"/>
  <c r="E3663" i="1"/>
  <c r="E3666" i="1"/>
  <c r="E3664" i="1"/>
  <c r="E3669" i="1"/>
  <c r="E3668" i="1"/>
  <c r="E3665" i="1"/>
  <c r="E3667" i="1"/>
  <c r="E3670" i="1"/>
  <c r="E3671" i="1"/>
  <c r="E3672" i="1"/>
  <c r="E3673" i="1"/>
  <c r="E3674" i="1"/>
  <c r="E3675" i="1"/>
  <c r="E3676" i="1"/>
  <c r="E3677" i="1"/>
  <c r="E3678" i="1"/>
  <c r="E3680" i="1"/>
  <c r="E3682" i="1"/>
  <c r="E3679" i="1"/>
  <c r="E3681" i="1"/>
  <c r="E3683" i="1"/>
  <c r="E3684" i="1"/>
  <c r="E3685" i="1"/>
  <c r="E3686" i="1"/>
  <c r="E3687" i="1"/>
  <c r="E3688" i="1"/>
  <c r="E3689" i="1"/>
  <c r="E3692" i="1"/>
  <c r="E3691" i="1"/>
  <c r="E3690" i="1"/>
  <c r="E3693" i="1"/>
  <c r="E3694" i="1"/>
  <c r="E3695" i="1"/>
  <c r="E3696" i="1"/>
  <c r="E3699" i="1"/>
  <c r="E3698" i="1"/>
  <c r="E3697" i="1"/>
  <c r="E3701" i="1"/>
  <c r="E3700" i="1"/>
  <c r="E3702" i="1"/>
  <c r="E3707" i="1"/>
  <c r="E3704" i="1"/>
  <c r="E3705" i="1"/>
  <c r="E3706" i="1"/>
  <c r="E3703" i="1"/>
  <c r="E3709" i="1"/>
  <c r="E3708" i="1"/>
  <c r="E3711" i="1"/>
  <c r="E3710" i="1"/>
  <c r="E3713" i="1"/>
  <c r="E3712" i="1"/>
  <c r="E3714" i="1"/>
  <c r="E3715" i="1"/>
  <c r="E3716" i="1"/>
  <c r="E3717" i="1"/>
  <c r="E3718" i="1"/>
  <c r="E3719" i="1"/>
  <c r="E3720" i="1"/>
  <c r="E3721" i="1"/>
  <c r="E3722" i="1"/>
  <c r="E3723" i="1"/>
  <c r="E3725" i="1"/>
  <c r="E3726" i="1"/>
  <c r="E3724" i="1"/>
  <c r="E3727" i="1"/>
  <c r="E3728" i="1"/>
  <c r="E3731" i="1"/>
  <c r="E3730" i="1"/>
  <c r="E3729" i="1"/>
  <c r="E3733" i="1"/>
  <c r="E3732" i="1"/>
  <c r="E3734" i="1"/>
  <c r="E3735" i="1"/>
  <c r="E3736" i="1"/>
  <c r="E3737" i="1"/>
  <c r="E3741" i="1"/>
  <c r="E3739" i="1"/>
  <c r="E3740" i="1"/>
  <c r="E3738" i="1"/>
  <c r="E3742" i="1"/>
  <c r="E3743" i="1"/>
  <c r="E3744" i="1"/>
  <c r="E3745" i="1"/>
  <c r="E3746" i="1"/>
  <c r="E3748" i="1"/>
  <c r="E3747" i="1"/>
  <c r="E3749" i="1"/>
  <c r="E3752" i="1"/>
  <c r="E3751" i="1"/>
  <c r="E3750" i="1"/>
  <c r="E3753" i="1"/>
  <c r="E3755" i="1"/>
  <c r="E3754" i="1"/>
  <c r="E3756" i="1"/>
  <c r="E3758" i="1"/>
  <c r="E3757" i="1"/>
  <c r="E3759" i="1"/>
  <c r="E3763" i="1"/>
  <c r="E3762" i="1"/>
  <c r="E3760" i="1"/>
  <c r="E3761" i="1"/>
  <c r="E3764" i="1"/>
  <c r="E3765" i="1"/>
  <c r="E3766" i="1"/>
  <c r="E3767" i="1"/>
  <c r="E3768" i="1"/>
  <c r="E3769" i="1"/>
  <c r="E3770" i="1"/>
  <c r="E3772" i="1"/>
  <c r="E3771" i="1"/>
  <c r="E3774" i="1"/>
  <c r="E3773" i="1"/>
  <c r="E3775" i="1"/>
  <c r="E3776" i="1"/>
  <c r="E3777" i="1"/>
  <c r="E3778" i="1"/>
  <c r="E3779" i="1"/>
  <c r="E3780" i="1"/>
  <c r="E3784" i="1"/>
  <c r="E3781" i="1"/>
  <c r="E3783" i="1"/>
  <c r="E3782" i="1"/>
  <c r="E3786" i="1"/>
  <c r="E3785" i="1"/>
  <c r="E3787" i="1"/>
  <c r="E3788" i="1"/>
  <c r="E3789" i="1"/>
  <c r="E3790" i="1"/>
  <c r="E3791" i="1"/>
  <c r="E3792" i="1"/>
  <c r="E3793" i="1"/>
  <c r="E3797" i="1"/>
  <c r="E3796" i="1"/>
  <c r="E3795" i="1"/>
  <c r="E3794" i="1"/>
  <c r="E3799" i="1"/>
  <c r="E3801" i="1"/>
  <c r="E3800" i="1"/>
  <c r="E3798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20" i="1"/>
  <c r="E3819" i="1"/>
  <c r="E3821" i="1"/>
  <c r="E3822" i="1"/>
  <c r="E3823" i="1"/>
  <c r="E3824" i="1"/>
  <c r="E3826" i="1"/>
  <c r="E3825" i="1"/>
  <c r="E3827" i="1"/>
  <c r="E3828" i="1"/>
  <c r="E3829" i="1"/>
  <c r="E3830" i="1"/>
  <c r="E3831" i="1"/>
  <c r="E3832" i="1"/>
  <c r="E3833" i="1"/>
  <c r="E3834" i="1"/>
  <c r="E3835" i="1"/>
  <c r="E3837" i="1"/>
  <c r="E3836" i="1"/>
  <c r="E3840" i="1"/>
  <c r="E3838" i="1"/>
  <c r="E3839" i="1"/>
  <c r="E3841" i="1"/>
  <c r="E3842" i="1"/>
  <c r="E3844" i="1"/>
  <c r="E3843" i="1"/>
  <c r="E3846" i="1"/>
  <c r="E3845" i="1"/>
  <c r="E3847" i="1"/>
  <c r="E3848" i="1"/>
  <c r="E3851" i="1"/>
  <c r="E3849" i="1"/>
  <c r="E3850" i="1"/>
  <c r="E3852" i="1"/>
  <c r="E3853" i="1"/>
  <c r="E3854" i="1"/>
  <c r="E3855" i="1"/>
  <c r="E3856" i="1"/>
  <c r="G69" i="4"/>
  <c r="F69" i="4"/>
  <c r="E69" i="4"/>
  <c r="D69" i="4"/>
  <c r="C69" i="4"/>
  <c r="R1584" i="1"/>
  <c r="R1585" i="1" s="1"/>
  <c r="G57" i="4"/>
  <c r="F57" i="4"/>
  <c r="E57" i="4"/>
  <c r="D57" i="4"/>
  <c r="C57" i="4"/>
  <c r="G51" i="4"/>
  <c r="F51" i="4"/>
  <c r="E51" i="4"/>
  <c r="D51" i="4"/>
  <c r="C51" i="4"/>
  <c r="Y3" i="1"/>
  <c r="X3" i="1"/>
  <c r="W3" i="1"/>
  <c r="V3" i="1"/>
  <c r="V7" i="1"/>
  <c r="U7" i="1"/>
  <c r="T7" i="1"/>
  <c r="S7" i="1"/>
  <c r="I2651" i="1"/>
  <c r="I3027" i="1"/>
  <c r="I3721" i="1"/>
  <c r="I242" i="1"/>
  <c r="I2631" i="1"/>
  <c r="I1064" i="1"/>
  <c r="I294" i="1"/>
  <c r="I2143" i="1"/>
  <c r="I52" i="1"/>
  <c r="I2440" i="1"/>
  <c r="I1616" i="1"/>
  <c r="I1955" i="1"/>
  <c r="I254" i="1"/>
  <c r="I3229" i="1"/>
  <c r="I2796" i="1"/>
  <c r="I2768" i="1"/>
  <c r="I3533" i="1"/>
  <c r="I762" i="1"/>
  <c r="I3756" i="1"/>
  <c r="I1620" i="1"/>
  <c r="I834" i="1"/>
  <c r="I2022" i="1"/>
  <c r="I323" i="1"/>
  <c r="I1547" i="1"/>
  <c r="I3100" i="1"/>
  <c r="I2984" i="1"/>
  <c r="I2349" i="1"/>
  <c r="I2339" i="1"/>
  <c r="I2937" i="1"/>
  <c r="I2646" i="1"/>
  <c r="I3471" i="1"/>
  <c r="I186" i="1"/>
  <c r="I2427" i="1"/>
  <c r="I568" i="1"/>
  <c r="I684" i="1"/>
  <c r="I2242" i="1"/>
  <c r="I1909" i="1"/>
  <c r="I1486" i="1"/>
  <c r="I3299" i="1"/>
  <c r="I3767" i="1"/>
  <c r="I1453" i="1"/>
  <c r="I3472" i="1"/>
  <c r="I1096" i="1"/>
  <c r="I790" i="1"/>
  <c r="I2463" i="1"/>
  <c r="I720" i="1"/>
  <c r="I484" i="1"/>
  <c r="I3101" i="1"/>
  <c r="I1196" i="1"/>
  <c r="I3221" i="1"/>
  <c r="I3363" i="1"/>
  <c r="I3025" i="1"/>
  <c r="I2131" i="1"/>
  <c r="I339" i="1"/>
  <c r="I3473" i="1"/>
  <c r="I1670" i="1"/>
  <c r="I2886" i="1"/>
  <c r="I2981" i="1"/>
  <c r="I2526" i="1"/>
  <c r="I222" i="1"/>
  <c r="I650" i="1"/>
  <c r="I3364" i="1"/>
  <c r="I2113" i="1"/>
  <c r="I3620" i="1"/>
  <c r="I3589" i="1"/>
  <c r="I3435" i="1"/>
  <c r="I1055" i="1"/>
  <c r="I2921" i="1"/>
  <c r="I3365" i="1"/>
  <c r="I3322" i="1"/>
  <c r="I3342" i="1"/>
  <c r="I2685" i="1"/>
  <c r="I3649" i="1"/>
  <c r="I1210" i="1"/>
  <c r="I3793" i="1"/>
  <c r="I649" i="1"/>
  <c r="I1228" i="1"/>
  <c r="I3592" i="1"/>
  <c r="I3366" i="1"/>
  <c r="I1344" i="1"/>
  <c r="I1274" i="1"/>
  <c r="I3609" i="1"/>
  <c r="I2418" i="1"/>
  <c r="I106" i="1"/>
  <c r="I3828" i="1"/>
  <c r="I1550" i="1"/>
  <c r="I3033" i="1"/>
  <c r="I2634" i="1"/>
  <c r="I3422" i="1"/>
  <c r="I2478" i="1"/>
  <c r="I40" i="1"/>
  <c r="I3203" i="1"/>
  <c r="I2874" i="1"/>
  <c r="I1908" i="1"/>
  <c r="I3367" i="1"/>
  <c r="I3384" i="1"/>
  <c r="I608" i="1"/>
  <c r="I2599" i="1"/>
  <c r="I377" i="1"/>
  <c r="I673" i="1"/>
  <c r="I875" i="1"/>
  <c r="I2098" i="1"/>
  <c r="I2340" i="1"/>
  <c r="I3041" i="1"/>
  <c r="I2502" i="1"/>
  <c r="I1846" i="1"/>
  <c r="I1339" i="1"/>
  <c r="I1416" i="1"/>
  <c r="I719" i="1"/>
  <c r="I3440" i="1"/>
  <c r="I1462" i="1"/>
  <c r="I2402" i="1"/>
  <c r="I164" i="1"/>
  <c r="I3847" i="1"/>
  <c r="I255" i="1"/>
  <c r="I3028" i="1"/>
  <c r="I1190" i="1"/>
  <c r="I2209" i="1"/>
  <c r="I836" i="1"/>
  <c r="I601" i="1"/>
  <c r="I1963" i="1"/>
  <c r="I797" i="1"/>
  <c r="I6" i="1"/>
  <c r="I3637" i="1"/>
  <c r="I1312" i="1"/>
  <c r="I1348" i="1"/>
  <c r="I3361" i="1"/>
  <c r="I1380" i="1"/>
  <c r="I726" i="1"/>
  <c r="I2236" i="1"/>
  <c r="I801" i="1"/>
  <c r="I605" i="1"/>
  <c r="I3152" i="1"/>
  <c r="I3817" i="1"/>
  <c r="I3608" i="1"/>
  <c r="I84" i="1"/>
  <c r="I3639" i="1"/>
  <c r="I1236" i="1"/>
  <c r="I837" i="1"/>
  <c r="I3109" i="1"/>
  <c r="I2719" i="1"/>
  <c r="I2815" i="1"/>
  <c r="I1392" i="1"/>
  <c r="I3396" i="1"/>
  <c r="I1446" i="1"/>
  <c r="I1651" i="1"/>
  <c r="I690" i="1"/>
  <c r="I2930" i="1"/>
  <c r="I835" i="1"/>
  <c r="I965" i="1"/>
  <c r="I3699" i="1"/>
  <c r="I1205" i="1"/>
  <c r="I362" i="1"/>
  <c r="I3301" i="1"/>
  <c r="I131" i="1"/>
  <c r="I3763" i="1"/>
  <c r="I430" i="1"/>
  <c r="I2841" i="1"/>
  <c r="I2345" i="1"/>
  <c r="I1564" i="1"/>
  <c r="I263" i="1"/>
  <c r="I3360" i="1"/>
  <c r="I2294" i="1"/>
  <c r="I3063" i="1"/>
  <c r="I2183" i="1"/>
  <c r="I2791" i="1"/>
  <c r="I982" i="1"/>
  <c r="I2854" i="1"/>
  <c r="I2659" i="1"/>
  <c r="I1214" i="1"/>
  <c r="I703" i="1"/>
  <c r="I2136" i="1"/>
  <c r="I1878" i="1"/>
  <c r="I3626" i="1"/>
  <c r="I2988" i="1"/>
  <c r="I643" i="1"/>
  <c r="I163" i="1"/>
  <c r="I1086" i="1"/>
  <c r="I2786" i="1"/>
  <c r="I113" i="1"/>
  <c r="I2925" i="1"/>
  <c r="I3126" i="1"/>
  <c r="I2493" i="1"/>
  <c r="I1761" i="1"/>
  <c r="I1377" i="1"/>
  <c r="I1628" i="1"/>
  <c r="I2626" i="1"/>
  <c r="I273" i="1"/>
  <c r="I169" i="1"/>
  <c r="I1606" i="1"/>
  <c r="I3222" i="1"/>
  <c r="I1362" i="1"/>
  <c r="I1749" i="1"/>
  <c r="I153" i="1"/>
  <c r="I2123" i="1"/>
  <c r="I2398" i="1"/>
  <c r="I3078" i="1"/>
  <c r="I3112" i="1"/>
  <c r="I2831" i="1"/>
  <c r="I693" i="1"/>
  <c r="I1595" i="1"/>
  <c r="I3428" i="1"/>
  <c r="I1739" i="1"/>
  <c r="I3438" i="1"/>
  <c r="I737" i="1"/>
  <c r="I134" i="1"/>
  <c r="I1093" i="1"/>
  <c r="I1673" i="1"/>
  <c r="I297" i="1"/>
  <c r="I553" i="1"/>
  <c r="I2709" i="1"/>
  <c r="I3680" i="1"/>
  <c r="I2269" i="1"/>
  <c r="I1441" i="1"/>
  <c r="I2876" i="1"/>
  <c r="I3242" i="1"/>
  <c r="I1166" i="1"/>
  <c r="I2243" i="1"/>
  <c r="I3769" i="1"/>
  <c r="I3855" i="1"/>
  <c r="I413" i="1"/>
  <c r="I2484" i="1"/>
  <c r="I2617" i="1"/>
  <c r="I3084" i="1"/>
  <c r="I858" i="1"/>
  <c r="I850" i="1"/>
  <c r="I1575" i="1"/>
  <c r="I3701" i="1"/>
  <c r="I1751" i="1"/>
  <c r="I845" i="1"/>
  <c r="I3340" i="1"/>
  <c r="I476" i="1"/>
  <c r="I2595" i="1"/>
  <c r="I953" i="1"/>
  <c r="I1444" i="1"/>
  <c r="I3031" i="1"/>
  <c r="I2227" i="1"/>
  <c r="I1475" i="1"/>
  <c r="I647" i="1"/>
  <c r="I3294" i="1"/>
  <c r="I1615" i="1"/>
  <c r="I1780" i="1"/>
  <c r="I227" i="1"/>
  <c r="I1361" i="1"/>
  <c r="I2506" i="1"/>
  <c r="I3443" i="1"/>
  <c r="I1524" i="1"/>
  <c r="I2687" i="1"/>
  <c r="I3179" i="1"/>
  <c r="I1099" i="1"/>
  <c r="I1767" i="1"/>
  <c r="I821" i="1"/>
  <c r="I3268" i="1"/>
  <c r="I3048" i="1"/>
  <c r="I572" i="1"/>
  <c r="I974" i="1"/>
  <c r="I559" i="1"/>
  <c r="I1497" i="1"/>
  <c r="I3111" i="1"/>
  <c r="I3437" i="1"/>
  <c r="I51" i="1"/>
  <c r="I1624" i="1"/>
  <c r="I3350" i="1"/>
  <c r="I1687" i="1"/>
  <c r="I469" i="1"/>
  <c r="I2021" i="1"/>
  <c r="I424" i="1"/>
  <c r="I512" i="1"/>
  <c r="I2046" i="1"/>
  <c r="I3421" i="1"/>
  <c r="I1032" i="1"/>
  <c r="I1149" i="1"/>
  <c r="I3509" i="1"/>
  <c r="I802" i="1"/>
  <c r="I3320" i="1"/>
  <c r="I1412" i="1"/>
  <c r="I3841" i="1"/>
  <c r="I3650" i="1"/>
  <c r="I534" i="1"/>
  <c r="I3752" i="1"/>
  <c r="I3164" i="1"/>
  <c r="I3404" i="1"/>
  <c r="I1866" i="1"/>
  <c r="I3287" i="1"/>
  <c r="I3355" i="1"/>
  <c r="I1830" i="1"/>
  <c r="I3468" i="1"/>
  <c r="I633" i="1"/>
  <c r="I2747" i="1"/>
  <c r="I852" i="1"/>
  <c r="I2202" i="1"/>
  <c r="I603" i="1"/>
  <c r="I2188" i="1"/>
  <c r="I792" i="1"/>
  <c r="I277" i="1"/>
  <c r="I1973" i="1"/>
  <c r="I3643" i="1"/>
  <c r="I2825" i="1"/>
  <c r="I630" i="1"/>
  <c r="I787" i="1"/>
  <c r="I3055" i="1"/>
  <c r="I115" i="1"/>
  <c r="I2997" i="1"/>
  <c r="I1074" i="1"/>
  <c r="I1871" i="1"/>
  <c r="I938" i="1"/>
  <c r="I3333" i="1"/>
  <c r="I1742" i="1"/>
  <c r="I1106" i="1"/>
  <c r="I1417" i="1"/>
  <c r="I285" i="1"/>
  <c r="I29" i="1"/>
  <c r="I2423" i="1"/>
  <c r="I661" i="1"/>
  <c r="I1567" i="1"/>
  <c r="I1797" i="1"/>
  <c r="I3568" i="1"/>
  <c r="I844" i="1"/>
  <c r="I1520" i="1"/>
  <c r="I2149" i="1"/>
  <c r="I314" i="1"/>
  <c r="I1676" i="1"/>
  <c r="I1080" i="1"/>
  <c r="I3275" i="1"/>
  <c r="I2171" i="1"/>
  <c r="I2393" i="1"/>
  <c r="I3439" i="1"/>
  <c r="I1562" i="1"/>
  <c r="I890" i="1"/>
  <c r="I1771" i="1"/>
  <c r="I1505" i="1"/>
  <c r="I3797" i="1"/>
  <c r="I333" i="1"/>
  <c r="I3104" i="1"/>
  <c r="I1405" i="1"/>
  <c r="I3066" i="1"/>
  <c r="I3004" i="1"/>
  <c r="I328" i="1"/>
  <c r="I2259" i="1"/>
  <c r="I2382" i="1"/>
  <c r="I2545" i="1"/>
  <c r="I3496" i="1"/>
  <c r="I1371" i="1"/>
  <c r="I3647" i="1"/>
  <c r="I597" i="1"/>
  <c r="I1007" i="1"/>
  <c r="I3054" i="1"/>
  <c r="I1593" i="1"/>
  <c r="I3176" i="1"/>
  <c r="I2826" i="1"/>
  <c r="I897" i="1"/>
  <c r="I2176" i="1"/>
  <c r="I1645" i="1"/>
  <c r="I1642" i="1"/>
  <c r="I7" i="1"/>
  <c r="I2787" i="1"/>
  <c r="I1836" i="1"/>
  <c r="I1691" i="1"/>
  <c r="I1474" i="1"/>
  <c r="I2170" i="1"/>
  <c r="I1070" i="1"/>
  <c r="I466" i="1"/>
  <c r="I3824" i="1"/>
  <c r="I1873" i="1"/>
  <c r="I1278" i="1"/>
  <c r="I1972" i="1"/>
  <c r="I158" i="1"/>
  <c r="I1331" i="1"/>
  <c r="I2793" i="1"/>
  <c r="I386" i="1"/>
  <c r="I3171" i="1"/>
  <c r="I3683" i="1"/>
  <c r="I2482" i="1"/>
  <c r="I270" i="1"/>
  <c r="I826" i="1"/>
  <c r="I761" i="1"/>
  <c r="I1485" i="1"/>
  <c r="I1101" i="1"/>
  <c r="I2471" i="1"/>
  <c r="I2004" i="1"/>
  <c r="I2328" i="1"/>
  <c r="I406" i="1"/>
  <c r="I2559" i="1"/>
  <c r="I3571" i="1"/>
  <c r="I2000" i="1"/>
  <c r="I3662" i="1"/>
  <c r="I1369" i="1"/>
  <c r="I1509" i="1"/>
  <c r="I3755" i="1"/>
  <c r="I286" i="1"/>
  <c r="I657" i="1"/>
  <c r="I2530" i="1"/>
  <c r="I2231" i="1"/>
  <c r="I1114" i="1"/>
  <c r="I3314" i="1"/>
  <c r="I2475" i="1"/>
  <c r="I825" i="1"/>
  <c r="I3565" i="1"/>
  <c r="I3477" i="1"/>
  <c r="I636" i="1"/>
  <c r="I3687" i="1"/>
  <c r="I2763" i="1"/>
  <c r="I2240" i="1"/>
  <c r="I1469" i="1"/>
  <c r="I1662" i="1"/>
  <c r="I3799" i="1"/>
  <c r="I3486" i="1"/>
  <c r="I1448" i="1"/>
  <c r="I474" i="1"/>
  <c r="I1204" i="1"/>
  <c r="I3307" i="1"/>
  <c r="I521" i="1"/>
  <c r="I3134" i="1"/>
  <c r="I2710" i="1"/>
  <c r="I1271" i="1"/>
  <c r="I302" i="1"/>
  <c r="I2329" i="1"/>
  <c r="I1335" i="1"/>
  <c r="I3707" i="1"/>
  <c r="I3255" i="1"/>
  <c r="I2400" i="1"/>
  <c r="I3297" i="1"/>
  <c r="I2748" i="1"/>
  <c r="I972" i="1"/>
  <c r="I3266" i="1"/>
  <c r="I585" i="1"/>
  <c r="I1281" i="1"/>
  <c r="I3452" i="1"/>
  <c r="I1592" i="1"/>
  <c r="I1787" i="1"/>
  <c r="I840" i="1"/>
  <c r="I1872" i="1"/>
  <c r="I1115" i="1"/>
  <c r="I3217" i="1"/>
  <c r="I2050" i="1"/>
  <c r="I384" i="1"/>
  <c r="I1180" i="1"/>
  <c r="I784" i="1"/>
  <c r="I3107" i="1"/>
  <c r="I3658" i="1"/>
  <c r="I2752" i="1"/>
  <c r="I594" i="1"/>
  <c r="I112" i="1"/>
  <c r="I2602" i="1"/>
  <c r="I1181" i="1"/>
  <c r="I967" i="1"/>
  <c r="I1423" i="1"/>
  <c r="I2630" i="1"/>
  <c r="I2408" i="1"/>
  <c r="I1708" i="1"/>
  <c r="I3197" i="1"/>
  <c r="I2987" i="1"/>
  <c r="I1013" i="1"/>
  <c r="I1790" i="1"/>
  <c r="I883" i="1"/>
  <c r="I2366" i="1"/>
  <c r="I902" i="1"/>
  <c r="I2521" i="1"/>
  <c r="I685" i="1"/>
  <c r="I2047" i="1"/>
  <c r="I734" i="1"/>
  <c r="I3725" i="1"/>
  <c r="I2130" i="1"/>
  <c r="I1146" i="1"/>
  <c r="I3848" i="1"/>
  <c r="I3175" i="1"/>
  <c r="I2624" i="1"/>
  <c r="I217" i="1"/>
  <c r="I1073" i="1"/>
  <c r="I1774" i="1"/>
  <c r="I271" i="1"/>
  <c r="I1611" i="1"/>
  <c r="I788" i="1"/>
  <c r="I2635" i="1"/>
  <c r="I1916" i="1"/>
  <c r="I3837" i="1"/>
  <c r="I2421" i="1"/>
  <c r="I2653" i="1"/>
  <c r="I208" i="1"/>
  <c r="I2325" i="1"/>
  <c r="I1126" i="1"/>
  <c r="I1395" i="1"/>
  <c r="I3807" i="1"/>
  <c r="I108" i="1"/>
  <c r="I475" i="1"/>
  <c r="I1892" i="1"/>
  <c r="I1715" i="1"/>
  <c r="I3223" i="1"/>
  <c r="I1215" i="1"/>
  <c r="I3566" i="1"/>
  <c r="I1759" i="1"/>
  <c r="I1591" i="1"/>
  <c r="I3629" i="1"/>
  <c r="I755" i="1"/>
  <c r="I2507" i="1"/>
  <c r="I2012" i="1"/>
  <c r="I641" i="1"/>
  <c r="I871" i="1"/>
  <c r="I495" i="1"/>
  <c r="I2068" i="1"/>
  <c r="I950" i="1"/>
  <c r="I3447" i="1"/>
  <c r="I462" i="1"/>
  <c r="I3751" i="1"/>
  <c r="I1868" i="1"/>
  <c r="I179" i="1"/>
  <c r="I2923" i="1"/>
  <c r="I1465" i="1"/>
  <c r="I3018" i="1"/>
  <c r="I3218" i="1"/>
  <c r="I3387" i="1"/>
  <c r="I3392" i="1"/>
  <c r="I1199" i="1"/>
  <c r="I1272" i="1"/>
  <c r="I2606" i="1"/>
  <c r="I366" i="1"/>
  <c r="I744" i="1"/>
  <c r="I1607" i="1"/>
  <c r="I1764" i="1"/>
  <c r="I1393" i="1"/>
  <c r="I2144" i="1"/>
  <c r="I2286" i="1"/>
  <c r="I990" i="1"/>
  <c r="I1950" i="1"/>
  <c r="I3043" i="1"/>
  <c r="I212" i="1"/>
  <c r="I336" i="1"/>
  <c r="I3727" i="1"/>
  <c r="I1734" i="1"/>
  <c r="I1246" i="1"/>
  <c r="I1212" i="1"/>
  <c r="I400" i="1"/>
  <c r="I3371" i="1"/>
  <c r="I1135" i="1"/>
  <c r="I1323" i="1"/>
  <c r="I582" i="1"/>
  <c r="I3492" i="1"/>
  <c r="I1320" i="1"/>
  <c r="I2220" i="1"/>
  <c r="I80" i="1"/>
  <c r="I3196" i="1"/>
  <c r="I2913" i="1"/>
  <c r="I2616" i="1"/>
  <c r="I1652" i="1"/>
  <c r="I470" i="1"/>
  <c r="I2805" i="1"/>
  <c r="I244" i="1"/>
  <c r="I2137" i="1"/>
  <c r="I3728" i="1"/>
  <c r="I1748" i="1"/>
  <c r="I1603" i="1"/>
  <c r="I92" i="1"/>
  <c r="I527" i="1"/>
  <c r="I662" i="1"/>
  <c r="I621" i="1"/>
  <c r="I748" i="1"/>
  <c r="I2572" i="1"/>
  <c r="I1574" i="1"/>
  <c r="I1419" i="1"/>
  <c r="I2800" i="1"/>
  <c r="I1960" i="1"/>
  <c r="I2963" i="1"/>
  <c r="I2597" i="1"/>
  <c r="I1821" i="1"/>
  <c r="I2121" i="1"/>
  <c r="I1484" i="1"/>
  <c r="I223" i="1"/>
  <c r="I730" i="1"/>
  <c r="I815" i="1"/>
  <c r="I3390" i="1"/>
  <c r="I2739" i="1"/>
  <c r="I1583" i="1"/>
  <c r="I3591" i="1"/>
  <c r="I3765" i="1"/>
  <c r="I1918" i="1"/>
  <c r="I3070" i="1"/>
  <c r="I73" i="1"/>
  <c r="I3489" i="1"/>
  <c r="I2122" i="1"/>
  <c r="I3801" i="1"/>
  <c r="I3726" i="1"/>
  <c r="I816" i="1"/>
  <c r="I46" i="1"/>
  <c r="I671" i="1"/>
  <c r="I2688" i="1"/>
  <c r="I1022" i="1"/>
  <c r="I724" i="1"/>
  <c r="I1473" i="1"/>
  <c r="I2458" i="1"/>
  <c r="I3411" i="1"/>
  <c r="I2969" i="1"/>
  <c r="I3292" i="1"/>
  <c r="I849" i="1"/>
  <c r="I1654" i="1"/>
  <c r="I3574" i="1"/>
  <c r="I2744" i="1"/>
  <c r="I2342" i="1"/>
  <c r="I675" i="1"/>
  <c r="I2266" i="1"/>
  <c r="I3518" i="1"/>
  <c r="I1188" i="1"/>
  <c r="I3386" i="1"/>
  <c r="I2943" i="1"/>
  <c r="I3784" i="1"/>
  <c r="I2926" i="1"/>
  <c r="I2386" i="1"/>
  <c r="I3285" i="1"/>
  <c r="I1131" i="1"/>
  <c r="I2198" i="1"/>
  <c r="I3624" i="1"/>
  <c r="I392" i="1"/>
  <c r="I3329" i="1"/>
  <c r="I3523" i="1"/>
  <c r="I819" i="1"/>
  <c r="I1518" i="1"/>
  <c r="I3813" i="1"/>
  <c r="I2039" i="1"/>
  <c r="I1902" i="1"/>
  <c r="I3418" i="1"/>
  <c r="I1025" i="1"/>
  <c r="I3666" i="1"/>
  <c r="I184" i="1"/>
  <c r="I1044" i="1"/>
  <c r="I683" i="1"/>
  <c r="I3380" i="1"/>
  <c r="I984" i="1"/>
  <c r="I2278" i="1"/>
  <c r="I1515" i="1"/>
  <c r="I3034" i="1"/>
  <c r="I2570" i="1"/>
  <c r="I1183" i="1"/>
  <c r="I353" i="1"/>
  <c r="I2872" i="1"/>
  <c r="I3806" i="1"/>
  <c r="I914" i="1"/>
  <c r="I3504" i="1"/>
  <c r="I1042" i="1"/>
  <c r="I2898" i="1"/>
  <c r="I3664" i="1"/>
  <c r="I2200" i="1"/>
  <c r="I668" i="1"/>
  <c r="I3414" i="1"/>
  <c r="I584" i="1"/>
  <c r="I1580" i="1"/>
  <c r="I637" i="1"/>
  <c r="I2147" i="1"/>
  <c r="I1854" i="1"/>
  <c r="I2708" i="1"/>
  <c r="I927" i="1"/>
  <c r="I385" i="1"/>
  <c r="I3400" i="1"/>
  <c r="I2865" i="1"/>
  <c r="I667" i="1"/>
  <c r="I2654" i="1"/>
  <c r="I481" i="1"/>
  <c r="I1587" i="1"/>
  <c r="I1083" i="1"/>
  <c r="I1768" i="1"/>
  <c r="I3621" i="1"/>
  <c r="I1138" i="1"/>
  <c r="I1421" i="1"/>
  <c r="I2510" i="1"/>
  <c r="I576" i="1"/>
  <c r="I2466" i="1"/>
  <c r="I2052" i="1"/>
  <c r="I1969" i="1"/>
  <c r="I2034" i="1"/>
  <c r="I1382" i="1"/>
  <c r="I1063" i="1"/>
  <c r="I2644" i="1"/>
  <c r="I609" i="1"/>
  <c r="I2287" i="1"/>
  <c r="I2319" i="1"/>
  <c r="I452" i="1"/>
  <c r="I214" i="1"/>
  <c r="I335" i="1"/>
  <c r="I2927" i="1"/>
  <c r="I2330" i="1"/>
  <c r="I688" i="1"/>
  <c r="I618" i="1"/>
  <c r="I2569" i="1"/>
  <c r="I1232" i="1"/>
  <c r="I2501" i="1"/>
  <c r="I497" i="1"/>
  <c r="I488" i="1"/>
  <c r="I2401" i="1"/>
  <c r="I1005" i="1"/>
  <c r="I2494" i="1"/>
  <c r="I3573" i="1"/>
  <c r="I3844" i="1"/>
  <c r="I2118" i="1"/>
  <c r="I545" i="1"/>
  <c r="I2496" i="1"/>
  <c r="I3270" i="1"/>
  <c r="I2093" i="1"/>
  <c r="I848" i="1"/>
  <c r="I3417" i="1"/>
  <c r="I44" i="1"/>
  <c r="I3132" i="1"/>
  <c r="I1613" i="1"/>
  <c r="I1798" i="1"/>
  <c r="I3704" i="1"/>
  <c r="I1663" i="1"/>
  <c r="I2315" i="1"/>
  <c r="I1277" i="1"/>
  <c r="I446" i="1"/>
  <c r="I316" i="1"/>
  <c r="I2444" i="1"/>
  <c r="I2712" i="1"/>
  <c r="I3328" i="1"/>
  <c r="I846" i="1"/>
  <c r="I2577" i="1"/>
  <c r="I2358" i="1"/>
  <c r="I126" i="1"/>
  <c r="I2723" i="1"/>
  <c r="I2764" i="1"/>
  <c r="I3434" i="1"/>
  <c r="I82" i="1"/>
  <c r="I943" i="1"/>
  <c r="I1360" i="1"/>
  <c r="I401" i="1"/>
  <c r="I2481" i="1"/>
  <c r="I3037" i="1"/>
  <c r="I1447" i="1"/>
  <c r="I450" i="1"/>
  <c r="I1560" i="1"/>
  <c r="I3579" i="1"/>
  <c r="I1959" i="1"/>
  <c r="I232" i="1"/>
  <c r="I2292" i="1"/>
  <c r="I2008" i="1"/>
  <c r="I2169" i="1"/>
  <c r="I489" i="1"/>
  <c r="I2222" i="1"/>
  <c r="I262" i="1"/>
  <c r="I3698" i="1"/>
  <c r="I3772" i="1"/>
  <c r="I915" i="1"/>
  <c r="I2283" i="1"/>
  <c r="I3544" i="1"/>
  <c r="I383" i="1"/>
  <c r="I1985" i="1"/>
  <c r="I1693" i="1"/>
  <c r="I918" i="1"/>
  <c r="I2686" i="1"/>
  <c r="I2108" i="1"/>
  <c r="I10" i="1"/>
  <c r="I62" i="1"/>
  <c r="I60" i="1"/>
  <c r="I1921" i="1"/>
  <c r="I3550" i="1"/>
  <c r="I1762" i="1"/>
  <c r="I3549" i="1"/>
  <c r="I2282" i="1"/>
  <c r="I3535" i="1"/>
  <c r="I3612" i="1"/>
  <c r="I2080" i="1"/>
  <c r="I1498" i="1"/>
  <c r="I405" i="1"/>
  <c r="I1983" i="1"/>
  <c r="I3607" i="1"/>
  <c r="I55" i="1"/>
  <c r="I1010" i="1"/>
  <c r="I598" i="1"/>
  <c r="I1488" i="1"/>
  <c r="I2973" i="1"/>
  <c r="I2379" i="1"/>
  <c r="I3694" i="1"/>
  <c r="I2549" i="1"/>
  <c r="I2783" i="1"/>
  <c r="I3497" i="1"/>
  <c r="I2069" i="1"/>
  <c r="I1394" i="1"/>
  <c r="I2495" i="1"/>
  <c r="I2218" i="1"/>
  <c r="I2938" i="1"/>
  <c r="I1806" i="1"/>
  <c r="I2918" i="1"/>
  <c r="I3429" i="1"/>
  <c r="I1625" i="1"/>
  <c r="I1669" i="1"/>
  <c r="I3089" i="1"/>
  <c r="I1152" i="1"/>
  <c r="I3692" i="1"/>
  <c r="I2255" i="1"/>
  <c r="I3330" i="1"/>
  <c r="I2892" i="1"/>
  <c r="I1038" i="1"/>
  <c r="I2249" i="1"/>
  <c r="I785" i="1"/>
  <c r="I1833" i="1"/>
  <c r="I3774" i="1"/>
  <c r="I1730" i="1"/>
  <c r="I3351" i="1"/>
  <c r="I197" i="1"/>
  <c r="I1705" i="1"/>
  <c r="I1431" i="1"/>
  <c r="I887" i="1"/>
  <c r="I2934" i="1"/>
  <c r="I1095" i="1"/>
  <c r="I3348" i="1"/>
  <c r="I3116" i="1"/>
  <c r="I2485" i="1"/>
  <c r="I2574" i="1"/>
  <c r="I38" i="1"/>
  <c r="I626" i="1"/>
  <c r="I1133" i="1"/>
  <c r="I2840" i="1"/>
  <c r="I2711" i="1"/>
  <c r="I506" i="1"/>
  <c r="I2185" i="1"/>
  <c r="I1415" i="1"/>
  <c r="I773" i="1"/>
  <c r="I3377" i="1"/>
  <c r="I2395" i="1"/>
  <c r="I1289" i="1"/>
  <c r="I1672" i="1"/>
  <c r="I1899" i="1"/>
  <c r="I2998" i="1"/>
  <c r="I3208" i="1"/>
  <c r="I1054" i="1"/>
  <c r="I665" i="1"/>
  <c r="I2575" i="1"/>
  <c r="I2211" i="1"/>
  <c r="I3204" i="1"/>
  <c r="I2824" i="1"/>
  <c r="I1885" i="1"/>
  <c r="I1237" i="1"/>
  <c r="I2337" i="1"/>
  <c r="I2829" i="1"/>
  <c r="I3530" i="1"/>
  <c r="I3630" i="1"/>
  <c r="I59" i="1"/>
  <c r="I1094" i="1"/>
  <c r="I651" i="1"/>
  <c r="I580" i="1"/>
  <c r="I2184" i="1"/>
  <c r="I1089" i="1"/>
  <c r="I3305" i="1"/>
  <c r="I1544" i="1"/>
  <c r="I1862" i="1"/>
  <c r="I3490" i="1"/>
  <c r="I2197" i="1"/>
  <c r="I2604" i="1"/>
  <c r="I1966" i="1"/>
  <c r="I3661" i="1"/>
  <c r="I2346" i="1"/>
  <c r="I818" i="1"/>
  <c r="I2082" i="1"/>
  <c r="I3049" i="1"/>
  <c r="I3433" i="1"/>
  <c r="I3317" i="1"/>
  <c r="I1594" i="1"/>
  <c r="I2985" i="1"/>
  <c r="I1977" i="1"/>
  <c r="I2551" i="1"/>
  <c r="I569" i="1"/>
  <c r="I2228" i="1"/>
  <c r="I2939" i="1"/>
  <c r="I1239" i="1"/>
  <c r="I3369" i="1"/>
  <c r="I1865" i="1"/>
  <c r="I3851" i="1"/>
  <c r="I2011" i="1"/>
  <c r="I900" i="1"/>
  <c r="I133" i="1"/>
  <c r="I3709" i="1"/>
  <c r="I1572" i="1"/>
  <c r="I1720" i="1"/>
  <c r="I2053" i="1"/>
  <c r="I1119" i="1"/>
  <c r="I723" i="1"/>
  <c r="I2716" i="1"/>
  <c r="I3528" i="1"/>
  <c r="I1863" i="1"/>
  <c r="I952" i="1"/>
  <c r="I480" i="1"/>
  <c r="I1765" i="1"/>
  <c r="I2245" i="1"/>
  <c r="I2203" i="1"/>
  <c r="I2911" i="1"/>
  <c r="I1358" i="1"/>
  <c r="I219" i="1"/>
  <c r="I1489" i="1"/>
  <c r="I2878" i="1"/>
  <c r="I2135" i="1"/>
  <c r="I468" i="1"/>
  <c r="I3780" i="1"/>
  <c r="I1881" i="1"/>
  <c r="I1254" i="1"/>
  <c r="I1647" i="1"/>
  <c r="I1103" i="1"/>
  <c r="I1102" i="1"/>
  <c r="I1716" i="1"/>
  <c r="I2907" i="1"/>
  <c r="I3144" i="1"/>
  <c r="I1130" i="1"/>
  <c r="I747" i="1"/>
  <c r="I696" i="1"/>
  <c r="I3480" i="1"/>
  <c r="I1861" i="1"/>
  <c r="I2762" i="1"/>
  <c r="I1068" i="1"/>
  <c r="I1018" i="1"/>
  <c r="I3115" i="1"/>
  <c r="I1857" i="1"/>
  <c r="I3829" i="1"/>
  <c r="I3670" i="1"/>
  <c r="I449" i="1"/>
  <c r="I2465" i="1"/>
  <c r="I2970" i="1"/>
  <c r="I3812" i="1"/>
  <c r="I317" i="1"/>
  <c r="I1752" i="1"/>
  <c r="I607" i="1"/>
  <c r="I1065" i="1"/>
  <c r="I3273" i="1"/>
  <c r="I2561" i="1"/>
  <c r="I2611" i="1"/>
  <c r="I1171" i="1"/>
  <c r="I3559" i="1"/>
  <c r="I3157" i="1"/>
  <c r="I2378" i="1"/>
  <c r="I187" i="1"/>
  <c r="I508" i="1"/>
  <c r="I2233" i="1"/>
  <c r="I2432" i="1"/>
  <c r="I2728" i="1"/>
  <c r="I2376" i="1"/>
  <c r="I1659" i="1"/>
  <c r="I537" i="1"/>
  <c r="I757" i="1"/>
  <c r="I2168" i="1"/>
  <c r="I3491" i="1"/>
  <c r="I3716" i="1"/>
  <c r="I3424" i="1"/>
  <c r="I2948" i="1"/>
  <c r="I1753" i="1"/>
  <c r="I3178" i="1"/>
  <c r="I2731" i="1"/>
  <c r="I145" i="1"/>
  <c r="I2885" i="1"/>
  <c r="I2701" i="1"/>
  <c r="I2221" i="1"/>
  <c r="I3786" i="1"/>
  <c r="I1326" i="1"/>
  <c r="I2013" i="1"/>
  <c r="I861" i="1"/>
  <c r="I3162" i="1"/>
  <c r="I2213" i="1"/>
  <c r="I379" i="1"/>
  <c r="I944" i="1"/>
  <c r="I3580" i="1"/>
  <c r="I2971" i="1"/>
  <c r="I1923" i="1"/>
  <c r="I1545" i="1"/>
  <c r="I3771" i="1"/>
  <c r="I3466" i="1"/>
  <c r="I3373" i="1"/>
  <c r="I1373" i="1"/>
  <c r="I3198" i="1"/>
  <c r="I2214" i="1"/>
  <c r="I1944" i="1"/>
  <c r="I3293" i="1"/>
  <c r="I1634" i="1"/>
  <c r="I3853" i="1"/>
  <c r="I1221" i="1"/>
  <c r="I2078" i="1"/>
  <c r="I2092" i="1"/>
  <c r="I1002" i="1"/>
  <c r="I2609" i="1"/>
  <c r="I2317" i="1"/>
  <c r="I376" i="1"/>
  <c r="I2600" i="1"/>
  <c r="I3461" i="1"/>
  <c r="I2451" i="1"/>
  <c r="I3714" i="1"/>
  <c r="I494" i="1"/>
  <c r="I1258" i="1"/>
  <c r="I2488" i="1"/>
  <c r="I617" i="1"/>
  <c r="I1919" i="1"/>
  <c r="I3276" i="1"/>
  <c r="I1929" i="1"/>
  <c r="I50" i="1"/>
  <c r="I341" i="1"/>
  <c r="I770" i="1"/>
  <c r="I2641" i="1"/>
  <c r="I1403" i="1"/>
  <c r="I3653" i="1"/>
  <c r="I3708" i="1"/>
  <c r="I3180" i="1"/>
  <c r="I1493" i="1"/>
  <c r="I1057" i="1"/>
  <c r="I2718" i="1"/>
  <c r="I885" i="1"/>
  <c r="I3082" i="1"/>
  <c r="I71" i="1"/>
  <c r="I2351" i="1"/>
  <c r="I1297" i="1"/>
  <c r="I3520" i="1"/>
  <c r="I1209" i="1"/>
  <c r="I2707" i="1"/>
  <c r="I1014" i="1"/>
  <c r="I1379" i="1"/>
  <c r="I3327" i="1"/>
  <c r="I172" i="1"/>
  <c r="I291" i="1"/>
  <c r="I3149" i="1"/>
  <c r="I479" i="1"/>
  <c r="I156" i="1"/>
  <c r="I3809" i="1"/>
  <c r="I3356" i="1"/>
  <c r="I3652" i="1"/>
  <c r="I1097" i="1"/>
  <c r="I2992" i="1"/>
  <c r="I1427" i="1"/>
  <c r="I1668" i="1"/>
  <c r="I776" i="1"/>
  <c r="I1041" i="1"/>
  <c r="I623" i="1"/>
  <c r="I2380" i="1"/>
  <c r="I1295" i="1"/>
  <c r="I695" i="1"/>
  <c r="I2821" i="1"/>
  <c r="I3228" i="1"/>
  <c r="I2447" i="1"/>
  <c r="I2332" i="1"/>
  <c r="I2280" i="1"/>
  <c r="I3081" i="1"/>
  <c r="I313" i="1"/>
  <c r="I1725" i="1"/>
  <c r="I2704" i="1"/>
  <c r="I2884" i="1"/>
  <c r="I924" i="1"/>
  <c r="I1970" i="1"/>
  <c r="I2313" i="1"/>
  <c r="I2500" i="1"/>
  <c r="I1000" i="1"/>
  <c r="I1437" i="1"/>
  <c r="I1482" i="1"/>
  <c r="I1222" i="1"/>
  <c r="I3448" i="1"/>
  <c r="I2858" i="1"/>
  <c r="I2480" i="1"/>
  <c r="I3515" i="1"/>
  <c r="I1169" i="1"/>
  <c r="I2309" i="1"/>
  <c r="I3820" i="1"/>
  <c r="I1031" i="1"/>
  <c r="I3741" i="1"/>
  <c r="I3379" i="1"/>
  <c r="I1559" i="1"/>
  <c r="I3354" i="1"/>
  <c r="I1207" i="1"/>
  <c r="I2058" i="1"/>
  <c r="I100" i="1"/>
  <c r="I283" i="1"/>
  <c r="I2544" i="1"/>
  <c r="I3525" i="1"/>
  <c r="I2861" i="1"/>
  <c r="I2761" i="1"/>
  <c r="I517" i="1"/>
  <c r="I3840" i="1"/>
  <c r="I3378" i="1"/>
  <c r="I2732" i="1"/>
  <c r="I3105" i="1"/>
  <c r="I3395" i="1"/>
  <c r="I1292" i="1"/>
  <c r="I3675" i="1"/>
  <c r="I352" i="1"/>
  <c r="I451" i="1"/>
  <c r="I3764" i="1"/>
  <c r="I632" i="1"/>
  <c r="I103" i="1"/>
  <c r="I1664" i="1"/>
  <c r="I2566" i="1"/>
  <c r="I2399" i="1"/>
  <c r="I3359" i="1"/>
  <c r="I1571" i="1"/>
  <c r="I3460" i="1"/>
  <c r="I3464" i="1"/>
  <c r="I372" i="1"/>
  <c r="I920" i="1"/>
  <c r="I2049" i="1"/>
  <c r="I622" i="1"/>
  <c r="I78" i="1"/>
  <c r="I1267" i="1"/>
  <c r="I579" i="1"/>
  <c r="I540" i="1"/>
  <c r="I221" i="1"/>
  <c r="I499" i="1"/>
  <c r="I2894" i="1"/>
  <c r="I1852" i="1"/>
  <c r="I3106" i="1"/>
  <c r="I1504" i="1"/>
  <c r="I2916" i="1"/>
  <c r="I976" i="1"/>
  <c r="I2656" i="1"/>
  <c r="I1346" i="1"/>
  <c r="I63" i="1"/>
  <c r="I1100" i="1"/>
  <c r="I1557" i="1"/>
  <c r="I81" i="1"/>
  <c r="I226" i="1"/>
  <c r="I2018" i="1"/>
  <c r="I892" i="1"/>
  <c r="I2370" i="1"/>
  <c r="I2909" i="1"/>
  <c r="I3449" i="1"/>
  <c r="I3498" i="1"/>
  <c r="I288" i="1"/>
  <c r="I3819" i="1"/>
  <c r="I1112" i="1"/>
  <c r="I2809" i="1"/>
  <c r="I1445" i="1"/>
  <c r="I1778" i="1"/>
  <c r="I763" i="1"/>
  <c r="I2576" i="1"/>
  <c r="I387" i="1"/>
  <c r="I2560" i="1"/>
  <c r="I1185" i="1"/>
  <c r="I1019" i="1"/>
  <c r="I1968" i="1"/>
  <c r="I231" i="1"/>
  <c r="I3315" i="1"/>
  <c r="I2900" i="1"/>
  <c r="I1713" i="1"/>
  <c r="I2086" i="1"/>
  <c r="I20" i="1"/>
  <c r="I3142" i="1"/>
  <c r="I344" i="1"/>
  <c r="I3583" i="1"/>
  <c r="I765" i="1"/>
  <c r="I2003" i="1"/>
  <c r="I1137" i="1"/>
  <c r="I3323" i="1"/>
  <c r="I1088" i="1"/>
  <c r="I2032" i="1"/>
  <c r="I1934" i="1"/>
  <c r="I2799" i="1"/>
  <c r="I2743" i="1"/>
  <c r="I1709" i="1"/>
  <c r="I3648" i="1"/>
  <c r="I165" i="1"/>
  <c r="I1455" i="1"/>
  <c r="I1812" i="1"/>
  <c r="I1182" i="1"/>
  <c r="I1530" i="1"/>
  <c r="I3075" i="1"/>
  <c r="I2182" i="1"/>
  <c r="I2715" i="1"/>
  <c r="I1390" i="1"/>
  <c r="I43" i="1"/>
  <c r="I2192" i="1"/>
  <c r="I410" i="1"/>
  <c r="I378" i="1"/>
  <c r="I2571" i="1"/>
  <c r="I1696" i="1"/>
  <c r="I733" i="1"/>
  <c r="I771" i="1"/>
  <c r="I3391" i="1"/>
  <c r="I556" i="1"/>
  <c r="I1050" i="1"/>
  <c r="I3441" i="1"/>
  <c r="I3344" i="1"/>
  <c r="I1046" i="1"/>
  <c r="I1178" i="1"/>
  <c r="I1319" i="1"/>
  <c r="I1803" i="1"/>
  <c r="I2516" i="1"/>
  <c r="I1203" i="1"/>
  <c r="I101" i="1"/>
  <c r="I3457" i="1"/>
  <c r="I1807" i="1"/>
  <c r="I769" i="1"/>
  <c r="I3014" i="1"/>
  <c r="I3017" i="1"/>
  <c r="I513" i="1"/>
  <c r="I3" i="1"/>
  <c r="I1321" i="1"/>
  <c r="I107" i="1"/>
  <c r="I3079" i="1"/>
  <c r="I1467" i="1"/>
  <c r="I416" i="1"/>
  <c r="I199" i="1"/>
  <c r="I1811" i="1"/>
  <c r="I881" i="1"/>
  <c r="I3062" i="1"/>
  <c r="I1139" i="1"/>
  <c r="I3209" i="1"/>
  <c r="I289" i="1"/>
  <c r="I1537" i="1"/>
  <c r="I505" i="1"/>
  <c r="I1039" i="1"/>
  <c r="I3015" i="1"/>
  <c r="I1915" i="1"/>
  <c r="I3702" i="1"/>
  <c r="I925" i="1"/>
  <c r="I552" i="1"/>
  <c r="I2474" i="1"/>
  <c r="I1003" i="1"/>
  <c r="I1224" i="1"/>
  <c r="I2677" i="1"/>
  <c r="I3744" i="1"/>
  <c r="I2362" i="1"/>
  <c r="I971" i="1"/>
  <c r="I3538" i="1"/>
  <c r="I3346" i="1"/>
  <c r="I2420" i="1"/>
  <c r="I1826" i="1"/>
  <c r="I1110" i="1"/>
  <c r="I2887" i="1"/>
  <c r="I3514" i="1"/>
  <c r="I2670" i="1"/>
  <c r="I1920" i="1"/>
  <c r="I207" i="1"/>
  <c r="I1332" i="1"/>
  <c r="I2954" i="1"/>
  <c r="I554" i="1"/>
  <c r="I3822" i="1"/>
  <c r="I3213" i="1"/>
  <c r="I1831" i="1"/>
  <c r="I2915" i="1"/>
  <c r="I2150" i="1"/>
  <c r="I1012" i="1"/>
  <c r="I1186" i="1"/>
  <c r="I1256" i="1"/>
  <c r="I1996" i="1"/>
  <c r="I1496" i="1"/>
  <c r="I1368" i="1"/>
  <c r="I1629" i="1"/>
  <c r="I3614" i="1"/>
  <c r="I851" i="1"/>
  <c r="I3500" i="1"/>
  <c r="I1330" i="1"/>
  <c r="I911" i="1"/>
  <c r="I1124" i="1"/>
  <c r="I916" i="1"/>
  <c r="I2942" i="1"/>
  <c r="I407" i="1"/>
  <c r="I2517" i="1"/>
  <c r="I1457" i="1"/>
  <c r="I606" i="1"/>
  <c r="I3023" i="1"/>
  <c r="I1782" i="1"/>
  <c r="I3005" i="1"/>
  <c r="I1933" i="1"/>
  <c r="I2057" i="1"/>
  <c r="I1832" i="1"/>
  <c r="I1476" i="1"/>
  <c r="I1579" i="1"/>
  <c r="I3389" i="1"/>
  <c r="I2905" i="1"/>
  <c r="I1177" i="1"/>
  <c r="I2027" i="1"/>
  <c r="I367" i="1"/>
  <c r="I2476" i="1"/>
  <c r="I2290" i="1"/>
  <c r="I3200" i="1"/>
  <c r="I3225" i="1"/>
  <c r="I3423" i="1"/>
  <c r="I2489" i="1"/>
  <c r="I566" i="1"/>
  <c r="I715" i="1"/>
  <c r="I2405" i="1"/>
  <c r="I3009" i="1"/>
  <c r="I2614" i="1"/>
  <c r="I3856" i="1"/>
  <c r="I1905" i="1"/>
  <c r="I1233" i="1"/>
  <c r="I2557" i="1"/>
  <c r="I2367" i="1"/>
  <c r="I1641" i="1"/>
  <c r="I1604" i="1"/>
  <c r="I3280" i="1"/>
  <c r="I1813" i="1"/>
  <c r="I2751" i="1"/>
  <c r="I928" i="1"/>
  <c r="I2134" i="1"/>
  <c r="I3288" i="1"/>
  <c r="I3153" i="1"/>
  <c r="I253" i="1"/>
  <c r="I345" i="1"/>
  <c r="I2959" i="1"/>
  <c r="I266" i="1"/>
  <c r="I1938" i="1"/>
  <c r="I1519" i="1"/>
  <c r="I782" i="1"/>
  <c r="I701" i="1"/>
  <c r="I3462" i="1"/>
  <c r="I2511" i="1"/>
  <c r="I3597" i="1"/>
  <c r="I613" i="1"/>
  <c r="I1754" i="1"/>
  <c r="I3791" i="1"/>
  <c r="I3321" i="1"/>
  <c r="I97" i="1"/>
  <c r="I249" i="1"/>
  <c r="I236" i="1"/>
  <c r="I2648" i="1"/>
  <c r="I628" i="1"/>
  <c r="I138" i="1"/>
  <c r="I692" i="1"/>
  <c r="I2567" i="1"/>
  <c r="I721" i="1"/>
  <c r="I2455" i="1"/>
  <c r="I1548" i="1"/>
  <c r="I1381" i="1"/>
  <c r="I3598" i="1"/>
  <c r="I492" i="1"/>
  <c r="I549" i="1"/>
  <c r="I311" i="1"/>
  <c r="I2446" i="1"/>
  <c r="I2932" i="1"/>
  <c r="I847" i="1"/>
  <c r="I3167" i="1"/>
  <c r="I2583" i="1"/>
  <c r="I3705" i="1"/>
  <c r="I1980" i="1"/>
  <c r="I872" i="1"/>
  <c r="I3259" i="1"/>
  <c r="I3310" i="1"/>
  <c r="I1429" i="1"/>
  <c r="I1298" i="1"/>
  <c r="I2" i="1"/>
  <c r="I2792" i="1"/>
  <c r="I1982" i="1"/>
  <c r="I453" i="1"/>
  <c r="I749" i="1"/>
  <c r="I177" i="1"/>
  <c r="I515" i="1"/>
  <c r="I2705" i="1"/>
  <c r="I2940" i="1"/>
  <c r="I89" i="1"/>
  <c r="I2453" i="1"/>
  <c r="I2301" i="1"/>
  <c r="I1062" i="1"/>
  <c r="I2088" i="1"/>
  <c r="I1796" i="1"/>
  <c r="I1953" i="1"/>
  <c r="I2356" i="1"/>
  <c r="I1847" i="1"/>
  <c r="I2350" i="1"/>
  <c r="I1090" i="1"/>
  <c r="I2445" i="1"/>
  <c r="I806" i="1"/>
  <c r="I718" i="1"/>
  <c r="I2819" i="1"/>
  <c r="I1325" i="1"/>
  <c r="I3788" i="1"/>
  <c r="I3249" i="1"/>
  <c r="I25" i="1"/>
  <c r="I15" i="1"/>
  <c r="I1801" i="1"/>
  <c r="I403" i="1"/>
  <c r="I1017" i="1"/>
  <c r="I516" i="1"/>
  <c r="I2936" i="1"/>
  <c r="I681" i="1"/>
  <c r="I716" i="1"/>
  <c r="I2868" i="1"/>
  <c r="I1141" i="1"/>
  <c r="I3684" i="1"/>
  <c r="I942" i="1"/>
  <c r="I1501" i="1"/>
  <c r="I3177" i="1"/>
  <c r="I507" i="1"/>
  <c r="I2415" i="1"/>
  <c r="I2632" i="1"/>
  <c r="I428" i="1"/>
  <c r="I841" i="1"/>
  <c r="I3046" i="1"/>
  <c r="I150" i="1"/>
  <c r="I487" i="1"/>
  <c r="I2946" i="1"/>
  <c r="I1122" i="1"/>
  <c r="I503" i="1"/>
  <c r="I3335" i="1"/>
  <c r="I2935" i="1"/>
  <c r="I1589" i="1"/>
  <c r="I973" i="1"/>
  <c r="I1461" i="1"/>
  <c r="I3188" i="1"/>
  <c r="I1248" i="1"/>
  <c r="I2007" i="1"/>
  <c r="I1877" i="1"/>
  <c r="I3826" i="1"/>
  <c r="I1554" i="1"/>
  <c r="I136" i="1"/>
  <c r="I34" i="1"/>
  <c r="I1279" i="1"/>
  <c r="I2755" i="1"/>
  <c r="I455" i="1"/>
  <c r="I320" i="1"/>
  <c r="I1285" i="1"/>
  <c r="I2553" i="1"/>
  <c r="I644" i="1"/>
  <c r="I2811" i="1"/>
  <c r="I3478" i="1"/>
  <c r="I2442" i="1"/>
  <c r="I2101" i="1"/>
  <c r="I3600" i="1"/>
  <c r="I1700" i="1"/>
  <c r="I2993" i="1"/>
  <c r="I2406" i="1"/>
  <c r="I2663" i="1"/>
  <c r="I90" i="1"/>
  <c r="I3581" i="1"/>
  <c r="I1689" i="1"/>
  <c r="I3211" i="1"/>
  <c r="I215" i="1"/>
  <c r="I2906" i="1"/>
  <c r="I3291" i="1"/>
  <c r="I2726" i="1"/>
  <c r="I68" i="1"/>
  <c r="I2157" i="1"/>
  <c r="I3006" i="1"/>
  <c r="I1315" i="1"/>
  <c r="I2666" i="1"/>
  <c r="I157" i="1"/>
  <c r="I1043" i="1"/>
  <c r="I461" i="1"/>
  <c r="I680" i="1"/>
  <c r="I1612" i="1"/>
  <c r="I2193" i="1"/>
  <c r="I1081" i="1"/>
  <c r="I2435" i="1"/>
  <c r="I3446" i="1"/>
  <c r="I799" i="1"/>
  <c r="I3781" i="1"/>
  <c r="I2409" i="1"/>
  <c r="I2513" i="1"/>
  <c r="I32" i="1"/>
  <c r="I1424" i="1"/>
  <c r="I1776" i="1"/>
  <c r="I1874" i="1"/>
  <c r="I2054" i="1"/>
  <c r="I1156" i="1"/>
  <c r="I820" i="1"/>
  <c r="I2619" i="1"/>
  <c r="I402" i="1"/>
  <c r="I948" i="1"/>
  <c r="I1766" i="1"/>
  <c r="I1937" i="1"/>
  <c r="I1286" i="1"/>
  <c r="I2649" i="1"/>
  <c r="I1785" i="1"/>
  <c r="I418" i="1"/>
  <c r="I3185" i="1"/>
  <c r="I985" i="1"/>
  <c r="I3192" i="1"/>
  <c r="I602" i="1"/>
  <c r="I1342" i="1"/>
  <c r="I3636" i="1"/>
  <c r="I2746" i="1"/>
  <c r="I1558" i="1"/>
  <c r="I315" i="1"/>
  <c r="I804" i="1"/>
  <c r="I2518" i="1"/>
  <c r="I2206" i="1"/>
  <c r="I1288" i="1"/>
  <c r="I1144" i="1"/>
  <c r="I2254" i="1"/>
  <c r="I2780" i="1"/>
  <c r="I2391" i="1"/>
  <c r="I1343" i="1"/>
  <c r="I3003" i="1"/>
  <c r="I3632" i="1"/>
  <c r="I2320" i="1"/>
  <c r="I977" i="1"/>
  <c r="I2888" i="1"/>
  <c r="I1085" i="1"/>
  <c r="I3552" i="1"/>
  <c r="I1282" i="1"/>
  <c r="I1825" i="1"/>
  <c r="I1414" i="1"/>
  <c r="I250" i="1"/>
  <c r="I3823" i="1"/>
  <c r="I3539" i="1"/>
  <c r="I3759" i="1"/>
  <c r="I1526" i="1"/>
  <c r="I2099" i="1"/>
  <c r="I128" i="1"/>
  <c r="I3753" i="1"/>
  <c r="I963" i="1"/>
  <c r="I2252" i="1"/>
  <c r="I2304" i="1"/>
  <c r="I1223" i="1"/>
  <c r="I3800" i="1"/>
  <c r="I2816" i="1"/>
  <c r="I98" i="1"/>
  <c r="I2873" i="1"/>
  <c r="I3026" i="1"/>
  <c r="I2411" i="1"/>
  <c r="I2414" i="1"/>
  <c r="I3397" i="1"/>
  <c r="I3685" i="1"/>
  <c r="I2519" i="1"/>
  <c r="I2933" i="1"/>
  <c r="I130" i="1"/>
  <c r="I2866" i="1"/>
  <c r="I1637" i="1"/>
  <c r="I898" i="1"/>
  <c r="I293" i="1"/>
  <c r="I742" i="1"/>
  <c r="I2026" i="1"/>
  <c r="I3540" i="1"/>
  <c r="I3541" i="1"/>
  <c r="I2684" i="1"/>
  <c r="I1532" i="1"/>
  <c r="I2541" i="1"/>
  <c r="I949" i="1"/>
  <c r="I3260" i="1"/>
  <c r="I3830" i="1"/>
  <c r="I2120" i="1"/>
  <c r="I2781" i="1"/>
  <c r="I1078" i="1"/>
  <c r="I121" i="1"/>
  <c r="I3002" i="1"/>
  <c r="I2234" i="1"/>
  <c r="I2615" i="1"/>
  <c r="I284" i="1"/>
  <c r="I1702" i="1"/>
  <c r="I1758" i="1"/>
  <c r="I1658" i="1"/>
  <c r="I855" i="1"/>
  <c r="I2782" i="1"/>
  <c r="I2232" i="1"/>
  <c r="I1153" i="1"/>
  <c r="I327" i="1"/>
  <c r="I1777" i="1"/>
  <c r="I3165" i="1"/>
  <c r="I1150" i="1"/>
  <c r="I3123" i="1"/>
  <c r="I3691" i="1"/>
  <c r="I2097" i="1"/>
  <c r="I3000" i="1"/>
  <c r="I3546" i="1"/>
  <c r="I2833" i="1"/>
  <c r="I3739" i="1"/>
  <c r="I2492" i="1"/>
  <c r="I3245" i="1"/>
  <c r="I2201" i="1"/>
  <c r="I596" i="1"/>
  <c r="I2042" i="1"/>
  <c r="I3261" i="1"/>
  <c r="I939" i="1"/>
  <c r="I1855" i="1"/>
  <c r="I1956" i="1"/>
  <c r="I1682" i="1"/>
  <c r="I1883" i="1"/>
  <c r="I1113" i="1"/>
  <c r="I1680" i="1"/>
  <c r="I789" i="1"/>
  <c r="I2838" i="1"/>
  <c r="I2837" i="1"/>
  <c r="I1366" i="1"/>
  <c r="I2585" i="1"/>
  <c r="I2216" i="1"/>
  <c r="I3338" i="1"/>
  <c r="I3393" i="1"/>
  <c r="I1924" i="1"/>
  <c r="I96" i="1"/>
  <c r="I808" i="1"/>
  <c r="I3212" i="1"/>
  <c r="I1487" i="1"/>
  <c r="I2059" i="1"/>
  <c r="I3606" i="1"/>
  <c r="I3735" i="1"/>
  <c r="I1402" i="1"/>
  <c r="I2127" i="1"/>
  <c r="I3519" i="1"/>
  <c r="I1599" i="1"/>
  <c r="I79" i="1"/>
  <c r="I2812" i="1"/>
  <c r="I1781" i="1"/>
  <c r="I457" i="1"/>
  <c r="I1848" i="1"/>
  <c r="I2767" i="1"/>
  <c r="I3711" i="1"/>
  <c r="I686" i="1"/>
  <c r="I3852" i="1"/>
  <c r="I2029" i="1"/>
  <c r="I371" i="1"/>
  <c r="I3195" i="1"/>
  <c r="I229" i="1"/>
  <c r="I1257" i="1"/>
  <c r="I3244" i="1"/>
  <c r="I2694" i="1"/>
  <c r="I1161" i="1"/>
  <c r="I3663" i="1"/>
  <c r="I865" i="1"/>
  <c r="I110" i="1"/>
  <c r="I3120" i="1"/>
  <c r="I325" i="1"/>
  <c r="I2928" i="1"/>
  <c r="I3601" i="1"/>
  <c r="I2055" i="1"/>
  <c r="I1760" i="1"/>
  <c r="I1349" i="1"/>
  <c r="I1376" i="1"/>
  <c r="I49" i="1"/>
  <c r="I518" i="1"/>
  <c r="I2388" i="1"/>
  <c r="I3524" i="1"/>
  <c r="I442" i="1"/>
  <c r="I2639" i="1"/>
  <c r="I1922" i="1"/>
  <c r="I2109" i="1"/>
  <c r="I1314" i="1"/>
  <c r="I2977" i="1"/>
  <c r="I3511" i="1"/>
  <c r="I1614" i="1"/>
  <c r="I2842" i="1"/>
  <c r="I152" i="1"/>
  <c r="I3584" i="1"/>
  <c r="I1472" i="1"/>
  <c r="I1795" i="1"/>
  <c r="I2765" i="1"/>
  <c r="I3599" i="1"/>
  <c r="I3318" i="1"/>
  <c r="I86" i="1"/>
  <c r="I1573" i="1"/>
  <c r="I946" i="1"/>
  <c r="I639" i="1"/>
  <c r="I355" i="1"/>
  <c r="I467" i="1"/>
  <c r="I1195" i="1"/>
  <c r="I1875" i="1"/>
  <c r="I3836" i="1"/>
  <c r="I2637" i="1"/>
  <c r="I438" i="1"/>
  <c r="I3277" i="1"/>
  <c r="I1886" i="1"/>
  <c r="I2241" i="1"/>
  <c r="I1162" i="1"/>
  <c r="I1722" i="1"/>
  <c r="I857" i="1"/>
  <c r="I959" i="1"/>
  <c r="I2917" i="1"/>
  <c r="I1632" i="1"/>
  <c r="I1337" i="1"/>
  <c r="I1313" i="1"/>
  <c r="I1699" i="1"/>
  <c r="I1340" i="1"/>
  <c r="I2827" i="1"/>
  <c r="I2256" i="1"/>
  <c r="I713" i="1"/>
  <c r="I500" i="1"/>
  <c r="I2891" i="1"/>
  <c r="I3279" i="1"/>
  <c r="I256" i="1"/>
  <c r="I1945" i="1"/>
  <c r="I1240" i="1"/>
  <c r="I3657" i="1"/>
  <c r="I910" i="1"/>
  <c r="I1451" i="1"/>
  <c r="I3517" i="1"/>
  <c r="I348" i="1"/>
  <c r="I866" i="1"/>
  <c r="I3247" i="1"/>
  <c r="I1435" i="1"/>
  <c r="I3024" i="1"/>
  <c r="I1570" i="1"/>
  <c r="I2697" i="1"/>
  <c r="I3220" i="1"/>
  <c r="I1565" i="1"/>
  <c r="I2558" i="1"/>
  <c r="I11" i="1"/>
  <c r="I2681" i="1"/>
  <c r="I1276" i="1"/>
  <c r="I1045" i="1"/>
  <c r="I397" i="1"/>
  <c r="I3251" i="1"/>
  <c r="I3181" i="1"/>
  <c r="I1576" i="1"/>
  <c r="I2207" i="1"/>
  <c r="I2845" i="1"/>
  <c r="I240" i="1"/>
  <c r="I705" i="1"/>
  <c r="I3252" i="1"/>
  <c r="I2804" i="1"/>
  <c r="I919" i="1"/>
  <c r="I891" i="1"/>
  <c r="I3758" i="1"/>
  <c r="I440" i="1"/>
  <c r="I2803" i="1"/>
  <c r="I1436" i="1"/>
  <c r="I2470" i="1"/>
  <c r="I1822" i="1"/>
  <c r="I1640" i="1"/>
  <c r="I577" i="1"/>
  <c r="I1887" i="1"/>
  <c r="I1244" i="1"/>
  <c r="I2736" i="1"/>
  <c r="I3676" i="1"/>
  <c r="I2095" i="1"/>
  <c r="I2075" i="1"/>
  <c r="I432" i="1"/>
  <c r="I2486" i="1"/>
  <c r="I2823" i="1"/>
  <c r="I2638" i="1"/>
  <c r="I750" i="1"/>
  <c r="I161" i="1"/>
  <c r="I2244" i="1"/>
  <c r="I2978" i="1"/>
  <c r="I1118" i="1"/>
  <c r="I1252" i="1"/>
  <c r="I3381" i="1"/>
  <c r="I391" i="1"/>
  <c r="I47" i="1"/>
  <c r="I3086" i="1"/>
  <c r="I3172" i="1"/>
  <c r="I2473" i="1"/>
  <c r="I2107" i="1"/>
  <c r="I3155" i="1"/>
  <c r="I2048" i="1"/>
  <c r="I3282" i="1"/>
  <c r="I1838" i="1"/>
  <c r="I2070" i="1"/>
  <c r="I2859" i="1"/>
  <c r="I1584" i="1"/>
  <c r="I2539" i="1"/>
  <c r="I1009" i="1"/>
  <c r="I132" i="1"/>
  <c r="I3482" i="1"/>
  <c r="I2620" i="1"/>
  <c r="I1679" i="1"/>
  <c r="I3240" i="1"/>
  <c r="I144" i="1"/>
  <c r="I514" i="1"/>
  <c r="I218" i="1"/>
  <c r="I306" i="1"/>
  <c r="I1165" i="1"/>
  <c r="I2721" i="1"/>
  <c r="I3103" i="1"/>
  <c r="I2579" i="1"/>
  <c r="I578" i="1"/>
  <c r="I2074" i="1"/>
  <c r="I1176" i="1"/>
  <c r="I414" i="1"/>
  <c r="I1189" i="1"/>
  <c r="I264" i="1"/>
  <c r="I542" i="1"/>
  <c r="I3733" i="1"/>
  <c r="I3056" i="1"/>
  <c r="I1454" i="1"/>
  <c r="I3659" i="1"/>
  <c r="I2532" i="1"/>
  <c r="I2448" i="1"/>
  <c r="I1523" i="1"/>
  <c r="I1943" i="1"/>
  <c r="I1939" i="1"/>
  <c r="I795" i="1"/>
  <c r="I2308" i="1"/>
  <c r="I3487" i="1"/>
  <c r="I1745" i="1"/>
  <c r="I754" i="1"/>
  <c r="I1296" i="1"/>
  <c r="I3210" i="1"/>
  <c r="I3060" i="1"/>
  <c r="I258" i="1"/>
  <c r="I704" i="1"/>
  <c r="I1991" i="1"/>
  <c r="I638" i="1"/>
  <c r="I2006" i="1"/>
  <c r="I1810" i="1"/>
  <c r="I268" i="1"/>
  <c r="I361" i="1"/>
  <c r="I1800" i="1"/>
  <c r="I1511" i="1"/>
  <c r="I3264" i="1"/>
  <c r="I1034" i="1"/>
  <c r="I2771" i="1"/>
  <c r="I1029" i="1"/>
  <c r="I1004" i="1"/>
  <c r="I2592" i="1"/>
  <c r="I1420" i="1"/>
  <c r="I338" i="1"/>
  <c r="I191" i="1"/>
  <c r="I3745" i="1"/>
  <c r="I3732" i="1"/>
  <c r="I2980" i="1"/>
  <c r="I1334" i="1"/>
  <c r="I2672" i="1"/>
  <c r="I2429" i="1"/>
  <c r="I2895" i="1"/>
  <c r="I951" i="1"/>
  <c r="I2523" i="1"/>
  <c r="I445" i="1"/>
  <c r="I216" i="1"/>
  <c r="I278" i="1"/>
  <c r="I3193" i="1"/>
  <c r="I1006" i="1"/>
  <c r="I3353" i="1"/>
  <c r="I304" i="1"/>
  <c r="I87" i="1"/>
  <c r="I3529" i="1"/>
  <c r="I2929" i="1"/>
  <c r="I1824" i="1"/>
  <c r="I75" i="1"/>
  <c r="I189" i="1"/>
  <c r="I17" i="1"/>
  <c r="I1072" i="1"/>
  <c r="I2038" i="1"/>
  <c r="I1378" i="1"/>
  <c r="I3785" i="1"/>
  <c r="I2665" i="1"/>
  <c r="I1142" i="1"/>
  <c r="I664" i="1"/>
  <c r="I677" i="1"/>
  <c r="I3470" i="1"/>
  <c r="I1610" i="1"/>
  <c r="I3706" i="1"/>
  <c r="I3073" i="1"/>
  <c r="I3038" i="1"/>
  <c r="I2487" i="1"/>
  <c r="I1433" i="1"/>
  <c r="I589" i="1"/>
  <c r="I3385" i="1"/>
  <c r="I2002" i="1"/>
  <c r="I728" i="1"/>
  <c r="I796" i="1"/>
  <c r="I3219" i="1"/>
  <c r="I104" i="1"/>
  <c r="I2785" i="1"/>
  <c r="I3068" i="1"/>
  <c r="I2175" i="1"/>
  <c r="I1829" i="1"/>
  <c r="I3349" i="1"/>
  <c r="I2372" i="1"/>
  <c r="I36" i="1"/>
  <c r="I1033" i="1"/>
  <c r="I3796" i="1"/>
  <c r="I732" i="1"/>
  <c r="I581" i="1"/>
  <c r="I3160" i="1"/>
  <c r="I3058" i="1"/>
  <c r="I926" i="1"/>
  <c r="I176" i="1"/>
  <c r="I1481" i="1"/>
  <c r="I3074" i="1"/>
  <c r="I3189" i="1"/>
  <c r="I634" i="1"/>
  <c r="I3289" i="1"/>
  <c r="I2960" i="1"/>
  <c r="I3499" i="1"/>
  <c r="I895" i="1"/>
  <c r="I1329" i="1"/>
  <c r="I2525" i="1"/>
  <c r="I42" i="1"/>
  <c r="I3163" i="1"/>
  <c r="I3235" i="1"/>
  <c r="I1280" i="1"/>
  <c r="I1819" i="1"/>
  <c r="I731" i="1"/>
  <c r="I3561" i="1"/>
  <c r="I3821" i="1"/>
  <c r="I437" i="1"/>
  <c r="I2368" i="1"/>
  <c r="I2682" i="1"/>
  <c r="I54" i="1"/>
  <c r="I1539" i="1"/>
  <c r="I646" i="1"/>
  <c r="I2847" i="1"/>
  <c r="I1365" i="1"/>
  <c r="I1697" i="1"/>
  <c r="I3455" i="1"/>
  <c r="I4" i="1"/>
  <c r="I539" i="1"/>
  <c r="I3166" i="1"/>
  <c r="I1542" i="1"/>
  <c r="I1835" i="1"/>
  <c r="I1981" i="1"/>
  <c r="I3510" i="1"/>
  <c r="I2204" i="1"/>
  <c r="I658" i="1"/>
  <c r="I993" i="1"/>
  <c r="I3233" i="1"/>
  <c r="I2375" i="1"/>
  <c r="I204" i="1"/>
  <c r="I1219" i="1"/>
  <c r="I3083" i="1"/>
  <c r="I2608" i="1"/>
  <c r="I3098" i="1"/>
  <c r="I1507" i="1"/>
  <c r="I599" i="1"/>
  <c r="I2037" i="1"/>
  <c r="I3071" i="1"/>
  <c r="I166" i="1"/>
  <c r="I991" i="1"/>
  <c r="I1413" i="1"/>
  <c r="I3521" i="1"/>
  <c r="I1317" i="1"/>
  <c r="I1623" i="1"/>
  <c r="I1194" i="1"/>
  <c r="I525" i="1"/>
  <c r="I2181" i="1"/>
  <c r="I1849" i="1"/>
  <c r="I722" i="1"/>
  <c r="I679" i="1"/>
  <c r="I1470" i="1"/>
  <c r="I670" i="1"/>
  <c r="I2773" i="1"/>
  <c r="I2199" i="1"/>
  <c r="I119" i="1"/>
  <c r="I1723" i="1"/>
  <c r="I2660" i="1"/>
  <c r="I997" i="1"/>
  <c r="I3645" i="1"/>
  <c r="I3673" i="1"/>
  <c r="I3184" i="1"/>
  <c r="I1513" i="1"/>
  <c r="I3669" i="1"/>
  <c r="I1310" i="1"/>
  <c r="I620" i="1"/>
  <c r="I1617" i="1"/>
  <c r="I1494" i="1"/>
  <c r="I1788" i="1"/>
  <c r="I1442" i="1"/>
  <c r="I842" i="1"/>
  <c r="I3787" i="1"/>
  <c r="I592" i="1"/>
  <c r="I2126" i="1"/>
  <c r="I1468" i="1"/>
  <c r="I1104" i="1"/>
  <c r="I1495" i="1"/>
  <c r="I1287" i="1"/>
  <c r="I1741" i="1"/>
  <c r="I3419" i="1"/>
  <c r="I2335" i="1"/>
  <c r="I454" i="1"/>
  <c r="I1809" i="1"/>
  <c r="I2603" i="1"/>
  <c r="I356" i="1"/>
  <c r="I3399" i="1"/>
  <c r="I299" i="1"/>
  <c r="I388" i="1"/>
  <c r="I3226" i="1"/>
  <c r="I2722" i="1"/>
  <c r="I272" i="1"/>
  <c r="I419" i="1"/>
  <c r="I2387" i="1"/>
  <c r="I2005" i="1"/>
  <c r="I3161" i="1"/>
  <c r="I1990" i="1"/>
  <c r="I1552" i="1"/>
  <c r="I2295" i="1"/>
  <c r="I3459" i="1"/>
  <c r="I433" i="1"/>
  <c r="I998" i="1"/>
  <c r="I3370" i="1"/>
  <c r="I2587" i="1"/>
  <c r="I3099" i="1"/>
  <c r="I147" i="1"/>
  <c r="I3818" i="1"/>
  <c r="I2419" i="1"/>
  <c r="I1396" i="1"/>
  <c r="I1385" i="1"/>
  <c r="I1820" i="1"/>
  <c r="I1994" i="1"/>
  <c r="I1351" i="1"/>
  <c r="I3604" i="1"/>
  <c r="I3036" i="1"/>
  <c r="I2582" i="1"/>
  <c r="I966" i="1"/>
  <c r="I2922" i="1"/>
  <c r="I3507" i="1"/>
  <c r="I3832" i="1"/>
  <c r="I1386" i="1"/>
  <c r="I1952" i="1"/>
  <c r="I2187" i="1"/>
  <c r="I2832" i="1"/>
  <c r="I1306" i="1"/>
  <c r="I1818" i="1"/>
  <c r="I160" i="1"/>
  <c r="I267" i="1"/>
  <c r="I2695" i="1"/>
  <c r="I1701" i="1"/>
  <c r="I947" i="1"/>
  <c r="I2128" i="1"/>
  <c r="I3238" i="1"/>
  <c r="I1964" i="1"/>
  <c r="I2365" i="1"/>
  <c r="I2945" i="1"/>
  <c r="I1059" i="1"/>
  <c r="I2756" i="1"/>
  <c r="I67" i="1"/>
  <c r="I1160" i="1"/>
  <c r="I2986" i="1"/>
  <c r="I1538" i="1"/>
  <c r="I95" i="1"/>
  <c r="I3158" i="1"/>
  <c r="I1737" i="1"/>
  <c r="I532" i="1"/>
  <c r="I1134" i="1"/>
  <c r="I1961" i="1"/>
  <c r="I1372" i="1"/>
  <c r="I2947" i="1"/>
  <c r="I3611" i="1"/>
  <c r="I2875" i="1"/>
  <c r="I2472" i="1"/>
  <c r="I2668" i="1"/>
  <c r="I3493" i="1"/>
  <c r="I3696" i="1"/>
  <c r="I1841" i="1"/>
  <c r="I148" i="1"/>
  <c r="I3558" i="1"/>
  <c r="I459" i="1"/>
  <c r="I1262" i="1"/>
  <c r="I1828" i="1"/>
  <c r="I188" i="1"/>
  <c r="I1008" i="1"/>
  <c r="I3569" i="1"/>
  <c r="I3059" i="1"/>
  <c r="I1354" i="1"/>
  <c r="I880" i="1"/>
  <c r="I1837" i="1"/>
  <c r="I3156" i="1"/>
  <c r="I2469" i="1"/>
  <c r="I195" i="1"/>
  <c r="I1618" i="1"/>
  <c r="I409" i="1"/>
  <c r="I2305" i="1"/>
  <c r="I2196" i="1"/>
  <c r="I511" i="1"/>
  <c r="I298" i="1"/>
  <c r="I3815" i="1"/>
  <c r="I702" i="1"/>
  <c r="I2360" i="1"/>
  <c r="I533" i="1"/>
  <c r="I3484" i="1"/>
  <c r="I2425" i="1"/>
  <c r="I1328" i="1"/>
  <c r="I794" i="1"/>
  <c r="I760" i="1"/>
  <c r="I2164" i="1"/>
  <c r="I318" i="1"/>
  <c r="I3337" i="1"/>
  <c r="I807" i="1"/>
  <c r="I2091" i="1"/>
  <c r="I3816" i="1"/>
  <c r="I2153" i="1"/>
  <c r="I2893" i="1"/>
  <c r="I3133" i="1"/>
  <c r="I3052" i="1"/>
  <c r="I3594" i="1"/>
  <c r="I1510" i="1"/>
  <c r="I2066" i="1"/>
  <c r="I2043" i="1"/>
  <c r="I399" i="1"/>
  <c r="I536" i="1"/>
  <c r="I3035" i="1"/>
  <c r="I1290" i="1"/>
  <c r="I2844" i="1"/>
  <c r="I2257" i="1"/>
  <c r="I182" i="1"/>
  <c r="I3846" i="1"/>
  <c r="I3110" i="1"/>
  <c r="I854" i="1"/>
  <c r="I764" i="1"/>
  <c r="I1626" i="1"/>
  <c r="I3562" i="1"/>
  <c r="I3267" i="1"/>
  <c r="I2613" i="1"/>
  <c r="I2657" i="1"/>
  <c r="I200" i="1"/>
  <c r="I1721" i="1"/>
  <c r="I1769" i="1"/>
  <c r="I2173" i="1"/>
  <c r="I2849" i="1"/>
  <c r="I2828" i="1"/>
  <c r="I3406" i="1"/>
  <c r="I954" i="1"/>
  <c r="I211" i="1"/>
  <c r="I635" i="1"/>
  <c r="I1250" i="1"/>
  <c r="I1316" i="1"/>
  <c r="I2142" i="1"/>
  <c r="I1200" i="1"/>
  <c r="I2590" i="1"/>
  <c r="I2869" i="1"/>
  <c r="I3274" i="1"/>
  <c r="I745" i="1"/>
  <c r="I1157" i="1"/>
  <c r="I741" i="1"/>
  <c r="I3376" i="1"/>
  <c r="I3522" i="1"/>
  <c r="I1936" i="1"/>
  <c r="I798" i="1"/>
  <c r="I2499" i="1"/>
  <c r="I981" i="1"/>
  <c r="I1674" i="1"/>
  <c r="I3011" i="1"/>
  <c r="I16" i="1"/>
  <c r="I1997" i="1"/>
  <c r="I867" i="1"/>
  <c r="I3182" i="1"/>
  <c r="I2671" i="1"/>
  <c r="I2690" i="1"/>
  <c r="I2679" i="1"/>
  <c r="I1491" i="1"/>
  <c r="I2853" i="1"/>
  <c r="I1116" i="1"/>
  <c r="I1269" i="1"/>
  <c r="I2813" i="1"/>
  <c r="I574" i="1"/>
  <c r="I1198" i="1"/>
  <c r="I1694" i="1"/>
  <c r="I3494" i="1"/>
  <c r="I1364" i="1"/>
  <c r="I3627" i="1"/>
  <c r="I2067" i="1"/>
  <c r="I2410" i="1"/>
  <c r="I2735" i="1"/>
  <c r="I2333" i="1"/>
  <c r="I3586" i="1"/>
  <c r="I1456" i="1"/>
  <c r="I697" i="1"/>
  <c r="I2536" i="1"/>
  <c r="I312" i="1"/>
  <c r="I1211" i="1"/>
  <c r="I1514" i="1"/>
  <c r="I48" i="1"/>
  <c r="I786" i="1"/>
  <c r="I332" i="1"/>
  <c r="I809" i="1"/>
  <c r="I3021" i="1"/>
  <c r="I3557" i="1"/>
  <c r="I2077" i="1"/>
  <c r="I1850" i="1"/>
  <c r="I563" i="1"/>
  <c r="I3506" i="1"/>
  <c r="I2542" i="1"/>
  <c r="I2952" i="1"/>
  <c r="I2331" i="1"/>
  <c r="I555" i="1"/>
  <c r="I2593" i="1"/>
  <c r="I3719" i="1"/>
  <c r="I2327" i="1"/>
  <c r="I2041" i="1"/>
  <c r="I2734" i="1"/>
  <c r="I1230" i="1"/>
  <c r="I2621" i="1"/>
  <c r="I929" i="1"/>
  <c r="I1208" i="1"/>
  <c r="I2160" i="1"/>
  <c r="I544" i="1"/>
  <c r="I2094" i="1"/>
  <c r="I3682" i="1"/>
  <c r="I45" i="1"/>
  <c r="I1084" i="1"/>
  <c r="I3845" i="1"/>
  <c r="I2655" i="1"/>
  <c r="I3454" i="1"/>
  <c r="I2645" i="1"/>
  <c r="I3479" i="1"/>
  <c r="I2434" i="1"/>
  <c r="I975" i="1"/>
  <c r="I3808" i="1"/>
  <c r="I1407" i="1"/>
  <c r="I3405" i="1"/>
  <c r="I3298" i="1"/>
  <c r="I3776" i="1"/>
  <c r="I3151" i="1"/>
  <c r="I2850" i="1"/>
  <c r="I1733" i="1"/>
  <c r="I1428" i="1"/>
  <c r="I245" i="1"/>
  <c r="I2691" i="1"/>
  <c r="I2757" i="1"/>
  <c r="I202" i="1"/>
  <c r="I3401" i="1"/>
  <c r="I631" i="1"/>
  <c r="I350" i="1"/>
  <c r="I2806" i="1"/>
  <c r="I1903" i="1"/>
  <c r="I1858" i="1"/>
  <c r="I2177" i="1"/>
  <c r="I2924" i="1"/>
  <c r="I2623" i="1"/>
  <c r="I2239" i="1"/>
  <c r="I127" i="1"/>
  <c r="I583" i="1"/>
  <c r="I813" i="1"/>
  <c r="I308" i="1"/>
  <c r="I2554" i="1"/>
  <c r="I3271" i="1"/>
  <c r="I3854" i="1"/>
  <c r="I3013" i="1"/>
  <c r="I2683" i="1"/>
  <c r="I1965" i="1"/>
  <c r="I3551" i="1"/>
  <c r="I3547" i="1"/>
  <c r="I225" i="1"/>
  <c r="I3336" i="1"/>
  <c r="I3638" i="1"/>
  <c r="I2548" i="1"/>
  <c r="I3814" i="1"/>
  <c r="I886" i="1"/>
  <c r="I978" i="1"/>
  <c r="I1816" i="1"/>
  <c r="I2802" i="1"/>
  <c r="I3628" i="1"/>
  <c r="I999" i="1"/>
  <c r="I374" i="1"/>
  <c r="I365" i="1"/>
  <c r="I2348" i="1"/>
  <c r="I1374" i="1"/>
  <c r="I205" i="1"/>
  <c r="I3357" i="1"/>
  <c r="I12" i="1"/>
  <c r="I2972" i="1"/>
  <c r="I3485" i="1"/>
  <c r="I1015" i="1"/>
  <c r="I390" i="1"/>
  <c r="I2999" i="1"/>
  <c r="I2374" i="1"/>
  <c r="I913" i="1"/>
  <c r="I1703" i="1"/>
  <c r="I1193" i="1"/>
  <c r="I1275" i="1"/>
  <c r="I243" i="1"/>
  <c r="I1389" i="1"/>
  <c r="I1719" i="1"/>
  <c r="I1786" i="1"/>
  <c r="I3334" i="1"/>
  <c r="I3150" i="1"/>
  <c r="I1107" i="1"/>
  <c r="I3610" i="1"/>
  <c r="I678" i="1"/>
  <c r="I1912" i="1"/>
  <c r="I3542" i="1"/>
  <c r="I956" i="1"/>
  <c r="I1907" i="1"/>
  <c r="I1026" i="1"/>
  <c r="I1249" i="1"/>
  <c r="I588" i="1"/>
  <c r="I426" i="1"/>
  <c r="I3263" i="1"/>
  <c r="I1075" i="1"/>
  <c r="I708" i="1"/>
  <c r="I1975" i="1"/>
  <c r="I1105" i="1"/>
  <c r="I137" i="1"/>
  <c r="I3560" i="1"/>
  <c r="I3094" i="1"/>
  <c r="I3257" i="1"/>
  <c r="I1590" i="1"/>
  <c r="I3431" i="1"/>
  <c r="I2955" i="1"/>
  <c r="I3778" i="1"/>
  <c r="I1251" i="1"/>
  <c r="I310" i="1"/>
  <c r="I3019" i="1"/>
  <c r="I2953" i="1"/>
  <c r="I2702" i="1"/>
  <c r="I2248" i="1"/>
  <c r="I1184" i="1"/>
  <c r="I2129" i="1"/>
  <c r="I2422" i="1"/>
  <c r="I2957" i="1"/>
  <c r="I21" i="1"/>
  <c r="I2808" i="1"/>
  <c r="I3825" i="1"/>
  <c r="I429" i="1"/>
  <c r="I3108" i="1"/>
  <c r="I2843" i="1"/>
  <c r="I3413" i="1"/>
  <c r="I969" i="1"/>
  <c r="I141" i="1"/>
  <c r="I3146" i="1"/>
  <c r="I2778" i="1"/>
  <c r="I1706" i="1"/>
  <c r="I1397" i="1"/>
  <c r="I3194" i="1"/>
  <c r="I575" i="1"/>
  <c r="I1300" i="1"/>
  <c r="I2238" i="1"/>
  <c r="I72" i="1"/>
  <c r="I1506" i="1"/>
  <c r="I1794" i="1"/>
  <c r="I616" i="1"/>
  <c r="I1675" i="1"/>
  <c r="I122" i="1"/>
  <c r="I1553" i="1"/>
  <c r="I39" i="1"/>
  <c r="I988" i="1"/>
  <c r="I2586" i="1"/>
  <c r="I3020" i="1"/>
  <c r="I2274" i="1"/>
  <c r="I2438" i="1"/>
  <c r="I3114" i="1"/>
  <c r="I198" i="1"/>
  <c r="I3483" i="1"/>
  <c r="I711" i="1"/>
  <c r="I149" i="1"/>
  <c r="I109" i="1"/>
  <c r="I2979" i="1"/>
  <c r="I3022" i="1"/>
  <c r="I2428" i="1"/>
  <c r="I3503" i="1"/>
  <c r="I2504" i="1"/>
  <c r="I682" i="1"/>
  <c r="I375" i="1"/>
  <c r="I3426" i="1"/>
  <c r="I2392" i="1"/>
  <c r="I1516" i="1"/>
  <c r="I538" i="1"/>
  <c r="I146" i="1"/>
  <c r="I1586" i="1"/>
  <c r="I1479" i="1"/>
  <c r="I1714" i="1"/>
  <c r="I3306" i="1"/>
  <c r="I2344" i="1"/>
  <c r="I2584" i="1"/>
  <c r="I2610" i="1"/>
  <c r="I1653" i="1"/>
  <c r="I99" i="1"/>
  <c r="I905" i="1"/>
  <c r="I853" i="1"/>
  <c r="I1988" i="1"/>
  <c r="I3792" i="1"/>
  <c r="I2879" i="1"/>
  <c r="I239" i="1"/>
  <c r="I482" i="1"/>
  <c r="I2363" i="1"/>
  <c r="I380" i="1"/>
  <c r="I3007" i="1"/>
  <c r="I2848" i="1"/>
  <c r="I1301" i="1"/>
  <c r="I70" i="1"/>
  <c r="I2964" i="1"/>
  <c r="I1783" i="1"/>
  <c r="I1147" i="1"/>
  <c r="I3427" i="1"/>
  <c r="I1036" i="1"/>
  <c r="I2359" i="1"/>
  <c r="I295" i="1"/>
  <c r="I2062" i="1"/>
  <c r="I2272" i="1"/>
  <c r="I1540" i="1"/>
  <c r="I2009" i="1"/>
  <c r="I2607" i="1"/>
  <c r="I1556" i="1"/>
  <c r="I1793" i="1"/>
  <c r="I2167" i="1"/>
  <c r="I1724" i="1"/>
  <c r="I2627" i="1"/>
  <c r="I2958" i="1"/>
  <c r="I2296" i="1"/>
  <c r="I2424" i="1"/>
  <c r="I3572" i="1"/>
  <c r="I2669" i="1"/>
  <c r="I1792" i="1"/>
  <c r="I1322" i="1"/>
  <c r="I903" i="1"/>
  <c r="I3012" i="1"/>
  <c r="I3695" i="1"/>
  <c r="I1677" i="1"/>
  <c r="I2390" i="1"/>
  <c r="I196" i="1"/>
  <c r="I587" i="1"/>
  <c r="I13" i="1"/>
  <c r="I1136" i="1"/>
  <c r="I2023" i="1"/>
  <c r="I2261" i="1"/>
  <c r="I2352" i="1"/>
  <c r="I590" i="1"/>
  <c r="I873" i="1"/>
  <c r="I1621" i="1"/>
  <c r="I612" i="1"/>
  <c r="I3703" i="1"/>
  <c r="I689" i="1"/>
  <c r="I1255" i="1"/>
  <c r="I775" i="1"/>
  <c r="I2267" i="1"/>
  <c r="I1148" i="1"/>
  <c r="I1303" i="1"/>
  <c r="I1336" i="1"/>
  <c r="I1729" i="1"/>
  <c r="I2462" i="1"/>
  <c r="I989" i="1"/>
  <c r="I2772" i="1"/>
  <c r="I382" i="1"/>
  <c r="I1216" i="1"/>
  <c r="I1588" i="1"/>
  <c r="I2322" i="1"/>
  <c r="I1940" i="1"/>
  <c r="I235" i="1"/>
  <c r="I2277" i="1"/>
  <c r="I2503" i="1"/>
  <c r="I823" i="1"/>
  <c r="I2154" i="1"/>
  <c r="I2250" i="1"/>
  <c r="I2479" i="1"/>
  <c r="I3811" i="1"/>
  <c r="I1082" i="1"/>
  <c r="I2588" i="1"/>
  <c r="I3677" i="1"/>
  <c r="I33" i="1"/>
  <c r="I139" i="1"/>
  <c r="I1683" i="1"/>
  <c r="I2870" i="1"/>
  <c r="I2353" i="1"/>
  <c r="I2310" i="1"/>
  <c r="I1512" i="1"/>
  <c r="I1770" i="1"/>
  <c r="I1971" i="1"/>
  <c r="I57" i="1"/>
  <c r="I2908" i="1"/>
  <c r="I1179" i="1"/>
  <c r="I3095" i="1"/>
  <c r="I3536" i="1"/>
  <c r="I3710" i="1"/>
  <c r="I2754" i="1"/>
  <c r="I2749" i="1"/>
  <c r="I1500" i="1"/>
  <c r="I1220" i="1"/>
  <c r="I2112" i="1"/>
  <c r="I1543" i="1"/>
  <c r="I183" i="1"/>
  <c r="I2166" i="1"/>
  <c r="I3453" i="1"/>
  <c r="I194" i="1"/>
  <c r="I1650" i="1"/>
  <c r="I486" i="1"/>
  <c r="I3622" i="1"/>
  <c r="I3246" i="1"/>
  <c r="I1555" i="1"/>
  <c r="I3170" i="1"/>
  <c r="I3206" i="1"/>
  <c r="I1127" i="1"/>
  <c r="I3358" i="1"/>
  <c r="I1440" i="1"/>
  <c r="I524" i="1"/>
  <c r="I3241" i="1"/>
  <c r="I1717" i="1"/>
  <c r="I2460" i="1"/>
  <c r="I3481" i="1"/>
  <c r="I3641" i="1"/>
  <c r="I876" i="1"/>
  <c r="I3556" i="1"/>
  <c r="I2601" i="1"/>
  <c r="I1443" i="1"/>
  <c r="I2578" i="1"/>
  <c r="I2306" i="1"/>
  <c r="I1772" i="1"/>
  <c r="I2084" i="1"/>
  <c r="I458" i="1"/>
  <c r="I351" i="1"/>
  <c r="I2912" i="1"/>
  <c r="I305" i="1"/>
  <c r="I896" i="1"/>
  <c r="I3067" i="1"/>
  <c r="I3093" i="1"/>
  <c r="I2903" i="1"/>
  <c r="I2524" i="1"/>
  <c r="I2573" i="1"/>
  <c r="I35" i="1"/>
  <c r="I995" i="1"/>
  <c r="I3362" i="1"/>
  <c r="I2116" i="1"/>
  <c r="I3403" i="1"/>
  <c r="I1639" i="1"/>
  <c r="I2775" i="1"/>
  <c r="I2385" i="1"/>
  <c r="I307" i="1"/>
  <c r="I535" i="1"/>
  <c r="I2314" i="1"/>
  <c r="I1930" i="1"/>
  <c r="I2790" i="1"/>
  <c r="I180" i="1"/>
  <c r="I1698" i="1"/>
  <c r="I118" i="1"/>
  <c r="I2045" i="1"/>
  <c r="I3186" i="1"/>
  <c r="I1633" i="1"/>
  <c r="I3451" i="1"/>
  <c r="I2111" i="1"/>
  <c r="I2643" i="1"/>
  <c r="I260" i="1"/>
  <c r="I1291" i="1"/>
  <c r="I1581" i="1"/>
  <c r="I2148" i="1"/>
  <c r="I1023" i="1"/>
  <c r="I2565" i="1"/>
  <c r="I3053" i="1"/>
  <c r="I859" i="1"/>
  <c r="I2297" i="1"/>
  <c r="I1648" i="1"/>
  <c r="I2437" i="1"/>
  <c r="I1266" i="1"/>
  <c r="I3722" i="1"/>
  <c r="I3077" i="1"/>
  <c r="I1914" i="1"/>
  <c r="I2281" i="1"/>
  <c r="I2991" i="1"/>
  <c r="I3577" i="1"/>
  <c r="I2383" i="1"/>
  <c r="I2271" i="1"/>
  <c r="I3183" i="1"/>
  <c r="I3409" i="1"/>
  <c r="I2270" i="1"/>
  <c r="I234" i="1"/>
  <c r="I3087" i="1"/>
  <c r="I714" i="1"/>
  <c r="I709" i="1"/>
  <c r="I878" i="1"/>
  <c r="I1293" i="1"/>
  <c r="I766" i="1"/>
  <c r="I2433" i="1"/>
  <c r="I1350" i="1"/>
  <c r="I326" i="1"/>
  <c r="I3199" i="1"/>
  <c r="I1986" i="1"/>
  <c r="I3216" i="1"/>
  <c r="I2490" i="1"/>
  <c r="I1422" i="1"/>
  <c r="I1464" i="1"/>
  <c r="I1226" i="1"/>
  <c r="I1814" i="1"/>
  <c r="I3313" i="1"/>
  <c r="I1305" i="1"/>
  <c r="I1459" i="1"/>
  <c r="I2797" i="1"/>
  <c r="I2717" i="1"/>
  <c r="I3347" i="1"/>
  <c r="I1108" i="1"/>
  <c r="I3588" i="1"/>
  <c r="I546" i="1"/>
  <c r="I1746" i="1"/>
  <c r="I3138" i="1"/>
  <c r="I1066" i="1"/>
  <c r="I1159" i="1"/>
  <c r="I1197" i="1"/>
  <c r="I2692" i="1"/>
  <c r="I1154" i="1"/>
  <c r="I1692" i="1"/>
  <c r="I1690" i="1"/>
  <c r="I1979" i="1"/>
  <c r="I2284" i="1"/>
  <c r="I1040" i="1"/>
  <c r="I778" i="1"/>
  <c r="I2598" i="1"/>
  <c r="I2983" i="1"/>
  <c r="I2699" i="1"/>
  <c r="I3368" i="1"/>
  <c r="I1638" i="1"/>
  <c r="I1867" i="1"/>
  <c r="I1585" i="1"/>
  <c r="I2089" i="1"/>
  <c r="I423" i="1"/>
  <c r="I2014" i="1"/>
  <c r="I3044" i="1"/>
  <c r="I2341" i="1"/>
  <c r="I3145" i="1"/>
  <c r="I2459" i="1"/>
  <c r="I1053" i="1"/>
  <c r="I3090" i="1"/>
  <c r="I1213" i="1"/>
  <c r="I3736" i="1"/>
  <c r="I2158" i="1"/>
  <c r="I2965" i="1"/>
  <c r="I74" i="1"/>
  <c r="I2680" i="1"/>
  <c r="I3668" i="1"/>
  <c r="I962" i="1"/>
  <c r="I2860" i="1"/>
  <c r="I1121" i="1"/>
  <c r="I937" i="1"/>
  <c r="I2417" i="1"/>
  <c r="I2961" i="1"/>
  <c r="I2076" i="1"/>
  <c r="I2674" i="1"/>
  <c r="I3243" i="1"/>
  <c r="I1284" i="1"/>
  <c r="I3595" i="1"/>
  <c r="I3283" i="1"/>
  <c r="I3724" i="1"/>
  <c r="I2140" i="1"/>
  <c r="I1439" i="1"/>
  <c r="I2124" i="1"/>
  <c r="I2562" i="1"/>
  <c r="I934" i="1"/>
  <c r="I2031" i="1"/>
  <c r="I567" i="1"/>
  <c r="I2758" i="1"/>
  <c r="I2555" i="1"/>
  <c r="I653" i="1"/>
  <c r="I3250" i="1"/>
  <c r="I2652" i="1"/>
  <c r="I2740" i="1"/>
  <c r="I3253" i="1"/>
  <c r="I2321" i="1"/>
  <c r="I1398" i="1"/>
  <c r="I1598" i="1"/>
  <c r="I3842" i="1"/>
  <c r="I2505" i="1"/>
  <c r="I241" i="1"/>
  <c r="I2381" i="1"/>
  <c r="I347" i="1"/>
  <c r="I3740" i="1"/>
  <c r="I1132" i="1"/>
  <c r="I2040" i="1"/>
  <c r="I700" i="1"/>
  <c r="I2753" i="1"/>
  <c r="I2125" i="1"/>
  <c r="I1480" i="1"/>
  <c r="I3775" i="1"/>
  <c r="I3465" i="1"/>
  <c r="I3623" i="1"/>
  <c r="I2051" i="1"/>
  <c r="I3442" i="1"/>
  <c r="I1657" i="1"/>
  <c r="I2105" i="1"/>
  <c r="I1168" i="1"/>
  <c r="I1763" i="1"/>
  <c r="I41" i="1"/>
  <c r="I2229" i="1"/>
  <c r="I1704" i="1"/>
  <c r="I2226" i="1"/>
  <c r="I1432" i="1"/>
  <c r="I3766" i="1"/>
  <c r="I209" i="1"/>
  <c r="I2814" i="1"/>
  <c r="I1268" i="1"/>
  <c r="I1079" i="1"/>
  <c r="I2253" i="1"/>
  <c r="I3543" i="1"/>
  <c r="I2063" i="1"/>
  <c r="I1879" i="1"/>
  <c r="I3039" i="1"/>
  <c r="I648" i="1"/>
  <c r="I1158" i="1"/>
  <c r="I2336" i="1"/>
  <c r="I2355" i="1"/>
  <c r="I1894" i="1"/>
  <c r="I2779" i="1"/>
  <c r="I2883" i="1"/>
  <c r="I389" i="1"/>
  <c r="I1681" i="1"/>
  <c r="I14" i="1"/>
  <c r="I2389" i="1"/>
  <c r="I3325" i="1"/>
  <c r="I1891" i="1"/>
  <c r="I2467" i="1"/>
  <c r="I839" i="1"/>
  <c r="I1460" i="1"/>
  <c r="I1175" i="1"/>
  <c r="I1926" i="1"/>
  <c r="I725" i="1"/>
  <c r="I888" i="1"/>
  <c r="I1597" i="1"/>
  <c r="I1890" i="1"/>
  <c r="I1743" i="1"/>
  <c r="I1954" i="1"/>
  <c r="I129" i="1"/>
  <c r="I2512" i="1"/>
  <c r="I1123" i="1"/>
  <c r="I2533" i="1"/>
  <c r="I1808" i="1"/>
  <c r="I3671" i="1"/>
  <c r="I2774" i="1"/>
  <c r="I3295" i="1"/>
  <c r="I1882" i="1"/>
  <c r="I2483" i="1"/>
  <c r="I2431" i="1"/>
  <c r="I2103" i="1"/>
  <c r="I1755" i="1"/>
  <c r="I3139" i="1"/>
  <c r="I712" i="1"/>
  <c r="I573" i="1"/>
  <c r="I2902" i="1"/>
  <c r="I3382" i="1"/>
  <c r="I2951" i="1"/>
  <c r="I3262" i="1"/>
  <c r="I64" i="1"/>
  <c r="I1989" i="1"/>
  <c r="I2303" i="1"/>
  <c r="I501" i="1"/>
  <c r="I1172" i="1"/>
  <c r="I3720" i="1"/>
  <c r="I2457" i="1"/>
  <c r="I2730" i="1"/>
  <c r="I1508" i="1"/>
  <c r="I252" i="1"/>
  <c r="I114" i="1"/>
  <c r="I3372" i="1"/>
  <c r="I3674" i="1"/>
  <c r="I1740" i="1"/>
  <c r="I1661" i="1"/>
  <c r="I3463" i="1"/>
  <c r="I2416" i="1"/>
  <c r="I1582" i="1"/>
  <c r="I3236" i="1"/>
  <c r="I595" i="1"/>
  <c r="I3402" i="1"/>
  <c r="I1535" i="1"/>
  <c r="I3697" i="1"/>
  <c r="I2612" i="1"/>
  <c r="I2508" i="1"/>
  <c r="I2546" i="1"/>
  <c r="I1128" i="1"/>
  <c r="I334" i="1"/>
  <c r="I3042" i="1"/>
  <c r="I1030" i="1"/>
  <c r="I3527" i="1"/>
  <c r="I1630" i="1"/>
  <c r="I3715" i="1"/>
  <c r="I2534" i="1"/>
  <c r="I3634" i="1"/>
  <c r="I93" i="1"/>
  <c r="I830" i="1"/>
  <c r="I1490" i="1"/>
  <c r="I193" i="1"/>
  <c r="I2974" i="1"/>
  <c r="I3227" i="1"/>
  <c r="I237" i="1"/>
  <c r="I2208" i="1"/>
  <c r="I862" i="1"/>
  <c r="I168" i="1"/>
  <c r="I2347" i="1"/>
  <c r="I687" i="1"/>
  <c r="I663" i="1"/>
  <c r="I565" i="1"/>
  <c r="I3713" i="1"/>
  <c r="I3502" i="1"/>
  <c r="I2298" i="1"/>
  <c r="I364" i="1"/>
  <c r="I3585" i="1"/>
  <c r="I3045" i="1"/>
  <c r="I2994" i="1"/>
  <c r="I1608" i="1"/>
  <c r="I2279" i="1"/>
  <c r="I2882" i="1"/>
  <c r="I1649" i="1"/>
  <c r="I1231" i="1"/>
  <c r="I2104" i="1"/>
  <c r="I2738" i="1"/>
  <c r="I3119" i="1"/>
  <c r="I669" i="1"/>
  <c r="I1536" i="1"/>
  <c r="I357" i="1"/>
  <c r="I3339" i="1"/>
  <c r="I2729" i="1"/>
  <c r="I3296" i="1"/>
  <c r="I3118" i="1"/>
  <c r="I3445" i="1"/>
  <c r="I1051" i="1"/>
  <c r="I3290" i="1"/>
  <c r="I1234" i="1"/>
  <c r="I752" i="1"/>
  <c r="I422" i="1"/>
  <c r="I3849" i="1"/>
  <c r="I1245" i="1"/>
  <c r="I2818" i="1"/>
  <c r="I342" i="1"/>
  <c r="I758" i="1"/>
  <c r="I1917" i="1"/>
  <c r="I3286" i="1"/>
  <c r="I2594" i="1"/>
  <c r="I3456" i="1"/>
  <c r="I2817" i="1"/>
  <c r="I230" i="1"/>
  <c r="I3646" i="1"/>
  <c r="I1531" i="1"/>
  <c r="I1974" i="1"/>
  <c r="I228" i="1"/>
  <c r="I1622" i="1"/>
  <c r="I1931" i="1"/>
  <c r="I490" i="1"/>
  <c r="I1834" i="1"/>
  <c r="I1844" i="1"/>
  <c r="I543" i="1"/>
  <c r="I1578" i="1"/>
  <c r="I2179" i="1"/>
  <c r="I3731" i="1"/>
  <c r="I2036" i="1"/>
  <c r="I2625" i="1"/>
  <c r="I1191" i="1"/>
  <c r="I2863" i="1"/>
  <c r="I3169" i="1"/>
  <c r="I2807" i="1"/>
  <c r="I94" i="1"/>
  <c r="I2839" i="1"/>
  <c r="I3534" i="1"/>
  <c r="I906" i="1"/>
  <c r="I1069" i="1"/>
  <c r="I448" i="1"/>
  <c r="I1711" i="1"/>
  <c r="I958" i="1"/>
  <c r="I1327" i="1"/>
  <c r="I69" i="1"/>
  <c r="I1897" i="1"/>
  <c r="I2246" i="1"/>
  <c r="I1483" i="1"/>
  <c r="I3690" i="1"/>
  <c r="I793" i="1"/>
  <c r="I1140" i="1"/>
  <c r="I2212" i="1"/>
  <c r="I3341" i="1"/>
  <c r="I309" i="1"/>
  <c r="I3092" i="1"/>
  <c r="I1842" i="1"/>
  <c r="I140" i="1"/>
  <c r="I2024" i="1"/>
  <c r="I3214" i="1"/>
  <c r="I3001" i="1"/>
  <c r="I102" i="1"/>
  <c r="I257" i="1"/>
  <c r="I531" i="1"/>
  <c r="I2323" i="1"/>
  <c r="I3008" i="1"/>
  <c r="I3230" i="1"/>
  <c r="I3129" i="1"/>
  <c r="I2880" i="1"/>
  <c r="I3505" i="1"/>
  <c r="I2944" i="1"/>
  <c r="I3332" i="1"/>
  <c r="I625" i="1"/>
  <c r="I564" i="1"/>
  <c r="I1410" i="1"/>
  <c r="I1718" i="1"/>
  <c r="I435" i="1"/>
  <c r="I2028" i="1"/>
  <c r="I2759" i="1"/>
  <c r="I3272" i="1"/>
  <c r="I2264" i="1"/>
  <c r="I791" i="1"/>
  <c r="I1976" i="1"/>
  <c r="I398" i="1"/>
  <c r="I3432" i="1"/>
  <c r="I281" i="1"/>
  <c r="I1619" i="1"/>
  <c r="I899" i="1"/>
  <c r="I2132" i="1"/>
  <c r="I498" i="1"/>
  <c r="I65" i="1"/>
  <c r="I772" i="1"/>
  <c r="I2364" i="1"/>
  <c r="I3640" i="1"/>
  <c r="I877" i="1"/>
  <c r="I3326" i="1"/>
  <c r="I2300" i="1"/>
  <c r="I1665" i="1"/>
  <c r="I359" i="1"/>
  <c r="I2357" i="1"/>
  <c r="I2535" i="1"/>
  <c r="I960" i="1"/>
  <c r="I1660" i="1"/>
  <c r="I1384" i="1"/>
  <c r="I2968" i="1"/>
  <c r="I627" i="1"/>
  <c r="I1076" i="1"/>
  <c r="I1563" i="1"/>
  <c r="I1111" i="1"/>
  <c r="I1411" i="1"/>
  <c r="I2564" i="1"/>
  <c r="I368" i="1"/>
  <c r="I2855" i="1"/>
  <c r="I2835" i="1"/>
  <c r="I2081" i="1"/>
  <c r="I1450" i="1"/>
  <c r="I3656" i="1"/>
  <c r="I2190" i="1"/>
  <c r="I831" i="1"/>
  <c r="I2975" i="1"/>
  <c r="I3148" i="1"/>
  <c r="I1784" i="1"/>
  <c r="I3578" i="1"/>
  <c r="I941" i="1"/>
  <c r="I125" i="1"/>
  <c r="I1049" i="1"/>
  <c r="I3085" i="1"/>
  <c r="I933" i="1"/>
  <c r="I767" i="1"/>
  <c r="I3415" i="1"/>
  <c r="I1092" i="1"/>
  <c r="I1383" i="1"/>
  <c r="I1925" i="1"/>
  <c r="I912" i="1"/>
  <c r="I1684" i="1"/>
  <c r="I1901" i="1"/>
  <c r="I1521" i="1"/>
  <c r="I2369" i="1"/>
  <c r="I2720" i="1"/>
  <c r="I1609" i="1"/>
  <c r="I560" i="1"/>
  <c r="I3804" i="1"/>
  <c r="I1895" i="1"/>
  <c r="I547" i="1"/>
  <c r="I1227" i="1"/>
  <c r="I2017" i="1"/>
  <c r="I2899" i="1"/>
  <c r="I2268" i="1"/>
  <c r="I3113" i="1"/>
  <c r="I436" i="1"/>
  <c r="I666" i="1"/>
  <c r="I3383" i="1"/>
  <c r="I3141" i="1"/>
  <c r="I2456" i="1"/>
  <c r="I120" i="1"/>
  <c r="I994" i="1"/>
  <c r="I3723" i="1"/>
  <c r="I2033" i="1"/>
  <c r="I88" i="1"/>
  <c r="I3239" i="1"/>
  <c r="I2161" i="1"/>
  <c r="I1566" i="1"/>
  <c r="I3654" i="1"/>
  <c r="I3625" i="1"/>
  <c r="I528" i="1"/>
  <c r="I1264" i="1"/>
  <c r="I3742" i="1"/>
  <c r="I738" i="1"/>
  <c r="I659" i="1"/>
  <c r="I3779" i="1"/>
  <c r="I777" i="1"/>
  <c r="I992" i="1"/>
  <c r="I1357" i="1"/>
  <c r="I504" i="1"/>
  <c r="I2852" i="1"/>
  <c r="I2636" i="1"/>
  <c r="I3617" i="1"/>
  <c r="I1352" i="1"/>
  <c r="I1311" i="1"/>
  <c r="I1201" i="1"/>
  <c r="I2073" i="1"/>
  <c r="I2789" i="1"/>
  <c r="I2413" i="1"/>
  <c r="I3564" i="1"/>
  <c r="I3308" i="1"/>
  <c r="I2862" i="1"/>
  <c r="I2117" i="1"/>
  <c r="I1047" i="1"/>
  <c r="I1904" i="1"/>
  <c r="I3660" i="1"/>
  <c r="I394" i="1"/>
  <c r="I3016" i="1"/>
  <c r="I2285" i="1"/>
  <c r="I986" i="1"/>
  <c r="I2001" i="1"/>
  <c r="I1893" i="1"/>
  <c r="I1499" i="1"/>
  <c r="I3750" i="1"/>
  <c r="I296" i="1"/>
  <c r="I3717" i="1"/>
  <c r="I922" i="1"/>
  <c r="I2307" i="1"/>
  <c r="I923" i="1"/>
  <c r="I3398" i="1"/>
  <c r="I558" i="1"/>
  <c r="I1853" i="1"/>
  <c r="I1120" i="1"/>
  <c r="I1478" i="1"/>
  <c r="I18" i="1"/>
  <c r="I3773" i="1"/>
  <c r="I3430" i="1"/>
  <c r="I2087" i="1"/>
  <c r="I282" i="1"/>
  <c r="I2713" i="1"/>
  <c r="I2403" i="1"/>
  <c r="I1056" i="1"/>
  <c r="I2515" i="1"/>
  <c r="I1425" i="1"/>
  <c r="I76" i="1"/>
  <c r="I2834" i="1"/>
  <c r="I2706" i="1"/>
  <c r="I3278" i="1"/>
  <c r="I2441" i="1"/>
  <c r="I526" i="1"/>
  <c r="I346" i="1"/>
  <c r="I2235" i="1"/>
  <c r="I2464" i="1"/>
  <c r="I1851" i="1"/>
  <c r="I1551" i="1"/>
  <c r="I2044" i="1"/>
  <c r="I1932" i="1"/>
  <c r="I1164" i="1"/>
  <c r="I2010" i="1"/>
  <c r="I105" i="1"/>
  <c r="I2354" i="1"/>
  <c r="I1864" i="1"/>
  <c r="I5" i="1"/>
  <c r="I1911" i="1"/>
  <c r="I1143" i="1"/>
  <c r="I2110" i="1"/>
  <c r="I1071" i="1"/>
  <c r="I3407" i="1"/>
  <c r="I879" i="1"/>
  <c r="I3215" i="1"/>
  <c r="I3838" i="1"/>
  <c r="I610" i="1"/>
  <c r="I1117" i="1"/>
  <c r="I1773" i="1"/>
  <c r="I2133" i="1"/>
  <c r="I930" i="1"/>
  <c r="I2151" i="1"/>
  <c r="I2100" i="1"/>
  <c r="I3130" i="1"/>
  <c r="I2914" i="1"/>
  <c r="I2373" i="1"/>
  <c r="I957" i="1"/>
  <c r="I3057" i="1"/>
  <c r="I832" i="1"/>
  <c r="I290" i="1"/>
  <c r="I465" i="1"/>
  <c r="I1671" i="1"/>
  <c r="I1048" i="1"/>
  <c r="I3567" i="1"/>
  <c r="I1710" i="1"/>
  <c r="I2538" i="1"/>
  <c r="I2015" i="1"/>
  <c r="I523" i="1"/>
  <c r="I1906" i="1"/>
  <c r="I3284" i="1"/>
  <c r="I3783" i="1"/>
  <c r="I3748" i="1"/>
  <c r="I1028" i="1"/>
  <c r="I1568" i="1"/>
  <c r="I3686" i="1"/>
  <c r="I2540" i="1"/>
  <c r="I2531" i="1"/>
  <c r="I1995" i="1"/>
  <c r="I1695" i="1"/>
  <c r="I674" i="1"/>
  <c r="I3080" i="1"/>
  <c r="I3136" i="1"/>
  <c r="I814" i="1"/>
  <c r="I478" i="1"/>
  <c r="I935" i="1"/>
  <c r="I3127" i="1"/>
  <c r="I2693" i="1"/>
  <c r="I2396" i="1"/>
  <c r="I3061" i="1"/>
  <c r="I884" i="1"/>
  <c r="I1533" i="1"/>
  <c r="I2514" i="1"/>
  <c r="I805" i="1"/>
  <c r="I3798" i="1"/>
  <c r="I56" i="1"/>
  <c r="I1299" i="1"/>
  <c r="I2910" i="1"/>
  <c r="I2361" i="1"/>
  <c r="I987" i="1"/>
  <c r="I753" i="1"/>
  <c r="I970" i="1"/>
  <c r="I2377" i="1"/>
  <c r="I1400" i="1"/>
  <c r="I1779" i="1"/>
  <c r="I408" i="1"/>
  <c r="I856" i="1"/>
  <c r="I3642" i="1"/>
  <c r="I1067" i="1"/>
  <c r="I2083" i="1"/>
  <c r="I710" i="1"/>
  <c r="I2205" i="1"/>
  <c r="I1077" i="1"/>
  <c r="I159" i="1"/>
  <c r="I443" i="1"/>
  <c r="I117" i="1"/>
  <c r="I477" i="1"/>
  <c r="I1399" i="1"/>
  <c r="I3458" i="1"/>
  <c r="I1187" i="1"/>
  <c r="I1356" i="1"/>
  <c r="I1727" i="1"/>
  <c r="I493" i="1"/>
  <c r="I1799" i="1"/>
  <c r="I3319" i="1"/>
  <c r="I2061" i="1"/>
  <c r="I1273" i="1"/>
  <c r="I1928" i="1"/>
  <c r="I3795" i="1"/>
  <c r="I247" i="1"/>
  <c r="I2788" i="1"/>
  <c r="I2071" i="1"/>
  <c r="I1860" i="1"/>
  <c r="I1941" i="1"/>
  <c r="I800" i="1"/>
  <c r="I2194" i="1"/>
  <c r="I248" i="1"/>
  <c r="I322" i="1"/>
  <c r="I2334" i="1"/>
  <c r="I3374" i="1"/>
  <c r="I1035" i="1"/>
  <c r="I2896" i="1"/>
  <c r="I2450" i="1"/>
  <c r="I3555" i="1"/>
  <c r="I1259" i="1"/>
  <c r="I412" i="1"/>
  <c r="I2864" i="1"/>
  <c r="I415" i="1"/>
  <c r="I1027" i="1"/>
  <c r="I251" i="1"/>
  <c r="I2522" i="1"/>
  <c r="I1667" i="1"/>
  <c r="I143" i="1"/>
  <c r="I3777" i="1"/>
  <c r="I303" i="1"/>
  <c r="I1732" i="1"/>
  <c r="I483" i="1"/>
  <c r="I3436" i="1"/>
  <c r="I740" i="1"/>
  <c r="I1260" i="1"/>
  <c r="I550" i="1"/>
  <c r="I472" i="1"/>
  <c r="I2881" i="1"/>
  <c r="I843" i="1"/>
  <c r="I2439" i="1"/>
  <c r="I155" i="1"/>
  <c r="I1309" i="1"/>
  <c r="I324" i="1"/>
  <c r="I3631" i="1"/>
  <c r="I3137" i="1"/>
  <c r="I1170" i="1"/>
  <c r="I203" i="1"/>
  <c r="I1978" i="1"/>
  <c r="I1359" i="1"/>
  <c r="I1355" i="1"/>
  <c r="I3125" i="1"/>
  <c r="I174" i="1"/>
  <c r="I3833" i="1"/>
  <c r="I3488" i="1"/>
  <c r="I83" i="1"/>
  <c r="I1643" i="1"/>
  <c r="I1037" i="1"/>
  <c r="I3269" i="1"/>
  <c r="I2605" i="1"/>
  <c r="I2890" i="1"/>
  <c r="I2725" i="1"/>
  <c r="I2343" i="1"/>
  <c r="I441" i="1"/>
  <c r="I1235" i="1"/>
  <c r="I3143" i="1"/>
  <c r="I2139" i="1"/>
  <c r="I2990" i="1"/>
  <c r="I541" i="1"/>
  <c r="I2371" i="1"/>
  <c r="I3064" i="1"/>
  <c r="I274" i="1"/>
  <c r="I1438" i="1"/>
  <c r="I1666" i="1"/>
  <c r="I3408" i="1"/>
  <c r="I570" i="1"/>
  <c r="I3619" i="1"/>
  <c r="I259" i="1"/>
  <c r="I1375" i="1"/>
  <c r="I3051" i="1"/>
  <c r="I1353" i="1"/>
  <c r="I1434" i="1"/>
  <c r="I1492" i="1"/>
  <c r="I1206" i="1"/>
  <c r="I3121" i="1"/>
  <c r="I434" i="1"/>
  <c r="I1947" i="1"/>
  <c r="I3254" i="1"/>
  <c r="I2520" i="1"/>
  <c r="I1503" i="1"/>
  <c r="I337" i="1"/>
  <c r="I3665" i="1"/>
  <c r="I431" i="1"/>
  <c r="I2851" i="1"/>
  <c r="I1644" i="1"/>
  <c r="I9" i="1"/>
  <c r="I2846" i="1"/>
  <c r="I824" i="1"/>
  <c r="I979" i="1"/>
  <c r="I2776" i="1"/>
  <c r="I945" i="1"/>
  <c r="I2949" i="1"/>
  <c r="I2673" i="1"/>
  <c r="I1948" i="1"/>
  <c r="I2661" i="1"/>
  <c r="I739" i="1"/>
  <c r="I2962" i="1"/>
  <c r="I3168" i="1"/>
  <c r="I3587" i="1"/>
  <c r="I2338" i="1"/>
  <c r="I3651" i="1"/>
  <c r="I2090" i="1"/>
  <c r="I3097" i="1"/>
  <c r="I2676" i="1"/>
  <c r="I909" i="1"/>
  <c r="I1646" i="1"/>
  <c r="I1712" i="1"/>
  <c r="I3412" i="1"/>
  <c r="I2145" i="1"/>
  <c r="I619" i="1"/>
  <c r="I2737" i="1"/>
  <c r="I2889" i="1"/>
  <c r="I2580" i="1"/>
  <c r="I2155" i="1"/>
  <c r="I1242" i="1"/>
  <c r="I173" i="1"/>
  <c r="I3730" i="1"/>
  <c r="I135" i="1"/>
  <c r="I3688" i="1"/>
  <c r="I447" i="1"/>
  <c r="I2552" i="1"/>
  <c r="I2996" i="1"/>
  <c r="I2698" i="1"/>
  <c r="I3834" i="1"/>
  <c r="I2316" i="1"/>
  <c r="I2020" i="1"/>
  <c r="I373" i="1"/>
  <c r="I1859" i="1"/>
  <c r="I3712" i="1"/>
  <c r="I1391" i="1"/>
  <c r="I3762" i="1"/>
  <c r="I3248" i="1"/>
  <c r="I2262" i="1"/>
  <c r="I1430" i="1"/>
  <c r="I1946" i="1"/>
  <c r="I519" i="1"/>
  <c r="I817" i="1"/>
  <c r="I3154" i="1"/>
  <c r="I3554" i="1"/>
  <c r="I1898" i="1"/>
  <c r="I279" i="1"/>
  <c r="I2982" i="1"/>
  <c r="I980" i="1"/>
  <c r="I3076" i="1"/>
  <c r="I3768" i="1"/>
  <c r="I2326" i="1"/>
  <c r="I654" i="1"/>
  <c r="I3190" i="1"/>
  <c r="I206" i="1"/>
  <c r="I1016" i="1"/>
  <c r="I3760" i="1"/>
  <c r="I2096" i="1"/>
  <c r="I3516" i="1"/>
  <c r="I1261" i="1"/>
  <c r="I3582" i="1"/>
  <c r="I2065" i="1"/>
  <c r="I1525" i="1"/>
  <c r="I3839" i="1"/>
  <c r="I381" i="1"/>
  <c r="I901" i="1"/>
  <c r="I2293" i="1"/>
  <c r="I1238" i="1"/>
  <c r="I3096" i="1"/>
  <c r="I2273" i="1"/>
  <c r="I1967" i="1"/>
  <c r="I2115" i="1"/>
  <c r="I751" i="1"/>
  <c r="I779" i="1"/>
  <c r="I640" i="1"/>
  <c r="I1338" i="1"/>
  <c r="I614" i="1"/>
  <c r="I1910" i="1"/>
  <c r="I3256" i="1"/>
  <c r="I343" i="1"/>
  <c r="I220" i="1"/>
  <c r="I321" i="1"/>
  <c r="I3655" i="1"/>
  <c r="I893" i="1"/>
  <c r="I3512" i="1"/>
  <c r="I26" i="1"/>
  <c r="I2162" i="1"/>
  <c r="I1333" i="1"/>
  <c r="I3635" i="1"/>
  <c r="I1804" i="1"/>
  <c r="I698" i="1"/>
  <c r="I2443" i="1"/>
  <c r="I485" i="1"/>
  <c r="I3602" i="1"/>
  <c r="I2397" i="1"/>
  <c r="I154" i="1"/>
  <c r="I593" i="1"/>
  <c r="I529" i="1"/>
  <c r="I1757" i="1"/>
  <c r="I1843" i="1"/>
  <c r="I1738" i="1"/>
  <c r="I3596" i="1"/>
  <c r="I2217" i="1"/>
  <c r="I3761" i="1"/>
  <c r="I360" i="1"/>
  <c r="I1805" i="1"/>
  <c r="I301" i="1"/>
  <c r="I1541" i="1"/>
  <c r="I3789" i="1"/>
  <c r="I2777" i="1"/>
  <c r="I3603" i="1"/>
  <c r="I2025" i="1"/>
  <c r="I917" i="1"/>
  <c r="I1528" i="1"/>
  <c r="I3802" i="1"/>
  <c r="I2675" i="1"/>
  <c r="I2750" i="1"/>
  <c r="I2189" i="1"/>
  <c r="I1477" i="1"/>
  <c r="I2642" i="1"/>
  <c r="I2324" i="1"/>
  <c r="I233" i="1"/>
  <c r="I2035" i="1"/>
  <c r="I2138" i="1"/>
  <c r="I2724" i="1"/>
  <c r="I358" i="1"/>
  <c r="I1815" i="1"/>
  <c r="I676" i="1"/>
  <c r="I1839" i="1"/>
  <c r="I3469" i="1"/>
  <c r="I3352" i="1"/>
  <c r="I961" i="1"/>
  <c r="I3147" i="1"/>
  <c r="I3010" i="1"/>
  <c r="I768" i="1"/>
  <c r="I1577" i="1"/>
  <c r="I3513" i="1"/>
  <c r="I2275" i="1"/>
  <c r="I1091" i="1"/>
  <c r="I2215" i="1"/>
  <c r="I1656" i="1"/>
  <c r="I1789" i="1"/>
  <c r="I319" i="1"/>
  <c r="I1021" i="1"/>
  <c r="I2856" i="1"/>
  <c r="I1791" i="1"/>
  <c r="I3729" i="1"/>
  <c r="I781" i="1"/>
  <c r="I3570" i="1"/>
  <c r="I1265" i="1"/>
  <c r="I2276" i="1"/>
  <c r="I185" i="1"/>
  <c r="I167" i="1"/>
  <c r="I2312" i="1"/>
  <c r="I1685" i="1"/>
  <c r="I2237" i="1"/>
  <c r="I3375" i="1"/>
  <c r="I1409" i="1"/>
  <c r="I2172" i="1"/>
  <c r="I3749" i="1"/>
  <c r="I2114" i="1"/>
  <c r="I1527" i="1"/>
  <c r="I2056" i="1"/>
  <c r="I91" i="1"/>
  <c r="I904" i="1"/>
  <c r="I1408" i="1"/>
  <c r="I660" i="1"/>
  <c r="I417" i="1"/>
  <c r="I162" i="1"/>
  <c r="I2801" i="1"/>
  <c r="I1999" i="1"/>
  <c r="I3790" i="1"/>
  <c r="I2165" i="1"/>
  <c r="I58" i="1"/>
  <c r="I2072" i="1"/>
  <c r="I1775" i="1"/>
  <c r="I3613" i="1"/>
  <c r="I3605" i="1"/>
  <c r="I931" i="1"/>
  <c r="I3303" i="1"/>
  <c r="I2291" i="1"/>
  <c r="I1449" i="1"/>
  <c r="I37" i="1"/>
  <c r="I2795" i="1"/>
  <c r="I1896" i="1"/>
  <c r="I3754" i="1"/>
  <c r="I2867" i="1"/>
  <c r="I1958" i="1"/>
  <c r="I2394" i="1"/>
  <c r="I1294" i="1"/>
  <c r="I1058" i="1"/>
  <c r="I2528" i="1"/>
  <c r="I828" i="1"/>
  <c r="I3803" i="1"/>
  <c r="I1241" i="1"/>
  <c r="I1087" i="1"/>
  <c r="I2727" i="1"/>
  <c r="I3124" i="1"/>
  <c r="I3737" i="1"/>
  <c r="I2141" i="1"/>
  <c r="I2822" i="1"/>
  <c r="I3102" i="1"/>
  <c r="I3187" i="1"/>
  <c r="I2230" i="1"/>
  <c r="I2311" i="1"/>
  <c r="I955" i="1"/>
  <c r="I2830" i="1"/>
  <c r="I3827" i="1"/>
  <c r="I1388" i="1"/>
  <c r="I3174" i="1"/>
  <c r="I190" i="1"/>
  <c r="I123" i="1"/>
  <c r="I287" i="1"/>
  <c r="I1418" i="1"/>
  <c r="I1052" i="1"/>
  <c r="I1263" i="1"/>
  <c r="I2741" i="1"/>
  <c r="I2146" i="1"/>
  <c r="I27" i="1"/>
  <c r="I31" i="1"/>
  <c r="I2556" i="1"/>
  <c r="I2191" i="1"/>
  <c r="I1387" i="1"/>
  <c r="I2745" i="1"/>
  <c r="I611" i="1"/>
  <c r="I863" i="1"/>
  <c r="I3782" i="1"/>
  <c r="I2810" i="1"/>
  <c r="I2407" i="1"/>
  <c r="I275" i="1"/>
  <c r="I548" i="1"/>
  <c r="I473" i="1"/>
  <c r="I736" i="1"/>
  <c r="I85" i="1"/>
  <c r="I3128" i="1"/>
  <c r="I3050" i="1"/>
  <c r="I520" i="1"/>
  <c r="I3258" i="1"/>
  <c r="I3545" i="1"/>
  <c r="I3672" i="1"/>
  <c r="I3234" i="1"/>
  <c r="I827" i="1"/>
  <c r="I1404" i="1"/>
  <c r="I142" i="1"/>
  <c r="I2633" i="1"/>
  <c r="I111" i="1"/>
  <c r="I1845" i="1"/>
  <c r="I932" i="1"/>
  <c r="I2662" i="1"/>
  <c r="I1888" i="1"/>
  <c r="I1302" i="1"/>
  <c r="I1631" i="1"/>
  <c r="I178" i="1"/>
  <c r="I3205" i="1"/>
  <c r="I2967" i="1"/>
  <c r="I2568" i="1"/>
  <c r="I2658" i="1"/>
  <c r="I3065" i="1"/>
  <c r="I2225" i="1"/>
  <c r="I2857" i="1"/>
  <c r="I3508" i="1"/>
  <c r="I2384" i="1"/>
  <c r="I3420" i="1"/>
  <c r="I964" i="1"/>
  <c r="I3117" i="1"/>
  <c r="I2798" i="1"/>
  <c r="I1247" i="1"/>
  <c r="I2537" i="1"/>
  <c r="I1744" i="1"/>
  <c r="I24" i="1"/>
  <c r="I2589" i="1"/>
  <c r="I330" i="1"/>
  <c r="I3615" i="1"/>
  <c r="I1949" i="1"/>
  <c r="I3593" i="1"/>
  <c r="I1889" i="1"/>
  <c r="I2596" i="1"/>
  <c r="I1951" i="1"/>
  <c r="I3689" i="1"/>
  <c r="I2430" i="1"/>
  <c r="I1870" i="1"/>
  <c r="I2901" i="1"/>
  <c r="I691" i="1"/>
  <c r="I2223" i="1"/>
  <c r="I2664" i="1"/>
  <c r="I53" i="1"/>
  <c r="I3191" i="1"/>
  <c r="I1927" i="1"/>
  <c r="I3091" i="1"/>
  <c r="I3207" i="1"/>
  <c r="I3843" i="1"/>
  <c r="I23" i="1"/>
  <c r="I870" i="1"/>
  <c r="I1426" i="1"/>
  <c r="I496" i="1"/>
  <c r="I3743" i="1"/>
  <c r="I1145" i="1"/>
  <c r="I2426" i="1"/>
  <c r="I2102" i="1"/>
  <c r="I1707" i="1"/>
  <c r="I1534" i="1"/>
  <c r="I1827" i="1"/>
  <c r="I404" i="1"/>
  <c r="I224" i="1"/>
  <c r="I124" i="1"/>
  <c r="I3388" i="1"/>
  <c r="I22" i="1"/>
  <c r="I642" i="1"/>
  <c r="I3345" i="1"/>
  <c r="I2224" i="1"/>
  <c r="I562" i="1"/>
  <c r="I783" i="1"/>
  <c r="I3069" i="1"/>
  <c r="I8" i="1"/>
  <c r="I2186" i="1"/>
  <c r="I812" i="1"/>
  <c r="I1817" i="1"/>
  <c r="I860" i="1"/>
  <c r="I464" i="1"/>
  <c r="I1324" i="1"/>
  <c r="I1602" i="1"/>
  <c r="I1735" i="1"/>
  <c r="I181" i="1"/>
  <c r="I1024" i="1"/>
  <c r="I3032" i="1"/>
  <c r="I1636" i="1"/>
  <c r="I2640" i="1"/>
  <c r="I2258" i="1"/>
  <c r="I729" i="1"/>
  <c r="I2794" i="1"/>
  <c r="I1726" i="1"/>
  <c r="I1225" i="1"/>
  <c r="I2650" i="1"/>
  <c r="I717" i="1"/>
  <c r="I28" i="1"/>
  <c r="I2956" i="1"/>
  <c r="I1605" i="1"/>
  <c r="I803" i="1"/>
  <c r="I2529" i="1"/>
  <c r="I889" i="1"/>
  <c r="I1109" i="1"/>
  <c r="I1229" i="1"/>
  <c r="I3202" i="1"/>
  <c r="I1270" i="1"/>
  <c r="I746" i="1"/>
  <c r="I2941" i="1"/>
  <c r="I2468" i="1"/>
  <c r="I983" i="1"/>
  <c r="I30" i="1"/>
  <c r="I2106" i="1"/>
  <c r="I3590" i="1"/>
  <c r="I810" i="1"/>
  <c r="I2299" i="1"/>
  <c r="I2820" i="1"/>
  <c r="I557" i="1"/>
  <c r="I1463" i="1"/>
  <c r="I3747" i="1"/>
  <c r="I2477" i="1"/>
  <c r="I1318" i="1"/>
  <c r="I2509" i="1"/>
  <c r="I1061" i="1"/>
  <c r="I1345" i="1"/>
  <c r="I116" i="1"/>
  <c r="I522" i="1"/>
  <c r="I727" i="1"/>
  <c r="I811" i="1"/>
  <c r="I2995" i="1"/>
  <c r="I624" i="1"/>
  <c r="I2079" i="1"/>
  <c r="I743" i="1"/>
  <c r="I1942" i="1"/>
  <c r="I968" i="1"/>
  <c r="I1347" i="1"/>
  <c r="I456" i="1"/>
  <c r="I3394" i="1"/>
  <c r="I3831" i="1"/>
  <c r="I3700" i="1"/>
  <c r="I780" i="1"/>
  <c r="I3232" i="1"/>
  <c r="I3312" i="1"/>
  <c r="I2769" i="1"/>
  <c r="I1307" i="1"/>
  <c r="I3173" i="1"/>
  <c r="I238" i="1"/>
  <c r="I2219" i="1"/>
  <c r="I369" i="1"/>
  <c r="I1993" i="1"/>
  <c r="I213" i="1"/>
  <c r="I61" i="1"/>
  <c r="I171" i="1"/>
  <c r="I600" i="1"/>
  <c r="I829" i="1"/>
  <c r="I3810" i="1"/>
  <c r="I2678" i="1"/>
  <c r="I3678" i="1"/>
  <c r="I561" i="1"/>
  <c r="I2085" i="1"/>
  <c r="I370" i="1"/>
  <c r="I2404" i="1"/>
  <c r="I3633" i="1"/>
  <c r="I246" i="1"/>
  <c r="I1167" i="1"/>
  <c r="I3757" i="1"/>
  <c r="I2119" i="1"/>
  <c r="I894" i="1"/>
  <c r="I3309" i="1"/>
  <c r="I1363" i="1"/>
  <c r="I1163" i="1"/>
  <c r="I1502" i="1"/>
  <c r="I1627" i="1"/>
  <c r="I2950" i="1"/>
  <c r="I427" i="1"/>
  <c r="I1401" i="1"/>
  <c r="I460" i="1"/>
  <c r="I3718" i="1"/>
  <c r="I2733" i="1"/>
  <c r="I2152" i="1"/>
  <c r="I1984" i="1"/>
  <c r="I3410" i="1"/>
  <c r="I210" i="1"/>
  <c r="I838" i="1"/>
  <c r="I3237" i="1"/>
  <c r="I1747" i="1"/>
  <c r="I2260" i="1"/>
  <c r="I936" i="1"/>
  <c r="I2527" i="1"/>
  <c r="I1129" i="1"/>
  <c r="I2696" i="1"/>
  <c r="I2497" i="1"/>
  <c r="I1600" i="1"/>
  <c r="I3316" i="1"/>
  <c r="I1596" i="1"/>
  <c r="I1655" i="1"/>
  <c r="I2628" i="1"/>
  <c r="I2247" i="1"/>
  <c r="I509" i="1"/>
  <c r="I3526" i="1"/>
  <c r="I1900" i="1"/>
  <c r="I3029" i="1"/>
  <c r="I2180" i="1"/>
  <c r="I3343" i="1"/>
  <c r="I1998" i="1"/>
  <c r="I645" i="1"/>
  <c r="I1992" i="1"/>
  <c r="I3850" i="1"/>
  <c r="I2159" i="1"/>
  <c r="I175" i="1"/>
  <c r="I2766" i="1"/>
  <c r="I3047" i="1"/>
  <c r="I604" i="1"/>
  <c r="I833" i="1"/>
  <c r="I2742" i="1"/>
  <c r="I1546" i="1"/>
  <c r="I3563" i="1"/>
  <c r="I77" i="1"/>
  <c r="I706" i="1"/>
  <c r="I2700" i="1"/>
  <c r="I940" i="1"/>
  <c r="I1370" i="1"/>
  <c r="I420" i="1"/>
  <c r="I615" i="1"/>
  <c r="I1202" i="1"/>
  <c r="I1283" i="1"/>
  <c r="I1802" i="1"/>
  <c r="I2289" i="1"/>
  <c r="I908" i="1"/>
  <c r="I3501" i="1"/>
  <c r="I3425" i="1"/>
  <c r="I2703" i="1"/>
  <c r="I1569" i="1"/>
  <c r="I3140" i="1"/>
  <c r="I1367" i="1"/>
  <c r="I3576" i="1"/>
  <c r="I1736" i="1"/>
  <c r="I2302" i="1"/>
  <c r="I2498" i="1"/>
  <c r="I1174" i="1"/>
  <c r="I2550" i="1"/>
  <c r="I363" i="1"/>
  <c r="I292" i="1"/>
  <c r="I502" i="1"/>
  <c r="I2195" i="1"/>
  <c r="I1098" i="1"/>
  <c r="I2622" i="1"/>
  <c r="I2784" i="1"/>
  <c r="I2064" i="1"/>
  <c r="I3131" i="1"/>
  <c r="I921" i="1"/>
  <c r="I329" i="1"/>
  <c r="I655" i="1"/>
  <c r="I354" i="1"/>
  <c r="I2156" i="1"/>
  <c r="I2265" i="1"/>
  <c r="I1458" i="1"/>
  <c r="I1601" i="1"/>
  <c r="I1840" i="1"/>
  <c r="I1731" i="1"/>
  <c r="I882" i="1"/>
  <c r="I2667" i="1"/>
  <c r="I1957" i="1"/>
  <c r="I1151" i="1"/>
  <c r="I1678" i="1"/>
  <c r="I265" i="1"/>
  <c r="I551" i="1"/>
  <c r="I1011" i="1"/>
  <c r="I907" i="1"/>
  <c r="I393" i="1"/>
  <c r="I300" i="1"/>
  <c r="I2904" i="1"/>
  <c r="I996" i="1"/>
  <c r="I1125" i="1"/>
  <c r="I2770" i="1"/>
  <c r="I2449" i="1"/>
  <c r="I3679" i="1"/>
  <c r="I2491" i="1"/>
  <c r="I530" i="1"/>
  <c r="I2897" i="1"/>
  <c r="I1060" i="1"/>
  <c r="I864" i="1"/>
  <c r="I201" i="1"/>
  <c r="I3331" i="1"/>
  <c r="I2581" i="1"/>
  <c r="I3040" i="1"/>
  <c r="I3532" i="1"/>
  <c r="I1341" i="1"/>
  <c r="I1001" i="1"/>
  <c r="I707" i="1"/>
  <c r="I3324" i="1"/>
  <c r="I1686" i="1"/>
  <c r="I759" i="1"/>
  <c r="I2412" i="1"/>
  <c r="I395" i="1"/>
  <c r="I2288" i="1"/>
  <c r="I629" i="1"/>
  <c r="I1522" i="1"/>
  <c r="I2689" i="1"/>
  <c r="I756" i="1"/>
  <c r="I2454" i="1"/>
  <c r="I411" i="1"/>
  <c r="I3444" i="1"/>
  <c r="I2251" i="1"/>
  <c r="I3265" i="1"/>
  <c r="I3030" i="1"/>
  <c r="I2931" i="1"/>
  <c r="I463" i="1"/>
  <c r="I2436" i="1"/>
  <c r="I3072" i="1"/>
  <c r="I439" i="1"/>
  <c r="I1308" i="1"/>
  <c r="I1856" i="1"/>
  <c r="I1823" i="1"/>
  <c r="I1962" i="1"/>
  <c r="I3416" i="1"/>
  <c r="I2030" i="1"/>
  <c r="I1549" i="1"/>
  <c r="I1869" i="1"/>
  <c r="I3450" i="1"/>
  <c r="I2629" i="1"/>
  <c r="I1987" i="1"/>
  <c r="I491" i="1"/>
  <c r="I3231" i="1"/>
  <c r="I1561" i="1"/>
  <c r="I3224" i="1"/>
  <c r="I3300" i="1"/>
  <c r="I1452" i="1"/>
  <c r="I2989" i="1"/>
  <c r="I444" i="1"/>
  <c r="I1756" i="1"/>
  <c r="I3467" i="1"/>
  <c r="I1876" i="1"/>
  <c r="I2919" i="1"/>
  <c r="I1635" i="1"/>
  <c r="I2210" i="1"/>
  <c r="I1750" i="1"/>
  <c r="I2174" i="1"/>
  <c r="I66" i="1"/>
  <c r="I3531" i="1"/>
  <c r="I3575" i="1"/>
  <c r="I2178" i="1"/>
  <c r="I2060" i="1"/>
  <c r="I1517" i="1"/>
  <c r="I2563" i="1"/>
  <c r="I3159" i="1"/>
  <c r="I2618" i="1"/>
  <c r="I586" i="1"/>
  <c r="I868" i="1"/>
  <c r="I269" i="1"/>
  <c r="I19" i="1"/>
  <c r="I3693" i="1"/>
  <c r="I396" i="1"/>
  <c r="I2647" i="1"/>
  <c r="I3281" i="1"/>
  <c r="I510" i="1"/>
  <c r="I2163" i="1"/>
  <c r="I3088" i="1"/>
  <c r="I2966" i="1"/>
  <c r="I2019" i="1"/>
  <c r="I3618" i="1"/>
  <c r="I192" i="1"/>
  <c r="I2016" i="1"/>
  <c r="I591" i="1"/>
  <c r="I170" i="1"/>
  <c r="I774" i="1"/>
  <c r="I1253" i="1"/>
  <c r="I3495" i="1"/>
  <c r="I1304" i="1"/>
  <c r="I349" i="1"/>
  <c r="I3805" i="1"/>
  <c r="I672" i="1"/>
  <c r="I3537" i="1"/>
  <c r="I1688" i="1"/>
  <c r="I3201" i="1"/>
  <c r="I1466" i="1"/>
  <c r="I3734" i="1"/>
  <c r="I3681" i="1"/>
  <c r="I1728" i="1"/>
  <c r="I3794" i="1"/>
  <c r="I425" i="1"/>
  <c r="I735" i="1"/>
  <c r="I3616" i="1"/>
  <c r="I3667" i="1"/>
  <c r="I571" i="1"/>
  <c r="I2976" i="1"/>
  <c r="I261" i="1"/>
  <c r="I3553" i="1"/>
  <c r="I280" i="1"/>
  <c r="I1020" i="1"/>
  <c r="I694" i="1"/>
  <c r="I3548" i="1"/>
  <c r="I3135" i="1"/>
  <c r="I3644" i="1"/>
  <c r="I699" i="1"/>
  <c r="I3738" i="1"/>
  <c r="I151" i="1"/>
  <c r="I1884" i="1"/>
  <c r="I2760" i="1"/>
  <c r="I1243" i="1"/>
  <c r="I3311" i="1"/>
  <c r="I2920" i="1"/>
  <c r="I874" i="1"/>
  <c r="I1192" i="1"/>
  <c r="I2318" i="1"/>
  <c r="I1173" i="1"/>
  <c r="I2461" i="1"/>
  <c r="I2543" i="1"/>
  <c r="I1529" i="1"/>
  <c r="I3835" i="1"/>
  <c r="I3122" i="1"/>
  <c r="I1155" i="1"/>
  <c r="I2871" i="1"/>
  <c r="I2714" i="1"/>
  <c r="I1218" i="1"/>
  <c r="I331" i="1"/>
  <c r="I3770" i="1"/>
  <c r="I1406" i="1"/>
  <c r="I3746" i="1"/>
  <c r="I421" i="1"/>
  <c r="I1913" i="1"/>
  <c r="I1471" i="1"/>
  <c r="I3304" i="1"/>
  <c r="I3474" i="1"/>
  <c r="I2877" i="1"/>
  <c r="I1935" i="1"/>
  <c r="I1217" i="1"/>
  <c r="I471" i="1"/>
  <c r="I276" i="1"/>
  <c r="I3475" i="1"/>
  <c r="I2836" i="1"/>
  <c r="I340" i="1"/>
  <c r="I652" i="1"/>
  <c r="I869" i="1"/>
  <c r="I1880" i="1"/>
  <c r="I2452" i="1"/>
  <c r="I2591" i="1"/>
  <c r="I2547" i="1"/>
  <c r="I656" i="1"/>
  <c r="I3476" i="1"/>
  <c r="I3302" i="1"/>
  <c r="I2263" i="1"/>
  <c r="I822" i="1"/>
  <c r="H2651" i="1"/>
  <c r="H3027" i="1"/>
  <c r="H3721" i="1"/>
  <c r="H242" i="1"/>
  <c r="H2631" i="1"/>
  <c r="H1064" i="1"/>
  <c r="H294" i="1"/>
  <c r="H2143" i="1"/>
  <c r="H52" i="1"/>
  <c r="H2440" i="1"/>
  <c r="H1616" i="1"/>
  <c r="H1955" i="1"/>
  <c r="H254" i="1"/>
  <c r="H3229" i="1"/>
  <c r="H2796" i="1"/>
  <c r="H2768" i="1"/>
  <c r="H3533" i="1"/>
  <c r="H762" i="1"/>
  <c r="H3756" i="1"/>
  <c r="H1620" i="1"/>
  <c r="H834" i="1"/>
  <c r="H2022" i="1"/>
  <c r="H323" i="1"/>
  <c r="H1547" i="1"/>
  <c r="H3100" i="1"/>
  <c r="H2984" i="1"/>
  <c r="H2349" i="1"/>
  <c r="H2339" i="1"/>
  <c r="H2937" i="1"/>
  <c r="H2646" i="1"/>
  <c r="H3471" i="1"/>
  <c r="H186" i="1"/>
  <c r="H2427" i="1"/>
  <c r="H568" i="1"/>
  <c r="H684" i="1"/>
  <c r="H2242" i="1"/>
  <c r="H1909" i="1"/>
  <c r="H1486" i="1"/>
  <c r="H3299" i="1"/>
  <c r="H3767" i="1"/>
  <c r="H1453" i="1"/>
  <c r="H3472" i="1"/>
  <c r="H1096" i="1"/>
  <c r="H790" i="1"/>
  <c r="H2463" i="1"/>
  <c r="H720" i="1"/>
  <c r="H484" i="1"/>
  <c r="H3101" i="1"/>
  <c r="H1196" i="1"/>
  <c r="H3221" i="1"/>
  <c r="H3363" i="1"/>
  <c r="H3025" i="1"/>
  <c r="H2131" i="1"/>
  <c r="H339" i="1"/>
  <c r="H3473" i="1"/>
  <c r="H1670" i="1"/>
  <c r="H2886" i="1"/>
  <c r="H2981" i="1"/>
  <c r="H2526" i="1"/>
  <c r="H222" i="1"/>
  <c r="H650" i="1"/>
  <c r="H3364" i="1"/>
  <c r="H2113" i="1"/>
  <c r="H3620" i="1"/>
  <c r="H3589" i="1"/>
  <c r="H3435" i="1"/>
  <c r="H1055" i="1"/>
  <c r="H2921" i="1"/>
  <c r="H3365" i="1"/>
  <c r="H3322" i="1"/>
  <c r="H3342" i="1"/>
  <c r="H2685" i="1"/>
  <c r="H3649" i="1"/>
  <c r="H1210" i="1"/>
  <c r="H3793" i="1"/>
  <c r="H649" i="1"/>
  <c r="H1228" i="1"/>
  <c r="H3592" i="1"/>
  <c r="H3366" i="1"/>
  <c r="H1344" i="1"/>
  <c r="H1274" i="1"/>
  <c r="H3609" i="1"/>
  <c r="H2418" i="1"/>
  <c r="H106" i="1"/>
  <c r="H3828" i="1"/>
  <c r="H1550" i="1"/>
  <c r="H3033" i="1"/>
  <c r="H2634" i="1"/>
  <c r="H3422" i="1"/>
  <c r="H2478" i="1"/>
  <c r="H40" i="1"/>
  <c r="H3203" i="1"/>
  <c r="H2874" i="1"/>
  <c r="H1908" i="1"/>
  <c r="H3367" i="1"/>
  <c r="H3384" i="1"/>
  <c r="H608" i="1"/>
  <c r="H2599" i="1"/>
  <c r="H377" i="1"/>
  <c r="H673" i="1"/>
  <c r="H875" i="1"/>
  <c r="H2098" i="1"/>
  <c r="H2340" i="1"/>
  <c r="H3041" i="1"/>
  <c r="H2502" i="1"/>
  <c r="H1846" i="1"/>
  <c r="H1339" i="1"/>
  <c r="H1416" i="1"/>
  <c r="H719" i="1"/>
  <c r="H3440" i="1"/>
  <c r="H1462" i="1"/>
  <c r="H2402" i="1"/>
  <c r="H164" i="1"/>
  <c r="H3847" i="1"/>
  <c r="H255" i="1"/>
  <c r="H3028" i="1"/>
  <c r="H1190" i="1"/>
  <c r="H2209" i="1"/>
  <c r="H836" i="1"/>
  <c r="H601" i="1"/>
  <c r="H1963" i="1"/>
  <c r="H797" i="1"/>
  <c r="H6" i="1"/>
  <c r="H3637" i="1"/>
  <c r="H1312" i="1"/>
  <c r="H1348" i="1"/>
  <c r="H3361" i="1"/>
  <c r="H1380" i="1"/>
  <c r="H726" i="1"/>
  <c r="H2236" i="1"/>
  <c r="H801" i="1"/>
  <c r="H605" i="1"/>
  <c r="H3152" i="1"/>
  <c r="H3817" i="1"/>
  <c r="H3608" i="1"/>
  <c r="H84" i="1"/>
  <c r="H3639" i="1"/>
  <c r="H1236" i="1"/>
  <c r="H837" i="1"/>
  <c r="H3109" i="1"/>
  <c r="H2719" i="1"/>
  <c r="H2815" i="1"/>
  <c r="H1392" i="1"/>
  <c r="H3396" i="1"/>
  <c r="H1446" i="1"/>
  <c r="H1651" i="1"/>
  <c r="H690" i="1"/>
  <c r="H2930" i="1"/>
  <c r="H835" i="1"/>
  <c r="H965" i="1"/>
  <c r="H3699" i="1"/>
  <c r="H1205" i="1"/>
  <c r="H362" i="1"/>
  <c r="H3301" i="1"/>
  <c r="H131" i="1"/>
  <c r="H3763" i="1"/>
  <c r="H430" i="1"/>
  <c r="H2841" i="1"/>
  <c r="H2345" i="1"/>
  <c r="H1564" i="1"/>
  <c r="H263" i="1"/>
  <c r="H3360" i="1"/>
  <c r="H2294" i="1"/>
  <c r="H3063" i="1"/>
  <c r="H2183" i="1"/>
  <c r="H2791" i="1"/>
  <c r="H982" i="1"/>
  <c r="H2854" i="1"/>
  <c r="H2659" i="1"/>
  <c r="H1214" i="1"/>
  <c r="H703" i="1"/>
  <c r="H2136" i="1"/>
  <c r="H1878" i="1"/>
  <c r="H3626" i="1"/>
  <c r="H2988" i="1"/>
  <c r="H643" i="1"/>
  <c r="H163" i="1"/>
  <c r="H1086" i="1"/>
  <c r="H2786" i="1"/>
  <c r="H113" i="1"/>
  <c r="H2925" i="1"/>
  <c r="H3126" i="1"/>
  <c r="H2493" i="1"/>
  <c r="H1761" i="1"/>
  <c r="H1377" i="1"/>
  <c r="H1628" i="1"/>
  <c r="H2626" i="1"/>
  <c r="H273" i="1"/>
  <c r="H169" i="1"/>
  <c r="H1606" i="1"/>
  <c r="H3222" i="1"/>
  <c r="H1362" i="1"/>
  <c r="H1749" i="1"/>
  <c r="H153" i="1"/>
  <c r="H2123" i="1"/>
  <c r="H2398" i="1"/>
  <c r="H3078" i="1"/>
  <c r="H3112" i="1"/>
  <c r="H2831" i="1"/>
  <c r="H693" i="1"/>
  <c r="H1595" i="1"/>
  <c r="H3428" i="1"/>
  <c r="H1739" i="1"/>
  <c r="H3438" i="1"/>
  <c r="H737" i="1"/>
  <c r="H134" i="1"/>
  <c r="H1093" i="1"/>
  <c r="H1673" i="1"/>
  <c r="H297" i="1"/>
  <c r="H553" i="1"/>
  <c r="H2709" i="1"/>
  <c r="H3680" i="1"/>
  <c r="H2269" i="1"/>
  <c r="H1441" i="1"/>
  <c r="H2876" i="1"/>
  <c r="H3242" i="1"/>
  <c r="H1166" i="1"/>
  <c r="H2243" i="1"/>
  <c r="H3769" i="1"/>
  <c r="H3855" i="1"/>
  <c r="H413" i="1"/>
  <c r="H2484" i="1"/>
  <c r="H2617" i="1"/>
  <c r="H3084" i="1"/>
  <c r="H858" i="1"/>
  <c r="H850" i="1"/>
  <c r="H1575" i="1"/>
  <c r="H3701" i="1"/>
  <c r="H1751" i="1"/>
  <c r="H845" i="1"/>
  <c r="H3340" i="1"/>
  <c r="H476" i="1"/>
  <c r="H2595" i="1"/>
  <c r="H953" i="1"/>
  <c r="H1444" i="1"/>
  <c r="H3031" i="1"/>
  <c r="H2227" i="1"/>
  <c r="H1475" i="1"/>
  <c r="H647" i="1"/>
  <c r="H3294" i="1"/>
  <c r="H1615" i="1"/>
  <c r="H1780" i="1"/>
  <c r="H227" i="1"/>
  <c r="H1361" i="1"/>
  <c r="H2506" i="1"/>
  <c r="H3443" i="1"/>
  <c r="H1524" i="1"/>
  <c r="H2687" i="1"/>
  <c r="H3179" i="1"/>
  <c r="H1099" i="1"/>
  <c r="H1767" i="1"/>
  <c r="H821" i="1"/>
  <c r="H3268" i="1"/>
  <c r="H3048" i="1"/>
  <c r="H572" i="1"/>
  <c r="H974" i="1"/>
  <c r="H559" i="1"/>
  <c r="H1497" i="1"/>
  <c r="H3111" i="1"/>
  <c r="H3437" i="1"/>
  <c r="H51" i="1"/>
  <c r="H1624" i="1"/>
  <c r="H3350" i="1"/>
  <c r="H1687" i="1"/>
  <c r="H469" i="1"/>
  <c r="H2021" i="1"/>
  <c r="H424" i="1"/>
  <c r="H512" i="1"/>
  <c r="H2046" i="1"/>
  <c r="H3421" i="1"/>
  <c r="H1032" i="1"/>
  <c r="H1149" i="1"/>
  <c r="H3509" i="1"/>
  <c r="H802" i="1"/>
  <c r="H3320" i="1"/>
  <c r="H1412" i="1"/>
  <c r="H3841" i="1"/>
  <c r="H3650" i="1"/>
  <c r="H534" i="1"/>
  <c r="H3752" i="1"/>
  <c r="H3164" i="1"/>
  <c r="H3404" i="1"/>
  <c r="H1866" i="1"/>
  <c r="H3287" i="1"/>
  <c r="H3355" i="1"/>
  <c r="H1830" i="1"/>
  <c r="H3468" i="1"/>
  <c r="H633" i="1"/>
  <c r="H2747" i="1"/>
  <c r="H852" i="1"/>
  <c r="H2202" i="1"/>
  <c r="H603" i="1"/>
  <c r="H2188" i="1"/>
  <c r="H792" i="1"/>
  <c r="H277" i="1"/>
  <c r="H1973" i="1"/>
  <c r="H3643" i="1"/>
  <c r="H2825" i="1"/>
  <c r="H630" i="1"/>
  <c r="H787" i="1"/>
  <c r="H3055" i="1"/>
  <c r="H115" i="1"/>
  <c r="H2997" i="1"/>
  <c r="H1074" i="1"/>
  <c r="H1871" i="1"/>
  <c r="H938" i="1"/>
  <c r="H3333" i="1"/>
  <c r="H1742" i="1"/>
  <c r="H1106" i="1"/>
  <c r="H1417" i="1"/>
  <c r="H285" i="1"/>
  <c r="H29" i="1"/>
  <c r="H2423" i="1"/>
  <c r="H661" i="1"/>
  <c r="H1567" i="1"/>
  <c r="H1797" i="1"/>
  <c r="H3568" i="1"/>
  <c r="H844" i="1"/>
  <c r="H1520" i="1"/>
  <c r="H2149" i="1"/>
  <c r="H314" i="1"/>
  <c r="H1676" i="1"/>
  <c r="H1080" i="1"/>
  <c r="H3275" i="1"/>
  <c r="H2171" i="1"/>
  <c r="H2393" i="1"/>
  <c r="H3439" i="1"/>
  <c r="H1562" i="1"/>
  <c r="H890" i="1"/>
  <c r="H1771" i="1"/>
  <c r="H1505" i="1"/>
  <c r="H3797" i="1"/>
  <c r="H333" i="1"/>
  <c r="H3104" i="1"/>
  <c r="H1405" i="1"/>
  <c r="H3066" i="1"/>
  <c r="H3004" i="1"/>
  <c r="H328" i="1"/>
  <c r="H2259" i="1"/>
  <c r="H2382" i="1"/>
  <c r="H2545" i="1"/>
  <c r="H3496" i="1"/>
  <c r="H1371" i="1"/>
  <c r="H3647" i="1"/>
  <c r="H597" i="1"/>
  <c r="H1007" i="1"/>
  <c r="H3054" i="1"/>
  <c r="H1593" i="1"/>
  <c r="H3176" i="1"/>
  <c r="H2826" i="1"/>
  <c r="H897" i="1"/>
  <c r="H2176" i="1"/>
  <c r="H1645" i="1"/>
  <c r="H1642" i="1"/>
  <c r="H7" i="1"/>
  <c r="H2787" i="1"/>
  <c r="H1836" i="1"/>
  <c r="H1691" i="1"/>
  <c r="H1474" i="1"/>
  <c r="H2170" i="1"/>
  <c r="H1070" i="1"/>
  <c r="H466" i="1"/>
  <c r="H3824" i="1"/>
  <c r="H1873" i="1"/>
  <c r="H1278" i="1"/>
  <c r="H1972" i="1"/>
  <c r="H158" i="1"/>
  <c r="H1331" i="1"/>
  <c r="H2793" i="1"/>
  <c r="H386" i="1"/>
  <c r="H3171" i="1"/>
  <c r="H3683" i="1"/>
  <c r="H2482" i="1"/>
  <c r="H270" i="1"/>
  <c r="H826" i="1"/>
  <c r="H761" i="1"/>
  <c r="H1485" i="1"/>
  <c r="H1101" i="1"/>
  <c r="H2471" i="1"/>
  <c r="H2004" i="1"/>
  <c r="H2328" i="1"/>
  <c r="H406" i="1"/>
  <c r="H2559" i="1"/>
  <c r="H3571" i="1"/>
  <c r="H2000" i="1"/>
  <c r="H3662" i="1"/>
  <c r="H1369" i="1"/>
  <c r="H1509" i="1"/>
  <c r="H3755" i="1"/>
  <c r="H286" i="1"/>
  <c r="H657" i="1"/>
  <c r="H2530" i="1"/>
  <c r="H2231" i="1"/>
  <c r="H1114" i="1"/>
  <c r="H3314" i="1"/>
  <c r="H2475" i="1"/>
  <c r="H825" i="1"/>
  <c r="H3565" i="1"/>
  <c r="H3477" i="1"/>
  <c r="H636" i="1"/>
  <c r="H3687" i="1"/>
  <c r="H2763" i="1"/>
  <c r="H2240" i="1"/>
  <c r="H1469" i="1"/>
  <c r="H1662" i="1"/>
  <c r="H3799" i="1"/>
  <c r="H3486" i="1"/>
  <c r="H1448" i="1"/>
  <c r="H474" i="1"/>
  <c r="H1204" i="1"/>
  <c r="H3307" i="1"/>
  <c r="H521" i="1"/>
  <c r="H3134" i="1"/>
  <c r="H2710" i="1"/>
  <c r="H1271" i="1"/>
  <c r="H302" i="1"/>
  <c r="H2329" i="1"/>
  <c r="H1335" i="1"/>
  <c r="H3707" i="1"/>
  <c r="H3255" i="1"/>
  <c r="H2400" i="1"/>
  <c r="H3297" i="1"/>
  <c r="H2748" i="1"/>
  <c r="H972" i="1"/>
  <c r="H3266" i="1"/>
  <c r="H585" i="1"/>
  <c r="H1281" i="1"/>
  <c r="H3452" i="1"/>
  <c r="H1592" i="1"/>
  <c r="H1787" i="1"/>
  <c r="H840" i="1"/>
  <c r="H1872" i="1"/>
  <c r="H1115" i="1"/>
  <c r="H3217" i="1"/>
  <c r="H2050" i="1"/>
  <c r="H384" i="1"/>
  <c r="H1180" i="1"/>
  <c r="H784" i="1"/>
  <c r="H3107" i="1"/>
  <c r="H3658" i="1"/>
  <c r="H2752" i="1"/>
  <c r="H594" i="1"/>
  <c r="H112" i="1"/>
  <c r="H2602" i="1"/>
  <c r="H1181" i="1"/>
  <c r="H967" i="1"/>
  <c r="H1423" i="1"/>
  <c r="H2630" i="1"/>
  <c r="H2408" i="1"/>
  <c r="H1708" i="1"/>
  <c r="H3197" i="1"/>
  <c r="H2987" i="1"/>
  <c r="H1013" i="1"/>
  <c r="H1790" i="1"/>
  <c r="H883" i="1"/>
  <c r="H2366" i="1"/>
  <c r="H902" i="1"/>
  <c r="H2521" i="1"/>
  <c r="H685" i="1"/>
  <c r="H2047" i="1"/>
  <c r="H734" i="1"/>
  <c r="H3725" i="1"/>
  <c r="H2130" i="1"/>
  <c r="H1146" i="1"/>
  <c r="H3848" i="1"/>
  <c r="H3175" i="1"/>
  <c r="H2624" i="1"/>
  <c r="H217" i="1"/>
  <c r="H1073" i="1"/>
  <c r="H1774" i="1"/>
  <c r="H271" i="1"/>
  <c r="H1611" i="1"/>
  <c r="H788" i="1"/>
  <c r="H2635" i="1"/>
  <c r="H1916" i="1"/>
  <c r="H3837" i="1"/>
  <c r="H2421" i="1"/>
  <c r="H2653" i="1"/>
  <c r="H208" i="1"/>
  <c r="H2325" i="1"/>
  <c r="H1126" i="1"/>
  <c r="H1395" i="1"/>
  <c r="H3807" i="1"/>
  <c r="H108" i="1"/>
  <c r="H475" i="1"/>
  <c r="H1892" i="1"/>
  <c r="H1715" i="1"/>
  <c r="H3223" i="1"/>
  <c r="H1215" i="1"/>
  <c r="H3566" i="1"/>
  <c r="H1759" i="1"/>
  <c r="H1591" i="1"/>
  <c r="H3629" i="1"/>
  <c r="H755" i="1"/>
  <c r="H2507" i="1"/>
  <c r="H2012" i="1"/>
  <c r="H641" i="1"/>
  <c r="H871" i="1"/>
  <c r="H495" i="1"/>
  <c r="H2068" i="1"/>
  <c r="H950" i="1"/>
  <c r="H3447" i="1"/>
  <c r="H462" i="1"/>
  <c r="H3751" i="1"/>
  <c r="H1868" i="1"/>
  <c r="H179" i="1"/>
  <c r="H2923" i="1"/>
  <c r="H1465" i="1"/>
  <c r="H3018" i="1"/>
  <c r="H3218" i="1"/>
  <c r="H3387" i="1"/>
  <c r="H3392" i="1"/>
  <c r="H1199" i="1"/>
  <c r="H1272" i="1"/>
  <c r="H2606" i="1"/>
  <c r="H366" i="1"/>
  <c r="H744" i="1"/>
  <c r="H1607" i="1"/>
  <c r="H1764" i="1"/>
  <c r="H1393" i="1"/>
  <c r="H2144" i="1"/>
  <c r="H2286" i="1"/>
  <c r="H990" i="1"/>
  <c r="H1950" i="1"/>
  <c r="H3043" i="1"/>
  <c r="H212" i="1"/>
  <c r="H336" i="1"/>
  <c r="H3727" i="1"/>
  <c r="H1734" i="1"/>
  <c r="H1246" i="1"/>
  <c r="H1212" i="1"/>
  <c r="H400" i="1"/>
  <c r="H3371" i="1"/>
  <c r="H1135" i="1"/>
  <c r="H1323" i="1"/>
  <c r="H582" i="1"/>
  <c r="H3492" i="1"/>
  <c r="H1320" i="1"/>
  <c r="H2220" i="1"/>
  <c r="H80" i="1"/>
  <c r="H3196" i="1"/>
  <c r="H2913" i="1"/>
  <c r="H2616" i="1"/>
  <c r="H1652" i="1"/>
  <c r="H470" i="1"/>
  <c r="H2805" i="1"/>
  <c r="H244" i="1"/>
  <c r="H2137" i="1"/>
  <c r="H3728" i="1"/>
  <c r="H1748" i="1"/>
  <c r="H1603" i="1"/>
  <c r="H92" i="1"/>
  <c r="H527" i="1"/>
  <c r="H662" i="1"/>
  <c r="H621" i="1"/>
  <c r="H748" i="1"/>
  <c r="H2572" i="1"/>
  <c r="H1574" i="1"/>
  <c r="H1419" i="1"/>
  <c r="H2800" i="1"/>
  <c r="H1960" i="1"/>
  <c r="H2963" i="1"/>
  <c r="H2597" i="1"/>
  <c r="H1821" i="1"/>
  <c r="H2121" i="1"/>
  <c r="H1484" i="1"/>
  <c r="H223" i="1"/>
  <c r="H730" i="1"/>
  <c r="H815" i="1"/>
  <c r="H3390" i="1"/>
  <c r="H2739" i="1"/>
  <c r="H1583" i="1"/>
  <c r="H3591" i="1"/>
  <c r="H3765" i="1"/>
  <c r="H1918" i="1"/>
  <c r="H3070" i="1"/>
  <c r="H73" i="1"/>
  <c r="H3489" i="1"/>
  <c r="H2122" i="1"/>
  <c r="H3801" i="1"/>
  <c r="H3726" i="1"/>
  <c r="H816" i="1"/>
  <c r="H46" i="1"/>
  <c r="H671" i="1"/>
  <c r="H2688" i="1"/>
  <c r="H1022" i="1"/>
  <c r="H724" i="1"/>
  <c r="H1473" i="1"/>
  <c r="H2458" i="1"/>
  <c r="H3411" i="1"/>
  <c r="H2969" i="1"/>
  <c r="H3292" i="1"/>
  <c r="H849" i="1"/>
  <c r="H1654" i="1"/>
  <c r="H3574" i="1"/>
  <c r="H2744" i="1"/>
  <c r="H2342" i="1"/>
  <c r="H675" i="1"/>
  <c r="H2266" i="1"/>
  <c r="H3518" i="1"/>
  <c r="H1188" i="1"/>
  <c r="H3386" i="1"/>
  <c r="H2943" i="1"/>
  <c r="H3784" i="1"/>
  <c r="H2926" i="1"/>
  <c r="H2386" i="1"/>
  <c r="H3285" i="1"/>
  <c r="H1131" i="1"/>
  <c r="H2198" i="1"/>
  <c r="H3624" i="1"/>
  <c r="H392" i="1"/>
  <c r="H3329" i="1"/>
  <c r="H3523" i="1"/>
  <c r="H819" i="1"/>
  <c r="H1518" i="1"/>
  <c r="H3813" i="1"/>
  <c r="H2039" i="1"/>
  <c r="H1902" i="1"/>
  <c r="H3418" i="1"/>
  <c r="H1025" i="1"/>
  <c r="H3666" i="1"/>
  <c r="H184" i="1"/>
  <c r="H1044" i="1"/>
  <c r="H683" i="1"/>
  <c r="H3380" i="1"/>
  <c r="H984" i="1"/>
  <c r="H2278" i="1"/>
  <c r="H1515" i="1"/>
  <c r="H3034" i="1"/>
  <c r="H2570" i="1"/>
  <c r="H1183" i="1"/>
  <c r="H353" i="1"/>
  <c r="H2872" i="1"/>
  <c r="H3806" i="1"/>
  <c r="H914" i="1"/>
  <c r="H3504" i="1"/>
  <c r="H1042" i="1"/>
  <c r="H2898" i="1"/>
  <c r="H3664" i="1"/>
  <c r="H2200" i="1"/>
  <c r="H668" i="1"/>
  <c r="H3414" i="1"/>
  <c r="H584" i="1"/>
  <c r="H1580" i="1"/>
  <c r="H637" i="1"/>
  <c r="H2147" i="1"/>
  <c r="H1854" i="1"/>
  <c r="H2708" i="1"/>
  <c r="H927" i="1"/>
  <c r="H385" i="1"/>
  <c r="H3400" i="1"/>
  <c r="H2865" i="1"/>
  <c r="H667" i="1"/>
  <c r="H2654" i="1"/>
  <c r="H481" i="1"/>
  <c r="H1587" i="1"/>
  <c r="H1083" i="1"/>
  <c r="H1768" i="1"/>
  <c r="H3621" i="1"/>
  <c r="H1138" i="1"/>
  <c r="H1421" i="1"/>
  <c r="H2510" i="1"/>
  <c r="H576" i="1"/>
  <c r="H2466" i="1"/>
  <c r="H2052" i="1"/>
  <c r="H1969" i="1"/>
  <c r="H2034" i="1"/>
  <c r="H1382" i="1"/>
  <c r="H1063" i="1"/>
  <c r="H2644" i="1"/>
  <c r="H609" i="1"/>
  <c r="H2287" i="1"/>
  <c r="H2319" i="1"/>
  <c r="H452" i="1"/>
  <c r="H214" i="1"/>
  <c r="H335" i="1"/>
  <c r="H2927" i="1"/>
  <c r="H2330" i="1"/>
  <c r="H688" i="1"/>
  <c r="H618" i="1"/>
  <c r="H2569" i="1"/>
  <c r="H1232" i="1"/>
  <c r="H2501" i="1"/>
  <c r="H497" i="1"/>
  <c r="H488" i="1"/>
  <c r="H2401" i="1"/>
  <c r="H1005" i="1"/>
  <c r="H2494" i="1"/>
  <c r="H3573" i="1"/>
  <c r="H3844" i="1"/>
  <c r="H2118" i="1"/>
  <c r="H545" i="1"/>
  <c r="H2496" i="1"/>
  <c r="H3270" i="1"/>
  <c r="H2093" i="1"/>
  <c r="H848" i="1"/>
  <c r="H3417" i="1"/>
  <c r="H44" i="1"/>
  <c r="H3132" i="1"/>
  <c r="H1613" i="1"/>
  <c r="H1798" i="1"/>
  <c r="H3704" i="1"/>
  <c r="H1663" i="1"/>
  <c r="H2315" i="1"/>
  <c r="H1277" i="1"/>
  <c r="H446" i="1"/>
  <c r="H316" i="1"/>
  <c r="H2444" i="1"/>
  <c r="H2712" i="1"/>
  <c r="H3328" i="1"/>
  <c r="H846" i="1"/>
  <c r="H2577" i="1"/>
  <c r="H2358" i="1"/>
  <c r="H126" i="1"/>
  <c r="H2723" i="1"/>
  <c r="H2764" i="1"/>
  <c r="H3434" i="1"/>
  <c r="H82" i="1"/>
  <c r="H943" i="1"/>
  <c r="H1360" i="1"/>
  <c r="H401" i="1"/>
  <c r="H2481" i="1"/>
  <c r="H3037" i="1"/>
  <c r="H1447" i="1"/>
  <c r="H450" i="1"/>
  <c r="H1560" i="1"/>
  <c r="H3579" i="1"/>
  <c r="H1959" i="1"/>
  <c r="H232" i="1"/>
  <c r="H2292" i="1"/>
  <c r="H2008" i="1"/>
  <c r="H2169" i="1"/>
  <c r="H489" i="1"/>
  <c r="H2222" i="1"/>
  <c r="H262" i="1"/>
  <c r="H3698" i="1"/>
  <c r="H3772" i="1"/>
  <c r="H915" i="1"/>
  <c r="H2283" i="1"/>
  <c r="H3544" i="1"/>
  <c r="H383" i="1"/>
  <c r="H1985" i="1"/>
  <c r="H1693" i="1"/>
  <c r="H918" i="1"/>
  <c r="H2686" i="1"/>
  <c r="H2108" i="1"/>
  <c r="H10" i="1"/>
  <c r="H62" i="1"/>
  <c r="H60" i="1"/>
  <c r="H1921" i="1"/>
  <c r="H3550" i="1"/>
  <c r="H1762" i="1"/>
  <c r="H3549" i="1"/>
  <c r="H2282" i="1"/>
  <c r="H3535" i="1"/>
  <c r="H3612" i="1"/>
  <c r="H2080" i="1"/>
  <c r="H1498" i="1"/>
  <c r="H405" i="1"/>
  <c r="H1983" i="1"/>
  <c r="H3607" i="1"/>
  <c r="H55" i="1"/>
  <c r="H1010" i="1"/>
  <c r="H598" i="1"/>
  <c r="H1488" i="1"/>
  <c r="H2973" i="1"/>
  <c r="H2379" i="1"/>
  <c r="H3694" i="1"/>
  <c r="H2549" i="1"/>
  <c r="H2783" i="1"/>
  <c r="H3497" i="1"/>
  <c r="H2069" i="1"/>
  <c r="H1394" i="1"/>
  <c r="H2495" i="1"/>
  <c r="H2218" i="1"/>
  <c r="H2938" i="1"/>
  <c r="H1806" i="1"/>
  <c r="H2918" i="1"/>
  <c r="H3429" i="1"/>
  <c r="H1625" i="1"/>
  <c r="H1669" i="1"/>
  <c r="H3089" i="1"/>
  <c r="H1152" i="1"/>
  <c r="H3692" i="1"/>
  <c r="H2255" i="1"/>
  <c r="H3330" i="1"/>
  <c r="H2892" i="1"/>
  <c r="H1038" i="1"/>
  <c r="H2249" i="1"/>
  <c r="H785" i="1"/>
  <c r="H1833" i="1"/>
  <c r="H3774" i="1"/>
  <c r="H1730" i="1"/>
  <c r="H3351" i="1"/>
  <c r="H197" i="1"/>
  <c r="H1705" i="1"/>
  <c r="H1431" i="1"/>
  <c r="H887" i="1"/>
  <c r="H2934" i="1"/>
  <c r="H1095" i="1"/>
  <c r="H3348" i="1"/>
  <c r="H3116" i="1"/>
  <c r="H2485" i="1"/>
  <c r="H2574" i="1"/>
  <c r="H38" i="1"/>
  <c r="H626" i="1"/>
  <c r="H1133" i="1"/>
  <c r="H2840" i="1"/>
  <c r="H2711" i="1"/>
  <c r="H506" i="1"/>
  <c r="H2185" i="1"/>
  <c r="H1415" i="1"/>
  <c r="H773" i="1"/>
  <c r="H3377" i="1"/>
  <c r="H2395" i="1"/>
  <c r="H1289" i="1"/>
  <c r="H1672" i="1"/>
  <c r="H1899" i="1"/>
  <c r="H2998" i="1"/>
  <c r="H3208" i="1"/>
  <c r="H1054" i="1"/>
  <c r="H665" i="1"/>
  <c r="H2575" i="1"/>
  <c r="H2211" i="1"/>
  <c r="H3204" i="1"/>
  <c r="H2824" i="1"/>
  <c r="H1885" i="1"/>
  <c r="H1237" i="1"/>
  <c r="H2337" i="1"/>
  <c r="H2829" i="1"/>
  <c r="H3530" i="1"/>
  <c r="H3630" i="1"/>
  <c r="H59" i="1"/>
  <c r="H1094" i="1"/>
  <c r="H651" i="1"/>
  <c r="H580" i="1"/>
  <c r="H2184" i="1"/>
  <c r="H1089" i="1"/>
  <c r="H3305" i="1"/>
  <c r="H1544" i="1"/>
  <c r="H1862" i="1"/>
  <c r="H3490" i="1"/>
  <c r="H2197" i="1"/>
  <c r="H2604" i="1"/>
  <c r="H1966" i="1"/>
  <c r="H3661" i="1"/>
  <c r="H2346" i="1"/>
  <c r="H818" i="1"/>
  <c r="H2082" i="1"/>
  <c r="H3049" i="1"/>
  <c r="H3433" i="1"/>
  <c r="H3317" i="1"/>
  <c r="H1594" i="1"/>
  <c r="H2985" i="1"/>
  <c r="H1977" i="1"/>
  <c r="H2551" i="1"/>
  <c r="H569" i="1"/>
  <c r="H2228" i="1"/>
  <c r="H2939" i="1"/>
  <c r="H1239" i="1"/>
  <c r="H3369" i="1"/>
  <c r="H1865" i="1"/>
  <c r="H3851" i="1"/>
  <c r="H2011" i="1"/>
  <c r="H900" i="1"/>
  <c r="H133" i="1"/>
  <c r="H3709" i="1"/>
  <c r="H1572" i="1"/>
  <c r="H1720" i="1"/>
  <c r="H2053" i="1"/>
  <c r="H1119" i="1"/>
  <c r="H723" i="1"/>
  <c r="H2716" i="1"/>
  <c r="H3528" i="1"/>
  <c r="H1863" i="1"/>
  <c r="H952" i="1"/>
  <c r="H480" i="1"/>
  <c r="H1765" i="1"/>
  <c r="H2245" i="1"/>
  <c r="H2203" i="1"/>
  <c r="H2911" i="1"/>
  <c r="H1358" i="1"/>
  <c r="H219" i="1"/>
  <c r="H1489" i="1"/>
  <c r="H2878" i="1"/>
  <c r="H2135" i="1"/>
  <c r="H468" i="1"/>
  <c r="H3780" i="1"/>
  <c r="H1881" i="1"/>
  <c r="H1254" i="1"/>
  <c r="H1647" i="1"/>
  <c r="H1103" i="1"/>
  <c r="H1102" i="1"/>
  <c r="H1716" i="1"/>
  <c r="H2907" i="1"/>
  <c r="H3144" i="1"/>
  <c r="H1130" i="1"/>
  <c r="H747" i="1"/>
  <c r="H696" i="1"/>
  <c r="H3480" i="1"/>
  <c r="H1861" i="1"/>
  <c r="H2762" i="1"/>
  <c r="H1068" i="1"/>
  <c r="H1018" i="1"/>
  <c r="H3115" i="1"/>
  <c r="H1857" i="1"/>
  <c r="H3829" i="1"/>
  <c r="H3670" i="1"/>
  <c r="H449" i="1"/>
  <c r="H2465" i="1"/>
  <c r="H2970" i="1"/>
  <c r="H3812" i="1"/>
  <c r="H317" i="1"/>
  <c r="H1752" i="1"/>
  <c r="H607" i="1"/>
  <c r="H1065" i="1"/>
  <c r="H3273" i="1"/>
  <c r="H2561" i="1"/>
  <c r="H2611" i="1"/>
  <c r="H1171" i="1"/>
  <c r="H3559" i="1"/>
  <c r="H3157" i="1"/>
  <c r="H2378" i="1"/>
  <c r="H187" i="1"/>
  <c r="H508" i="1"/>
  <c r="H2233" i="1"/>
  <c r="H2432" i="1"/>
  <c r="H2728" i="1"/>
  <c r="H2376" i="1"/>
  <c r="H1659" i="1"/>
  <c r="H537" i="1"/>
  <c r="H757" i="1"/>
  <c r="H2168" i="1"/>
  <c r="H3491" i="1"/>
  <c r="H3716" i="1"/>
  <c r="H3424" i="1"/>
  <c r="H2948" i="1"/>
  <c r="H1753" i="1"/>
  <c r="H3178" i="1"/>
  <c r="H2731" i="1"/>
  <c r="H145" i="1"/>
  <c r="H2885" i="1"/>
  <c r="H2701" i="1"/>
  <c r="H2221" i="1"/>
  <c r="H3786" i="1"/>
  <c r="H1326" i="1"/>
  <c r="H2013" i="1"/>
  <c r="H861" i="1"/>
  <c r="H3162" i="1"/>
  <c r="H2213" i="1"/>
  <c r="H379" i="1"/>
  <c r="H944" i="1"/>
  <c r="H3580" i="1"/>
  <c r="H2971" i="1"/>
  <c r="H1923" i="1"/>
  <c r="H1545" i="1"/>
  <c r="H3771" i="1"/>
  <c r="H3466" i="1"/>
  <c r="H3373" i="1"/>
  <c r="H1373" i="1"/>
  <c r="H3198" i="1"/>
  <c r="H2214" i="1"/>
  <c r="H1944" i="1"/>
  <c r="H3293" i="1"/>
  <c r="H1634" i="1"/>
  <c r="H3853" i="1"/>
  <c r="H1221" i="1"/>
  <c r="H2078" i="1"/>
  <c r="H2092" i="1"/>
  <c r="H1002" i="1"/>
  <c r="H2609" i="1"/>
  <c r="H2317" i="1"/>
  <c r="H376" i="1"/>
  <c r="H2600" i="1"/>
  <c r="H3461" i="1"/>
  <c r="H2451" i="1"/>
  <c r="H3714" i="1"/>
  <c r="H494" i="1"/>
  <c r="H1258" i="1"/>
  <c r="H2488" i="1"/>
  <c r="H617" i="1"/>
  <c r="H1919" i="1"/>
  <c r="H3276" i="1"/>
  <c r="H1929" i="1"/>
  <c r="H50" i="1"/>
  <c r="H341" i="1"/>
  <c r="H770" i="1"/>
  <c r="H2641" i="1"/>
  <c r="H1403" i="1"/>
  <c r="H3653" i="1"/>
  <c r="H3708" i="1"/>
  <c r="H3180" i="1"/>
  <c r="H1493" i="1"/>
  <c r="H1057" i="1"/>
  <c r="H2718" i="1"/>
  <c r="H885" i="1"/>
  <c r="H3082" i="1"/>
  <c r="H71" i="1"/>
  <c r="H2351" i="1"/>
  <c r="H1297" i="1"/>
  <c r="H3520" i="1"/>
  <c r="H1209" i="1"/>
  <c r="H2707" i="1"/>
  <c r="H1014" i="1"/>
  <c r="H1379" i="1"/>
  <c r="H3327" i="1"/>
  <c r="H172" i="1"/>
  <c r="H291" i="1"/>
  <c r="H3149" i="1"/>
  <c r="H479" i="1"/>
  <c r="H156" i="1"/>
  <c r="H3809" i="1"/>
  <c r="H3356" i="1"/>
  <c r="H3652" i="1"/>
  <c r="H1097" i="1"/>
  <c r="H2992" i="1"/>
  <c r="H1427" i="1"/>
  <c r="H1668" i="1"/>
  <c r="H776" i="1"/>
  <c r="H1041" i="1"/>
  <c r="H623" i="1"/>
  <c r="H2380" i="1"/>
  <c r="H1295" i="1"/>
  <c r="H695" i="1"/>
  <c r="H2821" i="1"/>
  <c r="H3228" i="1"/>
  <c r="H2447" i="1"/>
  <c r="H2332" i="1"/>
  <c r="H2280" i="1"/>
  <c r="H3081" i="1"/>
  <c r="H313" i="1"/>
  <c r="H1725" i="1"/>
  <c r="H2704" i="1"/>
  <c r="H2884" i="1"/>
  <c r="H924" i="1"/>
  <c r="H1970" i="1"/>
  <c r="H2313" i="1"/>
  <c r="H2500" i="1"/>
  <c r="H1000" i="1"/>
  <c r="H1437" i="1"/>
  <c r="H1482" i="1"/>
  <c r="H1222" i="1"/>
  <c r="H3448" i="1"/>
  <c r="H2858" i="1"/>
  <c r="H2480" i="1"/>
  <c r="H3515" i="1"/>
  <c r="H1169" i="1"/>
  <c r="H2309" i="1"/>
  <c r="H3820" i="1"/>
  <c r="H1031" i="1"/>
  <c r="H3741" i="1"/>
  <c r="H3379" i="1"/>
  <c r="H1559" i="1"/>
  <c r="H3354" i="1"/>
  <c r="H1207" i="1"/>
  <c r="H2058" i="1"/>
  <c r="H100" i="1"/>
  <c r="H283" i="1"/>
  <c r="H2544" i="1"/>
  <c r="H3525" i="1"/>
  <c r="H2861" i="1"/>
  <c r="H2761" i="1"/>
  <c r="H517" i="1"/>
  <c r="H3840" i="1"/>
  <c r="H3378" i="1"/>
  <c r="H2732" i="1"/>
  <c r="H3105" i="1"/>
  <c r="H3395" i="1"/>
  <c r="H1292" i="1"/>
  <c r="H3675" i="1"/>
  <c r="H352" i="1"/>
  <c r="H451" i="1"/>
  <c r="H3764" i="1"/>
  <c r="H632" i="1"/>
  <c r="H103" i="1"/>
  <c r="H1664" i="1"/>
  <c r="H2566" i="1"/>
  <c r="H2399" i="1"/>
  <c r="H3359" i="1"/>
  <c r="H1571" i="1"/>
  <c r="H3460" i="1"/>
  <c r="H3464" i="1"/>
  <c r="H372" i="1"/>
  <c r="H920" i="1"/>
  <c r="H2049" i="1"/>
  <c r="H622" i="1"/>
  <c r="H78" i="1"/>
  <c r="H1267" i="1"/>
  <c r="H579" i="1"/>
  <c r="H540" i="1"/>
  <c r="H221" i="1"/>
  <c r="H499" i="1"/>
  <c r="H2894" i="1"/>
  <c r="H1852" i="1"/>
  <c r="H3106" i="1"/>
  <c r="H1504" i="1"/>
  <c r="H2916" i="1"/>
  <c r="H976" i="1"/>
  <c r="H2656" i="1"/>
  <c r="H1346" i="1"/>
  <c r="H63" i="1"/>
  <c r="H1100" i="1"/>
  <c r="H1557" i="1"/>
  <c r="H81" i="1"/>
  <c r="H226" i="1"/>
  <c r="H2018" i="1"/>
  <c r="H892" i="1"/>
  <c r="H2370" i="1"/>
  <c r="H2909" i="1"/>
  <c r="H3449" i="1"/>
  <c r="H3498" i="1"/>
  <c r="H288" i="1"/>
  <c r="H3819" i="1"/>
  <c r="H1112" i="1"/>
  <c r="H2809" i="1"/>
  <c r="H1445" i="1"/>
  <c r="H1778" i="1"/>
  <c r="H763" i="1"/>
  <c r="H2576" i="1"/>
  <c r="H387" i="1"/>
  <c r="H2560" i="1"/>
  <c r="H1185" i="1"/>
  <c r="H1019" i="1"/>
  <c r="H1968" i="1"/>
  <c r="H231" i="1"/>
  <c r="H3315" i="1"/>
  <c r="H2900" i="1"/>
  <c r="H1713" i="1"/>
  <c r="H2086" i="1"/>
  <c r="H20" i="1"/>
  <c r="H3142" i="1"/>
  <c r="H344" i="1"/>
  <c r="H3583" i="1"/>
  <c r="H765" i="1"/>
  <c r="H2003" i="1"/>
  <c r="H1137" i="1"/>
  <c r="H3323" i="1"/>
  <c r="H1088" i="1"/>
  <c r="H2032" i="1"/>
  <c r="H1934" i="1"/>
  <c r="H2799" i="1"/>
  <c r="H2743" i="1"/>
  <c r="H1709" i="1"/>
  <c r="H3648" i="1"/>
  <c r="H165" i="1"/>
  <c r="H1455" i="1"/>
  <c r="H1812" i="1"/>
  <c r="H1182" i="1"/>
  <c r="H1530" i="1"/>
  <c r="H3075" i="1"/>
  <c r="H2182" i="1"/>
  <c r="H2715" i="1"/>
  <c r="H1390" i="1"/>
  <c r="H43" i="1"/>
  <c r="H2192" i="1"/>
  <c r="H410" i="1"/>
  <c r="H378" i="1"/>
  <c r="H2571" i="1"/>
  <c r="H1696" i="1"/>
  <c r="H733" i="1"/>
  <c r="H771" i="1"/>
  <c r="H3391" i="1"/>
  <c r="H556" i="1"/>
  <c r="H1050" i="1"/>
  <c r="H3441" i="1"/>
  <c r="H3344" i="1"/>
  <c r="H1046" i="1"/>
  <c r="H1178" i="1"/>
  <c r="H1319" i="1"/>
  <c r="H1803" i="1"/>
  <c r="H2516" i="1"/>
  <c r="H1203" i="1"/>
  <c r="H101" i="1"/>
  <c r="H3457" i="1"/>
  <c r="H1807" i="1"/>
  <c r="H769" i="1"/>
  <c r="H3014" i="1"/>
  <c r="H3017" i="1"/>
  <c r="H513" i="1"/>
  <c r="H3" i="1"/>
  <c r="H1321" i="1"/>
  <c r="H107" i="1"/>
  <c r="H3079" i="1"/>
  <c r="H1467" i="1"/>
  <c r="H416" i="1"/>
  <c r="H199" i="1"/>
  <c r="H1811" i="1"/>
  <c r="H881" i="1"/>
  <c r="H3062" i="1"/>
  <c r="H1139" i="1"/>
  <c r="H3209" i="1"/>
  <c r="H289" i="1"/>
  <c r="H1537" i="1"/>
  <c r="H505" i="1"/>
  <c r="H1039" i="1"/>
  <c r="H3015" i="1"/>
  <c r="H1915" i="1"/>
  <c r="H3702" i="1"/>
  <c r="H925" i="1"/>
  <c r="H552" i="1"/>
  <c r="H2474" i="1"/>
  <c r="H1003" i="1"/>
  <c r="H1224" i="1"/>
  <c r="H2677" i="1"/>
  <c r="H3744" i="1"/>
  <c r="H2362" i="1"/>
  <c r="H971" i="1"/>
  <c r="H3538" i="1"/>
  <c r="H3346" i="1"/>
  <c r="H2420" i="1"/>
  <c r="H1826" i="1"/>
  <c r="H1110" i="1"/>
  <c r="H2887" i="1"/>
  <c r="H3514" i="1"/>
  <c r="H2670" i="1"/>
  <c r="H1920" i="1"/>
  <c r="H207" i="1"/>
  <c r="H1332" i="1"/>
  <c r="H2954" i="1"/>
  <c r="H554" i="1"/>
  <c r="H3822" i="1"/>
  <c r="H3213" i="1"/>
  <c r="H1831" i="1"/>
  <c r="H2915" i="1"/>
  <c r="H2150" i="1"/>
  <c r="H1012" i="1"/>
  <c r="H1186" i="1"/>
  <c r="H1256" i="1"/>
  <c r="H1996" i="1"/>
  <c r="H1496" i="1"/>
  <c r="H1368" i="1"/>
  <c r="H1629" i="1"/>
  <c r="H3614" i="1"/>
  <c r="H851" i="1"/>
  <c r="H3500" i="1"/>
  <c r="H1330" i="1"/>
  <c r="H911" i="1"/>
  <c r="H1124" i="1"/>
  <c r="H916" i="1"/>
  <c r="H2942" i="1"/>
  <c r="H407" i="1"/>
  <c r="H2517" i="1"/>
  <c r="H1457" i="1"/>
  <c r="H606" i="1"/>
  <c r="H3023" i="1"/>
  <c r="H1782" i="1"/>
  <c r="H3005" i="1"/>
  <c r="H1933" i="1"/>
  <c r="H2057" i="1"/>
  <c r="H1832" i="1"/>
  <c r="H1476" i="1"/>
  <c r="H1579" i="1"/>
  <c r="H3389" i="1"/>
  <c r="H2905" i="1"/>
  <c r="H1177" i="1"/>
  <c r="H2027" i="1"/>
  <c r="H367" i="1"/>
  <c r="H2476" i="1"/>
  <c r="H2290" i="1"/>
  <c r="H3200" i="1"/>
  <c r="H3225" i="1"/>
  <c r="H3423" i="1"/>
  <c r="H2489" i="1"/>
  <c r="H566" i="1"/>
  <c r="H715" i="1"/>
  <c r="H2405" i="1"/>
  <c r="H3009" i="1"/>
  <c r="H2614" i="1"/>
  <c r="H3856" i="1"/>
  <c r="H1905" i="1"/>
  <c r="H1233" i="1"/>
  <c r="H2557" i="1"/>
  <c r="H2367" i="1"/>
  <c r="H1641" i="1"/>
  <c r="H1604" i="1"/>
  <c r="H3280" i="1"/>
  <c r="H1813" i="1"/>
  <c r="H2751" i="1"/>
  <c r="H928" i="1"/>
  <c r="H2134" i="1"/>
  <c r="H3288" i="1"/>
  <c r="H3153" i="1"/>
  <c r="H253" i="1"/>
  <c r="H345" i="1"/>
  <c r="H2959" i="1"/>
  <c r="H266" i="1"/>
  <c r="H1938" i="1"/>
  <c r="H1519" i="1"/>
  <c r="H782" i="1"/>
  <c r="H701" i="1"/>
  <c r="H3462" i="1"/>
  <c r="H2511" i="1"/>
  <c r="H3597" i="1"/>
  <c r="H613" i="1"/>
  <c r="H1754" i="1"/>
  <c r="H3791" i="1"/>
  <c r="H3321" i="1"/>
  <c r="H97" i="1"/>
  <c r="H249" i="1"/>
  <c r="H236" i="1"/>
  <c r="H2648" i="1"/>
  <c r="H628" i="1"/>
  <c r="H138" i="1"/>
  <c r="H692" i="1"/>
  <c r="H2567" i="1"/>
  <c r="H721" i="1"/>
  <c r="H2455" i="1"/>
  <c r="H1548" i="1"/>
  <c r="H1381" i="1"/>
  <c r="H3598" i="1"/>
  <c r="H492" i="1"/>
  <c r="H549" i="1"/>
  <c r="H311" i="1"/>
  <c r="H2446" i="1"/>
  <c r="H2932" i="1"/>
  <c r="H847" i="1"/>
  <c r="H3167" i="1"/>
  <c r="H2583" i="1"/>
  <c r="H3705" i="1"/>
  <c r="H1980" i="1"/>
  <c r="H872" i="1"/>
  <c r="H3259" i="1"/>
  <c r="H3310" i="1"/>
  <c r="H1429" i="1"/>
  <c r="H1298" i="1"/>
  <c r="H2792" i="1"/>
  <c r="H1982" i="1"/>
  <c r="H453" i="1"/>
  <c r="H749" i="1"/>
  <c r="H177" i="1"/>
  <c r="H515" i="1"/>
  <c r="H2705" i="1"/>
  <c r="H2940" i="1"/>
  <c r="H89" i="1"/>
  <c r="H2453" i="1"/>
  <c r="H2301" i="1"/>
  <c r="H1062" i="1"/>
  <c r="H2088" i="1"/>
  <c r="H1796" i="1"/>
  <c r="H1953" i="1"/>
  <c r="H2356" i="1"/>
  <c r="H1847" i="1"/>
  <c r="H2350" i="1"/>
  <c r="H1090" i="1"/>
  <c r="H2445" i="1"/>
  <c r="H806" i="1"/>
  <c r="H718" i="1"/>
  <c r="H2819" i="1"/>
  <c r="H1325" i="1"/>
  <c r="H3788" i="1"/>
  <c r="H3249" i="1"/>
  <c r="H25" i="1"/>
  <c r="H15" i="1"/>
  <c r="H1801" i="1"/>
  <c r="H403" i="1"/>
  <c r="H1017" i="1"/>
  <c r="H516" i="1"/>
  <c r="H2936" i="1"/>
  <c r="H681" i="1"/>
  <c r="H716" i="1"/>
  <c r="H2868" i="1"/>
  <c r="H1141" i="1"/>
  <c r="H3684" i="1"/>
  <c r="H942" i="1"/>
  <c r="H1501" i="1"/>
  <c r="H3177" i="1"/>
  <c r="H507" i="1"/>
  <c r="H2415" i="1"/>
  <c r="H2632" i="1"/>
  <c r="H428" i="1"/>
  <c r="H841" i="1"/>
  <c r="H3046" i="1"/>
  <c r="H150" i="1"/>
  <c r="H487" i="1"/>
  <c r="H2946" i="1"/>
  <c r="H1122" i="1"/>
  <c r="H503" i="1"/>
  <c r="H3335" i="1"/>
  <c r="H2935" i="1"/>
  <c r="H1589" i="1"/>
  <c r="H973" i="1"/>
  <c r="H1461" i="1"/>
  <c r="H3188" i="1"/>
  <c r="H1248" i="1"/>
  <c r="H2007" i="1"/>
  <c r="H1877" i="1"/>
  <c r="H3826" i="1"/>
  <c r="H1554" i="1"/>
  <c r="H136" i="1"/>
  <c r="H34" i="1"/>
  <c r="H1279" i="1"/>
  <c r="H2755" i="1"/>
  <c r="H455" i="1"/>
  <c r="H320" i="1"/>
  <c r="H1285" i="1"/>
  <c r="H2553" i="1"/>
  <c r="H644" i="1"/>
  <c r="H2811" i="1"/>
  <c r="H3478" i="1"/>
  <c r="H2442" i="1"/>
  <c r="H2101" i="1"/>
  <c r="H3600" i="1"/>
  <c r="H1700" i="1"/>
  <c r="H2993" i="1"/>
  <c r="H2406" i="1"/>
  <c r="H2663" i="1"/>
  <c r="H90" i="1"/>
  <c r="H3581" i="1"/>
  <c r="H1689" i="1"/>
  <c r="H3211" i="1"/>
  <c r="H215" i="1"/>
  <c r="H2906" i="1"/>
  <c r="H3291" i="1"/>
  <c r="H2726" i="1"/>
  <c r="H68" i="1"/>
  <c r="H2157" i="1"/>
  <c r="H3006" i="1"/>
  <c r="H1315" i="1"/>
  <c r="H2666" i="1"/>
  <c r="H157" i="1"/>
  <c r="H1043" i="1"/>
  <c r="H461" i="1"/>
  <c r="H680" i="1"/>
  <c r="H1612" i="1"/>
  <c r="H2193" i="1"/>
  <c r="H1081" i="1"/>
  <c r="H2435" i="1"/>
  <c r="H3446" i="1"/>
  <c r="H799" i="1"/>
  <c r="H3781" i="1"/>
  <c r="H2409" i="1"/>
  <c r="H2513" i="1"/>
  <c r="H32" i="1"/>
  <c r="H1424" i="1"/>
  <c r="H1776" i="1"/>
  <c r="H1874" i="1"/>
  <c r="H2054" i="1"/>
  <c r="H1156" i="1"/>
  <c r="H820" i="1"/>
  <c r="H2619" i="1"/>
  <c r="H402" i="1"/>
  <c r="H948" i="1"/>
  <c r="H1766" i="1"/>
  <c r="H1937" i="1"/>
  <c r="H1286" i="1"/>
  <c r="H2649" i="1"/>
  <c r="H1785" i="1"/>
  <c r="H418" i="1"/>
  <c r="H3185" i="1"/>
  <c r="H985" i="1"/>
  <c r="H3192" i="1"/>
  <c r="H602" i="1"/>
  <c r="H1342" i="1"/>
  <c r="H3636" i="1"/>
  <c r="H2746" i="1"/>
  <c r="H1558" i="1"/>
  <c r="H315" i="1"/>
  <c r="H804" i="1"/>
  <c r="H2518" i="1"/>
  <c r="H2206" i="1"/>
  <c r="H1288" i="1"/>
  <c r="H1144" i="1"/>
  <c r="H2254" i="1"/>
  <c r="H2780" i="1"/>
  <c r="H2391" i="1"/>
  <c r="H1343" i="1"/>
  <c r="H3003" i="1"/>
  <c r="H3632" i="1"/>
  <c r="H2320" i="1"/>
  <c r="H977" i="1"/>
  <c r="H2888" i="1"/>
  <c r="H1085" i="1"/>
  <c r="H3552" i="1"/>
  <c r="H1282" i="1"/>
  <c r="H1825" i="1"/>
  <c r="H1414" i="1"/>
  <c r="H250" i="1"/>
  <c r="H3823" i="1"/>
  <c r="H3539" i="1"/>
  <c r="H3759" i="1"/>
  <c r="H1526" i="1"/>
  <c r="H2099" i="1"/>
  <c r="H128" i="1"/>
  <c r="H3753" i="1"/>
  <c r="H963" i="1"/>
  <c r="H2252" i="1"/>
  <c r="H2304" i="1"/>
  <c r="H1223" i="1"/>
  <c r="H3800" i="1"/>
  <c r="H2816" i="1"/>
  <c r="H98" i="1"/>
  <c r="H2873" i="1"/>
  <c r="H3026" i="1"/>
  <c r="H2411" i="1"/>
  <c r="H2414" i="1"/>
  <c r="H3397" i="1"/>
  <c r="H3685" i="1"/>
  <c r="H2519" i="1"/>
  <c r="H2933" i="1"/>
  <c r="H130" i="1"/>
  <c r="H2866" i="1"/>
  <c r="H1637" i="1"/>
  <c r="H898" i="1"/>
  <c r="H293" i="1"/>
  <c r="H742" i="1"/>
  <c r="H2026" i="1"/>
  <c r="H3540" i="1"/>
  <c r="H3541" i="1"/>
  <c r="H2684" i="1"/>
  <c r="H1532" i="1"/>
  <c r="H2541" i="1"/>
  <c r="H949" i="1"/>
  <c r="H3260" i="1"/>
  <c r="H3830" i="1"/>
  <c r="H2120" i="1"/>
  <c r="H2781" i="1"/>
  <c r="H1078" i="1"/>
  <c r="H121" i="1"/>
  <c r="H3002" i="1"/>
  <c r="H2234" i="1"/>
  <c r="H2615" i="1"/>
  <c r="H284" i="1"/>
  <c r="H1702" i="1"/>
  <c r="H1758" i="1"/>
  <c r="H1658" i="1"/>
  <c r="H855" i="1"/>
  <c r="H2782" i="1"/>
  <c r="H2232" i="1"/>
  <c r="H1153" i="1"/>
  <c r="H327" i="1"/>
  <c r="H1777" i="1"/>
  <c r="H3165" i="1"/>
  <c r="H1150" i="1"/>
  <c r="H3123" i="1"/>
  <c r="H3691" i="1"/>
  <c r="H2097" i="1"/>
  <c r="H3000" i="1"/>
  <c r="H3546" i="1"/>
  <c r="H2833" i="1"/>
  <c r="H3739" i="1"/>
  <c r="H2492" i="1"/>
  <c r="H3245" i="1"/>
  <c r="H2201" i="1"/>
  <c r="H596" i="1"/>
  <c r="H2042" i="1"/>
  <c r="H3261" i="1"/>
  <c r="H939" i="1"/>
  <c r="H1855" i="1"/>
  <c r="H1956" i="1"/>
  <c r="H1682" i="1"/>
  <c r="H1883" i="1"/>
  <c r="H1113" i="1"/>
  <c r="H1680" i="1"/>
  <c r="H789" i="1"/>
  <c r="H2838" i="1"/>
  <c r="H2837" i="1"/>
  <c r="H1366" i="1"/>
  <c r="H2585" i="1"/>
  <c r="H2216" i="1"/>
  <c r="H3338" i="1"/>
  <c r="H3393" i="1"/>
  <c r="H1924" i="1"/>
  <c r="H96" i="1"/>
  <c r="H808" i="1"/>
  <c r="H3212" i="1"/>
  <c r="H1487" i="1"/>
  <c r="H2059" i="1"/>
  <c r="H3606" i="1"/>
  <c r="H3735" i="1"/>
  <c r="H1402" i="1"/>
  <c r="H2127" i="1"/>
  <c r="H3519" i="1"/>
  <c r="H1599" i="1"/>
  <c r="H79" i="1"/>
  <c r="H2812" i="1"/>
  <c r="H1781" i="1"/>
  <c r="H457" i="1"/>
  <c r="H1848" i="1"/>
  <c r="H2767" i="1"/>
  <c r="H3711" i="1"/>
  <c r="H686" i="1"/>
  <c r="H3852" i="1"/>
  <c r="H2029" i="1"/>
  <c r="H371" i="1"/>
  <c r="H3195" i="1"/>
  <c r="H229" i="1"/>
  <c r="H1257" i="1"/>
  <c r="H3244" i="1"/>
  <c r="H2694" i="1"/>
  <c r="H1161" i="1"/>
  <c r="H3663" i="1"/>
  <c r="H865" i="1"/>
  <c r="H110" i="1"/>
  <c r="H3120" i="1"/>
  <c r="H325" i="1"/>
  <c r="H2928" i="1"/>
  <c r="H3601" i="1"/>
  <c r="H2055" i="1"/>
  <c r="H1760" i="1"/>
  <c r="H1349" i="1"/>
  <c r="H1376" i="1"/>
  <c r="H49" i="1"/>
  <c r="H518" i="1"/>
  <c r="H2388" i="1"/>
  <c r="H3524" i="1"/>
  <c r="H442" i="1"/>
  <c r="H2639" i="1"/>
  <c r="H1922" i="1"/>
  <c r="H2109" i="1"/>
  <c r="H1314" i="1"/>
  <c r="H2977" i="1"/>
  <c r="H3511" i="1"/>
  <c r="H1614" i="1"/>
  <c r="H2842" i="1"/>
  <c r="H152" i="1"/>
  <c r="H3584" i="1"/>
  <c r="H1472" i="1"/>
  <c r="H1795" i="1"/>
  <c r="H2765" i="1"/>
  <c r="H3599" i="1"/>
  <c r="H3318" i="1"/>
  <c r="H86" i="1"/>
  <c r="H1573" i="1"/>
  <c r="H946" i="1"/>
  <c r="H639" i="1"/>
  <c r="H355" i="1"/>
  <c r="H467" i="1"/>
  <c r="H1195" i="1"/>
  <c r="H1875" i="1"/>
  <c r="H3836" i="1"/>
  <c r="H2637" i="1"/>
  <c r="H438" i="1"/>
  <c r="H3277" i="1"/>
  <c r="H1886" i="1"/>
  <c r="H2241" i="1"/>
  <c r="H1162" i="1"/>
  <c r="H1722" i="1"/>
  <c r="H857" i="1"/>
  <c r="H959" i="1"/>
  <c r="H2917" i="1"/>
  <c r="H1632" i="1"/>
  <c r="H1337" i="1"/>
  <c r="H1313" i="1"/>
  <c r="H1699" i="1"/>
  <c r="H1340" i="1"/>
  <c r="H2827" i="1"/>
  <c r="H2256" i="1"/>
  <c r="H713" i="1"/>
  <c r="H500" i="1"/>
  <c r="H2891" i="1"/>
  <c r="H3279" i="1"/>
  <c r="H256" i="1"/>
  <c r="H1945" i="1"/>
  <c r="H1240" i="1"/>
  <c r="H3657" i="1"/>
  <c r="H910" i="1"/>
  <c r="H1451" i="1"/>
  <c r="H3517" i="1"/>
  <c r="H348" i="1"/>
  <c r="H866" i="1"/>
  <c r="H3247" i="1"/>
  <c r="H1435" i="1"/>
  <c r="H3024" i="1"/>
  <c r="H1570" i="1"/>
  <c r="H2697" i="1"/>
  <c r="H3220" i="1"/>
  <c r="H1565" i="1"/>
  <c r="H2558" i="1"/>
  <c r="H11" i="1"/>
  <c r="H2681" i="1"/>
  <c r="H1276" i="1"/>
  <c r="H1045" i="1"/>
  <c r="H397" i="1"/>
  <c r="H3251" i="1"/>
  <c r="H3181" i="1"/>
  <c r="H1576" i="1"/>
  <c r="H2207" i="1"/>
  <c r="H2845" i="1"/>
  <c r="H240" i="1"/>
  <c r="H705" i="1"/>
  <c r="H3252" i="1"/>
  <c r="H2804" i="1"/>
  <c r="H919" i="1"/>
  <c r="H891" i="1"/>
  <c r="H3758" i="1"/>
  <c r="H440" i="1"/>
  <c r="H2803" i="1"/>
  <c r="H1436" i="1"/>
  <c r="H2470" i="1"/>
  <c r="H1822" i="1"/>
  <c r="H1640" i="1"/>
  <c r="H577" i="1"/>
  <c r="H1887" i="1"/>
  <c r="H1244" i="1"/>
  <c r="H2736" i="1"/>
  <c r="H3676" i="1"/>
  <c r="H2095" i="1"/>
  <c r="H2075" i="1"/>
  <c r="H432" i="1"/>
  <c r="H2486" i="1"/>
  <c r="H2823" i="1"/>
  <c r="H2638" i="1"/>
  <c r="H750" i="1"/>
  <c r="H161" i="1"/>
  <c r="H2244" i="1"/>
  <c r="H2978" i="1"/>
  <c r="H1118" i="1"/>
  <c r="H1252" i="1"/>
  <c r="H3381" i="1"/>
  <c r="H391" i="1"/>
  <c r="H47" i="1"/>
  <c r="H3086" i="1"/>
  <c r="H3172" i="1"/>
  <c r="H2473" i="1"/>
  <c r="H2107" i="1"/>
  <c r="H3155" i="1"/>
  <c r="H2048" i="1"/>
  <c r="H3282" i="1"/>
  <c r="H1838" i="1"/>
  <c r="H2070" i="1"/>
  <c r="H2859" i="1"/>
  <c r="H1584" i="1"/>
  <c r="H2539" i="1"/>
  <c r="H1009" i="1"/>
  <c r="H132" i="1"/>
  <c r="H3482" i="1"/>
  <c r="H2620" i="1"/>
  <c r="H1679" i="1"/>
  <c r="H3240" i="1"/>
  <c r="H144" i="1"/>
  <c r="H514" i="1"/>
  <c r="H218" i="1"/>
  <c r="H306" i="1"/>
  <c r="H1165" i="1"/>
  <c r="H2721" i="1"/>
  <c r="H3103" i="1"/>
  <c r="H2579" i="1"/>
  <c r="H578" i="1"/>
  <c r="H2074" i="1"/>
  <c r="H1176" i="1"/>
  <c r="H414" i="1"/>
  <c r="H1189" i="1"/>
  <c r="H264" i="1"/>
  <c r="H542" i="1"/>
  <c r="H3733" i="1"/>
  <c r="H3056" i="1"/>
  <c r="H1454" i="1"/>
  <c r="H3659" i="1"/>
  <c r="H2532" i="1"/>
  <c r="H2448" i="1"/>
  <c r="H1523" i="1"/>
  <c r="H1943" i="1"/>
  <c r="H1939" i="1"/>
  <c r="H795" i="1"/>
  <c r="H2308" i="1"/>
  <c r="H3487" i="1"/>
  <c r="H1745" i="1"/>
  <c r="H754" i="1"/>
  <c r="H1296" i="1"/>
  <c r="H3210" i="1"/>
  <c r="H3060" i="1"/>
  <c r="H258" i="1"/>
  <c r="H704" i="1"/>
  <c r="H1991" i="1"/>
  <c r="H638" i="1"/>
  <c r="H2006" i="1"/>
  <c r="H1810" i="1"/>
  <c r="H268" i="1"/>
  <c r="H361" i="1"/>
  <c r="H1800" i="1"/>
  <c r="H1511" i="1"/>
  <c r="H3264" i="1"/>
  <c r="H1034" i="1"/>
  <c r="H2771" i="1"/>
  <c r="H1029" i="1"/>
  <c r="H1004" i="1"/>
  <c r="H2592" i="1"/>
  <c r="H1420" i="1"/>
  <c r="H338" i="1"/>
  <c r="H191" i="1"/>
  <c r="H3745" i="1"/>
  <c r="H3732" i="1"/>
  <c r="H2980" i="1"/>
  <c r="H1334" i="1"/>
  <c r="H2672" i="1"/>
  <c r="H2429" i="1"/>
  <c r="H2895" i="1"/>
  <c r="H951" i="1"/>
  <c r="H2523" i="1"/>
  <c r="H445" i="1"/>
  <c r="H216" i="1"/>
  <c r="H278" i="1"/>
  <c r="H3193" i="1"/>
  <c r="H1006" i="1"/>
  <c r="H3353" i="1"/>
  <c r="H304" i="1"/>
  <c r="H87" i="1"/>
  <c r="H3529" i="1"/>
  <c r="H2929" i="1"/>
  <c r="H1824" i="1"/>
  <c r="H75" i="1"/>
  <c r="H189" i="1"/>
  <c r="H17" i="1"/>
  <c r="H1072" i="1"/>
  <c r="H2038" i="1"/>
  <c r="H1378" i="1"/>
  <c r="H3785" i="1"/>
  <c r="H2665" i="1"/>
  <c r="H1142" i="1"/>
  <c r="H664" i="1"/>
  <c r="H677" i="1"/>
  <c r="H3470" i="1"/>
  <c r="H1610" i="1"/>
  <c r="H3706" i="1"/>
  <c r="H3073" i="1"/>
  <c r="H3038" i="1"/>
  <c r="H2487" i="1"/>
  <c r="H1433" i="1"/>
  <c r="H589" i="1"/>
  <c r="H3385" i="1"/>
  <c r="H2002" i="1"/>
  <c r="H728" i="1"/>
  <c r="H796" i="1"/>
  <c r="H3219" i="1"/>
  <c r="H104" i="1"/>
  <c r="H2785" i="1"/>
  <c r="H3068" i="1"/>
  <c r="H2175" i="1"/>
  <c r="H1829" i="1"/>
  <c r="H3349" i="1"/>
  <c r="H2372" i="1"/>
  <c r="H36" i="1"/>
  <c r="H1033" i="1"/>
  <c r="H3796" i="1"/>
  <c r="H732" i="1"/>
  <c r="H581" i="1"/>
  <c r="H3160" i="1"/>
  <c r="H3058" i="1"/>
  <c r="H926" i="1"/>
  <c r="H176" i="1"/>
  <c r="H1481" i="1"/>
  <c r="H3074" i="1"/>
  <c r="H3189" i="1"/>
  <c r="H634" i="1"/>
  <c r="H3289" i="1"/>
  <c r="H2960" i="1"/>
  <c r="H3499" i="1"/>
  <c r="H895" i="1"/>
  <c r="H1329" i="1"/>
  <c r="H2525" i="1"/>
  <c r="H42" i="1"/>
  <c r="H3163" i="1"/>
  <c r="H3235" i="1"/>
  <c r="H1280" i="1"/>
  <c r="H1819" i="1"/>
  <c r="H731" i="1"/>
  <c r="H3561" i="1"/>
  <c r="H3821" i="1"/>
  <c r="H437" i="1"/>
  <c r="H2368" i="1"/>
  <c r="H2682" i="1"/>
  <c r="H54" i="1"/>
  <c r="H1539" i="1"/>
  <c r="H646" i="1"/>
  <c r="H2847" i="1"/>
  <c r="H1365" i="1"/>
  <c r="H1697" i="1"/>
  <c r="H3455" i="1"/>
  <c r="H4" i="1"/>
  <c r="H539" i="1"/>
  <c r="H3166" i="1"/>
  <c r="H1542" i="1"/>
  <c r="H1835" i="1"/>
  <c r="H1981" i="1"/>
  <c r="H3510" i="1"/>
  <c r="H2204" i="1"/>
  <c r="H658" i="1"/>
  <c r="H993" i="1"/>
  <c r="H3233" i="1"/>
  <c r="H2375" i="1"/>
  <c r="H204" i="1"/>
  <c r="H1219" i="1"/>
  <c r="H3083" i="1"/>
  <c r="H2608" i="1"/>
  <c r="H3098" i="1"/>
  <c r="H1507" i="1"/>
  <c r="H599" i="1"/>
  <c r="H2037" i="1"/>
  <c r="H3071" i="1"/>
  <c r="H166" i="1"/>
  <c r="H991" i="1"/>
  <c r="H1413" i="1"/>
  <c r="H3521" i="1"/>
  <c r="H1317" i="1"/>
  <c r="H1623" i="1"/>
  <c r="H1194" i="1"/>
  <c r="H525" i="1"/>
  <c r="H2181" i="1"/>
  <c r="H1849" i="1"/>
  <c r="H722" i="1"/>
  <c r="H679" i="1"/>
  <c r="H1470" i="1"/>
  <c r="H670" i="1"/>
  <c r="H2773" i="1"/>
  <c r="H2199" i="1"/>
  <c r="H119" i="1"/>
  <c r="H1723" i="1"/>
  <c r="H2660" i="1"/>
  <c r="H997" i="1"/>
  <c r="H3645" i="1"/>
  <c r="H3673" i="1"/>
  <c r="H3184" i="1"/>
  <c r="H1513" i="1"/>
  <c r="H3669" i="1"/>
  <c r="H1310" i="1"/>
  <c r="H620" i="1"/>
  <c r="H1617" i="1"/>
  <c r="H1494" i="1"/>
  <c r="H1788" i="1"/>
  <c r="H1442" i="1"/>
  <c r="H842" i="1"/>
  <c r="H3787" i="1"/>
  <c r="H592" i="1"/>
  <c r="H2126" i="1"/>
  <c r="H1468" i="1"/>
  <c r="H1104" i="1"/>
  <c r="H1495" i="1"/>
  <c r="H1287" i="1"/>
  <c r="H1741" i="1"/>
  <c r="H3419" i="1"/>
  <c r="H2335" i="1"/>
  <c r="H454" i="1"/>
  <c r="H1809" i="1"/>
  <c r="H2603" i="1"/>
  <c r="H356" i="1"/>
  <c r="H3399" i="1"/>
  <c r="H299" i="1"/>
  <c r="H388" i="1"/>
  <c r="H3226" i="1"/>
  <c r="H2722" i="1"/>
  <c r="H272" i="1"/>
  <c r="H419" i="1"/>
  <c r="H2387" i="1"/>
  <c r="H2005" i="1"/>
  <c r="H3161" i="1"/>
  <c r="H1990" i="1"/>
  <c r="H1552" i="1"/>
  <c r="H2295" i="1"/>
  <c r="H3459" i="1"/>
  <c r="H433" i="1"/>
  <c r="H998" i="1"/>
  <c r="H3370" i="1"/>
  <c r="H2587" i="1"/>
  <c r="H3099" i="1"/>
  <c r="H147" i="1"/>
  <c r="H3818" i="1"/>
  <c r="H2419" i="1"/>
  <c r="H1396" i="1"/>
  <c r="H1385" i="1"/>
  <c r="H1820" i="1"/>
  <c r="H1994" i="1"/>
  <c r="H1351" i="1"/>
  <c r="H3604" i="1"/>
  <c r="H3036" i="1"/>
  <c r="H2582" i="1"/>
  <c r="H966" i="1"/>
  <c r="H2922" i="1"/>
  <c r="H3507" i="1"/>
  <c r="H3832" i="1"/>
  <c r="H1386" i="1"/>
  <c r="H1952" i="1"/>
  <c r="H2187" i="1"/>
  <c r="H2832" i="1"/>
  <c r="H1306" i="1"/>
  <c r="H1818" i="1"/>
  <c r="H160" i="1"/>
  <c r="H267" i="1"/>
  <c r="H2695" i="1"/>
  <c r="H1701" i="1"/>
  <c r="H947" i="1"/>
  <c r="H2128" i="1"/>
  <c r="H3238" i="1"/>
  <c r="H1964" i="1"/>
  <c r="H2365" i="1"/>
  <c r="H2945" i="1"/>
  <c r="H1059" i="1"/>
  <c r="H2756" i="1"/>
  <c r="H67" i="1"/>
  <c r="H1160" i="1"/>
  <c r="H2986" i="1"/>
  <c r="H1538" i="1"/>
  <c r="H95" i="1"/>
  <c r="H3158" i="1"/>
  <c r="H1737" i="1"/>
  <c r="H532" i="1"/>
  <c r="H1134" i="1"/>
  <c r="H1961" i="1"/>
  <c r="H1372" i="1"/>
  <c r="H2947" i="1"/>
  <c r="H3611" i="1"/>
  <c r="H2875" i="1"/>
  <c r="H2472" i="1"/>
  <c r="H2668" i="1"/>
  <c r="H3493" i="1"/>
  <c r="H3696" i="1"/>
  <c r="H1841" i="1"/>
  <c r="H148" i="1"/>
  <c r="H3558" i="1"/>
  <c r="H459" i="1"/>
  <c r="H1262" i="1"/>
  <c r="H1828" i="1"/>
  <c r="H188" i="1"/>
  <c r="H1008" i="1"/>
  <c r="H3569" i="1"/>
  <c r="H3059" i="1"/>
  <c r="H1354" i="1"/>
  <c r="H880" i="1"/>
  <c r="H1837" i="1"/>
  <c r="H3156" i="1"/>
  <c r="H2469" i="1"/>
  <c r="H195" i="1"/>
  <c r="H1618" i="1"/>
  <c r="H409" i="1"/>
  <c r="H2305" i="1"/>
  <c r="H2196" i="1"/>
  <c r="H511" i="1"/>
  <c r="H298" i="1"/>
  <c r="H3815" i="1"/>
  <c r="H702" i="1"/>
  <c r="H2360" i="1"/>
  <c r="H533" i="1"/>
  <c r="H3484" i="1"/>
  <c r="H2425" i="1"/>
  <c r="H1328" i="1"/>
  <c r="H794" i="1"/>
  <c r="H760" i="1"/>
  <c r="H2164" i="1"/>
  <c r="H318" i="1"/>
  <c r="H3337" i="1"/>
  <c r="H807" i="1"/>
  <c r="H2091" i="1"/>
  <c r="H3816" i="1"/>
  <c r="H2153" i="1"/>
  <c r="H2893" i="1"/>
  <c r="H3133" i="1"/>
  <c r="H3052" i="1"/>
  <c r="H3594" i="1"/>
  <c r="H1510" i="1"/>
  <c r="H2066" i="1"/>
  <c r="H2043" i="1"/>
  <c r="H399" i="1"/>
  <c r="H536" i="1"/>
  <c r="H3035" i="1"/>
  <c r="H1290" i="1"/>
  <c r="H2844" i="1"/>
  <c r="H2257" i="1"/>
  <c r="H182" i="1"/>
  <c r="H3846" i="1"/>
  <c r="H3110" i="1"/>
  <c r="H854" i="1"/>
  <c r="H764" i="1"/>
  <c r="H1626" i="1"/>
  <c r="H3562" i="1"/>
  <c r="H3267" i="1"/>
  <c r="H2613" i="1"/>
  <c r="H2657" i="1"/>
  <c r="H200" i="1"/>
  <c r="H1721" i="1"/>
  <c r="H1769" i="1"/>
  <c r="H2173" i="1"/>
  <c r="H2849" i="1"/>
  <c r="H2828" i="1"/>
  <c r="H3406" i="1"/>
  <c r="H954" i="1"/>
  <c r="H211" i="1"/>
  <c r="H635" i="1"/>
  <c r="H1250" i="1"/>
  <c r="H1316" i="1"/>
  <c r="H2142" i="1"/>
  <c r="H1200" i="1"/>
  <c r="H2590" i="1"/>
  <c r="H2869" i="1"/>
  <c r="H3274" i="1"/>
  <c r="H745" i="1"/>
  <c r="H1157" i="1"/>
  <c r="H741" i="1"/>
  <c r="H3376" i="1"/>
  <c r="H3522" i="1"/>
  <c r="H1936" i="1"/>
  <c r="H798" i="1"/>
  <c r="H2499" i="1"/>
  <c r="H981" i="1"/>
  <c r="H1674" i="1"/>
  <c r="H3011" i="1"/>
  <c r="H16" i="1"/>
  <c r="H1997" i="1"/>
  <c r="H867" i="1"/>
  <c r="H3182" i="1"/>
  <c r="H2671" i="1"/>
  <c r="H2690" i="1"/>
  <c r="H2679" i="1"/>
  <c r="H1491" i="1"/>
  <c r="H2853" i="1"/>
  <c r="H1116" i="1"/>
  <c r="H1269" i="1"/>
  <c r="H2813" i="1"/>
  <c r="H574" i="1"/>
  <c r="H1198" i="1"/>
  <c r="H1694" i="1"/>
  <c r="H3494" i="1"/>
  <c r="H1364" i="1"/>
  <c r="H3627" i="1"/>
  <c r="H2067" i="1"/>
  <c r="H2410" i="1"/>
  <c r="H2735" i="1"/>
  <c r="H2333" i="1"/>
  <c r="H3586" i="1"/>
  <c r="H1456" i="1"/>
  <c r="H697" i="1"/>
  <c r="H2536" i="1"/>
  <c r="H312" i="1"/>
  <c r="H1211" i="1"/>
  <c r="H1514" i="1"/>
  <c r="H48" i="1"/>
  <c r="H786" i="1"/>
  <c r="H332" i="1"/>
  <c r="H809" i="1"/>
  <c r="H3021" i="1"/>
  <c r="H3557" i="1"/>
  <c r="H2077" i="1"/>
  <c r="H1850" i="1"/>
  <c r="H563" i="1"/>
  <c r="H3506" i="1"/>
  <c r="H2542" i="1"/>
  <c r="H2952" i="1"/>
  <c r="H2331" i="1"/>
  <c r="H555" i="1"/>
  <c r="H2593" i="1"/>
  <c r="H3719" i="1"/>
  <c r="H2327" i="1"/>
  <c r="H2041" i="1"/>
  <c r="H2734" i="1"/>
  <c r="H1230" i="1"/>
  <c r="H2621" i="1"/>
  <c r="H929" i="1"/>
  <c r="H1208" i="1"/>
  <c r="H2160" i="1"/>
  <c r="H544" i="1"/>
  <c r="H2094" i="1"/>
  <c r="H3682" i="1"/>
  <c r="H45" i="1"/>
  <c r="H1084" i="1"/>
  <c r="H3845" i="1"/>
  <c r="H2655" i="1"/>
  <c r="H3454" i="1"/>
  <c r="H2645" i="1"/>
  <c r="H3479" i="1"/>
  <c r="H2434" i="1"/>
  <c r="H975" i="1"/>
  <c r="H3808" i="1"/>
  <c r="H1407" i="1"/>
  <c r="H3405" i="1"/>
  <c r="H3298" i="1"/>
  <c r="H3776" i="1"/>
  <c r="H3151" i="1"/>
  <c r="H2850" i="1"/>
  <c r="H1733" i="1"/>
  <c r="H1428" i="1"/>
  <c r="H245" i="1"/>
  <c r="H2691" i="1"/>
  <c r="H2757" i="1"/>
  <c r="H202" i="1"/>
  <c r="H3401" i="1"/>
  <c r="H631" i="1"/>
  <c r="H350" i="1"/>
  <c r="H2806" i="1"/>
  <c r="H1903" i="1"/>
  <c r="H1858" i="1"/>
  <c r="H2177" i="1"/>
  <c r="H2924" i="1"/>
  <c r="H2623" i="1"/>
  <c r="H2239" i="1"/>
  <c r="H127" i="1"/>
  <c r="H583" i="1"/>
  <c r="H813" i="1"/>
  <c r="H308" i="1"/>
  <c r="H2554" i="1"/>
  <c r="H3271" i="1"/>
  <c r="H3854" i="1"/>
  <c r="H3013" i="1"/>
  <c r="H2683" i="1"/>
  <c r="H1965" i="1"/>
  <c r="H3551" i="1"/>
  <c r="H3547" i="1"/>
  <c r="H225" i="1"/>
  <c r="H3336" i="1"/>
  <c r="H3638" i="1"/>
  <c r="H2548" i="1"/>
  <c r="H3814" i="1"/>
  <c r="H886" i="1"/>
  <c r="H978" i="1"/>
  <c r="H1816" i="1"/>
  <c r="H2802" i="1"/>
  <c r="H3628" i="1"/>
  <c r="H999" i="1"/>
  <c r="H374" i="1"/>
  <c r="H365" i="1"/>
  <c r="H2348" i="1"/>
  <c r="H1374" i="1"/>
  <c r="H205" i="1"/>
  <c r="H3357" i="1"/>
  <c r="H12" i="1"/>
  <c r="H2972" i="1"/>
  <c r="H3485" i="1"/>
  <c r="H1015" i="1"/>
  <c r="H390" i="1"/>
  <c r="H2999" i="1"/>
  <c r="H2374" i="1"/>
  <c r="H913" i="1"/>
  <c r="H1703" i="1"/>
  <c r="H1193" i="1"/>
  <c r="H1275" i="1"/>
  <c r="H243" i="1"/>
  <c r="H1389" i="1"/>
  <c r="H1719" i="1"/>
  <c r="H1786" i="1"/>
  <c r="H3334" i="1"/>
  <c r="H3150" i="1"/>
  <c r="H1107" i="1"/>
  <c r="H3610" i="1"/>
  <c r="H678" i="1"/>
  <c r="H1912" i="1"/>
  <c r="H3542" i="1"/>
  <c r="H956" i="1"/>
  <c r="H1907" i="1"/>
  <c r="H1026" i="1"/>
  <c r="H1249" i="1"/>
  <c r="H588" i="1"/>
  <c r="H426" i="1"/>
  <c r="H3263" i="1"/>
  <c r="H1075" i="1"/>
  <c r="H708" i="1"/>
  <c r="H1975" i="1"/>
  <c r="H1105" i="1"/>
  <c r="H137" i="1"/>
  <c r="H3560" i="1"/>
  <c r="H3094" i="1"/>
  <c r="H3257" i="1"/>
  <c r="H1590" i="1"/>
  <c r="H3431" i="1"/>
  <c r="H2955" i="1"/>
  <c r="H3778" i="1"/>
  <c r="H1251" i="1"/>
  <c r="H310" i="1"/>
  <c r="H3019" i="1"/>
  <c r="H2953" i="1"/>
  <c r="H2702" i="1"/>
  <c r="H2248" i="1"/>
  <c r="H1184" i="1"/>
  <c r="H2129" i="1"/>
  <c r="H2422" i="1"/>
  <c r="H2957" i="1"/>
  <c r="H21" i="1"/>
  <c r="H2808" i="1"/>
  <c r="H3825" i="1"/>
  <c r="H429" i="1"/>
  <c r="H3108" i="1"/>
  <c r="H2843" i="1"/>
  <c r="H3413" i="1"/>
  <c r="H969" i="1"/>
  <c r="H141" i="1"/>
  <c r="H3146" i="1"/>
  <c r="H2778" i="1"/>
  <c r="H1706" i="1"/>
  <c r="H1397" i="1"/>
  <c r="H3194" i="1"/>
  <c r="H575" i="1"/>
  <c r="H1300" i="1"/>
  <c r="H2238" i="1"/>
  <c r="H72" i="1"/>
  <c r="H1506" i="1"/>
  <c r="H1794" i="1"/>
  <c r="H616" i="1"/>
  <c r="H1675" i="1"/>
  <c r="H122" i="1"/>
  <c r="H1553" i="1"/>
  <c r="H39" i="1"/>
  <c r="H988" i="1"/>
  <c r="H2586" i="1"/>
  <c r="H3020" i="1"/>
  <c r="H2274" i="1"/>
  <c r="H2438" i="1"/>
  <c r="H3114" i="1"/>
  <c r="H198" i="1"/>
  <c r="H3483" i="1"/>
  <c r="H711" i="1"/>
  <c r="H149" i="1"/>
  <c r="H109" i="1"/>
  <c r="H2979" i="1"/>
  <c r="H3022" i="1"/>
  <c r="H2428" i="1"/>
  <c r="H3503" i="1"/>
  <c r="H2504" i="1"/>
  <c r="H682" i="1"/>
  <c r="H375" i="1"/>
  <c r="H3426" i="1"/>
  <c r="H2392" i="1"/>
  <c r="H1516" i="1"/>
  <c r="H538" i="1"/>
  <c r="H146" i="1"/>
  <c r="H1586" i="1"/>
  <c r="H1479" i="1"/>
  <c r="H1714" i="1"/>
  <c r="H3306" i="1"/>
  <c r="H2344" i="1"/>
  <c r="H2584" i="1"/>
  <c r="H2610" i="1"/>
  <c r="H1653" i="1"/>
  <c r="H99" i="1"/>
  <c r="H905" i="1"/>
  <c r="H853" i="1"/>
  <c r="H1988" i="1"/>
  <c r="H3792" i="1"/>
  <c r="H2879" i="1"/>
  <c r="H239" i="1"/>
  <c r="H482" i="1"/>
  <c r="H2363" i="1"/>
  <c r="H380" i="1"/>
  <c r="H3007" i="1"/>
  <c r="H2848" i="1"/>
  <c r="H1301" i="1"/>
  <c r="H70" i="1"/>
  <c r="H2964" i="1"/>
  <c r="H1783" i="1"/>
  <c r="H1147" i="1"/>
  <c r="H3427" i="1"/>
  <c r="H1036" i="1"/>
  <c r="H2359" i="1"/>
  <c r="H295" i="1"/>
  <c r="H2062" i="1"/>
  <c r="H2272" i="1"/>
  <c r="H1540" i="1"/>
  <c r="H2009" i="1"/>
  <c r="H2607" i="1"/>
  <c r="H1556" i="1"/>
  <c r="H1793" i="1"/>
  <c r="H2167" i="1"/>
  <c r="H1724" i="1"/>
  <c r="H2627" i="1"/>
  <c r="H2958" i="1"/>
  <c r="H2296" i="1"/>
  <c r="H2424" i="1"/>
  <c r="H3572" i="1"/>
  <c r="H2669" i="1"/>
  <c r="H1792" i="1"/>
  <c r="H1322" i="1"/>
  <c r="H903" i="1"/>
  <c r="H3012" i="1"/>
  <c r="H3695" i="1"/>
  <c r="H1677" i="1"/>
  <c r="H2390" i="1"/>
  <c r="H196" i="1"/>
  <c r="H587" i="1"/>
  <c r="H13" i="1"/>
  <c r="H1136" i="1"/>
  <c r="H2023" i="1"/>
  <c r="H2261" i="1"/>
  <c r="H2352" i="1"/>
  <c r="H590" i="1"/>
  <c r="H873" i="1"/>
  <c r="H1621" i="1"/>
  <c r="H612" i="1"/>
  <c r="H3703" i="1"/>
  <c r="H689" i="1"/>
  <c r="H1255" i="1"/>
  <c r="H775" i="1"/>
  <c r="H2267" i="1"/>
  <c r="H1148" i="1"/>
  <c r="H1303" i="1"/>
  <c r="H1336" i="1"/>
  <c r="H1729" i="1"/>
  <c r="H2462" i="1"/>
  <c r="H989" i="1"/>
  <c r="H2772" i="1"/>
  <c r="H382" i="1"/>
  <c r="H1216" i="1"/>
  <c r="H1588" i="1"/>
  <c r="H2322" i="1"/>
  <c r="H1940" i="1"/>
  <c r="H235" i="1"/>
  <c r="H2277" i="1"/>
  <c r="H2503" i="1"/>
  <c r="H823" i="1"/>
  <c r="H2154" i="1"/>
  <c r="H2250" i="1"/>
  <c r="H2479" i="1"/>
  <c r="H3811" i="1"/>
  <c r="H1082" i="1"/>
  <c r="H2588" i="1"/>
  <c r="H3677" i="1"/>
  <c r="H33" i="1"/>
  <c r="H139" i="1"/>
  <c r="H1683" i="1"/>
  <c r="H2870" i="1"/>
  <c r="H2353" i="1"/>
  <c r="H2310" i="1"/>
  <c r="H1512" i="1"/>
  <c r="H1770" i="1"/>
  <c r="H1971" i="1"/>
  <c r="H57" i="1"/>
  <c r="H2908" i="1"/>
  <c r="H1179" i="1"/>
  <c r="H3095" i="1"/>
  <c r="H3536" i="1"/>
  <c r="H3710" i="1"/>
  <c r="H2754" i="1"/>
  <c r="H2749" i="1"/>
  <c r="H1500" i="1"/>
  <c r="H1220" i="1"/>
  <c r="H2112" i="1"/>
  <c r="H1543" i="1"/>
  <c r="H183" i="1"/>
  <c r="H2166" i="1"/>
  <c r="H3453" i="1"/>
  <c r="H194" i="1"/>
  <c r="H1650" i="1"/>
  <c r="H486" i="1"/>
  <c r="H3622" i="1"/>
  <c r="H3246" i="1"/>
  <c r="H1555" i="1"/>
  <c r="H3170" i="1"/>
  <c r="H3206" i="1"/>
  <c r="H1127" i="1"/>
  <c r="H3358" i="1"/>
  <c r="H1440" i="1"/>
  <c r="H524" i="1"/>
  <c r="H3241" i="1"/>
  <c r="H1717" i="1"/>
  <c r="H2460" i="1"/>
  <c r="H3481" i="1"/>
  <c r="H3641" i="1"/>
  <c r="H876" i="1"/>
  <c r="H3556" i="1"/>
  <c r="H2601" i="1"/>
  <c r="H1443" i="1"/>
  <c r="H2578" i="1"/>
  <c r="H2306" i="1"/>
  <c r="H1772" i="1"/>
  <c r="H2084" i="1"/>
  <c r="H458" i="1"/>
  <c r="H351" i="1"/>
  <c r="H2912" i="1"/>
  <c r="H305" i="1"/>
  <c r="H896" i="1"/>
  <c r="H3067" i="1"/>
  <c r="H3093" i="1"/>
  <c r="H2903" i="1"/>
  <c r="H2524" i="1"/>
  <c r="H2573" i="1"/>
  <c r="H35" i="1"/>
  <c r="H995" i="1"/>
  <c r="H3362" i="1"/>
  <c r="H2116" i="1"/>
  <c r="H3403" i="1"/>
  <c r="H1639" i="1"/>
  <c r="H2775" i="1"/>
  <c r="H2385" i="1"/>
  <c r="H307" i="1"/>
  <c r="H535" i="1"/>
  <c r="H2314" i="1"/>
  <c r="H1930" i="1"/>
  <c r="H2790" i="1"/>
  <c r="H180" i="1"/>
  <c r="H1698" i="1"/>
  <c r="H118" i="1"/>
  <c r="H2045" i="1"/>
  <c r="H3186" i="1"/>
  <c r="H1633" i="1"/>
  <c r="H3451" i="1"/>
  <c r="H2111" i="1"/>
  <c r="H2643" i="1"/>
  <c r="H260" i="1"/>
  <c r="H1291" i="1"/>
  <c r="H1581" i="1"/>
  <c r="H2148" i="1"/>
  <c r="H1023" i="1"/>
  <c r="H2565" i="1"/>
  <c r="H3053" i="1"/>
  <c r="H859" i="1"/>
  <c r="H2297" i="1"/>
  <c r="H1648" i="1"/>
  <c r="H2437" i="1"/>
  <c r="H1266" i="1"/>
  <c r="H3722" i="1"/>
  <c r="H3077" i="1"/>
  <c r="H1914" i="1"/>
  <c r="H2281" i="1"/>
  <c r="H2991" i="1"/>
  <c r="H3577" i="1"/>
  <c r="H2383" i="1"/>
  <c r="H2271" i="1"/>
  <c r="H3183" i="1"/>
  <c r="H3409" i="1"/>
  <c r="H2270" i="1"/>
  <c r="H234" i="1"/>
  <c r="H3087" i="1"/>
  <c r="H714" i="1"/>
  <c r="H709" i="1"/>
  <c r="H878" i="1"/>
  <c r="H1293" i="1"/>
  <c r="H766" i="1"/>
  <c r="H2433" i="1"/>
  <c r="H1350" i="1"/>
  <c r="H326" i="1"/>
  <c r="H3199" i="1"/>
  <c r="H1986" i="1"/>
  <c r="H3216" i="1"/>
  <c r="H2490" i="1"/>
  <c r="H1422" i="1"/>
  <c r="H1464" i="1"/>
  <c r="H1226" i="1"/>
  <c r="H1814" i="1"/>
  <c r="H3313" i="1"/>
  <c r="H1305" i="1"/>
  <c r="H1459" i="1"/>
  <c r="H2797" i="1"/>
  <c r="H2717" i="1"/>
  <c r="H3347" i="1"/>
  <c r="H1108" i="1"/>
  <c r="H3588" i="1"/>
  <c r="H546" i="1"/>
  <c r="H1746" i="1"/>
  <c r="H3138" i="1"/>
  <c r="H1066" i="1"/>
  <c r="H1159" i="1"/>
  <c r="H1197" i="1"/>
  <c r="H2692" i="1"/>
  <c r="H1154" i="1"/>
  <c r="H1692" i="1"/>
  <c r="H1690" i="1"/>
  <c r="H1979" i="1"/>
  <c r="H2284" i="1"/>
  <c r="H1040" i="1"/>
  <c r="H778" i="1"/>
  <c r="H2598" i="1"/>
  <c r="H2983" i="1"/>
  <c r="H2699" i="1"/>
  <c r="H3368" i="1"/>
  <c r="H1638" i="1"/>
  <c r="H1867" i="1"/>
  <c r="H1585" i="1"/>
  <c r="H2089" i="1"/>
  <c r="H423" i="1"/>
  <c r="H2014" i="1"/>
  <c r="H3044" i="1"/>
  <c r="H2341" i="1"/>
  <c r="H3145" i="1"/>
  <c r="H2459" i="1"/>
  <c r="H1053" i="1"/>
  <c r="H3090" i="1"/>
  <c r="H1213" i="1"/>
  <c r="H3736" i="1"/>
  <c r="H2158" i="1"/>
  <c r="H2965" i="1"/>
  <c r="H74" i="1"/>
  <c r="H2680" i="1"/>
  <c r="H3668" i="1"/>
  <c r="H962" i="1"/>
  <c r="H2860" i="1"/>
  <c r="H1121" i="1"/>
  <c r="H937" i="1"/>
  <c r="H2417" i="1"/>
  <c r="H2961" i="1"/>
  <c r="H2076" i="1"/>
  <c r="H2674" i="1"/>
  <c r="H3243" i="1"/>
  <c r="H1284" i="1"/>
  <c r="H3595" i="1"/>
  <c r="H3283" i="1"/>
  <c r="H3724" i="1"/>
  <c r="H2140" i="1"/>
  <c r="H1439" i="1"/>
  <c r="H2124" i="1"/>
  <c r="H2562" i="1"/>
  <c r="H934" i="1"/>
  <c r="H2031" i="1"/>
  <c r="H567" i="1"/>
  <c r="H2758" i="1"/>
  <c r="H2555" i="1"/>
  <c r="H653" i="1"/>
  <c r="H3250" i="1"/>
  <c r="H2652" i="1"/>
  <c r="H2740" i="1"/>
  <c r="H3253" i="1"/>
  <c r="H2321" i="1"/>
  <c r="H1398" i="1"/>
  <c r="H1598" i="1"/>
  <c r="H3842" i="1"/>
  <c r="H2505" i="1"/>
  <c r="H241" i="1"/>
  <c r="H2381" i="1"/>
  <c r="H347" i="1"/>
  <c r="H3740" i="1"/>
  <c r="H1132" i="1"/>
  <c r="H2040" i="1"/>
  <c r="H700" i="1"/>
  <c r="H2753" i="1"/>
  <c r="H2125" i="1"/>
  <c r="H1480" i="1"/>
  <c r="H3775" i="1"/>
  <c r="H3465" i="1"/>
  <c r="H3623" i="1"/>
  <c r="H2051" i="1"/>
  <c r="H3442" i="1"/>
  <c r="H1657" i="1"/>
  <c r="H2105" i="1"/>
  <c r="H1168" i="1"/>
  <c r="H1763" i="1"/>
  <c r="H41" i="1"/>
  <c r="H2229" i="1"/>
  <c r="H1704" i="1"/>
  <c r="H2226" i="1"/>
  <c r="H1432" i="1"/>
  <c r="H3766" i="1"/>
  <c r="H209" i="1"/>
  <c r="H2814" i="1"/>
  <c r="H1268" i="1"/>
  <c r="H1079" i="1"/>
  <c r="H2253" i="1"/>
  <c r="H3543" i="1"/>
  <c r="H2063" i="1"/>
  <c r="H1879" i="1"/>
  <c r="H3039" i="1"/>
  <c r="H648" i="1"/>
  <c r="H1158" i="1"/>
  <c r="H2336" i="1"/>
  <c r="H2355" i="1"/>
  <c r="H1894" i="1"/>
  <c r="H2779" i="1"/>
  <c r="H2883" i="1"/>
  <c r="H389" i="1"/>
  <c r="H1681" i="1"/>
  <c r="H14" i="1"/>
  <c r="H2389" i="1"/>
  <c r="H3325" i="1"/>
  <c r="H1891" i="1"/>
  <c r="H2467" i="1"/>
  <c r="H839" i="1"/>
  <c r="H1460" i="1"/>
  <c r="H1175" i="1"/>
  <c r="H1926" i="1"/>
  <c r="H725" i="1"/>
  <c r="H888" i="1"/>
  <c r="H1597" i="1"/>
  <c r="H1890" i="1"/>
  <c r="H1743" i="1"/>
  <c r="H1954" i="1"/>
  <c r="H129" i="1"/>
  <c r="H2512" i="1"/>
  <c r="H1123" i="1"/>
  <c r="H2533" i="1"/>
  <c r="H1808" i="1"/>
  <c r="H3671" i="1"/>
  <c r="H2774" i="1"/>
  <c r="H3295" i="1"/>
  <c r="H1882" i="1"/>
  <c r="H2483" i="1"/>
  <c r="H2431" i="1"/>
  <c r="H2103" i="1"/>
  <c r="H1755" i="1"/>
  <c r="H3139" i="1"/>
  <c r="H712" i="1"/>
  <c r="H573" i="1"/>
  <c r="H2902" i="1"/>
  <c r="H3382" i="1"/>
  <c r="H2951" i="1"/>
  <c r="H3262" i="1"/>
  <c r="H64" i="1"/>
  <c r="H1989" i="1"/>
  <c r="H2303" i="1"/>
  <c r="H501" i="1"/>
  <c r="H1172" i="1"/>
  <c r="H3720" i="1"/>
  <c r="H2457" i="1"/>
  <c r="H2730" i="1"/>
  <c r="H1508" i="1"/>
  <c r="H252" i="1"/>
  <c r="H114" i="1"/>
  <c r="H3372" i="1"/>
  <c r="H3674" i="1"/>
  <c r="H1740" i="1"/>
  <c r="H1661" i="1"/>
  <c r="H3463" i="1"/>
  <c r="H2416" i="1"/>
  <c r="H1582" i="1"/>
  <c r="H3236" i="1"/>
  <c r="H595" i="1"/>
  <c r="H3402" i="1"/>
  <c r="H1535" i="1"/>
  <c r="H3697" i="1"/>
  <c r="H2612" i="1"/>
  <c r="H2508" i="1"/>
  <c r="H2546" i="1"/>
  <c r="H1128" i="1"/>
  <c r="H334" i="1"/>
  <c r="H3042" i="1"/>
  <c r="H1030" i="1"/>
  <c r="H3527" i="1"/>
  <c r="H1630" i="1"/>
  <c r="H3715" i="1"/>
  <c r="H2534" i="1"/>
  <c r="H3634" i="1"/>
  <c r="H93" i="1"/>
  <c r="H830" i="1"/>
  <c r="H1490" i="1"/>
  <c r="H193" i="1"/>
  <c r="H2974" i="1"/>
  <c r="H3227" i="1"/>
  <c r="H237" i="1"/>
  <c r="H2208" i="1"/>
  <c r="H862" i="1"/>
  <c r="H168" i="1"/>
  <c r="H2347" i="1"/>
  <c r="H687" i="1"/>
  <c r="H663" i="1"/>
  <c r="H565" i="1"/>
  <c r="H3713" i="1"/>
  <c r="H3502" i="1"/>
  <c r="H2298" i="1"/>
  <c r="H364" i="1"/>
  <c r="H3585" i="1"/>
  <c r="H3045" i="1"/>
  <c r="H2994" i="1"/>
  <c r="H1608" i="1"/>
  <c r="H2279" i="1"/>
  <c r="H2882" i="1"/>
  <c r="H1649" i="1"/>
  <c r="H1231" i="1"/>
  <c r="H2104" i="1"/>
  <c r="H2738" i="1"/>
  <c r="H3119" i="1"/>
  <c r="H669" i="1"/>
  <c r="H1536" i="1"/>
  <c r="H357" i="1"/>
  <c r="H3339" i="1"/>
  <c r="H2729" i="1"/>
  <c r="H3296" i="1"/>
  <c r="H3118" i="1"/>
  <c r="H3445" i="1"/>
  <c r="H1051" i="1"/>
  <c r="H3290" i="1"/>
  <c r="H1234" i="1"/>
  <c r="H752" i="1"/>
  <c r="H422" i="1"/>
  <c r="H3849" i="1"/>
  <c r="H1245" i="1"/>
  <c r="H2818" i="1"/>
  <c r="H342" i="1"/>
  <c r="H758" i="1"/>
  <c r="H1917" i="1"/>
  <c r="H3286" i="1"/>
  <c r="H2594" i="1"/>
  <c r="H3456" i="1"/>
  <c r="H2817" i="1"/>
  <c r="H230" i="1"/>
  <c r="H3646" i="1"/>
  <c r="H1531" i="1"/>
  <c r="H1974" i="1"/>
  <c r="H228" i="1"/>
  <c r="H1622" i="1"/>
  <c r="H1931" i="1"/>
  <c r="H490" i="1"/>
  <c r="H1834" i="1"/>
  <c r="H1844" i="1"/>
  <c r="H543" i="1"/>
  <c r="H1578" i="1"/>
  <c r="H2179" i="1"/>
  <c r="H3731" i="1"/>
  <c r="H2036" i="1"/>
  <c r="H2625" i="1"/>
  <c r="H1191" i="1"/>
  <c r="H2863" i="1"/>
  <c r="H3169" i="1"/>
  <c r="H2807" i="1"/>
  <c r="H94" i="1"/>
  <c r="H2839" i="1"/>
  <c r="H3534" i="1"/>
  <c r="H906" i="1"/>
  <c r="H1069" i="1"/>
  <c r="H448" i="1"/>
  <c r="H1711" i="1"/>
  <c r="H958" i="1"/>
  <c r="H1327" i="1"/>
  <c r="H69" i="1"/>
  <c r="H1897" i="1"/>
  <c r="H2246" i="1"/>
  <c r="H1483" i="1"/>
  <c r="H3690" i="1"/>
  <c r="H793" i="1"/>
  <c r="H1140" i="1"/>
  <c r="H2212" i="1"/>
  <c r="H3341" i="1"/>
  <c r="H309" i="1"/>
  <c r="H3092" i="1"/>
  <c r="H1842" i="1"/>
  <c r="H140" i="1"/>
  <c r="H2024" i="1"/>
  <c r="H3214" i="1"/>
  <c r="H3001" i="1"/>
  <c r="H102" i="1"/>
  <c r="H257" i="1"/>
  <c r="H531" i="1"/>
  <c r="H2323" i="1"/>
  <c r="H3008" i="1"/>
  <c r="H3230" i="1"/>
  <c r="H3129" i="1"/>
  <c r="H2880" i="1"/>
  <c r="H3505" i="1"/>
  <c r="H2944" i="1"/>
  <c r="H3332" i="1"/>
  <c r="H625" i="1"/>
  <c r="H564" i="1"/>
  <c r="H1410" i="1"/>
  <c r="H1718" i="1"/>
  <c r="H435" i="1"/>
  <c r="H2028" i="1"/>
  <c r="H2759" i="1"/>
  <c r="H3272" i="1"/>
  <c r="H2264" i="1"/>
  <c r="H791" i="1"/>
  <c r="H1976" i="1"/>
  <c r="H398" i="1"/>
  <c r="H3432" i="1"/>
  <c r="H281" i="1"/>
  <c r="H1619" i="1"/>
  <c r="H899" i="1"/>
  <c r="H2132" i="1"/>
  <c r="H498" i="1"/>
  <c r="H65" i="1"/>
  <c r="H772" i="1"/>
  <c r="H2364" i="1"/>
  <c r="H3640" i="1"/>
  <c r="H877" i="1"/>
  <c r="H3326" i="1"/>
  <c r="H2300" i="1"/>
  <c r="H1665" i="1"/>
  <c r="H359" i="1"/>
  <c r="H2357" i="1"/>
  <c r="H2535" i="1"/>
  <c r="H960" i="1"/>
  <c r="H1660" i="1"/>
  <c r="H1384" i="1"/>
  <c r="H2968" i="1"/>
  <c r="H627" i="1"/>
  <c r="H1076" i="1"/>
  <c r="H1563" i="1"/>
  <c r="H1111" i="1"/>
  <c r="H1411" i="1"/>
  <c r="H2564" i="1"/>
  <c r="H368" i="1"/>
  <c r="H2855" i="1"/>
  <c r="H2835" i="1"/>
  <c r="H2081" i="1"/>
  <c r="H1450" i="1"/>
  <c r="H3656" i="1"/>
  <c r="H2190" i="1"/>
  <c r="H831" i="1"/>
  <c r="H2975" i="1"/>
  <c r="H3148" i="1"/>
  <c r="H1784" i="1"/>
  <c r="H3578" i="1"/>
  <c r="H941" i="1"/>
  <c r="H125" i="1"/>
  <c r="H1049" i="1"/>
  <c r="H3085" i="1"/>
  <c r="H933" i="1"/>
  <c r="H767" i="1"/>
  <c r="H3415" i="1"/>
  <c r="H1092" i="1"/>
  <c r="H1383" i="1"/>
  <c r="H1925" i="1"/>
  <c r="H912" i="1"/>
  <c r="H1684" i="1"/>
  <c r="H1901" i="1"/>
  <c r="H1521" i="1"/>
  <c r="H2369" i="1"/>
  <c r="H2720" i="1"/>
  <c r="H1609" i="1"/>
  <c r="H560" i="1"/>
  <c r="H3804" i="1"/>
  <c r="H1895" i="1"/>
  <c r="H547" i="1"/>
  <c r="H1227" i="1"/>
  <c r="H2017" i="1"/>
  <c r="H2899" i="1"/>
  <c r="H2268" i="1"/>
  <c r="H3113" i="1"/>
  <c r="H436" i="1"/>
  <c r="H666" i="1"/>
  <c r="H3383" i="1"/>
  <c r="H3141" i="1"/>
  <c r="H2456" i="1"/>
  <c r="H120" i="1"/>
  <c r="H994" i="1"/>
  <c r="H3723" i="1"/>
  <c r="H2033" i="1"/>
  <c r="H88" i="1"/>
  <c r="H3239" i="1"/>
  <c r="H2161" i="1"/>
  <c r="H1566" i="1"/>
  <c r="H3654" i="1"/>
  <c r="H3625" i="1"/>
  <c r="H528" i="1"/>
  <c r="H1264" i="1"/>
  <c r="H3742" i="1"/>
  <c r="H738" i="1"/>
  <c r="H659" i="1"/>
  <c r="H3779" i="1"/>
  <c r="H777" i="1"/>
  <c r="H992" i="1"/>
  <c r="H1357" i="1"/>
  <c r="H504" i="1"/>
  <c r="H2852" i="1"/>
  <c r="H2636" i="1"/>
  <c r="H3617" i="1"/>
  <c r="H1352" i="1"/>
  <c r="H1311" i="1"/>
  <c r="H1201" i="1"/>
  <c r="H2073" i="1"/>
  <c r="H2789" i="1"/>
  <c r="H2413" i="1"/>
  <c r="H3564" i="1"/>
  <c r="H3308" i="1"/>
  <c r="H2862" i="1"/>
  <c r="H2117" i="1"/>
  <c r="H1047" i="1"/>
  <c r="H1904" i="1"/>
  <c r="H3660" i="1"/>
  <c r="H394" i="1"/>
  <c r="H3016" i="1"/>
  <c r="H2285" i="1"/>
  <c r="H986" i="1"/>
  <c r="H2001" i="1"/>
  <c r="H1893" i="1"/>
  <c r="H1499" i="1"/>
  <c r="H3750" i="1"/>
  <c r="H296" i="1"/>
  <c r="H3717" i="1"/>
  <c r="H922" i="1"/>
  <c r="H2307" i="1"/>
  <c r="H923" i="1"/>
  <c r="H3398" i="1"/>
  <c r="H558" i="1"/>
  <c r="H1853" i="1"/>
  <c r="H1120" i="1"/>
  <c r="H1478" i="1"/>
  <c r="H18" i="1"/>
  <c r="H3773" i="1"/>
  <c r="H3430" i="1"/>
  <c r="H2087" i="1"/>
  <c r="H282" i="1"/>
  <c r="H2713" i="1"/>
  <c r="H2403" i="1"/>
  <c r="H1056" i="1"/>
  <c r="H2515" i="1"/>
  <c r="H1425" i="1"/>
  <c r="H76" i="1"/>
  <c r="H2834" i="1"/>
  <c r="H2706" i="1"/>
  <c r="H3278" i="1"/>
  <c r="H2441" i="1"/>
  <c r="H526" i="1"/>
  <c r="H346" i="1"/>
  <c r="H2235" i="1"/>
  <c r="H2464" i="1"/>
  <c r="H1851" i="1"/>
  <c r="H1551" i="1"/>
  <c r="H2044" i="1"/>
  <c r="H1932" i="1"/>
  <c r="H1164" i="1"/>
  <c r="H2010" i="1"/>
  <c r="H105" i="1"/>
  <c r="H2354" i="1"/>
  <c r="H1864" i="1"/>
  <c r="H5" i="1"/>
  <c r="H1911" i="1"/>
  <c r="H1143" i="1"/>
  <c r="H2110" i="1"/>
  <c r="H1071" i="1"/>
  <c r="H3407" i="1"/>
  <c r="H879" i="1"/>
  <c r="H3215" i="1"/>
  <c r="H3838" i="1"/>
  <c r="H610" i="1"/>
  <c r="H1117" i="1"/>
  <c r="H1773" i="1"/>
  <c r="H2133" i="1"/>
  <c r="H930" i="1"/>
  <c r="H2151" i="1"/>
  <c r="H2100" i="1"/>
  <c r="H3130" i="1"/>
  <c r="H2914" i="1"/>
  <c r="H2373" i="1"/>
  <c r="H957" i="1"/>
  <c r="H3057" i="1"/>
  <c r="H832" i="1"/>
  <c r="H290" i="1"/>
  <c r="H465" i="1"/>
  <c r="H1671" i="1"/>
  <c r="H1048" i="1"/>
  <c r="H3567" i="1"/>
  <c r="H1710" i="1"/>
  <c r="H2538" i="1"/>
  <c r="H2015" i="1"/>
  <c r="H523" i="1"/>
  <c r="H1906" i="1"/>
  <c r="H3284" i="1"/>
  <c r="H3783" i="1"/>
  <c r="H3748" i="1"/>
  <c r="H1028" i="1"/>
  <c r="H1568" i="1"/>
  <c r="H3686" i="1"/>
  <c r="H2540" i="1"/>
  <c r="H2531" i="1"/>
  <c r="H1995" i="1"/>
  <c r="H1695" i="1"/>
  <c r="H674" i="1"/>
  <c r="H3080" i="1"/>
  <c r="H3136" i="1"/>
  <c r="H814" i="1"/>
  <c r="H478" i="1"/>
  <c r="H935" i="1"/>
  <c r="H3127" i="1"/>
  <c r="H2693" i="1"/>
  <c r="H2396" i="1"/>
  <c r="H3061" i="1"/>
  <c r="H884" i="1"/>
  <c r="H1533" i="1"/>
  <c r="H2514" i="1"/>
  <c r="H805" i="1"/>
  <c r="H3798" i="1"/>
  <c r="H56" i="1"/>
  <c r="H1299" i="1"/>
  <c r="H2910" i="1"/>
  <c r="H2361" i="1"/>
  <c r="H987" i="1"/>
  <c r="H753" i="1"/>
  <c r="H970" i="1"/>
  <c r="H2377" i="1"/>
  <c r="H1400" i="1"/>
  <c r="H1779" i="1"/>
  <c r="H408" i="1"/>
  <c r="H856" i="1"/>
  <c r="H3642" i="1"/>
  <c r="H1067" i="1"/>
  <c r="H2083" i="1"/>
  <c r="H710" i="1"/>
  <c r="H2205" i="1"/>
  <c r="H1077" i="1"/>
  <c r="H159" i="1"/>
  <c r="H443" i="1"/>
  <c r="H117" i="1"/>
  <c r="H477" i="1"/>
  <c r="H1399" i="1"/>
  <c r="H3458" i="1"/>
  <c r="H1187" i="1"/>
  <c r="H1356" i="1"/>
  <c r="H1727" i="1"/>
  <c r="H493" i="1"/>
  <c r="H1799" i="1"/>
  <c r="H3319" i="1"/>
  <c r="H2061" i="1"/>
  <c r="H1273" i="1"/>
  <c r="H1928" i="1"/>
  <c r="H3795" i="1"/>
  <c r="H247" i="1"/>
  <c r="H2788" i="1"/>
  <c r="H2071" i="1"/>
  <c r="H1860" i="1"/>
  <c r="H1941" i="1"/>
  <c r="H800" i="1"/>
  <c r="H2194" i="1"/>
  <c r="H248" i="1"/>
  <c r="H322" i="1"/>
  <c r="H2334" i="1"/>
  <c r="H3374" i="1"/>
  <c r="H1035" i="1"/>
  <c r="H2896" i="1"/>
  <c r="H2450" i="1"/>
  <c r="H3555" i="1"/>
  <c r="H1259" i="1"/>
  <c r="H412" i="1"/>
  <c r="H2864" i="1"/>
  <c r="H415" i="1"/>
  <c r="H1027" i="1"/>
  <c r="H251" i="1"/>
  <c r="H2522" i="1"/>
  <c r="H1667" i="1"/>
  <c r="H143" i="1"/>
  <c r="H3777" i="1"/>
  <c r="H303" i="1"/>
  <c r="H1732" i="1"/>
  <c r="H483" i="1"/>
  <c r="H3436" i="1"/>
  <c r="H740" i="1"/>
  <c r="H1260" i="1"/>
  <c r="H550" i="1"/>
  <c r="H472" i="1"/>
  <c r="H2881" i="1"/>
  <c r="H843" i="1"/>
  <c r="H2439" i="1"/>
  <c r="H155" i="1"/>
  <c r="H1309" i="1"/>
  <c r="H324" i="1"/>
  <c r="H3631" i="1"/>
  <c r="H3137" i="1"/>
  <c r="H1170" i="1"/>
  <c r="H203" i="1"/>
  <c r="H1978" i="1"/>
  <c r="H1359" i="1"/>
  <c r="H1355" i="1"/>
  <c r="H3125" i="1"/>
  <c r="H174" i="1"/>
  <c r="H3833" i="1"/>
  <c r="H3488" i="1"/>
  <c r="H83" i="1"/>
  <c r="H1643" i="1"/>
  <c r="H1037" i="1"/>
  <c r="H3269" i="1"/>
  <c r="H2605" i="1"/>
  <c r="H2890" i="1"/>
  <c r="H2725" i="1"/>
  <c r="H2343" i="1"/>
  <c r="H441" i="1"/>
  <c r="H1235" i="1"/>
  <c r="H3143" i="1"/>
  <c r="H2139" i="1"/>
  <c r="H2990" i="1"/>
  <c r="H541" i="1"/>
  <c r="H2371" i="1"/>
  <c r="H3064" i="1"/>
  <c r="H274" i="1"/>
  <c r="H1438" i="1"/>
  <c r="H1666" i="1"/>
  <c r="H3408" i="1"/>
  <c r="H570" i="1"/>
  <c r="H3619" i="1"/>
  <c r="H259" i="1"/>
  <c r="H1375" i="1"/>
  <c r="H3051" i="1"/>
  <c r="H1353" i="1"/>
  <c r="H1434" i="1"/>
  <c r="H1492" i="1"/>
  <c r="H1206" i="1"/>
  <c r="H3121" i="1"/>
  <c r="H434" i="1"/>
  <c r="H1947" i="1"/>
  <c r="H3254" i="1"/>
  <c r="H2520" i="1"/>
  <c r="H1503" i="1"/>
  <c r="H337" i="1"/>
  <c r="H3665" i="1"/>
  <c r="H431" i="1"/>
  <c r="H2851" i="1"/>
  <c r="H1644" i="1"/>
  <c r="H9" i="1"/>
  <c r="H2846" i="1"/>
  <c r="H824" i="1"/>
  <c r="H979" i="1"/>
  <c r="H2776" i="1"/>
  <c r="H945" i="1"/>
  <c r="H2949" i="1"/>
  <c r="H2673" i="1"/>
  <c r="H1948" i="1"/>
  <c r="H2661" i="1"/>
  <c r="H739" i="1"/>
  <c r="H2962" i="1"/>
  <c r="H3168" i="1"/>
  <c r="H3587" i="1"/>
  <c r="H2338" i="1"/>
  <c r="H3651" i="1"/>
  <c r="H2090" i="1"/>
  <c r="H3097" i="1"/>
  <c r="H2676" i="1"/>
  <c r="H909" i="1"/>
  <c r="H1646" i="1"/>
  <c r="H1712" i="1"/>
  <c r="H3412" i="1"/>
  <c r="H2145" i="1"/>
  <c r="H619" i="1"/>
  <c r="H2737" i="1"/>
  <c r="H2889" i="1"/>
  <c r="H2580" i="1"/>
  <c r="H2155" i="1"/>
  <c r="H1242" i="1"/>
  <c r="H173" i="1"/>
  <c r="H3730" i="1"/>
  <c r="H135" i="1"/>
  <c r="H3688" i="1"/>
  <c r="H447" i="1"/>
  <c r="H2552" i="1"/>
  <c r="H2996" i="1"/>
  <c r="H2698" i="1"/>
  <c r="H3834" i="1"/>
  <c r="H2316" i="1"/>
  <c r="H2020" i="1"/>
  <c r="H373" i="1"/>
  <c r="H1859" i="1"/>
  <c r="H3712" i="1"/>
  <c r="H1391" i="1"/>
  <c r="H3762" i="1"/>
  <c r="H3248" i="1"/>
  <c r="H2262" i="1"/>
  <c r="H1430" i="1"/>
  <c r="H1946" i="1"/>
  <c r="H519" i="1"/>
  <c r="H817" i="1"/>
  <c r="H3154" i="1"/>
  <c r="H3554" i="1"/>
  <c r="H1898" i="1"/>
  <c r="H279" i="1"/>
  <c r="H2982" i="1"/>
  <c r="H980" i="1"/>
  <c r="H3076" i="1"/>
  <c r="H3768" i="1"/>
  <c r="H2326" i="1"/>
  <c r="H654" i="1"/>
  <c r="H3190" i="1"/>
  <c r="H206" i="1"/>
  <c r="H1016" i="1"/>
  <c r="H3760" i="1"/>
  <c r="H2096" i="1"/>
  <c r="H3516" i="1"/>
  <c r="H1261" i="1"/>
  <c r="H3582" i="1"/>
  <c r="H2065" i="1"/>
  <c r="H1525" i="1"/>
  <c r="H3839" i="1"/>
  <c r="H381" i="1"/>
  <c r="H901" i="1"/>
  <c r="H2293" i="1"/>
  <c r="H1238" i="1"/>
  <c r="H3096" i="1"/>
  <c r="H2273" i="1"/>
  <c r="H1967" i="1"/>
  <c r="H2115" i="1"/>
  <c r="H751" i="1"/>
  <c r="H779" i="1"/>
  <c r="H640" i="1"/>
  <c r="H1338" i="1"/>
  <c r="H614" i="1"/>
  <c r="H1910" i="1"/>
  <c r="H3256" i="1"/>
  <c r="H343" i="1"/>
  <c r="H220" i="1"/>
  <c r="H321" i="1"/>
  <c r="H3655" i="1"/>
  <c r="H893" i="1"/>
  <c r="H3512" i="1"/>
  <c r="H26" i="1"/>
  <c r="H2162" i="1"/>
  <c r="H1333" i="1"/>
  <c r="H3635" i="1"/>
  <c r="H1804" i="1"/>
  <c r="H698" i="1"/>
  <c r="H2443" i="1"/>
  <c r="H485" i="1"/>
  <c r="H3602" i="1"/>
  <c r="H2397" i="1"/>
  <c r="H154" i="1"/>
  <c r="H593" i="1"/>
  <c r="H529" i="1"/>
  <c r="H1757" i="1"/>
  <c r="H1843" i="1"/>
  <c r="H1738" i="1"/>
  <c r="H3596" i="1"/>
  <c r="H2217" i="1"/>
  <c r="H3761" i="1"/>
  <c r="H360" i="1"/>
  <c r="H1805" i="1"/>
  <c r="H301" i="1"/>
  <c r="H1541" i="1"/>
  <c r="H3789" i="1"/>
  <c r="H2777" i="1"/>
  <c r="H3603" i="1"/>
  <c r="H2025" i="1"/>
  <c r="H917" i="1"/>
  <c r="H1528" i="1"/>
  <c r="H3802" i="1"/>
  <c r="H2675" i="1"/>
  <c r="H2750" i="1"/>
  <c r="H2189" i="1"/>
  <c r="H1477" i="1"/>
  <c r="H2642" i="1"/>
  <c r="H2324" i="1"/>
  <c r="H233" i="1"/>
  <c r="H2035" i="1"/>
  <c r="H2138" i="1"/>
  <c r="H2724" i="1"/>
  <c r="H358" i="1"/>
  <c r="H1815" i="1"/>
  <c r="H676" i="1"/>
  <c r="H1839" i="1"/>
  <c r="H3469" i="1"/>
  <c r="H3352" i="1"/>
  <c r="H961" i="1"/>
  <c r="H3147" i="1"/>
  <c r="H3010" i="1"/>
  <c r="H768" i="1"/>
  <c r="H1577" i="1"/>
  <c r="H3513" i="1"/>
  <c r="H2275" i="1"/>
  <c r="H1091" i="1"/>
  <c r="H2215" i="1"/>
  <c r="H1656" i="1"/>
  <c r="H1789" i="1"/>
  <c r="H319" i="1"/>
  <c r="H1021" i="1"/>
  <c r="H2856" i="1"/>
  <c r="H1791" i="1"/>
  <c r="H3729" i="1"/>
  <c r="H781" i="1"/>
  <c r="H3570" i="1"/>
  <c r="H1265" i="1"/>
  <c r="H2276" i="1"/>
  <c r="H185" i="1"/>
  <c r="H167" i="1"/>
  <c r="H2312" i="1"/>
  <c r="H1685" i="1"/>
  <c r="H2237" i="1"/>
  <c r="H3375" i="1"/>
  <c r="H1409" i="1"/>
  <c r="H2172" i="1"/>
  <c r="H3749" i="1"/>
  <c r="H2114" i="1"/>
  <c r="H1527" i="1"/>
  <c r="H2056" i="1"/>
  <c r="H91" i="1"/>
  <c r="H904" i="1"/>
  <c r="H1408" i="1"/>
  <c r="H660" i="1"/>
  <c r="H417" i="1"/>
  <c r="H162" i="1"/>
  <c r="H2801" i="1"/>
  <c r="H1999" i="1"/>
  <c r="H3790" i="1"/>
  <c r="H2165" i="1"/>
  <c r="H58" i="1"/>
  <c r="H2072" i="1"/>
  <c r="H1775" i="1"/>
  <c r="H3613" i="1"/>
  <c r="H3605" i="1"/>
  <c r="H931" i="1"/>
  <c r="H3303" i="1"/>
  <c r="H2291" i="1"/>
  <c r="H1449" i="1"/>
  <c r="H37" i="1"/>
  <c r="H2795" i="1"/>
  <c r="H1896" i="1"/>
  <c r="H3754" i="1"/>
  <c r="H2867" i="1"/>
  <c r="H1958" i="1"/>
  <c r="H2394" i="1"/>
  <c r="H1294" i="1"/>
  <c r="H1058" i="1"/>
  <c r="H2528" i="1"/>
  <c r="H828" i="1"/>
  <c r="H3803" i="1"/>
  <c r="H1241" i="1"/>
  <c r="H1087" i="1"/>
  <c r="H2727" i="1"/>
  <c r="H3124" i="1"/>
  <c r="H3737" i="1"/>
  <c r="H2141" i="1"/>
  <c r="H2822" i="1"/>
  <c r="H3102" i="1"/>
  <c r="H3187" i="1"/>
  <c r="H2230" i="1"/>
  <c r="H2311" i="1"/>
  <c r="H955" i="1"/>
  <c r="H2830" i="1"/>
  <c r="H3827" i="1"/>
  <c r="H1388" i="1"/>
  <c r="H3174" i="1"/>
  <c r="H190" i="1"/>
  <c r="H123" i="1"/>
  <c r="H287" i="1"/>
  <c r="H1418" i="1"/>
  <c r="H1052" i="1"/>
  <c r="H1263" i="1"/>
  <c r="H2741" i="1"/>
  <c r="H2146" i="1"/>
  <c r="H27" i="1"/>
  <c r="H31" i="1"/>
  <c r="H2556" i="1"/>
  <c r="H2191" i="1"/>
  <c r="H1387" i="1"/>
  <c r="H2745" i="1"/>
  <c r="H611" i="1"/>
  <c r="H863" i="1"/>
  <c r="H3782" i="1"/>
  <c r="H2810" i="1"/>
  <c r="H2407" i="1"/>
  <c r="H275" i="1"/>
  <c r="H548" i="1"/>
  <c r="H473" i="1"/>
  <c r="H736" i="1"/>
  <c r="H85" i="1"/>
  <c r="H3128" i="1"/>
  <c r="H3050" i="1"/>
  <c r="H520" i="1"/>
  <c r="H3258" i="1"/>
  <c r="H3545" i="1"/>
  <c r="H3672" i="1"/>
  <c r="H3234" i="1"/>
  <c r="H827" i="1"/>
  <c r="H1404" i="1"/>
  <c r="H142" i="1"/>
  <c r="H2633" i="1"/>
  <c r="H111" i="1"/>
  <c r="H1845" i="1"/>
  <c r="H932" i="1"/>
  <c r="H2662" i="1"/>
  <c r="H1888" i="1"/>
  <c r="H1302" i="1"/>
  <c r="H1631" i="1"/>
  <c r="H178" i="1"/>
  <c r="H3205" i="1"/>
  <c r="H2967" i="1"/>
  <c r="H2568" i="1"/>
  <c r="H2658" i="1"/>
  <c r="H3065" i="1"/>
  <c r="H2225" i="1"/>
  <c r="H2857" i="1"/>
  <c r="H3508" i="1"/>
  <c r="H2384" i="1"/>
  <c r="H3420" i="1"/>
  <c r="H964" i="1"/>
  <c r="H3117" i="1"/>
  <c r="H2798" i="1"/>
  <c r="H1247" i="1"/>
  <c r="H2537" i="1"/>
  <c r="H1744" i="1"/>
  <c r="H24" i="1"/>
  <c r="H2589" i="1"/>
  <c r="H330" i="1"/>
  <c r="H3615" i="1"/>
  <c r="H1949" i="1"/>
  <c r="H3593" i="1"/>
  <c r="H1889" i="1"/>
  <c r="H2596" i="1"/>
  <c r="H1951" i="1"/>
  <c r="H3689" i="1"/>
  <c r="H2430" i="1"/>
  <c r="H1870" i="1"/>
  <c r="H2901" i="1"/>
  <c r="H691" i="1"/>
  <c r="H2223" i="1"/>
  <c r="H2664" i="1"/>
  <c r="H53" i="1"/>
  <c r="H3191" i="1"/>
  <c r="H1927" i="1"/>
  <c r="H3091" i="1"/>
  <c r="H3207" i="1"/>
  <c r="H3843" i="1"/>
  <c r="H23" i="1"/>
  <c r="H870" i="1"/>
  <c r="H1426" i="1"/>
  <c r="H496" i="1"/>
  <c r="H3743" i="1"/>
  <c r="H1145" i="1"/>
  <c r="H2426" i="1"/>
  <c r="H2102" i="1"/>
  <c r="H1707" i="1"/>
  <c r="H1534" i="1"/>
  <c r="H1827" i="1"/>
  <c r="H404" i="1"/>
  <c r="H224" i="1"/>
  <c r="H124" i="1"/>
  <c r="H3388" i="1"/>
  <c r="H22" i="1"/>
  <c r="H642" i="1"/>
  <c r="H3345" i="1"/>
  <c r="H2224" i="1"/>
  <c r="H562" i="1"/>
  <c r="H783" i="1"/>
  <c r="H3069" i="1"/>
  <c r="H8" i="1"/>
  <c r="H2186" i="1"/>
  <c r="H812" i="1"/>
  <c r="H1817" i="1"/>
  <c r="H860" i="1"/>
  <c r="H464" i="1"/>
  <c r="H1324" i="1"/>
  <c r="H1602" i="1"/>
  <c r="H1735" i="1"/>
  <c r="H181" i="1"/>
  <c r="H1024" i="1"/>
  <c r="H3032" i="1"/>
  <c r="H1636" i="1"/>
  <c r="H2640" i="1"/>
  <c r="H2258" i="1"/>
  <c r="H729" i="1"/>
  <c r="H2794" i="1"/>
  <c r="H1726" i="1"/>
  <c r="H1225" i="1"/>
  <c r="H2650" i="1"/>
  <c r="H717" i="1"/>
  <c r="H28" i="1"/>
  <c r="H2956" i="1"/>
  <c r="H1605" i="1"/>
  <c r="H803" i="1"/>
  <c r="H2529" i="1"/>
  <c r="H889" i="1"/>
  <c r="H1109" i="1"/>
  <c r="H1229" i="1"/>
  <c r="H3202" i="1"/>
  <c r="H1270" i="1"/>
  <c r="H746" i="1"/>
  <c r="H2941" i="1"/>
  <c r="H2468" i="1"/>
  <c r="H983" i="1"/>
  <c r="H30" i="1"/>
  <c r="H2106" i="1"/>
  <c r="H3590" i="1"/>
  <c r="H810" i="1"/>
  <c r="H2299" i="1"/>
  <c r="H2820" i="1"/>
  <c r="H557" i="1"/>
  <c r="H1463" i="1"/>
  <c r="H3747" i="1"/>
  <c r="H2477" i="1"/>
  <c r="H1318" i="1"/>
  <c r="H2509" i="1"/>
  <c r="H1061" i="1"/>
  <c r="H1345" i="1"/>
  <c r="H116" i="1"/>
  <c r="H522" i="1"/>
  <c r="H727" i="1"/>
  <c r="H811" i="1"/>
  <c r="H2995" i="1"/>
  <c r="H624" i="1"/>
  <c r="H2079" i="1"/>
  <c r="H743" i="1"/>
  <c r="H1942" i="1"/>
  <c r="H968" i="1"/>
  <c r="H1347" i="1"/>
  <c r="H456" i="1"/>
  <c r="H3394" i="1"/>
  <c r="H3831" i="1"/>
  <c r="H3700" i="1"/>
  <c r="H780" i="1"/>
  <c r="H3232" i="1"/>
  <c r="H3312" i="1"/>
  <c r="H2769" i="1"/>
  <c r="H1307" i="1"/>
  <c r="H3173" i="1"/>
  <c r="H238" i="1"/>
  <c r="H2219" i="1"/>
  <c r="H369" i="1"/>
  <c r="H1993" i="1"/>
  <c r="H213" i="1"/>
  <c r="H61" i="1"/>
  <c r="H171" i="1"/>
  <c r="H600" i="1"/>
  <c r="H829" i="1"/>
  <c r="H3810" i="1"/>
  <c r="H2678" i="1"/>
  <c r="H3678" i="1"/>
  <c r="H561" i="1"/>
  <c r="H2085" i="1"/>
  <c r="H370" i="1"/>
  <c r="H2404" i="1"/>
  <c r="H3633" i="1"/>
  <c r="H246" i="1"/>
  <c r="H1167" i="1"/>
  <c r="H3757" i="1"/>
  <c r="H2119" i="1"/>
  <c r="H894" i="1"/>
  <c r="H3309" i="1"/>
  <c r="H1363" i="1"/>
  <c r="H1163" i="1"/>
  <c r="H1502" i="1"/>
  <c r="H1627" i="1"/>
  <c r="H2950" i="1"/>
  <c r="H427" i="1"/>
  <c r="H1401" i="1"/>
  <c r="H460" i="1"/>
  <c r="H3718" i="1"/>
  <c r="H2733" i="1"/>
  <c r="H2152" i="1"/>
  <c r="H1984" i="1"/>
  <c r="H3410" i="1"/>
  <c r="H210" i="1"/>
  <c r="H838" i="1"/>
  <c r="H3237" i="1"/>
  <c r="H1747" i="1"/>
  <c r="H2260" i="1"/>
  <c r="H936" i="1"/>
  <c r="H2527" i="1"/>
  <c r="H1129" i="1"/>
  <c r="H2696" i="1"/>
  <c r="H2497" i="1"/>
  <c r="H1600" i="1"/>
  <c r="H3316" i="1"/>
  <c r="H1596" i="1"/>
  <c r="H1655" i="1"/>
  <c r="H2628" i="1"/>
  <c r="H2247" i="1"/>
  <c r="H509" i="1"/>
  <c r="H3526" i="1"/>
  <c r="H1900" i="1"/>
  <c r="H3029" i="1"/>
  <c r="H2180" i="1"/>
  <c r="H3343" i="1"/>
  <c r="H1998" i="1"/>
  <c r="H645" i="1"/>
  <c r="H1992" i="1"/>
  <c r="H3850" i="1"/>
  <c r="H2159" i="1"/>
  <c r="H175" i="1"/>
  <c r="H2766" i="1"/>
  <c r="H3047" i="1"/>
  <c r="H604" i="1"/>
  <c r="H833" i="1"/>
  <c r="H2742" i="1"/>
  <c r="H1546" i="1"/>
  <c r="H3563" i="1"/>
  <c r="H77" i="1"/>
  <c r="H706" i="1"/>
  <c r="H2700" i="1"/>
  <c r="H940" i="1"/>
  <c r="H1370" i="1"/>
  <c r="H420" i="1"/>
  <c r="H615" i="1"/>
  <c r="H1202" i="1"/>
  <c r="H1283" i="1"/>
  <c r="H1802" i="1"/>
  <c r="H2289" i="1"/>
  <c r="H908" i="1"/>
  <c r="H3501" i="1"/>
  <c r="H3425" i="1"/>
  <c r="H2703" i="1"/>
  <c r="H1569" i="1"/>
  <c r="H3140" i="1"/>
  <c r="H1367" i="1"/>
  <c r="H3576" i="1"/>
  <c r="H1736" i="1"/>
  <c r="H2302" i="1"/>
  <c r="H2498" i="1"/>
  <c r="H1174" i="1"/>
  <c r="H2550" i="1"/>
  <c r="H363" i="1"/>
  <c r="H292" i="1"/>
  <c r="H502" i="1"/>
  <c r="H2195" i="1"/>
  <c r="H1098" i="1"/>
  <c r="H2622" i="1"/>
  <c r="H2784" i="1"/>
  <c r="H2064" i="1"/>
  <c r="H3131" i="1"/>
  <c r="H921" i="1"/>
  <c r="H329" i="1"/>
  <c r="H655" i="1"/>
  <c r="H354" i="1"/>
  <c r="H2156" i="1"/>
  <c r="H2265" i="1"/>
  <c r="H1458" i="1"/>
  <c r="H1601" i="1"/>
  <c r="H1840" i="1"/>
  <c r="H1731" i="1"/>
  <c r="H882" i="1"/>
  <c r="H2667" i="1"/>
  <c r="H1957" i="1"/>
  <c r="H1151" i="1"/>
  <c r="H1678" i="1"/>
  <c r="H265" i="1"/>
  <c r="H551" i="1"/>
  <c r="H1011" i="1"/>
  <c r="H907" i="1"/>
  <c r="H393" i="1"/>
  <c r="H300" i="1"/>
  <c r="H2904" i="1"/>
  <c r="H996" i="1"/>
  <c r="H1125" i="1"/>
  <c r="H2770" i="1"/>
  <c r="H2449" i="1"/>
  <c r="H3679" i="1"/>
  <c r="H2491" i="1"/>
  <c r="H530" i="1"/>
  <c r="H2897" i="1"/>
  <c r="H1060" i="1"/>
  <c r="H864" i="1"/>
  <c r="H201" i="1"/>
  <c r="H3331" i="1"/>
  <c r="H2581" i="1"/>
  <c r="H3040" i="1"/>
  <c r="H3532" i="1"/>
  <c r="H1341" i="1"/>
  <c r="H1001" i="1"/>
  <c r="H707" i="1"/>
  <c r="H3324" i="1"/>
  <c r="H1686" i="1"/>
  <c r="H759" i="1"/>
  <c r="H2412" i="1"/>
  <c r="H395" i="1"/>
  <c r="H2288" i="1"/>
  <c r="H629" i="1"/>
  <c r="H1522" i="1"/>
  <c r="H2689" i="1"/>
  <c r="H756" i="1"/>
  <c r="H2454" i="1"/>
  <c r="H411" i="1"/>
  <c r="H3444" i="1"/>
  <c r="H2251" i="1"/>
  <c r="H3265" i="1"/>
  <c r="H3030" i="1"/>
  <c r="H2931" i="1"/>
  <c r="H463" i="1"/>
  <c r="H2436" i="1"/>
  <c r="H3072" i="1"/>
  <c r="H439" i="1"/>
  <c r="H1308" i="1"/>
  <c r="H1856" i="1"/>
  <c r="H1823" i="1"/>
  <c r="H1962" i="1"/>
  <c r="H3416" i="1"/>
  <c r="H2030" i="1"/>
  <c r="H1549" i="1"/>
  <c r="H1869" i="1"/>
  <c r="H3450" i="1"/>
  <c r="H2629" i="1"/>
  <c r="H1987" i="1"/>
  <c r="H491" i="1"/>
  <c r="H3231" i="1"/>
  <c r="H1561" i="1"/>
  <c r="H3224" i="1"/>
  <c r="H3300" i="1"/>
  <c r="H1452" i="1"/>
  <c r="H2989" i="1"/>
  <c r="H444" i="1"/>
  <c r="H1756" i="1"/>
  <c r="H3467" i="1"/>
  <c r="H1876" i="1"/>
  <c r="H2919" i="1"/>
  <c r="H1635" i="1"/>
  <c r="H2210" i="1"/>
  <c r="H1750" i="1"/>
  <c r="H2174" i="1"/>
  <c r="H66" i="1"/>
  <c r="H3531" i="1"/>
  <c r="H3575" i="1"/>
  <c r="H2178" i="1"/>
  <c r="H2060" i="1"/>
  <c r="H1517" i="1"/>
  <c r="H2563" i="1"/>
  <c r="H3159" i="1"/>
  <c r="H2618" i="1"/>
  <c r="H586" i="1"/>
  <c r="H868" i="1"/>
  <c r="H269" i="1"/>
  <c r="H19" i="1"/>
  <c r="H3693" i="1"/>
  <c r="H396" i="1"/>
  <c r="H2647" i="1"/>
  <c r="H3281" i="1"/>
  <c r="H510" i="1"/>
  <c r="H2163" i="1"/>
  <c r="H3088" i="1"/>
  <c r="H2966" i="1"/>
  <c r="H2019" i="1"/>
  <c r="H3618" i="1"/>
  <c r="H192" i="1"/>
  <c r="H2016" i="1"/>
  <c r="H591" i="1"/>
  <c r="H170" i="1"/>
  <c r="H774" i="1"/>
  <c r="H1253" i="1"/>
  <c r="H3495" i="1"/>
  <c r="H1304" i="1"/>
  <c r="H349" i="1"/>
  <c r="H3805" i="1"/>
  <c r="H672" i="1"/>
  <c r="H3537" i="1"/>
  <c r="H1688" i="1"/>
  <c r="H3201" i="1"/>
  <c r="H1466" i="1"/>
  <c r="H3734" i="1"/>
  <c r="H3681" i="1"/>
  <c r="H1728" i="1"/>
  <c r="H3794" i="1"/>
  <c r="H425" i="1"/>
  <c r="H735" i="1"/>
  <c r="H3616" i="1"/>
  <c r="H3667" i="1"/>
  <c r="H571" i="1"/>
  <c r="H2976" i="1"/>
  <c r="H261" i="1"/>
  <c r="H3553" i="1"/>
  <c r="H280" i="1"/>
  <c r="H1020" i="1"/>
  <c r="H694" i="1"/>
  <c r="H3548" i="1"/>
  <c r="H3135" i="1"/>
  <c r="H3644" i="1"/>
  <c r="H699" i="1"/>
  <c r="H3738" i="1"/>
  <c r="H151" i="1"/>
  <c r="H1884" i="1"/>
  <c r="H2760" i="1"/>
  <c r="H1243" i="1"/>
  <c r="H3311" i="1"/>
  <c r="H2920" i="1"/>
  <c r="H874" i="1"/>
  <c r="H1192" i="1"/>
  <c r="H2318" i="1"/>
  <c r="H1173" i="1"/>
  <c r="H2461" i="1"/>
  <c r="H2543" i="1"/>
  <c r="H1529" i="1"/>
  <c r="H3835" i="1"/>
  <c r="H3122" i="1"/>
  <c r="H1155" i="1"/>
  <c r="H2871" i="1"/>
  <c r="H2714" i="1"/>
  <c r="H1218" i="1"/>
  <c r="H331" i="1"/>
  <c r="H3770" i="1"/>
  <c r="H1406" i="1"/>
  <c r="H3746" i="1"/>
  <c r="H421" i="1"/>
  <c r="H1913" i="1"/>
  <c r="H1471" i="1"/>
  <c r="H3304" i="1"/>
  <c r="H3474" i="1"/>
  <c r="H2877" i="1"/>
  <c r="H1935" i="1"/>
  <c r="H1217" i="1"/>
  <c r="H471" i="1"/>
  <c r="H276" i="1"/>
  <c r="H3475" i="1"/>
  <c r="H2836" i="1"/>
  <c r="H340" i="1"/>
  <c r="H652" i="1"/>
  <c r="H869" i="1"/>
  <c r="H1880" i="1"/>
  <c r="H2452" i="1"/>
  <c r="H2591" i="1"/>
  <c r="H2547" i="1"/>
  <c r="H656" i="1"/>
  <c r="H3476" i="1"/>
  <c r="H3302" i="1"/>
  <c r="H2263" i="1"/>
  <c r="H822" i="1"/>
  <c r="MX16" i="6"/>
  <c r="MS16" i="6"/>
  <c r="MI16" i="6"/>
  <c r="MF16" i="6"/>
  <c r="MD16" i="6"/>
  <c r="MC16" i="6"/>
  <c r="MB16" i="6"/>
  <c r="LY16" i="6"/>
  <c r="LT16" i="6"/>
  <c r="LR16" i="6"/>
  <c r="LO16" i="6"/>
  <c r="LN16" i="6"/>
  <c r="LM16" i="6"/>
  <c r="LL16" i="6"/>
  <c r="LJ16" i="6"/>
  <c r="LH16" i="6"/>
  <c r="LF16" i="6"/>
  <c r="LE16" i="6"/>
  <c r="LA16" i="6"/>
  <c r="KZ16" i="6"/>
  <c r="KY16" i="6"/>
  <c r="KX16" i="6"/>
  <c r="KV16" i="6"/>
  <c r="KU16" i="6"/>
  <c r="KS16" i="6"/>
  <c r="KQ16" i="6"/>
  <c r="KP16" i="6"/>
  <c r="KL16" i="6"/>
  <c r="KJ16" i="6"/>
  <c r="KF16" i="6"/>
  <c r="KE16" i="6"/>
  <c r="KA16" i="6"/>
  <c r="JW16" i="6"/>
  <c r="JV16" i="6"/>
  <c r="JS16" i="6"/>
  <c r="JM16" i="6"/>
  <c r="JH16" i="6"/>
  <c r="JD16" i="6"/>
  <c r="JB16" i="6"/>
  <c r="IS16" i="6"/>
  <c r="IQ16" i="6"/>
  <c r="IN16" i="6"/>
  <c r="II16" i="6"/>
  <c r="IE16" i="6"/>
  <c r="IB16" i="6"/>
  <c r="HV16" i="6"/>
  <c r="HS16" i="6"/>
  <c r="HC16" i="6"/>
  <c r="GP16" i="6"/>
  <c r="GK16" i="6"/>
  <c r="FK16" i="6"/>
  <c r="FF16" i="6"/>
  <c r="FA16" i="6"/>
  <c r="EQ16" i="6"/>
  <c r="EH16" i="6"/>
  <c r="EC16" i="6"/>
  <c r="EB16" i="6"/>
  <c r="DW16" i="6"/>
  <c r="DU16" i="6"/>
  <c r="DH16" i="6"/>
  <c r="DC16" i="6"/>
  <c r="CY16" i="6"/>
  <c r="BY16" i="6"/>
  <c r="BO16" i="6"/>
  <c r="BA16" i="6"/>
  <c r="AX16" i="6"/>
  <c r="AJ16" i="6"/>
  <c r="AI16" i="6"/>
  <c r="AB16" i="6"/>
  <c r="X16" i="6"/>
  <c r="W16" i="6"/>
  <c r="U16" i="6"/>
  <c r="R16" i="6"/>
  <c r="N16" i="6"/>
  <c r="M16" i="6"/>
  <c r="H16" i="6"/>
  <c r="D16" i="6"/>
  <c r="MX15" i="6"/>
  <c r="MT15" i="6"/>
  <c r="MS15" i="6"/>
  <c r="MO15" i="6"/>
  <c r="MN15" i="6"/>
  <c r="MJ15" i="6"/>
  <c r="MI15" i="6"/>
  <c r="MF15" i="6"/>
  <c r="MD15" i="6"/>
  <c r="LZ15" i="6"/>
  <c r="LY15" i="6"/>
  <c r="LU15" i="6"/>
  <c r="LS15" i="6"/>
  <c r="LP15" i="6"/>
  <c r="LO15" i="6"/>
  <c r="LK15" i="6"/>
  <c r="LF15" i="6"/>
  <c r="LA15" i="6"/>
  <c r="KZ15" i="6"/>
  <c r="KY15" i="6"/>
  <c r="KW15" i="6"/>
  <c r="KV15" i="6"/>
  <c r="KU15" i="6"/>
  <c r="KT15" i="6"/>
  <c r="KS15" i="6"/>
  <c r="KR15" i="6"/>
  <c r="KQ15" i="6"/>
  <c r="MT14" i="6"/>
  <c r="MS14" i="6"/>
  <c r="MO14" i="6"/>
  <c r="MN14" i="6"/>
  <c r="MJ14" i="6"/>
  <c r="MI14" i="6"/>
  <c r="MH14" i="6"/>
  <c r="ME14" i="6"/>
  <c r="MD14" i="6"/>
  <c r="LY14" i="6"/>
  <c r="LW14" i="6"/>
  <c r="LV14" i="6"/>
  <c r="LU14" i="6"/>
  <c r="LT14" i="6"/>
  <c r="LP14" i="6"/>
  <c r="LO14" i="6"/>
  <c r="LK14" i="6"/>
  <c r="LJ14" i="6"/>
  <c r="LF14" i="6"/>
  <c r="LE14" i="6"/>
  <c r="LA14" i="6"/>
  <c r="KZ14" i="6"/>
  <c r="KV14" i="6"/>
  <c r="KU14" i="6"/>
  <c r="KS14" i="6"/>
  <c r="KR14" i="6"/>
  <c r="KL14" i="6"/>
  <c r="KK14" i="6"/>
  <c r="KG14" i="6"/>
  <c r="KB14" i="6"/>
  <c r="JT14" i="6"/>
  <c r="JR14" i="6"/>
  <c r="JQ14" i="6"/>
  <c r="JP14" i="6"/>
  <c r="JO14" i="6"/>
  <c r="JN14" i="6"/>
  <c r="JM14" i="6"/>
  <c r="JL14" i="6"/>
  <c r="JK14" i="6"/>
  <c r="JG14" i="6"/>
  <c r="JC14" i="6"/>
  <c r="JB14" i="6"/>
  <c r="IZ14" i="6"/>
  <c r="IX14" i="6"/>
  <c r="IW14" i="6"/>
  <c r="IV14" i="6"/>
  <c r="IU14" i="6"/>
  <c r="IS14" i="6"/>
  <c r="IR14" i="6"/>
  <c r="IO14" i="6"/>
  <c r="IM14" i="6"/>
  <c r="IG14" i="6"/>
  <c r="ID14" i="6"/>
  <c r="HR14" i="6"/>
  <c r="HP14" i="6"/>
  <c r="HN14" i="6"/>
  <c r="HL14" i="6"/>
  <c r="HK14" i="6"/>
  <c r="HJ14" i="6"/>
  <c r="HG14" i="6"/>
  <c r="HC14" i="6"/>
  <c r="HB14" i="6"/>
  <c r="HA14" i="6"/>
  <c r="GZ14" i="6"/>
  <c r="GY14" i="6"/>
  <c r="GT14" i="6"/>
  <c r="FZ14" i="6"/>
  <c r="FU14" i="6"/>
  <c r="FS14" i="6"/>
  <c r="FP14" i="6"/>
  <c r="FK14" i="6"/>
  <c r="FF14" i="6"/>
  <c r="FA14" i="6"/>
  <c r="EQ14" i="6"/>
  <c r="EG14" i="6"/>
  <c r="EB14" i="6"/>
  <c r="DW14" i="6"/>
  <c r="DM14" i="6"/>
  <c r="DH14" i="6"/>
  <c r="DC14" i="6"/>
  <c r="CX14" i="6"/>
  <c r="CS14" i="6"/>
  <c r="CN14" i="6"/>
  <c r="CI14" i="6"/>
  <c r="CD14" i="6"/>
  <c r="BY14" i="6"/>
  <c r="BT14" i="6"/>
  <c r="BM14" i="6"/>
  <c r="BJ14" i="6"/>
  <c r="AY14" i="6"/>
  <c r="AT14" i="6"/>
  <c r="AN14" i="6"/>
  <c r="U14" i="6"/>
  <c r="K14" i="6"/>
  <c r="MX13" i="6"/>
  <c r="MS13" i="6"/>
  <c r="MH13" i="6"/>
  <c r="MD13" i="6"/>
  <c r="LY13" i="6"/>
  <c r="LX13" i="6"/>
  <c r="LV13" i="6"/>
  <c r="LT13" i="6"/>
  <c r="LS13" i="6"/>
  <c r="LO13" i="6"/>
  <c r="LN13" i="6"/>
  <c r="LL13" i="6"/>
  <c r="LI13" i="6"/>
  <c r="LH13" i="6"/>
  <c r="LB13" i="6"/>
  <c r="LA13" i="6"/>
  <c r="KY13" i="6"/>
  <c r="KX13" i="6"/>
  <c r="KV13" i="6"/>
  <c r="KU13" i="6"/>
  <c r="KR13" i="6"/>
  <c r="KP13" i="6"/>
  <c r="KO13" i="6"/>
  <c r="KK13" i="6"/>
  <c r="KF13" i="6"/>
  <c r="KE13" i="6"/>
  <c r="KA13" i="6"/>
  <c r="JV13" i="6"/>
  <c r="JU13" i="6"/>
  <c r="JT13" i="6"/>
  <c r="JQ13" i="6"/>
  <c r="JM13" i="6"/>
  <c r="JL13" i="6"/>
  <c r="JK13" i="6"/>
  <c r="JH13" i="6"/>
  <c r="JG13" i="6"/>
  <c r="JF13" i="6"/>
  <c r="JE13" i="6"/>
  <c r="JB13" i="6"/>
  <c r="IW13" i="6"/>
  <c r="IR13" i="6"/>
  <c r="IM13" i="6"/>
  <c r="IF13" i="6"/>
  <c r="IE13" i="6"/>
  <c r="HY13" i="6"/>
  <c r="HX13" i="6"/>
  <c r="HT13" i="6"/>
  <c r="HD13" i="6"/>
  <c r="GR13" i="6"/>
  <c r="GO13" i="6"/>
  <c r="GH13" i="6"/>
  <c r="GE13" i="6"/>
  <c r="GC13" i="6"/>
  <c r="FY13" i="6"/>
  <c r="FV13" i="6"/>
  <c r="FU13" i="6"/>
  <c r="EG13" i="6"/>
  <c r="DW13" i="6"/>
  <c r="DR13" i="6"/>
  <c r="DM13" i="6"/>
  <c r="DH13" i="6"/>
  <c r="DC13" i="6"/>
  <c r="CZ13" i="6"/>
  <c r="CY13" i="6"/>
  <c r="CX13" i="6"/>
  <c r="CS13" i="6"/>
  <c r="CR13" i="6"/>
  <c r="BS13" i="6"/>
  <c r="BQ13" i="6"/>
  <c r="BG13" i="6"/>
  <c r="AW13" i="6"/>
  <c r="AI13" i="6"/>
  <c r="AG13" i="6"/>
  <c r="I13" i="6"/>
  <c r="E13" i="6"/>
  <c r="MX12" i="6"/>
  <c r="MT12" i="6"/>
  <c r="MS12" i="6"/>
  <c r="MO12" i="6"/>
  <c r="MN12" i="6"/>
  <c r="MM12" i="6"/>
  <c r="ML12" i="6"/>
  <c r="MJ12" i="6"/>
  <c r="MI12" i="6"/>
  <c r="MH12" i="6"/>
  <c r="MG12" i="6"/>
  <c r="MF12" i="6"/>
  <c r="ME12" i="6"/>
  <c r="MD12" i="6"/>
  <c r="MC12" i="6"/>
  <c r="MA12" i="6"/>
  <c r="LY12" i="6"/>
  <c r="LT12" i="6"/>
  <c r="LQ12" i="6"/>
  <c r="LO12" i="6"/>
  <c r="LM12" i="6"/>
  <c r="LJ12" i="6"/>
  <c r="LI12" i="6"/>
  <c r="LD12" i="6"/>
  <c r="LB12" i="6"/>
  <c r="LA12" i="6"/>
  <c r="KT12" i="6"/>
  <c r="KS12" i="6"/>
  <c r="KP12" i="6"/>
  <c r="KA12" i="6"/>
  <c r="JW12" i="6"/>
  <c r="JQ12" i="6"/>
  <c r="JG12" i="6"/>
  <c r="JF12" i="6"/>
  <c r="IO12" i="6"/>
  <c r="MO11" i="6"/>
  <c r="MK11" i="6"/>
  <c r="MJ11" i="6"/>
  <c r="MG11" i="6"/>
  <c r="ME11" i="6"/>
  <c r="LZ11" i="6"/>
  <c r="LY11" i="6"/>
  <c r="LU11" i="6"/>
  <c r="LT11" i="6"/>
  <c r="LS11" i="6"/>
  <c r="LP11" i="6"/>
  <c r="LO11" i="6"/>
  <c r="LM11" i="6"/>
  <c r="LL11" i="6"/>
  <c r="LJ11" i="6"/>
  <c r="LG11" i="6"/>
  <c r="LF11" i="6"/>
  <c r="LD11" i="6"/>
  <c r="LC11" i="6"/>
  <c r="LA11" i="6"/>
  <c r="KY11" i="6"/>
  <c r="KW11" i="6"/>
  <c r="KV11" i="6"/>
  <c r="KU11" i="6"/>
  <c r="KQ11" i="6"/>
  <c r="KP11" i="6"/>
  <c r="KN11" i="6"/>
  <c r="KL11" i="6"/>
  <c r="KK11" i="6"/>
  <c r="KF11" i="6"/>
  <c r="KB11" i="6"/>
  <c r="KA11" i="6"/>
  <c r="JW11" i="6"/>
  <c r="JU11" i="6"/>
  <c r="JR11" i="6"/>
  <c r="JO11" i="6"/>
  <c r="JN11" i="6"/>
  <c r="JM11" i="6"/>
  <c r="JC11" i="6"/>
  <c r="IS11" i="6"/>
  <c r="IR11" i="6"/>
  <c r="IN11" i="6"/>
  <c r="IM11" i="6"/>
  <c r="IL11" i="6"/>
  <c r="II11" i="6"/>
  <c r="IF11" i="6"/>
  <c r="ID11" i="6"/>
  <c r="IA11" i="6"/>
  <c r="HY11" i="6"/>
  <c r="HT11" i="6"/>
  <c r="HS11" i="6"/>
  <c r="HO11" i="6"/>
  <c r="HN11" i="6"/>
  <c r="HJ11" i="6"/>
  <c r="HI11" i="6"/>
  <c r="HE11" i="6"/>
  <c r="HD11" i="6"/>
  <c r="HB11" i="6"/>
  <c r="GZ11" i="6"/>
  <c r="GY11" i="6"/>
  <c r="GU11" i="6"/>
  <c r="GT11" i="6"/>
  <c r="GO11" i="6"/>
  <c r="GK11" i="6"/>
  <c r="GJ11" i="6"/>
  <c r="GE11" i="6"/>
  <c r="GB11" i="6"/>
  <c r="FX11" i="6"/>
  <c r="FU11" i="6"/>
  <c r="FL11" i="6"/>
  <c r="FK11" i="6"/>
  <c r="FF11" i="6"/>
  <c r="FA11" i="6"/>
  <c r="EQ11" i="6"/>
  <c r="EM11" i="6"/>
  <c r="EK11" i="6"/>
  <c r="EJ11" i="6"/>
  <c r="EI11" i="6"/>
  <c r="EH11" i="6"/>
  <c r="EG11" i="6"/>
  <c r="EF11" i="6"/>
  <c r="EE11" i="6"/>
  <c r="EB11" i="6"/>
  <c r="DW11" i="6"/>
  <c r="DR11" i="6"/>
  <c r="DM11" i="6"/>
  <c r="DJ11" i="6"/>
  <c r="DH11" i="6"/>
  <c r="DD11" i="6"/>
  <c r="DC11" i="6"/>
  <c r="CY11" i="6"/>
  <c r="CM11" i="6"/>
  <c r="BX11" i="6"/>
  <c r="BI11" i="6"/>
  <c r="BG11" i="6"/>
  <c r="BD11" i="6"/>
  <c r="BC11" i="6"/>
  <c r="AW11" i="6"/>
  <c r="AT11" i="6"/>
  <c r="AR11" i="6"/>
  <c r="AO11" i="6"/>
  <c r="AJ11" i="6"/>
  <c r="AE11" i="6"/>
  <c r="AB11" i="6"/>
  <c r="Y11" i="6"/>
  <c r="X11" i="6"/>
  <c r="U11" i="6"/>
  <c r="S11" i="6"/>
  <c r="R11" i="6"/>
  <c r="P11" i="6"/>
  <c r="O11" i="6"/>
  <c r="K11" i="6"/>
  <c r="H11" i="6"/>
  <c r="F11" i="6"/>
  <c r="D11" i="6"/>
  <c r="FA10" i="6"/>
  <c r="DR10" i="6"/>
  <c r="DC10" i="6"/>
  <c r="BH10" i="6"/>
  <c r="AH10" i="6"/>
  <c r="N10" i="6"/>
  <c r="MX9" i="6"/>
  <c r="MS9" i="6"/>
  <c r="MD9" i="6"/>
  <c r="KP9" i="6"/>
  <c r="KK9" i="6"/>
  <c r="JU9" i="6"/>
  <c r="JL9" i="6"/>
  <c r="JG9" i="6"/>
  <c r="JD9" i="6"/>
  <c r="JB9" i="6"/>
  <c r="IX9" i="6"/>
  <c r="IT9" i="6"/>
  <c r="HO9" i="6"/>
  <c r="GY9" i="6"/>
  <c r="GJ9" i="6"/>
  <c r="GH9" i="6"/>
  <c r="FZ9" i="6"/>
  <c r="FF9" i="6"/>
  <c r="DH9" i="6"/>
  <c r="DC9" i="6"/>
  <c r="CX9" i="6"/>
  <c r="CS9" i="6"/>
  <c r="CR9" i="6"/>
  <c r="BT9" i="6"/>
  <c r="BO9" i="6"/>
  <c r="BJ9" i="6"/>
  <c r="MX8" i="6"/>
  <c r="MS8" i="6"/>
  <c r="MN8" i="6"/>
  <c r="MM8" i="6"/>
  <c r="MI8" i="6"/>
  <c r="ME8" i="6"/>
  <c r="MD8" i="6"/>
  <c r="LY8" i="6"/>
  <c r="LT8" i="6"/>
  <c r="LO8" i="6"/>
  <c r="LN8" i="6"/>
  <c r="LM8" i="6"/>
  <c r="LJ8" i="6"/>
  <c r="LE8" i="6"/>
  <c r="LC8" i="6"/>
  <c r="KZ8" i="6"/>
  <c r="KU8" i="6"/>
  <c r="KT8" i="6"/>
  <c r="KR8" i="6"/>
  <c r="KP8" i="6"/>
  <c r="KK8" i="6"/>
  <c r="KF8" i="6"/>
  <c r="KA8" i="6"/>
  <c r="JY8" i="6"/>
  <c r="JV8" i="6"/>
  <c r="JT8" i="6"/>
  <c r="JQ8" i="6"/>
  <c r="JP8" i="6"/>
  <c r="JL8" i="6"/>
  <c r="MX7" i="6"/>
  <c r="MS7" i="6"/>
  <c r="MN7" i="6"/>
  <c r="MD7" i="6"/>
  <c r="MC7" i="6"/>
  <c r="LL7" i="6"/>
  <c r="LI7" i="6"/>
  <c r="LH7" i="6"/>
  <c r="KU7" i="6"/>
  <c r="KP7" i="6"/>
  <c r="KK7" i="6"/>
  <c r="KF7" i="6"/>
  <c r="KE7" i="6"/>
  <c r="KA7" i="6"/>
  <c r="JN7" i="6"/>
  <c r="JM7" i="6"/>
  <c r="JI7" i="6"/>
  <c r="JH7" i="6"/>
  <c r="JG7" i="6"/>
  <c r="JF7" i="6"/>
  <c r="JE7" i="6"/>
  <c r="JB7" i="6"/>
  <c r="IW7" i="6"/>
  <c r="IR7" i="6"/>
  <c r="IM7" i="6"/>
  <c r="II7" i="6"/>
  <c r="IH7" i="6"/>
  <c r="IG7" i="6"/>
  <c r="IF7" i="6"/>
  <c r="IE7" i="6"/>
  <c r="ID7" i="6"/>
  <c r="IC7" i="6"/>
  <c r="IB7" i="6"/>
  <c r="IA7" i="6"/>
  <c r="HZ7" i="6"/>
  <c r="HX7" i="6"/>
  <c r="HS7" i="6"/>
  <c r="HN7" i="6"/>
  <c r="HI7" i="6"/>
  <c r="HE7" i="6"/>
  <c r="HD7" i="6"/>
  <c r="GY7" i="6"/>
  <c r="GJ7" i="6"/>
  <c r="FP7" i="6"/>
  <c r="FF7" i="6"/>
  <c r="FA7" i="6"/>
  <c r="EL7" i="6"/>
  <c r="EG7" i="6"/>
  <c r="EF7" i="6"/>
  <c r="EE7" i="6"/>
  <c r="EB7" i="6"/>
  <c r="DW7" i="6"/>
  <c r="DR7" i="6"/>
  <c r="DM7" i="6"/>
  <c r="DJ7" i="6"/>
  <c r="DH7" i="6"/>
  <c r="DC7" i="6"/>
  <c r="CX7" i="6"/>
  <c r="CS7" i="6"/>
  <c r="CN7" i="6"/>
  <c r="CI7" i="6"/>
  <c r="CD7" i="6"/>
  <c r="CA7" i="6"/>
  <c r="BZ7" i="6"/>
  <c r="BY7" i="6"/>
  <c r="BW7" i="6"/>
  <c r="BV7" i="6"/>
  <c r="BT7" i="6"/>
  <c r="BS7" i="6"/>
  <c r="BO7" i="6"/>
  <c r="BK7" i="6"/>
  <c r="BJ7" i="6"/>
  <c r="BI7" i="6"/>
  <c r="BH7" i="6"/>
  <c r="BG7" i="6"/>
  <c r="BD7" i="6"/>
  <c r="BC7" i="6"/>
  <c r="BB7" i="6"/>
  <c r="BA7" i="6"/>
  <c r="AY7" i="6"/>
  <c r="AX7" i="6"/>
  <c r="AW7" i="6"/>
  <c r="AV7" i="6"/>
  <c r="AT7" i="6"/>
  <c r="AS7" i="6"/>
  <c r="AR7" i="6"/>
  <c r="AQ7" i="6"/>
  <c r="AN7" i="6"/>
  <c r="AM7" i="6"/>
  <c r="AL7" i="6"/>
  <c r="AJ7" i="6"/>
  <c r="AH7" i="6"/>
  <c r="AD7" i="6"/>
  <c r="AC7" i="6"/>
  <c r="AB7" i="6"/>
  <c r="Z7" i="6"/>
  <c r="Y7" i="6"/>
  <c r="X7" i="6"/>
  <c r="W7" i="6"/>
  <c r="U7" i="6"/>
  <c r="T7" i="6"/>
  <c r="S7" i="6"/>
  <c r="R7" i="6"/>
  <c r="P7" i="6"/>
  <c r="O7" i="6"/>
  <c r="N7" i="6"/>
  <c r="M7" i="6"/>
  <c r="K7" i="6"/>
  <c r="J7" i="6"/>
  <c r="I7" i="6"/>
  <c r="H7" i="6"/>
  <c r="E7" i="6"/>
  <c r="D7" i="6"/>
  <c r="GO6" i="6"/>
  <c r="CL6" i="6"/>
  <c r="CC6" i="6"/>
  <c r="CA6" i="6"/>
  <c r="BW6" i="6"/>
  <c r="AD6" i="6"/>
  <c r="E6" i="6"/>
  <c r="JW4" i="6"/>
  <c r="IB3" i="6"/>
  <c r="GL3" i="6"/>
  <c r="FX3" i="6"/>
  <c r="FT3" i="6"/>
  <c r="FO3" i="6"/>
  <c r="FJ3" i="6"/>
  <c r="EJ3" i="6"/>
  <c r="EH3" i="6"/>
  <c r="DL3" i="6"/>
  <c r="BN3" i="6"/>
  <c r="BD3" i="6"/>
  <c r="P3" i="6"/>
  <c r="F3" i="6"/>
  <c r="D3" i="6"/>
  <c r="E16" i="9" l="1"/>
  <c r="D16" i="9" s="1"/>
  <c r="E17" i="9"/>
  <c r="D17" i="9" s="1"/>
  <c r="E15" i="9"/>
  <c r="D15" i="9" s="1"/>
  <c r="D6" i="9" a="1"/>
  <c r="D6" i="9" s="1"/>
  <c r="D7" i="9" a="1"/>
  <c r="D7" i="9" s="1"/>
  <c r="D8" i="9" a="1"/>
  <c r="D8" i="9" s="1"/>
  <c r="D9" i="9" a="1"/>
  <c r="D9" i="9" s="1"/>
  <c r="D5" i="9" a="1"/>
  <c r="D5" i="9" s="1"/>
  <c r="E6" i="9"/>
  <c r="E7" i="9"/>
  <c r="E8" i="9"/>
  <c r="E9" i="9"/>
  <c r="E5" i="9"/>
  <c r="Z10" i="1"/>
  <c r="Z11" i="1"/>
  <c r="Z12" i="1"/>
  <c r="Z13" i="1"/>
  <c r="AB10" i="1"/>
  <c r="AB11" i="1"/>
  <c r="AB12" i="1"/>
  <c r="AB13" i="1"/>
  <c r="Y11" i="1"/>
  <c r="Y12" i="1"/>
  <c r="Y13" i="1"/>
  <c r="Y10" i="1"/>
  <c r="Y14" i="1" s="1"/>
  <c r="AA10" i="1"/>
  <c r="AA11" i="1"/>
  <c r="AA12" i="1"/>
  <c r="AA13" i="1"/>
  <c r="L40" i="4"/>
  <c r="L41" i="4"/>
  <c r="L42" i="4"/>
  <c r="L39" i="4"/>
  <c r="L43" i="4" s="1"/>
  <c r="N40" i="4"/>
  <c r="N41" i="4"/>
  <c r="N42" i="4"/>
  <c r="N39" i="4"/>
  <c r="N43" i="4" s="1"/>
  <c r="K42" i="4"/>
  <c r="K40" i="4"/>
  <c r="K41" i="4"/>
  <c r="K39" i="4"/>
  <c r="K43" i="4" s="1"/>
  <c r="M40" i="4"/>
  <c r="M41" i="4"/>
  <c r="M42" i="4"/>
  <c r="M39" i="4"/>
  <c r="M43" i="4" s="1"/>
  <c r="J9" i="4"/>
  <c r="E63" i="4"/>
  <c r="U3" i="1"/>
  <c r="T11" i="1"/>
  <c r="T12" i="1"/>
  <c r="T13" i="1"/>
  <c r="U11" i="1"/>
  <c r="U12" i="1"/>
  <c r="U13" i="1"/>
  <c r="S12" i="1"/>
  <c r="S13" i="1"/>
  <c r="S11" i="1"/>
  <c r="S14" i="1" s="1"/>
  <c r="V11" i="1"/>
  <c r="V12" i="1"/>
  <c r="V13" i="1"/>
  <c r="S4" i="1"/>
  <c r="V14" i="1" l="1"/>
  <c r="U14" i="1"/>
  <c r="T14" i="1"/>
  <c r="S18" i="1" s="1" a="1"/>
  <c r="S18" i="1" s="1"/>
  <c r="AA14" i="1"/>
  <c r="AB14" i="1"/>
  <c r="Z14" i="1"/>
  <c r="S17" i="1" s="1" a="1"/>
  <c r="S17" i="1" s="1"/>
  <c r="K47" i="4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<sst xmlns="http://schemas.openxmlformats.org/spreadsheetml/2006/main" count="30114" uniqueCount="11370">
  <si>
    <t>Descrição</t>
  </si>
  <si>
    <t>Código</t>
  </si>
  <si>
    <t>Origem</t>
  </si>
  <si>
    <t>Data de Validade</t>
  </si>
  <si>
    <t>Custo de Produção</t>
  </si>
  <si>
    <t>País de Destino</t>
  </si>
  <si>
    <t>MA</t>
  </si>
  <si>
    <t>Holanda</t>
  </si>
  <si>
    <t>AL</t>
  </si>
  <si>
    <t>Austrália</t>
  </si>
  <si>
    <t>GO</t>
  </si>
  <si>
    <t>Panamá</t>
  </si>
  <si>
    <t>RJ</t>
  </si>
  <si>
    <t>SP</t>
  </si>
  <si>
    <t>Espanha</t>
  </si>
  <si>
    <t>ES</t>
  </si>
  <si>
    <t>MG</t>
  </si>
  <si>
    <t>H445H467</t>
  </si>
  <si>
    <t>H484H675</t>
  </si>
  <si>
    <t>H485H921</t>
  </si>
  <si>
    <t>H298P268</t>
  </si>
  <si>
    <t>P577H891</t>
  </si>
  <si>
    <t>P469P428</t>
  </si>
  <si>
    <t>Estado</t>
  </si>
  <si>
    <t>Região</t>
  </si>
  <si>
    <t>Nordeste</t>
  </si>
  <si>
    <t>Sudeste</t>
  </si>
  <si>
    <t>Centro-Oeste</t>
  </si>
  <si>
    <t>Na Base 1 existem códigos que aparecem mais do que uma vez na lista. Qual é o número máximo de aparições de um mesmo código na lista?</t>
  </si>
  <si>
    <t>Monte um quadro resumo com o custo total de produção levando em consideração a Região de Origem e o País de Destino.</t>
  </si>
  <si>
    <t>Norte</t>
  </si>
  <si>
    <t>Para qual país irão mais produtos em quantidade de produtos? E em valor?</t>
  </si>
  <si>
    <t>Quantidade</t>
  </si>
  <si>
    <t>Valor</t>
  </si>
  <si>
    <t>Monte uma tabela com os TOP 5 produtos com maior Custo de Produção. Complemente com as demais informações pedidas.</t>
  </si>
  <si>
    <t>TOP 5</t>
  </si>
  <si>
    <t>Formate a base de dados, aplicando formatação de moeda e de data abreviada nas colunas que se adequam. Ajuste também a largura das colunas e as cores das células: o preenchimento da primeira linha deve ser azul, o preenchimento das demais linhas será cinza e a cor da fonte de todas as linhas será preta. Use os tons das células abaixo:</t>
  </si>
  <si>
    <t>Fonte</t>
  </si>
  <si>
    <t>O que é necessário para adicionar uma segmentação de dados nessa base de dados sem o uso de tabela dinâmica?</t>
  </si>
  <si>
    <t>Formate a base como tabela, sem perder a formatação aplicada no exercício dois.</t>
  </si>
  <si>
    <t>Separe as informações da base, deixando cada campo em uma coluna. Oculte as linhas de grade da planilha</t>
  </si>
  <si>
    <t>Adicione uma formatação condicional de semáforo, colocando sinal vermelho quando custo de produção for maior que R$100.000, sinal amarelo com custo entre R$50.000 e R$100.000 e sinal verde quando for menor que R$50.000</t>
  </si>
  <si>
    <t>Preencha as células abaixo com o o somatório, média, contagem, valor máximo e mínimo da coluna de custo de produção. Esses valores precisam ser recalculados automaticamente quando os valores da base forem alterados</t>
  </si>
  <si>
    <t>Somatório</t>
  </si>
  <si>
    <t>Média</t>
  </si>
  <si>
    <t>Contagem</t>
  </si>
  <si>
    <t>Máximo</t>
  </si>
  <si>
    <t>Mínimo</t>
  </si>
  <si>
    <t>Agora preencha o resumo abaixo com as mesmas informações do exercício anterior, mas de forma que os valores sejam atualizados quando os filtros aplicados na base de dados forem alterados.</t>
  </si>
  <si>
    <t>Crie um filtro na base de dados e ordene a base de acordo com a data de validade (do mais antigo para o mais novo)</t>
  </si>
  <si>
    <t>Utilizando a mesma estrutura do exercício anterior, preencha a tabela abaixo considerando apenas as linhas com origem RJ. É necessária alguma alteração na fórmula?</t>
  </si>
  <si>
    <t>Utilizando a mesma estrutura do exercício anterior, preencha a tabela abaixo considerando apenas as linhas com custo maior que R$70.000.</t>
  </si>
  <si>
    <t>Utilizando a mesma estrutura do exercício anterior, preencha a tabela abaixo considerando apenas as linhas com data de validade entre 2025 e 2027</t>
  </si>
  <si>
    <t>Pinte o preenchimento das células da coluna País de Destino. A cor da célula deve mudar automaticamente quando o País for alterado. Cada país terá uma cor específica conforme abaixo:</t>
  </si>
  <si>
    <t>Crie na base de dados uma coluna com a chave do produto. Essa chave será a junção do código do produto, seu nome e estado de origem no seguinte formato: nome-código/origem. Por exemplo, o produto de nome Nocogifo, código P931H285 e origem MA terá a chave Nocogifo-P931H285/MA</t>
  </si>
  <si>
    <t>Impeça que seja inserido qualquer produto com data de validade do ano 2023 ou menor. Ao tentar inserir essa data de validade, a planilha deverá exibir a seguinte mensagem: "ATENÇÃO! Só são permitidos produtos com data de validade a partir do ano de 2024."</t>
  </si>
  <si>
    <t>Crie uma coluna na base de dados com as Regiões de Origem de cada produto de acordo com os Estados de Origem.</t>
  </si>
  <si>
    <t>Conceitos Introdutórios</t>
  </si>
  <si>
    <t>Atalhos</t>
  </si>
  <si>
    <t>Formatação</t>
  </si>
  <si>
    <t>Funções Básicas</t>
  </si>
  <si>
    <t>Classificar e Filtrar</t>
  </si>
  <si>
    <t>Ferramentas de Dados</t>
  </si>
  <si>
    <t>Funções Mercado de Trabalho.</t>
  </si>
  <si>
    <t>Sugiro fortemente que assista todas as aulas dos módulos acima antes de responder as questões a seguir.</t>
  </si>
  <si>
    <t>H3643212</t>
  </si>
  <si>
    <t>P6545323</t>
  </si>
  <si>
    <t>Qual a descrição, origem e data de validade dos 8 códigos abaixo? Não faça qualquer alteração na base de dados para responder essa pergunta. Caso algum código não seja encontrado, exibir a mensagem "não encontrado".</t>
  </si>
  <si>
    <t>Crie uma coluna na base de dados com a urgência de envio dos produtos. Produtos com validade até 31/12/2025 e valor acima de R$50.000,00 terão o valor "Urgente e Caro". Produtos com validade até 31/12/2025 e valor abaixo ou igual a R$50.000,00 terão o valor "Urgente". Produtos com validade entre 2026 e 2028 e custo acima de R$50.000 terão o valor "Pendente e caro". Produtos com validade entre 2026 e 2028 e custo abaixo ou igual a R$50.000 terão o valor "Pendente". Produtos com validade a partir de 2029 terão o valor "Não prioritário" independente de seu custo.</t>
  </si>
  <si>
    <t>Após responder todas as questões, assista as demais aulas desse módulo para acompanhar a correção de cada pergunta.</t>
  </si>
  <si>
    <t>Preste atenção nos enunciados. Entendender as questões já faz parte do exercício, da mesma forma que entender as questões em um processo seletivo e as demandas do seu chefe é uma forma de avaliar seu trabalho e conhecimento de Excel.</t>
  </si>
  <si>
    <t>O objetivo desses exercícios é apenas desenvolver seu conhecimento e prática com as ferramentas e fórmulas do Excel aprendidas até agora. Você não receberá uma nota (como se fosse uma prova de colégio) e tampouco o certificado do curso depende dessas questões.</t>
  </si>
  <si>
    <t>•</t>
  </si>
  <si>
    <t>Coloque na célula J65 uma lista suspensa com os possíveis estados de Origem e na céula K65 uma lista suspensa com os possíveis valores de Destino. Em seguida, construa na célula L65 uma fórmula que calcule o total do custo de produção dos produtos que tem origem E destino iguais as células J65 e K65 respectivamente. Assim, se na célula J65 estiver GO e na K65 Holanda, o valor exibido na célula L65 deve ser igual ao total do custo de produção de todos os produtos de origem em GO e destino Holanda.</t>
  </si>
  <si>
    <t>S1</t>
  </si>
  <si>
    <t>S2</t>
  </si>
  <si>
    <t>S3</t>
  </si>
  <si>
    <t>S4</t>
  </si>
  <si>
    <t>Crédito</t>
  </si>
  <si>
    <t>Receitas</t>
  </si>
  <si>
    <t>Trabalho 1</t>
  </si>
  <si>
    <t>Trabalho 2</t>
  </si>
  <si>
    <t>Despesas</t>
  </si>
  <si>
    <t>Transporte público</t>
  </si>
  <si>
    <t>Uber</t>
  </si>
  <si>
    <t/>
  </si>
  <si>
    <t>Carro</t>
  </si>
  <si>
    <t>Investimentos</t>
  </si>
  <si>
    <t>Presentes</t>
  </si>
  <si>
    <t>Subsistência e Saúde</t>
  </si>
  <si>
    <t>Alimentação Fora</t>
  </si>
  <si>
    <t>Lazer</t>
  </si>
  <si>
    <t>Casa</t>
  </si>
  <si>
    <t>Apto</t>
  </si>
  <si>
    <t>Outros</t>
  </si>
  <si>
    <t>Subtotais</t>
  </si>
  <si>
    <t>Saldos</t>
  </si>
  <si>
    <t>Na semana</t>
  </si>
  <si>
    <t>Acumulado</t>
  </si>
  <si>
    <t>Preencha as linhas 22 e 23 da planilha Controle Financeiro com o somatório de receitas e despesas por semana. Depois preencha a linha 25 com o saldo da semana (receita - despesas) e a linha 26 com o saldo acumulado (saldo acumulado da semana = saldo acumulado da semana anterior + receitas da semana - despesas da semana)</t>
  </si>
  <si>
    <t>Preencha o resumo abaixo com o somatório de despesas mensais de 2018 até 2023. É necessário desenvolver uma única fórmula que poderá ser arrastada para baixo e preencher todos os meses.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</si>
  <si>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</si>
  <si>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</si>
  <si>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</si>
  <si>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</si>
  <si>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</si>
  <si>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</si>
  <si>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</si>
  <si>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</si>
  <si>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</si>
  <si>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</si>
  <si>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</si>
  <si>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</si>
  <si>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Nesse arquivo você encontra 30 exercícios baseados em situações do dia a dia de trabalho e em questões de processos seletivos. Esses exercícios abragem os seguintes módulos do Excel Impressionador:</t>
  </si>
  <si>
    <t>Data</t>
  </si>
  <si>
    <t>Funcionário</t>
  </si>
  <si>
    <t>Produto</t>
  </si>
  <si>
    <t>Marca</t>
  </si>
  <si>
    <t>Q2L7D8X5</t>
  </si>
  <si>
    <t>Gabriel</t>
  </si>
  <si>
    <t>Chapéu</t>
  </si>
  <si>
    <t>Azul</t>
  </si>
  <si>
    <t>J1V2E1V9</t>
  </si>
  <si>
    <t>Marcela</t>
  </si>
  <si>
    <t>R7O1C8X6</t>
  </si>
  <si>
    <t>Iago</t>
  </si>
  <si>
    <t>Camisa</t>
  </si>
  <si>
    <t>Branca</t>
  </si>
  <si>
    <t>C1R7J7O5</t>
  </si>
  <si>
    <t>Kelly</t>
  </si>
  <si>
    <t>Camiseta</t>
  </si>
  <si>
    <t>Amarela</t>
  </si>
  <si>
    <t>K6M7G7J5</t>
  </si>
  <si>
    <t>Chinelo</t>
  </si>
  <si>
    <t>Verde</t>
  </si>
  <si>
    <t>C4Q1I8A7</t>
  </si>
  <si>
    <t>João</t>
  </si>
  <si>
    <t>M8T8F4O7</t>
  </si>
  <si>
    <t>Otávio</t>
  </si>
  <si>
    <t>Saia</t>
  </si>
  <si>
    <t>R6S4T3I9</t>
  </si>
  <si>
    <t>Calça</t>
  </si>
  <si>
    <t>C5I8V2C4</t>
  </si>
  <si>
    <t>Pablo</t>
  </si>
  <si>
    <t>G7F7E3D7</t>
  </si>
  <si>
    <t>Eduarda</t>
  </si>
  <si>
    <t>Boné</t>
  </si>
  <si>
    <t>I1I1O7Q3</t>
  </si>
  <si>
    <t>Caio</t>
  </si>
  <si>
    <t>O7M9X9S9</t>
  </si>
  <si>
    <t>L4R8F3H4</t>
  </si>
  <si>
    <t>B6S3C6T7</t>
  </si>
  <si>
    <t>Natália</t>
  </si>
  <si>
    <t>Vermelha</t>
  </si>
  <si>
    <t>G7N6O5E1</t>
  </si>
  <si>
    <t>H9A4X9Z1</t>
  </si>
  <si>
    <t>T3P4B6H7</t>
  </si>
  <si>
    <t>Rafaela</t>
  </si>
  <si>
    <t>U8R1P5D9</t>
  </si>
  <si>
    <t>Bermuda</t>
  </si>
  <si>
    <t>E4R5D2H7</t>
  </si>
  <si>
    <t>Q9O6X3B8</t>
  </si>
  <si>
    <t>P8J1J5Q6</t>
  </si>
  <si>
    <t>Z7O8L6S1</t>
  </si>
  <si>
    <t>Fábio</t>
  </si>
  <si>
    <t>O8X7K8U3</t>
  </si>
  <si>
    <t>N6L5S6E9</t>
  </si>
  <si>
    <t>Luan</t>
  </si>
  <si>
    <t>M3L7E1E8</t>
  </si>
  <si>
    <t>M8V8V9R3</t>
  </si>
  <si>
    <t>E3C5S8J3</t>
  </si>
  <si>
    <t>X9E7X3S6</t>
  </si>
  <si>
    <t>R7A8I9X4</t>
  </si>
  <si>
    <t>Q8B7Z7T8</t>
  </si>
  <si>
    <t>S9K7C9Q4</t>
  </si>
  <si>
    <t>D5Q4U7F6</t>
  </si>
  <si>
    <t>A1C3B4S8</t>
  </si>
  <si>
    <t>F4O2T7Z1</t>
  </si>
  <si>
    <t>N7U5M9Z5</t>
  </si>
  <si>
    <t>J8C9O3U2</t>
  </si>
  <si>
    <t>B1O1X7N5</t>
  </si>
  <si>
    <t>A7O8K4M8</t>
  </si>
  <si>
    <t>Amanda</t>
  </si>
  <si>
    <t>B1C2O4V9</t>
  </si>
  <si>
    <t>U8F3C8K9</t>
  </si>
  <si>
    <t>M4A8B3L9</t>
  </si>
  <si>
    <t>X8L1G6C8</t>
  </si>
  <si>
    <t>Bernardo</t>
  </si>
  <si>
    <t>C4G2R4Q6</t>
  </si>
  <si>
    <t>Daniel</t>
  </si>
  <si>
    <t>M3J5Z9Q3</t>
  </si>
  <si>
    <t>L8G2L1P2</t>
  </si>
  <si>
    <t>T8A7A7A7</t>
  </si>
  <si>
    <t>D8I3T4B6</t>
  </si>
  <si>
    <t>A8O6P3O5</t>
  </si>
  <si>
    <t>N7H1M8H8</t>
  </si>
  <si>
    <t>Q7A9N1D2</t>
  </si>
  <si>
    <t>P5E7M6C9</t>
  </si>
  <si>
    <t>D2P1D3A8</t>
  </si>
  <si>
    <t>Q4C6T5X6</t>
  </si>
  <si>
    <t>X8H1G3V8</t>
  </si>
  <si>
    <t>S2Z5I7R2</t>
  </si>
  <si>
    <t>H3N9S7R6</t>
  </si>
  <si>
    <t>H1A8T5O9</t>
  </si>
  <si>
    <t>L5B4V7H6</t>
  </si>
  <si>
    <t>C3K1A8F6</t>
  </si>
  <si>
    <t>H1F8I3N6</t>
  </si>
  <si>
    <t>L3M5L8K3</t>
  </si>
  <si>
    <t>X6J1O5N1</t>
  </si>
  <si>
    <t>M9Z2M2H6</t>
  </si>
  <si>
    <t>F5L7U9X7</t>
  </si>
  <si>
    <t>X8C5D9D5</t>
  </si>
  <si>
    <t>X9R6S2O3</t>
  </si>
  <si>
    <t>E5N5I3J8</t>
  </si>
  <si>
    <t>F8N1U5U5</t>
  </si>
  <si>
    <t>C3S3L9O2</t>
  </si>
  <si>
    <t>O4H7A9O9</t>
  </si>
  <si>
    <t>U4C7L3R5</t>
  </si>
  <si>
    <t>J2D7B3O3</t>
  </si>
  <si>
    <t>J6R1J3J6</t>
  </si>
  <si>
    <t>G9A2M2B9</t>
  </si>
  <si>
    <t>L6Z9Q4N8</t>
  </si>
  <si>
    <t>H8V1N4V8</t>
  </si>
  <si>
    <t>Helena</t>
  </si>
  <si>
    <t>U2O6J6S4</t>
  </si>
  <si>
    <t>O8X3J5Z5</t>
  </si>
  <si>
    <t>M4F2L2U8</t>
  </si>
  <si>
    <t>N1C5C9U9</t>
  </si>
  <si>
    <t>Z3J2C7U9</t>
  </si>
  <si>
    <t>U8R3R9P3</t>
  </si>
  <si>
    <t>Z3L4X2E3</t>
  </si>
  <si>
    <t>G7B6S4H1</t>
  </si>
  <si>
    <t>U7A9L8I1</t>
  </si>
  <si>
    <t>U8F3C1R9</t>
  </si>
  <si>
    <t>J1H8V8J7</t>
  </si>
  <si>
    <t>X5H9U3M7</t>
  </si>
  <si>
    <t>T5B2N7E7</t>
  </si>
  <si>
    <t>G8N3Q3D5</t>
  </si>
  <si>
    <t>O3I8E3Q2</t>
  </si>
  <si>
    <t>K9N6N6U8</t>
  </si>
  <si>
    <t>E9G5C9V4</t>
  </si>
  <si>
    <t>A9F8H6L6</t>
  </si>
  <si>
    <t>C3X1J2O8</t>
  </si>
  <si>
    <t>S7C4G8L6</t>
  </si>
  <si>
    <t>U4Z1I9H4</t>
  </si>
  <si>
    <t>C5L5U1D2</t>
  </si>
  <si>
    <t>G6D1R5F2</t>
  </si>
  <si>
    <t>U3K3D1T1</t>
  </si>
  <si>
    <t>N2N2J5B6</t>
  </si>
  <si>
    <t>M5D9B9D6</t>
  </si>
  <si>
    <t>T8I7P4N7</t>
  </si>
  <si>
    <t>B1N8B2U4</t>
  </si>
  <si>
    <t>E7V8G1S7</t>
  </si>
  <si>
    <t>R9H9H9V1</t>
  </si>
  <si>
    <t>T9V5U1Z5</t>
  </si>
  <si>
    <t>R9Q3J6O4</t>
  </si>
  <si>
    <t>T8R4V7L3</t>
  </si>
  <si>
    <t>P2V5B6I3</t>
  </si>
  <si>
    <t>D2V1R2Q1</t>
  </si>
  <si>
    <t>V9N5N7M3</t>
  </si>
  <si>
    <t>F3K1U5D9</t>
  </si>
  <si>
    <t>L5D6S5P2</t>
  </si>
  <si>
    <t>H3Q1N2J3</t>
  </si>
  <si>
    <t>G7N9L2H5</t>
  </si>
  <si>
    <t>T7R5E9U1</t>
  </si>
  <si>
    <t>D4T1X2X5</t>
  </si>
  <si>
    <t>V7V8G8M5</t>
  </si>
  <si>
    <t>D3G8L4U5</t>
  </si>
  <si>
    <t>K9X8U7E3</t>
  </si>
  <si>
    <t>T4G8L4A5</t>
  </si>
  <si>
    <t>V6P2F9U6</t>
  </si>
  <si>
    <t>G3Z4C1D6</t>
  </si>
  <si>
    <t>V3O6U7S3</t>
  </si>
  <si>
    <t>Q9I4T4V3</t>
  </si>
  <si>
    <t>L1R1K2P1</t>
  </si>
  <si>
    <t>E4S7G4A4</t>
  </si>
  <si>
    <t>G8R5H8G7</t>
  </si>
  <si>
    <t>H7H4D4L7</t>
  </si>
  <si>
    <t>I1X7J8H3</t>
  </si>
  <si>
    <t>U7I8V6T4</t>
  </si>
  <si>
    <t>U4X8O2Z7</t>
  </si>
  <si>
    <t>Q7L9D3L2</t>
  </si>
  <si>
    <t>A6B9Z8P7</t>
  </si>
  <si>
    <t>I9S7Q4E3</t>
  </si>
  <si>
    <t>I1C4E3F7</t>
  </si>
  <si>
    <t>S5N4N9M7</t>
  </si>
  <si>
    <t>O2M4A3E7</t>
  </si>
  <si>
    <t>I7U4D3X3</t>
  </si>
  <si>
    <t>H8D1A6A5</t>
  </si>
  <si>
    <t>I2A4U6F3</t>
  </si>
  <si>
    <t>T2R3A4Z9</t>
  </si>
  <si>
    <t>P9R7R9P1</t>
  </si>
  <si>
    <t>C9T6N2R7</t>
  </si>
  <si>
    <t>R8L6X1P9</t>
  </si>
  <si>
    <t>T2K2Z2L2</t>
  </si>
  <si>
    <t>C1H9T5P7</t>
  </si>
  <si>
    <t>I5Q2N4P4</t>
  </si>
  <si>
    <t>Q2O3M6G3</t>
  </si>
  <si>
    <t>S1Z2Q1A8</t>
  </si>
  <si>
    <t>Q3E7Q3S8</t>
  </si>
  <si>
    <t>X1V3Q3X2</t>
  </si>
  <si>
    <t>Z8I2T7P9</t>
  </si>
  <si>
    <t>G7A1X1U6</t>
  </si>
  <si>
    <t>T6K8F9A5</t>
  </si>
  <si>
    <t>V6C6C2Q5</t>
  </si>
  <si>
    <t>N8K7V7P4</t>
  </si>
  <si>
    <t>A7N4F5H4</t>
  </si>
  <si>
    <t>P1M4D7C7</t>
  </si>
  <si>
    <t>Z2C1F9I3</t>
  </si>
  <si>
    <t>F4L4A3A9</t>
  </si>
  <si>
    <t>G6T4E2O5</t>
  </si>
  <si>
    <t>C3P1V8R5</t>
  </si>
  <si>
    <t>C8P6B9E9</t>
  </si>
  <si>
    <t>R8A6T8E8</t>
  </si>
  <si>
    <t>G5X5T4F3</t>
  </si>
  <si>
    <t>V5K2K8M6</t>
  </si>
  <si>
    <t>Z4F4U4Q6</t>
  </si>
  <si>
    <t>O6X2S7D7</t>
  </si>
  <si>
    <t>Z3F7V5T1</t>
  </si>
  <si>
    <t>G6G6K7N7</t>
  </si>
  <si>
    <t>A6G4F4V2</t>
  </si>
  <si>
    <t>K4X9X5E3</t>
  </si>
  <si>
    <t>V5H3J8C6</t>
  </si>
  <si>
    <t>E4L3L3G4</t>
  </si>
  <si>
    <t>G3N2C9G5</t>
  </si>
  <si>
    <t>Q7K8N3S8</t>
  </si>
  <si>
    <t>O2M5C2X9</t>
  </si>
  <si>
    <t>N6D6K6A5</t>
  </si>
  <si>
    <t>E4H7V1Q3</t>
  </si>
  <si>
    <t>F2M4F3I8</t>
  </si>
  <si>
    <t>C7H7O4E7</t>
  </si>
  <si>
    <t>C5K9Q4L5</t>
  </si>
  <si>
    <t>L9F7U8L1</t>
  </si>
  <si>
    <t>Q6D4F7L8</t>
  </si>
  <si>
    <t>C5P5C6V9</t>
  </si>
  <si>
    <t>J9V2Q2O1</t>
  </si>
  <si>
    <t>X9P1R6O1</t>
  </si>
  <si>
    <t>U2V7M1E6</t>
  </si>
  <si>
    <t>A8U3S4P6</t>
  </si>
  <si>
    <t>T8M2H5O2</t>
  </si>
  <si>
    <t>S6M1V5I1</t>
  </si>
  <si>
    <t>Z4S5O4P9</t>
  </si>
  <si>
    <t>G8F3R8N8</t>
  </si>
  <si>
    <t>C1L5T9Q8</t>
  </si>
  <si>
    <t>N8G1A4U2</t>
  </si>
  <si>
    <t>B4Q8R6N3</t>
  </si>
  <si>
    <t>T3N6D7T4</t>
  </si>
  <si>
    <t>V1F1B9Q6</t>
  </si>
  <si>
    <t>J8O4V2M1</t>
  </si>
  <si>
    <t>X9U2J2L4</t>
  </si>
  <si>
    <t>S7S3A1F4</t>
  </si>
  <si>
    <t>E4P3I1V5</t>
  </si>
  <si>
    <t>K8H3D9Z3</t>
  </si>
  <si>
    <t>S7C9G6P4</t>
  </si>
  <si>
    <t>D3X9M4Z4</t>
  </si>
  <si>
    <t>A4J8F9B1</t>
  </si>
  <si>
    <t>K3O5X7I6</t>
  </si>
  <si>
    <t>J6V7E7O4</t>
  </si>
  <si>
    <t>T1F7G7I9</t>
  </si>
  <si>
    <t>D1A1R4M8</t>
  </si>
  <si>
    <t>G5B6E2F5</t>
  </si>
  <si>
    <t>V6O8K6Q4</t>
  </si>
  <si>
    <t>L7H1V3U3</t>
  </si>
  <si>
    <t>A9V7P7E1</t>
  </si>
  <si>
    <t>J1D6Q2U8</t>
  </si>
  <si>
    <t>C7Q1A9D5</t>
  </si>
  <si>
    <t>X6T8V1U2</t>
  </si>
  <si>
    <t>H3V7U7G8</t>
  </si>
  <si>
    <t>D7K6P1C9</t>
  </si>
  <si>
    <t>N2P7F4U6</t>
  </si>
  <si>
    <t>O2Q2K2L9</t>
  </si>
  <si>
    <t>Q8V4L9A3</t>
  </si>
  <si>
    <t>F8J2U4T4</t>
  </si>
  <si>
    <t>Z1G6G5A7</t>
  </si>
  <si>
    <t>M2A7N1T4</t>
  </si>
  <si>
    <t>B7X2J2V2</t>
  </si>
  <si>
    <t>G1V2P2A9</t>
  </si>
  <si>
    <t>A3Q4P5T1</t>
  </si>
  <si>
    <t>E7M8P4D3</t>
  </si>
  <si>
    <t>Z2C9H7S7</t>
  </si>
  <si>
    <t>U3Q5Q7N7</t>
  </si>
  <si>
    <t>S2B4K1N5</t>
  </si>
  <si>
    <t>F8X6Q4A1</t>
  </si>
  <si>
    <t>F5T8Q1J8</t>
  </si>
  <si>
    <t>V2S2T9B7</t>
  </si>
  <si>
    <t>K4V8K3Q1</t>
  </si>
  <si>
    <t>L9F7R4A9</t>
  </si>
  <si>
    <t>F2H6K6Z1</t>
  </si>
  <si>
    <t>P7P4U8N2</t>
  </si>
  <si>
    <t>H8V1M2Q1</t>
  </si>
  <si>
    <t>U3B8B9F9</t>
  </si>
  <si>
    <t>M8J1K2Q4</t>
  </si>
  <si>
    <t>I6Z5E7T1</t>
  </si>
  <si>
    <t>V1U1H9P8</t>
  </si>
  <si>
    <t>V9P5S6U8</t>
  </si>
  <si>
    <t>G9X1I2L9</t>
  </si>
  <si>
    <t>S6I8S3K2</t>
  </si>
  <si>
    <t>U7Z8Q8D9</t>
  </si>
  <si>
    <t>I4V6B8P9</t>
  </si>
  <si>
    <t>M8H2J5N5</t>
  </si>
  <si>
    <t>F4P2G6E3</t>
  </si>
  <si>
    <t>R7M5I3J7</t>
  </si>
  <si>
    <t>Z8C1K1I4</t>
  </si>
  <si>
    <t>E8V4X1V4</t>
  </si>
  <si>
    <t>A1K4T7G9</t>
  </si>
  <si>
    <t>X4O1G5H8</t>
  </si>
  <si>
    <t>I9F8P7R6</t>
  </si>
  <si>
    <t>Z4U8M6L2</t>
  </si>
  <si>
    <t>L3D2B6T9</t>
  </si>
  <si>
    <t>H1F6C8E1</t>
  </si>
  <si>
    <t>T6T8O8G1</t>
  </si>
  <si>
    <t>A8P2R4P8</t>
  </si>
  <si>
    <t>P3Z4Z5O4</t>
  </si>
  <si>
    <t>D4U4K1P5</t>
  </si>
  <si>
    <t>X9P8G1D4</t>
  </si>
  <si>
    <t>K2H4A9G1</t>
  </si>
  <si>
    <t>B8V2E6D8</t>
  </si>
  <si>
    <t>Z6F5K7I3</t>
  </si>
  <si>
    <t>D4A9F1E6</t>
  </si>
  <si>
    <t>Q9O2G6S3</t>
  </si>
  <si>
    <t>Z5Q8U5C6</t>
  </si>
  <si>
    <t>M4G2J8M6</t>
  </si>
  <si>
    <t>G8V6R4H5</t>
  </si>
  <si>
    <t>P2A1X1J4</t>
  </si>
  <si>
    <t>G2Z4A3G9</t>
  </si>
  <si>
    <t>U3F8G2D2</t>
  </si>
  <si>
    <t>Q6X8E1X9</t>
  </si>
  <si>
    <t>R7M3N2E4</t>
  </si>
  <si>
    <t>R6S7K9Q5</t>
  </si>
  <si>
    <t>D7C3T9B2</t>
  </si>
  <si>
    <t>T9U1H4T8</t>
  </si>
  <si>
    <t>K2U8G8N1</t>
  </si>
  <si>
    <t>Z9F8F1S4</t>
  </si>
  <si>
    <t>J4V6P9M2</t>
  </si>
  <si>
    <t>B3O8E4K9</t>
  </si>
  <si>
    <t>S4C4B9X8</t>
  </si>
  <si>
    <t>T2A1M8V4</t>
  </si>
  <si>
    <t>V3E5P1L2</t>
  </si>
  <si>
    <t>E9V2J9C8</t>
  </si>
  <si>
    <t>M9T7R3C9</t>
  </si>
  <si>
    <t>P6I4V8R2</t>
  </si>
  <si>
    <t>U8C2R3F6</t>
  </si>
  <si>
    <t>I9T9S8S8</t>
  </si>
  <si>
    <t>J5E5V4A8</t>
  </si>
  <si>
    <t>U5K5U6R7</t>
  </si>
  <si>
    <t>S9C9K7L7</t>
  </si>
  <si>
    <t>O6T5J6I6</t>
  </si>
  <si>
    <t>H2A1K8T4</t>
  </si>
  <si>
    <t>G9S4Z1O3</t>
  </si>
  <si>
    <t>G3F2T9T8</t>
  </si>
  <si>
    <t>I6U9X7O4</t>
  </si>
  <si>
    <t>U3P8F8N1</t>
  </si>
  <si>
    <t>J4C8Z8J8</t>
  </si>
  <si>
    <t>N6N2F6V3</t>
  </si>
  <si>
    <t>Q6G4P7F5</t>
  </si>
  <si>
    <t>N7N6L3M5</t>
  </si>
  <si>
    <t>U1E9M7J9</t>
  </si>
  <si>
    <t>C8I1R7V6</t>
  </si>
  <si>
    <t>N3P2A8K7</t>
  </si>
  <si>
    <t>Z9B1J8Z3</t>
  </si>
  <si>
    <t>M6J4X4V2</t>
  </si>
  <si>
    <t>F7T6Q6F4</t>
  </si>
  <si>
    <t>Q4H7P2N7</t>
  </si>
  <si>
    <t>J6S5B2P4</t>
  </si>
  <si>
    <t>F7F5U2M9</t>
  </si>
  <si>
    <t>J9L3A7I5</t>
  </si>
  <si>
    <t>K7D5M2J4</t>
  </si>
  <si>
    <t>P8S6X2L6</t>
  </si>
  <si>
    <t>P6P3O6S7</t>
  </si>
  <si>
    <t>Q7F4X3C9</t>
  </si>
  <si>
    <t>F3H1H5T6</t>
  </si>
  <si>
    <t>L5M3K3A3</t>
  </si>
  <si>
    <t>A5I3T5S5</t>
  </si>
  <si>
    <t>J7G4A7H6</t>
  </si>
  <si>
    <t>I2K6G5R4</t>
  </si>
  <si>
    <t>P5X1I3N7</t>
  </si>
  <si>
    <t>S6I2A9J6</t>
  </si>
  <si>
    <t>U4J2L6P4</t>
  </si>
  <si>
    <t>O1E2S5E3</t>
  </si>
  <si>
    <t>E6T4K5I4</t>
  </si>
  <si>
    <t>R6E4O8Q7</t>
  </si>
  <si>
    <t>K4P1K3N8</t>
  </si>
  <si>
    <t>D1I5X8F8</t>
  </si>
  <si>
    <t>S4L2O3H3</t>
  </si>
  <si>
    <t>P4T9Z4R9</t>
  </si>
  <si>
    <t>D9S9V5K2</t>
  </si>
  <si>
    <t>S8P7E7O4</t>
  </si>
  <si>
    <t>G5D4M3I3</t>
  </si>
  <si>
    <t>C9L5F5S9</t>
  </si>
  <si>
    <t>D9C8N6C7</t>
  </si>
  <si>
    <t>X8A1J4U4</t>
  </si>
  <si>
    <t>F9O6Z1J9</t>
  </si>
  <si>
    <t>L8A4M5I5</t>
  </si>
  <si>
    <t>F8I3V7R6</t>
  </si>
  <si>
    <t>F5F2N4C7</t>
  </si>
  <si>
    <t>U2Z2Z7S7</t>
  </si>
  <si>
    <t>Q5V1H2I2</t>
  </si>
  <si>
    <t>O7I2N8V8</t>
  </si>
  <si>
    <t>M7Z5S1E7</t>
  </si>
  <si>
    <t>P4I8H5V7</t>
  </si>
  <si>
    <t>Q1H6Z4P5</t>
  </si>
  <si>
    <t>R5S4Z7Q5</t>
  </si>
  <si>
    <t>I5G7I7J7</t>
  </si>
  <si>
    <t>P5Q2P9A1</t>
  </si>
  <si>
    <t>J3X7H3M7</t>
  </si>
  <si>
    <t>Q8A8D8H7</t>
  </si>
  <si>
    <t>V8E8Q7L3</t>
  </si>
  <si>
    <t>C2J1E2Z4</t>
  </si>
  <si>
    <t>O5B6Q4C1</t>
  </si>
  <si>
    <t>Z9A7J9R3</t>
  </si>
  <si>
    <t>T2K6N7C7</t>
  </si>
  <si>
    <t>C3C1R9M6</t>
  </si>
  <si>
    <t>D4D5T1U9</t>
  </si>
  <si>
    <t>D1S7X5P5</t>
  </si>
  <si>
    <t>A1H1A1G4</t>
  </si>
  <si>
    <t>O4I5H6K6</t>
  </si>
  <si>
    <t>A5U4E9O5</t>
  </si>
  <si>
    <t>U9A1H8G2</t>
  </si>
  <si>
    <t>B3X8J9V6</t>
  </si>
  <si>
    <t>R3H2R7L7</t>
  </si>
  <si>
    <t>Z1J3X4F5</t>
  </si>
  <si>
    <t>E2I7H9Z5</t>
  </si>
  <si>
    <t>X3E7F2I3</t>
  </si>
  <si>
    <t>C5K9B7I8</t>
  </si>
  <si>
    <t>F1D6T4M7</t>
  </si>
  <si>
    <t>F9H9T8F6</t>
  </si>
  <si>
    <t>B5M6N7H8</t>
  </si>
  <si>
    <t>U8S3H2J5</t>
  </si>
  <si>
    <t>J4B1T1H4</t>
  </si>
  <si>
    <t>Q5L5F4Q4</t>
  </si>
  <si>
    <t>S9H3B3Q4</t>
  </si>
  <si>
    <t>T2V7Q3B6</t>
  </si>
  <si>
    <t>S9C8O2Z2</t>
  </si>
  <si>
    <t>V7J2D6G6</t>
  </si>
  <si>
    <t>G3R8F6G9</t>
  </si>
  <si>
    <t>S7V4Q2F5</t>
  </si>
  <si>
    <t>I6H5D5D7</t>
  </si>
  <si>
    <t>A5I3M9B9</t>
  </si>
  <si>
    <t>P8M8Q3Q4</t>
  </si>
  <si>
    <t>C6V2R3P7</t>
  </si>
  <si>
    <t>V3M3V3R6</t>
  </si>
  <si>
    <t>R8T2X7C8</t>
  </si>
  <si>
    <t>C4F9S4S7</t>
  </si>
  <si>
    <t>P5V8G3L8</t>
  </si>
  <si>
    <t>N7A4S1I1</t>
  </si>
  <si>
    <t>P4S1U5X5</t>
  </si>
  <si>
    <t>I6Q7I5A2</t>
  </si>
  <si>
    <t>J7X3V6R3</t>
  </si>
  <si>
    <t>L3Q7B9J2</t>
  </si>
  <si>
    <t>H3P9E1Q3</t>
  </si>
  <si>
    <t>N9V5B7D3</t>
  </si>
  <si>
    <t>F7Q9X1Q7</t>
  </si>
  <si>
    <t>L7L9Q2I6</t>
  </si>
  <si>
    <t>D8C5P2H7</t>
  </si>
  <si>
    <t>R1O9T4G7</t>
  </si>
  <si>
    <t>O4H7C4Z4</t>
  </si>
  <si>
    <t>B4P6F7B9</t>
  </si>
  <si>
    <t>D1A4N1H3</t>
  </si>
  <si>
    <t>O8Z9Z3F2</t>
  </si>
  <si>
    <t>E5M4J3O2</t>
  </si>
  <si>
    <t>V8X2R1U1</t>
  </si>
  <si>
    <t>I3D3P7X8</t>
  </si>
  <si>
    <t>I5U3O9C3</t>
  </si>
  <si>
    <t>F2V1L4I3</t>
  </si>
  <si>
    <t>E7C2P3H9</t>
  </si>
  <si>
    <t>L3H6J7K4</t>
  </si>
  <si>
    <t>M9L7G6Z6</t>
  </si>
  <si>
    <t>F8P6H6A2</t>
  </si>
  <si>
    <t>R7Q4B9R1</t>
  </si>
  <si>
    <t>X4M1B4Q4</t>
  </si>
  <si>
    <t>G8S8O7R8</t>
  </si>
  <si>
    <t>C5X8H4A1</t>
  </si>
  <si>
    <t>N7P4A4N1</t>
  </si>
  <si>
    <t>J2H3C1F8</t>
  </si>
  <si>
    <t>J1P1T4Z1</t>
  </si>
  <si>
    <t>Z1F6V8D6</t>
  </si>
  <si>
    <t>Q5A7R9L3</t>
  </si>
  <si>
    <t>O7O7O9V1</t>
  </si>
  <si>
    <t>R1V4O3Q5</t>
  </si>
  <si>
    <t>D3Q5F1N6</t>
  </si>
  <si>
    <t>D7F8A7D2</t>
  </si>
  <si>
    <t>B8Z1N8I3</t>
  </si>
  <si>
    <t>K5R7L1Z6</t>
  </si>
  <si>
    <t>Q5X5C4S8</t>
  </si>
  <si>
    <t>T3B3P6A8</t>
  </si>
  <si>
    <t>T8J9C5P8</t>
  </si>
  <si>
    <t>Z7E8B1K6</t>
  </si>
  <si>
    <t>S7H7I7X7</t>
  </si>
  <si>
    <t>X8I6D2D5</t>
  </si>
  <si>
    <t>V3C3N7I9</t>
  </si>
  <si>
    <t>K2B4S9I9</t>
  </si>
  <si>
    <t>H5T8L8N5</t>
  </si>
  <si>
    <t>X2I8B9O5</t>
  </si>
  <si>
    <t>K8R3Q4A9</t>
  </si>
  <si>
    <t>A1B3G8B2</t>
  </si>
  <si>
    <t>T9D9I4J5</t>
  </si>
  <si>
    <t>P4A4O1Q5</t>
  </si>
  <si>
    <t>S7V2H2E1</t>
  </si>
  <si>
    <t>O1O5N8N5</t>
  </si>
  <si>
    <t>P3A1S1T8</t>
  </si>
  <si>
    <t>Q3J4L4X8</t>
  </si>
  <si>
    <t>Z4U1V8S5</t>
  </si>
  <si>
    <t>E2R1H6Q2</t>
  </si>
  <si>
    <t>D9I2A5I8</t>
  </si>
  <si>
    <t>S6G8R6H7</t>
  </si>
  <si>
    <t>B5B7B2C2</t>
  </si>
  <si>
    <t>C3G5T9B4</t>
  </si>
  <si>
    <t>A2E4X6S5</t>
  </si>
  <si>
    <t>O8H7R2C6</t>
  </si>
  <si>
    <t>E2E2Q2Q6</t>
  </si>
  <si>
    <t>X6V6K7Z5</t>
  </si>
  <si>
    <t>M9V2I1Z1</t>
  </si>
  <si>
    <t>N1L6X5F7</t>
  </si>
  <si>
    <t>E5V7N9V6</t>
  </si>
  <si>
    <t>J9I2T6X8</t>
  </si>
  <si>
    <t>A5Q5C3Q1</t>
  </si>
  <si>
    <t>P1A9K8M2</t>
  </si>
  <si>
    <t>G3O4V2S6</t>
  </si>
  <si>
    <t>D7D2H2X4</t>
  </si>
  <si>
    <t>U4N4V1P7</t>
  </si>
  <si>
    <t>Z9Z6N6J8</t>
  </si>
  <si>
    <t>O9L7J4B1</t>
  </si>
  <si>
    <t>J8S7E4V6</t>
  </si>
  <si>
    <t>G5H2C8J9</t>
  </si>
  <si>
    <t>J5Q8M8K5</t>
  </si>
  <si>
    <t>L8T6O5S8</t>
  </si>
  <si>
    <t>J7L4H7H4</t>
  </si>
  <si>
    <t>T4R7I2T3</t>
  </si>
  <si>
    <t>V4P3S3X6</t>
  </si>
  <si>
    <t>D9F6C7T2</t>
  </si>
  <si>
    <t>K8M8F6N8</t>
  </si>
  <si>
    <t>P7O8V6I5</t>
  </si>
  <si>
    <t>Q3X2J7M8</t>
  </si>
  <si>
    <t>L4E2X4D5</t>
  </si>
  <si>
    <t>D3F1Q6M5</t>
  </si>
  <si>
    <t>I3R6M6E5</t>
  </si>
  <si>
    <t>Z9T5F2F3</t>
  </si>
  <si>
    <t>I7Z8X2P7</t>
  </si>
  <si>
    <t>S5T4M4A6</t>
  </si>
  <si>
    <t>V6X6G8U4</t>
  </si>
  <si>
    <t>J5X1E1T1</t>
  </si>
  <si>
    <t>K9Q8J2C5</t>
  </si>
  <si>
    <t>Q7R6G9U8</t>
  </si>
  <si>
    <t>D7B8V5P8</t>
  </si>
  <si>
    <t>I5I1I7M4</t>
  </si>
  <si>
    <t>I5Q6V4G1</t>
  </si>
  <si>
    <t>I1G4G7D7</t>
  </si>
  <si>
    <t>F1A9B2X5</t>
  </si>
  <si>
    <t>S9Q5H4H6</t>
  </si>
  <si>
    <t>Q3B9S5U4</t>
  </si>
  <si>
    <t>J6Q8V2L9</t>
  </si>
  <si>
    <t>K9P8M8X1</t>
  </si>
  <si>
    <t>I8C9N9U9</t>
  </si>
  <si>
    <t>O9M5P1P8</t>
  </si>
  <si>
    <t>P3V5C3S6</t>
  </si>
  <si>
    <t>I2A9C4K6</t>
  </si>
  <si>
    <t>J5J3L2M3</t>
  </si>
  <si>
    <t>I9I9G8M8</t>
  </si>
  <si>
    <t>Z1F6F2R4</t>
  </si>
  <si>
    <t>K5Q9M6V3</t>
  </si>
  <si>
    <t>O3F1D2A3</t>
  </si>
  <si>
    <t>C3L3X4L7</t>
  </si>
  <si>
    <t>J6V7X4X5</t>
  </si>
  <si>
    <t>A9T8S9U3</t>
  </si>
  <si>
    <t>B5Q4D6Q7</t>
  </si>
  <si>
    <t>H3V1X6O8</t>
  </si>
  <si>
    <t>T5N1A3U9</t>
  </si>
  <si>
    <t>E6B8C8D4</t>
  </si>
  <si>
    <t>L3I1G8M6</t>
  </si>
  <si>
    <t>K7N1B7J1</t>
  </si>
  <si>
    <t>U2L9B9U9</t>
  </si>
  <si>
    <t>G9L1T1L4</t>
  </si>
  <si>
    <t>O8J9N4E1</t>
  </si>
  <si>
    <t>I2T5L9K1</t>
  </si>
  <si>
    <t>M5O6Z7I7</t>
  </si>
  <si>
    <t>O1I2L8K1</t>
  </si>
  <si>
    <t>E7L2P6B7</t>
  </si>
  <si>
    <t>L2X3C7G1</t>
  </si>
  <si>
    <t>E2M8T3T7</t>
  </si>
  <si>
    <t>A2G6C1J2</t>
  </si>
  <si>
    <t>F4I6N2S8</t>
  </si>
  <si>
    <t>L1N5I2N8</t>
  </si>
  <si>
    <t>J2G6D5J7</t>
  </si>
  <si>
    <t>D3G9J2B5</t>
  </si>
  <si>
    <t>U1I5O5X8</t>
  </si>
  <si>
    <t>A8O3R7U9</t>
  </si>
  <si>
    <t>H9P3E2S9</t>
  </si>
  <si>
    <t>D6Z3Q2U6</t>
  </si>
  <si>
    <t>O6Q6R5P8</t>
  </si>
  <si>
    <t>F4N6Z9L9</t>
  </si>
  <si>
    <t>J6K6H5T1</t>
  </si>
  <si>
    <t>J1O9H4U6</t>
  </si>
  <si>
    <t>E7X8B2B6</t>
  </si>
  <si>
    <t>K1G6B6I3</t>
  </si>
  <si>
    <t>U7Z4O5N5</t>
  </si>
  <si>
    <t>A7C5C9A8</t>
  </si>
  <si>
    <t>S5A4M8Q9</t>
  </si>
  <si>
    <t>E8J5B8T3</t>
  </si>
  <si>
    <t>F4O1A8F1</t>
  </si>
  <si>
    <t>S2Q7M9H5</t>
  </si>
  <si>
    <t>A2D8N4J3</t>
  </si>
  <si>
    <t>S1M7P8F1</t>
  </si>
  <si>
    <t>U9B4L5X1</t>
  </si>
  <si>
    <t>D8B1P3S7</t>
  </si>
  <si>
    <t>V5A1H9X9</t>
  </si>
  <si>
    <t>D1L8N5D6</t>
  </si>
  <si>
    <t>A9U1E3R1</t>
  </si>
  <si>
    <t>G6U3Z3I4</t>
  </si>
  <si>
    <t>B9A6T7J8</t>
  </si>
  <si>
    <t>Q5M5Q5N8</t>
  </si>
  <si>
    <t>V4U7S5I1</t>
  </si>
  <si>
    <t>N9X1P9S3</t>
  </si>
  <si>
    <t>C3E9Q7K2</t>
  </si>
  <si>
    <t>Z9T9L8I1</t>
  </si>
  <si>
    <t>P4Q7O2U6</t>
  </si>
  <si>
    <t>P4I3H2J8</t>
  </si>
  <si>
    <t>P3Z2H9K4</t>
  </si>
  <si>
    <t>Q1N5R7F9</t>
  </si>
  <si>
    <t>P9N1U2D7</t>
  </si>
  <si>
    <t>D4N8U8U3</t>
  </si>
  <si>
    <t>I5C4O7J2</t>
  </si>
  <si>
    <t>N5D4B5E9</t>
  </si>
  <si>
    <t>M6V8B5S5</t>
  </si>
  <si>
    <t>U2S5K6P1</t>
  </si>
  <si>
    <t>B8Z8A8X4</t>
  </si>
  <si>
    <t>N5L9K6X2</t>
  </si>
  <si>
    <t>S9G1J5U9</t>
  </si>
  <si>
    <t>G7M3K4S5</t>
  </si>
  <si>
    <t>M5E2Z9C6</t>
  </si>
  <si>
    <t>K1A1C9E9</t>
  </si>
  <si>
    <t>Z2R9O9R1</t>
  </si>
  <si>
    <t>L7S7J8C7</t>
  </si>
  <si>
    <t>O2U4I2G3</t>
  </si>
  <si>
    <t>S1I8T8G8</t>
  </si>
  <si>
    <t>J5C2C6L5</t>
  </si>
  <si>
    <t>P4M1P3V7</t>
  </si>
  <si>
    <t>R4E7V5P2</t>
  </si>
  <si>
    <t>C7I6L4V9</t>
  </si>
  <si>
    <t>H8D9F7C5</t>
  </si>
  <si>
    <t>O5P7N4M7</t>
  </si>
  <si>
    <t>Q8E4F2X3</t>
  </si>
  <si>
    <t>N2C3T1B3</t>
  </si>
  <si>
    <t>G1F1A9G5</t>
  </si>
  <si>
    <t>Z2B2Z4H9</t>
  </si>
  <si>
    <t>B6Z1G2X1</t>
  </si>
  <si>
    <t>B7A5R7Z9</t>
  </si>
  <si>
    <t>C6E1J5S2</t>
  </si>
  <si>
    <t>Q5F2O4U2</t>
  </si>
  <si>
    <t>N2V1B5S3</t>
  </si>
  <si>
    <t>F7K7O8T7</t>
  </si>
  <si>
    <t>S5L8I3A9</t>
  </si>
  <si>
    <t>B8S3T6C1</t>
  </si>
  <si>
    <t>D4Q3E4R2</t>
  </si>
  <si>
    <t>A1S4T1K6</t>
  </si>
  <si>
    <t>F4V3C9O5</t>
  </si>
  <si>
    <t>G8K7B1B5</t>
  </si>
  <si>
    <t>P8N8M3P2</t>
  </si>
  <si>
    <t>D3S5L5K6</t>
  </si>
  <si>
    <t>U8T6R9U8</t>
  </si>
  <si>
    <t>V2U8R5J6</t>
  </si>
  <si>
    <t>C3V5L8B7</t>
  </si>
  <si>
    <t>L9U1A8A5</t>
  </si>
  <si>
    <t>Q9A6V3C3</t>
  </si>
  <si>
    <t>G5M9T2S1</t>
  </si>
  <si>
    <t>U8F7F9Z5</t>
  </si>
  <si>
    <t>Z8Q2D4A4</t>
  </si>
  <si>
    <t>G7V9I7J6</t>
  </si>
  <si>
    <t>M7E9U8X2</t>
  </si>
  <si>
    <t>T4R1V6X3</t>
  </si>
  <si>
    <t>G7V6U9H1</t>
  </si>
  <si>
    <t>J4G4Q6U3</t>
  </si>
  <si>
    <t>R9C4X8P6</t>
  </si>
  <si>
    <t>H8N2C3S9</t>
  </si>
  <si>
    <t>H7P8C1S7</t>
  </si>
  <si>
    <t>Z3A3C2M7</t>
  </si>
  <si>
    <t>S8K3A3S7</t>
  </si>
  <si>
    <t>J4U6A5R8</t>
  </si>
  <si>
    <t>Z2X2I7U9</t>
  </si>
  <si>
    <t>J5K6M5T2</t>
  </si>
  <si>
    <t>E1B5G6X6</t>
  </si>
  <si>
    <t>X1O7P1U5</t>
  </si>
  <si>
    <t>S6G5D8Q1</t>
  </si>
  <si>
    <t>H4M5Q1J2</t>
  </si>
  <si>
    <t>K1I1R3D2</t>
  </si>
  <si>
    <t>J6E1R8U9</t>
  </si>
  <si>
    <t>D1I1C9E7</t>
  </si>
  <si>
    <t>J9R4J5B8</t>
  </si>
  <si>
    <t>M5Q9F6S5</t>
  </si>
  <si>
    <t>E9H1B3M7</t>
  </si>
  <si>
    <t>T9B7Z9X1</t>
  </si>
  <si>
    <t>H2R7K9V2</t>
  </si>
  <si>
    <t>L9I9Q3V5</t>
  </si>
  <si>
    <t>B9T2A2M7</t>
  </si>
  <si>
    <t>V8Z6I4N5</t>
  </si>
  <si>
    <t>J4Z8V9J1</t>
  </si>
  <si>
    <t>I4R9X1T7</t>
  </si>
  <si>
    <t>C6S7P6P1</t>
  </si>
  <si>
    <t>K3N5Z1M2</t>
  </si>
  <si>
    <t>Z5C9N3M9</t>
  </si>
  <si>
    <t>R6B3U6S1</t>
  </si>
  <si>
    <t>Q8O2X1P6</t>
  </si>
  <si>
    <t>D1J3O9P5</t>
  </si>
  <si>
    <t>F8Z1S1D6</t>
  </si>
  <si>
    <t>L9F9F3C5</t>
  </si>
  <si>
    <t>V1E6X9G8</t>
  </si>
  <si>
    <t>O6Q8L3L9</t>
  </si>
  <si>
    <t>Z2J5J4U7</t>
  </si>
  <si>
    <t>Z2E3S1Q8</t>
  </si>
  <si>
    <t>I8P8V5C5</t>
  </si>
  <si>
    <t>B1S9M8R7</t>
  </si>
  <si>
    <t>K5K3I1A9</t>
  </si>
  <si>
    <t>E6K9R4U1</t>
  </si>
  <si>
    <t>A7M8F6F1</t>
  </si>
  <si>
    <t>T5D6K7Z7</t>
  </si>
  <si>
    <t>P8Z7F1U2</t>
  </si>
  <si>
    <t>Z2D8K7P8</t>
  </si>
  <si>
    <t>N8Q3K6N7</t>
  </si>
  <si>
    <t>S6Q7A4Q5</t>
  </si>
  <si>
    <t>L8X8L9S4</t>
  </si>
  <si>
    <t>H6I9V8L1</t>
  </si>
  <si>
    <t>N4J2P6T8</t>
  </si>
  <si>
    <t>T1L5N7R3</t>
  </si>
  <si>
    <t>L5A2F5E5</t>
  </si>
  <si>
    <t>S5C5Q1R6</t>
  </si>
  <si>
    <t>V9U3L8M3</t>
  </si>
  <si>
    <t>X3A4C7G7</t>
  </si>
  <si>
    <t>T3M4H1K3</t>
  </si>
  <si>
    <t>X4E5B4H2</t>
  </si>
  <si>
    <t>K7D8C5Z6</t>
  </si>
  <si>
    <t>G9G7L4T7</t>
  </si>
  <si>
    <t>A4J4O2J5</t>
  </si>
  <si>
    <t>N9G7G3Q4</t>
  </si>
  <si>
    <t>G4K2C1T5</t>
  </si>
  <si>
    <t>Z5X4I8R8</t>
  </si>
  <si>
    <t>H6J7U1A7</t>
  </si>
  <si>
    <t>L2K1U1V4</t>
  </si>
  <si>
    <t>G9C7J8G3</t>
  </si>
  <si>
    <t>A5C4S2P5</t>
  </si>
  <si>
    <t>S8P8E9C4</t>
  </si>
  <si>
    <t>P7V3A7L3</t>
  </si>
  <si>
    <t>B3N2X5M3</t>
  </si>
  <si>
    <t>F2H3S9N1</t>
  </si>
  <si>
    <t>A1A8A8P1</t>
  </si>
  <si>
    <t>D4U3O1S3</t>
  </si>
  <si>
    <t>Z4I8V2D6</t>
  </si>
  <si>
    <t>C7L9L6I2</t>
  </si>
  <si>
    <t>L8G3P3J5</t>
  </si>
  <si>
    <t>V8U1Q2X8</t>
  </si>
  <si>
    <t>I3K4R2M8</t>
  </si>
  <si>
    <t>Q6O9S3R7</t>
  </si>
  <si>
    <t>X1R3H2M2</t>
  </si>
  <si>
    <t>S3B9A9M4</t>
  </si>
  <si>
    <t>B9F6V7N3</t>
  </si>
  <si>
    <t>J7F9I8I7</t>
  </si>
  <si>
    <t>N4I6R4M7</t>
  </si>
  <si>
    <t>T7G6Z2A5</t>
  </si>
  <si>
    <t>E9Q2N7J6</t>
  </si>
  <si>
    <t>D8B6J5Q4</t>
  </si>
  <si>
    <t>N7X5B4I3</t>
  </si>
  <si>
    <t>U1E1R3L2</t>
  </si>
  <si>
    <t>U4T9L5I1</t>
  </si>
  <si>
    <t>Q3S8G2Q4</t>
  </si>
  <si>
    <t>J2T2P1Z9</t>
  </si>
  <si>
    <t>P2R9K4E5</t>
  </si>
  <si>
    <t>P9E3J8I5</t>
  </si>
  <si>
    <t>T6L5V9S5</t>
  </si>
  <si>
    <t>F8Z9P2R8</t>
  </si>
  <si>
    <t>E8F5P7V4</t>
  </si>
  <si>
    <t>E1I3G8P9</t>
  </si>
  <si>
    <t>S1C1P3I4</t>
  </si>
  <si>
    <t>T5S8G8D7</t>
  </si>
  <si>
    <t>D2R6H6X4</t>
  </si>
  <si>
    <t>M5Q4C9C3</t>
  </si>
  <si>
    <t>R1K7U7P5</t>
  </si>
  <si>
    <t>D2C5F2J5</t>
  </si>
  <si>
    <t>E2N5H3H1</t>
  </si>
  <si>
    <t>I6K5G7E8</t>
  </si>
  <si>
    <t>U9V6X2D3</t>
  </si>
  <si>
    <t>S4J7T9X1</t>
  </si>
  <si>
    <t>G5D4A5U2</t>
  </si>
  <si>
    <t>T9R1Q1N3</t>
  </si>
  <si>
    <t>Q5V4G3M3</t>
  </si>
  <si>
    <t>R9D7B5L4</t>
  </si>
  <si>
    <t>U4F8A4A6</t>
  </si>
  <si>
    <t>S9N9A1L5</t>
  </si>
  <si>
    <t>A9U7X5I6</t>
  </si>
  <si>
    <t>D7J8B2Q6</t>
  </si>
  <si>
    <t>A7X2B6O4</t>
  </si>
  <si>
    <t>R4K7I9R9</t>
  </si>
  <si>
    <t>P7X8N7Z9</t>
  </si>
  <si>
    <t>C1I2U3I9</t>
  </si>
  <si>
    <t>G6S7J2T2</t>
  </si>
  <si>
    <t>F1J2G8Z2</t>
  </si>
  <si>
    <t>F6D7U3Z9</t>
  </si>
  <si>
    <t>U5Q2I7C1</t>
  </si>
  <si>
    <t>S6I8C1S3</t>
  </si>
  <si>
    <t>J1X8S7L1</t>
  </si>
  <si>
    <t>U3V1I3O1</t>
  </si>
  <si>
    <t>P4O6A9B6</t>
  </si>
  <si>
    <t>H3S6J4C5</t>
  </si>
  <si>
    <t>G3F2Z1Q5</t>
  </si>
  <si>
    <t>P6N9T9P7</t>
  </si>
  <si>
    <t>V3Z7U2U4</t>
  </si>
  <si>
    <t>Z7K2V6L6</t>
  </si>
  <si>
    <t>O7G7H1U4</t>
  </si>
  <si>
    <t>S2V9Z4S6</t>
  </si>
  <si>
    <t>J5K7N5Q3</t>
  </si>
  <si>
    <t>V9R6O5A5</t>
  </si>
  <si>
    <t>U4D8T2L7</t>
  </si>
  <si>
    <t>V1H2K2O6</t>
  </si>
  <si>
    <t>A9I8A4Z9</t>
  </si>
  <si>
    <t>I6X3C7T7</t>
  </si>
  <si>
    <t>R7N4U2N8</t>
  </si>
  <si>
    <t>C6J2Z7U8</t>
  </si>
  <si>
    <t>Z2M4A7U6</t>
  </si>
  <si>
    <t>I8J8G4Q9</t>
  </si>
  <si>
    <t>F6O2M1R2</t>
  </si>
  <si>
    <t>F8S8U1M6</t>
  </si>
  <si>
    <t>E4I8K5O5</t>
  </si>
  <si>
    <t>X4O6C2B2</t>
  </si>
  <si>
    <t>F4A1X8K3</t>
  </si>
  <si>
    <t>N4R6N7T2</t>
  </si>
  <si>
    <t>G4H5D3R7</t>
  </si>
  <si>
    <t>D6N1Q8O8</t>
  </si>
  <si>
    <t>B1Q1U8Q5</t>
  </si>
  <si>
    <t>F6A3C4G2</t>
  </si>
  <si>
    <t>V8D7R8E8</t>
  </si>
  <si>
    <t>K8L5Z9D9</t>
  </si>
  <si>
    <t>G9N3X7M3</t>
  </si>
  <si>
    <t>A6T1D8R4</t>
  </si>
  <si>
    <t>L5Z3H1H1</t>
  </si>
  <si>
    <t>B7Q7J5Z9</t>
  </si>
  <si>
    <t>E9T1U1Q6</t>
  </si>
  <si>
    <t>K8D8V9G7</t>
  </si>
  <si>
    <t>P3F1S9D4</t>
  </si>
  <si>
    <t>D3D2X4K3</t>
  </si>
  <si>
    <t>D4H9B6B3</t>
  </si>
  <si>
    <t>C9H5O7V4</t>
  </si>
  <si>
    <t>F8O5H4R9</t>
  </si>
  <si>
    <t>N8G8N2O6</t>
  </si>
  <si>
    <t>D1C8Q1P2</t>
  </si>
  <si>
    <t>D4N9S5E2</t>
  </si>
  <si>
    <t>J2Z1Z2F5</t>
  </si>
  <si>
    <t>V3T8B9N4</t>
  </si>
  <si>
    <t>M9N8C8S5</t>
  </si>
  <si>
    <t>A1D2C9D1</t>
  </si>
  <si>
    <t>G1B8H5A3</t>
  </si>
  <si>
    <t>I8H2X2I1</t>
  </si>
  <si>
    <t>T5J6E7C6</t>
  </si>
  <si>
    <t>P9H5K7X7</t>
  </si>
  <si>
    <t>A8B2B7U3</t>
  </si>
  <si>
    <t>F5A8E7L6</t>
  </si>
  <si>
    <t>T2E1X3V3</t>
  </si>
  <si>
    <t>L7J7P9U4</t>
  </si>
  <si>
    <t>D9D7C9P4</t>
  </si>
  <si>
    <t>S6I6A7S8</t>
  </si>
  <si>
    <t>B6U4B5R7</t>
  </si>
  <si>
    <t>Z9V4T9O2</t>
  </si>
  <si>
    <t>S9K2C1J9</t>
  </si>
  <si>
    <t>C5P3Z5U9</t>
  </si>
  <si>
    <t>H7T3X5N1</t>
  </si>
  <si>
    <t>U4O1J6K6</t>
  </si>
  <si>
    <t>X4N5L6T7</t>
  </si>
  <si>
    <t>N6P2U6L4</t>
  </si>
  <si>
    <t>M7F6Z1C5</t>
  </si>
  <si>
    <t>L1A9P5F8</t>
  </si>
  <si>
    <t>S1N7U7S5</t>
  </si>
  <si>
    <t>O5E8F7S5</t>
  </si>
  <si>
    <t>Q6K1Q3N8</t>
  </si>
  <si>
    <t>L7X9V3S6</t>
  </si>
  <si>
    <t>K4D7X5J9</t>
  </si>
  <si>
    <t>O1M1O8L2</t>
  </si>
  <si>
    <t>Q3X7O9A2</t>
  </si>
  <si>
    <t>R3C9G6T9</t>
  </si>
  <si>
    <t>A9C2E3K1</t>
  </si>
  <si>
    <t>T1O5S1I6</t>
  </si>
  <si>
    <t>L8K1G9B6</t>
  </si>
  <si>
    <t>H7E7R7B3</t>
  </si>
  <si>
    <t>S3U5C4A4</t>
  </si>
  <si>
    <t>N8M2M6L3</t>
  </si>
  <si>
    <t>X6R4A6R8</t>
  </si>
  <si>
    <t>B6K9X4F7</t>
  </si>
  <si>
    <t>O2L2Z8Q4</t>
  </si>
  <si>
    <t>F4I6F2D1</t>
  </si>
  <si>
    <t>V1M2T4H3</t>
  </si>
  <si>
    <t>G1Z9C6T3</t>
  </si>
  <si>
    <t>U4N7R1A8</t>
  </si>
  <si>
    <t>F1K7V1Q9</t>
  </si>
  <si>
    <t>P4I1G4C4</t>
  </si>
  <si>
    <t>I8K3T6S7</t>
  </si>
  <si>
    <t>Z9T6H5S8</t>
  </si>
  <si>
    <t>Z4A6E6H2</t>
  </si>
  <si>
    <t>U9T7J1O6</t>
  </si>
  <si>
    <t>J2Z9L8P8</t>
  </si>
  <si>
    <t>U5X8Q6D9</t>
  </si>
  <si>
    <t>D5O1K1X1</t>
  </si>
  <si>
    <t>S5M6F7E3</t>
  </si>
  <si>
    <t>C3S6E6N3</t>
  </si>
  <si>
    <t>A9F5P5E5</t>
  </si>
  <si>
    <t>N7Q5S8V5</t>
  </si>
  <si>
    <t>T3E8I9F8</t>
  </si>
  <si>
    <t>G1A6L3M4</t>
  </si>
  <si>
    <t>M6T1S6A7</t>
  </si>
  <si>
    <t>A8L7O6L4</t>
  </si>
  <si>
    <t>O8A8V7J1</t>
  </si>
  <si>
    <t>E6N3X1A7</t>
  </si>
  <si>
    <t>T6M7L9K9</t>
  </si>
  <si>
    <t>B2V9C7U7</t>
  </si>
  <si>
    <t>C9S3U3Z5</t>
  </si>
  <si>
    <t>Q4U3A3Z3</t>
  </si>
  <si>
    <t>C3I3V1Z5</t>
  </si>
  <si>
    <t>A8P4C3C2</t>
  </si>
  <si>
    <t>N6O5H3U1</t>
  </si>
  <si>
    <t>S4E7A9X3</t>
  </si>
  <si>
    <t>X2B8R8S2</t>
  </si>
  <si>
    <t>L1D5G3E7</t>
  </si>
  <si>
    <t>C6G7N6Z3</t>
  </si>
  <si>
    <t>J6L6L7J2</t>
  </si>
  <si>
    <t>F1I2F4P9</t>
  </si>
  <si>
    <t>U4K1M7Z6</t>
  </si>
  <si>
    <t>R8T1J9N6</t>
  </si>
  <si>
    <t>M5Z2G2A7</t>
  </si>
  <si>
    <t>C9R2L3Q7</t>
  </si>
  <si>
    <t>P3J6Q6U6</t>
  </si>
  <si>
    <t>F5X6P5V8</t>
  </si>
  <si>
    <t>H1L3A1I3</t>
  </si>
  <si>
    <t>R3Z9M7J4</t>
  </si>
  <si>
    <t>T6A4S9P3</t>
  </si>
  <si>
    <t>Z8G5R9N4</t>
  </si>
  <si>
    <t>N1I1H6H4</t>
  </si>
  <si>
    <t>R4X7V3O1</t>
  </si>
  <si>
    <t>I1O8L1F9</t>
  </si>
  <si>
    <t>A1G2J5F1</t>
  </si>
  <si>
    <t>V5X8Q4E7</t>
  </si>
  <si>
    <t>V5L7G4G5</t>
  </si>
  <si>
    <t>A7I7R7D5</t>
  </si>
  <si>
    <t>A3D3R6R5</t>
  </si>
  <si>
    <t>J3S9J2H9</t>
  </si>
  <si>
    <t>L9E6V7T1</t>
  </si>
  <si>
    <t>U4F2L1N7</t>
  </si>
  <si>
    <t>G4H9G5X6</t>
  </si>
  <si>
    <t>J9H1B3I6</t>
  </si>
  <si>
    <t>U7Z7Q3H6</t>
  </si>
  <si>
    <t>P1I9Q3N4</t>
  </si>
  <si>
    <t>Q5U2N7R3</t>
  </si>
  <si>
    <t>I7S3N6J3</t>
  </si>
  <si>
    <t>G7T9Z6M8</t>
  </si>
  <si>
    <t>Z6Q9F5P4</t>
  </si>
  <si>
    <t>L7X3L6J5</t>
  </si>
  <si>
    <t>J4G4Z2I1</t>
  </si>
  <si>
    <t>X2S2R4L1</t>
  </si>
  <si>
    <t>L8O8B9P6</t>
  </si>
  <si>
    <t>Q3U7J1L1</t>
  </si>
  <si>
    <t>I3B4I1D8</t>
  </si>
  <si>
    <t>P9T5E7F7</t>
  </si>
  <si>
    <t>I1E4K5K1</t>
  </si>
  <si>
    <t>S8N1Z3E6</t>
  </si>
  <si>
    <t>M4A7A8S8</t>
  </si>
  <si>
    <t>O4L3E2N5</t>
  </si>
  <si>
    <t>Q1S5N9E3</t>
  </si>
  <si>
    <t>R3K5D5A9</t>
  </si>
  <si>
    <t>T1F6E1S7</t>
  </si>
  <si>
    <t>C7D7S9O7</t>
  </si>
  <si>
    <t>V2K8H6C3</t>
  </si>
  <si>
    <t>B6Q9U2L3</t>
  </si>
  <si>
    <t>J6B6O8R7</t>
  </si>
  <si>
    <t>V3X6N2E7</t>
  </si>
  <si>
    <t>K1R7N3T4</t>
  </si>
  <si>
    <t>I4D9B9P8</t>
  </si>
  <si>
    <t>B1U8K1Z2</t>
  </si>
  <si>
    <t>A9I8H4R5</t>
  </si>
  <si>
    <t>U8M2J3V1</t>
  </si>
  <si>
    <t>I1T5M7A8</t>
  </si>
  <si>
    <t>A9C2J9H5</t>
  </si>
  <si>
    <t>X8G6L7L1</t>
  </si>
  <si>
    <t>V4F8H4Z8</t>
  </si>
  <si>
    <t>C5N7A5V9</t>
  </si>
  <si>
    <t>M4Z5N9O4</t>
  </si>
  <si>
    <t>B9V3I3L5</t>
  </si>
  <si>
    <t>J7P7F1V6</t>
  </si>
  <si>
    <t>P8X7I1E3</t>
  </si>
  <si>
    <t>A9P3S2B3</t>
  </si>
  <si>
    <t>A2K6A6B8</t>
  </si>
  <si>
    <t>F3F8Q3O8</t>
  </si>
  <si>
    <t>E4I4J9G5</t>
  </si>
  <si>
    <t>K5D4S3B5</t>
  </si>
  <si>
    <t>T9R7I6B9</t>
  </si>
  <si>
    <t>A5L2N1E8</t>
  </si>
  <si>
    <t>D7R9U3T4</t>
  </si>
  <si>
    <t>C6R4S9J3</t>
  </si>
  <si>
    <t>A7X4T9Q9</t>
  </si>
  <si>
    <t>C1H3I2R6</t>
  </si>
  <si>
    <t>C8L2Z6Q2</t>
  </si>
  <si>
    <t>C4T7J6E1</t>
  </si>
  <si>
    <t>G5J5I2H9</t>
  </si>
  <si>
    <t>U7Q7X5J3</t>
  </si>
  <si>
    <t>N6N2L4T6</t>
  </si>
  <si>
    <t>N6L4I7E4</t>
  </si>
  <si>
    <t>D1F6X9R2</t>
  </si>
  <si>
    <t>S1M2I4A7</t>
  </si>
  <si>
    <t>S1Q9C2D1</t>
  </si>
  <si>
    <t>H5F7R8K2</t>
  </si>
  <si>
    <t>J2V4K5A2</t>
  </si>
  <si>
    <t>A5E4E6M1</t>
  </si>
  <si>
    <t>N8J7F2G4</t>
  </si>
  <si>
    <t>M2T6N7H9</t>
  </si>
  <si>
    <t>V3X9R2G9</t>
  </si>
  <si>
    <t>U3Z5T5U9</t>
  </si>
  <si>
    <t>C7A8T7D3</t>
  </si>
  <si>
    <t>O5K5F4V8</t>
  </si>
  <si>
    <t>F6E1B7T9</t>
  </si>
  <si>
    <t>X3R5Z5P9</t>
  </si>
  <si>
    <t>M8E4M6K4</t>
  </si>
  <si>
    <t>B6B3A7O7</t>
  </si>
  <si>
    <t>J7F2T6K5</t>
  </si>
  <si>
    <t>B7J8J8O8</t>
  </si>
  <si>
    <t>K1M6M9T9</t>
  </si>
  <si>
    <t>C1Z8P3J2</t>
  </si>
  <si>
    <t>F1P9D8R1</t>
  </si>
  <si>
    <t>L2A7C1S8</t>
  </si>
  <si>
    <t>F6O4B5V8</t>
  </si>
  <si>
    <t>N4R6A8U7</t>
  </si>
  <si>
    <t>P8D8I8L6</t>
  </si>
  <si>
    <t>C6Z9K1U9</t>
  </si>
  <si>
    <t>Z2T3C7N6</t>
  </si>
  <si>
    <t>P7H2G5N4</t>
  </si>
  <si>
    <t>I9T5B3Q8</t>
  </si>
  <si>
    <t>J1M2G7V6</t>
  </si>
  <si>
    <t>D6A6B6R6</t>
  </si>
  <si>
    <t>F5V1X5I2</t>
  </si>
  <si>
    <t>C1P4K7V2</t>
  </si>
  <si>
    <t>O3F7R5I3</t>
  </si>
  <si>
    <t>H8Q5S9N3</t>
  </si>
  <si>
    <t>V7Z7I9T9</t>
  </si>
  <si>
    <t>Z6G4E4B9</t>
  </si>
  <si>
    <t>K9V9V8Z4</t>
  </si>
  <si>
    <t>D7Q1I7S1</t>
  </si>
  <si>
    <t>C8A2Q8U6</t>
  </si>
  <si>
    <t>G5D5O4G4</t>
  </si>
  <si>
    <t>P6S4I7R4</t>
  </si>
  <si>
    <t>U8L6L9D9</t>
  </si>
  <si>
    <t>S7S2P3I8</t>
  </si>
  <si>
    <t>L5M3I9N8</t>
  </si>
  <si>
    <t>D2R6M9N7</t>
  </si>
  <si>
    <t>M8M4U5P9</t>
  </si>
  <si>
    <t>X6U3E2J8</t>
  </si>
  <si>
    <t>J3V2E5T5</t>
  </si>
  <si>
    <t>V5B4J1G6</t>
  </si>
  <si>
    <t>S1B9S6L4</t>
  </si>
  <si>
    <t>Q5L3M6V8</t>
  </si>
  <si>
    <t>S2N7C6X6</t>
  </si>
  <si>
    <t>V2J4O5I9</t>
  </si>
  <si>
    <t>J3A7R3C3</t>
  </si>
  <si>
    <t>R3A6S1T9</t>
  </si>
  <si>
    <t>S9Z5H9J9</t>
  </si>
  <si>
    <t>U3C8Z1S6</t>
  </si>
  <si>
    <t>C4M1D6M7</t>
  </si>
  <si>
    <t>F9M3F4J2</t>
  </si>
  <si>
    <t>G5Z8D5Z1</t>
  </si>
  <si>
    <t>R1P9A8D2</t>
  </si>
  <si>
    <t>G9B6V3C7</t>
  </si>
  <si>
    <t>R5Z7E3C3</t>
  </si>
  <si>
    <t>C7I4T2H3</t>
  </si>
  <si>
    <t>H8S3S8F9</t>
  </si>
  <si>
    <t>Z6Q6R8X7</t>
  </si>
  <si>
    <t>M4K3K2L6</t>
  </si>
  <si>
    <t>I1X8S7E5</t>
  </si>
  <si>
    <t>C3P1S5T7</t>
  </si>
  <si>
    <t>C4L4R2M1</t>
  </si>
  <si>
    <t>J9V5D5K9</t>
  </si>
  <si>
    <t>P9P2E9J8</t>
  </si>
  <si>
    <t>G2B1I8B9</t>
  </si>
  <si>
    <t>E1D7O8O5</t>
  </si>
  <si>
    <t>H6J1L7E8</t>
  </si>
  <si>
    <t>S9E8M4G7</t>
  </si>
  <si>
    <t>A8S1V2G3</t>
  </si>
  <si>
    <t>O1X3L4U9</t>
  </si>
  <si>
    <t>Z4T6Z1O6</t>
  </si>
  <si>
    <t>K7C2K8I8</t>
  </si>
  <si>
    <t>T7M1T3X5</t>
  </si>
  <si>
    <t>O2G6J4U4</t>
  </si>
  <si>
    <t>D2R8D9G5</t>
  </si>
  <si>
    <t>M1G2P5P6</t>
  </si>
  <si>
    <t>O8D6H7S9</t>
  </si>
  <si>
    <t>Q2C8E6U8</t>
  </si>
  <si>
    <t>U2L9O9U5</t>
  </si>
  <si>
    <t>P1V5O2H6</t>
  </si>
  <si>
    <t>D9S7F7M8</t>
  </si>
  <si>
    <t>E7J4D9J7</t>
  </si>
  <si>
    <t>U2I3I2T7</t>
  </si>
  <si>
    <t>B1I7X6V1</t>
  </si>
  <si>
    <t>S1M4E6E8</t>
  </si>
  <si>
    <t>G4Z8R2G9</t>
  </si>
  <si>
    <t>J8U9B5M4</t>
  </si>
  <si>
    <t>J9E9U3X7</t>
  </si>
  <si>
    <t>R6K2L8R4</t>
  </si>
  <si>
    <t>Z4K6O2U2</t>
  </si>
  <si>
    <t>F7F4R8D8</t>
  </si>
  <si>
    <t>V6A9D3S3</t>
  </si>
  <si>
    <t>H4Q4Z9R5</t>
  </si>
  <si>
    <t>S9I1O6N9</t>
  </si>
  <si>
    <t>K4Z6Z3O2</t>
  </si>
  <si>
    <t>U5U8D5L1</t>
  </si>
  <si>
    <t>U3C2P2Q1</t>
  </si>
  <si>
    <t>I1D6Q5M3</t>
  </si>
  <si>
    <t>T1R5S3A9</t>
  </si>
  <si>
    <t>Q5F3A1A8</t>
  </si>
  <si>
    <t>N7S3A5E4</t>
  </si>
  <si>
    <t>X3K5R9A9</t>
  </si>
  <si>
    <t>D5C1A6P5</t>
  </si>
  <si>
    <t>X3L7J1F9</t>
  </si>
  <si>
    <t>I5H5R2P3</t>
  </si>
  <si>
    <t>N4S5S1D7</t>
  </si>
  <si>
    <t>D7H2N7K7</t>
  </si>
  <si>
    <t>X1F5S4D6</t>
  </si>
  <si>
    <t>C5E3L6N7</t>
  </si>
  <si>
    <t>B6X9L5T9</t>
  </si>
  <si>
    <t>S6K6A5H1</t>
  </si>
  <si>
    <t>S3C7K2S3</t>
  </si>
  <si>
    <t>G5X3J9I8</t>
  </si>
  <si>
    <t>G5L8F1O9</t>
  </si>
  <si>
    <t>N6P7C5L9</t>
  </si>
  <si>
    <t>V1G8U5D2</t>
  </si>
  <si>
    <t>G1P6L3U3</t>
  </si>
  <si>
    <t>M1Q3D5V8</t>
  </si>
  <si>
    <t>T4S7C2P1</t>
  </si>
  <si>
    <t>M6Z9K8U6</t>
  </si>
  <si>
    <t>A5U2C7V5</t>
  </si>
  <si>
    <t>Z3F3A4S5</t>
  </si>
  <si>
    <t>D1M2G5E7</t>
  </si>
  <si>
    <t>L5J5Z2V6</t>
  </si>
  <si>
    <t>L1H4P4Q2</t>
  </si>
  <si>
    <t>X5B3Z9P3</t>
  </si>
  <si>
    <t>F9I3E5S8</t>
  </si>
  <si>
    <t>D4E6X2O1</t>
  </si>
  <si>
    <t>H2F1F7G4</t>
  </si>
  <si>
    <t>O4M8Q4G9</t>
  </si>
  <si>
    <t>F3X9N4J7</t>
  </si>
  <si>
    <t>E4L6V4B5</t>
  </si>
  <si>
    <t>K2E6D4F7</t>
  </si>
  <si>
    <t>R6G3D5D8</t>
  </si>
  <si>
    <t>Z2K7S5C3</t>
  </si>
  <si>
    <t>H2M8U8G9</t>
  </si>
  <si>
    <t>M1K1Q9Z2</t>
  </si>
  <si>
    <t>T1M1D3I6</t>
  </si>
  <si>
    <t>S8S3D2F2</t>
  </si>
  <si>
    <t>K5M5T2I5</t>
  </si>
  <si>
    <t>S2G9J1O1</t>
  </si>
  <si>
    <t>T6L8E4P2</t>
  </si>
  <si>
    <t>X5M9D7U4</t>
  </si>
  <si>
    <t>T5H7Q4F2</t>
  </si>
  <si>
    <t>C4J6A1O7</t>
  </si>
  <si>
    <t>I4V6N9O8</t>
  </si>
  <si>
    <t>K3I1U9S3</t>
  </si>
  <si>
    <t>B1M5C2M3</t>
  </si>
  <si>
    <t>E5V5Z1N4</t>
  </si>
  <si>
    <t>K2L6D6D1</t>
  </si>
  <si>
    <t>K9O6F5A7</t>
  </si>
  <si>
    <t>S5T6F1G8</t>
  </si>
  <si>
    <t>X3T3H4A3</t>
  </si>
  <si>
    <t>H3Z6U5X9</t>
  </si>
  <si>
    <t>G5I9T5K8</t>
  </si>
  <si>
    <t>H3O9L5B9</t>
  </si>
  <si>
    <t>U5L8G6B8</t>
  </si>
  <si>
    <t>B1J4U2I6</t>
  </si>
  <si>
    <t>V6T5L6I7</t>
  </si>
  <si>
    <t>P9M2V4S9</t>
  </si>
  <si>
    <t>C3B9K9D7</t>
  </si>
  <si>
    <t>B9D9J5J4</t>
  </si>
  <si>
    <t>G6E3U2Z4</t>
  </si>
  <si>
    <t>L8D4L1T6</t>
  </si>
  <si>
    <t>Q9U1G3T9</t>
  </si>
  <si>
    <t>F1N6Q4C2</t>
  </si>
  <si>
    <t>Q6F7Z5A4</t>
  </si>
  <si>
    <t>Q6X2P1F6</t>
  </si>
  <si>
    <t>A3S7T5B3</t>
  </si>
  <si>
    <t>G4L6G9G7</t>
  </si>
  <si>
    <t>C3Q7Z3Q1</t>
  </si>
  <si>
    <t>Q9R6P7P9</t>
  </si>
  <si>
    <t>M8X7F5X7</t>
  </si>
  <si>
    <t>D8C3V3K4</t>
  </si>
  <si>
    <t>X9D3R7R5</t>
  </si>
  <si>
    <t>R3R7V9S9</t>
  </si>
  <si>
    <t>U1X9T9D9</t>
  </si>
  <si>
    <t>F2T4T7R4</t>
  </si>
  <si>
    <t>E3T9B4Z5</t>
  </si>
  <si>
    <t>B3M3P2P6</t>
  </si>
  <si>
    <t>E5O1F2M6</t>
  </si>
  <si>
    <t>F5R7A5Q4</t>
  </si>
  <si>
    <t>Q7Z6S8L8</t>
  </si>
  <si>
    <t>E5J3N2X4</t>
  </si>
  <si>
    <t>T8R3V9S2</t>
  </si>
  <si>
    <t>L7C9B8D5</t>
  </si>
  <si>
    <t>Q7S8K6I3</t>
  </si>
  <si>
    <t>O4K9M8E6</t>
  </si>
  <si>
    <t>Z3C6M2M9</t>
  </si>
  <si>
    <t>V2F6I7O3</t>
  </si>
  <si>
    <t>G1U8L3F6</t>
  </si>
  <si>
    <t>J6N9U9H4</t>
  </si>
  <si>
    <t>K4R2I4K3</t>
  </si>
  <si>
    <t>L4U6J5S5</t>
  </si>
  <si>
    <t>Q3D3A1X2</t>
  </si>
  <si>
    <t>R6J7T6O2</t>
  </si>
  <si>
    <t>B5P7R5E5</t>
  </si>
  <si>
    <t>G8D6D1H3</t>
  </si>
  <si>
    <t>Q5J2K1S6</t>
  </si>
  <si>
    <t>M2X6R3O1</t>
  </si>
  <si>
    <t>T8L2J2G4</t>
  </si>
  <si>
    <t>H3M6B8F5</t>
  </si>
  <si>
    <t>I3K2V1Z5</t>
  </si>
  <si>
    <t>C1X8A5P8</t>
  </si>
  <si>
    <t>I5N9M4U5</t>
  </si>
  <si>
    <t>N2V3X2H4</t>
  </si>
  <si>
    <t>E1O3F4O7</t>
  </si>
  <si>
    <t>N9N4M7N7</t>
  </si>
  <si>
    <t>M3L5S9D4</t>
  </si>
  <si>
    <t>X3Z2K3R6</t>
  </si>
  <si>
    <t>O5P7K6R8</t>
  </si>
  <si>
    <t>G2D5F3C6</t>
  </si>
  <si>
    <t>N2H6N9S3</t>
  </si>
  <si>
    <t>R7D5X8T6</t>
  </si>
  <si>
    <t>X2F5A4M1</t>
  </si>
  <si>
    <t>P7L1A4A3</t>
  </si>
  <si>
    <t>F3O5V9C2</t>
  </si>
  <si>
    <t>Z7K9N4S9</t>
  </si>
  <si>
    <t>J6K7G3O1</t>
  </si>
  <si>
    <t>C6I6H6Z9</t>
  </si>
  <si>
    <t>I2I4R1U3</t>
  </si>
  <si>
    <t>M5C5C3P2</t>
  </si>
  <si>
    <t>E4C5K6T3</t>
  </si>
  <si>
    <t>X3Z8A2Z2</t>
  </si>
  <si>
    <t>T5F7Q8R8</t>
  </si>
  <si>
    <t>L2S3O5L1</t>
  </si>
  <si>
    <t>C7U2K9P5</t>
  </si>
  <si>
    <t>T6M1O5O8</t>
  </si>
  <si>
    <t>L2F8T8O6</t>
  </si>
  <si>
    <t>Q8J9C7L1</t>
  </si>
  <si>
    <t>T6M4R8A6</t>
  </si>
  <si>
    <t>H4G9Z1N3</t>
  </si>
  <si>
    <t>E7B1S7B8</t>
  </si>
  <si>
    <t>E9V6B3F2</t>
  </si>
  <si>
    <t>K9L3O9L7</t>
  </si>
  <si>
    <t>U8Q4C1K4</t>
  </si>
  <si>
    <t>N2H4K2U5</t>
  </si>
  <si>
    <t>Z9C1N5U6</t>
  </si>
  <si>
    <t>E4S2Q6M8</t>
  </si>
  <si>
    <t>R4I3V4G1</t>
  </si>
  <si>
    <t>G3R4C3N6</t>
  </si>
  <si>
    <t>N6R9K3B1</t>
  </si>
  <si>
    <t>A6T4P5E2</t>
  </si>
  <si>
    <t>A8T3Z6C5</t>
  </si>
  <si>
    <t>A1D5C2L9</t>
  </si>
  <si>
    <t>M6P2T8I5</t>
  </si>
  <si>
    <t>T3S8Z4S4</t>
  </si>
  <si>
    <t>P3U3Z6T9</t>
  </si>
  <si>
    <t>B6V9S3L2</t>
  </si>
  <si>
    <t>D8X2F5H9</t>
  </si>
  <si>
    <t>H9G1F7E8</t>
  </si>
  <si>
    <t>X8V3X7J1</t>
  </si>
  <si>
    <t>P2I8G9I6</t>
  </si>
  <si>
    <t>S5O4G1I2</t>
  </si>
  <si>
    <t>B8B2I6L2</t>
  </si>
  <si>
    <t>I6S6J6Q4</t>
  </si>
  <si>
    <t>N5N4I1O9</t>
  </si>
  <si>
    <t>V3L6D7X7</t>
  </si>
  <si>
    <t>B1J6Z6E1</t>
  </si>
  <si>
    <t>X3U2D8D9</t>
  </si>
  <si>
    <t>S3V7B6E4</t>
  </si>
  <si>
    <t>G8Z3L8R1</t>
  </si>
  <si>
    <t>L1L3I5A1</t>
  </si>
  <si>
    <t>V5D9S7L7</t>
  </si>
  <si>
    <t>F5A2D8C4</t>
  </si>
  <si>
    <t>B1U5R7I9</t>
  </si>
  <si>
    <t>Z7D4G6O3</t>
  </si>
  <si>
    <t>T9D8C1T8</t>
  </si>
  <si>
    <t>I6S2C8G8</t>
  </si>
  <si>
    <t>F7I6U7Z6</t>
  </si>
  <si>
    <t>M9P2X4S6</t>
  </si>
  <si>
    <t>V4R3I2Z2</t>
  </si>
  <si>
    <t>I5P2K3U8</t>
  </si>
  <si>
    <t>P2N2A7C4</t>
  </si>
  <si>
    <t>P2X5E6C8</t>
  </si>
  <si>
    <t>D3S3S1M9</t>
  </si>
  <si>
    <t>A4A1E3H6</t>
  </si>
  <si>
    <t>B5D5V7L7</t>
  </si>
  <si>
    <t>A9D4V8E6</t>
  </si>
  <si>
    <t>O8I8F5L6</t>
  </si>
  <si>
    <t>D8D6L5B8</t>
  </si>
  <si>
    <t>R3I1C4A4</t>
  </si>
  <si>
    <t>E4F5A8S4</t>
  </si>
  <si>
    <t>T5G2V1E6</t>
  </si>
  <si>
    <t>C1D7J6C9</t>
  </si>
  <si>
    <t>G2I1H1I7</t>
  </si>
  <si>
    <t>O3V2M4X4</t>
  </si>
  <si>
    <t>S7D4N5U1</t>
  </si>
  <si>
    <t>N6Q8U5T1</t>
  </si>
  <si>
    <t>T1N9D3V6</t>
  </si>
  <si>
    <t>U1N5X1H2</t>
  </si>
  <si>
    <t>O2U7G6P4</t>
  </si>
  <si>
    <t>V2G1R8J3</t>
  </si>
  <si>
    <t>L9T4A7D8</t>
  </si>
  <si>
    <t>J6Q6T5K4</t>
  </si>
  <si>
    <t>E3M4U7U4</t>
  </si>
  <si>
    <t>X9K7T9F6</t>
  </si>
  <si>
    <t>C1Q1F2X9</t>
  </si>
  <si>
    <t>H4C8M7P6</t>
  </si>
  <si>
    <t>K8S2V2Q7</t>
  </si>
  <si>
    <t>N3S4O3D3</t>
  </si>
  <si>
    <t>T1T5J4Q2</t>
  </si>
  <si>
    <t>A6Q6S7Z9</t>
  </si>
  <si>
    <t>Q6M8L9T5</t>
  </si>
  <si>
    <t>R4M4D6S9</t>
  </si>
  <si>
    <t>H3N1C9A4</t>
  </si>
  <si>
    <t>M6A1B9V5</t>
  </si>
  <si>
    <t>N6L7M7O3</t>
  </si>
  <si>
    <t>D7O1T4A8</t>
  </si>
  <si>
    <t>V7V3G1H9</t>
  </si>
  <si>
    <t>H8M1S9R7</t>
  </si>
  <si>
    <t>R2U7Z8V1</t>
  </si>
  <si>
    <t>S3R8N4X9</t>
  </si>
  <si>
    <t>F5N2V2F8</t>
  </si>
  <si>
    <t>K5R1X5J4</t>
  </si>
  <si>
    <t>E1J1C4P2</t>
  </si>
  <si>
    <t>G3A6H4S5</t>
  </si>
  <si>
    <t>R5N7D3A9</t>
  </si>
  <si>
    <t>J2P4B9X4</t>
  </si>
  <si>
    <t>D4I5I1V1</t>
  </si>
  <si>
    <t>H6E7E3K6</t>
  </si>
  <si>
    <t>P6D4T7I5</t>
  </si>
  <si>
    <t>O3K2S5P4</t>
  </si>
  <si>
    <t>S7Q1R1G9</t>
  </si>
  <si>
    <t>I8L4Z7P5</t>
  </si>
  <si>
    <t>D7T4U4X9</t>
  </si>
  <si>
    <t>B3V8V7T1</t>
  </si>
  <si>
    <t>O6R7U2R8</t>
  </si>
  <si>
    <t>U5U7O1L8</t>
  </si>
  <si>
    <t>L2I9V8I7</t>
  </si>
  <si>
    <t>K4R4R3N2</t>
  </si>
  <si>
    <t>V1U4F3N9</t>
  </si>
  <si>
    <t>F9A8J9G4</t>
  </si>
  <si>
    <t>A1S3N6U5</t>
  </si>
  <si>
    <t>P5I1U6O4</t>
  </si>
  <si>
    <t>F2M6J7M5</t>
  </si>
  <si>
    <t>J7E8J4C2</t>
  </si>
  <si>
    <t>O5K8P1Z5</t>
  </si>
  <si>
    <t>Q8E7U4X9</t>
  </si>
  <si>
    <t>S5V6E3C5</t>
  </si>
  <si>
    <t>B7J8Z2B6</t>
  </si>
  <si>
    <t>N3R6V1T7</t>
  </si>
  <si>
    <t>S5C3Q8C5</t>
  </si>
  <si>
    <t>K2V6N9P4</t>
  </si>
  <si>
    <t>K9C7S6S1</t>
  </si>
  <si>
    <t>N8X7V8V2</t>
  </si>
  <si>
    <t>R5H8R3N5</t>
  </si>
  <si>
    <t>Z3A4A9J9</t>
  </si>
  <si>
    <t>Z8R2H3P5</t>
  </si>
  <si>
    <t>E1O4R8H4</t>
  </si>
  <si>
    <t>Q5G7J1V7</t>
  </si>
  <si>
    <t>B8B5G1P1</t>
  </si>
  <si>
    <t>A5Q3Z3C1</t>
  </si>
  <si>
    <t>J1X5G2B6</t>
  </si>
  <si>
    <t>T8K7H3R4</t>
  </si>
  <si>
    <t>M5K3N4U9</t>
  </si>
  <si>
    <t>A4V3N1I4</t>
  </si>
  <si>
    <t>K1S6R2R7</t>
  </si>
  <si>
    <t>J5Q7H5T3</t>
  </si>
  <si>
    <t>X4E4Z4A7</t>
  </si>
  <si>
    <t>Q1B7D4L2</t>
  </si>
  <si>
    <t>K8S2P5A9</t>
  </si>
  <si>
    <t>K7A6J7I8</t>
  </si>
  <si>
    <t>B7J8S9G1</t>
  </si>
  <si>
    <t>M5K3D8G7</t>
  </si>
  <si>
    <t>J4Q3Z3E7</t>
  </si>
  <si>
    <t>I2O2E4A9</t>
  </si>
  <si>
    <t>K1F1I9T3</t>
  </si>
  <si>
    <t>M8B1P1V3</t>
  </si>
  <si>
    <t>Q3B6V5K1</t>
  </si>
  <si>
    <t>H8Z7N4I9</t>
  </si>
  <si>
    <t>R4N6X5R8</t>
  </si>
  <si>
    <t>S6X2M3U9</t>
  </si>
  <si>
    <t>U4T4V3O9</t>
  </si>
  <si>
    <t>K5D7D9M1</t>
  </si>
  <si>
    <t>D4U2E5I8</t>
  </si>
  <si>
    <t>T6N2X9M8</t>
  </si>
  <si>
    <t>S9N6C8H9</t>
  </si>
  <si>
    <t>I4Q4Z3T2</t>
  </si>
  <si>
    <t>C6R6F8B7</t>
  </si>
  <si>
    <t>E8B7H4S1</t>
  </si>
  <si>
    <t>V1B3O2R9</t>
  </si>
  <si>
    <t>O2H3K8F9</t>
  </si>
  <si>
    <t>D5I1Z1S1</t>
  </si>
  <si>
    <t>A4J4N3B5</t>
  </si>
  <si>
    <t>M6M9N9L9</t>
  </si>
  <si>
    <t>O4E8U9P9</t>
  </si>
  <si>
    <t>K3B4D1D2</t>
  </si>
  <si>
    <t>Q7G8M5C9</t>
  </si>
  <si>
    <t>T3U7A1S8</t>
  </si>
  <si>
    <t>T5M5A3A4</t>
  </si>
  <si>
    <t>Z6R6B2A7</t>
  </si>
  <si>
    <t>T6E1E9Q3</t>
  </si>
  <si>
    <t>N4I9P9N4</t>
  </si>
  <si>
    <t>Z9T6I8L2</t>
  </si>
  <si>
    <t>O7Z6E2L1</t>
  </si>
  <si>
    <t>O4K8V8K6</t>
  </si>
  <si>
    <t>R9V6K4H4</t>
  </si>
  <si>
    <t>D7P5U2A3</t>
  </si>
  <si>
    <t>G8F1G6F1</t>
  </si>
  <si>
    <t>I6A7K4X9</t>
  </si>
  <si>
    <t>C5O9M7T2</t>
  </si>
  <si>
    <t>L8T9V2U2</t>
  </si>
  <si>
    <t>F1I8I1L5</t>
  </si>
  <si>
    <t>M7H8E3R6</t>
  </si>
  <si>
    <t>H2L9T2S6</t>
  </si>
  <si>
    <t>G3H3J6L8</t>
  </si>
  <si>
    <t>B5K8N8O9</t>
  </si>
  <si>
    <t>A6U7M4R4</t>
  </si>
  <si>
    <t>L9O9E7Z7</t>
  </si>
  <si>
    <t>I7E9M8S9</t>
  </si>
  <si>
    <t>F3X3T1G6</t>
  </si>
  <si>
    <t>J4F5N3U2</t>
  </si>
  <si>
    <t>Z1B4M9B6</t>
  </si>
  <si>
    <t>S2C8P4K1</t>
  </si>
  <si>
    <t>V8P3B6U7</t>
  </si>
  <si>
    <t>B1J7F6N9</t>
  </si>
  <si>
    <t>I5P7T7A1</t>
  </si>
  <si>
    <t>C4V5O2U7</t>
  </si>
  <si>
    <t>U3J3H5D9</t>
  </si>
  <si>
    <t>O3C2G1F1</t>
  </si>
  <si>
    <t>R8X6J7U6</t>
  </si>
  <si>
    <t>F3L9U3K7</t>
  </si>
  <si>
    <t>F6F4S6U7</t>
  </si>
  <si>
    <t>Z4G5C2B4</t>
  </si>
  <si>
    <t>O7G5J4I6</t>
  </si>
  <si>
    <t>K3X8O8Z6</t>
  </si>
  <si>
    <t>I1S7L6D6</t>
  </si>
  <si>
    <t>G4C2Z3S8</t>
  </si>
  <si>
    <t>K5T8A9L9</t>
  </si>
  <si>
    <t>P6R7Z8S3</t>
  </si>
  <si>
    <t>Q5L5Q9U1</t>
  </si>
  <si>
    <t>B4A3B1D7</t>
  </si>
  <si>
    <t>V5F2P9P7</t>
  </si>
  <si>
    <t>U7T5Q6S7</t>
  </si>
  <si>
    <t>M3X5J9X7</t>
  </si>
  <si>
    <t>T4X1J7K1</t>
  </si>
  <si>
    <t>E8Z6D8H5</t>
  </si>
  <si>
    <t>X5V1N5Q3</t>
  </si>
  <si>
    <t>M7H4C4M3</t>
  </si>
  <si>
    <t>N8T3U7D1</t>
  </si>
  <si>
    <t>E2R5V1H9</t>
  </si>
  <si>
    <t>U5B3I4V8</t>
  </si>
  <si>
    <t>P6D5V2O7</t>
  </si>
  <si>
    <t>M9B5X3J6</t>
  </si>
  <si>
    <t>T9F5D5Q3</t>
  </si>
  <si>
    <t>J9Q4V7U5</t>
  </si>
  <si>
    <t>K6K7F6O9</t>
  </si>
  <si>
    <t>P7V3U2D8</t>
  </si>
  <si>
    <t>X2E2B2J3</t>
  </si>
  <si>
    <t>N7X3B7J3</t>
  </si>
  <si>
    <t>M5D9N7I6</t>
  </si>
  <si>
    <t>D5R7F8L5</t>
  </si>
  <si>
    <t>B1E5Z8U1</t>
  </si>
  <si>
    <t>Z5N8S4Q1</t>
  </si>
  <si>
    <t>O1O4L2U1</t>
  </si>
  <si>
    <t>G6Z7E1V6</t>
  </si>
  <si>
    <t>Q6S9X9O8</t>
  </si>
  <si>
    <t>P2C7M6X6</t>
  </si>
  <si>
    <t>J1S9L6R6</t>
  </si>
  <si>
    <t>A5X3M6S6</t>
  </si>
  <si>
    <t>B4E5B4Z9</t>
  </si>
  <si>
    <t>H2A2Z9S7</t>
  </si>
  <si>
    <t>K3T4S8N2</t>
  </si>
  <si>
    <t>P6Q1Q6B9</t>
  </si>
  <si>
    <t>X6C1J9P2</t>
  </si>
  <si>
    <t>E4C9L4E1</t>
  </si>
  <si>
    <t>O4Z1Z7F8</t>
  </si>
  <si>
    <t>F7H7H6V1</t>
  </si>
  <si>
    <t>H1X7Z7N7</t>
  </si>
  <si>
    <t>A4V8I4T2</t>
  </si>
  <si>
    <t>A9Z6H9Q3</t>
  </si>
  <si>
    <t>B1L7J4V8</t>
  </si>
  <si>
    <t>S9D1X1E3</t>
  </si>
  <si>
    <t>U3V9H1T6</t>
  </si>
  <si>
    <t>M4Q7N3Q8</t>
  </si>
  <si>
    <t>R4S9H5Q1</t>
  </si>
  <si>
    <t>A9L5V6T7</t>
  </si>
  <si>
    <t>A3B5R2C8</t>
  </si>
  <si>
    <t>G8X8K4I2</t>
  </si>
  <si>
    <t>A3H1U9K6</t>
  </si>
  <si>
    <t>F1V4L9O5</t>
  </si>
  <si>
    <t>N5G9M4N8</t>
  </si>
  <si>
    <t>D8R4E7H2</t>
  </si>
  <si>
    <t>O5C2P9M6</t>
  </si>
  <si>
    <t>E5B6S9E1</t>
  </si>
  <si>
    <t>R6M8F8Z2</t>
  </si>
  <si>
    <t>K2X3O2V5</t>
  </si>
  <si>
    <t>I7B9C3N7</t>
  </si>
  <si>
    <t>P7K4P7Q3</t>
  </si>
  <si>
    <t>T7Z6R7R8</t>
  </si>
  <si>
    <t>K3D1G7T8</t>
  </si>
  <si>
    <t>Z9N6Z4K3</t>
  </si>
  <si>
    <t>L8B2U7N8</t>
  </si>
  <si>
    <t>X7N6D7B9</t>
  </si>
  <si>
    <t>I4G1A5B4</t>
  </si>
  <si>
    <t>T3Z9N2X2</t>
  </si>
  <si>
    <t>X3N9O7L5</t>
  </si>
  <si>
    <t>L4Z7X8H1</t>
  </si>
  <si>
    <t>L1K6J5R3</t>
  </si>
  <si>
    <t>D7R7U3R6</t>
  </si>
  <si>
    <t>C9B3M8O7</t>
  </si>
  <si>
    <t>B4Q6X9A2</t>
  </si>
  <si>
    <t>I5Z4P2L3</t>
  </si>
  <si>
    <t>O8F3Q2M2</t>
  </si>
  <si>
    <t>Q4N1X8J5</t>
  </si>
  <si>
    <t>P7L7V2X4</t>
  </si>
  <si>
    <t>H1A1C8V5</t>
  </si>
  <si>
    <t>V1U9T9I2</t>
  </si>
  <si>
    <t>R7E9R5T9</t>
  </si>
  <si>
    <t>O7N9J2L9</t>
  </si>
  <si>
    <t>Q6S2C8D3</t>
  </si>
  <si>
    <t>A4O4F7O7</t>
  </si>
  <si>
    <t>C4O4T8T4</t>
  </si>
  <si>
    <t>T6B9T7E1</t>
  </si>
  <si>
    <t>D5A9I4J2</t>
  </si>
  <si>
    <t>A2S2T7I8</t>
  </si>
  <si>
    <t>H1U7K3H5</t>
  </si>
  <si>
    <t>E4I1E8V3</t>
  </si>
  <si>
    <t>G2L1V4R2</t>
  </si>
  <si>
    <t>E2O5V5G5</t>
  </si>
  <si>
    <t>M6T1F4T6</t>
  </si>
  <si>
    <t>A2T9V6C7</t>
  </si>
  <si>
    <t>R4J1Q2A1</t>
  </si>
  <si>
    <t>E6G2E8J2</t>
  </si>
  <si>
    <t>T4Q4O5R8</t>
  </si>
  <si>
    <t>I4D2C4K6</t>
  </si>
  <si>
    <t>Z6S1F8R8</t>
  </si>
  <si>
    <t>N2I2Q9J8</t>
  </si>
  <si>
    <t>D7R9J7J3</t>
  </si>
  <si>
    <t>B2J9E3V1</t>
  </si>
  <si>
    <t>G5U8D1M9</t>
  </si>
  <si>
    <t>T4L5X1C5</t>
  </si>
  <si>
    <t>M4M3A4Q3</t>
  </si>
  <si>
    <t>J3O5B2A6</t>
  </si>
  <si>
    <t>M7C3N8B3</t>
  </si>
  <si>
    <t>E6T4R7K5</t>
  </si>
  <si>
    <t>Q6D8D6S8</t>
  </si>
  <si>
    <t>Q8A3V6Z3</t>
  </si>
  <si>
    <t>V4Q7H7T8</t>
  </si>
  <si>
    <t>N2Q1G4N3</t>
  </si>
  <si>
    <t>T9J7V4M4</t>
  </si>
  <si>
    <t>P4X6U6F9</t>
  </si>
  <si>
    <t>K1U3Q8L2</t>
  </si>
  <si>
    <t>B9Q3L6P1</t>
  </si>
  <si>
    <t>T6E3C8J1</t>
  </si>
  <si>
    <t>O7S5C2Q9</t>
  </si>
  <si>
    <t>T4A7L7A2</t>
  </si>
  <si>
    <t>E7I7F7Q4</t>
  </si>
  <si>
    <t>V1B8J8Q4</t>
  </si>
  <si>
    <t>X5E8H3V6</t>
  </si>
  <si>
    <t>G1N2A7Z5</t>
  </si>
  <si>
    <t>S3Z4Q1X4</t>
  </si>
  <si>
    <t>C3C9L6A8</t>
  </si>
  <si>
    <t>Z4B9I1F2</t>
  </si>
  <si>
    <t>I3C9P7S2</t>
  </si>
  <si>
    <t>E6K2J1D6</t>
  </si>
  <si>
    <t>N5D8T7D5</t>
  </si>
  <si>
    <t>Q9S7G1J9</t>
  </si>
  <si>
    <t>X4G6K3V1</t>
  </si>
  <si>
    <t>I5F1L8L2</t>
  </si>
  <si>
    <t>Q4V2N1N5</t>
  </si>
  <si>
    <t>F7P9V7E1</t>
  </si>
  <si>
    <t>Z6D2G2M2</t>
  </si>
  <si>
    <t>C7Z2K7E2</t>
  </si>
  <si>
    <t>P5M1A4X5</t>
  </si>
  <si>
    <t>B5B4P8H5</t>
  </si>
  <si>
    <t>Z9M2P7R7</t>
  </si>
  <si>
    <t>J8E2D8E2</t>
  </si>
  <si>
    <t>S5Q9V6M7</t>
  </si>
  <si>
    <t>C1G6H1V5</t>
  </si>
  <si>
    <t>C1M5M2H5</t>
  </si>
  <si>
    <t>J4N9N4Q4</t>
  </si>
  <si>
    <t>J3V2U1J7</t>
  </si>
  <si>
    <t>N6E5O5B1</t>
  </si>
  <si>
    <t>J2B4Q3Q8</t>
  </si>
  <si>
    <t>Q6E6G7H4</t>
  </si>
  <si>
    <t>F9R8X1M1</t>
  </si>
  <si>
    <t>F6T8H8U1</t>
  </si>
  <si>
    <t>B9P2X5S6</t>
  </si>
  <si>
    <t>C7N6N5O1</t>
  </si>
  <si>
    <t>B4M4C4V6</t>
  </si>
  <si>
    <t>G6B1C1F2</t>
  </si>
  <si>
    <t>P6J7P7B4</t>
  </si>
  <si>
    <t>T4E6J5R1</t>
  </si>
  <si>
    <t>G3C2K7L2</t>
  </si>
  <si>
    <t>U7S6Z8E4</t>
  </si>
  <si>
    <t>I8V2E7C2</t>
  </si>
  <si>
    <t>X8L4E5Q4</t>
  </si>
  <si>
    <t>U3R8U6Q1</t>
  </si>
  <si>
    <t>O3T1J1F3</t>
  </si>
  <si>
    <t>O7Z5X4C6</t>
  </si>
  <si>
    <t>G3V3D9Z4</t>
  </si>
  <si>
    <t>N3C9H6N8</t>
  </si>
  <si>
    <t>X7N5I2V4</t>
  </si>
  <si>
    <t>A1H5Q9R8</t>
  </si>
  <si>
    <t>Q9T8K5B1</t>
  </si>
  <si>
    <t>Q7X5C6K4</t>
  </si>
  <si>
    <t>C2R6Z6K2</t>
  </si>
  <si>
    <t>A4S7K4S3</t>
  </si>
  <si>
    <t>L8S2B9T9</t>
  </si>
  <si>
    <t>N3L4P2B5</t>
  </si>
  <si>
    <t>N1A4G8V8</t>
  </si>
  <si>
    <t>Z9U6O3A7</t>
  </si>
  <si>
    <t>U6O3Q9Z9</t>
  </si>
  <si>
    <t>J3B5N8F4</t>
  </si>
  <si>
    <t>V4J6G7R6</t>
  </si>
  <si>
    <t>T8S7S7L8</t>
  </si>
  <si>
    <t>B2X1J8N1</t>
  </si>
  <si>
    <t>O1X5P4M8</t>
  </si>
  <si>
    <t>R5F9U3U9</t>
  </si>
  <si>
    <t>R2R7P1N4</t>
  </si>
  <si>
    <t>V9L7B6H8</t>
  </si>
  <si>
    <t>B4D5M1B2</t>
  </si>
  <si>
    <t>R5O8T9F5</t>
  </si>
  <si>
    <t>C9R9H6Z6</t>
  </si>
  <si>
    <t>J8A2A6E4</t>
  </si>
  <si>
    <t>Q2N9A8K7</t>
  </si>
  <si>
    <t>X4S9D9V4</t>
  </si>
  <si>
    <t>R5N4I6V6</t>
  </si>
  <si>
    <t>L1C7N6F7</t>
  </si>
  <si>
    <t>D4X8F2M9</t>
  </si>
  <si>
    <t>E4T1O2H8</t>
  </si>
  <si>
    <t>B7T8V6A1</t>
  </si>
  <si>
    <t>Q3X5X6C3</t>
  </si>
  <si>
    <t>C6N6K2L8</t>
  </si>
  <si>
    <t>Z7H4U5U7</t>
  </si>
  <si>
    <t>L1T7F7O6</t>
  </si>
  <si>
    <t>V7O8O9Q6</t>
  </si>
  <si>
    <t>G8N3X9J7</t>
  </si>
  <si>
    <t>I4D9I6G3</t>
  </si>
  <si>
    <t>G6O9Z1C5</t>
  </si>
  <si>
    <t>E9V9I4R1</t>
  </si>
  <si>
    <t>F2I5U6F7</t>
  </si>
  <si>
    <t>C8F7B4C5</t>
  </si>
  <si>
    <t>F1F9A1V6</t>
  </si>
  <si>
    <t>C3H7N4F9</t>
  </si>
  <si>
    <t>Z7Z3L9V2</t>
  </si>
  <si>
    <t>Z6C4M9H6</t>
  </si>
  <si>
    <t>I5E8U9G5</t>
  </si>
  <si>
    <t>A4T4R3E3</t>
  </si>
  <si>
    <t>U9D8N5K1</t>
  </si>
  <si>
    <t>H2H4Z3F3</t>
  </si>
  <si>
    <t>J3Z5I4R1</t>
  </si>
  <si>
    <t>C4S2E3A1</t>
  </si>
  <si>
    <t>J5E7T8K6</t>
  </si>
  <si>
    <t>C8I6C1G6</t>
  </si>
  <si>
    <t>U4J6F2Q2</t>
  </si>
  <si>
    <t>E6M8M7T3</t>
  </si>
  <si>
    <t>F7E6I2L8</t>
  </si>
  <si>
    <t>H8X3P1M1</t>
  </si>
  <si>
    <t>J3F5S1C9</t>
  </si>
  <si>
    <t>Q5J4F3H4</t>
  </si>
  <si>
    <t>I1V3N9A4</t>
  </si>
  <si>
    <t>B8B1Q2H2</t>
  </si>
  <si>
    <t>K1J3H3J4</t>
  </si>
  <si>
    <t>H7K2T5C2</t>
  </si>
  <si>
    <t>I3A1J4Z3</t>
  </si>
  <si>
    <t>K3N2X3K3</t>
  </si>
  <si>
    <t>H1D4A7I8</t>
  </si>
  <si>
    <t>I8F2C5V1</t>
  </si>
  <si>
    <t>K9L3N1Q6</t>
  </si>
  <si>
    <t>C8K3J3H2</t>
  </si>
  <si>
    <t>O1Z3S5G9</t>
  </si>
  <si>
    <t>M6N1N3Q9</t>
  </si>
  <si>
    <t>K9G8K4T9</t>
  </si>
  <si>
    <t>A6O8I8Z1</t>
  </si>
  <si>
    <t>C5O7J8M7</t>
  </si>
  <si>
    <t>Q4G6R6Q2</t>
  </si>
  <si>
    <t>G6M4J6F2</t>
  </si>
  <si>
    <t>T5A7P9L2</t>
  </si>
  <si>
    <t>K3G8N6O7</t>
  </si>
  <si>
    <t>S6Q8I8G7</t>
  </si>
  <si>
    <t>S7E1I6R5</t>
  </si>
  <si>
    <t>Z4N7P5E2</t>
  </si>
  <si>
    <t>A2Q9X7F1</t>
  </si>
  <si>
    <t>U7H4G4F9</t>
  </si>
  <si>
    <t>M3I9L5K8</t>
  </si>
  <si>
    <t>I9R1Q5H1</t>
  </si>
  <si>
    <t>F4G2J4D9</t>
  </si>
  <si>
    <t>S7R1H4U6</t>
  </si>
  <si>
    <t>J1I4Z1U1</t>
  </si>
  <si>
    <t>T5E1H1E9</t>
  </si>
  <si>
    <t>Q7Z2F6H5</t>
  </si>
  <si>
    <t>O2D9S2A2</t>
  </si>
  <si>
    <t>N3T1O4G6</t>
  </si>
  <si>
    <t>N8V1D1F9</t>
  </si>
  <si>
    <t>X9L9M3P5</t>
  </si>
  <si>
    <t>U7L6J6D4</t>
  </si>
  <si>
    <t>E9L1I6U3</t>
  </si>
  <si>
    <t>A8V4T7E6</t>
  </si>
  <si>
    <t>Q2J8P3O6</t>
  </si>
  <si>
    <t>T3K2D3K1</t>
  </si>
  <si>
    <t>X2E5U6I7</t>
  </si>
  <si>
    <t>L3F5J2O2</t>
  </si>
  <si>
    <t>O5I7H1E8</t>
  </si>
  <si>
    <t>X2P8C2L6</t>
  </si>
  <si>
    <t>L6C6H5N6</t>
  </si>
  <si>
    <t>N3K7L9E8</t>
  </si>
  <si>
    <t>I3B2E4S1</t>
  </si>
  <si>
    <t>P9A2M1F5</t>
  </si>
  <si>
    <t>X3Z4D7F1</t>
  </si>
  <si>
    <t>J5M4Q8Q6</t>
  </si>
  <si>
    <t>T9Z3N5L2</t>
  </si>
  <si>
    <t>J6Z8A6V4</t>
  </si>
  <si>
    <t>H5T9L7X5</t>
  </si>
  <si>
    <t>Q9B6Z6D5</t>
  </si>
  <si>
    <t>A7I5P4K8</t>
  </si>
  <si>
    <t>J5M9S1K2</t>
  </si>
  <si>
    <t>U3S1F9I9</t>
  </si>
  <si>
    <t>L6E5L8R9</t>
  </si>
  <si>
    <t>D5E2O4H3</t>
  </si>
  <si>
    <t>C9Z6G8O5</t>
  </si>
  <si>
    <t>L1F3R9J4</t>
  </si>
  <si>
    <t>Z1H5Z3D1</t>
  </si>
  <si>
    <t>J3F6O2J6</t>
  </si>
  <si>
    <t>A2C4Q5N1</t>
  </si>
  <si>
    <t>M5V3J1T1</t>
  </si>
  <si>
    <t>V1Q6M1B4</t>
  </si>
  <si>
    <t>O5L8S8O8</t>
  </si>
  <si>
    <t>G3L8N7G2</t>
  </si>
  <si>
    <t>M1B8J2I7</t>
  </si>
  <si>
    <t>H2C5U2J4</t>
  </si>
  <si>
    <t>U4F7F3I4</t>
  </si>
  <si>
    <t>Q3Z2A8B9</t>
  </si>
  <si>
    <t>C7R9T5M8</t>
  </si>
  <si>
    <t>K7J3U3B8</t>
  </si>
  <si>
    <t>U9D6K1R4</t>
  </si>
  <si>
    <t>T1U6P2L6</t>
  </si>
  <si>
    <t>U4A8P7M5</t>
  </si>
  <si>
    <t>S8D5U7O1</t>
  </si>
  <si>
    <t>B5L1E6S1</t>
  </si>
  <si>
    <t>I8I8S6T3</t>
  </si>
  <si>
    <t>C8S2R4B7</t>
  </si>
  <si>
    <t>D8S9G2M2</t>
  </si>
  <si>
    <t>E3T6C7F5</t>
  </si>
  <si>
    <t>X1B5Q6Z5</t>
  </si>
  <si>
    <t>M5G6Z6K2</t>
  </si>
  <si>
    <t>B2V8A9M3</t>
  </si>
  <si>
    <t>H5M8U9Z3</t>
  </si>
  <si>
    <t>N1K5Z6C3</t>
  </si>
  <si>
    <t>Q4D3H9R3</t>
  </si>
  <si>
    <t>P6H6J8C2</t>
  </si>
  <si>
    <t>A3S8X6T2</t>
  </si>
  <si>
    <t>Z3Z1B5B9</t>
  </si>
  <si>
    <t>P7C1P1B7</t>
  </si>
  <si>
    <t>R4N5O3C1</t>
  </si>
  <si>
    <t>P5I7M2R2</t>
  </si>
  <si>
    <t>A9E6F5F4</t>
  </si>
  <si>
    <t>H4Q7F9A2</t>
  </si>
  <si>
    <t>L8S6J6R6</t>
  </si>
  <si>
    <t>R2K6Q4T4</t>
  </si>
  <si>
    <t>D3C4K1T2</t>
  </si>
  <si>
    <t>K2N1X4V1</t>
  </si>
  <si>
    <t>Q8L9M4M4</t>
  </si>
  <si>
    <t>Q5N6F7O7</t>
  </si>
  <si>
    <t>S4V6T8N7</t>
  </si>
  <si>
    <t>K8E4J5I3</t>
  </si>
  <si>
    <t>Q5Q1X2V7</t>
  </si>
  <si>
    <t>D7D6Z6Q8</t>
  </si>
  <si>
    <t>J9F6Z4K3</t>
  </si>
  <si>
    <t>T1M4V5L1</t>
  </si>
  <si>
    <t>S6A2M9V2</t>
  </si>
  <si>
    <t>K4Z7U4A2</t>
  </si>
  <si>
    <t>E5N7T1C6</t>
  </si>
  <si>
    <t>U9V6I4B3</t>
  </si>
  <si>
    <t>C3H4J2K4</t>
  </si>
  <si>
    <t>Z5B7U8E2</t>
  </si>
  <si>
    <t>D4C1Z2L3</t>
  </si>
  <si>
    <t>G3S2B1M6</t>
  </si>
  <si>
    <t>M2V1A6Z5</t>
  </si>
  <si>
    <t>U6I5K4H7</t>
  </si>
  <si>
    <t>I4V2V2X4</t>
  </si>
  <si>
    <t>R7E7M4O1</t>
  </si>
  <si>
    <t>X5U3K8S3</t>
  </si>
  <si>
    <t>R4X6T2P8</t>
  </si>
  <si>
    <t>S4U5F6H9</t>
  </si>
  <si>
    <t>Z8R9O8Z1</t>
  </si>
  <si>
    <t>B6Q2N1F2</t>
  </si>
  <si>
    <t>A2L4Q1O6</t>
  </si>
  <si>
    <t>J2A4D2U1</t>
  </si>
  <si>
    <t>Z4O2M3L8</t>
  </si>
  <si>
    <t>J6H8H2Z2</t>
  </si>
  <si>
    <t>B8U8M5F2</t>
  </si>
  <si>
    <t>A6I2G3B4</t>
  </si>
  <si>
    <t>H3G4R3P8</t>
  </si>
  <si>
    <t>J2H3G3E1</t>
  </si>
  <si>
    <t>B4L4G4P6</t>
  </si>
  <si>
    <t>I8J4O6I1</t>
  </si>
  <si>
    <t>F8S4I8F9</t>
  </si>
  <si>
    <t>J7K5Z1Z9</t>
  </si>
  <si>
    <t>Z8F7B6B7</t>
  </si>
  <si>
    <t>F9L9L4H1</t>
  </si>
  <si>
    <t>E7I6P1Q4</t>
  </si>
  <si>
    <t>C5H4V6V2</t>
  </si>
  <si>
    <t>Q7D7J3U8</t>
  </si>
  <si>
    <t>B2D1F5M2</t>
  </si>
  <si>
    <t>T6O2H3G1</t>
  </si>
  <si>
    <t>T2F4A1F3</t>
  </si>
  <si>
    <t>S7K3T7H4</t>
  </si>
  <si>
    <t>M7B2M3A7</t>
  </si>
  <si>
    <t>N1Q6K4A3</t>
  </si>
  <si>
    <t>V2M4T6L6</t>
  </si>
  <si>
    <t>L3S3D3O4</t>
  </si>
  <si>
    <t>K3F7C4I7</t>
  </si>
  <si>
    <t>A6S2E2B6</t>
  </si>
  <si>
    <t>X4D7N7U9</t>
  </si>
  <si>
    <t>R7K8F5P5</t>
  </si>
  <si>
    <t>M3M5T3E1</t>
  </si>
  <si>
    <t>X5O7L4N7</t>
  </si>
  <si>
    <t>K7M9U9P4</t>
  </si>
  <si>
    <t>B6F5X5R7</t>
  </si>
  <si>
    <t>A1K7R3V4</t>
  </si>
  <si>
    <t>T5I5V8B3</t>
  </si>
  <si>
    <t>R1H2H8L7</t>
  </si>
  <si>
    <t>G2N6L8V5</t>
  </si>
  <si>
    <t>N6S8H5M3</t>
  </si>
  <si>
    <t>L5C7V4Q9</t>
  </si>
  <si>
    <t>K2J4J9P1</t>
  </si>
  <si>
    <t>K4X4C8B7</t>
  </si>
  <si>
    <t>C9Z4F3R8</t>
  </si>
  <si>
    <t>I6H7Z8C6</t>
  </si>
  <si>
    <t>U4L2Q5X4</t>
  </si>
  <si>
    <t>A5X1P5L5</t>
  </si>
  <si>
    <t>R4M1F6O9</t>
  </si>
  <si>
    <t>E6F7A6O5</t>
  </si>
  <si>
    <t>C3T9G1N1</t>
  </si>
  <si>
    <t>E6Z1L3K4</t>
  </si>
  <si>
    <t>U2R8S1E5</t>
  </si>
  <si>
    <t>G3K9C8G1</t>
  </si>
  <si>
    <t>J8J1G5G3</t>
  </si>
  <si>
    <t>P6N7C3B1</t>
  </si>
  <si>
    <t>B7G2J1P9</t>
  </si>
  <si>
    <t>H5G8Z9F7</t>
  </si>
  <si>
    <t>C1I5P3S9</t>
  </si>
  <si>
    <t>C1X7N5P7</t>
  </si>
  <si>
    <t>O7G2C3D6</t>
  </si>
  <si>
    <t>B2Q5R6T9</t>
  </si>
  <si>
    <t>T8F1O5P6</t>
  </si>
  <si>
    <t>O9J2S4A5</t>
  </si>
  <si>
    <t>H2Z6E4T2</t>
  </si>
  <si>
    <t>I3A6M1X3</t>
  </si>
  <si>
    <t>U2B5I9I2</t>
  </si>
  <si>
    <t>E3O5V8A9</t>
  </si>
  <si>
    <t>I8G7L1O6</t>
  </si>
  <si>
    <t>F1X4Z8K7</t>
  </si>
  <si>
    <t>E6M9B7E5</t>
  </si>
  <si>
    <t>P1H7Q6C5</t>
  </si>
  <si>
    <t>O8J8B4K7</t>
  </si>
  <si>
    <t>K9D4L9D2</t>
  </si>
  <si>
    <t>G2C9C3V3</t>
  </si>
  <si>
    <t>T8C2Q4M2</t>
  </si>
  <si>
    <t>A8A2D8S4</t>
  </si>
  <si>
    <t>M8E3A2G4</t>
  </si>
  <si>
    <t>B2L2P4U7</t>
  </si>
  <si>
    <t>M3P1Q6N5</t>
  </si>
  <si>
    <t>X3B6T6S5</t>
  </si>
  <si>
    <t>T1O3X2R9</t>
  </si>
  <si>
    <t>I3U2H6S6</t>
  </si>
  <si>
    <t>V1B2Z4G2</t>
  </si>
  <si>
    <t>G1B7H8T2</t>
  </si>
  <si>
    <t>E9I7H6M1</t>
  </si>
  <si>
    <t>L3S2E4L2</t>
  </si>
  <si>
    <t>G1Z5U7Z4</t>
  </si>
  <si>
    <t>N5Q3T4D8</t>
  </si>
  <si>
    <t>C7L5B9Q9</t>
  </si>
  <si>
    <t>X5R9F1J9</t>
  </si>
  <si>
    <t>B6E3X8G6</t>
  </si>
  <si>
    <t>V5G9N6E8</t>
  </si>
  <si>
    <t>X6O4C8H2</t>
  </si>
  <si>
    <t>X9M6Z2X6</t>
  </si>
  <si>
    <t>D9F7Z4H6</t>
  </si>
  <si>
    <t>N5P8G6B9</t>
  </si>
  <si>
    <t>L7P8A1G4</t>
  </si>
  <si>
    <t>U9V5L1Z2</t>
  </si>
  <si>
    <t>V2S2Q6T7</t>
  </si>
  <si>
    <t>R8N4B4Z2</t>
  </si>
  <si>
    <t>E3V9M1H2</t>
  </si>
  <si>
    <t>S7D1L5N7</t>
  </si>
  <si>
    <t>H1E5Z9L2</t>
  </si>
  <si>
    <t>P2P2N7V5</t>
  </si>
  <si>
    <t>B5V3U4H3</t>
  </si>
  <si>
    <t>S7I2L5D5</t>
  </si>
  <si>
    <t>G8X1R6Q4</t>
  </si>
  <si>
    <t>K2X4S8K8</t>
  </si>
  <si>
    <t>L6V1R1O8</t>
  </si>
  <si>
    <t>B7V3F4Q9</t>
  </si>
  <si>
    <t>F3U7O9U7</t>
  </si>
  <si>
    <t>F6I3R9K1</t>
  </si>
  <si>
    <t>D6G1K5D8</t>
  </si>
  <si>
    <t>M1I8C9E8</t>
  </si>
  <si>
    <t>I9U7I5O5</t>
  </si>
  <si>
    <t>U9E6X5C9</t>
  </si>
  <si>
    <t>N9X2H6E5</t>
  </si>
  <si>
    <t>J3V3G6F3</t>
  </si>
  <si>
    <t>L1N8D2P4</t>
  </si>
  <si>
    <t>U9T8V6F8</t>
  </si>
  <si>
    <t>E5L2I9S7</t>
  </si>
  <si>
    <t>A4F7D4G2</t>
  </si>
  <si>
    <t>L9T7R6I5</t>
  </si>
  <si>
    <t>V2M8N8B1</t>
  </si>
  <si>
    <t>A2D4R6I1</t>
  </si>
  <si>
    <t>X2K7T8L9</t>
  </si>
  <si>
    <t>I9F4T8K5</t>
  </si>
  <si>
    <t>E8D4L9R8</t>
  </si>
  <si>
    <t>P3X5V4X9</t>
  </si>
  <si>
    <t>Q6K5N4F7</t>
  </si>
  <si>
    <t>V6F1V5V5</t>
  </si>
  <si>
    <t>R7H6Q2Z9</t>
  </si>
  <si>
    <t>E8T6F6R6</t>
  </si>
  <si>
    <t>R5Q9Q4S9</t>
  </si>
  <si>
    <t>L7V8J8L8</t>
  </si>
  <si>
    <t>A9T4M8C1</t>
  </si>
  <si>
    <t>T1Q8X1O7</t>
  </si>
  <si>
    <t>M3T8Q6S6</t>
  </si>
  <si>
    <t>L3D5H5Q7</t>
  </si>
  <si>
    <t>H7L8F5S9</t>
  </si>
  <si>
    <t>H4M1U9T2</t>
  </si>
  <si>
    <t>V2E3A7K9</t>
  </si>
  <si>
    <t>S9N5A3X6</t>
  </si>
  <si>
    <t>Q5M6X2O7</t>
  </si>
  <si>
    <t>M9Z8L6X1</t>
  </si>
  <si>
    <t>M6I8J3O5</t>
  </si>
  <si>
    <t>O7U8O8N2</t>
  </si>
  <si>
    <t>R4U9P5X3</t>
  </si>
  <si>
    <t>P3A9N3Q5</t>
  </si>
  <si>
    <t>S3Z4B2B2</t>
  </si>
  <si>
    <t>E4A3A1M7</t>
  </si>
  <si>
    <t>F6E8O6E7</t>
  </si>
  <si>
    <t>M3P1H1U5</t>
  </si>
  <si>
    <t>A2I6C8G4</t>
  </si>
  <si>
    <t>L5S6I3N4</t>
  </si>
  <si>
    <t>A1K2S8D2</t>
  </si>
  <si>
    <t>S8H6U9A2</t>
  </si>
  <si>
    <t>E9K3R4I1</t>
  </si>
  <si>
    <t>P2P9M5H9</t>
  </si>
  <si>
    <t>L8X8O4D7</t>
  </si>
  <si>
    <t>O3A9L2N2</t>
  </si>
  <si>
    <t>F8I3L2X1</t>
  </si>
  <si>
    <t>B1G6Z2G4</t>
  </si>
  <si>
    <t>G1R2U3J8</t>
  </si>
  <si>
    <t>H2G1F3L8</t>
  </si>
  <si>
    <t>U7D7P4I4</t>
  </si>
  <si>
    <t>Q4Q6G8N8</t>
  </si>
  <si>
    <t>C5N1V1X3</t>
  </si>
  <si>
    <t>D7V5U6N6</t>
  </si>
  <si>
    <t>F6Q9Q3B6</t>
  </si>
  <si>
    <t>V6P5P7P3</t>
  </si>
  <si>
    <t>N7B4I6B2</t>
  </si>
  <si>
    <t>U6L3S2I1</t>
  </si>
  <si>
    <t>V7R5D3V3</t>
  </si>
  <si>
    <t>F8I8L7B4</t>
  </si>
  <si>
    <t>P8Q2F9X5</t>
  </si>
  <si>
    <t>P3F8T9B8</t>
  </si>
  <si>
    <t>N7P4T3Q7</t>
  </si>
  <si>
    <t>N3E7O1D9</t>
  </si>
  <si>
    <t>Z5H3K6O9</t>
  </si>
  <si>
    <t>P7M7E2X6</t>
  </si>
  <si>
    <t>R7L6J1G5</t>
  </si>
  <si>
    <t>G7L6C1T7</t>
  </si>
  <si>
    <t>T2V6J9E1</t>
  </si>
  <si>
    <t>N4A1N6R5</t>
  </si>
  <si>
    <t>A2P6H4J6</t>
  </si>
  <si>
    <t>A7N6H7R3</t>
  </si>
  <si>
    <t>N6H3V1O5</t>
  </si>
  <si>
    <t>Q2Q4T9L6</t>
  </si>
  <si>
    <t>S6D4G5L9</t>
  </si>
  <si>
    <t>B7F5U2S8</t>
  </si>
  <si>
    <t>A6J6L3D3</t>
  </si>
  <si>
    <t>B9D8E9C7</t>
  </si>
  <si>
    <t>H2K7D3L2</t>
  </si>
  <si>
    <t>P6H3H4X8</t>
  </si>
  <si>
    <t>F3D5R2P4</t>
  </si>
  <si>
    <t>S4A2S4C3</t>
  </si>
  <si>
    <t>V2F1A7Z2</t>
  </si>
  <si>
    <t>E9F8S9J9</t>
  </si>
  <si>
    <t>Z2H5C7N3</t>
  </si>
  <si>
    <t>D2S2I5I1</t>
  </si>
  <si>
    <t>C1I5T3B5</t>
  </si>
  <si>
    <t>T7G2D4T7</t>
  </si>
  <si>
    <t>G6D7A5M6</t>
  </si>
  <si>
    <t>C2H5M2N3</t>
  </si>
  <si>
    <t>J8A3N1J1</t>
  </si>
  <si>
    <t>U3T3F5A4</t>
  </si>
  <si>
    <t>I2M9L6E3</t>
  </si>
  <si>
    <t>D5G7J3F2</t>
  </si>
  <si>
    <t>V9I8I2N3</t>
  </si>
  <si>
    <t>Z4T6S7V6</t>
  </si>
  <si>
    <t>V1H4O5V1</t>
  </si>
  <si>
    <t>V1V1C9I5</t>
  </si>
  <si>
    <t>R8V4I3T3</t>
  </si>
  <si>
    <t>I3S3G5T5</t>
  </si>
  <si>
    <t>L4J2V5B8</t>
  </si>
  <si>
    <t>Z7J7T3L1</t>
  </si>
  <si>
    <t>T4V8S7F3</t>
  </si>
  <si>
    <t>O6I9A2O2</t>
  </si>
  <si>
    <t>T6Z8P6S6</t>
  </si>
  <si>
    <t>C8M9M2M1</t>
  </si>
  <si>
    <t>H8O2J5U7</t>
  </si>
  <si>
    <t>F4E6Z6D7</t>
  </si>
  <si>
    <t>V5R5D3X9</t>
  </si>
  <si>
    <t>P9A8B3R3</t>
  </si>
  <si>
    <t>J2M5S6H7</t>
  </si>
  <si>
    <t>H3P6M3U6</t>
  </si>
  <si>
    <t>G1C7J9U7</t>
  </si>
  <si>
    <t>P4E6X7O8</t>
  </si>
  <si>
    <t>E7M4K4O6</t>
  </si>
  <si>
    <t>M2T9U7T5</t>
  </si>
  <si>
    <t>C9P2B4C6</t>
  </si>
  <si>
    <t>N7D8E2L9</t>
  </si>
  <si>
    <t>G1H7Q6E2</t>
  </si>
  <si>
    <t>R2Z1K3M3</t>
  </si>
  <si>
    <t>J5S4B7H1</t>
  </si>
  <si>
    <t>G7V8Z4Q5</t>
  </si>
  <si>
    <t>R5H6F9C3</t>
  </si>
  <si>
    <t>V8Z8R1X1</t>
  </si>
  <si>
    <t>M6Q7Z1U5</t>
  </si>
  <si>
    <t>B9J5O6U3</t>
  </si>
  <si>
    <t>A9V7E5E5</t>
  </si>
  <si>
    <t>T2B3R4N6</t>
  </si>
  <si>
    <t>Z2Q3P8O8</t>
  </si>
  <si>
    <t>I3G9N1N3</t>
  </si>
  <si>
    <t>E8X6A1T7</t>
  </si>
  <si>
    <t>D8L7E6B5</t>
  </si>
  <si>
    <t>U7I8C8P4</t>
  </si>
  <si>
    <t>X7P8N7P9</t>
  </si>
  <si>
    <t>K3Z4C9J3</t>
  </si>
  <si>
    <t>C9E4G2D7</t>
  </si>
  <si>
    <t>G4P9D7S3</t>
  </si>
  <si>
    <t>F2D4R5A7</t>
  </si>
  <si>
    <t>U6Z5N6P7</t>
  </si>
  <si>
    <t>Z4V3Q5I4</t>
  </si>
  <si>
    <t>V7Z9E4B4</t>
  </si>
  <si>
    <t>U5D7I7V7</t>
  </si>
  <si>
    <t>C2C3R7B3</t>
  </si>
  <si>
    <t>N8D7K5U5</t>
  </si>
  <si>
    <t>B1D4O1B7</t>
  </si>
  <si>
    <t>S9T4P2T2</t>
  </si>
  <si>
    <t>I1Z2B2B8</t>
  </si>
  <si>
    <t>V1A7Z7B1</t>
  </si>
  <si>
    <t>Z8N4B3A8</t>
  </si>
  <si>
    <t>O5H4I2M6</t>
  </si>
  <si>
    <t>U9B3F5U4</t>
  </si>
  <si>
    <t>Z7C6A7I8</t>
  </si>
  <si>
    <t>T6G7P7T4</t>
  </si>
  <si>
    <t>E1B8A2O8</t>
  </si>
  <si>
    <t>S2B1O9E9</t>
  </si>
  <si>
    <t>U3F1A3G9</t>
  </si>
  <si>
    <t>B7X2Z4T7</t>
  </si>
  <si>
    <t>V6T3R3O1</t>
  </si>
  <si>
    <t>C1X2H6L5</t>
  </si>
  <si>
    <t>Q9Z6O3L2</t>
  </si>
  <si>
    <t>N5O1T8N9</t>
  </si>
  <si>
    <t>K3G2T9G3</t>
  </si>
  <si>
    <t>T3Z5H4Q7</t>
  </si>
  <si>
    <t>C5D8M9I9</t>
  </si>
  <si>
    <t>X5G5S1I6</t>
  </si>
  <si>
    <t>Q5C8I7Q6</t>
  </si>
  <si>
    <t>C3H1X1E8</t>
  </si>
  <si>
    <t>J1S2Q4N5</t>
  </si>
  <si>
    <t>X8U5D8N1</t>
  </si>
  <si>
    <t>D1K2O6I2</t>
  </si>
  <si>
    <t>R1F8C8X9</t>
  </si>
  <si>
    <t>G6Z3X6J1</t>
  </si>
  <si>
    <t>L2L5Q8T3</t>
  </si>
  <si>
    <t>N3Z7G6M5</t>
  </si>
  <si>
    <t>O1S8B5M8</t>
  </si>
  <si>
    <t>I9Q2V6A7</t>
  </si>
  <si>
    <t>A3L7B6I2</t>
  </si>
  <si>
    <t>M6O9J7M8</t>
  </si>
  <si>
    <t>F7G8M1D3</t>
  </si>
  <si>
    <t>J9I9F2V3</t>
  </si>
  <si>
    <t>T1H8K9U6</t>
  </si>
  <si>
    <t>S2T6B6H1</t>
  </si>
  <si>
    <t>V4D2S8R1</t>
  </si>
  <si>
    <t>S8B7R4X2</t>
  </si>
  <si>
    <t>T3A8P8R7</t>
  </si>
  <si>
    <t>F9C9E6A7</t>
  </si>
  <si>
    <t>Q2H1J6K4</t>
  </si>
  <si>
    <t>C3Q8Z5M8</t>
  </si>
  <si>
    <t>U3E7T9N2</t>
  </si>
  <si>
    <t>A7G4O2K8</t>
  </si>
  <si>
    <t>P5V3A7H6</t>
  </si>
  <si>
    <t>H6B8M8D8</t>
  </si>
  <si>
    <t>C2I6J7K9</t>
  </si>
  <si>
    <t>E3H3C6H4</t>
  </si>
  <si>
    <t>L6R2U7N4</t>
  </si>
  <si>
    <t>O1D4U3M6</t>
  </si>
  <si>
    <t>E1D8Z6J2</t>
  </si>
  <si>
    <t>Q2A2A4T2</t>
  </si>
  <si>
    <t>C9V5A1B6</t>
  </si>
  <si>
    <t>V9L9J3X9</t>
  </si>
  <si>
    <t>M4D3K7L1</t>
  </si>
  <si>
    <t>X7L2S5P4</t>
  </si>
  <si>
    <t>G2E5G8A7</t>
  </si>
  <si>
    <t>U4C5Q5G7</t>
  </si>
  <si>
    <t>C4R6C4L3</t>
  </si>
  <si>
    <t>H8U6L1E8</t>
  </si>
  <si>
    <t>M5H5K4Z7</t>
  </si>
  <si>
    <t>Z9H2X9R7</t>
  </si>
  <si>
    <t>R6T5A7E1</t>
  </si>
  <si>
    <t>I1L7Z4N5</t>
  </si>
  <si>
    <t>Z6F3F9U7</t>
  </si>
  <si>
    <t>V3L9R7L6</t>
  </si>
  <si>
    <t>B7K4R4C9</t>
  </si>
  <si>
    <t>M4C4T1Z8</t>
  </si>
  <si>
    <t>H4E7K1H1</t>
  </si>
  <si>
    <t>F7Z1E4J3</t>
  </si>
  <si>
    <t>X3A7G5Z5</t>
  </si>
  <si>
    <t>G5B2X8T3</t>
  </si>
  <si>
    <t>X6U7U4J1</t>
  </si>
  <si>
    <t>M2M7P1F9</t>
  </si>
  <si>
    <t>B8D7D5F1</t>
  </si>
  <si>
    <t>D8A1T7D6</t>
  </si>
  <si>
    <t>C8C7X7K5</t>
  </si>
  <si>
    <t>H3M8M1J6</t>
  </si>
  <si>
    <t>B1B9H7J8</t>
  </si>
  <si>
    <t>O7I1A4Z9</t>
  </si>
  <si>
    <t>L6V7N9V3</t>
  </si>
  <si>
    <t>J7X9U1I3</t>
  </si>
  <si>
    <t>F7S9I9H2</t>
  </si>
  <si>
    <t>E8V7L6P7</t>
  </si>
  <si>
    <t>X7K5C8O6</t>
  </si>
  <si>
    <t>N2N5X6R9</t>
  </si>
  <si>
    <t>X7P6A2B1</t>
  </si>
  <si>
    <t>M1N7B5R5</t>
  </si>
  <si>
    <t>P4F3D4O7</t>
  </si>
  <si>
    <t>S7X1G4E4</t>
  </si>
  <si>
    <t>C6N2U9G3</t>
  </si>
  <si>
    <t>R7T6J9X2</t>
  </si>
  <si>
    <t>Z3K8Z3I8</t>
  </si>
  <si>
    <t>E2I4P6P2</t>
  </si>
  <si>
    <t>V5J2N1T7</t>
  </si>
  <si>
    <t>U9R2R2N8</t>
  </si>
  <si>
    <t>T6P3B7S6</t>
  </si>
  <si>
    <t>K4M6E4P2</t>
  </si>
  <si>
    <t>I2A8V4O8</t>
  </si>
  <si>
    <t>A2Z7J2R4</t>
  </si>
  <si>
    <t>N6S9A4G4</t>
  </si>
  <si>
    <t>M6G7U2N1</t>
  </si>
  <si>
    <t>R7E8K4E8</t>
  </si>
  <si>
    <t>B8U1N3O1</t>
  </si>
  <si>
    <t>F9O5O5V4</t>
  </si>
  <si>
    <t>S4F6R7E4</t>
  </si>
  <si>
    <t>U5T1H7V8</t>
  </si>
  <si>
    <t>T3U4A7N2</t>
  </si>
  <si>
    <t>H2I5K4Z4</t>
  </si>
  <si>
    <t>T8V4D3U3</t>
  </si>
  <si>
    <t>V4Z1N3N5</t>
  </si>
  <si>
    <t>C3O1R2E3</t>
  </si>
  <si>
    <t>U3F6T4L8</t>
  </si>
  <si>
    <t>M5B8C7G9</t>
  </si>
  <si>
    <t>P5U7T1C4</t>
  </si>
  <si>
    <t>H2U4P9C4</t>
  </si>
  <si>
    <t>E6T4Q9F8</t>
  </si>
  <si>
    <t>V6T6Z1G3</t>
  </si>
  <si>
    <t>X4F9M5B8</t>
  </si>
  <si>
    <t>D9U6Q4T3</t>
  </si>
  <si>
    <t>T8E2S7A3</t>
  </si>
  <si>
    <t>C8U2V2E7</t>
  </si>
  <si>
    <t>X6S7Z5L1</t>
  </si>
  <si>
    <t>U7R6J1P1</t>
  </si>
  <si>
    <t>X4R6L2F4</t>
  </si>
  <si>
    <t>M2C1X3S3</t>
  </si>
  <si>
    <t>F7X8X8A3</t>
  </si>
  <si>
    <t>T9H8Z4A5</t>
  </si>
  <si>
    <t>T7D7J4N6</t>
  </si>
  <si>
    <t>P5P7J2A9</t>
  </si>
  <si>
    <t>J2M1E9B1</t>
  </si>
  <si>
    <t>Q1O2B6G6</t>
  </si>
  <si>
    <t>E2I1L5T5</t>
  </si>
  <si>
    <t>P8V3O8R3</t>
  </si>
  <si>
    <t>C7U2H5P5</t>
  </si>
  <si>
    <t>X1E4B6G6</t>
  </si>
  <si>
    <t>T9P8J3D1</t>
  </si>
  <si>
    <t>U8C9Z5N6</t>
  </si>
  <si>
    <t>K1B9J2T3</t>
  </si>
  <si>
    <t>Q3Z8F5O1</t>
  </si>
  <si>
    <t>X1J9G4R6</t>
  </si>
  <si>
    <t>P7P2H5N9</t>
  </si>
  <si>
    <t>H8N9A1S7</t>
  </si>
  <si>
    <t>A4P1R9Q6</t>
  </si>
  <si>
    <t>E3I6K6Z9</t>
  </si>
  <si>
    <t>E2U5Z4D2</t>
  </si>
  <si>
    <t>F8S1H8L3</t>
  </si>
  <si>
    <t>U4B2H9N5</t>
  </si>
  <si>
    <t>U8K6N5H6</t>
  </si>
  <si>
    <t>Q3O4F9Q1</t>
  </si>
  <si>
    <t>I7N8Z6G3</t>
  </si>
  <si>
    <t>G1P1O9K8</t>
  </si>
  <si>
    <t>U7L8O6O4</t>
  </si>
  <si>
    <t>A1A2I2Q1</t>
  </si>
  <si>
    <t>U3T1M5J6</t>
  </si>
  <si>
    <t>B9O1D5T1</t>
  </si>
  <si>
    <t>D5R4N5Z5</t>
  </si>
  <si>
    <t>G6Z7N7M8</t>
  </si>
  <si>
    <t>S3U1Z2P4</t>
  </si>
  <si>
    <t>M9A9M9X2</t>
  </si>
  <si>
    <t>I6B7X4G4</t>
  </si>
  <si>
    <t>A1T5X2D1</t>
  </si>
  <si>
    <t>A7I2G3G8</t>
  </si>
  <si>
    <t>O2T2N6Z4</t>
  </si>
  <si>
    <t>I4H9R5L5</t>
  </si>
  <si>
    <t>D6O7Z3Z9</t>
  </si>
  <si>
    <t>N4J4C2H9</t>
  </si>
  <si>
    <t>N6R8A8R2</t>
  </si>
  <si>
    <t>D7G5O1A4</t>
  </si>
  <si>
    <t>O3N1N5G9</t>
  </si>
  <si>
    <t>X8F9G1J9</t>
  </si>
  <si>
    <t>U4G4N3Q8</t>
  </si>
  <si>
    <t>N9S1V7M4</t>
  </si>
  <si>
    <t>H6L8T6J8</t>
  </si>
  <si>
    <t>O6J9V1C6</t>
  </si>
  <si>
    <t>S2F7H5C9</t>
  </si>
  <si>
    <t>C8D2A8O5</t>
  </si>
  <si>
    <t>D9M1L5I8</t>
  </si>
  <si>
    <t>Q7K7O8I8</t>
  </si>
  <si>
    <t>Q5Z5Q7B1</t>
  </si>
  <si>
    <t>V8R2D6U4</t>
  </si>
  <si>
    <t>O1R2X7U1</t>
  </si>
  <si>
    <t>R3F7Z3F1</t>
  </si>
  <si>
    <t>L4Q8H4F3</t>
  </si>
  <si>
    <t>R4A9Z8K3</t>
  </si>
  <si>
    <t>J8S5S3U4</t>
  </si>
  <si>
    <t>T4A6K6O4</t>
  </si>
  <si>
    <t>A7Z6J5B7</t>
  </si>
  <si>
    <t>B6N1O9S3</t>
  </si>
  <si>
    <t>C6F1M6B3</t>
  </si>
  <si>
    <t>Z9F6B7R1</t>
  </si>
  <si>
    <t>G3X6Z8J8</t>
  </si>
  <si>
    <t>P6S7H9R5</t>
  </si>
  <si>
    <t>J1D2F2P4</t>
  </si>
  <si>
    <t>E4V3U9S9</t>
  </si>
  <si>
    <t>C7P4G1O9</t>
  </si>
  <si>
    <t>L6S3F6E7</t>
  </si>
  <si>
    <t>L7U8C6U3</t>
  </si>
  <si>
    <t>V1E5B6R1</t>
  </si>
  <si>
    <t>T7C9K3J1</t>
  </si>
  <si>
    <t>N8K1A1R7</t>
  </si>
  <si>
    <t>C4Q2I3A6</t>
  </si>
  <si>
    <t>U3G3O2A1</t>
  </si>
  <si>
    <t>R2D8Z6O1</t>
  </si>
  <si>
    <t>X1U3N4V4</t>
  </si>
  <si>
    <t>S7Z7P4I2</t>
  </si>
  <si>
    <t>K2Z6A3V9</t>
  </si>
  <si>
    <t>Z2R5R5M5</t>
  </si>
  <si>
    <t>I3R6L1Q2</t>
  </si>
  <si>
    <t>N3S5S1O4</t>
  </si>
  <si>
    <t>B4J8X2D8</t>
  </si>
  <si>
    <t>T9S4Z9K4</t>
  </si>
  <si>
    <t>M3C3U4X1</t>
  </si>
  <si>
    <t>A5A8X7R8</t>
  </si>
  <si>
    <t>N7Z1F3V3</t>
  </si>
  <si>
    <t>P4J9X3C2</t>
  </si>
  <si>
    <t>C9Q1L1G1</t>
  </si>
  <si>
    <t>B4C1A9L1</t>
  </si>
  <si>
    <t>J6T9A8H9</t>
  </si>
  <si>
    <t>Z9P7V4A2</t>
  </si>
  <si>
    <t>L1P7X5Q5</t>
  </si>
  <si>
    <t>U3Z4D4A6</t>
  </si>
  <si>
    <t>A8P8K9S6</t>
  </si>
  <si>
    <t>F8K5L4A6</t>
  </si>
  <si>
    <t>I7E4I8J5</t>
  </si>
  <si>
    <t>G8O2K6J5</t>
  </si>
  <si>
    <t>C3S7D1G9</t>
  </si>
  <si>
    <t>I5M9H5O5</t>
  </si>
  <si>
    <t>K5R5S8H2</t>
  </si>
  <si>
    <t>K4G4X4M2</t>
  </si>
  <si>
    <t>H2Z5F2U4</t>
  </si>
  <si>
    <t>M6S1T5K1</t>
  </si>
  <si>
    <t>H5L6O8I3</t>
  </si>
  <si>
    <t>V3N4P7C4</t>
  </si>
  <si>
    <t>B2K1T6X3</t>
  </si>
  <si>
    <t>X4V7N2U2</t>
  </si>
  <si>
    <t>D8R5M1C3</t>
  </si>
  <si>
    <t>P6K9A7M1</t>
  </si>
  <si>
    <t>Z6T8O2D4</t>
  </si>
  <si>
    <t>R5G4M7T4</t>
  </si>
  <si>
    <t>L2I1P9R1</t>
  </si>
  <si>
    <t>J4T5N2T5</t>
  </si>
  <si>
    <t>H7Q1A2D5</t>
  </si>
  <si>
    <t>U7F5N1L8</t>
  </si>
  <si>
    <t>B2L2J2U8</t>
  </si>
  <si>
    <t>U6T1L7I1</t>
  </si>
  <si>
    <t>F6S4Q1C7</t>
  </si>
  <si>
    <t>F7S5D8H6</t>
  </si>
  <si>
    <t>G5U5A6P8</t>
  </si>
  <si>
    <t>X1H2Q2J3</t>
  </si>
  <si>
    <t>S9N2K1D5</t>
  </si>
  <si>
    <t>D8X1M4C8</t>
  </si>
  <si>
    <t>X4R6Z1I6</t>
  </si>
  <si>
    <t>S9O3E8O6</t>
  </si>
  <si>
    <t>C5U9X2S6</t>
  </si>
  <si>
    <t>K5C3J8I5</t>
  </si>
  <si>
    <t>T5H3D2H9</t>
  </si>
  <si>
    <t>B9Z8B6K3</t>
  </si>
  <si>
    <t>X7Q5C4R4</t>
  </si>
  <si>
    <t>E7C1T3E8</t>
  </si>
  <si>
    <t>F9J2Z7T1</t>
  </si>
  <si>
    <t>X4X6T4G7</t>
  </si>
  <si>
    <t>F6T3X9I3</t>
  </si>
  <si>
    <t>P4N5S3O5</t>
  </si>
  <si>
    <t>U5I2A7P5</t>
  </si>
  <si>
    <t>H6K9H2F2</t>
  </si>
  <si>
    <t>Z9L4K6J1</t>
  </si>
  <si>
    <t>K6F9N7F8</t>
  </si>
  <si>
    <t>Q6H3F4B6</t>
  </si>
  <si>
    <t>K1E4Q7R7</t>
  </si>
  <si>
    <t>R3O9S6C8</t>
  </si>
  <si>
    <t>E1S1P2A2</t>
  </si>
  <si>
    <t>N1L5B1T3</t>
  </si>
  <si>
    <t>H4T3D6T7</t>
  </si>
  <si>
    <t>U7K6N2D6</t>
  </si>
  <si>
    <t>P2A6R3H3</t>
  </si>
  <si>
    <t>K5L7H4N9</t>
  </si>
  <si>
    <t>K6I2Z9D6</t>
  </si>
  <si>
    <t>C7K2X3X8</t>
  </si>
  <si>
    <t>X6G3I9R7</t>
  </si>
  <si>
    <t>P1Z3M4M7</t>
  </si>
  <si>
    <t>Z3I9U6R9</t>
  </si>
  <si>
    <t>X1H4K1M1</t>
  </si>
  <si>
    <t>X3U9H6D8</t>
  </si>
  <si>
    <t>Q6A8N8G7</t>
  </si>
  <si>
    <t>Z3Q8M6I2</t>
  </si>
  <si>
    <t>B8A2N8Q8</t>
  </si>
  <si>
    <t>R4X2S9N4</t>
  </si>
  <si>
    <t>E1O5U6B6</t>
  </si>
  <si>
    <t>V4G7B5G4</t>
  </si>
  <si>
    <t>X5O1N5Z5</t>
  </si>
  <si>
    <t>J9L1X4A1</t>
  </si>
  <si>
    <t>V2E8N3S6</t>
  </si>
  <si>
    <t>R7Z6H6H3</t>
  </si>
  <si>
    <t>L4B4J1M2</t>
  </si>
  <si>
    <t>D2H6Z3I5</t>
  </si>
  <si>
    <t>K2G5N1B6</t>
  </si>
  <si>
    <t>H3V3N9U2</t>
  </si>
  <si>
    <t>A1E6Z5X7</t>
  </si>
  <si>
    <t>X9B1R7L9</t>
  </si>
  <si>
    <t>A3X2S1S3</t>
  </si>
  <si>
    <t>V1Z4U6T6</t>
  </si>
  <si>
    <t>D1B5A6B8</t>
  </si>
  <si>
    <t>P3B8Z5N1</t>
  </si>
  <si>
    <t>Z3Z4N9N6</t>
  </si>
  <si>
    <t>Z4O2C9P7</t>
  </si>
  <si>
    <t>T5G6U5D9</t>
  </si>
  <si>
    <t>U5U2U7I3</t>
  </si>
  <si>
    <t>G4M3Q5T3</t>
  </si>
  <si>
    <t>X9R6J4K7</t>
  </si>
  <si>
    <t>G4G6T9I5</t>
  </si>
  <si>
    <t>D9G1I9A1</t>
  </si>
  <si>
    <t>D3G9Z7T9</t>
  </si>
  <si>
    <t>X9T2D8C2</t>
  </si>
  <si>
    <t>X4T2E2F5</t>
  </si>
  <si>
    <t>A9S2Z6X9</t>
  </si>
  <si>
    <t>E9B5G2G3</t>
  </si>
  <si>
    <t>V3I9S1F7</t>
  </si>
  <si>
    <t>M3E9Q2N8</t>
  </si>
  <si>
    <t>N8L3F1I3</t>
  </si>
  <si>
    <t>F8A7L7I5</t>
  </si>
  <si>
    <t>A4N7B2F7</t>
  </si>
  <si>
    <t>V3Q1J9H5</t>
  </si>
  <si>
    <t>F5K7D2M6</t>
  </si>
  <si>
    <t>X1U2Z3P7</t>
  </si>
  <si>
    <t>B3U1S9N9</t>
  </si>
  <si>
    <t>Q4I8V7U1</t>
  </si>
  <si>
    <t>D2U2L7L9</t>
  </si>
  <si>
    <t>Z5G7R3S7</t>
  </si>
  <si>
    <t>H8Z1G1L9</t>
  </si>
  <si>
    <t>I7R1S6Q9</t>
  </si>
  <si>
    <t>N2Z6P7Z8</t>
  </si>
  <si>
    <t>H8L5J6P1</t>
  </si>
  <si>
    <t>B3U3Z5T2</t>
  </si>
  <si>
    <t>X4B7V7K9</t>
  </si>
  <si>
    <t>T4N5Q3F4</t>
  </si>
  <si>
    <t>E9S3C3H4</t>
  </si>
  <si>
    <t>L4C4F9E1</t>
  </si>
  <si>
    <t>M2J9V6M8</t>
  </si>
  <si>
    <t>N2U7P1V6</t>
  </si>
  <si>
    <t>K1H4O2D7</t>
  </si>
  <si>
    <t>T1X9M6A4</t>
  </si>
  <si>
    <t>S4R9M1M9</t>
  </si>
  <si>
    <t>O7C1J1L6</t>
  </si>
  <si>
    <t>I1Z6F1J5</t>
  </si>
  <si>
    <t>T2D6P5H8</t>
  </si>
  <si>
    <t>B5P1A7T4</t>
  </si>
  <si>
    <t>P1G5D9A8</t>
  </si>
  <si>
    <t>P9R1D2B3</t>
  </si>
  <si>
    <t>J8U2I8Q2</t>
  </si>
  <si>
    <t>S3C3V2M4</t>
  </si>
  <si>
    <t>O2G2J6X3</t>
  </si>
  <si>
    <t>C9X9D9P3</t>
  </si>
  <si>
    <t>C6V3V6P5</t>
  </si>
  <si>
    <t>M5E7F5D6</t>
  </si>
  <si>
    <t>D9T1C1T7</t>
  </si>
  <si>
    <t>V6A8J3A3</t>
  </si>
  <si>
    <t>M5I1S9E5</t>
  </si>
  <si>
    <t>Q2V2M7G1</t>
  </si>
  <si>
    <t>O4S7K5V3</t>
  </si>
  <si>
    <t>G5F7T8B4</t>
  </si>
  <si>
    <t>C1D7V7G1</t>
  </si>
  <si>
    <t>N4H2N7V4</t>
  </si>
  <si>
    <t>X3M4A6U7</t>
  </si>
  <si>
    <t>F9I6Q8V4</t>
  </si>
  <si>
    <t>G8X6H4Q6</t>
  </si>
  <si>
    <t>I6T9M7D4</t>
  </si>
  <si>
    <t>J7H5I2P5</t>
  </si>
  <si>
    <t>G3C4U1R2</t>
  </si>
  <si>
    <t>K5Z2M4X8</t>
  </si>
  <si>
    <t>M7K9V8E6</t>
  </si>
  <si>
    <t>N3G8X7X1</t>
  </si>
  <si>
    <t>L3E2O3T8</t>
  </si>
  <si>
    <t>U5N2F5B1</t>
  </si>
  <si>
    <t>Q7C4G2B6</t>
  </si>
  <si>
    <t>Z2S8H1D1</t>
  </si>
  <si>
    <t>T7Q3Z9F8</t>
  </si>
  <si>
    <t>T9S5N6K1</t>
  </si>
  <si>
    <t>F5E3N8I5</t>
  </si>
  <si>
    <t>T9B2I6Q5</t>
  </si>
  <si>
    <t>M6G5D5A1</t>
  </si>
  <si>
    <t>X4E6U2E2</t>
  </si>
  <si>
    <t>B8D2R7C2</t>
  </si>
  <si>
    <t>M8N1C7X3</t>
  </si>
  <si>
    <t>P6K5I3V2</t>
  </si>
  <si>
    <t>Q1Q4F6S4</t>
  </si>
  <si>
    <t>A4Z7C4S9</t>
  </si>
  <si>
    <t>F6D3Z2E3</t>
  </si>
  <si>
    <t>C1G8T7Z3</t>
  </si>
  <si>
    <t>U7R3V3S5</t>
  </si>
  <si>
    <t>D8S8D5E7</t>
  </si>
  <si>
    <t>F8X1S9Q6</t>
  </si>
  <si>
    <t>S9P4A9T7</t>
  </si>
  <si>
    <t>U8A3R6C9</t>
  </si>
  <si>
    <t>X3C6S1T2</t>
  </si>
  <si>
    <t>K9B8D2U1</t>
  </si>
  <si>
    <t>N5O5R2D8</t>
  </si>
  <si>
    <t>X6S3O7Z1</t>
  </si>
  <si>
    <t>U8X4X5X2</t>
  </si>
  <si>
    <t>A4T2U8C6</t>
  </si>
  <si>
    <t>Z3O6B6Q9</t>
  </si>
  <si>
    <t>R1O7K2H6</t>
  </si>
  <si>
    <t>X8R7B9X9</t>
  </si>
  <si>
    <t>Q4R3P8P6</t>
  </si>
  <si>
    <t>P5G2V8H1</t>
  </si>
  <si>
    <t>G1P8N6K9</t>
  </si>
  <si>
    <t>H9M2S8C5</t>
  </si>
  <si>
    <t>K3G7D7F8</t>
  </si>
  <si>
    <t>X7H6H3K2</t>
  </si>
  <si>
    <t>K4H3R3Q6</t>
  </si>
  <si>
    <t>U1B6O6B2</t>
  </si>
  <si>
    <t>B7O3P6K7</t>
  </si>
  <si>
    <t>D3Z7L2D1</t>
  </si>
  <si>
    <t>V3H9S7Q6</t>
  </si>
  <si>
    <t>H2S6N5E8</t>
  </si>
  <si>
    <t>C3H4I3X8</t>
  </si>
  <si>
    <t>I1D2R1Q9</t>
  </si>
  <si>
    <t>M4P1R5H1</t>
  </si>
  <si>
    <t>H8C7B5P1</t>
  </si>
  <si>
    <t>H4M9F5H3</t>
  </si>
  <si>
    <t>L3G3V2V3</t>
  </si>
  <si>
    <t>V2Q7P8V9</t>
  </si>
  <si>
    <t>G2J2M4R8</t>
  </si>
  <si>
    <t>E4C3P7U5</t>
  </si>
  <si>
    <t>A8L7S8G8</t>
  </si>
  <si>
    <t>L1Z9E8T6</t>
  </si>
  <si>
    <t>M8I4J4R2</t>
  </si>
  <si>
    <t>R4I2X9J3</t>
  </si>
  <si>
    <t>D6P9C2R6</t>
  </si>
  <si>
    <t>I4A7R3Q4</t>
  </si>
  <si>
    <t>S4H5A4C3</t>
  </si>
  <si>
    <t>U5M5A1M9</t>
  </si>
  <si>
    <t>E8G7K8H6</t>
  </si>
  <si>
    <t>E7E3V8Q6</t>
  </si>
  <si>
    <t>B5Z5Z6V5</t>
  </si>
  <si>
    <t>O9C9P2N7</t>
  </si>
  <si>
    <t>S9O8Z5O9</t>
  </si>
  <si>
    <t>K8C6E4Q6</t>
  </si>
  <si>
    <t>B2Q5T2D6</t>
  </si>
  <si>
    <t>D6C8J5H3</t>
  </si>
  <si>
    <t>T9N1D6H3</t>
  </si>
  <si>
    <t>E3B6C8I6</t>
  </si>
  <si>
    <t>N5T4Q9F6</t>
  </si>
  <si>
    <t>A4P7H4D8</t>
  </si>
  <si>
    <t>D8S5Z9D7</t>
  </si>
  <si>
    <t>U3T9B2Z5</t>
  </si>
  <si>
    <t>N3K4Z2L4</t>
  </si>
  <si>
    <t>D3B4L3L1</t>
  </si>
  <si>
    <t>Z9E5A4I5</t>
  </si>
  <si>
    <t>Q4M3B4A4</t>
  </si>
  <si>
    <t>U9O6M1M3</t>
  </si>
  <si>
    <t>I1N8Q7X2</t>
  </si>
  <si>
    <t>V3F5F1A8</t>
  </si>
  <si>
    <t>Q3N7F9F1</t>
  </si>
  <si>
    <t>F3D1M2U8</t>
  </si>
  <si>
    <t>D7A2N1U6</t>
  </si>
  <si>
    <t>R8L9J7R2</t>
  </si>
  <si>
    <t>D8G8X4H8</t>
  </si>
  <si>
    <t>A6H5J8U7</t>
  </si>
  <si>
    <t>X9G5E3K1</t>
  </si>
  <si>
    <t>U6L9C3O1</t>
  </si>
  <si>
    <t>N8T8C5U3</t>
  </si>
  <si>
    <t>U6V7Z1E2</t>
  </si>
  <si>
    <t>Q4D8B2L8</t>
  </si>
  <si>
    <t>L2T1U3T4</t>
  </si>
  <si>
    <t>R9O2U9M5</t>
  </si>
  <si>
    <t>L8N2P1X3</t>
  </si>
  <si>
    <t>A4O8S7I7</t>
  </si>
  <si>
    <t>I8Z3H4Z2</t>
  </si>
  <si>
    <t>C6Z6I4X9</t>
  </si>
  <si>
    <t>Q3B3D5H3</t>
  </si>
  <si>
    <t>G6S3D5O8</t>
  </si>
  <si>
    <t>A5F9X5T1</t>
  </si>
  <si>
    <t>M8N7R4I6</t>
  </si>
  <si>
    <t>Z9S7J8J7</t>
  </si>
  <si>
    <t>I1D4S4Q8</t>
  </si>
  <si>
    <t>A2N2P6D1</t>
  </si>
  <si>
    <t>S3G2C1B2</t>
  </si>
  <si>
    <t>T3N7T7G3</t>
  </si>
  <si>
    <t>A4O5X1N7</t>
  </si>
  <si>
    <t>J7E4C9J6</t>
  </si>
  <si>
    <t>K9A1S8R5</t>
  </si>
  <si>
    <t>Q9L4K7K8</t>
  </si>
  <si>
    <t>P1L5A7U1</t>
  </si>
  <si>
    <t>S6M1P7M6</t>
  </si>
  <si>
    <t>F1K3E3C8</t>
  </si>
  <si>
    <t>P5A1H6Q8</t>
  </si>
  <si>
    <t>U5H7Z3B2</t>
  </si>
  <si>
    <t>J4P2E7B7</t>
  </si>
  <si>
    <t>J6L6G4F7</t>
  </si>
  <si>
    <t>B3Z6Z3S3</t>
  </si>
  <si>
    <t>D9T7R7R9</t>
  </si>
  <si>
    <t>B3P6O5M3</t>
  </si>
  <si>
    <t>A7B7K7P6</t>
  </si>
  <si>
    <t>V5E3T6Q8</t>
  </si>
  <si>
    <t>F8V6I3R5</t>
  </si>
  <si>
    <t>L1E5O1T7</t>
  </si>
  <si>
    <t>D1G1B1Z9</t>
  </si>
  <si>
    <t>S9I8B7A4</t>
  </si>
  <si>
    <t>X3G1R4M4</t>
  </si>
  <si>
    <t>N1K9L1Z3</t>
  </si>
  <si>
    <t>O9P1E6N2</t>
  </si>
  <si>
    <t>X4M2O4T9</t>
  </si>
  <si>
    <t>Q1K1Z8K6</t>
  </si>
  <si>
    <t>L4Q8U1P1</t>
  </si>
  <si>
    <t>E1V3F2E5</t>
  </si>
  <si>
    <t>T2K7F1J8</t>
  </si>
  <si>
    <t>F9Z6C4F9</t>
  </si>
  <si>
    <t>L4A1G1C8</t>
  </si>
  <si>
    <t>G8L8Q8D7</t>
  </si>
  <si>
    <t>K8Q1C5R8</t>
  </si>
  <si>
    <t>C3E2X3X4</t>
  </si>
  <si>
    <t>U1J3K6X4</t>
  </si>
  <si>
    <t>I6S4Q2G6</t>
  </si>
  <si>
    <t>G8O5E3F3</t>
  </si>
  <si>
    <t>Z2G8X7R9</t>
  </si>
  <si>
    <t>N5E6Q9S3</t>
  </si>
  <si>
    <t>K5P1P3D7</t>
  </si>
  <si>
    <t>A7A1Q8H2</t>
  </si>
  <si>
    <t>P2V4U3U4</t>
  </si>
  <si>
    <t>Q9P4T7K8</t>
  </si>
  <si>
    <t>B2C3X2B1</t>
  </si>
  <si>
    <t>R1F6D6U8</t>
  </si>
  <si>
    <t>N3P7L4M3</t>
  </si>
  <si>
    <t>O3H8O8X4</t>
  </si>
  <si>
    <t>Z2A2D6Z8</t>
  </si>
  <si>
    <t>D7B6H9J9</t>
  </si>
  <si>
    <t>O4R8A4P3</t>
  </si>
  <si>
    <t>E5Z9H8J4</t>
  </si>
  <si>
    <t>D4P8H5M6</t>
  </si>
  <si>
    <t>K3X9X5L9</t>
  </si>
  <si>
    <t>K1N8I8G9</t>
  </si>
  <si>
    <t>M8K3T4Z2</t>
  </si>
  <si>
    <t>G7H3G9L4</t>
  </si>
  <si>
    <t>H5T3K8O4</t>
  </si>
  <si>
    <t>Q3M7K8Q9</t>
  </si>
  <si>
    <t>U7Q3G4E1</t>
  </si>
  <si>
    <t>O4K2P8T2</t>
  </si>
  <si>
    <t>U1N8L8X6</t>
  </si>
  <si>
    <t>H6D3L7E3</t>
  </si>
  <si>
    <t>L2D3D7C9</t>
  </si>
  <si>
    <t>H8T3O3J1</t>
  </si>
  <si>
    <t>R9T3A8T5</t>
  </si>
  <si>
    <t>L1A9I1B1</t>
  </si>
  <si>
    <t>G4K7A6X8</t>
  </si>
  <si>
    <t>P6J8O9F4</t>
  </si>
  <si>
    <t>A6S4M9G6</t>
  </si>
  <si>
    <t>G3Z1T8K2</t>
  </si>
  <si>
    <t>Z2E4M4H6</t>
  </si>
  <si>
    <t>A5L7P4X8</t>
  </si>
  <si>
    <t>T5V7K1P8</t>
  </si>
  <si>
    <t>U6I3S3F4</t>
  </si>
  <si>
    <t>Z6E4Z7X2</t>
  </si>
  <si>
    <t>K8X9D8B1</t>
  </si>
  <si>
    <t>D5T3R3S2</t>
  </si>
  <si>
    <t>Q4J9D5B4</t>
  </si>
  <si>
    <t>O2I1L9K2</t>
  </si>
  <si>
    <t>G4M2Q1D2</t>
  </si>
  <si>
    <t>H1M1E2F1</t>
  </si>
  <si>
    <t>A8P3T3M7</t>
  </si>
  <si>
    <t>X6J6M8V8</t>
  </si>
  <si>
    <t>H6K3C7I2</t>
  </si>
  <si>
    <t>Q1T1F3B5</t>
  </si>
  <si>
    <t>M4B7P8X7</t>
  </si>
  <si>
    <t>V8F3F7R9</t>
  </si>
  <si>
    <t>Z6R3P1A3</t>
  </si>
  <si>
    <t>O8O8B3I7</t>
  </si>
  <si>
    <t>D9Z6T6I5</t>
  </si>
  <si>
    <t>S1X6P6I1</t>
  </si>
  <si>
    <t>Q1L4I3R3</t>
  </si>
  <si>
    <t>A1F4S9G3</t>
  </si>
  <si>
    <t>Q2A7P9G7</t>
  </si>
  <si>
    <t>Q3R7K2U3</t>
  </si>
  <si>
    <t>C6I4M5F2</t>
  </si>
  <si>
    <t>M9U3R2K3</t>
  </si>
  <si>
    <t>C6E6M4P4</t>
  </si>
  <si>
    <t>H4F3Q4S7</t>
  </si>
  <si>
    <t>Q3G8G8X3</t>
  </si>
  <si>
    <t>M7V9F4F9</t>
  </si>
  <si>
    <t>V4Z2J9P8</t>
  </si>
  <si>
    <t>X1T8S9O1</t>
  </si>
  <si>
    <t>M5U5U6C1</t>
  </si>
  <si>
    <t>L1A5T4K1</t>
  </si>
  <si>
    <t>C5D9H5A9</t>
  </si>
  <si>
    <t>V4M9F8V2</t>
  </si>
  <si>
    <t>O7X2N8J2</t>
  </si>
  <si>
    <t>I6D9R7F2</t>
  </si>
  <si>
    <t>A4B2G4R9</t>
  </si>
  <si>
    <t>Z6I3K5S9</t>
  </si>
  <si>
    <t>E5K8E1Z7</t>
  </si>
  <si>
    <t>P1O1X6Q2</t>
  </si>
  <si>
    <t>Z5U1V7M4</t>
  </si>
  <si>
    <t>Q5B3N3O7</t>
  </si>
  <si>
    <t>B5F7F8H6</t>
  </si>
  <si>
    <t>V5A9I8P2</t>
  </si>
  <si>
    <t>L1M8P5T9</t>
  </si>
  <si>
    <t>B5N8O6M7</t>
  </si>
  <si>
    <t>S9Z9V4J5</t>
  </si>
  <si>
    <t>P2L4Z9B1</t>
  </si>
  <si>
    <t>C5I3F7E6</t>
  </si>
  <si>
    <t>T1L1E1G9</t>
  </si>
  <si>
    <t>D3P2E4O1</t>
  </si>
  <si>
    <t>P8T5V4L1</t>
  </si>
  <si>
    <t>J4H1P5P1</t>
  </si>
  <si>
    <t>Z3Q1A6M5</t>
  </si>
  <si>
    <t>C1S1L2K5</t>
  </si>
  <si>
    <t>K4O8C8F4</t>
  </si>
  <si>
    <t>F8A9T8B1</t>
  </si>
  <si>
    <t>R9X5I8V7</t>
  </si>
  <si>
    <t>J6N9Q2N2</t>
  </si>
  <si>
    <t>K6K5K5E2</t>
  </si>
  <si>
    <t>G6H5Z8I3</t>
  </si>
  <si>
    <t>F9V3O3C1</t>
  </si>
  <si>
    <t>D7M4A4U5</t>
  </si>
  <si>
    <t>D2E7C5I2</t>
  </si>
  <si>
    <t>L3T9Q6Z4</t>
  </si>
  <si>
    <t>G2Q8G9F6</t>
  </si>
  <si>
    <t>Z9D8C9S2</t>
  </si>
  <si>
    <t>Q6P6U3S4</t>
  </si>
  <si>
    <t>F6V7B6U9</t>
  </si>
  <si>
    <t>N6H9U1U5</t>
  </si>
  <si>
    <t>I5Q7L8N7</t>
  </si>
  <si>
    <t>C6A8C9E2</t>
  </si>
  <si>
    <t>N9R3T1D8</t>
  </si>
  <si>
    <t>H8N6A1R6</t>
  </si>
  <si>
    <t>N3H4L8J1</t>
  </si>
  <si>
    <t>A4C7E6Z5</t>
  </si>
  <si>
    <t>T1U1S8C7</t>
  </si>
  <si>
    <t>H9L3Q3F8</t>
  </si>
  <si>
    <t>H4R7T9G6</t>
  </si>
  <si>
    <t>A7F3A8I4</t>
  </si>
  <si>
    <t>J6G5E7C4</t>
  </si>
  <si>
    <t>F3E7B8M9</t>
  </si>
  <si>
    <t>G3Q3I1S9</t>
  </si>
  <si>
    <t>J1K7R9N1</t>
  </si>
  <si>
    <t>C3R8H2T9</t>
  </si>
  <si>
    <t>I1B9Z7E9</t>
  </si>
  <si>
    <t>A2O9Q2C6</t>
  </si>
  <si>
    <t>R8T3V8Q9</t>
  </si>
  <si>
    <t>L8K3C7Q1</t>
  </si>
  <si>
    <t>T3N2I5Z7</t>
  </si>
  <si>
    <t>V7G9V2D6</t>
  </si>
  <si>
    <t>U6K7F1R8</t>
  </si>
  <si>
    <t>R8O9Z6I5</t>
  </si>
  <si>
    <t>H4G6J8F2</t>
  </si>
  <si>
    <t>B4U4H8H2</t>
  </si>
  <si>
    <t>Q9C1G9T4</t>
  </si>
  <si>
    <t>R5D8M8O3</t>
  </si>
  <si>
    <t>L2B2U6Z7</t>
  </si>
  <si>
    <t>T8B1G3S6</t>
  </si>
  <si>
    <t>G7D9E6N8</t>
  </si>
  <si>
    <t>F6X2V9X8</t>
  </si>
  <si>
    <t>X3V3H4Q9</t>
  </si>
  <si>
    <t>E1I5Q2G3</t>
  </si>
  <si>
    <t>V6A6Z6H1</t>
  </si>
  <si>
    <t>M8O5Z1T2</t>
  </si>
  <si>
    <t>O6Z1E4G2</t>
  </si>
  <si>
    <t>H9L8U7I9</t>
  </si>
  <si>
    <t>D7R9V2G3</t>
  </si>
  <si>
    <t>L8Z8J9Q5</t>
  </si>
  <si>
    <t>I2E6V2P3</t>
  </si>
  <si>
    <t>Q1C1S1K9</t>
  </si>
  <si>
    <t>P6L2X8N8</t>
  </si>
  <si>
    <t>E6T5J7L7</t>
  </si>
  <si>
    <t>X7D9B1Z6</t>
  </si>
  <si>
    <t>A9A7Z4V4</t>
  </si>
  <si>
    <t>I9X5I4T7</t>
  </si>
  <si>
    <t>B1Q9F9Q6</t>
  </si>
  <si>
    <t>D3Q6O2H4</t>
  </si>
  <si>
    <t>P2Z6U5T2</t>
  </si>
  <si>
    <t>X8M1G6J5</t>
  </si>
  <si>
    <t>D5H2R6Z7</t>
  </si>
  <si>
    <t>H5X2H2K4</t>
  </si>
  <si>
    <t>L9E4R6F3</t>
  </si>
  <si>
    <t>B7N4H3A4</t>
  </si>
  <si>
    <t>F6A5J6D4</t>
  </si>
  <si>
    <t>K1D8S7Z2</t>
  </si>
  <si>
    <t>U6K9V2I6</t>
  </si>
  <si>
    <t>L1T9L8Q9</t>
  </si>
  <si>
    <t>L3Q6O3M1</t>
  </si>
  <si>
    <t>U7U8R1P6</t>
  </si>
  <si>
    <t>X6G3G3J3</t>
  </si>
  <si>
    <t>S6M8K2F6</t>
  </si>
  <si>
    <t>J5B6Z8S6</t>
  </si>
  <si>
    <t>O9M6N8B1</t>
  </si>
  <si>
    <t>F3A5A8U1</t>
  </si>
  <si>
    <t>Z7L5P7M1</t>
  </si>
  <si>
    <t>A6F9S8K7</t>
  </si>
  <si>
    <t>V1C8X5C7</t>
  </si>
  <si>
    <t>N9D7E4A9</t>
  </si>
  <si>
    <t>I2P3E8E7</t>
  </si>
  <si>
    <t>T9F5M6V6</t>
  </si>
  <si>
    <t>I5N1U4B2</t>
  </si>
  <si>
    <t>F8M5D9U3</t>
  </si>
  <si>
    <t>O7S6J1X9</t>
  </si>
  <si>
    <t>O4P1U5D5</t>
  </si>
  <si>
    <t>Q6Z6K9R6</t>
  </si>
  <si>
    <t>Q3G5I9T7</t>
  </si>
  <si>
    <t>L2C9G4E8</t>
  </si>
  <si>
    <t>J8O3K9Q7</t>
  </si>
  <si>
    <t>X8Z7V9K9</t>
  </si>
  <si>
    <t>B1C4U4G4</t>
  </si>
  <si>
    <t>J5U7X1U3</t>
  </si>
  <si>
    <t>T8H8S9Z7</t>
  </si>
  <si>
    <t>F4A8X1O1</t>
  </si>
  <si>
    <t>L3V1F7C9</t>
  </si>
  <si>
    <t>U5X1U9T6</t>
  </si>
  <si>
    <t>N3S4S4O9</t>
  </si>
  <si>
    <t>P8B5A7F7</t>
  </si>
  <si>
    <t>L1M1A8G7</t>
  </si>
  <si>
    <t>M6V8U1B4</t>
  </si>
  <si>
    <t>Q5G4T9U8</t>
  </si>
  <si>
    <t>F4P4M3S8</t>
  </si>
  <si>
    <t>M3I7Z8K5</t>
  </si>
  <si>
    <t>M4A4Q1M8</t>
  </si>
  <si>
    <t>B4T5I7N6</t>
  </si>
  <si>
    <t>C9U9V2O5</t>
  </si>
  <si>
    <t>V9U4G9Q8</t>
  </si>
  <si>
    <t>C5E9S2J4</t>
  </si>
  <si>
    <t>A6Z7G2U2</t>
  </si>
  <si>
    <t>B8R8I9A3</t>
  </si>
  <si>
    <t>G7H3O5X6</t>
  </si>
  <si>
    <t>I1J1R9U1</t>
  </si>
  <si>
    <t>V9S2H3C4</t>
  </si>
  <si>
    <t>S8C7M8P5</t>
  </si>
  <si>
    <t>F6C2K8X3</t>
  </si>
  <si>
    <t>M9V3F4B1</t>
  </si>
  <si>
    <t>J7E3U4P6</t>
  </si>
  <si>
    <t>H5G7O3L5</t>
  </si>
  <si>
    <t>J3J5X8D8</t>
  </si>
  <si>
    <t>U4S8T8G8</t>
  </si>
  <si>
    <t>F9Z5C7H9</t>
  </si>
  <si>
    <t>G2A1T8H8</t>
  </si>
  <si>
    <t>F4R3A1L1</t>
  </si>
  <si>
    <t>H5Q2T8U9</t>
  </si>
  <si>
    <t>P8U3V4S3</t>
  </si>
  <si>
    <t>T9T7C5B7</t>
  </si>
  <si>
    <t>I6A6H9F6</t>
  </si>
  <si>
    <t>L2E1E3F7</t>
  </si>
  <si>
    <t>E4X2S6V4</t>
  </si>
  <si>
    <t>X3L5R9C5</t>
  </si>
  <si>
    <t>S4Z2T4A8</t>
  </si>
  <si>
    <t>L3S5G8V7</t>
  </si>
  <si>
    <t>M6G8B4X1</t>
  </si>
  <si>
    <t>J1S8F4X3</t>
  </si>
  <si>
    <t>V4X8O3H2</t>
  </si>
  <si>
    <t>F4O5T8Z3</t>
  </si>
  <si>
    <t>M8C1E7B2</t>
  </si>
  <si>
    <t>H5H7I7Q3</t>
  </si>
  <si>
    <t>L9O9U3U3</t>
  </si>
  <si>
    <t>O4V8U5U7</t>
  </si>
  <si>
    <t>C1H9X3R7</t>
  </si>
  <si>
    <t>T1K4J8K5</t>
  </si>
  <si>
    <t>M4L2B5K9</t>
  </si>
  <si>
    <t>A3P8I7J5</t>
  </si>
  <si>
    <t>M6C6A1B6</t>
  </si>
  <si>
    <t>G6U5V6N4</t>
  </si>
  <si>
    <t>E9P5I9V2</t>
  </si>
  <si>
    <t>H7T6M2F8</t>
  </si>
  <si>
    <t>K4I9N3H6</t>
  </si>
  <si>
    <t>C2E4O8L1</t>
  </si>
  <si>
    <t>R5V6J6J7</t>
  </si>
  <si>
    <t>X1G7M6E7</t>
  </si>
  <si>
    <t>X3B3D9P8</t>
  </si>
  <si>
    <t>B6C9H4D9</t>
  </si>
  <si>
    <t>Q1A1V9A6</t>
  </si>
  <si>
    <t>V5F2Z7N5</t>
  </si>
  <si>
    <t>Q5B8O5H4</t>
  </si>
  <si>
    <t>F6B5T9E1</t>
  </si>
  <si>
    <t>D9Q9Z2V6</t>
  </si>
  <si>
    <t>S9O2K4P1</t>
  </si>
  <si>
    <t>C3L6B6V3</t>
  </si>
  <si>
    <t>C8J2U7U5</t>
  </si>
  <si>
    <t>I9E6D6D4</t>
  </si>
  <si>
    <t>L9B5B7E6</t>
  </si>
  <si>
    <t>X4C7D5J9</t>
  </si>
  <si>
    <t>A6U1P8A2</t>
  </si>
  <si>
    <t>D8G3T7J8</t>
  </si>
  <si>
    <t>P1K5A5D7</t>
  </si>
  <si>
    <t>B7J8C5R6</t>
  </si>
  <si>
    <t>C7I9A3M2</t>
  </si>
  <si>
    <t>E7O2E5I9</t>
  </si>
  <si>
    <t>U2O2M4D4</t>
  </si>
  <si>
    <t>H3B4Z1J5</t>
  </si>
  <si>
    <t>V7B4K3L7</t>
  </si>
  <si>
    <t>I7J9C7N2</t>
  </si>
  <si>
    <t>U9X2Q1M1</t>
  </si>
  <si>
    <t>B4E3P3G2</t>
  </si>
  <si>
    <t>J6Q9G8Q1</t>
  </si>
  <si>
    <t>L4U7S3P2</t>
  </si>
  <si>
    <t>O8C9U8T4</t>
  </si>
  <si>
    <t>B6D4R6U5</t>
  </si>
  <si>
    <t>I1P8E7E8</t>
  </si>
  <si>
    <t>A1G2Z7C8</t>
  </si>
  <si>
    <t>M8I2Z9E3</t>
  </si>
  <si>
    <t>T8Q4T4X5</t>
  </si>
  <si>
    <t>J6V6B1C4</t>
  </si>
  <si>
    <t>M2O6A1S4</t>
  </si>
  <si>
    <t>D8H6H9F1</t>
  </si>
  <si>
    <t>A3L7Q4S7</t>
  </si>
  <si>
    <t>C8I9H5D8</t>
  </si>
  <si>
    <t>B5A5B2C7</t>
  </si>
  <si>
    <t>D3Q7F4M1</t>
  </si>
  <si>
    <t>H3B5X9Z6</t>
  </si>
  <si>
    <t>G7T6F1R3</t>
  </si>
  <si>
    <t>M7Z9Q3G7</t>
  </si>
  <si>
    <t>I3K5O1L2</t>
  </si>
  <si>
    <t>H4V4M8U4</t>
  </si>
  <si>
    <t>T6V8X9O9</t>
  </si>
  <si>
    <t>S5G6L6I3</t>
  </si>
  <si>
    <t>B5I7R9X9</t>
  </si>
  <si>
    <t>T9L3D2C8</t>
  </si>
  <si>
    <t>V3M6V9K5</t>
  </si>
  <si>
    <t>T2A2B9G5</t>
  </si>
  <si>
    <t>I9A1U7A3</t>
  </si>
  <si>
    <t>S3D5A2V8</t>
  </si>
  <si>
    <t>P2V2N2K5</t>
  </si>
  <si>
    <t>I6O9H2A8</t>
  </si>
  <si>
    <t>L7G8G7A2</t>
  </si>
  <si>
    <t>T6L5J8H3</t>
  </si>
  <si>
    <t>S9G7T4V4</t>
  </si>
  <si>
    <t>I2R7X8A8</t>
  </si>
  <si>
    <t>S1T7G6M8</t>
  </si>
  <si>
    <t>X2M5P9S7</t>
  </si>
  <si>
    <t>Z9F2B8J1</t>
  </si>
  <si>
    <t>D5L3L1M9</t>
  </si>
  <si>
    <t>X5L5S2Z1</t>
  </si>
  <si>
    <t>C3E5J6L1</t>
  </si>
  <si>
    <t>Q1J3H1X9</t>
  </si>
  <si>
    <t>V2M4C9N7</t>
  </si>
  <si>
    <t>X1F1F8M7</t>
  </si>
  <si>
    <t>V7S2M7K8</t>
  </si>
  <si>
    <t>M5B2H5T8</t>
  </si>
  <si>
    <t>N3O8B9M5</t>
  </si>
  <si>
    <t>C9A8Z5A5</t>
  </si>
  <si>
    <t>O5E6A5X3</t>
  </si>
  <si>
    <t>L5C2Z8J7</t>
  </si>
  <si>
    <t>D1Q7G2U9</t>
  </si>
  <si>
    <t>Z2N2T7C1</t>
  </si>
  <si>
    <t>S5T6P1P8</t>
  </si>
  <si>
    <t>N8L3M1A1</t>
  </si>
  <si>
    <t>U4X7R1N5</t>
  </si>
  <si>
    <t>G9D5Z1M7</t>
  </si>
  <si>
    <t>K3A3U9J3</t>
  </si>
  <si>
    <t>O3P3C1P9</t>
  </si>
  <si>
    <t>R8O4A8O4</t>
  </si>
  <si>
    <t>E6H2T7X3</t>
  </si>
  <si>
    <t>Q4H5T6T4</t>
  </si>
  <si>
    <t>G9G4N4N1</t>
  </si>
  <si>
    <t>V2X4T1Z7</t>
  </si>
  <si>
    <t>V8F9P9U4</t>
  </si>
  <si>
    <t>O8S7L9F4</t>
  </si>
  <si>
    <t>T2R4L7O1</t>
  </si>
  <si>
    <t>N7B7M3O6</t>
  </si>
  <si>
    <t>F3K6O8Q6</t>
  </si>
  <si>
    <t>T7M5B2A1</t>
  </si>
  <si>
    <t>R9M2A6B1</t>
  </si>
  <si>
    <t>X7H7V4R3</t>
  </si>
  <si>
    <t>X2H2Q6R7</t>
  </si>
  <si>
    <t>Z5J5X6A4</t>
  </si>
  <si>
    <t>U6Z4I6N9</t>
  </si>
  <si>
    <t>K5M5M9N4</t>
  </si>
  <si>
    <t>T1A8R7Z5</t>
  </si>
  <si>
    <t>A5U6T7X5</t>
  </si>
  <si>
    <t>R6H9T4T3</t>
  </si>
  <si>
    <t>K4N8U1M4</t>
  </si>
  <si>
    <t>D9P4B1M6</t>
  </si>
  <si>
    <t>J8M7V9X5</t>
  </si>
  <si>
    <t>R6B9D8D1</t>
  </si>
  <si>
    <t>E1M6M8B8</t>
  </si>
  <si>
    <t>R8H4X5B4</t>
  </si>
  <si>
    <t>U8F3I7H3</t>
  </si>
  <si>
    <t>M3P9T5A3</t>
  </si>
  <si>
    <t>C6J2Z8M8</t>
  </si>
  <si>
    <t>L7Q9U6S6</t>
  </si>
  <si>
    <t>P8R6F7P2</t>
  </si>
  <si>
    <t>J5Z4O3Z1</t>
  </si>
  <si>
    <t>K4D7X6J3</t>
  </si>
  <si>
    <t>Z4X4P8L9</t>
  </si>
  <si>
    <t>U9R9S1Z3</t>
  </si>
  <si>
    <t>M3T8T4T1</t>
  </si>
  <si>
    <t>H2P6R1R3</t>
  </si>
  <si>
    <t>R1L3E6R7</t>
  </si>
  <si>
    <t>X1K6T9S8</t>
  </si>
  <si>
    <t>G5C1B5S1</t>
  </si>
  <si>
    <t>I3I7D5D9</t>
  </si>
  <si>
    <t>O1Z1A2P2</t>
  </si>
  <si>
    <t>G3T7X1I5</t>
  </si>
  <si>
    <t>R1U4R2X1</t>
  </si>
  <si>
    <t>E2N4B3Q5</t>
  </si>
  <si>
    <t>R2O5Z8C9</t>
  </si>
  <si>
    <t>X2A3S8Q4</t>
  </si>
  <si>
    <t>D8P4Z1H2</t>
  </si>
  <si>
    <t>Q8F3L3J6</t>
  </si>
  <si>
    <t>H9J4G9S8</t>
  </si>
  <si>
    <t>U8Q9Q3T9</t>
  </si>
  <si>
    <t>Z7O6S1H1</t>
  </si>
  <si>
    <t>H5L8E7K1</t>
  </si>
  <si>
    <t>M5F9O8V2</t>
  </si>
  <si>
    <t>H2O8G4H6</t>
  </si>
  <si>
    <t>N7V9M6F8</t>
  </si>
  <si>
    <t>Q5K9R9C4</t>
  </si>
  <si>
    <t>C9N2S9C3</t>
  </si>
  <si>
    <t>Q6V7J9K8</t>
  </si>
  <si>
    <t>X7P7L6E1</t>
  </si>
  <si>
    <t>R3H2N4K1</t>
  </si>
  <si>
    <t>M1O7P5C2</t>
  </si>
  <si>
    <t>O8P5E8O2</t>
  </si>
  <si>
    <t>V7A3H1F8</t>
  </si>
  <si>
    <t>F2P9M4I3</t>
  </si>
  <si>
    <t>R1B5J4C3</t>
  </si>
  <si>
    <t>P3A1B6F4</t>
  </si>
  <si>
    <t>N5N2A2N8</t>
  </si>
  <si>
    <t>I9E6Z5K2</t>
  </si>
  <si>
    <t>I7G4P3K8</t>
  </si>
  <si>
    <t>E5S1G7B7</t>
  </si>
  <si>
    <t>S7Q2Q2F9</t>
  </si>
  <si>
    <t>F9O4B5T2</t>
  </si>
  <si>
    <t>K6A2Q7C3</t>
  </si>
  <si>
    <t>H3U7B3Q8</t>
  </si>
  <si>
    <t>Z8U3D4F8</t>
  </si>
  <si>
    <t>A9E9N7H2</t>
  </si>
  <si>
    <t>N1A5M5E1</t>
  </si>
  <si>
    <t>K5L5L4M8</t>
  </si>
  <si>
    <t>U6B5V4D6</t>
  </si>
  <si>
    <t>V1V8T7D8</t>
  </si>
  <si>
    <t>H2E2Q2F1</t>
  </si>
  <si>
    <t>P1U9N9S4</t>
  </si>
  <si>
    <t>L3M8O2B3</t>
  </si>
  <si>
    <t>M9R1Z9L9</t>
  </si>
  <si>
    <t>Q5K2E8U2</t>
  </si>
  <si>
    <t>K5K2Q7H8</t>
  </si>
  <si>
    <t>U9L8D4M9</t>
  </si>
  <si>
    <t>P2B4A9Z5</t>
  </si>
  <si>
    <t>R4M8H3B6</t>
  </si>
  <si>
    <t>K7R8M7K1</t>
  </si>
  <si>
    <t>P3T8U7T9</t>
  </si>
  <si>
    <t>L6D7F1G9</t>
  </si>
  <si>
    <t>K1S1H6J6</t>
  </si>
  <si>
    <t>A6M5Q9Q3</t>
  </si>
  <si>
    <t>S8Q8J2C1</t>
  </si>
  <si>
    <t>D7X5Q4B4</t>
  </si>
  <si>
    <t>T3E1I2H1</t>
  </si>
  <si>
    <t>K7U8L1J5</t>
  </si>
  <si>
    <t>H8K4P6O3</t>
  </si>
  <si>
    <t>I9T2K8T5</t>
  </si>
  <si>
    <t>B1B5J8S2</t>
  </si>
  <si>
    <t>P4N2B8C9</t>
  </si>
  <si>
    <t>V3G3A8J1</t>
  </si>
  <si>
    <t>C7Z5N7I2</t>
  </si>
  <si>
    <t>V4H4R9L5</t>
  </si>
  <si>
    <t>M9J4C2P2</t>
  </si>
  <si>
    <t>G5X3X8U9</t>
  </si>
  <si>
    <t>D6J9P2G5</t>
  </si>
  <si>
    <t>X1F7Q2X7</t>
  </si>
  <si>
    <t>J3L9C8L4</t>
  </si>
  <si>
    <t>B5L3O9F3</t>
  </si>
  <si>
    <t>J4A2V6O2</t>
  </si>
  <si>
    <t>D5D4V8U5</t>
  </si>
  <si>
    <t>K6S4L9G6</t>
  </si>
  <si>
    <t>Q5B5V9U6</t>
  </si>
  <si>
    <t>S7U2G8F2</t>
  </si>
  <si>
    <t>E9M4X4K5</t>
  </si>
  <si>
    <t>R3P7P6S4</t>
  </si>
  <si>
    <t>P6K8U3D3</t>
  </si>
  <si>
    <t>M1B2E3N3</t>
  </si>
  <si>
    <t>X8Z9R1U2</t>
  </si>
  <si>
    <t>V5G7F4U1</t>
  </si>
  <si>
    <t>I3A2A6L1</t>
  </si>
  <si>
    <t>O7H3C2L1</t>
  </si>
  <si>
    <t>K1U6K7U3</t>
  </si>
  <si>
    <t>X4B3R5R9</t>
  </si>
  <si>
    <t>J2R2P2D9</t>
  </si>
  <si>
    <t>B9K5J7Q7</t>
  </si>
  <si>
    <t>G2C8P2E3</t>
  </si>
  <si>
    <t>H9R4S5X6</t>
  </si>
  <si>
    <t>C9U7S5F5</t>
  </si>
  <si>
    <t>A6Q4E8S3</t>
  </si>
  <si>
    <t>N1A3P9N9</t>
  </si>
  <si>
    <t>Q9P5B8D6</t>
  </si>
  <si>
    <t>F8T3E7G9</t>
  </si>
  <si>
    <t>S2O3L1T7</t>
  </si>
  <si>
    <t>E9V3M3I1</t>
  </si>
  <si>
    <t>U1B8G6N5</t>
  </si>
  <si>
    <t>Z6Z9U2A2</t>
  </si>
  <si>
    <t>H5L4E1A6</t>
  </si>
  <si>
    <t>C4Q7H5M8</t>
  </si>
  <si>
    <t>L5I2R9D3</t>
  </si>
  <si>
    <t>X7A7L7R1</t>
  </si>
  <si>
    <t>D4D2Z5B1</t>
  </si>
  <si>
    <t>V2E3M4E4</t>
  </si>
  <si>
    <t>C2K9Z9D4</t>
  </si>
  <si>
    <t>K2B3G2M1</t>
  </si>
  <si>
    <t>M5K6S7C9</t>
  </si>
  <si>
    <t>K1Q2B3O9</t>
  </si>
  <si>
    <t>D6O4R5Q9</t>
  </si>
  <si>
    <t>X2N1S5M5</t>
  </si>
  <si>
    <t>Q7I4R7N1</t>
  </si>
  <si>
    <t>L9R2E5L5</t>
  </si>
  <si>
    <t>X6E9B1R5</t>
  </si>
  <si>
    <t>O2F7B8C1</t>
  </si>
  <si>
    <t>N6X2V7V5</t>
  </si>
  <si>
    <t>Z6A3H3N2</t>
  </si>
  <si>
    <t>A4I5V5K6</t>
  </si>
  <si>
    <t>B8U3B8T9</t>
  </si>
  <si>
    <t>T7H2Z4J1</t>
  </si>
  <si>
    <t>C1K4O3S7</t>
  </si>
  <si>
    <t>G4U7N9I4</t>
  </si>
  <si>
    <t>L5J4S4E1</t>
  </si>
  <si>
    <t>B2T2J7E7</t>
  </si>
  <si>
    <t>V4M7N3J7</t>
  </si>
  <si>
    <t>K5N9E9D4</t>
  </si>
  <si>
    <t>R4M1U9X8</t>
  </si>
  <si>
    <t>C8T7I5F5</t>
  </si>
  <si>
    <t>T9D2P5M8</t>
  </si>
  <si>
    <t>V4H7A7S1</t>
  </si>
  <si>
    <t>A5P8S5K5</t>
  </si>
  <si>
    <t>D6X3U2R8</t>
  </si>
  <si>
    <t>J3L3F8Z2</t>
  </si>
  <si>
    <t>S8T3X6E6</t>
  </si>
  <si>
    <t>B5V4S7Q8</t>
  </si>
  <si>
    <t>K7R3B4S1</t>
  </si>
  <si>
    <t>P9X1I8F6</t>
  </si>
  <si>
    <t>Q8Z7C7I2</t>
  </si>
  <si>
    <t>E7B8U3M8</t>
  </si>
  <si>
    <t>J1B8K3A4</t>
  </si>
  <si>
    <t>P5T1V1N1</t>
  </si>
  <si>
    <t>X8J2A9R2</t>
  </si>
  <si>
    <t>S8P3A6I3</t>
  </si>
  <si>
    <t>Z5Q4G4H6</t>
  </si>
  <si>
    <t>R9N7X1C4</t>
  </si>
  <si>
    <t>D9A2K9O8</t>
  </si>
  <si>
    <t>H2V7G4B4</t>
  </si>
  <si>
    <t>P6Z4A2P7</t>
  </si>
  <si>
    <t>K6S2V6N6</t>
  </si>
  <si>
    <t>O9V4A6G7</t>
  </si>
  <si>
    <t>S8V7C5P4</t>
  </si>
  <si>
    <t>E9R7L5C5</t>
  </si>
  <si>
    <t>Z2A7N1D6</t>
  </si>
  <si>
    <t>P6A5I2F4</t>
  </si>
  <si>
    <t>X4G2L4X7</t>
  </si>
  <si>
    <t>N9B9J8L7</t>
  </si>
  <si>
    <t>E4S4D7L6</t>
  </si>
  <si>
    <t>O5P3G8F4</t>
  </si>
  <si>
    <t>H4I4F3X6</t>
  </si>
  <si>
    <t>F4O1G1P3</t>
  </si>
  <si>
    <t>C1V5M8H2</t>
  </si>
  <si>
    <t>R8O5Q7C2</t>
  </si>
  <si>
    <t>G7P6H1X4</t>
  </si>
  <si>
    <t>S6E1G6F3</t>
  </si>
  <si>
    <t>T4L7I7N4</t>
  </si>
  <si>
    <t>T1N4N6U2</t>
  </si>
  <si>
    <t>X4T2R7X9</t>
  </si>
  <si>
    <t>O9O1C2N3</t>
  </si>
  <si>
    <t>N5D2G8P9</t>
  </si>
  <si>
    <t>C6C1A4Q4</t>
  </si>
  <si>
    <t>I9A9D9M7</t>
  </si>
  <si>
    <t>Z4X2M5J3</t>
  </si>
  <si>
    <t>H2H7P9X5</t>
  </si>
  <si>
    <t>P3D8G4J5</t>
  </si>
  <si>
    <t>J3K9J2C5</t>
  </si>
  <si>
    <t>V8B6V2L8</t>
  </si>
  <si>
    <t>V8Z8B8N7</t>
  </si>
  <si>
    <t>D7J6E2I2</t>
  </si>
  <si>
    <t>V1T5O1J1</t>
  </si>
  <si>
    <t>M6V3J7A1</t>
  </si>
  <si>
    <t>I3E7Q8N2</t>
  </si>
  <si>
    <t>D4N4U4N3</t>
  </si>
  <si>
    <t>I5R5A8A2</t>
  </si>
  <si>
    <t>B3K8C2J6</t>
  </si>
  <si>
    <t>S8M3B7R9</t>
  </si>
  <si>
    <t>N7E4T2S4</t>
  </si>
  <si>
    <t>F2J7N9M5</t>
  </si>
  <si>
    <t>O3J1B8M7</t>
  </si>
  <si>
    <t>G6M8F5Z4</t>
  </si>
  <si>
    <t>M7H2N7G4</t>
  </si>
  <si>
    <t>N5H3K6P9</t>
  </si>
  <si>
    <t>D5Z4D2D7</t>
  </si>
  <si>
    <t>S2N2Z6D7</t>
  </si>
  <si>
    <t>K9C8J3P6</t>
  </si>
  <si>
    <t>R7U2Z9E8</t>
  </si>
  <si>
    <t>F3A6V5H9</t>
  </si>
  <si>
    <t>K1F4S3C8</t>
  </si>
  <si>
    <t>Q9J3X7D7</t>
  </si>
  <si>
    <t>V9P3D1H5</t>
  </si>
  <si>
    <t>P3I1E8E5</t>
  </si>
  <si>
    <t>Q9U4H7L6</t>
  </si>
  <si>
    <t>V4O7X1A8</t>
  </si>
  <si>
    <t>V8M1B2R5</t>
  </si>
  <si>
    <t>V3R2H3N8</t>
  </si>
  <si>
    <t>G7B2B4P4</t>
  </si>
  <si>
    <t>R6X3Z7E7</t>
  </si>
  <si>
    <t>K3V1D4Z4</t>
  </si>
  <si>
    <t>U6O5Z4X8</t>
  </si>
  <si>
    <t>F3V8V8J6</t>
  </si>
  <si>
    <t>Z3B4U7R3</t>
  </si>
  <si>
    <t>H3T7Z8E6</t>
  </si>
  <si>
    <t>D7S1K3U2</t>
  </si>
  <si>
    <t>L1R2R6Z6</t>
  </si>
  <si>
    <t>C3O1C9M5</t>
  </si>
  <si>
    <t>O5F7L4X5</t>
  </si>
  <si>
    <t>L7A6D4Q5</t>
  </si>
  <si>
    <t>L9J5E5L9</t>
  </si>
  <si>
    <t>O9S1J1B1</t>
  </si>
  <si>
    <t>Q4S3H2C2</t>
  </si>
  <si>
    <t>I7E9X8J3</t>
  </si>
  <si>
    <t>R7L5D8B9</t>
  </si>
  <si>
    <t>T4K6N1L3</t>
  </si>
  <si>
    <t>U1V2X8C3</t>
  </si>
  <si>
    <t>R3E1D1P8</t>
  </si>
  <si>
    <t>X1U7S2Z5</t>
  </si>
  <si>
    <t>N4I9G5R8</t>
  </si>
  <si>
    <t>R1D3A5Z3</t>
  </si>
  <si>
    <t>L8Z3L6M9</t>
  </si>
  <si>
    <t>Q7X1V9N7</t>
  </si>
  <si>
    <t>X6K6R2I1</t>
  </si>
  <si>
    <t>J5I9N1M7</t>
  </si>
  <si>
    <t>F8K8S8I8</t>
  </si>
  <si>
    <t>G9N7Z7Z7</t>
  </si>
  <si>
    <t>X1I6H3Q8</t>
  </si>
  <si>
    <t>C8R2D5P5</t>
  </si>
  <si>
    <t>L1H1D1S1</t>
  </si>
  <si>
    <t>O2R2M9L8</t>
  </si>
  <si>
    <t>C6C2H7Q6</t>
  </si>
  <si>
    <t>O6A8N5L3</t>
  </si>
  <si>
    <t>U8H9J4A2</t>
  </si>
  <si>
    <t>H8O7Z3X1</t>
  </si>
  <si>
    <t>C9H3T5L7</t>
  </si>
  <si>
    <t>F9I9E4U4</t>
  </si>
  <si>
    <t>V2O8T3R8</t>
  </si>
  <si>
    <t>E3Z1D8X4</t>
  </si>
  <si>
    <t>V4G4O4N2</t>
  </si>
  <si>
    <t>A9Z1L3X5</t>
  </si>
  <si>
    <t>E4Z4N5J1</t>
  </si>
  <si>
    <t>I2G7N6X4</t>
  </si>
  <si>
    <t>M5E7T1Q6</t>
  </si>
  <si>
    <t>O3J2V5C9</t>
  </si>
  <si>
    <t>Z6J7C3O5</t>
  </si>
  <si>
    <t>F5F3P7X4</t>
  </si>
  <si>
    <t>F3S8C5J3</t>
  </si>
  <si>
    <t>R4X9D3O6</t>
  </si>
  <si>
    <t>A4X4R6J7</t>
  </si>
  <si>
    <t>X4Q1Q1Z1</t>
  </si>
  <si>
    <t>B3H1B1T5</t>
  </si>
  <si>
    <t>T7G4E3U6</t>
  </si>
  <si>
    <t>Z6H1A9O9</t>
  </si>
  <si>
    <t>R6Q8R5R3</t>
  </si>
  <si>
    <t>K7C3A9I1</t>
  </si>
  <si>
    <t>R2T4Q4P2</t>
  </si>
  <si>
    <t>K6B6S3T9</t>
  </si>
  <si>
    <t>P6O1H8O1</t>
  </si>
  <si>
    <t>H4B6Q2F8</t>
  </si>
  <si>
    <t>F9V6J8B2</t>
  </si>
  <si>
    <t>H5I3L7J1</t>
  </si>
  <si>
    <t>D5F5F4R2</t>
  </si>
  <si>
    <t>L2M2S1N6</t>
  </si>
  <si>
    <t>O6N4M3Q5</t>
  </si>
  <si>
    <t>H5U5H2E4</t>
  </si>
  <si>
    <t>J8P5F5M2</t>
  </si>
  <si>
    <t>X5B4S1T2</t>
  </si>
  <si>
    <t>K4R4E8V2</t>
  </si>
  <si>
    <t>X1X9A2R9</t>
  </si>
  <si>
    <t>M5V4L4F6</t>
  </si>
  <si>
    <t>T7H8A7V7</t>
  </si>
  <si>
    <t>H4V7C6D7</t>
  </si>
  <si>
    <t>T5Z3D8M8</t>
  </si>
  <si>
    <t>I9Z9S2O7</t>
  </si>
  <si>
    <t>E1D8X8D7</t>
  </si>
  <si>
    <t>G4D4K4J2</t>
  </si>
  <si>
    <t>I8O9I8K8</t>
  </si>
  <si>
    <t>P5E4O9S5</t>
  </si>
  <si>
    <t>S2E9S7Z8</t>
  </si>
  <si>
    <t>H2O7I9P2</t>
  </si>
  <si>
    <t>K7Q9L5I4</t>
  </si>
  <si>
    <t>D8K5O5D7</t>
  </si>
  <si>
    <t>M4P4N9G4</t>
  </si>
  <si>
    <t>P1B5R8T7</t>
  </si>
  <si>
    <t>D7Z6Z7M6</t>
  </si>
  <si>
    <t>Q4P6A1A1</t>
  </si>
  <si>
    <t>Z3T4R2V8</t>
  </si>
  <si>
    <t>A9E4S2F7</t>
  </si>
  <si>
    <t>I4X7C2S9</t>
  </si>
  <si>
    <t>R9B4H6C6</t>
  </si>
  <si>
    <t>X9S2J5T4</t>
  </si>
  <si>
    <t>M4D2P1P4</t>
  </si>
  <si>
    <t>U8J9O8N7</t>
  </si>
  <si>
    <t>S9B4R2U7</t>
  </si>
  <si>
    <t>R3M5G7G1</t>
  </si>
  <si>
    <t>S8K9X8E1</t>
  </si>
  <si>
    <t>Q8F2C4B8</t>
  </si>
  <si>
    <t>Z3P6L5B4</t>
  </si>
  <si>
    <t>A9T2P1J5</t>
  </si>
  <si>
    <t>D5D1Q2Z3</t>
  </si>
  <si>
    <t>X8D1V3O6</t>
  </si>
  <si>
    <t>C5Q6T5F5</t>
  </si>
  <si>
    <t>J2Q3C7G3</t>
  </si>
  <si>
    <t>S2D7R1N8</t>
  </si>
  <si>
    <t>R9I3C3Z1</t>
  </si>
  <si>
    <t>K9Z6L7S9</t>
  </si>
  <si>
    <t>I4P8C2B2</t>
  </si>
  <si>
    <t>L1T5A4O6</t>
  </si>
  <si>
    <t>P6H6J4O5</t>
  </si>
  <si>
    <t>C8C5B4U7</t>
  </si>
  <si>
    <t>J4G8M5V2</t>
  </si>
  <si>
    <t>G4Q5B8V9</t>
  </si>
  <si>
    <t>J7I2E4U9</t>
  </si>
  <si>
    <t>I6A4N8J7</t>
  </si>
  <si>
    <t>B5B8V5A2</t>
  </si>
  <si>
    <t>N5V7A6X6</t>
  </si>
  <si>
    <t>S7P8Q4B4</t>
  </si>
  <si>
    <t>A5Z2N6V6</t>
  </si>
  <si>
    <t>G2B3O4J6</t>
  </si>
  <si>
    <t>Z8J2K3I4</t>
  </si>
  <si>
    <t>S4R7X1F1</t>
  </si>
  <si>
    <t>V8L3Q6Q5</t>
  </si>
  <si>
    <t>E3B7K2T3</t>
  </si>
  <si>
    <t>B9J3Z2N5</t>
  </si>
  <si>
    <t>P5A8R1D2</t>
  </si>
  <si>
    <t>D8I4D9M5</t>
  </si>
  <si>
    <t>O8Q8B2Q3</t>
  </si>
  <si>
    <t>F5R7T3O8</t>
  </si>
  <si>
    <t>I2F4K3D4</t>
  </si>
  <si>
    <t>Z4J2E4D7</t>
  </si>
  <si>
    <t>C7L7O9F6</t>
  </si>
  <si>
    <t>U6M3G3O6</t>
  </si>
  <si>
    <t>O2E4F8B4</t>
  </si>
  <si>
    <t>T7G9K4D1</t>
  </si>
  <si>
    <t>H1J4Z8C3</t>
  </si>
  <si>
    <t>B4G1E7U3</t>
  </si>
  <si>
    <t>M4H7Q7V9</t>
  </si>
  <si>
    <t>L4B5B6U3</t>
  </si>
  <si>
    <t>M9E2P3G2</t>
  </si>
  <si>
    <t>J4A7P9H1</t>
  </si>
  <si>
    <t>Q3M8Q1F1</t>
  </si>
  <si>
    <t>R9J3N2X9</t>
  </si>
  <si>
    <t>G9M3S6J7</t>
  </si>
  <si>
    <t>M1A8Z5P3</t>
  </si>
  <si>
    <t>E9F3C4X6</t>
  </si>
  <si>
    <t>V4R4A4Z9</t>
  </si>
  <si>
    <t>O8Z9L7N8</t>
  </si>
  <si>
    <t>I3M6B8I4</t>
  </si>
  <si>
    <t>D3G6J2U8</t>
  </si>
  <si>
    <t>O9N1A8S8</t>
  </si>
  <si>
    <t>F8M3R6P2</t>
  </si>
  <si>
    <t>K7S9T4Q8</t>
  </si>
  <si>
    <t>I1B8N7O4</t>
  </si>
  <si>
    <t>G1Z2Z3A6</t>
  </si>
  <si>
    <t>G8V7Z3Q6</t>
  </si>
  <si>
    <t>E2J2U7A3</t>
  </si>
  <si>
    <t>D4E5M6K8</t>
  </si>
  <si>
    <t>X8R4O3G4</t>
  </si>
  <si>
    <t>D2I2A4A6</t>
  </si>
  <si>
    <t>U4X4Z3R2</t>
  </si>
  <si>
    <t>L3K4J2L8</t>
  </si>
  <si>
    <t>Q4J1N1X8</t>
  </si>
  <si>
    <t>D9X8K5C9</t>
  </si>
  <si>
    <t>D4O4S4M3</t>
  </si>
  <si>
    <t>C2H8F1T4</t>
  </si>
  <si>
    <t>A7T2B4L8</t>
  </si>
  <si>
    <t>K5U2H4X7</t>
  </si>
  <si>
    <t>K7Q5L5E7</t>
  </si>
  <si>
    <t>Q7C5T6N8</t>
  </si>
  <si>
    <t>M1I1K5Z2</t>
  </si>
  <si>
    <t>P4R6U2U2</t>
  </si>
  <si>
    <t>Q9K3T1O2</t>
  </si>
  <si>
    <t>V1O2L1G8</t>
  </si>
  <si>
    <t>Z9E6X1T8</t>
  </si>
  <si>
    <t>Z4J5O9T2</t>
  </si>
  <si>
    <t>Q4T9H2M1</t>
  </si>
  <si>
    <t>P1R6U6J9</t>
  </si>
  <si>
    <t>Q6J4O7I6</t>
  </si>
  <si>
    <t>R8B7K9V9</t>
  </si>
  <si>
    <t>T3D5S1O6</t>
  </si>
  <si>
    <t>Z2V8C1T8</t>
  </si>
  <si>
    <t>Z8V6Q2A9</t>
  </si>
  <si>
    <t>Q7R3L2L7</t>
  </si>
  <si>
    <t>C4T9B6E2</t>
  </si>
  <si>
    <t>X9V7P7V2</t>
  </si>
  <si>
    <t>E8S8G5E2</t>
  </si>
  <si>
    <t>U3P8X2P8</t>
  </si>
  <si>
    <t>B5M3V1M5</t>
  </si>
  <si>
    <t>J3K1M7K5</t>
  </si>
  <si>
    <t>Q1Z4D5G2</t>
  </si>
  <si>
    <t>S9V7M4M8</t>
  </si>
  <si>
    <t>T7J8C4N8</t>
  </si>
  <si>
    <t>Z9N6U2H4</t>
  </si>
  <si>
    <t>Q6J3L9N5</t>
  </si>
  <si>
    <t>B1K1B4C5</t>
  </si>
  <si>
    <t>X8S3E6M5</t>
  </si>
  <si>
    <t>U5Q4G9B2</t>
  </si>
  <si>
    <t>X4O3O2V4</t>
  </si>
  <si>
    <t>U1C3D5Z6</t>
  </si>
  <si>
    <t>E5D2T5Z2</t>
  </si>
  <si>
    <t>S3J8J6K1</t>
  </si>
  <si>
    <t>K5Z9K3B6</t>
  </si>
  <si>
    <t>N4H6K7N1</t>
  </si>
  <si>
    <t>L3L7I1R4</t>
  </si>
  <si>
    <t>L9C2A2J1</t>
  </si>
  <si>
    <t>C8P1J7R3</t>
  </si>
  <si>
    <t>T6K2H6F8</t>
  </si>
  <si>
    <t>S6R4V2L7</t>
  </si>
  <si>
    <t>M4P1N4K1</t>
  </si>
  <si>
    <t>F9D4J6B7</t>
  </si>
  <si>
    <t>A4H4I2M7</t>
  </si>
  <si>
    <t>P4T8O3P9</t>
  </si>
  <si>
    <t>H7U6G4N6</t>
  </si>
  <si>
    <t>T9U3Z7U2</t>
  </si>
  <si>
    <t>O1F8A4K6</t>
  </si>
  <si>
    <t>N9S4T9J6</t>
  </si>
  <si>
    <t>S4K5E4N4</t>
  </si>
  <si>
    <t>Q8T2F1N6</t>
  </si>
  <si>
    <t>O7X1V3J6</t>
  </si>
  <si>
    <t>F4D2G1H4</t>
  </si>
  <si>
    <t>V5M6G7U8</t>
  </si>
  <si>
    <t>O5U6O5Z9</t>
  </si>
  <si>
    <t>X7G2G4G7</t>
  </si>
  <si>
    <t>Z5Z8O5T2</t>
  </si>
  <si>
    <t>V9D9I9I9</t>
  </si>
  <si>
    <t>Q9U4I5T7</t>
  </si>
  <si>
    <t>C4A3Z9C4</t>
  </si>
  <si>
    <t>H2U2O6T3</t>
  </si>
  <si>
    <t>S3B2V5E7</t>
  </si>
  <si>
    <t>Q1I5F1I4</t>
  </si>
  <si>
    <t>F2G2H9V5</t>
  </si>
  <si>
    <t>U1I2M5M5</t>
  </si>
  <si>
    <t>D2J4U4J1</t>
  </si>
  <si>
    <t>S3R8K7H7</t>
  </si>
  <si>
    <t>U6P8Q2I8</t>
  </si>
  <si>
    <t>Z4G5B5G3</t>
  </si>
  <si>
    <t>T1K9Q2C3</t>
  </si>
  <si>
    <t>N4D1R2Q9</t>
  </si>
  <si>
    <t>K1V6Z8B2</t>
  </si>
  <si>
    <t>K9R6P9T5</t>
  </si>
  <si>
    <t>Z9V3X2D9</t>
  </si>
  <si>
    <t>S5B9H5L7</t>
  </si>
  <si>
    <t>G7I7R5I1</t>
  </si>
  <si>
    <t>K7B2M1D5</t>
  </si>
  <si>
    <t>V7K3M3E7</t>
  </si>
  <si>
    <t>M8N4M2D4</t>
  </si>
  <si>
    <t>D5P7O5U7</t>
  </si>
  <si>
    <t>S1O4U4T5</t>
  </si>
  <si>
    <t>N2C7F3Q1</t>
  </si>
  <si>
    <t>R9H2T1U6</t>
  </si>
  <si>
    <t>U3Q2S4V6</t>
  </si>
  <si>
    <t>O7T3R4R6</t>
  </si>
  <si>
    <t>Z2Z9H4J5</t>
  </si>
  <si>
    <t>T8L9Q3N7</t>
  </si>
  <si>
    <t>C9T8B6Z5</t>
  </si>
  <si>
    <t>G2S8E2C7</t>
  </si>
  <si>
    <t>Z7B3H1M8</t>
  </si>
  <si>
    <t>B8P8G9P4</t>
  </si>
  <si>
    <t>I3L9Z2S4</t>
  </si>
  <si>
    <t>S3B3G4A4</t>
  </si>
  <si>
    <t>Q4M6L7A5</t>
  </si>
  <si>
    <t>E2I4B7C4</t>
  </si>
  <si>
    <t>Q4R7H6L8</t>
  </si>
  <si>
    <t>Q9B2S8O6</t>
  </si>
  <si>
    <t>Q5Z6A3U8</t>
  </si>
  <si>
    <t>N6J6I8F7</t>
  </si>
  <si>
    <t>U1R2O4A2</t>
  </si>
  <si>
    <t>A6Q9V6Z7</t>
  </si>
  <si>
    <t>G3L6O2O5</t>
  </si>
  <si>
    <t>H2H3F1B3</t>
  </si>
  <si>
    <t>J7E7D9B7</t>
  </si>
  <si>
    <t>U1T3C5V1</t>
  </si>
  <si>
    <t>E7I5C2U5</t>
  </si>
  <si>
    <t>B6F5K5N1</t>
  </si>
  <si>
    <t>P4G5P4R4</t>
  </si>
  <si>
    <t>H3X1E4Z2</t>
  </si>
  <si>
    <t>C7E7M5A5</t>
  </si>
  <si>
    <t>U1S3J4J8</t>
  </si>
  <si>
    <t>F7E3H8K3</t>
  </si>
  <si>
    <t>H9M2C7H9</t>
  </si>
  <si>
    <t>I5B9B5A1</t>
  </si>
  <si>
    <t>U4D4C4B6</t>
  </si>
  <si>
    <t>G2U6M9R3</t>
  </si>
  <si>
    <t>S6S7C4Z7</t>
  </si>
  <si>
    <t>A2U6X1N6</t>
  </si>
  <si>
    <t>L5A5N3H7</t>
  </si>
  <si>
    <t>K8E7U5K2</t>
  </si>
  <si>
    <t>K6T1H6Q4</t>
  </si>
  <si>
    <t>R3L1M6J2</t>
  </si>
  <si>
    <t>T1B4F2E3</t>
  </si>
  <si>
    <t>P3K2O9J6</t>
  </si>
  <si>
    <t>A5J2T2P9</t>
  </si>
  <si>
    <t>H3X6O9Z3</t>
  </si>
  <si>
    <t>D3L7L9K9</t>
  </si>
  <si>
    <t>Z6S1V3M4</t>
  </si>
  <si>
    <t>G8T5L7S3</t>
  </si>
  <si>
    <t>X6D8E2H6</t>
  </si>
  <si>
    <t>L4E2U9T1</t>
  </si>
  <si>
    <t>L1T1G5S2</t>
  </si>
  <si>
    <t>H2B2G8H5</t>
  </si>
  <si>
    <t>I6X9L3O2</t>
  </si>
  <si>
    <t>H4M2F6X9</t>
  </si>
  <si>
    <t>N5J4I9D9</t>
  </si>
  <si>
    <t>I4B7G3P3</t>
  </si>
  <si>
    <t>G2P9U6M1</t>
  </si>
  <si>
    <t>G7V5Q5X8</t>
  </si>
  <si>
    <t>R2M4B3S6</t>
  </si>
  <si>
    <t>I4E9E3D1</t>
  </si>
  <si>
    <t>R6D9L5F4</t>
  </si>
  <si>
    <t>A7Q1C4F8</t>
  </si>
  <si>
    <t>M5I4F2I6</t>
  </si>
  <si>
    <t>O8Q6X3R3</t>
  </si>
  <si>
    <t>E6H8L9B1</t>
  </si>
  <si>
    <t>J9N8T1I7</t>
  </si>
  <si>
    <t>E4M7G2P4</t>
  </si>
  <si>
    <t>G1H7D5N4</t>
  </si>
  <si>
    <t>M4H8A6M9</t>
  </si>
  <si>
    <t>O5P2B7Q3</t>
  </si>
  <si>
    <t>B2B4A9H7</t>
  </si>
  <si>
    <t>Q5H6K1C3</t>
  </si>
  <si>
    <t>R3M1X9S6</t>
  </si>
  <si>
    <t>J8G1J1Z8</t>
  </si>
  <si>
    <t>O5Q2T6M8</t>
  </si>
  <si>
    <t>Q5V2D6Z3</t>
  </si>
  <si>
    <t>B5H4O9C1</t>
  </si>
  <si>
    <t>V3S9S6V4</t>
  </si>
  <si>
    <t>C5M9D6C6</t>
  </si>
  <si>
    <t>M5N3H7C5</t>
  </si>
  <si>
    <t>E5U9V7Q2</t>
  </si>
  <si>
    <t>I2T4O6M5</t>
  </si>
  <si>
    <t>L2T6C6V9</t>
  </si>
  <si>
    <t>D6F5H8I7</t>
  </si>
  <si>
    <t>N9A6T3I2</t>
  </si>
  <si>
    <t>S1Q8H6J4</t>
  </si>
  <si>
    <t>A4O8R2Q5</t>
  </si>
  <si>
    <t>O8G8F8V7</t>
  </si>
  <si>
    <t>N5H3K1E9</t>
  </si>
  <si>
    <t>Q3G3L6E4</t>
  </si>
  <si>
    <t>E4R1E1A9</t>
  </si>
  <si>
    <t>X6J7N4S9</t>
  </si>
  <si>
    <t>L5F8T1H8</t>
  </si>
  <si>
    <t>C7S8A3F7</t>
  </si>
  <si>
    <t>H1S5C5N5</t>
  </si>
  <si>
    <t>R9V8I1C4</t>
  </si>
  <si>
    <t>I2I2G4N3</t>
  </si>
  <si>
    <t>Q1F5J1N7</t>
  </si>
  <si>
    <t>K5G1C1X9</t>
  </si>
  <si>
    <t>C7T4F1K7</t>
  </si>
  <si>
    <t>D8F4S8O1</t>
  </si>
  <si>
    <t>A8P8N3Z7</t>
  </si>
  <si>
    <t>G5Z3F3U9</t>
  </si>
  <si>
    <t>U5V5F9N9</t>
  </si>
  <si>
    <t>R8P5X9C3</t>
  </si>
  <si>
    <t>C7H1L1E9</t>
  </si>
  <si>
    <t>C4H9D7V7</t>
  </si>
  <si>
    <t>B1Q6M4C7</t>
  </si>
  <si>
    <t>U7U7J6T9</t>
  </si>
  <si>
    <t>L2Z9N6E9</t>
  </si>
  <si>
    <t>F1H3L5L8</t>
  </si>
  <si>
    <t>R2R9L1Z8</t>
  </si>
  <si>
    <t>Q1N1P3B6</t>
  </si>
  <si>
    <t>A3B2N8L7</t>
  </si>
  <si>
    <t>S3O7G1S3</t>
  </si>
  <si>
    <t>J8N7U8T9</t>
  </si>
  <si>
    <t>S6A4X9U6</t>
  </si>
  <si>
    <t>K3R5P7X1</t>
  </si>
  <si>
    <t>T4S5Z8H2</t>
  </si>
  <si>
    <t>C4T9Q4X4</t>
  </si>
  <si>
    <t>I7Z8T7L8</t>
  </si>
  <si>
    <t>X8T6X3E6</t>
  </si>
  <si>
    <t>X5K3F6Q8</t>
  </si>
  <si>
    <t>T7C8G8A1</t>
  </si>
  <si>
    <t>A8S5K3R7</t>
  </si>
  <si>
    <t>Q4S2L9M7</t>
  </si>
  <si>
    <t>V4E1L5A2</t>
  </si>
  <si>
    <t>R1C8G6L7</t>
  </si>
  <si>
    <t>X1A5J9X2</t>
  </si>
  <si>
    <t>O9L5V1T9</t>
  </si>
  <si>
    <t>R4G2L4N9</t>
  </si>
  <si>
    <t>H3D3J1J2</t>
  </si>
  <si>
    <t>O4L3O1S7</t>
  </si>
  <si>
    <t>H7K9J2G1</t>
  </si>
  <si>
    <t>E2R1T7A4</t>
  </si>
  <si>
    <t>M9X1L4X4</t>
  </si>
  <si>
    <t>X2Q7O1P2</t>
  </si>
  <si>
    <t>R6Z8P8S8</t>
  </si>
  <si>
    <t>S8O1S5R2</t>
  </si>
  <si>
    <t>K7H6K2X6</t>
  </si>
  <si>
    <t>B4K9S7T7</t>
  </si>
  <si>
    <t>L9B3N7V1</t>
  </si>
  <si>
    <t>Q8E8G6R9</t>
  </si>
  <si>
    <t>F3V5G9G8</t>
  </si>
  <si>
    <t>N7T6X9B4</t>
  </si>
  <si>
    <t>I7X7O7X9</t>
  </si>
  <si>
    <t>S4G4B1O1</t>
  </si>
  <si>
    <t>B6T7T5K9</t>
  </si>
  <si>
    <t>V7P2D3M4</t>
  </si>
  <si>
    <t>H7B4S4G5</t>
  </si>
  <si>
    <t>A6I4X7L7</t>
  </si>
  <si>
    <t>F3D1B8O6</t>
  </si>
  <si>
    <t>X2P7G4T3</t>
  </si>
  <si>
    <t>O1V8K9Z3</t>
  </si>
  <si>
    <t>K5Z7P3L8</t>
  </si>
  <si>
    <t>L6Z5I8T5</t>
  </si>
  <si>
    <t>N8T9O1Q4</t>
  </si>
  <si>
    <t>C6G1E7X4</t>
  </si>
  <si>
    <t>U7U2M7J4</t>
  </si>
  <si>
    <t>E2X6F4D9</t>
  </si>
  <si>
    <t>M5K6V4P5</t>
  </si>
  <si>
    <t>Ranking</t>
  </si>
  <si>
    <t>Total Vendido</t>
  </si>
  <si>
    <t>Faça um TOP 3 dos produtos mais vendidos no ano pela marca "Verde"</t>
  </si>
  <si>
    <t>Faça um TOP 5 dos funcionários que mais venderam no ano.</t>
  </si>
  <si>
    <t>Quantas vendas foram realizadas no ano de 2019?</t>
  </si>
  <si>
    <t>Quantas "Camisetas" foram vendidas em 2019?</t>
  </si>
  <si>
    <t>Quantos "Bonés" da marca "Azul" foram vendidos em todo o período?</t>
  </si>
  <si>
    <t>Responda as questões abaixo usando fórmulas:</t>
  </si>
  <si>
    <t>Responda as questões abaixo sem o uso de fórmulas:</t>
  </si>
  <si>
    <t>Qual é a soma do valor de venda da marca "Amarela"?</t>
  </si>
  <si>
    <t>Qual é o valor total vendido de "Saias" da marca "Vermelha"?</t>
  </si>
  <si>
    <t>Quem foi o funcionário que realizou a venda de código "N5E6Q9S3"?</t>
  </si>
  <si>
    <t>Algumas perguntas podem ser respondidas de mais de uma forma, utilizando fórmulas e ferramentas diferentes do Excel. Sempre que se deparar com uma questão como essa, sugiro que responda a mesma questão de todas as formas que conseguir. Pode parecer estranho responder a mesma questão 2 ou 3 vezes, mas vai ser uma excelente prática para você resolver um problema ou desafio no Excel de diversas maneiras possíveis.</t>
  </si>
  <si>
    <t>Você deve responder as questões nas planilhas azuis utilizando as demais planilhas como base de dados. Utilize quaisquer ferramentas aprendidas nos módulos citados anteriormente para responder as questões.</t>
  </si>
  <si>
    <t>Agora pinte a linha inteira de acordo com o País de Destino, não apenas as células da coluna País de Destino. A cor das células da linha deve mudar automaticamente quando o país for alterado.</t>
  </si>
  <si>
    <t>Utilizando a mesma estrutura do exercício anterior, preencha a tabela abaixo considerando apenas as linhas com cor verde.</t>
  </si>
  <si>
    <t>Nocogifo</t>
  </si>
  <si>
    <t>P931H285</t>
  </si>
  <si>
    <t>Vufimago</t>
  </si>
  <si>
    <t>P259H563</t>
  </si>
  <si>
    <t>Pufitutidu</t>
  </si>
  <si>
    <t>P277P698</t>
  </si>
  <si>
    <t>Naneto</t>
  </si>
  <si>
    <t>H339P955</t>
  </si>
  <si>
    <t>Mivoto</t>
  </si>
  <si>
    <t>H633H453</t>
  </si>
  <si>
    <t>Cupute</t>
  </si>
  <si>
    <t>P896P117</t>
  </si>
  <si>
    <t>Tepitamuce</t>
  </si>
  <si>
    <t>H363H622</t>
  </si>
  <si>
    <t>Povedefu</t>
  </si>
  <si>
    <t>P383H632</t>
  </si>
  <si>
    <t>Teputada</t>
  </si>
  <si>
    <t>H119H147</t>
  </si>
  <si>
    <t>Padane</t>
  </si>
  <si>
    <t>H981H522</t>
  </si>
  <si>
    <t>Patefore</t>
  </si>
  <si>
    <t>H535H254</t>
  </si>
  <si>
    <t>Tupigama</t>
  </si>
  <si>
    <t>P652H258</t>
  </si>
  <si>
    <t>Vepica</t>
  </si>
  <si>
    <t>P158H358</t>
  </si>
  <si>
    <t>Naromu</t>
  </si>
  <si>
    <t>P477H432</t>
  </si>
  <si>
    <t>Refiguli</t>
  </si>
  <si>
    <t>P613P712</t>
  </si>
  <si>
    <t>Dapipu</t>
  </si>
  <si>
    <t>H793H366</t>
  </si>
  <si>
    <t>Cagetido</t>
  </si>
  <si>
    <t>H826H694</t>
  </si>
  <si>
    <t>Renapanu</t>
  </si>
  <si>
    <t>P774H536</t>
  </si>
  <si>
    <t>Pitupo</t>
  </si>
  <si>
    <t>H168P867</t>
  </si>
  <si>
    <t>P953P965</t>
  </si>
  <si>
    <t>Momofafe</t>
  </si>
  <si>
    <t>P332H766</t>
  </si>
  <si>
    <t>Vudarufime</t>
  </si>
  <si>
    <t>P698H553</t>
  </si>
  <si>
    <t>Tidatipu</t>
  </si>
  <si>
    <t>P428P482</t>
  </si>
  <si>
    <t>Pularimudi</t>
  </si>
  <si>
    <t>P153P691</t>
  </si>
  <si>
    <t>Pocuro</t>
  </si>
  <si>
    <t>P653H788</t>
  </si>
  <si>
    <t>Pecepari</t>
  </si>
  <si>
    <t>H552H997</t>
  </si>
  <si>
    <t>Dufudoru</t>
  </si>
  <si>
    <t>P128H953</t>
  </si>
  <si>
    <t>Medanolu</t>
  </si>
  <si>
    <t>P528H535</t>
  </si>
  <si>
    <t>Lofarupopo</t>
  </si>
  <si>
    <t>P649P794</t>
  </si>
  <si>
    <t>Lofofupopa</t>
  </si>
  <si>
    <t>P994H295</t>
  </si>
  <si>
    <t>Pogemuca</t>
  </si>
  <si>
    <t>P444P639</t>
  </si>
  <si>
    <t>Tacopeme</t>
  </si>
  <si>
    <t>H562H946</t>
  </si>
  <si>
    <t>Mucivire</t>
  </si>
  <si>
    <t>P111P392</t>
  </si>
  <si>
    <t>Femute</t>
  </si>
  <si>
    <t>H374P277</t>
  </si>
  <si>
    <t>Velididigu</t>
  </si>
  <si>
    <t>H313H311</t>
  </si>
  <si>
    <t>Palata</t>
  </si>
  <si>
    <t>H445H963</t>
  </si>
  <si>
    <t>Vilafa</t>
  </si>
  <si>
    <t>P279H711</t>
  </si>
  <si>
    <t>Vavude</t>
  </si>
  <si>
    <t>P949H129</t>
  </si>
  <si>
    <t>Pafume</t>
  </si>
  <si>
    <t>P572P459</t>
  </si>
  <si>
    <t>Rupuvapatu</t>
  </si>
  <si>
    <t>P848P285</t>
  </si>
  <si>
    <t>Vopupopi</t>
  </si>
  <si>
    <t>P648P328</t>
  </si>
  <si>
    <t>Todudepafa</t>
  </si>
  <si>
    <t>H473H937</t>
  </si>
  <si>
    <t>Numiru</t>
  </si>
  <si>
    <t>P997H849</t>
  </si>
  <si>
    <t>Nudanefeca</t>
  </si>
  <si>
    <t>H422P166</t>
  </si>
  <si>
    <t>Letuvima</t>
  </si>
  <si>
    <t>P982H142</t>
  </si>
  <si>
    <t>Domefiti</t>
  </si>
  <si>
    <t>H135H671</t>
  </si>
  <si>
    <t>Tivorope</t>
  </si>
  <si>
    <t>P799H963</t>
  </si>
  <si>
    <t>Maratu</t>
  </si>
  <si>
    <t>P133P955</t>
  </si>
  <si>
    <t>Topefaru</t>
  </si>
  <si>
    <t>P265H699</t>
  </si>
  <si>
    <t>Futurupa</t>
  </si>
  <si>
    <t>H457P386</t>
  </si>
  <si>
    <t>Tuputupupa</t>
  </si>
  <si>
    <t>H355P394</t>
  </si>
  <si>
    <t>Rulupali</t>
  </si>
  <si>
    <t>P436H682</t>
  </si>
  <si>
    <t>Fevupanu</t>
  </si>
  <si>
    <t>P173H123</t>
  </si>
  <si>
    <t>Dateradido</t>
  </si>
  <si>
    <t>P262H611</t>
  </si>
  <si>
    <t>Fagiru</t>
  </si>
  <si>
    <t>P918H577</t>
  </si>
  <si>
    <t>Cucutimupa</t>
  </si>
  <si>
    <t>H769H593</t>
  </si>
  <si>
    <t>Dedarunage</t>
  </si>
  <si>
    <t>H897H766</t>
  </si>
  <si>
    <t>Veturapupa</t>
  </si>
  <si>
    <t>P899H183</t>
  </si>
  <si>
    <t>Lupomupoti</t>
  </si>
  <si>
    <t>H431H711</t>
  </si>
  <si>
    <t>Mupivunepu</t>
  </si>
  <si>
    <t>P827P836</t>
  </si>
  <si>
    <t>Temufiru</t>
  </si>
  <si>
    <t>P956P793</t>
  </si>
  <si>
    <t>Pacufodu</t>
  </si>
  <si>
    <t>P332P758</t>
  </si>
  <si>
    <t>Tivupi</t>
  </si>
  <si>
    <t>P749H635</t>
  </si>
  <si>
    <t>Tilotinu</t>
  </si>
  <si>
    <t>H812P623</t>
  </si>
  <si>
    <t>Fogecemido</t>
  </si>
  <si>
    <t>P835H347</t>
  </si>
  <si>
    <t>Vopufotopa</t>
  </si>
  <si>
    <t>H798P598</t>
  </si>
  <si>
    <t>Rituta</t>
  </si>
  <si>
    <t>H953P941</t>
  </si>
  <si>
    <t>Pacute</t>
  </si>
  <si>
    <t>P152P294</t>
  </si>
  <si>
    <t>Muriroti</t>
  </si>
  <si>
    <t>P617P337</t>
  </si>
  <si>
    <t>Cutarigu</t>
  </si>
  <si>
    <t>H265P789</t>
  </si>
  <si>
    <t>Mopadu</t>
  </si>
  <si>
    <t>H472H571</t>
  </si>
  <si>
    <t>Genupulu</t>
  </si>
  <si>
    <t>H579H445</t>
  </si>
  <si>
    <t>Tilucenofe</t>
  </si>
  <si>
    <t>P658H995</t>
  </si>
  <si>
    <t>Mecedu</t>
  </si>
  <si>
    <t>H887P318</t>
  </si>
  <si>
    <t>Fomapoto</t>
  </si>
  <si>
    <t>H846P798</t>
  </si>
  <si>
    <t>Moleva</t>
  </si>
  <si>
    <t>P462H584</t>
  </si>
  <si>
    <t>Roracugi</t>
  </si>
  <si>
    <t>H489P126</t>
  </si>
  <si>
    <t>Fogaroru</t>
  </si>
  <si>
    <t>P622H432</t>
  </si>
  <si>
    <t>Pagoputere</t>
  </si>
  <si>
    <t>H736H814</t>
  </si>
  <si>
    <t>Napulu</t>
  </si>
  <si>
    <t>P953P924</t>
  </si>
  <si>
    <t>Ronilufe</t>
  </si>
  <si>
    <t>H662H357</t>
  </si>
  <si>
    <t>Tedaledogi</t>
  </si>
  <si>
    <t>H897P637</t>
  </si>
  <si>
    <t>Rudupe</t>
  </si>
  <si>
    <t>H755P675</t>
  </si>
  <si>
    <t>Ruraro</t>
  </si>
  <si>
    <t>H993P899</t>
  </si>
  <si>
    <t>Rivepatide</t>
  </si>
  <si>
    <t>H231H691</t>
  </si>
  <si>
    <t>Gurolicale</t>
  </si>
  <si>
    <t>H985H459</t>
  </si>
  <si>
    <t>Gotota</t>
  </si>
  <si>
    <t>P228H795</t>
  </si>
  <si>
    <t>Midafigu</t>
  </si>
  <si>
    <t>P489H423</t>
  </si>
  <si>
    <t>Gutipo</t>
  </si>
  <si>
    <t>H851P697</t>
  </si>
  <si>
    <t>Gafaculela</t>
  </si>
  <si>
    <t>P347P286</t>
  </si>
  <si>
    <t>Picade</t>
  </si>
  <si>
    <t>P143H116</t>
  </si>
  <si>
    <t>Lotuni</t>
  </si>
  <si>
    <t>H512H418</t>
  </si>
  <si>
    <t>Rupili</t>
  </si>
  <si>
    <t>P162H328</t>
  </si>
  <si>
    <t>Ruderi</t>
  </si>
  <si>
    <t>P815P956</t>
  </si>
  <si>
    <t>Camecigupe</t>
  </si>
  <si>
    <t>H298H795</t>
  </si>
  <si>
    <t>Napolo</t>
  </si>
  <si>
    <t>P175H793</t>
  </si>
  <si>
    <t>Lapuroci</t>
  </si>
  <si>
    <t>H856P624</t>
  </si>
  <si>
    <t>Donefa</t>
  </si>
  <si>
    <t>P968H689</t>
  </si>
  <si>
    <t>Tupiga</t>
  </si>
  <si>
    <t>H634H756</t>
  </si>
  <si>
    <t>Lomeloro</t>
  </si>
  <si>
    <t>P692P589</t>
  </si>
  <si>
    <t>Gademi</t>
  </si>
  <si>
    <t>P782P382</t>
  </si>
  <si>
    <t>Dapufu</t>
  </si>
  <si>
    <t>H528H692</t>
  </si>
  <si>
    <t>Comenalu</t>
  </si>
  <si>
    <t>P135P461</t>
  </si>
  <si>
    <t>Duputi</t>
  </si>
  <si>
    <t>P964H413</t>
  </si>
  <si>
    <t>Pilurotu</t>
  </si>
  <si>
    <t>H383P883</t>
  </si>
  <si>
    <t>Pipapo</t>
  </si>
  <si>
    <t>H286H897</t>
  </si>
  <si>
    <t>Lucaturene</t>
  </si>
  <si>
    <t>H243H839</t>
  </si>
  <si>
    <t>Poputa</t>
  </si>
  <si>
    <t>P347H837</t>
  </si>
  <si>
    <t>Nimiridapi</t>
  </si>
  <si>
    <t>H485H125</t>
  </si>
  <si>
    <t>Faluru</t>
  </si>
  <si>
    <t>P612H154</t>
  </si>
  <si>
    <t>Lonara</t>
  </si>
  <si>
    <t>P123H191</t>
  </si>
  <si>
    <t>Patide</t>
  </si>
  <si>
    <t>P814P498</t>
  </si>
  <si>
    <t>Tomacuropo</t>
  </si>
  <si>
    <t>P291H883</t>
  </si>
  <si>
    <t>Tirapari</t>
  </si>
  <si>
    <t>P535P863</t>
  </si>
  <si>
    <t>Mifimupo</t>
  </si>
  <si>
    <t>P892H365</t>
  </si>
  <si>
    <t>Raliru</t>
  </si>
  <si>
    <t>H515P175</t>
  </si>
  <si>
    <t>Copope</t>
  </si>
  <si>
    <t>H167H181</t>
  </si>
  <si>
    <t>Cidipe</t>
  </si>
  <si>
    <t>H319H319</t>
  </si>
  <si>
    <t>Pomugafa</t>
  </si>
  <si>
    <t>P542H664</t>
  </si>
  <si>
    <t>Lodiradopo</t>
  </si>
  <si>
    <t>P753H347</t>
  </si>
  <si>
    <t>Venoro</t>
  </si>
  <si>
    <t>H797H836</t>
  </si>
  <si>
    <t>Napido</t>
  </si>
  <si>
    <t>P173H555</t>
  </si>
  <si>
    <t>Ralipa</t>
  </si>
  <si>
    <t>P821H722</t>
  </si>
  <si>
    <t>Vifefififi</t>
  </si>
  <si>
    <t>P142H654</t>
  </si>
  <si>
    <t>Pifotugu</t>
  </si>
  <si>
    <t>H291P247</t>
  </si>
  <si>
    <t>Pepilanuga</t>
  </si>
  <si>
    <t>P535P445</t>
  </si>
  <si>
    <t>Papefe</t>
  </si>
  <si>
    <t>P739H335</t>
  </si>
  <si>
    <t>Rudapope</t>
  </si>
  <si>
    <t>P233H124</t>
  </si>
  <si>
    <t>Potepara</t>
  </si>
  <si>
    <t>H169P189</t>
  </si>
  <si>
    <t>Pararupu</t>
  </si>
  <si>
    <t>P352H717</t>
  </si>
  <si>
    <t>Pigera</t>
  </si>
  <si>
    <t>P458P123</t>
  </si>
  <si>
    <t>Pupotedu</t>
  </si>
  <si>
    <t>P786H638</t>
  </si>
  <si>
    <t>Vaciduvotu</t>
  </si>
  <si>
    <t>H669P474</t>
  </si>
  <si>
    <t>Ciroletapa</t>
  </si>
  <si>
    <t>H275H981</t>
  </si>
  <si>
    <t>Ritima</t>
  </si>
  <si>
    <t>H561P866</t>
  </si>
  <si>
    <t>Runite</t>
  </si>
  <si>
    <t>P342H318</t>
  </si>
  <si>
    <t>Poruritile</t>
  </si>
  <si>
    <t>P261P484</t>
  </si>
  <si>
    <t>Mepilevano</t>
  </si>
  <si>
    <t>H845H617</t>
  </si>
  <si>
    <t>Ganice</t>
  </si>
  <si>
    <t>H673P571</t>
  </si>
  <si>
    <t>Titucine</t>
  </si>
  <si>
    <t>P537P838</t>
  </si>
  <si>
    <t>Pepeti</t>
  </si>
  <si>
    <t>P435P595</t>
  </si>
  <si>
    <t>Ritolu</t>
  </si>
  <si>
    <t>H664H592</t>
  </si>
  <si>
    <t>Notilopeto</t>
  </si>
  <si>
    <t>H667P322</t>
  </si>
  <si>
    <t>Mocuvu</t>
  </si>
  <si>
    <t>P646H464</t>
  </si>
  <si>
    <t>Fepurafi</t>
  </si>
  <si>
    <t>H955H397</t>
  </si>
  <si>
    <t>Fudotemi</t>
  </si>
  <si>
    <t>P753H951</t>
  </si>
  <si>
    <t>Gofolo</t>
  </si>
  <si>
    <t>P838P854</t>
  </si>
  <si>
    <t>Palulato</t>
  </si>
  <si>
    <t>P751P577</t>
  </si>
  <si>
    <t>Gofela</t>
  </si>
  <si>
    <t>P126H935</t>
  </si>
  <si>
    <t>Lifirupuci</t>
  </si>
  <si>
    <t>H314H331</t>
  </si>
  <si>
    <t>Papera</t>
  </si>
  <si>
    <t>P538P138</t>
  </si>
  <si>
    <t>Rodumi</t>
  </si>
  <si>
    <t>H899H329</t>
  </si>
  <si>
    <t>Polapu</t>
  </si>
  <si>
    <t>H324P972</t>
  </si>
  <si>
    <t>Teduge</t>
  </si>
  <si>
    <t>P638H218</t>
  </si>
  <si>
    <t>Minuvete</t>
  </si>
  <si>
    <t>H481H884</t>
  </si>
  <si>
    <t>Padode</t>
  </si>
  <si>
    <t>H155H847</t>
  </si>
  <si>
    <t>Vevefi</t>
  </si>
  <si>
    <t>P111P925</t>
  </si>
  <si>
    <t>Radivevu</t>
  </si>
  <si>
    <t>P967P371</t>
  </si>
  <si>
    <t>Darulitu</t>
  </si>
  <si>
    <t>P743H539</t>
  </si>
  <si>
    <t>Pepora</t>
  </si>
  <si>
    <t>P393H894</t>
  </si>
  <si>
    <t>Pugagotira</t>
  </si>
  <si>
    <t>P716H289</t>
  </si>
  <si>
    <t>Logome</t>
  </si>
  <si>
    <t>H566H869</t>
  </si>
  <si>
    <t>Rutapepoli</t>
  </si>
  <si>
    <t>H788P443</t>
  </si>
  <si>
    <t>Notavera</t>
  </si>
  <si>
    <t>P888H938</t>
  </si>
  <si>
    <t>Devadetu</t>
  </si>
  <si>
    <t>H865P725</t>
  </si>
  <si>
    <t>Renepamere</t>
  </si>
  <si>
    <t>H652H711</t>
  </si>
  <si>
    <t>Picamu</t>
  </si>
  <si>
    <t>H536H244</t>
  </si>
  <si>
    <t>Mipivopofi</t>
  </si>
  <si>
    <t>H991H184</t>
  </si>
  <si>
    <t>Pemapa</t>
  </si>
  <si>
    <t>P882P415</t>
  </si>
  <si>
    <t>Povipi</t>
  </si>
  <si>
    <t>H915P173</t>
  </si>
  <si>
    <t>Vegotapupe</t>
  </si>
  <si>
    <t>H222P521</t>
  </si>
  <si>
    <t>Pirefa</t>
  </si>
  <si>
    <t>P887H631</t>
  </si>
  <si>
    <t>Datopepe</t>
  </si>
  <si>
    <t>P739H348</t>
  </si>
  <si>
    <t>Lefufu</t>
  </si>
  <si>
    <t>P116H918</t>
  </si>
  <si>
    <t>Vumicida</t>
  </si>
  <si>
    <t>P251H191</t>
  </si>
  <si>
    <t>Ponegifape</t>
  </si>
  <si>
    <t>P962P938</t>
  </si>
  <si>
    <t>Gupivodare</t>
  </si>
  <si>
    <t>P776P514</t>
  </si>
  <si>
    <t>Perupinace</t>
  </si>
  <si>
    <t>P263P296</t>
  </si>
  <si>
    <t>Purevacuve</t>
  </si>
  <si>
    <t>H331H332</t>
  </si>
  <si>
    <t>Metena</t>
  </si>
  <si>
    <t>P776P684</t>
  </si>
  <si>
    <t>Papidimipe</t>
  </si>
  <si>
    <t>H242H241</t>
  </si>
  <si>
    <t>Lipiripo</t>
  </si>
  <si>
    <t>P314P454</t>
  </si>
  <si>
    <t>Depagimera</t>
  </si>
  <si>
    <t>P571H459</t>
  </si>
  <si>
    <t>Pepigefuro</t>
  </si>
  <si>
    <t>H861H979</t>
  </si>
  <si>
    <t>Palarafura</t>
  </si>
  <si>
    <t>P179H341</t>
  </si>
  <si>
    <t>Puripale</t>
  </si>
  <si>
    <t>P635H863</t>
  </si>
  <si>
    <t>Ruponi</t>
  </si>
  <si>
    <t>H915P599</t>
  </si>
  <si>
    <t>Ripavedofe</t>
  </si>
  <si>
    <t>H137H699</t>
  </si>
  <si>
    <t>Doperugeca</t>
  </si>
  <si>
    <t>H983P292</t>
  </si>
  <si>
    <t>Roguvutaro</t>
  </si>
  <si>
    <t>P186H675</t>
  </si>
  <si>
    <t>Pepinepu</t>
  </si>
  <si>
    <t>P299H714</t>
  </si>
  <si>
    <t>Cirati</t>
  </si>
  <si>
    <t>P132P126</t>
  </si>
  <si>
    <t>Metigapa</t>
  </si>
  <si>
    <t>H376H488</t>
  </si>
  <si>
    <t>Litavolu</t>
  </si>
  <si>
    <t>H873P158</t>
  </si>
  <si>
    <t>Feturo</t>
  </si>
  <si>
    <t>H218P333</t>
  </si>
  <si>
    <t>Rupina</t>
  </si>
  <si>
    <t>H868H654</t>
  </si>
  <si>
    <t>Rarulutapu</t>
  </si>
  <si>
    <t>P484H971</t>
  </si>
  <si>
    <t>Mecade</t>
  </si>
  <si>
    <t>P582P142</t>
  </si>
  <si>
    <t>Raleru</t>
  </si>
  <si>
    <t>H876H716</t>
  </si>
  <si>
    <t>Rirepi</t>
  </si>
  <si>
    <t>P732P211</t>
  </si>
  <si>
    <t>Totoratoti</t>
  </si>
  <si>
    <t>H136P937</t>
  </si>
  <si>
    <t>Cevorutupe</t>
  </si>
  <si>
    <t>H581H944</t>
  </si>
  <si>
    <t>Mapano</t>
  </si>
  <si>
    <t>H868H947</t>
  </si>
  <si>
    <t>Pafomurule</t>
  </si>
  <si>
    <t>P451H522</t>
  </si>
  <si>
    <t>Marofacavo</t>
  </si>
  <si>
    <t>H813H463</t>
  </si>
  <si>
    <t>Fapuvi</t>
  </si>
  <si>
    <t>H878P295</t>
  </si>
  <si>
    <t>Tupipa</t>
  </si>
  <si>
    <t>H578H231</t>
  </si>
  <si>
    <t>Digato</t>
  </si>
  <si>
    <t>H385P191</t>
  </si>
  <si>
    <t>Rapurefopu</t>
  </si>
  <si>
    <t>P847P267</t>
  </si>
  <si>
    <t>Namine</t>
  </si>
  <si>
    <t>H694P135</t>
  </si>
  <si>
    <t>Parotuvine</t>
  </si>
  <si>
    <t>H266P413</t>
  </si>
  <si>
    <t>Remafafopo</t>
  </si>
  <si>
    <t>H929P163</t>
  </si>
  <si>
    <t>Gipuri</t>
  </si>
  <si>
    <t>P461H612</t>
  </si>
  <si>
    <t>Popara</t>
  </si>
  <si>
    <t>H156P839</t>
  </si>
  <si>
    <t>Conopenugo</t>
  </si>
  <si>
    <t>H126P674</t>
  </si>
  <si>
    <t>Pigedicapi</t>
  </si>
  <si>
    <t>H817P737</t>
  </si>
  <si>
    <t>Puranacu</t>
  </si>
  <si>
    <t>H116P327</t>
  </si>
  <si>
    <t>Purapo</t>
  </si>
  <si>
    <t>P798H132</t>
  </si>
  <si>
    <t>Tomipupuvo</t>
  </si>
  <si>
    <t>H848P245</t>
  </si>
  <si>
    <t>Rupatoramu</t>
  </si>
  <si>
    <t>H161P797</t>
  </si>
  <si>
    <t>Racefevi</t>
  </si>
  <si>
    <t>H446P233</t>
  </si>
  <si>
    <t>Meteti</t>
  </si>
  <si>
    <t>P537P862</t>
  </si>
  <si>
    <t>Fetotu</t>
  </si>
  <si>
    <t>H696H648</t>
  </si>
  <si>
    <t>Tecotitire</t>
  </si>
  <si>
    <t>P768P732</t>
  </si>
  <si>
    <t>Ropuritono</t>
  </si>
  <si>
    <t>P526P262</t>
  </si>
  <si>
    <t>Docudo</t>
  </si>
  <si>
    <t>H497H747</t>
  </si>
  <si>
    <t>Patilodula</t>
  </si>
  <si>
    <t>H758H761</t>
  </si>
  <si>
    <t>Ramuri</t>
  </si>
  <si>
    <t>P411P331</t>
  </si>
  <si>
    <t>Tecegamoti</t>
  </si>
  <si>
    <t>P655H175</t>
  </si>
  <si>
    <t>Carafopiro</t>
  </si>
  <si>
    <t>H995H745</t>
  </si>
  <si>
    <t>Fupupotepa</t>
  </si>
  <si>
    <t>P863H316</t>
  </si>
  <si>
    <t>Muvutatima</t>
  </si>
  <si>
    <t>P226H964</t>
  </si>
  <si>
    <t>Goretigu</t>
  </si>
  <si>
    <t>H576P423</t>
  </si>
  <si>
    <t>Pirumi</t>
  </si>
  <si>
    <t>H878P976</t>
  </si>
  <si>
    <t>Tipelege</t>
  </si>
  <si>
    <t>P525H789</t>
  </si>
  <si>
    <t>Mafamumuma</t>
  </si>
  <si>
    <t>P299P929</t>
  </si>
  <si>
    <t>Darura</t>
  </si>
  <si>
    <t>P635P391</t>
  </si>
  <si>
    <t>Paneritaru</t>
  </si>
  <si>
    <t>P521H992</t>
  </si>
  <si>
    <t>Dufure</t>
  </si>
  <si>
    <t>H925P759</t>
  </si>
  <si>
    <t>Ropanuguvo</t>
  </si>
  <si>
    <t>H596P197</t>
  </si>
  <si>
    <t>Ruputavefa</t>
  </si>
  <si>
    <t>P823P294</t>
  </si>
  <si>
    <t>Pipuro</t>
  </si>
  <si>
    <t>P579H785</t>
  </si>
  <si>
    <t>Cevoto</t>
  </si>
  <si>
    <t>H353P431</t>
  </si>
  <si>
    <t>Penutofale</t>
  </si>
  <si>
    <t>H863P434</t>
  </si>
  <si>
    <t>Fureta</t>
  </si>
  <si>
    <t>P639H883</t>
  </si>
  <si>
    <t>Tefimenuvi</t>
  </si>
  <si>
    <t>P823H623</t>
  </si>
  <si>
    <t>Lifipavedi</t>
  </si>
  <si>
    <t>P596H712</t>
  </si>
  <si>
    <t>Puravu</t>
  </si>
  <si>
    <t>H353P489</t>
  </si>
  <si>
    <t>Raretopa</t>
  </si>
  <si>
    <t>P135H989</t>
  </si>
  <si>
    <t>Potice</t>
  </si>
  <si>
    <t>H576H859</t>
  </si>
  <si>
    <t>Panetepu</t>
  </si>
  <si>
    <t>H149H948</t>
  </si>
  <si>
    <t>Gimarelefi</t>
  </si>
  <si>
    <t>P611H548</t>
  </si>
  <si>
    <t>Tepufe</t>
  </si>
  <si>
    <t>H651H568</t>
  </si>
  <si>
    <t>Tapodi</t>
  </si>
  <si>
    <t>P288H255</t>
  </si>
  <si>
    <t>Pecanemi</t>
  </si>
  <si>
    <t>H259H941</t>
  </si>
  <si>
    <t>Ledipada</t>
  </si>
  <si>
    <t>P895P847</t>
  </si>
  <si>
    <t>Gipecemura</t>
  </si>
  <si>
    <t>H544P832</t>
  </si>
  <si>
    <t>Tepipunaro</t>
  </si>
  <si>
    <t>H377H181</t>
  </si>
  <si>
    <t>Tavopo</t>
  </si>
  <si>
    <t>H597P257</t>
  </si>
  <si>
    <t>Titicume</t>
  </si>
  <si>
    <t>H671P679</t>
  </si>
  <si>
    <t>Rurofelupa</t>
  </si>
  <si>
    <t>Rapitepe</t>
  </si>
  <si>
    <t>P169H534</t>
  </si>
  <si>
    <t>Pepipafide</t>
  </si>
  <si>
    <t>H693H393</t>
  </si>
  <si>
    <t>Putafative</t>
  </si>
  <si>
    <t>H827H719</t>
  </si>
  <si>
    <t>Demurada</t>
  </si>
  <si>
    <t>H182P139</t>
  </si>
  <si>
    <t>Pideputopu</t>
  </si>
  <si>
    <t>P627P564</t>
  </si>
  <si>
    <t>Fadetige</t>
  </si>
  <si>
    <t>H543H718</t>
  </si>
  <si>
    <t>Tepamo</t>
  </si>
  <si>
    <t>H912P614</t>
  </si>
  <si>
    <t>Dagila</t>
  </si>
  <si>
    <t>P363H756</t>
  </si>
  <si>
    <t>Litetofadi</t>
  </si>
  <si>
    <t>P484H525</t>
  </si>
  <si>
    <t>Padacanuvo</t>
  </si>
  <si>
    <t>P596H154</t>
  </si>
  <si>
    <t>Ponevedo</t>
  </si>
  <si>
    <t>P946P642</t>
  </si>
  <si>
    <t>Titumuno</t>
  </si>
  <si>
    <t>P447P367</t>
  </si>
  <si>
    <t>Pidopo</t>
  </si>
  <si>
    <t>H681H378</t>
  </si>
  <si>
    <t>Muvuro</t>
  </si>
  <si>
    <t>P479P431</t>
  </si>
  <si>
    <t>Tilodaderi</t>
  </si>
  <si>
    <t>H343P826</t>
  </si>
  <si>
    <t>Tilapodara</t>
  </si>
  <si>
    <t>H834P537</t>
  </si>
  <si>
    <t>Panifo</t>
  </si>
  <si>
    <t>H592P976</t>
  </si>
  <si>
    <t>Nacumo</t>
  </si>
  <si>
    <t>H559H423</t>
  </si>
  <si>
    <t>Pufategi</t>
  </si>
  <si>
    <t>P627P474</t>
  </si>
  <si>
    <t>Celutetilu</t>
  </si>
  <si>
    <t>H114H214</t>
  </si>
  <si>
    <t>Fafofefi</t>
  </si>
  <si>
    <t>H441H344</t>
  </si>
  <si>
    <t>Radopa</t>
  </si>
  <si>
    <t>H595H199</t>
  </si>
  <si>
    <t>Pupere</t>
  </si>
  <si>
    <t>P336P841</t>
  </si>
  <si>
    <t>Turunapi</t>
  </si>
  <si>
    <t>P994P292</t>
  </si>
  <si>
    <t>Rerafigilu</t>
  </si>
  <si>
    <t>P272H951</t>
  </si>
  <si>
    <t>Pipapata</t>
  </si>
  <si>
    <t>P358H299</t>
  </si>
  <si>
    <t>Diropova</t>
  </si>
  <si>
    <t>P547P115</t>
  </si>
  <si>
    <t>Cepirateru</t>
  </si>
  <si>
    <t>H917P789</t>
  </si>
  <si>
    <t>Ruregici</t>
  </si>
  <si>
    <t>H766H676</t>
  </si>
  <si>
    <t>Ripepu</t>
  </si>
  <si>
    <t>P372P686</t>
  </si>
  <si>
    <t>Lipevuleca</t>
  </si>
  <si>
    <t>H464H596</t>
  </si>
  <si>
    <t>Lipatimu</t>
  </si>
  <si>
    <t>H667H748</t>
  </si>
  <si>
    <t>Togunada</t>
  </si>
  <si>
    <t>P167H491</t>
  </si>
  <si>
    <t>Luluca</t>
  </si>
  <si>
    <t>P823H942</t>
  </si>
  <si>
    <t>Nicede</t>
  </si>
  <si>
    <t>H272P795</t>
  </si>
  <si>
    <t>Vorugeramo</t>
  </si>
  <si>
    <t>P357P698</t>
  </si>
  <si>
    <t>Paramoco</t>
  </si>
  <si>
    <t>H536P726</t>
  </si>
  <si>
    <t>Papugufe</t>
  </si>
  <si>
    <t>H137H986</t>
  </si>
  <si>
    <t>Mutapi</t>
  </si>
  <si>
    <t>H826P368</t>
  </si>
  <si>
    <t>Rutepofo</t>
  </si>
  <si>
    <t>H377P596</t>
  </si>
  <si>
    <t>Vageregola</t>
  </si>
  <si>
    <t>P687P441</t>
  </si>
  <si>
    <t>Dugafupugi</t>
  </si>
  <si>
    <t>H936H139</t>
  </si>
  <si>
    <t>Rafepago</t>
  </si>
  <si>
    <t>H929H462</t>
  </si>
  <si>
    <t>Retorago</t>
  </si>
  <si>
    <t>H872P394</t>
  </si>
  <si>
    <t>Cagipa</t>
  </si>
  <si>
    <t>H692H416</t>
  </si>
  <si>
    <t>Tugotiti</t>
  </si>
  <si>
    <t>H434H967</t>
  </si>
  <si>
    <t>Nitupuca</t>
  </si>
  <si>
    <t>P325H367</t>
  </si>
  <si>
    <t>Perulu</t>
  </si>
  <si>
    <t>P483H531</t>
  </si>
  <si>
    <t>Girevo</t>
  </si>
  <si>
    <t>P298H622</t>
  </si>
  <si>
    <t>Cedigapere</t>
  </si>
  <si>
    <t>P765H214</t>
  </si>
  <si>
    <t>Vopitonu</t>
  </si>
  <si>
    <t>H211P148</t>
  </si>
  <si>
    <t>Gidupa</t>
  </si>
  <si>
    <t>H329P583</t>
  </si>
  <si>
    <t>Gefero</t>
  </si>
  <si>
    <t>H646P112</t>
  </si>
  <si>
    <t>Perifelire</t>
  </si>
  <si>
    <t>P676H665</t>
  </si>
  <si>
    <t>Ramota</t>
  </si>
  <si>
    <t>H957P123</t>
  </si>
  <si>
    <t>Pitalo</t>
  </si>
  <si>
    <t>P452H497</t>
  </si>
  <si>
    <t>Cafotufo</t>
  </si>
  <si>
    <t>P439P446</t>
  </si>
  <si>
    <t>Tipivimu</t>
  </si>
  <si>
    <t>P822P131</t>
  </si>
  <si>
    <t>Dilole</t>
  </si>
  <si>
    <t>H384P466</t>
  </si>
  <si>
    <t>Pepinarute</t>
  </si>
  <si>
    <t>P762P982</t>
  </si>
  <si>
    <t>Fapimi</t>
  </si>
  <si>
    <t>H484H778</t>
  </si>
  <si>
    <t>Peteca</t>
  </si>
  <si>
    <t>H994P371</t>
  </si>
  <si>
    <t>Nicupevo</t>
  </si>
  <si>
    <t>P521P536</t>
  </si>
  <si>
    <t>Cefarudo</t>
  </si>
  <si>
    <t>H631P276</t>
  </si>
  <si>
    <t>Gimuladu</t>
  </si>
  <si>
    <t>P325P238</t>
  </si>
  <si>
    <t>Dididufopo</t>
  </si>
  <si>
    <t>P665H764</t>
  </si>
  <si>
    <t>Tidogutupu</t>
  </si>
  <si>
    <t>H777H534</t>
  </si>
  <si>
    <t>Goredi</t>
  </si>
  <si>
    <t>H834H776</t>
  </si>
  <si>
    <t>Cocevi</t>
  </si>
  <si>
    <t>P187P311</t>
  </si>
  <si>
    <t>Viripapefi</t>
  </si>
  <si>
    <t>P419P448</t>
  </si>
  <si>
    <t>Negaraceru</t>
  </si>
  <si>
    <t>P573P542</t>
  </si>
  <si>
    <t>Lamimepu</t>
  </si>
  <si>
    <t>P238P124</t>
  </si>
  <si>
    <t>Pevola</t>
  </si>
  <si>
    <t>H679H378</t>
  </si>
  <si>
    <t>Piluci</t>
  </si>
  <si>
    <t>P496H156</t>
  </si>
  <si>
    <t>Minupepe</t>
  </si>
  <si>
    <t>P564H993</t>
  </si>
  <si>
    <t>Goranenire</t>
  </si>
  <si>
    <t>H437H273</t>
  </si>
  <si>
    <t>Renuvote</t>
  </si>
  <si>
    <t>H378H755</t>
  </si>
  <si>
    <t>Rudapu</t>
  </si>
  <si>
    <t>P929H387</t>
  </si>
  <si>
    <t>Dirina</t>
  </si>
  <si>
    <t>P711H778</t>
  </si>
  <si>
    <t>Purupetilu</t>
  </si>
  <si>
    <t>H678P823</t>
  </si>
  <si>
    <t>Pocifale</t>
  </si>
  <si>
    <t>P687P272</t>
  </si>
  <si>
    <t>Peredomo</t>
  </si>
  <si>
    <t>P727H518</t>
  </si>
  <si>
    <t>Radupifu</t>
  </si>
  <si>
    <t>H919P568</t>
  </si>
  <si>
    <t>Ratuto</t>
  </si>
  <si>
    <t>H569P133</t>
  </si>
  <si>
    <t>Patipopudo</t>
  </si>
  <si>
    <t>H139P978</t>
  </si>
  <si>
    <t>Papodafu</t>
  </si>
  <si>
    <t>P174P215</t>
  </si>
  <si>
    <t>Ratena</t>
  </si>
  <si>
    <t>H917H959</t>
  </si>
  <si>
    <t>Povitavomi</t>
  </si>
  <si>
    <t>H954P398</t>
  </si>
  <si>
    <t>Tirinegide</t>
  </si>
  <si>
    <t>H184H694</t>
  </si>
  <si>
    <t>Gecupeputo</t>
  </si>
  <si>
    <t>P581P245</t>
  </si>
  <si>
    <t>Pecefuceru</t>
  </si>
  <si>
    <t>P744P414</t>
  </si>
  <si>
    <t>Cunate</t>
  </si>
  <si>
    <t>P321P989</t>
  </si>
  <si>
    <t>Gumipi</t>
  </si>
  <si>
    <t>H291H544</t>
  </si>
  <si>
    <t>Nuponanepi</t>
  </si>
  <si>
    <t>P152P268</t>
  </si>
  <si>
    <t>Duvopo</t>
  </si>
  <si>
    <t>P441P471</t>
  </si>
  <si>
    <t>Dulagadanu</t>
  </si>
  <si>
    <t>H232H376</t>
  </si>
  <si>
    <t>Tilate</t>
  </si>
  <si>
    <t>H698P423</t>
  </si>
  <si>
    <t>Meferidapo</t>
  </si>
  <si>
    <t>P735H918</t>
  </si>
  <si>
    <t>Titopapupa</t>
  </si>
  <si>
    <t>P266P292</t>
  </si>
  <si>
    <t>Moreluve</t>
  </si>
  <si>
    <t>H131H977</t>
  </si>
  <si>
    <t>Rupotiru</t>
  </si>
  <si>
    <t>P511H979</t>
  </si>
  <si>
    <t>Geculirafe</t>
  </si>
  <si>
    <t>H311H936</t>
  </si>
  <si>
    <t>Daneroma</t>
  </si>
  <si>
    <t>P543H182</t>
  </si>
  <si>
    <t>Potutamece</t>
  </si>
  <si>
    <t>H578H392</t>
  </si>
  <si>
    <t>Pururipoto</t>
  </si>
  <si>
    <t>H645P484</t>
  </si>
  <si>
    <t>Purogulege</t>
  </si>
  <si>
    <t>P149H668</t>
  </si>
  <si>
    <t>Pecoru</t>
  </si>
  <si>
    <t>H728P493</t>
  </si>
  <si>
    <t>Nutoluteca</t>
  </si>
  <si>
    <t>H653H784</t>
  </si>
  <si>
    <t>Piduvifitu</t>
  </si>
  <si>
    <t>P789H652</t>
  </si>
  <si>
    <t>Nupada</t>
  </si>
  <si>
    <t>P298P548</t>
  </si>
  <si>
    <t>Cugara</t>
  </si>
  <si>
    <t>H958H483</t>
  </si>
  <si>
    <t>Letame</t>
  </si>
  <si>
    <t>P786H239</t>
  </si>
  <si>
    <t>Rutamafovi</t>
  </si>
  <si>
    <t>P555H614</t>
  </si>
  <si>
    <t>Mitotiga</t>
  </si>
  <si>
    <t>P461H697</t>
  </si>
  <si>
    <t>Fetivetepa</t>
  </si>
  <si>
    <t>P471P929</t>
  </si>
  <si>
    <t>Vipotele</t>
  </si>
  <si>
    <t>H722H911</t>
  </si>
  <si>
    <t>Rupadu</t>
  </si>
  <si>
    <t>P946H478</t>
  </si>
  <si>
    <t>Rinuninupo</t>
  </si>
  <si>
    <t>P849P773</t>
  </si>
  <si>
    <t>Ratodevo</t>
  </si>
  <si>
    <t>H619H865</t>
  </si>
  <si>
    <t>Ridameto</t>
  </si>
  <si>
    <t>H912H631</t>
  </si>
  <si>
    <t>Fipocofo</t>
  </si>
  <si>
    <t>P136H643</t>
  </si>
  <si>
    <t>Gocupeva</t>
  </si>
  <si>
    <t>H847H936</t>
  </si>
  <si>
    <t>Pudeta</t>
  </si>
  <si>
    <t>H783P497</t>
  </si>
  <si>
    <t>Rilidafe</t>
  </si>
  <si>
    <t>P486P879</t>
  </si>
  <si>
    <t>Totapamo</t>
  </si>
  <si>
    <t>H165H857</t>
  </si>
  <si>
    <t>Mupufedo</t>
  </si>
  <si>
    <t>H339H136</t>
  </si>
  <si>
    <t>Vigeneru</t>
  </si>
  <si>
    <t>P122P373</t>
  </si>
  <si>
    <t>Pifarimu</t>
  </si>
  <si>
    <t>P198P537</t>
  </si>
  <si>
    <t>Papiteda</t>
  </si>
  <si>
    <t>H133P637</t>
  </si>
  <si>
    <t>Minupidifi</t>
  </si>
  <si>
    <t>H847H416</t>
  </si>
  <si>
    <t>Purevu</t>
  </si>
  <si>
    <t>H354P711</t>
  </si>
  <si>
    <t>Matigutuvi</t>
  </si>
  <si>
    <t>H117P757</t>
  </si>
  <si>
    <t>Cerare</t>
  </si>
  <si>
    <t>H945P214</t>
  </si>
  <si>
    <t>Mitupa</t>
  </si>
  <si>
    <t>P812P374</t>
  </si>
  <si>
    <t>Finuno</t>
  </si>
  <si>
    <t>H166P831</t>
  </si>
  <si>
    <t>Vepipeculu</t>
  </si>
  <si>
    <t>P746P572</t>
  </si>
  <si>
    <t>Getulatigu</t>
  </si>
  <si>
    <t>P531P457</t>
  </si>
  <si>
    <t>Feponunoro</t>
  </si>
  <si>
    <t>H746P959</t>
  </si>
  <si>
    <t>Metapagara</t>
  </si>
  <si>
    <t>P633H927</t>
  </si>
  <si>
    <t>Potepi</t>
  </si>
  <si>
    <t>P312P598</t>
  </si>
  <si>
    <t>Daripote</t>
  </si>
  <si>
    <t>H838P976</t>
  </si>
  <si>
    <t>Cipume</t>
  </si>
  <si>
    <t>P657P282</t>
  </si>
  <si>
    <t>Muconedi</t>
  </si>
  <si>
    <t>H724P455</t>
  </si>
  <si>
    <t>Moparico</t>
  </si>
  <si>
    <t>P466P499</t>
  </si>
  <si>
    <t>Petudu</t>
  </si>
  <si>
    <t>H822H482</t>
  </si>
  <si>
    <t>Pacepidu</t>
  </si>
  <si>
    <t>P839H664</t>
  </si>
  <si>
    <t>Nalirinipo</t>
  </si>
  <si>
    <t>P864H843</t>
  </si>
  <si>
    <t>Marevapu</t>
  </si>
  <si>
    <t>H835P693</t>
  </si>
  <si>
    <t>Pinada</t>
  </si>
  <si>
    <t>P995H423</t>
  </si>
  <si>
    <t>Fopifite</t>
  </si>
  <si>
    <t>H412H686</t>
  </si>
  <si>
    <t>Temotonone</t>
  </si>
  <si>
    <t>H388H986</t>
  </si>
  <si>
    <t>Rerogolere</t>
  </si>
  <si>
    <t>P437P991</t>
  </si>
  <si>
    <t>Favidufere</t>
  </si>
  <si>
    <t>Gipemive</t>
  </si>
  <si>
    <t>H137P867</t>
  </si>
  <si>
    <t>Lolamavi</t>
  </si>
  <si>
    <t>H681P566</t>
  </si>
  <si>
    <t>Garuroro</t>
  </si>
  <si>
    <t>H272P258</t>
  </si>
  <si>
    <t>Peporopa</t>
  </si>
  <si>
    <t>P544P296</t>
  </si>
  <si>
    <t>Tovotura</t>
  </si>
  <si>
    <t>P433P786</t>
  </si>
  <si>
    <t>Dofigo</t>
  </si>
  <si>
    <t>H859P396</t>
  </si>
  <si>
    <t>Lidicetuni</t>
  </si>
  <si>
    <t>H558P144</t>
  </si>
  <si>
    <t>Pavopavu</t>
  </si>
  <si>
    <t>P374H788</t>
  </si>
  <si>
    <t>Movifapera</t>
  </si>
  <si>
    <t>H699P337</t>
  </si>
  <si>
    <t>Lomica</t>
  </si>
  <si>
    <t>H136P848</t>
  </si>
  <si>
    <t>Ruravali</t>
  </si>
  <si>
    <t>H773P155</t>
  </si>
  <si>
    <t>Pecenulo</t>
  </si>
  <si>
    <t>P826P957</t>
  </si>
  <si>
    <t>Rucipitutu</t>
  </si>
  <si>
    <t>H354P369</t>
  </si>
  <si>
    <t>Pegopamo</t>
  </si>
  <si>
    <t>P631P363</t>
  </si>
  <si>
    <t>Gamutapodi</t>
  </si>
  <si>
    <t>P619P399</t>
  </si>
  <si>
    <t>Patave</t>
  </si>
  <si>
    <t>P336H433</t>
  </si>
  <si>
    <t>Vecapiti</t>
  </si>
  <si>
    <t>H264H866</t>
  </si>
  <si>
    <t>Lotepetoce</t>
  </si>
  <si>
    <t>H792P743</t>
  </si>
  <si>
    <t>Tutitulile</t>
  </si>
  <si>
    <t>H346P161</t>
  </si>
  <si>
    <t>Mugami</t>
  </si>
  <si>
    <t>P495P433</t>
  </si>
  <si>
    <t>Dafalu</t>
  </si>
  <si>
    <t>P353P567</t>
  </si>
  <si>
    <t>Duroro</t>
  </si>
  <si>
    <t>H446H624</t>
  </si>
  <si>
    <t>Podudanuta</t>
  </si>
  <si>
    <t>P492H962</t>
  </si>
  <si>
    <t>Tagoro</t>
  </si>
  <si>
    <t>P886H865</t>
  </si>
  <si>
    <t>Purutiledu</t>
  </si>
  <si>
    <t>H864H626</t>
  </si>
  <si>
    <t>Lamiva</t>
  </si>
  <si>
    <t>P526P779</t>
  </si>
  <si>
    <t>Girumitopo</t>
  </si>
  <si>
    <t>P214P496</t>
  </si>
  <si>
    <t>Tafoperu</t>
  </si>
  <si>
    <t>P721H698</t>
  </si>
  <si>
    <t>Pagarocu</t>
  </si>
  <si>
    <t>P227H348</t>
  </si>
  <si>
    <t>Dupotivopi</t>
  </si>
  <si>
    <t>P516P953</t>
  </si>
  <si>
    <t>Gamolave</t>
  </si>
  <si>
    <t>P334P239</t>
  </si>
  <si>
    <t>Tagevi</t>
  </si>
  <si>
    <t>P557H266</t>
  </si>
  <si>
    <t>Cidotoco</t>
  </si>
  <si>
    <t>H239P828</t>
  </si>
  <si>
    <t>Rivupovimu</t>
  </si>
  <si>
    <t>P347H631</t>
  </si>
  <si>
    <t>Papegu</t>
  </si>
  <si>
    <t>H331H641</t>
  </si>
  <si>
    <t>Popapogule</t>
  </si>
  <si>
    <t>H411H255</t>
  </si>
  <si>
    <t>Rodononico</t>
  </si>
  <si>
    <t>P278H964</t>
  </si>
  <si>
    <t>Femerere</t>
  </si>
  <si>
    <t>H639P217</t>
  </si>
  <si>
    <t>Recura</t>
  </si>
  <si>
    <t>H414H343</t>
  </si>
  <si>
    <t>Nipopefa</t>
  </si>
  <si>
    <t>H643H716</t>
  </si>
  <si>
    <t>Dufemidego</t>
  </si>
  <si>
    <t>P213H321</t>
  </si>
  <si>
    <t>Voroce</t>
  </si>
  <si>
    <t>P198P264</t>
  </si>
  <si>
    <t>Nerocu</t>
  </si>
  <si>
    <t>P514P938</t>
  </si>
  <si>
    <t>Poruritimi</t>
  </si>
  <si>
    <t>P563P261</t>
  </si>
  <si>
    <t>Fidipemene</t>
  </si>
  <si>
    <t>H668P632</t>
  </si>
  <si>
    <t>Nipota</t>
  </si>
  <si>
    <t>H363H196</t>
  </si>
  <si>
    <t>Poralurale</t>
  </si>
  <si>
    <t>H139P939</t>
  </si>
  <si>
    <t>Tecivi</t>
  </si>
  <si>
    <t>H439P539</t>
  </si>
  <si>
    <t>Derodace</t>
  </si>
  <si>
    <t>P865H454</t>
  </si>
  <si>
    <t>Nutiropo</t>
  </si>
  <si>
    <t>P178P124</t>
  </si>
  <si>
    <t>Fadutepe</t>
  </si>
  <si>
    <t>P613H581</t>
  </si>
  <si>
    <t>Fapivopata</t>
  </si>
  <si>
    <t>H862P652</t>
  </si>
  <si>
    <t>Cirerono</t>
  </si>
  <si>
    <t>H169H378</t>
  </si>
  <si>
    <t>Ratirivo</t>
  </si>
  <si>
    <t>P434P624</t>
  </si>
  <si>
    <t>Putunu</t>
  </si>
  <si>
    <t>P643P538</t>
  </si>
  <si>
    <t>Pofene</t>
  </si>
  <si>
    <t>H381H542</t>
  </si>
  <si>
    <t>Tinefimomi</t>
  </si>
  <si>
    <t>H849H162</t>
  </si>
  <si>
    <t>Pimipe</t>
  </si>
  <si>
    <t>H383H413</t>
  </si>
  <si>
    <t>Mirapomati</t>
  </si>
  <si>
    <t>H261P128</t>
  </si>
  <si>
    <t>Vilaca</t>
  </si>
  <si>
    <t>H435H168</t>
  </si>
  <si>
    <t>Tivipomo</t>
  </si>
  <si>
    <t>H367H118</t>
  </si>
  <si>
    <t>Poceri</t>
  </si>
  <si>
    <t>P144H988</t>
  </si>
  <si>
    <t>Mopenofu</t>
  </si>
  <si>
    <t>P899P834</t>
  </si>
  <si>
    <t>Ficemupiri</t>
  </si>
  <si>
    <t>P753P983</t>
  </si>
  <si>
    <t>Mudufomi</t>
  </si>
  <si>
    <t>P182P784</t>
  </si>
  <si>
    <t>Ramilifu</t>
  </si>
  <si>
    <t>P277P789</t>
  </si>
  <si>
    <t>Pifiri</t>
  </si>
  <si>
    <t>H912H359</t>
  </si>
  <si>
    <t>Tipune</t>
  </si>
  <si>
    <t>P451P551</t>
  </si>
  <si>
    <t>Nocapa</t>
  </si>
  <si>
    <t>P984H886</t>
  </si>
  <si>
    <t>Pacugi</t>
  </si>
  <si>
    <t>P785P741</t>
  </si>
  <si>
    <t>Ruruperave</t>
  </si>
  <si>
    <t>H159H591</t>
  </si>
  <si>
    <t>Punaroguti</t>
  </si>
  <si>
    <t>H456H418</t>
  </si>
  <si>
    <t>Rodotilu</t>
  </si>
  <si>
    <t>P755P245</t>
  </si>
  <si>
    <t>Rimenu</t>
  </si>
  <si>
    <t>H638P179</t>
  </si>
  <si>
    <t>Mamomulo</t>
  </si>
  <si>
    <t>P964P351</t>
  </si>
  <si>
    <t>Fepuci</t>
  </si>
  <si>
    <t>H456H797</t>
  </si>
  <si>
    <t>Ceceve</t>
  </si>
  <si>
    <t>P934H358</t>
  </si>
  <si>
    <t>Lotacunoti</t>
  </si>
  <si>
    <t>P646H853</t>
  </si>
  <si>
    <t>Vipuduta</t>
  </si>
  <si>
    <t>P154H682</t>
  </si>
  <si>
    <t>Mucagene</t>
  </si>
  <si>
    <t>H466H792</t>
  </si>
  <si>
    <t>Ripovo</t>
  </si>
  <si>
    <t>P927P731</t>
  </si>
  <si>
    <t>Caticu</t>
  </si>
  <si>
    <t>H947H126</t>
  </si>
  <si>
    <t>Rogemogere</t>
  </si>
  <si>
    <t>H929P936</t>
  </si>
  <si>
    <t>Numupunoda</t>
  </si>
  <si>
    <t>P567H617</t>
  </si>
  <si>
    <t>Recovarafa</t>
  </si>
  <si>
    <t>P726P395</t>
  </si>
  <si>
    <t>Lutinemu</t>
  </si>
  <si>
    <t>H661P293</t>
  </si>
  <si>
    <t>Culelifofi</t>
  </si>
  <si>
    <t>P234P125</t>
  </si>
  <si>
    <t>Donifefo</t>
  </si>
  <si>
    <t>P557H447</t>
  </si>
  <si>
    <t>Pugepa</t>
  </si>
  <si>
    <t>P652P514</t>
  </si>
  <si>
    <t>Cunitetevi</t>
  </si>
  <si>
    <t>P753P644</t>
  </si>
  <si>
    <t>Popifodepa</t>
  </si>
  <si>
    <t>P699P785</t>
  </si>
  <si>
    <t>Tunarare</t>
  </si>
  <si>
    <t>P344H654</t>
  </si>
  <si>
    <t>Potupe</t>
  </si>
  <si>
    <t>H843P997</t>
  </si>
  <si>
    <t>Fifete</t>
  </si>
  <si>
    <t>P824P879</t>
  </si>
  <si>
    <t>Carema</t>
  </si>
  <si>
    <t>H566P581</t>
  </si>
  <si>
    <t>Cemavapa</t>
  </si>
  <si>
    <t>P719H464</t>
  </si>
  <si>
    <t>Moculo</t>
  </si>
  <si>
    <t>H443H437</t>
  </si>
  <si>
    <t>Nagemagimu</t>
  </si>
  <si>
    <t>H292H779</t>
  </si>
  <si>
    <t>Ropiginu</t>
  </si>
  <si>
    <t>P754H859</t>
  </si>
  <si>
    <t>Mifufa</t>
  </si>
  <si>
    <t>H525H487</t>
  </si>
  <si>
    <t>Totuleriri</t>
  </si>
  <si>
    <t>P361P931</t>
  </si>
  <si>
    <t>Duropuvire</t>
  </si>
  <si>
    <t>H268P868</t>
  </si>
  <si>
    <t>Lagudi</t>
  </si>
  <si>
    <t>H464H122</t>
  </si>
  <si>
    <t>Nonuno</t>
  </si>
  <si>
    <t>H154H499</t>
  </si>
  <si>
    <t>Tetitafo</t>
  </si>
  <si>
    <t>P448P743</t>
  </si>
  <si>
    <t>Rapagi</t>
  </si>
  <si>
    <t>P663H882</t>
  </si>
  <si>
    <t>Pitufotoga</t>
  </si>
  <si>
    <t>P194P584</t>
  </si>
  <si>
    <t>Rolape</t>
  </si>
  <si>
    <t>H621H241</t>
  </si>
  <si>
    <t>Nacota</t>
  </si>
  <si>
    <t>P254H868</t>
  </si>
  <si>
    <t>Parepe</t>
  </si>
  <si>
    <t>H839P591</t>
  </si>
  <si>
    <t>Rulacu</t>
  </si>
  <si>
    <t>P575H379</t>
  </si>
  <si>
    <t>Tipipavepu</t>
  </si>
  <si>
    <t>H689P673</t>
  </si>
  <si>
    <t>Tegodudi</t>
  </si>
  <si>
    <t>H371H216</t>
  </si>
  <si>
    <t>Fovede</t>
  </si>
  <si>
    <t>P524H789</t>
  </si>
  <si>
    <t>Cefipe</t>
  </si>
  <si>
    <t>H125H499</t>
  </si>
  <si>
    <t>Valoretegu</t>
  </si>
  <si>
    <t>H788P869</t>
  </si>
  <si>
    <t>Nurica</t>
  </si>
  <si>
    <t>P327P917</t>
  </si>
  <si>
    <t>Fapucitadi</t>
  </si>
  <si>
    <t>P178P467</t>
  </si>
  <si>
    <t>Caperede</t>
  </si>
  <si>
    <t>H844P822</t>
  </si>
  <si>
    <t>Faroda</t>
  </si>
  <si>
    <t>P929H489</t>
  </si>
  <si>
    <t>Poropati</t>
  </si>
  <si>
    <t>H624P983</t>
  </si>
  <si>
    <t>Migitovole</t>
  </si>
  <si>
    <t>P356P611</t>
  </si>
  <si>
    <t>Gavule</t>
  </si>
  <si>
    <t>P393P998</t>
  </si>
  <si>
    <t>Rarocipu</t>
  </si>
  <si>
    <t>P675P779</t>
  </si>
  <si>
    <t>Pofuterulo</t>
  </si>
  <si>
    <t>H182H819</t>
  </si>
  <si>
    <t>Cegimi</t>
  </si>
  <si>
    <t>H973P595</t>
  </si>
  <si>
    <t>Rutiruru</t>
  </si>
  <si>
    <t>P116P968</t>
  </si>
  <si>
    <t>Tigepomupe</t>
  </si>
  <si>
    <t>H546P146</t>
  </si>
  <si>
    <t>Pepopire</t>
  </si>
  <si>
    <t>P364H388</t>
  </si>
  <si>
    <t>Pulopu</t>
  </si>
  <si>
    <t>P636P378</t>
  </si>
  <si>
    <t>Vodapomipo</t>
  </si>
  <si>
    <t>P245H224</t>
  </si>
  <si>
    <t>Gelevepori</t>
  </si>
  <si>
    <t>P337H954</t>
  </si>
  <si>
    <t>Femiceme</t>
  </si>
  <si>
    <t>H686H486</t>
  </si>
  <si>
    <t>Rucomepiru</t>
  </si>
  <si>
    <t>P989P638</t>
  </si>
  <si>
    <t>Pelecotopu</t>
  </si>
  <si>
    <t>P381P959</t>
  </si>
  <si>
    <t>Gufopu</t>
  </si>
  <si>
    <t>P296H645</t>
  </si>
  <si>
    <t>Pepugocepi</t>
  </si>
  <si>
    <t>H663H166</t>
  </si>
  <si>
    <t>Rafugepa</t>
  </si>
  <si>
    <t>P352P686</t>
  </si>
  <si>
    <t>Rivudelomu</t>
  </si>
  <si>
    <t>P539H841</t>
  </si>
  <si>
    <t>Rucopupa</t>
  </si>
  <si>
    <t>P296P983</t>
  </si>
  <si>
    <t>Cilupepudo</t>
  </si>
  <si>
    <t>H678H429</t>
  </si>
  <si>
    <t>Denefivepi</t>
  </si>
  <si>
    <t>H881H181</t>
  </si>
  <si>
    <t>Matepuco</t>
  </si>
  <si>
    <t>H239H915</t>
  </si>
  <si>
    <t>Gecerolicu</t>
  </si>
  <si>
    <t>P191H763</t>
  </si>
  <si>
    <t>Pufufegu</t>
  </si>
  <si>
    <t>H851P576</t>
  </si>
  <si>
    <t>Ladecofo</t>
  </si>
  <si>
    <t>P954P955</t>
  </si>
  <si>
    <t>Riputo</t>
  </si>
  <si>
    <t>H643P489</t>
  </si>
  <si>
    <t>Gofucofopa</t>
  </si>
  <si>
    <t>H389P295</t>
  </si>
  <si>
    <t>Tedaro</t>
  </si>
  <si>
    <t>H582H999</t>
  </si>
  <si>
    <t>Lopifi</t>
  </si>
  <si>
    <t>P895P838</t>
  </si>
  <si>
    <t>Deforidula</t>
  </si>
  <si>
    <t>P264H647</t>
  </si>
  <si>
    <t>Nocopupemu</t>
  </si>
  <si>
    <t>H314P939</t>
  </si>
  <si>
    <t>Relacatame</t>
  </si>
  <si>
    <t>H984P282</t>
  </si>
  <si>
    <t>Tepanepe</t>
  </si>
  <si>
    <t>H748P635</t>
  </si>
  <si>
    <t>Fotipitinu</t>
  </si>
  <si>
    <t>H854P477</t>
  </si>
  <si>
    <t>Rurevi</t>
  </si>
  <si>
    <t>P342P753</t>
  </si>
  <si>
    <t>Ripeporepu</t>
  </si>
  <si>
    <t>P498H685</t>
  </si>
  <si>
    <t>Piratolaru</t>
  </si>
  <si>
    <t>P514P164</t>
  </si>
  <si>
    <t>Legupanova</t>
  </si>
  <si>
    <t>H776H733</t>
  </si>
  <si>
    <t>Motonati</t>
  </si>
  <si>
    <t>P979H356</t>
  </si>
  <si>
    <t>Mavutofe</t>
  </si>
  <si>
    <t>P467H525</t>
  </si>
  <si>
    <t>Papunona</t>
  </si>
  <si>
    <t>P517H647</t>
  </si>
  <si>
    <t>Parotere</t>
  </si>
  <si>
    <t>P112H345</t>
  </si>
  <si>
    <t>Ladoganeto</t>
  </si>
  <si>
    <t>P288H651</t>
  </si>
  <si>
    <t>Nimerilivu</t>
  </si>
  <si>
    <t>P399P836</t>
  </si>
  <si>
    <t>Femunini</t>
  </si>
  <si>
    <t>H866P482</t>
  </si>
  <si>
    <t>Citufopo</t>
  </si>
  <si>
    <t>P721H459</t>
  </si>
  <si>
    <t>Dufefurapu</t>
  </si>
  <si>
    <t>H233P441</t>
  </si>
  <si>
    <t>Gigani</t>
  </si>
  <si>
    <t>H645P288</t>
  </si>
  <si>
    <t>Pomirugera</t>
  </si>
  <si>
    <t>H436P562</t>
  </si>
  <si>
    <t>Rapofigaru</t>
  </si>
  <si>
    <t>P768P564</t>
  </si>
  <si>
    <t>Liredatu</t>
  </si>
  <si>
    <t>P721H717</t>
  </si>
  <si>
    <t>Pilipa</t>
  </si>
  <si>
    <t>H381H737</t>
  </si>
  <si>
    <t>Tinovera</t>
  </si>
  <si>
    <t>H315P661</t>
  </si>
  <si>
    <t>Pipuli</t>
  </si>
  <si>
    <t>H621H217</t>
  </si>
  <si>
    <t>Pidoni</t>
  </si>
  <si>
    <t>H823H685</t>
  </si>
  <si>
    <t>Curadopu</t>
  </si>
  <si>
    <t>P691H136</t>
  </si>
  <si>
    <t>Dederulu</t>
  </si>
  <si>
    <t>H278P947</t>
  </si>
  <si>
    <t>Vifitora</t>
  </si>
  <si>
    <t>H452H859</t>
  </si>
  <si>
    <t>Lufemuci</t>
  </si>
  <si>
    <t>H435H196</t>
  </si>
  <si>
    <t>Rutipitati</t>
  </si>
  <si>
    <t>H751H866</t>
  </si>
  <si>
    <t>Papinotuvu</t>
  </si>
  <si>
    <t>H367P647</t>
  </si>
  <si>
    <t>Pifadicufu</t>
  </si>
  <si>
    <t>P635H755</t>
  </si>
  <si>
    <t>Roperuti</t>
  </si>
  <si>
    <t>P368H888</t>
  </si>
  <si>
    <t>Tolerepogu</t>
  </si>
  <si>
    <t>H254H418</t>
  </si>
  <si>
    <t>Futetame</t>
  </si>
  <si>
    <t>H616P889</t>
  </si>
  <si>
    <t>Mucovo</t>
  </si>
  <si>
    <t>P289P536</t>
  </si>
  <si>
    <t>Rupanuliri</t>
  </si>
  <si>
    <t>P441P139</t>
  </si>
  <si>
    <t>Tedovelado</t>
  </si>
  <si>
    <t>P644H759</t>
  </si>
  <si>
    <t>Fetigu</t>
  </si>
  <si>
    <t>H876H212</t>
  </si>
  <si>
    <t>Metamipo</t>
  </si>
  <si>
    <t>P922H577</t>
  </si>
  <si>
    <t>Rilatepi</t>
  </si>
  <si>
    <t>H531P357</t>
  </si>
  <si>
    <t>Fidopelela</t>
  </si>
  <si>
    <t>H427H226</t>
  </si>
  <si>
    <t>Gedupovu</t>
  </si>
  <si>
    <t>P728P865</t>
  </si>
  <si>
    <t>Porucidafi</t>
  </si>
  <si>
    <t>H264H964</t>
  </si>
  <si>
    <t>Gemunigupi</t>
  </si>
  <si>
    <t>P321H585</t>
  </si>
  <si>
    <t>Pavupitimo</t>
  </si>
  <si>
    <t>H642H159</t>
  </si>
  <si>
    <t>Nudero</t>
  </si>
  <si>
    <t>P729H799</t>
  </si>
  <si>
    <t>Pofatagoma</t>
  </si>
  <si>
    <t>P311H262</t>
  </si>
  <si>
    <t>Famufe</t>
  </si>
  <si>
    <t>P571P527</t>
  </si>
  <si>
    <t>Rogadufe</t>
  </si>
  <si>
    <t>P159H646</t>
  </si>
  <si>
    <t>Femidu</t>
  </si>
  <si>
    <t>P685P296</t>
  </si>
  <si>
    <t>Vocoreceti</t>
  </si>
  <si>
    <t>P961P459</t>
  </si>
  <si>
    <t>Vetenore</t>
  </si>
  <si>
    <t>P975H296</t>
  </si>
  <si>
    <t>Comori</t>
  </si>
  <si>
    <t>H679P688</t>
  </si>
  <si>
    <t>Mafegamopo</t>
  </si>
  <si>
    <t>P261P142</t>
  </si>
  <si>
    <t>Panoto</t>
  </si>
  <si>
    <t>P774H521</t>
  </si>
  <si>
    <t>Pufape</t>
  </si>
  <si>
    <t>P448H637</t>
  </si>
  <si>
    <t>Dagara</t>
  </si>
  <si>
    <t>H821H871</t>
  </si>
  <si>
    <t>Neperurefu</t>
  </si>
  <si>
    <t>P378H569</t>
  </si>
  <si>
    <t>Pipila</t>
  </si>
  <si>
    <t>H968P861</t>
  </si>
  <si>
    <t>Gatanitu</t>
  </si>
  <si>
    <t>H891H834</t>
  </si>
  <si>
    <t>Lirepa</t>
  </si>
  <si>
    <t>H477P638</t>
  </si>
  <si>
    <t>Turena</t>
  </si>
  <si>
    <t>H653H429</t>
  </si>
  <si>
    <t>Givido</t>
  </si>
  <si>
    <t>P723H231</t>
  </si>
  <si>
    <t>Rogupi</t>
  </si>
  <si>
    <t>H255H614</t>
  </si>
  <si>
    <t>Pecepome</t>
  </si>
  <si>
    <t>H128P428</t>
  </si>
  <si>
    <t>Tolatifope</t>
  </si>
  <si>
    <t>H412P837</t>
  </si>
  <si>
    <t>Vogeta</t>
  </si>
  <si>
    <t>P161H629</t>
  </si>
  <si>
    <t>Gapunapove</t>
  </si>
  <si>
    <t>P172H584</t>
  </si>
  <si>
    <t>Ratepepo</t>
  </si>
  <si>
    <t>P814P135</t>
  </si>
  <si>
    <t>Tuleci</t>
  </si>
  <si>
    <t>H361P761</t>
  </si>
  <si>
    <t>Litamalo</t>
  </si>
  <si>
    <t>H717P222</t>
  </si>
  <si>
    <t>Tidapu</t>
  </si>
  <si>
    <t>P679H372</t>
  </si>
  <si>
    <t>Mulava</t>
  </si>
  <si>
    <t>P511P715</t>
  </si>
  <si>
    <t>Purelegete</t>
  </si>
  <si>
    <t>P842P434</t>
  </si>
  <si>
    <t>Mopacufe</t>
  </si>
  <si>
    <t>H229P731</t>
  </si>
  <si>
    <t>Tofife</t>
  </si>
  <si>
    <t>H835H175</t>
  </si>
  <si>
    <t>Mufupamepu</t>
  </si>
  <si>
    <t>H943P584</t>
  </si>
  <si>
    <t>Corodori</t>
  </si>
  <si>
    <t>H894P985</t>
  </si>
  <si>
    <t>Ralanu</t>
  </si>
  <si>
    <t>P788P179</t>
  </si>
  <si>
    <t>Varomite</t>
  </si>
  <si>
    <t>H166H815</t>
  </si>
  <si>
    <t>Tiratove</t>
  </si>
  <si>
    <t>P374P216</t>
  </si>
  <si>
    <t>Roputo</t>
  </si>
  <si>
    <t>H393H392</t>
  </si>
  <si>
    <t>Cefolado</t>
  </si>
  <si>
    <t>P996P358</t>
  </si>
  <si>
    <t>Tatupide</t>
  </si>
  <si>
    <t>H272H339</t>
  </si>
  <si>
    <t>Fipicuvu</t>
  </si>
  <si>
    <t>H166H859</t>
  </si>
  <si>
    <t>Generu</t>
  </si>
  <si>
    <t>P997P968</t>
  </si>
  <si>
    <t>Palidireta</t>
  </si>
  <si>
    <t>P671P222</t>
  </si>
  <si>
    <t>Gecefo</t>
  </si>
  <si>
    <t>H486H939</t>
  </si>
  <si>
    <t>Tunetire</t>
  </si>
  <si>
    <t>H745P114</t>
  </si>
  <si>
    <t>Purigevuco</t>
  </si>
  <si>
    <t>P112H962</t>
  </si>
  <si>
    <t>Rocivatume</t>
  </si>
  <si>
    <t>P871P946</t>
  </si>
  <si>
    <t>Vipafa</t>
  </si>
  <si>
    <t>H643H146</t>
  </si>
  <si>
    <t>Mipopi</t>
  </si>
  <si>
    <t>H277P216</t>
  </si>
  <si>
    <t>Necofi</t>
  </si>
  <si>
    <t>P881H541</t>
  </si>
  <si>
    <t>Paregaga</t>
  </si>
  <si>
    <t>H712H691</t>
  </si>
  <si>
    <t>Motucage</t>
  </si>
  <si>
    <t>P954P572</t>
  </si>
  <si>
    <t>Rulute</t>
  </si>
  <si>
    <t>P115H295</t>
  </si>
  <si>
    <t>Tuliruce</t>
  </si>
  <si>
    <t>H969H315</t>
  </si>
  <si>
    <t>Pitecame</t>
  </si>
  <si>
    <t>P619H359</t>
  </si>
  <si>
    <t>Nalole</t>
  </si>
  <si>
    <t>H683P383</t>
  </si>
  <si>
    <t>Petimepogi</t>
  </si>
  <si>
    <t>P245H534</t>
  </si>
  <si>
    <t>Dotacofa</t>
  </si>
  <si>
    <t>H151P793</t>
  </si>
  <si>
    <t>Lafape</t>
  </si>
  <si>
    <t>H683H778</t>
  </si>
  <si>
    <t>Nafigu</t>
  </si>
  <si>
    <t>H372H711</t>
  </si>
  <si>
    <t>Pacamuce</t>
  </si>
  <si>
    <t>P147H481</t>
  </si>
  <si>
    <t>Rilotu</t>
  </si>
  <si>
    <t>H933P398</t>
  </si>
  <si>
    <t>Depepe</t>
  </si>
  <si>
    <t>H323H153</t>
  </si>
  <si>
    <t>Dopacupu</t>
  </si>
  <si>
    <t>P487P455</t>
  </si>
  <si>
    <t>Loveredila</t>
  </si>
  <si>
    <t>H367P297</t>
  </si>
  <si>
    <t>Nopumodago</t>
  </si>
  <si>
    <t>H647P375</t>
  </si>
  <si>
    <t>Pufupagu</t>
  </si>
  <si>
    <t>P191H736</t>
  </si>
  <si>
    <t>Metavafigu</t>
  </si>
  <si>
    <t>P986P343</t>
  </si>
  <si>
    <t>Gicata</t>
  </si>
  <si>
    <t>H826H549</t>
  </si>
  <si>
    <t>Nupopeca</t>
  </si>
  <si>
    <t>P686H757</t>
  </si>
  <si>
    <t>Gapapi</t>
  </si>
  <si>
    <t>H276H225</t>
  </si>
  <si>
    <t>Gideporedi</t>
  </si>
  <si>
    <t>H657P843</t>
  </si>
  <si>
    <t>Dimuvime</t>
  </si>
  <si>
    <t>H596P577</t>
  </si>
  <si>
    <t>Maveco</t>
  </si>
  <si>
    <t>P675H175</t>
  </si>
  <si>
    <t>Foricu</t>
  </si>
  <si>
    <t>P522H927</t>
  </si>
  <si>
    <t>Vapopuvata</t>
  </si>
  <si>
    <t>H842P289</t>
  </si>
  <si>
    <t>Reropovota</t>
  </si>
  <si>
    <t>P499H897</t>
  </si>
  <si>
    <t>Pupadeto</t>
  </si>
  <si>
    <t>P451P636</t>
  </si>
  <si>
    <t>Cefamo</t>
  </si>
  <si>
    <t>P294P578</t>
  </si>
  <si>
    <t>Pogatire</t>
  </si>
  <si>
    <t>H888H688</t>
  </si>
  <si>
    <t>Tucutapofi</t>
  </si>
  <si>
    <t>P848P999</t>
  </si>
  <si>
    <t>Racipo</t>
  </si>
  <si>
    <t>P351P519</t>
  </si>
  <si>
    <t>Fopupugafe</t>
  </si>
  <si>
    <t>P869H236</t>
  </si>
  <si>
    <t>Mulamigadi</t>
  </si>
  <si>
    <t>P375P778</t>
  </si>
  <si>
    <t>Pofome</t>
  </si>
  <si>
    <t>H483P515</t>
  </si>
  <si>
    <t>Rurapirefu</t>
  </si>
  <si>
    <t>P635P142</t>
  </si>
  <si>
    <t>Raveti</t>
  </si>
  <si>
    <t>H521H414</t>
  </si>
  <si>
    <t>Vopuginotu</t>
  </si>
  <si>
    <t>P794P667</t>
  </si>
  <si>
    <t>Malora</t>
  </si>
  <si>
    <t>P265H389</t>
  </si>
  <si>
    <t>Givicu</t>
  </si>
  <si>
    <t>H461H642</t>
  </si>
  <si>
    <t>Gapocidedi</t>
  </si>
  <si>
    <t>H125P715</t>
  </si>
  <si>
    <t>Turanaciti</t>
  </si>
  <si>
    <t>H745P341</t>
  </si>
  <si>
    <t>Repupedoce</t>
  </si>
  <si>
    <t>H136P618</t>
  </si>
  <si>
    <t>Garefipofa</t>
  </si>
  <si>
    <t>H331H451</t>
  </si>
  <si>
    <t>Dipapipige</t>
  </si>
  <si>
    <t>P546H495</t>
  </si>
  <si>
    <t>Todolirava</t>
  </si>
  <si>
    <t>P597P595</t>
  </si>
  <si>
    <t>Domurupeno</t>
  </si>
  <si>
    <t>P252H874</t>
  </si>
  <si>
    <t>Topodi</t>
  </si>
  <si>
    <t>H698H446</t>
  </si>
  <si>
    <t>Gitoliveri</t>
  </si>
  <si>
    <t>H494H688</t>
  </si>
  <si>
    <t>Refatoru</t>
  </si>
  <si>
    <t>H728P923</t>
  </si>
  <si>
    <t>Popamevoro</t>
  </si>
  <si>
    <t>H481H562</t>
  </si>
  <si>
    <t>Loranativi</t>
  </si>
  <si>
    <t>H652H361</t>
  </si>
  <si>
    <t>Tamavuvu</t>
  </si>
  <si>
    <t>P169H986</t>
  </si>
  <si>
    <t>Fevupenire</t>
  </si>
  <si>
    <t>P252P825</t>
  </si>
  <si>
    <t>Fumefo</t>
  </si>
  <si>
    <t>P335P782</t>
  </si>
  <si>
    <t>Cuneru</t>
  </si>
  <si>
    <t>H856P352</t>
  </si>
  <si>
    <t>Tulapori</t>
  </si>
  <si>
    <t>P512P698</t>
  </si>
  <si>
    <t>Rerate</t>
  </si>
  <si>
    <t>P393H175</t>
  </si>
  <si>
    <t>Lopereva</t>
  </si>
  <si>
    <t>P966P564</t>
  </si>
  <si>
    <t>Taputeta</t>
  </si>
  <si>
    <t>H184H544</t>
  </si>
  <si>
    <t>Pomeretuge</t>
  </si>
  <si>
    <t>H941H694</t>
  </si>
  <si>
    <t>Rutipi</t>
  </si>
  <si>
    <t>H628H996</t>
  </si>
  <si>
    <t>Piruraciro</t>
  </si>
  <si>
    <t>P866P597</t>
  </si>
  <si>
    <t>Nolocepeno</t>
  </si>
  <si>
    <t>H982P798</t>
  </si>
  <si>
    <t>Larepe</t>
  </si>
  <si>
    <t>H233P314</t>
  </si>
  <si>
    <t>Peropifane</t>
  </si>
  <si>
    <t>H786P844</t>
  </si>
  <si>
    <t>Delulo</t>
  </si>
  <si>
    <t>H443H384</t>
  </si>
  <si>
    <t>Refadu</t>
  </si>
  <si>
    <t>H331P566</t>
  </si>
  <si>
    <t>Pometo</t>
  </si>
  <si>
    <t>H329P744</t>
  </si>
  <si>
    <t>Tutodigeca</t>
  </si>
  <si>
    <t>P942H837</t>
  </si>
  <si>
    <t>Pimacecavu</t>
  </si>
  <si>
    <t>P916H475</t>
  </si>
  <si>
    <t>Lipoco</t>
  </si>
  <si>
    <t>P167P678</t>
  </si>
  <si>
    <t>Deregugu</t>
  </si>
  <si>
    <t>P971H945</t>
  </si>
  <si>
    <t>Tepafodugo</t>
  </si>
  <si>
    <t>H738H283</t>
  </si>
  <si>
    <t>Pafigagu</t>
  </si>
  <si>
    <t>H789P185</t>
  </si>
  <si>
    <t>Fivoni</t>
  </si>
  <si>
    <t>P297P848</t>
  </si>
  <si>
    <t>Pogamepepu</t>
  </si>
  <si>
    <t>H274P191</t>
  </si>
  <si>
    <t>Rorute</t>
  </si>
  <si>
    <t>H876P881</t>
  </si>
  <si>
    <t>Gipecopa</t>
  </si>
  <si>
    <t>P557H578</t>
  </si>
  <si>
    <t>Namirolacu</t>
  </si>
  <si>
    <t>P445P823</t>
  </si>
  <si>
    <t>Tatetociru</t>
  </si>
  <si>
    <t>P932H347</t>
  </si>
  <si>
    <t>Pitetu</t>
  </si>
  <si>
    <t>P321H318</t>
  </si>
  <si>
    <t>Tuloparumu</t>
  </si>
  <si>
    <t>P478P963</t>
  </si>
  <si>
    <t>Larofama</t>
  </si>
  <si>
    <t>H996P989</t>
  </si>
  <si>
    <t>Tupanomipo</t>
  </si>
  <si>
    <t>H455H471</t>
  </si>
  <si>
    <t>Vupolevecu</t>
  </si>
  <si>
    <t>P552P143</t>
  </si>
  <si>
    <t>Torevoceco</t>
  </si>
  <si>
    <t>H896H295</t>
  </si>
  <si>
    <t>Potopi</t>
  </si>
  <si>
    <t>P483P793</t>
  </si>
  <si>
    <t>Garigove</t>
  </si>
  <si>
    <t>P386P897</t>
  </si>
  <si>
    <t>Toticigari</t>
  </si>
  <si>
    <t>H384P293</t>
  </si>
  <si>
    <t>Cafipevu</t>
  </si>
  <si>
    <t>H186P661</t>
  </si>
  <si>
    <t>Dimulativi</t>
  </si>
  <si>
    <t>P666P833</t>
  </si>
  <si>
    <t>Corivu</t>
  </si>
  <si>
    <t>P269H142</t>
  </si>
  <si>
    <t>Pumetu</t>
  </si>
  <si>
    <t>P797H316</t>
  </si>
  <si>
    <t>Tefipulo</t>
  </si>
  <si>
    <t>H662H252</t>
  </si>
  <si>
    <t>Vucipu</t>
  </si>
  <si>
    <t>H554H738</t>
  </si>
  <si>
    <t>Defuro</t>
  </si>
  <si>
    <t>H753H968</t>
  </si>
  <si>
    <t>Fanulofapu</t>
  </si>
  <si>
    <t>H665H688</t>
  </si>
  <si>
    <t>Vapede</t>
  </si>
  <si>
    <t>P519H985</t>
  </si>
  <si>
    <t>Geracegilu</t>
  </si>
  <si>
    <t>H925P723</t>
  </si>
  <si>
    <t>Cofope</t>
  </si>
  <si>
    <t>H836P281</t>
  </si>
  <si>
    <t>Metaganacu</t>
  </si>
  <si>
    <t>H627H271</t>
  </si>
  <si>
    <t>Tigudopuge</t>
  </si>
  <si>
    <t>H977H547</t>
  </si>
  <si>
    <t>Rititogo</t>
  </si>
  <si>
    <t>P944H434</t>
  </si>
  <si>
    <t>Porupelipe</t>
  </si>
  <si>
    <t>H248H538</t>
  </si>
  <si>
    <t>Nirefe</t>
  </si>
  <si>
    <t>H625P674</t>
  </si>
  <si>
    <t>Rigire</t>
  </si>
  <si>
    <t>P587H231</t>
  </si>
  <si>
    <t>Nudipi</t>
  </si>
  <si>
    <t>P226P565</t>
  </si>
  <si>
    <t>Pinuvufigu</t>
  </si>
  <si>
    <t>H885H929</t>
  </si>
  <si>
    <t>Vavara</t>
  </si>
  <si>
    <t>H645H619</t>
  </si>
  <si>
    <t>Turevi</t>
  </si>
  <si>
    <t>H333P673</t>
  </si>
  <si>
    <t>Conuvito</t>
  </si>
  <si>
    <t>P664P639</t>
  </si>
  <si>
    <t>Mupovara</t>
  </si>
  <si>
    <t>H659H495</t>
  </si>
  <si>
    <t>Falumavu</t>
  </si>
  <si>
    <t>H653P541</t>
  </si>
  <si>
    <t>Pefefe</t>
  </si>
  <si>
    <t>P727H979</t>
  </si>
  <si>
    <t>Pupelopipa</t>
  </si>
  <si>
    <t>H228P446</t>
  </si>
  <si>
    <t>Nopono</t>
  </si>
  <si>
    <t>H835P991</t>
  </si>
  <si>
    <t>Viputopopu</t>
  </si>
  <si>
    <t>H415H252</t>
  </si>
  <si>
    <t>Tivopopo</t>
  </si>
  <si>
    <t>P727P385</t>
  </si>
  <si>
    <t>Cicelo</t>
  </si>
  <si>
    <t>P485P512</t>
  </si>
  <si>
    <t>Fupiri</t>
  </si>
  <si>
    <t>P742P641</t>
  </si>
  <si>
    <t>Ruruli</t>
  </si>
  <si>
    <t>H118H353</t>
  </si>
  <si>
    <t>Nimomopape</t>
  </si>
  <si>
    <t>P489H694</t>
  </si>
  <si>
    <t>Ritamodoru</t>
  </si>
  <si>
    <t>P425P391</t>
  </si>
  <si>
    <t>Tapomu</t>
  </si>
  <si>
    <t>H656H135</t>
  </si>
  <si>
    <t>Tatovuvema</t>
  </si>
  <si>
    <t>H649H587</t>
  </si>
  <si>
    <t>Lopiroro</t>
  </si>
  <si>
    <t>H727P522</t>
  </si>
  <si>
    <t>Furagi</t>
  </si>
  <si>
    <t>H672P749</t>
  </si>
  <si>
    <t>Ridamipoca</t>
  </si>
  <si>
    <t>H555P437</t>
  </si>
  <si>
    <t>Diporare</t>
  </si>
  <si>
    <t>P494H522</t>
  </si>
  <si>
    <t>Laguta</t>
  </si>
  <si>
    <t>P486P153</t>
  </si>
  <si>
    <t>Mopapilovo</t>
  </si>
  <si>
    <t>P688P189</t>
  </si>
  <si>
    <t>Potulopu</t>
  </si>
  <si>
    <t>P888P791</t>
  </si>
  <si>
    <t>Nopunemopi</t>
  </si>
  <si>
    <t>H177P482</t>
  </si>
  <si>
    <t>Nuvumuli</t>
  </si>
  <si>
    <t>P919H177</t>
  </si>
  <si>
    <t>Tenecu</t>
  </si>
  <si>
    <t>H563P651</t>
  </si>
  <si>
    <t>Todarito</t>
  </si>
  <si>
    <t>P865P645</t>
  </si>
  <si>
    <t>Feleforu</t>
  </si>
  <si>
    <t>H749P458</t>
  </si>
  <si>
    <t>Pogupamopu</t>
  </si>
  <si>
    <t>P546H313</t>
  </si>
  <si>
    <t>Tagetenafu</t>
  </si>
  <si>
    <t>H774H478</t>
  </si>
  <si>
    <t>Mipame</t>
  </si>
  <si>
    <t>P845P187</t>
  </si>
  <si>
    <t>Tulapi</t>
  </si>
  <si>
    <t>P813H364</t>
  </si>
  <si>
    <t>Movufi</t>
  </si>
  <si>
    <t>P765H125</t>
  </si>
  <si>
    <t>Pacitepa</t>
  </si>
  <si>
    <t>H361H588</t>
  </si>
  <si>
    <t>Filefa</t>
  </si>
  <si>
    <t>H985P685</t>
  </si>
  <si>
    <t>Ginuvumofi</t>
  </si>
  <si>
    <t>H912H128</t>
  </si>
  <si>
    <t>Vapotidu</t>
  </si>
  <si>
    <t>H454H735</t>
  </si>
  <si>
    <t>Toluvavima</t>
  </si>
  <si>
    <t>P142H222</t>
  </si>
  <si>
    <t>Nilumi</t>
  </si>
  <si>
    <t>H274H188</t>
  </si>
  <si>
    <t>Gofipepive</t>
  </si>
  <si>
    <t>P119H836</t>
  </si>
  <si>
    <t>Tonulofuro</t>
  </si>
  <si>
    <t>H892H167</t>
  </si>
  <si>
    <t>Denapinu</t>
  </si>
  <si>
    <t>H397H472</t>
  </si>
  <si>
    <t>Vitigilifi</t>
  </si>
  <si>
    <t>P181H631</t>
  </si>
  <si>
    <t>Topoli</t>
  </si>
  <si>
    <t>P923P739</t>
  </si>
  <si>
    <t>Vupati</t>
  </si>
  <si>
    <t>P457P333</t>
  </si>
  <si>
    <t>Vuvarorera</t>
  </si>
  <si>
    <t>P364P669</t>
  </si>
  <si>
    <t>Letevi</t>
  </si>
  <si>
    <t>H812H145</t>
  </si>
  <si>
    <t>Peponipo</t>
  </si>
  <si>
    <t>H936P939</t>
  </si>
  <si>
    <t>Rafeta</t>
  </si>
  <si>
    <t>P132P319</t>
  </si>
  <si>
    <t>Neropefiti</t>
  </si>
  <si>
    <t>H812P545</t>
  </si>
  <si>
    <t>Vedupunaru</t>
  </si>
  <si>
    <t>H888H535</t>
  </si>
  <si>
    <t>Fucocenuvo</t>
  </si>
  <si>
    <t>H616P493</t>
  </si>
  <si>
    <t>Pidurife</t>
  </si>
  <si>
    <t>P381H549</t>
  </si>
  <si>
    <t>Pitolupu</t>
  </si>
  <si>
    <t>H533P362</t>
  </si>
  <si>
    <t>Timeru</t>
  </si>
  <si>
    <t>H883P899</t>
  </si>
  <si>
    <t>Pepali</t>
  </si>
  <si>
    <t>H895P569</t>
  </si>
  <si>
    <t>Fecuvu</t>
  </si>
  <si>
    <t>P818H941</t>
  </si>
  <si>
    <t>Gutucipo</t>
  </si>
  <si>
    <t>H547P311</t>
  </si>
  <si>
    <t>Tanepa</t>
  </si>
  <si>
    <t>P232P432</t>
  </si>
  <si>
    <t>Cavapodeni</t>
  </si>
  <si>
    <t>P658P868</t>
  </si>
  <si>
    <t>Nupucu</t>
  </si>
  <si>
    <t>P654H368</t>
  </si>
  <si>
    <t>Gecopepige</t>
  </si>
  <si>
    <t>H229H785</t>
  </si>
  <si>
    <t>Torace</t>
  </si>
  <si>
    <t>H579P381</t>
  </si>
  <si>
    <t>Mefatare</t>
  </si>
  <si>
    <t>P913P669</t>
  </si>
  <si>
    <t>Cepogevado</t>
  </si>
  <si>
    <t>P372H953</t>
  </si>
  <si>
    <t>Retafurufu</t>
  </si>
  <si>
    <t>H275P682</t>
  </si>
  <si>
    <t>Votici</t>
  </si>
  <si>
    <t>P845H428</t>
  </si>
  <si>
    <t>Moroceci</t>
  </si>
  <si>
    <t>P821H454</t>
  </si>
  <si>
    <t>Mutaropa</t>
  </si>
  <si>
    <t>H753H743</t>
  </si>
  <si>
    <t>Dopapunu</t>
  </si>
  <si>
    <t>H952P575</t>
  </si>
  <si>
    <t>Ritepacedo</t>
  </si>
  <si>
    <t>H136P165</t>
  </si>
  <si>
    <t>Petopo</t>
  </si>
  <si>
    <t>H181H773</t>
  </si>
  <si>
    <t>Nugiti</t>
  </si>
  <si>
    <t>P845P627</t>
  </si>
  <si>
    <t>Gelilolo</t>
  </si>
  <si>
    <t>H212H328</t>
  </si>
  <si>
    <t>Gopororuco</t>
  </si>
  <si>
    <t>H879P718</t>
  </si>
  <si>
    <t>Repugo</t>
  </si>
  <si>
    <t>H412P682</t>
  </si>
  <si>
    <t>Tudore</t>
  </si>
  <si>
    <t>P267H259</t>
  </si>
  <si>
    <t>Rugira</t>
  </si>
  <si>
    <t>H469P267</t>
  </si>
  <si>
    <t>Cifudupo</t>
  </si>
  <si>
    <t>P731H916</t>
  </si>
  <si>
    <t>Lapoveco</t>
  </si>
  <si>
    <t>H133H434</t>
  </si>
  <si>
    <t>Popela</t>
  </si>
  <si>
    <t>H366H864</t>
  </si>
  <si>
    <t>Voturapi</t>
  </si>
  <si>
    <t>H653H173</t>
  </si>
  <si>
    <t>Cenirago</t>
  </si>
  <si>
    <t>H863P553</t>
  </si>
  <si>
    <t>Cipipo</t>
  </si>
  <si>
    <t>P871P913</t>
  </si>
  <si>
    <t>Pigupipeta</t>
  </si>
  <si>
    <t>P518P274</t>
  </si>
  <si>
    <t>Comecope</t>
  </si>
  <si>
    <t>P551H135</t>
  </si>
  <si>
    <t>Natutupige</t>
  </si>
  <si>
    <t>P449P777</t>
  </si>
  <si>
    <t>Patoto</t>
  </si>
  <si>
    <t>P851P885</t>
  </si>
  <si>
    <t>Taviri</t>
  </si>
  <si>
    <t>P299P916</t>
  </si>
  <si>
    <t>Nepira</t>
  </si>
  <si>
    <t>H887P957</t>
  </si>
  <si>
    <t>Litenele</t>
  </si>
  <si>
    <t>P386H897</t>
  </si>
  <si>
    <t>Fipacu</t>
  </si>
  <si>
    <t>H866P457</t>
  </si>
  <si>
    <t>Rupepale</t>
  </si>
  <si>
    <t>P561H778</t>
  </si>
  <si>
    <t>Vopogi</t>
  </si>
  <si>
    <t>H488P917</t>
  </si>
  <si>
    <t>Marate</t>
  </si>
  <si>
    <t>H592P846</t>
  </si>
  <si>
    <t>Pirapige</t>
  </si>
  <si>
    <t>H582H889</t>
  </si>
  <si>
    <t>Gupilu</t>
  </si>
  <si>
    <t>H543H627</t>
  </si>
  <si>
    <t>Dimitire</t>
  </si>
  <si>
    <t>H241P754</t>
  </si>
  <si>
    <t>Maluri</t>
  </si>
  <si>
    <t>H354H132</t>
  </si>
  <si>
    <t>Pegale</t>
  </si>
  <si>
    <t>H287P893</t>
  </si>
  <si>
    <t>Renuce</t>
  </si>
  <si>
    <t>H482H713</t>
  </si>
  <si>
    <t>Pumurepa</t>
  </si>
  <si>
    <t>P213P376</t>
  </si>
  <si>
    <t>Ripatopu</t>
  </si>
  <si>
    <t>P632P728</t>
  </si>
  <si>
    <t>Lapepatori</t>
  </si>
  <si>
    <t>H726H958</t>
  </si>
  <si>
    <t>Lacepi</t>
  </si>
  <si>
    <t>P427P659</t>
  </si>
  <si>
    <t>Pomeponivu</t>
  </si>
  <si>
    <t>P534P493</t>
  </si>
  <si>
    <t>Malecotu</t>
  </si>
  <si>
    <t>H155H148</t>
  </si>
  <si>
    <t>Nufiledu</t>
  </si>
  <si>
    <t>H421H252</t>
  </si>
  <si>
    <t>Mufape</t>
  </si>
  <si>
    <t>H942P584</t>
  </si>
  <si>
    <t>Popune</t>
  </si>
  <si>
    <t>H394P168</t>
  </si>
  <si>
    <t>Tufupote</t>
  </si>
  <si>
    <t>P483P726</t>
  </si>
  <si>
    <t>Ratopada</t>
  </si>
  <si>
    <t>P329H621</t>
  </si>
  <si>
    <t>Mafuro</t>
  </si>
  <si>
    <t>P816H612</t>
  </si>
  <si>
    <t>Pufimimo</t>
  </si>
  <si>
    <t>H186P944</t>
  </si>
  <si>
    <t>Fucogota</t>
  </si>
  <si>
    <t>H279P172</t>
  </si>
  <si>
    <t>Canura</t>
  </si>
  <si>
    <t>H591H639</t>
  </si>
  <si>
    <t>Fivufafu</t>
  </si>
  <si>
    <t>P131P229</t>
  </si>
  <si>
    <t>Vineputu</t>
  </si>
  <si>
    <t>P233P365</t>
  </si>
  <si>
    <t>Derufu</t>
  </si>
  <si>
    <t>H689P722</t>
  </si>
  <si>
    <t>Torumavoce</t>
  </si>
  <si>
    <t>H838H419</t>
  </si>
  <si>
    <t>Rarirepipo</t>
  </si>
  <si>
    <t>P176P323</t>
  </si>
  <si>
    <t>Povagora</t>
  </si>
  <si>
    <t>H217P263</t>
  </si>
  <si>
    <t>Peruface</t>
  </si>
  <si>
    <t>P121H423</t>
  </si>
  <si>
    <t>Fipigi</t>
  </si>
  <si>
    <t>P949H871</t>
  </si>
  <si>
    <t>Ritopufe</t>
  </si>
  <si>
    <t>P983H627</t>
  </si>
  <si>
    <t>Verugoto</t>
  </si>
  <si>
    <t>H946P642</t>
  </si>
  <si>
    <t>Vegomepu</t>
  </si>
  <si>
    <t>P127H823</t>
  </si>
  <si>
    <t>Raciremi</t>
  </si>
  <si>
    <t>P516P836</t>
  </si>
  <si>
    <t>Rarudacu</t>
  </si>
  <si>
    <t>P569H286</t>
  </si>
  <si>
    <t>Tipipe</t>
  </si>
  <si>
    <t>P535H895</t>
  </si>
  <si>
    <t>Vigopurutu</t>
  </si>
  <si>
    <t>H776P365</t>
  </si>
  <si>
    <t>Vanipe</t>
  </si>
  <si>
    <t>P893P147</t>
  </si>
  <si>
    <t>Dolere</t>
  </si>
  <si>
    <t>H578H215</t>
  </si>
  <si>
    <t>Nuvino</t>
  </si>
  <si>
    <t>P285P231</t>
  </si>
  <si>
    <t>Gamuvuro</t>
  </si>
  <si>
    <t>P514H711</t>
  </si>
  <si>
    <t>Mepuramale</t>
  </si>
  <si>
    <t>P294H125</t>
  </si>
  <si>
    <t>Gacugo</t>
  </si>
  <si>
    <t>H689H642</t>
  </si>
  <si>
    <t>Tavede</t>
  </si>
  <si>
    <t>H846P751</t>
  </si>
  <si>
    <t>Vuroceloru</t>
  </si>
  <si>
    <t>H446P691</t>
  </si>
  <si>
    <t>Vuropi</t>
  </si>
  <si>
    <t>H241P728</t>
  </si>
  <si>
    <t>Garape</t>
  </si>
  <si>
    <t>H117P311</t>
  </si>
  <si>
    <t>Miramunu</t>
  </si>
  <si>
    <t>H911H317</t>
  </si>
  <si>
    <t>Corupucaru</t>
  </si>
  <si>
    <t>P797P377</t>
  </si>
  <si>
    <t>Padipo</t>
  </si>
  <si>
    <t>H131P267</t>
  </si>
  <si>
    <t>Votevago</t>
  </si>
  <si>
    <t>H314P492</t>
  </si>
  <si>
    <t>Ridodi</t>
  </si>
  <si>
    <t>H771H734</t>
  </si>
  <si>
    <t>Metavi</t>
  </si>
  <si>
    <t>P599H516</t>
  </si>
  <si>
    <t>Doderirani</t>
  </si>
  <si>
    <t>P691P154</t>
  </si>
  <si>
    <t>Pogodiru</t>
  </si>
  <si>
    <t>P886H581</t>
  </si>
  <si>
    <t>Guparove</t>
  </si>
  <si>
    <t>P723H496</t>
  </si>
  <si>
    <t>Ragoratepo</t>
  </si>
  <si>
    <t>H246P898</t>
  </si>
  <si>
    <t>Dolelepo</t>
  </si>
  <si>
    <t>H158P516</t>
  </si>
  <si>
    <t>Dotate</t>
  </si>
  <si>
    <t>P196P971</t>
  </si>
  <si>
    <t>Pucemeri</t>
  </si>
  <si>
    <t>P628P437</t>
  </si>
  <si>
    <t>Datotupume</t>
  </si>
  <si>
    <t>P385P169</t>
  </si>
  <si>
    <t>Podumo</t>
  </si>
  <si>
    <t>H713H422</t>
  </si>
  <si>
    <t>Gilitimepe</t>
  </si>
  <si>
    <t>P384H318</t>
  </si>
  <si>
    <t>Palicu</t>
  </si>
  <si>
    <t>H885H563</t>
  </si>
  <si>
    <t>Nerunatace</t>
  </si>
  <si>
    <t>P752H842</t>
  </si>
  <si>
    <t>Temica</t>
  </si>
  <si>
    <t>P546H542</t>
  </si>
  <si>
    <t>Farucumo</t>
  </si>
  <si>
    <t>P183P283</t>
  </si>
  <si>
    <t>Tudocoruta</t>
  </si>
  <si>
    <t>H411P767</t>
  </si>
  <si>
    <t>Topupefi</t>
  </si>
  <si>
    <t>H535P629</t>
  </si>
  <si>
    <t>Pitiloga</t>
  </si>
  <si>
    <t>H591H641</t>
  </si>
  <si>
    <t>Rupuvepipo</t>
  </si>
  <si>
    <t>P726H898</t>
  </si>
  <si>
    <t>Tetopatotu</t>
  </si>
  <si>
    <t>P565P443</t>
  </si>
  <si>
    <t>Roretanupe</t>
  </si>
  <si>
    <t>P799H443</t>
  </si>
  <si>
    <t>Rirapimapi</t>
  </si>
  <si>
    <t>P463H252</t>
  </si>
  <si>
    <t>Runulagipu</t>
  </si>
  <si>
    <t>P456P861</t>
  </si>
  <si>
    <t>Gupeminu</t>
  </si>
  <si>
    <t>H486H632</t>
  </si>
  <si>
    <t>Puritapo</t>
  </si>
  <si>
    <t>P147H657</t>
  </si>
  <si>
    <t>Nudido</t>
  </si>
  <si>
    <t>H575P788</t>
  </si>
  <si>
    <t>Fulapu</t>
  </si>
  <si>
    <t>H978P212</t>
  </si>
  <si>
    <t>Rigupetede</t>
  </si>
  <si>
    <t>H575P349</t>
  </si>
  <si>
    <t>Rurunetu</t>
  </si>
  <si>
    <t>H826H173</t>
  </si>
  <si>
    <t>Lapigonidi</t>
  </si>
  <si>
    <t>P965H281</t>
  </si>
  <si>
    <t>Mavodofa</t>
  </si>
  <si>
    <t>H456H882</t>
  </si>
  <si>
    <t>Capapi</t>
  </si>
  <si>
    <t>H936P814</t>
  </si>
  <si>
    <t>Dopetupo</t>
  </si>
  <si>
    <t>H342P996</t>
  </si>
  <si>
    <t>Vigipepave</t>
  </si>
  <si>
    <t>P185H769</t>
  </si>
  <si>
    <t>Ramupeca</t>
  </si>
  <si>
    <t>P847H232</t>
  </si>
  <si>
    <t>Fidefutumo</t>
  </si>
  <si>
    <t>P178H222</t>
  </si>
  <si>
    <t>Dupovura</t>
  </si>
  <si>
    <t>H188H328</t>
  </si>
  <si>
    <t>Tumedinu</t>
  </si>
  <si>
    <t>H627P294</t>
  </si>
  <si>
    <t>Ravitomopi</t>
  </si>
  <si>
    <t>H624H612</t>
  </si>
  <si>
    <t>Tufama</t>
  </si>
  <si>
    <t>P483P875</t>
  </si>
  <si>
    <t>Totiranepi</t>
  </si>
  <si>
    <t>P893P848</t>
  </si>
  <si>
    <t>Tafonicetu</t>
  </si>
  <si>
    <t>H848H735</t>
  </si>
  <si>
    <t>Tapavucome</t>
  </si>
  <si>
    <t>P182P543</t>
  </si>
  <si>
    <t>Rutepurefo</t>
  </si>
  <si>
    <t>P531H634</t>
  </si>
  <si>
    <t>Lopirapepa</t>
  </si>
  <si>
    <t>P111P428</t>
  </si>
  <si>
    <t>Giregope</t>
  </si>
  <si>
    <t>H466H446</t>
  </si>
  <si>
    <t>Rodope</t>
  </si>
  <si>
    <t>H245P338</t>
  </si>
  <si>
    <t>Gucupidu</t>
  </si>
  <si>
    <t>H918H278</t>
  </si>
  <si>
    <t>Relodudira</t>
  </si>
  <si>
    <t>P215H928</t>
  </si>
  <si>
    <t>Gipidope</t>
  </si>
  <si>
    <t>H641P882</t>
  </si>
  <si>
    <t>Gedatoviri</t>
  </si>
  <si>
    <t>H566H376</t>
  </si>
  <si>
    <t>Caveva</t>
  </si>
  <si>
    <t>H165H999</t>
  </si>
  <si>
    <t>Cigipecu</t>
  </si>
  <si>
    <t>H547H165</t>
  </si>
  <si>
    <t>Dupodopu</t>
  </si>
  <si>
    <t>H644P723</t>
  </si>
  <si>
    <t>Depuracavu</t>
  </si>
  <si>
    <t>H413H844</t>
  </si>
  <si>
    <t>Refepanero</t>
  </si>
  <si>
    <t>H716P375</t>
  </si>
  <si>
    <t>Nopateto</t>
  </si>
  <si>
    <t>H265P127</t>
  </si>
  <si>
    <t>Puperafova</t>
  </si>
  <si>
    <t>H765H348</t>
  </si>
  <si>
    <t>Topogore</t>
  </si>
  <si>
    <t>H886H882</t>
  </si>
  <si>
    <t>Demapi</t>
  </si>
  <si>
    <t>P914H298</t>
  </si>
  <si>
    <t>Miponapapu</t>
  </si>
  <si>
    <t>P815P977</t>
  </si>
  <si>
    <t>Goputati</t>
  </si>
  <si>
    <t>H421H937</t>
  </si>
  <si>
    <t>Cadimute</t>
  </si>
  <si>
    <t>H182H856</t>
  </si>
  <si>
    <t>Faropo</t>
  </si>
  <si>
    <t>P227H249</t>
  </si>
  <si>
    <t>Riliri</t>
  </si>
  <si>
    <t>H819P213</t>
  </si>
  <si>
    <t>Gevimugepe</t>
  </si>
  <si>
    <t>P139P598</t>
  </si>
  <si>
    <t>Pifonomegi</t>
  </si>
  <si>
    <t>H975P179</t>
  </si>
  <si>
    <t>Felaceno</t>
  </si>
  <si>
    <t>H366P418</t>
  </si>
  <si>
    <t>Mupopuva</t>
  </si>
  <si>
    <t>H943P482</t>
  </si>
  <si>
    <t>Mapidemo</t>
  </si>
  <si>
    <t>P363P381</t>
  </si>
  <si>
    <t>Dagaripi</t>
  </si>
  <si>
    <t>P112P542</t>
  </si>
  <si>
    <t>Ruguvi</t>
  </si>
  <si>
    <t>H592P347</t>
  </si>
  <si>
    <t>Pudeto</t>
  </si>
  <si>
    <t>H693P226</t>
  </si>
  <si>
    <t>Pitogucera</t>
  </si>
  <si>
    <t>P298P281</t>
  </si>
  <si>
    <t>Duvidu</t>
  </si>
  <si>
    <t>P475H211</t>
  </si>
  <si>
    <t>Tupupitu</t>
  </si>
  <si>
    <t>H754H737</t>
  </si>
  <si>
    <t>Neficera</t>
  </si>
  <si>
    <t>H713H948</t>
  </si>
  <si>
    <t>Togofo</t>
  </si>
  <si>
    <t>H149P651</t>
  </si>
  <si>
    <t>Tugepinice</t>
  </si>
  <si>
    <t>P993P922</t>
  </si>
  <si>
    <t>Matuvuve</t>
  </si>
  <si>
    <t>H869P952</t>
  </si>
  <si>
    <t>Cunofane</t>
  </si>
  <si>
    <t>H668H286</t>
  </si>
  <si>
    <t>Getopigi</t>
  </si>
  <si>
    <t>H264H836</t>
  </si>
  <si>
    <t>Parofo</t>
  </si>
  <si>
    <t>H769P359</t>
  </si>
  <si>
    <t>Tulovo</t>
  </si>
  <si>
    <t>H473P477</t>
  </si>
  <si>
    <t>Tunuca</t>
  </si>
  <si>
    <t>P418P963</t>
  </si>
  <si>
    <t>Fipilodero</t>
  </si>
  <si>
    <t>P373P771</t>
  </si>
  <si>
    <t>Polotovi</t>
  </si>
  <si>
    <t>H398H131</t>
  </si>
  <si>
    <t>Terunoru</t>
  </si>
  <si>
    <t>H662H736</t>
  </si>
  <si>
    <t>Vinilaceri</t>
  </si>
  <si>
    <t>H333P992</t>
  </si>
  <si>
    <t>Renada</t>
  </si>
  <si>
    <t>H613H354</t>
  </si>
  <si>
    <t>Tatepoti</t>
  </si>
  <si>
    <t>P583P428</t>
  </si>
  <si>
    <t>Refema</t>
  </si>
  <si>
    <t>P175P643</t>
  </si>
  <si>
    <t>Pacepupi</t>
  </si>
  <si>
    <t>P971P246</t>
  </si>
  <si>
    <t>Dopemedero</t>
  </si>
  <si>
    <t>P933H836</t>
  </si>
  <si>
    <t>Gefevofe</t>
  </si>
  <si>
    <t>P721H182</t>
  </si>
  <si>
    <t>Cefoticepo</t>
  </si>
  <si>
    <t>P118H787</t>
  </si>
  <si>
    <t>Picimipive</t>
  </si>
  <si>
    <t>P428P424</t>
  </si>
  <si>
    <t>Relutepe</t>
  </si>
  <si>
    <t>P667H449</t>
  </si>
  <si>
    <t>Totopo</t>
  </si>
  <si>
    <t>H725P374</t>
  </si>
  <si>
    <t>Navagapope</t>
  </si>
  <si>
    <t>P541H983</t>
  </si>
  <si>
    <t>Panovova</t>
  </si>
  <si>
    <t>H741P342</t>
  </si>
  <si>
    <t>Vonoci</t>
  </si>
  <si>
    <t>H531H724</t>
  </si>
  <si>
    <t>Lunilovu</t>
  </si>
  <si>
    <t>P778H189</t>
  </si>
  <si>
    <t>Tagutadi</t>
  </si>
  <si>
    <t>H749H519</t>
  </si>
  <si>
    <t>Vutuve</t>
  </si>
  <si>
    <t>P847P285</t>
  </si>
  <si>
    <t>Pemaripote</t>
  </si>
  <si>
    <t>H267P451</t>
  </si>
  <si>
    <t>Vuceto</t>
  </si>
  <si>
    <t>P594P578</t>
  </si>
  <si>
    <t>Cotori</t>
  </si>
  <si>
    <t>H536P195</t>
  </si>
  <si>
    <t>Titavavo</t>
  </si>
  <si>
    <t>P463P624</t>
  </si>
  <si>
    <t>Tocetanane</t>
  </si>
  <si>
    <t>P777H474</t>
  </si>
  <si>
    <t>Niretitefa</t>
  </si>
  <si>
    <t>H978P411</t>
  </si>
  <si>
    <t>Cucipanapi</t>
  </si>
  <si>
    <t>H378H136</t>
  </si>
  <si>
    <t>Pinudoci</t>
  </si>
  <si>
    <t>P454P589</t>
  </si>
  <si>
    <t>Rofiludimo</t>
  </si>
  <si>
    <t>P869H991</t>
  </si>
  <si>
    <t>Refopu</t>
  </si>
  <si>
    <t>P614H282</t>
  </si>
  <si>
    <t>Poreve</t>
  </si>
  <si>
    <t>H885P635</t>
  </si>
  <si>
    <t>Caripate</t>
  </si>
  <si>
    <t>H715H369</t>
  </si>
  <si>
    <t>Dopofuginu</t>
  </si>
  <si>
    <t>H128P723</t>
  </si>
  <si>
    <t>Pifipo</t>
  </si>
  <si>
    <t>P525P286</t>
  </si>
  <si>
    <t>Ririnape</t>
  </si>
  <si>
    <t>P228H944</t>
  </si>
  <si>
    <t>Pacovogacu</t>
  </si>
  <si>
    <t>P182H935</t>
  </si>
  <si>
    <t>Porarilume</t>
  </si>
  <si>
    <t>P162P898</t>
  </si>
  <si>
    <t>Tipeco</t>
  </si>
  <si>
    <t>P347P258</t>
  </si>
  <si>
    <t>Mipopime</t>
  </si>
  <si>
    <t>P627H464</t>
  </si>
  <si>
    <t>Nifadelupi</t>
  </si>
  <si>
    <t>H788H339</t>
  </si>
  <si>
    <t>Pilipopepa</t>
  </si>
  <si>
    <t>H364H561</t>
  </si>
  <si>
    <t>Regedodidu</t>
  </si>
  <si>
    <t>H715H254</t>
  </si>
  <si>
    <t>Fatuponafa</t>
  </si>
  <si>
    <t>H979P574</t>
  </si>
  <si>
    <t>Cetaderari</t>
  </si>
  <si>
    <t>P651H985</t>
  </si>
  <si>
    <t>Virira</t>
  </si>
  <si>
    <t>H611H517</t>
  </si>
  <si>
    <t>Vodige</t>
  </si>
  <si>
    <t>P187H411</t>
  </si>
  <si>
    <t>Papuguvime</t>
  </si>
  <si>
    <t>P976P311</t>
  </si>
  <si>
    <t>Pirimo</t>
  </si>
  <si>
    <t>P545P259</t>
  </si>
  <si>
    <t>Loritita</t>
  </si>
  <si>
    <t>P649H182</t>
  </si>
  <si>
    <t>Ticamumo</t>
  </si>
  <si>
    <t>H989P224</t>
  </si>
  <si>
    <t>Pavare</t>
  </si>
  <si>
    <t>P578P924</t>
  </si>
  <si>
    <t>Vavofalapu</t>
  </si>
  <si>
    <t>P159H732</t>
  </si>
  <si>
    <t>Gonuma</t>
  </si>
  <si>
    <t>H489H297</t>
  </si>
  <si>
    <t>Cocepa</t>
  </si>
  <si>
    <t>H375P272</t>
  </si>
  <si>
    <t>Papocite</t>
  </si>
  <si>
    <t>H551H396</t>
  </si>
  <si>
    <t>Dipali</t>
  </si>
  <si>
    <t>H682H513</t>
  </si>
  <si>
    <t>Filave</t>
  </si>
  <si>
    <t>H694H512</t>
  </si>
  <si>
    <t>Dipige</t>
  </si>
  <si>
    <t>P153H512</t>
  </si>
  <si>
    <t>Tevata</t>
  </si>
  <si>
    <t>P897P248</t>
  </si>
  <si>
    <t>Pagepu</t>
  </si>
  <si>
    <t>P237H835</t>
  </si>
  <si>
    <t>Vifipi</t>
  </si>
  <si>
    <t>P231H762</t>
  </si>
  <si>
    <t>Tuvife</t>
  </si>
  <si>
    <t>H726H325</t>
  </si>
  <si>
    <t>Diteciname</t>
  </si>
  <si>
    <t>H292H233</t>
  </si>
  <si>
    <t>Padaripipa</t>
  </si>
  <si>
    <t>H517P622</t>
  </si>
  <si>
    <t>Napuferolo</t>
  </si>
  <si>
    <t>H711P875</t>
  </si>
  <si>
    <t>Pufipucute</t>
  </si>
  <si>
    <t>H514P451</t>
  </si>
  <si>
    <t>Pamatonepe</t>
  </si>
  <si>
    <t>H527P215</t>
  </si>
  <si>
    <t>Figugidi</t>
  </si>
  <si>
    <t>P212H834</t>
  </si>
  <si>
    <t>Vinivomeru</t>
  </si>
  <si>
    <t>P436P729</t>
  </si>
  <si>
    <t>Vitale</t>
  </si>
  <si>
    <t>H566H456</t>
  </si>
  <si>
    <t>Vepinipude</t>
  </si>
  <si>
    <t>P464H243</t>
  </si>
  <si>
    <t>Titagegi</t>
  </si>
  <si>
    <t>H567H939</t>
  </si>
  <si>
    <t>Virini</t>
  </si>
  <si>
    <t>P124H952</t>
  </si>
  <si>
    <t>Titote</t>
  </si>
  <si>
    <t>H279H277</t>
  </si>
  <si>
    <t>Pulupedidi</t>
  </si>
  <si>
    <t>P853H781</t>
  </si>
  <si>
    <t>Penadature</t>
  </si>
  <si>
    <t>P734P511</t>
  </si>
  <si>
    <t>Vetamomoce</t>
  </si>
  <si>
    <t>P598H245</t>
  </si>
  <si>
    <t>Tudavepodi</t>
  </si>
  <si>
    <t>P887H595</t>
  </si>
  <si>
    <t>Pupuraro</t>
  </si>
  <si>
    <t>P957P727</t>
  </si>
  <si>
    <t>Durepidupe</t>
  </si>
  <si>
    <t>H992H688</t>
  </si>
  <si>
    <t>Rufivemo</t>
  </si>
  <si>
    <t>P483P528</t>
  </si>
  <si>
    <t>Fetogimi</t>
  </si>
  <si>
    <t>H457H558</t>
  </si>
  <si>
    <t>Pocurunoga</t>
  </si>
  <si>
    <t>H325P897</t>
  </si>
  <si>
    <t>Pofivono</t>
  </si>
  <si>
    <t>P278H669</t>
  </si>
  <si>
    <t>Vogefo</t>
  </si>
  <si>
    <t>P838P467</t>
  </si>
  <si>
    <t>Fopuvi</t>
  </si>
  <si>
    <t>P297P621</t>
  </si>
  <si>
    <t>Locaguviro</t>
  </si>
  <si>
    <t>H588H233</t>
  </si>
  <si>
    <t>Nepidu</t>
  </si>
  <si>
    <t>P917H856</t>
  </si>
  <si>
    <t>Nupudoca</t>
  </si>
  <si>
    <t>H791H168</t>
  </si>
  <si>
    <t>Petapomu</t>
  </si>
  <si>
    <t>H978H861</t>
  </si>
  <si>
    <t>Togupanu</t>
  </si>
  <si>
    <t>P954H251</t>
  </si>
  <si>
    <t>Naligede</t>
  </si>
  <si>
    <t>P249P851</t>
  </si>
  <si>
    <t>Papino</t>
  </si>
  <si>
    <t>H469H593</t>
  </si>
  <si>
    <t>Calovonete</t>
  </si>
  <si>
    <t>H672H151</t>
  </si>
  <si>
    <t>Vamuretolo</t>
  </si>
  <si>
    <t>P661H577</t>
  </si>
  <si>
    <t>Pefori</t>
  </si>
  <si>
    <t>P532P186</t>
  </si>
  <si>
    <t>Detinuci</t>
  </si>
  <si>
    <t>H197H426</t>
  </si>
  <si>
    <t>Pipetace</t>
  </si>
  <si>
    <t>P592P618</t>
  </si>
  <si>
    <t>Norega</t>
  </si>
  <si>
    <t>H147P415</t>
  </si>
  <si>
    <t>Fitodepoca</t>
  </si>
  <si>
    <t>P895P756</t>
  </si>
  <si>
    <t>Toterova</t>
  </si>
  <si>
    <t>H945P721</t>
  </si>
  <si>
    <t>Rupedi</t>
  </si>
  <si>
    <t>P146P219</t>
  </si>
  <si>
    <t>Pupopo</t>
  </si>
  <si>
    <t>H518H966</t>
  </si>
  <si>
    <t>Firore</t>
  </si>
  <si>
    <t>H788H556</t>
  </si>
  <si>
    <t>Padutafe</t>
  </si>
  <si>
    <t>P438P496</t>
  </si>
  <si>
    <t>Pelive</t>
  </si>
  <si>
    <t>P777P364</t>
  </si>
  <si>
    <t>Peveroni</t>
  </si>
  <si>
    <t>P568H864</t>
  </si>
  <si>
    <t>Renaraguvo</t>
  </si>
  <si>
    <t>P985P121</t>
  </si>
  <si>
    <t>Dumira</t>
  </si>
  <si>
    <t>P744H764</t>
  </si>
  <si>
    <t>Tarape</t>
  </si>
  <si>
    <t>H448H734</t>
  </si>
  <si>
    <t>Decimugico</t>
  </si>
  <si>
    <t>H946H846</t>
  </si>
  <si>
    <t>Raremupa</t>
  </si>
  <si>
    <t>H742P375</t>
  </si>
  <si>
    <t>Lodafiti</t>
  </si>
  <si>
    <t>H946P454</t>
  </si>
  <si>
    <t>Totetagera</t>
  </si>
  <si>
    <t>P771H744</t>
  </si>
  <si>
    <t>Mopema</t>
  </si>
  <si>
    <t>H245H431</t>
  </si>
  <si>
    <t>Citomocinu</t>
  </si>
  <si>
    <t>P623H931</t>
  </si>
  <si>
    <t>Ramiputofo</t>
  </si>
  <si>
    <t>P469H967</t>
  </si>
  <si>
    <t>Marigu</t>
  </si>
  <si>
    <t>P887P472</t>
  </si>
  <si>
    <t>Vipefa</t>
  </si>
  <si>
    <t>P552H365</t>
  </si>
  <si>
    <t>Putitoni</t>
  </si>
  <si>
    <t>H842P672</t>
  </si>
  <si>
    <t>Fodotomu</t>
  </si>
  <si>
    <t>P789H913</t>
  </si>
  <si>
    <t>Limalegado</t>
  </si>
  <si>
    <t>H635H414</t>
  </si>
  <si>
    <t>Riguruvani</t>
  </si>
  <si>
    <t>H742H813</t>
  </si>
  <si>
    <t>Fanapu</t>
  </si>
  <si>
    <t>H563H462</t>
  </si>
  <si>
    <t>Gimuvilane</t>
  </si>
  <si>
    <t>H571H791</t>
  </si>
  <si>
    <t>Motonodo</t>
  </si>
  <si>
    <t>H644P868</t>
  </si>
  <si>
    <t>Recunavi</t>
  </si>
  <si>
    <t>P467P367</t>
  </si>
  <si>
    <t>Peputepufi</t>
  </si>
  <si>
    <t>H839H769</t>
  </si>
  <si>
    <t>Retorareri</t>
  </si>
  <si>
    <t>P475P597</t>
  </si>
  <si>
    <t>Ravanenora</t>
  </si>
  <si>
    <t>P571H921</t>
  </si>
  <si>
    <t>Gepoguma</t>
  </si>
  <si>
    <t>H621P762</t>
  </si>
  <si>
    <t>Decumu</t>
  </si>
  <si>
    <t>H356P747</t>
  </si>
  <si>
    <t>Nutuvenu</t>
  </si>
  <si>
    <t>P311H434</t>
  </si>
  <si>
    <t>Pifotuponi</t>
  </si>
  <si>
    <t>H993H422</t>
  </si>
  <si>
    <t>Ripati</t>
  </si>
  <si>
    <t>H818H637</t>
  </si>
  <si>
    <t>Lovola</t>
  </si>
  <si>
    <t>P264H276</t>
  </si>
  <si>
    <t>Malirece</t>
  </si>
  <si>
    <t>P929P992</t>
  </si>
  <si>
    <t>Megepenopa</t>
  </si>
  <si>
    <t>P282H278</t>
  </si>
  <si>
    <t>Nanumadumo</t>
  </si>
  <si>
    <t>P197H677</t>
  </si>
  <si>
    <t>Pogora</t>
  </si>
  <si>
    <t>H742P755</t>
  </si>
  <si>
    <t>Rarinagu</t>
  </si>
  <si>
    <t>P155H888</t>
  </si>
  <si>
    <t>Nupifuri</t>
  </si>
  <si>
    <t>P646P316</t>
  </si>
  <si>
    <t>Popunata</t>
  </si>
  <si>
    <t>H388H333</t>
  </si>
  <si>
    <t>Pitupapape</t>
  </si>
  <si>
    <t>P488H981</t>
  </si>
  <si>
    <t>Lacepeta</t>
  </si>
  <si>
    <t>H196P132</t>
  </si>
  <si>
    <t>Midute</t>
  </si>
  <si>
    <t>P116H447</t>
  </si>
  <si>
    <t>Lirapori</t>
  </si>
  <si>
    <t>P314P552</t>
  </si>
  <si>
    <t>Duladofu</t>
  </si>
  <si>
    <t>P612H696</t>
  </si>
  <si>
    <t>Foreri</t>
  </si>
  <si>
    <t>P661P939</t>
  </si>
  <si>
    <t>Nolerumere</t>
  </si>
  <si>
    <t>P224P535</t>
  </si>
  <si>
    <t>Didedida</t>
  </si>
  <si>
    <t>H616P578</t>
  </si>
  <si>
    <t>Vagafe</t>
  </si>
  <si>
    <t>H944H643</t>
  </si>
  <si>
    <t>Pinopucipo</t>
  </si>
  <si>
    <t>H146H887</t>
  </si>
  <si>
    <t>Totugeri</t>
  </si>
  <si>
    <t>H664H593</t>
  </si>
  <si>
    <t>Devavegate</t>
  </si>
  <si>
    <t>P332P478</t>
  </si>
  <si>
    <t>Nupoli</t>
  </si>
  <si>
    <t>P375P436</t>
  </si>
  <si>
    <t>Tudatile</t>
  </si>
  <si>
    <t>P622P683</t>
  </si>
  <si>
    <t>Pifivine</t>
  </si>
  <si>
    <t>P197H737</t>
  </si>
  <si>
    <t>Puruturo</t>
  </si>
  <si>
    <t>P645P618</t>
  </si>
  <si>
    <t>Fagavenaca</t>
  </si>
  <si>
    <t>P172P944</t>
  </si>
  <si>
    <t>Lefodi</t>
  </si>
  <si>
    <t>H771H578</t>
  </si>
  <si>
    <t>Cacudo</t>
  </si>
  <si>
    <t>H881P556</t>
  </si>
  <si>
    <t>Rilaputu</t>
  </si>
  <si>
    <t>P623P251</t>
  </si>
  <si>
    <t>Lifetipode</t>
  </si>
  <si>
    <t>H137P286</t>
  </si>
  <si>
    <t>Cipevo</t>
  </si>
  <si>
    <t>H585P127</t>
  </si>
  <si>
    <t>Nopirupeca</t>
  </si>
  <si>
    <t>H664P645</t>
  </si>
  <si>
    <t>Pofitipe</t>
  </si>
  <si>
    <t>H396H578</t>
  </si>
  <si>
    <t>Pimerona</t>
  </si>
  <si>
    <t>H373P693</t>
  </si>
  <si>
    <t>Cotupu</t>
  </si>
  <si>
    <t>P859P955</t>
  </si>
  <si>
    <t>Rerepenupi</t>
  </si>
  <si>
    <t>H659H972</t>
  </si>
  <si>
    <t>Ticupapi</t>
  </si>
  <si>
    <t>H748H262</t>
  </si>
  <si>
    <t>Nolifepa</t>
  </si>
  <si>
    <t>H735H276</t>
  </si>
  <si>
    <t>Notomi</t>
  </si>
  <si>
    <t>H924P747</t>
  </si>
  <si>
    <t>Pecodepo</t>
  </si>
  <si>
    <t>H696P645</t>
  </si>
  <si>
    <t>Gotagu</t>
  </si>
  <si>
    <t>P539H548</t>
  </si>
  <si>
    <t>Dutaromipa</t>
  </si>
  <si>
    <t>P616P664</t>
  </si>
  <si>
    <t>Tutofagecu</t>
  </si>
  <si>
    <t>H974H952</t>
  </si>
  <si>
    <t>Rogunu</t>
  </si>
  <si>
    <t>H312P848</t>
  </si>
  <si>
    <t>Gotulipa</t>
  </si>
  <si>
    <t>H695P825</t>
  </si>
  <si>
    <t>Varipeme</t>
  </si>
  <si>
    <t>H592H278</t>
  </si>
  <si>
    <t>Potulope</t>
  </si>
  <si>
    <t>H848P855</t>
  </si>
  <si>
    <t>Demureno</t>
  </si>
  <si>
    <t>P148P529</t>
  </si>
  <si>
    <t>Dopirutevu</t>
  </si>
  <si>
    <t>H213P551</t>
  </si>
  <si>
    <t>Peculoremi</t>
  </si>
  <si>
    <t>H239H568</t>
  </si>
  <si>
    <t>Ritipa</t>
  </si>
  <si>
    <t>P298P658</t>
  </si>
  <si>
    <t>Papumuvi</t>
  </si>
  <si>
    <t>H454P574</t>
  </si>
  <si>
    <t>Nutodurere</t>
  </si>
  <si>
    <t>P543P527</t>
  </si>
  <si>
    <t>Dapapa</t>
  </si>
  <si>
    <t>H176P464</t>
  </si>
  <si>
    <t>Panoguriru</t>
  </si>
  <si>
    <t>P449P923</t>
  </si>
  <si>
    <t>Rocuceruci</t>
  </si>
  <si>
    <t>P191P291</t>
  </si>
  <si>
    <t>Munuruleti</t>
  </si>
  <si>
    <t>H416H396</t>
  </si>
  <si>
    <t>Vivoli</t>
  </si>
  <si>
    <t>P763H461</t>
  </si>
  <si>
    <t>Ticelutafi</t>
  </si>
  <si>
    <t>P591H316</t>
  </si>
  <si>
    <t>Pudefirana</t>
  </si>
  <si>
    <t>H374H511</t>
  </si>
  <si>
    <t>Fetivegupi</t>
  </si>
  <si>
    <t>P272P523</t>
  </si>
  <si>
    <t>Reletu</t>
  </si>
  <si>
    <t>H562P619</t>
  </si>
  <si>
    <t>Pilorune</t>
  </si>
  <si>
    <t>H759H792</t>
  </si>
  <si>
    <t>Teletu</t>
  </si>
  <si>
    <t>H593P938</t>
  </si>
  <si>
    <t>Nomutivi</t>
  </si>
  <si>
    <t>P354H777</t>
  </si>
  <si>
    <t>Gavonovu</t>
  </si>
  <si>
    <t>P578P573</t>
  </si>
  <si>
    <t>Gopapopi</t>
  </si>
  <si>
    <t>H171P491</t>
  </si>
  <si>
    <t>Tefepeta</t>
  </si>
  <si>
    <t>P427H392</t>
  </si>
  <si>
    <t>Tudoropo</t>
  </si>
  <si>
    <t>H448H437</t>
  </si>
  <si>
    <t>Noterofelo</t>
  </si>
  <si>
    <t>H324P677</t>
  </si>
  <si>
    <t>Pivuvamo</t>
  </si>
  <si>
    <t>P894P936</t>
  </si>
  <si>
    <t>Lapogupo</t>
  </si>
  <si>
    <t>H326H342</t>
  </si>
  <si>
    <t>Papolaco</t>
  </si>
  <si>
    <t>H432P932</t>
  </si>
  <si>
    <t>Petuva</t>
  </si>
  <si>
    <t>H586H485</t>
  </si>
  <si>
    <t>Mugerogupo</t>
  </si>
  <si>
    <t>H783P394</t>
  </si>
  <si>
    <t>Vedegila</t>
  </si>
  <si>
    <t>H285H195</t>
  </si>
  <si>
    <t>Rageta</t>
  </si>
  <si>
    <t>P754H393</t>
  </si>
  <si>
    <t>Feruto</t>
  </si>
  <si>
    <t>P292H228</t>
  </si>
  <si>
    <t>Vinitapa</t>
  </si>
  <si>
    <t>P138P963</t>
  </si>
  <si>
    <t>Pupupo</t>
  </si>
  <si>
    <t>P557P284</t>
  </si>
  <si>
    <t>Rerafireru</t>
  </si>
  <si>
    <t>H675H746</t>
  </si>
  <si>
    <t>Tometo</t>
  </si>
  <si>
    <t>P629P968</t>
  </si>
  <si>
    <t>Nuparufacu</t>
  </si>
  <si>
    <t>P622H499</t>
  </si>
  <si>
    <t>Rivicotu</t>
  </si>
  <si>
    <t>P618P969</t>
  </si>
  <si>
    <t>Mepavugupa</t>
  </si>
  <si>
    <t>P431P875</t>
  </si>
  <si>
    <t>Piripiroco</t>
  </si>
  <si>
    <t>P354H427</t>
  </si>
  <si>
    <t>Femelanapo</t>
  </si>
  <si>
    <t>H163P689</t>
  </si>
  <si>
    <t>Pimarofu</t>
  </si>
  <si>
    <t>P825P235</t>
  </si>
  <si>
    <t>Camoda</t>
  </si>
  <si>
    <t>H463P393</t>
  </si>
  <si>
    <t>Regapori</t>
  </si>
  <si>
    <t>H115H546</t>
  </si>
  <si>
    <t>Cuveve</t>
  </si>
  <si>
    <t>H388H285</t>
  </si>
  <si>
    <t>Neludutamo</t>
  </si>
  <si>
    <t>H239P471</t>
  </si>
  <si>
    <t>Virope</t>
  </si>
  <si>
    <t>P859P477</t>
  </si>
  <si>
    <t>Virapoliro</t>
  </si>
  <si>
    <t>H447P843</t>
  </si>
  <si>
    <t>Rovufunemu</t>
  </si>
  <si>
    <t>H627P172</t>
  </si>
  <si>
    <t>Nagomu</t>
  </si>
  <si>
    <t>H897P623</t>
  </si>
  <si>
    <t>Cutura</t>
  </si>
  <si>
    <t>H227P789</t>
  </si>
  <si>
    <t>Locaco</t>
  </si>
  <si>
    <t>P487P391</t>
  </si>
  <si>
    <t>Pepefadoto</t>
  </si>
  <si>
    <t>H646H874</t>
  </si>
  <si>
    <t>Riretavuve</t>
  </si>
  <si>
    <t>H678H478</t>
  </si>
  <si>
    <t>Papupare</t>
  </si>
  <si>
    <t>P917H765</t>
  </si>
  <si>
    <t>Pipifelale</t>
  </si>
  <si>
    <t>P794H483</t>
  </si>
  <si>
    <t>Malica</t>
  </si>
  <si>
    <t>P828P174</t>
  </si>
  <si>
    <t>Lumalamu</t>
  </si>
  <si>
    <t>P769P827</t>
  </si>
  <si>
    <t>Cudeturotu</t>
  </si>
  <si>
    <t>P652P664</t>
  </si>
  <si>
    <t>Fegota</t>
  </si>
  <si>
    <t>P742H469</t>
  </si>
  <si>
    <t>Faruditale</t>
  </si>
  <si>
    <t>H134H629</t>
  </si>
  <si>
    <t>Mevudufagu</t>
  </si>
  <si>
    <t>H662H697</t>
  </si>
  <si>
    <t>Pudimevato</t>
  </si>
  <si>
    <t>P976P227</t>
  </si>
  <si>
    <t>Tofapapa</t>
  </si>
  <si>
    <t>H966H473</t>
  </si>
  <si>
    <t>Tolamupo</t>
  </si>
  <si>
    <t>H441P452</t>
  </si>
  <si>
    <t>Penalipupu</t>
  </si>
  <si>
    <t>H993P574</t>
  </si>
  <si>
    <t>Copoge</t>
  </si>
  <si>
    <t>H114H666</t>
  </si>
  <si>
    <t>Pilatiti</t>
  </si>
  <si>
    <t>H342P771</t>
  </si>
  <si>
    <t>Nurepi</t>
  </si>
  <si>
    <t>H131H315</t>
  </si>
  <si>
    <t>Patarono</t>
  </si>
  <si>
    <t>P439H177</t>
  </si>
  <si>
    <t>Ridicate</t>
  </si>
  <si>
    <t>H634H655</t>
  </si>
  <si>
    <t>Licepato</t>
  </si>
  <si>
    <t>H933H626</t>
  </si>
  <si>
    <t>Gicatida</t>
  </si>
  <si>
    <t>H624P368</t>
  </si>
  <si>
    <t>Pigulicu</t>
  </si>
  <si>
    <t>H437H944</t>
  </si>
  <si>
    <t>Davepi</t>
  </si>
  <si>
    <t>H391P582</t>
  </si>
  <si>
    <t>Papava</t>
  </si>
  <si>
    <t>P291P499</t>
  </si>
  <si>
    <t>Rupetu</t>
  </si>
  <si>
    <t>P737H371</t>
  </si>
  <si>
    <t>Gemomufuta</t>
  </si>
  <si>
    <t>H348P175</t>
  </si>
  <si>
    <t>Nupinida</t>
  </si>
  <si>
    <t>P553P592</t>
  </si>
  <si>
    <t>Cerege</t>
  </si>
  <si>
    <t>P891H829</t>
  </si>
  <si>
    <t>Docimepepo</t>
  </si>
  <si>
    <t>P276P477</t>
  </si>
  <si>
    <t>Turecoruru</t>
  </si>
  <si>
    <t>P987P619</t>
  </si>
  <si>
    <t>Ropucamedo</t>
  </si>
  <si>
    <t>H388P257</t>
  </si>
  <si>
    <t>Murelerupe</t>
  </si>
  <si>
    <t>P229H671</t>
  </si>
  <si>
    <t>Vutane</t>
  </si>
  <si>
    <t>H942P165</t>
  </si>
  <si>
    <t>Dotedu</t>
  </si>
  <si>
    <t>P982P962</t>
  </si>
  <si>
    <t>Vatuce</t>
  </si>
  <si>
    <t>H494H796</t>
  </si>
  <si>
    <t>Rigugofa</t>
  </si>
  <si>
    <t>H526H545</t>
  </si>
  <si>
    <t>Cutite</t>
  </si>
  <si>
    <t>P274P255</t>
  </si>
  <si>
    <t>Tirupa</t>
  </si>
  <si>
    <t>P385P845</t>
  </si>
  <si>
    <t>Ricipo</t>
  </si>
  <si>
    <t>P791P945</t>
  </si>
  <si>
    <t>Dacuculatu</t>
  </si>
  <si>
    <t>P971H971</t>
  </si>
  <si>
    <t>Cetavuci</t>
  </si>
  <si>
    <t>H462H814</t>
  </si>
  <si>
    <t>Lepugace</t>
  </si>
  <si>
    <t>P594H813</t>
  </si>
  <si>
    <t>Nilapu</t>
  </si>
  <si>
    <t>P814P361</t>
  </si>
  <si>
    <t>Lulora</t>
  </si>
  <si>
    <t>H585P621</t>
  </si>
  <si>
    <t>Lopucu</t>
  </si>
  <si>
    <t>H163H833</t>
  </si>
  <si>
    <t>Dutumero</t>
  </si>
  <si>
    <t>P818H791</t>
  </si>
  <si>
    <t>Darido</t>
  </si>
  <si>
    <t>P516P163</t>
  </si>
  <si>
    <t>Ritucona</t>
  </si>
  <si>
    <t>P612P581</t>
  </si>
  <si>
    <t>Vupoge</t>
  </si>
  <si>
    <t>H528P795</t>
  </si>
  <si>
    <t>Pirenadu</t>
  </si>
  <si>
    <t>P151P862</t>
  </si>
  <si>
    <t>Tugotumote</t>
  </si>
  <si>
    <t>P384H653</t>
  </si>
  <si>
    <t>Gilorevi</t>
  </si>
  <si>
    <t>H471H144</t>
  </si>
  <si>
    <t>Raremo</t>
  </si>
  <si>
    <t>H625H239</t>
  </si>
  <si>
    <t>Ciropororo</t>
  </si>
  <si>
    <t>H468P587</t>
  </si>
  <si>
    <t>Pucaparevo</t>
  </si>
  <si>
    <t>P672P215</t>
  </si>
  <si>
    <t>Purarufuci</t>
  </si>
  <si>
    <t>H462H564</t>
  </si>
  <si>
    <t>Vicolaraga</t>
  </si>
  <si>
    <t>P972H556</t>
  </si>
  <si>
    <t>Tefatemovu</t>
  </si>
  <si>
    <t>P258P219</t>
  </si>
  <si>
    <t>Cumutu</t>
  </si>
  <si>
    <t>H825H631</t>
  </si>
  <si>
    <t>Curalidemo</t>
  </si>
  <si>
    <t>H272P812</t>
  </si>
  <si>
    <t>Cocurafo</t>
  </si>
  <si>
    <t>P132H196</t>
  </si>
  <si>
    <t>Tedireculu</t>
  </si>
  <si>
    <t>H541H189</t>
  </si>
  <si>
    <t>Putopuco</t>
  </si>
  <si>
    <t>H125H165</t>
  </si>
  <si>
    <t>Porevudi</t>
  </si>
  <si>
    <t>H353P715</t>
  </si>
  <si>
    <t>Leramape</t>
  </si>
  <si>
    <t>H164P573</t>
  </si>
  <si>
    <t>Detureropo</t>
  </si>
  <si>
    <t>H836H952</t>
  </si>
  <si>
    <t>Vonipucu</t>
  </si>
  <si>
    <t>H662P914</t>
  </si>
  <si>
    <t>Filevi</t>
  </si>
  <si>
    <t>P877P816</t>
  </si>
  <si>
    <t>Capoli</t>
  </si>
  <si>
    <t>H554H172</t>
  </si>
  <si>
    <t>Pumegota</t>
  </si>
  <si>
    <t>H652H135</t>
  </si>
  <si>
    <t>Tagepufipo</t>
  </si>
  <si>
    <t>H778P884</t>
  </si>
  <si>
    <t>Fumipoci</t>
  </si>
  <si>
    <t>H967H299</t>
  </si>
  <si>
    <t>Curonepane</t>
  </si>
  <si>
    <t>P959P139</t>
  </si>
  <si>
    <t>Pitecu</t>
  </si>
  <si>
    <t>P791P946</t>
  </si>
  <si>
    <t>Fucote</t>
  </si>
  <si>
    <t>H112H582</t>
  </si>
  <si>
    <t>Renapo</t>
  </si>
  <si>
    <t>H527P195</t>
  </si>
  <si>
    <t>Pepopi</t>
  </si>
  <si>
    <t>H839P325</t>
  </si>
  <si>
    <t>Rafolapare</t>
  </si>
  <si>
    <t>H954H616</t>
  </si>
  <si>
    <t>Mopolime</t>
  </si>
  <si>
    <t>H268H158</t>
  </si>
  <si>
    <t>Tareta</t>
  </si>
  <si>
    <t>P177H514</t>
  </si>
  <si>
    <t>Getoma</t>
  </si>
  <si>
    <t>P453P445</t>
  </si>
  <si>
    <t>Rititi</t>
  </si>
  <si>
    <t>P683P192</t>
  </si>
  <si>
    <t>Murenu</t>
  </si>
  <si>
    <t>P311H427</t>
  </si>
  <si>
    <t>Petitode</t>
  </si>
  <si>
    <t>H119P473</t>
  </si>
  <si>
    <t>Gupolerara</t>
  </si>
  <si>
    <t>P871H723</t>
  </si>
  <si>
    <t>Pacofapipe</t>
  </si>
  <si>
    <t>H574P162</t>
  </si>
  <si>
    <t>Tututacega</t>
  </si>
  <si>
    <t>P255H339</t>
  </si>
  <si>
    <t>Potirula</t>
  </si>
  <si>
    <t>P857P287</t>
  </si>
  <si>
    <t>Vavafito</t>
  </si>
  <si>
    <t>P555P732</t>
  </si>
  <si>
    <t>Mocumi</t>
  </si>
  <si>
    <t>P516P737</t>
  </si>
  <si>
    <t>Fipipi</t>
  </si>
  <si>
    <t>P513P826</t>
  </si>
  <si>
    <t>Darireli</t>
  </si>
  <si>
    <t>P681H121</t>
  </si>
  <si>
    <t>Porele</t>
  </si>
  <si>
    <t>P893P114</t>
  </si>
  <si>
    <t>Riramofave</t>
  </si>
  <si>
    <t>H911H823</t>
  </si>
  <si>
    <t>Teramopeli</t>
  </si>
  <si>
    <t>H734H176</t>
  </si>
  <si>
    <t>Cimetuli</t>
  </si>
  <si>
    <t>P531P354</t>
  </si>
  <si>
    <t>Lecalarace</t>
  </si>
  <si>
    <t>H255H568</t>
  </si>
  <si>
    <t>Goteveto</t>
  </si>
  <si>
    <t>P413H738</t>
  </si>
  <si>
    <t>Colipodi</t>
  </si>
  <si>
    <t>H523P426</t>
  </si>
  <si>
    <t>Fitogoma</t>
  </si>
  <si>
    <t>P425P982</t>
  </si>
  <si>
    <t>Rafuvate</t>
  </si>
  <si>
    <t>P139P229</t>
  </si>
  <si>
    <t>Lurage</t>
  </si>
  <si>
    <t>P315P332</t>
  </si>
  <si>
    <t>Pavudoga</t>
  </si>
  <si>
    <t>P345P867</t>
  </si>
  <si>
    <t>Fevipi</t>
  </si>
  <si>
    <t>P297H563</t>
  </si>
  <si>
    <t>Tipolule</t>
  </si>
  <si>
    <t>P722P683</t>
  </si>
  <si>
    <t>Dicirera</t>
  </si>
  <si>
    <t>H762P763</t>
  </si>
  <si>
    <t>Roniti</t>
  </si>
  <si>
    <t>H652H422</t>
  </si>
  <si>
    <t>Cerace</t>
  </si>
  <si>
    <t>P564P771</t>
  </si>
  <si>
    <t>Lurumicige</t>
  </si>
  <si>
    <t>H932H584</t>
  </si>
  <si>
    <t>Porimiloto</t>
  </si>
  <si>
    <t>P941P799</t>
  </si>
  <si>
    <t>Rapita</t>
  </si>
  <si>
    <t>P923P688</t>
  </si>
  <si>
    <t>Rapuda</t>
  </si>
  <si>
    <t>P374H844</t>
  </si>
  <si>
    <t>Vapotudi</t>
  </si>
  <si>
    <t>P716H775</t>
  </si>
  <si>
    <t>Pudepa</t>
  </si>
  <si>
    <t>H586H551</t>
  </si>
  <si>
    <t>Ritomipevu</t>
  </si>
  <si>
    <t>P511P556</t>
  </si>
  <si>
    <t>Fatapa</t>
  </si>
  <si>
    <t>H441H382</t>
  </si>
  <si>
    <t>Popirapapa</t>
  </si>
  <si>
    <t>P664P194</t>
  </si>
  <si>
    <t>Pefoduro</t>
  </si>
  <si>
    <t>P711P332</t>
  </si>
  <si>
    <t>Rorecotodo</t>
  </si>
  <si>
    <t>P462P714</t>
  </si>
  <si>
    <t>Tafocecera</t>
  </si>
  <si>
    <t>H128P441</t>
  </si>
  <si>
    <t>Pepacatiru</t>
  </si>
  <si>
    <t>P765P425</t>
  </si>
  <si>
    <t>Mapidegilu</t>
  </si>
  <si>
    <t>H597P374</t>
  </si>
  <si>
    <t>Mapuripopa</t>
  </si>
  <si>
    <t>P161P896</t>
  </si>
  <si>
    <t>Rovori</t>
  </si>
  <si>
    <t>P918H812</t>
  </si>
  <si>
    <t>Tuparugo</t>
  </si>
  <si>
    <t>H789H764</t>
  </si>
  <si>
    <t>Todogapi</t>
  </si>
  <si>
    <t>H433P157</t>
  </si>
  <si>
    <t>Ropofufo</t>
  </si>
  <si>
    <t>P633P433</t>
  </si>
  <si>
    <t>Gefure</t>
  </si>
  <si>
    <t>H645H617</t>
  </si>
  <si>
    <t>Peruturo</t>
  </si>
  <si>
    <t>H466H829</t>
  </si>
  <si>
    <t>Tevetu</t>
  </si>
  <si>
    <t>H384H796</t>
  </si>
  <si>
    <t>Dilifofuvo</t>
  </si>
  <si>
    <t>P356H585</t>
  </si>
  <si>
    <t>Povipice</t>
  </si>
  <si>
    <t>H581H729</t>
  </si>
  <si>
    <t>Garapemu</t>
  </si>
  <si>
    <t>P623P391</t>
  </si>
  <si>
    <t>Numenonori</t>
  </si>
  <si>
    <t>P886P756</t>
  </si>
  <si>
    <t>Roduta</t>
  </si>
  <si>
    <t>H448P296</t>
  </si>
  <si>
    <t>Cepirumida</t>
  </si>
  <si>
    <t>H958P391</t>
  </si>
  <si>
    <t>Pacolaripo</t>
  </si>
  <si>
    <t>P862H553</t>
  </si>
  <si>
    <t>Titupe</t>
  </si>
  <si>
    <t>H913H135</t>
  </si>
  <si>
    <t>Rucivira</t>
  </si>
  <si>
    <t>H667H838</t>
  </si>
  <si>
    <t>Dupeduva</t>
  </si>
  <si>
    <t>H614P988</t>
  </si>
  <si>
    <t>Cetame</t>
  </si>
  <si>
    <t>P187H652</t>
  </si>
  <si>
    <t>Dupafapide</t>
  </si>
  <si>
    <t>H466H767</t>
  </si>
  <si>
    <t>Padula</t>
  </si>
  <si>
    <t>P932H516</t>
  </si>
  <si>
    <t>Megafovitu</t>
  </si>
  <si>
    <t>P255H476</t>
  </si>
  <si>
    <t>Lagitura</t>
  </si>
  <si>
    <t>H622H189</t>
  </si>
  <si>
    <t>Rapoma</t>
  </si>
  <si>
    <t>H763P748</t>
  </si>
  <si>
    <t>Rucucapefi</t>
  </si>
  <si>
    <t>H196P827</t>
  </si>
  <si>
    <t>Dunora</t>
  </si>
  <si>
    <t>H878H725</t>
  </si>
  <si>
    <t>Mumupi</t>
  </si>
  <si>
    <t>P148H775</t>
  </si>
  <si>
    <t>Papumuta</t>
  </si>
  <si>
    <t>H939P638</t>
  </si>
  <si>
    <t>Porepore</t>
  </si>
  <si>
    <t>P873P382</t>
  </si>
  <si>
    <t>Merefetufu</t>
  </si>
  <si>
    <t>H693H958</t>
  </si>
  <si>
    <t>Ricupe</t>
  </si>
  <si>
    <t>H499P842</t>
  </si>
  <si>
    <t>Colitidita</t>
  </si>
  <si>
    <t>H861P168</t>
  </si>
  <si>
    <t>Ricepuge</t>
  </si>
  <si>
    <t>P765P933</t>
  </si>
  <si>
    <t>Latitapatu</t>
  </si>
  <si>
    <t>H967H689</t>
  </si>
  <si>
    <t>Fudori</t>
  </si>
  <si>
    <t>P462P933</t>
  </si>
  <si>
    <t>Lafapilo</t>
  </si>
  <si>
    <t>H187P531</t>
  </si>
  <si>
    <t>Tupega</t>
  </si>
  <si>
    <t>H172P272</t>
  </si>
  <si>
    <t>Paputiga</t>
  </si>
  <si>
    <t>P716P743</t>
  </si>
  <si>
    <t>Fetena</t>
  </si>
  <si>
    <t>H833P964</t>
  </si>
  <si>
    <t>Camamu</t>
  </si>
  <si>
    <t>H318H824</t>
  </si>
  <si>
    <t>Fetano</t>
  </si>
  <si>
    <t>P746P796</t>
  </si>
  <si>
    <t>Lamatutuge</t>
  </si>
  <si>
    <t>P997H739</t>
  </si>
  <si>
    <t>Nirudi</t>
  </si>
  <si>
    <t>P194P449</t>
  </si>
  <si>
    <t>Rofeda</t>
  </si>
  <si>
    <t>P993P662</t>
  </si>
  <si>
    <t>Vacemi</t>
  </si>
  <si>
    <t>H532P759</t>
  </si>
  <si>
    <t>Guvapepu</t>
  </si>
  <si>
    <t>H637P327</t>
  </si>
  <si>
    <t>Narufima</t>
  </si>
  <si>
    <t>H922P488</t>
  </si>
  <si>
    <t>Gilatodefo</t>
  </si>
  <si>
    <t>H522H664</t>
  </si>
  <si>
    <t>Gatapi</t>
  </si>
  <si>
    <t>P462H975</t>
  </si>
  <si>
    <t>Damopo</t>
  </si>
  <si>
    <t>H475P216</t>
  </si>
  <si>
    <t>Pepegucono</t>
  </si>
  <si>
    <t>H763P383</t>
  </si>
  <si>
    <t>Nituto</t>
  </si>
  <si>
    <t>H594H363</t>
  </si>
  <si>
    <t>Duraparu</t>
  </si>
  <si>
    <t>H525H335</t>
  </si>
  <si>
    <t>Paredeca</t>
  </si>
  <si>
    <t>H278P876</t>
  </si>
  <si>
    <t>Nilinipiru</t>
  </si>
  <si>
    <t>P153P638</t>
  </si>
  <si>
    <t>Ludatu</t>
  </si>
  <si>
    <t>H612H211</t>
  </si>
  <si>
    <t>Vovori</t>
  </si>
  <si>
    <t>P234P845</t>
  </si>
  <si>
    <t>Garifa</t>
  </si>
  <si>
    <t>P966P221</t>
  </si>
  <si>
    <t>Corire</t>
  </si>
  <si>
    <t>P769H671</t>
  </si>
  <si>
    <t>Gogugaputo</t>
  </si>
  <si>
    <t>P688H382</t>
  </si>
  <si>
    <t>Gucelulu</t>
  </si>
  <si>
    <t>P515P875</t>
  </si>
  <si>
    <t>Vepata</t>
  </si>
  <si>
    <t>P126H231</t>
  </si>
  <si>
    <t>Micitogufa</t>
  </si>
  <si>
    <t>H212H255</t>
  </si>
  <si>
    <t>Gilulura</t>
  </si>
  <si>
    <t>H879H181</t>
  </si>
  <si>
    <t>Taracecu</t>
  </si>
  <si>
    <t>H311H213</t>
  </si>
  <si>
    <t>Putepade</t>
  </si>
  <si>
    <t>P212H453</t>
  </si>
  <si>
    <t>Vutipo</t>
  </si>
  <si>
    <t>H522P259</t>
  </si>
  <si>
    <t>Dupapi</t>
  </si>
  <si>
    <t>H528P561</t>
  </si>
  <si>
    <t>Patelopumi</t>
  </si>
  <si>
    <t>P918P663</t>
  </si>
  <si>
    <t>Dolepivero</t>
  </si>
  <si>
    <t>H369P383</t>
  </si>
  <si>
    <t>Tepocavipu</t>
  </si>
  <si>
    <t>P644H816</t>
  </si>
  <si>
    <t>Teterifipa</t>
  </si>
  <si>
    <t>P876H266</t>
  </si>
  <si>
    <t>Toledapira</t>
  </si>
  <si>
    <t>H817P115</t>
  </si>
  <si>
    <t>Vimugodi</t>
  </si>
  <si>
    <t>H462H842</t>
  </si>
  <si>
    <t>Ritili</t>
  </si>
  <si>
    <t>H267P579</t>
  </si>
  <si>
    <t>Nemevigifo</t>
  </si>
  <si>
    <t>H551H251</t>
  </si>
  <si>
    <t>Tapupenu</t>
  </si>
  <si>
    <t>P362P425</t>
  </si>
  <si>
    <t>Litepi</t>
  </si>
  <si>
    <t>H132P727</t>
  </si>
  <si>
    <t>Repolodoti</t>
  </si>
  <si>
    <t>P453H342</t>
  </si>
  <si>
    <t>Pidepudu</t>
  </si>
  <si>
    <t>P849H847</t>
  </si>
  <si>
    <t>Luvanade</t>
  </si>
  <si>
    <t>H644H547</t>
  </si>
  <si>
    <t>Purenu</t>
  </si>
  <si>
    <t>H944P315</t>
  </si>
  <si>
    <t>Popacupulo</t>
  </si>
  <si>
    <t>P592P198</t>
  </si>
  <si>
    <t>Vedumararo</t>
  </si>
  <si>
    <t>P935H546</t>
  </si>
  <si>
    <t>Tidora</t>
  </si>
  <si>
    <t>H171H739</t>
  </si>
  <si>
    <t>Putipepala</t>
  </si>
  <si>
    <t>P121P983</t>
  </si>
  <si>
    <t>Nivapi</t>
  </si>
  <si>
    <t>H488H873</t>
  </si>
  <si>
    <t>Pemodu</t>
  </si>
  <si>
    <t>H534P262</t>
  </si>
  <si>
    <t>Fapofuge</t>
  </si>
  <si>
    <t>H822H177</t>
  </si>
  <si>
    <t>Vadepana</t>
  </si>
  <si>
    <t>H373P755</t>
  </si>
  <si>
    <t>Riraponi</t>
  </si>
  <si>
    <t>H689H292</t>
  </si>
  <si>
    <t>Mupupopo</t>
  </si>
  <si>
    <t>H459P593</t>
  </si>
  <si>
    <t>Popepu</t>
  </si>
  <si>
    <t>P459H176</t>
  </si>
  <si>
    <t>Rurutopi</t>
  </si>
  <si>
    <t>P375P884</t>
  </si>
  <si>
    <t>Pifofugepa</t>
  </si>
  <si>
    <t>H525P646</t>
  </si>
  <si>
    <t>Romuda</t>
  </si>
  <si>
    <t>P677H271</t>
  </si>
  <si>
    <t>Milipefe</t>
  </si>
  <si>
    <t>P826P297</t>
  </si>
  <si>
    <t>Poderifa</t>
  </si>
  <si>
    <t>H124P759</t>
  </si>
  <si>
    <t>Rotatu</t>
  </si>
  <si>
    <t>H537P989</t>
  </si>
  <si>
    <t>Rulirapoti</t>
  </si>
  <si>
    <t>H425H154</t>
  </si>
  <si>
    <t>Fofepo</t>
  </si>
  <si>
    <t>P256H916</t>
  </si>
  <si>
    <t>Ganuvagi</t>
  </si>
  <si>
    <t>H627P786</t>
  </si>
  <si>
    <t>Livomifapa</t>
  </si>
  <si>
    <t>P911H215</t>
  </si>
  <si>
    <t>Pipafene</t>
  </si>
  <si>
    <t>H368H282</t>
  </si>
  <si>
    <t>Geruto</t>
  </si>
  <si>
    <t>P952H265</t>
  </si>
  <si>
    <t>Cinecora</t>
  </si>
  <si>
    <t>P935H547</t>
  </si>
  <si>
    <t>Mimura</t>
  </si>
  <si>
    <t>P711H943</t>
  </si>
  <si>
    <t>Tavepuna</t>
  </si>
  <si>
    <t>P368H371</t>
  </si>
  <si>
    <t>Mirote</t>
  </si>
  <si>
    <t>P714P947</t>
  </si>
  <si>
    <t>Roretefalo</t>
  </si>
  <si>
    <t>P496P353</t>
  </si>
  <si>
    <t>Cidico</t>
  </si>
  <si>
    <t>P623H564</t>
  </si>
  <si>
    <t>Menomi</t>
  </si>
  <si>
    <t>H748H739</t>
  </si>
  <si>
    <t>Dememitovo</t>
  </si>
  <si>
    <t>H617H543</t>
  </si>
  <si>
    <t>Ludipodedu</t>
  </si>
  <si>
    <t>P116H876</t>
  </si>
  <si>
    <t>Pelopepe</t>
  </si>
  <si>
    <t>H129P156</t>
  </si>
  <si>
    <t>Fotapurifi</t>
  </si>
  <si>
    <t>P499H157</t>
  </si>
  <si>
    <t>Paruvege</t>
  </si>
  <si>
    <t>P141H731</t>
  </si>
  <si>
    <t>Rumito</t>
  </si>
  <si>
    <t>P116H392</t>
  </si>
  <si>
    <t>Ravodopalo</t>
  </si>
  <si>
    <t>P341P655</t>
  </si>
  <si>
    <t>Tipedoce</t>
  </si>
  <si>
    <t>H468H474</t>
  </si>
  <si>
    <t>Tetapa</t>
  </si>
  <si>
    <t>H487P824</t>
  </si>
  <si>
    <t>Rururuci</t>
  </si>
  <si>
    <t>P522P188</t>
  </si>
  <si>
    <t>Varanoga</t>
  </si>
  <si>
    <t>H127H198</t>
  </si>
  <si>
    <t>Pagepopudo</t>
  </si>
  <si>
    <t>P127H351</t>
  </si>
  <si>
    <t>Diguvo</t>
  </si>
  <si>
    <t>H851P298</t>
  </si>
  <si>
    <t>Mifica</t>
  </si>
  <si>
    <t>H895H343</t>
  </si>
  <si>
    <t>Ramegivetu</t>
  </si>
  <si>
    <t>P684H355</t>
  </si>
  <si>
    <t>Depuladecu</t>
  </si>
  <si>
    <t>H241P647</t>
  </si>
  <si>
    <t>Lamugi</t>
  </si>
  <si>
    <t>H254P176</t>
  </si>
  <si>
    <t>Vivecurelu</t>
  </si>
  <si>
    <t>P628H144</t>
  </si>
  <si>
    <t>Mecarigadi</t>
  </si>
  <si>
    <t>P865H968</t>
  </si>
  <si>
    <t>Panocuvifo</t>
  </si>
  <si>
    <t>H547P384</t>
  </si>
  <si>
    <t>Topicepe</t>
  </si>
  <si>
    <t>H944P794</t>
  </si>
  <si>
    <t>Fopipanupi</t>
  </si>
  <si>
    <t>P227H823</t>
  </si>
  <si>
    <t>Cadonimuda</t>
  </si>
  <si>
    <t>H393H831</t>
  </si>
  <si>
    <t>Fipulepapa</t>
  </si>
  <si>
    <t>H412H122</t>
  </si>
  <si>
    <t>Rarinetoro</t>
  </si>
  <si>
    <t>H172P866</t>
  </si>
  <si>
    <t>Nipopedufo</t>
  </si>
  <si>
    <t>P711H232</t>
  </si>
  <si>
    <t>Detape</t>
  </si>
  <si>
    <t>H322P569</t>
  </si>
  <si>
    <t>Focovino</t>
  </si>
  <si>
    <t>H956H243</t>
  </si>
  <si>
    <t>Lupifo</t>
  </si>
  <si>
    <t>H181P867</t>
  </si>
  <si>
    <t>Pepegitoco</t>
  </si>
  <si>
    <t>P528H755</t>
  </si>
  <si>
    <t>Fufaci</t>
  </si>
  <si>
    <t>P513P598</t>
  </si>
  <si>
    <t>Vefotora</t>
  </si>
  <si>
    <t>H129P544</t>
  </si>
  <si>
    <t>Rovamu</t>
  </si>
  <si>
    <t>H739H698</t>
  </si>
  <si>
    <t>Tilupuga</t>
  </si>
  <si>
    <t>P662P242</t>
  </si>
  <si>
    <t>Taputo</t>
  </si>
  <si>
    <t>P838P613</t>
  </si>
  <si>
    <t>Nimepu</t>
  </si>
  <si>
    <t>P871H819</t>
  </si>
  <si>
    <t>Dolite</t>
  </si>
  <si>
    <t>H755H977</t>
  </si>
  <si>
    <t>Feritito</t>
  </si>
  <si>
    <t>H139P678</t>
  </si>
  <si>
    <t>Niperidono</t>
  </si>
  <si>
    <t>H823P178</t>
  </si>
  <si>
    <t>Rocapu</t>
  </si>
  <si>
    <t>H633H839</t>
  </si>
  <si>
    <t>Romagepira</t>
  </si>
  <si>
    <t>P464P755</t>
  </si>
  <si>
    <t>Popufi</t>
  </si>
  <si>
    <t>P112H264</t>
  </si>
  <si>
    <t>Tumupelo</t>
  </si>
  <si>
    <t>H277H676</t>
  </si>
  <si>
    <t>Donategavu</t>
  </si>
  <si>
    <t>P617P357</t>
  </si>
  <si>
    <t>Faragute</t>
  </si>
  <si>
    <t>P515H252</t>
  </si>
  <si>
    <t>Cipinara</t>
  </si>
  <si>
    <t>P237P595</t>
  </si>
  <si>
    <t>Pogagora</t>
  </si>
  <si>
    <t>P537H546</t>
  </si>
  <si>
    <t>Mopumigi</t>
  </si>
  <si>
    <t>H534P699</t>
  </si>
  <si>
    <t>Medumipida</t>
  </si>
  <si>
    <t>H468P426</t>
  </si>
  <si>
    <t>Maloro</t>
  </si>
  <si>
    <t>P898P571</t>
  </si>
  <si>
    <t>Potefi</t>
  </si>
  <si>
    <t>P486H615</t>
  </si>
  <si>
    <t>Toticica</t>
  </si>
  <si>
    <t>P831P966</t>
  </si>
  <si>
    <t>Gaveperugo</t>
  </si>
  <si>
    <t>H357H413</t>
  </si>
  <si>
    <t>Tetevovuda</t>
  </si>
  <si>
    <t>H491P436</t>
  </si>
  <si>
    <t>Cececupato</t>
  </si>
  <si>
    <t>H845P575</t>
  </si>
  <si>
    <t>Popadalupe</t>
  </si>
  <si>
    <t>P755H892</t>
  </si>
  <si>
    <t>Potivupici</t>
  </si>
  <si>
    <t>P192P296</t>
  </si>
  <si>
    <t>Gutemu</t>
  </si>
  <si>
    <t>H971P645</t>
  </si>
  <si>
    <t>Peguturece</t>
  </si>
  <si>
    <t>H473P115</t>
  </si>
  <si>
    <t>Rapelupara</t>
  </si>
  <si>
    <t>P386P654</t>
  </si>
  <si>
    <t>Puditunaci</t>
  </si>
  <si>
    <t>P639H841</t>
  </si>
  <si>
    <t>Cepopume</t>
  </si>
  <si>
    <t>H274H582</t>
  </si>
  <si>
    <t>Cecaravepu</t>
  </si>
  <si>
    <t>H199H296</t>
  </si>
  <si>
    <t>Nenerucu</t>
  </si>
  <si>
    <t>H973H576</t>
  </si>
  <si>
    <t>Rulotoro</t>
  </si>
  <si>
    <t>P829H916</t>
  </si>
  <si>
    <t>Riteto</t>
  </si>
  <si>
    <t>H968H295</t>
  </si>
  <si>
    <t>Tapipa</t>
  </si>
  <si>
    <t>P782H188</t>
  </si>
  <si>
    <t>Fomucatofi</t>
  </si>
  <si>
    <t>H758H955</t>
  </si>
  <si>
    <t>Micupu</t>
  </si>
  <si>
    <t>H914P311</t>
  </si>
  <si>
    <t>Culopapi</t>
  </si>
  <si>
    <t>P847P137</t>
  </si>
  <si>
    <t>Lopagiva</t>
  </si>
  <si>
    <t>H143P571</t>
  </si>
  <si>
    <t>Dunepa</t>
  </si>
  <si>
    <t>P538H835</t>
  </si>
  <si>
    <t>Nivonodu</t>
  </si>
  <si>
    <t>P944P193</t>
  </si>
  <si>
    <t>Rugonopuno</t>
  </si>
  <si>
    <t>H357H545</t>
  </si>
  <si>
    <t>Dopife</t>
  </si>
  <si>
    <t>P974P613</t>
  </si>
  <si>
    <t>Pinevucugi</t>
  </si>
  <si>
    <t>P551P619</t>
  </si>
  <si>
    <t>Ranapanana</t>
  </si>
  <si>
    <t>H881H851</t>
  </si>
  <si>
    <t>Vituga</t>
  </si>
  <si>
    <t>P794P978</t>
  </si>
  <si>
    <t>Fotenevido</t>
  </si>
  <si>
    <t>H112P529</t>
  </si>
  <si>
    <t>Mupapu</t>
  </si>
  <si>
    <t>P361H558</t>
  </si>
  <si>
    <t>Murotero</t>
  </si>
  <si>
    <t>P953H836</t>
  </si>
  <si>
    <t>Codocitoce</t>
  </si>
  <si>
    <t>H225P516</t>
  </si>
  <si>
    <t>Gunapu</t>
  </si>
  <si>
    <t>P392P581</t>
  </si>
  <si>
    <t>Renagipocu</t>
  </si>
  <si>
    <t>H954H575</t>
  </si>
  <si>
    <t>Caderipu</t>
  </si>
  <si>
    <t>H116H685</t>
  </si>
  <si>
    <t>Nidupuru</t>
  </si>
  <si>
    <t>P269P235</t>
  </si>
  <si>
    <t>Turedina</t>
  </si>
  <si>
    <t>P114H888</t>
  </si>
  <si>
    <t>Poruvoma</t>
  </si>
  <si>
    <t>P189P127</t>
  </si>
  <si>
    <t>Porapa</t>
  </si>
  <si>
    <t>H715P171</t>
  </si>
  <si>
    <t>Ratipa</t>
  </si>
  <si>
    <t>P983H239</t>
  </si>
  <si>
    <t>Teracuruca</t>
  </si>
  <si>
    <t>P249P441</t>
  </si>
  <si>
    <t>Rirapola</t>
  </si>
  <si>
    <t>H771H377</t>
  </si>
  <si>
    <t>Dopitope</t>
  </si>
  <si>
    <t>P616P319</t>
  </si>
  <si>
    <t>Coducipa</t>
  </si>
  <si>
    <t>H257P957</t>
  </si>
  <si>
    <t>Navimu</t>
  </si>
  <si>
    <t>P563H755</t>
  </si>
  <si>
    <t>Tivaru</t>
  </si>
  <si>
    <t>H688P619</t>
  </si>
  <si>
    <t>Farano</t>
  </si>
  <si>
    <t>P856P547</t>
  </si>
  <si>
    <t>Devefidivo</t>
  </si>
  <si>
    <t>H255H153</t>
  </si>
  <si>
    <t>Gumula</t>
  </si>
  <si>
    <t>H789P133</t>
  </si>
  <si>
    <t>Fitirulana</t>
  </si>
  <si>
    <t>H535H684</t>
  </si>
  <si>
    <t>Terutava</t>
  </si>
  <si>
    <t>H343P729</t>
  </si>
  <si>
    <t>Dotulu</t>
  </si>
  <si>
    <t>H837H784</t>
  </si>
  <si>
    <t>Devonipu</t>
  </si>
  <si>
    <t>P778P986</t>
  </si>
  <si>
    <t>Tanivimino</t>
  </si>
  <si>
    <t>H499H665</t>
  </si>
  <si>
    <t>Pemevacanu</t>
  </si>
  <si>
    <t>H623H753</t>
  </si>
  <si>
    <t>Pitaca</t>
  </si>
  <si>
    <t>P762P821</t>
  </si>
  <si>
    <t>Mavovici</t>
  </si>
  <si>
    <t>H882H156</t>
  </si>
  <si>
    <t>Ludomororo</t>
  </si>
  <si>
    <t>P166P976</t>
  </si>
  <si>
    <t>Dipumu</t>
  </si>
  <si>
    <t>H429P414</t>
  </si>
  <si>
    <t>Pepafelu</t>
  </si>
  <si>
    <t>H821H254</t>
  </si>
  <si>
    <t>Nacovilu</t>
  </si>
  <si>
    <t>H943P223</t>
  </si>
  <si>
    <t>Menuropate</t>
  </si>
  <si>
    <t>P286P527</t>
  </si>
  <si>
    <t>Dedudale</t>
  </si>
  <si>
    <t>P872P536</t>
  </si>
  <si>
    <t>Parutoparo</t>
  </si>
  <si>
    <t>H927P154</t>
  </si>
  <si>
    <t>Vofemufoco</t>
  </si>
  <si>
    <t>P452P523</t>
  </si>
  <si>
    <t>Tulaperigu</t>
  </si>
  <si>
    <t>H266H736</t>
  </si>
  <si>
    <t>Tupamudecu</t>
  </si>
  <si>
    <t>P773P377</t>
  </si>
  <si>
    <t>Docapo</t>
  </si>
  <si>
    <t>H512P662</t>
  </si>
  <si>
    <t>Rogefi</t>
  </si>
  <si>
    <t>H193P462</t>
  </si>
  <si>
    <t>Timeta</t>
  </si>
  <si>
    <t>H898H494</t>
  </si>
  <si>
    <t>Romireri</t>
  </si>
  <si>
    <t>H995P136</t>
  </si>
  <si>
    <t>Tamiperi</t>
  </si>
  <si>
    <t>P465H279</t>
  </si>
  <si>
    <t>Funufatopo</t>
  </si>
  <si>
    <t>P119H224</t>
  </si>
  <si>
    <t>Ratarupute</t>
  </si>
  <si>
    <t>P665H696</t>
  </si>
  <si>
    <t>Vererudapa</t>
  </si>
  <si>
    <t>H182H675</t>
  </si>
  <si>
    <t>Poverovopa</t>
  </si>
  <si>
    <t>P545P172</t>
  </si>
  <si>
    <t>Lararu</t>
  </si>
  <si>
    <t>P688P763</t>
  </si>
  <si>
    <t>Firefero</t>
  </si>
  <si>
    <t>P662P244</t>
  </si>
  <si>
    <t>Fiticivi</t>
  </si>
  <si>
    <t>P431P682</t>
  </si>
  <si>
    <t>Nupuvadu</t>
  </si>
  <si>
    <t>H489P939</t>
  </si>
  <si>
    <t>Repipepa</t>
  </si>
  <si>
    <t>P898H726</t>
  </si>
  <si>
    <t>Vumotuma</t>
  </si>
  <si>
    <t>P755P381</t>
  </si>
  <si>
    <t>Rotamorate</t>
  </si>
  <si>
    <t>P893P315</t>
  </si>
  <si>
    <t>Rocedu</t>
  </si>
  <si>
    <t>H567P719</t>
  </si>
  <si>
    <t>Cemalice</t>
  </si>
  <si>
    <t>P359P855</t>
  </si>
  <si>
    <t>Moridi</t>
  </si>
  <si>
    <t>P954H127</t>
  </si>
  <si>
    <t>Pevapida</t>
  </si>
  <si>
    <t>H688P366</t>
  </si>
  <si>
    <t>Gufata</t>
  </si>
  <si>
    <t>P218H437</t>
  </si>
  <si>
    <t>Vutedi</t>
  </si>
  <si>
    <t>H639P853</t>
  </si>
  <si>
    <t>Tocoti</t>
  </si>
  <si>
    <t>H775P482</t>
  </si>
  <si>
    <t>Rapedipamo</t>
  </si>
  <si>
    <t>P259H732</t>
  </si>
  <si>
    <t>Medupife</t>
  </si>
  <si>
    <t>P945H472</t>
  </si>
  <si>
    <t>Tatevopoti</t>
  </si>
  <si>
    <t>H469H292</t>
  </si>
  <si>
    <t>Mefepedupi</t>
  </si>
  <si>
    <t>H416H849</t>
  </si>
  <si>
    <t>Tucerutito</t>
  </si>
  <si>
    <t>P195P439</t>
  </si>
  <si>
    <t>Marevopova</t>
  </si>
  <si>
    <t>H429P374</t>
  </si>
  <si>
    <t>Voturo</t>
  </si>
  <si>
    <t>H764P199</t>
  </si>
  <si>
    <t>Penepate</t>
  </si>
  <si>
    <t>H727H199</t>
  </si>
  <si>
    <t>Ruteda</t>
  </si>
  <si>
    <t>H782P596</t>
  </si>
  <si>
    <t>Rafelerapi</t>
  </si>
  <si>
    <t>P797H275</t>
  </si>
  <si>
    <t>Cedepenumo</t>
  </si>
  <si>
    <t>P126P152</t>
  </si>
  <si>
    <t>Polatela</t>
  </si>
  <si>
    <t>H533P986</t>
  </si>
  <si>
    <t>Pepanigeta</t>
  </si>
  <si>
    <t>P449H364</t>
  </si>
  <si>
    <t>Fapuretopu</t>
  </si>
  <si>
    <t>P166H364</t>
  </si>
  <si>
    <t>Tegopa</t>
  </si>
  <si>
    <t>P491H227</t>
  </si>
  <si>
    <t>Fogocopigo</t>
  </si>
  <si>
    <t>P146H346</t>
  </si>
  <si>
    <t>Rerugepi</t>
  </si>
  <si>
    <t>P464P584</t>
  </si>
  <si>
    <t>Riteli</t>
  </si>
  <si>
    <t>P573H674</t>
  </si>
  <si>
    <t>Peputevite</t>
  </si>
  <si>
    <t>H269H179</t>
  </si>
  <si>
    <t>Gepodopo</t>
  </si>
  <si>
    <t>P194H617</t>
  </si>
  <si>
    <t>Putepecemo</t>
  </si>
  <si>
    <t>H391H721</t>
  </si>
  <si>
    <t>Ripiretori</t>
  </si>
  <si>
    <t>H349H361</t>
  </si>
  <si>
    <t>Rurepatipu</t>
  </si>
  <si>
    <t>P346P878</t>
  </si>
  <si>
    <t>Cevuro</t>
  </si>
  <si>
    <t>P886P282</t>
  </si>
  <si>
    <t>Nudica</t>
  </si>
  <si>
    <t>P565H273</t>
  </si>
  <si>
    <t>Mapinifi</t>
  </si>
  <si>
    <t>H443P459</t>
  </si>
  <si>
    <t>Terovegeta</t>
  </si>
  <si>
    <t>P825H773</t>
  </si>
  <si>
    <t>Pupolapo</t>
  </si>
  <si>
    <t>P247P143</t>
  </si>
  <si>
    <t>Votava</t>
  </si>
  <si>
    <t>H646P355</t>
  </si>
  <si>
    <t>Fuducole</t>
  </si>
  <si>
    <t>H527P341</t>
  </si>
  <si>
    <t>Miculacaco</t>
  </si>
  <si>
    <t>H558H348</t>
  </si>
  <si>
    <t>Menelapeda</t>
  </si>
  <si>
    <t>H532P698</t>
  </si>
  <si>
    <t>Lapipere</t>
  </si>
  <si>
    <t>P263H775</t>
  </si>
  <si>
    <t>Mirafapo</t>
  </si>
  <si>
    <t>H495H159</t>
  </si>
  <si>
    <t>Niluloloti</t>
  </si>
  <si>
    <t>P868H852</t>
  </si>
  <si>
    <t>Tevafu</t>
  </si>
  <si>
    <t>H235H826</t>
  </si>
  <si>
    <t>Medinumagi</t>
  </si>
  <si>
    <t>P716P782</t>
  </si>
  <si>
    <t>Parure</t>
  </si>
  <si>
    <t>H416P574</t>
  </si>
  <si>
    <t>Ratogumi</t>
  </si>
  <si>
    <t>H643H688</t>
  </si>
  <si>
    <t>Mitodepe</t>
  </si>
  <si>
    <t>P914H951</t>
  </si>
  <si>
    <t>Gigegadi</t>
  </si>
  <si>
    <t>H637H586</t>
  </si>
  <si>
    <t>Torino</t>
  </si>
  <si>
    <t>H694P481</t>
  </si>
  <si>
    <t>Rogovito</t>
  </si>
  <si>
    <t>P197H876</t>
  </si>
  <si>
    <t>Dupotu</t>
  </si>
  <si>
    <t>P392H978</t>
  </si>
  <si>
    <t>Panatiti</t>
  </si>
  <si>
    <t>H433H553</t>
  </si>
  <si>
    <t>Lipulote</t>
  </si>
  <si>
    <t>P772P158</t>
  </si>
  <si>
    <t>Mecitalu</t>
  </si>
  <si>
    <t>P967P537</t>
  </si>
  <si>
    <t>Lumarure</t>
  </si>
  <si>
    <t>H785P437</t>
  </si>
  <si>
    <t>Nopofo</t>
  </si>
  <si>
    <t>H865H352</t>
  </si>
  <si>
    <t>Nogidelu</t>
  </si>
  <si>
    <t>H331H546</t>
  </si>
  <si>
    <t>Puguvi</t>
  </si>
  <si>
    <t>P548P253</t>
  </si>
  <si>
    <t>Gugipola</t>
  </si>
  <si>
    <t>P531P826</t>
  </si>
  <si>
    <t>Mimuno</t>
  </si>
  <si>
    <t>P259H391</t>
  </si>
  <si>
    <t>Cupepono</t>
  </si>
  <si>
    <t>H233H425</t>
  </si>
  <si>
    <t>Foradamu</t>
  </si>
  <si>
    <t>H462H755</t>
  </si>
  <si>
    <t>Turucego</t>
  </si>
  <si>
    <t>H647P923</t>
  </si>
  <si>
    <t>Cucitota</t>
  </si>
  <si>
    <t>P117H715</t>
  </si>
  <si>
    <t>Dorirumoru</t>
  </si>
  <si>
    <t>P545P285</t>
  </si>
  <si>
    <t>Pulicepi</t>
  </si>
  <si>
    <t>H231P967</t>
  </si>
  <si>
    <t>Canodinogo</t>
  </si>
  <si>
    <t>H749P632</t>
  </si>
  <si>
    <t>Nevufi</t>
  </si>
  <si>
    <t>H644H253</t>
  </si>
  <si>
    <t>Patifapoga</t>
  </si>
  <si>
    <t>P474P843</t>
  </si>
  <si>
    <t>Pevepe</t>
  </si>
  <si>
    <t>P426H388</t>
  </si>
  <si>
    <t>Gocari</t>
  </si>
  <si>
    <t>P565P881</t>
  </si>
  <si>
    <t>Tagila</t>
  </si>
  <si>
    <t>H298H538</t>
  </si>
  <si>
    <t>Cavinevelo</t>
  </si>
  <si>
    <t>P293P322</t>
  </si>
  <si>
    <t>Pogecidelu</t>
  </si>
  <si>
    <t>H298P438</t>
  </si>
  <si>
    <t>Peralo</t>
  </si>
  <si>
    <t>H467H284</t>
  </si>
  <si>
    <t>Larinecupa</t>
  </si>
  <si>
    <t>H479P492</t>
  </si>
  <si>
    <t>Cotofitifi</t>
  </si>
  <si>
    <t>P613H527</t>
  </si>
  <si>
    <t>Dunodo</t>
  </si>
  <si>
    <t>H297H265</t>
  </si>
  <si>
    <t>Denatopudi</t>
  </si>
  <si>
    <t>P555P166</t>
  </si>
  <si>
    <t>Tutipapalu</t>
  </si>
  <si>
    <t>P886P514</t>
  </si>
  <si>
    <t>Riropupetu</t>
  </si>
  <si>
    <t>P273P288</t>
  </si>
  <si>
    <t>Gegati</t>
  </si>
  <si>
    <t>H594H412</t>
  </si>
  <si>
    <t>Luvutonefo</t>
  </si>
  <si>
    <t>H663P764</t>
  </si>
  <si>
    <t>Rutigipala</t>
  </si>
  <si>
    <t>H359H783</t>
  </si>
  <si>
    <t>Cidetefo</t>
  </si>
  <si>
    <t>H256P455</t>
  </si>
  <si>
    <t>Pipuluto</t>
  </si>
  <si>
    <t>H174P241</t>
  </si>
  <si>
    <t>Lecove</t>
  </si>
  <si>
    <t>H391P138</t>
  </si>
  <si>
    <t>Dupirucire</t>
  </si>
  <si>
    <t>H323P195</t>
  </si>
  <si>
    <t>Ragodalali</t>
  </si>
  <si>
    <t>H866H366</t>
  </si>
  <si>
    <t>Rufotumapi</t>
  </si>
  <si>
    <t>P936H911</t>
  </si>
  <si>
    <t>Ponedutipa</t>
  </si>
  <si>
    <t>P341P419</t>
  </si>
  <si>
    <t>Mitoluvagi</t>
  </si>
  <si>
    <t>P154P819</t>
  </si>
  <si>
    <t>Negipuri</t>
  </si>
  <si>
    <t>P346P532</t>
  </si>
  <si>
    <t>Rocugipidi</t>
  </si>
  <si>
    <t>P475H524</t>
  </si>
  <si>
    <t>Lumivi</t>
  </si>
  <si>
    <t>H832P892</t>
  </si>
  <si>
    <t>Pevapa</t>
  </si>
  <si>
    <t>H846P999</t>
  </si>
  <si>
    <t>Codepedu</t>
  </si>
  <si>
    <t>P461H735</t>
  </si>
  <si>
    <t>Tonuparo</t>
  </si>
  <si>
    <t>H422H359</t>
  </si>
  <si>
    <t>Ronopudapo</t>
  </si>
  <si>
    <t>P521H667</t>
  </si>
  <si>
    <t>Rudepimi</t>
  </si>
  <si>
    <t>P228H167</t>
  </si>
  <si>
    <t>Tatita</t>
  </si>
  <si>
    <t>P896H592</t>
  </si>
  <si>
    <t>Ceritu</t>
  </si>
  <si>
    <t>H126P995</t>
  </si>
  <si>
    <t>Vamoladapu</t>
  </si>
  <si>
    <t>P371P564</t>
  </si>
  <si>
    <t>Rogocogide</t>
  </si>
  <si>
    <t>P416P445</t>
  </si>
  <si>
    <t>Rerepopepi</t>
  </si>
  <si>
    <t>H693H715</t>
  </si>
  <si>
    <t>Raronu</t>
  </si>
  <si>
    <t>P977H273</t>
  </si>
  <si>
    <t>Piruci</t>
  </si>
  <si>
    <t>H341H173</t>
  </si>
  <si>
    <t>Fovuvepotu</t>
  </si>
  <si>
    <t>H352H248</t>
  </si>
  <si>
    <t>Piratucone</t>
  </si>
  <si>
    <t>P988P828</t>
  </si>
  <si>
    <t>Ganetedoni</t>
  </si>
  <si>
    <t>P366H596</t>
  </si>
  <si>
    <t>Movarafugi</t>
  </si>
  <si>
    <t>H559P117</t>
  </si>
  <si>
    <t>Fopituto</t>
  </si>
  <si>
    <t>H857H232</t>
  </si>
  <si>
    <t>Pegeme</t>
  </si>
  <si>
    <t>P436H986</t>
  </si>
  <si>
    <t>Cipuma</t>
  </si>
  <si>
    <t>P343H133</t>
  </si>
  <si>
    <t>Poferame</t>
  </si>
  <si>
    <t>H986P575</t>
  </si>
  <si>
    <t>Rumipitero</t>
  </si>
  <si>
    <t>H288P128</t>
  </si>
  <si>
    <t>Rudiruna</t>
  </si>
  <si>
    <t>P336H243</t>
  </si>
  <si>
    <t>Lidevu</t>
  </si>
  <si>
    <t>P987H699</t>
  </si>
  <si>
    <t>Rudocepa</t>
  </si>
  <si>
    <t>P376H139</t>
  </si>
  <si>
    <t>Gafico</t>
  </si>
  <si>
    <t>H126P766</t>
  </si>
  <si>
    <t>Dutupifopo</t>
  </si>
  <si>
    <t>P836H697</t>
  </si>
  <si>
    <t>Folarofe</t>
  </si>
  <si>
    <t>H645P187</t>
  </si>
  <si>
    <t>Pocaritite</t>
  </si>
  <si>
    <t>P667H286</t>
  </si>
  <si>
    <t>Ranenaceri</t>
  </si>
  <si>
    <t>P161P248</t>
  </si>
  <si>
    <t>Tumori</t>
  </si>
  <si>
    <t>H868H721</t>
  </si>
  <si>
    <t>Livime</t>
  </si>
  <si>
    <t>P734P755</t>
  </si>
  <si>
    <t>Pefemivuna</t>
  </si>
  <si>
    <t>P451P548</t>
  </si>
  <si>
    <t>Pitune</t>
  </si>
  <si>
    <t>P246P136</t>
  </si>
  <si>
    <t>Darapopi</t>
  </si>
  <si>
    <t>H436H287</t>
  </si>
  <si>
    <t>Podirore</t>
  </si>
  <si>
    <t>H166H448</t>
  </si>
  <si>
    <t>Rapurade</t>
  </si>
  <si>
    <t>H571P511</t>
  </si>
  <si>
    <t>Vipipovora</t>
  </si>
  <si>
    <t>P841H636</t>
  </si>
  <si>
    <t>Roguvegata</t>
  </si>
  <si>
    <t>H943P391</t>
  </si>
  <si>
    <t>Pirinocare</t>
  </si>
  <si>
    <t>P535P987</t>
  </si>
  <si>
    <t>Vorepemi</t>
  </si>
  <si>
    <t>H735P625</t>
  </si>
  <si>
    <t>Raparanege</t>
  </si>
  <si>
    <t>P523H119</t>
  </si>
  <si>
    <t>Dulucafa</t>
  </si>
  <si>
    <t>H933P995</t>
  </si>
  <si>
    <t>Ripopape</t>
  </si>
  <si>
    <t>H731P678</t>
  </si>
  <si>
    <t>Gorani</t>
  </si>
  <si>
    <t>P331H938</t>
  </si>
  <si>
    <t>Modopefotu</t>
  </si>
  <si>
    <t>P187P913</t>
  </si>
  <si>
    <t>Pepacu</t>
  </si>
  <si>
    <t>H732P916</t>
  </si>
  <si>
    <t>Dopadamelu</t>
  </si>
  <si>
    <t>P944P685</t>
  </si>
  <si>
    <t>Nanalatu</t>
  </si>
  <si>
    <t>P888H478</t>
  </si>
  <si>
    <t>Cedorimana</t>
  </si>
  <si>
    <t>H447P838</t>
  </si>
  <si>
    <t>Purumu</t>
  </si>
  <si>
    <t>P595P329</t>
  </si>
  <si>
    <t>Metafemi</t>
  </si>
  <si>
    <t>H489P362</t>
  </si>
  <si>
    <t>Tapira</t>
  </si>
  <si>
    <t>P286P914</t>
  </si>
  <si>
    <t>Lutanimiro</t>
  </si>
  <si>
    <t>H877P742</t>
  </si>
  <si>
    <t>Copepu</t>
  </si>
  <si>
    <t>H375H546</t>
  </si>
  <si>
    <t>Petecipu</t>
  </si>
  <si>
    <t>P929H144</t>
  </si>
  <si>
    <t>Tafamuneci</t>
  </si>
  <si>
    <t>H643H178</t>
  </si>
  <si>
    <t>Fodelorolu</t>
  </si>
  <si>
    <t>H854P534</t>
  </si>
  <si>
    <t>Romepuma</t>
  </si>
  <si>
    <t>P244P655</t>
  </si>
  <si>
    <t>Fucole</t>
  </si>
  <si>
    <t>H411H479</t>
  </si>
  <si>
    <t>Lipecurare</t>
  </si>
  <si>
    <t>H625P419</t>
  </si>
  <si>
    <t>Cinumu</t>
  </si>
  <si>
    <t>H247H845</t>
  </si>
  <si>
    <t>Fuceni</t>
  </si>
  <si>
    <t>P969P881</t>
  </si>
  <si>
    <t>Nugutila</t>
  </si>
  <si>
    <t>H787H532</t>
  </si>
  <si>
    <t>Polerudi</t>
  </si>
  <si>
    <t>H834H721</t>
  </si>
  <si>
    <t>Niririvi</t>
  </si>
  <si>
    <t>P982P825</t>
  </si>
  <si>
    <t>Cidarutaco</t>
  </si>
  <si>
    <t>H115P855</t>
  </si>
  <si>
    <t>Pepeda</t>
  </si>
  <si>
    <t>P722P389</t>
  </si>
  <si>
    <t>Gefodufo</t>
  </si>
  <si>
    <t>H772H663</t>
  </si>
  <si>
    <t>Meparepu</t>
  </si>
  <si>
    <t>H687H264</t>
  </si>
  <si>
    <t>Tupecuvatu</t>
  </si>
  <si>
    <t>H987H461</t>
  </si>
  <si>
    <t>Daguradani</t>
  </si>
  <si>
    <t>P335H422</t>
  </si>
  <si>
    <t>Donego</t>
  </si>
  <si>
    <t>P824P142</t>
  </si>
  <si>
    <t>Renatupu</t>
  </si>
  <si>
    <t>P849H556</t>
  </si>
  <si>
    <t>Renemuce</t>
  </si>
  <si>
    <t>P133P976</t>
  </si>
  <si>
    <t>Cirife</t>
  </si>
  <si>
    <t>P137P861</t>
  </si>
  <si>
    <t>Megogu</t>
  </si>
  <si>
    <t>P815H636</t>
  </si>
  <si>
    <t>Focelide</t>
  </si>
  <si>
    <t>P367P951</t>
  </si>
  <si>
    <t>Matenecapi</t>
  </si>
  <si>
    <t>H777H184</t>
  </si>
  <si>
    <t>Tarapugato</t>
  </si>
  <si>
    <t>P726P826</t>
  </si>
  <si>
    <t>Piralu</t>
  </si>
  <si>
    <t>H614H456</t>
  </si>
  <si>
    <t>Ponava</t>
  </si>
  <si>
    <t>P855P273</t>
  </si>
  <si>
    <t>Rolovifi</t>
  </si>
  <si>
    <t>P948H517</t>
  </si>
  <si>
    <t>Vopepumi</t>
  </si>
  <si>
    <t>P357P917</t>
  </si>
  <si>
    <t>Pogetepi</t>
  </si>
  <si>
    <t>P495H747</t>
  </si>
  <si>
    <t>Deranofipa</t>
  </si>
  <si>
    <t>H162P342</t>
  </si>
  <si>
    <t>Tumepela</t>
  </si>
  <si>
    <t>H735P463</t>
  </si>
  <si>
    <t>Tagipatoma</t>
  </si>
  <si>
    <t>H694H669</t>
  </si>
  <si>
    <t>Fopilama</t>
  </si>
  <si>
    <t>H469P486</t>
  </si>
  <si>
    <t>Lidinu</t>
  </si>
  <si>
    <t>H515H819</t>
  </si>
  <si>
    <t>Temopote</t>
  </si>
  <si>
    <t>H398P613</t>
  </si>
  <si>
    <t>Natonofuti</t>
  </si>
  <si>
    <t>P154H797</t>
  </si>
  <si>
    <t>Patuga</t>
  </si>
  <si>
    <t>P347H187</t>
  </si>
  <si>
    <t>Mulopapa</t>
  </si>
  <si>
    <t>H149P153</t>
  </si>
  <si>
    <t>Napace</t>
  </si>
  <si>
    <t>P861H917</t>
  </si>
  <si>
    <t>Fufopero</t>
  </si>
  <si>
    <t>P625P745</t>
  </si>
  <si>
    <t>Gagetatope</t>
  </si>
  <si>
    <t>H117H711</t>
  </si>
  <si>
    <t>Pituri</t>
  </si>
  <si>
    <t>H146H944</t>
  </si>
  <si>
    <t>Nenava</t>
  </si>
  <si>
    <t>P312H514</t>
  </si>
  <si>
    <t>Gemofiviru</t>
  </si>
  <si>
    <t>P869P186</t>
  </si>
  <si>
    <t>Vomipico</t>
  </si>
  <si>
    <t>H136P925</t>
  </si>
  <si>
    <t>Fuvepurodi</t>
  </si>
  <si>
    <t>H756H441</t>
  </si>
  <si>
    <t>Netugo</t>
  </si>
  <si>
    <t>H149P458</t>
  </si>
  <si>
    <t>Timiro</t>
  </si>
  <si>
    <t>P377H698</t>
  </si>
  <si>
    <t>Pepape</t>
  </si>
  <si>
    <t>H548H579</t>
  </si>
  <si>
    <t>Gimape</t>
  </si>
  <si>
    <t>P443H361</t>
  </si>
  <si>
    <t>Regopa</t>
  </si>
  <si>
    <t>H728P726</t>
  </si>
  <si>
    <t>Fogaduriti</t>
  </si>
  <si>
    <t>P523H388</t>
  </si>
  <si>
    <t>Tatura</t>
  </si>
  <si>
    <t>P184H391</t>
  </si>
  <si>
    <t>Penotalano</t>
  </si>
  <si>
    <t>P635P845</t>
  </si>
  <si>
    <t>Cinuripemo</t>
  </si>
  <si>
    <t>H524P462</t>
  </si>
  <si>
    <t>Galanuvufi</t>
  </si>
  <si>
    <t>H892P944</t>
  </si>
  <si>
    <t>Tupucona</t>
  </si>
  <si>
    <t>H891H786</t>
  </si>
  <si>
    <t>Taropada</t>
  </si>
  <si>
    <t>H688P476</t>
  </si>
  <si>
    <t>Cufapotami</t>
  </si>
  <si>
    <t>H866P847</t>
  </si>
  <si>
    <t>Rupiro</t>
  </si>
  <si>
    <t>P821H472</t>
  </si>
  <si>
    <t>Puvigenovi</t>
  </si>
  <si>
    <t>H373P684</t>
  </si>
  <si>
    <t>Menora</t>
  </si>
  <si>
    <t>P948P317</t>
  </si>
  <si>
    <t>Tomireno</t>
  </si>
  <si>
    <t>P824P824</t>
  </si>
  <si>
    <t>Tutereliro</t>
  </si>
  <si>
    <t>H596P813</t>
  </si>
  <si>
    <t>Papogu</t>
  </si>
  <si>
    <t>H932H746</t>
  </si>
  <si>
    <t>Varepego</t>
  </si>
  <si>
    <t>H632P264</t>
  </si>
  <si>
    <t>Fopemacapi</t>
  </si>
  <si>
    <t>P751H241</t>
  </si>
  <si>
    <t>Roluvo</t>
  </si>
  <si>
    <t>H575H646</t>
  </si>
  <si>
    <t>Gopemavige</t>
  </si>
  <si>
    <t>P899P748</t>
  </si>
  <si>
    <t>Fefevepa</t>
  </si>
  <si>
    <t>P454H281</t>
  </si>
  <si>
    <t>Piconadalu</t>
  </si>
  <si>
    <t>P579P116</t>
  </si>
  <si>
    <t>Pidaveturo</t>
  </si>
  <si>
    <t>H541P745</t>
  </si>
  <si>
    <t>Locipu</t>
  </si>
  <si>
    <t>P941P925</t>
  </si>
  <si>
    <t>Marocupu</t>
  </si>
  <si>
    <t>P399H546</t>
  </si>
  <si>
    <t>Fapemi</t>
  </si>
  <si>
    <t>P992H374</t>
  </si>
  <si>
    <t>Macirori</t>
  </si>
  <si>
    <t>H925H857</t>
  </si>
  <si>
    <t>Nipulitete</t>
  </si>
  <si>
    <t>H665P324</t>
  </si>
  <si>
    <t>Tudumafanu</t>
  </si>
  <si>
    <t>H618H259</t>
  </si>
  <si>
    <t>Rorutofogu</t>
  </si>
  <si>
    <t>P639P111</t>
  </si>
  <si>
    <t>Turunevafu</t>
  </si>
  <si>
    <t>H335H469</t>
  </si>
  <si>
    <t>Fenatirimu</t>
  </si>
  <si>
    <t>H955P122</t>
  </si>
  <si>
    <t>Fuperu</t>
  </si>
  <si>
    <t>H345H352</t>
  </si>
  <si>
    <t>Meterucuro</t>
  </si>
  <si>
    <t>P441P742</t>
  </si>
  <si>
    <t>Ritine</t>
  </si>
  <si>
    <t>H675H774</t>
  </si>
  <si>
    <t>Canecegupo</t>
  </si>
  <si>
    <t>H736P987</t>
  </si>
  <si>
    <t>Vupove</t>
  </si>
  <si>
    <t>P856H646</t>
  </si>
  <si>
    <t>Rarevofano</t>
  </si>
  <si>
    <t>H745P554</t>
  </si>
  <si>
    <t>Donarunoce</t>
  </si>
  <si>
    <t>P348P869</t>
  </si>
  <si>
    <t>Vapitu</t>
  </si>
  <si>
    <t>P977H712</t>
  </si>
  <si>
    <t>Navotifo</t>
  </si>
  <si>
    <t>P937P341</t>
  </si>
  <si>
    <t>Guluru</t>
  </si>
  <si>
    <t>H445H819</t>
  </si>
  <si>
    <t>Pifutapu</t>
  </si>
  <si>
    <t>P755H532</t>
  </si>
  <si>
    <t>Piteco</t>
  </si>
  <si>
    <t>P947P659</t>
  </si>
  <si>
    <t>Nipapi</t>
  </si>
  <si>
    <t>H475P947</t>
  </si>
  <si>
    <t>Repula</t>
  </si>
  <si>
    <t>P995H649</t>
  </si>
  <si>
    <t>Temapo</t>
  </si>
  <si>
    <t>P974P941</t>
  </si>
  <si>
    <t>Pugice</t>
  </si>
  <si>
    <t>H397P411</t>
  </si>
  <si>
    <t>Terinipe</t>
  </si>
  <si>
    <t>P342P633</t>
  </si>
  <si>
    <t>Mopatu</t>
  </si>
  <si>
    <t>P899H681</t>
  </si>
  <si>
    <t>Mipulu</t>
  </si>
  <si>
    <t>H699H318</t>
  </si>
  <si>
    <t>Nulifinogu</t>
  </si>
  <si>
    <t>H348H166</t>
  </si>
  <si>
    <t>Vovocanele</t>
  </si>
  <si>
    <t>H751H657</t>
  </si>
  <si>
    <t>Tarecorepe</t>
  </si>
  <si>
    <t>P697P831</t>
  </si>
  <si>
    <t>Domudonu</t>
  </si>
  <si>
    <t>H272H276</t>
  </si>
  <si>
    <t>Nepamicipi</t>
  </si>
  <si>
    <t>H293P577</t>
  </si>
  <si>
    <t>Tulifa</t>
  </si>
  <si>
    <t>P381P119</t>
  </si>
  <si>
    <t>Pugopi</t>
  </si>
  <si>
    <t>H628P885</t>
  </si>
  <si>
    <t>Modagipodo</t>
  </si>
  <si>
    <t>P372H292</t>
  </si>
  <si>
    <t>Picopura</t>
  </si>
  <si>
    <t>H645H558</t>
  </si>
  <si>
    <t>Tapafecope</t>
  </si>
  <si>
    <t>P389P268</t>
  </si>
  <si>
    <t>Cudamocopi</t>
  </si>
  <si>
    <t>P667H188</t>
  </si>
  <si>
    <t>Laridupaca</t>
  </si>
  <si>
    <t>H822H885</t>
  </si>
  <si>
    <t>Rapopa</t>
  </si>
  <si>
    <t>H538H378</t>
  </si>
  <si>
    <t>Rupari</t>
  </si>
  <si>
    <t>P691P787</t>
  </si>
  <si>
    <t>Duteco</t>
  </si>
  <si>
    <t>H399P915</t>
  </si>
  <si>
    <t>Rapetofe</t>
  </si>
  <si>
    <t>H692H175</t>
  </si>
  <si>
    <t>Temifara</t>
  </si>
  <si>
    <t>P888H517</t>
  </si>
  <si>
    <t>Pemuti</t>
  </si>
  <si>
    <t>P821P341</t>
  </si>
  <si>
    <t>Furupeto</t>
  </si>
  <si>
    <t>H481H849</t>
  </si>
  <si>
    <t>Parigupava</t>
  </si>
  <si>
    <t>H469H647</t>
  </si>
  <si>
    <t>Toficipe</t>
  </si>
  <si>
    <t>P821P284</t>
  </si>
  <si>
    <t>Valefoga</t>
  </si>
  <si>
    <t>P897P476</t>
  </si>
  <si>
    <t>Tidupu</t>
  </si>
  <si>
    <t>H672P343</t>
  </si>
  <si>
    <t>Rutocaguda</t>
  </si>
  <si>
    <t>H956H675</t>
  </si>
  <si>
    <t>Pomefipeni</t>
  </si>
  <si>
    <t>H269H715</t>
  </si>
  <si>
    <t>Ropoticacu</t>
  </si>
  <si>
    <t>H229P155</t>
  </si>
  <si>
    <t>Torage</t>
  </si>
  <si>
    <t>P221H966</t>
  </si>
  <si>
    <t>Pafurefa</t>
  </si>
  <si>
    <t>H637H523</t>
  </si>
  <si>
    <t>Popuditoto</t>
  </si>
  <si>
    <t>H724H675</t>
  </si>
  <si>
    <t>Tuvodona</t>
  </si>
  <si>
    <t>H749P499</t>
  </si>
  <si>
    <t>Piraralo</t>
  </si>
  <si>
    <t>P632H596</t>
  </si>
  <si>
    <t>Penero</t>
  </si>
  <si>
    <t>P838H438</t>
  </si>
  <si>
    <t>Rorovita</t>
  </si>
  <si>
    <t>H732P396</t>
  </si>
  <si>
    <t>Curivi</t>
  </si>
  <si>
    <t>H488H179</t>
  </si>
  <si>
    <t>Paliveme</t>
  </si>
  <si>
    <t>H926P734</t>
  </si>
  <si>
    <t>Taceturu</t>
  </si>
  <si>
    <t>H532H831</t>
  </si>
  <si>
    <t>Damira</t>
  </si>
  <si>
    <t>P734H823</t>
  </si>
  <si>
    <t>Ripevafope</t>
  </si>
  <si>
    <t>H451P636</t>
  </si>
  <si>
    <t>Ratumova</t>
  </si>
  <si>
    <t>P961H738</t>
  </si>
  <si>
    <t>Rorapalape</t>
  </si>
  <si>
    <t>P672H961</t>
  </si>
  <si>
    <t>Viloruga</t>
  </si>
  <si>
    <t>H465P669</t>
  </si>
  <si>
    <t>Firacato</t>
  </si>
  <si>
    <t>H461P667</t>
  </si>
  <si>
    <t>Gotadofepu</t>
  </si>
  <si>
    <t>P685H239</t>
  </si>
  <si>
    <t>Ponopatufo</t>
  </si>
  <si>
    <t>P233H554</t>
  </si>
  <si>
    <t>Tenogapigu</t>
  </si>
  <si>
    <t>H117P727</t>
  </si>
  <si>
    <t>Murerava</t>
  </si>
  <si>
    <t>H227P855</t>
  </si>
  <si>
    <t>Lutimana</t>
  </si>
  <si>
    <t>P631P858</t>
  </si>
  <si>
    <t>Daretatupo</t>
  </si>
  <si>
    <t>P557P568</t>
  </si>
  <si>
    <t>Davata</t>
  </si>
  <si>
    <t>H126P278</t>
  </si>
  <si>
    <t>Funateripe</t>
  </si>
  <si>
    <t>P225P326</t>
  </si>
  <si>
    <t>Gigeta</t>
  </si>
  <si>
    <t>H184P767</t>
  </si>
  <si>
    <t>Gulomofi</t>
  </si>
  <si>
    <t>H246H267</t>
  </si>
  <si>
    <t>Pumipedini</t>
  </si>
  <si>
    <t>P945P541</t>
  </si>
  <si>
    <t>Tipono</t>
  </si>
  <si>
    <t>P722H897</t>
  </si>
  <si>
    <t>Mucilitire</t>
  </si>
  <si>
    <t>H498H238</t>
  </si>
  <si>
    <t>Pagomevitu</t>
  </si>
  <si>
    <t>P428P436</t>
  </si>
  <si>
    <t>Pemecidi</t>
  </si>
  <si>
    <t>P986H136</t>
  </si>
  <si>
    <t>Vepupapa</t>
  </si>
  <si>
    <t>P697P922</t>
  </si>
  <si>
    <t>Reripelaru</t>
  </si>
  <si>
    <t>H635P634</t>
  </si>
  <si>
    <t>Norapunupu</t>
  </si>
  <si>
    <t>H663P358</t>
  </si>
  <si>
    <t>Tutuditoli</t>
  </si>
  <si>
    <t>H756P163</t>
  </si>
  <si>
    <t>Gevurupuru</t>
  </si>
  <si>
    <t>P968P994</t>
  </si>
  <si>
    <t>Gapavupapi</t>
  </si>
  <si>
    <t>H736H945</t>
  </si>
  <si>
    <t>Vipoviliru</t>
  </si>
  <si>
    <t>H419H879</t>
  </si>
  <si>
    <t>Vopucepamo</t>
  </si>
  <si>
    <t>H726P273</t>
  </si>
  <si>
    <t>Tepuce</t>
  </si>
  <si>
    <t>P948H843</t>
  </si>
  <si>
    <t>Pemumitora</t>
  </si>
  <si>
    <t>P144H546</t>
  </si>
  <si>
    <t>Fapuragi</t>
  </si>
  <si>
    <t>H487H463</t>
  </si>
  <si>
    <t>Lamefepe</t>
  </si>
  <si>
    <t>H487P611</t>
  </si>
  <si>
    <t>Lerenotu</t>
  </si>
  <si>
    <t>P597H444</t>
  </si>
  <si>
    <t>Tidinudifa</t>
  </si>
  <si>
    <t>H366H311</t>
  </si>
  <si>
    <t>Romipo</t>
  </si>
  <si>
    <t>P814P725</t>
  </si>
  <si>
    <t>Lacevicela</t>
  </si>
  <si>
    <t>P942H818</t>
  </si>
  <si>
    <t>Lutepuci</t>
  </si>
  <si>
    <t>H471H659</t>
  </si>
  <si>
    <t>Rotupa</t>
  </si>
  <si>
    <t>H312P762</t>
  </si>
  <si>
    <t>Ponotumu</t>
  </si>
  <si>
    <t>H168P277</t>
  </si>
  <si>
    <t>Fivadote</t>
  </si>
  <si>
    <t>H546H924</t>
  </si>
  <si>
    <t>Napolu</t>
  </si>
  <si>
    <t>H213H542</t>
  </si>
  <si>
    <t>Retera</t>
  </si>
  <si>
    <t>P998H818</t>
  </si>
  <si>
    <t>Pamoce</t>
  </si>
  <si>
    <t>H138P582</t>
  </si>
  <si>
    <t>Gadototi</t>
  </si>
  <si>
    <t>H881H638</t>
  </si>
  <si>
    <t>Ridamevu</t>
  </si>
  <si>
    <t>P185P288</t>
  </si>
  <si>
    <t>Petudutipu</t>
  </si>
  <si>
    <t>P916H726</t>
  </si>
  <si>
    <t>Piponuta</t>
  </si>
  <si>
    <t>H987H215</t>
  </si>
  <si>
    <t>Focari</t>
  </si>
  <si>
    <t>P128H731</t>
  </si>
  <si>
    <t>Mupalini</t>
  </si>
  <si>
    <t>P155H671</t>
  </si>
  <si>
    <t>Pederulicu</t>
  </si>
  <si>
    <t>H793P999</t>
  </si>
  <si>
    <t>Potarere</t>
  </si>
  <si>
    <t>P726H599</t>
  </si>
  <si>
    <t>Gucula</t>
  </si>
  <si>
    <t>H581H451</t>
  </si>
  <si>
    <t>Tilove</t>
  </si>
  <si>
    <t>P111P475</t>
  </si>
  <si>
    <t>Nupate</t>
  </si>
  <si>
    <t>H911P329</t>
  </si>
  <si>
    <t>Pofari</t>
  </si>
  <si>
    <t>H555P172</t>
  </si>
  <si>
    <t>Galucota</t>
  </si>
  <si>
    <t>H937P845</t>
  </si>
  <si>
    <t>Dopodo</t>
  </si>
  <si>
    <t>P514P652</t>
  </si>
  <si>
    <t>Naparune</t>
  </si>
  <si>
    <t>P627P416</t>
  </si>
  <si>
    <t>Rimupapi</t>
  </si>
  <si>
    <t>H853P655</t>
  </si>
  <si>
    <t>Vipugepi</t>
  </si>
  <si>
    <t>H493H797</t>
  </si>
  <si>
    <t>Pururuce</t>
  </si>
  <si>
    <t>P865H759</t>
  </si>
  <si>
    <t>Rifaronude</t>
  </si>
  <si>
    <t>P163P684</t>
  </si>
  <si>
    <t>Camupe</t>
  </si>
  <si>
    <t>H833H316</t>
  </si>
  <si>
    <t>Tomulu</t>
  </si>
  <si>
    <t>P245H995</t>
  </si>
  <si>
    <t>Nutetafava</t>
  </si>
  <si>
    <t>H358H871</t>
  </si>
  <si>
    <t>Tiponetatu</t>
  </si>
  <si>
    <t>P224P834</t>
  </si>
  <si>
    <t>Detotera</t>
  </si>
  <si>
    <t>P259P945</t>
  </si>
  <si>
    <t>Lugocolodu</t>
  </si>
  <si>
    <t>P991H576</t>
  </si>
  <si>
    <t>Ditatuvi</t>
  </si>
  <si>
    <t>H676P682</t>
  </si>
  <si>
    <t>Pudagiruto</t>
  </si>
  <si>
    <t>H285H135</t>
  </si>
  <si>
    <t>Dupado</t>
  </si>
  <si>
    <t>H444H723</t>
  </si>
  <si>
    <t>Panilo</t>
  </si>
  <si>
    <t>H523H796</t>
  </si>
  <si>
    <t>Gaceporofu</t>
  </si>
  <si>
    <t>P875H779</t>
  </si>
  <si>
    <t>Lalumapipe</t>
  </si>
  <si>
    <t>P847P993</t>
  </si>
  <si>
    <t>Patufucici</t>
  </si>
  <si>
    <t>P146H467</t>
  </si>
  <si>
    <t>Depuvo</t>
  </si>
  <si>
    <t>H236H529</t>
  </si>
  <si>
    <t>Mupora</t>
  </si>
  <si>
    <t>H542P123</t>
  </si>
  <si>
    <t>Ritedupela</t>
  </si>
  <si>
    <t>P174P899</t>
  </si>
  <si>
    <t>Celifofa</t>
  </si>
  <si>
    <t>H338P635</t>
  </si>
  <si>
    <t>Tetire</t>
  </si>
  <si>
    <t>P951P967</t>
  </si>
  <si>
    <t>Dogorogere</t>
  </si>
  <si>
    <t>P857H195</t>
  </si>
  <si>
    <t>Puripiladu</t>
  </si>
  <si>
    <t>P878P681</t>
  </si>
  <si>
    <t>Puvipadici</t>
  </si>
  <si>
    <t>P133P673</t>
  </si>
  <si>
    <t>Pataciro</t>
  </si>
  <si>
    <t>H363H827</t>
  </si>
  <si>
    <t>Lugota</t>
  </si>
  <si>
    <t>H719P221</t>
  </si>
  <si>
    <t>Parata</t>
  </si>
  <si>
    <t>H161H515</t>
  </si>
  <si>
    <t>Galefitora</t>
  </si>
  <si>
    <t>P343P411</t>
  </si>
  <si>
    <t>Piruvacutu</t>
  </si>
  <si>
    <t>P568H488</t>
  </si>
  <si>
    <t>Povuta</t>
  </si>
  <si>
    <t>P417P232</t>
  </si>
  <si>
    <t>Corerevipe</t>
  </si>
  <si>
    <t>H812H399</t>
  </si>
  <si>
    <t>Patunu</t>
  </si>
  <si>
    <t>P317P386</t>
  </si>
  <si>
    <t>Pidipepa</t>
  </si>
  <si>
    <t>H738H722</t>
  </si>
  <si>
    <t>Rerariraga</t>
  </si>
  <si>
    <t>H194H898</t>
  </si>
  <si>
    <t>Rerudarufe</t>
  </si>
  <si>
    <t>P381P288</t>
  </si>
  <si>
    <t>Dimuca</t>
  </si>
  <si>
    <t>P327P874</t>
  </si>
  <si>
    <t>Natopi</t>
  </si>
  <si>
    <t>P677P137</t>
  </si>
  <si>
    <t>Petolo</t>
  </si>
  <si>
    <t>P758P228</t>
  </si>
  <si>
    <t>Tanivo</t>
  </si>
  <si>
    <t>P549H884</t>
  </si>
  <si>
    <t>Gagirudapa</t>
  </si>
  <si>
    <t>P599H614</t>
  </si>
  <si>
    <t>Virepilapo</t>
  </si>
  <si>
    <t>P345P868</t>
  </si>
  <si>
    <t>Pifufuvopi</t>
  </si>
  <si>
    <t>H891H947</t>
  </si>
  <si>
    <t>Rutopotu</t>
  </si>
  <si>
    <t>H342P111</t>
  </si>
  <si>
    <t>Tatepu</t>
  </si>
  <si>
    <t>H228P233</t>
  </si>
  <si>
    <t>Vidaporepa</t>
  </si>
  <si>
    <t>P598P514</t>
  </si>
  <si>
    <t>Refugu</t>
  </si>
  <si>
    <t>P137P487</t>
  </si>
  <si>
    <t>Purulepele</t>
  </si>
  <si>
    <t>P886H168</t>
  </si>
  <si>
    <t>Tevalucicu</t>
  </si>
  <si>
    <t>P661P972</t>
  </si>
  <si>
    <t>Popumate</t>
  </si>
  <si>
    <t>H482P472</t>
  </si>
  <si>
    <t>Pevuva</t>
  </si>
  <si>
    <t>H653H654</t>
  </si>
  <si>
    <t>Derotuve</t>
  </si>
  <si>
    <t>H873H545</t>
  </si>
  <si>
    <t>Culide</t>
  </si>
  <si>
    <t>P397P877</t>
  </si>
  <si>
    <t>Pupoto</t>
  </si>
  <si>
    <t>P836P985</t>
  </si>
  <si>
    <t>Nulidepufa</t>
  </si>
  <si>
    <t>P981H484</t>
  </si>
  <si>
    <t>Tamuli</t>
  </si>
  <si>
    <t>P391P747</t>
  </si>
  <si>
    <t>Tifatu</t>
  </si>
  <si>
    <t>P763H429</t>
  </si>
  <si>
    <t>Gatemopi</t>
  </si>
  <si>
    <t>P787H141</t>
  </si>
  <si>
    <t>Votiri</t>
  </si>
  <si>
    <t>P443P926</t>
  </si>
  <si>
    <t>Papipe</t>
  </si>
  <si>
    <t>P175H683</t>
  </si>
  <si>
    <t>Regapeta</t>
  </si>
  <si>
    <t>P662P263</t>
  </si>
  <si>
    <t>Deficamu</t>
  </si>
  <si>
    <t>H168P469</t>
  </si>
  <si>
    <t>Nitovi</t>
  </si>
  <si>
    <t>H262P723</t>
  </si>
  <si>
    <t>Lonepoti</t>
  </si>
  <si>
    <t>H171H699</t>
  </si>
  <si>
    <t>Rapole</t>
  </si>
  <si>
    <t>P228H172</t>
  </si>
  <si>
    <t>Mururedari</t>
  </si>
  <si>
    <t>H946H875</t>
  </si>
  <si>
    <t>Fatigo</t>
  </si>
  <si>
    <t>H425P241</t>
  </si>
  <si>
    <t>Panedotofe</t>
  </si>
  <si>
    <t>P238H297</t>
  </si>
  <si>
    <t>Romutiporu</t>
  </si>
  <si>
    <t>P964H636</t>
  </si>
  <si>
    <t>Rafuripuvi</t>
  </si>
  <si>
    <t>P977H735</t>
  </si>
  <si>
    <t>Pumoto</t>
  </si>
  <si>
    <t>P826P232</t>
  </si>
  <si>
    <t>Vitadetu</t>
  </si>
  <si>
    <t>H525P485</t>
  </si>
  <si>
    <t>Vopave</t>
  </si>
  <si>
    <t>P821H841</t>
  </si>
  <si>
    <t>Racopo</t>
  </si>
  <si>
    <t>P525P673</t>
  </si>
  <si>
    <t>Napurodi</t>
  </si>
  <si>
    <t>P417H749</t>
  </si>
  <si>
    <t>Pireleca</t>
  </si>
  <si>
    <t>P274P337</t>
  </si>
  <si>
    <t>Pupenupuci</t>
  </si>
  <si>
    <t>H469H214</t>
  </si>
  <si>
    <t>Papemugogo</t>
  </si>
  <si>
    <t>H929H696</t>
  </si>
  <si>
    <t>Neninugo</t>
  </si>
  <si>
    <t>P786H652</t>
  </si>
  <si>
    <t>Lidaritipo</t>
  </si>
  <si>
    <t>P642P429</t>
  </si>
  <si>
    <t>Nocuto</t>
  </si>
  <si>
    <t>P844H378</t>
  </si>
  <si>
    <t>Rataripupu</t>
  </si>
  <si>
    <t>H439H611</t>
  </si>
  <si>
    <t>Tepepi</t>
  </si>
  <si>
    <t>H128P679</t>
  </si>
  <si>
    <t>Farivafe</t>
  </si>
  <si>
    <t>P473H497</t>
  </si>
  <si>
    <t>Funurape</t>
  </si>
  <si>
    <t>P387H919</t>
  </si>
  <si>
    <t>Lugumudo</t>
  </si>
  <si>
    <t>P737P623</t>
  </si>
  <si>
    <t>Togafuteru</t>
  </si>
  <si>
    <t>P962P521</t>
  </si>
  <si>
    <t>Lameto</t>
  </si>
  <si>
    <t>P181H582</t>
  </si>
  <si>
    <t>Ridanefe</t>
  </si>
  <si>
    <t>P827P769</t>
  </si>
  <si>
    <t>Lepavicati</t>
  </si>
  <si>
    <t>H745H641</t>
  </si>
  <si>
    <t>Vatini</t>
  </si>
  <si>
    <t>H656P417</t>
  </si>
  <si>
    <t>Nifirivita</t>
  </si>
  <si>
    <t>P153H977</t>
  </si>
  <si>
    <t>Nipolaru</t>
  </si>
  <si>
    <t>P587P256</t>
  </si>
  <si>
    <t>Periludage</t>
  </si>
  <si>
    <t>P198H521</t>
  </si>
  <si>
    <t>Digugidi</t>
  </si>
  <si>
    <t>H866P879</t>
  </si>
  <si>
    <t>Dunelunu</t>
  </si>
  <si>
    <t>P878H426</t>
  </si>
  <si>
    <t>Papupu</t>
  </si>
  <si>
    <t>P725P788</t>
  </si>
  <si>
    <t>Demipuna</t>
  </si>
  <si>
    <t>H484H561</t>
  </si>
  <si>
    <t>Titudaradu</t>
  </si>
  <si>
    <t>P345P496</t>
  </si>
  <si>
    <t>Cotetipi</t>
  </si>
  <si>
    <t>H545P384</t>
  </si>
  <si>
    <t>Mipufupu</t>
  </si>
  <si>
    <t>P928P178</t>
  </si>
  <si>
    <t>Potifigo</t>
  </si>
  <si>
    <t>H323P276</t>
  </si>
  <si>
    <t>Delucolo</t>
  </si>
  <si>
    <t>P799H323</t>
  </si>
  <si>
    <t>Gurugiri</t>
  </si>
  <si>
    <t>H923P488</t>
  </si>
  <si>
    <t>Vecigidone</t>
  </si>
  <si>
    <t>H588H741</t>
  </si>
  <si>
    <t>Vetogice</t>
  </si>
  <si>
    <t>H856H224</t>
  </si>
  <si>
    <t>Togupori</t>
  </si>
  <si>
    <t>H947P779</t>
  </si>
  <si>
    <t>Folifuno</t>
  </si>
  <si>
    <t>H224H544</t>
  </si>
  <si>
    <t>Papaficuni</t>
  </si>
  <si>
    <t>P124P521</t>
  </si>
  <si>
    <t>Poputo</t>
  </si>
  <si>
    <t>P851H117</t>
  </si>
  <si>
    <t>Tanacapege</t>
  </si>
  <si>
    <t>P527P146</t>
  </si>
  <si>
    <t>Teremo</t>
  </si>
  <si>
    <t>P966H767</t>
  </si>
  <si>
    <t>Tapono</t>
  </si>
  <si>
    <t>H289H859</t>
  </si>
  <si>
    <t>Pinicafelu</t>
  </si>
  <si>
    <t>P412H776</t>
  </si>
  <si>
    <t>Pemecu</t>
  </si>
  <si>
    <t>P271H867</t>
  </si>
  <si>
    <t>Gerinovo</t>
  </si>
  <si>
    <t>P615H932</t>
  </si>
  <si>
    <t>Gigopego</t>
  </si>
  <si>
    <t>H737P774</t>
  </si>
  <si>
    <t>Vupona</t>
  </si>
  <si>
    <t>P413H448</t>
  </si>
  <si>
    <t>Vimevipa</t>
  </si>
  <si>
    <t>H388P351</t>
  </si>
  <si>
    <t>Didipipipa</t>
  </si>
  <si>
    <t>P246H473</t>
  </si>
  <si>
    <t>Doragoda</t>
  </si>
  <si>
    <t>H337H237</t>
  </si>
  <si>
    <t>Talumevi</t>
  </si>
  <si>
    <t>H183P962</t>
  </si>
  <si>
    <t>Nocepe</t>
  </si>
  <si>
    <t>P657H762</t>
  </si>
  <si>
    <t>Niduvife</t>
  </si>
  <si>
    <t>P484P888</t>
  </si>
  <si>
    <t>Lenepo</t>
  </si>
  <si>
    <t>H162H773</t>
  </si>
  <si>
    <t>Falatanaro</t>
  </si>
  <si>
    <t>P245H349</t>
  </si>
  <si>
    <t>Gopenemo</t>
  </si>
  <si>
    <t>H155P441</t>
  </si>
  <si>
    <t>Revitepeva</t>
  </si>
  <si>
    <t>P594H515</t>
  </si>
  <si>
    <t>Tutilapu</t>
  </si>
  <si>
    <t>H588H384</t>
  </si>
  <si>
    <t>Locupapari</t>
  </si>
  <si>
    <t>H541H673</t>
  </si>
  <si>
    <t>Norapini</t>
  </si>
  <si>
    <t>H511P689</t>
  </si>
  <si>
    <t>Natocopeto</t>
  </si>
  <si>
    <t>P351H257</t>
  </si>
  <si>
    <t>Picofofupe</t>
  </si>
  <si>
    <t>H571H378</t>
  </si>
  <si>
    <t>Pigafa</t>
  </si>
  <si>
    <t>P586P465</t>
  </si>
  <si>
    <t>Gucuto</t>
  </si>
  <si>
    <t>P867P994</t>
  </si>
  <si>
    <t>Panulu</t>
  </si>
  <si>
    <t>H816P917</t>
  </si>
  <si>
    <t>Panatite</t>
  </si>
  <si>
    <t>P113P453</t>
  </si>
  <si>
    <t>Merili</t>
  </si>
  <si>
    <t>P699P339</t>
  </si>
  <si>
    <t>Padivige</t>
  </si>
  <si>
    <t>H797P781</t>
  </si>
  <si>
    <t>Rupone</t>
  </si>
  <si>
    <t>P379H933</t>
  </si>
  <si>
    <t>Nutecidipo</t>
  </si>
  <si>
    <t>P673H559</t>
  </si>
  <si>
    <t>Matalupa</t>
  </si>
  <si>
    <t>H978H862</t>
  </si>
  <si>
    <t>Pifonilocu</t>
  </si>
  <si>
    <t>H373H317</t>
  </si>
  <si>
    <t>Cirefapu</t>
  </si>
  <si>
    <t>H824P368</t>
  </si>
  <si>
    <t>Pecunanuni</t>
  </si>
  <si>
    <t>H974H915</t>
  </si>
  <si>
    <t>Patedata</t>
  </si>
  <si>
    <t>P811P375</t>
  </si>
  <si>
    <t>Motivevuli</t>
  </si>
  <si>
    <t>H513H946</t>
  </si>
  <si>
    <t>Relepa</t>
  </si>
  <si>
    <t>H651P278</t>
  </si>
  <si>
    <t>Ponute</t>
  </si>
  <si>
    <t>P938H881</t>
  </si>
  <si>
    <t>Legera</t>
  </si>
  <si>
    <t>P877H866</t>
  </si>
  <si>
    <t>Fefepo</t>
  </si>
  <si>
    <t>H734H553</t>
  </si>
  <si>
    <t>Perapopo</t>
  </si>
  <si>
    <t>H174P674</t>
  </si>
  <si>
    <t>Dateru</t>
  </si>
  <si>
    <t>P128H216</t>
  </si>
  <si>
    <t>Rogipo</t>
  </si>
  <si>
    <t>P772H365</t>
  </si>
  <si>
    <t>Picolune</t>
  </si>
  <si>
    <t>H693P525</t>
  </si>
  <si>
    <t>Titopipu</t>
  </si>
  <si>
    <t>H173H186</t>
  </si>
  <si>
    <t>Dopedu</t>
  </si>
  <si>
    <t>H559P423</t>
  </si>
  <si>
    <t>Govodipida</t>
  </si>
  <si>
    <t>P363H472</t>
  </si>
  <si>
    <t>Maretidi</t>
  </si>
  <si>
    <t>P685H225</t>
  </si>
  <si>
    <t>Patuterete</t>
  </si>
  <si>
    <t>H574H914</t>
  </si>
  <si>
    <t>Vaconace</t>
  </si>
  <si>
    <t>P374H313</t>
  </si>
  <si>
    <t>Feteti</t>
  </si>
  <si>
    <t>P276H148</t>
  </si>
  <si>
    <t>Vogede</t>
  </si>
  <si>
    <t>H954P336</t>
  </si>
  <si>
    <t>Legiti</t>
  </si>
  <si>
    <t>H332H988</t>
  </si>
  <si>
    <t>Remavilame</t>
  </si>
  <si>
    <t>P758P848</t>
  </si>
  <si>
    <t>Rolovugalo</t>
  </si>
  <si>
    <t>H796H216</t>
  </si>
  <si>
    <t>Rupete</t>
  </si>
  <si>
    <t>P526H675</t>
  </si>
  <si>
    <t>Togorucu</t>
  </si>
  <si>
    <t>H362P349</t>
  </si>
  <si>
    <t>Giroto</t>
  </si>
  <si>
    <t>H579H719</t>
  </si>
  <si>
    <t>Pituviva</t>
  </si>
  <si>
    <t>P981H977</t>
  </si>
  <si>
    <t>Midaporeru</t>
  </si>
  <si>
    <t>P656H525</t>
  </si>
  <si>
    <t>Potataceme</t>
  </si>
  <si>
    <t>H146P647</t>
  </si>
  <si>
    <t>Ditepefotu</t>
  </si>
  <si>
    <t>P476H857</t>
  </si>
  <si>
    <t>Vipata</t>
  </si>
  <si>
    <t>H799P781</t>
  </si>
  <si>
    <t>Cudapa</t>
  </si>
  <si>
    <t>P833P457</t>
  </si>
  <si>
    <t>Vutuca</t>
  </si>
  <si>
    <t>H579H196</t>
  </si>
  <si>
    <t>Tipufira</t>
  </si>
  <si>
    <t>H365H648</t>
  </si>
  <si>
    <t>Rupotarofo</t>
  </si>
  <si>
    <t>H612P644</t>
  </si>
  <si>
    <t>Tetepi</t>
  </si>
  <si>
    <t>P973H167</t>
  </si>
  <si>
    <t>Celipa</t>
  </si>
  <si>
    <t>H397H893</t>
  </si>
  <si>
    <t>Rutapodu</t>
  </si>
  <si>
    <t>H866P379</t>
  </si>
  <si>
    <t>Pinutotu</t>
  </si>
  <si>
    <t>P867H739</t>
  </si>
  <si>
    <t>Vepaloro</t>
  </si>
  <si>
    <t>P231P927</t>
  </si>
  <si>
    <t>Vorafapora</t>
  </si>
  <si>
    <t>H122H165</t>
  </si>
  <si>
    <t>Vovopa</t>
  </si>
  <si>
    <t>H667H962</t>
  </si>
  <si>
    <t>Rurine</t>
  </si>
  <si>
    <t>P378H963</t>
  </si>
  <si>
    <t>Guratato</t>
  </si>
  <si>
    <t>P567H778</t>
  </si>
  <si>
    <t>Fopugufidi</t>
  </si>
  <si>
    <t>H892P386</t>
  </si>
  <si>
    <t>Cogate</t>
  </si>
  <si>
    <t>H253H598</t>
  </si>
  <si>
    <t>Pinevene</t>
  </si>
  <si>
    <t>P766H336</t>
  </si>
  <si>
    <t>Leriru</t>
  </si>
  <si>
    <t>P116H188</t>
  </si>
  <si>
    <t>Rufinaci</t>
  </si>
  <si>
    <t>P588P726</t>
  </si>
  <si>
    <t>Daloro</t>
  </si>
  <si>
    <t>P897H455</t>
  </si>
  <si>
    <t>Vupodadu</t>
  </si>
  <si>
    <t>H914P455</t>
  </si>
  <si>
    <t>Popapepori</t>
  </si>
  <si>
    <t>P835P397</t>
  </si>
  <si>
    <t>Rigoripa</t>
  </si>
  <si>
    <t>H715H628</t>
  </si>
  <si>
    <t>Titodulato</t>
  </si>
  <si>
    <t>H755H926</t>
  </si>
  <si>
    <t>Dumumodato</t>
  </si>
  <si>
    <t>H453P963</t>
  </si>
  <si>
    <t>Rupamomepo</t>
  </si>
  <si>
    <t>H668H498</t>
  </si>
  <si>
    <t>Pipapi</t>
  </si>
  <si>
    <t>H698H234</t>
  </si>
  <si>
    <t>Titufu</t>
  </si>
  <si>
    <t>P334H795</t>
  </si>
  <si>
    <t>Ciculi</t>
  </si>
  <si>
    <t>H719P191</t>
  </si>
  <si>
    <t>Cimafivovi</t>
  </si>
  <si>
    <t>P217H553</t>
  </si>
  <si>
    <t>Rididu</t>
  </si>
  <si>
    <t>H733P883</t>
  </si>
  <si>
    <t>Nipegaruva</t>
  </si>
  <si>
    <t>H663P541</t>
  </si>
  <si>
    <t>Geravapi</t>
  </si>
  <si>
    <t>H364P979</t>
  </si>
  <si>
    <t>Divopufole</t>
  </si>
  <si>
    <t>P625P987</t>
  </si>
  <si>
    <t>Pifuci</t>
  </si>
  <si>
    <t>H249P844</t>
  </si>
  <si>
    <t>Nurotafito</t>
  </si>
  <si>
    <t>P442H719</t>
  </si>
  <si>
    <t>Cagutoto</t>
  </si>
  <si>
    <t>P117P671</t>
  </si>
  <si>
    <t>Panefetoro</t>
  </si>
  <si>
    <t>P236P458</t>
  </si>
  <si>
    <t>Notaniramo</t>
  </si>
  <si>
    <t>H365P118</t>
  </si>
  <si>
    <t>Tufepamo</t>
  </si>
  <si>
    <t>P144P463</t>
  </si>
  <si>
    <t>Picuta</t>
  </si>
  <si>
    <t>P684P885</t>
  </si>
  <si>
    <t>Putataga</t>
  </si>
  <si>
    <t>H524H563</t>
  </si>
  <si>
    <t>Picicunepi</t>
  </si>
  <si>
    <t>H179H927</t>
  </si>
  <si>
    <t>Gatale</t>
  </si>
  <si>
    <t>H181P646</t>
  </si>
  <si>
    <t>Pepevaco</t>
  </si>
  <si>
    <t>P194H768</t>
  </si>
  <si>
    <t>Rigaromipo</t>
  </si>
  <si>
    <t>P676H938</t>
  </si>
  <si>
    <t>Furifeciti</t>
  </si>
  <si>
    <t>P221H333</t>
  </si>
  <si>
    <t>Tupogudi</t>
  </si>
  <si>
    <t>P381H662</t>
  </si>
  <si>
    <t>Rutaga</t>
  </si>
  <si>
    <t>P813P966</t>
  </si>
  <si>
    <t>Padeparece</t>
  </si>
  <si>
    <t>H545P464</t>
  </si>
  <si>
    <t>Pupufu</t>
  </si>
  <si>
    <t>H453P286</t>
  </si>
  <si>
    <t>Cenani</t>
  </si>
  <si>
    <t>P696P986</t>
  </si>
  <si>
    <t>Videgete</t>
  </si>
  <si>
    <t>H516P211</t>
  </si>
  <si>
    <t>Tacirima</t>
  </si>
  <si>
    <t>H695H597</t>
  </si>
  <si>
    <t>Retinu</t>
  </si>
  <si>
    <t>P169P521</t>
  </si>
  <si>
    <t>Todifi</t>
  </si>
  <si>
    <t>H163P391</t>
  </si>
  <si>
    <t>Rutorudura</t>
  </si>
  <si>
    <t>H391H278</t>
  </si>
  <si>
    <t>Cepimefe</t>
  </si>
  <si>
    <t>P442P856</t>
  </si>
  <si>
    <t>Dureci</t>
  </si>
  <si>
    <t>P489P926</t>
  </si>
  <si>
    <t>Fapudulipi</t>
  </si>
  <si>
    <t>H327H766</t>
  </si>
  <si>
    <t>Fimavi</t>
  </si>
  <si>
    <t>H782P529</t>
  </si>
  <si>
    <t>Lifidonore</t>
  </si>
  <si>
    <t>H366H412</t>
  </si>
  <si>
    <t>Tipomifore</t>
  </si>
  <si>
    <t>H554H462</t>
  </si>
  <si>
    <t>Peripu</t>
  </si>
  <si>
    <t>P158P842</t>
  </si>
  <si>
    <t>Toperuvutu</t>
  </si>
  <si>
    <t>P577P867</t>
  </si>
  <si>
    <t>Virilu</t>
  </si>
  <si>
    <t>P549P422</t>
  </si>
  <si>
    <t>Piparigiri</t>
  </si>
  <si>
    <t>P498H183</t>
  </si>
  <si>
    <t>Ropopu</t>
  </si>
  <si>
    <t>P481P357</t>
  </si>
  <si>
    <t>Laralelu</t>
  </si>
  <si>
    <t>P962H554</t>
  </si>
  <si>
    <t>Ticatu</t>
  </si>
  <si>
    <t>P217H495</t>
  </si>
  <si>
    <t>Muvevolago</t>
  </si>
  <si>
    <t>P145P733</t>
  </si>
  <si>
    <t>Riduri</t>
  </si>
  <si>
    <t>P836H527</t>
  </si>
  <si>
    <t>Rolaru</t>
  </si>
  <si>
    <t>H999H727</t>
  </si>
  <si>
    <t>Patupogi</t>
  </si>
  <si>
    <t>P552P954</t>
  </si>
  <si>
    <t>Recoruguli</t>
  </si>
  <si>
    <t>H995H517</t>
  </si>
  <si>
    <t>Rapicu</t>
  </si>
  <si>
    <t>P268P438</t>
  </si>
  <si>
    <t>Ponolape</t>
  </si>
  <si>
    <t>H217H485</t>
  </si>
  <si>
    <t>Lerumelule</t>
  </si>
  <si>
    <t>P693H457</t>
  </si>
  <si>
    <t>Rutigepi</t>
  </si>
  <si>
    <t>P138H156</t>
  </si>
  <si>
    <t>Vanifo</t>
  </si>
  <si>
    <t>P541P445</t>
  </si>
  <si>
    <t>Ramurani</t>
  </si>
  <si>
    <t>H461H116</t>
  </si>
  <si>
    <t>Nepeciraca</t>
  </si>
  <si>
    <t>P775P174</t>
  </si>
  <si>
    <t>Tupugatipo</t>
  </si>
  <si>
    <t>P587P952</t>
  </si>
  <si>
    <t>Vocicuvo</t>
  </si>
  <si>
    <t>H254H637</t>
  </si>
  <si>
    <t>Pefaperefi</t>
  </si>
  <si>
    <t>H887P635</t>
  </si>
  <si>
    <t>Roramapali</t>
  </si>
  <si>
    <t>H522P534</t>
  </si>
  <si>
    <t>Ticofavuru</t>
  </si>
  <si>
    <t>P484H532</t>
  </si>
  <si>
    <t>Tugafacumi</t>
  </si>
  <si>
    <t>P915P867</t>
  </si>
  <si>
    <t>Fifutu</t>
  </si>
  <si>
    <t>P466P283</t>
  </si>
  <si>
    <t>Cerecede</t>
  </si>
  <si>
    <t>P692P413</t>
  </si>
  <si>
    <t>Raguroto</t>
  </si>
  <si>
    <t>P291P616</t>
  </si>
  <si>
    <t>Letenuge</t>
  </si>
  <si>
    <t>P627H652</t>
  </si>
  <si>
    <t>Dapicutigi</t>
  </si>
  <si>
    <t>P582P486</t>
  </si>
  <si>
    <t>Coporotare</t>
  </si>
  <si>
    <t>P675P712</t>
  </si>
  <si>
    <t>Tepure</t>
  </si>
  <si>
    <t>P673P938</t>
  </si>
  <si>
    <t>Ruvegegu</t>
  </si>
  <si>
    <t>P954H526</t>
  </si>
  <si>
    <t>Potepeto</t>
  </si>
  <si>
    <t>H693P162</t>
  </si>
  <si>
    <t>Tipure</t>
  </si>
  <si>
    <t>H756P439</t>
  </si>
  <si>
    <t>Noverada</t>
  </si>
  <si>
    <t>P866P423</t>
  </si>
  <si>
    <t>Mimopurite</t>
  </si>
  <si>
    <t>P825H764</t>
  </si>
  <si>
    <t>Falacoro</t>
  </si>
  <si>
    <t>P754H795</t>
  </si>
  <si>
    <t>Tegodo</t>
  </si>
  <si>
    <t>H112H485</t>
  </si>
  <si>
    <t>Giritipi</t>
  </si>
  <si>
    <t>H224P217</t>
  </si>
  <si>
    <t>Davapudemi</t>
  </si>
  <si>
    <t>P944H569</t>
  </si>
  <si>
    <t>Tinavarivo</t>
  </si>
  <si>
    <t>H262H835</t>
  </si>
  <si>
    <t>Gutepocema</t>
  </si>
  <si>
    <t>P415P692</t>
  </si>
  <si>
    <t>Dopudane</t>
  </si>
  <si>
    <t>H285H182</t>
  </si>
  <si>
    <t>Cedorodeti</t>
  </si>
  <si>
    <t>P264P829</t>
  </si>
  <si>
    <t>Gipapefo</t>
  </si>
  <si>
    <t>H377P638</t>
  </si>
  <si>
    <t>Pilocora</t>
  </si>
  <si>
    <t>H717P656</t>
  </si>
  <si>
    <t>Teripore</t>
  </si>
  <si>
    <t>H985P951</t>
  </si>
  <si>
    <t>Rulufanupe</t>
  </si>
  <si>
    <t>H714P951</t>
  </si>
  <si>
    <t>Pediduruva</t>
  </si>
  <si>
    <t>H221H523</t>
  </si>
  <si>
    <t>Tirunodofi</t>
  </si>
  <si>
    <t>P468H836</t>
  </si>
  <si>
    <t>Tupamifeme</t>
  </si>
  <si>
    <t>H786P866</t>
  </si>
  <si>
    <t>Gototopi</t>
  </si>
  <si>
    <t>P662H236</t>
  </si>
  <si>
    <t>Pupoduride</t>
  </si>
  <si>
    <t>H921P822</t>
  </si>
  <si>
    <t>Malutapore</t>
  </si>
  <si>
    <t>P145P584</t>
  </si>
  <si>
    <t>Gecopela</t>
  </si>
  <si>
    <t>P172H232</t>
  </si>
  <si>
    <t>Lopogetovi</t>
  </si>
  <si>
    <t>H547P237</t>
  </si>
  <si>
    <t>Cetito</t>
  </si>
  <si>
    <t>P254P772</t>
  </si>
  <si>
    <t>Vinamomepu</t>
  </si>
  <si>
    <t>P228P946</t>
  </si>
  <si>
    <t>Picupideta</t>
  </si>
  <si>
    <t>P228P629</t>
  </si>
  <si>
    <t>Vagagape</t>
  </si>
  <si>
    <t>H699P176</t>
  </si>
  <si>
    <t>Vitagu</t>
  </si>
  <si>
    <t>H635P832</t>
  </si>
  <si>
    <t>Darofe</t>
  </si>
  <si>
    <t>P623P243</t>
  </si>
  <si>
    <t>Pugulumovu</t>
  </si>
  <si>
    <t>P889P674</t>
  </si>
  <si>
    <t>Totupiduvo</t>
  </si>
  <si>
    <t>H432H579</t>
  </si>
  <si>
    <t>Dutafupafu</t>
  </si>
  <si>
    <t>P151P424</t>
  </si>
  <si>
    <t>Popigerili</t>
  </si>
  <si>
    <t>H627P861</t>
  </si>
  <si>
    <t>Tecapanita</t>
  </si>
  <si>
    <t>P726H926</t>
  </si>
  <si>
    <t>Dicadipita</t>
  </si>
  <si>
    <t>P841P895</t>
  </si>
  <si>
    <t>Lopicodi</t>
  </si>
  <si>
    <t>H269H697</t>
  </si>
  <si>
    <t>Vetala</t>
  </si>
  <si>
    <t>H775P499</t>
  </si>
  <si>
    <t>Rerucimi</t>
  </si>
  <si>
    <t>P188H741</t>
  </si>
  <si>
    <t>Cofepipa</t>
  </si>
  <si>
    <t>P625P483</t>
  </si>
  <si>
    <t>Mafora</t>
  </si>
  <si>
    <t>P945P587</t>
  </si>
  <si>
    <t>Titecevu</t>
  </si>
  <si>
    <t>P295P974</t>
  </si>
  <si>
    <t>Tepogigiro</t>
  </si>
  <si>
    <t>H877P957</t>
  </si>
  <si>
    <t>Murapo</t>
  </si>
  <si>
    <t>P442H637</t>
  </si>
  <si>
    <t>Lotopu</t>
  </si>
  <si>
    <t>H111P149</t>
  </si>
  <si>
    <t>Ronapunoco</t>
  </si>
  <si>
    <t>P441H454</t>
  </si>
  <si>
    <t>Moravaratu</t>
  </si>
  <si>
    <t>P636H897</t>
  </si>
  <si>
    <t>Racoca</t>
  </si>
  <si>
    <t>H825P984</t>
  </si>
  <si>
    <t>Roponunude</t>
  </si>
  <si>
    <t>P272P373</t>
  </si>
  <si>
    <t>Gocole</t>
  </si>
  <si>
    <t>H823P635</t>
  </si>
  <si>
    <t>Timapi</t>
  </si>
  <si>
    <t>H527H511</t>
  </si>
  <si>
    <t>Pavapo</t>
  </si>
  <si>
    <t>H598H565</t>
  </si>
  <si>
    <t>Pulipipo</t>
  </si>
  <si>
    <t>H156P773</t>
  </si>
  <si>
    <t>Cifavava</t>
  </si>
  <si>
    <t>H473P162</t>
  </si>
  <si>
    <t>Pevora</t>
  </si>
  <si>
    <t>P156P922</t>
  </si>
  <si>
    <t>Remalupopi</t>
  </si>
  <si>
    <t>P464H619</t>
  </si>
  <si>
    <t>Guteda</t>
  </si>
  <si>
    <t>P511P453</t>
  </si>
  <si>
    <t>Vitunora</t>
  </si>
  <si>
    <t>H142P529</t>
  </si>
  <si>
    <t>Futitano</t>
  </si>
  <si>
    <t>P785P334</t>
  </si>
  <si>
    <t>Gemigi</t>
  </si>
  <si>
    <t>H546P862</t>
  </si>
  <si>
    <t>Nolunotali</t>
  </si>
  <si>
    <t>H196P767</t>
  </si>
  <si>
    <t>Pepapu</t>
  </si>
  <si>
    <t>P374H431</t>
  </si>
  <si>
    <t>Fopurama</t>
  </si>
  <si>
    <t>H416H823</t>
  </si>
  <si>
    <t>Vigeva</t>
  </si>
  <si>
    <t>H695H871</t>
  </si>
  <si>
    <t>Nunitipite</t>
  </si>
  <si>
    <t>H169H251</t>
  </si>
  <si>
    <t>Ripevali</t>
  </si>
  <si>
    <t>H875P343</t>
  </si>
  <si>
    <t>Puvoca</t>
  </si>
  <si>
    <t>P379H325</t>
  </si>
  <si>
    <t>Pidodida</t>
  </si>
  <si>
    <t>H436H794</t>
  </si>
  <si>
    <t>Farilare</t>
  </si>
  <si>
    <t>H281H519</t>
  </si>
  <si>
    <t>Vututa</t>
  </si>
  <si>
    <t>P451H951</t>
  </si>
  <si>
    <t>Redonu</t>
  </si>
  <si>
    <t>H812H424</t>
  </si>
  <si>
    <t>Rotipu</t>
  </si>
  <si>
    <t>P794P757</t>
  </si>
  <si>
    <t>Virupo</t>
  </si>
  <si>
    <t>H194H546</t>
  </si>
  <si>
    <t>Cepapefi</t>
  </si>
  <si>
    <t>P273H296</t>
  </si>
  <si>
    <t>Ramiro</t>
  </si>
  <si>
    <t>P658H527</t>
  </si>
  <si>
    <t>Povomopope</t>
  </si>
  <si>
    <t>H177H985</t>
  </si>
  <si>
    <t>Penutamepu</t>
  </si>
  <si>
    <t>H568H488</t>
  </si>
  <si>
    <t>Licalumoge</t>
  </si>
  <si>
    <t>H254H993</t>
  </si>
  <si>
    <t>Pepapulapi</t>
  </si>
  <si>
    <t>P364P434</t>
  </si>
  <si>
    <t>Vepova</t>
  </si>
  <si>
    <t>H834H891</t>
  </si>
  <si>
    <t>Turopufu</t>
  </si>
  <si>
    <t>H266P977</t>
  </si>
  <si>
    <t>Nufotitage</t>
  </si>
  <si>
    <t>P444H756</t>
  </si>
  <si>
    <t>Tipepero</t>
  </si>
  <si>
    <t>H972P965</t>
  </si>
  <si>
    <t>Teperenepa</t>
  </si>
  <si>
    <t>P764P375</t>
  </si>
  <si>
    <t>Netipano</t>
  </si>
  <si>
    <t>H618H877</t>
  </si>
  <si>
    <t>Palamutupu</t>
  </si>
  <si>
    <t>P722H554</t>
  </si>
  <si>
    <t>Rutote</t>
  </si>
  <si>
    <t>H251H356</t>
  </si>
  <si>
    <t>Conupopire</t>
  </si>
  <si>
    <t>P645H914</t>
  </si>
  <si>
    <t>Terucinide</t>
  </si>
  <si>
    <t>P829H559</t>
  </si>
  <si>
    <t>Movopa</t>
  </si>
  <si>
    <t>P941P945</t>
  </si>
  <si>
    <t>Fenocete</t>
  </si>
  <si>
    <t>H696H439</t>
  </si>
  <si>
    <t>Pupuponi</t>
  </si>
  <si>
    <t>H893H846</t>
  </si>
  <si>
    <t>Popiro</t>
  </si>
  <si>
    <t>H818H356</t>
  </si>
  <si>
    <t>Lurucera</t>
  </si>
  <si>
    <t>P884H564</t>
  </si>
  <si>
    <t>Darepitono</t>
  </si>
  <si>
    <t>P442H659</t>
  </si>
  <si>
    <t>Vepacopeco</t>
  </si>
  <si>
    <t>P773H617</t>
  </si>
  <si>
    <t>Firarepe</t>
  </si>
  <si>
    <t>H784P724</t>
  </si>
  <si>
    <t>Daripupalu</t>
  </si>
  <si>
    <t>P231H291</t>
  </si>
  <si>
    <t>Mapoditivi</t>
  </si>
  <si>
    <t>H761P235</t>
  </si>
  <si>
    <t>Turifa</t>
  </si>
  <si>
    <t>H792H249</t>
  </si>
  <si>
    <t>Natorofa</t>
  </si>
  <si>
    <t>P499P841</t>
  </si>
  <si>
    <t>Fopece</t>
  </si>
  <si>
    <t>P476P866</t>
  </si>
  <si>
    <t>Telivida</t>
  </si>
  <si>
    <t>H774P356</t>
  </si>
  <si>
    <t>Punarovivu</t>
  </si>
  <si>
    <t>H782P281</t>
  </si>
  <si>
    <t>Molenaropi</t>
  </si>
  <si>
    <t>P727P688</t>
  </si>
  <si>
    <t>Pupifara</t>
  </si>
  <si>
    <t>P397P876</t>
  </si>
  <si>
    <t>Denapupu</t>
  </si>
  <si>
    <t>H922P983</t>
  </si>
  <si>
    <t>Nelacoge</t>
  </si>
  <si>
    <t>P345P277</t>
  </si>
  <si>
    <t>Pipumipera</t>
  </si>
  <si>
    <t>P375H415</t>
  </si>
  <si>
    <t>Pulute</t>
  </si>
  <si>
    <t>H958P464</t>
  </si>
  <si>
    <t>Pegolugodu</t>
  </si>
  <si>
    <t>H591H286</t>
  </si>
  <si>
    <t>Lutofe</t>
  </si>
  <si>
    <t>H792P299</t>
  </si>
  <si>
    <t>Ticifope</t>
  </si>
  <si>
    <t>H298H352</t>
  </si>
  <si>
    <t>Tirepurori</t>
  </si>
  <si>
    <t>P117H298</t>
  </si>
  <si>
    <t>Tinale</t>
  </si>
  <si>
    <t>P149P222</t>
  </si>
  <si>
    <t>Fuvetuna</t>
  </si>
  <si>
    <t>P679P787</t>
  </si>
  <si>
    <t>Pepipero</t>
  </si>
  <si>
    <t>P296P468</t>
  </si>
  <si>
    <t>Tacugepape</t>
  </si>
  <si>
    <t>H222H434</t>
  </si>
  <si>
    <t>Fonerito</t>
  </si>
  <si>
    <t>H457P168</t>
  </si>
  <si>
    <t>Gamape</t>
  </si>
  <si>
    <t>H237P392</t>
  </si>
  <si>
    <t>Nodemutumi</t>
  </si>
  <si>
    <t>P958H858</t>
  </si>
  <si>
    <t>Ditotu</t>
  </si>
  <si>
    <t>P391P742</t>
  </si>
  <si>
    <t>Gumega</t>
  </si>
  <si>
    <t>P431P646</t>
  </si>
  <si>
    <t>Racunu</t>
  </si>
  <si>
    <t>P322H111</t>
  </si>
  <si>
    <t>Lapuvoca</t>
  </si>
  <si>
    <t>P241H848</t>
  </si>
  <si>
    <t>Tagatiripo</t>
  </si>
  <si>
    <t>H479H132</t>
  </si>
  <si>
    <t>Locide</t>
  </si>
  <si>
    <t>P623P698</t>
  </si>
  <si>
    <t>Pugodapero</t>
  </si>
  <si>
    <t>P382P814</t>
  </si>
  <si>
    <t>Fupipara</t>
  </si>
  <si>
    <t>H873P648</t>
  </si>
  <si>
    <t>Rapetata</t>
  </si>
  <si>
    <t>P656P161</t>
  </si>
  <si>
    <t>Mepore</t>
  </si>
  <si>
    <t>H393H396</t>
  </si>
  <si>
    <t>Gemefa</t>
  </si>
  <si>
    <t>H686H447</t>
  </si>
  <si>
    <t>Dipotifure</t>
  </si>
  <si>
    <t>H865P536</t>
  </si>
  <si>
    <t>Vetoporotu</t>
  </si>
  <si>
    <t>H852P462</t>
  </si>
  <si>
    <t>Mopilagopu</t>
  </si>
  <si>
    <t>P826H536</t>
  </si>
  <si>
    <t>Riteti</t>
  </si>
  <si>
    <t>H716H716</t>
  </si>
  <si>
    <t>Perucife</t>
  </si>
  <si>
    <t>P824P384</t>
  </si>
  <si>
    <t>Tupevi</t>
  </si>
  <si>
    <t>P116P543</t>
  </si>
  <si>
    <t>Parilevu</t>
  </si>
  <si>
    <t>H994P121</t>
  </si>
  <si>
    <t>Toduti</t>
  </si>
  <si>
    <t>P112P346</t>
  </si>
  <si>
    <t>Legomonore</t>
  </si>
  <si>
    <t>P969H488</t>
  </si>
  <si>
    <t>Voponupi</t>
  </si>
  <si>
    <t>H711P771</t>
  </si>
  <si>
    <t>Nuriro</t>
  </si>
  <si>
    <t>P152H967</t>
  </si>
  <si>
    <t>Motufidatu</t>
  </si>
  <si>
    <t>P318P546</t>
  </si>
  <si>
    <t>Noladegeno</t>
  </si>
  <si>
    <t>P617H843</t>
  </si>
  <si>
    <t>Tovugica</t>
  </si>
  <si>
    <t>H744P717</t>
  </si>
  <si>
    <t>Davidota</t>
  </si>
  <si>
    <t>H828H355</t>
  </si>
  <si>
    <t>Donuvorite</t>
  </si>
  <si>
    <t>P835P236</t>
  </si>
  <si>
    <t>Pucifavore</t>
  </si>
  <si>
    <t>P199H735</t>
  </si>
  <si>
    <t>Nipopago</t>
  </si>
  <si>
    <t>H826H986</t>
  </si>
  <si>
    <t>Teparavuti</t>
  </si>
  <si>
    <t>H979H177</t>
  </si>
  <si>
    <t>Fifepatutu</t>
  </si>
  <si>
    <t>P395P161</t>
  </si>
  <si>
    <t>Dipovativo</t>
  </si>
  <si>
    <t>P966H113</t>
  </si>
  <si>
    <t>Leletafu</t>
  </si>
  <si>
    <t>P181H857</t>
  </si>
  <si>
    <t>Papura</t>
  </si>
  <si>
    <t>H771P541</t>
  </si>
  <si>
    <t>Tidavito</t>
  </si>
  <si>
    <t>P714P568</t>
  </si>
  <si>
    <t>Rucalidepe</t>
  </si>
  <si>
    <t>P726H553</t>
  </si>
  <si>
    <t>Tagopude</t>
  </si>
  <si>
    <t>P853H932</t>
  </si>
  <si>
    <t>Tugatutapo</t>
  </si>
  <si>
    <t>P753H712</t>
  </si>
  <si>
    <t>Mumelapopi</t>
  </si>
  <si>
    <t>H227P936</t>
  </si>
  <si>
    <t>Lefipetegi</t>
  </si>
  <si>
    <t>H491H223</t>
  </si>
  <si>
    <t>Vapetu</t>
  </si>
  <si>
    <t>H658P127</t>
  </si>
  <si>
    <t>Ticeru</t>
  </si>
  <si>
    <t>P211P731</t>
  </si>
  <si>
    <t>Domoropiru</t>
  </si>
  <si>
    <t>H112P979</t>
  </si>
  <si>
    <t>Cafidupi</t>
  </si>
  <si>
    <t>P266P976</t>
  </si>
  <si>
    <t>Pafumeludu</t>
  </si>
  <si>
    <t>H816P296</t>
  </si>
  <si>
    <t>Pefunotifa</t>
  </si>
  <si>
    <t>H863P859</t>
  </si>
  <si>
    <t>Fupeva</t>
  </si>
  <si>
    <t>H524H998</t>
  </si>
  <si>
    <t>Pofenepo</t>
  </si>
  <si>
    <t>P672H344</t>
  </si>
  <si>
    <t>Lofevoma</t>
  </si>
  <si>
    <t>H341P674</t>
  </si>
  <si>
    <t>Lugeno</t>
  </si>
  <si>
    <t>H968H118</t>
  </si>
  <si>
    <t>Palelemo</t>
  </si>
  <si>
    <t>P832P234</t>
  </si>
  <si>
    <t>Pogala</t>
  </si>
  <si>
    <t>P428H716</t>
  </si>
  <si>
    <t>Vavecari</t>
  </si>
  <si>
    <t>P996P577</t>
  </si>
  <si>
    <t>Nuvipu</t>
  </si>
  <si>
    <t>P519P522</t>
  </si>
  <si>
    <t>Togari</t>
  </si>
  <si>
    <t>H549H789</t>
  </si>
  <si>
    <t>Mudepopa</t>
  </si>
  <si>
    <t>H744H755</t>
  </si>
  <si>
    <t>Nepega</t>
  </si>
  <si>
    <t>P456H172</t>
  </si>
  <si>
    <t>Rurule</t>
  </si>
  <si>
    <t>H873H985</t>
  </si>
  <si>
    <t>Pecuropelu</t>
  </si>
  <si>
    <t>H236H877</t>
  </si>
  <si>
    <t>Tupagada</t>
  </si>
  <si>
    <t>P422H219</t>
  </si>
  <si>
    <t>Nelito</t>
  </si>
  <si>
    <t>P944H411</t>
  </si>
  <si>
    <t>Maputa</t>
  </si>
  <si>
    <t>P854P273</t>
  </si>
  <si>
    <t>Dotufirono</t>
  </si>
  <si>
    <t>P787P899</t>
  </si>
  <si>
    <t>Turureguru</t>
  </si>
  <si>
    <t>P214H687</t>
  </si>
  <si>
    <t>Denufo</t>
  </si>
  <si>
    <t>H278H465</t>
  </si>
  <si>
    <t>Cipati</t>
  </si>
  <si>
    <t>P774P491</t>
  </si>
  <si>
    <t>Polidato</t>
  </si>
  <si>
    <t>P199H831</t>
  </si>
  <si>
    <t>Paridedi</t>
  </si>
  <si>
    <t>P893P377</t>
  </si>
  <si>
    <t>Lupipo</t>
  </si>
  <si>
    <t>P969P642</t>
  </si>
  <si>
    <t>Pagorapule</t>
  </si>
  <si>
    <t>P218H662</t>
  </si>
  <si>
    <t>Tepifidudo</t>
  </si>
  <si>
    <t>H768P513</t>
  </si>
  <si>
    <t>Nogure</t>
  </si>
  <si>
    <t>H979P382</t>
  </si>
  <si>
    <t>Narovelo</t>
  </si>
  <si>
    <t>H859P649</t>
  </si>
  <si>
    <t>Gutelofoto</t>
  </si>
  <si>
    <t>H952H325</t>
  </si>
  <si>
    <t>Potitana</t>
  </si>
  <si>
    <t>H144H234</t>
  </si>
  <si>
    <t>Pufuce</t>
  </si>
  <si>
    <t>H448P161</t>
  </si>
  <si>
    <t>Tecipo</t>
  </si>
  <si>
    <t>P195P496</t>
  </si>
  <si>
    <t>Ralutovute</t>
  </si>
  <si>
    <t>H719P636</t>
  </si>
  <si>
    <t>Ritucapide</t>
  </si>
  <si>
    <t>H397H411</t>
  </si>
  <si>
    <t>Gomogulope</t>
  </si>
  <si>
    <t>P971H853</t>
  </si>
  <si>
    <t>Gotadopi</t>
  </si>
  <si>
    <t>P145H177</t>
  </si>
  <si>
    <t>Toniromu</t>
  </si>
  <si>
    <t>H931P917</t>
  </si>
  <si>
    <t>Mivutura</t>
  </si>
  <si>
    <t>H775P462</t>
  </si>
  <si>
    <t>Nepipe</t>
  </si>
  <si>
    <t>P985H676</t>
  </si>
  <si>
    <t>Tagunavife</t>
  </si>
  <si>
    <t>P542P947</t>
  </si>
  <si>
    <t>Panime</t>
  </si>
  <si>
    <t>H682P683</t>
  </si>
  <si>
    <t>Tapuvogoni</t>
  </si>
  <si>
    <t>H732P563</t>
  </si>
  <si>
    <t>Nemamaro</t>
  </si>
  <si>
    <t>P515P279</t>
  </si>
  <si>
    <t>Tucilori</t>
  </si>
  <si>
    <t>H481H359</t>
  </si>
  <si>
    <t>Venigo</t>
  </si>
  <si>
    <t>P695H499</t>
  </si>
  <si>
    <t>Vanatimudi</t>
  </si>
  <si>
    <t>P629H799</t>
  </si>
  <si>
    <t>Netiripa</t>
  </si>
  <si>
    <t>H165H853</t>
  </si>
  <si>
    <t>Tuvonomu</t>
  </si>
  <si>
    <t>H649P381</t>
  </si>
  <si>
    <t>Rupipu</t>
  </si>
  <si>
    <t>H615H536</t>
  </si>
  <si>
    <t>Melimi</t>
  </si>
  <si>
    <t>H668P122</t>
  </si>
  <si>
    <t>Mopavo</t>
  </si>
  <si>
    <t>H958H171</t>
  </si>
  <si>
    <t>Motocopu</t>
  </si>
  <si>
    <t>P143H569</t>
  </si>
  <si>
    <t>Gacopilodu</t>
  </si>
  <si>
    <t>P154H668</t>
  </si>
  <si>
    <t>Vetacocemi</t>
  </si>
  <si>
    <t>P622H678</t>
  </si>
  <si>
    <t>Civodu</t>
  </si>
  <si>
    <t>H693P326</t>
  </si>
  <si>
    <t>Pivurega</t>
  </si>
  <si>
    <t>H845P547</t>
  </si>
  <si>
    <t>Lilupu</t>
  </si>
  <si>
    <t>P662P591</t>
  </si>
  <si>
    <t>Mivulopu</t>
  </si>
  <si>
    <t>H779H528</t>
  </si>
  <si>
    <t>Malari</t>
  </si>
  <si>
    <t>Togupitovo</t>
  </si>
  <si>
    <t>P887P587</t>
  </si>
  <si>
    <t>Viludode</t>
  </si>
  <si>
    <t>H591P122</t>
  </si>
  <si>
    <t>Ticivireti</t>
  </si>
  <si>
    <t>P477H999</t>
  </si>
  <si>
    <t>Fetego</t>
  </si>
  <si>
    <t>H329H427</t>
  </si>
  <si>
    <t>Pudodofapu</t>
  </si>
  <si>
    <t>P426H755</t>
  </si>
  <si>
    <t>Vapice</t>
  </si>
  <si>
    <t>P298H266</t>
  </si>
  <si>
    <t>Feguro</t>
  </si>
  <si>
    <t>H188P986</t>
  </si>
  <si>
    <t>Mucavape</t>
  </si>
  <si>
    <t>P878H691</t>
  </si>
  <si>
    <t>Lelirula</t>
  </si>
  <si>
    <t>P799P735</t>
  </si>
  <si>
    <t>Redula</t>
  </si>
  <si>
    <t>P644H668</t>
  </si>
  <si>
    <t>Tafuvale</t>
  </si>
  <si>
    <t>H536P915</t>
  </si>
  <si>
    <t>Gutomo</t>
  </si>
  <si>
    <t>H664H484</t>
  </si>
  <si>
    <t>Rivonu</t>
  </si>
  <si>
    <t>P451H347</t>
  </si>
  <si>
    <t>Faparile</t>
  </si>
  <si>
    <t>H933H649</t>
  </si>
  <si>
    <t>Tacicopo</t>
  </si>
  <si>
    <t>P561P729</t>
  </si>
  <si>
    <t>Gutulapi</t>
  </si>
  <si>
    <t>H439P916</t>
  </si>
  <si>
    <t>Gurire</t>
  </si>
  <si>
    <t>H432H482</t>
  </si>
  <si>
    <t>Lumepeve</t>
  </si>
  <si>
    <t>H616P844</t>
  </si>
  <si>
    <t>Ledaru</t>
  </si>
  <si>
    <t>H253P245</t>
  </si>
  <si>
    <t>Larapiluco</t>
  </si>
  <si>
    <t>H667H892</t>
  </si>
  <si>
    <t>Palipifa</t>
  </si>
  <si>
    <t>P659H552</t>
  </si>
  <si>
    <t>Tovego</t>
  </si>
  <si>
    <t>P453H354</t>
  </si>
  <si>
    <t>Picitonoru</t>
  </si>
  <si>
    <t>H598H841</t>
  </si>
  <si>
    <t>Tufarevi</t>
  </si>
  <si>
    <t>P198P684</t>
  </si>
  <si>
    <t>Romogute</t>
  </si>
  <si>
    <t>H792H998</t>
  </si>
  <si>
    <t>Femumidetu</t>
  </si>
  <si>
    <t>H316H196</t>
  </si>
  <si>
    <t>Vugeligoma</t>
  </si>
  <si>
    <t>H822P962</t>
  </si>
  <si>
    <t>Noticota</t>
  </si>
  <si>
    <t>P832H533</t>
  </si>
  <si>
    <t>Todope</t>
  </si>
  <si>
    <t>P258P177</t>
  </si>
  <si>
    <t>Micopi</t>
  </si>
  <si>
    <t>H318P571</t>
  </si>
  <si>
    <t>Peradadupe</t>
  </si>
  <si>
    <t>H467P162</t>
  </si>
  <si>
    <t>Tipute</t>
  </si>
  <si>
    <t>H772H122</t>
  </si>
  <si>
    <t>Rurupo</t>
  </si>
  <si>
    <t>H194H919</t>
  </si>
  <si>
    <t>Pucetipi</t>
  </si>
  <si>
    <t>H387P541</t>
  </si>
  <si>
    <t>Tuvame</t>
  </si>
  <si>
    <t>P775P594</t>
  </si>
  <si>
    <t>Didefapema</t>
  </si>
  <si>
    <t>P855H895</t>
  </si>
  <si>
    <t>Mutiduroti</t>
  </si>
  <si>
    <t>H367H854</t>
  </si>
  <si>
    <t>Divitipe</t>
  </si>
  <si>
    <t>P514H932</t>
  </si>
  <si>
    <t>Lefopa</t>
  </si>
  <si>
    <t>P728H446</t>
  </si>
  <si>
    <t>Digugoleti</t>
  </si>
  <si>
    <t>H126P716</t>
  </si>
  <si>
    <t>Gufipica</t>
  </si>
  <si>
    <t>H765H166</t>
  </si>
  <si>
    <t>Lepeci</t>
  </si>
  <si>
    <t>P238H944</t>
  </si>
  <si>
    <t>Dupevo</t>
  </si>
  <si>
    <t>H848P594</t>
  </si>
  <si>
    <t>Lupopatupi</t>
  </si>
  <si>
    <t>P494P969</t>
  </si>
  <si>
    <t>Lipapicapu</t>
  </si>
  <si>
    <t>H169H399</t>
  </si>
  <si>
    <t>Cirofa</t>
  </si>
  <si>
    <t>P334P765</t>
  </si>
  <si>
    <t>Tiporitire</t>
  </si>
  <si>
    <t>P149H657</t>
  </si>
  <si>
    <t>Nulapagatu</t>
  </si>
  <si>
    <t>H225H248</t>
  </si>
  <si>
    <t>Lupeli</t>
  </si>
  <si>
    <t>H937H135</t>
  </si>
  <si>
    <t>Pomupera</t>
  </si>
  <si>
    <t>H177H693</t>
  </si>
  <si>
    <t>Titegofomi</t>
  </si>
  <si>
    <t>P163P613</t>
  </si>
  <si>
    <t>Tulicecari</t>
  </si>
  <si>
    <t>H995H211</t>
  </si>
  <si>
    <t>Netapirofa</t>
  </si>
  <si>
    <t>H576H713</t>
  </si>
  <si>
    <t>Pupegi</t>
  </si>
  <si>
    <t>P418H364</t>
  </si>
  <si>
    <t>Papagefo</t>
  </si>
  <si>
    <t>P745H219</t>
  </si>
  <si>
    <t>Ropapumu</t>
  </si>
  <si>
    <t>P445P566</t>
  </si>
  <si>
    <t>Tudofale</t>
  </si>
  <si>
    <t>H439P356</t>
  </si>
  <si>
    <t>Taduti</t>
  </si>
  <si>
    <t>H771P546</t>
  </si>
  <si>
    <t>Murufeperi</t>
  </si>
  <si>
    <t>P541H889</t>
  </si>
  <si>
    <t>Gurimo</t>
  </si>
  <si>
    <t>H796P427</t>
  </si>
  <si>
    <t>Funalaviti</t>
  </si>
  <si>
    <t>H314H979</t>
  </si>
  <si>
    <t>Nerefapi</t>
  </si>
  <si>
    <t>P938H322</t>
  </si>
  <si>
    <t>Navupegigi</t>
  </si>
  <si>
    <t>H355H334</t>
  </si>
  <si>
    <t>Perarone</t>
  </si>
  <si>
    <t>P646P241</t>
  </si>
  <si>
    <t>Tatuge</t>
  </si>
  <si>
    <t>H229P312</t>
  </si>
  <si>
    <t>Vipapo</t>
  </si>
  <si>
    <t>H823P711</t>
  </si>
  <si>
    <t>Netugi</t>
  </si>
  <si>
    <t>H355H685</t>
  </si>
  <si>
    <t>Fidemopote</t>
  </si>
  <si>
    <t>P699H925</t>
  </si>
  <si>
    <t>Rucerugora</t>
  </si>
  <si>
    <t>H631H191</t>
  </si>
  <si>
    <t>Moraramore</t>
  </si>
  <si>
    <t>P221H748</t>
  </si>
  <si>
    <t>Covodu</t>
  </si>
  <si>
    <t>H752H628</t>
  </si>
  <si>
    <t>Nutagoromu</t>
  </si>
  <si>
    <t>P143P382</t>
  </si>
  <si>
    <t>Dilurage</t>
  </si>
  <si>
    <t>H168H737</t>
  </si>
  <si>
    <t>Tipare</t>
  </si>
  <si>
    <t>H775P913</t>
  </si>
  <si>
    <t>Mofifi</t>
  </si>
  <si>
    <t>P738P663</t>
  </si>
  <si>
    <t>Totine</t>
  </si>
  <si>
    <t>P489H261</t>
  </si>
  <si>
    <t>Dotutugo</t>
  </si>
  <si>
    <t>P191P755</t>
  </si>
  <si>
    <t>Nerupiga</t>
  </si>
  <si>
    <t>P579P532</t>
  </si>
  <si>
    <t>Napupitolo</t>
  </si>
  <si>
    <t>P826P555</t>
  </si>
  <si>
    <t>Mupudave</t>
  </si>
  <si>
    <t>H776H352</t>
  </si>
  <si>
    <t>Motala</t>
  </si>
  <si>
    <t>H447P161</t>
  </si>
  <si>
    <t>Tipili</t>
  </si>
  <si>
    <t>P639P528</t>
  </si>
  <si>
    <t>Tapepo</t>
  </si>
  <si>
    <t>H175H963</t>
  </si>
  <si>
    <t>Tulagitu</t>
  </si>
  <si>
    <t>H881H797</t>
  </si>
  <si>
    <t>Nevala</t>
  </si>
  <si>
    <t>H577P729</t>
  </si>
  <si>
    <t>Tapara</t>
  </si>
  <si>
    <t>P749H273</t>
  </si>
  <si>
    <t>Punaci</t>
  </si>
  <si>
    <t>H616P857</t>
  </si>
  <si>
    <t>Dotireru</t>
  </si>
  <si>
    <t>P674P715</t>
  </si>
  <si>
    <t>Tedoga</t>
  </si>
  <si>
    <t>H685P183</t>
  </si>
  <si>
    <t>Fenecupule</t>
  </si>
  <si>
    <t>P217H655</t>
  </si>
  <si>
    <t>Copamo</t>
  </si>
  <si>
    <t>H538P327</t>
  </si>
  <si>
    <t>Tecatavave</t>
  </si>
  <si>
    <t>H917P679</t>
  </si>
  <si>
    <t>Togedepila</t>
  </si>
  <si>
    <t>P348P529</t>
  </si>
  <si>
    <t>Vunipi</t>
  </si>
  <si>
    <t>P255P261</t>
  </si>
  <si>
    <t>Ragupe</t>
  </si>
  <si>
    <t>P245H527</t>
  </si>
  <si>
    <t>Cecodaco</t>
  </si>
  <si>
    <t>P557P758</t>
  </si>
  <si>
    <t>Pureta</t>
  </si>
  <si>
    <t>H284H427</t>
  </si>
  <si>
    <t>Tipanirelu</t>
  </si>
  <si>
    <t>H229P646</t>
  </si>
  <si>
    <t>Piporepo</t>
  </si>
  <si>
    <t>H994H287</t>
  </si>
  <si>
    <t>Vutepupipi</t>
  </si>
  <si>
    <t>H979P465</t>
  </si>
  <si>
    <t>Nudurupa</t>
  </si>
  <si>
    <t>H189P164</t>
  </si>
  <si>
    <t>Tenoca</t>
  </si>
  <si>
    <t>H788P955</t>
  </si>
  <si>
    <t>Figinale</t>
  </si>
  <si>
    <t>P627P465</t>
  </si>
  <si>
    <t>Lodopamiru</t>
  </si>
  <si>
    <t>P689P898</t>
  </si>
  <si>
    <t>Fapupota</t>
  </si>
  <si>
    <t>P174H233</t>
  </si>
  <si>
    <t>Dapeli</t>
  </si>
  <si>
    <t>P197H653</t>
  </si>
  <si>
    <t>Torififu</t>
  </si>
  <si>
    <t>P994H199</t>
  </si>
  <si>
    <t>Lamavoralo</t>
  </si>
  <si>
    <t>H341H997</t>
  </si>
  <si>
    <t>Pucuci</t>
  </si>
  <si>
    <t>H351P362</t>
  </si>
  <si>
    <t>Nirero</t>
  </si>
  <si>
    <t>P335H145</t>
  </si>
  <si>
    <t>Tefalo</t>
  </si>
  <si>
    <t>H486P656</t>
  </si>
  <si>
    <t>Vopudopupi</t>
  </si>
  <si>
    <t>P331H934</t>
  </si>
  <si>
    <t>Delinige</t>
  </si>
  <si>
    <t>P314H486</t>
  </si>
  <si>
    <t>Papitocutu</t>
  </si>
  <si>
    <t>H719H834</t>
  </si>
  <si>
    <t>Gagemovu</t>
  </si>
  <si>
    <t>H888P892</t>
  </si>
  <si>
    <t>Denata</t>
  </si>
  <si>
    <t>H696H575</t>
  </si>
  <si>
    <t>Tanica</t>
  </si>
  <si>
    <t>H194P712</t>
  </si>
  <si>
    <t>Pacatoco</t>
  </si>
  <si>
    <t>P849H681</t>
  </si>
  <si>
    <t>Radopedodi</t>
  </si>
  <si>
    <t>H382H178</t>
  </si>
  <si>
    <t>Pupepi</t>
  </si>
  <si>
    <t>P359H297</t>
  </si>
  <si>
    <t>Gulegufa</t>
  </si>
  <si>
    <t>P679H939</t>
  </si>
  <si>
    <t>Rironegi</t>
  </si>
  <si>
    <t>H459H423</t>
  </si>
  <si>
    <t>Vapedugime</t>
  </si>
  <si>
    <t>H252P758</t>
  </si>
  <si>
    <t>Nugoro</t>
  </si>
  <si>
    <t>H332P157</t>
  </si>
  <si>
    <t>Notopire</t>
  </si>
  <si>
    <t>P254H136</t>
  </si>
  <si>
    <t>Fupocede</t>
  </si>
  <si>
    <t>P532H189</t>
  </si>
  <si>
    <t>Tonafudodo</t>
  </si>
  <si>
    <t>H464P262</t>
  </si>
  <si>
    <t>Pilovoti</t>
  </si>
  <si>
    <t>H213P483</t>
  </si>
  <si>
    <t>Paremopu</t>
  </si>
  <si>
    <t>H717H696</t>
  </si>
  <si>
    <t>Pepopinagu</t>
  </si>
  <si>
    <t>P814P126</t>
  </si>
  <si>
    <t>Nogetotepe</t>
  </si>
  <si>
    <t>P824H962</t>
  </si>
  <si>
    <t>Vegolepiga</t>
  </si>
  <si>
    <t>P572H288</t>
  </si>
  <si>
    <t>Peratacapo</t>
  </si>
  <si>
    <t>P793H761</t>
  </si>
  <si>
    <t>Cupudepupa</t>
  </si>
  <si>
    <t>H667H614</t>
  </si>
  <si>
    <t>Gacode</t>
  </si>
  <si>
    <t>H391H958</t>
  </si>
  <si>
    <t>Micivanudi</t>
  </si>
  <si>
    <t>H917P816</t>
  </si>
  <si>
    <t>Civifa</t>
  </si>
  <si>
    <t>P159H445</t>
  </si>
  <si>
    <t>Pamapaluca</t>
  </si>
  <si>
    <t>H394P546</t>
  </si>
  <si>
    <t>Fevedimeci</t>
  </si>
  <si>
    <t>H862H654</t>
  </si>
  <si>
    <t>Mumuvopu</t>
  </si>
  <si>
    <t>P443P842</t>
  </si>
  <si>
    <t>Nulopo</t>
  </si>
  <si>
    <t>H539H453</t>
  </si>
  <si>
    <t>Gomuludo</t>
  </si>
  <si>
    <t>H127P492</t>
  </si>
  <si>
    <t>Godilerata</t>
  </si>
  <si>
    <t>P136P676</t>
  </si>
  <si>
    <t>Talaro</t>
  </si>
  <si>
    <t>H288P451</t>
  </si>
  <si>
    <t>Vucodoci</t>
  </si>
  <si>
    <t>H268P986</t>
  </si>
  <si>
    <t>Racopitata</t>
  </si>
  <si>
    <t>P265P414</t>
  </si>
  <si>
    <t>Ligepuvoro</t>
  </si>
  <si>
    <t>P934P146</t>
  </si>
  <si>
    <t>Nupolavi</t>
  </si>
  <si>
    <t>H848H621</t>
  </si>
  <si>
    <t>Rifopitelo</t>
  </si>
  <si>
    <t>H769H757</t>
  </si>
  <si>
    <t>Rorife</t>
  </si>
  <si>
    <t>P274H977</t>
  </si>
  <si>
    <t>Panavaro</t>
  </si>
  <si>
    <t>H994H796</t>
  </si>
  <si>
    <t>Rotapulevu</t>
  </si>
  <si>
    <t>H283P215</t>
  </si>
  <si>
    <t>Gometipu</t>
  </si>
  <si>
    <t>H384P723</t>
  </si>
  <si>
    <t>Podomi</t>
  </si>
  <si>
    <t>P195H969</t>
  </si>
  <si>
    <t>Rapati</t>
  </si>
  <si>
    <t>P435H748</t>
  </si>
  <si>
    <t>Dodulupi</t>
  </si>
  <si>
    <t>P351H458</t>
  </si>
  <si>
    <t>Dofici</t>
  </si>
  <si>
    <t>H555H847</t>
  </si>
  <si>
    <t>Pirepa</t>
  </si>
  <si>
    <t>H948H984</t>
  </si>
  <si>
    <t>Ludunenuvo</t>
  </si>
  <si>
    <t>H237H171</t>
  </si>
  <si>
    <t>Nifagitu</t>
  </si>
  <si>
    <t>H454P228</t>
  </si>
  <si>
    <t>Tetepeto</t>
  </si>
  <si>
    <t>H867P873</t>
  </si>
  <si>
    <t>Nipufacami</t>
  </si>
  <si>
    <t>P711H654</t>
  </si>
  <si>
    <t>Rumonorivu</t>
  </si>
  <si>
    <t>P287H428</t>
  </si>
  <si>
    <t>Paganupu</t>
  </si>
  <si>
    <t>H837H657</t>
  </si>
  <si>
    <t>Rupaforuga</t>
  </si>
  <si>
    <t>H944H462</t>
  </si>
  <si>
    <t>Tadumopa</t>
  </si>
  <si>
    <t>P427H781</t>
  </si>
  <si>
    <t>Neticala</t>
  </si>
  <si>
    <t>P449H836</t>
  </si>
  <si>
    <t>Capoda</t>
  </si>
  <si>
    <t>H259P161</t>
  </si>
  <si>
    <t>Tivipo</t>
  </si>
  <si>
    <t>H813H644</t>
  </si>
  <si>
    <t>Tifolito</t>
  </si>
  <si>
    <t>P317P765</t>
  </si>
  <si>
    <t>Dogaturo</t>
  </si>
  <si>
    <t>H665H832</t>
  </si>
  <si>
    <t>Pugitofure</t>
  </si>
  <si>
    <t>H877H329</t>
  </si>
  <si>
    <t>Dutulu</t>
  </si>
  <si>
    <t>P279H239</t>
  </si>
  <si>
    <t>Finipovave</t>
  </si>
  <si>
    <t>P155P531</t>
  </si>
  <si>
    <t>Dipotupe</t>
  </si>
  <si>
    <t>H349P335</t>
  </si>
  <si>
    <t>Devimi</t>
  </si>
  <si>
    <t>P996H857</t>
  </si>
  <si>
    <t>Pamepa</t>
  </si>
  <si>
    <t>P659P963</t>
  </si>
  <si>
    <t>Tevulurupo</t>
  </si>
  <si>
    <t>H572P593</t>
  </si>
  <si>
    <t>Fefelicadu</t>
  </si>
  <si>
    <t>P323P522</t>
  </si>
  <si>
    <t>Nococucu</t>
  </si>
  <si>
    <t>H498P685</t>
  </si>
  <si>
    <t>Caretege</t>
  </si>
  <si>
    <t>H621P911</t>
  </si>
  <si>
    <t>Felata</t>
  </si>
  <si>
    <t>H959H997</t>
  </si>
  <si>
    <t>Torola</t>
  </si>
  <si>
    <t>H379P438</t>
  </si>
  <si>
    <t>Miguto</t>
  </si>
  <si>
    <t>H376H451</t>
  </si>
  <si>
    <t>Capupape</t>
  </si>
  <si>
    <t>H514H316</t>
  </si>
  <si>
    <t>Petumefate</t>
  </si>
  <si>
    <t>H122H567</t>
  </si>
  <si>
    <t>Volerufu</t>
  </si>
  <si>
    <t>H756H348</t>
  </si>
  <si>
    <t>Mopige</t>
  </si>
  <si>
    <t>P237P392</t>
  </si>
  <si>
    <t>Fetitidato</t>
  </si>
  <si>
    <t>P623H358</t>
  </si>
  <si>
    <t>Pevuli</t>
  </si>
  <si>
    <t>P411P886</t>
  </si>
  <si>
    <t>Tepimopoti</t>
  </si>
  <si>
    <t>H232P355</t>
  </si>
  <si>
    <t>Palelipa</t>
  </si>
  <si>
    <t>P784H281</t>
  </si>
  <si>
    <t>Tagitutego</t>
  </si>
  <si>
    <t>H745H578</t>
  </si>
  <si>
    <t>Pimola</t>
  </si>
  <si>
    <t>H822H141</t>
  </si>
  <si>
    <t>Pocagifuco</t>
  </si>
  <si>
    <t>P693H671</t>
  </si>
  <si>
    <t>Finade</t>
  </si>
  <si>
    <t>H157H911</t>
  </si>
  <si>
    <t>Momuragi</t>
  </si>
  <si>
    <t>H136P687</t>
  </si>
  <si>
    <t>Cepeti</t>
  </si>
  <si>
    <t>P937P636</t>
  </si>
  <si>
    <t>Gatulami</t>
  </si>
  <si>
    <t>P814P734</t>
  </si>
  <si>
    <t>Nicateca</t>
  </si>
  <si>
    <t>H762P297</t>
  </si>
  <si>
    <t>Dimoni</t>
  </si>
  <si>
    <t>P837H725</t>
  </si>
  <si>
    <t>Depareno</t>
  </si>
  <si>
    <t>H473H788</t>
  </si>
  <si>
    <t>Tumefupe</t>
  </si>
  <si>
    <t>H675H531</t>
  </si>
  <si>
    <t>Ragelurapo</t>
  </si>
  <si>
    <t>P992P261</t>
  </si>
  <si>
    <t>Facafutema</t>
  </si>
  <si>
    <t>P421P978</t>
  </si>
  <si>
    <t>Rapiga</t>
  </si>
  <si>
    <t>H343P482</t>
  </si>
  <si>
    <t>Gitupi</t>
  </si>
  <si>
    <t>P738P133</t>
  </si>
  <si>
    <t>Dupetite</t>
  </si>
  <si>
    <t>P665P624</t>
  </si>
  <si>
    <t>Levafi</t>
  </si>
  <si>
    <t>P152P474</t>
  </si>
  <si>
    <t>Melade</t>
  </si>
  <si>
    <t>H468P414</t>
  </si>
  <si>
    <t>Dufepipa</t>
  </si>
  <si>
    <t>H619P476</t>
  </si>
  <si>
    <t>Tuvarerapo</t>
  </si>
  <si>
    <t>H686H281</t>
  </si>
  <si>
    <t>Garotepopu</t>
  </si>
  <si>
    <t>P365P885</t>
  </si>
  <si>
    <t>Dodeme</t>
  </si>
  <si>
    <t>P584H851</t>
  </si>
  <si>
    <t>Vopido</t>
  </si>
  <si>
    <t>P286H323</t>
  </si>
  <si>
    <t>Diteteteto</t>
  </si>
  <si>
    <t>P188H516</t>
  </si>
  <si>
    <t>Vadori</t>
  </si>
  <si>
    <t>P449H587</t>
  </si>
  <si>
    <t>Pelunicupu</t>
  </si>
  <si>
    <t>P467P841</t>
  </si>
  <si>
    <t>Porimu</t>
  </si>
  <si>
    <t>P536H767</t>
  </si>
  <si>
    <t>Pitopopago</t>
  </si>
  <si>
    <t>P872P642</t>
  </si>
  <si>
    <t>Vutofo</t>
  </si>
  <si>
    <t>H398P738</t>
  </si>
  <si>
    <t>Degavagi</t>
  </si>
  <si>
    <t>H855H456</t>
  </si>
  <si>
    <t>Pofivipadi</t>
  </si>
  <si>
    <t>P929H672</t>
  </si>
  <si>
    <t>Lofali</t>
  </si>
  <si>
    <t>H661P169</t>
  </si>
  <si>
    <t>Riraropelu</t>
  </si>
  <si>
    <t>P342H433</t>
  </si>
  <si>
    <t>Cilepenile</t>
  </si>
  <si>
    <t>H517P894</t>
  </si>
  <si>
    <t>Nanepovipe</t>
  </si>
  <si>
    <t>P425P353</t>
  </si>
  <si>
    <t>Tegalavore</t>
  </si>
  <si>
    <t>P478H629</t>
  </si>
  <si>
    <t>Tevefalapi</t>
  </si>
  <si>
    <t>P885P559</t>
  </si>
  <si>
    <t>Paricavuvo</t>
  </si>
  <si>
    <t>P544H776</t>
  </si>
  <si>
    <t>Pupana</t>
  </si>
  <si>
    <t>H826H491</t>
  </si>
  <si>
    <t>Poparunepi</t>
  </si>
  <si>
    <t>H187H893</t>
  </si>
  <si>
    <t>Vicitipova</t>
  </si>
  <si>
    <t>P961H311</t>
  </si>
  <si>
    <t>Poluve</t>
  </si>
  <si>
    <t>P167P398</t>
  </si>
  <si>
    <t>Natiparuci</t>
  </si>
  <si>
    <t>P834P716</t>
  </si>
  <si>
    <t>Vifepugepo</t>
  </si>
  <si>
    <t>P889P739</t>
  </si>
  <si>
    <t>Paradumomu</t>
  </si>
  <si>
    <t>H785P622</t>
  </si>
  <si>
    <t>Dupunutu</t>
  </si>
  <si>
    <t>H166P663</t>
  </si>
  <si>
    <t>Vocotapera</t>
  </si>
  <si>
    <t>H219H128</t>
  </si>
  <si>
    <t>Nirovodopi</t>
  </si>
  <si>
    <t>H812P349</t>
  </si>
  <si>
    <t>Pudepipomu</t>
  </si>
  <si>
    <t>H881H799</t>
  </si>
  <si>
    <t>Perurifa</t>
  </si>
  <si>
    <t>P974H123</t>
  </si>
  <si>
    <t>Facevacica</t>
  </si>
  <si>
    <t>H874H378</t>
  </si>
  <si>
    <t>Golomanute</t>
  </si>
  <si>
    <t>P698H851</t>
  </si>
  <si>
    <t>Rapotopi</t>
  </si>
  <si>
    <t>H689P945</t>
  </si>
  <si>
    <t>Fatape</t>
  </si>
  <si>
    <t>H176H619</t>
  </si>
  <si>
    <t>Rupegi</t>
  </si>
  <si>
    <t>P853P455</t>
  </si>
  <si>
    <t>Tadacalu</t>
  </si>
  <si>
    <t>H325P954</t>
  </si>
  <si>
    <t>Vedipufuci</t>
  </si>
  <si>
    <t>P992P286</t>
  </si>
  <si>
    <t>Penunu</t>
  </si>
  <si>
    <t>P328H362</t>
  </si>
  <si>
    <t>Covapipu</t>
  </si>
  <si>
    <t>P764H371</t>
  </si>
  <si>
    <t>Tidaco</t>
  </si>
  <si>
    <t>H176P544</t>
  </si>
  <si>
    <t>Cetepo</t>
  </si>
  <si>
    <t>H992H137</t>
  </si>
  <si>
    <t>Gatodenopi</t>
  </si>
  <si>
    <t>H797H622</t>
  </si>
  <si>
    <t>Tatopafu</t>
  </si>
  <si>
    <t>H183P481</t>
  </si>
  <si>
    <t>Gopemudaru</t>
  </si>
  <si>
    <t>H191P264</t>
  </si>
  <si>
    <t>Fovemodite</t>
  </si>
  <si>
    <t>P829P491</t>
  </si>
  <si>
    <t>Ravapote</t>
  </si>
  <si>
    <t>H162P666</t>
  </si>
  <si>
    <t>Tonalo</t>
  </si>
  <si>
    <t>P815P782</t>
  </si>
  <si>
    <t>Peferepifo</t>
  </si>
  <si>
    <t>H188P149</t>
  </si>
  <si>
    <t>Pulune</t>
  </si>
  <si>
    <t>P954H173</t>
  </si>
  <si>
    <t>Tudericoni</t>
  </si>
  <si>
    <t>H132H958</t>
  </si>
  <si>
    <t>Codivape</t>
  </si>
  <si>
    <t>H874P366</t>
  </si>
  <si>
    <t>Lereteri</t>
  </si>
  <si>
    <t>P138H892</t>
  </si>
  <si>
    <t>Ridalavove</t>
  </si>
  <si>
    <t>P157H499</t>
  </si>
  <si>
    <t>Tulirona</t>
  </si>
  <si>
    <t>P544P677</t>
  </si>
  <si>
    <t>Mifuto</t>
  </si>
  <si>
    <t>P923H698</t>
  </si>
  <si>
    <t>Depanufore</t>
  </si>
  <si>
    <t>P752P815</t>
  </si>
  <si>
    <t>Cuvapiti</t>
  </si>
  <si>
    <t>P948H154</t>
  </si>
  <si>
    <t>Peturufa</t>
  </si>
  <si>
    <t>P764P334</t>
  </si>
  <si>
    <t>Fopulape</t>
  </si>
  <si>
    <t>H171H337</t>
  </si>
  <si>
    <t>Pagirido</t>
  </si>
  <si>
    <t>P341P938</t>
  </si>
  <si>
    <t>Citeneda</t>
  </si>
  <si>
    <t>H954P439</t>
  </si>
  <si>
    <t>Ritemulu</t>
  </si>
  <si>
    <t>P933H914</t>
  </si>
  <si>
    <t>Rirode</t>
  </si>
  <si>
    <t>P958P721</t>
  </si>
  <si>
    <t>Ruvirupa</t>
  </si>
  <si>
    <t>H455P461</t>
  </si>
  <si>
    <t>Topefite</t>
  </si>
  <si>
    <t>H885H379</t>
  </si>
  <si>
    <t>Pomipapitu</t>
  </si>
  <si>
    <t>H634H743</t>
  </si>
  <si>
    <t>Vetipopipe</t>
  </si>
  <si>
    <t>P938P382</t>
  </si>
  <si>
    <t>Denipugo</t>
  </si>
  <si>
    <t>P118P917</t>
  </si>
  <si>
    <t>Pupopire</t>
  </si>
  <si>
    <t>P711P642</t>
  </si>
  <si>
    <t>Dipodo</t>
  </si>
  <si>
    <t>P376H483</t>
  </si>
  <si>
    <t>Mogurupure</t>
  </si>
  <si>
    <t>P439P921</t>
  </si>
  <si>
    <t>Votolureto</t>
  </si>
  <si>
    <t>H799P273</t>
  </si>
  <si>
    <t>Vegipo</t>
  </si>
  <si>
    <t>P221H546</t>
  </si>
  <si>
    <t>Pifetopu</t>
  </si>
  <si>
    <t>H996H768</t>
  </si>
  <si>
    <t>Gicome</t>
  </si>
  <si>
    <t>P261H522</t>
  </si>
  <si>
    <t>Neroti</t>
  </si>
  <si>
    <t>P537H387</t>
  </si>
  <si>
    <t>Pidolufupa</t>
  </si>
  <si>
    <t>H226H139</t>
  </si>
  <si>
    <t>Decari</t>
  </si>
  <si>
    <t>P953P247</t>
  </si>
  <si>
    <t>Ferati</t>
  </si>
  <si>
    <t>H335P457</t>
  </si>
  <si>
    <t>Poceturunu</t>
  </si>
  <si>
    <t>H626H175</t>
  </si>
  <si>
    <t>Tavapudope</t>
  </si>
  <si>
    <t>H221H367</t>
  </si>
  <si>
    <t>Nitetu</t>
  </si>
  <si>
    <t>P932P717</t>
  </si>
  <si>
    <t>Rutafa</t>
  </si>
  <si>
    <t>P881H964</t>
  </si>
  <si>
    <t>Cugunu</t>
  </si>
  <si>
    <t>H851H995</t>
  </si>
  <si>
    <t>Mavatoru</t>
  </si>
  <si>
    <t>H596H148</t>
  </si>
  <si>
    <t>Tuluvu</t>
  </si>
  <si>
    <t>P372P994</t>
  </si>
  <si>
    <t>Finoni</t>
  </si>
  <si>
    <t>P486P496</t>
  </si>
  <si>
    <t>Nurilipute</t>
  </si>
  <si>
    <t>H816H723</t>
  </si>
  <si>
    <t>Forufemogo</t>
  </si>
  <si>
    <t>P134H393</t>
  </si>
  <si>
    <t>Ficavi</t>
  </si>
  <si>
    <t>H811P698</t>
  </si>
  <si>
    <t>Rucupofafi</t>
  </si>
  <si>
    <t>H636H697</t>
  </si>
  <si>
    <t>Nirepipi</t>
  </si>
  <si>
    <t>H641H177</t>
  </si>
  <si>
    <t>Virumire</t>
  </si>
  <si>
    <t>P525H528</t>
  </si>
  <si>
    <t>Rupiniga</t>
  </si>
  <si>
    <t>P926H369</t>
  </si>
  <si>
    <t>Dafarepu</t>
  </si>
  <si>
    <t>P251P153</t>
  </si>
  <si>
    <t>Pufoca</t>
  </si>
  <si>
    <t>P293H363</t>
  </si>
  <si>
    <t>Lalodarole</t>
  </si>
  <si>
    <t>P223P364</t>
  </si>
  <si>
    <t>Pilipudutu</t>
  </si>
  <si>
    <t>H377H966</t>
  </si>
  <si>
    <t>Rerero</t>
  </si>
  <si>
    <t>P511P551</t>
  </si>
  <si>
    <t>Tiracedi</t>
  </si>
  <si>
    <t>P532H586</t>
  </si>
  <si>
    <t>Ravavepuva</t>
  </si>
  <si>
    <t>H893P969</t>
  </si>
  <si>
    <t>Vunutopu</t>
  </si>
  <si>
    <t>P582H364</t>
  </si>
  <si>
    <t>Pururu</t>
  </si>
  <si>
    <t>H623P187</t>
  </si>
  <si>
    <t>Letofonu</t>
  </si>
  <si>
    <t>H618P848</t>
  </si>
  <si>
    <t>Timodorovo</t>
  </si>
  <si>
    <t>P376H521</t>
  </si>
  <si>
    <t>Rupafa</t>
  </si>
  <si>
    <t>P174H159</t>
  </si>
  <si>
    <t>Tudunodo</t>
  </si>
  <si>
    <t>H131H298</t>
  </si>
  <si>
    <t>Davenage</t>
  </si>
  <si>
    <t>P239P683</t>
  </si>
  <si>
    <t>Rolifide</t>
  </si>
  <si>
    <t>P629P957</t>
  </si>
  <si>
    <t>Nipuralapo</t>
  </si>
  <si>
    <t>H136P128</t>
  </si>
  <si>
    <t>Rarudatu</t>
  </si>
  <si>
    <t>H991P868</t>
  </si>
  <si>
    <t>Temito</t>
  </si>
  <si>
    <t>H389H874</t>
  </si>
  <si>
    <t>Patanipifo</t>
  </si>
  <si>
    <t>H467P555</t>
  </si>
  <si>
    <t>Vogopolona</t>
  </si>
  <si>
    <t>P961P382</t>
  </si>
  <si>
    <t>Gerecilati</t>
  </si>
  <si>
    <t>H421H579</t>
  </si>
  <si>
    <t>Diruredole</t>
  </si>
  <si>
    <t>P367P713</t>
  </si>
  <si>
    <t>Dotepipifo</t>
  </si>
  <si>
    <t>H886H156</t>
  </si>
  <si>
    <t>Govama</t>
  </si>
  <si>
    <t>P234H888</t>
  </si>
  <si>
    <t>Terite</t>
  </si>
  <si>
    <t>H984H298</t>
  </si>
  <si>
    <t>Dugutalifo</t>
  </si>
  <si>
    <t>H956P889</t>
  </si>
  <si>
    <t>Pimivefipa</t>
  </si>
  <si>
    <t>H853P914</t>
  </si>
  <si>
    <t>Pefuru</t>
  </si>
  <si>
    <t>H254H651</t>
  </si>
  <si>
    <t>Fegalaruti</t>
  </si>
  <si>
    <t>P923H668</t>
  </si>
  <si>
    <t>Fagerifu</t>
  </si>
  <si>
    <t>H691P139</t>
  </si>
  <si>
    <t>Depucarili</t>
  </si>
  <si>
    <t>P455H581</t>
  </si>
  <si>
    <t>Pegalala</t>
  </si>
  <si>
    <t>H133H373</t>
  </si>
  <si>
    <t>Falinevotu</t>
  </si>
  <si>
    <t>P488H272</t>
  </si>
  <si>
    <t>Rocipovipa</t>
  </si>
  <si>
    <t>P321P834</t>
  </si>
  <si>
    <t>Netoto</t>
  </si>
  <si>
    <t>P965P169</t>
  </si>
  <si>
    <t>Pareto</t>
  </si>
  <si>
    <t>P888H921</t>
  </si>
  <si>
    <t>Gutepupade</t>
  </si>
  <si>
    <t>H478H469</t>
  </si>
  <si>
    <t>Fepedenilu</t>
  </si>
  <si>
    <t>P972P878</t>
  </si>
  <si>
    <t>Pupuvamupa</t>
  </si>
  <si>
    <t>H577P219</t>
  </si>
  <si>
    <t>Tovumo</t>
  </si>
  <si>
    <t>H279H464</t>
  </si>
  <si>
    <t>Lureme</t>
  </si>
  <si>
    <t>H359P241</t>
  </si>
  <si>
    <t>Pidogapufi</t>
  </si>
  <si>
    <t>H953H334</t>
  </si>
  <si>
    <t>Monigu</t>
  </si>
  <si>
    <t>H415P484</t>
  </si>
  <si>
    <t>Rudepuri</t>
  </si>
  <si>
    <t>H151P488</t>
  </si>
  <si>
    <t>Muvite</t>
  </si>
  <si>
    <t>H455H563</t>
  </si>
  <si>
    <t>Fopota</t>
  </si>
  <si>
    <t>H657P379</t>
  </si>
  <si>
    <t>Tepira</t>
  </si>
  <si>
    <t>H865H735</t>
  </si>
  <si>
    <t>Vepedadere</t>
  </si>
  <si>
    <t>P116P325</t>
  </si>
  <si>
    <t>Tipogopipa</t>
  </si>
  <si>
    <t>P541P948</t>
  </si>
  <si>
    <t>Dumevenipe</t>
  </si>
  <si>
    <t>H958P874</t>
  </si>
  <si>
    <t>Vupicu</t>
  </si>
  <si>
    <t>P311H214</t>
  </si>
  <si>
    <t>Puloliluti</t>
  </si>
  <si>
    <t>P417H687</t>
  </si>
  <si>
    <t>Muteregina</t>
  </si>
  <si>
    <t>H152H576</t>
  </si>
  <si>
    <t>Fivevateci</t>
  </si>
  <si>
    <t>H522P877</t>
  </si>
  <si>
    <t>Perava</t>
  </si>
  <si>
    <t>H576H269</t>
  </si>
  <si>
    <t>Patoduvo</t>
  </si>
  <si>
    <t>P279H586</t>
  </si>
  <si>
    <t>Vodepe</t>
  </si>
  <si>
    <t>P397P155</t>
  </si>
  <si>
    <t>Cevucemo</t>
  </si>
  <si>
    <t>H726H447</t>
  </si>
  <si>
    <t>Tugocepogi</t>
  </si>
  <si>
    <t>P474P647</t>
  </si>
  <si>
    <t>Perige</t>
  </si>
  <si>
    <t>H596P325</t>
  </si>
  <si>
    <t>Malivipiro</t>
  </si>
  <si>
    <t>P765P118</t>
  </si>
  <si>
    <t>Pupofemi</t>
  </si>
  <si>
    <t>H543P849</t>
  </si>
  <si>
    <t>Tacaricugu</t>
  </si>
  <si>
    <t>P821P796</t>
  </si>
  <si>
    <t>Podiva</t>
  </si>
  <si>
    <t>P829H596</t>
  </si>
  <si>
    <t>Garataco</t>
  </si>
  <si>
    <t>H572P647</t>
  </si>
  <si>
    <t>Racefapore</t>
  </si>
  <si>
    <t>H528H364</t>
  </si>
  <si>
    <t>Punigotafu</t>
  </si>
  <si>
    <t>P172P334</t>
  </si>
  <si>
    <t>Pecoduni</t>
  </si>
  <si>
    <t>P584P635</t>
  </si>
  <si>
    <t>Puricomuno</t>
  </si>
  <si>
    <t>P585H694</t>
  </si>
  <si>
    <t>Mevofo</t>
  </si>
  <si>
    <t>H299P662</t>
  </si>
  <si>
    <t>Tepovuvifo</t>
  </si>
  <si>
    <t>H673P524</t>
  </si>
  <si>
    <t>Gitipeve</t>
  </si>
  <si>
    <t>H717H943</t>
  </si>
  <si>
    <t>Lerufi</t>
  </si>
  <si>
    <t>H123P182</t>
  </si>
  <si>
    <t>Rodupepu</t>
  </si>
  <si>
    <t>H726H133</t>
  </si>
  <si>
    <t>Gepacepu</t>
  </si>
  <si>
    <t>P844H423</t>
  </si>
  <si>
    <t>Gatuce</t>
  </si>
  <si>
    <t>H114P455</t>
  </si>
  <si>
    <t>Ramigepepe</t>
  </si>
  <si>
    <t>H731P955</t>
  </si>
  <si>
    <t>Tufope</t>
  </si>
  <si>
    <t>P252H629</t>
  </si>
  <si>
    <t>Gomite</t>
  </si>
  <si>
    <t>H986P761</t>
  </si>
  <si>
    <t>Nufelora</t>
  </si>
  <si>
    <t>P369P322</t>
  </si>
  <si>
    <t>Popafu</t>
  </si>
  <si>
    <t>P824H672</t>
  </si>
  <si>
    <t>Celila</t>
  </si>
  <si>
    <t>H742H257</t>
  </si>
  <si>
    <t>Vefada</t>
  </si>
  <si>
    <t>H594P881</t>
  </si>
  <si>
    <t>Varuturove</t>
  </si>
  <si>
    <t>P941H326</t>
  </si>
  <si>
    <t>Tatugifo</t>
  </si>
  <si>
    <t>H946P333</t>
  </si>
  <si>
    <t>Pilipevudo</t>
  </si>
  <si>
    <t>H798H463</t>
  </si>
  <si>
    <t>Domepava</t>
  </si>
  <si>
    <t>P254P722</t>
  </si>
  <si>
    <t>Leretonega</t>
  </si>
  <si>
    <t>H829H182</t>
  </si>
  <si>
    <t>Lotitovi</t>
  </si>
  <si>
    <t>H855H386</t>
  </si>
  <si>
    <t>Pomanume</t>
  </si>
  <si>
    <t>P895H745</t>
  </si>
  <si>
    <t>Rolapepuda</t>
  </si>
  <si>
    <t>H532H745</t>
  </si>
  <si>
    <t>Punuritari</t>
  </si>
  <si>
    <t>P956H778</t>
  </si>
  <si>
    <t>Lipidadene</t>
  </si>
  <si>
    <t>H921P173</t>
  </si>
  <si>
    <t>Vurutafave</t>
  </si>
  <si>
    <t>P841P154</t>
  </si>
  <si>
    <t>Tutipaneli</t>
  </si>
  <si>
    <t>P379H329</t>
  </si>
  <si>
    <t>Podatopiti</t>
  </si>
  <si>
    <t>H222H171</t>
  </si>
  <si>
    <t>Fucopemo</t>
  </si>
  <si>
    <t>P468P843</t>
  </si>
  <si>
    <t>Revugefemu</t>
  </si>
  <si>
    <t>H884H715</t>
  </si>
  <si>
    <t>Fotemupa</t>
  </si>
  <si>
    <t>H352P562</t>
  </si>
  <si>
    <t>Teredefuvi</t>
  </si>
  <si>
    <t>P288P446</t>
  </si>
  <si>
    <t>Rutaligi</t>
  </si>
  <si>
    <t>P858P151</t>
  </si>
  <si>
    <t>Giniraduti</t>
  </si>
  <si>
    <t>H189P583</t>
  </si>
  <si>
    <t>Raditino</t>
  </si>
  <si>
    <t>P892H215</t>
  </si>
  <si>
    <t>Camavudifi</t>
  </si>
  <si>
    <t>P459P841</t>
  </si>
  <si>
    <t>Lorago</t>
  </si>
  <si>
    <t>H277H195</t>
  </si>
  <si>
    <t>Pavage</t>
  </si>
  <si>
    <t>P467H769</t>
  </si>
  <si>
    <t>Ropucifipe</t>
  </si>
  <si>
    <t>H171H219</t>
  </si>
  <si>
    <t>Capepa</t>
  </si>
  <si>
    <t>P693P166</t>
  </si>
  <si>
    <t>Mitivaro</t>
  </si>
  <si>
    <t>P147P351</t>
  </si>
  <si>
    <t>Gelitapudu</t>
  </si>
  <si>
    <t>H145P237</t>
  </si>
  <si>
    <t>Metapumepe</t>
  </si>
  <si>
    <t>H885P241</t>
  </si>
  <si>
    <t>Nunicaneca</t>
  </si>
  <si>
    <t>P536H846</t>
  </si>
  <si>
    <t>Titadi</t>
  </si>
  <si>
    <t>H112P536</t>
  </si>
  <si>
    <t>Tetumi</t>
  </si>
  <si>
    <t>P437H667</t>
  </si>
  <si>
    <t>Varagadede</t>
  </si>
  <si>
    <t>H122H137</t>
  </si>
  <si>
    <t>Tivete</t>
  </si>
  <si>
    <t>P468P932</t>
  </si>
  <si>
    <t>Furite</t>
  </si>
  <si>
    <t>H722H394</t>
  </si>
  <si>
    <t>Lugeredala</t>
  </si>
  <si>
    <t>H486P153</t>
  </si>
  <si>
    <t>Nomenivocu</t>
  </si>
  <si>
    <t>P886P179</t>
  </si>
  <si>
    <t>Lafafa</t>
  </si>
  <si>
    <t>H664P994</t>
  </si>
  <si>
    <t>Gavucilega</t>
  </si>
  <si>
    <t>H255P354</t>
  </si>
  <si>
    <t>Vipecotedo</t>
  </si>
  <si>
    <t>H171P732</t>
  </si>
  <si>
    <t>Lomuparu</t>
  </si>
  <si>
    <t>H816H989</t>
  </si>
  <si>
    <t>Mefimu</t>
  </si>
  <si>
    <t>H125P478</t>
  </si>
  <si>
    <t>Mugofu</t>
  </si>
  <si>
    <t>P666H887</t>
  </si>
  <si>
    <t>Vupupu</t>
  </si>
  <si>
    <t>H894P548</t>
  </si>
  <si>
    <t>Rupilucaru</t>
  </si>
  <si>
    <t>H425P114</t>
  </si>
  <si>
    <t>Rufevororu</t>
  </si>
  <si>
    <t>P459P953</t>
  </si>
  <si>
    <t>Tatoraci</t>
  </si>
  <si>
    <t>H665H516</t>
  </si>
  <si>
    <t>Totugamora</t>
  </si>
  <si>
    <t>P543H154</t>
  </si>
  <si>
    <t>Mepivupipi</t>
  </si>
  <si>
    <t>H188P659</t>
  </si>
  <si>
    <t>Tafotafi</t>
  </si>
  <si>
    <t>P917P759</t>
  </si>
  <si>
    <t>Nepapanigu</t>
  </si>
  <si>
    <t>H427H519</t>
  </si>
  <si>
    <t>Pumoparolo</t>
  </si>
  <si>
    <t>H817H861</t>
  </si>
  <si>
    <t>Rocudetigu</t>
  </si>
  <si>
    <t>H727P446</t>
  </si>
  <si>
    <t>Regepo</t>
  </si>
  <si>
    <t>P538H334</t>
  </si>
  <si>
    <t>Rirurinu</t>
  </si>
  <si>
    <t>H473H619</t>
  </si>
  <si>
    <t>Nefucerita</t>
  </si>
  <si>
    <t>H411H658</t>
  </si>
  <si>
    <t>Pefuvo</t>
  </si>
  <si>
    <t>P882H391</t>
  </si>
  <si>
    <t>Pirare</t>
  </si>
  <si>
    <t>P384H158</t>
  </si>
  <si>
    <t>Figerafavo</t>
  </si>
  <si>
    <t>P254H386</t>
  </si>
  <si>
    <t>Miporora</t>
  </si>
  <si>
    <t>H126P811</t>
  </si>
  <si>
    <t>Lelepolo</t>
  </si>
  <si>
    <t>H118H428</t>
  </si>
  <si>
    <t>Dudofemapu</t>
  </si>
  <si>
    <t>H811H164</t>
  </si>
  <si>
    <t>Pidonuga</t>
  </si>
  <si>
    <t>H346H769</t>
  </si>
  <si>
    <t>Pevimiru</t>
  </si>
  <si>
    <t>H763P574</t>
  </si>
  <si>
    <t>Nonidi</t>
  </si>
  <si>
    <t>P254P755</t>
  </si>
  <si>
    <t>Rapepugavi</t>
  </si>
  <si>
    <t>P826P673</t>
  </si>
  <si>
    <t>Fetipape</t>
  </si>
  <si>
    <t>P895H443</t>
  </si>
  <si>
    <t>Ditumotuci</t>
  </si>
  <si>
    <t>P715H741</t>
  </si>
  <si>
    <t>Tutepeni</t>
  </si>
  <si>
    <t>P328H217</t>
  </si>
  <si>
    <t>Rudati</t>
  </si>
  <si>
    <t>P441P261</t>
  </si>
  <si>
    <t>Tururelomo</t>
  </si>
  <si>
    <t>H766P398</t>
  </si>
  <si>
    <t>Toradapu</t>
  </si>
  <si>
    <t>P876P591</t>
  </si>
  <si>
    <t>Petagipide</t>
  </si>
  <si>
    <t>P985H777</t>
  </si>
  <si>
    <t>Gilalere</t>
  </si>
  <si>
    <t>P854H115</t>
  </si>
  <si>
    <t>Pivenilene</t>
  </si>
  <si>
    <t>P684H793</t>
  </si>
  <si>
    <t>Cufepa</t>
  </si>
  <si>
    <t>H569H663</t>
  </si>
  <si>
    <t>Nipupunimi</t>
  </si>
  <si>
    <t>P173H754</t>
  </si>
  <si>
    <t>Niceto</t>
  </si>
  <si>
    <t>H549H312</t>
  </si>
  <si>
    <t>Pitofudo</t>
  </si>
  <si>
    <t>P167H591</t>
  </si>
  <si>
    <t>Pefurula</t>
  </si>
  <si>
    <t>H868H613</t>
  </si>
  <si>
    <t>Ficefo</t>
  </si>
  <si>
    <t>H611P878</t>
  </si>
  <si>
    <t>Vunutovo</t>
  </si>
  <si>
    <t>P186H447</t>
  </si>
  <si>
    <t>Peparu</t>
  </si>
  <si>
    <t>P348H894</t>
  </si>
  <si>
    <t>Gepocime</t>
  </si>
  <si>
    <t>H917H853</t>
  </si>
  <si>
    <t>Puretecu</t>
  </si>
  <si>
    <t>H633H141</t>
  </si>
  <si>
    <t>Ratolege</t>
  </si>
  <si>
    <t>H241H416</t>
  </si>
  <si>
    <t>Vepato</t>
  </si>
  <si>
    <t>H196H261</t>
  </si>
  <si>
    <t>Teriparo</t>
  </si>
  <si>
    <t>H545H859</t>
  </si>
  <si>
    <t>Dagavapo</t>
  </si>
  <si>
    <t>P389P789</t>
  </si>
  <si>
    <t>Patunipori</t>
  </si>
  <si>
    <t>H398H846</t>
  </si>
  <si>
    <t>Rovunapo</t>
  </si>
  <si>
    <t>P442P263</t>
  </si>
  <si>
    <t>Muripufure</t>
  </si>
  <si>
    <t>P847P469</t>
  </si>
  <si>
    <t>Poteralede</t>
  </si>
  <si>
    <t>P232H297</t>
  </si>
  <si>
    <t>Culanu</t>
  </si>
  <si>
    <t>H412P499</t>
  </si>
  <si>
    <t>Roralapedo</t>
  </si>
  <si>
    <t>P348H446</t>
  </si>
  <si>
    <t>Dorenegoro</t>
  </si>
  <si>
    <t>H897H682</t>
  </si>
  <si>
    <t>Civipe</t>
  </si>
  <si>
    <t>H353H759</t>
  </si>
  <si>
    <t>Paruci</t>
  </si>
  <si>
    <t>H463H545</t>
  </si>
  <si>
    <t>Gemeva</t>
  </si>
  <si>
    <t>H122P979</t>
  </si>
  <si>
    <t>Pipatela</t>
  </si>
  <si>
    <t>H985P337</t>
  </si>
  <si>
    <t>Todecure</t>
  </si>
  <si>
    <t>P941P286</t>
  </si>
  <si>
    <t>Vepevono</t>
  </si>
  <si>
    <t>P949H372</t>
  </si>
  <si>
    <t>Latorecire</t>
  </si>
  <si>
    <t>H549H253</t>
  </si>
  <si>
    <t>Mucefopo</t>
  </si>
  <si>
    <t>P513P551</t>
  </si>
  <si>
    <t>Ropaperatu</t>
  </si>
  <si>
    <t>P913H289</t>
  </si>
  <si>
    <t>Fimetureru</t>
  </si>
  <si>
    <t>H425H844</t>
  </si>
  <si>
    <t>Narumenepi</t>
  </si>
  <si>
    <t>P587H779</t>
  </si>
  <si>
    <t>Parerode</t>
  </si>
  <si>
    <t>P382H188</t>
  </si>
  <si>
    <t>Muvivena</t>
  </si>
  <si>
    <t>P995P629</t>
  </si>
  <si>
    <t>Ginefupami</t>
  </si>
  <si>
    <t>H894H534</t>
  </si>
  <si>
    <t>Pudepe</t>
  </si>
  <si>
    <t>P633H549</t>
  </si>
  <si>
    <t>Cepavepe</t>
  </si>
  <si>
    <t>H892H587</t>
  </si>
  <si>
    <t>Ropiramero</t>
  </si>
  <si>
    <t>H366H154</t>
  </si>
  <si>
    <t>Tomigago</t>
  </si>
  <si>
    <t>P216P457</t>
  </si>
  <si>
    <t>Valime</t>
  </si>
  <si>
    <t>H918P616</t>
  </si>
  <si>
    <t>Focefi</t>
  </si>
  <si>
    <t>P663P647</t>
  </si>
  <si>
    <t>Mocopi</t>
  </si>
  <si>
    <t>P224P377</t>
  </si>
  <si>
    <t>Fofovipapa</t>
  </si>
  <si>
    <t>P339H465</t>
  </si>
  <si>
    <t>Donarerure</t>
  </si>
  <si>
    <t>H671P576</t>
  </si>
  <si>
    <t>Novidipe</t>
  </si>
  <si>
    <t>P431P483</t>
  </si>
  <si>
    <t>Tiromegu</t>
  </si>
  <si>
    <t>H741H769</t>
  </si>
  <si>
    <t>Vovegapumu</t>
  </si>
  <si>
    <t>H955H569</t>
  </si>
  <si>
    <t>Foturero</t>
  </si>
  <si>
    <t>P243P814</t>
  </si>
  <si>
    <t>Pofodoge</t>
  </si>
  <si>
    <t>H985H461</t>
  </si>
  <si>
    <t>Pugarire</t>
  </si>
  <si>
    <t>P261P539</t>
  </si>
  <si>
    <t>Tirute</t>
  </si>
  <si>
    <t>H718H765</t>
  </si>
  <si>
    <t>Pogumima</t>
  </si>
  <si>
    <t>H114H237</t>
  </si>
  <si>
    <t>Puvuru</t>
  </si>
  <si>
    <t>P266P559</t>
  </si>
  <si>
    <t>Rocude</t>
  </si>
  <si>
    <t>P565H873</t>
  </si>
  <si>
    <t>Ramitume</t>
  </si>
  <si>
    <t>P559H358</t>
  </si>
  <si>
    <t>Perocutame</t>
  </si>
  <si>
    <t>P269H311</t>
  </si>
  <si>
    <t>Rafotono</t>
  </si>
  <si>
    <t>H248P425</t>
  </si>
  <si>
    <t>Numupugare</t>
  </si>
  <si>
    <t>P963H837</t>
  </si>
  <si>
    <t>Rirapomapi</t>
  </si>
  <si>
    <t>P265P269</t>
  </si>
  <si>
    <t>Pavipeco</t>
  </si>
  <si>
    <t>H766P313</t>
  </si>
  <si>
    <t>Rimotori</t>
  </si>
  <si>
    <t>H916H348</t>
  </si>
  <si>
    <t>Duramuruto</t>
  </si>
  <si>
    <t>H232P999</t>
  </si>
  <si>
    <t>Tetademo</t>
  </si>
  <si>
    <t>P637P949</t>
  </si>
  <si>
    <t>Diraceteri</t>
  </si>
  <si>
    <t>H383P582</t>
  </si>
  <si>
    <t>Tefoli</t>
  </si>
  <si>
    <t>H363H877</t>
  </si>
  <si>
    <t>Nenaticuvi</t>
  </si>
  <si>
    <t>H317H318</t>
  </si>
  <si>
    <t>Topuga</t>
  </si>
  <si>
    <t>H382H246</t>
  </si>
  <si>
    <t>Pacevovepe</t>
  </si>
  <si>
    <t>P125H365</t>
  </si>
  <si>
    <t>Vudima</t>
  </si>
  <si>
    <t>H596P465</t>
  </si>
  <si>
    <t>Davefo</t>
  </si>
  <si>
    <t>P921H669</t>
  </si>
  <si>
    <t>Lipipoteta</t>
  </si>
  <si>
    <t>P266H524</t>
  </si>
  <si>
    <t>Revateraro</t>
  </si>
  <si>
    <t>H735P822</t>
  </si>
  <si>
    <t>Dopopi</t>
  </si>
  <si>
    <t>H388H754</t>
  </si>
  <si>
    <t>Riraca</t>
  </si>
  <si>
    <t>H757H494</t>
  </si>
  <si>
    <t>Nupireto</t>
  </si>
  <si>
    <t>P611P418</t>
  </si>
  <si>
    <t>Riderule</t>
  </si>
  <si>
    <t>H764H331</t>
  </si>
  <si>
    <t>Godopadu</t>
  </si>
  <si>
    <t>P116P159</t>
  </si>
  <si>
    <t>Rirarupe</t>
  </si>
  <si>
    <t>H387H484</t>
  </si>
  <si>
    <t>Dagipi</t>
  </si>
  <si>
    <t>P835P453</t>
  </si>
  <si>
    <t>Cetepepi</t>
  </si>
  <si>
    <t>H541P574</t>
  </si>
  <si>
    <t>Vapuvo</t>
  </si>
  <si>
    <t>H617H617</t>
  </si>
  <si>
    <t>Ripafo</t>
  </si>
  <si>
    <t>H239H272</t>
  </si>
  <si>
    <t>Vevitera</t>
  </si>
  <si>
    <t>H256H541</t>
  </si>
  <si>
    <t>Tivenigeta</t>
  </si>
  <si>
    <t>H624H857</t>
  </si>
  <si>
    <t>Rupofefu</t>
  </si>
  <si>
    <t>H493H738</t>
  </si>
  <si>
    <t>Patemu</t>
  </si>
  <si>
    <t>H486H394</t>
  </si>
  <si>
    <t>Remufufevu</t>
  </si>
  <si>
    <t>H314P231</t>
  </si>
  <si>
    <t>Livipeli</t>
  </si>
  <si>
    <t>P886P739</t>
  </si>
  <si>
    <t>Pufoda</t>
  </si>
  <si>
    <t>H496H924</t>
  </si>
  <si>
    <t>Lepemaruti</t>
  </si>
  <si>
    <t>P989P492</t>
  </si>
  <si>
    <t>Vogupumo</t>
  </si>
  <si>
    <t>P854H188</t>
  </si>
  <si>
    <t>Vunari</t>
  </si>
  <si>
    <t>H116H272</t>
  </si>
  <si>
    <t>Durafa</t>
  </si>
  <si>
    <t>P259H267</t>
  </si>
  <si>
    <t>Rupime</t>
  </si>
  <si>
    <t>P317H591</t>
  </si>
  <si>
    <t>Turote</t>
  </si>
  <si>
    <t>H548P492</t>
  </si>
  <si>
    <t>Pilevutigo</t>
  </si>
  <si>
    <t>H319P498</t>
  </si>
  <si>
    <t>Ropela</t>
  </si>
  <si>
    <t>H156H295</t>
  </si>
  <si>
    <t>Tipopefeda</t>
  </si>
  <si>
    <t>P283P388</t>
  </si>
  <si>
    <t>Durupepo</t>
  </si>
  <si>
    <t>P648P391</t>
  </si>
  <si>
    <t>Rifeco</t>
  </si>
  <si>
    <t>H192H556</t>
  </si>
  <si>
    <t>Tapirutavi</t>
  </si>
  <si>
    <t>P796P453</t>
  </si>
  <si>
    <t>Repulono</t>
  </si>
  <si>
    <t>H275P286</t>
  </si>
  <si>
    <t>Ropepavu</t>
  </si>
  <si>
    <t>P794P623</t>
  </si>
  <si>
    <t>Gupafe</t>
  </si>
  <si>
    <t>H753P766</t>
  </si>
  <si>
    <t>Lotapece</t>
  </si>
  <si>
    <t>H626P628</t>
  </si>
  <si>
    <t>Fiparofofi</t>
  </si>
  <si>
    <t>P463H942</t>
  </si>
  <si>
    <t>Lonipupiti</t>
  </si>
  <si>
    <t>P411H237</t>
  </si>
  <si>
    <t>Rupacafero</t>
  </si>
  <si>
    <t>P334H215</t>
  </si>
  <si>
    <t>Pifiduri</t>
  </si>
  <si>
    <t>H549P744</t>
  </si>
  <si>
    <t>Feporedepi</t>
  </si>
  <si>
    <t>H456P244</t>
  </si>
  <si>
    <t>Vulera</t>
  </si>
  <si>
    <t>P251P444</t>
  </si>
  <si>
    <t>Lapepadu</t>
  </si>
  <si>
    <t>P763P355</t>
  </si>
  <si>
    <t>Tapovo</t>
  </si>
  <si>
    <t>H139P529</t>
  </si>
  <si>
    <t>Tovicipe</t>
  </si>
  <si>
    <t>P471P397</t>
  </si>
  <si>
    <t>Rutore</t>
  </si>
  <si>
    <t>H527P991</t>
  </si>
  <si>
    <t>Pifavu</t>
  </si>
  <si>
    <t>P927H173</t>
  </si>
  <si>
    <t>Tedunalevo</t>
  </si>
  <si>
    <t>H541P268</t>
  </si>
  <si>
    <t>Carinimopa</t>
  </si>
  <si>
    <t>P167P955</t>
  </si>
  <si>
    <t>Fovefo</t>
  </si>
  <si>
    <t>H813P239</t>
  </si>
  <si>
    <t>Tepumuri</t>
  </si>
  <si>
    <t>P471H553</t>
  </si>
  <si>
    <t>Lelotonivi</t>
  </si>
  <si>
    <t>P781H979</t>
  </si>
  <si>
    <t>Pepifepo</t>
  </si>
  <si>
    <t>H178P482</t>
  </si>
  <si>
    <t>Cetutu</t>
  </si>
  <si>
    <t>P169H521</t>
  </si>
  <si>
    <t>Funafiteto</t>
  </si>
  <si>
    <t>P196H441</t>
  </si>
  <si>
    <t>Pecopifatu</t>
  </si>
  <si>
    <t>H143P243</t>
  </si>
  <si>
    <t>Putucafaru</t>
  </si>
  <si>
    <t>P883P412</t>
  </si>
  <si>
    <t>Pipupacipe</t>
  </si>
  <si>
    <t>H189H749</t>
  </si>
  <si>
    <t>Luferova</t>
  </si>
  <si>
    <t>H764P675</t>
  </si>
  <si>
    <t>Radopupe</t>
  </si>
  <si>
    <t>H873H429</t>
  </si>
  <si>
    <t>Fumorato</t>
  </si>
  <si>
    <t>H667H339</t>
  </si>
  <si>
    <t>Ginuloreto</t>
  </si>
  <si>
    <t>P366H918</t>
  </si>
  <si>
    <t>Popafirure</t>
  </si>
  <si>
    <t>P164H955</t>
  </si>
  <si>
    <t>Puretopelo</t>
  </si>
  <si>
    <t>P556H324</t>
  </si>
  <si>
    <t>Munacara</t>
  </si>
  <si>
    <t>P588H562</t>
  </si>
  <si>
    <t>Tegeroropu</t>
  </si>
  <si>
    <t>P152H931</t>
  </si>
  <si>
    <t>Vutufe</t>
  </si>
  <si>
    <t>P873H963</t>
  </si>
  <si>
    <t>Fodomupoco</t>
  </si>
  <si>
    <t>P447H269</t>
  </si>
  <si>
    <t>Tegipu</t>
  </si>
  <si>
    <t>P543H891</t>
  </si>
  <si>
    <t>Tevulege</t>
  </si>
  <si>
    <t>H433P386</t>
  </si>
  <si>
    <t>Gepepa</t>
  </si>
  <si>
    <t>P551H689</t>
  </si>
  <si>
    <t>Togefopudi</t>
  </si>
  <si>
    <t>H774P565</t>
  </si>
  <si>
    <t>Covularacu</t>
  </si>
  <si>
    <t>H379P777</t>
  </si>
  <si>
    <t>Padutavoti</t>
  </si>
  <si>
    <t>P431H563</t>
  </si>
  <si>
    <t>Forigumupa</t>
  </si>
  <si>
    <t>H449H939</t>
  </si>
  <si>
    <t>Talorure</t>
  </si>
  <si>
    <t>H759H511</t>
  </si>
  <si>
    <t>Tatanu</t>
  </si>
  <si>
    <t>P787H173</t>
  </si>
  <si>
    <t>Mopida</t>
  </si>
  <si>
    <t>P669H259</t>
  </si>
  <si>
    <t>Telapiru</t>
  </si>
  <si>
    <t>H719P197</t>
  </si>
  <si>
    <t>Nipucavupa</t>
  </si>
  <si>
    <t>H714H494</t>
  </si>
  <si>
    <t>Nimame</t>
  </si>
  <si>
    <t>P661P727</t>
  </si>
  <si>
    <t>Tipefunipa</t>
  </si>
  <si>
    <t>H194P851</t>
  </si>
  <si>
    <t>Pegafinoto</t>
  </si>
  <si>
    <t>H924P398</t>
  </si>
  <si>
    <t>Mamelovico</t>
  </si>
  <si>
    <t>H667P383</t>
  </si>
  <si>
    <t>Rotepipu</t>
  </si>
  <si>
    <t>H415P552</t>
  </si>
  <si>
    <t>Tufora</t>
  </si>
  <si>
    <t>P418H387</t>
  </si>
  <si>
    <t>Dipegetu</t>
  </si>
  <si>
    <t>P152P837</t>
  </si>
  <si>
    <t>Cotuvopite</t>
  </si>
  <si>
    <t>P839H947</t>
  </si>
  <si>
    <t>Tutirudo</t>
  </si>
  <si>
    <t>H663H464</t>
  </si>
  <si>
    <t>Pumepava</t>
  </si>
  <si>
    <t>P395H275</t>
  </si>
  <si>
    <t>Napapafetu</t>
  </si>
  <si>
    <t>P422P744</t>
  </si>
  <si>
    <t>Popigi</t>
  </si>
  <si>
    <t>P724H215</t>
  </si>
  <si>
    <t>Lovuli</t>
  </si>
  <si>
    <t>H569P586</t>
  </si>
  <si>
    <t>Nirarepi</t>
  </si>
  <si>
    <t>P631P365</t>
  </si>
  <si>
    <t>Lepifure</t>
  </si>
  <si>
    <t>H946H414</t>
  </si>
  <si>
    <t>Gepafuni</t>
  </si>
  <si>
    <t>P144H457</t>
  </si>
  <si>
    <t>Vuvupageri</t>
  </si>
  <si>
    <t>P312H942</t>
  </si>
  <si>
    <t>Pimora</t>
  </si>
  <si>
    <t>P339H873</t>
  </si>
  <si>
    <t>Pacimumu</t>
  </si>
  <si>
    <t>P573H645</t>
  </si>
  <si>
    <t>Norirudi</t>
  </si>
  <si>
    <t>H423H652</t>
  </si>
  <si>
    <t>Nipafode</t>
  </si>
  <si>
    <t>H129H567</t>
  </si>
  <si>
    <t>Feticocu</t>
  </si>
  <si>
    <t>H558P142</t>
  </si>
  <si>
    <t>Vifilupo</t>
  </si>
  <si>
    <t>P691P272</t>
  </si>
  <si>
    <t>Tanulo</t>
  </si>
  <si>
    <t>P421H184</t>
  </si>
  <si>
    <t>Venoru</t>
  </si>
  <si>
    <t>P569P844</t>
  </si>
  <si>
    <t>Tapigete</t>
  </si>
  <si>
    <t>P425H761</t>
  </si>
  <si>
    <t>Ticotopomu</t>
  </si>
  <si>
    <t>P792H935</t>
  </si>
  <si>
    <t>Giditepo</t>
  </si>
  <si>
    <t>P522H295</t>
  </si>
  <si>
    <t>Pagupa</t>
  </si>
  <si>
    <t>H196P245</t>
  </si>
  <si>
    <t>Vutimo</t>
  </si>
  <si>
    <t>H835P375</t>
  </si>
  <si>
    <t>Getudedapu</t>
  </si>
  <si>
    <t>H528H674</t>
  </si>
  <si>
    <t>Dopirufanu</t>
  </si>
  <si>
    <t>H837P467</t>
  </si>
  <si>
    <t>Dunipu</t>
  </si>
  <si>
    <t>H667H866</t>
  </si>
  <si>
    <t>Pedete</t>
  </si>
  <si>
    <t>H772P132</t>
  </si>
  <si>
    <t>Papifefa</t>
  </si>
  <si>
    <t>H993P171</t>
  </si>
  <si>
    <t>Pemedapena</t>
  </si>
  <si>
    <t>P888P865</t>
  </si>
  <si>
    <t>Notolati</t>
  </si>
  <si>
    <t>P227P448</t>
  </si>
  <si>
    <t>Vedidada</t>
  </si>
  <si>
    <t>H317H396</t>
  </si>
  <si>
    <t>Vetivu</t>
  </si>
  <si>
    <t>P771H625</t>
  </si>
  <si>
    <t>Ciponuperi</t>
  </si>
  <si>
    <t>H553P499</t>
  </si>
  <si>
    <t>Fefapo</t>
  </si>
  <si>
    <t>H463H424</t>
  </si>
  <si>
    <t>Vatavipi</t>
  </si>
  <si>
    <t>H546H815</t>
  </si>
  <si>
    <t>Cotineva</t>
  </si>
  <si>
    <t>H372P868</t>
  </si>
  <si>
    <t>Vigupirati</t>
  </si>
  <si>
    <t>P691H987</t>
  </si>
  <si>
    <t>Mepone</t>
  </si>
  <si>
    <t>P511H352</t>
  </si>
  <si>
    <t>Topuri</t>
  </si>
  <si>
    <t>H112P813</t>
  </si>
  <si>
    <t>Tofufalo</t>
  </si>
  <si>
    <t>P411P497</t>
  </si>
  <si>
    <t>Cetopi</t>
  </si>
  <si>
    <t>P459H813</t>
  </si>
  <si>
    <t>Micuca</t>
  </si>
  <si>
    <t>H353H513</t>
  </si>
  <si>
    <t>Pogoluno</t>
  </si>
  <si>
    <t>H871H542</t>
  </si>
  <si>
    <t>Laravadiva</t>
  </si>
  <si>
    <t>P839P132</t>
  </si>
  <si>
    <t>Ropopugofu</t>
  </si>
  <si>
    <t>P747P276</t>
  </si>
  <si>
    <t>Defuvego</t>
  </si>
  <si>
    <t>H286H263</t>
  </si>
  <si>
    <t>Rigimota</t>
  </si>
  <si>
    <t>H817P899</t>
  </si>
  <si>
    <t>Venetefe</t>
  </si>
  <si>
    <t>P369H315</t>
  </si>
  <si>
    <t>Devoda</t>
  </si>
  <si>
    <t>H247P449</t>
  </si>
  <si>
    <t>Tamotododo</t>
  </si>
  <si>
    <t>P231H311</t>
  </si>
  <si>
    <t>Putona</t>
  </si>
  <si>
    <t>H214P711</t>
  </si>
  <si>
    <t>Velivaci</t>
  </si>
  <si>
    <t>H393P794</t>
  </si>
  <si>
    <t>Tolamupe</t>
  </si>
  <si>
    <t>H989P212</t>
  </si>
  <si>
    <t>Derunega</t>
  </si>
  <si>
    <t>H758H992</t>
  </si>
  <si>
    <t>Nogepi</t>
  </si>
  <si>
    <t>P312H382</t>
  </si>
  <si>
    <t>Povaroliti</t>
  </si>
  <si>
    <t>P731H317</t>
  </si>
  <si>
    <t>Gocuregogi</t>
  </si>
  <si>
    <t>P794P551</t>
  </si>
  <si>
    <t>Totoga</t>
  </si>
  <si>
    <t>H623P532</t>
  </si>
  <si>
    <t>Poratu</t>
  </si>
  <si>
    <t>P162H773</t>
  </si>
  <si>
    <t>Tilipamuru</t>
  </si>
  <si>
    <t>P359P385</t>
  </si>
  <si>
    <t>Napotade</t>
  </si>
  <si>
    <t>P254P562</t>
  </si>
  <si>
    <t>Turuturo</t>
  </si>
  <si>
    <t>P117H247</t>
  </si>
  <si>
    <t>Penuperepe</t>
  </si>
  <si>
    <t>H571P212</t>
  </si>
  <si>
    <t>Turipi</t>
  </si>
  <si>
    <t>P291H321</t>
  </si>
  <si>
    <t>Pufupu</t>
  </si>
  <si>
    <t>P839H576</t>
  </si>
  <si>
    <t>Rinuneceve</t>
  </si>
  <si>
    <t>P917H585</t>
  </si>
  <si>
    <t>Cedopupepi</t>
  </si>
  <si>
    <t>H625P127</t>
  </si>
  <si>
    <t>Veradateto</t>
  </si>
  <si>
    <t>H115P132</t>
  </si>
  <si>
    <t>Cademilita</t>
  </si>
  <si>
    <t>P891H222</t>
  </si>
  <si>
    <t>Revavefora</t>
  </si>
  <si>
    <t>H141P235</t>
  </si>
  <si>
    <t>Gopurerite</t>
  </si>
  <si>
    <t>P894H967</t>
  </si>
  <si>
    <t>Pipatipi</t>
  </si>
  <si>
    <t>P387H988</t>
  </si>
  <si>
    <t>Tutipitaro</t>
  </si>
  <si>
    <t>H622P841</t>
  </si>
  <si>
    <t>Veriritetu</t>
  </si>
  <si>
    <t>H244H312</t>
  </si>
  <si>
    <t>Ratogopa</t>
  </si>
  <si>
    <t>H642P946</t>
  </si>
  <si>
    <t>Fefacepa</t>
  </si>
  <si>
    <t>P265H873</t>
  </si>
  <si>
    <t>Revapugite</t>
  </si>
  <si>
    <t>P797P969</t>
  </si>
  <si>
    <t>Tugunefi</t>
  </si>
  <si>
    <t>P379H351</t>
  </si>
  <si>
    <t>Pecomi</t>
  </si>
  <si>
    <t>H893P763</t>
  </si>
  <si>
    <t>Pedupavuro</t>
  </si>
  <si>
    <t>H711P298</t>
  </si>
  <si>
    <t>Getepife</t>
  </si>
  <si>
    <t>P718P482</t>
  </si>
  <si>
    <t>Tolupi</t>
  </si>
  <si>
    <t>P876P794</t>
  </si>
  <si>
    <t>Molome</t>
  </si>
  <si>
    <t>H126H571</t>
  </si>
  <si>
    <t>Cutevamopi</t>
  </si>
  <si>
    <t>P298H893</t>
  </si>
  <si>
    <t>Favegi</t>
  </si>
  <si>
    <t>H674H933</t>
  </si>
  <si>
    <t>Maparate</t>
  </si>
  <si>
    <t>P985P749</t>
  </si>
  <si>
    <t>Patipalu</t>
  </si>
  <si>
    <t>P346H845</t>
  </si>
  <si>
    <t>Vutotomi</t>
  </si>
  <si>
    <t>P568P213</t>
  </si>
  <si>
    <t>Luline</t>
  </si>
  <si>
    <t>H874H185</t>
  </si>
  <si>
    <t>Rapapumepo</t>
  </si>
  <si>
    <t>H482H831</t>
  </si>
  <si>
    <t>Tiracira</t>
  </si>
  <si>
    <t>P435H431</t>
  </si>
  <si>
    <t>Danape</t>
  </si>
  <si>
    <t>P459P515</t>
  </si>
  <si>
    <t>Focereli</t>
  </si>
  <si>
    <t>P953H441</t>
  </si>
  <si>
    <t>Fiteta</t>
  </si>
  <si>
    <t>P863P162</t>
  </si>
  <si>
    <t>Geputuga</t>
  </si>
  <si>
    <t>H489H134</t>
  </si>
  <si>
    <t>Lararudoda</t>
  </si>
  <si>
    <t>P796H317</t>
  </si>
  <si>
    <t>Giparuge</t>
  </si>
  <si>
    <t>H863H983</t>
  </si>
  <si>
    <t>Lifutogime</t>
  </si>
  <si>
    <t>P494H558</t>
  </si>
  <si>
    <t>Gutiritupi</t>
  </si>
  <si>
    <t>H868H389</t>
  </si>
  <si>
    <t>Piropupo</t>
  </si>
  <si>
    <t>P573H923</t>
  </si>
  <si>
    <t>Nemopice</t>
  </si>
  <si>
    <t>H846P778</t>
  </si>
  <si>
    <t>Firamu</t>
  </si>
  <si>
    <t>P589P568</t>
  </si>
  <si>
    <t>Tafuperafi</t>
  </si>
  <si>
    <t>H338P921</t>
  </si>
  <si>
    <t>Ripitoci</t>
  </si>
  <si>
    <t>H454P885</t>
  </si>
  <si>
    <t>Namolefo</t>
  </si>
  <si>
    <t>P225H168</t>
  </si>
  <si>
    <t>Rirurifo</t>
  </si>
  <si>
    <t>H182H543</t>
  </si>
  <si>
    <t>Fopanaricu</t>
  </si>
  <si>
    <t>P321P787</t>
  </si>
  <si>
    <t>Pegati</t>
  </si>
  <si>
    <t>P634H574</t>
  </si>
  <si>
    <t>Mivudapote</t>
  </si>
  <si>
    <t>H531H765</t>
  </si>
  <si>
    <t>Repafi</t>
  </si>
  <si>
    <t>H658P524</t>
  </si>
  <si>
    <t>Talota</t>
  </si>
  <si>
    <t>H424P181</t>
  </si>
  <si>
    <t>Redevere</t>
  </si>
  <si>
    <t>H162H387</t>
  </si>
  <si>
    <t>Gupafiroti</t>
  </si>
  <si>
    <t>H644P192</t>
  </si>
  <si>
    <t>Diganepede</t>
  </si>
  <si>
    <t>H452P481</t>
  </si>
  <si>
    <t>Papepote</t>
  </si>
  <si>
    <t>P442H885</t>
  </si>
  <si>
    <t>Letanaro</t>
  </si>
  <si>
    <t>P599P292</t>
  </si>
  <si>
    <t>Reripu</t>
  </si>
  <si>
    <t>H854H739</t>
  </si>
  <si>
    <t>Rupumira</t>
  </si>
  <si>
    <t>P561P591</t>
  </si>
  <si>
    <t>Panepupi</t>
  </si>
  <si>
    <t>H326H898</t>
  </si>
  <si>
    <t>Tamurido</t>
  </si>
  <si>
    <t>H578H868</t>
  </si>
  <si>
    <t>Tiveconi</t>
  </si>
  <si>
    <t>H979P518</t>
  </si>
  <si>
    <t>Celitufinu</t>
  </si>
  <si>
    <t>H781H636</t>
  </si>
  <si>
    <t>Logagerita</t>
  </si>
  <si>
    <t>H616P445</t>
  </si>
  <si>
    <t>Tidoma</t>
  </si>
  <si>
    <t>P648P217</t>
  </si>
  <si>
    <t>Tarerupofo</t>
  </si>
  <si>
    <t>P221P471</t>
  </si>
  <si>
    <t>Reririve</t>
  </si>
  <si>
    <t>P722H435</t>
  </si>
  <si>
    <t>Pataco</t>
  </si>
  <si>
    <t>H824H114</t>
  </si>
  <si>
    <t>Dadipupodi</t>
  </si>
  <si>
    <t>P422P631</t>
  </si>
  <si>
    <t>Defelogo</t>
  </si>
  <si>
    <t>P185P343</t>
  </si>
  <si>
    <t>Vovivi</t>
  </si>
  <si>
    <t>P788H647</t>
  </si>
  <si>
    <t>Cufurufeto</t>
  </si>
  <si>
    <t>H318P345</t>
  </si>
  <si>
    <t>Cutirapo</t>
  </si>
  <si>
    <t>H451P368</t>
  </si>
  <si>
    <t>Napefalucu</t>
  </si>
  <si>
    <t>H262P333</t>
  </si>
  <si>
    <t>Lerepe</t>
  </si>
  <si>
    <t>P226H775</t>
  </si>
  <si>
    <t>Pegama</t>
  </si>
  <si>
    <t>H118P468</t>
  </si>
  <si>
    <t>Gefuru</t>
  </si>
  <si>
    <t>P126P771</t>
  </si>
  <si>
    <t>Ficadidote</t>
  </si>
  <si>
    <t>H189H837</t>
  </si>
  <si>
    <t>Carome</t>
  </si>
  <si>
    <t>P436H399</t>
  </si>
  <si>
    <t>Tepumi</t>
  </si>
  <si>
    <t>H866H567</t>
  </si>
  <si>
    <t>Volapa</t>
  </si>
  <si>
    <t>H962H636</t>
  </si>
  <si>
    <t>Lepicenida</t>
  </si>
  <si>
    <t>P991P887</t>
  </si>
  <si>
    <t>Megefopume</t>
  </si>
  <si>
    <t>P338P522</t>
  </si>
  <si>
    <t>Pedidi</t>
  </si>
  <si>
    <t>P288P384</t>
  </si>
  <si>
    <t>Menemuvu</t>
  </si>
  <si>
    <t>H889H649</t>
  </si>
  <si>
    <t>Famufupe</t>
  </si>
  <si>
    <t>H775P123</t>
  </si>
  <si>
    <t>Gipirugodu</t>
  </si>
  <si>
    <t>H999H161</t>
  </si>
  <si>
    <t>Patipofe</t>
  </si>
  <si>
    <t>P344P218</t>
  </si>
  <si>
    <t>Rofava</t>
  </si>
  <si>
    <t>P412P626</t>
  </si>
  <si>
    <t>Vorotepidu</t>
  </si>
  <si>
    <t>H616H673</t>
  </si>
  <si>
    <t>Patupagere</t>
  </si>
  <si>
    <t>P571H242</t>
  </si>
  <si>
    <t>Patipunofo</t>
  </si>
  <si>
    <t>P869H466</t>
  </si>
  <si>
    <t>Gulonete</t>
  </si>
  <si>
    <t>P614H461</t>
  </si>
  <si>
    <t>Napipupi</t>
  </si>
  <si>
    <t>P414H888</t>
  </si>
  <si>
    <t>Peledugene</t>
  </si>
  <si>
    <t>P935P785</t>
  </si>
  <si>
    <t>Pileto</t>
  </si>
  <si>
    <t>P959P223</t>
  </si>
  <si>
    <t>Lapara</t>
  </si>
  <si>
    <t>H429P341</t>
  </si>
  <si>
    <t>Feremegapa</t>
  </si>
  <si>
    <t>H493H199</t>
  </si>
  <si>
    <t>Titepa</t>
  </si>
  <si>
    <t>H599H447</t>
  </si>
  <si>
    <t>Ruperopa</t>
  </si>
  <si>
    <t>P494P375</t>
  </si>
  <si>
    <t>Ludafitu</t>
  </si>
  <si>
    <t>H946H181</t>
  </si>
  <si>
    <t>Titiponacu</t>
  </si>
  <si>
    <t>H928P582</t>
  </si>
  <si>
    <t>Cifude</t>
  </si>
  <si>
    <t>P352H777</t>
  </si>
  <si>
    <t>Rotepupone</t>
  </si>
  <si>
    <t>P989H426</t>
  </si>
  <si>
    <t>Cotulareta</t>
  </si>
  <si>
    <t>P833P343</t>
  </si>
  <si>
    <t>Duvotupeve</t>
  </si>
  <si>
    <t>H349H849</t>
  </si>
  <si>
    <t>Coritu</t>
  </si>
  <si>
    <t>P639H442</t>
  </si>
  <si>
    <t>Pocaperape</t>
  </si>
  <si>
    <t>H255H335</t>
  </si>
  <si>
    <t>Tugomeli</t>
  </si>
  <si>
    <t>H879P987</t>
  </si>
  <si>
    <t>Lironi</t>
  </si>
  <si>
    <t>H951H579</t>
  </si>
  <si>
    <t>Tugitogupo</t>
  </si>
  <si>
    <t>P164P657</t>
  </si>
  <si>
    <t>Pelitugo</t>
  </si>
  <si>
    <t>P523P849</t>
  </si>
  <si>
    <t>Deporaca</t>
  </si>
  <si>
    <t>H153P499</t>
  </si>
  <si>
    <t>Rupenono</t>
  </si>
  <si>
    <t>P546P732</t>
  </si>
  <si>
    <t>Vutarimara</t>
  </si>
  <si>
    <t>P577H565</t>
  </si>
  <si>
    <t>Defare</t>
  </si>
  <si>
    <t>H432H639</t>
  </si>
  <si>
    <t>Rupufu</t>
  </si>
  <si>
    <t>P343H647</t>
  </si>
  <si>
    <t>Ratipurivu</t>
  </si>
  <si>
    <t>P354P445</t>
  </si>
  <si>
    <t>Leroci</t>
  </si>
  <si>
    <t>H143P293</t>
  </si>
  <si>
    <t>Fuporegico</t>
  </si>
  <si>
    <t>P376P441</t>
  </si>
  <si>
    <t>Rurutu</t>
  </si>
  <si>
    <t>P382H552</t>
  </si>
  <si>
    <t>Mapepe</t>
  </si>
  <si>
    <t>P699H542</t>
  </si>
  <si>
    <t>Coguravafa</t>
  </si>
  <si>
    <t>P478P661</t>
  </si>
  <si>
    <t>Cafepoca</t>
  </si>
  <si>
    <t>H348H171</t>
  </si>
  <si>
    <t>Tugoli</t>
  </si>
  <si>
    <t>P864H771</t>
  </si>
  <si>
    <t>Dodareforo</t>
  </si>
  <si>
    <t>P955H274</t>
  </si>
  <si>
    <t>Gipamaru</t>
  </si>
  <si>
    <t>H764H725</t>
  </si>
  <si>
    <t>Tovotegega</t>
  </si>
  <si>
    <t>P788H658</t>
  </si>
  <si>
    <t>Toravi</t>
  </si>
  <si>
    <t>H966H989</t>
  </si>
  <si>
    <t>Forupodu</t>
  </si>
  <si>
    <t>H561H255</t>
  </si>
  <si>
    <t>Farupopopu</t>
  </si>
  <si>
    <t>P875H953</t>
  </si>
  <si>
    <t>Cepifinopa</t>
  </si>
  <si>
    <t>H264P294</t>
  </si>
  <si>
    <t>Vilidu</t>
  </si>
  <si>
    <t>H492P258</t>
  </si>
  <si>
    <t>Tonapava</t>
  </si>
  <si>
    <t>P299P134</t>
  </si>
  <si>
    <t>Nopevopu</t>
  </si>
  <si>
    <t>H426H526</t>
  </si>
  <si>
    <t>Povalo</t>
  </si>
  <si>
    <t>P747P954</t>
  </si>
  <si>
    <t>Pavaputi</t>
  </si>
  <si>
    <t>P441H685</t>
  </si>
  <si>
    <t>Golatafupa</t>
  </si>
  <si>
    <t>H698P813</t>
  </si>
  <si>
    <t>Rimutagira</t>
  </si>
  <si>
    <t>H788H725</t>
  </si>
  <si>
    <t>Tafiladave</t>
  </si>
  <si>
    <t>H725P599</t>
  </si>
  <si>
    <t>Venira</t>
  </si>
  <si>
    <t>P138P995</t>
  </si>
  <si>
    <t>Nupagaruce</t>
  </si>
  <si>
    <t>P676P512</t>
  </si>
  <si>
    <t>Repada</t>
  </si>
  <si>
    <t>P177H713</t>
  </si>
  <si>
    <t>Repomamepi</t>
  </si>
  <si>
    <t>P814P554</t>
  </si>
  <si>
    <t>Pulepu</t>
  </si>
  <si>
    <t>P663H246</t>
  </si>
  <si>
    <t>Gutema</t>
  </si>
  <si>
    <t>H759H993</t>
  </si>
  <si>
    <t>Dinice</t>
  </si>
  <si>
    <t>P333P955</t>
  </si>
  <si>
    <t>Pipale</t>
  </si>
  <si>
    <t>P954P474</t>
  </si>
  <si>
    <t>Fucadumoge</t>
  </si>
  <si>
    <t>H527P884</t>
  </si>
  <si>
    <t>Gugiteci</t>
  </si>
  <si>
    <t>P511P111</t>
  </si>
  <si>
    <t>Tetunimufe</t>
  </si>
  <si>
    <t>H478H519</t>
  </si>
  <si>
    <t>Ponepu</t>
  </si>
  <si>
    <t>H973H235</t>
  </si>
  <si>
    <t>Vicanapo</t>
  </si>
  <si>
    <t>P672P785</t>
  </si>
  <si>
    <t>Faparara</t>
  </si>
  <si>
    <t>P778H148</t>
  </si>
  <si>
    <t>Mefuvi</t>
  </si>
  <si>
    <t>P877P284</t>
  </si>
  <si>
    <t>Timupuri</t>
  </si>
  <si>
    <t>H874P747</t>
  </si>
  <si>
    <t>Vafuvodugi</t>
  </si>
  <si>
    <t>H599P613</t>
  </si>
  <si>
    <t>Dipera</t>
  </si>
  <si>
    <t>P662P319</t>
  </si>
  <si>
    <t>Navopape</t>
  </si>
  <si>
    <t>P923H215</t>
  </si>
  <si>
    <t>Rotitatimi</t>
  </si>
  <si>
    <t>H254H999</t>
  </si>
  <si>
    <t>Marite</t>
  </si>
  <si>
    <t>P242H384</t>
  </si>
  <si>
    <t>Napuleci</t>
  </si>
  <si>
    <t>H497P254</t>
  </si>
  <si>
    <t>Garire</t>
  </si>
  <si>
    <t>P231H716</t>
  </si>
  <si>
    <t>Nipelacodo</t>
  </si>
  <si>
    <t>H264H325</t>
  </si>
  <si>
    <t>Curumemogo</t>
  </si>
  <si>
    <t>H567H167</t>
  </si>
  <si>
    <t>Timica</t>
  </si>
  <si>
    <t>H519P669</t>
  </si>
  <si>
    <t>Lepumafe</t>
  </si>
  <si>
    <t>P896P765</t>
  </si>
  <si>
    <t>Pulagefo</t>
  </si>
  <si>
    <t>P574P561</t>
  </si>
  <si>
    <t>Lufara</t>
  </si>
  <si>
    <t>P882P816</t>
  </si>
  <si>
    <t>Focopalo</t>
  </si>
  <si>
    <t>H757H344</t>
  </si>
  <si>
    <t>Nefada</t>
  </si>
  <si>
    <t>P296P952</t>
  </si>
  <si>
    <t>Dipodaripe</t>
  </si>
  <si>
    <t>H486H916</t>
  </si>
  <si>
    <t>Patofe</t>
  </si>
  <si>
    <t>H433P427</t>
  </si>
  <si>
    <t>Polido</t>
  </si>
  <si>
    <t>P681P674</t>
  </si>
  <si>
    <t>Fenadidu</t>
  </si>
  <si>
    <t>H682P969</t>
  </si>
  <si>
    <t>Patupecu</t>
  </si>
  <si>
    <t>H424H622</t>
  </si>
  <si>
    <t>Demicipo</t>
  </si>
  <si>
    <t>H316P233</t>
  </si>
  <si>
    <t>Tapopovonu</t>
  </si>
  <si>
    <t>H785P683</t>
  </si>
  <si>
    <t>Ponicegefo</t>
  </si>
  <si>
    <t>P373H538</t>
  </si>
  <si>
    <t>Padimipo</t>
  </si>
  <si>
    <t>H432H785</t>
  </si>
  <si>
    <t>Nopirofu</t>
  </si>
  <si>
    <t>H948H918</t>
  </si>
  <si>
    <t>Roponotu</t>
  </si>
  <si>
    <t>P953H255</t>
  </si>
  <si>
    <t>Mapare</t>
  </si>
  <si>
    <t>H556P879</t>
  </si>
  <si>
    <t>Gatife</t>
  </si>
  <si>
    <t>P289P436</t>
  </si>
  <si>
    <t>Pulatili</t>
  </si>
  <si>
    <t>H496P879</t>
  </si>
  <si>
    <t>Darucope</t>
  </si>
  <si>
    <t>H786H415</t>
  </si>
  <si>
    <t>Cicoratopi</t>
  </si>
  <si>
    <t>P829P661</t>
  </si>
  <si>
    <t>Rurutipe</t>
  </si>
  <si>
    <t>P479P914</t>
  </si>
  <si>
    <t>Tifugove</t>
  </si>
  <si>
    <t>P566H418</t>
  </si>
  <si>
    <t>Lopito</t>
  </si>
  <si>
    <t>P516H412</t>
  </si>
  <si>
    <t>Temiri</t>
  </si>
  <si>
    <t>H121P377</t>
  </si>
  <si>
    <t>Cegefe</t>
  </si>
  <si>
    <t>P248P453</t>
  </si>
  <si>
    <t>Repago</t>
  </si>
  <si>
    <t>H181P142</t>
  </si>
  <si>
    <t>Virorurepu</t>
  </si>
  <si>
    <t>H797H461</t>
  </si>
  <si>
    <t>Pupucuto</t>
  </si>
  <si>
    <t>H222H525</t>
  </si>
  <si>
    <t>Netunapa</t>
  </si>
  <si>
    <t>H917P645</t>
  </si>
  <si>
    <t>Nonepu</t>
  </si>
  <si>
    <t>P251H335</t>
  </si>
  <si>
    <t>Lecime</t>
  </si>
  <si>
    <t>P817P636</t>
  </si>
  <si>
    <t>Pitonotopo</t>
  </si>
  <si>
    <t>H421P334</t>
  </si>
  <si>
    <t>Rulivepe</t>
  </si>
  <si>
    <t>H243P969</t>
  </si>
  <si>
    <t>Rapupatota</t>
  </si>
  <si>
    <t>H662P823</t>
  </si>
  <si>
    <t>Porora</t>
  </si>
  <si>
    <t>H818H385</t>
  </si>
  <si>
    <t>Ripudeno</t>
  </si>
  <si>
    <t>P349H977</t>
  </si>
  <si>
    <t>Pupanate</t>
  </si>
  <si>
    <t>P889P116</t>
  </si>
  <si>
    <t>Regevori</t>
  </si>
  <si>
    <t>H177P477</t>
  </si>
  <si>
    <t>Leduri</t>
  </si>
  <si>
    <t>P728P973</t>
  </si>
  <si>
    <t>Tudero</t>
  </si>
  <si>
    <t>H926P739</t>
  </si>
  <si>
    <t>Liripapopo</t>
  </si>
  <si>
    <t>P524H257</t>
  </si>
  <si>
    <t>Vupoto</t>
  </si>
  <si>
    <t>H432H259</t>
  </si>
  <si>
    <t>Davicu</t>
  </si>
  <si>
    <t>P844P563</t>
  </si>
  <si>
    <t>Mitipere</t>
  </si>
  <si>
    <t>P526P552</t>
  </si>
  <si>
    <t>Taviropage</t>
  </si>
  <si>
    <t>H522P777</t>
  </si>
  <si>
    <t>Pafevofune</t>
  </si>
  <si>
    <t>H471H591</t>
  </si>
  <si>
    <t>Gipopocati</t>
  </si>
  <si>
    <t>P916P472</t>
  </si>
  <si>
    <t>Revonepu</t>
  </si>
  <si>
    <t>P398P181</t>
  </si>
  <si>
    <t>Neteve</t>
  </si>
  <si>
    <t>H433H869</t>
  </si>
  <si>
    <t>Tagorutodi</t>
  </si>
  <si>
    <t>H623P411</t>
  </si>
  <si>
    <t>Moturopipa</t>
  </si>
  <si>
    <t>P838H297</t>
  </si>
  <si>
    <t>Rumere</t>
  </si>
  <si>
    <t>H951H169</t>
  </si>
  <si>
    <t>Fenulemoro</t>
  </si>
  <si>
    <t>H264H542</t>
  </si>
  <si>
    <t>Patepuni</t>
  </si>
  <si>
    <t>H247H426</t>
  </si>
  <si>
    <t>Fagonitino</t>
  </si>
  <si>
    <t>H789H461</t>
  </si>
  <si>
    <t>Merele</t>
  </si>
  <si>
    <t>H955P819</t>
  </si>
  <si>
    <t>Cogorigere</t>
  </si>
  <si>
    <t>P844P851</t>
  </si>
  <si>
    <t>Pipete</t>
  </si>
  <si>
    <t>P675P876</t>
  </si>
  <si>
    <t>Latogogi</t>
  </si>
  <si>
    <t>H114H376</t>
  </si>
  <si>
    <t>Regadaletu</t>
  </si>
  <si>
    <t>H322P878</t>
  </si>
  <si>
    <t>Camonofa</t>
  </si>
  <si>
    <t>H834P831</t>
  </si>
  <si>
    <t>Licapiro</t>
  </si>
  <si>
    <t>H948H323</t>
  </si>
  <si>
    <t>Litimupupe</t>
  </si>
  <si>
    <t>H758P165</t>
  </si>
  <si>
    <t>Vuvinego</t>
  </si>
  <si>
    <t>P354H565</t>
  </si>
  <si>
    <t>Rogereteta</t>
  </si>
  <si>
    <t>H244H687</t>
  </si>
  <si>
    <t>Leripu</t>
  </si>
  <si>
    <t>P959H347</t>
  </si>
  <si>
    <t>Pavifepo</t>
  </si>
  <si>
    <t>H499P514</t>
  </si>
  <si>
    <t>Gutafufare</t>
  </si>
  <si>
    <t>P626P614</t>
  </si>
  <si>
    <t>Tolonarudu</t>
  </si>
  <si>
    <t>P226P511</t>
  </si>
  <si>
    <t>Pocevaru</t>
  </si>
  <si>
    <t>H419H366</t>
  </si>
  <si>
    <t>Tugutono</t>
  </si>
  <si>
    <t>P212P331</t>
  </si>
  <si>
    <t>Dogucu</t>
  </si>
  <si>
    <t>P674P315</t>
  </si>
  <si>
    <t>Tadefe</t>
  </si>
  <si>
    <t>P964P744</t>
  </si>
  <si>
    <t>Girepi</t>
  </si>
  <si>
    <t>P593H789</t>
  </si>
  <si>
    <t>Pumagape</t>
  </si>
  <si>
    <t>P973H998</t>
  </si>
  <si>
    <t>Digatolupe</t>
  </si>
  <si>
    <t>H767H758</t>
  </si>
  <si>
    <t>Luguto</t>
  </si>
  <si>
    <t>P281H999</t>
  </si>
  <si>
    <t>Legepolo</t>
  </si>
  <si>
    <t>H265H291</t>
  </si>
  <si>
    <t>Rudapira</t>
  </si>
  <si>
    <t>H932P876</t>
  </si>
  <si>
    <t>Rocani</t>
  </si>
  <si>
    <t>H251P532</t>
  </si>
  <si>
    <t>Varadorito</t>
  </si>
  <si>
    <t>P529P447</t>
  </si>
  <si>
    <t>Verivonefo</t>
  </si>
  <si>
    <t>H284H638</t>
  </si>
  <si>
    <t>Tarura</t>
  </si>
  <si>
    <t>P373P773</t>
  </si>
  <si>
    <t>Tetovimi</t>
  </si>
  <si>
    <t>H354H418</t>
  </si>
  <si>
    <t>Rurigadopa</t>
  </si>
  <si>
    <t>H458P866</t>
  </si>
  <si>
    <t>Ciloropo</t>
  </si>
  <si>
    <t>P864H892</t>
  </si>
  <si>
    <t>Duneralupa</t>
  </si>
  <si>
    <t>H264P881</t>
  </si>
  <si>
    <t>Padogugiro</t>
  </si>
  <si>
    <t>H752P914</t>
  </si>
  <si>
    <t>Cirovo</t>
  </si>
  <si>
    <t>H114P791</t>
  </si>
  <si>
    <t>Temacavapu</t>
  </si>
  <si>
    <t>P995H378</t>
  </si>
  <si>
    <t>Dorate</t>
  </si>
  <si>
    <t>P492P955</t>
  </si>
  <si>
    <t>Teriliro</t>
  </si>
  <si>
    <t>H962H791</t>
  </si>
  <si>
    <t>Furetugucu</t>
  </si>
  <si>
    <t>P791H994</t>
  </si>
  <si>
    <t>Vuvadapi</t>
  </si>
  <si>
    <t>H939P167</t>
  </si>
  <si>
    <t>Pecoti</t>
  </si>
  <si>
    <t>P622P181</t>
  </si>
  <si>
    <t>Dameca</t>
  </si>
  <si>
    <t>H238H984</t>
  </si>
  <si>
    <t>Potuta</t>
  </si>
  <si>
    <t>H137P515</t>
  </si>
  <si>
    <t>Catuna</t>
  </si>
  <si>
    <t>H672P964</t>
  </si>
  <si>
    <t>Gavuvu</t>
  </si>
  <si>
    <t>P941P534</t>
  </si>
  <si>
    <t>Ruduru</t>
  </si>
  <si>
    <t>P299H413</t>
  </si>
  <si>
    <t>Varopupepo</t>
  </si>
  <si>
    <t>P242P376</t>
  </si>
  <si>
    <t>Piripovu</t>
  </si>
  <si>
    <t>H543H834</t>
  </si>
  <si>
    <t>Varive</t>
  </si>
  <si>
    <t>H867P288</t>
  </si>
  <si>
    <t>Paleropu</t>
  </si>
  <si>
    <t>H611P813</t>
  </si>
  <si>
    <t>Gupati</t>
  </si>
  <si>
    <t>P161P343</t>
  </si>
  <si>
    <t>Rucomofu</t>
  </si>
  <si>
    <t>H535P279</t>
  </si>
  <si>
    <t>Ruvepila</t>
  </si>
  <si>
    <t>P964H395</t>
  </si>
  <si>
    <t>Miguvufopu</t>
  </si>
  <si>
    <t>P839P648</t>
  </si>
  <si>
    <t>Cotiru</t>
  </si>
  <si>
    <t>P879H432</t>
  </si>
  <si>
    <t>Metifagatu</t>
  </si>
  <si>
    <t>H761H681</t>
  </si>
  <si>
    <t>Tiduvife</t>
  </si>
  <si>
    <t>H891P434</t>
  </si>
  <si>
    <t>Vafilu</t>
  </si>
  <si>
    <t>P887H497</t>
  </si>
  <si>
    <t>Deferino</t>
  </si>
  <si>
    <t>P865H953</t>
  </si>
  <si>
    <t>Linevego</t>
  </si>
  <si>
    <t>P282H254</t>
  </si>
  <si>
    <t>Pamali</t>
  </si>
  <si>
    <t>P899P924</t>
  </si>
  <si>
    <t>Totico</t>
  </si>
  <si>
    <t>P793P842</t>
  </si>
  <si>
    <t>Nemimeta</t>
  </si>
  <si>
    <t>P254P192</t>
  </si>
  <si>
    <t>Pudapipipa</t>
  </si>
  <si>
    <t>H273P274</t>
  </si>
  <si>
    <t>Doretoto</t>
  </si>
  <si>
    <t>P415H914</t>
  </si>
  <si>
    <t>Popumupe</t>
  </si>
  <si>
    <t>P795P163</t>
  </si>
  <si>
    <t>Rapucufi</t>
  </si>
  <si>
    <t>H244P352</t>
  </si>
  <si>
    <t>Fufipu</t>
  </si>
  <si>
    <t>P992H261</t>
  </si>
  <si>
    <t>Cepapipitu</t>
  </si>
  <si>
    <t>P318P746</t>
  </si>
  <si>
    <t>Ripuru</t>
  </si>
  <si>
    <t>H371P855</t>
  </si>
  <si>
    <t>Tanolafu</t>
  </si>
  <si>
    <t>P539H397</t>
  </si>
  <si>
    <t>Polemapa</t>
  </si>
  <si>
    <t>H682P281</t>
  </si>
  <si>
    <t>Turido</t>
  </si>
  <si>
    <t>P794P226</t>
  </si>
  <si>
    <t>Dalere</t>
  </si>
  <si>
    <t>P453H434</t>
  </si>
  <si>
    <t>Fetarica</t>
  </si>
  <si>
    <t>H723H359</t>
  </si>
  <si>
    <t>Tupivu</t>
  </si>
  <si>
    <t>H764P358</t>
  </si>
  <si>
    <t>Fitoripimo</t>
  </si>
  <si>
    <t>H656H553</t>
  </si>
  <si>
    <t>Guripevi</t>
  </si>
  <si>
    <t>H689P329</t>
  </si>
  <si>
    <t>Toripugo</t>
  </si>
  <si>
    <t>H964H642</t>
  </si>
  <si>
    <t>Futetagu</t>
  </si>
  <si>
    <t>H973H262</t>
  </si>
  <si>
    <t>Tipigipi</t>
  </si>
  <si>
    <t>H491P645</t>
  </si>
  <si>
    <t>Tudipo</t>
  </si>
  <si>
    <t>P984P119</t>
  </si>
  <si>
    <t>Ralopu</t>
  </si>
  <si>
    <t>H552P898</t>
  </si>
  <si>
    <t>Pupegofuti</t>
  </si>
  <si>
    <t>P487P759</t>
  </si>
  <si>
    <t>Tedupe</t>
  </si>
  <si>
    <t>H738H111</t>
  </si>
  <si>
    <t>Tugifemepo</t>
  </si>
  <si>
    <t>H725H432</t>
  </si>
  <si>
    <t>Poguverivi</t>
  </si>
  <si>
    <t>H754H727</t>
  </si>
  <si>
    <t>Tatitu</t>
  </si>
  <si>
    <t>P167H831</t>
  </si>
  <si>
    <t>Ricurapo</t>
  </si>
  <si>
    <t>H776P778</t>
  </si>
  <si>
    <t>Vucegi</t>
  </si>
  <si>
    <t>P775H845</t>
  </si>
  <si>
    <t>Temumufa</t>
  </si>
  <si>
    <t>H646H892</t>
  </si>
  <si>
    <t>Duremi</t>
  </si>
  <si>
    <t>P553H296</t>
  </si>
  <si>
    <t>Tepifelefi</t>
  </si>
  <si>
    <t>H827H718</t>
  </si>
  <si>
    <t>Ropepicimo</t>
  </si>
  <si>
    <t>P825P829</t>
  </si>
  <si>
    <t>Nimopone</t>
  </si>
  <si>
    <t>P534P653</t>
  </si>
  <si>
    <t>Rupepineli</t>
  </si>
  <si>
    <t>H835P227</t>
  </si>
  <si>
    <t>Mevaficuce</t>
  </si>
  <si>
    <t>H359P456</t>
  </si>
  <si>
    <t>Vunamote</t>
  </si>
  <si>
    <t>P697H123</t>
  </si>
  <si>
    <t>Cugunitama</t>
  </si>
  <si>
    <t>P795H816</t>
  </si>
  <si>
    <t>Pevupetiti</t>
  </si>
  <si>
    <t>H124P283</t>
  </si>
  <si>
    <t>Lopatife</t>
  </si>
  <si>
    <t>P598H446</t>
  </si>
  <si>
    <t>Pofatuteru</t>
  </si>
  <si>
    <t>H231H188</t>
  </si>
  <si>
    <t>Lococufime</t>
  </si>
  <si>
    <t>H191H874</t>
  </si>
  <si>
    <t>Latoratepi</t>
  </si>
  <si>
    <t>P162H618</t>
  </si>
  <si>
    <t>Mumila</t>
  </si>
  <si>
    <t>H979H673</t>
  </si>
  <si>
    <t>Vitome</t>
  </si>
  <si>
    <t>P343H759</t>
  </si>
  <si>
    <t>Fapicodoro</t>
  </si>
  <si>
    <t>H359P522</t>
  </si>
  <si>
    <t>Cotetu</t>
  </si>
  <si>
    <t>H118H764</t>
  </si>
  <si>
    <t>Tovipu</t>
  </si>
  <si>
    <t>H966P977</t>
  </si>
  <si>
    <t>Pirupori</t>
  </si>
  <si>
    <t>P522H225</t>
  </si>
  <si>
    <t>Covufa</t>
  </si>
  <si>
    <t>P141P481</t>
  </si>
  <si>
    <t>Rapivumu</t>
  </si>
  <si>
    <t>P366P378</t>
  </si>
  <si>
    <t>Rerulilofe</t>
  </si>
  <si>
    <t>H252H228</t>
  </si>
  <si>
    <t>Pugonatepo</t>
  </si>
  <si>
    <t>P357P358</t>
  </si>
  <si>
    <t>Pufipegaru</t>
  </si>
  <si>
    <t>P669P573</t>
  </si>
  <si>
    <t>Gucatuco</t>
  </si>
  <si>
    <t>H743H119</t>
  </si>
  <si>
    <t>Nuridolulu</t>
  </si>
  <si>
    <t>H544P891</t>
  </si>
  <si>
    <t>Fopepeti</t>
  </si>
  <si>
    <t>P772H198</t>
  </si>
  <si>
    <t>Tameno</t>
  </si>
  <si>
    <t>P561P366</t>
  </si>
  <si>
    <t>Tapovefe</t>
  </si>
  <si>
    <t>H231P437</t>
  </si>
  <si>
    <t>Cupara</t>
  </si>
  <si>
    <t>P724P994</t>
  </si>
  <si>
    <t>Mafune</t>
  </si>
  <si>
    <t>P472P981</t>
  </si>
  <si>
    <t>Potufifapo</t>
  </si>
  <si>
    <t>H468P119</t>
  </si>
  <si>
    <t>Pepinireva</t>
  </si>
  <si>
    <t>H233H424</t>
  </si>
  <si>
    <t>Piriti</t>
  </si>
  <si>
    <t>H837H464</t>
  </si>
  <si>
    <t>Lucogipi</t>
  </si>
  <si>
    <t>H253P598</t>
  </si>
  <si>
    <t>Fomofodano</t>
  </si>
  <si>
    <t>P159P667</t>
  </si>
  <si>
    <t>Paluruvepe</t>
  </si>
  <si>
    <t>P384P394</t>
  </si>
  <si>
    <t>Fetaro</t>
  </si>
  <si>
    <t>P122P464</t>
  </si>
  <si>
    <t>Fuvatuve</t>
  </si>
  <si>
    <t>H433H847</t>
  </si>
  <si>
    <t>Cifetu</t>
  </si>
  <si>
    <t>H218H359</t>
  </si>
  <si>
    <t>Ledatete</t>
  </si>
  <si>
    <t>H792P426</t>
  </si>
  <si>
    <t>Pavumocige</t>
  </si>
  <si>
    <t>P324P954</t>
  </si>
  <si>
    <t>Cuvuvepo</t>
  </si>
  <si>
    <t>P116H588</t>
  </si>
  <si>
    <t>Tivatepida</t>
  </si>
  <si>
    <t>H915H326</t>
  </si>
  <si>
    <t>Puponapo</t>
  </si>
  <si>
    <t>P912H546</t>
  </si>
  <si>
    <t>Natavi</t>
  </si>
  <si>
    <t>P767H833</t>
  </si>
  <si>
    <t>Pevuto</t>
  </si>
  <si>
    <t>H884H336</t>
  </si>
  <si>
    <t>Pamanalacu</t>
  </si>
  <si>
    <t>H826P234</t>
  </si>
  <si>
    <t>Docitipuno</t>
  </si>
  <si>
    <t>H171H831</t>
  </si>
  <si>
    <t>Tecani</t>
  </si>
  <si>
    <t>H864H391</t>
  </si>
  <si>
    <t>Vatoripe</t>
  </si>
  <si>
    <t>P879H624</t>
  </si>
  <si>
    <t>Devulinami</t>
  </si>
  <si>
    <t>H577H754</t>
  </si>
  <si>
    <t>Roduma</t>
  </si>
  <si>
    <t>P363P987</t>
  </si>
  <si>
    <t>Tepivu</t>
  </si>
  <si>
    <t>P356H281</t>
  </si>
  <si>
    <t>Copocaco</t>
  </si>
  <si>
    <t>P225H561</t>
  </si>
  <si>
    <t>Pugelumapu</t>
  </si>
  <si>
    <t>H293P564</t>
  </si>
  <si>
    <t>Retomupeci</t>
  </si>
  <si>
    <t>P282H253</t>
  </si>
  <si>
    <t>Muluti</t>
  </si>
  <si>
    <t>P231P869</t>
  </si>
  <si>
    <t>Putolitoru</t>
  </si>
  <si>
    <t>H547H429</t>
  </si>
  <si>
    <t>Firuritu</t>
  </si>
  <si>
    <t>P271H832</t>
  </si>
  <si>
    <t>Tedoda</t>
  </si>
  <si>
    <t>P128H533</t>
  </si>
  <si>
    <t>Valapi</t>
  </si>
  <si>
    <t>P483H688</t>
  </si>
  <si>
    <t>Viticipu</t>
  </si>
  <si>
    <t>P494H515</t>
  </si>
  <si>
    <t>Totuninotu</t>
  </si>
  <si>
    <t>H647P999</t>
  </si>
  <si>
    <t>Mamema</t>
  </si>
  <si>
    <t>P576H167</t>
  </si>
  <si>
    <t>Popufu</t>
  </si>
  <si>
    <t>P523H155</t>
  </si>
  <si>
    <t>Numeporare</t>
  </si>
  <si>
    <t>H489H934</t>
  </si>
  <si>
    <t>Macetivo</t>
  </si>
  <si>
    <t>H186P148</t>
  </si>
  <si>
    <t>Delevo</t>
  </si>
  <si>
    <t>P223P139</t>
  </si>
  <si>
    <t>Lucatutidu</t>
  </si>
  <si>
    <t>H976H233</t>
  </si>
  <si>
    <t>Pomumi</t>
  </si>
  <si>
    <t>P935H271</t>
  </si>
  <si>
    <t>Digarolumi</t>
  </si>
  <si>
    <t>H353P332</t>
  </si>
  <si>
    <t>Poreda</t>
  </si>
  <si>
    <t>P246P821</t>
  </si>
  <si>
    <t>Momupa</t>
  </si>
  <si>
    <t>P892H748</t>
  </si>
  <si>
    <t>Topape</t>
  </si>
  <si>
    <t>H927H182</t>
  </si>
  <si>
    <t>Pifuvi</t>
  </si>
  <si>
    <t>P367H993</t>
  </si>
  <si>
    <t>Nutuvi</t>
  </si>
  <si>
    <t>H441H196</t>
  </si>
  <si>
    <t>Ritaperuno</t>
  </si>
  <si>
    <t>H949P319</t>
  </si>
  <si>
    <t>Papece</t>
  </si>
  <si>
    <t>P545P331</t>
  </si>
  <si>
    <t>Rotucera</t>
  </si>
  <si>
    <t>P292H889</t>
  </si>
  <si>
    <t>Rivavo</t>
  </si>
  <si>
    <t>H842P997</t>
  </si>
  <si>
    <t>Lapuruma</t>
  </si>
  <si>
    <t>H934H922</t>
  </si>
  <si>
    <t>Povitepelo</t>
  </si>
  <si>
    <t>P968H272</t>
  </si>
  <si>
    <t>Tifotuvipo</t>
  </si>
  <si>
    <t>H446P158</t>
  </si>
  <si>
    <t>Ritomilu</t>
  </si>
  <si>
    <t>P852H735</t>
  </si>
  <si>
    <t>Padunu</t>
  </si>
  <si>
    <t>P749P821</t>
  </si>
  <si>
    <t>Fipero</t>
  </si>
  <si>
    <t>H638H495</t>
  </si>
  <si>
    <t>Vicofegu</t>
  </si>
  <si>
    <t>H186H326</t>
  </si>
  <si>
    <t>Melororivu</t>
  </si>
  <si>
    <t>H526H419</t>
  </si>
  <si>
    <t>Daguputore</t>
  </si>
  <si>
    <t>P212H846</t>
  </si>
  <si>
    <t>Rocurafatu</t>
  </si>
  <si>
    <t>P633P762</t>
  </si>
  <si>
    <t>Nifupigi</t>
  </si>
  <si>
    <t>P442P556</t>
  </si>
  <si>
    <t>Fugola</t>
  </si>
  <si>
    <t>H179P519</t>
  </si>
  <si>
    <t>Putetociru</t>
  </si>
  <si>
    <t>P434H748</t>
  </si>
  <si>
    <t>Tafovo</t>
  </si>
  <si>
    <t>H471P831</t>
  </si>
  <si>
    <t>Dunilotica</t>
  </si>
  <si>
    <t>P742H183</t>
  </si>
  <si>
    <t>Piperore</t>
  </si>
  <si>
    <t>P341P122</t>
  </si>
  <si>
    <t>Rupagu</t>
  </si>
  <si>
    <t>P676P876</t>
  </si>
  <si>
    <t>Mutede</t>
  </si>
  <si>
    <t>H449P926</t>
  </si>
  <si>
    <t>Comoti</t>
  </si>
  <si>
    <t>H974P559</t>
  </si>
  <si>
    <t>Pacepo</t>
  </si>
  <si>
    <t>P786P111</t>
  </si>
  <si>
    <t>Rarigu</t>
  </si>
  <si>
    <t>P196H979</t>
  </si>
  <si>
    <t>Ruletorupi</t>
  </si>
  <si>
    <t>H931H964</t>
  </si>
  <si>
    <t>Rudiceci</t>
  </si>
  <si>
    <t>H639H983</t>
  </si>
  <si>
    <t>Panapuce</t>
  </si>
  <si>
    <t>H823H576</t>
  </si>
  <si>
    <t>Vulepe</t>
  </si>
  <si>
    <t>H552P426</t>
  </si>
  <si>
    <t>Gelere</t>
  </si>
  <si>
    <t>P953H968</t>
  </si>
  <si>
    <t>Tocada</t>
  </si>
  <si>
    <t>P369P298</t>
  </si>
  <si>
    <t>Rafelo</t>
  </si>
  <si>
    <t>P993P712</t>
  </si>
  <si>
    <t>Paviditupo</t>
  </si>
  <si>
    <t>P264H952</t>
  </si>
  <si>
    <t>Vipoteturu</t>
  </si>
  <si>
    <t>H412H268</t>
  </si>
  <si>
    <t>Redidurogo</t>
  </si>
  <si>
    <t>P998H789</t>
  </si>
  <si>
    <t>Falivoco</t>
  </si>
  <si>
    <t>P915P594</t>
  </si>
  <si>
    <t>Gocura</t>
  </si>
  <si>
    <t>P387P985</t>
  </si>
  <si>
    <t>Modupode</t>
  </si>
  <si>
    <t>H874P213</t>
  </si>
  <si>
    <t>Temidi</t>
  </si>
  <si>
    <t>P498P933</t>
  </si>
  <si>
    <t>Rudavoda</t>
  </si>
  <si>
    <t>H964P645</t>
  </si>
  <si>
    <t>Depecetatu</t>
  </si>
  <si>
    <t>P439H825</t>
  </si>
  <si>
    <t>Mupavicu</t>
  </si>
  <si>
    <t>H294P857</t>
  </si>
  <si>
    <t>Cirigo</t>
  </si>
  <si>
    <t>P458H421</t>
  </si>
  <si>
    <t>Vucitace</t>
  </si>
  <si>
    <t>P151P983</t>
  </si>
  <si>
    <t>Licopo</t>
  </si>
  <si>
    <t>H345P239</t>
  </si>
  <si>
    <t>Pamedorupu</t>
  </si>
  <si>
    <t>H479H476</t>
  </si>
  <si>
    <t>Tecaripi</t>
  </si>
  <si>
    <t>P816P947</t>
  </si>
  <si>
    <t>Curatiri</t>
  </si>
  <si>
    <t>H311H344</t>
  </si>
  <si>
    <t>Pipiromi</t>
  </si>
  <si>
    <t>P655P211</t>
  </si>
  <si>
    <t>Notadi</t>
  </si>
  <si>
    <t>P646P824</t>
  </si>
  <si>
    <t>Rerifora</t>
  </si>
  <si>
    <t>P229H271</t>
  </si>
  <si>
    <t>Patuputupe</t>
  </si>
  <si>
    <t>P521P968</t>
  </si>
  <si>
    <t>Gerepiripo</t>
  </si>
  <si>
    <t>P521H651</t>
  </si>
  <si>
    <t>Fivepute</t>
  </si>
  <si>
    <t>P937H648</t>
  </si>
  <si>
    <t>Vicupupa</t>
  </si>
  <si>
    <t>H369H177</t>
  </si>
  <si>
    <t>Pupegone</t>
  </si>
  <si>
    <t>P354H288</t>
  </si>
  <si>
    <t>Teregi</t>
  </si>
  <si>
    <t>H371P465</t>
  </si>
  <si>
    <t>Tarapavo</t>
  </si>
  <si>
    <t>H898H659</t>
  </si>
  <si>
    <t>Dafetopete</t>
  </si>
  <si>
    <t>H213P173</t>
  </si>
  <si>
    <t>Ridovita</t>
  </si>
  <si>
    <t>P568P718</t>
  </si>
  <si>
    <t>Natutufote</t>
  </si>
  <si>
    <t>P141P554</t>
  </si>
  <si>
    <t>Ditodu</t>
  </si>
  <si>
    <t>P139P865</t>
  </si>
  <si>
    <t>Purepepi</t>
  </si>
  <si>
    <t>P573P269</t>
  </si>
  <si>
    <t>Vonuvuce</t>
  </si>
  <si>
    <t>H351H229</t>
  </si>
  <si>
    <t>Norurali</t>
  </si>
  <si>
    <t>P991P641</t>
  </si>
  <si>
    <t>Fagepedu</t>
  </si>
  <si>
    <t>P262H353</t>
  </si>
  <si>
    <t>Dufimuvoti</t>
  </si>
  <si>
    <t>H733H875</t>
  </si>
  <si>
    <t>Pepileru</t>
  </si>
  <si>
    <t>H847P629</t>
  </si>
  <si>
    <t>Mapotifuma</t>
  </si>
  <si>
    <t>P326H353</t>
  </si>
  <si>
    <t>Muducifi</t>
  </si>
  <si>
    <t>P639H183</t>
  </si>
  <si>
    <t>Garurapive</t>
  </si>
  <si>
    <t>H415H984</t>
  </si>
  <si>
    <t>Tepudo</t>
  </si>
  <si>
    <t>P724H737</t>
  </si>
  <si>
    <t>Dacoda</t>
  </si>
  <si>
    <t>H831P148</t>
  </si>
  <si>
    <t>Dicerupi</t>
  </si>
  <si>
    <t>P934P231</t>
  </si>
  <si>
    <t>Virici</t>
  </si>
  <si>
    <t>H548P783</t>
  </si>
  <si>
    <t>Napetovimu</t>
  </si>
  <si>
    <t>P875H628</t>
  </si>
  <si>
    <t>Cofogetato</t>
  </si>
  <si>
    <t>P754H458</t>
  </si>
  <si>
    <t>Paninepoto</t>
  </si>
  <si>
    <t>P682P314</t>
  </si>
  <si>
    <t>Miporiti</t>
  </si>
  <si>
    <t>H954P638</t>
  </si>
  <si>
    <t>Pepepotori</t>
  </si>
  <si>
    <t>H894H912</t>
  </si>
  <si>
    <t>Muvogi</t>
  </si>
  <si>
    <t>H686P199</t>
  </si>
  <si>
    <t>Pulifeci</t>
  </si>
  <si>
    <t>P466H834</t>
  </si>
  <si>
    <t>Timimepema</t>
  </si>
  <si>
    <t>P917P876</t>
  </si>
  <si>
    <t>Gatati</t>
  </si>
  <si>
    <t>P982H262</t>
  </si>
  <si>
    <t>Fitavapiru</t>
  </si>
  <si>
    <t>P165H127</t>
  </si>
  <si>
    <t>Lecita</t>
  </si>
  <si>
    <t>P636P257</t>
  </si>
  <si>
    <t>Lefupeturo</t>
  </si>
  <si>
    <t>H597P272</t>
  </si>
  <si>
    <t>Fanadaticu</t>
  </si>
  <si>
    <t>P447P415</t>
  </si>
  <si>
    <t>Ritapucu</t>
  </si>
  <si>
    <t>H587H188</t>
  </si>
  <si>
    <t>Rovamuto</t>
  </si>
  <si>
    <t>P496P617</t>
  </si>
  <si>
    <t>Dunape</t>
  </si>
  <si>
    <t>H143H222</t>
  </si>
  <si>
    <t>Gidenope</t>
  </si>
  <si>
    <t>P152P311</t>
  </si>
  <si>
    <t>Lunetotica</t>
  </si>
  <si>
    <t>H266H778</t>
  </si>
  <si>
    <t>Dovetumofi</t>
  </si>
  <si>
    <t>P976P355</t>
  </si>
  <si>
    <t>Liretugina</t>
  </si>
  <si>
    <t>P996P462</t>
  </si>
  <si>
    <t>Fotenofome</t>
  </si>
  <si>
    <t>P877P834</t>
  </si>
  <si>
    <t>Lalegoru</t>
  </si>
  <si>
    <t>H143P894</t>
  </si>
  <si>
    <t>Dumeromo</t>
  </si>
  <si>
    <t>P788H492</t>
  </si>
  <si>
    <t>Purupona</t>
  </si>
  <si>
    <t>H473H163</t>
  </si>
  <si>
    <t>Nalecaru</t>
  </si>
  <si>
    <t>P689P583</t>
  </si>
  <si>
    <t>Torifoniru</t>
  </si>
  <si>
    <t>H731H373</t>
  </si>
  <si>
    <t>Pemeca</t>
  </si>
  <si>
    <t>H171P269</t>
  </si>
  <si>
    <t>Luleru</t>
  </si>
  <si>
    <t>H747H688</t>
  </si>
  <si>
    <t>Putedo</t>
  </si>
  <si>
    <t>P535H661</t>
  </si>
  <si>
    <t>Teludife</t>
  </si>
  <si>
    <t>H721P935</t>
  </si>
  <si>
    <t>Dovuve</t>
  </si>
  <si>
    <t>H931H162</t>
  </si>
  <si>
    <t>Rifipileve</t>
  </si>
  <si>
    <t>P654P282</t>
  </si>
  <si>
    <t>Retirufo</t>
  </si>
  <si>
    <t>P971P553</t>
  </si>
  <si>
    <t>Nalirarola</t>
  </si>
  <si>
    <t>P144H353</t>
  </si>
  <si>
    <t>Tetuto</t>
  </si>
  <si>
    <t>P744P148</t>
  </si>
  <si>
    <t>Pemero</t>
  </si>
  <si>
    <t>H973P866</t>
  </si>
  <si>
    <t>Pipepo</t>
  </si>
  <si>
    <t>P272P918</t>
  </si>
  <si>
    <t>Mocupomugu</t>
  </si>
  <si>
    <t>P993H465</t>
  </si>
  <si>
    <t>Pitoru</t>
  </si>
  <si>
    <t>P525P882</t>
  </si>
  <si>
    <t>Pageco</t>
  </si>
  <si>
    <t>P442H931</t>
  </si>
  <si>
    <t>Pelepepi</t>
  </si>
  <si>
    <t>H794H875</t>
  </si>
  <si>
    <t>Cefuci</t>
  </si>
  <si>
    <t>P914P585</t>
  </si>
  <si>
    <t>Nudimufori</t>
  </si>
  <si>
    <t>P484H561</t>
  </si>
  <si>
    <t>Foropi</t>
  </si>
  <si>
    <t>P246P553</t>
  </si>
  <si>
    <t>Tivepiroco</t>
  </si>
  <si>
    <t>P135H369</t>
  </si>
  <si>
    <t>Vimegotadu</t>
  </si>
  <si>
    <t>H873P119</t>
  </si>
  <si>
    <t>Pinufuru</t>
  </si>
  <si>
    <t>H411H829</t>
  </si>
  <si>
    <t>Puvuroli</t>
  </si>
  <si>
    <t>H843H273</t>
  </si>
  <si>
    <t>Pepitapa</t>
  </si>
  <si>
    <t>P678H498</t>
  </si>
  <si>
    <t>Popetu</t>
  </si>
  <si>
    <t>H566P687</t>
  </si>
  <si>
    <t>Pucupa</t>
  </si>
  <si>
    <t>H241H159</t>
  </si>
  <si>
    <t>Cimudalipi</t>
  </si>
  <si>
    <t>H893P286</t>
  </si>
  <si>
    <t>Lorapelevo</t>
  </si>
  <si>
    <t>P829P357</t>
  </si>
  <si>
    <t>Loteto</t>
  </si>
  <si>
    <t>H139P161</t>
  </si>
  <si>
    <t>Tafecaguto</t>
  </si>
  <si>
    <t>P677P457</t>
  </si>
  <si>
    <t>Mimotu</t>
  </si>
  <si>
    <t>H386P757</t>
  </si>
  <si>
    <t>Focigu</t>
  </si>
  <si>
    <t>H959H643</t>
  </si>
  <si>
    <t>Milatipa</t>
  </si>
  <si>
    <t>P969P983</t>
  </si>
  <si>
    <t>Pogodipoma</t>
  </si>
  <si>
    <t>H933P916</t>
  </si>
  <si>
    <t>Pivugodutu</t>
  </si>
  <si>
    <t>H953H947</t>
  </si>
  <si>
    <t>Nuritolepo</t>
  </si>
  <si>
    <t>H864H312</t>
  </si>
  <si>
    <t>Volota</t>
  </si>
  <si>
    <t>H233P313</t>
  </si>
  <si>
    <t>Ditipefade</t>
  </si>
  <si>
    <t>H299H486</t>
  </si>
  <si>
    <t>Pipetegevu</t>
  </si>
  <si>
    <t>H475H588</t>
  </si>
  <si>
    <t>Vefeteto</t>
  </si>
  <si>
    <t>H239H474</t>
  </si>
  <si>
    <t>Fidigutici</t>
  </si>
  <si>
    <t>P831P155</t>
  </si>
  <si>
    <t>Varifitimi</t>
  </si>
  <si>
    <t>H542P473</t>
  </si>
  <si>
    <t>Radulilo</t>
  </si>
  <si>
    <t>P112H492</t>
  </si>
  <si>
    <t>Gomopu</t>
  </si>
  <si>
    <t>P524P346</t>
  </si>
  <si>
    <t>Dopagapu</t>
  </si>
  <si>
    <t>H683H225</t>
  </si>
  <si>
    <t>Memupope</t>
  </si>
  <si>
    <t>P215H152</t>
  </si>
  <si>
    <t>Gopepope</t>
  </si>
  <si>
    <t>P484P612</t>
  </si>
  <si>
    <t>Ruteme</t>
  </si>
  <si>
    <t>P253P579</t>
  </si>
  <si>
    <t>Rumetofo</t>
  </si>
  <si>
    <t>H744P271</t>
  </si>
  <si>
    <t>Pifalumudi</t>
  </si>
  <si>
    <t>P212P883</t>
  </si>
  <si>
    <t>Rifitu</t>
  </si>
  <si>
    <t>H787P923</t>
  </si>
  <si>
    <t>Vidipu</t>
  </si>
  <si>
    <t>Vomari</t>
  </si>
  <si>
    <t>P157H825</t>
  </si>
  <si>
    <t>Dafapimuro</t>
  </si>
  <si>
    <t>H289H557</t>
  </si>
  <si>
    <t>Depaloda</t>
  </si>
  <si>
    <t>H964H355</t>
  </si>
  <si>
    <t>Veteri</t>
  </si>
  <si>
    <t>P558H147</t>
  </si>
  <si>
    <t>Pecopanu</t>
  </si>
  <si>
    <t>P171P465</t>
  </si>
  <si>
    <t>Nacilipari</t>
  </si>
  <si>
    <t>H135P215</t>
  </si>
  <si>
    <t>Piratuno</t>
  </si>
  <si>
    <t>H961P172</t>
  </si>
  <si>
    <t>Tuvomatifi</t>
  </si>
  <si>
    <t>P263P215</t>
  </si>
  <si>
    <t>Revometifu</t>
  </si>
  <si>
    <t>H176P483</t>
  </si>
  <si>
    <t>Pitocupo</t>
  </si>
  <si>
    <t>H793H261</t>
  </si>
  <si>
    <t>Picegadilu</t>
  </si>
  <si>
    <t>H923H993</t>
  </si>
  <si>
    <t>Levipevepe</t>
  </si>
  <si>
    <t>P715H811</t>
  </si>
  <si>
    <t>Depacefu</t>
  </si>
  <si>
    <t>P131H625</t>
  </si>
  <si>
    <t>Vanulipufi</t>
  </si>
  <si>
    <t>P822P332</t>
  </si>
  <si>
    <t>Fenagucu</t>
  </si>
  <si>
    <t>H226H819</t>
  </si>
  <si>
    <t>Ledudecu</t>
  </si>
  <si>
    <t>P513H761</t>
  </si>
  <si>
    <t>Tetemi</t>
  </si>
  <si>
    <t>P764P745</t>
  </si>
  <si>
    <t>Maguverota</t>
  </si>
  <si>
    <t>P515H443</t>
  </si>
  <si>
    <t>Dopatigu</t>
  </si>
  <si>
    <t>H781H772</t>
  </si>
  <si>
    <t>Popanapi</t>
  </si>
  <si>
    <t>P692H753</t>
  </si>
  <si>
    <t>Volegu</t>
  </si>
  <si>
    <t>P435H541</t>
  </si>
  <si>
    <t>Gocale</t>
  </si>
  <si>
    <t>P572H758</t>
  </si>
  <si>
    <t>Necuma</t>
  </si>
  <si>
    <t>P199H414</t>
  </si>
  <si>
    <t>Dupamilina</t>
  </si>
  <si>
    <t>H438H219</t>
  </si>
  <si>
    <t>Lidopotedo</t>
  </si>
  <si>
    <t>P734P263</t>
  </si>
  <si>
    <t>Cavato</t>
  </si>
  <si>
    <t>P834H148</t>
  </si>
  <si>
    <t>Mararacoma</t>
  </si>
  <si>
    <t>P652P532</t>
  </si>
  <si>
    <t>Citipu</t>
  </si>
  <si>
    <t>P897H296</t>
  </si>
  <si>
    <t>Forepu</t>
  </si>
  <si>
    <t>H243H153</t>
  </si>
  <si>
    <t>Galarilo</t>
  </si>
  <si>
    <t>H193H665</t>
  </si>
  <si>
    <t>Vitafa</t>
  </si>
  <si>
    <t>H818H797</t>
  </si>
  <si>
    <t>Vufumano</t>
  </si>
  <si>
    <t>P375P217</t>
  </si>
  <si>
    <t>Vetere</t>
  </si>
  <si>
    <t>P849H871</t>
  </si>
  <si>
    <t>Girupupelo</t>
  </si>
  <si>
    <t>P861P315</t>
  </si>
  <si>
    <t>Topevoca</t>
  </si>
  <si>
    <t>P157H413</t>
  </si>
  <si>
    <t>Pedeca</t>
  </si>
  <si>
    <t>P114P424</t>
  </si>
  <si>
    <t>Rivomopovo</t>
  </si>
  <si>
    <t>P816H162</t>
  </si>
  <si>
    <t>Fetone</t>
  </si>
  <si>
    <t>P979H868</t>
  </si>
  <si>
    <t>Mavupegula</t>
  </si>
  <si>
    <t>H171H533</t>
  </si>
  <si>
    <t>Napava</t>
  </si>
  <si>
    <t>H746P572</t>
  </si>
  <si>
    <t>Ranuvoru</t>
  </si>
  <si>
    <t>P838P999</t>
  </si>
  <si>
    <t>Pipigufipa</t>
  </si>
  <si>
    <t>P595P183</t>
  </si>
  <si>
    <t>Retotamita</t>
  </si>
  <si>
    <t>H793H564</t>
  </si>
  <si>
    <t>Leceta</t>
  </si>
  <si>
    <t>H663P962</t>
  </si>
  <si>
    <t>Marutu</t>
  </si>
  <si>
    <t>P543H694</t>
  </si>
  <si>
    <t>Vorava</t>
  </si>
  <si>
    <t>H475H829</t>
  </si>
  <si>
    <t>Pitofotopo</t>
  </si>
  <si>
    <t>P564P342</t>
  </si>
  <si>
    <t>Talupiriva</t>
  </si>
  <si>
    <t>P734P414</t>
  </si>
  <si>
    <t>Fugecoco</t>
  </si>
  <si>
    <t>H486P462</t>
  </si>
  <si>
    <t>Famapetugo</t>
  </si>
  <si>
    <t>P913H436</t>
  </si>
  <si>
    <t>Mapipu</t>
  </si>
  <si>
    <t>H731P723</t>
  </si>
  <si>
    <t>Gepeva</t>
  </si>
  <si>
    <t>H892P295</t>
  </si>
  <si>
    <t>Minino</t>
  </si>
  <si>
    <t>H823H157</t>
  </si>
  <si>
    <t>Docape</t>
  </si>
  <si>
    <t>P983P624</t>
  </si>
  <si>
    <t>Mutito</t>
  </si>
  <si>
    <t>P622H447</t>
  </si>
  <si>
    <t>Napano</t>
  </si>
  <si>
    <t>H363P985</t>
  </si>
  <si>
    <t>Rugepoteni</t>
  </si>
  <si>
    <t>H622P377</t>
  </si>
  <si>
    <t>Ficopi</t>
  </si>
  <si>
    <t>P983P623</t>
  </si>
  <si>
    <t>Tomelefo</t>
  </si>
  <si>
    <t>H829P415</t>
  </si>
  <si>
    <t>Gilirepena</t>
  </si>
  <si>
    <t>P922H591</t>
  </si>
  <si>
    <t>Madatane</t>
  </si>
  <si>
    <t>H556H628</t>
  </si>
  <si>
    <t>Pafuveda</t>
  </si>
  <si>
    <t>P344P352</t>
  </si>
  <si>
    <t>Nupigatepu</t>
  </si>
  <si>
    <t>P232P518</t>
  </si>
  <si>
    <t>Tunivipuni</t>
  </si>
  <si>
    <t>H831P729</t>
  </si>
  <si>
    <t>Livovipoda</t>
  </si>
  <si>
    <t>P849H415</t>
  </si>
  <si>
    <t>Vetoci</t>
  </si>
  <si>
    <t>Perorigapi</t>
  </si>
  <si>
    <t>P477H497</t>
  </si>
  <si>
    <t>Ronapopilu</t>
  </si>
  <si>
    <t>H833P265</t>
  </si>
  <si>
    <t>Gimametu</t>
  </si>
  <si>
    <t>P746P148</t>
  </si>
  <si>
    <t>Tareva</t>
  </si>
  <si>
    <t>H491P115</t>
  </si>
  <si>
    <t>Tagutogi</t>
  </si>
  <si>
    <t>P964P741</t>
  </si>
  <si>
    <t>Ropapa</t>
  </si>
  <si>
    <t>H261P913</t>
  </si>
  <si>
    <t>Cupuro</t>
  </si>
  <si>
    <t>H555H872</t>
  </si>
  <si>
    <t>Mapepopetu</t>
  </si>
  <si>
    <t>P541H695</t>
  </si>
  <si>
    <t>Datupida</t>
  </si>
  <si>
    <t>H328H638</t>
  </si>
  <si>
    <t>Dadifiru</t>
  </si>
  <si>
    <t>H138H218</t>
  </si>
  <si>
    <t>Tovomopene</t>
  </si>
  <si>
    <t>P465H764</t>
  </si>
  <si>
    <t>Tularufapi</t>
  </si>
  <si>
    <t>P961H568</t>
  </si>
  <si>
    <t>Vapacimela</t>
  </si>
  <si>
    <t>H448P189</t>
  </si>
  <si>
    <t>Vaficinu</t>
  </si>
  <si>
    <t>H849P841</t>
  </si>
  <si>
    <t>Nerutura</t>
  </si>
  <si>
    <t>H866P428</t>
  </si>
  <si>
    <t>Potudeni</t>
  </si>
  <si>
    <t>H784H123</t>
  </si>
  <si>
    <t>Guranavite</t>
  </si>
  <si>
    <t>P837P592</t>
  </si>
  <si>
    <t>Firapecu</t>
  </si>
  <si>
    <t>P599H157</t>
  </si>
  <si>
    <t>Dupopafe</t>
  </si>
  <si>
    <t>P937H452</t>
  </si>
  <si>
    <t>Papilera</t>
  </si>
  <si>
    <t>P655P386</t>
  </si>
  <si>
    <t>Leropo</t>
  </si>
  <si>
    <t>H227H717</t>
  </si>
  <si>
    <t>Topinevelu</t>
  </si>
  <si>
    <t>P356H883</t>
  </si>
  <si>
    <t>Rimadupive</t>
  </si>
  <si>
    <t>P555P438</t>
  </si>
  <si>
    <t>Lopevodava</t>
  </si>
  <si>
    <t>H359H732</t>
  </si>
  <si>
    <t>Vupupi</t>
  </si>
  <si>
    <t>H323P486</t>
  </si>
  <si>
    <t>Pofagega</t>
  </si>
  <si>
    <t>P987H535</t>
  </si>
  <si>
    <t>Fofarope</t>
  </si>
  <si>
    <t>H996P892</t>
  </si>
  <si>
    <t>Ropugugafo</t>
  </si>
  <si>
    <t>H471H644</t>
  </si>
  <si>
    <t>P561H622</t>
  </si>
  <si>
    <t>Gotipomute</t>
  </si>
  <si>
    <t>P692P356</t>
  </si>
  <si>
    <t>Puturilaci</t>
  </si>
  <si>
    <t>H648P638</t>
  </si>
  <si>
    <t>Nadeguteca</t>
  </si>
  <si>
    <t>H469H479</t>
  </si>
  <si>
    <t>Moralupate</t>
  </si>
  <si>
    <t>H571H567</t>
  </si>
  <si>
    <t>Tupero</t>
  </si>
  <si>
    <t>P532H684</t>
  </si>
  <si>
    <t>Modapapole</t>
  </si>
  <si>
    <t>H449P211</t>
  </si>
  <si>
    <t>Tulecapu</t>
  </si>
  <si>
    <t>H986H959</t>
  </si>
  <si>
    <t>Nanomanu</t>
  </si>
  <si>
    <t>H153H187</t>
  </si>
  <si>
    <t>Mutivucira</t>
  </si>
  <si>
    <t>H922P168</t>
  </si>
  <si>
    <t>Ramifavedu</t>
  </si>
  <si>
    <t>P456H529</t>
  </si>
  <si>
    <t>Nuruma</t>
  </si>
  <si>
    <t>H713P189</t>
  </si>
  <si>
    <t>Focidilamo</t>
  </si>
  <si>
    <t>P757H786</t>
  </si>
  <si>
    <t>Tanulu</t>
  </si>
  <si>
    <t>H486P684</t>
  </si>
  <si>
    <t>Fotacemovo</t>
  </si>
  <si>
    <t>P899P662</t>
  </si>
  <si>
    <t>Renefe</t>
  </si>
  <si>
    <t>H171H538</t>
  </si>
  <si>
    <t>Dadepumolu</t>
  </si>
  <si>
    <t>H336H358</t>
  </si>
  <si>
    <t>Porofe</t>
  </si>
  <si>
    <t>H282H737</t>
  </si>
  <si>
    <t>Ripipavi</t>
  </si>
  <si>
    <t>H822P982</t>
  </si>
  <si>
    <t>Nagatute</t>
  </si>
  <si>
    <t>P297H296</t>
  </si>
  <si>
    <t>Pufepula</t>
  </si>
  <si>
    <t>P233H844</t>
  </si>
  <si>
    <t>Doluperipu</t>
  </si>
  <si>
    <t>P475H868</t>
  </si>
  <si>
    <t>Tapiniro</t>
  </si>
  <si>
    <t>P674P773</t>
  </si>
  <si>
    <t>Vonepa</t>
  </si>
  <si>
    <t>P341H534</t>
  </si>
  <si>
    <t>Tanipo</t>
  </si>
  <si>
    <t>P619H657</t>
  </si>
  <si>
    <t>Tunonurepo</t>
  </si>
  <si>
    <t>P987H629</t>
  </si>
  <si>
    <t>Fepapiteci</t>
  </si>
  <si>
    <t>P439H526</t>
  </si>
  <si>
    <t>Galunapu</t>
  </si>
  <si>
    <t>H355H819</t>
  </si>
  <si>
    <t>Fulolu</t>
  </si>
  <si>
    <t>P773H244</t>
  </si>
  <si>
    <t>Novopolula</t>
  </si>
  <si>
    <t>P227H224</t>
  </si>
  <si>
    <t>Turalomepu</t>
  </si>
  <si>
    <t>H976H576</t>
  </si>
  <si>
    <t>Marupi</t>
  </si>
  <si>
    <t>P854P645</t>
  </si>
  <si>
    <t>Raruco</t>
  </si>
  <si>
    <t>P323H956</t>
  </si>
  <si>
    <t>Cipomo</t>
  </si>
  <si>
    <t>H224P229</t>
  </si>
  <si>
    <t>Linepopare</t>
  </si>
  <si>
    <t>H726H337</t>
  </si>
  <si>
    <t>Luronufo</t>
  </si>
  <si>
    <t>H646H144</t>
  </si>
  <si>
    <t>Culipelepu</t>
  </si>
  <si>
    <t>H547P173</t>
  </si>
  <si>
    <t>Capugote</t>
  </si>
  <si>
    <t>H367P627</t>
  </si>
  <si>
    <t>Porevegota</t>
  </si>
  <si>
    <t>H329P817</t>
  </si>
  <si>
    <t>Palone</t>
  </si>
  <si>
    <t>H466P736</t>
  </si>
  <si>
    <t>Volitudope</t>
  </si>
  <si>
    <t>H435P645</t>
  </si>
  <si>
    <t>Pipefofala</t>
  </si>
  <si>
    <t>P863H331</t>
  </si>
  <si>
    <t>Tapecotani</t>
  </si>
  <si>
    <t>H627P753</t>
  </si>
  <si>
    <t>Govodata</t>
  </si>
  <si>
    <t>H183H659</t>
  </si>
  <si>
    <t>Tatocoti</t>
  </si>
  <si>
    <t>H541P762</t>
  </si>
  <si>
    <t>Manonerepo</t>
  </si>
  <si>
    <t>H363H285</t>
  </si>
  <si>
    <t>Pirove</t>
  </si>
  <si>
    <t>H323P851</t>
  </si>
  <si>
    <t>Vopiponepa</t>
  </si>
  <si>
    <t>H236P567</t>
  </si>
  <si>
    <t>Riludava</t>
  </si>
  <si>
    <t>H187P622</t>
  </si>
  <si>
    <t>Nodopela</t>
  </si>
  <si>
    <t>H842H685</t>
  </si>
  <si>
    <t>Ruvipi</t>
  </si>
  <si>
    <t>H864H998</t>
  </si>
  <si>
    <t>Pilepuro</t>
  </si>
  <si>
    <t>H233H781</t>
  </si>
  <si>
    <t>Molopimu</t>
  </si>
  <si>
    <t>H327P753</t>
  </si>
  <si>
    <t>Momitige</t>
  </si>
  <si>
    <t>H251P447</t>
  </si>
  <si>
    <t>Pecicolovi</t>
  </si>
  <si>
    <t>P181P198</t>
  </si>
  <si>
    <t>Veralu</t>
  </si>
  <si>
    <t>P149P833</t>
  </si>
  <si>
    <t>Tafata</t>
  </si>
  <si>
    <t>P355P544</t>
  </si>
  <si>
    <t>Fopure</t>
  </si>
  <si>
    <t>P598H665</t>
  </si>
  <si>
    <t>Paniduti</t>
  </si>
  <si>
    <t>H797P813</t>
  </si>
  <si>
    <t>Tepeta</t>
  </si>
  <si>
    <t>H638P635</t>
  </si>
  <si>
    <t>Nerupapa</t>
  </si>
  <si>
    <t>H533P471</t>
  </si>
  <si>
    <t>Gigoro</t>
  </si>
  <si>
    <t>H722P421</t>
  </si>
  <si>
    <t>Toticu</t>
  </si>
  <si>
    <t>P929P696</t>
  </si>
  <si>
    <t>Vifaduvire</t>
  </si>
  <si>
    <t>P459P327</t>
  </si>
  <si>
    <t>Lafilotu</t>
  </si>
  <si>
    <t>H731P786</t>
  </si>
  <si>
    <t>Ferope</t>
  </si>
  <si>
    <t>H399P696</t>
  </si>
  <si>
    <t>Meludetati</t>
  </si>
  <si>
    <t>P645P764</t>
  </si>
  <si>
    <t>Goganaca</t>
  </si>
  <si>
    <t>P731P581</t>
  </si>
  <si>
    <t>Palucipu</t>
  </si>
  <si>
    <t>P762P889</t>
  </si>
  <si>
    <t>Gepite</t>
  </si>
  <si>
    <t>H532P648</t>
  </si>
  <si>
    <t>Tadopa</t>
  </si>
  <si>
    <t>H324P816</t>
  </si>
  <si>
    <t>Pudapigo</t>
  </si>
  <si>
    <t>P368H496</t>
  </si>
  <si>
    <t>Piranupu</t>
  </si>
  <si>
    <t>P981H185</t>
  </si>
  <si>
    <t>Datoti</t>
  </si>
  <si>
    <t>H737P394</t>
  </si>
  <si>
    <t>Papale</t>
  </si>
  <si>
    <t>P295P623</t>
  </si>
  <si>
    <t>Tirenedu</t>
  </si>
  <si>
    <t>H623H253</t>
  </si>
  <si>
    <t>Rugidu</t>
  </si>
  <si>
    <t>H753H124</t>
  </si>
  <si>
    <t>Lavute</t>
  </si>
  <si>
    <t>H261P285</t>
  </si>
  <si>
    <t>Tirapo</t>
  </si>
  <si>
    <t>H397H882</t>
  </si>
  <si>
    <t>Mafopolure</t>
  </si>
  <si>
    <t>H535H586</t>
  </si>
  <si>
    <t>Geleciri</t>
  </si>
  <si>
    <t>H161H485</t>
  </si>
  <si>
    <t>Rinipo</t>
  </si>
  <si>
    <t>H261P693</t>
  </si>
  <si>
    <t>Tatigu</t>
  </si>
  <si>
    <t>H833H489</t>
  </si>
  <si>
    <t>Topatopu</t>
  </si>
  <si>
    <t>H716P672</t>
  </si>
  <si>
    <t>Muludo</t>
  </si>
  <si>
    <t>P556H428</t>
  </si>
  <si>
    <t>Ceduvetima</t>
  </si>
  <si>
    <t>P229P732</t>
  </si>
  <si>
    <t>Paruceme</t>
  </si>
  <si>
    <t>P384P944</t>
  </si>
  <si>
    <t>Tipafa</t>
  </si>
  <si>
    <t>Veluporeci</t>
  </si>
  <si>
    <t>P917P849</t>
  </si>
  <si>
    <t>Lopuretite</t>
  </si>
  <si>
    <t>H471P737</t>
  </si>
  <si>
    <t>País</t>
  </si>
  <si>
    <t>Ano</t>
  </si>
  <si>
    <t>Mês</t>
  </si>
  <si>
    <t>Chave do Produto</t>
  </si>
  <si>
    <t>Validação de dados</t>
  </si>
  <si>
    <t>Urgência de Envio de Produtos</t>
  </si>
  <si>
    <t>Repetições</t>
  </si>
  <si>
    <t>Resumo Custo de Produção por Região</t>
  </si>
  <si>
    <t>Validação de Dados</t>
  </si>
  <si>
    <t>Análise dos dados - Geral</t>
  </si>
  <si>
    <t>Somatório  do Custo</t>
  </si>
  <si>
    <t>Média de Custo</t>
  </si>
  <si>
    <t>Contagem de Transações</t>
  </si>
  <si>
    <t>Valor Máximo de Custo</t>
  </si>
  <si>
    <t>Valor Mínimo de Custo</t>
  </si>
  <si>
    <t>Análise dos Top 5 que tiveram maiores Custos de Produção</t>
  </si>
  <si>
    <t>Total</t>
  </si>
  <si>
    <t>Qual o País que é maior em Qtd? E também em Valor de Custo?</t>
  </si>
  <si>
    <t xml:space="preserve"> </t>
  </si>
  <si>
    <t>Urgente e Caro</t>
  </si>
  <si>
    <t>Urgente</t>
  </si>
  <si>
    <t>Pendente e Caro</t>
  </si>
  <si>
    <t>Pendente</t>
  </si>
  <si>
    <t>Não prioritário</t>
  </si>
  <si>
    <t>Validade até 31/12/2025</t>
  </si>
  <si>
    <t>&gt; 50.000</t>
  </si>
  <si>
    <t>&lt;= 50.000</t>
  </si>
  <si>
    <t>2026 até 2028</t>
  </si>
  <si>
    <t>&gt;50.000</t>
  </si>
  <si>
    <t>&lt;=50.000</t>
  </si>
  <si>
    <t>&gt;=2029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</si>
</sst>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  <numFmt numFmtId="165" formatCode="&quot;R$&quot;\ #,##0"/>
    <numFmt numFmtId="166" formatCode="&quot;R$&quot;#,##0.00"/>
    <numFmt numFmtId="167" formatCode="_-* #,##0_-;\-* #,##0_-;_-* &quot;-&quot;??_-;_-@_-"/>
  </numFmts>
  <fonts count="11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0"/>
      <color theme="0"/>
      <name val="Aptos Narrow"/>
      <family val="2"/>
      <scheme val="minor"/>
    </font>
    <font>
      <sz val="8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rgb="FF212529"/>
      <name val="Arial"/>
      <family val="2"/>
    </font>
    <font>
      <u/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0E6F5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E49EDD"/>
        <bgColor indexed="64"/>
      </patternFill>
    </fill>
    <fill>
      <patternFill patternType="solid">
        <fgColor rgb="FF94DCF8"/>
        <bgColor indexed="64"/>
      </patternFill>
    </fill>
    <fill>
      <patternFill patternType="solid">
        <fgColor rgb="FFF7C7A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AEDFB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5">
    <xf numFmtId="0" fontId="0" fillId="0" borderId="0"/>
    <xf numFmtId="43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0" fontId="7" fillId="0" borderId="0" applyNumberFormat="0" applyFill="0" applyBorder="0" applyAlignment="0" applyProtection="0"/>
  </cellStyleXfs>
  <cellXfs count="179">
    <xf numFmtId="0" fontId="0" fillId="0" borderId="0" xfId="0"/>
    <xf numFmtId="14" fontId="0" fillId="0" borderId="0" xfId="0" applyNumberFormat="1"/>
    <xf numFmtId="164" fontId="0" fillId="0" borderId="0" xfId="0" applyNumberFormat="1"/>
    <xf numFmtId="0" fontId="1" fillId="0" borderId="0" xfId="0" applyFont="1"/>
    <xf numFmtId="0" fontId="1" fillId="0" borderId="0" xfId="0" applyFont="1" applyAlignment="1">
      <alignment horizontal="left"/>
    </xf>
    <xf numFmtId="0" fontId="0" fillId="0" borderId="4" xfId="0" applyBorder="1"/>
    <xf numFmtId="0" fontId="0" fillId="2" borderId="4" xfId="0" applyFill="1" applyBorder="1"/>
    <xf numFmtId="0" fontId="1" fillId="0" borderId="4" xfId="0" applyFont="1" applyBorder="1" applyAlignment="1">
      <alignment horizontal="center"/>
    </xf>
    <xf numFmtId="0" fontId="0" fillId="3" borderId="4" xfId="0" applyFill="1" applyBorder="1"/>
    <xf numFmtId="0" fontId="1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2" borderId="4" xfId="0" applyFill="1" applyBorder="1" applyAlignment="1">
      <alignment horizontal="center"/>
    </xf>
    <xf numFmtId="0" fontId="0" fillId="0" borderId="0" xfId="0" applyAlignment="1">
      <alignment horizontal="left" wrapText="1"/>
    </xf>
    <xf numFmtId="0" fontId="0" fillId="0" borderId="0" xfId="0" applyAlignment="1">
      <alignment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left"/>
    </xf>
    <xf numFmtId="0" fontId="0" fillId="5" borderId="0" xfId="0" applyFill="1"/>
    <xf numFmtId="0" fontId="0" fillId="3" borderId="4" xfId="0" applyFill="1" applyBorder="1" applyAlignment="1">
      <alignment horizontal="center"/>
    </xf>
    <xf numFmtId="165" fontId="0" fillId="3" borderId="4" xfId="0" applyNumberFormat="1" applyFill="1" applyBorder="1" applyAlignment="1">
      <alignment horizontal="center"/>
    </xf>
    <xf numFmtId="0" fontId="0" fillId="3" borderId="4" xfId="0" applyFill="1" applyBorder="1" applyAlignment="1">
      <alignment horizontal="left"/>
    </xf>
    <xf numFmtId="0" fontId="0" fillId="8" borderId="0" xfId="0" applyFill="1"/>
    <xf numFmtId="0" fontId="0" fillId="0" borderId="0" xfId="0" applyAlignment="1">
      <alignment horizontal="right"/>
    </xf>
    <xf numFmtId="0" fontId="5" fillId="9" borderId="5" xfId="0" applyFont="1" applyFill="1" applyBorder="1" applyAlignment="1">
      <alignment vertical="center" textRotation="255"/>
    </xf>
    <xf numFmtId="0" fontId="4" fillId="9" borderId="5" xfId="0" applyFont="1" applyFill="1" applyBorder="1"/>
    <xf numFmtId="0" fontId="5" fillId="9" borderId="8" xfId="0" applyFont="1" applyFill="1" applyBorder="1" applyAlignment="1">
      <alignment vertical="center" textRotation="255"/>
    </xf>
    <xf numFmtId="0" fontId="4" fillId="9" borderId="9" xfId="0" applyFont="1" applyFill="1" applyBorder="1" applyAlignment="1">
      <alignment horizontal="center"/>
    </xf>
    <xf numFmtId="0" fontId="4" fillId="9" borderId="4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0" fontId="4" fillId="9" borderId="3" xfId="0" applyFont="1" applyFill="1" applyBorder="1" applyAlignment="1">
      <alignment horizontal="center"/>
    </xf>
    <xf numFmtId="0" fontId="0" fillId="4" borderId="4" xfId="0" applyFill="1" applyBorder="1"/>
    <xf numFmtId="166" fontId="0" fillId="4" borderId="4" xfId="0" applyNumberFormat="1" applyFill="1" applyBorder="1"/>
    <xf numFmtId="166" fontId="0" fillId="4" borderId="1" xfId="0" applyNumberFormat="1" applyFill="1" applyBorder="1"/>
    <xf numFmtId="166" fontId="0" fillId="4" borderId="3" xfId="0" applyNumberFormat="1" applyFill="1" applyBorder="1"/>
    <xf numFmtId="166" fontId="0" fillId="0" borderId="0" xfId="0" applyNumberFormat="1"/>
    <xf numFmtId="166" fontId="0" fillId="0" borderId="2" xfId="0" applyNumberFormat="1" applyBorder="1"/>
    <xf numFmtId="0" fontId="0" fillId="7" borderId="4" xfId="0" applyFill="1" applyBorder="1"/>
    <xf numFmtId="166" fontId="0" fillId="7" borderId="4" xfId="0" applyNumberFormat="1" applyFill="1" applyBorder="1"/>
    <xf numFmtId="166" fontId="0" fillId="7" borderId="1" xfId="0" applyNumberFormat="1" applyFill="1" applyBorder="1"/>
    <xf numFmtId="166" fontId="0" fillId="7" borderId="3" xfId="0" applyNumberFormat="1" applyFill="1" applyBorder="1"/>
    <xf numFmtId="166" fontId="0" fillId="7" borderId="4" xfId="0" quotePrefix="1" applyNumberFormat="1" applyFill="1" applyBorder="1"/>
    <xf numFmtId="166" fontId="1" fillId="7" borderId="4" xfId="0" applyNumberFormat="1" applyFont="1" applyFill="1" applyBorder="1"/>
    <xf numFmtId="166" fontId="1" fillId="0" borderId="0" xfId="0" applyNumberFormat="1" applyFont="1"/>
    <xf numFmtId="44" fontId="0" fillId="0" borderId="0" xfId="0" applyNumberFormat="1"/>
    <xf numFmtId="44" fontId="0" fillId="0" borderId="2" xfId="0" applyNumberFormat="1" applyBorder="1"/>
    <xf numFmtId="0" fontId="0" fillId="6" borderId="4" xfId="0" applyFill="1" applyBorder="1"/>
    <xf numFmtId="164" fontId="0" fillId="6" borderId="4" xfId="0" applyNumberFormat="1" applyFill="1" applyBorder="1"/>
    <xf numFmtId="0" fontId="0" fillId="6" borderId="5" xfId="0" applyFill="1" applyBorder="1"/>
    <xf numFmtId="164" fontId="0" fillId="6" borderId="5" xfId="0" applyNumberFormat="1" applyFill="1" applyBorder="1"/>
    <xf numFmtId="0" fontId="0" fillId="0" borderId="2" xfId="0" applyBorder="1" applyAlignment="1">
      <alignment horizontal="center" vertical="center"/>
    </xf>
    <xf numFmtId="0" fontId="0" fillId="0" borderId="2" xfId="0" applyBorder="1"/>
    <xf numFmtId="164" fontId="0" fillId="0" borderId="2" xfId="0" applyNumberFormat="1" applyBorder="1"/>
    <xf numFmtId="0" fontId="0" fillId="6" borderId="9" xfId="0" applyFill="1" applyBorder="1"/>
    <xf numFmtId="164" fontId="0" fillId="6" borderId="9" xfId="0" applyNumberFormat="1" applyFill="1" applyBorder="1"/>
    <xf numFmtId="17" fontId="0" fillId="0" borderId="0" xfId="0" applyNumberFormat="1"/>
    <xf numFmtId="167" fontId="0" fillId="0" borderId="0" xfId="1" applyNumberFormat="1" applyFont="1"/>
    <xf numFmtId="8" fontId="0" fillId="0" borderId="0" xfId="0" applyNumberFormat="1"/>
    <xf numFmtId="44" fontId="0" fillId="0" borderId="0" xfId="2" applyFont="1"/>
    <xf numFmtId="164" fontId="0" fillId="0" borderId="0" xfId="2" applyNumberFormat="1" applyFont="1" applyBorder="1"/>
    <xf numFmtId="4" fontId="0" fillId="0" borderId="0" xfId="0" applyNumberFormat="1"/>
    <xf numFmtId="10" fontId="0" fillId="0" borderId="0" xfId="0" applyNumberFormat="1"/>
    <xf numFmtId="1" fontId="0" fillId="0" borderId="0" xfId="0" applyNumberFormat="1"/>
    <xf numFmtId="164" fontId="0" fillId="0" borderId="0" xfId="2" applyNumberFormat="1" applyFont="1"/>
    <xf numFmtId="164" fontId="7" fillId="0" borderId="0" xfId="4" applyNumberFormat="1"/>
    <xf numFmtId="10" fontId="0" fillId="0" borderId="0" xfId="3" applyNumberFormat="1" applyFont="1"/>
    <xf numFmtId="164" fontId="0" fillId="0" borderId="0" xfId="0" quotePrefix="1" applyNumberFormat="1"/>
    <xf numFmtId="2" fontId="0" fillId="0" borderId="0" xfId="0" applyNumberFormat="1"/>
    <xf numFmtId="43" fontId="0" fillId="0" borderId="0" xfId="1" applyFont="1"/>
    <xf numFmtId="164" fontId="0" fillId="0" borderId="0" xfId="3" applyNumberFormat="1" applyFont="1"/>
    <xf numFmtId="0" fontId="8" fillId="0" borderId="0" xfId="0" applyFont="1"/>
    <xf numFmtId="164" fontId="1" fillId="0" borderId="0" xfId="0" applyNumberFormat="1" applyFont="1"/>
    <xf numFmtId="16" fontId="0" fillId="0" borderId="0" xfId="0" applyNumberFormat="1"/>
    <xf numFmtId="167" fontId="0" fillId="0" borderId="0" xfId="0" applyNumberFormat="1"/>
    <xf numFmtId="4" fontId="8" fillId="0" borderId="0" xfId="0" applyNumberFormat="1" applyFont="1"/>
    <xf numFmtId="0" fontId="9" fillId="0" borderId="0" xfId="0" applyFont="1"/>
    <xf numFmtId="43" fontId="0" fillId="0" borderId="0" xfId="0" applyNumberFormat="1"/>
    <xf numFmtId="164" fontId="0" fillId="0" borderId="4" xfId="2" applyNumberFormat="1" applyFont="1" applyBorder="1"/>
    <xf numFmtId="0" fontId="3" fillId="10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/>
    <xf numFmtId="0" fontId="0" fillId="0" borderId="0" xfId="0" applyNumberFormat="1"/>
    <xf numFmtId="0" fontId="0" fillId="0" borderId="0" xfId="0" applyNumberFormat="1" applyAlignment="1">
      <alignment horizontal="center" vertical="center"/>
    </xf>
    <xf numFmtId="0" fontId="3" fillId="0" borderId="0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14" borderId="0" xfId="0" applyFill="1"/>
    <xf numFmtId="0" fontId="0" fillId="15" borderId="0" xfId="0" applyFill="1"/>
    <xf numFmtId="0" fontId="0" fillId="15" borderId="0" xfId="0" applyFill="1" applyBorder="1" applyAlignment="1">
      <alignment horizontal="center" vertical="center"/>
    </xf>
    <xf numFmtId="14" fontId="0" fillId="15" borderId="0" xfId="0" applyNumberFormat="1" applyFill="1" applyBorder="1" applyAlignment="1">
      <alignment horizontal="center" vertical="center"/>
    </xf>
    <xf numFmtId="0" fontId="0" fillId="15" borderId="0" xfId="0" applyNumberFormat="1" applyFill="1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165" fontId="0" fillId="3" borderId="4" xfId="0" applyNumberFormat="1" applyFill="1" applyBorder="1" applyAlignment="1">
      <alignment horizontal="center" vertical="center"/>
    </xf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14" fontId="0" fillId="2" borderId="4" xfId="0" applyNumberFormat="1" applyFill="1" applyBorder="1" applyAlignment="1">
      <alignment horizontal="center" vertical="center"/>
    </xf>
    <xf numFmtId="0" fontId="0" fillId="2" borderId="4" xfId="0" applyFill="1" applyBorder="1" applyAlignment="1">
      <alignment vertical="center"/>
    </xf>
    <xf numFmtId="0" fontId="0" fillId="2" borderId="4" xfId="0" applyFill="1" applyBorder="1" applyAlignment="1">
      <alignment horizontal="center" vertical="center"/>
    </xf>
    <xf numFmtId="44" fontId="0" fillId="2" borderId="4" xfId="0" applyNumberFormat="1" applyFill="1" applyBorder="1" applyAlignment="1">
      <alignment horizontal="center" vertical="center"/>
    </xf>
    <xf numFmtId="44" fontId="0" fillId="2" borderId="4" xfId="2" applyFont="1" applyFill="1" applyBorder="1" applyAlignment="1">
      <alignment horizontal="center"/>
    </xf>
    <xf numFmtId="164" fontId="0" fillId="15" borderId="0" xfId="0" applyNumberFormat="1" applyFill="1" applyBorder="1" applyAlignment="1">
      <alignment horizontal="right"/>
    </xf>
    <xf numFmtId="164" fontId="0" fillId="0" borderId="0" xfId="0" applyNumberFormat="1" applyAlignment="1">
      <alignment horizontal="right"/>
    </xf>
    <xf numFmtId="0" fontId="10" fillId="14" borderId="0" xfId="0" applyNumberFormat="1" applyFont="1" applyFill="1" applyBorder="1" applyAlignment="1">
      <alignment horizontal="center" vertical="center"/>
    </xf>
    <xf numFmtId="0" fontId="10" fillId="14" borderId="0" xfId="0" applyFont="1" applyFill="1" applyBorder="1" applyAlignment="1">
      <alignment horizontal="center" vertical="center"/>
    </xf>
    <xf numFmtId="14" fontId="10" fillId="14" borderId="0" xfId="0" applyNumberFormat="1" applyFont="1" applyFill="1" applyBorder="1"/>
    <xf numFmtId="164" fontId="10" fillId="14" borderId="0" xfId="0" applyNumberFormat="1" applyFont="1" applyFill="1" applyBorder="1" applyAlignment="1">
      <alignment horizontal="center" vertical="center"/>
    </xf>
    <xf numFmtId="0" fontId="10" fillId="21" borderId="0" xfId="0" applyFont="1" applyFill="1" applyBorder="1" applyAlignment="1">
      <alignment horizontal="center" vertical="center"/>
    </xf>
    <xf numFmtId="0" fontId="0" fillId="21" borderId="0" xfId="0" applyFill="1" applyBorder="1" applyAlignment="1">
      <alignment horizontal="center" vertical="center"/>
    </xf>
    <xf numFmtId="0" fontId="0" fillId="21" borderId="0" xfId="0" applyFill="1" applyAlignment="1">
      <alignment horizontal="center" vertical="center"/>
    </xf>
    <xf numFmtId="43" fontId="0" fillId="3" borderId="4" xfId="1" applyFont="1" applyFill="1" applyBorder="1" applyAlignment="1">
      <alignment horizontal="center"/>
    </xf>
    <xf numFmtId="167" fontId="0" fillId="3" borderId="4" xfId="1" applyNumberFormat="1" applyFont="1" applyFill="1" applyBorder="1" applyAlignment="1">
      <alignment horizontal="center"/>
    </xf>
    <xf numFmtId="167" fontId="0" fillId="3" borderId="4" xfId="1" applyNumberFormat="1" applyFont="1" applyFill="1" applyBorder="1" applyAlignment="1">
      <alignment horizontal="center" vertical="center"/>
    </xf>
    <xf numFmtId="0" fontId="10" fillId="16" borderId="0" xfId="0" applyFont="1" applyFill="1" applyBorder="1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0" fontId="0" fillId="3" borderId="4" xfId="0" applyNumberFormat="1" applyFill="1" applyBorder="1" applyAlignment="1">
      <alignment horizontal="center" vertical="center"/>
    </xf>
    <xf numFmtId="165" fontId="0" fillId="22" borderId="4" xfId="0" applyNumberFormat="1" applyFill="1" applyBorder="1" applyAlignment="1">
      <alignment horizontal="center" vertical="center"/>
    </xf>
    <xf numFmtId="0" fontId="0" fillId="22" borderId="4" xfId="0" applyFill="1" applyBorder="1" applyAlignment="1">
      <alignment horizontal="center" vertical="center"/>
    </xf>
    <xf numFmtId="0" fontId="0" fillId="22" borderId="4" xfId="0" applyFill="1" applyBorder="1" applyAlignment="1">
      <alignment horizontal="left" vertical="center"/>
    </xf>
    <xf numFmtId="44" fontId="0" fillId="22" borderId="4" xfId="2" applyFont="1" applyFill="1" applyBorder="1" applyAlignment="1">
      <alignment horizontal="center" vertical="center"/>
    </xf>
    <xf numFmtId="44" fontId="1" fillId="2" borderId="4" xfId="2" applyFont="1" applyFill="1" applyBorder="1" applyAlignment="1">
      <alignment horizontal="left"/>
    </xf>
    <xf numFmtId="0" fontId="0" fillId="0" borderId="4" xfId="0" applyFill="1" applyBorder="1"/>
    <xf numFmtId="44" fontId="0" fillId="0" borderId="4" xfId="0" applyNumberFormat="1" applyBorder="1"/>
    <xf numFmtId="44" fontId="0" fillId="22" borderId="5" xfId="2" applyFont="1" applyFill="1" applyBorder="1" applyAlignment="1">
      <alignment horizontal="center" vertical="center"/>
    </xf>
    <xf numFmtId="0" fontId="0" fillId="22" borderId="5" xfId="0" applyFill="1" applyBorder="1" applyAlignment="1">
      <alignment horizontal="left" vertical="center"/>
    </xf>
    <xf numFmtId="0" fontId="0" fillId="20" borderId="6" xfId="0" applyFill="1" applyBorder="1" applyAlignment="1"/>
    <xf numFmtId="0" fontId="0" fillId="20" borderId="10" xfId="0" applyFill="1" applyBorder="1" applyAlignment="1"/>
    <xf numFmtId="0" fontId="0" fillId="2" borderId="9" xfId="0" applyFill="1" applyBorder="1"/>
    <xf numFmtId="0" fontId="0" fillId="0" borderId="4" xfId="0" applyBorder="1" applyAlignment="1"/>
    <xf numFmtId="44" fontId="0" fillId="0" borderId="4" xfId="0" applyNumberFormat="1" applyBorder="1" applyAlignment="1"/>
    <xf numFmtId="44" fontId="0" fillId="7" borderId="0" xfId="2" applyFont="1" applyFill="1"/>
    <xf numFmtId="0" fontId="0" fillId="0" borderId="0" xfId="0" applyAlignment="1">
      <alignment horizontal="left" wrapText="1"/>
    </xf>
    <xf numFmtId="0" fontId="3" fillId="13" borderId="7" xfId="0" applyFont="1" applyFill="1" applyBorder="1" applyAlignment="1">
      <alignment horizontal="center"/>
    </xf>
    <xf numFmtId="0" fontId="3" fillId="13" borderId="0" xfId="0" applyFont="1" applyFill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16" borderId="0" xfId="0" applyFill="1" applyAlignment="1">
      <alignment horizontal="left" vertical="top" wrapText="1"/>
    </xf>
    <xf numFmtId="0" fontId="0" fillId="16" borderId="0" xfId="0" applyFill="1" applyAlignment="1">
      <alignment horizontal="left" wrapText="1"/>
    </xf>
    <xf numFmtId="0" fontId="0" fillId="2" borderId="1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0" xfId="0" applyFill="1" applyAlignment="1">
      <alignment horizontal="left" wrapText="1"/>
    </xf>
    <xf numFmtId="17" fontId="4" fillId="9" borderId="1" xfId="0" applyNumberFormat="1" applyFont="1" applyFill="1" applyBorder="1" applyAlignment="1">
      <alignment horizontal="center"/>
    </xf>
    <xf numFmtId="17" fontId="4" fillId="9" borderId="2" xfId="0" applyNumberFormat="1" applyFont="1" applyFill="1" applyBorder="1" applyAlignment="1">
      <alignment horizontal="center"/>
    </xf>
    <xf numFmtId="17" fontId="4" fillId="9" borderId="3" xfId="0" applyNumberFormat="1" applyFont="1" applyFill="1" applyBorder="1" applyAlignment="1">
      <alignment horizontal="center"/>
    </xf>
    <xf numFmtId="17" fontId="4" fillId="9" borderId="6" xfId="0" applyNumberFormat="1" applyFont="1" applyFill="1" applyBorder="1" applyAlignment="1">
      <alignment horizontal="center"/>
    </xf>
    <xf numFmtId="17" fontId="4" fillId="9" borderId="7" xfId="0" applyNumberFormat="1" applyFont="1" applyFill="1" applyBorder="1" applyAlignment="1">
      <alignment horizontal="center"/>
    </xf>
    <xf numFmtId="17" fontId="4" fillId="9" borderId="4" xfId="0" applyNumberFormat="1" applyFont="1" applyFill="1" applyBorder="1" applyAlignment="1">
      <alignment horizontal="center"/>
    </xf>
    <xf numFmtId="0" fontId="6" fillId="4" borderId="8" xfId="0" applyFont="1" applyFill="1" applyBorder="1" applyAlignment="1">
      <alignment horizontal="center" vertical="center" wrapText="1"/>
    </xf>
    <xf numFmtId="0" fontId="0" fillId="7" borderId="4" xfId="0" applyFill="1" applyBorder="1" applyAlignment="1">
      <alignment horizontal="center" vertical="center" textRotation="255"/>
    </xf>
    <xf numFmtId="0" fontId="0" fillId="6" borderId="5" xfId="0" applyFill="1" applyBorder="1" applyAlignment="1">
      <alignment horizontal="center" vertical="center" wrapText="1"/>
    </xf>
    <xf numFmtId="0" fontId="0" fillId="6" borderId="8" xfId="0" applyFill="1" applyBorder="1" applyAlignment="1">
      <alignment horizontal="center" vertical="center" wrapText="1"/>
    </xf>
    <xf numFmtId="0" fontId="0" fillId="6" borderId="9" xfId="0" applyFill="1" applyBorder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1" fillId="12" borderId="4" xfId="0" applyFont="1" applyFill="1" applyBorder="1" applyAlignment="1">
      <alignment horizontal="center"/>
    </xf>
    <xf numFmtId="0" fontId="1" fillId="11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166" fontId="0" fillId="0" borderId="4" xfId="2" applyNumberFormat="1" applyFont="1" applyFill="1" applyBorder="1" applyAlignment="1">
      <alignment horizontal="center"/>
    </xf>
    <xf numFmtId="0" fontId="0" fillId="0" borderId="14" xfId="0" applyBorder="1"/>
    <xf numFmtId="0" fontId="0" fillId="0" borderId="6" xfId="0" applyBorder="1"/>
    <xf numFmtId="0" fontId="0" fillId="0" borderId="7" xfId="0" applyBorder="1"/>
    <xf numFmtId="0" fontId="4" fillId="0" borderId="0" xfId="0" applyFont="1"/>
    <xf numFmtId="0" fontId="4" fillId="10" borderId="11" xfId="0" applyFont="1" applyFill="1" applyBorder="1" applyAlignment="1">
      <alignment horizontal="center" vertical="center"/>
    </xf>
    <xf numFmtId="44" fontId="4" fillId="10" borderId="13" xfId="2" applyFont="1" applyFill="1" applyBorder="1" applyAlignment="1">
      <alignment horizontal="center" vertical="center"/>
    </xf>
    <xf numFmtId="44" fontId="0" fillId="0" borderId="15" xfId="2" applyFont="1" applyBorder="1"/>
    <xf numFmtId="44" fontId="0" fillId="0" borderId="10" xfId="2" applyFont="1" applyBorder="1"/>
    <xf numFmtId="0" fontId="4" fillId="10" borderId="11" xfId="0" applyFont="1" applyFill="1" applyBorder="1"/>
    <xf numFmtId="0" fontId="4" fillId="10" borderId="12" xfId="0" applyFont="1" applyFill="1" applyBorder="1"/>
    <xf numFmtId="0" fontId="4" fillId="10" borderId="13" xfId="0" applyFont="1" applyFill="1" applyBorder="1"/>
    <xf numFmtId="14" fontId="0" fillId="0" borderId="14" xfId="0" applyNumberFormat="1" applyBorder="1"/>
    <xf numFmtId="164" fontId="0" fillId="0" borderId="15" xfId="0" applyNumberFormat="1" applyBorder="1"/>
    <xf numFmtId="14" fontId="0" fillId="0" borderId="6" xfId="0" applyNumberFormat="1" applyBorder="1"/>
    <xf numFmtId="164" fontId="0" fillId="0" borderId="10" xfId="0" applyNumberFormat="1" applyBorder="1"/>
    <xf numFmtId="44" fontId="0" fillId="0" borderId="4" xfId="2" applyFont="1" applyBorder="1" applyAlignment="1">
      <alignment horizontal="center"/>
    </xf>
    <xf numFmtId="0" fontId="0" fillId="0" borderId="1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4" fontId="0" fillId="0" borderId="15" xfId="2" applyFont="1" applyBorder="1" applyAlignment="1">
      <alignment horizontal="center" vertical="center"/>
    </xf>
    <xf numFmtId="44" fontId="0" fillId="0" borderId="10" xfId="2" applyFont="1" applyBorder="1" applyAlignment="1">
      <alignment horizontal="center" vertical="center"/>
    </xf>
    <xf numFmtId="0" fontId="0" fillId="0" borderId="4" xfId="2" applyNumberFormat="1" applyFont="1" applyBorder="1" applyAlignment="1">
      <alignment horizontal="center"/>
    </xf>
  </cellXfs>
  <cellStyles count="5">
    <cellStyle name="Hiperlink" xfId="4" builtinId="8"/>
    <cellStyle name="Moeda" xfId="2" builtinId="4"/>
    <cellStyle name="Normal" xfId="0" builtinId="0"/>
    <cellStyle name="Porcentagem" xfId="3" builtinId="5"/>
    <cellStyle name="Vírgula" xfId="1" builtinId="3"/>
  </cellStyles>
  <dxfs count="27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94DCF8"/>
        </patternFill>
      </fill>
    </dxf>
    <dxf>
      <fill>
        <patternFill>
          <bgColor rgb="FFB5E6A2"/>
        </patternFill>
      </fill>
    </dxf>
    <dxf>
      <fill>
        <patternFill>
          <bgColor rgb="FFE49EDD"/>
        </patternFill>
      </fill>
    </dxf>
    <dxf>
      <fill>
        <patternFill>
          <bgColor rgb="FFF7C7AC"/>
        </patternFill>
      </fill>
    </dxf>
    <dxf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</dxf>
    <dxf>
      <numFmt numFmtId="164" formatCode="&quot;R$&quot;\ #,##0.00"/>
      <fill>
        <patternFill patternType="solid">
          <fgColor indexed="64"/>
          <bgColor rgb="FFF2F2F2"/>
        </patternFill>
      </fill>
      <alignment horizontal="right" vertical="bottom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</dxf>
    <dxf>
      <numFmt numFmtId="19" formatCode="dd/mm/yyyy"/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</dxf>
    <dxf>
      <numFmt numFmtId="0" formatCode="General"/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solid">
          <fgColor indexed="64"/>
          <bgColor rgb="FFF2F2F2"/>
        </patternFill>
      </fill>
      <alignment horizontal="center" vertical="center" textRotation="0" wrapText="0" indent="0" justifyLastLine="0" shrinkToFit="0" readingOrder="0"/>
    </dxf>
    <dxf>
      <font>
        <b/>
        <strike val="0"/>
        <outline val="0"/>
        <shadow val="0"/>
        <u val="none"/>
        <vertAlign val="baseline"/>
        <sz val="11"/>
        <color auto="1"/>
        <name val="Aptos Narrow"/>
        <family val="2"/>
        <scheme val="minor"/>
      </font>
      <fill>
        <patternFill patternType="solid">
          <fgColor indexed="64"/>
          <bgColor rgb="FFC0E6F5"/>
        </patternFill>
      </fill>
    </dxf>
    <dxf>
      <fill>
        <patternFill>
          <bgColor rgb="FFF1F1E6"/>
        </patternFill>
      </fill>
    </dxf>
    <dxf>
      <fill>
        <patternFill>
          <bgColor rgb="FFF1F1E6"/>
        </patternFill>
      </fill>
    </dxf>
    <dxf>
      <fill>
        <patternFill>
          <bgColor theme="4"/>
        </patternFill>
      </fill>
    </dxf>
  </dxfs>
  <tableStyles count="1" defaultTableStyle="TableStyleMedium2" defaultPivotStyle="PivotStyleLight16">
    <tableStyle name="Estilo de Tabela 1" pivot="0" count="3" xr9:uid="{339BA8CE-0704-4F94-83CB-F9B09768A4ED}">
      <tableStyleElement type="headerRow" dxfId="26"/>
      <tableStyleElement type="firstRowStripe" dxfId="25"/>
      <tableStyleElement type="secondRowStripe" dxfId="24"/>
    </tableStyle>
  </tableStyles>
  <colors>
    <mruColors>
      <color rgb="FFB5E6A2"/>
      <color rgb="FFCAEDFB"/>
      <color rgb="FFF7C7AC"/>
      <color rgb="FFE49EDD"/>
      <color rgb="FF94DCF8"/>
      <color rgb="FFF2F2F2"/>
      <color rgb="FFC0E6F5"/>
      <color rgb="FFEB9928"/>
      <color rgb="FFF1F1E6"/>
      <color rgb="FF9FDA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07/relationships/slicerCache" Target="slicerCaches/slicerCache1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07/relationships/slicerCache" Target="slicerCaches/slicerCache2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11</xdr:col>
      <xdr:colOff>276225</xdr:colOff>
      <xdr:row>0</xdr:row>
      <xdr:rowOff>123825</xdr:rowOff>
    </xdr:from>
    <xdr:to>
      <xdr:col>12</xdr:col>
      <xdr:colOff>790575</xdr:colOff>
      <xdr:row>14</xdr:row>
      <xdr:rowOff>123825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3" name="Origem">
              <a:extLst>
                <a:ext uri="{FF2B5EF4-FFF2-40B4-BE49-F238E27FC236}">
                  <a16:creationId xmlns:a16="http://schemas.microsoft.com/office/drawing/2014/main" id="{824DA0F3-1D64-AD1B-397C-5A9B3B372794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Origem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49225" y="123825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  <xdr:twoCellAnchor editAs="absolute">
    <xdr:from>
      <xdr:col>11</xdr:col>
      <xdr:colOff>257175</xdr:colOff>
      <xdr:row>15</xdr:row>
      <xdr:rowOff>76200</xdr:rowOff>
    </xdr:from>
    <xdr:to>
      <xdr:col>12</xdr:col>
      <xdr:colOff>771525</xdr:colOff>
      <xdr:row>29</xdr:row>
      <xdr:rowOff>76200</xdr:rowOff>
    </xdr:to>
    <mc:AlternateContent xmlns:mc="http://schemas.openxmlformats.org/markup-compatibility/2006" xmlns:sle15="http://schemas.microsoft.com/office/drawing/2012/slicer">
      <mc:Choice Requires="sle15">
        <xdr:graphicFrame macro="">
          <xdr:nvGraphicFramePr>
            <xdr:cNvPr id="4" name="País de Destino">
              <a:extLst>
                <a:ext uri="{FF2B5EF4-FFF2-40B4-BE49-F238E27FC236}">
                  <a16:creationId xmlns:a16="http://schemas.microsoft.com/office/drawing/2014/main" id="{1236FF06-378D-964F-946A-90A3D1B0412A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País de Destino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830175" y="2933700"/>
              <a:ext cx="1828800" cy="26670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 slicer da tabela. As segmentações de dados da tabela não são suportadas nesta versão do Excel.
Se a forma tiver sido modificada em uma versão anterior do Excel, ou se a pasta de trabalho foi salva no Excel 2007 ou anterior, a segmentação de dados não pode ser usada.</a:t>
              </a:r>
            </a:p>
          </xdr:txBody>
        </xdr:sp>
      </mc:Fallback>
    </mc:AlternateContent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333375</xdr:colOff>
      <xdr:row>0</xdr:row>
      <xdr:rowOff>141514</xdr:rowOff>
    </xdr:from>
    <xdr:to>
      <xdr:col>7</xdr:col>
      <xdr:colOff>333375</xdr:colOff>
      <xdr:row>74</xdr:row>
      <xdr:rowOff>143435</xdr:rowOff>
    </xdr:to>
    <xdr:cxnSp macro="">
      <xdr:nvCxnSpPr>
        <xdr:cNvPr id="5" name="Conector reto 4">
          <a:extLst>
            <a:ext uri="{FF2B5EF4-FFF2-40B4-BE49-F238E27FC236}">
              <a16:creationId xmlns:a16="http://schemas.microsoft.com/office/drawing/2014/main" id="{92C2FF5F-286F-4E1F-B411-FEF3F64AE46C}"/>
            </a:ext>
          </a:extLst>
        </xdr:cNvPr>
        <xdr:cNvCxnSpPr/>
      </xdr:nvCxnSpPr>
      <xdr:spPr>
        <a:xfrm>
          <a:off x="6151469" y="141514"/>
          <a:ext cx="0" cy="13269686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96981</xdr:colOff>
      <xdr:row>0</xdr:row>
      <xdr:rowOff>131619</xdr:rowOff>
    </xdr:from>
    <xdr:to>
      <xdr:col>1</xdr:col>
      <xdr:colOff>439881</xdr:colOff>
      <xdr:row>2</xdr:row>
      <xdr:rowOff>100447</xdr:rowOff>
    </xdr:to>
    <xdr:sp macro="" textlink="">
      <xdr:nvSpPr>
        <xdr:cNvPr id="14" name="Elipse 13">
          <a:extLst>
            <a:ext uri="{FF2B5EF4-FFF2-40B4-BE49-F238E27FC236}">
              <a16:creationId xmlns:a16="http://schemas.microsoft.com/office/drawing/2014/main" id="{4909F8F5-FA55-4CC0-87A6-AFBC68C861DE}"/>
            </a:ext>
          </a:extLst>
        </xdr:cNvPr>
        <xdr:cNvSpPr/>
      </xdr:nvSpPr>
      <xdr:spPr>
        <a:xfrm>
          <a:off x="135081" y="131619"/>
          <a:ext cx="342900" cy="335973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1</a:t>
          </a:r>
        </a:p>
      </xdr:txBody>
    </xdr:sp>
    <xdr:clientData/>
  </xdr:twoCellAnchor>
  <xdr:twoCellAnchor>
    <xdr:from>
      <xdr:col>1</xdr:col>
      <xdr:colOff>107373</xdr:colOff>
      <xdr:row>3</xdr:row>
      <xdr:rowOff>173181</xdr:rowOff>
    </xdr:from>
    <xdr:to>
      <xdr:col>2</xdr:col>
      <xdr:colOff>6928</xdr:colOff>
      <xdr:row>5</xdr:row>
      <xdr:rowOff>142008</xdr:rowOff>
    </xdr:to>
    <xdr:sp macro="" textlink="">
      <xdr:nvSpPr>
        <xdr:cNvPr id="15" name="Elipse 14">
          <a:extLst>
            <a:ext uri="{FF2B5EF4-FFF2-40B4-BE49-F238E27FC236}">
              <a16:creationId xmlns:a16="http://schemas.microsoft.com/office/drawing/2014/main" id="{309F9ACA-C48A-4B53-AB58-8ED3693C7EEB}"/>
            </a:ext>
          </a:extLst>
        </xdr:cNvPr>
        <xdr:cNvSpPr/>
      </xdr:nvSpPr>
      <xdr:spPr>
        <a:xfrm>
          <a:off x="145473" y="723899"/>
          <a:ext cx="342900" cy="335973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2</a:t>
          </a:r>
        </a:p>
      </xdr:txBody>
    </xdr:sp>
    <xdr:clientData/>
  </xdr:twoCellAnchor>
  <xdr:twoCellAnchor>
    <xdr:from>
      <xdr:col>1</xdr:col>
      <xdr:colOff>110837</xdr:colOff>
      <xdr:row>10</xdr:row>
      <xdr:rowOff>152400</xdr:rowOff>
    </xdr:from>
    <xdr:to>
      <xdr:col>2</xdr:col>
      <xdr:colOff>10392</xdr:colOff>
      <xdr:row>12</xdr:row>
      <xdr:rowOff>121227</xdr:rowOff>
    </xdr:to>
    <xdr:sp macro="" textlink="">
      <xdr:nvSpPr>
        <xdr:cNvPr id="16" name="Elipse 15">
          <a:extLst>
            <a:ext uri="{FF2B5EF4-FFF2-40B4-BE49-F238E27FC236}">
              <a16:creationId xmlns:a16="http://schemas.microsoft.com/office/drawing/2014/main" id="{980DBC3B-AF8A-4D8E-89F7-CA48FEB72CF3}"/>
            </a:ext>
          </a:extLst>
        </xdr:cNvPr>
        <xdr:cNvSpPr/>
      </xdr:nvSpPr>
      <xdr:spPr>
        <a:xfrm>
          <a:off x="148937" y="1988127"/>
          <a:ext cx="342900" cy="335973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3</a:t>
          </a:r>
        </a:p>
      </xdr:txBody>
    </xdr:sp>
    <xdr:clientData/>
  </xdr:twoCellAnchor>
  <xdr:twoCellAnchor>
    <xdr:from>
      <xdr:col>1</xdr:col>
      <xdr:colOff>110836</xdr:colOff>
      <xdr:row>13</xdr:row>
      <xdr:rowOff>152400</xdr:rowOff>
    </xdr:from>
    <xdr:to>
      <xdr:col>2</xdr:col>
      <xdr:colOff>10391</xdr:colOff>
      <xdr:row>15</xdr:row>
      <xdr:rowOff>121227</xdr:rowOff>
    </xdr:to>
    <xdr:sp macro="" textlink="">
      <xdr:nvSpPr>
        <xdr:cNvPr id="17" name="Elipse 16">
          <a:extLst>
            <a:ext uri="{FF2B5EF4-FFF2-40B4-BE49-F238E27FC236}">
              <a16:creationId xmlns:a16="http://schemas.microsoft.com/office/drawing/2014/main" id="{AE15F8A4-41DD-4D9E-8D01-5E54FB3589A2}"/>
            </a:ext>
          </a:extLst>
        </xdr:cNvPr>
        <xdr:cNvSpPr/>
      </xdr:nvSpPr>
      <xdr:spPr>
        <a:xfrm>
          <a:off x="148936" y="2538845"/>
          <a:ext cx="342900" cy="335973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4</a:t>
          </a:r>
        </a:p>
      </xdr:txBody>
    </xdr:sp>
    <xdr:clientData/>
  </xdr:twoCellAnchor>
  <xdr:twoCellAnchor>
    <xdr:from>
      <xdr:col>1</xdr:col>
      <xdr:colOff>114300</xdr:colOff>
      <xdr:row>15</xdr:row>
      <xdr:rowOff>169719</xdr:rowOff>
    </xdr:from>
    <xdr:to>
      <xdr:col>2</xdr:col>
      <xdr:colOff>13855</xdr:colOff>
      <xdr:row>17</xdr:row>
      <xdr:rowOff>138547</xdr:rowOff>
    </xdr:to>
    <xdr:sp macro="" textlink="">
      <xdr:nvSpPr>
        <xdr:cNvPr id="18" name="Elipse 17">
          <a:extLst>
            <a:ext uri="{FF2B5EF4-FFF2-40B4-BE49-F238E27FC236}">
              <a16:creationId xmlns:a16="http://schemas.microsoft.com/office/drawing/2014/main" id="{EA9102DF-19A8-4069-8EC6-EA1A7E874154}"/>
            </a:ext>
          </a:extLst>
        </xdr:cNvPr>
        <xdr:cNvSpPr/>
      </xdr:nvSpPr>
      <xdr:spPr>
        <a:xfrm>
          <a:off x="152400" y="2923310"/>
          <a:ext cx="342900" cy="335973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5</a:t>
          </a:r>
        </a:p>
      </xdr:txBody>
    </xdr:sp>
    <xdr:clientData/>
  </xdr:twoCellAnchor>
  <xdr:twoCellAnchor>
    <xdr:from>
      <xdr:col>1</xdr:col>
      <xdr:colOff>103909</xdr:colOff>
      <xdr:row>20</xdr:row>
      <xdr:rowOff>12429</xdr:rowOff>
    </xdr:from>
    <xdr:to>
      <xdr:col>2</xdr:col>
      <xdr:colOff>3464</xdr:colOff>
      <xdr:row>21</xdr:row>
      <xdr:rowOff>164830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55C57610-C645-451B-815A-37B6B9F0C9A3}"/>
            </a:ext>
          </a:extLst>
        </xdr:cNvPr>
        <xdr:cNvSpPr/>
      </xdr:nvSpPr>
      <xdr:spPr>
        <a:xfrm>
          <a:off x="139768" y="3598311"/>
          <a:ext cx="338825" cy="331695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6</a:t>
          </a:r>
        </a:p>
      </xdr:txBody>
    </xdr:sp>
    <xdr:clientData/>
  </xdr:twoCellAnchor>
  <xdr:twoCellAnchor>
    <xdr:from>
      <xdr:col>1</xdr:col>
      <xdr:colOff>86591</xdr:colOff>
      <xdr:row>25</xdr:row>
      <xdr:rowOff>164219</xdr:rowOff>
    </xdr:from>
    <xdr:to>
      <xdr:col>1</xdr:col>
      <xdr:colOff>429491</xdr:colOff>
      <xdr:row>27</xdr:row>
      <xdr:rowOff>129461</xdr:rowOff>
    </xdr:to>
    <xdr:sp macro="" textlink="">
      <xdr:nvSpPr>
        <xdr:cNvPr id="20" name="Elipse 19">
          <a:extLst>
            <a:ext uri="{FF2B5EF4-FFF2-40B4-BE49-F238E27FC236}">
              <a16:creationId xmlns:a16="http://schemas.microsoft.com/office/drawing/2014/main" id="{8F5B03C0-B091-4044-9142-CD898A5B242A}"/>
            </a:ext>
          </a:extLst>
        </xdr:cNvPr>
        <xdr:cNvSpPr/>
      </xdr:nvSpPr>
      <xdr:spPr>
        <a:xfrm>
          <a:off x="124691" y="4736219"/>
          <a:ext cx="342900" cy="331002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7</a:t>
          </a:r>
        </a:p>
      </xdr:txBody>
    </xdr:sp>
    <xdr:clientData/>
  </xdr:twoCellAnchor>
  <xdr:twoCellAnchor>
    <xdr:from>
      <xdr:col>1</xdr:col>
      <xdr:colOff>62752</xdr:colOff>
      <xdr:row>29</xdr:row>
      <xdr:rowOff>62753</xdr:rowOff>
    </xdr:from>
    <xdr:to>
      <xdr:col>1</xdr:col>
      <xdr:colOff>405652</xdr:colOff>
      <xdr:row>31</xdr:row>
      <xdr:rowOff>31580</xdr:rowOff>
    </xdr:to>
    <xdr:sp macro="" textlink="">
      <xdr:nvSpPr>
        <xdr:cNvPr id="22" name="Elipse 21">
          <a:extLst>
            <a:ext uri="{FF2B5EF4-FFF2-40B4-BE49-F238E27FC236}">
              <a16:creationId xmlns:a16="http://schemas.microsoft.com/office/drawing/2014/main" id="{7305439F-4736-4106-8354-DEC7BEF6F76F}"/>
            </a:ext>
          </a:extLst>
        </xdr:cNvPr>
        <xdr:cNvSpPr/>
      </xdr:nvSpPr>
      <xdr:spPr>
        <a:xfrm>
          <a:off x="98611" y="5262282"/>
          <a:ext cx="342900" cy="327416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8</a:t>
          </a:r>
        </a:p>
      </xdr:txBody>
    </xdr:sp>
    <xdr:clientData/>
  </xdr:twoCellAnchor>
  <xdr:twoCellAnchor>
    <xdr:from>
      <xdr:col>1</xdr:col>
      <xdr:colOff>89646</xdr:colOff>
      <xdr:row>32</xdr:row>
      <xdr:rowOff>17929</xdr:rowOff>
    </xdr:from>
    <xdr:to>
      <xdr:col>1</xdr:col>
      <xdr:colOff>432546</xdr:colOff>
      <xdr:row>33</xdr:row>
      <xdr:rowOff>166051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2FECE1F0-50C9-401B-8529-25AD71459263}"/>
            </a:ext>
          </a:extLst>
        </xdr:cNvPr>
        <xdr:cNvSpPr/>
      </xdr:nvSpPr>
      <xdr:spPr>
        <a:xfrm>
          <a:off x="125505" y="5755341"/>
          <a:ext cx="342900" cy="327416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9</a:t>
          </a:r>
        </a:p>
      </xdr:txBody>
    </xdr:sp>
    <xdr:clientData/>
  </xdr:twoCellAnchor>
  <xdr:twoCellAnchor>
    <xdr:from>
      <xdr:col>1</xdr:col>
      <xdr:colOff>26890</xdr:colOff>
      <xdr:row>39</xdr:row>
      <xdr:rowOff>8965</xdr:rowOff>
    </xdr:from>
    <xdr:to>
      <xdr:col>2</xdr:col>
      <xdr:colOff>116539</xdr:colOff>
      <xdr:row>40</xdr:row>
      <xdr:rowOff>157087</xdr:rowOff>
    </xdr:to>
    <xdr:sp macro="" textlink="">
      <xdr:nvSpPr>
        <xdr:cNvPr id="24" name="Elipse 23">
          <a:extLst>
            <a:ext uri="{FF2B5EF4-FFF2-40B4-BE49-F238E27FC236}">
              <a16:creationId xmlns:a16="http://schemas.microsoft.com/office/drawing/2014/main" id="{866A3A7C-A277-4F7B-975C-B66CFE46CCA4}"/>
            </a:ext>
          </a:extLst>
        </xdr:cNvPr>
        <xdr:cNvSpPr/>
      </xdr:nvSpPr>
      <xdr:spPr>
        <a:xfrm>
          <a:off x="62749" y="7001436"/>
          <a:ext cx="528919" cy="327416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10</a:t>
          </a:r>
        </a:p>
      </xdr:txBody>
    </xdr:sp>
    <xdr:clientData/>
  </xdr:twoCellAnchor>
  <xdr:twoCellAnchor>
    <xdr:from>
      <xdr:col>1</xdr:col>
      <xdr:colOff>62753</xdr:colOff>
      <xdr:row>49</xdr:row>
      <xdr:rowOff>107576</xdr:rowOff>
    </xdr:from>
    <xdr:to>
      <xdr:col>1</xdr:col>
      <xdr:colOff>405653</xdr:colOff>
      <xdr:row>51</xdr:row>
      <xdr:rowOff>76404</xdr:rowOff>
    </xdr:to>
    <xdr:sp macro="" textlink="">
      <xdr:nvSpPr>
        <xdr:cNvPr id="26" name="Elipse 25">
          <a:extLst>
            <a:ext uri="{FF2B5EF4-FFF2-40B4-BE49-F238E27FC236}">
              <a16:creationId xmlns:a16="http://schemas.microsoft.com/office/drawing/2014/main" id="{ED648134-D0D1-4CEA-840E-1E69191E976F}"/>
            </a:ext>
          </a:extLst>
        </xdr:cNvPr>
        <xdr:cNvSpPr/>
      </xdr:nvSpPr>
      <xdr:spPr>
        <a:xfrm>
          <a:off x="98612" y="8892988"/>
          <a:ext cx="342900" cy="327416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1</xdr:col>
      <xdr:colOff>0</xdr:colOff>
      <xdr:row>46</xdr:row>
      <xdr:rowOff>71718</xdr:rowOff>
    </xdr:from>
    <xdr:to>
      <xdr:col>2</xdr:col>
      <xdr:colOff>89649</xdr:colOff>
      <xdr:row>48</xdr:row>
      <xdr:rowOff>40545</xdr:rowOff>
    </xdr:to>
    <xdr:sp macro="" textlink="">
      <xdr:nvSpPr>
        <xdr:cNvPr id="27" name="Elipse 26">
          <a:extLst>
            <a:ext uri="{FF2B5EF4-FFF2-40B4-BE49-F238E27FC236}">
              <a16:creationId xmlns:a16="http://schemas.microsoft.com/office/drawing/2014/main" id="{D0E0C0F0-37E2-48AE-BEC9-CBF400775893}"/>
            </a:ext>
          </a:extLst>
        </xdr:cNvPr>
        <xdr:cNvSpPr/>
      </xdr:nvSpPr>
      <xdr:spPr>
        <a:xfrm>
          <a:off x="35859" y="8319247"/>
          <a:ext cx="528919" cy="327416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11</a:t>
          </a:r>
        </a:p>
      </xdr:txBody>
    </xdr:sp>
    <xdr:clientData/>
  </xdr:twoCellAnchor>
  <xdr:twoCellAnchor>
    <xdr:from>
      <xdr:col>1</xdr:col>
      <xdr:colOff>62753</xdr:colOff>
      <xdr:row>52</xdr:row>
      <xdr:rowOff>0</xdr:rowOff>
    </xdr:from>
    <xdr:to>
      <xdr:col>2</xdr:col>
      <xdr:colOff>152402</xdr:colOff>
      <xdr:row>53</xdr:row>
      <xdr:rowOff>148122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0F87629D-9CB4-4120-9DC1-9D836B2BB319}"/>
            </a:ext>
          </a:extLst>
        </xdr:cNvPr>
        <xdr:cNvSpPr/>
      </xdr:nvSpPr>
      <xdr:spPr>
        <a:xfrm>
          <a:off x="98612" y="9323294"/>
          <a:ext cx="528919" cy="327416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12</a:t>
          </a:r>
        </a:p>
      </xdr:txBody>
    </xdr:sp>
    <xdr:clientData/>
  </xdr:twoCellAnchor>
  <xdr:twoCellAnchor>
    <xdr:from>
      <xdr:col>1</xdr:col>
      <xdr:colOff>8965</xdr:colOff>
      <xdr:row>58</xdr:row>
      <xdr:rowOff>53787</xdr:rowOff>
    </xdr:from>
    <xdr:to>
      <xdr:col>2</xdr:col>
      <xdr:colOff>98614</xdr:colOff>
      <xdr:row>60</xdr:row>
      <xdr:rowOff>22616</xdr:rowOff>
    </xdr:to>
    <xdr:sp macro="" textlink="">
      <xdr:nvSpPr>
        <xdr:cNvPr id="31" name="Elipse 30">
          <a:extLst>
            <a:ext uri="{FF2B5EF4-FFF2-40B4-BE49-F238E27FC236}">
              <a16:creationId xmlns:a16="http://schemas.microsoft.com/office/drawing/2014/main" id="{BA1C03ED-65A2-4CA0-9A36-4A811C7415CE}"/>
            </a:ext>
          </a:extLst>
        </xdr:cNvPr>
        <xdr:cNvSpPr/>
      </xdr:nvSpPr>
      <xdr:spPr>
        <a:xfrm>
          <a:off x="44824" y="10452846"/>
          <a:ext cx="528919" cy="327417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13</a:t>
          </a:r>
        </a:p>
      </xdr:txBody>
    </xdr:sp>
    <xdr:clientData/>
  </xdr:twoCellAnchor>
  <xdr:twoCellAnchor>
    <xdr:from>
      <xdr:col>1</xdr:col>
      <xdr:colOff>8965</xdr:colOff>
      <xdr:row>64</xdr:row>
      <xdr:rowOff>53787</xdr:rowOff>
    </xdr:from>
    <xdr:to>
      <xdr:col>2</xdr:col>
      <xdr:colOff>98614</xdr:colOff>
      <xdr:row>66</xdr:row>
      <xdr:rowOff>22616</xdr:rowOff>
    </xdr:to>
    <xdr:sp macro="" textlink="">
      <xdr:nvSpPr>
        <xdr:cNvPr id="33" name="Elipse 32">
          <a:extLst>
            <a:ext uri="{FF2B5EF4-FFF2-40B4-BE49-F238E27FC236}">
              <a16:creationId xmlns:a16="http://schemas.microsoft.com/office/drawing/2014/main" id="{D6D0A0F0-F3C3-478D-8798-1D9473089503}"/>
            </a:ext>
          </a:extLst>
        </xdr:cNvPr>
        <xdr:cNvSpPr/>
      </xdr:nvSpPr>
      <xdr:spPr>
        <a:xfrm>
          <a:off x="44824" y="10452846"/>
          <a:ext cx="528919" cy="327417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14</a:t>
          </a:r>
        </a:p>
      </xdr:txBody>
    </xdr:sp>
    <xdr:clientData/>
  </xdr:twoCellAnchor>
  <xdr:twoCellAnchor>
    <xdr:from>
      <xdr:col>1</xdr:col>
      <xdr:colOff>0</xdr:colOff>
      <xdr:row>70</xdr:row>
      <xdr:rowOff>0</xdr:rowOff>
    </xdr:from>
    <xdr:to>
      <xdr:col>2</xdr:col>
      <xdr:colOff>89649</xdr:colOff>
      <xdr:row>71</xdr:row>
      <xdr:rowOff>148123</xdr:rowOff>
    </xdr:to>
    <xdr:sp macro="" textlink="">
      <xdr:nvSpPr>
        <xdr:cNvPr id="34" name="Elipse 33">
          <a:extLst>
            <a:ext uri="{FF2B5EF4-FFF2-40B4-BE49-F238E27FC236}">
              <a16:creationId xmlns:a16="http://schemas.microsoft.com/office/drawing/2014/main" id="{0B10740E-84A4-41D5-9DE0-04691B84AC0A}"/>
            </a:ext>
          </a:extLst>
        </xdr:cNvPr>
        <xdr:cNvSpPr/>
      </xdr:nvSpPr>
      <xdr:spPr>
        <a:xfrm>
          <a:off x="35859" y="12550588"/>
          <a:ext cx="528919" cy="327417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15</a:t>
          </a:r>
        </a:p>
      </xdr:txBody>
    </xdr:sp>
    <xdr:clientData/>
  </xdr:twoCellAnchor>
  <xdr:twoCellAnchor>
    <xdr:from>
      <xdr:col>8</xdr:col>
      <xdr:colOff>0</xdr:colOff>
      <xdr:row>1</xdr:row>
      <xdr:rowOff>0</xdr:rowOff>
    </xdr:from>
    <xdr:to>
      <xdr:col>9</xdr:col>
      <xdr:colOff>8966</xdr:colOff>
      <xdr:row>2</xdr:row>
      <xdr:rowOff>148123</xdr:rowOff>
    </xdr:to>
    <xdr:sp macro="" textlink="">
      <xdr:nvSpPr>
        <xdr:cNvPr id="35" name="Elipse 34">
          <a:extLst>
            <a:ext uri="{FF2B5EF4-FFF2-40B4-BE49-F238E27FC236}">
              <a16:creationId xmlns:a16="http://schemas.microsoft.com/office/drawing/2014/main" id="{0470E68B-CFB7-4B8D-8EDA-8F0EFA37BE4A}"/>
            </a:ext>
          </a:extLst>
        </xdr:cNvPr>
        <xdr:cNvSpPr/>
      </xdr:nvSpPr>
      <xdr:spPr>
        <a:xfrm>
          <a:off x="6427694" y="179294"/>
          <a:ext cx="528919" cy="327417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16</a:t>
          </a:r>
        </a:p>
      </xdr:txBody>
    </xdr:sp>
    <xdr:clientData/>
  </xdr:twoCellAnchor>
  <xdr:twoCellAnchor>
    <xdr:from>
      <xdr:col>8</xdr:col>
      <xdr:colOff>0</xdr:colOff>
      <xdr:row>5</xdr:row>
      <xdr:rowOff>0</xdr:rowOff>
    </xdr:from>
    <xdr:to>
      <xdr:col>9</xdr:col>
      <xdr:colOff>8966</xdr:colOff>
      <xdr:row>6</xdr:row>
      <xdr:rowOff>148123</xdr:rowOff>
    </xdr:to>
    <xdr:sp macro="" textlink="">
      <xdr:nvSpPr>
        <xdr:cNvPr id="36" name="Elipse 35">
          <a:extLst>
            <a:ext uri="{FF2B5EF4-FFF2-40B4-BE49-F238E27FC236}">
              <a16:creationId xmlns:a16="http://schemas.microsoft.com/office/drawing/2014/main" id="{BB719D97-F3D9-4D67-B5A7-1D9E2DB13FC9}"/>
            </a:ext>
          </a:extLst>
        </xdr:cNvPr>
        <xdr:cNvSpPr/>
      </xdr:nvSpPr>
      <xdr:spPr>
        <a:xfrm>
          <a:off x="6427694" y="896471"/>
          <a:ext cx="528919" cy="327417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17</a:t>
          </a:r>
        </a:p>
      </xdr:txBody>
    </xdr:sp>
    <xdr:clientData/>
  </xdr:twoCellAnchor>
  <xdr:twoCellAnchor>
    <xdr:from>
      <xdr:col>8</xdr:col>
      <xdr:colOff>0</xdr:colOff>
      <xdr:row>10</xdr:row>
      <xdr:rowOff>0</xdr:rowOff>
    </xdr:from>
    <xdr:to>
      <xdr:col>9</xdr:col>
      <xdr:colOff>8966</xdr:colOff>
      <xdr:row>11</xdr:row>
      <xdr:rowOff>148123</xdr:rowOff>
    </xdr:to>
    <xdr:sp macro="" textlink="">
      <xdr:nvSpPr>
        <xdr:cNvPr id="37" name="Elipse 36">
          <a:extLst>
            <a:ext uri="{FF2B5EF4-FFF2-40B4-BE49-F238E27FC236}">
              <a16:creationId xmlns:a16="http://schemas.microsoft.com/office/drawing/2014/main" id="{1BF1B729-E458-4D72-A374-FE652172B6CA}"/>
            </a:ext>
          </a:extLst>
        </xdr:cNvPr>
        <xdr:cNvSpPr/>
      </xdr:nvSpPr>
      <xdr:spPr>
        <a:xfrm>
          <a:off x="6427694" y="1792941"/>
          <a:ext cx="528919" cy="327417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18</a:t>
          </a:r>
        </a:p>
      </xdr:txBody>
    </xdr:sp>
    <xdr:clientData/>
  </xdr:twoCellAnchor>
  <xdr:twoCellAnchor>
    <xdr:from>
      <xdr:col>8</xdr:col>
      <xdr:colOff>0</xdr:colOff>
      <xdr:row>23</xdr:row>
      <xdr:rowOff>0</xdr:rowOff>
    </xdr:from>
    <xdr:to>
      <xdr:col>9</xdr:col>
      <xdr:colOff>8966</xdr:colOff>
      <xdr:row>24</xdr:row>
      <xdr:rowOff>148123</xdr:rowOff>
    </xdr:to>
    <xdr:sp macro="" textlink="">
      <xdr:nvSpPr>
        <xdr:cNvPr id="38" name="Elipse 37">
          <a:extLst>
            <a:ext uri="{FF2B5EF4-FFF2-40B4-BE49-F238E27FC236}">
              <a16:creationId xmlns:a16="http://schemas.microsoft.com/office/drawing/2014/main" id="{A63A427B-1D0D-41F7-8508-4B5E299B6FC9}"/>
            </a:ext>
          </a:extLst>
        </xdr:cNvPr>
        <xdr:cNvSpPr/>
      </xdr:nvSpPr>
      <xdr:spPr>
        <a:xfrm>
          <a:off x="6427694" y="3944471"/>
          <a:ext cx="528919" cy="327417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19</a:t>
          </a:r>
        </a:p>
      </xdr:txBody>
    </xdr:sp>
    <xdr:clientData/>
  </xdr:twoCellAnchor>
  <xdr:twoCellAnchor>
    <xdr:from>
      <xdr:col>8</xdr:col>
      <xdr:colOff>0</xdr:colOff>
      <xdr:row>35</xdr:row>
      <xdr:rowOff>0</xdr:rowOff>
    </xdr:from>
    <xdr:to>
      <xdr:col>9</xdr:col>
      <xdr:colOff>8966</xdr:colOff>
      <xdr:row>36</xdr:row>
      <xdr:rowOff>148123</xdr:rowOff>
    </xdr:to>
    <xdr:sp macro="" textlink="">
      <xdr:nvSpPr>
        <xdr:cNvPr id="39" name="Elipse 38">
          <a:extLst>
            <a:ext uri="{FF2B5EF4-FFF2-40B4-BE49-F238E27FC236}">
              <a16:creationId xmlns:a16="http://schemas.microsoft.com/office/drawing/2014/main" id="{FCED4027-D12C-4891-BEE0-6C89232FF35E}"/>
            </a:ext>
          </a:extLst>
        </xdr:cNvPr>
        <xdr:cNvSpPr/>
      </xdr:nvSpPr>
      <xdr:spPr>
        <a:xfrm>
          <a:off x="6427694" y="6096000"/>
          <a:ext cx="528919" cy="327417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20</a:t>
          </a:r>
        </a:p>
      </xdr:txBody>
    </xdr:sp>
    <xdr:clientData/>
  </xdr:twoCellAnchor>
  <xdr:twoCellAnchor>
    <xdr:from>
      <xdr:col>8</xdr:col>
      <xdr:colOff>0</xdr:colOff>
      <xdr:row>44</xdr:row>
      <xdr:rowOff>0</xdr:rowOff>
    </xdr:from>
    <xdr:to>
      <xdr:col>9</xdr:col>
      <xdr:colOff>8966</xdr:colOff>
      <xdr:row>45</xdr:row>
      <xdr:rowOff>148123</xdr:rowOff>
    </xdr:to>
    <xdr:sp macro="" textlink="">
      <xdr:nvSpPr>
        <xdr:cNvPr id="40" name="Elipse 39">
          <a:extLst>
            <a:ext uri="{FF2B5EF4-FFF2-40B4-BE49-F238E27FC236}">
              <a16:creationId xmlns:a16="http://schemas.microsoft.com/office/drawing/2014/main" id="{56CB704E-4990-4357-80FF-646D112E4E2F}"/>
            </a:ext>
          </a:extLst>
        </xdr:cNvPr>
        <xdr:cNvSpPr/>
      </xdr:nvSpPr>
      <xdr:spPr>
        <a:xfrm>
          <a:off x="6427694" y="8068235"/>
          <a:ext cx="528919" cy="327417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21</a:t>
          </a:r>
        </a:p>
      </xdr:txBody>
    </xdr:sp>
    <xdr:clientData/>
  </xdr:twoCellAnchor>
  <xdr:twoCellAnchor>
    <xdr:from>
      <xdr:col>8</xdr:col>
      <xdr:colOff>0</xdr:colOff>
      <xdr:row>49</xdr:row>
      <xdr:rowOff>0</xdr:rowOff>
    </xdr:from>
    <xdr:to>
      <xdr:col>9</xdr:col>
      <xdr:colOff>8966</xdr:colOff>
      <xdr:row>50</xdr:row>
      <xdr:rowOff>148123</xdr:rowOff>
    </xdr:to>
    <xdr:sp macro="" textlink="">
      <xdr:nvSpPr>
        <xdr:cNvPr id="41" name="Elipse 40">
          <a:extLst>
            <a:ext uri="{FF2B5EF4-FFF2-40B4-BE49-F238E27FC236}">
              <a16:creationId xmlns:a16="http://schemas.microsoft.com/office/drawing/2014/main" id="{806C458F-7456-4E59-B959-1F19ADD5F12A}"/>
            </a:ext>
          </a:extLst>
        </xdr:cNvPr>
        <xdr:cNvSpPr/>
      </xdr:nvSpPr>
      <xdr:spPr>
        <a:xfrm>
          <a:off x="6427694" y="9144000"/>
          <a:ext cx="528919" cy="327417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22</a:t>
          </a:r>
        </a:p>
      </xdr:txBody>
    </xdr:sp>
    <xdr:clientData/>
  </xdr:twoCellAnchor>
  <xdr:twoCellAnchor>
    <xdr:from>
      <xdr:col>8</xdr:col>
      <xdr:colOff>0</xdr:colOff>
      <xdr:row>59</xdr:row>
      <xdr:rowOff>0</xdr:rowOff>
    </xdr:from>
    <xdr:to>
      <xdr:col>9</xdr:col>
      <xdr:colOff>8966</xdr:colOff>
      <xdr:row>60</xdr:row>
      <xdr:rowOff>148123</xdr:rowOff>
    </xdr:to>
    <xdr:sp macro="" textlink="">
      <xdr:nvSpPr>
        <xdr:cNvPr id="42" name="Elipse 41">
          <a:extLst>
            <a:ext uri="{FF2B5EF4-FFF2-40B4-BE49-F238E27FC236}">
              <a16:creationId xmlns:a16="http://schemas.microsoft.com/office/drawing/2014/main" id="{CCD96893-52B2-4F78-B40C-D901D1195A6F}"/>
            </a:ext>
          </a:extLst>
        </xdr:cNvPr>
        <xdr:cNvSpPr/>
      </xdr:nvSpPr>
      <xdr:spPr>
        <a:xfrm>
          <a:off x="6427694" y="11116235"/>
          <a:ext cx="528919" cy="327417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23</a:t>
          </a:r>
        </a:p>
      </xdr:txBody>
    </xdr:sp>
    <xdr:clientData/>
  </xdr:twoCellAnchor>
  <xdr:twoCellAnchor>
    <xdr:from>
      <xdr:col>8</xdr:col>
      <xdr:colOff>0</xdr:colOff>
      <xdr:row>67</xdr:row>
      <xdr:rowOff>0</xdr:rowOff>
    </xdr:from>
    <xdr:to>
      <xdr:col>9</xdr:col>
      <xdr:colOff>8966</xdr:colOff>
      <xdr:row>68</xdr:row>
      <xdr:rowOff>148123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9452D45C-8B6E-49D8-B740-AFDD86DBEFE6}"/>
            </a:ext>
          </a:extLst>
        </xdr:cNvPr>
        <xdr:cNvSpPr/>
      </xdr:nvSpPr>
      <xdr:spPr>
        <a:xfrm>
          <a:off x="6427694" y="8785412"/>
          <a:ext cx="528919" cy="327417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24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114300</xdr:colOff>
      <xdr:row>0</xdr:row>
      <xdr:rowOff>114300</xdr:rowOff>
    </xdr:from>
    <xdr:to>
      <xdr:col>2</xdr:col>
      <xdr:colOff>38100</xdr:colOff>
      <xdr:row>2</xdr:row>
      <xdr:rowOff>83128</xdr:rowOff>
    </xdr:to>
    <xdr:sp macro="" textlink="">
      <xdr:nvSpPr>
        <xdr:cNvPr id="2" name="Elipse 1">
          <a:extLst>
            <a:ext uri="{FF2B5EF4-FFF2-40B4-BE49-F238E27FC236}">
              <a16:creationId xmlns:a16="http://schemas.microsoft.com/office/drawing/2014/main" id="{80A014C1-27FF-4113-8D57-B552B7FB14D5}"/>
            </a:ext>
          </a:extLst>
        </xdr:cNvPr>
        <xdr:cNvSpPr/>
      </xdr:nvSpPr>
      <xdr:spPr>
        <a:xfrm>
          <a:off x="251460" y="114300"/>
          <a:ext cx="533400" cy="33458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25</a:t>
          </a:r>
        </a:p>
      </xdr:txBody>
    </xdr:sp>
    <xdr:clientData/>
  </xdr:twoCellAnchor>
  <xdr:twoCellAnchor>
    <xdr:from>
      <xdr:col>1</xdr:col>
      <xdr:colOff>106680</xdr:colOff>
      <xdr:row>3</xdr:row>
      <xdr:rowOff>121920</xdr:rowOff>
    </xdr:from>
    <xdr:to>
      <xdr:col>2</xdr:col>
      <xdr:colOff>38100</xdr:colOff>
      <xdr:row>5</xdr:row>
      <xdr:rowOff>90748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0C7E9128-CCBA-4D57-BEAB-EC56437D8BB4}"/>
            </a:ext>
          </a:extLst>
        </xdr:cNvPr>
        <xdr:cNvSpPr/>
      </xdr:nvSpPr>
      <xdr:spPr>
        <a:xfrm>
          <a:off x="243840" y="670560"/>
          <a:ext cx="541020" cy="33458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26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333375</xdr:colOff>
      <xdr:row>0</xdr:row>
      <xdr:rowOff>141514</xdr:rowOff>
    </xdr:from>
    <xdr:to>
      <xdr:col>6</xdr:col>
      <xdr:colOff>333375</xdr:colOff>
      <xdr:row>74</xdr:row>
      <xdr:rowOff>143435</xdr:rowOff>
    </xdr:to>
    <xdr:cxnSp macro="">
      <xdr:nvCxnSpPr>
        <xdr:cNvPr id="2" name="Conector reto 1">
          <a:extLst>
            <a:ext uri="{FF2B5EF4-FFF2-40B4-BE49-F238E27FC236}">
              <a16:creationId xmlns:a16="http://schemas.microsoft.com/office/drawing/2014/main" id="{E422740A-E95C-4F03-9513-031D17D83133}"/>
            </a:ext>
          </a:extLst>
        </xdr:cNvPr>
        <xdr:cNvCxnSpPr/>
      </xdr:nvCxnSpPr>
      <xdr:spPr>
        <a:xfrm>
          <a:off x="6155055" y="141514"/>
          <a:ext cx="0" cy="13535041"/>
        </a:xfrm>
        <a:prstGeom prst="lin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</xdr:cxnSp>
    <xdr:clientData/>
  </xdr:twoCellAnchor>
  <xdr:twoCellAnchor>
    <xdr:from>
      <xdr:col>1</xdr:col>
      <xdr:colOff>112220</xdr:colOff>
      <xdr:row>1</xdr:row>
      <xdr:rowOff>9699</xdr:rowOff>
    </xdr:from>
    <xdr:to>
      <xdr:col>1</xdr:col>
      <xdr:colOff>647699</xdr:colOff>
      <xdr:row>2</xdr:row>
      <xdr:rowOff>161407</xdr:rowOff>
    </xdr:to>
    <xdr:sp macro="" textlink="">
      <xdr:nvSpPr>
        <xdr:cNvPr id="3" name="Elipse 2">
          <a:extLst>
            <a:ext uri="{FF2B5EF4-FFF2-40B4-BE49-F238E27FC236}">
              <a16:creationId xmlns:a16="http://schemas.microsoft.com/office/drawing/2014/main" id="{C7C0688B-2AF9-40C7-81A3-5E6C3472D336}"/>
            </a:ext>
          </a:extLst>
        </xdr:cNvPr>
        <xdr:cNvSpPr/>
      </xdr:nvSpPr>
      <xdr:spPr>
        <a:xfrm>
          <a:off x="150320" y="192579"/>
          <a:ext cx="535479" cy="33458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27</a:t>
          </a:r>
        </a:p>
      </xdr:txBody>
    </xdr:sp>
    <xdr:clientData/>
  </xdr:twoCellAnchor>
  <xdr:twoCellAnchor>
    <xdr:from>
      <xdr:col>1</xdr:col>
      <xdr:colOff>62753</xdr:colOff>
      <xdr:row>49</xdr:row>
      <xdr:rowOff>107576</xdr:rowOff>
    </xdr:from>
    <xdr:to>
      <xdr:col>1</xdr:col>
      <xdr:colOff>405653</xdr:colOff>
      <xdr:row>51</xdr:row>
      <xdr:rowOff>76404</xdr:rowOff>
    </xdr:to>
    <xdr:sp macro="" textlink="">
      <xdr:nvSpPr>
        <xdr:cNvPr id="13" name="Elipse 12">
          <a:extLst>
            <a:ext uri="{FF2B5EF4-FFF2-40B4-BE49-F238E27FC236}">
              <a16:creationId xmlns:a16="http://schemas.microsoft.com/office/drawing/2014/main" id="{17090BA4-93B6-4DF4-838F-42FF5005031D}"/>
            </a:ext>
          </a:extLst>
        </xdr:cNvPr>
        <xdr:cNvSpPr/>
      </xdr:nvSpPr>
      <xdr:spPr>
        <a:xfrm>
          <a:off x="100853" y="9068696"/>
          <a:ext cx="342900" cy="33458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endParaRPr lang="pt-BR" sz="1400" b="1">
            <a:solidFill>
              <a:schemeClr val="tx1"/>
            </a:solidFill>
          </a:endParaRPr>
        </a:p>
      </xdr:txBody>
    </xdr:sp>
    <xdr:clientData/>
  </xdr:twoCellAnchor>
  <xdr:twoCellAnchor>
    <xdr:from>
      <xdr:col>7</xdr:col>
      <xdr:colOff>0</xdr:colOff>
      <xdr:row>1</xdr:row>
      <xdr:rowOff>0</xdr:rowOff>
    </xdr:from>
    <xdr:to>
      <xdr:col>8</xdr:col>
      <xdr:colOff>8966</xdr:colOff>
      <xdr:row>2</xdr:row>
      <xdr:rowOff>148123</xdr:rowOff>
    </xdr:to>
    <xdr:sp macro="" textlink="">
      <xdr:nvSpPr>
        <xdr:cNvPr id="19" name="Elipse 18">
          <a:extLst>
            <a:ext uri="{FF2B5EF4-FFF2-40B4-BE49-F238E27FC236}">
              <a16:creationId xmlns:a16="http://schemas.microsoft.com/office/drawing/2014/main" id="{DDA768A3-C687-4E4A-95C3-AC371738C713}"/>
            </a:ext>
          </a:extLst>
        </xdr:cNvPr>
        <xdr:cNvSpPr/>
      </xdr:nvSpPr>
      <xdr:spPr>
        <a:xfrm>
          <a:off x="6431280" y="182880"/>
          <a:ext cx="527126" cy="331003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29</a:t>
          </a:r>
        </a:p>
      </xdr:txBody>
    </xdr:sp>
    <xdr:clientData/>
  </xdr:twoCellAnchor>
  <xdr:twoCellAnchor>
    <xdr:from>
      <xdr:col>7</xdr:col>
      <xdr:colOff>0</xdr:colOff>
      <xdr:row>13</xdr:row>
      <xdr:rowOff>30480</xdr:rowOff>
    </xdr:from>
    <xdr:to>
      <xdr:col>8</xdr:col>
      <xdr:colOff>8966</xdr:colOff>
      <xdr:row>14</xdr:row>
      <xdr:rowOff>178603</xdr:rowOff>
    </xdr:to>
    <xdr:sp macro="" textlink="">
      <xdr:nvSpPr>
        <xdr:cNvPr id="21" name="Elipse 20">
          <a:extLst>
            <a:ext uri="{FF2B5EF4-FFF2-40B4-BE49-F238E27FC236}">
              <a16:creationId xmlns:a16="http://schemas.microsoft.com/office/drawing/2014/main" id="{DD8CCDB2-CAB1-4F4F-B426-1B92AA05453A}"/>
            </a:ext>
          </a:extLst>
        </xdr:cNvPr>
        <xdr:cNvSpPr/>
      </xdr:nvSpPr>
      <xdr:spPr>
        <a:xfrm>
          <a:off x="6286500" y="2407920"/>
          <a:ext cx="527126" cy="331003"/>
        </a:xfrm>
        <a:prstGeom prst="ellipse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30</a:t>
          </a:r>
        </a:p>
      </xdr:txBody>
    </xdr:sp>
    <xdr:clientData/>
  </xdr:twoCellAnchor>
  <xdr:twoCellAnchor>
    <xdr:from>
      <xdr:col>1</xdr:col>
      <xdr:colOff>104600</xdr:colOff>
      <xdr:row>11</xdr:row>
      <xdr:rowOff>40179</xdr:rowOff>
    </xdr:from>
    <xdr:to>
      <xdr:col>1</xdr:col>
      <xdr:colOff>640079</xdr:colOff>
      <xdr:row>13</xdr:row>
      <xdr:rowOff>9007</xdr:rowOff>
    </xdr:to>
    <xdr:sp macro="" textlink="">
      <xdr:nvSpPr>
        <xdr:cNvPr id="28" name="Elipse 27">
          <a:extLst>
            <a:ext uri="{FF2B5EF4-FFF2-40B4-BE49-F238E27FC236}">
              <a16:creationId xmlns:a16="http://schemas.microsoft.com/office/drawing/2014/main" id="{D950DDC4-A6D0-4765-9DB7-CDEEB29CD0AB}"/>
            </a:ext>
          </a:extLst>
        </xdr:cNvPr>
        <xdr:cNvSpPr/>
      </xdr:nvSpPr>
      <xdr:spPr>
        <a:xfrm>
          <a:off x="142700" y="2051859"/>
          <a:ext cx="535479" cy="334588"/>
        </a:xfrm>
        <a:prstGeom prst="ellipse">
          <a:avLst/>
        </a:prstGeom>
        <a:solidFill>
          <a:schemeClr val="bg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400" b="1">
              <a:solidFill>
                <a:schemeClr val="tx1"/>
              </a:solidFill>
            </a:rPr>
            <a:t>28</a:t>
          </a:r>
        </a:p>
      </xdr:txBody>
    </xdr:sp>
    <xdr:clientData/>
  </xdr:twoCellAnchor>
</xdr:wsDr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Origem" xr10:uid="{A5960CE8-1F88-4DFD-AD22-94D2036C6EDC}" sourceName="Origem">
  <extLst>
    <x:ext xmlns:x15="http://schemas.microsoft.com/office/spreadsheetml/2010/11/main" uri="{2F2917AC-EB37-4324-AD4E-5DD8C200BD13}">
      <x15:tableSlicerCache tableId="1" column="3"/>
    </x:ext>
  </extLst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País_de_Destino" xr10:uid="{0734359D-B514-4BA6-99FF-D4439488488D}" sourceName="País de Destino">
  <extLst>
    <x:ext xmlns:x15="http://schemas.microsoft.com/office/spreadsheetml/2010/11/main" uri="{2F2917AC-EB37-4324-AD4E-5DD8C200BD13}">
      <x15:tableSlicerCache tableId="1" column="6"/>
    </x:ext>
  </extLst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Origem" xr10:uid="{BEAC2EF4-9BAF-440B-AADF-268D3ACB0F2C}" cache="SegmentaçãodeDados_Origem" caption="Origem" rowHeight="257175"/>
  <slicer name="País de Destino" xr10:uid="{D903EF6F-2C20-4D13-B3F9-7E404610F498}" cache="SegmentaçãodeDados_País_de_Destino" caption="País de Destino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6CB4E6E-B659-4627-B7E7-4A3F8F6D911F}" name="Tabela1" displayName="Tabela1" ref="A1:K3856" totalsRowShown="0" headerRowDxfId="23" dataDxfId="22" tableBorderDxfId="21">
  <autoFilter ref="A1:K3856" xr:uid="{46CB4E6E-B659-4627-B7E7-4A3F8F6D911F}"/>
  <sortState xmlns:xlrd2="http://schemas.microsoft.com/office/spreadsheetml/2017/richdata2" ref="A2:K3856">
    <sortCondition ref="F1:F3856"/>
  </sortState>
  <tableColumns count="11">
    <tableColumn id="1" xr3:uid="{9A377CC8-85C2-4CF9-AF07-24346FAC2350}" name="Descrição" dataDxfId="20"/>
    <tableColumn id="2" xr3:uid="{F880DE24-A90A-4563-B864-F33199981B68}" name="Código" dataDxfId="19"/>
    <tableColumn id="3" xr3:uid="{07214DA4-0F34-4C84-93E3-7517B27EA8D8}" name="Origem" dataDxfId="18"/>
    <tableColumn id="12" xr3:uid="{4A1FBA83-53B2-4D93-9BA5-0EF60A1DEEE2}" name="Região" dataDxfId="17">
      <calculatedColumnFormula>VLOOKUP(Tabela1[[#This Row],[Origem]], 'Perguntas 1 a 24'!$J$28:$K$34, 2, 0)</calculatedColumnFormula>
    </tableColumn>
    <tableColumn id="10" xr3:uid="{0EDFCD60-6E32-4580-BAE5-994CDC984D96}" name="Chave do Produto" dataDxfId="16">
      <calculatedColumnFormula>Tabela1[[#This Row],[Descrição]]&amp;"-"&amp;Tabela1[[#This Row],[Código]]&amp;"/"&amp;Tabela1[[#This Row],[Origem]]</calculatedColumnFormula>
    </tableColumn>
    <tableColumn id="4" xr3:uid="{ADE41841-45A6-43B3-9CAD-2F37FB156392}" name="Data de Validade" dataDxfId="15"/>
    <tableColumn id="13" xr3:uid="{A6246E76-EBAB-4537-A55A-5105A7C4E4EE}" name="Urgência de Envio de Produtos" dataDxfId="14">
      <calculatedColumnFormula array="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AND(F2&gt;= DATE(2026,1,1), F2&lt;= DATE(2028, 12, 31), J2&gt;50000), "Pendente e Caro", AND(F2&gt;= DATE(2026,1,1), F2&lt;= DATE(2028, 12, 31), J2&lt;=50000), "Pendente", F2&gt;= DATE(2029,1,1), "Não prioeitário")</calculatedColumnFormula>
    </tableColumn>
    <tableColumn id="8" xr3:uid="{5A2EA0E3-E953-482A-ACD8-080631AD1FE0}" name="Ano" dataDxfId="13">
      <calculatedColumnFormula>YEAR(Tabela1[[#This Row],[Data de Validade]])</calculatedColumnFormula>
    </tableColumn>
    <tableColumn id="9" xr3:uid="{B5183EF1-8B5E-4C07-915F-2DF94312864E}" name="Mês" dataDxfId="12">
      <calculatedColumnFormula>MONTH(Tabela1[[#This Row],[Data de Validade]])</calculatedColumnFormula>
    </tableColumn>
    <tableColumn id="5" xr3:uid="{2E6421CB-3F70-4BE2-A8FE-E3144CE56922}" name="Custo de Produção" dataDxfId="11"/>
    <tableColumn id="6" xr3:uid="{9AF36B8F-DBB2-4A99-8A9C-2337DE30D5BA}" name="País de Destino" dataDxfId="10"/>
  </tableColumns>
  <tableStyleInfo name="Estilo de Tabela 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1942A3-CEED-4C71-84C1-F3066409A6CA}">
  <dimension ref="A2:W23"/>
  <sheetViews>
    <sheetView showGridLines="0" workbookViewId="0"/>
  </sheetViews>
  <sheetFormatPr defaultRowHeight="15" x14ac:dyDescent="0.25"/>
  <cols>
    <col min="1" max="1" width="8.85546875" customWidth="1"/>
  </cols>
  <sheetData>
    <row r="2" spans="1:23" x14ac:dyDescent="0.25">
      <c r="A2" s="22" t="s">
        <v>72</v>
      </c>
      <c r="B2" t="s">
        <v>113</v>
      </c>
    </row>
    <row r="3" spans="1:23" ht="9" customHeight="1" x14ac:dyDescent="0.25"/>
    <row r="4" spans="1:23" x14ac:dyDescent="0.25">
      <c r="B4" t="s">
        <v>57</v>
      </c>
    </row>
    <row r="5" spans="1:23" x14ac:dyDescent="0.25">
      <c r="B5" t="s">
        <v>58</v>
      </c>
    </row>
    <row r="6" spans="1:23" x14ac:dyDescent="0.25">
      <c r="B6" t="s">
        <v>59</v>
      </c>
    </row>
    <row r="7" spans="1:23" x14ac:dyDescent="0.25">
      <c r="B7" t="s">
        <v>60</v>
      </c>
    </row>
    <row r="8" spans="1:23" x14ac:dyDescent="0.25">
      <c r="B8" t="s">
        <v>61</v>
      </c>
    </row>
    <row r="9" spans="1:23" x14ac:dyDescent="0.25">
      <c r="B9" t="s">
        <v>62</v>
      </c>
    </row>
    <row r="10" spans="1:23" x14ac:dyDescent="0.25">
      <c r="B10" t="s">
        <v>63</v>
      </c>
    </row>
    <row r="11" spans="1:23" ht="9" customHeight="1" x14ac:dyDescent="0.25"/>
    <row r="12" spans="1:23" x14ac:dyDescent="0.25">
      <c r="A12" s="22" t="s">
        <v>72</v>
      </c>
      <c r="B12" t="s">
        <v>64</v>
      </c>
    </row>
    <row r="13" spans="1:23" ht="9" customHeight="1" x14ac:dyDescent="0.25"/>
    <row r="14" spans="1:23" x14ac:dyDescent="0.25">
      <c r="A14" s="22" t="s">
        <v>72</v>
      </c>
      <c r="B14" t="s">
        <v>3660</v>
      </c>
    </row>
    <row r="15" spans="1:23" x14ac:dyDescent="0.25">
      <c r="B15" s="131" t="s">
        <v>3659</v>
      </c>
      <c r="C15" s="131"/>
      <c r="D15" s="131"/>
      <c r="E15" s="131"/>
      <c r="F15" s="131"/>
      <c r="G15" s="131"/>
      <c r="H15" s="131"/>
      <c r="I15" s="131"/>
      <c r="J15" s="131"/>
      <c r="K15" s="131"/>
      <c r="L15" s="131"/>
      <c r="M15" s="131"/>
      <c r="N15" s="131"/>
      <c r="O15" s="131"/>
      <c r="P15" s="131"/>
      <c r="Q15" s="131"/>
      <c r="R15" s="131"/>
      <c r="S15" s="131"/>
      <c r="T15" s="131"/>
      <c r="U15" s="131"/>
      <c r="V15" s="131"/>
      <c r="W15" s="131"/>
    </row>
    <row r="16" spans="1:23" x14ac:dyDescent="0.25">
      <c r="B16" s="131"/>
      <c r="C16" s="131"/>
      <c r="D16" s="131"/>
      <c r="E16" s="131"/>
      <c r="F16" s="131"/>
      <c r="G16" s="131"/>
      <c r="H16" s="131"/>
      <c r="I16" s="131"/>
      <c r="J16" s="131"/>
      <c r="K16" s="131"/>
      <c r="L16" s="131"/>
      <c r="M16" s="131"/>
      <c r="N16" s="131"/>
      <c r="O16" s="131"/>
      <c r="P16" s="131"/>
      <c r="Q16" s="131"/>
      <c r="R16" s="131"/>
      <c r="S16" s="131"/>
      <c r="T16" s="131"/>
      <c r="U16" s="131"/>
      <c r="V16" s="131"/>
      <c r="W16" s="131"/>
    </row>
    <row r="17" spans="1:23" ht="9" customHeight="1" x14ac:dyDescent="0.25">
      <c r="B17" s="13"/>
      <c r="C17" s="13"/>
      <c r="D17" s="13"/>
      <c r="E17" s="13"/>
      <c r="F17" s="13"/>
      <c r="G17" s="13"/>
      <c r="H17" s="13"/>
      <c r="I17" s="13"/>
      <c r="J17" s="13"/>
      <c r="K17" s="13"/>
      <c r="L17" s="13"/>
      <c r="M17" s="13"/>
      <c r="N17" s="13"/>
      <c r="O17" s="13"/>
      <c r="P17" s="13"/>
      <c r="Q17" s="13"/>
      <c r="R17" s="13"/>
      <c r="S17" s="13"/>
      <c r="T17" s="13"/>
      <c r="U17" s="13"/>
      <c r="V17" s="13"/>
      <c r="W17" s="13"/>
    </row>
    <row r="18" spans="1:23" x14ac:dyDescent="0.25">
      <c r="A18" s="22" t="s">
        <v>72</v>
      </c>
      <c r="B18" s="131" t="s">
        <v>70</v>
      </c>
      <c r="C18" s="131"/>
      <c r="D18" s="131"/>
      <c r="E18" s="131"/>
      <c r="F18" s="131"/>
      <c r="G18" s="131"/>
      <c r="H18" s="131"/>
      <c r="I18" s="131"/>
      <c r="J18" s="131"/>
      <c r="K18" s="131"/>
      <c r="L18" s="131"/>
      <c r="M18" s="131"/>
      <c r="N18" s="131"/>
      <c r="O18" s="131"/>
      <c r="P18" s="131"/>
      <c r="Q18" s="131"/>
      <c r="R18" s="131"/>
      <c r="S18" s="131"/>
      <c r="T18" s="131"/>
      <c r="U18" s="131"/>
      <c r="V18" s="131"/>
      <c r="W18" s="131"/>
    </row>
    <row r="19" spans="1:23" ht="9" customHeight="1" x14ac:dyDescent="0.25">
      <c r="B19" s="13"/>
      <c r="C19" s="13"/>
      <c r="D19" s="13"/>
      <c r="E19" s="13"/>
      <c r="F19" s="13"/>
      <c r="G19" s="1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</row>
    <row r="20" spans="1:23" ht="14.45" customHeight="1" x14ac:dyDescent="0.25">
      <c r="A20" s="22" t="s">
        <v>72</v>
      </c>
      <c r="B20" s="131" t="s">
        <v>71</v>
      </c>
      <c r="C20" s="131"/>
      <c r="D20" s="131"/>
      <c r="E20" s="131"/>
      <c r="F20" s="131"/>
      <c r="G20" s="131"/>
      <c r="H20" s="131"/>
      <c r="I20" s="131"/>
      <c r="J20" s="131"/>
      <c r="K20" s="131"/>
      <c r="L20" s="131"/>
      <c r="M20" s="131"/>
      <c r="N20" s="131"/>
      <c r="O20" s="131"/>
      <c r="P20" s="131"/>
      <c r="Q20" s="131"/>
      <c r="R20" s="131"/>
      <c r="S20" s="131"/>
      <c r="T20" s="131"/>
      <c r="U20" s="131"/>
      <c r="V20" s="131"/>
      <c r="W20" s="131"/>
    </row>
    <row r="21" spans="1:23" x14ac:dyDescent="0.25">
      <c r="B21" s="131"/>
      <c r="C21" s="131"/>
      <c r="D21" s="131"/>
      <c r="E21" s="131"/>
      <c r="F21" s="131"/>
      <c r="G21" s="131"/>
      <c r="H21" s="131"/>
      <c r="I21" s="131"/>
      <c r="J21" s="131"/>
      <c r="K21" s="131"/>
      <c r="L21" s="131"/>
      <c r="M21" s="131"/>
      <c r="N21" s="131"/>
      <c r="O21" s="131"/>
      <c r="P21" s="131"/>
      <c r="Q21" s="131"/>
      <c r="R21" s="131"/>
      <c r="S21" s="131"/>
      <c r="T21" s="131"/>
      <c r="U21" s="131"/>
      <c r="V21" s="131"/>
      <c r="W21" s="131"/>
    </row>
    <row r="22" spans="1:23" ht="9" customHeight="1" x14ac:dyDescent="0.25">
      <c r="B22" s="13"/>
      <c r="C22" s="13"/>
      <c r="D22" s="13"/>
      <c r="E22" s="13"/>
      <c r="F22" s="13"/>
      <c r="G22" s="13"/>
      <c r="H22" s="13"/>
      <c r="I22" s="13"/>
      <c r="J22" s="13"/>
      <c r="K22" s="13"/>
      <c r="L22" s="13"/>
      <c r="M22" s="13"/>
      <c r="N22" s="13"/>
      <c r="O22" s="13"/>
      <c r="P22" s="13"/>
      <c r="Q22" s="13"/>
      <c r="R22" s="13"/>
      <c r="S22" s="13"/>
      <c r="T22" s="13"/>
      <c r="U22" s="13"/>
      <c r="V22" s="13"/>
      <c r="W22" s="13"/>
    </row>
    <row r="23" spans="1:23" x14ac:dyDescent="0.25">
      <c r="A23" s="22" t="s">
        <v>72</v>
      </c>
      <c r="B23" t="s">
        <v>69</v>
      </c>
    </row>
  </sheetData>
  <mergeCells count="3">
    <mergeCell ref="B15:W16"/>
    <mergeCell ref="B18:W18"/>
    <mergeCell ref="B20:W21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AACDA-4FDC-4DB6-BF1C-1E02A01F8F24}">
  <dimension ref="A1:AB3857"/>
  <sheetViews>
    <sheetView showGridLines="0" workbookViewId="0">
      <selection activeCell="G6" sqref="G6"/>
    </sheetView>
  </sheetViews>
  <sheetFormatPr defaultRowHeight="15" x14ac:dyDescent="0.25"/>
  <cols>
    <col min="1" max="1" width="14.5703125" style="82" bestFit="1" customWidth="1"/>
    <col min="2" max="2" width="12" style="84" bestFit="1" customWidth="1"/>
    <col min="3" max="3" width="12.140625" style="84" bestFit="1" customWidth="1"/>
    <col min="4" max="4" width="12.42578125" style="84" bestFit="1" customWidth="1"/>
    <col min="5" max="5" width="27" style="84" bestFit="1" customWidth="1"/>
    <col min="6" max="6" width="18.42578125" style="1" bestFit="1" customWidth="1"/>
    <col min="7" max="7" width="31.140625" style="1" bestFit="1" customWidth="1"/>
    <col min="8" max="8" width="9" style="81" bestFit="1" customWidth="1"/>
    <col min="9" max="9" width="9.28515625" style="81" bestFit="1" customWidth="1"/>
    <col min="10" max="10" width="22.85546875" style="102" bestFit="1" customWidth="1"/>
    <col min="11" max="11" width="19.7109375" style="84" bestFit="1" customWidth="1"/>
    <col min="12" max="16" width="19.7109375" style="109" customWidth="1"/>
    <col min="17" max="17" width="18.42578125" style="84" customWidth="1"/>
    <col min="18" max="18" width="33" customWidth="1"/>
    <col min="19" max="19" width="40.140625" customWidth="1"/>
    <col min="20" max="20" width="23.5703125" bestFit="1" customWidth="1"/>
    <col min="21" max="21" width="21.5703125" bestFit="1" customWidth="1"/>
    <col min="22" max="22" width="21.140625" bestFit="1" customWidth="1"/>
    <col min="23" max="23" width="9.85546875" bestFit="1" customWidth="1"/>
    <col min="24" max="24" width="10.140625" bestFit="1" customWidth="1"/>
    <col min="25" max="25" width="9.140625" bestFit="1" customWidth="1"/>
  </cols>
  <sheetData>
    <row r="1" spans="1:28" x14ac:dyDescent="0.25">
      <c r="A1" s="103" t="s">
        <v>0</v>
      </c>
      <c r="B1" s="104" t="s">
        <v>1</v>
      </c>
      <c r="C1" s="104" t="s">
        <v>2</v>
      </c>
      <c r="D1" s="104" t="s">
        <v>24</v>
      </c>
      <c r="E1" s="104" t="s">
        <v>11342</v>
      </c>
      <c r="F1" s="105" t="s">
        <v>3</v>
      </c>
      <c r="G1" s="105" t="s">
        <v>11344</v>
      </c>
      <c r="H1" s="103" t="s">
        <v>11340</v>
      </c>
      <c r="I1" s="103" t="s">
        <v>11341</v>
      </c>
      <c r="J1" s="106" t="s">
        <v>4</v>
      </c>
      <c r="K1" s="104" t="s">
        <v>5</v>
      </c>
      <c r="L1" s="107"/>
      <c r="M1" s="107"/>
      <c r="N1" s="113" t="str" cm="1">
        <f t="array" ref="N1:N3844">_xlfn.UNIQUE(B:B)</f>
        <v>Código</v>
      </c>
      <c r="O1" s="113" t="s">
        <v>11345</v>
      </c>
      <c r="P1" s="107"/>
      <c r="Q1" s="83"/>
      <c r="R1" s="132" t="s">
        <v>11347</v>
      </c>
      <c r="S1" s="132"/>
      <c r="U1" s="132" t="s">
        <v>11343</v>
      </c>
      <c r="V1" s="132"/>
      <c r="W1" s="132"/>
      <c r="X1" s="132"/>
      <c r="Y1" s="132"/>
    </row>
    <row r="2" spans="1:28" x14ac:dyDescent="0.25">
      <c r="A2" s="89" t="s">
        <v>6296</v>
      </c>
      <c r="B2" s="87" t="s">
        <v>6297</v>
      </c>
      <c r="C2" s="87" t="s">
        <v>15</v>
      </c>
      <c r="D2" s="87" t="str">
        <f>VLOOKUP(Tabela1[[#This Row],[Origem]], 'Perguntas 1 a 24'!$J$28:$K$34, 2, 0)</f>
        <v>Sudeste</v>
      </c>
      <c r="E2" s="87" t="str">
        <f>Tabela1[[#This Row],[Descrição]]&amp;"-"&amp;Tabela1[[#This Row],[Código]]&amp;"/"&amp;Tabela1[[#This Row],[Origem]]</f>
        <v>Pacofapipe-H574P162/ES</v>
      </c>
      <c r="F2" s="88">
        <v>45425</v>
      </c>
      <c r="G2" s="88" t="str" cm="1">
        <f t="array" ref="G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AND(F2&gt;= DATE(2026,1,1), F2&lt;= DATE(2028, 12, 31), J2&gt;50000), "Pendente e Caro", AND(F2&gt;= DATE(2026,1,1), F2&lt;= DATE(2028, 12, 31), J2&lt;=50000), "Pendente", F2&gt;= DATE(2029,1,1), "Não prioeitário")</f>
        <v>Urgente e Caro</v>
      </c>
      <c r="H2" s="89">
        <f>YEAR(Tabela1[[#This Row],[Data de Validade]])</f>
        <v>2024</v>
      </c>
      <c r="I2" s="89">
        <f>MONTH(Tabela1[[#This Row],[Data de Validade]])</f>
        <v>5</v>
      </c>
      <c r="J2" s="101">
        <v>111076</v>
      </c>
      <c r="K2" s="87" t="s">
        <v>7</v>
      </c>
      <c r="L2" s="108"/>
      <c r="M2" s="108"/>
      <c r="N2" s="108" t="str">
        <v>H574P162</v>
      </c>
      <c r="O2" s="108">
        <f>COUNTIFS(B:B,N2)</f>
        <v>1</v>
      </c>
      <c r="P2" s="108"/>
      <c r="Q2"/>
      <c r="R2" s="91" t="s">
        <v>11339</v>
      </c>
      <c r="S2" s="91" t="s">
        <v>7</v>
      </c>
      <c r="T2" s="84"/>
      <c r="U2" s="90" t="s">
        <v>43</v>
      </c>
      <c r="V2" s="90" t="s">
        <v>44</v>
      </c>
      <c r="W2" s="90" t="s">
        <v>45</v>
      </c>
      <c r="X2" s="90" t="s">
        <v>46</v>
      </c>
      <c r="Y2" s="90" t="s">
        <v>47</v>
      </c>
    </row>
    <row r="3" spans="1:28" x14ac:dyDescent="0.25">
      <c r="A3" s="89" t="s">
        <v>6004</v>
      </c>
      <c r="B3" s="87" t="s">
        <v>6005</v>
      </c>
      <c r="C3" s="87" t="s">
        <v>13</v>
      </c>
      <c r="D3" s="87" t="str">
        <f>VLOOKUP(Tabela1[[#This Row],[Origem]], 'Perguntas 1 a 24'!$J$28:$K$34, 2, 0)</f>
        <v>Sudeste</v>
      </c>
      <c r="E3" s="87" t="str">
        <f>Tabela1[[#This Row],[Descrição]]&amp;"-"&amp;Tabela1[[#This Row],[Código]]&amp;"/"&amp;Tabela1[[#This Row],[Origem]]</f>
        <v>Nolifepa-H735H276/SP</v>
      </c>
      <c r="F3" s="88">
        <v>45425</v>
      </c>
      <c r="G3" s="88" t="str" cm="1">
        <f t="array" ref="G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AND(F3&gt;= DATE(2026,1,1), F3&lt;= DATE(2028, 12, 31), J3&gt;50000), "Pendente e Caro", AND(F3&gt;= DATE(2026,1,1), F3&lt;= DATE(2028, 12, 31), J3&lt;=50000), "Pendente", F3&gt;= DATE(2029,1,1), "Não prioeitário")</f>
        <v>Urgente e Caro</v>
      </c>
      <c r="H3" s="89">
        <f>YEAR(Tabela1[[#This Row],[Data de Validade]])</f>
        <v>2024</v>
      </c>
      <c r="I3" s="89">
        <f>MONTH(Tabela1[[#This Row],[Data de Validade]])</f>
        <v>5</v>
      </c>
      <c r="J3" s="101">
        <v>107568</v>
      </c>
      <c r="K3" s="87" t="s">
        <v>7</v>
      </c>
      <c r="L3" s="108"/>
      <c r="M3" s="108"/>
      <c r="N3" s="108" t="str">
        <v>H735H276</v>
      </c>
      <c r="O3" s="108">
        <f t="shared" ref="O3:O66" si="0">COUNTIFS(B:B,N3)</f>
        <v>1</v>
      </c>
      <c r="P3" s="108"/>
      <c r="Q3"/>
      <c r="R3" s="91" t="s">
        <v>11340</v>
      </c>
      <c r="S3" s="115">
        <v>2028</v>
      </c>
      <c r="T3" s="84"/>
      <c r="U3" s="91">
        <f>SUMIFS(J:J, K:K, S2, H:H, S3)</f>
        <v>9841767</v>
      </c>
      <c r="V3" s="91">
        <f>AVERAGEIFS(J:J, K:K, S2)</f>
        <v>69997.152400835068</v>
      </c>
      <c r="W3" s="90">
        <f>COUNTIFS(K:K, S2)</f>
        <v>958</v>
      </c>
      <c r="X3" s="91">
        <f>_xlfn.MAXIFS(J:J, K:K, S2)</f>
        <v>119595</v>
      </c>
      <c r="Y3" s="91">
        <f>_xlfn.MINIFS(J:J, K:K, S2)</f>
        <v>20081</v>
      </c>
    </row>
    <row r="4" spans="1:28" x14ac:dyDescent="0.25">
      <c r="A4" s="89" t="s">
        <v>7384</v>
      </c>
      <c r="B4" s="87" t="s">
        <v>7385</v>
      </c>
      <c r="C4" s="87" t="s">
        <v>16</v>
      </c>
      <c r="D4" s="87" t="str">
        <f>VLOOKUP(Tabela1[[#This Row],[Origem]], 'Perguntas 1 a 24'!$J$28:$K$34, 2, 0)</f>
        <v>Sudeste</v>
      </c>
      <c r="E4" s="87" t="str">
        <f>Tabela1[[#This Row],[Descrição]]&amp;"-"&amp;Tabela1[[#This Row],[Código]]&amp;"/"&amp;Tabela1[[#This Row],[Origem]]</f>
        <v>Rapopa-H538H378/MG</v>
      </c>
      <c r="F4" s="88">
        <v>45425</v>
      </c>
      <c r="G4" s="88" t="str" cm="1">
        <f t="array" ref="G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AND(F4&gt;= DATE(2026,1,1), F4&lt;= DATE(2028, 12, 31), J4&gt;50000), "Pendente e Caro", AND(F4&gt;= DATE(2026,1,1), F4&lt;= DATE(2028, 12, 31), J4&lt;=50000), "Pendente", F4&gt;= DATE(2029,1,1), "Não prioeitário")</f>
        <v>Urgente e Caro</v>
      </c>
      <c r="H4" s="89">
        <f>YEAR(Tabela1[[#This Row],[Data de Validade]])</f>
        <v>2024</v>
      </c>
      <c r="I4" s="89">
        <f>MONTH(Tabela1[[#This Row],[Data de Validade]])</f>
        <v>5</v>
      </c>
      <c r="J4" s="101">
        <v>86399</v>
      </c>
      <c r="K4" s="87" t="s">
        <v>9</v>
      </c>
      <c r="L4" s="108"/>
      <c r="M4" s="108"/>
      <c r="N4" s="108" t="str">
        <v>H538H378</v>
      </c>
      <c r="O4" s="108">
        <f t="shared" si="0"/>
        <v>1</v>
      </c>
      <c r="P4" s="108"/>
      <c r="Q4"/>
      <c r="R4" s="91" t="s">
        <v>4</v>
      </c>
      <c r="S4" s="91">
        <f>SUMIFS(J:J,K:K,S2, H:H, S3)</f>
        <v>9841767</v>
      </c>
      <c r="T4" s="84"/>
      <c r="U4" s="84"/>
      <c r="V4" s="84"/>
      <c r="W4" s="84"/>
      <c r="X4" s="84"/>
      <c r="Y4" s="84"/>
    </row>
    <row r="5" spans="1:28" x14ac:dyDescent="0.25">
      <c r="A5" s="89" t="s">
        <v>9615</v>
      </c>
      <c r="B5" s="87" t="s">
        <v>9616</v>
      </c>
      <c r="C5" s="87" t="s">
        <v>13</v>
      </c>
      <c r="D5" s="87" t="str">
        <f>VLOOKUP(Tabela1[[#This Row],[Origem]], 'Perguntas 1 a 24'!$J$28:$K$34, 2, 0)</f>
        <v>Sudeste</v>
      </c>
      <c r="E5" s="87" t="str">
        <f>Tabela1[[#This Row],[Descrição]]&amp;"-"&amp;Tabela1[[#This Row],[Código]]&amp;"/"&amp;Tabela1[[#This Row],[Origem]]</f>
        <v>Godopadu-P116P159/SP</v>
      </c>
      <c r="F5" s="88">
        <v>45425</v>
      </c>
      <c r="G5" s="88" t="str" cm="1">
        <f t="array" ref="G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AND(F5&gt;= DATE(2026,1,1), F5&lt;= DATE(2028, 12, 31), J5&gt;50000), "Pendente e Caro", AND(F5&gt;= DATE(2026,1,1), F5&lt;= DATE(2028, 12, 31), J5&lt;=50000), "Pendente", F5&gt;= DATE(2029,1,1), "Não prioeitário")</f>
        <v>Urgente e Caro</v>
      </c>
      <c r="H5" s="89">
        <f>YEAR(Tabela1[[#This Row],[Data de Validade]])</f>
        <v>2024</v>
      </c>
      <c r="I5" s="89">
        <f>MONTH(Tabela1[[#This Row],[Data de Validade]])</f>
        <v>5</v>
      </c>
      <c r="J5" s="101">
        <v>80288</v>
      </c>
      <c r="K5" s="87" t="s">
        <v>11</v>
      </c>
      <c r="L5" s="108"/>
      <c r="M5" s="108"/>
      <c r="N5" s="108" t="str">
        <v>P116P159</v>
      </c>
      <c r="O5" s="108">
        <f t="shared" si="0"/>
        <v>1</v>
      </c>
      <c r="P5" s="108"/>
      <c r="Q5"/>
      <c r="R5" s="132" t="s">
        <v>11348</v>
      </c>
      <c r="S5" s="132"/>
      <c r="T5" s="132"/>
      <c r="U5" s="132"/>
      <c r="V5" s="132"/>
    </row>
    <row r="6" spans="1:28" x14ac:dyDescent="0.25">
      <c r="A6" s="89" t="s">
        <v>3892</v>
      </c>
      <c r="B6" s="87" t="s">
        <v>3893</v>
      </c>
      <c r="C6" s="87" t="s">
        <v>15</v>
      </c>
      <c r="D6" s="87" t="str">
        <f>VLOOKUP(Tabela1[[#This Row],[Origem]], 'Perguntas 1 a 24'!$J$28:$K$34, 2, 0)</f>
        <v>Sudeste</v>
      </c>
      <c r="E6" s="87" t="str">
        <f>Tabela1[[#This Row],[Descrição]]&amp;"-"&amp;Tabela1[[#This Row],[Código]]&amp;"/"&amp;Tabela1[[#This Row],[Origem]]</f>
        <v>Raliru-H515P175/ES</v>
      </c>
      <c r="F6" s="88">
        <v>45425</v>
      </c>
      <c r="G6" s="88" t="str" cm="1">
        <f t="array" ref="G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AND(F6&gt;= DATE(2026,1,1), F6&lt;= DATE(2028, 12, 31), J6&gt;50000), "Pendente e Caro", AND(F6&gt;= DATE(2026,1,1), F6&lt;= DATE(2028, 12, 31), J6&lt;=50000), "Pendente", F6&gt;= DATE(2029,1,1), "Não prioeitário")</f>
        <v>Urgente e Caro</v>
      </c>
      <c r="H6" s="89">
        <f>YEAR(Tabela1[[#This Row],[Data de Validade]])</f>
        <v>2024</v>
      </c>
      <c r="I6" s="89">
        <f>MONTH(Tabela1[[#This Row],[Data de Validade]])</f>
        <v>5</v>
      </c>
      <c r="J6" s="101">
        <v>80281</v>
      </c>
      <c r="K6" s="87" t="s">
        <v>11</v>
      </c>
      <c r="L6" s="108"/>
      <c r="M6" s="108"/>
      <c r="N6" s="108" t="str">
        <v>H515P175</v>
      </c>
      <c r="O6" s="108">
        <f t="shared" si="0"/>
        <v>1</v>
      </c>
      <c r="P6" s="108"/>
      <c r="Q6"/>
      <c r="R6" s="90" t="s">
        <v>11349</v>
      </c>
      <c r="S6" s="90" t="s">
        <v>11350</v>
      </c>
      <c r="T6" s="90" t="s">
        <v>11351</v>
      </c>
      <c r="U6" s="90" t="s">
        <v>11352</v>
      </c>
      <c r="V6" s="90" t="s">
        <v>11353</v>
      </c>
    </row>
    <row r="7" spans="1:28" x14ac:dyDescent="0.25">
      <c r="A7" s="89" t="s">
        <v>4355</v>
      </c>
      <c r="B7" s="87" t="s">
        <v>4356</v>
      </c>
      <c r="C7" s="87" t="s">
        <v>13</v>
      </c>
      <c r="D7" s="87" t="str">
        <f>VLOOKUP(Tabela1[[#This Row],[Origem]], 'Perguntas 1 a 24'!$J$28:$K$34, 2, 0)</f>
        <v>Sudeste</v>
      </c>
      <c r="E7" s="87" t="str">
        <f>Tabela1[[#This Row],[Descrição]]&amp;"-"&amp;Tabela1[[#This Row],[Código]]&amp;"/"&amp;Tabela1[[#This Row],[Origem]]</f>
        <v>Ratena-H917H959/SP</v>
      </c>
      <c r="F7" s="88">
        <v>45425</v>
      </c>
      <c r="G7" s="88" t="str" cm="1">
        <f t="array" ref="G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AND(F7&gt;= DATE(2026,1,1), F7&lt;= DATE(2028, 12, 31), J7&gt;50000), "Pendente e Caro", AND(F7&gt;= DATE(2026,1,1), F7&lt;= DATE(2028, 12, 31), J7&lt;=50000), "Pendente", F7&gt;= DATE(2029,1,1), "Não prioeitário")</f>
        <v>Urgente e Caro</v>
      </c>
      <c r="H7" s="89">
        <f>YEAR(Tabela1[[#This Row],[Data de Validade]])</f>
        <v>2024</v>
      </c>
      <c r="I7" s="89">
        <f>MONTH(Tabela1[[#This Row],[Data de Validade]])</f>
        <v>5</v>
      </c>
      <c r="J7" s="101">
        <v>75598</v>
      </c>
      <c r="K7" s="87" t="s">
        <v>11</v>
      </c>
      <c r="L7" s="108"/>
      <c r="M7" s="108"/>
      <c r="N7" s="108" t="str">
        <v>H917H959</v>
      </c>
      <c r="O7" s="108">
        <f t="shared" si="0"/>
        <v>1</v>
      </c>
      <c r="P7" s="108"/>
      <c r="Q7"/>
      <c r="R7" s="116">
        <f>SUM(J:J)</f>
        <v>272140218</v>
      </c>
      <c r="S7" s="91">
        <f>AVERAGE(J:J)</f>
        <v>70594.090272373534</v>
      </c>
      <c r="T7" s="112">
        <f>COUNT(J:J)</f>
        <v>3855</v>
      </c>
      <c r="U7" s="91">
        <f>MAX(Tabela1[Custo de Produção])</f>
        <v>119945</v>
      </c>
      <c r="V7" s="91">
        <f>MIN(Tabela1[Custo de Produção])</f>
        <v>20044</v>
      </c>
    </row>
    <row r="8" spans="1:28" x14ac:dyDescent="0.25">
      <c r="A8" s="89" t="s">
        <v>10621</v>
      </c>
      <c r="B8" s="87" t="s">
        <v>10622</v>
      </c>
      <c r="C8" s="87" t="s">
        <v>10</v>
      </c>
      <c r="D8" s="87" t="str">
        <f>VLOOKUP(Tabela1[[#This Row],[Origem]], 'Perguntas 1 a 24'!$J$28:$K$34, 2, 0)</f>
        <v>Centro-Oeste</v>
      </c>
      <c r="E8" s="87" t="str">
        <f>Tabela1[[#This Row],[Descrição]]&amp;"-"&amp;Tabela1[[#This Row],[Código]]&amp;"/"&amp;Tabela1[[#This Row],[Origem]]</f>
        <v>Roduma-P363P987/GO</v>
      </c>
      <c r="F8" s="88">
        <v>45425</v>
      </c>
      <c r="G8" s="88" t="str" cm="1">
        <f t="array" ref="G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AND(F8&gt;= DATE(2026,1,1), F8&lt;= DATE(2028, 12, 31), J8&gt;50000), "Pendente e Caro", AND(F8&gt;= DATE(2026,1,1), F8&lt;= DATE(2028, 12, 31), J8&lt;=50000), "Pendente", F8&gt;= DATE(2029,1,1), "Não prioeitário")</f>
        <v>Urgente e Caro</v>
      </c>
      <c r="H8" s="89">
        <f>YEAR(Tabela1[[#This Row],[Data de Validade]])</f>
        <v>2024</v>
      </c>
      <c r="I8" s="89">
        <f>MONTH(Tabela1[[#This Row],[Data de Validade]])</f>
        <v>5</v>
      </c>
      <c r="J8" s="101">
        <v>65781</v>
      </c>
      <c r="K8" s="87" t="s">
        <v>9</v>
      </c>
      <c r="L8" s="108"/>
      <c r="M8" s="108"/>
      <c r="N8" s="108" t="str">
        <v>P363P987</v>
      </c>
      <c r="O8" s="108">
        <f t="shared" si="0"/>
        <v>1</v>
      </c>
      <c r="P8" s="108"/>
      <c r="Q8"/>
      <c r="Y8" s="133" t="s">
        <v>45</v>
      </c>
      <c r="Z8" s="133"/>
      <c r="AA8" s="133"/>
      <c r="AB8" s="133"/>
    </row>
    <row r="9" spans="1:28" x14ac:dyDescent="0.25">
      <c r="A9" s="89" t="s">
        <v>9977</v>
      </c>
      <c r="B9" s="87" t="s">
        <v>9978</v>
      </c>
      <c r="C9" s="87" t="s">
        <v>15</v>
      </c>
      <c r="D9" s="87" t="str">
        <f>VLOOKUP(Tabela1[[#This Row],[Origem]], 'Perguntas 1 a 24'!$J$28:$K$34, 2, 0)</f>
        <v>Sudeste</v>
      </c>
      <c r="E9" s="87" t="str">
        <f>Tabela1[[#This Row],[Descrição]]&amp;"-"&amp;Tabela1[[#This Row],[Código]]&amp;"/"&amp;Tabela1[[#This Row],[Origem]]</f>
        <v>Firamu-P589P568/ES</v>
      </c>
      <c r="F9" s="88">
        <v>45425</v>
      </c>
      <c r="G9" s="88" t="str" cm="1">
        <f t="array" ref="G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AND(F9&gt;= DATE(2026,1,1), F9&lt;= DATE(2028, 12, 31), J9&gt;50000), "Pendente e Caro", AND(F9&gt;= DATE(2026,1,1), F9&lt;= DATE(2028, 12, 31), J9&lt;=50000), "Pendente", F9&gt;= DATE(2029,1,1), "Não prioeitário")</f>
        <v>Urgente e Caro</v>
      </c>
      <c r="H9" s="89">
        <f>YEAR(Tabela1[[#This Row],[Data de Validade]])</f>
        <v>2024</v>
      </c>
      <c r="I9" s="89">
        <f>MONTH(Tabela1[[#This Row],[Data de Validade]])</f>
        <v>5</v>
      </c>
      <c r="J9" s="101">
        <v>57874</v>
      </c>
      <c r="K9" s="87" t="s">
        <v>14</v>
      </c>
      <c r="L9" s="108"/>
      <c r="M9" s="108"/>
      <c r="N9" s="108" t="str">
        <v>P589P568</v>
      </c>
      <c r="O9" s="108">
        <f t="shared" si="0"/>
        <v>1</v>
      </c>
      <c r="P9" s="108"/>
      <c r="Q9"/>
      <c r="S9" s="132" t="s">
        <v>11346</v>
      </c>
      <c r="T9" s="132"/>
      <c r="U9" s="132"/>
      <c r="V9" s="132"/>
      <c r="X9" s="80"/>
      <c r="Y9" s="127" t="s">
        <v>9</v>
      </c>
      <c r="Z9" s="6" t="s">
        <v>14</v>
      </c>
      <c r="AA9" s="6" t="s">
        <v>7</v>
      </c>
      <c r="AB9" s="6" t="s">
        <v>11</v>
      </c>
    </row>
    <row r="10" spans="1:28" x14ac:dyDescent="0.25">
      <c r="A10" s="89" t="s">
        <v>5138</v>
      </c>
      <c r="B10" s="87" t="s">
        <v>5139</v>
      </c>
      <c r="C10" s="87" t="s">
        <v>15</v>
      </c>
      <c r="D10" s="87" t="str">
        <f>VLOOKUP(Tabela1[[#This Row],[Origem]], 'Perguntas 1 a 24'!$J$28:$K$34, 2, 0)</f>
        <v>Sudeste</v>
      </c>
      <c r="E10" s="87" t="str">
        <f>Tabela1[[#This Row],[Descrição]]&amp;"-"&amp;Tabela1[[#This Row],[Código]]&amp;"/"&amp;Tabela1[[#This Row],[Origem]]</f>
        <v>Namirolacu-P445P823/ES</v>
      </c>
      <c r="F10" s="88">
        <v>45425</v>
      </c>
      <c r="G10" s="88" t="str" cm="1">
        <f t="array" ref="G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AND(F10&gt;= DATE(2026,1,1), F10&lt;= DATE(2028, 12, 31), J10&gt;50000), "Pendente e Caro", AND(F10&gt;= DATE(2026,1,1), F10&lt;= DATE(2028, 12, 31), J10&lt;=50000), "Pendente", F10&gt;= DATE(2029,1,1), "Não prioeitário")</f>
        <v>Urgente e Caro</v>
      </c>
      <c r="H10" s="89">
        <f>YEAR(Tabela1[[#This Row],[Data de Validade]])</f>
        <v>2024</v>
      </c>
      <c r="I10" s="89">
        <f>MONTH(Tabela1[[#This Row],[Data de Validade]])</f>
        <v>5</v>
      </c>
      <c r="J10" s="101">
        <v>56196</v>
      </c>
      <c r="K10" s="87" t="s">
        <v>9</v>
      </c>
      <c r="L10" s="108"/>
      <c r="M10" s="108"/>
      <c r="N10" s="108" t="str">
        <v>P445P823</v>
      </c>
      <c r="O10" s="108">
        <f t="shared" si="0"/>
        <v>1</v>
      </c>
      <c r="P10" s="108"/>
      <c r="Q10"/>
      <c r="S10" s="117" t="s">
        <v>9</v>
      </c>
      <c r="T10" s="117" t="s">
        <v>14</v>
      </c>
      <c r="U10" s="117" t="s">
        <v>7</v>
      </c>
      <c r="V10" s="117" t="s">
        <v>11</v>
      </c>
      <c r="X10" s="6" t="s">
        <v>25</v>
      </c>
      <c r="Y10" s="97">
        <f t="shared" ref="Y10:AB13" si="1">COUNTIFS($K:$K, Y$9, $D:$D, $X10)</f>
        <v>307</v>
      </c>
      <c r="Z10" s="97">
        <f t="shared" si="1"/>
        <v>257</v>
      </c>
      <c r="AA10" s="97">
        <f t="shared" si="1"/>
        <v>290</v>
      </c>
      <c r="AB10" s="97">
        <f t="shared" si="1"/>
        <v>274</v>
      </c>
    </row>
    <row r="11" spans="1:28" x14ac:dyDescent="0.25">
      <c r="A11" s="89" t="s">
        <v>6984</v>
      </c>
      <c r="B11" s="87" t="s">
        <v>6985</v>
      </c>
      <c r="C11" s="87" t="s">
        <v>10</v>
      </c>
      <c r="D11" s="87" t="str">
        <f>VLOOKUP(Tabela1[[#This Row],[Origem]], 'Perguntas 1 a 24'!$J$28:$K$34, 2, 0)</f>
        <v>Centro-Oeste</v>
      </c>
      <c r="E11" s="87" t="str">
        <f>Tabela1[[#This Row],[Descrição]]&amp;"-"&amp;Tabela1[[#This Row],[Código]]&amp;"/"&amp;Tabela1[[#This Row],[Origem]]</f>
        <v>Turucego-H647P923/GO</v>
      </c>
      <c r="F11" s="88">
        <v>45426</v>
      </c>
      <c r="G11" s="88" t="str" cm="1">
        <f t="array" ref="G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AND(F11&gt;= DATE(2026,1,1), F11&lt;= DATE(2028, 12, 31), J11&gt;50000), "Pendente e Caro", AND(F11&gt;= DATE(2026,1,1), F11&lt;= DATE(2028, 12, 31), J11&lt;=50000), "Pendente", F11&gt;= DATE(2029,1,1), "Não prioeitário")</f>
        <v>Urgente e Caro</v>
      </c>
      <c r="H11" s="89">
        <f>YEAR(Tabela1[[#This Row],[Data de Validade]])</f>
        <v>2024</v>
      </c>
      <c r="I11" s="89">
        <f>MONTH(Tabela1[[#This Row],[Data de Validade]])</f>
        <v>5</v>
      </c>
      <c r="J11" s="101">
        <v>56196</v>
      </c>
      <c r="K11" s="87" t="s">
        <v>11</v>
      </c>
      <c r="L11" s="108"/>
      <c r="M11" s="108"/>
      <c r="N11" s="108" t="str">
        <v>H647P923</v>
      </c>
      <c r="O11" s="108">
        <f t="shared" si="0"/>
        <v>1</v>
      </c>
      <c r="P11" s="108"/>
      <c r="Q11"/>
      <c r="R11" s="118" t="s">
        <v>25</v>
      </c>
      <c r="S11" s="119">
        <f t="shared" ref="S11:V13" si="2">SUMIFS($J:$J,$K:$K, S$10, $D:$D, $R11)</f>
        <v>21582443</v>
      </c>
      <c r="T11" s="119">
        <f t="shared" si="2"/>
        <v>18432363</v>
      </c>
      <c r="U11" s="119">
        <f t="shared" si="2"/>
        <v>19384102</v>
      </c>
      <c r="V11" s="119">
        <f t="shared" si="2"/>
        <v>19329788</v>
      </c>
      <c r="X11" s="6" t="s">
        <v>26</v>
      </c>
      <c r="Y11" s="97">
        <f t="shared" si="1"/>
        <v>528</v>
      </c>
      <c r="Z11" s="97">
        <f t="shared" si="1"/>
        <v>540</v>
      </c>
      <c r="AA11" s="97">
        <f t="shared" si="1"/>
        <v>532</v>
      </c>
      <c r="AB11" s="97">
        <f t="shared" si="1"/>
        <v>545</v>
      </c>
    </row>
    <row r="12" spans="1:28" x14ac:dyDescent="0.25">
      <c r="A12" s="89" t="s">
        <v>8070</v>
      </c>
      <c r="B12" s="87" t="s">
        <v>8071</v>
      </c>
      <c r="C12" s="87" t="s">
        <v>12</v>
      </c>
      <c r="D12" s="87" t="str">
        <f>VLOOKUP(Tabela1[[#This Row],[Origem]], 'Perguntas 1 a 24'!$J$28:$K$34, 2, 0)</f>
        <v>Sudeste</v>
      </c>
      <c r="E12" s="87" t="str">
        <f>Tabela1[[#This Row],[Descrição]]&amp;"-"&amp;Tabela1[[#This Row],[Código]]&amp;"/"&amp;Tabela1[[#This Row],[Origem]]</f>
        <v>Tugafacumi-P915P867/RJ</v>
      </c>
      <c r="F12" s="88">
        <v>45426</v>
      </c>
      <c r="G12" s="88" t="str" cm="1">
        <f t="array" ref="G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AND(F12&gt;= DATE(2026,1,1), F12&lt;= DATE(2028, 12, 31), J12&gt;50000), "Pendente e Caro", AND(F12&gt;= DATE(2026,1,1), F12&lt;= DATE(2028, 12, 31), J12&lt;=50000), "Pendente", F12&gt;= DATE(2029,1,1), "Não prioeitário")</f>
        <v>Urgente e Caro</v>
      </c>
      <c r="H12" s="89">
        <f>YEAR(Tabela1[[#This Row],[Data de Validade]])</f>
        <v>2024</v>
      </c>
      <c r="I12" s="89">
        <f>MONTH(Tabela1[[#This Row],[Data de Validade]])</f>
        <v>5</v>
      </c>
      <c r="J12" s="101">
        <v>88834</v>
      </c>
      <c r="K12" s="87" t="s">
        <v>11</v>
      </c>
      <c r="L12" s="108"/>
      <c r="M12" s="108"/>
      <c r="N12" s="108" t="str">
        <v>P915P867</v>
      </c>
      <c r="O12" s="108">
        <f t="shared" si="0"/>
        <v>1</v>
      </c>
      <c r="P12" s="108"/>
      <c r="Q12"/>
      <c r="R12" s="118" t="s">
        <v>26</v>
      </c>
      <c r="S12" s="119">
        <f t="shared" si="2"/>
        <v>37494439</v>
      </c>
      <c r="T12" s="119">
        <f t="shared" si="2"/>
        <v>38989407</v>
      </c>
      <c r="U12" s="119">
        <f t="shared" si="2"/>
        <v>38539749</v>
      </c>
      <c r="V12" s="119">
        <f t="shared" si="2"/>
        <v>37891952</v>
      </c>
      <c r="X12" s="6" t="s">
        <v>27</v>
      </c>
      <c r="Y12" s="97">
        <f t="shared" si="1"/>
        <v>172</v>
      </c>
      <c r="Z12" s="97">
        <f t="shared" si="1"/>
        <v>133</v>
      </c>
      <c r="AA12" s="97">
        <f t="shared" si="1"/>
        <v>136</v>
      </c>
      <c r="AB12" s="97">
        <f t="shared" si="1"/>
        <v>141</v>
      </c>
    </row>
    <row r="13" spans="1:28" x14ac:dyDescent="0.25">
      <c r="A13" s="89" t="s">
        <v>8374</v>
      </c>
      <c r="B13" s="87" t="s">
        <v>8375</v>
      </c>
      <c r="C13" s="87" t="s">
        <v>6</v>
      </c>
      <c r="D13" s="87" t="str">
        <f>VLOOKUP(Tabela1[[#This Row],[Origem]], 'Perguntas 1 a 24'!$J$28:$K$34, 2, 0)</f>
        <v>Nordeste</v>
      </c>
      <c r="E13" s="87" t="str">
        <f>Tabela1[[#This Row],[Descrição]]&amp;"-"&amp;Tabela1[[#This Row],[Código]]&amp;"/"&amp;Tabela1[[#This Row],[Origem]]</f>
        <v>Motufidatu-P318P546/MA</v>
      </c>
      <c r="F13" s="88">
        <v>45427</v>
      </c>
      <c r="G13" s="88" t="str" cm="1">
        <f t="array" ref="G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AND(F13&gt;= DATE(2026,1,1), F13&lt;= DATE(2028, 12, 31), J13&gt;50000), "Pendente e Caro", AND(F13&gt;= DATE(2026,1,1), F13&lt;= DATE(2028, 12, 31), J13&lt;=50000), "Pendente", F13&gt;= DATE(2029,1,1), "Não prioeitário")</f>
        <v>Urgente e Caro</v>
      </c>
      <c r="H13" s="89">
        <f>YEAR(Tabela1[[#This Row],[Data de Validade]])</f>
        <v>2024</v>
      </c>
      <c r="I13" s="89">
        <f>MONTH(Tabela1[[#This Row],[Data de Validade]])</f>
        <v>5</v>
      </c>
      <c r="J13" s="101">
        <v>87366</v>
      </c>
      <c r="K13" s="87" t="s">
        <v>14</v>
      </c>
      <c r="L13" s="108"/>
      <c r="M13" s="108"/>
      <c r="N13" s="108" t="str">
        <v>P318P546</v>
      </c>
      <c r="O13" s="108">
        <f t="shared" si="0"/>
        <v>1</v>
      </c>
      <c r="P13" s="108"/>
      <c r="Q13"/>
      <c r="R13" s="124" t="s">
        <v>27</v>
      </c>
      <c r="S13" s="123">
        <f t="shared" si="2"/>
        <v>12025755</v>
      </c>
      <c r="T13" s="123">
        <f t="shared" si="2"/>
        <v>9401319</v>
      </c>
      <c r="U13" s="123">
        <f t="shared" si="2"/>
        <v>9133421</v>
      </c>
      <c r="V13" s="123">
        <f t="shared" si="2"/>
        <v>9935480</v>
      </c>
      <c r="X13" s="6" t="s">
        <v>30</v>
      </c>
      <c r="Y13" s="97">
        <f t="shared" si="1"/>
        <v>0</v>
      </c>
      <c r="Z13" s="97">
        <f t="shared" si="1"/>
        <v>0</v>
      </c>
      <c r="AA13" s="97">
        <f t="shared" si="1"/>
        <v>0</v>
      </c>
      <c r="AB13" s="97">
        <f t="shared" si="1"/>
        <v>0</v>
      </c>
    </row>
    <row r="14" spans="1:28" x14ac:dyDescent="0.25">
      <c r="A14" s="89" t="s">
        <v>8931</v>
      </c>
      <c r="B14" s="87" t="s">
        <v>8932</v>
      </c>
      <c r="C14" s="87" t="s">
        <v>10</v>
      </c>
      <c r="D14" s="87" t="str">
        <f>VLOOKUP(Tabela1[[#This Row],[Origem]], 'Perguntas 1 a 24'!$J$28:$K$34, 2, 0)</f>
        <v>Centro-Oeste</v>
      </c>
      <c r="E14" s="87" t="str">
        <f>Tabela1[[#This Row],[Descrição]]&amp;"-"&amp;Tabela1[[#This Row],[Código]]&amp;"/"&amp;Tabela1[[#This Row],[Origem]]</f>
        <v>Cepeti-P937P636/GO</v>
      </c>
      <c r="F14" s="88">
        <v>45427</v>
      </c>
      <c r="G14" s="88" t="str" cm="1">
        <f t="array" ref="G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AND(F14&gt;= DATE(2026,1,1), F14&lt;= DATE(2028, 12, 31), J14&gt;50000), "Pendente e Caro", AND(F14&gt;= DATE(2026,1,1), F14&lt;= DATE(2028, 12, 31), J14&lt;=50000), "Pendente", F14&gt;= DATE(2029,1,1), "Não prioeitário")</f>
        <v>Urgente e Caro</v>
      </c>
      <c r="H14" s="89">
        <f>YEAR(Tabela1[[#This Row],[Data de Validade]])</f>
        <v>2024</v>
      </c>
      <c r="I14" s="89">
        <f>MONTH(Tabela1[[#This Row],[Data de Validade]])</f>
        <v>5</v>
      </c>
      <c r="J14" s="101">
        <v>60456</v>
      </c>
      <c r="K14" s="87" t="s">
        <v>11</v>
      </c>
      <c r="L14" s="108"/>
      <c r="M14" s="108"/>
      <c r="N14" s="108" t="str">
        <v>P937P636</v>
      </c>
      <c r="O14" s="108">
        <f t="shared" si="0"/>
        <v>1</v>
      </c>
      <c r="P14" s="108"/>
      <c r="Q14"/>
      <c r="R14" s="128" t="s">
        <v>11355</v>
      </c>
      <c r="S14" s="129">
        <f>SUM(S11:S13)</f>
        <v>71102637</v>
      </c>
      <c r="T14" s="122">
        <f>SUM(T11:T13)</f>
        <v>66823089</v>
      </c>
      <c r="U14" s="122">
        <f>SUM(U11:U13)</f>
        <v>67057272</v>
      </c>
      <c r="V14" s="122">
        <f>SUM(V11:V13)</f>
        <v>67157220</v>
      </c>
      <c r="X14" s="6" t="s">
        <v>11355</v>
      </c>
      <c r="Y14" s="97">
        <f>SUM(Y10:Y13)</f>
        <v>1007</v>
      </c>
      <c r="Z14" s="97">
        <f>SUM(Z10:Z13)</f>
        <v>930</v>
      </c>
      <c r="AA14" s="97">
        <f>SUM(AA10:AA13)</f>
        <v>958</v>
      </c>
      <c r="AB14" s="97">
        <f>SUM(AB10:AB13)</f>
        <v>960</v>
      </c>
    </row>
    <row r="15" spans="1:28" x14ac:dyDescent="0.25">
      <c r="A15" s="89" t="s">
        <v>6352</v>
      </c>
      <c r="B15" s="87" t="s">
        <v>6353</v>
      </c>
      <c r="C15" s="87" t="s">
        <v>8</v>
      </c>
      <c r="D15" s="87" t="str">
        <f>VLOOKUP(Tabela1[[#This Row],[Origem]], 'Perguntas 1 a 24'!$J$28:$K$34, 2, 0)</f>
        <v>Nordeste</v>
      </c>
      <c r="E15" s="87" t="str">
        <f>Tabela1[[#This Row],[Descrição]]&amp;"-"&amp;Tabela1[[#This Row],[Código]]&amp;"/"&amp;Tabela1[[#This Row],[Origem]]</f>
        <v>Pudepa-H586H551/AL</v>
      </c>
      <c r="F15" s="88">
        <v>45427</v>
      </c>
      <c r="G15" s="88" t="str" cm="1">
        <f t="array" ref="G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AND(F15&gt;= DATE(2026,1,1), F15&lt;= DATE(2028, 12, 31), J15&gt;50000), "Pendente e Caro", AND(F15&gt;= DATE(2026,1,1), F15&lt;= DATE(2028, 12, 31), J15&lt;=50000), "Pendente", F15&gt;= DATE(2029,1,1), "Não prioeitário")</f>
        <v>Urgente e Caro</v>
      </c>
      <c r="H15" s="89">
        <f>YEAR(Tabela1[[#This Row],[Data de Validade]])</f>
        <v>2024</v>
      </c>
      <c r="I15" s="89">
        <f>MONTH(Tabela1[[#This Row],[Data de Validade]])</f>
        <v>5</v>
      </c>
      <c r="J15" s="101">
        <v>56807</v>
      </c>
      <c r="K15" s="87" t="s">
        <v>9</v>
      </c>
      <c r="L15" s="108"/>
      <c r="M15" s="108"/>
      <c r="N15" s="108" t="str">
        <v>H586H551</v>
      </c>
      <c r="O15" s="108">
        <f t="shared" si="0"/>
        <v>1</v>
      </c>
      <c r="P15" s="108"/>
      <c r="Q15"/>
    </row>
    <row r="16" spans="1:28" x14ac:dyDescent="0.25">
      <c r="A16" s="89" t="s">
        <v>7836</v>
      </c>
      <c r="B16" s="87" t="s">
        <v>7837</v>
      </c>
      <c r="C16" s="87" t="s">
        <v>13</v>
      </c>
      <c r="D16" s="87" t="str">
        <f>VLOOKUP(Tabela1[[#This Row],[Origem]], 'Perguntas 1 a 24'!$J$28:$K$34, 2, 0)</f>
        <v>Sudeste</v>
      </c>
      <c r="E16" s="87" t="str">
        <f>Tabela1[[#This Row],[Descrição]]&amp;"-"&amp;Tabela1[[#This Row],[Código]]&amp;"/"&amp;Tabela1[[#This Row],[Origem]]</f>
        <v>Cirefapu-H824P368/SP</v>
      </c>
      <c r="F16" s="88">
        <v>45428</v>
      </c>
      <c r="G16" s="88" t="str" cm="1">
        <f t="array" ref="G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AND(F16&gt;= DATE(2026,1,1), F16&lt;= DATE(2028, 12, 31), J16&gt;50000), "Pendente e Caro", AND(F16&gt;= DATE(2026,1,1), F16&lt;= DATE(2028, 12, 31), J16&lt;=50000), "Pendente", F16&gt;= DATE(2029,1,1), "Não prioeitário")</f>
        <v>Urgente e Caro</v>
      </c>
      <c r="H16" s="89">
        <f>YEAR(Tabela1[[#This Row],[Data de Validade]])</f>
        <v>2024</v>
      </c>
      <c r="I16" s="89">
        <f>MONTH(Tabela1[[#This Row],[Data de Validade]])</f>
        <v>5</v>
      </c>
      <c r="J16" s="101">
        <v>65721</v>
      </c>
      <c r="K16" s="87" t="s">
        <v>11</v>
      </c>
      <c r="L16" s="108"/>
      <c r="M16" s="108"/>
      <c r="N16" s="108" t="str">
        <v>H824P368</v>
      </c>
      <c r="O16" s="108">
        <f t="shared" si="0"/>
        <v>1</v>
      </c>
      <c r="P16" s="108"/>
      <c r="Q16"/>
      <c r="R16" s="125" t="s">
        <v>11356</v>
      </c>
      <c r="S16" s="126"/>
    </row>
    <row r="17" spans="1:22" x14ac:dyDescent="0.25">
      <c r="A17" s="89" t="s">
        <v>7252</v>
      </c>
      <c r="B17" s="87" t="s">
        <v>7253</v>
      </c>
      <c r="C17" s="87" t="s">
        <v>15</v>
      </c>
      <c r="D17" s="87" t="str">
        <f>VLOOKUP(Tabela1[[#This Row],[Origem]], 'Perguntas 1 a 24'!$J$28:$K$34, 2, 0)</f>
        <v>Sudeste</v>
      </c>
      <c r="E17" s="87" t="str">
        <f>Tabela1[[#This Row],[Descrição]]&amp;"-"&amp;Tabela1[[#This Row],[Código]]&amp;"/"&amp;Tabela1[[#This Row],[Origem]]</f>
        <v>Netugo-H149P458/ES</v>
      </c>
      <c r="F17" s="88">
        <v>45429</v>
      </c>
      <c r="G17" s="88" t="str" cm="1">
        <f t="array" ref="G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AND(F17&gt;= DATE(2026,1,1), F17&lt;= DATE(2028, 12, 31), J17&gt;50000), "Pendente e Caro", AND(F17&gt;= DATE(2026,1,1), F17&lt;= DATE(2028, 12, 31), J17&lt;=50000), "Pendente", F17&gt;= DATE(2029,1,1), "Não prioeitário")</f>
        <v>Urgente e Caro</v>
      </c>
      <c r="H17" s="89">
        <f>YEAR(Tabela1[[#This Row],[Data de Validade]])</f>
        <v>2024</v>
      </c>
      <c r="I17" s="89">
        <f>MONTH(Tabela1[[#This Row],[Data de Validade]])</f>
        <v>5</v>
      </c>
      <c r="J17" s="101">
        <v>53918</v>
      </c>
      <c r="K17" s="87" t="s">
        <v>7</v>
      </c>
      <c r="L17" s="108"/>
      <c r="M17" s="108"/>
      <c r="N17" s="108" t="str">
        <v>H149P458</v>
      </c>
      <c r="O17" s="108">
        <f t="shared" si="0"/>
        <v>1</v>
      </c>
      <c r="P17" s="108"/>
      <c r="Q17"/>
      <c r="R17" s="6" t="s">
        <v>32</v>
      </c>
      <c r="S17" s="98" t="str" cm="1">
        <f t="array" ref="S17">INDEX(Y9:AB9, 0, MATCH(LARGE(Y14:AB14, 1), Y14:AB14, 0))</f>
        <v>Austrália</v>
      </c>
    </row>
    <row r="18" spans="1:22" x14ac:dyDescent="0.25">
      <c r="A18" s="89" t="s">
        <v>9559</v>
      </c>
      <c r="B18" s="87" t="s">
        <v>9560</v>
      </c>
      <c r="C18" s="87" t="s">
        <v>12</v>
      </c>
      <c r="D18" s="87" t="str">
        <f>VLOOKUP(Tabela1[[#This Row],[Origem]], 'Perguntas 1 a 24'!$J$28:$K$34, 2, 0)</f>
        <v>Sudeste</v>
      </c>
      <c r="E18" s="87" t="str">
        <f>Tabela1[[#This Row],[Descrição]]&amp;"-"&amp;Tabela1[[#This Row],[Código]]&amp;"/"&amp;Tabela1[[#This Row],[Origem]]</f>
        <v>Pofodoge-H985H461/RJ</v>
      </c>
      <c r="F18" s="88">
        <v>45429</v>
      </c>
      <c r="G18" s="88" t="str" cm="1">
        <f t="array" ref="G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AND(F18&gt;= DATE(2026,1,1), F18&lt;= DATE(2028, 12, 31), J18&gt;50000), "Pendente e Caro", AND(F18&gt;= DATE(2026,1,1), F18&lt;= DATE(2028, 12, 31), J18&lt;=50000), "Pendente", F18&gt;= DATE(2029,1,1), "Não prioeitário")</f>
        <v>Urgente</v>
      </c>
      <c r="H18" s="89">
        <f>YEAR(Tabela1[[#This Row],[Data de Validade]])</f>
        <v>2024</v>
      </c>
      <c r="I18" s="89">
        <f>MONTH(Tabela1[[#This Row],[Data de Validade]])</f>
        <v>5</v>
      </c>
      <c r="J18" s="101">
        <v>27565</v>
      </c>
      <c r="K18" s="87" t="s">
        <v>11</v>
      </c>
      <c r="L18" s="108"/>
      <c r="M18" s="108"/>
      <c r="N18" s="108" t="str">
        <v>H985H461</v>
      </c>
      <c r="O18" s="108">
        <f t="shared" si="0"/>
        <v>1</v>
      </c>
      <c r="P18" s="108"/>
      <c r="Q18"/>
      <c r="R18" s="6" t="s">
        <v>33</v>
      </c>
      <c r="S18" s="99" t="str" cm="1">
        <f t="array" ref="S18">INDEX(S10:V10, 0, MATCH(LARGE(S14:V14, 1), S14:V14, 0))</f>
        <v>Austrália</v>
      </c>
    </row>
    <row r="19" spans="1:22" x14ac:dyDescent="0.25">
      <c r="A19" s="89" t="s">
        <v>11357</v>
      </c>
      <c r="B19" s="87" t="s">
        <v>11161</v>
      </c>
      <c r="C19" s="87" t="s">
        <v>15</v>
      </c>
      <c r="D19" s="87" t="str">
        <f>VLOOKUP(Tabela1[[#This Row],[Origem]], 'Perguntas 1 a 24'!$J$28:$K$34, 2, 0)</f>
        <v>Sudeste</v>
      </c>
      <c r="E19" s="87" t="str">
        <f>Tabela1[[#This Row],[Descrição]]&amp;"-"&amp;Tabela1[[#This Row],[Código]]&amp;"/"&amp;Tabela1[[#This Row],[Origem]]</f>
        <v xml:space="preserve"> -P561H622/ES</v>
      </c>
      <c r="F19" s="88">
        <v>45430</v>
      </c>
      <c r="G19" s="88" t="str" cm="1">
        <f t="array" ref="G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AND(F19&gt;= DATE(2026,1,1), F19&lt;= DATE(2028, 12, 31), J19&gt;50000), "Pendente e Caro", AND(F19&gt;= DATE(2026,1,1), F19&lt;= DATE(2028, 12, 31), J19&lt;=50000), "Pendente", F19&gt;= DATE(2029,1,1), "Não prioeitário")</f>
        <v>Urgente e Caro</v>
      </c>
      <c r="H19" s="89">
        <f>YEAR(Tabela1[[#This Row],[Data de Validade]])</f>
        <v>2024</v>
      </c>
      <c r="I19" s="89">
        <f>MONTH(Tabela1[[#This Row],[Data de Validade]])</f>
        <v>5</v>
      </c>
      <c r="J19" s="101">
        <v>51114</v>
      </c>
      <c r="K19" s="87" t="s">
        <v>11</v>
      </c>
      <c r="L19" s="108"/>
      <c r="M19" s="108"/>
      <c r="N19" s="108" t="str">
        <v>P561H622</v>
      </c>
      <c r="O19" s="108">
        <f t="shared" si="0"/>
        <v>1</v>
      </c>
      <c r="P19" s="108"/>
      <c r="Q19"/>
    </row>
    <row r="20" spans="1:22" x14ac:dyDescent="0.25">
      <c r="A20" s="89" t="s">
        <v>5904</v>
      </c>
      <c r="B20" s="87" t="s">
        <v>5905</v>
      </c>
      <c r="C20" s="87" t="s">
        <v>8</v>
      </c>
      <c r="D20" s="87" t="str">
        <f>VLOOKUP(Tabela1[[#This Row],[Origem]], 'Perguntas 1 a 24'!$J$28:$K$34, 2, 0)</f>
        <v>Nordeste</v>
      </c>
      <c r="E20" s="87" t="str">
        <f>Tabela1[[#This Row],[Descrição]]&amp;"-"&amp;Tabela1[[#This Row],[Código]]&amp;"/"&amp;Tabela1[[#This Row],[Origem]]</f>
        <v>Limalegado-H635H414/AL</v>
      </c>
      <c r="F20" s="88">
        <v>45431</v>
      </c>
      <c r="G20" s="88" t="str" cm="1">
        <f t="array" ref="G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AND(F20&gt;= DATE(2026,1,1), F20&lt;= DATE(2028, 12, 31), J20&gt;50000), "Pendente e Caro", AND(F20&gt;= DATE(2026,1,1), F20&lt;= DATE(2028, 12, 31), J20&lt;=50000), "Pendente", F20&gt;= DATE(2029,1,1), "Não prioeitário")</f>
        <v>Urgente</v>
      </c>
      <c r="H20" s="89">
        <f>YEAR(Tabela1[[#This Row],[Data de Validade]])</f>
        <v>2024</v>
      </c>
      <c r="I20" s="89">
        <f>MONTH(Tabela1[[#This Row],[Data de Validade]])</f>
        <v>5</v>
      </c>
      <c r="J20" s="101">
        <v>41665</v>
      </c>
      <c r="K20" s="87" t="s">
        <v>9</v>
      </c>
      <c r="L20" s="108"/>
      <c r="M20" s="108"/>
      <c r="N20" s="108" t="str">
        <v>H635H414</v>
      </c>
      <c r="O20" s="108">
        <f t="shared" si="0"/>
        <v>1</v>
      </c>
      <c r="P20" s="108"/>
      <c r="Q20"/>
      <c r="S20" s="43"/>
    </row>
    <row r="21" spans="1:22" x14ac:dyDescent="0.25">
      <c r="A21" s="89" t="s">
        <v>8172</v>
      </c>
      <c r="B21" s="87" t="s">
        <v>8173</v>
      </c>
      <c r="C21" s="87" t="s">
        <v>16</v>
      </c>
      <c r="D21" s="87" t="str">
        <f>VLOOKUP(Tabela1[[#This Row],[Origem]], 'Perguntas 1 a 24'!$J$28:$K$34, 2, 0)</f>
        <v>Sudeste</v>
      </c>
      <c r="E21" s="87" t="str">
        <f>Tabela1[[#This Row],[Descrição]]&amp;"-"&amp;Tabela1[[#This Row],[Código]]&amp;"/"&amp;Tabela1[[#This Row],[Origem]]</f>
        <v>Tepogigiro-H877P957/MG</v>
      </c>
      <c r="F21" s="88">
        <v>45433</v>
      </c>
      <c r="G21" s="88" t="str" cm="1">
        <f t="array" ref="G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AND(F21&gt;= DATE(2026,1,1), F21&lt;= DATE(2028, 12, 31), J21&gt;50000), "Pendente e Caro", AND(F21&gt;= DATE(2026,1,1), F21&lt;= DATE(2028, 12, 31), J21&lt;=50000), "Pendente", F21&gt;= DATE(2029,1,1), "Não prioeitário")</f>
        <v>Urgente e Caro</v>
      </c>
      <c r="H21" s="89">
        <f>YEAR(Tabela1[[#This Row],[Data de Validade]])</f>
        <v>2024</v>
      </c>
      <c r="I21" s="89">
        <f>MONTH(Tabela1[[#This Row],[Data de Validade]])</f>
        <v>5</v>
      </c>
      <c r="J21" s="101">
        <v>87845</v>
      </c>
      <c r="K21" s="87" t="s">
        <v>9</v>
      </c>
      <c r="L21" s="108"/>
      <c r="M21" s="108"/>
      <c r="N21" s="108" t="str">
        <v>H877P957</v>
      </c>
      <c r="O21" s="108">
        <f t="shared" si="0"/>
        <v>1</v>
      </c>
      <c r="P21" s="108"/>
      <c r="Q21"/>
    </row>
    <row r="22" spans="1:22" x14ac:dyDescent="0.25">
      <c r="A22" s="89" t="s">
        <v>10607</v>
      </c>
      <c r="B22" s="87" t="s">
        <v>10608</v>
      </c>
      <c r="C22" s="87" t="s">
        <v>13</v>
      </c>
      <c r="D22" s="87" t="str">
        <f>VLOOKUP(Tabela1[[#This Row],[Origem]], 'Perguntas 1 a 24'!$J$28:$K$34, 2, 0)</f>
        <v>Sudeste</v>
      </c>
      <c r="E22" s="87" t="str">
        <f>Tabela1[[#This Row],[Descrição]]&amp;"-"&amp;Tabela1[[#This Row],[Código]]&amp;"/"&amp;Tabela1[[#This Row],[Origem]]</f>
        <v>Natavi-P767H833/SP</v>
      </c>
      <c r="F22" s="88">
        <v>45433</v>
      </c>
      <c r="G22" s="88" t="str" cm="1">
        <f t="array" ref="G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AND(F22&gt;= DATE(2026,1,1), F22&lt;= DATE(2028, 12, 31), J22&gt;50000), "Pendente e Caro", AND(F22&gt;= DATE(2026,1,1), F22&lt;= DATE(2028, 12, 31), J22&lt;=50000), "Pendente", F22&gt;= DATE(2029,1,1), "Não prioeitário")</f>
        <v>Urgente e Caro</v>
      </c>
      <c r="H22" s="89">
        <f>YEAR(Tabela1[[#This Row],[Data de Validade]])</f>
        <v>2024</v>
      </c>
      <c r="I22" s="89">
        <f>MONTH(Tabela1[[#This Row],[Data de Validade]])</f>
        <v>5</v>
      </c>
      <c r="J22" s="101">
        <v>50593</v>
      </c>
      <c r="K22" s="87" t="s">
        <v>7</v>
      </c>
      <c r="L22" s="108"/>
      <c r="M22" s="108"/>
      <c r="N22" s="108" t="str">
        <v>P767H833</v>
      </c>
      <c r="O22" s="108">
        <f t="shared" si="0"/>
        <v>1</v>
      </c>
      <c r="P22" s="108"/>
      <c r="Q22"/>
      <c r="S22" s="132" t="s">
        <v>11354</v>
      </c>
      <c r="T22" s="132"/>
      <c r="U22" s="132"/>
      <c r="V22" s="132"/>
    </row>
    <row r="23" spans="1:22" x14ac:dyDescent="0.25">
      <c r="A23" s="89" t="s">
        <v>10577</v>
      </c>
      <c r="B23" s="87" t="s">
        <v>10578</v>
      </c>
      <c r="C23" s="87" t="s">
        <v>10</v>
      </c>
      <c r="D23" s="87" t="str">
        <f>VLOOKUP(Tabela1[[#This Row],[Origem]], 'Perguntas 1 a 24'!$J$28:$K$34, 2, 0)</f>
        <v>Centro-Oeste</v>
      </c>
      <c r="E23" s="87" t="str">
        <f>Tabela1[[#This Row],[Descrição]]&amp;"-"&amp;Tabela1[[#This Row],[Código]]&amp;"/"&amp;Tabela1[[#This Row],[Origem]]</f>
        <v>Mafune-P472P981/GO</v>
      </c>
      <c r="F23" s="88">
        <v>45434</v>
      </c>
      <c r="G23" s="88" t="str" cm="1">
        <f t="array" ref="G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AND(F23&gt;= DATE(2026,1,1), F23&lt;= DATE(2028, 12, 31), J23&gt;50000), "Pendente e Caro", AND(F23&gt;= DATE(2026,1,1), F23&lt;= DATE(2028, 12, 31), J23&lt;=50000), "Pendente", F23&gt;= DATE(2029,1,1), "Não prioeitário")</f>
        <v>Urgente e Caro</v>
      </c>
      <c r="H23" s="89">
        <f>YEAR(Tabela1[[#This Row],[Data de Validade]])</f>
        <v>2024</v>
      </c>
      <c r="I23" s="89">
        <f>MONTH(Tabela1[[#This Row],[Data de Validade]])</f>
        <v>5</v>
      </c>
      <c r="J23" s="101">
        <v>78874</v>
      </c>
      <c r="K23" s="87" t="s">
        <v>14</v>
      </c>
      <c r="L23" s="108"/>
      <c r="M23" s="108"/>
      <c r="N23" s="108" t="str">
        <v>P472P981</v>
      </c>
      <c r="O23" s="108">
        <f t="shared" si="0"/>
        <v>1</v>
      </c>
      <c r="P23" s="108"/>
      <c r="Q23"/>
      <c r="R23" s="9" t="s">
        <v>35</v>
      </c>
      <c r="S23" s="78" t="s">
        <v>0</v>
      </c>
      <c r="T23" s="78" t="s">
        <v>1</v>
      </c>
      <c r="U23" s="78" t="s">
        <v>4</v>
      </c>
      <c r="V23" s="78" t="s">
        <v>5</v>
      </c>
    </row>
    <row r="24" spans="1:22" x14ac:dyDescent="0.25">
      <c r="A24" s="89" t="s">
        <v>10533</v>
      </c>
      <c r="B24" s="87" t="s">
        <v>10534</v>
      </c>
      <c r="C24" s="87" t="s">
        <v>6</v>
      </c>
      <c r="D24" s="87" t="str">
        <f>VLOOKUP(Tabela1[[#This Row],[Origem]], 'Perguntas 1 a 24'!$J$28:$K$34, 2, 0)</f>
        <v>Nordeste</v>
      </c>
      <c r="E24" s="87" t="str">
        <f>Tabela1[[#This Row],[Descrição]]&amp;"-"&amp;Tabela1[[#This Row],[Código]]&amp;"/"&amp;Tabela1[[#This Row],[Origem]]</f>
        <v>Pevupetiti-H124P283/MA</v>
      </c>
      <c r="F24" s="88">
        <v>45434</v>
      </c>
      <c r="G24" s="88" t="str" cm="1">
        <f t="array" ref="G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AND(F24&gt;= DATE(2026,1,1), F24&lt;= DATE(2028, 12, 31), J24&gt;50000), "Pendente e Caro", AND(F24&gt;= DATE(2026,1,1), F24&lt;= DATE(2028, 12, 31), J24&lt;=50000), "Pendente", F24&gt;= DATE(2029,1,1), "Não prioeitário")</f>
        <v>Urgente</v>
      </c>
      <c r="H24" s="89">
        <f>YEAR(Tabela1[[#This Row],[Data de Validade]])</f>
        <v>2024</v>
      </c>
      <c r="I24" s="89">
        <f>MONTH(Tabela1[[#This Row],[Data de Validade]])</f>
        <v>5</v>
      </c>
      <c r="J24" s="101">
        <v>41981</v>
      </c>
      <c r="K24" s="87" t="s">
        <v>11</v>
      </c>
      <c r="L24" s="108"/>
      <c r="M24" s="108"/>
      <c r="N24" s="108" t="str">
        <v>H124P283</v>
      </c>
      <c r="O24" s="108">
        <f t="shared" si="0"/>
        <v>1</v>
      </c>
      <c r="P24" s="108"/>
      <c r="Q24"/>
      <c r="R24" s="11">
        <v>1</v>
      </c>
      <c r="S24" s="12" t="str">
        <f>INDEX(A:A, MATCH(LARGE(J:J, R24),J:J, 0))</f>
        <v>Vutufe</v>
      </c>
      <c r="T24" s="12" t="str">
        <f>INDEX(B:B, MATCH(LARGE(J:J,R24),J:J, 0))</f>
        <v>P873H963</v>
      </c>
      <c r="U24" s="100" cm="1">
        <f t="array" ref="U24">INDEX(J:J, MATCH(LARGE(J:J, R24), J:J,0), 0)</f>
        <v>119945</v>
      </c>
      <c r="V24" s="12" t="str" cm="1">
        <f t="array" ref="V24">INDEX(K:K, MATCH(LARGE(J:J, R24),J:J, 0), 0)</f>
        <v>Panamá</v>
      </c>
    </row>
    <row r="25" spans="1:22" x14ac:dyDescent="0.25">
      <c r="A25" s="89" t="s">
        <v>6350</v>
      </c>
      <c r="B25" s="87" t="s">
        <v>6351</v>
      </c>
      <c r="C25" s="87" t="s">
        <v>8</v>
      </c>
      <c r="D25" s="87" t="str">
        <f>VLOOKUP(Tabela1[[#This Row],[Origem]], 'Perguntas 1 a 24'!$J$28:$K$34, 2, 0)</f>
        <v>Nordeste</v>
      </c>
      <c r="E25" s="87" t="str">
        <f>Tabela1[[#This Row],[Descrição]]&amp;"-"&amp;Tabela1[[#This Row],[Código]]&amp;"/"&amp;Tabela1[[#This Row],[Origem]]</f>
        <v>Vapotudi-P716H775/AL</v>
      </c>
      <c r="F25" s="88">
        <v>45434</v>
      </c>
      <c r="G25" s="88" t="str" cm="1">
        <f t="array" ref="G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AND(F25&gt;= DATE(2026,1,1), F25&lt;= DATE(2028, 12, 31), J25&gt;50000), "Pendente e Caro", AND(F25&gt;= DATE(2026,1,1), F25&lt;= DATE(2028, 12, 31), J25&lt;=50000), "Pendente", F25&gt;= DATE(2029,1,1), "Não prioeitário")</f>
        <v>Urgente</v>
      </c>
      <c r="H25" s="89">
        <f>YEAR(Tabela1[[#This Row],[Data de Validade]])</f>
        <v>2024</v>
      </c>
      <c r="I25" s="89">
        <f>MONTH(Tabela1[[#This Row],[Data de Validade]])</f>
        <v>5</v>
      </c>
      <c r="J25" s="101">
        <v>24458</v>
      </c>
      <c r="K25" s="87" t="s">
        <v>9</v>
      </c>
      <c r="L25" s="108"/>
      <c r="M25" s="108"/>
      <c r="N25" s="108" t="str">
        <v>P716H775</v>
      </c>
      <c r="O25" s="108">
        <f t="shared" si="0"/>
        <v>1</v>
      </c>
      <c r="P25" s="108"/>
      <c r="Q25"/>
      <c r="R25" s="11">
        <v>2</v>
      </c>
      <c r="S25" s="12" t="str">
        <f>INDEX(A:A, MATCH(LARGE(J:J, R25),J:J, 0))</f>
        <v>Licapiro</v>
      </c>
      <c r="T25" s="12" t="str">
        <f>INDEX(B:B, MATCH(LARGE(J:J,R25),J:J, 0))</f>
        <v>H948H323</v>
      </c>
      <c r="U25" s="100" cm="1">
        <f t="array" ref="U25">INDEX(J:J, MATCH(LARGE(J:J, R25), J:J,0), 0)</f>
        <v>119933</v>
      </c>
      <c r="V25" s="12" t="str" cm="1">
        <f t="array" ref="V25">INDEX(K:K, MATCH(LARGE(J:J, R25),J:J, 0), 0)</f>
        <v>Austrália</v>
      </c>
    </row>
    <row r="26" spans="1:22" x14ac:dyDescent="0.25">
      <c r="A26" s="89" t="s">
        <v>10165</v>
      </c>
      <c r="B26" s="87" t="s">
        <v>10166</v>
      </c>
      <c r="C26" s="87" t="s">
        <v>6</v>
      </c>
      <c r="D26" s="87" t="str">
        <f>VLOOKUP(Tabela1[[#This Row],[Origem]], 'Perguntas 1 a 24'!$J$28:$K$34, 2, 0)</f>
        <v>Nordeste</v>
      </c>
      <c r="E26" s="87" t="str">
        <f>Tabela1[[#This Row],[Descrição]]&amp;"-"&amp;Tabela1[[#This Row],[Código]]&amp;"/"&amp;Tabela1[[#This Row],[Origem]]</f>
        <v>Pavaputi-P441H685/MA</v>
      </c>
      <c r="F26" s="88">
        <v>45435</v>
      </c>
      <c r="G26" s="88" t="str" cm="1">
        <f t="array" ref="G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AND(F26&gt;= DATE(2026,1,1), F26&lt;= DATE(2028, 12, 31), J26&gt;50000), "Pendente e Caro", AND(F26&gt;= DATE(2026,1,1), F26&lt;= DATE(2028, 12, 31), J26&lt;=50000), "Pendente", F26&gt;= DATE(2029,1,1), "Não prioeitário")</f>
        <v>Urgente e Caro</v>
      </c>
      <c r="H26" s="89">
        <f>YEAR(Tabela1[[#This Row],[Data de Validade]])</f>
        <v>2024</v>
      </c>
      <c r="I26" s="89">
        <f>MONTH(Tabela1[[#This Row],[Data de Validade]])</f>
        <v>5</v>
      </c>
      <c r="J26" s="101">
        <v>114895</v>
      </c>
      <c r="K26" s="87" t="s">
        <v>11</v>
      </c>
      <c r="L26" s="108"/>
      <c r="M26" s="108"/>
      <c r="N26" s="108" t="str">
        <v>P441H685</v>
      </c>
      <c r="O26" s="108">
        <f t="shared" si="0"/>
        <v>1</v>
      </c>
      <c r="P26" s="108"/>
      <c r="Q26"/>
      <c r="R26" s="11">
        <v>3</v>
      </c>
      <c r="S26" s="12" t="str">
        <f>INDEX(A:A, MATCH(LARGE(J:J, R26),J:J, 0))</f>
        <v>Gopenemo</v>
      </c>
      <c r="T26" s="12" t="str">
        <f>INDEX(B:B, MATCH(LARGE(J:J,R26),J:J, 0))</f>
        <v>H155P441</v>
      </c>
      <c r="U26" s="100" cm="1">
        <f t="array" ref="U26">INDEX(J:J, MATCH(LARGE(J:J, R26), J:J,0), 0)</f>
        <v>119903</v>
      </c>
      <c r="V26" s="12" t="str" cm="1">
        <f t="array" ref="V26">INDEX(K:K, MATCH(LARGE(J:J, R26),J:J, 0), 0)</f>
        <v>Austrália</v>
      </c>
    </row>
    <row r="27" spans="1:22" x14ac:dyDescent="0.25">
      <c r="A27" s="89" t="s">
        <v>10431</v>
      </c>
      <c r="B27" s="87" t="s">
        <v>10432</v>
      </c>
      <c r="C27" s="87" t="s">
        <v>8</v>
      </c>
      <c r="D27" s="87" t="str">
        <f>VLOOKUP(Tabela1[[#This Row],[Origem]], 'Perguntas 1 a 24'!$J$28:$K$34, 2, 0)</f>
        <v>Nordeste</v>
      </c>
      <c r="E27" s="87" t="str">
        <f>Tabela1[[#This Row],[Descrição]]&amp;"-"&amp;Tabela1[[#This Row],[Código]]&amp;"/"&amp;Tabela1[[#This Row],[Origem]]</f>
        <v>Varive-H867P288/AL</v>
      </c>
      <c r="F27" s="88">
        <v>45435</v>
      </c>
      <c r="G27" s="88" t="str" cm="1">
        <f t="array" ref="G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AND(F27&gt;= DATE(2026,1,1), F27&lt;= DATE(2028, 12, 31), J27&gt;50000), "Pendente e Caro", AND(F27&gt;= DATE(2026,1,1), F27&lt;= DATE(2028, 12, 31), J27&lt;=50000), "Pendente", F27&gt;= DATE(2029,1,1), "Não prioeitário")</f>
        <v>Urgente e Caro</v>
      </c>
      <c r="H27" s="89">
        <f>YEAR(Tabela1[[#This Row],[Data de Validade]])</f>
        <v>2024</v>
      </c>
      <c r="I27" s="89">
        <f>MONTH(Tabela1[[#This Row],[Data de Validade]])</f>
        <v>5</v>
      </c>
      <c r="J27" s="101">
        <v>62600</v>
      </c>
      <c r="K27" s="87" t="s">
        <v>11</v>
      </c>
      <c r="L27" s="108"/>
      <c r="M27" s="108"/>
      <c r="N27" s="108" t="str">
        <v>H867P288</v>
      </c>
      <c r="O27" s="108">
        <f t="shared" si="0"/>
        <v>1</v>
      </c>
      <c r="P27" s="108"/>
      <c r="Q27"/>
      <c r="R27" s="11">
        <v>4</v>
      </c>
      <c r="S27" s="12" t="str">
        <f>INDEX(A:A, MATCH(LARGE(J:J, R27),J:J, 0))</f>
        <v>Petitode</v>
      </c>
      <c r="T27" s="12" t="str">
        <f>INDEX(B:B, MATCH(LARGE(J:J,R27),J:J, 0))</f>
        <v>H119P473</v>
      </c>
      <c r="U27" s="100" cm="1">
        <f t="array" ref="U27">INDEX(J:J, MATCH(LARGE(J:J, R27), J:J,0), 0)</f>
        <v>119901</v>
      </c>
      <c r="V27" s="12" t="str" cm="1">
        <f t="array" ref="V27">INDEX(K:K, MATCH(LARGE(J:J, R27),J:J, 0), 0)</f>
        <v>Austrália</v>
      </c>
    </row>
    <row r="28" spans="1:22" x14ac:dyDescent="0.25">
      <c r="A28" s="89" t="s">
        <v>10663</v>
      </c>
      <c r="B28" s="87" t="s">
        <v>10664</v>
      </c>
      <c r="C28" s="87" t="s">
        <v>15</v>
      </c>
      <c r="D28" s="87" t="str">
        <f>VLOOKUP(Tabela1[[#This Row],[Origem]], 'Perguntas 1 a 24'!$J$28:$K$34, 2, 0)</f>
        <v>Sudeste</v>
      </c>
      <c r="E28" s="87" t="str">
        <f>Tabela1[[#This Row],[Descrição]]&amp;"-"&amp;Tabela1[[#This Row],[Código]]&amp;"/"&amp;Tabela1[[#This Row],[Origem]]</f>
        <v>Momupa-P892H748/ES</v>
      </c>
      <c r="F28" s="88">
        <v>45436</v>
      </c>
      <c r="G28" s="88" t="str" cm="1">
        <f t="array" ref="G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AND(F28&gt;= DATE(2026,1,1), F28&lt;= DATE(2028, 12, 31), J28&gt;50000), "Pendente e Caro", AND(F28&gt;= DATE(2026,1,1), F28&lt;= DATE(2028, 12, 31), J28&lt;=50000), "Pendente", F28&gt;= DATE(2029,1,1), "Não prioeitário")</f>
        <v>Urgente e Caro</v>
      </c>
      <c r="H28" s="89">
        <f>YEAR(Tabela1[[#This Row],[Data de Validade]])</f>
        <v>2024</v>
      </c>
      <c r="I28" s="89">
        <f>MONTH(Tabela1[[#This Row],[Data de Validade]])</f>
        <v>5</v>
      </c>
      <c r="J28" s="101">
        <v>75024</v>
      </c>
      <c r="K28" s="87" t="s">
        <v>14</v>
      </c>
      <c r="L28" s="108"/>
      <c r="M28" s="108"/>
      <c r="N28" s="108" t="str">
        <v>P892H748</v>
      </c>
      <c r="O28" s="108">
        <f t="shared" si="0"/>
        <v>1</v>
      </c>
      <c r="P28" s="108"/>
      <c r="Q28"/>
      <c r="R28" s="11">
        <v>5</v>
      </c>
      <c r="S28" s="12" t="str">
        <f>INDEX(A:A, MATCH(LARGE(J:J, R28),J:J, 0))</f>
        <v>Vigopurutu</v>
      </c>
      <c r="T28" s="12" t="str">
        <f>INDEX(B:B, MATCH(LARGE(J:J,R28),J:J, 0))</f>
        <v>H776P365</v>
      </c>
      <c r="U28" s="100" cm="1">
        <f t="array" ref="U28">INDEX(J:J, MATCH(LARGE(J:J, R28), J:J,0), 0)</f>
        <v>119889</v>
      </c>
      <c r="V28" s="12" t="str" cm="1">
        <f t="array" ref="V28">INDEX(K:K, MATCH(LARGE(J:J, R28),J:J, 0), 0)</f>
        <v>Panamá</v>
      </c>
    </row>
    <row r="29" spans="1:22" x14ac:dyDescent="0.25">
      <c r="A29" s="89" t="s">
        <v>4269</v>
      </c>
      <c r="B29" s="87" t="s">
        <v>4270</v>
      </c>
      <c r="C29" s="87" t="s">
        <v>10</v>
      </c>
      <c r="D29" s="87" t="str">
        <f>VLOOKUP(Tabela1[[#This Row],[Origem]], 'Perguntas 1 a 24'!$J$28:$K$34, 2, 0)</f>
        <v>Centro-Oeste</v>
      </c>
      <c r="E29" s="87" t="str">
        <f>Tabela1[[#This Row],[Descrição]]&amp;"-"&amp;Tabela1[[#This Row],[Código]]&amp;"/"&amp;Tabela1[[#This Row],[Origem]]</f>
        <v>Retorago-H872P394/GO</v>
      </c>
      <c r="F29" s="88">
        <v>45437</v>
      </c>
      <c r="G29" s="88" t="str" cm="1">
        <f t="array" ref="G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AND(F29&gt;= DATE(2026,1,1), F29&lt;= DATE(2028, 12, 31), J29&gt;50000), "Pendente e Caro", AND(F29&gt;= DATE(2026,1,1), F29&lt;= DATE(2028, 12, 31), J29&lt;=50000), "Pendente", F29&gt;= DATE(2029,1,1), "Não prioeitário")</f>
        <v>Urgente e Caro</v>
      </c>
      <c r="H29" s="89">
        <f>YEAR(Tabela1[[#This Row],[Data de Validade]])</f>
        <v>2024</v>
      </c>
      <c r="I29" s="89">
        <f>MONTH(Tabela1[[#This Row],[Data de Validade]])</f>
        <v>5</v>
      </c>
      <c r="J29" s="101">
        <v>86978</v>
      </c>
      <c r="K29" s="87" t="s">
        <v>14</v>
      </c>
      <c r="L29" s="108"/>
      <c r="M29" s="108"/>
      <c r="N29" s="108" t="str">
        <v>H872P394</v>
      </c>
      <c r="O29" s="108">
        <f t="shared" si="0"/>
        <v>1</v>
      </c>
      <c r="P29" s="108"/>
      <c r="Q29"/>
    </row>
    <row r="30" spans="1:22" x14ac:dyDescent="0.25">
      <c r="A30" s="89" t="s">
        <v>10691</v>
      </c>
      <c r="B30" s="87" t="s">
        <v>10692</v>
      </c>
      <c r="C30" s="87" t="s">
        <v>10</v>
      </c>
      <c r="D30" s="87" t="str">
        <f>VLOOKUP(Tabela1[[#This Row],[Origem]], 'Perguntas 1 a 24'!$J$28:$K$34, 2, 0)</f>
        <v>Centro-Oeste</v>
      </c>
      <c r="E30" s="87" t="str">
        <f>Tabela1[[#This Row],[Descrição]]&amp;"-"&amp;Tabela1[[#This Row],[Código]]&amp;"/"&amp;Tabela1[[#This Row],[Origem]]</f>
        <v>Vicofegu-H186H326/GO</v>
      </c>
      <c r="F30" s="88">
        <v>45437</v>
      </c>
      <c r="G30" s="88" t="str" cm="1">
        <f t="array" ref="G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AND(F30&gt;= DATE(2026,1,1), F30&lt;= DATE(2028, 12, 31), J30&gt;50000), "Pendente e Caro", AND(F30&gt;= DATE(2026,1,1), F30&lt;= DATE(2028, 12, 31), J30&lt;=50000), "Pendente", F30&gt;= DATE(2029,1,1), "Não prioeitário")</f>
        <v>Urgente</v>
      </c>
      <c r="H30" s="89">
        <f>YEAR(Tabela1[[#This Row],[Data de Validade]])</f>
        <v>2024</v>
      </c>
      <c r="I30" s="89">
        <f>MONTH(Tabela1[[#This Row],[Data de Validade]])</f>
        <v>5</v>
      </c>
      <c r="J30" s="101">
        <v>36787</v>
      </c>
      <c r="K30" s="87" t="s">
        <v>7</v>
      </c>
      <c r="L30" s="108"/>
      <c r="M30" s="108"/>
      <c r="N30" s="108" t="str">
        <v>H186H326</v>
      </c>
      <c r="O30" s="108">
        <f t="shared" si="0"/>
        <v>1</v>
      </c>
      <c r="P30" s="108"/>
      <c r="Q30"/>
    </row>
    <row r="31" spans="1:22" x14ac:dyDescent="0.25">
      <c r="A31" s="89" t="s">
        <v>10433</v>
      </c>
      <c r="B31" s="87" t="s">
        <v>10434</v>
      </c>
      <c r="C31" s="87" t="s">
        <v>10</v>
      </c>
      <c r="D31" s="87" t="str">
        <f>VLOOKUP(Tabela1[[#This Row],[Origem]], 'Perguntas 1 a 24'!$J$28:$K$34, 2, 0)</f>
        <v>Centro-Oeste</v>
      </c>
      <c r="E31" s="87" t="str">
        <f>Tabela1[[#This Row],[Descrição]]&amp;"-"&amp;Tabela1[[#This Row],[Código]]&amp;"/"&amp;Tabela1[[#This Row],[Origem]]</f>
        <v>Paleropu-H611P813/GO</v>
      </c>
      <c r="F31" s="88">
        <v>45438</v>
      </c>
      <c r="G31" s="88" t="str" cm="1">
        <f t="array" ref="G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AND(F31&gt;= DATE(2026,1,1), F31&lt;= DATE(2028, 12, 31), J31&gt;50000), "Pendente e Caro", AND(F31&gt;= DATE(2026,1,1), F31&lt;= DATE(2028, 12, 31), J31&lt;=50000), "Pendente", F31&gt;= DATE(2029,1,1), "Não prioeitário")</f>
        <v>Urgente e Caro</v>
      </c>
      <c r="H31" s="89">
        <f>YEAR(Tabela1[[#This Row],[Data de Validade]])</f>
        <v>2024</v>
      </c>
      <c r="I31" s="89">
        <f>MONTH(Tabela1[[#This Row],[Data de Validade]])</f>
        <v>5</v>
      </c>
      <c r="J31" s="101">
        <v>114045</v>
      </c>
      <c r="K31" s="87" t="s">
        <v>14</v>
      </c>
      <c r="L31" s="108"/>
      <c r="M31" s="108"/>
      <c r="N31" s="108" t="str">
        <v>H611P813</v>
      </c>
      <c r="O31" s="108">
        <f t="shared" si="0"/>
        <v>1</v>
      </c>
      <c r="P31" s="108"/>
      <c r="Q31"/>
    </row>
    <row r="32" spans="1:22" x14ac:dyDescent="0.25">
      <c r="A32" s="89" t="s">
        <v>6512</v>
      </c>
      <c r="B32" s="87" t="s">
        <v>6513</v>
      </c>
      <c r="C32" s="87" t="s">
        <v>13</v>
      </c>
      <c r="D32" s="87" t="str">
        <f>VLOOKUP(Tabela1[[#This Row],[Origem]], 'Perguntas 1 a 24'!$J$28:$K$34, 2, 0)</f>
        <v>Sudeste</v>
      </c>
      <c r="E32" s="87" t="str">
        <f>Tabela1[[#This Row],[Descrição]]&amp;"-"&amp;Tabela1[[#This Row],[Código]]&amp;"/"&amp;Tabela1[[#This Row],[Origem]]</f>
        <v>Teterifipa-P876H266/SP</v>
      </c>
      <c r="F32" s="88">
        <v>45438</v>
      </c>
      <c r="G32" s="88" t="str" cm="1">
        <f t="array" ref="G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AND(F32&gt;= DATE(2026,1,1), F32&lt;= DATE(2028, 12, 31), J32&gt;50000), "Pendente e Caro", AND(F32&gt;= DATE(2026,1,1), F32&lt;= DATE(2028, 12, 31), J32&lt;=50000), "Pendente", F32&gt;= DATE(2029,1,1), "Não prioeitário")</f>
        <v>Urgente e Caro</v>
      </c>
      <c r="H32" s="89">
        <f>YEAR(Tabela1[[#This Row],[Data de Validade]])</f>
        <v>2024</v>
      </c>
      <c r="I32" s="89">
        <f>MONTH(Tabela1[[#This Row],[Data de Validade]])</f>
        <v>5</v>
      </c>
      <c r="J32" s="101">
        <v>90122</v>
      </c>
      <c r="K32" s="87" t="s">
        <v>14</v>
      </c>
      <c r="L32" s="108"/>
      <c r="M32" s="108"/>
      <c r="N32" s="108" t="str">
        <v>P876H266</v>
      </c>
      <c r="O32" s="108">
        <f t="shared" si="0"/>
        <v>1</v>
      </c>
      <c r="P32" s="108"/>
      <c r="Q32"/>
    </row>
    <row r="33" spans="1:19" x14ac:dyDescent="0.25">
      <c r="A33" s="89" t="s">
        <v>8448</v>
      </c>
      <c r="B33" s="87" t="s">
        <v>8449</v>
      </c>
      <c r="C33" s="87" t="s">
        <v>13</v>
      </c>
      <c r="D33" s="87" t="str">
        <f>VLOOKUP(Tabela1[[#This Row],[Origem]], 'Perguntas 1 a 24'!$J$28:$K$34, 2, 0)</f>
        <v>Sudeste</v>
      </c>
      <c r="E33" s="87" t="str">
        <f>Tabela1[[#This Row],[Descrição]]&amp;"-"&amp;Tabela1[[#This Row],[Código]]&amp;"/"&amp;Tabela1[[#This Row],[Origem]]</f>
        <v>Tupagada-P422H219/SP</v>
      </c>
      <c r="F33" s="88">
        <v>45438</v>
      </c>
      <c r="G33" s="88" t="str" cm="1">
        <f t="array" ref="G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AND(F33&gt;= DATE(2026,1,1), F33&lt;= DATE(2028, 12, 31), J33&gt;50000), "Pendente e Caro", AND(F33&gt;= DATE(2026,1,1), F33&lt;= DATE(2028, 12, 31), J33&lt;=50000), "Pendente", F33&gt;= DATE(2029,1,1), "Não prioeitário")</f>
        <v>Urgente</v>
      </c>
      <c r="H33" s="89">
        <f>YEAR(Tabela1[[#This Row],[Data de Validade]])</f>
        <v>2024</v>
      </c>
      <c r="I33" s="89">
        <f>MONTH(Tabela1[[#This Row],[Data de Validade]])</f>
        <v>5</v>
      </c>
      <c r="J33" s="101">
        <v>35450</v>
      </c>
      <c r="K33" s="87" t="s">
        <v>11</v>
      </c>
      <c r="L33" s="108"/>
      <c r="M33" s="108"/>
      <c r="N33" s="108" t="str">
        <v>P422H219</v>
      </c>
      <c r="O33" s="108">
        <f t="shared" si="0"/>
        <v>1</v>
      </c>
      <c r="P33" s="108"/>
      <c r="Q33"/>
    </row>
    <row r="34" spans="1:19" x14ac:dyDescent="0.25">
      <c r="A34" s="89" t="s">
        <v>6426</v>
      </c>
      <c r="B34" s="87" t="s">
        <v>6427</v>
      </c>
      <c r="C34" s="87" t="s">
        <v>13</v>
      </c>
      <c r="D34" s="87" t="str">
        <f>VLOOKUP(Tabela1[[#This Row],[Origem]], 'Perguntas 1 a 24'!$J$28:$K$34, 2, 0)</f>
        <v>Sudeste</v>
      </c>
      <c r="E34" s="87" t="str">
        <f>Tabela1[[#This Row],[Descrição]]&amp;"-"&amp;Tabela1[[#This Row],[Código]]&amp;"/"&amp;Tabela1[[#This Row],[Origem]]</f>
        <v>Porepore-P873P382/SP</v>
      </c>
      <c r="F34" s="88">
        <v>45441</v>
      </c>
      <c r="G34" s="88" t="str" cm="1">
        <f t="array" ref="G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AND(F34&gt;= DATE(2026,1,1), F34&lt;= DATE(2028, 12, 31), J34&gt;50000), "Pendente e Caro", AND(F34&gt;= DATE(2026,1,1), F34&lt;= DATE(2028, 12, 31), J34&lt;=50000), "Pendente", F34&gt;= DATE(2029,1,1), "Não prioeitário")</f>
        <v>Urgente e Caro</v>
      </c>
      <c r="H34" s="89">
        <f>YEAR(Tabela1[[#This Row],[Data de Validade]])</f>
        <v>2024</v>
      </c>
      <c r="I34" s="89">
        <f>MONTH(Tabela1[[#This Row],[Data de Validade]])</f>
        <v>5</v>
      </c>
      <c r="J34" s="101">
        <v>103488</v>
      </c>
      <c r="K34" s="87" t="s">
        <v>9</v>
      </c>
      <c r="L34" s="108"/>
      <c r="M34" s="108"/>
      <c r="N34" s="108" t="str">
        <v>P873P382</v>
      </c>
      <c r="O34" s="108">
        <f t="shared" si="0"/>
        <v>1</v>
      </c>
      <c r="P34" s="108"/>
      <c r="Q34"/>
    </row>
    <row r="35" spans="1:19" x14ac:dyDescent="0.25">
      <c r="A35" s="89" t="s">
        <v>8565</v>
      </c>
      <c r="B35" s="87" t="s">
        <v>8566</v>
      </c>
      <c r="C35" s="87" t="s">
        <v>13</v>
      </c>
      <c r="D35" s="87" t="str">
        <f>VLOOKUP(Tabela1[[#This Row],[Origem]], 'Perguntas 1 a 24'!$J$28:$K$34, 2, 0)</f>
        <v>Sudeste</v>
      </c>
      <c r="E35" s="87" t="str">
        <f>Tabela1[[#This Row],[Descrição]]&amp;"-"&amp;Tabela1[[#This Row],[Código]]&amp;"/"&amp;Tabela1[[#This Row],[Origem]]</f>
        <v>Tacicopo-P561P729/SP</v>
      </c>
      <c r="F35" s="88">
        <v>45442</v>
      </c>
      <c r="G35" s="88" t="str" cm="1">
        <f t="array" ref="G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AND(F35&gt;= DATE(2026,1,1), F35&lt;= DATE(2028, 12, 31), J35&gt;50000), "Pendente e Caro", AND(F35&gt;= DATE(2026,1,1), F35&lt;= DATE(2028, 12, 31), J35&lt;=50000), "Pendente", F35&gt;= DATE(2029,1,1), "Não prioeitário")</f>
        <v>Urgente e Caro</v>
      </c>
      <c r="H35" s="89">
        <f>YEAR(Tabela1[[#This Row],[Data de Validade]])</f>
        <v>2024</v>
      </c>
      <c r="I35" s="89">
        <f>MONTH(Tabela1[[#This Row],[Data de Validade]])</f>
        <v>5</v>
      </c>
      <c r="J35" s="101">
        <v>68472</v>
      </c>
      <c r="K35" s="87" t="s">
        <v>14</v>
      </c>
      <c r="L35" s="108"/>
      <c r="M35" s="108"/>
      <c r="N35" s="108" t="str">
        <v>P561P729</v>
      </c>
      <c r="O35" s="108">
        <f t="shared" si="0"/>
        <v>1</v>
      </c>
      <c r="P35" s="108"/>
      <c r="Q35"/>
    </row>
    <row r="36" spans="1:19" x14ac:dyDescent="0.25">
      <c r="A36" s="89" t="s">
        <v>7310</v>
      </c>
      <c r="B36" s="87" t="s">
        <v>7311</v>
      </c>
      <c r="C36" s="87" t="s">
        <v>12</v>
      </c>
      <c r="D36" s="87" t="str">
        <f>VLOOKUP(Tabela1[[#This Row],[Origem]], 'Perguntas 1 a 24'!$J$28:$K$34, 2, 0)</f>
        <v>Sudeste</v>
      </c>
      <c r="E36" s="87" t="str">
        <f>Tabela1[[#This Row],[Descrição]]&amp;"-"&amp;Tabela1[[#This Row],[Código]]&amp;"/"&amp;Tabela1[[#This Row],[Origem]]</f>
        <v>Macirori-H925H857/RJ</v>
      </c>
      <c r="F36" s="88">
        <v>45442</v>
      </c>
      <c r="G36" s="88" t="str" cm="1">
        <f t="array" ref="G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AND(F36&gt;= DATE(2026,1,1), F36&lt;= DATE(2028, 12, 31), J36&gt;50000), "Pendente e Caro", AND(F36&gt;= DATE(2026,1,1), F36&lt;= DATE(2028, 12, 31), J36&lt;=50000), "Pendente", F36&gt;= DATE(2029,1,1), "Não prioeitário")</f>
        <v>Urgente</v>
      </c>
      <c r="H36" s="89">
        <f>YEAR(Tabela1[[#This Row],[Data de Validade]])</f>
        <v>2024</v>
      </c>
      <c r="I36" s="89">
        <f>MONTH(Tabela1[[#This Row],[Data de Validade]])</f>
        <v>5</v>
      </c>
      <c r="J36" s="101">
        <v>22772</v>
      </c>
      <c r="K36" s="87" t="s">
        <v>11</v>
      </c>
      <c r="L36" s="108"/>
      <c r="M36" s="108"/>
      <c r="N36" s="108" t="str">
        <v>H925H857</v>
      </c>
      <c r="O36" s="108">
        <f t="shared" si="0"/>
        <v>1</v>
      </c>
      <c r="P36" s="108"/>
      <c r="Q36"/>
      <c r="S36" s="67"/>
    </row>
    <row r="37" spans="1:19" x14ac:dyDescent="0.25">
      <c r="A37" s="89" t="s">
        <v>10359</v>
      </c>
      <c r="B37" s="87" t="s">
        <v>10360</v>
      </c>
      <c r="C37" s="87" t="s">
        <v>6</v>
      </c>
      <c r="D37" s="87" t="str">
        <f>VLOOKUP(Tabela1[[#This Row],[Origem]], 'Perguntas 1 a 24'!$J$28:$K$34, 2, 0)</f>
        <v>Nordeste</v>
      </c>
      <c r="E37" s="87" t="str">
        <f>Tabela1[[#This Row],[Descrição]]&amp;"-"&amp;Tabela1[[#This Row],[Código]]&amp;"/"&amp;Tabela1[[#This Row],[Origem]]</f>
        <v>Pavifepo-H499P514/MA</v>
      </c>
      <c r="F37" s="88">
        <v>45443</v>
      </c>
      <c r="G37" s="88" t="str" cm="1">
        <f t="array" ref="G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AND(F37&gt;= DATE(2026,1,1), F37&lt;= DATE(2028, 12, 31), J37&gt;50000), "Pendente e Caro", AND(F37&gt;= DATE(2026,1,1), F37&lt;= DATE(2028, 12, 31), J37&lt;=50000), "Pendente", F37&gt;= DATE(2029,1,1), "Não prioeitário")</f>
        <v>Urgente</v>
      </c>
      <c r="H37" s="89">
        <f>YEAR(Tabela1[[#This Row],[Data de Validade]])</f>
        <v>2024</v>
      </c>
      <c r="I37" s="89">
        <f>MONTH(Tabela1[[#This Row],[Data de Validade]])</f>
        <v>5</v>
      </c>
      <c r="J37" s="101">
        <v>43230</v>
      </c>
      <c r="K37" s="87" t="s">
        <v>7</v>
      </c>
      <c r="L37" s="108"/>
      <c r="M37" s="108"/>
      <c r="N37" s="108" t="str">
        <v>H499P514</v>
      </c>
      <c r="O37" s="108">
        <f t="shared" si="0"/>
        <v>1</v>
      </c>
      <c r="P37" s="108"/>
      <c r="Q37"/>
    </row>
    <row r="38" spans="1:19" x14ac:dyDescent="0.25">
      <c r="A38" s="89" t="s">
        <v>5254</v>
      </c>
      <c r="B38" s="87" t="s">
        <v>5255</v>
      </c>
      <c r="C38" s="87" t="s">
        <v>10</v>
      </c>
      <c r="D38" s="87" t="str">
        <f>VLOOKUP(Tabela1[[#This Row],[Origem]], 'Perguntas 1 a 24'!$J$28:$K$34, 2, 0)</f>
        <v>Centro-Oeste</v>
      </c>
      <c r="E38" s="87" t="str">
        <f>Tabela1[[#This Row],[Descrição]]&amp;"-"&amp;Tabela1[[#This Row],[Código]]&amp;"/"&amp;Tabela1[[#This Row],[Origem]]</f>
        <v>Feleforu-H749P458/GO</v>
      </c>
      <c r="F38" s="88">
        <v>45444</v>
      </c>
      <c r="G38" s="88" t="str" cm="1">
        <f t="array" ref="G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AND(F38&gt;= DATE(2026,1,1), F38&lt;= DATE(2028, 12, 31), J38&gt;50000), "Pendente e Caro", AND(F38&gt;= DATE(2026,1,1), F38&lt;= DATE(2028, 12, 31), J38&lt;=50000), "Pendente", F38&gt;= DATE(2029,1,1), "Não prioeitário")</f>
        <v>Urgente</v>
      </c>
      <c r="H38" s="89">
        <f>YEAR(Tabela1[[#This Row],[Data de Validade]])</f>
        <v>2024</v>
      </c>
      <c r="I38" s="89">
        <f>MONTH(Tabela1[[#This Row],[Data de Validade]])</f>
        <v>6</v>
      </c>
      <c r="J38" s="101">
        <v>44180</v>
      </c>
      <c r="K38" s="87" t="s">
        <v>11</v>
      </c>
      <c r="L38" s="108"/>
      <c r="M38" s="108"/>
      <c r="N38" s="108" t="str">
        <v>H749P458</v>
      </c>
      <c r="O38" s="108">
        <f t="shared" si="0"/>
        <v>1</v>
      </c>
      <c r="P38" s="108"/>
      <c r="Q38"/>
    </row>
    <row r="39" spans="1:19" x14ac:dyDescent="0.25">
      <c r="A39" s="89" t="s">
        <v>8220</v>
      </c>
      <c r="B39" s="87" t="s">
        <v>8221</v>
      </c>
      <c r="C39" s="87" t="s">
        <v>10</v>
      </c>
      <c r="D39" s="87" t="str">
        <f>VLOOKUP(Tabela1[[#This Row],[Origem]], 'Perguntas 1 a 24'!$J$28:$K$34, 2, 0)</f>
        <v>Centro-Oeste</v>
      </c>
      <c r="E39" s="87" t="str">
        <f>Tabela1[[#This Row],[Descrição]]&amp;"-"&amp;Tabela1[[#This Row],[Código]]&amp;"/"&amp;Tabela1[[#This Row],[Origem]]</f>
        <v>Puvoca-P379H325/GO</v>
      </c>
      <c r="F39" s="88">
        <v>45445</v>
      </c>
      <c r="G39" s="88" t="str" cm="1">
        <f t="array" ref="G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AND(F39&gt;= DATE(2026,1,1), F39&lt;= DATE(2028, 12, 31), J39&gt;50000), "Pendente e Caro", AND(F39&gt;= DATE(2026,1,1), F39&lt;= DATE(2028, 12, 31), J39&lt;=50000), "Pendente", F39&gt;= DATE(2029,1,1), "Não prioeitário")</f>
        <v>Urgente e Caro</v>
      </c>
      <c r="H39" s="89">
        <f>YEAR(Tabela1[[#This Row],[Data de Validade]])</f>
        <v>2024</v>
      </c>
      <c r="I39" s="89">
        <f>MONTH(Tabela1[[#This Row],[Data de Validade]])</f>
        <v>6</v>
      </c>
      <c r="J39" s="101">
        <v>112672</v>
      </c>
      <c r="K39" s="87" t="s">
        <v>7</v>
      </c>
      <c r="L39" s="108"/>
      <c r="M39" s="108"/>
      <c r="N39" s="108" t="str">
        <v>P379H325</v>
      </c>
      <c r="O39" s="108">
        <f t="shared" si="0"/>
        <v>1</v>
      </c>
      <c r="P39" s="108"/>
      <c r="Q39"/>
    </row>
    <row r="40" spans="1:19" x14ac:dyDescent="0.25">
      <c r="A40" s="89" t="s">
        <v>3832</v>
      </c>
      <c r="B40" s="87" t="s">
        <v>3833</v>
      </c>
      <c r="C40" s="87" t="s">
        <v>16</v>
      </c>
      <c r="D40" s="87" t="str">
        <f>VLOOKUP(Tabela1[[#This Row],[Origem]], 'Perguntas 1 a 24'!$J$28:$K$34, 2, 0)</f>
        <v>Sudeste</v>
      </c>
      <c r="E40" s="87" t="str">
        <f>Tabela1[[#This Row],[Descrição]]&amp;"-"&amp;Tabela1[[#This Row],[Código]]&amp;"/"&amp;Tabela1[[#This Row],[Origem]]</f>
        <v>Gurolicale-H985H459/MG</v>
      </c>
      <c r="F40" s="88">
        <v>45445</v>
      </c>
      <c r="G40" s="88" t="str" cm="1">
        <f t="array" ref="G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AND(F40&gt;= DATE(2026,1,1), F40&lt;= DATE(2028, 12, 31), J40&gt;50000), "Pendente e Caro", AND(F40&gt;= DATE(2026,1,1), F40&lt;= DATE(2028, 12, 31), J40&lt;=50000), "Pendente", F40&gt;= DATE(2029,1,1), "Não prioeitário")</f>
        <v>Urgente e Caro</v>
      </c>
      <c r="H40" s="89">
        <f>YEAR(Tabela1[[#This Row],[Data de Validade]])</f>
        <v>2024</v>
      </c>
      <c r="I40" s="89">
        <f>MONTH(Tabela1[[#This Row],[Data de Validade]])</f>
        <v>6</v>
      </c>
      <c r="J40" s="101">
        <v>105592</v>
      </c>
      <c r="K40" s="87" t="s">
        <v>14</v>
      </c>
      <c r="L40" s="108"/>
      <c r="M40" s="108"/>
      <c r="N40" s="108" t="str">
        <v>H985H459</v>
      </c>
      <c r="O40" s="108">
        <f t="shared" si="0"/>
        <v>1</v>
      </c>
      <c r="P40" s="108"/>
      <c r="Q40"/>
    </row>
    <row r="41" spans="1:19" x14ac:dyDescent="0.25">
      <c r="A41" s="89" t="s">
        <v>8883</v>
      </c>
      <c r="B41" s="87" t="s">
        <v>8884</v>
      </c>
      <c r="C41" s="87" t="s">
        <v>13</v>
      </c>
      <c r="D41" s="87" t="str">
        <f>VLOOKUP(Tabela1[[#This Row],[Origem]], 'Perguntas 1 a 24'!$J$28:$K$34, 2, 0)</f>
        <v>Sudeste</v>
      </c>
      <c r="E41" s="87" t="str">
        <f>Tabela1[[#This Row],[Descrição]]&amp;"-"&amp;Tabela1[[#This Row],[Código]]&amp;"/"&amp;Tabela1[[#This Row],[Origem]]</f>
        <v>Finipovave-P155P531/SP</v>
      </c>
      <c r="F41" s="88">
        <v>45445</v>
      </c>
      <c r="G41" s="88" t="str" cm="1">
        <f t="array" ref="G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AND(F41&gt;= DATE(2026,1,1), F41&lt;= DATE(2028, 12, 31), J41&gt;50000), "Pendente e Caro", AND(F41&gt;= DATE(2026,1,1), F41&lt;= DATE(2028, 12, 31), J41&lt;=50000), "Pendente", F41&gt;= DATE(2029,1,1), "Não prioeitário")</f>
        <v>Urgente</v>
      </c>
      <c r="H41" s="89">
        <f>YEAR(Tabela1[[#This Row],[Data de Validade]])</f>
        <v>2024</v>
      </c>
      <c r="I41" s="89">
        <f>MONTH(Tabela1[[#This Row],[Data de Validade]])</f>
        <v>6</v>
      </c>
      <c r="J41" s="101">
        <v>29614</v>
      </c>
      <c r="K41" s="87" t="s">
        <v>11</v>
      </c>
      <c r="L41" s="108"/>
      <c r="M41" s="108"/>
      <c r="N41" s="108" t="str">
        <v>P155P531</v>
      </c>
      <c r="O41" s="108">
        <f t="shared" si="0"/>
        <v>1</v>
      </c>
      <c r="P41" s="108"/>
      <c r="Q41"/>
    </row>
    <row r="42" spans="1:19" x14ac:dyDescent="0.25">
      <c r="A42" s="89" t="s">
        <v>7348</v>
      </c>
      <c r="B42" s="87" t="s">
        <v>7349</v>
      </c>
      <c r="C42" s="87" t="s">
        <v>12</v>
      </c>
      <c r="D42" s="87" t="str">
        <f>VLOOKUP(Tabela1[[#This Row],[Origem]], 'Perguntas 1 a 24'!$J$28:$K$34, 2, 0)</f>
        <v>Sudeste</v>
      </c>
      <c r="E42" s="87" t="str">
        <f>Tabela1[[#This Row],[Descrição]]&amp;"-"&amp;Tabela1[[#This Row],[Código]]&amp;"/"&amp;Tabela1[[#This Row],[Origem]]</f>
        <v>Repula-P995H649/RJ</v>
      </c>
      <c r="F42" s="88">
        <v>45446</v>
      </c>
      <c r="G42" s="88" t="str" cm="1">
        <f t="array" ref="G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AND(F42&gt;= DATE(2026,1,1), F42&lt;= DATE(2028, 12, 31), J42&gt;50000), "Pendente e Caro", AND(F42&gt;= DATE(2026,1,1), F42&lt;= DATE(2028, 12, 31), J42&lt;=50000), "Pendente", F42&gt;= DATE(2029,1,1), "Não prioeitário")</f>
        <v>Urgente e Caro</v>
      </c>
      <c r="H42" s="89">
        <f>YEAR(Tabela1[[#This Row],[Data de Validade]])</f>
        <v>2024</v>
      </c>
      <c r="I42" s="89">
        <f>MONTH(Tabela1[[#This Row],[Data de Validade]])</f>
        <v>6</v>
      </c>
      <c r="J42" s="101">
        <v>113123</v>
      </c>
      <c r="K42" s="87" t="s">
        <v>7</v>
      </c>
      <c r="L42" s="108"/>
      <c r="M42" s="108"/>
      <c r="N42" s="108" t="str">
        <v>P995H649</v>
      </c>
      <c r="O42" s="108">
        <f t="shared" si="0"/>
        <v>1</v>
      </c>
      <c r="P42" s="108"/>
      <c r="Q42"/>
    </row>
    <row r="43" spans="1:19" x14ac:dyDescent="0.25">
      <c r="A43" s="89" t="s">
        <v>5952</v>
      </c>
      <c r="B43" s="87" t="s">
        <v>5953</v>
      </c>
      <c r="C43" s="87" t="s">
        <v>12</v>
      </c>
      <c r="D43" s="87" t="str">
        <f>VLOOKUP(Tabela1[[#This Row],[Origem]], 'Perguntas 1 a 24'!$J$28:$K$34, 2, 0)</f>
        <v>Sudeste</v>
      </c>
      <c r="E43" s="87" t="str">
        <f>Tabela1[[#This Row],[Descrição]]&amp;"-"&amp;Tabela1[[#This Row],[Código]]&amp;"/"&amp;Tabela1[[#This Row],[Origem]]</f>
        <v>Midute-P116H447/RJ</v>
      </c>
      <c r="F43" s="88">
        <v>45447</v>
      </c>
      <c r="G43" s="88" t="str" cm="1">
        <f t="array" ref="G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AND(F43&gt;= DATE(2026,1,1), F43&lt;= DATE(2028, 12, 31), J43&gt;50000), "Pendente e Caro", AND(F43&gt;= DATE(2026,1,1), F43&lt;= DATE(2028, 12, 31), J43&lt;=50000), "Pendente", F43&gt;= DATE(2029,1,1), "Não prioeitário")</f>
        <v>Urgente</v>
      </c>
      <c r="H43" s="89">
        <f>YEAR(Tabela1[[#This Row],[Data de Validade]])</f>
        <v>2024</v>
      </c>
      <c r="I43" s="89">
        <f>MONTH(Tabela1[[#This Row],[Data de Validade]])</f>
        <v>6</v>
      </c>
      <c r="J43" s="101">
        <v>26423</v>
      </c>
      <c r="K43" s="87" t="s">
        <v>14</v>
      </c>
      <c r="L43" s="108"/>
      <c r="M43" s="108"/>
      <c r="N43" s="108" t="str">
        <v>P116H447</v>
      </c>
      <c r="O43" s="108">
        <f t="shared" si="0"/>
        <v>1</v>
      </c>
      <c r="P43" s="108"/>
      <c r="Q43"/>
    </row>
    <row r="44" spans="1:19" x14ac:dyDescent="0.25">
      <c r="A44" s="89" t="s">
        <v>5040</v>
      </c>
      <c r="B44" s="87" t="s">
        <v>5041</v>
      </c>
      <c r="C44" s="87" t="s">
        <v>10</v>
      </c>
      <c r="D44" s="87" t="str">
        <f>VLOOKUP(Tabela1[[#This Row],[Origem]], 'Perguntas 1 a 24'!$J$28:$K$34, 2, 0)</f>
        <v>Centro-Oeste</v>
      </c>
      <c r="E44" s="87" t="str">
        <f>Tabela1[[#This Row],[Descrição]]&amp;"-"&amp;Tabela1[[#This Row],[Código]]&amp;"/"&amp;Tabela1[[#This Row],[Origem]]</f>
        <v>Tucutapofi-P848P999/GO</v>
      </c>
      <c r="F44" s="88">
        <v>45448</v>
      </c>
      <c r="G44" s="88" t="str" cm="1">
        <f t="array" ref="G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AND(F44&gt;= DATE(2026,1,1), F44&lt;= DATE(2028, 12, 31), J44&gt;50000), "Pendente e Caro", AND(F44&gt;= DATE(2026,1,1), F44&lt;= DATE(2028, 12, 31), J44&lt;=50000), "Pendente", F44&gt;= DATE(2029,1,1), "Não prioeitário")</f>
        <v>Urgente e Caro</v>
      </c>
      <c r="H44" s="89">
        <f>YEAR(Tabela1[[#This Row],[Data de Validade]])</f>
        <v>2024</v>
      </c>
      <c r="I44" s="89">
        <f>MONTH(Tabela1[[#This Row],[Data de Validade]])</f>
        <v>6</v>
      </c>
      <c r="J44" s="101">
        <v>81935</v>
      </c>
      <c r="K44" s="87" t="s">
        <v>14</v>
      </c>
      <c r="L44" s="108"/>
      <c r="M44" s="108"/>
      <c r="N44" s="108" t="str">
        <v>P848P999</v>
      </c>
      <c r="O44" s="108">
        <f t="shared" si="0"/>
        <v>1</v>
      </c>
      <c r="P44" s="108"/>
      <c r="Q44"/>
    </row>
    <row r="45" spans="1:19" x14ac:dyDescent="0.25">
      <c r="A45" s="89" t="s">
        <v>7948</v>
      </c>
      <c r="B45" s="87" t="s">
        <v>7949</v>
      </c>
      <c r="C45" s="87" t="s">
        <v>6</v>
      </c>
      <c r="D45" s="87" t="str">
        <f>VLOOKUP(Tabela1[[#This Row],[Origem]], 'Perguntas 1 a 24'!$J$28:$K$34, 2, 0)</f>
        <v>Nordeste</v>
      </c>
      <c r="E45" s="87" t="str">
        <f>Tabela1[[#This Row],[Descrição]]&amp;"-"&amp;Tabela1[[#This Row],[Código]]&amp;"/"&amp;Tabela1[[#This Row],[Origem]]</f>
        <v>Pipapi-H698H234/MA</v>
      </c>
      <c r="F45" s="88">
        <v>45448</v>
      </c>
      <c r="G45" s="88" t="str" cm="1">
        <f t="array" ref="G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AND(F45&gt;= DATE(2026,1,1), F45&lt;= DATE(2028, 12, 31), J45&gt;50000), "Pendente e Caro", AND(F45&gt;= DATE(2026,1,1), F45&lt;= DATE(2028, 12, 31), J45&lt;=50000), "Pendente", F45&gt;= DATE(2029,1,1), "Não prioeitário")</f>
        <v>Urgente e Caro</v>
      </c>
      <c r="H45" s="89">
        <f>YEAR(Tabela1[[#This Row],[Data de Validade]])</f>
        <v>2024</v>
      </c>
      <c r="I45" s="89">
        <f>MONTH(Tabela1[[#This Row],[Data de Validade]])</f>
        <v>6</v>
      </c>
      <c r="J45" s="101">
        <v>72792</v>
      </c>
      <c r="K45" s="87" t="s">
        <v>7</v>
      </c>
      <c r="L45" s="108"/>
      <c r="M45" s="108"/>
      <c r="N45" s="108" t="str">
        <v>H698H234</v>
      </c>
      <c r="O45" s="108">
        <f t="shared" si="0"/>
        <v>1</v>
      </c>
      <c r="P45" s="108"/>
      <c r="Q45"/>
    </row>
    <row r="46" spans="1:19" x14ac:dyDescent="0.25">
      <c r="A46" s="89" t="s">
        <v>4810</v>
      </c>
      <c r="B46" s="87" t="s">
        <v>4811</v>
      </c>
      <c r="C46" s="87" t="s">
        <v>12</v>
      </c>
      <c r="D46" s="87" t="str">
        <f>VLOOKUP(Tabela1[[#This Row],[Origem]], 'Perguntas 1 a 24'!$J$28:$K$34, 2, 0)</f>
        <v>Sudeste</v>
      </c>
      <c r="E46" s="87" t="str">
        <f>Tabela1[[#This Row],[Descrição]]&amp;"-"&amp;Tabela1[[#This Row],[Código]]&amp;"/"&amp;Tabela1[[#This Row],[Origem]]</f>
        <v>Papunona-P517H647/RJ</v>
      </c>
      <c r="F46" s="88">
        <v>45448</v>
      </c>
      <c r="G46" s="88" t="str" cm="1">
        <f t="array" ref="G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AND(F46&gt;= DATE(2026,1,1), F46&lt;= DATE(2028, 12, 31), J46&gt;50000), "Pendente e Caro", AND(F46&gt;= DATE(2026,1,1), F46&lt;= DATE(2028, 12, 31), J46&lt;=50000), "Pendente", F46&gt;= DATE(2029,1,1), "Não prioeitário")</f>
        <v>Urgente e Caro</v>
      </c>
      <c r="H46" s="89">
        <f>YEAR(Tabela1[[#This Row],[Data de Validade]])</f>
        <v>2024</v>
      </c>
      <c r="I46" s="89">
        <f>MONTH(Tabela1[[#This Row],[Data de Validade]])</f>
        <v>6</v>
      </c>
      <c r="J46" s="101">
        <v>58545</v>
      </c>
      <c r="K46" s="87" t="s">
        <v>14</v>
      </c>
      <c r="L46" s="108"/>
      <c r="M46" s="108"/>
      <c r="N46" s="108" t="str">
        <v>P517H647</v>
      </c>
      <c r="O46" s="108">
        <f t="shared" si="0"/>
        <v>1</v>
      </c>
      <c r="P46" s="108"/>
      <c r="Q46"/>
    </row>
    <row r="47" spans="1:19" x14ac:dyDescent="0.25">
      <c r="A47" s="89" t="s">
        <v>7068</v>
      </c>
      <c r="B47" s="87" t="s">
        <v>7069</v>
      </c>
      <c r="C47" s="87" t="s">
        <v>13</v>
      </c>
      <c r="D47" s="87" t="str">
        <f>VLOOKUP(Tabela1[[#This Row],[Origem]], 'Perguntas 1 a 24'!$J$28:$K$34, 2, 0)</f>
        <v>Sudeste</v>
      </c>
      <c r="E47" s="87" t="str">
        <f>Tabela1[[#This Row],[Descrição]]&amp;"-"&amp;Tabela1[[#This Row],[Código]]&amp;"/"&amp;Tabela1[[#This Row],[Origem]]</f>
        <v>Rerepopepi-H693H715/SP</v>
      </c>
      <c r="F47" s="88">
        <v>45449</v>
      </c>
      <c r="G47" s="88" t="str" cm="1">
        <f t="array" ref="G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AND(F47&gt;= DATE(2026,1,1), F47&lt;= DATE(2028, 12, 31), J47&gt;50000), "Pendente e Caro", AND(F47&gt;= DATE(2026,1,1), F47&lt;= DATE(2028, 12, 31), J47&lt;=50000), "Pendente", F47&gt;= DATE(2029,1,1), "Não prioeitário")</f>
        <v>Urgente e Caro</v>
      </c>
      <c r="H47" s="89">
        <f>YEAR(Tabela1[[#This Row],[Data de Validade]])</f>
        <v>2024</v>
      </c>
      <c r="I47" s="89">
        <f>MONTH(Tabela1[[#This Row],[Data de Validade]])</f>
        <v>6</v>
      </c>
      <c r="J47" s="101">
        <v>106016</v>
      </c>
      <c r="K47" s="87" t="s">
        <v>14</v>
      </c>
      <c r="L47" s="108"/>
      <c r="M47" s="108"/>
      <c r="N47" s="108" t="str">
        <v>H693H715</v>
      </c>
      <c r="O47" s="108">
        <f t="shared" si="0"/>
        <v>1</v>
      </c>
      <c r="P47" s="108"/>
      <c r="Q47"/>
    </row>
    <row r="48" spans="1:19" x14ac:dyDescent="0.25">
      <c r="A48" s="89" t="s">
        <v>7894</v>
      </c>
      <c r="B48" s="87" t="s">
        <v>7895</v>
      </c>
      <c r="C48" s="87" t="s">
        <v>15</v>
      </c>
      <c r="D48" s="87" t="str">
        <f>VLOOKUP(Tabela1[[#This Row],[Origem]], 'Perguntas 1 a 24'!$J$28:$K$34, 2, 0)</f>
        <v>Sudeste</v>
      </c>
      <c r="E48" s="87" t="str">
        <f>Tabela1[[#This Row],[Descrição]]&amp;"-"&amp;Tabela1[[#This Row],[Código]]&amp;"/"&amp;Tabela1[[#This Row],[Origem]]</f>
        <v>Ditepefotu-P476H857/ES</v>
      </c>
      <c r="F48" s="88">
        <v>45449</v>
      </c>
      <c r="G48" s="88" t="str" cm="1">
        <f t="array" ref="G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AND(F48&gt;= DATE(2026,1,1), F48&lt;= DATE(2028, 12, 31), J48&gt;50000), "Pendente e Caro", AND(F48&gt;= DATE(2026,1,1), F48&lt;= DATE(2028, 12, 31), J48&lt;=50000), "Pendente", F48&gt;= DATE(2029,1,1), "Não prioeitário")</f>
        <v>Urgente e Caro</v>
      </c>
      <c r="H48" s="89">
        <f>YEAR(Tabela1[[#This Row],[Data de Validade]])</f>
        <v>2024</v>
      </c>
      <c r="I48" s="89">
        <f>MONTH(Tabela1[[#This Row],[Data de Validade]])</f>
        <v>6</v>
      </c>
      <c r="J48" s="101">
        <v>95049</v>
      </c>
      <c r="K48" s="87" t="s">
        <v>14</v>
      </c>
      <c r="L48" s="108"/>
      <c r="M48" s="108"/>
      <c r="N48" s="108" t="str">
        <v>P476H857</v>
      </c>
      <c r="O48" s="108">
        <f t="shared" si="0"/>
        <v>1</v>
      </c>
      <c r="P48" s="108"/>
      <c r="Q48"/>
    </row>
    <row r="49" spans="1:17" x14ac:dyDescent="0.25">
      <c r="A49" s="89" t="s">
        <v>6850</v>
      </c>
      <c r="B49" s="87" t="s">
        <v>6851</v>
      </c>
      <c r="C49" s="87" t="s">
        <v>16</v>
      </c>
      <c r="D49" s="87" t="str">
        <f>VLOOKUP(Tabela1[[#This Row],[Origem]], 'Perguntas 1 a 24'!$J$28:$K$34, 2, 0)</f>
        <v>Sudeste</v>
      </c>
      <c r="E49" s="87" t="str">
        <f>Tabela1[[#This Row],[Descrição]]&amp;"-"&amp;Tabela1[[#This Row],[Código]]&amp;"/"&amp;Tabela1[[#This Row],[Origem]]</f>
        <v>Fiticivi-P431P682/MG</v>
      </c>
      <c r="F49" s="88">
        <v>45449</v>
      </c>
      <c r="G49" s="88" t="str" cm="1">
        <f t="array" ref="G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AND(F49&gt;= DATE(2026,1,1), F49&lt;= DATE(2028, 12, 31), J49&gt;50000), "Pendente e Caro", AND(F49&gt;= DATE(2026,1,1), F49&lt;= DATE(2028, 12, 31), J49&lt;=50000), "Pendente", F49&gt;= DATE(2029,1,1), "Não prioeitário")</f>
        <v>Urgente e Caro</v>
      </c>
      <c r="H49" s="89">
        <f>YEAR(Tabela1[[#This Row],[Data de Validade]])</f>
        <v>2024</v>
      </c>
      <c r="I49" s="89">
        <f>MONTH(Tabela1[[#This Row],[Data de Validade]])</f>
        <v>6</v>
      </c>
      <c r="J49" s="101">
        <v>53393</v>
      </c>
      <c r="K49" s="87" t="s">
        <v>11</v>
      </c>
      <c r="L49" s="108"/>
      <c r="M49" s="108"/>
      <c r="N49" s="108" t="str">
        <v>P431P682</v>
      </c>
      <c r="O49" s="108">
        <f t="shared" si="0"/>
        <v>1</v>
      </c>
      <c r="P49" s="108"/>
      <c r="Q49"/>
    </row>
    <row r="50" spans="1:17" x14ac:dyDescent="0.25">
      <c r="A50" s="89" t="s">
        <v>5614</v>
      </c>
      <c r="B50" s="87" t="s">
        <v>5615</v>
      </c>
      <c r="C50" s="87" t="s">
        <v>8</v>
      </c>
      <c r="D50" s="87" t="str">
        <f>VLOOKUP(Tabela1[[#This Row],[Origem]], 'Perguntas 1 a 24'!$J$28:$K$34, 2, 0)</f>
        <v>Nordeste</v>
      </c>
      <c r="E50" s="87" t="str">
        <f>Tabela1[[#This Row],[Descrição]]&amp;"-"&amp;Tabela1[[#This Row],[Código]]&amp;"/"&amp;Tabela1[[#This Row],[Origem]]</f>
        <v>Goputati-H421H937/AL</v>
      </c>
      <c r="F50" s="88">
        <v>45451</v>
      </c>
      <c r="G50" s="88" t="str" cm="1">
        <f t="array" ref="G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AND(F50&gt;= DATE(2026,1,1), F50&lt;= DATE(2028, 12, 31), J50&gt;50000), "Pendente e Caro", AND(F50&gt;= DATE(2026,1,1), F50&lt;= DATE(2028, 12, 31), J50&lt;=50000), "Pendente", F50&gt;= DATE(2029,1,1), "Não prioeitário")</f>
        <v>Urgente e Caro</v>
      </c>
      <c r="H50" s="89">
        <f>YEAR(Tabela1[[#This Row],[Data de Validade]])</f>
        <v>2024</v>
      </c>
      <c r="I50" s="89">
        <f>MONTH(Tabela1[[#This Row],[Data de Validade]])</f>
        <v>6</v>
      </c>
      <c r="J50" s="101">
        <v>66710</v>
      </c>
      <c r="K50" s="87" t="s">
        <v>11</v>
      </c>
      <c r="L50" s="108"/>
      <c r="M50" s="108"/>
      <c r="N50" s="108" t="str">
        <v>H421H937</v>
      </c>
      <c r="O50" s="108">
        <f t="shared" si="0"/>
        <v>1</v>
      </c>
      <c r="P50" s="108"/>
      <c r="Q50"/>
    </row>
    <row r="51" spans="1:17" x14ac:dyDescent="0.25">
      <c r="A51" s="89" t="s">
        <v>4168</v>
      </c>
      <c r="B51" s="87" t="s">
        <v>4169</v>
      </c>
      <c r="C51" s="87" t="s">
        <v>15</v>
      </c>
      <c r="D51" s="87" t="str">
        <f>VLOOKUP(Tabela1[[#This Row],[Origem]], 'Perguntas 1 a 24'!$J$28:$K$34, 2, 0)</f>
        <v>Sudeste</v>
      </c>
      <c r="E51" s="87" t="str">
        <f>Tabela1[[#This Row],[Descrição]]&amp;"-"&amp;Tabela1[[#This Row],[Código]]&amp;"/"&amp;Tabela1[[#This Row],[Origem]]</f>
        <v>Tapodi-P288H255/ES</v>
      </c>
      <c r="F51" s="88">
        <v>45452</v>
      </c>
      <c r="G51" s="88" t="str" cm="1">
        <f t="array" ref="G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AND(F51&gt;= DATE(2026,1,1), F51&lt;= DATE(2028, 12, 31), J51&gt;50000), "Pendente e Caro", AND(F51&gt;= DATE(2026,1,1), F51&lt;= DATE(2028, 12, 31), J51&lt;=50000), "Pendente", F51&gt;= DATE(2029,1,1), "Não prioeitário")</f>
        <v>Urgente e Caro</v>
      </c>
      <c r="H51" s="89">
        <f>YEAR(Tabela1[[#This Row],[Data de Validade]])</f>
        <v>2024</v>
      </c>
      <c r="I51" s="89">
        <f>MONTH(Tabela1[[#This Row],[Data de Validade]])</f>
        <v>6</v>
      </c>
      <c r="J51" s="101">
        <v>75486</v>
      </c>
      <c r="K51" s="87" t="s">
        <v>14</v>
      </c>
      <c r="L51" s="108"/>
      <c r="M51" s="108"/>
      <c r="N51" s="108" t="str">
        <v>P288H255</v>
      </c>
      <c r="O51" s="108">
        <f t="shared" si="0"/>
        <v>1</v>
      </c>
      <c r="P51" s="108"/>
      <c r="Q51"/>
    </row>
    <row r="52" spans="1:17" x14ac:dyDescent="0.25">
      <c r="A52" s="89" t="s">
        <v>3679</v>
      </c>
      <c r="B52" s="87" t="s">
        <v>3680</v>
      </c>
      <c r="C52" s="87" t="s">
        <v>13</v>
      </c>
      <c r="D52" s="87" t="str">
        <f>VLOOKUP(Tabela1[[#This Row],[Origem]], 'Perguntas 1 a 24'!$J$28:$K$34, 2, 0)</f>
        <v>Sudeste</v>
      </c>
      <c r="E52" s="87" t="str">
        <f>Tabela1[[#This Row],[Descrição]]&amp;"-"&amp;Tabela1[[#This Row],[Código]]&amp;"/"&amp;Tabela1[[#This Row],[Origem]]</f>
        <v>Teputada-H119H147/SP</v>
      </c>
      <c r="F52" s="88">
        <v>45452</v>
      </c>
      <c r="G52" s="88" t="str" cm="1">
        <f t="array" ref="G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AND(F52&gt;= DATE(2026,1,1), F52&lt;= DATE(2028, 12, 31), J52&gt;50000), "Pendente e Caro", AND(F52&gt;= DATE(2026,1,1), F52&lt;= DATE(2028, 12, 31), J52&lt;=50000), "Pendente", F52&gt;= DATE(2029,1,1), "Não prioeitário")</f>
        <v>Urgente</v>
      </c>
      <c r="H52" s="89">
        <f>YEAR(Tabela1[[#This Row],[Data de Validade]])</f>
        <v>2024</v>
      </c>
      <c r="I52" s="89">
        <f>MONTH(Tabela1[[#This Row],[Data de Validade]])</f>
        <v>6</v>
      </c>
      <c r="J52" s="101">
        <v>37411</v>
      </c>
      <c r="K52" s="87" t="s">
        <v>9</v>
      </c>
      <c r="L52" s="108"/>
      <c r="M52" s="108"/>
      <c r="N52" s="108" t="str">
        <v>H119H147</v>
      </c>
      <c r="O52" s="108">
        <f t="shared" si="0"/>
        <v>1</v>
      </c>
      <c r="P52" s="108"/>
      <c r="Q52"/>
    </row>
    <row r="53" spans="1:17" x14ac:dyDescent="0.25">
      <c r="A53" s="89" t="s">
        <v>10565</v>
      </c>
      <c r="B53" s="87" t="s">
        <v>10566</v>
      </c>
      <c r="C53" s="87" t="s">
        <v>15</v>
      </c>
      <c r="D53" s="87" t="str">
        <f>VLOOKUP(Tabela1[[#This Row],[Origem]], 'Perguntas 1 a 24'!$J$28:$K$34, 2, 0)</f>
        <v>Sudeste</v>
      </c>
      <c r="E53" s="87" t="str">
        <f>Tabela1[[#This Row],[Descrição]]&amp;"-"&amp;Tabela1[[#This Row],[Código]]&amp;"/"&amp;Tabela1[[#This Row],[Origem]]</f>
        <v>Gucatuco-H743H119/ES</v>
      </c>
      <c r="F53" s="88">
        <v>45453</v>
      </c>
      <c r="G53" s="88" t="str" cm="1">
        <f t="array" ref="G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AND(F53&gt;= DATE(2026,1,1), F53&lt;= DATE(2028, 12, 31), J53&gt;50000), "Pendente e Caro", AND(F53&gt;= DATE(2026,1,1), F53&lt;= DATE(2028, 12, 31), J53&lt;=50000), "Pendente", F53&gt;= DATE(2029,1,1), "Não prioeitário")</f>
        <v>Urgente e Caro</v>
      </c>
      <c r="H53" s="89">
        <f>YEAR(Tabela1[[#This Row],[Data de Validade]])</f>
        <v>2024</v>
      </c>
      <c r="I53" s="89">
        <f>MONTH(Tabela1[[#This Row],[Data de Validade]])</f>
        <v>6</v>
      </c>
      <c r="J53" s="101">
        <v>115995</v>
      </c>
      <c r="K53" s="87" t="s">
        <v>9</v>
      </c>
      <c r="L53" s="108"/>
      <c r="M53" s="108"/>
      <c r="N53" s="108" t="str">
        <v>H743H119</v>
      </c>
      <c r="O53" s="108">
        <f t="shared" si="0"/>
        <v>1</v>
      </c>
      <c r="P53" s="108"/>
      <c r="Q53"/>
    </row>
    <row r="54" spans="1:17" x14ac:dyDescent="0.25">
      <c r="A54" s="89" t="s">
        <v>7370</v>
      </c>
      <c r="B54" s="87" t="s">
        <v>7371</v>
      </c>
      <c r="C54" s="87" t="s">
        <v>6</v>
      </c>
      <c r="D54" s="87" t="str">
        <f>VLOOKUP(Tabela1[[#This Row],[Origem]], 'Perguntas 1 a 24'!$J$28:$K$34, 2, 0)</f>
        <v>Nordeste</v>
      </c>
      <c r="E54" s="87" t="str">
        <f>Tabela1[[#This Row],[Descrição]]&amp;"-"&amp;Tabela1[[#This Row],[Código]]&amp;"/"&amp;Tabela1[[#This Row],[Origem]]</f>
        <v>Tulifa-P381P119/MA</v>
      </c>
      <c r="F54" s="88">
        <v>45453</v>
      </c>
      <c r="G54" s="88" t="str" cm="1">
        <f t="array" ref="G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AND(F54&gt;= DATE(2026,1,1), F54&lt;= DATE(2028, 12, 31), J54&gt;50000), "Pendente e Caro", AND(F54&gt;= DATE(2026,1,1), F54&lt;= DATE(2028, 12, 31), J54&lt;=50000), "Pendente", F54&gt;= DATE(2029,1,1), "Não prioeitário")</f>
        <v>Urgente e Caro</v>
      </c>
      <c r="H54" s="89">
        <f>YEAR(Tabela1[[#This Row],[Data de Validade]])</f>
        <v>2024</v>
      </c>
      <c r="I54" s="89">
        <f>MONTH(Tabela1[[#This Row],[Data de Validade]])</f>
        <v>6</v>
      </c>
      <c r="J54" s="101">
        <v>113616</v>
      </c>
      <c r="K54" s="87" t="s">
        <v>11</v>
      </c>
      <c r="L54" s="108"/>
      <c r="M54" s="108"/>
      <c r="N54" s="108" t="str">
        <v>P381P119</v>
      </c>
      <c r="O54" s="108">
        <f t="shared" si="0"/>
        <v>1</v>
      </c>
      <c r="P54" s="108"/>
      <c r="Q54"/>
    </row>
    <row r="55" spans="1:17" x14ac:dyDescent="0.25">
      <c r="A55" s="89" t="s">
        <v>5168</v>
      </c>
      <c r="B55" s="87" t="s">
        <v>5169</v>
      </c>
      <c r="C55" s="87" t="s">
        <v>16</v>
      </c>
      <c r="D55" s="87" t="str">
        <f>VLOOKUP(Tabela1[[#This Row],[Origem]], 'Perguntas 1 a 24'!$J$28:$K$34, 2, 0)</f>
        <v>Sudeste</v>
      </c>
      <c r="E55" s="87" t="str">
        <f>Tabela1[[#This Row],[Descrição]]&amp;"-"&amp;Tabela1[[#This Row],[Código]]&amp;"/"&amp;Tabela1[[#This Row],[Origem]]</f>
        <v>Tefipulo-H662H252/MG</v>
      </c>
      <c r="F55" s="88">
        <v>45454</v>
      </c>
      <c r="G55" s="88" t="str" cm="1">
        <f t="array" ref="G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AND(F55&gt;= DATE(2026,1,1), F55&lt;= DATE(2028, 12, 31), J55&gt;50000), "Pendente e Caro", AND(F55&gt;= DATE(2026,1,1), F55&lt;= DATE(2028, 12, 31), J55&lt;=50000), "Pendente", F55&gt;= DATE(2029,1,1), "Não prioeitário")</f>
        <v>Urgente e Caro</v>
      </c>
      <c r="H55" s="89">
        <f>YEAR(Tabela1[[#This Row],[Data de Validade]])</f>
        <v>2024</v>
      </c>
      <c r="I55" s="89">
        <f>MONTH(Tabela1[[#This Row],[Data de Validade]])</f>
        <v>6</v>
      </c>
      <c r="J55" s="101">
        <v>91480</v>
      </c>
      <c r="K55" s="87" t="s">
        <v>9</v>
      </c>
      <c r="L55" s="108"/>
      <c r="M55" s="108"/>
      <c r="N55" s="108" t="str">
        <v>H662H252</v>
      </c>
      <c r="O55" s="108">
        <f t="shared" si="0"/>
        <v>1</v>
      </c>
      <c r="P55" s="108"/>
      <c r="Q55"/>
    </row>
    <row r="56" spans="1:17" x14ac:dyDescent="0.25">
      <c r="A56" s="89" t="s">
        <v>9729</v>
      </c>
      <c r="B56" s="87" t="s">
        <v>9730</v>
      </c>
      <c r="C56" s="87" t="s">
        <v>10</v>
      </c>
      <c r="D56" s="87" t="str">
        <f>VLOOKUP(Tabela1[[#This Row],[Origem]], 'Perguntas 1 a 24'!$J$28:$K$34, 2, 0)</f>
        <v>Centro-Oeste</v>
      </c>
      <c r="E56" s="87" t="str">
        <f>Tabela1[[#This Row],[Descrição]]&amp;"-"&amp;Tabela1[[#This Row],[Código]]&amp;"/"&amp;Tabela1[[#This Row],[Origem]]</f>
        <v>Munacara-P588H562/GO</v>
      </c>
      <c r="F56" s="88">
        <v>45455</v>
      </c>
      <c r="G56" s="88" t="str" cm="1">
        <f t="array" ref="G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AND(F56&gt;= DATE(2026,1,1), F56&lt;= DATE(2028, 12, 31), J56&gt;50000), "Pendente e Caro", AND(F56&gt;= DATE(2026,1,1), F56&lt;= DATE(2028, 12, 31), J56&lt;=50000), "Pendente", F56&gt;= DATE(2029,1,1), "Não prioeitário")</f>
        <v>Urgente e Caro</v>
      </c>
      <c r="H56" s="89">
        <f>YEAR(Tabela1[[#This Row],[Data de Validade]])</f>
        <v>2024</v>
      </c>
      <c r="I56" s="89">
        <f>MONTH(Tabela1[[#This Row],[Data de Validade]])</f>
        <v>6</v>
      </c>
      <c r="J56" s="101">
        <v>67593</v>
      </c>
      <c r="K56" s="87" t="s">
        <v>9</v>
      </c>
      <c r="L56" s="108"/>
      <c r="M56" s="108"/>
      <c r="N56" s="108" t="str">
        <v>P588H562</v>
      </c>
      <c r="O56" s="108">
        <f t="shared" si="0"/>
        <v>1</v>
      </c>
      <c r="P56" s="108"/>
      <c r="Q56"/>
    </row>
    <row r="57" spans="1:17" x14ac:dyDescent="0.25">
      <c r="A57" s="89" t="s">
        <v>8466</v>
      </c>
      <c r="B57" s="87" t="s">
        <v>8467</v>
      </c>
      <c r="C57" s="87" t="s">
        <v>10</v>
      </c>
      <c r="D57" s="87" t="str">
        <f>VLOOKUP(Tabela1[[#This Row],[Origem]], 'Perguntas 1 a 24'!$J$28:$K$34, 2, 0)</f>
        <v>Centro-Oeste</v>
      </c>
      <c r="E57" s="87" t="str">
        <f>Tabela1[[#This Row],[Descrição]]&amp;"-"&amp;Tabela1[[#This Row],[Código]]&amp;"/"&amp;Tabela1[[#This Row],[Origem]]</f>
        <v>Lupipo-P969P642/GO</v>
      </c>
      <c r="F57" s="88">
        <v>45456</v>
      </c>
      <c r="G57" s="88" t="str" cm="1">
        <f t="array" ref="G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AND(F57&gt;= DATE(2026,1,1), F57&lt;= DATE(2028, 12, 31), J57&gt;50000), "Pendente e Caro", AND(F57&gt;= DATE(2026,1,1), F57&lt;= DATE(2028, 12, 31), J57&lt;=50000), "Pendente", F57&gt;= DATE(2029,1,1), "Não prioeitário")</f>
        <v>Urgente e Caro</v>
      </c>
      <c r="H57" s="89">
        <f>YEAR(Tabela1[[#This Row],[Data de Validade]])</f>
        <v>2024</v>
      </c>
      <c r="I57" s="89">
        <f>MONTH(Tabela1[[#This Row],[Data de Validade]])</f>
        <v>6</v>
      </c>
      <c r="J57" s="101">
        <v>83130</v>
      </c>
      <c r="K57" s="87" t="s">
        <v>11</v>
      </c>
      <c r="L57" s="108"/>
      <c r="M57" s="108"/>
      <c r="N57" s="108" t="str">
        <v>P969P642</v>
      </c>
      <c r="O57" s="108">
        <f t="shared" si="0"/>
        <v>1</v>
      </c>
      <c r="P57" s="108"/>
      <c r="Q57"/>
    </row>
    <row r="58" spans="1:17" x14ac:dyDescent="0.25">
      <c r="A58" s="89" t="s">
        <v>10341</v>
      </c>
      <c r="B58" s="87" t="s">
        <v>10342</v>
      </c>
      <c r="C58" s="87" t="s">
        <v>13</v>
      </c>
      <c r="D58" s="87" t="str">
        <f>VLOOKUP(Tabela1[[#This Row],[Origem]], 'Perguntas 1 a 24'!$J$28:$K$34, 2, 0)</f>
        <v>Sudeste</v>
      </c>
      <c r="E58" s="87" t="str">
        <f>Tabela1[[#This Row],[Descrição]]&amp;"-"&amp;Tabela1[[#This Row],[Código]]&amp;"/"&amp;Tabela1[[#This Row],[Origem]]</f>
        <v>Pipete-P675P876/SP</v>
      </c>
      <c r="F58" s="88">
        <v>45456</v>
      </c>
      <c r="G58" s="88" t="str" cm="1">
        <f t="array" ref="G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AND(F58&gt;= DATE(2026,1,1), F58&lt;= DATE(2028, 12, 31), J58&gt;50000), "Pendente e Caro", AND(F58&gt;= DATE(2026,1,1), F58&lt;= DATE(2028, 12, 31), J58&lt;=50000), "Pendente", F58&gt;= DATE(2029,1,1), "Não prioeitário")</f>
        <v>Urgente e Caro</v>
      </c>
      <c r="H58" s="89">
        <f>YEAR(Tabela1[[#This Row],[Data de Validade]])</f>
        <v>2024</v>
      </c>
      <c r="I58" s="89">
        <f>MONTH(Tabela1[[#This Row],[Data de Validade]])</f>
        <v>6</v>
      </c>
      <c r="J58" s="101">
        <v>67780</v>
      </c>
      <c r="K58" s="87" t="s">
        <v>14</v>
      </c>
      <c r="L58" s="108"/>
      <c r="M58" s="108"/>
      <c r="N58" s="108" t="str">
        <v>P675P876</v>
      </c>
      <c r="O58" s="108">
        <f t="shared" si="0"/>
        <v>1</v>
      </c>
      <c r="P58" s="108"/>
      <c r="Q58"/>
    </row>
    <row r="59" spans="1:17" x14ac:dyDescent="0.25">
      <c r="A59" s="89" t="s">
        <v>5310</v>
      </c>
      <c r="B59" s="87" t="s">
        <v>5311</v>
      </c>
      <c r="C59" s="87" t="s">
        <v>13</v>
      </c>
      <c r="D59" s="87" t="str">
        <f>VLOOKUP(Tabela1[[#This Row],[Origem]], 'Perguntas 1 a 24'!$J$28:$K$34, 2, 0)</f>
        <v>Sudeste</v>
      </c>
      <c r="E59" s="87" t="str">
        <f>Tabela1[[#This Row],[Descrição]]&amp;"-"&amp;Tabela1[[#This Row],[Código]]&amp;"/"&amp;Tabela1[[#This Row],[Origem]]</f>
        <v>Pepali-H895P569/SP</v>
      </c>
      <c r="F59" s="88">
        <v>45456</v>
      </c>
      <c r="G59" s="88" t="str" cm="1">
        <f t="array" ref="G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AND(F59&gt;= DATE(2026,1,1), F59&lt;= DATE(2028, 12, 31), J59&gt;50000), "Pendente e Caro", AND(F59&gt;= DATE(2026,1,1), F59&lt;= DATE(2028, 12, 31), J59&lt;=50000), "Pendente", F59&gt;= DATE(2029,1,1), "Não prioeitário")</f>
        <v>Urgente</v>
      </c>
      <c r="H59" s="89">
        <f>YEAR(Tabela1[[#This Row],[Data de Validade]])</f>
        <v>2024</v>
      </c>
      <c r="I59" s="89">
        <f>MONTH(Tabela1[[#This Row],[Data de Validade]])</f>
        <v>6</v>
      </c>
      <c r="J59" s="101">
        <v>30434</v>
      </c>
      <c r="K59" s="87" t="s">
        <v>9</v>
      </c>
      <c r="L59" s="108"/>
      <c r="M59" s="108"/>
      <c r="N59" s="108" t="str">
        <v>H895P569</v>
      </c>
      <c r="O59" s="108">
        <f t="shared" si="0"/>
        <v>1</v>
      </c>
      <c r="P59" s="108"/>
      <c r="Q59"/>
    </row>
    <row r="60" spans="1:17" x14ac:dyDescent="0.25">
      <c r="A60" s="89" t="s">
        <v>5142</v>
      </c>
      <c r="B60" s="87" t="s">
        <v>5143</v>
      </c>
      <c r="C60" s="87" t="s">
        <v>10</v>
      </c>
      <c r="D60" s="87" t="str">
        <f>VLOOKUP(Tabela1[[#This Row],[Origem]], 'Perguntas 1 a 24'!$J$28:$K$34, 2, 0)</f>
        <v>Centro-Oeste</v>
      </c>
      <c r="E60" s="87" t="str">
        <f>Tabela1[[#This Row],[Descrição]]&amp;"-"&amp;Tabela1[[#This Row],[Código]]&amp;"/"&amp;Tabela1[[#This Row],[Origem]]</f>
        <v>Pitetu-P321H318/GO</v>
      </c>
      <c r="F60" s="88">
        <v>45457</v>
      </c>
      <c r="G60" s="88" t="str" cm="1">
        <f t="array" ref="G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AND(F60&gt;= DATE(2026,1,1), F60&lt;= DATE(2028, 12, 31), J60&gt;50000), "Pendente e Caro", AND(F60&gt;= DATE(2026,1,1), F60&lt;= DATE(2028, 12, 31), J60&lt;=50000), "Pendente", F60&gt;= DATE(2029,1,1), "Não prioeitário")</f>
        <v>Urgente e Caro</v>
      </c>
      <c r="H60" s="89">
        <f>YEAR(Tabela1[[#This Row],[Data de Validade]])</f>
        <v>2024</v>
      </c>
      <c r="I60" s="89">
        <f>MONTH(Tabela1[[#This Row],[Data de Validade]])</f>
        <v>6</v>
      </c>
      <c r="J60" s="101">
        <v>78973</v>
      </c>
      <c r="K60" s="87" t="s">
        <v>11</v>
      </c>
      <c r="L60" s="108"/>
      <c r="M60" s="108"/>
      <c r="N60" s="108" t="str">
        <v>P321H318</v>
      </c>
      <c r="O60" s="108">
        <f t="shared" si="0"/>
        <v>1</v>
      </c>
      <c r="P60" s="108"/>
      <c r="Q60"/>
    </row>
    <row r="61" spans="1:17" x14ac:dyDescent="0.25">
      <c r="A61" s="89" t="s">
        <v>10771</v>
      </c>
      <c r="B61" s="87" t="s">
        <v>10772</v>
      </c>
      <c r="C61" s="87" t="s">
        <v>13</v>
      </c>
      <c r="D61" s="87" t="str">
        <f>VLOOKUP(Tabela1[[#This Row],[Origem]], 'Perguntas 1 a 24'!$J$28:$K$34, 2, 0)</f>
        <v>Sudeste</v>
      </c>
      <c r="E61" s="87" t="str">
        <f>Tabela1[[#This Row],[Descrição]]&amp;"-"&amp;Tabela1[[#This Row],[Código]]&amp;"/"&amp;Tabela1[[#This Row],[Origem]]</f>
        <v>Rerifora-P229H271/SP</v>
      </c>
      <c r="F61" s="88">
        <v>45458</v>
      </c>
      <c r="G61" s="88" t="str" cm="1">
        <f t="array" ref="G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AND(F61&gt;= DATE(2026,1,1), F61&lt;= DATE(2028, 12, 31), J61&gt;50000), "Pendente e Caro", AND(F61&gt;= DATE(2026,1,1), F61&lt;= DATE(2028, 12, 31), J61&lt;=50000), "Pendente", F61&gt;= DATE(2029,1,1), "Não prioeitário")</f>
        <v>Urgente</v>
      </c>
      <c r="H61" s="89">
        <f>YEAR(Tabela1[[#This Row],[Data de Validade]])</f>
        <v>2024</v>
      </c>
      <c r="I61" s="89">
        <f>MONTH(Tabela1[[#This Row],[Data de Validade]])</f>
        <v>6</v>
      </c>
      <c r="J61" s="101">
        <v>30991</v>
      </c>
      <c r="K61" s="87" t="s">
        <v>9</v>
      </c>
      <c r="L61" s="108"/>
      <c r="M61" s="108"/>
      <c r="N61" s="108" t="str">
        <v>P229H271</v>
      </c>
      <c r="O61" s="108">
        <f t="shared" si="0"/>
        <v>1</v>
      </c>
      <c r="P61" s="108"/>
      <c r="Q61"/>
    </row>
    <row r="62" spans="1:17" x14ac:dyDescent="0.25">
      <c r="A62" s="89" t="s">
        <v>5140</v>
      </c>
      <c r="B62" s="87" t="s">
        <v>5141</v>
      </c>
      <c r="C62" s="87" t="s">
        <v>13</v>
      </c>
      <c r="D62" s="87" t="str">
        <f>VLOOKUP(Tabela1[[#This Row],[Origem]], 'Perguntas 1 a 24'!$J$28:$K$34, 2, 0)</f>
        <v>Sudeste</v>
      </c>
      <c r="E62" s="87" t="str">
        <f>Tabela1[[#This Row],[Descrição]]&amp;"-"&amp;Tabela1[[#This Row],[Código]]&amp;"/"&amp;Tabela1[[#This Row],[Origem]]</f>
        <v>Tatetociru-P932H347/SP</v>
      </c>
      <c r="F62" s="88">
        <v>45459</v>
      </c>
      <c r="G62" s="88" t="str" cm="1">
        <f t="array" ref="G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AND(F62&gt;= DATE(2026,1,1), F62&lt;= DATE(2028, 12, 31), J62&gt;50000), "Pendente e Caro", AND(F62&gt;= DATE(2026,1,1), F62&lt;= DATE(2028, 12, 31), J62&lt;=50000), "Pendente", F62&gt;= DATE(2029,1,1), "Não prioeitário")</f>
        <v>Urgente e Caro</v>
      </c>
      <c r="H62" s="89">
        <f>YEAR(Tabela1[[#This Row],[Data de Validade]])</f>
        <v>2024</v>
      </c>
      <c r="I62" s="89">
        <f>MONTH(Tabela1[[#This Row],[Data de Validade]])</f>
        <v>6</v>
      </c>
      <c r="J62" s="101">
        <v>65667</v>
      </c>
      <c r="K62" s="87" t="s">
        <v>9</v>
      </c>
      <c r="L62" s="108"/>
      <c r="M62" s="108"/>
      <c r="N62" s="108" t="str">
        <v>P932H347</v>
      </c>
      <c r="O62" s="108">
        <f t="shared" si="0"/>
        <v>1</v>
      </c>
      <c r="P62" s="108"/>
      <c r="Q62"/>
    </row>
    <row r="63" spans="1:17" x14ac:dyDescent="0.25">
      <c r="A63" s="89" t="s">
        <v>5846</v>
      </c>
      <c r="B63" s="87" t="s">
        <v>5847</v>
      </c>
      <c r="C63" s="87" t="s">
        <v>10</v>
      </c>
      <c r="D63" s="87" t="str">
        <f>VLOOKUP(Tabela1[[#This Row],[Origem]], 'Perguntas 1 a 24'!$J$28:$K$34, 2, 0)</f>
        <v>Centro-Oeste</v>
      </c>
      <c r="E63" s="87" t="str">
        <f>Tabela1[[#This Row],[Descrição]]&amp;"-"&amp;Tabela1[[#This Row],[Código]]&amp;"/"&amp;Tabela1[[#This Row],[Origem]]</f>
        <v>Papino-H469H593/GO</v>
      </c>
      <c r="F63" s="88">
        <v>45460</v>
      </c>
      <c r="G63" s="88" t="str" cm="1">
        <f t="array" ref="G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AND(F63&gt;= DATE(2026,1,1), F63&lt;= DATE(2028, 12, 31), J63&gt;50000), "Pendente e Caro", AND(F63&gt;= DATE(2026,1,1), F63&lt;= DATE(2028, 12, 31), J63&lt;=50000), "Pendente", F63&gt;= DATE(2029,1,1), "Não prioeitário")</f>
        <v>Urgente e Caro</v>
      </c>
      <c r="H63" s="89">
        <f>YEAR(Tabela1[[#This Row],[Data de Validade]])</f>
        <v>2024</v>
      </c>
      <c r="I63" s="89">
        <f>MONTH(Tabela1[[#This Row],[Data de Validade]])</f>
        <v>6</v>
      </c>
      <c r="J63" s="101">
        <v>110201</v>
      </c>
      <c r="K63" s="87" t="s">
        <v>11</v>
      </c>
      <c r="L63" s="108"/>
      <c r="M63" s="108"/>
      <c r="N63" s="108" t="str">
        <v>H469H593</v>
      </c>
      <c r="O63" s="108">
        <f t="shared" si="0"/>
        <v>1</v>
      </c>
      <c r="P63" s="108"/>
      <c r="Q63"/>
    </row>
    <row r="64" spans="1:17" x14ac:dyDescent="0.25">
      <c r="A64" s="89" t="s">
        <v>9001</v>
      </c>
      <c r="B64" s="87" t="s">
        <v>9002</v>
      </c>
      <c r="C64" s="87" t="s">
        <v>6</v>
      </c>
      <c r="D64" s="87" t="str">
        <f>VLOOKUP(Tabela1[[#This Row],[Origem]], 'Perguntas 1 a 24'!$J$28:$K$34, 2, 0)</f>
        <v>Nordeste</v>
      </c>
      <c r="E64" s="87" t="str">
        <f>Tabela1[[#This Row],[Descrição]]&amp;"-"&amp;Tabela1[[#This Row],[Código]]&amp;"/"&amp;Tabela1[[#This Row],[Origem]]</f>
        <v>Vicitipova-P961H311/MA</v>
      </c>
      <c r="F64" s="88">
        <v>45461</v>
      </c>
      <c r="G64" s="88" t="str" cm="1">
        <f t="array" ref="G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AND(F64&gt;= DATE(2026,1,1), F64&lt;= DATE(2028, 12, 31), J64&gt;50000), "Pendente e Caro", AND(F64&gt;= DATE(2026,1,1), F64&lt;= DATE(2028, 12, 31), J64&lt;=50000), "Pendente", F64&gt;= DATE(2029,1,1), "Não prioeitário")</f>
        <v>Urgente e Caro</v>
      </c>
      <c r="H64" s="89">
        <f>YEAR(Tabela1[[#This Row],[Data de Validade]])</f>
        <v>2024</v>
      </c>
      <c r="I64" s="89">
        <f>MONTH(Tabela1[[#This Row],[Data de Validade]])</f>
        <v>6</v>
      </c>
      <c r="J64" s="101">
        <v>93838</v>
      </c>
      <c r="K64" s="87" t="s">
        <v>11</v>
      </c>
      <c r="L64" s="108"/>
      <c r="M64" s="108"/>
      <c r="N64" s="108" t="str">
        <v>P961H311</v>
      </c>
      <c r="O64" s="108">
        <f t="shared" si="0"/>
        <v>1</v>
      </c>
      <c r="P64" s="108"/>
      <c r="Q64"/>
    </row>
    <row r="65" spans="1:17" x14ac:dyDescent="0.25">
      <c r="A65" s="89" t="s">
        <v>9323</v>
      </c>
      <c r="B65" s="87" t="s">
        <v>9324</v>
      </c>
      <c r="C65" s="87" t="s">
        <v>13</v>
      </c>
      <c r="D65" s="87" t="str">
        <f>VLOOKUP(Tabela1[[#This Row],[Origem]], 'Perguntas 1 a 24'!$J$28:$K$34, 2, 0)</f>
        <v>Sudeste</v>
      </c>
      <c r="E65" s="87" t="str">
        <f>Tabela1[[#This Row],[Descrição]]&amp;"-"&amp;Tabela1[[#This Row],[Código]]&amp;"/"&amp;Tabela1[[#This Row],[Origem]]</f>
        <v>Leretonega-H829H182/SP</v>
      </c>
      <c r="F65" s="88">
        <v>45461</v>
      </c>
      <c r="G65" s="88" t="str" cm="1">
        <f t="array" ref="G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AND(F65&gt;= DATE(2026,1,1), F65&lt;= DATE(2028, 12, 31), J65&gt;50000), "Pendente e Caro", AND(F65&gt;= DATE(2026,1,1), F65&lt;= DATE(2028, 12, 31), J65&lt;=50000), "Pendente", F65&gt;= DATE(2029,1,1), "Não prioeitário")</f>
        <v>Urgente e Caro</v>
      </c>
      <c r="H65" s="89">
        <f>YEAR(Tabela1[[#This Row],[Data de Validade]])</f>
        <v>2024</v>
      </c>
      <c r="I65" s="89">
        <f>MONTH(Tabela1[[#This Row],[Data de Validade]])</f>
        <v>6</v>
      </c>
      <c r="J65" s="101">
        <v>88565</v>
      </c>
      <c r="K65" s="87" t="s">
        <v>11</v>
      </c>
      <c r="L65" s="108"/>
      <c r="M65" s="108"/>
      <c r="N65" s="108" t="str">
        <v>H829H182</v>
      </c>
      <c r="O65" s="108">
        <f t="shared" si="0"/>
        <v>1</v>
      </c>
      <c r="P65" s="108"/>
      <c r="Q65"/>
    </row>
    <row r="66" spans="1:17" x14ac:dyDescent="0.25">
      <c r="A66" s="89" t="s">
        <v>11137</v>
      </c>
      <c r="B66" s="87" t="s">
        <v>11138</v>
      </c>
      <c r="C66" s="87" t="s">
        <v>10</v>
      </c>
      <c r="D66" s="87" t="str">
        <f>VLOOKUP(Tabela1[[#This Row],[Origem]], 'Perguntas 1 a 24'!$J$28:$K$34, 2, 0)</f>
        <v>Centro-Oeste</v>
      </c>
      <c r="E66" s="87" t="str">
        <f>Tabela1[[#This Row],[Descrição]]&amp;"-"&amp;Tabela1[[#This Row],[Código]]&amp;"/"&amp;Tabela1[[#This Row],[Origem]]</f>
        <v>Guranavite-P837P592/GO</v>
      </c>
      <c r="F66" s="88">
        <v>45461</v>
      </c>
      <c r="G66" s="88" t="str" cm="1">
        <f t="array" ref="G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AND(F66&gt;= DATE(2026,1,1), F66&lt;= DATE(2028, 12, 31), J66&gt;50000), "Pendente e Caro", AND(F66&gt;= DATE(2026,1,1), F66&lt;= DATE(2028, 12, 31), J66&lt;=50000), "Pendente", F66&gt;= DATE(2029,1,1), "Não prioeitário")</f>
        <v>Urgente e Caro</v>
      </c>
      <c r="H66" s="89">
        <f>YEAR(Tabela1[[#This Row],[Data de Validade]])</f>
        <v>2024</v>
      </c>
      <c r="I66" s="89">
        <f>MONTH(Tabela1[[#This Row],[Data de Validade]])</f>
        <v>6</v>
      </c>
      <c r="J66" s="101">
        <v>82625</v>
      </c>
      <c r="K66" s="87" t="s">
        <v>7</v>
      </c>
      <c r="L66" s="108"/>
      <c r="M66" s="108"/>
      <c r="N66" s="108" t="str">
        <v>P837P592</v>
      </c>
      <c r="O66" s="108">
        <f t="shared" si="0"/>
        <v>1</v>
      </c>
      <c r="P66" s="108"/>
      <c r="Q66"/>
    </row>
    <row r="67" spans="1:17" x14ac:dyDescent="0.25">
      <c r="A67" s="89" t="s">
        <v>7622</v>
      </c>
      <c r="B67" s="87" t="s">
        <v>7623</v>
      </c>
      <c r="C67" s="87" t="s">
        <v>10</v>
      </c>
      <c r="D67" s="87" t="str">
        <f>VLOOKUP(Tabela1[[#This Row],[Origem]], 'Perguntas 1 a 24'!$J$28:$K$34, 2, 0)</f>
        <v>Centro-Oeste</v>
      </c>
      <c r="E67" s="87" t="str">
        <f>Tabela1[[#This Row],[Descrição]]&amp;"-"&amp;Tabela1[[#This Row],[Código]]&amp;"/"&amp;Tabela1[[#This Row],[Origem]]</f>
        <v>Dimuca-P327P874/GO</v>
      </c>
      <c r="F67" s="88">
        <v>45461</v>
      </c>
      <c r="G67" s="88" t="str" cm="1">
        <f t="array" ref="G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AND(F67&gt;= DATE(2026,1,1), F67&lt;= DATE(2028, 12, 31), J67&gt;50000), "Pendente e Caro", AND(F67&gt;= DATE(2026,1,1), F67&lt;= DATE(2028, 12, 31), J67&lt;=50000), "Pendente", F67&gt;= DATE(2029,1,1), "Não prioeitário")</f>
        <v>Urgente e Caro</v>
      </c>
      <c r="H67" s="89">
        <f>YEAR(Tabela1[[#This Row],[Data de Validade]])</f>
        <v>2024</v>
      </c>
      <c r="I67" s="89">
        <f>MONTH(Tabela1[[#This Row],[Data de Validade]])</f>
        <v>6</v>
      </c>
      <c r="J67" s="101">
        <v>71440</v>
      </c>
      <c r="K67" s="87" t="s">
        <v>7</v>
      </c>
      <c r="L67" s="108"/>
      <c r="M67" s="108"/>
      <c r="N67" s="108" t="str">
        <v>P327P874</v>
      </c>
      <c r="O67" s="108">
        <f t="shared" ref="O67:O130" si="3">COUNTIFS(B:B,N67)</f>
        <v>1</v>
      </c>
      <c r="P67" s="108"/>
      <c r="Q67"/>
    </row>
    <row r="68" spans="1:17" x14ac:dyDescent="0.25">
      <c r="A68" s="89" t="s">
        <v>6476</v>
      </c>
      <c r="B68" s="87" t="s">
        <v>6477</v>
      </c>
      <c r="C68" s="87" t="s">
        <v>13</v>
      </c>
      <c r="D68" s="87" t="str">
        <f>VLOOKUP(Tabela1[[#This Row],[Origem]], 'Perguntas 1 a 24'!$J$28:$K$34, 2, 0)</f>
        <v>Sudeste</v>
      </c>
      <c r="E68" s="87" t="str">
        <f>Tabela1[[#This Row],[Descrição]]&amp;"-"&amp;Tabela1[[#This Row],[Código]]&amp;"/"&amp;Tabela1[[#This Row],[Origem]]</f>
        <v>Paredeca-H278P876/SP</v>
      </c>
      <c r="F68" s="88">
        <v>45462</v>
      </c>
      <c r="G68" s="88" t="str" cm="1">
        <f t="array" ref="G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AND(F68&gt;= DATE(2026,1,1), F68&lt;= DATE(2028, 12, 31), J68&gt;50000), "Pendente e Caro", AND(F68&gt;= DATE(2026,1,1), F68&lt;= DATE(2028, 12, 31), J68&lt;=50000), "Pendente", F68&gt;= DATE(2029,1,1), "Não prioeitário")</f>
        <v>Urgente e Caro</v>
      </c>
      <c r="H68" s="89">
        <f>YEAR(Tabela1[[#This Row],[Data de Validade]])</f>
        <v>2024</v>
      </c>
      <c r="I68" s="89">
        <f>MONTH(Tabela1[[#This Row],[Data de Validade]])</f>
        <v>6</v>
      </c>
      <c r="J68" s="101">
        <v>94538</v>
      </c>
      <c r="K68" s="87" t="s">
        <v>11</v>
      </c>
      <c r="L68" s="108"/>
      <c r="M68" s="108"/>
      <c r="N68" s="108" t="str">
        <v>H278P876</v>
      </c>
      <c r="O68" s="108">
        <f t="shared" si="3"/>
        <v>1</v>
      </c>
      <c r="P68" s="108"/>
      <c r="Q68"/>
    </row>
    <row r="69" spans="1:17" x14ac:dyDescent="0.25">
      <c r="A69" s="89" t="s">
        <v>9233</v>
      </c>
      <c r="B69" s="87" t="s">
        <v>9234</v>
      </c>
      <c r="C69" s="87" t="s">
        <v>6</v>
      </c>
      <c r="D69" s="87" t="str">
        <f>VLOOKUP(Tabela1[[#This Row],[Origem]], 'Perguntas 1 a 24'!$J$28:$K$34, 2, 0)</f>
        <v>Nordeste</v>
      </c>
      <c r="E69" s="87" t="str">
        <f>Tabela1[[#This Row],[Descrição]]&amp;"-"&amp;Tabela1[[#This Row],[Código]]&amp;"/"&amp;Tabela1[[#This Row],[Origem]]</f>
        <v>Monigu-H415P484/MA</v>
      </c>
      <c r="F69" s="88">
        <v>45463</v>
      </c>
      <c r="G69" s="88" t="str" cm="1">
        <f t="array" ref="G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AND(F69&gt;= DATE(2026,1,1), F69&lt;= DATE(2028, 12, 31), J69&gt;50000), "Pendente e Caro", AND(F69&gt;= DATE(2026,1,1), F69&lt;= DATE(2028, 12, 31), J69&lt;=50000), "Pendente", F69&gt;= DATE(2029,1,1), "Não prioeitário")</f>
        <v>Urgente</v>
      </c>
      <c r="H69" s="89">
        <f>YEAR(Tabela1[[#This Row],[Data de Validade]])</f>
        <v>2024</v>
      </c>
      <c r="I69" s="89">
        <f>MONTH(Tabela1[[#This Row],[Data de Validade]])</f>
        <v>6</v>
      </c>
      <c r="J69" s="101">
        <v>46624</v>
      </c>
      <c r="K69" s="87" t="s">
        <v>14</v>
      </c>
      <c r="L69" s="108"/>
      <c r="M69" s="108"/>
      <c r="N69" s="108" t="str">
        <v>H415P484</v>
      </c>
      <c r="O69" s="108">
        <f t="shared" si="3"/>
        <v>1</v>
      </c>
      <c r="P69" s="108"/>
      <c r="Q69"/>
    </row>
    <row r="70" spans="1:17" x14ac:dyDescent="0.25">
      <c r="A70" s="89" t="s">
        <v>8310</v>
      </c>
      <c r="B70" s="87" t="s">
        <v>8311</v>
      </c>
      <c r="C70" s="87" t="s">
        <v>15</v>
      </c>
      <c r="D70" s="87" t="str">
        <f>VLOOKUP(Tabela1[[#This Row],[Origem]], 'Perguntas 1 a 24'!$J$28:$K$34, 2, 0)</f>
        <v>Sudeste</v>
      </c>
      <c r="E70" s="87" t="str">
        <f>Tabela1[[#This Row],[Descrição]]&amp;"-"&amp;Tabela1[[#This Row],[Código]]&amp;"/"&amp;Tabela1[[#This Row],[Origem]]</f>
        <v>Lutofe-H792P299/ES</v>
      </c>
      <c r="F70" s="88">
        <v>45464</v>
      </c>
      <c r="G70" s="88" t="str" cm="1">
        <f t="array" ref="G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AND(F70&gt;= DATE(2026,1,1), F70&lt;= DATE(2028, 12, 31), J70&gt;50000), "Pendente e Caro", AND(F70&gt;= DATE(2026,1,1), F70&lt;= DATE(2028, 12, 31), J70&lt;=50000), "Pendente", F70&gt;= DATE(2029,1,1), "Não prioeitário")</f>
        <v>Urgente e Caro</v>
      </c>
      <c r="H70" s="89">
        <f>YEAR(Tabela1[[#This Row],[Data de Validade]])</f>
        <v>2024</v>
      </c>
      <c r="I70" s="89">
        <f>MONTH(Tabela1[[#This Row],[Data de Validade]])</f>
        <v>6</v>
      </c>
      <c r="J70" s="101">
        <v>119634</v>
      </c>
      <c r="K70" s="87" t="s">
        <v>9</v>
      </c>
      <c r="L70" s="108"/>
      <c r="M70" s="108"/>
      <c r="N70" s="108" t="str">
        <v>H792P299</v>
      </c>
      <c r="O70" s="108">
        <f t="shared" si="3"/>
        <v>1</v>
      </c>
      <c r="P70" s="108"/>
      <c r="Q70"/>
    </row>
    <row r="71" spans="1:17" x14ac:dyDescent="0.25">
      <c r="A71" s="89" t="s">
        <v>5640</v>
      </c>
      <c r="B71" s="87" t="s">
        <v>5641</v>
      </c>
      <c r="C71" s="87" t="s">
        <v>13</v>
      </c>
      <c r="D71" s="87" t="str">
        <f>VLOOKUP(Tabela1[[#This Row],[Origem]], 'Perguntas 1 a 24'!$J$28:$K$34, 2, 0)</f>
        <v>Sudeste</v>
      </c>
      <c r="E71" s="87" t="str">
        <f>Tabela1[[#This Row],[Descrição]]&amp;"-"&amp;Tabela1[[#This Row],[Código]]&amp;"/"&amp;Tabela1[[#This Row],[Origem]]</f>
        <v>Duvidu-P475H211/SP</v>
      </c>
      <c r="F71" s="88">
        <v>45465</v>
      </c>
      <c r="G71" s="88" t="str" cm="1">
        <f t="array" ref="G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AND(F71&gt;= DATE(2026,1,1), F71&lt;= DATE(2028, 12, 31), J71&gt;50000), "Pendente e Caro", AND(F71&gt;= DATE(2026,1,1), F71&lt;= DATE(2028, 12, 31), J71&lt;=50000), "Pendente", F71&gt;= DATE(2029,1,1), "Não prioeitário")</f>
        <v>Urgente e Caro</v>
      </c>
      <c r="H71" s="89">
        <f>YEAR(Tabela1[[#This Row],[Data de Validade]])</f>
        <v>2024</v>
      </c>
      <c r="I71" s="89">
        <f>MONTH(Tabela1[[#This Row],[Data de Validade]])</f>
        <v>6</v>
      </c>
      <c r="J71" s="101">
        <v>72216</v>
      </c>
      <c r="K71" s="87" t="s">
        <v>7</v>
      </c>
      <c r="L71" s="108"/>
      <c r="M71" s="108"/>
      <c r="N71" s="108" t="str">
        <v>P475H211</v>
      </c>
      <c r="O71" s="108">
        <f t="shared" si="3"/>
        <v>1</v>
      </c>
      <c r="P71" s="108"/>
      <c r="Q71"/>
    </row>
    <row r="72" spans="1:17" x14ac:dyDescent="0.25">
      <c r="A72" s="89" t="s">
        <v>8206</v>
      </c>
      <c r="B72" s="87" t="s">
        <v>8207</v>
      </c>
      <c r="C72" s="87" t="s">
        <v>16</v>
      </c>
      <c r="D72" s="87" t="str">
        <f>VLOOKUP(Tabela1[[#This Row],[Origem]], 'Perguntas 1 a 24'!$J$28:$K$34, 2, 0)</f>
        <v>Sudeste</v>
      </c>
      <c r="E72" s="87" t="str">
        <f>Tabela1[[#This Row],[Descrição]]&amp;"-"&amp;Tabela1[[#This Row],[Código]]&amp;"/"&amp;Tabela1[[#This Row],[Origem]]</f>
        <v>Gemigi-H546P862/MG</v>
      </c>
      <c r="F72" s="88">
        <v>45465</v>
      </c>
      <c r="G72" s="88" t="str" cm="1">
        <f t="array" ref="G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AND(F72&gt;= DATE(2026,1,1), F72&lt;= DATE(2028, 12, 31), J72&gt;50000), "Pendente e Caro", AND(F72&gt;= DATE(2026,1,1), F72&lt;= DATE(2028, 12, 31), J72&lt;=50000), "Pendente", F72&gt;= DATE(2029,1,1), "Não prioeitário")</f>
        <v>Urgente</v>
      </c>
      <c r="H72" s="89">
        <f>YEAR(Tabela1[[#This Row],[Data de Validade]])</f>
        <v>2024</v>
      </c>
      <c r="I72" s="89">
        <f>MONTH(Tabela1[[#This Row],[Data de Validade]])</f>
        <v>6</v>
      </c>
      <c r="J72" s="101">
        <v>23524</v>
      </c>
      <c r="K72" s="87" t="s">
        <v>11</v>
      </c>
      <c r="L72" s="108"/>
      <c r="M72" s="108"/>
      <c r="N72" s="108" t="str">
        <v>H546P862</v>
      </c>
      <c r="O72" s="108">
        <f t="shared" si="3"/>
        <v>1</v>
      </c>
      <c r="P72" s="108"/>
      <c r="Q72"/>
    </row>
    <row r="73" spans="1:17" x14ac:dyDescent="0.25">
      <c r="A73" s="89" t="s">
        <v>4798</v>
      </c>
      <c r="B73" s="87" t="s">
        <v>4799</v>
      </c>
      <c r="C73" s="87" t="s">
        <v>12</v>
      </c>
      <c r="D73" s="87" t="str">
        <f>VLOOKUP(Tabela1[[#This Row],[Origem]], 'Perguntas 1 a 24'!$J$28:$K$34, 2, 0)</f>
        <v>Sudeste</v>
      </c>
      <c r="E73" s="87" t="str">
        <f>Tabela1[[#This Row],[Descrição]]&amp;"-"&amp;Tabela1[[#This Row],[Código]]&amp;"/"&amp;Tabela1[[#This Row],[Origem]]</f>
        <v>Rurevi-P342P753/RJ</v>
      </c>
      <c r="F73" s="88">
        <v>45466</v>
      </c>
      <c r="G73" s="88" t="str" cm="1">
        <f t="array" ref="G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AND(F73&gt;= DATE(2026,1,1), F73&lt;= DATE(2028, 12, 31), J73&gt;50000), "Pendente e Caro", AND(F73&gt;= DATE(2026,1,1), F73&lt;= DATE(2028, 12, 31), J73&lt;=50000), "Pendente", F73&gt;= DATE(2029,1,1), "Não prioeitário")</f>
        <v>Urgente e Caro</v>
      </c>
      <c r="H73" s="89">
        <f>YEAR(Tabela1[[#This Row],[Data de Validade]])</f>
        <v>2024</v>
      </c>
      <c r="I73" s="89">
        <f>MONTH(Tabela1[[#This Row],[Data de Validade]])</f>
        <v>6</v>
      </c>
      <c r="J73" s="101">
        <v>114974</v>
      </c>
      <c r="K73" s="87" t="s">
        <v>14</v>
      </c>
      <c r="L73" s="108"/>
      <c r="M73" s="108"/>
      <c r="N73" s="108" t="str">
        <v>P342P753</v>
      </c>
      <c r="O73" s="108">
        <f t="shared" si="3"/>
        <v>1</v>
      </c>
      <c r="P73" s="108"/>
      <c r="Q73"/>
    </row>
    <row r="74" spans="1:17" x14ac:dyDescent="0.25">
      <c r="A74" s="89" t="s">
        <v>8775</v>
      </c>
      <c r="B74" s="87" t="s">
        <v>8776</v>
      </c>
      <c r="C74" s="87" t="s">
        <v>6</v>
      </c>
      <c r="D74" s="87" t="str">
        <f>VLOOKUP(Tabela1[[#This Row],[Origem]], 'Perguntas 1 a 24'!$J$28:$K$34, 2, 0)</f>
        <v>Nordeste</v>
      </c>
      <c r="E74" s="87" t="str">
        <f>Tabela1[[#This Row],[Descrição]]&amp;"-"&amp;Tabela1[[#This Row],[Código]]&amp;"/"&amp;Tabela1[[#This Row],[Origem]]</f>
        <v>Pupepi-P359H297/MA</v>
      </c>
      <c r="F74" s="88">
        <v>45467</v>
      </c>
      <c r="G74" s="88" t="str" cm="1">
        <f t="array" ref="G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AND(F74&gt;= DATE(2026,1,1), F74&lt;= DATE(2028, 12, 31), J74&gt;50000), "Pendente e Caro", AND(F74&gt;= DATE(2026,1,1), F74&lt;= DATE(2028, 12, 31), J74&lt;=50000), "Pendente", F74&gt;= DATE(2029,1,1), "Não prioeitário")</f>
        <v>Urgente</v>
      </c>
      <c r="H74" s="89">
        <f>YEAR(Tabela1[[#This Row],[Data de Validade]])</f>
        <v>2024</v>
      </c>
      <c r="I74" s="89">
        <f>MONTH(Tabela1[[#This Row],[Data de Validade]])</f>
        <v>6</v>
      </c>
      <c r="J74" s="101">
        <v>40393</v>
      </c>
      <c r="K74" s="87" t="s">
        <v>11</v>
      </c>
      <c r="L74" s="108"/>
      <c r="M74" s="108"/>
      <c r="N74" s="108" t="str">
        <v>P359H297</v>
      </c>
      <c r="O74" s="108">
        <f t="shared" si="3"/>
        <v>1</v>
      </c>
      <c r="P74" s="108"/>
      <c r="Q74"/>
    </row>
    <row r="75" spans="1:17" x14ac:dyDescent="0.25">
      <c r="A75" s="89" t="s">
        <v>7248</v>
      </c>
      <c r="B75" s="87" t="s">
        <v>7249</v>
      </c>
      <c r="C75" s="87" t="s">
        <v>8</v>
      </c>
      <c r="D75" s="87" t="str">
        <f>VLOOKUP(Tabela1[[#This Row],[Origem]], 'Perguntas 1 a 24'!$J$28:$K$34, 2, 0)</f>
        <v>Nordeste</v>
      </c>
      <c r="E75" s="87" t="str">
        <f>Tabela1[[#This Row],[Descrição]]&amp;"-"&amp;Tabela1[[#This Row],[Código]]&amp;"/"&amp;Tabela1[[#This Row],[Origem]]</f>
        <v>Vomipico-H136P925/AL</v>
      </c>
      <c r="F75" s="88">
        <v>45468</v>
      </c>
      <c r="G75" s="88" t="str" cm="1">
        <f t="array" ref="G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AND(F75&gt;= DATE(2026,1,1), F75&lt;= DATE(2028, 12, 31), J75&gt;50000), "Pendente e Caro", AND(F75&gt;= DATE(2026,1,1), F75&lt;= DATE(2028, 12, 31), J75&lt;=50000), "Pendente", F75&gt;= DATE(2029,1,1), "Não prioeitário")</f>
        <v>Urgente e Caro</v>
      </c>
      <c r="H75" s="89">
        <f>YEAR(Tabela1[[#This Row],[Data de Validade]])</f>
        <v>2024</v>
      </c>
      <c r="I75" s="89">
        <f>MONTH(Tabela1[[#This Row],[Data de Validade]])</f>
        <v>6</v>
      </c>
      <c r="J75" s="101">
        <v>59877</v>
      </c>
      <c r="K75" s="87" t="s">
        <v>11</v>
      </c>
      <c r="L75" s="108"/>
      <c r="M75" s="108"/>
      <c r="N75" s="108" t="str">
        <v>H136P925</v>
      </c>
      <c r="O75" s="108">
        <f t="shared" si="3"/>
        <v>1</v>
      </c>
      <c r="P75" s="108"/>
      <c r="Q75"/>
    </row>
    <row r="76" spans="1:17" x14ac:dyDescent="0.25">
      <c r="A76" s="89" t="s">
        <v>9579</v>
      </c>
      <c r="B76" s="87" t="s">
        <v>9580</v>
      </c>
      <c r="C76" s="87" t="s">
        <v>16</v>
      </c>
      <c r="D76" s="87" t="str">
        <f>VLOOKUP(Tabela1[[#This Row],[Origem]], 'Perguntas 1 a 24'!$J$28:$K$34, 2, 0)</f>
        <v>Sudeste</v>
      </c>
      <c r="E76" s="87" t="str">
        <f>Tabela1[[#This Row],[Descrição]]&amp;"-"&amp;Tabela1[[#This Row],[Código]]&amp;"/"&amp;Tabela1[[#This Row],[Origem]]</f>
        <v>Rirapomapi-P265P269/MG</v>
      </c>
      <c r="F76" s="88">
        <v>45469</v>
      </c>
      <c r="G76" s="88" t="str" cm="1">
        <f t="array" ref="G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AND(F76&gt;= DATE(2026,1,1), F76&lt;= DATE(2028, 12, 31), J76&gt;50000), "Pendente e Caro", AND(F76&gt;= DATE(2026,1,1), F76&lt;= DATE(2028, 12, 31), J76&lt;=50000), "Pendente", F76&gt;= DATE(2029,1,1), "Não prioeitário")</f>
        <v>Urgente e Caro</v>
      </c>
      <c r="H76" s="89">
        <f>YEAR(Tabela1[[#This Row],[Data de Validade]])</f>
        <v>2024</v>
      </c>
      <c r="I76" s="89">
        <f>MONTH(Tabela1[[#This Row],[Data de Validade]])</f>
        <v>6</v>
      </c>
      <c r="J76" s="101">
        <v>51549</v>
      </c>
      <c r="K76" s="87" t="s">
        <v>14</v>
      </c>
      <c r="L76" s="108"/>
      <c r="M76" s="108"/>
      <c r="N76" s="108" t="str">
        <v>P265P269</v>
      </c>
      <c r="O76" s="108">
        <f t="shared" si="3"/>
        <v>1</v>
      </c>
      <c r="P76" s="108"/>
      <c r="Q76"/>
    </row>
    <row r="77" spans="1:17" x14ac:dyDescent="0.25">
      <c r="A77" s="89" t="s">
        <v>10899</v>
      </c>
      <c r="B77" s="87" t="s">
        <v>10900</v>
      </c>
      <c r="C77" s="87" t="s">
        <v>10</v>
      </c>
      <c r="D77" s="87" t="str">
        <f>VLOOKUP(Tabela1[[#This Row],[Origem]], 'Perguntas 1 a 24'!$J$28:$K$34, 2, 0)</f>
        <v>Centro-Oeste</v>
      </c>
      <c r="E77" s="87" t="str">
        <f>Tabela1[[#This Row],[Descrição]]&amp;"-"&amp;Tabela1[[#This Row],[Código]]&amp;"/"&amp;Tabela1[[#This Row],[Origem]]</f>
        <v>Pageco-P442H931/GO</v>
      </c>
      <c r="F77" s="88">
        <v>45470</v>
      </c>
      <c r="G77" s="88" t="str" cm="1">
        <f t="array" ref="G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AND(F77&gt;= DATE(2026,1,1), F77&lt;= DATE(2028, 12, 31), J77&gt;50000), "Pendente e Caro", AND(F77&gt;= DATE(2026,1,1), F77&lt;= DATE(2028, 12, 31), J77&lt;=50000), "Pendente", F77&gt;= DATE(2029,1,1), "Não prioeitário")</f>
        <v>Urgente e Caro</v>
      </c>
      <c r="H77" s="89">
        <f>YEAR(Tabela1[[#This Row],[Data de Validade]])</f>
        <v>2024</v>
      </c>
      <c r="I77" s="89">
        <f>MONTH(Tabela1[[#This Row],[Data de Validade]])</f>
        <v>6</v>
      </c>
      <c r="J77" s="101">
        <v>60070</v>
      </c>
      <c r="K77" s="87" t="s">
        <v>9</v>
      </c>
      <c r="L77" s="108"/>
      <c r="M77" s="108"/>
      <c r="N77" s="108" t="str">
        <v>P442H931</v>
      </c>
      <c r="O77" s="108">
        <f t="shared" si="3"/>
        <v>1</v>
      </c>
      <c r="P77" s="108"/>
      <c r="Q77"/>
    </row>
    <row r="78" spans="1:17" x14ac:dyDescent="0.25">
      <c r="A78" s="89" t="s">
        <v>5818</v>
      </c>
      <c r="B78" s="87" t="s">
        <v>5819</v>
      </c>
      <c r="C78" s="87" t="s">
        <v>8</v>
      </c>
      <c r="D78" s="87" t="str">
        <f>VLOOKUP(Tabela1[[#This Row],[Origem]], 'Perguntas 1 a 24'!$J$28:$K$34, 2, 0)</f>
        <v>Nordeste</v>
      </c>
      <c r="E78" s="87" t="str">
        <f>Tabela1[[#This Row],[Descrição]]&amp;"-"&amp;Tabela1[[#This Row],[Código]]&amp;"/"&amp;Tabela1[[#This Row],[Origem]]</f>
        <v>Pupuraro-P957P727/AL</v>
      </c>
      <c r="F78" s="88">
        <v>45470</v>
      </c>
      <c r="G78" s="88" t="str" cm="1">
        <f t="array" ref="G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AND(F78&gt;= DATE(2026,1,1), F78&lt;= DATE(2028, 12, 31), J78&gt;50000), "Pendente e Caro", AND(F78&gt;= DATE(2026,1,1), F78&lt;= DATE(2028, 12, 31), J78&lt;=50000), "Pendente", F78&gt;= DATE(2029,1,1), "Não prioeitário")</f>
        <v>Urgente</v>
      </c>
      <c r="H78" s="89">
        <f>YEAR(Tabela1[[#This Row],[Data de Validade]])</f>
        <v>2024</v>
      </c>
      <c r="I78" s="89">
        <f>MONTH(Tabela1[[#This Row],[Data de Validade]])</f>
        <v>6</v>
      </c>
      <c r="J78" s="101">
        <v>30633</v>
      </c>
      <c r="K78" s="87" t="s">
        <v>14</v>
      </c>
      <c r="L78" s="108"/>
      <c r="M78" s="108"/>
      <c r="N78" s="108" t="str">
        <v>P957P727</v>
      </c>
      <c r="O78" s="108">
        <f t="shared" si="3"/>
        <v>1</v>
      </c>
      <c r="P78" s="108"/>
      <c r="Q78"/>
    </row>
    <row r="79" spans="1:17" x14ac:dyDescent="0.25">
      <c r="A79" s="89" t="s">
        <v>6794</v>
      </c>
      <c r="B79" s="87" t="s">
        <v>6795</v>
      </c>
      <c r="C79" s="87" t="s">
        <v>10</v>
      </c>
      <c r="D79" s="87" t="str">
        <f>VLOOKUP(Tabela1[[#This Row],[Origem]], 'Perguntas 1 a 24'!$J$28:$K$34, 2, 0)</f>
        <v>Centro-Oeste</v>
      </c>
      <c r="E79" s="87" t="str">
        <f>Tabela1[[#This Row],[Descrição]]&amp;"-"&amp;Tabela1[[#This Row],[Código]]&amp;"/"&amp;Tabela1[[#This Row],[Origem]]</f>
        <v>Terutava-H343P729/GO</v>
      </c>
      <c r="F79" s="88">
        <v>45471</v>
      </c>
      <c r="G79" s="88" t="str" cm="1">
        <f t="array" ref="G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AND(F79&gt;= DATE(2026,1,1), F79&lt;= DATE(2028, 12, 31), J79&gt;50000), "Pendente e Caro", AND(F79&gt;= DATE(2026,1,1), F79&lt;= DATE(2028, 12, 31), J79&lt;=50000), "Pendente", F79&gt;= DATE(2029,1,1), "Não prioeitário")</f>
        <v>Urgente e Caro</v>
      </c>
      <c r="H79" s="89">
        <f>YEAR(Tabela1[[#This Row],[Data de Validade]])</f>
        <v>2024</v>
      </c>
      <c r="I79" s="89">
        <f>MONTH(Tabela1[[#This Row],[Data de Validade]])</f>
        <v>6</v>
      </c>
      <c r="J79" s="101">
        <v>98564</v>
      </c>
      <c r="K79" s="87" t="s">
        <v>11</v>
      </c>
      <c r="L79" s="108"/>
      <c r="M79" s="108"/>
      <c r="N79" s="108" t="str">
        <v>H343P729</v>
      </c>
      <c r="O79" s="108">
        <f t="shared" si="3"/>
        <v>1</v>
      </c>
      <c r="P79" s="108"/>
      <c r="Q79"/>
    </row>
    <row r="80" spans="1:17" x14ac:dyDescent="0.25">
      <c r="A80" s="89" t="s">
        <v>4724</v>
      </c>
      <c r="B80" s="87" t="s">
        <v>4725</v>
      </c>
      <c r="C80" s="87" t="s">
        <v>16</v>
      </c>
      <c r="D80" s="87" t="str">
        <f>VLOOKUP(Tabela1[[#This Row],[Origem]], 'Perguntas 1 a 24'!$J$28:$K$34, 2, 0)</f>
        <v>Sudeste</v>
      </c>
      <c r="E80" s="87" t="str">
        <f>Tabela1[[#This Row],[Descrição]]&amp;"-"&amp;Tabela1[[#This Row],[Código]]&amp;"/"&amp;Tabela1[[#This Row],[Origem]]</f>
        <v>Caperede-H844P822/MG</v>
      </c>
      <c r="F80" s="88">
        <v>45474</v>
      </c>
      <c r="G80" s="88" t="str" cm="1">
        <f t="array" ref="G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AND(F80&gt;= DATE(2026,1,1), F80&lt;= DATE(2028, 12, 31), J80&gt;50000), "Pendente e Caro", AND(F80&gt;= DATE(2026,1,1), F80&lt;= DATE(2028, 12, 31), J80&lt;=50000), "Pendente", F80&gt;= DATE(2029,1,1), "Não prioeitário")</f>
        <v>Urgente</v>
      </c>
      <c r="H80" s="89">
        <f>YEAR(Tabela1[[#This Row],[Data de Validade]])</f>
        <v>2024</v>
      </c>
      <c r="I80" s="89">
        <f>MONTH(Tabela1[[#This Row],[Data de Validade]])</f>
        <v>7</v>
      </c>
      <c r="J80" s="101">
        <v>45728</v>
      </c>
      <c r="K80" s="87" t="s">
        <v>7</v>
      </c>
      <c r="L80" s="108"/>
      <c r="M80" s="108"/>
      <c r="N80" s="108" t="str">
        <v>H844P822</v>
      </c>
      <c r="O80" s="108">
        <f t="shared" si="3"/>
        <v>1</v>
      </c>
      <c r="P80" s="108"/>
      <c r="Q80"/>
    </row>
    <row r="81" spans="1:17" x14ac:dyDescent="0.25">
      <c r="A81" s="89" t="s">
        <v>5852</v>
      </c>
      <c r="B81" s="87" t="s">
        <v>5853</v>
      </c>
      <c r="C81" s="87" t="s">
        <v>8</v>
      </c>
      <c r="D81" s="87" t="str">
        <f>VLOOKUP(Tabela1[[#This Row],[Origem]], 'Perguntas 1 a 24'!$J$28:$K$34, 2, 0)</f>
        <v>Nordeste</v>
      </c>
      <c r="E81" s="87" t="str">
        <f>Tabela1[[#This Row],[Descrição]]&amp;"-"&amp;Tabela1[[#This Row],[Código]]&amp;"/"&amp;Tabela1[[#This Row],[Origem]]</f>
        <v>Pefori-P532P186/AL</v>
      </c>
      <c r="F81" s="88">
        <v>45475</v>
      </c>
      <c r="G81" s="88" t="str" cm="1">
        <f t="array" ref="G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AND(F81&gt;= DATE(2026,1,1), F81&lt;= DATE(2028, 12, 31), J81&gt;50000), "Pendente e Caro", AND(F81&gt;= DATE(2026,1,1), F81&lt;= DATE(2028, 12, 31), J81&lt;=50000), "Pendente", F81&gt;= DATE(2029,1,1), "Não prioeitário")</f>
        <v>Urgente e Caro</v>
      </c>
      <c r="H81" s="89">
        <f>YEAR(Tabela1[[#This Row],[Data de Validade]])</f>
        <v>2024</v>
      </c>
      <c r="I81" s="89">
        <f>MONTH(Tabela1[[#This Row],[Data de Validade]])</f>
        <v>7</v>
      </c>
      <c r="J81" s="101">
        <v>111849</v>
      </c>
      <c r="K81" s="87" t="s">
        <v>9</v>
      </c>
      <c r="L81" s="108"/>
      <c r="M81" s="108"/>
      <c r="N81" s="108" t="str">
        <v>P532P186</v>
      </c>
      <c r="O81" s="108">
        <f t="shared" si="3"/>
        <v>1</v>
      </c>
      <c r="P81" s="108"/>
      <c r="Q81"/>
    </row>
    <row r="82" spans="1:17" x14ac:dyDescent="0.25">
      <c r="A82" s="89" t="s">
        <v>5080</v>
      </c>
      <c r="B82" s="87" t="s">
        <v>5081</v>
      </c>
      <c r="C82" s="87" t="s">
        <v>15</v>
      </c>
      <c r="D82" s="87" t="str">
        <f>VLOOKUP(Tabela1[[#This Row],[Origem]], 'Perguntas 1 a 24'!$J$28:$K$34, 2, 0)</f>
        <v>Sudeste</v>
      </c>
      <c r="E82" s="87" t="str">
        <f>Tabela1[[#This Row],[Descrição]]&amp;"-"&amp;Tabela1[[#This Row],[Código]]&amp;"/"&amp;Tabela1[[#This Row],[Origem]]</f>
        <v>Popamevoro-H481H562/ES</v>
      </c>
      <c r="F82" s="88">
        <v>45475</v>
      </c>
      <c r="G82" s="88" t="str" cm="1">
        <f t="array" ref="G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AND(F82&gt;= DATE(2026,1,1), F82&lt;= DATE(2028, 12, 31), J82&gt;50000), "Pendente e Caro", AND(F82&gt;= DATE(2026,1,1), F82&lt;= DATE(2028, 12, 31), J82&lt;=50000), "Pendente", F82&gt;= DATE(2029,1,1), "Não prioeitário")</f>
        <v>Urgente e Caro</v>
      </c>
      <c r="H82" s="89">
        <f>YEAR(Tabela1[[#This Row],[Data de Validade]])</f>
        <v>2024</v>
      </c>
      <c r="I82" s="89">
        <f>MONTH(Tabela1[[#This Row],[Data de Validade]])</f>
        <v>7</v>
      </c>
      <c r="J82" s="101">
        <v>52678</v>
      </c>
      <c r="K82" s="87" t="s">
        <v>7</v>
      </c>
      <c r="L82" s="108"/>
      <c r="M82" s="108"/>
      <c r="N82" s="108" t="str">
        <v>H481H562</v>
      </c>
      <c r="O82" s="108">
        <f t="shared" si="3"/>
        <v>1</v>
      </c>
      <c r="P82" s="108"/>
      <c r="Q82"/>
    </row>
    <row r="83" spans="1:17" x14ac:dyDescent="0.25">
      <c r="A83" s="89" t="s">
        <v>9897</v>
      </c>
      <c r="B83" s="87" t="s">
        <v>9898</v>
      </c>
      <c r="C83" s="87" t="s">
        <v>6</v>
      </c>
      <c r="D83" s="87" t="str">
        <f>VLOOKUP(Tabela1[[#This Row],[Origem]], 'Perguntas 1 a 24'!$J$28:$K$34, 2, 0)</f>
        <v>Nordeste</v>
      </c>
      <c r="E83" s="87" t="str">
        <f>Tabela1[[#This Row],[Descrição]]&amp;"-"&amp;Tabela1[[#This Row],[Código]]&amp;"/"&amp;Tabela1[[#This Row],[Origem]]</f>
        <v>Turuturo-P117H247/MA</v>
      </c>
      <c r="F83" s="88">
        <v>45476</v>
      </c>
      <c r="G83" s="88" t="str" cm="1">
        <f t="array" ref="G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AND(F83&gt;= DATE(2026,1,1), F83&lt;= DATE(2028, 12, 31), J83&gt;50000), "Pendente e Caro", AND(F83&gt;= DATE(2026,1,1), F83&lt;= DATE(2028, 12, 31), J83&lt;=50000), "Pendente", F83&gt;= DATE(2029,1,1), "Não prioeitário")</f>
        <v>Urgente</v>
      </c>
      <c r="H83" s="89">
        <f>YEAR(Tabela1[[#This Row],[Data de Validade]])</f>
        <v>2024</v>
      </c>
      <c r="I83" s="89">
        <f>MONTH(Tabela1[[#This Row],[Data de Validade]])</f>
        <v>7</v>
      </c>
      <c r="J83" s="101">
        <v>35691</v>
      </c>
      <c r="K83" s="87" t="s">
        <v>7</v>
      </c>
      <c r="L83" s="108"/>
      <c r="M83" s="108"/>
      <c r="N83" s="108" t="str">
        <v>P117H247</v>
      </c>
      <c r="O83" s="108">
        <f t="shared" si="3"/>
        <v>1</v>
      </c>
      <c r="P83" s="108"/>
      <c r="Q83"/>
    </row>
    <row r="84" spans="1:17" x14ac:dyDescent="0.25">
      <c r="A84" s="89" t="s">
        <v>3918</v>
      </c>
      <c r="B84" s="87" t="s">
        <v>3919</v>
      </c>
      <c r="C84" s="87" t="s">
        <v>10</v>
      </c>
      <c r="D84" s="87" t="str">
        <f>VLOOKUP(Tabela1[[#This Row],[Origem]], 'Perguntas 1 a 24'!$J$28:$K$34, 2, 0)</f>
        <v>Centro-Oeste</v>
      </c>
      <c r="E84" s="87" t="str">
        <f>Tabela1[[#This Row],[Descrição]]&amp;"-"&amp;Tabela1[[#This Row],[Código]]&amp;"/"&amp;Tabela1[[#This Row],[Origem]]</f>
        <v>Potepara-H169P189/GO</v>
      </c>
      <c r="F84" s="88">
        <v>45478</v>
      </c>
      <c r="G84" s="88" t="str" cm="1">
        <f t="array" ref="G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AND(F84&gt;= DATE(2026,1,1), F84&lt;= DATE(2028, 12, 31), J84&gt;50000), "Pendente e Caro", AND(F84&gt;= DATE(2026,1,1), F84&lt;= DATE(2028, 12, 31), J84&lt;=50000), "Pendente", F84&gt;= DATE(2029,1,1), "Não prioeitário")</f>
        <v>Urgente e Caro</v>
      </c>
      <c r="H84" s="89">
        <f>YEAR(Tabela1[[#This Row],[Data de Validade]])</f>
        <v>2024</v>
      </c>
      <c r="I84" s="89">
        <f>MONTH(Tabela1[[#This Row],[Data de Validade]])</f>
        <v>7</v>
      </c>
      <c r="J84" s="101">
        <v>117394</v>
      </c>
      <c r="K84" s="87" t="s">
        <v>7</v>
      </c>
      <c r="L84" s="108"/>
      <c r="M84" s="108"/>
      <c r="N84" s="108" t="str">
        <v>H169P189</v>
      </c>
      <c r="O84" s="108">
        <f t="shared" si="3"/>
        <v>1</v>
      </c>
      <c r="P84" s="108"/>
      <c r="Q84"/>
    </row>
    <row r="85" spans="1:17" x14ac:dyDescent="0.25">
      <c r="A85" s="89" t="s">
        <v>10461</v>
      </c>
      <c r="B85" s="87" t="s">
        <v>10462</v>
      </c>
      <c r="C85" s="87" t="s">
        <v>6</v>
      </c>
      <c r="D85" s="87" t="str">
        <f>VLOOKUP(Tabela1[[#This Row],[Origem]], 'Perguntas 1 a 24'!$J$28:$K$34, 2, 0)</f>
        <v>Nordeste</v>
      </c>
      <c r="E85" s="87" t="str">
        <f>Tabela1[[#This Row],[Descrição]]&amp;"-"&amp;Tabela1[[#This Row],[Código]]&amp;"/"&amp;Tabela1[[#This Row],[Origem]]</f>
        <v>Pudapipipa-H273P274/MA</v>
      </c>
      <c r="F85" s="88">
        <v>45478</v>
      </c>
      <c r="G85" s="88" t="str" cm="1">
        <f t="array" ref="G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AND(F85&gt;= DATE(2026,1,1), F85&lt;= DATE(2028, 12, 31), J85&gt;50000), "Pendente e Caro", AND(F85&gt;= DATE(2026,1,1), F85&lt;= DATE(2028, 12, 31), J85&lt;=50000), "Pendente", F85&gt;= DATE(2029,1,1), "Não prioeitário")</f>
        <v>Urgente</v>
      </c>
      <c r="H85" s="89">
        <f>YEAR(Tabela1[[#This Row],[Data de Validade]])</f>
        <v>2024</v>
      </c>
      <c r="I85" s="89">
        <f>MONTH(Tabela1[[#This Row],[Data de Validade]])</f>
        <v>7</v>
      </c>
      <c r="J85" s="101">
        <v>49455</v>
      </c>
      <c r="K85" s="87" t="s">
        <v>7</v>
      </c>
      <c r="L85" s="108"/>
      <c r="M85" s="108"/>
      <c r="N85" s="108" t="str">
        <v>H273P274</v>
      </c>
      <c r="O85" s="108">
        <f t="shared" si="3"/>
        <v>1</v>
      </c>
      <c r="P85" s="108"/>
      <c r="Q85"/>
    </row>
    <row r="86" spans="1:17" x14ac:dyDescent="0.25">
      <c r="A86" s="89" t="s">
        <v>6890</v>
      </c>
      <c r="B86" s="87" t="s">
        <v>6891</v>
      </c>
      <c r="C86" s="87" t="s">
        <v>8</v>
      </c>
      <c r="D86" s="87" t="str">
        <f>VLOOKUP(Tabela1[[#This Row],[Origem]], 'Perguntas 1 a 24'!$J$28:$K$34, 2, 0)</f>
        <v>Nordeste</v>
      </c>
      <c r="E86" s="87" t="str">
        <f>Tabela1[[#This Row],[Descrição]]&amp;"-"&amp;Tabela1[[#This Row],[Código]]&amp;"/"&amp;Tabela1[[#This Row],[Origem]]</f>
        <v>Ruteda-H782P596/AL</v>
      </c>
      <c r="F86" s="88">
        <v>45479</v>
      </c>
      <c r="G86" s="88" t="str" cm="1">
        <f t="array" ref="G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AND(F86&gt;= DATE(2026,1,1), F86&lt;= DATE(2028, 12, 31), J86&gt;50000), "Pendente e Caro", AND(F86&gt;= DATE(2026,1,1), F86&lt;= DATE(2028, 12, 31), J86&lt;=50000), "Pendente", F86&gt;= DATE(2029,1,1), "Não prioeitário")</f>
        <v>Urgente e Caro</v>
      </c>
      <c r="H86" s="89">
        <f>YEAR(Tabela1[[#This Row],[Data de Validade]])</f>
        <v>2024</v>
      </c>
      <c r="I86" s="89">
        <f>MONTH(Tabela1[[#This Row],[Data de Validade]])</f>
        <v>7</v>
      </c>
      <c r="J86" s="101">
        <v>85480</v>
      </c>
      <c r="K86" s="87" t="s">
        <v>14</v>
      </c>
      <c r="L86" s="108"/>
      <c r="M86" s="108"/>
      <c r="N86" s="108" t="str">
        <v>H782P596</v>
      </c>
      <c r="O86" s="108">
        <f t="shared" si="3"/>
        <v>1</v>
      </c>
      <c r="P86" s="108"/>
      <c r="Q86"/>
    </row>
    <row r="87" spans="1:17" x14ac:dyDescent="0.25">
      <c r="A87" s="89" t="s">
        <v>7240</v>
      </c>
      <c r="B87" s="87" t="s">
        <v>7241</v>
      </c>
      <c r="C87" s="87" t="s">
        <v>12</v>
      </c>
      <c r="D87" s="87" t="str">
        <f>VLOOKUP(Tabela1[[#This Row],[Origem]], 'Perguntas 1 a 24'!$J$28:$K$34, 2, 0)</f>
        <v>Sudeste</v>
      </c>
      <c r="E87" s="87" t="str">
        <f>Tabela1[[#This Row],[Descrição]]&amp;"-"&amp;Tabela1[[#This Row],[Código]]&amp;"/"&amp;Tabela1[[#This Row],[Origem]]</f>
        <v>Gagetatope-H117H711/RJ</v>
      </c>
      <c r="F87" s="88">
        <v>45479</v>
      </c>
      <c r="G87" s="88" t="str" cm="1">
        <f t="array" ref="G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AND(F87&gt;= DATE(2026,1,1), F87&lt;= DATE(2028, 12, 31), J87&gt;50000), "Pendente e Caro", AND(F87&gt;= DATE(2026,1,1), F87&lt;= DATE(2028, 12, 31), J87&lt;=50000), "Pendente", F87&gt;= DATE(2029,1,1), "Não prioeitário")</f>
        <v>Urgente</v>
      </c>
      <c r="H87" s="89">
        <f>YEAR(Tabela1[[#This Row],[Data de Validade]])</f>
        <v>2024</v>
      </c>
      <c r="I87" s="89">
        <f>MONTH(Tabela1[[#This Row],[Data de Validade]])</f>
        <v>7</v>
      </c>
      <c r="J87" s="101">
        <v>35443</v>
      </c>
      <c r="K87" s="87" t="s">
        <v>7</v>
      </c>
      <c r="L87" s="108"/>
      <c r="M87" s="108"/>
      <c r="N87" s="108" t="str">
        <v>H117H711</v>
      </c>
      <c r="O87" s="108">
        <f t="shared" si="3"/>
        <v>1</v>
      </c>
      <c r="P87" s="108"/>
      <c r="Q87"/>
    </row>
    <row r="88" spans="1:17" x14ac:dyDescent="0.25">
      <c r="A88" s="89" t="s">
        <v>9459</v>
      </c>
      <c r="B88" s="87" t="s">
        <v>9460</v>
      </c>
      <c r="C88" s="87" t="s">
        <v>10</v>
      </c>
      <c r="D88" s="87" t="str">
        <f>VLOOKUP(Tabela1[[#This Row],[Origem]], 'Perguntas 1 a 24'!$J$28:$K$34, 2, 0)</f>
        <v>Centro-Oeste</v>
      </c>
      <c r="E88" s="87" t="str">
        <f>Tabela1[[#This Row],[Descrição]]&amp;"-"&amp;Tabela1[[#This Row],[Código]]&amp;"/"&amp;Tabela1[[#This Row],[Origem]]</f>
        <v>Gilalere-P854H115/GO</v>
      </c>
      <c r="F88" s="88">
        <v>45480</v>
      </c>
      <c r="G88" s="88" t="str" cm="1">
        <f t="array" ref="G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AND(F88&gt;= DATE(2026,1,1), F88&lt;= DATE(2028, 12, 31), J88&gt;50000), "Pendente e Caro", AND(F88&gt;= DATE(2026,1,1), F88&lt;= DATE(2028, 12, 31), J88&lt;=50000), "Pendente", F88&gt;= DATE(2029,1,1), "Não prioeitário")</f>
        <v>Urgente</v>
      </c>
      <c r="H88" s="89">
        <f>YEAR(Tabela1[[#This Row],[Data de Validade]])</f>
        <v>2024</v>
      </c>
      <c r="I88" s="89">
        <f>MONTH(Tabela1[[#This Row],[Data de Validade]])</f>
        <v>7</v>
      </c>
      <c r="J88" s="101">
        <v>31688</v>
      </c>
      <c r="K88" s="87" t="s">
        <v>7</v>
      </c>
      <c r="L88" s="108"/>
      <c r="M88" s="108"/>
      <c r="N88" s="108" t="str">
        <v>P854H115</v>
      </c>
      <c r="O88" s="108">
        <f t="shared" si="3"/>
        <v>1</v>
      </c>
      <c r="P88" s="108"/>
      <c r="Q88"/>
    </row>
    <row r="89" spans="1:17" x14ac:dyDescent="0.25">
      <c r="A89" s="89" t="s">
        <v>6314</v>
      </c>
      <c r="B89" s="87" t="s">
        <v>6315</v>
      </c>
      <c r="C89" s="87" t="s">
        <v>16</v>
      </c>
      <c r="D89" s="87" t="str">
        <f>VLOOKUP(Tabela1[[#This Row],[Origem]], 'Perguntas 1 a 24'!$J$28:$K$34, 2, 0)</f>
        <v>Sudeste</v>
      </c>
      <c r="E89" s="87" t="str">
        <f>Tabela1[[#This Row],[Descrição]]&amp;"-"&amp;Tabela1[[#This Row],[Código]]&amp;"/"&amp;Tabela1[[#This Row],[Origem]]</f>
        <v>Teramopeli-H734H176/MG</v>
      </c>
      <c r="F89" s="88">
        <v>45481</v>
      </c>
      <c r="G89" s="88" t="str" cm="1">
        <f t="array" ref="G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AND(F89&gt;= DATE(2026,1,1), F89&lt;= DATE(2028, 12, 31), J89&gt;50000), "Pendente e Caro", AND(F89&gt;= DATE(2026,1,1), F89&lt;= DATE(2028, 12, 31), J89&lt;=50000), "Pendente", F89&gt;= DATE(2029,1,1), "Não prioeitário")</f>
        <v>Urgente e Caro</v>
      </c>
      <c r="H89" s="89">
        <f>YEAR(Tabela1[[#This Row],[Data de Validade]])</f>
        <v>2024</v>
      </c>
      <c r="I89" s="89">
        <f>MONTH(Tabela1[[#This Row],[Data de Validade]])</f>
        <v>7</v>
      </c>
      <c r="J89" s="101">
        <v>89123</v>
      </c>
      <c r="K89" s="87" t="s">
        <v>9</v>
      </c>
      <c r="L89" s="108"/>
      <c r="M89" s="108"/>
      <c r="N89" s="108" t="str">
        <v>H734H176</v>
      </c>
      <c r="O89" s="108">
        <f t="shared" si="3"/>
        <v>1</v>
      </c>
      <c r="P89" s="108"/>
      <c r="Q89"/>
    </row>
    <row r="90" spans="1:17" x14ac:dyDescent="0.25">
      <c r="A90" s="89" t="s">
        <v>6460</v>
      </c>
      <c r="B90" s="87" t="s">
        <v>6461</v>
      </c>
      <c r="C90" s="87" t="s">
        <v>13</v>
      </c>
      <c r="D90" s="87" t="str">
        <f>VLOOKUP(Tabela1[[#This Row],[Origem]], 'Perguntas 1 a 24'!$J$28:$K$34, 2, 0)</f>
        <v>Sudeste</v>
      </c>
      <c r="E90" s="87" t="str">
        <f>Tabela1[[#This Row],[Descrição]]&amp;"-"&amp;Tabela1[[#This Row],[Código]]&amp;"/"&amp;Tabela1[[#This Row],[Origem]]</f>
        <v>Guvapepu-H637P327/SP</v>
      </c>
      <c r="F90" s="88">
        <v>45481</v>
      </c>
      <c r="G90" s="88" t="str" cm="1">
        <f t="array" ref="G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AND(F90&gt;= DATE(2026,1,1), F90&lt;= DATE(2028, 12, 31), J90&gt;50000), "Pendente e Caro", AND(F90&gt;= DATE(2026,1,1), F90&lt;= DATE(2028, 12, 31), J90&lt;=50000), "Pendente", F90&gt;= DATE(2029,1,1), "Não prioeitário")</f>
        <v>Urgente</v>
      </c>
      <c r="H90" s="89">
        <f>YEAR(Tabela1[[#This Row],[Data de Validade]])</f>
        <v>2024</v>
      </c>
      <c r="I90" s="89">
        <f>MONTH(Tabela1[[#This Row],[Data de Validade]])</f>
        <v>7</v>
      </c>
      <c r="J90" s="101">
        <v>35521</v>
      </c>
      <c r="K90" s="87" t="s">
        <v>9</v>
      </c>
      <c r="L90" s="108"/>
      <c r="M90" s="108"/>
      <c r="N90" s="108" t="str">
        <v>H637P327</v>
      </c>
      <c r="O90" s="108">
        <f t="shared" si="3"/>
        <v>1</v>
      </c>
      <c r="P90" s="108"/>
      <c r="Q90"/>
    </row>
    <row r="91" spans="1:17" x14ac:dyDescent="0.25">
      <c r="A91" s="89" t="s">
        <v>10321</v>
      </c>
      <c r="B91" s="87" t="s">
        <v>10322</v>
      </c>
      <c r="C91" s="87" t="s">
        <v>13</v>
      </c>
      <c r="D91" s="87" t="str">
        <f>VLOOKUP(Tabela1[[#This Row],[Origem]], 'Perguntas 1 a 24'!$J$28:$K$34, 2, 0)</f>
        <v>Sudeste</v>
      </c>
      <c r="E91" s="87" t="str">
        <f>Tabela1[[#This Row],[Descrição]]&amp;"-"&amp;Tabela1[[#This Row],[Código]]&amp;"/"&amp;Tabela1[[#This Row],[Origem]]</f>
        <v>Revonepu-P398P181/SP</v>
      </c>
      <c r="F91" s="88">
        <v>45484</v>
      </c>
      <c r="G91" s="88" t="str" cm="1">
        <f t="array" ref="G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AND(F91&gt;= DATE(2026,1,1), F91&lt;= DATE(2028, 12, 31), J91&gt;50000), "Pendente e Caro", AND(F91&gt;= DATE(2026,1,1), F91&lt;= DATE(2028, 12, 31), J91&lt;=50000), "Pendente", F91&gt;= DATE(2029,1,1), "Não prioeitário")</f>
        <v>Urgente e Caro</v>
      </c>
      <c r="H91" s="89">
        <f>YEAR(Tabela1[[#This Row],[Data de Validade]])</f>
        <v>2024</v>
      </c>
      <c r="I91" s="89">
        <f>MONTH(Tabela1[[#This Row],[Data de Validade]])</f>
        <v>7</v>
      </c>
      <c r="J91" s="101">
        <v>76373</v>
      </c>
      <c r="K91" s="87" t="s">
        <v>11</v>
      </c>
      <c r="L91" s="108"/>
      <c r="M91" s="108"/>
      <c r="N91" s="108" t="str">
        <v>P398P181</v>
      </c>
      <c r="O91" s="108">
        <f t="shared" si="3"/>
        <v>1</v>
      </c>
      <c r="P91" s="108"/>
      <c r="Q91"/>
    </row>
    <row r="92" spans="1:17" x14ac:dyDescent="0.25">
      <c r="A92" s="89" t="s">
        <v>4748</v>
      </c>
      <c r="B92" s="87" t="s">
        <v>4749</v>
      </c>
      <c r="C92" s="87" t="s">
        <v>16</v>
      </c>
      <c r="D92" s="87" t="str">
        <f>VLOOKUP(Tabela1[[#This Row],[Origem]], 'Perguntas 1 a 24'!$J$28:$K$34, 2, 0)</f>
        <v>Sudeste</v>
      </c>
      <c r="E92" s="87" t="str">
        <f>Tabela1[[#This Row],[Descrição]]&amp;"-"&amp;Tabela1[[#This Row],[Código]]&amp;"/"&amp;Tabela1[[#This Row],[Origem]]</f>
        <v>Vodapomipo-P245H224/MG</v>
      </c>
      <c r="F92" s="88">
        <v>45485</v>
      </c>
      <c r="G92" s="88" t="str" cm="1">
        <f t="array" ref="G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AND(F92&gt;= DATE(2026,1,1), F92&lt;= DATE(2028, 12, 31), J92&gt;50000), "Pendente e Caro", AND(F92&gt;= DATE(2026,1,1), F92&lt;= DATE(2028, 12, 31), J92&lt;=50000), "Pendente", F92&gt;= DATE(2029,1,1), "Não prioeitário")</f>
        <v>Urgente e Caro</v>
      </c>
      <c r="H92" s="89">
        <f>YEAR(Tabela1[[#This Row],[Data de Validade]])</f>
        <v>2024</v>
      </c>
      <c r="I92" s="89">
        <f>MONTH(Tabela1[[#This Row],[Data de Validade]])</f>
        <v>7</v>
      </c>
      <c r="J92" s="101">
        <v>80958</v>
      </c>
      <c r="K92" s="87" t="s">
        <v>11</v>
      </c>
      <c r="L92" s="108"/>
      <c r="M92" s="108"/>
      <c r="N92" s="108" t="str">
        <v>P245H224</v>
      </c>
      <c r="O92" s="108">
        <f t="shared" si="3"/>
        <v>1</v>
      </c>
      <c r="P92" s="108"/>
      <c r="Q92"/>
    </row>
    <row r="93" spans="1:17" x14ac:dyDescent="0.25">
      <c r="A93" s="89" t="s">
        <v>9071</v>
      </c>
      <c r="B93" s="87" t="s">
        <v>9072</v>
      </c>
      <c r="C93" s="87" t="s">
        <v>10</v>
      </c>
      <c r="D93" s="87" t="str">
        <f>VLOOKUP(Tabela1[[#This Row],[Origem]], 'Perguntas 1 a 24'!$J$28:$K$34, 2, 0)</f>
        <v>Centro-Oeste</v>
      </c>
      <c r="E93" s="87" t="str">
        <f>Tabela1[[#This Row],[Descrição]]&amp;"-"&amp;Tabela1[[#This Row],[Código]]&amp;"/"&amp;Tabela1[[#This Row],[Origem]]</f>
        <v>Depanufore-P752P815/GO</v>
      </c>
      <c r="F93" s="88">
        <v>45485</v>
      </c>
      <c r="G93" s="88" t="str" cm="1">
        <f t="array" ref="G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AND(F93&gt;= DATE(2026,1,1), F93&lt;= DATE(2028, 12, 31), J93&gt;50000), "Pendente e Caro", AND(F93&gt;= DATE(2026,1,1), F93&lt;= DATE(2028, 12, 31), J93&lt;=50000), "Pendente", F93&gt;= DATE(2029,1,1), "Não prioeitário")</f>
        <v>Urgente e Caro</v>
      </c>
      <c r="H93" s="89">
        <f>YEAR(Tabela1[[#This Row],[Data de Validade]])</f>
        <v>2024</v>
      </c>
      <c r="I93" s="89">
        <f>MONTH(Tabela1[[#This Row],[Data de Validade]])</f>
        <v>7</v>
      </c>
      <c r="J93" s="101">
        <v>61709</v>
      </c>
      <c r="K93" s="87" t="s">
        <v>14</v>
      </c>
      <c r="L93" s="108"/>
      <c r="M93" s="108"/>
      <c r="N93" s="108" t="str">
        <v>P752P815</v>
      </c>
      <c r="O93" s="108">
        <f t="shared" si="3"/>
        <v>1</v>
      </c>
      <c r="P93" s="108"/>
      <c r="Q93"/>
    </row>
    <row r="94" spans="1:17" x14ac:dyDescent="0.25">
      <c r="A94" s="89" t="s">
        <v>9215</v>
      </c>
      <c r="B94" s="87" t="s">
        <v>9216</v>
      </c>
      <c r="C94" s="87" t="s">
        <v>8</v>
      </c>
      <c r="D94" s="87" t="str">
        <f>VLOOKUP(Tabela1[[#This Row],[Origem]], 'Perguntas 1 a 24'!$J$28:$K$34, 2, 0)</f>
        <v>Nordeste</v>
      </c>
      <c r="E94" s="87" t="str">
        <f>Tabela1[[#This Row],[Descrição]]&amp;"-"&amp;Tabela1[[#This Row],[Código]]&amp;"/"&amp;Tabela1[[#This Row],[Origem]]</f>
        <v>Rocipovipa-P321P834/AL</v>
      </c>
      <c r="F94" s="88">
        <v>45485</v>
      </c>
      <c r="G94" s="88" t="str" cm="1">
        <f t="array" ref="G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AND(F94&gt;= DATE(2026,1,1), F94&lt;= DATE(2028, 12, 31), J94&gt;50000), "Pendente e Caro", AND(F94&gt;= DATE(2026,1,1), F94&lt;= DATE(2028, 12, 31), J94&lt;=50000), "Pendente", F94&gt;= DATE(2029,1,1), "Não prioeitário")</f>
        <v>Urgente e Caro</v>
      </c>
      <c r="H94" s="89">
        <f>YEAR(Tabela1[[#This Row],[Data de Validade]])</f>
        <v>2024</v>
      </c>
      <c r="I94" s="89">
        <f>MONTH(Tabela1[[#This Row],[Data de Validade]])</f>
        <v>7</v>
      </c>
      <c r="J94" s="101">
        <v>52652</v>
      </c>
      <c r="K94" s="87" t="s">
        <v>9</v>
      </c>
      <c r="L94" s="108"/>
      <c r="M94" s="108"/>
      <c r="N94" s="108" t="str">
        <v>P321P834</v>
      </c>
      <c r="O94" s="108">
        <f t="shared" si="3"/>
        <v>1</v>
      </c>
      <c r="P94" s="108"/>
      <c r="Q94"/>
    </row>
    <row r="95" spans="1:17" x14ac:dyDescent="0.25">
      <c r="A95" s="89" t="s">
        <v>7630</v>
      </c>
      <c r="B95" s="87" t="s">
        <v>7631</v>
      </c>
      <c r="C95" s="87" t="s">
        <v>13</v>
      </c>
      <c r="D95" s="87" t="str">
        <f>VLOOKUP(Tabela1[[#This Row],[Origem]], 'Perguntas 1 a 24'!$J$28:$K$34, 2, 0)</f>
        <v>Sudeste</v>
      </c>
      <c r="E95" s="87" t="str">
        <f>Tabela1[[#This Row],[Descrição]]&amp;"-"&amp;Tabela1[[#This Row],[Código]]&amp;"/"&amp;Tabela1[[#This Row],[Origem]]</f>
        <v>Gagirudapa-P599H614/SP</v>
      </c>
      <c r="F95" s="88">
        <v>45486</v>
      </c>
      <c r="G95" s="88" t="str" cm="1">
        <f t="array" ref="G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AND(F95&gt;= DATE(2026,1,1), F95&lt;= DATE(2028, 12, 31), J95&gt;50000), "Pendente e Caro", AND(F95&gt;= DATE(2026,1,1), F95&lt;= DATE(2028, 12, 31), J95&lt;=50000), "Pendente", F95&gt;= DATE(2029,1,1), "Não prioeitário")</f>
        <v>Urgente e Caro</v>
      </c>
      <c r="H95" s="89">
        <f>YEAR(Tabela1[[#This Row],[Data de Validade]])</f>
        <v>2024</v>
      </c>
      <c r="I95" s="89">
        <f>MONTH(Tabela1[[#This Row],[Data de Validade]])</f>
        <v>7</v>
      </c>
      <c r="J95" s="101">
        <v>115178</v>
      </c>
      <c r="K95" s="87" t="s">
        <v>9</v>
      </c>
      <c r="L95" s="108"/>
      <c r="M95" s="108"/>
      <c r="N95" s="108" t="str">
        <v>P599H614</v>
      </c>
      <c r="O95" s="108">
        <f t="shared" si="3"/>
        <v>1</v>
      </c>
      <c r="P95" s="108"/>
      <c r="Q95"/>
    </row>
    <row r="96" spans="1:17" x14ac:dyDescent="0.25">
      <c r="A96" s="89" t="s">
        <v>6772</v>
      </c>
      <c r="B96" s="87" t="s">
        <v>6773</v>
      </c>
      <c r="C96" s="87" t="s">
        <v>15</v>
      </c>
      <c r="D96" s="87" t="str">
        <f>VLOOKUP(Tabela1[[#This Row],[Origem]], 'Perguntas 1 a 24'!$J$28:$K$34, 2, 0)</f>
        <v>Sudeste</v>
      </c>
      <c r="E96" s="87" t="str">
        <f>Tabela1[[#This Row],[Descrição]]&amp;"-"&amp;Tabela1[[#This Row],[Código]]&amp;"/"&amp;Tabela1[[#This Row],[Origem]]</f>
        <v>Ratipa-P983H239/ES</v>
      </c>
      <c r="F96" s="88">
        <v>45486</v>
      </c>
      <c r="G96" s="88" t="str" cm="1">
        <f t="array" ref="G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AND(F96&gt;= DATE(2026,1,1), F96&lt;= DATE(2028, 12, 31), J96&gt;50000), "Pendente e Caro", AND(F96&gt;= DATE(2026,1,1), F96&lt;= DATE(2028, 12, 31), J96&lt;=50000), "Pendente", F96&gt;= DATE(2029,1,1), "Não prioeitário")</f>
        <v>Urgente e Caro</v>
      </c>
      <c r="H96" s="89">
        <f>YEAR(Tabela1[[#This Row],[Data de Validade]])</f>
        <v>2024</v>
      </c>
      <c r="I96" s="89">
        <f>MONTH(Tabela1[[#This Row],[Data de Validade]])</f>
        <v>7</v>
      </c>
      <c r="J96" s="101">
        <v>65938</v>
      </c>
      <c r="K96" s="87" t="s">
        <v>9</v>
      </c>
      <c r="L96" s="108"/>
      <c r="M96" s="108"/>
      <c r="N96" s="108" t="str">
        <v>P983H239</v>
      </c>
      <c r="O96" s="108">
        <f t="shared" si="3"/>
        <v>1</v>
      </c>
      <c r="P96" s="108"/>
      <c r="Q96"/>
    </row>
    <row r="97" spans="1:17" x14ac:dyDescent="0.25">
      <c r="A97" s="89" t="s">
        <v>6240</v>
      </c>
      <c r="B97" s="87" t="s">
        <v>6241</v>
      </c>
      <c r="C97" s="87" t="s">
        <v>15</v>
      </c>
      <c r="D97" s="87" t="str">
        <f>VLOOKUP(Tabela1[[#This Row],[Origem]], 'Perguntas 1 a 24'!$J$28:$K$34, 2, 0)</f>
        <v>Sudeste</v>
      </c>
      <c r="E97" s="87" t="str">
        <f>Tabela1[[#This Row],[Descrição]]&amp;"-"&amp;Tabela1[[#This Row],[Código]]&amp;"/"&amp;Tabela1[[#This Row],[Origem]]</f>
        <v>Tefatemovu-P258P219/ES</v>
      </c>
      <c r="F97" s="88">
        <v>45486</v>
      </c>
      <c r="G97" s="88" t="str" cm="1">
        <f t="array" ref="G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AND(F97&gt;= DATE(2026,1,1), F97&lt;= DATE(2028, 12, 31), J97&gt;50000), "Pendente e Caro", AND(F97&gt;= DATE(2026,1,1), F97&lt;= DATE(2028, 12, 31), J97&lt;=50000), "Pendente", F97&gt;= DATE(2029,1,1), "Não prioeitário")</f>
        <v>Urgente e Caro</v>
      </c>
      <c r="H97" s="89">
        <f>YEAR(Tabela1[[#This Row],[Data de Validade]])</f>
        <v>2024</v>
      </c>
      <c r="I97" s="89">
        <f>MONTH(Tabela1[[#This Row],[Data de Validade]])</f>
        <v>7</v>
      </c>
      <c r="J97" s="101">
        <v>65832</v>
      </c>
      <c r="K97" s="87" t="s">
        <v>14</v>
      </c>
      <c r="L97" s="108"/>
      <c r="M97" s="108"/>
      <c r="N97" s="108" t="str">
        <v>P258P219</v>
      </c>
      <c r="O97" s="108">
        <f t="shared" si="3"/>
        <v>1</v>
      </c>
      <c r="P97" s="108"/>
      <c r="Q97"/>
    </row>
    <row r="98" spans="1:17" x14ac:dyDescent="0.25">
      <c r="A98" s="89" t="s">
        <v>6628</v>
      </c>
      <c r="B98" s="87" t="s">
        <v>6629</v>
      </c>
      <c r="C98" s="87" t="s">
        <v>13</v>
      </c>
      <c r="D98" s="87" t="str">
        <f>VLOOKUP(Tabela1[[#This Row],[Origem]], 'Perguntas 1 a 24'!$J$28:$K$34, 2, 0)</f>
        <v>Sudeste</v>
      </c>
      <c r="E98" s="87" t="str">
        <f>Tabela1[[#This Row],[Descrição]]&amp;"-"&amp;Tabela1[[#This Row],[Código]]&amp;"/"&amp;Tabela1[[#This Row],[Origem]]</f>
        <v>Vivecurelu-P628H144/SP</v>
      </c>
      <c r="F98" s="88">
        <v>45487</v>
      </c>
      <c r="G98" s="88" t="str" cm="1">
        <f t="array" ref="G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AND(F98&gt;= DATE(2026,1,1), F98&lt;= DATE(2028, 12, 31), J98&gt;50000), "Pendente e Caro", AND(F98&gt;= DATE(2026,1,1), F98&lt;= DATE(2028, 12, 31), J98&lt;=50000), "Pendente", F98&gt;= DATE(2029,1,1), "Não prioeitário")</f>
        <v>Urgente e Caro</v>
      </c>
      <c r="H98" s="89">
        <f>YEAR(Tabela1[[#This Row],[Data de Validade]])</f>
        <v>2024</v>
      </c>
      <c r="I98" s="89">
        <f>MONTH(Tabela1[[#This Row],[Data de Validade]])</f>
        <v>7</v>
      </c>
      <c r="J98" s="101">
        <v>66892</v>
      </c>
      <c r="K98" s="87" t="s">
        <v>14</v>
      </c>
      <c r="L98" s="108"/>
      <c r="M98" s="108"/>
      <c r="N98" s="108" t="str">
        <v>P628H144</v>
      </c>
      <c r="O98" s="108">
        <f t="shared" si="3"/>
        <v>1</v>
      </c>
      <c r="P98" s="108"/>
      <c r="Q98"/>
    </row>
    <row r="99" spans="1:17" x14ac:dyDescent="0.25">
      <c r="A99" s="89" t="s">
        <v>8284</v>
      </c>
      <c r="B99" s="87" t="s">
        <v>8285</v>
      </c>
      <c r="C99" s="87" t="s">
        <v>16</v>
      </c>
      <c r="D99" s="87" t="str">
        <f>VLOOKUP(Tabela1[[#This Row],[Origem]], 'Perguntas 1 a 24'!$J$28:$K$34, 2, 0)</f>
        <v>Sudeste</v>
      </c>
      <c r="E99" s="87" t="str">
        <f>Tabela1[[#This Row],[Descrição]]&amp;"-"&amp;Tabela1[[#This Row],[Código]]&amp;"/"&amp;Tabela1[[#This Row],[Origem]]</f>
        <v>Mapoditivi-H761P235/MG</v>
      </c>
      <c r="F99" s="88">
        <v>45487</v>
      </c>
      <c r="G99" s="88" t="str" cm="1">
        <f t="array" ref="G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AND(F99&gt;= DATE(2026,1,1), F99&lt;= DATE(2028, 12, 31), J99&gt;50000), "Pendente e Caro", AND(F99&gt;= DATE(2026,1,1), F99&lt;= DATE(2028, 12, 31), J99&lt;=50000), "Pendente", F99&gt;= DATE(2029,1,1), "Não prioeitário")</f>
        <v>Urgente</v>
      </c>
      <c r="H99" s="89">
        <f>YEAR(Tabela1[[#This Row],[Data de Validade]])</f>
        <v>2024</v>
      </c>
      <c r="I99" s="89">
        <f>MONTH(Tabela1[[#This Row],[Data de Validade]])</f>
        <v>7</v>
      </c>
      <c r="J99" s="101">
        <v>37485</v>
      </c>
      <c r="K99" s="87" t="s">
        <v>14</v>
      </c>
      <c r="L99" s="108"/>
      <c r="M99" s="108"/>
      <c r="N99" s="108" t="str">
        <v>H761P235</v>
      </c>
      <c r="O99" s="108">
        <f t="shared" si="3"/>
        <v>1</v>
      </c>
      <c r="P99" s="108"/>
      <c r="Q99"/>
    </row>
    <row r="100" spans="1:17" x14ac:dyDescent="0.25">
      <c r="A100" s="89" t="s">
        <v>5758</v>
      </c>
      <c r="B100" s="87" t="s">
        <v>5759</v>
      </c>
      <c r="C100" s="87" t="s">
        <v>15</v>
      </c>
      <c r="D100" s="87" t="str">
        <f>VLOOKUP(Tabela1[[#This Row],[Origem]], 'Perguntas 1 a 24'!$J$28:$K$34, 2, 0)</f>
        <v>Sudeste</v>
      </c>
      <c r="E100" s="87" t="str">
        <f>Tabela1[[#This Row],[Descrição]]&amp;"-"&amp;Tabela1[[#This Row],[Código]]&amp;"/"&amp;Tabela1[[#This Row],[Origem]]</f>
        <v>Loritita-P649H182/ES</v>
      </c>
      <c r="F100" s="88">
        <v>45488</v>
      </c>
      <c r="G100" s="88" t="str" cm="1">
        <f t="array" ref="G1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AND(F100&gt;= DATE(2026,1,1), F100&lt;= DATE(2028, 12, 31), J100&gt;50000), "Pendente e Caro", AND(F100&gt;= DATE(2026,1,1), F100&lt;= DATE(2028, 12, 31), J100&lt;=50000), "Pendente", F100&gt;= DATE(2029,1,1), "Não prioeitário")</f>
        <v>Urgente e Caro</v>
      </c>
      <c r="H100" s="89">
        <f>YEAR(Tabela1[[#This Row],[Data de Validade]])</f>
        <v>2024</v>
      </c>
      <c r="I100" s="89">
        <f>MONTH(Tabela1[[#This Row],[Data de Validade]])</f>
        <v>7</v>
      </c>
      <c r="J100" s="101">
        <v>103117</v>
      </c>
      <c r="K100" s="87" t="s">
        <v>9</v>
      </c>
      <c r="L100" s="108"/>
      <c r="M100" s="108"/>
      <c r="N100" s="108" t="str">
        <v>P649H182</v>
      </c>
      <c r="O100" s="108">
        <f t="shared" si="3"/>
        <v>1</v>
      </c>
      <c r="P100" s="108"/>
      <c r="Q100"/>
    </row>
    <row r="101" spans="1:17" x14ac:dyDescent="0.25">
      <c r="A101" s="89" t="s">
        <v>5990</v>
      </c>
      <c r="B101" s="87" t="s">
        <v>5991</v>
      </c>
      <c r="C101" s="87" t="s">
        <v>6</v>
      </c>
      <c r="D101" s="87" t="str">
        <f>VLOOKUP(Tabela1[[#This Row],[Origem]], 'Perguntas 1 a 24'!$J$28:$K$34, 2, 0)</f>
        <v>Nordeste</v>
      </c>
      <c r="E101" s="87" t="str">
        <f>Tabela1[[#This Row],[Descrição]]&amp;"-"&amp;Tabela1[[#This Row],[Código]]&amp;"/"&amp;Tabela1[[#This Row],[Origem]]</f>
        <v>Cipevo-H585P127/MA</v>
      </c>
      <c r="F101" s="88">
        <v>45488</v>
      </c>
      <c r="G101" s="88" t="str" cm="1">
        <f t="array" ref="G1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AND(F101&gt;= DATE(2026,1,1), F101&lt;= DATE(2028, 12, 31), J101&gt;50000), "Pendente e Caro", AND(F101&gt;= DATE(2026,1,1), F101&lt;= DATE(2028, 12, 31), J101&lt;=50000), "Pendente", F101&gt;= DATE(2029,1,1), "Não prioeitário")</f>
        <v>Urgente e Caro</v>
      </c>
      <c r="H101" s="89">
        <f>YEAR(Tabela1[[#This Row],[Data de Validade]])</f>
        <v>2024</v>
      </c>
      <c r="I101" s="89">
        <f>MONTH(Tabela1[[#This Row],[Data de Validade]])</f>
        <v>7</v>
      </c>
      <c r="J101" s="101">
        <v>64220</v>
      </c>
      <c r="K101" s="87" t="s">
        <v>11</v>
      </c>
      <c r="L101" s="108"/>
      <c r="M101" s="108"/>
      <c r="N101" s="108" t="str">
        <v>H585P127</v>
      </c>
      <c r="O101" s="108">
        <f t="shared" si="3"/>
        <v>1</v>
      </c>
      <c r="P101" s="108"/>
      <c r="Q101"/>
    </row>
    <row r="102" spans="1:17" x14ac:dyDescent="0.25">
      <c r="A102" s="89" t="s">
        <v>9265</v>
      </c>
      <c r="B102" s="87" t="s">
        <v>9266</v>
      </c>
      <c r="C102" s="87" t="s">
        <v>15</v>
      </c>
      <c r="D102" s="87" t="str">
        <f>VLOOKUP(Tabela1[[#This Row],[Origem]], 'Perguntas 1 a 24'!$J$28:$K$34, 2, 0)</f>
        <v>Sudeste</v>
      </c>
      <c r="E102" s="87" t="str">
        <f>Tabela1[[#This Row],[Descrição]]&amp;"-"&amp;Tabela1[[#This Row],[Código]]&amp;"/"&amp;Tabela1[[#This Row],[Origem]]</f>
        <v>Tugocepogi-P474P647/ES</v>
      </c>
      <c r="F102" s="88">
        <v>45489</v>
      </c>
      <c r="G102" s="88" t="str" cm="1">
        <f t="array" ref="G1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AND(F102&gt;= DATE(2026,1,1), F102&lt;= DATE(2028, 12, 31), J102&gt;50000), "Pendente e Caro", AND(F102&gt;= DATE(2026,1,1), F102&lt;= DATE(2028, 12, 31), J102&lt;=50000), "Pendente", F102&gt;= DATE(2029,1,1), "Não prioeitário")</f>
        <v>Urgente</v>
      </c>
      <c r="H102" s="89">
        <f>YEAR(Tabela1[[#This Row],[Data de Validade]])</f>
        <v>2024</v>
      </c>
      <c r="I102" s="89">
        <f>MONTH(Tabela1[[#This Row],[Data de Validade]])</f>
        <v>7</v>
      </c>
      <c r="J102" s="101">
        <v>49114</v>
      </c>
      <c r="K102" s="87" t="s">
        <v>14</v>
      </c>
      <c r="L102" s="108"/>
      <c r="M102" s="108"/>
      <c r="N102" s="108" t="str">
        <v>P474P647</v>
      </c>
      <c r="O102" s="108">
        <f t="shared" si="3"/>
        <v>1</v>
      </c>
      <c r="P102" s="108"/>
      <c r="Q102"/>
    </row>
    <row r="103" spans="1:17" x14ac:dyDescent="0.25">
      <c r="A103" s="89" t="s">
        <v>5794</v>
      </c>
      <c r="B103" s="87" t="s">
        <v>5795</v>
      </c>
      <c r="C103" s="87" t="s">
        <v>16</v>
      </c>
      <c r="D103" s="87" t="str">
        <f>VLOOKUP(Tabela1[[#This Row],[Origem]], 'Perguntas 1 a 24'!$J$28:$K$34, 2, 0)</f>
        <v>Sudeste</v>
      </c>
      <c r="E103" s="87" t="str">
        <f>Tabela1[[#This Row],[Descrição]]&amp;"-"&amp;Tabela1[[#This Row],[Código]]&amp;"/"&amp;Tabela1[[#This Row],[Origem]]</f>
        <v>Pamatonepe-H527P215/MG</v>
      </c>
      <c r="F103" s="88">
        <v>45489</v>
      </c>
      <c r="G103" s="88" t="str" cm="1">
        <f t="array" ref="G1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AND(F103&gt;= DATE(2026,1,1), F103&lt;= DATE(2028, 12, 31), J103&gt;50000), "Pendente e Caro", AND(F103&gt;= DATE(2026,1,1), F103&lt;= DATE(2028, 12, 31), J103&lt;=50000), "Pendente", F103&gt;= DATE(2029,1,1), "Não prioeitário")</f>
        <v>Urgente</v>
      </c>
      <c r="H103" s="89">
        <f>YEAR(Tabela1[[#This Row],[Data de Validade]])</f>
        <v>2024</v>
      </c>
      <c r="I103" s="89">
        <f>MONTH(Tabela1[[#This Row],[Data de Validade]])</f>
        <v>7</v>
      </c>
      <c r="J103" s="101">
        <v>44896</v>
      </c>
      <c r="K103" s="87" t="s">
        <v>11</v>
      </c>
      <c r="L103" s="108"/>
      <c r="M103" s="108"/>
      <c r="N103" s="108" t="str">
        <v>H527P215</v>
      </c>
      <c r="O103" s="108">
        <f t="shared" si="3"/>
        <v>1</v>
      </c>
      <c r="P103" s="108"/>
      <c r="Q103"/>
    </row>
    <row r="104" spans="1:17" x14ac:dyDescent="0.25">
      <c r="A104" s="89" t="s">
        <v>7296</v>
      </c>
      <c r="B104" s="87" t="s">
        <v>7297</v>
      </c>
      <c r="C104" s="87" t="s">
        <v>10</v>
      </c>
      <c r="D104" s="87" t="str">
        <f>VLOOKUP(Tabela1[[#This Row],[Origem]], 'Perguntas 1 a 24'!$J$28:$K$34, 2, 0)</f>
        <v>Centro-Oeste</v>
      </c>
      <c r="E104" s="87" t="str">
        <f>Tabela1[[#This Row],[Descrição]]&amp;"-"&amp;Tabela1[[#This Row],[Código]]&amp;"/"&amp;Tabela1[[#This Row],[Origem]]</f>
        <v>Gopemavige-P899P748/GO</v>
      </c>
      <c r="F104" s="88">
        <v>45489</v>
      </c>
      <c r="G104" s="88" t="str" cm="1">
        <f t="array" ref="G1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AND(F104&gt;= DATE(2026,1,1), F104&lt;= DATE(2028, 12, 31), J104&gt;50000), "Pendente e Caro", AND(F104&gt;= DATE(2026,1,1), F104&lt;= DATE(2028, 12, 31), J104&lt;=50000), "Pendente", F104&gt;= DATE(2029,1,1), "Não prioeitário")</f>
        <v>Urgente</v>
      </c>
      <c r="H104" s="89">
        <f>YEAR(Tabela1[[#This Row],[Data de Validade]])</f>
        <v>2024</v>
      </c>
      <c r="I104" s="89">
        <f>MONTH(Tabela1[[#This Row],[Data de Validade]])</f>
        <v>7</v>
      </c>
      <c r="J104" s="101">
        <v>37900</v>
      </c>
      <c r="K104" s="87" t="s">
        <v>9</v>
      </c>
      <c r="L104" s="108"/>
      <c r="M104" s="108"/>
      <c r="N104" s="108" t="str">
        <v>P899P748</v>
      </c>
      <c r="O104" s="108">
        <f t="shared" si="3"/>
        <v>1</v>
      </c>
      <c r="P104" s="108"/>
      <c r="Q104"/>
    </row>
    <row r="105" spans="1:17" x14ac:dyDescent="0.25">
      <c r="A105" s="89" t="s">
        <v>9609</v>
      </c>
      <c r="B105" s="87" t="s">
        <v>9610</v>
      </c>
      <c r="C105" s="87" t="s">
        <v>12</v>
      </c>
      <c r="D105" s="87" t="str">
        <f>VLOOKUP(Tabela1[[#This Row],[Origem]], 'Perguntas 1 a 24'!$J$28:$K$34, 2, 0)</f>
        <v>Sudeste</v>
      </c>
      <c r="E105" s="87" t="str">
        <f>Tabela1[[#This Row],[Descrição]]&amp;"-"&amp;Tabela1[[#This Row],[Código]]&amp;"/"&amp;Tabela1[[#This Row],[Origem]]</f>
        <v>Riraca-H757H494/RJ</v>
      </c>
      <c r="F105" s="88">
        <v>45490</v>
      </c>
      <c r="G105" s="88" t="str" cm="1">
        <f t="array" ref="G1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AND(F105&gt;= DATE(2026,1,1), F105&lt;= DATE(2028, 12, 31), J105&gt;50000), "Pendente e Caro", AND(F105&gt;= DATE(2026,1,1), F105&lt;= DATE(2028, 12, 31), J105&lt;=50000), "Pendente", F105&gt;= DATE(2029,1,1), "Não prioeitário")</f>
        <v>Urgente e Caro</v>
      </c>
      <c r="H105" s="89">
        <f>YEAR(Tabela1[[#This Row],[Data de Validade]])</f>
        <v>2024</v>
      </c>
      <c r="I105" s="89">
        <f>MONTH(Tabela1[[#This Row],[Data de Validade]])</f>
        <v>7</v>
      </c>
      <c r="J105" s="101">
        <v>61958</v>
      </c>
      <c r="K105" s="87" t="s">
        <v>14</v>
      </c>
      <c r="L105" s="108"/>
      <c r="M105" s="108"/>
      <c r="N105" s="108" t="str">
        <v>H757H494</v>
      </c>
      <c r="O105" s="108">
        <f t="shared" si="3"/>
        <v>1</v>
      </c>
      <c r="P105" s="108"/>
      <c r="Q105"/>
    </row>
    <row r="106" spans="1:17" x14ac:dyDescent="0.25">
      <c r="A106" s="89" t="s">
        <v>3818</v>
      </c>
      <c r="B106" s="87" t="s">
        <v>3819</v>
      </c>
      <c r="C106" s="87" t="s">
        <v>6</v>
      </c>
      <c r="D106" s="87" t="str">
        <f>VLOOKUP(Tabela1[[#This Row],[Origem]], 'Perguntas 1 a 24'!$J$28:$K$34, 2, 0)</f>
        <v>Nordeste</v>
      </c>
      <c r="E106" s="87" t="str">
        <f>Tabela1[[#This Row],[Descrição]]&amp;"-"&amp;Tabela1[[#This Row],[Código]]&amp;"/"&amp;Tabela1[[#This Row],[Origem]]</f>
        <v>Pagoputere-H736H814/MA</v>
      </c>
      <c r="F106" s="88">
        <v>45491</v>
      </c>
      <c r="G106" s="88" t="str" cm="1">
        <f t="array" ref="G1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AND(F106&gt;= DATE(2026,1,1), F106&lt;= DATE(2028, 12, 31), J106&gt;50000), "Pendente e Caro", AND(F106&gt;= DATE(2026,1,1), F106&lt;= DATE(2028, 12, 31), J106&lt;=50000), "Pendente", F106&gt;= DATE(2029,1,1), "Não prioeitário")</f>
        <v>Urgente e Caro</v>
      </c>
      <c r="H106" s="89">
        <f>YEAR(Tabela1[[#This Row],[Data de Validade]])</f>
        <v>2024</v>
      </c>
      <c r="I106" s="89">
        <f>MONTH(Tabela1[[#This Row],[Data de Validade]])</f>
        <v>7</v>
      </c>
      <c r="J106" s="101">
        <v>85701</v>
      </c>
      <c r="K106" s="87" t="s">
        <v>9</v>
      </c>
      <c r="L106" s="108"/>
      <c r="M106" s="108"/>
      <c r="N106" s="108" t="str">
        <v>H736H814</v>
      </c>
      <c r="O106" s="108">
        <f t="shared" si="3"/>
        <v>1</v>
      </c>
      <c r="P106" s="108"/>
      <c r="Q106"/>
    </row>
    <row r="107" spans="1:17" x14ac:dyDescent="0.25">
      <c r="A107" s="89" t="s">
        <v>6008</v>
      </c>
      <c r="B107" s="87" t="s">
        <v>6009</v>
      </c>
      <c r="C107" s="87" t="s">
        <v>12</v>
      </c>
      <c r="D107" s="87" t="str">
        <f>VLOOKUP(Tabela1[[#This Row],[Origem]], 'Perguntas 1 a 24'!$J$28:$K$34, 2, 0)</f>
        <v>Sudeste</v>
      </c>
      <c r="E107" s="87" t="str">
        <f>Tabela1[[#This Row],[Descrição]]&amp;"-"&amp;Tabela1[[#This Row],[Código]]&amp;"/"&amp;Tabela1[[#This Row],[Origem]]</f>
        <v>Pecodepo-H696P645/RJ</v>
      </c>
      <c r="F107" s="88">
        <v>45491</v>
      </c>
      <c r="G107" s="88" t="str" cm="1">
        <f t="array" ref="G1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AND(F107&gt;= DATE(2026,1,1), F107&lt;= DATE(2028, 12, 31), J107&gt;50000), "Pendente e Caro", AND(F107&gt;= DATE(2026,1,1), F107&lt;= DATE(2028, 12, 31), J107&lt;=50000), "Pendente", F107&gt;= DATE(2029,1,1), "Não prioeitário")</f>
        <v>Urgente</v>
      </c>
      <c r="H107" s="89">
        <f>YEAR(Tabela1[[#This Row],[Data de Validade]])</f>
        <v>2024</v>
      </c>
      <c r="I107" s="89">
        <f>MONTH(Tabela1[[#This Row],[Data de Validade]])</f>
        <v>7</v>
      </c>
      <c r="J107" s="101">
        <v>24330</v>
      </c>
      <c r="K107" s="87" t="s">
        <v>9</v>
      </c>
      <c r="L107" s="108"/>
      <c r="M107" s="108"/>
      <c r="N107" s="108" t="str">
        <v>H696P645</v>
      </c>
      <c r="O107" s="108">
        <f t="shared" si="3"/>
        <v>1</v>
      </c>
      <c r="P107" s="108"/>
      <c r="Q107"/>
    </row>
    <row r="108" spans="1:17" x14ac:dyDescent="0.25">
      <c r="A108" s="89" t="s">
        <v>4612</v>
      </c>
      <c r="B108" s="87" t="s">
        <v>4613</v>
      </c>
      <c r="C108" s="87" t="s">
        <v>16</v>
      </c>
      <c r="D108" s="87" t="str">
        <f>VLOOKUP(Tabela1[[#This Row],[Origem]], 'Perguntas 1 a 24'!$J$28:$K$34, 2, 0)</f>
        <v>Sudeste</v>
      </c>
      <c r="E108" s="87" t="str">
        <f>Tabela1[[#This Row],[Descrição]]&amp;"-"&amp;Tabela1[[#This Row],[Código]]&amp;"/"&amp;Tabela1[[#This Row],[Origem]]</f>
        <v>Mopenofu-P899P834/MG</v>
      </c>
      <c r="F108" s="88">
        <v>45493</v>
      </c>
      <c r="G108" s="88" t="str" cm="1">
        <f t="array" ref="G1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AND(F108&gt;= DATE(2026,1,1), F108&lt;= DATE(2028, 12, 31), J108&gt;50000), "Pendente e Caro", AND(F108&gt;= DATE(2026,1,1), F108&lt;= DATE(2028, 12, 31), J108&lt;=50000), "Pendente", F108&gt;= DATE(2029,1,1), "Não prioeitário")</f>
        <v>Urgente e Caro</v>
      </c>
      <c r="H108" s="89">
        <f>YEAR(Tabela1[[#This Row],[Data de Validade]])</f>
        <v>2024</v>
      </c>
      <c r="I108" s="89">
        <f>MONTH(Tabela1[[#This Row],[Data de Validade]])</f>
        <v>7</v>
      </c>
      <c r="J108" s="101">
        <v>113909</v>
      </c>
      <c r="K108" s="87" t="s">
        <v>7</v>
      </c>
      <c r="L108" s="108"/>
      <c r="M108" s="108"/>
      <c r="N108" s="108" t="str">
        <v>P899P834</v>
      </c>
      <c r="O108" s="108">
        <f t="shared" si="3"/>
        <v>1</v>
      </c>
      <c r="P108" s="108"/>
      <c r="Q108"/>
    </row>
    <row r="109" spans="1:17" x14ac:dyDescent="0.25">
      <c r="A109" s="89" t="s">
        <v>8242</v>
      </c>
      <c r="B109" s="87" t="s">
        <v>8243</v>
      </c>
      <c r="C109" s="87" t="s">
        <v>6</v>
      </c>
      <c r="D109" s="87" t="str">
        <f>VLOOKUP(Tabela1[[#This Row],[Origem]], 'Perguntas 1 a 24'!$J$28:$K$34, 2, 0)</f>
        <v>Nordeste</v>
      </c>
      <c r="E109" s="87" t="str">
        <f>Tabela1[[#This Row],[Descrição]]&amp;"-"&amp;Tabela1[[#This Row],[Código]]&amp;"/"&amp;Tabela1[[#This Row],[Origem]]</f>
        <v>Licalumoge-H254H993/MA</v>
      </c>
      <c r="F109" s="88">
        <v>45493</v>
      </c>
      <c r="G109" s="88" t="str" cm="1">
        <f t="array" ref="G1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AND(F109&gt;= DATE(2026,1,1), F109&lt;= DATE(2028, 12, 31), J109&gt;50000), "Pendente e Caro", AND(F109&gt;= DATE(2026,1,1), F109&lt;= DATE(2028, 12, 31), J109&lt;=50000), "Pendente", F109&gt;= DATE(2029,1,1), "Não prioeitário")</f>
        <v>Urgente e Caro</v>
      </c>
      <c r="H109" s="89">
        <f>YEAR(Tabela1[[#This Row],[Data de Validade]])</f>
        <v>2024</v>
      </c>
      <c r="I109" s="89">
        <f>MONTH(Tabela1[[#This Row],[Data de Validade]])</f>
        <v>7</v>
      </c>
      <c r="J109" s="101">
        <v>113583</v>
      </c>
      <c r="K109" s="87" t="s">
        <v>7</v>
      </c>
      <c r="L109" s="108"/>
      <c r="M109" s="108"/>
      <c r="N109" s="108" t="str">
        <v>H254H993</v>
      </c>
      <c r="O109" s="108">
        <f t="shared" si="3"/>
        <v>1</v>
      </c>
      <c r="P109" s="108"/>
      <c r="Q109"/>
    </row>
    <row r="110" spans="1:17" x14ac:dyDescent="0.25">
      <c r="A110" s="89" t="s">
        <v>6832</v>
      </c>
      <c r="B110" s="87" t="s">
        <v>6833</v>
      </c>
      <c r="C110" s="87" t="s">
        <v>15</v>
      </c>
      <c r="D110" s="87" t="str">
        <f>VLOOKUP(Tabela1[[#This Row],[Origem]], 'Perguntas 1 a 24'!$J$28:$K$34, 2, 0)</f>
        <v>Sudeste</v>
      </c>
      <c r="E110" s="87" t="str">
        <f>Tabela1[[#This Row],[Descrição]]&amp;"-"&amp;Tabela1[[#This Row],[Código]]&amp;"/"&amp;Tabela1[[#This Row],[Origem]]</f>
        <v>Timeta-H898H494/ES</v>
      </c>
      <c r="F110" s="88">
        <v>45493</v>
      </c>
      <c r="G110" s="88" t="str" cm="1">
        <f t="array" ref="G1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AND(F110&gt;= DATE(2026,1,1), F110&lt;= DATE(2028, 12, 31), J110&gt;50000), "Pendente e Caro", AND(F110&gt;= DATE(2026,1,1), F110&lt;= DATE(2028, 12, 31), J110&lt;=50000), "Pendente", F110&gt;= DATE(2029,1,1), "Não prioeitário")</f>
        <v>Urgente e Caro</v>
      </c>
      <c r="H110" s="89">
        <f>YEAR(Tabela1[[#This Row],[Data de Validade]])</f>
        <v>2024</v>
      </c>
      <c r="I110" s="89">
        <f>MONTH(Tabela1[[#This Row],[Data de Validade]])</f>
        <v>7</v>
      </c>
      <c r="J110" s="101">
        <v>87518</v>
      </c>
      <c r="K110" s="87" t="s">
        <v>9</v>
      </c>
      <c r="L110" s="108"/>
      <c r="M110" s="108"/>
      <c r="N110" s="108" t="str">
        <v>H898H494</v>
      </c>
      <c r="O110" s="108">
        <f t="shared" si="3"/>
        <v>1</v>
      </c>
      <c r="P110" s="108"/>
      <c r="Q110"/>
    </row>
    <row r="111" spans="1:17" x14ac:dyDescent="0.25">
      <c r="A111" s="89" t="s">
        <v>10485</v>
      </c>
      <c r="B111" s="87" t="s">
        <v>10486</v>
      </c>
      <c r="C111" s="87" t="s">
        <v>13</v>
      </c>
      <c r="D111" s="87" t="str">
        <f>VLOOKUP(Tabela1[[#This Row],[Origem]], 'Perguntas 1 a 24'!$J$28:$K$34, 2, 0)</f>
        <v>Sudeste</v>
      </c>
      <c r="E111" s="87" t="str">
        <f>Tabela1[[#This Row],[Descrição]]&amp;"-"&amp;Tabela1[[#This Row],[Código]]&amp;"/"&amp;Tabela1[[#This Row],[Origem]]</f>
        <v>Tupivu-H764P358/SP</v>
      </c>
      <c r="F111" s="88">
        <v>45495</v>
      </c>
      <c r="G111" s="88" t="str" cm="1">
        <f t="array" ref="G1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AND(F111&gt;= DATE(2026,1,1), F111&lt;= DATE(2028, 12, 31), J111&gt;50000), "Pendente e Caro", AND(F111&gt;= DATE(2026,1,1), F111&lt;= DATE(2028, 12, 31), J111&lt;=50000), "Pendente", F111&gt;= DATE(2029,1,1), "Não prioeitário")</f>
        <v>Urgente e Caro</v>
      </c>
      <c r="H111" s="89">
        <f>YEAR(Tabela1[[#This Row],[Data de Validade]])</f>
        <v>2024</v>
      </c>
      <c r="I111" s="89">
        <f>MONTH(Tabela1[[#This Row],[Data de Validade]])</f>
        <v>7</v>
      </c>
      <c r="J111" s="101">
        <v>101893</v>
      </c>
      <c r="K111" s="87" t="s">
        <v>9</v>
      </c>
      <c r="L111" s="108"/>
      <c r="M111" s="108"/>
      <c r="N111" s="108" t="str">
        <v>H764P358</v>
      </c>
      <c r="O111" s="108">
        <f t="shared" si="3"/>
        <v>1</v>
      </c>
      <c r="P111" s="108"/>
      <c r="Q111"/>
    </row>
    <row r="112" spans="1:17" x14ac:dyDescent="0.25">
      <c r="A112" s="89" t="s">
        <v>4530</v>
      </c>
      <c r="B112" s="87" t="s">
        <v>4531</v>
      </c>
      <c r="C112" s="87" t="s">
        <v>13</v>
      </c>
      <c r="D112" s="87" t="str">
        <f>VLOOKUP(Tabela1[[#This Row],[Origem]], 'Perguntas 1 a 24'!$J$28:$K$34, 2, 0)</f>
        <v>Sudeste</v>
      </c>
      <c r="E112" s="87" t="str">
        <f>Tabela1[[#This Row],[Descrição]]&amp;"-"&amp;Tabela1[[#This Row],[Código]]&amp;"/"&amp;Tabela1[[#This Row],[Origem]]</f>
        <v>Duroro-H446H624/SP</v>
      </c>
      <c r="F112" s="88">
        <v>45495</v>
      </c>
      <c r="G112" s="88" t="str" cm="1">
        <f t="array" ref="G1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AND(F112&gt;= DATE(2026,1,1), F112&lt;= DATE(2028, 12, 31), J112&gt;50000), "Pendente e Caro", AND(F112&gt;= DATE(2026,1,1), F112&lt;= DATE(2028, 12, 31), J112&lt;=50000), "Pendente", F112&gt;= DATE(2029,1,1), "Não prioeitário")</f>
        <v>Urgente</v>
      </c>
      <c r="H112" s="89">
        <f>YEAR(Tabela1[[#This Row],[Data de Validade]])</f>
        <v>2024</v>
      </c>
      <c r="I112" s="89">
        <f>MONTH(Tabela1[[#This Row],[Data de Validade]])</f>
        <v>7</v>
      </c>
      <c r="J112" s="101">
        <v>47522</v>
      </c>
      <c r="K112" s="87" t="s">
        <v>14</v>
      </c>
      <c r="L112" s="108"/>
      <c r="M112" s="108"/>
      <c r="N112" s="108" t="str">
        <v>H446H624</v>
      </c>
      <c r="O112" s="108">
        <f t="shared" si="3"/>
        <v>1</v>
      </c>
      <c r="P112" s="108"/>
      <c r="Q112"/>
    </row>
    <row r="113" spans="1:17" x14ac:dyDescent="0.25">
      <c r="A113" s="89" t="s">
        <v>4006</v>
      </c>
      <c r="B113" s="87" t="s">
        <v>4007</v>
      </c>
      <c r="C113" s="87" t="s">
        <v>15</v>
      </c>
      <c r="D113" s="87" t="str">
        <f>VLOOKUP(Tabela1[[#This Row],[Origem]], 'Perguntas 1 a 24'!$J$28:$K$34, 2, 0)</f>
        <v>Sudeste</v>
      </c>
      <c r="E113" s="87" t="str">
        <f>Tabela1[[#This Row],[Descrição]]&amp;"-"&amp;Tabela1[[#This Row],[Código]]&amp;"/"&amp;Tabela1[[#This Row],[Origem]]</f>
        <v>Datopepe-P739H348/ES</v>
      </c>
      <c r="F113" s="88">
        <v>45496</v>
      </c>
      <c r="G113" s="88" t="str" cm="1">
        <f t="array" ref="G1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AND(F113&gt;= DATE(2026,1,1), F113&lt;= DATE(2028, 12, 31), J113&gt;50000), "Pendente e Caro", AND(F113&gt;= DATE(2026,1,1), F113&lt;= DATE(2028, 12, 31), J113&lt;=50000), "Pendente", F113&gt;= DATE(2029,1,1), "Não prioeitário")</f>
        <v>Urgente e Caro</v>
      </c>
      <c r="H113" s="89">
        <f>YEAR(Tabela1[[#This Row],[Data de Validade]])</f>
        <v>2024</v>
      </c>
      <c r="I113" s="89">
        <f>MONTH(Tabela1[[#This Row],[Data de Validade]])</f>
        <v>7</v>
      </c>
      <c r="J113" s="101">
        <v>90043</v>
      </c>
      <c r="K113" s="87" t="s">
        <v>11</v>
      </c>
      <c r="L113" s="108"/>
      <c r="M113" s="108"/>
      <c r="N113" s="108" t="str">
        <v>P739H348</v>
      </c>
      <c r="O113" s="108">
        <f t="shared" si="3"/>
        <v>1</v>
      </c>
      <c r="P113" s="108"/>
      <c r="Q113"/>
    </row>
    <row r="114" spans="1:17" x14ac:dyDescent="0.25">
      <c r="A114" s="89" t="s">
        <v>9021</v>
      </c>
      <c r="B114" s="87" t="s">
        <v>9022</v>
      </c>
      <c r="C114" s="87" t="s">
        <v>10</v>
      </c>
      <c r="D114" s="87" t="str">
        <f>VLOOKUP(Tabela1[[#This Row],[Origem]], 'Perguntas 1 a 24'!$J$28:$K$34, 2, 0)</f>
        <v>Centro-Oeste</v>
      </c>
      <c r="E114" s="87" t="str">
        <f>Tabela1[[#This Row],[Descrição]]&amp;"-"&amp;Tabela1[[#This Row],[Código]]&amp;"/"&amp;Tabela1[[#This Row],[Origem]]</f>
        <v>Facevacica-H874H378/GO</v>
      </c>
      <c r="F114" s="88">
        <v>45496</v>
      </c>
      <c r="G114" s="88" t="str" cm="1">
        <f t="array" ref="G1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AND(F114&gt;= DATE(2026,1,1), F114&lt;= DATE(2028, 12, 31), J114&gt;50000), "Pendente e Caro", AND(F114&gt;= DATE(2026,1,1), F114&lt;= DATE(2028, 12, 31), J114&lt;=50000), "Pendente", F114&gt;= DATE(2029,1,1), "Não prioeitário")</f>
        <v>Urgente e Caro</v>
      </c>
      <c r="H114" s="89">
        <f>YEAR(Tabela1[[#This Row],[Data de Validade]])</f>
        <v>2024</v>
      </c>
      <c r="I114" s="89">
        <f>MONTH(Tabela1[[#This Row],[Data de Validade]])</f>
        <v>7</v>
      </c>
      <c r="J114" s="101">
        <v>77636</v>
      </c>
      <c r="K114" s="87" t="s">
        <v>9</v>
      </c>
      <c r="L114" s="108"/>
      <c r="M114" s="108"/>
      <c r="N114" s="108" t="str">
        <v>H874H378</v>
      </c>
      <c r="O114" s="108">
        <f t="shared" si="3"/>
        <v>1</v>
      </c>
      <c r="P114" s="108"/>
      <c r="Q114"/>
    </row>
    <row r="115" spans="1:17" x14ac:dyDescent="0.25">
      <c r="A115" s="89" t="s">
        <v>4249</v>
      </c>
      <c r="B115" s="87" t="s">
        <v>4250</v>
      </c>
      <c r="C115" s="87" t="s">
        <v>15</v>
      </c>
      <c r="D115" s="87" t="str">
        <f>VLOOKUP(Tabela1[[#This Row],[Origem]], 'Perguntas 1 a 24'!$J$28:$K$34, 2, 0)</f>
        <v>Sudeste</v>
      </c>
      <c r="E115" s="87" t="str">
        <f>Tabela1[[#This Row],[Descrição]]&amp;"-"&amp;Tabela1[[#This Row],[Código]]&amp;"/"&amp;Tabela1[[#This Row],[Origem]]</f>
        <v>Luluca-P823H942/ES</v>
      </c>
      <c r="F115" s="88">
        <v>45497</v>
      </c>
      <c r="G115" s="88" t="str" cm="1">
        <f t="array" ref="G1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AND(F115&gt;= DATE(2026,1,1), F115&lt;= DATE(2028, 12, 31), J115&gt;50000), "Pendente e Caro", AND(F115&gt;= DATE(2026,1,1), F115&lt;= DATE(2028, 12, 31), J115&lt;=50000), "Pendente", F115&gt;= DATE(2029,1,1), "Não prioeitário")</f>
        <v>Urgente e Caro</v>
      </c>
      <c r="H115" s="89">
        <f>YEAR(Tabela1[[#This Row],[Data de Validade]])</f>
        <v>2024</v>
      </c>
      <c r="I115" s="89">
        <f>MONTH(Tabela1[[#This Row],[Data de Validade]])</f>
        <v>7</v>
      </c>
      <c r="J115" s="101">
        <v>107044</v>
      </c>
      <c r="K115" s="87" t="s">
        <v>11</v>
      </c>
      <c r="L115" s="108"/>
      <c r="M115" s="108"/>
      <c r="N115" s="108" t="str">
        <v>P823H942</v>
      </c>
      <c r="O115" s="108">
        <f t="shared" si="3"/>
        <v>1</v>
      </c>
      <c r="P115" s="108"/>
      <c r="Q115"/>
    </row>
    <row r="116" spans="1:17" x14ac:dyDescent="0.25">
      <c r="A116" s="89" t="s">
        <v>10719</v>
      </c>
      <c r="B116" s="87" t="s">
        <v>10720</v>
      </c>
      <c r="C116" s="87" t="s">
        <v>6</v>
      </c>
      <c r="D116" s="87" t="str">
        <f>VLOOKUP(Tabela1[[#This Row],[Origem]], 'Perguntas 1 a 24'!$J$28:$K$34, 2, 0)</f>
        <v>Nordeste</v>
      </c>
      <c r="E116" s="87" t="str">
        <f>Tabela1[[#This Row],[Descrição]]&amp;"-"&amp;Tabela1[[#This Row],[Código]]&amp;"/"&amp;Tabela1[[#This Row],[Origem]]</f>
        <v>Rarigu-P196H979/MA</v>
      </c>
      <c r="F116" s="88">
        <v>45497</v>
      </c>
      <c r="G116" s="88" t="str" cm="1">
        <f t="array" ref="G1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AND(F116&gt;= DATE(2026,1,1), F116&lt;= DATE(2028, 12, 31), J116&gt;50000), "Pendente e Caro", AND(F116&gt;= DATE(2026,1,1), F116&lt;= DATE(2028, 12, 31), J116&lt;=50000), "Pendente", F116&gt;= DATE(2029,1,1), "Não prioeitário")</f>
        <v>Urgente e Caro</v>
      </c>
      <c r="H116" s="89">
        <f>YEAR(Tabela1[[#This Row],[Data de Validade]])</f>
        <v>2024</v>
      </c>
      <c r="I116" s="89">
        <f>MONTH(Tabela1[[#This Row],[Data de Validade]])</f>
        <v>7</v>
      </c>
      <c r="J116" s="101">
        <v>90042</v>
      </c>
      <c r="K116" s="87" t="s">
        <v>11</v>
      </c>
      <c r="L116" s="108"/>
      <c r="M116" s="108"/>
      <c r="N116" s="108" t="str">
        <v>P196H979</v>
      </c>
      <c r="O116" s="108">
        <f t="shared" si="3"/>
        <v>1</v>
      </c>
      <c r="P116" s="108"/>
      <c r="Q116"/>
    </row>
    <row r="117" spans="1:17" x14ac:dyDescent="0.25">
      <c r="A117" s="89" t="s">
        <v>9769</v>
      </c>
      <c r="B117" s="87" t="s">
        <v>9770</v>
      </c>
      <c r="C117" s="87" t="s">
        <v>15</v>
      </c>
      <c r="D117" s="87" t="str">
        <f>VLOOKUP(Tabela1[[#This Row],[Origem]], 'Perguntas 1 a 24'!$J$28:$K$34, 2, 0)</f>
        <v>Sudeste</v>
      </c>
      <c r="E117" s="87" t="str">
        <f>Tabela1[[#This Row],[Descrição]]&amp;"-"&amp;Tabela1[[#This Row],[Código]]&amp;"/"&amp;Tabela1[[#This Row],[Origem]]</f>
        <v>Rotepipu-H415P552/ES</v>
      </c>
      <c r="F117" s="88">
        <v>45498</v>
      </c>
      <c r="G117" s="88" t="str" cm="1">
        <f t="array" ref="G1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AND(F117&gt;= DATE(2026,1,1), F117&lt;= DATE(2028, 12, 31), J117&gt;50000), "Pendente e Caro", AND(F117&gt;= DATE(2026,1,1), F117&lt;= DATE(2028, 12, 31), J117&lt;=50000), "Pendente", F117&gt;= DATE(2029,1,1), "Não prioeitário")</f>
        <v>Urgente e Caro</v>
      </c>
      <c r="H117" s="89">
        <f>YEAR(Tabela1[[#This Row],[Data de Validade]])</f>
        <v>2024</v>
      </c>
      <c r="I117" s="89">
        <f>MONTH(Tabela1[[#This Row],[Data de Validade]])</f>
        <v>7</v>
      </c>
      <c r="J117" s="101">
        <v>96793</v>
      </c>
      <c r="K117" s="87" t="s">
        <v>14</v>
      </c>
      <c r="L117" s="108"/>
      <c r="M117" s="108"/>
      <c r="N117" s="108" t="str">
        <v>H415P552</v>
      </c>
      <c r="O117" s="108">
        <f t="shared" si="3"/>
        <v>1</v>
      </c>
      <c r="P117" s="108"/>
      <c r="Q117"/>
    </row>
    <row r="118" spans="1:17" x14ac:dyDescent="0.25">
      <c r="A118" s="89" t="s">
        <v>8595</v>
      </c>
      <c r="B118" s="87" t="s">
        <v>8596</v>
      </c>
      <c r="C118" s="87" t="s">
        <v>10</v>
      </c>
      <c r="D118" s="87" t="str">
        <f>VLOOKUP(Tabela1[[#This Row],[Origem]], 'Perguntas 1 a 24'!$J$28:$K$34, 2, 0)</f>
        <v>Centro-Oeste</v>
      </c>
      <c r="E118" s="87" t="str">
        <f>Tabela1[[#This Row],[Descrição]]&amp;"-"&amp;Tabela1[[#This Row],[Código]]&amp;"/"&amp;Tabela1[[#This Row],[Origem]]</f>
        <v>Micopi-H318P571/GO</v>
      </c>
      <c r="F118" s="88">
        <v>45499</v>
      </c>
      <c r="G118" s="88" t="str" cm="1">
        <f t="array" ref="G1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AND(F118&gt;= DATE(2026,1,1), F118&lt;= DATE(2028, 12, 31), J118&gt;50000), "Pendente e Caro", AND(F118&gt;= DATE(2026,1,1), F118&lt;= DATE(2028, 12, 31), J118&lt;=50000), "Pendente", F118&gt;= DATE(2029,1,1), "Não prioeitário")</f>
        <v>Urgente e Caro</v>
      </c>
      <c r="H118" s="89">
        <f>YEAR(Tabela1[[#This Row],[Data de Validade]])</f>
        <v>2024</v>
      </c>
      <c r="I118" s="89">
        <f>MONTH(Tabela1[[#This Row],[Data de Validade]])</f>
        <v>7</v>
      </c>
      <c r="J118" s="101">
        <v>65943</v>
      </c>
      <c r="K118" s="87" t="s">
        <v>11</v>
      </c>
      <c r="L118" s="108"/>
      <c r="M118" s="108"/>
      <c r="N118" s="108" t="str">
        <v>H318P571</v>
      </c>
      <c r="O118" s="108">
        <f t="shared" si="3"/>
        <v>1</v>
      </c>
      <c r="P118" s="108"/>
      <c r="Q118"/>
    </row>
    <row r="119" spans="1:17" x14ac:dyDescent="0.25">
      <c r="A119" s="89" t="s">
        <v>7458</v>
      </c>
      <c r="B119" s="87" t="s">
        <v>7459</v>
      </c>
      <c r="C119" s="87" t="s">
        <v>8</v>
      </c>
      <c r="D119" s="87" t="str">
        <f>VLOOKUP(Tabela1[[#This Row],[Origem]], 'Perguntas 1 a 24'!$J$28:$K$34, 2, 0)</f>
        <v>Nordeste</v>
      </c>
      <c r="E119" s="87" t="str">
        <f>Tabela1[[#This Row],[Descrição]]&amp;"-"&amp;Tabela1[[#This Row],[Código]]&amp;"/"&amp;Tabela1[[#This Row],[Origem]]</f>
        <v>Funateripe-P225P326/AL</v>
      </c>
      <c r="F119" s="88">
        <v>45500</v>
      </c>
      <c r="G119" s="88" t="str" cm="1">
        <f t="array" ref="G1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AND(F119&gt;= DATE(2026,1,1), F119&lt;= DATE(2028, 12, 31), J119&gt;50000), "Pendente e Caro", AND(F119&gt;= DATE(2026,1,1), F119&lt;= DATE(2028, 12, 31), J119&lt;=50000), "Pendente", F119&gt;= DATE(2029,1,1), "Não prioeitário")</f>
        <v>Urgente</v>
      </c>
      <c r="H119" s="89">
        <f>YEAR(Tabela1[[#This Row],[Data de Validade]])</f>
        <v>2024</v>
      </c>
      <c r="I119" s="89">
        <f>MONTH(Tabela1[[#This Row],[Data de Validade]])</f>
        <v>7</v>
      </c>
      <c r="J119" s="101">
        <v>45773</v>
      </c>
      <c r="K119" s="87" t="s">
        <v>11</v>
      </c>
      <c r="L119" s="108"/>
      <c r="M119" s="108"/>
      <c r="N119" s="108" t="str">
        <v>P225P326</v>
      </c>
      <c r="O119" s="108">
        <f t="shared" si="3"/>
        <v>1</v>
      </c>
      <c r="P119" s="108"/>
      <c r="Q119"/>
    </row>
    <row r="120" spans="1:17" x14ac:dyDescent="0.25">
      <c r="A120" s="89" t="s">
        <v>9451</v>
      </c>
      <c r="B120" s="87" t="s">
        <v>9452</v>
      </c>
      <c r="C120" s="87" t="s">
        <v>15</v>
      </c>
      <c r="D120" s="87" t="str">
        <f>VLOOKUP(Tabela1[[#This Row],[Origem]], 'Perguntas 1 a 24'!$J$28:$K$34, 2, 0)</f>
        <v>Sudeste</v>
      </c>
      <c r="E120" s="87" t="str">
        <f>Tabela1[[#This Row],[Descrição]]&amp;"-"&amp;Tabela1[[#This Row],[Código]]&amp;"/"&amp;Tabela1[[#This Row],[Origem]]</f>
        <v>Rudati-P441P261/ES</v>
      </c>
      <c r="F120" s="88">
        <v>45501</v>
      </c>
      <c r="G120" s="88" t="str" cm="1">
        <f t="array" ref="G1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AND(F120&gt;= DATE(2026,1,1), F120&lt;= DATE(2028, 12, 31), J120&gt;50000), "Pendente e Caro", AND(F120&gt;= DATE(2026,1,1), F120&lt;= DATE(2028, 12, 31), J120&lt;=50000), "Pendente", F120&gt;= DATE(2029,1,1), "Não prioeitário")</f>
        <v>Urgente e Caro</v>
      </c>
      <c r="H120" s="89">
        <f>YEAR(Tabela1[[#This Row],[Data de Validade]])</f>
        <v>2024</v>
      </c>
      <c r="I120" s="89">
        <f>MONTH(Tabela1[[#This Row],[Data de Validade]])</f>
        <v>7</v>
      </c>
      <c r="J120" s="101">
        <v>108851</v>
      </c>
      <c r="K120" s="87" t="s">
        <v>7</v>
      </c>
      <c r="L120" s="108"/>
      <c r="M120" s="108"/>
      <c r="N120" s="108" t="str">
        <v>P441P261</v>
      </c>
      <c r="O120" s="108">
        <f t="shared" si="3"/>
        <v>1</v>
      </c>
      <c r="P120" s="108"/>
      <c r="Q120"/>
    </row>
    <row r="121" spans="1:17" x14ac:dyDescent="0.25">
      <c r="A121" s="89" t="s">
        <v>6682</v>
      </c>
      <c r="B121" s="87" t="s">
        <v>6683</v>
      </c>
      <c r="C121" s="87" t="s">
        <v>15</v>
      </c>
      <c r="D121" s="87" t="str">
        <f>VLOOKUP(Tabela1[[#This Row],[Origem]], 'Perguntas 1 a 24'!$J$28:$K$34, 2, 0)</f>
        <v>Sudeste</v>
      </c>
      <c r="E121" s="87" t="str">
        <f>Tabela1[[#This Row],[Descrição]]&amp;"-"&amp;Tabela1[[#This Row],[Código]]&amp;"/"&amp;Tabela1[[#This Row],[Origem]]</f>
        <v>Faragute-P515H252/ES</v>
      </c>
      <c r="F121" s="88">
        <v>45501</v>
      </c>
      <c r="G121" s="88" t="str" cm="1">
        <f t="array" ref="G1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AND(F121&gt;= DATE(2026,1,1), F121&lt;= DATE(2028, 12, 31), J121&gt;50000), "Pendente e Caro", AND(F121&gt;= DATE(2026,1,1), F121&lt;= DATE(2028, 12, 31), J121&lt;=50000), "Pendente", F121&gt;= DATE(2029,1,1), "Não prioeitário")</f>
        <v>Urgente e Caro</v>
      </c>
      <c r="H121" s="89">
        <f>YEAR(Tabela1[[#This Row],[Data de Validade]])</f>
        <v>2024</v>
      </c>
      <c r="I121" s="89">
        <f>MONTH(Tabela1[[#This Row],[Data de Validade]])</f>
        <v>7</v>
      </c>
      <c r="J121" s="101">
        <v>92076</v>
      </c>
      <c r="K121" s="87" t="s">
        <v>7</v>
      </c>
      <c r="L121" s="108"/>
      <c r="M121" s="108"/>
      <c r="N121" s="108" t="str">
        <v>P515H252</v>
      </c>
      <c r="O121" s="108">
        <f t="shared" si="3"/>
        <v>1</v>
      </c>
      <c r="P121" s="108"/>
      <c r="Q121"/>
    </row>
    <row r="122" spans="1:17" x14ac:dyDescent="0.25">
      <c r="A122" s="89" t="s">
        <v>8216</v>
      </c>
      <c r="B122" s="87" t="s">
        <v>8217</v>
      </c>
      <c r="C122" s="87" t="s">
        <v>13</v>
      </c>
      <c r="D122" s="87" t="str">
        <f>VLOOKUP(Tabela1[[#This Row],[Origem]], 'Perguntas 1 a 24'!$J$28:$K$34, 2, 0)</f>
        <v>Sudeste</v>
      </c>
      <c r="E122" s="87" t="str">
        <f>Tabela1[[#This Row],[Descrição]]&amp;"-"&amp;Tabela1[[#This Row],[Código]]&amp;"/"&amp;Tabela1[[#This Row],[Origem]]</f>
        <v>Nunitipite-H169H251/SP</v>
      </c>
      <c r="F122" s="88">
        <v>45503</v>
      </c>
      <c r="G122" s="88" t="str" cm="1">
        <f t="array" ref="G1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AND(F122&gt;= DATE(2026,1,1), F122&lt;= DATE(2028, 12, 31), J122&gt;50000), "Pendente e Caro", AND(F122&gt;= DATE(2026,1,1), F122&lt;= DATE(2028, 12, 31), J122&lt;=50000), "Pendente", F122&gt;= DATE(2029,1,1), "Não prioeitário")</f>
        <v>Urgente e Caro</v>
      </c>
      <c r="H122" s="89">
        <f>YEAR(Tabela1[[#This Row],[Data de Validade]])</f>
        <v>2024</v>
      </c>
      <c r="I122" s="89">
        <f>MONTH(Tabela1[[#This Row],[Data de Validade]])</f>
        <v>7</v>
      </c>
      <c r="J122" s="101">
        <v>90490</v>
      </c>
      <c r="K122" s="87" t="s">
        <v>9</v>
      </c>
      <c r="L122" s="108"/>
      <c r="M122" s="108"/>
      <c r="N122" s="108" t="str">
        <v>H169H251</v>
      </c>
      <c r="O122" s="108">
        <f t="shared" si="3"/>
        <v>1</v>
      </c>
      <c r="P122" s="108"/>
      <c r="Q122"/>
    </row>
    <row r="123" spans="1:17" x14ac:dyDescent="0.25">
      <c r="A123" s="89" t="s">
        <v>10417</v>
      </c>
      <c r="B123" s="87" t="s">
        <v>10418</v>
      </c>
      <c r="C123" s="87" t="s">
        <v>8</v>
      </c>
      <c r="D123" s="87" t="str">
        <f>VLOOKUP(Tabela1[[#This Row],[Origem]], 'Perguntas 1 a 24'!$J$28:$K$34, 2, 0)</f>
        <v>Nordeste</v>
      </c>
      <c r="E123" s="87" t="str">
        <f>Tabela1[[#This Row],[Descrição]]&amp;"-"&amp;Tabela1[[#This Row],[Código]]&amp;"/"&amp;Tabela1[[#This Row],[Origem]]</f>
        <v>Dameca-H238H984/AL</v>
      </c>
      <c r="F123" s="88">
        <v>45504</v>
      </c>
      <c r="G123" s="88" t="str" cm="1">
        <f t="array" ref="G1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AND(F123&gt;= DATE(2026,1,1), F123&lt;= DATE(2028, 12, 31), J123&gt;50000), "Pendente e Caro", AND(F123&gt;= DATE(2026,1,1), F123&lt;= DATE(2028, 12, 31), J123&lt;=50000), "Pendente", F123&gt;= DATE(2029,1,1), "Não prioeitário")</f>
        <v>Urgente e Caro</v>
      </c>
      <c r="H123" s="89">
        <f>YEAR(Tabela1[[#This Row],[Data de Validade]])</f>
        <v>2024</v>
      </c>
      <c r="I123" s="89">
        <f>MONTH(Tabela1[[#This Row],[Data de Validade]])</f>
        <v>7</v>
      </c>
      <c r="J123" s="101">
        <v>108452</v>
      </c>
      <c r="K123" s="87" t="s">
        <v>14</v>
      </c>
      <c r="L123" s="108"/>
      <c r="M123" s="108"/>
      <c r="N123" s="108" t="str">
        <v>H238H984</v>
      </c>
      <c r="O123" s="108">
        <f t="shared" si="3"/>
        <v>1</v>
      </c>
      <c r="P123" s="108"/>
      <c r="Q123"/>
    </row>
    <row r="124" spans="1:17" x14ac:dyDescent="0.25">
      <c r="A124" s="89" t="s">
        <v>10603</v>
      </c>
      <c r="B124" s="87" t="s">
        <v>10604</v>
      </c>
      <c r="C124" s="87" t="s">
        <v>15</v>
      </c>
      <c r="D124" s="87" t="str">
        <f>VLOOKUP(Tabela1[[#This Row],[Origem]], 'Perguntas 1 a 24'!$J$28:$K$34, 2, 0)</f>
        <v>Sudeste</v>
      </c>
      <c r="E124" s="87" t="str">
        <f>Tabela1[[#This Row],[Descrição]]&amp;"-"&amp;Tabela1[[#This Row],[Código]]&amp;"/"&amp;Tabela1[[#This Row],[Origem]]</f>
        <v>Tivatepida-H915H326/ES</v>
      </c>
      <c r="F124" s="88">
        <v>45504</v>
      </c>
      <c r="G124" s="88" t="str" cm="1">
        <f t="array" ref="G1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AND(F124&gt;= DATE(2026,1,1), F124&lt;= DATE(2028, 12, 31), J124&gt;50000), "Pendente e Caro", AND(F124&gt;= DATE(2026,1,1), F124&lt;= DATE(2028, 12, 31), J124&lt;=50000), "Pendente", F124&gt;= DATE(2029,1,1), "Não prioeitário")</f>
        <v>Urgente e Caro</v>
      </c>
      <c r="H124" s="89">
        <f>YEAR(Tabela1[[#This Row],[Data de Validade]])</f>
        <v>2024</v>
      </c>
      <c r="I124" s="89">
        <f>MONTH(Tabela1[[#This Row],[Data de Validade]])</f>
        <v>7</v>
      </c>
      <c r="J124" s="101">
        <v>106020</v>
      </c>
      <c r="K124" s="87" t="s">
        <v>7</v>
      </c>
      <c r="L124" s="108"/>
      <c r="M124" s="108"/>
      <c r="N124" s="108" t="str">
        <v>H915H326</v>
      </c>
      <c r="O124" s="108">
        <f t="shared" si="3"/>
        <v>1</v>
      </c>
      <c r="P124" s="108"/>
      <c r="Q124"/>
    </row>
    <row r="125" spans="1:17" x14ac:dyDescent="0.25">
      <c r="A125" s="89" t="s">
        <v>9391</v>
      </c>
      <c r="B125" s="87" t="s">
        <v>9392</v>
      </c>
      <c r="C125" s="87" t="s">
        <v>10</v>
      </c>
      <c r="D125" s="87" t="str">
        <f>VLOOKUP(Tabela1[[#This Row],[Origem]], 'Perguntas 1 a 24'!$J$28:$K$34, 2, 0)</f>
        <v>Centro-Oeste</v>
      </c>
      <c r="E125" s="87" t="str">
        <f>Tabela1[[#This Row],[Descrição]]&amp;"-"&amp;Tabela1[[#This Row],[Código]]&amp;"/"&amp;Tabela1[[#This Row],[Origem]]</f>
        <v>Vipecotedo-H171P732/GO</v>
      </c>
      <c r="F125" s="88">
        <v>45506</v>
      </c>
      <c r="G125" s="88" t="str" cm="1">
        <f t="array" ref="G1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AND(F125&gt;= DATE(2026,1,1), F125&lt;= DATE(2028, 12, 31), J125&gt;50000), "Pendente e Caro", AND(F125&gt;= DATE(2026,1,1), F125&lt;= DATE(2028, 12, 31), J125&lt;=50000), "Pendente", F125&gt;= DATE(2029,1,1), "Não prioeitário")</f>
        <v>Urgente e Caro</v>
      </c>
      <c r="H125" s="89">
        <f>YEAR(Tabela1[[#This Row],[Data de Validade]])</f>
        <v>2024</v>
      </c>
      <c r="I125" s="89">
        <f>MONTH(Tabela1[[#This Row],[Data de Validade]])</f>
        <v>8</v>
      </c>
      <c r="J125" s="101">
        <v>53466</v>
      </c>
      <c r="K125" s="87" t="s">
        <v>11</v>
      </c>
      <c r="L125" s="108"/>
      <c r="M125" s="108"/>
      <c r="N125" s="108" t="str">
        <v>H171P732</v>
      </c>
      <c r="O125" s="108">
        <f t="shared" si="3"/>
        <v>1</v>
      </c>
      <c r="P125" s="108"/>
      <c r="Q125"/>
    </row>
    <row r="126" spans="1:17" x14ac:dyDescent="0.25">
      <c r="A126" s="89" t="s">
        <v>5072</v>
      </c>
      <c r="B126" s="87" t="s">
        <v>5073</v>
      </c>
      <c r="C126" s="87" t="s">
        <v>13</v>
      </c>
      <c r="D126" s="87" t="str">
        <f>VLOOKUP(Tabela1[[#This Row],[Origem]], 'Perguntas 1 a 24'!$J$28:$K$34, 2, 0)</f>
        <v>Sudeste</v>
      </c>
      <c r="E126" s="87" t="str">
        <f>Tabela1[[#This Row],[Descrição]]&amp;"-"&amp;Tabela1[[#This Row],[Código]]&amp;"/"&amp;Tabela1[[#This Row],[Origem]]</f>
        <v>Domurupeno-P252H874/SP</v>
      </c>
      <c r="F126" s="88">
        <v>45508</v>
      </c>
      <c r="G126" s="88" t="str" cm="1">
        <f t="array" ref="G1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AND(F126&gt;= DATE(2026,1,1), F126&lt;= DATE(2028, 12, 31), J126&gt;50000), "Pendente e Caro", AND(F126&gt;= DATE(2026,1,1), F126&lt;= DATE(2028, 12, 31), J126&lt;=50000), "Pendente", F126&gt;= DATE(2029,1,1), "Não prioeitário")</f>
        <v>Urgente</v>
      </c>
      <c r="H126" s="89">
        <f>YEAR(Tabela1[[#This Row],[Data de Validade]])</f>
        <v>2024</v>
      </c>
      <c r="I126" s="89">
        <f>MONTH(Tabela1[[#This Row],[Data de Validade]])</f>
        <v>8</v>
      </c>
      <c r="J126" s="101">
        <v>30925</v>
      </c>
      <c r="K126" s="87" t="s">
        <v>14</v>
      </c>
      <c r="L126" s="108"/>
      <c r="M126" s="108"/>
      <c r="N126" s="108" t="str">
        <v>P252H874</v>
      </c>
      <c r="O126" s="108">
        <f t="shared" si="3"/>
        <v>1</v>
      </c>
      <c r="P126" s="108"/>
      <c r="Q126"/>
    </row>
    <row r="127" spans="1:17" x14ac:dyDescent="0.25">
      <c r="A127" s="89" t="s">
        <v>8012</v>
      </c>
      <c r="B127" s="87" t="s">
        <v>8013</v>
      </c>
      <c r="C127" s="87" t="s">
        <v>6</v>
      </c>
      <c r="D127" s="87" t="str">
        <f>VLOOKUP(Tabela1[[#This Row],[Origem]], 'Perguntas 1 a 24'!$J$28:$K$34, 2, 0)</f>
        <v>Nordeste</v>
      </c>
      <c r="E127" s="87" t="str">
        <f>Tabela1[[#This Row],[Descrição]]&amp;"-"&amp;Tabela1[[#This Row],[Código]]&amp;"/"&amp;Tabela1[[#This Row],[Origem]]</f>
        <v>Dureci-P489P926/MA</v>
      </c>
      <c r="F127" s="88">
        <v>45509</v>
      </c>
      <c r="G127" s="88" t="str" cm="1">
        <f t="array" ref="G1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AND(F127&gt;= DATE(2026,1,1), F127&lt;= DATE(2028, 12, 31), J127&gt;50000), "Pendente e Caro", AND(F127&gt;= DATE(2026,1,1), F127&lt;= DATE(2028, 12, 31), J127&lt;=50000), "Pendente", F127&gt;= DATE(2029,1,1), "Não prioeitário")</f>
        <v>Urgente e Caro</v>
      </c>
      <c r="H127" s="89">
        <f>YEAR(Tabela1[[#This Row],[Data de Validade]])</f>
        <v>2024</v>
      </c>
      <c r="I127" s="89">
        <f>MONTH(Tabela1[[#This Row],[Data de Validade]])</f>
        <v>8</v>
      </c>
      <c r="J127" s="101">
        <v>57707</v>
      </c>
      <c r="K127" s="87" t="s">
        <v>7</v>
      </c>
      <c r="L127" s="108"/>
      <c r="M127" s="108"/>
      <c r="N127" s="108" t="str">
        <v>P489P926</v>
      </c>
      <c r="O127" s="108">
        <f t="shared" si="3"/>
        <v>1</v>
      </c>
      <c r="P127" s="108"/>
      <c r="Q127"/>
    </row>
    <row r="128" spans="1:17" x14ac:dyDescent="0.25">
      <c r="A128" s="89" t="s">
        <v>6612</v>
      </c>
      <c r="B128" s="87" t="s">
        <v>6613</v>
      </c>
      <c r="C128" s="87" t="s">
        <v>13</v>
      </c>
      <c r="D128" s="87" t="str">
        <f>VLOOKUP(Tabela1[[#This Row],[Origem]], 'Perguntas 1 a 24'!$J$28:$K$34, 2, 0)</f>
        <v>Sudeste</v>
      </c>
      <c r="E128" s="87" t="str">
        <f>Tabela1[[#This Row],[Descrição]]&amp;"-"&amp;Tabela1[[#This Row],[Código]]&amp;"/"&amp;Tabela1[[#This Row],[Origem]]</f>
        <v>Rururuci-P522P188/SP</v>
      </c>
      <c r="F128" s="88">
        <v>45509</v>
      </c>
      <c r="G128" s="88" t="str" cm="1">
        <f t="array" ref="G1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AND(F128&gt;= DATE(2026,1,1), F128&lt;= DATE(2028, 12, 31), J128&gt;50000), "Pendente e Caro", AND(F128&gt;= DATE(2026,1,1), F128&lt;= DATE(2028, 12, 31), J128&lt;=50000), "Pendente", F128&gt;= DATE(2029,1,1), "Não prioeitário")</f>
        <v>Urgente</v>
      </c>
      <c r="H128" s="89">
        <f>YEAR(Tabela1[[#This Row],[Data de Validade]])</f>
        <v>2024</v>
      </c>
      <c r="I128" s="89">
        <f>MONTH(Tabela1[[#This Row],[Data de Validade]])</f>
        <v>8</v>
      </c>
      <c r="J128" s="101">
        <v>47779</v>
      </c>
      <c r="K128" s="87" t="s">
        <v>14</v>
      </c>
      <c r="L128" s="108"/>
      <c r="M128" s="108"/>
      <c r="N128" s="108" t="str">
        <v>P522P188</v>
      </c>
      <c r="O128" s="108">
        <f t="shared" si="3"/>
        <v>1</v>
      </c>
      <c r="P128" s="108"/>
      <c r="Q128"/>
    </row>
    <row r="129" spans="1:17" x14ac:dyDescent="0.25">
      <c r="A129" s="89" t="s">
        <v>8961</v>
      </c>
      <c r="B129" s="87" t="s">
        <v>8962</v>
      </c>
      <c r="C129" s="87" t="s">
        <v>10</v>
      </c>
      <c r="D129" s="87" t="str">
        <f>VLOOKUP(Tabela1[[#This Row],[Origem]], 'Perguntas 1 a 24'!$J$28:$K$34, 2, 0)</f>
        <v>Centro-Oeste</v>
      </c>
      <c r="E129" s="87" t="str">
        <f>Tabela1[[#This Row],[Descrição]]&amp;"-"&amp;Tabela1[[#This Row],[Código]]&amp;"/"&amp;Tabela1[[#This Row],[Origem]]</f>
        <v>Garotepopu-P365P885/GO</v>
      </c>
      <c r="F129" s="88">
        <v>45509</v>
      </c>
      <c r="G129" s="88" t="str" cm="1">
        <f t="array" ref="G1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AND(F129&gt;= DATE(2026,1,1), F129&lt;= DATE(2028, 12, 31), J129&gt;50000), "Pendente e Caro", AND(F129&gt;= DATE(2026,1,1), F129&lt;= DATE(2028, 12, 31), J129&lt;=50000), "Pendente", F129&gt;= DATE(2029,1,1), "Não prioeitário")</f>
        <v>Urgente</v>
      </c>
      <c r="H129" s="89">
        <f>YEAR(Tabela1[[#This Row],[Data de Validade]])</f>
        <v>2024</v>
      </c>
      <c r="I129" s="89">
        <f>MONTH(Tabela1[[#This Row],[Data de Validade]])</f>
        <v>8</v>
      </c>
      <c r="J129" s="101">
        <v>30437</v>
      </c>
      <c r="K129" s="87" t="s">
        <v>7</v>
      </c>
      <c r="L129" s="108"/>
      <c r="M129" s="108"/>
      <c r="N129" s="108" t="str">
        <v>P365P885</v>
      </c>
      <c r="O129" s="108">
        <f t="shared" si="3"/>
        <v>1</v>
      </c>
      <c r="P129" s="108"/>
      <c r="Q129"/>
    </row>
    <row r="130" spans="1:17" x14ac:dyDescent="0.25">
      <c r="A130" s="89" t="s">
        <v>6646</v>
      </c>
      <c r="B130" s="87" t="s">
        <v>6647</v>
      </c>
      <c r="C130" s="87" t="s">
        <v>16</v>
      </c>
      <c r="D130" s="87" t="str">
        <f>VLOOKUP(Tabela1[[#This Row],[Origem]], 'Perguntas 1 a 24'!$J$28:$K$34, 2, 0)</f>
        <v>Sudeste</v>
      </c>
      <c r="E130" s="87" t="str">
        <f>Tabela1[[#This Row],[Descrição]]&amp;"-"&amp;Tabela1[[#This Row],[Código]]&amp;"/"&amp;Tabela1[[#This Row],[Origem]]</f>
        <v>Detape-H322P569/MG</v>
      </c>
      <c r="F130" s="88">
        <v>45511</v>
      </c>
      <c r="G130" s="88" t="str" cm="1">
        <f t="array" ref="G1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AND(F130&gt;= DATE(2026,1,1), F130&lt;= DATE(2028, 12, 31), J130&gt;50000), "Pendente e Caro", AND(F130&gt;= DATE(2026,1,1), F130&lt;= DATE(2028, 12, 31), J130&lt;=50000), "Pendente", F130&gt;= DATE(2029,1,1), "Não prioeitário")</f>
        <v>Urgente e Caro</v>
      </c>
      <c r="H130" s="89">
        <f>YEAR(Tabela1[[#This Row],[Data de Validade]])</f>
        <v>2024</v>
      </c>
      <c r="I130" s="89">
        <f>MONTH(Tabela1[[#This Row],[Data de Validade]])</f>
        <v>8</v>
      </c>
      <c r="J130" s="101">
        <v>107335</v>
      </c>
      <c r="K130" s="87" t="s">
        <v>11</v>
      </c>
      <c r="L130" s="108"/>
      <c r="M130" s="108"/>
      <c r="N130" s="108" t="str">
        <v>H322P569</v>
      </c>
      <c r="O130" s="108">
        <f t="shared" si="3"/>
        <v>1</v>
      </c>
      <c r="P130" s="108"/>
      <c r="Q130"/>
    </row>
    <row r="131" spans="1:17" x14ac:dyDescent="0.25">
      <c r="A131" s="89" t="s">
        <v>3956</v>
      </c>
      <c r="B131" s="87" t="s">
        <v>3957</v>
      </c>
      <c r="C131" s="87" t="s">
        <v>6</v>
      </c>
      <c r="D131" s="87" t="str">
        <f>VLOOKUP(Tabela1[[#This Row],[Origem]], 'Perguntas 1 a 24'!$J$28:$K$34, 2, 0)</f>
        <v>Nordeste</v>
      </c>
      <c r="E131" s="87" t="str">
        <f>Tabela1[[#This Row],[Descrição]]&amp;"-"&amp;Tabela1[[#This Row],[Código]]&amp;"/"&amp;Tabela1[[#This Row],[Origem]]</f>
        <v>Palulato-P751P577/MA</v>
      </c>
      <c r="F131" s="88">
        <v>45511</v>
      </c>
      <c r="G131" s="88" t="str" cm="1">
        <f t="array" ref="G1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AND(F131&gt;= DATE(2026,1,1), F131&lt;= DATE(2028, 12, 31), J131&gt;50000), "Pendente e Caro", AND(F131&gt;= DATE(2026,1,1), F131&lt;= DATE(2028, 12, 31), J131&lt;=50000), "Pendente", F131&gt;= DATE(2029,1,1), "Não prioeitário")</f>
        <v>Urgente e Caro</v>
      </c>
      <c r="H131" s="89">
        <f>YEAR(Tabela1[[#This Row],[Data de Validade]])</f>
        <v>2024</v>
      </c>
      <c r="I131" s="89">
        <f>MONTH(Tabela1[[#This Row],[Data de Validade]])</f>
        <v>8</v>
      </c>
      <c r="J131" s="101">
        <v>98401</v>
      </c>
      <c r="K131" s="87" t="s">
        <v>11</v>
      </c>
      <c r="L131" s="108"/>
      <c r="M131" s="108"/>
      <c r="N131" s="108" t="str">
        <v>P751P577</v>
      </c>
      <c r="O131" s="108">
        <f t="shared" ref="O131:O194" si="4">COUNTIFS(B:B,N131)</f>
        <v>1</v>
      </c>
      <c r="P131" s="108"/>
      <c r="Q131"/>
    </row>
    <row r="132" spans="1:17" x14ac:dyDescent="0.25">
      <c r="A132" s="89" t="s">
        <v>7096</v>
      </c>
      <c r="B132" s="87" t="s">
        <v>7097</v>
      </c>
      <c r="C132" s="87" t="s">
        <v>6</v>
      </c>
      <c r="D132" s="87" t="str">
        <f>VLOOKUP(Tabela1[[#This Row],[Origem]], 'Perguntas 1 a 24'!$J$28:$K$34, 2, 0)</f>
        <v>Nordeste</v>
      </c>
      <c r="E132" s="87" t="str">
        <f>Tabela1[[#This Row],[Descrição]]&amp;"-"&amp;Tabela1[[#This Row],[Código]]&amp;"/"&amp;Tabela1[[#This Row],[Origem]]</f>
        <v>Rudocepa-P376H139/MA</v>
      </c>
      <c r="F132" s="88">
        <v>45511</v>
      </c>
      <c r="G132" s="88" t="str" cm="1">
        <f t="array" ref="G1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AND(F132&gt;= DATE(2026,1,1), F132&lt;= DATE(2028, 12, 31), J132&gt;50000), "Pendente e Caro", AND(F132&gt;= DATE(2026,1,1), F132&lt;= DATE(2028, 12, 31), J132&lt;=50000), "Pendente", F132&gt;= DATE(2029,1,1), "Não prioeitário")</f>
        <v>Urgente</v>
      </c>
      <c r="H132" s="89">
        <f>YEAR(Tabela1[[#This Row],[Data de Validade]])</f>
        <v>2024</v>
      </c>
      <c r="I132" s="89">
        <f>MONTH(Tabela1[[#This Row],[Data de Validade]])</f>
        <v>8</v>
      </c>
      <c r="J132" s="101">
        <v>42726</v>
      </c>
      <c r="K132" s="87" t="s">
        <v>9</v>
      </c>
      <c r="L132" s="108"/>
      <c r="M132" s="108"/>
      <c r="N132" s="108" t="str">
        <v>P376H139</v>
      </c>
      <c r="O132" s="108">
        <f t="shared" si="4"/>
        <v>1</v>
      </c>
      <c r="P132" s="108"/>
      <c r="Q132"/>
    </row>
    <row r="133" spans="1:17" x14ac:dyDescent="0.25">
      <c r="A133" s="89" t="s">
        <v>5376</v>
      </c>
      <c r="B133" s="87" t="s">
        <v>5377</v>
      </c>
      <c r="C133" s="87" t="s">
        <v>10</v>
      </c>
      <c r="D133" s="87" t="str">
        <f>VLOOKUP(Tabela1[[#This Row],[Origem]], 'Perguntas 1 a 24'!$J$28:$K$34, 2, 0)</f>
        <v>Centro-Oeste</v>
      </c>
      <c r="E133" s="87" t="str">
        <f>Tabela1[[#This Row],[Descrição]]&amp;"-"&amp;Tabela1[[#This Row],[Código]]&amp;"/"&amp;Tabela1[[#This Row],[Origem]]</f>
        <v>Taviri-P299P916/GO</v>
      </c>
      <c r="F133" s="88">
        <v>45511</v>
      </c>
      <c r="G133" s="88" t="str" cm="1">
        <f t="array" ref="G1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AND(F133&gt;= DATE(2026,1,1), F133&lt;= DATE(2028, 12, 31), J133&gt;50000), "Pendente e Caro", AND(F133&gt;= DATE(2026,1,1), F133&lt;= DATE(2028, 12, 31), J133&lt;=50000), "Pendente", F133&gt;= DATE(2029,1,1), "Não prioeitário")</f>
        <v>Urgente</v>
      </c>
      <c r="H133" s="89">
        <f>YEAR(Tabela1[[#This Row],[Data de Validade]])</f>
        <v>2024</v>
      </c>
      <c r="I133" s="89">
        <f>MONTH(Tabela1[[#This Row],[Data de Validade]])</f>
        <v>8</v>
      </c>
      <c r="J133" s="101">
        <v>32349</v>
      </c>
      <c r="K133" s="87" t="s">
        <v>7</v>
      </c>
      <c r="L133" s="108"/>
      <c r="M133" s="108"/>
      <c r="N133" s="108" t="str">
        <v>P299P916</v>
      </c>
      <c r="O133" s="108">
        <f t="shared" si="4"/>
        <v>1</v>
      </c>
      <c r="P133" s="108"/>
      <c r="Q133"/>
    </row>
    <row r="134" spans="1:17" x14ac:dyDescent="0.25">
      <c r="A134" s="89" t="s">
        <v>4058</v>
      </c>
      <c r="B134" s="87" t="s">
        <v>4059</v>
      </c>
      <c r="C134" s="87" t="s">
        <v>13</v>
      </c>
      <c r="D134" s="87" t="str">
        <f>VLOOKUP(Tabela1[[#This Row],[Origem]], 'Perguntas 1 a 24'!$J$28:$K$34, 2, 0)</f>
        <v>Sudeste</v>
      </c>
      <c r="E134" s="87" t="str">
        <f>Tabela1[[#This Row],[Descrição]]&amp;"-"&amp;Tabela1[[#This Row],[Código]]&amp;"/"&amp;Tabela1[[#This Row],[Origem]]</f>
        <v>Raleru-H876H716/SP</v>
      </c>
      <c r="F134" s="88">
        <v>45512</v>
      </c>
      <c r="G134" s="88" t="str" cm="1">
        <f t="array" ref="G1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AND(F134&gt;= DATE(2026,1,1), F134&lt;= DATE(2028, 12, 31), J134&gt;50000), "Pendente e Caro", AND(F134&gt;= DATE(2026,1,1), F134&lt;= DATE(2028, 12, 31), J134&lt;=50000), "Pendente", F134&gt;= DATE(2029,1,1), "Não prioeitário")</f>
        <v>Urgente e Caro</v>
      </c>
      <c r="H134" s="89">
        <f>YEAR(Tabela1[[#This Row],[Data de Validade]])</f>
        <v>2024</v>
      </c>
      <c r="I134" s="89">
        <f>MONTH(Tabela1[[#This Row],[Data de Validade]])</f>
        <v>8</v>
      </c>
      <c r="J134" s="101">
        <v>70576</v>
      </c>
      <c r="K134" s="87" t="s">
        <v>14</v>
      </c>
      <c r="L134" s="108"/>
      <c r="M134" s="108"/>
      <c r="N134" s="108" t="str">
        <v>H876H716</v>
      </c>
      <c r="O134" s="108">
        <f t="shared" si="4"/>
        <v>1</v>
      </c>
      <c r="P134" s="108"/>
      <c r="Q134"/>
    </row>
    <row r="135" spans="1:17" x14ac:dyDescent="0.25">
      <c r="A135" s="89" t="s">
        <v>10041</v>
      </c>
      <c r="B135" s="87" t="s">
        <v>10042</v>
      </c>
      <c r="C135" s="87" t="s">
        <v>6</v>
      </c>
      <c r="D135" s="87" t="str">
        <f>VLOOKUP(Tabela1[[#This Row],[Origem]], 'Perguntas 1 a 24'!$J$28:$K$34, 2, 0)</f>
        <v>Nordeste</v>
      </c>
      <c r="E135" s="87" t="str">
        <f>Tabela1[[#This Row],[Descrição]]&amp;"-"&amp;Tabela1[[#This Row],[Código]]&amp;"/"&amp;Tabela1[[#This Row],[Origem]]</f>
        <v>Lerepe-P226H775/MA</v>
      </c>
      <c r="F135" s="88">
        <v>45513</v>
      </c>
      <c r="G135" s="88" t="str" cm="1">
        <f t="array" ref="G1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AND(F135&gt;= DATE(2026,1,1), F135&lt;= DATE(2028, 12, 31), J135&gt;50000), "Pendente e Caro", AND(F135&gt;= DATE(2026,1,1), F135&lt;= DATE(2028, 12, 31), J135&lt;=50000), "Pendente", F135&gt;= DATE(2029,1,1), "Não prioeitário")</f>
        <v>Urgente e Caro</v>
      </c>
      <c r="H135" s="89">
        <f>YEAR(Tabela1[[#This Row],[Data de Validade]])</f>
        <v>2024</v>
      </c>
      <c r="I135" s="89">
        <f>MONTH(Tabela1[[#This Row],[Data de Validade]])</f>
        <v>8</v>
      </c>
      <c r="J135" s="101">
        <v>55069</v>
      </c>
      <c r="K135" s="87" t="s">
        <v>14</v>
      </c>
      <c r="L135" s="108"/>
      <c r="M135" s="108"/>
      <c r="N135" s="108" t="str">
        <v>P226H775</v>
      </c>
      <c r="O135" s="108">
        <f t="shared" si="4"/>
        <v>1</v>
      </c>
      <c r="P135" s="108"/>
      <c r="Q135"/>
    </row>
    <row r="136" spans="1:17" x14ac:dyDescent="0.25">
      <c r="A136" s="89" t="s">
        <v>6424</v>
      </c>
      <c r="B136" s="87" t="s">
        <v>6425</v>
      </c>
      <c r="C136" s="87" t="s">
        <v>16</v>
      </c>
      <c r="D136" s="87" t="str">
        <f>VLOOKUP(Tabela1[[#This Row],[Origem]], 'Perguntas 1 a 24'!$J$28:$K$34, 2, 0)</f>
        <v>Sudeste</v>
      </c>
      <c r="E136" s="87" t="str">
        <f>Tabela1[[#This Row],[Descrição]]&amp;"-"&amp;Tabela1[[#This Row],[Código]]&amp;"/"&amp;Tabela1[[#This Row],[Origem]]</f>
        <v>Papumuta-H939P638/MG</v>
      </c>
      <c r="F136" s="88">
        <v>45514</v>
      </c>
      <c r="G136" s="88" t="str" cm="1">
        <f t="array" ref="G1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AND(F136&gt;= DATE(2026,1,1), F136&lt;= DATE(2028, 12, 31), J136&gt;50000), "Pendente e Caro", AND(F136&gt;= DATE(2026,1,1), F136&lt;= DATE(2028, 12, 31), J136&lt;=50000), "Pendente", F136&gt;= DATE(2029,1,1), "Não prioeitário")</f>
        <v>Urgente e Caro</v>
      </c>
      <c r="H136" s="89">
        <f>YEAR(Tabela1[[#This Row],[Data de Validade]])</f>
        <v>2024</v>
      </c>
      <c r="I136" s="89">
        <f>MONTH(Tabela1[[#This Row],[Data de Validade]])</f>
        <v>8</v>
      </c>
      <c r="J136" s="101">
        <v>79353</v>
      </c>
      <c r="K136" s="87" t="s">
        <v>11</v>
      </c>
      <c r="L136" s="108"/>
      <c r="M136" s="108"/>
      <c r="N136" s="108" t="str">
        <v>H939P638</v>
      </c>
      <c r="O136" s="108">
        <f t="shared" si="4"/>
        <v>1</v>
      </c>
      <c r="P136" s="108"/>
      <c r="Q136"/>
    </row>
    <row r="137" spans="1:17" x14ac:dyDescent="0.25">
      <c r="A137" s="89" t="s">
        <v>8136</v>
      </c>
      <c r="B137" s="87" t="s">
        <v>8137</v>
      </c>
      <c r="C137" s="87" t="s">
        <v>10</v>
      </c>
      <c r="D137" s="87" t="str">
        <f>VLOOKUP(Tabela1[[#This Row],[Origem]], 'Perguntas 1 a 24'!$J$28:$K$34, 2, 0)</f>
        <v>Centro-Oeste</v>
      </c>
      <c r="E137" s="87" t="str">
        <f>Tabela1[[#This Row],[Descrição]]&amp;"-"&amp;Tabela1[[#This Row],[Código]]&amp;"/"&amp;Tabela1[[#This Row],[Origem]]</f>
        <v>Cetito-P254P772/GO</v>
      </c>
      <c r="F137" s="88">
        <v>45514</v>
      </c>
      <c r="G137" s="88" t="str" cm="1">
        <f t="array" ref="G1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AND(F137&gt;= DATE(2026,1,1), F137&lt;= DATE(2028, 12, 31), J137&gt;50000), "Pendente e Caro", AND(F137&gt;= DATE(2026,1,1), F137&lt;= DATE(2028, 12, 31), J137&lt;=50000), "Pendente", F137&gt;= DATE(2029,1,1), "Não prioeitário")</f>
        <v>Urgente</v>
      </c>
      <c r="H137" s="89">
        <f>YEAR(Tabela1[[#This Row],[Data de Validade]])</f>
        <v>2024</v>
      </c>
      <c r="I137" s="89">
        <f>MONTH(Tabela1[[#This Row],[Data de Validade]])</f>
        <v>8</v>
      </c>
      <c r="J137" s="101">
        <v>25236</v>
      </c>
      <c r="K137" s="87" t="s">
        <v>11</v>
      </c>
      <c r="L137" s="108"/>
      <c r="M137" s="108"/>
      <c r="N137" s="108" t="str">
        <v>P254P772</v>
      </c>
      <c r="O137" s="108">
        <f t="shared" si="4"/>
        <v>1</v>
      </c>
      <c r="P137" s="108"/>
      <c r="Q137"/>
    </row>
    <row r="138" spans="1:17" x14ac:dyDescent="0.25">
      <c r="A138" s="89" t="s">
        <v>6250</v>
      </c>
      <c r="B138" s="87" t="s">
        <v>6251</v>
      </c>
      <c r="C138" s="87" t="s">
        <v>6</v>
      </c>
      <c r="D138" s="87" t="str">
        <f>VLOOKUP(Tabela1[[#This Row],[Origem]], 'Perguntas 1 a 24'!$J$28:$K$34, 2, 0)</f>
        <v>Nordeste</v>
      </c>
      <c r="E138" s="87" t="str">
        <f>Tabela1[[#This Row],[Descrição]]&amp;"-"&amp;Tabela1[[#This Row],[Código]]&amp;"/"&amp;Tabela1[[#This Row],[Origem]]</f>
        <v>Putopuco-H125H165/MA</v>
      </c>
      <c r="F138" s="88">
        <v>45516</v>
      </c>
      <c r="G138" s="88" t="str" cm="1">
        <f t="array" ref="G1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AND(F138&gt;= DATE(2026,1,1), F138&lt;= DATE(2028, 12, 31), J138&gt;50000), "Pendente e Caro", AND(F138&gt;= DATE(2026,1,1), F138&lt;= DATE(2028, 12, 31), J138&lt;=50000), "Pendente", F138&gt;= DATE(2029,1,1), "Não prioeitário")</f>
        <v>Urgente</v>
      </c>
      <c r="H138" s="89">
        <f>YEAR(Tabela1[[#This Row],[Data de Validade]])</f>
        <v>2024</v>
      </c>
      <c r="I138" s="89">
        <f>MONTH(Tabela1[[#This Row],[Data de Validade]])</f>
        <v>8</v>
      </c>
      <c r="J138" s="101">
        <v>47981</v>
      </c>
      <c r="K138" s="87" t="s">
        <v>14</v>
      </c>
      <c r="L138" s="108"/>
      <c r="M138" s="108"/>
      <c r="N138" s="108" t="str">
        <v>H125H165</v>
      </c>
      <c r="O138" s="108">
        <f t="shared" si="4"/>
        <v>1</v>
      </c>
      <c r="P138" s="108"/>
      <c r="Q138"/>
    </row>
    <row r="139" spans="1:17" x14ac:dyDescent="0.25">
      <c r="A139" s="89" t="s">
        <v>8450</v>
      </c>
      <c r="B139" s="87" t="s">
        <v>8451</v>
      </c>
      <c r="C139" s="87" t="s">
        <v>12</v>
      </c>
      <c r="D139" s="87" t="str">
        <f>VLOOKUP(Tabela1[[#This Row],[Origem]], 'Perguntas 1 a 24'!$J$28:$K$34, 2, 0)</f>
        <v>Sudeste</v>
      </c>
      <c r="E139" s="87" t="str">
        <f>Tabela1[[#This Row],[Descrição]]&amp;"-"&amp;Tabela1[[#This Row],[Código]]&amp;"/"&amp;Tabela1[[#This Row],[Origem]]</f>
        <v>Nelito-P944H411/RJ</v>
      </c>
      <c r="F139" s="88">
        <v>45518</v>
      </c>
      <c r="G139" s="88" t="str" cm="1">
        <f t="array" ref="G1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AND(F139&gt;= DATE(2026,1,1), F139&lt;= DATE(2028, 12, 31), J139&gt;50000), "Pendente e Caro", AND(F139&gt;= DATE(2026,1,1), F139&lt;= DATE(2028, 12, 31), J139&lt;=50000), "Pendente", F139&gt;= DATE(2029,1,1), "Não prioeitário")</f>
        <v>Urgente e Caro</v>
      </c>
      <c r="H139" s="89">
        <f>YEAR(Tabela1[[#This Row],[Data de Validade]])</f>
        <v>2024</v>
      </c>
      <c r="I139" s="89">
        <f>MONTH(Tabela1[[#This Row],[Data de Validade]])</f>
        <v>8</v>
      </c>
      <c r="J139" s="101">
        <v>114966</v>
      </c>
      <c r="K139" s="87" t="s">
        <v>7</v>
      </c>
      <c r="L139" s="108"/>
      <c r="M139" s="108"/>
      <c r="N139" s="108" t="str">
        <v>P944H411</v>
      </c>
      <c r="O139" s="108">
        <f t="shared" si="4"/>
        <v>1</v>
      </c>
      <c r="P139" s="108"/>
      <c r="Q139"/>
    </row>
    <row r="140" spans="1:17" x14ac:dyDescent="0.25">
      <c r="A140" s="89" t="s">
        <v>9257</v>
      </c>
      <c r="B140" s="87" t="s">
        <v>9258</v>
      </c>
      <c r="C140" s="87" t="s">
        <v>8</v>
      </c>
      <c r="D140" s="87" t="str">
        <f>VLOOKUP(Tabela1[[#This Row],[Origem]], 'Perguntas 1 a 24'!$J$28:$K$34, 2, 0)</f>
        <v>Nordeste</v>
      </c>
      <c r="E140" s="87" t="str">
        <f>Tabela1[[#This Row],[Descrição]]&amp;"-"&amp;Tabela1[[#This Row],[Código]]&amp;"/"&amp;Tabela1[[#This Row],[Origem]]</f>
        <v>Perava-H576H269/AL</v>
      </c>
      <c r="F140" s="88">
        <v>45519</v>
      </c>
      <c r="G140" s="88" t="str" cm="1">
        <f t="array" ref="G1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AND(F140&gt;= DATE(2026,1,1), F140&lt;= DATE(2028, 12, 31), J140&gt;50000), "Pendente e Caro", AND(F140&gt;= DATE(2026,1,1), F140&lt;= DATE(2028, 12, 31), J140&lt;=50000), "Pendente", F140&gt;= DATE(2029,1,1), "Não prioeitário")</f>
        <v>Urgente e Caro</v>
      </c>
      <c r="H140" s="89">
        <f>YEAR(Tabela1[[#This Row],[Data de Validade]])</f>
        <v>2024</v>
      </c>
      <c r="I140" s="89">
        <f>MONTH(Tabela1[[#This Row],[Data de Validade]])</f>
        <v>8</v>
      </c>
      <c r="J140" s="101">
        <v>112717</v>
      </c>
      <c r="K140" s="87" t="s">
        <v>9</v>
      </c>
      <c r="L140" s="108"/>
      <c r="M140" s="108"/>
      <c r="N140" s="108" t="str">
        <v>H576H269</v>
      </c>
      <c r="O140" s="108">
        <f t="shared" si="4"/>
        <v>1</v>
      </c>
      <c r="P140" s="108"/>
      <c r="Q140"/>
    </row>
    <row r="141" spans="1:17" x14ac:dyDescent="0.25">
      <c r="A141" s="89" t="s">
        <v>8188</v>
      </c>
      <c r="B141" s="87" t="s">
        <v>8189</v>
      </c>
      <c r="C141" s="87" t="s">
        <v>15</v>
      </c>
      <c r="D141" s="87" t="str">
        <f>VLOOKUP(Tabela1[[#This Row],[Origem]], 'Perguntas 1 a 24'!$J$28:$K$34, 2, 0)</f>
        <v>Sudeste</v>
      </c>
      <c r="E141" s="87" t="str">
        <f>Tabela1[[#This Row],[Descrição]]&amp;"-"&amp;Tabela1[[#This Row],[Código]]&amp;"/"&amp;Tabela1[[#This Row],[Origem]]</f>
        <v>Timapi-H527H511/ES</v>
      </c>
      <c r="F141" s="88">
        <v>45519</v>
      </c>
      <c r="G141" s="88" t="str" cm="1">
        <f t="array" ref="G1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AND(F141&gt;= DATE(2026,1,1), F141&lt;= DATE(2028, 12, 31), J141&gt;50000), "Pendente e Caro", AND(F141&gt;= DATE(2026,1,1), F141&lt;= DATE(2028, 12, 31), J141&lt;=50000), "Pendente", F141&gt;= DATE(2029,1,1), "Não prioeitário")</f>
        <v>Urgente e Caro</v>
      </c>
      <c r="H141" s="89">
        <f>YEAR(Tabela1[[#This Row],[Data de Validade]])</f>
        <v>2024</v>
      </c>
      <c r="I141" s="89">
        <f>MONTH(Tabela1[[#This Row],[Data de Validade]])</f>
        <v>8</v>
      </c>
      <c r="J141" s="101">
        <v>84958</v>
      </c>
      <c r="K141" s="87" t="s">
        <v>14</v>
      </c>
      <c r="L141" s="108"/>
      <c r="M141" s="108"/>
      <c r="N141" s="108" t="str">
        <v>H527H511</v>
      </c>
      <c r="O141" s="108">
        <f t="shared" si="4"/>
        <v>1</v>
      </c>
      <c r="P141" s="108"/>
      <c r="Q141"/>
    </row>
    <row r="142" spans="1:17" x14ac:dyDescent="0.25">
      <c r="A142" s="89" t="s">
        <v>10481</v>
      </c>
      <c r="B142" s="87" t="s">
        <v>10482</v>
      </c>
      <c r="C142" s="87" t="s">
        <v>13</v>
      </c>
      <c r="D142" s="87" t="str">
        <f>VLOOKUP(Tabela1[[#This Row],[Origem]], 'Perguntas 1 a 24'!$J$28:$K$34, 2, 0)</f>
        <v>Sudeste</v>
      </c>
      <c r="E142" s="87" t="str">
        <f>Tabela1[[#This Row],[Descrição]]&amp;"-"&amp;Tabela1[[#This Row],[Código]]&amp;"/"&amp;Tabela1[[#This Row],[Origem]]</f>
        <v>Dalere-P453H434/SP</v>
      </c>
      <c r="F142" s="88">
        <v>45519</v>
      </c>
      <c r="G142" s="88" t="str" cm="1">
        <f t="array" ref="G1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AND(F142&gt;= DATE(2026,1,1), F142&lt;= DATE(2028, 12, 31), J142&gt;50000), "Pendente e Caro", AND(F142&gt;= DATE(2026,1,1), F142&lt;= DATE(2028, 12, 31), J142&lt;=50000), "Pendente", F142&gt;= DATE(2029,1,1), "Não prioeitário")</f>
        <v>Urgente e Caro</v>
      </c>
      <c r="H142" s="89">
        <f>YEAR(Tabela1[[#This Row],[Data de Validade]])</f>
        <v>2024</v>
      </c>
      <c r="I142" s="89">
        <f>MONTH(Tabela1[[#This Row],[Data de Validade]])</f>
        <v>8</v>
      </c>
      <c r="J142" s="101">
        <v>68175</v>
      </c>
      <c r="K142" s="87" t="s">
        <v>14</v>
      </c>
      <c r="L142" s="108"/>
      <c r="M142" s="108"/>
      <c r="N142" s="108" t="str">
        <v>P453H434</v>
      </c>
      <c r="O142" s="108">
        <f t="shared" si="4"/>
        <v>1</v>
      </c>
      <c r="P142" s="108"/>
      <c r="Q142"/>
    </row>
    <row r="143" spans="1:17" x14ac:dyDescent="0.25">
      <c r="A143" s="89" t="s">
        <v>9843</v>
      </c>
      <c r="B143" s="87" t="s">
        <v>9844</v>
      </c>
      <c r="C143" s="87" t="s">
        <v>10</v>
      </c>
      <c r="D143" s="87" t="str">
        <f>VLOOKUP(Tabela1[[#This Row],[Origem]], 'Perguntas 1 a 24'!$J$28:$K$34, 2, 0)</f>
        <v>Centro-Oeste</v>
      </c>
      <c r="E143" s="87" t="str">
        <f>Tabela1[[#This Row],[Descrição]]&amp;"-"&amp;Tabela1[[#This Row],[Código]]&amp;"/"&amp;Tabela1[[#This Row],[Origem]]</f>
        <v>Vatavipi-H546H815/GO</v>
      </c>
      <c r="F143" s="88">
        <v>45519</v>
      </c>
      <c r="G143" s="88" t="str" cm="1">
        <f t="array" ref="G1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AND(F143&gt;= DATE(2026,1,1), F143&lt;= DATE(2028, 12, 31), J143&gt;50000), "Pendente e Caro", AND(F143&gt;= DATE(2026,1,1), F143&lt;= DATE(2028, 12, 31), J143&lt;=50000), "Pendente", F143&gt;= DATE(2029,1,1), "Não prioeitário")</f>
        <v>Urgente</v>
      </c>
      <c r="H143" s="89">
        <f>YEAR(Tabela1[[#This Row],[Data de Validade]])</f>
        <v>2024</v>
      </c>
      <c r="I143" s="89">
        <f>MONTH(Tabela1[[#This Row],[Data de Validade]])</f>
        <v>8</v>
      </c>
      <c r="J143" s="101">
        <v>45648</v>
      </c>
      <c r="K143" s="87" t="s">
        <v>11</v>
      </c>
      <c r="L143" s="108"/>
      <c r="M143" s="108"/>
      <c r="N143" s="108" t="str">
        <v>H546H815</v>
      </c>
      <c r="O143" s="108">
        <f t="shared" si="4"/>
        <v>1</v>
      </c>
      <c r="P143" s="108"/>
      <c r="Q143"/>
    </row>
    <row r="144" spans="1:17" x14ac:dyDescent="0.25">
      <c r="A144" s="89" t="s">
        <v>7106</v>
      </c>
      <c r="B144" s="87" t="s">
        <v>7107</v>
      </c>
      <c r="C144" s="87" t="s">
        <v>12</v>
      </c>
      <c r="D144" s="87" t="str">
        <f>VLOOKUP(Tabela1[[#This Row],[Origem]], 'Perguntas 1 a 24'!$J$28:$K$34, 2, 0)</f>
        <v>Sudeste</v>
      </c>
      <c r="E144" s="87" t="str">
        <f>Tabela1[[#This Row],[Descrição]]&amp;"-"&amp;Tabela1[[#This Row],[Código]]&amp;"/"&amp;Tabela1[[#This Row],[Origem]]</f>
        <v>Ranenaceri-P161P248/RJ</v>
      </c>
      <c r="F144" s="88">
        <v>45520</v>
      </c>
      <c r="G144" s="88" t="str" cm="1">
        <f t="array" ref="G1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AND(F144&gt;= DATE(2026,1,1), F144&lt;= DATE(2028, 12, 31), J144&gt;50000), "Pendente e Caro", AND(F144&gt;= DATE(2026,1,1), F144&lt;= DATE(2028, 12, 31), J144&lt;=50000), "Pendente", F144&gt;= DATE(2029,1,1), "Não prioeitário")</f>
        <v>Urgente e Caro</v>
      </c>
      <c r="H144" s="89">
        <f>YEAR(Tabela1[[#This Row],[Data de Validade]])</f>
        <v>2024</v>
      </c>
      <c r="I144" s="89">
        <f>MONTH(Tabela1[[#This Row],[Data de Validade]])</f>
        <v>8</v>
      </c>
      <c r="J144" s="101">
        <v>97992</v>
      </c>
      <c r="K144" s="87" t="s">
        <v>14</v>
      </c>
      <c r="L144" s="108"/>
      <c r="M144" s="108"/>
      <c r="N144" s="108" t="str">
        <v>P161P248</v>
      </c>
      <c r="O144" s="108">
        <f t="shared" si="4"/>
        <v>1</v>
      </c>
      <c r="P144" s="108"/>
      <c r="Q144"/>
    </row>
    <row r="145" spans="1:17" x14ac:dyDescent="0.25">
      <c r="A145" s="89" t="s">
        <v>5526</v>
      </c>
      <c r="B145" s="87" t="s">
        <v>5527</v>
      </c>
      <c r="C145" s="87" t="s">
        <v>12</v>
      </c>
      <c r="D145" s="87" t="str">
        <f>VLOOKUP(Tabela1[[#This Row],[Origem]], 'Perguntas 1 a 24'!$J$28:$K$34, 2, 0)</f>
        <v>Sudeste</v>
      </c>
      <c r="E145" s="87" t="str">
        <f>Tabela1[[#This Row],[Descrição]]&amp;"-"&amp;Tabela1[[#This Row],[Código]]&amp;"/"&amp;Tabela1[[#This Row],[Origem]]</f>
        <v>Pitiloga-H591H641/RJ</v>
      </c>
      <c r="F145" s="88">
        <v>45520</v>
      </c>
      <c r="G145" s="88" t="str" cm="1">
        <f t="array" ref="G1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AND(F145&gt;= DATE(2026,1,1), F145&lt;= DATE(2028, 12, 31), J145&gt;50000), "Pendente e Caro", AND(F145&gt;= DATE(2026,1,1), F145&lt;= DATE(2028, 12, 31), J145&lt;=50000), "Pendente", F145&gt;= DATE(2029,1,1), "Não prioeitário")</f>
        <v>Urgente</v>
      </c>
      <c r="H145" s="89">
        <f>YEAR(Tabela1[[#This Row],[Data de Validade]])</f>
        <v>2024</v>
      </c>
      <c r="I145" s="89">
        <f>MONTH(Tabela1[[#This Row],[Data de Validade]])</f>
        <v>8</v>
      </c>
      <c r="J145" s="101">
        <v>33639</v>
      </c>
      <c r="K145" s="87" t="s">
        <v>11</v>
      </c>
      <c r="L145" s="108"/>
      <c r="M145" s="108"/>
      <c r="N145" s="108" t="str">
        <v>H591H641</v>
      </c>
      <c r="O145" s="108">
        <f t="shared" si="4"/>
        <v>1</v>
      </c>
      <c r="P145" s="108"/>
      <c r="Q145"/>
    </row>
    <row r="146" spans="1:17" x14ac:dyDescent="0.25">
      <c r="A146" s="89" t="s">
        <v>8266</v>
      </c>
      <c r="B146" s="87" t="s">
        <v>8267</v>
      </c>
      <c r="C146" s="87" t="s">
        <v>12</v>
      </c>
      <c r="D146" s="87" t="str">
        <f>VLOOKUP(Tabela1[[#This Row],[Origem]], 'Perguntas 1 a 24'!$J$28:$K$34, 2, 0)</f>
        <v>Sudeste</v>
      </c>
      <c r="E146" s="87" t="str">
        <f>Tabela1[[#This Row],[Descrição]]&amp;"-"&amp;Tabela1[[#This Row],[Código]]&amp;"/"&amp;Tabela1[[#This Row],[Origem]]</f>
        <v>Movopa-P941P945/RJ</v>
      </c>
      <c r="F146" s="88">
        <v>45523</v>
      </c>
      <c r="G146" s="88" t="str" cm="1">
        <f t="array" ref="G1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AND(F146&gt;= DATE(2026,1,1), F146&lt;= DATE(2028, 12, 31), J146&gt;50000), "Pendente e Caro", AND(F146&gt;= DATE(2026,1,1), F146&lt;= DATE(2028, 12, 31), J146&lt;=50000), "Pendente", F146&gt;= DATE(2029,1,1), "Não prioeitário")</f>
        <v>Urgente e Caro</v>
      </c>
      <c r="H146" s="89">
        <f>YEAR(Tabela1[[#This Row],[Data de Validade]])</f>
        <v>2024</v>
      </c>
      <c r="I146" s="89">
        <f>MONTH(Tabela1[[#This Row],[Data de Validade]])</f>
        <v>8</v>
      </c>
      <c r="J146" s="101">
        <v>61333</v>
      </c>
      <c r="K146" s="87" t="s">
        <v>11</v>
      </c>
      <c r="L146" s="108"/>
      <c r="M146" s="108"/>
      <c r="N146" s="108" t="str">
        <v>P941P945</v>
      </c>
      <c r="O146" s="108">
        <f t="shared" si="4"/>
        <v>1</v>
      </c>
      <c r="P146" s="108"/>
      <c r="Q146"/>
    </row>
    <row r="147" spans="1:17" x14ac:dyDescent="0.25">
      <c r="A147" s="89" t="s">
        <v>7556</v>
      </c>
      <c r="B147" s="87" t="s">
        <v>7557</v>
      </c>
      <c r="C147" s="87" t="s">
        <v>8</v>
      </c>
      <c r="D147" s="87" t="str">
        <f>VLOOKUP(Tabela1[[#This Row],[Origem]], 'Perguntas 1 a 24'!$J$28:$K$34, 2, 0)</f>
        <v>Nordeste</v>
      </c>
      <c r="E147" s="87" t="str">
        <f>Tabela1[[#This Row],[Descrição]]&amp;"-"&amp;Tabela1[[#This Row],[Código]]&amp;"/"&amp;Tabela1[[#This Row],[Origem]]</f>
        <v>Rifaronude-P163P684/AL</v>
      </c>
      <c r="F147" s="88">
        <v>45524</v>
      </c>
      <c r="G147" s="88" t="str" cm="1">
        <f t="array" ref="G1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AND(F147&gt;= DATE(2026,1,1), F147&lt;= DATE(2028, 12, 31), J147&gt;50000), "Pendente e Caro", AND(F147&gt;= DATE(2026,1,1), F147&lt;= DATE(2028, 12, 31), J147&lt;=50000), "Pendente", F147&gt;= DATE(2029,1,1), "Não prioeitário")</f>
        <v>Urgente</v>
      </c>
      <c r="H147" s="89">
        <f>YEAR(Tabela1[[#This Row],[Data de Validade]])</f>
        <v>2024</v>
      </c>
      <c r="I147" s="89">
        <f>MONTH(Tabela1[[#This Row],[Data de Validade]])</f>
        <v>8</v>
      </c>
      <c r="J147" s="101">
        <v>43297</v>
      </c>
      <c r="K147" s="87" t="s">
        <v>9</v>
      </c>
      <c r="L147" s="108"/>
      <c r="M147" s="108"/>
      <c r="N147" s="108" t="str">
        <v>P163P684</v>
      </c>
      <c r="O147" s="108">
        <f t="shared" si="4"/>
        <v>1</v>
      </c>
      <c r="P147" s="108"/>
      <c r="Q147"/>
    </row>
    <row r="148" spans="1:17" x14ac:dyDescent="0.25">
      <c r="A148" s="89" t="s">
        <v>7660</v>
      </c>
      <c r="B148" s="87" t="s">
        <v>7661</v>
      </c>
      <c r="C148" s="87" t="s">
        <v>10</v>
      </c>
      <c r="D148" s="87" t="str">
        <f>VLOOKUP(Tabela1[[#This Row],[Origem]], 'Perguntas 1 a 24'!$J$28:$K$34, 2, 0)</f>
        <v>Centro-Oeste</v>
      </c>
      <c r="E148" s="87" t="str">
        <f>Tabela1[[#This Row],[Descrição]]&amp;"-"&amp;Tabela1[[#This Row],[Código]]&amp;"/"&amp;Tabela1[[#This Row],[Origem]]</f>
        <v>Tamuli-P391P747/GO</v>
      </c>
      <c r="F148" s="88">
        <v>45525</v>
      </c>
      <c r="G148" s="88" t="str" cm="1">
        <f t="array" ref="G1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AND(F148&gt;= DATE(2026,1,1), F148&lt;= DATE(2028, 12, 31), J148&gt;50000), "Pendente e Caro", AND(F148&gt;= DATE(2026,1,1), F148&lt;= DATE(2028, 12, 31), J148&lt;=50000), "Pendente", F148&gt;= DATE(2029,1,1), "Não prioeitário")</f>
        <v>Urgente e Caro</v>
      </c>
      <c r="H148" s="89">
        <f>YEAR(Tabela1[[#This Row],[Data de Validade]])</f>
        <v>2024</v>
      </c>
      <c r="I148" s="89">
        <f>MONTH(Tabela1[[#This Row],[Data de Validade]])</f>
        <v>8</v>
      </c>
      <c r="J148" s="101">
        <v>118504</v>
      </c>
      <c r="K148" s="87" t="s">
        <v>14</v>
      </c>
      <c r="L148" s="108"/>
      <c r="M148" s="108"/>
      <c r="N148" s="108" t="str">
        <v>P391P747</v>
      </c>
      <c r="O148" s="108">
        <f t="shared" si="4"/>
        <v>1</v>
      </c>
      <c r="P148" s="108"/>
      <c r="Q148"/>
    </row>
    <row r="149" spans="1:17" x14ac:dyDescent="0.25">
      <c r="A149" s="89" t="s">
        <v>8240</v>
      </c>
      <c r="B149" s="87" t="s">
        <v>8241</v>
      </c>
      <c r="C149" s="87" t="s">
        <v>15</v>
      </c>
      <c r="D149" s="87" t="str">
        <f>VLOOKUP(Tabela1[[#This Row],[Origem]], 'Perguntas 1 a 24'!$J$28:$K$34, 2, 0)</f>
        <v>Sudeste</v>
      </c>
      <c r="E149" s="87" t="str">
        <f>Tabela1[[#This Row],[Descrição]]&amp;"-"&amp;Tabela1[[#This Row],[Código]]&amp;"/"&amp;Tabela1[[#This Row],[Origem]]</f>
        <v>Penutamepu-H568H488/ES</v>
      </c>
      <c r="F149" s="88">
        <v>45525</v>
      </c>
      <c r="G149" s="88" t="str" cm="1">
        <f t="array" ref="G1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AND(F149&gt;= DATE(2026,1,1), F149&lt;= DATE(2028, 12, 31), J149&gt;50000), "Pendente e Caro", AND(F149&gt;= DATE(2026,1,1), F149&lt;= DATE(2028, 12, 31), J149&lt;=50000), "Pendente", F149&gt;= DATE(2029,1,1), "Não prioeitário")</f>
        <v>Urgente e Caro</v>
      </c>
      <c r="H149" s="89">
        <f>YEAR(Tabela1[[#This Row],[Data de Validade]])</f>
        <v>2024</v>
      </c>
      <c r="I149" s="89">
        <f>MONTH(Tabela1[[#This Row],[Data de Validade]])</f>
        <v>8</v>
      </c>
      <c r="J149" s="101">
        <v>114924</v>
      </c>
      <c r="K149" s="87" t="s">
        <v>14</v>
      </c>
      <c r="L149" s="108"/>
      <c r="M149" s="108"/>
      <c r="N149" s="108" t="str">
        <v>H568H488</v>
      </c>
      <c r="O149" s="108">
        <f t="shared" si="4"/>
        <v>1</v>
      </c>
      <c r="P149" s="108"/>
      <c r="Q149"/>
    </row>
    <row r="150" spans="1:17" x14ac:dyDescent="0.25">
      <c r="A150" s="89" t="s">
        <v>6392</v>
      </c>
      <c r="B150" s="87" t="s">
        <v>6393</v>
      </c>
      <c r="C150" s="87" t="s">
        <v>12</v>
      </c>
      <c r="D150" s="87" t="str">
        <f>VLOOKUP(Tabela1[[#This Row],[Origem]], 'Perguntas 1 a 24'!$J$28:$K$34, 2, 0)</f>
        <v>Sudeste</v>
      </c>
      <c r="E150" s="87" t="str">
        <f>Tabela1[[#This Row],[Descrição]]&amp;"-"&amp;Tabela1[[#This Row],[Código]]&amp;"/"&amp;Tabela1[[#This Row],[Origem]]</f>
        <v>Numenonori-P886P756/RJ</v>
      </c>
      <c r="F150" s="88">
        <v>45525</v>
      </c>
      <c r="G150" s="88" t="str" cm="1">
        <f t="array" ref="G1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AND(F150&gt;= DATE(2026,1,1), F150&lt;= DATE(2028, 12, 31), J150&gt;50000), "Pendente e Caro", AND(F150&gt;= DATE(2026,1,1), F150&lt;= DATE(2028, 12, 31), J150&lt;=50000), "Pendente", F150&gt;= DATE(2029,1,1), "Não prioeitário")</f>
        <v>Urgente e Caro</v>
      </c>
      <c r="H150" s="89">
        <f>YEAR(Tabela1[[#This Row],[Data de Validade]])</f>
        <v>2024</v>
      </c>
      <c r="I150" s="89">
        <f>MONTH(Tabela1[[#This Row],[Data de Validade]])</f>
        <v>8</v>
      </c>
      <c r="J150" s="101">
        <v>54382</v>
      </c>
      <c r="K150" s="87" t="s">
        <v>7</v>
      </c>
      <c r="L150" s="108"/>
      <c r="M150" s="108"/>
      <c r="N150" s="108" t="str">
        <v>P886P756</v>
      </c>
      <c r="O150" s="108">
        <f t="shared" si="4"/>
        <v>1</v>
      </c>
      <c r="P150" s="108"/>
      <c r="Q150"/>
    </row>
    <row r="151" spans="1:17" x14ac:dyDescent="0.25">
      <c r="A151" s="89" t="s">
        <v>11252</v>
      </c>
      <c r="B151" s="87" t="s">
        <v>11253</v>
      </c>
      <c r="C151" s="87" t="s">
        <v>15</v>
      </c>
      <c r="D151" s="87" t="str">
        <f>VLOOKUP(Tabela1[[#This Row],[Origem]], 'Perguntas 1 a 24'!$J$28:$K$34, 2, 0)</f>
        <v>Sudeste</v>
      </c>
      <c r="E151" s="87" t="str">
        <f>Tabela1[[#This Row],[Descrição]]&amp;"-"&amp;Tabela1[[#This Row],[Código]]&amp;"/"&amp;Tabela1[[#This Row],[Origem]]</f>
        <v>Pirove-H323P851/ES</v>
      </c>
      <c r="F151" s="88">
        <v>45527</v>
      </c>
      <c r="G151" s="88" t="str" cm="1">
        <f t="array" ref="G1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AND(F151&gt;= DATE(2026,1,1), F151&lt;= DATE(2028, 12, 31), J151&gt;50000), "Pendente e Caro", AND(F151&gt;= DATE(2026,1,1), F151&lt;= DATE(2028, 12, 31), J151&lt;=50000), "Pendente", F151&gt;= DATE(2029,1,1), "Não prioeitário")</f>
        <v>Urgente e Caro</v>
      </c>
      <c r="H151" s="89">
        <f>YEAR(Tabela1[[#This Row],[Data de Validade]])</f>
        <v>2024</v>
      </c>
      <c r="I151" s="89">
        <f>MONTH(Tabela1[[#This Row],[Data de Validade]])</f>
        <v>8</v>
      </c>
      <c r="J151" s="101">
        <v>52601</v>
      </c>
      <c r="K151" s="87" t="s">
        <v>11</v>
      </c>
      <c r="L151" s="108"/>
      <c r="M151" s="108"/>
      <c r="N151" s="108" t="str">
        <v>H323P851</v>
      </c>
      <c r="O151" s="108">
        <f t="shared" si="4"/>
        <v>1</v>
      </c>
      <c r="P151" s="108"/>
      <c r="Q151"/>
    </row>
    <row r="152" spans="1:17" x14ac:dyDescent="0.25">
      <c r="A152" s="89" t="s">
        <v>6876</v>
      </c>
      <c r="B152" s="87" t="s">
        <v>6877</v>
      </c>
      <c r="C152" s="87" t="s">
        <v>12</v>
      </c>
      <c r="D152" s="87" t="str">
        <f>VLOOKUP(Tabela1[[#This Row],[Origem]], 'Perguntas 1 a 24'!$J$28:$K$34, 2, 0)</f>
        <v>Sudeste</v>
      </c>
      <c r="E152" s="87" t="str">
        <f>Tabela1[[#This Row],[Descrição]]&amp;"-"&amp;Tabela1[[#This Row],[Código]]&amp;"/"&amp;Tabela1[[#This Row],[Origem]]</f>
        <v>Medupife-P945H472/RJ</v>
      </c>
      <c r="F152" s="88">
        <v>45528</v>
      </c>
      <c r="G152" s="88" t="str" cm="1">
        <f t="array" ref="G1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AND(F152&gt;= DATE(2026,1,1), F152&lt;= DATE(2028, 12, 31), J152&gt;50000), "Pendente e Caro", AND(F152&gt;= DATE(2026,1,1), F152&lt;= DATE(2028, 12, 31), J152&lt;=50000), "Pendente", F152&gt;= DATE(2029,1,1), "Não prioeitário")</f>
        <v>Urgente e Caro</v>
      </c>
      <c r="H152" s="89">
        <f>YEAR(Tabela1[[#This Row],[Data de Validade]])</f>
        <v>2024</v>
      </c>
      <c r="I152" s="89">
        <f>MONTH(Tabela1[[#This Row],[Data de Validade]])</f>
        <v>8</v>
      </c>
      <c r="J152" s="101">
        <v>107212</v>
      </c>
      <c r="K152" s="87" t="s">
        <v>7</v>
      </c>
      <c r="L152" s="108"/>
      <c r="M152" s="108"/>
      <c r="N152" s="108" t="str">
        <v>P945H472</v>
      </c>
      <c r="O152" s="108">
        <f t="shared" si="4"/>
        <v>1</v>
      </c>
      <c r="P152" s="108"/>
      <c r="Q152"/>
    </row>
    <row r="153" spans="1:17" x14ac:dyDescent="0.25">
      <c r="A153" s="89" t="s">
        <v>4034</v>
      </c>
      <c r="B153" s="87" t="s">
        <v>4035</v>
      </c>
      <c r="C153" s="87" t="s">
        <v>13</v>
      </c>
      <c r="D153" s="87" t="str">
        <f>VLOOKUP(Tabela1[[#This Row],[Origem]], 'Perguntas 1 a 24'!$J$28:$K$34, 2, 0)</f>
        <v>Sudeste</v>
      </c>
      <c r="E153" s="87" t="str">
        <f>Tabela1[[#This Row],[Descrição]]&amp;"-"&amp;Tabela1[[#This Row],[Código]]&amp;"/"&amp;Tabela1[[#This Row],[Origem]]</f>
        <v>Ruponi-H915P599/SP</v>
      </c>
      <c r="F153" s="88">
        <v>45529</v>
      </c>
      <c r="G153" s="88" t="str" cm="1">
        <f t="array" ref="G1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AND(F153&gt;= DATE(2026,1,1), F153&lt;= DATE(2028, 12, 31), J153&gt;50000), "Pendente e Caro", AND(F153&gt;= DATE(2026,1,1), F153&lt;= DATE(2028, 12, 31), J153&lt;=50000), "Pendente", F153&gt;= DATE(2029,1,1), "Não prioeitário")</f>
        <v>Urgente e Caro</v>
      </c>
      <c r="H153" s="89">
        <f>YEAR(Tabela1[[#This Row],[Data de Validade]])</f>
        <v>2024</v>
      </c>
      <c r="I153" s="89">
        <f>MONTH(Tabela1[[#This Row],[Data de Validade]])</f>
        <v>8</v>
      </c>
      <c r="J153" s="101">
        <v>50596</v>
      </c>
      <c r="K153" s="87" t="s">
        <v>14</v>
      </c>
      <c r="L153" s="108"/>
      <c r="M153" s="108"/>
      <c r="N153" s="108" t="str">
        <v>H915P599</v>
      </c>
      <c r="O153" s="108">
        <f t="shared" si="4"/>
        <v>1</v>
      </c>
      <c r="P153" s="108"/>
      <c r="Q153"/>
    </row>
    <row r="154" spans="1:17" x14ac:dyDescent="0.25">
      <c r="A154" s="89" t="s">
        <v>10185</v>
      </c>
      <c r="B154" s="87" t="s">
        <v>10186</v>
      </c>
      <c r="C154" s="87" t="s">
        <v>13</v>
      </c>
      <c r="D154" s="87" t="str">
        <f>VLOOKUP(Tabela1[[#This Row],[Origem]], 'Perguntas 1 a 24'!$J$28:$K$34, 2, 0)</f>
        <v>Sudeste</v>
      </c>
      <c r="E154" s="87" t="str">
        <f>Tabela1[[#This Row],[Descrição]]&amp;"-"&amp;Tabela1[[#This Row],[Código]]&amp;"/"&amp;Tabela1[[#This Row],[Origem]]</f>
        <v>Dinice-P333P955/SP</v>
      </c>
      <c r="F154" s="88">
        <v>45531</v>
      </c>
      <c r="G154" s="88" t="str" cm="1">
        <f t="array" ref="G1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AND(F154&gt;= DATE(2026,1,1), F154&lt;= DATE(2028, 12, 31), J154&gt;50000), "Pendente e Caro", AND(F154&gt;= DATE(2026,1,1), F154&lt;= DATE(2028, 12, 31), J154&lt;=50000), "Pendente", F154&gt;= DATE(2029,1,1), "Não prioeitário")</f>
        <v>Urgente</v>
      </c>
      <c r="H154" s="89">
        <f>YEAR(Tabela1[[#This Row],[Data de Validade]])</f>
        <v>2024</v>
      </c>
      <c r="I154" s="89">
        <f>MONTH(Tabela1[[#This Row],[Data de Validade]])</f>
        <v>8</v>
      </c>
      <c r="J154" s="101">
        <v>32541</v>
      </c>
      <c r="K154" s="87" t="s">
        <v>11</v>
      </c>
      <c r="L154" s="108"/>
      <c r="M154" s="108"/>
      <c r="N154" s="108" t="str">
        <v>P333P955</v>
      </c>
      <c r="O154" s="108">
        <f t="shared" si="4"/>
        <v>1</v>
      </c>
      <c r="P154" s="108"/>
      <c r="Q154"/>
    </row>
    <row r="155" spans="1:17" x14ac:dyDescent="0.25">
      <c r="A155" s="89" t="s">
        <v>9869</v>
      </c>
      <c r="B155" s="87" t="s">
        <v>9870</v>
      </c>
      <c r="C155" s="87" t="s">
        <v>6</v>
      </c>
      <c r="D155" s="87" t="str">
        <f>VLOOKUP(Tabela1[[#This Row],[Origem]], 'Perguntas 1 a 24'!$J$28:$K$34, 2, 0)</f>
        <v>Nordeste</v>
      </c>
      <c r="E155" s="87" t="str">
        <f>Tabela1[[#This Row],[Descrição]]&amp;"-"&amp;Tabela1[[#This Row],[Código]]&amp;"/"&amp;Tabela1[[#This Row],[Origem]]</f>
        <v>Venetefe-P369H315/MA</v>
      </c>
      <c r="F155" s="88">
        <v>45533</v>
      </c>
      <c r="G155" s="88" t="str" cm="1">
        <f t="array" ref="G1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AND(F155&gt;= DATE(2026,1,1), F155&lt;= DATE(2028, 12, 31), J155&gt;50000), "Pendente e Caro", AND(F155&gt;= DATE(2026,1,1), F155&lt;= DATE(2028, 12, 31), J155&lt;=50000), "Pendente", F155&gt;= DATE(2029,1,1), "Não prioeitário")</f>
        <v>Urgente e Caro</v>
      </c>
      <c r="H155" s="89">
        <f>YEAR(Tabela1[[#This Row],[Data de Validade]])</f>
        <v>2024</v>
      </c>
      <c r="I155" s="89">
        <f>MONTH(Tabela1[[#This Row],[Data de Validade]])</f>
        <v>8</v>
      </c>
      <c r="J155" s="101">
        <v>114079</v>
      </c>
      <c r="K155" s="87" t="s">
        <v>9</v>
      </c>
      <c r="L155" s="108"/>
      <c r="M155" s="108"/>
      <c r="N155" s="108" t="str">
        <v>P369H315</v>
      </c>
      <c r="O155" s="108">
        <f t="shared" si="4"/>
        <v>1</v>
      </c>
      <c r="P155" s="108"/>
      <c r="Q155"/>
    </row>
    <row r="156" spans="1:17" x14ac:dyDescent="0.25">
      <c r="A156" s="89" t="s">
        <v>5666</v>
      </c>
      <c r="B156" s="87" t="s">
        <v>5667</v>
      </c>
      <c r="C156" s="87" t="s">
        <v>6</v>
      </c>
      <c r="D156" s="87" t="str">
        <f>VLOOKUP(Tabela1[[#This Row],[Origem]], 'Perguntas 1 a 24'!$J$28:$K$34, 2, 0)</f>
        <v>Nordeste</v>
      </c>
      <c r="E156" s="87" t="str">
        <f>Tabela1[[#This Row],[Descrição]]&amp;"-"&amp;Tabela1[[#This Row],[Código]]&amp;"/"&amp;Tabela1[[#This Row],[Origem]]</f>
        <v>Terunoru-H662H736/MA</v>
      </c>
      <c r="F156" s="88">
        <v>45533</v>
      </c>
      <c r="G156" s="88" t="str" cm="1">
        <f t="array" ref="G1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AND(F156&gt;= DATE(2026,1,1), F156&lt;= DATE(2028, 12, 31), J156&gt;50000), "Pendente e Caro", AND(F156&gt;= DATE(2026,1,1), F156&lt;= DATE(2028, 12, 31), J156&lt;=50000), "Pendente", F156&gt;= DATE(2029,1,1), "Não prioeitário")</f>
        <v>Urgente e Caro</v>
      </c>
      <c r="H156" s="89">
        <f>YEAR(Tabela1[[#This Row],[Data de Validade]])</f>
        <v>2024</v>
      </c>
      <c r="I156" s="89">
        <f>MONTH(Tabela1[[#This Row],[Data de Validade]])</f>
        <v>8</v>
      </c>
      <c r="J156" s="101">
        <v>84399</v>
      </c>
      <c r="K156" s="87" t="s">
        <v>9</v>
      </c>
      <c r="L156" s="108"/>
      <c r="M156" s="108"/>
      <c r="N156" s="108" t="str">
        <v>H662H736</v>
      </c>
      <c r="O156" s="108">
        <f t="shared" si="4"/>
        <v>1</v>
      </c>
      <c r="P156" s="108"/>
      <c r="Q156"/>
    </row>
    <row r="157" spans="1:17" x14ac:dyDescent="0.25">
      <c r="A157" s="89" t="s">
        <v>6486</v>
      </c>
      <c r="B157" s="87" t="s">
        <v>6487</v>
      </c>
      <c r="C157" s="87" t="s">
        <v>12</v>
      </c>
      <c r="D157" s="87" t="str">
        <f>VLOOKUP(Tabela1[[#This Row],[Origem]], 'Perguntas 1 a 24'!$J$28:$K$34, 2, 0)</f>
        <v>Sudeste</v>
      </c>
      <c r="E157" s="87" t="str">
        <f>Tabela1[[#This Row],[Descrição]]&amp;"-"&amp;Tabela1[[#This Row],[Código]]&amp;"/"&amp;Tabela1[[#This Row],[Origem]]</f>
        <v>Corire-P769H671/RJ</v>
      </c>
      <c r="F157" s="88">
        <v>45533</v>
      </c>
      <c r="G157" s="88" t="str" cm="1">
        <f t="array" ref="G1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AND(F157&gt;= DATE(2026,1,1), F157&lt;= DATE(2028, 12, 31), J157&gt;50000), "Pendente e Caro", AND(F157&gt;= DATE(2026,1,1), F157&lt;= DATE(2028, 12, 31), J157&lt;=50000), "Pendente", F157&gt;= DATE(2029,1,1), "Não prioeitário")</f>
        <v>Urgente e Caro</v>
      </c>
      <c r="H157" s="89">
        <f>YEAR(Tabela1[[#This Row],[Data de Validade]])</f>
        <v>2024</v>
      </c>
      <c r="I157" s="89">
        <f>MONTH(Tabela1[[#This Row],[Data de Validade]])</f>
        <v>8</v>
      </c>
      <c r="J157" s="101">
        <v>59649</v>
      </c>
      <c r="K157" s="87" t="s">
        <v>9</v>
      </c>
      <c r="L157" s="108"/>
      <c r="M157" s="108"/>
      <c r="N157" s="108" t="str">
        <v>P769H671</v>
      </c>
      <c r="O157" s="108">
        <f t="shared" si="4"/>
        <v>1</v>
      </c>
      <c r="P157" s="108"/>
      <c r="Q157"/>
    </row>
    <row r="158" spans="1:17" x14ac:dyDescent="0.25">
      <c r="A158" s="89" t="s">
        <v>4379</v>
      </c>
      <c r="B158" s="87" t="s">
        <v>4380</v>
      </c>
      <c r="C158" s="87" t="s">
        <v>6</v>
      </c>
      <c r="D158" s="87" t="str">
        <f>VLOOKUP(Tabela1[[#This Row],[Origem]], 'Perguntas 1 a 24'!$J$28:$K$34, 2, 0)</f>
        <v>Nordeste</v>
      </c>
      <c r="E158" s="87" t="str">
        <f>Tabela1[[#This Row],[Descrição]]&amp;"-"&amp;Tabela1[[#This Row],[Código]]&amp;"/"&amp;Tabela1[[#This Row],[Origem]]</f>
        <v>Titopapupa-P266P292/MA</v>
      </c>
      <c r="F158" s="88">
        <v>45533</v>
      </c>
      <c r="G158" s="88" t="str" cm="1">
        <f t="array" ref="G1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AND(F158&gt;= DATE(2026,1,1), F158&lt;= DATE(2028, 12, 31), J158&gt;50000), "Pendente e Caro", AND(F158&gt;= DATE(2026,1,1), F158&lt;= DATE(2028, 12, 31), J158&lt;=50000), "Pendente", F158&gt;= DATE(2029,1,1), "Não prioeitário")</f>
        <v>Urgente</v>
      </c>
      <c r="H158" s="89">
        <f>YEAR(Tabela1[[#This Row],[Data de Validade]])</f>
        <v>2024</v>
      </c>
      <c r="I158" s="89">
        <f>MONTH(Tabela1[[#This Row],[Data de Validade]])</f>
        <v>8</v>
      </c>
      <c r="J158" s="101">
        <v>22418</v>
      </c>
      <c r="K158" s="87" t="s">
        <v>11</v>
      </c>
      <c r="L158" s="108"/>
      <c r="M158" s="108"/>
      <c r="N158" s="108" t="str">
        <v>P266P292</v>
      </c>
      <c r="O158" s="108">
        <f t="shared" si="4"/>
        <v>1</v>
      </c>
      <c r="P158" s="108"/>
      <c r="Q158"/>
    </row>
    <row r="159" spans="1:17" x14ac:dyDescent="0.25">
      <c r="A159" s="89" t="s">
        <v>9765</v>
      </c>
      <c r="B159" s="87" t="s">
        <v>9766</v>
      </c>
      <c r="C159" s="87" t="s">
        <v>15</v>
      </c>
      <c r="D159" s="87" t="str">
        <f>VLOOKUP(Tabela1[[#This Row],[Origem]], 'Perguntas 1 a 24'!$J$28:$K$34, 2, 0)</f>
        <v>Sudeste</v>
      </c>
      <c r="E159" s="87" t="str">
        <f>Tabela1[[#This Row],[Descrição]]&amp;"-"&amp;Tabela1[[#This Row],[Código]]&amp;"/"&amp;Tabela1[[#This Row],[Origem]]</f>
        <v>Pegafinoto-H924P398/ES</v>
      </c>
      <c r="F159" s="88">
        <v>45536</v>
      </c>
      <c r="G159" s="88" t="str" cm="1">
        <f t="array" ref="G1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AND(F159&gt;= DATE(2026,1,1), F159&lt;= DATE(2028, 12, 31), J159&gt;50000), "Pendente e Caro", AND(F159&gt;= DATE(2026,1,1), F159&lt;= DATE(2028, 12, 31), J159&lt;=50000), "Pendente", F159&gt;= DATE(2029,1,1), "Não prioeitário")</f>
        <v>Urgente e Caro</v>
      </c>
      <c r="H159" s="89">
        <f>YEAR(Tabela1[[#This Row],[Data de Validade]])</f>
        <v>2024</v>
      </c>
      <c r="I159" s="89">
        <f>MONTH(Tabela1[[#This Row],[Data de Validade]])</f>
        <v>9</v>
      </c>
      <c r="J159" s="101">
        <v>96126</v>
      </c>
      <c r="K159" s="87" t="s">
        <v>7</v>
      </c>
      <c r="L159" s="108"/>
      <c r="M159" s="108"/>
      <c r="N159" s="108" t="str">
        <v>H924P398</v>
      </c>
      <c r="O159" s="108">
        <f t="shared" si="4"/>
        <v>1</v>
      </c>
      <c r="P159" s="108"/>
      <c r="Q159"/>
    </row>
    <row r="160" spans="1:17" x14ac:dyDescent="0.25">
      <c r="A160" s="89" t="s">
        <v>7598</v>
      </c>
      <c r="B160" s="87" t="s">
        <v>7599</v>
      </c>
      <c r="C160" s="87" t="s">
        <v>6</v>
      </c>
      <c r="D160" s="87" t="str">
        <f>VLOOKUP(Tabela1[[#This Row],[Origem]], 'Perguntas 1 a 24'!$J$28:$K$34, 2, 0)</f>
        <v>Nordeste</v>
      </c>
      <c r="E160" s="87" t="str">
        <f>Tabela1[[#This Row],[Descrição]]&amp;"-"&amp;Tabela1[[#This Row],[Código]]&amp;"/"&amp;Tabela1[[#This Row],[Origem]]</f>
        <v>Puvipadici-P133P673/MA</v>
      </c>
      <c r="F160" s="88">
        <v>45536</v>
      </c>
      <c r="G160" s="88" t="str" cm="1">
        <f t="array" ref="G1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AND(F160&gt;= DATE(2026,1,1), F160&lt;= DATE(2028, 12, 31), J160&gt;50000), "Pendente e Caro", AND(F160&gt;= DATE(2026,1,1), F160&lt;= DATE(2028, 12, 31), J160&lt;=50000), "Pendente", F160&gt;= DATE(2029,1,1), "Não prioeitário")</f>
        <v>Urgente e Caro</v>
      </c>
      <c r="H160" s="89">
        <f>YEAR(Tabela1[[#This Row],[Data de Validade]])</f>
        <v>2024</v>
      </c>
      <c r="I160" s="89">
        <f>MONTH(Tabela1[[#This Row],[Data de Validade]])</f>
        <v>9</v>
      </c>
      <c r="J160" s="101">
        <v>66087</v>
      </c>
      <c r="K160" s="87" t="s">
        <v>9</v>
      </c>
      <c r="L160" s="108"/>
      <c r="M160" s="108"/>
      <c r="N160" s="108" t="str">
        <v>P133P673</v>
      </c>
      <c r="O160" s="108">
        <f t="shared" si="4"/>
        <v>1</v>
      </c>
      <c r="P160" s="108"/>
      <c r="Q160"/>
    </row>
    <row r="161" spans="1:17" x14ac:dyDescent="0.25">
      <c r="A161" s="89" t="s">
        <v>7054</v>
      </c>
      <c r="B161" s="87" t="s">
        <v>7055</v>
      </c>
      <c r="C161" s="87" t="s">
        <v>6</v>
      </c>
      <c r="D161" s="87" t="str">
        <f>VLOOKUP(Tabela1[[#This Row],[Origem]], 'Perguntas 1 a 24'!$J$28:$K$34, 2, 0)</f>
        <v>Nordeste</v>
      </c>
      <c r="E161" s="87" t="str">
        <f>Tabela1[[#This Row],[Descrição]]&amp;"-"&amp;Tabela1[[#This Row],[Código]]&amp;"/"&amp;Tabela1[[#This Row],[Origem]]</f>
        <v>Tonuparo-H422H359/MA</v>
      </c>
      <c r="F161" s="88">
        <v>45537</v>
      </c>
      <c r="G161" s="88" t="str" cm="1">
        <f t="array" ref="G1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AND(F161&gt;= DATE(2026,1,1), F161&lt;= DATE(2028, 12, 31), J161&gt;50000), "Pendente e Caro", AND(F161&gt;= DATE(2026,1,1), F161&lt;= DATE(2028, 12, 31), J161&lt;=50000), "Pendente", F161&gt;= DATE(2029,1,1), "Não prioeitário")</f>
        <v>Urgente e Caro</v>
      </c>
      <c r="H161" s="89">
        <f>YEAR(Tabela1[[#This Row],[Data de Validade]])</f>
        <v>2024</v>
      </c>
      <c r="I161" s="89">
        <f>MONTH(Tabela1[[#This Row],[Data de Validade]])</f>
        <v>9</v>
      </c>
      <c r="J161" s="101">
        <v>110375</v>
      </c>
      <c r="K161" s="87" t="s">
        <v>9</v>
      </c>
      <c r="L161" s="108"/>
      <c r="M161" s="108"/>
      <c r="N161" s="108" t="str">
        <v>H422H359</v>
      </c>
      <c r="O161" s="108">
        <f t="shared" si="4"/>
        <v>1</v>
      </c>
      <c r="P161" s="108"/>
      <c r="Q161"/>
    </row>
    <row r="162" spans="1:17" x14ac:dyDescent="0.25">
      <c r="A162" s="89" t="s">
        <v>10331</v>
      </c>
      <c r="B162" s="87" t="s">
        <v>10332</v>
      </c>
      <c r="C162" s="87" t="s">
        <v>8</v>
      </c>
      <c r="D162" s="87" t="str">
        <f>VLOOKUP(Tabela1[[#This Row],[Origem]], 'Perguntas 1 a 24'!$J$28:$K$34, 2, 0)</f>
        <v>Nordeste</v>
      </c>
      <c r="E162" s="87" t="str">
        <f>Tabela1[[#This Row],[Descrição]]&amp;"-"&amp;Tabela1[[#This Row],[Código]]&amp;"/"&amp;Tabela1[[#This Row],[Origem]]</f>
        <v>Fenulemoro-H264H542/AL</v>
      </c>
      <c r="F162" s="88">
        <v>45537</v>
      </c>
      <c r="G162" s="88" t="str" cm="1">
        <f t="array" ref="G1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AND(F162&gt;= DATE(2026,1,1), F162&lt;= DATE(2028, 12, 31), J162&gt;50000), "Pendente e Caro", AND(F162&gt;= DATE(2026,1,1), F162&lt;= DATE(2028, 12, 31), J162&lt;=50000), "Pendente", F162&gt;= DATE(2029,1,1), "Não prioeitário")</f>
        <v>Urgente e Caro</v>
      </c>
      <c r="H162" s="89">
        <f>YEAR(Tabela1[[#This Row],[Data de Validade]])</f>
        <v>2024</v>
      </c>
      <c r="I162" s="89">
        <f>MONTH(Tabela1[[#This Row],[Data de Validade]])</f>
        <v>9</v>
      </c>
      <c r="J162" s="101">
        <v>95199</v>
      </c>
      <c r="K162" s="87" t="s">
        <v>9</v>
      </c>
      <c r="L162" s="108"/>
      <c r="M162" s="108"/>
      <c r="N162" s="108" t="str">
        <v>H264H542</v>
      </c>
      <c r="O162" s="108">
        <f t="shared" si="4"/>
        <v>1</v>
      </c>
      <c r="P162" s="108"/>
      <c r="Q162"/>
    </row>
    <row r="163" spans="1:17" x14ac:dyDescent="0.25">
      <c r="A163" s="89" t="s">
        <v>4000</v>
      </c>
      <c r="B163" s="87" t="s">
        <v>4001</v>
      </c>
      <c r="C163" s="87" t="s">
        <v>6</v>
      </c>
      <c r="D163" s="87" t="str">
        <f>VLOOKUP(Tabela1[[#This Row],[Origem]], 'Perguntas 1 a 24'!$J$28:$K$34, 2, 0)</f>
        <v>Nordeste</v>
      </c>
      <c r="E163" s="87" t="str">
        <f>Tabela1[[#This Row],[Descrição]]&amp;"-"&amp;Tabela1[[#This Row],[Código]]&amp;"/"&amp;Tabela1[[#This Row],[Origem]]</f>
        <v>Povipi-H915P173/MA</v>
      </c>
      <c r="F163" s="88">
        <v>45537</v>
      </c>
      <c r="G163" s="88" t="str" cm="1">
        <f t="array" ref="G1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AND(F163&gt;= DATE(2026,1,1), F163&lt;= DATE(2028, 12, 31), J163&gt;50000), "Pendente e Caro", AND(F163&gt;= DATE(2026,1,1), F163&lt;= DATE(2028, 12, 31), J163&lt;=50000), "Pendente", F163&gt;= DATE(2029,1,1), "Não prioeitário")</f>
        <v>Urgente</v>
      </c>
      <c r="H163" s="89">
        <f>YEAR(Tabela1[[#This Row],[Data de Validade]])</f>
        <v>2024</v>
      </c>
      <c r="I163" s="89">
        <f>MONTH(Tabela1[[#This Row],[Data de Validade]])</f>
        <v>9</v>
      </c>
      <c r="J163" s="101">
        <v>33764</v>
      </c>
      <c r="K163" s="87" t="s">
        <v>11</v>
      </c>
      <c r="L163" s="108"/>
      <c r="M163" s="108"/>
      <c r="N163" s="108" t="str">
        <v>H915P173</v>
      </c>
      <c r="O163" s="108">
        <f t="shared" si="4"/>
        <v>1</v>
      </c>
      <c r="P163" s="108"/>
      <c r="Q163"/>
    </row>
    <row r="164" spans="1:17" x14ac:dyDescent="0.25">
      <c r="A164" s="89" t="s">
        <v>3874</v>
      </c>
      <c r="B164" s="87" t="s">
        <v>3875</v>
      </c>
      <c r="C164" s="87" t="s">
        <v>8</v>
      </c>
      <c r="D164" s="87" t="str">
        <f>VLOOKUP(Tabela1[[#This Row],[Origem]], 'Perguntas 1 a 24'!$J$28:$K$34, 2, 0)</f>
        <v>Nordeste</v>
      </c>
      <c r="E164" s="87" t="str">
        <f>Tabela1[[#This Row],[Descrição]]&amp;"-"&amp;Tabela1[[#This Row],[Código]]&amp;"/"&amp;Tabela1[[#This Row],[Origem]]</f>
        <v>Lucaturene-H243H839/AL</v>
      </c>
      <c r="F164" s="88">
        <v>45538</v>
      </c>
      <c r="G164" s="88" t="str" cm="1">
        <f t="array" ref="G1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AND(F164&gt;= DATE(2026,1,1), F164&lt;= DATE(2028, 12, 31), J164&gt;50000), "Pendente e Caro", AND(F164&gt;= DATE(2026,1,1), F164&lt;= DATE(2028, 12, 31), J164&lt;=50000), "Pendente", F164&gt;= DATE(2029,1,1), "Não prioeitário")</f>
        <v>Urgente e Caro</v>
      </c>
      <c r="H164" s="89">
        <f>YEAR(Tabela1[[#This Row],[Data de Validade]])</f>
        <v>2024</v>
      </c>
      <c r="I164" s="89">
        <f>MONTH(Tabela1[[#This Row],[Data de Validade]])</f>
        <v>9</v>
      </c>
      <c r="J164" s="101">
        <v>98907</v>
      </c>
      <c r="K164" s="87" t="s">
        <v>14</v>
      </c>
      <c r="L164" s="108"/>
      <c r="M164" s="108"/>
      <c r="N164" s="108" t="str">
        <v>H243H839</v>
      </c>
      <c r="O164" s="108">
        <f t="shared" si="4"/>
        <v>1</v>
      </c>
      <c r="P164" s="108"/>
      <c r="Q164"/>
    </row>
    <row r="165" spans="1:17" x14ac:dyDescent="0.25">
      <c r="A165" s="89" t="s">
        <v>5934</v>
      </c>
      <c r="B165" s="87" t="s">
        <v>5935</v>
      </c>
      <c r="C165" s="87" t="s">
        <v>13</v>
      </c>
      <c r="D165" s="87" t="str">
        <f>VLOOKUP(Tabela1[[#This Row],[Origem]], 'Perguntas 1 a 24'!$J$28:$K$34, 2, 0)</f>
        <v>Sudeste</v>
      </c>
      <c r="E165" s="87" t="str">
        <f>Tabela1[[#This Row],[Descrição]]&amp;"-"&amp;Tabela1[[#This Row],[Código]]&amp;"/"&amp;Tabela1[[#This Row],[Origem]]</f>
        <v>Malirece-P929P992/SP</v>
      </c>
      <c r="F165" s="88">
        <v>45539</v>
      </c>
      <c r="G165" s="88" t="str" cm="1">
        <f t="array" ref="G1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AND(F165&gt;= DATE(2026,1,1), F165&lt;= DATE(2028, 12, 31), J165&gt;50000), "Pendente e Caro", AND(F165&gt;= DATE(2026,1,1), F165&lt;= DATE(2028, 12, 31), J165&lt;=50000), "Pendente", F165&gt;= DATE(2029,1,1), "Não prioeitário")</f>
        <v>Urgente e Caro</v>
      </c>
      <c r="H165" s="89">
        <f>YEAR(Tabela1[[#This Row],[Data de Validade]])</f>
        <v>2024</v>
      </c>
      <c r="I165" s="89">
        <f>MONTH(Tabela1[[#This Row],[Data de Validade]])</f>
        <v>9</v>
      </c>
      <c r="J165" s="101">
        <v>52762</v>
      </c>
      <c r="K165" s="87" t="s">
        <v>11</v>
      </c>
      <c r="L165" s="108"/>
      <c r="M165" s="108"/>
      <c r="N165" s="108" t="str">
        <v>P929P992</v>
      </c>
      <c r="O165" s="108">
        <f t="shared" si="4"/>
        <v>1</v>
      </c>
      <c r="P165" s="108"/>
      <c r="Q165"/>
    </row>
    <row r="166" spans="1:17" x14ac:dyDescent="0.25">
      <c r="A166" s="89" t="s">
        <v>7426</v>
      </c>
      <c r="B166" s="87" t="s">
        <v>7427</v>
      </c>
      <c r="C166" s="87" t="s">
        <v>8</v>
      </c>
      <c r="D166" s="87" t="str">
        <f>VLOOKUP(Tabela1[[#This Row],[Origem]], 'Perguntas 1 a 24'!$J$28:$K$34, 2, 0)</f>
        <v>Nordeste</v>
      </c>
      <c r="E166" s="87" t="str">
        <f>Tabela1[[#This Row],[Descrição]]&amp;"-"&amp;Tabela1[[#This Row],[Código]]&amp;"/"&amp;Tabela1[[#This Row],[Origem]]</f>
        <v>Curivi-H488H179/AL</v>
      </c>
      <c r="F166" s="88">
        <v>45539</v>
      </c>
      <c r="G166" s="88" t="str" cm="1">
        <f t="array" ref="G1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AND(F166&gt;= DATE(2026,1,1), F166&lt;= DATE(2028, 12, 31), J166&gt;50000), "Pendente e Caro", AND(F166&gt;= DATE(2026,1,1), F166&lt;= DATE(2028, 12, 31), J166&lt;=50000), "Pendente", F166&gt;= DATE(2029,1,1), "Não prioeitário")</f>
        <v>Urgente</v>
      </c>
      <c r="H166" s="89">
        <f>YEAR(Tabela1[[#This Row],[Data de Validade]])</f>
        <v>2024</v>
      </c>
      <c r="I166" s="89">
        <f>MONTH(Tabela1[[#This Row],[Data de Validade]])</f>
        <v>9</v>
      </c>
      <c r="J166" s="101">
        <v>37397</v>
      </c>
      <c r="K166" s="87" t="s">
        <v>7</v>
      </c>
      <c r="L166" s="108"/>
      <c r="M166" s="108"/>
      <c r="N166" s="108" t="str">
        <v>H488H179</v>
      </c>
      <c r="O166" s="108">
        <f t="shared" si="4"/>
        <v>1</v>
      </c>
      <c r="P166" s="108"/>
      <c r="Q166"/>
    </row>
    <row r="167" spans="1:17" x14ac:dyDescent="0.25">
      <c r="A167" s="89" t="s">
        <v>10299</v>
      </c>
      <c r="B167" s="87" t="s">
        <v>10300</v>
      </c>
      <c r="C167" s="87" t="s">
        <v>16</v>
      </c>
      <c r="D167" s="87" t="str">
        <f>VLOOKUP(Tabela1[[#This Row],[Origem]], 'Perguntas 1 a 24'!$J$28:$K$34, 2, 0)</f>
        <v>Sudeste</v>
      </c>
      <c r="E167" s="87" t="str">
        <f>Tabela1[[#This Row],[Descrição]]&amp;"-"&amp;Tabela1[[#This Row],[Código]]&amp;"/"&amp;Tabela1[[#This Row],[Origem]]</f>
        <v>Pupanate-P889P116/MG</v>
      </c>
      <c r="F167" s="88">
        <v>45539</v>
      </c>
      <c r="G167" s="88" t="str" cm="1">
        <f t="array" ref="G1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AND(F167&gt;= DATE(2026,1,1), F167&lt;= DATE(2028, 12, 31), J167&gt;50000), "Pendente e Caro", AND(F167&gt;= DATE(2026,1,1), F167&lt;= DATE(2028, 12, 31), J167&lt;=50000), "Pendente", F167&gt;= DATE(2029,1,1), "Não prioeitário")</f>
        <v>Urgente</v>
      </c>
      <c r="H167" s="89">
        <f>YEAR(Tabela1[[#This Row],[Data de Validade]])</f>
        <v>2024</v>
      </c>
      <c r="I167" s="89">
        <f>MONTH(Tabela1[[#This Row],[Data de Validade]])</f>
        <v>9</v>
      </c>
      <c r="J167" s="101">
        <v>21540</v>
      </c>
      <c r="K167" s="87" t="s">
        <v>11</v>
      </c>
      <c r="L167" s="108"/>
      <c r="M167" s="108"/>
      <c r="N167" s="108" t="str">
        <v>P889P116</v>
      </c>
      <c r="O167" s="108">
        <f t="shared" si="4"/>
        <v>1</v>
      </c>
      <c r="P167" s="108"/>
      <c r="Q167"/>
    </row>
    <row r="168" spans="1:17" x14ac:dyDescent="0.25">
      <c r="A168" s="89" t="s">
        <v>9089</v>
      </c>
      <c r="B168" s="87" t="s">
        <v>9090</v>
      </c>
      <c r="C168" s="87" t="s">
        <v>10</v>
      </c>
      <c r="D168" s="87" t="str">
        <f>VLOOKUP(Tabela1[[#This Row],[Origem]], 'Perguntas 1 a 24'!$J$28:$K$34, 2, 0)</f>
        <v>Centro-Oeste</v>
      </c>
      <c r="E168" s="87" t="str">
        <f>Tabela1[[#This Row],[Descrição]]&amp;"-"&amp;Tabela1[[#This Row],[Código]]&amp;"/"&amp;Tabela1[[#This Row],[Origem]]</f>
        <v>Topefite-H885H379/GO</v>
      </c>
      <c r="F168" s="88">
        <v>45539</v>
      </c>
      <c r="G168" s="88" t="str" cm="1">
        <f t="array" ref="G1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AND(F168&gt;= DATE(2026,1,1), F168&lt;= DATE(2028, 12, 31), J168&gt;50000), "Pendente e Caro", AND(F168&gt;= DATE(2026,1,1), F168&lt;= DATE(2028, 12, 31), J168&lt;=50000), "Pendente", F168&gt;= DATE(2029,1,1), "Não prioeitário")</f>
        <v>Urgente</v>
      </c>
      <c r="H168" s="89">
        <f>YEAR(Tabela1[[#This Row],[Data de Validade]])</f>
        <v>2024</v>
      </c>
      <c r="I168" s="89">
        <f>MONTH(Tabela1[[#This Row],[Data de Validade]])</f>
        <v>9</v>
      </c>
      <c r="J168" s="101">
        <v>20130</v>
      </c>
      <c r="K168" s="87" t="s">
        <v>9</v>
      </c>
      <c r="L168" s="108"/>
      <c r="M168" s="108"/>
      <c r="N168" s="108" t="str">
        <v>H885H379</v>
      </c>
      <c r="O168" s="108">
        <f t="shared" si="4"/>
        <v>1</v>
      </c>
      <c r="P168" s="108"/>
      <c r="Q168"/>
    </row>
    <row r="169" spans="1:17" x14ac:dyDescent="0.25">
      <c r="A169" s="89" t="s">
        <v>4024</v>
      </c>
      <c r="B169" s="87" t="s">
        <v>4025</v>
      </c>
      <c r="C169" s="87" t="s">
        <v>13</v>
      </c>
      <c r="D169" s="87" t="str">
        <f>VLOOKUP(Tabela1[[#This Row],[Origem]], 'Perguntas 1 a 24'!$J$28:$K$34, 2, 0)</f>
        <v>Sudeste</v>
      </c>
      <c r="E169" s="87" t="str">
        <f>Tabela1[[#This Row],[Descrição]]&amp;"-"&amp;Tabela1[[#This Row],[Código]]&amp;"/"&amp;Tabela1[[#This Row],[Origem]]</f>
        <v>Lipiripo-P314P454/SP</v>
      </c>
      <c r="F169" s="88">
        <v>45540</v>
      </c>
      <c r="G169" s="88" t="str" cm="1">
        <f t="array" ref="G1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AND(F169&gt;= DATE(2026,1,1), F169&lt;= DATE(2028, 12, 31), J169&gt;50000), "Pendente e Caro", AND(F169&gt;= DATE(2026,1,1), F169&lt;= DATE(2028, 12, 31), J169&lt;=50000), "Pendente", F169&gt;= DATE(2029,1,1), "Não prioeitário")</f>
        <v>Urgente e Caro</v>
      </c>
      <c r="H169" s="89">
        <f>YEAR(Tabela1[[#This Row],[Data de Validade]])</f>
        <v>2024</v>
      </c>
      <c r="I169" s="89">
        <f>MONTH(Tabela1[[#This Row],[Data de Validade]])</f>
        <v>9</v>
      </c>
      <c r="J169" s="101">
        <v>57522</v>
      </c>
      <c r="K169" s="87" t="s">
        <v>7</v>
      </c>
      <c r="L169" s="108"/>
      <c r="M169" s="108"/>
      <c r="N169" s="108" t="str">
        <v>P314P454</v>
      </c>
      <c r="O169" s="108">
        <f t="shared" si="4"/>
        <v>1</v>
      </c>
      <c r="P169" s="108"/>
      <c r="Q169"/>
    </row>
    <row r="170" spans="1:17" x14ac:dyDescent="0.25">
      <c r="A170" s="89" t="s">
        <v>11188</v>
      </c>
      <c r="B170" s="87" t="s">
        <v>11189</v>
      </c>
      <c r="C170" s="87" t="s">
        <v>16</v>
      </c>
      <c r="D170" s="87" t="str">
        <f>VLOOKUP(Tabela1[[#This Row],[Origem]], 'Perguntas 1 a 24'!$J$28:$K$34, 2, 0)</f>
        <v>Sudeste</v>
      </c>
      <c r="E170" s="87" t="str">
        <f>Tabela1[[#This Row],[Descrição]]&amp;"-"&amp;Tabela1[[#This Row],[Código]]&amp;"/"&amp;Tabela1[[#This Row],[Origem]]</f>
        <v>Fotacemovo-P899P662/MG</v>
      </c>
      <c r="F170" s="88">
        <v>45540</v>
      </c>
      <c r="G170" s="88" t="str" cm="1">
        <f t="array" ref="G1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AND(F170&gt;= DATE(2026,1,1), F170&lt;= DATE(2028, 12, 31), J170&gt;50000), "Pendente e Caro", AND(F170&gt;= DATE(2026,1,1), F170&lt;= DATE(2028, 12, 31), J170&lt;=50000), "Pendente", F170&gt;= DATE(2029,1,1), "Não prioeitário")</f>
        <v>Urgente</v>
      </c>
      <c r="H170" s="89">
        <f>YEAR(Tabela1[[#This Row],[Data de Validade]])</f>
        <v>2024</v>
      </c>
      <c r="I170" s="89">
        <f>MONTH(Tabela1[[#This Row],[Data de Validade]])</f>
        <v>9</v>
      </c>
      <c r="J170" s="101">
        <v>33493</v>
      </c>
      <c r="K170" s="87" t="s">
        <v>7</v>
      </c>
      <c r="L170" s="108"/>
      <c r="M170" s="108"/>
      <c r="N170" s="108" t="str">
        <v>P899P662</v>
      </c>
      <c r="O170" s="108">
        <f t="shared" si="4"/>
        <v>1</v>
      </c>
      <c r="P170" s="108"/>
      <c r="Q170"/>
    </row>
    <row r="171" spans="1:17" x14ac:dyDescent="0.25">
      <c r="A171" s="89" t="s">
        <v>10773</v>
      </c>
      <c r="B171" s="87" t="s">
        <v>10774</v>
      </c>
      <c r="C171" s="87" t="s">
        <v>13</v>
      </c>
      <c r="D171" s="87" t="str">
        <f>VLOOKUP(Tabela1[[#This Row],[Origem]], 'Perguntas 1 a 24'!$J$28:$K$34, 2, 0)</f>
        <v>Sudeste</v>
      </c>
      <c r="E171" s="87" t="str">
        <f>Tabela1[[#This Row],[Descrição]]&amp;"-"&amp;Tabela1[[#This Row],[Código]]&amp;"/"&amp;Tabela1[[#This Row],[Origem]]</f>
        <v>Patuputupe-P521P968/SP</v>
      </c>
      <c r="F171" s="88">
        <v>45541</v>
      </c>
      <c r="G171" s="88" t="str" cm="1">
        <f t="array" ref="G1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AND(F171&gt;= DATE(2026,1,1), F171&lt;= DATE(2028, 12, 31), J171&gt;50000), "Pendente e Caro", AND(F171&gt;= DATE(2026,1,1), F171&lt;= DATE(2028, 12, 31), J171&lt;=50000), "Pendente", F171&gt;= DATE(2029,1,1), "Não prioeitário")</f>
        <v>Urgente e Caro</v>
      </c>
      <c r="H171" s="89">
        <f>YEAR(Tabela1[[#This Row],[Data de Validade]])</f>
        <v>2024</v>
      </c>
      <c r="I171" s="89">
        <f>MONTH(Tabela1[[#This Row],[Data de Validade]])</f>
        <v>9</v>
      </c>
      <c r="J171" s="101">
        <v>56433</v>
      </c>
      <c r="K171" s="87" t="s">
        <v>11</v>
      </c>
      <c r="L171" s="108"/>
      <c r="M171" s="108"/>
      <c r="N171" s="108" t="str">
        <v>P521P968</v>
      </c>
      <c r="O171" s="108">
        <f t="shared" si="4"/>
        <v>1</v>
      </c>
      <c r="P171" s="108"/>
      <c r="Q171"/>
    </row>
    <row r="172" spans="1:17" x14ac:dyDescent="0.25">
      <c r="A172" s="89" t="s">
        <v>5658</v>
      </c>
      <c r="B172" s="87" t="s">
        <v>5659</v>
      </c>
      <c r="C172" s="87" t="s">
        <v>10</v>
      </c>
      <c r="D172" s="87" t="str">
        <f>VLOOKUP(Tabela1[[#This Row],[Origem]], 'Perguntas 1 a 24'!$J$28:$K$34, 2, 0)</f>
        <v>Centro-Oeste</v>
      </c>
      <c r="E172" s="87" t="str">
        <f>Tabela1[[#This Row],[Descrição]]&amp;"-"&amp;Tabela1[[#This Row],[Código]]&amp;"/"&amp;Tabela1[[#This Row],[Origem]]</f>
        <v>Tulovo-H473P477/GO</v>
      </c>
      <c r="F172" s="88">
        <v>45543</v>
      </c>
      <c r="G172" s="88" t="str" cm="1">
        <f t="array" ref="G1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AND(F172&gt;= DATE(2026,1,1), F172&lt;= DATE(2028, 12, 31), J172&gt;50000), "Pendente e Caro", AND(F172&gt;= DATE(2026,1,1), F172&lt;= DATE(2028, 12, 31), J172&lt;=50000), "Pendente", F172&gt;= DATE(2029,1,1), "Não prioeitário")</f>
        <v>Urgente e Caro</v>
      </c>
      <c r="H172" s="89">
        <f>YEAR(Tabela1[[#This Row],[Data de Validade]])</f>
        <v>2024</v>
      </c>
      <c r="I172" s="89">
        <f>MONTH(Tabela1[[#This Row],[Data de Validade]])</f>
        <v>9</v>
      </c>
      <c r="J172" s="101">
        <v>118035</v>
      </c>
      <c r="K172" s="87" t="s">
        <v>14</v>
      </c>
      <c r="L172" s="108"/>
      <c r="M172" s="108"/>
      <c r="N172" s="108" t="str">
        <v>H473P477</v>
      </c>
      <c r="O172" s="108">
        <f t="shared" si="4"/>
        <v>1</v>
      </c>
      <c r="P172" s="108"/>
      <c r="Q172"/>
    </row>
    <row r="173" spans="1:17" x14ac:dyDescent="0.25">
      <c r="A173" s="89" t="s">
        <v>10037</v>
      </c>
      <c r="B173" s="87" t="s">
        <v>10038</v>
      </c>
      <c r="C173" s="87" t="s">
        <v>6</v>
      </c>
      <c r="D173" s="87" t="str">
        <f>VLOOKUP(Tabela1[[#This Row],[Origem]], 'Perguntas 1 a 24'!$J$28:$K$34, 2, 0)</f>
        <v>Nordeste</v>
      </c>
      <c r="E173" s="87" t="str">
        <f>Tabela1[[#This Row],[Descrição]]&amp;"-"&amp;Tabela1[[#This Row],[Código]]&amp;"/"&amp;Tabela1[[#This Row],[Origem]]</f>
        <v>Cutirapo-H451P368/MA</v>
      </c>
      <c r="F173" s="88">
        <v>45543</v>
      </c>
      <c r="G173" s="88" t="str" cm="1">
        <f t="array" ref="G1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AND(F173&gt;= DATE(2026,1,1), F173&lt;= DATE(2028, 12, 31), J173&gt;50000), "Pendente e Caro", AND(F173&gt;= DATE(2026,1,1), F173&lt;= DATE(2028, 12, 31), J173&lt;=50000), "Pendente", F173&gt;= DATE(2029,1,1), "Não prioeitário")</f>
        <v>Urgente e Caro</v>
      </c>
      <c r="H173" s="89">
        <f>YEAR(Tabela1[[#This Row],[Data de Validade]])</f>
        <v>2024</v>
      </c>
      <c r="I173" s="89">
        <f>MONTH(Tabela1[[#This Row],[Data de Validade]])</f>
        <v>9</v>
      </c>
      <c r="J173" s="101">
        <v>56983</v>
      </c>
      <c r="K173" s="87" t="s">
        <v>9</v>
      </c>
      <c r="L173" s="108"/>
      <c r="M173" s="108"/>
      <c r="N173" s="108" t="str">
        <v>H451P368</v>
      </c>
      <c r="O173" s="108">
        <f t="shared" si="4"/>
        <v>1</v>
      </c>
      <c r="P173" s="108"/>
      <c r="Q173"/>
    </row>
    <row r="174" spans="1:17" x14ac:dyDescent="0.25">
      <c r="A174" s="89" t="s">
        <v>9891</v>
      </c>
      <c r="B174" s="87" t="s">
        <v>9892</v>
      </c>
      <c r="C174" s="87" t="s">
        <v>10</v>
      </c>
      <c r="D174" s="87" t="str">
        <f>VLOOKUP(Tabela1[[#This Row],[Origem]], 'Perguntas 1 a 24'!$J$28:$K$34, 2, 0)</f>
        <v>Centro-Oeste</v>
      </c>
      <c r="E174" s="87" t="str">
        <f>Tabela1[[#This Row],[Descrição]]&amp;"-"&amp;Tabela1[[#This Row],[Código]]&amp;"/"&amp;Tabela1[[#This Row],[Origem]]</f>
        <v>Poratu-P162H773/GO</v>
      </c>
      <c r="F174" s="88">
        <v>45543</v>
      </c>
      <c r="G174" s="88" t="str" cm="1">
        <f t="array" ref="G1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AND(F174&gt;= DATE(2026,1,1), F174&lt;= DATE(2028, 12, 31), J174&gt;50000), "Pendente e Caro", AND(F174&gt;= DATE(2026,1,1), F174&lt;= DATE(2028, 12, 31), J174&lt;=50000), "Pendente", F174&gt;= DATE(2029,1,1), "Não prioeitário")</f>
        <v>Urgente</v>
      </c>
      <c r="H174" s="89">
        <f>YEAR(Tabela1[[#This Row],[Data de Validade]])</f>
        <v>2024</v>
      </c>
      <c r="I174" s="89">
        <f>MONTH(Tabela1[[#This Row],[Data de Validade]])</f>
        <v>9</v>
      </c>
      <c r="J174" s="101">
        <v>44319</v>
      </c>
      <c r="K174" s="87" t="s">
        <v>9</v>
      </c>
      <c r="L174" s="108"/>
      <c r="M174" s="108"/>
      <c r="N174" s="108" t="str">
        <v>P162H773</v>
      </c>
      <c r="O174" s="108">
        <f t="shared" si="4"/>
        <v>1</v>
      </c>
      <c r="P174" s="108"/>
      <c r="Q174"/>
    </row>
    <row r="175" spans="1:17" x14ac:dyDescent="0.25">
      <c r="A175" s="89" t="s">
        <v>10883</v>
      </c>
      <c r="B175" s="87" t="s">
        <v>10884</v>
      </c>
      <c r="C175" s="87" t="s">
        <v>12</v>
      </c>
      <c r="D175" s="87" t="str">
        <f>VLOOKUP(Tabela1[[#This Row],[Origem]], 'Perguntas 1 a 24'!$J$28:$K$34, 2, 0)</f>
        <v>Sudeste</v>
      </c>
      <c r="E175" s="87" t="str">
        <f>Tabela1[[#This Row],[Descrição]]&amp;"-"&amp;Tabela1[[#This Row],[Código]]&amp;"/"&amp;Tabela1[[#This Row],[Origem]]</f>
        <v>Rifipileve-P654P282/RJ</v>
      </c>
      <c r="F175" s="88">
        <v>45546</v>
      </c>
      <c r="G175" s="88" t="str" cm="1">
        <f t="array" ref="G1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AND(F175&gt;= DATE(2026,1,1), F175&lt;= DATE(2028, 12, 31), J175&gt;50000), "Pendente e Caro", AND(F175&gt;= DATE(2026,1,1), F175&lt;= DATE(2028, 12, 31), J175&lt;=50000), "Pendente", F175&gt;= DATE(2029,1,1), "Não prioeitário")</f>
        <v>Urgente</v>
      </c>
      <c r="H175" s="89">
        <f>YEAR(Tabela1[[#This Row],[Data de Validade]])</f>
        <v>2024</v>
      </c>
      <c r="I175" s="89">
        <f>MONTH(Tabela1[[#This Row],[Data de Validade]])</f>
        <v>9</v>
      </c>
      <c r="J175" s="101">
        <v>48483</v>
      </c>
      <c r="K175" s="87" t="s">
        <v>7</v>
      </c>
      <c r="L175" s="108"/>
      <c r="M175" s="108"/>
      <c r="N175" s="108" t="str">
        <v>P654P282</v>
      </c>
      <c r="O175" s="108">
        <f t="shared" si="4"/>
        <v>1</v>
      </c>
      <c r="P175" s="108"/>
      <c r="Q175"/>
    </row>
    <row r="176" spans="1:17" x14ac:dyDescent="0.25">
      <c r="A176" s="89" t="s">
        <v>7326</v>
      </c>
      <c r="B176" s="87" t="s">
        <v>7327</v>
      </c>
      <c r="C176" s="87" t="s">
        <v>13</v>
      </c>
      <c r="D176" s="87" t="str">
        <f>VLOOKUP(Tabela1[[#This Row],[Origem]], 'Perguntas 1 a 24'!$J$28:$K$34, 2, 0)</f>
        <v>Sudeste</v>
      </c>
      <c r="E176" s="87" t="str">
        <f>Tabela1[[#This Row],[Descrição]]&amp;"-"&amp;Tabela1[[#This Row],[Código]]&amp;"/"&amp;Tabela1[[#This Row],[Origem]]</f>
        <v>Ritine-H675H774/SP</v>
      </c>
      <c r="F176" s="88">
        <v>45547</v>
      </c>
      <c r="G176" s="88" t="str" cm="1">
        <f t="array" ref="G1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AND(F176&gt;= DATE(2026,1,1), F176&lt;= DATE(2028, 12, 31), J176&gt;50000), "Pendente e Caro", AND(F176&gt;= DATE(2026,1,1), F176&lt;= DATE(2028, 12, 31), J176&lt;=50000), "Pendente", F176&gt;= DATE(2029,1,1), "Não prioeitário")</f>
        <v>Urgente e Caro</v>
      </c>
      <c r="H176" s="89">
        <f>YEAR(Tabela1[[#This Row],[Data de Validade]])</f>
        <v>2024</v>
      </c>
      <c r="I176" s="89">
        <f>MONTH(Tabela1[[#This Row],[Data de Validade]])</f>
        <v>9</v>
      </c>
      <c r="J176" s="101">
        <v>118029</v>
      </c>
      <c r="K176" s="87" t="s">
        <v>9</v>
      </c>
      <c r="L176" s="108"/>
      <c r="M176" s="108"/>
      <c r="N176" s="108" t="str">
        <v>H675H774</v>
      </c>
      <c r="O176" s="108">
        <f t="shared" si="4"/>
        <v>1</v>
      </c>
      <c r="P176" s="108"/>
      <c r="Q176"/>
    </row>
    <row r="177" spans="1:17" x14ac:dyDescent="0.25">
      <c r="A177" s="89" t="s">
        <v>6306</v>
      </c>
      <c r="B177" s="87" t="s">
        <v>6307</v>
      </c>
      <c r="C177" s="87" t="s">
        <v>12</v>
      </c>
      <c r="D177" s="87" t="str">
        <f>VLOOKUP(Tabela1[[#This Row],[Origem]], 'Perguntas 1 a 24'!$J$28:$K$34, 2, 0)</f>
        <v>Sudeste</v>
      </c>
      <c r="E177" s="87" t="str">
        <f>Tabela1[[#This Row],[Descrição]]&amp;"-"&amp;Tabela1[[#This Row],[Código]]&amp;"/"&amp;Tabela1[[#This Row],[Origem]]</f>
        <v>Fipipi-P513P826/RJ</v>
      </c>
      <c r="F177" s="88">
        <v>45547</v>
      </c>
      <c r="G177" s="88" t="str" cm="1">
        <f t="array" ref="G1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AND(F177&gt;= DATE(2026,1,1), F177&lt;= DATE(2028, 12, 31), J177&gt;50000), "Pendente e Caro", AND(F177&gt;= DATE(2026,1,1), F177&lt;= DATE(2028, 12, 31), J177&lt;=50000), "Pendente", F177&gt;= DATE(2029,1,1), "Não prioeitário")</f>
        <v>Urgente e Caro</v>
      </c>
      <c r="H177" s="89">
        <f>YEAR(Tabela1[[#This Row],[Data de Validade]])</f>
        <v>2024</v>
      </c>
      <c r="I177" s="89">
        <f>MONTH(Tabela1[[#This Row],[Data de Validade]])</f>
        <v>9</v>
      </c>
      <c r="J177" s="101">
        <v>75260</v>
      </c>
      <c r="K177" s="87" t="s">
        <v>11</v>
      </c>
      <c r="L177" s="108"/>
      <c r="M177" s="108"/>
      <c r="N177" s="108" t="str">
        <v>P513P826</v>
      </c>
      <c r="O177" s="108">
        <f t="shared" si="4"/>
        <v>1</v>
      </c>
      <c r="P177" s="108"/>
      <c r="Q177"/>
    </row>
    <row r="178" spans="1:17" x14ac:dyDescent="0.25">
      <c r="A178" s="89" t="s">
        <v>10499</v>
      </c>
      <c r="B178" s="87" t="s">
        <v>10500</v>
      </c>
      <c r="C178" s="87" t="s">
        <v>12</v>
      </c>
      <c r="D178" s="87" t="str">
        <f>VLOOKUP(Tabela1[[#This Row],[Origem]], 'Perguntas 1 a 24'!$J$28:$K$34, 2, 0)</f>
        <v>Sudeste</v>
      </c>
      <c r="E178" s="87" t="str">
        <f>Tabela1[[#This Row],[Descrição]]&amp;"-"&amp;Tabela1[[#This Row],[Código]]&amp;"/"&amp;Tabela1[[#This Row],[Origem]]</f>
        <v>Ralopu-H552P898/RJ</v>
      </c>
      <c r="F178" s="88">
        <v>45548</v>
      </c>
      <c r="G178" s="88" t="str" cm="1">
        <f t="array" ref="G1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AND(F178&gt;= DATE(2026,1,1), F178&lt;= DATE(2028, 12, 31), J178&gt;50000), "Pendente e Caro", AND(F178&gt;= DATE(2026,1,1), F178&lt;= DATE(2028, 12, 31), J178&lt;=50000), "Pendente", F178&gt;= DATE(2029,1,1), "Não prioeitário")</f>
        <v>Urgente e Caro</v>
      </c>
      <c r="H178" s="89">
        <f>YEAR(Tabela1[[#This Row],[Data de Validade]])</f>
        <v>2024</v>
      </c>
      <c r="I178" s="89">
        <f>MONTH(Tabela1[[#This Row],[Data de Validade]])</f>
        <v>9</v>
      </c>
      <c r="J178" s="101">
        <v>110093</v>
      </c>
      <c r="K178" s="87" t="s">
        <v>11</v>
      </c>
      <c r="L178" s="108"/>
      <c r="M178" s="108"/>
      <c r="N178" s="108" t="str">
        <v>H552P898</v>
      </c>
      <c r="O178" s="108">
        <f t="shared" si="4"/>
        <v>1</v>
      </c>
      <c r="P178" s="108"/>
      <c r="Q178"/>
    </row>
    <row r="179" spans="1:17" x14ac:dyDescent="0.25">
      <c r="A179" s="89" t="s">
        <v>4656</v>
      </c>
      <c r="B179" s="87" t="s">
        <v>4657</v>
      </c>
      <c r="C179" s="87" t="s">
        <v>10</v>
      </c>
      <c r="D179" s="87" t="str">
        <f>VLOOKUP(Tabela1[[#This Row],[Origem]], 'Perguntas 1 a 24'!$J$28:$K$34, 2, 0)</f>
        <v>Centro-Oeste</v>
      </c>
      <c r="E179" s="87" t="str">
        <f>Tabela1[[#This Row],[Descrição]]&amp;"-"&amp;Tabela1[[#This Row],[Código]]&amp;"/"&amp;Tabela1[[#This Row],[Origem]]</f>
        <v>Recovarafa-P726P395/GO</v>
      </c>
      <c r="F179" s="88">
        <v>45548</v>
      </c>
      <c r="G179" s="88" t="str" cm="1">
        <f t="array" ref="G1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AND(F179&gt;= DATE(2026,1,1), F179&lt;= DATE(2028, 12, 31), J179&gt;50000), "Pendente e Caro", AND(F179&gt;= DATE(2026,1,1), F179&lt;= DATE(2028, 12, 31), J179&lt;=50000), "Pendente", F179&gt;= DATE(2029,1,1), "Não prioeitário")</f>
        <v>Urgente e Caro</v>
      </c>
      <c r="H179" s="89">
        <f>YEAR(Tabela1[[#This Row],[Data de Validade]])</f>
        <v>2024</v>
      </c>
      <c r="I179" s="89">
        <f>MONTH(Tabela1[[#This Row],[Data de Validade]])</f>
        <v>9</v>
      </c>
      <c r="J179" s="101">
        <v>108936</v>
      </c>
      <c r="K179" s="87" t="s">
        <v>9</v>
      </c>
      <c r="L179" s="108"/>
      <c r="M179" s="108"/>
      <c r="N179" s="108" t="str">
        <v>P726P395</v>
      </c>
      <c r="O179" s="108">
        <f t="shared" si="4"/>
        <v>1</v>
      </c>
      <c r="P179" s="108"/>
      <c r="Q179"/>
    </row>
    <row r="180" spans="1:17" x14ac:dyDescent="0.25">
      <c r="A180" s="89" t="s">
        <v>8591</v>
      </c>
      <c r="B180" s="87" t="s">
        <v>8592</v>
      </c>
      <c r="C180" s="87" t="s">
        <v>10</v>
      </c>
      <c r="D180" s="87" t="str">
        <f>VLOOKUP(Tabela1[[#This Row],[Origem]], 'Perguntas 1 a 24'!$J$28:$K$34, 2, 0)</f>
        <v>Centro-Oeste</v>
      </c>
      <c r="E180" s="87" t="str">
        <f>Tabela1[[#This Row],[Descrição]]&amp;"-"&amp;Tabela1[[#This Row],[Código]]&amp;"/"&amp;Tabela1[[#This Row],[Origem]]</f>
        <v>Noticota-P832H533/GO</v>
      </c>
      <c r="F180" s="88">
        <v>45548</v>
      </c>
      <c r="G180" s="88" t="str" cm="1">
        <f t="array" ref="G1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AND(F180&gt;= DATE(2026,1,1), F180&lt;= DATE(2028, 12, 31), J180&gt;50000), "Pendente e Caro", AND(F180&gt;= DATE(2026,1,1), F180&lt;= DATE(2028, 12, 31), J180&lt;=50000), "Pendente", F180&gt;= DATE(2029,1,1), "Não prioeitário")</f>
        <v>Urgente e Caro</v>
      </c>
      <c r="H180" s="89">
        <f>YEAR(Tabela1[[#This Row],[Data de Validade]])</f>
        <v>2024</v>
      </c>
      <c r="I180" s="89">
        <f>MONTH(Tabela1[[#This Row],[Data de Validade]])</f>
        <v>9</v>
      </c>
      <c r="J180" s="101">
        <v>101209</v>
      </c>
      <c r="K180" s="87" t="s">
        <v>7</v>
      </c>
      <c r="L180" s="108"/>
      <c r="M180" s="108"/>
      <c r="N180" s="108" t="str">
        <v>P832H533</v>
      </c>
      <c r="O180" s="108">
        <f t="shared" si="4"/>
        <v>1</v>
      </c>
      <c r="P180" s="108"/>
      <c r="Q180"/>
    </row>
    <row r="181" spans="1:17" x14ac:dyDescent="0.25">
      <c r="A181" s="89" t="s">
        <v>10639</v>
      </c>
      <c r="B181" s="87" t="s">
        <v>10640</v>
      </c>
      <c r="C181" s="87" t="s">
        <v>12</v>
      </c>
      <c r="D181" s="87" t="str">
        <f>VLOOKUP(Tabela1[[#This Row],[Origem]], 'Perguntas 1 a 24'!$J$28:$K$34, 2, 0)</f>
        <v>Sudeste</v>
      </c>
      <c r="E181" s="87" t="str">
        <f>Tabela1[[#This Row],[Descrição]]&amp;"-"&amp;Tabela1[[#This Row],[Código]]&amp;"/"&amp;Tabela1[[#This Row],[Origem]]</f>
        <v>Valapi-P483H688/RJ</v>
      </c>
      <c r="F181" s="88">
        <v>45548</v>
      </c>
      <c r="G181" s="88" t="str" cm="1">
        <f t="array" ref="G1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AND(F181&gt;= DATE(2026,1,1), F181&lt;= DATE(2028, 12, 31), J181&gt;50000), "Pendente e Caro", AND(F181&gt;= DATE(2026,1,1), F181&lt;= DATE(2028, 12, 31), J181&lt;=50000), "Pendente", F181&gt;= DATE(2029,1,1), "Não prioeitário")</f>
        <v>Urgente e Caro</v>
      </c>
      <c r="H181" s="89">
        <f>YEAR(Tabela1[[#This Row],[Data de Validade]])</f>
        <v>2024</v>
      </c>
      <c r="I181" s="89">
        <f>MONTH(Tabela1[[#This Row],[Data de Validade]])</f>
        <v>9</v>
      </c>
      <c r="J181" s="101">
        <v>99455</v>
      </c>
      <c r="K181" s="87" t="s">
        <v>7</v>
      </c>
      <c r="L181" s="108"/>
      <c r="M181" s="108"/>
      <c r="N181" s="108" t="str">
        <v>P483H688</v>
      </c>
      <c r="O181" s="108">
        <f t="shared" si="4"/>
        <v>1</v>
      </c>
      <c r="P181" s="108"/>
      <c r="Q181"/>
    </row>
    <row r="182" spans="1:17" x14ac:dyDescent="0.25">
      <c r="A182" s="89" t="s">
        <v>7760</v>
      </c>
      <c r="B182" s="87" t="s">
        <v>7761</v>
      </c>
      <c r="C182" s="87" t="s">
        <v>8</v>
      </c>
      <c r="D182" s="87" t="str">
        <f>VLOOKUP(Tabela1[[#This Row],[Origem]], 'Perguntas 1 a 24'!$J$28:$K$34, 2, 0)</f>
        <v>Nordeste</v>
      </c>
      <c r="E182" s="87" t="str">
        <f>Tabela1[[#This Row],[Descrição]]&amp;"-"&amp;Tabela1[[#This Row],[Código]]&amp;"/"&amp;Tabela1[[#This Row],[Origem]]</f>
        <v>Vetogice-H856H224/AL</v>
      </c>
      <c r="F182" s="88">
        <v>45549</v>
      </c>
      <c r="G182" s="88" t="str" cm="1">
        <f t="array" ref="G1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AND(F182&gt;= DATE(2026,1,1), F182&lt;= DATE(2028, 12, 31), J182&gt;50000), "Pendente e Caro", AND(F182&gt;= DATE(2026,1,1), F182&lt;= DATE(2028, 12, 31), J182&lt;=50000), "Pendente", F182&gt;= DATE(2029,1,1), "Não prioeitário")</f>
        <v>Urgente e Caro</v>
      </c>
      <c r="H182" s="89">
        <f>YEAR(Tabela1[[#This Row],[Data de Validade]])</f>
        <v>2024</v>
      </c>
      <c r="I182" s="89">
        <f>MONTH(Tabela1[[#This Row],[Data de Validade]])</f>
        <v>9</v>
      </c>
      <c r="J182" s="101">
        <v>74849</v>
      </c>
      <c r="K182" s="87" t="s">
        <v>9</v>
      </c>
      <c r="L182" s="108"/>
      <c r="M182" s="108"/>
      <c r="N182" s="108" t="str">
        <v>H856H224</v>
      </c>
      <c r="O182" s="108">
        <f t="shared" si="4"/>
        <v>1</v>
      </c>
      <c r="P182" s="108"/>
      <c r="Q182"/>
    </row>
    <row r="183" spans="1:17" x14ac:dyDescent="0.25">
      <c r="A183" s="89" t="s">
        <v>8490</v>
      </c>
      <c r="B183" s="87" t="s">
        <v>8491</v>
      </c>
      <c r="C183" s="87" t="s">
        <v>13</v>
      </c>
      <c r="D183" s="87" t="str">
        <f>VLOOKUP(Tabela1[[#This Row],[Origem]], 'Perguntas 1 a 24'!$J$28:$K$34, 2, 0)</f>
        <v>Sudeste</v>
      </c>
      <c r="E183" s="87" t="str">
        <f>Tabela1[[#This Row],[Descrição]]&amp;"-"&amp;Tabela1[[#This Row],[Código]]&amp;"/"&amp;Tabela1[[#This Row],[Origem]]</f>
        <v>Gotadopi-P145H177/SP</v>
      </c>
      <c r="F183" s="88">
        <v>45549</v>
      </c>
      <c r="G183" s="88" t="str" cm="1">
        <f t="array" ref="G1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AND(F183&gt;= DATE(2026,1,1), F183&lt;= DATE(2028, 12, 31), J183&gt;50000), "Pendente e Caro", AND(F183&gt;= DATE(2026,1,1), F183&lt;= DATE(2028, 12, 31), J183&lt;=50000), "Pendente", F183&gt;= DATE(2029,1,1), "Não prioeitário")</f>
        <v>Urgente e Caro</v>
      </c>
      <c r="H183" s="89">
        <f>YEAR(Tabela1[[#This Row],[Data de Validade]])</f>
        <v>2024</v>
      </c>
      <c r="I183" s="89">
        <f>MONTH(Tabela1[[#This Row],[Data de Validade]])</f>
        <v>9</v>
      </c>
      <c r="J183" s="101">
        <v>74156</v>
      </c>
      <c r="K183" s="87" t="s">
        <v>9</v>
      </c>
      <c r="L183" s="108"/>
      <c r="M183" s="108"/>
      <c r="N183" s="108" t="str">
        <v>P145H177</v>
      </c>
      <c r="O183" s="108">
        <f t="shared" si="4"/>
        <v>1</v>
      </c>
      <c r="P183" s="108"/>
      <c r="Q183"/>
    </row>
    <row r="184" spans="1:17" x14ac:dyDescent="0.25">
      <c r="A184" s="89" t="s">
        <v>4888</v>
      </c>
      <c r="B184" s="87" t="s">
        <v>4889</v>
      </c>
      <c r="C184" s="87" t="s">
        <v>15</v>
      </c>
      <c r="D184" s="87" t="str">
        <f>VLOOKUP(Tabela1[[#This Row],[Origem]], 'Perguntas 1 a 24'!$J$28:$K$34, 2, 0)</f>
        <v>Sudeste</v>
      </c>
      <c r="E184" s="87" t="str">
        <f>Tabela1[[#This Row],[Descrição]]&amp;"-"&amp;Tabela1[[#This Row],[Código]]&amp;"/"&amp;Tabela1[[#This Row],[Origem]]</f>
        <v>Rogadufe-P159H646/ES</v>
      </c>
      <c r="F184" s="88">
        <v>45549</v>
      </c>
      <c r="G184" s="88" t="str" cm="1">
        <f t="array" ref="G1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AND(F184&gt;= DATE(2026,1,1), F184&lt;= DATE(2028, 12, 31), J184&gt;50000), "Pendente e Caro", AND(F184&gt;= DATE(2026,1,1), F184&lt;= DATE(2028, 12, 31), J184&lt;=50000), "Pendente", F184&gt;= DATE(2029,1,1), "Não prioeitário")</f>
        <v>Urgente</v>
      </c>
      <c r="H184" s="89">
        <f>YEAR(Tabela1[[#This Row],[Data de Validade]])</f>
        <v>2024</v>
      </c>
      <c r="I184" s="89">
        <f>MONTH(Tabela1[[#This Row],[Data de Validade]])</f>
        <v>9</v>
      </c>
      <c r="J184" s="101">
        <v>23145</v>
      </c>
      <c r="K184" s="87" t="s">
        <v>7</v>
      </c>
      <c r="L184" s="108"/>
      <c r="M184" s="108"/>
      <c r="N184" s="108" t="str">
        <v>P159H646</v>
      </c>
      <c r="O184" s="108">
        <f t="shared" si="4"/>
        <v>1</v>
      </c>
      <c r="P184" s="108"/>
      <c r="Q184"/>
    </row>
    <row r="185" spans="1:17" x14ac:dyDescent="0.25">
      <c r="A185" s="89" t="s">
        <v>10297</v>
      </c>
      <c r="B185" s="87" t="s">
        <v>10298</v>
      </c>
      <c r="C185" s="87" t="s">
        <v>8</v>
      </c>
      <c r="D185" s="87" t="str">
        <f>VLOOKUP(Tabela1[[#This Row],[Origem]], 'Perguntas 1 a 24'!$J$28:$K$34, 2, 0)</f>
        <v>Nordeste</v>
      </c>
      <c r="E185" s="87" t="str">
        <f>Tabela1[[#This Row],[Descrição]]&amp;"-"&amp;Tabela1[[#This Row],[Código]]&amp;"/"&amp;Tabela1[[#This Row],[Origem]]</f>
        <v>Ripudeno-P349H977/AL</v>
      </c>
      <c r="F185" s="88">
        <v>45549</v>
      </c>
      <c r="G185" s="88" t="str" cm="1">
        <f t="array" ref="G1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AND(F185&gt;= DATE(2026,1,1), F185&lt;= DATE(2028, 12, 31), J185&gt;50000), "Pendente e Caro", AND(F185&gt;= DATE(2026,1,1), F185&lt;= DATE(2028, 12, 31), J185&lt;=50000), "Pendente", F185&gt;= DATE(2029,1,1), "Não prioeitário")</f>
        <v>Urgente</v>
      </c>
      <c r="H185" s="89">
        <f>YEAR(Tabela1[[#This Row],[Data de Validade]])</f>
        <v>2024</v>
      </c>
      <c r="I185" s="89">
        <f>MONTH(Tabela1[[#This Row],[Data de Validade]])</f>
        <v>9</v>
      </c>
      <c r="J185" s="101">
        <v>22653</v>
      </c>
      <c r="K185" s="87" t="s">
        <v>14</v>
      </c>
      <c r="L185" s="108"/>
      <c r="M185" s="108"/>
      <c r="N185" s="108" t="str">
        <v>P349H977</v>
      </c>
      <c r="O185" s="108">
        <f t="shared" si="4"/>
        <v>1</v>
      </c>
      <c r="P185" s="108"/>
      <c r="Q185"/>
    </row>
    <row r="186" spans="1:17" x14ac:dyDescent="0.25">
      <c r="A186" s="89" t="s">
        <v>3724</v>
      </c>
      <c r="B186" s="87" t="s">
        <v>3725</v>
      </c>
      <c r="C186" s="87" t="s">
        <v>8</v>
      </c>
      <c r="D186" s="87" t="str">
        <f>VLOOKUP(Tabela1[[#This Row],[Origem]], 'Perguntas 1 a 24'!$J$28:$K$34, 2, 0)</f>
        <v>Nordeste</v>
      </c>
      <c r="E186" s="87" t="str">
        <f>Tabela1[[#This Row],[Descrição]]&amp;"-"&amp;Tabela1[[#This Row],[Código]]&amp;"/"&amp;Tabela1[[#This Row],[Origem]]</f>
        <v>Tacopeme-H562H946/AL</v>
      </c>
      <c r="F186" s="88">
        <v>45550</v>
      </c>
      <c r="G186" s="88" t="str" cm="1">
        <f t="array" ref="G1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AND(F186&gt;= DATE(2026,1,1), F186&lt;= DATE(2028, 12, 31), J186&gt;50000), "Pendente e Caro", AND(F186&gt;= DATE(2026,1,1), F186&lt;= DATE(2028, 12, 31), J186&lt;=50000), "Pendente", F186&gt;= DATE(2029,1,1), "Não prioeitário")</f>
        <v>Urgente e Caro</v>
      </c>
      <c r="H186" s="89">
        <f>YEAR(Tabela1[[#This Row],[Data de Validade]])</f>
        <v>2024</v>
      </c>
      <c r="I186" s="89">
        <f>MONTH(Tabela1[[#This Row],[Data de Validade]])</f>
        <v>9</v>
      </c>
      <c r="J186" s="101">
        <v>83359</v>
      </c>
      <c r="K186" s="87" t="s">
        <v>7</v>
      </c>
      <c r="L186" s="108"/>
      <c r="M186" s="108"/>
      <c r="N186" s="108" t="str">
        <v>H562H946</v>
      </c>
      <c r="O186" s="108">
        <f t="shared" si="4"/>
        <v>1</v>
      </c>
      <c r="P186" s="108"/>
      <c r="Q186"/>
    </row>
    <row r="187" spans="1:17" x14ac:dyDescent="0.25">
      <c r="A187" s="89" t="s">
        <v>5492</v>
      </c>
      <c r="B187" s="87" t="s">
        <v>5493</v>
      </c>
      <c r="C187" s="87" t="s">
        <v>6</v>
      </c>
      <c r="D187" s="87" t="str">
        <f>VLOOKUP(Tabela1[[#This Row],[Origem]], 'Perguntas 1 a 24'!$J$28:$K$34, 2, 0)</f>
        <v>Nordeste</v>
      </c>
      <c r="E187" s="87" t="str">
        <f>Tabela1[[#This Row],[Descrição]]&amp;"-"&amp;Tabela1[[#This Row],[Código]]&amp;"/"&amp;Tabela1[[#This Row],[Origem]]</f>
        <v>Metavi-P599H516/MA</v>
      </c>
      <c r="F187" s="88">
        <v>45550</v>
      </c>
      <c r="G187" s="88" t="str" cm="1">
        <f t="array" ref="G1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AND(F187&gt;= DATE(2026,1,1), F187&lt;= DATE(2028, 12, 31), J187&gt;50000), "Pendente e Caro", AND(F187&gt;= DATE(2026,1,1), F187&lt;= DATE(2028, 12, 31), J187&lt;=50000), "Pendente", F187&gt;= DATE(2029,1,1), "Não prioeitário")</f>
        <v>Urgente</v>
      </c>
      <c r="H187" s="89">
        <f>YEAR(Tabela1[[#This Row],[Data de Validade]])</f>
        <v>2024</v>
      </c>
      <c r="I187" s="89">
        <f>MONTH(Tabela1[[#This Row],[Data de Validade]])</f>
        <v>9</v>
      </c>
      <c r="J187" s="101">
        <v>42708</v>
      </c>
      <c r="K187" s="87" t="s">
        <v>14</v>
      </c>
      <c r="L187" s="108"/>
      <c r="M187" s="108"/>
      <c r="N187" s="108" t="str">
        <v>P599H516</v>
      </c>
      <c r="O187" s="108">
        <f t="shared" si="4"/>
        <v>1</v>
      </c>
      <c r="P187" s="108"/>
      <c r="Q187"/>
    </row>
    <row r="188" spans="1:17" x14ac:dyDescent="0.25">
      <c r="A188" s="89" t="s">
        <v>7670</v>
      </c>
      <c r="B188" s="87" t="s">
        <v>7671</v>
      </c>
      <c r="C188" s="87" t="s">
        <v>8</v>
      </c>
      <c r="D188" s="87" t="str">
        <f>VLOOKUP(Tabela1[[#This Row],[Origem]], 'Perguntas 1 a 24'!$J$28:$K$34, 2, 0)</f>
        <v>Nordeste</v>
      </c>
      <c r="E188" s="87" t="str">
        <f>Tabela1[[#This Row],[Descrição]]&amp;"-"&amp;Tabela1[[#This Row],[Código]]&amp;"/"&amp;Tabela1[[#This Row],[Origem]]</f>
        <v>Regapeta-P662P263/AL</v>
      </c>
      <c r="F188" s="88">
        <v>45550</v>
      </c>
      <c r="G188" s="88" t="str" cm="1">
        <f t="array" ref="G1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AND(F188&gt;= DATE(2026,1,1), F188&lt;= DATE(2028, 12, 31), J188&gt;50000), "Pendente e Caro", AND(F188&gt;= DATE(2026,1,1), F188&lt;= DATE(2028, 12, 31), J188&lt;=50000), "Pendente", F188&gt;= DATE(2029,1,1), "Não prioeitário")</f>
        <v>Urgente</v>
      </c>
      <c r="H188" s="89">
        <f>YEAR(Tabela1[[#This Row],[Data de Validade]])</f>
        <v>2024</v>
      </c>
      <c r="I188" s="89">
        <f>MONTH(Tabela1[[#This Row],[Data de Validade]])</f>
        <v>9</v>
      </c>
      <c r="J188" s="101">
        <v>37962</v>
      </c>
      <c r="K188" s="87" t="s">
        <v>7</v>
      </c>
      <c r="L188" s="108"/>
      <c r="M188" s="108"/>
      <c r="N188" s="108" t="str">
        <v>P662P263</v>
      </c>
      <c r="O188" s="108">
        <f t="shared" si="4"/>
        <v>1</v>
      </c>
      <c r="P188" s="108"/>
      <c r="Q188"/>
    </row>
    <row r="189" spans="1:17" x14ac:dyDescent="0.25">
      <c r="A189" s="89" t="s">
        <v>7250</v>
      </c>
      <c r="B189" s="87" t="s">
        <v>7251</v>
      </c>
      <c r="C189" s="87" t="s">
        <v>12</v>
      </c>
      <c r="D189" s="87" t="str">
        <f>VLOOKUP(Tabela1[[#This Row],[Origem]], 'Perguntas 1 a 24'!$J$28:$K$34, 2, 0)</f>
        <v>Sudeste</v>
      </c>
      <c r="E189" s="87" t="str">
        <f>Tabela1[[#This Row],[Descrição]]&amp;"-"&amp;Tabela1[[#This Row],[Código]]&amp;"/"&amp;Tabela1[[#This Row],[Origem]]</f>
        <v>Fuvepurodi-H756H441/RJ</v>
      </c>
      <c r="F189" s="88">
        <v>45550</v>
      </c>
      <c r="G189" s="88" t="str" cm="1">
        <f t="array" ref="G1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AND(F189&gt;= DATE(2026,1,1), F189&lt;= DATE(2028, 12, 31), J189&gt;50000), "Pendente e Caro", AND(F189&gt;= DATE(2026,1,1), F189&lt;= DATE(2028, 12, 31), J189&lt;=50000), "Pendente", F189&gt;= DATE(2029,1,1), "Não prioeitário")</f>
        <v>Urgente</v>
      </c>
      <c r="H189" s="89">
        <f>YEAR(Tabela1[[#This Row],[Data de Validade]])</f>
        <v>2024</v>
      </c>
      <c r="I189" s="89">
        <f>MONTH(Tabela1[[#This Row],[Data de Validade]])</f>
        <v>9</v>
      </c>
      <c r="J189" s="101">
        <v>26174</v>
      </c>
      <c r="K189" s="87" t="s">
        <v>9</v>
      </c>
      <c r="L189" s="108"/>
      <c r="M189" s="108"/>
      <c r="N189" s="108" t="str">
        <v>H756H441</v>
      </c>
      <c r="O189" s="108">
        <f t="shared" si="4"/>
        <v>1</v>
      </c>
      <c r="P189" s="108"/>
      <c r="Q189"/>
    </row>
    <row r="190" spans="1:17" x14ac:dyDescent="0.25">
      <c r="A190" s="89" t="s">
        <v>10415</v>
      </c>
      <c r="B190" s="87" t="s">
        <v>10416</v>
      </c>
      <c r="C190" s="87" t="s">
        <v>12</v>
      </c>
      <c r="D190" s="87" t="str">
        <f>VLOOKUP(Tabela1[[#This Row],[Origem]], 'Perguntas 1 a 24'!$J$28:$K$34, 2, 0)</f>
        <v>Sudeste</v>
      </c>
      <c r="E190" s="87" t="str">
        <f>Tabela1[[#This Row],[Descrição]]&amp;"-"&amp;Tabela1[[#This Row],[Código]]&amp;"/"&amp;Tabela1[[#This Row],[Origem]]</f>
        <v>Pecoti-P622P181/RJ</v>
      </c>
      <c r="F190" s="88">
        <v>45551</v>
      </c>
      <c r="G190" s="88" t="str" cm="1">
        <f t="array" ref="G1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AND(F190&gt;= DATE(2026,1,1), F190&lt;= DATE(2028, 12, 31), J190&gt;50000), "Pendente e Caro", AND(F190&gt;= DATE(2026,1,1), F190&lt;= DATE(2028, 12, 31), J190&lt;=50000), "Pendente", F190&gt;= DATE(2029,1,1), "Não prioeitário")</f>
        <v>Urgente e Caro</v>
      </c>
      <c r="H190" s="89">
        <f>YEAR(Tabela1[[#This Row],[Data de Validade]])</f>
        <v>2024</v>
      </c>
      <c r="I190" s="89">
        <f>MONTH(Tabela1[[#This Row],[Data de Validade]])</f>
        <v>9</v>
      </c>
      <c r="J190" s="101">
        <v>118748</v>
      </c>
      <c r="K190" s="87" t="s">
        <v>7</v>
      </c>
      <c r="L190" s="108"/>
      <c r="M190" s="108"/>
      <c r="N190" s="108" t="str">
        <v>P622P181</v>
      </c>
      <c r="O190" s="108">
        <f t="shared" si="4"/>
        <v>1</v>
      </c>
      <c r="P190" s="108"/>
      <c r="Q190"/>
    </row>
    <row r="191" spans="1:17" x14ac:dyDescent="0.25">
      <c r="A191" s="89" t="s">
        <v>7206</v>
      </c>
      <c r="B191" s="87" t="s">
        <v>7207</v>
      </c>
      <c r="C191" s="87" t="s">
        <v>10</v>
      </c>
      <c r="D191" s="87" t="str">
        <f>VLOOKUP(Tabela1[[#This Row],[Origem]], 'Perguntas 1 a 24'!$J$28:$K$34, 2, 0)</f>
        <v>Centro-Oeste</v>
      </c>
      <c r="E191" s="87" t="str">
        <f>Tabela1[[#This Row],[Descrição]]&amp;"-"&amp;Tabela1[[#This Row],[Código]]&amp;"/"&amp;Tabela1[[#This Row],[Origem]]</f>
        <v>Tarapugato-P726P826/GO</v>
      </c>
      <c r="F191" s="88">
        <v>45551</v>
      </c>
      <c r="G191" s="88" t="str" cm="1">
        <f t="array" ref="G1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AND(F191&gt;= DATE(2026,1,1), F191&lt;= DATE(2028, 12, 31), J191&gt;50000), "Pendente e Caro", AND(F191&gt;= DATE(2026,1,1), F191&lt;= DATE(2028, 12, 31), J191&lt;=50000), "Pendente", F191&gt;= DATE(2029,1,1), "Não prioeitário")</f>
        <v>Urgente</v>
      </c>
      <c r="H191" s="89">
        <f>YEAR(Tabela1[[#This Row],[Data de Validade]])</f>
        <v>2024</v>
      </c>
      <c r="I191" s="89">
        <f>MONTH(Tabela1[[#This Row],[Data de Validade]])</f>
        <v>9</v>
      </c>
      <c r="J191" s="101">
        <v>30365</v>
      </c>
      <c r="K191" s="87" t="s">
        <v>7</v>
      </c>
      <c r="L191" s="108"/>
      <c r="M191" s="108"/>
      <c r="N191" s="108" t="str">
        <v>P726P826</v>
      </c>
      <c r="O191" s="108">
        <f t="shared" si="4"/>
        <v>1</v>
      </c>
      <c r="P191" s="108"/>
      <c r="Q191"/>
    </row>
    <row r="192" spans="1:17" x14ac:dyDescent="0.25">
      <c r="A192" s="89" t="s">
        <v>11182</v>
      </c>
      <c r="B192" s="87" t="s">
        <v>11183</v>
      </c>
      <c r="C192" s="87" t="s">
        <v>13</v>
      </c>
      <c r="D192" s="87" t="str">
        <f>VLOOKUP(Tabela1[[#This Row],[Origem]], 'Perguntas 1 a 24'!$J$28:$K$34, 2, 0)</f>
        <v>Sudeste</v>
      </c>
      <c r="E192" s="87" t="str">
        <f>Tabela1[[#This Row],[Descrição]]&amp;"-"&amp;Tabela1[[#This Row],[Código]]&amp;"/"&amp;Tabela1[[#This Row],[Origem]]</f>
        <v>Nuruma-H713P189/SP</v>
      </c>
      <c r="F192" s="88">
        <v>45554</v>
      </c>
      <c r="G192" s="88" t="str" cm="1">
        <f t="array" ref="G1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AND(F192&gt;= DATE(2026,1,1), F192&lt;= DATE(2028, 12, 31), J192&gt;50000), "Pendente e Caro", AND(F192&gt;= DATE(2026,1,1), F192&lt;= DATE(2028, 12, 31), J192&lt;=50000), "Pendente", F192&gt;= DATE(2029,1,1), "Não prioeitário")</f>
        <v>Urgente e Caro</v>
      </c>
      <c r="H192" s="89">
        <f>YEAR(Tabela1[[#This Row],[Data de Validade]])</f>
        <v>2024</v>
      </c>
      <c r="I192" s="89">
        <f>MONTH(Tabela1[[#This Row],[Data de Validade]])</f>
        <v>9</v>
      </c>
      <c r="J192" s="101">
        <v>77798</v>
      </c>
      <c r="K192" s="87" t="s">
        <v>9</v>
      </c>
      <c r="L192" s="108"/>
      <c r="M192" s="108"/>
      <c r="N192" s="108" t="str">
        <v>H713P189</v>
      </c>
      <c r="O192" s="108">
        <f t="shared" si="4"/>
        <v>1</v>
      </c>
      <c r="P192" s="108"/>
      <c r="Q192"/>
    </row>
    <row r="193" spans="1:17" x14ac:dyDescent="0.25">
      <c r="A193" s="89" t="s">
        <v>9077</v>
      </c>
      <c r="B193" s="87" t="s">
        <v>9078</v>
      </c>
      <c r="C193" s="87" t="s">
        <v>8</v>
      </c>
      <c r="D193" s="87" t="str">
        <f>VLOOKUP(Tabela1[[#This Row],[Origem]], 'Perguntas 1 a 24'!$J$28:$K$34, 2, 0)</f>
        <v>Nordeste</v>
      </c>
      <c r="E193" s="87" t="str">
        <f>Tabela1[[#This Row],[Descrição]]&amp;"-"&amp;Tabela1[[#This Row],[Código]]&amp;"/"&amp;Tabela1[[#This Row],[Origem]]</f>
        <v>Fopulape-H171H337/AL</v>
      </c>
      <c r="F193" s="88">
        <v>45555</v>
      </c>
      <c r="G193" s="88" t="str" cm="1">
        <f t="array" ref="G1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AND(F193&gt;= DATE(2026,1,1), F193&lt;= DATE(2028, 12, 31), J193&gt;50000), "Pendente e Caro", AND(F193&gt;= DATE(2026,1,1), F193&lt;= DATE(2028, 12, 31), J193&lt;=50000), "Pendente", F193&gt;= DATE(2029,1,1), "Não prioeitário")</f>
        <v>Urgente e Caro</v>
      </c>
      <c r="H193" s="89">
        <f>YEAR(Tabela1[[#This Row],[Data de Validade]])</f>
        <v>2024</v>
      </c>
      <c r="I193" s="89">
        <f>MONTH(Tabela1[[#This Row],[Data de Validade]])</f>
        <v>9</v>
      </c>
      <c r="J193" s="101">
        <v>62696</v>
      </c>
      <c r="K193" s="87" t="s">
        <v>11</v>
      </c>
      <c r="L193" s="108"/>
      <c r="M193" s="108"/>
      <c r="N193" s="108" t="str">
        <v>H171H337</v>
      </c>
      <c r="O193" s="108">
        <f t="shared" si="4"/>
        <v>1</v>
      </c>
      <c r="P193" s="108"/>
      <c r="Q193"/>
    </row>
    <row r="194" spans="1:17" x14ac:dyDescent="0.25">
      <c r="A194" s="89" t="s">
        <v>8496</v>
      </c>
      <c r="B194" s="87" t="s">
        <v>8497</v>
      </c>
      <c r="C194" s="87" t="s">
        <v>13</v>
      </c>
      <c r="D194" s="87" t="str">
        <f>VLOOKUP(Tabela1[[#This Row],[Origem]], 'Perguntas 1 a 24'!$J$28:$K$34, 2, 0)</f>
        <v>Sudeste</v>
      </c>
      <c r="E194" s="87" t="str">
        <f>Tabela1[[#This Row],[Descrição]]&amp;"-"&amp;Tabela1[[#This Row],[Código]]&amp;"/"&amp;Tabela1[[#This Row],[Origem]]</f>
        <v>Nepipe-P985H676/SP</v>
      </c>
      <c r="F194" s="88">
        <v>45557</v>
      </c>
      <c r="G194" s="88" t="str" cm="1">
        <f t="array" ref="G1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AND(F194&gt;= DATE(2026,1,1), F194&lt;= DATE(2028, 12, 31), J194&gt;50000), "Pendente e Caro", AND(F194&gt;= DATE(2026,1,1), F194&lt;= DATE(2028, 12, 31), J194&lt;=50000), "Pendente", F194&gt;= DATE(2029,1,1), "Não prioeitário")</f>
        <v>Urgente e Caro</v>
      </c>
      <c r="H194" s="89">
        <f>YEAR(Tabela1[[#This Row],[Data de Validade]])</f>
        <v>2024</v>
      </c>
      <c r="I194" s="89">
        <f>MONTH(Tabela1[[#This Row],[Data de Validade]])</f>
        <v>9</v>
      </c>
      <c r="J194" s="101">
        <v>114114</v>
      </c>
      <c r="K194" s="87" t="s">
        <v>14</v>
      </c>
      <c r="L194" s="108"/>
      <c r="M194" s="108"/>
      <c r="N194" s="108" t="str">
        <v>P985H676</v>
      </c>
      <c r="O194" s="108">
        <f t="shared" si="4"/>
        <v>1</v>
      </c>
      <c r="P194" s="108"/>
      <c r="Q194"/>
    </row>
    <row r="195" spans="1:17" x14ac:dyDescent="0.25">
      <c r="A195" s="89" t="s">
        <v>7688</v>
      </c>
      <c r="B195" s="87" t="s">
        <v>7689</v>
      </c>
      <c r="C195" s="87" t="s">
        <v>6</v>
      </c>
      <c r="D195" s="87" t="str">
        <f>VLOOKUP(Tabela1[[#This Row],[Origem]], 'Perguntas 1 a 24'!$J$28:$K$34, 2, 0)</f>
        <v>Nordeste</v>
      </c>
      <c r="E195" s="87" t="str">
        <f>Tabela1[[#This Row],[Descrição]]&amp;"-"&amp;Tabela1[[#This Row],[Código]]&amp;"/"&amp;Tabela1[[#This Row],[Origem]]</f>
        <v>Rafuripuvi-P977H735/MA</v>
      </c>
      <c r="F195" s="88">
        <v>45557</v>
      </c>
      <c r="G195" s="88" t="str" cm="1">
        <f t="array" ref="G1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AND(F195&gt;= DATE(2026,1,1), F195&lt;= DATE(2028, 12, 31), J195&gt;50000), "Pendente e Caro", AND(F195&gt;= DATE(2026,1,1), F195&lt;= DATE(2028, 12, 31), J195&lt;=50000), "Pendente", F195&gt;= DATE(2029,1,1), "Não prioeitário")</f>
        <v>Urgente</v>
      </c>
      <c r="H195" s="89">
        <f>YEAR(Tabela1[[#This Row],[Data de Validade]])</f>
        <v>2024</v>
      </c>
      <c r="I195" s="89">
        <f>MONTH(Tabela1[[#This Row],[Data de Validade]])</f>
        <v>9</v>
      </c>
      <c r="J195" s="101">
        <v>41834</v>
      </c>
      <c r="K195" s="87" t="s">
        <v>14</v>
      </c>
      <c r="L195" s="108"/>
      <c r="M195" s="108"/>
      <c r="N195" s="108" t="str">
        <v>P977H735</v>
      </c>
      <c r="O195" s="108">
        <f t="shared" ref="O195:O258" si="5">COUNTIFS(B:B,N195)</f>
        <v>1</v>
      </c>
      <c r="P195" s="108"/>
      <c r="Q195"/>
    </row>
    <row r="196" spans="1:17" x14ac:dyDescent="0.25">
      <c r="A196" s="89" t="s">
        <v>8370</v>
      </c>
      <c r="B196" s="87" t="s">
        <v>8371</v>
      </c>
      <c r="C196" s="87" t="s">
        <v>13</v>
      </c>
      <c r="D196" s="87" t="str">
        <f>VLOOKUP(Tabela1[[#This Row],[Origem]], 'Perguntas 1 a 24'!$J$28:$K$34, 2, 0)</f>
        <v>Sudeste</v>
      </c>
      <c r="E196" s="87" t="str">
        <f>Tabela1[[#This Row],[Descrição]]&amp;"-"&amp;Tabela1[[#This Row],[Código]]&amp;"/"&amp;Tabela1[[#This Row],[Origem]]</f>
        <v>Voponupi-H711P771/SP</v>
      </c>
      <c r="F196" s="88">
        <v>45558</v>
      </c>
      <c r="G196" s="88" t="str" cm="1">
        <f t="array" ref="G1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AND(F196&gt;= DATE(2026,1,1), F196&lt;= DATE(2028, 12, 31), J196&gt;50000), "Pendente e Caro", AND(F196&gt;= DATE(2026,1,1), F196&lt;= DATE(2028, 12, 31), J196&lt;=50000), "Pendente", F196&gt;= DATE(2029,1,1), "Não prioeitário")</f>
        <v>Urgente e Caro</v>
      </c>
      <c r="H196" s="89">
        <f>YEAR(Tabela1[[#This Row],[Data de Validade]])</f>
        <v>2024</v>
      </c>
      <c r="I196" s="89">
        <f>MONTH(Tabela1[[#This Row],[Data de Validade]])</f>
        <v>9</v>
      </c>
      <c r="J196" s="101">
        <v>113345</v>
      </c>
      <c r="K196" s="87" t="s">
        <v>9</v>
      </c>
      <c r="L196" s="108"/>
      <c r="M196" s="108"/>
      <c r="N196" s="108" t="str">
        <v>H711P771</v>
      </c>
      <c r="O196" s="108">
        <f t="shared" si="5"/>
        <v>1</v>
      </c>
      <c r="P196" s="108"/>
      <c r="Q196"/>
    </row>
    <row r="197" spans="1:17" x14ac:dyDescent="0.25">
      <c r="A197" s="89" t="s">
        <v>5234</v>
      </c>
      <c r="B197" s="87" t="s">
        <v>5235</v>
      </c>
      <c r="C197" s="87" t="s">
        <v>10</v>
      </c>
      <c r="D197" s="87" t="str">
        <f>VLOOKUP(Tabela1[[#This Row],[Origem]], 'Perguntas 1 a 24'!$J$28:$K$34, 2, 0)</f>
        <v>Centro-Oeste</v>
      </c>
      <c r="E197" s="87" t="str">
        <f>Tabela1[[#This Row],[Descrição]]&amp;"-"&amp;Tabela1[[#This Row],[Código]]&amp;"/"&amp;Tabela1[[#This Row],[Origem]]</f>
        <v>Furagi-H672P749/GO</v>
      </c>
      <c r="F197" s="88">
        <v>45558</v>
      </c>
      <c r="G197" s="88" t="str" cm="1">
        <f t="array" ref="G1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AND(F197&gt;= DATE(2026,1,1), F197&lt;= DATE(2028, 12, 31), J197&gt;50000), "Pendente e Caro", AND(F197&gt;= DATE(2026,1,1), F197&lt;= DATE(2028, 12, 31), J197&lt;=50000), "Pendente", F197&gt;= DATE(2029,1,1), "Não prioeitário")</f>
        <v>Urgente e Caro</v>
      </c>
      <c r="H197" s="89">
        <f>YEAR(Tabela1[[#This Row],[Data de Validade]])</f>
        <v>2024</v>
      </c>
      <c r="I197" s="89">
        <f>MONTH(Tabela1[[#This Row],[Data de Validade]])</f>
        <v>9</v>
      </c>
      <c r="J197" s="101">
        <v>70087</v>
      </c>
      <c r="K197" s="87" t="s">
        <v>14</v>
      </c>
      <c r="L197" s="108"/>
      <c r="M197" s="108"/>
      <c r="N197" s="108" t="str">
        <v>H672P749</v>
      </c>
      <c r="O197" s="108">
        <f t="shared" si="5"/>
        <v>1</v>
      </c>
      <c r="P197" s="108"/>
      <c r="Q197"/>
    </row>
    <row r="198" spans="1:17" x14ac:dyDescent="0.25">
      <c r="A198" s="89" t="s">
        <v>8234</v>
      </c>
      <c r="B198" s="87" t="s">
        <v>8235</v>
      </c>
      <c r="C198" s="87" t="s">
        <v>8</v>
      </c>
      <c r="D198" s="87" t="str">
        <f>VLOOKUP(Tabela1[[#This Row],[Origem]], 'Perguntas 1 a 24'!$J$28:$K$34, 2, 0)</f>
        <v>Nordeste</v>
      </c>
      <c r="E198" s="87" t="str">
        <f>Tabela1[[#This Row],[Descrição]]&amp;"-"&amp;Tabela1[[#This Row],[Código]]&amp;"/"&amp;Tabela1[[#This Row],[Origem]]</f>
        <v>Cepapefi-P273H296/AL</v>
      </c>
      <c r="F198" s="88">
        <v>45558</v>
      </c>
      <c r="G198" s="88" t="str" cm="1">
        <f t="array" ref="G1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AND(F198&gt;= DATE(2026,1,1), F198&lt;= DATE(2028, 12, 31), J198&gt;50000), "Pendente e Caro", AND(F198&gt;= DATE(2026,1,1), F198&lt;= DATE(2028, 12, 31), J198&lt;=50000), "Pendente", F198&gt;= DATE(2029,1,1), "Não prioeitário")</f>
        <v>Urgente e Caro</v>
      </c>
      <c r="H198" s="89">
        <f>YEAR(Tabela1[[#This Row],[Data de Validade]])</f>
        <v>2024</v>
      </c>
      <c r="I198" s="89">
        <f>MONTH(Tabela1[[#This Row],[Data de Validade]])</f>
        <v>9</v>
      </c>
      <c r="J198" s="101">
        <v>57224</v>
      </c>
      <c r="K198" s="87" t="s">
        <v>14</v>
      </c>
      <c r="L198" s="108"/>
      <c r="M198" s="108"/>
      <c r="N198" s="108" t="str">
        <v>P273H296</v>
      </c>
      <c r="O198" s="108">
        <f t="shared" si="5"/>
        <v>1</v>
      </c>
      <c r="P198" s="108"/>
      <c r="Q198"/>
    </row>
    <row r="199" spans="1:17" x14ac:dyDescent="0.25">
      <c r="A199" s="89" t="s">
        <v>6016</v>
      </c>
      <c r="B199" s="87" t="s">
        <v>6017</v>
      </c>
      <c r="C199" s="87" t="s">
        <v>13</v>
      </c>
      <c r="D199" s="87" t="str">
        <f>VLOOKUP(Tabela1[[#This Row],[Origem]], 'Perguntas 1 a 24'!$J$28:$K$34, 2, 0)</f>
        <v>Sudeste</v>
      </c>
      <c r="E199" s="87" t="str">
        <f>Tabela1[[#This Row],[Descrição]]&amp;"-"&amp;Tabela1[[#This Row],[Código]]&amp;"/"&amp;Tabela1[[#This Row],[Origem]]</f>
        <v>Rogunu-H312P848/SP</v>
      </c>
      <c r="F199" s="88">
        <v>45558</v>
      </c>
      <c r="G199" s="88" t="str" cm="1">
        <f t="array" ref="G1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AND(F199&gt;= DATE(2026,1,1), F199&lt;= DATE(2028, 12, 31), J199&gt;50000), "Pendente e Caro", AND(F199&gt;= DATE(2026,1,1), F199&lt;= DATE(2028, 12, 31), J199&lt;=50000), "Pendente", F199&gt;= DATE(2029,1,1), "Não prioeitário")</f>
        <v>Urgente e Caro</v>
      </c>
      <c r="H199" s="89">
        <f>YEAR(Tabela1[[#This Row],[Data de Validade]])</f>
        <v>2024</v>
      </c>
      <c r="I199" s="89">
        <f>MONTH(Tabela1[[#This Row],[Data de Validade]])</f>
        <v>9</v>
      </c>
      <c r="J199" s="101">
        <v>57064</v>
      </c>
      <c r="K199" s="87" t="s">
        <v>7</v>
      </c>
      <c r="L199" s="108"/>
      <c r="M199" s="108"/>
      <c r="N199" s="108" t="str">
        <v>H312P848</v>
      </c>
      <c r="O199" s="108">
        <f t="shared" si="5"/>
        <v>1</v>
      </c>
      <c r="P199" s="108"/>
      <c r="Q199"/>
    </row>
    <row r="200" spans="1:17" x14ac:dyDescent="0.25">
      <c r="A200" s="89" t="s">
        <v>7780</v>
      </c>
      <c r="B200" s="87" t="s">
        <v>7781</v>
      </c>
      <c r="C200" s="87" t="s">
        <v>8</v>
      </c>
      <c r="D200" s="87" t="str">
        <f>VLOOKUP(Tabela1[[#This Row],[Origem]], 'Perguntas 1 a 24'!$J$28:$K$34, 2, 0)</f>
        <v>Nordeste</v>
      </c>
      <c r="E200" s="87" t="str">
        <f>Tabela1[[#This Row],[Descrição]]&amp;"-"&amp;Tabela1[[#This Row],[Código]]&amp;"/"&amp;Tabela1[[#This Row],[Origem]]</f>
        <v>Gerinovo-P615H932/AL</v>
      </c>
      <c r="F200" s="88">
        <v>45559</v>
      </c>
      <c r="G200" s="88" t="str" cm="1">
        <f t="array" ref="G2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AND(F200&gt;= DATE(2026,1,1), F200&lt;= DATE(2028, 12, 31), J200&gt;50000), "Pendente e Caro", AND(F200&gt;= DATE(2026,1,1), F200&lt;= DATE(2028, 12, 31), J200&lt;=50000), "Pendente", F200&gt;= DATE(2029,1,1), "Não prioeitário")</f>
        <v>Urgente e Caro</v>
      </c>
      <c r="H200" s="89">
        <f>YEAR(Tabela1[[#This Row],[Data de Validade]])</f>
        <v>2024</v>
      </c>
      <c r="I200" s="89">
        <f>MONTH(Tabela1[[#This Row],[Data de Validade]])</f>
        <v>9</v>
      </c>
      <c r="J200" s="101">
        <v>109775</v>
      </c>
      <c r="K200" s="87" t="s">
        <v>14</v>
      </c>
      <c r="L200" s="108"/>
      <c r="M200" s="108"/>
      <c r="N200" s="108" t="str">
        <v>P615H932</v>
      </c>
      <c r="O200" s="108">
        <f t="shared" si="5"/>
        <v>1</v>
      </c>
      <c r="P200" s="108"/>
      <c r="Q200"/>
    </row>
    <row r="201" spans="1:17" x14ac:dyDescent="0.25">
      <c r="A201" s="89" t="s">
        <v>11028</v>
      </c>
      <c r="B201" s="87" t="s">
        <v>11029</v>
      </c>
      <c r="C201" s="87" t="s">
        <v>12</v>
      </c>
      <c r="D201" s="87" t="str">
        <f>VLOOKUP(Tabela1[[#This Row],[Origem]], 'Perguntas 1 a 24'!$J$28:$K$34, 2, 0)</f>
        <v>Sudeste</v>
      </c>
      <c r="E201" s="87" t="str">
        <f>Tabela1[[#This Row],[Descrição]]&amp;"-"&amp;Tabela1[[#This Row],[Código]]&amp;"/"&amp;Tabela1[[#This Row],[Origem]]</f>
        <v>Citipu-P897H296/RJ</v>
      </c>
      <c r="F201" s="88">
        <v>45559</v>
      </c>
      <c r="G201" s="88" t="str" cm="1">
        <f t="array" ref="G2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AND(F201&gt;= DATE(2026,1,1), F201&lt;= DATE(2028, 12, 31), J201&gt;50000), "Pendente e Caro", AND(F201&gt;= DATE(2026,1,1), F201&lt;= DATE(2028, 12, 31), J201&lt;=50000), "Pendente", F201&gt;= DATE(2029,1,1), "Não prioeitário")</f>
        <v>Urgente e Caro</v>
      </c>
      <c r="H201" s="89">
        <f>YEAR(Tabela1[[#This Row],[Data de Validade]])</f>
        <v>2024</v>
      </c>
      <c r="I201" s="89">
        <f>MONTH(Tabela1[[#This Row],[Data de Validade]])</f>
        <v>9</v>
      </c>
      <c r="J201" s="101">
        <v>81040</v>
      </c>
      <c r="K201" s="87" t="s">
        <v>11</v>
      </c>
      <c r="L201" s="108"/>
      <c r="M201" s="108"/>
      <c r="N201" s="108" t="str">
        <v>P897H296</v>
      </c>
      <c r="O201" s="108">
        <f t="shared" si="5"/>
        <v>1</v>
      </c>
      <c r="P201" s="108"/>
      <c r="Q201"/>
    </row>
    <row r="202" spans="1:17" x14ac:dyDescent="0.25">
      <c r="A202" s="89" t="s">
        <v>7990</v>
      </c>
      <c r="B202" s="87" t="s">
        <v>7991</v>
      </c>
      <c r="C202" s="87" t="s">
        <v>12</v>
      </c>
      <c r="D202" s="87" t="str">
        <f>VLOOKUP(Tabela1[[#This Row],[Origem]], 'Perguntas 1 a 24'!$J$28:$K$34, 2, 0)</f>
        <v>Sudeste</v>
      </c>
      <c r="E202" s="87" t="str">
        <f>Tabela1[[#This Row],[Descrição]]&amp;"-"&amp;Tabela1[[#This Row],[Código]]&amp;"/"&amp;Tabela1[[#This Row],[Origem]]</f>
        <v>Tupogudi-P381H662/RJ</v>
      </c>
      <c r="F202" s="88">
        <v>45560</v>
      </c>
      <c r="G202" s="88" t="str" cm="1">
        <f t="array" ref="G2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AND(F202&gt;= DATE(2026,1,1), F202&lt;= DATE(2028, 12, 31), J202&gt;50000), "Pendente e Caro", AND(F202&gt;= DATE(2026,1,1), F202&lt;= DATE(2028, 12, 31), J202&lt;=50000), "Pendente", F202&gt;= DATE(2029,1,1), "Não prioeitário")</f>
        <v>Urgente e Caro</v>
      </c>
      <c r="H202" s="89">
        <f>YEAR(Tabela1[[#This Row],[Data de Validade]])</f>
        <v>2024</v>
      </c>
      <c r="I202" s="89">
        <f>MONTH(Tabela1[[#This Row],[Data de Validade]])</f>
        <v>9</v>
      </c>
      <c r="J202" s="101">
        <v>105482</v>
      </c>
      <c r="K202" s="87" t="s">
        <v>9</v>
      </c>
      <c r="L202" s="108"/>
      <c r="M202" s="108"/>
      <c r="N202" s="108" t="str">
        <v>P381H662</v>
      </c>
      <c r="O202" s="108">
        <f t="shared" si="5"/>
        <v>1</v>
      </c>
      <c r="P202" s="108"/>
      <c r="Q202"/>
    </row>
    <row r="203" spans="1:17" x14ac:dyDescent="0.25">
      <c r="A203" s="89" t="s">
        <v>9881</v>
      </c>
      <c r="B203" s="87" t="s">
        <v>9882</v>
      </c>
      <c r="C203" s="87" t="s">
        <v>12</v>
      </c>
      <c r="D203" s="87" t="str">
        <f>VLOOKUP(Tabela1[[#This Row],[Origem]], 'Perguntas 1 a 24'!$J$28:$K$34, 2, 0)</f>
        <v>Sudeste</v>
      </c>
      <c r="E203" s="87" t="str">
        <f>Tabela1[[#This Row],[Descrição]]&amp;"-"&amp;Tabela1[[#This Row],[Código]]&amp;"/"&amp;Tabela1[[#This Row],[Origem]]</f>
        <v>Derunega-H758H992/RJ</v>
      </c>
      <c r="F203" s="88">
        <v>45561</v>
      </c>
      <c r="G203" s="88" t="str" cm="1">
        <f t="array" ref="G2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AND(F203&gt;= DATE(2026,1,1), F203&lt;= DATE(2028, 12, 31), J203&gt;50000), "Pendente e Caro", AND(F203&gt;= DATE(2026,1,1), F203&lt;= DATE(2028, 12, 31), J203&lt;=50000), "Pendente", F203&gt;= DATE(2029,1,1), "Não prioeitário")</f>
        <v>Urgente e Caro</v>
      </c>
      <c r="H203" s="89">
        <f>YEAR(Tabela1[[#This Row],[Data de Validade]])</f>
        <v>2024</v>
      </c>
      <c r="I203" s="89">
        <f>MONTH(Tabela1[[#This Row],[Data de Validade]])</f>
        <v>9</v>
      </c>
      <c r="J203" s="101">
        <v>114991</v>
      </c>
      <c r="K203" s="87" t="s">
        <v>14</v>
      </c>
      <c r="L203" s="108"/>
      <c r="M203" s="108"/>
      <c r="N203" s="108" t="str">
        <v>H758H992</v>
      </c>
      <c r="O203" s="108">
        <f t="shared" si="5"/>
        <v>1</v>
      </c>
      <c r="P203" s="108"/>
      <c r="Q203"/>
    </row>
    <row r="204" spans="1:17" x14ac:dyDescent="0.25">
      <c r="A204" s="89" t="s">
        <v>7408</v>
      </c>
      <c r="B204" s="87" t="s">
        <v>7409</v>
      </c>
      <c r="C204" s="87" t="s">
        <v>15</v>
      </c>
      <c r="D204" s="87" t="str">
        <f>VLOOKUP(Tabela1[[#This Row],[Origem]], 'Perguntas 1 a 24'!$J$28:$K$34, 2, 0)</f>
        <v>Sudeste</v>
      </c>
      <c r="E204" s="87" t="str">
        <f>Tabela1[[#This Row],[Descrição]]&amp;"-"&amp;Tabela1[[#This Row],[Código]]&amp;"/"&amp;Tabela1[[#This Row],[Origem]]</f>
        <v>Pomefipeni-H269H715/ES</v>
      </c>
      <c r="F204" s="88">
        <v>45561</v>
      </c>
      <c r="G204" s="88" t="str" cm="1">
        <f t="array" ref="G2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AND(F204&gt;= DATE(2026,1,1), F204&lt;= DATE(2028, 12, 31), J204&gt;50000), "Pendente e Caro", AND(F204&gt;= DATE(2026,1,1), F204&lt;= DATE(2028, 12, 31), J204&lt;=50000), "Pendente", F204&gt;= DATE(2029,1,1), "Não prioeitário")</f>
        <v>Urgente e Caro</v>
      </c>
      <c r="H204" s="89">
        <f>YEAR(Tabela1[[#This Row],[Data de Validade]])</f>
        <v>2024</v>
      </c>
      <c r="I204" s="89">
        <f>MONTH(Tabela1[[#This Row],[Data de Validade]])</f>
        <v>9</v>
      </c>
      <c r="J204" s="101">
        <v>79914</v>
      </c>
      <c r="K204" s="87" t="s">
        <v>7</v>
      </c>
      <c r="L204" s="108"/>
      <c r="M204" s="108"/>
      <c r="N204" s="108" t="str">
        <v>H269H715</v>
      </c>
      <c r="O204" s="108">
        <f t="shared" si="5"/>
        <v>1</v>
      </c>
      <c r="P204" s="108"/>
      <c r="Q204"/>
    </row>
    <row r="205" spans="1:17" x14ac:dyDescent="0.25">
      <c r="A205" s="89" t="s">
        <v>8066</v>
      </c>
      <c r="B205" s="87" t="s">
        <v>8067</v>
      </c>
      <c r="C205" s="87" t="s">
        <v>13</v>
      </c>
      <c r="D205" s="87" t="str">
        <f>VLOOKUP(Tabela1[[#This Row],[Origem]], 'Perguntas 1 a 24'!$J$28:$K$34, 2, 0)</f>
        <v>Sudeste</v>
      </c>
      <c r="E205" s="87" t="str">
        <f>Tabela1[[#This Row],[Descrição]]&amp;"-"&amp;Tabela1[[#This Row],[Código]]&amp;"/"&amp;Tabela1[[#This Row],[Origem]]</f>
        <v>Roramapali-H522P534/SP</v>
      </c>
      <c r="F205" s="88">
        <v>45562</v>
      </c>
      <c r="G205" s="88" t="str" cm="1">
        <f t="array" ref="G2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AND(F205&gt;= DATE(2026,1,1), F205&lt;= DATE(2028, 12, 31), J205&gt;50000), "Pendente e Caro", AND(F205&gt;= DATE(2026,1,1), F205&lt;= DATE(2028, 12, 31), J205&lt;=50000), "Pendente", F205&gt;= DATE(2029,1,1), "Não prioeitário")</f>
        <v>Urgente e Caro</v>
      </c>
      <c r="H205" s="89">
        <f>YEAR(Tabela1[[#This Row],[Data de Validade]])</f>
        <v>2024</v>
      </c>
      <c r="I205" s="89">
        <f>MONTH(Tabela1[[#This Row],[Data de Validade]])</f>
        <v>9</v>
      </c>
      <c r="J205" s="101">
        <v>111813</v>
      </c>
      <c r="K205" s="87" t="s">
        <v>14</v>
      </c>
      <c r="L205" s="108"/>
      <c r="M205" s="108"/>
      <c r="N205" s="108" t="str">
        <v>H522P534</v>
      </c>
      <c r="O205" s="108">
        <f t="shared" si="5"/>
        <v>1</v>
      </c>
      <c r="P205" s="108"/>
      <c r="Q205"/>
    </row>
    <row r="206" spans="1:17" x14ac:dyDescent="0.25">
      <c r="A206" s="89" t="s">
        <v>10103</v>
      </c>
      <c r="B206" s="87" t="s">
        <v>10104</v>
      </c>
      <c r="C206" s="87" t="s">
        <v>6</v>
      </c>
      <c r="D206" s="87" t="str">
        <f>VLOOKUP(Tabela1[[#This Row],[Origem]], 'Perguntas 1 a 24'!$J$28:$K$34, 2, 0)</f>
        <v>Nordeste</v>
      </c>
      <c r="E206" s="87" t="str">
        <f>Tabela1[[#This Row],[Descrição]]&amp;"-"&amp;Tabela1[[#This Row],[Código]]&amp;"/"&amp;Tabela1[[#This Row],[Origem]]</f>
        <v>Duvotupeve-H349H849/MA</v>
      </c>
      <c r="F206" s="88">
        <v>45562</v>
      </c>
      <c r="G206" s="88" t="str" cm="1">
        <f t="array" ref="G2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AND(F206&gt;= DATE(2026,1,1), F206&lt;= DATE(2028, 12, 31), J206&gt;50000), "Pendente e Caro", AND(F206&gt;= DATE(2026,1,1), F206&lt;= DATE(2028, 12, 31), J206&lt;=50000), "Pendente", F206&gt;= DATE(2029,1,1), "Não prioeitário")</f>
        <v>Urgente</v>
      </c>
      <c r="H206" s="89">
        <f>YEAR(Tabela1[[#This Row],[Data de Validade]])</f>
        <v>2024</v>
      </c>
      <c r="I206" s="89">
        <f>MONTH(Tabela1[[#This Row],[Data de Validade]])</f>
        <v>9</v>
      </c>
      <c r="J206" s="101">
        <v>31170</v>
      </c>
      <c r="K206" s="87" t="s">
        <v>9</v>
      </c>
      <c r="L206" s="108"/>
      <c r="M206" s="108"/>
      <c r="N206" s="108" t="str">
        <v>H349H849</v>
      </c>
      <c r="O206" s="108">
        <f t="shared" si="5"/>
        <v>1</v>
      </c>
      <c r="P206" s="108"/>
      <c r="Q206"/>
    </row>
    <row r="207" spans="1:17" x14ac:dyDescent="0.25">
      <c r="A207" s="89" t="s">
        <v>6078</v>
      </c>
      <c r="B207" s="87" t="s">
        <v>6079</v>
      </c>
      <c r="C207" s="87" t="s">
        <v>8</v>
      </c>
      <c r="D207" s="87" t="str">
        <f>VLOOKUP(Tabela1[[#This Row],[Origem]], 'Perguntas 1 a 24'!$J$28:$K$34, 2, 0)</f>
        <v>Nordeste</v>
      </c>
      <c r="E207" s="87" t="str">
        <f>Tabela1[[#This Row],[Descrição]]&amp;"-"&amp;Tabela1[[#This Row],[Código]]&amp;"/"&amp;Tabela1[[#This Row],[Origem]]</f>
        <v>Mugerogupo-H783P394/AL</v>
      </c>
      <c r="F207" s="88">
        <v>45563</v>
      </c>
      <c r="G207" s="88" t="str" cm="1">
        <f t="array" ref="G2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AND(F207&gt;= DATE(2026,1,1), F207&lt;= DATE(2028, 12, 31), J207&gt;50000), "Pendente e Caro", AND(F207&gt;= DATE(2026,1,1), F207&lt;= DATE(2028, 12, 31), J207&lt;=50000), "Pendente", F207&gt;= DATE(2029,1,1), "Não prioeitário")</f>
        <v>Urgente e Caro</v>
      </c>
      <c r="H207" s="89">
        <f>YEAR(Tabela1[[#This Row],[Data de Validade]])</f>
        <v>2024</v>
      </c>
      <c r="I207" s="89">
        <f>MONTH(Tabela1[[#This Row],[Data de Validade]])</f>
        <v>9</v>
      </c>
      <c r="J207" s="101">
        <v>93242</v>
      </c>
      <c r="K207" s="87" t="s">
        <v>9</v>
      </c>
      <c r="L207" s="108"/>
      <c r="M207" s="108"/>
      <c r="N207" s="108" t="str">
        <v>H783P394</v>
      </c>
      <c r="O207" s="108">
        <f t="shared" si="5"/>
        <v>1</v>
      </c>
      <c r="P207" s="108"/>
      <c r="Q207"/>
    </row>
    <row r="208" spans="1:17" x14ac:dyDescent="0.25">
      <c r="A208" s="89" t="s">
        <v>4602</v>
      </c>
      <c r="B208" s="87" t="s">
        <v>4603</v>
      </c>
      <c r="C208" s="87" t="s">
        <v>15</v>
      </c>
      <c r="D208" s="87" t="str">
        <f>VLOOKUP(Tabela1[[#This Row],[Origem]], 'Perguntas 1 a 24'!$J$28:$K$34, 2, 0)</f>
        <v>Sudeste</v>
      </c>
      <c r="E208" s="87" t="str">
        <f>Tabela1[[#This Row],[Descrição]]&amp;"-"&amp;Tabela1[[#This Row],[Código]]&amp;"/"&amp;Tabela1[[#This Row],[Origem]]</f>
        <v>Pimipe-H383H413/ES</v>
      </c>
      <c r="F208" s="88">
        <v>45563</v>
      </c>
      <c r="G208" s="88" t="str" cm="1">
        <f t="array" ref="G2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AND(F208&gt;= DATE(2026,1,1), F208&lt;= DATE(2028, 12, 31), J208&gt;50000), "Pendente e Caro", AND(F208&gt;= DATE(2026,1,1), F208&lt;= DATE(2028, 12, 31), J208&lt;=50000), "Pendente", F208&gt;= DATE(2029,1,1), "Não prioeitário")</f>
        <v>Urgente</v>
      </c>
      <c r="H208" s="89">
        <f>YEAR(Tabela1[[#This Row],[Data de Validade]])</f>
        <v>2024</v>
      </c>
      <c r="I208" s="89">
        <f>MONTH(Tabela1[[#This Row],[Data de Validade]])</f>
        <v>9</v>
      </c>
      <c r="J208" s="101">
        <v>42779</v>
      </c>
      <c r="K208" s="87" t="s">
        <v>9</v>
      </c>
      <c r="L208" s="108"/>
      <c r="M208" s="108"/>
      <c r="N208" s="108" t="str">
        <v>H383H413</v>
      </c>
      <c r="O208" s="108">
        <f t="shared" si="5"/>
        <v>1</v>
      </c>
      <c r="P208" s="108"/>
      <c r="Q208"/>
    </row>
    <row r="209" spans="1:17" x14ac:dyDescent="0.25">
      <c r="A209" s="89" t="s">
        <v>8895</v>
      </c>
      <c r="B209" s="87" t="s">
        <v>8896</v>
      </c>
      <c r="C209" s="87" t="s">
        <v>16</v>
      </c>
      <c r="D209" s="87" t="str">
        <f>VLOOKUP(Tabela1[[#This Row],[Origem]], 'Perguntas 1 a 24'!$J$28:$K$34, 2, 0)</f>
        <v>Sudeste</v>
      </c>
      <c r="E209" s="87" t="str">
        <f>Tabela1[[#This Row],[Descrição]]&amp;"-"&amp;Tabela1[[#This Row],[Código]]&amp;"/"&amp;Tabela1[[#This Row],[Origem]]</f>
        <v>Nococucu-H498P685/MG</v>
      </c>
      <c r="F209" s="88">
        <v>45564</v>
      </c>
      <c r="G209" s="88" t="str" cm="1">
        <f t="array" ref="G2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AND(F209&gt;= DATE(2026,1,1), F209&lt;= DATE(2028, 12, 31), J209&gt;50000), "Pendente e Caro", AND(F209&gt;= DATE(2026,1,1), F209&lt;= DATE(2028, 12, 31), J209&lt;=50000), "Pendente", F209&gt;= DATE(2029,1,1), "Não prioeitário")</f>
        <v>Urgente e Caro</v>
      </c>
      <c r="H209" s="89">
        <f>YEAR(Tabela1[[#This Row],[Data de Validade]])</f>
        <v>2024</v>
      </c>
      <c r="I209" s="89">
        <f>MONTH(Tabela1[[#This Row],[Data de Validade]])</f>
        <v>9</v>
      </c>
      <c r="J209" s="101">
        <v>55380</v>
      </c>
      <c r="K209" s="87" t="s">
        <v>9</v>
      </c>
      <c r="L209" s="108"/>
      <c r="M209" s="108"/>
      <c r="N209" s="108" t="str">
        <v>H498P685</v>
      </c>
      <c r="O209" s="108">
        <f t="shared" si="5"/>
        <v>1</v>
      </c>
      <c r="P209" s="108"/>
      <c r="Q209"/>
    </row>
    <row r="210" spans="1:17" x14ac:dyDescent="0.25">
      <c r="A210" s="89" t="s">
        <v>10833</v>
      </c>
      <c r="B210" s="87" t="s">
        <v>10834</v>
      </c>
      <c r="C210" s="87" t="s">
        <v>6</v>
      </c>
      <c r="D210" s="87" t="str">
        <f>VLOOKUP(Tabela1[[#This Row],[Origem]], 'Perguntas 1 a 24'!$J$28:$K$34, 2, 0)</f>
        <v>Nordeste</v>
      </c>
      <c r="E210" s="87" t="str">
        <f>Tabela1[[#This Row],[Descrição]]&amp;"-"&amp;Tabela1[[#This Row],[Código]]&amp;"/"&amp;Tabela1[[#This Row],[Origem]]</f>
        <v>Pulifeci-P466H834/MA</v>
      </c>
      <c r="F210" s="88">
        <v>45564</v>
      </c>
      <c r="G210" s="88" t="str" cm="1">
        <f t="array" ref="G2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AND(F210&gt;= DATE(2026,1,1), F210&lt;= DATE(2028, 12, 31), J210&gt;50000), "Pendente e Caro", AND(F210&gt;= DATE(2026,1,1), F210&lt;= DATE(2028, 12, 31), J210&lt;=50000), "Pendente", F210&gt;= DATE(2029,1,1), "Não prioeitário")</f>
        <v>Urgente</v>
      </c>
      <c r="H210" s="89">
        <f>YEAR(Tabela1[[#This Row],[Data de Validade]])</f>
        <v>2024</v>
      </c>
      <c r="I210" s="89">
        <f>MONTH(Tabela1[[#This Row],[Data de Validade]])</f>
        <v>9</v>
      </c>
      <c r="J210" s="101">
        <v>27134</v>
      </c>
      <c r="K210" s="87" t="s">
        <v>9</v>
      </c>
      <c r="L210" s="108"/>
      <c r="M210" s="108"/>
      <c r="N210" s="108" t="str">
        <v>P466H834</v>
      </c>
      <c r="O210" s="108">
        <f t="shared" si="5"/>
        <v>1</v>
      </c>
      <c r="P210" s="108"/>
      <c r="Q210"/>
    </row>
    <row r="211" spans="1:17" x14ac:dyDescent="0.25">
      <c r="A211" s="89" t="s">
        <v>7796</v>
      </c>
      <c r="B211" s="87" t="s">
        <v>7797</v>
      </c>
      <c r="C211" s="87" t="s">
        <v>16</v>
      </c>
      <c r="D211" s="87" t="str">
        <f>VLOOKUP(Tabela1[[#This Row],[Origem]], 'Perguntas 1 a 24'!$J$28:$K$34, 2, 0)</f>
        <v>Sudeste</v>
      </c>
      <c r="E211" s="87" t="str">
        <f>Tabela1[[#This Row],[Descrição]]&amp;"-"&amp;Tabela1[[#This Row],[Código]]&amp;"/"&amp;Tabela1[[#This Row],[Origem]]</f>
        <v>Niduvife-P484P888/MG</v>
      </c>
      <c r="F211" s="88">
        <v>45565</v>
      </c>
      <c r="G211" s="88" t="str" cm="1">
        <f t="array" ref="G2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AND(F211&gt;= DATE(2026,1,1), F211&lt;= DATE(2028, 12, 31), J211&gt;50000), "Pendente e Caro", AND(F211&gt;= DATE(2026,1,1), F211&lt;= DATE(2028, 12, 31), J211&lt;=50000), "Pendente", F211&gt;= DATE(2029,1,1), "Não prioeitário")</f>
        <v>Urgente e Caro</v>
      </c>
      <c r="H211" s="89">
        <f>YEAR(Tabela1[[#This Row],[Data de Validade]])</f>
        <v>2024</v>
      </c>
      <c r="I211" s="89">
        <f>MONTH(Tabela1[[#This Row],[Data de Validade]])</f>
        <v>9</v>
      </c>
      <c r="J211" s="101">
        <v>87699</v>
      </c>
      <c r="K211" s="87" t="s">
        <v>9</v>
      </c>
      <c r="L211" s="108"/>
      <c r="M211" s="108"/>
      <c r="N211" s="108" t="str">
        <v>P484P888</v>
      </c>
      <c r="O211" s="108">
        <f t="shared" si="5"/>
        <v>1</v>
      </c>
      <c r="P211" s="108"/>
      <c r="Q211"/>
    </row>
    <row r="212" spans="1:17" x14ac:dyDescent="0.25">
      <c r="A212" s="89" t="s">
        <v>4696</v>
      </c>
      <c r="B212" s="87" t="s">
        <v>4697</v>
      </c>
      <c r="C212" s="87" t="s">
        <v>13</v>
      </c>
      <c r="D212" s="87" t="str">
        <f>VLOOKUP(Tabela1[[#This Row],[Origem]], 'Perguntas 1 a 24'!$J$28:$K$34, 2, 0)</f>
        <v>Sudeste</v>
      </c>
      <c r="E212" s="87" t="str">
        <f>Tabela1[[#This Row],[Descrição]]&amp;"-"&amp;Tabela1[[#This Row],[Código]]&amp;"/"&amp;Tabela1[[#This Row],[Origem]]</f>
        <v>Tetitafo-P448P743/SP</v>
      </c>
      <c r="F212" s="88">
        <v>45565</v>
      </c>
      <c r="G212" s="88" t="str" cm="1">
        <f t="array" ref="G2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AND(F212&gt;= DATE(2026,1,1), F212&lt;= DATE(2028, 12, 31), J212&gt;50000), "Pendente e Caro", AND(F212&gt;= DATE(2026,1,1), F212&lt;= DATE(2028, 12, 31), J212&lt;=50000), "Pendente", F212&gt;= DATE(2029,1,1), "Não prioeitário")</f>
        <v>Urgente e Caro</v>
      </c>
      <c r="H212" s="89">
        <f>YEAR(Tabela1[[#This Row],[Data de Validade]])</f>
        <v>2024</v>
      </c>
      <c r="I212" s="89">
        <f>MONTH(Tabela1[[#This Row],[Data de Validade]])</f>
        <v>9</v>
      </c>
      <c r="J212" s="101">
        <v>83660</v>
      </c>
      <c r="K212" s="87" t="s">
        <v>11</v>
      </c>
      <c r="L212" s="108"/>
      <c r="M212" s="108"/>
      <c r="N212" s="108" t="str">
        <v>P448P743</v>
      </c>
      <c r="O212" s="108">
        <f t="shared" si="5"/>
        <v>1</v>
      </c>
      <c r="P212" s="108"/>
      <c r="Q212"/>
    </row>
    <row r="213" spans="1:17" x14ac:dyDescent="0.25">
      <c r="A213" s="89" t="s">
        <v>10769</v>
      </c>
      <c r="B213" s="87" t="s">
        <v>10770</v>
      </c>
      <c r="C213" s="87" t="s">
        <v>12</v>
      </c>
      <c r="D213" s="87" t="str">
        <f>VLOOKUP(Tabela1[[#This Row],[Origem]], 'Perguntas 1 a 24'!$J$28:$K$34, 2, 0)</f>
        <v>Sudeste</v>
      </c>
      <c r="E213" s="87" t="str">
        <f>Tabela1[[#This Row],[Descrição]]&amp;"-"&amp;Tabela1[[#This Row],[Código]]&amp;"/"&amp;Tabela1[[#This Row],[Origem]]</f>
        <v>Notadi-P646P824/RJ</v>
      </c>
      <c r="F213" s="88">
        <v>45565</v>
      </c>
      <c r="G213" s="88" t="str" cm="1">
        <f t="array" ref="G2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AND(F213&gt;= DATE(2026,1,1), F213&lt;= DATE(2028, 12, 31), J213&gt;50000), "Pendente e Caro", AND(F213&gt;= DATE(2026,1,1), F213&lt;= DATE(2028, 12, 31), J213&lt;=50000), "Pendente", F213&gt;= DATE(2029,1,1), "Não prioeitário")</f>
        <v>Urgente e Caro</v>
      </c>
      <c r="H213" s="89">
        <f>YEAR(Tabela1[[#This Row],[Data de Validade]])</f>
        <v>2024</v>
      </c>
      <c r="I213" s="89">
        <f>MONTH(Tabela1[[#This Row],[Data de Validade]])</f>
        <v>9</v>
      </c>
      <c r="J213" s="101">
        <v>82234</v>
      </c>
      <c r="K213" s="87" t="s">
        <v>14</v>
      </c>
      <c r="L213" s="108"/>
      <c r="M213" s="108"/>
      <c r="N213" s="108" t="str">
        <v>P646P824</v>
      </c>
      <c r="O213" s="108">
        <f t="shared" si="5"/>
        <v>1</v>
      </c>
      <c r="P213" s="108"/>
      <c r="Q213"/>
    </row>
    <row r="214" spans="1:17" x14ac:dyDescent="0.25">
      <c r="A214" s="89" t="s">
        <v>4994</v>
      </c>
      <c r="B214" s="87" t="s">
        <v>4995</v>
      </c>
      <c r="C214" s="87" t="s">
        <v>6</v>
      </c>
      <c r="D214" s="87" t="str">
        <f>VLOOKUP(Tabela1[[#This Row],[Origem]], 'Perguntas 1 a 24'!$J$28:$K$34, 2, 0)</f>
        <v>Nordeste</v>
      </c>
      <c r="E214" s="87" t="str">
        <f>Tabela1[[#This Row],[Descrição]]&amp;"-"&amp;Tabela1[[#This Row],[Código]]&amp;"/"&amp;Tabela1[[#This Row],[Origem]]</f>
        <v>Dotacofa-H151P793/MA</v>
      </c>
      <c r="F214" s="88">
        <v>45566</v>
      </c>
      <c r="G214" s="88" t="str" cm="1">
        <f t="array" ref="G2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AND(F214&gt;= DATE(2026,1,1), F214&lt;= DATE(2028, 12, 31), J214&gt;50000), "Pendente e Caro", AND(F214&gt;= DATE(2026,1,1), F214&lt;= DATE(2028, 12, 31), J214&lt;=50000), "Pendente", F214&gt;= DATE(2029,1,1), "Não prioeitário")</f>
        <v>Urgente e Caro</v>
      </c>
      <c r="H214" s="89">
        <f>YEAR(Tabela1[[#This Row],[Data de Validade]])</f>
        <v>2024</v>
      </c>
      <c r="I214" s="89">
        <f>MONTH(Tabela1[[#This Row],[Data de Validade]])</f>
        <v>10</v>
      </c>
      <c r="J214" s="101">
        <v>92118</v>
      </c>
      <c r="K214" s="87" t="s">
        <v>7</v>
      </c>
      <c r="L214" s="108"/>
      <c r="M214" s="108"/>
      <c r="N214" s="108" t="str">
        <v>H151P793</v>
      </c>
      <c r="O214" s="108">
        <f t="shared" si="5"/>
        <v>1</v>
      </c>
      <c r="P214" s="108"/>
      <c r="Q214"/>
    </row>
    <row r="215" spans="1:17" x14ac:dyDescent="0.25">
      <c r="A215" s="89" t="s">
        <v>6468</v>
      </c>
      <c r="B215" s="87" t="s">
        <v>6469</v>
      </c>
      <c r="C215" s="87" t="s">
        <v>8</v>
      </c>
      <c r="D215" s="87" t="str">
        <f>VLOOKUP(Tabela1[[#This Row],[Origem]], 'Perguntas 1 a 24'!$J$28:$K$34, 2, 0)</f>
        <v>Nordeste</v>
      </c>
      <c r="E215" s="87" t="str">
        <f>Tabela1[[#This Row],[Descrição]]&amp;"-"&amp;Tabela1[[#This Row],[Código]]&amp;"/"&amp;Tabela1[[#This Row],[Origem]]</f>
        <v>Damopo-H475P216/AL</v>
      </c>
      <c r="F215" s="88">
        <v>45566</v>
      </c>
      <c r="G215" s="88" t="str" cm="1">
        <f t="array" ref="G2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AND(F215&gt;= DATE(2026,1,1), F215&lt;= DATE(2028, 12, 31), J215&gt;50000), "Pendente e Caro", AND(F215&gt;= DATE(2026,1,1), F215&lt;= DATE(2028, 12, 31), J215&lt;=50000), "Pendente", F215&gt;= DATE(2029,1,1), "Não prioeitário")</f>
        <v>Urgente e Caro</v>
      </c>
      <c r="H215" s="89">
        <f>YEAR(Tabela1[[#This Row],[Data de Validade]])</f>
        <v>2024</v>
      </c>
      <c r="I215" s="89">
        <f>MONTH(Tabela1[[#This Row],[Data de Validade]])</f>
        <v>10</v>
      </c>
      <c r="J215" s="101">
        <v>77657</v>
      </c>
      <c r="K215" s="87" t="s">
        <v>7</v>
      </c>
      <c r="L215" s="108"/>
      <c r="M215" s="108"/>
      <c r="N215" s="108" t="str">
        <v>H475P216</v>
      </c>
      <c r="O215" s="108">
        <f t="shared" si="5"/>
        <v>1</v>
      </c>
      <c r="P215" s="108"/>
      <c r="Q215"/>
    </row>
    <row r="216" spans="1:17" x14ac:dyDescent="0.25">
      <c r="A216" s="89" t="s">
        <v>7228</v>
      </c>
      <c r="B216" s="87" t="s">
        <v>7229</v>
      </c>
      <c r="C216" s="87" t="s">
        <v>10</v>
      </c>
      <c r="D216" s="87" t="str">
        <f>VLOOKUP(Tabela1[[#This Row],[Origem]], 'Perguntas 1 a 24'!$J$28:$K$34, 2, 0)</f>
        <v>Centro-Oeste</v>
      </c>
      <c r="E216" s="87" t="str">
        <f>Tabela1[[#This Row],[Descrição]]&amp;"-"&amp;Tabela1[[#This Row],[Código]]&amp;"/"&amp;Tabela1[[#This Row],[Origem]]</f>
        <v>Temopote-H398P613/GO</v>
      </c>
      <c r="F216" s="88">
        <v>45566</v>
      </c>
      <c r="G216" s="88" t="str" cm="1">
        <f t="array" ref="G2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AND(F216&gt;= DATE(2026,1,1), F216&lt;= DATE(2028, 12, 31), J216&gt;50000), "Pendente e Caro", AND(F216&gt;= DATE(2026,1,1), F216&lt;= DATE(2028, 12, 31), J216&lt;=50000), "Pendente", F216&gt;= DATE(2029,1,1), "Não prioeitário")</f>
        <v>Urgente</v>
      </c>
      <c r="H216" s="89">
        <f>YEAR(Tabela1[[#This Row],[Data de Validade]])</f>
        <v>2024</v>
      </c>
      <c r="I216" s="89">
        <f>MONTH(Tabela1[[#This Row],[Data de Validade]])</f>
        <v>10</v>
      </c>
      <c r="J216" s="101">
        <v>46139</v>
      </c>
      <c r="K216" s="87" t="s">
        <v>9</v>
      </c>
      <c r="L216" s="108"/>
      <c r="M216" s="108"/>
      <c r="N216" s="108" t="str">
        <v>H398P613</v>
      </c>
      <c r="O216" s="108">
        <f t="shared" si="5"/>
        <v>1</v>
      </c>
      <c r="P216" s="108"/>
      <c r="Q216"/>
    </row>
    <row r="217" spans="1:17" x14ac:dyDescent="0.25">
      <c r="A217" s="89" t="s">
        <v>4580</v>
      </c>
      <c r="B217" s="87" t="s">
        <v>4581</v>
      </c>
      <c r="C217" s="87" t="s">
        <v>6</v>
      </c>
      <c r="D217" s="87" t="str">
        <f>VLOOKUP(Tabela1[[#This Row],[Origem]], 'Perguntas 1 a 24'!$J$28:$K$34, 2, 0)</f>
        <v>Nordeste</v>
      </c>
      <c r="E217" s="87" t="str">
        <f>Tabela1[[#This Row],[Descrição]]&amp;"-"&amp;Tabela1[[#This Row],[Código]]&amp;"/"&amp;Tabela1[[#This Row],[Origem]]</f>
        <v>Poralurale-H139P939/MA</v>
      </c>
      <c r="F217" s="88">
        <v>45568</v>
      </c>
      <c r="G217" s="88" t="str" cm="1">
        <f t="array" ref="G2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AND(F217&gt;= DATE(2026,1,1), F217&lt;= DATE(2028, 12, 31), J217&gt;50000), "Pendente e Caro", AND(F217&gt;= DATE(2026,1,1), F217&lt;= DATE(2028, 12, 31), J217&lt;=50000), "Pendente", F217&gt;= DATE(2029,1,1), "Não prioeitário")</f>
        <v>Urgente</v>
      </c>
      <c r="H217" s="89">
        <f>YEAR(Tabela1[[#This Row],[Data de Validade]])</f>
        <v>2024</v>
      </c>
      <c r="I217" s="89">
        <f>MONTH(Tabela1[[#This Row],[Data de Validade]])</f>
        <v>10</v>
      </c>
      <c r="J217" s="101">
        <v>21138</v>
      </c>
      <c r="K217" s="87" t="s">
        <v>14</v>
      </c>
      <c r="L217" s="108"/>
      <c r="M217" s="108"/>
      <c r="N217" s="108" t="str">
        <v>H139P939</v>
      </c>
      <c r="O217" s="108">
        <f t="shared" si="5"/>
        <v>1</v>
      </c>
      <c r="P217" s="108"/>
      <c r="Q217"/>
    </row>
    <row r="218" spans="1:17" x14ac:dyDescent="0.25">
      <c r="A218" s="89" t="s">
        <v>7110</v>
      </c>
      <c r="B218" s="87" t="s">
        <v>7111</v>
      </c>
      <c r="C218" s="87" t="s">
        <v>8</v>
      </c>
      <c r="D218" s="87" t="str">
        <f>VLOOKUP(Tabela1[[#This Row],[Origem]], 'Perguntas 1 a 24'!$J$28:$K$34, 2, 0)</f>
        <v>Nordeste</v>
      </c>
      <c r="E218" s="87" t="str">
        <f>Tabela1[[#This Row],[Descrição]]&amp;"-"&amp;Tabela1[[#This Row],[Código]]&amp;"/"&amp;Tabela1[[#This Row],[Origem]]</f>
        <v>Livime-P734P755/AL</v>
      </c>
      <c r="F218" s="88">
        <v>45570</v>
      </c>
      <c r="G218" s="88" t="str" cm="1">
        <f t="array" ref="G2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AND(F218&gt;= DATE(2026,1,1), F218&lt;= DATE(2028, 12, 31), J218&gt;50000), "Pendente e Caro", AND(F218&gt;= DATE(2026,1,1), F218&lt;= DATE(2028, 12, 31), J218&lt;=50000), "Pendente", F218&gt;= DATE(2029,1,1), "Não prioeitário")</f>
        <v>Urgente e Caro</v>
      </c>
      <c r="H218" s="89">
        <f>YEAR(Tabela1[[#This Row],[Data de Validade]])</f>
        <v>2024</v>
      </c>
      <c r="I218" s="89">
        <f>MONTH(Tabela1[[#This Row],[Data de Validade]])</f>
        <v>10</v>
      </c>
      <c r="J218" s="101">
        <v>65053</v>
      </c>
      <c r="K218" s="87" t="s">
        <v>14</v>
      </c>
      <c r="L218" s="108"/>
      <c r="M218" s="108"/>
      <c r="N218" s="108" t="str">
        <v>P734P755</v>
      </c>
      <c r="O218" s="108">
        <f t="shared" si="5"/>
        <v>1</v>
      </c>
      <c r="P218" s="108"/>
      <c r="Q218"/>
    </row>
    <row r="219" spans="1:17" x14ac:dyDescent="0.25">
      <c r="A219" s="89" t="s">
        <v>5410</v>
      </c>
      <c r="B219" s="87" t="s">
        <v>5411</v>
      </c>
      <c r="C219" s="87" t="s">
        <v>12</v>
      </c>
      <c r="D219" s="87" t="str">
        <f>VLOOKUP(Tabela1[[#This Row],[Origem]], 'Perguntas 1 a 24'!$J$28:$K$34, 2, 0)</f>
        <v>Sudeste</v>
      </c>
      <c r="E219" s="87" t="str">
        <f>Tabela1[[#This Row],[Descrição]]&amp;"-"&amp;Tabela1[[#This Row],[Código]]&amp;"/"&amp;Tabela1[[#This Row],[Origem]]</f>
        <v>Pomeponivu-P534P493/RJ</v>
      </c>
      <c r="F219" s="88">
        <v>45570</v>
      </c>
      <c r="G219" s="88" t="str" cm="1">
        <f t="array" ref="G2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AND(F219&gt;= DATE(2026,1,1), F219&lt;= DATE(2028, 12, 31), J219&gt;50000), "Pendente e Caro", AND(F219&gt;= DATE(2026,1,1), F219&lt;= DATE(2028, 12, 31), J219&lt;=50000), "Pendente", F219&gt;= DATE(2029,1,1), "Não prioeitário")</f>
        <v>Urgente</v>
      </c>
      <c r="H219" s="89">
        <f>YEAR(Tabela1[[#This Row],[Data de Validade]])</f>
        <v>2024</v>
      </c>
      <c r="I219" s="89">
        <f>MONTH(Tabela1[[#This Row],[Data de Validade]])</f>
        <v>10</v>
      </c>
      <c r="J219" s="101">
        <v>29986</v>
      </c>
      <c r="K219" s="87" t="s">
        <v>11</v>
      </c>
      <c r="L219" s="108"/>
      <c r="M219" s="108"/>
      <c r="N219" s="108" t="str">
        <v>P534P493</v>
      </c>
      <c r="O219" s="108">
        <f t="shared" si="5"/>
        <v>1</v>
      </c>
      <c r="P219" s="108"/>
      <c r="Q219"/>
    </row>
    <row r="220" spans="1:17" x14ac:dyDescent="0.25">
      <c r="A220" s="89" t="s">
        <v>10155</v>
      </c>
      <c r="B220" s="87" t="s">
        <v>10156</v>
      </c>
      <c r="C220" s="87" t="s">
        <v>8</v>
      </c>
      <c r="D220" s="87" t="str">
        <f>VLOOKUP(Tabela1[[#This Row],[Origem]], 'Perguntas 1 a 24'!$J$28:$K$34, 2, 0)</f>
        <v>Nordeste</v>
      </c>
      <c r="E220" s="87" t="str">
        <f>Tabela1[[#This Row],[Descrição]]&amp;"-"&amp;Tabela1[[#This Row],[Código]]&amp;"/"&amp;Tabela1[[#This Row],[Origem]]</f>
        <v>Cepifinopa-H264P294/AL</v>
      </c>
      <c r="F220" s="88">
        <v>45572</v>
      </c>
      <c r="G220" s="88" t="str" cm="1">
        <f t="array" ref="G2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AND(F220&gt;= DATE(2026,1,1), F220&lt;= DATE(2028, 12, 31), J220&gt;50000), "Pendente e Caro", AND(F220&gt;= DATE(2026,1,1), F220&lt;= DATE(2028, 12, 31), J220&lt;=50000), "Pendente", F220&gt;= DATE(2029,1,1), "Não prioeitário")</f>
        <v>Urgente e Caro</v>
      </c>
      <c r="H220" s="89">
        <f>YEAR(Tabela1[[#This Row],[Data de Validade]])</f>
        <v>2024</v>
      </c>
      <c r="I220" s="89">
        <f>MONTH(Tabela1[[#This Row],[Data de Validade]])</f>
        <v>10</v>
      </c>
      <c r="J220" s="101">
        <v>86057</v>
      </c>
      <c r="K220" s="87" t="s">
        <v>9</v>
      </c>
      <c r="L220" s="108"/>
      <c r="M220" s="108"/>
      <c r="N220" s="108" t="str">
        <v>H264P294</v>
      </c>
      <c r="O220" s="108">
        <f t="shared" si="5"/>
        <v>1</v>
      </c>
      <c r="P220" s="108"/>
      <c r="Q220"/>
    </row>
    <row r="221" spans="1:17" x14ac:dyDescent="0.25">
      <c r="A221" s="89" t="s">
        <v>5826</v>
      </c>
      <c r="B221" s="87" t="s">
        <v>5827</v>
      </c>
      <c r="C221" s="87" t="s">
        <v>13</v>
      </c>
      <c r="D221" s="87" t="str">
        <f>VLOOKUP(Tabela1[[#This Row],[Origem]], 'Perguntas 1 a 24'!$J$28:$K$34, 2, 0)</f>
        <v>Sudeste</v>
      </c>
      <c r="E221" s="87" t="str">
        <f>Tabela1[[#This Row],[Descrição]]&amp;"-"&amp;Tabela1[[#This Row],[Código]]&amp;"/"&amp;Tabela1[[#This Row],[Origem]]</f>
        <v>Pocurunoga-H325P897/SP</v>
      </c>
      <c r="F221" s="88">
        <v>45573</v>
      </c>
      <c r="G221" s="88" t="str" cm="1">
        <f t="array" ref="G2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AND(F221&gt;= DATE(2026,1,1), F221&lt;= DATE(2028, 12, 31), J221&gt;50000), "Pendente e Caro", AND(F221&gt;= DATE(2026,1,1), F221&lt;= DATE(2028, 12, 31), J221&lt;=50000), "Pendente", F221&gt;= DATE(2029,1,1), "Não prioeitário")</f>
        <v>Urgente e Caro</v>
      </c>
      <c r="H221" s="89">
        <f>YEAR(Tabela1[[#This Row],[Data de Validade]])</f>
        <v>2024</v>
      </c>
      <c r="I221" s="89">
        <f>MONTH(Tabela1[[#This Row],[Data de Validade]])</f>
        <v>10</v>
      </c>
      <c r="J221" s="101">
        <v>112270</v>
      </c>
      <c r="K221" s="87" t="s">
        <v>11</v>
      </c>
      <c r="L221" s="108"/>
      <c r="M221" s="108"/>
      <c r="N221" s="108" t="str">
        <v>H325P897</v>
      </c>
      <c r="O221" s="108">
        <f t="shared" si="5"/>
        <v>1</v>
      </c>
      <c r="P221" s="108"/>
      <c r="Q221"/>
    </row>
    <row r="222" spans="1:17" x14ac:dyDescent="0.25">
      <c r="A222" s="89" t="s">
        <v>3776</v>
      </c>
      <c r="B222" s="87" t="s">
        <v>3777</v>
      </c>
      <c r="C222" s="87" t="s">
        <v>16</v>
      </c>
      <c r="D222" s="87" t="str">
        <f>VLOOKUP(Tabela1[[#This Row],[Origem]], 'Perguntas 1 a 24'!$J$28:$K$34, 2, 0)</f>
        <v>Sudeste</v>
      </c>
      <c r="E222" s="87" t="str">
        <f>Tabela1[[#This Row],[Descrição]]&amp;"-"&amp;Tabela1[[#This Row],[Código]]&amp;"/"&amp;Tabela1[[#This Row],[Origem]]</f>
        <v>Veturapupa-P899H183/MG</v>
      </c>
      <c r="F222" s="88">
        <v>45573</v>
      </c>
      <c r="G222" s="88" t="str" cm="1">
        <f t="array" ref="G2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AND(F222&gt;= DATE(2026,1,1), F222&lt;= DATE(2028, 12, 31), J222&gt;50000), "Pendente e Caro", AND(F222&gt;= DATE(2026,1,1), F222&lt;= DATE(2028, 12, 31), J222&lt;=50000), "Pendente", F222&gt;= DATE(2029,1,1), "Não prioeitário")</f>
        <v>Urgente e Caro</v>
      </c>
      <c r="H222" s="89">
        <f>YEAR(Tabela1[[#This Row],[Data de Validade]])</f>
        <v>2024</v>
      </c>
      <c r="I222" s="89">
        <f>MONTH(Tabela1[[#This Row],[Data de Validade]])</f>
        <v>10</v>
      </c>
      <c r="J222" s="101">
        <v>80058</v>
      </c>
      <c r="K222" s="87" t="s">
        <v>9</v>
      </c>
      <c r="L222" s="108"/>
      <c r="M222" s="108"/>
      <c r="N222" s="108" t="str">
        <v>P899H183</v>
      </c>
      <c r="O222" s="108">
        <f t="shared" si="5"/>
        <v>1</v>
      </c>
      <c r="P222" s="108"/>
      <c r="Q222"/>
    </row>
    <row r="223" spans="1:17" x14ac:dyDescent="0.25">
      <c r="A223" s="89" t="s">
        <v>4778</v>
      </c>
      <c r="B223" s="87" t="s">
        <v>4779</v>
      </c>
      <c r="C223" s="87" t="s">
        <v>10</v>
      </c>
      <c r="D223" s="87" t="str">
        <f>VLOOKUP(Tabela1[[#This Row],[Origem]], 'Perguntas 1 a 24'!$J$28:$K$34, 2, 0)</f>
        <v>Centro-Oeste</v>
      </c>
      <c r="E223" s="87" t="str">
        <f>Tabela1[[#This Row],[Descrição]]&amp;"-"&amp;Tabela1[[#This Row],[Código]]&amp;"/"&amp;Tabela1[[#This Row],[Origem]]</f>
        <v>Ladecofo-P954P955/GO</v>
      </c>
      <c r="F223" s="88">
        <v>45573</v>
      </c>
      <c r="G223" s="88" t="str" cm="1">
        <f t="array" ref="G2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AND(F223&gt;= DATE(2026,1,1), F223&lt;= DATE(2028, 12, 31), J223&gt;50000), "Pendente e Caro", AND(F223&gt;= DATE(2026,1,1), F223&lt;= DATE(2028, 12, 31), J223&lt;=50000), "Pendente", F223&gt;= DATE(2029,1,1), "Não prioeitário")</f>
        <v>Urgente</v>
      </c>
      <c r="H223" s="89">
        <f>YEAR(Tabela1[[#This Row],[Data de Validade]])</f>
        <v>2024</v>
      </c>
      <c r="I223" s="89">
        <f>MONTH(Tabela1[[#This Row],[Data de Validade]])</f>
        <v>10</v>
      </c>
      <c r="J223" s="101">
        <v>34468</v>
      </c>
      <c r="K223" s="87" t="s">
        <v>14</v>
      </c>
      <c r="L223" s="108"/>
      <c r="M223" s="108"/>
      <c r="N223" s="108" t="str">
        <v>P954P955</v>
      </c>
      <c r="O223" s="108">
        <f t="shared" si="5"/>
        <v>1</v>
      </c>
      <c r="P223" s="108"/>
      <c r="Q223"/>
    </row>
    <row r="224" spans="1:17" x14ac:dyDescent="0.25">
      <c r="A224" s="89" t="s">
        <v>10601</v>
      </c>
      <c r="B224" s="87" t="s">
        <v>10602</v>
      </c>
      <c r="C224" s="87" t="s">
        <v>6</v>
      </c>
      <c r="D224" s="87" t="str">
        <f>VLOOKUP(Tabela1[[#This Row],[Origem]], 'Perguntas 1 a 24'!$J$28:$K$34, 2, 0)</f>
        <v>Nordeste</v>
      </c>
      <c r="E224" s="87" t="str">
        <f>Tabela1[[#This Row],[Descrição]]&amp;"-"&amp;Tabela1[[#This Row],[Código]]&amp;"/"&amp;Tabela1[[#This Row],[Origem]]</f>
        <v>Cuvuvepo-P116H588/MA</v>
      </c>
      <c r="F224" s="88">
        <v>45574</v>
      </c>
      <c r="G224" s="88" t="str" cm="1">
        <f t="array" ref="G2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AND(F224&gt;= DATE(2026,1,1), F224&lt;= DATE(2028, 12, 31), J224&gt;50000), "Pendente e Caro", AND(F224&gt;= DATE(2026,1,1), F224&lt;= DATE(2028, 12, 31), J224&lt;=50000), "Pendente", F224&gt;= DATE(2029,1,1), "Não prioeitário")</f>
        <v>Urgente e Caro</v>
      </c>
      <c r="H224" s="89">
        <f>YEAR(Tabela1[[#This Row],[Data de Validade]])</f>
        <v>2024</v>
      </c>
      <c r="I224" s="89">
        <f>MONTH(Tabela1[[#This Row],[Data de Validade]])</f>
        <v>10</v>
      </c>
      <c r="J224" s="101">
        <v>86325</v>
      </c>
      <c r="K224" s="87" t="s">
        <v>7</v>
      </c>
      <c r="L224" s="108"/>
      <c r="M224" s="108"/>
      <c r="N224" s="108" t="str">
        <v>P116H588</v>
      </c>
      <c r="O224" s="108">
        <f t="shared" si="5"/>
        <v>1</v>
      </c>
      <c r="P224" s="108"/>
      <c r="Q224"/>
    </row>
    <row r="225" spans="1:17" x14ac:dyDescent="0.25">
      <c r="A225" s="89" t="s">
        <v>8036</v>
      </c>
      <c r="B225" s="87" t="s">
        <v>8037</v>
      </c>
      <c r="C225" s="87" t="s">
        <v>16</v>
      </c>
      <c r="D225" s="87" t="str">
        <f>VLOOKUP(Tabela1[[#This Row],[Origem]], 'Perguntas 1 a 24'!$J$28:$K$34, 2, 0)</f>
        <v>Sudeste</v>
      </c>
      <c r="E225" s="87" t="str">
        <f>Tabela1[[#This Row],[Descrição]]&amp;"-"&amp;Tabela1[[#This Row],[Código]]&amp;"/"&amp;Tabela1[[#This Row],[Origem]]</f>
        <v>Muvevolago-P145P733/MG</v>
      </c>
      <c r="F225" s="88">
        <v>45575</v>
      </c>
      <c r="G225" s="88" t="str" cm="1">
        <f t="array" ref="G2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AND(F225&gt;= DATE(2026,1,1), F225&lt;= DATE(2028, 12, 31), J225&gt;50000), "Pendente e Caro", AND(F225&gt;= DATE(2026,1,1), F225&lt;= DATE(2028, 12, 31), J225&lt;=50000), "Pendente", F225&gt;= DATE(2029,1,1), "Não prioeitário")</f>
        <v>Urgente e Caro</v>
      </c>
      <c r="H225" s="89">
        <f>YEAR(Tabela1[[#This Row],[Data de Validade]])</f>
        <v>2024</v>
      </c>
      <c r="I225" s="89">
        <f>MONTH(Tabela1[[#This Row],[Data de Validade]])</f>
        <v>10</v>
      </c>
      <c r="J225" s="101">
        <v>113689</v>
      </c>
      <c r="K225" s="87" t="s">
        <v>11</v>
      </c>
      <c r="L225" s="108"/>
      <c r="M225" s="108"/>
      <c r="N225" s="108" t="str">
        <v>P145P733</v>
      </c>
      <c r="O225" s="108">
        <f t="shared" si="5"/>
        <v>1</v>
      </c>
      <c r="P225" s="108"/>
      <c r="Q225"/>
    </row>
    <row r="226" spans="1:17" x14ac:dyDescent="0.25">
      <c r="A226" s="89" t="s">
        <v>5854</v>
      </c>
      <c r="B226" s="87" t="s">
        <v>5855</v>
      </c>
      <c r="C226" s="87" t="s">
        <v>6</v>
      </c>
      <c r="D226" s="87" t="str">
        <f>VLOOKUP(Tabela1[[#This Row],[Origem]], 'Perguntas 1 a 24'!$J$28:$K$34, 2, 0)</f>
        <v>Nordeste</v>
      </c>
      <c r="E226" s="87" t="str">
        <f>Tabela1[[#This Row],[Descrição]]&amp;"-"&amp;Tabela1[[#This Row],[Código]]&amp;"/"&amp;Tabela1[[#This Row],[Origem]]</f>
        <v>Detinuci-H197H426/MA</v>
      </c>
      <c r="F226" s="88">
        <v>45575</v>
      </c>
      <c r="G226" s="88" t="str" cm="1">
        <f t="array" ref="G2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AND(F226&gt;= DATE(2026,1,1), F226&lt;= DATE(2028, 12, 31), J226&gt;50000), "Pendente e Caro", AND(F226&gt;= DATE(2026,1,1), F226&lt;= DATE(2028, 12, 31), J226&lt;=50000), "Pendente", F226&gt;= DATE(2029,1,1), "Não prioeitário")</f>
        <v>Urgente</v>
      </c>
      <c r="H226" s="89">
        <f>YEAR(Tabela1[[#This Row],[Data de Validade]])</f>
        <v>2024</v>
      </c>
      <c r="I226" s="89">
        <f>MONTH(Tabela1[[#This Row],[Data de Validade]])</f>
        <v>10</v>
      </c>
      <c r="J226" s="101">
        <v>31301</v>
      </c>
      <c r="K226" s="87" t="s">
        <v>11</v>
      </c>
      <c r="L226" s="108"/>
      <c r="M226" s="108"/>
      <c r="N226" s="108" t="str">
        <v>H197H426</v>
      </c>
      <c r="O226" s="108">
        <f t="shared" si="5"/>
        <v>1</v>
      </c>
      <c r="P226" s="108"/>
      <c r="Q226"/>
    </row>
    <row r="227" spans="1:17" x14ac:dyDescent="0.25">
      <c r="A227" s="89" t="s">
        <v>4132</v>
      </c>
      <c r="B227" s="87" t="s">
        <v>4133</v>
      </c>
      <c r="C227" s="87" t="s">
        <v>6</v>
      </c>
      <c r="D227" s="87" t="str">
        <f>VLOOKUP(Tabela1[[#This Row],[Origem]], 'Perguntas 1 a 24'!$J$28:$K$34, 2, 0)</f>
        <v>Nordeste</v>
      </c>
      <c r="E227" s="87" t="str">
        <f>Tabela1[[#This Row],[Descrição]]&amp;"-"&amp;Tabela1[[#This Row],[Código]]&amp;"/"&amp;Tabela1[[#This Row],[Origem]]</f>
        <v>Mafamumuma-P299P929/MA</v>
      </c>
      <c r="F227" s="88">
        <v>45576</v>
      </c>
      <c r="G227" s="88" t="str" cm="1">
        <f t="array" ref="G2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AND(F227&gt;= DATE(2026,1,1), F227&lt;= DATE(2028, 12, 31), J227&gt;50000), "Pendente e Caro", AND(F227&gt;= DATE(2026,1,1), F227&lt;= DATE(2028, 12, 31), J227&lt;=50000), "Pendente", F227&gt;= DATE(2029,1,1), "Não prioeitário")</f>
        <v>Urgente e Caro</v>
      </c>
      <c r="H227" s="89">
        <f>YEAR(Tabela1[[#This Row],[Data de Validade]])</f>
        <v>2024</v>
      </c>
      <c r="I227" s="89">
        <f>MONTH(Tabela1[[#This Row],[Data de Validade]])</f>
        <v>10</v>
      </c>
      <c r="J227" s="101">
        <v>72651</v>
      </c>
      <c r="K227" s="87" t="s">
        <v>7</v>
      </c>
      <c r="L227" s="108"/>
      <c r="M227" s="108"/>
      <c r="N227" s="108" t="str">
        <v>P299P929</v>
      </c>
      <c r="O227" s="108">
        <f t="shared" si="5"/>
        <v>1</v>
      </c>
      <c r="P227" s="108"/>
      <c r="Q227"/>
    </row>
    <row r="228" spans="1:17" x14ac:dyDescent="0.25">
      <c r="A228" s="89" t="s">
        <v>9183</v>
      </c>
      <c r="B228" s="87" t="s">
        <v>9184</v>
      </c>
      <c r="C228" s="87" t="s">
        <v>6</v>
      </c>
      <c r="D228" s="87" t="str">
        <f>VLOOKUP(Tabela1[[#This Row],[Origem]], 'Perguntas 1 a 24'!$J$28:$K$34, 2, 0)</f>
        <v>Nordeste</v>
      </c>
      <c r="E228" s="87" t="str">
        <f>Tabela1[[#This Row],[Descrição]]&amp;"-"&amp;Tabela1[[#This Row],[Código]]&amp;"/"&amp;Tabela1[[#This Row],[Origem]]</f>
        <v>Temito-H389H874/MA</v>
      </c>
      <c r="F228" s="88">
        <v>45576</v>
      </c>
      <c r="G228" s="88" t="str" cm="1">
        <f t="array" ref="G2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AND(F228&gt;= DATE(2026,1,1), F228&lt;= DATE(2028, 12, 31), J228&gt;50000), "Pendente e Caro", AND(F228&gt;= DATE(2026,1,1), F228&lt;= DATE(2028, 12, 31), J228&lt;=50000), "Pendente", F228&gt;= DATE(2029,1,1), "Não prioeitário")</f>
        <v>Urgente</v>
      </c>
      <c r="H228" s="89">
        <f>YEAR(Tabela1[[#This Row],[Data de Validade]])</f>
        <v>2024</v>
      </c>
      <c r="I228" s="89">
        <f>MONTH(Tabela1[[#This Row],[Data de Validade]])</f>
        <v>10</v>
      </c>
      <c r="J228" s="101">
        <v>38083</v>
      </c>
      <c r="K228" s="87" t="s">
        <v>7</v>
      </c>
      <c r="L228" s="108"/>
      <c r="M228" s="108"/>
      <c r="N228" s="108" t="str">
        <v>H389H874</v>
      </c>
      <c r="O228" s="108">
        <f t="shared" si="5"/>
        <v>1</v>
      </c>
      <c r="P228" s="108"/>
      <c r="Q228"/>
    </row>
    <row r="229" spans="1:17" x14ac:dyDescent="0.25">
      <c r="A229" s="89" t="s">
        <v>6818</v>
      </c>
      <c r="B229" s="87" t="s">
        <v>6819</v>
      </c>
      <c r="C229" s="87" t="s">
        <v>16</v>
      </c>
      <c r="D229" s="87" t="str">
        <f>VLOOKUP(Tabela1[[#This Row],[Origem]], 'Perguntas 1 a 24'!$J$28:$K$34, 2, 0)</f>
        <v>Sudeste</v>
      </c>
      <c r="E229" s="87" t="str">
        <f>Tabela1[[#This Row],[Descrição]]&amp;"-"&amp;Tabela1[[#This Row],[Código]]&amp;"/"&amp;Tabela1[[#This Row],[Origem]]</f>
        <v>Dedudale-P872P536/MG</v>
      </c>
      <c r="F229" s="88">
        <v>45577</v>
      </c>
      <c r="G229" s="88" t="str" cm="1">
        <f t="array" ref="G2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AND(F229&gt;= DATE(2026,1,1), F229&lt;= DATE(2028, 12, 31), J229&gt;50000), "Pendente e Caro", AND(F229&gt;= DATE(2026,1,1), F229&lt;= DATE(2028, 12, 31), J229&lt;=50000), "Pendente", F229&gt;= DATE(2029,1,1), "Não prioeitário")</f>
        <v>Urgente e Caro</v>
      </c>
      <c r="H229" s="89">
        <f>YEAR(Tabela1[[#This Row],[Data de Validade]])</f>
        <v>2024</v>
      </c>
      <c r="I229" s="89">
        <f>MONTH(Tabela1[[#This Row],[Data de Validade]])</f>
        <v>10</v>
      </c>
      <c r="J229" s="101">
        <v>79542</v>
      </c>
      <c r="K229" s="87" t="s">
        <v>7</v>
      </c>
      <c r="L229" s="108"/>
      <c r="M229" s="108"/>
      <c r="N229" s="108" t="str">
        <v>P872P536</v>
      </c>
      <c r="O229" s="108">
        <f t="shared" si="5"/>
        <v>1</v>
      </c>
      <c r="P229" s="108"/>
      <c r="Q229"/>
    </row>
    <row r="230" spans="1:17" x14ac:dyDescent="0.25">
      <c r="A230" s="89" t="s">
        <v>9175</v>
      </c>
      <c r="B230" s="87" t="s">
        <v>9176</v>
      </c>
      <c r="C230" s="87" t="s">
        <v>15</v>
      </c>
      <c r="D230" s="87" t="str">
        <f>VLOOKUP(Tabela1[[#This Row],[Origem]], 'Perguntas 1 a 24'!$J$28:$K$34, 2, 0)</f>
        <v>Sudeste</v>
      </c>
      <c r="E230" s="87" t="str">
        <f>Tabela1[[#This Row],[Descrição]]&amp;"-"&amp;Tabela1[[#This Row],[Código]]&amp;"/"&amp;Tabela1[[#This Row],[Origem]]</f>
        <v>Davenage-P239P683/ES</v>
      </c>
      <c r="F230" s="88">
        <v>45578</v>
      </c>
      <c r="G230" s="88" t="str" cm="1">
        <f t="array" ref="G2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AND(F230&gt;= DATE(2026,1,1), F230&lt;= DATE(2028, 12, 31), J230&gt;50000), "Pendente e Caro", AND(F230&gt;= DATE(2026,1,1), F230&lt;= DATE(2028, 12, 31), J230&lt;=50000), "Pendente", F230&gt;= DATE(2029,1,1), "Não prioeitário")</f>
        <v>Urgente e Caro</v>
      </c>
      <c r="H230" s="89">
        <f>YEAR(Tabela1[[#This Row],[Data de Validade]])</f>
        <v>2024</v>
      </c>
      <c r="I230" s="89">
        <f>MONTH(Tabela1[[#This Row],[Data de Validade]])</f>
        <v>10</v>
      </c>
      <c r="J230" s="101">
        <v>115463</v>
      </c>
      <c r="K230" s="87" t="s">
        <v>9</v>
      </c>
      <c r="L230" s="108"/>
      <c r="M230" s="108"/>
      <c r="N230" s="108" t="str">
        <v>P239P683</v>
      </c>
      <c r="O230" s="108">
        <f t="shared" si="5"/>
        <v>1</v>
      </c>
      <c r="P230" s="108"/>
      <c r="Q230"/>
    </row>
    <row r="231" spans="1:17" x14ac:dyDescent="0.25">
      <c r="A231" s="89" t="s">
        <v>5894</v>
      </c>
      <c r="B231" s="87" t="s">
        <v>5895</v>
      </c>
      <c r="C231" s="87" t="s">
        <v>16</v>
      </c>
      <c r="D231" s="87" t="str">
        <f>VLOOKUP(Tabela1[[#This Row],[Origem]], 'Perguntas 1 a 24'!$J$28:$K$34, 2, 0)</f>
        <v>Sudeste</v>
      </c>
      <c r="E231" s="87" t="str">
        <f>Tabela1[[#This Row],[Descrição]]&amp;"-"&amp;Tabela1[[#This Row],[Código]]&amp;"/"&amp;Tabela1[[#This Row],[Origem]]</f>
        <v>Ramiputofo-P469H967/MG</v>
      </c>
      <c r="F231" s="88">
        <v>45578</v>
      </c>
      <c r="G231" s="88" t="str" cm="1">
        <f t="array" ref="G2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AND(F231&gt;= DATE(2026,1,1), F231&lt;= DATE(2028, 12, 31), J231&gt;50000), "Pendente e Caro", AND(F231&gt;= DATE(2026,1,1), F231&lt;= DATE(2028, 12, 31), J231&lt;=50000), "Pendente", F231&gt;= DATE(2029,1,1), "Não prioeitário")</f>
        <v>Urgente e Caro</v>
      </c>
      <c r="H231" s="89">
        <f>YEAR(Tabela1[[#This Row],[Data de Validade]])</f>
        <v>2024</v>
      </c>
      <c r="I231" s="89">
        <f>MONTH(Tabela1[[#This Row],[Data de Validade]])</f>
        <v>10</v>
      </c>
      <c r="J231" s="101">
        <v>67943</v>
      </c>
      <c r="K231" s="87" t="s">
        <v>7</v>
      </c>
      <c r="L231" s="108"/>
      <c r="M231" s="108"/>
      <c r="N231" s="108" t="str">
        <v>P469H967</v>
      </c>
      <c r="O231" s="108">
        <f t="shared" si="5"/>
        <v>1</v>
      </c>
      <c r="P231" s="108"/>
      <c r="Q231"/>
    </row>
    <row r="232" spans="1:17" x14ac:dyDescent="0.25">
      <c r="A232" s="89" t="s">
        <v>5102</v>
      </c>
      <c r="B232" s="87" t="s">
        <v>5103</v>
      </c>
      <c r="C232" s="87" t="s">
        <v>8</v>
      </c>
      <c r="D232" s="87" t="str">
        <f>VLOOKUP(Tabela1[[#This Row],[Origem]], 'Perguntas 1 a 24'!$J$28:$K$34, 2, 0)</f>
        <v>Nordeste</v>
      </c>
      <c r="E232" s="87" t="str">
        <f>Tabela1[[#This Row],[Descrição]]&amp;"-"&amp;Tabela1[[#This Row],[Código]]&amp;"/"&amp;Tabela1[[#This Row],[Origem]]</f>
        <v>Rutipi-H628H996/AL</v>
      </c>
      <c r="F232" s="88">
        <v>45578</v>
      </c>
      <c r="G232" s="88" t="str" cm="1">
        <f t="array" ref="G2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AND(F232&gt;= DATE(2026,1,1), F232&lt;= DATE(2028, 12, 31), J232&gt;50000), "Pendente e Caro", AND(F232&gt;= DATE(2026,1,1), F232&lt;= DATE(2028, 12, 31), J232&lt;=50000), "Pendente", F232&gt;= DATE(2029,1,1), "Não prioeitário")</f>
        <v>Urgente</v>
      </c>
      <c r="H232" s="89">
        <f>YEAR(Tabela1[[#This Row],[Data de Validade]])</f>
        <v>2024</v>
      </c>
      <c r="I232" s="89">
        <f>MONTH(Tabela1[[#This Row],[Data de Validade]])</f>
        <v>10</v>
      </c>
      <c r="J232" s="101">
        <v>42451</v>
      </c>
      <c r="K232" s="87" t="s">
        <v>9</v>
      </c>
      <c r="L232" s="108"/>
      <c r="M232" s="108"/>
      <c r="N232" s="108" t="str">
        <v>H628H996</v>
      </c>
      <c r="O232" s="108">
        <f t="shared" si="5"/>
        <v>1</v>
      </c>
      <c r="P232" s="108"/>
      <c r="Q232"/>
    </row>
    <row r="233" spans="1:17" x14ac:dyDescent="0.25">
      <c r="A233" s="89" t="s">
        <v>10237</v>
      </c>
      <c r="B233" s="87" t="s">
        <v>10238</v>
      </c>
      <c r="C233" s="87" t="s">
        <v>12</v>
      </c>
      <c r="D233" s="87" t="str">
        <f>VLOOKUP(Tabela1[[#This Row],[Origem]], 'Perguntas 1 a 24'!$J$28:$K$34, 2, 0)</f>
        <v>Sudeste</v>
      </c>
      <c r="E233" s="87" t="str">
        <f>Tabela1[[#This Row],[Descrição]]&amp;"-"&amp;Tabela1[[#This Row],[Código]]&amp;"/"&amp;Tabela1[[#This Row],[Origem]]</f>
        <v>Patofe-H433P427/RJ</v>
      </c>
      <c r="F233" s="88">
        <v>45578</v>
      </c>
      <c r="G233" s="88" t="str" cm="1">
        <f t="array" ref="G2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AND(F233&gt;= DATE(2026,1,1), F233&lt;= DATE(2028, 12, 31), J233&gt;50000), "Pendente e Caro", AND(F233&gt;= DATE(2026,1,1), F233&lt;= DATE(2028, 12, 31), J233&lt;=50000), "Pendente", F233&gt;= DATE(2029,1,1), "Não prioeitário")</f>
        <v>Urgente</v>
      </c>
      <c r="H233" s="89">
        <f>YEAR(Tabela1[[#This Row],[Data de Validade]])</f>
        <v>2024</v>
      </c>
      <c r="I233" s="89">
        <f>MONTH(Tabela1[[#This Row],[Data de Validade]])</f>
        <v>10</v>
      </c>
      <c r="J233" s="101">
        <v>34966</v>
      </c>
      <c r="K233" s="87" t="s">
        <v>9</v>
      </c>
      <c r="L233" s="108"/>
      <c r="M233" s="108"/>
      <c r="N233" s="108" t="str">
        <v>H433P427</v>
      </c>
      <c r="O233" s="108">
        <f t="shared" si="5"/>
        <v>1</v>
      </c>
      <c r="P233" s="108"/>
      <c r="Q233"/>
    </row>
    <row r="234" spans="1:17" x14ac:dyDescent="0.25">
      <c r="A234" s="89" t="s">
        <v>8655</v>
      </c>
      <c r="B234" s="87" t="s">
        <v>8656</v>
      </c>
      <c r="C234" s="87" t="s">
        <v>13</v>
      </c>
      <c r="D234" s="87" t="str">
        <f>VLOOKUP(Tabela1[[#This Row],[Origem]], 'Perguntas 1 a 24'!$J$28:$K$34, 2, 0)</f>
        <v>Sudeste</v>
      </c>
      <c r="E234" s="87" t="str">
        <f>Tabela1[[#This Row],[Descrição]]&amp;"-"&amp;Tabela1[[#This Row],[Código]]&amp;"/"&amp;Tabela1[[#This Row],[Origem]]</f>
        <v>Gurimo-H796P427/SP</v>
      </c>
      <c r="F234" s="88">
        <v>45579</v>
      </c>
      <c r="G234" s="88" t="str" cm="1">
        <f t="array" ref="G2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AND(F234&gt;= DATE(2026,1,1), F234&lt;= DATE(2028, 12, 31), J234&gt;50000), "Pendente e Caro", AND(F234&gt;= DATE(2026,1,1), F234&lt;= DATE(2028, 12, 31), J234&lt;=50000), "Pendente", F234&gt;= DATE(2029,1,1), "Não prioeitário")</f>
        <v>Urgente e Caro</v>
      </c>
      <c r="H234" s="89">
        <f>YEAR(Tabela1[[#This Row],[Data de Validade]])</f>
        <v>2024</v>
      </c>
      <c r="I234" s="89">
        <f>MONTH(Tabela1[[#This Row],[Data de Validade]])</f>
        <v>10</v>
      </c>
      <c r="J234" s="101">
        <v>68615</v>
      </c>
      <c r="K234" s="87" t="s">
        <v>14</v>
      </c>
      <c r="L234" s="108"/>
      <c r="M234" s="108"/>
      <c r="N234" s="108" t="str">
        <v>H796P427</v>
      </c>
      <c r="O234" s="108">
        <f t="shared" si="5"/>
        <v>1</v>
      </c>
      <c r="P234" s="108"/>
      <c r="Q234"/>
    </row>
    <row r="235" spans="1:17" x14ac:dyDescent="0.25">
      <c r="A235" s="89" t="s">
        <v>8426</v>
      </c>
      <c r="B235" s="87" t="s">
        <v>8427</v>
      </c>
      <c r="C235" s="87" t="s">
        <v>16</v>
      </c>
      <c r="D235" s="87" t="str">
        <f>VLOOKUP(Tabela1[[#This Row],[Origem]], 'Perguntas 1 a 24'!$J$28:$K$34, 2, 0)</f>
        <v>Sudeste</v>
      </c>
      <c r="E235" s="87" t="str">
        <f>Tabela1[[#This Row],[Descrição]]&amp;"-"&amp;Tabela1[[#This Row],[Código]]&amp;"/"&amp;Tabela1[[#This Row],[Origem]]</f>
        <v>Lofevoma-H341P674/MG</v>
      </c>
      <c r="F235" s="88">
        <v>45579</v>
      </c>
      <c r="G235" s="88" t="str" cm="1">
        <f t="array" ref="G2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AND(F235&gt;= DATE(2026,1,1), F235&lt;= DATE(2028, 12, 31), J235&gt;50000), "Pendente e Caro", AND(F235&gt;= DATE(2026,1,1), F235&lt;= DATE(2028, 12, 31), J235&lt;=50000), "Pendente", F235&gt;= DATE(2029,1,1), "Não prioeitário")</f>
        <v>Urgente</v>
      </c>
      <c r="H235" s="89">
        <f>YEAR(Tabela1[[#This Row],[Data de Validade]])</f>
        <v>2024</v>
      </c>
      <c r="I235" s="89">
        <f>MONTH(Tabela1[[#This Row],[Data de Validade]])</f>
        <v>10</v>
      </c>
      <c r="J235" s="101">
        <v>26037</v>
      </c>
      <c r="K235" s="87" t="s">
        <v>9</v>
      </c>
      <c r="L235" s="108"/>
      <c r="M235" s="108"/>
      <c r="N235" s="108" t="str">
        <v>H341P674</v>
      </c>
      <c r="O235" s="108">
        <f t="shared" si="5"/>
        <v>1</v>
      </c>
      <c r="P235" s="108"/>
      <c r="Q235"/>
    </row>
    <row r="236" spans="1:17" x14ac:dyDescent="0.25">
      <c r="A236" s="89" t="s">
        <v>6244</v>
      </c>
      <c r="B236" s="87" t="s">
        <v>6245</v>
      </c>
      <c r="C236" s="87" t="s">
        <v>6</v>
      </c>
      <c r="D236" s="87" t="str">
        <f>VLOOKUP(Tabela1[[#This Row],[Origem]], 'Perguntas 1 a 24'!$J$28:$K$34, 2, 0)</f>
        <v>Nordeste</v>
      </c>
      <c r="E236" s="87" t="str">
        <f>Tabela1[[#This Row],[Descrição]]&amp;"-"&amp;Tabela1[[#This Row],[Código]]&amp;"/"&amp;Tabela1[[#This Row],[Origem]]</f>
        <v>Curalidemo-H272P812/MA</v>
      </c>
      <c r="F236" s="88">
        <v>45582</v>
      </c>
      <c r="G236" s="88" t="str" cm="1">
        <f t="array" ref="G2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AND(F236&gt;= DATE(2026,1,1), F236&lt;= DATE(2028, 12, 31), J236&gt;50000), "Pendente e Caro", AND(F236&gt;= DATE(2026,1,1), F236&lt;= DATE(2028, 12, 31), J236&lt;=50000), "Pendente", F236&gt;= DATE(2029,1,1), "Não prioeitário")</f>
        <v>Urgente e Caro</v>
      </c>
      <c r="H236" s="89">
        <f>YEAR(Tabela1[[#This Row],[Data de Validade]])</f>
        <v>2024</v>
      </c>
      <c r="I236" s="89">
        <f>MONTH(Tabela1[[#This Row],[Data de Validade]])</f>
        <v>10</v>
      </c>
      <c r="J236" s="101">
        <v>67677</v>
      </c>
      <c r="K236" s="87" t="s">
        <v>7</v>
      </c>
      <c r="L236" s="108"/>
      <c r="M236" s="108"/>
      <c r="N236" s="108" t="str">
        <v>H272P812</v>
      </c>
      <c r="O236" s="108">
        <f t="shared" si="5"/>
        <v>1</v>
      </c>
      <c r="P236" s="108"/>
      <c r="Q236"/>
    </row>
    <row r="237" spans="1:17" x14ac:dyDescent="0.25">
      <c r="A237" s="89" t="s">
        <v>9083</v>
      </c>
      <c r="B237" s="87" t="s">
        <v>9084</v>
      </c>
      <c r="C237" s="87" t="s">
        <v>13</v>
      </c>
      <c r="D237" s="87" t="str">
        <f>VLOOKUP(Tabela1[[#This Row],[Origem]], 'Perguntas 1 a 24'!$J$28:$K$34, 2, 0)</f>
        <v>Sudeste</v>
      </c>
      <c r="E237" s="87" t="str">
        <f>Tabela1[[#This Row],[Descrição]]&amp;"-"&amp;Tabela1[[#This Row],[Código]]&amp;"/"&amp;Tabela1[[#This Row],[Origem]]</f>
        <v>Ritemulu-P933H914/SP</v>
      </c>
      <c r="F237" s="88">
        <v>45582</v>
      </c>
      <c r="G237" s="88" t="str" cm="1">
        <f t="array" ref="G2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AND(F237&gt;= DATE(2026,1,1), F237&lt;= DATE(2028, 12, 31), J237&gt;50000), "Pendente e Caro", AND(F237&gt;= DATE(2026,1,1), F237&lt;= DATE(2028, 12, 31), J237&lt;=50000), "Pendente", F237&gt;= DATE(2029,1,1), "Não prioeitário")</f>
        <v>Urgente e Caro</v>
      </c>
      <c r="H237" s="89">
        <f>YEAR(Tabela1[[#This Row],[Data de Validade]])</f>
        <v>2024</v>
      </c>
      <c r="I237" s="89">
        <f>MONTH(Tabela1[[#This Row],[Data de Validade]])</f>
        <v>10</v>
      </c>
      <c r="J237" s="101">
        <v>62428</v>
      </c>
      <c r="K237" s="87" t="s">
        <v>14</v>
      </c>
      <c r="L237" s="108"/>
      <c r="M237" s="108"/>
      <c r="N237" s="108" t="str">
        <v>P933H914</v>
      </c>
      <c r="O237" s="108">
        <f t="shared" si="5"/>
        <v>1</v>
      </c>
      <c r="P237" s="108"/>
      <c r="Q237"/>
    </row>
    <row r="238" spans="1:17" x14ac:dyDescent="0.25">
      <c r="A238" s="89" t="s">
        <v>10761</v>
      </c>
      <c r="B238" s="87" t="s">
        <v>10762</v>
      </c>
      <c r="C238" s="87" t="s">
        <v>16</v>
      </c>
      <c r="D238" s="87" t="str">
        <f>VLOOKUP(Tabela1[[#This Row],[Origem]], 'Perguntas 1 a 24'!$J$28:$K$34, 2, 0)</f>
        <v>Sudeste</v>
      </c>
      <c r="E238" s="87" t="str">
        <f>Tabela1[[#This Row],[Descrição]]&amp;"-"&amp;Tabela1[[#This Row],[Código]]&amp;"/"&amp;Tabela1[[#This Row],[Origem]]</f>
        <v>Pamedorupu-H479H476/MG</v>
      </c>
      <c r="F238" s="88">
        <v>45582</v>
      </c>
      <c r="G238" s="88" t="str" cm="1">
        <f t="array" ref="G2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AND(F238&gt;= DATE(2026,1,1), F238&lt;= DATE(2028, 12, 31), J238&gt;50000), "Pendente e Caro", AND(F238&gt;= DATE(2026,1,1), F238&lt;= DATE(2028, 12, 31), J238&lt;=50000), "Pendente", F238&gt;= DATE(2029,1,1), "Não prioeitário")</f>
        <v>Urgente</v>
      </c>
      <c r="H238" s="89">
        <f>YEAR(Tabela1[[#This Row],[Data de Validade]])</f>
        <v>2024</v>
      </c>
      <c r="I238" s="89">
        <f>MONTH(Tabela1[[#This Row],[Data de Validade]])</f>
        <v>10</v>
      </c>
      <c r="J238" s="101">
        <v>37853</v>
      </c>
      <c r="K238" s="87" t="s">
        <v>11</v>
      </c>
      <c r="L238" s="108"/>
      <c r="M238" s="108"/>
      <c r="N238" s="108" t="str">
        <v>H479H476</v>
      </c>
      <c r="O238" s="108">
        <f t="shared" si="5"/>
        <v>1</v>
      </c>
      <c r="P238" s="108"/>
      <c r="Q238"/>
    </row>
    <row r="239" spans="1:17" x14ac:dyDescent="0.25">
      <c r="A239" s="89" t="s">
        <v>8296</v>
      </c>
      <c r="B239" s="87" t="s">
        <v>8297</v>
      </c>
      <c r="C239" s="87" t="s">
        <v>8</v>
      </c>
      <c r="D239" s="87" t="str">
        <f>VLOOKUP(Tabela1[[#This Row],[Origem]], 'Perguntas 1 a 24'!$J$28:$K$34, 2, 0)</f>
        <v>Nordeste</v>
      </c>
      <c r="E239" s="87" t="str">
        <f>Tabela1[[#This Row],[Descrição]]&amp;"-"&amp;Tabela1[[#This Row],[Código]]&amp;"/"&amp;Tabela1[[#This Row],[Origem]]</f>
        <v>Molenaropi-P727P688/AL</v>
      </c>
      <c r="F239" s="88">
        <v>45582</v>
      </c>
      <c r="G239" s="88" t="str" cm="1">
        <f t="array" ref="G2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AND(F239&gt;= DATE(2026,1,1), F239&lt;= DATE(2028, 12, 31), J239&gt;50000), "Pendente e Caro", AND(F239&gt;= DATE(2026,1,1), F239&lt;= DATE(2028, 12, 31), J239&lt;=50000), "Pendente", F239&gt;= DATE(2029,1,1), "Não prioeitário")</f>
        <v>Urgente</v>
      </c>
      <c r="H239" s="89">
        <f>YEAR(Tabela1[[#This Row],[Data de Validade]])</f>
        <v>2024</v>
      </c>
      <c r="I239" s="89">
        <f>MONTH(Tabela1[[#This Row],[Data de Validade]])</f>
        <v>10</v>
      </c>
      <c r="J239" s="101">
        <v>21235</v>
      </c>
      <c r="K239" s="87" t="s">
        <v>11</v>
      </c>
      <c r="L239" s="108"/>
      <c r="M239" s="108"/>
      <c r="N239" s="108" t="str">
        <v>P727P688</v>
      </c>
      <c r="O239" s="108">
        <f t="shared" si="5"/>
        <v>1</v>
      </c>
      <c r="P239" s="108"/>
      <c r="Q239"/>
    </row>
    <row r="240" spans="1:17" x14ac:dyDescent="0.25">
      <c r="A240" s="89" t="s">
        <v>7004</v>
      </c>
      <c r="B240" s="87" t="s">
        <v>7005</v>
      </c>
      <c r="C240" s="87" t="s">
        <v>16</v>
      </c>
      <c r="D240" s="87" t="str">
        <f>VLOOKUP(Tabela1[[#This Row],[Origem]], 'Perguntas 1 a 24'!$J$28:$K$34, 2, 0)</f>
        <v>Sudeste</v>
      </c>
      <c r="E240" s="87" t="str">
        <f>Tabela1[[#This Row],[Descrição]]&amp;"-"&amp;Tabela1[[#This Row],[Código]]&amp;"/"&amp;Tabela1[[#This Row],[Origem]]</f>
        <v>Cavinevelo-P293P322/MG</v>
      </c>
      <c r="F240" s="88">
        <v>45583</v>
      </c>
      <c r="G240" s="88" t="str" cm="1">
        <f t="array" ref="G2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AND(F240&gt;= DATE(2026,1,1), F240&lt;= DATE(2028, 12, 31), J240&gt;50000), "Pendente e Caro", AND(F240&gt;= DATE(2026,1,1), F240&lt;= DATE(2028, 12, 31), J240&lt;=50000), "Pendente", F240&gt;= DATE(2029,1,1), "Não prioeitário")</f>
        <v>Urgente e Caro</v>
      </c>
      <c r="H240" s="89">
        <f>YEAR(Tabela1[[#This Row],[Data de Validade]])</f>
        <v>2024</v>
      </c>
      <c r="I240" s="89">
        <f>MONTH(Tabela1[[#This Row],[Data de Validade]])</f>
        <v>10</v>
      </c>
      <c r="J240" s="101">
        <v>109871</v>
      </c>
      <c r="K240" s="87" t="s">
        <v>11</v>
      </c>
      <c r="L240" s="108"/>
      <c r="M240" s="108"/>
      <c r="N240" s="108" t="str">
        <v>P293P322</v>
      </c>
      <c r="O240" s="108">
        <f t="shared" si="5"/>
        <v>1</v>
      </c>
      <c r="P240" s="108"/>
      <c r="Q240"/>
    </row>
    <row r="241" spans="1:17" x14ac:dyDescent="0.25">
      <c r="A241" s="89" t="s">
        <v>8845</v>
      </c>
      <c r="B241" s="87" t="s">
        <v>8846</v>
      </c>
      <c r="C241" s="87" t="s">
        <v>12</v>
      </c>
      <c r="D241" s="87" t="str">
        <f>VLOOKUP(Tabela1[[#This Row],[Origem]], 'Perguntas 1 a 24'!$J$28:$K$34, 2, 0)</f>
        <v>Sudeste</v>
      </c>
      <c r="E241" s="87" t="str">
        <f>Tabela1[[#This Row],[Descrição]]&amp;"-"&amp;Tabela1[[#This Row],[Código]]&amp;"/"&amp;Tabela1[[#This Row],[Origem]]</f>
        <v>Rapati-P435H748/RJ</v>
      </c>
      <c r="F241" s="88">
        <v>45583</v>
      </c>
      <c r="G241" s="88" t="str" cm="1">
        <f t="array" ref="G2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AND(F241&gt;= DATE(2026,1,1), F241&lt;= DATE(2028, 12, 31), J241&gt;50000), "Pendente e Caro", AND(F241&gt;= DATE(2026,1,1), F241&lt;= DATE(2028, 12, 31), J241&lt;=50000), "Pendente", F241&gt;= DATE(2029,1,1), "Não prioeitário")</f>
        <v>Urgente e Caro</v>
      </c>
      <c r="H241" s="89">
        <f>YEAR(Tabela1[[#This Row],[Data de Validade]])</f>
        <v>2024</v>
      </c>
      <c r="I241" s="89">
        <f>MONTH(Tabela1[[#This Row],[Data de Validade]])</f>
        <v>10</v>
      </c>
      <c r="J241" s="101">
        <v>83592</v>
      </c>
      <c r="K241" s="87" t="s">
        <v>11</v>
      </c>
      <c r="L241" s="108"/>
      <c r="M241" s="108"/>
      <c r="N241" s="108" t="str">
        <v>P435H748</v>
      </c>
      <c r="O241" s="108">
        <f t="shared" si="5"/>
        <v>1</v>
      </c>
      <c r="P241" s="108"/>
      <c r="Q241"/>
    </row>
    <row r="242" spans="1:17" x14ac:dyDescent="0.25">
      <c r="A242" s="89" t="s">
        <v>3669</v>
      </c>
      <c r="B242" s="87" t="s">
        <v>3670</v>
      </c>
      <c r="C242" s="87" t="s">
        <v>12</v>
      </c>
      <c r="D242" s="87" t="str">
        <f>VLOOKUP(Tabela1[[#This Row],[Origem]], 'Perguntas 1 a 24'!$J$28:$K$34, 2, 0)</f>
        <v>Sudeste</v>
      </c>
      <c r="E242" s="87" t="str">
        <f>Tabela1[[#This Row],[Descrição]]&amp;"-"&amp;Tabela1[[#This Row],[Código]]&amp;"/"&amp;Tabela1[[#This Row],[Origem]]</f>
        <v>Naneto-H339P955/RJ</v>
      </c>
      <c r="F242" s="88">
        <v>45583</v>
      </c>
      <c r="G242" s="88" t="str" cm="1">
        <f t="array" ref="G2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AND(F242&gt;= DATE(2026,1,1), F242&lt;= DATE(2028, 12, 31), J242&gt;50000), "Pendente e Caro", AND(F242&gt;= DATE(2026,1,1), F242&lt;= DATE(2028, 12, 31), J242&lt;=50000), "Pendente", F242&gt;= DATE(2029,1,1), "Não prioeitário")</f>
        <v>Urgente e Caro</v>
      </c>
      <c r="H242" s="89">
        <f>YEAR(Tabela1[[#This Row],[Data de Validade]])</f>
        <v>2024</v>
      </c>
      <c r="I242" s="89">
        <f>MONTH(Tabela1[[#This Row],[Data de Validade]])</f>
        <v>10</v>
      </c>
      <c r="J242" s="101">
        <v>81898</v>
      </c>
      <c r="K242" s="87" t="s">
        <v>11</v>
      </c>
      <c r="L242" s="108"/>
      <c r="M242" s="108"/>
      <c r="N242" s="108" t="str">
        <v>H339P955</v>
      </c>
      <c r="O242" s="108">
        <f t="shared" si="5"/>
        <v>1</v>
      </c>
      <c r="P242" s="108"/>
      <c r="Q242"/>
    </row>
    <row r="243" spans="1:17" x14ac:dyDescent="0.25">
      <c r="A243" s="89" t="s">
        <v>8092</v>
      </c>
      <c r="B243" s="87" t="s">
        <v>8093</v>
      </c>
      <c r="C243" s="87" t="s">
        <v>15</v>
      </c>
      <c r="D243" s="87" t="str">
        <f>VLOOKUP(Tabela1[[#This Row],[Origem]], 'Perguntas 1 a 24'!$J$28:$K$34, 2, 0)</f>
        <v>Sudeste</v>
      </c>
      <c r="E243" s="87" t="str">
        <f>Tabela1[[#This Row],[Descrição]]&amp;"-"&amp;Tabela1[[#This Row],[Código]]&amp;"/"&amp;Tabela1[[#This Row],[Origem]]</f>
        <v>Noverada-P866P423/ES</v>
      </c>
      <c r="F243" s="88">
        <v>45584</v>
      </c>
      <c r="G243" s="88" t="str" cm="1">
        <f t="array" ref="G2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AND(F243&gt;= DATE(2026,1,1), F243&lt;= DATE(2028, 12, 31), J243&gt;50000), "Pendente e Caro", AND(F243&gt;= DATE(2026,1,1), F243&lt;= DATE(2028, 12, 31), J243&lt;=50000), "Pendente", F243&gt;= DATE(2029,1,1), "Não prioeitário")</f>
        <v>Urgente e Caro</v>
      </c>
      <c r="H243" s="89">
        <f>YEAR(Tabela1[[#This Row],[Data de Validade]])</f>
        <v>2024</v>
      </c>
      <c r="I243" s="89">
        <f>MONTH(Tabela1[[#This Row],[Data de Validade]])</f>
        <v>10</v>
      </c>
      <c r="J243" s="101">
        <v>70786</v>
      </c>
      <c r="K243" s="87" t="s">
        <v>14</v>
      </c>
      <c r="L243" s="108"/>
      <c r="M243" s="108"/>
      <c r="N243" s="108" t="str">
        <v>P866P423</v>
      </c>
      <c r="O243" s="108">
        <f t="shared" si="5"/>
        <v>1</v>
      </c>
      <c r="P243" s="108"/>
      <c r="Q243"/>
    </row>
    <row r="244" spans="1:17" x14ac:dyDescent="0.25">
      <c r="A244" s="89" t="s">
        <v>4738</v>
      </c>
      <c r="B244" s="87" t="s">
        <v>4739</v>
      </c>
      <c r="C244" s="87" t="s">
        <v>6</v>
      </c>
      <c r="D244" s="87" t="str">
        <f>VLOOKUP(Tabela1[[#This Row],[Origem]], 'Perguntas 1 a 24'!$J$28:$K$34, 2, 0)</f>
        <v>Nordeste</v>
      </c>
      <c r="E244" s="87" t="str">
        <f>Tabela1[[#This Row],[Descrição]]&amp;"-"&amp;Tabela1[[#This Row],[Código]]&amp;"/"&amp;Tabela1[[#This Row],[Origem]]</f>
        <v>Cegimi-H973P595/MA</v>
      </c>
      <c r="F244" s="88">
        <v>45585</v>
      </c>
      <c r="G244" s="88" t="str" cm="1">
        <f t="array" ref="G2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AND(F244&gt;= DATE(2026,1,1), F244&lt;= DATE(2028, 12, 31), J244&gt;50000), "Pendente e Caro", AND(F244&gt;= DATE(2026,1,1), F244&lt;= DATE(2028, 12, 31), J244&lt;=50000), "Pendente", F244&gt;= DATE(2029,1,1), "Não prioeitário")</f>
        <v>Urgente</v>
      </c>
      <c r="H244" s="89">
        <f>YEAR(Tabela1[[#This Row],[Data de Validade]])</f>
        <v>2024</v>
      </c>
      <c r="I244" s="89">
        <f>MONTH(Tabela1[[#This Row],[Data de Validade]])</f>
        <v>10</v>
      </c>
      <c r="J244" s="101">
        <v>40718</v>
      </c>
      <c r="K244" s="87" t="s">
        <v>7</v>
      </c>
      <c r="L244" s="108"/>
      <c r="M244" s="108"/>
      <c r="N244" s="108" t="str">
        <v>H973P595</v>
      </c>
      <c r="O244" s="108">
        <f t="shared" si="5"/>
        <v>1</v>
      </c>
      <c r="P244" s="108"/>
      <c r="Q244"/>
    </row>
    <row r="245" spans="1:17" x14ac:dyDescent="0.25">
      <c r="A245" s="89" t="s">
        <v>7984</v>
      </c>
      <c r="B245" s="87" t="s">
        <v>7985</v>
      </c>
      <c r="C245" s="87" t="s">
        <v>8</v>
      </c>
      <c r="D245" s="87" t="str">
        <f>VLOOKUP(Tabela1[[#This Row],[Origem]], 'Perguntas 1 a 24'!$J$28:$K$34, 2, 0)</f>
        <v>Nordeste</v>
      </c>
      <c r="E245" s="87" t="str">
        <f>Tabela1[[#This Row],[Descrição]]&amp;"-"&amp;Tabela1[[#This Row],[Código]]&amp;"/"&amp;Tabela1[[#This Row],[Origem]]</f>
        <v>Pepevaco-P194H768/AL</v>
      </c>
      <c r="F245" s="88">
        <v>45585</v>
      </c>
      <c r="G245" s="88" t="str" cm="1">
        <f t="array" ref="G2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AND(F245&gt;= DATE(2026,1,1), F245&lt;= DATE(2028, 12, 31), J245&gt;50000), "Pendente e Caro", AND(F245&gt;= DATE(2026,1,1), F245&lt;= DATE(2028, 12, 31), J245&lt;=50000), "Pendente", F245&gt;= DATE(2029,1,1), "Não prioeitário")</f>
        <v>Urgente</v>
      </c>
      <c r="H245" s="89">
        <f>YEAR(Tabela1[[#This Row],[Data de Validade]])</f>
        <v>2024</v>
      </c>
      <c r="I245" s="89">
        <f>MONTH(Tabela1[[#This Row],[Data de Validade]])</f>
        <v>10</v>
      </c>
      <c r="J245" s="101">
        <v>40016</v>
      </c>
      <c r="K245" s="87" t="s">
        <v>7</v>
      </c>
      <c r="L245" s="108"/>
      <c r="M245" s="108"/>
      <c r="N245" s="108" t="str">
        <v>P194H768</v>
      </c>
      <c r="O245" s="108">
        <f t="shared" si="5"/>
        <v>1</v>
      </c>
      <c r="P245" s="108"/>
      <c r="Q245"/>
    </row>
    <row r="246" spans="1:17" x14ac:dyDescent="0.25">
      <c r="A246" s="89" t="s">
        <v>10795</v>
      </c>
      <c r="B246" s="87" t="s">
        <v>10796</v>
      </c>
      <c r="C246" s="87" t="s">
        <v>10</v>
      </c>
      <c r="D246" s="87" t="str">
        <f>VLOOKUP(Tabela1[[#This Row],[Origem]], 'Perguntas 1 a 24'!$J$28:$K$34, 2, 0)</f>
        <v>Centro-Oeste</v>
      </c>
      <c r="E246" s="87" t="str">
        <f>Tabela1[[#This Row],[Descrição]]&amp;"-"&amp;Tabela1[[#This Row],[Código]]&amp;"/"&amp;Tabela1[[#This Row],[Origem]]</f>
        <v>Purepepi-P573P269/GO</v>
      </c>
      <c r="F246" s="88">
        <v>45586</v>
      </c>
      <c r="G246" s="88" t="str" cm="1">
        <f t="array" ref="G2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AND(F246&gt;= DATE(2026,1,1), F246&lt;= DATE(2028, 12, 31), J246&gt;50000), "Pendente e Caro", AND(F246&gt;= DATE(2026,1,1), F246&lt;= DATE(2028, 12, 31), J246&lt;=50000), "Pendente", F246&gt;= DATE(2029,1,1), "Não prioeitário")</f>
        <v>Urgente</v>
      </c>
      <c r="H246" s="89">
        <f>YEAR(Tabela1[[#This Row],[Data de Validade]])</f>
        <v>2024</v>
      </c>
      <c r="I246" s="89">
        <f>MONTH(Tabela1[[#This Row],[Data de Validade]])</f>
        <v>10</v>
      </c>
      <c r="J246" s="101">
        <v>27636</v>
      </c>
      <c r="K246" s="87" t="s">
        <v>7</v>
      </c>
      <c r="L246" s="108"/>
      <c r="M246" s="108"/>
      <c r="N246" s="108" t="str">
        <v>P573P269</v>
      </c>
      <c r="O246" s="108">
        <f t="shared" si="5"/>
        <v>1</v>
      </c>
      <c r="P246" s="108"/>
      <c r="Q246"/>
    </row>
    <row r="247" spans="1:17" x14ac:dyDescent="0.25">
      <c r="A247" s="89" t="s">
        <v>9797</v>
      </c>
      <c r="B247" s="87" t="s">
        <v>9798</v>
      </c>
      <c r="C247" s="87" t="s">
        <v>16</v>
      </c>
      <c r="D247" s="87" t="str">
        <f>VLOOKUP(Tabela1[[#This Row],[Origem]], 'Perguntas 1 a 24'!$J$28:$K$34, 2, 0)</f>
        <v>Sudeste</v>
      </c>
      <c r="E247" s="87" t="str">
        <f>Tabela1[[#This Row],[Descrição]]&amp;"-"&amp;Tabela1[[#This Row],[Código]]&amp;"/"&amp;Tabela1[[#This Row],[Origem]]</f>
        <v>Pacimumu-P573H645/MG</v>
      </c>
      <c r="F247" s="88">
        <v>45587</v>
      </c>
      <c r="G247" s="88" t="str" cm="1">
        <f t="array" ref="G2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AND(F247&gt;= DATE(2026,1,1), F247&lt;= DATE(2028, 12, 31), J247&gt;50000), "Pendente e Caro", AND(F247&gt;= DATE(2026,1,1), F247&lt;= DATE(2028, 12, 31), J247&lt;=50000), "Pendente", F247&gt;= DATE(2029,1,1), "Não prioeitário")</f>
        <v>Urgente e Caro</v>
      </c>
      <c r="H247" s="89">
        <f>YEAR(Tabela1[[#This Row],[Data de Validade]])</f>
        <v>2024</v>
      </c>
      <c r="I247" s="89">
        <f>MONTH(Tabela1[[#This Row],[Data de Validade]])</f>
        <v>10</v>
      </c>
      <c r="J247" s="101">
        <v>57965</v>
      </c>
      <c r="K247" s="87" t="s">
        <v>14</v>
      </c>
      <c r="L247" s="108"/>
      <c r="M247" s="108"/>
      <c r="N247" s="108" t="str">
        <v>P573H645</v>
      </c>
      <c r="O247" s="108">
        <f t="shared" si="5"/>
        <v>1</v>
      </c>
      <c r="P247" s="108"/>
      <c r="Q247"/>
    </row>
    <row r="248" spans="1:17" x14ac:dyDescent="0.25">
      <c r="A248" s="89" t="s">
        <v>9811</v>
      </c>
      <c r="B248" s="87" t="s">
        <v>9812</v>
      </c>
      <c r="C248" s="87" t="s">
        <v>13</v>
      </c>
      <c r="D248" s="87" t="str">
        <f>VLOOKUP(Tabela1[[#This Row],[Origem]], 'Perguntas 1 a 24'!$J$28:$K$34, 2, 0)</f>
        <v>Sudeste</v>
      </c>
      <c r="E248" s="87" t="str">
        <f>Tabela1[[#This Row],[Descrição]]&amp;"-"&amp;Tabela1[[#This Row],[Código]]&amp;"/"&amp;Tabela1[[#This Row],[Origem]]</f>
        <v>Tapigete-P425H761/SP</v>
      </c>
      <c r="F248" s="88">
        <v>45588</v>
      </c>
      <c r="G248" s="88" t="str" cm="1">
        <f t="array" ref="G2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AND(F248&gt;= DATE(2026,1,1), F248&lt;= DATE(2028, 12, 31), J248&gt;50000), "Pendente e Caro", AND(F248&gt;= DATE(2026,1,1), F248&lt;= DATE(2028, 12, 31), J248&lt;=50000), "Pendente", F248&gt;= DATE(2029,1,1), "Não prioeitário")</f>
        <v>Urgente e Caro</v>
      </c>
      <c r="H248" s="89">
        <f>YEAR(Tabela1[[#This Row],[Data de Validade]])</f>
        <v>2024</v>
      </c>
      <c r="I248" s="89">
        <f>MONTH(Tabela1[[#This Row],[Data de Validade]])</f>
        <v>10</v>
      </c>
      <c r="J248" s="101">
        <v>104533</v>
      </c>
      <c r="K248" s="87" t="s">
        <v>11</v>
      </c>
      <c r="L248" s="108"/>
      <c r="M248" s="108"/>
      <c r="N248" s="108" t="str">
        <v>P425H761</v>
      </c>
      <c r="O248" s="108">
        <f t="shared" si="5"/>
        <v>1</v>
      </c>
      <c r="P248" s="108"/>
      <c r="Q248"/>
    </row>
    <row r="249" spans="1:17" x14ac:dyDescent="0.25">
      <c r="A249" s="89" t="s">
        <v>6242</v>
      </c>
      <c r="B249" s="87" t="s">
        <v>6243</v>
      </c>
      <c r="C249" s="87" t="s">
        <v>15</v>
      </c>
      <c r="D249" s="87" t="str">
        <f>VLOOKUP(Tabela1[[#This Row],[Origem]], 'Perguntas 1 a 24'!$J$28:$K$34, 2, 0)</f>
        <v>Sudeste</v>
      </c>
      <c r="E249" s="87" t="str">
        <f>Tabela1[[#This Row],[Descrição]]&amp;"-"&amp;Tabela1[[#This Row],[Código]]&amp;"/"&amp;Tabela1[[#This Row],[Origem]]</f>
        <v>Cumutu-H825H631/ES</v>
      </c>
      <c r="F249" s="88">
        <v>45588</v>
      </c>
      <c r="G249" s="88" t="str" cm="1">
        <f t="array" ref="G2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AND(F249&gt;= DATE(2026,1,1), F249&lt;= DATE(2028, 12, 31), J249&gt;50000), "Pendente e Caro", AND(F249&gt;= DATE(2026,1,1), F249&lt;= DATE(2028, 12, 31), J249&lt;=50000), "Pendente", F249&gt;= DATE(2029,1,1), "Não prioeitário")</f>
        <v>Urgente e Caro</v>
      </c>
      <c r="H249" s="89">
        <f>YEAR(Tabela1[[#This Row],[Data de Validade]])</f>
        <v>2024</v>
      </c>
      <c r="I249" s="89">
        <f>MONTH(Tabela1[[#This Row],[Data de Validade]])</f>
        <v>10</v>
      </c>
      <c r="J249" s="101">
        <v>96216</v>
      </c>
      <c r="K249" s="87" t="s">
        <v>11</v>
      </c>
      <c r="L249" s="108"/>
      <c r="M249" s="108"/>
      <c r="N249" s="108" t="str">
        <v>H825H631</v>
      </c>
      <c r="O249" s="108">
        <f t="shared" si="5"/>
        <v>1</v>
      </c>
      <c r="P249" s="108"/>
      <c r="Q249"/>
    </row>
    <row r="250" spans="1:17" x14ac:dyDescent="0.25">
      <c r="A250" s="89" t="s">
        <v>6600</v>
      </c>
      <c r="B250" s="87" t="s">
        <v>6601</v>
      </c>
      <c r="C250" s="87" t="s">
        <v>15</v>
      </c>
      <c r="D250" s="87" t="str">
        <f>VLOOKUP(Tabela1[[#This Row],[Origem]], 'Perguntas 1 a 24'!$J$28:$K$34, 2, 0)</f>
        <v>Sudeste</v>
      </c>
      <c r="E250" s="87" t="str">
        <f>Tabela1[[#This Row],[Descrição]]&amp;"-"&amp;Tabela1[[#This Row],[Código]]&amp;"/"&amp;Tabela1[[#This Row],[Origem]]</f>
        <v>Fotapurifi-P499H157/ES</v>
      </c>
      <c r="F250" s="88">
        <v>45588</v>
      </c>
      <c r="G250" s="88" t="str" cm="1">
        <f t="array" ref="G2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AND(F250&gt;= DATE(2026,1,1), F250&lt;= DATE(2028, 12, 31), J250&gt;50000), "Pendente e Caro", AND(F250&gt;= DATE(2026,1,1), F250&lt;= DATE(2028, 12, 31), J250&lt;=50000), "Pendente", F250&gt;= DATE(2029,1,1), "Não prioeitário")</f>
        <v>Urgente e Caro</v>
      </c>
      <c r="H250" s="89">
        <f>YEAR(Tabela1[[#This Row],[Data de Validade]])</f>
        <v>2024</v>
      </c>
      <c r="I250" s="89">
        <f>MONTH(Tabela1[[#This Row],[Data de Validade]])</f>
        <v>10</v>
      </c>
      <c r="J250" s="101">
        <v>95062</v>
      </c>
      <c r="K250" s="87" t="s">
        <v>9</v>
      </c>
      <c r="L250" s="108"/>
      <c r="M250" s="108"/>
      <c r="N250" s="108" t="str">
        <v>P499H157</v>
      </c>
      <c r="O250" s="108">
        <f t="shared" si="5"/>
        <v>1</v>
      </c>
      <c r="P250" s="108"/>
      <c r="Q250"/>
    </row>
    <row r="251" spans="1:17" x14ac:dyDescent="0.25">
      <c r="A251" s="89" t="s">
        <v>9837</v>
      </c>
      <c r="B251" s="87" t="s">
        <v>9838</v>
      </c>
      <c r="C251" s="87" t="s">
        <v>8</v>
      </c>
      <c r="D251" s="87" t="str">
        <f>VLOOKUP(Tabela1[[#This Row],[Origem]], 'Perguntas 1 a 24'!$J$28:$K$34, 2, 0)</f>
        <v>Nordeste</v>
      </c>
      <c r="E251" s="87" t="str">
        <f>Tabela1[[#This Row],[Descrição]]&amp;"-"&amp;Tabela1[[#This Row],[Código]]&amp;"/"&amp;Tabela1[[#This Row],[Origem]]</f>
        <v>Vetivu-P771H625/AL</v>
      </c>
      <c r="F251" s="88">
        <v>45588</v>
      </c>
      <c r="G251" s="88" t="str" cm="1">
        <f t="array" ref="G2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AND(F251&gt;= DATE(2026,1,1), F251&lt;= DATE(2028, 12, 31), J251&gt;50000), "Pendente e Caro", AND(F251&gt;= DATE(2026,1,1), F251&lt;= DATE(2028, 12, 31), J251&lt;=50000), "Pendente", F251&gt;= DATE(2029,1,1), "Não prioeitário")</f>
        <v>Urgente e Caro</v>
      </c>
      <c r="H251" s="89">
        <f>YEAR(Tabela1[[#This Row],[Data de Validade]])</f>
        <v>2024</v>
      </c>
      <c r="I251" s="89">
        <f>MONTH(Tabela1[[#This Row],[Data de Validade]])</f>
        <v>10</v>
      </c>
      <c r="J251" s="101">
        <v>69952</v>
      </c>
      <c r="K251" s="87" t="s">
        <v>9</v>
      </c>
      <c r="L251" s="108"/>
      <c r="M251" s="108"/>
      <c r="N251" s="108" t="str">
        <v>P771H625</v>
      </c>
      <c r="O251" s="108">
        <f t="shared" si="5"/>
        <v>1</v>
      </c>
      <c r="P251" s="108"/>
      <c r="Q251"/>
    </row>
    <row r="252" spans="1:17" x14ac:dyDescent="0.25">
      <c r="A252" s="89" t="s">
        <v>9019</v>
      </c>
      <c r="B252" s="87" t="s">
        <v>9020</v>
      </c>
      <c r="C252" s="87" t="s">
        <v>12</v>
      </c>
      <c r="D252" s="87" t="str">
        <f>VLOOKUP(Tabela1[[#This Row],[Origem]], 'Perguntas 1 a 24'!$J$28:$K$34, 2, 0)</f>
        <v>Sudeste</v>
      </c>
      <c r="E252" s="87" t="str">
        <f>Tabela1[[#This Row],[Descrição]]&amp;"-"&amp;Tabela1[[#This Row],[Código]]&amp;"/"&amp;Tabela1[[#This Row],[Origem]]</f>
        <v>Perurifa-P974H123/RJ</v>
      </c>
      <c r="F252" s="88">
        <v>45589</v>
      </c>
      <c r="G252" s="88" t="str" cm="1">
        <f t="array" ref="G2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AND(F252&gt;= DATE(2026,1,1), F252&lt;= DATE(2028, 12, 31), J252&gt;50000), "Pendente e Caro", AND(F252&gt;= DATE(2026,1,1), F252&lt;= DATE(2028, 12, 31), J252&lt;=50000), "Pendente", F252&gt;= DATE(2029,1,1), "Não prioeitário")</f>
        <v>Urgente e Caro</v>
      </c>
      <c r="H252" s="89">
        <f>YEAR(Tabela1[[#This Row],[Data de Validade]])</f>
        <v>2024</v>
      </c>
      <c r="I252" s="89">
        <f>MONTH(Tabela1[[#This Row],[Data de Validade]])</f>
        <v>10</v>
      </c>
      <c r="J252" s="101">
        <v>67168</v>
      </c>
      <c r="K252" s="87" t="s">
        <v>14</v>
      </c>
      <c r="L252" s="108"/>
      <c r="M252" s="108"/>
      <c r="N252" s="108" t="str">
        <v>P974H123</v>
      </c>
      <c r="O252" s="108">
        <f t="shared" si="5"/>
        <v>1</v>
      </c>
      <c r="P252" s="108"/>
      <c r="Q252"/>
    </row>
    <row r="253" spans="1:17" x14ac:dyDescent="0.25">
      <c r="A253" s="89" t="s">
        <v>6210</v>
      </c>
      <c r="B253" s="87" t="s">
        <v>6211</v>
      </c>
      <c r="C253" s="87" t="s">
        <v>12</v>
      </c>
      <c r="D253" s="87" t="str">
        <f>VLOOKUP(Tabela1[[#This Row],[Origem]], 'Perguntas 1 a 24'!$J$28:$K$34, 2, 0)</f>
        <v>Sudeste</v>
      </c>
      <c r="E253" s="87" t="str">
        <f>Tabela1[[#This Row],[Descrição]]&amp;"-"&amp;Tabela1[[#This Row],[Código]]&amp;"/"&amp;Tabela1[[#This Row],[Origem]]</f>
        <v>Nilapu-P814P361/RJ</v>
      </c>
      <c r="F253" s="88">
        <v>45590</v>
      </c>
      <c r="G253" s="88" t="str" cm="1">
        <f t="array" ref="G2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AND(F253&gt;= DATE(2026,1,1), F253&lt;= DATE(2028, 12, 31), J253&gt;50000), "Pendente e Caro", AND(F253&gt;= DATE(2026,1,1), F253&lt;= DATE(2028, 12, 31), J253&lt;=50000), "Pendente", F253&gt;= DATE(2029,1,1), "Não prioeitário")</f>
        <v>Urgente e Caro</v>
      </c>
      <c r="H253" s="89">
        <f>YEAR(Tabela1[[#This Row],[Data de Validade]])</f>
        <v>2024</v>
      </c>
      <c r="I253" s="89">
        <f>MONTH(Tabela1[[#This Row],[Data de Validade]])</f>
        <v>10</v>
      </c>
      <c r="J253" s="101">
        <v>117746</v>
      </c>
      <c r="K253" s="87" t="s">
        <v>14</v>
      </c>
      <c r="L253" s="108"/>
      <c r="M253" s="108"/>
      <c r="N253" s="108" t="str">
        <v>P814P361</v>
      </c>
      <c r="O253" s="108">
        <f t="shared" si="5"/>
        <v>1</v>
      </c>
      <c r="P253" s="108"/>
      <c r="Q253"/>
    </row>
    <row r="254" spans="1:17" x14ac:dyDescent="0.25">
      <c r="A254" s="89" t="s">
        <v>3687</v>
      </c>
      <c r="B254" s="87" t="s">
        <v>3688</v>
      </c>
      <c r="C254" s="87" t="s">
        <v>13</v>
      </c>
      <c r="D254" s="87" t="str">
        <f>VLOOKUP(Tabela1[[#This Row],[Origem]], 'Perguntas 1 a 24'!$J$28:$K$34, 2, 0)</f>
        <v>Sudeste</v>
      </c>
      <c r="E254" s="87" t="str">
        <f>Tabela1[[#This Row],[Descrição]]&amp;"-"&amp;Tabela1[[#This Row],[Código]]&amp;"/"&amp;Tabela1[[#This Row],[Origem]]</f>
        <v>Vepica-P158H358/SP</v>
      </c>
      <c r="F254" s="88">
        <v>45591</v>
      </c>
      <c r="G254" s="88" t="str" cm="1">
        <f t="array" ref="G2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AND(F254&gt;= DATE(2026,1,1), F254&lt;= DATE(2028, 12, 31), J254&gt;50000), "Pendente e Caro", AND(F254&gt;= DATE(2026,1,1), F254&lt;= DATE(2028, 12, 31), J254&lt;=50000), "Pendente", F254&gt;= DATE(2029,1,1), "Não prioeitário")</f>
        <v>Urgente e Caro</v>
      </c>
      <c r="H254" s="89">
        <f>YEAR(Tabela1[[#This Row],[Data de Validade]])</f>
        <v>2024</v>
      </c>
      <c r="I254" s="89">
        <f>MONTH(Tabela1[[#This Row],[Data de Validade]])</f>
        <v>10</v>
      </c>
      <c r="J254" s="101">
        <v>57949</v>
      </c>
      <c r="K254" s="87" t="s">
        <v>11</v>
      </c>
      <c r="L254" s="108"/>
      <c r="M254" s="108"/>
      <c r="N254" s="108" t="str">
        <v>P158H358</v>
      </c>
      <c r="O254" s="108">
        <f t="shared" si="5"/>
        <v>1</v>
      </c>
      <c r="P254" s="108"/>
      <c r="Q254"/>
    </row>
    <row r="255" spans="1:17" x14ac:dyDescent="0.25">
      <c r="A255" s="89" t="s">
        <v>3878</v>
      </c>
      <c r="B255" s="87" t="s">
        <v>3879</v>
      </c>
      <c r="C255" s="87" t="s">
        <v>13</v>
      </c>
      <c r="D255" s="87" t="str">
        <f>VLOOKUP(Tabela1[[#This Row],[Origem]], 'Perguntas 1 a 24'!$J$28:$K$34, 2, 0)</f>
        <v>Sudeste</v>
      </c>
      <c r="E255" s="87" t="str">
        <f>Tabela1[[#This Row],[Descrição]]&amp;"-"&amp;Tabela1[[#This Row],[Código]]&amp;"/"&amp;Tabela1[[#This Row],[Origem]]</f>
        <v>Nimiridapi-H485H125/SP</v>
      </c>
      <c r="F255" s="88">
        <v>45591</v>
      </c>
      <c r="G255" s="88" t="str" cm="1">
        <f t="array" ref="G2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AND(F255&gt;= DATE(2026,1,1), F255&lt;= DATE(2028, 12, 31), J255&gt;50000), "Pendente e Caro", AND(F255&gt;= DATE(2026,1,1), F255&lt;= DATE(2028, 12, 31), J255&lt;=50000), "Pendente", F255&gt;= DATE(2029,1,1), "Não prioeitário")</f>
        <v>Urgente</v>
      </c>
      <c r="H255" s="89">
        <f>YEAR(Tabela1[[#This Row],[Data de Validade]])</f>
        <v>2024</v>
      </c>
      <c r="I255" s="89">
        <f>MONTH(Tabela1[[#This Row],[Data de Validade]])</f>
        <v>10</v>
      </c>
      <c r="J255" s="101">
        <v>45223</v>
      </c>
      <c r="K255" s="87" t="s">
        <v>14</v>
      </c>
      <c r="L255" s="108"/>
      <c r="M255" s="108"/>
      <c r="N255" s="108" t="str">
        <v>H485H125</v>
      </c>
      <c r="O255" s="108">
        <f t="shared" si="5"/>
        <v>1</v>
      </c>
      <c r="P255" s="108"/>
      <c r="Q255"/>
    </row>
    <row r="256" spans="1:17" x14ac:dyDescent="0.25">
      <c r="A256" s="89" t="s">
        <v>6950</v>
      </c>
      <c r="B256" s="87" t="s">
        <v>6951</v>
      </c>
      <c r="C256" s="87" t="s">
        <v>8</v>
      </c>
      <c r="D256" s="87" t="str">
        <f>VLOOKUP(Tabela1[[#This Row],[Origem]], 'Perguntas 1 a 24'!$J$28:$K$34, 2, 0)</f>
        <v>Nordeste</v>
      </c>
      <c r="E256" s="87" t="str">
        <f>Tabela1[[#This Row],[Descrição]]&amp;"-"&amp;Tabela1[[#This Row],[Código]]&amp;"/"&amp;Tabela1[[#This Row],[Origem]]</f>
        <v>Ratogumi-H643H688/AL</v>
      </c>
      <c r="F256" s="88">
        <v>45592</v>
      </c>
      <c r="G256" s="88" t="str" cm="1">
        <f t="array" ref="G2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AND(F256&gt;= DATE(2026,1,1), F256&lt;= DATE(2028, 12, 31), J256&gt;50000), "Pendente e Caro", AND(F256&gt;= DATE(2026,1,1), F256&lt;= DATE(2028, 12, 31), J256&lt;=50000), "Pendente", F256&gt;= DATE(2029,1,1), "Não prioeitário")</f>
        <v>Urgente e Caro</v>
      </c>
      <c r="H256" s="89">
        <f>YEAR(Tabela1[[#This Row],[Data de Validade]])</f>
        <v>2024</v>
      </c>
      <c r="I256" s="89">
        <f>MONTH(Tabela1[[#This Row],[Data de Validade]])</f>
        <v>10</v>
      </c>
      <c r="J256" s="101">
        <v>92811</v>
      </c>
      <c r="K256" s="87" t="s">
        <v>14</v>
      </c>
      <c r="L256" s="108"/>
      <c r="M256" s="108"/>
      <c r="N256" s="108" t="str">
        <v>H643H688</v>
      </c>
      <c r="O256" s="108">
        <f t="shared" si="5"/>
        <v>1</v>
      </c>
      <c r="P256" s="108"/>
      <c r="Q256"/>
    </row>
    <row r="257" spans="1:17" x14ac:dyDescent="0.25">
      <c r="A257" s="89" t="s">
        <v>9267</v>
      </c>
      <c r="B257" s="87" t="s">
        <v>9268</v>
      </c>
      <c r="C257" s="87" t="s">
        <v>10</v>
      </c>
      <c r="D257" s="87" t="str">
        <f>VLOOKUP(Tabela1[[#This Row],[Origem]], 'Perguntas 1 a 24'!$J$28:$K$34, 2, 0)</f>
        <v>Centro-Oeste</v>
      </c>
      <c r="E257" s="87" t="str">
        <f>Tabela1[[#This Row],[Descrição]]&amp;"-"&amp;Tabela1[[#This Row],[Código]]&amp;"/"&amp;Tabela1[[#This Row],[Origem]]</f>
        <v>Perige-H596P325/GO</v>
      </c>
      <c r="F257" s="88">
        <v>45593</v>
      </c>
      <c r="G257" s="88" t="str" cm="1">
        <f t="array" ref="G2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AND(F257&gt;= DATE(2026,1,1), F257&lt;= DATE(2028, 12, 31), J257&gt;50000), "Pendente e Caro", AND(F257&gt;= DATE(2026,1,1), F257&lt;= DATE(2028, 12, 31), J257&lt;=50000), "Pendente", F257&gt;= DATE(2029,1,1), "Não prioeitário")</f>
        <v>Urgente e Caro</v>
      </c>
      <c r="H257" s="89">
        <f>YEAR(Tabela1[[#This Row],[Data de Validade]])</f>
        <v>2024</v>
      </c>
      <c r="I257" s="89">
        <f>MONTH(Tabela1[[#This Row],[Data de Validade]])</f>
        <v>10</v>
      </c>
      <c r="J257" s="101">
        <v>99211</v>
      </c>
      <c r="K257" s="87" t="s">
        <v>11</v>
      </c>
      <c r="L257" s="108"/>
      <c r="M257" s="108"/>
      <c r="N257" s="108" t="str">
        <v>H596P325</v>
      </c>
      <c r="O257" s="108">
        <f t="shared" si="5"/>
        <v>1</v>
      </c>
      <c r="P257" s="108"/>
      <c r="Q257"/>
    </row>
    <row r="258" spans="1:17" x14ac:dyDescent="0.25">
      <c r="A258" s="89" t="s">
        <v>7170</v>
      </c>
      <c r="B258" s="87" t="s">
        <v>7171</v>
      </c>
      <c r="C258" s="87" t="s">
        <v>6</v>
      </c>
      <c r="D258" s="87" t="str">
        <f>VLOOKUP(Tabela1[[#This Row],[Origem]], 'Perguntas 1 a 24'!$J$28:$K$34, 2, 0)</f>
        <v>Nordeste</v>
      </c>
      <c r="E258" s="87" t="str">
        <f>Tabela1[[#This Row],[Descrição]]&amp;"-"&amp;Tabela1[[#This Row],[Código]]&amp;"/"&amp;Tabela1[[#This Row],[Origem]]</f>
        <v>Cinumu-H247H845/MA</v>
      </c>
      <c r="F258" s="88">
        <v>45594</v>
      </c>
      <c r="G258" s="88" t="str" cm="1">
        <f t="array" ref="G2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AND(F258&gt;= DATE(2026,1,1), F258&lt;= DATE(2028, 12, 31), J258&gt;50000), "Pendente e Caro", AND(F258&gt;= DATE(2026,1,1), F258&lt;= DATE(2028, 12, 31), J258&lt;=50000), "Pendente", F258&gt;= DATE(2029,1,1), "Não prioeitário")</f>
        <v>Urgente</v>
      </c>
      <c r="H258" s="89">
        <f>YEAR(Tabela1[[#This Row],[Data de Validade]])</f>
        <v>2024</v>
      </c>
      <c r="I258" s="89">
        <f>MONTH(Tabela1[[#This Row],[Data de Validade]])</f>
        <v>10</v>
      </c>
      <c r="J258" s="101">
        <v>49029</v>
      </c>
      <c r="K258" s="87" t="s">
        <v>9</v>
      </c>
      <c r="L258" s="108"/>
      <c r="M258" s="108"/>
      <c r="N258" s="108" t="str">
        <v>H247H845</v>
      </c>
      <c r="O258" s="108">
        <f t="shared" si="5"/>
        <v>1</v>
      </c>
      <c r="P258" s="108"/>
      <c r="Q258"/>
    </row>
    <row r="259" spans="1:17" x14ac:dyDescent="0.25">
      <c r="A259" s="89" t="s">
        <v>9941</v>
      </c>
      <c r="B259" s="87" t="s">
        <v>9942</v>
      </c>
      <c r="C259" s="87" t="s">
        <v>6</v>
      </c>
      <c r="D259" s="87" t="str">
        <f>VLOOKUP(Tabela1[[#This Row],[Origem]], 'Perguntas 1 a 24'!$J$28:$K$34, 2, 0)</f>
        <v>Nordeste</v>
      </c>
      <c r="E259" s="87" t="str">
        <f>Tabela1[[#This Row],[Descrição]]&amp;"-"&amp;Tabela1[[#This Row],[Código]]&amp;"/"&amp;Tabela1[[#This Row],[Origem]]</f>
        <v>Cutevamopi-P298H893/MA</v>
      </c>
      <c r="F259" s="88">
        <v>45594</v>
      </c>
      <c r="G259" s="88" t="str" cm="1">
        <f t="array" ref="G2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AND(F259&gt;= DATE(2026,1,1), F259&lt;= DATE(2028, 12, 31), J259&gt;50000), "Pendente e Caro", AND(F259&gt;= DATE(2026,1,1), F259&lt;= DATE(2028, 12, 31), J259&lt;=50000), "Pendente", F259&gt;= DATE(2029,1,1), "Não prioeitário")</f>
        <v>Urgente</v>
      </c>
      <c r="H259" s="89">
        <f>YEAR(Tabela1[[#This Row],[Data de Validade]])</f>
        <v>2024</v>
      </c>
      <c r="I259" s="89">
        <f>MONTH(Tabela1[[#This Row],[Data de Validade]])</f>
        <v>10</v>
      </c>
      <c r="J259" s="101">
        <v>23572</v>
      </c>
      <c r="K259" s="87" t="s">
        <v>11</v>
      </c>
      <c r="L259" s="108"/>
      <c r="M259" s="108"/>
      <c r="N259" s="108" t="str">
        <v>P298H893</v>
      </c>
      <c r="O259" s="108">
        <f t="shared" ref="O259:O322" si="6">COUNTIFS(B:B,N259)</f>
        <v>1</v>
      </c>
      <c r="P259" s="108"/>
      <c r="Q259"/>
    </row>
    <row r="260" spans="1:17" x14ac:dyDescent="0.25">
      <c r="A260" s="89" t="s">
        <v>8609</v>
      </c>
      <c r="B260" s="87" t="s">
        <v>8610</v>
      </c>
      <c r="C260" s="87" t="s">
        <v>6</v>
      </c>
      <c r="D260" s="87" t="str">
        <f>VLOOKUP(Tabela1[[#This Row],[Origem]], 'Perguntas 1 a 24'!$J$28:$K$34, 2, 0)</f>
        <v>Nordeste</v>
      </c>
      <c r="E260" s="87" t="str">
        <f>Tabela1[[#This Row],[Descrição]]&amp;"-"&amp;Tabela1[[#This Row],[Código]]&amp;"/"&amp;Tabela1[[#This Row],[Origem]]</f>
        <v>Mutiduroti-H367H854/MA</v>
      </c>
      <c r="F260" s="88">
        <v>45596</v>
      </c>
      <c r="G260" s="88" t="str" cm="1">
        <f t="array" ref="G2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AND(F260&gt;= DATE(2026,1,1), F260&lt;= DATE(2028, 12, 31), J260&gt;50000), "Pendente e Caro", AND(F260&gt;= DATE(2026,1,1), F260&lt;= DATE(2028, 12, 31), J260&lt;=50000), "Pendente", F260&gt;= DATE(2029,1,1), "Não prioeitário")</f>
        <v>Urgente e Caro</v>
      </c>
      <c r="H260" s="89">
        <f>YEAR(Tabela1[[#This Row],[Data de Validade]])</f>
        <v>2024</v>
      </c>
      <c r="I260" s="89">
        <f>MONTH(Tabela1[[#This Row],[Data de Validade]])</f>
        <v>10</v>
      </c>
      <c r="J260" s="101">
        <v>95957</v>
      </c>
      <c r="K260" s="87" t="s">
        <v>14</v>
      </c>
      <c r="L260" s="108"/>
      <c r="M260" s="108"/>
      <c r="N260" s="108" t="str">
        <v>H367H854</v>
      </c>
      <c r="O260" s="108">
        <f t="shared" si="6"/>
        <v>1</v>
      </c>
      <c r="P260" s="108"/>
      <c r="Q260"/>
    </row>
    <row r="261" spans="1:17" x14ac:dyDescent="0.25">
      <c r="A261" s="89" t="s">
        <v>11232</v>
      </c>
      <c r="B261" s="87" t="s">
        <v>11233</v>
      </c>
      <c r="C261" s="87" t="s">
        <v>8</v>
      </c>
      <c r="D261" s="87" t="str">
        <f>VLOOKUP(Tabela1[[#This Row],[Origem]], 'Perguntas 1 a 24'!$J$28:$K$34, 2, 0)</f>
        <v>Nordeste</v>
      </c>
      <c r="E261" s="87" t="str">
        <f>Tabela1[[#This Row],[Descrição]]&amp;"-"&amp;Tabela1[[#This Row],[Código]]&amp;"/"&amp;Tabela1[[#This Row],[Origem]]</f>
        <v>Culipelepu-H547P173/AL</v>
      </c>
      <c r="F261" s="88">
        <v>45596</v>
      </c>
      <c r="G261" s="88" t="str" cm="1">
        <f t="array" ref="G2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AND(F261&gt;= DATE(2026,1,1), F261&lt;= DATE(2028, 12, 31), J261&gt;50000), "Pendente e Caro", AND(F261&gt;= DATE(2026,1,1), F261&lt;= DATE(2028, 12, 31), J261&lt;=50000), "Pendente", F261&gt;= DATE(2029,1,1), "Não prioeitário")</f>
        <v>Urgente</v>
      </c>
      <c r="H261" s="89">
        <f>YEAR(Tabela1[[#This Row],[Data de Validade]])</f>
        <v>2024</v>
      </c>
      <c r="I261" s="89">
        <f>MONTH(Tabela1[[#This Row],[Data de Validade]])</f>
        <v>10</v>
      </c>
      <c r="J261" s="101">
        <v>48137</v>
      </c>
      <c r="K261" s="87" t="s">
        <v>14</v>
      </c>
      <c r="L261" s="108"/>
      <c r="M261" s="108"/>
      <c r="N261" s="108" t="str">
        <v>H547P173</v>
      </c>
      <c r="O261" s="108">
        <f t="shared" si="6"/>
        <v>1</v>
      </c>
      <c r="P261" s="108"/>
      <c r="Q261"/>
    </row>
    <row r="262" spans="1:17" x14ac:dyDescent="0.25">
      <c r="A262" s="89" t="s">
        <v>5114</v>
      </c>
      <c r="B262" s="87" t="s">
        <v>5115</v>
      </c>
      <c r="C262" s="87" t="s">
        <v>12</v>
      </c>
      <c r="D262" s="87" t="str">
        <f>VLOOKUP(Tabela1[[#This Row],[Origem]], 'Perguntas 1 a 24'!$J$28:$K$34, 2, 0)</f>
        <v>Sudeste</v>
      </c>
      <c r="E262" s="87" t="str">
        <f>Tabela1[[#This Row],[Descrição]]&amp;"-"&amp;Tabela1[[#This Row],[Código]]&amp;"/"&amp;Tabela1[[#This Row],[Origem]]</f>
        <v>Refadu-H331P566/RJ</v>
      </c>
      <c r="F262" s="88">
        <v>45596</v>
      </c>
      <c r="G262" s="88" t="str" cm="1">
        <f t="array" ref="G2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AND(F262&gt;= DATE(2026,1,1), F262&lt;= DATE(2028, 12, 31), J262&gt;50000), "Pendente e Caro", AND(F262&gt;= DATE(2026,1,1), F262&lt;= DATE(2028, 12, 31), J262&lt;=50000), "Pendente", F262&gt;= DATE(2029,1,1), "Não prioeitário")</f>
        <v>Urgente</v>
      </c>
      <c r="H262" s="89">
        <f>YEAR(Tabela1[[#This Row],[Data de Validade]])</f>
        <v>2024</v>
      </c>
      <c r="I262" s="89">
        <f>MONTH(Tabela1[[#This Row],[Data de Validade]])</f>
        <v>10</v>
      </c>
      <c r="J262" s="101">
        <v>43312</v>
      </c>
      <c r="K262" s="87" t="s">
        <v>9</v>
      </c>
      <c r="L262" s="108"/>
      <c r="M262" s="108"/>
      <c r="N262" s="108" t="str">
        <v>H331P566</v>
      </c>
      <c r="O262" s="108">
        <f t="shared" si="6"/>
        <v>1</v>
      </c>
      <c r="P262" s="108"/>
      <c r="Q262"/>
    </row>
    <row r="263" spans="1:17" x14ac:dyDescent="0.25">
      <c r="A263" s="89" t="s">
        <v>3968</v>
      </c>
      <c r="B263" s="87" t="s">
        <v>3969</v>
      </c>
      <c r="C263" s="87" t="s">
        <v>8</v>
      </c>
      <c r="D263" s="87" t="str">
        <f>VLOOKUP(Tabela1[[#This Row],[Origem]], 'Perguntas 1 a 24'!$J$28:$K$34, 2, 0)</f>
        <v>Nordeste</v>
      </c>
      <c r="E263" s="87" t="str">
        <f>Tabela1[[#This Row],[Descrição]]&amp;"-"&amp;Tabela1[[#This Row],[Código]]&amp;"/"&amp;Tabela1[[#This Row],[Origem]]</f>
        <v>Teduge-P638H218/AL</v>
      </c>
      <c r="F263" s="88">
        <v>45597</v>
      </c>
      <c r="G263" s="88" t="str" cm="1">
        <f t="array" ref="G2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AND(F263&gt;= DATE(2026,1,1), F263&lt;= DATE(2028, 12, 31), J263&gt;50000), "Pendente e Caro", AND(F263&gt;= DATE(2026,1,1), F263&lt;= DATE(2028, 12, 31), J263&lt;=50000), "Pendente", F263&gt;= DATE(2029,1,1), "Não prioeitário")</f>
        <v>Urgente e Caro</v>
      </c>
      <c r="H263" s="89">
        <f>YEAR(Tabela1[[#This Row],[Data de Validade]])</f>
        <v>2024</v>
      </c>
      <c r="I263" s="89">
        <f>MONTH(Tabela1[[#This Row],[Data de Validade]])</f>
        <v>11</v>
      </c>
      <c r="J263" s="101">
        <v>92135</v>
      </c>
      <c r="K263" s="87" t="s">
        <v>11</v>
      </c>
      <c r="L263" s="108"/>
      <c r="M263" s="108"/>
      <c r="N263" s="108" t="str">
        <v>P638H218</v>
      </c>
      <c r="O263" s="108">
        <f t="shared" si="6"/>
        <v>1</v>
      </c>
      <c r="P263" s="108"/>
      <c r="Q263"/>
    </row>
    <row r="264" spans="1:17" x14ac:dyDescent="0.25">
      <c r="A264" s="89" t="s">
        <v>7132</v>
      </c>
      <c r="B264" s="87" t="s">
        <v>7133</v>
      </c>
      <c r="C264" s="87" t="s">
        <v>6</v>
      </c>
      <c r="D264" s="87" t="str">
        <f>VLOOKUP(Tabela1[[#This Row],[Origem]], 'Perguntas 1 a 24'!$J$28:$K$34, 2, 0)</f>
        <v>Nordeste</v>
      </c>
      <c r="E264" s="87" t="str">
        <f>Tabela1[[#This Row],[Descrição]]&amp;"-"&amp;Tabela1[[#This Row],[Código]]&amp;"/"&amp;Tabela1[[#This Row],[Origem]]</f>
        <v>Dulucafa-H933P995/MA</v>
      </c>
      <c r="F264" s="88">
        <v>45597</v>
      </c>
      <c r="G264" s="88" t="str" cm="1">
        <f t="array" ref="G2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AND(F264&gt;= DATE(2026,1,1), F264&lt;= DATE(2028, 12, 31), J264&gt;50000), "Pendente e Caro", AND(F264&gt;= DATE(2026,1,1), F264&lt;= DATE(2028, 12, 31), J264&lt;=50000), "Pendente", F264&gt;= DATE(2029,1,1), "Não prioeitário")</f>
        <v>Urgente e Caro</v>
      </c>
      <c r="H264" s="89">
        <f>YEAR(Tabela1[[#This Row],[Data de Validade]])</f>
        <v>2024</v>
      </c>
      <c r="I264" s="89">
        <f>MONTH(Tabela1[[#This Row],[Data de Validade]])</f>
        <v>11</v>
      </c>
      <c r="J264" s="101">
        <v>86768</v>
      </c>
      <c r="K264" s="87" t="s">
        <v>14</v>
      </c>
      <c r="L264" s="108"/>
      <c r="M264" s="108"/>
      <c r="N264" s="108" t="str">
        <v>H933P995</v>
      </c>
      <c r="O264" s="108">
        <f t="shared" si="6"/>
        <v>1</v>
      </c>
      <c r="P264" s="108"/>
      <c r="Q264"/>
    </row>
    <row r="265" spans="1:17" x14ac:dyDescent="0.25">
      <c r="A265" s="89" t="s">
        <v>10994</v>
      </c>
      <c r="B265" s="87" t="s">
        <v>10995</v>
      </c>
      <c r="C265" s="87" t="s">
        <v>16</v>
      </c>
      <c r="D265" s="87" t="str">
        <f>VLOOKUP(Tabela1[[#This Row],[Origem]], 'Perguntas 1 a 24'!$J$28:$K$34, 2, 0)</f>
        <v>Sudeste</v>
      </c>
      <c r="E265" s="87" t="str">
        <f>Tabela1[[#This Row],[Descrição]]&amp;"-"&amp;Tabela1[[#This Row],[Código]]&amp;"/"&amp;Tabela1[[#This Row],[Origem]]</f>
        <v>Picegadilu-H923H993/MG</v>
      </c>
      <c r="F265" s="88">
        <v>45597</v>
      </c>
      <c r="G265" s="88" t="str" cm="1">
        <f t="array" ref="G2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AND(F265&gt;= DATE(2026,1,1), F265&lt;= DATE(2028, 12, 31), J265&gt;50000), "Pendente e Caro", AND(F265&gt;= DATE(2026,1,1), F265&lt;= DATE(2028, 12, 31), J265&lt;=50000), "Pendente", F265&gt;= DATE(2029,1,1), "Não prioeitário")</f>
        <v>Urgente e Caro</v>
      </c>
      <c r="H265" s="89">
        <f>YEAR(Tabela1[[#This Row],[Data de Validade]])</f>
        <v>2024</v>
      </c>
      <c r="I265" s="89">
        <f>MONTH(Tabela1[[#This Row],[Data de Validade]])</f>
        <v>11</v>
      </c>
      <c r="J265" s="101">
        <v>64094</v>
      </c>
      <c r="K265" s="87" t="s">
        <v>7</v>
      </c>
      <c r="L265" s="108"/>
      <c r="M265" s="108"/>
      <c r="N265" s="108" t="str">
        <v>H923H993</v>
      </c>
      <c r="O265" s="108">
        <f t="shared" si="6"/>
        <v>1</v>
      </c>
      <c r="P265" s="108"/>
      <c r="Q265"/>
    </row>
    <row r="266" spans="1:17" x14ac:dyDescent="0.25">
      <c r="A266" s="89" t="s">
        <v>6216</v>
      </c>
      <c r="B266" s="87" t="s">
        <v>6217</v>
      </c>
      <c r="C266" s="87" t="s">
        <v>10</v>
      </c>
      <c r="D266" s="87" t="str">
        <f>VLOOKUP(Tabela1[[#This Row],[Origem]], 'Perguntas 1 a 24'!$J$28:$K$34, 2, 0)</f>
        <v>Centro-Oeste</v>
      </c>
      <c r="E266" s="87" t="str">
        <f>Tabela1[[#This Row],[Descrição]]&amp;"-"&amp;Tabela1[[#This Row],[Código]]&amp;"/"&amp;Tabela1[[#This Row],[Origem]]</f>
        <v>Dutumero-P818H791/GO</v>
      </c>
      <c r="F266" s="88">
        <v>45597</v>
      </c>
      <c r="G266" s="88" t="str" cm="1">
        <f t="array" ref="G2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AND(F266&gt;= DATE(2026,1,1), F266&lt;= DATE(2028, 12, 31), J266&gt;50000), "Pendente e Caro", AND(F266&gt;= DATE(2026,1,1), F266&lt;= DATE(2028, 12, 31), J266&lt;=50000), "Pendente", F266&gt;= DATE(2029,1,1), "Não prioeitário")</f>
        <v>Urgente e Caro</v>
      </c>
      <c r="H266" s="89">
        <f>YEAR(Tabela1[[#This Row],[Data de Validade]])</f>
        <v>2024</v>
      </c>
      <c r="I266" s="89">
        <f>MONTH(Tabela1[[#This Row],[Data de Validade]])</f>
        <v>11</v>
      </c>
      <c r="J266" s="101">
        <v>57990</v>
      </c>
      <c r="K266" s="87" t="s">
        <v>9</v>
      </c>
      <c r="L266" s="108"/>
      <c r="M266" s="108"/>
      <c r="N266" s="108" t="str">
        <v>P818H791</v>
      </c>
      <c r="O266" s="108">
        <f t="shared" si="6"/>
        <v>1</v>
      </c>
      <c r="P266" s="108"/>
      <c r="Q266"/>
    </row>
    <row r="267" spans="1:17" x14ac:dyDescent="0.25">
      <c r="A267" s="89" t="s">
        <v>7600</v>
      </c>
      <c r="B267" s="87" t="s">
        <v>7601</v>
      </c>
      <c r="C267" s="87" t="s">
        <v>8</v>
      </c>
      <c r="D267" s="87" t="str">
        <f>VLOOKUP(Tabela1[[#This Row],[Origem]], 'Perguntas 1 a 24'!$J$28:$K$34, 2, 0)</f>
        <v>Nordeste</v>
      </c>
      <c r="E267" s="87" t="str">
        <f>Tabela1[[#This Row],[Descrição]]&amp;"-"&amp;Tabela1[[#This Row],[Código]]&amp;"/"&amp;Tabela1[[#This Row],[Origem]]</f>
        <v>Pataciro-H363H827/AL</v>
      </c>
      <c r="F267" s="88">
        <v>45597</v>
      </c>
      <c r="G267" s="88" t="str" cm="1">
        <f t="array" ref="G2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AND(F267&gt;= DATE(2026,1,1), F267&lt;= DATE(2028, 12, 31), J267&gt;50000), "Pendente e Caro", AND(F267&gt;= DATE(2026,1,1), F267&lt;= DATE(2028, 12, 31), J267&lt;=50000), "Pendente", F267&gt;= DATE(2029,1,1), "Não prioeitário")</f>
        <v>Urgente e Caro</v>
      </c>
      <c r="H267" s="89">
        <f>YEAR(Tabela1[[#This Row],[Data de Validade]])</f>
        <v>2024</v>
      </c>
      <c r="I267" s="89">
        <f>MONTH(Tabela1[[#This Row],[Data de Validade]])</f>
        <v>11</v>
      </c>
      <c r="J267" s="101">
        <v>51462</v>
      </c>
      <c r="K267" s="87" t="s">
        <v>9</v>
      </c>
      <c r="L267" s="108"/>
      <c r="M267" s="108"/>
      <c r="N267" s="108" t="str">
        <v>H363H827</v>
      </c>
      <c r="O267" s="108">
        <f t="shared" si="6"/>
        <v>1</v>
      </c>
      <c r="P267" s="108"/>
      <c r="Q267"/>
    </row>
    <row r="268" spans="1:17" x14ac:dyDescent="0.25">
      <c r="A268" s="89" t="s">
        <v>7182</v>
      </c>
      <c r="B268" s="87" t="s">
        <v>7183</v>
      </c>
      <c r="C268" s="87" t="s">
        <v>10</v>
      </c>
      <c r="D268" s="87" t="str">
        <f>VLOOKUP(Tabela1[[#This Row],[Origem]], 'Perguntas 1 a 24'!$J$28:$K$34, 2, 0)</f>
        <v>Centro-Oeste</v>
      </c>
      <c r="E268" s="87" t="str">
        <f>Tabela1[[#This Row],[Descrição]]&amp;"-"&amp;Tabela1[[#This Row],[Código]]&amp;"/"&amp;Tabela1[[#This Row],[Origem]]</f>
        <v>Pepeda-P722P389/GO</v>
      </c>
      <c r="F268" s="88">
        <v>45597</v>
      </c>
      <c r="G268" s="88" t="str" cm="1">
        <f t="array" ref="G2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AND(F268&gt;= DATE(2026,1,1), F268&lt;= DATE(2028, 12, 31), J268&gt;50000), "Pendente e Caro", AND(F268&gt;= DATE(2026,1,1), F268&lt;= DATE(2028, 12, 31), J268&lt;=50000), "Pendente", F268&gt;= DATE(2029,1,1), "Não prioeitário")</f>
        <v>Urgente</v>
      </c>
      <c r="H268" s="89">
        <f>YEAR(Tabela1[[#This Row],[Data de Validade]])</f>
        <v>2024</v>
      </c>
      <c r="I268" s="89">
        <f>MONTH(Tabela1[[#This Row],[Data de Validade]])</f>
        <v>11</v>
      </c>
      <c r="J268" s="101">
        <v>42683</v>
      </c>
      <c r="K268" s="87" t="s">
        <v>7</v>
      </c>
      <c r="L268" s="108"/>
      <c r="M268" s="108"/>
      <c r="N268" s="108" t="str">
        <v>P722P389</v>
      </c>
      <c r="O268" s="108">
        <f t="shared" si="6"/>
        <v>1</v>
      </c>
      <c r="P268" s="108"/>
      <c r="Q268"/>
    </row>
    <row r="269" spans="1:17" x14ac:dyDescent="0.25">
      <c r="A269" s="89" t="s">
        <v>11159</v>
      </c>
      <c r="B269" s="87" t="s">
        <v>11160</v>
      </c>
      <c r="C269" s="87" t="s">
        <v>10</v>
      </c>
      <c r="D269" s="87" t="str">
        <f>VLOOKUP(Tabela1[[#This Row],[Origem]], 'Perguntas 1 a 24'!$J$28:$K$34, 2, 0)</f>
        <v>Centro-Oeste</v>
      </c>
      <c r="E269" s="87" t="str">
        <f>Tabela1[[#This Row],[Descrição]]&amp;"-"&amp;Tabela1[[#This Row],[Código]]&amp;"/"&amp;Tabela1[[#This Row],[Origem]]</f>
        <v>Ropugugafo-H471H644/GO</v>
      </c>
      <c r="F269" s="88">
        <v>45600</v>
      </c>
      <c r="G269" s="88" t="str" cm="1">
        <f t="array" ref="G2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AND(F269&gt;= DATE(2026,1,1), F269&lt;= DATE(2028, 12, 31), J269&gt;50000), "Pendente e Caro", AND(F269&gt;= DATE(2026,1,1), F269&lt;= DATE(2028, 12, 31), J269&lt;=50000), "Pendente", F269&gt;= DATE(2029,1,1), "Não prioeitário")</f>
        <v>Urgente e Caro</v>
      </c>
      <c r="H269" s="89">
        <f>YEAR(Tabela1[[#This Row],[Data de Validade]])</f>
        <v>2024</v>
      </c>
      <c r="I269" s="89">
        <f>MONTH(Tabela1[[#This Row],[Data de Validade]])</f>
        <v>11</v>
      </c>
      <c r="J269" s="101">
        <v>65887</v>
      </c>
      <c r="K269" s="87" t="s">
        <v>11</v>
      </c>
      <c r="L269" s="108"/>
      <c r="M269" s="108"/>
      <c r="N269" s="108" t="str">
        <v>H471H644</v>
      </c>
      <c r="O269" s="108">
        <f t="shared" si="6"/>
        <v>1</v>
      </c>
      <c r="P269" s="108"/>
      <c r="Q269"/>
    </row>
    <row r="270" spans="1:17" x14ac:dyDescent="0.25">
      <c r="A270" s="89" t="s">
        <v>4393</v>
      </c>
      <c r="B270" s="87" t="s">
        <v>4394</v>
      </c>
      <c r="C270" s="87" t="s">
        <v>10</v>
      </c>
      <c r="D270" s="87" t="str">
        <f>VLOOKUP(Tabela1[[#This Row],[Origem]], 'Perguntas 1 a 24'!$J$28:$K$34, 2, 0)</f>
        <v>Centro-Oeste</v>
      </c>
      <c r="E270" s="87" t="str">
        <f>Tabela1[[#This Row],[Descrição]]&amp;"-"&amp;Tabela1[[#This Row],[Código]]&amp;"/"&amp;Tabela1[[#This Row],[Origem]]</f>
        <v>Purogulege-P149H668/GO</v>
      </c>
      <c r="F270" s="88">
        <v>45601</v>
      </c>
      <c r="G270" s="88" t="str" cm="1">
        <f t="array" ref="G2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AND(F270&gt;= DATE(2026,1,1), F270&lt;= DATE(2028, 12, 31), J270&gt;50000), "Pendente e Caro", AND(F270&gt;= DATE(2026,1,1), F270&lt;= DATE(2028, 12, 31), J270&lt;=50000), "Pendente", F270&gt;= DATE(2029,1,1), "Não prioeitário")</f>
        <v>Urgente e Caro</v>
      </c>
      <c r="H270" s="89">
        <f>YEAR(Tabela1[[#This Row],[Data de Validade]])</f>
        <v>2024</v>
      </c>
      <c r="I270" s="89">
        <f>MONTH(Tabela1[[#This Row],[Data de Validade]])</f>
        <v>11</v>
      </c>
      <c r="J270" s="101">
        <v>114935</v>
      </c>
      <c r="K270" s="87" t="s">
        <v>14</v>
      </c>
      <c r="L270" s="108"/>
      <c r="M270" s="108"/>
      <c r="N270" s="108" t="str">
        <v>P149H668</v>
      </c>
      <c r="O270" s="108">
        <f t="shared" si="6"/>
        <v>1</v>
      </c>
      <c r="P270" s="108"/>
      <c r="Q270"/>
    </row>
    <row r="271" spans="1:17" x14ac:dyDescent="0.25">
      <c r="A271" s="89" t="s">
        <v>4586</v>
      </c>
      <c r="B271" s="87" t="s">
        <v>4587</v>
      </c>
      <c r="C271" s="87" t="s">
        <v>6</v>
      </c>
      <c r="D271" s="87" t="str">
        <f>VLOOKUP(Tabela1[[#This Row],[Origem]], 'Perguntas 1 a 24'!$J$28:$K$34, 2, 0)</f>
        <v>Nordeste</v>
      </c>
      <c r="E271" s="87" t="str">
        <f>Tabela1[[#This Row],[Descrição]]&amp;"-"&amp;Tabela1[[#This Row],[Código]]&amp;"/"&amp;Tabela1[[#This Row],[Origem]]</f>
        <v>Nutiropo-P178P124/MA</v>
      </c>
      <c r="F271" s="88">
        <v>45601</v>
      </c>
      <c r="G271" s="88" t="str" cm="1">
        <f t="array" ref="G2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AND(F271&gt;= DATE(2026,1,1), F271&lt;= DATE(2028, 12, 31), J271&gt;50000), "Pendente e Caro", AND(F271&gt;= DATE(2026,1,1), F271&lt;= DATE(2028, 12, 31), J271&lt;=50000), "Pendente", F271&gt;= DATE(2029,1,1), "Não prioeitário")</f>
        <v>Urgente e Caro</v>
      </c>
      <c r="H271" s="89">
        <f>YEAR(Tabela1[[#This Row],[Data de Validade]])</f>
        <v>2024</v>
      </c>
      <c r="I271" s="89">
        <f>MONTH(Tabela1[[#This Row],[Data de Validade]])</f>
        <v>11</v>
      </c>
      <c r="J271" s="101">
        <v>99552</v>
      </c>
      <c r="K271" s="87" t="s">
        <v>14</v>
      </c>
      <c r="L271" s="108"/>
      <c r="M271" s="108"/>
      <c r="N271" s="108" t="str">
        <v>P178P124</v>
      </c>
      <c r="O271" s="108">
        <f t="shared" si="6"/>
        <v>1</v>
      </c>
      <c r="P271" s="108"/>
      <c r="Q271"/>
    </row>
    <row r="272" spans="1:17" x14ac:dyDescent="0.25">
      <c r="A272" s="89" t="s">
        <v>7528</v>
      </c>
      <c r="B272" s="87" t="s">
        <v>7529</v>
      </c>
      <c r="C272" s="87" t="s">
        <v>10</v>
      </c>
      <c r="D272" s="87" t="str">
        <f>VLOOKUP(Tabela1[[#This Row],[Origem]], 'Perguntas 1 a 24'!$J$28:$K$34, 2, 0)</f>
        <v>Centro-Oeste</v>
      </c>
      <c r="E272" s="87" t="str">
        <f>Tabela1[[#This Row],[Descrição]]&amp;"-"&amp;Tabela1[[#This Row],[Código]]&amp;"/"&amp;Tabela1[[#This Row],[Origem]]</f>
        <v>Focari-P128H731/GO</v>
      </c>
      <c r="F272" s="88">
        <v>45601</v>
      </c>
      <c r="G272" s="88" t="str" cm="1">
        <f t="array" ref="G2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AND(F272&gt;= DATE(2026,1,1), F272&lt;= DATE(2028, 12, 31), J272&gt;50000), "Pendente e Caro", AND(F272&gt;= DATE(2026,1,1), F272&lt;= DATE(2028, 12, 31), J272&lt;=50000), "Pendente", F272&gt;= DATE(2029,1,1), "Não prioeitário")</f>
        <v>Urgente e Caro</v>
      </c>
      <c r="H272" s="89">
        <f>YEAR(Tabela1[[#This Row],[Data de Validade]])</f>
        <v>2024</v>
      </c>
      <c r="I272" s="89">
        <f>MONTH(Tabela1[[#This Row],[Data de Validade]])</f>
        <v>11</v>
      </c>
      <c r="J272" s="101">
        <v>94578</v>
      </c>
      <c r="K272" s="87" t="s">
        <v>9</v>
      </c>
      <c r="L272" s="108"/>
      <c r="M272" s="108"/>
      <c r="N272" s="108" t="str">
        <v>P128H731</v>
      </c>
      <c r="O272" s="108">
        <f t="shared" si="6"/>
        <v>1</v>
      </c>
      <c r="P272" s="108"/>
      <c r="Q272"/>
    </row>
    <row r="273" spans="1:17" x14ac:dyDescent="0.25">
      <c r="A273" s="89" t="s">
        <v>4022</v>
      </c>
      <c r="B273" s="87" t="s">
        <v>4023</v>
      </c>
      <c r="C273" s="87" t="s">
        <v>12</v>
      </c>
      <c r="D273" s="87" t="str">
        <f>VLOOKUP(Tabela1[[#This Row],[Origem]], 'Perguntas 1 a 24'!$J$28:$K$34, 2, 0)</f>
        <v>Sudeste</v>
      </c>
      <c r="E273" s="87" t="str">
        <f>Tabela1[[#This Row],[Descrição]]&amp;"-"&amp;Tabela1[[#This Row],[Código]]&amp;"/"&amp;Tabela1[[#This Row],[Origem]]</f>
        <v>Papidimipe-H242H241/RJ</v>
      </c>
      <c r="F273" s="88">
        <v>45601</v>
      </c>
      <c r="G273" s="88" t="str" cm="1">
        <f t="array" ref="G2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AND(F273&gt;= DATE(2026,1,1), F273&lt;= DATE(2028, 12, 31), J273&gt;50000), "Pendente e Caro", AND(F273&gt;= DATE(2026,1,1), F273&lt;= DATE(2028, 12, 31), J273&lt;=50000), "Pendente", F273&gt;= DATE(2029,1,1), "Não prioeitário")</f>
        <v>Urgente e Caro</v>
      </c>
      <c r="H273" s="89">
        <f>YEAR(Tabela1[[#This Row],[Data de Validade]])</f>
        <v>2024</v>
      </c>
      <c r="I273" s="89">
        <f>MONTH(Tabela1[[#This Row],[Data de Validade]])</f>
        <v>11</v>
      </c>
      <c r="J273" s="101">
        <v>83213</v>
      </c>
      <c r="K273" s="87" t="s">
        <v>7</v>
      </c>
      <c r="L273" s="108"/>
      <c r="M273" s="108"/>
      <c r="N273" s="108" t="str">
        <v>H242H241</v>
      </c>
      <c r="O273" s="108">
        <f t="shared" si="6"/>
        <v>1</v>
      </c>
      <c r="P273" s="108"/>
      <c r="Q273"/>
    </row>
    <row r="274" spans="1:17" x14ac:dyDescent="0.25">
      <c r="A274" s="89" t="s">
        <v>9929</v>
      </c>
      <c r="B274" s="87" t="s">
        <v>9930</v>
      </c>
      <c r="C274" s="87" t="s">
        <v>6</v>
      </c>
      <c r="D274" s="87" t="str">
        <f>VLOOKUP(Tabela1[[#This Row],[Origem]], 'Perguntas 1 a 24'!$J$28:$K$34, 2, 0)</f>
        <v>Nordeste</v>
      </c>
      <c r="E274" s="87" t="str">
        <f>Tabela1[[#This Row],[Descrição]]&amp;"-"&amp;Tabela1[[#This Row],[Código]]&amp;"/"&amp;Tabela1[[#This Row],[Origem]]</f>
        <v>Tugunefi-P379H351/MA</v>
      </c>
      <c r="F274" s="88">
        <v>45601</v>
      </c>
      <c r="G274" s="88" t="str" cm="1">
        <f t="array" ref="G2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AND(F274&gt;= DATE(2026,1,1), F274&lt;= DATE(2028, 12, 31), J274&gt;50000), "Pendente e Caro", AND(F274&gt;= DATE(2026,1,1), F274&lt;= DATE(2028, 12, 31), J274&lt;=50000), "Pendente", F274&gt;= DATE(2029,1,1), "Não prioeitário")</f>
        <v>Urgente</v>
      </c>
      <c r="H274" s="89">
        <f>YEAR(Tabela1[[#This Row],[Data de Validade]])</f>
        <v>2024</v>
      </c>
      <c r="I274" s="89">
        <f>MONTH(Tabela1[[#This Row],[Data de Validade]])</f>
        <v>11</v>
      </c>
      <c r="J274" s="101">
        <v>40058</v>
      </c>
      <c r="K274" s="87" t="s">
        <v>14</v>
      </c>
      <c r="L274" s="108"/>
      <c r="M274" s="108"/>
      <c r="N274" s="108" t="str">
        <v>P379H351</v>
      </c>
      <c r="O274" s="108">
        <f t="shared" si="6"/>
        <v>1</v>
      </c>
      <c r="P274" s="108"/>
      <c r="Q274"/>
    </row>
    <row r="275" spans="1:17" x14ac:dyDescent="0.25">
      <c r="A275" s="89" t="s">
        <v>10453</v>
      </c>
      <c r="B275" s="87" t="s">
        <v>10454</v>
      </c>
      <c r="C275" s="87" t="s">
        <v>15</v>
      </c>
      <c r="D275" s="87" t="str">
        <f>VLOOKUP(Tabela1[[#This Row],[Origem]], 'Perguntas 1 a 24'!$J$28:$K$34, 2, 0)</f>
        <v>Sudeste</v>
      </c>
      <c r="E275" s="87" t="str">
        <f>Tabela1[[#This Row],[Descrição]]&amp;"-"&amp;Tabela1[[#This Row],[Código]]&amp;"/"&amp;Tabela1[[#This Row],[Origem]]</f>
        <v>Linevego-P282H254/ES</v>
      </c>
      <c r="F275" s="88">
        <v>45602</v>
      </c>
      <c r="G275" s="88" t="str" cm="1">
        <f t="array" ref="G2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AND(F275&gt;= DATE(2026,1,1), F275&lt;= DATE(2028, 12, 31), J275&gt;50000), "Pendente e Caro", AND(F275&gt;= DATE(2026,1,1), F275&lt;= DATE(2028, 12, 31), J275&lt;=50000), "Pendente", F275&gt;= DATE(2029,1,1), "Não prioeitário")</f>
        <v>Urgente</v>
      </c>
      <c r="H275" s="89">
        <f>YEAR(Tabela1[[#This Row],[Data de Validade]])</f>
        <v>2024</v>
      </c>
      <c r="I275" s="89">
        <f>MONTH(Tabela1[[#This Row],[Data de Validade]])</f>
        <v>11</v>
      </c>
      <c r="J275" s="101">
        <v>22021</v>
      </c>
      <c r="K275" s="87" t="s">
        <v>7</v>
      </c>
      <c r="L275" s="108"/>
      <c r="M275" s="108"/>
      <c r="N275" s="108" t="str">
        <v>P282H254</v>
      </c>
      <c r="O275" s="108">
        <f t="shared" si="6"/>
        <v>1</v>
      </c>
      <c r="P275" s="108"/>
      <c r="Q275"/>
    </row>
    <row r="276" spans="1:17" x14ac:dyDescent="0.25">
      <c r="A276" s="89" t="s">
        <v>11314</v>
      </c>
      <c r="B276" s="87" t="s">
        <v>11315</v>
      </c>
      <c r="C276" s="87" t="s">
        <v>16</v>
      </c>
      <c r="D276" s="87" t="str">
        <f>VLOOKUP(Tabela1[[#This Row],[Origem]], 'Perguntas 1 a 24'!$J$28:$K$34, 2, 0)</f>
        <v>Sudeste</v>
      </c>
      <c r="E276" s="87" t="str">
        <f>Tabela1[[#This Row],[Descrição]]&amp;"-"&amp;Tabela1[[#This Row],[Código]]&amp;"/"&amp;Tabela1[[#This Row],[Origem]]</f>
        <v>Lavute-H261P285/MG</v>
      </c>
      <c r="F276" s="88">
        <v>45604</v>
      </c>
      <c r="G276" s="88" t="str" cm="1">
        <f t="array" ref="G2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AND(F276&gt;= DATE(2026,1,1), F276&lt;= DATE(2028, 12, 31), J276&gt;50000), "Pendente e Caro", AND(F276&gt;= DATE(2026,1,1), F276&lt;= DATE(2028, 12, 31), J276&lt;=50000), "Pendente", F276&gt;= DATE(2029,1,1), "Não prioeitário")</f>
        <v>Urgente e Caro</v>
      </c>
      <c r="H276" s="89">
        <f>YEAR(Tabela1[[#This Row],[Data de Validade]])</f>
        <v>2024</v>
      </c>
      <c r="I276" s="89">
        <f>MONTH(Tabela1[[#This Row],[Data de Validade]])</f>
        <v>11</v>
      </c>
      <c r="J276" s="101">
        <v>100953</v>
      </c>
      <c r="K276" s="87" t="s">
        <v>7</v>
      </c>
      <c r="L276" s="108"/>
      <c r="M276" s="108"/>
      <c r="N276" s="108" t="str">
        <v>H261P285</v>
      </c>
      <c r="O276" s="108">
        <f t="shared" si="6"/>
        <v>1</v>
      </c>
      <c r="P276" s="108"/>
      <c r="Q276"/>
    </row>
    <row r="277" spans="1:17" x14ac:dyDescent="0.25">
      <c r="A277" s="89" t="s">
        <v>4235</v>
      </c>
      <c r="B277" s="87" t="s">
        <v>4236</v>
      </c>
      <c r="C277" s="87" t="s">
        <v>12</v>
      </c>
      <c r="D277" s="87" t="str">
        <f>VLOOKUP(Tabela1[[#This Row],[Origem]], 'Perguntas 1 a 24'!$J$28:$K$34, 2, 0)</f>
        <v>Sudeste</v>
      </c>
      <c r="E277" s="87" t="str">
        <f>Tabela1[[#This Row],[Descrição]]&amp;"-"&amp;Tabela1[[#This Row],[Código]]&amp;"/"&amp;Tabela1[[#This Row],[Origem]]</f>
        <v>Diropova-P547P115/RJ</v>
      </c>
      <c r="F277" s="88">
        <v>45605</v>
      </c>
      <c r="G277" s="88" t="str" cm="1">
        <f t="array" ref="G2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AND(F277&gt;= DATE(2026,1,1), F277&lt;= DATE(2028, 12, 31), J277&gt;50000), "Pendente e Caro", AND(F277&gt;= DATE(2026,1,1), F277&lt;= DATE(2028, 12, 31), J277&lt;=50000), "Pendente", F277&gt;= DATE(2029,1,1), "Não prioeitário")</f>
        <v>Urgente e Caro</v>
      </c>
      <c r="H277" s="89">
        <f>YEAR(Tabela1[[#This Row],[Data de Validade]])</f>
        <v>2024</v>
      </c>
      <c r="I277" s="89">
        <f>MONTH(Tabela1[[#This Row],[Data de Validade]])</f>
        <v>11</v>
      </c>
      <c r="J277" s="101">
        <v>95579</v>
      </c>
      <c r="K277" s="87" t="s">
        <v>14</v>
      </c>
      <c r="L277" s="108"/>
      <c r="M277" s="108"/>
      <c r="N277" s="108" t="str">
        <v>P547P115</v>
      </c>
      <c r="O277" s="108">
        <f t="shared" si="6"/>
        <v>1</v>
      </c>
      <c r="P277" s="108"/>
      <c r="Q277"/>
    </row>
    <row r="278" spans="1:17" x14ac:dyDescent="0.25">
      <c r="A278" s="89" t="s">
        <v>7230</v>
      </c>
      <c r="B278" s="87" t="s">
        <v>7231</v>
      </c>
      <c r="C278" s="87" t="s">
        <v>16</v>
      </c>
      <c r="D278" s="87" t="str">
        <f>VLOOKUP(Tabela1[[#This Row],[Origem]], 'Perguntas 1 a 24'!$J$28:$K$34, 2, 0)</f>
        <v>Sudeste</v>
      </c>
      <c r="E278" s="87" t="str">
        <f>Tabela1[[#This Row],[Descrição]]&amp;"-"&amp;Tabela1[[#This Row],[Código]]&amp;"/"&amp;Tabela1[[#This Row],[Origem]]</f>
        <v>Natonofuti-P154H797/MG</v>
      </c>
      <c r="F278" s="88">
        <v>45605</v>
      </c>
      <c r="G278" s="88" t="str" cm="1">
        <f t="array" ref="G2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AND(F278&gt;= DATE(2026,1,1), F278&lt;= DATE(2028, 12, 31), J278&gt;50000), "Pendente e Caro", AND(F278&gt;= DATE(2026,1,1), F278&lt;= DATE(2028, 12, 31), J278&lt;=50000), "Pendente", F278&gt;= DATE(2029,1,1), "Não prioeitário")</f>
        <v>Urgente e Caro</v>
      </c>
      <c r="H278" s="89">
        <f>YEAR(Tabela1[[#This Row],[Data de Validade]])</f>
        <v>2024</v>
      </c>
      <c r="I278" s="89">
        <f>MONTH(Tabela1[[#This Row],[Data de Validade]])</f>
        <v>11</v>
      </c>
      <c r="J278" s="101">
        <v>65880</v>
      </c>
      <c r="K278" s="87" t="s">
        <v>14</v>
      </c>
      <c r="L278" s="108"/>
      <c r="M278" s="108"/>
      <c r="N278" s="108" t="str">
        <v>P154H797</v>
      </c>
      <c r="O278" s="108">
        <f t="shared" si="6"/>
        <v>1</v>
      </c>
      <c r="P278" s="108"/>
      <c r="Q278"/>
    </row>
    <row r="279" spans="1:17" x14ac:dyDescent="0.25">
      <c r="A279" s="89" t="s">
        <v>10087</v>
      </c>
      <c r="B279" s="87" t="s">
        <v>10088</v>
      </c>
      <c r="C279" s="87" t="s">
        <v>15</v>
      </c>
      <c r="D279" s="87" t="str">
        <f>VLOOKUP(Tabela1[[#This Row],[Origem]], 'Perguntas 1 a 24'!$J$28:$K$34, 2, 0)</f>
        <v>Sudeste</v>
      </c>
      <c r="E279" s="87" t="str">
        <f>Tabela1[[#This Row],[Descrição]]&amp;"-"&amp;Tabela1[[#This Row],[Código]]&amp;"/"&amp;Tabela1[[#This Row],[Origem]]</f>
        <v>Feremegapa-H493H199/ES</v>
      </c>
      <c r="F279" s="88">
        <v>45605</v>
      </c>
      <c r="G279" s="88" t="str" cm="1">
        <f t="array" ref="G2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AND(F279&gt;= DATE(2026,1,1), F279&lt;= DATE(2028, 12, 31), J279&gt;50000), "Pendente e Caro", AND(F279&gt;= DATE(2026,1,1), F279&lt;= DATE(2028, 12, 31), J279&lt;=50000), "Pendente", F279&gt;= DATE(2029,1,1), "Não prioeitário")</f>
        <v>Urgente e Caro</v>
      </c>
      <c r="H279" s="89">
        <f>YEAR(Tabela1[[#This Row],[Data de Validade]])</f>
        <v>2024</v>
      </c>
      <c r="I279" s="89">
        <f>MONTH(Tabela1[[#This Row],[Data de Validade]])</f>
        <v>11</v>
      </c>
      <c r="J279" s="101">
        <v>56024</v>
      </c>
      <c r="K279" s="87" t="s">
        <v>11</v>
      </c>
      <c r="L279" s="108"/>
      <c r="M279" s="108"/>
      <c r="N279" s="108" t="str">
        <v>H493H199</v>
      </c>
      <c r="O279" s="108">
        <f t="shared" si="6"/>
        <v>1</v>
      </c>
      <c r="P279" s="108"/>
      <c r="Q279"/>
    </row>
    <row r="280" spans="1:17" x14ac:dyDescent="0.25">
      <c r="A280" s="89" t="s">
        <v>11236</v>
      </c>
      <c r="B280" s="87" t="s">
        <v>11237</v>
      </c>
      <c r="C280" s="87" t="s">
        <v>13</v>
      </c>
      <c r="D280" s="87" t="str">
        <f>VLOOKUP(Tabela1[[#This Row],[Origem]], 'Perguntas 1 a 24'!$J$28:$K$34, 2, 0)</f>
        <v>Sudeste</v>
      </c>
      <c r="E280" s="87" t="str">
        <f>Tabela1[[#This Row],[Descrição]]&amp;"-"&amp;Tabela1[[#This Row],[Código]]&amp;"/"&amp;Tabela1[[#This Row],[Origem]]</f>
        <v>Porevegota-H329P817/SP</v>
      </c>
      <c r="F280" s="88">
        <v>45607</v>
      </c>
      <c r="G280" s="88" t="str" cm="1">
        <f t="array" ref="G2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AND(F280&gt;= DATE(2026,1,1), F280&lt;= DATE(2028, 12, 31), J280&gt;50000), "Pendente e Caro", AND(F280&gt;= DATE(2026,1,1), F280&lt;= DATE(2028, 12, 31), J280&lt;=50000), "Pendente", F280&gt;= DATE(2029,1,1), "Não prioeitário")</f>
        <v>Urgente e Caro</v>
      </c>
      <c r="H280" s="89">
        <f>YEAR(Tabela1[[#This Row],[Data de Validade]])</f>
        <v>2024</v>
      </c>
      <c r="I280" s="89">
        <f>MONTH(Tabela1[[#This Row],[Data de Validade]])</f>
        <v>11</v>
      </c>
      <c r="J280" s="101">
        <v>116457</v>
      </c>
      <c r="K280" s="87" t="s">
        <v>7</v>
      </c>
      <c r="L280" s="108"/>
      <c r="M280" s="108"/>
      <c r="N280" s="108" t="str">
        <v>H329P817</v>
      </c>
      <c r="O280" s="108">
        <f t="shared" si="6"/>
        <v>1</v>
      </c>
      <c r="P280" s="108"/>
      <c r="Q280"/>
    </row>
    <row r="281" spans="1:17" x14ac:dyDescent="0.25">
      <c r="A281" s="89" t="s">
        <v>9313</v>
      </c>
      <c r="B281" s="87" t="s">
        <v>9314</v>
      </c>
      <c r="C281" s="87" t="s">
        <v>10</v>
      </c>
      <c r="D281" s="87" t="str">
        <f>VLOOKUP(Tabela1[[#This Row],[Origem]], 'Perguntas 1 a 24'!$J$28:$K$34, 2, 0)</f>
        <v>Centro-Oeste</v>
      </c>
      <c r="E281" s="87" t="str">
        <f>Tabela1[[#This Row],[Descrição]]&amp;"-"&amp;Tabela1[[#This Row],[Código]]&amp;"/"&amp;Tabela1[[#This Row],[Origem]]</f>
        <v>Vefada-H594P881/GO</v>
      </c>
      <c r="F281" s="88">
        <v>45608</v>
      </c>
      <c r="G281" s="88" t="str" cm="1">
        <f t="array" ref="G2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AND(F281&gt;= DATE(2026,1,1), F281&lt;= DATE(2028, 12, 31), J281&gt;50000), "Pendente e Caro", AND(F281&gt;= DATE(2026,1,1), F281&lt;= DATE(2028, 12, 31), J281&lt;=50000), "Pendente", F281&gt;= DATE(2029,1,1), "Não prioeitário")</f>
        <v>Urgente e Caro</v>
      </c>
      <c r="H281" s="89">
        <f>YEAR(Tabela1[[#This Row],[Data de Validade]])</f>
        <v>2024</v>
      </c>
      <c r="I281" s="89">
        <f>MONTH(Tabela1[[#This Row],[Data de Validade]])</f>
        <v>11</v>
      </c>
      <c r="J281" s="101">
        <v>103068</v>
      </c>
      <c r="K281" s="87" t="s">
        <v>14</v>
      </c>
      <c r="L281" s="108"/>
      <c r="M281" s="108"/>
      <c r="N281" s="108" t="str">
        <v>H594P881</v>
      </c>
      <c r="O281" s="108">
        <f t="shared" si="6"/>
        <v>1</v>
      </c>
      <c r="P281" s="108"/>
      <c r="Q281"/>
    </row>
    <row r="282" spans="1:17" x14ac:dyDescent="0.25">
      <c r="A282" s="89" t="s">
        <v>9567</v>
      </c>
      <c r="B282" s="87" t="s">
        <v>9568</v>
      </c>
      <c r="C282" s="87" t="s">
        <v>6</v>
      </c>
      <c r="D282" s="87" t="str">
        <f>VLOOKUP(Tabela1[[#This Row],[Origem]], 'Perguntas 1 a 24'!$J$28:$K$34, 2, 0)</f>
        <v>Nordeste</v>
      </c>
      <c r="E282" s="87" t="str">
        <f>Tabela1[[#This Row],[Descrição]]&amp;"-"&amp;Tabela1[[#This Row],[Código]]&amp;"/"&amp;Tabela1[[#This Row],[Origem]]</f>
        <v>Puvuru-P266P559/MA</v>
      </c>
      <c r="F282" s="88">
        <v>45608</v>
      </c>
      <c r="G282" s="88" t="str" cm="1">
        <f t="array" ref="G2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AND(F282&gt;= DATE(2026,1,1), F282&lt;= DATE(2028, 12, 31), J282&gt;50000), "Pendente e Caro", AND(F282&gt;= DATE(2026,1,1), F282&lt;= DATE(2028, 12, 31), J282&lt;=50000), "Pendente", F282&gt;= DATE(2029,1,1), "Não prioeitário")</f>
        <v>Urgente e Caro</v>
      </c>
      <c r="H282" s="89">
        <f>YEAR(Tabela1[[#This Row],[Data de Validade]])</f>
        <v>2024</v>
      </c>
      <c r="I282" s="89">
        <f>MONTH(Tabela1[[#This Row],[Data de Validade]])</f>
        <v>11</v>
      </c>
      <c r="J282" s="101">
        <v>53367</v>
      </c>
      <c r="K282" s="87" t="s">
        <v>11</v>
      </c>
      <c r="L282" s="108"/>
      <c r="M282" s="108"/>
      <c r="N282" s="108" t="str">
        <v>P266P559</v>
      </c>
      <c r="O282" s="108">
        <f t="shared" si="6"/>
        <v>1</v>
      </c>
      <c r="P282" s="108"/>
      <c r="Q282"/>
    </row>
    <row r="283" spans="1:17" x14ac:dyDescent="0.25">
      <c r="A283" s="89" t="s">
        <v>5760</v>
      </c>
      <c r="B283" s="87" t="s">
        <v>5761</v>
      </c>
      <c r="C283" s="87" t="s">
        <v>10</v>
      </c>
      <c r="D283" s="87" t="str">
        <f>VLOOKUP(Tabela1[[#This Row],[Origem]], 'Perguntas 1 a 24'!$J$28:$K$34, 2, 0)</f>
        <v>Centro-Oeste</v>
      </c>
      <c r="E283" s="87" t="str">
        <f>Tabela1[[#This Row],[Descrição]]&amp;"-"&amp;Tabela1[[#This Row],[Código]]&amp;"/"&amp;Tabela1[[#This Row],[Origem]]</f>
        <v>Ticamumo-H989P224/GO</v>
      </c>
      <c r="F283" s="88">
        <v>45609</v>
      </c>
      <c r="G283" s="88" t="str" cm="1">
        <f t="array" ref="G2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AND(F283&gt;= DATE(2026,1,1), F283&lt;= DATE(2028, 12, 31), J283&gt;50000), "Pendente e Caro", AND(F283&gt;= DATE(2026,1,1), F283&lt;= DATE(2028, 12, 31), J283&lt;=50000), "Pendente", F283&gt;= DATE(2029,1,1), "Não prioeitário")</f>
        <v>Urgente e Caro</v>
      </c>
      <c r="H283" s="89">
        <f>YEAR(Tabela1[[#This Row],[Data de Validade]])</f>
        <v>2024</v>
      </c>
      <c r="I283" s="89">
        <f>MONTH(Tabela1[[#This Row],[Data de Validade]])</f>
        <v>11</v>
      </c>
      <c r="J283" s="101">
        <v>93464</v>
      </c>
      <c r="K283" s="87" t="s">
        <v>9</v>
      </c>
      <c r="L283" s="108"/>
      <c r="M283" s="108"/>
      <c r="N283" s="108" t="str">
        <v>H989P224</v>
      </c>
      <c r="O283" s="108">
        <f t="shared" si="6"/>
        <v>1</v>
      </c>
      <c r="P283" s="108"/>
      <c r="Q283"/>
    </row>
    <row r="284" spans="1:17" x14ac:dyDescent="0.25">
      <c r="A284" s="89" t="s">
        <v>6690</v>
      </c>
      <c r="B284" s="87" t="s">
        <v>6691</v>
      </c>
      <c r="C284" s="87" t="s">
        <v>10</v>
      </c>
      <c r="D284" s="87" t="str">
        <f>VLOOKUP(Tabela1[[#This Row],[Origem]], 'Perguntas 1 a 24'!$J$28:$K$34, 2, 0)</f>
        <v>Centro-Oeste</v>
      </c>
      <c r="E284" s="87" t="str">
        <f>Tabela1[[#This Row],[Descrição]]&amp;"-"&amp;Tabela1[[#This Row],[Código]]&amp;"/"&amp;Tabela1[[#This Row],[Origem]]</f>
        <v>Medumipida-H468P426/GO</v>
      </c>
      <c r="F284" s="88">
        <v>45609</v>
      </c>
      <c r="G284" s="88" t="str" cm="1">
        <f t="array" ref="G2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AND(F284&gt;= DATE(2026,1,1), F284&lt;= DATE(2028, 12, 31), J284&gt;50000), "Pendente e Caro", AND(F284&gt;= DATE(2026,1,1), F284&lt;= DATE(2028, 12, 31), J284&lt;=50000), "Pendente", F284&gt;= DATE(2029,1,1), "Não prioeitário")</f>
        <v>Urgente e Caro</v>
      </c>
      <c r="H284" s="89">
        <f>YEAR(Tabela1[[#This Row],[Data de Validade]])</f>
        <v>2024</v>
      </c>
      <c r="I284" s="89">
        <f>MONTH(Tabela1[[#This Row],[Data de Validade]])</f>
        <v>11</v>
      </c>
      <c r="J284" s="101">
        <v>76209</v>
      </c>
      <c r="K284" s="87" t="s">
        <v>7</v>
      </c>
      <c r="L284" s="108"/>
      <c r="M284" s="108"/>
      <c r="N284" s="108" t="str">
        <v>H468P426</v>
      </c>
      <c r="O284" s="108">
        <f t="shared" si="6"/>
        <v>1</v>
      </c>
      <c r="P284" s="108"/>
      <c r="Q284"/>
    </row>
    <row r="285" spans="1:17" x14ac:dyDescent="0.25">
      <c r="A285" s="89" t="s">
        <v>4267</v>
      </c>
      <c r="B285" s="87" t="s">
        <v>4268</v>
      </c>
      <c r="C285" s="87" t="s">
        <v>10</v>
      </c>
      <c r="D285" s="87" t="str">
        <f>VLOOKUP(Tabela1[[#This Row],[Origem]], 'Perguntas 1 a 24'!$J$28:$K$34, 2, 0)</f>
        <v>Centro-Oeste</v>
      </c>
      <c r="E285" s="87" t="str">
        <f>Tabela1[[#This Row],[Descrição]]&amp;"-"&amp;Tabela1[[#This Row],[Código]]&amp;"/"&amp;Tabela1[[#This Row],[Origem]]</f>
        <v>Rafepago-H929H462/GO</v>
      </c>
      <c r="F285" s="88">
        <v>45609</v>
      </c>
      <c r="G285" s="88" t="str" cm="1">
        <f t="array" ref="G2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AND(F285&gt;= DATE(2026,1,1), F285&lt;= DATE(2028, 12, 31), J285&gt;50000), "Pendente e Caro", AND(F285&gt;= DATE(2026,1,1), F285&lt;= DATE(2028, 12, 31), J285&lt;=50000), "Pendente", F285&gt;= DATE(2029,1,1), "Não prioeitário")</f>
        <v>Urgente e Caro</v>
      </c>
      <c r="H285" s="89">
        <f>YEAR(Tabela1[[#This Row],[Data de Validade]])</f>
        <v>2024</v>
      </c>
      <c r="I285" s="89">
        <f>MONTH(Tabela1[[#This Row],[Data de Validade]])</f>
        <v>11</v>
      </c>
      <c r="J285" s="101">
        <v>60143</v>
      </c>
      <c r="K285" s="87" t="s">
        <v>11</v>
      </c>
      <c r="L285" s="108"/>
      <c r="M285" s="108"/>
      <c r="N285" s="108" t="str">
        <v>H929H462</v>
      </c>
      <c r="O285" s="108">
        <f t="shared" si="6"/>
        <v>1</v>
      </c>
      <c r="P285" s="108"/>
      <c r="Q285"/>
    </row>
    <row r="286" spans="1:17" x14ac:dyDescent="0.25">
      <c r="A286" s="89" t="s">
        <v>4425</v>
      </c>
      <c r="B286" s="87" t="s">
        <v>4426</v>
      </c>
      <c r="C286" s="87" t="s">
        <v>13</v>
      </c>
      <c r="D286" s="87" t="str">
        <f>VLOOKUP(Tabela1[[#This Row],[Origem]], 'Perguntas 1 a 24'!$J$28:$K$34, 2, 0)</f>
        <v>Sudeste</v>
      </c>
      <c r="E286" s="87" t="str">
        <f>Tabela1[[#This Row],[Descrição]]&amp;"-"&amp;Tabela1[[#This Row],[Código]]&amp;"/"&amp;Tabela1[[#This Row],[Origem]]</f>
        <v>Gocupeva-H847H936/SP</v>
      </c>
      <c r="F286" s="88">
        <v>45609</v>
      </c>
      <c r="G286" s="88" t="str" cm="1">
        <f t="array" ref="G2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AND(F286&gt;= DATE(2026,1,1), F286&lt;= DATE(2028, 12, 31), J286&gt;50000), "Pendente e Caro", AND(F286&gt;= DATE(2026,1,1), F286&lt;= DATE(2028, 12, 31), J286&lt;=50000), "Pendente", F286&gt;= DATE(2029,1,1), "Não prioeitário")</f>
        <v>Urgente</v>
      </c>
      <c r="H286" s="89">
        <f>YEAR(Tabela1[[#This Row],[Data de Validade]])</f>
        <v>2024</v>
      </c>
      <c r="I286" s="89">
        <f>MONTH(Tabela1[[#This Row],[Data de Validade]])</f>
        <v>11</v>
      </c>
      <c r="J286" s="101">
        <v>36536</v>
      </c>
      <c r="K286" s="87" t="s">
        <v>7</v>
      </c>
      <c r="L286" s="108"/>
      <c r="M286" s="108"/>
      <c r="N286" s="108" t="str">
        <v>H847H936</v>
      </c>
      <c r="O286" s="108">
        <f t="shared" si="6"/>
        <v>1</v>
      </c>
      <c r="P286" s="108"/>
      <c r="Q286"/>
    </row>
    <row r="287" spans="1:17" x14ac:dyDescent="0.25">
      <c r="A287" s="89" t="s">
        <v>10419</v>
      </c>
      <c r="B287" s="87" t="s">
        <v>10420</v>
      </c>
      <c r="C287" s="87" t="s">
        <v>15</v>
      </c>
      <c r="D287" s="87" t="str">
        <f>VLOOKUP(Tabela1[[#This Row],[Origem]], 'Perguntas 1 a 24'!$J$28:$K$34, 2, 0)</f>
        <v>Sudeste</v>
      </c>
      <c r="E287" s="87" t="str">
        <f>Tabela1[[#This Row],[Descrição]]&amp;"-"&amp;Tabela1[[#This Row],[Código]]&amp;"/"&amp;Tabela1[[#This Row],[Origem]]</f>
        <v>Potuta-H137P515/ES</v>
      </c>
      <c r="F287" s="88">
        <v>45610</v>
      </c>
      <c r="G287" s="88" t="str" cm="1">
        <f t="array" ref="G2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AND(F287&gt;= DATE(2026,1,1), F287&lt;= DATE(2028, 12, 31), J287&gt;50000), "Pendente e Caro", AND(F287&gt;= DATE(2026,1,1), F287&lt;= DATE(2028, 12, 31), J287&lt;=50000), "Pendente", F287&gt;= DATE(2029,1,1), "Não prioeitário")</f>
        <v>Urgente</v>
      </c>
      <c r="H287" s="89">
        <f>YEAR(Tabela1[[#This Row],[Data de Validade]])</f>
        <v>2024</v>
      </c>
      <c r="I287" s="89">
        <f>MONTH(Tabela1[[#This Row],[Data de Validade]])</f>
        <v>11</v>
      </c>
      <c r="J287" s="101">
        <v>49312</v>
      </c>
      <c r="K287" s="87" t="s">
        <v>11</v>
      </c>
      <c r="L287" s="108"/>
      <c r="M287" s="108"/>
      <c r="N287" s="108" t="str">
        <v>H137P515</v>
      </c>
      <c r="O287" s="108">
        <f t="shared" si="6"/>
        <v>1</v>
      </c>
      <c r="P287" s="108"/>
      <c r="Q287"/>
    </row>
    <row r="288" spans="1:17" x14ac:dyDescent="0.25">
      <c r="A288" s="89" t="s">
        <v>5868</v>
      </c>
      <c r="B288" s="87" t="s">
        <v>5869</v>
      </c>
      <c r="C288" s="87" t="s">
        <v>8</v>
      </c>
      <c r="D288" s="87" t="str">
        <f>VLOOKUP(Tabela1[[#This Row],[Origem]], 'Perguntas 1 a 24'!$J$28:$K$34, 2, 0)</f>
        <v>Nordeste</v>
      </c>
      <c r="E288" s="87" t="str">
        <f>Tabela1[[#This Row],[Descrição]]&amp;"-"&amp;Tabela1[[#This Row],[Código]]&amp;"/"&amp;Tabela1[[#This Row],[Origem]]</f>
        <v>Firore-H788H556/AL</v>
      </c>
      <c r="F288" s="88">
        <v>45612</v>
      </c>
      <c r="G288" s="88" t="str" cm="1">
        <f t="array" ref="G2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AND(F288&gt;= DATE(2026,1,1), F288&lt;= DATE(2028, 12, 31), J288&gt;50000), "Pendente e Caro", AND(F288&gt;= DATE(2026,1,1), F288&lt;= DATE(2028, 12, 31), J288&lt;=50000), "Pendente", F288&gt;= DATE(2029,1,1), "Não prioeitário")</f>
        <v>Urgente e Caro</v>
      </c>
      <c r="H288" s="89">
        <f>YEAR(Tabela1[[#This Row],[Data de Validade]])</f>
        <v>2024</v>
      </c>
      <c r="I288" s="89">
        <f>MONTH(Tabela1[[#This Row],[Data de Validade]])</f>
        <v>11</v>
      </c>
      <c r="J288" s="101">
        <v>115892</v>
      </c>
      <c r="K288" s="87" t="s">
        <v>9</v>
      </c>
      <c r="L288" s="108"/>
      <c r="M288" s="108"/>
      <c r="N288" s="108" t="str">
        <v>H788H556</v>
      </c>
      <c r="O288" s="108">
        <f t="shared" si="6"/>
        <v>1</v>
      </c>
      <c r="P288" s="108"/>
      <c r="Q288"/>
    </row>
    <row r="289" spans="1:17" x14ac:dyDescent="0.25">
      <c r="A289" s="89" t="s">
        <v>6028</v>
      </c>
      <c r="B289" s="87" t="s">
        <v>6029</v>
      </c>
      <c r="C289" s="87" t="s">
        <v>6</v>
      </c>
      <c r="D289" s="87" t="str">
        <f>VLOOKUP(Tabela1[[#This Row],[Origem]], 'Perguntas 1 a 24'!$J$28:$K$34, 2, 0)</f>
        <v>Nordeste</v>
      </c>
      <c r="E289" s="87" t="str">
        <f>Tabela1[[#This Row],[Descrição]]&amp;"-"&amp;Tabela1[[#This Row],[Código]]&amp;"/"&amp;Tabela1[[#This Row],[Origem]]</f>
        <v>Peculoremi-H239H568/MA</v>
      </c>
      <c r="F289" s="88">
        <v>45612</v>
      </c>
      <c r="G289" s="88" t="str" cm="1">
        <f t="array" ref="G2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AND(F289&gt;= DATE(2026,1,1), F289&lt;= DATE(2028, 12, 31), J289&gt;50000), "Pendente e Caro", AND(F289&gt;= DATE(2026,1,1), F289&lt;= DATE(2028, 12, 31), J289&lt;=50000), "Pendente", F289&gt;= DATE(2029,1,1), "Não prioeitário")</f>
        <v>Urgente e Caro</v>
      </c>
      <c r="H289" s="89">
        <f>YEAR(Tabela1[[#This Row],[Data de Validade]])</f>
        <v>2024</v>
      </c>
      <c r="I289" s="89">
        <f>MONTH(Tabela1[[#This Row],[Data de Validade]])</f>
        <v>11</v>
      </c>
      <c r="J289" s="101">
        <v>104085</v>
      </c>
      <c r="K289" s="87" t="s">
        <v>11</v>
      </c>
      <c r="L289" s="108"/>
      <c r="M289" s="108"/>
      <c r="N289" s="108" t="str">
        <v>H239H568</v>
      </c>
      <c r="O289" s="108">
        <f t="shared" si="6"/>
        <v>1</v>
      </c>
      <c r="P289" s="108"/>
      <c r="Q289"/>
    </row>
    <row r="290" spans="1:17" x14ac:dyDescent="0.25">
      <c r="A290" s="89" t="s">
        <v>9659</v>
      </c>
      <c r="B290" s="87" t="s">
        <v>9660</v>
      </c>
      <c r="C290" s="87" t="s">
        <v>13</v>
      </c>
      <c r="D290" s="87" t="str">
        <f>VLOOKUP(Tabela1[[#This Row],[Origem]], 'Perguntas 1 a 24'!$J$28:$K$34, 2, 0)</f>
        <v>Sudeste</v>
      </c>
      <c r="E290" s="87" t="str">
        <f>Tabela1[[#This Row],[Descrição]]&amp;"-"&amp;Tabela1[[#This Row],[Código]]&amp;"/"&amp;Tabela1[[#This Row],[Origem]]</f>
        <v>Durupepo-P648P391/SP</v>
      </c>
      <c r="F290" s="88">
        <v>45612</v>
      </c>
      <c r="G290" s="88" t="str" cm="1">
        <f t="array" ref="G2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AND(F290&gt;= DATE(2026,1,1), F290&lt;= DATE(2028, 12, 31), J290&gt;50000), "Pendente e Caro", AND(F290&gt;= DATE(2026,1,1), F290&lt;= DATE(2028, 12, 31), J290&lt;=50000), "Pendente", F290&gt;= DATE(2029,1,1), "Não prioeitário")</f>
        <v>Urgente e Caro</v>
      </c>
      <c r="H290" s="89">
        <f>YEAR(Tabela1[[#This Row],[Data de Validade]])</f>
        <v>2024</v>
      </c>
      <c r="I290" s="89">
        <f>MONTH(Tabela1[[#This Row],[Data de Validade]])</f>
        <v>11</v>
      </c>
      <c r="J290" s="101">
        <v>86363</v>
      </c>
      <c r="K290" s="87" t="s">
        <v>14</v>
      </c>
      <c r="L290" s="108"/>
      <c r="M290" s="108"/>
      <c r="N290" s="108" t="str">
        <v>P648P391</v>
      </c>
      <c r="O290" s="108">
        <f t="shared" si="6"/>
        <v>1</v>
      </c>
      <c r="P290" s="108"/>
      <c r="Q290"/>
    </row>
    <row r="291" spans="1:17" x14ac:dyDescent="0.25">
      <c r="A291" s="89" t="s">
        <v>5660</v>
      </c>
      <c r="B291" s="87" t="s">
        <v>5661</v>
      </c>
      <c r="C291" s="87" t="s">
        <v>15</v>
      </c>
      <c r="D291" s="87" t="str">
        <f>VLOOKUP(Tabela1[[#This Row],[Origem]], 'Perguntas 1 a 24'!$J$28:$K$34, 2, 0)</f>
        <v>Sudeste</v>
      </c>
      <c r="E291" s="87" t="str">
        <f>Tabela1[[#This Row],[Descrição]]&amp;"-"&amp;Tabela1[[#This Row],[Código]]&amp;"/"&amp;Tabela1[[#This Row],[Origem]]</f>
        <v>Tunuca-P418P963/ES</v>
      </c>
      <c r="F291" s="88">
        <v>45616</v>
      </c>
      <c r="G291" s="88" t="str" cm="1">
        <f t="array" ref="G2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AND(F291&gt;= DATE(2026,1,1), F291&lt;= DATE(2028, 12, 31), J291&gt;50000), "Pendente e Caro", AND(F291&gt;= DATE(2026,1,1), F291&lt;= DATE(2028, 12, 31), J291&lt;=50000), "Pendente", F291&gt;= DATE(2029,1,1), "Não prioeitário")</f>
        <v>Urgente</v>
      </c>
      <c r="H291" s="89">
        <f>YEAR(Tabela1[[#This Row],[Data de Validade]])</f>
        <v>2024</v>
      </c>
      <c r="I291" s="89">
        <f>MONTH(Tabela1[[#This Row],[Data de Validade]])</f>
        <v>11</v>
      </c>
      <c r="J291" s="101">
        <v>24322</v>
      </c>
      <c r="K291" s="87" t="s">
        <v>14</v>
      </c>
      <c r="L291" s="108"/>
      <c r="M291" s="108"/>
      <c r="N291" s="108" t="str">
        <v>P418P963</v>
      </c>
      <c r="O291" s="108">
        <f t="shared" si="6"/>
        <v>1</v>
      </c>
      <c r="P291" s="108"/>
      <c r="Q291"/>
    </row>
    <row r="292" spans="1:17" x14ac:dyDescent="0.25">
      <c r="A292" s="89" t="s">
        <v>10949</v>
      </c>
      <c r="B292" s="87" t="s">
        <v>10950</v>
      </c>
      <c r="C292" s="87" t="s">
        <v>13</v>
      </c>
      <c r="D292" s="87" t="str">
        <f>VLOOKUP(Tabela1[[#This Row],[Origem]], 'Perguntas 1 a 24'!$J$28:$K$34, 2, 0)</f>
        <v>Sudeste</v>
      </c>
      <c r="E292" s="87" t="str">
        <f>Tabela1[[#This Row],[Descrição]]&amp;"-"&amp;Tabela1[[#This Row],[Código]]&amp;"/"&amp;Tabela1[[#This Row],[Origem]]</f>
        <v>Vefeteto-H239H474/SP</v>
      </c>
      <c r="F292" s="88">
        <v>45617</v>
      </c>
      <c r="G292" s="88" t="str" cm="1">
        <f t="array" ref="G2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AND(F292&gt;= DATE(2026,1,1), F292&lt;= DATE(2028, 12, 31), J292&gt;50000), "Pendente e Caro", AND(F292&gt;= DATE(2026,1,1), F292&lt;= DATE(2028, 12, 31), J292&lt;=50000), "Pendente", F292&gt;= DATE(2029,1,1), "Não prioeitário")</f>
        <v>Urgente</v>
      </c>
      <c r="H292" s="89">
        <f>YEAR(Tabela1[[#This Row],[Data de Validade]])</f>
        <v>2024</v>
      </c>
      <c r="I292" s="89">
        <f>MONTH(Tabela1[[#This Row],[Data de Validade]])</f>
        <v>11</v>
      </c>
      <c r="J292" s="101">
        <v>26212</v>
      </c>
      <c r="K292" s="87" t="s">
        <v>7</v>
      </c>
      <c r="L292" s="108"/>
      <c r="M292" s="108"/>
      <c r="N292" s="108" t="str">
        <v>H239H474</v>
      </c>
      <c r="O292" s="108">
        <f t="shared" si="6"/>
        <v>1</v>
      </c>
      <c r="P292" s="108"/>
      <c r="Q292"/>
    </row>
    <row r="293" spans="1:17" x14ac:dyDescent="0.25">
      <c r="A293" s="89" t="s">
        <v>6654</v>
      </c>
      <c r="B293" s="87" t="s">
        <v>6655</v>
      </c>
      <c r="C293" s="87" t="s">
        <v>12</v>
      </c>
      <c r="D293" s="87" t="str">
        <f>VLOOKUP(Tabela1[[#This Row],[Origem]], 'Perguntas 1 a 24'!$J$28:$K$34, 2, 0)</f>
        <v>Sudeste</v>
      </c>
      <c r="E293" s="87" t="str">
        <f>Tabela1[[#This Row],[Descrição]]&amp;"-"&amp;Tabela1[[#This Row],[Código]]&amp;"/"&amp;Tabela1[[#This Row],[Origem]]</f>
        <v>Fufaci-P513P598/RJ</v>
      </c>
      <c r="F293" s="88">
        <v>45618</v>
      </c>
      <c r="G293" s="88" t="str" cm="1">
        <f t="array" ref="G2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AND(F293&gt;= DATE(2026,1,1), F293&lt;= DATE(2028, 12, 31), J293&gt;50000), "Pendente e Caro", AND(F293&gt;= DATE(2026,1,1), F293&lt;= DATE(2028, 12, 31), J293&lt;=50000), "Pendente", F293&gt;= DATE(2029,1,1), "Não prioeitário")</f>
        <v>Urgente e Caro</v>
      </c>
      <c r="H293" s="89">
        <f>YEAR(Tabela1[[#This Row],[Data de Validade]])</f>
        <v>2024</v>
      </c>
      <c r="I293" s="89">
        <f>MONTH(Tabela1[[#This Row],[Data de Validade]])</f>
        <v>11</v>
      </c>
      <c r="J293" s="101">
        <v>55726</v>
      </c>
      <c r="K293" s="87" t="s">
        <v>9</v>
      </c>
      <c r="L293" s="108"/>
      <c r="M293" s="108"/>
      <c r="N293" s="108" t="str">
        <v>P513P598</v>
      </c>
      <c r="O293" s="108">
        <f t="shared" si="6"/>
        <v>1</v>
      </c>
      <c r="P293" s="108"/>
      <c r="Q293"/>
    </row>
    <row r="294" spans="1:17" x14ac:dyDescent="0.25">
      <c r="A294" s="89" t="s">
        <v>3675</v>
      </c>
      <c r="B294" s="87" t="s">
        <v>3676</v>
      </c>
      <c r="C294" s="87" t="s">
        <v>6</v>
      </c>
      <c r="D294" s="87" t="str">
        <f>VLOOKUP(Tabela1[[#This Row],[Origem]], 'Perguntas 1 a 24'!$J$28:$K$34, 2, 0)</f>
        <v>Nordeste</v>
      </c>
      <c r="E294" s="87" t="str">
        <f>Tabela1[[#This Row],[Descrição]]&amp;"-"&amp;Tabela1[[#This Row],[Código]]&amp;"/"&amp;Tabela1[[#This Row],[Origem]]</f>
        <v>Tepitamuce-H363H622/MA</v>
      </c>
      <c r="F294" s="88">
        <v>45619</v>
      </c>
      <c r="G294" s="88" t="str" cm="1">
        <f t="array" ref="G2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AND(F294&gt;= DATE(2026,1,1), F294&lt;= DATE(2028, 12, 31), J294&gt;50000), "Pendente e Caro", AND(F294&gt;= DATE(2026,1,1), F294&lt;= DATE(2028, 12, 31), J294&lt;=50000), "Pendente", F294&gt;= DATE(2029,1,1), "Não prioeitário")</f>
        <v>Urgente e Caro</v>
      </c>
      <c r="H294" s="89">
        <f>YEAR(Tabela1[[#This Row],[Data de Validade]])</f>
        <v>2024</v>
      </c>
      <c r="I294" s="89">
        <f>MONTH(Tabela1[[#This Row],[Data de Validade]])</f>
        <v>11</v>
      </c>
      <c r="J294" s="101">
        <v>84253</v>
      </c>
      <c r="K294" s="87" t="s">
        <v>7</v>
      </c>
      <c r="L294" s="108"/>
      <c r="M294" s="108"/>
      <c r="N294" s="108" t="str">
        <v>H363H622</v>
      </c>
      <c r="O294" s="108">
        <f t="shared" si="6"/>
        <v>1</v>
      </c>
      <c r="P294" s="108"/>
      <c r="Q294"/>
    </row>
    <row r="295" spans="1:17" x14ac:dyDescent="0.25">
      <c r="A295" s="89" t="s">
        <v>8324</v>
      </c>
      <c r="B295" s="87" t="s">
        <v>8325</v>
      </c>
      <c r="C295" s="87" t="s">
        <v>13</v>
      </c>
      <c r="D295" s="87" t="str">
        <f>VLOOKUP(Tabela1[[#This Row],[Origem]], 'Perguntas 1 a 24'!$J$28:$K$34, 2, 0)</f>
        <v>Sudeste</v>
      </c>
      <c r="E295" s="87" t="str">
        <f>Tabela1[[#This Row],[Descrição]]&amp;"-"&amp;Tabela1[[#This Row],[Código]]&amp;"/"&amp;Tabela1[[#This Row],[Origem]]</f>
        <v>Fonerito-H457P168/SP</v>
      </c>
      <c r="F295" s="88">
        <v>45619</v>
      </c>
      <c r="G295" s="88" t="str" cm="1">
        <f t="array" ref="G2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AND(F295&gt;= DATE(2026,1,1), F295&lt;= DATE(2028, 12, 31), J295&gt;50000), "Pendente e Caro", AND(F295&gt;= DATE(2026,1,1), F295&lt;= DATE(2028, 12, 31), J295&lt;=50000), "Pendente", F295&gt;= DATE(2029,1,1), "Não prioeitário")</f>
        <v>Urgente e Caro</v>
      </c>
      <c r="H295" s="89">
        <f>YEAR(Tabela1[[#This Row],[Data de Validade]])</f>
        <v>2024</v>
      </c>
      <c r="I295" s="89">
        <f>MONTH(Tabela1[[#This Row],[Data de Validade]])</f>
        <v>11</v>
      </c>
      <c r="J295" s="101">
        <v>72089</v>
      </c>
      <c r="K295" s="87" t="s">
        <v>9</v>
      </c>
      <c r="L295" s="108"/>
      <c r="M295" s="108"/>
      <c r="N295" s="108" t="str">
        <v>H457P168</v>
      </c>
      <c r="O295" s="108">
        <f t="shared" si="6"/>
        <v>1</v>
      </c>
      <c r="P295" s="108"/>
      <c r="Q295"/>
    </row>
    <row r="296" spans="1:17" x14ac:dyDescent="0.25">
      <c r="A296" s="89" t="s">
        <v>9539</v>
      </c>
      <c r="B296" s="87" t="s">
        <v>9540</v>
      </c>
      <c r="C296" s="87" t="s">
        <v>8</v>
      </c>
      <c r="D296" s="87" t="str">
        <f>VLOOKUP(Tabela1[[#This Row],[Origem]], 'Perguntas 1 a 24'!$J$28:$K$34, 2, 0)</f>
        <v>Nordeste</v>
      </c>
      <c r="E296" s="87" t="str">
        <f>Tabela1[[#This Row],[Descrição]]&amp;"-"&amp;Tabela1[[#This Row],[Código]]&amp;"/"&amp;Tabela1[[#This Row],[Origem]]</f>
        <v>Tomigago-P216P457/AL</v>
      </c>
      <c r="F296" s="88">
        <v>45620</v>
      </c>
      <c r="G296" s="88" t="str" cm="1">
        <f t="array" ref="G2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AND(F296&gt;= DATE(2026,1,1), F296&lt;= DATE(2028, 12, 31), J296&gt;50000), "Pendente e Caro", AND(F296&gt;= DATE(2026,1,1), F296&lt;= DATE(2028, 12, 31), J296&lt;=50000), "Pendente", F296&gt;= DATE(2029,1,1), "Não prioeitário")</f>
        <v>Urgente e Caro</v>
      </c>
      <c r="H296" s="89">
        <f>YEAR(Tabela1[[#This Row],[Data de Validade]])</f>
        <v>2024</v>
      </c>
      <c r="I296" s="89">
        <f>MONTH(Tabela1[[#This Row],[Data de Validade]])</f>
        <v>11</v>
      </c>
      <c r="J296" s="101">
        <v>109731</v>
      </c>
      <c r="K296" s="87" t="s">
        <v>14</v>
      </c>
      <c r="L296" s="108"/>
      <c r="M296" s="108"/>
      <c r="N296" s="108" t="str">
        <v>P216P457</v>
      </c>
      <c r="O296" s="108">
        <f t="shared" si="6"/>
        <v>1</v>
      </c>
      <c r="P296" s="108"/>
      <c r="Q296"/>
    </row>
    <row r="297" spans="1:17" x14ac:dyDescent="0.25">
      <c r="A297" s="89" t="s">
        <v>4064</v>
      </c>
      <c r="B297" s="87" t="s">
        <v>4065</v>
      </c>
      <c r="C297" s="87" t="s">
        <v>13</v>
      </c>
      <c r="D297" s="87" t="str">
        <f>VLOOKUP(Tabela1[[#This Row],[Origem]], 'Perguntas 1 a 24'!$J$28:$K$34, 2, 0)</f>
        <v>Sudeste</v>
      </c>
      <c r="E297" s="87" t="str">
        <f>Tabela1[[#This Row],[Descrição]]&amp;"-"&amp;Tabela1[[#This Row],[Código]]&amp;"/"&amp;Tabela1[[#This Row],[Origem]]</f>
        <v>Cevorutupe-H581H944/SP</v>
      </c>
      <c r="F297" s="88">
        <v>45620</v>
      </c>
      <c r="G297" s="88" t="str" cm="1">
        <f t="array" ref="G2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AND(F297&gt;= DATE(2026,1,1), F297&lt;= DATE(2028, 12, 31), J297&gt;50000), "Pendente e Caro", AND(F297&gt;= DATE(2026,1,1), F297&lt;= DATE(2028, 12, 31), J297&lt;=50000), "Pendente", F297&gt;= DATE(2029,1,1), "Não prioeitário")</f>
        <v>Urgente</v>
      </c>
      <c r="H297" s="89">
        <f>YEAR(Tabela1[[#This Row],[Data de Validade]])</f>
        <v>2024</v>
      </c>
      <c r="I297" s="89">
        <f>MONTH(Tabela1[[#This Row],[Data de Validade]])</f>
        <v>11</v>
      </c>
      <c r="J297" s="101">
        <v>39450</v>
      </c>
      <c r="K297" s="87" t="s">
        <v>14</v>
      </c>
      <c r="L297" s="108"/>
      <c r="M297" s="108"/>
      <c r="N297" s="108" t="str">
        <v>H581H944</v>
      </c>
      <c r="O297" s="108">
        <f t="shared" si="6"/>
        <v>1</v>
      </c>
      <c r="P297" s="108"/>
      <c r="Q297"/>
    </row>
    <row r="298" spans="1:17" x14ac:dyDescent="0.25">
      <c r="A298" s="89" t="s">
        <v>7700</v>
      </c>
      <c r="B298" s="87" t="s">
        <v>7701</v>
      </c>
      <c r="C298" s="87" t="s">
        <v>10</v>
      </c>
      <c r="D298" s="87" t="str">
        <f>VLOOKUP(Tabela1[[#This Row],[Origem]], 'Perguntas 1 a 24'!$J$28:$K$34, 2, 0)</f>
        <v>Centro-Oeste</v>
      </c>
      <c r="E298" s="87" t="str">
        <f>Tabela1[[#This Row],[Descrição]]&amp;"-"&amp;Tabela1[[#This Row],[Código]]&amp;"/"&amp;Tabela1[[#This Row],[Origem]]</f>
        <v>Pireleca-P274P337/GO</v>
      </c>
      <c r="F298" s="88">
        <v>45620</v>
      </c>
      <c r="G298" s="88" t="str" cm="1">
        <f t="array" ref="G2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AND(F298&gt;= DATE(2026,1,1), F298&lt;= DATE(2028, 12, 31), J298&gt;50000), "Pendente e Caro", AND(F298&gt;= DATE(2026,1,1), F298&lt;= DATE(2028, 12, 31), J298&lt;=50000), "Pendente", F298&gt;= DATE(2029,1,1), "Não prioeitário")</f>
        <v>Urgente</v>
      </c>
      <c r="H298" s="89">
        <f>YEAR(Tabela1[[#This Row],[Data de Validade]])</f>
        <v>2024</v>
      </c>
      <c r="I298" s="89">
        <f>MONTH(Tabela1[[#This Row],[Data de Validade]])</f>
        <v>11</v>
      </c>
      <c r="J298" s="101">
        <v>32345</v>
      </c>
      <c r="K298" s="87" t="s">
        <v>9</v>
      </c>
      <c r="L298" s="108"/>
      <c r="M298" s="108"/>
      <c r="N298" s="108" t="str">
        <v>P274P337</v>
      </c>
      <c r="O298" s="108">
        <f t="shared" si="6"/>
        <v>1</v>
      </c>
      <c r="P298" s="108"/>
      <c r="Q298"/>
    </row>
    <row r="299" spans="1:17" x14ac:dyDescent="0.25">
      <c r="A299" s="89" t="s">
        <v>7520</v>
      </c>
      <c r="B299" s="87" t="s">
        <v>7521</v>
      </c>
      <c r="C299" s="87" t="s">
        <v>12</v>
      </c>
      <c r="D299" s="87" t="str">
        <f>VLOOKUP(Tabela1[[#This Row],[Origem]], 'Perguntas 1 a 24'!$J$28:$K$34, 2, 0)</f>
        <v>Sudeste</v>
      </c>
      <c r="E299" s="87" t="str">
        <f>Tabela1[[#This Row],[Descrição]]&amp;"-"&amp;Tabela1[[#This Row],[Código]]&amp;"/"&amp;Tabela1[[#This Row],[Origem]]</f>
        <v>Gadototi-H881H638/RJ</v>
      </c>
      <c r="F299" s="88">
        <v>45620</v>
      </c>
      <c r="G299" s="88" t="str" cm="1">
        <f t="array" ref="G2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AND(F299&gt;= DATE(2026,1,1), F299&lt;= DATE(2028, 12, 31), J299&gt;50000), "Pendente e Caro", AND(F299&gt;= DATE(2026,1,1), F299&lt;= DATE(2028, 12, 31), J299&lt;=50000), "Pendente", F299&gt;= DATE(2029,1,1), "Não prioeitário")</f>
        <v>Urgente</v>
      </c>
      <c r="H299" s="89">
        <f>YEAR(Tabela1[[#This Row],[Data de Validade]])</f>
        <v>2024</v>
      </c>
      <c r="I299" s="89">
        <f>MONTH(Tabela1[[#This Row],[Data de Validade]])</f>
        <v>11</v>
      </c>
      <c r="J299" s="101">
        <v>22331</v>
      </c>
      <c r="K299" s="87" t="s">
        <v>7</v>
      </c>
      <c r="L299" s="108"/>
      <c r="M299" s="108"/>
      <c r="N299" s="108" t="str">
        <v>H881H638</v>
      </c>
      <c r="O299" s="108">
        <f t="shared" si="6"/>
        <v>1</v>
      </c>
      <c r="P299" s="108"/>
      <c r="Q299"/>
    </row>
    <row r="300" spans="1:17" x14ac:dyDescent="0.25">
      <c r="A300" s="89" t="s">
        <v>11004</v>
      </c>
      <c r="B300" s="87" t="s">
        <v>11005</v>
      </c>
      <c r="C300" s="87" t="s">
        <v>15</v>
      </c>
      <c r="D300" s="87" t="str">
        <f>VLOOKUP(Tabela1[[#This Row],[Origem]], 'Perguntas 1 a 24'!$J$28:$K$34, 2, 0)</f>
        <v>Sudeste</v>
      </c>
      <c r="E300" s="87" t="str">
        <f>Tabela1[[#This Row],[Descrição]]&amp;"-"&amp;Tabela1[[#This Row],[Código]]&amp;"/"&amp;Tabela1[[#This Row],[Origem]]</f>
        <v>Ledudecu-P513H761/ES</v>
      </c>
      <c r="F300" s="88">
        <v>45621</v>
      </c>
      <c r="G300" s="88" t="str" cm="1">
        <f t="array" ref="G3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AND(F300&gt;= DATE(2026,1,1), F300&lt;= DATE(2028, 12, 31), J300&gt;50000), "Pendente e Caro", AND(F300&gt;= DATE(2026,1,1), F300&lt;= DATE(2028, 12, 31), J300&lt;=50000), "Pendente", F300&gt;= DATE(2029,1,1), "Não prioeitário")</f>
        <v>Urgente e Caro</v>
      </c>
      <c r="H300" s="89">
        <f>YEAR(Tabela1[[#This Row],[Data de Validade]])</f>
        <v>2024</v>
      </c>
      <c r="I300" s="89">
        <f>MONTH(Tabela1[[#This Row],[Data de Validade]])</f>
        <v>11</v>
      </c>
      <c r="J300" s="101">
        <v>99153</v>
      </c>
      <c r="K300" s="87" t="s">
        <v>14</v>
      </c>
      <c r="L300" s="108"/>
      <c r="M300" s="108"/>
      <c r="N300" s="108" t="str">
        <v>P513H761</v>
      </c>
      <c r="O300" s="108">
        <f t="shared" si="6"/>
        <v>1</v>
      </c>
      <c r="P300" s="108"/>
      <c r="Q300"/>
    </row>
    <row r="301" spans="1:17" x14ac:dyDescent="0.25">
      <c r="A301" s="89" t="s">
        <v>10207</v>
      </c>
      <c r="B301" s="87" t="s">
        <v>10208</v>
      </c>
      <c r="C301" s="87" t="s">
        <v>13</v>
      </c>
      <c r="D301" s="87" t="str">
        <f>VLOOKUP(Tabela1[[#This Row],[Origem]], 'Perguntas 1 a 24'!$J$28:$K$34, 2, 0)</f>
        <v>Sudeste</v>
      </c>
      <c r="E301" s="87" t="str">
        <f>Tabela1[[#This Row],[Descrição]]&amp;"-"&amp;Tabela1[[#This Row],[Código]]&amp;"/"&amp;Tabela1[[#This Row],[Origem]]</f>
        <v>Dipera-P662P319/SP</v>
      </c>
      <c r="F301" s="88">
        <v>45621</v>
      </c>
      <c r="G301" s="88" t="str" cm="1">
        <f t="array" ref="G3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AND(F301&gt;= DATE(2026,1,1), F301&lt;= DATE(2028, 12, 31), J301&gt;50000), "Pendente e Caro", AND(F301&gt;= DATE(2026,1,1), F301&lt;= DATE(2028, 12, 31), J301&lt;=50000), "Pendente", F301&gt;= DATE(2029,1,1), "Não prioeitário")</f>
        <v>Urgente e Caro</v>
      </c>
      <c r="H301" s="89">
        <f>YEAR(Tabela1[[#This Row],[Data de Validade]])</f>
        <v>2024</v>
      </c>
      <c r="I301" s="89">
        <f>MONTH(Tabela1[[#This Row],[Data de Validade]])</f>
        <v>11</v>
      </c>
      <c r="J301" s="101">
        <v>93104</v>
      </c>
      <c r="K301" s="87" t="s">
        <v>7</v>
      </c>
      <c r="L301" s="108"/>
      <c r="M301" s="108"/>
      <c r="N301" s="108" t="str">
        <v>P662P319</v>
      </c>
      <c r="O301" s="108">
        <f t="shared" si="6"/>
        <v>1</v>
      </c>
      <c r="P301" s="108"/>
      <c r="Q301"/>
    </row>
    <row r="302" spans="1:17" x14ac:dyDescent="0.25">
      <c r="A302" s="89" t="s">
        <v>4477</v>
      </c>
      <c r="B302" s="87" t="s">
        <v>4478</v>
      </c>
      <c r="C302" s="87" t="s">
        <v>16</v>
      </c>
      <c r="D302" s="87" t="str">
        <f>VLOOKUP(Tabela1[[#This Row],[Origem]], 'Perguntas 1 a 24'!$J$28:$K$34, 2, 0)</f>
        <v>Sudeste</v>
      </c>
      <c r="E302" s="87" t="str">
        <f>Tabela1[[#This Row],[Descrição]]&amp;"-"&amp;Tabela1[[#This Row],[Código]]&amp;"/"&amp;Tabela1[[#This Row],[Origem]]</f>
        <v>Marevapu-H835P693/MG</v>
      </c>
      <c r="F302" s="88">
        <v>45621</v>
      </c>
      <c r="G302" s="88" t="str" cm="1">
        <f t="array" ref="G3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AND(F302&gt;= DATE(2026,1,1), F302&lt;= DATE(2028, 12, 31), J302&gt;50000), "Pendente e Caro", AND(F302&gt;= DATE(2026,1,1), F302&lt;= DATE(2028, 12, 31), J302&lt;=50000), "Pendente", F302&gt;= DATE(2029,1,1), "Não prioeitário")</f>
        <v>Urgente e Caro</v>
      </c>
      <c r="H302" s="89">
        <f>YEAR(Tabela1[[#This Row],[Data de Validade]])</f>
        <v>2024</v>
      </c>
      <c r="I302" s="89">
        <f>MONTH(Tabela1[[#This Row],[Data de Validade]])</f>
        <v>11</v>
      </c>
      <c r="J302" s="101">
        <v>85584</v>
      </c>
      <c r="K302" s="87" t="s">
        <v>11</v>
      </c>
      <c r="L302" s="108"/>
      <c r="M302" s="108"/>
      <c r="N302" s="108" t="str">
        <v>H835P693</v>
      </c>
      <c r="O302" s="108">
        <f t="shared" si="6"/>
        <v>1</v>
      </c>
      <c r="P302" s="108"/>
      <c r="Q302"/>
    </row>
    <row r="303" spans="1:17" x14ac:dyDescent="0.25">
      <c r="A303" s="89" t="s">
        <v>9847</v>
      </c>
      <c r="B303" s="87" t="s">
        <v>9848</v>
      </c>
      <c r="C303" s="87" t="s">
        <v>8</v>
      </c>
      <c r="D303" s="87" t="str">
        <f>VLOOKUP(Tabela1[[#This Row],[Origem]], 'Perguntas 1 a 24'!$J$28:$K$34, 2, 0)</f>
        <v>Nordeste</v>
      </c>
      <c r="E303" s="87" t="str">
        <f>Tabela1[[#This Row],[Descrição]]&amp;"-"&amp;Tabela1[[#This Row],[Código]]&amp;"/"&amp;Tabela1[[#This Row],[Origem]]</f>
        <v>Vigupirati-P691H987/AL</v>
      </c>
      <c r="F303" s="88">
        <v>45621</v>
      </c>
      <c r="G303" s="88" t="str" cm="1">
        <f t="array" ref="G3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AND(F303&gt;= DATE(2026,1,1), F303&lt;= DATE(2028, 12, 31), J303&gt;50000), "Pendente e Caro", AND(F303&gt;= DATE(2026,1,1), F303&lt;= DATE(2028, 12, 31), J303&lt;=50000), "Pendente", F303&gt;= DATE(2029,1,1), "Não prioeitário")</f>
        <v>Urgente e Caro</v>
      </c>
      <c r="H303" s="89">
        <f>YEAR(Tabela1[[#This Row],[Data de Validade]])</f>
        <v>2024</v>
      </c>
      <c r="I303" s="89">
        <f>MONTH(Tabela1[[#This Row],[Data de Validade]])</f>
        <v>11</v>
      </c>
      <c r="J303" s="101">
        <v>82961</v>
      </c>
      <c r="K303" s="87" t="s">
        <v>11</v>
      </c>
      <c r="L303" s="108"/>
      <c r="M303" s="108"/>
      <c r="N303" s="108" t="str">
        <v>P691H987</v>
      </c>
      <c r="O303" s="108">
        <f t="shared" si="6"/>
        <v>1</v>
      </c>
      <c r="P303" s="108"/>
      <c r="Q303"/>
    </row>
    <row r="304" spans="1:17" x14ac:dyDescent="0.25">
      <c r="A304" s="89" t="s">
        <v>7238</v>
      </c>
      <c r="B304" s="87" t="s">
        <v>7239</v>
      </c>
      <c r="C304" s="87" t="s">
        <v>6</v>
      </c>
      <c r="D304" s="87" t="str">
        <f>VLOOKUP(Tabela1[[#This Row],[Origem]], 'Perguntas 1 a 24'!$J$28:$K$34, 2, 0)</f>
        <v>Nordeste</v>
      </c>
      <c r="E304" s="87" t="str">
        <f>Tabela1[[#This Row],[Descrição]]&amp;"-"&amp;Tabela1[[#This Row],[Código]]&amp;"/"&amp;Tabela1[[#This Row],[Origem]]</f>
        <v>Fufopero-P625P745/MA</v>
      </c>
      <c r="F304" s="88">
        <v>45621</v>
      </c>
      <c r="G304" s="88" t="str" cm="1">
        <f t="array" ref="G3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AND(F304&gt;= DATE(2026,1,1), F304&lt;= DATE(2028, 12, 31), J304&gt;50000), "Pendente e Caro", AND(F304&gt;= DATE(2026,1,1), F304&lt;= DATE(2028, 12, 31), J304&lt;=50000), "Pendente", F304&gt;= DATE(2029,1,1), "Não prioeitário")</f>
        <v>Urgente e Caro</v>
      </c>
      <c r="H304" s="89">
        <f>YEAR(Tabela1[[#This Row],[Data de Validade]])</f>
        <v>2024</v>
      </c>
      <c r="I304" s="89">
        <f>MONTH(Tabela1[[#This Row],[Data de Validade]])</f>
        <v>11</v>
      </c>
      <c r="J304" s="101">
        <v>74319</v>
      </c>
      <c r="K304" s="87" t="s">
        <v>14</v>
      </c>
      <c r="L304" s="108"/>
      <c r="M304" s="108"/>
      <c r="N304" s="108" t="str">
        <v>P625P745</v>
      </c>
      <c r="O304" s="108">
        <f t="shared" si="6"/>
        <v>1</v>
      </c>
      <c r="P304" s="108"/>
      <c r="Q304"/>
    </row>
    <row r="305" spans="1:17" x14ac:dyDescent="0.25">
      <c r="A305" s="89" t="s">
        <v>8551</v>
      </c>
      <c r="B305" s="87" t="s">
        <v>8552</v>
      </c>
      <c r="C305" s="87" t="s">
        <v>10</v>
      </c>
      <c r="D305" s="87" t="str">
        <f>VLOOKUP(Tabela1[[#This Row],[Origem]], 'Perguntas 1 a 24'!$J$28:$K$34, 2, 0)</f>
        <v>Centro-Oeste</v>
      </c>
      <c r="E305" s="87" t="str">
        <f>Tabela1[[#This Row],[Descrição]]&amp;"-"&amp;Tabela1[[#This Row],[Código]]&amp;"/"&amp;Tabela1[[#This Row],[Origem]]</f>
        <v>Mucavape-P878H691/GO</v>
      </c>
      <c r="F305" s="88">
        <v>45621</v>
      </c>
      <c r="G305" s="88" t="str" cm="1">
        <f t="array" ref="G3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AND(F305&gt;= DATE(2026,1,1), F305&lt;= DATE(2028, 12, 31), J305&gt;50000), "Pendente e Caro", AND(F305&gt;= DATE(2026,1,1), F305&lt;= DATE(2028, 12, 31), J305&lt;=50000), "Pendente", F305&gt;= DATE(2029,1,1), "Não prioeitário")</f>
        <v>Urgente e Caro</v>
      </c>
      <c r="H305" s="89">
        <f>YEAR(Tabela1[[#This Row],[Data de Validade]])</f>
        <v>2024</v>
      </c>
      <c r="I305" s="89">
        <f>MONTH(Tabela1[[#This Row],[Data de Validade]])</f>
        <v>11</v>
      </c>
      <c r="J305" s="101">
        <v>53780</v>
      </c>
      <c r="K305" s="87" t="s">
        <v>7</v>
      </c>
      <c r="L305" s="108"/>
      <c r="M305" s="108"/>
      <c r="N305" s="108" t="str">
        <v>P878H691</v>
      </c>
      <c r="O305" s="108">
        <f t="shared" si="6"/>
        <v>1</v>
      </c>
      <c r="P305" s="108"/>
      <c r="Q305"/>
    </row>
    <row r="306" spans="1:17" x14ac:dyDescent="0.25">
      <c r="A306" s="89" t="s">
        <v>7112</v>
      </c>
      <c r="B306" s="87" t="s">
        <v>7113</v>
      </c>
      <c r="C306" s="87" t="s">
        <v>15</v>
      </c>
      <c r="D306" s="87" t="str">
        <f>VLOOKUP(Tabela1[[#This Row],[Origem]], 'Perguntas 1 a 24'!$J$28:$K$34, 2, 0)</f>
        <v>Sudeste</v>
      </c>
      <c r="E306" s="87" t="str">
        <f>Tabela1[[#This Row],[Descrição]]&amp;"-"&amp;Tabela1[[#This Row],[Código]]&amp;"/"&amp;Tabela1[[#This Row],[Origem]]</f>
        <v>Pefemivuna-P451P548/ES</v>
      </c>
      <c r="F306" s="88">
        <v>45621</v>
      </c>
      <c r="G306" s="88" t="str" cm="1">
        <f t="array" ref="G3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AND(F306&gt;= DATE(2026,1,1), F306&lt;= DATE(2028, 12, 31), J306&gt;50000), "Pendente e Caro", AND(F306&gt;= DATE(2026,1,1), F306&lt;= DATE(2028, 12, 31), J306&lt;=50000), "Pendente", F306&gt;= DATE(2029,1,1), "Não prioeitário")</f>
        <v>Urgente</v>
      </c>
      <c r="H306" s="89">
        <f>YEAR(Tabela1[[#This Row],[Data de Validade]])</f>
        <v>2024</v>
      </c>
      <c r="I306" s="89">
        <f>MONTH(Tabela1[[#This Row],[Data de Validade]])</f>
        <v>11</v>
      </c>
      <c r="J306" s="101">
        <v>23877</v>
      </c>
      <c r="K306" s="87" t="s">
        <v>14</v>
      </c>
      <c r="L306" s="108"/>
      <c r="M306" s="108"/>
      <c r="N306" s="108" t="str">
        <v>P451P548</v>
      </c>
      <c r="O306" s="108">
        <f t="shared" si="6"/>
        <v>1</v>
      </c>
      <c r="P306" s="108"/>
      <c r="Q306"/>
    </row>
    <row r="307" spans="1:17" x14ac:dyDescent="0.25">
      <c r="A307" s="89" t="s">
        <v>8581</v>
      </c>
      <c r="B307" s="87" t="s">
        <v>8582</v>
      </c>
      <c r="C307" s="87" t="s">
        <v>16</v>
      </c>
      <c r="D307" s="87" t="str">
        <f>VLOOKUP(Tabela1[[#This Row],[Origem]], 'Perguntas 1 a 24'!$J$28:$K$34, 2, 0)</f>
        <v>Sudeste</v>
      </c>
      <c r="E307" s="87" t="str">
        <f>Tabela1[[#This Row],[Descrição]]&amp;"-"&amp;Tabela1[[#This Row],[Código]]&amp;"/"&amp;Tabela1[[#This Row],[Origem]]</f>
        <v>Picitonoru-H598H841/MG</v>
      </c>
      <c r="F307" s="88">
        <v>45622</v>
      </c>
      <c r="G307" s="88" t="str" cm="1">
        <f t="array" ref="G3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AND(F307&gt;= DATE(2026,1,1), F307&lt;= DATE(2028, 12, 31), J307&gt;50000), "Pendente e Caro", AND(F307&gt;= DATE(2026,1,1), F307&lt;= DATE(2028, 12, 31), J307&lt;=50000), "Pendente", F307&gt;= DATE(2029,1,1), "Não prioeitário")</f>
        <v>Urgente e Caro</v>
      </c>
      <c r="H307" s="89">
        <f>YEAR(Tabela1[[#This Row],[Data de Validade]])</f>
        <v>2024</v>
      </c>
      <c r="I307" s="89">
        <f>MONTH(Tabela1[[#This Row],[Data de Validade]])</f>
        <v>11</v>
      </c>
      <c r="J307" s="101">
        <v>54835</v>
      </c>
      <c r="K307" s="87" t="s">
        <v>14</v>
      </c>
      <c r="L307" s="108"/>
      <c r="M307" s="108"/>
      <c r="N307" s="108" t="str">
        <v>H598H841</v>
      </c>
      <c r="O307" s="108">
        <f t="shared" si="6"/>
        <v>1</v>
      </c>
      <c r="P307" s="108"/>
      <c r="Q307"/>
    </row>
    <row r="308" spans="1:17" x14ac:dyDescent="0.25">
      <c r="A308" s="89" t="s">
        <v>8018</v>
      </c>
      <c r="B308" s="87" t="s">
        <v>8019</v>
      </c>
      <c r="C308" s="87" t="s">
        <v>6</v>
      </c>
      <c r="D308" s="87" t="str">
        <f>VLOOKUP(Tabela1[[#This Row],[Origem]], 'Perguntas 1 a 24'!$J$28:$K$34, 2, 0)</f>
        <v>Nordeste</v>
      </c>
      <c r="E308" s="87" t="str">
        <f>Tabela1[[#This Row],[Descrição]]&amp;"-"&amp;Tabela1[[#This Row],[Código]]&amp;"/"&amp;Tabela1[[#This Row],[Origem]]</f>
        <v>Lifidonore-H366H412/MA</v>
      </c>
      <c r="F308" s="88">
        <v>45623</v>
      </c>
      <c r="G308" s="88" t="str" cm="1">
        <f t="array" ref="G3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AND(F308&gt;= DATE(2026,1,1), F308&lt;= DATE(2028, 12, 31), J308&gt;50000), "Pendente e Caro", AND(F308&gt;= DATE(2026,1,1), F308&lt;= DATE(2028, 12, 31), J308&lt;=50000), "Pendente", F308&gt;= DATE(2029,1,1), "Não prioeitário")</f>
        <v>Urgente e Caro</v>
      </c>
      <c r="H308" s="89">
        <f>YEAR(Tabela1[[#This Row],[Data de Validade]])</f>
        <v>2024</v>
      </c>
      <c r="I308" s="89">
        <f>MONTH(Tabela1[[#This Row],[Data de Validade]])</f>
        <v>11</v>
      </c>
      <c r="J308" s="101">
        <v>105246</v>
      </c>
      <c r="K308" s="87" t="s">
        <v>11</v>
      </c>
      <c r="L308" s="108"/>
      <c r="M308" s="108"/>
      <c r="N308" s="108" t="str">
        <v>H366H412</v>
      </c>
      <c r="O308" s="108">
        <f t="shared" si="6"/>
        <v>1</v>
      </c>
      <c r="P308" s="108"/>
      <c r="Q308"/>
    </row>
    <row r="309" spans="1:17" x14ac:dyDescent="0.25">
      <c r="A309" s="89" t="s">
        <v>9251</v>
      </c>
      <c r="B309" s="87" t="s">
        <v>9252</v>
      </c>
      <c r="C309" s="87" t="s">
        <v>8</v>
      </c>
      <c r="D309" s="87" t="str">
        <f>VLOOKUP(Tabela1[[#This Row],[Origem]], 'Perguntas 1 a 24'!$J$28:$K$34, 2, 0)</f>
        <v>Nordeste</v>
      </c>
      <c r="E309" s="87" t="str">
        <f>Tabela1[[#This Row],[Descrição]]&amp;"-"&amp;Tabela1[[#This Row],[Código]]&amp;"/"&amp;Tabela1[[#This Row],[Origem]]</f>
        <v>Puloliluti-P417H687/AL</v>
      </c>
      <c r="F309" s="88">
        <v>45623</v>
      </c>
      <c r="G309" s="88" t="str" cm="1">
        <f t="array" ref="G3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AND(F309&gt;= DATE(2026,1,1), F309&lt;= DATE(2028, 12, 31), J309&gt;50000), "Pendente e Caro", AND(F309&gt;= DATE(2026,1,1), F309&lt;= DATE(2028, 12, 31), J309&lt;=50000), "Pendente", F309&gt;= DATE(2029,1,1), "Não prioeitário")</f>
        <v>Urgente e Caro</v>
      </c>
      <c r="H309" s="89">
        <f>YEAR(Tabela1[[#This Row],[Data de Validade]])</f>
        <v>2024</v>
      </c>
      <c r="I309" s="89">
        <f>MONTH(Tabela1[[#This Row],[Data de Validade]])</f>
        <v>11</v>
      </c>
      <c r="J309" s="101">
        <v>52759</v>
      </c>
      <c r="K309" s="87" t="s">
        <v>11</v>
      </c>
      <c r="L309" s="108"/>
      <c r="M309" s="108"/>
      <c r="N309" s="108" t="str">
        <v>P417H687</v>
      </c>
      <c r="O309" s="108">
        <f t="shared" si="6"/>
        <v>1</v>
      </c>
      <c r="P309" s="108"/>
      <c r="Q309"/>
    </row>
    <row r="310" spans="1:17" x14ac:dyDescent="0.25">
      <c r="A310" s="89" t="s">
        <v>8154</v>
      </c>
      <c r="B310" s="87" t="s">
        <v>8155</v>
      </c>
      <c r="C310" s="87" t="s">
        <v>13</v>
      </c>
      <c r="D310" s="87" t="str">
        <f>VLOOKUP(Tabela1[[#This Row],[Origem]], 'Perguntas 1 a 24'!$J$28:$K$34, 2, 0)</f>
        <v>Sudeste</v>
      </c>
      <c r="E310" s="87" t="str">
        <f>Tabela1[[#This Row],[Descrição]]&amp;"-"&amp;Tabela1[[#This Row],[Código]]&amp;"/"&amp;Tabela1[[#This Row],[Origem]]</f>
        <v>Popigerili-H627P861/SP</v>
      </c>
      <c r="F310" s="88">
        <v>45623</v>
      </c>
      <c r="G310" s="88" t="str" cm="1">
        <f t="array" ref="G3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AND(F310&gt;= DATE(2026,1,1), F310&lt;= DATE(2028, 12, 31), J310&gt;50000), "Pendente e Caro", AND(F310&gt;= DATE(2026,1,1), F310&lt;= DATE(2028, 12, 31), J310&lt;=50000), "Pendente", F310&gt;= DATE(2029,1,1), "Não prioeitário")</f>
        <v>Urgente</v>
      </c>
      <c r="H310" s="89">
        <f>YEAR(Tabela1[[#This Row],[Data de Validade]])</f>
        <v>2024</v>
      </c>
      <c r="I310" s="89">
        <f>MONTH(Tabela1[[#This Row],[Data de Validade]])</f>
        <v>11</v>
      </c>
      <c r="J310" s="101">
        <v>31353</v>
      </c>
      <c r="K310" s="87" t="s">
        <v>14</v>
      </c>
      <c r="L310" s="108"/>
      <c r="M310" s="108"/>
      <c r="N310" s="108" t="str">
        <v>H627P861</v>
      </c>
      <c r="O310" s="108">
        <f t="shared" si="6"/>
        <v>1</v>
      </c>
      <c r="P310" s="108"/>
      <c r="Q310"/>
    </row>
    <row r="311" spans="1:17" x14ac:dyDescent="0.25">
      <c r="A311" s="89" t="s">
        <v>6270</v>
      </c>
      <c r="B311" s="87" t="s">
        <v>6271</v>
      </c>
      <c r="C311" s="87" t="s">
        <v>12</v>
      </c>
      <c r="D311" s="87" t="str">
        <f>VLOOKUP(Tabela1[[#This Row],[Origem]], 'Perguntas 1 a 24'!$J$28:$K$34, 2, 0)</f>
        <v>Sudeste</v>
      </c>
      <c r="E311" s="87" t="str">
        <f>Tabela1[[#This Row],[Descrição]]&amp;"-"&amp;Tabela1[[#This Row],[Código]]&amp;"/"&amp;Tabela1[[#This Row],[Origem]]</f>
        <v>Curonepane-P959P139/RJ</v>
      </c>
      <c r="F311" s="88">
        <v>45625</v>
      </c>
      <c r="G311" s="88" t="str" cm="1">
        <f t="array" ref="G3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AND(F311&gt;= DATE(2026,1,1), F311&lt;= DATE(2028, 12, 31), J311&gt;50000), "Pendente e Caro", AND(F311&gt;= DATE(2026,1,1), F311&lt;= DATE(2028, 12, 31), J311&lt;=50000), "Pendente", F311&gt;= DATE(2029,1,1), "Não prioeitário")</f>
        <v>Urgente</v>
      </c>
      <c r="H311" s="89">
        <f>YEAR(Tabela1[[#This Row],[Data de Validade]])</f>
        <v>2024</v>
      </c>
      <c r="I311" s="89">
        <f>MONTH(Tabela1[[#This Row],[Data de Validade]])</f>
        <v>11</v>
      </c>
      <c r="J311" s="101">
        <v>45023</v>
      </c>
      <c r="K311" s="87" t="s">
        <v>14</v>
      </c>
      <c r="L311" s="108"/>
      <c r="M311" s="108"/>
      <c r="N311" s="108" t="str">
        <v>P959P139</v>
      </c>
      <c r="O311" s="108">
        <f t="shared" si="6"/>
        <v>1</v>
      </c>
      <c r="P311" s="108"/>
      <c r="Q311"/>
    </row>
    <row r="312" spans="1:17" x14ac:dyDescent="0.25">
      <c r="A312" s="89" t="s">
        <v>7888</v>
      </c>
      <c r="B312" s="87" t="s">
        <v>7889</v>
      </c>
      <c r="C312" s="87" t="s">
        <v>10</v>
      </c>
      <c r="D312" s="87" t="str">
        <f>VLOOKUP(Tabela1[[#This Row],[Origem]], 'Perguntas 1 a 24'!$J$28:$K$34, 2, 0)</f>
        <v>Centro-Oeste</v>
      </c>
      <c r="E312" s="87" t="str">
        <f>Tabela1[[#This Row],[Descrição]]&amp;"-"&amp;Tabela1[[#This Row],[Código]]&amp;"/"&amp;Tabela1[[#This Row],[Origem]]</f>
        <v>Pituviva-P981H977/GO</v>
      </c>
      <c r="F312" s="88">
        <v>45626</v>
      </c>
      <c r="G312" s="88" t="str" cm="1">
        <f t="array" ref="G3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AND(F312&gt;= DATE(2026,1,1), F312&lt;= DATE(2028, 12, 31), J312&gt;50000), "Pendente e Caro", AND(F312&gt;= DATE(2026,1,1), F312&lt;= DATE(2028, 12, 31), J312&lt;=50000), "Pendente", F312&gt;= DATE(2029,1,1), "Não prioeitário")</f>
        <v>Urgente e Caro</v>
      </c>
      <c r="H312" s="89">
        <f>YEAR(Tabela1[[#This Row],[Data de Validade]])</f>
        <v>2024</v>
      </c>
      <c r="I312" s="89">
        <f>MONTH(Tabela1[[#This Row],[Data de Validade]])</f>
        <v>11</v>
      </c>
      <c r="J312" s="101">
        <v>53914</v>
      </c>
      <c r="K312" s="87" t="s">
        <v>7</v>
      </c>
      <c r="L312" s="108"/>
      <c r="M312" s="108"/>
      <c r="N312" s="108" t="str">
        <v>P981H977</v>
      </c>
      <c r="O312" s="108">
        <f t="shared" si="6"/>
        <v>1</v>
      </c>
      <c r="P312" s="108"/>
      <c r="Q312"/>
    </row>
    <row r="313" spans="1:17" x14ac:dyDescent="0.25">
      <c r="A313" s="89" t="s">
        <v>5706</v>
      </c>
      <c r="B313" s="87" t="s">
        <v>5707</v>
      </c>
      <c r="C313" s="87" t="s">
        <v>12</v>
      </c>
      <c r="D313" s="87" t="str">
        <f>VLOOKUP(Tabela1[[#This Row],[Origem]], 'Perguntas 1 a 24'!$J$28:$K$34, 2, 0)</f>
        <v>Sudeste</v>
      </c>
      <c r="E313" s="87" t="str">
        <f>Tabela1[[#This Row],[Descrição]]&amp;"-"&amp;Tabela1[[#This Row],[Código]]&amp;"/"&amp;Tabela1[[#This Row],[Origem]]</f>
        <v>Cotori-H536P195/RJ</v>
      </c>
      <c r="F313" s="88">
        <v>45628</v>
      </c>
      <c r="G313" s="88" t="str" cm="1">
        <f t="array" ref="G3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AND(F313&gt;= DATE(2026,1,1), F313&lt;= DATE(2028, 12, 31), J313&gt;50000), "Pendente e Caro", AND(F313&gt;= DATE(2026,1,1), F313&lt;= DATE(2028, 12, 31), J313&lt;=50000), "Pendente", F313&gt;= DATE(2029,1,1), "Não prioeitário")</f>
        <v>Urgente e Caro</v>
      </c>
      <c r="H313" s="89">
        <f>YEAR(Tabela1[[#This Row],[Data de Validade]])</f>
        <v>2024</v>
      </c>
      <c r="I313" s="89">
        <f>MONTH(Tabela1[[#This Row],[Data de Validade]])</f>
        <v>12</v>
      </c>
      <c r="J313" s="101">
        <v>102668</v>
      </c>
      <c r="K313" s="87" t="s">
        <v>9</v>
      </c>
      <c r="L313" s="108"/>
      <c r="M313" s="108"/>
      <c r="N313" s="108" t="str">
        <v>H536P195</v>
      </c>
      <c r="O313" s="108">
        <f t="shared" si="6"/>
        <v>1</v>
      </c>
      <c r="P313" s="108"/>
      <c r="Q313"/>
    </row>
    <row r="314" spans="1:17" x14ac:dyDescent="0.25">
      <c r="A314" s="89" t="s">
        <v>4287</v>
      </c>
      <c r="B314" s="87" t="s">
        <v>4288</v>
      </c>
      <c r="C314" s="87" t="s">
        <v>12</v>
      </c>
      <c r="D314" s="87" t="str">
        <f>VLOOKUP(Tabela1[[#This Row],[Origem]], 'Perguntas 1 a 24'!$J$28:$K$34, 2, 0)</f>
        <v>Sudeste</v>
      </c>
      <c r="E314" s="87" t="str">
        <f>Tabela1[[#This Row],[Descrição]]&amp;"-"&amp;Tabela1[[#This Row],[Código]]&amp;"/"&amp;Tabela1[[#This Row],[Origem]]</f>
        <v>Gefero-H646P112/RJ</v>
      </c>
      <c r="F314" s="88">
        <v>45630</v>
      </c>
      <c r="G314" s="88" t="str" cm="1">
        <f t="array" ref="G3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AND(F314&gt;= DATE(2026,1,1), F314&lt;= DATE(2028, 12, 31), J314&gt;50000), "Pendente e Caro", AND(F314&gt;= DATE(2026,1,1), F314&lt;= DATE(2028, 12, 31), J314&lt;=50000), "Pendente", F314&gt;= DATE(2029,1,1), "Não prioeitário")</f>
        <v>Urgente e Caro</v>
      </c>
      <c r="H314" s="89">
        <f>YEAR(Tabela1[[#This Row],[Data de Validade]])</f>
        <v>2024</v>
      </c>
      <c r="I314" s="89">
        <f>MONTH(Tabela1[[#This Row],[Data de Validade]])</f>
        <v>12</v>
      </c>
      <c r="J314" s="101">
        <v>104623</v>
      </c>
      <c r="K314" s="87" t="s">
        <v>11</v>
      </c>
      <c r="L314" s="108"/>
      <c r="M314" s="108"/>
      <c r="N314" s="108" t="str">
        <v>H646P112</v>
      </c>
      <c r="O314" s="108">
        <f t="shared" si="6"/>
        <v>1</v>
      </c>
      <c r="P314" s="108"/>
      <c r="Q314"/>
    </row>
    <row r="315" spans="1:17" x14ac:dyDescent="0.25">
      <c r="A315" s="89" t="s">
        <v>6560</v>
      </c>
      <c r="B315" s="87" t="s">
        <v>6561</v>
      </c>
      <c r="C315" s="87" t="s">
        <v>13</v>
      </c>
      <c r="D315" s="87" t="str">
        <f>VLOOKUP(Tabela1[[#This Row],[Origem]], 'Perguntas 1 a 24'!$J$28:$K$34, 2, 0)</f>
        <v>Sudeste</v>
      </c>
      <c r="E315" s="87" t="str">
        <f>Tabela1[[#This Row],[Descrição]]&amp;"-"&amp;Tabela1[[#This Row],[Código]]&amp;"/"&amp;Tabela1[[#This Row],[Origem]]</f>
        <v>Romuda-P677H271/SP</v>
      </c>
      <c r="F315" s="88">
        <v>45630</v>
      </c>
      <c r="G315" s="88" t="str" cm="1">
        <f t="array" ref="G3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AND(F315&gt;= DATE(2026,1,1), F315&lt;= DATE(2028, 12, 31), J315&gt;50000), "Pendente e Caro", AND(F315&gt;= DATE(2026,1,1), F315&lt;= DATE(2028, 12, 31), J315&lt;=50000), "Pendente", F315&gt;= DATE(2029,1,1), "Não prioeitário")</f>
        <v>Urgente e Caro</v>
      </c>
      <c r="H315" s="89">
        <f>YEAR(Tabela1[[#This Row],[Data de Validade]])</f>
        <v>2024</v>
      </c>
      <c r="I315" s="89">
        <f>MONTH(Tabela1[[#This Row],[Data de Validade]])</f>
        <v>12</v>
      </c>
      <c r="J315" s="101">
        <v>66867</v>
      </c>
      <c r="K315" s="87" t="s">
        <v>9</v>
      </c>
      <c r="L315" s="108"/>
      <c r="M315" s="108"/>
      <c r="N315" s="108" t="str">
        <v>P677H271</v>
      </c>
      <c r="O315" s="108">
        <f t="shared" si="6"/>
        <v>1</v>
      </c>
      <c r="P315" s="108"/>
      <c r="Q315"/>
    </row>
    <row r="316" spans="1:17" x14ac:dyDescent="0.25">
      <c r="A316" s="89" t="s">
        <v>5058</v>
      </c>
      <c r="B316" s="87" t="s">
        <v>5059</v>
      </c>
      <c r="C316" s="87" t="s">
        <v>6</v>
      </c>
      <c r="D316" s="87" t="str">
        <f>VLOOKUP(Tabela1[[#This Row],[Origem]], 'Perguntas 1 a 24'!$J$28:$K$34, 2, 0)</f>
        <v>Nordeste</v>
      </c>
      <c r="E316" s="87" t="str">
        <f>Tabela1[[#This Row],[Descrição]]&amp;"-"&amp;Tabela1[[#This Row],[Código]]&amp;"/"&amp;Tabela1[[#This Row],[Origem]]</f>
        <v>Givicu-H461H642/MA</v>
      </c>
      <c r="F316" s="88">
        <v>45633</v>
      </c>
      <c r="G316" s="88" t="str" cm="1">
        <f t="array" ref="G3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AND(F316&gt;= DATE(2026,1,1), F316&lt;= DATE(2028, 12, 31), J316&gt;50000), "Pendente e Caro", AND(F316&gt;= DATE(2026,1,1), F316&lt;= DATE(2028, 12, 31), J316&lt;=50000), "Pendente", F316&gt;= DATE(2029,1,1), "Não prioeitário")</f>
        <v>Urgente e Caro</v>
      </c>
      <c r="H316" s="89">
        <f>YEAR(Tabela1[[#This Row],[Data de Validade]])</f>
        <v>2024</v>
      </c>
      <c r="I316" s="89">
        <f>MONTH(Tabela1[[#This Row],[Data de Validade]])</f>
        <v>12</v>
      </c>
      <c r="J316" s="101">
        <v>69414</v>
      </c>
      <c r="K316" s="87" t="s">
        <v>14</v>
      </c>
      <c r="L316" s="108"/>
      <c r="M316" s="108"/>
      <c r="N316" s="108" t="str">
        <v>H461H642</v>
      </c>
      <c r="O316" s="108">
        <f t="shared" si="6"/>
        <v>1</v>
      </c>
      <c r="P316" s="108"/>
      <c r="Q316"/>
    </row>
    <row r="317" spans="1:17" x14ac:dyDescent="0.25">
      <c r="A317" s="89" t="s">
        <v>5470</v>
      </c>
      <c r="B317" s="87" t="s">
        <v>5471</v>
      </c>
      <c r="C317" s="87" t="s">
        <v>6</v>
      </c>
      <c r="D317" s="87" t="str">
        <f>VLOOKUP(Tabela1[[#This Row],[Origem]], 'Perguntas 1 a 24'!$J$28:$K$34, 2, 0)</f>
        <v>Nordeste</v>
      </c>
      <c r="E317" s="87" t="str">
        <f>Tabela1[[#This Row],[Descrição]]&amp;"-"&amp;Tabela1[[#This Row],[Código]]&amp;"/"&amp;Tabela1[[#This Row],[Origem]]</f>
        <v>Mepuramale-P294H125/MA</v>
      </c>
      <c r="F317" s="88">
        <v>45633</v>
      </c>
      <c r="G317" s="88" t="str" cm="1">
        <f t="array" ref="G3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AND(F317&gt;= DATE(2026,1,1), F317&lt;= DATE(2028, 12, 31), J317&gt;50000), "Pendente e Caro", AND(F317&gt;= DATE(2026,1,1), F317&lt;= DATE(2028, 12, 31), J317&lt;=50000), "Pendente", F317&gt;= DATE(2029,1,1), "Não prioeitário")</f>
        <v>Urgente</v>
      </c>
      <c r="H317" s="89">
        <f>YEAR(Tabela1[[#This Row],[Data de Validade]])</f>
        <v>2024</v>
      </c>
      <c r="I317" s="89">
        <f>MONTH(Tabela1[[#This Row],[Data de Validade]])</f>
        <v>12</v>
      </c>
      <c r="J317" s="101">
        <v>23181</v>
      </c>
      <c r="K317" s="87" t="s">
        <v>11</v>
      </c>
      <c r="L317" s="108"/>
      <c r="M317" s="108"/>
      <c r="N317" s="108" t="str">
        <v>P294H125</v>
      </c>
      <c r="O317" s="108">
        <f t="shared" si="6"/>
        <v>1</v>
      </c>
      <c r="P317" s="108"/>
      <c r="Q317"/>
    </row>
    <row r="318" spans="1:17" x14ac:dyDescent="0.25">
      <c r="A318" s="89" t="s">
        <v>7722</v>
      </c>
      <c r="B318" s="87" t="s">
        <v>7723</v>
      </c>
      <c r="C318" s="87" t="s">
        <v>12</v>
      </c>
      <c r="D318" s="87" t="str">
        <f>VLOOKUP(Tabela1[[#This Row],[Origem]], 'Perguntas 1 a 24'!$J$28:$K$34, 2, 0)</f>
        <v>Sudeste</v>
      </c>
      <c r="E318" s="87" t="str">
        <f>Tabela1[[#This Row],[Descrição]]&amp;"-"&amp;Tabela1[[#This Row],[Código]]&amp;"/"&amp;Tabela1[[#This Row],[Origem]]</f>
        <v>Togafuteru-P962P521/RJ</v>
      </c>
      <c r="F318" s="88">
        <v>45634</v>
      </c>
      <c r="G318" s="88" t="str" cm="1">
        <f t="array" ref="G3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AND(F318&gt;= DATE(2026,1,1), F318&lt;= DATE(2028, 12, 31), J318&gt;50000), "Pendente e Caro", AND(F318&gt;= DATE(2026,1,1), F318&lt;= DATE(2028, 12, 31), J318&lt;=50000), "Pendente", F318&gt;= DATE(2029,1,1), "Não prioeitário")</f>
        <v>Urgente e Caro</v>
      </c>
      <c r="H318" s="89">
        <f>YEAR(Tabela1[[#This Row],[Data de Validade]])</f>
        <v>2024</v>
      </c>
      <c r="I318" s="89">
        <f>MONTH(Tabela1[[#This Row],[Data de Validade]])</f>
        <v>12</v>
      </c>
      <c r="J318" s="101">
        <v>111422</v>
      </c>
      <c r="K318" s="87" t="s">
        <v>7</v>
      </c>
      <c r="L318" s="108"/>
      <c r="M318" s="108"/>
      <c r="N318" s="108" t="str">
        <v>P962P521</v>
      </c>
      <c r="O318" s="108">
        <f t="shared" si="6"/>
        <v>1</v>
      </c>
      <c r="P318" s="108"/>
      <c r="Q318"/>
    </row>
    <row r="319" spans="1:17" x14ac:dyDescent="0.25">
      <c r="A319" s="89" t="s">
        <v>10279</v>
      </c>
      <c r="B319" s="87" t="s">
        <v>10280</v>
      </c>
      <c r="C319" s="87" t="s">
        <v>6</v>
      </c>
      <c r="D319" s="87" t="str">
        <f>VLOOKUP(Tabela1[[#This Row],[Origem]], 'Perguntas 1 a 24'!$J$28:$K$34, 2, 0)</f>
        <v>Nordeste</v>
      </c>
      <c r="E319" s="87" t="str">
        <f>Tabela1[[#This Row],[Descrição]]&amp;"-"&amp;Tabela1[[#This Row],[Código]]&amp;"/"&amp;Tabela1[[#This Row],[Origem]]</f>
        <v>Virorurepu-H797H461/MA</v>
      </c>
      <c r="F319" s="88">
        <v>45634</v>
      </c>
      <c r="G319" s="88" t="str" cm="1">
        <f t="array" ref="G3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AND(F319&gt;= DATE(2026,1,1), F319&lt;= DATE(2028, 12, 31), J319&gt;50000), "Pendente e Caro", AND(F319&gt;= DATE(2026,1,1), F319&lt;= DATE(2028, 12, 31), J319&lt;=50000), "Pendente", F319&gt;= DATE(2029,1,1), "Não prioeitário")</f>
        <v>Urgente</v>
      </c>
      <c r="H319" s="89">
        <f>YEAR(Tabela1[[#This Row],[Data de Validade]])</f>
        <v>2024</v>
      </c>
      <c r="I319" s="89">
        <f>MONTH(Tabela1[[#This Row],[Data de Validade]])</f>
        <v>12</v>
      </c>
      <c r="J319" s="101">
        <v>42940</v>
      </c>
      <c r="K319" s="87" t="s">
        <v>14</v>
      </c>
      <c r="L319" s="108"/>
      <c r="M319" s="108"/>
      <c r="N319" s="108" t="str">
        <v>H797H461</v>
      </c>
      <c r="O319" s="108">
        <f t="shared" si="6"/>
        <v>1</v>
      </c>
      <c r="P319" s="108"/>
      <c r="Q319"/>
    </row>
    <row r="320" spans="1:17" x14ac:dyDescent="0.25">
      <c r="A320" s="89" t="s">
        <v>6434</v>
      </c>
      <c r="B320" s="87" t="s">
        <v>6435</v>
      </c>
      <c r="C320" s="87" t="s">
        <v>16</v>
      </c>
      <c r="D320" s="87" t="str">
        <f>VLOOKUP(Tabela1[[#This Row],[Origem]], 'Perguntas 1 a 24'!$J$28:$K$34, 2, 0)</f>
        <v>Sudeste</v>
      </c>
      <c r="E320" s="87" t="str">
        <f>Tabela1[[#This Row],[Descrição]]&amp;"-"&amp;Tabela1[[#This Row],[Código]]&amp;"/"&amp;Tabela1[[#This Row],[Origem]]</f>
        <v>Ricepuge-P765P933/MG</v>
      </c>
      <c r="F320" s="88">
        <v>45635</v>
      </c>
      <c r="G320" s="88" t="str" cm="1">
        <f t="array" ref="G3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AND(F320&gt;= DATE(2026,1,1), F320&lt;= DATE(2028, 12, 31), J320&gt;50000), "Pendente e Caro", AND(F320&gt;= DATE(2026,1,1), F320&lt;= DATE(2028, 12, 31), J320&lt;=50000), "Pendente", F320&gt;= DATE(2029,1,1), "Não prioeitário")</f>
        <v>Urgente</v>
      </c>
      <c r="H320" s="89">
        <f>YEAR(Tabela1[[#This Row],[Data de Validade]])</f>
        <v>2024</v>
      </c>
      <c r="I320" s="89">
        <f>MONTH(Tabela1[[#This Row],[Data de Validade]])</f>
        <v>12</v>
      </c>
      <c r="J320" s="101">
        <v>31739</v>
      </c>
      <c r="K320" s="87" t="s">
        <v>7</v>
      </c>
      <c r="L320" s="108"/>
      <c r="M320" s="108"/>
      <c r="N320" s="108" t="str">
        <v>P765P933</v>
      </c>
      <c r="O320" s="108">
        <f t="shared" si="6"/>
        <v>1</v>
      </c>
      <c r="P320" s="108"/>
      <c r="Q320"/>
    </row>
    <row r="321" spans="1:17" x14ac:dyDescent="0.25">
      <c r="A321" s="89" t="s">
        <v>10157</v>
      </c>
      <c r="B321" s="87" t="s">
        <v>10158</v>
      </c>
      <c r="C321" s="87" t="s">
        <v>13</v>
      </c>
      <c r="D321" s="87" t="str">
        <f>VLOOKUP(Tabela1[[#This Row],[Origem]], 'Perguntas 1 a 24'!$J$28:$K$34, 2, 0)</f>
        <v>Sudeste</v>
      </c>
      <c r="E321" s="87" t="str">
        <f>Tabela1[[#This Row],[Descrição]]&amp;"-"&amp;Tabela1[[#This Row],[Código]]&amp;"/"&amp;Tabela1[[#This Row],[Origem]]</f>
        <v>Vilidu-H492P258/SP</v>
      </c>
      <c r="F321" s="88">
        <v>45636</v>
      </c>
      <c r="G321" s="88" t="str" cm="1">
        <f t="array" ref="G3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AND(F321&gt;= DATE(2026,1,1), F321&lt;= DATE(2028, 12, 31), J321&gt;50000), "Pendente e Caro", AND(F321&gt;= DATE(2026,1,1), F321&lt;= DATE(2028, 12, 31), J321&lt;=50000), "Pendente", F321&gt;= DATE(2029,1,1), "Não prioeitário")</f>
        <v>Urgente e Caro</v>
      </c>
      <c r="H321" s="89">
        <f>YEAR(Tabela1[[#This Row],[Data de Validade]])</f>
        <v>2024</v>
      </c>
      <c r="I321" s="89">
        <f>MONTH(Tabela1[[#This Row],[Data de Validade]])</f>
        <v>12</v>
      </c>
      <c r="J321" s="101">
        <v>75792</v>
      </c>
      <c r="K321" s="87" t="s">
        <v>14</v>
      </c>
      <c r="L321" s="108"/>
      <c r="M321" s="108"/>
      <c r="N321" s="108" t="str">
        <v>H492P258</v>
      </c>
      <c r="O321" s="108">
        <f t="shared" si="6"/>
        <v>1</v>
      </c>
      <c r="P321" s="108"/>
      <c r="Q321"/>
    </row>
    <row r="322" spans="1:17" x14ac:dyDescent="0.25">
      <c r="A322" s="89" t="s">
        <v>9813</v>
      </c>
      <c r="B322" s="87" t="s">
        <v>9814</v>
      </c>
      <c r="C322" s="87" t="s">
        <v>6</v>
      </c>
      <c r="D322" s="87" t="str">
        <f>VLOOKUP(Tabela1[[#This Row],[Origem]], 'Perguntas 1 a 24'!$J$28:$K$34, 2, 0)</f>
        <v>Nordeste</v>
      </c>
      <c r="E322" s="87" t="str">
        <f>Tabela1[[#This Row],[Descrição]]&amp;"-"&amp;Tabela1[[#This Row],[Código]]&amp;"/"&amp;Tabela1[[#This Row],[Origem]]</f>
        <v>Ticotopomu-P792H935/MA</v>
      </c>
      <c r="F322" s="88">
        <v>45636</v>
      </c>
      <c r="G322" s="88" t="str" cm="1">
        <f t="array" ref="G3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AND(F322&gt;= DATE(2026,1,1), F322&lt;= DATE(2028, 12, 31), J322&gt;50000), "Pendente e Caro", AND(F322&gt;= DATE(2026,1,1), F322&lt;= DATE(2028, 12, 31), J322&lt;=50000), "Pendente", F322&gt;= DATE(2029,1,1), "Não prioeitário")</f>
        <v>Urgente e Caro</v>
      </c>
      <c r="H322" s="89">
        <f>YEAR(Tabela1[[#This Row],[Data de Validade]])</f>
        <v>2024</v>
      </c>
      <c r="I322" s="89">
        <f>MONTH(Tabela1[[#This Row],[Data de Validade]])</f>
        <v>12</v>
      </c>
      <c r="J322" s="101">
        <v>64019</v>
      </c>
      <c r="K322" s="87" t="s">
        <v>14</v>
      </c>
      <c r="L322" s="108"/>
      <c r="M322" s="108"/>
      <c r="N322" s="108" t="str">
        <v>P792H935</v>
      </c>
      <c r="O322" s="108">
        <f t="shared" si="6"/>
        <v>1</v>
      </c>
      <c r="P322" s="108"/>
      <c r="Q322"/>
    </row>
    <row r="323" spans="1:17" x14ac:dyDescent="0.25">
      <c r="A323" s="89" t="s">
        <v>3706</v>
      </c>
      <c r="B323" s="87" t="s">
        <v>3707</v>
      </c>
      <c r="C323" s="87" t="s">
        <v>6</v>
      </c>
      <c r="D323" s="87" t="str">
        <f>VLOOKUP(Tabela1[[#This Row],[Origem]], 'Perguntas 1 a 24'!$J$28:$K$34, 2, 0)</f>
        <v>Nordeste</v>
      </c>
      <c r="E323" s="87" t="str">
        <f>Tabela1[[#This Row],[Descrição]]&amp;"-"&amp;Tabela1[[#This Row],[Código]]&amp;"/"&amp;Tabela1[[#This Row],[Origem]]</f>
        <v>Tidatipu-P428P482/MA</v>
      </c>
      <c r="F323" s="88">
        <v>45636</v>
      </c>
      <c r="G323" s="88" t="str" cm="1">
        <f t="array" ref="G3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AND(F323&gt;= DATE(2026,1,1), F323&lt;= DATE(2028, 12, 31), J323&gt;50000), "Pendente e Caro", AND(F323&gt;= DATE(2026,1,1), F323&lt;= DATE(2028, 12, 31), J323&lt;=50000), "Pendente", F323&gt;= DATE(2029,1,1), "Não prioeitário")</f>
        <v>Urgente</v>
      </c>
      <c r="H323" s="89">
        <f>YEAR(Tabela1[[#This Row],[Data de Validade]])</f>
        <v>2024</v>
      </c>
      <c r="I323" s="89">
        <f>MONTH(Tabela1[[#This Row],[Data de Validade]])</f>
        <v>12</v>
      </c>
      <c r="J323" s="101">
        <v>38140</v>
      </c>
      <c r="K323" s="87" t="s">
        <v>7</v>
      </c>
      <c r="L323" s="108"/>
      <c r="M323" s="108"/>
      <c r="N323" s="108" t="str">
        <v>P428P482</v>
      </c>
      <c r="O323" s="108">
        <f t="shared" ref="O323:O386" si="7">COUNTIFS(B:B,N323)</f>
        <v>1</v>
      </c>
      <c r="P323" s="108"/>
      <c r="Q323"/>
    </row>
    <row r="324" spans="1:17" x14ac:dyDescent="0.25">
      <c r="A324" s="89" t="s">
        <v>9873</v>
      </c>
      <c r="B324" s="87" t="s">
        <v>9874</v>
      </c>
      <c r="C324" s="87" t="s">
        <v>16</v>
      </c>
      <c r="D324" s="87" t="str">
        <f>VLOOKUP(Tabela1[[#This Row],[Origem]], 'Perguntas 1 a 24'!$J$28:$K$34, 2, 0)</f>
        <v>Sudeste</v>
      </c>
      <c r="E324" s="87" t="str">
        <f>Tabela1[[#This Row],[Descrição]]&amp;"-"&amp;Tabela1[[#This Row],[Código]]&amp;"/"&amp;Tabela1[[#This Row],[Origem]]</f>
        <v>Tamotododo-P231H311/MG</v>
      </c>
      <c r="F324" s="88">
        <v>45637</v>
      </c>
      <c r="G324" s="88" t="str" cm="1">
        <f t="array" ref="G3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AND(F324&gt;= DATE(2026,1,1), F324&lt;= DATE(2028, 12, 31), J324&gt;50000), "Pendente e Caro", AND(F324&gt;= DATE(2026,1,1), F324&lt;= DATE(2028, 12, 31), J324&lt;=50000), "Pendente", F324&gt;= DATE(2029,1,1), "Não prioeitário")</f>
        <v>Urgente e Caro</v>
      </c>
      <c r="H324" s="89">
        <f>YEAR(Tabela1[[#This Row],[Data de Validade]])</f>
        <v>2024</v>
      </c>
      <c r="I324" s="89">
        <f>MONTH(Tabela1[[#This Row],[Data de Validade]])</f>
        <v>12</v>
      </c>
      <c r="J324" s="101">
        <v>70059</v>
      </c>
      <c r="K324" s="87" t="s">
        <v>9</v>
      </c>
      <c r="L324" s="108"/>
      <c r="M324" s="108"/>
      <c r="N324" s="108" t="str">
        <v>P231H311</v>
      </c>
      <c r="O324" s="108">
        <f t="shared" si="7"/>
        <v>1</v>
      </c>
      <c r="P324" s="108"/>
      <c r="Q324"/>
    </row>
    <row r="325" spans="1:17" x14ac:dyDescent="0.25">
      <c r="A325" s="89" t="s">
        <v>6836</v>
      </c>
      <c r="B325" s="87" t="s">
        <v>6837</v>
      </c>
      <c r="C325" s="87" t="s">
        <v>8</v>
      </c>
      <c r="D325" s="87" t="str">
        <f>VLOOKUP(Tabela1[[#This Row],[Origem]], 'Perguntas 1 a 24'!$J$28:$K$34, 2, 0)</f>
        <v>Nordeste</v>
      </c>
      <c r="E325" s="87" t="str">
        <f>Tabela1[[#This Row],[Descrição]]&amp;"-"&amp;Tabela1[[#This Row],[Código]]&amp;"/"&amp;Tabela1[[#This Row],[Origem]]</f>
        <v>Tamiperi-P465H279/AL</v>
      </c>
      <c r="F325" s="88">
        <v>45637</v>
      </c>
      <c r="G325" s="88" t="str" cm="1">
        <f t="array" ref="G3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AND(F325&gt;= DATE(2026,1,1), F325&lt;= DATE(2028, 12, 31), J325&gt;50000), "Pendente e Caro", AND(F325&gt;= DATE(2026,1,1), F325&lt;= DATE(2028, 12, 31), J325&lt;=50000), "Pendente", F325&gt;= DATE(2029,1,1), "Não prioeitário")</f>
        <v>Urgente</v>
      </c>
      <c r="H325" s="89">
        <f>YEAR(Tabela1[[#This Row],[Data de Validade]])</f>
        <v>2024</v>
      </c>
      <c r="I325" s="89">
        <f>MONTH(Tabela1[[#This Row],[Data de Validade]])</f>
        <v>12</v>
      </c>
      <c r="J325" s="101">
        <v>37185</v>
      </c>
      <c r="K325" s="87" t="s">
        <v>11</v>
      </c>
      <c r="L325" s="108"/>
      <c r="M325" s="108"/>
      <c r="N325" s="108" t="str">
        <v>P465H279</v>
      </c>
      <c r="O325" s="108">
        <f t="shared" si="7"/>
        <v>1</v>
      </c>
      <c r="P325" s="108"/>
      <c r="Q325"/>
    </row>
    <row r="326" spans="1:17" x14ac:dyDescent="0.25">
      <c r="A326" s="89" t="s">
        <v>8673</v>
      </c>
      <c r="B326" s="87" t="s">
        <v>8674</v>
      </c>
      <c r="C326" s="87" t="s">
        <v>8</v>
      </c>
      <c r="D326" s="87" t="str">
        <f>VLOOKUP(Tabela1[[#This Row],[Origem]], 'Perguntas 1 a 24'!$J$28:$K$34, 2, 0)</f>
        <v>Nordeste</v>
      </c>
      <c r="E326" s="87" t="str">
        <f>Tabela1[[#This Row],[Descrição]]&amp;"-"&amp;Tabela1[[#This Row],[Código]]&amp;"/"&amp;Tabela1[[#This Row],[Origem]]</f>
        <v>Rucerugora-H631H191/AL</v>
      </c>
      <c r="F326" s="88">
        <v>45639</v>
      </c>
      <c r="G326" s="88" t="str" cm="1">
        <f t="array" ref="G3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AND(F326&gt;= DATE(2026,1,1), F326&lt;= DATE(2028, 12, 31), J326&gt;50000), "Pendente e Caro", AND(F326&gt;= DATE(2026,1,1), F326&lt;= DATE(2028, 12, 31), J326&lt;=50000), "Pendente", F326&gt;= DATE(2029,1,1), "Não prioeitário")</f>
        <v>Urgente</v>
      </c>
      <c r="H326" s="89">
        <f>YEAR(Tabela1[[#This Row],[Data de Validade]])</f>
        <v>2024</v>
      </c>
      <c r="I326" s="89">
        <f>MONTH(Tabela1[[#This Row],[Data de Validade]])</f>
        <v>12</v>
      </c>
      <c r="J326" s="101">
        <v>26617</v>
      </c>
      <c r="K326" s="87" t="s">
        <v>7</v>
      </c>
      <c r="L326" s="108"/>
      <c r="M326" s="108"/>
      <c r="N326" s="108" t="str">
        <v>H631H191</v>
      </c>
      <c r="O326" s="108">
        <f t="shared" si="7"/>
        <v>1</v>
      </c>
      <c r="P326" s="108"/>
      <c r="Q326"/>
    </row>
    <row r="327" spans="1:17" x14ac:dyDescent="0.25">
      <c r="A327" s="89" t="s">
        <v>6706</v>
      </c>
      <c r="B327" s="87" t="s">
        <v>6707</v>
      </c>
      <c r="C327" s="87" t="s">
        <v>10</v>
      </c>
      <c r="D327" s="87" t="str">
        <f>VLOOKUP(Tabela1[[#This Row],[Origem]], 'Perguntas 1 a 24'!$J$28:$K$34, 2, 0)</f>
        <v>Centro-Oeste</v>
      </c>
      <c r="E327" s="87" t="str">
        <f>Tabela1[[#This Row],[Descrição]]&amp;"-"&amp;Tabela1[[#This Row],[Código]]&amp;"/"&amp;Tabela1[[#This Row],[Origem]]</f>
        <v>Potivupici-P192P296/GO</v>
      </c>
      <c r="F327" s="88">
        <v>45641</v>
      </c>
      <c r="G327" s="88" t="str" cm="1">
        <f t="array" ref="G3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AND(F327&gt;= DATE(2026,1,1), F327&lt;= DATE(2028, 12, 31), J327&gt;50000), "Pendente e Caro", AND(F327&gt;= DATE(2026,1,1), F327&lt;= DATE(2028, 12, 31), J327&lt;=50000), "Pendente", F327&gt;= DATE(2029,1,1), "Não prioeitário")</f>
        <v>Urgente</v>
      </c>
      <c r="H327" s="89">
        <f>YEAR(Tabela1[[#This Row],[Data de Validade]])</f>
        <v>2024</v>
      </c>
      <c r="I327" s="89">
        <f>MONTH(Tabela1[[#This Row],[Data de Validade]])</f>
        <v>12</v>
      </c>
      <c r="J327" s="101">
        <v>40048</v>
      </c>
      <c r="K327" s="87" t="s">
        <v>7</v>
      </c>
      <c r="L327" s="108"/>
      <c r="M327" s="108"/>
      <c r="N327" s="108" t="str">
        <v>P192P296</v>
      </c>
      <c r="O327" s="108">
        <f t="shared" si="7"/>
        <v>1</v>
      </c>
      <c r="P327" s="108"/>
      <c r="Q327"/>
    </row>
    <row r="328" spans="1:17" x14ac:dyDescent="0.25">
      <c r="A328" s="89" t="s">
        <v>4321</v>
      </c>
      <c r="B328" s="87" t="s">
        <v>4322</v>
      </c>
      <c r="C328" s="87" t="s">
        <v>6</v>
      </c>
      <c r="D328" s="87" t="str">
        <f>VLOOKUP(Tabela1[[#This Row],[Origem]], 'Perguntas 1 a 24'!$J$28:$K$34, 2, 0)</f>
        <v>Nordeste</v>
      </c>
      <c r="E328" s="87" t="str">
        <f>Tabela1[[#This Row],[Descrição]]&amp;"-"&amp;Tabela1[[#This Row],[Código]]&amp;"/"&amp;Tabela1[[#This Row],[Origem]]</f>
        <v>Viripapefi-P419P448/MA</v>
      </c>
      <c r="F328" s="88">
        <v>45643</v>
      </c>
      <c r="G328" s="88" t="str" cm="1">
        <f t="array" ref="G3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AND(F328&gt;= DATE(2026,1,1), F328&lt;= DATE(2028, 12, 31), J328&gt;50000), "Pendente e Caro", AND(F328&gt;= DATE(2026,1,1), F328&lt;= DATE(2028, 12, 31), J328&lt;=50000), "Pendente", F328&gt;= DATE(2029,1,1), "Não prioeitário")</f>
        <v>Urgente e Caro</v>
      </c>
      <c r="H328" s="89">
        <f>YEAR(Tabela1[[#This Row],[Data de Validade]])</f>
        <v>2024</v>
      </c>
      <c r="I328" s="89">
        <f>MONTH(Tabela1[[#This Row],[Data de Validade]])</f>
        <v>12</v>
      </c>
      <c r="J328" s="101">
        <v>95226</v>
      </c>
      <c r="K328" s="87" t="s">
        <v>7</v>
      </c>
      <c r="L328" s="108"/>
      <c r="M328" s="108"/>
      <c r="N328" s="108" t="str">
        <v>P419P448</v>
      </c>
      <c r="O328" s="108">
        <f t="shared" si="7"/>
        <v>1</v>
      </c>
      <c r="P328" s="108"/>
      <c r="Q328"/>
    </row>
    <row r="329" spans="1:17" x14ac:dyDescent="0.25">
      <c r="A329" s="89" t="s">
        <v>10967</v>
      </c>
      <c r="B329" s="87" t="s">
        <v>10968</v>
      </c>
      <c r="C329" s="87" t="s">
        <v>13</v>
      </c>
      <c r="D329" s="87" t="str">
        <f>VLOOKUP(Tabela1[[#This Row],[Origem]], 'Perguntas 1 a 24'!$J$28:$K$34, 2, 0)</f>
        <v>Sudeste</v>
      </c>
      <c r="E329" s="87" t="str">
        <f>Tabela1[[#This Row],[Descrição]]&amp;"-"&amp;Tabela1[[#This Row],[Código]]&amp;"/"&amp;Tabela1[[#This Row],[Origem]]</f>
        <v>Rumetofo-H744P271/SP</v>
      </c>
      <c r="F329" s="88">
        <v>45643</v>
      </c>
      <c r="G329" s="88" t="str" cm="1">
        <f t="array" ref="G3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AND(F329&gt;= DATE(2026,1,1), F329&lt;= DATE(2028, 12, 31), J329&gt;50000), "Pendente e Caro", AND(F329&gt;= DATE(2026,1,1), F329&lt;= DATE(2028, 12, 31), J329&lt;=50000), "Pendente", F329&gt;= DATE(2029,1,1), "Não prioeitário")</f>
        <v>Urgente e Caro</v>
      </c>
      <c r="H329" s="89">
        <f>YEAR(Tabela1[[#This Row],[Data de Validade]])</f>
        <v>2024</v>
      </c>
      <c r="I329" s="89">
        <f>MONTH(Tabela1[[#This Row],[Data de Validade]])</f>
        <v>12</v>
      </c>
      <c r="J329" s="101">
        <v>93859</v>
      </c>
      <c r="K329" s="87" t="s">
        <v>9</v>
      </c>
      <c r="L329" s="108"/>
      <c r="M329" s="108"/>
      <c r="N329" s="108" t="str">
        <v>H744P271</v>
      </c>
      <c r="O329" s="108">
        <f t="shared" si="7"/>
        <v>1</v>
      </c>
      <c r="P329" s="108"/>
      <c r="Q329"/>
    </row>
    <row r="330" spans="1:17" x14ac:dyDescent="0.25">
      <c r="A330" s="89" t="s">
        <v>10537</v>
      </c>
      <c r="B330" s="87" t="s">
        <v>10538</v>
      </c>
      <c r="C330" s="87" t="s">
        <v>6</v>
      </c>
      <c r="D330" s="87" t="str">
        <f>VLOOKUP(Tabela1[[#This Row],[Origem]], 'Perguntas 1 a 24'!$J$28:$K$34, 2, 0)</f>
        <v>Nordeste</v>
      </c>
      <c r="E330" s="87" t="str">
        <f>Tabela1[[#This Row],[Descrição]]&amp;"-"&amp;Tabela1[[#This Row],[Código]]&amp;"/"&amp;Tabela1[[#This Row],[Origem]]</f>
        <v>Pofatuteru-H231H188/MA</v>
      </c>
      <c r="F330" s="88">
        <v>45643</v>
      </c>
      <c r="G330" s="88" t="str" cm="1">
        <f t="array" ref="G3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AND(F330&gt;= DATE(2026,1,1), F330&lt;= DATE(2028, 12, 31), J330&gt;50000), "Pendente e Caro", AND(F330&gt;= DATE(2026,1,1), F330&lt;= DATE(2028, 12, 31), J330&lt;=50000), "Pendente", F330&gt;= DATE(2029,1,1), "Não prioeitário")</f>
        <v>Urgente</v>
      </c>
      <c r="H330" s="89">
        <f>YEAR(Tabela1[[#This Row],[Data de Validade]])</f>
        <v>2024</v>
      </c>
      <c r="I330" s="89">
        <f>MONTH(Tabela1[[#This Row],[Data de Validade]])</f>
        <v>12</v>
      </c>
      <c r="J330" s="101">
        <v>36477</v>
      </c>
      <c r="K330" s="87" t="s">
        <v>9</v>
      </c>
      <c r="L330" s="108"/>
      <c r="M330" s="108"/>
      <c r="N330" s="108" t="str">
        <v>H231H188</v>
      </c>
      <c r="O330" s="108">
        <f t="shared" si="7"/>
        <v>1</v>
      </c>
      <c r="P330" s="108"/>
      <c r="Q330"/>
    </row>
    <row r="331" spans="1:17" x14ac:dyDescent="0.25">
      <c r="A331" s="89" t="s">
        <v>11290</v>
      </c>
      <c r="B331" s="87" t="s">
        <v>11291</v>
      </c>
      <c r="C331" s="87" t="s">
        <v>6</v>
      </c>
      <c r="D331" s="87" t="str">
        <f>VLOOKUP(Tabela1[[#This Row],[Origem]], 'Perguntas 1 a 24'!$J$28:$K$34, 2, 0)</f>
        <v>Nordeste</v>
      </c>
      <c r="E331" s="87" t="str">
        <f>Tabela1[[#This Row],[Descrição]]&amp;"-"&amp;Tabela1[[#This Row],[Código]]&amp;"/"&amp;Tabela1[[#This Row],[Origem]]</f>
        <v>Ferope-H399P696/MA</v>
      </c>
      <c r="F331" s="88">
        <v>45643</v>
      </c>
      <c r="G331" s="88" t="str" cm="1">
        <f t="array" ref="G3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AND(F331&gt;= DATE(2026,1,1), F331&lt;= DATE(2028, 12, 31), J331&gt;50000), "Pendente e Caro", AND(F331&gt;= DATE(2026,1,1), F331&lt;= DATE(2028, 12, 31), J331&lt;=50000), "Pendente", F331&gt;= DATE(2029,1,1), "Não prioeitário")</f>
        <v>Urgente</v>
      </c>
      <c r="H331" s="89">
        <f>YEAR(Tabela1[[#This Row],[Data de Validade]])</f>
        <v>2024</v>
      </c>
      <c r="I331" s="89">
        <f>MONTH(Tabela1[[#This Row],[Data de Validade]])</f>
        <v>12</v>
      </c>
      <c r="J331" s="101">
        <v>34072</v>
      </c>
      <c r="K331" s="87" t="s">
        <v>9</v>
      </c>
      <c r="L331" s="108"/>
      <c r="M331" s="108"/>
      <c r="N331" s="108" t="str">
        <v>H399P696</v>
      </c>
      <c r="O331" s="108">
        <f t="shared" si="7"/>
        <v>1</v>
      </c>
      <c r="P331" s="108"/>
      <c r="Q331"/>
    </row>
    <row r="332" spans="1:17" x14ac:dyDescent="0.25">
      <c r="A332" s="89" t="s">
        <v>7898</v>
      </c>
      <c r="B332" s="87" t="s">
        <v>7899</v>
      </c>
      <c r="C332" s="87" t="s">
        <v>10</v>
      </c>
      <c r="D332" s="87" t="str">
        <f>VLOOKUP(Tabela1[[#This Row],[Origem]], 'Perguntas 1 a 24'!$J$28:$K$34, 2, 0)</f>
        <v>Centro-Oeste</v>
      </c>
      <c r="E332" s="87" t="str">
        <f>Tabela1[[#This Row],[Descrição]]&amp;"-"&amp;Tabela1[[#This Row],[Código]]&amp;"/"&amp;Tabela1[[#This Row],[Origem]]</f>
        <v>Cudapa-P833P457/GO</v>
      </c>
      <c r="F332" s="88">
        <v>45644</v>
      </c>
      <c r="G332" s="88" t="str" cm="1">
        <f t="array" ref="G3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AND(F332&gt;= DATE(2026,1,1), F332&lt;= DATE(2028, 12, 31), J332&gt;50000), "Pendente e Caro", AND(F332&gt;= DATE(2026,1,1), F332&lt;= DATE(2028, 12, 31), J332&lt;=50000), "Pendente", F332&gt;= DATE(2029,1,1), "Não prioeitário")</f>
        <v>Urgente e Caro</v>
      </c>
      <c r="H332" s="89">
        <f>YEAR(Tabela1[[#This Row],[Data de Validade]])</f>
        <v>2024</v>
      </c>
      <c r="I332" s="89">
        <f>MONTH(Tabela1[[#This Row],[Data de Validade]])</f>
        <v>12</v>
      </c>
      <c r="J332" s="101">
        <v>83883</v>
      </c>
      <c r="K332" s="87" t="s">
        <v>14</v>
      </c>
      <c r="L332" s="108"/>
      <c r="M332" s="108"/>
      <c r="N332" s="108" t="str">
        <v>P833P457</v>
      </c>
      <c r="O332" s="108">
        <f t="shared" si="7"/>
        <v>1</v>
      </c>
      <c r="P332" s="108"/>
      <c r="Q332"/>
    </row>
    <row r="333" spans="1:17" x14ac:dyDescent="0.25">
      <c r="A333" s="89" t="s">
        <v>4311</v>
      </c>
      <c r="B333" s="87" t="s">
        <v>4312</v>
      </c>
      <c r="C333" s="87" t="s">
        <v>6</v>
      </c>
      <c r="D333" s="87" t="str">
        <f>VLOOKUP(Tabela1[[#This Row],[Origem]], 'Perguntas 1 a 24'!$J$28:$K$34, 2, 0)</f>
        <v>Nordeste</v>
      </c>
      <c r="E333" s="87" t="str">
        <f>Tabela1[[#This Row],[Descrição]]&amp;"-"&amp;Tabela1[[#This Row],[Código]]&amp;"/"&amp;Tabela1[[#This Row],[Origem]]</f>
        <v>Gimuladu-P325P238/MA</v>
      </c>
      <c r="F333" s="88">
        <v>45644</v>
      </c>
      <c r="G333" s="88" t="str" cm="1">
        <f t="array" ref="G3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AND(F333&gt;= DATE(2026,1,1), F333&lt;= DATE(2028, 12, 31), J333&gt;50000), "Pendente e Caro", AND(F333&gt;= DATE(2026,1,1), F333&lt;= DATE(2028, 12, 31), J333&lt;=50000), "Pendente", F333&gt;= DATE(2029,1,1), "Não prioeitário")</f>
        <v>Urgente e Caro</v>
      </c>
      <c r="H333" s="89">
        <f>YEAR(Tabela1[[#This Row],[Data de Validade]])</f>
        <v>2024</v>
      </c>
      <c r="I333" s="89">
        <f>MONTH(Tabela1[[#This Row],[Data de Validade]])</f>
        <v>12</v>
      </c>
      <c r="J333" s="101">
        <v>83230</v>
      </c>
      <c r="K333" s="87" t="s">
        <v>14</v>
      </c>
      <c r="L333" s="108"/>
      <c r="M333" s="108"/>
      <c r="N333" s="108" t="str">
        <v>P325P238</v>
      </c>
      <c r="O333" s="108">
        <f t="shared" si="7"/>
        <v>1</v>
      </c>
      <c r="P333" s="108"/>
      <c r="Q333"/>
    </row>
    <row r="334" spans="1:17" x14ac:dyDescent="0.25">
      <c r="A334" s="89" t="s">
        <v>9055</v>
      </c>
      <c r="B334" s="87" t="s">
        <v>9056</v>
      </c>
      <c r="C334" s="87" t="s">
        <v>16</v>
      </c>
      <c r="D334" s="87" t="str">
        <f>VLOOKUP(Tabela1[[#This Row],[Origem]], 'Perguntas 1 a 24'!$J$28:$K$34, 2, 0)</f>
        <v>Sudeste</v>
      </c>
      <c r="E334" s="87" t="str">
        <f>Tabela1[[#This Row],[Descrição]]&amp;"-"&amp;Tabela1[[#This Row],[Código]]&amp;"/"&amp;Tabela1[[#This Row],[Origem]]</f>
        <v>Peferepifo-H188P149/MG</v>
      </c>
      <c r="F334" s="88">
        <v>45645</v>
      </c>
      <c r="G334" s="88" t="str" cm="1">
        <f t="array" ref="G3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AND(F334&gt;= DATE(2026,1,1), F334&lt;= DATE(2028, 12, 31), J334&gt;50000), "Pendente e Caro", AND(F334&gt;= DATE(2026,1,1), F334&lt;= DATE(2028, 12, 31), J334&lt;=50000), "Pendente", F334&gt;= DATE(2029,1,1), "Não prioeitário")</f>
        <v>Urgente e Caro</v>
      </c>
      <c r="H334" s="89">
        <f>YEAR(Tabela1[[#This Row],[Data de Validade]])</f>
        <v>2024</v>
      </c>
      <c r="I334" s="89">
        <f>MONTH(Tabela1[[#This Row],[Data de Validade]])</f>
        <v>12</v>
      </c>
      <c r="J334" s="101">
        <v>106904</v>
      </c>
      <c r="K334" s="87" t="s">
        <v>11</v>
      </c>
      <c r="L334" s="108"/>
      <c r="M334" s="108"/>
      <c r="N334" s="108" t="str">
        <v>H188P149</v>
      </c>
      <c r="O334" s="108">
        <f t="shared" si="7"/>
        <v>1</v>
      </c>
      <c r="P334" s="108"/>
      <c r="Q334"/>
    </row>
    <row r="335" spans="1:17" x14ac:dyDescent="0.25">
      <c r="A335" s="89" t="s">
        <v>4996</v>
      </c>
      <c r="B335" s="87" t="s">
        <v>4997</v>
      </c>
      <c r="C335" s="87" t="s">
        <v>16</v>
      </c>
      <c r="D335" s="87" t="str">
        <f>VLOOKUP(Tabela1[[#This Row],[Origem]], 'Perguntas 1 a 24'!$J$28:$K$34, 2, 0)</f>
        <v>Sudeste</v>
      </c>
      <c r="E335" s="87" t="str">
        <f>Tabela1[[#This Row],[Descrição]]&amp;"-"&amp;Tabela1[[#This Row],[Código]]&amp;"/"&amp;Tabela1[[#This Row],[Origem]]</f>
        <v>Lafape-H683H778/MG</v>
      </c>
      <c r="F335" s="88">
        <v>45645</v>
      </c>
      <c r="G335" s="88" t="str" cm="1">
        <f t="array" ref="G3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AND(F335&gt;= DATE(2026,1,1), F335&lt;= DATE(2028, 12, 31), J335&gt;50000), "Pendente e Caro", AND(F335&gt;= DATE(2026,1,1), F335&lt;= DATE(2028, 12, 31), J335&lt;=50000), "Pendente", F335&gt;= DATE(2029,1,1), "Não prioeitário")</f>
        <v>Urgente e Caro</v>
      </c>
      <c r="H335" s="89">
        <f>YEAR(Tabela1[[#This Row],[Data de Validade]])</f>
        <v>2024</v>
      </c>
      <c r="I335" s="89">
        <f>MONTH(Tabela1[[#This Row],[Data de Validade]])</f>
        <v>12</v>
      </c>
      <c r="J335" s="101">
        <v>83528</v>
      </c>
      <c r="K335" s="87" t="s">
        <v>14</v>
      </c>
      <c r="L335" s="108"/>
      <c r="M335" s="108"/>
      <c r="N335" s="108" t="str">
        <v>H683H778</v>
      </c>
      <c r="O335" s="108">
        <f t="shared" si="7"/>
        <v>1</v>
      </c>
      <c r="P335" s="108"/>
      <c r="Q335"/>
    </row>
    <row r="336" spans="1:17" x14ac:dyDescent="0.25">
      <c r="A336" s="89" t="s">
        <v>4698</v>
      </c>
      <c r="B336" s="87" t="s">
        <v>4699</v>
      </c>
      <c r="C336" s="87" t="s">
        <v>10</v>
      </c>
      <c r="D336" s="87" t="str">
        <f>VLOOKUP(Tabela1[[#This Row],[Origem]], 'Perguntas 1 a 24'!$J$28:$K$34, 2, 0)</f>
        <v>Centro-Oeste</v>
      </c>
      <c r="E336" s="87" t="str">
        <f>Tabela1[[#This Row],[Descrição]]&amp;"-"&amp;Tabela1[[#This Row],[Código]]&amp;"/"&amp;Tabela1[[#This Row],[Origem]]</f>
        <v>Rapagi-P663H882/GO</v>
      </c>
      <c r="F336" s="88">
        <v>45647</v>
      </c>
      <c r="G336" s="88" t="str" cm="1">
        <f t="array" ref="G3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AND(F336&gt;= DATE(2026,1,1), F336&lt;= DATE(2028, 12, 31), J336&gt;50000), "Pendente e Caro", AND(F336&gt;= DATE(2026,1,1), F336&lt;= DATE(2028, 12, 31), J336&lt;=50000), "Pendente", F336&gt;= DATE(2029,1,1), "Não prioeitário")</f>
        <v>Urgente</v>
      </c>
      <c r="H336" s="89">
        <f>YEAR(Tabela1[[#This Row],[Data de Validade]])</f>
        <v>2024</v>
      </c>
      <c r="I336" s="89">
        <f>MONTH(Tabela1[[#This Row],[Data de Validade]])</f>
        <v>12</v>
      </c>
      <c r="J336" s="101">
        <v>27089</v>
      </c>
      <c r="K336" s="87" t="s">
        <v>14</v>
      </c>
      <c r="L336" s="108"/>
      <c r="M336" s="108"/>
      <c r="N336" s="108" t="str">
        <v>P663H882</v>
      </c>
      <c r="O336" s="108">
        <f t="shared" si="7"/>
        <v>1</v>
      </c>
      <c r="P336" s="108"/>
      <c r="Q336"/>
    </row>
    <row r="337" spans="1:17" x14ac:dyDescent="0.25">
      <c r="A337" s="89" t="s">
        <v>9967</v>
      </c>
      <c r="B337" s="87" t="s">
        <v>9968</v>
      </c>
      <c r="C337" s="87" t="s">
        <v>8</v>
      </c>
      <c r="D337" s="87" t="str">
        <f>VLOOKUP(Tabela1[[#This Row],[Origem]], 'Perguntas 1 a 24'!$J$28:$K$34, 2, 0)</f>
        <v>Nordeste</v>
      </c>
      <c r="E337" s="87" t="str">
        <f>Tabela1[[#This Row],[Descrição]]&amp;"-"&amp;Tabela1[[#This Row],[Código]]&amp;"/"&amp;Tabela1[[#This Row],[Origem]]</f>
        <v>Giparuge-H863H983/AL</v>
      </c>
      <c r="F337" s="88">
        <v>45648</v>
      </c>
      <c r="G337" s="88" t="str" cm="1">
        <f t="array" ref="G3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AND(F337&gt;= DATE(2026,1,1), F337&lt;= DATE(2028, 12, 31), J337&gt;50000), "Pendente e Caro", AND(F337&gt;= DATE(2026,1,1), F337&lt;= DATE(2028, 12, 31), J337&lt;=50000), "Pendente", F337&gt;= DATE(2029,1,1), "Não prioeitário")</f>
        <v>Urgente e Caro</v>
      </c>
      <c r="H337" s="89">
        <f>YEAR(Tabela1[[#This Row],[Data de Validade]])</f>
        <v>2024</v>
      </c>
      <c r="I337" s="89">
        <f>MONTH(Tabela1[[#This Row],[Data de Validade]])</f>
        <v>12</v>
      </c>
      <c r="J337" s="101">
        <v>100474</v>
      </c>
      <c r="K337" s="87" t="s">
        <v>14</v>
      </c>
      <c r="L337" s="108"/>
      <c r="M337" s="108"/>
      <c r="N337" s="108" t="str">
        <v>H863H983</v>
      </c>
      <c r="O337" s="108">
        <f t="shared" si="7"/>
        <v>1</v>
      </c>
      <c r="P337" s="108"/>
      <c r="Q337"/>
    </row>
    <row r="338" spans="1:17" x14ac:dyDescent="0.25">
      <c r="A338" s="89" t="s">
        <v>7204</v>
      </c>
      <c r="B338" s="87" t="s">
        <v>7205</v>
      </c>
      <c r="C338" s="87" t="s">
        <v>6</v>
      </c>
      <c r="D338" s="87" t="str">
        <f>VLOOKUP(Tabela1[[#This Row],[Origem]], 'Perguntas 1 a 24'!$J$28:$K$34, 2, 0)</f>
        <v>Nordeste</v>
      </c>
      <c r="E338" s="87" t="str">
        <f>Tabela1[[#This Row],[Descrição]]&amp;"-"&amp;Tabela1[[#This Row],[Código]]&amp;"/"&amp;Tabela1[[#This Row],[Origem]]</f>
        <v>Matenecapi-H777H184/MA</v>
      </c>
      <c r="F338" s="88">
        <v>45648</v>
      </c>
      <c r="G338" s="88" t="str" cm="1">
        <f t="array" ref="G3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AND(F338&gt;= DATE(2026,1,1), F338&lt;= DATE(2028, 12, 31), J338&gt;50000), "Pendente e Caro", AND(F338&gt;= DATE(2026,1,1), F338&lt;= DATE(2028, 12, 31), J338&lt;=50000), "Pendente", F338&gt;= DATE(2029,1,1), "Não prioeitário")</f>
        <v>Urgente e Caro</v>
      </c>
      <c r="H338" s="89">
        <f>YEAR(Tabela1[[#This Row],[Data de Validade]])</f>
        <v>2024</v>
      </c>
      <c r="I338" s="89">
        <f>MONTH(Tabela1[[#This Row],[Data de Validade]])</f>
        <v>12</v>
      </c>
      <c r="J338" s="101">
        <v>65443</v>
      </c>
      <c r="K338" s="87" t="s">
        <v>7</v>
      </c>
      <c r="L338" s="108"/>
      <c r="M338" s="108"/>
      <c r="N338" s="108" t="str">
        <v>H777H184</v>
      </c>
      <c r="O338" s="108">
        <f t="shared" si="7"/>
        <v>1</v>
      </c>
      <c r="P338" s="108"/>
      <c r="Q338"/>
    </row>
    <row r="339" spans="1:17" x14ac:dyDescent="0.25">
      <c r="A339" s="89" t="s">
        <v>3766</v>
      </c>
      <c r="B339" s="87" t="s">
        <v>3767</v>
      </c>
      <c r="C339" s="87" t="s">
        <v>16</v>
      </c>
      <c r="D339" s="87" t="str">
        <f>VLOOKUP(Tabela1[[#This Row],[Origem]], 'Perguntas 1 a 24'!$J$28:$K$34, 2, 0)</f>
        <v>Sudeste</v>
      </c>
      <c r="E339" s="87" t="str">
        <f>Tabela1[[#This Row],[Descrição]]&amp;"-"&amp;Tabela1[[#This Row],[Código]]&amp;"/"&amp;Tabela1[[#This Row],[Origem]]</f>
        <v>Fevupanu-P173H123/MG</v>
      </c>
      <c r="F339" s="88">
        <v>45648</v>
      </c>
      <c r="G339" s="88" t="str" cm="1">
        <f t="array" ref="G3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AND(F339&gt;= DATE(2026,1,1), F339&lt;= DATE(2028, 12, 31), J339&gt;50000), "Pendente e Caro", AND(F339&gt;= DATE(2026,1,1), F339&lt;= DATE(2028, 12, 31), J339&lt;=50000), "Pendente", F339&gt;= DATE(2029,1,1), "Não prioeitário")</f>
        <v>Urgente e Caro</v>
      </c>
      <c r="H339" s="89">
        <f>YEAR(Tabela1[[#This Row],[Data de Validade]])</f>
        <v>2024</v>
      </c>
      <c r="I339" s="89">
        <f>MONTH(Tabela1[[#This Row],[Data de Validade]])</f>
        <v>12</v>
      </c>
      <c r="J339" s="101">
        <v>53658</v>
      </c>
      <c r="K339" s="87" t="s">
        <v>11</v>
      </c>
      <c r="L339" s="108"/>
      <c r="M339" s="108"/>
      <c r="N339" s="108" t="str">
        <v>P173H123</v>
      </c>
      <c r="O339" s="108">
        <f t="shared" si="7"/>
        <v>1</v>
      </c>
      <c r="P339" s="108"/>
      <c r="Q339"/>
    </row>
    <row r="340" spans="1:17" x14ac:dyDescent="0.25">
      <c r="A340" s="89" t="s">
        <v>11318</v>
      </c>
      <c r="B340" s="87" t="s">
        <v>11319</v>
      </c>
      <c r="C340" s="87" t="s">
        <v>10</v>
      </c>
      <c r="D340" s="87" t="str">
        <f>VLOOKUP(Tabela1[[#This Row],[Origem]], 'Perguntas 1 a 24'!$J$28:$K$34, 2, 0)</f>
        <v>Centro-Oeste</v>
      </c>
      <c r="E340" s="87" t="str">
        <f>Tabela1[[#This Row],[Descrição]]&amp;"-"&amp;Tabela1[[#This Row],[Código]]&amp;"/"&amp;Tabela1[[#This Row],[Origem]]</f>
        <v>Mafopolure-H535H586/GO</v>
      </c>
      <c r="F340" s="88">
        <v>45649</v>
      </c>
      <c r="G340" s="88" t="str" cm="1">
        <f t="array" ref="G3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AND(F340&gt;= DATE(2026,1,1), F340&lt;= DATE(2028, 12, 31), J340&gt;50000), "Pendente e Caro", AND(F340&gt;= DATE(2026,1,1), F340&lt;= DATE(2028, 12, 31), J340&lt;=50000), "Pendente", F340&gt;= DATE(2029,1,1), "Não prioeitário")</f>
        <v>Urgente e Caro</v>
      </c>
      <c r="H340" s="89">
        <f>YEAR(Tabela1[[#This Row],[Data de Validade]])</f>
        <v>2024</v>
      </c>
      <c r="I340" s="89">
        <f>MONTH(Tabela1[[#This Row],[Data de Validade]])</f>
        <v>12</v>
      </c>
      <c r="J340" s="101">
        <v>116644</v>
      </c>
      <c r="K340" s="87" t="s">
        <v>7</v>
      </c>
      <c r="L340" s="108"/>
      <c r="M340" s="108"/>
      <c r="N340" s="108" t="str">
        <v>H535H586</v>
      </c>
      <c r="O340" s="108">
        <f t="shared" si="7"/>
        <v>1</v>
      </c>
      <c r="P340" s="108"/>
      <c r="Q340"/>
    </row>
    <row r="341" spans="1:17" x14ac:dyDescent="0.25">
      <c r="A341" s="89" t="s">
        <v>5616</v>
      </c>
      <c r="B341" s="87" t="s">
        <v>5617</v>
      </c>
      <c r="C341" s="87" t="s">
        <v>15</v>
      </c>
      <c r="D341" s="87" t="str">
        <f>VLOOKUP(Tabela1[[#This Row],[Origem]], 'Perguntas 1 a 24'!$J$28:$K$34, 2, 0)</f>
        <v>Sudeste</v>
      </c>
      <c r="E341" s="87" t="str">
        <f>Tabela1[[#This Row],[Descrição]]&amp;"-"&amp;Tabela1[[#This Row],[Código]]&amp;"/"&amp;Tabela1[[#This Row],[Origem]]</f>
        <v>Cadimute-H182H856/ES</v>
      </c>
      <c r="F341" s="88">
        <v>45649</v>
      </c>
      <c r="G341" s="88" t="str" cm="1">
        <f t="array" ref="G3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AND(F341&gt;= DATE(2026,1,1), F341&lt;= DATE(2028, 12, 31), J341&gt;50000), "Pendente e Caro", AND(F341&gt;= DATE(2026,1,1), F341&lt;= DATE(2028, 12, 31), J341&lt;=50000), "Pendente", F341&gt;= DATE(2029,1,1), "Não prioeitário")</f>
        <v>Urgente</v>
      </c>
      <c r="H341" s="89">
        <f>YEAR(Tabela1[[#This Row],[Data de Validade]])</f>
        <v>2024</v>
      </c>
      <c r="I341" s="89">
        <f>MONTH(Tabela1[[#This Row],[Data de Validade]])</f>
        <v>12</v>
      </c>
      <c r="J341" s="101">
        <v>41116</v>
      </c>
      <c r="K341" s="87" t="s">
        <v>7</v>
      </c>
      <c r="L341" s="108"/>
      <c r="M341" s="108"/>
      <c r="N341" s="108" t="str">
        <v>H182H856</v>
      </c>
      <c r="O341" s="108">
        <f t="shared" si="7"/>
        <v>1</v>
      </c>
      <c r="P341" s="108"/>
      <c r="Q341"/>
    </row>
    <row r="342" spans="1:17" x14ac:dyDescent="0.25">
      <c r="A342" s="89" t="s">
        <v>9161</v>
      </c>
      <c r="B342" s="87" t="s">
        <v>9162</v>
      </c>
      <c r="C342" s="87" t="s">
        <v>8</v>
      </c>
      <c r="D342" s="87" t="str">
        <f>VLOOKUP(Tabela1[[#This Row],[Origem]], 'Perguntas 1 a 24'!$J$28:$K$34, 2, 0)</f>
        <v>Nordeste</v>
      </c>
      <c r="E342" s="87" t="str">
        <f>Tabela1[[#This Row],[Descrição]]&amp;"-"&amp;Tabela1[[#This Row],[Código]]&amp;"/"&amp;Tabela1[[#This Row],[Origem]]</f>
        <v>Ravavepuva-H893P969/AL</v>
      </c>
      <c r="F342" s="88">
        <v>45651</v>
      </c>
      <c r="G342" s="88" t="str" cm="1">
        <f t="array" ref="G3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AND(F342&gt;= DATE(2026,1,1), F342&lt;= DATE(2028, 12, 31), J342&gt;50000), "Pendente e Caro", AND(F342&gt;= DATE(2026,1,1), F342&lt;= DATE(2028, 12, 31), J342&lt;=50000), "Pendente", F342&gt;= DATE(2029,1,1), "Não prioeitário")</f>
        <v>Urgente e Caro</v>
      </c>
      <c r="H342" s="89">
        <f>YEAR(Tabela1[[#This Row],[Data de Validade]])</f>
        <v>2024</v>
      </c>
      <c r="I342" s="89">
        <f>MONTH(Tabela1[[#This Row],[Data de Validade]])</f>
        <v>12</v>
      </c>
      <c r="J342" s="101">
        <v>100229</v>
      </c>
      <c r="K342" s="87" t="s">
        <v>7</v>
      </c>
      <c r="L342" s="108"/>
      <c r="M342" s="108"/>
      <c r="N342" s="108" t="str">
        <v>H893P969</v>
      </c>
      <c r="O342" s="108">
        <f t="shared" si="7"/>
        <v>1</v>
      </c>
      <c r="P342" s="108"/>
      <c r="Q342"/>
    </row>
    <row r="343" spans="1:17" x14ac:dyDescent="0.25">
      <c r="A343" s="89" t="s">
        <v>10153</v>
      </c>
      <c r="B343" s="87" t="s">
        <v>10154</v>
      </c>
      <c r="C343" s="87" t="s">
        <v>6</v>
      </c>
      <c r="D343" s="87" t="str">
        <f>VLOOKUP(Tabela1[[#This Row],[Origem]], 'Perguntas 1 a 24'!$J$28:$K$34, 2, 0)</f>
        <v>Nordeste</v>
      </c>
      <c r="E343" s="87" t="str">
        <f>Tabela1[[#This Row],[Descrição]]&amp;"-"&amp;Tabela1[[#This Row],[Código]]&amp;"/"&amp;Tabela1[[#This Row],[Origem]]</f>
        <v>Farupopopu-P875H953/MA</v>
      </c>
      <c r="F343" s="88">
        <v>45651</v>
      </c>
      <c r="G343" s="88" t="str" cm="1">
        <f t="array" ref="G3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AND(F343&gt;= DATE(2026,1,1), F343&lt;= DATE(2028, 12, 31), J343&gt;50000), "Pendente e Caro", AND(F343&gt;= DATE(2026,1,1), F343&lt;= DATE(2028, 12, 31), J343&lt;=50000), "Pendente", F343&gt;= DATE(2029,1,1), "Não prioeitário")</f>
        <v>Urgente e Caro</v>
      </c>
      <c r="H343" s="89">
        <f>YEAR(Tabela1[[#This Row],[Data de Validade]])</f>
        <v>2024</v>
      </c>
      <c r="I343" s="89">
        <f>MONTH(Tabela1[[#This Row],[Data de Validade]])</f>
        <v>12</v>
      </c>
      <c r="J343" s="101">
        <v>72862</v>
      </c>
      <c r="K343" s="87" t="s">
        <v>14</v>
      </c>
      <c r="L343" s="108"/>
      <c r="M343" s="108"/>
      <c r="N343" s="108" t="str">
        <v>P875H953</v>
      </c>
      <c r="O343" s="108">
        <f t="shared" si="7"/>
        <v>1</v>
      </c>
      <c r="P343" s="108"/>
      <c r="Q343"/>
    </row>
    <row r="344" spans="1:17" x14ac:dyDescent="0.25">
      <c r="A344" s="89" t="s">
        <v>5908</v>
      </c>
      <c r="B344" s="87" t="s">
        <v>5909</v>
      </c>
      <c r="C344" s="87" t="s">
        <v>13</v>
      </c>
      <c r="D344" s="87" t="str">
        <f>VLOOKUP(Tabela1[[#This Row],[Origem]], 'Perguntas 1 a 24'!$J$28:$K$34, 2, 0)</f>
        <v>Sudeste</v>
      </c>
      <c r="E344" s="87" t="str">
        <f>Tabela1[[#This Row],[Descrição]]&amp;"-"&amp;Tabela1[[#This Row],[Código]]&amp;"/"&amp;Tabela1[[#This Row],[Origem]]</f>
        <v>Fanapu-H563H462/SP</v>
      </c>
      <c r="F344" s="88">
        <v>45651</v>
      </c>
      <c r="G344" s="88" t="str" cm="1">
        <f t="array" ref="G3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AND(F344&gt;= DATE(2026,1,1), F344&lt;= DATE(2028, 12, 31), J344&gt;50000), "Pendente e Caro", AND(F344&gt;= DATE(2026,1,1), F344&lt;= DATE(2028, 12, 31), J344&lt;=50000), "Pendente", F344&gt;= DATE(2029,1,1), "Não prioeitário")</f>
        <v>Urgente</v>
      </c>
      <c r="H344" s="89">
        <f>YEAR(Tabela1[[#This Row],[Data de Validade]])</f>
        <v>2024</v>
      </c>
      <c r="I344" s="89">
        <f>MONTH(Tabela1[[#This Row],[Data de Validade]])</f>
        <v>12</v>
      </c>
      <c r="J344" s="101">
        <v>31744</v>
      </c>
      <c r="K344" s="87" t="s">
        <v>14</v>
      </c>
      <c r="L344" s="108"/>
      <c r="M344" s="108"/>
      <c r="N344" s="108" t="str">
        <v>H563H462</v>
      </c>
      <c r="O344" s="108">
        <f t="shared" si="7"/>
        <v>1</v>
      </c>
      <c r="P344" s="108"/>
      <c r="Q344"/>
    </row>
    <row r="345" spans="1:17" x14ac:dyDescent="0.25">
      <c r="A345" s="89" t="s">
        <v>6212</v>
      </c>
      <c r="B345" s="87" t="s">
        <v>6213</v>
      </c>
      <c r="C345" s="87" t="s">
        <v>8</v>
      </c>
      <c r="D345" s="87" t="str">
        <f>VLOOKUP(Tabela1[[#This Row],[Origem]], 'Perguntas 1 a 24'!$J$28:$K$34, 2, 0)</f>
        <v>Nordeste</v>
      </c>
      <c r="E345" s="87" t="str">
        <f>Tabela1[[#This Row],[Descrição]]&amp;"-"&amp;Tabela1[[#This Row],[Código]]&amp;"/"&amp;Tabela1[[#This Row],[Origem]]</f>
        <v>Lulora-H585P621/AL</v>
      </c>
      <c r="F345" s="88">
        <v>45651</v>
      </c>
      <c r="G345" s="88" t="str" cm="1">
        <f t="array" ref="G3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AND(F345&gt;= DATE(2026,1,1), F345&lt;= DATE(2028, 12, 31), J345&gt;50000), "Pendente e Caro", AND(F345&gt;= DATE(2026,1,1), F345&lt;= DATE(2028, 12, 31), J345&lt;=50000), "Pendente", F345&gt;= DATE(2029,1,1), "Não prioeitário")</f>
        <v>Urgente</v>
      </c>
      <c r="H345" s="89">
        <f>YEAR(Tabela1[[#This Row],[Data de Validade]])</f>
        <v>2024</v>
      </c>
      <c r="I345" s="89">
        <f>MONTH(Tabela1[[#This Row],[Data de Validade]])</f>
        <v>12</v>
      </c>
      <c r="J345" s="101">
        <v>22443</v>
      </c>
      <c r="K345" s="87" t="s">
        <v>7</v>
      </c>
      <c r="L345" s="108"/>
      <c r="M345" s="108"/>
      <c r="N345" s="108" t="str">
        <v>H585P621</v>
      </c>
      <c r="O345" s="108">
        <f t="shared" si="7"/>
        <v>1</v>
      </c>
      <c r="P345" s="108"/>
      <c r="Q345"/>
    </row>
    <row r="346" spans="1:17" x14ac:dyDescent="0.25">
      <c r="A346" s="89" t="s">
        <v>9591</v>
      </c>
      <c r="B346" s="87" t="s">
        <v>9592</v>
      </c>
      <c r="C346" s="87" t="s">
        <v>10</v>
      </c>
      <c r="D346" s="87" t="str">
        <f>VLOOKUP(Tabela1[[#This Row],[Origem]], 'Perguntas 1 a 24'!$J$28:$K$34, 2, 0)</f>
        <v>Centro-Oeste</v>
      </c>
      <c r="E346" s="87" t="str">
        <f>Tabela1[[#This Row],[Descrição]]&amp;"-"&amp;Tabela1[[#This Row],[Código]]&amp;"/"&amp;Tabela1[[#This Row],[Origem]]</f>
        <v>Tefoli-H363H877/GO</v>
      </c>
      <c r="F346" s="88">
        <v>45652</v>
      </c>
      <c r="G346" s="88" t="str" cm="1">
        <f t="array" ref="G3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AND(F346&gt;= DATE(2026,1,1), F346&lt;= DATE(2028, 12, 31), J346&gt;50000), "Pendente e Caro", AND(F346&gt;= DATE(2026,1,1), F346&lt;= DATE(2028, 12, 31), J346&lt;=50000), "Pendente", F346&gt;= DATE(2029,1,1), "Não prioeitário")</f>
        <v>Urgente e Caro</v>
      </c>
      <c r="H346" s="89">
        <f>YEAR(Tabela1[[#This Row],[Data de Validade]])</f>
        <v>2024</v>
      </c>
      <c r="I346" s="89">
        <f>MONTH(Tabela1[[#This Row],[Data de Validade]])</f>
        <v>12</v>
      </c>
      <c r="J346" s="101">
        <v>70256</v>
      </c>
      <c r="K346" s="87" t="s">
        <v>14</v>
      </c>
      <c r="L346" s="108"/>
      <c r="M346" s="108"/>
      <c r="N346" s="108" t="str">
        <v>H363H877</v>
      </c>
      <c r="O346" s="108">
        <f t="shared" si="7"/>
        <v>1</v>
      </c>
      <c r="P346" s="108"/>
      <c r="Q346"/>
    </row>
    <row r="347" spans="1:17" x14ac:dyDescent="0.25">
      <c r="A347" s="89" t="s">
        <v>8849</v>
      </c>
      <c r="B347" s="87" t="s">
        <v>8850</v>
      </c>
      <c r="C347" s="87" t="s">
        <v>10</v>
      </c>
      <c r="D347" s="87" t="str">
        <f>VLOOKUP(Tabela1[[#This Row],[Origem]], 'Perguntas 1 a 24'!$J$28:$K$34, 2, 0)</f>
        <v>Centro-Oeste</v>
      </c>
      <c r="E347" s="87" t="str">
        <f>Tabela1[[#This Row],[Descrição]]&amp;"-"&amp;Tabela1[[#This Row],[Código]]&amp;"/"&amp;Tabela1[[#This Row],[Origem]]</f>
        <v>Dofici-H555H847/GO</v>
      </c>
      <c r="F347" s="88">
        <v>45652</v>
      </c>
      <c r="G347" s="88" t="str" cm="1">
        <f t="array" ref="G3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AND(F347&gt;= DATE(2026,1,1), F347&lt;= DATE(2028, 12, 31), J347&gt;50000), "Pendente e Caro", AND(F347&gt;= DATE(2026,1,1), F347&lt;= DATE(2028, 12, 31), J347&lt;=50000), "Pendente", F347&gt;= DATE(2029,1,1), "Não prioeitário")</f>
        <v>Urgente e Caro</v>
      </c>
      <c r="H347" s="89">
        <f>YEAR(Tabela1[[#This Row],[Data de Validade]])</f>
        <v>2024</v>
      </c>
      <c r="I347" s="89">
        <f>MONTH(Tabela1[[#This Row],[Data de Validade]])</f>
        <v>12</v>
      </c>
      <c r="J347" s="101">
        <v>69974</v>
      </c>
      <c r="K347" s="87" t="s">
        <v>9</v>
      </c>
      <c r="L347" s="108"/>
      <c r="M347" s="108"/>
      <c r="N347" s="108" t="str">
        <v>H555H847</v>
      </c>
      <c r="O347" s="108">
        <f t="shared" si="7"/>
        <v>1</v>
      </c>
      <c r="P347" s="108"/>
      <c r="Q347"/>
    </row>
    <row r="348" spans="1:17" x14ac:dyDescent="0.25">
      <c r="A348" s="89" t="s">
        <v>6964</v>
      </c>
      <c r="B348" s="87" t="s">
        <v>6965</v>
      </c>
      <c r="C348" s="87" t="s">
        <v>16</v>
      </c>
      <c r="D348" s="87" t="str">
        <f>VLOOKUP(Tabela1[[#This Row],[Origem]], 'Perguntas 1 a 24'!$J$28:$K$34, 2, 0)</f>
        <v>Sudeste</v>
      </c>
      <c r="E348" s="87" t="str">
        <f>Tabela1[[#This Row],[Descrição]]&amp;"-"&amp;Tabela1[[#This Row],[Código]]&amp;"/"&amp;Tabela1[[#This Row],[Origem]]</f>
        <v>Lipulote-P772P158/MG</v>
      </c>
      <c r="F348" s="88">
        <v>45653</v>
      </c>
      <c r="G348" s="88" t="str" cm="1">
        <f t="array" ref="G3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AND(F348&gt;= DATE(2026,1,1), F348&lt;= DATE(2028, 12, 31), J348&gt;50000), "Pendente e Caro", AND(F348&gt;= DATE(2026,1,1), F348&lt;= DATE(2028, 12, 31), J348&lt;=50000), "Pendente", F348&gt;= DATE(2029,1,1), "Não prioeitário")</f>
        <v>Urgente e Caro</v>
      </c>
      <c r="H348" s="89">
        <f>YEAR(Tabela1[[#This Row],[Data de Validade]])</f>
        <v>2024</v>
      </c>
      <c r="I348" s="89">
        <f>MONTH(Tabela1[[#This Row],[Data de Validade]])</f>
        <v>12</v>
      </c>
      <c r="J348" s="101">
        <v>115794</v>
      </c>
      <c r="K348" s="87" t="s">
        <v>11</v>
      </c>
      <c r="L348" s="108"/>
      <c r="M348" s="108"/>
      <c r="N348" s="108" t="str">
        <v>P772P158</v>
      </c>
      <c r="O348" s="108">
        <f t="shared" si="7"/>
        <v>1</v>
      </c>
      <c r="P348" s="108"/>
      <c r="Q348"/>
    </row>
    <row r="349" spans="1:17" x14ac:dyDescent="0.25">
      <c r="A349" s="89" t="s">
        <v>11198</v>
      </c>
      <c r="B349" s="87" t="s">
        <v>11199</v>
      </c>
      <c r="C349" s="87" t="s">
        <v>10</v>
      </c>
      <c r="D349" s="87" t="str">
        <f>VLOOKUP(Tabela1[[#This Row],[Origem]], 'Perguntas 1 a 24'!$J$28:$K$34, 2, 0)</f>
        <v>Centro-Oeste</v>
      </c>
      <c r="E349" s="87" t="str">
        <f>Tabela1[[#This Row],[Descrição]]&amp;"-"&amp;Tabela1[[#This Row],[Código]]&amp;"/"&amp;Tabela1[[#This Row],[Origem]]</f>
        <v>Nagatute-P297H296/GO</v>
      </c>
      <c r="F349" s="88">
        <v>45653</v>
      </c>
      <c r="G349" s="88" t="str" cm="1">
        <f t="array" ref="G3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AND(F349&gt;= DATE(2026,1,1), F349&lt;= DATE(2028, 12, 31), J349&gt;50000), "Pendente e Caro", AND(F349&gt;= DATE(2026,1,1), F349&lt;= DATE(2028, 12, 31), J349&lt;=50000), "Pendente", F349&gt;= DATE(2029,1,1), "Não prioeitário")</f>
        <v>Urgente e Caro</v>
      </c>
      <c r="H349" s="89">
        <f>YEAR(Tabela1[[#This Row],[Data de Validade]])</f>
        <v>2024</v>
      </c>
      <c r="I349" s="89">
        <f>MONTH(Tabela1[[#This Row],[Data de Validade]])</f>
        <v>12</v>
      </c>
      <c r="J349" s="101">
        <v>114100</v>
      </c>
      <c r="K349" s="87" t="s">
        <v>9</v>
      </c>
      <c r="L349" s="108"/>
      <c r="M349" s="108"/>
      <c r="N349" s="108" t="str">
        <v>P297H296</v>
      </c>
      <c r="O349" s="108">
        <f t="shared" si="7"/>
        <v>1</v>
      </c>
      <c r="P349" s="108"/>
      <c r="Q349"/>
    </row>
    <row r="350" spans="1:17" x14ac:dyDescent="0.25">
      <c r="A350" s="89" t="s">
        <v>7996</v>
      </c>
      <c r="B350" s="87" t="s">
        <v>7997</v>
      </c>
      <c r="C350" s="87" t="s">
        <v>10</v>
      </c>
      <c r="D350" s="87" t="str">
        <f>VLOOKUP(Tabela1[[#This Row],[Origem]], 'Perguntas 1 a 24'!$J$28:$K$34, 2, 0)</f>
        <v>Centro-Oeste</v>
      </c>
      <c r="E350" s="87" t="str">
        <f>Tabela1[[#This Row],[Descrição]]&amp;"-"&amp;Tabela1[[#This Row],[Código]]&amp;"/"&amp;Tabela1[[#This Row],[Origem]]</f>
        <v>Pupufu-H453P286/GO</v>
      </c>
      <c r="F350" s="88">
        <v>45653</v>
      </c>
      <c r="G350" s="88" t="str" cm="1">
        <f t="array" ref="G3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AND(F350&gt;= DATE(2026,1,1), F350&lt;= DATE(2028, 12, 31), J350&gt;50000), "Pendente e Caro", AND(F350&gt;= DATE(2026,1,1), F350&lt;= DATE(2028, 12, 31), J350&lt;=50000), "Pendente", F350&gt;= DATE(2029,1,1), "Não prioeitário")</f>
        <v>Urgente e Caro</v>
      </c>
      <c r="H350" s="89">
        <f>YEAR(Tabela1[[#This Row],[Data de Validade]])</f>
        <v>2024</v>
      </c>
      <c r="I350" s="89">
        <f>MONTH(Tabela1[[#This Row],[Data de Validade]])</f>
        <v>12</v>
      </c>
      <c r="J350" s="101">
        <v>83882</v>
      </c>
      <c r="K350" s="87" t="s">
        <v>7</v>
      </c>
      <c r="L350" s="108"/>
      <c r="M350" s="108"/>
      <c r="N350" s="108" t="str">
        <v>H453P286</v>
      </c>
      <c r="O350" s="108">
        <f t="shared" si="7"/>
        <v>1</v>
      </c>
      <c r="P350" s="108"/>
      <c r="Q350"/>
    </row>
    <row r="351" spans="1:17" x14ac:dyDescent="0.25">
      <c r="A351" s="89" t="s">
        <v>8547</v>
      </c>
      <c r="B351" s="87" t="s">
        <v>8548</v>
      </c>
      <c r="C351" s="87" t="s">
        <v>13</v>
      </c>
      <c r="D351" s="87" t="str">
        <f>VLOOKUP(Tabela1[[#This Row],[Origem]], 'Perguntas 1 a 24'!$J$28:$K$34, 2, 0)</f>
        <v>Sudeste</v>
      </c>
      <c r="E351" s="87" t="str">
        <f>Tabela1[[#This Row],[Descrição]]&amp;"-"&amp;Tabela1[[#This Row],[Código]]&amp;"/"&amp;Tabela1[[#This Row],[Origem]]</f>
        <v>Vapice-P298H266/SP</v>
      </c>
      <c r="F351" s="88">
        <v>45653</v>
      </c>
      <c r="G351" s="88" t="str" cm="1">
        <f t="array" ref="G3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AND(F351&gt;= DATE(2026,1,1), F351&lt;= DATE(2028, 12, 31), J351&gt;50000), "Pendente e Caro", AND(F351&gt;= DATE(2026,1,1), F351&lt;= DATE(2028, 12, 31), J351&lt;=50000), "Pendente", F351&gt;= DATE(2029,1,1), "Não prioeitário")</f>
        <v>Urgente e Caro</v>
      </c>
      <c r="H351" s="89">
        <f>YEAR(Tabela1[[#This Row],[Data de Validade]])</f>
        <v>2024</v>
      </c>
      <c r="I351" s="89">
        <f>MONTH(Tabela1[[#This Row],[Data de Validade]])</f>
        <v>12</v>
      </c>
      <c r="J351" s="101">
        <v>83434</v>
      </c>
      <c r="K351" s="87" t="s">
        <v>9</v>
      </c>
      <c r="L351" s="108"/>
      <c r="M351" s="108"/>
      <c r="N351" s="108" t="str">
        <v>P298H266</v>
      </c>
      <c r="O351" s="108">
        <f t="shared" si="7"/>
        <v>1</v>
      </c>
      <c r="P351" s="108"/>
      <c r="Q351"/>
    </row>
    <row r="352" spans="1:17" x14ac:dyDescent="0.25">
      <c r="A352" s="89" t="s">
        <v>5786</v>
      </c>
      <c r="B352" s="87" t="s">
        <v>5787</v>
      </c>
      <c r="C352" s="87" t="s">
        <v>6</v>
      </c>
      <c r="D352" s="87" t="str">
        <f>VLOOKUP(Tabela1[[#This Row],[Origem]], 'Perguntas 1 a 24'!$J$28:$K$34, 2, 0)</f>
        <v>Nordeste</v>
      </c>
      <c r="E352" s="87" t="str">
        <f>Tabela1[[#This Row],[Descrição]]&amp;"-"&amp;Tabela1[[#This Row],[Código]]&amp;"/"&amp;Tabela1[[#This Row],[Origem]]</f>
        <v>Diteciname-H292H233/MA</v>
      </c>
      <c r="F352" s="88">
        <v>45653</v>
      </c>
      <c r="G352" s="88" t="str" cm="1">
        <f t="array" ref="G3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AND(F352&gt;= DATE(2026,1,1), F352&lt;= DATE(2028, 12, 31), J352&gt;50000), "Pendente e Caro", AND(F352&gt;= DATE(2026,1,1), F352&lt;= DATE(2028, 12, 31), J352&lt;=50000), "Pendente", F352&gt;= DATE(2029,1,1), "Não prioeitário")</f>
        <v>Urgente e Caro</v>
      </c>
      <c r="H352" s="89">
        <f>YEAR(Tabela1[[#This Row],[Data de Validade]])</f>
        <v>2024</v>
      </c>
      <c r="I352" s="89">
        <f>MONTH(Tabela1[[#This Row],[Data de Validade]])</f>
        <v>12</v>
      </c>
      <c r="J352" s="101">
        <v>82946</v>
      </c>
      <c r="K352" s="87" t="s">
        <v>14</v>
      </c>
      <c r="L352" s="108"/>
      <c r="M352" s="108"/>
      <c r="N352" s="108" t="str">
        <v>H292H233</v>
      </c>
      <c r="O352" s="108">
        <f t="shared" si="7"/>
        <v>1</v>
      </c>
      <c r="P352" s="108"/>
      <c r="Q352"/>
    </row>
    <row r="353" spans="1:17" x14ac:dyDescent="0.25">
      <c r="A353" s="89" t="s">
        <v>4908</v>
      </c>
      <c r="B353" s="87" t="s">
        <v>4909</v>
      </c>
      <c r="C353" s="87" t="s">
        <v>15</v>
      </c>
      <c r="D353" s="87" t="str">
        <f>VLOOKUP(Tabela1[[#This Row],[Origem]], 'Perguntas 1 a 24'!$J$28:$K$34, 2, 0)</f>
        <v>Sudeste</v>
      </c>
      <c r="E353" s="87" t="str">
        <f>Tabela1[[#This Row],[Descrição]]&amp;"-"&amp;Tabela1[[#This Row],[Código]]&amp;"/"&amp;Tabela1[[#This Row],[Origem]]</f>
        <v>Pipila-H968P861/ES</v>
      </c>
      <c r="F353" s="88">
        <v>45653</v>
      </c>
      <c r="G353" s="88" t="str" cm="1">
        <f t="array" ref="G3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AND(F353&gt;= DATE(2026,1,1), F353&lt;= DATE(2028, 12, 31), J353&gt;50000), "Pendente e Caro", AND(F353&gt;= DATE(2026,1,1), F353&lt;= DATE(2028, 12, 31), J353&lt;=50000), "Pendente", F353&gt;= DATE(2029,1,1), "Não prioeitário")</f>
        <v>Urgente e Caro</v>
      </c>
      <c r="H353" s="89">
        <f>YEAR(Tabela1[[#This Row],[Data de Validade]])</f>
        <v>2024</v>
      </c>
      <c r="I353" s="89">
        <f>MONTH(Tabela1[[#This Row],[Data de Validade]])</f>
        <v>12</v>
      </c>
      <c r="J353" s="101">
        <v>68167</v>
      </c>
      <c r="K353" s="87" t="s">
        <v>9</v>
      </c>
      <c r="L353" s="108"/>
      <c r="M353" s="108"/>
      <c r="N353" s="108" t="str">
        <v>H968P861</v>
      </c>
      <c r="O353" s="108">
        <f t="shared" si="7"/>
        <v>1</v>
      </c>
      <c r="P353" s="108"/>
      <c r="Q353"/>
    </row>
    <row r="354" spans="1:17" x14ac:dyDescent="0.25">
      <c r="A354" s="89" t="s">
        <v>10971</v>
      </c>
      <c r="B354" s="87" t="s">
        <v>10972</v>
      </c>
      <c r="C354" s="87" t="s">
        <v>12</v>
      </c>
      <c r="D354" s="87" t="str">
        <f>VLOOKUP(Tabela1[[#This Row],[Origem]], 'Perguntas 1 a 24'!$J$28:$K$34, 2, 0)</f>
        <v>Sudeste</v>
      </c>
      <c r="E354" s="87" t="str">
        <f>Tabela1[[#This Row],[Descrição]]&amp;"-"&amp;Tabela1[[#This Row],[Código]]&amp;"/"&amp;Tabela1[[#This Row],[Origem]]</f>
        <v>Rifitu-H787P923/RJ</v>
      </c>
      <c r="F354" s="88">
        <v>45654</v>
      </c>
      <c r="G354" s="88" t="str" cm="1">
        <f t="array" ref="G3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AND(F354&gt;= DATE(2026,1,1), F354&lt;= DATE(2028, 12, 31), J354&gt;50000), "Pendente e Caro", AND(F354&gt;= DATE(2026,1,1), F354&lt;= DATE(2028, 12, 31), J354&lt;=50000), "Pendente", F354&gt;= DATE(2029,1,1), "Não prioeitário")</f>
        <v>Urgente e Caro</v>
      </c>
      <c r="H354" s="89">
        <f>YEAR(Tabela1[[#This Row],[Data de Validade]])</f>
        <v>2024</v>
      </c>
      <c r="I354" s="89">
        <f>MONTH(Tabela1[[#This Row],[Data de Validade]])</f>
        <v>12</v>
      </c>
      <c r="J354" s="101">
        <v>66322</v>
      </c>
      <c r="K354" s="87" t="s">
        <v>9</v>
      </c>
      <c r="L354" s="108"/>
      <c r="M354" s="108"/>
      <c r="N354" s="108" t="str">
        <v>H787P923</v>
      </c>
      <c r="O354" s="108">
        <f t="shared" si="7"/>
        <v>1</v>
      </c>
      <c r="P354" s="108"/>
      <c r="Q354"/>
    </row>
    <row r="355" spans="1:17" x14ac:dyDescent="0.25">
      <c r="A355" s="89" t="s">
        <v>6898</v>
      </c>
      <c r="B355" s="87" t="s">
        <v>6899</v>
      </c>
      <c r="C355" s="87" t="s">
        <v>13</v>
      </c>
      <c r="D355" s="87" t="str">
        <f>VLOOKUP(Tabela1[[#This Row],[Origem]], 'Perguntas 1 a 24'!$J$28:$K$34, 2, 0)</f>
        <v>Sudeste</v>
      </c>
      <c r="E355" s="87" t="str">
        <f>Tabela1[[#This Row],[Descrição]]&amp;"-"&amp;Tabela1[[#This Row],[Código]]&amp;"/"&amp;Tabela1[[#This Row],[Origem]]</f>
        <v>Pepanigeta-P449H364/SP</v>
      </c>
      <c r="F355" s="88">
        <v>45655</v>
      </c>
      <c r="G355" s="88" t="str" cm="1">
        <f t="array" ref="G3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AND(F355&gt;= DATE(2026,1,1), F355&lt;= DATE(2028, 12, 31), J355&gt;50000), "Pendente e Caro", AND(F355&gt;= DATE(2026,1,1), F355&lt;= DATE(2028, 12, 31), J355&lt;=50000), "Pendente", F355&gt;= DATE(2029,1,1), "Não prioeitário")</f>
        <v>Urgente e Caro</v>
      </c>
      <c r="H355" s="89">
        <f>YEAR(Tabela1[[#This Row],[Data de Validade]])</f>
        <v>2024</v>
      </c>
      <c r="I355" s="89">
        <f>MONTH(Tabela1[[#This Row],[Data de Validade]])</f>
        <v>12</v>
      </c>
      <c r="J355" s="101">
        <v>79649</v>
      </c>
      <c r="K355" s="87" t="s">
        <v>7</v>
      </c>
      <c r="L355" s="108"/>
      <c r="M355" s="108"/>
      <c r="N355" s="108" t="str">
        <v>P449H364</v>
      </c>
      <c r="O355" s="108">
        <f t="shared" si="7"/>
        <v>1</v>
      </c>
      <c r="P355" s="108"/>
      <c r="Q355"/>
    </row>
    <row r="356" spans="1:17" x14ac:dyDescent="0.25">
      <c r="A356" s="89" t="s">
        <v>7516</v>
      </c>
      <c r="B356" s="87" t="s">
        <v>7517</v>
      </c>
      <c r="C356" s="87" t="s">
        <v>10</v>
      </c>
      <c r="D356" s="87" t="str">
        <f>VLOOKUP(Tabela1[[#This Row],[Origem]], 'Perguntas 1 a 24'!$J$28:$K$34, 2, 0)</f>
        <v>Centro-Oeste</v>
      </c>
      <c r="E356" s="87" t="str">
        <f>Tabela1[[#This Row],[Descrição]]&amp;"-"&amp;Tabela1[[#This Row],[Código]]&amp;"/"&amp;Tabela1[[#This Row],[Origem]]</f>
        <v>Retera-P998H818/GO</v>
      </c>
      <c r="F356" s="88">
        <v>45656</v>
      </c>
      <c r="G356" s="88" t="str" cm="1">
        <f t="array" ref="G3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AND(F356&gt;= DATE(2026,1,1), F356&lt;= DATE(2028, 12, 31), J356&gt;50000), "Pendente e Caro", AND(F356&gt;= DATE(2026,1,1), F356&lt;= DATE(2028, 12, 31), J356&lt;=50000), "Pendente", F356&gt;= DATE(2029,1,1), "Não prioeitário")</f>
        <v>Urgente e Caro</v>
      </c>
      <c r="H356" s="89">
        <f>YEAR(Tabela1[[#This Row],[Data de Validade]])</f>
        <v>2024</v>
      </c>
      <c r="I356" s="89">
        <f>MONTH(Tabela1[[#This Row],[Data de Validade]])</f>
        <v>12</v>
      </c>
      <c r="J356" s="101">
        <v>79460</v>
      </c>
      <c r="K356" s="87" t="s">
        <v>7</v>
      </c>
      <c r="L356" s="108"/>
      <c r="M356" s="108"/>
      <c r="N356" s="108" t="str">
        <v>P998H818</v>
      </c>
      <c r="O356" s="108">
        <f t="shared" si="7"/>
        <v>1</v>
      </c>
      <c r="P356" s="108"/>
      <c r="Q356"/>
    </row>
    <row r="357" spans="1:17" x14ac:dyDescent="0.25">
      <c r="A357" s="89" t="s">
        <v>9133</v>
      </c>
      <c r="B357" s="87" t="s">
        <v>9134</v>
      </c>
      <c r="C357" s="87" t="s">
        <v>16</v>
      </c>
      <c r="D357" s="87" t="str">
        <f>VLOOKUP(Tabela1[[#This Row],[Origem]], 'Perguntas 1 a 24'!$J$28:$K$34, 2, 0)</f>
        <v>Sudeste</v>
      </c>
      <c r="E357" s="87" t="str">
        <f>Tabela1[[#This Row],[Descrição]]&amp;"-"&amp;Tabela1[[#This Row],[Código]]&amp;"/"&amp;Tabela1[[#This Row],[Origem]]</f>
        <v>Finoni-P486P496/MG</v>
      </c>
      <c r="F357" s="88">
        <v>45656</v>
      </c>
      <c r="G357" s="88" t="str" cm="1">
        <f t="array" ref="G3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AND(F357&gt;= DATE(2026,1,1), F357&lt;= DATE(2028, 12, 31), J357&gt;50000), "Pendente e Caro", AND(F357&gt;= DATE(2026,1,1), F357&lt;= DATE(2028, 12, 31), J357&lt;=50000), "Pendente", F357&gt;= DATE(2029,1,1), "Não prioeitário")</f>
        <v>Urgente e Caro</v>
      </c>
      <c r="H357" s="89">
        <f>YEAR(Tabela1[[#This Row],[Data de Validade]])</f>
        <v>2024</v>
      </c>
      <c r="I357" s="89">
        <f>MONTH(Tabela1[[#This Row],[Data de Validade]])</f>
        <v>12</v>
      </c>
      <c r="J357" s="101">
        <v>66906</v>
      </c>
      <c r="K357" s="87" t="s">
        <v>11</v>
      </c>
      <c r="L357" s="108"/>
      <c r="M357" s="108"/>
      <c r="N357" s="108" t="str">
        <v>P486P496</v>
      </c>
      <c r="O357" s="108">
        <f t="shared" si="7"/>
        <v>1</v>
      </c>
      <c r="P357" s="108"/>
      <c r="Q357"/>
    </row>
    <row r="358" spans="1:17" x14ac:dyDescent="0.25">
      <c r="A358" s="89" t="s">
        <v>10245</v>
      </c>
      <c r="B358" s="87" t="s">
        <v>10246</v>
      </c>
      <c r="C358" s="87" t="s">
        <v>13</v>
      </c>
      <c r="D358" s="87" t="str">
        <f>VLOOKUP(Tabela1[[#This Row],[Origem]], 'Perguntas 1 a 24'!$J$28:$K$34, 2, 0)</f>
        <v>Sudeste</v>
      </c>
      <c r="E358" s="87" t="str">
        <f>Tabela1[[#This Row],[Descrição]]&amp;"-"&amp;Tabela1[[#This Row],[Código]]&amp;"/"&amp;Tabela1[[#This Row],[Origem]]</f>
        <v>Demicipo-H316P233/SP</v>
      </c>
      <c r="F358" s="88">
        <v>45658</v>
      </c>
      <c r="G358" s="88" t="str" cm="1">
        <f t="array" ref="G3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AND(F358&gt;= DATE(2026,1,1), F358&lt;= DATE(2028, 12, 31), J358&gt;50000), "Pendente e Caro", AND(F358&gt;= DATE(2026,1,1), F358&lt;= DATE(2028, 12, 31), J358&lt;=50000), "Pendente", F358&gt;= DATE(2029,1,1), "Não prioeitário")</f>
        <v>Urgente e Caro</v>
      </c>
      <c r="H358" s="89">
        <f>YEAR(Tabela1[[#This Row],[Data de Validade]])</f>
        <v>2025</v>
      </c>
      <c r="I358" s="89">
        <f>MONTH(Tabela1[[#This Row],[Data de Validade]])</f>
        <v>1</v>
      </c>
      <c r="J358" s="101">
        <v>95425</v>
      </c>
      <c r="K358" s="87" t="s">
        <v>9</v>
      </c>
      <c r="L358" s="108"/>
      <c r="M358" s="108"/>
      <c r="N358" s="108" t="str">
        <v>H316P233</v>
      </c>
      <c r="O358" s="108">
        <f t="shared" si="7"/>
        <v>1</v>
      </c>
      <c r="P358" s="108"/>
      <c r="Q358"/>
    </row>
    <row r="359" spans="1:17" x14ac:dyDescent="0.25">
      <c r="A359" s="89" t="s">
        <v>9339</v>
      </c>
      <c r="B359" s="87" t="s">
        <v>9340</v>
      </c>
      <c r="C359" s="87" t="s">
        <v>8</v>
      </c>
      <c r="D359" s="87" t="str">
        <f>VLOOKUP(Tabela1[[#This Row],[Origem]], 'Perguntas 1 a 24'!$J$28:$K$34, 2, 0)</f>
        <v>Nordeste</v>
      </c>
      <c r="E359" s="87" t="str">
        <f>Tabela1[[#This Row],[Descrição]]&amp;"-"&amp;Tabela1[[#This Row],[Código]]&amp;"/"&amp;Tabela1[[#This Row],[Origem]]</f>
        <v>Podatopiti-H222H171/AL</v>
      </c>
      <c r="F359" s="88">
        <v>45658</v>
      </c>
      <c r="G359" s="88" t="str" cm="1">
        <f t="array" ref="G3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AND(F359&gt;= DATE(2026,1,1), F359&lt;= DATE(2028, 12, 31), J359&gt;50000), "Pendente e Caro", AND(F359&gt;= DATE(2026,1,1), F359&lt;= DATE(2028, 12, 31), J359&lt;=50000), "Pendente", F359&gt;= DATE(2029,1,1), "Não prioeitário")</f>
        <v>Urgente e Caro</v>
      </c>
      <c r="H359" s="89">
        <f>YEAR(Tabela1[[#This Row],[Data de Validade]])</f>
        <v>2025</v>
      </c>
      <c r="I359" s="89">
        <f>MONTH(Tabela1[[#This Row],[Data de Validade]])</f>
        <v>1</v>
      </c>
      <c r="J359" s="101">
        <v>53115</v>
      </c>
      <c r="K359" s="87" t="s">
        <v>7</v>
      </c>
      <c r="L359" s="108"/>
      <c r="M359" s="108"/>
      <c r="N359" s="108" t="str">
        <v>H222H171</v>
      </c>
      <c r="O359" s="108">
        <f t="shared" si="7"/>
        <v>1</v>
      </c>
      <c r="P359" s="108"/>
      <c r="Q359"/>
    </row>
    <row r="360" spans="1:17" x14ac:dyDescent="0.25">
      <c r="A360" s="89" t="s">
        <v>10203</v>
      </c>
      <c r="B360" s="87" t="s">
        <v>10204</v>
      </c>
      <c r="C360" s="87" t="s">
        <v>10</v>
      </c>
      <c r="D360" s="87" t="str">
        <f>VLOOKUP(Tabela1[[#This Row],[Origem]], 'Perguntas 1 a 24'!$J$28:$K$34, 2, 0)</f>
        <v>Centro-Oeste</v>
      </c>
      <c r="E360" s="87" t="str">
        <f>Tabela1[[#This Row],[Descrição]]&amp;"-"&amp;Tabela1[[#This Row],[Código]]&amp;"/"&amp;Tabela1[[#This Row],[Origem]]</f>
        <v>Timupuri-H874P747/GO</v>
      </c>
      <c r="F360" s="88">
        <v>45659</v>
      </c>
      <c r="G360" s="88" t="str" cm="1">
        <f t="array" ref="G3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AND(F360&gt;= DATE(2026,1,1), F360&lt;= DATE(2028, 12, 31), J360&gt;50000), "Pendente e Caro", AND(F360&gt;= DATE(2026,1,1), F360&lt;= DATE(2028, 12, 31), J360&lt;=50000), "Pendente", F360&gt;= DATE(2029,1,1), "Não prioeitário")</f>
        <v>Urgente</v>
      </c>
      <c r="H360" s="89">
        <f>YEAR(Tabela1[[#This Row],[Data de Validade]])</f>
        <v>2025</v>
      </c>
      <c r="I360" s="89">
        <f>MONTH(Tabela1[[#This Row],[Data de Validade]])</f>
        <v>1</v>
      </c>
      <c r="J360" s="101">
        <v>25800</v>
      </c>
      <c r="K360" s="87" t="s">
        <v>9</v>
      </c>
      <c r="L360" s="108"/>
      <c r="M360" s="108"/>
      <c r="N360" s="108" t="str">
        <v>H874P747</v>
      </c>
      <c r="O360" s="108">
        <f t="shared" si="7"/>
        <v>1</v>
      </c>
      <c r="P360" s="108"/>
      <c r="Q360"/>
    </row>
    <row r="361" spans="1:17" x14ac:dyDescent="0.25">
      <c r="A361" s="89" t="s">
        <v>7184</v>
      </c>
      <c r="B361" s="87" t="s">
        <v>7185</v>
      </c>
      <c r="C361" s="87" t="s">
        <v>15</v>
      </c>
      <c r="D361" s="87" t="str">
        <f>VLOOKUP(Tabela1[[#This Row],[Origem]], 'Perguntas 1 a 24'!$J$28:$K$34, 2, 0)</f>
        <v>Sudeste</v>
      </c>
      <c r="E361" s="87" t="str">
        <f>Tabela1[[#This Row],[Descrição]]&amp;"-"&amp;Tabela1[[#This Row],[Código]]&amp;"/"&amp;Tabela1[[#This Row],[Origem]]</f>
        <v>Gefodufo-H772H663/ES</v>
      </c>
      <c r="F361" s="88">
        <v>45661</v>
      </c>
      <c r="G361" s="88" t="str" cm="1">
        <f t="array" ref="G3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AND(F361&gt;= DATE(2026,1,1), F361&lt;= DATE(2028, 12, 31), J361&gt;50000), "Pendente e Caro", AND(F361&gt;= DATE(2026,1,1), F361&lt;= DATE(2028, 12, 31), J361&lt;=50000), "Pendente", F361&gt;= DATE(2029,1,1), "Não prioeitário")</f>
        <v>Urgente e Caro</v>
      </c>
      <c r="H361" s="89">
        <f>YEAR(Tabela1[[#This Row],[Data de Validade]])</f>
        <v>2025</v>
      </c>
      <c r="I361" s="89">
        <f>MONTH(Tabela1[[#This Row],[Data de Validade]])</f>
        <v>1</v>
      </c>
      <c r="J361" s="101">
        <v>81197</v>
      </c>
      <c r="K361" s="87" t="s">
        <v>7</v>
      </c>
      <c r="L361" s="108"/>
      <c r="M361" s="108"/>
      <c r="N361" s="108" t="str">
        <v>H772H663</v>
      </c>
      <c r="O361" s="108">
        <f t="shared" si="7"/>
        <v>1</v>
      </c>
      <c r="P361" s="108"/>
      <c r="Q361"/>
    </row>
    <row r="362" spans="1:17" x14ac:dyDescent="0.25">
      <c r="A362" s="89" t="s">
        <v>3952</v>
      </c>
      <c r="B362" s="87" t="s">
        <v>3953</v>
      </c>
      <c r="C362" s="87" t="s">
        <v>12</v>
      </c>
      <c r="D362" s="87" t="str">
        <f>VLOOKUP(Tabela1[[#This Row],[Origem]], 'Perguntas 1 a 24'!$J$28:$K$34, 2, 0)</f>
        <v>Sudeste</v>
      </c>
      <c r="E362" s="87" t="str">
        <f>Tabela1[[#This Row],[Descrição]]&amp;"-"&amp;Tabela1[[#This Row],[Código]]&amp;"/"&amp;Tabela1[[#This Row],[Origem]]</f>
        <v>Fudotemi-P753H951/RJ</v>
      </c>
      <c r="F362" s="88">
        <v>45661</v>
      </c>
      <c r="G362" s="88" t="str" cm="1">
        <f t="array" ref="G3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AND(F362&gt;= DATE(2026,1,1), F362&lt;= DATE(2028, 12, 31), J362&gt;50000), "Pendente e Caro", AND(F362&gt;= DATE(2026,1,1), F362&lt;= DATE(2028, 12, 31), J362&lt;=50000), "Pendente", F362&gt;= DATE(2029,1,1), "Não prioeitário")</f>
        <v>Urgente e Caro</v>
      </c>
      <c r="H362" s="89">
        <f>YEAR(Tabela1[[#This Row],[Data de Validade]])</f>
        <v>2025</v>
      </c>
      <c r="I362" s="89">
        <f>MONTH(Tabela1[[#This Row],[Data de Validade]])</f>
        <v>1</v>
      </c>
      <c r="J362" s="101">
        <v>65948</v>
      </c>
      <c r="K362" s="87" t="s">
        <v>7</v>
      </c>
      <c r="L362" s="108"/>
      <c r="M362" s="108"/>
      <c r="N362" s="108" t="str">
        <v>P753H951</v>
      </c>
      <c r="O362" s="108">
        <f t="shared" si="7"/>
        <v>1</v>
      </c>
      <c r="P362" s="108"/>
      <c r="Q362"/>
    </row>
    <row r="363" spans="1:17" x14ac:dyDescent="0.25">
      <c r="A363" s="89" t="s">
        <v>10947</v>
      </c>
      <c r="B363" s="87" t="s">
        <v>10948</v>
      </c>
      <c r="C363" s="87" t="s">
        <v>12</v>
      </c>
      <c r="D363" s="87" t="str">
        <f>VLOOKUP(Tabela1[[#This Row],[Origem]], 'Perguntas 1 a 24'!$J$28:$K$34, 2, 0)</f>
        <v>Sudeste</v>
      </c>
      <c r="E363" s="87" t="str">
        <f>Tabela1[[#This Row],[Descrição]]&amp;"-"&amp;Tabela1[[#This Row],[Código]]&amp;"/"&amp;Tabela1[[#This Row],[Origem]]</f>
        <v>Pipetegevu-H475H588/RJ</v>
      </c>
      <c r="F363" s="88">
        <v>45662</v>
      </c>
      <c r="G363" s="88" t="str" cm="1">
        <f t="array" ref="G3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AND(F363&gt;= DATE(2026,1,1), F363&lt;= DATE(2028, 12, 31), J363&gt;50000), "Pendente e Caro", AND(F363&gt;= DATE(2026,1,1), F363&lt;= DATE(2028, 12, 31), J363&lt;=50000), "Pendente", F363&gt;= DATE(2029,1,1), "Não prioeitário")</f>
        <v>Urgente</v>
      </c>
      <c r="H363" s="89">
        <f>YEAR(Tabela1[[#This Row],[Data de Validade]])</f>
        <v>2025</v>
      </c>
      <c r="I363" s="89">
        <f>MONTH(Tabela1[[#This Row],[Data de Validade]])</f>
        <v>1</v>
      </c>
      <c r="J363" s="101">
        <v>25481</v>
      </c>
      <c r="K363" s="87" t="s">
        <v>7</v>
      </c>
      <c r="L363" s="108"/>
      <c r="M363" s="108"/>
      <c r="N363" s="108" t="str">
        <v>H475H588</v>
      </c>
      <c r="O363" s="108">
        <f t="shared" si="7"/>
        <v>1</v>
      </c>
      <c r="P363" s="108"/>
      <c r="Q363"/>
    </row>
    <row r="364" spans="1:17" x14ac:dyDescent="0.25">
      <c r="A364" s="89" t="s">
        <v>9105</v>
      </c>
      <c r="B364" s="87" t="s">
        <v>9106</v>
      </c>
      <c r="C364" s="87" t="s">
        <v>13</v>
      </c>
      <c r="D364" s="87" t="str">
        <f>VLOOKUP(Tabela1[[#This Row],[Origem]], 'Perguntas 1 a 24'!$J$28:$K$34, 2, 0)</f>
        <v>Sudeste</v>
      </c>
      <c r="E364" s="87" t="str">
        <f>Tabela1[[#This Row],[Descrição]]&amp;"-"&amp;Tabela1[[#This Row],[Código]]&amp;"/"&amp;Tabela1[[#This Row],[Origem]]</f>
        <v>Vegipo-P221H546/SP</v>
      </c>
      <c r="F364" s="88">
        <v>45664</v>
      </c>
      <c r="G364" s="88" t="str" cm="1">
        <f t="array" ref="G3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AND(F364&gt;= DATE(2026,1,1), F364&lt;= DATE(2028, 12, 31), J364&gt;50000), "Pendente e Caro", AND(F364&gt;= DATE(2026,1,1), F364&lt;= DATE(2028, 12, 31), J364&lt;=50000), "Pendente", F364&gt;= DATE(2029,1,1), "Não prioeitário")</f>
        <v>Urgente e Caro</v>
      </c>
      <c r="H364" s="89">
        <f>YEAR(Tabela1[[#This Row],[Data de Validade]])</f>
        <v>2025</v>
      </c>
      <c r="I364" s="89">
        <f>MONTH(Tabela1[[#This Row],[Data de Validade]])</f>
        <v>1</v>
      </c>
      <c r="J364" s="101">
        <v>111868</v>
      </c>
      <c r="K364" s="87" t="s">
        <v>11</v>
      </c>
      <c r="L364" s="108"/>
      <c r="M364" s="108"/>
      <c r="N364" s="108" t="str">
        <v>P221H546</v>
      </c>
      <c r="O364" s="108">
        <f t="shared" si="7"/>
        <v>1</v>
      </c>
      <c r="P364" s="108"/>
      <c r="Q364"/>
    </row>
    <row r="365" spans="1:17" x14ac:dyDescent="0.25">
      <c r="A365" s="89" t="s">
        <v>8060</v>
      </c>
      <c r="B365" s="87" t="s">
        <v>8061</v>
      </c>
      <c r="C365" s="87" t="s">
        <v>16</v>
      </c>
      <c r="D365" s="87" t="str">
        <f>VLOOKUP(Tabela1[[#This Row],[Origem]], 'Perguntas 1 a 24'!$J$28:$K$34, 2, 0)</f>
        <v>Sudeste</v>
      </c>
      <c r="E365" s="87" t="str">
        <f>Tabela1[[#This Row],[Descrição]]&amp;"-"&amp;Tabela1[[#This Row],[Código]]&amp;"/"&amp;Tabela1[[#This Row],[Origem]]</f>
        <v>Tupugatipo-P587P952/MG</v>
      </c>
      <c r="F365" s="88">
        <v>45664</v>
      </c>
      <c r="G365" s="88" t="str" cm="1">
        <f t="array" ref="G3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AND(F365&gt;= DATE(2026,1,1), F365&lt;= DATE(2028, 12, 31), J365&gt;50000), "Pendente e Caro", AND(F365&gt;= DATE(2026,1,1), F365&lt;= DATE(2028, 12, 31), J365&lt;=50000), "Pendente", F365&gt;= DATE(2029,1,1), "Não prioeitário")</f>
        <v>Urgente</v>
      </c>
      <c r="H365" s="89">
        <f>YEAR(Tabela1[[#This Row],[Data de Validade]])</f>
        <v>2025</v>
      </c>
      <c r="I365" s="89">
        <f>MONTH(Tabela1[[#This Row],[Data de Validade]])</f>
        <v>1</v>
      </c>
      <c r="J365" s="101">
        <v>36196</v>
      </c>
      <c r="K365" s="87" t="s">
        <v>14</v>
      </c>
      <c r="L365" s="108"/>
      <c r="M365" s="108"/>
      <c r="N365" s="108" t="str">
        <v>P587P952</v>
      </c>
      <c r="O365" s="108">
        <f t="shared" si="7"/>
        <v>1</v>
      </c>
      <c r="P365" s="108"/>
      <c r="Q365"/>
    </row>
    <row r="366" spans="1:17" x14ac:dyDescent="0.25">
      <c r="A366" s="89" t="s">
        <v>4676</v>
      </c>
      <c r="B366" s="87" t="s">
        <v>4677</v>
      </c>
      <c r="C366" s="87" t="s">
        <v>8</v>
      </c>
      <c r="D366" s="87" t="str">
        <f>VLOOKUP(Tabela1[[#This Row],[Origem]], 'Perguntas 1 a 24'!$J$28:$K$34, 2, 0)</f>
        <v>Nordeste</v>
      </c>
      <c r="E366" s="87" t="str">
        <f>Tabela1[[#This Row],[Descrição]]&amp;"-"&amp;Tabela1[[#This Row],[Código]]&amp;"/"&amp;Tabela1[[#This Row],[Origem]]</f>
        <v>Carema-H566P581/AL</v>
      </c>
      <c r="F366" s="88">
        <v>45665</v>
      </c>
      <c r="G366" s="88" t="str" cm="1">
        <f t="array" ref="G3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AND(F366&gt;= DATE(2026,1,1), F366&lt;= DATE(2028, 12, 31), J366&gt;50000), "Pendente e Caro", AND(F366&gt;= DATE(2026,1,1), F366&lt;= DATE(2028, 12, 31), J366&lt;=50000), "Pendente", F366&gt;= DATE(2029,1,1), "Não prioeitário")</f>
        <v>Urgente e Caro</v>
      </c>
      <c r="H366" s="89">
        <f>YEAR(Tabela1[[#This Row],[Data de Validade]])</f>
        <v>2025</v>
      </c>
      <c r="I366" s="89">
        <f>MONTH(Tabela1[[#This Row],[Data de Validade]])</f>
        <v>1</v>
      </c>
      <c r="J366" s="101">
        <v>71462</v>
      </c>
      <c r="K366" s="87" t="s">
        <v>7</v>
      </c>
      <c r="L366" s="108"/>
      <c r="M366" s="108"/>
      <c r="N366" s="108" t="str">
        <v>H566P581</v>
      </c>
      <c r="O366" s="108">
        <f t="shared" si="7"/>
        <v>1</v>
      </c>
      <c r="P366" s="108"/>
      <c r="Q366"/>
    </row>
    <row r="367" spans="1:17" x14ac:dyDescent="0.25">
      <c r="A367" s="89" t="s">
        <v>6158</v>
      </c>
      <c r="B367" s="87" t="s">
        <v>6159</v>
      </c>
      <c r="C367" s="87" t="s">
        <v>10</v>
      </c>
      <c r="D367" s="87" t="str">
        <f>VLOOKUP(Tabela1[[#This Row],[Origem]], 'Perguntas 1 a 24'!$J$28:$K$34, 2, 0)</f>
        <v>Centro-Oeste</v>
      </c>
      <c r="E367" s="87" t="str">
        <f>Tabela1[[#This Row],[Descrição]]&amp;"-"&amp;Tabela1[[#This Row],[Código]]&amp;"/"&amp;Tabela1[[#This Row],[Origem]]</f>
        <v>Nurepi-H131H315/GO</v>
      </c>
      <c r="F367" s="88">
        <v>45665</v>
      </c>
      <c r="G367" s="88" t="str" cm="1">
        <f t="array" ref="G3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AND(F367&gt;= DATE(2026,1,1), F367&lt;= DATE(2028, 12, 31), J367&gt;50000), "Pendente e Caro", AND(F367&gt;= DATE(2026,1,1), F367&lt;= DATE(2028, 12, 31), J367&lt;=50000), "Pendente", F367&gt;= DATE(2029,1,1), "Não prioeitário")</f>
        <v>Urgente</v>
      </c>
      <c r="H367" s="89">
        <f>YEAR(Tabela1[[#This Row],[Data de Validade]])</f>
        <v>2025</v>
      </c>
      <c r="I367" s="89">
        <f>MONTH(Tabela1[[#This Row],[Data de Validade]])</f>
        <v>1</v>
      </c>
      <c r="J367" s="101">
        <v>49339</v>
      </c>
      <c r="K367" s="87" t="s">
        <v>7</v>
      </c>
      <c r="L367" s="108"/>
      <c r="M367" s="108"/>
      <c r="N367" s="108" t="str">
        <v>H131H315</v>
      </c>
      <c r="O367" s="108">
        <f t="shared" si="7"/>
        <v>1</v>
      </c>
      <c r="P367" s="108"/>
      <c r="Q367"/>
    </row>
    <row r="368" spans="1:17" x14ac:dyDescent="0.25">
      <c r="A368" s="89" t="s">
        <v>9365</v>
      </c>
      <c r="B368" s="87" t="s">
        <v>9366</v>
      </c>
      <c r="C368" s="87" t="s">
        <v>8</v>
      </c>
      <c r="D368" s="87" t="str">
        <f>VLOOKUP(Tabela1[[#This Row],[Origem]], 'Perguntas 1 a 24'!$J$28:$K$34, 2, 0)</f>
        <v>Nordeste</v>
      </c>
      <c r="E368" s="87" t="str">
        <f>Tabela1[[#This Row],[Descrição]]&amp;"-"&amp;Tabela1[[#This Row],[Código]]&amp;"/"&amp;Tabela1[[#This Row],[Origem]]</f>
        <v>Mitivaro-P147P351/AL</v>
      </c>
      <c r="F368" s="88">
        <v>45665</v>
      </c>
      <c r="G368" s="88" t="str" cm="1">
        <f t="array" ref="G3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AND(F368&gt;= DATE(2026,1,1), F368&lt;= DATE(2028, 12, 31), J368&gt;50000), "Pendente e Caro", AND(F368&gt;= DATE(2026,1,1), F368&lt;= DATE(2028, 12, 31), J368&lt;=50000), "Pendente", F368&gt;= DATE(2029,1,1), "Não prioeitário")</f>
        <v>Urgente</v>
      </c>
      <c r="H368" s="89">
        <f>YEAR(Tabela1[[#This Row],[Data de Validade]])</f>
        <v>2025</v>
      </c>
      <c r="I368" s="89">
        <f>MONTH(Tabela1[[#This Row],[Data de Validade]])</f>
        <v>1</v>
      </c>
      <c r="J368" s="101">
        <v>32374</v>
      </c>
      <c r="K368" s="87" t="s">
        <v>9</v>
      </c>
      <c r="L368" s="108"/>
      <c r="M368" s="108"/>
      <c r="N368" s="108" t="str">
        <v>P147P351</v>
      </c>
      <c r="O368" s="108">
        <f t="shared" si="7"/>
        <v>1</v>
      </c>
      <c r="P368" s="108"/>
      <c r="Q368"/>
    </row>
    <row r="369" spans="1:17" x14ac:dyDescent="0.25">
      <c r="A369" s="89" t="s">
        <v>10765</v>
      </c>
      <c r="B369" s="87" t="s">
        <v>10766</v>
      </c>
      <c r="C369" s="87" t="s">
        <v>6</v>
      </c>
      <c r="D369" s="87" t="str">
        <f>VLOOKUP(Tabela1[[#This Row],[Origem]], 'Perguntas 1 a 24'!$J$28:$K$34, 2, 0)</f>
        <v>Nordeste</v>
      </c>
      <c r="E369" s="87" t="str">
        <f>Tabela1[[#This Row],[Descrição]]&amp;"-"&amp;Tabela1[[#This Row],[Código]]&amp;"/"&amp;Tabela1[[#This Row],[Origem]]</f>
        <v>Curatiri-H311H344/MA</v>
      </c>
      <c r="F369" s="88">
        <v>45666</v>
      </c>
      <c r="G369" s="88" t="str" cm="1">
        <f t="array" ref="G3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AND(F369&gt;= DATE(2026,1,1), F369&lt;= DATE(2028, 12, 31), J369&gt;50000), "Pendente e Caro", AND(F369&gt;= DATE(2026,1,1), F369&lt;= DATE(2028, 12, 31), J369&lt;=50000), "Pendente", F369&gt;= DATE(2029,1,1), "Não prioeitário")</f>
        <v>Urgente e Caro</v>
      </c>
      <c r="H369" s="89">
        <f>YEAR(Tabela1[[#This Row],[Data de Validade]])</f>
        <v>2025</v>
      </c>
      <c r="I369" s="89">
        <f>MONTH(Tabela1[[#This Row],[Data de Validade]])</f>
        <v>1</v>
      </c>
      <c r="J369" s="101">
        <v>89241</v>
      </c>
      <c r="K369" s="87" t="s">
        <v>11</v>
      </c>
      <c r="L369" s="108"/>
      <c r="M369" s="108"/>
      <c r="N369" s="108" t="str">
        <v>H311H344</v>
      </c>
      <c r="O369" s="108">
        <f t="shared" si="7"/>
        <v>1</v>
      </c>
      <c r="P369" s="108"/>
      <c r="Q369"/>
    </row>
    <row r="370" spans="1:17" x14ac:dyDescent="0.25">
      <c r="A370" s="89" t="s">
        <v>10789</v>
      </c>
      <c r="B370" s="87" t="s">
        <v>10790</v>
      </c>
      <c r="C370" s="87" t="s">
        <v>8</v>
      </c>
      <c r="D370" s="87" t="str">
        <f>VLOOKUP(Tabela1[[#This Row],[Origem]], 'Perguntas 1 a 24'!$J$28:$K$34, 2, 0)</f>
        <v>Nordeste</v>
      </c>
      <c r="E370" s="87" t="str">
        <f>Tabela1[[#This Row],[Descrição]]&amp;"-"&amp;Tabela1[[#This Row],[Código]]&amp;"/"&amp;Tabela1[[#This Row],[Origem]]</f>
        <v>Ridovita-P568P718/AL</v>
      </c>
      <c r="F370" s="88">
        <v>45666</v>
      </c>
      <c r="G370" s="88" t="str" cm="1">
        <f t="array" ref="G3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AND(F370&gt;= DATE(2026,1,1), F370&lt;= DATE(2028, 12, 31), J370&gt;50000), "Pendente e Caro", AND(F370&gt;= DATE(2026,1,1), F370&lt;= DATE(2028, 12, 31), J370&lt;=50000), "Pendente", F370&gt;= DATE(2029,1,1), "Não prioeitário")</f>
        <v>Urgente e Caro</v>
      </c>
      <c r="H370" s="89">
        <f>YEAR(Tabela1[[#This Row],[Data de Validade]])</f>
        <v>2025</v>
      </c>
      <c r="I370" s="89">
        <f>MONTH(Tabela1[[#This Row],[Data de Validade]])</f>
        <v>1</v>
      </c>
      <c r="J370" s="101">
        <v>54320</v>
      </c>
      <c r="K370" s="87" t="s">
        <v>14</v>
      </c>
      <c r="L370" s="108"/>
      <c r="M370" s="108"/>
      <c r="N370" s="108" t="str">
        <v>P568P718</v>
      </c>
      <c r="O370" s="108">
        <f t="shared" si="7"/>
        <v>1</v>
      </c>
      <c r="P370" s="108"/>
      <c r="Q370"/>
    </row>
    <row r="371" spans="1:17" x14ac:dyDescent="0.25">
      <c r="A371" s="89" t="s">
        <v>6814</v>
      </c>
      <c r="B371" s="87" t="s">
        <v>6815</v>
      </c>
      <c r="C371" s="87" t="s">
        <v>12</v>
      </c>
      <c r="D371" s="87" t="str">
        <f>VLOOKUP(Tabela1[[#This Row],[Origem]], 'Perguntas 1 a 24'!$J$28:$K$34, 2, 0)</f>
        <v>Sudeste</v>
      </c>
      <c r="E371" s="87" t="str">
        <f>Tabela1[[#This Row],[Descrição]]&amp;"-"&amp;Tabela1[[#This Row],[Código]]&amp;"/"&amp;Tabela1[[#This Row],[Origem]]</f>
        <v>Nacovilu-H943P223/RJ</v>
      </c>
      <c r="F371" s="88">
        <v>45667</v>
      </c>
      <c r="G371" s="88" t="str" cm="1">
        <f t="array" ref="G3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AND(F371&gt;= DATE(2026,1,1), F371&lt;= DATE(2028, 12, 31), J371&gt;50000), "Pendente e Caro", AND(F371&gt;= DATE(2026,1,1), F371&lt;= DATE(2028, 12, 31), J371&lt;=50000), "Pendente", F371&gt;= DATE(2029,1,1), "Não prioeitário")</f>
        <v>Urgente e Caro</v>
      </c>
      <c r="H371" s="89">
        <f>YEAR(Tabela1[[#This Row],[Data de Validade]])</f>
        <v>2025</v>
      </c>
      <c r="I371" s="89">
        <f>MONTH(Tabela1[[#This Row],[Data de Validade]])</f>
        <v>1</v>
      </c>
      <c r="J371" s="101">
        <v>55436</v>
      </c>
      <c r="K371" s="87" t="s">
        <v>14</v>
      </c>
      <c r="L371" s="108"/>
      <c r="M371" s="108"/>
      <c r="N371" s="108" t="str">
        <v>H943P223</v>
      </c>
      <c r="O371" s="108">
        <f t="shared" si="7"/>
        <v>1</v>
      </c>
      <c r="P371" s="108"/>
      <c r="Q371"/>
    </row>
    <row r="372" spans="1:17" x14ac:dyDescent="0.25">
      <c r="A372" s="89" t="s">
        <v>5810</v>
      </c>
      <c r="B372" s="87" t="s">
        <v>5811</v>
      </c>
      <c r="C372" s="87" t="s">
        <v>12</v>
      </c>
      <c r="D372" s="87" t="str">
        <f>VLOOKUP(Tabela1[[#This Row],[Origem]], 'Perguntas 1 a 24'!$J$28:$K$34, 2, 0)</f>
        <v>Sudeste</v>
      </c>
      <c r="E372" s="87" t="str">
        <f>Tabela1[[#This Row],[Descrição]]&amp;"-"&amp;Tabela1[[#This Row],[Código]]&amp;"/"&amp;Tabela1[[#This Row],[Origem]]</f>
        <v>Pulupedidi-P853H781/RJ</v>
      </c>
      <c r="F372" s="88">
        <v>45668</v>
      </c>
      <c r="G372" s="88" t="str" cm="1">
        <f t="array" ref="G3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AND(F372&gt;= DATE(2026,1,1), F372&lt;= DATE(2028, 12, 31), J372&gt;50000), "Pendente e Caro", AND(F372&gt;= DATE(2026,1,1), F372&lt;= DATE(2028, 12, 31), J372&lt;=50000), "Pendente", F372&gt;= DATE(2029,1,1), "Não prioeitário")</f>
        <v>Urgente e Caro</v>
      </c>
      <c r="H372" s="89">
        <f>YEAR(Tabela1[[#This Row],[Data de Validade]])</f>
        <v>2025</v>
      </c>
      <c r="I372" s="89">
        <f>MONTH(Tabela1[[#This Row],[Data de Validade]])</f>
        <v>1</v>
      </c>
      <c r="J372" s="101">
        <v>119118</v>
      </c>
      <c r="K372" s="87" t="s">
        <v>9</v>
      </c>
      <c r="L372" s="108"/>
      <c r="M372" s="108"/>
      <c r="N372" s="108" t="str">
        <v>P853H781</v>
      </c>
      <c r="O372" s="108">
        <f t="shared" si="7"/>
        <v>1</v>
      </c>
      <c r="P372" s="108"/>
      <c r="Q372"/>
    </row>
    <row r="373" spans="1:17" x14ac:dyDescent="0.25">
      <c r="A373" s="89" t="s">
        <v>10059</v>
      </c>
      <c r="B373" s="87" t="s">
        <v>10060</v>
      </c>
      <c r="C373" s="87" t="s">
        <v>10</v>
      </c>
      <c r="D373" s="87" t="str">
        <f>VLOOKUP(Tabela1[[#This Row],[Origem]], 'Perguntas 1 a 24'!$J$28:$K$34, 2, 0)</f>
        <v>Centro-Oeste</v>
      </c>
      <c r="E373" s="87" t="str">
        <f>Tabela1[[#This Row],[Descrição]]&amp;"-"&amp;Tabela1[[#This Row],[Código]]&amp;"/"&amp;Tabela1[[#This Row],[Origem]]</f>
        <v>Pedidi-P288P384/GO</v>
      </c>
      <c r="F373" s="88">
        <v>45669</v>
      </c>
      <c r="G373" s="88" t="str" cm="1">
        <f t="array" ref="G3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AND(F373&gt;= DATE(2026,1,1), F373&lt;= DATE(2028, 12, 31), J373&gt;50000), "Pendente e Caro", AND(F373&gt;= DATE(2026,1,1), F373&lt;= DATE(2028, 12, 31), J373&lt;=50000), "Pendente", F373&gt;= DATE(2029,1,1), "Não prioeitário")</f>
        <v>Urgente e Caro</v>
      </c>
      <c r="H373" s="89">
        <f>YEAR(Tabela1[[#This Row],[Data de Validade]])</f>
        <v>2025</v>
      </c>
      <c r="I373" s="89">
        <f>MONTH(Tabela1[[#This Row],[Data de Validade]])</f>
        <v>1</v>
      </c>
      <c r="J373" s="101">
        <v>81353</v>
      </c>
      <c r="K373" s="87" t="s">
        <v>7</v>
      </c>
      <c r="L373" s="108"/>
      <c r="M373" s="108"/>
      <c r="N373" s="108" t="str">
        <v>P288P384</v>
      </c>
      <c r="O373" s="108">
        <f t="shared" si="7"/>
        <v>1</v>
      </c>
      <c r="P373" s="108"/>
      <c r="Q373"/>
    </row>
    <row r="374" spans="1:17" x14ac:dyDescent="0.25">
      <c r="A374" s="89" t="s">
        <v>8058</v>
      </c>
      <c r="B374" s="87" t="s">
        <v>8059</v>
      </c>
      <c r="C374" s="87" t="s">
        <v>10</v>
      </c>
      <c r="D374" s="87" t="str">
        <f>VLOOKUP(Tabela1[[#This Row],[Origem]], 'Perguntas 1 a 24'!$J$28:$K$34, 2, 0)</f>
        <v>Centro-Oeste</v>
      </c>
      <c r="E374" s="87" t="str">
        <f>Tabela1[[#This Row],[Descrição]]&amp;"-"&amp;Tabela1[[#This Row],[Código]]&amp;"/"&amp;Tabela1[[#This Row],[Origem]]</f>
        <v>Nepeciraca-P775P174/GO</v>
      </c>
      <c r="F374" s="88">
        <v>45670</v>
      </c>
      <c r="G374" s="88" t="str" cm="1">
        <f t="array" ref="G3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AND(F374&gt;= DATE(2026,1,1), F374&lt;= DATE(2028, 12, 31), J374&gt;50000), "Pendente e Caro", AND(F374&gt;= DATE(2026,1,1), F374&lt;= DATE(2028, 12, 31), J374&lt;=50000), "Pendente", F374&gt;= DATE(2029,1,1), "Não prioeitário")</f>
        <v>Urgente e Caro</v>
      </c>
      <c r="H374" s="89">
        <f>YEAR(Tabela1[[#This Row],[Data de Validade]])</f>
        <v>2025</v>
      </c>
      <c r="I374" s="89">
        <f>MONTH(Tabela1[[#This Row],[Data de Validade]])</f>
        <v>1</v>
      </c>
      <c r="J374" s="101">
        <v>55886</v>
      </c>
      <c r="K374" s="87" t="s">
        <v>14</v>
      </c>
      <c r="L374" s="108"/>
      <c r="M374" s="108"/>
      <c r="N374" s="108" t="str">
        <v>P775P174</v>
      </c>
      <c r="O374" s="108">
        <f t="shared" si="7"/>
        <v>1</v>
      </c>
      <c r="P374" s="108"/>
      <c r="Q374"/>
    </row>
    <row r="375" spans="1:17" x14ac:dyDescent="0.25">
      <c r="A375" s="89" t="s">
        <v>8256</v>
      </c>
      <c r="B375" s="87" t="s">
        <v>8257</v>
      </c>
      <c r="C375" s="87" t="s">
        <v>10</v>
      </c>
      <c r="D375" s="87" t="str">
        <f>VLOOKUP(Tabela1[[#This Row],[Origem]], 'Perguntas 1 a 24'!$J$28:$K$34, 2, 0)</f>
        <v>Centro-Oeste</v>
      </c>
      <c r="E375" s="87" t="str">
        <f>Tabela1[[#This Row],[Descrição]]&amp;"-"&amp;Tabela1[[#This Row],[Código]]&amp;"/"&amp;Tabela1[[#This Row],[Origem]]</f>
        <v>Netipano-H618H877/GO</v>
      </c>
      <c r="F375" s="88">
        <v>45670</v>
      </c>
      <c r="G375" s="88" t="str" cm="1">
        <f t="array" ref="G3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AND(F375&gt;= DATE(2026,1,1), F375&lt;= DATE(2028, 12, 31), J375&gt;50000), "Pendente e Caro", AND(F375&gt;= DATE(2026,1,1), F375&lt;= DATE(2028, 12, 31), J375&lt;=50000), "Pendente", F375&gt;= DATE(2029,1,1), "Não prioeitário")</f>
        <v>Urgente e Caro</v>
      </c>
      <c r="H375" s="89">
        <f>YEAR(Tabela1[[#This Row],[Data de Validade]])</f>
        <v>2025</v>
      </c>
      <c r="I375" s="89">
        <f>MONTH(Tabela1[[#This Row],[Data de Validade]])</f>
        <v>1</v>
      </c>
      <c r="J375" s="101">
        <v>52367</v>
      </c>
      <c r="K375" s="87" t="s">
        <v>14</v>
      </c>
      <c r="L375" s="108"/>
      <c r="M375" s="108"/>
      <c r="N375" s="108" t="str">
        <v>H618H877</v>
      </c>
      <c r="O375" s="108">
        <f t="shared" si="7"/>
        <v>1</v>
      </c>
      <c r="P375" s="108"/>
      <c r="Q375"/>
    </row>
    <row r="376" spans="1:17" x14ac:dyDescent="0.25">
      <c r="A376" s="89" t="s">
        <v>5590</v>
      </c>
      <c r="B376" s="87" t="s">
        <v>5591</v>
      </c>
      <c r="C376" s="87" t="s">
        <v>15</v>
      </c>
      <c r="D376" s="87" t="str">
        <f>VLOOKUP(Tabela1[[#This Row],[Origem]], 'Perguntas 1 a 24'!$J$28:$K$34, 2, 0)</f>
        <v>Sudeste</v>
      </c>
      <c r="E376" s="87" t="str">
        <f>Tabela1[[#This Row],[Descrição]]&amp;"-"&amp;Tabela1[[#This Row],[Código]]&amp;"/"&amp;Tabela1[[#This Row],[Origem]]</f>
        <v>Gipidope-H641P882/ES</v>
      </c>
      <c r="F376" s="88">
        <v>45670</v>
      </c>
      <c r="G376" s="88" t="str" cm="1">
        <f t="array" ref="G3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AND(F376&gt;= DATE(2026,1,1), F376&lt;= DATE(2028, 12, 31), J376&gt;50000), "Pendente e Caro", AND(F376&gt;= DATE(2026,1,1), F376&lt;= DATE(2028, 12, 31), J376&lt;=50000), "Pendente", F376&gt;= DATE(2029,1,1), "Não prioeitário")</f>
        <v>Urgente</v>
      </c>
      <c r="H376" s="89">
        <f>YEAR(Tabela1[[#This Row],[Data de Validade]])</f>
        <v>2025</v>
      </c>
      <c r="I376" s="89">
        <f>MONTH(Tabela1[[#This Row],[Data de Validade]])</f>
        <v>1</v>
      </c>
      <c r="J376" s="101">
        <v>36024</v>
      </c>
      <c r="K376" s="87" t="s">
        <v>14</v>
      </c>
      <c r="L376" s="108"/>
      <c r="M376" s="108"/>
      <c r="N376" s="108" t="str">
        <v>H641P882</v>
      </c>
      <c r="O376" s="108">
        <f t="shared" si="7"/>
        <v>1</v>
      </c>
      <c r="P376" s="108"/>
      <c r="Q376"/>
    </row>
    <row r="377" spans="1:17" x14ac:dyDescent="0.25">
      <c r="A377" s="89" t="s">
        <v>3846</v>
      </c>
      <c r="B377" s="87" t="s">
        <v>3847</v>
      </c>
      <c r="C377" s="87" t="s">
        <v>15</v>
      </c>
      <c r="D377" s="87" t="str">
        <f>VLOOKUP(Tabela1[[#This Row],[Origem]], 'Perguntas 1 a 24'!$J$28:$K$34, 2, 0)</f>
        <v>Sudeste</v>
      </c>
      <c r="E377" s="87" t="str">
        <f>Tabela1[[#This Row],[Descrição]]&amp;"-"&amp;Tabela1[[#This Row],[Código]]&amp;"/"&amp;Tabela1[[#This Row],[Origem]]</f>
        <v>Rupili-P162H328/ES</v>
      </c>
      <c r="F377" s="88">
        <v>45671</v>
      </c>
      <c r="G377" s="88" t="str" cm="1">
        <f t="array" ref="G3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AND(F377&gt;= DATE(2026,1,1), F377&lt;= DATE(2028, 12, 31), J377&gt;50000), "Pendente e Caro", AND(F377&gt;= DATE(2026,1,1), F377&lt;= DATE(2028, 12, 31), J377&lt;=50000), "Pendente", F377&gt;= DATE(2029,1,1), "Não prioeitário")</f>
        <v>Urgente e Caro</v>
      </c>
      <c r="H377" s="89">
        <f>YEAR(Tabela1[[#This Row],[Data de Validade]])</f>
        <v>2025</v>
      </c>
      <c r="I377" s="89">
        <f>MONTH(Tabela1[[#This Row],[Data de Validade]])</f>
        <v>1</v>
      </c>
      <c r="J377" s="101">
        <v>94461</v>
      </c>
      <c r="K377" s="87" t="s">
        <v>11</v>
      </c>
      <c r="L377" s="108"/>
      <c r="M377" s="108"/>
      <c r="N377" s="108" t="str">
        <v>P162H328</v>
      </c>
      <c r="O377" s="108">
        <f t="shared" si="7"/>
        <v>1</v>
      </c>
      <c r="P377" s="108"/>
      <c r="Q377"/>
    </row>
    <row r="378" spans="1:17" x14ac:dyDescent="0.25">
      <c r="A378" s="89" t="s">
        <v>5958</v>
      </c>
      <c r="B378" s="87" t="s">
        <v>5959</v>
      </c>
      <c r="C378" s="87" t="s">
        <v>13</v>
      </c>
      <c r="D378" s="87" t="str">
        <f>VLOOKUP(Tabela1[[#This Row],[Origem]], 'Perguntas 1 a 24'!$J$28:$K$34, 2, 0)</f>
        <v>Sudeste</v>
      </c>
      <c r="E378" s="87" t="str">
        <f>Tabela1[[#This Row],[Descrição]]&amp;"-"&amp;Tabela1[[#This Row],[Código]]&amp;"/"&amp;Tabela1[[#This Row],[Origem]]</f>
        <v>Foreri-P661P939/SP</v>
      </c>
      <c r="F378" s="88">
        <v>45672</v>
      </c>
      <c r="G378" s="88" t="str" cm="1">
        <f t="array" ref="G3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AND(F378&gt;= DATE(2026,1,1), F378&lt;= DATE(2028, 12, 31), J378&gt;50000), "Pendente e Caro", AND(F378&gt;= DATE(2026,1,1), F378&lt;= DATE(2028, 12, 31), J378&lt;=50000), "Pendente", F378&gt;= DATE(2029,1,1), "Não prioeitário")</f>
        <v>Urgente e Caro</v>
      </c>
      <c r="H378" s="89">
        <f>YEAR(Tabela1[[#This Row],[Data de Validade]])</f>
        <v>2025</v>
      </c>
      <c r="I378" s="89">
        <f>MONTH(Tabela1[[#This Row],[Data de Validade]])</f>
        <v>1</v>
      </c>
      <c r="J378" s="101">
        <v>100549</v>
      </c>
      <c r="K378" s="87" t="s">
        <v>14</v>
      </c>
      <c r="L378" s="108"/>
      <c r="M378" s="108"/>
      <c r="N378" s="108" t="str">
        <v>P661P939</v>
      </c>
      <c r="O378" s="108">
        <f t="shared" si="7"/>
        <v>1</v>
      </c>
      <c r="P378" s="108"/>
      <c r="Q378"/>
    </row>
    <row r="379" spans="1:17" x14ac:dyDescent="0.25">
      <c r="A379" s="89" t="s">
        <v>5546</v>
      </c>
      <c r="B379" s="87" t="s">
        <v>5547</v>
      </c>
      <c r="C379" s="87" t="s">
        <v>15</v>
      </c>
      <c r="D379" s="87" t="str">
        <f>VLOOKUP(Tabela1[[#This Row],[Origem]], 'Perguntas 1 a 24'!$J$28:$K$34, 2, 0)</f>
        <v>Sudeste</v>
      </c>
      <c r="E379" s="87" t="str">
        <f>Tabela1[[#This Row],[Descrição]]&amp;"-"&amp;Tabela1[[#This Row],[Código]]&amp;"/"&amp;Tabela1[[#This Row],[Origem]]</f>
        <v>Rigupetede-H575P349/ES</v>
      </c>
      <c r="F379" s="88">
        <v>45672</v>
      </c>
      <c r="G379" s="88" t="str" cm="1">
        <f t="array" ref="G3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AND(F379&gt;= DATE(2026,1,1), F379&lt;= DATE(2028, 12, 31), J379&gt;50000), "Pendente e Caro", AND(F379&gt;= DATE(2026,1,1), F379&lt;= DATE(2028, 12, 31), J379&lt;=50000), "Pendente", F379&gt;= DATE(2029,1,1), "Não prioeitário")</f>
        <v>Urgente e Caro</v>
      </c>
      <c r="H379" s="89">
        <f>YEAR(Tabela1[[#This Row],[Data de Validade]])</f>
        <v>2025</v>
      </c>
      <c r="I379" s="89">
        <f>MONTH(Tabela1[[#This Row],[Data de Validade]])</f>
        <v>1</v>
      </c>
      <c r="J379" s="101">
        <v>58490</v>
      </c>
      <c r="K379" s="87" t="s">
        <v>7</v>
      </c>
      <c r="L379" s="108"/>
      <c r="M379" s="108"/>
      <c r="N379" s="108" t="str">
        <v>H575P349</v>
      </c>
      <c r="O379" s="108">
        <f t="shared" si="7"/>
        <v>1</v>
      </c>
      <c r="P379" s="108"/>
      <c r="Q379"/>
    </row>
    <row r="380" spans="1:17" x14ac:dyDescent="0.25">
      <c r="A380" s="89" t="s">
        <v>8302</v>
      </c>
      <c r="B380" s="87" t="s">
        <v>8303</v>
      </c>
      <c r="C380" s="87" t="s">
        <v>13</v>
      </c>
      <c r="D380" s="87" t="str">
        <f>VLOOKUP(Tabela1[[#This Row],[Origem]], 'Perguntas 1 a 24'!$J$28:$K$34, 2, 0)</f>
        <v>Sudeste</v>
      </c>
      <c r="E380" s="87" t="str">
        <f>Tabela1[[#This Row],[Descrição]]&amp;"-"&amp;Tabela1[[#This Row],[Código]]&amp;"/"&amp;Tabela1[[#This Row],[Origem]]</f>
        <v>Nelacoge-P345P277/SP</v>
      </c>
      <c r="F380" s="88">
        <v>45673</v>
      </c>
      <c r="G380" s="88" t="str" cm="1">
        <f t="array" ref="G3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AND(F380&gt;= DATE(2026,1,1), F380&lt;= DATE(2028, 12, 31), J380&gt;50000), "Pendente e Caro", AND(F380&gt;= DATE(2026,1,1), F380&lt;= DATE(2028, 12, 31), J380&lt;=50000), "Pendente", F380&gt;= DATE(2029,1,1), "Não prioeitário")</f>
        <v>Urgente e Caro</v>
      </c>
      <c r="H380" s="89">
        <f>YEAR(Tabela1[[#This Row],[Data de Validade]])</f>
        <v>2025</v>
      </c>
      <c r="I380" s="89">
        <f>MONTH(Tabela1[[#This Row],[Data de Validade]])</f>
        <v>1</v>
      </c>
      <c r="J380" s="101">
        <v>104605</v>
      </c>
      <c r="K380" s="87" t="s">
        <v>7</v>
      </c>
      <c r="L380" s="108"/>
      <c r="M380" s="108"/>
      <c r="N380" s="108" t="str">
        <v>P345P277</v>
      </c>
      <c r="O380" s="108">
        <f t="shared" si="7"/>
        <v>1</v>
      </c>
      <c r="P380" s="108"/>
      <c r="Q380"/>
    </row>
    <row r="381" spans="1:17" x14ac:dyDescent="0.25">
      <c r="A381" s="89" t="s">
        <v>10123</v>
      </c>
      <c r="B381" s="87" t="s">
        <v>10124</v>
      </c>
      <c r="C381" s="87" t="s">
        <v>12</v>
      </c>
      <c r="D381" s="87" t="str">
        <f>VLOOKUP(Tabela1[[#This Row],[Origem]], 'Perguntas 1 a 24'!$J$28:$K$34, 2, 0)</f>
        <v>Sudeste</v>
      </c>
      <c r="E381" s="87" t="str">
        <f>Tabela1[[#This Row],[Descrição]]&amp;"-"&amp;Tabela1[[#This Row],[Código]]&amp;"/"&amp;Tabela1[[#This Row],[Origem]]</f>
        <v>Defare-H432H639/RJ</v>
      </c>
      <c r="F381" s="88">
        <v>45673</v>
      </c>
      <c r="G381" s="88" t="str" cm="1">
        <f t="array" ref="G3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AND(F381&gt;= DATE(2026,1,1), F381&lt;= DATE(2028, 12, 31), J381&gt;50000), "Pendente e Caro", AND(F381&gt;= DATE(2026,1,1), F381&lt;= DATE(2028, 12, 31), J381&lt;=50000), "Pendente", F381&gt;= DATE(2029,1,1), "Não prioeitário")</f>
        <v>Urgente e Caro</v>
      </c>
      <c r="H381" s="89">
        <f>YEAR(Tabela1[[#This Row],[Data de Validade]])</f>
        <v>2025</v>
      </c>
      <c r="I381" s="89">
        <f>MONTH(Tabela1[[#This Row],[Data de Validade]])</f>
        <v>1</v>
      </c>
      <c r="J381" s="101">
        <v>51176</v>
      </c>
      <c r="K381" s="87" t="s">
        <v>11</v>
      </c>
      <c r="L381" s="108"/>
      <c r="M381" s="108"/>
      <c r="N381" s="108" t="str">
        <v>H432H639</v>
      </c>
      <c r="O381" s="108">
        <f t="shared" si="7"/>
        <v>1</v>
      </c>
      <c r="P381" s="108"/>
      <c r="Q381"/>
    </row>
    <row r="382" spans="1:17" x14ac:dyDescent="0.25">
      <c r="A382" s="89" t="s">
        <v>8416</v>
      </c>
      <c r="B382" s="87" t="s">
        <v>8417</v>
      </c>
      <c r="C382" s="87" t="s">
        <v>16</v>
      </c>
      <c r="D382" s="87" t="str">
        <f>VLOOKUP(Tabela1[[#This Row],[Origem]], 'Perguntas 1 a 24'!$J$28:$K$34, 2, 0)</f>
        <v>Sudeste</v>
      </c>
      <c r="E382" s="87" t="str">
        <f>Tabela1[[#This Row],[Descrição]]&amp;"-"&amp;Tabela1[[#This Row],[Código]]&amp;"/"&amp;Tabela1[[#This Row],[Origem]]</f>
        <v>Cafidupi-P266P976/MG</v>
      </c>
      <c r="F382" s="88">
        <v>45674</v>
      </c>
      <c r="G382" s="88" t="str" cm="1">
        <f t="array" ref="G3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AND(F382&gt;= DATE(2026,1,1), F382&lt;= DATE(2028, 12, 31), J382&gt;50000), "Pendente e Caro", AND(F382&gt;= DATE(2026,1,1), F382&lt;= DATE(2028, 12, 31), J382&lt;=50000), "Pendente", F382&gt;= DATE(2029,1,1), "Não prioeitário")</f>
        <v>Urgente e Caro</v>
      </c>
      <c r="H382" s="89">
        <f>YEAR(Tabela1[[#This Row],[Data de Validade]])</f>
        <v>2025</v>
      </c>
      <c r="I382" s="89">
        <f>MONTH(Tabela1[[#This Row],[Data de Validade]])</f>
        <v>1</v>
      </c>
      <c r="J382" s="101">
        <v>65758</v>
      </c>
      <c r="K382" s="87" t="s">
        <v>7</v>
      </c>
      <c r="L382" s="108"/>
      <c r="M382" s="108"/>
      <c r="N382" s="108" t="str">
        <v>P266P976</v>
      </c>
      <c r="O382" s="108">
        <f t="shared" si="7"/>
        <v>1</v>
      </c>
      <c r="P382" s="108"/>
      <c r="Q382"/>
    </row>
    <row r="383" spans="1:17" x14ac:dyDescent="0.25">
      <c r="A383" s="89" t="s">
        <v>5126</v>
      </c>
      <c r="B383" s="87" t="s">
        <v>5127</v>
      </c>
      <c r="C383" s="87" t="s">
        <v>12</v>
      </c>
      <c r="D383" s="87" t="str">
        <f>VLOOKUP(Tabela1[[#This Row],[Origem]], 'Perguntas 1 a 24'!$J$28:$K$34, 2, 0)</f>
        <v>Sudeste</v>
      </c>
      <c r="E383" s="87" t="str">
        <f>Tabela1[[#This Row],[Descrição]]&amp;"-"&amp;Tabela1[[#This Row],[Código]]&amp;"/"&amp;Tabela1[[#This Row],[Origem]]</f>
        <v>Tepafodugo-H738H283/RJ</v>
      </c>
      <c r="F383" s="88">
        <v>45674</v>
      </c>
      <c r="G383" s="88" t="str" cm="1">
        <f t="array" ref="G3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AND(F383&gt;= DATE(2026,1,1), F383&lt;= DATE(2028, 12, 31), J383&gt;50000), "Pendente e Caro", AND(F383&gt;= DATE(2026,1,1), F383&lt;= DATE(2028, 12, 31), J383&lt;=50000), "Pendente", F383&gt;= DATE(2029,1,1), "Não prioeitário")</f>
        <v>Urgente</v>
      </c>
      <c r="H383" s="89">
        <f>YEAR(Tabela1[[#This Row],[Data de Validade]])</f>
        <v>2025</v>
      </c>
      <c r="I383" s="89">
        <f>MONTH(Tabela1[[#This Row],[Data de Validade]])</f>
        <v>1</v>
      </c>
      <c r="J383" s="101">
        <v>24318</v>
      </c>
      <c r="K383" s="87" t="s">
        <v>11</v>
      </c>
      <c r="L383" s="108"/>
      <c r="M383" s="108"/>
      <c r="N383" s="108" t="str">
        <v>H738H283</v>
      </c>
      <c r="O383" s="108">
        <f t="shared" si="7"/>
        <v>1</v>
      </c>
      <c r="P383" s="108"/>
      <c r="Q383"/>
    </row>
    <row r="384" spans="1:17" x14ac:dyDescent="0.25">
      <c r="A384" s="89" t="s">
        <v>4516</v>
      </c>
      <c r="B384" s="87" t="s">
        <v>4517</v>
      </c>
      <c r="C384" s="87" t="s">
        <v>16</v>
      </c>
      <c r="D384" s="87" t="str">
        <f>VLOOKUP(Tabela1[[#This Row],[Origem]], 'Perguntas 1 a 24'!$J$28:$K$34, 2, 0)</f>
        <v>Sudeste</v>
      </c>
      <c r="E384" s="87" t="str">
        <f>Tabela1[[#This Row],[Descrição]]&amp;"-"&amp;Tabela1[[#This Row],[Código]]&amp;"/"&amp;Tabela1[[#This Row],[Origem]]</f>
        <v>Gamutapodi-P619P399/MG</v>
      </c>
      <c r="F384" s="88">
        <v>45675</v>
      </c>
      <c r="G384" s="88" t="str" cm="1">
        <f t="array" ref="G3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AND(F384&gt;= DATE(2026,1,1), F384&lt;= DATE(2028, 12, 31), J384&gt;50000), "Pendente e Caro", AND(F384&gt;= DATE(2026,1,1), F384&lt;= DATE(2028, 12, 31), J384&lt;=50000), "Pendente", F384&gt;= DATE(2029,1,1), "Não prioeitário")</f>
        <v>Urgente</v>
      </c>
      <c r="H384" s="89">
        <f>YEAR(Tabela1[[#This Row],[Data de Validade]])</f>
        <v>2025</v>
      </c>
      <c r="I384" s="89">
        <f>MONTH(Tabela1[[#This Row],[Data de Validade]])</f>
        <v>1</v>
      </c>
      <c r="J384" s="101">
        <v>49504</v>
      </c>
      <c r="K384" s="87" t="s">
        <v>11</v>
      </c>
      <c r="L384" s="108"/>
      <c r="M384" s="108"/>
      <c r="N384" s="108" t="str">
        <v>P619P399</v>
      </c>
      <c r="O384" s="108">
        <f t="shared" si="7"/>
        <v>1</v>
      </c>
      <c r="P384" s="108"/>
      <c r="Q384"/>
    </row>
    <row r="385" spans="1:17" x14ac:dyDescent="0.25">
      <c r="A385" s="89" t="s">
        <v>4944</v>
      </c>
      <c r="B385" s="87" t="s">
        <v>4945</v>
      </c>
      <c r="C385" s="87" t="s">
        <v>15</v>
      </c>
      <c r="D385" s="87" t="str">
        <f>VLOOKUP(Tabela1[[#This Row],[Origem]], 'Perguntas 1 a 24'!$J$28:$K$34, 2, 0)</f>
        <v>Sudeste</v>
      </c>
      <c r="E385" s="87" t="str">
        <f>Tabela1[[#This Row],[Descrição]]&amp;"-"&amp;Tabela1[[#This Row],[Código]]&amp;"/"&amp;Tabela1[[#This Row],[Origem]]</f>
        <v>Mufupamepu-H943P584/ES</v>
      </c>
      <c r="F385" s="88">
        <v>45676</v>
      </c>
      <c r="G385" s="88" t="str" cm="1">
        <f t="array" ref="G3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AND(F385&gt;= DATE(2026,1,1), F385&lt;= DATE(2028, 12, 31), J385&gt;50000), "Pendente e Caro", AND(F385&gt;= DATE(2026,1,1), F385&lt;= DATE(2028, 12, 31), J385&lt;=50000), "Pendente", F385&gt;= DATE(2029,1,1), "Não prioeitário")</f>
        <v>Urgente e Caro</v>
      </c>
      <c r="H385" s="89">
        <f>YEAR(Tabela1[[#This Row],[Data de Validade]])</f>
        <v>2025</v>
      </c>
      <c r="I385" s="89">
        <f>MONTH(Tabela1[[#This Row],[Data de Validade]])</f>
        <v>1</v>
      </c>
      <c r="J385" s="101">
        <v>74061</v>
      </c>
      <c r="K385" s="87" t="s">
        <v>11</v>
      </c>
      <c r="L385" s="108"/>
      <c r="M385" s="108"/>
      <c r="N385" s="108" t="str">
        <v>H943P584</v>
      </c>
      <c r="O385" s="108">
        <f t="shared" si="7"/>
        <v>1</v>
      </c>
      <c r="P385" s="108"/>
      <c r="Q385"/>
    </row>
    <row r="386" spans="1:17" x14ac:dyDescent="0.25">
      <c r="A386" s="89" t="s">
        <v>4385</v>
      </c>
      <c r="B386" s="87" t="s">
        <v>4386</v>
      </c>
      <c r="C386" s="87" t="s">
        <v>10</v>
      </c>
      <c r="D386" s="87" t="str">
        <f>VLOOKUP(Tabela1[[#This Row],[Origem]], 'Perguntas 1 a 24'!$J$28:$K$34, 2, 0)</f>
        <v>Centro-Oeste</v>
      </c>
      <c r="E386" s="87" t="str">
        <f>Tabela1[[#This Row],[Descrição]]&amp;"-"&amp;Tabela1[[#This Row],[Código]]&amp;"/"&amp;Tabela1[[#This Row],[Origem]]</f>
        <v>Geculirafe-H311H936/GO</v>
      </c>
      <c r="F386" s="88">
        <v>45676</v>
      </c>
      <c r="G386" s="88" t="str" cm="1">
        <f t="array" ref="G3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AND(F386&gt;= DATE(2026,1,1), F386&lt;= DATE(2028, 12, 31), J386&gt;50000), "Pendente e Caro", AND(F386&gt;= DATE(2026,1,1), F386&lt;= DATE(2028, 12, 31), J386&lt;=50000), "Pendente", F386&gt;= DATE(2029,1,1), "Não prioeitário")</f>
        <v>Urgente e Caro</v>
      </c>
      <c r="H386" s="89">
        <f>YEAR(Tabela1[[#This Row],[Data de Validade]])</f>
        <v>2025</v>
      </c>
      <c r="I386" s="89">
        <f>MONTH(Tabela1[[#This Row],[Data de Validade]])</f>
        <v>1</v>
      </c>
      <c r="J386" s="101">
        <v>61268</v>
      </c>
      <c r="K386" s="87" t="s">
        <v>14</v>
      </c>
      <c r="L386" s="108"/>
      <c r="M386" s="108"/>
      <c r="N386" s="108" t="str">
        <v>H311H936</v>
      </c>
      <c r="O386" s="108">
        <f t="shared" si="7"/>
        <v>1</v>
      </c>
      <c r="P386" s="108"/>
      <c r="Q386"/>
    </row>
    <row r="387" spans="1:17" x14ac:dyDescent="0.25">
      <c r="A387" s="89" t="s">
        <v>5884</v>
      </c>
      <c r="B387" s="87" t="s">
        <v>5885</v>
      </c>
      <c r="C387" s="87" t="s">
        <v>16</v>
      </c>
      <c r="D387" s="87" t="str">
        <f>VLOOKUP(Tabela1[[#This Row],[Origem]], 'Perguntas 1 a 24'!$J$28:$K$34, 2, 0)</f>
        <v>Sudeste</v>
      </c>
      <c r="E387" s="87" t="str">
        <f>Tabela1[[#This Row],[Descrição]]&amp;"-"&amp;Tabela1[[#This Row],[Código]]&amp;"/"&amp;Tabela1[[#This Row],[Origem]]</f>
        <v>Raremupa-H742P375/MG</v>
      </c>
      <c r="F387" s="88">
        <v>45676</v>
      </c>
      <c r="G387" s="88" t="str" cm="1">
        <f t="array" ref="G3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AND(F387&gt;= DATE(2026,1,1), F387&lt;= DATE(2028, 12, 31), J387&gt;50000), "Pendente e Caro", AND(F387&gt;= DATE(2026,1,1), F387&lt;= DATE(2028, 12, 31), J387&lt;=50000), "Pendente", F387&gt;= DATE(2029,1,1), "Não prioeitário")</f>
        <v>Urgente e Caro</v>
      </c>
      <c r="H387" s="89">
        <f>YEAR(Tabela1[[#This Row],[Data de Validade]])</f>
        <v>2025</v>
      </c>
      <c r="I387" s="89">
        <f>MONTH(Tabela1[[#This Row],[Data de Validade]])</f>
        <v>1</v>
      </c>
      <c r="J387" s="101">
        <v>52199</v>
      </c>
      <c r="K387" s="87" t="s">
        <v>14</v>
      </c>
      <c r="L387" s="108"/>
      <c r="M387" s="108"/>
      <c r="N387" s="108" t="str">
        <v>H742P375</v>
      </c>
      <c r="O387" s="108">
        <f t="shared" ref="O387:O450" si="8">COUNTIFS(B:B,N387)</f>
        <v>1</v>
      </c>
      <c r="P387" s="108"/>
      <c r="Q387"/>
    </row>
    <row r="388" spans="1:17" x14ac:dyDescent="0.25">
      <c r="A388" s="89" t="s">
        <v>7522</v>
      </c>
      <c r="B388" s="87" t="s">
        <v>7523</v>
      </c>
      <c r="C388" s="87" t="s">
        <v>6</v>
      </c>
      <c r="D388" s="87" t="str">
        <f>VLOOKUP(Tabela1[[#This Row],[Origem]], 'Perguntas 1 a 24'!$J$28:$K$34, 2, 0)</f>
        <v>Nordeste</v>
      </c>
      <c r="E388" s="87" t="str">
        <f>Tabela1[[#This Row],[Descrição]]&amp;"-"&amp;Tabela1[[#This Row],[Código]]&amp;"/"&amp;Tabela1[[#This Row],[Origem]]</f>
        <v>Ridamevu-P185P288/MA</v>
      </c>
      <c r="F388" s="88">
        <v>45677</v>
      </c>
      <c r="G388" s="88" t="str" cm="1">
        <f t="array" ref="G3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AND(F388&gt;= DATE(2026,1,1), F388&lt;= DATE(2028, 12, 31), J388&gt;50000), "Pendente e Caro", AND(F388&gt;= DATE(2026,1,1), F388&lt;= DATE(2028, 12, 31), J388&lt;=50000), "Pendente", F388&gt;= DATE(2029,1,1), "Não prioeitário")</f>
        <v>Urgente e Caro</v>
      </c>
      <c r="H388" s="89">
        <f>YEAR(Tabela1[[#This Row],[Data de Validade]])</f>
        <v>2025</v>
      </c>
      <c r="I388" s="89">
        <f>MONTH(Tabela1[[#This Row],[Data de Validade]])</f>
        <v>1</v>
      </c>
      <c r="J388" s="101">
        <v>64325</v>
      </c>
      <c r="K388" s="87" t="s">
        <v>9</v>
      </c>
      <c r="L388" s="108"/>
      <c r="M388" s="108"/>
      <c r="N388" s="108" t="str">
        <v>P185P288</v>
      </c>
      <c r="O388" s="108">
        <f t="shared" si="8"/>
        <v>1</v>
      </c>
      <c r="P388" s="108"/>
      <c r="Q388"/>
    </row>
    <row r="389" spans="1:17" x14ac:dyDescent="0.25">
      <c r="A389" s="89" t="s">
        <v>8927</v>
      </c>
      <c r="B389" s="87" t="s">
        <v>8928</v>
      </c>
      <c r="C389" s="87" t="s">
        <v>8</v>
      </c>
      <c r="D389" s="87" t="str">
        <f>VLOOKUP(Tabela1[[#This Row],[Origem]], 'Perguntas 1 a 24'!$J$28:$K$34, 2, 0)</f>
        <v>Nordeste</v>
      </c>
      <c r="E389" s="87" t="str">
        <f>Tabela1[[#This Row],[Descrição]]&amp;"-"&amp;Tabela1[[#This Row],[Código]]&amp;"/"&amp;Tabela1[[#This Row],[Origem]]</f>
        <v>Finade-H157H911/AL</v>
      </c>
      <c r="F389" s="88">
        <v>45680</v>
      </c>
      <c r="G389" s="88" t="str" cm="1">
        <f t="array" ref="G3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AND(F389&gt;= DATE(2026,1,1), F389&lt;= DATE(2028, 12, 31), J389&gt;50000), "Pendente e Caro", AND(F389&gt;= DATE(2026,1,1), F389&lt;= DATE(2028, 12, 31), J389&lt;=50000), "Pendente", F389&gt;= DATE(2029,1,1), "Não prioeitário")</f>
        <v>Urgente</v>
      </c>
      <c r="H389" s="89">
        <f>YEAR(Tabela1[[#This Row],[Data de Validade]])</f>
        <v>2025</v>
      </c>
      <c r="I389" s="89">
        <f>MONTH(Tabela1[[#This Row],[Data de Validade]])</f>
        <v>1</v>
      </c>
      <c r="J389" s="101">
        <v>29591</v>
      </c>
      <c r="K389" s="87" t="s">
        <v>14</v>
      </c>
      <c r="L389" s="108"/>
      <c r="M389" s="108"/>
      <c r="N389" s="108" t="str">
        <v>H157H911</v>
      </c>
      <c r="O389" s="108">
        <f t="shared" si="8"/>
        <v>1</v>
      </c>
      <c r="P389" s="108"/>
      <c r="Q389"/>
    </row>
    <row r="390" spans="1:17" x14ac:dyDescent="0.25">
      <c r="A390" s="89" t="s">
        <v>8078</v>
      </c>
      <c r="B390" s="87" t="s">
        <v>8079</v>
      </c>
      <c r="C390" s="87" t="s">
        <v>15</v>
      </c>
      <c r="D390" s="87" t="str">
        <f>VLOOKUP(Tabela1[[#This Row],[Origem]], 'Perguntas 1 a 24'!$J$28:$K$34, 2, 0)</f>
        <v>Sudeste</v>
      </c>
      <c r="E390" s="87" t="str">
        <f>Tabela1[[#This Row],[Descrição]]&amp;"-"&amp;Tabela1[[#This Row],[Código]]&amp;"/"&amp;Tabela1[[#This Row],[Origem]]</f>
        <v>Letenuge-P627H652/ES</v>
      </c>
      <c r="F390" s="88">
        <v>45682</v>
      </c>
      <c r="G390" s="88" t="str" cm="1">
        <f t="array" ref="G3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AND(F390&gt;= DATE(2026,1,1), F390&lt;= DATE(2028, 12, 31), J390&gt;50000), "Pendente e Caro", AND(F390&gt;= DATE(2026,1,1), F390&lt;= DATE(2028, 12, 31), J390&lt;=50000), "Pendente", F390&gt;= DATE(2029,1,1), "Não prioeitário")</f>
        <v>Urgente e Caro</v>
      </c>
      <c r="H390" s="89">
        <f>YEAR(Tabela1[[#This Row],[Data de Validade]])</f>
        <v>2025</v>
      </c>
      <c r="I390" s="89">
        <f>MONTH(Tabela1[[#This Row],[Data de Validade]])</f>
        <v>1</v>
      </c>
      <c r="J390" s="101">
        <v>61931</v>
      </c>
      <c r="K390" s="87" t="s">
        <v>14</v>
      </c>
      <c r="L390" s="108"/>
      <c r="M390" s="108"/>
      <c r="N390" s="108" t="str">
        <v>P627H652</v>
      </c>
      <c r="O390" s="108">
        <f t="shared" si="8"/>
        <v>1</v>
      </c>
      <c r="P390" s="108"/>
      <c r="Q390"/>
    </row>
    <row r="391" spans="1:17" x14ac:dyDescent="0.25">
      <c r="A391" s="89" t="s">
        <v>7066</v>
      </c>
      <c r="B391" s="87" t="s">
        <v>7067</v>
      </c>
      <c r="C391" s="87" t="s">
        <v>6</v>
      </c>
      <c r="D391" s="87" t="str">
        <f>VLOOKUP(Tabela1[[#This Row],[Origem]], 'Perguntas 1 a 24'!$J$28:$K$34, 2, 0)</f>
        <v>Nordeste</v>
      </c>
      <c r="E391" s="87" t="str">
        <f>Tabela1[[#This Row],[Descrição]]&amp;"-"&amp;Tabela1[[#This Row],[Código]]&amp;"/"&amp;Tabela1[[#This Row],[Origem]]</f>
        <v>Rogocogide-P416P445/MA</v>
      </c>
      <c r="F391" s="88">
        <v>45682</v>
      </c>
      <c r="G391" s="88" t="str" cm="1">
        <f t="array" ref="G3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AND(F391&gt;= DATE(2026,1,1), F391&lt;= DATE(2028, 12, 31), J391&gt;50000), "Pendente e Caro", AND(F391&gt;= DATE(2026,1,1), F391&lt;= DATE(2028, 12, 31), J391&lt;=50000), "Pendente", F391&gt;= DATE(2029,1,1), "Não prioeitário")</f>
        <v>Urgente</v>
      </c>
      <c r="H391" s="89">
        <f>YEAR(Tabela1[[#This Row],[Data de Validade]])</f>
        <v>2025</v>
      </c>
      <c r="I391" s="89">
        <f>MONTH(Tabela1[[#This Row],[Data de Validade]])</f>
        <v>1</v>
      </c>
      <c r="J391" s="101">
        <v>22338</v>
      </c>
      <c r="K391" s="87" t="s">
        <v>14</v>
      </c>
      <c r="L391" s="108"/>
      <c r="M391" s="108"/>
      <c r="N391" s="108" t="str">
        <v>P416P445</v>
      </c>
      <c r="O391" s="108">
        <f t="shared" si="8"/>
        <v>1</v>
      </c>
      <c r="P391" s="108"/>
      <c r="Q391"/>
    </row>
    <row r="392" spans="1:17" x14ac:dyDescent="0.25">
      <c r="A392" s="89" t="s">
        <v>4866</v>
      </c>
      <c r="B392" s="87" t="s">
        <v>4867</v>
      </c>
      <c r="C392" s="87" t="s">
        <v>6</v>
      </c>
      <c r="D392" s="87" t="str">
        <f>VLOOKUP(Tabela1[[#This Row],[Origem]], 'Perguntas 1 a 24'!$J$28:$K$34, 2, 0)</f>
        <v>Nordeste</v>
      </c>
      <c r="E392" s="87" t="str">
        <f>Tabela1[[#This Row],[Descrição]]&amp;"-"&amp;Tabela1[[#This Row],[Código]]&amp;"/"&amp;Tabela1[[#This Row],[Origem]]</f>
        <v>Fetigu-H876H212/MA</v>
      </c>
      <c r="F392" s="88">
        <v>45683</v>
      </c>
      <c r="G392" s="88" t="str" cm="1">
        <f t="array" ref="G3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AND(F392&gt;= DATE(2026,1,1), F392&lt;= DATE(2028, 12, 31), J392&gt;50000), "Pendente e Caro", AND(F392&gt;= DATE(2026,1,1), F392&lt;= DATE(2028, 12, 31), J392&lt;=50000), "Pendente", F392&gt;= DATE(2029,1,1), "Não prioeitário")</f>
        <v>Urgente e Caro</v>
      </c>
      <c r="H392" s="89">
        <f>YEAR(Tabela1[[#This Row],[Data de Validade]])</f>
        <v>2025</v>
      </c>
      <c r="I392" s="89">
        <f>MONTH(Tabela1[[#This Row],[Data de Validade]])</f>
        <v>1</v>
      </c>
      <c r="J392" s="101">
        <v>119785</v>
      </c>
      <c r="K392" s="87" t="s">
        <v>14</v>
      </c>
      <c r="L392" s="108"/>
      <c r="M392" s="108"/>
      <c r="N392" s="108" t="str">
        <v>H876H212</v>
      </c>
      <c r="O392" s="108">
        <f t="shared" si="8"/>
        <v>1</v>
      </c>
      <c r="P392" s="108"/>
      <c r="Q392"/>
    </row>
    <row r="393" spans="1:17" x14ac:dyDescent="0.25">
      <c r="A393" s="89" t="s">
        <v>11002</v>
      </c>
      <c r="B393" s="87" t="s">
        <v>11003</v>
      </c>
      <c r="C393" s="87" t="s">
        <v>13</v>
      </c>
      <c r="D393" s="87" t="str">
        <f>VLOOKUP(Tabela1[[#This Row],[Origem]], 'Perguntas 1 a 24'!$J$28:$K$34, 2, 0)</f>
        <v>Sudeste</v>
      </c>
      <c r="E393" s="87" t="str">
        <f>Tabela1[[#This Row],[Descrição]]&amp;"-"&amp;Tabela1[[#This Row],[Código]]&amp;"/"&amp;Tabela1[[#This Row],[Origem]]</f>
        <v>Fenagucu-H226H819/SP</v>
      </c>
      <c r="F393" s="88">
        <v>45683</v>
      </c>
      <c r="G393" s="88" t="str" cm="1">
        <f t="array" ref="G3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AND(F393&gt;= DATE(2026,1,1), F393&lt;= DATE(2028, 12, 31), J393&gt;50000), "Pendente e Caro", AND(F393&gt;= DATE(2026,1,1), F393&lt;= DATE(2028, 12, 31), J393&lt;=50000), "Pendente", F393&gt;= DATE(2029,1,1), "Não prioeitário")</f>
        <v>Urgente</v>
      </c>
      <c r="H393" s="89">
        <f>YEAR(Tabela1[[#This Row],[Data de Validade]])</f>
        <v>2025</v>
      </c>
      <c r="I393" s="89">
        <f>MONTH(Tabela1[[#This Row],[Data de Validade]])</f>
        <v>1</v>
      </c>
      <c r="J393" s="101">
        <v>41468</v>
      </c>
      <c r="K393" s="87" t="s">
        <v>14</v>
      </c>
      <c r="L393" s="108"/>
      <c r="M393" s="108"/>
      <c r="N393" s="108" t="str">
        <v>H226H819</v>
      </c>
      <c r="O393" s="108">
        <f t="shared" si="8"/>
        <v>1</v>
      </c>
      <c r="P393" s="108"/>
      <c r="Q393"/>
    </row>
    <row r="394" spans="1:17" x14ac:dyDescent="0.25">
      <c r="A394" s="89" t="s">
        <v>9523</v>
      </c>
      <c r="B394" s="87" t="s">
        <v>9524</v>
      </c>
      <c r="C394" s="87" t="s">
        <v>10</v>
      </c>
      <c r="D394" s="87" t="str">
        <f>VLOOKUP(Tabela1[[#This Row],[Origem]], 'Perguntas 1 a 24'!$J$28:$K$34, 2, 0)</f>
        <v>Centro-Oeste</v>
      </c>
      <c r="E394" s="87" t="str">
        <f>Tabela1[[#This Row],[Descrição]]&amp;"-"&amp;Tabela1[[#This Row],[Código]]&amp;"/"&amp;Tabela1[[#This Row],[Origem]]</f>
        <v>Fimetureru-H425H844/GO</v>
      </c>
      <c r="F394" s="88">
        <v>45684</v>
      </c>
      <c r="G394" s="88" t="str" cm="1">
        <f t="array" ref="G3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AND(F394&gt;= DATE(2026,1,1), F394&lt;= DATE(2028, 12, 31), J394&gt;50000), "Pendente e Caro", AND(F394&gt;= DATE(2026,1,1), F394&lt;= DATE(2028, 12, 31), J394&lt;=50000), "Pendente", F394&gt;= DATE(2029,1,1), "Não prioeitário")</f>
        <v>Urgente e Caro</v>
      </c>
      <c r="H394" s="89">
        <f>YEAR(Tabela1[[#This Row],[Data de Validade]])</f>
        <v>2025</v>
      </c>
      <c r="I394" s="89">
        <f>MONTH(Tabela1[[#This Row],[Data de Validade]])</f>
        <v>1</v>
      </c>
      <c r="J394" s="101">
        <v>107889</v>
      </c>
      <c r="K394" s="87" t="s">
        <v>11</v>
      </c>
      <c r="L394" s="108"/>
      <c r="M394" s="108"/>
      <c r="N394" s="108" t="str">
        <v>H425H844</v>
      </c>
      <c r="O394" s="108">
        <f t="shared" si="8"/>
        <v>1</v>
      </c>
      <c r="P394" s="108"/>
      <c r="Q394"/>
    </row>
    <row r="395" spans="1:17" x14ac:dyDescent="0.25">
      <c r="A395" s="89" t="s">
        <v>11052</v>
      </c>
      <c r="B395" s="87" t="s">
        <v>11053</v>
      </c>
      <c r="C395" s="87" t="s">
        <v>10</v>
      </c>
      <c r="D395" s="87" t="str">
        <f>VLOOKUP(Tabela1[[#This Row],[Origem]], 'Perguntas 1 a 24'!$J$28:$K$34, 2, 0)</f>
        <v>Centro-Oeste</v>
      </c>
      <c r="E395" s="87" t="str">
        <f>Tabela1[[#This Row],[Descrição]]&amp;"-"&amp;Tabela1[[#This Row],[Código]]&amp;"/"&amp;Tabela1[[#This Row],[Origem]]</f>
        <v>Napava-H746P572/GO</v>
      </c>
      <c r="F395" s="88">
        <v>45685</v>
      </c>
      <c r="G395" s="88" t="str" cm="1">
        <f t="array" ref="G3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AND(F395&gt;= DATE(2026,1,1), F395&lt;= DATE(2028, 12, 31), J395&gt;50000), "Pendente e Caro", AND(F395&gt;= DATE(2026,1,1), F395&lt;= DATE(2028, 12, 31), J395&lt;=50000), "Pendente", F395&gt;= DATE(2029,1,1), "Não prioeitário")</f>
        <v>Urgente e Caro</v>
      </c>
      <c r="H395" s="89">
        <f>YEAR(Tabela1[[#This Row],[Data de Validade]])</f>
        <v>2025</v>
      </c>
      <c r="I395" s="89">
        <f>MONTH(Tabela1[[#This Row],[Data de Validade]])</f>
        <v>1</v>
      </c>
      <c r="J395" s="101">
        <v>68020</v>
      </c>
      <c r="K395" s="87" t="s">
        <v>11</v>
      </c>
      <c r="L395" s="108"/>
      <c r="M395" s="108"/>
      <c r="N395" s="108" t="str">
        <v>H746P572</v>
      </c>
      <c r="O395" s="108">
        <f t="shared" si="8"/>
        <v>1</v>
      </c>
      <c r="P395" s="108"/>
      <c r="Q395"/>
    </row>
    <row r="396" spans="1:17" x14ac:dyDescent="0.25">
      <c r="A396" s="89" t="s">
        <v>11164</v>
      </c>
      <c r="B396" s="87" t="s">
        <v>11165</v>
      </c>
      <c r="C396" s="87" t="s">
        <v>16</v>
      </c>
      <c r="D396" s="87" t="str">
        <f>VLOOKUP(Tabela1[[#This Row],[Origem]], 'Perguntas 1 a 24'!$J$28:$K$34, 2, 0)</f>
        <v>Sudeste</v>
      </c>
      <c r="E396" s="87" t="str">
        <f>Tabela1[[#This Row],[Descrição]]&amp;"-"&amp;Tabela1[[#This Row],[Código]]&amp;"/"&amp;Tabela1[[#This Row],[Origem]]</f>
        <v>Puturilaci-H648P638/MG</v>
      </c>
      <c r="F396" s="88">
        <v>45685</v>
      </c>
      <c r="G396" s="88" t="str" cm="1">
        <f t="array" ref="G3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AND(F396&gt;= DATE(2026,1,1), F396&lt;= DATE(2028, 12, 31), J396&gt;50000), "Pendente e Caro", AND(F396&gt;= DATE(2026,1,1), F396&lt;= DATE(2028, 12, 31), J396&lt;=50000), "Pendente", F396&gt;= DATE(2029,1,1), "Não prioeitário")</f>
        <v>Urgente e Caro</v>
      </c>
      <c r="H396" s="89">
        <f>YEAR(Tabela1[[#This Row],[Data de Validade]])</f>
        <v>2025</v>
      </c>
      <c r="I396" s="89">
        <f>MONTH(Tabela1[[#This Row],[Data de Validade]])</f>
        <v>1</v>
      </c>
      <c r="J396" s="101">
        <v>62637</v>
      </c>
      <c r="K396" s="87" t="s">
        <v>11</v>
      </c>
      <c r="L396" s="108"/>
      <c r="M396" s="108"/>
      <c r="N396" s="108" t="str">
        <v>H648P638</v>
      </c>
      <c r="O396" s="108">
        <f t="shared" si="8"/>
        <v>1</v>
      </c>
      <c r="P396" s="108"/>
      <c r="Q396"/>
    </row>
    <row r="397" spans="1:17" x14ac:dyDescent="0.25">
      <c r="A397" s="89" t="s">
        <v>6992</v>
      </c>
      <c r="B397" s="87" t="s">
        <v>6993</v>
      </c>
      <c r="C397" s="87" t="s">
        <v>6</v>
      </c>
      <c r="D397" s="87" t="str">
        <f>VLOOKUP(Tabela1[[#This Row],[Origem]], 'Perguntas 1 a 24'!$J$28:$K$34, 2, 0)</f>
        <v>Nordeste</v>
      </c>
      <c r="E397" s="87" t="str">
        <f>Tabela1[[#This Row],[Descrição]]&amp;"-"&amp;Tabela1[[#This Row],[Código]]&amp;"/"&amp;Tabela1[[#This Row],[Origem]]</f>
        <v>Canodinogo-H749P632/MA</v>
      </c>
      <c r="F397" s="88">
        <v>45686</v>
      </c>
      <c r="G397" s="88" t="str" cm="1">
        <f t="array" ref="G3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AND(F397&gt;= DATE(2026,1,1), F397&lt;= DATE(2028, 12, 31), J397&gt;50000), "Pendente e Caro", AND(F397&gt;= DATE(2026,1,1), F397&lt;= DATE(2028, 12, 31), J397&lt;=50000), "Pendente", F397&gt;= DATE(2029,1,1), "Não prioeitário")</f>
        <v>Urgente e Caro</v>
      </c>
      <c r="H397" s="89">
        <f>YEAR(Tabela1[[#This Row],[Data de Validade]])</f>
        <v>2025</v>
      </c>
      <c r="I397" s="89">
        <f>MONTH(Tabela1[[#This Row],[Data de Validade]])</f>
        <v>1</v>
      </c>
      <c r="J397" s="101">
        <v>96754</v>
      </c>
      <c r="K397" s="87" t="s">
        <v>7</v>
      </c>
      <c r="L397" s="108"/>
      <c r="M397" s="108"/>
      <c r="N397" s="108" t="str">
        <v>H749P632</v>
      </c>
      <c r="O397" s="108">
        <f t="shared" si="8"/>
        <v>1</v>
      </c>
      <c r="P397" s="108"/>
      <c r="Q397"/>
    </row>
    <row r="398" spans="1:17" x14ac:dyDescent="0.25">
      <c r="A398" s="89" t="s">
        <v>9309</v>
      </c>
      <c r="B398" s="87" t="s">
        <v>9310</v>
      </c>
      <c r="C398" s="87" t="s">
        <v>13</v>
      </c>
      <c r="D398" s="87" t="str">
        <f>VLOOKUP(Tabela1[[#This Row],[Origem]], 'Perguntas 1 a 24'!$J$28:$K$34, 2, 0)</f>
        <v>Sudeste</v>
      </c>
      <c r="E398" s="87" t="str">
        <f>Tabela1[[#This Row],[Descrição]]&amp;"-"&amp;Tabela1[[#This Row],[Código]]&amp;"/"&amp;Tabela1[[#This Row],[Origem]]</f>
        <v>Popafu-P824H672/SP</v>
      </c>
      <c r="F398" s="88">
        <v>45686</v>
      </c>
      <c r="G398" s="88" t="str" cm="1">
        <f t="array" ref="G3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AND(F398&gt;= DATE(2026,1,1), F398&lt;= DATE(2028, 12, 31), J398&gt;50000), "Pendente e Caro", AND(F398&gt;= DATE(2026,1,1), F398&lt;= DATE(2028, 12, 31), J398&lt;=50000), "Pendente", F398&gt;= DATE(2029,1,1), "Não prioeitário")</f>
        <v>Urgente e Caro</v>
      </c>
      <c r="H398" s="89">
        <f>YEAR(Tabela1[[#This Row],[Data de Validade]])</f>
        <v>2025</v>
      </c>
      <c r="I398" s="89">
        <f>MONTH(Tabela1[[#This Row],[Data de Validade]])</f>
        <v>1</v>
      </c>
      <c r="J398" s="101">
        <v>84806</v>
      </c>
      <c r="K398" s="87" t="s">
        <v>9</v>
      </c>
      <c r="L398" s="108"/>
      <c r="M398" s="108"/>
      <c r="N398" s="108" t="str">
        <v>P824H672</v>
      </c>
      <c r="O398" s="108">
        <f t="shared" si="8"/>
        <v>1</v>
      </c>
      <c r="P398" s="108"/>
      <c r="Q398"/>
    </row>
    <row r="399" spans="1:17" x14ac:dyDescent="0.25">
      <c r="A399" s="89" t="s">
        <v>7748</v>
      </c>
      <c r="B399" s="87" t="s">
        <v>7749</v>
      </c>
      <c r="C399" s="87" t="s">
        <v>15</v>
      </c>
      <c r="D399" s="87" t="str">
        <f>VLOOKUP(Tabela1[[#This Row],[Origem]], 'Perguntas 1 a 24'!$J$28:$K$34, 2, 0)</f>
        <v>Sudeste</v>
      </c>
      <c r="E399" s="87" t="str">
        <f>Tabela1[[#This Row],[Descrição]]&amp;"-"&amp;Tabela1[[#This Row],[Código]]&amp;"/"&amp;Tabela1[[#This Row],[Origem]]</f>
        <v>Cotetipi-H545P384/ES</v>
      </c>
      <c r="F399" s="88">
        <v>45686</v>
      </c>
      <c r="G399" s="88" t="str" cm="1">
        <f t="array" ref="G3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AND(F399&gt;= DATE(2026,1,1), F399&lt;= DATE(2028, 12, 31), J399&gt;50000), "Pendente e Caro", AND(F399&gt;= DATE(2026,1,1), F399&lt;= DATE(2028, 12, 31), J399&lt;=50000), "Pendente", F399&gt;= DATE(2029,1,1), "Não prioeitário")</f>
        <v>Urgente e Caro</v>
      </c>
      <c r="H399" s="89">
        <f>YEAR(Tabela1[[#This Row],[Data de Validade]])</f>
        <v>2025</v>
      </c>
      <c r="I399" s="89">
        <f>MONTH(Tabela1[[#This Row],[Data de Validade]])</f>
        <v>1</v>
      </c>
      <c r="J399" s="101">
        <v>73828</v>
      </c>
      <c r="K399" s="87" t="s">
        <v>14</v>
      </c>
      <c r="L399" s="108"/>
      <c r="M399" s="108"/>
      <c r="N399" s="108" t="str">
        <v>H545P384</v>
      </c>
      <c r="O399" s="108">
        <f t="shared" si="8"/>
        <v>1</v>
      </c>
      <c r="P399" s="108"/>
      <c r="Q399"/>
    </row>
    <row r="400" spans="1:17" x14ac:dyDescent="0.25">
      <c r="A400" s="89" t="s">
        <v>4708</v>
      </c>
      <c r="B400" s="87" t="s">
        <v>4709</v>
      </c>
      <c r="C400" s="87" t="s">
        <v>16</v>
      </c>
      <c r="D400" s="87" t="str">
        <f>VLOOKUP(Tabela1[[#This Row],[Origem]], 'Perguntas 1 a 24'!$J$28:$K$34, 2, 0)</f>
        <v>Sudeste</v>
      </c>
      <c r="E400" s="87" t="str">
        <f>Tabela1[[#This Row],[Descrição]]&amp;"-"&amp;Tabela1[[#This Row],[Código]]&amp;"/"&amp;Tabela1[[#This Row],[Origem]]</f>
        <v>Rulacu-P575H379/MG</v>
      </c>
      <c r="F400" s="88">
        <v>45687</v>
      </c>
      <c r="G400" s="88" t="str" cm="1">
        <f t="array" ref="G4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AND(F400&gt;= DATE(2026,1,1), F400&lt;= DATE(2028, 12, 31), J400&gt;50000), "Pendente e Caro", AND(F400&gt;= DATE(2026,1,1), F400&lt;= DATE(2028, 12, 31), J400&lt;=50000), "Pendente", F400&gt;= DATE(2029,1,1), "Não prioeitário")</f>
        <v>Urgente e Caro</v>
      </c>
      <c r="H400" s="89">
        <f>YEAR(Tabela1[[#This Row],[Data de Validade]])</f>
        <v>2025</v>
      </c>
      <c r="I400" s="89">
        <f>MONTH(Tabela1[[#This Row],[Data de Validade]])</f>
        <v>1</v>
      </c>
      <c r="J400" s="101">
        <v>106490</v>
      </c>
      <c r="K400" s="87" t="s">
        <v>14</v>
      </c>
      <c r="L400" s="108"/>
      <c r="M400" s="108"/>
      <c r="N400" s="108" t="str">
        <v>P575H379</v>
      </c>
      <c r="O400" s="108">
        <f t="shared" si="8"/>
        <v>1</v>
      </c>
      <c r="P400" s="108"/>
      <c r="Q400"/>
    </row>
    <row r="401" spans="1:17" x14ac:dyDescent="0.25">
      <c r="A401" s="89" t="s">
        <v>5086</v>
      </c>
      <c r="B401" s="87" t="s">
        <v>5087</v>
      </c>
      <c r="C401" s="87" t="s">
        <v>16</v>
      </c>
      <c r="D401" s="87" t="str">
        <f>VLOOKUP(Tabela1[[#This Row],[Origem]], 'Perguntas 1 a 24'!$J$28:$K$34, 2, 0)</f>
        <v>Sudeste</v>
      </c>
      <c r="E401" s="87" t="str">
        <f>Tabela1[[#This Row],[Descrição]]&amp;"-"&amp;Tabela1[[#This Row],[Código]]&amp;"/"&amp;Tabela1[[#This Row],[Origem]]</f>
        <v>Fevupenire-P252P825/MG</v>
      </c>
      <c r="F401" s="88">
        <v>45687</v>
      </c>
      <c r="G401" s="88" t="str" cm="1">
        <f t="array" ref="G4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AND(F401&gt;= DATE(2026,1,1), F401&lt;= DATE(2028, 12, 31), J401&gt;50000), "Pendente e Caro", AND(F401&gt;= DATE(2026,1,1), F401&lt;= DATE(2028, 12, 31), J401&lt;=50000), "Pendente", F401&gt;= DATE(2029,1,1), "Não prioeitário")</f>
        <v>Urgente e Caro</v>
      </c>
      <c r="H401" s="89">
        <f>YEAR(Tabela1[[#This Row],[Data de Validade]])</f>
        <v>2025</v>
      </c>
      <c r="I401" s="89">
        <f>MONTH(Tabela1[[#This Row],[Data de Validade]])</f>
        <v>1</v>
      </c>
      <c r="J401" s="101">
        <v>73423</v>
      </c>
      <c r="K401" s="87" t="s">
        <v>7</v>
      </c>
      <c r="L401" s="108"/>
      <c r="M401" s="108"/>
      <c r="N401" s="108" t="str">
        <v>P252P825</v>
      </c>
      <c r="O401" s="108">
        <f t="shared" si="8"/>
        <v>1</v>
      </c>
      <c r="P401" s="108"/>
      <c r="Q401"/>
    </row>
    <row r="402" spans="1:17" x14ac:dyDescent="0.25">
      <c r="A402" s="89" t="s">
        <v>6528</v>
      </c>
      <c r="B402" s="87" t="s">
        <v>6529</v>
      </c>
      <c r="C402" s="87" t="s">
        <v>8</v>
      </c>
      <c r="D402" s="87" t="str">
        <f>VLOOKUP(Tabela1[[#This Row],[Origem]], 'Perguntas 1 a 24'!$J$28:$K$34, 2, 0)</f>
        <v>Nordeste</v>
      </c>
      <c r="E402" s="87" t="str">
        <f>Tabela1[[#This Row],[Descrição]]&amp;"-"&amp;Tabela1[[#This Row],[Código]]&amp;"/"&amp;Tabela1[[#This Row],[Origem]]</f>
        <v>Pidepudu-P849H847/AL</v>
      </c>
      <c r="F402" s="88">
        <v>45688</v>
      </c>
      <c r="G402" s="88" t="str" cm="1">
        <f t="array" ref="G4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AND(F402&gt;= DATE(2026,1,1), F402&lt;= DATE(2028, 12, 31), J402&gt;50000), "Pendente e Caro", AND(F402&gt;= DATE(2026,1,1), F402&lt;= DATE(2028, 12, 31), J402&lt;=50000), "Pendente", F402&gt;= DATE(2029,1,1), "Não prioeitário")</f>
        <v>Urgente e Caro</v>
      </c>
      <c r="H402" s="89">
        <f>YEAR(Tabela1[[#This Row],[Data de Validade]])</f>
        <v>2025</v>
      </c>
      <c r="I402" s="89">
        <f>MONTH(Tabela1[[#This Row],[Data de Validade]])</f>
        <v>1</v>
      </c>
      <c r="J402" s="101">
        <v>64651</v>
      </c>
      <c r="K402" s="87" t="s">
        <v>14</v>
      </c>
      <c r="L402" s="108"/>
      <c r="M402" s="108"/>
      <c r="N402" s="108" t="str">
        <v>P849H847</v>
      </c>
      <c r="O402" s="108">
        <f t="shared" si="8"/>
        <v>1</v>
      </c>
      <c r="P402" s="108"/>
      <c r="Q402"/>
    </row>
    <row r="403" spans="1:17" x14ac:dyDescent="0.25">
      <c r="A403" s="89" t="s">
        <v>6356</v>
      </c>
      <c r="B403" s="87" t="s">
        <v>6357</v>
      </c>
      <c r="C403" s="87" t="s">
        <v>10</v>
      </c>
      <c r="D403" s="87" t="str">
        <f>VLOOKUP(Tabela1[[#This Row],[Origem]], 'Perguntas 1 a 24'!$J$28:$K$34, 2, 0)</f>
        <v>Centro-Oeste</v>
      </c>
      <c r="E403" s="87" t="str">
        <f>Tabela1[[#This Row],[Descrição]]&amp;"-"&amp;Tabela1[[#This Row],[Código]]&amp;"/"&amp;Tabela1[[#This Row],[Origem]]</f>
        <v>Fatapa-H441H382/GO</v>
      </c>
      <c r="F403" s="88">
        <v>45689</v>
      </c>
      <c r="G403" s="88" t="str" cm="1">
        <f t="array" ref="G4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AND(F403&gt;= DATE(2026,1,1), F403&lt;= DATE(2028, 12, 31), J403&gt;50000), "Pendente e Caro", AND(F403&gt;= DATE(2026,1,1), F403&lt;= DATE(2028, 12, 31), J403&lt;=50000), "Pendente", F403&gt;= DATE(2029,1,1), "Não prioeitário")</f>
        <v>Urgente e Caro</v>
      </c>
      <c r="H403" s="89">
        <f>YEAR(Tabela1[[#This Row],[Data de Validade]])</f>
        <v>2025</v>
      </c>
      <c r="I403" s="89">
        <f>MONTH(Tabela1[[#This Row],[Data de Validade]])</f>
        <v>2</v>
      </c>
      <c r="J403" s="101">
        <v>77041</v>
      </c>
      <c r="K403" s="87" t="s">
        <v>14</v>
      </c>
      <c r="L403" s="108"/>
      <c r="M403" s="108"/>
      <c r="N403" s="108" t="str">
        <v>H441H382</v>
      </c>
      <c r="O403" s="108">
        <f t="shared" si="8"/>
        <v>1</v>
      </c>
      <c r="P403" s="108"/>
      <c r="Q403"/>
    </row>
    <row r="404" spans="1:17" x14ac:dyDescent="0.25">
      <c r="A404" s="89" t="s">
        <v>10599</v>
      </c>
      <c r="B404" s="87" t="s">
        <v>10600</v>
      </c>
      <c r="C404" s="87" t="s">
        <v>15</v>
      </c>
      <c r="D404" s="87" t="str">
        <f>VLOOKUP(Tabela1[[#This Row],[Origem]], 'Perguntas 1 a 24'!$J$28:$K$34, 2, 0)</f>
        <v>Sudeste</v>
      </c>
      <c r="E404" s="87" t="str">
        <f>Tabela1[[#This Row],[Descrição]]&amp;"-"&amp;Tabela1[[#This Row],[Código]]&amp;"/"&amp;Tabela1[[#This Row],[Origem]]</f>
        <v>Pavumocige-P324P954/ES</v>
      </c>
      <c r="F404" s="88">
        <v>45690</v>
      </c>
      <c r="G404" s="88" t="str" cm="1">
        <f t="array" ref="G4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AND(F404&gt;= DATE(2026,1,1), F404&lt;= DATE(2028, 12, 31), J404&gt;50000), "Pendente e Caro", AND(F404&gt;= DATE(2026,1,1), F404&lt;= DATE(2028, 12, 31), J404&lt;=50000), "Pendente", F404&gt;= DATE(2029,1,1), "Não prioeitário")</f>
        <v>Urgente e Caro</v>
      </c>
      <c r="H404" s="89">
        <f>YEAR(Tabela1[[#This Row],[Data de Validade]])</f>
        <v>2025</v>
      </c>
      <c r="I404" s="89">
        <f>MONTH(Tabela1[[#This Row],[Data de Validade]])</f>
        <v>2</v>
      </c>
      <c r="J404" s="101">
        <v>107952</v>
      </c>
      <c r="K404" s="87" t="s">
        <v>9</v>
      </c>
      <c r="L404" s="108"/>
      <c r="M404" s="108"/>
      <c r="N404" s="108" t="str">
        <v>P324P954</v>
      </c>
      <c r="O404" s="108">
        <f t="shared" si="8"/>
        <v>1</v>
      </c>
      <c r="P404" s="108"/>
      <c r="Q404"/>
    </row>
    <row r="405" spans="1:17" x14ac:dyDescent="0.25">
      <c r="A405" s="89" t="s">
        <v>5162</v>
      </c>
      <c r="B405" s="87" t="s">
        <v>5163</v>
      </c>
      <c r="C405" s="87" t="s">
        <v>10</v>
      </c>
      <c r="D405" s="87" t="str">
        <f>VLOOKUP(Tabela1[[#This Row],[Origem]], 'Perguntas 1 a 24'!$J$28:$K$34, 2, 0)</f>
        <v>Centro-Oeste</v>
      </c>
      <c r="E405" s="87" t="str">
        <f>Tabela1[[#This Row],[Descrição]]&amp;"-"&amp;Tabela1[[#This Row],[Código]]&amp;"/"&amp;Tabela1[[#This Row],[Origem]]</f>
        <v>Dimulativi-P666P833/GO</v>
      </c>
      <c r="F405" s="88">
        <v>45691</v>
      </c>
      <c r="G405" s="88" t="str" cm="1">
        <f t="array" ref="G4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AND(F405&gt;= DATE(2026,1,1), F405&lt;= DATE(2028, 12, 31), J405&gt;50000), "Pendente e Caro", AND(F405&gt;= DATE(2026,1,1), F405&lt;= DATE(2028, 12, 31), J405&lt;=50000), "Pendente", F405&gt;= DATE(2029,1,1), "Não prioeitário")</f>
        <v>Urgente e Caro</v>
      </c>
      <c r="H405" s="89">
        <f>YEAR(Tabela1[[#This Row],[Data de Validade]])</f>
        <v>2025</v>
      </c>
      <c r="I405" s="89">
        <f>MONTH(Tabela1[[#This Row],[Data de Validade]])</f>
        <v>2</v>
      </c>
      <c r="J405" s="101">
        <v>74295</v>
      </c>
      <c r="K405" s="87" t="s">
        <v>7</v>
      </c>
      <c r="L405" s="108"/>
      <c r="M405" s="108"/>
      <c r="N405" s="108" t="str">
        <v>P666P833</v>
      </c>
      <c r="O405" s="108">
        <f t="shared" si="8"/>
        <v>1</v>
      </c>
      <c r="P405" s="108"/>
      <c r="Q405"/>
    </row>
    <row r="406" spans="1:17" x14ac:dyDescent="0.25">
      <c r="A406" s="89" t="s">
        <v>4409</v>
      </c>
      <c r="B406" s="87" t="s">
        <v>4410</v>
      </c>
      <c r="C406" s="87" t="s">
        <v>13</v>
      </c>
      <c r="D406" s="87" t="str">
        <f>VLOOKUP(Tabela1[[#This Row],[Origem]], 'Perguntas 1 a 24'!$J$28:$K$34, 2, 0)</f>
        <v>Sudeste</v>
      </c>
      <c r="E406" s="87" t="str">
        <f>Tabela1[[#This Row],[Descrição]]&amp;"-"&amp;Tabela1[[#This Row],[Código]]&amp;"/"&amp;Tabela1[[#This Row],[Origem]]</f>
        <v>Mitotiga-P461H697/SP</v>
      </c>
      <c r="F406" s="88">
        <v>45691</v>
      </c>
      <c r="G406" s="88" t="str" cm="1">
        <f t="array" ref="G4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AND(F406&gt;= DATE(2026,1,1), F406&lt;= DATE(2028, 12, 31), J406&gt;50000), "Pendente e Caro", AND(F406&gt;= DATE(2026,1,1), F406&lt;= DATE(2028, 12, 31), J406&lt;=50000), "Pendente", F406&gt;= DATE(2029,1,1), "Não prioeitário")</f>
        <v>Urgente</v>
      </c>
      <c r="H406" s="89">
        <f>YEAR(Tabela1[[#This Row],[Data de Validade]])</f>
        <v>2025</v>
      </c>
      <c r="I406" s="89">
        <f>MONTH(Tabela1[[#This Row],[Data de Validade]])</f>
        <v>2</v>
      </c>
      <c r="J406" s="101">
        <v>29688</v>
      </c>
      <c r="K406" s="87" t="s">
        <v>9</v>
      </c>
      <c r="L406" s="108"/>
      <c r="M406" s="108"/>
      <c r="N406" s="108" t="str">
        <v>P461H697</v>
      </c>
      <c r="O406" s="108">
        <f t="shared" si="8"/>
        <v>1</v>
      </c>
      <c r="P406" s="108"/>
      <c r="Q406"/>
    </row>
    <row r="407" spans="1:17" x14ac:dyDescent="0.25">
      <c r="A407" s="89" t="s">
        <v>6126</v>
      </c>
      <c r="B407" s="87" t="s">
        <v>6127</v>
      </c>
      <c r="C407" s="87" t="s">
        <v>10</v>
      </c>
      <c r="D407" s="87" t="str">
        <f>VLOOKUP(Tabela1[[#This Row],[Origem]], 'Perguntas 1 a 24'!$J$28:$K$34, 2, 0)</f>
        <v>Centro-Oeste</v>
      </c>
      <c r="E407" s="87" t="str">
        <f>Tabela1[[#This Row],[Descrição]]&amp;"-"&amp;Tabela1[[#This Row],[Código]]&amp;"/"&amp;Tabela1[[#This Row],[Origem]]</f>
        <v>Pepefadoto-H646H874/GO</v>
      </c>
      <c r="F407" s="88">
        <v>45691</v>
      </c>
      <c r="G407" s="88" t="str" cm="1">
        <f t="array" ref="G4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AND(F407&gt;= DATE(2026,1,1), F407&lt;= DATE(2028, 12, 31), J407&gt;50000), "Pendente e Caro", AND(F407&gt;= DATE(2026,1,1), F407&lt;= DATE(2028, 12, 31), J407&lt;=50000), "Pendente", F407&gt;= DATE(2029,1,1), "Não prioeitário")</f>
        <v>Urgente</v>
      </c>
      <c r="H407" s="89">
        <f>YEAR(Tabela1[[#This Row],[Data de Validade]])</f>
        <v>2025</v>
      </c>
      <c r="I407" s="89">
        <f>MONTH(Tabela1[[#This Row],[Data de Validade]])</f>
        <v>2</v>
      </c>
      <c r="J407" s="101">
        <v>27176</v>
      </c>
      <c r="K407" s="87" t="s">
        <v>9</v>
      </c>
      <c r="L407" s="108"/>
      <c r="M407" s="108"/>
      <c r="N407" s="108" t="str">
        <v>H646H874</v>
      </c>
      <c r="O407" s="108">
        <f t="shared" si="8"/>
        <v>1</v>
      </c>
      <c r="P407" s="108"/>
      <c r="Q407"/>
    </row>
    <row r="408" spans="1:17" x14ac:dyDescent="0.25">
      <c r="A408" s="89" t="s">
        <v>9749</v>
      </c>
      <c r="B408" s="87" t="s">
        <v>9750</v>
      </c>
      <c r="C408" s="87" t="s">
        <v>16</v>
      </c>
      <c r="D408" s="87" t="str">
        <f>VLOOKUP(Tabela1[[#This Row],[Origem]], 'Perguntas 1 a 24'!$J$28:$K$34, 2, 0)</f>
        <v>Sudeste</v>
      </c>
      <c r="E408" s="87" t="str">
        <f>Tabela1[[#This Row],[Descrição]]&amp;"-"&amp;Tabela1[[#This Row],[Código]]&amp;"/"&amp;Tabela1[[#This Row],[Origem]]</f>
        <v>Forigumupa-H449H939/MG</v>
      </c>
      <c r="F408" s="88">
        <v>45692</v>
      </c>
      <c r="G408" s="88" t="str" cm="1">
        <f t="array" ref="G4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AND(F408&gt;= DATE(2026,1,1), F408&lt;= DATE(2028, 12, 31), J408&gt;50000), "Pendente e Caro", AND(F408&gt;= DATE(2026,1,1), F408&lt;= DATE(2028, 12, 31), J408&lt;=50000), "Pendente", F408&gt;= DATE(2029,1,1), "Não prioeitário")</f>
        <v>Urgente e Caro</v>
      </c>
      <c r="H408" s="89">
        <f>YEAR(Tabela1[[#This Row],[Data de Validade]])</f>
        <v>2025</v>
      </c>
      <c r="I408" s="89">
        <f>MONTH(Tabela1[[#This Row],[Data de Validade]])</f>
        <v>2</v>
      </c>
      <c r="J408" s="101">
        <v>73434</v>
      </c>
      <c r="K408" s="87" t="s">
        <v>14</v>
      </c>
      <c r="L408" s="108"/>
      <c r="M408" s="108"/>
      <c r="N408" s="108" t="str">
        <v>H449H939</v>
      </c>
      <c r="O408" s="108">
        <f t="shared" si="8"/>
        <v>1</v>
      </c>
      <c r="P408" s="108"/>
      <c r="Q408"/>
    </row>
    <row r="409" spans="1:17" x14ac:dyDescent="0.25">
      <c r="A409" s="89" t="s">
        <v>7692</v>
      </c>
      <c r="B409" s="87" t="s">
        <v>7693</v>
      </c>
      <c r="C409" s="87" t="s">
        <v>10</v>
      </c>
      <c r="D409" s="87" t="str">
        <f>VLOOKUP(Tabela1[[#This Row],[Origem]], 'Perguntas 1 a 24'!$J$28:$K$34, 2, 0)</f>
        <v>Centro-Oeste</v>
      </c>
      <c r="E409" s="87" t="str">
        <f>Tabela1[[#This Row],[Descrição]]&amp;"-"&amp;Tabela1[[#This Row],[Código]]&amp;"/"&amp;Tabela1[[#This Row],[Origem]]</f>
        <v>Vitadetu-H525P485/GO</v>
      </c>
      <c r="F409" s="88">
        <v>45692</v>
      </c>
      <c r="G409" s="88" t="str" cm="1">
        <f t="array" ref="G4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AND(F409&gt;= DATE(2026,1,1), F409&lt;= DATE(2028, 12, 31), J409&gt;50000), "Pendente e Caro", AND(F409&gt;= DATE(2026,1,1), F409&lt;= DATE(2028, 12, 31), J409&lt;=50000), "Pendente", F409&gt;= DATE(2029,1,1), "Não prioeitário")</f>
        <v>Urgente e Caro</v>
      </c>
      <c r="H409" s="89">
        <f>YEAR(Tabela1[[#This Row],[Data de Validade]])</f>
        <v>2025</v>
      </c>
      <c r="I409" s="89">
        <f>MONTH(Tabela1[[#This Row],[Data de Validade]])</f>
        <v>2</v>
      </c>
      <c r="J409" s="101">
        <v>70762</v>
      </c>
      <c r="K409" s="87" t="s">
        <v>14</v>
      </c>
      <c r="L409" s="108"/>
      <c r="M409" s="108"/>
      <c r="N409" s="108" t="str">
        <v>H525P485</v>
      </c>
      <c r="O409" s="108">
        <f t="shared" si="8"/>
        <v>1</v>
      </c>
      <c r="P409" s="108"/>
      <c r="Q409"/>
    </row>
    <row r="410" spans="1:17" x14ac:dyDescent="0.25">
      <c r="A410" s="89" t="s">
        <v>5956</v>
      </c>
      <c r="B410" s="87" t="s">
        <v>5957</v>
      </c>
      <c r="C410" s="87" t="s">
        <v>10</v>
      </c>
      <c r="D410" s="87" t="str">
        <f>VLOOKUP(Tabela1[[#This Row],[Origem]], 'Perguntas 1 a 24'!$J$28:$K$34, 2, 0)</f>
        <v>Centro-Oeste</v>
      </c>
      <c r="E410" s="87" t="str">
        <f>Tabela1[[#This Row],[Descrição]]&amp;"-"&amp;Tabela1[[#This Row],[Código]]&amp;"/"&amp;Tabela1[[#This Row],[Origem]]</f>
        <v>Duladofu-P612H696/GO</v>
      </c>
      <c r="F410" s="88">
        <v>45692</v>
      </c>
      <c r="G410" s="88" t="str" cm="1">
        <f t="array" ref="G4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AND(F410&gt;= DATE(2026,1,1), F410&lt;= DATE(2028, 12, 31), J410&gt;50000), "Pendente e Caro", AND(F410&gt;= DATE(2026,1,1), F410&lt;= DATE(2028, 12, 31), J410&lt;=50000), "Pendente", F410&gt;= DATE(2029,1,1), "Não prioeitário")</f>
        <v>Urgente e Caro</v>
      </c>
      <c r="H410" s="89">
        <f>YEAR(Tabela1[[#This Row],[Data de Validade]])</f>
        <v>2025</v>
      </c>
      <c r="I410" s="89">
        <f>MONTH(Tabela1[[#This Row],[Data de Validade]])</f>
        <v>2</v>
      </c>
      <c r="J410" s="101">
        <v>65826</v>
      </c>
      <c r="K410" s="87" t="s">
        <v>9</v>
      </c>
      <c r="L410" s="108"/>
      <c r="M410" s="108"/>
      <c r="N410" s="108" t="str">
        <v>P612H696</v>
      </c>
      <c r="O410" s="108">
        <f t="shared" si="8"/>
        <v>1</v>
      </c>
      <c r="P410" s="108"/>
      <c r="Q410"/>
    </row>
    <row r="411" spans="1:17" x14ac:dyDescent="0.25">
      <c r="A411" s="89" t="s">
        <v>11066</v>
      </c>
      <c r="B411" s="87" t="s">
        <v>11067</v>
      </c>
      <c r="C411" s="87" t="s">
        <v>15</v>
      </c>
      <c r="D411" s="87" t="str">
        <f>VLOOKUP(Tabela1[[#This Row],[Origem]], 'Perguntas 1 a 24'!$J$28:$K$34, 2, 0)</f>
        <v>Sudeste</v>
      </c>
      <c r="E411" s="87" t="str">
        <f>Tabela1[[#This Row],[Descrição]]&amp;"-"&amp;Tabela1[[#This Row],[Código]]&amp;"/"&amp;Tabela1[[#This Row],[Origem]]</f>
        <v>Pitofotopo-P564P342/ES</v>
      </c>
      <c r="F411" s="88">
        <v>45692</v>
      </c>
      <c r="G411" s="88" t="str" cm="1">
        <f t="array" ref="G4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AND(F411&gt;= DATE(2026,1,1), F411&lt;= DATE(2028, 12, 31), J411&gt;50000), "Pendente e Caro", AND(F411&gt;= DATE(2026,1,1), F411&lt;= DATE(2028, 12, 31), J411&lt;=50000), "Pendente", F411&gt;= DATE(2029,1,1), "Não prioeitário")</f>
        <v>Urgente</v>
      </c>
      <c r="H411" s="89">
        <f>YEAR(Tabela1[[#This Row],[Data de Validade]])</f>
        <v>2025</v>
      </c>
      <c r="I411" s="89">
        <f>MONTH(Tabela1[[#This Row],[Data de Validade]])</f>
        <v>2</v>
      </c>
      <c r="J411" s="101">
        <v>37474</v>
      </c>
      <c r="K411" s="87" t="s">
        <v>11</v>
      </c>
      <c r="L411" s="108"/>
      <c r="M411" s="108"/>
      <c r="N411" s="108" t="str">
        <v>P564P342</v>
      </c>
      <c r="O411" s="108">
        <f t="shared" si="8"/>
        <v>1</v>
      </c>
      <c r="P411" s="108"/>
      <c r="Q411"/>
    </row>
    <row r="412" spans="1:17" x14ac:dyDescent="0.25">
      <c r="A412" s="89" t="s">
        <v>9829</v>
      </c>
      <c r="B412" s="87" t="s">
        <v>9830</v>
      </c>
      <c r="C412" s="87" t="s">
        <v>12</v>
      </c>
      <c r="D412" s="87" t="str">
        <f>VLOOKUP(Tabela1[[#This Row],[Origem]], 'Perguntas 1 a 24'!$J$28:$K$34, 2, 0)</f>
        <v>Sudeste</v>
      </c>
      <c r="E412" s="87" t="str">
        <f>Tabela1[[#This Row],[Descrição]]&amp;"-"&amp;Tabela1[[#This Row],[Código]]&amp;"/"&amp;Tabela1[[#This Row],[Origem]]</f>
        <v>Papifefa-H993P171/RJ</v>
      </c>
      <c r="F412" s="88">
        <v>45692</v>
      </c>
      <c r="G412" s="88" t="str" cm="1">
        <f t="array" ref="G4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AND(F412&gt;= DATE(2026,1,1), F412&lt;= DATE(2028, 12, 31), J412&gt;50000), "Pendente e Caro", AND(F412&gt;= DATE(2026,1,1), F412&lt;= DATE(2028, 12, 31), J412&lt;=50000), "Pendente", F412&gt;= DATE(2029,1,1), "Não prioeitário")</f>
        <v>Urgente</v>
      </c>
      <c r="H412" s="89">
        <f>YEAR(Tabela1[[#This Row],[Data de Validade]])</f>
        <v>2025</v>
      </c>
      <c r="I412" s="89">
        <f>MONTH(Tabela1[[#This Row],[Data de Validade]])</f>
        <v>2</v>
      </c>
      <c r="J412" s="101">
        <v>31603</v>
      </c>
      <c r="K412" s="87" t="s">
        <v>11</v>
      </c>
      <c r="L412" s="108"/>
      <c r="M412" s="108"/>
      <c r="N412" s="108" t="str">
        <v>H993P171</v>
      </c>
      <c r="O412" s="108">
        <f t="shared" si="8"/>
        <v>1</v>
      </c>
      <c r="P412" s="108"/>
      <c r="Q412"/>
    </row>
    <row r="413" spans="1:17" x14ac:dyDescent="0.25">
      <c r="A413" s="89" t="s">
        <v>4088</v>
      </c>
      <c r="B413" s="87" t="s">
        <v>4089</v>
      </c>
      <c r="C413" s="87" t="s">
        <v>15</v>
      </c>
      <c r="D413" s="87" t="str">
        <f>VLOOKUP(Tabela1[[#This Row],[Origem]], 'Perguntas 1 a 24'!$J$28:$K$34, 2, 0)</f>
        <v>Sudeste</v>
      </c>
      <c r="E413" s="87" t="str">
        <f>Tabela1[[#This Row],[Descrição]]&amp;"-"&amp;Tabela1[[#This Row],[Código]]&amp;"/"&amp;Tabela1[[#This Row],[Origem]]</f>
        <v>Popara-H156P839/ES</v>
      </c>
      <c r="F413" s="88">
        <v>45693</v>
      </c>
      <c r="G413" s="88" t="str" cm="1">
        <f t="array" ref="G4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AND(F413&gt;= DATE(2026,1,1), F413&lt;= DATE(2028, 12, 31), J413&gt;50000), "Pendente e Caro", AND(F413&gt;= DATE(2026,1,1), F413&lt;= DATE(2028, 12, 31), J413&lt;=50000), "Pendente", F413&gt;= DATE(2029,1,1), "Não prioeitário")</f>
        <v>Urgente e Caro</v>
      </c>
      <c r="H413" s="89">
        <f>YEAR(Tabela1[[#This Row],[Data de Validade]])</f>
        <v>2025</v>
      </c>
      <c r="I413" s="89">
        <f>MONTH(Tabela1[[#This Row],[Data de Validade]])</f>
        <v>2</v>
      </c>
      <c r="J413" s="101">
        <v>95102</v>
      </c>
      <c r="K413" s="87" t="s">
        <v>9</v>
      </c>
      <c r="L413" s="108"/>
      <c r="M413" s="108"/>
      <c r="N413" s="108" t="str">
        <v>H156P839</v>
      </c>
      <c r="O413" s="108">
        <f t="shared" si="8"/>
        <v>1</v>
      </c>
      <c r="P413" s="108"/>
      <c r="Q413"/>
    </row>
    <row r="414" spans="1:17" x14ac:dyDescent="0.25">
      <c r="A414" s="89" t="s">
        <v>7128</v>
      </c>
      <c r="B414" s="87" t="s">
        <v>7129</v>
      </c>
      <c r="C414" s="87" t="s">
        <v>13</v>
      </c>
      <c r="D414" s="87" t="str">
        <f>VLOOKUP(Tabela1[[#This Row],[Origem]], 'Perguntas 1 a 24'!$J$28:$K$34, 2, 0)</f>
        <v>Sudeste</v>
      </c>
      <c r="E414" s="87" t="str">
        <f>Tabela1[[#This Row],[Descrição]]&amp;"-"&amp;Tabela1[[#This Row],[Código]]&amp;"/"&amp;Tabela1[[#This Row],[Origem]]</f>
        <v>Vorepemi-H735P625/SP</v>
      </c>
      <c r="F414" s="88">
        <v>45693</v>
      </c>
      <c r="G414" s="88" t="str" cm="1">
        <f t="array" ref="G4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AND(F414&gt;= DATE(2026,1,1), F414&lt;= DATE(2028, 12, 31), J414&gt;50000), "Pendente e Caro", AND(F414&gt;= DATE(2026,1,1), F414&lt;= DATE(2028, 12, 31), J414&lt;=50000), "Pendente", F414&gt;= DATE(2029,1,1), "Não prioeitário")</f>
        <v>Urgente e Caro</v>
      </c>
      <c r="H414" s="89">
        <f>YEAR(Tabela1[[#This Row],[Data de Validade]])</f>
        <v>2025</v>
      </c>
      <c r="I414" s="89">
        <f>MONTH(Tabela1[[#This Row],[Data de Validade]])</f>
        <v>2</v>
      </c>
      <c r="J414" s="101">
        <v>52141</v>
      </c>
      <c r="K414" s="87" t="s">
        <v>14</v>
      </c>
      <c r="L414" s="108"/>
      <c r="M414" s="108"/>
      <c r="N414" s="108" t="str">
        <v>H735P625</v>
      </c>
      <c r="O414" s="108">
        <f t="shared" si="8"/>
        <v>1</v>
      </c>
      <c r="P414" s="108"/>
      <c r="Q414"/>
    </row>
    <row r="415" spans="1:17" x14ac:dyDescent="0.25">
      <c r="A415" s="89" t="s">
        <v>9833</v>
      </c>
      <c r="B415" s="87" t="s">
        <v>9834</v>
      </c>
      <c r="C415" s="87" t="s">
        <v>10</v>
      </c>
      <c r="D415" s="87" t="str">
        <f>VLOOKUP(Tabela1[[#This Row],[Origem]], 'Perguntas 1 a 24'!$J$28:$K$34, 2, 0)</f>
        <v>Centro-Oeste</v>
      </c>
      <c r="E415" s="87" t="str">
        <f>Tabela1[[#This Row],[Descrição]]&amp;"-"&amp;Tabela1[[#This Row],[Código]]&amp;"/"&amp;Tabela1[[#This Row],[Origem]]</f>
        <v>Notolati-P227P448/GO</v>
      </c>
      <c r="F415" s="88">
        <v>45693</v>
      </c>
      <c r="G415" s="88" t="str" cm="1">
        <f t="array" ref="G4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AND(F415&gt;= DATE(2026,1,1), F415&lt;= DATE(2028, 12, 31), J415&gt;50000), "Pendente e Caro", AND(F415&gt;= DATE(2026,1,1), F415&lt;= DATE(2028, 12, 31), J415&lt;=50000), "Pendente", F415&gt;= DATE(2029,1,1), "Não prioeitário")</f>
        <v>Urgente</v>
      </c>
      <c r="H415" s="89">
        <f>YEAR(Tabela1[[#This Row],[Data de Validade]])</f>
        <v>2025</v>
      </c>
      <c r="I415" s="89">
        <f>MONTH(Tabela1[[#This Row],[Data de Validade]])</f>
        <v>2</v>
      </c>
      <c r="J415" s="101">
        <v>48330</v>
      </c>
      <c r="K415" s="87" t="s">
        <v>14</v>
      </c>
      <c r="L415" s="108"/>
      <c r="M415" s="108"/>
      <c r="N415" s="108" t="str">
        <v>P227P448</v>
      </c>
      <c r="O415" s="108">
        <f t="shared" si="8"/>
        <v>1</v>
      </c>
      <c r="P415" s="108"/>
      <c r="Q415"/>
    </row>
    <row r="416" spans="1:17" x14ac:dyDescent="0.25">
      <c r="A416" s="89" t="s">
        <v>6014</v>
      </c>
      <c r="B416" s="87" t="s">
        <v>6015</v>
      </c>
      <c r="C416" s="87" t="s">
        <v>16</v>
      </c>
      <c r="D416" s="87" t="str">
        <f>VLOOKUP(Tabela1[[#This Row],[Origem]], 'Perguntas 1 a 24'!$J$28:$K$34, 2, 0)</f>
        <v>Sudeste</v>
      </c>
      <c r="E416" s="87" t="str">
        <f>Tabela1[[#This Row],[Descrição]]&amp;"-"&amp;Tabela1[[#This Row],[Código]]&amp;"/"&amp;Tabela1[[#This Row],[Origem]]</f>
        <v>Tutofagecu-H974H952/MG</v>
      </c>
      <c r="F416" s="88">
        <v>45693</v>
      </c>
      <c r="G416" s="88" t="str" cm="1">
        <f t="array" ref="G4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AND(F416&gt;= DATE(2026,1,1), F416&lt;= DATE(2028, 12, 31), J416&gt;50000), "Pendente e Caro", AND(F416&gt;= DATE(2026,1,1), F416&lt;= DATE(2028, 12, 31), J416&lt;=50000), "Pendente", F416&gt;= DATE(2029,1,1), "Não prioeitário")</f>
        <v>Urgente</v>
      </c>
      <c r="H416" s="89">
        <f>YEAR(Tabela1[[#This Row],[Data de Validade]])</f>
        <v>2025</v>
      </c>
      <c r="I416" s="89">
        <f>MONTH(Tabela1[[#This Row],[Data de Validade]])</f>
        <v>2</v>
      </c>
      <c r="J416" s="101">
        <v>27697</v>
      </c>
      <c r="K416" s="87" t="s">
        <v>11</v>
      </c>
      <c r="L416" s="108"/>
      <c r="M416" s="108"/>
      <c r="N416" s="108" t="str">
        <v>H974H952</v>
      </c>
      <c r="O416" s="108">
        <f t="shared" si="8"/>
        <v>1</v>
      </c>
      <c r="P416" s="108"/>
      <c r="Q416"/>
    </row>
    <row r="417" spans="1:17" x14ac:dyDescent="0.25">
      <c r="A417" s="89" t="s">
        <v>10329</v>
      </c>
      <c r="B417" s="87" t="s">
        <v>10330</v>
      </c>
      <c r="C417" s="87" t="s">
        <v>8</v>
      </c>
      <c r="D417" s="87" t="str">
        <f>VLOOKUP(Tabela1[[#This Row],[Origem]], 'Perguntas 1 a 24'!$J$28:$K$34, 2, 0)</f>
        <v>Nordeste</v>
      </c>
      <c r="E417" s="87" t="str">
        <f>Tabela1[[#This Row],[Descrição]]&amp;"-"&amp;Tabela1[[#This Row],[Código]]&amp;"/"&amp;Tabela1[[#This Row],[Origem]]</f>
        <v>Rumere-H951H169/AL</v>
      </c>
      <c r="F417" s="88">
        <v>45693</v>
      </c>
      <c r="G417" s="88" t="str" cm="1">
        <f t="array" ref="G4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AND(F417&gt;= DATE(2026,1,1), F417&lt;= DATE(2028, 12, 31), J417&gt;50000), "Pendente e Caro", AND(F417&gt;= DATE(2026,1,1), F417&lt;= DATE(2028, 12, 31), J417&lt;=50000), "Pendente", F417&gt;= DATE(2029,1,1), "Não prioeitário")</f>
        <v>Urgente</v>
      </c>
      <c r="H417" s="89">
        <f>YEAR(Tabela1[[#This Row],[Data de Validade]])</f>
        <v>2025</v>
      </c>
      <c r="I417" s="89">
        <f>MONTH(Tabela1[[#This Row],[Data de Validade]])</f>
        <v>2</v>
      </c>
      <c r="J417" s="101">
        <v>23264</v>
      </c>
      <c r="K417" s="87" t="s">
        <v>7</v>
      </c>
      <c r="L417" s="108"/>
      <c r="M417" s="108"/>
      <c r="N417" s="108" t="str">
        <v>H951H169</v>
      </c>
      <c r="O417" s="108">
        <f t="shared" si="8"/>
        <v>1</v>
      </c>
      <c r="P417" s="108"/>
      <c r="Q417"/>
    </row>
    <row r="418" spans="1:17" x14ac:dyDescent="0.25">
      <c r="A418" s="89" t="s">
        <v>6542</v>
      </c>
      <c r="B418" s="87" t="s">
        <v>6543</v>
      </c>
      <c r="C418" s="87" t="s">
        <v>12</v>
      </c>
      <c r="D418" s="87" t="str">
        <f>VLOOKUP(Tabela1[[#This Row],[Origem]], 'Perguntas 1 a 24'!$J$28:$K$34, 2, 0)</f>
        <v>Sudeste</v>
      </c>
      <c r="E418" s="87" t="str">
        <f>Tabela1[[#This Row],[Descrição]]&amp;"-"&amp;Tabela1[[#This Row],[Código]]&amp;"/"&amp;Tabela1[[#This Row],[Origem]]</f>
        <v>Nivapi-H488H873/RJ</v>
      </c>
      <c r="F418" s="88">
        <v>45694</v>
      </c>
      <c r="G418" s="88" t="str" cm="1">
        <f t="array" ref="G4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AND(F418&gt;= DATE(2026,1,1), F418&lt;= DATE(2028, 12, 31), J418&gt;50000), "Pendente e Caro", AND(F418&gt;= DATE(2026,1,1), F418&lt;= DATE(2028, 12, 31), J418&lt;=50000), "Pendente", F418&gt;= DATE(2029,1,1), "Não prioeitário")</f>
        <v>Urgente e Caro</v>
      </c>
      <c r="H418" s="89">
        <f>YEAR(Tabela1[[#This Row],[Data de Validade]])</f>
        <v>2025</v>
      </c>
      <c r="I418" s="89">
        <f>MONTH(Tabela1[[#This Row],[Data de Validade]])</f>
        <v>2</v>
      </c>
      <c r="J418" s="101">
        <v>71769</v>
      </c>
      <c r="K418" s="87" t="s">
        <v>9</v>
      </c>
      <c r="L418" s="108"/>
      <c r="M418" s="108"/>
      <c r="N418" s="108" t="str">
        <v>H488H873</v>
      </c>
      <c r="O418" s="108">
        <f t="shared" si="8"/>
        <v>1</v>
      </c>
      <c r="P418" s="108"/>
      <c r="Q418"/>
    </row>
    <row r="419" spans="1:17" x14ac:dyDescent="0.25">
      <c r="A419" s="89" t="s">
        <v>7530</v>
      </c>
      <c r="B419" s="87" t="s">
        <v>7531</v>
      </c>
      <c r="C419" s="87" t="s">
        <v>15</v>
      </c>
      <c r="D419" s="87" t="str">
        <f>VLOOKUP(Tabela1[[#This Row],[Origem]], 'Perguntas 1 a 24'!$J$28:$K$34, 2, 0)</f>
        <v>Sudeste</v>
      </c>
      <c r="E419" s="87" t="str">
        <f>Tabela1[[#This Row],[Descrição]]&amp;"-"&amp;Tabela1[[#This Row],[Código]]&amp;"/"&amp;Tabela1[[#This Row],[Origem]]</f>
        <v>Mupalini-P155H671/ES</v>
      </c>
      <c r="F419" s="88">
        <v>45694</v>
      </c>
      <c r="G419" s="88" t="str" cm="1">
        <f t="array" ref="G4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AND(F419&gt;= DATE(2026,1,1), F419&lt;= DATE(2028, 12, 31), J419&gt;50000), "Pendente e Caro", AND(F419&gt;= DATE(2026,1,1), F419&lt;= DATE(2028, 12, 31), J419&lt;=50000), "Pendente", F419&gt;= DATE(2029,1,1), "Não prioeitário")</f>
        <v>Urgente e Caro</v>
      </c>
      <c r="H419" s="89">
        <f>YEAR(Tabela1[[#This Row],[Data de Validade]])</f>
        <v>2025</v>
      </c>
      <c r="I419" s="89">
        <f>MONTH(Tabela1[[#This Row],[Data de Validade]])</f>
        <v>2</v>
      </c>
      <c r="J419" s="101">
        <v>56883</v>
      </c>
      <c r="K419" s="87" t="s">
        <v>7</v>
      </c>
      <c r="L419" s="108"/>
      <c r="M419" s="108"/>
      <c r="N419" s="108" t="str">
        <v>P155H671</v>
      </c>
      <c r="O419" s="108">
        <f t="shared" si="8"/>
        <v>1</v>
      </c>
      <c r="P419" s="108"/>
      <c r="Q419"/>
    </row>
    <row r="420" spans="1:17" x14ac:dyDescent="0.25">
      <c r="A420" s="89" t="s">
        <v>10909</v>
      </c>
      <c r="B420" s="87" t="s">
        <v>10910</v>
      </c>
      <c r="C420" s="87" t="s">
        <v>13</v>
      </c>
      <c r="D420" s="87" t="str">
        <f>VLOOKUP(Tabela1[[#This Row],[Origem]], 'Perguntas 1 a 24'!$J$28:$K$34, 2, 0)</f>
        <v>Sudeste</v>
      </c>
      <c r="E420" s="87" t="str">
        <f>Tabela1[[#This Row],[Descrição]]&amp;"-"&amp;Tabela1[[#This Row],[Código]]&amp;"/"&amp;Tabela1[[#This Row],[Origem]]</f>
        <v>Tivepiroco-P135H369/SP</v>
      </c>
      <c r="F420" s="88">
        <v>45695</v>
      </c>
      <c r="G420" s="88" t="str" cm="1">
        <f t="array" ref="G4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AND(F420&gt;= DATE(2026,1,1), F420&lt;= DATE(2028, 12, 31), J420&gt;50000), "Pendente e Caro", AND(F420&gt;= DATE(2026,1,1), F420&lt;= DATE(2028, 12, 31), J420&lt;=50000), "Pendente", F420&gt;= DATE(2029,1,1), "Não prioeitário")</f>
        <v>Urgente e Caro</v>
      </c>
      <c r="H420" s="89">
        <f>YEAR(Tabela1[[#This Row],[Data de Validade]])</f>
        <v>2025</v>
      </c>
      <c r="I420" s="89">
        <f>MONTH(Tabela1[[#This Row],[Data de Validade]])</f>
        <v>2</v>
      </c>
      <c r="J420" s="101">
        <v>77232</v>
      </c>
      <c r="K420" s="87" t="s">
        <v>14</v>
      </c>
      <c r="L420" s="108"/>
      <c r="M420" s="108"/>
      <c r="N420" s="108" t="str">
        <v>P135H369</v>
      </c>
      <c r="O420" s="108">
        <f t="shared" si="8"/>
        <v>1</v>
      </c>
      <c r="P420" s="108"/>
      <c r="Q420"/>
    </row>
    <row r="421" spans="1:17" x14ac:dyDescent="0.25">
      <c r="A421" s="89" t="s">
        <v>11298</v>
      </c>
      <c r="B421" s="87" t="s">
        <v>11299</v>
      </c>
      <c r="C421" s="87" t="s">
        <v>10</v>
      </c>
      <c r="D421" s="87" t="str">
        <f>VLOOKUP(Tabela1[[#This Row],[Origem]], 'Perguntas 1 a 24'!$J$28:$K$34, 2, 0)</f>
        <v>Centro-Oeste</v>
      </c>
      <c r="E421" s="87" t="str">
        <f>Tabela1[[#This Row],[Descrição]]&amp;"-"&amp;Tabela1[[#This Row],[Código]]&amp;"/"&amp;Tabela1[[#This Row],[Origem]]</f>
        <v>Gepite-H532P648/GO</v>
      </c>
      <c r="F421" s="88">
        <v>45696</v>
      </c>
      <c r="G421" s="88" t="str" cm="1">
        <f t="array" ref="G4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AND(F421&gt;= DATE(2026,1,1), F421&lt;= DATE(2028, 12, 31), J421&gt;50000), "Pendente e Caro", AND(F421&gt;= DATE(2026,1,1), F421&lt;= DATE(2028, 12, 31), J421&lt;=50000), "Pendente", F421&gt;= DATE(2029,1,1), "Não prioeitário")</f>
        <v>Urgente e Caro</v>
      </c>
      <c r="H421" s="89">
        <f>YEAR(Tabela1[[#This Row],[Data de Validade]])</f>
        <v>2025</v>
      </c>
      <c r="I421" s="89">
        <f>MONTH(Tabela1[[#This Row],[Data de Validade]])</f>
        <v>2</v>
      </c>
      <c r="J421" s="101">
        <v>107484</v>
      </c>
      <c r="K421" s="87" t="s">
        <v>9</v>
      </c>
      <c r="L421" s="108"/>
      <c r="M421" s="108"/>
      <c r="N421" s="108" t="str">
        <v>H532P648</v>
      </c>
      <c r="O421" s="108">
        <f t="shared" si="8"/>
        <v>1</v>
      </c>
      <c r="P421" s="108"/>
      <c r="Q421"/>
    </row>
    <row r="422" spans="1:17" x14ac:dyDescent="0.25">
      <c r="A422" s="89" t="s">
        <v>9153</v>
      </c>
      <c r="B422" s="87" t="s">
        <v>9154</v>
      </c>
      <c r="C422" s="87" t="s">
        <v>8</v>
      </c>
      <c r="D422" s="87" t="str">
        <f>VLOOKUP(Tabela1[[#This Row],[Origem]], 'Perguntas 1 a 24'!$J$28:$K$34, 2, 0)</f>
        <v>Nordeste</v>
      </c>
      <c r="E422" s="87" t="str">
        <f>Tabela1[[#This Row],[Descrição]]&amp;"-"&amp;Tabela1[[#This Row],[Código]]&amp;"/"&amp;Tabela1[[#This Row],[Origem]]</f>
        <v>Lalodarole-P223P364/AL</v>
      </c>
      <c r="F422" s="88">
        <v>45696</v>
      </c>
      <c r="G422" s="88" t="str" cm="1">
        <f t="array" ref="G4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AND(F422&gt;= DATE(2026,1,1), F422&lt;= DATE(2028, 12, 31), J422&gt;50000), "Pendente e Caro", AND(F422&gt;= DATE(2026,1,1), F422&lt;= DATE(2028, 12, 31), J422&lt;=50000), "Pendente", F422&gt;= DATE(2029,1,1), "Não prioeitário")</f>
        <v>Urgente e Caro</v>
      </c>
      <c r="H422" s="89">
        <f>YEAR(Tabela1[[#This Row],[Data de Validade]])</f>
        <v>2025</v>
      </c>
      <c r="I422" s="89">
        <f>MONTH(Tabela1[[#This Row],[Data de Validade]])</f>
        <v>2</v>
      </c>
      <c r="J422" s="101">
        <v>83878</v>
      </c>
      <c r="K422" s="87" t="s">
        <v>7</v>
      </c>
      <c r="L422" s="108"/>
      <c r="M422" s="108"/>
      <c r="N422" s="108" t="str">
        <v>P223P364</v>
      </c>
      <c r="O422" s="108">
        <f t="shared" si="8"/>
        <v>1</v>
      </c>
      <c r="P422" s="108"/>
      <c r="Q422"/>
    </row>
    <row r="423" spans="1:17" x14ac:dyDescent="0.25">
      <c r="A423" s="89" t="s">
        <v>8751</v>
      </c>
      <c r="B423" s="87" t="s">
        <v>8752</v>
      </c>
      <c r="C423" s="87" t="s">
        <v>13</v>
      </c>
      <c r="D423" s="87" t="str">
        <f>VLOOKUP(Tabela1[[#This Row],[Origem]], 'Perguntas 1 a 24'!$J$28:$K$34, 2, 0)</f>
        <v>Sudeste</v>
      </c>
      <c r="E423" s="87" t="str">
        <f>Tabela1[[#This Row],[Descrição]]&amp;"-"&amp;Tabela1[[#This Row],[Código]]&amp;"/"&amp;Tabela1[[#This Row],[Origem]]</f>
        <v>Lamavoralo-H341H997/SP</v>
      </c>
      <c r="F423" s="88">
        <v>45696</v>
      </c>
      <c r="G423" s="88" t="str" cm="1">
        <f t="array" ref="G4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AND(F423&gt;= DATE(2026,1,1), F423&lt;= DATE(2028, 12, 31), J423&gt;50000), "Pendente e Caro", AND(F423&gt;= DATE(2026,1,1), F423&lt;= DATE(2028, 12, 31), J423&lt;=50000), "Pendente", F423&gt;= DATE(2029,1,1), "Não prioeitário")</f>
        <v>Urgente e Caro</v>
      </c>
      <c r="H423" s="89">
        <f>YEAR(Tabela1[[#This Row],[Data de Validade]])</f>
        <v>2025</v>
      </c>
      <c r="I423" s="89">
        <f>MONTH(Tabela1[[#This Row],[Data de Validade]])</f>
        <v>2</v>
      </c>
      <c r="J423" s="101">
        <v>78492</v>
      </c>
      <c r="K423" s="87" t="s">
        <v>11</v>
      </c>
      <c r="L423" s="108"/>
      <c r="M423" s="108"/>
      <c r="N423" s="108" t="str">
        <v>H341H997</v>
      </c>
      <c r="O423" s="108">
        <f t="shared" si="8"/>
        <v>1</v>
      </c>
      <c r="P423" s="108"/>
      <c r="Q423"/>
    </row>
    <row r="424" spans="1:17" x14ac:dyDescent="0.25">
      <c r="A424" s="89" t="s">
        <v>4180</v>
      </c>
      <c r="B424" s="87" t="s">
        <v>4181</v>
      </c>
      <c r="C424" s="87" t="s">
        <v>8</v>
      </c>
      <c r="D424" s="87" t="str">
        <f>VLOOKUP(Tabela1[[#This Row],[Origem]], 'Perguntas 1 a 24'!$J$28:$K$34, 2, 0)</f>
        <v>Nordeste</v>
      </c>
      <c r="E424" s="87" t="str">
        <f>Tabela1[[#This Row],[Descrição]]&amp;"-"&amp;Tabela1[[#This Row],[Código]]&amp;"/"&amp;Tabela1[[#This Row],[Origem]]</f>
        <v>Titicume-H671P679/AL</v>
      </c>
      <c r="F424" s="88">
        <v>45698</v>
      </c>
      <c r="G424" s="88" t="str" cm="1">
        <f t="array" ref="G4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AND(F424&gt;= DATE(2026,1,1), F424&lt;= DATE(2028, 12, 31), J424&gt;50000), "Pendente e Caro", AND(F424&gt;= DATE(2026,1,1), F424&lt;= DATE(2028, 12, 31), J424&lt;=50000), "Pendente", F424&gt;= DATE(2029,1,1), "Não prioeitário")</f>
        <v>Urgente e Caro</v>
      </c>
      <c r="H424" s="89">
        <f>YEAR(Tabela1[[#This Row],[Data de Validade]])</f>
        <v>2025</v>
      </c>
      <c r="I424" s="89">
        <f>MONTH(Tabela1[[#This Row],[Data de Validade]])</f>
        <v>2</v>
      </c>
      <c r="J424" s="101">
        <v>93083</v>
      </c>
      <c r="K424" s="87" t="s">
        <v>14</v>
      </c>
      <c r="L424" s="108"/>
      <c r="M424" s="108"/>
      <c r="N424" s="108" t="str">
        <v>H671P679</v>
      </c>
      <c r="O424" s="108">
        <f t="shared" si="8"/>
        <v>1</v>
      </c>
      <c r="P424" s="108"/>
      <c r="Q424"/>
    </row>
    <row r="425" spans="1:17" x14ac:dyDescent="0.25">
      <c r="A425" s="89" t="s">
        <v>11220</v>
      </c>
      <c r="B425" s="87" t="s">
        <v>11221</v>
      </c>
      <c r="C425" s="87" t="s">
        <v>8</v>
      </c>
      <c r="D425" s="87" t="str">
        <f>VLOOKUP(Tabela1[[#This Row],[Origem]], 'Perguntas 1 a 24'!$J$28:$K$34, 2, 0)</f>
        <v>Nordeste</v>
      </c>
      <c r="E425" s="87" t="str">
        <f>Tabela1[[#This Row],[Descrição]]&amp;"-"&amp;Tabela1[[#This Row],[Código]]&amp;"/"&amp;Tabela1[[#This Row],[Origem]]</f>
        <v>Turalomepu-H976H576/AL</v>
      </c>
      <c r="F425" s="88">
        <v>45698</v>
      </c>
      <c r="G425" s="88" t="str" cm="1">
        <f t="array" ref="G4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AND(F425&gt;= DATE(2026,1,1), F425&lt;= DATE(2028, 12, 31), J425&gt;50000), "Pendente e Caro", AND(F425&gt;= DATE(2026,1,1), F425&lt;= DATE(2028, 12, 31), J425&lt;=50000), "Pendente", F425&gt;= DATE(2029,1,1), "Não prioeitário")</f>
        <v>Urgente e Caro</v>
      </c>
      <c r="H425" s="89">
        <f>YEAR(Tabela1[[#This Row],[Data de Validade]])</f>
        <v>2025</v>
      </c>
      <c r="I425" s="89">
        <f>MONTH(Tabela1[[#This Row],[Data de Validade]])</f>
        <v>2</v>
      </c>
      <c r="J425" s="101">
        <v>89066</v>
      </c>
      <c r="K425" s="87" t="s">
        <v>11</v>
      </c>
      <c r="L425" s="108"/>
      <c r="M425" s="108"/>
      <c r="N425" s="108" t="str">
        <v>H976H576</v>
      </c>
      <c r="O425" s="108">
        <f t="shared" si="8"/>
        <v>1</v>
      </c>
      <c r="P425" s="108"/>
      <c r="Q425"/>
    </row>
    <row r="426" spans="1:17" x14ac:dyDescent="0.25">
      <c r="A426" s="89" t="s">
        <v>8124</v>
      </c>
      <c r="B426" s="87" t="s">
        <v>8125</v>
      </c>
      <c r="C426" s="87" t="s">
        <v>13</v>
      </c>
      <c r="D426" s="87" t="str">
        <f>VLOOKUP(Tabela1[[#This Row],[Origem]], 'Perguntas 1 a 24'!$J$28:$K$34, 2, 0)</f>
        <v>Sudeste</v>
      </c>
      <c r="E426" s="87" t="str">
        <f>Tabela1[[#This Row],[Descrição]]&amp;"-"&amp;Tabela1[[#This Row],[Código]]&amp;"/"&amp;Tabela1[[#This Row],[Origem]]</f>
        <v>Tupamifeme-H786P866/SP</v>
      </c>
      <c r="F426" s="88">
        <v>45698</v>
      </c>
      <c r="G426" s="88" t="str" cm="1">
        <f t="array" ref="G4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AND(F426&gt;= DATE(2026,1,1), F426&lt;= DATE(2028, 12, 31), J426&gt;50000), "Pendente e Caro", AND(F426&gt;= DATE(2026,1,1), F426&lt;= DATE(2028, 12, 31), J426&lt;=50000), "Pendente", F426&gt;= DATE(2029,1,1), "Não prioeitário")</f>
        <v>Urgente e Caro</v>
      </c>
      <c r="H426" s="89">
        <f>YEAR(Tabela1[[#This Row],[Data de Validade]])</f>
        <v>2025</v>
      </c>
      <c r="I426" s="89">
        <f>MONTH(Tabela1[[#This Row],[Data de Validade]])</f>
        <v>2</v>
      </c>
      <c r="J426" s="101">
        <v>57242</v>
      </c>
      <c r="K426" s="87" t="s">
        <v>14</v>
      </c>
      <c r="L426" s="108"/>
      <c r="M426" s="108"/>
      <c r="N426" s="108" t="str">
        <v>H786P866</v>
      </c>
      <c r="O426" s="108">
        <f t="shared" si="8"/>
        <v>1</v>
      </c>
      <c r="P426" s="108"/>
      <c r="Q426"/>
    </row>
    <row r="427" spans="1:17" x14ac:dyDescent="0.25">
      <c r="A427" s="89" t="s">
        <v>10817</v>
      </c>
      <c r="B427" s="87" t="s">
        <v>10818</v>
      </c>
      <c r="C427" s="87" t="s">
        <v>16</v>
      </c>
      <c r="D427" s="87" t="str">
        <f>VLOOKUP(Tabela1[[#This Row],[Origem]], 'Perguntas 1 a 24'!$J$28:$K$34, 2, 0)</f>
        <v>Sudeste</v>
      </c>
      <c r="E427" s="87" t="str">
        <f>Tabela1[[#This Row],[Descrição]]&amp;"-"&amp;Tabela1[[#This Row],[Código]]&amp;"/"&amp;Tabela1[[#This Row],[Origem]]</f>
        <v>Dicerupi-P934P231/MG</v>
      </c>
      <c r="F427" s="88">
        <v>45700</v>
      </c>
      <c r="G427" s="88" t="str" cm="1">
        <f t="array" ref="G4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AND(F427&gt;= DATE(2026,1,1), F427&lt;= DATE(2028, 12, 31), J427&gt;50000), "Pendente e Caro", AND(F427&gt;= DATE(2026,1,1), F427&lt;= DATE(2028, 12, 31), J427&lt;=50000), "Pendente", F427&gt;= DATE(2029,1,1), "Não prioeitário")</f>
        <v>Urgente e Caro</v>
      </c>
      <c r="H427" s="89">
        <f>YEAR(Tabela1[[#This Row],[Data de Validade]])</f>
        <v>2025</v>
      </c>
      <c r="I427" s="89">
        <f>MONTH(Tabela1[[#This Row],[Data de Validade]])</f>
        <v>2</v>
      </c>
      <c r="J427" s="101">
        <v>76212</v>
      </c>
      <c r="K427" s="87" t="s">
        <v>14</v>
      </c>
      <c r="L427" s="108"/>
      <c r="M427" s="108"/>
      <c r="N427" s="108" t="str">
        <v>P934P231</v>
      </c>
      <c r="O427" s="108">
        <f t="shared" si="8"/>
        <v>1</v>
      </c>
      <c r="P427" s="108"/>
      <c r="Q427"/>
    </row>
    <row r="428" spans="1:17" x14ac:dyDescent="0.25">
      <c r="A428" s="89" t="s">
        <v>6386</v>
      </c>
      <c r="B428" s="87" t="s">
        <v>6387</v>
      </c>
      <c r="C428" s="87" t="s">
        <v>10</v>
      </c>
      <c r="D428" s="87" t="str">
        <f>VLOOKUP(Tabela1[[#This Row],[Origem]], 'Perguntas 1 a 24'!$J$28:$K$34, 2, 0)</f>
        <v>Centro-Oeste</v>
      </c>
      <c r="E428" s="87" t="str">
        <f>Tabela1[[#This Row],[Descrição]]&amp;"-"&amp;Tabela1[[#This Row],[Código]]&amp;"/"&amp;Tabela1[[#This Row],[Origem]]</f>
        <v>Dilifofuvo-P356H585/GO</v>
      </c>
      <c r="F428" s="88">
        <v>45700</v>
      </c>
      <c r="G428" s="88" t="str" cm="1">
        <f t="array" ref="G4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AND(F428&gt;= DATE(2026,1,1), F428&lt;= DATE(2028, 12, 31), J428&gt;50000), "Pendente e Caro", AND(F428&gt;= DATE(2026,1,1), F428&lt;= DATE(2028, 12, 31), J428&lt;=50000), "Pendente", F428&gt;= DATE(2029,1,1), "Não prioeitário")</f>
        <v>Urgente e Caro</v>
      </c>
      <c r="H428" s="89">
        <f>YEAR(Tabela1[[#This Row],[Data de Validade]])</f>
        <v>2025</v>
      </c>
      <c r="I428" s="89">
        <f>MONTH(Tabela1[[#This Row],[Data de Validade]])</f>
        <v>2</v>
      </c>
      <c r="J428" s="101">
        <v>55479</v>
      </c>
      <c r="K428" s="87" t="s">
        <v>11</v>
      </c>
      <c r="L428" s="108"/>
      <c r="M428" s="108"/>
      <c r="N428" s="108" t="str">
        <v>P356H585</v>
      </c>
      <c r="O428" s="108">
        <f t="shared" si="8"/>
        <v>1</v>
      </c>
      <c r="P428" s="108"/>
      <c r="Q428"/>
    </row>
    <row r="429" spans="1:17" x14ac:dyDescent="0.25">
      <c r="A429" s="89" t="s">
        <v>8178</v>
      </c>
      <c r="B429" s="87" t="s">
        <v>8179</v>
      </c>
      <c r="C429" s="87" t="s">
        <v>13</v>
      </c>
      <c r="D429" s="87" t="str">
        <f>VLOOKUP(Tabela1[[#This Row],[Origem]], 'Perguntas 1 a 24'!$J$28:$K$34, 2, 0)</f>
        <v>Sudeste</v>
      </c>
      <c r="E429" s="87" t="str">
        <f>Tabela1[[#This Row],[Descrição]]&amp;"-"&amp;Tabela1[[#This Row],[Código]]&amp;"/"&amp;Tabela1[[#This Row],[Origem]]</f>
        <v>Ronapunoco-P441H454/SP</v>
      </c>
      <c r="F429" s="88">
        <v>45700</v>
      </c>
      <c r="G429" s="88" t="str" cm="1">
        <f t="array" ref="G4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AND(F429&gt;= DATE(2026,1,1), F429&lt;= DATE(2028, 12, 31), J429&gt;50000), "Pendente e Caro", AND(F429&gt;= DATE(2026,1,1), F429&lt;= DATE(2028, 12, 31), J429&lt;=50000), "Pendente", F429&gt;= DATE(2029,1,1), "Não prioeitário")</f>
        <v>Urgente</v>
      </c>
      <c r="H429" s="89">
        <f>YEAR(Tabela1[[#This Row],[Data de Validade]])</f>
        <v>2025</v>
      </c>
      <c r="I429" s="89">
        <f>MONTH(Tabela1[[#This Row],[Data de Validade]])</f>
        <v>2</v>
      </c>
      <c r="J429" s="101">
        <v>47802</v>
      </c>
      <c r="K429" s="87" t="s">
        <v>9</v>
      </c>
      <c r="L429" s="108"/>
      <c r="M429" s="108"/>
      <c r="N429" s="108" t="str">
        <v>P441H454</v>
      </c>
      <c r="O429" s="108">
        <f t="shared" si="8"/>
        <v>1</v>
      </c>
      <c r="P429" s="108"/>
      <c r="Q429"/>
    </row>
    <row r="430" spans="1:17" x14ac:dyDescent="0.25">
      <c r="A430" s="89" t="s">
        <v>3960</v>
      </c>
      <c r="B430" s="87" t="s">
        <v>3961</v>
      </c>
      <c r="C430" s="87" t="s">
        <v>6</v>
      </c>
      <c r="D430" s="87" t="str">
        <f>VLOOKUP(Tabela1[[#This Row],[Origem]], 'Perguntas 1 a 24'!$J$28:$K$34, 2, 0)</f>
        <v>Nordeste</v>
      </c>
      <c r="E430" s="87" t="str">
        <f>Tabela1[[#This Row],[Descrição]]&amp;"-"&amp;Tabela1[[#This Row],[Código]]&amp;"/"&amp;Tabela1[[#This Row],[Origem]]</f>
        <v>Lifirupuci-H314H331/MA</v>
      </c>
      <c r="F430" s="88">
        <v>45701</v>
      </c>
      <c r="G430" s="88" t="str" cm="1">
        <f t="array" ref="G4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AND(F430&gt;= DATE(2026,1,1), F430&lt;= DATE(2028, 12, 31), J430&gt;50000), "Pendente e Caro", AND(F430&gt;= DATE(2026,1,1), F430&lt;= DATE(2028, 12, 31), J430&lt;=50000), "Pendente", F430&gt;= DATE(2029,1,1), "Não prioeitário")</f>
        <v>Urgente e Caro</v>
      </c>
      <c r="H430" s="89">
        <f>YEAR(Tabela1[[#This Row],[Data de Validade]])</f>
        <v>2025</v>
      </c>
      <c r="I430" s="89">
        <f>MONTH(Tabela1[[#This Row],[Data de Validade]])</f>
        <v>2</v>
      </c>
      <c r="J430" s="101">
        <v>106268</v>
      </c>
      <c r="K430" s="87" t="s">
        <v>7</v>
      </c>
      <c r="L430" s="108"/>
      <c r="M430" s="108"/>
      <c r="N430" s="108" t="str">
        <v>H314H331</v>
      </c>
      <c r="O430" s="108">
        <f t="shared" si="8"/>
        <v>1</v>
      </c>
      <c r="P430" s="108"/>
      <c r="Q430"/>
    </row>
    <row r="431" spans="1:17" x14ac:dyDescent="0.25">
      <c r="A431" s="89" t="s">
        <v>9971</v>
      </c>
      <c r="B431" s="87" t="s">
        <v>9972</v>
      </c>
      <c r="C431" s="87" t="s">
        <v>8</v>
      </c>
      <c r="D431" s="87" t="str">
        <f>VLOOKUP(Tabela1[[#This Row],[Origem]], 'Perguntas 1 a 24'!$J$28:$K$34, 2, 0)</f>
        <v>Nordeste</v>
      </c>
      <c r="E431" s="87" t="str">
        <f>Tabela1[[#This Row],[Descrição]]&amp;"-"&amp;Tabela1[[#This Row],[Código]]&amp;"/"&amp;Tabela1[[#This Row],[Origem]]</f>
        <v>Gutiritupi-H868H389/AL</v>
      </c>
      <c r="F431" s="88">
        <v>45701</v>
      </c>
      <c r="G431" s="88" t="str" cm="1">
        <f t="array" ref="G4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AND(F431&gt;= DATE(2026,1,1), F431&lt;= DATE(2028, 12, 31), J431&gt;50000), "Pendente e Caro", AND(F431&gt;= DATE(2026,1,1), F431&lt;= DATE(2028, 12, 31), J431&lt;=50000), "Pendente", F431&gt;= DATE(2029,1,1), "Não prioeitário")</f>
        <v>Urgente</v>
      </c>
      <c r="H431" s="89">
        <f>YEAR(Tabela1[[#This Row],[Data de Validade]])</f>
        <v>2025</v>
      </c>
      <c r="I431" s="89">
        <f>MONTH(Tabela1[[#This Row],[Data de Validade]])</f>
        <v>2</v>
      </c>
      <c r="J431" s="101">
        <v>33966</v>
      </c>
      <c r="K431" s="87" t="s">
        <v>7</v>
      </c>
      <c r="L431" s="108"/>
      <c r="M431" s="108"/>
      <c r="N431" s="108" t="str">
        <v>H868H389</v>
      </c>
      <c r="O431" s="108">
        <f t="shared" si="8"/>
        <v>1</v>
      </c>
      <c r="P431" s="108"/>
      <c r="Q431"/>
    </row>
    <row r="432" spans="1:17" x14ac:dyDescent="0.25">
      <c r="A432" s="89" t="s">
        <v>7044</v>
      </c>
      <c r="B432" s="87" t="s">
        <v>7045</v>
      </c>
      <c r="C432" s="87" t="s">
        <v>16</v>
      </c>
      <c r="D432" s="87" t="str">
        <f>VLOOKUP(Tabela1[[#This Row],[Origem]], 'Perguntas 1 a 24'!$J$28:$K$34, 2, 0)</f>
        <v>Sudeste</v>
      </c>
      <c r="E432" s="87" t="str">
        <f>Tabela1[[#This Row],[Descrição]]&amp;"-"&amp;Tabela1[[#This Row],[Código]]&amp;"/"&amp;Tabela1[[#This Row],[Origem]]</f>
        <v>Negipuri-P346P532/MG</v>
      </c>
      <c r="F432" s="88">
        <v>45704</v>
      </c>
      <c r="G432" s="88" t="str" cm="1">
        <f t="array" ref="G4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AND(F432&gt;= DATE(2026,1,1), F432&lt;= DATE(2028, 12, 31), J432&gt;50000), "Pendente e Caro", AND(F432&gt;= DATE(2026,1,1), F432&lt;= DATE(2028, 12, 31), J432&lt;=50000), "Pendente", F432&gt;= DATE(2029,1,1), "Não prioeitário")</f>
        <v>Urgente e Caro</v>
      </c>
      <c r="H432" s="89">
        <f>YEAR(Tabela1[[#This Row],[Data de Validade]])</f>
        <v>2025</v>
      </c>
      <c r="I432" s="89">
        <f>MONTH(Tabela1[[#This Row],[Data de Validade]])</f>
        <v>2</v>
      </c>
      <c r="J432" s="101">
        <v>53167</v>
      </c>
      <c r="K432" s="87" t="s">
        <v>11</v>
      </c>
      <c r="L432" s="108"/>
      <c r="M432" s="108"/>
      <c r="N432" s="108" t="str">
        <v>P346P532</v>
      </c>
      <c r="O432" s="108">
        <f t="shared" si="8"/>
        <v>1</v>
      </c>
      <c r="P432" s="108"/>
      <c r="Q432"/>
    </row>
    <row r="433" spans="1:17" x14ac:dyDescent="0.25">
      <c r="A433" s="89" t="s">
        <v>7546</v>
      </c>
      <c r="B433" s="87" t="s">
        <v>7547</v>
      </c>
      <c r="C433" s="87" t="s">
        <v>13</v>
      </c>
      <c r="D433" s="87" t="str">
        <f>VLOOKUP(Tabela1[[#This Row],[Origem]], 'Perguntas 1 a 24'!$J$28:$K$34, 2, 0)</f>
        <v>Sudeste</v>
      </c>
      <c r="E433" s="87" t="str">
        <f>Tabela1[[#This Row],[Descrição]]&amp;"-"&amp;Tabela1[[#This Row],[Código]]&amp;"/"&amp;Tabela1[[#This Row],[Origem]]</f>
        <v>Dopodo-P514P652/SP</v>
      </c>
      <c r="F433" s="88">
        <v>45705</v>
      </c>
      <c r="G433" s="88" t="str" cm="1">
        <f t="array" ref="G4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AND(F433&gt;= DATE(2026,1,1), F433&lt;= DATE(2028, 12, 31), J433&gt;50000), "Pendente e Caro", AND(F433&gt;= DATE(2026,1,1), F433&lt;= DATE(2028, 12, 31), J433&lt;=50000), "Pendente", F433&gt;= DATE(2029,1,1), "Não prioeitário")</f>
        <v>Urgente e Caro</v>
      </c>
      <c r="H433" s="89">
        <f>YEAR(Tabela1[[#This Row],[Data de Validade]])</f>
        <v>2025</v>
      </c>
      <c r="I433" s="89">
        <f>MONTH(Tabela1[[#This Row],[Data de Validade]])</f>
        <v>2</v>
      </c>
      <c r="J433" s="101">
        <v>99661</v>
      </c>
      <c r="K433" s="87" t="s">
        <v>11</v>
      </c>
      <c r="L433" s="108"/>
      <c r="M433" s="108"/>
      <c r="N433" s="108" t="str">
        <v>P514P652</v>
      </c>
      <c r="O433" s="108">
        <f t="shared" si="8"/>
        <v>1</v>
      </c>
      <c r="P433" s="108"/>
      <c r="Q433"/>
    </row>
    <row r="434" spans="1:17" x14ac:dyDescent="0.25">
      <c r="A434" s="89" t="s">
        <v>9957</v>
      </c>
      <c r="B434" s="87" t="s">
        <v>9958</v>
      </c>
      <c r="C434" s="87" t="s">
        <v>10</v>
      </c>
      <c r="D434" s="87" t="str">
        <f>VLOOKUP(Tabela1[[#This Row],[Origem]], 'Perguntas 1 a 24'!$J$28:$K$34, 2, 0)</f>
        <v>Centro-Oeste</v>
      </c>
      <c r="E434" s="87" t="str">
        <f>Tabela1[[#This Row],[Descrição]]&amp;"-"&amp;Tabela1[[#This Row],[Código]]&amp;"/"&amp;Tabela1[[#This Row],[Origem]]</f>
        <v>Danape-P459P515/GO</v>
      </c>
      <c r="F434" s="88">
        <v>45707</v>
      </c>
      <c r="G434" s="88" t="str" cm="1">
        <f t="array" ref="G4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AND(F434&gt;= DATE(2026,1,1), F434&lt;= DATE(2028, 12, 31), J434&gt;50000), "Pendente e Caro", AND(F434&gt;= DATE(2026,1,1), F434&lt;= DATE(2028, 12, 31), J434&lt;=50000), "Pendente", F434&gt;= DATE(2029,1,1), "Não prioeitário")</f>
        <v>Urgente e Caro</v>
      </c>
      <c r="H434" s="89">
        <f>YEAR(Tabela1[[#This Row],[Data de Validade]])</f>
        <v>2025</v>
      </c>
      <c r="I434" s="89">
        <f>MONTH(Tabela1[[#This Row],[Data de Validade]])</f>
        <v>2</v>
      </c>
      <c r="J434" s="101">
        <v>90600</v>
      </c>
      <c r="K434" s="87" t="s">
        <v>9</v>
      </c>
      <c r="L434" s="108"/>
      <c r="M434" s="108"/>
      <c r="N434" s="108" t="str">
        <v>P459P515</v>
      </c>
      <c r="O434" s="108">
        <f t="shared" si="8"/>
        <v>1</v>
      </c>
      <c r="P434" s="108"/>
      <c r="Q434"/>
    </row>
    <row r="435" spans="1:17" x14ac:dyDescent="0.25">
      <c r="A435" s="89" t="s">
        <v>9295</v>
      </c>
      <c r="B435" s="87" t="s">
        <v>9296</v>
      </c>
      <c r="C435" s="87" t="s">
        <v>8</v>
      </c>
      <c r="D435" s="87" t="str">
        <f>VLOOKUP(Tabela1[[#This Row],[Origem]], 'Perguntas 1 a 24'!$J$28:$K$34, 2, 0)</f>
        <v>Nordeste</v>
      </c>
      <c r="E435" s="87" t="str">
        <f>Tabela1[[#This Row],[Descrição]]&amp;"-"&amp;Tabela1[[#This Row],[Código]]&amp;"/"&amp;Tabela1[[#This Row],[Origem]]</f>
        <v>Rodupepu-H726H133/AL</v>
      </c>
      <c r="F435" s="88">
        <v>45709</v>
      </c>
      <c r="G435" s="88" t="str" cm="1">
        <f t="array" ref="G4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AND(F435&gt;= DATE(2026,1,1), F435&lt;= DATE(2028, 12, 31), J435&gt;50000), "Pendente e Caro", AND(F435&gt;= DATE(2026,1,1), F435&lt;= DATE(2028, 12, 31), J435&lt;=50000), "Pendente", F435&gt;= DATE(2029,1,1), "Não prioeitário")</f>
        <v>Urgente e Caro</v>
      </c>
      <c r="H435" s="89">
        <f>YEAR(Tabela1[[#This Row],[Data de Validade]])</f>
        <v>2025</v>
      </c>
      <c r="I435" s="89">
        <f>MONTH(Tabela1[[#This Row],[Data de Validade]])</f>
        <v>2</v>
      </c>
      <c r="J435" s="101">
        <v>112369</v>
      </c>
      <c r="K435" s="87" t="s">
        <v>11</v>
      </c>
      <c r="L435" s="108"/>
      <c r="M435" s="108"/>
      <c r="N435" s="108" t="str">
        <v>H726H133</v>
      </c>
      <c r="O435" s="108">
        <f t="shared" si="8"/>
        <v>1</v>
      </c>
      <c r="P435" s="108"/>
      <c r="Q435"/>
    </row>
    <row r="436" spans="1:17" x14ac:dyDescent="0.25">
      <c r="A436" s="89" t="s">
        <v>9441</v>
      </c>
      <c r="B436" s="87" t="s">
        <v>9442</v>
      </c>
      <c r="C436" s="87" t="s">
        <v>12</v>
      </c>
      <c r="D436" s="87" t="str">
        <f>VLOOKUP(Tabela1[[#This Row],[Origem]], 'Perguntas 1 a 24'!$J$28:$K$34, 2, 0)</f>
        <v>Sudeste</v>
      </c>
      <c r="E436" s="87" t="str">
        <f>Tabela1[[#This Row],[Descrição]]&amp;"-"&amp;Tabela1[[#This Row],[Código]]&amp;"/"&amp;Tabela1[[#This Row],[Origem]]</f>
        <v>Nonidi-P254P755/RJ</v>
      </c>
      <c r="F436" s="88">
        <v>45709</v>
      </c>
      <c r="G436" s="88" t="str" cm="1">
        <f t="array" ref="G4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AND(F436&gt;= DATE(2026,1,1), F436&lt;= DATE(2028, 12, 31), J436&gt;50000), "Pendente e Caro", AND(F436&gt;= DATE(2026,1,1), F436&lt;= DATE(2028, 12, 31), J436&lt;=50000), "Pendente", F436&gt;= DATE(2029,1,1), "Não prioeitário")</f>
        <v>Urgente e Caro</v>
      </c>
      <c r="H436" s="89">
        <f>YEAR(Tabela1[[#This Row],[Data de Validade]])</f>
        <v>2025</v>
      </c>
      <c r="I436" s="89">
        <f>MONTH(Tabela1[[#This Row],[Data de Validade]])</f>
        <v>2</v>
      </c>
      <c r="J436" s="101">
        <v>79459</v>
      </c>
      <c r="K436" s="87" t="s">
        <v>9</v>
      </c>
      <c r="L436" s="108"/>
      <c r="M436" s="108"/>
      <c r="N436" s="108" t="str">
        <v>P254P755</v>
      </c>
      <c r="O436" s="108">
        <f t="shared" si="8"/>
        <v>1</v>
      </c>
      <c r="P436" s="108"/>
      <c r="Q436"/>
    </row>
    <row r="437" spans="1:17" x14ac:dyDescent="0.25">
      <c r="A437" s="89" t="s">
        <v>7364</v>
      </c>
      <c r="B437" s="87" t="s">
        <v>7365</v>
      </c>
      <c r="C437" s="87" t="s">
        <v>10</v>
      </c>
      <c r="D437" s="87" t="str">
        <f>VLOOKUP(Tabela1[[#This Row],[Origem]], 'Perguntas 1 a 24'!$J$28:$K$34, 2, 0)</f>
        <v>Centro-Oeste</v>
      </c>
      <c r="E437" s="87" t="str">
        <f>Tabela1[[#This Row],[Descrição]]&amp;"-"&amp;Tabela1[[#This Row],[Código]]&amp;"/"&amp;Tabela1[[#This Row],[Origem]]</f>
        <v>Tarecorepe-P697P831/GO</v>
      </c>
      <c r="F437" s="88">
        <v>45709</v>
      </c>
      <c r="G437" s="88" t="str" cm="1">
        <f t="array" ref="G4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AND(F437&gt;= DATE(2026,1,1), F437&lt;= DATE(2028, 12, 31), J437&gt;50000), "Pendente e Caro", AND(F437&gt;= DATE(2026,1,1), F437&lt;= DATE(2028, 12, 31), J437&lt;=50000), "Pendente", F437&gt;= DATE(2029,1,1), "Não prioeitário")</f>
        <v>Urgente</v>
      </c>
      <c r="H437" s="89">
        <f>YEAR(Tabela1[[#This Row],[Data de Validade]])</f>
        <v>2025</v>
      </c>
      <c r="I437" s="89">
        <f>MONTH(Tabela1[[#This Row],[Data de Validade]])</f>
        <v>2</v>
      </c>
      <c r="J437" s="101">
        <v>40794</v>
      </c>
      <c r="K437" s="87" t="s">
        <v>11</v>
      </c>
      <c r="L437" s="108"/>
      <c r="M437" s="108"/>
      <c r="N437" s="108" t="str">
        <v>P697P831</v>
      </c>
      <c r="O437" s="108">
        <f t="shared" si="8"/>
        <v>1</v>
      </c>
      <c r="P437" s="108"/>
      <c r="Q437"/>
    </row>
    <row r="438" spans="1:17" x14ac:dyDescent="0.25">
      <c r="A438" s="89" t="s">
        <v>6910</v>
      </c>
      <c r="B438" s="87" t="s">
        <v>6911</v>
      </c>
      <c r="C438" s="87" t="s">
        <v>16</v>
      </c>
      <c r="D438" s="87" t="str">
        <f>VLOOKUP(Tabela1[[#This Row],[Origem]], 'Perguntas 1 a 24'!$J$28:$K$34, 2, 0)</f>
        <v>Sudeste</v>
      </c>
      <c r="E438" s="87" t="str">
        <f>Tabela1[[#This Row],[Descrição]]&amp;"-"&amp;Tabela1[[#This Row],[Código]]&amp;"/"&amp;Tabela1[[#This Row],[Origem]]</f>
        <v>Peputevite-H269H179/MG</v>
      </c>
      <c r="F438" s="88">
        <v>45710</v>
      </c>
      <c r="G438" s="88" t="str" cm="1">
        <f t="array" ref="G4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AND(F438&gt;= DATE(2026,1,1), F438&lt;= DATE(2028, 12, 31), J438&gt;50000), "Pendente e Caro", AND(F438&gt;= DATE(2026,1,1), F438&lt;= DATE(2028, 12, 31), J438&lt;=50000), "Pendente", F438&gt;= DATE(2029,1,1), "Não prioeitário")</f>
        <v>Urgente e Caro</v>
      </c>
      <c r="H438" s="89">
        <f>YEAR(Tabela1[[#This Row],[Data de Validade]])</f>
        <v>2025</v>
      </c>
      <c r="I438" s="89">
        <f>MONTH(Tabela1[[#This Row],[Data de Validade]])</f>
        <v>2</v>
      </c>
      <c r="J438" s="101">
        <v>112385</v>
      </c>
      <c r="K438" s="87" t="s">
        <v>11</v>
      </c>
      <c r="L438" s="108"/>
      <c r="M438" s="108"/>
      <c r="N438" s="108" t="str">
        <v>H269H179</v>
      </c>
      <c r="O438" s="108">
        <f t="shared" si="8"/>
        <v>1</v>
      </c>
      <c r="P438" s="108"/>
      <c r="Q438"/>
    </row>
    <row r="439" spans="1:17" x14ac:dyDescent="0.25">
      <c r="A439" s="89" t="s">
        <v>11082</v>
      </c>
      <c r="B439" s="87" t="s">
        <v>11083</v>
      </c>
      <c r="C439" s="87" t="s">
        <v>8</v>
      </c>
      <c r="D439" s="87" t="str">
        <f>VLOOKUP(Tabela1[[#This Row],[Origem]], 'Perguntas 1 a 24'!$J$28:$K$34, 2, 0)</f>
        <v>Nordeste</v>
      </c>
      <c r="E439" s="87" t="str">
        <f>Tabela1[[#This Row],[Descrição]]&amp;"-"&amp;Tabela1[[#This Row],[Código]]&amp;"/"&amp;Tabela1[[#This Row],[Origem]]</f>
        <v>Mutito-P622H447/AL</v>
      </c>
      <c r="F439" s="88">
        <v>45710</v>
      </c>
      <c r="G439" s="88" t="str" cm="1">
        <f t="array" ref="G4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AND(F439&gt;= DATE(2026,1,1), F439&lt;= DATE(2028, 12, 31), J439&gt;50000), "Pendente e Caro", AND(F439&gt;= DATE(2026,1,1), F439&lt;= DATE(2028, 12, 31), J439&lt;=50000), "Pendente", F439&gt;= DATE(2029,1,1), "Não prioeitário")</f>
        <v>Urgente e Caro</v>
      </c>
      <c r="H439" s="89">
        <f>YEAR(Tabela1[[#This Row],[Data de Validade]])</f>
        <v>2025</v>
      </c>
      <c r="I439" s="89">
        <f>MONTH(Tabela1[[#This Row],[Data de Validade]])</f>
        <v>2</v>
      </c>
      <c r="J439" s="101">
        <v>66015</v>
      </c>
      <c r="K439" s="87" t="s">
        <v>11</v>
      </c>
      <c r="L439" s="108"/>
      <c r="M439" s="108"/>
      <c r="N439" s="108" t="str">
        <v>P622H447</v>
      </c>
      <c r="O439" s="108">
        <f t="shared" si="8"/>
        <v>1</v>
      </c>
      <c r="P439" s="108"/>
      <c r="Q439"/>
    </row>
    <row r="440" spans="1:17" x14ac:dyDescent="0.25">
      <c r="A440" s="89" t="s">
        <v>7018</v>
      </c>
      <c r="B440" s="87" t="s">
        <v>7019</v>
      </c>
      <c r="C440" s="87" t="s">
        <v>10</v>
      </c>
      <c r="D440" s="87" t="str">
        <f>VLOOKUP(Tabela1[[#This Row],[Origem]], 'Perguntas 1 a 24'!$J$28:$K$34, 2, 0)</f>
        <v>Centro-Oeste</v>
      </c>
      <c r="E440" s="87" t="str">
        <f>Tabela1[[#This Row],[Descrição]]&amp;"-"&amp;Tabela1[[#This Row],[Código]]&amp;"/"&amp;Tabela1[[#This Row],[Origem]]</f>
        <v>Tutipapalu-P886P514/GO</v>
      </c>
      <c r="F440" s="88">
        <v>45711</v>
      </c>
      <c r="G440" s="88" t="str" cm="1">
        <f t="array" ref="G4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AND(F440&gt;= DATE(2026,1,1), F440&lt;= DATE(2028, 12, 31), J440&gt;50000), "Pendente e Caro", AND(F440&gt;= DATE(2026,1,1), F440&lt;= DATE(2028, 12, 31), J440&lt;=50000), "Pendente", F440&gt;= DATE(2029,1,1), "Não prioeitário")</f>
        <v>Urgente</v>
      </c>
      <c r="H440" s="89">
        <f>YEAR(Tabela1[[#This Row],[Data de Validade]])</f>
        <v>2025</v>
      </c>
      <c r="I440" s="89">
        <f>MONTH(Tabela1[[#This Row],[Data de Validade]])</f>
        <v>2</v>
      </c>
      <c r="J440" s="101">
        <v>30341</v>
      </c>
      <c r="K440" s="87" t="s">
        <v>11</v>
      </c>
      <c r="L440" s="108"/>
      <c r="M440" s="108"/>
      <c r="N440" s="108" t="str">
        <v>P886P514</v>
      </c>
      <c r="O440" s="108">
        <f t="shared" si="8"/>
        <v>1</v>
      </c>
      <c r="P440" s="108"/>
      <c r="Q440"/>
    </row>
    <row r="441" spans="1:17" x14ac:dyDescent="0.25">
      <c r="A441" s="89" t="s">
        <v>9913</v>
      </c>
      <c r="B441" s="87" t="s">
        <v>9914</v>
      </c>
      <c r="C441" s="87" t="s">
        <v>16</v>
      </c>
      <c r="D441" s="87" t="str">
        <f>VLOOKUP(Tabela1[[#This Row],[Origem]], 'Perguntas 1 a 24'!$J$28:$K$34, 2, 0)</f>
        <v>Sudeste</v>
      </c>
      <c r="E441" s="87" t="str">
        <f>Tabela1[[#This Row],[Descrição]]&amp;"-"&amp;Tabela1[[#This Row],[Código]]&amp;"/"&amp;Tabela1[[#This Row],[Origem]]</f>
        <v>Revavefora-H141P235/MG</v>
      </c>
      <c r="F441" s="88">
        <v>45711</v>
      </c>
      <c r="G441" s="88" t="str" cm="1">
        <f t="array" ref="G4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AND(F441&gt;= DATE(2026,1,1), F441&lt;= DATE(2028, 12, 31), J441&gt;50000), "Pendente e Caro", AND(F441&gt;= DATE(2026,1,1), F441&lt;= DATE(2028, 12, 31), J441&lt;=50000), "Pendente", F441&gt;= DATE(2029,1,1), "Não prioeitário")</f>
        <v>Urgente</v>
      </c>
      <c r="H441" s="89">
        <f>YEAR(Tabela1[[#This Row],[Data de Validade]])</f>
        <v>2025</v>
      </c>
      <c r="I441" s="89">
        <f>MONTH(Tabela1[[#This Row],[Data de Validade]])</f>
        <v>2</v>
      </c>
      <c r="J441" s="101">
        <v>26952</v>
      </c>
      <c r="K441" s="87" t="s">
        <v>14</v>
      </c>
      <c r="L441" s="108"/>
      <c r="M441" s="108"/>
      <c r="N441" s="108" t="str">
        <v>H141P235</v>
      </c>
      <c r="O441" s="108">
        <f t="shared" si="8"/>
        <v>1</v>
      </c>
      <c r="P441" s="108"/>
      <c r="Q441"/>
    </row>
    <row r="442" spans="1:17" x14ac:dyDescent="0.25">
      <c r="A442" s="89" t="s">
        <v>6858</v>
      </c>
      <c r="B442" s="87" t="s">
        <v>6859</v>
      </c>
      <c r="C442" s="87" t="s">
        <v>6</v>
      </c>
      <c r="D442" s="87" t="str">
        <f>VLOOKUP(Tabela1[[#This Row],[Origem]], 'Perguntas 1 a 24'!$J$28:$K$34, 2, 0)</f>
        <v>Nordeste</v>
      </c>
      <c r="E442" s="87" t="str">
        <f>Tabela1[[#This Row],[Descrição]]&amp;"-"&amp;Tabela1[[#This Row],[Código]]&amp;"/"&amp;Tabela1[[#This Row],[Origem]]</f>
        <v>Rotamorate-P893P315/MA</v>
      </c>
      <c r="F442" s="88">
        <v>45712</v>
      </c>
      <c r="G442" s="88" t="str" cm="1">
        <f t="array" ref="G4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AND(F442&gt;= DATE(2026,1,1), F442&lt;= DATE(2028, 12, 31), J442&gt;50000), "Pendente e Caro", AND(F442&gt;= DATE(2026,1,1), F442&lt;= DATE(2028, 12, 31), J442&lt;=50000), "Pendente", F442&gt;= DATE(2029,1,1), "Não prioeitário")</f>
        <v>Urgente</v>
      </c>
      <c r="H442" s="89">
        <f>YEAR(Tabela1[[#This Row],[Data de Validade]])</f>
        <v>2025</v>
      </c>
      <c r="I442" s="89">
        <f>MONTH(Tabela1[[#This Row],[Data de Validade]])</f>
        <v>2</v>
      </c>
      <c r="J442" s="101">
        <v>49891</v>
      </c>
      <c r="K442" s="87" t="s">
        <v>9</v>
      </c>
      <c r="L442" s="108"/>
      <c r="M442" s="108"/>
      <c r="N442" s="108" t="str">
        <v>P893P315</v>
      </c>
      <c r="O442" s="108">
        <f t="shared" si="8"/>
        <v>1</v>
      </c>
      <c r="P442" s="108"/>
      <c r="Q442"/>
    </row>
    <row r="443" spans="1:17" x14ac:dyDescent="0.25">
      <c r="A443" s="89" t="s">
        <v>9767</v>
      </c>
      <c r="B443" s="87" t="s">
        <v>9768</v>
      </c>
      <c r="C443" s="87" t="s">
        <v>16</v>
      </c>
      <c r="D443" s="87" t="str">
        <f>VLOOKUP(Tabela1[[#This Row],[Origem]], 'Perguntas 1 a 24'!$J$28:$K$34, 2, 0)</f>
        <v>Sudeste</v>
      </c>
      <c r="E443" s="87" t="str">
        <f>Tabela1[[#This Row],[Descrição]]&amp;"-"&amp;Tabela1[[#This Row],[Código]]&amp;"/"&amp;Tabela1[[#This Row],[Origem]]</f>
        <v>Mamelovico-H667P383/MG</v>
      </c>
      <c r="F443" s="88">
        <v>45713</v>
      </c>
      <c r="G443" s="88" t="str" cm="1">
        <f t="array" ref="G4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AND(F443&gt;= DATE(2026,1,1), F443&lt;= DATE(2028, 12, 31), J443&gt;50000), "Pendente e Caro", AND(F443&gt;= DATE(2026,1,1), F443&lt;= DATE(2028, 12, 31), J443&lt;=50000), "Pendente", F443&gt;= DATE(2029,1,1), "Não prioeitário")</f>
        <v>Urgente e Caro</v>
      </c>
      <c r="H443" s="89">
        <f>YEAR(Tabela1[[#This Row],[Data de Validade]])</f>
        <v>2025</v>
      </c>
      <c r="I443" s="89">
        <f>MONTH(Tabela1[[#This Row],[Data de Validade]])</f>
        <v>2</v>
      </c>
      <c r="J443" s="101">
        <v>109822</v>
      </c>
      <c r="K443" s="87" t="s">
        <v>11</v>
      </c>
      <c r="L443" s="108"/>
      <c r="M443" s="108"/>
      <c r="N443" s="108" t="str">
        <v>H667P383</v>
      </c>
      <c r="O443" s="108">
        <f t="shared" si="8"/>
        <v>1</v>
      </c>
      <c r="P443" s="108"/>
      <c r="Q443"/>
    </row>
    <row r="444" spans="1:17" x14ac:dyDescent="0.25">
      <c r="A444" s="89" t="s">
        <v>11119</v>
      </c>
      <c r="B444" s="87" t="s">
        <v>11120</v>
      </c>
      <c r="C444" s="87" t="s">
        <v>13</v>
      </c>
      <c r="D444" s="87" t="str">
        <f>VLOOKUP(Tabela1[[#This Row],[Origem]], 'Perguntas 1 a 24'!$J$28:$K$34, 2, 0)</f>
        <v>Sudeste</v>
      </c>
      <c r="E444" s="87" t="str">
        <f>Tabela1[[#This Row],[Descrição]]&amp;"-"&amp;Tabela1[[#This Row],[Código]]&amp;"/"&amp;Tabela1[[#This Row],[Origem]]</f>
        <v>Mapepopetu-P541H695/SP</v>
      </c>
      <c r="F444" s="88">
        <v>45713</v>
      </c>
      <c r="G444" s="88" t="str" cm="1">
        <f t="array" ref="G4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AND(F444&gt;= DATE(2026,1,1), F444&lt;= DATE(2028, 12, 31), J444&gt;50000), "Pendente e Caro", AND(F444&gt;= DATE(2026,1,1), F444&lt;= DATE(2028, 12, 31), J444&lt;=50000), "Pendente", F444&gt;= DATE(2029,1,1), "Não prioeitário")</f>
        <v>Urgente e Caro</v>
      </c>
      <c r="H444" s="89">
        <f>YEAR(Tabela1[[#This Row],[Data de Validade]])</f>
        <v>2025</v>
      </c>
      <c r="I444" s="89">
        <f>MONTH(Tabela1[[#This Row],[Data de Validade]])</f>
        <v>2</v>
      </c>
      <c r="J444" s="101">
        <v>108943</v>
      </c>
      <c r="K444" s="87" t="s">
        <v>9</v>
      </c>
      <c r="L444" s="108"/>
      <c r="M444" s="108"/>
      <c r="N444" s="108" t="str">
        <v>P541H695</v>
      </c>
      <c r="O444" s="108">
        <f t="shared" si="8"/>
        <v>1</v>
      </c>
      <c r="P444" s="108"/>
      <c r="Q444"/>
    </row>
    <row r="445" spans="1:17" x14ac:dyDescent="0.25">
      <c r="A445" s="89" t="s">
        <v>7226</v>
      </c>
      <c r="B445" s="87" t="s">
        <v>7227</v>
      </c>
      <c r="C445" s="87" t="s">
        <v>6</v>
      </c>
      <c r="D445" s="87" t="str">
        <f>VLOOKUP(Tabela1[[#This Row],[Origem]], 'Perguntas 1 a 24'!$J$28:$K$34, 2, 0)</f>
        <v>Nordeste</v>
      </c>
      <c r="E445" s="87" t="str">
        <f>Tabela1[[#This Row],[Descrição]]&amp;"-"&amp;Tabela1[[#This Row],[Código]]&amp;"/"&amp;Tabela1[[#This Row],[Origem]]</f>
        <v>Lidinu-H515H819/MA</v>
      </c>
      <c r="F445" s="88">
        <v>45713</v>
      </c>
      <c r="G445" s="88" t="str" cm="1">
        <f t="array" ref="G4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AND(F445&gt;= DATE(2026,1,1), F445&lt;= DATE(2028, 12, 31), J445&gt;50000), "Pendente e Caro", AND(F445&gt;= DATE(2026,1,1), F445&lt;= DATE(2028, 12, 31), J445&lt;=50000), "Pendente", F445&gt;= DATE(2029,1,1), "Não prioeitário")</f>
        <v>Urgente e Caro</v>
      </c>
      <c r="H445" s="89">
        <f>YEAR(Tabela1[[#This Row],[Data de Validade]])</f>
        <v>2025</v>
      </c>
      <c r="I445" s="89">
        <f>MONTH(Tabela1[[#This Row],[Data de Validade]])</f>
        <v>2</v>
      </c>
      <c r="J445" s="101">
        <v>63405</v>
      </c>
      <c r="K445" s="87" t="s">
        <v>7</v>
      </c>
      <c r="L445" s="108"/>
      <c r="M445" s="108"/>
      <c r="N445" s="108" t="str">
        <v>H515H819</v>
      </c>
      <c r="O445" s="108">
        <f t="shared" si="8"/>
        <v>1</v>
      </c>
      <c r="P445" s="108"/>
      <c r="Q445"/>
    </row>
    <row r="446" spans="1:17" x14ac:dyDescent="0.25">
      <c r="A446" s="89" t="s">
        <v>5056</v>
      </c>
      <c r="B446" s="87" t="s">
        <v>5057</v>
      </c>
      <c r="C446" s="87" t="s">
        <v>8</v>
      </c>
      <c r="D446" s="87" t="str">
        <f>VLOOKUP(Tabela1[[#This Row],[Origem]], 'Perguntas 1 a 24'!$J$28:$K$34, 2, 0)</f>
        <v>Nordeste</v>
      </c>
      <c r="E446" s="87" t="str">
        <f>Tabela1[[#This Row],[Descrição]]&amp;"-"&amp;Tabela1[[#This Row],[Código]]&amp;"/"&amp;Tabela1[[#This Row],[Origem]]</f>
        <v>Malora-P265H389/AL</v>
      </c>
      <c r="F446" s="88">
        <v>45713</v>
      </c>
      <c r="G446" s="88" t="str" cm="1">
        <f t="array" ref="G4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AND(F446&gt;= DATE(2026,1,1), F446&lt;= DATE(2028, 12, 31), J446&gt;50000), "Pendente e Caro", AND(F446&gt;= DATE(2026,1,1), F446&lt;= DATE(2028, 12, 31), J446&lt;=50000), "Pendente", F446&gt;= DATE(2029,1,1), "Não prioeitário")</f>
        <v>Urgente e Caro</v>
      </c>
      <c r="H446" s="89">
        <f>YEAR(Tabela1[[#This Row],[Data de Validade]])</f>
        <v>2025</v>
      </c>
      <c r="I446" s="89">
        <f>MONTH(Tabela1[[#This Row],[Data de Validade]])</f>
        <v>2</v>
      </c>
      <c r="J446" s="101">
        <v>54121</v>
      </c>
      <c r="K446" s="87" t="s">
        <v>7</v>
      </c>
      <c r="L446" s="108"/>
      <c r="M446" s="108"/>
      <c r="N446" s="108" t="str">
        <v>P265H389</v>
      </c>
      <c r="O446" s="108">
        <f t="shared" si="8"/>
        <v>1</v>
      </c>
      <c r="P446" s="108"/>
      <c r="Q446"/>
    </row>
    <row r="447" spans="1:17" x14ac:dyDescent="0.25">
      <c r="A447" s="89" t="s">
        <v>10045</v>
      </c>
      <c r="B447" s="87" t="s">
        <v>10046</v>
      </c>
      <c r="C447" s="87" t="s">
        <v>16</v>
      </c>
      <c r="D447" s="87" t="str">
        <f>VLOOKUP(Tabela1[[#This Row],[Origem]], 'Perguntas 1 a 24'!$J$28:$K$34, 2, 0)</f>
        <v>Sudeste</v>
      </c>
      <c r="E447" s="87" t="str">
        <f>Tabela1[[#This Row],[Descrição]]&amp;"-"&amp;Tabela1[[#This Row],[Código]]&amp;"/"&amp;Tabela1[[#This Row],[Origem]]</f>
        <v>Gefuru-P126P771/MG</v>
      </c>
      <c r="F447" s="88">
        <v>45713</v>
      </c>
      <c r="G447" s="88" t="str" cm="1">
        <f t="array" ref="G4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AND(F447&gt;= DATE(2026,1,1), F447&lt;= DATE(2028, 12, 31), J447&gt;50000), "Pendente e Caro", AND(F447&gt;= DATE(2026,1,1), F447&lt;= DATE(2028, 12, 31), J447&lt;=50000), "Pendente", F447&gt;= DATE(2029,1,1), "Não prioeitário")</f>
        <v>Urgente</v>
      </c>
      <c r="H447" s="89">
        <f>YEAR(Tabela1[[#This Row],[Data de Validade]])</f>
        <v>2025</v>
      </c>
      <c r="I447" s="89">
        <f>MONTH(Tabela1[[#This Row],[Data de Validade]])</f>
        <v>2</v>
      </c>
      <c r="J447" s="101">
        <v>29060</v>
      </c>
      <c r="K447" s="87" t="s">
        <v>9</v>
      </c>
      <c r="L447" s="108"/>
      <c r="M447" s="108"/>
      <c r="N447" s="108" t="str">
        <v>P126P771</v>
      </c>
      <c r="O447" s="108">
        <f t="shared" si="8"/>
        <v>1</v>
      </c>
      <c r="P447" s="108"/>
      <c r="Q447"/>
    </row>
    <row r="448" spans="1:17" x14ac:dyDescent="0.25">
      <c r="A448" s="89" t="s">
        <v>9225</v>
      </c>
      <c r="B448" s="87" t="s">
        <v>9226</v>
      </c>
      <c r="C448" s="87" t="s">
        <v>10</v>
      </c>
      <c r="D448" s="87" t="str">
        <f>VLOOKUP(Tabela1[[#This Row],[Origem]], 'Perguntas 1 a 24'!$J$28:$K$34, 2, 0)</f>
        <v>Centro-Oeste</v>
      </c>
      <c r="E448" s="87" t="str">
        <f>Tabela1[[#This Row],[Descrição]]&amp;"-"&amp;Tabela1[[#This Row],[Código]]&amp;"/"&amp;Tabela1[[#This Row],[Origem]]</f>
        <v>Pupuvamupa-H577P219/GO</v>
      </c>
      <c r="F448" s="88">
        <v>45714</v>
      </c>
      <c r="G448" s="88" t="str" cm="1">
        <f t="array" ref="G4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AND(F448&gt;= DATE(2026,1,1), F448&lt;= DATE(2028, 12, 31), J448&gt;50000), "Pendente e Caro", AND(F448&gt;= DATE(2026,1,1), F448&lt;= DATE(2028, 12, 31), J448&lt;=50000), "Pendente", F448&gt;= DATE(2029,1,1), "Não prioeitário")</f>
        <v>Urgente</v>
      </c>
      <c r="H448" s="89">
        <f>YEAR(Tabela1[[#This Row],[Data de Validade]])</f>
        <v>2025</v>
      </c>
      <c r="I448" s="89">
        <f>MONTH(Tabela1[[#This Row],[Data de Validade]])</f>
        <v>2</v>
      </c>
      <c r="J448" s="101">
        <v>30227</v>
      </c>
      <c r="K448" s="87" t="s">
        <v>7</v>
      </c>
      <c r="L448" s="108"/>
      <c r="M448" s="108"/>
      <c r="N448" s="108" t="str">
        <v>H577P219</v>
      </c>
      <c r="O448" s="108">
        <f t="shared" si="8"/>
        <v>1</v>
      </c>
      <c r="P448" s="108"/>
      <c r="Q448"/>
    </row>
    <row r="449" spans="1:17" x14ac:dyDescent="0.25">
      <c r="A449" s="89" t="s">
        <v>5462</v>
      </c>
      <c r="B449" s="87" t="s">
        <v>5463</v>
      </c>
      <c r="C449" s="87" t="s">
        <v>10</v>
      </c>
      <c r="D449" s="87" t="str">
        <f>VLOOKUP(Tabela1[[#This Row],[Origem]], 'Perguntas 1 a 24'!$J$28:$K$34, 2, 0)</f>
        <v>Centro-Oeste</v>
      </c>
      <c r="E449" s="87" t="str">
        <f>Tabela1[[#This Row],[Descrição]]&amp;"-"&amp;Tabela1[[#This Row],[Código]]&amp;"/"&amp;Tabela1[[#This Row],[Origem]]</f>
        <v>Vanipe-P893P147/GO</v>
      </c>
      <c r="F449" s="88">
        <v>45715</v>
      </c>
      <c r="G449" s="88" t="str" cm="1">
        <f t="array" ref="G4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AND(F449&gt;= DATE(2026,1,1), F449&lt;= DATE(2028, 12, 31), J449&gt;50000), "Pendente e Caro", AND(F449&gt;= DATE(2026,1,1), F449&lt;= DATE(2028, 12, 31), J449&lt;=50000), "Pendente", F449&gt;= DATE(2029,1,1), "Não prioeitário")</f>
        <v>Urgente e Caro</v>
      </c>
      <c r="H449" s="89">
        <f>YEAR(Tabela1[[#This Row],[Data de Validade]])</f>
        <v>2025</v>
      </c>
      <c r="I449" s="89">
        <f>MONTH(Tabela1[[#This Row],[Data de Validade]])</f>
        <v>2</v>
      </c>
      <c r="J449" s="101">
        <v>93224</v>
      </c>
      <c r="K449" s="87" t="s">
        <v>11</v>
      </c>
      <c r="L449" s="108"/>
      <c r="M449" s="108"/>
      <c r="N449" s="108" t="str">
        <v>P893P147</v>
      </c>
      <c r="O449" s="108">
        <f t="shared" si="8"/>
        <v>1</v>
      </c>
      <c r="P449" s="108"/>
      <c r="Q449"/>
    </row>
    <row r="450" spans="1:17" x14ac:dyDescent="0.25">
      <c r="A450" s="89" t="s">
        <v>5094</v>
      </c>
      <c r="B450" s="87" t="s">
        <v>5095</v>
      </c>
      <c r="C450" s="87" t="s">
        <v>15</v>
      </c>
      <c r="D450" s="87" t="str">
        <f>VLOOKUP(Tabela1[[#This Row],[Origem]], 'Perguntas 1 a 24'!$J$28:$K$34, 2, 0)</f>
        <v>Sudeste</v>
      </c>
      <c r="E450" s="87" t="str">
        <f>Tabela1[[#This Row],[Descrição]]&amp;"-"&amp;Tabela1[[#This Row],[Código]]&amp;"/"&amp;Tabela1[[#This Row],[Origem]]</f>
        <v>Rerate-P393H175/ES</v>
      </c>
      <c r="F450" s="88">
        <v>45715</v>
      </c>
      <c r="G450" s="88" t="str" cm="1">
        <f t="array" ref="G4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AND(F450&gt;= DATE(2026,1,1), F450&lt;= DATE(2028, 12, 31), J450&gt;50000), "Pendente e Caro", AND(F450&gt;= DATE(2026,1,1), F450&lt;= DATE(2028, 12, 31), J450&lt;=50000), "Pendente", F450&gt;= DATE(2029,1,1), "Não prioeitário")</f>
        <v>Urgente</v>
      </c>
      <c r="H450" s="89">
        <f>YEAR(Tabela1[[#This Row],[Data de Validade]])</f>
        <v>2025</v>
      </c>
      <c r="I450" s="89">
        <f>MONTH(Tabela1[[#This Row],[Data de Validade]])</f>
        <v>2</v>
      </c>
      <c r="J450" s="101">
        <v>42021</v>
      </c>
      <c r="K450" s="87" t="s">
        <v>11</v>
      </c>
      <c r="L450" s="108"/>
      <c r="M450" s="108"/>
      <c r="N450" s="108" t="str">
        <v>P393H175</v>
      </c>
      <c r="O450" s="108">
        <f t="shared" si="8"/>
        <v>1</v>
      </c>
      <c r="P450" s="108"/>
      <c r="Q450"/>
    </row>
    <row r="451" spans="1:17" x14ac:dyDescent="0.25">
      <c r="A451" s="89" t="s">
        <v>5788</v>
      </c>
      <c r="B451" s="87" t="s">
        <v>5789</v>
      </c>
      <c r="C451" s="87" t="s">
        <v>16</v>
      </c>
      <c r="D451" s="87" t="str">
        <f>VLOOKUP(Tabela1[[#This Row],[Origem]], 'Perguntas 1 a 24'!$J$28:$K$34, 2, 0)</f>
        <v>Sudeste</v>
      </c>
      <c r="E451" s="87" t="str">
        <f>Tabela1[[#This Row],[Descrição]]&amp;"-"&amp;Tabela1[[#This Row],[Código]]&amp;"/"&amp;Tabela1[[#This Row],[Origem]]</f>
        <v>Padaripipa-H517P622/MG</v>
      </c>
      <c r="F451" s="88">
        <v>45716</v>
      </c>
      <c r="G451" s="88" t="str" cm="1">
        <f t="array" ref="G4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AND(F451&gt;= DATE(2026,1,1), F451&lt;= DATE(2028, 12, 31), J451&gt;50000), "Pendente e Caro", AND(F451&gt;= DATE(2026,1,1), F451&lt;= DATE(2028, 12, 31), J451&lt;=50000), "Pendente", F451&gt;= DATE(2029,1,1), "Não prioeitário")</f>
        <v>Urgente</v>
      </c>
      <c r="H451" s="89">
        <f>YEAR(Tabela1[[#This Row],[Data de Validade]])</f>
        <v>2025</v>
      </c>
      <c r="I451" s="89">
        <f>MONTH(Tabela1[[#This Row],[Data de Validade]])</f>
        <v>2</v>
      </c>
      <c r="J451" s="101">
        <v>35315</v>
      </c>
      <c r="K451" s="87" t="s">
        <v>14</v>
      </c>
      <c r="L451" s="108"/>
      <c r="M451" s="108"/>
      <c r="N451" s="108" t="str">
        <v>H517P622</v>
      </c>
      <c r="O451" s="108">
        <f t="shared" ref="O451:O514" si="9">COUNTIFS(B:B,N451)</f>
        <v>1</v>
      </c>
      <c r="P451" s="108"/>
      <c r="Q451"/>
    </row>
    <row r="452" spans="1:17" x14ac:dyDescent="0.25">
      <c r="A452" s="89" t="s">
        <v>4992</v>
      </c>
      <c r="B452" s="87" t="s">
        <v>4993</v>
      </c>
      <c r="C452" s="87" t="s">
        <v>12</v>
      </c>
      <c r="D452" s="87" t="str">
        <f>VLOOKUP(Tabela1[[#This Row],[Origem]], 'Perguntas 1 a 24'!$J$28:$K$34, 2, 0)</f>
        <v>Sudeste</v>
      </c>
      <c r="E452" s="87" t="str">
        <f>Tabela1[[#This Row],[Descrição]]&amp;"-"&amp;Tabela1[[#This Row],[Código]]&amp;"/"&amp;Tabela1[[#This Row],[Origem]]</f>
        <v>Petimepogi-P245H534/RJ</v>
      </c>
      <c r="F452" s="88">
        <v>45717</v>
      </c>
      <c r="G452" s="88" t="str" cm="1">
        <f t="array" ref="G4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AND(F452&gt;= DATE(2026,1,1), F452&lt;= DATE(2028, 12, 31), J452&gt;50000), "Pendente e Caro", AND(F452&gt;= DATE(2026,1,1), F452&lt;= DATE(2028, 12, 31), J452&lt;=50000), "Pendente", F452&gt;= DATE(2029,1,1), "Não prioeitário")</f>
        <v>Urgente</v>
      </c>
      <c r="H452" s="89">
        <f>YEAR(Tabela1[[#This Row],[Data de Validade]])</f>
        <v>2025</v>
      </c>
      <c r="I452" s="89">
        <f>MONTH(Tabela1[[#This Row],[Data de Validade]])</f>
        <v>3</v>
      </c>
      <c r="J452" s="101">
        <v>49040</v>
      </c>
      <c r="K452" s="87" t="s">
        <v>7</v>
      </c>
      <c r="L452" s="108"/>
      <c r="M452" s="108"/>
      <c r="N452" s="108" t="str">
        <v>P245H534</v>
      </c>
      <c r="O452" s="108">
        <f t="shared" si="9"/>
        <v>1</v>
      </c>
      <c r="P452" s="108"/>
      <c r="Q452"/>
    </row>
    <row r="453" spans="1:17" x14ac:dyDescent="0.25">
      <c r="A453" s="89" t="s">
        <v>6302</v>
      </c>
      <c r="B453" s="87" t="s">
        <v>6303</v>
      </c>
      <c r="C453" s="87" t="s">
        <v>8</v>
      </c>
      <c r="D453" s="87" t="str">
        <f>VLOOKUP(Tabela1[[#This Row],[Origem]], 'Perguntas 1 a 24'!$J$28:$K$34, 2, 0)</f>
        <v>Nordeste</v>
      </c>
      <c r="E453" s="87" t="str">
        <f>Tabela1[[#This Row],[Descrição]]&amp;"-"&amp;Tabela1[[#This Row],[Código]]&amp;"/"&amp;Tabela1[[#This Row],[Origem]]</f>
        <v>Vavafito-P555P732/AL</v>
      </c>
      <c r="F453" s="88">
        <v>45717</v>
      </c>
      <c r="G453" s="88" t="str" cm="1">
        <f t="array" ref="G4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AND(F453&gt;= DATE(2026,1,1), F453&lt;= DATE(2028, 12, 31), J453&gt;50000), "Pendente e Caro", AND(F453&gt;= DATE(2026,1,1), F453&lt;= DATE(2028, 12, 31), J453&lt;=50000), "Pendente", F453&gt;= DATE(2029,1,1), "Não prioeitário")</f>
        <v>Urgente</v>
      </c>
      <c r="H453" s="89">
        <f>YEAR(Tabela1[[#This Row],[Data de Validade]])</f>
        <v>2025</v>
      </c>
      <c r="I453" s="89">
        <f>MONTH(Tabela1[[#This Row],[Data de Validade]])</f>
        <v>3</v>
      </c>
      <c r="J453" s="101">
        <v>45503</v>
      </c>
      <c r="K453" s="87" t="s">
        <v>11</v>
      </c>
      <c r="L453" s="108"/>
      <c r="M453" s="108"/>
      <c r="N453" s="108" t="str">
        <v>P555P732</v>
      </c>
      <c r="O453" s="108">
        <f t="shared" si="9"/>
        <v>1</v>
      </c>
      <c r="P453" s="108"/>
      <c r="Q453"/>
    </row>
    <row r="454" spans="1:17" x14ac:dyDescent="0.25">
      <c r="A454" s="89" t="s">
        <v>7510</v>
      </c>
      <c r="B454" s="87" t="s">
        <v>7511</v>
      </c>
      <c r="C454" s="87" t="s">
        <v>16</v>
      </c>
      <c r="D454" s="87" t="str">
        <f>VLOOKUP(Tabela1[[#This Row],[Origem]], 'Perguntas 1 a 24'!$J$28:$K$34, 2, 0)</f>
        <v>Sudeste</v>
      </c>
      <c r="E454" s="87" t="str">
        <f>Tabela1[[#This Row],[Descrição]]&amp;"-"&amp;Tabela1[[#This Row],[Código]]&amp;"/"&amp;Tabela1[[#This Row],[Origem]]</f>
        <v>Ponotumu-H168P277/MG</v>
      </c>
      <c r="F454" s="88">
        <v>45718</v>
      </c>
      <c r="G454" s="88" t="str" cm="1">
        <f t="array" ref="G4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AND(F454&gt;= DATE(2026,1,1), F454&lt;= DATE(2028, 12, 31), J454&gt;50000), "Pendente e Caro", AND(F454&gt;= DATE(2026,1,1), F454&lt;= DATE(2028, 12, 31), J454&lt;=50000), "Pendente", F454&gt;= DATE(2029,1,1), "Não prioeitário")</f>
        <v>Urgente e Caro</v>
      </c>
      <c r="H454" s="89">
        <f>YEAR(Tabela1[[#This Row],[Data de Validade]])</f>
        <v>2025</v>
      </c>
      <c r="I454" s="89">
        <f>MONTH(Tabela1[[#This Row],[Data de Validade]])</f>
        <v>3</v>
      </c>
      <c r="J454" s="101">
        <v>97557</v>
      </c>
      <c r="K454" s="87" t="s">
        <v>9</v>
      </c>
      <c r="L454" s="108"/>
      <c r="M454" s="108"/>
      <c r="N454" s="108" t="str">
        <v>H168P277</v>
      </c>
      <c r="O454" s="108">
        <f t="shared" si="9"/>
        <v>1</v>
      </c>
      <c r="P454" s="108"/>
      <c r="Q454"/>
    </row>
    <row r="455" spans="1:17" x14ac:dyDescent="0.25">
      <c r="A455" s="89" t="s">
        <v>6432</v>
      </c>
      <c r="B455" s="87" t="s">
        <v>6433</v>
      </c>
      <c r="C455" s="87" t="s">
        <v>16</v>
      </c>
      <c r="D455" s="87" t="str">
        <f>VLOOKUP(Tabela1[[#This Row],[Origem]], 'Perguntas 1 a 24'!$J$28:$K$34, 2, 0)</f>
        <v>Sudeste</v>
      </c>
      <c r="E455" s="87" t="str">
        <f>Tabela1[[#This Row],[Descrição]]&amp;"-"&amp;Tabela1[[#This Row],[Código]]&amp;"/"&amp;Tabela1[[#This Row],[Origem]]</f>
        <v>Colitidita-H861P168/MG</v>
      </c>
      <c r="F455" s="88">
        <v>45720</v>
      </c>
      <c r="G455" s="88" t="str" cm="1">
        <f t="array" ref="G4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AND(F455&gt;= DATE(2026,1,1), F455&lt;= DATE(2028, 12, 31), J455&gt;50000), "Pendente e Caro", AND(F455&gt;= DATE(2026,1,1), F455&lt;= DATE(2028, 12, 31), J455&lt;=50000), "Pendente", F455&gt;= DATE(2029,1,1), "Não prioeitário")</f>
        <v>Urgente</v>
      </c>
      <c r="H455" s="89">
        <f>YEAR(Tabela1[[#This Row],[Data de Validade]])</f>
        <v>2025</v>
      </c>
      <c r="I455" s="89">
        <f>MONTH(Tabela1[[#This Row],[Data de Validade]])</f>
        <v>3</v>
      </c>
      <c r="J455" s="101">
        <v>46922</v>
      </c>
      <c r="K455" s="87" t="s">
        <v>7</v>
      </c>
      <c r="L455" s="108"/>
      <c r="M455" s="108"/>
      <c r="N455" s="108" t="str">
        <v>H861P168</v>
      </c>
      <c r="O455" s="108">
        <f t="shared" si="9"/>
        <v>1</v>
      </c>
      <c r="P455" s="108"/>
      <c r="Q455"/>
    </row>
    <row r="456" spans="1:17" x14ac:dyDescent="0.25">
      <c r="A456" s="89" t="s">
        <v>10741</v>
      </c>
      <c r="B456" s="87" t="s">
        <v>10742</v>
      </c>
      <c r="C456" s="87" t="s">
        <v>13</v>
      </c>
      <c r="D456" s="87" t="str">
        <f>VLOOKUP(Tabela1[[#This Row],[Origem]], 'Perguntas 1 a 24'!$J$28:$K$34, 2, 0)</f>
        <v>Sudeste</v>
      </c>
      <c r="E456" s="87" t="str">
        <f>Tabela1[[#This Row],[Descrição]]&amp;"-"&amp;Tabela1[[#This Row],[Código]]&amp;"/"&amp;Tabela1[[#This Row],[Origem]]</f>
        <v>Falivoco-P915P594/SP</v>
      </c>
      <c r="F456" s="88">
        <v>45721</v>
      </c>
      <c r="G456" s="88" t="str" cm="1">
        <f t="array" ref="G4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AND(F456&gt;= DATE(2026,1,1), F456&lt;= DATE(2028, 12, 31), J456&gt;50000), "Pendente e Caro", AND(F456&gt;= DATE(2026,1,1), F456&lt;= DATE(2028, 12, 31), J456&lt;=50000), "Pendente", F456&gt;= DATE(2029,1,1), "Não prioeitário")</f>
        <v>Urgente</v>
      </c>
      <c r="H456" s="89">
        <f>YEAR(Tabela1[[#This Row],[Data de Validade]])</f>
        <v>2025</v>
      </c>
      <c r="I456" s="89">
        <f>MONTH(Tabela1[[#This Row],[Data de Validade]])</f>
        <v>3</v>
      </c>
      <c r="J456" s="101">
        <v>33306</v>
      </c>
      <c r="K456" s="87" t="s">
        <v>11</v>
      </c>
      <c r="L456" s="108"/>
      <c r="M456" s="108"/>
      <c r="N456" s="108" t="str">
        <v>P915P594</v>
      </c>
      <c r="O456" s="108">
        <f t="shared" si="9"/>
        <v>1</v>
      </c>
      <c r="P456" s="108"/>
      <c r="Q456"/>
    </row>
    <row r="457" spans="1:17" x14ac:dyDescent="0.25">
      <c r="A457" s="89" t="s">
        <v>6800</v>
      </c>
      <c r="B457" s="87" t="s">
        <v>6801</v>
      </c>
      <c r="C457" s="87" t="s">
        <v>16</v>
      </c>
      <c r="D457" s="87" t="str">
        <f>VLOOKUP(Tabela1[[#This Row],[Origem]], 'Perguntas 1 a 24'!$J$28:$K$34, 2, 0)</f>
        <v>Sudeste</v>
      </c>
      <c r="E457" s="87" t="str">
        <f>Tabela1[[#This Row],[Descrição]]&amp;"-"&amp;Tabela1[[#This Row],[Código]]&amp;"/"&amp;Tabela1[[#This Row],[Origem]]</f>
        <v>Tanivimino-H499H665/MG</v>
      </c>
      <c r="F457" s="88">
        <v>45722</v>
      </c>
      <c r="G457" s="88" t="str" cm="1">
        <f t="array" ref="G4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AND(F457&gt;= DATE(2026,1,1), F457&lt;= DATE(2028, 12, 31), J457&gt;50000), "Pendente e Caro", AND(F457&gt;= DATE(2026,1,1), F457&lt;= DATE(2028, 12, 31), J457&lt;=50000), "Pendente", F457&gt;= DATE(2029,1,1), "Não prioeitário")</f>
        <v>Urgente e Caro</v>
      </c>
      <c r="H457" s="89">
        <f>YEAR(Tabela1[[#This Row],[Data de Validade]])</f>
        <v>2025</v>
      </c>
      <c r="I457" s="89">
        <f>MONTH(Tabela1[[#This Row],[Data de Validade]])</f>
        <v>3</v>
      </c>
      <c r="J457" s="101">
        <v>119855</v>
      </c>
      <c r="K457" s="87" t="s">
        <v>11</v>
      </c>
      <c r="L457" s="108"/>
      <c r="M457" s="108"/>
      <c r="N457" s="108" t="str">
        <v>H499H665</v>
      </c>
      <c r="O457" s="108">
        <f t="shared" si="9"/>
        <v>1</v>
      </c>
      <c r="P457" s="108"/>
      <c r="Q457"/>
    </row>
    <row r="458" spans="1:17" x14ac:dyDescent="0.25">
      <c r="A458" s="89" t="s">
        <v>8545</v>
      </c>
      <c r="B458" s="87" t="s">
        <v>8546</v>
      </c>
      <c r="C458" s="87" t="s">
        <v>8</v>
      </c>
      <c r="D458" s="87" t="str">
        <f>VLOOKUP(Tabela1[[#This Row],[Origem]], 'Perguntas 1 a 24'!$J$28:$K$34, 2, 0)</f>
        <v>Nordeste</v>
      </c>
      <c r="E458" s="87" t="str">
        <f>Tabela1[[#This Row],[Descrição]]&amp;"-"&amp;Tabela1[[#This Row],[Código]]&amp;"/"&amp;Tabela1[[#This Row],[Origem]]</f>
        <v>Pudodofapu-P426H755/AL</v>
      </c>
      <c r="F458" s="88">
        <v>45722</v>
      </c>
      <c r="G458" s="88" t="str" cm="1">
        <f t="array" ref="G4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AND(F458&gt;= DATE(2026,1,1), F458&lt;= DATE(2028, 12, 31), J458&gt;50000), "Pendente e Caro", AND(F458&gt;= DATE(2026,1,1), F458&lt;= DATE(2028, 12, 31), J458&lt;=50000), "Pendente", F458&gt;= DATE(2029,1,1), "Não prioeitário")</f>
        <v>Urgente</v>
      </c>
      <c r="H458" s="89">
        <f>YEAR(Tabela1[[#This Row],[Data de Validade]])</f>
        <v>2025</v>
      </c>
      <c r="I458" s="89">
        <f>MONTH(Tabela1[[#This Row],[Data de Validade]])</f>
        <v>3</v>
      </c>
      <c r="J458" s="101">
        <v>39048</v>
      </c>
      <c r="K458" s="87" t="s">
        <v>11</v>
      </c>
      <c r="L458" s="108"/>
      <c r="M458" s="108"/>
      <c r="N458" s="108" t="str">
        <v>P426H755</v>
      </c>
      <c r="O458" s="108">
        <f t="shared" si="9"/>
        <v>1</v>
      </c>
      <c r="P458" s="108"/>
      <c r="Q458"/>
    </row>
    <row r="459" spans="1:17" x14ac:dyDescent="0.25">
      <c r="A459" s="89" t="s">
        <v>7664</v>
      </c>
      <c r="B459" s="87" t="s">
        <v>7665</v>
      </c>
      <c r="C459" s="87" t="s">
        <v>12</v>
      </c>
      <c r="D459" s="87" t="str">
        <f>VLOOKUP(Tabela1[[#This Row],[Origem]], 'Perguntas 1 a 24'!$J$28:$K$34, 2, 0)</f>
        <v>Sudeste</v>
      </c>
      <c r="E459" s="87" t="str">
        <f>Tabela1[[#This Row],[Descrição]]&amp;"-"&amp;Tabela1[[#This Row],[Código]]&amp;"/"&amp;Tabela1[[#This Row],[Origem]]</f>
        <v>Gatemopi-P787H141/RJ</v>
      </c>
      <c r="F459" s="88">
        <v>45723</v>
      </c>
      <c r="G459" s="88" t="str" cm="1">
        <f t="array" ref="G4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AND(F459&gt;= DATE(2026,1,1), F459&lt;= DATE(2028, 12, 31), J459&gt;50000), "Pendente e Caro", AND(F459&gt;= DATE(2026,1,1), F459&lt;= DATE(2028, 12, 31), J459&lt;=50000), "Pendente", F459&gt;= DATE(2029,1,1), "Não prioeitário")</f>
        <v>Urgente</v>
      </c>
      <c r="H459" s="89">
        <f>YEAR(Tabela1[[#This Row],[Data de Validade]])</f>
        <v>2025</v>
      </c>
      <c r="I459" s="89">
        <f>MONTH(Tabela1[[#This Row],[Data de Validade]])</f>
        <v>3</v>
      </c>
      <c r="J459" s="101">
        <v>45151</v>
      </c>
      <c r="K459" s="87" t="s">
        <v>11</v>
      </c>
      <c r="L459" s="108"/>
      <c r="M459" s="108"/>
      <c r="N459" s="108" t="str">
        <v>P787H141</v>
      </c>
      <c r="O459" s="108">
        <f t="shared" si="9"/>
        <v>1</v>
      </c>
      <c r="P459" s="108"/>
      <c r="Q459"/>
    </row>
    <row r="460" spans="1:17" x14ac:dyDescent="0.25">
      <c r="A460" s="89" t="s">
        <v>10821</v>
      </c>
      <c r="B460" s="87" t="s">
        <v>10822</v>
      </c>
      <c r="C460" s="87" t="s">
        <v>13</v>
      </c>
      <c r="D460" s="87" t="str">
        <f>VLOOKUP(Tabela1[[#This Row],[Origem]], 'Perguntas 1 a 24'!$J$28:$K$34, 2, 0)</f>
        <v>Sudeste</v>
      </c>
      <c r="E460" s="87" t="str">
        <f>Tabela1[[#This Row],[Descrição]]&amp;"-"&amp;Tabela1[[#This Row],[Código]]&amp;"/"&amp;Tabela1[[#This Row],[Origem]]</f>
        <v>Napetovimu-P875H628/SP</v>
      </c>
      <c r="F460" s="88">
        <v>45723</v>
      </c>
      <c r="G460" s="88" t="str" cm="1">
        <f t="array" ref="G4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AND(F460&gt;= DATE(2026,1,1), F460&lt;= DATE(2028, 12, 31), J460&gt;50000), "Pendente e Caro", AND(F460&gt;= DATE(2026,1,1), F460&lt;= DATE(2028, 12, 31), J460&lt;=50000), "Pendente", F460&gt;= DATE(2029,1,1), "Não prioeitário")</f>
        <v>Urgente</v>
      </c>
      <c r="H460" s="89">
        <f>YEAR(Tabela1[[#This Row],[Data de Validade]])</f>
        <v>2025</v>
      </c>
      <c r="I460" s="89">
        <f>MONTH(Tabela1[[#This Row],[Data de Validade]])</f>
        <v>3</v>
      </c>
      <c r="J460" s="101">
        <v>24667</v>
      </c>
      <c r="K460" s="87" t="s">
        <v>11</v>
      </c>
      <c r="L460" s="108"/>
      <c r="M460" s="108"/>
      <c r="N460" s="108" t="str">
        <v>P875H628</v>
      </c>
      <c r="O460" s="108">
        <f t="shared" si="9"/>
        <v>1</v>
      </c>
      <c r="P460" s="108"/>
      <c r="Q460"/>
    </row>
    <row r="461" spans="1:17" x14ac:dyDescent="0.25">
      <c r="A461" s="89" t="s">
        <v>6490</v>
      </c>
      <c r="B461" s="87" t="s">
        <v>6491</v>
      </c>
      <c r="C461" s="87" t="s">
        <v>16</v>
      </c>
      <c r="D461" s="87" t="str">
        <f>VLOOKUP(Tabela1[[#This Row],[Origem]], 'Perguntas 1 a 24'!$J$28:$K$34, 2, 0)</f>
        <v>Sudeste</v>
      </c>
      <c r="E461" s="87" t="str">
        <f>Tabela1[[#This Row],[Descrição]]&amp;"-"&amp;Tabela1[[#This Row],[Código]]&amp;"/"&amp;Tabela1[[#This Row],[Origem]]</f>
        <v>Gucelulu-P515P875/MG</v>
      </c>
      <c r="F461" s="88">
        <v>45726</v>
      </c>
      <c r="G461" s="88" t="str" cm="1">
        <f t="array" ref="G4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AND(F461&gt;= DATE(2026,1,1), F461&lt;= DATE(2028, 12, 31), J461&gt;50000), "Pendente e Caro", AND(F461&gt;= DATE(2026,1,1), F461&lt;= DATE(2028, 12, 31), J461&lt;=50000), "Pendente", F461&gt;= DATE(2029,1,1), "Não prioeitário")</f>
        <v>Urgente e Caro</v>
      </c>
      <c r="H461" s="89">
        <f>YEAR(Tabela1[[#This Row],[Data de Validade]])</f>
        <v>2025</v>
      </c>
      <c r="I461" s="89">
        <f>MONTH(Tabela1[[#This Row],[Data de Validade]])</f>
        <v>3</v>
      </c>
      <c r="J461" s="101">
        <v>104331</v>
      </c>
      <c r="K461" s="87" t="s">
        <v>11</v>
      </c>
      <c r="L461" s="108"/>
      <c r="M461" s="108"/>
      <c r="N461" s="108" t="str">
        <v>P515P875</v>
      </c>
      <c r="O461" s="108">
        <f t="shared" si="9"/>
        <v>1</v>
      </c>
      <c r="P461" s="108"/>
      <c r="Q461"/>
    </row>
    <row r="462" spans="1:17" x14ac:dyDescent="0.25">
      <c r="A462" s="89" t="s">
        <v>4650</v>
      </c>
      <c r="B462" s="87" t="s">
        <v>4651</v>
      </c>
      <c r="C462" s="87" t="s">
        <v>15</v>
      </c>
      <c r="D462" s="87" t="str">
        <f>VLOOKUP(Tabela1[[#This Row],[Origem]], 'Perguntas 1 a 24'!$J$28:$K$34, 2, 0)</f>
        <v>Sudeste</v>
      </c>
      <c r="E462" s="87" t="str">
        <f>Tabela1[[#This Row],[Descrição]]&amp;"-"&amp;Tabela1[[#This Row],[Código]]&amp;"/"&amp;Tabela1[[#This Row],[Origem]]</f>
        <v>Caticu-H947H126/ES</v>
      </c>
      <c r="F462" s="88">
        <v>45727</v>
      </c>
      <c r="G462" s="88" t="str" cm="1">
        <f t="array" ref="G4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AND(F462&gt;= DATE(2026,1,1), F462&lt;= DATE(2028, 12, 31), J462&gt;50000), "Pendente e Caro", AND(F462&gt;= DATE(2026,1,1), F462&lt;= DATE(2028, 12, 31), J462&lt;=50000), "Pendente", F462&gt;= DATE(2029,1,1), "Não prioeitário")</f>
        <v>Urgente e Caro</v>
      </c>
      <c r="H462" s="89">
        <f>YEAR(Tabela1[[#This Row],[Data de Validade]])</f>
        <v>2025</v>
      </c>
      <c r="I462" s="89">
        <f>MONTH(Tabela1[[#This Row],[Data de Validade]])</f>
        <v>3</v>
      </c>
      <c r="J462" s="101">
        <v>79029</v>
      </c>
      <c r="K462" s="87" t="s">
        <v>7</v>
      </c>
      <c r="L462" s="108"/>
      <c r="M462" s="108"/>
      <c r="N462" s="108" t="str">
        <v>H947H126</v>
      </c>
      <c r="O462" s="108">
        <f t="shared" si="9"/>
        <v>1</v>
      </c>
      <c r="P462" s="108"/>
      <c r="Q462"/>
    </row>
    <row r="463" spans="1:17" x14ac:dyDescent="0.25">
      <c r="A463" s="89" t="s">
        <v>11076</v>
      </c>
      <c r="B463" s="87" t="s">
        <v>11077</v>
      </c>
      <c r="C463" s="87" t="s">
        <v>16</v>
      </c>
      <c r="D463" s="87" t="str">
        <f>VLOOKUP(Tabela1[[#This Row],[Origem]], 'Perguntas 1 a 24'!$J$28:$K$34, 2, 0)</f>
        <v>Sudeste</v>
      </c>
      <c r="E463" s="87" t="str">
        <f>Tabela1[[#This Row],[Descrição]]&amp;"-"&amp;Tabela1[[#This Row],[Código]]&amp;"/"&amp;Tabela1[[#This Row],[Origem]]</f>
        <v>Gepeva-H892P295/MG</v>
      </c>
      <c r="F463" s="88">
        <v>45727</v>
      </c>
      <c r="G463" s="88" t="str" cm="1">
        <f t="array" ref="G4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AND(F463&gt;= DATE(2026,1,1), F463&lt;= DATE(2028, 12, 31), J463&gt;50000), "Pendente e Caro", AND(F463&gt;= DATE(2026,1,1), F463&lt;= DATE(2028, 12, 31), J463&lt;=50000), "Pendente", F463&gt;= DATE(2029,1,1), "Não prioeitário")</f>
        <v>Urgente</v>
      </c>
      <c r="H463" s="89">
        <f>YEAR(Tabela1[[#This Row],[Data de Validade]])</f>
        <v>2025</v>
      </c>
      <c r="I463" s="89">
        <f>MONTH(Tabela1[[#This Row],[Data de Validade]])</f>
        <v>3</v>
      </c>
      <c r="J463" s="101">
        <v>41094</v>
      </c>
      <c r="K463" s="87" t="s">
        <v>14</v>
      </c>
      <c r="L463" s="108"/>
      <c r="M463" s="108"/>
      <c r="N463" s="108" t="str">
        <v>H892P295</v>
      </c>
      <c r="O463" s="108">
        <f t="shared" si="9"/>
        <v>1</v>
      </c>
      <c r="P463" s="108"/>
      <c r="Q463"/>
    </row>
    <row r="464" spans="1:17" x14ac:dyDescent="0.25">
      <c r="A464" s="89" t="s">
        <v>10631</v>
      </c>
      <c r="B464" s="87" t="s">
        <v>10632</v>
      </c>
      <c r="C464" s="87" t="s">
        <v>10</v>
      </c>
      <c r="D464" s="87" t="str">
        <f>VLOOKUP(Tabela1[[#This Row],[Origem]], 'Perguntas 1 a 24'!$J$28:$K$34, 2, 0)</f>
        <v>Centro-Oeste</v>
      </c>
      <c r="E464" s="87" t="str">
        <f>Tabela1[[#This Row],[Descrição]]&amp;"-"&amp;Tabela1[[#This Row],[Código]]&amp;"/"&amp;Tabela1[[#This Row],[Origem]]</f>
        <v>Muluti-P231P869/GO</v>
      </c>
      <c r="F464" s="88">
        <v>45728</v>
      </c>
      <c r="G464" s="88" t="str" cm="1">
        <f t="array" ref="G4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AND(F464&gt;= DATE(2026,1,1), F464&lt;= DATE(2028, 12, 31), J464&gt;50000), "Pendente e Caro", AND(F464&gt;= DATE(2026,1,1), F464&lt;= DATE(2028, 12, 31), J464&lt;=50000), "Pendente", F464&gt;= DATE(2029,1,1), "Não prioeitário")</f>
        <v>Urgente e Caro</v>
      </c>
      <c r="H464" s="89">
        <f>YEAR(Tabela1[[#This Row],[Data de Validade]])</f>
        <v>2025</v>
      </c>
      <c r="I464" s="89">
        <f>MONTH(Tabela1[[#This Row],[Data de Validade]])</f>
        <v>3</v>
      </c>
      <c r="J464" s="101">
        <v>101617</v>
      </c>
      <c r="K464" s="87" t="s">
        <v>9</v>
      </c>
      <c r="L464" s="108"/>
      <c r="M464" s="108"/>
      <c r="N464" s="108" t="str">
        <v>P231P869</v>
      </c>
      <c r="O464" s="108">
        <f t="shared" si="9"/>
        <v>1</v>
      </c>
      <c r="P464" s="108"/>
      <c r="Q464"/>
    </row>
    <row r="465" spans="1:17" x14ac:dyDescent="0.25">
      <c r="A465" s="89" t="s">
        <v>9661</v>
      </c>
      <c r="B465" s="87" t="s">
        <v>9662</v>
      </c>
      <c r="C465" s="87" t="s">
        <v>10</v>
      </c>
      <c r="D465" s="87" t="str">
        <f>VLOOKUP(Tabela1[[#This Row],[Origem]], 'Perguntas 1 a 24'!$J$28:$K$34, 2, 0)</f>
        <v>Centro-Oeste</v>
      </c>
      <c r="E465" s="87" t="str">
        <f>Tabela1[[#This Row],[Descrição]]&amp;"-"&amp;Tabela1[[#This Row],[Código]]&amp;"/"&amp;Tabela1[[#This Row],[Origem]]</f>
        <v>Rifeco-H192H556/GO</v>
      </c>
      <c r="F465" s="88">
        <v>45728</v>
      </c>
      <c r="G465" s="88" t="str" cm="1">
        <f t="array" ref="G4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AND(F465&gt;= DATE(2026,1,1), F465&lt;= DATE(2028, 12, 31), J465&gt;50000), "Pendente e Caro", AND(F465&gt;= DATE(2026,1,1), F465&lt;= DATE(2028, 12, 31), J465&lt;=50000), "Pendente", F465&gt;= DATE(2029,1,1), "Não prioeitário")</f>
        <v>Urgente e Caro</v>
      </c>
      <c r="H465" s="89">
        <f>YEAR(Tabela1[[#This Row],[Data de Validade]])</f>
        <v>2025</v>
      </c>
      <c r="I465" s="89">
        <f>MONTH(Tabela1[[#This Row],[Data de Validade]])</f>
        <v>3</v>
      </c>
      <c r="J465" s="101">
        <v>54739</v>
      </c>
      <c r="K465" s="87" t="s">
        <v>11</v>
      </c>
      <c r="L465" s="108"/>
      <c r="M465" s="108"/>
      <c r="N465" s="108" t="str">
        <v>H192H556</v>
      </c>
      <c r="O465" s="108">
        <f t="shared" si="9"/>
        <v>1</v>
      </c>
      <c r="P465" s="108"/>
      <c r="Q465"/>
    </row>
    <row r="466" spans="1:17" x14ac:dyDescent="0.25">
      <c r="A466" s="89" t="s">
        <v>4369</v>
      </c>
      <c r="B466" s="87" t="s">
        <v>4370</v>
      </c>
      <c r="C466" s="87" t="s">
        <v>10</v>
      </c>
      <c r="D466" s="87" t="str">
        <f>VLOOKUP(Tabela1[[#This Row],[Origem]], 'Perguntas 1 a 24'!$J$28:$K$34, 2, 0)</f>
        <v>Centro-Oeste</v>
      </c>
      <c r="E466" s="87" t="str">
        <f>Tabela1[[#This Row],[Descrição]]&amp;"-"&amp;Tabela1[[#This Row],[Código]]&amp;"/"&amp;Tabela1[[#This Row],[Origem]]</f>
        <v>Nuponanepi-P152P268/GO</v>
      </c>
      <c r="F466" s="88">
        <v>45728</v>
      </c>
      <c r="G466" s="88" t="str" cm="1">
        <f t="array" ref="G4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AND(F466&gt;= DATE(2026,1,1), F466&lt;= DATE(2028, 12, 31), J466&gt;50000), "Pendente e Caro", AND(F466&gt;= DATE(2026,1,1), F466&lt;= DATE(2028, 12, 31), J466&lt;=50000), "Pendente", F466&gt;= DATE(2029,1,1), "Não prioeitário")</f>
        <v>Urgente</v>
      </c>
      <c r="H466" s="89">
        <f>YEAR(Tabela1[[#This Row],[Data de Validade]])</f>
        <v>2025</v>
      </c>
      <c r="I466" s="89">
        <f>MONTH(Tabela1[[#This Row],[Data de Validade]])</f>
        <v>3</v>
      </c>
      <c r="J466" s="101">
        <v>22816</v>
      </c>
      <c r="K466" s="87" t="s">
        <v>7</v>
      </c>
      <c r="L466" s="108"/>
      <c r="M466" s="108"/>
      <c r="N466" s="108" t="str">
        <v>P152P268</v>
      </c>
      <c r="O466" s="108">
        <f t="shared" si="9"/>
        <v>1</v>
      </c>
      <c r="P466" s="108"/>
      <c r="Q466"/>
    </row>
    <row r="467" spans="1:17" x14ac:dyDescent="0.25">
      <c r="A467" s="89" t="s">
        <v>6900</v>
      </c>
      <c r="B467" s="87" t="s">
        <v>6901</v>
      </c>
      <c r="C467" s="87" t="s">
        <v>12</v>
      </c>
      <c r="D467" s="87" t="str">
        <f>VLOOKUP(Tabela1[[#This Row],[Origem]], 'Perguntas 1 a 24'!$J$28:$K$34, 2, 0)</f>
        <v>Sudeste</v>
      </c>
      <c r="E467" s="87" t="str">
        <f>Tabela1[[#This Row],[Descrição]]&amp;"-"&amp;Tabela1[[#This Row],[Código]]&amp;"/"&amp;Tabela1[[#This Row],[Origem]]</f>
        <v>Fapuretopu-P166H364/RJ</v>
      </c>
      <c r="F467" s="88">
        <v>45729</v>
      </c>
      <c r="G467" s="88" t="str" cm="1">
        <f t="array" ref="G4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AND(F467&gt;= DATE(2026,1,1), F467&lt;= DATE(2028, 12, 31), J467&gt;50000), "Pendente e Caro", AND(F467&gt;= DATE(2026,1,1), F467&lt;= DATE(2028, 12, 31), J467&lt;=50000), "Pendente", F467&gt;= DATE(2029,1,1), "Não prioeitário")</f>
        <v>Urgente e Caro</v>
      </c>
      <c r="H467" s="89">
        <f>YEAR(Tabela1[[#This Row],[Data de Validade]])</f>
        <v>2025</v>
      </c>
      <c r="I467" s="89">
        <f>MONTH(Tabela1[[#This Row],[Data de Validade]])</f>
        <v>3</v>
      </c>
      <c r="J467" s="101">
        <v>52582</v>
      </c>
      <c r="K467" s="87" t="s">
        <v>11</v>
      </c>
      <c r="L467" s="108"/>
      <c r="M467" s="108"/>
      <c r="N467" s="108" t="str">
        <v>P166H364</v>
      </c>
      <c r="O467" s="108">
        <f t="shared" si="9"/>
        <v>1</v>
      </c>
      <c r="P467" s="108"/>
      <c r="Q467"/>
    </row>
    <row r="468" spans="1:17" x14ac:dyDescent="0.25">
      <c r="A468" s="89" t="s">
        <v>5418</v>
      </c>
      <c r="B468" s="87" t="s">
        <v>5419</v>
      </c>
      <c r="C468" s="87" t="s">
        <v>10</v>
      </c>
      <c r="D468" s="87" t="str">
        <f>VLOOKUP(Tabela1[[#This Row],[Origem]], 'Perguntas 1 a 24'!$J$28:$K$34, 2, 0)</f>
        <v>Centro-Oeste</v>
      </c>
      <c r="E468" s="87" t="str">
        <f>Tabela1[[#This Row],[Descrição]]&amp;"-"&amp;Tabela1[[#This Row],[Código]]&amp;"/"&amp;Tabela1[[#This Row],[Origem]]</f>
        <v>Popune-H394P168/GO</v>
      </c>
      <c r="F468" s="88">
        <v>45730</v>
      </c>
      <c r="G468" s="88" t="str" cm="1">
        <f t="array" ref="G4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AND(F468&gt;= DATE(2026,1,1), F468&lt;= DATE(2028, 12, 31), J468&gt;50000), "Pendente e Caro", AND(F468&gt;= DATE(2026,1,1), F468&lt;= DATE(2028, 12, 31), J468&lt;=50000), "Pendente", F468&gt;= DATE(2029,1,1), "Não prioeitário")</f>
        <v>Urgente e Caro</v>
      </c>
      <c r="H468" s="89">
        <f>YEAR(Tabela1[[#This Row],[Data de Validade]])</f>
        <v>2025</v>
      </c>
      <c r="I468" s="89">
        <f>MONTH(Tabela1[[#This Row],[Data de Validade]])</f>
        <v>3</v>
      </c>
      <c r="J468" s="101">
        <v>103869</v>
      </c>
      <c r="K468" s="87" t="s">
        <v>11</v>
      </c>
      <c r="L468" s="108"/>
      <c r="M468" s="108"/>
      <c r="N468" s="108" t="str">
        <v>H394P168</v>
      </c>
      <c r="O468" s="108">
        <f t="shared" si="9"/>
        <v>1</v>
      </c>
      <c r="P468" s="108"/>
      <c r="Q468"/>
    </row>
    <row r="469" spans="1:17" x14ac:dyDescent="0.25">
      <c r="A469" s="89" t="s">
        <v>4176</v>
      </c>
      <c r="B469" s="87" t="s">
        <v>4177</v>
      </c>
      <c r="C469" s="87" t="s">
        <v>10</v>
      </c>
      <c r="D469" s="87" t="str">
        <f>VLOOKUP(Tabela1[[#This Row],[Origem]], 'Perguntas 1 a 24'!$J$28:$K$34, 2, 0)</f>
        <v>Centro-Oeste</v>
      </c>
      <c r="E469" s="87" t="str">
        <f>Tabela1[[#This Row],[Descrição]]&amp;"-"&amp;Tabela1[[#This Row],[Código]]&amp;"/"&amp;Tabela1[[#This Row],[Origem]]</f>
        <v>Tepipunaro-H377H181/GO</v>
      </c>
      <c r="F469" s="88">
        <v>45730</v>
      </c>
      <c r="G469" s="88" t="str" cm="1">
        <f t="array" ref="G4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AND(F469&gt;= DATE(2026,1,1), F469&lt;= DATE(2028, 12, 31), J469&gt;50000), "Pendente e Caro", AND(F469&gt;= DATE(2026,1,1), F469&lt;= DATE(2028, 12, 31), J469&lt;=50000), "Pendente", F469&gt;= DATE(2029,1,1), "Não prioeitário")</f>
        <v>Urgente e Caro</v>
      </c>
      <c r="H469" s="89">
        <f>YEAR(Tabela1[[#This Row],[Data de Validade]])</f>
        <v>2025</v>
      </c>
      <c r="I469" s="89">
        <f>MONTH(Tabela1[[#This Row],[Data de Validade]])</f>
        <v>3</v>
      </c>
      <c r="J469" s="101">
        <v>96891</v>
      </c>
      <c r="K469" s="87" t="s">
        <v>9</v>
      </c>
      <c r="L469" s="108"/>
      <c r="M469" s="108"/>
      <c r="N469" s="108" t="str">
        <v>H377H181</v>
      </c>
      <c r="O469" s="108">
        <f t="shared" si="9"/>
        <v>1</v>
      </c>
      <c r="P469" s="108"/>
      <c r="Q469"/>
    </row>
    <row r="470" spans="1:17" x14ac:dyDescent="0.25">
      <c r="A470" s="89" t="s">
        <v>4734</v>
      </c>
      <c r="B470" s="87" t="s">
        <v>4735</v>
      </c>
      <c r="C470" s="87" t="s">
        <v>6</v>
      </c>
      <c r="D470" s="87" t="str">
        <f>VLOOKUP(Tabela1[[#This Row],[Origem]], 'Perguntas 1 a 24'!$J$28:$K$34, 2, 0)</f>
        <v>Nordeste</v>
      </c>
      <c r="E470" s="87" t="str">
        <f>Tabela1[[#This Row],[Descrição]]&amp;"-"&amp;Tabela1[[#This Row],[Código]]&amp;"/"&amp;Tabela1[[#This Row],[Origem]]</f>
        <v>Rarocipu-P675P779/MA</v>
      </c>
      <c r="F470" s="88">
        <v>45730</v>
      </c>
      <c r="G470" s="88" t="str" cm="1">
        <f t="array" ref="G4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AND(F470&gt;= DATE(2026,1,1), F470&lt;= DATE(2028, 12, 31), J470&gt;50000), "Pendente e Caro", AND(F470&gt;= DATE(2026,1,1), F470&lt;= DATE(2028, 12, 31), J470&lt;=50000), "Pendente", F470&gt;= DATE(2029,1,1), "Não prioeitário")</f>
        <v>Urgente e Caro</v>
      </c>
      <c r="H470" s="89">
        <f>YEAR(Tabela1[[#This Row],[Data de Validade]])</f>
        <v>2025</v>
      </c>
      <c r="I470" s="89">
        <f>MONTH(Tabela1[[#This Row],[Data de Validade]])</f>
        <v>3</v>
      </c>
      <c r="J470" s="101">
        <v>61130</v>
      </c>
      <c r="K470" s="87" t="s">
        <v>7</v>
      </c>
      <c r="L470" s="108"/>
      <c r="M470" s="108"/>
      <c r="N470" s="108" t="str">
        <v>P675P779</v>
      </c>
      <c r="O470" s="108">
        <f t="shared" si="9"/>
        <v>1</v>
      </c>
      <c r="P470" s="108"/>
      <c r="Q470"/>
    </row>
    <row r="471" spans="1:17" x14ac:dyDescent="0.25">
      <c r="A471" s="89" t="s">
        <v>11312</v>
      </c>
      <c r="B471" s="87" t="s">
        <v>11313</v>
      </c>
      <c r="C471" s="87" t="s">
        <v>16</v>
      </c>
      <c r="D471" s="87" t="str">
        <f>VLOOKUP(Tabela1[[#This Row],[Origem]], 'Perguntas 1 a 24'!$J$28:$K$34, 2, 0)</f>
        <v>Sudeste</v>
      </c>
      <c r="E471" s="87" t="str">
        <f>Tabela1[[#This Row],[Descrição]]&amp;"-"&amp;Tabela1[[#This Row],[Código]]&amp;"/"&amp;Tabela1[[#This Row],[Origem]]</f>
        <v>Rugidu-H753H124/MG</v>
      </c>
      <c r="F471" s="88">
        <v>45731</v>
      </c>
      <c r="G471" s="88" t="str" cm="1">
        <f t="array" ref="G4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AND(F471&gt;= DATE(2026,1,1), F471&lt;= DATE(2028, 12, 31), J471&gt;50000), "Pendente e Caro", AND(F471&gt;= DATE(2026,1,1), F471&lt;= DATE(2028, 12, 31), J471&lt;=50000), "Pendente", F471&gt;= DATE(2029,1,1), "Não prioeitário")</f>
        <v>Urgente e Caro</v>
      </c>
      <c r="H471" s="89">
        <f>YEAR(Tabela1[[#This Row],[Data de Validade]])</f>
        <v>2025</v>
      </c>
      <c r="I471" s="89">
        <f>MONTH(Tabela1[[#This Row],[Data de Validade]])</f>
        <v>3</v>
      </c>
      <c r="J471" s="101">
        <v>103761</v>
      </c>
      <c r="K471" s="87" t="s">
        <v>9</v>
      </c>
      <c r="L471" s="108"/>
      <c r="M471" s="108"/>
      <c r="N471" s="108" t="str">
        <v>H753H124</v>
      </c>
      <c r="O471" s="108">
        <f t="shared" si="9"/>
        <v>1</v>
      </c>
      <c r="P471" s="108"/>
      <c r="Q471"/>
    </row>
    <row r="472" spans="1:17" x14ac:dyDescent="0.25">
      <c r="A472" s="89" t="s">
        <v>9861</v>
      </c>
      <c r="B472" s="87" t="s">
        <v>9862</v>
      </c>
      <c r="C472" s="87" t="s">
        <v>6</v>
      </c>
      <c r="D472" s="87" t="str">
        <f>VLOOKUP(Tabela1[[#This Row],[Origem]], 'Perguntas 1 a 24'!$J$28:$K$34, 2, 0)</f>
        <v>Nordeste</v>
      </c>
      <c r="E472" s="87" t="str">
        <f>Tabela1[[#This Row],[Descrição]]&amp;"-"&amp;Tabela1[[#This Row],[Código]]&amp;"/"&amp;Tabela1[[#This Row],[Origem]]</f>
        <v>Laravadiva-P839P132/MA</v>
      </c>
      <c r="F472" s="88">
        <v>45731</v>
      </c>
      <c r="G472" s="88" t="str" cm="1">
        <f t="array" ref="G4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AND(F472&gt;= DATE(2026,1,1), F472&lt;= DATE(2028, 12, 31), J472&gt;50000), "Pendente e Caro", AND(F472&gt;= DATE(2026,1,1), F472&lt;= DATE(2028, 12, 31), J472&lt;=50000), "Pendente", F472&gt;= DATE(2029,1,1), "Não prioeitário")</f>
        <v>Urgente e Caro</v>
      </c>
      <c r="H472" s="89">
        <f>YEAR(Tabela1[[#This Row],[Data de Validade]])</f>
        <v>2025</v>
      </c>
      <c r="I472" s="89">
        <f>MONTH(Tabela1[[#This Row],[Data de Validade]])</f>
        <v>3</v>
      </c>
      <c r="J472" s="101">
        <v>76375</v>
      </c>
      <c r="K472" s="87" t="s">
        <v>14</v>
      </c>
      <c r="L472" s="108"/>
      <c r="M472" s="108"/>
      <c r="N472" s="108" t="str">
        <v>P839P132</v>
      </c>
      <c r="O472" s="108">
        <f t="shared" si="9"/>
        <v>1</v>
      </c>
      <c r="P472" s="108"/>
      <c r="Q472"/>
    </row>
    <row r="473" spans="1:17" x14ac:dyDescent="0.25">
      <c r="A473" s="89" t="s">
        <v>10457</v>
      </c>
      <c r="B473" s="87" t="s">
        <v>10458</v>
      </c>
      <c r="C473" s="87" t="s">
        <v>15</v>
      </c>
      <c r="D473" s="87" t="str">
        <f>VLOOKUP(Tabela1[[#This Row],[Origem]], 'Perguntas 1 a 24'!$J$28:$K$34, 2, 0)</f>
        <v>Sudeste</v>
      </c>
      <c r="E473" s="87" t="str">
        <f>Tabela1[[#This Row],[Descrição]]&amp;"-"&amp;Tabela1[[#This Row],[Código]]&amp;"/"&amp;Tabela1[[#This Row],[Origem]]</f>
        <v>Totico-P793P842/ES</v>
      </c>
      <c r="F473" s="88">
        <v>45732</v>
      </c>
      <c r="G473" s="88" t="str" cm="1">
        <f t="array" ref="G4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AND(F473&gt;= DATE(2026,1,1), F473&lt;= DATE(2028, 12, 31), J473&gt;50000), "Pendente e Caro", AND(F473&gt;= DATE(2026,1,1), F473&lt;= DATE(2028, 12, 31), J473&lt;=50000), "Pendente", F473&gt;= DATE(2029,1,1), "Não prioeitário")</f>
        <v>Urgente e Caro</v>
      </c>
      <c r="H473" s="89">
        <f>YEAR(Tabela1[[#This Row],[Data de Validade]])</f>
        <v>2025</v>
      </c>
      <c r="I473" s="89">
        <f>MONTH(Tabela1[[#This Row],[Data de Validade]])</f>
        <v>3</v>
      </c>
      <c r="J473" s="101">
        <v>99931</v>
      </c>
      <c r="K473" s="87" t="s">
        <v>14</v>
      </c>
      <c r="L473" s="108"/>
      <c r="M473" s="108"/>
      <c r="N473" s="108" t="str">
        <v>P793P842</v>
      </c>
      <c r="O473" s="108">
        <f t="shared" si="9"/>
        <v>1</v>
      </c>
      <c r="P473" s="108"/>
      <c r="Q473"/>
    </row>
    <row r="474" spans="1:17" x14ac:dyDescent="0.25">
      <c r="A474" s="89" t="s">
        <v>4463</v>
      </c>
      <c r="B474" s="87" t="s">
        <v>4464</v>
      </c>
      <c r="C474" s="87" t="s">
        <v>12</v>
      </c>
      <c r="D474" s="87" t="str">
        <f>VLOOKUP(Tabela1[[#This Row],[Origem]], 'Perguntas 1 a 24'!$J$28:$K$34, 2, 0)</f>
        <v>Sudeste</v>
      </c>
      <c r="E474" s="87" t="str">
        <f>Tabela1[[#This Row],[Descrição]]&amp;"-"&amp;Tabela1[[#This Row],[Código]]&amp;"/"&amp;Tabela1[[#This Row],[Origem]]</f>
        <v>Daripote-H838P976/RJ</v>
      </c>
      <c r="F474" s="88">
        <v>45733</v>
      </c>
      <c r="G474" s="88" t="str" cm="1">
        <f t="array" ref="G4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AND(F474&gt;= DATE(2026,1,1), F474&lt;= DATE(2028, 12, 31), J474&gt;50000), "Pendente e Caro", AND(F474&gt;= DATE(2026,1,1), F474&lt;= DATE(2028, 12, 31), J474&lt;=50000), "Pendente", F474&gt;= DATE(2029,1,1), "Não prioeitário")</f>
        <v>Urgente e Caro</v>
      </c>
      <c r="H474" s="89">
        <f>YEAR(Tabela1[[#This Row],[Data de Validade]])</f>
        <v>2025</v>
      </c>
      <c r="I474" s="89">
        <f>MONTH(Tabela1[[#This Row],[Data de Validade]])</f>
        <v>3</v>
      </c>
      <c r="J474" s="101">
        <v>78186</v>
      </c>
      <c r="K474" s="87" t="s">
        <v>14</v>
      </c>
      <c r="L474" s="108"/>
      <c r="M474" s="108"/>
      <c r="N474" s="108" t="str">
        <v>H838P976</v>
      </c>
      <c r="O474" s="108">
        <f t="shared" si="9"/>
        <v>1</v>
      </c>
      <c r="P474" s="108"/>
      <c r="Q474"/>
    </row>
    <row r="475" spans="1:17" x14ac:dyDescent="0.25">
      <c r="A475" s="89" t="s">
        <v>4614</v>
      </c>
      <c r="B475" s="87" t="s">
        <v>4615</v>
      </c>
      <c r="C475" s="87" t="s">
        <v>10</v>
      </c>
      <c r="D475" s="87" t="str">
        <f>VLOOKUP(Tabela1[[#This Row],[Origem]], 'Perguntas 1 a 24'!$J$28:$K$34, 2, 0)</f>
        <v>Centro-Oeste</v>
      </c>
      <c r="E475" s="87" t="str">
        <f>Tabela1[[#This Row],[Descrição]]&amp;"-"&amp;Tabela1[[#This Row],[Código]]&amp;"/"&amp;Tabela1[[#This Row],[Origem]]</f>
        <v>Ficemupiri-P753P983/GO</v>
      </c>
      <c r="F475" s="88">
        <v>45733</v>
      </c>
      <c r="G475" s="88" t="str" cm="1">
        <f t="array" ref="G4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AND(F475&gt;= DATE(2026,1,1), F475&lt;= DATE(2028, 12, 31), J475&gt;50000), "Pendente e Caro", AND(F475&gt;= DATE(2026,1,1), F475&lt;= DATE(2028, 12, 31), J475&lt;=50000), "Pendente", F475&gt;= DATE(2029,1,1), "Não prioeitário")</f>
        <v>Urgente e Caro</v>
      </c>
      <c r="H475" s="89">
        <f>YEAR(Tabela1[[#This Row],[Data de Validade]])</f>
        <v>2025</v>
      </c>
      <c r="I475" s="89">
        <f>MONTH(Tabela1[[#This Row],[Data de Validade]])</f>
        <v>3</v>
      </c>
      <c r="J475" s="101">
        <v>76249</v>
      </c>
      <c r="K475" s="87" t="s">
        <v>7</v>
      </c>
      <c r="L475" s="108"/>
      <c r="M475" s="108"/>
      <c r="N475" s="108" t="str">
        <v>P753P983</v>
      </c>
      <c r="O475" s="108">
        <f t="shared" si="9"/>
        <v>1</v>
      </c>
      <c r="P475" s="108"/>
      <c r="Q475"/>
    </row>
    <row r="476" spans="1:17" x14ac:dyDescent="0.25">
      <c r="A476" s="89" t="s">
        <v>4110</v>
      </c>
      <c r="B476" s="87" t="s">
        <v>4111</v>
      </c>
      <c r="C476" s="87" t="s">
        <v>10</v>
      </c>
      <c r="D476" s="87" t="str">
        <f>VLOOKUP(Tabela1[[#This Row],[Origem]], 'Perguntas 1 a 24'!$J$28:$K$34, 2, 0)</f>
        <v>Centro-Oeste</v>
      </c>
      <c r="E476" s="87" t="str">
        <f>Tabela1[[#This Row],[Descrição]]&amp;"-"&amp;Tabela1[[#This Row],[Código]]&amp;"/"&amp;Tabela1[[#This Row],[Origem]]</f>
        <v>Ropuritono-P526P262/GO</v>
      </c>
      <c r="F476" s="88">
        <v>45733</v>
      </c>
      <c r="G476" s="88" t="str" cm="1">
        <f t="array" ref="G4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AND(F476&gt;= DATE(2026,1,1), F476&lt;= DATE(2028, 12, 31), J476&gt;50000), "Pendente e Caro", AND(F476&gt;= DATE(2026,1,1), F476&lt;= DATE(2028, 12, 31), J476&lt;=50000), "Pendente", F476&gt;= DATE(2029,1,1), "Não prioeitário")</f>
        <v>Urgente</v>
      </c>
      <c r="H476" s="89">
        <f>YEAR(Tabela1[[#This Row],[Data de Validade]])</f>
        <v>2025</v>
      </c>
      <c r="I476" s="89">
        <f>MONTH(Tabela1[[#This Row],[Data de Validade]])</f>
        <v>3</v>
      </c>
      <c r="J476" s="101">
        <v>26740</v>
      </c>
      <c r="K476" s="87" t="s">
        <v>14</v>
      </c>
      <c r="L476" s="108"/>
      <c r="M476" s="108"/>
      <c r="N476" s="108" t="str">
        <v>P526P262</v>
      </c>
      <c r="O476" s="108">
        <f t="shared" si="9"/>
        <v>1</v>
      </c>
      <c r="P476" s="108"/>
      <c r="Q476"/>
    </row>
    <row r="477" spans="1:17" x14ac:dyDescent="0.25">
      <c r="A477" s="89" t="s">
        <v>9771</v>
      </c>
      <c r="B477" s="87" t="s">
        <v>9772</v>
      </c>
      <c r="C477" s="87" t="s">
        <v>6</v>
      </c>
      <c r="D477" s="87" t="str">
        <f>VLOOKUP(Tabela1[[#This Row],[Origem]], 'Perguntas 1 a 24'!$J$28:$K$34, 2, 0)</f>
        <v>Nordeste</v>
      </c>
      <c r="E477" s="87" t="str">
        <f>Tabela1[[#This Row],[Descrição]]&amp;"-"&amp;Tabela1[[#This Row],[Código]]&amp;"/"&amp;Tabela1[[#This Row],[Origem]]</f>
        <v>Tufora-P418H387/MA</v>
      </c>
      <c r="F477" s="88">
        <v>45734</v>
      </c>
      <c r="G477" s="88" t="str" cm="1">
        <f t="array" ref="G4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AND(F477&gt;= DATE(2026,1,1), F477&lt;= DATE(2028, 12, 31), J477&gt;50000), "Pendente e Caro", AND(F477&gt;= DATE(2026,1,1), F477&lt;= DATE(2028, 12, 31), J477&lt;=50000), "Pendente", F477&gt;= DATE(2029,1,1), "Não prioeitário")</f>
        <v>Urgente e Caro</v>
      </c>
      <c r="H477" s="89">
        <f>YEAR(Tabela1[[#This Row],[Data de Validade]])</f>
        <v>2025</v>
      </c>
      <c r="I477" s="89">
        <f>MONTH(Tabela1[[#This Row],[Data de Validade]])</f>
        <v>3</v>
      </c>
      <c r="J477" s="101">
        <v>106679</v>
      </c>
      <c r="K477" s="87" t="s">
        <v>14</v>
      </c>
      <c r="L477" s="108"/>
      <c r="M477" s="108"/>
      <c r="N477" s="108" t="str">
        <v>P418H387</v>
      </c>
      <c r="O477" s="108">
        <f t="shared" si="9"/>
        <v>1</v>
      </c>
      <c r="P477" s="108"/>
      <c r="Q477"/>
    </row>
    <row r="478" spans="1:17" x14ac:dyDescent="0.25">
      <c r="A478" s="89" t="s">
        <v>9707</v>
      </c>
      <c r="B478" s="87" t="s">
        <v>9708</v>
      </c>
      <c r="C478" s="87" t="s">
        <v>6</v>
      </c>
      <c r="D478" s="87" t="str">
        <f>VLOOKUP(Tabela1[[#This Row],[Origem]], 'Perguntas 1 a 24'!$J$28:$K$34, 2, 0)</f>
        <v>Nordeste</v>
      </c>
      <c r="E478" s="87" t="str">
        <f>Tabela1[[#This Row],[Descrição]]&amp;"-"&amp;Tabela1[[#This Row],[Código]]&amp;"/"&amp;Tabela1[[#This Row],[Origem]]</f>
        <v>Cetutu-P169H521/MA</v>
      </c>
      <c r="F478" s="88">
        <v>45734</v>
      </c>
      <c r="G478" s="88" t="str" cm="1">
        <f t="array" ref="G4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AND(F478&gt;= DATE(2026,1,1), F478&lt;= DATE(2028, 12, 31), J478&gt;50000), "Pendente e Caro", AND(F478&gt;= DATE(2026,1,1), F478&lt;= DATE(2028, 12, 31), J478&lt;=50000), "Pendente", F478&gt;= DATE(2029,1,1), "Não prioeitário")</f>
        <v>Urgente e Caro</v>
      </c>
      <c r="H478" s="89">
        <f>YEAR(Tabela1[[#This Row],[Data de Validade]])</f>
        <v>2025</v>
      </c>
      <c r="I478" s="89">
        <f>MONTH(Tabela1[[#This Row],[Data de Validade]])</f>
        <v>3</v>
      </c>
      <c r="J478" s="101">
        <v>62356</v>
      </c>
      <c r="K478" s="87" t="s">
        <v>11</v>
      </c>
      <c r="L478" s="108"/>
      <c r="M478" s="108"/>
      <c r="N478" s="108" t="str">
        <v>P169H521</v>
      </c>
      <c r="O478" s="108">
        <f t="shared" si="9"/>
        <v>1</v>
      </c>
      <c r="P478" s="108"/>
      <c r="Q478"/>
    </row>
    <row r="479" spans="1:17" x14ac:dyDescent="0.25">
      <c r="A479" s="89" t="s">
        <v>5664</v>
      </c>
      <c r="B479" s="87" t="s">
        <v>5665</v>
      </c>
      <c r="C479" s="87" t="s">
        <v>13</v>
      </c>
      <c r="D479" s="87" t="str">
        <f>VLOOKUP(Tabela1[[#This Row],[Origem]], 'Perguntas 1 a 24'!$J$28:$K$34, 2, 0)</f>
        <v>Sudeste</v>
      </c>
      <c r="E479" s="87" t="str">
        <f>Tabela1[[#This Row],[Descrição]]&amp;"-"&amp;Tabela1[[#This Row],[Código]]&amp;"/"&amp;Tabela1[[#This Row],[Origem]]</f>
        <v>Polotovi-H398H131/SP</v>
      </c>
      <c r="F479" s="88">
        <v>45735</v>
      </c>
      <c r="G479" s="88" t="str" cm="1">
        <f t="array" ref="G4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AND(F479&gt;= DATE(2026,1,1), F479&lt;= DATE(2028, 12, 31), J479&gt;50000), "Pendente e Caro", AND(F479&gt;= DATE(2026,1,1), F479&lt;= DATE(2028, 12, 31), J479&lt;=50000), "Pendente", F479&gt;= DATE(2029,1,1), "Não prioeitário")</f>
        <v>Urgente e Caro</v>
      </c>
      <c r="H479" s="89">
        <f>YEAR(Tabela1[[#This Row],[Data de Validade]])</f>
        <v>2025</v>
      </c>
      <c r="I479" s="89">
        <f>MONTH(Tabela1[[#This Row],[Data de Validade]])</f>
        <v>3</v>
      </c>
      <c r="J479" s="101">
        <v>118394</v>
      </c>
      <c r="K479" s="87" t="s">
        <v>7</v>
      </c>
      <c r="L479" s="108"/>
      <c r="M479" s="108"/>
      <c r="N479" s="108" t="str">
        <v>H398H131</v>
      </c>
      <c r="O479" s="108">
        <f t="shared" si="9"/>
        <v>1</v>
      </c>
      <c r="P479" s="108"/>
      <c r="Q479"/>
    </row>
    <row r="480" spans="1:17" x14ac:dyDescent="0.25">
      <c r="A480" s="89" t="s">
        <v>5398</v>
      </c>
      <c r="B480" s="87" t="s">
        <v>5399</v>
      </c>
      <c r="C480" s="87" t="s">
        <v>6</v>
      </c>
      <c r="D480" s="87" t="str">
        <f>VLOOKUP(Tabela1[[#This Row],[Origem]], 'Perguntas 1 a 24'!$J$28:$K$34, 2, 0)</f>
        <v>Nordeste</v>
      </c>
      <c r="E480" s="87" t="str">
        <f>Tabela1[[#This Row],[Descrição]]&amp;"-"&amp;Tabela1[[#This Row],[Código]]&amp;"/"&amp;Tabela1[[#This Row],[Origem]]</f>
        <v>Pegale-H287P893/MA</v>
      </c>
      <c r="F480" s="88">
        <v>45735</v>
      </c>
      <c r="G480" s="88" t="str" cm="1">
        <f t="array" ref="G4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AND(F480&gt;= DATE(2026,1,1), F480&lt;= DATE(2028, 12, 31), J480&gt;50000), "Pendente e Caro", AND(F480&gt;= DATE(2026,1,1), F480&lt;= DATE(2028, 12, 31), J480&lt;=50000), "Pendente", F480&gt;= DATE(2029,1,1), "Não prioeitário")</f>
        <v>Urgente e Caro</v>
      </c>
      <c r="H480" s="89">
        <f>YEAR(Tabela1[[#This Row],[Data de Validade]])</f>
        <v>2025</v>
      </c>
      <c r="I480" s="89">
        <f>MONTH(Tabela1[[#This Row],[Data de Validade]])</f>
        <v>3</v>
      </c>
      <c r="J480" s="101">
        <v>104986</v>
      </c>
      <c r="K480" s="87" t="s">
        <v>7</v>
      </c>
      <c r="L480" s="108"/>
      <c r="M480" s="108"/>
      <c r="N480" s="108" t="str">
        <v>H287P893</v>
      </c>
      <c r="O480" s="108">
        <f t="shared" si="9"/>
        <v>1</v>
      </c>
      <c r="P480" s="108"/>
      <c r="Q480"/>
    </row>
    <row r="481" spans="1:17" x14ac:dyDescent="0.25">
      <c r="A481" s="89" t="s">
        <v>4954</v>
      </c>
      <c r="B481" s="87" t="s">
        <v>4955</v>
      </c>
      <c r="C481" s="87" t="s">
        <v>12</v>
      </c>
      <c r="D481" s="87" t="str">
        <f>VLOOKUP(Tabela1[[#This Row],[Origem]], 'Perguntas 1 a 24'!$J$28:$K$34, 2, 0)</f>
        <v>Sudeste</v>
      </c>
      <c r="E481" s="87" t="str">
        <f>Tabela1[[#This Row],[Descrição]]&amp;"-"&amp;Tabela1[[#This Row],[Código]]&amp;"/"&amp;Tabela1[[#This Row],[Origem]]</f>
        <v>Roputo-H393H392/RJ</v>
      </c>
      <c r="F481" s="88">
        <v>45735</v>
      </c>
      <c r="G481" s="88" t="str" cm="1">
        <f t="array" ref="G4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AND(F481&gt;= DATE(2026,1,1), F481&lt;= DATE(2028, 12, 31), J481&gt;50000), "Pendente e Caro", AND(F481&gt;= DATE(2026,1,1), F481&lt;= DATE(2028, 12, 31), J481&lt;=50000), "Pendente", F481&gt;= DATE(2029,1,1), "Não prioeitário")</f>
        <v>Urgente e Caro</v>
      </c>
      <c r="H481" s="89">
        <f>YEAR(Tabela1[[#This Row],[Data de Validade]])</f>
        <v>2025</v>
      </c>
      <c r="I481" s="89">
        <f>MONTH(Tabela1[[#This Row],[Data de Validade]])</f>
        <v>3</v>
      </c>
      <c r="J481" s="101">
        <v>86380</v>
      </c>
      <c r="K481" s="87" t="s">
        <v>11</v>
      </c>
      <c r="L481" s="108"/>
      <c r="M481" s="108"/>
      <c r="N481" s="108" t="str">
        <v>H393H392</v>
      </c>
      <c r="O481" s="108">
        <f t="shared" si="9"/>
        <v>1</v>
      </c>
      <c r="P481" s="108"/>
      <c r="Q481"/>
    </row>
    <row r="482" spans="1:17" x14ac:dyDescent="0.25">
      <c r="A482" s="89" t="s">
        <v>8298</v>
      </c>
      <c r="B482" s="87" t="s">
        <v>8299</v>
      </c>
      <c r="C482" s="87" t="s">
        <v>10</v>
      </c>
      <c r="D482" s="87" t="str">
        <f>VLOOKUP(Tabela1[[#This Row],[Origem]], 'Perguntas 1 a 24'!$J$28:$K$34, 2, 0)</f>
        <v>Centro-Oeste</v>
      </c>
      <c r="E482" s="87" t="str">
        <f>Tabela1[[#This Row],[Descrição]]&amp;"-"&amp;Tabela1[[#This Row],[Código]]&amp;"/"&amp;Tabela1[[#This Row],[Origem]]</f>
        <v>Pupifara-P397P876/GO</v>
      </c>
      <c r="F482" s="88">
        <v>45735</v>
      </c>
      <c r="G482" s="88" t="str" cm="1">
        <f t="array" ref="G4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AND(F482&gt;= DATE(2026,1,1), F482&lt;= DATE(2028, 12, 31), J482&gt;50000), "Pendente e Caro", AND(F482&gt;= DATE(2026,1,1), F482&lt;= DATE(2028, 12, 31), J482&lt;=50000), "Pendente", F482&gt;= DATE(2029,1,1), "Não prioeitário")</f>
        <v>Urgente e Caro</v>
      </c>
      <c r="H482" s="89">
        <f>YEAR(Tabela1[[#This Row],[Data de Validade]])</f>
        <v>2025</v>
      </c>
      <c r="I482" s="89">
        <f>MONTH(Tabela1[[#This Row],[Data de Validade]])</f>
        <v>3</v>
      </c>
      <c r="J482" s="101">
        <v>84917</v>
      </c>
      <c r="K482" s="87" t="s">
        <v>9</v>
      </c>
      <c r="L482" s="108"/>
      <c r="M482" s="108"/>
      <c r="N482" s="108" t="str">
        <v>P397P876</v>
      </c>
      <c r="O482" s="108">
        <f t="shared" si="9"/>
        <v>1</v>
      </c>
      <c r="P482" s="108"/>
      <c r="Q482"/>
    </row>
    <row r="483" spans="1:17" x14ac:dyDescent="0.25">
      <c r="A483" s="89" t="s">
        <v>9851</v>
      </c>
      <c r="B483" s="87" t="s">
        <v>9852</v>
      </c>
      <c r="C483" s="87" t="s">
        <v>13</v>
      </c>
      <c r="D483" s="87" t="str">
        <f>VLOOKUP(Tabela1[[#This Row],[Origem]], 'Perguntas 1 a 24'!$J$28:$K$34, 2, 0)</f>
        <v>Sudeste</v>
      </c>
      <c r="E483" s="87" t="str">
        <f>Tabela1[[#This Row],[Descrição]]&amp;"-"&amp;Tabela1[[#This Row],[Código]]&amp;"/"&amp;Tabela1[[#This Row],[Origem]]</f>
        <v>Topuri-H112P813/SP</v>
      </c>
      <c r="F483" s="88">
        <v>45736</v>
      </c>
      <c r="G483" s="88" t="str" cm="1">
        <f t="array" ref="G4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AND(F483&gt;= DATE(2026,1,1), F483&lt;= DATE(2028, 12, 31), J483&gt;50000), "Pendente e Caro", AND(F483&gt;= DATE(2026,1,1), F483&lt;= DATE(2028, 12, 31), J483&lt;=50000), "Pendente", F483&gt;= DATE(2029,1,1), "Não prioeitário")</f>
        <v>Urgente e Caro</v>
      </c>
      <c r="H483" s="89">
        <f>YEAR(Tabela1[[#This Row],[Data de Validade]])</f>
        <v>2025</v>
      </c>
      <c r="I483" s="89">
        <f>MONTH(Tabela1[[#This Row],[Data de Validade]])</f>
        <v>3</v>
      </c>
      <c r="J483" s="101">
        <v>91647</v>
      </c>
      <c r="K483" s="87" t="s">
        <v>14</v>
      </c>
      <c r="L483" s="108"/>
      <c r="M483" s="108"/>
      <c r="N483" s="108" t="str">
        <v>H112P813</v>
      </c>
      <c r="O483" s="108">
        <f t="shared" si="9"/>
        <v>1</v>
      </c>
      <c r="P483" s="108"/>
      <c r="Q483"/>
    </row>
    <row r="484" spans="1:17" x14ac:dyDescent="0.25">
      <c r="A484" s="89" t="s">
        <v>3752</v>
      </c>
      <c r="B484" s="87" t="s">
        <v>3753</v>
      </c>
      <c r="C484" s="87" t="s">
        <v>6</v>
      </c>
      <c r="D484" s="87" t="str">
        <f>VLOOKUP(Tabela1[[#This Row],[Origem]], 'Perguntas 1 a 24'!$J$28:$K$34, 2, 0)</f>
        <v>Nordeste</v>
      </c>
      <c r="E484" s="87" t="str">
        <f>Tabela1[[#This Row],[Descrição]]&amp;"-"&amp;Tabela1[[#This Row],[Código]]&amp;"/"&amp;Tabela1[[#This Row],[Origem]]</f>
        <v>Domefiti-H135H671/MA</v>
      </c>
      <c r="F484" s="88">
        <v>45736</v>
      </c>
      <c r="G484" s="88" t="str" cm="1">
        <f t="array" ref="G4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AND(F484&gt;= DATE(2026,1,1), F484&lt;= DATE(2028, 12, 31), J484&gt;50000), "Pendente e Caro", AND(F484&gt;= DATE(2026,1,1), F484&lt;= DATE(2028, 12, 31), J484&lt;=50000), "Pendente", F484&gt;= DATE(2029,1,1), "Não prioeitário")</f>
        <v>Urgente</v>
      </c>
      <c r="H484" s="89">
        <f>YEAR(Tabela1[[#This Row],[Data de Validade]])</f>
        <v>2025</v>
      </c>
      <c r="I484" s="89">
        <f>MONTH(Tabela1[[#This Row],[Data de Validade]])</f>
        <v>3</v>
      </c>
      <c r="J484" s="101">
        <v>43773</v>
      </c>
      <c r="K484" s="87" t="s">
        <v>14</v>
      </c>
      <c r="L484" s="108"/>
      <c r="M484" s="108"/>
      <c r="N484" s="108" t="str">
        <v>H135H671</v>
      </c>
      <c r="O484" s="108">
        <f t="shared" si="9"/>
        <v>1</v>
      </c>
      <c r="P484" s="108"/>
      <c r="Q484"/>
    </row>
    <row r="485" spans="1:17" x14ac:dyDescent="0.25">
      <c r="A485" s="89" t="s">
        <v>10179</v>
      </c>
      <c r="B485" s="87" t="s">
        <v>10180</v>
      </c>
      <c r="C485" s="87" t="s">
        <v>8</v>
      </c>
      <c r="D485" s="87" t="str">
        <f>VLOOKUP(Tabela1[[#This Row],[Origem]], 'Perguntas 1 a 24'!$J$28:$K$34, 2, 0)</f>
        <v>Nordeste</v>
      </c>
      <c r="E485" s="87" t="str">
        <f>Tabela1[[#This Row],[Descrição]]&amp;"-"&amp;Tabela1[[#This Row],[Código]]&amp;"/"&amp;Tabela1[[#This Row],[Origem]]</f>
        <v>Repomamepi-P814P554/AL</v>
      </c>
      <c r="F485" s="88">
        <v>45737</v>
      </c>
      <c r="G485" s="88" t="str" cm="1">
        <f t="array" ref="G4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AND(F485&gt;= DATE(2026,1,1), F485&lt;= DATE(2028, 12, 31), J485&gt;50000), "Pendente e Caro", AND(F485&gt;= DATE(2026,1,1), F485&lt;= DATE(2028, 12, 31), J485&lt;=50000), "Pendente", F485&gt;= DATE(2029,1,1), "Não prioeitário")</f>
        <v>Urgente</v>
      </c>
      <c r="H485" s="89">
        <f>YEAR(Tabela1[[#This Row],[Data de Validade]])</f>
        <v>2025</v>
      </c>
      <c r="I485" s="89">
        <f>MONTH(Tabela1[[#This Row],[Data de Validade]])</f>
        <v>3</v>
      </c>
      <c r="J485" s="101">
        <v>37348</v>
      </c>
      <c r="K485" s="87" t="s">
        <v>11</v>
      </c>
      <c r="L485" s="108"/>
      <c r="M485" s="108"/>
      <c r="N485" s="108" t="str">
        <v>P814P554</v>
      </c>
      <c r="O485" s="108">
        <f t="shared" si="9"/>
        <v>1</v>
      </c>
      <c r="P485" s="108"/>
      <c r="Q485"/>
    </row>
    <row r="486" spans="1:17" x14ac:dyDescent="0.25">
      <c r="A486" s="89" t="s">
        <v>8500</v>
      </c>
      <c r="B486" s="87" t="s">
        <v>8501</v>
      </c>
      <c r="C486" s="87" t="s">
        <v>6</v>
      </c>
      <c r="D486" s="87" t="str">
        <f>VLOOKUP(Tabela1[[#This Row],[Origem]], 'Perguntas 1 a 24'!$J$28:$K$34, 2, 0)</f>
        <v>Nordeste</v>
      </c>
      <c r="E486" s="87" t="str">
        <f>Tabela1[[#This Row],[Descrição]]&amp;"-"&amp;Tabela1[[#This Row],[Código]]&amp;"/"&amp;Tabela1[[#This Row],[Origem]]</f>
        <v>Panime-H682P683/MA</v>
      </c>
      <c r="F486" s="88">
        <v>45737</v>
      </c>
      <c r="G486" s="88" t="str" cm="1">
        <f t="array" ref="G4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AND(F486&gt;= DATE(2026,1,1), F486&lt;= DATE(2028, 12, 31), J486&gt;50000), "Pendente e Caro", AND(F486&gt;= DATE(2026,1,1), F486&lt;= DATE(2028, 12, 31), J486&lt;=50000), "Pendente", F486&gt;= DATE(2029,1,1), "Não prioeitário")</f>
        <v>Urgente</v>
      </c>
      <c r="H486" s="89">
        <f>YEAR(Tabela1[[#This Row],[Data de Validade]])</f>
        <v>2025</v>
      </c>
      <c r="I486" s="89">
        <f>MONTH(Tabela1[[#This Row],[Data de Validade]])</f>
        <v>3</v>
      </c>
      <c r="J486" s="101">
        <v>28797</v>
      </c>
      <c r="K486" s="87" t="s">
        <v>9</v>
      </c>
      <c r="L486" s="108"/>
      <c r="M486" s="108"/>
      <c r="N486" s="108" t="str">
        <v>H682P683</v>
      </c>
      <c r="O486" s="108">
        <f t="shared" si="9"/>
        <v>1</v>
      </c>
      <c r="P486" s="108"/>
      <c r="Q486"/>
    </row>
    <row r="487" spans="1:17" x14ac:dyDescent="0.25">
      <c r="A487" s="89" t="s">
        <v>6394</v>
      </c>
      <c r="B487" s="87" t="s">
        <v>6395</v>
      </c>
      <c r="C487" s="87" t="s">
        <v>13</v>
      </c>
      <c r="D487" s="87" t="str">
        <f>VLOOKUP(Tabela1[[#This Row],[Origem]], 'Perguntas 1 a 24'!$J$28:$K$34, 2, 0)</f>
        <v>Sudeste</v>
      </c>
      <c r="E487" s="87" t="str">
        <f>Tabela1[[#This Row],[Descrição]]&amp;"-"&amp;Tabela1[[#This Row],[Código]]&amp;"/"&amp;Tabela1[[#This Row],[Origem]]</f>
        <v>Roduta-H448P296/SP</v>
      </c>
      <c r="F487" s="88">
        <v>45738</v>
      </c>
      <c r="G487" s="88" t="str" cm="1">
        <f t="array" ref="G4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AND(F487&gt;= DATE(2026,1,1), F487&lt;= DATE(2028, 12, 31), J487&gt;50000), "Pendente e Caro", AND(F487&gt;= DATE(2026,1,1), F487&lt;= DATE(2028, 12, 31), J487&lt;=50000), "Pendente", F487&gt;= DATE(2029,1,1), "Não prioeitário")</f>
        <v>Urgente e Caro</v>
      </c>
      <c r="H487" s="89">
        <f>YEAR(Tabela1[[#This Row],[Data de Validade]])</f>
        <v>2025</v>
      </c>
      <c r="I487" s="89">
        <f>MONTH(Tabela1[[#This Row],[Data de Validade]])</f>
        <v>3</v>
      </c>
      <c r="J487" s="101">
        <v>114808</v>
      </c>
      <c r="K487" s="87" t="s">
        <v>7</v>
      </c>
      <c r="L487" s="108"/>
      <c r="M487" s="108"/>
      <c r="N487" s="108" t="str">
        <v>H448P296</v>
      </c>
      <c r="O487" s="108">
        <f t="shared" si="9"/>
        <v>1</v>
      </c>
      <c r="P487" s="108"/>
      <c r="Q487"/>
    </row>
    <row r="488" spans="1:17" x14ac:dyDescent="0.25">
      <c r="A488" s="89" t="s">
        <v>5014</v>
      </c>
      <c r="B488" s="87" t="s">
        <v>5015</v>
      </c>
      <c r="C488" s="87" t="s">
        <v>6</v>
      </c>
      <c r="D488" s="87" t="str">
        <f>VLOOKUP(Tabela1[[#This Row],[Origem]], 'Perguntas 1 a 24'!$J$28:$K$34, 2, 0)</f>
        <v>Nordeste</v>
      </c>
      <c r="E488" s="87" t="str">
        <f>Tabela1[[#This Row],[Descrição]]&amp;"-"&amp;Tabela1[[#This Row],[Código]]&amp;"/"&amp;Tabela1[[#This Row],[Origem]]</f>
        <v>Metavafigu-P986P343/MA</v>
      </c>
      <c r="F488" s="88">
        <v>45738</v>
      </c>
      <c r="G488" s="88" t="str" cm="1">
        <f t="array" ref="G4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AND(F488&gt;= DATE(2026,1,1), F488&lt;= DATE(2028, 12, 31), J488&gt;50000), "Pendente e Caro", AND(F488&gt;= DATE(2026,1,1), F488&lt;= DATE(2028, 12, 31), J488&lt;=50000), "Pendente", F488&gt;= DATE(2029,1,1), "Não prioeitário")</f>
        <v>Urgente e Caro</v>
      </c>
      <c r="H488" s="89">
        <f>YEAR(Tabela1[[#This Row],[Data de Validade]])</f>
        <v>2025</v>
      </c>
      <c r="I488" s="89">
        <f>MONTH(Tabela1[[#This Row],[Data de Validade]])</f>
        <v>3</v>
      </c>
      <c r="J488" s="101">
        <v>80214</v>
      </c>
      <c r="K488" s="87" t="s">
        <v>7</v>
      </c>
      <c r="L488" s="108"/>
      <c r="M488" s="108"/>
      <c r="N488" s="108" t="str">
        <v>P986P343</v>
      </c>
      <c r="O488" s="108">
        <f t="shared" si="9"/>
        <v>1</v>
      </c>
      <c r="P488" s="108"/>
      <c r="Q488"/>
    </row>
    <row r="489" spans="1:17" x14ac:dyDescent="0.25">
      <c r="A489" s="89" t="s">
        <v>5110</v>
      </c>
      <c r="B489" s="87" t="s">
        <v>5111</v>
      </c>
      <c r="C489" s="87" t="s">
        <v>15</v>
      </c>
      <c r="D489" s="87" t="str">
        <f>VLOOKUP(Tabela1[[#This Row],[Origem]], 'Perguntas 1 a 24'!$J$28:$K$34, 2, 0)</f>
        <v>Sudeste</v>
      </c>
      <c r="E489" s="87" t="str">
        <f>Tabela1[[#This Row],[Descrição]]&amp;"-"&amp;Tabela1[[#This Row],[Código]]&amp;"/"&amp;Tabela1[[#This Row],[Origem]]</f>
        <v>Peropifane-H786P844/ES</v>
      </c>
      <c r="F489" s="88">
        <v>45738</v>
      </c>
      <c r="G489" s="88" t="str" cm="1">
        <f t="array" ref="G4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AND(F489&gt;= DATE(2026,1,1), F489&lt;= DATE(2028, 12, 31), J489&gt;50000), "Pendente e Caro", AND(F489&gt;= DATE(2026,1,1), F489&lt;= DATE(2028, 12, 31), J489&lt;=50000), "Pendente", F489&gt;= DATE(2029,1,1), "Não prioeitário")</f>
        <v>Urgente e Caro</v>
      </c>
      <c r="H489" s="89">
        <f>YEAR(Tabela1[[#This Row],[Data de Validade]])</f>
        <v>2025</v>
      </c>
      <c r="I489" s="89">
        <f>MONTH(Tabela1[[#This Row],[Data de Validade]])</f>
        <v>3</v>
      </c>
      <c r="J489" s="101">
        <v>59344</v>
      </c>
      <c r="K489" s="87" t="s">
        <v>9</v>
      </c>
      <c r="L489" s="108"/>
      <c r="M489" s="108"/>
      <c r="N489" s="108" t="str">
        <v>H786P844</v>
      </c>
      <c r="O489" s="108">
        <f t="shared" si="9"/>
        <v>1</v>
      </c>
      <c r="P489" s="108"/>
      <c r="Q489"/>
    </row>
    <row r="490" spans="1:17" x14ac:dyDescent="0.25">
      <c r="A490" s="89" t="s">
        <v>9189</v>
      </c>
      <c r="B490" s="87" t="s">
        <v>9190</v>
      </c>
      <c r="C490" s="87" t="s">
        <v>15</v>
      </c>
      <c r="D490" s="87" t="str">
        <f>VLOOKUP(Tabela1[[#This Row],[Origem]], 'Perguntas 1 a 24'!$J$28:$K$34, 2, 0)</f>
        <v>Sudeste</v>
      </c>
      <c r="E490" s="87" t="str">
        <f>Tabela1[[#This Row],[Descrição]]&amp;"-"&amp;Tabela1[[#This Row],[Código]]&amp;"/"&amp;Tabela1[[#This Row],[Origem]]</f>
        <v>Gerecilati-H421H579/ES</v>
      </c>
      <c r="F490" s="88">
        <v>45738</v>
      </c>
      <c r="G490" s="88" t="str" cm="1">
        <f t="array" ref="G4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AND(F490&gt;= DATE(2026,1,1), F490&lt;= DATE(2028, 12, 31), J490&gt;50000), "Pendente e Caro", AND(F490&gt;= DATE(2026,1,1), F490&lt;= DATE(2028, 12, 31), J490&lt;=50000), "Pendente", F490&gt;= DATE(2029,1,1), "Não prioeitário")</f>
        <v>Urgente</v>
      </c>
      <c r="H490" s="89">
        <f>YEAR(Tabela1[[#This Row],[Data de Validade]])</f>
        <v>2025</v>
      </c>
      <c r="I490" s="89">
        <f>MONTH(Tabela1[[#This Row],[Data de Validade]])</f>
        <v>3</v>
      </c>
      <c r="J490" s="101">
        <v>25685</v>
      </c>
      <c r="K490" s="87" t="s">
        <v>11</v>
      </c>
      <c r="L490" s="108"/>
      <c r="M490" s="108"/>
      <c r="N490" s="108" t="str">
        <v>H421H579</v>
      </c>
      <c r="O490" s="108">
        <f t="shared" si="9"/>
        <v>1</v>
      </c>
      <c r="P490" s="108"/>
      <c r="Q490"/>
    </row>
    <row r="491" spans="1:17" x14ac:dyDescent="0.25">
      <c r="A491" s="89" t="s">
        <v>11105</v>
      </c>
      <c r="B491" s="87" t="s">
        <v>11106</v>
      </c>
      <c r="C491" s="87" t="s">
        <v>12</v>
      </c>
      <c r="D491" s="87" t="str">
        <f>VLOOKUP(Tabela1[[#This Row],[Origem]], 'Perguntas 1 a 24'!$J$28:$K$34, 2, 0)</f>
        <v>Sudeste</v>
      </c>
      <c r="E491" s="87" t="str">
        <f>Tabela1[[#This Row],[Descrição]]&amp;"-"&amp;Tabela1[[#This Row],[Código]]&amp;"/"&amp;Tabela1[[#This Row],[Origem]]</f>
        <v>Perorigapi-P477H497/RJ</v>
      </c>
      <c r="F491" s="88">
        <v>45739</v>
      </c>
      <c r="G491" s="88" t="str" cm="1">
        <f t="array" ref="G4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AND(F491&gt;= DATE(2026,1,1), F491&lt;= DATE(2028, 12, 31), J491&gt;50000), "Pendente e Caro", AND(F491&gt;= DATE(2026,1,1), F491&lt;= DATE(2028, 12, 31), J491&lt;=50000), "Pendente", F491&gt;= DATE(2029,1,1), "Não prioeitário")</f>
        <v>Urgente e Caro</v>
      </c>
      <c r="H491" s="89">
        <f>YEAR(Tabela1[[#This Row],[Data de Validade]])</f>
        <v>2025</v>
      </c>
      <c r="I491" s="89">
        <f>MONTH(Tabela1[[#This Row],[Data de Validade]])</f>
        <v>3</v>
      </c>
      <c r="J491" s="101">
        <v>118675</v>
      </c>
      <c r="K491" s="87" t="s">
        <v>14</v>
      </c>
      <c r="L491" s="108"/>
      <c r="M491" s="108"/>
      <c r="N491" s="108" t="str">
        <v>P477H497</v>
      </c>
      <c r="O491" s="108">
        <f t="shared" si="9"/>
        <v>1</v>
      </c>
      <c r="P491" s="108"/>
      <c r="Q491"/>
    </row>
    <row r="492" spans="1:17" x14ac:dyDescent="0.25">
      <c r="A492" s="89" t="s">
        <v>6266</v>
      </c>
      <c r="B492" s="87" t="s">
        <v>6267</v>
      </c>
      <c r="C492" s="87" t="s">
        <v>12</v>
      </c>
      <c r="D492" s="87" t="str">
        <f>VLOOKUP(Tabela1[[#This Row],[Origem]], 'Perguntas 1 a 24'!$J$28:$K$34, 2, 0)</f>
        <v>Sudeste</v>
      </c>
      <c r="E492" s="87" t="str">
        <f>Tabela1[[#This Row],[Descrição]]&amp;"-"&amp;Tabela1[[#This Row],[Código]]&amp;"/"&amp;Tabela1[[#This Row],[Origem]]</f>
        <v>Tagepufipo-H778P884/RJ</v>
      </c>
      <c r="F492" s="88">
        <v>45741</v>
      </c>
      <c r="G492" s="88" t="str" cm="1">
        <f t="array" ref="G4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AND(F492&gt;= DATE(2026,1,1), F492&lt;= DATE(2028, 12, 31), J492&gt;50000), "Pendente e Caro", AND(F492&gt;= DATE(2026,1,1), F492&lt;= DATE(2028, 12, 31), J492&lt;=50000), "Pendente", F492&gt;= DATE(2029,1,1), "Não prioeitário")</f>
        <v>Urgente e Caro</v>
      </c>
      <c r="H492" s="89">
        <f>YEAR(Tabela1[[#This Row],[Data de Validade]])</f>
        <v>2025</v>
      </c>
      <c r="I492" s="89">
        <f>MONTH(Tabela1[[#This Row],[Data de Validade]])</f>
        <v>3</v>
      </c>
      <c r="J492" s="101">
        <v>99311</v>
      </c>
      <c r="K492" s="87" t="s">
        <v>14</v>
      </c>
      <c r="L492" s="108"/>
      <c r="M492" s="108"/>
      <c r="N492" s="108" t="str">
        <v>H778P884</v>
      </c>
      <c r="O492" s="108">
        <f t="shared" si="9"/>
        <v>1</v>
      </c>
      <c r="P492" s="108"/>
      <c r="Q492"/>
    </row>
    <row r="493" spans="1:17" x14ac:dyDescent="0.25">
      <c r="A493" s="89" t="s">
        <v>9783</v>
      </c>
      <c r="B493" s="87" t="s">
        <v>9784</v>
      </c>
      <c r="C493" s="87" t="s">
        <v>10</v>
      </c>
      <c r="D493" s="87" t="str">
        <f>VLOOKUP(Tabela1[[#This Row],[Origem]], 'Perguntas 1 a 24'!$J$28:$K$34, 2, 0)</f>
        <v>Centro-Oeste</v>
      </c>
      <c r="E493" s="87" t="str">
        <f>Tabela1[[#This Row],[Descrição]]&amp;"-"&amp;Tabela1[[#This Row],[Código]]&amp;"/"&amp;Tabela1[[#This Row],[Origem]]</f>
        <v>Popigi-P724H215/GO</v>
      </c>
      <c r="F493" s="88">
        <v>45741</v>
      </c>
      <c r="G493" s="88" t="str" cm="1">
        <f t="array" ref="G4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AND(F493&gt;= DATE(2026,1,1), F493&lt;= DATE(2028, 12, 31), J493&gt;50000), "Pendente e Caro", AND(F493&gt;= DATE(2026,1,1), F493&lt;= DATE(2028, 12, 31), J493&lt;=50000), "Pendente", F493&gt;= DATE(2029,1,1), "Não prioeitário")</f>
        <v>Urgente e Caro</v>
      </c>
      <c r="H493" s="89">
        <f>YEAR(Tabela1[[#This Row],[Data de Validade]])</f>
        <v>2025</v>
      </c>
      <c r="I493" s="89">
        <f>MONTH(Tabela1[[#This Row],[Data de Validade]])</f>
        <v>3</v>
      </c>
      <c r="J493" s="101">
        <v>59748</v>
      </c>
      <c r="K493" s="87" t="s">
        <v>14</v>
      </c>
      <c r="L493" s="108"/>
      <c r="M493" s="108"/>
      <c r="N493" s="108" t="str">
        <v>P724H215</v>
      </c>
      <c r="O493" s="108">
        <f t="shared" si="9"/>
        <v>1</v>
      </c>
      <c r="P493" s="108"/>
      <c r="Q493"/>
    </row>
    <row r="494" spans="1:17" x14ac:dyDescent="0.25">
      <c r="A494" s="89" t="s">
        <v>5600</v>
      </c>
      <c r="B494" s="87" t="s">
        <v>5601</v>
      </c>
      <c r="C494" s="87" t="s">
        <v>13</v>
      </c>
      <c r="D494" s="87" t="str">
        <f>VLOOKUP(Tabela1[[#This Row],[Origem]], 'Perguntas 1 a 24'!$J$28:$K$34, 2, 0)</f>
        <v>Sudeste</v>
      </c>
      <c r="E494" s="87" t="str">
        <f>Tabela1[[#This Row],[Descrição]]&amp;"-"&amp;Tabela1[[#This Row],[Código]]&amp;"/"&amp;Tabela1[[#This Row],[Origem]]</f>
        <v>Depuracavu-H413H844/SP</v>
      </c>
      <c r="F494" s="88">
        <v>45743</v>
      </c>
      <c r="G494" s="88" t="str" cm="1">
        <f t="array" ref="G4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AND(F494&gt;= DATE(2026,1,1), F494&lt;= DATE(2028, 12, 31), J494&gt;50000), "Pendente e Caro", AND(F494&gt;= DATE(2026,1,1), F494&lt;= DATE(2028, 12, 31), J494&lt;=50000), "Pendente", F494&gt;= DATE(2029,1,1), "Não prioeitário")</f>
        <v>Urgente e Caro</v>
      </c>
      <c r="H494" s="89">
        <f>YEAR(Tabela1[[#This Row],[Data de Validade]])</f>
        <v>2025</v>
      </c>
      <c r="I494" s="89">
        <f>MONTH(Tabela1[[#This Row],[Data de Validade]])</f>
        <v>3</v>
      </c>
      <c r="J494" s="101">
        <v>93369</v>
      </c>
      <c r="K494" s="87" t="s">
        <v>7</v>
      </c>
      <c r="L494" s="108"/>
      <c r="M494" s="108"/>
      <c r="N494" s="108" t="str">
        <v>H413H844</v>
      </c>
      <c r="O494" s="108">
        <f t="shared" si="9"/>
        <v>1</v>
      </c>
      <c r="P494" s="108"/>
      <c r="Q494"/>
    </row>
    <row r="495" spans="1:17" x14ac:dyDescent="0.25">
      <c r="A495" s="89" t="s">
        <v>4642</v>
      </c>
      <c r="B495" s="87" t="s">
        <v>4643</v>
      </c>
      <c r="C495" s="87" t="s">
        <v>16</v>
      </c>
      <c r="D495" s="87" t="str">
        <f>VLOOKUP(Tabela1[[#This Row],[Origem]], 'Perguntas 1 a 24'!$J$28:$K$34, 2, 0)</f>
        <v>Sudeste</v>
      </c>
      <c r="E495" s="87" t="str">
        <f>Tabela1[[#This Row],[Descrição]]&amp;"-"&amp;Tabela1[[#This Row],[Código]]&amp;"/"&amp;Tabela1[[#This Row],[Origem]]</f>
        <v>Lotacunoti-P646H853/MG</v>
      </c>
      <c r="F495" s="88">
        <v>45743</v>
      </c>
      <c r="G495" s="88" t="str" cm="1">
        <f t="array" ref="G4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AND(F495&gt;= DATE(2026,1,1), F495&lt;= DATE(2028, 12, 31), J495&gt;50000), "Pendente e Caro", AND(F495&gt;= DATE(2026,1,1), F495&lt;= DATE(2028, 12, 31), J495&lt;=50000), "Pendente", F495&gt;= DATE(2029,1,1), "Não prioeitário")</f>
        <v>Urgente e Caro</v>
      </c>
      <c r="H495" s="89">
        <f>YEAR(Tabela1[[#This Row],[Data de Validade]])</f>
        <v>2025</v>
      </c>
      <c r="I495" s="89">
        <f>MONTH(Tabela1[[#This Row],[Data de Validade]])</f>
        <v>3</v>
      </c>
      <c r="J495" s="101">
        <v>58538</v>
      </c>
      <c r="K495" s="87" t="s">
        <v>7</v>
      </c>
      <c r="L495" s="108"/>
      <c r="M495" s="108"/>
      <c r="N495" s="108" t="str">
        <v>P646H853</v>
      </c>
      <c r="O495" s="108">
        <f t="shared" si="9"/>
        <v>1</v>
      </c>
      <c r="P495" s="108"/>
      <c r="Q495"/>
    </row>
    <row r="496" spans="1:17" x14ac:dyDescent="0.25">
      <c r="A496" s="89" t="s">
        <v>10583</v>
      </c>
      <c r="B496" s="87" t="s">
        <v>10584</v>
      </c>
      <c r="C496" s="87" t="s">
        <v>15</v>
      </c>
      <c r="D496" s="87" t="str">
        <f>VLOOKUP(Tabela1[[#This Row],[Origem]], 'Perguntas 1 a 24'!$J$28:$K$34, 2, 0)</f>
        <v>Sudeste</v>
      </c>
      <c r="E496" s="87" t="str">
        <f>Tabela1[[#This Row],[Descrição]]&amp;"-"&amp;Tabela1[[#This Row],[Código]]&amp;"/"&amp;Tabela1[[#This Row],[Origem]]</f>
        <v>Piriti-H837H464/ES</v>
      </c>
      <c r="F496" s="88">
        <v>45744</v>
      </c>
      <c r="G496" s="88" t="str" cm="1">
        <f t="array" ref="G4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AND(F496&gt;= DATE(2026,1,1), F496&lt;= DATE(2028, 12, 31), J496&gt;50000), "Pendente e Caro", AND(F496&gt;= DATE(2026,1,1), F496&lt;= DATE(2028, 12, 31), J496&lt;=50000), "Pendente", F496&gt;= DATE(2029,1,1), "Não prioeitário")</f>
        <v>Urgente</v>
      </c>
      <c r="H496" s="89">
        <f>YEAR(Tabela1[[#This Row],[Data de Validade]])</f>
        <v>2025</v>
      </c>
      <c r="I496" s="89">
        <f>MONTH(Tabela1[[#This Row],[Data de Validade]])</f>
        <v>3</v>
      </c>
      <c r="J496" s="101">
        <v>38059</v>
      </c>
      <c r="K496" s="87" t="s">
        <v>7</v>
      </c>
      <c r="L496" s="108"/>
      <c r="M496" s="108"/>
      <c r="N496" s="108" t="str">
        <v>H837H464</v>
      </c>
      <c r="O496" s="108">
        <f t="shared" si="9"/>
        <v>1</v>
      </c>
      <c r="P496" s="108"/>
      <c r="Q496"/>
    </row>
    <row r="497" spans="1:17" x14ac:dyDescent="0.25">
      <c r="A497" s="89" t="s">
        <v>5012</v>
      </c>
      <c r="B497" s="87" t="s">
        <v>5013</v>
      </c>
      <c r="C497" s="87" t="s">
        <v>15</v>
      </c>
      <c r="D497" s="87" t="str">
        <f>VLOOKUP(Tabela1[[#This Row],[Origem]], 'Perguntas 1 a 24'!$J$28:$K$34, 2, 0)</f>
        <v>Sudeste</v>
      </c>
      <c r="E497" s="87" t="str">
        <f>Tabela1[[#This Row],[Descrição]]&amp;"-"&amp;Tabela1[[#This Row],[Código]]&amp;"/"&amp;Tabela1[[#This Row],[Origem]]</f>
        <v>Pufupagu-P191H736/ES</v>
      </c>
      <c r="F497" s="88">
        <v>45745</v>
      </c>
      <c r="G497" s="88" t="str" cm="1">
        <f t="array" ref="G4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AND(F497&gt;= DATE(2026,1,1), F497&lt;= DATE(2028, 12, 31), J497&gt;50000), "Pendente e Caro", AND(F497&gt;= DATE(2026,1,1), F497&lt;= DATE(2028, 12, 31), J497&lt;=50000), "Pendente", F497&gt;= DATE(2029,1,1), "Não prioeitário")</f>
        <v>Urgente e Caro</v>
      </c>
      <c r="H497" s="89">
        <f>YEAR(Tabela1[[#This Row],[Data de Validade]])</f>
        <v>2025</v>
      </c>
      <c r="I497" s="89">
        <f>MONTH(Tabela1[[#This Row],[Data de Validade]])</f>
        <v>3</v>
      </c>
      <c r="J497" s="101">
        <v>110181</v>
      </c>
      <c r="K497" s="87" t="s">
        <v>9</v>
      </c>
      <c r="L497" s="108"/>
      <c r="M497" s="108"/>
      <c r="N497" s="108" t="str">
        <v>P191H736</v>
      </c>
      <c r="O497" s="108">
        <f t="shared" si="9"/>
        <v>1</v>
      </c>
      <c r="P497" s="108"/>
      <c r="Q497"/>
    </row>
    <row r="498" spans="1:17" x14ac:dyDescent="0.25">
      <c r="A498" s="89" t="s">
        <v>9321</v>
      </c>
      <c r="B498" s="87" t="s">
        <v>9322</v>
      </c>
      <c r="C498" s="87" t="s">
        <v>6</v>
      </c>
      <c r="D498" s="87" t="str">
        <f>VLOOKUP(Tabela1[[#This Row],[Origem]], 'Perguntas 1 a 24'!$J$28:$K$34, 2, 0)</f>
        <v>Nordeste</v>
      </c>
      <c r="E498" s="87" t="str">
        <f>Tabela1[[#This Row],[Descrição]]&amp;"-"&amp;Tabela1[[#This Row],[Código]]&amp;"/"&amp;Tabela1[[#This Row],[Origem]]</f>
        <v>Domepava-P254P722/MA</v>
      </c>
      <c r="F498" s="88">
        <v>45745</v>
      </c>
      <c r="G498" s="88" t="str" cm="1">
        <f t="array" ref="G4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AND(F498&gt;= DATE(2026,1,1), F498&lt;= DATE(2028, 12, 31), J498&gt;50000), "Pendente e Caro", AND(F498&gt;= DATE(2026,1,1), F498&lt;= DATE(2028, 12, 31), J498&lt;=50000), "Pendente", F498&gt;= DATE(2029,1,1), "Não prioeitário")</f>
        <v>Urgente e Caro</v>
      </c>
      <c r="H498" s="89">
        <f>YEAR(Tabela1[[#This Row],[Data de Validade]])</f>
        <v>2025</v>
      </c>
      <c r="I498" s="89">
        <f>MONTH(Tabela1[[#This Row],[Data de Validade]])</f>
        <v>3</v>
      </c>
      <c r="J498" s="101">
        <v>60626</v>
      </c>
      <c r="K498" s="87" t="s">
        <v>9</v>
      </c>
      <c r="L498" s="108"/>
      <c r="M498" s="108"/>
      <c r="N498" s="108" t="str">
        <v>P254P722</v>
      </c>
      <c r="O498" s="108">
        <f t="shared" si="9"/>
        <v>1</v>
      </c>
      <c r="P498" s="108"/>
      <c r="Q498"/>
    </row>
    <row r="499" spans="1:17" x14ac:dyDescent="0.25">
      <c r="A499" s="89" t="s">
        <v>5828</v>
      </c>
      <c r="B499" s="87" t="s">
        <v>5829</v>
      </c>
      <c r="C499" s="87" t="s">
        <v>13</v>
      </c>
      <c r="D499" s="87" t="str">
        <f>VLOOKUP(Tabela1[[#This Row],[Origem]], 'Perguntas 1 a 24'!$J$28:$K$34, 2, 0)</f>
        <v>Sudeste</v>
      </c>
      <c r="E499" s="87" t="str">
        <f>Tabela1[[#This Row],[Descrição]]&amp;"-"&amp;Tabela1[[#This Row],[Código]]&amp;"/"&amp;Tabela1[[#This Row],[Origem]]</f>
        <v>Pofivono-P278H669/SP</v>
      </c>
      <c r="F499" s="88">
        <v>45746</v>
      </c>
      <c r="G499" s="88" t="str" cm="1">
        <f t="array" ref="G4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AND(F499&gt;= DATE(2026,1,1), F499&lt;= DATE(2028, 12, 31), J499&gt;50000), "Pendente e Caro", AND(F499&gt;= DATE(2026,1,1), F499&lt;= DATE(2028, 12, 31), J499&lt;=50000), "Pendente", F499&gt;= DATE(2029,1,1), "Não prioeitário")</f>
        <v>Urgente e Caro</v>
      </c>
      <c r="H499" s="89">
        <f>YEAR(Tabela1[[#This Row],[Data de Validade]])</f>
        <v>2025</v>
      </c>
      <c r="I499" s="89">
        <f>MONTH(Tabela1[[#This Row],[Data de Validade]])</f>
        <v>3</v>
      </c>
      <c r="J499" s="101">
        <v>113345</v>
      </c>
      <c r="K499" s="87" t="s">
        <v>7</v>
      </c>
      <c r="L499" s="108"/>
      <c r="M499" s="108"/>
      <c r="N499" s="108" t="str">
        <v>P278H669</v>
      </c>
      <c r="O499" s="108">
        <f t="shared" si="9"/>
        <v>1</v>
      </c>
      <c r="P499" s="108"/>
      <c r="Q499"/>
    </row>
    <row r="500" spans="1:17" x14ac:dyDescent="0.25">
      <c r="A500" s="89" t="s">
        <v>6944</v>
      </c>
      <c r="B500" s="87" t="s">
        <v>6945</v>
      </c>
      <c r="C500" s="87" t="s">
        <v>12</v>
      </c>
      <c r="D500" s="87" t="str">
        <f>VLOOKUP(Tabela1[[#This Row],[Origem]], 'Perguntas 1 a 24'!$J$28:$K$34, 2, 0)</f>
        <v>Sudeste</v>
      </c>
      <c r="E500" s="87" t="str">
        <f>Tabela1[[#This Row],[Descrição]]&amp;"-"&amp;Tabela1[[#This Row],[Código]]&amp;"/"&amp;Tabela1[[#This Row],[Origem]]</f>
        <v>Tevafu-H235H826/RJ</v>
      </c>
      <c r="F500" s="88">
        <v>45748</v>
      </c>
      <c r="G500" s="88" t="str" cm="1">
        <f t="array" ref="G5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AND(F500&gt;= DATE(2026,1,1), F500&lt;= DATE(2028, 12, 31), J500&gt;50000), "Pendente e Caro", AND(F500&gt;= DATE(2026,1,1), F500&lt;= DATE(2028, 12, 31), J500&lt;=50000), "Pendente", F500&gt;= DATE(2029,1,1), "Não prioeitário")</f>
        <v>Urgente e Caro</v>
      </c>
      <c r="H500" s="89">
        <f>YEAR(Tabela1[[#This Row],[Data de Validade]])</f>
        <v>2025</v>
      </c>
      <c r="I500" s="89">
        <f>MONTH(Tabela1[[#This Row],[Data de Validade]])</f>
        <v>4</v>
      </c>
      <c r="J500" s="101">
        <v>70346</v>
      </c>
      <c r="K500" s="87" t="s">
        <v>9</v>
      </c>
      <c r="L500" s="108"/>
      <c r="M500" s="108"/>
      <c r="N500" s="108" t="str">
        <v>H235H826</v>
      </c>
      <c r="O500" s="108">
        <f t="shared" si="9"/>
        <v>1</v>
      </c>
      <c r="P500" s="108"/>
      <c r="Q500"/>
    </row>
    <row r="501" spans="1:17" x14ac:dyDescent="0.25">
      <c r="A501" s="89" t="s">
        <v>9007</v>
      </c>
      <c r="B501" s="87" t="s">
        <v>9008</v>
      </c>
      <c r="C501" s="87" t="s">
        <v>13</v>
      </c>
      <c r="D501" s="87" t="str">
        <f>VLOOKUP(Tabela1[[#This Row],[Origem]], 'Perguntas 1 a 24'!$J$28:$K$34, 2, 0)</f>
        <v>Sudeste</v>
      </c>
      <c r="E501" s="87" t="str">
        <f>Tabela1[[#This Row],[Descrição]]&amp;"-"&amp;Tabela1[[#This Row],[Código]]&amp;"/"&amp;Tabela1[[#This Row],[Origem]]</f>
        <v>Vifepugepo-P889P739/SP</v>
      </c>
      <c r="F501" s="88">
        <v>45748</v>
      </c>
      <c r="G501" s="88" t="str" cm="1">
        <f t="array" ref="G5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AND(F501&gt;= DATE(2026,1,1), F501&lt;= DATE(2028, 12, 31), J501&gt;50000), "Pendente e Caro", AND(F501&gt;= DATE(2026,1,1), F501&lt;= DATE(2028, 12, 31), J501&lt;=50000), "Pendente", F501&gt;= DATE(2029,1,1), "Não prioeitário")</f>
        <v>Urgente e Caro</v>
      </c>
      <c r="H501" s="89">
        <f>YEAR(Tabela1[[#This Row],[Data de Validade]])</f>
        <v>2025</v>
      </c>
      <c r="I501" s="89">
        <f>MONTH(Tabela1[[#This Row],[Data de Validade]])</f>
        <v>4</v>
      </c>
      <c r="J501" s="101">
        <v>61294</v>
      </c>
      <c r="K501" s="87" t="s">
        <v>11</v>
      </c>
      <c r="L501" s="108"/>
      <c r="M501" s="108"/>
      <c r="N501" s="108" t="str">
        <v>P889P739</v>
      </c>
      <c r="O501" s="108">
        <f t="shared" si="9"/>
        <v>1</v>
      </c>
      <c r="P501" s="108"/>
      <c r="Q501"/>
    </row>
    <row r="502" spans="1:17" x14ac:dyDescent="0.25">
      <c r="A502" s="89" t="s">
        <v>10951</v>
      </c>
      <c r="B502" s="87" t="s">
        <v>10952</v>
      </c>
      <c r="C502" s="87" t="s">
        <v>6</v>
      </c>
      <c r="D502" s="87" t="str">
        <f>VLOOKUP(Tabela1[[#This Row],[Origem]], 'Perguntas 1 a 24'!$J$28:$K$34, 2, 0)</f>
        <v>Nordeste</v>
      </c>
      <c r="E502" s="87" t="str">
        <f>Tabela1[[#This Row],[Descrição]]&amp;"-"&amp;Tabela1[[#This Row],[Código]]&amp;"/"&amp;Tabela1[[#This Row],[Origem]]</f>
        <v>Fidigutici-P831P155/MA</v>
      </c>
      <c r="F502" s="88">
        <v>45750</v>
      </c>
      <c r="G502" s="88" t="str" cm="1">
        <f t="array" ref="G5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AND(F502&gt;= DATE(2026,1,1), F502&lt;= DATE(2028, 12, 31), J502&gt;50000), "Pendente e Caro", AND(F502&gt;= DATE(2026,1,1), F502&lt;= DATE(2028, 12, 31), J502&lt;=50000), "Pendente", F502&gt;= DATE(2029,1,1), "Não prioeitário")</f>
        <v>Urgente e Caro</v>
      </c>
      <c r="H502" s="89">
        <f>YEAR(Tabela1[[#This Row],[Data de Validade]])</f>
        <v>2025</v>
      </c>
      <c r="I502" s="89">
        <f>MONTH(Tabela1[[#This Row],[Data de Validade]])</f>
        <v>4</v>
      </c>
      <c r="J502" s="101">
        <v>100247</v>
      </c>
      <c r="K502" s="87" t="s">
        <v>14</v>
      </c>
      <c r="L502" s="108"/>
      <c r="M502" s="108"/>
      <c r="N502" s="108" t="str">
        <v>P831P155</v>
      </c>
      <c r="O502" s="108">
        <f t="shared" si="9"/>
        <v>1</v>
      </c>
      <c r="P502" s="108"/>
      <c r="Q502"/>
    </row>
    <row r="503" spans="1:17" x14ac:dyDescent="0.25">
      <c r="A503" s="89" t="s">
        <v>6400</v>
      </c>
      <c r="B503" s="87" t="s">
        <v>6401</v>
      </c>
      <c r="C503" s="87" t="s">
        <v>10</v>
      </c>
      <c r="D503" s="87" t="str">
        <f>VLOOKUP(Tabela1[[#This Row],[Origem]], 'Perguntas 1 a 24'!$J$28:$K$34, 2, 0)</f>
        <v>Centro-Oeste</v>
      </c>
      <c r="E503" s="87" t="str">
        <f>Tabela1[[#This Row],[Descrição]]&amp;"-"&amp;Tabela1[[#This Row],[Código]]&amp;"/"&amp;Tabela1[[#This Row],[Origem]]</f>
        <v>Titupe-H913H135/GO</v>
      </c>
      <c r="F503" s="88">
        <v>45753</v>
      </c>
      <c r="G503" s="88" t="str" cm="1">
        <f t="array" ref="G5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AND(F503&gt;= DATE(2026,1,1), F503&lt;= DATE(2028, 12, 31), J503&gt;50000), "Pendente e Caro", AND(F503&gt;= DATE(2026,1,1), F503&lt;= DATE(2028, 12, 31), J503&lt;=50000), "Pendente", F503&gt;= DATE(2029,1,1), "Não prioeitário")</f>
        <v>Urgente e Caro</v>
      </c>
      <c r="H503" s="89">
        <f>YEAR(Tabela1[[#This Row],[Data de Validade]])</f>
        <v>2025</v>
      </c>
      <c r="I503" s="89">
        <f>MONTH(Tabela1[[#This Row],[Data de Validade]])</f>
        <v>4</v>
      </c>
      <c r="J503" s="101">
        <v>93228</v>
      </c>
      <c r="K503" s="87" t="s">
        <v>14</v>
      </c>
      <c r="L503" s="108"/>
      <c r="M503" s="108"/>
      <c r="N503" s="108" t="str">
        <v>H913H135</v>
      </c>
      <c r="O503" s="108">
        <f t="shared" si="9"/>
        <v>1</v>
      </c>
      <c r="P503" s="108"/>
      <c r="Q503"/>
    </row>
    <row r="504" spans="1:17" x14ac:dyDescent="0.25">
      <c r="A504" s="89" t="s">
        <v>9489</v>
      </c>
      <c r="B504" s="87" t="s">
        <v>9490</v>
      </c>
      <c r="C504" s="87" t="s">
        <v>12</v>
      </c>
      <c r="D504" s="87" t="str">
        <f>VLOOKUP(Tabela1[[#This Row],[Origem]], 'Perguntas 1 a 24'!$J$28:$K$34, 2, 0)</f>
        <v>Sudeste</v>
      </c>
      <c r="E504" s="87" t="str">
        <f>Tabela1[[#This Row],[Descrição]]&amp;"-"&amp;Tabela1[[#This Row],[Código]]&amp;"/"&amp;Tabela1[[#This Row],[Origem]]</f>
        <v>Dagavapo-P389P789/RJ</v>
      </c>
      <c r="F504" s="88">
        <v>45753</v>
      </c>
      <c r="G504" s="88" t="str" cm="1">
        <f t="array" ref="G5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AND(F504&gt;= DATE(2026,1,1), F504&lt;= DATE(2028, 12, 31), J504&gt;50000), "Pendente e Caro", AND(F504&gt;= DATE(2026,1,1), F504&lt;= DATE(2028, 12, 31), J504&lt;=50000), "Pendente", F504&gt;= DATE(2029,1,1), "Não prioeitário")</f>
        <v>Urgente e Caro</v>
      </c>
      <c r="H504" s="89">
        <f>YEAR(Tabela1[[#This Row],[Data de Validade]])</f>
        <v>2025</v>
      </c>
      <c r="I504" s="89">
        <f>MONTH(Tabela1[[#This Row],[Data de Validade]])</f>
        <v>4</v>
      </c>
      <c r="J504" s="101">
        <v>54193</v>
      </c>
      <c r="K504" s="87" t="s">
        <v>11</v>
      </c>
      <c r="L504" s="108"/>
      <c r="M504" s="108"/>
      <c r="N504" s="108" t="str">
        <v>P389P789</v>
      </c>
      <c r="O504" s="108">
        <f t="shared" si="9"/>
        <v>1</v>
      </c>
      <c r="P504" s="108"/>
      <c r="Q504"/>
    </row>
    <row r="505" spans="1:17" x14ac:dyDescent="0.25">
      <c r="A505" s="89" t="s">
        <v>6032</v>
      </c>
      <c r="B505" s="87" t="s">
        <v>6033</v>
      </c>
      <c r="C505" s="87" t="s">
        <v>16</v>
      </c>
      <c r="D505" s="87" t="str">
        <f>VLOOKUP(Tabela1[[#This Row],[Origem]], 'Perguntas 1 a 24'!$J$28:$K$34, 2, 0)</f>
        <v>Sudeste</v>
      </c>
      <c r="E505" s="87" t="str">
        <f>Tabela1[[#This Row],[Descrição]]&amp;"-"&amp;Tabela1[[#This Row],[Código]]&amp;"/"&amp;Tabela1[[#This Row],[Origem]]</f>
        <v>Papumuvi-H454P574/MG</v>
      </c>
      <c r="F505" s="88">
        <v>45754</v>
      </c>
      <c r="G505" s="88" t="str" cm="1">
        <f t="array" ref="G5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AND(F505&gt;= DATE(2026,1,1), F505&lt;= DATE(2028, 12, 31), J505&gt;50000), "Pendente e Caro", AND(F505&gt;= DATE(2026,1,1), F505&lt;= DATE(2028, 12, 31), J505&lt;=50000), "Pendente", F505&gt;= DATE(2029,1,1), "Não prioeitário")</f>
        <v>Urgente e Caro</v>
      </c>
      <c r="H505" s="89">
        <f>YEAR(Tabela1[[#This Row],[Data de Validade]])</f>
        <v>2025</v>
      </c>
      <c r="I505" s="89">
        <f>MONTH(Tabela1[[#This Row],[Data de Validade]])</f>
        <v>4</v>
      </c>
      <c r="J505" s="101">
        <v>112375</v>
      </c>
      <c r="K505" s="87" t="s">
        <v>9</v>
      </c>
      <c r="L505" s="108"/>
      <c r="M505" s="108"/>
      <c r="N505" s="108" t="str">
        <v>H454P574</v>
      </c>
      <c r="O505" s="108">
        <f t="shared" si="9"/>
        <v>1</v>
      </c>
      <c r="P505" s="108"/>
      <c r="Q505"/>
    </row>
    <row r="506" spans="1:17" x14ac:dyDescent="0.25">
      <c r="A506" s="89" t="s">
        <v>5264</v>
      </c>
      <c r="B506" s="87" t="s">
        <v>5265</v>
      </c>
      <c r="C506" s="87" t="s">
        <v>6</v>
      </c>
      <c r="D506" s="87" t="str">
        <f>VLOOKUP(Tabela1[[#This Row],[Origem]], 'Perguntas 1 a 24'!$J$28:$K$34, 2, 0)</f>
        <v>Nordeste</v>
      </c>
      <c r="E506" s="87" t="str">
        <f>Tabela1[[#This Row],[Descrição]]&amp;"-"&amp;Tabela1[[#This Row],[Código]]&amp;"/"&amp;Tabela1[[#This Row],[Origem]]</f>
        <v>Movufi-P765H125/MA</v>
      </c>
      <c r="F506" s="88">
        <v>45754</v>
      </c>
      <c r="G506" s="88" t="str" cm="1">
        <f t="array" ref="G5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AND(F506&gt;= DATE(2026,1,1), F506&lt;= DATE(2028, 12, 31), J506&gt;50000), "Pendente e Caro", AND(F506&gt;= DATE(2026,1,1), F506&lt;= DATE(2028, 12, 31), J506&lt;=50000), "Pendente", F506&gt;= DATE(2029,1,1), "Não prioeitário")</f>
        <v>Urgente e Caro</v>
      </c>
      <c r="H506" s="89">
        <f>YEAR(Tabela1[[#This Row],[Data de Validade]])</f>
        <v>2025</v>
      </c>
      <c r="I506" s="89">
        <f>MONTH(Tabela1[[#This Row],[Data de Validade]])</f>
        <v>4</v>
      </c>
      <c r="J506" s="101">
        <v>95667</v>
      </c>
      <c r="K506" s="87" t="s">
        <v>14</v>
      </c>
      <c r="L506" s="108"/>
      <c r="M506" s="108"/>
      <c r="N506" s="108" t="str">
        <v>P765H125</v>
      </c>
      <c r="O506" s="108">
        <f t="shared" si="9"/>
        <v>1</v>
      </c>
      <c r="P506" s="108"/>
      <c r="Q506"/>
    </row>
    <row r="507" spans="1:17" x14ac:dyDescent="0.25">
      <c r="A507" s="89" t="s">
        <v>6380</v>
      </c>
      <c r="B507" s="87" t="s">
        <v>6381</v>
      </c>
      <c r="C507" s="87" t="s">
        <v>10</v>
      </c>
      <c r="D507" s="87" t="str">
        <f>VLOOKUP(Tabela1[[#This Row],[Origem]], 'Perguntas 1 a 24'!$J$28:$K$34, 2, 0)</f>
        <v>Centro-Oeste</v>
      </c>
      <c r="E507" s="87" t="str">
        <f>Tabela1[[#This Row],[Descrição]]&amp;"-"&amp;Tabela1[[#This Row],[Código]]&amp;"/"&amp;Tabela1[[#This Row],[Origem]]</f>
        <v>Gefure-H645H617/GO</v>
      </c>
      <c r="F507" s="88">
        <v>45755</v>
      </c>
      <c r="G507" s="88" t="str" cm="1">
        <f t="array" ref="G5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AND(F507&gt;= DATE(2026,1,1), F507&lt;= DATE(2028, 12, 31), J507&gt;50000), "Pendente e Caro", AND(F507&gt;= DATE(2026,1,1), F507&lt;= DATE(2028, 12, 31), J507&lt;=50000), "Pendente", F507&gt;= DATE(2029,1,1), "Não prioeitário")</f>
        <v>Urgente e Caro</v>
      </c>
      <c r="H507" s="89">
        <f>YEAR(Tabela1[[#This Row],[Data de Validade]])</f>
        <v>2025</v>
      </c>
      <c r="I507" s="89">
        <f>MONTH(Tabela1[[#This Row],[Data de Validade]])</f>
        <v>4</v>
      </c>
      <c r="J507" s="101">
        <v>83055</v>
      </c>
      <c r="K507" s="87" t="s">
        <v>14</v>
      </c>
      <c r="L507" s="108"/>
      <c r="M507" s="108"/>
      <c r="N507" s="108" t="str">
        <v>H645H617</v>
      </c>
      <c r="O507" s="108">
        <f t="shared" si="9"/>
        <v>1</v>
      </c>
      <c r="P507" s="108"/>
      <c r="Q507"/>
    </row>
    <row r="508" spans="1:17" x14ac:dyDescent="0.25">
      <c r="A508" s="89" t="s">
        <v>5494</v>
      </c>
      <c r="B508" s="87" t="s">
        <v>5495</v>
      </c>
      <c r="C508" s="87" t="s">
        <v>13</v>
      </c>
      <c r="D508" s="87" t="str">
        <f>VLOOKUP(Tabela1[[#This Row],[Origem]], 'Perguntas 1 a 24'!$J$28:$K$34, 2, 0)</f>
        <v>Sudeste</v>
      </c>
      <c r="E508" s="87" t="str">
        <f>Tabela1[[#This Row],[Descrição]]&amp;"-"&amp;Tabela1[[#This Row],[Código]]&amp;"/"&amp;Tabela1[[#This Row],[Origem]]</f>
        <v>Doderirani-P691P154/SP</v>
      </c>
      <c r="F508" s="88">
        <v>45757</v>
      </c>
      <c r="G508" s="88" t="str" cm="1">
        <f t="array" ref="G5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AND(F508&gt;= DATE(2026,1,1), F508&lt;= DATE(2028, 12, 31), J508&gt;50000), "Pendente e Caro", AND(F508&gt;= DATE(2026,1,1), F508&lt;= DATE(2028, 12, 31), J508&lt;=50000), "Pendente", F508&gt;= DATE(2029,1,1), "Não prioeitário")</f>
        <v>Urgente e Caro</v>
      </c>
      <c r="H508" s="89">
        <f>YEAR(Tabela1[[#This Row],[Data de Validade]])</f>
        <v>2025</v>
      </c>
      <c r="I508" s="89">
        <f>MONTH(Tabela1[[#This Row],[Data de Validade]])</f>
        <v>4</v>
      </c>
      <c r="J508" s="101">
        <v>107575</v>
      </c>
      <c r="K508" s="87" t="s">
        <v>14</v>
      </c>
      <c r="L508" s="108"/>
      <c r="M508" s="108"/>
      <c r="N508" s="108" t="str">
        <v>P691P154</v>
      </c>
      <c r="O508" s="108">
        <f t="shared" si="9"/>
        <v>1</v>
      </c>
      <c r="P508" s="108"/>
      <c r="Q508"/>
    </row>
    <row r="509" spans="1:17" x14ac:dyDescent="0.25">
      <c r="A509" s="89" t="s">
        <v>10865</v>
      </c>
      <c r="B509" s="87" t="s">
        <v>10866</v>
      </c>
      <c r="C509" s="87" t="s">
        <v>15</v>
      </c>
      <c r="D509" s="87" t="str">
        <f>VLOOKUP(Tabela1[[#This Row],[Origem]], 'Perguntas 1 a 24'!$J$28:$K$34, 2, 0)</f>
        <v>Sudeste</v>
      </c>
      <c r="E509" s="87" t="str">
        <f>Tabela1[[#This Row],[Descrição]]&amp;"-"&amp;Tabela1[[#This Row],[Código]]&amp;"/"&amp;Tabela1[[#This Row],[Origem]]</f>
        <v>Dumeromo-P788H492/ES</v>
      </c>
      <c r="F509" s="88">
        <v>45757</v>
      </c>
      <c r="G509" s="88" t="str" cm="1">
        <f t="array" ref="G5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AND(F509&gt;= DATE(2026,1,1), F509&lt;= DATE(2028, 12, 31), J509&gt;50000), "Pendente e Caro", AND(F509&gt;= DATE(2026,1,1), F509&lt;= DATE(2028, 12, 31), J509&lt;=50000), "Pendente", F509&gt;= DATE(2029,1,1), "Não prioeitário")</f>
        <v>Urgente e Caro</v>
      </c>
      <c r="H509" s="89">
        <f>YEAR(Tabela1[[#This Row],[Data de Validade]])</f>
        <v>2025</v>
      </c>
      <c r="I509" s="89">
        <f>MONTH(Tabela1[[#This Row],[Data de Validade]])</f>
        <v>4</v>
      </c>
      <c r="J509" s="101">
        <v>79334</v>
      </c>
      <c r="K509" s="87" t="s">
        <v>7</v>
      </c>
      <c r="L509" s="108"/>
      <c r="M509" s="108"/>
      <c r="N509" s="108" t="str">
        <v>P788H492</v>
      </c>
      <c r="O509" s="108">
        <f t="shared" si="9"/>
        <v>1</v>
      </c>
      <c r="P509" s="108"/>
      <c r="Q509"/>
    </row>
    <row r="510" spans="1:17" x14ac:dyDescent="0.25">
      <c r="A510" s="89" t="s">
        <v>11170</v>
      </c>
      <c r="B510" s="87" t="s">
        <v>11171</v>
      </c>
      <c r="C510" s="87" t="s">
        <v>6</v>
      </c>
      <c r="D510" s="87" t="str">
        <f>VLOOKUP(Tabela1[[#This Row],[Origem]], 'Perguntas 1 a 24'!$J$28:$K$34, 2, 0)</f>
        <v>Nordeste</v>
      </c>
      <c r="E510" s="87" t="str">
        <f>Tabela1[[#This Row],[Descrição]]&amp;"-"&amp;Tabela1[[#This Row],[Código]]&amp;"/"&amp;Tabela1[[#This Row],[Origem]]</f>
        <v>Tupero-P532H684/MA</v>
      </c>
      <c r="F510" s="88">
        <v>45758</v>
      </c>
      <c r="G510" s="88" t="str" cm="1">
        <f t="array" ref="G5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AND(F510&gt;= DATE(2026,1,1), F510&lt;= DATE(2028, 12, 31), J510&gt;50000), "Pendente e Caro", AND(F510&gt;= DATE(2026,1,1), F510&lt;= DATE(2028, 12, 31), J510&lt;=50000), "Pendente", F510&gt;= DATE(2029,1,1), "Não prioeitário")</f>
        <v>Urgente e Caro</v>
      </c>
      <c r="H510" s="89">
        <f>YEAR(Tabela1[[#This Row],[Data de Validade]])</f>
        <v>2025</v>
      </c>
      <c r="I510" s="89">
        <f>MONTH(Tabela1[[#This Row],[Data de Validade]])</f>
        <v>4</v>
      </c>
      <c r="J510" s="101">
        <v>117306</v>
      </c>
      <c r="K510" s="87" t="s">
        <v>11</v>
      </c>
      <c r="L510" s="108"/>
      <c r="M510" s="108"/>
      <c r="N510" s="108" t="str">
        <v>P532H684</v>
      </c>
      <c r="O510" s="108">
        <f t="shared" si="9"/>
        <v>1</v>
      </c>
      <c r="P510" s="108"/>
      <c r="Q510"/>
    </row>
    <row r="511" spans="1:17" x14ac:dyDescent="0.25">
      <c r="A511" s="89" t="s">
        <v>7698</v>
      </c>
      <c r="B511" s="87" t="s">
        <v>7699</v>
      </c>
      <c r="C511" s="87" t="s">
        <v>13</v>
      </c>
      <c r="D511" s="87" t="str">
        <f>VLOOKUP(Tabela1[[#This Row],[Origem]], 'Perguntas 1 a 24'!$J$28:$K$34, 2, 0)</f>
        <v>Sudeste</v>
      </c>
      <c r="E511" s="87" t="str">
        <f>Tabela1[[#This Row],[Descrição]]&amp;"-"&amp;Tabela1[[#This Row],[Código]]&amp;"/"&amp;Tabela1[[#This Row],[Origem]]</f>
        <v>Napurodi-P417H749/SP</v>
      </c>
      <c r="F511" s="88">
        <v>45758</v>
      </c>
      <c r="G511" s="88" t="str" cm="1">
        <f t="array" ref="G5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AND(F511&gt;= DATE(2026,1,1), F511&lt;= DATE(2028, 12, 31), J511&gt;50000), "Pendente e Caro", AND(F511&gt;= DATE(2026,1,1), F511&lt;= DATE(2028, 12, 31), J511&lt;=50000), "Pendente", F511&gt;= DATE(2029,1,1), "Não prioeitário")</f>
        <v>Urgente e Caro</v>
      </c>
      <c r="H511" s="89">
        <f>YEAR(Tabela1[[#This Row],[Data de Validade]])</f>
        <v>2025</v>
      </c>
      <c r="I511" s="89">
        <f>MONTH(Tabela1[[#This Row],[Data de Validade]])</f>
        <v>4</v>
      </c>
      <c r="J511" s="101">
        <v>96979</v>
      </c>
      <c r="K511" s="87" t="s">
        <v>11</v>
      </c>
      <c r="L511" s="108"/>
      <c r="M511" s="108"/>
      <c r="N511" s="108" t="str">
        <v>P417H749</v>
      </c>
      <c r="O511" s="108">
        <f t="shared" si="9"/>
        <v>1</v>
      </c>
      <c r="P511" s="108"/>
      <c r="Q511"/>
    </row>
    <row r="512" spans="1:17" x14ac:dyDescent="0.25">
      <c r="A512" s="89" t="s">
        <v>4182</v>
      </c>
      <c r="B512" s="87" t="s">
        <v>17</v>
      </c>
      <c r="C512" s="87" t="s">
        <v>8</v>
      </c>
      <c r="D512" s="87" t="str">
        <f>VLOOKUP(Tabela1[[#This Row],[Origem]], 'Perguntas 1 a 24'!$J$28:$K$34, 2, 0)</f>
        <v>Nordeste</v>
      </c>
      <c r="E512" s="87" t="str">
        <f>Tabela1[[#This Row],[Descrição]]&amp;"-"&amp;Tabela1[[#This Row],[Código]]&amp;"/"&amp;Tabela1[[#This Row],[Origem]]</f>
        <v>Rurofelupa-H445H467/AL</v>
      </c>
      <c r="F512" s="88">
        <v>45758</v>
      </c>
      <c r="G512" s="88" t="str" cm="1">
        <f t="array" ref="G5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AND(F512&gt;= DATE(2026,1,1), F512&lt;= DATE(2028, 12, 31), J512&gt;50000), "Pendente e Caro", AND(F512&gt;= DATE(2026,1,1), F512&lt;= DATE(2028, 12, 31), J512&lt;=50000), "Pendente", F512&gt;= DATE(2029,1,1), "Não prioeitário")</f>
        <v>Urgente</v>
      </c>
      <c r="H512" s="89">
        <f>YEAR(Tabela1[[#This Row],[Data de Validade]])</f>
        <v>2025</v>
      </c>
      <c r="I512" s="89">
        <f>MONTH(Tabela1[[#This Row],[Data de Validade]])</f>
        <v>4</v>
      </c>
      <c r="J512" s="101">
        <v>41750</v>
      </c>
      <c r="K512" s="87" t="s">
        <v>11</v>
      </c>
      <c r="L512" s="108"/>
      <c r="M512" s="108"/>
      <c r="N512" s="108" t="str">
        <v>H445H467</v>
      </c>
      <c r="O512" s="108">
        <f t="shared" si="9"/>
        <v>1</v>
      </c>
      <c r="P512" s="108"/>
      <c r="Q512"/>
    </row>
    <row r="513" spans="1:17" x14ac:dyDescent="0.25">
      <c r="A513" s="89" t="s">
        <v>6002</v>
      </c>
      <c r="B513" s="87" t="s">
        <v>6003</v>
      </c>
      <c r="C513" s="87" t="s">
        <v>12</v>
      </c>
      <c r="D513" s="87" t="str">
        <f>VLOOKUP(Tabela1[[#This Row],[Origem]], 'Perguntas 1 a 24'!$J$28:$K$34, 2, 0)</f>
        <v>Sudeste</v>
      </c>
      <c r="E513" s="87" t="str">
        <f>Tabela1[[#This Row],[Descrição]]&amp;"-"&amp;Tabela1[[#This Row],[Código]]&amp;"/"&amp;Tabela1[[#This Row],[Origem]]</f>
        <v>Ticupapi-H748H262/RJ</v>
      </c>
      <c r="F513" s="88">
        <v>45759</v>
      </c>
      <c r="G513" s="88" t="str" cm="1">
        <f t="array" ref="G5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AND(F513&gt;= DATE(2026,1,1), F513&lt;= DATE(2028, 12, 31), J513&gt;50000), "Pendente e Caro", AND(F513&gt;= DATE(2026,1,1), F513&lt;= DATE(2028, 12, 31), J513&lt;=50000), "Pendente", F513&gt;= DATE(2029,1,1), "Não prioeitário")</f>
        <v>Urgente e Caro</v>
      </c>
      <c r="H513" s="89">
        <f>YEAR(Tabela1[[#This Row],[Data de Validade]])</f>
        <v>2025</v>
      </c>
      <c r="I513" s="89">
        <f>MONTH(Tabela1[[#This Row],[Data de Validade]])</f>
        <v>4</v>
      </c>
      <c r="J513" s="101">
        <v>67541</v>
      </c>
      <c r="K513" s="87" t="s">
        <v>11</v>
      </c>
      <c r="L513" s="108"/>
      <c r="M513" s="108"/>
      <c r="N513" s="108" t="str">
        <v>H748H262</v>
      </c>
      <c r="O513" s="108">
        <f t="shared" si="9"/>
        <v>1</v>
      </c>
      <c r="P513" s="108"/>
      <c r="Q513"/>
    </row>
    <row r="514" spans="1:17" x14ac:dyDescent="0.25">
      <c r="A514" s="89" t="s">
        <v>7108</v>
      </c>
      <c r="B514" s="87" t="s">
        <v>7109</v>
      </c>
      <c r="C514" s="87" t="s">
        <v>6</v>
      </c>
      <c r="D514" s="87" t="str">
        <f>VLOOKUP(Tabela1[[#This Row],[Origem]], 'Perguntas 1 a 24'!$J$28:$K$34, 2, 0)</f>
        <v>Nordeste</v>
      </c>
      <c r="E514" s="87" t="str">
        <f>Tabela1[[#This Row],[Descrição]]&amp;"-"&amp;Tabela1[[#This Row],[Código]]&amp;"/"&amp;Tabela1[[#This Row],[Origem]]</f>
        <v>Tumori-H868H721/MA</v>
      </c>
      <c r="F514" s="88">
        <v>45760</v>
      </c>
      <c r="G514" s="88" t="str" cm="1">
        <f t="array" ref="G5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AND(F514&gt;= DATE(2026,1,1), F514&lt;= DATE(2028, 12, 31), J514&gt;50000), "Pendente e Caro", AND(F514&gt;= DATE(2026,1,1), F514&lt;= DATE(2028, 12, 31), J514&lt;=50000), "Pendente", F514&gt;= DATE(2029,1,1), "Não prioeitário")</f>
        <v>Urgente e Caro</v>
      </c>
      <c r="H514" s="89">
        <f>YEAR(Tabela1[[#This Row],[Data de Validade]])</f>
        <v>2025</v>
      </c>
      <c r="I514" s="89">
        <f>MONTH(Tabela1[[#This Row],[Data de Validade]])</f>
        <v>4</v>
      </c>
      <c r="J514" s="101">
        <v>50003</v>
      </c>
      <c r="K514" s="87" t="s">
        <v>14</v>
      </c>
      <c r="L514" s="108"/>
      <c r="M514" s="108"/>
      <c r="N514" s="108" t="str">
        <v>H868H721</v>
      </c>
      <c r="O514" s="108">
        <f t="shared" si="9"/>
        <v>1</v>
      </c>
      <c r="P514" s="108"/>
      <c r="Q514"/>
    </row>
    <row r="515" spans="1:17" x14ac:dyDescent="0.25">
      <c r="A515" s="89" t="s">
        <v>6308</v>
      </c>
      <c r="B515" s="87" t="s">
        <v>6309</v>
      </c>
      <c r="C515" s="87" t="s">
        <v>6</v>
      </c>
      <c r="D515" s="87" t="str">
        <f>VLOOKUP(Tabela1[[#This Row],[Origem]], 'Perguntas 1 a 24'!$J$28:$K$34, 2, 0)</f>
        <v>Nordeste</v>
      </c>
      <c r="E515" s="87" t="str">
        <f>Tabela1[[#This Row],[Descrição]]&amp;"-"&amp;Tabela1[[#This Row],[Código]]&amp;"/"&amp;Tabela1[[#This Row],[Origem]]</f>
        <v>Darireli-P681H121/MA</v>
      </c>
      <c r="F515" s="88">
        <v>45760</v>
      </c>
      <c r="G515" s="88" t="str" cm="1">
        <f t="array" ref="G5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AND(F515&gt;= DATE(2026,1,1), F515&lt;= DATE(2028, 12, 31), J515&gt;50000), "Pendente e Caro", AND(F515&gt;= DATE(2026,1,1), F515&lt;= DATE(2028, 12, 31), J515&lt;=50000), "Pendente", F515&gt;= DATE(2029,1,1), "Não prioeitário")</f>
        <v>Urgente</v>
      </c>
      <c r="H515" s="89">
        <f>YEAR(Tabela1[[#This Row],[Data de Validade]])</f>
        <v>2025</v>
      </c>
      <c r="I515" s="89">
        <f>MONTH(Tabela1[[#This Row],[Data de Validade]])</f>
        <v>4</v>
      </c>
      <c r="J515" s="101">
        <v>47159</v>
      </c>
      <c r="K515" s="87" t="s">
        <v>9</v>
      </c>
      <c r="L515" s="108"/>
      <c r="M515" s="108"/>
      <c r="N515" s="108" t="str">
        <v>P681H121</v>
      </c>
      <c r="O515" s="108">
        <f t="shared" ref="O515:O578" si="10">COUNTIFS(B:B,N515)</f>
        <v>1</v>
      </c>
      <c r="P515" s="108"/>
      <c r="Q515"/>
    </row>
    <row r="516" spans="1:17" x14ac:dyDescent="0.25">
      <c r="A516" s="89" t="s">
        <v>6360</v>
      </c>
      <c r="B516" s="87" t="s">
        <v>6361</v>
      </c>
      <c r="C516" s="87" t="s">
        <v>12</v>
      </c>
      <c r="D516" s="87" t="str">
        <f>VLOOKUP(Tabela1[[#This Row],[Origem]], 'Perguntas 1 a 24'!$J$28:$K$34, 2, 0)</f>
        <v>Sudeste</v>
      </c>
      <c r="E516" s="87" t="str">
        <f>Tabela1[[#This Row],[Descrição]]&amp;"-"&amp;Tabela1[[#This Row],[Código]]&amp;"/"&amp;Tabela1[[#This Row],[Origem]]</f>
        <v>Pefoduro-P711P332/RJ</v>
      </c>
      <c r="F516" s="88">
        <v>45761</v>
      </c>
      <c r="G516" s="88" t="str" cm="1">
        <f t="array" ref="G5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AND(F516&gt;= DATE(2026,1,1), F516&lt;= DATE(2028, 12, 31), J516&gt;50000), "Pendente e Caro", AND(F516&gt;= DATE(2026,1,1), F516&lt;= DATE(2028, 12, 31), J516&lt;=50000), "Pendente", F516&gt;= DATE(2029,1,1), "Não prioeitário")</f>
        <v>Urgente</v>
      </c>
      <c r="H516" s="89">
        <f>YEAR(Tabela1[[#This Row],[Data de Validade]])</f>
        <v>2025</v>
      </c>
      <c r="I516" s="89">
        <f>MONTH(Tabela1[[#This Row],[Data de Validade]])</f>
        <v>4</v>
      </c>
      <c r="J516" s="101">
        <v>44765</v>
      </c>
      <c r="K516" s="87" t="s">
        <v>9</v>
      </c>
      <c r="L516" s="108"/>
      <c r="M516" s="108"/>
      <c r="N516" s="108" t="str">
        <v>P711P332</v>
      </c>
      <c r="O516" s="108">
        <f t="shared" si="10"/>
        <v>1</v>
      </c>
      <c r="P516" s="108"/>
      <c r="Q516"/>
    </row>
    <row r="517" spans="1:17" x14ac:dyDescent="0.25">
      <c r="A517" s="89" t="s">
        <v>5770</v>
      </c>
      <c r="B517" s="87" t="s">
        <v>5771</v>
      </c>
      <c r="C517" s="87" t="s">
        <v>8</v>
      </c>
      <c r="D517" s="87" t="str">
        <f>VLOOKUP(Tabela1[[#This Row],[Origem]], 'Perguntas 1 a 24'!$J$28:$K$34, 2, 0)</f>
        <v>Nordeste</v>
      </c>
      <c r="E517" s="87" t="str">
        <f>Tabela1[[#This Row],[Descrição]]&amp;"-"&amp;Tabela1[[#This Row],[Código]]&amp;"/"&amp;Tabela1[[#This Row],[Origem]]</f>
        <v>Papocite-H551H396/AL</v>
      </c>
      <c r="F517" s="88">
        <v>45762</v>
      </c>
      <c r="G517" s="88" t="str" cm="1">
        <f t="array" ref="G5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AND(F517&gt;= DATE(2026,1,1), F517&lt;= DATE(2028, 12, 31), J517&gt;50000), "Pendente e Caro", AND(F517&gt;= DATE(2026,1,1), F517&lt;= DATE(2028, 12, 31), J517&lt;=50000), "Pendente", F517&gt;= DATE(2029,1,1), "Não prioeitário")</f>
        <v>Urgente</v>
      </c>
      <c r="H517" s="89">
        <f>YEAR(Tabela1[[#This Row],[Data de Validade]])</f>
        <v>2025</v>
      </c>
      <c r="I517" s="89">
        <f>MONTH(Tabela1[[#This Row],[Data de Validade]])</f>
        <v>4</v>
      </c>
      <c r="J517" s="101">
        <v>39530</v>
      </c>
      <c r="K517" s="87" t="s">
        <v>7</v>
      </c>
      <c r="L517" s="108"/>
      <c r="M517" s="108"/>
      <c r="N517" s="108" t="str">
        <v>H551H396</v>
      </c>
      <c r="O517" s="108">
        <f t="shared" si="10"/>
        <v>1</v>
      </c>
      <c r="P517" s="108"/>
      <c r="Q517"/>
    </row>
    <row r="518" spans="1:17" x14ac:dyDescent="0.25">
      <c r="A518" s="89" t="s">
        <v>6852</v>
      </c>
      <c r="B518" s="87" t="s">
        <v>6853</v>
      </c>
      <c r="C518" s="87" t="s">
        <v>10</v>
      </c>
      <c r="D518" s="87" t="str">
        <f>VLOOKUP(Tabela1[[#This Row],[Origem]], 'Perguntas 1 a 24'!$J$28:$K$34, 2, 0)</f>
        <v>Centro-Oeste</v>
      </c>
      <c r="E518" s="87" t="str">
        <f>Tabela1[[#This Row],[Descrição]]&amp;"-"&amp;Tabela1[[#This Row],[Código]]&amp;"/"&amp;Tabela1[[#This Row],[Origem]]</f>
        <v>Nupuvadu-H489P939/GO</v>
      </c>
      <c r="F518" s="88">
        <v>45763</v>
      </c>
      <c r="G518" s="88" t="str" cm="1">
        <f t="array" ref="G5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AND(F518&gt;= DATE(2026,1,1), F518&lt;= DATE(2028, 12, 31), J518&gt;50000), "Pendente e Caro", AND(F518&gt;= DATE(2026,1,1), F518&lt;= DATE(2028, 12, 31), J518&lt;=50000), "Pendente", F518&gt;= DATE(2029,1,1), "Não prioeitário")</f>
        <v>Urgente e Caro</v>
      </c>
      <c r="H518" s="89">
        <f>YEAR(Tabela1[[#This Row],[Data de Validade]])</f>
        <v>2025</v>
      </c>
      <c r="I518" s="89">
        <f>MONTH(Tabela1[[#This Row],[Data de Validade]])</f>
        <v>4</v>
      </c>
      <c r="J518" s="101">
        <v>114630</v>
      </c>
      <c r="K518" s="87" t="s">
        <v>11</v>
      </c>
      <c r="L518" s="108"/>
      <c r="M518" s="108"/>
      <c r="N518" s="108" t="str">
        <v>H489P939</v>
      </c>
      <c r="O518" s="108">
        <f t="shared" si="10"/>
        <v>1</v>
      </c>
      <c r="P518" s="108"/>
      <c r="Q518"/>
    </row>
    <row r="519" spans="1:17" x14ac:dyDescent="0.25">
      <c r="A519" s="89" t="s">
        <v>10077</v>
      </c>
      <c r="B519" s="87" t="s">
        <v>10078</v>
      </c>
      <c r="C519" s="87" t="s">
        <v>13</v>
      </c>
      <c r="D519" s="87" t="str">
        <f>VLOOKUP(Tabela1[[#This Row],[Origem]], 'Perguntas 1 a 24'!$J$28:$K$34, 2, 0)</f>
        <v>Sudeste</v>
      </c>
      <c r="E519" s="87" t="str">
        <f>Tabela1[[#This Row],[Descrição]]&amp;"-"&amp;Tabela1[[#This Row],[Código]]&amp;"/"&amp;Tabela1[[#This Row],[Origem]]</f>
        <v>Gulonete-P614H461/SP</v>
      </c>
      <c r="F519" s="88">
        <v>45763</v>
      </c>
      <c r="G519" s="88" t="str" cm="1">
        <f t="array" ref="G5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AND(F519&gt;= DATE(2026,1,1), F519&lt;= DATE(2028, 12, 31), J519&gt;50000), "Pendente e Caro", AND(F519&gt;= DATE(2026,1,1), F519&lt;= DATE(2028, 12, 31), J519&lt;=50000), "Pendente", F519&gt;= DATE(2029,1,1), "Não prioeitário")</f>
        <v>Urgente e Caro</v>
      </c>
      <c r="H519" s="89">
        <f>YEAR(Tabela1[[#This Row],[Data de Validade]])</f>
        <v>2025</v>
      </c>
      <c r="I519" s="89">
        <f>MONTH(Tabela1[[#This Row],[Data de Validade]])</f>
        <v>4</v>
      </c>
      <c r="J519" s="101">
        <v>100657</v>
      </c>
      <c r="K519" s="87" t="s">
        <v>9</v>
      </c>
      <c r="L519" s="108"/>
      <c r="M519" s="108"/>
      <c r="N519" s="108" t="str">
        <v>P614H461</v>
      </c>
      <c r="O519" s="108">
        <f t="shared" si="10"/>
        <v>1</v>
      </c>
      <c r="P519" s="108"/>
      <c r="Q519"/>
    </row>
    <row r="520" spans="1:17" x14ac:dyDescent="0.25">
      <c r="A520" s="89" t="s">
        <v>10467</v>
      </c>
      <c r="B520" s="87" t="s">
        <v>10468</v>
      </c>
      <c r="C520" s="87" t="s">
        <v>16</v>
      </c>
      <c r="D520" s="87" t="str">
        <f>VLOOKUP(Tabela1[[#This Row],[Origem]], 'Perguntas 1 a 24'!$J$28:$K$34, 2, 0)</f>
        <v>Sudeste</v>
      </c>
      <c r="E520" s="87" t="str">
        <f>Tabela1[[#This Row],[Descrição]]&amp;"-"&amp;Tabela1[[#This Row],[Código]]&amp;"/"&amp;Tabela1[[#This Row],[Origem]]</f>
        <v>Rapucufi-H244P352/MG</v>
      </c>
      <c r="F520" s="88">
        <v>45763</v>
      </c>
      <c r="G520" s="88" t="str" cm="1">
        <f t="array" ref="G5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AND(F520&gt;= DATE(2026,1,1), F520&lt;= DATE(2028, 12, 31), J520&gt;50000), "Pendente e Caro", AND(F520&gt;= DATE(2026,1,1), F520&lt;= DATE(2028, 12, 31), J520&lt;=50000), "Pendente", F520&gt;= DATE(2029,1,1), "Não prioeitário")</f>
        <v>Urgente e Caro</v>
      </c>
      <c r="H520" s="89">
        <f>YEAR(Tabela1[[#This Row],[Data de Validade]])</f>
        <v>2025</v>
      </c>
      <c r="I520" s="89">
        <f>MONTH(Tabela1[[#This Row],[Data de Validade]])</f>
        <v>4</v>
      </c>
      <c r="J520" s="101">
        <v>63812</v>
      </c>
      <c r="K520" s="87" t="s">
        <v>9</v>
      </c>
      <c r="L520" s="108"/>
      <c r="M520" s="108"/>
      <c r="N520" s="108" t="str">
        <v>H244P352</v>
      </c>
      <c r="O520" s="108">
        <f t="shared" si="10"/>
        <v>1</v>
      </c>
      <c r="P520" s="108"/>
      <c r="Q520"/>
    </row>
    <row r="521" spans="1:17" x14ac:dyDescent="0.25">
      <c r="A521" s="89" t="s">
        <v>4469</v>
      </c>
      <c r="B521" s="87" t="s">
        <v>4470</v>
      </c>
      <c r="C521" s="87" t="s">
        <v>15</v>
      </c>
      <c r="D521" s="87" t="str">
        <f>VLOOKUP(Tabela1[[#This Row],[Origem]], 'Perguntas 1 a 24'!$J$28:$K$34, 2, 0)</f>
        <v>Sudeste</v>
      </c>
      <c r="E521" s="87" t="str">
        <f>Tabela1[[#This Row],[Descrição]]&amp;"-"&amp;Tabela1[[#This Row],[Código]]&amp;"/"&amp;Tabela1[[#This Row],[Origem]]</f>
        <v>Moparico-P466P499/ES</v>
      </c>
      <c r="F521" s="88">
        <v>45763</v>
      </c>
      <c r="G521" s="88" t="str" cm="1">
        <f t="array" ref="G5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AND(F521&gt;= DATE(2026,1,1), F521&lt;= DATE(2028, 12, 31), J521&gt;50000), "Pendente e Caro", AND(F521&gt;= DATE(2026,1,1), F521&lt;= DATE(2028, 12, 31), J521&lt;=50000), "Pendente", F521&gt;= DATE(2029,1,1), "Não prioeitário")</f>
        <v>Urgente e Caro</v>
      </c>
      <c r="H521" s="89">
        <f>YEAR(Tabela1[[#This Row],[Data de Validade]])</f>
        <v>2025</v>
      </c>
      <c r="I521" s="89">
        <f>MONTH(Tabela1[[#This Row],[Data de Validade]])</f>
        <v>4</v>
      </c>
      <c r="J521" s="101">
        <v>57673</v>
      </c>
      <c r="K521" s="87" t="s">
        <v>14</v>
      </c>
      <c r="L521" s="108"/>
      <c r="M521" s="108"/>
      <c r="N521" s="108" t="str">
        <v>P466P499</v>
      </c>
      <c r="O521" s="108">
        <f t="shared" si="10"/>
        <v>1</v>
      </c>
      <c r="P521" s="108"/>
      <c r="Q521"/>
    </row>
    <row r="522" spans="1:17" x14ac:dyDescent="0.25">
      <c r="A522" s="89" t="s">
        <v>10721</v>
      </c>
      <c r="B522" s="87" t="s">
        <v>10722</v>
      </c>
      <c r="C522" s="87" t="s">
        <v>6</v>
      </c>
      <c r="D522" s="87" t="str">
        <f>VLOOKUP(Tabela1[[#This Row],[Origem]], 'Perguntas 1 a 24'!$J$28:$K$34, 2, 0)</f>
        <v>Nordeste</v>
      </c>
      <c r="E522" s="87" t="str">
        <f>Tabela1[[#This Row],[Descrição]]&amp;"-"&amp;Tabela1[[#This Row],[Código]]&amp;"/"&amp;Tabela1[[#This Row],[Origem]]</f>
        <v>Ruletorupi-H931H964/MA</v>
      </c>
      <c r="F522" s="88">
        <v>45763</v>
      </c>
      <c r="G522" s="88" t="str" cm="1">
        <f t="array" ref="G5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AND(F522&gt;= DATE(2026,1,1), F522&lt;= DATE(2028, 12, 31), J522&gt;50000), "Pendente e Caro", AND(F522&gt;= DATE(2026,1,1), F522&lt;= DATE(2028, 12, 31), J522&lt;=50000), "Pendente", F522&gt;= DATE(2029,1,1), "Não prioeitário")</f>
        <v>Urgente</v>
      </c>
      <c r="H522" s="89">
        <f>YEAR(Tabela1[[#This Row],[Data de Validade]])</f>
        <v>2025</v>
      </c>
      <c r="I522" s="89">
        <f>MONTH(Tabela1[[#This Row],[Data de Validade]])</f>
        <v>4</v>
      </c>
      <c r="J522" s="101">
        <v>37273</v>
      </c>
      <c r="K522" s="87" t="s">
        <v>14</v>
      </c>
      <c r="L522" s="108"/>
      <c r="M522" s="108"/>
      <c r="N522" s="108" t="str">
        <v>H931H964</v>
      </c>
      <c r="O522" s="108">
        <f t="shared" si="10"/>
        <v>1</v>
      </c>
      <c r="P522" s="108"/>
      <c r="Q522"/>
    </row>
    <row r="523" spans="1:17" x14ac:dyDescent="0.25">
      <c r="A523" s="89" t="s">
        <v>9675</v>
      </c>
      <c r="B523" s="87" t="s">
        <v>9676</v>
      </c>
      <c r="C523" s="87" t="s">
        <v>13</v>
      </c>
      <c r="D523" s="87" t="str">
        <f>VLOOKUP(Tabela1[[#This Row],[Origem]], 'Perguntas 1 a 24'!$J$28:$K$34, 2, 0)</f>
        <v>Sudeste</v>
      </c>
      <c r="E523" s="87" t="str">
        <f>Tabela1[[#This Row],[Descrição]]&amp;"-"&amp;Tabela1[[#This Row],[Código]]&amp;"/"&amp;Tabela1[[#This Row],[Origem]]</f>
        <v>Lonipupiti-P411H237/SP</v>
      </c>
      <c r="F523" s="88">
        <v>45764</v>
      </c>
      <c r="G523" s="88" t="str" cm="1">
        <f t="array" ref="G5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AND(F523&gt;= DATE(2026,1,1), F523&lt;= DATE(2028, 12, 31), J523&gt;50000), "Pendente e Caro", AND(F523&gt;= DATE(2026,1,1), F523&lt;= DATE(2028, 12, 31), J523&lt;=50000), "Pendente", F523&gt;= DATE(2029,1,1), "Não prioeitário")</f>
        <v>Urgente e Caro</v>
      </c>
      <c r="H523" s="89">
        <f>YEAR(Tabela1[[#This Row],[Data de Validade]])</f>
        <v>2025</v>
      </c>
      <c r="I523" s="89">
        <f>MONTH(Tabela1[[#This Row],[Data de Validade]])</f>
        <v>4</v>
      </c>
      <c r="J523" s="101">
        <v>104820</v>
      </c>
      <c r="K523" s="87" t="s">
        <v>7</v>
      </c>
      <c r="L523" s="108"/>
      <c r="M523" s="108"/>
      <c r="N523" s="108" t="str">
        <v>P411H237</v>
      </c>
      <c r="O523" s="108">
        <f t="shared" si="10"/>
        <v>1</v>
      </c>
      <c r="P523" s="108"/>
      <c r="Q523"/>
    </row>
    <row r="524" spans="1:17" x14ac:dyDescent="0.25">
      <c r="A524" s="89" t="s">
        <v>8518</v>
      </c>
      <c r="B524" s="87" t="s">
        <v>8519</v>
      </c>
      <c r="C524" s="87" t="s">
        <v>12</v>
      </c>
      <c r="D524" s="87" t="str">
        <f>VLOOKUP(Tabela1[[#This Row],[Origem]], 'Perguntas 1 a 24'!$J$28:$K$34, 2, 0)</f>
        <v>Sudeste</v>
      </c>
      <c r="E524" s="87" t="str">
        <f>Tabela1[[#This Row],[Descrição]]&amp;"-"&amp;Tabela1[[#This Row],[Código]]&amp;"/"&amp;Tabela1[[#This Row],[Origem]]</f>
        <v>Melimi-H668P122/RJ</v>
      </c>
      <c r="F524" s="88">
        <v>45764</v>
      </c>
      <c r="G524" s="88" t="str" cm="1">
        <f t="array" ref="G5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AND(F524&gt;= DATE(2026,1,1), F524&lt;= DATE(2028, 12, 31), J524&gt;50000), "Pendente e Caro", AND(F524&gt;= DATE(2026,1,1), F524&lt;= DATE(2028, 12, 31), J524&lt;=50000), "Pendente", F524&gt;= DATE(2029,1,1), "Não prioeitário")</f>
        <v>Urgente e Caro</v>
      </c>
      <c r="H524" s="89">
        <f>YEAR(Tabela1[[#This Row],[Data de Validade]])</f>
        <v>2025</v>
      </c>
      <c r="I524" s="89">
        <f>MONTH(Tabela1[[#This Row],[Data de Validade]])</f>
        <v>4</v>
      </c>
      <c r="J524" s="101">
        <v>72717</v>
      </c>
      <c r="K524" s="87" t="s">
        <v>14</v>
      </c>
      <c r="L524" s="108"/>
      <c r="M524" s="108"/>
      <c r="N524" s="108" t="str">
        <v>H668P122</v>
      </c>
      <c r="O524" s="108">
        <f t="shared" si="10"/>
        <v>1</v>
      </c>
      <c r="P524" s="108"/>
      <c r="Q524"/>
    </row>
    <row r="525" spans="1:17" x14ac:dyDescent="0.25">
      <c r="A525" s="89" t="s">
        <v>7440</v>
      </c>
      <c r="B525" s="87" t="s">
        <v>7441</v>
      </c>
      <c r="C525" s="87" t="s">
        <v>6</v>
      </c>
      <c r="D525" s="87" t="str">
        <f>VLOOKUP(Tabela1[[#This Row],[Origem]], 'Perguntas 1 a 24'!$J$28:$K$34, 2, 0)</f>
        <v>Nordeste</v>
      </c>
      <c r="E525" s="87" t="str">
        <f>Tabela1[[#This Row],[Descrição]]&amp;"-"&amp;Tabela1[[#This Row],[Código]]&amp;"/"&amp;Tabela1[[#This Row],[Origem]]</f>
        <v>Viloruga-H465P669/MA</v>
      </c>
      <c r="F525" s="88">
        <v>45765</v>
      </c>
      <c r="G525" s="88" t="str" cm="1">
        <f t="array" ref="G5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AND(F525&gt;= DATE(2026,1,1), F525&lt;= DATE(2028, 12, 31), J525&gt;50000), "Pendente e Caro", AND(F525&gt;= DATE(2026,1,1), F525&lt;= DATE(2028, 12, 31), J525&lt;=50000), "Pendente", F525&gt;= DATE(2029,1,1), "Não prioeitário")</f>
        <v>Urgente e Caro</v>
      </c>
      <c r="H525" s="89">
        <f>YEAR(Tabela1[[#This Row],[Data de Validade]])</f>
        <v>2025</v>
      </c>
      <c r="I525" s="89">
        <f>MONTH(Tabela1[[#This Row],[Data de Validade]])</f>
        <v>4</v>
      </c>
      <c r="J525" s="101">
        <v>64208</v>
      </c>
      <c r="K525" s="87" t="s">
        <v>9</v>
      </c>
      <c r="L525" s="108"/>
      <c r="M525" s="108"/>
      <c r="N525" s="108" t="str">
        <v>H465P669</v>
      </c>
      <c r="O525" s="108">
        <f t="shared" si="10"/>
        <v>1</v>
      </c>
      <c r="P525" s="108"/>
      <c r="Q525"/>
    </row>
    <row r="526" spans="1:17" x14ac:dyDescent="0.25">
      <c r="A526" s="89" t="s">
        <v>9589</v>
      </c>
      <c r="B526" s="87" t="s">
        <v>9590</v>
      </c>
      <c r="C526" s="87" t="s">
        <v>10</v>
      </c>
      <c r="D526" s="87" t="str">
        <f>VLOOKUP(Tabela1[[#This Row],[Origem]], 'Perguntas 1 a 24'!$J$28:$K$34, 2, 0)</f>
        <v>Centro-Oeste</v>
      </c>
      <c r="E526" s="87" t="str">
        <f>Tabela1[[#This Row],[Descrição]]&amp;"-"&amp;Tabela1[[#This Row],[Código]]&amp;"/"&amp;Tabela1[[#This Row],[Origem]]</f>
        <v>Diraceteri-H383P582/GO</v>
      </c>
      <c r="F526" s="88">
        <v>45765</v>
      </c>
      <c r="G526" s="88" t="str" cm="1">
        <f t="array" ref="G5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AND(F526&gt;= DATE(2026,1,1), F526&lt;= DATE(2028, 12, 31), J526&gt;50000), "Pendente e Caro", AND(F526&gt;= DATE(2026,1,1), F526&lt;= DATE(2028, 12, 31), J526&lt;=50000), "Pendente", F526&gt;= DATE(2029,1,1), "Não prioeitário")</f>
        <v>Urgente</v>
      </c>
      <c r="H526" s="89">
        <f>YEAR(Tabela1[[#This Row],[Data de Validade]])</f>
        <v>2025</v>
      </c>
      <c r="I526" s="89">
        <f>MONTH(Tabela1[[#This Row],[Data de Validade]])</f>
        <v>4</v>
      </c>
      <c r="J526" s="101">
        <v>48873</v>
      </c>
      <c r="K526" s="87" t="s">
        <v>14</v>
      </c>
      <c r="L526" s="108"/>
      <c r="M526" s="108"/>
      <c r="N526" s="108" t="str">
        <v>H383P582</v>
      </c>
      <c r="O526" s="108">
        <f t="shared" si="10"/>
        <v>1</v>
      </c>
      <c r="P526" s="108"/>
      <c r="Q526"/>
    </row>
    <row r="527" spans="1:17" x14ac:dyDescent="0.25">
      <c r="A527" s="89" t="s">
        <v>4750</v>
      </c>
      <c r="B527" s="87" t="s">
        <v>4751</v>
      </c>
      <c r="C527" s="87" t="s">
        <v>15</v>
      </c>
      <c r="D527" s="87" t="str">
        <f>VLOOKUP(Tabela1[[#This Row],[Origem]], 'Perguntas 1 a 24'!$J$28:$K$34, 2, 0)</f>
        <v>Sudeste</v>
      </c>
      <c r="E527" s="87" t="str">
        <f>Tabela1[[#This Row],[Descrição]]&amp;"-"&amp;Tabela1[[#This Row],[Código]]&amp;"/"&amp;Tabela1[[#This Row],[Origem]]</f>
        <v>Gelevepori-P337H954/ES</v>
      </c>
      <c r="F527" s="88">
        <v>45765</v>
      </c>
      <c r="G527" s="88" t="str" cm="1">
        <f t="array" ref="G5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AND(F527&gt;= DATE(2026,1,1), F527&lt;= DATE(2028, 12, 31), J527&gt;50000), "Pendente e Caro", AND(F527&gt;= DATE(2026,1,1), F527&lt;= DATE(2028, 12, 31), J527&lt;=50000), "Pendente", F527&gt;= DATE(2029,1,1), "Não prioeitário")</f>
        <v>Urgente</v>
      </c>
      <c r="H527" s="89">
        <f>YEAR(Tabela1[[#This Row],[Data de Validade]])</f>
        <v>2025</v>
      </c>
      <c r="I527" s="89">
        <f>MONTH(Tabela1[[#This Row],[Data de Validade]])</f>
        <v>4</v>
      </c>
      <c r="J527" s="101">
        <v>33740</v>
      </c>
      <c r="K527" s="87" t="s">
        <v>14</v>
      </c>
      <c r="L527" s="108"/>
      <c r="M527" s="108"/>
      <c r="N527" s="108" t="str">
        <v>P337H954</v>
      </c>
      <c r="O527" s="108">
        <f t="shared" si="10"/>
        <v>1</v>
      </c>
      <c r="P527" s="108"/>
      <c r="Q527"/>
    </row>
    <row r="528" spans="1:17" x14ac:dyDescent="0.25">
      <c r="A528" s="89" t="s">
        <v>9471</v>
      </c>
      <c r="B528" s="87" t="s">
        <v>9472</v>
      </c>
      <c r="C528" s="87" t="s">
        <v>12</v>
      </c>
      <c r="D528" s="87" t="str">
        <f>VLOOKUP(Tabela1[[#This Row],[Origem]], 'Perguntas 1 a 24'!$J$28:$K$34, 2, 0)</f>
        <v>Sudeste</v>
      </c>
      <c r="E528" s="87" t="str">
        <f>Tabela1[[#This Row],[Descrição]]&amp;"-"&amp;Tabela1[[#This Row],[Código]]&amp;"/"&amp;Tabela1[[#This Row],[Origem]]</f>
        <v>Pefurula-H868H613/RJ</v>
      </c>
      <c r="F528" s="88">
        <v>45766</v>
      </c>
      <c r="G528" s="88" t="str" cm="1">
        <f t="array" ref="G5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AND(F528&gt;= DATE(2026,1,1), F528&lt;= DATE(2028, 12, 31), J528&gt;50000), "Pendente e Caro", AND(F528&gt;= DATE(2026,1,1), F528&lt;= DATE(2028, 12, 31), J528&lt;=50000), "Pendente", F528&gt;= DATE(2029,1,1), "Não prioeitário")</f>
        <v>Urgente e Caro</v>
      </c>
      <c r="H528" s="89">
        <f>YEAR(Tabela1[[#This Row],[Data de Validade]])</f>
        <v>2025</v>
      </c>
      <c r="I528" s="89">
        <f>MONTH(Tabela1[[#This Row],[Data de Validade]])</f>
        <v>4</v>
      </c>
      <c r="J528" s="101">
        <v>117740</v>
      </c>
      <c r="K528" s="87" t="s">
        <v>14</v>
      </c>
      <c r="L528" s="108"/>
      <c r="M528" s="108"/>
      <c r="N528" s="108" t="str">
        <v>H868H613</v>
      </c>
      <c r="O528" s="108">
        <f t="shared" si="10"/>
        <v>1</v>
      </c>
      <c r="P528" s="108"/>
      <c r="Q528"/>
    </row>
    <row r="529" spans="1:17" x14ac:dyDescent="0.25">
      <c r="A529" s="89" t="s">
        <v>10189</v>
      </c>
      <c r="B529" s="87" t="s">
        <v>10190</v>
      </c>
      <c r="C529" s="87" t="s">
        <v>8</v>
      </c>
      <c r="D529" s="87" t="str">
        <f>VLOOKUP(Tabela1[[#This Row],[Origem]], 'Perguntas 1 a 24'!$J$28:$K$34, 2, 0)</f>
        <v>Nordeste</v>
      </c>
      <c r="E529" s="87" t="str">
        <f>Tabela1[[#This Row],[Descrição]]&amp;"-"&amp;Tabela1[[#This Row],[Código]]&amp;"/"&amp;Tabela1[[#This Row],[Origem]]</f>
        <v>Fucadumoge-H527P884/AL</v>
      </c>
      <c r="F529" s="88">
        <v>45766</v>
      </c>
      <c r="G529" s="88" t="str" cm="1">
        <f t="array" ref="G5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AND(F529&gt;= DATE(2026,1,1), F529&lt;= DATE(2028, 12, 31), J529&gt;50000), "Pendente e Caro", AND(F529&gt;= DATE(2026,1,1), F529&lt;= DATE(2028, 12, 31), J529&lt;=50000), "Pendente", F529&gt;= DATE(2029,1,1), "Não prioeitário")</f>
        <v>Urgente e Caro</v>
      </c>
      <c r="H529" s="89">
        <f>YEAR(Tabela1[[#This Row],[Data de Validade]])</f>
        <v>2025</v>
      </c>
      <c r="I529" s="89">
        <f>MONTH(Tabela1[[#This Row],[Data de Validade]])</f>
        <v>4</v>
      </c>
      <c r="J529" s="101">
        <v>109627</v>
      </c>
      <c r="K529" s="87" t="s">
        <v>7</v>
      </c>
      <c r="L529" s="108"/>
      <c r="M529" s="108"/>
      <c r="N529" s="108" t="str">
        <v>H527P884</v>
      </c>
      <c r="O529" s="108">
        <f t="shared" si="10"/>
        <v>1</v>
      </c>
      <c r="P529" s="108"/>
      <c r="Q529"/>
    </row>
    <row r="530" spans="1:17" x14ac:dyDescent="0.25">
      <c r="A530" s="89" t="s">
        <v>11020</v>
      </c>
      <c r="B530" s="87" t="s">
        <v>11021</v>
      </c>
      <c r="C530" s="87" t="s">
        <v>12</v>
      </c>
      <c r="D530" s="87" t="str">
        <f>VLOOKUP(Tabela1[[#This Row],[Origem]], 'Perguntas 1 a 24'!$J$28:$K$34, 2, 0)</f>
        <v>Sudeste</v>
      </c>
      <c r="E530" s="87" t="str">
        <f>Tabela1[[#This Row],[Descrição]]&amp;"-"&amp;Tabela1[[#This Row],[Código]]&amp;"/"&amp;Tabela1[[#This Row],[Origem]]</f>
        <v>Dupamilina-H438H219/RJ</v>
      </c>
      <c r="F530" s="88">
        <v>45766</v>
      </c>
      <c r="G530" s="88" t="str" cm="1">
        <f t="array" ref="G5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AND(F530&gt;= DATE(2026,1,1), F530&lt;= DATE(2028, 12, 31), J530&gt;50000), "Pendente e Caro", AND(F530&gt;= DATE(2026,1,1), F530&lt;= DATE(2028, 12, 31), J530&lt;=50000), "Pendente", F530&gt;= DATE(2029,1,1), "Não prioeitário")</f>
        <v>Urgente e Caro</v>
      </c>
      <c r="H530" s="89">
        <f>YEAR(Tabela1[[#This Row],[Data de Validade]])</f>
        <v>2025</v>
      </c>
      <c r="I530" s="89">
        <f>MONTH(Tabela1[[#This Row],[Data de Validade]])</f>
        <v>4</v>
      </c>
      <c r="J530" s="101">
        <v>70155</v>
      </c>
      <c r="K530" s="87" t="s">
        <v>11</v>
      </c>
      <c r="L530" s="108"/>
      <c r="M530" s="108"/>
      <c r="N530" s="108" t="str">
        <v>H438H219</v>
      </c>
      <c r="O530" s="108">
        <f t="shared" si="10"/>
        <v>1</v>
      </c>
      <c r="P530" s="108"/>
      <c r="Q530"/>
    </row>
    <row r="531" spans="1:17" x14ac:dyDescent="0.25">
      <c r="A531" s="89" t="s">
        <v>9269</v>
      </c>
      <c r="B531" s="87" t="s">
        <v>9270</v>
      </c>
      <c r="C531" s="87" t="s">
        <v>15</v>
      </c>
      <c r="D531" s="87" t="str">
        <f>VLOOKUP(Tabela1[[#This Row],[Origem]], 'Perguntas 1 a 24'!$J$28:$K$34, 2, 0)</f>
        <v>Sudeste</v>
      </c>
      <c r="E531" s="87" t="str">
        <f>Tabela1[[#This Row],[Descrição]]&amp;"-"&amp;Tabela1[[#This Row],[Código]]&amp;"/"&amp;Tabela1[[#This Row],[Origem]]</f>
        <v>Malivipiro-P765P118/ES</v>
      </c>
      <c r="F531" s="88">
        <v>45767</v>
      </c>
      <c r="G531" s="88" t="str" cm="1">
        <f t="array" ref="G5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AND(F531&gt;= DATE(2026,1,1), F531&lt;= DATE(2028, 12, 31), J531&gt;50000), "Pendente e Caro", AND(F531&gt;= DATE(2026,1,1), F531&lt;= DATE(2028, 12, 31), J531&lt;=50000), "Pendente", F531&gt;= DATE(2029,1,1), "Não prioeitário")</f>
        <v>Urgente e Caro</v>
      </c>
      <c r="H531" s="89">
        <f>YEAR(Tabela1[[#This Row],[Data de Validade]])</f>
        <v>2025</v>
      </c>
      <c r="I531" s="89">
        <f>MONTH(Tabela1[[#This Row],[Data de Validade]])</f>
        <v>4</v>
      </c>
      <c r="J531" s="101">
        <v>53033</v>
      </c>
      <c r="K531" s="87" t="s">
        <v>14</v>
      </c>
      <c r="L531" s="108"/>
      <c r="M531" s="108"/>
      <c r="N531" s="108" t="str">
        <v>P765P118</v>
      </c>
      <c r="O531" s="108">
        <f t="shared" si="10"/>
        <v>1</v>
      </c>
      <c r="P531" s="108"/>
      <c r="Q531"/>
    </row>
    <row r="532" spans="1:17" x14ac:dyDescent="0.25">
      <c r="A532" s="89" t="s">
        <v>7636</v>
      </c>
      <c r="B532" s="87" t="s">
        <v>7637</v>
      </c>
      <c r="C532" s="87" t="s">
        <v>15</v>
      </c>
      <c r="D532" s="87" t="str">
        <f>VLOOKUP(Tabela1[[#This Row],[Origem]], 'Perguntas 1 a 24'!$J$28:$K$34, 2, 0)</f>
        <v>Sudeste</v>
      </c>
      <c r="E532" s="87" t="str">
        <f>Tabela1[[#This Row],[Descrição]]&amp;"-"&amp;Tabela1[[#This Row],[Código]]&amp;"/"&amp;Tabela1[[#This Row],[Origem]]</f>
        <v>Rutopotu-H342P111/ES</v>
      </c>
      <c r="F532" s="88">
        <v>45767</v>
      </c>
      <c r="G532" s="88" t="str" cm="1">
        <f t="array" ref="G5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AND(F532&gt;= DATE(2026,1,1), F532&lt;= DATE(2028, 12, 31), J532&gt;50000), "Pendente e Caro", AND(F532&gt;= DATE(2026,1,1), F532&lt;= DATE(2028, 12, 31), J532&lt;=50000), "Pendente", F532&gt;= DATE(2029,1,1), "Não prioeitário")</f>
        <v>Urgente</v>
      </c>
      <c r="H532" s="89">
        <f>YEAR(Tabela1[[#This Row],[Data de Validade]])</f>
        <v>2025</v>
      </c>
      <c r="I532" s="89">
        <f>MONTH(Tabela1[[#This Row],[Data de Validade]])</f>
        <v>4</v>
      </c>
      <c r="J532" s="101">
        <v>45730</v>
      </c>
      <c r="K532" s="87" t="s">
        <v>11</v>
      </c>
      <c r="L532" s="108"/>
      <c r="M532" s="108"/>
      <c r="N532" s="108" t="str">
        <v>H342P111</v>
      </c>
      <c r="O532" s="108">
        <f t="shared" si="10"/>
        <v>1</v>
      </c>
      <c r="P532" s="108"/>
      <c r="Q532"/>
    </row>
    <row r="533" spans="1:17" x14ac:dyDescent="0.25">
      <c r="A533" s="89" t="s">
        <v>7708</v>
      </c>
      <c r="B533" s="87" t="s">
        <v>7709</v>
      </c>
      <c r="C533" s="87" t="s">
        <v>8</v>
      </c>
      <c r="D533" s="87" t="str">
        <f>VLOOKUP(Tabela1[[#This Row],[Origem]], 'Perguntas 1 a 24'!$J$28:$K$34, 2, 0)</f>
        <v>Nordeste</v>
      </c>
      <c r="E533" s="87" t="str">
        <f>Tabela1[[#This Row],[Descrição]]&amp;"-"&amp;Tabela1[[#This Row],[Código]]&amp;"/"&amp;Tabela1[[#This Row],[Origem]]</f>
        <v>Lidaritipo-P642P429/AL</v>
      </c>
      <c r="F533" s="88">
        <v>45768</v>
      </c>
      <c r="G533" s="88" t="str" cm="1">
        <f t="array" ref="G5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AND(F533&gt;= DATE(2026,1,1), F533&lt;= DATE(2028, 12, 31), J533&gt;50000), "Pendente e Caro", AND(F533&gt;= DATE(2026,1,1), F533&lt;= DATE(2028, 12, 31), J533&lt;=50000), "Pendente", F533&gt;= DATE(2029,1,1), "Não prioeitário")</f>
        <v>Urgente e Caro</v>
      </c>
      <c r="H533" s="89">
        <f>YEAR(Tabela1[[#This Row],[Data de Validade]])</f>
        <v>2025</v>
      </c>
      <c r="I533" s="89">
        <f>MONTH(Tabela1[[#This Row],[Data de Validade]])</f>
        <v>4</v>
      </c>
      <c r="J533" s="101">
        <v>100065</v>
      </c>
      <c r="K533" s="87" t="s">
        <v>7</v>
      </c>
      <c r="L533" s="108"/>
      <c r="M533" s="108"/>
      <c r="N533" s="108" t="str">
        <v>P642P429</v>
      </c>
      <c r="O533" s="108">
        <f t="shared" si="10"/>
        <v>1</v>
      </c>
      <c r="P533" s="108"/>
      <c r="Q533"/>
    </row>
    <row r="534" spans="1:17" x14ac:dyDescent="0.25">
      <c r="A534" s="89" t="s">
        <v>4203</v>
      </c>
      <c r="B534" s="87" t="s">
        <v>4204</v>
      </c>
      <c r="C534" s="87" t="s">
        <v>6</v>
      </c>
      <c r="D534" s="87" t="str">
        <f>VLOOKUP(Tabela1[[#This Row],[Origem]], 'Perguntas 1 a 24'!$J$28:$K$34, 2, 0)</f>
        <v>Nordeste</v>
      </c>
      <c r="E534" s="87" t="str">
        <f>Tabela1[[#This Row],[Descrição]]&amp;"-"&amp;Tabela1[[#This Row],[Código]]&amp;"/"&amp;Tabela1[[#This Row],[Origem]]</f>
        <v>Ponevedo-P946P642/MA</v>
      </c>
      <c r="F534" s="88">
        <v>45768</v>
      </c>
      <c r="G534" s="88" t="str" cm="1">
        <f t="array" ref="G5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AND(F534&gt;= DATE(2026,1,1), F534&lt;= DATE(2028, 12, 31), J534&gt;50000), "Pendente e Caro", AND(F534&gt;= DATE(2026,1,1), F534&lt;= DATE(2028, 12, 31), J534&lt;=50000), "Pendente", F534&gt;= DATE(2029,1,1), "Não prioeitário")</f>
        <v>Urgente e Caro</v>
      </c>
      <c r="H534" s="89">
        <f>YEAR(Tabela1[[#This Row],[Data de Validade]])</f>
        <v>2025</v>
      </c>
      <c r="I534" s="89">
        <f>MONTH(Tabela1[[#This Row],[Data de Validade]])</f>
        <v>4</v>
      </c>
      <c r="J534" s="101">
        <v>83673</v>
      </c>
      <c r="K534" s="87" t="s">
        <v>7</v>
      </c>
      <c r="L534" s="108"/>
      <c r="M534" s="108"/>
      <c r="N534" s="108" t="str">
        <v>P946P642</v>
      </c>
      <c r="O534" s="108">
        <f t="shared" si="10"/>
        <v>1</v>
      </c>
      <c r="P534" s="108"/>
      <c r="Q534"/>
    </row>
    <row r="535" spans="1:17" x14ac:dyDescent="0.25">
      <c r="A535" s="89" t="s">
        <v>8583</v>
      </c>
      <c r="B535" s="87" t="s">
        <v>8584</v>
      </c>
      <c r="C535" s="87" t="s">
        <v>13</v>
      </c>
      <c r="D535" s="87" t="str">
        <f>VLOOKUP(Tabela1[[#This Row],[Origem]], 'Perguntas 1 a 24'!$J$28:$K$34, 2, 0)</f>
        <v>Sudeste</v>
      </c>
      <c r="E535" s="87" t="str">
        <f>Tabela1[[#This Row],[Descrição]]&amp;"-"&amp;Tabela1[[#This Row],[Código]]&amp;"/"&amp;Tabela1[[#This Row],[Origem]]</f>
        <v>Tufarevi-P198P684/SP</v>
      </c>
      <c r="F535" s="88">
        <v>45768</v>
      </c>
      <c r="G535" s="88" t="str" cm="1">
        <f t="array" ref="G5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AND(F535&gt;= DATE(2026,1,1), F535&lt;= DATE(2028, 12, 31), J535&gt;50000), "Pendente e Caro", AND(F535&gt;= DATE(2026,1,1), F535&lt;= DATE(2028, 12, 31), J535&lt;=50000), "Pendente", F535&gt;= DATE(2029,1,1), "Não prioeitário")</f>
        <v>Urgente e Caro</v>
      </c>
      <c r="H535" s="89">
        <f>YEAR(Tabela1[[#This Row],[Data de Validade]])</f>
        <v>2025</v>
      </c>
      <c r="I535" s="89">
        <f>MONTH(Tabela1[[#This Row],[Data de Validade]])</f>
        <v>4</v>
      </c>
      <c r="J535" s="101">
        <v>66143</v>
      </c>
      <c r="K535" s="87" t="s">
        <v>11</v>
      </c>
      <c r="L535" s="108"/>
      <c r="M535" s="108"/>
      <c r="N535" s="108" t="str">
        <v>P198P684</v>
      </c>
      <c r="O535" s="108">
        <f t="shared" si="10"/>
        <v>1</v>
      </c>
      <c r="P535" s="108"/>
      <c r="Q535"/>
    </row>
    <row r="536" spans="1:17" x14ac:dyDescent="0.25">
      <c r="A536" s="89" t="s">
        <v>7750</v>
      </c>
      <c r="B536" s="87" t="s">
        <v>7751</v>
      </c>
      <c r="C536" s="87" t="s">
        <v>12</v>
      </c>
      <c r="D536" s="87" t="str">
        <f>VLOOKUP(Tabela1[[#This Row],[Origem]], 'Perguntas 1 a 24'!$J$28:$K$34, 2, 0)</f>
        <v>Sudeste</v>
      </c>
      <c r="E536" s="87" t="str">
        <f>Tabela1[[#This Row],[Descrição]]&amp;"-"&amp;Tabela1[[#This Row],[Código]]&amp;"/"&amp;Tabela1[[#This Row],[Origem]]</f>
        <v>Mipufupu-P928P178/RJ</v>
      </c>
      <c r="F536" s="88">
        <v>45768</v>
      </c>
      <c r="G536" s="88" t="str" cm="1">
        <f t="array" ref="G5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AND(F536&gt;= DATE(2026,1,1), F536&lt;= DATE(2028, 12, 31), J536&gt;50000), "Pendente e Caro", AND(F536&gt;= DATE(2026,1,1), F536&lt;= DATE(2028, 12, 31), J536&lt;=50000), "Pendente", F536&gt;= DATE(2029,1,1), "Não prioeitário")</f>
        <v>Urgente</v>
      </c>
      <c r="H536" s="89">
        <f>YEAR(Tabela1[[#This Row],[Data de Validade]])</f>
        <v>2025</v>
      </c>
      <c r="I536" s="89">
        <f>MONTH(Tabela1[[#This Row],[Data de Validade]])</f>
        <v>4</v>
      </c>
      <c r="J536" s="101">
        <v>42750</v>
      </c>
      <c r="K536" s="87" t="s">
        <v>11</v>
      </c>
      <c r="L536" s="108"/>
      <c r="M536" s="108"/>
      <c r="N536" s="108" t="str">
        <v>P928P178</v>
      </c>
      <c r="O536" s="108">
        <f t="shared" si="10"/>
        <v>1</v>
      </c>
      <c r="P536" s="108"/>
      <c r="Q536"/>
    </row>
    <row r="537" spans="1:17" x14ac:dyDescent="0.25">
      <c r="A537" s="89" t="s">
        <v>5506</v>
      </c>
      <c r="B537" s="87" t="s">
        <v>5507</v>
      </c>
      <c r="C537" s="87" t="s">
        <v>12</v>
      </c>
      <c r="D537" s="87" t="str">
        <f>VLOOKUP(Tabela1[[#This Row],[Origem]], 'Perguntas 1 a 24'!$J$28:$K$34, 2, 0)</f>
        <v>Sudeste</v>
      </c>
      <c r="E537" s="87" t="str">
        <f>Tabela1[[#This Row],[Descrição]]&amp;"-"&amp;Tabela1[[#This Row],[Código]]&amp;"/"&amp;Tabela1[[#This Row],[Origem]]</f>
        <v>Pucemeri-P628P437/RJ</v>
      </c>
      <c r="F537" s="88">
        <v>45769</v>
      </c>
      <c r="G537" s="88" t="str" cm="1">
        <f t="array" ref="G5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AND(F537&gt;= DATE(2026,1,1), F537&lt;= DATE(2028, 12, 31), J537&gt;50000), "Pendente e Caro", AND(F537&gt;= DATE(2026,1,1), F537&lt;= DATE(2028, 12, 31), J537&lt;=50000), "Pendente", F537&gt;= DATE(2029,1,1), "Não prioeitário")</f>
        <v>Urgente e Caro</v>
      </c>
      <c r="H537" s="89">
        <f>YEAR(Tabela1[[#This Row],[Data de Validade]])</f>
        <v>2025</v>
      </c>
      <c r="I537" s="89">
        <f>MONTH(Tabela1[[#This Row],[Data de Validade]])</f>
        <v>4</v>
      </c>
      <c r="J537" s="101">
        <v>70178</v>
      </c>
      <c r="K537" s="87" t="s">
        <v>9</v>
      </c>
      <c r="L537" s="108"/>
      <c r="M537" s="108"/>
      <c r="N537" s="108" t="str">
        <v>P628P437</v>
      </c>
      <c r="O537" s="108">
        <f t="shared" si="10"/>
        <v>1</v>
      </c>
      <c r="P537" s="108"/>
      <c r="Q537"/>
    </row>
    <row r="538" spans="1:17" x14ac:dyDescent="0.25">
      <c r="A538" s="89" t="s">
        <v>8264</v>
      </c>
      <c r="B538" s="87" t="s">
        <v>8265</v>
      </c>
      <c r="C538" s="87" t="s">
        <v>6</v>
      </c>
      <c r="D538" s="87" t="str">
        <f>VLOOKUP(Tabela1[[#This Row],[Origem]], 'Perguntas 1 a 24'!$J$28:$K$34, 2, 0)</f>
        <v>Nordeste</v>
      </c>
      <c r="E538" s="87" t="str">
        <f>Tabela1[[#This Row],[Descrição]]&amp;"-"&amp;Tabela1[[#This Row],[Código]]&amp;"/"&amp;Tabela1[[#This Row],[Origem]]</f>
        <v>Terucinide-P829H559/MA</v>
      </c>
      <c r="F538" s="88">
        <v>45770</v>
      </c>
      <c r="G538" s="88" t="str" cm="1">
        <f t="array" ref="G5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AND(F538&gt;= DATE(2026,1,1), F538&lt;= DATE(2028, 12, 31), J538&gt;50000), "Pendente e Caro", AND(F538&gt;= DATE(2026,1,1), F538&lt;= DATE(2028, 12, 31), J538&lt;=50000), "Pendente", F538&gt;= DATE(2029,1,1), "Não prioeitário")</f>
        <v>Urgente e Caro</v>
      </c>
      <c r="H538" s="89">
        <f>YEAR(Tabela1[[#This Row],[Data de Validade]])</f>
        <v>2025</v>
      </c>
      <c r="I538" s="89">
        <f>MONTH(Tabela1[[#This Row],[Data de Validade]])</f>
        <v>4</v>
      </c>
      <c r="J538" s="101">
        <v>95852</v>
      </c>
      <c r="K538" s="87" t="s">
        <v>14</v>
      </c>
      <c r="L538" s="108"/>
      <c r="M538" s="108"/>
      <c r="N538" s="108" t="str">
        <v>P829H559</v>
      </c>
      <c r="O538" s="108">
        <f t="shared" si="10"/>
        <v>1</v>
      </c>
      <c r="P538" s="108"/>
      <c r="Q538"/>
    </row>
    <row r="539" spans="1:17" x14ac:dyDescent="0.25">
      <c r="A539" s="89" t="s">
        <v>7386</v>
      </c>
      <c r="B539" s="87" t="s">
        <v>7387</v>
      </c>
      <c r="C539" s="87" t="s">
        <v>13</v>
      </c>
      <c r="D539" s="87" t="str">
        <f>VLOOKUP(Tabela1[[#This Row],[Origem]], 'Perguntas 1 a 24'!$J$28:$K$34, 2, 0)</f>
        <v>Sudeste</v>
      </c>
      <c r="E539" s="87" t="str">
        <f>Tabela1[[#This Row],[Descrição]]&amp;"-"&amp;Tabela1[[#This Row],[Código]]&amp;"/"&amp;Tabela1[[#This Row],[Origem]]</f>
        <v>Rupari-P691P787/SP</v>
      </c>
      <c r="F539" s="88">
        <v>45770</v>
      </c>
      <c r="G539" s="88" t="str" cm="1">
        <f t="array" ref="G5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AND(F539&gt;= DATE(2026,1,1), F539&lt;= DATE(2028, 12, 31), J539&gt;50000), "Pendente e Caro", AND(F539&gt;= DATE(2026,1,1), F539&lt;= DATE(2028, 12, 31), J539&lt;=50000), "Pendente", F539&gt;= DATE(2029,1,1), "Não prioeitário")</f>
        <v>Urgente e Caro</v>
      </c>
      <c r="H539" s="89">
        <f>YEAR(Tabela1[[#This Row],[Data de Validade]])</f>
        <v>2025</v>
      </c>
      <c r="I539" s="89">
        <f>MONTH(Tabela1[[#This Row],[Data de Validade]])</f>
        <v>4</v>
      </c>
      <c r="J539" s="101">
        <v>90425</v>
      </c>
      <c r="K539" s="87" t="s">
        <v>14</v>
      </c>
      <c r="L539" s="108"/>
      <c r="M539" s="108"/>
      <c r="N539" s="108" t="str">
        <v>P691P787</v>
      </c>
      <c r="O539" s="108">
        <f t="shared" si="10"/>
        <v>1</v>
      </c>
      <c r="P539" s="108"/>
      <c r="Q539"/>
    </row>
    <row r="540" spans="1:17" x14ac:dyDescent="0.25">
      <c r="A540" s="89" t="s">
        <v>5824</v>
      </c>
      <c r="B540" s="87" t="s">
        <v>5825</v>
      </c>
      <c r="C540" s="87" t="s">
        <v>8</v>
      </c>
      <c r="D540" s="87" t="str">
        <f>VLOOKUP(Tabela1[[#This Row],[Origem]], 'Perguntas 1 a 24'!$J$28:$K$34, 2, 0)</f>
        <v>Nordeste</v>
      </c>
      <c r="E540" s="87" t="str">
        <f>Tabela1[[#This Row],[Descrição]]&amp;"-"&amp;Tabela1[[#This Row],[Código]]&amp;"/"&amp;Tabela1[[#This Row],[Origem]]</f>
        <v>Fetogimi-H457H558/AL</v>
      </c>
      <c r="F540" s="88">
        <v>45770</v>
      </c>
      <c r="G540" s="88" t="str" cm="1">
        <f t="array" ref="G5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AND(F540&gt;= DATE(2026,1,1), F540&lt;= DATE(2028, 12, 31), J540&gt;50000), "Pendente e Caro", AND(F540&gt;= DATE(2026,1,1), F540&lt;= DATE(2028, 12, 31), J540&lt;=50000), "Pendente", F540&gt;= DATE(2029,1,1), "Não prioeitário")</f>
        <v>Urgente</v>
      </c>
      <c r="H540" s="89">
        <f>YEAR(Tabela1[[#This Row],[Data de Validade]])</f>
        <v>2025</v>
      </c>
      <c r="I540" s="89">
        <f>MONTH(Tabela1[[#This Row],[Data de Validade]])</f>
        <v>4</v>
      </c>
      <c r="J540" s="101">
        <v>20081</v>
      </c>
      <c r="K540" s="87" t="s">
        <v>7</v>
      </c>
      <c r="L540" s="108"/>
      <c r="M540" s="108"/>
      <c r="N540" s="108" t="str">
        <v>H457H558</v>
      </c>
      <c r="O540" s="108">
        <f t="shared" si="10"/>
        <v>1</v>
      </c>
      <c r="P540" s="108"/>
      <c r="Q540"/>
    </row>
    <row r="541" spans="1:17" x14ac:dyDescent="0.25">
      <c r="A541" s="89" t="s">
        <v>9923</v>
      </c>
      <c r="B541" s="87" t="s">
        <v>9924</v>
      </c>
      <c r="C541" s="87" t="s">
        <v>8</v>
      </c>
      <c r="D541" s="87" t="str">
        <f>VLOOKUP(Tabela1[[#This Row],[Origem]], 'Perguntas 1 a 24'!$J$28:$K$34, 2, 0)</f>
        <v>Nordeste</v>
      </c>
      <c r="E541" s="87" t="str">
        <f>Tabela1[[#This Row],[Descrição]]&amp;"-"&amp;Tabela1[[#This Row],[Código]]&amp;"/"&amp;Tabela1[[#This Row],[Origem]]</f>
        <v>Ratogopa-H642P946/AL</v>
      </c>
      <c r="F541" s="88">
        <v>45771</v>
      </c>
      <c r="G541" s="88" t="str" cm="1">
        <f t="array" ref="G5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AND(F541&gt;= DATE(2026,1,1), F541&lt;= DATE(2028, 12, 31), J541&gt;50000), "Pendente e Caro", AND(F541&gt;= DATE(2026,1,1), F541&lt;= DATE(2028, 12, 31), J541&lt;=50000), "Pendente", F541&gt;= DATE(2029,1,1), "Não prioeitário")</f>
        <v>Urgente e Caro</v>
      </c>
      <c r="H541" s="89">
        <f>YEAR(Tabela1[[#This Row],[Data de Validade]])</f>
        <v>2025</v>
      </c>
      <c r="I541" s="89">
        <f>MONTH(Tabela1[[#This Row],[Data de Validade]])</f>
        <v>4</v>
      </c>
      <c r="J541" s="101">
        <v>74544</v>
      </c>
      <c r="K541" s="87" t="s">
        <v>14</v>
      </c>
      <c r="L541" s="108"/>
      <c r="M541" s="108"/>
      <c r="N541" s="108" t="str">
        <v>H642P946</v>
      </c>
      <c r="O541" s="108">
        <f t="shared" si="10"/>
        <v>1</v>
      </c>
      <c r="P541" s="108"/>
      <c r="Q541"/>
    </row>
    <row r="542" spans="1:17" x14ac:dyDescent="0.25">
      <c r="A542" s="89" t="s">
        <v>7134</v>
      </c>
      <c r="B542" s="87" t="s">
        <v>7135</v>
      </c>
      <c r="C542" s="87" t="s">
        <v>6</v>
      </c>
      <c r="D542" s="87" t="str">
        <f>VLOOKUP(Tabela1[[#This Row],[Origem]], 'Perguntas 1 a 24'!$J$28:$K$34, 2, 0)</f>
        <v>Nordeste</v>
      </c>
      <c r="E542" s="87" t="str">
        <f>Tabela1[[#This Row],[Descrição]]&amp;"-"&amp;Tabela1[[#This Row],[Código]]&amp;"/"&amp;Tabela1[[#This Row],[Origem]]</f>
        <v>Ripopape-H731P678/MA</v>
      </c>
      <c r="F542" s="88">
        <v>45772</v>
      </c>
      <c r="G542" s="88" t="str" cm="1">
        <f t="array" ref="G5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AND(F542&gt;= DATE(2026,1,1), F542&lt;= DATE(2028, 12, 31), J542&gt;50000), "Pendente e Caro", AND(F542&gt;= DATE(2026,1,1), F542&lt;= DATE(2028, 12, 31), J542&lt;=50000), "Pendente", F542&gt;= DATE(2029,1,1), "Não prioeitário")</f>
        <v>Urgente e Caro</v>
      </c>
      <c r="H542" s="89">
        <f>YEAR(Tabela1[[#This Row],[Data de Validade]])</f>
        <v>2025</v>
      </c>
      <c r="I542" s="89">
        <f>MONTH(Tabela1[[#This Row],[Data de Validade]])</f>
        <v>4</v>
      </c>
      <c r="J542" s="101">
        <v>92657</v>
      </c>
      <c r="K542" s="87" t="s">
        <v>9</v>
      </c>
      <c r="L542" s="108"/>
      <c r="M542" s="108"/>
      <c r="N542" s="108" t="str">
        <v>H731P678</v>
      </c>
      <c r="O542" s="108">
        <f t="shared" si="10"/>
        <v>1</v>
      </c>
      <c r="P542" s="108"/>
      <c r="Q542"/>
    </row>
    <row r="543" spans="1:17" x14ac:dyDescent="0.25">
      <c r="A543" s="89" t="s">
        <v>9195</v>
      </c>
      <c r="B543" s="87" t="s">
        <v>9196</v>
      </c>
      <c r="C543" s="87" t="s">
        <v>10</v>
      </c>
      <c r="D543" s="87" t="str">
        <f>VLOOKUP(Tabela1[[#This Row],[Origem]], 'Perguntas 1 a 24'!$J$28:$K$34, 2, 0)</f>
        <v>Centro-Oeste</v>
      </c>
      <c r="E543" s="87" t="str">
        <f>Tabela1[[#This Row],[Descrição]]&amp;"-"&amp;Tabela1[[#This Row],[Código]]&amp;"/"&amp;Tabela1[[#This Row],[Origem]]</f>
        <v>Govama-P234H888/GO</v>
      </c>
      <c r="F543" s="88">
        <v>45772</v>
      </c>
      <c r="G543" s="88" t="str" cm="1">
        <f t="array" ref="G5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AND(F543&gt;= DATE(2026,1,1), F543&lt;= DATE(2028, 12, 31), J543&gt;50000), "Pendente e Caro", AND(F543&gt;= DATE(2026,1,1), F543&lt;= DATE(2028, 12, 31), J543&lt;=50000), "Pendente", F543&gt;= DATE(2029,1,1), "Não prioeitário")</f>
        <v>Urgente e Caro</v>
      </c>
      <c r="H543" s="89">
        <f>YEAR(Tabela1[[#This Row],[Data de Validade]])</f>
        <v>2025</v>
      </c>
      <c r="I543" s="89">
        <f>MONTH(Tabela1[[#This Row],[Data de Validade]])</f>
        <v>4</v>
      </c>
      <c r="J543" s="101">
        <v>87791</v>
      </c>
      <c r="K543" s="87" t="s">
        <v>11</v>
      </c>
      <c r="L543" s="108"/>
      <c r="M543" s="108"/>
      <c r="N543" s="108" t="str">
        <v>P234H888</v>
      </c>
      <c r="O543" s="108">
        <f t="shared" si="10"/>
        <v>1</v>
      </c>
      <c r="P543" s="108"/>
      <c r="Q543"/>
    </row>
    <row r="544" spans="1:17" x14ac:dyDescent="0.25">
      <c r="A544" s="89" t="s">
        <v>7942</v>
      </c>
      <c r="B544" s="87" t="s">
        <v>7943</v>
      </c>
      <c r="C544" s="87" t="s">
        <v>8</v>
      </c>
      <c r="D544" s="87" t="str">
        <f>VLOOKUP(Tabela1[[#This Row],[Origem]], 'Perguntas 1 a 24'!$J$28:$K$34, 2, 0)</f>
        <v>Nordeste</v>
      </c>
      <c r="E544" s="87" t="str">
        <f>Tabela1[[#This Row],[Descrição]]&amp;"-"&amp;Tabela1[[#This Row],[Código]]&amp;"/"&amp;Tabela1[[#This Row],[Origem]]</f>
        <v>Titodulato-H755H926/AL</v>
      </c>
      <c r="F544" s="88">
        <v>45772</v>
      </c>
      <c r="G544" s="88" t="str" cm="1">
        <f t="array" ref="G5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AND(F544&gt;= DATE(2026,1,1), F544&lt;= DATE(2028, 12, 31), J544&gt;50000), "Pendente e Caro", AND(F544&gt;= DATE(2026,1,1), F544&lt;= DATE(2028, 12, 31), J544&lt;=50000), "Pendente", F544&gt;= DATE(2029,1,1), "Não prioeitário")</f>
        <v>Urgente</v>
      </c>
      <c r="H544" s="89">
        <f>YEAR(Tabela1[[#This Row],[Data de Validade]])</f>
        <v>2025</v>
      </c>
      <c r="I544" s="89">
        <f>MONTH(Tabela1[[#This Row],[Data de Validade]])</f>
        <v>4</v>
      </c>
      <c r="J544" s="101">
        <v>38158</v>
      </c>
      <c r="K544" s="87" t="s">
        <v>14</v>
      </c>
      <c r="L544" s="108"/>
      <c r="M544" s="108"/>
      <c r="N544" s="108" t="str">
        <v>H755H926</v>
      </c>
      <c r="O544" s="108">
        <f t="shared" si="10"/>
        <v>1</v>
      </c>
      <c r="P544" s="108"/>
      <c r="Q544"/>
    </row>
    <row r="545" spans="1:17" x14ac:dyDescent="0.25">
      <c r="A545" s="89" t="s">
        <v>5028</v>
      </c>
      <c r="B545" s="87" t="s">
        <v>5029</v>
      </c>
      <c r="C545" s="87" t="s">
        <v>10</v>
      </c>
      <c r="D545" s="87" t="str">
        <f>VLOOKUP(Tabela1[[#This Row],[Origem]], 'Perguntas 1 a 24'!$J$28:$K$34, 2, 0)</f>
        <v>Centro-Oeste</v>
      </c>
      <c r="E545" s="87" t="str">
        <f>Tabela1[[#This Row],[Descrição]]&amp;"-"&amp;Tabela1[[#This Row],[Código]]&amp;"/"&amp;Tabela1[[#This Row],[Origem]]</f>
        <v>Foricu-P522H927/GO</v>
      </c>
      <c r="F545" s="88">
        <v>45773</v>
      </c>
      <c r="G545" s="88" t="str" cm="1">
        <f t="array" ref="G5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AND(F545&gt;= DATE(2026,1,1), F545&lt;= DATE(2028, 12, 31), J545&gt;50000), "Pendente e Caro", AND(F545&gt;= DATE(2026,1,1), F545&lt;= DATE(2028, 12, 31), J545&lt;=50000), "Pendente", F545&gt;= DATE(2029,1,1), "Não prioeitário")</f>
        <v>Urgente e Caro</v>
      </c>
      <c r="H545" s="89">
        <f>YEAR(Tabela1[[#This Row],[Data de Validade]])</f>
        <v>2025</v>
      </c>
      <c r="I545" s="89">
        <f>MONTH(Tabela1[[#This Row],[Data de Validade]])</f>
        <v>4</v>
      </c>
      <c r="J545" s="101">
        <v>118100</v>
      </c>
      <c r="K545" s="87" t="s">
        <v>9</v>
      </c>
      <c r="L545" s="108"/>
      <c r="M545" s="108"/>
      <c r="N545" s="108" t="str">
        <v>P522H927</v>
      </c>
      <c r="O545" s="108">
        <f t="shared" si="10"/>
        <v>1</v>
      </c>
      <c r="P545" s="108"/>
      <c r="Q545"/>
    </row>
    <row r="546" spans="1:17" x14ac:dyDescent="0.25">
      <c r="A546" s="89" t="s">
        <v>8707</v>
      </c>
      <c r="B546" s="87" t="s">
        <v>8708</v>
      </c>
      <c r="C546" s="87" t="s">
        <v>16</v>
      </c>
      <c r="D546" s="87" t="str">
        <f>VLOOKUP(Tabela1[[#This Row],[Origem]], 'Perguntas 1 a 24'!$J$28:$K$34, 2, 0)</f>
        <v>Sudeste</v>
      </c>
      <c r="E546" s="87" t="str">
        <f>Tabela1[[#This Row],[Descrição]]&amp;"-"&amp;Tabela1[[#This Row],[Código]]&amp;"/"&amp;Tabela1[[#This Row],[Origem]]</f>
        <v>Tapara-P749H273/MG</v>
      </c>
      <c r="F546" s="88">
        <v>45777</v>
      </c>
      <c r="G546" s="88" t="str" cm="1">
        <f t="array" ref="G5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AND(F546&gt;= DATE(2026,1,1), F546&lt;= DATE(2028, 12, 31), J546&gt;50000), "Pendente e Caro", AND(F546&gt;= DATE(2026,1,1), F546&lt;= DATE(2028, 12, 31), J546&lt;=50000), "Pendente", F546&gt;= DATE(2029,1,1), "Não prioeitário")</f>
        <v>Urgente</v>
      </c>
      <c r="H546" s="89">
        <f>YEAR(Tabela1[[#This Row],[Data de Validade]])</f>
        <v>2025</v>
      </c>
      <c r="I546" s="89">
        <f>MONTH(Tabela1[[#This Row],[Data de Validade]])</f>
        <v>4</v>
      </c>
      <c r="J546" s="101">
        <v>21636</v>
      </c>
      <c r="K546" s="87" t="s">
        <v>7</v>
      </c>
      <c r="L546" s="108"/>
      <c r="M546" s="108"/>
      <c r="N546" s="108" t="str">
        <v>P749H273</v>
      </c>
      <c r="O546" s="108">
        <f t="shared" si="10"/>
        <v>1</v>
      </c>
      <c r="P546" s="108"/>
      <c r="Q546"/>
    </row>
    <row r="547" spans="1:17" x14ac:dyDescent="0.25">
      <c r="A547" s="89" t="s">
        <v>9429</v>
      </c>
      <c r="B547" s="87" t="s">
        <v>9430</v>
      </c>
      <c r="C547" s="87" t="s">
        <v>8</v>
      </c>
      <c r="D547" s="87" t="str">
        <f>VLOOKUP(Tabela1[[#This Row],[Origem]], 'Perguntas 1 a 24'!$J$28:$K$34, 2, 0)</f>
        <v>Nordeste</v>
      </c>
      <c r="E547" s="87" t="str">
        <f>Tabela1[[#This Row],[Descrição]]&amp;"-"&amp;Tabela1[[#This Row],[Código]]&amp;"/"&amp;Tabela1[[#This Row],[Origem]]</f>
        <v>Figerafavo-P254H386/AL</v>
      </c>
      <c r="F547" s="88">
        <v>45778</v>
      </c>
      <c r="G547" s="88" t="str" cm="1">
        <f t="array" ref="G5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AND(F547&gt;= DATE(2026,1,1), F547&lt;= DATE(2028, 12, 31), J547&gt;50000), "Pendente e Caro", AND(F547&gt;= DATE(2026,1,1), F547&lt;= DATE(2028, 12, 31), J547&lt;=50000), "Pendente", F547&gt;= DATE(2029,1,1), "Não prioeitário")</f>
        <v>Urgente e Caro</v>
      </c>
      <c r="H547" s="89">
        <f>YEAR(Tabela1[[#This Row],[Data de Validade]])</f>
        <v>2025</v>
      </c>
      <c r="I547" s="89">
        <f>MONTH(Tabela1[[#This Row],[Data de Validade]])</f>
        <v>5</v>
      </c>
      <c r="J547" s="101">
        <v>118431</v>
      </c>
      <c r="K547" s="87" t="s">
        <v>9</v>
      </c>
      <c r="L547" s="108"/>
      <c r="M547" s="108"/>
      <c r="N547" s="108" t="str">
        <v>P254H386</v>
      </c>
      <c r="O547" s="108">
        <f t="shared" si="10"/>
        <v>1</v>
      </c>
      <c r="P547" s="108"/>
      <c r="Q547"/>
    </row>
    <row r="548" spans="1:17" x14ac:dyDescent="0.25">
      <c r="A548" s="89" t="s">
        <v>10455</v>
      </c>
      <c r="B548" s="87" t="s">
        <v>10456</v>
      </c>
      <c r="C548" s="87" t="s">
        <v>16</v>
      </c>
      <c r="D548" s="87" t="str">
        <f>VLOOKUP(Tabela1[[#This Row],[Origem]], 'Perguntas 1 a 24'!$J$28:$K$34, 2, 0)</f>
        <v>Sudeste</v>
      </c>
      <c r="E548" s="87" t="str">
        <f>Tabela1[[#This Row],[Descrição]]&amp;"-"&amp;Tabela1[[#This Row],[Código]]&amp;"/"&amp;Tabela1[[#This Row],[Origem]]</f>
        <v>Pamali-P899P924/MG</v>
      </c>
      <c r="F548" s="88">
        <v>45778</v>
      </c>
      <c r="G548" s="88" t="str" cm="1">
        <f t="array" ref="G5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AND(F548&gt;= DATE(2026,1,1), F548&lt;= DATE(2028, 12, 31), J548&gt;50000), "Pendente e Caro", AND(F548&gt;= DATE(2026,1,1), F548&lt;= DATE(2028, 12, 31), J548&lt;=50000), "Pendente", F548&gt;= DATE(2029,1,1), "Não prioeitário")</f>
        <v>Urgente e Caro</v>
      </c>
      <c r="H548" s="89">
        <f>YEAR(Tabela1[[#This Row],[Data de Validade]])</f>
        <v>2025</v>
      </c>
      <c r="I548" s="89">
        <f>MONTH(Tabela1[[#This Row],[Data de Validade]])</f>
        <v>5</v>
      </c>
      <c r="J548" s="101">
        <v>107408</v>
      </c>
      <c r="K548" s="87" t="s">
        <v>7</v>
      </c>
      <c r="L548" s="108"/>
      <c r="M548" s="108"/>
      <c r="N548" s="108" t="str">
        <v>P899P924</v>
      </c>
      <c r="O548" s="108">
        <f t="shared" si="10"/>
        <v>1</v>
      </c>
      <c r="P548" s="108"/>
      <c r="Q548"/>
    </row>
    <row r="549" spans="1:17" x14ac:dyDescent="0.25">
      <c r="A549" s="89" t="s">
        <v>6268</v>
      </c>
      <c r="B549" s="87" t="s">
        <v>6269</v>
      </c>
      <c r="C549" s="87" t="s">
        <v>16</v>
      </c>
      <c r="D549" s="87" t="str">
        <f>VLOOKUP(Tabela1[[#This Row],[Origem]], 'Perguntas 1 a 24'!$J$28:$K$34, 2, 0)</f>
        <v>Sudeste</v>
      </c>
      <c r="E549" s="87" t="str">
        <f>Tabela1[[#This Row],[Descrição]]&amp;"-"&amp;Tabela1[[#This Row],[Código]]&amp;"/"&amp;Tabela1[[#This Row],[Origem]]</f>
        <v>Fumipoci-H967H299/MG</v>
      </c>
      <c r="F549" s="88">
        <v>45778</v>
      </c>
      <c r="G549" s="88" t="str" cm="1">
        <f t="array" ref="G5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AND(F549&gt;= DATE(2026,1,1), F549&lt;= DATE(2028, 12, 31), J549&gt;50000), "Pendente e Caro", AND(F549&gt;= DATE(2026,1,1), F549&lt;= DATE(2028, 12, 31), J549&lt;=50000), "Pendente", F549&gt;= DATE(2029,1,1), "Não prioeitário")</f>
        <v>Urgente e Caro</v>
      </c>
      <c r="H549" s="89">
        <f>YEAR(Tabela1[[#This Row],[Data de Validade]])</f>
        <v>2025</v>
      </c>
      <c r="I549" s="89">
        <f>MONTH(Tabela1[[#This Row],[Data de Validade]])</f>
        <v>5</v>
      </c>
      <c r="J549" s="101">
        <v>85537</v>
      </c>
      <c r="K549" s="87" t="s">
        <v>9</v>
      </c>
      <c r="L549" s="108"/>
      <c r="M549" s="108"/>
      <c r="N549" s="108" t="str">
        <v>H967H299</v>
      </c>
      <c r="O549" s="108">
        <f t="shared" si="10"/>
        <v>1</v>
      </c>
      <c r="P549" s="108"/>
      <c r="Q549"/>
    </row>
    <row r="550" spans="1:17" x14ac:dyDescent="0.25">
      <c r="A550" s="89" t="s">
        <v>9859</v>
      </c>
      <c r="B550" s="87" t="s">
        <v>9860</v>
      </c>
      <c r="C550" s="87" t="s">
        <v>13</v>
      </c>
      <c r="D550" s="87" t="str">
        <f>VLOOKUP(Tabela1[[#This Row],[Origem]], 'Perguntas 1 a 24'!$J$28:$K$34, 2, 0)</f>
        <v>Sudeste</v>
      </c>
      <c r="E550" s="87" t="str">
        <f>Tabela1[[#This Row],[Descrição]]&amp;"-"&amp;Tabela1[[#This Row],[Código]]&amp;"/"&amp;Tabela1[[#This Row],[Origem]]</f>
        <v>Pogoluno-H871H542/SP</v>
      </c>
      <c r="F550" s="88">
        <v>45779</v>
      </c>
      <c r="G550" s="88" t="str" cm="1">
        <f t="array" ref="G5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AND(F550&gt;= DATE(2026,1,1), F550&lt;= DATE(2028, 12, 31), J550&gt;50000), "Pendente e Caro", AND(F550&gt;= DATE(2026,1,1), F550&lt;= DATE(2028, 12, 31), J550&lt;=50000), "Pendente", F550&gt;= DATE(2029,1,1), "Não prioeitário")</f>
        <v>Urgente e Caro</v>
      </c>
      <c r="H550" s="89">
        <f>YEAR(Tabela1[[#This Row],[Data de Validade]])</f>
        <v>2025</v>
      </c>
      <c r="I550" s="89">
        <f>MONTH(Tabela1[[#This Row],[Data de Validade]])</f>
        <v>5</v>
      </c>
      <c r="J550" s="101">
        <v>117955</v>
      </c>
      <c r="K550" s="87" t="s">
        <v>9</v>
      </c>
      <c r="L550" s="108"/>
      <c r="M550" s="108"/>
      <c r="N550" s="108" t="str">
        <v>H871H542</v>
      </c>
      <c r="O550" s="108">
        <f t="shared" si="10"/>
        <v>1</v>
      </c>
      <c r="P550" s="108"/>
      <c r="Q550"/>
    </row>
    <row r="551" spans="1:17" x14ac:dyDescent="0.25">
      <c r="A551" s="89" t="s">
        <v>10996</v>
      </c>
      <c r="B551" s="87" t="s">
        <v>10997</v>
      </c>
      <c r="C551" s="87" t="s">
        <v>13</v>
      </c>
      <c r="D551" s="87" t="str">
        <f>VLOOKUP(Tabela1[[#This Row],[Origem]], 'Perguntas 1 a 24'!$J$28:$K$34, 2, 0)</f>
        <v>Sudeste</v>
      </c>
      <c r="E551" s="87" t="str">
        <f>Tabela1[[#This Row],[Descrição]]&amp;"-"&amp;Tabela1[[#This Row],[Código]]&amp;"/"&amp;Tabela1[[#This Row],[Origem]]</f>
        <v>Levipevepe-P715H811/SP</v>
      </c>
      <c r="F551" s="88">
        <v>45779</v>
      </c>
      <c r="G551" s="88" t="str" cm="1">
        <f t="array" ref="G5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AND(F551&gt;= DATE(2026,1,1), F551&lt;= DATE(2028, 12, 31), J551&gt;50000), "Pendente e Caro", AND(F551&gt;= DATE(2026,1,1), F551&lt;= DATE(2028, 12, 31), J551&lt;=50000), "Pendente", F551&gt;= DATE(2029,1,1), "Não prioeitário")</f>
        <v>Urgente e Caro</v>
      </c>
      <c r="H551" s="89">
        <f>YEAR(Tabela1[[#This Row],[Data de Validade]])</f>
        <v>2025</v>
      </c>
      <c r="I551" s="89">
        <f>MONTH(Tabela1[[#This Row],[Data de Validade]])</f>
        <v>5</v>
      </c>
      <c r="J551" s="101">
        <v>56221</v>
      </c>
      <c r="K551" s="87" t="s">
        <v>9</v>
      </c>
      <c r="L551" s="108"/>
      <c r="M551" s="108"/>
      <c r="N551" s="108" t="str">
        <v>P715H811</v>
      </c>
      <c r="O551" s="108">
        <f t="shared" si="10"/>
        <v>1</v>
      </c>
      <c r="P551" s="108"/>
      <c r="Q551"/>
    </row>
    <row r="552" spans="1:17" x14ac:dyDescent="0.25">
      <c r="A552" s="89" t="s">
        <v>6044</v>
      </c>
      <c r="B552" s="87" t="s">
        <v>6045</v>
      </c>
      <c r="C552" s="87" t="s">
        <v>15</v>
      </c>
      <c r="D552" s="87" t="str">
        <f>VLOOKUP(Tabela1[[#This Row],[Origem]], 'Perguntas 1 a 24'!$J$28:$K$34, 2, 0)</f>
        <v>Sudeste</v>
      </c>
      <c r="E552" s="87" t="str">
        <f>Tabela1[[#This Row],[Descrição]]&amp;"-"&amp;Tabela1[[#This Row],[Código]]&amp;"/"&amp;Tabela1[[#This Row],[Origem]]</f>
        <v>Vivoli-P763H461/ES</v>
      </c>
      <c r="F552" s="88">
        <v>45781</v>
      </c>
      <c r="G552" s="88" t="str" cm="1">
        <f t="array" ref="G5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AND(F552&gt;= DATE(2026,1,1), F552&lt;= DATE(2028, 12, 31), J552&gt;50000), "Pendente e Caro", AND(F552&gt;= DATE(2026,1,1), F552&lt;= DATE(2028, 12, 31), J552&lt;=50000), "Pendente", F552&gt;= DATE(2029,1,1), "Não prioeitário")</f>
        <v>Urgente</v>
      </c>
      <c r="H552" s="89">
        <f>YEAR(Tabela1[[#This Row],[Data de Validade]])</f>
        <v>2025</v>
      </c>
      <c r="I552" s="89">
        <f>MONTH(Tabela1[[#This Row],[Data de Validade]])</f>
        <v>5</v>
      </c>
      <c r="J552" s="101">
        <v>25339</v>
      </c>
      <c r="K552" s="87" t="s">
        <v>7</v>
      </c>
      <c r="L552" s="108"/>
      <c r="M552" s="108"/>
      <c r="N552" s="108" t="str">
        <v>P763H461</v>
      </c>
      <c r="O552" s="108">
        <f t="shared" si="10"/>
        <v>1</v>
      </c>
      <c r="P552" s="108"/>
      <c r="Q552"/>
    </row>
    <row r="553" spans="1:17" x14ac:dyDescent="0.25">
      <c r="A553" s="89" t="s">
        <v>4066</v>
      </c>
      <c r="B553" s="87" t="s">
        <v>4067</v>
      </c>
      <c r="C553" s="87" t="s">
        <v>16</v>
      </c>
      <c r="D553" s="87" t="str">
        <f>VLOOKUP(Tabela1[[#This Row],[Origem]], 'Perguntas 1 a 24'!$J$28:$K$34, 2, 0)</f>
        <v>Sudeste</v>
      </c>
      <c r="E553" s="87" t="str">
        <f>Tabela1[[#This Row],[Descrição]]&amp;"-"&amp;Tabela1[[#This Row],[Código]]&amp;"/"&amp;Tabela1[[#This Row],[Origem]]</f>
        <v>Mapano-H868H947/MG</v>
      </c>
      <c r="F553" s="88">
        <v>45782</v>
      </c>
      <c r="G553" s="88" t="str" cm="1">
        <f t="array" ref="G5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AND(F553&gt;= DATE(2026,1,1), F553&lt;= DATE(2028, 12, 31), J553&gt;50000), "Pendente e Caro", AND(F553&gt;= DATE(2026,1,1), F553&lt;= DATE(2028, 12, 31), J553&lt;=50000), "Pendente", F553&gt;= DATE(2029,1,1), "Não prioeitário")</f>
        <v>Urgente e Caro</v>
      </c>
      <c r="H553" s="89">
        <f>YEAR(Tabela1[[#This Row],[Data de Validade]])</f>
        <v>2025</v>
      </c>
      <c r="I553" s="89">
        <f>MONTH(Tabela1[[#This Row],[Data de Validade]])</f>
        <v>5</v>
      </c>
      <c r="J553" s="101">
        <v>116745</v>
      </c>
      <c r="K553" s="87" t="s">
        <v>14</v>
      </c>
      <c r="L553" s="108"/>
      <c r="M553" s="108"/>
      <c r="N553" s="108" t="str">
        <v>H868H947</v>
      </c>
      <c r="O553" s="108">
        <f t="shared" si="10"/>
        <v>1</v>
      </c>
      <c r="P553" s="108"/>
      <c r="Q553"/>
    </row>
    <row r="554" spans="1:17" x14ac:dyDescent="0.25">
      <c r="A554" s="89" t="s">
        <v>6084</v>
      </c>
      <c r="B554" s="87" t="s">
        <v>6085</v>
      </c>
      <c r="C554" s="87" t="s">
        <v>13</v>
      </c>
      <c r="D554" s="87" t="str">
        <f>VLOOKUP(Tabela1[[#This Row],[Origem]], 'Perguntas 1 a 24'!$J$28:$K$34, 2, 0)</f>
        <v>Sudeste</v>
      </c>
      <c r="E554" s="87" t="str">
        <f>Tabela1[[#This Row],[Descrição]]&amp;"-"&amp;Tabela1[[#This Row],[Código]]&amp;"/"&amp;Tabela1[[#This Row],[Origem]]</f>
        <v>Feruto-P292H228/SP</v>
      </c>
      <c r="F554" s="88">
        <v>45782</v>
      </c>
      <c r="G554" s="88" t="str" cm="1">
        <f t="array" ref="G5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AND(F554&gt;= DATE(2026,1,1), F554&lt;= DATE(2028, 12, 31), J554&gt;50000), "Pendente e Caro", AND(F554&gt;= DATE(2026,1,1), F554&lt;= DATE(2028, 12, 31), J554&lt;=50000), "Pendente", F554&gt;= DATE(2029,1,1), "Não prioeitário")</f>
        <v>Urgente e Caro</v>
      </c>
      <c r="H554" s="89">
        <f>YEAR(Tabela1[[#This Row],[Data de Validade]])</f>
        <v>2025</v>
      </c>
      <c r="I554" s="89">
        <f>MONTH(Tabela1[[#This Row],[Data de Validade]])</f>
        <v>5</v>
      </c>
      <c r="J554" s="101">
        <v>75316</v>
      </c>
      <c r="K554" s="87" t="s">
        <v>9</v>
      </c>
      <c r="L554" s="108"/>
      <c r="M554" s="108"/>
      <c r="N554" s="108" t="str">
        <v>P292H228</v>
      </c>
      <c r="O554" s="108">
        <f t="shared" si="10"/>
        <v>1</v>
      </c>
      <c r="P554" s="108"/>
      <c r="Q554"/>
    </row>
    <row r="555" spans="1:17" x14ac:dyDescent="0.25">
      <c r="A555" s="89" t="s">
        <v>7920</v>
      </c>
      <c r="B555" s="87" t="s">
        <v>7921</v>
      </c>
      <c r="C555" s="87" t="s">
        <v>10</v>
      </c>
      <c r="D555" s="87" t="str">
        <f>VLOOKUP(Tabela1[[#This Row],[Origem]], 'Perguntas 1 a 24'!$J$28:$K$34, 2, 0)</f>
        <v>Centro-Oeste</v>
      </c>
      <c r="E555" s="87" t="str">
        <f>Tabela1[[#This Row],[Descrição]]&amp;"-"&amp;Tabela1[[#This Row],[Código]]&amp;"/"&amp;Tabela1[[#This Row],[Origem]]</f>
        <v>Rurine-P378H963/GO</v>
      </c>
      <c r="F555" s="88">
        <v>45782</v>
      </c>
      <c r="G555" s="88" t="str" cm="1">
        <f t="array" ref="G5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AND(F555&gt;= DATE(2026,1,1), F555&lt;= DATE(2028, 12, 31), J555&gt;50000), "Pendente e Caro", AND(F555&gt;= DATE(2026,1,1), F555&lt;= DATE(2028, 12, 31), J555&lt;=50000), "Pendente", F555&gt;= DATE(2029,1,1), "Não prioeitário")</f>
        <v>Urgente e Caro</v>
      </c>
      <c r="H555" s="89">
        <f>YEAR(Tabela1[[#This Row],[Data de Validade]])</f>
        <v>2025</v>
      </c>
      <c r="I555" s="89">
        <f>MONTH(Tabela1[[#This Row],[Data de Validade]])</f>
        <v>5</v>
      </c>
      <c r="J555" s="101">
        <v>73391</v>
      </c>
      <c r="K555" s="87" t="s">
        <v>11</v>
      </c>
      <c r="L555" s="108"/>
      <c r="M555" s="108"/>
      <c r="N555" s="108" t="str">
        <v>P378H963</v>
      </c>
      <c r="O555" s="108">
        <f t="shared" si="10"/>
        <v>1</v>
      </c>
      <c r="P555" s="108"/>
      <c r="Q555"/>
    </row>
    <row r="556" spans="1:17" x14ac:dyDescent="0.25">
      <c r="A556" s="89" t="s">
        <v>5970</v>
      </c>
      <c r="B556" s="87" t="s">
        <v>5971</v>
      </c>
      <c r="C556" s="87" t="s">
        <v>16</v>
      </c>
      <c r="D556" s="87" t="str">
        <f>VLOOKUP(Tabela1[[#This Row],[Origem]], 'Perguntas 1 a 24'!$J$28:$K$34, 2, 0)</f>
        <v>Sudeste</v>
      </c>
      <c r="E556" s="87" t="str">
        <f>Tabela1[[#This Row],[Descrição]]&amp;"-"&amp;Tabela1[[#This Row],[Código]]&amp;"/"&amp;Tabela1[[#This Row],[Origem]]</f>
        <v>Devavegate-P332P478/MG</v>
      </c>
      <c r="F556" s="88">
        <v>45783</v>
      </c>
      <c r="G556" s="88" t="str" cm="1">
        <f t="array" ref="G5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AND(F556&gt;= DATE(2026,1,1), F556&lt;= DATE(2028, 12, 31), J556&gt;50000), "Pendente e Caro", AND(F556&gt;= DATE(2026,1,1), F556&lt;= DATE(2028, 12, 31), J556&lt;=50000), "Pendente", F556&gt;= DATE(2029,1,1), "Não prioeitário")</f>
        <v>Urgente e Caro</v>
      </c>
      <c r="H556" s="89">
        <f>YEAR(Tabela1[[#This Row],[Data de Validade]])</f>
        <v>2025</v>
      </c>
      <c r="I556" s="89">
        <f>MONTH(Tabela1[[#This Row],[Data de Validade]])</f>
        <v>5</v>
      </c>
      <c r="J556" s="101">
        <v>87330</v>
      </c>
      <c r="K556" s="87" t="s">
        <v>7</v>
      </c>
      <c r="L556" s="108"/>
      <c r="M556" s="108"/>
      <c r="N556" s="108" t="str">
        <v>P332P478</v>
      </c>
      <c r="O556" s="108">
        <f t="shared" si="10"/>
        <v>1</v>
      </c>
      <c r="P556" s="108"/>
      <c r="Q556"/>
    </row>
    <row r="557" spans="1:17" x14ac:dyDescent="0.25">
      <c r="A557" s="89" t="s">
        <v>10703</v>
      </c>
      <c r="B557" s="87" t="s">
        <v>10704</v>
      </c>
      <c r="C557" s="87" t="s">
        <v>12</v>
      </c>
      <c r="D557" s="87" t="str">
        <f>VLOOKUP(Tabela1[[#This Row],[Origem]], 'Perguntas 1 a 24'!$J$28:$K$34, 2, 0)</f>
        <v>Sudeste</v>
      </c>
      <c r="E557" s="87" t="str">
        <f>Tabela1[[#This Row],[Descrição]]&amp;"-"&amp;Tabela1[[#This Row],[Código]]&amp;"/"&amp;Tabela1[[#This Row],[Origem]]</f>
        <v>Putetociru-P434H748/RJ</v>
      </c>
      <c r="F557" s="88">
        <v>45784</v>
      </c>
      <c r="G557" s="88" t="str" cm="1">
        <f t="array" ref="G5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AND(F557&gt;= DATE(2026,1,1), F557&lt;= DATE(2028, 12, 31), J557&gt;50000), "Pendente e Caro", AND(F557&gt;= DATE(2026,1,1), F557&lt;= DATE(2028, 12, 31), J557&lt;=50000), "Pendente", F557&gt;= DATE(2029,1,1), "Não prioeitário")</f>
        <v>Urgente e Caro</v>
      </c>
      <c r="H557" s="89">
        <f>YEAR(Tabela1[[#This Row],[Data de Validade]])</f>
        <v>2025</v>
      </c>
      <c r="I557" s="89">
        <f>MONTH(Tabela1[[#This Row],[Data de Validade]])</f>
        <v>5</v>
      </c>
      <c r="J557" s="101">
        <v>70649</v>
      </c>
      <c r="K557" s="87" t="s">
        <v>7</v>
      </c>
      <c r="L557" s="108"/>
      <c r="M557" s="108"/>
      <c r="N557" s="108" t="str">
        <v>P434H748</v>
      </c>
      <c r="O557" s="108">
        <f t="shared" si="10"/>
        <v>1</v>
      </c>
      <c r="P557" s="108"/>
      <c r="Q557"/>
    </row>
    <row r="558" spans="1:17" x14ac:dyDescent="0.25">
      <c r="A558" s="89" t="s">
        <v>9551</v>
      </c>
      <c r="B558" s="87" t="s">
        <v>9552</v>
      </c>
      <c r="C558" s="87" t="s">
        <v>6</v>
      </c>
      <c r="D558" s="87" t="str">
        <f>VLOOKUP(Tabela1[[#This Row],[Origem]], 'Perguntas 1 a 24'!$J$28:$K$34, 2, 0)</f>
        <v>Nordeste</v>
      </c>
      <c r="E558" s="87" t="str">
        <f>Tabela1[[#This Row],[Descrição]]&amp;"-"&amp;Tabela1[[#This Row],[Código]]&amp;"/"&amp;Tabela1[[#This Row],[Origem]]</f>
        <v>Novidipe-P431P483/MA</v>
      </c>
      <c r="F558" s="88">
        <v>45786</v>
      </c>
      <c r="G558" s="88" t="str" cm="1">
        <f t="array" ref="G5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AND(F558&gt;= DATE(2026,1,1), F558&lt;= DATE(2028, 12, 31), J558&gt;50000), "Pendente e Caro", AND(F558&gt;= DATE(2026,1,1), F558&lt;= DATE(2028, 12, 31), J558&lt;=50000), "Pendente", F558&gt;= DATE(2029,1,1), "Não prioeitário")</f>
        <v>Urgente e Caro</v>
      </c>
      <c r="H558" s="89">
        <f>YEAR(Tabela1[[#This Row],[Data de Validade]])</f>
        <v>2025</v>
      </c>
      <c r="I558" s="89">
        <f>MONTH(Tabela1[[#This Row],[Data de Validade]])</f>
        <v>5</v>
      </c>
      <c r="J558" s="101">
        <v>98592</v>
      </c>
      <c r="K558" s="87" t="s">
        <v>7</v>
      </c>
      <c r="L558" s="108"/>
      <c r="M558" s="108"/>
      <c r="N558" s="108" t="str">
        <v>P431P483</v>
      </c>
      <c r="O558" s="108">
        <f t="shared" si="10"/>
        <v>1</v>
      </c>
      <c r="P558" s="108"/>
      <c r="Q558"/>
    </row>
    <row r="559" spans="1:17" x14ac:dyDescent="0.25">
      <c r="A559" s="89" t="s">
        <v>4160</v>
      </c>
      <c r="B559" s="87" t="s">
        <v>4161</v>
      </c>
      <c r="C559" s="87" t="s">
        <v>12</v>
      </c>
      <c r="D559" s="87" t="str">
        <f>VLOOKUP(Tabela1[[#This Row],[Origem]], 'Perguntas 1 a 24'!$J$28:$K$34, 2, 0)</f>
        <v>Sudeste</v>
      </c>
      <c r="E559" s="87" t="str">
        <f>Tabela1[[#This Row],[Descrição]]&amp;"-"&amp;Tabela1[[#This Row],[Código]]&amp;"/"&amp;Tabela1[[#This Row],[Origem]]</f>
        <v>Potice-H576H859/RJ</v>
      </c>
      <c r="F559" s="88">
        <v>45786</v>
      </c>
      <c r="G559" s="88" t="str" cm="1">
        <f t="array" ref="G5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AND(F559&gt;= DATE(2026,1,1), F559&lt;= DATE(2028, 12, 31), J559&gt;50000), "Pendente e Caro", AND(F559&gt;= DATE(2026,1,1), F559&lt;= DATE(2028, 12, 31), J559&lt;=50000), "Pendente", F559&gt;= DATE(2029,1,1), "Não prioeitário")</f>
        <v>Urgente e Caro</v>
      </c>
      <c r="H559" s="89">
        <f>YEAR(Tabela1[[#This Row],[Data de Validade]])</f>
        <v>2025</v>
      </c>
      <c r="I559" s="89">
        <f>MONTH(Tabela1[[#This Row],[Data de Validade]])</f>
        <v>5</v>
      </c>
      <c r="J559" s="101">
        <v>85173</v>
      </c>
      <c r="K559" s="87" t="s">
        <v>11</v>
      </c>
      <c r="L559" s="108"/>
      <c r="M559" s="108"/>
      <c r="N559" s="108" t="str">
        <v>H576H859</v>
      </c>
      <c r="O559" s="108">
        <f t="shared" si="10"/>
        <v>1</v>
      </c>
      <c r="P559" s="108"/>
      <c r="Q559"/>
    </row>
    <row r="560" spans="1:17" x14ac:dyDescent="0.25">
      <c r="A560" s="89" t="s">
        <v>9423</v>
      </c>
      <c r="B560" s="87" t="s">
        <v>9424</v>
      </c>
      <c r="C560" s="87" t="s">
        <v>10</v>
      </c>
      <c r="D560" s="87" t="str">
        <f>VLOOKUP(Tabela1[[#This Row],[Origem]], 'Perguntas 1 a 24'!$J$28:$K$34, 2, 0)</f>
        <v>Centro-Oeste</v>
      </c>
      <c r="E560" s="87" t="str">
        <f>Tabela1[[#This Row],[Descrição]]&amp;"-"&amp;Tabela1[[#This Row],[Código]]&amp;"/"&amp;Tabela1[[#This Row],[Origem]]</f>
        <v>Nefucerita-H411H658/GO</v>
      </c>
      <c r="F560" s="88">
        <v>45786</v>
      </c>
      <c r="G560" s="88" t="str" cm="1">
        <f t="array" ref="G5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AND(F560&gt;= DATE(2026,1,1), F560&lt;= DATE(2028, 12, 31), J560&gt;50000), "Pendente e Caro", AND(F560&gt;= DATE(2026,1,1), F560&lt;= DATE(2028, 12, 31), J560&lt;=50000), "Pendente", F560&gt;= DATE(2029,1,1), "Não prioeitário")</f>
        <v>Urgente e Caro</v>
      </c>
      <c r="H560" s="89">
        <f>YEAR(Tabela1[[#This Row],[Data de Validade]])</f>
        <v>2025</v>
      </c>
      <c r="I560" s="89">
        <f>MONTH(Tabela1[[#This Row],[Data de Validade]])</f>
        <v>5</v>
      </c>
      <c r="J560" s="101">
        <v>67302</v>
      </c>
      <c r="K560" s="87" t="s">
        <v>7</v>
      </c>
      <c r="L560" s="108"/>
      <c r="M560" s="108"/>
      <c r="N560" s="108" t="str">
        <v>H411H658</v>
      </c>
      <c r="O560" s="108">
        <f t="shared" si="10"/>
        <v>1</v>
      </c>
      <c r="P560" s="108"/>
      <c r="Q560"/>
    </row>
    <row r="561" spans="1:17" x14ac:dyDescent="0.25">
      <c r="A561" s="89" t="s">
        <v>10785</v>
      </c>
      <c r="B561" s="87" t="s">
        <v>10786</v>
      </c>
      <c r="C561" s="87" t="s">
        <v>12</v>
      </c>
      <c r="D561" s="87" t="str">
        <f>VLOOKUP(Tabela1[[#This Row],[Origem]], 'Perguntas 1 a 24'!$J$28:$K$34, 2, 0)</f>
        <v>Sudeste</v>
      </c>
      <c r="E561" s="87" t="str">
        <f>Tabela1[[#This Row],[Descrição]]&amp;"-"&amp;Tabela1[[#This Row],[Código]]&amp;"/"&amp;Tabela1[[#This Row],[Origem]]</f>
        <v>Tarapavo-H898H659/RJ</v>
      </c>
      <c r="F561" s="88">
        <v>45787</v>
      </c>
      <c r="G561" s="88" t="str" cm="1">
        <f t="array" ref="G5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AND(F561&gt;= DATE(2026,1,1), F561&lt;= DATE(2028, 12, 31), J561&gt;50000), "Pendente e Caro", AND(F561&gt;= DATE(2026,1,1), F561&lt;= DATE(2028, 12, 31), J561&lt;=50000), "Pendente", F561&gt;= DATE(2029,1,1), "Não prioeitário")</f>
        <v>Urgente e Caro</v>
      </c>
      <c r="H561" s="89">
        <f>YEAR(Tabela1[[#This Row],[Data de Validade]])</f>
        <v>2025</v>
      </c>
      <c r="I561" s="89">
        <f>MONTH(Tabela1[[#This Row],[Data de Validade]])</f>
        <v>5</v>
      </c>
      <c r="J561" s="101">
        <v>95745</v>
      </c>
      <c r="K561" s="87" t="s">
        <v>14</v>
      </c>
      <c r="L561" s="108"/>
      <c r="M561" s="108"/>
      <c r="N561" s="108" t="str">
        <v>H898H659</v>
      </c>
      <c r="O561" s="108">
        <f t="shared" si="10"/>
        <v>1</v>
      </c>
      <c r="P561" s="108"/>
      <c r="Q561"/>
    </row>
    <row r="562" spans="1:17" x14ac:dyDescent="0.25">
      <c r="A562" s="89" t="s">
        <v>10615</v>
      </c>
      <c r="B562" s="87" t="s">
        <v>10616</v>
      </c>
      <c r="C562" s="87" t="s">
        <v>6</v>
      </c>
      <c r="D562" s="87" t="str">
        <f>VLOOKUP(Tabela1[[#This Row],[Origem]], 'Perguntas 1 a 24'!$J$28:$K$34, 2, 0)</f>
        <v>Nordeste</v>
      </c>
      <c r="E562" s="87" t="str">
        <f>Tabela1[[#This Row],[Descrição]]&amp;"-"&amp;Tabela1[[#This Row],[Código]]&amp;"/"&amp;Tabela1[[#This Row],[Origem]]</f>
        <v>Tecani-H864H391/MA</v>
      </c>
      <c r="F562" s="88">
        <v>45787</v>
      </c>
      <c r="G562" s="88" t="str" cm="1">
        <f t="array" ref="G5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AND(F562&gt;= DATE(2026,1,1), F562&lt;= DATE(2028, 12, 31), J562&gt;50000), "Pendente e Caro", AND(F562&gt;= DATE(2026,1,1), F562&lt;= DATE(2028, 12, 31), J562&lt;=50000), "Pendente", F562&gt;= DATE(2029,1,1), "Não prioeitário")</f>
        <v>Urgente e Caro</v>
      </c>
      <c r="H562" s="89">
        <f>YEAR(Tabela1[[#This Row],[Data de Validade]])</f>
        <v>2025</v>
      </c>
      <c r="I562" s="89">
        <f>MONTH(Tabela1[[#This Row],[Data de Validade]])</f>
        <v>5</v>
      </c>
      <c r="J562" s="101">
        <v>50560</v>
      </c>
      <c r="K562" s="87" t="s">
        <v>7</v>
      </c>
      <c r="L562" s="108"/>
      <c r="M562" s="108"/>
      <c r="N562" s="108" t="str">
        <v>H864H391</v>
      </c>
      <c r="O562" s="108">
        <f t="shared" si="10"/>
        <v>1</v>
      </c>
      <c r="P562" s="108"/>
      <c r="Q562"/>
    </row>
    <row r="563" spans="1:17" x14ac:dyDescent="0.25">
      <c r="A563" s="89" t="s">
        <v>7910</v>
      </c>
      <c r="B563" s="87" t="s">
        <v>7911</v>
      </c>
      <c r="C563" s="87" t="s">
        <v>13</v>
      </c>
      <c r="D563" s="87" t="str">
        <f>VLOOKUP(Tabela1[[#This Row],[Origem]], 'Perguntas 1 a 24'!$J$28:$K$34, 2, 0)</f>
        <v>Sudeste</v>
      </c>
      <c r="E563" s="87" t="str">
        <f>Tabela1[[#This Row],[Descrição]]&amp;"-"&amp;Tabela1[[#This Row],[Código]]&amp;"/"&amp;Tabela1[[#This Row],[Origem]]</f>
        <v>Rutapodu-H866P379/SP</v>
      </c>
      <c r="F563" s="88">
        <v>45788</v>
      </c>
      <c r="G563" s="88" t="str" cm="1">
        <f t="array" ref="G5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AND(F563&gt;= DATE(2026,1,1), F563&lt;= DATE(2028, 12, 31), J563&gt;50000), "Pendente e Caro", AND(F563&gt;= DATE(2026,1,1), F563&lt;= DATE(2028, 12, 31), J563&lt;=50000), "Pendente", F563&gt;= DATE(2029,1,1), "Não prioeitário")</f>
        <v>Urgente e Caro</v>
      </c>
      <c r="H563" s="89">
        <f>YEAR(Tabela1[[#This Row],[Data de Validade]])</f>
        <v>2025</v>
      </c>
      <c r="I563" s="89">
        <f>MONTH(Tabela1[[#This Row],[Data de Validade]])</f>
        <v>5</v>
      </c>
      <c r="J563" s="101">
        <v>69198</v>
      </c>
      <c r="K563" s="87" t="s">
        <v>7</v>
      </c>
      <c r="L563" s="108"/>
      <c r="M563" s="108"/>
      <c r="N563" s="108" t="str">
        <v>H866P379</v>
      </c>
      <c r="O563" s="108">
        <f t="shared" si="10"/>
        <v>1</v>
      </c>
      <c r="P563" s="108"/>
      <c r="Q563"/>
    </row>
    <row r="564" spans="1:17" x14ac:dyDescent="0.25">
      <c r="A564" s="89" t="s">
        <v>9289</v>
      </c>
      <c r="B564" s="87" t="s">
        <v>9290</v>
      </c>
      <c r="C564" s="87" t="s">
        <v>13</v>
      </c>
      <c r="D564" s="87" t="str">
        <f>VLOOKUP(Tabela1[[#This Row],[Origem]], 'Perguntas 1 a 24'!$J$28:$K$34, 2, 0)</f>
        <v>Sudeste</v>
      </c>
      <c r="E564" s="87" t="str">
        <f>Tabela1[[#This Row],[Descrição]]&amp;"-"&amp;Tabela1[[#This Row],[Código]]&amp;"/"&amp;Tabela1[[#This Row],[Origem]]</f>
        <v>Tepovuvifo-H673P524/SP</v>
      </c>
      <c r="F564" s="88">
        <v>45788</v>
      </c>
      <c r="G564" s="88" t="str" cm="1">
        <f t="array" ref="G5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AND(F564&gt;= DATE(2026,1,1), F564&lt;= DATE(2028, 12, 31), J564&gt;50000), "Pendente e Caro", AND(F564&gt;= DATE(2026,1,1), F564&lt;= DATE(2028, 12, 31), J564&lt;=50000), "Pendente", F564&gt;= DATE(2029,1,1), "Não prioeitário")</f>
        <v>Urgente</v>
      </c>
      <c r="H564" s="89">
        <f>YEAR(Tabela1[[#This Row],[Data de Validade]])</f>
        <v>2025</v>
      </c>
      <c r="I564" s="89">
        <f>MONTH(Tabela1[[#This Row],[Data de Validade]])</f>
        <v>5</v>
      </c>
      <c r="J564" s="101">
        <v>30237</v>
      </c>
      <c r="K564" s="87" t="s">
        <v>11</v>
      </c>
      <c r="L564" s="108"/>
      <c r="M564" s="108"/>
      <c r="N564" s="108" t="str">
        <v>H673P524</v>
      </c>
      <c r="O564" s="108">
        <f t="shared" si="10"/>
        <v>1</v>
      </c>
      <c r="P564" s="108"/>
      <c r="Q564"/>
    </row>
    <row r="565" spans="1:17" x14ac:dyDescent="0.25">
      <c r="A565" s="89" t="s">
        <v>9097</v>
      </c>
      <c r="B565" s="87" t="s">
        <v>9098</v>
      </c>
      <c r="C565" s="87" t="s">
        <v>15</v>
      </c>
      <c r="D565" s="87" t="str">
        <f>VLOOKUP(Tabela1[[#This Row],[Origem]], 'Perguntas 1 a 24'!$J$28:$K$34, 2, 0)</f>
        <v>Sudeste</v>
      </c>
      <c r="E565" s="87" t="str">
        <f>Tabela1[[#This Row],[Descrição]]&amp;"-"&amp;Tabela1[[#This Row],[Código]]&amp;"/"&amp;Tabela1[[#This Row],[Origem]]</f>
        <v>Pupopire-P711P642/ES</v>
      </c>
      <c r="F565" s="88">
        <v>45789</v>
      </c>
      <c r="G565" s="88" t="str" cm="1">
        <f t="array" ref="G5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AND(F565&gt;= DATE(2026,1,1), F565&lt;= DATE(2028, 12, 31), J565&gt;50000), "Pendente e Caro", AND(F565&gt;= DATE(2026,1,1), F565&lt;= DATE(2028, 12, 31), J565&lt;=50000), "Pendente", F565&gt;= DATE(2029,1,1), "Não prioeitário")</f>
        <v>Urgente e Caro</v>
      </c>
      <c r="H565" s="89">
        <f>YEAR(Tabela1[[#This Row],[Data de Validade]])</f>
        <v>2025</v>
      </c>
      <c r="I565" s="89">
        <f>MONTH(Tabela1[[#This Row],[Data de Validade]])</f>
        <v>5</v>
      </c>
      <c r="J565" s="101">
        <v>108839</v>
      </c>
      <c r="K565" s="87" t="s">
        <v>11</v>
      </c>
      <c r="L565" s="108"/>
      <c r="M565" s="108"/>
      <c r="N565" s="108" t="str">
        <v>P711P642</v>
      </c>
      <c r="O565" s="108">
        <f t="shared" si="10"/>
        <v>1</v>
      </c>
      <c r="P565" s="108"/>
      <c r="Q565"/>
    </row>
    <row r="566" spans="1:17" x14ac:dyDescent="0.25">
      <c r="A566" s="89" t="s">
        <v>6172</v>
      </c>
      <c r="B566" s="87" t="s">
        <v>6173</v>
      </c>
      <c r="C566" s="87" t="s">
        <v>15</v>
      </c>
      <c r="D566" s="87" t="str">
        <f>VLOOKUP(Tabela1[[#This Row],[Origem]], 'Perguntas 1 a 24'!$J$28:$K$34, 2, 0)</f>
        <v>Sudeste</v>
      </c>
      <c r="E566" s="87" t="str">
        <f>Tabela1[[#This Row],[Descrição]]&amp;"-"&amp;Tabela1[[#This Row],[Código]]&amp;"/"&amp;Tabela1[[#This Row],[Origem]]</f>
        <v>Papava-P291P499/ES</v>
      </c>
      <c r="F566" s="88">
        <v>45789</v>
      </c>
      <c r="G566" s="88" t="str" cm="1">
        <f t="array" ref="G5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AND(F566&gt;= DATE(2026,1,1), F566&lt;= DATE(2028, 12, 31), J566&gt;50000), "Pendente e Caro", AND(F566&gt;= DATE(2026,1,1), F566&lt;= DATE(2028, 12, 31), J566&lt;=50000), "Pendente", F566&gt;= DATE(2029,1,1), "Não prioeitário")</f>
        <v>Urgente</v>
      </c>
      <c r="H566" s="89">
        <f>YEAR(Tabela1[[#This Row],[Data de Validade]])</f>
        <v>2025</v>
      </c>
      <c r="I566" s="89">
        <f>MONTH(Tabela1[[#This Row],[Data de Validade]])</f>
        <v>5</v>
      </c>
      <c r="J566" s="101">
        <v>43191</v>
      </c>
      <c r="K566" s="87" t="s">
        <v>11</v>
      </c>
      <c r="L566" s="108"/>
      <c r="M566" s="108"/>
      <c r="N566" s="108" t="str">
        <v>P291P499</v>
      </c>
      <c r="O566" s="108">
        <f t="shared" si="10"/>
        <v>1</v>
      </c>
      <c r="P566" s="108"/>
      <c r="Q566"/>
    </row>
    <row r="567" spans="1:17" x14ac:dyDescent="0.25">
      <c r="A567" s="89" t="s">
        <v>8819</v>
      </c>
      <c r="B567" s="87" t="s">
        <v>8820</v>
      </c>
      <c r="C567" s="87" t="s">
        <v>15</v>
      </c>
      <c r="D567" s="87" t="str">
        <f>VLOOKUP(Tabela1[[#This Row],[Origem]], 'Perguntas 1 a 24'!$J$28:$K$34, 2, 0)</f>
        <v>Sudeste</v>
      </c>
      <c r="E567" s="87" t="str">
        <f>Tabela1[[#This Row],[Descrição]]&amp;"-"&amp;Tabela1[[#This Row],[Código]]&amp;"/"&amp;Tabela1[[#This Row],[Origem]]</f>
        <v>Gomuludo-H127P492/ES</v>
      </c>
      <c r="F567" s="88">
        <v>45789</v>
      </c>
      <c r="G567" s="88" t="str" cm="1">
        <f t="array" ref="G5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AND(F567&gt;= DATE(2026,1,1), F567&lt;= DATE(2028, 12, 31), J567&gt;50000), "Pendente e Caro", AND(F567&gt;= DATE(2026,1,1), F567&lt;= DATE(2028, 12, 31), J567&lt;=50000), "Pendente", F567&gt;= DATE(2029,1,1), "Não prioeitário")</f>
        <v>Urgente</v>
      </c>
      <c r="H567" s="89">
        <f>YEAR(Tabela1[[#This Row],[Data de Validade]])</f>
        <v>2025</v>
      </c>
      <c r="I567" s="89">
        <f>MONTH(Tabela1[[#This Row],[Data de Validade]])</f>
        <v>5</v>
      </c>
      <c r="J567" s="101">
        <v>26933</v>
      </c>
      <c r="K567" s="87" t="s">
        <v>11</v>
      </c>
      <c r="L567" s="108"/>
      <c r="M567" s="108"/>
      <c r="N567" s="108" t="str">
        <v>H127P492</v>
      </c>
      <c r="O567" s="108">
        <f t="shared" si="10"/>
        <v>1</v>
      </c>
      <c r="P567" s="108"/>
      <c r="Q567"/>
    </row>
    <row r="568" spans="1:17" x14ac:dyDescent="0.25">
      <c r="A568" s="89" t="s">
        <v>3728</v>
      </c>
      <c r="B568" s="87" t="s">
        <v>3729</v>
      </c>
      <c r="C568" s="87" t="s">
        <v>16</v>
      </c>
      <c r="D568" s="87" t="str">
        <f>VLOOKUP(Tabela1[[#This Row],[Origem]], 'Perguntas 1 a 24'!$J$28:$K$34, 2, 0)</f>
        <v>Sudeste</v>
      </c>
      <c r="E568" s="87" t="str">
        <f>Tabela1[[#This Row],[Descrição]]&amp;"-"&amp;Tabela1[[#This Row],[Código]]&amp;"/"&amp;Tabela1[[#This Row],[Origem]]</f>
        <v>Femute-H374P277/MG</v>
      </c>
      <c r="F568" s="88">
        <v>45790</v>
      </c>
      <c r="G568" s="88" t="str" cm="1">
        <f t="array" ref="G5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AND(F568&gt;= DATE(2026,1,1), F568&lt;= DATE(2028, 12, 31), J568&gt;50000), "Pendente e Caro", AND(F568&gt;= DATE(2026,1,1), F568&lt;= DATE(2028, 12, 31), J568&lt;=50000), "Pendente", F568&gt;= DATE(2029,1,1), "Não prioeitário")</f>
        <v>Urgente e Caro</v>
      </c>
      <c r="H568" s="89">
        <f>YEAR(Tabela1[[#This Row],[Data de Validade]])</f>
        <v>2025</v>
      </c>
      <c r="I568" s="89">
        <f>MONTH(Tabela1[[#This Row],[Data de Validade]])</f>
        <v>5</v>
      </c>
      <c r="J568" s="101">
        <v>78834</v>
      </c>
      <c r="K568" s="87" t="s">
        <v>7</v>
      </c>
      <c r="L568" s="108"/>
      <c r="M568" s="108"/>
      <c r="N568" s="108" t="str">
        <v>H374P277</v>
      </c>
      <c r="O568" s="108">
        <f t="shared" si="10"/>
        <v>1</v>
      </c>
      <c r="P568" s="108"/>
      <c r="Q568"/>
    </row>
    <row r="569" spans="1:17" x14ac:dyDescent="0.25">
      <c r="A569" s="89" t="s">
        <v>5358</v>
      </c>
      <c r="B569" s="87" t="s">
        <v>5359</v>
      </c>
      <c r="C569" s="87" t="s">
        <v>12</v>
      </c>
      <c r="D569" s="87" t="str">
        <f>VLOOKUP(Tabela1[[#This Row],[Origem]], 'Perguntas 1 a 24'!$J$28:$K$34, 2, 0)</f>
        <v>Sudeste</v>
      </c>
      <c r="E569" s="87" t="str">
        <f>Tabela1[[#This Row],[Descrição]]&amp;"-"&amp;Tabela1[[#This Row],[Código]]&amp;"/"&amp;Tabela1[[#This Row],[Origem]]</f>
        <v>Lapoveco-H133H434/RJ</v>
      </c>
      <c r="F569" s="88">
        <v>45790</v>
      </c>
      <c r="G569" s="88" t="str" cm="1">
        <f t="array" ref="G5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AND(F569&gt;= DATE(2026,1,1), F569&lt;= DATE(2028, 12, 31), J569&gt;50000), "Pendente e Caro", AND(F569&gt;= DATE(2026,1,1), F569&lt;= DATE(2028, 12, 31), J569&lt;=50000), "Pendente", F569&gt;= DATE(2029,1,1), "Não prioeitário")</f>
        <v>Urgente e Caro</v>
      </c>
      <c r="H569" s="89">
        <f>YEAR(Tabela1[[#This Row],[Data de Validade]])</f>
        <v>2025</v>
      </c>
      <c r="I569" s="89">
        <f>MONTH(Tabela1[[#This Row],[Data de Validade]])</f>
        <v>5</v>
      </c>
      <c r="J569" s="101">
        <v>62308</v>
      </c>
      <c r="K569" s="87" t="s">
        <v>11</v>
      </c>
      <c r="L569" s="108"/>
      <c r="M569" s="108"/>
      <c r="N569" s="108" t="str">
        <v>H133H434</v>
      </c>
      <c r="O569" s="108">
        <f t="shared" si="10"/>
        <v>1</v>
      </c>
      <c r="P569" s="108"/>
      <c r="Q569"/>
    </row>
    <row r="570" spans="1:17" x14ac:dyDescent="0.25">
      <c r="A570" s="89" t="s">
        <v>9937</v>
      </c>
      <c r="B570" s="87" t="s">
        <v>9938</v>
      </c>
      <c r="C570" s="87" t="s">
        <v>10</v>
      </c>
      <c r="D570" s="87" t="str">
        <f>VLOOKUP(Tabela1[[#This Row],[Origem]], 'Perguntas 1 a 24'!$J$28:$K$34, 2, 0)</f>
        <v>Centro-Oeste</v>
      </c>
      <c r="E570" s="87" t="str">
        <f>Tabela1[[#This Row],[Descrição]]&amp;"-"&amp;Tabela1[[#This Row],[Código]]&amp;"/"&amp;Tabela1[[#This Row],[Origem]]</f>
        <v>Tolupi-P876P794/GO</v>
      </c>
      <c r="F570" s="88">
        <v>45790</v>
      </c>
      <c r="G570" s="88" t="str" cm="1">
        <f t="array" ref="G5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AND(F570&gt;= DATE(2026,1,1), F570&lt;= DATE(2028, 12, 31), J570&gt;50000), "Pendente e Caro", AND(F570&gt;= DATE(2026,1,1), F570&lt;= DATE(2028, 12, 31), J570&lt;=50000), "Pendente", F570&gt;= DATE(2029,1,1), "Não prioeitário")</f>
        <v>Urgente e Caro</v>
      </c>
      <c r="H570" s="89">
        <f>YEAR(Tabela1[[#This Row],[Data de Validade]])</f>
        <v>2025</v>
      </c>
      <c r="I570" s="89">
        <f>MONTH(Tabela1[[#This Row],[Data de Validade]])</f>
        <v>5</v>
      </c>
      <c r="J570" s="101">
        <v>60393</v>
      </c>
      <c r="K570" s="87" t="s">
        <v>14</v>
      </c>
      <c r="L570" s="108"/>
      <c r="M570" s="108"/>
      <c r="N570" s="108" t="str">
        <v>P876P794</v>
      </c>
      <c r="O570" s="108">
        <f t="shared" si="10"/>
        <v>1</v>
      </c>
      <c r="P570" s="108"/>
      <c r="Q570"/>
    </row>
    <row r="571" spans="1:17" x14ac:dyDescent="0.25">
      <c r="A571" s="89" t="s">
        <v>11228</v>
      </c>
      <c r="B571" s="87" t="s">
        <v>11229</v>
      </c>
      <c r="C571" s="87" t="s">
        <v>16</v>
      </c>
      <c r="D571" s="87" t="str">
        <f>VLOOKUP(Tabela1[[#This Row],[Origem]], 'Perguntas 1 a 24'!$J$28:$K$34, 2, 0)</f>
        <v>Sudeste</v>
      </c>
      <c r="E571" s="87" t="str">
        <f>Tabela1[[#This Row],[Descrição]]&amp;"-"&amp;Tabela1[[#This Row],[Código]]&amp;"/"&amp;Tabela1[[#This Row],[Origem]]</f>
        <v>Linepopare-H726H337/MG</v>
      </c>
      <c r="F571" s="88">
        <v>45791</v>
      </c>
      <c r="G571" s="88" t="str" cm="1">
        <f t="array" ref="G5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AND(F571&gt;= DATE(2026,1,1), F571&lt;= DATE(2028, 12, 31), J571&gt;50000), "Pendente e Caro", AND(F571&gt;= DATE(2026,1,1), F571&lt;= DATE(2028, 12, 31), J571&lt;=50000), "Pendente", F571&gt;= DATE(2029,1,1), "Não prioeitário")</f>
        <v>Urgente e Caro</v>
      </c>
      <c r="H571" s="89">
        <f>YEAR(Tabela1[[#This Row],[Data de Validade]])</f>
        <v>2025</v>
      </c>
      <c r="I571" s="89">
        <f>MONTH(Tabela1[[#This Row],[Data de Validade]])</f>
        <v>5</v>
      </c>
      <c r="J571" s="101">
        <v>59367</v>
      </c>
      <c r="K571" s="87" t="s">
        <v>14</v>
      </c>
      <c r="L571" s="108"/>
      <c r="M571" s="108"/>
      <c r="N571" s="108" t="str">
        <v>H726H337</v>
      </c>
      <c r="O571" s="108">
        <f t="shared" si="10"/>
        <v>1</v>
      </c>
      <c r="P571" s="108"/>
      <c r="Q571"/>
    </row>
    <row r="572" spans="1:17" x14ac:dyDescent="0.25">
      <c r="A572" s="89" t="s">
        <v>4156</v>
      </c>
      <c r="B572" s="87" t="s">
        <v>4157</v>
      </c>
      <c r="C572" s="87" t="s">
        <v>13</v>
      </c>
      <c r="D572" s="87" t="str">
        <f>VLOOKUP(Tabela1[[#This Row],[Origem]], 'Perguntas 1 a 24'!$J$28:$K$34, 2, 0)</f>
        <v>Sudeste</v>
      </c>
      <c r="E572" s="87" t="str">
        <f>Tabela1[[#This Row],[Descrição]]&amp;"-"&amp;Tabela1[[#This Row],[Código]]&amp;"/"&amp;Tabela1[[#This Row],[Origem]]</f>
        <v>Puravu-H353P489/SP</v>
      </c>
      <c r="F572" s="88">
        <v>45792</v>
      </c>
      <c r="G572" s="88" t="str" cm="1">
        <f t="array" ref="G5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AND(F572&gt;= DATE(2026,1,1), F572&lt;= DATE(2028, 12, 31), J572&gt;50000), "Pendente e Caro", AND(F572&gt;= DATE(2026,1,1), F572&lt;= DATE(2028, 12, 31), J572&lt;=50000), "Pendente", F572&gt;= DATE(2029,1,1), "Não prioeitário")</f>
        <v>Urgente e Caro</v>
      </c>
      <c r="H572" s="89">
        <f>YEAR(Tabela1[[#This Row],[Data de Validade]])</f>
        <v>2025</v>
      </c>
      <c r="I572" s="89">
        <f>MONTH(Tabela1[[#This Row],[Data de Validade]])</f>
        <v>5</v>
      </c>
      <c r="J572" s="101">
        <v>108614</v>
      </c>
      <c r="K572" s="87" t="s">
        <v>7</v>
      </c>
      <c r="L572" s="108"/>
      <c r="M572" s="108"/>
      <c r="N572" s="108" t="str">
        <v>H353P489</v>
      </c>
      <c r="O572" s="108">
        <f t="shared" si="10"/>
        <v>1</v>
      </c>
      <c r="P572" s="108"/>
      <c r="Q572"/>
    </row>
    <row r="573" spans="1:17" x14ac:dyDescent="0.25">
      <c r="A573" s="89" t="s">
        <v>8991</v>
      </c>
      <c r="B573" s="87" t="s">
        <v>8992</v>
      </c>
      <c r="C573" s="87" t="s">
        <v>10</v>
      </c>
      <c r="D573" s="87" t="str">
        <f>VLOOKUP(Tabela1[[#This Row],[Origem]], 'Perguntas 1 a 24'!$J$28:$K$34, 2, 0)</f>
        <v>Centro-Oeste</v>
      </c>
      <c r="E573" s="87" t="str">
        <f>Tabela1[[#This Row],[Descrição]]&amp;"-"&amp;Tabela1[[#This Row],[Código]]&amp;"/"&amp;Tabela1[[#This Row],[Origem]]</f>
        <v>Tegalavore-P478H629/GO</v>
      </c>
      <c r="F573" s="88">
        <v>45793</v>
      </c>
      <c r="G573" s="88" t="str" cm="1">
        <f t="array" ref="G5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AND(F573&gt;= DATE(2026,1,1), F573&lt;= DATE(2028, 12, 31), J573&gt;50000), "Pendente e Caro", AND(F573&gt;= DATE(2026,1,1), F573&lt;= DATE(2028, 12, 31), J573&lt;=50000), "Pendente", F573&gt;= DATE(2029,1,1), "Não prioeitário")</f>
        <v>Urgente e Caro</v>
      </c>
      <c r="H573" s="89">
        <f>YEAR(Tabela1[[#This Row],[Data de Validade]])</f>
        <v>2025</v>
      </c>
      <c r="I573" s="89">
        <f>MONTH(Tabela1[[#This Row],[Data de Validade]])</f>
        <v>5</v>
      </c>
      <c r="J573" s="101">
        <v>98645</v>
      </c>
      <c r="K573" s="87" t="s">
        <v>11</v>
      </c>
      <c r="L573" s="108"/>
      <c r="M573" s="108"/>
      <c r="N573" s="108" t="str">
        <v>P478H629</v>
      </c>
      <c r="O573" s="108">
        <f t="shared" si="10"/>
        <v>1</v>
      </c>
      <c r="P573" s="108"/>
      <c r="Q573"/>
    </row>
    <row r="574" spans="1:17" x14ac:dyDescent="0.25">
      <c r="A574" s="89" t="s">
        <v>7860</v>
      </c>
      <c r="B574" s="87" t="s">
        <v>7861</v>
      </c>
      <c r="C574" s="87" t="s">
        <v>10</v>
      </c>
      <c r="D574" s="87" t="str">
        <f>VLOOKUP(Tabela1[[#This Row],[Origem]], 'Perguntas 1 a 24'!$J$28:$K$34, 2, 0)</f>
        <v>Centro-Oeste</v>
      </c>
      <c r="E574" s="87" t="str">
        <f>Tabela1[[#This Row],[Descrição]]&amp;"-"&amp;Tabela1[[#This Row],[Código]]&amp;"/"&amp;Tabela1[[#This Row],[Origem]]</f>
        <v>Titopipu-H173H186/GO</v>
      </c>
      <c r="F574" s="88">
        <v>45793</v>
      </c>
      <c r="G574" s="88" t="str" cm="1">
        <f t="array" ref="G5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AND(F574&gt;= DATE(2026,1,1), F574&lt;= DATE(2028, 12, 31), J574&gt;50000), "Pendente e Caro", AND(F574&gt;= DATE(2026,1,1), F574&lt;= DATE(2028, 12, 31), J574&lt;=50000), "Pendente", F574&gt;= DATE(2029,1,1), "Não prioeitário")</f>
        <v>Urgente e Caro</v>
      </c>
      <c r="H574" s="89">
        <f>YEAR(Tabela1[[#This Row],[Data de Validade]])</f>
        <v>2025</v>
      </c>
      <c r="I574" s="89">
        <f>MONTH(Tabela1[[#This Row],[Data de Validade]])</f>
        <v>5</v>
      </c>
      <c r="J574" s="101">
        <v>65669</v>
      </c>
      <c r="K574" s="87" t="s">
        <v>11</v>
      </c>
      <c r="L574" s="108"/>
      <c r="M574" s="108"/>
      <c r="N574" s="108" t="str">
        <v>H173H186</v>
      </c>
      <c r="O574" s="108">
        <f t="shared" si="10"/>
        <v>1</v>
      </c>
      <c r="P574" s="108"/>
      <c r="Q574"/>
    </row>
    <row r="575" spans="1:17" x14ac:dyDescent="0.25">
      <c r="A575" s="89" t="s">
        <v>8200</v>
      </c>
      <c r="B575" s="87" t="s">
        <v>8201</v>
      </c>
      <c r="C575" s="87" t="s">
        <v>10</v>
      </c>
      <c r="D575" s="87" t="str">
        <f>VLOOKUP(Tabela1[[#This Row],[Origem]], 'Perguntas 1 a 24'!$J$28:$K$34, 2, 0)</f>
        <v>Centro-Oeste</v>
      </c>
      <c r="E575" s="87" t="str">
        <f>Tabela1[[#This Row],[Descrição]]&amp;"-"&amp;Tabela1[[#This Row],[Código]]&amp;"/"&amp;Tabela1[[#This Row],[Origem]]</f>
        <v>Guteda-P511P453/GO</v>
      </c>
      <c r="F575" s="88">
        <v>45793</v>
      </c>
      <c r="G575" s="88" t="str" cm="1">
        <f t="array" ref="G5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AND(F575&gt;= DATE(2026,1,1), F575&lt;= DATE(2028, 12, 31), J575&gt;50000), "Pendente e Caro", AND(F575&gt;= DATE(2026,1,1), F575&lt;= DATE(2028, 12, 31), J575&lt;=50000), "Pendente", F575&gt;= DATE(2029,1,1), "Não prioeitário")</f>
        <v>Urgente e Caro</v>
      </c>
      <c r="H575" s="89">
        <f>YEAR(Tabela1[[#This Row],[Data de Validade]])</f>
        <v>2025</v>
      </c>
      <c r="I575" s="89">
        <f>MONTH(Tabela1[[#This Row],[Data de Validade]])</f>
        <v>5</v>
      </c>
      <c r="J575" s="101">
        <v>57587</v>
      </c>
      <c r="K575" s="87" t="s">
        <v>9</v>
      </c>
      <c r="L575" s="108"/>
      <c r="M575" s="108"/>
      <c r="N575" s="108" t="str">
        <v>P511P453</v>
      </c>
      <c r="O575" s="108">
        <f t="shared" si="10"/>
        <v>1</v>
      </c>
      <c r="P575" s="108"/>
      <c r="Q575"/>
    </row>
    <row r="576" spans="1:17" x14ac:dyDescent="0.25">
      <c r="A576" s="89" t="s">
        <v>4970</v>
      </c>
      <c r="B576" s="87" t="s">
        <v>4971</v>
      </c>
      <c r="C576" s="87" t="s">
        <v>12</v>
      </c>
      <c r="D576" s="87" t="str">
        <f>VLOOKUP(Tabela1[[#This Row],[Origem]], 'Perguntas 1 a 24'!$J$28:$K$34, 2, 0)</f>
        <v>Sudeste</v>
      </c>
      <c r="E576" s="87" t="str">
        <f>Tabela1[[#This Row],[Descrição]]&amp;"-"&amp;Tabela1[[#This Row],[Código]]&amp;"/"&amp;Tabela1[[#This Row],[Origem]]</f>
        <v>Purigevuco-P112H962/RJ</v>
      </c>
      <c r="F576" s="88">
        <v>45794</v>
      </c>
      <c r="G576" s="88" t="str" cm="1">
        <f t="array" ref="G5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AND(F576&gt;= DATE(2026,1,1), F576&lt;= DATE(2028, 12, 31), J576&gt;50000), "Pendente e Caro", AND(F576&gt;= DATE(2026,1,1), F576&lt;= DATE(2028, 12, 31), J576&lt;=50000), "Pendente", F576&gt;= DATE(2029,1,1), "Não prioeitário")</f>
        <v>Urgente e Caro</v>
      </c>
      <c r="H576" s="89">
        <f>YEAR(Tabela1[[#This Row],[Data de Validade]])</f>
        <v>2025</v>
      </c>
      <c r="I576" s="89">
        <f>MONTH(Tabela1[[#This Row],[Data de Validade]])</f>
        <v>5</v>
      </c>
      <c r="J576" s="101">
        <v>81183</v>
      </c>
      <c r="K576" s="87" t="s">
        <v>7</v>
      </c>
      <c r="L576" s="108"/>
      <c r="M576" s="108"/>
      <c r="N576" s="108" t="str">
        <v>P112H962</v>
      </c>
      <c r="O576" s="108">
        <f t="shared" si="10"/>
        <v>1</v>
      </c>
      <c r="P576" s="108"/>
      <c r="Q576"/>
    </row>
    <row r="577" spans="1:17" x14ac:dyDescent="0.25">
      <c r="A577" s="89" t="s">
        <v>7030</v>
      </c>
      <c r="B577" s="87" t="s">
        <v>7031</v>
      </c>
      <c r="C577" s="87" t="s">
        <v>10</v>
      </c>
      <c r="D577" s="87" t="str">
        <f>VLOOKUP(Tabela1[[#This Row],[Origem]], 'Perguntas 1 a 24'!$J$28:$K$34, 2, 0)</f>
        <v>Centro-Oeste</v>
      </c>
      <c r="E577" s="87" t="str">
        <f>Tabela1[[#This Row],[Descrição]]&amp;"-"&amp;Tabela1[[#This Row],[Código]]&amp;"/"&amp;Tabela1[[#This Row],[Origem]]</f>
        <v>Pipuluto-H174P241/GO</v>
      </c>
      <c r="F577" s="88">
        <v>45795</v>
      </c>
      <c r="G577" s="88" t="str" cm="1">
        <f t="array" ref="G5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AND(F577&gt;= DATE(2026,1,1), F577&lt;= DATE(2028, 12, 31), J577&gt;50000), "Pendente e Caro", AND(F577&gt;= DATE(2026,1,1), F577&lt;= DATE(2028, 12, 31), J577&lt;=50000), "Pendente", F577&gt;= DATE(2029,1,1), "Não prioeitário")</f>
        <v>Urgente e Caro</v>
      </c>
      <c r="H577" s="89">
        <f>YEAR(Tabela1[[#This Row],[Data de Validade]])</f>
        <v>2025</v>
      </c>
      <c r="I577" s="89">
        <f>MONTH(Tabela1[[#This Row],[Data de Validade]])</f>
        <v>5</v>
      </c>
      <c r="J577" s="101">
        <v>107855</v>
      </c>
      <c r="K577" s="87" t="s">
        <v>14</v>
      </c>
      <c r="L577" s="108"/>
      <c r="M577" s="108"/>
      <c r="N577" s="108" t="str">
        <v>H174P241</v>
      </c>
      <c r="O577" s="108">
        <f t="shared" si="10"/>
        <v>1</v>
      </c>
      <c r="P577" s="108"/>
      <c r="Q577"/>
    </row>
    <row r="578" spans="1:17" x14ac:dyDescent="0.25">
      <c r="A578" s="89" t="s">
        <v>7122</v>
      </c>
      <c r="B578" s="87" t="s">
        <v>7123</v>
      </c>
      <c r="C578" s="87" t="s">
        <v>15</v>
      </c>
      <c r="D578" s="87" t="str">
        <f>VLOOKUP(Tabela1[[#This Row],[Origem]], 'Perguntas 1 a 24'!$J$28:$K$34, 2, 0)</f>
        <v>Sudeste</v>
      </c>
      <c r="E578" s="87" t="str">
        <f>Tabela1[[#This Row],[Descrição]]&amp;"-"&amp;Tabela1[[#This Row],[Código]]&amp;"/"&amp;Tabela1[[#This Row],[Origem]]</f>
        <v>Vipipovora-P841H636/ES</v>
      </c>
      <c r="F578" s="88">
        <v>45795</v>
      </c>
      <c r="G578" s="88" t="str" cm="1">
        <f t="array" ref="G5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AND(F578&gt;= DATE(2026,1,1), F578&lt;= DATE(2028, 12, 31), J578&gt;50000), "Pendente e Caro", AND(F578&gt;= DATE(2026,1,1), F578&lt;= DATE(2028, 12, 31), J578&lt;=50000), "Pendente", F578&gt;= DATE(2029,1,1), "Não prioeitário")</f>
        <v>Urgente e Caro</v>
      </c>
      <c r="H578" s="89">
        <f>YEAR(Tabela1[[#This Row],[Data de Validade]])</f>
        <v>2025</v>
      </c>
      <c r="I578" s="89">
        <f>MONTH(Tabela1[[#This Row],[Data de Validade]])</f>
        <v>5</v>
      </c>
      <c r="J578" s="101">
        <v>100444</v>
      </c>
      <c r="K578" s="87" t="s">
        <v>9</v>
      </c>
      <c r="L578" s="108"/>
      <c r="M578" s="108"/>
      <c r="N578" s="108" t="str">
        <v>P841H636</v>
      </c>
      <c r="O578" s="108">
        <f t="shared" si="10"/>
        <v>1</v>
      </c>
      <c r="P578" s="108"/>
      <c r="Q578"/>
    </row>
    <row r="579" spans="1:17" x14ac:dyDescent="0.25">
      <c r="A579" s="89" t="s">
        <v>5822</v>
      </c>
      <c r="B579" s="87" t="s">
        <v>5823</v>
      </c>
      <c r="C579" s="87" t="s">
        <v>16</v>
      </c>
      <c r="D579" s="87" t="str">
        <f>VLOOKUP(Tabela1[[#This Row],[Origem]], 'Perguntas 1 a 24'!$J$28:$K$34, 2, 0)</f>
        <v>Sudeste</v>
      </c>
      <c r="E579" s="87" t="str">
        <f>Tabela1[[#This Row],[Descrição]]&amp;"-"&amp;Tabela1[[#This Row],[Código]]&amp;"/"&amp;Tabela1[[#This Row],[Origem]]</f>
        <v>Rufivemo-P483P528/MG</v>
      </c>
      <c r="F579" s="88">
        <v>45795</v>
      </c>
      <c r="G579" s="88" t="str" cm="1">
        <f t="array" ref="G5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AND(F579&gt;= DATE(2026,1,1), F579&lt;= DATE(2028, 12, 31), J579&gt;50000), "Pendente e Caro", AND(F579&gt;= DATE(2026,1,1), F579&lt;= DATE(2028, 12, 31), J579&lt;=50000), "Pendente", F579&gt;= DATE(2029,1,1), "Não prioeitário")</f>
        <v>Urgente e Caro</v>
      </c>
      <c r="H579" s="89">
        <f>YEAR(Tabela1[[#This Row],[Data de Validade]])</f>
        <v>2025</v>
      </c>
      <c r="I579" s="89">
        <f>MONTH(Tabela1[[#This Row],[Data de Validade]])</f>
        <v>5</v>
      </c>
      <c r="J579" s="101">
        <v>87064</v>
      </c>
      <c r="K579" s="87" t="s">
        <v>9</v>
      </c>
      <c r="L579" s="108"/>
      <c r="M579" s="108"/>
      <c r="N579" s="108" t="str">
        <v>P483P528</v>
      </c>
      <c r="O579" s="108">
        <f t="shared" ref="O579:O642" si="11">COUNTIFS(B:B,N579)</f>
        <v>1</v>
      </c>
      <c r="P579" s="108"/>
      <c r="Q579"/>
    </row>
    <row r="580" spans="1:17" x14ac:dyDescent="0.25">
      <c r="A580" s="89" t="s">
        <v>5316</v>
      </c>
      <c r="B580" s="87" t="s">
        <v>5317</v>
      </c>
      <c r="C580" s="87" t="s">
        <v>15</v>
      </c>
      <c r="D580" s="87" t="str">
        <f>VLOOKUP(Tabela1[[#This Row],[Origem]], 'Perguntas 1 a 24'!$J$28:$K$34, 2, 0)</f>
        <v>Sudeste</v>
      </c>
      <c r="E580" s="87" t="str">
        <f>Tabela1[[#This Row],[Descrição]]&amp;"-"&amp;Tabela1[[#This Row],[Código]]&amp;"/"&amp;Tabela1[[#This Row],[Origem]]</f>
        <v>Tanepa-P232P432/ES</v>
      </c>
      <c r="F580" s="88">
        <v>45795</v>
      </c>
      <c r="G580" s="88" t="str" cm="1">
        <f t="array" ref="G5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AND(F580&gt;= DATE(2026,1,1), F580&lt;= DATE(2028, 12, 31), J580&gt;50000), "Pendente e Caro", AND(F580&gt;= DATE(2026,1,1), F580&lt;= DATE(2028, 12, 31), J580&lt;=50000), "Pendente", F580&gt;= DATE(2029,1,1), "Não prioeitário")</f>
        <v>Urgente e Caro</v>
      </c>
      <c r="H580" s="89">
        <f>YEAR(Tabela1[[#This Row],[Data de Validade]])</f>
        <v>2025</v>
      </c>
      <c r="I580" s="89">
        <f>MONTH(Tabela1[[#This Row],[Data de Validade]])</f>
        <v>5</v>
      </c>
      <c r="J580" s="101">
        <v>68664</v>
      </c>
      <c r="K580" s="87" t="s">
        <v>9</v>
      </c>
      <c r="L580" s="108"/>
      <c r="M580" s="108"/>
      <c r="N580" s="108" t="str">
        <v>P232P432</v>
      </c>
      <c r="O580" s="108">
        <f t="shared" si="11"/>
        <v>1</v>
      </c>
      <c r="P580" s="108"/>
      <c r="Q580"/>
    </row>
    <row r="581" spans="1:17" x14ac:dyDescent="0.25">
      <c r="A581" s="89" t="s">
        <v>7318</v>
      </c>
      <c r="B581" s="87" t="s">
        <v>7319</v>
      </c>
      <c r="C581" s="87" t="s">
        <v>8</v>
      </c>
      <c r="D581" s="87" t="str">
        <f>VLOOKUP(Tabela1[[#This Row],[Origem]], 'Perguntas 1 a 24'!$J$28:$K$34, 2, 0)</f>
        <v>Nordeste</v>
      </c>
      <c r="E581" s="87" t="str">
        <f>Tabela1[[#This Row],[Descrição]]&amp;"-"&amp;Tabela1[[#This Row],[Código]]&amp;"/"&amp;Tabela1[[#This Row],[Origem]]</f>
        <v>Turunevafu-H335H469/AL</v>
      </c>
      <c r="F581" s="88">
        <v>45795</v>
      </c>
      <c r="G581" s="88" t="str" cm="1">
        <f t="array" ref="G5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AND(F581&gt;= DATE(2026,1,1), F581&lt;= DATE(2028, 12, 31), J581&gt;50000), "Pendente e Caro", AND(F581&gt;= DATE(2026,1,1), F581&lt;= DATE(2028, 12, 31), J581&lt;=50000), "Pendente", F581&gt;= DATE(2029,1,1), "Não prioeitário")</f>
        <v>Urgente e Caro</v>
      </c>
      <c r="H581" s="89">
        <f>YEAR(Tabela1[[#This Row],[Data de Validade]])</f>
        <v>2025</v>
      </c>
      <c r="I581" s="89">
        <f>MONTH(Tabela1[[#This Row],[Data de Validade]])</f>
        <v>5</v>
      </c>
      <c r="J581" s="101">
        <v>54728</v>
      </c>
      <c r="K581" s="87" t="s">
        <v>9</v>
      </c>
      <c r="L581" s="108"/>
      <c r="M581" s="108"/>
      <c r="N581" s="108" t="str">
        <v>H335H469</v>
      </c>
      <c r="O581" s="108">
        <f t="shared" si="11"/>
        <v>1</v>
      </c>
      <c r="P581" s="108"/>
      <c r="Q581"/>
    </row>
    <row r="582" spans="1:17" x14ac:dyDescent="0.25">
      <c r="A582" s="89" t="s">
        <v>4716</v>
      </c>
      <c r="B582" s="87" t="s">
        <v>4717</v>
      </c>
      <c r="C582" s="87" t="s">
        <v>13</v>
      </c>
      <c r="D582" s="87" t="str">
        <f>VLOOKUP(Tabela1[[#This Row],[Origem]], 'Perguntas 1 a 24'!$J$28:$K$34, 2, 0)</f>
        <v>Sudeste</v>
      </c>
      <c r="E582" s="87" t="str">
        <f>Tabela1[[#This Row],[Descrição]]&amp;"-"&amp;Tabela1[[#This Row],[Código]]&amp;"/"&amp;Tabela1[[#This Row],[Origem]]</f>
        <v>Cefipe-H125H499/SP</v>
      </c>
      <c r="F582" s="88">
        <v>45796</v>
      </c>
      <c r="G582" s="88" t="str" cm="1">
        <f t="array" ref="G5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AND(F582&gt;= DATE(2026,1,1), F582&lt;= DATE(2028, 12, 31), J582&gt;50000), "Pendente e Caro", AND(F582&gt;= DATE(2026,1,1), F582&lt;= DATE(2028, 12, 31), J582&lt;=50000), "Pendente", F582&gt;= DATE(2029,1,1), "Não prioeitário")</f>
        <v>Urgente e Caro</v>
      </c>
      <c r="H582" s="89">
        <f>YEAR(Tabela1[[#This Row],[Data de Validade]])</f>
        <v>2025</v>
      </c>
      <c r="I582" s="89">
        <f>MONTH(Tabela1[[#This Row],[Data de Validade]])</f>
        <v>5</v>
      </c>
      <c r="J582" s="101">
        <v>69919</v>
      </c>
      <c r="K582" s="87" t="s">
        <v>7</v>
      </c>
      <c r="L582" s="108"/>
      <c r="M582" s="108"/>
      <c r="N582" s="108" t="str">
        <v>H125H499</v>
      </c>
      <c r="O582" s="108">
        <f t="shared" si="11"/>
        <v>1</v>
      </c>
      <c r="P582" s="108"/>
      <c r="Q582"/>
    </row>
    <row r="583" spans="1:17" x14ac:dyDescent="0.25">
      <c r="A583" s="89" t="s">
        <v>8014</v>
      </c>
      <c r="B583" s="87" t="s">
        <v>8015</v>
      </c>
      <c r="C583" s="87" t="s">
        <v>6</v>
      </c>
      <c r="D583" s="87" t="str">
        <f>VLOOKUP(Tabela1[[#This Row],[Origem]], 'Perguntas 1 a 24'!$J$28:$K$34, 2, 0)</f>
        <v>Nordeste</v>
      </c>
      <c r="E583" s="87" t="str">
        <f>Tabela1[[#This Row],[Descrição]]&amp;"-"&amp;Tabela1[[#This Row],[Código]]&amp;"/"&amp;Tabela1[[#This Row],[Origem]]</f>
        <v>Fapudulipi-H327H766/MA</v>
      </c>
      <c r="F583" s="88">
        <v>45796</v>
      </c>
      <c r="G583" s="88" t="str" cm="1">
        <f t="array" ref="G5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AND(F583&gt;= DATE(2026,1,1), F583&lt;= DATE(2028, 12, 31), J583&gt;50000), "Pendente e Caro", AND(F583&gt;= DATE(2026,1,1), F583&lt;= DATE(2028, 12, 31), J583&lt;=50000), "Pendente", F583&gt;= DATE(2029,1,1), "Não prioeitário")</f>
        <v>Urgente e Caro</v>
      </c>
      <c r="H583" s="89">
        <f>YEAR(Tabela1[[#This Row],[Data de Validade]])</f>
        <v>2025</v>
      </c>
      <c r="I583" s="89">
        <f>MONTH(Tabela1[[#This Row],[Data de Validade]])</f>
        <v>5</v>
      </c>
      <c r="J583" s="101">
        <v>63812</v>
      </c>
      <c r="K583" s="87" t="s">
        <v>14</v>
      </c>
      <c r="L583" s="108"/>
      <c r="M583" s="108"/>
      <c r="N583" s="108" t="str">
        <v>H327H766</v>
      </c>
      <c r="O583" s="108">
        <f t="shared" si="11"/>
        <v>1</v>
      </c>
      <c r="P583" s="108"/>
      <c r="Q583"/>
    </row>
    <row r="584" spans="1:17" x14ac:dyDescent="0.25">
      <c r="A584" s="89" t="s">
        <v>4930</v>
      </c>
      <c r="B584" s="87" t="s">
        <v>4931</v>
      </c>
      <c r="C584" s="87" t="s">
        <v>16</v>
      </c>
      <c r="D584" s="87" t="str">
        <f>VLOOKUP(Tabela1[[#This Row],[Origem]], 'Perguntas 1 a 24'!$J$28:$K$34, 2, 0)</f>
        <v>Sudeste</v>
      </c>
      <c r="E584" s="87" t="str">
        <f>Tabela1[[#This Row],[Descrição]]&amp;"-"&amp;Tabela1[[#This Row],[Código]]&amp;"/"&amp;Tabela1[[#This Row],[Origem]]</f>
        <v>Tuleci-H361P761/MG</v>
      </c>
      <c r="F584" s="88">
        <v>45796</v>
      </c>
      <c r="G584" s="88" t="str" cm="1">
        <f t="array" ref="G5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AND(F584&gt;= DATE(2026,1,1), F584&lt;= DATE(2028, 12, 31), J584&gt;50000), "Pendente e Caro", AND(F584&gt;= DATE(2026,1,1), F584&lt;= DATE(2028, 12, 31), J584&lt;=50000), "Pendente", F584&gt;= DATE(2029,1,1), "Não prioeitário")</f>
        <v>Urgente</v>
      </c>
      <c r="H584" s="89">
        <f>YEAR(Tabela1[[#This Row],[Data de Validade]])</f>
        <v>2025</v>
      </c>
      <c r="I584" s="89">
        <f>MONTH(Tabela1[[#This Row],[Data de Validade]])</f>
        <v>5</v>
      </c>
      <c r="J584" s="101">
        <v>45413</v>
      </c>
      <c r="K584" s="87" t="s">
        <v>11</v>
      </c>
      <c r="L584" s="108"/>
      <c r="M584" s="108"/>
      <c r="N584" s="108" t="str">
        <v>H361P761</v>
      </c>
      <c r="O584" s="108">
        <f t="shared" si="11"/>
        <v>1</v>
      </c>
      <c r="P584" s="108"/>
      <c r="Q584"/>
    </row>
    <row r="585" spans="1:17" x14ac:dyDescent="0.25">
      <c r="A585" s="89" t="s">
        <v>4496</v>
      </c>
      <c r="B585" s="87" t="s">
        <v>4497</v>
      </c>
      <c r="C585" s="87" t="s">
        <v>8</v>
      </c>
      <c r="D585" s="87" t="str">
        <f>VLOOKUP(Tabela1[[#This Row],[Origem]], 'Perguntas 1 a 24'!$J$28:$K$34, 2, 0)</f>
        <v>Nordeste</v>
      </c>
      <c r="E585" s="87" t="str">
        <f>Tabela1[[#This Row],[Descrição]]&amp;"-"&amp;Tabela1[[#This Row],[Código]]&amp;"/"&amp;Tabela1[[#This Row],[Origem]]</f>
        <v>Tovotura-P433P786/AL</v>
      </c>
      <c r="F585" s="88">
        <v>45796</v>
      </c>
      <c r="G585" s="88" t="str" cm="1">
        <f t="array" ref="G5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AND(F585&gt;= DATE(2026,1,1), F585&lt;= DATE(2028, 12, 31), J585&gt;50000), "Pendente e Caro", AND(F585&gt;= DATE(2026,1,1), F585&lt;= DATE(2028, 12, 31), J585&lt;=50000), "Pendente", F585&gt;= DATE(2029,1,1), "Não prioeitário")</f>
        <v>Urgente</v>
      </c>
      <c r="H585" s="89">
        <f>YEAR(Tabela1[[#This Row],[Data de Validade]])</f>
        <v>2025</v>
      </c>
      <c r="I585" s="89">
        <f>MONTH(Tabela1[[#This Row],[Data de Validade]])</f>
        <v>5</v>
      </c>
      <c r="J585" s="101">
        <v>43406</v>
      </c>
      <c r="K585" s="87" t="s">
        <v>11</v>
      </c>
      <c r="L585" s="108"/>
      <c r="M585" s="108"/>
      <c r="N585" s="108" t="str">
        <v>P433P786</v>
      </c>
      <c r="O585" s="108">
        <f t="shared" si="11"/>
        <v>1</v>
      </c>
      <c r="P585" s="108"/>
      <c r="Q585"/>
    </row>
    <row r="586" spans="1:17" x14ac:dyDescent="0.25">
      <c r="A586" s="89" t="s">
        <v>11155</v>
      </c>
      <c r="B586" s="87" t="s">
        <v>11156</v>
      </c>
      <c r="C586" s="87" t="s">
        <v>6</v>
      </c>
      <c r="D586" s="87" t="str">
        <f>VLOOKUP(Tabela1[[#This Row],[Origem]], 'Perguntas 1 a 24'!$J$28:$K$34, 2, 0)</f>
        <v>Nordeste</v>
      </c>
      <c r="E586" s="87" t="str">
        <f>Tabela1[[#This Row],[Descrição]]&amp;"-"&amp;Tabela1[[#This Row],[Código]]&amp;"/"&amp;Tabela1[[#This Row],[Origem]]</f>
        <v>Pofagega-P987H535/MA</v>
      </c>
      <c r="F586" s="88">
        <v>45796</v>
      </c>
      <c r="G586" s="88" t="str" cm="1">
        <f t="array" ref="G5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AND(F586&gt;= DATE(2026,1,1), F586&lt;= DATE(2028, 12, 31), J586&gt;50000), "Pendente e Caro", AND(F586&gt;= DATE(2026,1,1), F586&lt;= DATE(2028, 12, 31), J586&lt;=50000), "Pendente", F586&gt;= DATE(2029,1,1), "Não prioeitário")</f>
        <v>Urgente</v>
      </c>
      <c r="H586" s="89">
        <f>YEAR(Tabela1[[#This Row],[Data de Validade]])</f>
        <v>2025</v>
      </c>
      <c r="I586" s="89">
        <f>MONTH(Tabela1[[#This Row],[Data de Validade]])</f>
        <v>5</v>
      </c>
      <c r="J586" s="101">
        <v>36537</v>
      </c>
      <c r="K586" s="87" t="s">
        <v>9</v>
      </c>
      <c r="L586" s="108"/>
      <c r="M586" s="108"/>
      <c r="N586" s="108" t="str">
        <v>P987H535</v>
      </c>
      <c r="O586" s="108">
        <f t="shared" si="11"/>
        <v>1</v>
      </c>
      <c r="P586" s="108"/>
      <c r="Q586"/>
    </row>
    <row r="587" spans="1:17" x14ac:dyDescent="0.25">
      <c r="A587" s="89" t="s">
        <v>8372</v>
      </c>
      <c r="B587" s="87" t="s">
        <v>8373</v>
      </c>
      <c r="C587" s="87" t="s">
        <v>12</v>
      </c>
      <c r="D587" s="87" t="str">
        <f>VLOOKUP(Tabela1[[#This Row],[Origem]], 'Perguntas 1 a 24'!$J$28:$K$34, 2, 0)</f>
        <v>Sudeste</v>
      </c>
      <c r="E587" s="87" t="str">
        <f>Tabela1[[#This Row],[Descrição]]&amp;"-"&amp;Tabela1[[#This Row],[Código]]&amp;"/"&amp;Tabela1[[#This Row],[Origem]]</f>
        <v>Nuriro-P152H967/RJ</v>
      </c>
      <c r="F587" s="88">
        <v>45797</v>
      </c>
      <c r="G587" s="88" t="str" cm="1">
        <f t="array" ref="G5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AND(F587&gt;= DATE(2026,1,1), F587&lt;= DATE(2028, 12, 31), J587&gt;50000), "Pendente e Caro", AND(F587&gt;= DATE(2026,1,1), F587&lt;= DATE(2028, 12, 31), J587&lt;=50000), "Pendente", F587&gt;= DATE(2029,1,1), "Não prioeitário")</f>
        <v>Urgente e Caro</v>
      </c>
      <c r="H587" s="89">
        <f>YEAR(Tabela1[[#This Row],[Data de Validade]])</f>
        <v>2025</v>
      </c>
      <c r="I587" s="89">
        <f>MONTH(Tabela1[[#This Row],[Data de Validade]])</f>
        <v>5</v>
      </c>
      <c r="J587" s="101">
        <v>110354</v>
      </c>
      <c r="K587" s="87" t="s">
        <v>14</v>
      </c>
      <c r="L587" s="108"/>
      <c r="M587" s="108"/>
      <c r="N587" s="108" t="str">
        <v>P152H967</v>
      </c>
      <c r="O587" s="108">
        <f t="shared" si="11"/>
        <v>1</v>
      </c>
      <c r="P587" s="108"/>
      <c r="Q587"/>
    </row>
    <row r="588" spans="1:17" x14ac:dyDescent="0.25">
      <c r="A588" s="89" t="s">
        <v>8122</v>
      </c>
      <c r="B588" s="87" t="s">
        <v>8123</v>
      </c>
      <c r="C588" s="87" t="s">
        <v>8</v>
      </c>
      <c r="D588" s="87" t="str">
        <f>VLOOKUP(Tabela1[[#This Row],[Origem]], 'Perguntas 1 a 24'!$J$28:$K$34, 2, 0)</f>
        <v>Nordeste</v>
      </c>
      <c r="E588" s="87" t="str">
        <f>Tabela1[[#This Row],[Descrição]]&amp;"-"&amp;Tabela1[[#This Row],[Código]]&amp;"/"&amp;Tabela1[[#This Row],[Origem]]</f>
        <v>Tirunodofi-P468H836/AL</v>
      </c>
      <c r="F588" s="88">
        <v>45797</v>
      </c>
      <c r="G588" s="88" t="str" cm="1">
        <f t="array" ref="G5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AND(F588&gt;= DATE(2026,1,1), F588&lt;= DATE(2028, 12, 31), J588&gt;50000), "Pendente e Caro", AND(F588&gt;= DATE(2026,1,1), F588&lt;= DATE(2028, 12, 31), J588&lt;=50000), "Pendente", F588&gt;= DATE(2029,1,1), "Não prioeitário")</f>
        <v>Urgente e Caro</v>
      </c>
      <c r="H588" s="89">
        <f>YEAR(Tabela1[[#This Row],[Data de Validade]])</f>
        <v>2025</v>
      </c>
      <c r="I588" s="89">
        <f>MONTH(Tabela1[[#This Row],[Data de Validade]])</f>
        <v>5</v>
      </c>
      <c r="J588" s="101">
        <v>104628</v>
      </c>
      <c r="K588" s="87" t="s">
        <v>9</v>
      </c>
      <c r="L588" s="108"/>
      <c r="M588" s="108"/>
      <c r="N588" s="108" t="str">
        <v>P468H836</v>
      </c>
      <c r="O588" s="108">
        <f t="shared" si="11"/>
        <v>1</v>
      </c>
      <c r="P588" s="108"/>
      <c r="Q588"/>
    </row>
    <row r="589" spans="1:17" x14ac:dyDescent="0.25">
      <c r="A589" s="89" t="s">
        <v>7284</v>
      </c>
      <c r="B589" s="87" t="s">
        <v>7285</v>
      </c>
      <c r="C589" s="87" t="s">
        <v>8</v>
      </c>
      <c r="D589" s="87" t="str">
        <f>VLOOKUP(Tabela1[[#This Row],[Origem]], 'Perguntas 1 a 24'!$J$28:$K$34, 2, 0)</f>
        <v>Nordeste</v>
      </c>
      <c r="E589" s="87" t="str">
        <f>Tabela1[[#This Row],[Descrição]]&amp;"-"&amp;Tabela1[[#This Row],[Código]]&amp;"/"&amp;Tabela1[[#This Row],[Origem]]</f>
        <v>Tomireno-P824P824/AL</v>
      </c>
      <c r="F589" s="88">
        <v>45797</v>
      </c>
      <c r="G589" s="88" t="str" cm="1">
        <f t="array" ref="G5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AND(F589&gt;= DATE(2026,1,1), F589&lt;= DATE(2028, 12, 31), J589&gt;50000), "Pendente e Caro", AND(F589&gt;= DATE(2026,1,1), F589&lt;= DATE(2028, 12, 31), J589&lt;=50000), "Pendente", F589&gt;= DATE(2029,1,1), "Não prioeitário")</f>
        <v>Urgente</v>
      </c>
      <c r="H589" s="89">
        <f>YEAR(Tabela1[[#This Row],[Data de Validade]])</f>
        <v>2025</v>
      </c>
      <c r="I589" s="89">
        <f>MONTH(Tabela1[[#This Row],[Data de Validade]])</f>
        <v>5</v>
      </c>
      <c r="J589" s="101">
        <v>43742</v>
      </c>
      <c r="K589" s="87" t="s">
        <v>14</v>
      </c>
      <c r="L589" s="108"/>
      <c r="M589" s="108"/>
      <c r="N589" s="108" t="str">
        <v>P824P824</v>
      </c>
      <c r="O589" s="108">
        <f t="shared" si="11"/>
        <v>1</v>
      </c>
      <c r="P589" s="108"/>
      <c r="Q589"/>
    </row>
    <row r="590" spans="1:17" x14ac:dyDescent="0.25">
      <c r="A590" s="89" t="s">
        <v>8384</v>
      </c>
      <c r="B590" s="87" t="s">
        <v>8385</v>
      </c>
      <c r="C590" s="87" t="s">
        <v>8</v>
      </c>
      <c r="D590" s="87" t="str">
        <f>VLOOKUP(Tabela1[[#This Row],[Origem]], 'Perguntas 1 a 24'!$J$28:$K$34, 2, 0)</f>
        <v>Nordeste</v>
      </c>
      <c r="E590" s="87" t="str">
        <f>Tabela1[[#This Row],[Descrição]]&amp;"-"&amp;Tabela1[[#This Row],[Código]]&amp;"/"&amp;Tabela1[[#This Row],[Origem]]</f>
        <v>Pucifavore-P199H735/AL</v>
      </c>
      <c r="F590" s="88">
        <v>45798</v>
      </c>
      <c r="G590" s="88" t="str" cm="1">
        <f t="array" ref="G5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AND(F590&gt;= DATE(2026,1,1), F590&lt;= DATE(2028, 12, 31), J590&gt;50000), "Pendente e Caro", AND(F590&gt;= DATE(2026,1,1), F590&lt;= DATE(2028, 12, 31), J590&lt;=50000), "Pendente", F590&gt;= DATE(2029,1,1), "Não prioeitário")</f>
        <v>Urgente e Caro</v>
      </c>
      <c r="H590" s="89">
        <f>YEAR(Tabela1[[#This Row],[Data de Validade]])</f>
        <v>2025</v>
      </c>
      <c r="I590" s="89">
        <f>MONTH(Tabela1[[#This Row],[Data de Validade]])</f>
        <v>5</v>
      </c>
      <c r="J590" s="101">
        <v>54443</v>
      </c>
      <c r="K590" s="87" t="s">
        <v>11</v>
      </c>
      <c r="L590" s="108"/>
      <c r="M590" s="108"/>
      <c r="N590" s="108" t="str">
        <v>P199H735</v>
      </c>
      <c r="O590" s="108">
        <f t="shared" si="11"/>
        <v>1</v>
      </c>
      <c r="P590" s="108"/>
      <c r="Q590"/>
    </row>
    <row r="591" spans="1:17" x14ac:dyDescent="0.25">
      <c r="A591" s="89" t="s">
        <v>11186</v>
      </c>
      <c r="B591" s="87" t="s">
        <v>11187</v>
      </c>
      <c r="C591" s="87" t="s">
        <v>8</v>
      </c>
      <c r="D591" s="87" t="str">
        <f>VLOOKUP(Tabela1[[#This Row],[Origem]], 'Perguntas 1 a 24'!$J$28:$K$34, 2, 0)</f>
        <v>Nordeste</v>
      </c>
      <c r="E591" s="87" t="str">
        <f>Tabela1[[#This Row],[Descrição]]&amp;"-"&amp;Tabela1[[#This Row],[Código]]&amp;"/"&amp;Tabela1[[#This Row],[Origem]]</f>
        <v>Tanulu-H486P684/AL</v>
      </c>
      <c r="F591" s="88">
        <v>45799</v>
      </c>
      <c r="G591" s="88" t="str" cm="1">
        <f t="array" ref="G5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AND(F591&gt;= DATE(2026,1,1), F591&lt;= DATE(2028, 12, 31), J591&gt;50000), "Pendente e Caro", AND(F591&gt;= DATE(2026,1,1), F591&lt;= DATE(2028, 12, 31), J591&lt;=50000), "Pendente", F591&gt;= DATE(2029,1,1), "Não prioeitário")</f>
        <v>Urgente e Caro</v>
      </c>
      <c r="H591" s="89">
        <f>YEAR(Tabela1[[#This Row],[Data de Validade]])</f>
        <v>2025</v>
      </c>
      <c r="I591" s="89">
        <f>MONTH(Tabela1[[#This Row],[Data de Validade]])</f>
        <v>5</v>
      </c>
      <c r="J591" s="101">
        <v>99727</v>
      </c>
      <c r="K591" s="87" t="s">
        <v>14</v>
      </c>
      <c r="L591" s="108"/>
      <c r="M591" s="108"/>
      <c r="N591" s="108" t="str">
        <v>H486P684</v>
      </c>
      <c r="O591" s="108">
        <f t="shared" si="11"/>
        <v>1</v>
      </c>
      <c r="P591" s="108"/>
      <c r="Q591"/>
    </row>
    <row r="592" spans="1:17" x14ac:dyDescent="0.25">
      <c r="A592" s="89" t="s">
        <v>7492</v>
      </c>
      <c r="B592" s="87" t="s">
        <v>7493</v>
      </c>
      <c r="C592" s="87" t="s">
        <v>16</v>
      </c>
      <c r="D592" s="87" t="str">
        <f>VLOOKUP(Tabela1[[#This Row],[Origem]], 'Perguntas 1 a 24'!$J$28:$K$34, 2, 0)</f>
        <v>Sudeste</v>
      </c>
      <c r="E592" s="87" t="str">
        <f>Tabela1[[#This Row],[Descrição]]&amp;"-"&amp;Tabela1[[#This Row],[Código]]&amp;"/"&amp;Tabela1[[#This Row],[Origem]]</f>
        <v>Pemumitora-P144H546/MG</v>
      </c>
      <c r="F592" s="88">
        <v>45800</v>
      </c>
      <c r="G592" s="88" t="str" cm="1">
        <f t="array" ref="G5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AND(F592&gt;= DATE(2026,1,1), F592&lt;= DATE(2028, 12, 31), J592&gt;50000), "Pendente e Caro", AND(F592&gt;= DATE(2026,1,1), F592&lt;= DATE(2028, 12, 31), J592&lt;=50000), "Pendente", F592&gt;= DATE(2029,1,1), "Não prioeitário")</f>
        <v>Urgente e Caro</v>
      </c>
      <c r="H592" s="89">
        <f>YEAR(Tabela1[[#This Row],[Data de Validade]])</f>
        <v>2025</v>
      </c>
      <c r="I592" s="89">
        <f>MONTH(Tabela1[[#This Row],[Data de Validade]])</f>
        <v>5</v>
      </c>
      <c r="J592" s="101">
        <v>98887</v>
      </c>
      <c r="K592" s="87" t="s">
        <v>7</v>
      </c>
      <c r="L592" s="108"/>
      <c r="M592" s="108"/>
      <c r="N592" s="108" t="str">
        <v>P144H546</v>
      </c>
      <c r="O592" s="108">
        <f t="shared" si="11"/>
        <v>1</v>
      </c>
      <c r="P592" s="108"/>
      <c r="Q592"/>
    </row>
    <row r="593" spans="1:17" x14ac:dyDescent="0.25">
      <c r="A593" s="89" t="s">
        <v>10187</v>
      </c>
      <c r="B593" s="87" t="s">
        <v>10188</v>
      </c>
      <c r="C593" s="87" t="s">
        <v>8</v>
      </c>
      <c r="D593" s="87" t="str">
        <f>VLOOKUP(Tabela1[[#This Row],[Origem]], 'Perguntas 1 a 24'!$J$28:$K$34, 2, 0)</f>
        <v>Nordeste</v>
      </c>
      <c r="E593" s="87" t="str">
        <f>Tabela1[[#This Row],[Descrição]]&amp;"-"&amp;Tabela1[[#This Row],[Código]]&amp;"/"&amp;Tabela1[[#This Row],[Origem]]</f>
        <v>Pipale-P954P474/AL</v>
      </c>
      <c r="F593" s="88">
        <v>45801</v>
      </c>
      <c r="G593" s="88" t="str" cm="1">
        <f t="array" ref="G5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AND(F593&gt;= DATE(2026,1,1), F593&lt;= DATE(2028, 12, 31), J593&gt;50000), "Pendente e Caro", AND(F593&gt;= DATE(2026,1,1), F593&lt;= DATE(2028, 12, 31), J593&lt;=50000), "Pendente", F593&gt;= DATE(2029,1,1), "Não prioeitário")</f>
        <v>Urgente e Caro</v>
      </c>
      <c r="H593" s="89">
        <f>YEAR(Tabela1[[#This Row],[Data de Validade]])</f>
        <v>2025</v>
      </c>
      <c r="I593" s="89">
        <f>MONTH(Tabela1[[#This Row],[Data de Validade]])</f>
        <v>5</v>
      </c>
      <c r="J593" s="101">
        <v>117234</v>
      </c>
      <c r="K593" s="87" t="s">
        <v>14</v>
      </c>
      <c r="L593" s="108"/>
      <c r="M593" s="108"/>
      <c r="N593" s="108" t="str">
        <v>P954P474</v>
      </c>
      <c r="O593" s="108">
        <f t="shared" si="11"/>
        <v>1</v>
      </c>
      <c r="P593" s="108"/>
      <c r="Q593"/>
    </row>
    <row r="594" spans="1:17" x14ac:dyDescent="0.25">
      <c r="A594" s="89" t="s">
        <v>4528</v>
      </c>
      <c r="B594" s="87" t="s">
        <v>4529</v>
      </c>
      <c r="C594" s="87" t="s">
        <v>12</v>
      </c>
      <c r="D594" s="87" t="str">
        <f>VLOOKUP(Tabela1[[#This Row],[Origem]], 'Perguntas 1 a 24'!$J$28:$K$34, 2, 0)</f>
        <v>Sudeste</v>
      </c>
      <c r="E594" s="87" t="str">
        <f>Tabela1[[#This Row],[Descrição]]&amp;"-"&amp;Tabela1[[#This Row],[Código]]&amp;"/"&amp;Tabela1[[#This Row],[Origem]]</f>
        <v>Dafalu-P353P567/RJ</v>
      </c>
      <c r="F594" s="88">
        <v>45802</v>
      </c>
      <c r="G594" s="88" t="str" cm="1">
        <f t="array" ref="G5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AND(F594&gt;= DATE(2026,1,1), F594&lt;= DATE(2028, 12, 31), J594&gt;50000), "Pendente e Caro", AND(F594&gt;= DATE(2026,1,1), F594&lt;= DATE(2028, 12, 31), J594&lt;=50000), "Pendente", F594&gt;= DATE(2029,1,1), "Não prioeitário")</f>
        <v>Urgente e Caro</v>
      </c>
      <c r="H594" s="89">
        <f>YEAR(Tabela1[[#This Row],[Data de Validade]])</f>
        <v>2025</v>
      </c>
      <c r="I594" s="89">
        <f>MONTH(Tabela1[[#This Row],[Data de Validade]])</f>
        <v>5</v>
      </c>
      <c r="J594" s="101">
        <v>117169</v>
      </c>
      <c r="K594" s="87" t="s">
        <v>11</v>
      </c>
      <c r="L594" s="108"/>
      <c r="M594" s="108"/>
      <c r="N594" s="108" t="str">
        <v>P353P567</v>
      </c>
      <c r="O594" s="108">
        <f t="shared" si="11"/>
        <v>1</v>
      </c>
      <c r="P594" s="108"/>
      <c r="Q594"/>
    </row>
    <row r="595" spans="1:17" x14ac:dyDescent="0.25">
      <c r="A595" s="89" t="s">
        <v>9039</v>
      </c>
      <c r="B595" s="87" t="s">
        <v>9040</v>
      </c>
      <c r="C595" s="87" t="s">
        <v>8</v>
      </c>
      <c r="D595" s="87" t="str">
        <f>VLOOKUP(Tabela1[[#This Row],[Origem]], 'Perguntas 1 a 24'!$J$28:$K$34, 2, 0)</f>
        <v>Nordeste</v>
      </c>
      <c r="E595" s="87" t="str">
        <f>Tabela1[[#This Row],[Descrição]]&amp;"-"&amp;Tabela1[[#This Row],[Código]]&amp;"/"&amp;Tabela1[[#This Row],[Origem]]</f>
        <v>Tidaco-H176P544/AL</v>
      </c>
      <c r="F595" s="88">
        <v>45802</v>
      </c>
      <c r="G595" s="88" t="str" cm="1">
        <f t="array" ref="G5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AND(F595&gt;= DATE(2026,1,1), F595&lt;= DATE(2028, 12, 31), J595&gt;50000), "Pendente e Caro", AND(F595&gt;= DATE(2026,1,1), F595&lt;= DATE(2028, 12, 31), J595&lt;=50000), "Pendente", F595&gt;= DATE(2029,1,1), "Não prioeitário")</f>
        <v>Urgente e Caro</v>
      </c>
      <c r="H595" s="89">
        <f>YEAR(Tabela1[[#This Row],[Data de Validade]])</f>
        <v>2025</v>
      </c>
      <c r="I595" s="89">
        <f>MONTH(Tabela1[[#This Row],[Data de Validade]])</f>
        <v>5</v>
      </c>
      <c r="J595" s="101">
        <v>106736</v>
      </c>
      <c r="K595" s="87" t="s">
        <v>14</v>
      </c>
      <c r="L595" s="108"/>
      <c r="M595" s="108"/>
      <c r="N595" s="108" t="str">
        <v>H176P544</v>
      </c>
      <c r="O595" s="108">
        <f t="shared" si="11"/>
        <v>1</v>
      </c>
      <c r="P595" s="108"/>
      <c r="Q595"/>
    </row>
    <row r="596" spans="1:17" x14ac:dyDescent="0.25">
      <c r="A596" s="89" t="s">
        <v>6734</v>
      </c>
      <c r="B596" s="87" t="s">
        <v>6735</v>
      </c>
      <c r="C596" s="87" t="s">
        <v>15</v>
      </c>
      <c r="D596" s="87" t="str">
        <f>VLOOKUP(Tabela1[[#This Row],[Origem]], 'Perguntas 1 a 24'!$J$28:$K$34, 2, 0)</f>
        <v>Sudeste</v>
      </c>
      <c r="E596" s="87" t="str">
        <f>Tabela1[[#This Row],[Descrição]]&amp;"-"&amp;Tabela1[[#This Row],[Código]]&amp;"/"&amp;Tabela1[[#This Row],[Origem]]</f>
        <v>Lopagiva-H143P571/ES</v>
      </c>
      <c r="F596" s="88">
        <v>45802</v>
      </c>
      <c r="G596" s="88" t="str" cm="1">
        <f t="array" ref="G5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AND(F596&gt;= DATE(2026,1,1), F596&lt;= DATE(2028, 12, 31), J596&gt;50000), "Pendente e Caro", AND(F596&gt;= DATE(2026,1,1), F596&lt;= DATE(2028, 12, 31), J596&lt;=50000), "Pendente", F596&gt;= DATE(2029,1,1), "Não prioeitário")</f>
        <v>Urgente e Caro</v>
      </c>
      <c r="H596" s="89">
        <f>YEAR(Tabela1[[#This Row],[Data de Validade]])</f>
        <v>2025</v>
      </c>
      <c r="I596" s="89">
        <f>MONTH(Tabela1[[#This Row],[Data de Validade]])</f>
        <v>5</v>
      </c>
      <c r="J596" s="101">
        <v>102596</v>
      </c>
      <c r="K596" s="87" t="s">
        <v>9</v>
      </c>
      <c r="L596" s="108"/>
      <c r="M596" s="108"/>
      <c r="N596" s="108" t="str">
        <v>H143P571</v>
      </c>
      <c r="O596" s="108">
        <f t="shared" si="11"/>
        <v>1</v>
      </c>
      <c r="P596" s="108"/>
      <c r="Q596"/>
    </row>
    <row r="597" spans="1:17" x14ac:dyDescent="0.25">
      <c r="A597" s="89" t="s">
        <v>4335</v>
      </c>
      <c r="B597" s="87" t="s">
        <v>4336</v>
      </c>
      <c r="C597" s="87" t="s">
        <v>16</v>
      </c>
      <c r="D597" s="87" t="str">
        <f>VLOOKUP(Tabela1[[#This Row],[Origem]], 'Perguntas 1 a 24'!$J$28:$K$34, 2, 0)</f>
        <v>Sudeste</v>
      </c>
      <c r="E597" s="87" t="str">
        <f>Tabela1[[#This Row],[Descrição]]&amp;"-"&amp;Tabela1[[#This Row],[Código]]&amp;"/"&amp;Tabela1[[#This Row],[Origem]]</f>
        <v>Renuvote-H378H755/MG</v>
      </c>
      <c r="F597" s="88">
        <v>45802</v>
      </c>
      <c r="G597" s="88" t="str" cm="1">
        <f t="array" ref="G5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AND(F597&gt;= DATE(2026,1,1), F597&lt;= DATE(2028, 12, 31), J597&gt;50000), "Pendente e Caro", AND(F597&gt;= DATE(2026,1,1), F597&lt;= DATE(2028, 12, 31), J597&lt;=50000), "Pendente", F597&gt;= DATE(2029,1,1), "Não prioeitário")</f>
        <v>Urgente e Caro</v>
      </c>
      <c r="H597" s="89">
        <f>YEAR(Tabela1[[#This Row],[Data de Validade]])</f>
        <v>2025</v>
      </c>
      <c r="I597" s="89">
        <f>MONTH(Tabela1[[#This Row],[Data de Validade]])</f>
        <v>5</v>
      </c>
      <c r="J597" s="101">
        <v>79516</v>
      </c>
      <c r="K597" s="87" t="s">
        <v>9</v>
      </c>
      <c r="L597" s="108"/>
      <c r="M597" s="108"/>
      <c r="N597" s="108" t="str">
        <v>H378H755</v>
      </c>
      <c r="O597" s="108">
        <f t="shared" si="11"/>
        <v>1</v>
      </c>
      <c r="P597" s="108"/>
      <c r="Q597"/>
    </row>
    <row r="598" spans="1:17" x14ac:dyDescent="0.25">
      <c r="A598" s="89" t="s">
        <v>5172</v>
      </c>
      <c r="B598" s="87" t="s">
        <v>5173</v>
      </c>
      <c r="C598" s="87" t="s">
        <v>15</v>
      </c>
      <c r="D598" s="87" t="str">
        <f>VLOOKUP(Tabela1[[#This Row],[Origem]], 'Perguntas 1 a 24'!$J$28:$K$34, 2, 0)</f>
        <v>Sudeste</v>
      </c>
      <c r="E598" s="87" t="str">
        <f>Tabela1[[#This Row],[Descrição]]&amp;"-"&amp;Tabela1[[#This Row],[Código]]&amp;"/"&amp;Tabela1[[#This Row],[Origem]]</f>
        <v>Defuro-H753H968/ES</v>
      </c>
      <c r="F598" s="88">
        <v>45803</v>
      </c>
      <c r="G598" s="88" t="str" cm="1">
        <f t="array" ref="G5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AND(F598&gt;= DATE(2026,1,1), F598&lt;= DATE(2028, 12, 31), J598&gt;50000), "Pendente e Caro", AND(F598&gt;= DATE(2026,1,1), F598&lt;= DATE(2028, 12, 31), J598&lt;=50000), "Pendente", F598&gt;= DATE(2029,1,1), "Não prioeitário")</f>
        <v>Urgente e Caro</v>
      </c>
      <c r="H598" s="89">
        <f>YEAR(Tabela1[[#This Row],[Data de Validade]])</f>
        <v>2025</v>
      </c>
      <c r="I598" s="89">
        <f>MONTH(Tabela1[[#This Row],[Data de Validade]])</f>
        <v>5</v>
      </c>
      <c r="J598" s="101">
        <v>96164</v>
      </c>
      <c r="K598" s="87" t="s">
        <v>11</v>
      </c>
      <c r="L598" s="108"/>
      <c r="M598" s="108"/>
      <c r="N598" s="108" t="str">
        <v>H753H968</v>
      </c>
      <c r="O598" s="108">
        <f t="shared" si="11"/>
        <v>1</v>
      </c>
      <c r="P598" s="108"/>
      <c r="Q598"/>
    </row>
    <row r="599" spans="1:17" x14ac:dyDescent="0.25">
      <c r="A599" s="89" t="s">
        <v>7420</v>
      </c>
      <c r="B599" s="87" t="s">
        <v>7421</v>
      </c>
      <c r="C599" s="87" t="s">
        <v>15</v>
      </c>
      <c r="D599" s="87" t="str">
        <f>VLOOKUP(Tabela1[[#This Row],[Origem]], 'Perguntas 1 a 24'!$J$28:$K$34, 2, 0)</f>
        <v>Sudeste</v>
      </c>
      <c r="E599" s="87" t="str">
        <f>Tabela1[[#This Row],[Descrição]]&amp;"-"&amp;Tabela1[[#This Row],[Código]]&amp;"/"&amp;Tabela1[[#This Row],[Origem]]</f>
        <v>Piraralo-P632H596/ES</v>
      </c>
      <c r="F599" s="88">
        <v>45803</v>
      </c>
      <c r="G599" s="88" t="str" cm="1">
        <f t="array" ref="G5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AND(F599&gt;= DATE(2026,1,1), F599&lt;= DATE(2028, 12, 31), J599&gt;50000), "Pendente e Caro", AND(F599&gt;= DATE(2026,1,1), F599&lt;= DATE(2028, 12, 31), J599&lt;=50000), "Pendente", F599&gt;= DATE(2029,1,1), "Não prioeitário")</f>
        <v>Urgente</v>
      </c>
      <c r="H599" s="89">
        <f>YEAR(Tabela1[[#This Row],[Data de Validade]])</f>
        <v>2025</v>
      </c>
      <c r="I599" s="89">
        <f>MONTH(Tabela1[[#This Row],[Data de Validade]])</f>
        <v>5</v>
      </c>
      <c r="J599" s="101">
        <v>33859</v>
      </c>
      <c r="K599" s="87" t="s">
        <v>7</v>
      </c>
      <c r="L599" s="108"/>
      <c r="M599" s="108"/>
      <c r="N599" s="108" t="str">
        <v>P632H596</v>
      </c>
      <c r="O599" s="108">
        <f t="shared" si="11"/>
        <v>1</v>
      </c>
      <c r="P599" s="108"/>
      <c r="Q599"/>
    </row>
    <row r="600" spans="1:17" x14ac:dyDescent="0.25">
      <c r="A600" s="89" t="s">
        <v>10775</v>
      </c>
      <c r="B600" s="87" t="s">
        <v>10776</v>
      </c>
      <c r="C600" s="87" t="s">
        <v>6</v>
      </c>
      <c r="D600" s="87" t="str">
        <f>VLOOKUP(Tabela1[[#This Row],[Origem]], 'Perguntas 1 a 24'!$J$28:$K$34, 2, 0)</f>
        <v>Nordeste</v>
      </c>
      <c r="E600" s="87" t="str">
        <f>Tabela1[[#This Row],[Descrição]]&amp;"-"&amp;Tabela1[[#This Row],[Código]]&amp;"/"&amp;Tabela1[[#This Row],[Origem]]</f>
        <v>Gerepiripo-P521H651/MA</v>
      </c>
      <c r="F600" s="88">
        <v>45804</v>
      </c>
      <c r="G600" s="88" t="str" cm="1">
        <f t="array" ref="G6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AND(F600&gt;= DATE(2026,1,1), F600&lt;= DATE(2028, 12, 31), J600&gt;50000), "Pendente e Caro", AND(F600&gt;= DATE(2026,1,1), F600&lt;= DATE(2028, 12, 31), J600&lt;=50000), "Pendente", F600&gt;= DATE(2029,1,1), "Não prioeitário")</f>
        <v>Urgente e Caro</v>
      </c>
      <c r="H600" s="89">
        <f>YEAR(Tabela1[[#This Row],[Data de Validade]])</f>
        <v>2025</v>
      </c>
      <c r="I600" s="89">
        <f>MONTH(Tabela1[[#This Row],[Data de Validade]])</f>
        <v>5</v>
      </c>
      <c r="J600" s="101">
        <v>66602</v>
      </c>
      <c r="K600" s="87" t="s">
        <v>11</v>
      </c>
      <c r="L600" s="108"/>
      <c r="M600" s="108"/>
      <c r="N600" s="108" t="str">
        <v>P521H651</v>
      </c>
      <c r="O600" s="108">
        <f t="shared" si="11"/>
        <v>1</v>
      </c>
      <c r="P600" s="108"/>
      <c r="Q600"/>
    </row>
    <row r="601" spans="1:17" x14ac:dyDescent="0.25">
      <c r="A601" s="89" t="s">
        <v>3886</v>
      </c>
      <c r="B601" s="87" t="s">
        <v>3887</v>
      </c>
      <c r="C601" s="87" t="s">
        <v>10</v>
      </c>
      <c r="D601" s="87" t="str">
        <f>VLOOKUP(Tabela1[[#This Row],[Origem]], 'Perguntas 1 a 24'!$J$28:$K$34, 2, 0)</f>
        <v>Centro-Oeste</v>
      </c>
      <c r="E601" s="87" t="str">
        <f>Tabela1[[#This Row],[Descrição]]&amp;"-"&amp;Tabela1[[#This Row],[Código]]&amp;"/"&amp;Tabela1[[#This Row],[Origem]]</f>
        <v>Tomacuropo-P291H883/GO</v>
      </c>
      <c r="F601" s="88">
        <v>45804</v>
      </c>
      <c r="G601" s="88" t="str" cm="1">
        <f t="array" ref="G6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AND(F601&gt;= DATE(2026,1,1), F601&lt;= DATE(2028, 12, 31), J601&gt;50000), "Pendente e Caro", AND(F601&gt;= DATE(2026,1,1), F601&lt;= DATE(2028, 12, 31), J601&lt;=50000), "Pendente", F601&gt;= DATE(2029,1,1), "Não prioeitário")</f>
        <v>Urgente e Caro</v>
      </c>
      <c r="H601" s="89">
        <f>YEAR(Tabela1[[#This Row],[Data de Validade]])</f>
        <v>2025</v>
      </c>
      <c r="I601" s="89">
        <f>MONTH(Tabela1[[#This Row],[Data de Validade]])</f>
        <v>5</v>
      </c>
      <c r="J601" s="101">
        <v>66094</v>
      </c>
      <c r="K601" s="87" t="s">
        <v>9</v>
      </c>
      <c r="L601" s="108"/>
      <c r="M601" s="108"/>
      <c r="N601" s="108" t="str">
        <v>P291H883</v>
      </c>
      <c r="O601" s="108">
        <f t="shared" si="11"/>
        <v>1</v>
      </c>
      <c r="P601" s="108"/>
      <c r="Q601"/>
    </row>
    <row r="602" spans="1:17" x14ac:dyDescent="0.25">
      <c r="A602" s="89" t="s">
        <v>6550</v>
      </c>
      <c r="B602" s="87" t="s">
        <v>6551</v>
      </c>
      <c r="C602" s="87" t="s">
        <v>16</v>
      </c>
      <c r="D602" s="87" t="str">
        <f>VLOOKUP(Tabela1[[#This Row],[Origem]], 'Perguntas 1 a 24'!$J$28:$K$34, 2, 0)</f>
        <v>Sudeste</v>
      </c>
      <c r="E602" s="87" t="str">
        <f>Tabela1[[#This Row],[Descrição]]&amp;"-"&amp;Tabela1[[#This Row],[Código]]&amp;"/"&amp;Tabela1[[#This Row],[Origem]]</f>
        <v>Riraponi-H689H292/MG</v>
      </c>
      <c r="F602" s="88">
        <v>45805</v>
      </c>
      <c r="G602" s="88" t="str" cm="1">
        <f t="array" ref="G6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AND(F602&gt;= DATE(2026,1,1), F602&lt;= DATE(2028, 12, 31), J602&gt;50000), "Pendente e Caro", AND(F602&gt;= DATE(2026,1,1), F602&lt;= DATE(2028, 12, 31), J602&lt;=50000), "Pendente", F602&gt;= DATE(2029,1,1), "Não prioeitário")</f>
        <v>Urgente e Caro</v>
      </c>
      <c r="H602" s="89">
        <f>YEAR(Tabela1[[#This Row],[Data de Validade]])</f>
        <v>2025</v>
      </c>
      <c r="I602" s="89">
        <f>MONTH(Tabela1[[#This Row],[Data de Validade]])</f>
        <v>5</v>
      </c>
      <c r="J602" s="101">
        <v>77509</v>
      </c>
      <c r="K602" s="87" t="s">
        <v>11</v>
      </c>
      <c r="L602" s="108"/>
      <c r="M602" s="108"/>
      <c r="N602" s="108" t="str">
        <v>H689H292</v>
      </c>
      <c r="O602" s="108">
        <f t="shared" si="11"/>
        <v>1</v>
      </c>
      <c r="P602" s="108"/>
      <c r="Q602"/>
    </row>
    <row r="603" spans="1:17" x14ac:dyDescent="0.25">
      <c r="A603" s="89" t="s">
        <v>4229</v>
      </c>
      <c r="B603" s="87" t="s">
        <v>4230</v>
      </c>
      <c r="C603" s="87" t="s">
        <v>15</v>
      </c>
      <c r="D603" s="87" t="str">
        <f>VLOOKUP(Tabela1[[#This Row],[Origem]], 'Perguntas 1 a 24'!$J$28:$K$34, 2, 0)</f>
        <v>Sudeste</v>
      </c>
      <c r="E603" s="87" t="str">
        <f>Tabela1[[#This Row],[Descrição]]&amp;"-"&amp;Tabela1[[#This Row],[Código]]&amp;"/"&amp;Tabela1[[#This Row],[Origem]]</f>
        <v>Turunapi-P994P292/ES</v>
      </c>
      <c r="F603" s="88">
        <v>45806</v>
      </c>
      <c r="G603" s="88" t="str" cm="1">
        <f t="array" ref="G6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AND(F603&gt;= DATE(2026,1,1), F603&lt;= DATE(2028, 12, 31), J603&gt;50000), "Pendente e Caro", AND(F603&gt;= DATE(2026,1,1), F603&lt;= DATE(2028, 12, 31), J603&lt;=50000), "Pendente", F603&gt;= DATE(2029,1,1), "Não prioeitário")</f>
        <v>Urgente e Caro</v>
      </c>
      <c r="H603" s="89">
        <f>YEAR(Tabela1[[#This Row],[Data de Validade]])</f>
        <v>2025</v>
      </c>
      <c r="I603" s="89">
        <f>MONTH(Tabela1[[#This Row],[Data de Validade]])</f>
        <v>5</v>
      </c>
      <c r="J603" s="101">
        <v>86912</v>
      </c>
      <c r="K603" s="87" t="s">
        <v>7</v>
      </c>
      <c r="L603" s="108"/>
      <c r="M603" s="108"/>
      <c r="N603" s="108" t="str">
        <v>P994P292</v>
      </c>
      <c r="O603" s="108">
        <f t="shared" si="11"/>
        <v>1</v>
      </c>
      <c r="P603" s="108"/>
      <c r="Q603"/>
    </row>
    <row r="604" spans="1:17" x14ac:dyDescent="0.25">
      <c r="A604" s="89" t="s">
        <v>10889</v>
      </c>
      <c r="B604" s="87" t="s">
        <v>10890</v>
      </c>
      <c r="C604" s="87" t="s">
        <v>15</v>
      </c>
      <c r="D604" s="87" t="str">
        <f>VLOOKUP(Tabela1[[#This Row],[Origem]], 'Perguntas 1 a 24'!$J$28:$K$34, 2, 0)</f>
        <v>Sudeste</v>
      </c>
      <c r="E604" s="87" t="str">
        <f>Tabela1[[#This Row],[Descrição]]&amp;"-"&amp;Tabela1[[#This Row],[Código]]&amp;"/"&amp;Tabela1[[#This Row],[Origem]]</f>
        <v>Tetuto-P744P148/ES</v>
      </c>
      <c r="F604" s="88">
        <v>45806</v>
      </c>
      <c r="G604" s="88" t="str" cm="1">
        <f t="array" ref="G6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AND(F604&gt;= DATE(2026,1,1), F604&lt;= DATE(2028, 12, 31), J604&gt;50000), "Pendente e Caro", AND(F604&gt;= DATE(2026,1,1), F604&lt;= DATE(2028, 12, 31), J604&lt;=50000), "Pendente", F604&gt;= DATE(2029,1,1), "Não prioeitário")</f>
        <v>Urgente e Caro</v>
      </c>
      <c r="H604" s="89">
        <f>YEAR(Tabela1[[#This Row],[Data de Validade]])</f>
        <v>2025</v>
      </c>
      <c r="I604" s="89">
        <f>MONTH(Tabela1[[#This Row],[Data de Validade]])</f>
        <v>5</v>
      </c>
      <c r="J604" s="101">
        <v>58043</v>
      </c>
      <c r="K604" s="87" t="s">
        <v>11</v>
      </c>
      <c r="L604" s="108"/>
      <c r="M604" s="108"/>
      <c r="N604" s="108" t="str">
        <v>P744P148</v>
      </c>
      <c r="O604" s="108">
        <f t="shared" si="11"/>
        <v>1</v>
      </c>
      <c r="P604" s="108"/>
      <c r="Q604"/>
    </row>
    <row r="605" spans="1:17" x14ac:dyDescent="0.25">
      <c r="A605" s="89" t="s">
        <v>3910</v>
      </c>
      <c r="B605" s="87" t="s">
        <v>3911</v>
      </c>
      <c r="C605" s="87" t="s">
        <v>13</v>
      </c>
      <c r="D605" s="87" t="str">
        <f>VLOOKUP(Tabela1[[#This Row],[Origem]], 'Perguntas 1 a 24'!$J$28:$K$34, 2, 0)</f>
        <v>Sudeste</v>
      </c>
      <c r="E605" s="87" t="str">
        <f>Tabela1[[#This Row],[Descrição]]&amp;"-"&amp;Tabela1[[#This Row],[Código]]&amp;"/"&amp;Tabela1[[#This Row],[Origem]]</f>
        <v>Pifotugu-H291P247/SP</v>
      </c>
      <c r="F605" s="88">
        <v>45807</v>
      </c>
      <c r="G605" s="88" t="str" cm="1">
        <f t="array" ref="G6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AND(F605&gt;= DATE(2026,1,1), F605&lt;= DATE(2028, 12, 31), J605&gt;50000), "Pendente e Caro", AND(F605&gt;= DATE(2026,1,1), F605&lt;= DATE(2028, 12, 31), J605&lt;=50000), "Pendente", F605&gt;= DATE(2029,1,1), "Não prioeitário")</f>
        <v>Urgente e Caro</v>
      </c>
      <c r="H605" s="89">
        <f>YEAR(Tabela1[[#This Row],[Data de Validade]])</f>
        <v>2025</v>
      </c>
      <c r="I605" s="89">
        <f>MONTH(Tabela1[[#This Row],[Data de Validade]])</f>
        <v>5</v>
      </c>
      <c r="J605" s="101">
        <v>61212</v>
      </c>
      <c r="K605" s="87" t="s">
        <v>11</v>
      </c>
      <c r="L605" s="108"/>
      <c r="M605" s="108"/>
      <c r="N605" s="108" t="str">
        <v>H291P247</v>
      </c>
      <c r="O605" s="108">
        <f t="shared" si="11"/>
        <v>1</v>
      </c>
      <c r="P605" s="108"/>
      <c r="Q605"/>
    </row>
    <row r="606" spans="1:17" x14ac:dyDescent="0.25">
      <c r="A606" s="89" t="s">
        <v>6132</v>
      </c>
      <c r="B606" s="87" t="s">
        <v>6133</v>
      </c>
      <c r="C606" s="87" t="s">
        <v>15</v>
      </c>
      <c r="D606" s="87" t="str">
        <f>VLOOKUP(Tabela1[[#This Row],[Origem]], 'Perguntas 1 a 24'!$J$28:$K$34, 2, 0)</f>
        <v>Sudeste</v>
      </c>
      <c r="E606" s="87" t="str">
        <f>Tabela1[[#This Row],[Descrição]]&amp;"-"&amp;Tabela1[[#This Row],[Código]]&amp;"/"&amp;Tabela1[[#This Row],[Origem]]</f>
        <v>Pipifelale-P794H483/ES</v>
      </c>
      <c r="F606" s="88">
        <v>45808</v>
      </c>
      <c r="G606" s="88" t="str" cm="1">
        <f t="array" ref="G6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AND(F606&gt;= DATE(2026,1,1), F606&lt;= DATE(2028, 12, 31), J606&gt;50000), "Pendente e Caro", AND(F606&gt;= DATE(2026,1,1), F606&lt;= DATE(2028, 12, 31), J606&lt;=50000), "Pendente", F606&gt;= DATE(2029,1,1), "Não prioeitário")</f>
        <v>Urgente e Caro</v>
      </c>
      <c r="H606" s="89">
        <f>YEAR(Tabela1[[#This Row],[Data de Validade]])</f>
        <v>2025</v>
      </c>
      <c r="I606" s="89">
        <f>MONTH(Tabela1[[#This Row],[Data de Validade]])</f>
        <v>5</v>
      </c>
      <c r="J606" s="101">
        <v>93822</v>
      </c>
      <c r="K606" s="87" t="s">
        <v>11</v>
      </c>
      <c r="L606" s="108"/>
      <c r="M606" s="108"/>
      <c r="N606" s="108" t="str">
        <v>P794H483</v>
      </c>
      <c r="O606" s="108">
        <f t="shared" si="11"/>
        <v>1</v>
      </c>
      <c r="P606" s="108"/>
      <c r="Q606"/>
    </row>
    <row r="607" spans="1:17" x14ac:dyDescent="0.25">
      <c r="A607" s="89" t="s">
        <v>5474</v>
      </c>
      <c r="B607" s="87" t="s">
        <v>5475</v>
      </c>
      <c r="C607" s="87" t="s">
        <v>10</v>
      </c>
      <c r="D607" s="87" t="str">
        <f>VLOOKUP(Tabela1[[#This Row],[Origem]], 'Perguntas 1 a 24'!$J$28:$K$34, 2, 0)</f>
        <v>Centro-Oeste</v>
      </c>
      <c r="E607" s="87" t="str">
        <f>Tabela1[[#This Row],[Descrição]]&amp;"-"&amp;Tabela1[[#This Row],[Código]]&amp;"/"&amp;Tabela1[[#This Row],[Origem]]</f>
        <v>Tavede-H846P751/GO</v>
      </c>
      <c r="F607" s="88">
        <v>45808</v>
      </c>
      <c r="G607" s="88" t="str" cm="1">
        <f t="array" ref="G6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AND(F607&gt;= DATE(2026,1,1), F607&lt;= DATE(2028, 12, 31), J607&gt;50000), "Pendente e Caro", AND(F607&gt;= DATE(2026,1,1), F607&lt;= DATE(2028, 12, 31), J607&lt;=50000), "Pendente", F607&gt;= DATE(2029,1,1), "Não prioeitário")</f>
        <v>Urgente e Caro</v>
      </c>
      <c r="H607" s="89">
        <f>YEAR(Tabela1[[#This Row],[Data de Validade]])</f>
        <v>2025</v>
      </c>
      <c r="I607" s="89">
        <f>MONTH(Tabela1[[#This Row],[Data de Validade]])</f>
        <v>5</v>
      </c>
      <c r="J607" s="101">
        <v>83088</v>
      </c>
      <c r="K607" s="87" t="s">
        <v>7</v>
      </c>
      <c r="L607" s="108"/>
      <c r="M607" s="108"/>
      <c r="N607" s="108" t="str">
        <v>H846P751</v>
      </c>
      <c r="O607" s="108">
        <f t="shared" si="11"/>
        <v>1</v>
      </c>
      <c r="P607" s="108"/>
      <c r="Q607"/>
    </row>
    <row r="608" spans="1:17" x14ac:dyDescent="0.25">
      <c r="A608" s="89" t="s">
        <v>3842</v>
      </c>
      <c r="B608" s="87" t="s">
        <v>3843</v>
      </c>
      <c r="C608" s="87" t="s">
        <v>13</v>
      </c>
      <c r="D608" s="87" t="str">
        <f>VLOOKUP(Tabela1[[#This Row],[Origem]], 'Perguntas 1 a 24'!$J$28:$K$34, 2, 0)</f>
        <v>Sudeste</v>
      </c>
      <c r="E608" s="87" t="str">
        <f>Tabela1[[#This Row],[Descrição]]&amp;"-"&amp;Tabela1[[#This Row],[Código]]&amp;"/"&amp;Tabela1[[#This Row],[Origem]]</f>
        <v>Picade-P143H116/SP</v>
      </c>
      <c r="F608" s="88">
        <v>45808</v>
      </c>
      <c r="G608" s="88" t="str" cm="1">
        <f t="array" ref="G6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AND(F608&gt;= DATE(2026,1,1), F608&lt;= DATE(2028, 12, 31), J608&gt;50000), "Pendente e Caro", AND(F608&gt;= DATE(2026,1,1), F608&lt;= DATE(2028, 12, 31), J608&lt;=50000), "Pendente", F608&gt;= DATE(2029,1,1), "Não prioeitário")</f>
        <v>Urgente e Caro</v>
      </c>
      <c r="H608" s="89">
        <f>YEAR(Tabela1[[#This Row],[Data de Validade]])</f>
        <v>2025</v>
      </c>
      <c r="I608" s="89">
        <f>MONTH(Tabela1[[#This Row],[Data de Validade]])</f>
        <v>5</v>
      </c>
      <c r="J608" s="101">
        <v>73089</v>
      </c>
      <c r="K608" s="87" t="s">
        <v>9</v>
      </c>
      <c r="L608" s="108"/>
      <c r="M608" s="108"/>
      <c r="N608" s="108" t="str">
        <v>P143H116</v>
      </c>
      <c r="O608" s="108">
        <f t="shared" si="11"/>
        <v>1</v>
      </c>
      <c r="P608" s="108"/>
      <c r="Q608"/>
    </row>
    <row r="609" spans="1:17" x14ac:dyDescent="0.25">
      <c r="A609" s="89" t="s">
        <v>4986</v>
      </c>
      <c r="B609" s="87" t="s">
        <v>4987</v>
      </c>
      <c r="C609" s="87" t="s">
        <v>16</v>
      </c>
      <c r="D609" s="87" t="str">
        <f>VLOOKUP(Tabela1[[#This Row],[Origem]], 'Perguntas 1 a 24'!$J$28:$K$34, 2, 0)</f>
        <v>Sudeste</v>
      </c>
      <c r="E609" s="87" t="str">
        <f>Tabela1[[#This Row],[Descrição]]&amp;"-"&amp;Tabela1[[#This Row],[Código]]&amp;"/"&amp;Tabela1[[#This Row],[Origem]]</f>
        <v>Tuliruce-H969H315/MG</v>
      </c>
      <c r="F609" s="88">
        <v>45808</v>
      </c>
      <c r="G609" s="88" t="str" cm="1">
        <f t="array" ref="G6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AND(F609&gt;= DATE(2026,1,1), F609&lt;= DATE(2028, 12, 31), J609&gt;50000), "Pendente e Caro", AND(F609&gt;= DATE(2026,1,1), F609&lt;= DATE(2028, 12, 31), J609&lt;=50000), "Pendente", F609&gt;= DATE(2029,1,1), "Não prioeitário")</f>
        <v>Urgente</v>
      </c>
      <c r="H609" s="89">
        <f>YEAR(Tabela1[[#This Row],[Data de Validade]])</f>
        <v>2025</v>
      </c>
      <c r="I609" s="89">
        <f>MONTH(Tabela1[[#This Row],[Data de Validade]])</f>
        <v>5</v>
      </c>
      <c r="J609" s="101">
        <v>47201</v>
      </c>
      <c r="K609" s="87" t="s">
        <v>14</v>
      </c>
      <c r="L609" s="108"/>
      <c r="M609" s="108"/>
      <c r="N609" s="108" t="str">
        <v>H969H315</v>
      </c>
      <c r="O609" s="108">
        <f t="shared" si="11"/>
        <v>1</v>
      </c>
      <c r="P609" s="108"/>
      <c r="Q609"/>
    </row>
    <row r="610" spans="1:17" x14ac:dyDescent="0.25">
      <c r="A610" s="89" t="s">
        <v>9633</v>
      </c>
      <c r="B610" s="87" t="s">
        <v>9634</v>
      </c>
      <c r="C610" s="87" t="s">
        <v>16</v>
      </c>
      <c r="D610" s="87" t="str">
        <f>VLOOKUP(Tabela1[[#This Row],[Origem]], 'Perguntas 1 a 24'!$J$28:$K$34, 2, 0)</f>
        <v>Sudeste</v>
      </c>
      <c r="E610" s="87" t="str">
        <f>Tabela1[[#This Row],[Descrição]]&amp;"-"&amp;Tabela1[[#This Row],[Código]]&amp;"/"&amp;Tabela1[[#This Row],[Origem]]</f>
        <v>Patemu-H486H394/MG</v>
      </c>
      <c r="F610" s="88">
        <v>45809</v>
      </c>
      <c r="G610" s="88" t="str" cm="1">
        <f t="array" ref="G6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AND(F610&gt;= DATE(2026,1,1), F610&lt;= DATE(2028, 12, 31), J610&gt;50000), "Pendente e Caro", AND(F610&gt;= DATE(2026,1,1), F610&lt;= DATE(2028, 12, 31), J610&lt;=50000), "Pendente", F610&gt;= DATE(2029,1,1), "Não prioeitário")</f>
        <v>Urgente e Caro</v>
      </c>
      <c r="H610" s="89">
        <f>YEAR(Tabela1[[#This Row],[Data de Validade]])</f>
        <v>2025</v>
      </c>
      <c r="I610" s="89">
        <f>MONTH(Tabela1[[#This Row],[Data de Validade]])</f>
        <v>6</v>
      </c>
      <c r="J610" s="101">
        <v>119593</v>
      </c>
      <c r="K610" s="87" t="s">
        <v>9</v>
      </c>
      <c r="L610" s="108"/>
      <c r="M610" s="108"/>
      <c r="N610" s="108" t="str">
        <v>H486H394</v>
      </c>
      <c r="O610" s="108">
        <f t="shared" si="11"/>
        <v>1</v>
      </c>
      <c r="P610" s="108"/>
      <c r="Q610"/>
    </row>
    <row r="611" spans="1:17" x14ac:dyDescent="0.25">
      <c r="A611" s="89" t="s">
        <v>10443</v>
      </c>
      <c r="B611" s="87" t="s">
        <v>10444</v>
      </c>
      <c r="C611" s="87" t="s">
        <v>10</v>
      </c>
      <c r="D611" s="87" t="str">
        <f>VLOOKUP(Tabela1[[#This Row],[Origem]], 'Perguntas 1 a 24'!$J$28:$K$34, 2, 0)</f>
        <v>Centro-Oeste</v>
      </c>
      <c r="E611" s="87" t="str">
        <f>Tabela1[[#This Row],[Descrição]]&amp;"-"&amp;Tabela1[[#This Row],[Código]]&amp;"/"&amp;Tabela1[[#This Row],[Origem]]</f>
        <v>Cotiru-P879H432/GO</v>
      </c>
      <c r="F611" s="88">
        <v>45811</v>
      </c>
      <c r="G611" s="88" t="str" cm="1">
        <f t="array" ref="G6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AND(F611&gt;= DATE(2026,1,1), F611&lt;= DATE(2028, 12, 31), J611&gt;50000), "Pendente e Caro", AND(F611&gt;= DATE(2026,1,1), F611&lt;= DATE(2028, 12, 31), J611&lt;=50000), "Pendente", F611&gt;= DATE(2029,1,1), "Não prioeitário")</f>
        <v>Urgente e Caro</v>
      </c>
      <c r="H611" s="89">
        <f>YEAR(Tabela1[[#This Row],[Data de Validade]])</f>
        <v>2025</v>
      </c>
      <c r="I611" s="89">
        <f>MONTH(Tabela1[[#This Row],[Data de Validade]])</f>
        <v>6</v>
      </c>
      <c r="J611" s="101">
        <v>104202</v>
      </c>
      <c r="K611" s="87" t="s">
        <v>9</v>
      </c>
      <c r="L611" s="108"/>
      <c r="M611" s="108"/>
      <c r="N611" s="108" t="str">
        <v>P879H432</v>
      </c>
      <c r="O611" s="108">
        <f t="shared" si="11"/>
        <v>1</v>
      </c>
      <c r="P611" s="108"/>
      <c r="Q611"/>
    </row>
    <row r="612" spans="1:17" x14ac:dyDescent="0.25">
      <c r="A612" s="89" t="s">
        <v>8390</v>
      </c>
      <c r="B612" s="87" t="s">
        <v>8391</v>
      </c>
      <c r="C612" s="87" t="s">
        <v>6</v>
      </c>
      <c r="D612" s="87" t="str">
        <f>VLOOKUP(Tabela1[[#This Row],[Origem]], 'Perguntas 1 a 24'!$J$28:$K$34, 2, 0)</f>
        <v>Nordeste</v>
      </c>
      <c r="E612" s="87" t="str">
        <f>Tabela1[[#This Row],[Descrição]]&amp;"-"&amp;Tabela1[[#This Row],[Código]]&amp;"/"&amp;Tabela1[[#This Row],[Origem]]</f>
        <v>Fifepatutu-P395P161/MA</v>
      </c>
      <c r="F612" s="88">
        <v>45811</v>
      </c>
      <c r="G612" s="88" t="str" cm="1">
        <f t="array" ref="G6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AND(F612&gt;= DATE(2026,1,1), F612&lt;= DATE(2028, 12, 31), J612&gt;50000), "Pendente e Caro", AND(F612&gt;= DATE(2026,1,1), F612&lt;= DATE(2028, 12, 31), J612&lt;=50000), "Pendente", F612&gt;= DATE(2029,1,1), "Não prioeitário")</f>
        <v>Urgente e Caro</v>
      </c>
      <c r="H612" s="89">
        <f>YEAR(Tabela1[[#This Row],[Data de Validade]])</f>
        <v>2025</v>
      </c>
      <c r="I612" s="89">
        <f>MONTH(Tabela1[[#This Row],[Data de Validade]])</f>
        <v>6</v>
      </c>
      <c r="J612" s="101">
        <v>58561</v>
      </c>
      <c r="K612" s="87" t="s">
        <v>7</v>
      </c>
      <c r="L612" s="108"/>
      <c r="M612" s="108"/>
      <c r="N612" s="108" t="str">
        <v>P395P161</v>
      </c>
      <c r="O612" s="108">
        <f t="shared" si="11"/>
        <v>1</v>
      </c>
      <c r="P612" s="108"/>
      <c r="Q612"/>
    </row>
    <row r="613" spans="1:17" x14ac:dyDescent="0.25">
      <c r="A613" s="89" t="s">
        <v>6232</v>
      </c>
      <c r="B613" s="87" t="s">
        <v>6233</v>
      </c>
      <c r="C613" s="87" t="s">
        <v>12</v>
      </c>
      <c r="D613" s="87" t="str">
        <f>VLOOKUP(Tabela1[[#This Row],[Origem]], 'Perguntas 1 a 24'!$J$28:$K$34, 2, 0)</f>
        <v>Sudeste</v>
      </c>
      <c r="E613" s="87" t="str">
        <f>Tabela1[[#This Row],[Descrição]]&amp;"-"&amp;Tabela1[[#This Row],[Código]]&amp;"/"&amp;Tabela1[[#This Row],[Origem]]</f>
        <v>Ciropororo-H468P587/RJ</v>
      </c>
      <c r="F613" s="88">
        <v>45813</v>
      </c>
      <c r="G613" s="88" t="str" cm="1">
        <f t="array" ref="G6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AND(F613&gt;= DATE(2026,1,1), F613&lt;= DATE(2028, 12, 31), J613&gt;50000), "Pendente e Caro", AND(F613&gt;= DATE(2026,1,1), F613&lt;= DATE(2028, 12, 31), J613&lt;=50000), "Pendente", F613&gt;= DATE(2029,1,1), "Não prioeitário")</f>
        <v>Urgente e Caro</v>
      </c>
      <c r="H613" s="89">
        <f>YEAR(Tabela1[[#This Row],[Data de Validade]])</f>
        <v>2025</v>
      </c>
      <c r="I613" s="89">
        <f>MONTH(Tabela1[[#This Row],[Data de Validade]])</f>
        <v>6</v>
      </c>
      <c r="J613" s="101">
        <v>108981</v>
      </c>
      <c r="K613" s="87" t="s">
        <v>9</v>
      </c>
      <c r="L613" s="108"/>
      <c r="M613" s="108"/>
      <c r="N613" s="108" t="str">
        <v>H468P587</v>
      </c>
      <c r="O613" s="108">
        <f t="shared" si="11"/>
        <v>1</v>
      </c>
      <c r="P613" s="108"/>
      <c r="Q613"/>
    </row>
    <row r="614" spans="1:17" x14ac:dyDescent="0.25">
      <c r="A614" s="89" t="s">
        <v>10147</v>
      </c>
      <c r="B614" s="87" t="s">
        <v>10148</v>
      </c>
      <c r="C614" s="87" t="s">
        <v>13</v>
      </c>
      <c r="D614" s="87" t="str">
        <f>VLOOKUP(Tabela1[[#This Row],[Origem]], 'Perguntas 1 a 24'!$J$28:$K$34, 2, 0)</f>
        <v>Sudeste</v>
      </c>
      <c r="E614" s="87" t="str">
        <f>Tabela1[[#This Row],[Descrição]]&amp;"-"&amp;Tabela1[[#This Row],[Código]]&amp;"/"&amp;Tabela1[[#This Row],[Origem]]</f>
        <v>Tovotegega-P788H658/SP</v>
      </c>
      <c r="F614" s="88">
        <v>45813</v>
      </c>
      <c r="G614" s="88" t="str" cm="1">
        <f t="array" ref="G6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AND(F614&gt;= DATE(2026,1,1), F614&lt;= DATE(2028, 12, 31), J614&gt;50000), "Pendente e Caro", AND(F614&gt;= DATE(2026,1,1), F614&lt;= DATE(2028, 12, 31), J614&lt;=50000), "Pendente", F614&gt;= DATE(2029,1,1), "Não prioeitário")</f>
        <v>Urgente</v>
      </c>
      <c r="H614" s="89">
        <f>YEAR(Tabela1[[#This Row],[Data de Validade]])</f>
        <v>2025</v>
      </c>
      <c r="I614" s="89">
        <f>MONTH(Tabela1[[#This Row],[Data de Validade]])</f>
        <v>6</v>
      </c>
      <c r="J614" s="101">
        <v>45146</v>
      </c>
      <c r="K614" s="87" t="s">
        <v>14</v>
      </c>
      <c r="L614" s="108"/>
      <c r="M614" s="108"/>
      <c r="N614" s="108" t="str">
        <v>P788H658</v>
      </c>
      <c r="O614" s="108">
        <f t="shared" si="11"/>
        <v>1</v>
      </c>
      <c r="P614" s="108"/>
      <c r="Q614"/>
    </row>
    <row r="615" spans="1:17" x14ac:dyDescent="0.25">
      <c r="A615" s="89" t="s">
        <v>10911</v>
      </c>
      <c r="B615" s="87" t="s">
        <v>10912</v>
      </c>
      <c r="C615" s="87" t="s">
        <v>16</v>
      </c>
      <c r="D615" s="87" t="str">
        <f>VLOOKUP(Tabela1[[#This Row],[Origem]], 'Perguntas 1 a 24'!$J$28:$K$34, 2, 0)</f>
        <v>Sudeste</v>
      </c>
      <c r="E615" s="87" t="str">
        <f>Tabela1[[#This Row],[Descrição]]&amp;"-"&amp;Tabela1[[#This Row],[Código]]&amp;"/"&amp;Tabela1[[#This Row],[Origem]]</f>
        <v>Vimegotadu-H873P119/MG</v>
      </c>
      <c r="F615" s="88">
        <v>45815</v>
      </c>
      <c r="G615" s="88" t="str" cm="1">
        <f t="array" ref="G6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AND(F615&gt;= DATE(2026,1,1), F615&lt;= DATE(2028, 12, 31), J615&gt;50000), "Pendente e Caro", AND(F615&gt;= DATE(2026,1,1), F615&lt;= DATE(2028, 12, 31), J615&lt;=50000), "Pendente", F615&gt;= DATE(2029,1,1), "Não prioeitário")</f>
        <v>Urgente e Caro</v>
      </c>
      <c r="H615" s="89">
        <f>YEAR(Tabela1[[#This Row],[Data de Validade]])</f>
        <v>2025</v>
      </c>
      <c r="I615" s="89">
        <f>MONTH(Tabela1[[#This Row],[Data de Validade]])</f>
        <v>6</v>
      </c>
      <c r="J615" s="101">
        <v>111415</v>
      </c>
      <c r="K615" s="87" t="s">
        <v>14</v>
      </c>
      <c r="L615" s="108"/>
      <c r="M615" s="108"/>
      <c r="N615" s="108" t="str">
        <v>H873P119</v>
      </c>
      <c r="O615" s="108">
        <f t="shared" si="11"/>
        <v>1</v>
      </c>
      <c r="P615" s="108"/>
      <c r="Q615"/>
    </row>
    <row r="616" spans="1:17" x14ac:dyDescent="0.25">
      <c r="A616" s="89" t="s">
        <v>8212</v>
      </c>
      <c r="B616" s="87" t="s">
        <v>8213</v>
      </c>
      <c r="C616" s="87" t="s">
        <v>10</v>
      </c>
      <c r="D616" s="87" t="str">
        <f>VLOOKUP(Tabela1[[#This Row],[Origem]], 'Perguntas 1 a 24'!$J$28:$K$34, 2, 0)</f>
        <v>Centro-Oeste</v>
      </c>
      <c r="E616" s="87" t="str">
        <f>Tabela1[[#This Row],[Descrição]]&amp;"-"&amp;Tabela1[[#This Row],[Código]]&amp;"/"&amp;Tabela1[[#This Row],[Origem]]</f>
        <v>Fopurama-H416H823/GO</v>
      </c>
      <c r="F616" s="88">
        <v>45815</v>
      </c>
      <c r="G616" s="88" t="str" cm="1">
        <f t="array" ref="G6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AND(F616&gt;= DATE(2026,1,1), F616&lt;= DATE(2028, 12, 31), J616&gt;50000), "Pendente e Caro", AND(F616&gt;= DATE(2026,1,1), F616&lt;= DATE(2028, 12, 31), J616&lt;=50000), "Pendente", F616&gt;= DATE(2029,1,1), "Não prioeitário")</f>
        <v>Urgente e Caro</v>
      </c>
      <c r="H616" s="89">
        <f>YEAR(Tabela1[[#This Row],[Data de Validade]])</f>
        <v>2025</v>
      </c>
      <c r="I616" s="89">
        <f>MONTH(Tabela1[[#This Row],[Data de Validade]])</f>
        <v>6</v>
      </c>
      <c r="J616" s="101">
        <v>92491</v>
      </c>
      <c r="K616" s="87" t="s">
        <v>14</v>
      </c>
      <c r="L616" s="108"/>
      <c r="M616" s="108"/>
      <c r="N616" s="108" t="str">
        <v>H416H823</v>
      </c>
      <c r="O616" s="108">
        <f t="shared" si="11"/>
        <v>1</v>
      </c>
      <c r="P616" s="108"/>
      <c r="Q616"/>
    </row>
    <row r="617" spans="1:17" x14ac:dyDescent="0.25">
      <c r="A617" s="89" t="s">
        <v>5606</v>
      </c>
      <c r="B617" s="87" t="s">
        <v>5607</v>
      </c>
      <c r="C617" s="87" t="s">
        <v>6</v>
      </c>
      <c r="D617" s="87" t="str">
        <f>VLOOKUP(Tabela1[[#This Row],[Origem]], 'Perguntas 1 a 24'!$J$28:$K$34, 2, 0)</f>
        <v>Nordeste</v>
      </c>
      <c r="E617" s="87" t="str">
        <f>Tabela1[[#This Row],[Descrição]]&amp;"-"&amp;Tabela1[[#This Row],[Código]]&amp;"/"&amp;Tabela1[[#This Row],[Origem]]</f>
        <v>Puperafova-H765H348/MA</v>
      </c>
      <c r="F617" s="88">
        <v>45815</v>
      </c>
      <c r="G617" s="88" t="str" cm="1">
        <f t="array" ref="G6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AND(F617&gt;= DATE(2026,1,1), F617&lt;= DATE(2028, 12, 31), J617&gt;50000), "Pendente e Caro", AND(F617&gt;= DATE(2026,1,1), F617&lt;= DATE(2028, 12, 31), J617&lt;=50000), "Pendente", F617&gt;= DATE(2029,1,1), "Não prioeitário")</f>
        <v>Urgente e Caro</v>
      </c>
      <c r="H617" s="89">
        <f>YEAR(Tabela1[[#This Row],[Data de Validade]])</f>
        <v>2025</v>
      </c>
      <c r="I617" s="89">
        <f>MONTH(Tabela1[[#This Row],[Data de Validade]])</f>
        <v>6</v>
      </c>
      <c r="J617" s="101">
        <v>77227</v>
      </c>
      <c r="K617" s="87" t="s">
        <v>11</v>
      </c>
      <c r="L617" s="108"/>
      <c r="M617" s="108"/>
      <c r="N617" s="108" t="str">
        <v>H765H348</v>
      </c>
      <c r="O617" s="108">
        <f t="shared" si="11"/>
        <v>1</v>
      </c>
      <c r="P617" s="108"/>
      <c r="Q617"/>
    </row>
    <row r="618" spans="1:17" x14ac:dyDescent="0.25">
      <c r="A618" s="89" t="s">
        <v>5004</v>
      </c>
      <c r="B618" s="87" t="s">
        <v>5005</v>
      </c>
      <c r="C618" s="87" t="s">
        <v>6</v>
      </c>
      <c r="D618" s="87" t="str">
        <f>VLOOKUP(Tabela1[[#This Row],[Origem]], 'Perguntas 1 a 24'!$J$28:$K$34, 2, 0)</f>
        <v>Nordeste</v>
      </c>
      <c r="E618" s="87" t="str">
        <f>Tabela1[[#This Row],[Descrição]]&amp;"-"&amp;Tabela1[[#This Row],[Código]]&amp;"/"&amp;Tabela1[[#This Row],[Origem]]</f>
        <v>Depepe-H323H153/MA</v>
      </c>
      <c r="F618" s="88">
        <v>45815</v>
      </c>
      <c r="G618" s="88" t="str" cm="1">
        <f t="array" ref="G6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AND(F618&gt;= DATE(2026,1,1), F618&lt;= DATE(2028, 12, 31), J618&gt;50000), "Pendente e Caro", AND(F618&gt;= DATE(2026,1,1), F618&lt;= DATE(2028, 12, 31), J618&lt;=50000), "Pendente", F618&gt;= DATE(2029,1,1), "Não prioeitário")</f>
        <v>Urgente e Caro</v>
      </c>
      <c r="H618" s="89">
        <f>YEAR(Tabela1[[#This Row],[Data de Validade]])</f>
        <v>2025</v>
      </c>
      <c r="I618" s="89">
        <f>MONTH(Tabela1[[#This Row],[Data de Validade]])</f>
        <v>6</v>
      </c>
      <c r="J618" s="101">
        <v>61836</v>
      </c>
      <c r="K618" s="87" t="s">
        <v>14</v>
      </c>
      <c r="L618" s="108"/>
      <c r="M618" s="108"/>
      <c r="N618" s="108" t="str">
        <v>H323H153</v>
      </c>
      <c r="O618" s="108">
        <f t="shared" si="11"/>
        <v>1</v>
      </c>
      <c r="P618" s="108"/>
      <c r="Q618"/>
    </row>
    <row r="619" spans="1:17" x14ac:dyDescent="0.25">
      <c r="A619" s="89" t="s">
        <v>10025</v>
      </c>
      <c r="B619" s="87" t="s">
        <v>10026</v>
      </c>
      <c r="C619" s="87" t="s">
        <v>16</v>
      </c>
      <c r="D619" s="87" t="str">
        <f>VLOOKUP(Tabela1[[#This Row],[Origem]], 'Perguntas 1 a 24'!$J$28:$K$34, 2, 0)</f>
        <v>Sudeste</v>
      </c>
      <c r="E619" s="87" t="str">
        <f>Tabela1[[#This Row],[Descrição]]&amp;"-"&amp;Tabela1[[#This Row],[Código]]&amp;"/"&amp;Tabela1[[#This Row],[Origem]]</f>
        <v>Reririve-P722H435/MG</v>
      </c>
      <c r="F619" s="88">
        <v>45815</v>
      </c>
      <c r="G619" s="88" t="str" cm="1">
        <f t="array" ref="G6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AND(F619&gt;= DATE(2026,1,1), F619&lt;= DATE(2028, 12, 31), J619&gt;50000), "Pendente e Caro", AND(F619&gt;= DATE(2026,1,1), F619&lt;= DATE(2028, 12, 31), J619&lt;=50000), "Pendente", F619&gt;= DATE(2029,1,1), "Não prioeitário")</f>
        <v>Urgente</v>
      </c>
      <c r="H619" s="89">
        <f>YEAR(Tabela1[[#This Row],[Data de Validade]])</f>
        <v>2025</v>
      </c>
      <c r="I619" s="89">
        <f>MONTH(Tabela1[[#This Row],[Data de Validade]])</f>
        <v>6</v>
      </c>
      <c r="J619" s="101">
        <v>22958</v>
      </c>
      <c r="K619" s="87" t="s">
        <v>11</v>
      </c>
      <c r="L619" s="108"/>
      <c r="M619" s="108"/>
      <c r="N619" s="108" t="str">
        <v>P722H435</v>
      </c>
      <c r="O619" s="108">
        <f t="shared" si="11"/>
        <v>1</v>
      </c>
      <c r="P619" s="108"/>
      <c r="Q619"/>
    </row>
    <row r="620" spans="1:17" x14ac:dyDescent="0.25">
      <c r="A620" s="89" t="s">
        <v>7478</v>
      </c>
      <c r="B620" s="87" t="s">
        <v>7479</v>
      </c>
      <c r="C620" s="87" t="s">
        <v>15</v>
      </c>
      <c r="D620" s="87" t="str">
        <f>VLOOKUP(Tabela1[[#This Row],[Origem]], 'Perguntas 1 a 24'!$J$28:$K$34, 2, 0)</f>
        <v>Sudeste</v>
      </c>
      <c r="E620" s="87" t="str">
        <f>Tabela1[[#This Row],[Descrição]]&amp;"-"&amp;Tabela1[[#This Row],[Código]]&amp;"/"&amp;Tabela1[[#This Row],[Origem]]</f>
        <v>Norapunupu-H663P358/ES</v>
      </c>
      <c r="F620" s="88">
        <v>45816</v>
      </c>
      <c r="G620" s="88" t="str" cm="1">
        <f t="array" ref="G6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AND(F620&gt;= DATE(2026,1,1), F620&lt;= DATE(2028, 12, 31), J620&gt;50000), "Pendente e Caro", AND(F620&gt;= DATE(2026,1,1), F620&lt;= DATE(2028, 12, 31), J620&lt;=50000), "Pendente", F620&gt;= DATE(2029,1,1), "Não prioeitário")</f>
        <v>Urgente e Caro</v>
      </c>
      <c r="H620" s="89">
        <f>YEAR(Tabela1[[#This Row],[Data de Validade]])</f>
        <v>2025</v>
      </c>
      <c r="I620" s="89">
        <f>MONTH(Tabela1[[#This Row],[Data de Validade]])</f>
        <v>6</v>
      </c>
      <c r="J620" s="101">
        <v>82847</v>
      </c>
      <c r="K620" s="87" t="s">
        <v>9</v>
      </c>
      <c r="L620" s="108"/>
      <c r="M620" s="108"/>
      <c r="N620" s="108" t="str">
        <v>H663P358</v>
      </c>
      <c r="O620" s="108">
        <f t="shared" si="11"/>
        <v>1</v>
      </c>
      <c r="P620" s="108"/>
      <c r="Q620"/>
    </row>
    <row r="621" spans="1:17" x14ac:dyDescent="0.25">
      <c r="A621" s="89" t="s">
        <v>4754</v>
      </c>
      <c r="B621" s="87" t="s">
        <v>4755</v>
      </c>
      <c r="C621" s="87" t="s">
        <v>6</v>
      </c>
      <c r="D621" s="87" t="str">
        <f>VLOOKUP(Tabela1[[#This Row],[Origem]], 'Perguntas 1 a 24'!$J$28:$K$34, 2, 0)</f>
        <v>Nordeste</v>
      </c>
      <c r="E621" s="87" t="str">
        <f>Tabela1[[#This Row],[Descrição]]&amp;"-"&amp;Tabela1[[#This Row],[Código]]&amp;"/"&amp;Tabela1[[#This Row],[Origem]]</f>
        <v>Rucomepiru-P989P638/MA</v>
      </c>
      <c r="F621" s="88">
        <v>45816</v>
      </c>
      <c r="G621" s="88" t="str" cm="1">
        <f t="array" ref="G6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AND(F621&gt;= DATE(2026,1,1), F621&lt;= DATE(2028, 12, 31), J621&gt;50000), "Pendente e Caro", AND(F621&gt;= DATE(2026,1,1), F621&lt;= DATE(2028, 12, 31), J621&lt;=50000), "Pendente", F621&gt;= DATE(2029,1,1), "Não prioeitário")</f>
        <v>Urgente</v>
      </c>
      <c r="H621" s="89">
        <f>YEAR(Tabela1[[#This Row],[Data de Validade]])</f>
        <v>2025</v>
      </c>
      <c r="I621" s="89">
        <f>MONTH(Tabela1[[#This Row],[Data de Validade]])</f>
        <v>6</v>
      </c>
      <c r="J621" s="101">
        <v>48492</v>
      </c>
      <c r="K621" s="87" t="s">
        <v>9</v>
      </c>
      <c r="L621" s="108"/>
      <c r="M621" s="108"/>
      <c r="N621" s="108" t="str">
        <v>P989P638</v>
      </c>
      <c r="O621" s="108">
        <f t="shared" si="11"/>
        <v>1</v>
      </c>
      <c r="P621" s="108"/>
      <c r="Q621"/>
    </row>
    <row r="622" spans="1:17" x14ac:dyDescent="0.25">
      <c r="A622" s="89" t="s">
        <v>5816</v>
      </c>
      <c r="B622" s="87" t="s">
        <v>5817</v>
      </c>
      <c r="C622" s="87" t="s">
        <v>15</v>
      </c>
      <c r="D622" s="87" t="str">
        <f>VLOOKUP(Tabela1[[#This Row],[Origem]], 'Perguntas 1 a 24'!$J$28:$K$34, 2, 0)</f>
        <v>Sudeste</v>
      </c>
      <c r="E622" s="87" t="str">
        <f>Tabela1[[#This Row],[Descrição]]&amp;"-"&amp;Tabela1[[#This Row],[Código]]&amp;"/"&amp;Tabela1[[#This Row],[Origem]]</f>
        <v>Tudavepodi-P887H595/ES</v>
      </c>
      <c r="F622" s="88">
        <v>45818</v>
      </c>
      <c r="G622" s="88" t="str" cm="1">
        <f t="array" ref="G6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AND(F622&gt;= DATE(2026,1,1), F622&lt;= DATE(2028, 12, 31), J622&gt;50000), "Pendente e Caro", AND(F622&gt;= DATE(2026,1,1), F622&lt;= DATE(2028, 12, 31), J622&lt;=50000), "Pendente", F622&gt;= DATE(2029,1,1), "Não prioeitário")</f>
        <v>Urgente e Caro</v>
      </c>
      <c r="H622" s="89">
        <f>YEAR(Tabela1[[#This Row],[Data de Validade]])</f>
        <v>2025</v>
      </c>
      <c r="I622" s="89">
        <f>MONTH(Tabela1[[#This Row],[Data de Validade]])</f>
        <v>6</v>
      </c>
      <c r="J622" s="101">
        <v>83818</v>
      </c>
      <c r="K622" s="87" t="s">
        <v>7</v>
      </c>
      <c r="L622" s="108"/>
      <c r="M622" s="108"/>
      <c r="N622" s="108" t="str">
        <v>P887H595</v>
      </c>
      <c r="O622" s="108">
        <f t="shared" si="11"/>
        <v>1</v>
      </c>
      <c r="P622" s="108"/>
      <c r="Q622"/>
    </row>
    <row r="623" spans="1:17" x14ac:dyDescent="0.25">
      <c r="A623" s="89" t="s">
        <v>5686</v>
      </c>
      <c r="B623" s="87" t="s">
        <v>5687</v>
      </c>
      <c r="C623" s="87" t="s">
        <v>15</v>
      </c>
      <c r="D623" s="87" t="str">
        <f>VLOOKUP(Tabela1[[#This Row],[Origem]], 'Perguntas 1 a 24'!$J$28:$K$34, 2, 0)</f>
        <v>Sudeste</v>
      </c>
      <c r="E623" s="87" t="str">
        <f>Tabela1[[#This Row],[Descrição]]&amp;"-"&amp;Tabela1[[#This Row],[Código]]&amp;"/"&amp;Tabela1[[#This Row],[Origem]]</f>
        <v>Relutepe-P667H449/ES</v>
      </c>
      <c r="F623" s="88">
        <v>45818</v>
      </c>
      <c r="G623" s="88" t="str" cm="1">
        <f t="array" ref="G6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AND(F623&gt;= DATE(2026,1,1), F623&lt;= DATE(2028, 12, 31), J623&gt;50000), "Pendente e Caro", AND(F623&gt;= DATE(2026,1,1), F623&lt;= DATE(2028, 12, 31), J623&lt;=50000), "Pendente", F623&gt;= DATE(2029,1,1), "Não prioeitário")</f>
        <v>Urgente e Caro</v>
      </c>
      <c r="H623" s="89">
        <f>YEAR(Tabela1[[#This Row],[Data de Validade]])</f>
        <v>2025</v>
      </c>
      <c r="I623" s="89">
        <f>MONTH(Tabela1[[#This Row],[Data de Validade]])</f>
        <v>6</v>
      </c>
      <c r="J623" s="101">
        <v>73248</v>
      </c>
      <c r="K623" s="87" t="s">
        <v>7</v>
      </c>
      <c r="L623" s="108"/>
      <c r="M623" s="108"/>
      <c r="N623" s="108" t="str">
        <v>P667H449</v>
      </c>
      <c r="O623" s="108">
        <f t="shared" si="11"/>
        <v>1</v>
      </c>
      <c r="P623" s="108"/>
      <c r="Q623"/>
    </row>
    <row r="624" spans="1:17" x14ac:dyDescent="0.25">
      <c r="A624" s="89" t="s">
        <v>10729</v>
      </c>
      <c r="B624" s="87" t="s">
        <v>10730</v>
      </c>
      <c r="C624" s="87" t="s">
        <v>8</v>
      </c>
      <c r="D624" s="87" t="str">
        <f>VLOOKUP(Tabela1[[#This Row],[Origem]], 'Perguntas 1 a 24'!$J$28:$K$34, 2, 0)</f>
        <v>Nordeste</v>
      </c>
      <c r="E624" s="87" t="str">
        <f>Tabela1[[#This Row],[Descrição]]&amp;"-"&amp;Tabela1[[#This Row],[Código]]&amp;"/"&amp;Tabela1[[#This Row],[Origem]]</f>
        <v>Gelere-P953H968/AL</v>
      </c>
      <c r="F624" s="88">
        <v>45819</v>
      </c>
      <c r="G624" s="88" t="str" cm="1">
        <f t="array" ref="G6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AND(F624&gt;= DATE(2026,1,1), F624&lt;= DATE(2028, 12, 31), J624&gt;50000), "Pendente e Caro", AND(F624&gt;= DATE(2026,1,1), F624&lt;= DATE(2028, 12, 31), J624&lt;=50000), "Pendente", F624&gt;= DATE(2029,1,1), "Não prioeitário")</f>
        <v>Urgente e Caro</v>
      </c>
      <c r="H624" s="89">
        <f>YEAR(Tabela1[[#This Row],[Data de Validade]])</f>
        <v>2025</v>
      </c>
      <c r="I624" s="89">
        <f>MONTH(Tabela1[[#This Row],[Data de Validade]])</f>
        <v>6</v>
      </c>
      <c r="J624" s="101">
        <v>60982</v>
      </c>
      <c r="K624" s="87" t="s">
        <v>7</v>
      </c>
      <c r="L624" s="108"/>
      <c r="M624" s="108"/>
      <c r="N624" s="108" t="str">
        <v>P953H968</v>
      </c>
      <c r="O624" s="108">
        <f t="shared" si="11"/>
        <v>1</v>
      </c>
      <c r="P624" s="108"/>
      <c r="Q624"/>
    </row>
    <row r="625" spans="1:17" x14ac:dyDescent="0.25">
      <c r="A625" s="89" t="s">
        <v>9287</v>
      </c>
      <c r="B625" s="87" t="s">
        <v>9288</v>
      </c>
      <c r="C625" s="87" t="s">
        <v>8</v>
      </c>
      <c r="D625" s="87" t="str">
        <f>VLOOKUP(Tabela1[[#This Row],[Origem]], 'Perguntas 1 a 24'!$J$28:$K$34, 2, 0)</f>
        <v>Nordeste</v>
      </c>
      <c r="E625" s="87" t="str">
        <f>Tabela1[[#This Row],[Descrição]]&amp;"-"&amp;Tabela1[[#This Row],[Código]]&amp;"/"&amp;Tabela1[[#This Row],[Origem]]</f>
        <v>Mevofo-H299P662/AL</v>
      </c>
      <c r="F625" s="88">
        <v>45819</v>
      </c>
      <c r="G625" s="88" t="str" cm="1">
        <f t="array" ref="G6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AND(F625&gt;= DATE(2026,1,1), F625&lt;= DATE(2028, 12, 31), J625&gt;50000), "Pendente e Caro", AND(F625&gt;= DATE(2026,1,1), F625&lt;= DATE(2028, 12, 31), J625&lt;=50000), "Pendente", F625&gt;= DATE(2029,1,1), "Não prioeitário")</f>
        <v>Urgente e Caro</v>
      </c>
      <c r="H625" s="89">
        <f>YEAR(Tabela1[[#This Row],[Data de Validade]])</f>
        <v>2025</v>
      </c>
      <c r="I625" s="89">
        <f>MONTH(Tabela1[[#This Row],[Data de Validade]])</f>
        <v>6</v>
      </c>
      <c r="J625" s="101">
        <v>54585</v>
      </c>
      <c r="K625" s="87" t="s">
        <v>9</v>
      </c>
      <c r="L625" s="108"/>
      <c r="M625" s="108"/>
      <c r="N625" s="108" t="str">
        <v>H299P662</v>
      </c>
      <c r="O625" s="108">
        <f t="shared" si="11"/>
        <v>1</v>
      </c>
      <c r="P625" s="108"/>
      <c r="Q625"/>
    </row>
    <row r="626" spans="1:17" x14ac:dyDescent="0.25">
      <c r="A626" s="89" t="s">
        <v>5256</v>
      </c>
      <c r="B626" s="87" t="s">
        <v>5257</v>
      </c>
      <c r="C626" s="87" t="s">
        <v>6</v>
      </c>
      <c r="D626" s="87" t="str">
        <f>VLOOKUP(Tabela1[[#This Row],[Origem]], 'Perguntas 1 a 24'!$J$28:$K$34, 2, 0)</f>
        <v>Nordeste</v>
      </c>
      <c r="E626" s="87" t="str">
        <f>Tabela1[[#This Row],[Descrição]]&amp;"-"&amp;Tabela1[[#This Row],[Código]]&amp;"/"&amp;Tabela1[[#This Row],[Origem]]</f>
        <v>Pogupamopu-P546H313/MA</v>
      </c>
      <c r="F626" s="88">
        <v>45819</v>
      </c>
      <c r="G626" s="88" t="str" cm="1">
        <f t="array" ref="G6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AND(F626&gt;= DATE(2026,1,1), F626&lt;= DATE(2028, 12, 31), J626&gt;50000), "Pendente e Caro", AND(F626&gt;= DATE(2026,1,1), F626&lt;= DATE(2028, 12, 31), J626&lt;=50000), "Pendente", F626&gt;= DATE(2029,1,1), "Não prioeitário")</f>
        <v>Urgente</v>
      </c>
      <c r="H626" s="89">
        <f>YEAR(Tabela1[[#This Row],[Data de Validade]])</f>
        <v>2025</v>
      </c>
      <c r="I626" s="89">
        <f>MONTH(Tabela1[[#This Row],[Data de Validade]])</f>
        <v>6</v>
      </c>
      <c r="J626" s="101">
        <v>30564</v>
      </c>
      <c r="K626" s="87" t="s">
        <v>14</v>
      </c>
      <c r="L626" s="108"/>
      <c r="M626" s="108"/>
      <c r="N626" s="108" t="str">
        <v>P546H313</v>
      </c>
      <c r="O626" s="108">
        <f t="shared" si="11"/>
        <v>1</v>
      </c>
      <c r="P626" s="108"/>
      <c r="Q626"/>
    </row>
    <row r="627" spans="1:17" x14ac:dyDescent="0.25">
      <c r="A627" s="89" t="s">
        <v>9353</v>
      </c>
      <c r="B627" s="87" t="s">
        <v>9354</v>
      </c>
      <c r="C627" s="87" t="s">
        <v>16</v>
      </c>
      <c r="D627" s="87" t="str">
        <f>VLOOKUP(Tabela1[[#This Row],[Origem]], 'Perguntas 1 a 24'!$J$28:$K$34, 2, 0)</f>
        <v>Sudeste</v>
      </c>
      <c r="E627" s="87" t="str">
        <f>Tabela1[[#This Row],[Descrição]]&amp;"-"&amp;Tabela1[[#This Row],[Código]]&amp;"/"&amp;Tabela1[[#This Row],[Origem]]</f>
        <v>Raditino-P892H215/MG</v>
      </c>
      <c r="F627" s="88">
        <v>45822</v>
      </c>
      <c r="G627" s="88" t="str" cm="1">
        <f t="array" ref="G6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AND(F627&gt;= DATE(2026,1,1), F627&lt;= DATE(2028, 12, 31), J627&gt;50000), "Pendente e Caro", AND(F627&gt;= DATE(2026,1,1), F627&lt;= DATE(2028, 12, 31), J627&lt;=50000), "Pendente", F627&gt;= DATE(2029,1,1), "Não prioeitário")</f>
        <v>Urgente e Caro</v>
      </c>
      <c r="H627" s="89">
        <f>YEAR(Tabela1[[#This Row],[Data de Validade]])</f>
        <v>2025</v>
      </c>
      <c r="I627" s="89">
        <f>MONTH(Tabela1[[#This Row],[Data de Validade]])</f>
        <v>6</v>
      </c>
      <c r="J627" s="101">
        <v>72219</v>
      </c>
      <c r="K627" s="87" t="s">
        <v>14</v>
      </c>
      <c r="L627" s="108"/>
      <c r="M627" s="108"/>
      <c r="N627" s="108" t="str">
        <v>P892H215</v>
      </c>
      <c r="O627" s="108">
        <f t="shared" si="11"/>
        <v>1</v>
      </c>
      <c r="P627" s="108"/>
      <c r="Q627"/>
    </row>
    <row r="628" spans="1:17" x14ac:dyDescent="0.25">
      <c r="A628" s="89" t="s">
        <v>6248</v>
      </c>
      <c r="B628" s="87" t="s">
        <v>6249</v>
      </c>
      <c r="C628" s="87" t="s">
        <v>8</v>
      </c>
      <c r="D628" s="87" t="str">
        <f>VLOOKUP(Tabela1[[#This Row],[Origem]], 'Perguntas 1 a 24'!$J$28:$K$34, 2, 0)</f>
        <v>Nordeste</v>
      </c>
      <c r="E628" s="87" t="str">
        <f>Tabela1[[#This Row],[Descrição]]&amp;"-"&amp;Tabela1[[#This Row],[Código]]&amp;"/"&amp;Tabela1[[#This Row],[Origem]]</f>
        <v>Tedireculu-H541H189/AL</v>
      </c>
      <c r="F628" s="88">
        <v>45822</v>
      </c>
      <c r="G628" s="88" t="str" cm="1">
        <f t="array" ref="G6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AND(F628&gt;= DATE(2026,1,1), F628&lt;= DATE(2028, 12, 31), J628&gt;50000), "Pendente e Caro", AND(F628&gt;= DATE(2026,1,1), F628&lt;= DATE(2028, 12, 31), J628&lt;=50000), "Pendente", F628&gt;= DATE(2029,1,1), "Não prioeitário")</f>
        <v>Urgente</v>
      </c>
      <c r="H628" s="89">
        <f>YEAR(Tabela1[[#This Row],[Data de Validade]])</f>
        <v>2025</v>
      </c>
      <c r="I628" s="89">
        <f>MONTH(Tabela1[[#This Row],[Data de Validade]])</f>
        <v>6</v>
      </c>
      <c r="J628" s="101">
        <v>48733</v>
      </c>
      <c r="K628" s="87" t="s">
        <v>11</v>
      </c>
      <c r="L628" s="108"/>
      <c r="M628" s="108"/>
      <c r="N628" s="108" t="str">
        <v>H541H189</v>
      </c>
      <c r="O628" s="108">
        <f t="shared" si="11"/>
        <v>1</v>
      </c>
      <c r="P628" s="108"/>
      <c r="Q628"/>
    </row>
    <row r="629" spans="1:17" x14ac:dyDescent="0.25">
      <c r="A629" s="89" t="s">
        <v>11056</v>
      </c>
      <c r="B629" s="87" t="s">
        <v>11057</v>
      </c>
      <c r="C629" s="87" t="s">
        <v>10</v>
      </c>
      <c r="D629" s="87" t="str">
        <f>VLOOKUP(Tabela1[[#This Row],[Origem]], 'Perguntas 1 a 24'!$J$28:$K$34, 2, 0)</f>
        <v>Centro-Oeste</v>
      </c>
      <c r="E629" s="87" t="str">
        <f>Tabela1[[#This Row],[Descrição]]&amp;"-"&amp;Tabela1[[#This Row],[Código]]&amp;"/"&amp;Tabela1[[#This Row],[Origem]]</f>
        <v>Pipigufipa-P595P183/GO</v>
      </c>
      <c r="F629" s="88">
        <v>45824</v>
      </c>
      <c r="G629" s="88" t="str" cm="1">
        <f t="array" ref="G6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AND(F629&gt;= DATE(2026,1,1), F629&lt;= DATE(2028, 12, 31), J629&gt;50000), "Pendente e Caro", AND(F629&gt;= DATE(2026,1,1), F629&lt;= DATE(2028, 12, 31), J629&lt;=50000), "Pendente", F629&gt;= DATE(2029,1,1), "Não prioeitário")</f>
        <v>Urgente e Caro</v>
      </c>
      <c r="H629" s="89">
        <f>YEAR(Tabela1[[#This Row],[Data de Validade]])</f>
        <v>2025</v>
      </c>
      <c r="I629" s="89">
        <f>MONTH(Tabela1[[#This Row],[Data de Validade]])</f>
        <v>6</v>
      </c>
      <c r="J629" s="101">
        <v>102178</v>
      </c>
      <c r="K629" s="87" t="s">
        <v>11</v>
      </c>
      <c r="L629" s="108"/>
      <c r="M629" s="108"/>
      <c r="N629" s="108" t="str">
        <v>P595P183</v>
      </c>
      <c r="O629" s="108">
        <f t="shared" si="11"/>
        <v>1</v>
      </c>
      <c r="P629" s="108"/>
      <c r="Q629"/>
    </row>
    <row r="630" spans="1:17" x14ac:dyDescent="0.25">
      <c r="A630" s="89" t="s">
        <v>4243</v>
      </c>
      <c r="B630" s="87" t="s">
        <v>4244</v>
      </c>
      <c r="C630" s="87" t="s">
        <v>6</v>
      </c>
      <c r="D630" s="87" t="str">
        <f>VLOOKUP(Tabela1[[#This Row],[Origem]], 'Perguntas 1 a 24'!$J$28:$K$34, 2, 0)</f>
        <v>Nordeste</v>
      </c>
      <c r="E630" s="87" t="str">
        <f>Tabela1[[#This Row],[Descrição]]&amp;"-"&amp;Tabela1[[#This Row],[Código]]&amp;"/"&amp;Tabela1[[#This Row],[Origem]]</f>
        <v>Lipevuleca-H464H596/MA</v>
      </c>
      <c r="F630" s="88">
        <v>45826</v>
      </c>
      <c r="G630" s="88" t="str" cm="1">
        <f t="array" ref="G6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AND(F630&gt;= DATE(2026,1,1), F630&lt;= DATE(2028, 12, 31), J630&gt;50000), "Pendente e Caro", AND(F630&gt;= DATE(2026,1,1), F630&lt;= DATE(2028, 12, 31), J630&lt;=50000), "Pendente", F630&gt;= DATE(2029,1,1), "Não prioeitário")</f>
        <v>Urgente</v>
      </c>
      <c r="H630" s="89">
        <f>YEAR(Tabela1[[#This Row],[Data de Validade]])</f>
        <v>2025</v>
      </c>
      <c r="I630" s="89">
        <f>MONTH(Tabela1[[#This Row],[Data de Validade]])</f>
        <v>6</v>
      </c>
      <c r="J630" s="101">
        <v>28305</v>
      </c>
      <c r="K630" s="87" t="s">
        <v>7</v>
      </c>
      <c r="L630" s="108"/>
      <c r="M630" s="108"/>
      <c r="N630" s="108" t="str">
        <v>H464H596</v>
      </c>
      <c r="O630" s="108">
        <f t="shared" si="11"/>
        <v>1</v>
      </c>
      <c r="P630" s="108"/>
      <c r="Q630"/>
    </row>
    <row r="631" spans="1:17" x14ac:dyDescent="0.25">
      <c r="A631" s="89" t="s">
        <v>7994</v>
      </c>
      <c r="B631" s="87" t="s">
        <v>7995</v>
      </c>
      <c r="C631" s="87" t="s">
        <v>13</v>
      </c>
      <c r="D631" s="87" t="str">
        <f>VLOOKUP(Tabela1[[#This Row],[Origem]], 'Perguntas 1 a 24'!$J$28:$K$34, 2, 0)</f>
        <v>Sudeste</v>
      </c>
      <c r="E631" s="87" t="str">
        <f>Tabela1[[#This Row],[Descrição]]&amp;"-"&amp;Tabela1[[#This Row],[Código]]&amp;"/"&amp;Tabela1[[#This Row],[Origem]]</f>
        <v>Padeparece-H545P464/SP</v>
      </c>
      <c r="F631" s="88">
        <v>45828</v>
      </c>
      <c r="G631" s="88" t="str" cm="1">
        <f t="array" ref="G6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AND(F631&gt;= DATE(2026,1,1), F631&lt;= DATE(2028, 12, 31), J631&gt;50000), "Pendente e Caro", AND(F631&gt;= DATE(2026,1,1), F631&lt;= DATE(2028, 12, 31), J631&lt;=50000), "Pendente", F631&gt;= DATE(2029,1,1), "Não prioeitário")</f>
        <v>Urgente e Caro</v>
      </c>
      <c r="H631" s="89">
        <f>YEAR(Tabela1[[#This Row],[Data de Validade]])</f>
        <v>2025</v>
      </c>
      <c r="I631" s="89">
        <f>MONTH(Tabela1[[#This Row],[Data de Validade]])</f>
        <v>6</v>
      </c>
      <c r="J631" s="101">
        <v>98839</v>
      </c>
      <c r="K631" s="87" t="s">
        <v>9</v>
      </c>
      <c r="L631" s="108"/>
      <c r="M631" s="108"/>
      <c r="N631" s="108" t="str">
        <v>H545P464</v>
      </c>
      <c r="O631" s="108">
        <f t="shared" si="11"/>
        <v>1</v>
      </c>
      <c r="P631" s="108"/>
      <c r="Q631"/>
    </row>
    <row r="632" spans="1:17" x14ac:dyDescent="0.25">
      <c r="A632" s="89" t="s">
        <v>5792</v>
      </c>
      <c r="B632" s="87" t="s">
        <v>5793</v>
      </c>
      <c r="C632" s="87" t="s">
        <v>15</v>
      </c>
      <c r="D632" s="87" t="str">
        <f>VLOOKUP(Tabela1[[#This Row],[Origem]], 'Perguntas 1 a 24'!$J$28:$K$34, 2, 0)</f>
        <v>Sudeste</v>
      </c>
      <c r="E632" s="87" t="str">
        <f>Tabela1[[#This Row],[Descrição]]&amp;"-"&amp;Tabela1[[#This Row],[Código]]&amp;"/"&amp;Tabela1[[#This Row],[Origem]]</f>
        <v>Pufipucute-H514P451/ES</v>
      </c>
      <c r="F632" s="88">
        <v>45828</v>
      </c>
      <c r="G632" s="88" t="str" cm="1">
        <f t="array" ref="G6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AND(F632&gt;= DATE(2026,1,1), F632&lt;= DATE(2028, 12, 31), J632&gt;50000), "Pendente e Caro", AND(F632&gt;= DATE(2026,1,1), F632&lt;= DATE(2028, 12, 31), J632&lt;=50000), "Pendente", F632&gt;= DATE(2029,1,1), "Não prioeitário")</f>
        <v>Urgente</v>
      </c>
      <c r="H632" s="89">
        <f>YEAR(Tabela1[[#This Row],[Data de Validade]])</f>
        <v>2025</v>
      </c>
      <c r="I632" s="89">
        <f>MONTH(Tabela1[[#This Row],[Data de Validade]])</f>
        <v>6</v>
      </c>
      <c r="J632" s="101">
        <v>39162</v>
      </c>
      <c r="K632" s="87" t="s">
        <v>11</v>
      </c>
      <c r="L632" s="108"/>
      <c r="M632" s="108"/>
      <c r="N632" s="108" t="str">
        <v>H514P451</v>
      </c>
      <c r="O632" s="108">
        <f t="shared" si="11"/>
        <v>1</v>
      </c>
      <c r="P632" s="108"/>
      <c r="Q632"/>
    </row>
    <row r="633" spans="1:17" x14ac:dyDescent="0.25">
      <c r="A633" s="89" t="s">
        <v>4221</v>
      </c>
      <c r="B633" s="87" t="s">
        <v>4222</v>
      </c>
      <c r="C633" s="87" t="s">
        <v>15</v>
      </c>
      <c r="D633" s="87" t="str">
        <f>VLOOKUP(Tabela1[[#This Row],[Origem]], 'Perguntas 1 a 24'!$J$28:$K$34, 2, 0)</f>
        <v>Sudeste</v>
      </c>
      <c r="E633" s="87" t="str">
        <f>Tabela1[[#This Row],[Descrição]]&amp;"-"&amp;Tabela1[[#This Row],[Código]]&amp;"/"&amp;Tabela1[[#This Row],[Origem]]</f>
        <v>Celutetilu-H114H214/ES</v>
      </c>
      <c r="F633" s="88">
        <v>45829</v>
      </c>
      <c r="G633" s="88" t="str" cm="1">
        <f t="array" ref="G6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AND(F633&gt;= DATE(2026,1,1), F633&lt;= DATE(2028, 12, 31), J633&gt;50000), "Pendente e Caro", AND(F633&gt;= DATE(2026,1,1), F633&lt;= DATE(2028, 12, 31), J633&lt;=50000), "Pendente", F633&gt;= DATE(2029,1,1), "Não prioeitário")</f>
        <v>Urgente e Caro</v>
      </c>
      <c r="H633" s="89">
        <f>YEAR(Tabela1[[#This Row],[Data de Validade]])</f>
        <v>2025</v>
      </c>
      <c r="I633" s="89">
        <f>MONTH(Tabela1[[#This Row],[Data de Validade]])</f>
        <v>6</v>
      </c>
      <c r="J633" s="101">
        <v>90717</v>
      </c>
      <c r="K633" s="87" t="s">
        <v>14</v>
      </c>
      <c r="L633" s="108"/>
      <c r="M633" s="108"/>
      <c r="N633" s="108" t="str">
        <v>H114H214</v>
      </c>
      <c r="O633" s="108">
        <f t="shared" si="11"/>
        <v>1</v>
      </c>
      <c r="P633" s="108"/>
      <c r="Q633"/>
    </row>
    <row r="634" spans="1:17" x14ac:dyDescent="0.25">
      <c r="A634" s="89" t="s">
        <v>7334</v>
      </c>
      <c r="B634" s="87" t="s">
        <v>7335</v>
      </c>
      <c r="C634" s="87" t="s">
        <v>13</v>
      </c>
      <c r="D634" s="87" t="str">
        <f>VLOOKUP(Tabela1[[#This Row],[Origem]], 'Perguntas 1 a 24'!$J$28:$K$34, 2, 0)</f>
        <v>Sudeste</v>
      </c>
      <c r="E634" s="87" t="str">
        <f>Tabela1[[#This Row],[Descrição]]&amp;"-"&amp;Tabela1[[#This Row],[Código]]&amp;"/"&amp;Tabela1[[#This Row],[Origem]]</f>
        <v>Donarunoce-P348P869/SP</v>
      </c>
      <c r="F634" s="88">
        <v>45830</v>
      </c>
      <c r="G634" s="88" t="str" cm="1">
        <f t="array" ref="G6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AND(F634&gt;= DATE(2026,1,1), F634&lt;= DATE(2028, 12, 31), J634&gt;50000), "Pendente e Caro", AND(F634&gt;= DATE(2026,1,1), F634&lt;= DATE(2028, 12, 31), J634&lt;=50000), "Pendente", F634&gt;= DATE(2029,1,1), "Não prioeitário")</f>
        <v>Urgente e Caro</v>
      </c>
      <c r="H634" s="89">
        <f>YEAR(Tabela1[[#This Row],[Data de Validade]])</f>
        <v>2025</v>
      </c>
      <c r="I634" s="89">
        <f>MONTH(Tabela1[[#This Row],[Data de Validade]])</f>
        <v>6</v>
      </c>
      <c r="J634" s="101">
        <v>91229</v>
      </c>
      <c r="K634" s="87" t="s">
        <v>7</v>
      </c>
      <c r="L634" s="108"/>
      <c r="M634" s="108"/>
      <c r="N634" s="108" t="str">
        <v>P348P869</v>
      </c>
      <c r="O634" s="108">
        <f t="shared" si="11"/>
        <v>1</v>
      </c>
      <c r="P634" s="108"/>
      <c r="Q634"/>
    </row>
    <row r="635" spans="1:17" x14ac:dyDescent="0.25">
      <c r="A635" s="89" t="s">
        <v>7798</v>
      </c>
      <c r="B635" s="87" t="s">
        <v>7799</v>
      </c>
      <c r="C635" s="87" t="s">
        <v>13</v>
      </c>
      <c r="D635" s="87" t="str">
        <f>VLOOKUP(Tabela1[[#This Row],[Origem]], 'Perguntas 1 a 24'!$J$28:$K$34, 2, 0)</f>
        <v>Sudeste</v>
      </c>
      <c r="E635" s="87" t="str">
        <f>Tabela1[[#This Row],[Descrição]]&amp;"-"&amp;Tabela1[[#This Row],[Código]]&amp;"/"&amp;Tabela1[[#This Row],[Origem]]</f>
        <v>Lenepo-H162H773/SP</v>
      </c>
      <c r="F635" s="88">
        <v>45830</v>
      </c>
      <c r="G635" s="88" t="str" cm="1">
        <f t="array" ref="G6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AND(F635&gt;= DATE(2026,1,1), F635&lt;= DATE(2028, 12, 31), J635&gt;50000), "Pendente e Caro", AND(F635&gt;= DATE(2026,1,1), F635&lt;= DATE(2028, 12, 31), J635&lt;=50000), "Pendente", F635&gt;= DATE(2029,1,1), "Não prioeitário")</f>
        <v>Urgente e Caro</v>
      </c>
      <c r="H635" s="89">
        <f>YEAR(Tabela1[[#This Row],[Data de Validade]])</f>
        <v>2025</v>
      </c>
      <c r="I635" s="89">
        <f>MONTH(Tabela1[[#This Row],[Data de Validade]])</f>
        <v>6</v>
      </c>
      <c r="J635" s="101">
        <v>61948</v>
      </c>
      <c r="K635" s="87" t="s">
        <v>7</v>
      </c>
      <c r="L635" s="108"/>
      <c r="M635" s="108"/>
      <c r="N635" s="108" t="str">
        <v>H162H773</v>
      </c>
      <c r="O635" s="108">
        <f t="shared" si="11"/>
        <v>1</v>
      </c>
      <c r="P635" s="108"/>
      <c r="Q635"/>
    </row>
    <row r="636" spans="1:17" x14ac:dyDescent="0.25">
      <c r="A636" s="89" t="s">
        <v>4445</v>
      </c>
      <c r="B636" s="87" t="s">
        <v>4446</v>
      </c>
      <c r="C636" s="87" t="s">
        <v>15</v>
      </c>
      <c r="D636" s="87" t="str">
        <f>VLOOKUP(Tabela1[[#This Row],[Origem]], 'Perguntas 1 a 24'!$J$28:$K$34, 2, 0)</f>
        <v>Sudeste</v>
      </c>
      <c r="E636" s="87" t="str">
        <f>Tabela1[[#This Row],[Descrição]]&amp;"-"&amp;Tabela1[[#This Row],[Código]]&amp;"/"&amp;Tabela1[[#This Row],[Origem]]</f>
        <v>Matigutuvi-H117P757/ES</v>
      </c>
      <c r="F636" s="88">
        <v>45830</v>
      </c>
      <c r="G636" s="88" t="str" cm="1">
        <f t="array" ref="G6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AND(F636&gt;= DATE(2026,1,1), F636&lt;= DATE(2028, 12, 31), J636&gt;50000), "Pendente e Caro", AND(F636&gt;= DATE(2026,1,1), F636&lt;= DATE(2028, 12, 31), J636&lt;=50000), "Pendente", F636&gt;= DATE(2029,1,1), "Não prioeitário")</f>
        <v>Urgente</v>
      </c>
      <c r="H636" s="89">
        <f>YEAR(Tabela1[[#This Row],[Data de Validade]])</f>
        <v>2025</v>
      </c>
      <c r="I636" s="89">
        <f>MONTH(Tabela1[[#This Row],[Data de Validade]])</f>
        <v>6</v>
      </c>
      <c r="J636" s="101">
        <v>43429</v>
      </c>
      <c r="K636" s="87" t="s">
        <v>14</v>
      </c>
      <c r="L636" s="108"/>
      <c r="M636" s="108"/>
      <c r="N636" s="108" t="str">
        <v>H117P757</v>
      </c>
      <c r="O636" s="108">
        <f t="shared" si="11"/>
        <v>1</v>
      </c>
      <c r="P636" s="108"/>
      <c r="Q636"/>
    </row>
    <row r="637" spans="1:17" x14ac:dyDescent="0.25">
      <c r="A637" s="89" t="s">
        <v>4934</v>
      </c>
      <c r="B637" s="87" t="s">
        <v>4935</v>
      </c>
      <c r="C637" s="87" t="s">
        <v>10</v>
      </c>
      <c r="D637" s="87" t="str">
        <f>VLOOKUP(Tabela1[[#This Row],[Origem]], 'Perguntas 1 a 24'!$J$28:$K$34, 2, 0)</f>
        <v>Centro-Oeste</v>
      </c>
      <c r="E637" s="87" t="str">
        <f>Tabela1[[#This Row],[Descrição]]&amp;"-"&amp;Tabela1[[#This Row],[Código]]&amp;"/"&amp;Tabela1[[#This Row],[Origem]]</f>
        <v>Tidapu-P679H372/GO</v>
      </c>
      <c r="F637" s="88">
        <v>45831</v>
      </c>
      <c r="G637" s="88" t="str" cm="1">
        <f t="array" ref="G6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AND(F637&gt;= DATE(2026,1,1), F637&lt;= DATE(2028, 12, 31), J637&gt;50000), "Pendente e Caro", AND(F637&gt;= DATE(2026,1,1), F637&lt;= DATE(2028, 12, 31), J637&lt;=50000), "Pendente", F637&gt;= DATE(2029,1,1), "Não prioeitário")</f>
        <v>Urgente e Caro</v>
      </c>
      <c r="H637" s="89">
        <f>YEAR(Tabela1[[#This Row],[Data de Validade]])</f>
        <v>2025</v>
      </c>
      <c r="I637" s="89">
        <f>MONTH(Tabela1[[#This Row],[Data de Validade]])</f>
        <v>6</v>
      </c>
      <c r="J637" s="101">
        <v>103775</v>
      </c>
      <c r="K637" s="87" t="s">
        <v>9</v>
      </c>
      <c r="L637" s="108"/>
      <c r="M637" s="108"/>
      <c r="N637" s="108" t="str">
        <v>P679H372</v>
      </c>
      <c r="O637" s="108">
        <f t="shared" si="11"/>
        <v>1</v>
      </c>
      <c r="P637" s="108"/>
      <c r="Q637"/>
    </row>
    <row r="638" spans="1:17" x14ac:dyDescent="0.25">
      <c r="A638" s="89" t="s">
        <v>7176</v>
      </c>
      <c r="B638" s="87" t="s">
        <v>7177</v>
      </c>
      <c r="C638" s="87" t="s">
        <v>6</v>
      </c>
      <c r="D638" s="87" t="str">
        <f>VLOOKUP(Tabela1[[#This Row],[Origem]], 'Perguntas 1 a 24'!$J$28:$K$34, 2, 0)</f>
        <v>Nordeste</v>
      </c>
      <c r="E638" s="87" t="str">
        <f>Tabela1[[#This Row],[Descrição]]&amp;"-"&amp;Tabela1[[#This Row],[Código]]&amp;"/"&amp;Tabela1[[#This Row],[Origem]]</f>
        <v>Polerudi-H834H721/MA</v>
      </c>
      <c r="F638" s="88">
        <v>45831</v>
      </c>
      <c r="G638" s="88" t="str" cm="1">
        <f t="array" ref="G6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AND(F638&gt;= DATE(2026,1,1), F638&lt;= DATE(2028, 12, 31), J638&gt;50000), "Pendente e Caro", AND(F638&gt;= DATE(2026,1,1), F638&lt;= DATE(2028, 12, 31), J638&lt;=50000), "Pendente", F638&gt;= DATE(2029,1,1), "Não prioeitário")</f>
        <v>Urgente e Caro</v>
      </c>
      <c r="H638" s="89">
        <f>YEAR(Tabela1[[#This Row],[Data de Validade]])</f>
        <v>2025</v>
      </c>
      <c r="I638" s="89">
        <f>MONTH(Tabela1[[#This Row],[Data de Validade]])</f>
        <v>6</v>
      </c>
      <c r="J638" s="101">
        <v>74582</v>
      </c>
      <c r="K638" s="87" t="s">
        <v>11</v>
      </c>
      <c r="L638" s="108"/>
      <c r="M638" s="108"/>
      <c r="N638" s="108" t="str">
        <v>H834H721</v>
      </c>
      <c r="O638" s="108">
        <f t="shared" si="11"/>
        <v>1</v>
      </c>
      <c r="P638" s="108"/>
      <c r="Q638"/>
    </row>
    <row r="639" spans="1:17" x14ac:dyDescent="0.25">
      <c r="A639" s="89" t="s">
        <v>6896</v>
      </c>
      <c r="B639" s="87" t="s">
        <v>6897</v>
      </c>
      <c r="C639" s="87" t="s">
        <v>8</v>
      </c>
      <c r="D639" s="87" t="str">
        <f>VLOOKUP(Tabela1[[#This Row],[Origem]], 'Perguntas 1 a 24'!$J$28:$K$34, 2, 0)</f>
        <v>Nordeste</v>
      </c>
      <c r="E639" s="87" t="str">
        <f>Tabela1[[#This Row],[Descrição]]&amp;"-"&amp;Tabela1[[#This Row],[Código]]&amp;"/"&amp;Tabela1[[#This Row],[Origem]]</f>
        <v>Polatela-H533P986/AL</v>
      </c>
      <c r="F639" s="88">
        <v>45833</v>
      </c>
      <c r="G639" s="88" t="str" cm="1">
        <f t="array" ref="G6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AND(F639&gt;= DATE(2026,1,1), F639&lt;= DATE(2028, 12, 31), J639&gt;50000), "Pendente e Caro", AND(F639&gt;= DATE(2026,1,1), F639&lt;= DATE(2028, 12, 31), J639&lt;=50000), "Pendente", F639&gt;= DATE(2029,1,1), "Não prioeitário")</f>
        <v>Urgente e Caro</v>
      </c>
      <c r="H639" s="89">
        <f>YEAR(Tabela1[[#This Row],[Data de Validade]])</f>
        <v>2025</v>
      </c>
      <c r="I639" s="89">
        <f>MONTH(Tabela1[[#This Row],[Data de Validade]])</f>
        <v>6</v>
      </c>
      <c r="J639" s="101">
        <v>91300</v>
      </c>
      <c r="K639" s="87" t="s">
        <v>11</v>
      </c>
      <c r="L639" s="108"/>
      <c r="M639" s="108"/>
      <c r="N639" s="108" t="str">
        <v>H533P986</v>
      </c>
      <c r="O639" s="108">
        <f t="shared" si="11"/>
        <v>1</v>
      </c>
      <c r="P639" s="108"/>
      <c r="Q639"/>
    </row>
    <row r="640" spans="1:17" x14ac:dyDescent="0.25">
      <c r="A640" s="89" t="s">
        <v>10143</v>
      </c>
      <c r="B640" s="87" t="s">
        <v>10144</v>
      </c>
      <c r="C640" s="87" t="s">
        <v>8</v>
      </c>
      <c r="D640" s="87" t="str">
        <f>VLOOKUP(Tabela1[[#This Row],[Origem]], 'Perguntas 1 a 24'!$J$28:$K$34, 2, 0)</f>
        <v>Nordeste</v>
      </c>
      <c r="E640" s="87" t="str">
        <f>Tabela1[[#This Row],[Descrição]]&amp;"-"&amp;Tabela1[[#This Row],[Código]]&amp;"/"&amp;Tabela1[[#This Row],[Origem]]</f>
        <v>Dodareforo-P955H274/AL</v>
      </c>
      <c r="F640" s="88">
        <v>45833</v>
      </c>
      <c r="G640" s="88" t="str" cm="1">
        <f t="array" ref="G6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AND(F640&gt;= DATE(2026,1,1), F640&lt;= DATE(2028, 12, 31), J640&gt;50000), "Pendente e Caro", AND(F640&gt;= DATE(2026,1,1), F640&lt;= DATE(2028, 12, 31), J640&lt;=50000), "Pendente", F640&gt;= DATE(2029,1,1), "Não prioeitário")</f>
        <v>Urgente e Caro</v>
      </c>
      <c r="H640" s="89">
        <f>YEAR(Tabela1[[#This Row],[Data de Validade]])</f>
        <v>2025</v>
      </c>
      <c r="I640" s="89">
        <f>MONTH(Tabela1[[#This Row],[Data de Validade]])</f>
        <v>6</v>
      </c>
      <c r="J640" s="101">
        <v>72584</v>
      </c>
      <c r="K640" s="87" t="s">
        <v>7</v>
      </c>
      <c r="L640" s="108"/>
      <c r="M640" s="108"/>
      <c r="N640" s="108" t="str">
        <v>P955H274</v>
      </c>
      <c r="O640" s="108">
        <f t="shared" si="11"/>
        <v>1</v>
      </c>
      <c r="P640" s="108"/>
      <c r="Q640"/>
    </row>
    <row r="641" spans="1:17" x14ac:dyDescent="0.25">
      <c r="A641" s="89" t="s">
        <v>4638</v>
      </c>
      <c r="B641" s="87" t="s">
        <v>4639</v>
      </c>
      <c r="C641" s="87" t="s">
        <v>8</v>
      </c>
      <c r="D641" s="87" t="str">
        <f>VLOOKUP(Tabela1[[#This Row],[Origem]], 'Perguntas 1 a 24'!$J$28:$K$34, 2, 0)</f>
        <v>Nordeste</v>
      </c>
      <c r="E641" s="87" t="str">
        <f>Tabela1[[#This Row],[Descrição]]&amp;"-"&amp;Tabela1[[#This Row],[Código]]&amp;"/"&amp;Tabela1[[#This Row],[Origem]]</f>
        <v>Fepuci-H456H797/AL</v>
      </c>
      <c r="F641" s="88">
        <v>45835</v>
      </c>
      <c r="G641" s="88" t="str" cm="1">
        <f t="array" ref="G6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AND(F641&gt;= DATE(2026,1,1), F641&lt;= DATE(2028, 12, 31), J641&gt;50000), "Pendente e Caro", AND(F641&gt;= DATE(2026,1,1), F641&lt;= DATE(2028, 12, 31), J641&lt;=50000), "Pendente", F641&gt;= DATE(2029,1,1), "Não prioeitário")</f>
        <v>Urgente e Caro</v>
      </c>
      <c r="H641" s="89">
        <f>YEAR(Tabela1[[#This Row],[Data de Validade]])</f>
        <v>2025</v>
      </c>
      <c r="I641" s="89">
        <f>MONTH(Tabela1[[#This Row],[Data de Validade]])</f>
        <v>6</v>
      </c>
      <c r="J641" s="101">
        <v>84815</v>
      </c>
      <c r="K641" s="87" t="s">
        <v>14</v>
      </c>
      <c r="L641" s="108"/>
      <c r="M641" s="108"/>
      <c r="N641" s="108" t="str">
        <v>H456H797</v>
      </c>
      <c r="O641" s="108">
        <f t="shared" si="11"/>
        <v>1</v>
      </c>
      <c r="P641" s="108"/>
      <c r="Q641"/>
    </row>
    <row r="642" spans="1:17" x14ac:dyDescent="0.25">
      <c r="A642" s="89" t="s">
        <v>10609</v>
      </c>
      <c r="B642" s="87" t="s">
        <v>10610</v>
      </c>
      <c r="C642" s="87" t="s">
        <v>12</v>
      </c>
      <c r="D642" s="87" t="str">
        <f>VLOOKUP(Tabela1[[#This Row],[Origem]], 'Perguntas 1 a 24'!$J$28:$K$34, 2, 0)</f>
        <v>Sudeste</v>
      </c>
      <c r="E642" s="87" t="str">
        <f>Tabela1[[#This Row],[Descrição]]&amp;"-"&amp;Tabela1[[#This Row],[Código]]&amp;"/"&amp;Tabela1[[#This Row],[Origem]]</f>
        <v>Pevuto-H884H336/RJ</v>
      </c>
      <c r="F642" s="88">
        <v>45835</v>
      </c>
      <c r="G642" s="88" t="str" cm="1">
        <f t="array" ref="G6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AND(F642&gt;= DATE(2026,1,1), F642&lt;= DATE(2028, 12, 31), J642&gt;50000), "Pendente e Caro", AND(F642&gt;= DATE(2026,1,1), F642&lt;= DATE(2028, 12, 31), J642&lt;=50000), "Pendente", F642&gt;= DATE(2029,1,1), "Não prioeitário")</f>
        <v>Urgente e Caro</v>
      </c>
      <c r="H642" s="89">
        <f>YEAR(Tabela1[[#This Row],[Data de Validade]])</f>
        <v>2025</v>
      </c>
      <c r="I642" s="89">
        <f>MONTH(Tabela1[[#This Row],[Data de Validade]])</f>
        <v>6</v>
      </c>
      <c r="J642" s="101">
        <v>59275</v>
      </c>
      <c r="K642" s="87" t="s">
        <v>7</v>
      </c>
      <c r="L642" s="108"/>
      <c r="M642" s="108"/>
      <c r="N642" s="108" t="str">
        <v>H884H336</v>
      </c>
      <c r="O642" s="108">
        <f t="shared" si="11"/>
        <v>1</v>
      </c>
      <c r="P642" s="108"/>
      <c r="Q642"/>
    </row>
    <row r="643" spans="1:17" x14ac:dyDescent="0.25">
      <c r="A643" s="89" t="s">
        <v>3998</v>
      </c>
      <c r="B643" s="87" t="s">
        <v>3999</v>
      </c>
      <c r="C643" s="87" t="s">
        <v>13</v>
      </c>
      <c r="D643" s="87" t="str">
        <f>VLOOKUP(Tabela1[[#This Row],[Origem]], 'Perguntas 1 a 24'!$J$28:$K$34, 2, 0)</f>
        <v>Sudeste</v>
      </c>
      <c r="E643" s="87" t="str">
        <f>Tabela1[[#This Row],[Descrição]]&amp;"-"&amp;Tabela1[[#This Row],[Código]]&amp;"/"&amp;Tabela1[[#This Row],[Origem]]</f>
        <v>Pemapa-P882P415/SP</v>
      </c>
      <c r="F643" s="88">
        <v>45835</v>
      </c>
      <c r="G643" s="88" t="str" cm="1">
        <f t="array" ref="G6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AND(F643&gt;= DATE(2026,1,1), F643&lt;= DATE(2028, 12, 31), J643&gt;50000), "Pendente e Caro", AND(F643&gt;= DATE(2026,1,1), F643&lt;= DATE(2028, 12, 31), J643&lt;=50000), "Pendente", F643&gt;= DATE(2029,1,1), "Não prioeitário")</f>
        <v>Urgente</v>
      </c>
      <c r="H643" s="89">
        <f>YEAR(Tabela1[[#This Row],[Data de Validade]])</f>
        <v>2025</v>
      </c>
      <c r="I643" s="89">
        <f>MONTH(Tabela1[[#This Row],[Data de Validade]])</f>
        <v>6</v>
      </c>
      <c r="J643" s="101">
        <v>21108</v>
      </c>
      <c r="K643" s="87" t="s">
        <v>7</v>
      </c>
      <c r="L643" s="108"/>
      <c r="M643" s="108"/>
      <c r="N643" s="108" t="str">
        <v>P882P415</v>
      </c>
      <c r="O643" s="108">
        <f t="shared" ref="O643:O706" si="12">COUNTIFS(B:B,N643)</f>
        <v>1</v>
      </c>
      <c r="P643" s="108"/>
      <c r="Q643"/>
    </row>
    <row r="644" spans="1:17" x14ac:dyDescent="0.25">
      <c r="A644" s="89" t="s">
        <v>6440</v>
      </c>
      <c r="B644" s="87" t="s">
        <v>6441</v>
      </c>
      <c r="C644" s="87" t="s">
        <v>12</v>
      </c>
      <c r="D644" s="87" t="str">
        <f>VLOOKUP(Tabela1[[#This Row],[Origem]], 'Perguntas 1 a 24'!$J$28:$K$34, 2, 0)</f>
        <v>Sudeste</v>
      </c>
      <c r="E644" s="87" t="str">
        <f>Tabela1[[#This Row],[Descrição]]&amp;"-"&amp;Tabela1[[#This Row],[Código]]&amp;"/"&amp;Tabela1[[#This Row],[Origem]]</f>
        <v>Lafapilo-H187P531/RJ</v>
      </c>
      <c r="F644" s="88">
        <v>45837</v>
      </c>
      <c r="G644" s="88" t="str" cm="1">
        <f t="array" ref="G6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AND(F644&gt;= DATE(2026,1,1), F644&lt;= DATE(2028, 12, 31), J644&gt;50000), "Pendente e Caro", AND(F644&gt;= DATE(2026,1,1), F644&lt;= DATE(2028, 12, 31), J644&lt;=50000), "Pendente", F644&gt;= DATE(2029,1,1), "Não prioeitário")</f>
        <v>Urgente e Caro</v>
      </c>
      <c r="H644" s="89">
        <f>YEAR(Tabela1[[#This Row],[Data de Validade]])</f>
        <v>2025</v>
      </c>
      <c r="I644" s="89">
        <f>MONTH(Tabela1[[#This Row],[Data de Validade]])</f>
        <v>6</v>
      </c>
      <c r="J644" s="101">
        <v>114466</v>
      </c>
      <c r="K644" s="87" t="s">
        <v>9</v>
      </c>
      <c r="L644" s="108"/>
      <c r="M644" s="108"/>
      <c r="N644" s="108" t="str">
        <v>H187P531</v>
      </c>
      <c r="O644" s="108">
        <f t="shared" si="12"/>
        <v>1</v>
      </c>
      <c r="P644" s="108"/>
      <c r="Q644"/>
    </row>
    <row r="645" spans="1:17" x14ac:dyDescent="0.25">
      <c r="A645" s="89" t="s">
        <v>10875</v>
      </c>
      <c r="B645" s="87" t="s">
        <v>10876</v>
      </c>
      <c r="C645" s="87" t="s">
        <v>8</v>
      </c>
      <c r="D645" s="87" t="str">
        <f>VLOOKUP(Tabela1[[#This Row],[Origem]], 'Perguntas 1 a 24'!$J$28:$K$34, 2, 0)</f>
        <v>Nordeste</v>
      </c>
      <c r="E645" s="87" t="str">
        <f>Tabela1[[#This Row],[Descrição]]&amp;"-"&amp;Tabela1[[#This Row],[Código]]&amp;"/"&amp;Tabela1[[#This Row],[Origem]]</f>
        <v>Luleru-H747H688/AL</v>
      </c>
      <c r="F645" s="88">
        <v>45837</v>
      </c>
      <c r="G645" s="88" t="str" cm="1">
        <f t="array" ref="G6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AND(F645&gt;= DATE(2026,1,1), F645&lt;= DATE(2028, 12, 31), J645&gt;50000), "Pendente e Caro", AND(F645&gt;= DATE(2026,1,1), F645&lt;= DATE(2028, 12, 31), J645&lt;=50000), "Pendente", F645&gt;= DATE(2029,1,1), "Não prioeitário")</f>
        <v>Urgente e Caro</v>
      </c>
      <c r="H645" s="89">
        <f>YEAR(Tabela1[[#This Row],[Data de Validade]])</f>
        <v>2025</v>
      </c>
      <c r="I645" s="89">
        <f>MONTH(Tabela1[[#This Row],[Data de Validade]])</f>
        <v>6</v>
      </c>
      <c r="J645" s="101">
        <v>79774</v>
      </c>
      <c r="K645" s="87" t="s">
        <v>11</v>
      </c>
      <c r="L645" s="108"/>
      <c r="M645" s="108"/>
      <c r="N645" s="108" t="str">
        <v>H747H688</v>
      </c>
      <c r="O645" s="108">
        <f t="shared" si="12"/>
        <v>1</v>
      </c>
      <c r="P645" s="108"/>
      <c r="Q645"/>
    </row>
    <row r="646" spans="1:17" x14ac:dyDescent="0.25">
      <c r="A646" s="89" t="s">
        <v>7374</v>
      </c>
      <c r="B646" s="87" t="s">
        <v>7375</v>
      </c>
      <c r="C646" s="87" t="s">
        <v>16</v>
      </c>
      <c r="D646" s="87" t="str">
        <f>VLOOKUP(Tabela1[[#This Row],[Origem]], 'Perguntas 1 a 24'!$J$28:$K$34, 2, 0)</f>
        <v>Sudeste</v>
      </c>
      <c r="E646" s="87" t="str">
        <f>Tabela1[[#This Row],[Descrição]]&amp;"-"&amp;Tabela1[[#This Row],[Código]]&amp;"/"&amp;Tabela1[[#This Row],[Origem]]</f>
        <v>Modagipodo-P372H292/MG</v>
      </c>
      <c r="F646" s="88">
        <v>45837</v>
      </c>
      <c r="G646" s="88" t="str" cm="1">
        <f t="array" ref="G6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AND(F646&gt;= DATE(2026,1,1), F646&lt;= DATE(2028, 12, 31), J646&gt;50000), "Pendente e Caro", AND(F646&gt;= DATE(2026,1,1), F646&lt;= DATE(2028, 12, 31), J646&lt;=50000), "Pendente", F646&gt;= DATE(2029,1,1), "Não prioeitário")</f>
        <v>Urgente</v>
      </c>
      <c r="H646" s="89">
        <f>YEAR(Tabela1[[#This Row],[Data de Validade]])</f>
        <v>2025</v>
      </c>
      <c r="I646" s="89">
        <f>MONTH(Tabela1[[#This Row],[Data de Validade]])</f>
        <v>6</v>
      </c>
      <c r="J646" s="101">
        <v>21131</v>
      </c>
      <c r="K646" s="87" t="s">
        <v>14</v>
      </c>
      <c r="L646" s="108"/>
      <c r="M646" s="108"/>
      <c r="N646" s="108" t="str">
        <v>P372H292</v>
      </c>
      <c r="O646" s="108">
        <f t="shared" si="12"/>
        <v>1</v>
      </c>
      <c r="P646" s="108"/>
      <c r="Q646"/>
    </row>
    <row r="647" spans="1:17" x14ac:dyDescent="0.25">
      <c r="A647" s="89" t="s">
        <v>4124</v>
      </c>
      <c r="B647" s="87" t="s">
        <v>4125</v>
      </c>
      <c r="C647" s="87" t="s">
        <v>12</v>
      </c>
      <c r="D647" s="87" t="str">
        <f>VLOOKUP(Tabela1[[#This Row],[Origem]], 'Perguntas 1 a 24'!$J$28:$K$34, 2, 0)</f>
        <v>Sudeste</v>
      </c>
      <c r="E647" s="87" t="str">
        <f>Tabela1[[#This Row],[Descrição]]&amp;"-"&amp;Tabela1[[#This Row],[Código]]&amp;"/"&amp;Tabela1[[#This Row],[Origem]]</f>
        <v>Muvutatima-P226H964/RJ</v>
      </c>
      <c r="F647" s="88">
        <v>45838</v>
      </c>
      <c r="G647" s="88" t="str" cm="1">
        <f t="array" ref="G6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AND(F647&gt;= DATE(2026,1,1), F647&lt;= DATE(2028, 12, 31), J647&gt;50000), "Pendente e Caro", AND(F647&gt;= DATE(2026,1,1), F647&lt;= DATE(2028, 12, 31), J647&lt;=50000), "Pendente", F647&gt;= DATE(2029,1,1), "Não prioeitário")</f>
        <v>Urgente</v>
      </c>
      <c r="H647" s="89">
        <f>YEAR(Tabela1[[#This Row],[Data de Validade]])</f>
        <v>2025</v>
      </c>
      <c r="I647" s="89">
        <f>MONTH(Tabela1[[#This Row],[Data de Validade]])</f>
        <v>6</v>
      </c>
      <c r="J647" s="101">
        <v>40007</v>
      </c>
      <c r="K647" s="87" t="s">
        <v>11</v>
      </c>
      <c r="L647" s="108"/>
      <c r="M647" s="108"/>
      <c r="N647" s="108" t="str">
        <v>P226H964</v>
      </c>
      <c r="O647" s="108">
        <f t="shared" si="12"/>
        <v>1</v>
      </c>
      <c r="P647" s="108"/>
      <c r="Q647"/>
    </row>
    <row r="648" spans="1:17" x14ac:dyDescent="0.25">
      <c r="A648" s="89" t="s">
        <v>8913</v>
      </c>
      <c r="B648" s="87" t="s">
        <v>8914</v>
      </c>
      <c r="C648" s="87" t="s">
        <v>6</v>
      </c>
      <c r="D648" s="87" t="str">
        <f>VLOOKUP(Tabela1[[#This Row],[Origem]], 'Perguntas 1 a 24'!$J$28:$K$34, 2, 0)</f>
        <v>Nordeste</v>
      </c>
      <c r="E648" s="87" t="str">
        <f>Tabela1[[#This Row],[Descrição]]&amp;"-"&amp;Tabela1[[#This Row],[Código]]&amp;"/"&amp;Tabela1[[#This Row],[Origem]]</f>
        <v>Fetitidato-P623H358/MA</v>
      </c>
      <c r="F648" s="88">
        <v>45839</v>
      </c>
      <c r="G648" s="88" t="str" cm="1">
        <f t="array" ref="G6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AND(F648&gt;= DATE(2026,1,1), F648&lt;= DATE(2028, 12, 31), J648&gt;50000), "Pendente e Caro", AND(F648&gt;= DATE(2026,1,1), F648&lt;= DATE(2028, 12, 31), J648&lt;=50000), "Pendente", F648&gt;= DATE(2029,1,1), "Não prioeitário")</f>
        <v>Urgente</v>
      </c>
      <c r="H648" s="89">
        <f>YEAR(Tabela1[[#This Row],[Data de Validade]])</f>
        <v>2025</v>
      </c>
      <c r="I648" s="89">
        <f>MONTH(Tabela1[[#This Row],[Data de Validade]])</f>
        <v>7</v>
      </c>
      <c r="J648" s="101">
        <v>48571</v>
      </c>
      <c r="K648" s="87" t="s">
        <v>14</v>
      </c>
      <c r="L648" s="108"/>
      <c r="M648" s="108"/>
      <c r="N648" s="108" t="str">
        <v>P623H358</v>
      </c>
      <c r="O648" s="108">
        <f t="shared" si="12"/>
        <v>1</v>
      </c>
      <c r="P648" s="108"/>
      <c r="Q648"/>
    </row>
    <row r="649" spans="1:17" x14ac:dyDescent="0.25">
      <c r="A649" s="89" t="s">
        <v>3804</v>
      </c>
      <c r="B649" s="87" t="s">
        <v>3805</v>
      </c>
      <c r="C649" s="87" t="s">
        <v>12</v>
      </c>
      <c r="D649" s="87" t="str">
        <f>VLOOKUP(Tabela1[[#This Row],[Origem]], 'Perguntas 1 a 24'!$J$28:$K$34, 2, 0)</f>
        <v>Sudeste</v>
      </c>
      <c r="E649" s="87" t="str">
        <f>Tabela1[[#This Row],[Descrição]]&amp;"-"&amp;Tabela1[[#This Row],[Código]]&amp;"/"&amp;Tabela1[[#This Row],[Origem]]</f>
        <v>Genupulu-H579H445/RJ</v>
      </c>
      <c r="F649" s="88">
        <v>45839</v>
      </c>
      <c r="G649" s="88" t="str" cm="1">
        <f t="array" ref="G6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AND(F649&gt;= DATE(2026,1,1), F649&lt;= DATE(2028, 12, 31), J649&gt;50000), "Pendente e Caro", AND(F649&gt;= DATE(2026,1,1), F649&lt;= DATE(2028, 12, 31), J649&lt;=50000), "Pendente", F649&gt;= DATE(2029,1,1), "Não prioeitário")</f>
        <v>Urgente</v>
      </c>
      <c r="H649" s="89">
        <f>YEAR(Tabela1[[#This Row],[Data de Validade]])</f>
        <v>2025</v>
      </c>
      <c r="I649" s="89">
        <f>MONTH(Tabela1[[#This Row],[Data de Validade]])</f>
        <v>7</v>
      </c>
      <c r="J649" s="101">
        <v>22926</v>
      </c>
      <c r="K649" s="87" t="s">
        <v>7</v>
      </c>
      <c r="L649" s="108"/>
      <c r="M649" s="108"/>
      <c r="N649" s="108" t="str">
        <v>H579H445</v>
      </c>
      <c r="O649" s="108">
        <f t="shared" si="12"/>
        <v>1</v>
      </c>
      <c r="P649" s="108"/>
      <c r="Q649"/>
    </row>
    <row r="650" spans="1:17" x14ac:dyDescent="0.25">
      <c r="A650" s="89" t="s">
        <v>3778</v>
      </c>
      <c r="B650" s="87" t="s">
        <v>3779</v>
      </c>
      <c r="C650" s="87" t="s">
        <v>15</v>
      </c>
      <c r="D650" s="87" t="str">
        <f>VLOOKUP(Tabela1[[#This Row],[Origem]], 'Perguntas 1 a 24'!$J$28:$K$34, 2, 0)</f>
        <v>Sudeste</v>
      </c>
      <c r="E650" s="87" t="str">
        <f>Tabela1[[#This Row],[Descrição]]&amp;"-"&amp;Tabela1[[#This Row],[Código]]&amp;"/"&amp;Tabela1[[#This Row],[Origem]]</f>
        <v>Lupomupoti-H431H711/ES</v>
      </c>
      <c r="F650" s="88">
        <v>45840</v>
      </c>
      <c r="G650" s="88" t="str" cm="1">
        <f t="array" ref="G6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AND(F650&gt;= DATE(2026,1,1), F650&lt;= DATE(2028, 12, 31), J650&gt;50000), "Pendente e Caro", AND(F650&gt;= DATE(2026,1,1), F650&lt;= DATE(2028, 12, 31), J650&lt;=50000), "Pendente", F650&gt;= DATE(2029,1,1), "Não prioeitário")</f>
        <v>Urgente e Caro</v>
      </c>
      <c r="H650" s="89">
        <f>YEAR(Tabela1[[#This Row],[Data de Validade]])</f>
        <v>2025</v>
      </c>
      <c r="I650" s="89">
        <f>MONTH(Tabela1[[#This Row],[Data de Validade]])</f>
        <v>7</v>
      </c>
      <c r="J650" s="101">
        <v>94598</v>
      </c>
      <c r="K650" s="87" t="s">
        <v>9</v>
      </c>
      <c r="L650" s="108"/>
      <c r="M650" s="108"/>
      <c r="N650" s="108" t="str">
        <v>H431H711</v>
      </c>
      <c r="O650" s="108">
        <f t="shared" si="12"/>
        <v>1</v>
      </c>
      <c r="P650" s="108"/>
      <c r="Q650"/>
    </row>
    <row r="651" spans="1:17" x14ac:dyDescent="0.25">
      <c r="A651" s="89" t="s">
        <v>5314</v>
      </c>
      <c r="B651" s="87" t="s">
        <v>5315</v>
      </c>
      <c r="C651" s="87" t="s">
        <v>8</v>
      </c>
      <c r="D651" s="87" t="str">
        <f>VLOOKUP(Tabela1[[#This Row],[Origem]], 'Perguntas 1 a 24'!$J$28:$K$34, 2, 0)</f>
        <v>Nordeste</v>
      </c>
      <c r="E651" s="87" t="str">
        <f>Tabela1[[#This Row],[Descrição]]&amp;"-"&amp;Tabela1[[#This Row],[Código]]&amp;"/"&amp;Tabela1[[#This Row],[Origem]]</f>
        <v>Gutucipo-H547P311/AL</v>
      </c>
      <c r="F651" s="88">
        <v>45840</v>
      </c>
      <c r="G651" s="88" t="str" cm="1">
        <f t="array" ref="G6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AND(F651&gt;= DATE(2026,1,1), F651&lt;= DATE(2028, 12, 31), J651&gt;50000), "Pendente e Caro", AND(F651&gt;= DATE(2026,1,1), F651&lt;= DATE(2028, 12, 31), J651&lt;=50000), "Pendente", F651&gt;= DATE(2029,1,1), "Não prioeitário")</f>
        <v>Urgente</v>
      </c>
      <c r="H651" s="89">
        <f>YEAR(Tabela1[[#This Row],[Data de Validade]])</f>
        <v>2025</v>
      </c>
      <c r="I651" s="89">
        <f>MONTH(Tabela1[[#This Row],[Data de Validade]])</f>
        <v>7</v>
      </c>
      <c r="J651" s="101">
        <v>26276</v>
      </c>
      <c r="K651" s="87" t="s">
        <v>7</v>
      </c>
      <c r="L651" s="108"/>
      <c r="M651" s="108"/>
      <c r="N651" s="108" t="str">
        <v>H547P311</v>
      </c>
      <c r="O651" s="108">
        <f t="shared" si="12"/>
        <v>1</v>
      </c>
      <c r="P651" s="108"/>
      <c r="Q651"/>
    </row>
    <row r="652" spans="1:17" x14ac:dyDescent="0.25">
      <c r="A652" s="89" t="s">
        <v>11320</v>
      </c>
      <c r="B652" s="87" t="s">
        <v>11321</v>
      </c>
      <c r="C652" s="87" t="s">
        <v>6</v>
      </c>
      <c r="D652" s="87" t="str">
        <f>VLOOKUP(Tabela1[[#This Row],[Origem]], 'Perguntas 1 a 24'!$J$28:$K$34, 2, 0)</f>
        <v>Nordeste</v>
      </c>
      <c r="E652" s="87" t="str">
        <f>Tabela1[[#This Row],[Descrição]]&amp;"-"&amp;Tabela1[[#This Row],[Código]]&amp;"/"&amp;Tabela1[[#This Row],[Origem]]</f>
        <v>Geleciri-H161H485/MA</v>
      </c>
      <c r="F652" s="88">
        <v>45841</v>
      </c>
      <c r="G652" s="88" t="str" cm="1">
        <f t="array" ref="G6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AND(F652&gt;= DATE(2026,1,1), F652&lt;= DATE(2028, 12, 31), J652&gt;50000), "Pendente e Caro", AND(F652&gt;= DATE(2026,1,1), F652&lt;= DATE(2028, 12, 31), J652&lt;=50000), "Pendente", F652&gt;= DATE(2029,1,1), "Não prioeitário")</f>
        <v>Urgente e Caro</v>
      </c>
      <c r="H652" s="89">
        <f>YEAR(Tabela1[[#This Row],[Data de Validade]])</f>
        <v>2025</v>
      </c>
      <c r="I652" s="89">
        <f>MONTH(Tabela1[[#This Row],[Data de Validade]])</f>
        <v>7</v>
      </c>
      <c r="J652" s="101">
        <v>82620</v>
      </c>
      <c r="K652" s="87" t="s">
        <v>14</v>
      </c>
      <c r="L652" s="108"/>
      <c r="M652" s="108"/>
      <c r="N652" s="108" t="str">
        <v>H161H485</v>
      </c>
      <c r="O652" s="108">
        <f t="shared" si="12"/>
        <v>1</v>
      </c>
      <c r="P652" s="108"/>
      <c r="Q652"/>
    </row>
    <row r="653" spans="1:17" x14ac:dyDescent="0.25">
      <c r="A653" s="89" t="s">
        <v>8825</v>
      </c>
      <c r="B653" s="87" t="s">
        <v>8826</v>
      </c>
      <c r="C653" s="87" t="s">
        <v>13</v>
      </c>
      <c r="D653" s="87" t="str">
        <f>VLOOKUP(Tabela1[[#This Row],[Origem]], 'Perguntas 1 a 24'!$J$28:$K$34, 2, 0)</f>
        <v>Sudeste</v>
      </c>
      <c r="E653" s="87" t="str">
        <f>Tabela1[[#This Row],[Descrição]]&amp;"-"&amp;Tabela1[[#This Row],[Código]]&amp;"/"&amp;Tabela1[[#This Row],[Origem]]</f>
        <v>Vucodoci-H268P986/SP</v>
      </c>
      <c r="F653" s="88">
        <v>45842</v>
      </c>
      <c r="G653" s="88" t="str" cm="1">
        <f t="array" ref="G6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AND(F653&gt;= DATE(2026,1,1), F653&lt;= DATE(2028, 12, 31), J653&gt;50000), "Pendente e Caro", AND(F653&gt;= DATE(2026,1,1), F653&lt;= DATE(2028, 12, 31), J653&lt;=50000), "Pendente", F653&gt;= DATE(2029,1,1), "Não prioeitário")</f>
        <v>Urgente e Caro</v>
      </c>
      <c r="H653" s="89">
        <f>YEAR(Tabela1[[#This Row],[Data de Validade]])</f>
        <v>2025</v>
      </c>
      <c r="I653" s="89">
        <f>MONTH(Tabela1[[#This Row],[Data de Validade]])</f>
        <v>7</v>
      </c>
      <c r="J653" s="101">
        <v>52296</v>
      </c>
      <c r="K653" s="87" t="s">
        <v>9</v>
      </c>
      <c r="L653" s="108"/>
      <c r="M653" s="108"/>
      <c r="N653" s="108" t="str">
        <v>H268P986</v>
      </c>
      <c r="O653" s="108">
        <f t="shared" si="12"/>
        <v>1</v>
      </c>
      <c r="P653" s="108"/>
      <c r="Q653"/>
    </row>
    <row r="654" spans="1:17" x14ac:dyDescent="0.25">
      <c r="A654" s="89" t="s">
        <v>10099</v>
      </c>
      <c r="B654" s="87" t="s">
        <v>10100</v>
      </c>
      <c r="C654" s="87" t="s">
        <v>12</v>
      </c>
      <c r="D654" s="87" t="str">
        <f>VLOOKUP(Tabela1[[#This Row],[Origem]], 'Perguntas 1 a 24'!$J$28:$K$34, 2, 0)</f>
        <v>Sudeste</v>
      </c>
      <c r="E654" s="87" t="str">
        <f>Tabela1[[#This Row],[Descrição]]&amp;"-"&amp;Tabela1[[#This Row],[Código]]&amp;"/"&amp;Tabela1[[#This Row],[Origem]]</f>
        <v>Rotepupone-P989H426/RJ</v>
      </c>
      <c r="F654" s="88">
        <v>45842</v>
      </c>
      <c r="G654" s="88" t="str" cm="1">
        <f t="array" ref="G6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AND(F654&gt;= DATE(2026,1,1), F654&lt;= DATE(2028, 12, 31), J654&gt;50000), "Pendente e Caro", AND(F654&gt;= DATE(2026,1,1), F654&lt;= DATE(2028, 12, 31), J654&lt;=50000), "Pendente", F654&gt;= DATE(2029,1,1), "Não prioeitário")</f>
        <v>Urgente</v>
      </c>
      <c r="H654" s="89">
        <f>YEAR(Tabela1[[#This Row],[Data de Validade]])</f>
        <v>2025</v>
      </c>
      <c r="I654" s="89">
        <f>MONTH(Tabela1[[#This Row],[Data de Validade]])</f>
        <v>7</v>
      </c>
      <c r="J654" s="101">
        <v>22798</v>
      </c>
      <c r="K654" s="87" t="s">
        <v>7</v>
      </c>
      <c r="L654" s="108"/>
      <c r="M654" s="108"/>
      <c r="N654" s="108" t="str">
        <v>P989H426</v>
      </c>
      <c r="O654" s="108">
        <f t="shared" si="12"/>
        <v>1</v>
      </c>
      <c r="P654" s="108"/>
      <c r="Q654"/>
    </row>
    <row r="655" spans="1:17" x14ac:dyDescent="0.25">
      <c r="A655" s="89" t="s">
        <v>10969</v>
      </c>
      <c r="B655" s="87" t="s">
        <v>10970</v>
      </c>
      <c r="C655" s="87" t="s">
        <v>13</v>
      </c>
      <c r="D655" s="87" t="str">
        <f>VLOOKUP(Tabela1[[#This Row],[Origem]], 'Perguntas 1 a 24'!$J$28:$K$34, 2, 0)</f>
        <v>Sudeste</v>
      </c>
      <c r="E655" s="87" t="str">
        <f>Tabela1[[#This Row],[Descrição]]&amp;"-"&amp;Tabela1[[#This Row],[Código]]&amp;"/"&amp;Tabela1[[#This Row],[Origem]]</f>
        <v>Pifalumudi-P212P883/SP</v>
      </c>
      <c r="F655" s="88">
        <v>45843</v>
      </c>
      <c r="G655" s="88" t="str" cm="1">
        <f t="array" ref="G6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AND(F655&gt;= DATE(2026,1,1), F655&lt;= DATE(2028, 12, 31), J655&gt;50000), "Pendente e Caro", AND(F655&gt;= DATE(2026,1,1), F655&lt;= DATE(2028, 12, 31), J655&lt;=50000), "Pendente", F655&gt;= DATE(2029,1,1), "Não prioeitário")</f>
        <v>Urgente e Caro</v>
      </c>
      <c r="H655" s="89">
        <f>YEAR(Tabela1[[#This Row],[Data de Validade]])</f>
        <v>2025</v>
      </c>
      <c r="I655" s="89">
        <f>MONTH(Tabela1[[#This Row],[Data de Validade]])</f>
        <v>7</v>
      </c>
      <c r="J655" s="101">
        <v>107846</v>
      </c>
      <c r="K655" s="87" t="s">
        <v>14</v>
      </c>
      <c r="L655" s="108"/>
      <c r="M655" s="108"/>
      <c r="N655" s="108" t="str">
        <v>P212P883</v>
      </c>
      <c r="O655" s="108">
        <f t="shared" si="12"/>
        <v>1</v>
      </c>
      <c r="P655" s="108"/>
      <c r="Q655"/>
    </row>
    <row r="656" spans="1:17" x14ac:dyDescent="0.25">
      <c r="A656" s="89" t="s">
        <v>11332</v>
      </c>
      <c r="B656" s="87" t="s">
        <v>11333</v>
      </c>
      <c r="C656" s="87" t="s">
        <v>8</v>
      </c>
      <c r="D656" s="87" t="str">
        <f>VLOOKUP(Tabela1[[#This Row],[Origem]], 'Perguntas 1 a 24'!$J$28:$K$34, 2, 0)</f>
        <v>Nordeste</v>
      </c>
      <c r="E656" s="87" t="str">
        <f>Tabela1[[#This Row],[Descrição]]&amp;"-"&amp;Tabela1[[#This Row],[Código]]&amp;"/"&amp;Tabela1[[#This Row],[Origem]]</f>
        <v>Paruceme-P384P944/AL</v>
      </c>
      <c r="F656" s="88">
        <v>45843</v>
      </c>
      <c r="G656" s="88" t="str" cm="1">
        <f t="array" ref="G6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AND(F656&gt;= DATE(2026,1,1), F656&lt;= DATE(2028, 12, 31), J656&gt;50000), "Pendente e Caro", AND(F656&gt;= DATE(2026,1,1), F656&lt;= DATE(2028, 12, 31), J656&lt;=50000), "Pendente", F656&gt;= DATE(2029,1,1), "Não prioeitário")</f>
        <v>Urgente e Caro</v>
      </c>
      <c r="H656" s="89">
        <f>YEAR(Tabela1[[#This Row],[Data de Validade]])</f>
        <v>2025</v>
      </c>
      <c r="I656" s="89">
        <f>MONTH(Tabela1[[#This Row],[Data de Validade]])</f>
        <v>7</v>
      </c>
      <c r="J656" s="101">
        <v>73895</v>
      </c>
      <c r="K656" s="87" t="s">
        <v>11</v>
      </c>
      <c r="L656" s="108"/>
      <c r="M656" s="108"/>
      <c r="N656" s="108" t="str">
        <v>P384P944</v>
      </c>
      <c r="O656" s="108">
        <f t="shared" si="12"/>
        <v>1</v>
      </c>
      <c r="P656" s="108"/>
      <c r="Q656"/>
    </row>
    <row r="657" spans="1:17" x14ac:dyDescent="0.25">
      <c r="A657" s="89" t="s">
        <v>4427</v>
      </c>
      <c r="B657" s="87" t="s">
        <v>4428</v>
      </c>
      <c r="C657" s="87" t="s">
        <v>15</v>
      </c>
      <c r="D657" s="87" t="str">
        <f>VLOOKUP(Tabela1[[#This Row],[Origem]], 'Perguntas 1 a 24'!$J$28:$K$34, 2, 0)</f>
        <v>Sudeste</v>
      </c>
      <c r="E657" s="87" t="str">
        <f>Tabela1[[#This Row],[Descrição]]&amp;"-"&amp;Tabela1[[#This Row],[Código]]&amp;"/"&amp;Tabela1[[#This Row],[Origem]]</f>
        <v>Pudeta-H783P497/ES</v>
      </c>
      <c r="F657" s="88">
        <v>45843</v>
      </c>
      <c r="G657" s="88" t="str" cm="1">
        <f t="array" ref="G6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AND(F657&gt;= DATE(2026,1,1), F657&lt;= DATE(2028, 12, 31), J657&gt;50000), "Pendente e Caro", AND(F657&gt;= DATE(2026,1,1), F657&lt;= DATE(2028, 12, 31), J657&lt;=50000), "Pendente", F657&gt;= DATE(2029,1,1), "Não prioeitário")</f>
        <v>Urgente</v>
      </c>
      <c r="H657" s="89">
        <f>YEAR(Tabela1[[#This Row],[Data de Validade]])</f>
        <v>2025</v>
      </c>
      <c r="I657" s="89">
        <f>MONTH(Tabela1[[#This Row],[Data de Validade]])</f>
        <v>7</v>
      </c>
      <c r="J657" s="101">
        <v>31950</v>
      </c>
      <c r="K657" s="87" t="s">
        <v>7</v>
      </c>
      <c r="L657" s="108"/>
      <c r="M657" s="108"/>
      <c r="N657" s="108" t="str">
        <v>H783P497</v>
      </c>
      <c r="O657" s="108">
        <f t="shared" si="12"/>
        <v>1</v>
      </c>
      <c r="P657" s="108"/>
      <c r="Q657"/>
    </row>
    <row r="658" spans="1:17" x14ac:dyDescent="0.25">
      <c r="A658" s="89" t="s">
        <v>7400</v>
      </c>
      <c r="B658" s="87" t="s">
        <v>7401</v>
      </c>
      <c r="C658" s="87" t="s">
        <v>8</v>
      </c>
      <c r="D658" s="87" t="str">
        <f>VLOOKUP(Tabela1[[#This Row],[Origem]], 'Perguntas 1 a 24'!$J$28:$K$34, 2, 0)</f>
        <v>Nordeste</v>
      </c>
      <c r="E658" s="87" t="str">
        <f>Tabela1[[#This Row],[Descrição]]&amp;"-"&amp;Tabela1[[#This Row],[Código]]&amp;"/"&amp;Tabela1[[#This Row],[Origem]]</f>
        <v>Toficipe-P821P284/AL</v>
      </c>
      <c r="F658" s="88">
        <v>45844</v>
      </c>
      <c r="G658" s="88" t="str" cm="1">
        <f t="array" ref="G6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AND(F658&gt;= DATE(2026,1,1), F658&lt;= DATE(2028, 12, 31), J658&gt;50000), "Pendente e Caro", AND(F658&gt;= DATE(2026,1,1), F658&lt;= DATE(2028, 12, 31), J658&lt;=50000), "Pendente", F658&gt;= DATE(2029,1,1), "Não prioeitário")</f>
        <v>Urgente</v>
      </c>
      <c r="H658" s="89">
        <f>YEAR(Tabela1[[#This Row],[Data de Validade]])</f>
        <v>2025</v>
      </c>
      <c r="I658" s="89">
        <f>MONTH(Tabela1[[#This Row],[Data de Validade]])</f>
        <v>7</v>
      </c>
      <c r="J658" s="101">
        <v>38769</v>
      </c>
      <c r="K658" s="87" t="s">
        <v>14</v>
      </c>
      <c r="L658" s="108"/>
      <c r="M658" s="108"/>
      <c r="N658" s="108" t="str">
        <v>P821P284</v>
      </c>
      <c r="O658" s="108">
        <f t="shared" si="12"/>
        <v>1</v>
      </c>
      <c r="P658" s="108"/>
      <c r="Q658"/>
    </row>
    <row r="659" spans="1:17" x14ac:dyDescent="0.25">
      <c r="A659" s="89" t="s">
        <v>9479</v>
      </c>
      <c r="B659" s="87" t="s">
        <v>9480</v>
      </c>
      <c r="C659" s="87" t="s">
        <v>13</v>
      </c>
      <c r="D659" s="87" t="str">
        <f>VLOOKUP(Tabela1[[#This Row],[Origem]], 'Perguntas 1 a 24'!$J$28:$K$34, 2, 0)</f>
        <v>Sudeste</v>
      </c>
      <c r="E659" s="87" t="str">
        <f>Tabela1[[#This Row],[Descrição]]&amp;"-"&amp;Tabela1[[#This Row],[Código]]&amp;"/"&amp;Tabela1[[#This Row],[Origem]]</f>
        <v>Gepocime-H917H853/SP</v>
      </c>
      <c r="F659" s="88">
        <v>45845</v>
      </c>
      <c r="G659" s="88" t="str" cm="1">
        <f t="array" ref="G6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AND(F659&gt;= DATE(2026,1,1), F659&lt;= DATE(2028, 12, 31), J659&gt;50000), "Pendente e Caro", AND(F659&gt;= DATE(2026,1,1), F659&lt;= DATE(2028, 12, 31), J659&lt;=50000), "Pendente", F659&gt;= DATE(2029,1,1), "Não prioeitário")</f>
        <v>Urgente e Caro</v>
      </c>
      <c r="H659" s="89">
        <f>YEAR(Tabela1[[#This Row],[Data de Validade]])</f>
        <v>2025</v>
      </c>
      <c r="I659" s="89">
        <f>MONTH(Tabela1[[#This Row],[Data de Validade]])</f>
        <v>7</v>
      </c>
      <c r="J659" s="101">
        <v>113346</v>
      </c>
      <c r="K659" s="87" t="s">
        <v>14</v>
      </c>
      <c r="L659" s="108"/>
      <c r="M659" s="108"/>
      <c r="N659" s="108" t="str">
        <v>H917H853</v>
      </c>
      <c r="O659" s="108">
        <f t="shared" si="12"/>
        <v>1</v>
      </c>
      <c r="P659" s="108"/>
      <c r="Q659"/>
    </row>
    <row r="660" spans="1:17" x14ac:dyDescent="0.25">
      <c r="A660" s="89" t="s">
        <v>10327</v>
      </c>
      <c r="B660" s="87" t="s">
        <v>10328</v>
      </c>
      <c r="C660" s="87" t="s">
        <v>16</v>
      </c>
      <c r="D660" s="87" t="str">
        <f>VLOOKUP(Tabela1[[#This Row],[Origem]], 'Perguntas 1 a 24'!$J$28:$K$34, 2, 0)</f>
        <v>Sudeste</v>
      </c>
      <c r="E660" s="87" t="str">
        <f>Tabela1[[#This Row],[Descrição]]&amp;"-"&amp;Tabela1[[#This Row],[Código]]&amp;"/"&amp;Tabela1[[#This Row],[Origem]]</f>
        <v>Moturopipa-P838H297/MG</v>
      </c>
      <c r="F660" s="88">
        <v>45845</v>
      </c>
      <c r="G660" s="88" t="str" cm="1">
        <f t="array" ref="G6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AND(F660&gt;= DATE(2026,1,1), F660&lt;= DATE(2028, 12, 31), J660&gt;50000), "Pendente e Caro", AND(F660&gt;= DATE(2026,1,1), F660&lt;= DATE(2028, 12, 31), J660&lt;=50000), "Pendente", F660&gt;= DATE(2029,1,1), "Não prioeitário")</f>
        <v>Urgente e Caro</v>
      </c>
      <c r="H660" s="89">
        <f>YEAR(Tabela1[[#This Row],[Data de Validade]])</f>
        <v>2025</v>
      </c>
      <c r="I660" s="89">
        <f>MONTH(Tabela1[[#This Row],[Data de Validade]])</f>
        <v>7</v>
      </c>
      <c r="J660" s="101">
        <v>87954</v>
      </c>
      <c r="K660" s="87" t="s">
        <v>14</v>
      </c>
      <c r="L660" s="108"/>
      <c r="M660" s="108"/>
      <c r="N660" s="108" t="str">
        <v>P838H297</v>
      </c>
      <c r="O660" s="108">
        <f t="shared" si="12"/>
        <v>1</v>
      </c>
      <c r="P660" s="108"/>
      <c r="Q660"/>
    </row>
    <row r="661" spans="1:17" x14ac:dyDescent="0.25">
      <c r="A661" s="89" t="s">
        <v>4273</v>
      </c>
      <c r="B661" s="87" t="s">
        <v>4274</v>
      </c>
      <c r="C661" s="87" t="s">
        <v>13</v>
      </c>
      <c r="D661" s="87" t="str">
        <f>VLOOKUP(Tabela1[[#This Row],[Origem]], 'Perguntas 1 a 24'!$J$28:$K$34, 2, 0)</f>
        <v>Sudeste</v>
      </c>
      <c r="E661" s="87" t="str">
        <f>Tabela1[[#This Row],[Descrição]]&amp;"-"&amp;Tabela1[[#This Row],[Código]]&amp;"/"&amp;Tabela1[[#This Row],[Origem]]</f>
        <v>Tugotiti-H434H967/SP</v>
      </c>
      <c r="F661" s="88">
        <v>45845</v>
      </c>
      <c r="G661" s="88" t="str" cm="1">
        <f t="array" ref="G6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AND(F661&gt;= DATE(2026,1,1), F661&lt;= DATE(2028, 12, 31), J661&gt;50000), "Pendente e Caro", AND(F661&gt;= DATE(2026,1,1), F661&lt;= DATE(2028, 12, 31), J661&lt;=50000), "Pendente", F661&gt;= DATE(2029,1,1), "Não prioeitário")</f>
        <v>Urgente e Caro</v>
      </c>
      <c r="H661" s="89">
        <f>YEAR(Tabela1[[#This Row],[Data de Validade]])</f>
        <v>2025</v>
      </c>
      <c r="I661" s="89">
        <f>MONTH(Tabela1[[#This Row],[Data de Validade]])</f>
        <v>7</v>
      </c>
      <c r="J661" s="101">
        <v>81013</v>
      </c>
      <c r="K661" s="87" t="s">
        <v>11</v>
      </c>
      <c r="L661" s="108"/>
      <c r="M661" s="108"/>
      <c r="N661" s="108" t="str">
        <v>H434H967</v>
      </c>
      <c r="O661" s="108">
        <f t="shared" si="12"/>
        <v>1</v>
      </c>
      <c r="P661" s="108"/>
      <c r="Q661"/>
    </row>
    <row r="662" spans="1:17" x14ac:dyDescent="0.25">
      <c r="A662" s="89" t="s">
        <v>4752</v>
      </c>
      <c r="B662" s="87" t="s">
        <v>4753</v>
      </c>
      <c r="C662" s="87" t="s">
        <v>16</v>
      </c>
      <c r="D662" s="87" t="str">
        <f>VLOOKUP(Tabela1[[#This Row],[Origem]], 'Perguntas 1 a 24'!$J$28:$K$34, 2, 0)</f>
        <v>Sudeste</v>
      </c>
      <c r="E662" s="87" t="str">
        <f>Tabela1[[#This Row],[Descrição]]&amp;"-"&amp;Tabela1[[#This Row],[Código]]&amp;"/"&amp;Tabela1[[#This Row],[Origem]]</f>
        <v>Femiceme-H686H486/MG</v>
      </c>
      <c r="F662" s="88">
        <v>45845</v>
      </c>
      <c r="G662" s="88" t="str" cm="1">
        <f t="array" ref="G6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AND(F662&gt;= DATE(2026,1,1), F662&lt;= DATE(2028, 12, 31), J662&gt;50000), "Pendente e Caro", AND(F662&gt;= DATE(2026,1,1), F662&lt;= DATE(2028, 12, 31), J662&lt;=50000), "Pendente", F662&gt;= DATE(2029,1,1), "Não prioeitário")</f>
        <v>Urgente e Caro</v>
      </c>
      <c r="H662" s="89">
        <f>YEAR(Tabela1[[#This Row],[Data de Validade]])</f>
        <v>2025</v>
      </c>
      <c r="I662" s="89">
        <f>MONTH(Tabela1[[#This Row],[Data de Validade]])</f>
        <v>7</v>
      </c>
      <c r="J662" s="101">
        <v>73750</v>
      </c>
      <c r="K662" s="87" t="s">
        <v>14</v>
      </c>
      <c r="L662" s="108"/>
      <c r="M662" s="108"/>
      <c r="N662" s="108" t="str">
        <v>H686H486</v>
      </c>
      <c r="O662" s="108">
        <f t="shared" si="12"/>
        <v>1</v>
      </c>
      <c r="P662" s="108"/>
      <c r="Q662"/>
    </row>
    <row r="663" spans="1:17" x14ac:dyDescent="0.25">
      <c r="A663" s="89" t="s">
        <v>9095</v>
      </c>
      <c r="B663" s="87" t="s">
        <v>9096</v>
      </c>
      <c r="C663" s="87" t="s">
        <v>10</v>
      </c>
      <c r="D663" s="87" t="str">
        <f>VLOOKUP(Tabela1[[#This Row],[Origem]], 'Perguntas 1 a 24'!$J$28:$K$34, 2, 0)</f>
        <v>Centro-Oeste</v>
      </c>
      <c r="E663" s="87" t="str">
        <f>Tabela1[[#This Row],[Descrição]]&amp;"-"&amp;Tabela1[[#This Row],[Código]]&amp;"/"&amp;Tabela1[[#This Row],[Origem]]</f>
        <v>Denipugo-P118P917/GO</v>
      </c>
      <c r="F663" s="88">
        <v>45845</v>
      </c>
      <c r="G663" s="88" t="str" cm="1">
        <f t="array" ref="G6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AND(F663&gt;= DATE(2026,1,1), F663&lt;= DATE(2028, 12, 31), J663&gt;50000), "Pendente e Caro", AND(F663&gt;= DATE(2026,1,1), F663&lt;= DATE(2028, 12, 31), J663&lt;=50000), "Pendente", F663&gt;= DATE(2029,1,1), "Não prioeitário")</f>
        <v>Urgente</v>
      </c>
      <c r="H663" s="89">
        <f>YEAR(Tabela1[[#This Row],[Data de Validade]])</f>
        <v>2025</v>
      </c>
      <c r="I663" s="89">
        <f>MONTH(Tabela1[[#This Row],[Data de Validade]])</f>
        <v>7</v>
      </c>
      <c r="J663" s="101">
        <v>29957</v>
      </c>
      <c r="K663" s="87" t="s">
        <v>7</v>
      </c>
      <c r="L663" s="108"/>
      <c r="M663" s="108"/>
      <c r="N663" s="108" t="str">
        <v>P118P917</v>
      </c>
      <c r="O663" s="108">
        <f t="shared" si="12"/>
        <v>1</v>
      </c>
      <c r="P663" s="108"/>
      <c r="Q663"/>
    </row>
    <row r="664" spans="1:17" x14ac:dyDescent="0.25">
      <c r="A664" s="89" t="s">
        <v>7266</v>
      </c>
      <c r="B664" s="87" t="s">
        <v>7267</v>
      </c>
      <c r="C664" s="87" t="s">
        <v>10</v>
      </c>
      <c r="D664" s="87" t="str">
        <f>VLOOKUP(Tabela1[[#This Row],[Origem]], 'Perguntas 1 a 24'!$J$28:$K$34, 2, 0)</f>
        <v>Centro-Oeste</v>
      </c>
      <c r="E664" s="87" t="str">
        <f>Tabela1[[#This Row],[Descrição]]&amp;"-"&amp;Tabela1[[#This Row],[Código]]&amp;"/"&amp;Tabela1[[#This Row],[Origem]]</f>
        <v>Penotalano-P635P845/GO</v>
      </c>
      <c r="F664" s="88">
        <v>45846</v>
      </c>
      <c r="G664" s="88" t="str" cm="1">
        <f t="array" ref="G6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AND(F664&gt;= DATE(2026,1,1), F664&lt;= DATE(2028, 12, 31), J664&gt;50000), "Pendente e Caro", AND(F664&gt;= DATE(2026,1,1), F664&lt;= DATE(2028, 12, 31), J664&lt;=50000), "Pendente", F664&gt;= DATE(2029,1,1), "Não prioeitário")</f>
        <v>Urgente e Caro</v>
      </c>
      <c r="H664" s="89">
        <f>YEAR(Tabela1[[#This Row],[Data de Validade]])</f>
        <v>2025</v>
      </c>
      <c r="I664" s="89">
        <f>MONTH(Tabela1[[#This Row],[Data de Validade]])</f>
        <v>7</v>
      </c>
      <c r="J664" s="101">
        <v>108990</v>
      </c>
      <c r="K664" s="87" t="s">
        <v>14</v>
      </c>
      <c r="L664" s="108"/>
      <c r="M664" s="108"/>
      <c r="N664" s="108" t="str">
        <v>P635P845</v>
      </c>
      <c r="O664" s="108">
        <f t="shared" si="12"/>
        <v>1</v>
      </c>
      <c r="P664" s="108"/>
      <c r="Q664"/>
    </row>
    <row r="665" spans="1:17" x14ac:dyDescent="0.25">
      <c r="A665" s="89" t="s">
        <v>5288</v>
      </c>
      <c r="B665" s="87" t="s">
        <v>5289</v>
      </c>
      <c r="C665" s="87" t="s">
        <v>10</v>
      </c>
      <c r="D665" s="87" t="str">
        <f>VLOOKUP(Tabela1[[#This Row],[Origem]], 'Perguntas 1 a 24'!$J$28:$K$34, 2, 0)</f>
        <v>Centro-Oeste</v>
      </c>
      <c r="E665" s="87" t="str">
        <f>Tabela1[[#This Row],[Descrição]]&amp;"-"&amp;Tabela1[[#This Row],[Código]]&amp;"/"&amp;Tabela1[[#This Row],[Origem]]</f>
        <v>Vupati-P457P333/GO</v>
      </c>
      <c r="F665" s="88">
        <v>45846</v>
      </c>
      <c r="G665" s="88" t="str" cm="1">
        <f t="array" ref="G6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AND(F665&gt;= DATE(2026,1,1), F665&lt;= DATE(2028, 12, 31), J665&gt;50000), "Pendente e Caro", AND(F665&gt;= DATE(2026,1,1), F665&lt;= DATE(2028, 12, 31), J665&lt;=50000), "Pendente", F665&gt;= DATE(2029,1,1), "Não prioeitário")</f>
        <v>Urgente e Caro</v>
      </c>
      <c r="H665" s="89">
        <f>YEAR(Tabela1[[#This Row],[Data de Validade]])</f>
        <v>2025</v>
      </c>
      <c r="I665" s="89">
        <f>MONTH(Tabela1[[#This Row],[Data de Validade]])</f>
        <v>7</v>
      </c>
      <c r="J665" s="101">
        <v>55408</v>
      </c>
      <c r="K665" s="87" t="s">
        <v>14</v>
      </c>
      <c r="L665" s="108"/>
      <c r="M665" s="108"/>
      <c r="N665" s="108" t="str">
        <v>P457P333</v>
      </c>
      <c r="O665" s="108">
        <f t="shared" si="12"/>
        <v>1</v>
      </c>
      <c r="P665" s="108"/>
      <c r="Q665"/>
    </row>
    <row r="666" spans="1:17" x14ac:dyDescent="0.25">
      <c r="A666" s="89" t="s">
        <v>9443</v>
      </c>
      <c r="B666" s="87" t="s">
        <v>9444</v>
      </c>
      <c r="C666" s="87" t="s">
        <v>13</v>
      </c>
      <c r="D666" s="87" t="str">
        <f>VLOOKUP(Tabela1[[#This Row],[Origem]], 'Perguntas 1 a 24'!$J$28:$K$34, 2, 0)</f>
        <v>Sudeste</v>
      </c>
      <c r="E666" s="87" t="str">
        <f>Tabela1[[#This Row],[Descrição]]&amp;"-"&amp;Tabela1[[#This Row],[Código]]&amp;"/"&amp;Tabela1[[#This Row],[Origem]]</f>
        <v>Rapepugavi-P826P673/SP</v>
      </c>
      <c r="F666" s="88">
        <v>45847</v>
      </c>
      <c r="G666" s="88" t="str" cm="1">
        <f t="array" ref="G6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AND(F666&gt;= DATE(2026,1,1), F666&lt;= DATE(2028, 12, 31), J666&gt;50000), "Pendente e Caro", AND(F666&gt;= DATE(2026,1,1), F666&lt;= DATE(2028, 12, 31), J666&lt;=50000), "Pendente", F666&gt;= DATE(2029,1,1), "Não prioeitário")</f>
        <v>Urgente e Caro</v>
      </c>
      <c r="H666" s="89">
        <f>YEAR(Tabela1[[#This Row],[Data de Validade]])</f>
        <v>2025</v>
      </c>
      <c r="I666" s="89">
        <f>MONTH(Tabela1[[#This Row],[Data de Validade]])</f>
        <v>7</v>
      </c>
      <c r="J666" s="101">
        <v>64743</v>
      </c>
      <c r="K666" s="87" t="s">
        <v>7</v>
      </c>
      <c r="L666" s="108"/>
      <c r="M666" s="108"/>
      <c r="N666" s="108" t="str">
        <v>P826P673</v>
      </c>
      <c r="O666" s="108">
        <f t="shared" si="12"/>
        <v>1</v>
      </c>
      <c r="P666" s="108"/>
      <c r="Q666"/>
    </row>
    <row r="667" spans="1:17" x14ac:dyDescent="0.25">
      <c r="A667" s="89" t="s">
        <v>4950</v>
      </c>
      <c r="B667" s="87" t="s">
        <v>4951</v>
      </c>
      <c r="C667" s="87" t="s">
        <v>6</v>
      </c>
      <c r="D667" s="87" t="str">
        <f>VLOOKUP(Tabela1[[#This Row],[Origem]], 'Perguntas 1 a 24'!$J$28:$K$34, 2, 0)</f>
        <v>Nordeste</v>
      </c>
      <c r="E667" s="87" t="str">
        <f>Tabela1[[#This Row],[Descrição]]&amp;"-"&amp;Tabela1[[#This Row],[Código]]&amp;"/"&amp;Tabela1[[#This Row],[Origem]]</f>
        <v>Varomite-H166H815/MA</v>
      </c>
      <c r="F667" s="88">
        <v>45847</v>
      </c>
      <c r="G667" s="88" t="str" cm="1">
        <f t="array" ref="G6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AND(F667&gt;= DATE(2026,1,1), F667&lt;= DATE(2028, 12, 31), J667&gt;50000), "Pendente e Caro", AND(F667&gt;= DATE(2026,1,1), F667&lt;= DATE(2028, 12, 31), J667&lt;=50000), "Pendente", F667&gt;= DATE(2029,1,1), "Não prioeitário")</f>
        <v>Urgente</v>
      </c>
      <c r="H667" s="89">
        <f>YEAR(Tabela1[[#This Row],[Data de Validade]])</f>
        <v>2025</v>
      </c>
      <c r="I667" s="89">
        <f>MONTH(Tabela1[[#This Row],[Data de Validade]])</f>
        <v>7</v>
      </c>
      <c r="J667" s="101">
        <v>29070</v>
      </c>
      <c r="K667" s="87" t="s">
        <v>7</v>
      </c>
      <c r="L667" s="108"/>
      <c r="M667" s="108"/>
      <c r="N667" s="108" t="str">
        <v>H166H815</v>
      </c>
      <c r="O667" s="108">
        <f t="shared" si="12"/>
        <v>1</v>
      </c>
      <c r="P667" s="108"/>
      <c r="Q667"/>
    </row>
    <row r="668" spans="1:17" x14ac:dyDescent="0.25">
      <c r="A668" s="89" t="s">
        <v>4926</v>
      </c>
      <c r="B668" s="87" t="s">
        <v>4927</v>
      </c>
      <c r="C668" s="87" t="s">
        <v>13</v>
      </c>
      <c r="D668" s="87" t="str">
        <f>VLOOKUP(Tabela1[[#This Row],[Origem]], 'Perguntas 1 a 24'!$J$28:$K$34, 2, 0)</f>
        <v>Sudeste</v>
      </c>
      <c r="E668" s="87" t="str">
        <f>Tabela1[[#This Row],[Descrição]]&amp;"-"&amp;Tabela1[[#This Row],[Código]]&amp;"/"&amp;Tabela1[[#This Row],[Origem]]</f>
        <v>Gapunapove-P172H584/SP</v>
      </c>
      <c r="F668" s="88">
        <v>45848</v>
      </c>
      <c r="G668" s="88" t="str" cm="1">
        <f t="array" ref="G6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AND(F668&gt;= DATE(2026,1,1), F668&lt;= DATE(2028, 12, 31), J668&gt;50000), "Pendente e Caro", AND(F668&gt;= DATE(2026,1,1), F668&lt;= DATE(2028, 12, 31), J668&lt;=50000), "Pendente", F668&gt;= DATE(2029,1,1), "Não prioeitário")</f>
        <v>Urgente e Caro</v>
      </c>
      <c r="H668" s="89">
        <f>YEAR(Tabela1[[#This Row],[Data de Validade]])</f>
        <v>2025</v>
      </c>
      <c r="I668" s="89">
        <f>MONTH(Tabela1[[#This Row],[Data de Validade]])</f>
        <v>7</v>
      </c>
      <c r="J668" s="101">
        <v>92009</v>
      </c>
      <c r="K668" s="87" t="s">
        <v>11</v>
      </c>
      <c r="L668" s="108"/>
      <c r="M668" s="108"/>
      <c r="N668" s="108" t="str">
        <v>P172H584</v>
      </c>
      <c r="O668" s="108">
        <f t="shared" si="12"/>
        <v>1</v>
      </c>
      <c r="P668" s="108"/>
      <c r="Q668"/>
    </row>
    <row r="669" spans="1:17" x14ac:dyDescent="0.25">
      <c r="A669" s="89" t="s">
        <v>9129</v>
      </c>
      <c r="B669" s="87" t="s">
        <v>9130</v>
      </c>
      <c r="C669" s="87" t="s">
        <v>13</v>
      </c>
      <c r="D669" s="87" t="str">
        <f>VLOOKUP(Tabela1[[#This Row],[Origem]], 'Perguntas 1 a 24'!$J$28:$K$34, 2, 0)</f>
        <v>Sudeste</v>
      </c>
      <c r="E669" s="87" t="str">
        <f>Tabela1[[#This Row],[Descrição]]&amp;"-"&amp;Tabela1[[#This Row],[Código]]&amp;"/"&amp;Tabela1[[#This Row],[Origem]]</f>
        <v>Mavatoru-H596H148/SP</v>
      </c>
      <c r="F669" s="88">
        <v>45849</v>
      </c>
      <c r="G669" s="88" t="str" cm="1">
        <f t="array" ref="G6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AND(F669&gt;= DATE(2026,1,1), F669&lt;= DATE(2028, 12, 31), J669&gt;50000), "Pendente e Caro", AND(F669&gt;= DATE(2026,1,1), F669&lt;= DATE(2028, 12, 31), J669&lt;=50000), "Pendente", F669&gt;= DATE(2029,1,1), "Não prioeitário")</f>
        <v>Urgente e Caro</v>
      </c>
      <c r="H669" s="89">
        <f>YEAR(Tabela1[[#This Row],[Data de Validade]])</f>
        <v>2025</v>
      </c>
      <c r="I669" s="89">
        <f>MONTH(Tabela1[[#This Row],[Data de Validade]])</f>
        <v>7</v>
      </c>
      <c r="J669" s="101">
        <v>108235</v>
      </c>
      <c r="K669" s="87" t="s">
        <v>7</v>
      </c>
      <c r="L669" s="108"/>
      <c r="M669" s="108"/>
      <c r="N669" s="108" t="str">
        <v>H596H148</v>
      </c>
      <c r="O669" s="108">
        <f t="shared" si="12"/>
        <v>1</v>
      </c>
      <c r="P669" s="108"/>
      <c r="Q669"/>
    </row>
    <row r="670" spans="1:17" x14ac:dyDescent="0.25">
      <c r="A670" s="89" t="s">
        <v>7452</v>
      </c>
      <c r="B670" s="87" t="s">
        <v>7453</v>
      </c>
      <c r="C670" s="87" t="s">
        <v>13</v>
      </c>
      <c r="D670" s="87" t="str">
        <f>VLOOKUP(Tabela1[[#This Row],[Origem]], 'Perguntas 1 a 24'!$J$28:$K$34, 2, 0)</f>
        <v>Sudeste</v>
      </c>
      <c r="E670" s="87" t="str">
        <f>Tabela1[[#This Row],[Descrição]]&amp;"-"&amp;Tabela1[[#This Row],[Código]]&amp;"/"&amp;Tabela1[[#This Row],[Origem]]</f>
        <v>Lutimana-P631P858/SP</v>
      </c>
      <c r="F670" s="88">
        <v>45849</v>
      </c>
      <c r="G670" s="88" t="str" cm="1">
        <f t="array" ref="G6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AND(F670&gt;= DATE(2026,1,1), F670&lt;= DATE(2028, 12, 31), J670&gt;50000), "Pendente e Caro", AND(F670&gt;= DATE(2026,1,1), F670&lt;= DATE(2028, 12, 31), J670&lt;=50000), "Pendente", F670&gt;= DATE(2029,1,1), "Não prioeitário")</f>
        <v>Urgente e Caro</v>
      </c>
      <c r="H670" s="89">
        <f>YEAR(Tabela1[[#This Row],[Data de Validade]])</f>
        <v>2025</v>
      </c>
      <c r="I670" s="89">
        <f>MONTH(Tabela1[[#This Row],[Data de Validade]])</f>
        <v>7</v>
      </c>
      <c r="J670" s="101">
        <v>85862</v>
      </c>
      <c r="K670" s="87" t="s">
        <v>14</v>
      </c>
      <c r="L670" s="108"/>
      <c r="M670" s="108"/>
      <c r="N670" s="108" t="str">
        <v>P631P858</v>
      </c>
      <c r="O670" s="108">
        <f t="shared" si="12"/>
        <v>1</v>
      </c>
      <c r="P670" s="108"/>
      <c r="Q670"/>
    </row>
    <row r="671" spans="1:17" x14ac:dyDescent="0.25">
      <c r="A671" s="89" t="s">
        <v>4812</v>
      </c>
      <c r="B671" s="87" t="s">
        <v>4813</v>
      </c>
      <c r="C671" s="87" t="s">
        <v>8</v>
      </c>
      <c r="D671" s="87" t="str">
        <f>VLOOKUP(Tabela1[[#This Row],[Origem]], 'Perguntas 1 a 24'!$J$28:$K$34, 2, 0)</f>
        <v>Nordeste</v>
      </c>
      <c r="E671" s="87" t="str">
        <f>Tabela1[[#This Row],[Descrição]]&amp;"-"&amp;Tabela1[[#This Row],[Código]]&amp;"/"&amp;Tabela1[[#This Row],[Origem]]</f>
        <v>Parotere-P112H345/AL</v>
      </c>
      <c r="F671" s="88">
        <v>45849</v>
      </c>
      <c r="G671" s="88" t="str" cm="1">
        <f t="array" ref="G6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AND(F671&gt;= DATE(2026,1,1), F671&lt;= DATE(2028, 12, 31), J671&gt;50000), "Pendente e Caro", AND(F671&gt;= DATE(2026,1,1), F671&lt;= DATE(2028, 12, 31), J671&lt;=50000), "Pendente", F671&gt;= DATE(2029,1,1), "Não prioeitário")</f>
        <v>Urgente e Caro</v>
      </c>
      <c r="H671" s="89">
        <f>YEAR(Tabela1[[#This Row],[Data de Validade]])</f>
        <v>2025</v>
      </c>
      <c r="I671" s="89">
        <f>MONTH(Tabela1[[#This Row],[Data de Validade]])</f>
        <v>7</v>
      </c>
      <c r="J671" s="101">
        <v>79881</v>
      </c>
      <c r="K671" s="87" t="s">
        <v>9</v>
      </c>
      <c r="L671" s="108"/>
      <c r="M671" s="108"/>
      <c r="N671" s="108" t="str">
        <v>P112H345</v>
      </c>
      <c r="O671" s="108">
        <f t="shared" si="12"/>
        <v>1</v>
      </c>
      <c r="P671" s="108"/>
      <c r="Q671"/>
    </row>
    <row r="672" spans="1:17" x14ac:dyDescent="0.25">
      <c r="A672" s="89" t="s">
        <v>11202</v>
      </c>
      <c r="B672" s="87" t="s">
        <v>11203</v>
      </c>
      <c r="C672" s="87" t="s">
        <v>15</v>
      </c>
      <c r="D672" s="87" t="str">
        <f>VLOOKUP(Tabela1[[#This Row],[Origem]], 'Perguntas 1 a 24'!$J$28:$K$34, 2, 0)</f>
        <v>Sudeste</v>
      </c>
      <c r="E672" s="87" t="str">
        <f>Tabela1[[#This Row],[Descrição]]&amp;"-"&amp;Tabela1[[#This Row],[Código]]&amp;"/"&amp;Tabela1[[#This Row],[Origem]]</f>
        <v>Doluperipu-P475H868/ES</v>
      </c>
      <c r="F672" s="88">
        <v>45849</v>
      </c>
      <c r="G672" s="88" t="str" cm="1">
        <f t="array" ref="G6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AND(F672&gt;= DATE(2026,1,1), F672&lt;= DATE(2028, 12, 31), J672&gt;50000), "Pendente e Caro", AND(F672&gt;= DATE(2026,1,1), F672&lt;= DATE(2028, 12, 31), J672&lt;=50000), "Pendente", F672&gt;= DATE(2029,1,1), "Não prioeitário")</f>
        <v>Urgente e Caro</v>
      </c>
      <c r="H672" s="89">
        <f>YEAR(Tabela1[[#This Row],[Data de Validade]])</f>
        <v>2025</v>
      </c>
      <c r="I672" s="89">
        <f>MONTH(Tabela1[[#This Row],[Data de Validade]])</f>
        <v>7</v>
      </c>
      <c r="J672" s="101">
        <v>70966</v>
      </c>
      <c r="K672" s="87" t="s">
        <v>14</v>
      </c>
      <c r="L672" s="108"/>
      <c r="M672" s="108"/>
      <c r="N672" s="108" t="str">
        <v>P475H868</v>
      </c>
      <c r="O672" s="108">
        <f t="shared" si="12"/>
        <v>1</v>
      </c>
      <c r="P672" s="108"/>
      <c r="Q672"/>
    </row>
    <row r="673" spans="1:17" x14ac:dyDescent="0.25">
      <c r="A673" s="89" t="s">
        <v>3848</v>
      </c>
      <c r="B673" s="87" t="s">
        <v>3849</v>
      </c>
      <c r="C673" s="87" t="s">
        <v>12</v>
      </c>
      <c r="D673" s="87" t="str">
        <f>VLOOKUP(Tabela1[[#This Row],[Origem]], 'Perguntas 1 a 24'!$J$28:$K$34, 2, 0)</f>
        <v>Sudeste</v>
      </c>
      <c r="E673" s="87" t="str">
        <f>Tabela1[[#This Row],[Descrição]]&amp;"-"&amp;Tabela1[[#This Row],[Código]]&amp;"/"&amp;Tabela1[[#This Row],[Origem]]</f>
        <v>Ruderi-P815P956/RJ</v>
      </c>
      <c r="F673" s="88">
        <v>45850</v>
      </c>
      <c r="G673" s="88" t="str" cm="1">
        <f t="array" ref="G6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AND(F673&gt;= DATE(2026,1,1), F673&lt;= DATE(2028, 12, 31), J673&gt;50000), "Pendente e Caro", AND(F673&gt;= DATE(2026,1,1), F673&lt;= DATE(2028, 12, 31), J673&lt;=50000), "Pendente", F673&gt;= DATE(2029,1,1), "Não prioeitário")</f>
        <v>Urgente e Caro</v>
      </c>
      <c r="H673" s="89">
        <f>YEAR(Tabela1[[#This Row],[Data de Validade]])</f>
        <v>2025</v>
      </c>
      <c r="I673" s="89">
        <f>MONTH(Tabela1[[#This Row],[Data de Validade]])</f>
        <v>7</v>
      </c>
      <c r="J673" s="101">
        <v>79237</v>
      </c>
      <c r="K673" s="87" t="s">
        <v>11</v>
      </c>
      <c r="L673" s="108"/>
      <c r="M673" s="108"/>
      <c r="N673" s="108" t="str">
        <v>P815P956</v>
      </c>
      <c r="O673" s="108">
        <f t="shared" si="12"/>
        <v>1</v>
      </c>
      <c r="P673" s="108"/>
      <c r="Q673"/>
    </row>
    <row r="674" spans="1:17" x14ac:dyDescent="0.25">
      <c r="A674" s="89" t="s">
        <v>9699</v>
      </c>
      <c r="B674" s="87" t="s">
        <v>9700</v>
      </c>
      <c r="C674" s="87" t="s">
        <v>12</v>
      </c>
      <c r="D674" s="87" t="str">
        <f>VLOOKUP(Tabela1[[#This Row],[Origem]], 'Perguntas 1 a 24'!$J$28:$K$34, 2, 0)</f>
        <v>Sudeste</v>
      </c>
      <c r="E674" s="87" t="str">
        <f>Tabela1[[#This Row],[Descrição]]&amp;"-"&amp;Tabela1[[#This Row],[Código]]&amp;"/"&amp;Tabela1[[#This Row],[Origem]]</f>
        <v>Fovefo-H813P239/RJ</v>
      </c>
      <c r="F674" s="88">
        <v>45850</v>
      </c>
      <c r="G674" s="88" t="str" cm="1">
        <f t="array" ref="G6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AND(F674&gt;= DATE(2026,1,1), F674&lt;= DATE(2028, 12, 31), J674&gt;50000), "Pendente e Caro", AND(F674&gt;= DATE(2026,1,1), F674&lt;= DATE(2028, 12, 31), J674&lt;=50000), "Pendente", F674&gt;= DATE(2029,1,1), "Não prioeitário")</f>
        <v>Urgente</v>
      </c>
      <c r="H674" s="89">
        <f>YEAR(Tabela1[[#This Row],[Data de Validade]])</f>
        <v>2025</v>
      </c>
      <c r="I674" s="89">
        <f>MONTH(Tabela1[[#This Row],[Data de Validade]])</f>
        <v>7</v>
      </c>
      <c r="J674" s="101">
        <v>25234</v>
      </c>
      <c r="K674" s="87" t="s">
        <v>9</v>
      </c>
      <c r="L674" s="108"/>
      <c r="M674" s="108"/>
      <c r="N674" s="108" t="str">
        <v>H813P239</v>
      </c>
      <c r="O674" s="108">
        <f t="shared" si="12"/>
        <v>1</v>
      </c>
      <c r="P674" s="108"/>
      <c r="Q674"/>
    </row>
    <row r="675" spans="1:17" x14ac:dyDescent="0.25">
      <c r="A675" s="89" t="s">
        <v>4840</v>
      </c>
      <c r="B675" s="87" t="s">
        <v>4841</v>
      </c>
      <c r="C675" s="87" t="s">
        <v>15</v>
      </c>
      <c r="D675" s="87" t="str">
        <f>VLOOKUP(Tabela1[[#This Row],[Origem]], 'Perguntas 1 a 24'!$J$28:$K$34, 2, 0)</f>
        <v>Sudeste</v>
      </c>
      <c r="E675" s="87" t="str">
        <f>Tabela1[[#This Row],[Descrição]]&amp;"-"&amp;Tabela1[[#This Row],[Código]]&amp;"/"&amp;Tabela1[[#This Row],[Origem]]</f>
        <v>Curadopu-P691H136/ES</v>
      </c>
      <c r="F675" s="88">
        <v>45851</v>
      </c>
      <c r="G675" s="88" t="str" cm="1">
        <f t="array" ref="G6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AND(F675&gt;= DATE(2026,1,1), F675&lt;= DATE(2028, 12, 31), J675&gt;50000), "Pendente e Caro", AND(F675&gt;= DATE(2026,1,1), F675&lt;= DATE(2028, 12, 31), J675&lt;=50000), "Pendente", F675&gt;= DATE(2029,1,1), "Não prioeitário")</f>
        <v>Urgente e Caro</v>
      </c>
      <c r="H675" s="89">
        <f>YEAR(Tabela1[[#This Row],[Data de Validade]])</f>
        <v>2025</v>
      </c>
      <c r="I675" s="89">
        <f>MONTH(Tabela1[[#This Row],[Data de Validade]])</f>
        <v>7</v>
      </c>
      <c r="J675" s="101">
        <v>102996</v>
      </c>
      <c r="K675" s="87" t="s">
        <v>7</v>
      </c>
      <c r="L675" s="108"/>
      <c r="M675" s="108"/>
      <c r="N675" s="108" t="str">
        <v>P691H136</v>
      </c>
      <c r="O675" s="108">
        <f t="shared" si="12"/>
        <v>1</v>
      </c>
      <c r="P675" s="108"/>
      <c r="Q675"/>
    </row>
    <row r="676" spans="1:17" x14ac:dyDescent="0.25">
      <c r="A676" s="89" t="s">
        <v>10249</v>
      </c>
      <c r="B676" s="87" t="s">
        <v>10250</v>
      </c>
      <c r="C676" s="87" t="s">
        <v>10</v>
      </c>
      <c r="D676" s="87" t="str">
        <f>VLOOKUP(Tabela1[[#This Row],[Origem]], 'Perguntas 1 a 24'!$J$28:$K$34, 2, 0)</f>
        <v>Centro-Oeste</v>
      </c>
      <c r="E676" s="87" t="str">
        <f>Tabela1[[#This Row],[Descrição]]&amp;"-"&amp;Tabela1[[#This Row],[Código]]&amp;"/"&amp;Tabela1[[#This Row],[Origem]]</f>
        <v>Ponicegefo-P373H538/GO</v>
      </c>
      <c r="F676" s="88">
        <v>45852</v>
      </c>
      <c r="G676" s="88" t="str" cm="1">
        <f t="array" ref="G6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AND(F676&gt;= DATE(2026,1,1), F676&lt;= DATE(2028, 12, 31), J676&gt;50000), "Pendente e Caro", AND(F676&gt;= DATE(2026,1,1), F676&lt;= DATE(2028, 12, 31), J676&lt;=50000), "Pendente", F676&gt;= DATE(2029,1,1), "Não prioeitário")</f>
        <v>Urgente e Caro</v>
      </c>
      <c r="H676" s="89">
        <f>YEAR(Tabela1[[#This Row],[Data de Validade]])</f>
        <v>2025</v>
      </c>
      <c r="I676" s="89">
        <f>MONTH(Tabela1[[#This Row],[Data de Validade]])</f>
        <v>7</v>
      </c>
      <c r="J676" s="101">
        <v>118973</v>
      </c>
      <c r="K676" s="87" t="s">
        <v>11</v>
      </c>
      <c r="L676" s="108"/>
      <c r="M676" s="108"/>
      <c r="N676" s="108" t="str">
        <v>P373H538</v>
      </c>
      <c r="O676" s="108">
        <f t="shared" si="12"/>
        <v>1</v>
      </c>
      <c r="P676" s="108"/>
      <c r="Q676"/>
    </row>
    <row r="677" spans="1:17" x14ac:dyDescent="0.25">
      <c r="A677" s="89" t="s">
        <v>7268</v>
      </c>
      <c r="B677" s="87" t="s">
        <v>7269</v>
      </c>
      <c r="C677" s="87" t="s">
        <v>12</v>
      </c>
      <c r="D677" s="87" t="str">
        <f>VLOOKUP(Tabela1[[#This Row],[Origem]], 'Perguntas 1 a 24'!$J$28:$K$34, 2, 0)</f>
        <v>Sudeste</v>
      </c>
      <c r="E677" s="87" t="str">
        <f>Tabela1[[#This Row],[Descrição]]&amp;"-"&amp;Tabela1[[#This Row],[Código]]&amp;"/"&amp;Tabela1[[#This Row],[Origem]]</f>
        <v>Cinuripemo-H524P462/RJ</v>
      </c>
      <c r="F677" s="88">
        <v>45852</v>
      </c>
      <c r="G677" s="88" t="str" cm="1">
        <f t="array" ref="G6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AND(F677&gt;= DATE(2026,1,1), F677&lt;= DATE(2028, 12, 31), J677&gt;50000), "Pendente e Caro", AND(F677&gt;= DATE(2026,1,1), F677&lt;= DATE(2028, 12, 31), J677&lt;=50000), "Pendente", F677&gt;= DATE(2029,1,1), "Não prioeitário")</f>
        <v>Urgente e Caro</v>
      </c>
      <c r="H677" s="89">
        <f>YEAR(Tabela1[[#This Row],[Data de Validade]])</f>
        <v>2025</v>
      </c>
      <c r="I677" s="89">
        <f>MONTH(Tabela1[[#This Row],[Data de Validade]])</f>
        <v>7</v>
      </c>
      <c r="J677" s="101">
        <v>118122</v>
      </c>
      <c r="K677" s="87" t="s">
        <v>9</v>
      </c>
      <c r="L677" s="108"/>
      <c r="M677" s="108"/>
      <c r="N677" s="108" t="str">
        <v>H524P462</v>
      </c>
      <c r="O677" s="108">
        <f t="shared" si="12"/>
        <v>1</v>
      </c>
      <c r="P677" s="108"/>
      <c r="Q677"/>
    </row>
    <row r="678" spans="1:17" x14ac:dyDescent="0.25">
      <c r="A678" s="89" t="s">
        <v>8108</v>
      </c>
      <c r="B678" s="87" t="s">
        <v>8109</v>
      </c>
      <c r="C678" s="87" t="s">
        <v>10</v>
      </c>
      <c r="D678" s="87" t="str">
        <f>VLOOKUP(Tabela1[[#This Row],[Origem]], 'Perguntas 1 a 24'!$J$28:$K$34, 2, 0)</f>
        <v>Centro-Oeste</v>
      </c>
      <c r="E678" s="87" t="str">
        <f>Tabela1[[#This Row],[Descrição]]&amp;"-"&amp;Tabela1[[#This Row],[Código]]&amp;"/"&amp;Tabela1[[#This Row],[Origem]]</f>
        <v>Dopudane-H285H182/GO</v>
      </c>
      <c r="F678" s="88">
        <v>45853</v>
      </c>
      <c r="G678" s="88" t="str" cm="1">
        <f t="array" ref="G6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AND(F678&gt;= DATE(2026,1,1), F678&lt;= DATE(2028, 12, 31), J678&gt;50000), "Pendente e Caro", AND(F678&gt;= DATE(2026,1,1), F678&lt;= DATE(2028, 12, 31), J678&lt;=50000), "Pendente", F678&gt;= DATE(2029,1,1), "Não prioeitário")</f>
        <v>Urgente e Caro</v>
      </c>
      <c r="H678" s="89">
        <f>YEAR(Tabela1[[#This Row],[Data de Validade]])</f>
        <v>2025</v>
      </c>
      <c r="I678" s="89">
        <f>MONTH(Tabela1[[#This Row],[Data de Validade]])</f>
        <v>7</v>
      </c>
      <c r="J678" s="101">
        <v>80457</v>
      </c>
      <c r="K678" s="87" t="s">
        <v>11</v>
      </c>
      <c r="L678" s="108"/>
      <c r="M678" s="108"/>
      <c r="N678" s="108" t="str">
        <v>H285H182</v>
      </c>
      <c r="O678" s="108">
        <f t="shared" si="12"/>
        <v>1</v>
      </c>
      <c r="P678" s="108"/>
      <c r="Q678"/>
    </row>
    <row r="679" spans="1:17" x14ac:dyDescent="0.25">
      <c r="A679" s="89" t="s">
        <v>7448</v>
      </c>
      <c r="B679" s="87" t="s">
        <v>7449</v>
      </c>
      <c r="C679" s="87" t="s">
        <v>12</v>
      </c>
      <c r="D679" s="87" t="str">
        <f>VLOOKUP(Tabela1[[#This Row],[Origem]], 'Perguntas 1 a 24'!$J$28:$K$34, 2, 0)</f>
        <v>Sudeste</v>
      </c>
      <c r="E679" s="87" t="str">
        <f>Tabela1[[#This Row],[Descrição]]&amp;"-"&amp;Tabela1[[#This Row],[Código]]&amp;"/"&amp;Tabela1[[#This Row],[Origem]]</f>
        <v>Tenogapigu-H117P727/RJ</v>
      </c>
      <c r="F679" s="88">
        <v>45854</v>
      </c>
      <c r="G679" s="88" t="str" cm="1">
        <f t="array" ref="G6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AND(F679&gt;= DATE(2026,1,1), F679&lt;= DATE(2028, 12, 31), J679&gt;50000), "Pendente e Caro", AND(F679&gt;= DATE(2026,1,1), F679&lt;= DATE(2028, 12, 31), J679&lt;=50000), "Pendente", F679&gt;= DATE(2029,1,1), "Não prioeitário")</f>
        <v>Urgente e Caro</v>
      </c>
      <c r="H679" s="89">
        <f>YEAR(Tabela1[[#This Row],[Data de Validade]])</f>
        <v>2025</v>
      </c>
      <c r="I679" s="89">
        <f>MONTH(Tabela1[[#This Row],[Data de Validade]])</f>
        <v>7</v>
      </c>
      <c r="J679" s="101">
        <v>59833</v>
      </c>
      <c r="K679" s="87" t="s">
        <v>7</v>
      </c>
      <c r="L679" s="108"/>
      <c r="M679" s="108"/>
      <c r="N679" s="108" t="str">
        <v>H117P727</v>
      </c>
      <c r="O679" s="108">
        <f t="shared" si="12"/>
        <v>1</v>
      </c>
      <c r="P679" s="108"/>
      <c r="Q679"/>
    </row>
    <row r="680" spans="1:17" x14ac:dyDescent="0.25">
      <c r="A680" s="89" t="s">
        <v>6492</v>
      </c>
      <c r="B680" s="87" t="s">
        <v>6493</v>
      </c>
      <c r="C680" s="87" t="s">
        <v>12</v>
      </c>
      <c r="D680" s="87" t="str">
        <f>VLOOKUP(Tabela1[[#This Row],[Origem]], 'Perguntas 1 a 24'!$J$28:$K$34, 2, 0)</f>
        <v>Sudeste</v>
      </c>
      <c r="E680" s="87" t="str">
        <f>Tabela1[[#This Row],[Descrição]]&amp;"-"&amp;Tabela1[[#This Row],[Código]]&amp;"/"&amp;Tabela1[[#This Row],[Origem]]</f>
        <v>Vepata-P126H231/RJ</v>
      </c>
      <c r="F680" s="88">
        <v>45854</v>
      </c>
      <c r="G680" s="88" t="str" cm="1">
        <f t="array" ref="G6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AND(F680&gt;= DATE(2026,1,1), F680&lt;= DATE(2028, 12, 31), J680&gt;50000), "Pendente e Caro", AND(F680&gt;= DATE(2026,1,1), F680&lt;= DATE(2028, 12, 31), J680&lt;=50000), "Pendente", F680&gt;= DATE(2029,1,1), "Não prioeitário")</f>
        <v>Urgente</v>
      </c>
      <c r="H680" s="89">
        <f>YEAR(Tabela1[[#This Row],[Data de Validade]])</f>
        <v>2025</v>
      </c>
      <c r="I680" s="89">
        <f>MONTH(Tabela1[[#This Row],[Data de Validade]])</f>
        <v>7</v>
      </c>
      <c r="J680" s="101">
        <v>41581</v>
      </c>
      <c r="K680" s="87" t="s">
        <v>11</v>
      </c>
      <c r="L680" s="108"/>
      <c r="M680" s="108"/>
      <c r="N680" s="108" t="str">
        <v>P126H231</v>
      </c>
      <c r="O680" s="108">
        <f t="shared" si="12"/>
        <v>1</v>
      </c>
      <c r="P680" s="108"/>
      <c r="Q680"/>
    </row>
    <row r="681" spans="1:17" x14ac:dyDescent="0.25">
      <c r="A681" s="89" t="s">
        <v>6364</v>
      </c>
      <c r="B681" s="87" t="s">
        <v>6365</v>
      </c>
      <c r="C681" s="87" t="s">
        <v>15</v>
      </c>
      <c r="D681" s="87" t="str">
        <f>VLOOKUP(Tabela1[[#This Row],[Origem]], 'Perguntas 1 a 24'!$J$28:$K$34, 2, 0)</f>
        <v>Sudeste</v>
      </c>
      <c r="E681" s="87" t="str">
        <f>Tabela1[[#This Row],[Descrição]]&amp;"-"&amp;Tabela1[[#This Row],[Código]]&amp;"/"&amp;Tabela1[[#This Row],[Origem]]</f>
        <v>Tafocecera-H128P441/ES</v>
      </c>
      <c r="F681" s="88">
        <v>45854</v>
      </c>
      <c r="G681" s="88" t="str" cm="1">
        <f t="array" ref="G6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AND(F681&gt;= DATE(2026,1,1), F681&lt;= DATE(2028, 12, 31), J681&gt;50000), "Pendente e Caro", AND(F681&gt;= DATE(2026,1,1), F681&lt;= DATE(2028, 12, 31), J681&lt;=50000), "Pendente", F681&gt;= DATE(2029,1,1), "Não prioeitário")</f>
        <v>Urgente</v>
      </c>
      <c r="H681" s="89">
        <f>YEAR(Tabela1[[#This Row],[Data de Validade]])</f>
        <v>2025</v>
      </c>
      <c r="I681" s="89">
        <f>MONTH(Tabela1[[#This Row],[Data de Validade]])</f>
        <v>7</v>
      </c>
      <c r="J681" s="101">
        <v>29816</v>
      </c>
      <c r="K681" s="87" t="s">
        <v>9</v>
      </c>
      <c r="L681" s="108"/>
      <c r="M681" s="108"/>
      <c r="N681" s="108" t="str">
        <v>H128P441</v>
      </c>
      <c r="O681" s="108">
        <f t="shared" si="12"/>
        <v>1</v>
      </c>
      <c r="P681" s="108"/>
      <c r="Q681"/>
    </row>
    <row r="682" spans="1:17" x14ac:dyDescent="0.25">
      <c r="A682" s="89" t="s">
        <v>8254</v>
      </c>
      <c r="B682" s="87" t="s">
        <v>8255</v>
      </c>
      <c r="C682" s="87" t="s">
        <v>6</v>
      </c>
      <c r="D682" s="87" t="str">
        <f>VLOOKUP(Tabela1[[#This Row],[Origem]], 'Perguntas 1 a 24'!$J$28:$K$34, 2, 0)</f>
        <v>Nordeste</v>
      </c>
      <c r="E682" s="87" t="str">
        <f>Tabela1[[#This Row],[Descrição]]&amp;"-"&amp;Tabela1[[#This Row],[Código]]&amp;"/"&amp;Tabela1[[#This Row],[Origem]]</f>
        <v>Teperenepa-P764P375/MA</v>
      </c>
      <c r="F682" s="88">
        <v>45858</v>
      </c>
      <c r="G682" s="88" t="str" cm="1">
        <f t="array" ref="G6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AND(F682&gt;= DATE(2026,1,1), F682&lt;= DATE(2028, 12, 31), J682&gt;50000), "Pendente e Caro", AND(F682&gt;= DATE(2026,1,1), F682&lt;= DATE(2028, 12, 31), J682&lt;=50000), "Pendente", F682&gt;= DATE(2029,1,1), "Não prioeitário")</f>
        <v>Urgente e Caro</v>
      </c>
      <c r="H682" s="89">
        <f>YEAR(Tabela1[[#This Row],[Data de Validade]])</f>
        <v>2025</v>
      </c>
      <c r="I682" s="89">
        <f>MONTH(Tabela1[[#This Row],[Data de Validade]])</f>
        <v>7</v>
      </c>
      <c r="J682" s="101">
        <v>55642</v>
      </c>
      <c r="K682" s="87" t="s">
        <v>14</v>
      </c>
      <c r="L682" s="108"/>
      <c r="M682" s="108"/>
      <c r="N682" s="108" t="str">
        <v>P764P375</v>
      </c>
      <c r="O682" s="108">
        <f t="shared" si="12"/>
        <v>1</v>
      </c>
      <c r="P682" s="108"/>
      <c r="Q682"/>
    </row>
    <row r="683" spans="1:17" x14ac:dyDescent="0.25">
      <c r="A683" s="89" t="s">
        <v>4892</v>
      </c>
      <c r="B683" s="87" t="s">
        <v>4893</v>
      </c>
      <c r="C683" s="87" t="s">
        <v>15</v>
      </c>
      <c r="D683" s="87" t="str">
        <f>VLOOKUP(Tabela1[[#This Row],[Origem]], 'Perguntas 1 a 24'!$J$28:$K$34, 2, 0)</f>
        <v>Sudeste</v>
      </c>
      <c r="E683" s="87" t="str">
        <f>Tabela1[[#This Row],[Descrição]]&amp;"-"&amp;Tabela1[[#This Row],[Código]]&amp;"/"&amp;Tabela1[[#This Row],[Origem]]</f>
        <v>Vocoreceti-P961P459/ES</v>
      </c>
      <c r="F683" s="88">
        <v>45858</v>
      </c>
      <c r="G683" s="88" t="str" cm="1">
        <f t="array" ref="G6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AND(F683&gt;= DATE(2026,1,1), F683&lt;= DATE(2028, 12, 31), J683&gt;50000), "Pendente e Caro", AND(F683&gt;= DATE(2026,1,1), F683&lt;= DATE(2028, 12, 31), J683&lt;=50000), "Pendente", F683&gt;= DATE(2029,1,1), "Não prioeitário")</f>
        <v>Urgente</v>
      </c>
      <c r="H683" s="89">
        <f>YEAR(Tabela1[[#This Row],[Data de Validade]])</f>
        <v>2025</v>
      </c>
      <c r="I683" s="89">
        <f>MONTH(Tabela1[[#This Row],[Data de Validade]])</f>
        <v>7</v>
      </c>
      <c r="J683" s="101">
        <v>46585</v>
      </c>
      <c r="K683" s="87" t="s">
        <v>11</v>
      </c>
      <c r="L683" s="108"/>
      <c r="M683" s="108"/>
      <c r="N683" s="108" t="str">
        <v>P961P459</v>
      </c>
      <c r="O683" s="108">
        <f t="shared" si="12"/>
        <v>1</v>
      </c>
      <c r="P683" s="108"/>
      <c r="Q683"/>
    </row>
    <row r="684" spans="1:17" x14ac:dyDescent="0.25">
      <c r="A684" s="89" t="s">
        <v>3730</v>
      </c>
      <c r="B684" s="87" t="s">
        <v>3731</v>
      </c>
      <c r="C684" s="87" t="s">
        <v>6</v>
      </c>
      <c r="D684" s="87" t="str">
        <f>VLOOKUP(Tabela1[[#This Row],[Origem]], 'Perguntas 1 a 24'!$J$28:$K$34, 2, 0)</f>
        <v>Nordeste</v>
      </c>
      <c r="E684" s="87" t="str">
        <f>Tabela1[[#This Row],[Descrição]]&amp;"-"&amp;Tabela1[[#This Row],[Código]]&amp;"/"&amp;Tabela1[[#This Row],[Origem]]</f>
        <v>Velididigu-H313H311/MA</v>
      </c>
      <c r="F684" s="88">
        <v>45859</v>
      </c>
      <c r="G684" s="88" t="str" cm="1">
        <f t="array" ref="G6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AND(F684&gt;= DATE(2026,1,1), F684&lt;= DATE(2028, 12, 31), J684&gt;50000), "Pendente e Caro", AND(F684&gt;= DATE(2026,1,1), F684&lt;= DATE(2028, 12, 31), J684&lt;=50000), "Pendente", F684&gt;= DATE(2029,1,1), "Não prioeitário")</f>
        <v>Urgente</v>
      </c>
      <c r="H684" s="89">
        <f>YEAR(Tabela1[[#This Row],[Data de Validade]])</f>
        <v>2025</v>
      </c>
      <c r="I684" s="89">
        <f>MONTH(Tabela1[[#This Row],[Data de Validade]])</f>
        <v>7</v>
      </c>
      <c r="J684" s="101">
        <v>29433</v>
      </c>
      <c r="K684" s="87" t="s">
        <v>7</v>
      </c>
      <c r="L684" s="108"/>
      <c r="M684" s="108"/>
      <c r="N684" s="108" t="str">
        <v>H313H311</v>
      </c>
      <c r="O684" s="108">
        <f t="shared" si="12"/>
        <v>1</v>
      </c>
      <c r="P684" s="108"/>
      <c r="Q684"/>
    </row>
    <row r="685" spans="1:17" x14ac:dyDescent="0.25">
      <c r="A685" s="89" t="s">
        <v>4562</v>
      </c>
      <c r="B685" s="87" t="s">
        <v>4563</v>
      </c>
      <c r="C685" s="87" t="s">
        <v>13</v>
      </c>
      <c r="D685" s="87" t="str">
        <f>VLOOKUP(Tabela1[[#This Row],[Origem]], 'Perguntas 1 a 24'!$J$28:$K$34, 2, 0)</f>
        <v>Sudeste</v>
      </c>
      <c r="E685" s="87" t="str">
        <f>Tabela1[[#This Row],[Descrição]]&amp;"-"&amp;Tabela1[[#This Row],[Código]]&amp;"/"&amp;Tabela1[[#This Row],[Origem]]</f>
        <v>Femerere-H639P217/SP</v>
      </c>
      <c r="F685" s="88">
        <v>45860</v>
      </c>
      <c r="G685" s="88" t="str" cm="1">
        <f t="array" ref="G6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AND(F685&gt;= DATE(2026,1,1), F685&lt;= DATE(2028, 12, 31), J685&gt;50000), "Pendente e Caro", AND(F685&gt;= DATE(2026,1,1), F685&lt;= DATE(2028, 12, 31), J685&lt;=50000), "Pendente", F685&gt;= DATE(2029,1,1), "Não prioeitário")</f>
        <v>Urgente e Caro</v>
      </c>
      <c r="H685" s="89">
        <f>YEAR(Tabela1[[#This Row],[Data de Validade]])</f>
        <v>2025</v>
      </c>
      <c r="I685" s="89">
        <f>MONTH(Tabela1[[#This Row],[Data de Validade]])</f>
        <v>7</v>
      </c>
      <c r="J685" s="101">
        <v>100298</v>
      </c>
      <c r="K685" s="87" t="s">
        <v>14</v>
      </c>
      <c r="L685" s="108"/>
      <c r="M685" s="108"/>
      <c r="N685" s="108" t="str">
        <v>H639P217</v>
      </c>
      <c r="O685" s="108">
        <f t="shared" si="12"/>
        <v>1</v>
      </c>
      <c r="P685" s="108"/>
      <c r="Q685"/>
    </row>
    <row r="686" spans="1:17" x14ac:dyDescent="0.25">
      <c r="A686" s="89" t="s">
        <v>6808</v>
      </c>
      <c r="B686" s="87" t="s">
        <v>6809</v>
      </c>
      <c r="C686" s="87" t="s">
        <v>6</v>
      </c>
      <c r="D686" s="87" t="str">
        <f>VLOOKUP(Tabela1[[#This Row],[Origem]], 'Perguntas 1 a 24'!$J$28:$K$34, 2, 0)</f>
        <v>Nordeste</v>
      </c>
      <c r="E686" s="87" t="str">
        <f>Tabela1[[#This Row],[Descrição]]&amp;"-"&amp;Tabela1[[#This Row],[Código]]&amp;"/"&amp;Tabela1[[#This Row],[Origem]]</f>
        <v>Ludomororo-P166P976/MA</v>
      </c>
      <c r="F686" s="88">
        <v>45861</v>
      </c>
      <c r="G686" s="88" t="str" cm="1">
        <f t="array" ref="G6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AND(F686&gt;= DATE(2026,1,1), F686&lt;= DATE(2028, 12, 31), J686&gt;50000), "Pendente e Caro", AND(F686&gt;= DATE(2026,1,1), F686&lt;= DATE(2028, 12, 31), J686&lt;=50000), "Pendente", F686&gt;= DATE(2029,1,1), "Não prioeitário")</f>
        <v>Urgente e Caro</v>
      </c>
      <c r="H686" s="89">
        <f>YEAR(Tabela1[[#This Row],[Data de Validade]])</f>
        <v>2025</v>
      </c>
      <c r="I686" s="89">
        <f>MONTH(Tabela1[[#This Row],[Data de Validade]])</f>
        <v>7</v>
      </c>
      <c r="J686" s="101">
        <v>79593</v>
      </c>
      <c r="K686" s="87" t="s">
        <v>9</v>
      </c>
      <c r="L686" s="108"/>
      <c r="M686" s="108"/>
      <c r="N686" s="108" t="str">
        <v>P166P976</v>
      </c>
      <c r="O686" s="108">
        <f t="shared" si="12"/>
        <v>1</v>
      </c>
      <c r="P686" s="108"/>
      <c r="Q686"/>
    </row>
    <row r="687" spans="1:17" x14ac:dyDescent="0.25">
      <c r="A687" s="89" t="s">
        <v>9093</v>
      </c>
      <c r="B687" s="87" t="s">
        <v>9094</v>
      </c>
      <c r="C687" s="87" t="s">
        <v>10</v>
      </c>
      <c r="D687" s="87" t="str">
        <f>VLOOKUP(Tabela1[[#This Row],[Origem]], 'Perguntas 1 a 24'!$J$28:$K$34, 2, 0)</f>
        <v>Centro-Oeste</v>
      </c>
      <c r="E687" s="87" t="str">
        <f>Tabela1[[#This Row],[Descrição]]&amp;"-"&amp;Tabela1[[#This Row],[Código]]&amp;"/"&amp;Tabela1[[#This Row],[Origem]]</f>
        <v>Vetipopipe-P938P382/GO</v>
      </c>
      <c r="F687" s="88">
        <v>45861</v>
      </c>
      <c r="G687" s="88" t="str" cm="1">
        <f t="array" ref="G6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AND(F687&gt;= DATE(2026,1,1), F687&lt;= DATE(2028, 12, 31), J687&gt;50000), "Pendente e Caro", AND(F687&gt;= DATE(2026,1,1), F687&lt;= DATE(2028, 12, 31), J687&lt;=50000), "Pendente", F687&gt;= DATE(2029,1,1), "Não prioeitário")</f>
        <v>Urgente e Caro</v>
      </c>
      <c r="H687" s="89">
        <f>YEAR(Tabela1[[#This Row],[Data de Validade]])</f>
        <v>2025</v>
      </c>
      <c r="I687" s="89">
        <f>MONTH(Tabela1[[#This Row],[Data de Validade]])</f>
        <v>7</v>
      </c>
      <c r="J687" s="101">
        <v>74592</v>
      </c>
      <c r="K687" s="87" t="s">
        <v>9</v>
      </c>
      <c r="L687" s="108"/>
      <c r="M687" s="108"/>
      <c r="N687" s="108" t="str">
        <v>P938P382</v>
      </c>
      <c r="O687" s="108">
        <f t="shared" si="12"/>
        <v>1</v>
      </c>
      <c r="P687" s="108"/>
      <c r="Q687"/>
    </row>
    <row r="688" spans="1:17" x14ac:dyDescent="0.25">
      <c r="A688" s="89" t="s">
        <v>5002</v>
      </c>
      <c r="B688" s="87" t="s">
        <v>5003</v>
      </c>
      <c r="C688" s="87" t="s">
        <v>12</v>
      </c>
      <c r="D688" s="87" t="str">
        <f>VLOOKUP(Tabela1[[#This Row],[Origem]], 'Perguntas 1 a 24'!$J$28:$K$34, 2, 0)</f>
        <v>Sudeste</v>
      </c>
      <c r="E688" s="87" t="str">
        <f>Tabela1[[#This Row],[Descrição]]&amp;"-"&amp;Tabela1[[#This Row],[Código]]&amp;"/"&amp;Tabela1[[#This Row],[Origem]]</f>
        <v>Rilotu-H933P398/RJ</v>
      </c>
      <c r="F688" s="88">
        <v>45861</v>
      </c>
      <c r="G688" s="88" t="str" cm="1">
        <f t="array" ref="G6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AND(F688&gt;= DATE(2026,1,1), F688&lt;= DATE(2028, 12, 31), J688&gt;50000), "Pendente e Caro", AND(F688&gt;= DATE(2026,1,1), F688&lt;= DATE(2028, 12, 31), J688&lt;=50000), "Pendente", F688&gt;= DATE(2029,1,1), "Não prioeitário")</f>
        <v>Urgente e Caro</v>
      </c>
      <c r="H688" s="89">
        <f>YEAR(Tabela1[[#This Row],[Data de Validade]])</f>
        <v>2025</v>
      </c>
      <c r="I688" s="89">
        <f>MONTH(Tabela1[[#This Row],[Data de Validade]])</f>
        <v>7</v>
      </c>
      <c r="J688" s="101">
        <v>73524</v>
      </c>
      <c r="K688" s="87" t="s">
        <v>7</v>
      </c>
      <c r="L688" s="108"/>
      <c r="M688" s="108"/>
      <c r="N688" s="108" t="str">
        <v>H933P398</v>
      </c>
      <c r="O688" s="108">
        <f t="shared" si="12"/>
        <v>1</v>
      </c>
      <c r="P688" s="108"/>
      <c r="Q688"/>
    </row>
    <row r="689" spans="1:17" x14ac:dyDescent="0.25">
      <c r="A689" s="89" t="s">
        <v>8394</v>
      </c>
      <c r="B689" s="87" t="s">
        <v>8395</v>
      </c>
      <c r="C689" s="87" t="s">
        <v>12</v>
      </c>
      <c r="D689" s="87" t="str">
        <f>VLOOKUP(Tabela1[[#This Row],[Origem]], 'Perguntas 1 a 24'!$J$28:$K$34, 2, 0)</f>
        <v>Sudeste</v>
      </c>
      <c r="E689" s="87" t="str">
        <f>Tabela1[[#This Row],[Descrição]]&amp;"-"&amp;Tabela1[[#This Row],[Código]]&amp;"/"&amp;Tabela1[[#This Row],[Origem]]</f>
        <v>Leletafu-P181H857/RJ</v>
      </c>
      <c r="F689" s="88">
        <v>45862</v>
      </c>
      <c r="G689" s="88" t="str" cm="1">
        <f t="array" ref="G6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AND(F689&gt;= DATE(2026,1,1), F689&lt;= DATE(2028, 12, 31), J689&gt;50000), "Pendente e Caro", AND(F689&gt;= DATE(2026,1,1), F689&lt;= DATE(2028, 12, 31), J689&lt;=50000), "Pendente", F689&gt;= DATE(2029,1,1), "Não prioeitário")</f>
        <v>Urgente e Caro</v>
      </c>
      <c r="H689" s="89">
        <f>YEAR(Tabela1[[#This Row],[Data de Validade]])</f>
        <v>2025</v>
      </c>
      <c r="I689" s="89">
        <f>MONTH(Tabela1[[#This Row],[Data de Validade]])</f>
        <v>7</v>
      </c>
      <c r="J689" s="101">
        <v>108334</v>
      </c>
      <c r="K689" s="87" t="s">
        <v>11</v>
      </c>
      <c r="L689" s="108"/>
      <c r="M689" s="108"/>
      <c r="N689" s="108" t="str">
        <v>P181H857</v>
      </c>
      <c r="O689" s="108">
        <f t="shared" si="12"/>
        <v>1</v>
      </c>
      <c r="P689" s="108"/>
      <c r="Q689"/>
    </row>
    <row r="690" spans="1:17" x14ac:dyDescent="0.25">
      <c r="A690" s="89" t="s">
        <v>3940</v>
      </c>
      <c r="B690" s="87" t="s">
        <v>3941</v>
      </c>
      <c r="C690" s="87" t="s">
        <v>10</v>
      </c>
      <c r="D690" s="87" t="str">
        <f>VLOOKUP(Tabela1[[#This Row],[Origem]], 'Perguntas 1 a 24'!$J$28:$K$34, 2, 0)</f>
        <v>Centro-Oeste</v>
      </c>
      <c r="E690" s="87" t="str">
        <f>Tabela1[[#This Row],[Descrição]]&amp;"-"&amp;Tabela1[[#This Row],[Código]]&amp;"/"&amp;Tabela1[[#This Row],[Origem]]</f>
        <v>Titucine-P537P838/GO</v>
      </c>
      <c r="F690" s="88">
        <v>45862</v>
      </c>
      <c r="G690" s="88" t="str" cm="1">
        <f t="array" ref="G6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AND(F690&gt;= DATE(2026,1,1), F690&lt;= DATE(2028, 12, 31), J690&gt;50000), "Pendente e Caro", AND(F690&gt;= DATE(2026,1,1), F690&lt;= DATE(2028, 12, 31), J690&lt;=50000), "Pendente", F690&gt;= DATE(2029,1,1), "Não prioeitário")</f>
        <v>Urgente e Caro</v>
      </c>
      <c r="H690" s="89">
        <f>YEAR(Tabela1[[#This Row],[Data de Validade]])</f>
        <v>2025</v>
      </c>
      <c r="I690" s="89">
        <f>MONTH(Tabela1[[#This Row],[Data de Validade]])</f>
        <v>7</v>
      </c>
      <c r="J690" s="101">
        <v>99703</v>
      </c>
      <c r="K690" s="87" t="s">
        <v>9</v>
      </c>
      <c r="L690" s="108"/>
      <c r="M690" s="108"/>
      <c r="N690" s="108" t="str">
        <v>P537P838</v>
      </c>
      <c r="O690" s="108">
        <f t="shared" si="12"/>
        <v>1</v>
      </c>
      <c r="P690" s="108"/>
      <c r="Q690"/>
    </row>
    <row r="691" spans="1:17" x14ac:dyDescent="0.25">
      <c r="A691" s="89" t="s">
        <v>10559</v>
      </c>
      <c r="B691" s="87" t="s">
        <v>10560</v>
      </c>
      <c r="C691" s="87" t="s">
        <v>8</v>
      </c>
      <c r="D691" s="87" t="str">
        <f>VLOOKUP(Tabela1[[#This Row],[Origem]], 'Perguntas 1 a 24'!$J$28:$K$34, 2, 0)</f>
        <v>Nordeste</v>
      </c>
      <c r="E691" s="87" t="str">
        <f>Tabela1[[#This Row],[Descrição]]&amp;"-"&amp;Tabela1[[#This Row],[Código]]&amp;"/"&amp;Tabela1[[#This Row],[Origem]]</f>
        <v>Rerulilofe-H252H228/AL</v>
      </c>
      <c r="F691" s="88">
        <v>45862</v>
      </c>
      <c r="G691" s="88" t="str" cm="1">
        <f t="array" ref="G6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AND(F691&gt;= DATE(2026,1,1), F691&lt;= DATE(2028, 12, 31), J691&gt;50000), "Pendente e Caro", AND(F691&gt;= DATE(2026,1,1), F691&lt;= DATE(2028, 12, 31), J691&lt;=50000), "Pendente", F691&gt;= DATE(2029,1,1), "Não prioeitário")</f>
        <v>Urgente e Caro</v>
      </c>
      <c r="H691" s="89">
        <f>YEAR(Tabela1[[#This Row],[Data de Validade]])</f>
        <v>2025</v>
      </c>
      <c r="I691" s="89">
        <f>MONTH(Tabela1[[#This Row],[Data de Validade]])</f>
        <v>7</v>
      </c>
      <c r="J691" s="101">
        <v>83238</v>
      </c>
      <c r="K691" s="87" t="s">
        <v>9</v>
      </c>
      <c r="L691" s="108"/>
      <c r="M691" s="108"/>
      <c r="N691" s="108" t="str">
        <v>H252H228</v>
      </c>
      <c r="O691" s="108">
        <f t="shared" si="12"/>
        <v>1</v>
      </c>
      <c r="P691" s="108"/>
      <c r="Q691"/>
    </row>
    <row r="692" spans="1:17" x14ac:dyDescent="0.25">
      <c r="A692" s="89" t="s">
        <v>6252</v>
      </c>
      <c r="B692" s="87" t="s">
        <v>6253</v>
      </c>
      <c r="C692" s="87" t="s">
        <v>13</v>
      </c>
      <c r="D692" s="87" t="str">
        <f>VLOOKUP(Tabela1[[#This Row],[Origem]], 'Perguntas 1 a 24'!$J$28:$K$34, 2, 0)</f>
        <v>Sudeste</v>
      </c>
      <c r="E692" s="87" t="str">
        <f>Tabela1[[#This Row],[Descrição]]&amp;"-"&amp;Tabela1[[#This Row],[Código]]&amp;"/"&amp;Tabela1[[#This Row],[Origem]]</f>
        <v>Porevudi-H353P715/SP</v>
      </c>
      <c r="F692" s="88">
        <v>45862</v>
      </c>
      <c r="G692" s="88" t="str" cm="1">
        <f t="array" ref="G6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AND(F692&gt;= DATE(2026,1,1), F692&lt;= DATE(2028, 12, 31), J692&gt;50000), "Pendente e Caro", AND(F692&gt;= DATE(2026,1,1), F692&lt;= DATE(2028, 12, 31), J692&lt;=50000), "Pendente", F692&gt;= DATE(2029,1,1), "Não prioeitário")</f>
        <v>Urgente e Caro</v>
      </c>
      <c r="H692" s="89">
        <f>YEAR(Tabela1[[#This Row],[Data de Validade]])</f>
        <v>2025</v>
      </c>
      <c r="I692" s="89">
        <f>MONTH(Tabela1[[#This Row],[Data de Validade]])</f>
        <v>7</v>
      </c>
      <c r="J692" s="101">
        <v>71362</v>
      </c>
      <c r="K692" s="87" t="s">
        <v>9</v>
      </c>
      <c r="L692" s="108"/>
      <c r="M692" s="108"/>
      <c r="N692" s="108" t="str">
        <v>H353P715</v>
      </c>
      <c r="O692" s="108">
        <f t="shared" si="12"/>
        <v>1</v>
      </c>
      <c r="P692" s="108"/>
      <c r="Q692"/>
    </row>
    <row r="693" spans="1:17" x14ac:dyDescent="0.25">
      <c r="A693" s="89" t="s">
        <v>4046</v>
      </c>
      <c r="B693" s="87" t="s">
        <v>4047</v>
      </c>
      <c r="C693" s="87" t="s">
        <v>6</v>
      </c>
      <c r="D693" s="87" t="str">
        <f>VLOOKUP(Tabela1[[#This Row],[Origem]], 'Perguntas 1 a 24'!$J$28:$K$34, 2, 0)</f>
        <v>Nordeste</v>
      </c>
      <c r="E693" s="87" t="str">
        <f>Tabela1[[#This Row],[Descrição]]&amp;"-"&amp;Tabela1[[#This Row],[Código]]&amp;"/"&amp;Tabela1[[#This Row],[Origem]]</f>
        <v>Metigapa-H376H488/MA</v>
      </c>
      <c r="F693" s="88">
        <v>45862</v>
      </c>
      <c r="G693" s="88" t="str" cm="1">
        <f t="array" ref="G6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AND(F693&gt;= DATE(2026,1,1), F693&lt;= DATE(2028, 12, 31), J693&gt;50000), "Pendente e Caro", AND(F693&gt;= DATE(2026,1,1), F693&lt;= DATE(2028, 12, 31), J693&lt;=50000), "Pendente", F693&gt;= DATE(2029,1,1), "Não prioeitário")</f>
        <v>Urgente</v>
      </c>
      <c r="H693" s="89">
        <f>YEAR(Tabela1[[#This Row],[Data de Validade]])</f>
        <v>2025</v>
      </c>
      <c r="I693" s="89">
        <f>MONTH(Tabela1[[#This Row],[Data de Validade]])</f>
        <v>7</v>
      </c>
      <c r="J693" s="101">
        <v>34402</v>
      </c>
      <c r="K693" s="87" t="s">
        <v>14</v>
      </c>
      <c r="L693" s="108"/>
      <c r="M693" s="108"/>
      <c r="N693" s="108" t="str">
        <v>H376H488</v>
      </c>
      <c r="O693" s="108">
        <f t="shared" si="12"/>
        <v>1</v>
      </c>
      <c r="P693" s="108"/>
      <c r="Q693"/>
    </row>
    <row r="694" spans="1:17" x14ac:dyDescent="0.25">
      <c r="A694" s="89" t="s">
        <v>11240</v>
      </c>
      <c r="B694" s="87" t="s">
        <v>11241</v>
      </c>
      <c r="C694" s="87" t="s">
        <v>13</v>
      </c>
      <c r="D694" s="87" t="str">
        <f>VLOOKUP(Tabela1[[#This Row],[Origem]], 'Perguntas 1 a 24'!$J$28:$K$34, 2, 0)</f>
        <v>Sudeste</v>
      </c>
      <c r="E694" s="87" t="str">
        <f>Tabela1[[#This Row],[Descrição]]&amp;"-"&amp;Tabela1[[#This Row],[Código]]&amp;"/"&amp;Tabela1[[#This Row],[Origem]]</f>
        <v>Volitudope-H435P645/SP</v>
      </c>
      <c r="F694" s="88">
        <v>45863</v>
      </c>
      <c r="G694" s="88" t="str" cm="1">
        <f t="array" ref="G6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AND(F694&gt;= DATE(2026,1,1), F694&lt;= DATE(2028, 12, 31), J694&gt;50000), "Pendente e Caro", AND(F694&gt;= DATE(2026,1,1), F694&lt;= DATE(2028, 12, 31), J694&lt;=50000), "Pendente", F694&gt;= DATE(2029,1,1), "Não prioeitário")</f>
        <v>Urgente e Caro</v>
      </c>
      <c r="H694" s="89">
        <f>YEAR(Tabela1[[#This Row],[Data de Validade]])</f>
        <v>2025</v>
      </c>
      <c r="I694" s="89">
        <f>MONTH(Tabela1[[#This Row],[Data de Validade]])</f>
        <v>7</v>
      </c>
      <c r="J694" s="101">
        <v>85920</v>
      </c>
      <c r="K694" s="87" t="s">
        <v>14</v>
      </c>
      <c r="L694" s="108"/>
      <c r="M694" s="108"/>
      <c r="N694" s="108" t="str">
        <v>H435P645</v>
      </c>
      <c r="O694" s="108">
        <f t="shared" si="12"/>
        <v>1</v>
      </c>
      <c r="P694" s="108"/>
      <c r="Q694"/>
    </row>
    <row r="695" spans="1:17" x14ac:dyDescent="0.25">
      <c r="A695" s="89" t="s">
        <v>5692</v>
      </c>
      <c r="B695" s="87" t="s">
        <v>5693</v>
      </c>
      <c r="C695" s="87" t="s">
        <v>8</v>
      </c>
      <c r="D695" s="87" t="str">
        <f>VLOOKUP(Tabela1[[#This Row],[Origem]], 'Perguntas 1 a 24'!$J$28:$K$34, 2, 0)</f>
        <v>Nordeste</v>
      </c>
      <c r="E695" s="87" t="str">
        <f>Tabela1[[#This Row],[Descrição]]&amp;"-"&amp;Tabela1[[#This Row],[Código]]&amp;"/"&amp;Tabela1[[#This Row],[Origem]]</f>
        <v>Panovova-H741P342/AL</v>
      </c>
      <c r="F695" s="88">
        <v>45863</v>
      </c>
      <c r="G695" s="88" t="str" cm="1">
        <f t="array" ref="G6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AND(F695&gt;= DATE(2026,1,1), F695&lt;= DATE(2028, 12, 31), J695&gt;50000), "Pendente e Caro", AND(F695&gt;= DATE(2026,1,1), F695&lt;= DATE(2028, 12, 31), J695&lt;=50000), "Pendente", F695&gt;= DATE(2029,1,1), "Não prioeitário")</f>
        <v>Urgente e Caro</v>
      </c>
      <c r="H695" s="89">
        <f>YEAR(Tabela1[[#This Row],[Data de Validade]])</f>
        <v>2025</v>
      </c>
      <c r="I695" s="89">
        <f>MONTH(Tabela1[[#This Row],[Data de Validade]])</f>
        <v>7</v>
      </c>
      <c r="J695" s="101">
        <v>72640</v>
      </c>
      <c r="K695" s="87" t="s">
        <v>9</v>
      </c>
      <c r="L695" s="108"/>
      <c r="M695" s="108"/>
      <c r="N695" s="108" t="str">
        <v>H741P342</v>
      </c>
      <c r="O695" s="108">
        <f t="shared" si="12"/>
        <v>1</v>
      </c>
      <c r="P695" s="108"/>
      <c r="Q695"/>
    </row>
    <row r="696" spans="1:17" x14ac:dyDescent="0.25">
      <c r="A696" s="89" t="s">
        <v>5442</v>
      </c>
      <c r="B696" s="87" t="s">
        <v>5443</v>
      </c>
      <c r="C696" s="87" t="s">
        <v>15</v>
      </c>
      <c r="D696" s="87" t="str">
        <f>VLOOKUP(Tabela1[[#This Row],[Origem]], 'Perguntas 1 a 24'!$J$28:$K$34, 2, 0)</f>
        <v>Sudeste</v>
      </c>
      <c r="E696" s="87" t="str">
        <f>Tabela1[[#This Row],[Descrição]]&amp;"-"&amp;Tabela1[[#This Row],[Código]]&amp;"/"&amp;Tabela1[[#This Row],[Origem]]</f>
        <v>Povagora-H217P263/ES</v>
      </c>
      <c r="F696" s="88">
        <v>45863</v>
      </c>
      <c r="G696" s="88" t="str" cm="1">
        <f t="array" ref="G6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AND(F696&gt;= DATE(2026,1,1), F696&lt;= DATE(2028, 12, 31), J696&gt;50000), "Pendente e Caro", AND(F696&gt;= DATE(2026,1,1), F696&lt;= DATE(2028, 12, 31), J696&lt;=50000), "Pendente", F696&gt;= DATE(2029,1,1), "Não prioeitário")</f>
        <v>Urgente e Caro</v>
      </c>
      <c r="H696" s="89">
        <f>YEAR(Tabela1[[#This Row],[Data de Validade]])</f>
        <v>2025</v>
      </c>
      <c r="I696" s="89">
        <f>MONTH(Tabela1[[#This Row],[Data de Validade]])</f>
        <v>7</v>
      </c>
      <c r="J696" s="101">
        <v>57577</v>
      </c>
      <c r="K696" s="87" t="s">
        <v>9</v>
      </c>
      <c r="L696" s="108"/>
      <c r="M696" s="108"/>
      <c r="N696" s="108" t="str">
        <v>H217P263</v>
      </c>
      <c r="O696" s="108">
        <f t="shared" si="12"/>
        <v>1</v>
      </c>
      <c r="P696" s="108"/>
      <c r="Q696"/>
    </row>
    <row r="697" spans="1:17" x14ac:dyDescent="0.25">
      <c r="A697" s="89" t="s">
        <v>7884</v>
      </c>
      <c r="B697" s="87" t="s">
        <v>7885</v>
      </c>
      <c r="C697" s="87" t="s">
        <v>6</v>
      </c>
      <c r="D697" s="87" t="str">
        <f>VLOOKUP(Tabela1[[#This Row],[Origem]], 'Perguntas 1 a 24'!$J$28:$K$34, 2, 0)</f>
        <v>Nordeste</v>
      </c>
      <c r="E697" s="87" t="str">
        <f>Tabela1[[#This Row],[Descrição]]&amp;"-"&amp;Tabela1[[#This Row],[Código]]&amp;"/"&amp;Tabela1[[#This Row],[Origem]]</f>
        <v>Togorucu-H362P349/MA</v>
      </c>
      <c r="F697" s="88">
        <v>45864</v>
      </c>
      <c r="G697" s="88" t="str" cm="1">
        <f t="array" ref="G6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AND(F697&gt;= DATE(2026,1,1), F697&lt;= DATE(2028, 12, 31), J697&gt;50000), "Pendente e Caro", AND(F697&gt;= DATE(2026,1,1), F697&lt;= DATE(2028, 12, 31), J697&lt;=50000), "Pendente", F697&gt;= DATE(2029,1,1), "Não prioeitário")</f>
        <v>Urgente e Caro</v>
      </c>
      <c r="H697" s="89">
        <f>YEAR(Tabela1[[#This Row],[Data de Validade]])</f>
        <v>2025</v>
      </c>
      <c r="I697" s="89">
        <f>MONTH(Tabela1[[#This Row],[Data de Validade]])</f>
        <v>7</v>
      </c>
      <c r="J697" s="101">
        <v>108996</v>
      </c>
      <c r="K697" s="87" t="s">
        <v>14</v>
      </c>
      <c r="L697" s="108"/>
      <c r="M697" s="108"/>
      <c r="N697" s="108" t="str">
        <v>H362P349</v>
      </c>
      <c r="O697" s="108">
        <f t="shared" si="12"/>
        <v>1</v>
      </c>
      <c r="P697" s="108"/>
      <c r="Q697"/>
    </row>
    <row r="698" spans="1:17" x14ac:dyDescent="0.25">
      <c r="A698" s="89" t="s">
        <v>10175</v>
      </c>
      <c r="B698" s="87" t="s">
        <v>10176</v>
      </c>
      <c r="C698" s="87" t="s">
        <v>16</v>
      </c>
      <c r="D698" s="87" t="str">
        <f>VLOOKUP(Tabela1[[#This Row],[Origem]], 'Perguntas 1 a 24'!$J$28:$K$34, 2, 0)</f>
        <v>Sudeste</v>
      </c>
      <c r="E698" s="87" t="str">
        <f>Tabela1[[#This Row],[Descrição]]&amp;"-"&amp;Tabela1[[#This Row],[Código]]&amp;"/"&amp;Tabela1[[#This Row],[Origem]]</f>
        <v>Nupagaruce-P676P512/MG</v>
      </c>
      <c r="F698" s="88">
        <v>45864</v>
      </c>
      <c r="G698" s="88" t="str" cm="1">
        <f t="array" ref="G6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AND(F698&gt;= DATE(2026,1,1), F698&lt;= DATE(2028, 12, 31), J698&gt;50000), "Pendente e Caro", AND(F698&gt;= DATE(2026,1,1), F698&lt;= DATE(2028, 12, 31), J698&lt;=50000), "Pendente", F698&gt;= DATE(2029,1,1), "Não prioeitário")</f>
        <v>Urgente e Caro</v>
      </c>
      <c r="H698" s="89">
        <f>YEAR(Tabela1[[#This Row],[Data de Validade]])</f>
        <v>2025</v>
      </c>
      <c r="I698" s="89">
        <f>MONTH(Tabela1[[#This Row],[Data de Validade]])</f>
        <v>7</v>
      </c>
      <c r="J698" s="101">
        <v>66940</v>
      </c>
      <c r="K698" s="87" t="s">
        <v>14</v>
      </c>
      <c r="L698" s="108"/>
      <c r="M698" s="108"/>
      <c r="N698" s="108" t="str">
        <v>P676P512</v>
      </c>
      <c r="O698" s="108">
        <f t="shared" si="12"/>
        <v>1</v>
      </c>
      <c r="P698" s="108"/>
      <c r="Q698"/>
    </row>
    <row r="699" spans="1:17" x14ac:dyDescent="0.25">
      <c r="A699" s="89" t="s">
        <v>11248</v>
      </c>
      <c r="B699" s="87" t="s">
        <v>11249</v>
      </c>
      <c r="C699" s="87" t="s">
        <v>8</v>
      </c>
      <c r="D699" s="87" t="str">
        <f>VLOOKUP(Tabela1[[#This Row],[Origem]], 'Perguntas 1 a 24'!$J$28:$K$34, 2, 0)</f>
        <v>Nordeste</v>
      </c>
      <c r="E699" s="87" t="str">
        <f>Tabela1[[#This Row],[Descrição]]&amp;"-"&amp;Tabela1[[#This Row],[Código]]&amp;"/"&amp;Tabela1[[#This Row],[Origem]]</f>
        <v>Tatocoti-H541P762/AL</v>
      </c>
      <c r="F699" s="88">
        <v>45864</v>
      </c>
      <c r="G699" s="88" t="str" cm="1">
        <f t="array" ref="G6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AND(F699&gt;= DATE(2026,1,1), F699&lt;= DATE(2028, 12, 31), J699&gt;50000), "Pendente e Caro", AND(F699&gt;= DATE(2026,1,1), F699&lt;= DATE(2028, 12, 31), J699&lt;=50000), "Pendente", F699&gt;= DATE(2029,1,1), "Não prioeitário")</f>
        <v>Urgente</v>
      </c>
      <c r="H699" s="89">
        <f>YEAR(Tabela1[[#This Row],[Data de Validade]])</f>
        <v>2025</v>
      </c>
      <c r="I699" s="89">
        <f>MONTH(Tabela1[[#This Row],[Data de Validade]])</f>
        <v>7</v>
      </c>
      <c r="J699" s="101">
        <v>38004</v>
      </c>
      <c r="K699" s="87" t="s">
        <v>9</v>
      </c>
      <c r="L699" s="108"/>
      <c r="M699" s="108"/>
      <c r="N699" s="108" t="str">
        <v>H541P762</v>
      </c>
      <c r="O699" s="108">
        <f t="shared" si="12"/>
        <v>1</v>
      </c>
      <c r="P699" s="108"/>
      <c r="Q699"/>
    </row>
    <row r="700" spans="1:17" x14ac:dyDescent="0.25">
      <c r="A700" s="89" t="s">
        <v>8857</v>
      </c>
      <c r="B700" s="87" t="s">
        <v>8858</v>
      </c>
      <c r="C700" s="87" t="s">
        <v>6</v>
      </c>
      <c r="D700" s="87" t="str">
        <f>VLOOKUP(Tabela1[[#This Row],[Origem]], 'Perguntas 1 a 24'!$J$28:$K$34, 2, 0)</f>
        <v>Nordeste</v>
      </c>
      <c r="E700" s="87" t="str">
        <f>Tabela1[[#This Row],[Descrição]]&amp;"-"&amp;Tabela1[[#This Row],[Código]]&amp;"/"&amp;Tabela1[[#This Row],[Origem]]</f>
        <v>Tetepeto-H867P873/MA</v>
      </c>
      <c r="F700" s="88">
        <v>45865</v>
      </c>
      <c r="G700" s="88" t="str" cm="1">
        <f t="array" ref="G7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AND(F700&gt;= DATE(2026,1,1), F700&lt;= DATE(2028, 12, 31), J700&gt;50000), "Pendente e Caro", AND(F700&gt;= DATE(2026,1,1), F700&lt;= DATE(2028, 12, 31), J700&lt;=50000), "Pendente", F700&gt;= DATE(2029,1,1), "Não prioeitário")</f>
        <v>Urgente e Caro</v>
      </c>
      <c r="H700" s="89">
        <f>YEAR(Tabela1[[#This Row],[Data de Validade]])</f>
        <v>2025</v>
      </c>
      <c r="I700" s="89">
        <f>MONTH(Tabela1[[#This Row],[Data de Validade]])</f>
        <v>7</v>
      </c>
      <c r="J700" s="101">
        <v>103672</v>
      </c>
      <c r="K700" s="87" t="s">
        <v>14</v>
      </c>
      <c r="L700" s="108"/>
      <c r="M700" s="108"/>
      <c r="N700" s="108" t="str">
        <v>H867P873</v>
      </c>
      <c r="O700" s="108">
        <f t="shared" si="12"/>
        <v>1</v>
      </c>
      <c r="P700" s="108"/>
      <c r="Q700"/>
    </row>
    <row r="701" spans="1:17" x14ac:dyDescent="0.25">
      <c r="A701" s="89" t="s">
        <v>6224</v>
      </c>
      <c r="B701" s="87" t="s">
        <v>6225</v>
      </c>
      <c r="C701" s="87" t="s">
        <v>13</v>
      </c>
      <c r="D701" s="87" t="str">
        <f>VLOOKUP(Tabela1[[#This Row],[Origem]], 'Perguntas 1 a 24'!$J$28:$K$34, 2, 0)</f>
        <v>Sudeste</v>
      </c>
      <c r="E701" s="87" t="str">
        <f>Tabela1[[#This Row],[Descrição]]&amp;"-"&amp;Tabela1[[#This Row],[Código]]&amp;"/"&amp;Tabela1[[#This Row],[Origem]]</f>
        <v>Pirenadu-P151P862/SP</v>
      </c>
      <c r="F701" s="88">
        <v>45866</v>
      </c>
      <c r="G701" s="88" t="str" cm="1">
        <f t="array" ref="G7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AND(F701&gt;= DATE(2026,1,1), F701&lt;= DATE(2028, 12, 31), J701&gt;50000), "Pendente e Caro", AND(F701&gt;= DATE(2026,1,1), F701&lt;= DATE(2028, 12, 31), J701&lt;=50000), "Pendente", F701&gt;= DATE(2029,1,1), "Não prioeitário")</f>
        <v>Urgente e Caro</v>
      </c>
      <c r="H701" s="89">
        <f>YEAR(Tabela1[[#This Row],[Data de Validade]])</f>
        <v>2025</v>
      </c>
      <c r="I701" s="89">
        <f>MONTH(Tabela1[[#This Row],[Data de Validade]])</f>
        <v>7</v>
      </c>
      <c r="J701" s="101">
        <v>73734</v>
      </c>
      <c r="K701" s="87" t="s">
        <v>11</v>
      </c>
      <c r="L701" s="108"/>
      <c r="M701" s="108"/>
      <c r="N701" s="108" t="str">
        <v>P151P862</v>
      </c>
      <c r="O701" s="108">
        <f t="shared" si="12"/>
        <v>1</v>
      </c>
      <c r="P701" s="108"/>
      <c r="Q701"/>
    </row>
    <row r="702" spans="1:17" x14ac:dyDescent="0.25">
      <c r="A702" s="89" t="s">
        <v>7704</v>
      </c>
      <c r="B702" s="87" t="s">
        <v>7705</v>
      </c>
      <c r="C702" s="87" t="s">
        <v>8</v>
      </c>
      <c r="D702" s="87" t="str">
        <f>VLOOKUP(Tabela1[[#This Row],[Origem]], 'Perguntas 1 a 24'!$J$28:$K$34, 2, 0)</f>
        <v>Nordeste</v>
      </c>
      <c r="E702" s="87" t="str">
        <f>Tabela1[[#This Row],[Descrição]]&amp;"-"&amp;Tabela1[[#This Row],[Código]]&amp;"/"&amp;Tabela1[[#This Row],[Origem]]</f>
        <v>Papemugogo-H929H696/AL</v>
      </c>
      <c r="F702" s="88">
        <v>45866</v>
      </c>
      <c r="G702" s="88" t="str" cm="1">
        <f t="array" ref="G7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AND(F702&gt;= DATE(2026,1,1), F702&lt;= DATE(2028, 12, 31), J702&gt;50000), "Pendente e Caro", AND(F702&gt;= DATE(2026,1,1), F702&lt;= DATE(2028, 12, 31), J702&lt;=50000), "Pendente", F702&gt;= DATE(2029,1,1), "Não prioeitário")</f>
        <v>Urgente e Caro</v>
      </c>
      <c r="H702" s="89">
        <f>YEAR(Tabela1[[#This Row],[Data de Validade]])</f>
        <v>2025</v>
      </c>
      <c r="I702" s="89">
        <f>MONTH(Tabela1[[#This Row],[Data de Validade]])</f>
        <v>7</v>
      </c>
      <c r="J702" s="101">
        <v>64053</v>
      </c>
      <c r="K702" s="87" t="s">
        <v>9</v>
      </c>
      <c r="L702" s="108"/>
      <c r="M702" s="108"/>
      <c r="N702" s="108" t="str">
        <v>H929H696</v>
      </c>
      <c r="O702" s="108">
        <f t="shared" si="12"/>
        <v>1</v>
      </c>
      <c r="P702" s="108"/>
      <c r="Q702"/>
    </row>
    <row r="703" spans="1:17" x14ac:dyDescent="0.25">
      <c r="A703" s="89" t="s">
        <v>3988</v>
      </c>
      <c r="B703" s="87" t="s">
        <v>3989</v>
      </c>
      <c r="C703" s="87" t="s">
        <v>8</v>
      </c>
      <c r="D703" s="87" t="str">
        <f>VLOOKUP(Tabela1[[#This Row],[Origem]], 'Perguntas 1 a 24'!$J$28:$K$34, 2, 0)</f>
        <v>Nordeste</v>
      </c>
      <c r="E703" s="87" t="str">
        <f>Tabela1[[#This Row],[Descrição]]&amp;"-"&amp;Tabela1[[#This Row],[Código]]&amp;"/"&amp;Tabela1[[#This Row],[Origem]]</f>
        <v>Notavera-P888H938/AL</v>
      </c>
      <c r="F703" s="88">
        <v>45867</v>
      </c>
      <c r="G703" s="88" t="str" cm="1">
        <f t="array" ref="G7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AND(F703&gt;= DATE(2026,1,1), F703&lt;= DATE(2028, 12, 31), J703&gt;50000), "Pendente e Caro", AND(F703&gt;= DATE(2026,1,1), F703&lt;= DATE(2028, 12, 31), J703&lt;=50000), "Pendente", F703&gt;= DATE(2029,1,1), "Não prioeitário")</f>
        <v>Urgente</v>
      </c>
      <c r="H703" s="89">
        <f>YEAR(Tabela1[[#This Row],[Data de Validade]])</f>
        <v>2025</v>
      </c>
      <c r="I703" s="89">
        <f>MONTH(Tabela1[[#This Row],[Data de Validade]])</f>
        <v>7</v>
      </c>
      <c r="J703" s="101">
        <v>46945</v>
      </c>
      <c r="K703" s="87" t="s">
        <v>7</v>
      </c>
      <c r="L703" s="108"/>
      <c r="M703" s="108"/>
      <c r="N703" s="108" t="str">
        <v>P888H938</v>
      </c>
      <c r="O703" s="108">
        <f t="shared" si="12"/>
        <v>1</v>
      </c>
      <c r="P703" s="108"/>
      <c r="Q703"/>
    </row>
    <row r="704" spans="1:17" x14ac:dyDescent="0.25">
      <c r="A704" s="89" t="s">
        <v>7172</v>
      </c>
      <c r="B704" s="87" t="s">
        <v>7173</v>
      </c>
      <c r="C704" s="87" t="s">
        <v>6</v>
      </c>
      <c r="D704" s="87" t="str">
        <f>VLOOKUP(Tabela1[[#This Row],[Origem]], 'Perguntas 1 a 24'!$J$28:$K$34, 2, 0)</f>
        <v>Nordeste</v>
      </c>
      <c r="E704" s="87" t="str">
        <f>Tabela1[[#This Row],[Descrição]]&amp;"-"&amp;Tabela1[[#This Row],[Código]]&amp;"/"&amp;Tabela1[[#This Row],[Origem]]</f>
        <v>Fuceni-P969P881/MA</v>
      </c>
      <c r="F704" s="88">
        <v>45867</v>
      </c>
      <c r="G704" s="88" t="str" cm="1">
        <f t="array" ref="G7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AND(F704&gt;= DATE(2026,1,1), F704&lt;= DATE(2028, 12, 31), J704&gt;50000), "Pendente e Caro", AND(F704&gt;= DATE(2026,1,1), F704&lt;= DATE(2028, 12, 31), J704&lt;=50000), "Pendente", F704&gt;= DATE(2029,1,1), "Não prioeitário")</f>
        <v>Urgente</v>
      </c>
      <c r="H704" s="89">
        <f>YEAR(Tabela1[[#This Row],[Data de Validade]])</f>
        <v>2025</v>
      </c>
      <c r="I704" s="89">
        <f>MONTH(Tabela1[[#This Row],[Data de Validade]])</f>
        <v>7</v>
      </c>
      <c r="J704" s="101">
        <v>27574</v>
      </c>
      <c r="K704" s="87" t="s">
        <v>9</v>
      </c>
      <c r="L704" s="108"/>
      <c r="M704" s="108"/>
      <c r="N704" s="108" t="str">
        <v>P969P881</v>
      </c>
      <c r="O704" s="108">
        <f t="shared" si="12"/>
        <v>1</v>
      </c>
      <c r="P704" s="108"/>
      <c r="Q704"/>
    </row>
    <row r="705" spans="1:17" x14ac:dyDescent="0.25">
      <c r="A705" s="89" t="s">
        <v>7006</v>
      </c>
      <c r="B705" s="87" t="s">
        <v>7007</v>
      </c>
      <c r="C705" s="87" t="s">
        <v>8</v>
      </c>
      <c r="D705" s="87" t="str">
        <f>VLOOKUP(Tabela1[[#This Row],[Origem]], 'Perguntas 1 a 24'!$J$28:$K$34, 2, 0)</f>
        <v>Nordeste</v>
      </c>
      <c r="E705" s="87" t="str">
        <f>Tabela1[[#This Row],[Descrição]]&amp;"-"&amp;Tabela1[[#This Row],[Código]]&amp;"/"&amp;Tabela1[[#This Row],[Origem]]</f>
        <v>Pogecidelu-H298P438/AL</v>
      </c>
      <c r="F705" s="88">
        <v>45870</v>
      </c>
      <c r="G705" s="88" t="str" cm="1">
        <f t="array" ref="G7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AND(F705&gt;= DATE(2026,1,1), F705&lt;= DATE(2028, 12, 31), J705&gt;50000), "Pendente e Caro", AND(F705&gt;= DATE(2026,1,1), F705&lt;= DATE(2028, 12, 31), J705&lt;=50000), "Pendente", F705&gt;= DATE(2029,1,1), "Não prioeitário")</f>
        <v>Urgente e Caro</v>
      </c>
      <c r="H705" s="89">
        <f>YEAR(Tabela1[[#This Row],[Data de Validade]])</f>
        <v>2025</v>
      </c>
      <c r="I705" s="89">
        <f>MONTH(Tabela1[[#This Row],[Data de Validade]])</f>
        <v>8</v>
      </c>
      <c r="J705" s="101">
        <v>107886</v>
      </c>
      <c r="K705" s="87" t="s">
        <v>9</v>
      </c>
      <c r="L705" s="108"/>
      <c r="M705" s="108"/>
      <c r="N705" s="108" t="str">
        <v>H298P438</v>
      </c>
      <c r="O705" s="108">
        <f t="shared" si="12"/>
        <v>1</v>
      </c>
      <c r="P705" s="108"/>
      <c r="Q705"/>
    </row>
    <row r="706" spans="1:17" x14ac:dyDescent="0.25">
      <c r="A706" s="89" t="s">
        <v>10901</v>
      </c>
      <c r="B706" s="87" t="s">
        <v>10902</v>
      </c>
      <c r="C706" s="87" t="s">
        <v>16</v>
      </c>
      <c r="D706" s="87" t="str">
        <f>VLOOKUP(Tabela1[[#This Row],[Origem]], 'Perguntas 1 a 24'!$J$28:$K$34, 2, 0)</f>
        <v>Sudeste</v>
      </c>
      <c r="E706" s="87" t="str">
        <f>Tabela1[[#This Row],[Descrição]]&amp;"-"&amp;Tabela1[[#This Row],[Código]]&amp;"/"&amp;Tabela1[[#This Row],[Origem]]</f>
        <v>Pelepepi-H794H875/MG</v>
      </c>
      <c r="F706" s="88">
        <v>45870</v>
      </c>
      <c r="G706" s="88" t="str" cm="1">
        <f t="array" ref="G7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AND(F706&gt;= DATE(2026,1,1), F706&lt;= DATE(2028, 12, 31), J706&gt;50000), "Pendente e Caro", AND(F706&gt;= DATE(2026,1,1), F706&lt;= DATE(2028, 12, 31), J706&lt;=50000), "Pendente", F706&gt;= DATE(2029,1,1), "Não prioeitário")</f>
        <v>Urgente e Caro</v>
      </c>
      <c r="H706" s="89">
        <f>YEAR(Tabela1[[#This Row],[Data de Validade]])</f>
        <v>2025</v>
      </c>
      <c r="I706" s="89">
        <f>MONTH(Tabela1[[#This Row],[Data de Validade]])</f>
        <v>8</v>
      </c>
      <c r="J706" s="101">
        <v>99918</v>
      </c>
      <c r="K706" s="87" t="s">
        <v>11</v>
      </c>
      <c r="L706" s="108"/>
      <c r="M706" s="108"/>
      <c r="N706" s="108" t="str">
        <v>H794H875</v>
      </c>
      <c r="O706" s="108">
        <f t="shared" si="12"/>
        <v>1</v>
      </c>
      <c r="P706" s="108"/>
      <c r="Q706"/>
    </row>
    <row r="707" spans="1:17" x14ac:dyDescent="0.25">
      <c r="A707" s="89" t="s">
        <v>11042</v>
      </c>
      <c r="B707" s="87" t="s">
        <v>11043</v>
      </c>
      <c r="C707" s="87" t="s">
        <v>12</v>
      </c>
      <c r="D707" s="87" t="str">
        <f>VLOOKUP(Tabela1[[#This Row],[Origem]], 'Perguntas 1 a 24'!$J$28:$K$34, 2, 0)</f>
        <v>Sudeste</v>
      </c>
      <c r="E707" s="87" t="str">
        <f>Tabela1[[#This Row],[Descrição]]&amp;"-"&amp;Tabela1[[#This Row],[Código]]&amp;"/"&amp;Tabela1[[#This Row],[Origem]]</f>
        <v>Topevoca-P157H413/RJ</v>
      </c>
      <c r="F707" s="88">
        <v>45870</v>
      </c>
      <c r="G707" s="88" t="str" cm="1">
        <f t="array" ref="G7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AND(F707&gt;= DATE(2026,1,1), F707&lt;= DATE(2028, 12, 31), J707&gt;50000), "Pendente e Caro", AND(F707&gt;= DATE(2026,1,1), F707&lt;= DATE(2028, 12, 31), J707&lt;=50000), "Pendente", F707&gt;= DATE(2029,1,1), "Não prioeitário")</f>
        <v>Urgente e Caro</v>
      </c>
      <c r="H707" s="89">
        <f>YEAR(Tabela1[[#This Row],[Data de Validade]])</f>
        <v>2025</v>
      </c>
      <c r="I707" s="89">
        <f>MONTH(Tabela1[[#This Row],[Data de Validade]])</f>
        <v>8</v>
      </c>
      <c r="J707" s="101">
        <v>76085</v>
      </c>
      <c r="K707" s="87" t="s">
        <v>11</v>
      </c>
      <c r="L707" s="108"/>
      <c r="M707" s="108"/>
      <c r="N707" s="108" t="str">
        <v>P157H413</v>
      </c>
      <c r="O707" s="108">
        <f t="shared" ref="O707:O770" si="13">COUNTIFS(B:B,N707)</f>
        <v>1</v>
      </c>
      <c r="P707" s="108"/>
      <c r="Q707"/>
    </row>
    <row r="708" spans="1:17" x14ac:dyDescent="0.25">
      <c r="A708" s="89" t="s">
        <v>8130</v>
      </c>
      <c r="B708" s="87" t="s">
        <v>8131</v>
      </c>
      <c r="C708" s="87" t="s">
        <v>6</v>
      </c>
      <c r="D708" s="87" t="str">
        <f>VLOOKUP(Tabela1[[#This Row],[Origem]], 'Perguntas 1 a 24'!$J$28:$K$34, 2, 0)</f>
        <v>Nordeste</v>
      </c>
      <c r="E708" s="87" t="str">
        <f>Tabela1[[#This Row],[Descrição]]&amp;"-"&amp;Tabela1[[#This Row],[Código]]&amp;"/"&amp;Tabela1[[#This Row],[Origem]]</f>
        <v>Malutapore-P145P584/MA</v>
      </c>
      <c r="F708" s="88">
        <v>45870</v>
      </c>
      <c r="G708" s="88" t="str" cm="1">
        <f t="array" ref="G7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AND(F708&gt;= DATE(2026,1,1), F708&lt;= DATE(2028, 12, 31), J708&gt;50000), "Pendente e Caro", AND(F708&gt;= DATE(2026,1,1), F708&lt;= DATE(2028, 12, 31), J708&lt;=50000), "Pendente", F708&gt;= DATE(2029,1,1), "Não prioeitário")</f>
        <v>Urgente e Caro</v>
      </c>
      <c r="H708" s="89">
        <f>YEAR(Tabela1[[#This Row],[Data de Validade]])</f>
        <v>2025</v>
      </c>
      <c r="I708" s="89">
        <f>MONTH(Tabela1[[#This Row],[Data de Validade]])</f>
        <v>8</v>
      </c>
      <c r="J708" s="101">
        <v>68053</v>
      </c>
      <c r="K708" s="87" t="s">
        <v>7</v>
      </c>
      <c r="L708" s="108"/>
      <c r="M708" s="108"/>
      <c r="N708" s="108" t="str">
        <v>P145P584</v>
      </c>
      <c r="O708" s="108">
        <f t="shared" si="13"/>
        <v>1</v>
      </c>
      <c r="P708" s="108"/>
      <c r="Q708"/>
    </row>
    <row r="709" spans="1:17" x14ac:dyDescent="0.25">
      <c r="A709" s="89" t="s">
        <v>8661</v>
      </c>
      <c r="B709" s="87" t="s">
        <v>8662</v>
      </c>
      <c r="C709" s="87" t="s">
        <v>16</v>
      </c>
      <c r="D709" s="87" t="str">
        <f>VLOOKUP(Tabela1[[#This Row],[Origem]], 'Perguntas 1 a 24'!$J$28:$K$34, 2, 0)</f>
        <v>Sudeste</v>
      </c>
      <c r="E709" s="87" t="str">
        <f>Tabela1[[#This Row],[Descrição]]&amp;"-"&amp;Tabela1[[#This Row],[Código]]&amp;"/"&amp;Tabela1[[#This Row],[Origem]]</f>
        <v>Navupegigi-H355H334/MG</v>
      </c>
      <c r="F709" s="88">
        <v>45870</v>
      </c>
      <c r="G709" s="88" t="str" cm="1">
        <f t="array" ref="G7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AND(F709&gt;= DATE(2026,1,1), F709&lt;= DATE(2028, 12, 31), J709&gt;50000), "Pendente e Caro", AND(F709&gt;= DATE(2026,1,1), F709&lt;= DATE(2028, 12, 31), J709&lt;=50000), "Pendente", F709&gt;= DATE(2029,1,1), "Não prioeitário")</f>
        <v>Urgente</v>
      </c>
      <c r="H709" s="89">
        <f>YEAR(Tabela1[[#This Row],[Data de Validade]])</f>
        <v>2025</v>
      </c>
      <c r="I709" s="89">
        <f>MONTH(Tabela1[[#This Row],[Data de Validade]])</f>
        <v>8</v>
      </c>
      <c r="J709" s="101">
        <v>20403</v>
      </c>
      <c r="K709" s="87" t="s">
        <v>14</v>
      </c>
      <c r="L709" s="108"/>
      <c r="M709" s="108"/>
      <c r="N709" s="108" t="str">
        <v>H355H334</v>
      </c>
      <c r="O709" s="108">
        <f t="shared" si="13"/>
        <v>1</v>
      </c>
      <c r="P709" s="108"/>
      <c r="Q709"/>
    </row>
    <row r="710" spans="1:17" x14ac:dyDescent="0.25">
      <c r="A710" s="89" t="s">
        <v>9759</v>
      </c>
      <c r="B710" s="87" t="s">
        <v>9760</v>
      </c>
      <c r="C710" s="87" t="s">
        <v>13</v>
      </c>
      <c r="D710" s="87" t="str">
        <f>VLOOKUP(Tabela1[[#This Row],[Origem]], 'Perguntas 1 a 24'!$J$28:$K$34, 2, 0)</f>
        <v>Sudeste</v>
      </c>
      <c r="E710" s="87" t="str">
        <f>Tabela1[[#This Row],[Descrição]]&amp;"-"&amp;Tabela1[[#This Row],[Código]]&amp;"/"&amp;Tabela1[[#This Row],[Origem]]</f>
        <v>Nipucavupa-H714H494/SP</v>
      </c>
      <c r="F710" s="88">
        <v>45871</v>
      </c>
      <c r="G710" s="88" t="str" cm="1">
        <f t="array" ref="G7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AND(F710&gt;= DATE(2026,1,1), F710&lt;= DATE(2028, 12, 31), J710&gt;50000), "Pendente e Caro", AND(F710&gt;= DATE(2026,1,1), F710&lt;= DATE(2028, 12, 31), J710&lt;=50000), "Pendente", F710&gt;= DATE(2029,1,1), "Não prioeitário")</f>
        <v>Urgente e Caro</v>
      </c>
      <c r="H710" s="89">
        <f>YEAR(Tabela1[[#This Row],[Data de Validade]])</f>
        <v>2025</v>
      </c>
      <c r="I710" s="89">
        <f>MONTH(Tabela1[[#This Row],[Data de Validade]])</f>
        <v>8</v>
      </c>
      <c r="J710" s="101">
        <v>56967</v>
      </c>
      <c r="K710" s="87" t="s">
        <v>11</v>
      </c>
      <c r="L710" s="108"/>
      <c r="M710" s="108"/>
      <c r="N710" s="108" t="str">
        <v>H714H494</v>
      </c>
      <c r="O710" s="108">
        <f t="shared" si="13"/>
        <v>1</v>
      </c>
      <c r="P710" s="108"/>
      <c r="Q710"/>
    </row>
    <row r="711" spans="1:17" x14ac:dyDescent="0.25">
      <c r="A711" s="89" t="s">
        <v>8238</v>
      </c>
      <c r="B711" s="87" t="s">
        <v>8239</v>
      </c>
      <c r="C711" s="87" t="s">
        <v>8</v>
      </c>
      <c r="D711" s="87" t="str">
        <f>VLOOKUP(Tabela1[[#This Row],[Origem]], 'Perguntas 1 a 24'!$J$28:$K$34, 2, 0)</f>
        <v>Nordeste</v>
      </c>
      <c r="E711" s="87" t="str">
        <f>Tabela1[[#This Row],[Descrição]]&amp;"-"&amp;Tabela1[[#This Row],[Código]]&amp;"/"&amp;Tabela1[[#This Row],[Origem]]</f>
        <v>Povomopope-H177H985/AL</v>
      </c>
      <c r="F711" s="88">
        <v>45871</v>
      </c>
      <c r="G711" s="88" t="str" cm="1">
        <f t="array" ref="G7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AND(F711&gt;= DATE(2026,1,1), F711&lt;= DATE(2028, 12, 31), J711&gt;50000), "Pendente e Caro", AND(F711&gt;= DATE(2026,1,1), F711&lt;= DATE(2028, 12, 31), J711&lt;=50000), "Pendente", F711&gt;= DATE(2029,1,1), "Não prioeitário")</f>
        <v>Urgente</v>
      </c>
      <c r="H711" s="89">
        <f>YEAR(Tabela1[[#This Row],[Data de Validade]])</f>
        <v>2025</v>
      </c>
      <c r="I711" s="89">
        <f>MONTH(Tabela1[[#This Row],[Data de Validade]])</f>
        <v>8</v>
      </c>
      <c r="J711" s="101">
        <v>42868</v>
      </c>
      <c r="K711" s="87" t="s">
        <v>7</v>
      </c>
      <c r="L711" s="108"/>
      <c r="M711" s="108"/>
      <c r="N711" s="108" t="str">
        <v>H177H985</v>
      </c>
      <c r="O711" s="108">
        <f t="shared" si="13"/>
        <v>1</v>
      </c>
      <c r="P711" s="108"/>
      <c r="Q711"/>
    </row>
    <row r="712" spans="1:17" x14ac:dyDescent="0.25">
      <c r="A712" s="89" t="s">
        <v>8989</v>
      </c>
      <c r="B712" s="87" t="s">
        <v>8990</v>
      </c>
      <c r="C712" s="87" t="s">
        <v>10</v>
      </c>
      <c r="D712" s="87" t="str">
        <f>VLOOKUP(Tabela1[[#This Row],[Origem]], 'Perguntas 1 a 24'!$J$28:$K$34, 2, 0)</f>
        <v>Centro-Oeste</v>
      </c>
      <c r="E712" s="87" t="str">
        <f>Tabela1[[#This Row],[Descrição]]&amp;"-"&amp;Tabela1[[#This Row],[Código]]&amp;"/"&amp;Tabela1[[#This Row],[Origem]]</f>
        <v>Nanepovipe-P425P353/GO</v>
      </c>
      <c r="F712" s="88">
        <v>45872</v>
      </c>
      <c r="G712" s="88" t="str" cm="1">
        <f t="array" ref="G7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AND(F712&gt;= DATE(2026,1,1), F712&lt;= DATE(2028, 12, 31), J712&gt;50000), "Pendente e Caro", AND(F712&gt;= DATE(2026,1,1), F712&lt;= DATE(2028, 12, 31), J712&lt;=50000), "Pendente", F712&gt;= DATE(2029,1,1), "Não prioeitário")</f>
        <v>Urgente e Caro</v>
      </c>
      <c r="H712" s="89">
        <f>YEAR(Tabela1[[#This Row],[Data de Validade]])</f>
        <v>2025</v>
      </c>
      <c r="I712" s="89">
        <f>MONTH(Tabela1[[#This Row],[Data de Validade]])</f>
        <v>8</v>
      </c>
      <c r="J712" s="101">
        <v>102017</v>
      </c>
      <c r="K712" s="87" t="s">
        <v>11</v>
      </c>
      <c r="L712" s="108"/>
      <c r="M712" s="108"/>
      <c r="N712" s="108" t="str">
        <v>P425P353</v>
      </c>
      <c r="O712" s="108">
        <f t="shared" si="13"/>
        <v>1</v>
      </c>
      <c r="P712" s="108"/>
      <c r="Q712"/>
    </row>
    <row r="713" spans="1:17" x14ac:dyDescent="0.25">
      <c r="A713" s="89" t="s">
        <v>6942</v>
      </c>
      <c r="B713" s="87" t="s">
        <v>6943</v>
      </c>
      <c r="C713" s="87" t="s">
        <v>15</v>
      </c>
      <c r="D713" s="87" t="str">
        <f>VLOOKUP(Tabela1[[#This Row],[Origem]], 'Perguntas 1 a 24'!$J$28:$K$34, 2, 0)</f>
        <v>Sudeste</v>
      </c>
      <c r="E713" s="87" t="str">
        <f>Tabela1[[#This Row],[Descrição]]&amp;"-"&amp;Tabela1[[#This Row],[Código]]&amp;"/"&amp;Tabela1[[#This Row],[Origem]]</f>
        <v>Niluloloti-P868H852/ES</v>
      </c>
      <c r="F713" s="88">
        <v>45872</v>
      </c>
      <c r="G713" s="88" t="str" cm="1">
        <f t="array" ref="G7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AND(F713&gt;= DATE(2026,1,1), F713&lt;= DATE(2028, 12, 31), J713&gt;50000), "Pendente e Caro", AND(F713&gt;= DATE(2026,1,1), F713&lt;= DATE(2028, 12, 31), J713&lt;=50000), "Pendente", F713&gt;= DATE(2029,1,1), "Não prioeitário")</f>
        <v>Urgente e Caro</v>
      </c>
      <c r="H713" s="89">
        <f>YEAR(Tabela1[[#This Row],[Data de Validade]])</f>
        <v>2025</v>
      </c>
      <c r="I713" s="89">
        <f>MONTH(Tabela1[[#This Row],[Data de Validade]])</f>
        <v>8</v>
      </c>
      <c r="J713" s="101">
        <v>75160</v>
      </c>
      <c r="K713" s="87" t="s">
        <v>9</v>
      </c>
      <c r="L713" s="108"/>
      <c r="M713" s="108"/>
      <c r="N713" s="108" t="str">
        <v>P868H852</v>
      </c>
      <c r="O713" s="108">
        <f t="shared" si="13"/>
        <v>1</v>
      </c>
      <c r="P713" s="108"/>
      <c r="Q713"/>
    </row>
    <row r="714" spans="1:17" x14ac:dyDescent="0.25">
      <c r="A714" s="89" t="s">
        <v>8659</v>
      </c>
      <c r="B714" s="87" t="s">
        <v>8660</v>
      </c>
      <c r="C714" s="87" t="s">
        <v>6</v>
      </c>
      <c r="D714" s="87" t="str">
        <f>VLOOKUP(Tabela1[[#This Row],[Origem]], 'Perguntas 1 a 24'!$J$28:$K$34, 2, 0)</f>
        <v>Nordeste</v>
      </c>
      <c r="E714" s="87" t="str">
        <f>Tabela1[[#This Row],[Descrição]]&amp;"-"&amp;Tabela1[[#This Row],[Código]]&amp;"/"&amp;Tabela1[[#This Row],[Origem]]</f>
        <v>Nerefapi-P938H322/MA</v>
      </c>
      <c r="F714" s="88">
        <v>45873</v>
      </c>
      <c r="G714" s="88" t="str" cm="1">
        <f t="array" ref="G7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AND(F714&gt;= DATE(2026,1,1), F714&lt;= DATE(2028, 12, 31), J714&gt;50000), "Pendente e Caro", AND(F714&gt;= DATE(2026,1,1), F714&lt;= DATE(2028, 12, 31), J714&lt;=50000), "Pendente", F714&gt;= DATE(2029,1,1), "Não prioeitário")</f>
        <v>Urgente e Caro</v>
      </c>
      <c r="H714" s="89">
        <f>YEAR(Tabela1[[#This Row],[Data de Validade]])</f>
        <v>2025</v>
      </c>
      <c r="I714" s="89">
        <f>MONTH(Tabela1[[#This Row],[Data de Validade]])</f>
        <v>8</v>
      </c>
      <c r="J714" s="101">
        <v>55339</v>
      </c>
      <c r="K714" s="87" t="s">
        <v>9</v>
      </c>
      <c r="L714" s="108"/>
      <c r="M714" s="108"/>
      <c r="N714" s="108" t="str">
        <v>P938H322</v>
      </c>
      <c r="O714" s="108">
        <f t="shared" si="13"/>
        <v>1</v>
      </c>
      <c r="P714" s="108"/>
      <c r="Q714"/>
    </row>
    <row r="715" spans="1:17" x14ac:dyDescent="0.25">
      <c r="A715" s="89" t="s">
        <v>6174</v>
      </c>
      <c r="B715" s="87" t="s">
        <v>6175</v>
      </c>
      <c r="C715" s="87" t="s">
        <v>12</v>
      </c>
      <c r="D715" s="87" t="str">
        <f>VLOOKUP(Tabela1[[#This Row],[Origem]], 'Perguntas 1 a 24'!$J$28:$K$34, 2, 0)</f>
        <v>Sudeste</v>
      </c>
      <c r="E715" s="87" t="str">
        <f>Tabela1[[#This Row],[Descrição]]&amp;"-"&amp;Tabela1[[#This Row],[Código]]&amp;"/"&amp;Tabela1[[#This Row],[Origem]]</f>
        <v>Rupetu-P737H371/RJ</v>
      </c>
      <c r="F715" s="88">
        <v>45873</v>
      </c>
      <c r="G715" s="88" t="str" cm="1">
        <f t="array" ref="G7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AND(F715&gt;= DATE(2026,1,1), F715&lt;= DATE(2028, 12, 31), J715&gt;50000), "Pendente e Caro", AND(F715&gt;= DATE(2026,1,1), F715&lt;= DATE(2028, 12, 31), J715&lt;=50000), "Pendente", F715&gt;= DATE(2029,1,1), "Não prioeitário")</f>
        <v>Urgente</v>
      </c>
      <c r="H715" s="89">
        <f>YEAR(Tabela1[[#This Row],[Data de Validade]])</f>
        <v>2025</v>
      </c>
      <c r="I715" s="89">
        <f>MONTH(Tabela1[[#This Row],[Data de Validade]])</f>
        <v>8</v>
      </c>
      <c r="J715" s="101">
        <v>27322</v>
      </c>
      <c r="K715" s="87" t="s">
        <v>11</v>
      </c>
      <c r="L715" s="108"/>
      <c r="M715" s="108"/>
      <c r="N715" s="108" t="str">
        <v>P737H371</v>
      </c>
      <c r="O715" s="108">
        <f t="shared" si="13"/>
        <v>1</v>
      </c>
      <c r="P715" s="108"/>
      <c r="Q715"/>
    </row>
    <row r="716" spans="1:17" x14ac:dyDescent="0.25">
      <c r="A716" s="89" t="s">
        <v>6366</v>
      </c>
      <c r="B716" s="87" t="s">
        <v>6367</v>
      </c>
      <c r="C716" s="87" t="s">
        <v>10</v>
      </c>
      <c r="D716" s="87" t="str">
        <f>VLOOKUP(Tabela1[[#This Row],[Origem]], 'Perguntas 1 a 24'!$J$28:$K$34, 2, 0)</f>
        <v>Centro-Oeste</v>
      </c>
      <c r="E716" s="87" t="str">
        <f>Tabela1[[#This Row],[Descrição]]&amp;"-"&amp;Tabela1[[#This Row],[Código]]&amp;"/"&amp;Tabela1[[#This Row],[Origem]]</f>
        <v>Pepacatiru-P765P425/GO</v>
      </c>
      <c r="F716" s="88">
        <v>45875</v>
      </c>
      <c r="G716" s="88" t="str" cm="1">
        <f t="array" ref="G7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AND(F716&gt;= DATE(2026,1,1), F716&lt;= DATE(2028, 12, 31), J716&gt;50000), "Pendente e Caro", AND(F716&gt;= DATE(2026,1,1), F716&lt;= DATE(2028, 12, 31), J716&lt;=50000), "Pendente", F716&gt;= DATE(2029,1,1), "Não prioeitário")</f>
        <v>Urgente e Caro</v>
      </c>
      <c r="H716" s="89">
        <f>YEAR(Tabela1[[#This Row],[Data de Validade]])</f>
        <v>2025</v>
      </c>
      <c r="I716" s="89">
        <f>MONTH(Tabela1[[#This Row],[Data de Validade]])</f>
        <v>8</v>
      </c>
      <c r="J716" s="101">
        <v>102242</v>
      </c>
      <c r="K716" s="87" t="s">
        <v>9</v>
      </c>
      <c r="L716" s="108"/>
      <c r="M716" s="108"/>
      <c r="N716" s="108" t="str">
        <v>P765P425</v>
      </c>
      <c r="O716" s="108">
        <f t="shared" si="13"/>
        <v>1</v>
      </c>
      <c r="P716" s="108"/>
      <c r="Q716"/>
    </row>
    <row r="717" spans="1:17" x14ac:dyDescent="0.25">
      <c r="A717" s="89" t="s">
        <v>10661</v>
      </c>
      <c r="B717" s="87" t="s">
        <v>10662</v>
      </c>
      <c r="C717" s="87" t="s">
        <v>6</v>
      </c>
      <c r="D717" s="87" t="str">
        <f>VLOOKUP(Tabela1[[#This Row],[Origem]], 'Perguntas 1 a 24'!$J$28:$K$34, 2, 0)</f>
        <v>Nordeste</v>
      </c>
      <c r="E717" s="87" t="str">
        <f>Tabela1[[#This Row],[Descrição]]&amp;"-"&amp;Tabela1[[#This Row],[Código]]&amp;"/"&amp;Tabela1[[#This Row],[Origem]]</f>
        <v>Poreda-P246P821/MA</v>
      </c>
      <c r="F717" s="88">
        <v>45875</v>
      </c>
      <c r="G717" s="88" t="str" cm="1">
        <f t="array" ref="G7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AND(F717&gt;= DATE(2026,1,1), F717&lt;= DATE(2028, 12, 31), J717&gt;50000), "Pendente e Caro", AND(F717&gt;= DATE(2026,1,1), F717&lt;= DATE(2028, 12, 31), J717&lt;=50000), "Pendente", F717&gt;= DATE(2029,1,1), "Não prioeitário")</f>
        <v>Urgente e Caro</v>
      </c>
      <c r="H717" s="89">
        <f>YEAR(Tabela1[[#This Row],[Data de Validade]])</f>
        <v>2025</v>
      </c>
      <c r="I717" s="89">
        <f>MONTH(Tabela1[[#This Row],[Data de Validade]])</f>
        <v>8</v>
      </c>
      <c r="J717" s="101">
        <v>71990</v>
      </c>
      <c r="K717" s="87" t="s">
        <v>14</v>
      </c>
      <c r="L717" s="108"/>
      <c r="M717" s="108"/>
      <c r="N717" s="108" t="str">
        <v>P246P821</v>
      </c>
      <c r="O717" s="108">
        <f t="shared" si="13"/>
        <v>1</v>
      </c>
      <c r="P717" s="108"/>
      <c r="Q717"/>
    </row>
    <row r="718" spans="1:17" x14ac:dyDescent="0.25">
      <c r="A718" s="89" t="s">
        <v>6340</v>
      </c>
      <c r="B718" s="87" t="s">
        <v>6341</v>
      </c>
      <c r="C718" s="87" t="s">
        <v>13</v>
      </c>
      <c r="D718" s="87" t="str">
        <f>VLOOKUP(Tabela1[[#This Row],[Origem]], 'Perguntas 1 a 24'!$J$28:$K$34, 2, 0)</f>
        <v>Sudeste</v>
      </c>
      <c r="E718" s="87" t="str">
        <f>Tabela1[[#This Row],[Descrição]]&amp;"-"&amp;Tabela1[[#This Row],[Código]]&amp;"/"&amp;Tabela1[[#This Row],[Origem]]</f>
        <v>Cerace-P564P771/SP</v>
      </c>
      <c r="F718" s="88">
        <v>45875</v>
      </c>
      <c r="G718" s="88" t="str" cm="1">
        <f t="array" ref="G7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AND(F718&gt;= DATE(2026,1,1), F718&lt;= DATE(2028, 12, 31), J718&gt;50000), "Pendente e Caro", AND(F718&gt;= DATE(2026,1,1), F718&lt;= DATE(2028, 12, 31), J718&lt;=50000), "Pendente", F718&gt;= DATE(2029,1,1), "Não prioeitário")</f>
        <v>Urgente e Caro</v>
      </c>
      <c r="H718" s="89">
        <f>YEAR(Tabela1[[#This Row],[Data de Validade]])</f>
        <v>2025</v>
      </c>
      <c r="I718" s="89">
        <f>MONTH(Tabela1[[#This Row],[Data de Validade]])</f>
        <v>8</v>
      </c>
      <c r="J718" s="101">
        <v>59089</v>
      </c>
      <c r="K718" s="87" t="s">
        <v>11</v>
      </c>
      <c r="L718" s="108"/>
      <c r="M718" s="108"/>
      <c r="N718" s="108" t="str">
        <v>P564P771</v>
      </c>
      <c r="O718" s="108">
        <f t="shared" si="13"/>
        <v>1</v>
      </c>
      <c r="P718" s="108"/>
      <c r="Q718"/>
    </row>
    <row r="719" spans="1:17" x14ac:dyDescent="0.25">
      <c r="A719" s="89" t="s">
        <v>3866</v>
      </c>
      <c r="B719" s="87" t="s">
        <v>3867</v>
      </c>
      <c r="C719" s="87" t="s">
        <v>6</v>
      </c>
      <c r="D719" s="87" t="str">
        <f>VLOOKUP(Tabela1[[#This Row],[Origem]], 'Perguntas 1 a 24'!$J$28:$K$34, 2, 0)</f>
        <v>Nordeste</v>
      </c>
      <c r="E719" s="87" t="str">
        <f>Tabela1[[#This Row],[Descrição]]&amp;"-"&amp;Tabela1[[#This Row],[Código]]&amp;"/"&amp;Tabela1[[#This Row],[Origem]]</f>
        <v>Comenalu-P135P461/MA</v>
      </c>
      <c r="F719" s="88">
        <v>45875</v>
      </c>
      <c r="G719" s="88" t="str" cm="1">
        <f t="array" ref="G7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AND(F719&gt;= DATE(2026,1,1), F719&lt;= DATE(2028, 12, 31), J719&gt;50000), "Pendente e Caro", AND(F719&gt;= DATE(2026,1,1), F719&lt;= DATE(2028, 12, 31), J719&lt;=50000), "Pendente", F719&gt;= DATE(2029,1,1), "Não prioeitário")</f>
        <v>Urgente</v>
      </c>
      <c r="H719" s="89">
        <f>YEAR(Tabela1[[#This Row],[Data de Validade]])</f>
        <v>2025</v>
      </c>
      <c r="I719" s="89">
        <f>MONTH(Tabela1[[#This Row],[Data de Validade]])</f>
        <v>8</v>
      </c>
      <c r="J719" s="101">
        <v>45754</v>
      </c>
      <c r="K719" s="87" t="s">
        <v>7</v>
      </c>
      <c r="L719" s="108"/>
      <c r="M719" s="108"/>
      <c r="N719" s="108" t="str">
        <v>P135P461</v>
      </c>
      <c r="O719" s="108">
        <f t="shared" si="13"/>
        <v>1</v>
      </c>
      <c r="P719" s="108"/>
      <c r="Q719"/>
    </row>
    <row r="720" spans="1:17" x14ac:dyDescent="0.25">
      <c r="A720" s="89" t="s">
        <v>3750</v>
      </c>
      <c r="B720" s="87" t="s">
        <v>3751</v>
      </c>
      <c r="C720" s="87" t="s">
        <v>8</v>
      </c>
      <c r="D720" s="87" t="str">
        <f>VLOOKUP(Tabela1[[#This Row],[Origem]], 'Perguntas 1 a 24'!$J$28:$K$34, 2, 0)</f>
        <v>Nordeste</v>
      </c>
      <c r="E720" s="87" t="str">
        <f>Tabela1[[#This Row],[Descrição]]&amp;"-"&amp;Tabela1[[#This Row],[Código]]&amp;"/"&amp;Tabela1[[#This Row],[Origem]]</f>
        <v>Letuvima-P982H142/AL</v>
      </c>
      <c r="F720" s="88">
        <v>45876</v>
      </c>
      <c r="G720" s="88" t="str" cm="1">
        <f t="array" ref="G7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AND(F720&gt;= DATE(2026,1,1), F720&lt;= DATE(2028, 12, 31), J720&gt;50000), "Pendente e Caro", AND(F720&gt;= DATE(2026,1,1), F720&lt;= DATE(2028, 12, 31), J720&lt;=50000), "Pendente", F720&gt;= DATE(2029,1,1), "Não prioeitário")</f>
        <v>Urgente e Caro</v>
      </c>
      <c r="H720" s="89">
        <f>YEAR(Tabela1[[#This Row],[Data de Validade]])</f>
        <v>2025</v>
      </c>
      <c r="I720" s="89">
        <f>MONTH(Tabela1[[#This Row],[Data de Validade]])</f>
        <v>8</v>
      </c>
      <c r="J720" s="101">
        <v>82037</v>
      </c>
      <c r="K720" s="87" t="s">
        <v>11</v>
      </c>
      <c r="L720" s="108"/>
      <c r="M720" s="108"/>
      <c r="N720" s="108" t="str">
        <v>P982H142</v>
      </c>
      <c r="O720" s="108">
        <f t="shared" si="13"/>
        <v>1</v>
      </c>
      <c r="P720" s="108"/>
      <c r="Q720"/>
    </row>
    <row r="721" spans="1:17" x14ac:dyDescent="0.25">
      <c r="A721" s="89" t="s">
        <v>6256</v>
      </c>
      <c r="B721" s="87" t="s">
        <v>6257</v>
      </c>
      <c r="C721" s="87" t="s">
        <v>12</v>
      </c>
      <c r="D721" s="87" t="str">
        <f>VLOOKUP(Tabela1[[#This Row],[Origem]], 'Perguntas 1 a 24'!$J$28:$K$34, 2, 0)</f>
        <v>Sudeste</v>
      </c>
      <c r="E721" s="87" t="str">
        <f>Tabela1[[#This Row],[Descrição]]&amp;"-"&amp;Tabela1[[#This Row],[Código]]&amp;"/"&amp;Tabela1[[#This Row],[Origem]]</f>
        <v>Detureropo-H836H952/RJ</v>
      </c>
      <c r="F721" s="88">
        <v>45877</v>
      </c>
      <c r="G721" s="88" t="str" cm="1">
        <f t="array" ref="G7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AND(F721&gt;= DATE(2026,1,1), F721&lt;= DATE(2028, 12, 31), J721&gt;50000), "Pendente e Caro", AND(F721&gt;= DATE(2026,1,1), F721&lt;= DATE(2028, 12, 31), J721&lt;=50000), "Pendente", F721&gt;= DATE(2029,1,1), "Não prioeitário")</f>
        <v>Urgente</v>
      </c>
      <c r="H721" s="89">
        <f>YEAR(Tabela1[[#This Row],[Data de Validade]])</f>
        <v>2025</v>
      </c>
      <c r="I721" s="89">
        <f>MONTH(Tabela1[[#This Row],[Data de Validade]])</f>
        <v>8</v>
      </c>
      <c r="J721" s="101">
        <v>40909</v>
      </c>
      <c r="K721" s="87" t="s">
        <v>9</v>
      </c>
      <c r="L721" s="108"/>
      <c r="M721" s="108"/>
      <c r="N721" s="108" t="str">
        <v>H836H952</v>
      </c>
      <c r="O721" s="108">
        <f t="shared" si="13"/>
        <v>1</v>
      </c>
      <c r="P721" s="108"/>
      <c r="Q721"/>
    </row>
    <row r="722" spans="1:17" x14ac:dyDescent="0.25">
      <c r="A722" s="89" t="s">
        <v>7446</v>
      </c>
      <c r="B722" s="87" t="s">
        <v>7447</v>
      </c>
      <c r="C722" s="87" t="s">
        <v>15</v>
      </c>
      <c r="D722" s="87" t="str">
        <f>VLOOKUP(Tabela1[[#This Row],[Origem]], 'Perguntas 1 a 24'!$J$28:$K$34, 2, 0)</f>
        <v>Sudeste</v>
      </c>
      <c r="E722" s="87" t="str">
        <f>Tabela1[[#This Row],[Descrição]]&amp;"-"&amp;Tabela1[[#This Row],[Código]]&amp;"/"&amp;Tabela1[[#This Row],[Origem]]</f>
        <v>Ponopatufo-P233H554/ES</v>
      </c>
      <c r="F722" s="88">
        <v>45878</v>
      </c>
      <c r="G722" s="88" t="str" cm="1">
        <f t="array" ref="G7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AND(F722&gt;= DATE(2026,1,1), F722&lt;= DATE(2028, 12, 31), J722&gt;50000), "Pendente e Caro", AND(F722&gt;= DATE(2026,1,1), F722&lt;= DATE(2028, 12, 31), J722&lt;=50000), "Pendente", F722&gt;= DATE(2029,1,1), "Não prioeitário")</f>
        <v>Urgente e Caro</v>
      </c>
      <c r="H722" s="89">
        <f>YEAR(Tabela1[[#This Row],[Data de Validade]])</f>
        <v>2025</v>
      </c>
      <c r="I722" s="89">
        <f>MONTH(Tabela1[[#This Row],[Data de Validade]])</f>
        <v>8</v>
      </c>
      <c r="J722" s="101">
        <v>111406</v>
      </c>
      <c r="K722" s="87" t="s">
        <v>11</v>
      </c>
      <c r="L722" s="108"/>
      <c r="M722" s="108"/>
      <c r="N722" s="108" t="str">
        <v>P233H554</v>
      </c>
      <c r="O722" s="108">
        <f t="shared" si="13"/>
        <v>1</v>
      </c>
      <c r="P722" s="108"/>
      <c r="Q722"/>
    </row>
    <row r="723" spans="1:17" x14ac:dyDescent="0.25">
      <c r="A723" s="89" t="s">
        <v>5388</v>
      </c>
      <c r="B723" s="87" t="s">
        <v>5389</v>
      </c>
      <c r="C723" s="87" t="s">
        <v>12</v>
      </c>
      <c r="D723" s="87" t="str">
        <f>VLOOKUP(Tabela1[[#This Row],[Origem]], 'Perguntas 1 a 24'!$J$28:$K$34, 2, 0)</f>
        <v>Sudeste</v>
      </c>
      <c r="E723" s="87" t="str">
        <f>Tabela1[[#This Row],[Descrição]]&amp;"-"&amp;Tabela1[[#This Row],[Código]]&amp;"/"&amp;Tabela1[[#This Row],[Origem]]</f>
        <v>Marate-H592P846/RJ</v>
      </c>
      <c r="F723" s="88">
        <v>45878</v>
      </c>
      <c r="G723" s="88" t="str" cm="1">
        <f t="array" ref="G7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AND(F723&gt;= DATE(2026,1,1), F723&lt;= DATE(2028, 12, 31), J723&gt;50000), "Pendente e Caro", AND(F723&gt;= DATE(2026,1,1), F723&lt;= DATE(2028, 12, 31), J723&lt;=50000), "Pendente", F723&gt;= DATE(2029,1,1), "Não prioeitário")</f>
        <v>Urgente e Caro</v>
      </c>
      <c r="H723" s="89">
        <f>YEAR(Tabela1[[#This Row],[Data de Validade]])</f>
        <v>2025</v>
      </c>
      <c r="I723" s="89">
        <f>MONTH(Tabela1[[#This Row],[Data de Validade]])</f>
        <v>8</v>
      </c>
      <c r="J723" s="101">
        <v>94088</v>
      </c>
      <c r="K723" s="87" t="s">
        <v>14</v>
      </c>
      <c r="L723" s="108"/>
      <c r="M723" s="108"/>
      <c r="N723" s="108" t="str">
        <v>H592P846</v>
      </c>
      <c r="O723" s="108">
        <f t="shared" si="13"/>
        <v>1</v>
      </c>
      <c r="P723" s="108"/>
      <c r="Q723"/>
    </row>
    <row r="724" spans="1:17" x14ac:dyDescent="0.25">
      <c r="A724" s="89" t="s">
        <v>4818</v>
      </c>
      <c r="B724" s="87" t="s">
        <v>4819</v>
      </c>
      <c r="C724" s="87" t="s">
        <v>12</v>
      </c>
      <c r="D724" s="87" t="str">
        <f>VLOOKUP(Tabela1[[#This Row],[Origem]], 'Perguntas 1 a 24'!$J$28:$K$34, 2, 0)</f>
        <v>Sudeste</v>
      </c>
      <c r="E724" s="87" t="str">
        <f>Tabela1[[#This Row],[Descrição]]&amp;"-"&amp;Tabela1[[#This Row],[Código]]&amp;"/"&amp;Tabela1[[#This Row],[Origem]]</f>
        <v>Femunini-H866P482/RJ</v>
      </c>
      <c r="F724" s="88">
        <v>45878</v>
      </c>
      <c r="G724" s="88" t="str" cm="1">
        <f t="array" ref="G7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AND(F724&gt;= DATE(2026,1,1), F724&lt;= DATE(2028, 12, 31), J724&gt;50000), "Pendente e Caro", AND(F724&gt;= DATE(2026,1,1), F724&lt;= DATE(2028, 12, 31), J724&lt;=50000), "Pendente", F724&gt;= DATE(2029,1,1), "Não prioeitário")</f>
        <v>Urgente</v>
      </c>
      <c r="H724" s="89">
        <f>YEAR(Tabela1[[#This Row],[Data de Validade]])</f>
        <v>2025</v>
      </c>
      <c r="I724" s="89">
        <f>MONTH(Tabela1[[#This Row],[Data de Validade]])</f>
        <v>8</v>
      </c>
      <c r="J724" s="101">
        <v>36215</v>
      </c>
      <c r="K724" s="87" t="s">
        <v>9</v>
      </c>
      <c r="L724" s="108"/>
      <c r="M724" s="108"/>
      <c r="N724" s="108" t="str">
        <v>H866P482</v>
      </c>
      <c r="O724" s="108">
        <f t="shared" si="13"/>
        <v>1</v>
      </c>
      <c r="P724" s="108"/>
      <c r="Q724"/>
    </row>
    <row r="725" spans="1:17" x14ac:dyDescent="0.25">
      <c r="A725" s="89" t="s">
        <v>8949</v>
      </c>
      <c r="B725" s="87" t="s">
        <v>8950</v>
      </c>
      <c r="C725" s="87" t="s">
        <v>16</v>
      </c>
      <c r="D725" s="87" t="str">
        <f>VLOOKUP(Tabela1[[#This Row],[Origem]], 'Perguntas 1 a 24'!$J$28:$K$34, 2, 0)</f>
        <v>Sudeste</v>
      </c>
      <c r="E725" s="87" t="str">
        <f>Tabela1[[#This Row],[Descrição]]&amp;"-"&amp;Tabela1[[#This Row],[Código]]&amp;"/"&amp;Tabela1[[#This Row],[Origem]]</f>
        <v>Gitupi-P738P133/MG</v>
      </c>
      <c r="F725" s="88">
        <v>45879</v>
      </c>
      <c r="G725" s="88" t="str" cm="1">
        <f t="array" ref="G7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AND(F725&gt;= DATE(2026,1,1), F725&lt;= DATE(2028, 12, 31), J725&gt;50000), "Pendente e Caro", AND(F725&gt;= DATE(2026,1,1), F725&lt;= DATE(2028, 12, 31), J725&lt;=50000), "Pendente", F725&gt;= DATE(2029,1,1), "Não prioeitário")</f>
        <v>Urgente e Caro</v>
      </c>
      <c r="H725" s="89">
        <f>YEAR(Tabela1[[#This Row],[Data de Validade]])</f>
        <v>2025</v>
      </c>
      <c r="I725" s="89">
        <f>MONTH(Tabela1[[#This Row],[Data de Validade]])</f>
        <v>8</v>
      </c>
      <c r="J725" s="101">
        <v>77875</v>
      </c>
      <c r="K725" s="87" t="s">
        <v>14</v>
      </c>
      <c r="L725" s="108"/>
      <c r="M725" s="108"/>
      <c r="N725" s="108" t="str">
        <v>P738P133</v>
      </c>
      <c r="O725" s="108">
        <f t="shared" si="13"/>
        <v>1</v>
      </c>
      <c r="P725" s="108"/>
      <c r="Q725"/>
    </row>
    <row r="726" spans="1:17" x14ac:dyDescent="0.25">
      <c r="A726" s="89" t="s">
        <v>3904</v>
      </c>
      <c r="B726" s="87" t="s">
        <v>3905</v>
      </c>
      <c r="C726" s="87" t="s">
        <v>6</v>
      </c>
      <c r="D726" s="87" t="str">
        <f>VLOOKUP(Tabela1[[#This Row],[Origem]], 'Perguntas 1 a 24'!$J$28:$K$34, 2, 0)</f>
        <v>Nordeste</v>
      </c>
      <c r="E726" s="87" t="str">
        <f>Tabela1[[#This Row],[Descrição]]&amp;"-"&amp;Tabela1[[#This Row],[Código]]&amp;"/"&amp;Tabela1[[#This Row],[Origem]]</f>
        <v>Napido-P173H555/MA</v>
      </c>
      <c r="F726" s="88">
        <v>45881</v>
      </c>
      <c r="G726" s="88" t="str" cm="1">
        <f t="array" ref="G7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AND(F726&gt;= DATE(2026,1,1), F726&lt;= DATE(2028, 12, 31), J726&gt;50000), "Pendente e Caro", AND(F726&gt;= DATE(2026,1,1), F726&lt;= DATE(2028, 12, 31), J726&lt;=50000), "Pendente", F726&gt;= DATE(2029,1,1), "Não prioeitário")</f>
        <v>Urgente e Caro</v>
      </c>
      <c r="H726" s="89">
        <f>YEAR(Tabela1[[#This Row],[Data de Validade]])</f>
        <v>2025</v>
      </c>
      <c r="I726" s="89">
        <f>MONTH(Tabela1[[#This Row],[Data de Validade]])</f>
        <v>8</v>
      </c>
      <c r="J726" s="101">
        <v>54264</v>
      </c>
      <c r="K726" s="87" t="s">
        <v>11</v>
      </c>
      <c r="L726" s="108"/>
      <c r="M726" s="108"/>
      <c r="N726" s="108" t="str">
        <v>P173H555</v>
      </c>
      <c r="O726" s="108">
        <f t="shared" si="13"/>
        <v>1</v>
      </c>
      <c r="P726" s="108"/>
      <c r="Q726"/>
    </row>
    <row r="727" spans="1:17" x14ac:dyDescent="0.25">
      <c r="A727" s="89" t="s">
        <v>10723</v>
      </c>
      <c r="B727" s="87" t="s">
        <v>10724</v>
      </c>
      <c r="C727" s="87" t="s">
        <v>6</v>
      </c>
      <c r="D727" s="87" t="str">
        <f>VLOOKUP(Tabela1[[#This Row],[Origem]], 'Perguntas 1 a 24'!$J$28:$K$34, 2, 0)</f>
        <v>Nordeste</v>
      </c>
      <c r="E727" s="87" t="str">
        <f>Tabela1[[#This Row],[Descrição]]&amp;"-"&amp;Tabela1[[#This Row],[Código]]&amp;"/"&amp;Tabela1[[#This Row],[Origem]]</f>
        <v>Rudiceci-H639H983/MA</v>
      </c>
      <c r="F727" s="88">
        <v>45881</v>
      </c>
      <c r="G727" s="88" t="str" cm="1">
        <f t="array" ref="G7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AND(F727&gt;= DATE(2026,1,1), F727&lt;= DATE(2028, 12, 31), J727&gt;50000), "Pendente e Caro", AND(F727&gt;= DATE(2026,1,1), F727&lt;= DATE(2028, 12, 31), J727&lt;=50000), "Pendente", F727&gt;= DATE(2029,1,1), "Não prioeitário")</f>
        <v>Urgente</v>
      </c>
      <c r="H727" s="89">
        <f>YEAR(Tabela1[[#This Row],[Data de Validade]])</f>
        <v>2025</v>
      </c>
      <c r="I727" s="89">
        <f>MONTH(Tabela1[[#This Row],[Data de Validade]])</f>
        <v>8</v>
      </c>
      <c r="J727" s="101">
        <v>36947</v>
      </c>
      <c r="K727" s="87" t="s">
        <v>7</v>
      </c>
      <c r="L727" s="108"/>
      <c r="M727" s="108"/>
      <c r="N727" s="108" t="str">
        <v>H639H983</v>
      </c>
      <c r="O727" s="108">
        <f t="shared" si="13"/>
        <v>1</v>
      </c>
      <c r="P727" s="108"/>
      <c r="Q727"/>
    </row>
    <row r="728" spans="1:17" x14ac:dyDescent="0.25">
      <c r="A728" s="89" t="s">
        <v>7290</v>
      </c>
      <c r="B728" s="87" t="s">
        <v>7291</v>
      </c>
      <c r="C728" s="87" t="s">
        <v>6</v>
      </c>
      <c r="D728" s="87" t="str">
        <f>VLOOKUP(Tabela1[[#This Row],[Origem]], 'Perguntas 1 a 24'!$J$28:$K$34, 2, 0)</f>
        <v>Nordeste</v>
      </c>
      <c r="E728" s="87" t="str">
        <f>Tabela1[[#This Row],[Descrição]]&amp;"-"&amp;Tabela1[[#This Row],[Código]]&amp;"/"&amp;Tabela1[[#This Row],[Origem]]</f>
        <v>Varepego-H632P264/MA</v>
      </c>
      <c r="F728" s="88">
        <v>45882</v>
      </c>
      <c r="G728" s="88" t="str" cm="1">
        <f t="array" ref="G7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AND(F728&gt;= DATE(2026,1,1), F728&lt;= DATE(2028, 12, 31), J728&gt;50000), "Pendente e Caro", AND(F728&gt;= DATE(2026,1,1), F728&lt;= DATE(2028, 12, 31), J728&lt;=50000), "Pendente", F728&gt;= DATE(2029,1,1), "Não prioeitário")</f>
        <v>Urgente e Caro</v>
      </c>
      <c r="H728" s="89">
        <f>YEAR(Tabela1[[#This Row],[Data de Validade]])</f>
        <v>2025</v>
      </c>
      <c r="I728" s="89">
        <f>MONTH(Tabela1[[#This Row],[Data de Validade]])</f>
        <v>8</v>
      </c>
      <c r="J728" s="101">
        <v>96725</v>
      </c>
      <c r="K728" s="87" t="s">
        <v>7</v>
      </c>
      <c r="L728" s="108"/>
      <c r="M728" s="108"/>
      <c r="N728" s="108" t="str">
        <v>H632P264</v>
      </c>
      <c r="O728" s="108">
        <f t="shared" si="13"/>
        <v>1</v>
      </c>
      <c r="P728" s="108"/>
      <c r="Q728"/>
    </row>
    <row r="729" spans="1:17" x14ac:dyDescent="0.25">
      <c r="A729" s="89" t="s">
        <v>10651</v>
      </c>
      <c r="B729" s="87" t="s">
        <v>10652</v>
      </c>
      <c r="C729" s="87" t="s">
        <v>6</v>
      </c>
      <c r="D729" s="87" t="str">
        <f>VLOOKUP(Tabela1[[#This Row],[Origem]], 'Perguntas 1 a 24'!$J$28:$K$34, 2, 0)</f>
        <v>Nordeste</v>
      </c>
      <c r="E729" s="87" t="str">
        <f>Tabela1[[#This Row],[Descrição]]&amp;"-"&amp;Tabela1[[#This Row],[Código]]&amp;"/"&amp;Tabela1[[#This Row],[Origem]]</f>
        <v>Macetivo-H186P148/MA</v>
      </c>
      <c r="F729" s="88">
        <v>45883</v>
      </c>
      <c r="G729" s="88" t="str" cm="1">
        <f t="array" ref="G7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AND(F729&gt;= DATE(2026,1,1), F729&lt;= DATE(2028, 12, 31), J729&gt;50000), "Pendente e Caro", AND(F729&gt;= DATE(2026,1,1), F729&lt;= DATE(2028, 12, 31), J729&lt;=50000), "Pendente", F729&gt;= DATE(2029,1,1), "Não prioeitário")</f>
        <v>Urgente</v>
      </c>
      <c r="H729" s="89">
        <f>YEAR(Tabela1[[#This Row],[Data de Validade]])</f>
        <v>2025</v>
      </c>
      <c r="I729" s="89">
        <f>MONTH(Tabela1[[#This Row],[Data de Validade]])</f>
        <v>8</v>
      </c>
      <c r="J729" s="101">
        <v>38081</v>
      </c>
      <c r="K729" s="87" t="s">
        <v>7</v>
      </c>
      <c r="L729" s="108"/>
      <c r="M729" s="108"/>
      <c r="N729" s="108" t="str">
        <v>H186P148</v>
      </c>
      <c r="O729" s="108">
        <f t="shared" si="13"/>
        <v>1</v>
      </c>
      <c r="P729" s="108"/>
      <c r="Q729"/>
    </row>
    <row r="730" spans="1:17" x14ac:dyDescent="0.25">
      <c r="A730" s="89" t="s">
        <v>4780</v>
      </c>
      <c r="B730" s="87" t="s">
        <v>4781</v>
      </c>
      <c r="C730" s="87" t="s">
        <v>13</v>
      </c>
      <c r="D730" s="87" t="str">
        <f>VLOOKUP(Tabela1[[#This Row],[Origem]], 'Perguntas 1 a 24'!$J$28:$K$34, 2, 0)</f>
        <v>Sudeste</v>
      </c>
      <c r="E730" s="87" t="str">
        <f>Tabela1[[#This Row],[Descrição]]&amp;"-"&amp;Tabela1[[#This Row],[Código]]&amp;"/"&amp;Tabela1[[#This Row],[Origem]]</f>
        <v>Riputo-H643P489/SP</v>
      </c>
      <c r="F730" s="88">
        <v>45884</v>
      </c>
      <c r="G730" s="88" t="str" cm="1">
        <f t="array" ref="G7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AND(F730&gt;= DATE(2026,1,1), F730&lt;= DATE(2028, 12, 31), J730&gt;50000), "Pendente e Caro", AND(F730&gt;= DATE(2026,1,1), F730&lt;= DATE(2028, 12, 31), J730&lt;=50000), "Pendente", F730&gt;= DATE(2029,1,1), "Não prioeitário")</f>
        <v>Urgente e Caro</v>
      </c>
      <c r="H730" s="89">
        <f>YEAR(Tabela1[[#This Row],[Data de Validade]])</f>
        <v>2025</v>
      </c>
      <c r="I730" s="89">
        <f>MONTH(Tabela1[[#This Row],[Data de Validade]])</f>
        <v>8</v>
      </c>
      <c r="J730" s="101">
        <v>55323</v>
      </c>
      <c r="K730" s="87" t="s">
        <v>14</v>
      </c>
      <c r="L730" s="108"/>
      <c r="M730" s="108"/>
      <c r="N730" s="108" t="str">
        <v>H643P489</v>
      </c>
      <c r="O730" s="108">
        <f t="shared" si="13"/>
        <v>1</v>
      </c>
      <c r="P730" s="108"/>
      <c r="Q730"/>
    </row>
    <row r="731" spans="1:17" x14ac:dyDescent="0.25">
      <c r="A731" s="89" t="s">
        <v>7358</v>
      </c>
      <c r="B731" s="87" t="s">
        <v>7359</v>
      </c>
      <c r="C731" s="87" t="s">
        <v>8</v>
      </c>
      <c r="D731" s="87" t="str">
        <f>VLOOKUP(Tabela1[[#This Row],[Origem]], 'Perguntas 1 a 24'!$J$28:$K$34, 2, 0)</f>
        <v>Nordeste</v>
      </c>
      <c r="E731" s="87" t="str">
        <f>Tabela1[[#This Row],[Descrição]]&amp;"-"&amp;Tabela1[[#This Row],[Código]]&amp;"/"&amp;Tabela1[[#This Row],[Origem]]</f>
        <v>Mipulu-H699H318/AL</v>
      </c>
      <c r="F731" s="88">
        <v>45885</v>
      </c>
      <c r="G731" s="88" t="str" cm="1">
        <f t="array" ref="G7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AND(F731&gt;= DATE(2026,1,1), F731&lt;= DATE(2028, 12, 31), J731&gt;50000), "Pendente e Caro", AND(F731&gt;= DATE(2026,1,1), F731&lt;= DATE(2028, 12, 31), J731&lt;=50000), "Pendente", F731&gt;= DATE(2029,1,1), "Não prioeitário")</f>
        <v>Urgente e Caro</v>
      </c>
      <c r="H731" s="89">
        <f>YEAR(Tabela1[[#This Row],[Data de Validade]])</f>
        <v>2025</v>
      </c>
      <c r="I731" s="89">
        <f>MONTH(Tabela1[[#This Row],[Data de Validade]])</f>
        <v>8</v>
      </c>
      <c r="J731" s="101">
        <v>82349</v>
      </c>
      <c r="K731" s="87" t="s">
        <v>9</v>
      </c>
      <c r="L731" s="108"/>
      <c r="M731" s="108"/>
      <c r="N731" s="108" t="str">
        <v>H699H318</v>
      </c>
      <c r="O731" s="108">
        <f t="shared" si="13"/>
        <v>1</v>
      </c>
      <c r="P731" s="108"/>
      <c r="Q731"/>
    </row>
    <row r="732" spans="1:17" x14ac:dyDescent="0.25">
      <c r="A732" s="89" t="s">
        <v>7316</v>
      </c>
      <c r="B732" s="87" t="s">
        <v>7317</v>
      </c>
      <c r="C732" s="87" t="s">
        <v>16</v>
      </c>
      <c r="D732" s="87" t="str">
        <f>VLOOKUP(Tabela1[[#This Row],[Origem]], 'Perguntas 1 a 24'!$J$28:$K$34, 2, 0)</f>
        <v>Sudeste</v>
      </c>
      <c r="E732" s="87" t="str">
        <f>Tabela1[[#This Row],[Descrição]]&amp;"-"&amp;Tabela1[[#This Row],[Código]]&amp;"/"&amp;Tabela1[[#This Row],[Origem]]</f>
        <v>Rorutofogu-P639P111/MG</v>
      </c>
      <c r="F732" s="88">
        <v>45885</v>
      </c>
      <c r="G732" s="88" t="str" cm="1">
        <f t="array" ref="G7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AND(F732&gt;= DATE(2026,1,1), F732&lt;= DATE(2028, 12, 31), J732&gt;50000), "Pendente e Caro", AND(F732&gt;= DATE(2026,1,1), F732&lt;= DATE(2028, 12, 31), J732&lt;=50000), "Pendente", F732&gt;= DATE(2029,1,1), "Não prioeitário")</f>
        <v>Urgente</v>
      </c>
      <c r="H732" s="89">
        <f>YEAR(Tabela1[[#This Row],[Data de Validade]])</f>
        <v>2025</v>
      </c>
      <c r="I732" s="89">
        <f>MONTH(Tabela1[[#This Row],[Data de Validade]])</f>
        <v>8</v>
      </c>
      <c r="J732" s="101">
        <v>37874</v>
      </c>
      <c r="K732" s="87" t="s">
        <v>7</v>
      </c>
      <c r="L732" s="108"/>
      <c r="M732" s="108"/>
      <c r="N732" s="108" t="str">
        <v>P639P111</v>
      </c>
      <c r="O732" s="108">
        <f t="shared" si="13"/>
        <v>1</v>
      </c>
      <c r="P732" s="108"/>
      <c r="Q732"/>
    </row>
    <row r="733" spans="1:17" x14ac:dyDescent="0.25">
      <c r="A733" s="89" t="s">
        <v>5964</v>
      </c>
      <c r="B733" s="87" t="s">
        <v>5965</v>
      </c>
      <c r="C733" s="87" t="s">
        <v>16</v>
      </c>
      <c r="D733" s="87" t="str">
        <f>VLOOKUP(Tabela1[[#This Row],[Origem]], 'Perguntas 1 a 24'!$J$28:$K$34, 2, 0)</f>
        <v>Sudeste</v>
      </c>
      <c r="E733" s="87" t="str">
        <f>Tabela1[[#This Row],[Descrição]]&amp;"-"&amp;Tabela1[[#This Row],[Código]]&amp;"/"&amp;Tabela1[[#This Row],[Origem]]</f>
        <v>Vagafe-H944H643/MG</v>
      </c>
      <c r="F733" s="88">
        <v>45886</v>
      </c>
      <c r="G733" s="88" t="str" cm="1">
        <f t="array" ref="G7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AND(F733&gt;= DATE(2026,1,1), F733&lt;= DATE(2028, 12, 31), J733&gt;50000), "Pendente e Caro", AND(F733&gt;= DATE(2026,1,1), F733&lt;= DATE(2028, 12, 31), J733&lt;=50000), "Pendente", F733&gt;= DATE(2029,1,1), "Não prioeitário")</f>
        <v>Urgente e Caro</v>
      </c>
      <c r="H733" s="89">
        <f>YEAR(Tabela1[[#This Row],[Data de Validade]])</f>
        <v>2025</v>
      </c>
      <c r="I733" s="89">
        <f>MONTH(Tabela1[[#This Row],[Data de Validade]])</f>
        <v>8</v>
      </c>
      <c r="J733" s="101">
        <v>111256</v>
      </c>
      <c r="K733" s="87" t="s">
        <v>14</v>
      </c>
      <c r="L733" s="108"/>
      <c r="M733" s="108"/>
      <c r="N733" s="108" t="str">
        <v>H944H643</v>
      </c>
      <c r="O733" s="108">
        <f t="shared" si="13"/>
        <v>1</v>
      </c>
      <c r="P733" s="108"/>
      <c r="Q733"/>
    </row>
    <row r="734" spans="1:17" x14ac:dyDescent="0.25">
      <c r="A734" s="89" t="s">
        <v>4566</v>
      </c>
      <c r="B734" s="87" t="s">
        <v>4567</v>
      </c>
      <c r="C734" s="87" t="s">
        <v>15</v>
      </c>
      <c r="D734" s="87" t="str">
        <f>VLOOKUP(Tabela1[[#This Row],[Origem]], 'Perguntas 1 a 24'!$J$28:$K$34, 2, 0)</f>
        <v>Sudeste</v>
      </c>
      <c r="E734" s="87" t="str">
        <f>Tabela1[[#This Row],[Descrição]]&amp;"-"&amp;Tabela1[[#This Row],[Código]]&amp;"/"&amp;Tabela1[[#This Row],[Origem]]</f>
        <v>Nipopefa-H643H716/ES</v>
      </c>
      <c r="F734" s="88">
        <v>45886</v>
      </c>
      <c r="G734" s="88" t="str" cm="1">
        <f t="array" ref="G7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AND(F734&gt;= DATE(2026,1,1), F734&lt;= DATE(2028, 12, 31), J734&gt;50000), "Pendente e Caro", AND(F734&gt;= DATE(2026,1,1), F734&lt;= DATE(2028, 12, 31), J734&lt;=50000), "Pendente", F734&gt;= DATE(2029,1,1), "Não prioeitário")</f>
        <v>Urgente e Caro</v>
      </c>
      <c r="H734" s="89">
        <f>YEAR(Tabela1[[#This Row],[Data de Validade]])</f>
        <v>2025</v>
      </c>
      <c r="I734" s="89">
        <f>MONTH(Tabela1[[#This Row],[Data de Validade]])</f>
        <v>8</v>
      </c>
      <c r="J734" s="101">
        <v>56607</v>
      </c>
      <c r="K734" s="87" t="s">
        <v>7</v>
      </c>
      <c r="L734" s="108"/>
      <c r="M734" s="108"/>
      <c r="N734" s="108" t="str">
        <v>H643H716</v>
      </c>
      <c r="O734" s="108">
        <f t="shared" si="13"/>
        <v>1</v>
      </c>
      <c r="P734" s="108"/>
      <c r="Q734"/>
    </row>
    <row r="735" spans="1:17" x14ac:dyDescent="0.25">
      <c r="A735" s="89" t="s">
        <v>11222</v>
      </c>
      <c r="B735" s="87" t="s">
        <v>11223</v>
      </c>
      <c r="C735" s="87" t="s">
        <v>15</v>
      </c>
      <c r="D735" s="87" t="str">
        <f>VLOOKUP(Tabela1[[#This Row],[Origem]], 'Perguntas 1 a 24'!$J$28:$K$34, 2, 0)</f>
        <v>Sudeste</v>
      </c>
      <c r="E735" s="87" t="str">
        <f>Tabela1[[#This Row],[Descrição]]&amp;"-"&amp;Tabela1[[#This Row],[Código]]&amp;"/"&amp;Tabela1[[#This Row],[Origem]]</f>
        <v>Marupi-P854P645/ES</v>
      </c>
      <c r="F735" s="88">
        <v>45887</v>
      </c>
      <c r="G735" s="88" t="str" cm="1">
        <f t="array" ref="G7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AND(F735&gt;= DATE(2026,1,1), F735&lt;= DATE(2028, 12, 31), J735&gt;50000), "Pendente e Caro", AND(F735&gt;= DATE(2026,1,1), F735&lt;= DATE(2028, 12, 31), J735&lt;=50000), "Pendente", F735&gt;= DATE(2029,1,1), "Não prioeitário")</f>
        <v>Urgente e Caro</v>
      </c>
      <c r="H735" s="89">
        <f>YEAR(Tabela1[[#This Row],[Data de Validade]])</f>
        <v>2025</v>
      </c>
      <c r="I735" s="89">
        <f>MONTH(Tabela1[[#This Row],[Data de Validade]])</f>
        <v>8</v>
      </c>
      <c r="J735" s="101">
        <v>104427</v>
      </c>
      <c r="K735" s="87" t="s">
        <v>7</v>
      </c>
      <c r="L735" s="108"/>
      <c r="M735" s="108"/>
      <c r="N735" s="108" t="str">
        <v>P854P645</v>
      </c>
      <c r="O735" s="108">
        <f t="shared" si="13"/>
        <v>1</v>
      </c>
      <c r="P735" s="108"/>
      <c r="Q735"/>
    </row>
    <row r="736" spans="1:17" x14ac:dyDescent="0.25">
      <c r="A736" s="89" t="s">
        <v>10459</v>
      </c>
      <c r="B736" s="87" t="s">
        <v>10460</v>
      </c>
      <c r="C736" s="87" t="s">
        <v>6</v>
      </c>
      <c r="D736" s="87" t="str">
        <f>VLOOKUP(Tabela1[[#This Row],[Origem]], 'Perguntas 1 a 24'!$J$28:$K$34, 2, 0)</f>
        <v>Nordeste</v>
      </c>
      <c r="E736" s="87" t="str">
        <f>Tabela1[[#This Row],[Descrição]]&amp;"-"&amp;Tabela1[[#This Row],[Código]]&amp;"/"&amp;Tabela1[[#This Row],[Origem]]</f>
        <v>Nemimeta-P254P192/MA</v>
      </c>
      <c r="F736" s="88">
        <v>45887</v>
      </c>
      <c r="G736" s="88" t="str" cm="1">
        <f t="array" ref="G7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AND(F736&gt;= DATE(2026,1,1), F736&lt;= DATE(2028, 12, 31), J736&gt;50000), "Pendente e Caro", AND(F736&gt;= DATE(2026,1,1), F736&lt;= DATE(2028, 12, 31), J736&lt;=50000), "Pendente", F736&gt;= DATE(2029,1,1), "Não prioeitário")</f>
        <v>Urgente e Caro</v>
      </c>
      <c r="H736" s="89">
        <f>YEAR(Tabela1[[#This Row],[Data de Validade]])</f>
        <v>2025</v>
      </c>
      <c r="I736" s="89">
        <f>MONTH(Tabela1[[#This Row],[Data de Validade]])</f>
        <v>8</v>
      </c>
      <c r="J736" s="101">
        <v>62448</v>
      </c>
      <c r="K736" s="87" t="s">
        <v>11</v>
      </c>
      <c r="L736" s="108"/>
      <c r="M736" s="108"/>
      <c r="N736" s="108" t="str">
        <v>P254P192</v>
      </c>
      <c r="O736" s="108">
        <f t="shared" si="13"/>
        <v>1</v>
      </c>
      <c r="P736" s="108"/>
      <c r="Q736"/>
    </row>
    <row r="737" spans="1:17" x14ac:dyDescent="0.25">
      <c r="A737" s="89" t="s">
        <v>4056</v>
      </c>
      <c r="B737" s="87" t="s">
        <v>4057</v>
      </c>
      <c r="C737" s="87" t="s">
        <v>8</v>
      </c>
      <c r="D737" s="87" t="str">
        <f>VLOOKUP(Tabela1[[#This Row],[Origem]], 'Perguntas 1 a 24'!$J$28:$K$34, 2, 0)</f>
        <v>Nordeste</v>
      </c>
      <c r="E737" s="87" t="str">
        <f>Tabela1[[#This Row],[Descrição]]&amp;"-"&amp;Tabela1[[#This Row],[Código]]&amp;"/"&amp;Tabela1[[#This Row],[Origem]]</f>
        <v>Mecade-P582P142/AL</v>
      </c>
      <c r="F737" s="88">
        <v>45887</v>
      </c>
      <c r="G737" s="88" t="str" cm="1">
        <f t="array" ref="G7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AND(F737&gt;= DATE(2026,1,1), F737&lt;= DATE(2028, 12, 31), J737&gt;50000), "Pendente e Caro", AND(F737&gt;= DATE(2026,1,1), F737&lt;= DATE(2028, 12, 31), J737&lt;=50000), "Pendente", F737&gt;= DATE(2029,1,1), "Não prioeitário")</f>
        <v>Urgente e Caro</v>
      </c>
      <c r="H737" s="89">
        <f>YEAR(Tabela1[[#This Row],[Data de Validade]])</f>
        <v>2025</v>
      </c>
      <c r="I737" s="89">
        <f>MONTH(Tabela1[[#This Row],[Data de Validade]])</f>
        <v>8</v>
      </c>
      <c r="J737" s="101">
        <v>52565</v>
      </c>
      <c r="K737" s="87" t="s">
        <v>7</v>
      </c>
      <c r="L737" s="108"/>
      <c r="M737" s="108"/>
      <c r="N737" s="108" t="str">
        <v>P582P142</v>
      </c>
      <c r="O737" s="108">
        <f t="shared" si="13"/>
        <v>1</v>
      </c>
      <c r="P737" s="108"/>
      <c r="Q737"/>
    </row>
    <row r="738" spans="1:17" x14ac:dyDescent="0.25">
      <c r="A738" s="89" t="s">
        <v>9477</v>
      </c>
      <c r="B738" s="87" t="s">
        <v>9478</v>
      </c>
      <c r="C738" s="87" t="s">
        <v>6</v>
      </c>
      <c r="D738" s="87" t="str">
        <f>VLOOKUP(Tabela1[[#This Row],[Origem]], 'Perguntas 1 a 24'!$J$28:$K$34, 2, 0)</f>
        <v>Nordeste</v>
      </c>
      <c r="E738" s="87" t="str">
        <f>Tabela1[[#This Row],[Descrição]]&amp;"-"&amp;Tabela1[[#This Row],[Código]]&amp;"/"&amp;Tabela1[[#This Row],[Origem]]</f>
        <v>Peparu-P348H894/MA</v>
      </c>
      <c r="F738" s="88">
        <v>45887</v>
      </c>
      <c r="G738" s="88" t="str" cm="1">
        <f t="array" ref="G7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AND(F738&gt;= DATE(2026,1,1), F738&lt;= DATE(2028, 12, 31), J738&gt;50000), "Pendente e Caro", AND(F738&gt;= DATE(2026,1,1), F738&lt;= DATE(2028, 12, 31), J738&lt;=50000), "Pendente", F738&gt;= DATE(2029,1,1), "Não prioeitário")</f>
        <v>Urgente</v>
      </c>
      <c r="H738" s="89">
        <f>YEAR(Tabela1[[#This Row],[Data de Validade]])</f>
        <v>2025</v>
      </c>
      <c r="I738" s="89">
        <f>MONTH(Tabela1[[#This Row],[Data de Validade]])</f>
        <v>8</v>
      </c>
      <c r="J738" s="101">
        <v>42811</v>
      </c>
      <c r="K738" s="87" t="s">
        <v>7</v>
      </c>
      <c r="L738" s="108"/>
      <c r="M738" s="108"/>
      <c r="N738" s="108" t="str">
        <v>P348H894</v>
      </c>
      <c r="O738" s="108">
        <f t="shared" si="13"/>
        <v>1</v>
      </c>
      <c r="P738" s="108"/>
      <c r="Q738"/>
    </row>
    <row r="739" spans="1:17" x14ac:dyDescent="0.25">
      <c r="A739" s="89" t="s">
        <v>9997</v>
      </c>
      <c r="B739" s="87" t="s">
        <v>9998</v>
      </c>
      <c r="C739" s="87" t="s">
        <v>10</v>
      </c>
      <c r="D739" s="87" t="str">
        <f>VLOOKUP(Tabela1[[#This Row],[Origem]], 'Perguntas 1 a 24'!$J$28:$K$34, 2, 0)</f>
        <v>Centro-Oeste</v>
      </c>
      <c r="E739" s="87" t="str">
        <f>Tabela1[[#This Row],[Descrição]]&amp;"-"&amp;Tabela1[[#This Row],[Código]]&amp;"/"&amp;Tabela1[[#This Row],[Origem]]</f>
        <v>Redevere-H162H387/GO</v>
      </c>
      <c r="F739" s="88">
        <v>45889</v>
      </c>
      <c r="G739" s="88" t="str" cm="1">
        <f t="array" ref="G7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AND(F739&gt;= DATE(2026,1,1), F739&lt;= DATE(2028, 12, 31), J739&gt;50000), "Pendente e Caro", AND(F739&gt;= DATE(2026,1,1), F739&lt;= DATE(2028, 12, 31), J739&lt;=50000), "Pendente", F739&gt;= DATE(2029,1,1), "Não prioeitário")</f>
        <v>Urgente e Caro</v>
      </c>
      <c r="H739" s="89">
        <f>YEAR(Tabela1[[#This Row],[Data de Validade]])</f>
        <v>2025</v>
      </c>
      <c r="I739" s="89">
        <f>MONTH(Tabela1[[#This Row],[Data de Validade]])</f>
        <v>8</v>
      </c>
      <c r="J739" s="101">
        <v>114172</v>
      </c>
      <c r="K739" s="87" t="s">
        <v>9</v>
      </c>
      <c r="L739" s="108"/>
      <c r="M739" s="108"/>
      <c r="N739" s="108" t="str">
        <v>H162H387</v>
      </c>
      <c r="O739" s="108">
        <f t="shared" si="13"/>
        <v>1</v>
      </c>
      <c r="P739" s="108"/>
      <c r="Q739"/>
    </row>
    <row r="740" spans="1:17" x14ac:dyDescent="0.25">
      <c r="A740" s="89" t="s">
        <v>9855</v>
      </c>
      <c r="B740" s="87" t="s">
        <v>9856</v>
      </c>
      <c r="C740" s="87" t="s">
        <v>12</v>
      </c>
      <c r="D740" s="87" t="str">
        <f>VLOOKUP(Tabela1[[#This Row],[Origem]], 'Perguntas 1 a 24'!$J$28:$K$34, 2, 0)</f>
        <v>Sudeste</v>
      </c>
      <c r="E740" s="87" t="str">
        <f>Tabela1[[#This Row],[Descrição]]&amp;"-"&amp;Tabela1[[#This Row],[Código]]&amp;"/"&amp;Tabela1[[#This Row],[Origem]]</f>
        <v>Cetopi-P459H813/RJ</v>
      </c>
      <c r="F740" s="88">
        <v>45889</v>
      </c>
      <c r="G740" s="88" t="str" cm="1">
        <f t="array" ref="G7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AND(F740&gt;= DATE(2026,1,1), F740&lt;= DATE(2028, 12, 31), J740&gt;50000), "Pendente e Caro", AND(F740&gt;= DATE(2026,1,1), F740&lt;= DATE(2028, 12, 31), J740&lt;=50000), "Pendente", F740&gt;= DATE(2029,1,1), "Não prioeitário")</f>
        <v>Urgente e Caro</v>
      </c>
      <c r="H740" s="89">
        <f>YEAR(Tabela1[[#This Row],[Data de Validade]])</f>
        <v>2025</v>
      </c>
      <c r="I740" s="89">
        <f>MONTH(Tabela1[[#This Row],[Data de Validade]])</f>
        <v>8</v>
      </c>
      <c r="J740" s="101">
        <v>92516</v>
      </c>
      <c r="K740" s="87" t="s">
        <v>11</v>
      </c>
      <c r="L740" s="108"/>
      <c r="M740" s="108"/>
      <c r="N740" s="108" t="str">
        <v>P459H813</v>
      </c>
      <c r="O740" s="108">
        <f t="shared" si="13"/>
        <v>1</v>
      </c>
      <c r="P740" s="108"/>
      <c r="Q740"/>
    </row>
    <row r="741" spans="1:17" x14ac:dyDescent="0.25">
      <c r="A741" s="89" t="s">
        <v>7818</v>
      </c>
      <c r="B741" s="87" t="s">
        <v>7819</v>
      </c>
      <c r="C741" s="87" t="s">
        <v>10</v>
      </c>
      <c r="D741" s="87" t="str">
        <f>VLOOKUP(Tabela1[[#This Row],[Origem]], 'Perguntas 1 a 24'!$J$28:$K$34, 2, 0)</f>
        <v>Centro-Oeste</v>
      </c>
      <c r="E741" s="87" t="str">
        <f>Tabela1[[#This Row],[Descrição]]&amp;"-"&amp;Tabela1[[#This Row],[Código]]&amp;"/"&amp;Tabela1[[#This Row],[Origem]]</f>
        <v>Gucuto-P867P994/GO</v>
      </c>
      <c r="F741" s="88">
        <v>45889</v>
      </c>
      <c r="G741" s="88" t="str" cm="1">
        <f t="array" ref="G7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AND(F741&gt;= DATE(2026,1,1), F741&lt;= DATE(2028, 12, 31), J741&gt;50000), "Pendente e Caro", AND(F741&gt;= DATE(2026,1,1), F741&lt;= DATE(2028, 12, 31), J741&lt;=50000), "Pendente", F741&gt;= DATE(2029,1,1), "Não prioeitário")</f>
        <v>Urgente e Caro</v>
      </c>
      <c r="H741" s="89">
        <f>YEAR(Tabela1[[#This Row],[Data de Validade]])</f>
        <v>2025</v>
      </c>
      <c r="I741" s="89">
        <f>MONTH(Tabela1[[#This Row],[Data de Validade]])</f>
        <v>8</v>
      </c>
      <c r="J741" s="101">
        <v>89603</v>
      </c>
      <c r="K741" s="87" t="s">
        <v>9</v>
      </c>
      <c r="L741" s="108"/>
      <c r="M741" s="108"/>
      <c r="N741" s="108" t="str">
        <v>P867P994</v>
      </c>
      <c r="O741" s="108">
        <f t="shared" si="13"/>
        <v>1</v>
      </c>
      <c r="P741" s="108"/>
      <c r="Q741"/>
    </row>
    <row r="742" spans="1:17" x14ac:dyDescent="0.25">
      <c r="A742" s="89" t="s">
        <v>6656</v>
      </c>
      <c r="B742" s="87" t="s">
        <v>6657</v>
      </c>
      <c r="C742" s="87" t="s">
        <v>12</v>
      </c>
      <c r="D742" s="87" t="str">
        <f>VLOOKUP(Tabela1[[#This Row],[Origem]], 'Perguntas 1 a 24'!$J$28:$K$34, 2, 0)</f>
        <v>Sudeste</v>
      </c>
      <c r="E742" s="87" t="str">
        <f>Tabela1[[#This Row],[Descrição]]&amp;"-"&amp;Tabela1[[#This Row],[Código]]&amp;"/"&amp;Tabela1[[#This Row],[Origem]]</f>
        <v>Vefotora-H129P544/RJ</v>
      </c>
      <c r="F742" s="88">
        <v>45889</v>
      </c>
      <c r="G742" s="88" t="str" cm="1">
        <f t="array" ref="G7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AND(F742&gt;= DATE(2026,1,1), F742&lt;= DATE(2028, 12, 31), J742&gt;50000), "Pendente e Caro", AND(F742&gt;= DATE(2026,1,1), F742&lt;= DATE(2028, 12, 31), J742&lt;=50000), "Pendente", F742&gt;= DATE(2029,1,1), "Não prioeitário")</f>
        <v>Urgente</v>
      </c>
      <c r="H742" s="89">
        <f>YEAR(Tabela1[[#This Row],[Data de Validade]])</f>
        <v>2025</v>
      </c>
      <c r="I742" s="89">
        <f>MONTH(Tabela1[[#This Row],[Data de Validade]])</f>
        <v>8</v>
      </c>
      <c r="J742" s="101">
        <v>27810</v>
      </c>
      <c r="K742" s="87" t="s">
        <v>7</v>
      </c>
      <c r="L742" s="108"/>
      <c r="M742" s="108"/>
      <c r="N742" s="108" t="str">
        <v>H129P544</v>
      </c>
      <c r="O742" s="108">
        <f t="shared" si="13"/>
        <v>1</v>
      </c>
      <c r="P742" s="108"/>
      <c r="Q742"/>
    </row>
    <row r="743" spans="1:17" x14ac:dyDescent="0.25">
      <c r="A743" s="89" t="s">
        <v>10733</v>
      </c>
      <c r="B743" s="87" t="s">
        <v>10734</v>
      </c>
      <c r="C743" s="87" t="s">
        <v>8</v>
      </c>
      <c r="D743" s="87" t="str">
        <f>VLOOKUP(Tabela1[[#This Row],[Origem]], 'Perguntas 1 a 24'!$J$28:$K$34, 2, 0)</f>
        <v>Nordeste</v>
      </c>
      <c r="E743" s="87" t="str">
        <f>Tabela1[[#This Row],[Descrição]]&amp;"-"&amp;Tabela1[[#This Row],[Código]]&amp;"/"&amp;Tabela1[[#This Row],[Origem]]</f>
        <v>Rafelo-P993P712/AL</v>
      </c>
      <c r="F743" s="88">
        <v>45890</v>
      </c>
      <c r="G743" s="88" t="str" cm="1">
        <f t="array" ref="G7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AND(F743&gt;= DATE(2026,1,1), F743&lt;= DATE(2028, 12, 31), J743&gt;50000), "Pendente e Caro", AND(F743&gt;= DATE(2026,1,1), F743&lt;= DATE(2028, 12, 31), J743&lt;=50000), "Pendente", F743&gt;= DATE(2029,1,1), "Não prioeitário")</f>
        <v>Urgente e Caro</v>
      </c>
      <c r="H743" s="89">
        <f>YEAR(Tabela1[[#This Row],[Data de Validade]])</f>
        <v>2025</v>
      </c>
      <c r="I743" s="89">
        <f>MONTH(Tabela1[[#This Row],[Data de Validade]])</f>
        <v>8</v>
      </c>
      <c r="J743" s="101">
        <v>98272</v>
      </c>
      <c r="K743" s="87" t="s">
        <v>11</v>
      </c>
      <c r="L743" s="108"/>
      <c r="M743" s="108"/>
      <c r="N743" s="108" t="str">
        <v>P993P712</v>
      </c>
      <c r="O743" s="108">
        <f t="shared" si="13"/>
        <v>1</v>
      </c>
      <c r="P743" s="108"/>
      <c r="Q743"/>
    </row>
    <row r="744" spans="1:17" x14ac:dyDescent="0.25">
      <c r="A744" s="89" t="s">
        <v>4678</v>
      </c>
      <c r="B744" s="87" t="s">
        <v>4679</v>
      </c>
      <c r="C744" s="87" t="s">
        <v>13</v>
      </c>
      <c r="D744" s="87" t="str">
        <f>VLOOKUP(Tabela1[[#This Row],[Origem]], 'Perguntas 1 a 24'!$J$28:$K$34, 2, 0)</f>
        <v>Sudeste</v>
      </c>
      <c r="E744" s="87" t="str">
        <f>Tabela1[[#This Row],[Descrição]]&amp;"-"&amp;Tabela1[[#This Row],[Código]]&amp;"/"&amp;Tabela1[[#This Row],[Origem]]</f>
        <v>Cemavapa-P719H464/SP</v>
      </c>
      <c r="F744" s="88">
        <v>45891</v>
      </c>
      <c r="G744" s="88" t="str" cm="1">
        <f t="array" ref="G7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AND(F744&gt;= DATE(2026,1,1), F744&lt;= DATE(2028, 12, 31), J744&gt;50000), "Pendente e Caro", AND(F744&gt;= DATE(2026,1,1), F744&lt;= DATE(2028, 12, 31), J744&lt;=50000), "Pendente", F744&gt;= DATE(2029,1,1), "Não prioeitário")</f>
        <v>Urgente e Caro</v>
      </c>
      <c r="H744" s="89">
        <f>YEAR(Tabela1[[#This Row],[Data de Validade]])</f>
        <v>2025</v>
      </c>
      <c r="I744" s="89">
        <f>MONTH(Tabela1[[#This Row],[Data de Validade]])</f>
        <v>8</v>
      </c>
      <c r="J744" s="101">
        <v>73527</v>
      </c>
      <c r="K744" s="87" t="s">
        <v>7</v>
      </c>
      <c r="L744" s="108"/>
      <c r="M744" s="108"/>
      <c r="N744" s="108" t="str">
        <v>P719H464</v>
      </c>
      <c r="O744" s="108">
        <f t="shared" si="13"/>
        <v>1</v>
      </c>
      <c r="P744" s="108"/>
      <c r="Q744"/>
    </row>
    <row r="745" spans="1:17" x14ac:dyDescent="0.25">
      <c r="A745" s="89" t="s">
        <v>7814</v>
      </c>
      <c r="B745" s="87" t="s">
        <v>7815</v>
      </c>
      <c r="C745" s="87" t="s">
        <v>12</v>
      </c>
      <c r="D745" s="87" t="str">
        <f>VLOOKUP(Tabela1[[#This Row],[Origem]], 'Perguntas 1 a 24'!$J$28:$K$34, 2, 0)</f>
        <v>Sudeste</v>
      </c>
      <c r="E745" s="87" t="str">
        <f>Tabela1[[#This Row],[Descrição]]&amp;"-"&amp;Tabela1[[#This Row],[Código]]&amp;"/"&amp;Tabela1[[#This Row],[Origem]]</f>
        <v>Picofofupe-H571H378/RJ</v>
      </c>
      <c r="F745" s="88">
        <v>45892</v>
      </c>
      <c r="G745" s="88" t="str" cm="1">
        <f t="array" ref="G7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AND(F745&gt;= DATE(2026,1,1), F745&lt;= DATE(2028, 12, 31), J745&gt;50000), "Pendente e Caro", AND(F745&gt;= DATE(2026,1,1), F745&lt;= DATE(2028, 12, 31), J745&lt;=50000), "Pendente", F745&gt;= DATE(2029,1,1), "Não prioeitário")</f>
        <v>Urgente e Caro</v>
      </c>
      <c r="H745" s="89">
        <f>YEAR(Tabela1[[#This Row],[Data de Validade]])</f>
        <v>2025</v>
      </c>
      <c r="I745" s="89">
        <f>MONTH(Tabela1[[#This Row],[Data de Validade]])</f>
        <v>8</v>
      </c>
      <c r="J745" s="101">
        <v>95408</v>
      </c>
      <c r="K745" s="87" t="s">
        <v>11</v>
      </c>
      <c r="L745" s="108"/>
      <c r="M745" s="108"/>
      <c r="N745" s="108" t="str">
        <v>H571H378</v>
      </c>
      <c r="O745" s="108">
        <f t="shared" si="13"/>
        <v>1</v>
      </c>
      <c r="P745" s="108"/>
      <c r="Q745"/>
    </row>
    <row r="746" spans="1:17" x14ac:dyDescent="0.25">
      <c r="A746" s="89" t="s">
        <v>10683</v>
      </c>
      <c r="B746" s="87" t="s">
        <v>10684</v>
      </c>
      <c r="C746" s="87" t="s">
        <v>13</v>
      </c>
      <c r="D746" s="87" t="str">
        <f>VLOOKUP(Tabela1[[#This Row],[Origem]], 'Perguntas 1 a 24'!$J$28:$K$34, 2, 0)</f>
        <v>Sudeste</v>
      </c>
      <c r="E746" s="87" t="str">
        <f>Tabela1[[#This Row],[Descrição]]&amp;"-"&amp;Tabela1[[#This Row],[Código]]&amp;"/"&amp;Tabela1[[#This Row],[Origem]]</f>
        <v>Tifotuvipo-H446P158/SP</v>
      </c>
      <c r="F746" s="88">
        <v>45893</v>
      </c>
      <c r="G746" s="88" t="str" cm="1">
        <f t="array" ref="G7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AND(F746&gt;= DATE(2026,1,1), F746&lt;= DATE(2028, 12, 31), J746&gt;50000), "Pendente e Caro", AND(F746&gt;= DATE(2026,1,1), F746&lt;= DATE(2028, 12, 31), J746&lt;=50000), "Pendente", F746&gt;= DATE(2029,1,1), "Não prioeitário")</f>
        <v>Urgente e Caro</v>
      </c>
      <c r="H746" s="89">
        <f>YEAR(Tabela1[[#This Row],[Data de Validade]])</f>
        <v>2025</v>
      </c>
      <c r="I746" s="89">
        <f>MONTH(Tabela1[[#This Row],[Data de Validade]])</f>
        <v>8</v>
      </c>
      <c r="J746" s="101">
        <v>103008</v>
      </c>
      <c r="K746" s="87" t="s">
        <v>14</v>
      </c>
      <c r="L746" s="108"/>
      <c r="M746" s="108"/>
      <c r="N746" s="108" t="str">
        <v>H446P158</v>
      </c>
      <c r="O746" s="108">
        <f t="shared" si="13"/>
        <v>1</v>
      </c>
      <c r="P746" s="108"/>
      <c r="Q746"/>
    </row>
    <row r="747" spans="1:17" x14ac:dyDescent="0.25">
      <c r="A747" s="89" t="s">
        <v>5440</v>
      </c>
      <c r="B747" s="87" t="s">
        <v>5441</v>
      </c>
      <c r="C747" s="87" t="s">
        <v>8</v>
      </c>
      <c r="D747" s="87" t="str">
        <f>VLOOKUP(Tabela1[[#This Row],[Origem]], 'Perguntas 1 a 24'!$J$28:$K$34, 2, 0)</f>
        <v>Nordeste</v>
      </c>
      <c r="E747" s="87" t="str">
        <f>Tabela1[[#This Row],[Descrição]]&amp;"-"&amp;Tabela1[[#This Row],[Código]]&amp;"/"&amp;Tabela1[[#This Row],[Origem]]</f>
        <v>Rarirepipo-P176P323/AL</v>
      </c>
      <c r="F747" s="88">
        <v>45893</v>
      </c>
      <c r="G747" s="88" t="str" cm="1">
        <f t="array" ref="G7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AND(F747&gt;= DATE(2026,1,1), F747&lt;= DATE(2028, 12, 31), J747&gt;50000), "Pendente e Caro", AND(F747&gt;= DATE(2026,1,1), F747&lt;= DATE(2028, 12, 31), J747&lt;=50000), "Pendente", F747&gt;= DATE(2029,1,1), "Não prioeitário")</f>
        <v>Urgente</v>
      </c>
      <c r="H747" s="89">
        <f>YEAR(Tabela1[[#This Row],[Data de Validade]])</f>
        <v>2025</v>
      </c>
      <c r="I747" s="89">
        <f>MONTH(Tabela1[[#This Row],[Data de Validade]])</f>
        <v>8</v>
      </c>
      <c r="J747" s="101">
        <v>35876</v>
      </c>
      <c r="K747" s="87" t="s">
        <v>9</v>
      </c>
      <c r="L747" s="108"/>
      <c r="M747" s="108"/>
      <c r="N747" s="108" t="str">
        <v>P176P323</v>
      </c>
      <c r="O747" s="108">
        <f t="shared" si="13"/>
        <v>1</v>
      </c>
      <c r="P747" s="108"/>
      <c r="Q747"/>
    </row>
    <row r="748" spans="1:17" x14ac:dyDescent="0.25">
      <c r="A748" s="89" t="s">
        <v>4756</v>
      </c>
      <c r="B748" s="87" t="s">
        <v>4757</v>
      </c>
      <c r="C748" s="87" t="s">
        <v>15</v>
      </c>
      <c r="D748" s="87" t="str">
        <f>VLOOKUP(Tabela1[[#This Row],[Origem]], 'Perguntas 1 a 24'!$J$28:$K$34, 2, 0)</f>
        <v>Sudeste</v>
      </c>
      <c r="E748" s="87" t="str">
        <f>Tabela1[[#This Row],[Descrição]]&amp;"-"&amp;Tabela1[[#This Row],[Código]]&amp;"/"&amp;Tabela1[[#This Row],[Origem]]</f>
        <v>Pelecotopu-P381P959/ES</v>
      </c>
      <c r="F748" s="88">
        <v>45894</v>
      </c>
      <c r="G748" s="88" t="str" cm="1">
        <f t="array" ref="G7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AND(F748&gt;= DATE(2026,1,1), F748&lt;= DATE(2028, 12, 31), J748&gt;50000), "Pendente e Caro", AND(F748&gt;= DATE(2026,1,1), F748&lt;= DATE(2028, 12, 31), J748&lt;=50000), "Pendente", F748&gt;= DATE(2029,1,1), "Não prioeitário")</f>
        <v>Urgente e Caro</v>
      </c>
      <c r="H748" s="89">
        <f>YEAR(Tabela1[[#This Row],[Data de Validade]])</f>
        <v>2025</v>
      </c>
      <c r="I748" s="89">
        <f>MONTH(Tabela1[[#This Row],[Data de Validade]])</f>
        <v>8</v>
      </c>
      <c r="J748" s="101">
        <v>104085</v>
      </c>
      <c r="K748" s="87" t="s">
        <v>7</v>
      </c>
      <c r="L748" s="108"/>
      <c r="M748" s="108"/>
      <c r="N748" s="108" t="str">
        <v>P381P959</v>
      </c>
      <c r="O748" s="108">
        <f t="shared" si="13"/>
        <v>1</v>
      </c>
      <c r="P748" s="108"/>
      <c r="Q748"/>
    </row>
    <row r="749" spans="1:17" x14ac:dyDescent="0.25">
      <c r="A749" s="89" t="s">
        <v>6304</v>
      </c>
      <c r="B749" s="87" t="s">
        <v>6305</v>
      </c>
      <c r="C749" s="87" t="s">
        <v>10</v>
      </c>
      <c r="D749" s="87" t="str">
        <f>VLOOKUP(Tabela1[[#This Row],[Origem]], 'Perguntas 1 a 24'!$J$28:$K$34, 2, 0)</f>
        <v>Centro-Oeste</v>
      </c>
      <c r="E749" s="87" t="str">
        <f>Tabela1[[#This Row],[Descrição]]&amp;"-"&amp;Tabela1[[#This Row],[Código]]&amp;"/"&amp;Tabela1[[#This Row],[Origem]]</f>
        <v>Mocumi-P516P737/GO</v>
      </c>
      <c r="F749" s="88">
        <v>45894</v>
      </c>
      <c r="G749" s="88" t="str" cm="1">
        <f t="array" ref="G7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AND(F749&gt;= DATE(2026,1,1), F749&lt;= DATE(2028, 12, 31), J749&gt;50000), "Pendente e Caro", AND(F749&gt;= DATE(2026,1,1), F749&lt;= DATE(2028, 12, 31), J749&lt;=50000), "Pendente", F749&gt;= DATE(2029,1,1), "Não prioeitário")</f>
        <v>Urgente</v>
      </c>
      <c r="H749" s="89">
        <f>YEAR(Tabela1[[#This Row],[Data de Validade]])</f>
        <v>2025</v>
      </c>
      <c r="I749" s="89">
        <f>MONTH(Tabela1[[#This Row],[Data de Validade]])</f>
        <v>8</v>
      </c>
      <c r="J749" s="101">
        <v>27420</v>
      </c>
      <c r="K749" s="87" t="s">
        <v>7</v>
      </c>
      <c r="L749" s="108"/>
      <c r="M749" s="108"/>
      <c r="N749" s="108" t="str">
        <v>P516P737</v>
      </c>
      <c r="O749" s="108">
        <f t="shared" si="13"/>
        <v>1</v>
      </c>
      <c r="P749" s="108"/>
      <c r="Q749"/>
    </row>
    <row r="750" spans="1:17" x14ac:dyDescent="0.25">
      <c r="A750" s="89" t="s">
        <v>7052</v>
      </c>
      <c r="B750" s="87" t="s">
        <v>7053</v>
      </c>
      <c r="C750" s="87" t="s">
        <v>8</v>
      </c>
      <c r="D750" s="87" t="str">
        <f>VLOOKUP(Tabela1[[#This Row],[Origem]], 'Perguntas 1 a 24'!$J$28:$K$34, 2, 0)</f>
        <v>Nordeste</v>
      </c>
      <c r="E750" s="87" t="str">
        <f>Tabela1[[#This Row],[Descrição]]&amp;"-"&amp;Tabela1[[#This Row],[Código]]&amp;"/"&amp;Tabela1[[#This Row],[Origem]]</f>
        <v>Codepedu-P461H735/AL</v>
      </c>
      <c r="F750" s="88">
        <v>45895</v>
      </c>
      <c r="G750" s="88" t="str" cm="1">
        <f t="array" ref="G7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AND(F750&gt;= DATE(2026,1,1), F750&lt;= DATE(2028, 12, 31), J750&gt;50000), "Pendente e Caro", AND(F750&gt;= DATE(2026,1,1), F750&lt;= DATE(2028, 12, 31), J750&lt;=50000), "Pendente", F750&gt;= DATE(2029,1,1), "Não prioeitário")</f>
        <v>Urgente e Caro</v>
      </c>
      <c r="H750" s="89">
        <f>YEAR(Tabela1[[#This Row],[Data de Validade]])</f>
        <v>2025</v>
      </c>
      <c r="I750" s="89">
        <f>MONTH(Tabela1[[#This Row],[Data de Validade]])</f>
        <v>8</v>
      </c>
      <c r="J750" s="101">
        <v>115493</v>
      </c>
      <c r="K750" s="87" t="s">
        <v>11</v>
      </c>
      <c r="L750" s="108"/>
      <c r="M750" s="108"/>
      <c r="N750" s="108" t="str">
        <v>P461H735</v>
      </c>
      <c r="O750" s="108">
        <f t="shared" si="13"/>
        <v>1</v>
      </c>
      <c r="P750" s="108"/>
      <c r="Q750"/>
    </row>
    <row r="751" spans="1:17" x14ac:dyDescent="0.25">
      <c r="A751" s="89" t="s">
        <v>10139</v>
      </c>
      <c r="B751" s="87" t="s">
        <v>10140</v>
      </c>
      <c r="C751" s="87" t="s">
        <v>8</v>
      </c>
      <c r="D751" s="87" t="str">
        <f>VLOOKUP(Tabela1[[#This Row],[Origem]], 'Perguntas 1 a 24'!$J$28:$K$34, 2, 0)</f>
        <v>Nordeste</v>
      </c>
      <c r="E751" s="87" t="str">
        <f>Tabela1[[#This Row],[Descrição]]&amp;"-"&amp;Tabela1[[#This Row],[Código]]&amp;"/"&amp;Tabela1[[#This Row],[Origem]]</f>
        <v>Cafepoca-H348H171/AL</v>
      </c>
      <c r="F751" s="88">
        <v>45895</v>
      </c>
      <c r="G751" s="88" t="str" cm="1">
        <f t="array" ref="G7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AND(F751&gt;= DATE(2026,1,1), F751&lt;= DATE(2028, 12, 31), J751&gt;50000), "Pendente e Caro", AND(F751&gt;= DATE(2026,1,1), F751&lt;= DATE(2028, 12, 31), J751&lt;=50000), "Pendente", F751&gt;= DATE(2029,1,1), "Não prioeitário")</f>
        <v>Urgente e Caro</v>
      </c>
      <c r="H751" s="89">
        <f>YEAR(Tabela1[[#This Row],[Data de Validade]])</f>
        <v>2025</v>
      </c>
      <c r="I751" s="89">
        <f>MONTH(Tabela1[[#This Row],[Data de Validade]])</f>
        <v>8</v>
      </c>
      <c r="J751" s="101">
        <v>105876</v>
      </c>
      <c r="K751" s="87" t="s">
        <v>9</v>
      </c>
      <c r="L751" s="108"/>
      <c r="M751" s="108"/>
      <c r="N751" s="108" t="str">
        <v>H348H171</v>
      </c>
      <c r="O751" s="108">
        <f t="shared" si="13"/>
        <v>1</v>
      </c>
      <c r="P751" s="108"/>
      <c r="Q751"/>
    </row>
    <row r="752" spans="1:17" x14ac:dyDescent="0.25">
      <c r="A752" s="89" t="s">
        <v>9151</v>
      </c>
      <c r="B752" s="87" t="s">
        <v>9152</v>
      </c>
      <c r="C752" s="87" t="s">
        <v>6</v>
      </c>
      <c r="D752" s="87" t="str">
        <f>VLOOKUP(Tabela1[[#This Row],[Origem]], 'Perguntas 1 a 24'!$J$28:$K$34, 2, 0)</f>
        <v>Nordeste</v>
      </c>
      <c r="E752" s="87" t="str">
        <f>Tabela1[[#This Row],[Descrição]]&amp;"-"&amp;Tabela1[[#This Row],[Código]]&amp;"/"&amp;Tabela1[[#This Row],[Origem]]</f>
        <v>Pufoca-P293H363/MA</v>
      </c>
      <c r="F752" s="88">
        <v>45895</v>
      </c>
      <c r="G752" s="88" t="str" cm="1">
        <f t="array" ref="G7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AND(F752&gt;= DATE(2026,1,1), F752&lt;= DATE(2028, 12, 31), J752&gt;50000), "Pendente e Caro", AND(F752&gt;= DATE(2026,1,1), F752&lt;= DATE(2028, 12, 31), J752&lt;=50000), "Pendente", F752&gt;= DATE(2029,1,1), "Não prioeitário")</f>
        <v>Urgente e Caro</v>
      </c>
      <c r="H752" s="89">
        <f>YEAR(Tabela1[[#This Row],[Data de Validade]])</f>
        <v>2025</v>
      </c>
      <c r="I752" s="89">
        <f>MONTH(Tabela1[[#This Row],[Data de Validade]])</f>
        <v>8</v>
      </c>
      <c r="J752" s="101">
        <v>52646</v>
      </c>
      <c r="K752" s="87" t="s">
        <v>11</v>
      </c>
      <c r="L752" s="108"/>
      <c r="M752" s="108"/>
      <c r="N752" s="108" t="str">
        <v>P293H363</v>
      </c>
      <c r="O752" s="108">
        <f t="shared" si="13"/>
        <v>1</v>
      </c>
      <c r="P752" s="108"/>
      <c r="Q752"/>
    </row>
    <row r="753" spans="1:17" x14ac:dyDescent="0.25">
      <c r="A753" s="89" t="s">
        <v>9739</v>
      </c>
      <c r="B753" s="87" t="s">
        <v>9740</v>
      </c>
      <c r="C753" s="87" t="s">
        <v>12</v>
      </c>
      <c r="D753" s="87" t="str">
        <f>VLOOKUP(Tabela1[[#This Row],[Origem]], 'Perguntas 1 a 24'!$J$28:$K$34, 2, 0)</f>
        <v>Sudeste</v>
      </c>
      <c r="E753" s="87" t="str">
        <f>Tabela1[[#This Row],[Descrição]]&amp;"-"&amp;Tabela1[[#This Row],[Código]]&amp;"/"&amp;Tabela1[[#This Row],[Origem]]</f>
        <v>Tevulege-H433P386/RJ</v>
      </c>
      <c r="F753" s="88">
        <v>45896</v>
      </c>
      <c r="G753" s="88" t="str" cm="1">
        <f t="array" ref="G7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AND(F753&gt;= DATE(2026,1,1), F753&lt;= DATE(2028, 12, 31), J753&gt;50000), "Pendente e Caro", AND(F753&gt;= DATE(2026,1,1), F753&lt;= DATE(2028, 12, 31), J753&lt;=50000), "Pendente", F753&gt;= DATE(2029,1,1), "Não prioeitário")</f>
        <v>Urgente e Caro</v>
      </c>
      <c r="H753" s="89">
        <f>YEAR(Tabela1[[#This Row],[Data de Validade]])</f>
        <v>2025</v>
      </c>
      <c r="I753" s="89">
        <f>MONTH(Tabela1[[#This Row],[Data de Validade]])</f>
        <v>8</v>
      </c>
      <c r="J753" s="101">
        <v>89997</v>
      </c>
      <c r="K753" s="87" t="s">
        <v>9</v>
      </c>
      <c r="L753" s="108"/>
      <c r="M753" s="108"/>
      <c r="N753" s="108" t="str">
        <v>H433P386</v>
      </c>
      <c r="O753" s="108">
        <f t="shared" si="13"/>
        <v>1</v>
      </c>
      <c r="P753" s="108"/>
      <c r="Q753"/>
    </row>
    <row r="754" spans="1:17" x14ac:dyDescent="0.25">
      <c r="A754" s="89" t="s">
        <v>7162</v>
      </c>
      <c r="B754" s="87" t="s">
        <v>7163</v>
      </c>
      <c r="C754" s="87" t="s">
        <v>15</v>
      </c>
      <c r="D754" s="87" t="str">
        <f>VLOOKUP(Tabela1[[#This Row],[Origem]], 'Perguntas 1 a 24'!$J$28:$K$34, 2, 0)</f>
        <v>Sudeste</v>
      </c>
      <c r="E754" s="87" t="str">
        <f>Tabela1[[#This Row],[Descrição]]&amp;"-"&amp;Tabela1[[#This Row],[Código]]&amp;"/"&amp;Tabela1[[#This Row],[Origem]]</f>
        <v>Fodelorolu-H854P534/ES</v>
      </c>
      <c r="F754" s="88">
        <v>45897</v>
      </c>
      <c r="G754" s="88" t="str" cm="1">
        <f t="array" ref="G7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AND(F754&gt;= DATE(2026,1,1), F754&lt;= DATE(2028, 12, 31), J754&gt;50000), "Pendente e Caro", AND(F754&gt;= DATE(2026,1,1), F754&lt;= DATE(2028, 12, 31), J754&lt;=50000), "Pendente", F754&gt;= DATE(2029,1,1), "Não prioeitário")</f>
        <v>Urgente e Caro</v>
      </c>
      <c r="H754" s="89">
        <f>YEAR(Tabela1[[#This Row],[Data de Validade]])</f>
        <v>2025</v>
      </c>
      <c r="I754" s="89">
        <f>MONTH(Tabela1[[#This Row],[Data de Validade]])</f>
        <v>8</v>
      </c>
      <c r="J754" s="101">
        <v>70746</v>
      </c>
      <c r="K754" s="87" t="s">
        <v>7</v>
      </c>
      <c r="L754" s="108"/>
      <c r="M754" s="108"/>
      <c r="N754" s="108" t="str">
        <v>H854P534</v>
      </c>
      <c r="O754" s="108">
        <f t="shared" si="13"/>
        <v>1</v>
      </c>
      <c r="P754" s="108"/>
      <c r="Q754"/>
    </row>
    <row r="755" spans="1:17" x14ac:dyDescent="0.25">
      <c r="A755" s="89" t="s">
        <v>4632</v>
      </c>
      <c r="B755" s="87" t="s">
        <v>4633</v>
      </c>
      <c r="C755" s="87" t="s">
        <v>13</v>
      </c>
      <c r="D755" s="87" t="str">
        <f>VLOOKUP(Tabela1[[#This Row],[Origem]], 'Perguntas 1 a 24'!$J$28:$K$34, 2, 0)</f>
        <v>Sudeste</v>
      </c>
      <c r="E755" s="87" t="str">
        <f>Tabela1[[#This Row],[Descrição]]&amp;"-"&amp;Tabela1[[#This Row],[Código]]&amp;"/"&amp;Tabela1[[#This Row],[Origem]]</f>
        <v>Rodotilu-P755P245/SP</v>
      </c>
      <c r="F755" s="88">
        <v>45897</v>
      </c>
      <c r="G755" s="88" t="str" cm="1">
        <f t="array" ref="G7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AND(F755&gt;= DATE(2026,1,1), F755&lt;= DATE(2028, 12, 31), J755&gt;50000), "Pendente e Caro", AND(F755&gt;= DATE(2026,1,1), F755&lt;= DATE(2028, 12, 31), J755&lt;=50000), "Pendente", F755&gt;= DATE(2029,1,1), "Não prioeitário")</f>
        <v>Urgente</v>
      </c>
      <c r="H755" s="89">
        <f>YEAR(Tabela1[[#This Row],[Data de Validade]])</f>
        <v>2025</v>
      </c>
      <c r="I755" s="89">
        <f>MONTH(Tabela1[[#This Row],[Data de Validade]])</f>
        <v>8</v>
      </c>
      <c r="J755" s="101">
        <v>23451</v>
      </c>
      <c r="K755" s="87" t="s">
        <v>11</v>
      </c>
      <c r="L755" s="108"/>
      <c r="M755" s="108"/>
      <c r="N755" s="108" t="str">
        <v>P755P245</v>
      </c>
      <c r="O755" s="108">
        <f t="shared" si="13"/>
        <v>1</v>
      </c>
      <c r="P755" s="108"/>
      <c r="Q755"/>
    </row>
    <row r="756" spans="1:17" x14ac:dyDescent="0.25">
      <c r="A756" s="89" t="s">
        <v>11062</v>
      </c>
      <c r="B756" s="87" t="s">
        <v>11063</v>
      </c>
      <c r="C756" s="87" t="s">
        <v>10</v>
      </c>
      <c r="D756" s="87" t="str">
        <f>VLOOKUP(Tabela1[[#This Row],[Origem]], 'Perguntas 1 a 24'!$J$28:$K$34, 2, 0)</f>
        <v>Centro-Oeste</v>
      </c>
      <c r="E756" s="87" t="str">
        <f>Tabela1[[#This Row],[Descrição]]&amp;"-"&amp;Tabela1[[#This Row],[Código]]&amp;"/"&amp;Tabela1[[#This Row],[Origem]]</f>
        <v>Marutu-P543H694/GO</v>
      </c>
      <c r="F756" s="88">
        <v>45898</v>
      </c>
      <c r="G756" s="88" t="str" cm="1">
        <f t="array" ref="G7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AND(F756&gt;= DATE(2026,1,1), F756&lt;= DATE(2028, 12, 31), J756&gt;50000), "Pendente e Caro", AND(F756&gt;= DATE(2026,1,1), F756&lt;= DATE(2028, 12, 31), J756&lt;=50000), "Pendente", F756&gt;= DATE(2029,1,1), "Não prioeitário")</f>
        <v>Urgente e Caro</v>
      </c>
      <c r="H756" s="89">
        <f>YEAR(Tabela1[[#This Row],[Data de Validade]])</f>
        <v>2025</v>
      </c>
      <c r="I756" s="89">
        <f>MONTH(Tabela1[[#This Row],[Data de Validade]])</f>
        <v>8</v>
      </c>
      <c r="J756" s="101">
        <v>113147</v>
      </c>
      <c r="K756" s="87" t="s">
        <v>9</v>
      </c>
      <c r="L756" s="108"/>
      <c r="M756" s="108"/>
      <c r="N756" s="108" t="str">
        <v>P543H694</v>
      </c>
      <c r="O756" s="108">
        <f t="shared" si="13"/>
        <v>1</v>
      </c>
      <c r="P756" s="108"/>
      <c r="Q756"/>
    </row>
    <row r="757" spans="1:17" x14ac:dyDescent="0.25">
      <c r="A757" s="89" t="s">
        <v>5508</v>
      </c>
      <c r="B757" s="87" t="s">
        <v>5509</v>
      </c>
      <c r="C757" s="87" t="s">
        <v>8</v>
      </c>
      <c r="D757" s="87" t="str">
        <f>VLOOKUP(Tabela1[[#This Row],[Origem]], 'Perguntas 1 a 24'!$J$28:$K$34, 2, 0)</f>
        <v>Nordeste</v>
      </c>
      <c r="E757" s="87" t="str">
        <f>Tabela1[[#This Row],[Descrição]]&amp;"-"&amp;Tabela1[[#This Row],[Código]]&amp;"/"&amp;Tabela1[[#This Row],[Origem]]</f>
        <v>Datotupume-P385P169/AL</v>
      </c>
      <c r="F757" s="88">
        <v>45898</v>
      </c>
      <c r="G757" s="88" t="str" cm="1">
        <f t="array" ref="G7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AND(F757&gt;= DATE(2026,1,1), F757&lt;= DATE(2028, 12, 31), J757&gt;50000), "Pendente e Caro", AND(F757&gt;= DATE(2026,1,1), F757&lt;= DATE(2028, 12, 31), J757&lt;=50000), "Pendente", F757&gt;= DATE(2029,1,1), "Não prioeitário")</f>
        <v>Urgente</v>
      </c>
      <c r="H757" s="89">
        <f>YEAR(Tabela1[[#This Row],[Data de Validade]])</f>
        <v>2025</v>
      </c>
      <c r="I757" s="89">
        <f>MONTH(Tabela1[[#This Row],[Data de Validade]])</f>
        <v>8</v>
      </c>
      <c r="J757" s="101">
        <v>21570</v>
      </c>
      <c r="K757" s="87" t="s">
        <v>11</v>
      </c>
      <c r="L757" s="108"/>
      <c r="M757" s="108"/>
      <c r="N757" s="108" t="str">
        <v>P385P169</v>
      </c>
      <c r="O757" s="108">
        <f t="shared" si="13"/>
        <v>1</v>
      </c>
      <c r="P757" s="108"/>
      <c r="Q757"/>
    </row>
    <row r="758" spans="1:17" x14ac:dyDescent="0.25">
      <c r="A758" s="89" t="s">
        <v>9163</v>
      </c>
      <c r="B758" s="87" t="s">
        <v>9164</v>
      </c>
      <c r="C758" s="87" t="s">
        <v>16</v>
      </c>
      <c r="D758" s="87" t="str">
        <f>VLOOKUP(Tabela1[[#This Row],[Origem]], 'Perguntas 1 a 24'!$J$28:$K$34, 2, 0)</f>
        <v>Sudeste</v>
      </c>
      <c r="E758" s="87" t="str">
        <f>Tabela1[[#This Row],[Descrição]]&amp;"-"&amp;Tabela1[[#This Row],[Código]]&amp;"/"&amp;Tabela1[[#This Row],[Origem]]</f>
        <v>Vunutopu-P582H364/MG</v>
      </c>
      <c r="F758" s="88">
        <v>45899</v>
      </c>
      <c r="G758" s="88" t="str" cm="1">
        <f t="array" ref="G7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AND(F758&gt;= DATE(2026,1,1), F758&lt;= DATE(2028, 12, 31), J758&gt;50000), "Pendente e Caro", AND(F758&gt;= DATE(2026,1,1), F758&lt;= DATE(2028, 12, 31), J758&lt;=50000), "Pendente", F758&gt;= DATE(2029,1,1), "Não prioeitário")</f>
        <v>Urgente e Caro</v>
      </c>
      <c r="H758" s="89">
        <f>YEAR(Tabela1[[#This Row],[Data de Validade]])</f>
        <v>2025</v>
      </c>
      <c r="I758" s="89">
        <f>MONTH(Tabela1[[#This Row],[Data de Validade]])</f>
        <v>8</v>
      </c>
      <c r="J758" s="101">
        <v>116660</v>
      </c>
      <c r="K758" s="87" t="s">
        <v>7</v>
      </c>
      <c r="L758" s="108"/>
      <c r="M758" s="108"/>
      <c r="N758" s="108" t="str">
        <v>P582H364</v>
      </c>
      <c r="O758" s="108">
        <f t="shared" si="13"/>
        <v>1</v>
      </c>
      <c r="P758" s="108"/>
      <c r="Q758"/>
    </row>
    <row r="759" spans="1:17" x14ac:dyDescent="0.25">
      <c r="A759" s="89" t="s">
        <v>11048</v>
      </c>
      <c r="B759" s="87" t="s">
        <v>11049</v>
      </c>
      <c r="C759" s="87" t="s">
        <v>15</v>
      </c>
      <c r="D759" s="87" t="str">
        <f>VLOOKUP(Tabela1[[#This Row],[Origem]], 'Perguntas 1 a 24'!$J$28:$K$34, 2, 0)</f>
        <v>Sudeste</v>
      </c>
      <c r="E759" s="87" t="str">
        <f>Tabela1[[#This Row],[Descrição]]&amp;"-"&amp;Tabela1[[#This Row],[Código]]&amp;"/"&amp;Tabela1[[#This Row],[Origem]]</f>
        <v>Fetone-P979H868/ES</v>
      </c>
      <c r="F759" s="88">
        <v>45899</v>
      </c>
      <c r="G759" s="88" t="str" cm="1">
        <f t="array" ref="G7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AND(F759&gt;= DATE(2026,1,1), F759&lt;= DATE(2028, 12, 31), J759&gt;50000), "Pendente e Caro", AND(F759&gt;= DATE(2026,1,1), F759&lt;= DATE(2028, 12, 31), J759&lt;=50000), "Pendente", F759&gt;= DATE(2029,1,1), "Não prioeitário")</f>
        <v>Urgente e Caro</v>
      </c>
      <c r="H759" s="89">
        <f>YEAR(Tabela1[[#This Row],[Data de Validade]])</f>
        <v>2025</v>
      </c>
      <c r="I759" s="89">
        <f>MONTH(Tabela1[[#This Row],[Data de Validade]])</f>
        <v>8</v>
      </c>
      <c r="J759" s="101">
        <v>60435</v>
      </c>
      <c r="K759" s="87" t="s">
        <v>11</v>
      </c>
      <c r="L759" s="108"/>
      <c r="M759" s="108"/>
      <c r="N759" s="108" t="str">
        <v>P979H868</v>
      </c>
      <c r="O759" s="108">
        <f t="shared" si="13"/>
        <v>1</v>
      </c>
      <c r="P759" s="108"/>
      <c r="Q759"/>
    </row>
    <row r="760" spans="1:17" x14ac:dyDescent="0.25">
      <c r="A760" s="89" t="s">
        <v>7718</v>
      </c>
      <c r="B760" s="87" t="s">
        <v>7719</v>
      </c>
      <c r="C760" s="87" t="s">
        <v>16</v>
      </c>
      <c r="D760" s="87" t="str">
        <f>VLOOKUP(Tabela1[[#This Row],[Origem]], 'Perguntas 1 a 24'!$J$28:$K$34, 2, 0)</f>
        <v>Sudeste</v>
      </c>
      <c r="E760" s="87" t="str">
        <f>Tabela1[[#This Row],[Descrição]]&amp;"-"&amp;Tabela1[[#This Row],[Código]]&amp;"/"&amp;Tabela1[[#This Row],[Origem]]</f>
        <v>Funurape-P387H919/MG</v>
      </c>
      <c r="F760" s="88">
        <v>45902</v>
      </c>
      <c r="G760" s="88" t="str" cm="1">
        <f t="array" ref="G7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AND(F760&gt;= DATE(2026,1,1), F760&lt;= DATE(2028, 12, 31), J760&gt;50000), "Pendente e Caro", AND(F760&gt;= DATE(2026,1,1), F760&lt;= DATE(2028, 12, 31), J760&lt;=50000), "Pendente", F760&gt;= DATE(2029,1,1), "Não prioeitário")</f>
        <v>Urgente e Caro</v>
      </c>
      <c r="H760" s="89">
        <f>YEAR(Tabela1[[#This Row],[Data de Validade]])</f>
        <v>2025</v>
      </c>
      <c r="I760" s="89">
        <f>MONTH(Tabela1[[#This Row],[Data de Validade]])</f>
        <v>9</v>
      </c>
      <c r="J760" s="101">
        <v>97746</v>
      </c>
      <c r="K760" s="87" t="s">
        <v>7</v>
      </c>
      <c r="L760" s="108"/>
      <c r="M760" s="108"/>
      <c r="N760" s="108" t="str">
        <v>P387H919</v>
      </c>
      <c r="O760" s="108">
        <f t="shared" si="13"/>
        <v>1</v>
      </c>
      <c r="P760" s="108"/>
      <c r="Q760"/>
    </row>
    <row r="761" spans="1:17" x14ac:dyDescent="0.25">
      <c r="A761" s="89" t="s">
        <v>4397</v>
      </c>
      <c r="B761" s="87" t="s">
        <v>4398</v>
      </c>
      <c r="C761" s="87" t="s">
        <v>10</v>
      </c>
      <c r="D761" s="87" t="str">
        <f>VLOOKUP(Tabela1[[#This Row],[Origem]], 'Perguntas 1 a 24'!$J$28:$K$34, 2, 0)</f>
        <v>Centro-Oeste</v>
      </c>
      <c r="E761" s="87" t="str">
        <f>Tabela1[[#This Row],[Descrição]]&amp;"-"&amp;Tabela1[[#This Row],[Código]]&amp;"/"&amp;Tabela1[[#This Row],[Origem]]</f>
        <v>Nutoluteca-H653H784/GO</v>
      </c>
      <c r="F761" s="88">
        <v>45902</v>
      </c>
      <c r="G761" s="88" t="str" cm="1">
        <f t="array" ref="G7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AND(F761&gt;= DATE(2026,1,1), F761&lt;= DATE(2028, 12, 31), J761&gt;50000), "Pendente e Caro", AND(F761&gt;= DATE(2026,1,1), F761&lt;= DATE(2028, 12, 31), J761&lt;=50000), "Pendente", F761&gt;= DATE(2029,1,1), "Não prioeitário")</f>
        <v>Urgente e Caro</v>
      </c>
      <c r="H761" s="89">
        <f>YEAR(Tabela1[[#This Row],[Data de Validade]])</f>
        <v>2025</v>
      </c>
      <c r="I761" s="89">
        <f>MONTH(Tabela1[[#This Row],[Data de Validade]])</f>
        <v>9</v>
      </c>
      <c r="J761" s="101">
        <v>83912</v>
      </c>
      <c r="K761" s="87" t="s">
        <v>14</v>
      </c>
      <c r="L761" s="108"/>
      <c r="M761" s="108"/>
      <c r="N761" s="108" t="str">
        <v>H653H784</v>
      </c>
      <c r="O761" s="108">
        <f t="shared" si="13"/>
        <v>1</v>
      </c>
      <c r="P761" s="108"/>
      <c r="Q761"/>
    </row>
    <row r="762" spans="1:17" x14ac:dyDescent="0.25">
      <c r="A762" s="89" t="s">
        <v>3697</v>
      </c>
      <c r="B762" s="87" t="s">
        <v>3698</v>
      </c>
      <c r="C762" s="87" t="s">
        <v>6</v>
      </c>
      <c r="D762" s="87" t="str">
        <f>VLOOKUP(Tabela1[[#This Row],[Origem]], 'Perguntas 1 a 24'!$J$28:$K$34, 2, 0)</f>
        <v>Nordeste</v>
      </c>
      <c r="E762" s="87" t="str">
        <f>Tabela1[[#This Row],[Descrição]]&amp;"-"&amp;Tabela1[[#This Row],[Código]]&amp;"/"&amp;Tabela1[[#This Row],[Origem]]</f>
        <v>Renapanu-P774H536/MA</v>
      </c>
      <c r="F762" s="88">
        <v>45902</v>
      </c>
      <c r="G762" s="88" t="str" cm="1">
        <f t="array" ref="G7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AND(F762&gt;= DATE(2026,1,1), F762&lt;= DATE(2028, 12, 31), J762&gt;50000), "Pendente e Caro", AND(F762&gt;= DATE(2026,1,1), F762&lt;= DATE(2028, 12, 31), J762&lt;=50000), "Pendente", F762&gt;= DATE(2029,1,1), "Não prioeitário")</f>
        <v>Urgente e Caro</v>
      </c>
      <c r="H762" s="89">
        <f>YEAR(Tabela1[[#This Row],[Data de Validade]])</f>
        <v>2025</v>
      </c>
      <c r="I762" s="89">
        <f>MONTH(Tabela1[[#This Row],[Data de Validade]])</f>
        <v>9</v>
      </c>
      <c r="J762" s="101">
        <v>74912</v>
      </c>
      <c r="K762" s="87" t="s">
        <v>11</v>
      </c>
      <c r="L762" s="108"/>
      <c r="M762" s="108"/>
      <c r="N762" s="108" t="str">
        <v>P774H536</v>
      </c>
      <c r="O762" s="108">
        <f t="shared" si="13"/>
        <v>1</v>
      </c>
      <c r="P762" s="108"/>
      <c r="Q762"/>
    </row>
    <row r="763" spans="1:17" x14ac:dyDescent="0.25">
      <c r="A763" s="89" t="s">
        <v>5880</v>
      </c>
      <c r="B763" s="87" t="s">
        <v>5881</v>
      </c>
      <c r="C763" s="87" t="s">
        <v>15</v>
      </c>
      <c r="D763" s="87" t="str">
        <f>VLOOKUP(Tabela1[[#This Row],[Origem]], 'Perguntas 1 a 24'!$J$28:$K$34, 2, 0)</f>
        <v>Sudeste</v>
      </c>
      <c r="E763" s="87" t="str">
        <f>Tabela1[[#This Row],[Descrição]]&amp;"-"&amp;Tabela1[[#This Row],[Código]]&amp;"/"&amp;Tabela1[[#This Row],[Origem]]</f>
        <v>Tarape-H448H734/ES</v>
      </c>
      <c r="F763" s="88">
        <v>45902</v>
      </c>
      <c r="G763" s="88" t="str" cm="1">
        <f t="array" ref="G7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AND(F763&gt;= DATE(2026,1,1), F763&lt;= DATE(2028, 12, 31), J763&gt;50000), "Pendente e Caro", AND(F763&gt;= DATE(2026,1,1), F763&lt;= DATE(2028, 12, 31), J763&lt;=50000), "Pendente", F763&gt;= DATE(2029,1,1), "Não prioeitário")</f>
        <v>Urgente</v>
      </c>
      <c r="H763" s="89">
        <f>YEAR(Tabela1[[#This Row],[Data de Validade]])</f>
        <v>2025</v>
      </c>
      <c r="I763" s="89">
        <f>MONTH(Tabela1[[#This Row],[Data de Validade]])</f>
        <v>9</v>
      </c>
      <c r="J763" s="101">
        <v>31802</v>
      </c>
      <c r="K763" s="87" t="s">
        <v>11</v>
      </c>
      <c r="L763" s="108"/>
      <c r="M763" s="108"/>
      <c r="N763" s="108" t="str">
        <v>H448H734</v>
      </c>
      <c r="O763" s="108">
        <f t="shared" si="13"/>
        <v>1</v>
      </c>
      <c r="P763" s="108"/>
      <c r="Q763"/>
    </row>
    <row r="764" spans="1:17" x14ac:dyDescent="0.25">
      <c r="A764" s="89" t="s">
        <v>7768</v>
      </c>
      <c r="B764" s="87" t="s">
        <v>7769</v>
      </c>
      <c r="C764" s="87" t="s">
        <v>6</v>
      </c>
      <c r="D764" s="87" t="str">
        <f>VLOOKUP(Tabela1[[#This Row],[Origem]], 'Perguntas 1 a 24'!$J$28:$K$34, 2, 0)</f>
        <v>Nordeste</v>
      </c>
      <c r="E764" s="87" t="str">
        <f>Tabela1[[#This Row],[Descrição]]&amp;"-"&amp;Tabela1[[#This Row],[Código]]&amp;"/"&amp;Tabela1[[#This Row],[Origem]]</f>
        <v>Poputo-P851H117/MA</v>
      </c>
      <c r="F764" s="88">
        <v>45902</v>
      </c>
      <c r="G764" s="88" t="str" cm="1">
        <f t="array" ref="G7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AND(F764&gt;= DATE(2026,1,1), F764&lt;= DATE(2028, 12, 31), J764&gt;50000), "Pendente e Caro", AND(F764&gt;= DATE(2026,1,1), F764&lt;= DATE(2028, 12, 31), J764&lt;=50000), "Pendente", F764&gt;= DATE(2029,1,1), "Não prioeitário")</f>
        <v>Urgente</v>
      </c>
      <c r="H764" s="89">
        <f>YEAR(Tabela1[[#This Row],[Data de Validade]])</f>
        <v>2025</v>
      </c>
      <c r="I764" s="89">
        <f>MONTH(Tabela1[[#This Row],[Data de Validade]])</f>
        <v>9</v>
      </c>
      <c r="J764" s="101">
        <v>31118</v>
      </c>
      <c r="K764" s="87" t="s">
        <v>14</v>
      </c>
      <c r="L764" s="108"/>
      <c r="M764" s="108"/>
      <c r="N764" s="108" t="str">
        <v>P851H117</v>
      </c>
      <c r="O764" s="108">
        <f t="shared" si="13"/>
        <v>1</v>
      </c>
      <c r="P764" s="108"/>
      <c r="Q764"/>
    </row>
    <row r="765" spans="1:17" x14ac:dyDescent="0.25">
      <c r="A765" s="89" t="s">
        <v>5912</v>
      </c>
      <c r="B765" s="87" t="s">
        <v>5913</v>
      </c>
      <c r="C765" s="87" t="s">
        <v>10</v>
      </c>
      <c r="D765" s="87" t="str">
        <f>VLOOKUP(Tabela1[[#This Row],[Origem]], 'Perguntas 1 a 24'!$J$28:$K$34, 2, 0)</f>
        <v>Centro-Oeste</v>
      </c>
      <c r="E765" s="87" t="str">
        <f>Tabela1[[#This Row],[Descrição]]&amp;"-"&amp;Tabela1[[#This Row],[Código]]&amp;"/"&amp;Tabela1[[#This Row],[Origem]]</f>
        <v>Motonodo-H644P868/GO</v>
      </c>
      <c r="F765" s="88">
        <v>45903</v>
      </c>
      <c r="G765" s="88" t="str" cm="1">
        <f t="array" ref="G7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AND(F765&gt;= DATE(2026,1,1), F765&lt;= DATE(2028, 12, 31), J765&gt;50000), "Pendente e Caro", AND(F765&gt;= DATE(2026,1,1), F765&lt;= DATE(2028, 12, 31), J765&lt;=50000), "Pendente", F765&gt;= DATE(2029,1,1), "Não prioeitário")</f>
        <v>Urgente e Caro</v>
      </c>
      <c r="H765" s="89">
        <f>YEAR(Tabela1[[#This Row],[Data de Validade]])</f>
        <v>2025</v>
      </c>
      <c r="I765" s="89">
        <f>MONTH(Tabela1[[#This Row],[Data de Validade]])</f>
        <v>9</v>
      </c>
      <c r="J765" s="101">
        <v>73024</v>
      </c>
      <c r="K765" s="87" t="s">
        <v>9</v>
      </c>
      <c r="L765" s="108"/>
      <c r="M765" s="108"/>
      <c r="N765" s="108" t="str">
        <v>H644P868</v>
      </c>
      <c r="O765" s="108">
        <f t="shared" si="13"/>
        <v>1</v>
      </c>
      <c r="P765" s="108"/>
      <c r="Q765"/>
    </row>
    <row r="766" spans="1:17" x14ac:dyDescent="0.25">
      <c r="A766" s="89" t="s">
        <v>8667</v>
      </c>
      <c r="B766" s="87" t="s">
        <v>8668</v>
      </c>
      <c r="C766" s="87" t="s">
        <v>13</v>
      </c>
      <c r="D766" s="87" t="str">
        <f>VLOOKUP(Tabela1[[#This Row],[Origem]], 'Perguntas 1 a 24'!$J$28:$K$34, 2, 0)</f>
        <v>Sudeste</v>
      </c>
      <c r="E766" s="87" t="str">
        <f>Tabela1[[#This Row],[Descrição]]&amp;"-"&amp;Tabela1[[#This Row],[Código]]&amp;"/"&amp;Tabela1[[#This Row],[Origem]]</f>
        <v>Vipapo-H823P711/SP</v>
      </c>
      <c r="F766" s="88">
        <v>45903</v>
      </c>
      <c r="G766" s="88" t="str" cm="1">
        <f t="array" ref="G7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AND(F766&gt;= DATE(2026,1,1), F766&lt;= DATE(2028, 12, 31), J766&gt;50000), "Pendente e Caro", AND(F766&gt;= DATE(2026,1,1), F766&lt;= DATE(2028, 12, 31), J766&lt;=50000), "Pendente", F766&gt;= DATE(2029,1,1), "Não prioeitário")</f>
        <v>Urgente</v>
      </c>
      <c r="H766" s="89">
        <f>YEAR(Tabela1[[#This Row],[Data de Validade]])</f>
        <v>2025</v>
      </c>
      <c r="I766" s="89">
        <f>MONTH(Tabela1[[#This Row],[Data de Validade]])</f>
        <v>9</v>
      </c>
      <c r="J766" s="101">
        <v>32464</v>
      </c>
      <c r="K766" s="87" t="s">
        <v>11</v>
      </c>
      <c r="L766" s="108"/>
      <c r="M766" s="108"/>
      <c r="N766" s="108" t="str">
        <v>H823P711</v>
      </c>
      <c r="O766" s="108">
        <f t="shared" si="13"/>
        <v>1</v>
      </c>
      <c r="P766" s="108"/>
      <c r="Q766"/>
    </row>
    <row r="767" spans="1:17" x14ac:dyDescent="0.25">
      <c r="A767" s="89" t="s">
        <v>9399</v>
      </c>
      <c r="B767" s="87" t="s">
        <v>9400</v>
      </c>
      <c r="C767" s="87" t="s">
        <v>12</v>
      </c>
      <c r="D767" s="87" t="str">
        <f>VLOOKUP(Tabela1[[#This Row],[Origem]], 'Perguntas 1 a 24'!$J$28:$K$34, 2, 0)</f>
        <v>Sudeste</v>
      </c>
      <c r="E767" s="87" t="str">
        <f>Tabela1[[#This Row],[Descrição]]&amp;"-"&amp;Tabela1[[#This Row],[Código]]&amp;"/"&amp;Tabela1[[#This Row],[Origem]]</f>
        <v>Vupupu-H894P548/RJ</v>
      </c>
      <c r="F767" s="88">
        <v>45903</v>
      </c>
      <c r="G767" s="88" t="str" cm="1">
        <f t="array" ref="G7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AND(F767&gt;= DATE(2026,1,1), F767&lt;= DATE(2028, 12, 31), J767&gt;50000), "Pendente e Caro", AND(F767&gt;= DATE(2026,1,1), F767&lt;= DATE(2028, 12, 31), J767&lt;=50000), "Pendente", F767&gt;= DATE(2029,1,1), "Não prioeitário")</f>
        <v>Urgente</v>
      </c>
      <c r="H767" s="89">
        <f>YEAR(Tabela1[[#This Row],[Data de Validade]])</f>
        <v>2025</v>
      </c>
      <c r="I767" s="89">
        <f>MONTH(Tabela1[[#This Row],[Data de Validade]])</f>
        <v>9</v>
      </c>
      <c r="J767" s="101">
        <v>31711</v>
      </c>
      <c r="K767" s="87" t="s">
        <v>11</v>
      </c>
      <c r="L767" s="108"/>
      <c r="M767" s="108"/>
      <c r="N767" s="108" t="str">
        <v>H894P548</v>
      </c>
      <c r="O767" s="108">
        <f t="shared" si="13"/>
        <v>1</v>
      </c>
      <c r="P767" s="108"/>
      <c r="Q767"/>
    </row>
    <row r="768" spans="1:17" x14ac:dyDescent="0.25">
      <c r="A768" s="89" t="s">
        <v>10263</v>
      </c>
      <c r="B768" s="87" t="s">
        <v>10264</v>
      </c>
      <c r="C768" s="87" t="s">
        <v>16</v>
      </c>
      <c r="D768" s="87" t="str">
        <f>VLOOKUP(Tabela1[[#This Row],[Origem]], 'Perguntas 1 a 24'!$J$28:$K$34, 2, 0)</f>
        <v>Sudeste</v>
      </c>
      <c r="E768" s="87" t="str">
        <f>Tabela1[[#This Row],[Descrição]]&amp;"-"&amp;Tabela1[[#This Row],[Código]]&amp;"/"&amp;Tabela1[[#This Row],[Origem]]</f>
        <v>Darucope-H786H415/MG</v>
      </c>
      <c r="F768" s="88">
        <v>45904</v>
      </c>
      <c r="G768" s="88" t="str" cm="1">
        <f t="array" ref="G7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AND(F768&gt;= DATE(2026,1,1), F768&lt;= DATE(2028, 12, 31), J768&gt;50000), "Pendente e Caro", AND(F768&gt;= DATE(2026,1,1), F768&lt;= DATE(2028, 12, 31), J768&lt;=50000), "Pendente", F768&gt;= DATE(2029,1,1), "Não prioeitário")</f>
        <v>Urgente e Caro</v>
      </c>
      <c r="H768" s="89">
        <f>YEAR(Tabela1[[#This Row],[Data de Validade]])</f>
        <v>2025</v>
      </c>
      <c r="I768" s="89">
        <f>MONTH(Tabela1[[#This Row],[Data de Validade]])</f>
        <v>9</v>
      </c>
      <c r="J768" s="101">
        <v>113149</v>
      </c>
      <c r="K768" s="87" t="s">
        <v>9</v>
      </c>
      <c r="L768" s="108"/>
      <c r="M768" s="108"/>
      <c r="N768" s="108" t="str">
        <v>H786H415</v>
      </c>
      <c r="O768" s="108">
        <f t="shared" si="13"/>
        <v>1</v>
      </c>
      <c r="P768" s="108"/>
      <c r="Q768"/>
    </row>
    <row r="769" spans="1:17" x14ac:dyDescent="0.25">
      <c r="A769" s="89" t="s">
        <v>5996</v>
      </c>
      <c r="B769" s="87" t="s">
        <v>5997</v>
      </c>
      <c r="C769" s="87" t="s">
        <v>10</v>
      </c>
      <c r="D769" s="87" t="str">
        <f>VLOOKUP(Tabela1[[#This Row],[Origem]], 'Perguntas 1 a 24'!$J$28:$K$34, 2, 0)</f>
        <v>Centro-Oeste</v>
      </c>
      <c r="E769" s="87" t="str">
        <f>Tabela1[[#This Row],[Descrição]]&amp;"-"&amp;Tabela1[[#This Row],[Código]]&amp;"/"&amp;Tabela1[[#This Row],[Origem]]</f>
        <v>Pimerona-H373P693/GO</v>
      </c>
      <c r="F769" s="88">
        <v>45904</v>
      </c>
      <c r="G769" s="88" t="str" cm="1">
        <f t="array" ref="G7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AND(F769&gt;= DATE(2026,1,1), F769&lt;= DATE(2028, 12, 31), J769&gt;50000), "Pendente e Caro", AND(F769&gt;= DATE(2026,1,1), F769&lt;= DATE(2028, 12, 31), J769&lt;=50000), "Pendente", F769&gt;= DATE(2029,1,1), "Não prioeitário")</f>
        <v>Urgente e Caro</v>
      </c>
      <c r="H769" s="89">
        <f>YEAR(Tabela1[[#This Row],[Data de Validade]])</f>
        <v>2025</v>
      </c>
      <c r="I769" s="89">
        <f>MONTH(Tabela1[[#This Row],[Data de Validade]])</f>
        <v>9</v>
      </c>
      <c r="J769" s="101">
        <v>111902</v>
      </c>
      <c r="K769" s="87" t="s">
        <v>14</v>
      </c>
      <c r="L769" s="108"/>
      <c r="M769" s="108"/>
      <c r="N769" s="108" t="str">
        <v>H373P693</v>
      </c>
      <c r="O769" s="108">
        <f t="shared" si="13"/>
        <v>1</v>
      </c>
      <c r="P769" s="108"/>
      <c r="Q769"/>
    </row>
    <row r="770" spans="1:17" x14ac:dyDescent="0.25">
      <c r="A770" s="89" t="s">
        <v>5618</v>
      </c>
      <c r="B770" s="87" t="s">
        <v>5619</v>
      </c>
      <c r="C770" s="87" t="s">
        <v>12</v>
      </c>
      <c r="D770" s="87" t="str">
        <f>VLOOKUP(Tabela1[[#This Row],[Origem]], 'Perguntas 1 a 24'!$J$28:$K$34, 2, 0)</f>
        <v>Sudeste</v>
      </c>
      <c r="E770" s="87" t="str">
        <f>Tabela1[[#This Row],[Descrição]]&amp;"-"&amp;Tabela1[[#This Row],[Código]]&amp;"/"&amp;Tabela1[[#This Row],[Origem]]</f>
        <v>Faropo-P227H249/RJ</v>
      </c>
      <c r="F770" s="88">
        <v>45904</v>
      </c>
      <c r="G770" s="88" t="str" cm="1">
        <f t="array" ref="G7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AND(F770&gt;= DATE(2026,1,1), F770&lt;= DATE(2028, 12, 31), J770&gt;50000), "Pendente e Caro", AND(F770&gt;= DATE(2026,1,1), F770&lt;= DATE(2028, 12, 31), J770&lt;=50000), "Pendente", F770&gt;= DATE(2029,1,1), "Não prioeitário")</f>
        <v>Urgente e Caro</v>
      </c>
      <c r="H770" s="89">
        <f>YEAR(Tabela1[[#This Row],[Data de Validade]])</f>
        <v>2025</v>
      </c>
      <c r="I770" s="89">
        <f>MONTH(Tabela1[[#This Row],[Data de Validade]])</f>
        <v>9</v>
      </c>
      <c r="J770" s="101">
        <v>99474</v>
      </c>
      <c r="K770" s="87" t="s">
        <v>9</v>
      </c>
      <c r="L770" s="108"/>
      <c r="M770" s="108"/>
      <c r="N770" s="108" t="str">
        <v>P227H249</v>
      </c>
      <c r="O770" s="108">
        <f t="shared" si="13"/>
        <v>1</v>
      </c>
      <c r="P770" s="108"/>
      <c r="Q770"/>
    </row>
    <row r="771" spans="1:17" x14ac:dyDescent="0.25">
      <c r="A771" s="89" t="s">
        <v>5966</v>
      </c>
      <c r="B771" s="87" t="s">
        <v>5967</v>
      </c>
      <c r="C771" s="87" t="s">
        <v>16</v>
      </c>
      <c r="D771" s="87" t="str">
        <f>VLOOKUP(Tabela1[[#This Row],[Origem]], 'Perguntas 1 a 24'!$J$28:$K$34, 2, 0)</f>
        <v>Sudeste</v>
      </c>
      <c r="E771" s="87" t="str">
        <f>Tabela1[[#This Row],[Descrição]]&amp;"-"&amp;Tabela1[[#This Row],[Código]]&amp;"/"&amp;Tabela1[[#This Row],[Origem]]</f>
        <v>Pinopucipo-H146H887/MG</v>
      </c>
      <c r="F771" s="88">
        <v>45904</v>
      </c>
      <c r="G771" s="88" t="str" cm="1">
        <f t="array" ref="G7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AND(F771&gt;= DATE(2026,1,1), F771&lt;= DATE(2028, 12, 31), J771&gt;50000), "Pendente e Caro", AND(F771&gt;= DATE(2026,1,1), F771&lt;= DATE(2028, 12, 31), J771&lt;=50000), "Pendente", F771&gt;= DATE(2029,1,1), "Não prioeitário")</f>
        <v>Urgente e Caro</v>
      </c>
      <c r="H771" s="89">
        <f>YEAR(Tabela1[[#This Row],[Data de Validade]])</f>
        <v>2025</v>
      </c>
      <c r="I771" s="89">
        <f>MONTH(Tabela1[[#This Row],[Data de Validade]])</f>
        <v>9</v>
      </c>
      <c r="J771" s="101">
        <v>67848</v>
      </c>
      <c r="K771" s="87" t="s">
        <v>7</v>
      </c>
      <c r="L771" s="108"/>
      <c r="M771" s="108"/>
      <c r="N771" s="108" t="str">
        <v>H146H887</v>
      </c>
      <c r="O771" s="108">
        <f t="shared" ref="O771:O834" si="14">COUNTIFS(B:B,N771)</f>
        <v>1</v>
      </c>
      <c r="P771" s="108"/>
      <c r="Q771"/>
    </row>
    <row r="772" spans="1:17" x14ac:dyDescent="0.25">
      <c r="A772" s="89" t="s">
        <v>9325</v>
      </c>
      <c r="B772" s="87" t="s">
        <v>9326</v>
      </c>
      <c r="C772" s="87" t="s">
        <v>16</v>
      </c>
      <c r="D772" s="87" t="str">
        <f>VLOOKUP(Tabela1[[#This Row],[Origem]], 'Perguntas 1 a 24'!$J$28:$K$34, 2, 0)</f>
        <v>Sudeste</v>
      </c>
      <c r="E772" s="87" t="str">
        <f>Tabela1[[#This Row],[Descrição]]&amp;"-"&amp;Tabela1[[#This Row],[Código]]&amp;"/"&amp;Tabela1[[#This Row],[Origem]]</f>
        <v>Lotitovi-H855H386/MG</v>
      </c>
      <c r="F772" s="88">
        <v>45904</v>
      </c>
      <c r="G772" s="88" t="str" cm="1">
        <f t="array" ref="G7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AND(F772&gt;= DATE(2026,1,1), F772&lt;= DATE(2028, 12, 31), J772&gt;50000), "Pendente e Caro", AND(F772&gt;= DATE(2026,1,1), F772&lt;= DATE(2028, 12, 31), J772&lt;=50000), "Pendente", F772&gt;= DATE(2029,1,1), "Não prioeitário")</f>
        <v>Urgente e Caro</v>
      </c>
      <c r="H772" s="89">
        <f>YEAR(Tabela1[[#This Row],[Data de Validade]])</f>
        <v>2025</v>
      </c>
      <c r="I772" s="89">
        <f>MONTH(Tabela1[[#This Row],[Data de Validade]])</f>
        <v>9</v>
      </c>
      <c r="J772" s="101">
        <v>53394</v>
      </c>
      <c r="K772" s="87" t="s">
        <v>14</v>
      </c>
      <c r="L772" s="108"/>
      <c r="M772" s="108"/>
      <c r="N772" s="108" t="str">
        <v>H855H386</v>
      </c>
      <c r="O772" s="108">
        <f t="shared" si="14"/>
        <v>1</v>
      </c>
      <c r="P772" s="108"/>
      <c r="Q772"/>
    </row>
    <row r="773" spans="1:17" x14ac:dyDescent="0.25">
      <c r="A773" s="89" t="s">
        <v>5270</v>
      </c>
      <c r="B773" s="87" t="s">
        <v>5271</v>
      </c>
      <c r="C773" s="87" t="s">
        <v>6</v>
      </c>
      <c r="D773" s="87" t="str">
        <f>VLOOKUP(Tabela1[[#This Row],[Origem]], 'Perguntas 1 a 24'!$J$28:$K$34, 2, 0)</f>
        <v>Nordeste</v>
      </c>
      <c r="E773" s="87" t="str">
        <f>Tabela1[[#This Row],[Descrição]]&amp;"-"&amp;Tabela1[[#This Row],[Código]]&amp;"/"&amp;Tabela1[[#This Row],[Origem]]</f>
        <v>Ginuvumofi-H912H128/MA</v>
      </c>
      <c r="F773" s="88">
        <v>45905</v>
      </c>
      <c r="G773" s="88" t="str" cm="1">
        <f t="array" ref="G7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AND(F773&gt;= DATE(2026,1,1), F773&lt;= DATE(2028, 12, 31), J773&gt;50000), "Pendente e Caro", AND(F773&gt;= DATE(2026,1,1), F773&lt;= DATE(2028, 12, 31), J773&lt;=50000), "Pendente", F773&gt;= DATE(2029,1,1), "Não prioeitário")</f>
        <v>Urgente e Caro</v>
      </c>
      <c r="H773" s="89">
        <f>YEAR(Tabela1[[#This Row],[Data de Validade]])</f>
        <v>2025</v>
      </c>
      <c r="I773" s="89">
        <f>MONTH(Tabela1[[#This Row],[Data de Validade]])</f>
        <v>9</v>
      </c>
      <c r="J773" s="101">
        <v>90808</v>
      </c>
      <c r="K773" s="87" t="s">
        <v>7</v>
      </c>
      <c r="L773" s="108"/>
      <c r="M773" s="108"/>
      <c r="N773" s="108" t="str">
        <v>H912H128</v>
      </c>
      <c r="O773" s="108">
        <f t="shared" si="14"/>
        <v>1</v>
      </c>
      <c r="P773" s="108"/>
      <c r="Q773"/>
    </row>
    <row r="774" spans="1:17" x14ac:dyDescent="0.25">
      <c r="A774" s="89" t="s">
        <v>11190</v>
      </c>
      <c r="B774" s="87" t="s">
        <v>11191</v>
      </c>
      <c r="C774" s="87" t="s">
        <v>13</v>
      </c>
      <c r="D774" s="87" t="str">
        <f>VLOOKUP(Tabela1[[#This Row],[Origem]], 'Perguntas 1 a 24'!$J$28:$K$34, 2, 0)</f>
        <v>Sudeste</v>
      </c>
      <c r="E774" s="87" t="str">
        <f>Tabela1[[#This Row],[Descrição]]&amp;"-"&amp;Tabela1[[#This Row],[Código]]&amp;"/"&amp;Tabela1[[#This Row],[Origem]]</f>
        <v>Renefe-H171H538/SP</v>
      </c>
      <c r="F774" s="88">
        <v>45905</v>
      </c>
      <c r="G774" s="88" t="str" cm="1">
        <f t="array" ref="G7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AND(F774&gt;= DATE(2026,1,1), F774&lt;= DATE(2028, 12, 31), J774&gt;50000), "Pendente e Caro", AND(F774&gt;= DATE(2026,1,1), F774&lt;= DATE(2028, 12, 31), J774&lt;=50000), "Pendente", F774&gt;= DATE(2029,1,1), "Não prioeitário")</f>
        <v>Urgente e Caro</v>
      </c>
      <c r="H774" s="89">
        <f>YEAR(Tabela1[[#This Row],[Data de Validade]])</f>
        <v>2025</v>
      </c>
      <c r="I774" s="89">
        <f>MONTH(Tabela1[[#This Row],[Data de Validade]])</f>
        <v>9</v>
      </c>
      <c r="J774" s="101">
        <v>64063</v>
      </c>
      <c r="K774" s="87" t="s">
        <v>14</v>
      </c>
      <c r="L774" s="108"/>
      <c r="M774" s="108"/>
      <c r="N774" s="108" t="str">
        <v>H171H538</v>
      </c>
      <c r="O774" s="108">
        <f t="shared" si="14"/>
        <v>1</v>
      </c>
      <c r="P774" s="108"/>
      <c r="Q774"/>
    </row>
    <row r="775" spans="1:17" x14ac:dyDescent="0.25">
      <c r="A775" s="89" t="s">
        <v>8398</v>
      </c>
      <c r="B775" s="87" t="s">
        <v>8399</v>
      </c>
      <c r="C775" s="87" t="s">
        <v>6</v>
      </c>
      <c r="D775" s="87" t="str">
        <f>VLOOKUP(Tabela1[[#This Row],[Origem]], 'Perguntas 1 a 24'!$J$28:$K$34, 2, 0)</f>
        <v>Nordeste</v>
      </c>
      <c r="E775" s="87" t="str">
        <f>Tabela1[[#This Row],[Descrição]]&amp;"-"&amp;Tabela1[[#This Row],[Código]]&amp;"/"&amp;Tabela1[[#This Row],[Origem]]</f>
        <v>Tidavito-P714P568/MA</v>
      </c>
      <c r="F775" s="88">
        <v>45906</v>
      </c>
      <c r="G775" s="88" t="str" cm="1">
        <f t="array" ref="G7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AND(F775&gt;= DATE(2026,1,1), F775&lt;= DATE(2028, 12, 31), J775&gt;50000), "Pendente e Caro", AND(F775&gt;= DATE(2026,1,1), F775&lt;= DATE(2028, 12, 31), J775&lt;=50000), "Pendente", F775&gt;= DATE(2029,1,1), "Não prioeitário")</f>
        <v>Urgente e Caro</v>
      </c>
      <c r="H775" s="89">
        <f>YEAR(Tabela1[[#This Row],[Data de Validade]])</f>
        <v>2025</v>
      </c>
      <c r="I775" s="89">
        <f>MONTH(Tabela1[[#This Row],[Data de Validade]])</f>
        <v>9</v>
      </c>
      <c r="J775" s="101">
        <v>113492</v>
      </c>
      <c r="K775" s="87" t="s">
        <v>11</v>
      </c>
      <c r="L775" s="108"/>
      <c r="M775" s="108"/>
      <c r="N775" s="108" t="str">
        <v>P714P568</v>
      </c>
      <c r="O775" s="108">
        <f t="shared" si="14"/>
        <v>1</v>
      </c>
      <c r="P775" s="108"/>
      <c r="Q775"/>
    </row>
    <row r="776" spans="1:17" x14ac:dyDescent="0.25">
      <c r="A776" s="89" t="s">
        <v>5682</v>
      </c>
      <c r="B776" s="87" t="s">
        <v>5683</v>
      </c>
      <c r="C776" s="87" t="s">
        <v>8</v>
      </c>
      <c r="D776" s="87" t="str">
        <f>VLOOKUP(Tabela1[[#This Row],[Origem]], 'Perguntas 1 a 24'!$J$28:$K$34, 2, 0)</f>
        <v>Nordeste</v>
      </c>
      <c r="E776" s="87" t="str">
        <f>Tabela1[[#This Row],[Descrição]]&amp;"-"&amp;Tabela1[[#This Row],[Código]]&amp;"/"&amp;Tabela1[[#This Row],[Origem]]</f>
        <v>Cefoticepo-P118H787/AL</v>
      </c>
      <c r="F776" s="88">
        <v>45906</v>
      </c>
      <c r="G776" s="88" t="str" cm="1">
        <f t="array" ref="G7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AND(F776&gt;= DATE(2026,1,1), F776&lt;= DATE(2028, 12, 31), J776&gt;50000), "Pendente e Caro", AND(F776&gt;= DATE(2026,1,1), F776&lt;= DATE(2028, 12, 31), J776&lt;=50000), "Pendente", F776&gt;= DATE(2029,1,1), "Não prioeitário")</f>
        <v>Urgente e Caro</v>
      </c>
      <c r="H776" s="89">
        <f>YEAR(Tabela1[[#This Row],[Data de Validade]])</f>
        <v>2025</v>
      </c>
      <c r="I776" s="89">
        <f>MONTH(Tabela1[[#This Row],[Data de Validade]])</f>
        <v>9</v>
      </c>
      <c r="J776" s="101">
        <v>67440</v>
      </c>
      <c r="K776" s="87" t="s">
        <v>7</v>
      </c>
      <c r="L776" s="108"/>
      <c r="M776" s="108"/>
      <c r="N776" s="108" t="str">
        <v>P118H787</v>
      </c>
      <c r="O776" s="108">
        <f t="shared" si="14"/>
        <v>1</v>
      </c>
      <c r="P776" s="108"/>
      <c r="Q776"/>
    </row>
    <row r="777" spans="1:17" x14ac:dyDescent="0.25">
      <c r="A777" s="89" t="s">
        <v>9483</v>
      </c>
      <c r="B777" s="87" t="s">
        <v>9484</v>
      </c>
      <c r="C777" s="87" t="s">
        <v>6</v>
      </c>
      <c r="D777" s="87" t="str">
        <f>VLOOKUP(Tabela1[[#This Row],[Origem]], 'Perguntas 1 a 24'!$J$28:$K$34, 2, 0)</f>
        <v>Nordeste</v>
      </c>
      <c r="E777" s="87" t="str">
        <f>Tabela1[[#This Row],[Descrição]]&amp;"-"&amp;Tabela1[[#This Row],[Código]]&amp;"/"&amp;Tabela1[[#This Row],[Origem]]</f>
        <v>Ratolege-H241H416/MA</v>
      </c>
      <c r="F777" s="88">
        <v>45906</v>
      </c>
      <c r="G777" s="88" t="str" cm="1">
        <f t="array" ref="G7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AND(F777&gt;= DATE(2026,1,1), F777&lt;= DATE(2028, 12, 31), J777&gt;50000), "Pendente e Caro", AND(F777&gt;= DATE(2026,1,1), F777&lt;= DATE(2028, 12, 31), J777&lt;=50000), "Pendente", F777&gt;= DATE(2029,1,1), "Não prioeitário")</f>
        <v>Urgente e Caro</v>
      </c>
      <c r="H777" s="89">
        <f>YEAR(Tabela1[[#This Row],[Data de Validade]])</f>
        <v>2025</v>
      </c>
      <c r="I777" s="89">
        <f>MONTH(Tabela1[[#This Row],[Data de Validade]])</f>
        <v>9</v>
      </c>
      <c r="J777" s="101">
        <v>62789</v>
      </c>
      <c r="K777" s="87" t="s">
        <v>14</v>
      </c>
      <c r="L777" s="108"/>
      <c r="M777" s="108"/>
      <c r="N777" s="108" t="str">
        <v>H241H416</v>
      </c>
      <c r="O777" s="108">
        <f t="shared" si="14"/>
        <v>1</v>
      </c>
      <c r="P777" s="108"/>
      <c r="Q777"/>
    </row>
    <row r="778" spans="1:17" x14ac:dyDescent="0.25">
      <c r="A778" s="89" t="s">
        <v>8733</v>
      </c>
      <c r="B778" s="87" t="s">
        <v>8734</v>
      </c>
      <c r="C778" s="87" t="s">
        <v>6</v>
      </c>
      <c r="D778" s="87" t="str">
        <f>VLOOKUP(Tabela1[[#This Row],[Origem]], 'Perguntas 1 a 24'!$J$28:$K$34, 2, 0)</f>
        <v>Nordeste</v>
      </c>
      <c r="E778" s="87" t="str">
        <f>Tabela1[[#This Row],[Descrição]]&amp;"-"&amp;Tabela1[[#This Row],[Código]]&amp;"/"&amp;Tabela1[[#This Row],[Origem]]</f>
        <v>Piporepo-H994H287/MA</v>
      </c>
      <c r="F778" s="88">
        <v>45907</v>
      </c>
      <c r="G778" s="88" t="str" cm="1">
        <f t="array" ref="G7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AND(F778&gt;= DATE(2026,1,1), F778&lt;= DATE(2028, 12, 31), J778&gt;50000), "Pendente e Caro", AND(F778&gt;= DATE(2026,1,1), F778&lt;= DATE(2028, 12, 31), J778&lt;=50000), "Pendente", F778&gt;= DATE(2029,1,1), "Não prioeitário")</f>
        <v>Urgente e Caro</v>
      </c>
      <c r="H778" s="89">
        <f>YEAR(Tabela1[[#This Row],[Data de Validade]])</f>
        <v>2025</v>
      </c>
      <c r="I778" s="89">
        <f>MONTH(Tabela1[[#This Row],[Data de Validade]])</f>
        <v>9</v>
      </c>
      <c r="J778" s="101">
        <v>91744</v>
      </c>
      <c r="K778" s="87" t="s">
        <v>9</v>
      </c>
      <c r="L778" s="108"/>
      <c r="M778" s="108"/>
      <c r="N778" s="108" t="str">
        <v>H994H287</v>
      </c>
      <c r="O778" s="108">
        <f t="shared" si="14"/>
        <v>1</v>
      </c>
      <c r="P778" s="108"/>
      <c r="Q778"/>
    </row>
    <row r="779" spans="1:17" x14ac:dyDescent="0.25">
      <c r="A779" s="89" t="s">
        <v>10141</v>
      </c>
      <c r="B779" s="87" t="s">
        <v>10142</v>
      </c>
      <c r="C779" s="87" t="s">
        <v>16</v>
      </c>
      <c r="D779" s="87" t="str">
        <f>VLOOKUP(Tabela1[[#This Row],[Origem]], 'Perguntas 1 a 24'!$J$28:$K$34, 2, 0)</f>
        <v>Sudeste</v>
      </c>
      <c r="E779" s="87" t="str">
        <f>Tabela1[[#This Row],[Descrição]]&amp;"-"&amp;Tabela1[[#This Row],[Código]]&amp;"/"&amp;Tabela1[[#This Row],[Origem]]</f>
        <v>Tugoli-P864H771/MG</v>
      </c>
      <c r="F779" s="88">
        <v>45907</v>
      </c>
      <c r="G779" s="88" t="str" cm="1">
        <f t="array" ref="G7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AND(F779&gt;= DATE(2026,1,1), F779&lt;= DATE(2028, 12, 31), J779&gt;50000), "Pendente e Caro", AND(F779&gt;= DATE(2026,1,1), F779&lt;= DATE(2028, 12, 31), J779&lt;=50000), "Pendente", F779&gt;= DATE(2029,1,1), "Não prioeitário")</f>
        <v>Urgente e Caro</v>
      </c>
      <c r="H779" s="89">
        <f>YEAR(Tabela1[[#This Row],[Data de Validade]])</f>
        <v>2025</v>
      </c>
      <c r="I779" s="89">
        <f>MONTH(Tabela1[[#This Row],[Data de Validade]])</f>
        <v>9</v>
      </c>
      <c r="J779" s="101">
        <v>53370</v>
      </c>
      <c r="K779" s="87" t="s">
        <v>7</v>
      </c>
      <c r="L779" s="108"/>
      <c r="M779" s="108"/>
      <c r="N779" s="108" t="str">
        <v>P864H771</v>
      </c>
      <c r="O779" s="108">
        <f t="shared" si="14"/>
        <v>1</v>
      </c>
      <c r="P779" s="108"/>
      <c r="Q779"/>
    </row>
    <row r="780" spans="1:17" x14ac:dyDescent="0.25">
      <c r="A780" s="89" t="s">
        <v>10749</v>
      </c>
      <c r="B780" s="87" t="s">
        <v>10750</v>
      </c>
      <c r="C780" s="87" t="s">
        <v>10</v>
      </c>
      <c r="D780" s="87" t="str">
        <f>VLOOKUP(Tabela1[[#This Row],[Origem]], 'Perguntas 1 a 24'!$J$28:$K$34, 2, 0)</f>
        <v>Centro-Oeste</v>
      </c>
      <c r="E780" s="87" t="str">
        <f>Tabela1[[#This Row],[Descrição]]&amp;"-"&amp;Tabela1[[#This Row],[Código]]&amp;"/"&amp;Tabela1[[#This Row],[Origem]]</f>
        <v>Rudavoda-H964P645/GO</v>
      </c>
      <c r="F780" s="88">
        <v>45908</v>
      </c>
      <c r="G780" s="88" t="str" cm="1">
        <f t="array" ref="G7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AND(F780&gt;= DATE(2026,1,1), F780&lt;= DATE(2028, 12, 31), J780&gt;50000), "Pendente e Caro", AND(F780&gt;= DATE(2026,1,1), F780&lt;= DATE(2028, 12, 31), J780&lt;=50000), "Pendente", F780&gt;= DATE(2029,1,1), "Não prioeitário")</f>
        <v>Urgente e Caro</v>
      </c>
      <c r="H780" s="89">
        <f>YEAR(Tabela1[[#This Row],[Data de Validade]])</f>
        <v>2025</v>
      </c>
      <c r="I780" s="89">
        <f>MONTH(Tabela1[[#This Row],[Data de Validade]])</f>
        <v>9</v>
      </c>
      <c r="J780" s="101">
        <v>81415</v>
      </c>
      <c r="K780" s="87" t="s">
        <v>9</v>
      </c>
      <c r="L780" s="108"/>
      <c r="M780" s="108"/>
      <c r="N780" s="108" t="str">
        <v>H964P645</v>
      </c>
      <c r="O780" s="108">
        <f t="shared" si="14"/>
        <v>1</v>
      </c>
      <c r="P780" s="108"/>
      <c r="Q780"/>
    </row>
    <row r="781" spans="1:17" x14ac:dyDescent="0.25">
      <c r="A781" s="89" t="s">
        <v>10289</v>
      </c>
      <c r="B781" s="87" t="s">
        <v>10290</v>
      </c>
      <c r="C781" s="87" t="s">
        <v>6</v>
      </c>
      <c r="D781" s="87" t="str">
        <f>VLOOKUP(Tabela1[[#This Row],[Origem]], 'Perguntas 1 a 24'!$J$28:$K$34, 2, 0)</f>
        <v>Nordeste</v>
      </c>
      <c r="E781" s="87" t="str">
        <f>Tabela1[[#This Row],[Descrição]]&amp;"-"&amp;Tabela1[[#This Row],[Código]]&amp;"/"&amp;Tabela1[[#This Row],[Origem]]</f>
        <v>Pitonotopo-H421P334/MA</v>
      </c>
      <c r="F781" s="88">
        <v>45909</v>
      </c>
      <c r="G781" s="88" t="str" cm="1">
        <f t="array" ref="G7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AND(F781&gt;= DATE(2026,1,1), F781&lt;= DATE(2028, 12, 31), J781&gt;50000), "Pendente e Caro", AND(F781&gt;= DATE(2026,1,1), F781&lt;= DATE(2028, 12, 31), J781&lt;=50000), "Pendente", F781&gt;= DATE(2029,1,1), "Não prioeitário")</f>
        <v>Urgente e Caro</v>
      </c>
      <c r="H781" s="89">
        <f>YEAR(Tabela1[[#This Row],[Data de Validade]])</f>
        <v>2025</v>
      </c>
      <c r="I781" s="89">
        <f>MONTH(Tabela1[[#This Row],[Data de Validade]])</f>
        <v>9</v>
      </c>
      <c r="J781" s="101">
        <v>107233</v>
      </c>
      <c r="K781" s="87" t="s">
        <v>11</v>
      </c>
      <c r="L781" s="108"/>
      <c r="M781" s="108"/>
      <c r="N781" s="108" t="str">
        <v>H421P334</v>
      </c>
      <c r="O781" s="108">
        <f t="shared" si="14"/>
        <v>1</v>
      </c>
      <c r="P781" s="108"/>
      <c r="Q781"/>
    </row>
    <row r="782" spans="1:17" x14ac:dyDescent="0.25">
      <c r="A782" s="89" t="s">
        <v>6222</v>
      </c>
      <c r="B782" s="87" t="s">
        <v>6223</v>
      </c>
      <c r="C782" s="87" t="s">
        <v>6</v>
      </c>
      <c r="D782" s="87" t="str">
        <f>VLOOKUP(Tabela1[[#This Row],[Origem]], 'Perguntas 1 a 24'!$J$28:$K$34, 2, 0)</f>
        <v>Nordeste</v>
      </c>
      <c r="E782" s="87" t="str">
        <f>Tabela1[[#This Row],[Descrição]]&amp;"-"&amp;Tabela1[[#This Row],[Código]]&amp;"/"&amp;Tabela1[[#This Row],[Origem]]</f>
        <v>Vupoge-H528P795/MA</v>
      </c>
      <c r="F782" s="88">
        <v>45910</v>
      </c>
      <c r="G782" s="88" t="str" cm="1">
        <f t="array" ref="G7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AND(F782&gt;= DATE(2026,1,1), F782&lt;= DATE(2028, 12, 31), J782&gt;50000), "Pendente e Caro", AND(F782&gt;= DATE(2026,1,1), F782&lt;= DATE(2028, 12, 31), J782&lt;=50000), "Pendente", F782&gt;= DATE(2029,1,1), "Não prioeitário")</f>
        <v>Urgente e Caro</v>
      </c>
      <c r="H782" s="89">
        <f>YEAR(Tabela1[[#This Row],[Data de Validade]])</f>
        <v>2025</v>
      </c>
      <c r="I782" s="89">
        <f>MONTH(Tabela1[[#This Row],[Data de Validade]])</f>
        <v>9</v>
      </c>
      <c r="J782" s="101">
        <v>107497</v>
      </c>
      <c r="K782" s="87" t="s">
        <v>14</v>
      </c>
      <c r="L782" s="108"/>
      <c r="M782" s="108"/>
      <c r="N782" s="108" t="str">
        <v>H528P795</v>
      </c>
      <c r="O782" s="108">
        <f t="shared" si="14"/>
        <v>1</v>
      </c>
      <c r="P782" s="108"/>
      <c r="Q782"/>
    </row>
    <row r="783" spans="1:17" x14ac:dyDescent="0.25">
      <c r="A783" s="89" t="s">
        <v>10617</v>
      </c>
      <c r="B783" s="87" t="s">
        <v>10618</v>
      </c>
      <c r="C783" s="87" t="s">
        <v>8</v>
      </c>
      <c r="D783" s="87" t="str">
        <f>VLOOKUP(Tabela1[[#This Row],[Origem]], 'Perguntas 1 a 24'!$J$28:$K$34, 2, 0)</f>
        <v>Nordeste</v>
      </c>
      <c r="E783" s="87" t="str">
        <f>Tabela1[[#This Row],[Descrição]]&amp;"-"&amp;Tabela1[[#This Row],[Código]]&amp;"/"&amp;Tabela1[[#This Row],[Origem]]</f>
        <v>Vatoripe-P879H624/AL</v>
      </c>
      <c r="F783" s="88">
        <v>45910</v>
      </c>
      <c r="G783" s="88" t="str" cm="1">
        <f t="array" ref="G7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AND(F783&gt;= DATE(2026,1,1), F783&lt;= DATE(2028, 12, 31), J783&gt;50000), "Pendente e Caro", AND(F783&gt;= DATE(2026,1,1), F783&lt;= DATE(2028, 12, 31), J783&lt;=50000), "Pendente", F783&gt;= DATE(2029,1,1), "Não prioeitário")</f>
        <v>Urgente e Caro</v>
      </c>
      <c r="H783" s="89">
        <f>YEAR(Tabela1[[#This Row],[Data de Validade]])</f>
        <v>2025</v>
      </c>
      <c r="I783" s="89">
        <f>MONTH(Tabela1[[#This Row],[Data de Validade]])</f>
        <v>9</v>
      </c>
      <c r="J783" s="101">
        <v>106677</v>
      </c>
      <c r="K783" s="87" t="s">
        <v>7</v>
      </c>
      <c r="L783" s="108"/>
      <c r="M783" s="108"/>
      <c r="N783" s="108" t="str">
        <v>P879H624</v>
      </c>
      <c r="O783" s="108">
        <f t="shared" si="14"/>
        <v>1</v>
      </c>
      <c r="P783" s="108"/>
      <c r="Q783"/>
    </row>
    <row r="784" spans="1:17" x14ac:dyDescent="0.25">
      <c r="A784" s="89" t="s">
        <v>4520</v>
      </c>
      <c r="B784" s="87" t="s">
        <v>4521</v>
      </c>
      <c r="C784" s="87" t="s">
        <v>13</v>
      </c>
      <c r="D784" s="87" t="str">
        <f>VLOOKUP(Tabela1[[#This Row],[Origem]], 'Perguntas 1 a 24'!$J$28:$K$34, 2, 0)</f>
        <v>Sudeste</v>
      </c>
      <c r="E784" s="87" t="str">
        <f>Tabela1[[#This Row],[Descrição]]&amp;"-"&amp;Tabela1[[#This Row],[Código]]&amp;"/"&amp;Tabela1[[#This Row],[Origem]]</f>
        <v>Vecapiti-H264H866/SP</v>
      </c>
      <c r="F784" s="88">
        <v>45910</v>
      </c>
      <c r="G784" s="88" t="str" cm="1">
        <f t="array" ref="G7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AND(F784&gt;= DATE(2026,1,1), F784&lt;= DATE(2028, 12, 31), J784&gt;50000), "Pendente e Caro", AND(F784&gt;= DATE(2026,1,1), F784&lt;= DATE(2028, 12, 31), J784&lt;=50000), "Pendente", F784&gt;= DATE(2029,1,1), "Não prioeitário")</f>
        <v>Urgente e Caro</v>
      </c>
      <c r="H784" s="89">
        <f>YEAR(Tabela1[[#This Row],[Data de Validade]])</f>
        <v>2025</v>
      </c>
      <c r="I784" s="89">
        <f>MONTH(Tabela1[[#This Row],[Data de Validade]])</f>
        <v>9</v>
      </c>
      <c r="J784" s="101">
        <v>105745</v>
      </c>
      <c r="K784" s="87" t="s">
        <v>14</v>
      </c>
      <c r="L784" s="108"/>
      <c r="M784" s="108"/>
      <c r="N784" s="108" t="str">
        <v>H264H866</v>
      </c>
      <c r="O784" s="108">
        <f t="shared" si="14"/>
        <v>1</v>
      </c>
      <c r="P784" s="108"/>
      <c r="Q784"/>
    </row>
    <row r="785" spans="1:17" x14ac:dyDescent="0.25">
      <c r="A785" s="89" t="s">
        <v>5224</v>
      </c>
      <c r="B785" s="87" t="s">
        <v>5225</v>
      </c>
      <c r="C785" s="87" t="s">
        <v>16</v>
      </c>
      <c r="D785" s="87" t="str">
        <f>VLOOKUP(Tabela1[[#This Row],[Origem]], 'Perguntas 1 a 24'!$J$28:$K$34, 2, 0)</f>
        <v>Sudeste</v>
      </c>
      <c r="E785" s="87" t="str">
        <f>Tabela1[[#This Row],[Descrição]]&amp;"-"&amp;Tabela1[[#This Row],[Código]]&amp;"/"&amp;Tabela1[[#This Row],[Origem]]</f>
        <v>Nimomopape-P489H694/MG</v>
      </c>
      <c r="F785" s="88">
        <v>45910</v>
      </c>
      <c r="G785" s="88" t="str" cm="1">
        <f t="array" ref="G7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AND(F785&gt;= DATE(2026,1,1), F785&lt;= DATE(2028, 12, 31), J785&gt;50000), "Pendente e Caro", AND(F785&gt;= DATE(2026,1,1), F785&lt;= DATE(2028, 12, 31), J785&lt;=50000), "Pendente", F785&gt;= DATE(2029,1,1), "Não prioeitário")</f>
        <v>Urgente e Caro</v>
      </c>
      <c r="H785" s="89">
        <f>YEAR(Tabela1[[#This Row],[Data de Validade]])</f>
        <v>2025</v>
      </c>
      <c r="I785" s="89">
        <f>MONTH(Tabela1[[#This Row],[Data de Validade]])</f>
        <v>9</v>
      </c>
      <c r="J785" s="101">
        <v>72746</v>
      </c>
      <c r="K785" s="87" t="s">
        <v>11</v>
      </c>
      <c r="L785" s="108"/>
      <c r="M785" s="108"/>
      <c r="N785" s="108" t="str">
        <v>P489H694</v>
      </c>
      <c r="O785" s="108">
        <f t="shared" si="14"/>
        <v>1</v>
      </c>
      <c r="P785" s="108"/>
      <c r="Q785"/>
    </row>
    <row r="786" spans="1:17" x14ac:dyDescent="0.25">
      <c r="A786" s="89" t="s">
        <v>7896</v>
      </c>
      <c r="B786" s="87" t="s">
        <v>7897</v>
      </c>
      <c r="C786" s="87" t="s">
        <v>12</v>
      </c>
      <c r="D786" s="87" t="str">
        <f>VLOOKUP(Tabela1[[#This Row],[Origem]], 'Perguntas 1 a 24'!$J$28:$K$34, 2, 0)</f>
        <v>Sudeste</v>
      </c>
      <c r="E786" s="87" t="str">
        <f>Tabela1[[#This Row],[Descrição]]&amp;"-"&amp;Tabela1[[#This Row],[Código]]&amp;"/"&amp;Tabela1[[#This Row],[Origem]]</f>
        <v>Vipata-H799P781/RJ</v>
      </c>
      <c r="F786" s="88">
        <v>45911</v>
      </c>
      <c r="G786" s="88" t="str" cm="1">
        <f t="array" ref="G7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AND(F786&gt;= DATE(2026,1,1), F786&lt;= DATE(2028, 12, 31), J786&gt;50000), "Pendente e Caro", AND(F786&gt;= DATE(2026,1,1), F786&lt;= DATE(2028, 12, 31), J786&lt;=50000), "Pendente", F786&gt;= DATE(2029,1,1), "Não prioeitário")</f>
        <v>Urgente e Caro</v>
      </c>
      <c r="H786" s="89">
        <f>YEAR(Tabela1[[#This Row],[Data de Validade]])</f>
        <v>2025</v>
      </c>
      <c r="I786" s="89">
        <f>MONTH(Tabela1[[#This Row],[Data de Validade]])</f>
        <v>9</v>
      </c>
      <c r="J786" s="101">
        <v>109413</v>
      </c>
      <c r="K786" s="87" t="s">
        <v>7</v>
      </c>
      <c r="L786" s="108"/>
      <c r="M786" s="108"/>
      <c r="N786" s="108" t="str">
        <v>H799P781</v>
      </c>
      <c r="O786" s="108">
        <f t="shared" si="14"/>
        <v>1</v>
      </c>
      <c r="P786" s="108"/>
      <c r="Q786"/>
    </row>
    <row r="787" spans="1:17" x14ac:dyDescent="0.25">
      <c r="A787" s="89" t="s">
        <v>4245</v>
      </c>
      <c r="B787" s="87" t="s">
        <v>4246</v>
      </c>
      <c r="C787" s="87" t="s">
        <v>6</v>
      </c>
      <c r="D787" s="87" t="str">
        <f>VLOOKUP(Tabela1[[#This Row],[Origem]], 'Perguntas 1 a 24'!$J$28:$K$34, 2, 0)</f>
        <v>Nordeste</v>
      </c>
      <c r="E787" s="87" t="str">
        <f>Tabela1[[#This Row],[Descrição]]&amp;"-"&amp;Tabela1[[#This Row],[Código]]&amp;"/"&amp;Tabela1[[#This Row],[Origem]]</f>
        <v>Lipatimu-H667H748/MA</v>
      </c>
      <c r="F787" s="88">
        <v>45911</v>
      </c>
      <c r="G787" s="88" t="str" cm="1">
        <f t="array" ref="G7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AND(F787&gt;= DATE(2026,1,1), F787&lt;= DATE(2028, 12, 31), J787&gt;50000), "Pendente e Caro", AND(F787&gt;= DATE(2026,1,1), F787&lt;= DATE(2028, 12, 31), J787&lt;=50000), "Pendente", F787&gt;= DATE(2029,1,1), "Não prioeitário")</f>
        <v>Urgente e Caro</v>
      </c>
      <c r="H787" s="89">
        <f>YEAR(Tabela1[[#This Row],[Data de Validade]])</f>
        <v>2025</v>
      </c>
      <c r="I787" s="89">
        <f>MONTH(Tabela1[[#This Row],[Data de Validade]])</f>
        <v>9</v>
      </c>
      <c r="J787" s="101">
        <v>65028</v>
      </c>
      <c r="K787" s="87" t="s">
        <v>7</v>
      </c>
      <c r="L787" s="108"/>
      <c r="M787" s="108"/>
      <c r="N787" s="108" t="str">
        <v>H667H748</v>
      </c>
      <c r="O787" s="108">
        <f t="shared" si="14"/>
        <v>1</v>
      </c>
      <c r="P787" s="108"/>
      <c r="Q787"/>
    </row>
    <row r="788" spans="1:17" x14ac:dyDescent="0.25">
      <c r="A788" s="89" t="s">
        <v>4590</v>
      </c>
      <c r="B788" s="87" t="s">
        <v>4591</v>
      </c>
      <c r="C788" s="87" t="s">
        <v>6</v>
      </c>
      <c r="D788" s="87" t="str">
        <f>VLOOKUP(Tabela1[[#This Row],[Origem]], 'Perguntas 1 a 24'!$J$28:$K$34, 2, 0)</f>
        <v>Nordeste</v>
      </c>
      <c r="E788" s="87" t="str">
        <f>Tabela1[[#This Row],[Descrição]]&amp;"-"&amp;Tabela1[[#This Row],[Código]]&amp;"/"&amp;Tabela1[[#This Row],[Origem]]</f>
        <v>Fapivopata-H862P652/MA</v>
      </c>
      <c r="F788" s="88">
        <v>45911</v>
      </c>
      <c r="G788" s="88" t="str" cm="1">
        <f t="array" ref="G7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AND(F788&gt;= DATE(2026,1,1), F788&lt;= DATE(2028, 12, 31), J788&gt;50000), "Pendente e Caro", AND(F788&gt;= DATE(2026,1,1), F788&lt;= DATE(2028, 12, 31), J788&lt;=50000), "Pendente", F788&gt;= DATE(2029,1,1), "Não prioeitário")</f>
        <v>Urgente e Caro</v>
      </c>
      <c r="H788" s="89">
        <f>YEAR(Tabela1[[#This Row],[Data de Validade]])</f>
        <v>2025</v>
      </c>
      <c r="I788" s="89">
        <f>MONTH(Tabela1[[#This Row],[Data de Validade]])</f>
        <v>9</v>
      </c>
      <c r="J788" s="101">
        <v>55247</v>
      </c>
      <c r="K788" s="87" t="s">
        <v>9</v>
      </c>
      <c r="L788" s="108"/>
      <c r="M788" s="108"/>
      <c r="N788" s="108" t="str">
        <v>H862P652</v>
      </c>
      <c r="O788" s="108">
        <f t="shared" si="14"/>
        <v>1</v>
      </c>
      <c r="P788" s="108"/>
      <c r="Q788"/>
    </row>
    <row r="789" spans="1:17" x14ac:dyDescent="0.25">
      <c r="A789" s="89" t="s">
        <v>6754</v>
      </c>
      <c r="B789" s="87" t="s">
        <v>6755</v>
      </c>
      <c r="C789" s="87" t="s">
        <v>10</v>
      </c>
      <c r="D789" s="87" t="str">
        <f>VLOOKUP(Tabela1[[#This Row],[Origem]], 'Perguntas 1 a 24'!$J$28:$K$34, 2, 0)</f>
        <v>Centro-Oeste</v>
      </c>
      <c r="E789" s="87" t="str">
        <f>Tabela1[[#This Row],[Descrição]]&amp;"-"&amp;Tabela1[[#This Row],[Código]]&amp;"/"&amp;Tabela1[[#This Row],[Origem]]</f>
        <v>Murotero-P953H836/GO</v>
      </c>
      <c r="F789" s="88">
        <v>45912</v>
      </c>
      <c r="G789" s="88" t="str" cm="1">
        <f t="array" ref="G7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AND(F789&gt;= DATE(2026,1,1), F789&lt;= DATE(2028, 12, 31), J789&gt;50000), "Pendente e Caro", AND(F789&gt;= DATE(2026,1,1), F789&lt;= DATE(2028, 12, 31), J789&lt;=50000), "Pendente", F789&gt;= DATE(2029,1,1), "Não prioeitário")</f>
        <v>Urgente e Caro</v>
      </c>
      <c r="H789" s="89">
        <f>YEAR(Tabela1[[#This Row],[Data de Validade]])</f>
        <v>2025</v>
      </c>
      <c r="I789" s="89">
        <f>MONTH(Tabela1[[#This Row],[Data de Validade]])</f>
        <v>9</v>
      </c>
      <c r="J789" s="101">
        <v>56914</v>
      </c>
      <c r="K789" s="87" t="s">
        <v>7</v>
      </c>
      <c r="L789" s="108"/>
      <c r="M789" s="108"/>
      <c r="N789" s="108" t="str">
        <v>P953H836</v>
      </c>
      <c r="O789" s="108">
        <f t="shared" si="14"/>
        <v>1</v>
      </c>
      <c r="P789" s="108"/>
      <c r="Q789"/>
    </row>
    <row r="790" spans="1:17" x14ac:dyDescent="0.25">
      <c r="A790" s="89" t="s">
        <v>3746</v>
      </c>
      <c r="B790" s="87" t="s">
        <v>3747</v>
      </c>
      <c r="C790" s="87" t="s">
        <v>6</v>
      </c>
      <c r="D790" s="87" t="str">
        <f>VLOOKUP(Tabela1[[#This Row],[Origem]], 'Perguntas 1 a 24'!$J$28:$K$34, 2, 0)</f>
        <v>Nordeste</v>
      </c>
      <c r="E790" s="87" t="str">
        <f>Tabela1[[#This Row],[Descrição]]&amp;"-"&amp;Tabela1[[#This Row],[Código]]&amp;"/"&amp;Tabela1[[#This Row],[Origem]]</f>
        <v>Numiru-P997H849/MA</v>
      </c>
      <c r="F790" s="88">
        <v>45912</v>
      </c>
      <c r="G790" s="88" t="str" cm="1">
        <f t="array" ref="G7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AND(F790&gt;= DATE(2026,1,1), F790&lt;= DATE(2028, 12, 31), J790&gt;50000), "Pendente e Caro", AND(F790&gt;= DATE(2026,1,1), F790&lt;= DATE(2028, 12, 31), J790&lt;=50000), "Pendente", F790&gt;= DATE(2029,1,1), "Não prioeitário")</f>
        <v>Urgente</v>
      </c>
      <c r="H790" s="89">
        <f>YEAR(Tabela1[[#This Row],[Data de Validade]])</f>
        <v>2025</v>
      </c>
      <c r="I790" s="89">
        <f>MONTH(Tabela1[[#This Row],[Data de Validade]])</f>
        <v>9</v>
      </c>
      <c r="J790" s="101">
        <v>29931</v>
      </c>
      <c r="K790" s="87" t="s">
        <v>14</v>
      </c>
      <c r="L790" s="108"/>
      <c r="M790" s="108"/>
      <c r="N790" s="108" t="str">
        <v>P997H849</v>
      </c>
      <c r="O790" s="108">
        <f t="shared" si="14"/>
        <v>1</v>
      </c>
      <c r="P790" s="108"/>
      <c r="Q790"/>
    </row>
    <row r="791" spans="1:17" x14ac:dyDescent="0.25">
      <c r="A791" s="89" t="s">
        <v>9305</v>
      </c>
      <c r="B791" s="87" t="s">
        <v>9306</v>
      </c>
      <c r="C791" s="87" t="s">
        <v>8</v>
      </c>
      <c r="D791" s="87" t="str">
        <f>VLOOKUP(Tabela1[[#This Row],[Origem]], 'Perguntas 1 a 24'!$J$28:$K$34, 2, 0)</f>
        <v>Nordeste</v>
      </c>
      <c r="E791" s="87" t="str">
        <f>Tabela1[[#This Row],[Descrição]]&amp;"-"&amp;Tabela1[[#This Row],[Código]]&amp;"/"&amp;Tabela1[[#This Row],[Origem]]</f>
        <v>Gomite-H986P761/AL</v>
      </c>
      <c r="F791" s="88">
        <v>45914</v>
      </c>
      <c r="G791" s="88" t="str" cm="1">
        <f t="array" ref="G7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AND(F791&gt;= DATE(2026,1,1), F791&lt;= DATE(2028, 12, 31), J791&gt;50000), "Pendente e Caro", AND(F791&gt;= DATE(2026,1,1), F791&lt;= DATE(2028, 12, 31), J791&lt;=50000), "Pendente", F791&gt;= DATE(2029,1,1), "Não prioeitário")</f>
        <v>Urgente</v>
      </c>
      <c r="H791" s="89">
        <f>YEAR(Tabela1[[#This Row],[Data de Validade]])</f>
        <v>2025</v>
      </c>
      <c r="I791" s="89">
        <f>MONTH(Tabela1[[#This Row],[Data de Validade]])</f>
        <v>9</v>
      </c>
      <c r="J791" s="101">
        <v>45117</v>
      </c>
      <c r="K791" s="87" t="s">
        <v>9</v>
      </c>
      <c r="L791" s="108"/>
      <c r="M791" s="108"/>
      <c r="N791" s="108" t="str">
        <v>H986P761</v>
      </c>
      <c r="O791" s="108">
        <f t="shared" si="14"/>
        <v>1</v>
      </c>
      <c r="P791" s="108"/>
      <c r="Q791"/>
    </row>
    <row r="792" spans="1:17" x14ac:dyDescent="0.25">
      <c r="A792" s="89" t="s">
        <v>4233</v>
      </c>
      <c r="B792" s="87" t="s">
        <v>4234</v>
      </c>
      <c r="C792" s="87" t="s">
        <v>10</v>
      </c>
      <c r="D792" s="87" t="str">
        <f>VLOOKUP(Tabela1[[#This Row],[Origem]], 'Perguntas 1 a 24'!$J$28:$K$34, 2, 0)</f>
        <v>Centro-Oeste</v>
      </c>
      <c r="E792" s="87" t="str">
        <f>Tabela1[[#This Row],[Descrição]]&amp;"-"&amp;Tabela1[[#This Row],[Código]]&amp;"/"&amp;Tabela1[[#This Row],[Origem]]</f>
        <v>Pipapata-P358H299/GO</v>
      </c>
      <c r="F792" s="88">
        <v>45915</v>
      </c>
      <c r="G792" s="88" t="str" cm="1">
        <f t="array" ref="G7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AND(F792&gt;= DATE(2026,1,1), F792&lt;= DATE(2028, 12, 31), J792&gt;50000), "Pendente e Caro", AND(F792&gt;= DATE(2026,1,1), F792&lt;= DATE(2028, 12, 31), J792&lt;=50000), "Pendente", F792&gt;= DATE(2029,1,1), "Não prioeitário")</f>
        <v>Urgente e Caro</v>
      </c>
      <c r="H792" s="89">
        <f>YEAR(Tabela1[[#This Row],[Data de Validade]])</f>
        <v>2025</v>
      </c>
      <c r="I792" s="89">
        <f>MONTH(Tabela1[[#This Row],[Data de Validade]])</f>
        <v>9</v>
      </c>
      <c r="J792" s="101">
        <v>94775</v>
      </c>
      <c r="K792" s="87" t="s">
        <v>11</v>
      </c>
      <c r="L792" s="108"/>
      <c r="M792" s="108"/>
      <c r="N792" s="108" t="str">
        <v>P358H299</v>
      </c>
      <c r="O792" s="108">
        <f t="shared" si="14"/>
        <v>1</v>
      </c>
      <c r="P792" s="108"/>
      <c r="Q792"/>
    </row>
    <row r="793" spans="1:17" x14ac:dyDescent="0.25">
      <c r="A793" s="89" t="s">
        <v>9243</v>
      </c>
      <c r="B793" s="87" t="s">
        <v>9244</v>
      </c>
      <c r="C793" s="87" t="s">
        <v>13</v>
      </c>
      <c r="D793" s="87" t="str">
        <f>VLOOKUP(Tabela1[[#This Row],[Origem]], 'Perguntas 1 a 24'!$J$28:$K$34, 2, 0)</f>
        <v>Sudeste</v>
      </c>
      <c r="E793" s="87" t="str">
        <f>Tabela1[[#This Row],[Descrição]]&amp;"-"&amp;Tabela1[[#This Row],[Código]]&amp;"/"&amp;Tabela1[[#This Row],[Origem]]</f>
        <v>Vepedadere-P116P325/SP</v>
      </c>
      <c r="F793" s="88">
        <v>45915</v>
      </c>
      <c r="G793" s="88" t="str" cm="1">
        <f t="array" ref="G7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AND(F793&gt;= DATE(2026,1,1), F793&lt;= DATE(2028, 12, 31), J793&gt;50000), "Pendente e Caro", AND(F793&gt;= DATE(2026,1,1), F793&lt;= DATE(2028, 12, 31), J793&lt;=50000), "Pendente", F793&gt;= DATE(2029,1,1), "Não prioeitário")</f>
        <v>Urgente</v>
      </c>
      <c r="H793" s="89">
        <f>YEAR(Tabela1[[#This Row],[Data de Validade]])</f>
        <v>2025</v>
      </c>
      <c r="I793" s="89">
        <f>MONTH(Tabela1[[#This Row],[Data de Validade]])</f>
        <v>9</v>
      </c>
      <c r="J793" s="101">
        <v>21118</v>
      </c>
      <c r="K793" s="87" t="s">
        <v>9</v>
      </c>
      <c r="L793" s="108"/>
      <c r="M793" s="108"/>
      <c r="N793" s="108" t="str">
        <v>P116P325</v>
      </c>
      <c r="O793" s="108">
        <f t="shared" si="14"/>
        <v>1</v>
      </c>
      <c r="P793" s="108"/>
      <c r="Q793"/>
    </row>
    <row r="794" spans="1:17" x14ac:dyDescent="0.25">
      <c r="A794" s="89" t="s">
        <v>7716</v>
      </c>
      <c r="B794" s="87" t="s">
        <v>7717</v>
      </c>
      <c r="C794" s="87" t="s">
        <v>16</v>
      </c>
      <c r="D794" s="87" t="str">
        <f>VLOOKUP(Tabela1[[#This Row],[Origem]], 'Perguntas 1 a 24'!$J$28:$K$34, 2, 0)</f>
        <v>Sudeste</v>
      </c>
      <c r="E794" s="87" t="str">
        <f>Tabela1[[#This Row],[Descrição]]&amp;"-"&amp;Tabela1[[#This Row],[Código]]&amp;"/"&amp;Tabela1[[#This Row],[Origem]]</f>
        <v>Farivafe-P473H497/MG</v>
      </c>
      <c r="F794" s="88">
        <v>45916</v>
      </c>
      <c r="G794" s="88" t="str" cm="1">
        <f t="array" ref="G7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AND(F794&gt;= DATE(2026,1,1), F794&lt;= DATE(2028, 12, 31), J794&gt;50000), "Pendente e Caro", AND(F794&gt;= DATE(2026,1,1), F794&lt;= DATE(2028, 12, 31), J794&lt;=50000), "Pendente", F794&gt;= DATE(2029,1,1), "Não prioeitário")</f>
        <v>Urgente e Caro</v>
      </c>
      <c r="H794" s="89">
        <f>YEAR(Tabela1[[#This Row],[Data de Validade]])</f>
        <v>2025</v>
      </c>
      <c r="I794" s="89">
        <f>MONTH(Tabela1[[#This Row],[Data de Validade]])</f>
        <v>9</v>
      </c>
      <c r="J794" s="101">
        <v>85897</v>
      </c>
      <c r="K794" s="87" t="s">
        <v>9</v>
      </c>
      <c r="L794" s="108"/>
      <c r="M794" s="108"/>
      <c r="N794" s="108" t="str">
        <v>P473H497</v>
      </c>
      <c r="O794" s="108">
        <f t="shared" si="14"/>
        <v>1</v>
      </c>
      <c r="P794" s="108"/>
      <c r="Q794"/>
    </row>
    <row r="795" spans="1:17" x14ac:dyDescent="0.25">
      <c r="A795" s="89" t="s">
        <v>7154</v>
      </c>
      <c r="B795" s="87" t="s">
        <v>7155</v>
      </c>
      <c r="C795" s="87" t="s">
        <v>16</v>
      </c>
      <c r="D795" s="87" t="str">
        <f>VLOOKUP(Tabela1[[#This Row],[Origem]], 'Perguntas 1 a 24'!$J$28:$K$34, 2, 0)</f>
        <v>Sudeste</v>
      </c>
      <c r="E795" s="87" t="str">
        <f>Tabela1[[#This Row],[Descrição]]&amp;"-"&amp;Tabela1[[#This Row],[Código]]&amp;"/"&amp;Tabela1[[#This Row],[Origem]]</f>
        <v>Lutanimiro-H877P742/MG</v>
      </c>
      <c r="F795" s="88">
        <v>45917</v>
      </c>
      <c r="G795" s="88" t="str" cm="1">
        <f t="array" ref="G7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AND(F795&gt;= DATE(2026,1,1), F795&lt;= DATE(2028, 12, 31), J795&gt;50000), "Pendente e Caro", AND(F795&gt;= DATE(2026,1,1), F795&lt;= DATE(2028, 12, 31), J795&lt;=50000), "Pendente", F795&gt;= DATE(2029,1,1), "Não prioeitário")</f>
        <v>Urgente e Caro</v>
      </c>
      <c r="H795" s="89">
        <f>YEAR(Tabela1[[#This Row],[Data de Validade]])</f>
        <v>2025</v>
      </c>
      <c r="I795" s="89">
        <f>MONTH(Tabela1[[#This Row],[Data de Validade]])</f>
        <v>9</v>
      </c>
      <c r="J795" s="101">
        <v>57509</v>
      </c>
      <c r="K795" s="87" t="s">
        <v>7</v>
      </c>
      <c r="L795" s="108"/>
      <c r="M795" s="108"/>
      <c r="N795" s="108" t="str">
        <v>H877P742</v>
      </c>
      <c r="O795" s="108">
        <f t="shared" si="14"/>
        <v>1</v>
      </c>
      <c r="P795" s="108"/>
      <c r="Q795"/>
    </row>
    <row r="796" spans="1:17" x14ac:dyDescent="0.25">
      <c r="A796" s="89" t="s">
        <v>7292</v>
      </c>
      <c r="B796" s="87" t="s">
        <v>7293</v>
      </c>
      <c r="C796" s="87" t="s">
        <v>6</v>
      </c>
      <c r="D796" s="87" t="str">
        <f>VLOOKUP(Tabela1[[#This Row],[Origem]], 'Perguntas 1 a 24'!$J$28:$K$34, 2, 0)</f>
        <v>Nordeste</v>
      </c>
      <c r="E796" s="87" t="str">
        <f>Tabela1[[#This Row],[Descrição]]&amp;"-"&amp;Tabela1[[#This Row],[Código]]&amp;"/"&amp;Tabela1[[#This Row],[Origem]]</f>
        <v>Fopemacapi-P751H241/MA</v>
      </c>
      <c r="F796" s="88">
        <v>45918</v>
      </c>
      <c r="G796" s="88" t="str" cm="1">
        <f t="array" ref="G7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AND(F796&gt;= DATE(2026,1,1), F796&lt;= DATE(2028, 12, 31), J796&gt;50000), "Pendente e Caro", AND(F796&gt;= DATE(2026,1,1), F796&lt;= DATE(2028, 12, 31), J796&lt;=50000), "Pendente", F796&gt;= DATE(2029,1,1), "Não prioeitário")</f>
        <v>Urgente e Caro</v>
      </c>
      <c r="H796" s="89">
        <f>YEAR(Tabela1[[#This Row],[Data de Validade]])</f>
        <v>2025</v>
      </c>
      <c r="I796" s="89">
        <f>MONTH(Tabela1[[#This Row],[Data de Validade]])</f>
        <v>9</v>
      </c>
      <c r="J796" s="101">
        <v>71275</v>
      </c>
      <c r="K796" s="87" t="s">
        <v>7</v>
      </c>
      <c r="L796" s="108"/>
      <c r="M796" s="108"/>
      <c r="N796" s="108" t="str">
        <v>P751H241</v>
      </c>
      <c r="O796" s="108">
        <f t="shared" si="14"/>
        <v>1</v>
      </c>
      <c r="P796" s="108"/>
      <c r="Q796"/>
    </row>
    <row r="797" spans="1:17" x14ac:dyDescent="0.25">
      <c r="A797" s="89" t="s">
        <v>3890</v>
      </c>
      <c r="B797" s="87" t="s">
        <v>3891</v>
      </c>
      <c r="C797" s="87" t="s">
        <v>16</v>
      </c>
      <c r="D797" s="87" t="str">
        <f>VLOOKUP(Tabela1[[#This Row],[Origem]], 'Perguntas 1 a 24'!$J$28:$K$34, 2, 0)</f>
        <v>Sudeste</v>
      </c>
      <c r="E797" s="87" t="str">
        <f>Tabela1[[#This Row],[Descrição]]&amp;"-"&amp;Tabela1[[#This Row],[Código]]&amp;"/"&amp;Tabela1[[#This Row],[Origem]]</f>
        <v>Mifimupo-P892H365/MG</v>
      </c>
      <c r="F797" s="88">
        <v>45919</v>
      </c>
      <c r="G797" s="88" t="str" cm="1">
        <f t="array" ref="G7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AND(F797&gt;= DATE(2026,1,1), F797&lt;= DATE(2028, 12, 31), J797&gt;50000), "Pendente e Caro", AND(F797&gt;= DATE(2026,1,1), F797&lt;= DATE(2028, 12, 31), J797&lt;=50000), "Pendente", F797&gt;= DATE(2029,1,1), "Não prioeitário")</f>
        <v>Urgente e Caro</v>
      </c>
      <c r="H797" s="89">
        <f>YEAR(Tabela1[[#This Row],[Data de Validade]])</f>
        <v>2025</v>
      </c>
      <c r="I797" s="89">
        <f>MONTH(Tabela1[[#This Row],[Data de Validade]])</f>
        <v>9</v>
      </c>
      <c r="J797" s="101">
        <v>112547</v>
      </c>
      <c r="K797" s="87" t="s">
        <v>11</v>
      </c>
      <c r="L797" s="108"/>
      <c r="M797" s="108"/>
      <c r="N797" s="108" t="str">
        <v>P892H365</v>
      </c>
      <c r="O797" s="108">
        <f t="shared" si="14"/>
        <v>1</v>
      </c>
      <c r="P797" s="108"/>
      <c r="Q797"/>
    </row>
    <row r="798" spans="1:17" x14ac:dyDescent="0.25">
      <c r="A798" s="89" t="s">
        <v>7826</v>
      </c>
      <c r="B798" s="87" t="s">
        <v>7827</v>
      </c>
      <c r="C798" s="87" t="s">
        <v>10</v>
      </c>
      <c r="D798" s="87" t="str">
        <f>VLOOKUP(Tabela1[[#This Row],[Origem]], 'Perguntas 1 a 24'!$J$28:$K$34, 2, 0)</f>
        <v>Centro-Oeste</v>
      </c>
      <c r="E798" s="87" t="str">
        <f>Tabela1[[#This Row],[Descrição]]&amp;"-"&amp;Tabela1[[#This Row],[Código]]&amp;"/"&amp;Tabela1[[#This Row],[Origem]]</f>
        <v>Padivige-H797P781/GO</v>
      </c>
      <c r="F798" s="88">
        <v>45920</v>
      </c>
      <c r="G798" s="88" t="str" cm="1">
        <f t="array" ref="G7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AND(F798&gt;= DATE(2026,1,1), F798&lt;= DATE(2028, 12, 31), J798&gt;50000), "Pendente e Caro", AND(F798&gt;= DATE(2026,1,1), F798&lt;= DATE(2028, 12, 31), J798&lt;=50000), "Pendente", F798&gt;= DATE(2029,1,1), "Não prioeitário")</f>
        <v>Urgente e Caro</v>
      </c>
      <c r="H798" s="89">
        <f>YEAR(Tabela1[[#This Row],[Data de Validade]])</f>
        <v>2025</v>
      </c>
      <c r="I798" s="89">
        <f>MONTH(Tabela1[[#This Row],[Data de Validade]])</f>
        <v>9</v>
      </c>
      <c r="J798" s="101">
        <v>78042</v>
      </c>
      <c r="K798" s="87" t="s">
        <v>14</v>
      </c>
      <c r="L798" s="108"/>
      <c r="M798" s="108"/>
      <c r="N798" s="108" t="str">
        <v>H797P781</v>
      </c>
      <c r="O798" s="108">
        <f t="shared" si="14"/>
        <v>1</v>
      </c>
      <c r="P798" s="108"/>
      <c r="Q798"/>
    </row>
    <row r="799" spans="1:17" x14ac:dyDescent="0.25">
      <c r="A799" s="89" t="s">
        <v>6504</v>
      </c>
      <c r="B799" s="87" t="s">
        <v>6505</v>
      </c>
      <c r="C799" s="87" t="s">
        <v>16</v>
      </c>
      <c r="D799" s="87" t="str">
        <f>VLOOKUP(Tabela1[[#This Row],[Origem]], 'Perguntas 1 a 24'!$J$28:$K$34, 2, 0)</f>
        <v>Sudeste</v>
      </c>
      <c r="E799" s="87" t="str">
        <f>Tabela1[[#This Row],[Descrição]]&amp;"-"&amp;Tabela1[[#This Row],[Código]]&amp;"/"&amp;Tabela1[[#This Row],[Origem]]</f>
        <v>Dupapi-H528P561/MG</v>
      </c>
      <c r="F799" s="88">
        <v>45920</v>
      </c>
      <c r="G799" s="88" t="str" cm="1">
        <f t="array" ref="G7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AND(F799&gt;= DATE(2026,1,1), F799&lt;= DATE(2028, 12, 31), J799&gt;50000), "Pendente e Caro", AND(F799&gt;= DATE(2026,1,1), F799&lt;= DATE(2028, 12, 31), J799&lt;=50000), "Pendente", F799&gt;= DATE(2029,1,1), "Não prioeitário")</f>
        <v>Urgente e Caro</v>
      </c>
      <c r="H799" s="89">
        <f>YEAR(Tabela1[[#This Row],[Data de Validade]])</f>
        <v>2025</v>
      </c>
      <c r="I799" s="89">
        <f>MONTH(Tabela1[[#This Row],[Data de Validade]])</f>
        <v>9</v>
      </c>
      <c r="J799" s="101">
        <v>65769</v>
      </c>
      <c r="K799" s="87" t="s">
        <v>11</v>
      </c>
      <c r="L799" s="108"/>
      <c r="M799" s="108"/>
      <c r="N799" s="108" t="str">
        <v>H528P561</v>
      </c>
      <c r="O799" s="108">
        <f t="shared" si="14"/>
        <v>1</v>
      </c>
      <c r="P799" s="108"/>
      <c r="Q799"/>
    </row>
    <row r="800" spans="1:17" x14ac:dyDescent="0.25">
      <c r="A800" s="89" t="s">
        <v>9807</v>
      </c>
      <c r="B800" s="87" t="s">
        <v>9808</v>
      </c>
      <c r="C800" s="87" t="s">
        <v>16</v>
      </c>
      <c r="D800" s="87" t="str">
        <f>VLOOKUP(Tabela1[[#This Row],[Origem]], 'Perguntas 1 a 24'!$J$28:$K$34, 2, 0)</f>
        <v>Sudeste</v>
      </c>
      <c r="E800" s="87" t="str">
        <f>Tabela1[[#This Row],[Descrição]]&amp;"-"&amp;Tabela1[[#This Row],[Código]]&amp;"/"&amp;Tabela1[[#This Row],[Origem]]</f>
        <v>Tanulo-P421H184/MG</v>
      </c>
      <c r="F800" s="88">
        <v>45921</v>
      </c>
      <c r="G800" s="88" t="str" cm="1">
        <f t="array" ref="G8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AND(F800&gt;= DATE(2026,1,1), F800&lt;= DATE(2028, 12, 31), J800&gt;50000), "Pendente e Caro", AND(F800&gt;= DATE(2026,1,1), F800&lt;= DATE(2028, 12, 31), J800&lt;=50000), "Pendente", F800&gt;= DATE(2029,1,1), "Não prioeitário")</f>
        <v>Urgente e Caro</v>
      </c>
      <c r="H800" s="89">
        <f>YEAR(Tabela1[[#This Row],[Data de Validade]])</f>
        <v>2025</v>
      </c>
      <c r="I800" s="89">
        <f>MONTH(Tabela1[[#This Row],[Data de Validade]])</f>
        <v>9</v>
      </c>
      <c r="J800" s="101">
        <v>112584</v>
      </c>
      <c r="K800" s="87" t="s">
        <v>7</v>
      </c>
      <c r="L800" s="108"/>
      <c r="M800" s="108"/>
      <c r="N800" s="108" t="str">
        <v>P421H184</v>
      </c>
      <c r="O800" s="108">
        <f t="shared" si="14"/>
        <v>1</v>
      </c>
      <c r="P800" s="108"/>
      <c r="Q800"/>
    </row>
    <row r="801" spans="1:17" x14ac:dyDescent="0.25">
      <c r="A801" s="89" t="s">
        <v>3908</v>
      </c>
      <c r="B801" s="87" t="s">
        <v>3909</v>
      </c>
      <c r="C801" s="87" t="s">
        <v>16</v>
      </c>
      <c r="D801" s="87" t="str">
        <f>VLOOKUP(Tabela1[[#This Row],[Origem]], 'Perguntas 1 a 24'!$J$28:$K$34, 2, 0)</f>
        <v>Sudeste</v>
      </c>
      <c r="E801" s="87" t="str">
        <f>Tabela1[[#This Row],[Descrição]]&amp;"-"&amp;Tabela1[[#This Row],[Código]]&amp;"/"&amp;Tabela1[[#This Row],[Origem]]</f>
        <v>Vifefififi-P142H654/MG</v>
      </c>
      <c r="F801" s="88">
        <v>45921</v>
      </c>
      <c r="G801" s="88" t="str" cm="1">
        <f t="array" ref="G8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AND(F801&gt;= DATE(2026,1,1), F801&lt;= DATE(2028, 12, 31), J801&gt;50000), "Pendente e Caro", AND(F801&gt;= DATE(2026,1,1), F801&lt;= DATE(2028, 12, 31), J801&lt;=50000), "Pendente", F801&gt;= DATE(2029,1,1), "Não prioeitário")</f>
        <v>Urgente e Caro</v>
      </c>
      <c r="H801" s="89">
        <f>YEAR(Tabela1[[#This Row],[Data de Validade]])</f>
        <v>2025</v>
      </c>
      <c r="I801" s="89">
        <f>MONTH(Tabela1[[#This Row],[Data de Validade]])</f>
        <v>9</v>
      </c>
      <c r="J801" s="101">
        <v>105669</v>
      </c>
      <c r="K801" s="87" t="s">
        <v>9</v>
      </c>
      <c r="L801" s="108"/>
      <c r="M801" s="108"/>
      <c r="N801" s="108" t="str">
        <v>P142H654</v>
      </c>
      <c r="O801" s="108">
        <f t="shared" si="14"/>
        <v>1</v>
      </c>
      <c r="P801" s="108"/>
      <c r="Q801"/>
    </row>
    <row r="802" spans="1:17" x14ac:dyDescent="0.25">
      <c r="A802" s="89" t="s">
        <v>4193</v>
      </c>
      <c r="B802" s="87" t="s">
        <v>4194</v>
      </c>
      <c r="C802" s="87" t="s">
        <v>13</v>
      </c>
      <c r="D802" s="87" t="str">
        <f>VLOOKUP(Tabela1[[#This Row],[Origem]], 'Perguntas 1 a 24'!$J$28:$K$34, 2, 0)</f>
        <v>Sudeste</v>
      </c>
      <c r="E802" s="87" t="str">
        <f>Tabela1[[#This Row],[Descrição]]&amp;"-"&amp;Tabela1[[#This Row],[Código]]&amp;"/"&amp;Tabela1[[#This Row],[Origem]]</f>
        <v>Fadetige-H543H718/SP</v>
      </c>
      <c r="F802" s="88">
        <v>45921</v>
      </c>
      <c r="G802" s="88" t="str" cm="1">
        <f t="array" ref="G8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AND(F802&gt;= DATE(2026,1,1), F802&lt;= DATE(2028, 12, 31), J802&gt;50000), "Pendente e Caro", AND(F802&gt;= DATE(2026,1,1), F802&lt;= DATE(2028, 12, 31), J802&lt;=50000), "Pendente", F802&gt;= DATE(2029,1,1), "Não prioeitário")</f>
        <v>Urgente</v>
      </c>
      <c r="H802" s="89">
        <f>YEAR(Tabela1[[#This Row],[Data de Validade]])</f>
        <v>2025</v>
      </c>
      <c r="I802" s="89">
        <f>MONTH(Tabela1[[#This Row],[Data de Validade]])</f>
        <v>9</v>
      </c>
      <c r="J802" s="101">
        <v>20921</v>
      </c>
      <c r="K802" s="87" t="s">
        <v>14</v>
      </c>
      <c r="L802" s="108"/>
      <c r="M802" s="108"/>
      <c r="N802" s="108" t="str">
        <v>H543H718</v>
      </c>
      <c r="O802" s="108">
        <f t="shared" si="14"/>
        <v>1</v>
      </c>
      <c r="P802" s="108"/>
      <c r="Q802"/>
    </row>
    <row r="803" spans="1:17" x14ac:dyDescent="0.25">
      <c r="A803" s="89" t="s">
        <v>10669</v>
      </c>
      <c r="B803" s="87" t="s">
        <v>10670</v>
      </c>
      <c r="C803" s="87" t="s">
        <v>10</v>
      </c>
      <c r="D803" s="87" t="str">
        <f>VLOOKUP(Tabela1[[#This Row],[Origem]], 'Perguntas 1 a 24'!$J$28:$K$34, 2, 0)</f>
        <v>Centro-Oeste</v>
      </c>
      <c r="E803" s="87" t="str">
        <f>Tabela1[[#This Row],[Descrição]]&amp;"-"&amp;Tabela1[[#This Row],[Código]]&amp;"/"&amp;Tabela1[[#This Row],[Origem]]</f>
        <v>Nutuvi-H441H196/GO</v>
      </c>
      <c r="F803" s="88">
        <v>45923</v>
      </c>
      <c r="G803" s="88" t="str" cm="1">
        <f t="array" ref="G8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AND(F803&gt;= DATE(2026,1,1), F803&lt;= DATE(2028, 12, 31), J803&gt;50000), "Pendente e Caro", AND(F803&gt;= DATE(2026,1,1), F803&lt;= DATE(2028, 12, 31), J803&lt;=50000), "Pendente", F803&gt;= DATE(2029,1,1), "Não prioeitário")</f>
        <v>Urgente e Caro</v>
      </c>
      <c r="H803" s="89">
        <f>YEAR(Tabela1[[#This Row],[Data de Validade]])</f>
        <v>2025</v>
      </c>
      <c r="I803" s="89">
        <f>MONTH(Tabela1[[#This Row],[Data de Validade]])</f>
        <v>9</v>
      </c>
      <c r="J803" s="101">
        <v>110508</v>
      </c>
      <c r="K803" s="87" t="s">
        <v>11</v>
      </c>
      <c r="L803" s="108"/>
      <c r="M803" s="108"/>
      <c r="N803" s="108" t="str">
        <v>H441H196</v>
      </c>
      <c r="O803" s="108">
        <f t="shared" si="14"/>
        <v>1</v>
      </c>
      <c r="P803" s="108"/>
      <c r="Q803"/>
    </row>
    <row r="804" spans="1:17" x14ac:dyDescent="0.25">
      <c r="A804" s="89" t="s">
        <v>6562</v>
      </c>
      <c r="B804" s="87" t="s">
        <v>6563</v>
      </c>
      <c r="C804" s="87" t="s">
        <v>15</v>
      </c>
      <c r="D804" s="87" t="str">
        <f>VLOOKUP(Tabela1[[#This Row],[Origem]], 'Perguntas 1 a 24'!$J$28:$K$34, 2, 0)</f>
        <v>Sudeste</v>
      </c>
      <c r="E804" s="87" t="str">
        <f>Tabela1[[#This Row],[Descrição]]&amp;"-"&amp;Tabela1[[#This Row],[Código]]&amp;"/"&amp;Tabela1[[#This Row],[Origem]]</f>
        <v>Milipefe-P826P297/ES</v>
      </c>
      <c r="F804" s="88">
        <v>45923</v>
      </c>
      <c r="G804" s="88" t="str" cm="1">
        <f t="array" ref="G8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AND(F804&gt;= DATE(2026,1,1), F804&lt;= DATE(2028, 12, 31), J804&gt;50000), "Pendente e Caro", AND(F804&gt;= DATE(2026,1,1), F804&lt;= DATE(2028, 12, 31), J804&lt;=50000), "Pendente", F804&gt;= DATE(2029,1,1), "Não prioeitário")</f>
        <v>Urgente e Caro</v>
      </c>
      <c r="H804" s="89">
        <f>YEAR(Tabela1[[#This Row],[Data de Validade]])</f>
        <v>2025</v>
      </c>
      <c r="I804" s="89">
        <f>MONTH(Tabela1[[#This Row],[Data de Validade]])</f>
        <v>9</v>
      </c>
      <c r="J804" s="101">
        <v>59189</v>
      </c>
      <c r="K804" s="87" t="s">
        <v>14</v>
      </c>
      <c r="L804" s="108"/>
      <c r="M804" s="108"/>
      <c r="N804" s="108" t="str">
        <v>P826P297</v>
      </c>
      <c r="O804" s="108">
        <f t="shared" si="14"/>
        <v>1</v>
      </c>
      <c r="P804" s="108"/>
      <c r="Q804"/>
    </row>
    <row r="805" spans="1:17" x14ac:dyDescent="0.25">
      <c r="A805" s="89" t="s">
        <v>9725</v>
      </c>
      <c r="B805" s="87" t="s">
        <v>9726</v>
      </c>
      <c r="C805" s="87" t="s">
        <v>12</v>
      </c>
      <c r="D805" s="87" t="str">
        <f>VLOOKUP(Tabela1[[#This Row],[Origem]], 'Perguntas 1 a 24'!$J$28:$K$34, 2, 0)</f>
        <v>Sudeste</v>
      </c>
      <c r="E805" s="87" t="str">
        <f>Tabela1[[#This Row],[Descrição]]&amp;"-"&amp;Tabela1[[#This Row],[Código]]&amp;"/"&amp;Tabela1[[#This Row],[Origem]]</f>
        <v>Popafirure-P164H955/RJ</v>
      </c>
      <c r="F805" s="88">
        <v>45924</v>
      </c>
      <c r="G805" s="88" t="str" cm="1">
        <f t="array" ref="G8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AND(F805&gt;= DATE(2026,1,1), F805&lt;= DATE(2028, 12, 31), J805&gt;50000), "Pendente e Caro", AND(F805&gt;= DATE(2026,1,1), F805&lt;= DATE(2028, 12, 31), J805&lt;=50000), "Pendente", F805&gt;= DATE(2029,1,1), "Não prioeitário")</f>
        <v>Urgente e Caro</v>
      </c>
      <c r="H805" s="89">
        <f>YEAR(Tabela1[[#This Row],[Data de Validade]])</f>
        <v>2025</v>
      </c>
      <c r="I805" s="89">
        <f>MONTH(Tabela1[[#This Row],[Data de Validade]])</f>
        <v>9</v>
      </c>
      <c r="J805" s="101">
        <v>95996</v>
      </c>
      <c r="K805" s="87" t="s">
        <v>9</v>
      </c>
      <c r="L805" s="108"/>
      <c r="M805" s="108"/>
      <c r="N805" s="108" t="str">
        <v>P164H955</v>
      </c>
      <c r="O805" s="108">
        <f t="shared" si="14"/>
        <v>1</v>
      </c>
      <c r="P805" s="108"/>
      <c r="Q805"/>
    </row>
    <row r="806" spans="1:17" x14ac:dyDescent="0.25">
      <c r="A806" s="89" t="s">
        <v>6338</v>
      </c>
      <c r="B806" s="87" t="s">
        <v>6339</v>
      </c>
      <c r="C806" s="87" t="s">
        <v>8</v>
      </c>
      <c r="D806" s="87" t="str">
        <f>VLOOKUP(Tabela1[[#This Row],[Origem]], 'Perguntas 1 a 24'!$J$28:$K$34, 2, 0)</f>
        <v>Nordeste</v>
      </c>
      <c r="E806" s="87" t="str">
        <f>Tabela1[[#This Row],[Descrição]]&amp;"-"&amp;Tabela1[[#This Row],[Código]]&amp;"/"&amp;Tabela1[[#This Row],[Origem]]</f>
        <v>Roniti-H652H422/AL</v>
      </c>
      <c r="F806" s="88">
        <v>45924</v>
      </c>
      <c r="G806" s="88" t="str" cm="1">
        <f t="array" ref="G8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AND(F806&gt;= DATE(2026,1,1), F806&lt;= DATE(2028, 12, 31), J806&gt;50000), "Pendente e Caro", AND(F806&gt;= DATE(2026,1,1), F806&lt;= DATE(2028, 12, 31), J806&lt;=50000), "Pendente", F806&gt;= DATE(2029,1,1), "Não prioeitário")</f>
        <v>Urgente e Caro</v>
      </c>
      <c r="H806" s="89">
        <f>YEAR(Tabela1[[#This Row],[Data de Validade]])</f>
        <v>2025</v>
      </c>
      <c r="I806" s="89">
        <f>MONTH(Tabela1[[#This Row],[Data de Validade]])</f>
        <v>9</v>
      </c>
      <c r="J806" s="101">
        <v>50088</v>
      </c>
      <c r="K806" s="87" t="s">
        <v>14</v>
      </c>
      <c r="L806" s="108"/>
      <c r="M806" s="108"/>
      <c r="N806" s="108" t="str">
        <v>H652H422</v>
      </c>
      <c r="O806" s="108">
        <f t="shared" si="14"/>
        <v>1</v>
      </c>
      <c r="P806" s="108"/>
      <c r="Q806"/>
    </row>
    <row r="807" spans="1:17" x14ac:dyDescent="0.25">
      <c r="A807" s="89" t="s">
        <v>7726</v>
      </c>
      <c r="B807" s="87" t="s">
        <v>7727</v>
      </c>
      <c r="C807" s="87" t="s">
        <v>6</v>
      </c>
      <c r="D807" s="87" t="str">
        <f>VLOOKUP(Tabela1[[#This Row],[Origem]], 'Perguntas 1 a 24'!$J$28:$K$34, 2, 0)</f>
        <v>Nordeste</v>
      </c>
      <c r="E807" s="87" t="str">
        <f>Tabela1[[#This Row],[Descrição]]&amp;"-"&amp;Tabela1[[#This Row],[Código]]&amp;"/"&amp;Tabela1[[#This Row],[Origem]]</f>
        <v>Ridanefe-P827P769/MA</v>
      </c>
      <c r="F807" s="88">
        <v>45925</v>
      </c>
      <c r="G807" s="88" t="str" cm="1">
        <f t="array" ref="G8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AND(F807&gt;= DATE(2026,1,1), F807&lt;= DATE(2028, 12, 31), J807&gt;50000), "Pendente e Caro", AND(F807&gt;= DATE(2026,1,1), F807&lt;= DATE(2028, 12, 31), J807&lt;=50000), "Pendente", F807&gt;= DATE(2029,1,1), "Não prioeitário")</f>
        <v>Urgente e Caro</v>
      </c>
      <c r="H807" s="89">
        <f>YEAR(Tabela1[[#This Row],[Data de Validade]])</f>
        <v>2025</v>
      </c>
      <c r="I807" s="89">
        <f>MONTH(Tabela1[[#This Row],[Data de Validade]])</f>
        <v>9</v>
      </c>
      <c r="J807" s="101">
        <v>107795</v>
      </c>
      <c r="K807" s="87" t="s">
        <v>9</v>
      </c>
      <c r="L807" s="108"/>
      <c r="M807" s="108"/>
      <c r="N807" s="108" t="str">
        <v>P827P769</v>
      </c>
      <c r="O807" s="108">
        <f t="shared" si="14"/>
        <v>1</v>
      </c>
      <c r="P807" s="108"/>
      <c r="Q807"/>
    </row>
    <row r="808" spans="1:17" x14ac:dyDescent="0.25">
      <c r="A808" s="89" t="s">
        <v>6774</v>
      </c>
      <c r="B808" s="87" t="s">
        <v>6775</v>
      </c>
      <c r="C808" s="87" t="s">
        <v>10</v>
      </c>
      <c r="D808" s="87" t="str">
        <f>VLOOKUP(Tabela1[[#This Row],[Origem]], 'Perguntas 1 a 24'!$J$28:$K$34, 2, 0)</f>
        <v>Centro-Oeste</v>
      </c>
      <c r="E808" s="87" t="str">
        <f>Tabela1[[#This Row],[Descrição]]&amp;"-"&amp;Tabela1[[#This Row],[Código]]&amp;"/"&amp;Tabela1[[#This Row],[Origem]]</f>
        <v>Teracuruca-P249P441/GO</v>
      </c>
      <c r="F808" s="88">
        <v>45925</v>
      </c>
      <c r="G808" s="88" t="str" cm="1">
        <f t="array" ref="G8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AND(F808&gt;= DATE(2026,1,1), F808&lt;= DATE(2028, 12, 31), J808&gt;50000), "Pendente e Caro", AND(F808&gt;= DATE(2026,1,1), F808&lt;= DATE(2028, 12, 31), J808&lt;=50000), "Pendente", F808&gt;= DATE(2029,1,1), "Não prioeitário")</f>
        <v>Urgente e Caro</v>
      </c>
      <c r="H808" s="89">
        <f>YEAR(Tabela1[[#This Row],[Data de Validade]])</f>
        <v>2025</v>
      </c>
      <c r="I808" s="89">
        <f>MONTH(Tabela1[[#This Row],[Data de Validade]])</f>
        <v>9</v>
      </c>
      <c r="J808" s="101">
        <v>103759</v>
      </c>
      <c r="K808" s="87" t="s">
        <v>14</v>
      </c>
      <c r="L808" s="108"/>
      <c r="M808" s="108"/>
      <c r="N808" s="108" t="str">
        <v>P249P441</v>
      </c>
      <c r="O808" s="108">
        <f t="shared" si="14"/>
        <v>1</v>
      </c>
      <c r="P808" s="108"/>
      <c r="Q808"/>
    </row>
    <row r="809" spans="1:17" x14ac:dyDescent="0.25">
      <c r="A809" s="89" t="s">
        <v>7900</v>
      </c>
      <c r="B809" s="87" t="s">
        <v>7901</v>
      </c>
      <c r="C809" s="87" t="s">
        <v>15</v>
      </c>
      <c r="D809" s="87" t="str">
        <f>VLOOKUP(Tabela1[[#This Row],[Origem]], 'Perguntas 1 a 24'!$J$28:$K$34, 2, 0)</f>
        <v>Sudeste</v>
      </c>
      <c r="E809" s="87" t="str">
        <f>Tabela1[[#This Row],[Descrição]]&amp;"-"&amp;Tabela1[[#This Row],[Código]]&amp;"/"&amp;Tabela1[[#This Row],[Origem]]</f>
        <v>Vutuca-H579H196/ES</v>
      </c>
      <c r="F809" s="88">
        <v>45925</v>
      </c>
      <c r="G809" s="88" t="str" cm="1">
        <f t="array" ref="G8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AND(F809&gt;= DATE(2026,1,1), F809&lt;= DATE(2028, 12, 31), J809&gt;50000), "Pendente e Caro", AND(F809&gt;= DATE(2026,1,1), F809&lt;= DATE(2028, 12, 31), J809&lt;=50000), "Pendente", F809&gt;= DATE(2029,1,1), "Não prioeitário")</f>
        <v>Urgente e Caro</v>
      </c>
      <c r="H809" s="89">
        <f>YEAR(Tabela1[[#This Row],[Data de Validade]])</f>
        <v>2025</v>
      </c>
      <c r="I809" s="89">
        <f>MONTH(Tabela1[[#This Row],[Data de Validade]])</f>
        <v>9</v>
      </c>
      <c r="J809" s="101">
        <v>88892</v>
      </c>
      <c r="K809" s="87" t="s">
        <v>11</v>
      </c>
      <c r="L809" s="108"/>
      <c r="M809" s="108"/>
      <c r="N809" s="108" t="str">
        <v>H579H196</v>
      </c>
      <c r="O809" s="108">
        <f t="shared" si="14"/>
        <v>1</v>
      </c>
      <c r="P809" s="108"/>
      <c r="Q809"/>
    </row>
    <row r="810" spans="1:17" x14ac:dyDescent="0.25">
      <c r="A810" s="89" t="s">
        <v>10697</v>
      </c>
      <c r="B810" s="87" t="s">
        <v>10698</v>
      </c>
      <c r="C810" s="87" t="s">
        <v>10</v>
      </c>
      <c r="D810" s="87" t="str">
        <f>VLOOKUP(Tabela1[[#This Row],[Origem]], 'Perguntas 1 a 24'!$J$28:$K$34, 2, 0)</f>
        <v>Centro-Oeste</v>
      </c>
      <c r="E810" s="87" t="str">
        <f>Tabela1[[#This Row],[Descrição]]&amp;"-"&amp;Tabela1[[#This Row],[Código]]&amp;"/"&amp;Tabela1[[#This Row],[Origem]]</f>
        <v>Rocurafatu-P633P762/GO</v>
      </c>
      <c r="F810" s="88">
        <v>45925</v>
      </c>
      <c r="G810" s="88" t="str" cm="1">
        <f t="array" ref="G8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AND(F810&gt;= DATE(2026,1,1), F810&lt;= DATE(2028, 12, 31), J810&gt;50000), "Pendente e Caro", AND(F810&gt;= DATE(2026,1,1), F810&lt;= DATE(2028, 12, 31), J810&lt;=50000), "Pendente", F810&gt;= DATE(2029,1,1), "Não prioeitário")</f>
        <v>Urgente e Caro</v>
      </c>
      <c r="H810" s="89">
        <f>YEAR(Tabela1[[#This Row],[Data de Validade]])</f>
        <v>2025</v>
      </c>
      <c r="I810" s="89">
        <f>MONTH(Tabela1[[#This Row],[Data de Validade]])</f>
        <v>9</v>
      </c>
      <c r="J810" s="101">
        <v>62708</v>
      </c>
      <c r="K810" s="87" t="s">
        <v>14</v>
      </c>
      <c r="L810" s="108"/>
      <c r="M810" s="108"/>
      <c r="N810" s="108" t="str">
        <v>P633P762</v>
      </c>
      <c r="O810" s="108">
        <f t="shared" si="14"/>
        <v>1</v>
      </c>
      <c r="P810" s="108"/>
      <c r="Q810"/>
    </row>
    <row r="811" spans="1:17" x14ac:dyDescent="0.25">
      <c r="A811" s="89" t="s">
        <v>10725</v>
      </c>
      <c r="B811" s="87" t="s">
        <v>10726</v>
      </c>
      <c r="C811" s="87" t="s">
        <v>15</v>
      </c>
      <c r="D811" s="87" t="str">
        <f>VLOOKUP(Tabela1[[#This Row],[Origem]], 'Perguntas 1 a 24'!$J$28:$K$34, 2, 0)</f>
        <v>Sudeste</v>
      </c>
      <c r="E811" s="87" t="str">
        <f>Tabela1[[#This Row],[Descrição]]&amp;"-"&amp;Tabela1[[#This Row],[Código]]&amp;"/"&amp;Tabela1[[#This Row],[Origem]]</f>
        <v>Panapuce-H823H576/ES</v>
      </c>
      <c r="F811" s="88">
        <v>45926</v>
      </c>
      <c r="G811" s="88" t="str" cm="1">
        <f t="array" ref="G8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AND(F811&gt;= DATE(2026,1,1), F811&lt;= DATE(2028, 12, 31), J811&gt;50000), "Pendente e Caro", AND(F811&gt;= DATE(2026,1,1), F811&lt;= DATE(2028, 12, 31), J811&lt;=50000), "Pendente", F811&gt;= DATE(2029,1,1), "Não prioeitário")</f>
        <v>Urgente e Caro</v>
      </c>
      <c r="H811" s="89">
        <f>YEAR(Tabela1[[#This Row],[Data de Validade]])</f>
        <v>2025</v>
      </c>
      <c r="I811" s="89">
        <f>MONTH(Tabela1[[#This Row],[Data de Validade]])</f>
        <v>9</v>
      </c>
      <c r="J811" s="101">
        <v>88333</v>
      </c>
      <c r="K811" s="87" t="s">
        <v>11</v>
      </c>
      <c r="L811" s="108"/>
      <c r="M811" s="108"/>
      <c r="N811" s="108" t="str">
        <v>H823H576</v>
      </c>
      <c r="O811" s="108">
        <f t="shared" si="14"/>
        <v>1</v>
      </c>
      <c r="P811" s="108"/>
      <c r="Q811"/>
    </row>
    <row r="812" spans="1:17" x14ac:dyDescent="0.25">
      <c r="A812" s="89" t="s">
        <v>10625</v>
      </c>
      <c r="B812" s="87" t="s">
        <v>10626</v>
      </c>
      <c r="C812" s="87" t="s">
        <v>15</v>
      </c>
      <c r="D812" s="87" t="str">
        <f>VLOOKUP(Tabela1[[#This Row],[Origem]], 'Perguntas 1 a 24'!$J$28:$K$34, 2, 0)</f>
        <v>Sudeste</v>
      </c>
      <c r="E812" s="87" t="str">
        <f>Tabela1[[#This Row],[Descrição]]&amp;"-"&amp;Tabela1[[#This Row],[Código]]&amp;"/"&amp;Tabela1[[#This Row],[Origem]]</f>
        <v>Copocaco-P225H561/ES</v>
      </c>
      <c r="F812" s="88">
        <v>45927</v>
      </c>
      <c r="G812" s="88" t="str" cm="1">
        <f t="array" ref="G8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AND(F812&gt;= DATE(2026,1,1), F812&lt;= DATE(2028, 12, 31), J812&gt;50000), "Pendente e Caro", AND(F812&gt;= DATE(2026,1,1), F812&lt;= DATE(2028, 12, 31), J812&lt;=50000), "Pendente", F812&gt;= DATE(2029,1,1), "Não prioeitário")</f>
        <v>Urgente e Caro</v>
      </c>
      <c r="H812" s="89">
        <f>YEAR(Tabela1[[#This Row],[Data de Validade]])</f>
        <v>2025</v>
      </c>
      <c r="I812" s="89">
        <f>MONTH(Tabela1[[#This Row],[Data de Validade]])</f>
        <v>9</v>
      </c>
      <c r="J812" s="101">
        <v>81198</v>
      </c>
      <c r="K812" s="87" t="s">
        <v>9</v>
      </c>
      <c r="L812" s="108"/>
      <c r="M812" s="108"/>
      <c r="N812" s="108" t="str">
        <v>P225H561</v>
      </c>
      <c r="O812" s="108">
        <f t="shared" si="14"/>
        <v>1</v>
      </c>
      <c r="P812" s="108"/>
      <c r="Q812"/>
    </row>
    <row r="813" spans="1:17" x14ac:dyDescent="0.25">
      <c r="A813" s="89" t="s">
        <v>8016</v>
      </c>
      <c r="B813" s="87" t="s">
        <v>8017</v>
      </c>
      <c r="C813" s="87" t="s">
        <v>10</v>
      </c>
      <c r="D813" s="87" t="str">
        <f>VLOOKUP(Tabela1[[#This Row],[Origem]], 'Perguntas 1 a 24'!$J$28:$K$34, 2, 0)</f>
        <v>Centro-Oeste</v>
      </c>
      <c r="E813" s="87" t="str">
        <f>Tabela1[[#This Row],[Descrição]]&amp;"-"&amp;Tabela1[[#This Row],[Código]]&amp;"/"&amp;Tabela1[[#This Row],[Origem]]</f>
        <v>Fimavi-H782P529/GO</v>
      </c>
      <c r="F813" s="88">
        <v>45927</v>
      </c>
      <c r="G813" s="88" t="str" cm="1">
        <f t="array" ref="G8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AND(F813&gt;= DATE(2026,1,1), F813&lt;= DATE(2028, 12, 31), J813&gt;50000), "Pendente e Caro", AND(F813&gt;= DATE(2026,1,1), F813&lt;= DATE(2028, 12, 31), J813&lt;=50000), "Pendente", F813&gt;= DATE(2029,1,1), "Não prioeitário")</f>
        <v>Urgente</v>
      </c>
      <c r="H813" s="89">
        <f>YEAR(Tabela1[[#This Row],[Data de Validade]])</f>
        <v>2025</v>
      </c>
      <c r="I813" s="89">
        <f>MONTH(Tabela1[[#This Row],[Data de Validade]])</f>
        <v>9</v>
      </c>
      <c r="J813" s="101">
        <v>44314</v>
      </c>
      <c r="K813" s="87" t="s">
        <v>7</v>
      </c>
      <c r="L813" s="108"/>
      <c r="M813" s="108"/>
      <c r="N813" s="108" t="str">
        <v>H782P529</v>
      </c>
      <c r="O813" s="108">
        <f t="shared" si="14"/>
        <v>1</v>
      </c>
      <c r="P813" s="108"/>
      <c r="Q813"/>
    </row>
    <row r="814" spans="1:17" x14ac:dyDescent="0.25">
      <c r="A814" s="89" t="s">
        <v>9705</v>
      </c>
      <c r="B814" s="87" t="s">
        <v>9706</v>
      </c>
      <c r="C814" s="87" t="s">
        <v>16</v>
      </c>
      <c r="D814" s="87" t="str">
        <f>VLOOKUP(Tabela1[[#This Row],[Origem]], 'Perguntas 1 a 24'!$J$28:$K$34, 2, 0)</f>
        <v>Sudeste</v>
      </c>
      <c r="E814" s="87" t="str">
        <f>Tabela1[[#This Row],[Descrição]]&amp;"-"&amp;Tabela1[[#This Row],[Código]]&amp;"/"&amp;Tabela1[[#This Row],[Origem]]</f>
        <v>Pepifepo-H178P482/MG</v>
      </c>
      <c r="F814" s="88">
        <v>45928</v>
      </c>
      <c r="G814" s="88" t="str" cm="1">
        <f t="array" ref="G8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AND(F814&gt;= DATE(2026,1,1), F814&lt;= DATE(2028, 12, 31), J814&gt;50000), "Pendente e Caro", AND(F814&gt;= DATE(2026,1,1), F814&lt;= DATE(2028, 12, 31), J814&lt;=50000), "Pendente", F814&gt;= DATE(2029,1,1), "Não prioeitário")</f>
        <v>Urgente e Caro</v>
      </c>
      <c r="H814" s="89">
        <f>YEAR(Tabela1[[#This Row],[Data de Validade]])</f>
        <v>2025</v>
      </c>
      <c r="I814" s="89">
        <f>MONTH(Tabela1[[#This Row],[Data de Validade]])</f>
        <v>9</v>
      </c>
      <c r="J814" s="101">
        <v>110219</v>
      </c>
      <c r="K814" s="87" t="s">
        <v>7</v>
      </c>
      <c r="L814" s="108"/>
      <c r="M814" s="108"/>
      <c r="N814" s="108" t="str">
        <v>H178P482</v>
      </c>
      <c r="O814" s="108">
        <f t="shared" si="14"/>
        <v>1</v>
      </c>
      <c r="P814" s="108"/>
      <c r="Q814"/>
    </row>
    <row r="815" spans="1:17" x14ac:dyDescent="0.25">
      <c r="A815" s="89" t="s">
        <v>4782</v>
      </c>
      <c r="B815" s="87" t="s">
        <v>4783</v>
      </c>
      <c r="C815" s="87" t="s">
        <v>13</v>
      </c>
      <c r="D815" s="87" t="str">
        <f>VLOOKUP(Tabela1[[#This Row],[Origem]], 'Perguntas 1 a 24'!$J$28:$K$34, 2, 0)</f>
        <v>Sudeste</v>
      </c>
      <c r="E815" s="87" t="str">
        <f>Tabela1[[#This Row],[Descrição]]&amp;"-"&amp;Tabela1[[#This Row],[Código]]&amp;"/"&amp;Tabela1[[#This Row],[Origem]]</f>
        <v>Gofucofopa-H389P295/SP</v>
      </c>
      <c r="F815" s="88">
        <v>45928</v>
      </c>
      <c r="G815" s="88" t="str" cm="1">
        <f t="array" ref="G8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AND(F815&gt;= DATE(2026,1,1), F815&lt;= DATE(2028, 12, 31), J815&gt;50000), "Pendente e Caro", AND(F815&gt;= DATE(2026,1,1), F815&lt;= DATE(2028, 12, 31), J815&lt;=50000), "Pendente", F815&gt;= DATE(2029,1,1), "Não prioeitário")</f>
        <v>Urgente e Caro</v>
      </c>
      <c r="H815" s="89">
        <f>YEAR(Tabela1[[#This Row],[Data de Validade]])</f>
        <v>2025</v>
      </c>
      <c r="I815" s="89">
        <f>MONTH(Tabela1[[#This Row],[Data de Validade]])</f>
        <v>9</v>
      </c>
      <c r="J815" s="101">
        <v>81430</v>
      </c>
      <c r="K815" s="87" t="s">
        <v>9</v>
      </c>
      <c r="L815" s="108"/>
      <c r="M815" s="108"/>
      <c r="N815" s="108" t="str">
        <v>H389P295</v>
      </c>
      <c r="O815" s="108">
        <f t="shared" si="14"/>
        <v>1</v>
      </c>
      <c r="P815" s="108"/>
      <c r="Q815"/>
    </row>
    <row r="816" spans="1:17" x14ac:dyDescent="0.25">
      <c r="A816" s="89" t="s">
        <v>4808</v>
      </c>
      <c r="B816" s="87" t="s">
        <v>4809</v>
      </c>
      <c r="C816" s="87" t="s">
        <v>15</v>
      </c>
      <c r="D816" s="87" t="str">
        <f>VLOOKUP(Tabela1[[#This Row],[Origem]], 'Perguntas 1 a 24'!$J$28:$K$34, 2, 0)</f>
        <v>Sudeste</v>
      </c>
      <c r="E816" s="87" t="str">
        <f>Tabela1[[#This Row],[Descrição]]&amp;"-"&amp;Tabela1[[#This Row],[Código]]&amp;"/"&amp;Tabela1[[#This Row],[Origem]]</f>
        <v>Mavutofe-P467H525/ES</v>
      </c>
      <c r="F816" s="88">
        <v>45928</v>
      </c>
      <c r="G816" s="88" t="str" cm="1">
        <f t="array" ref="G8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AND(F816&gt;= DATE(2026,1,1), F816&lt;= DATE(2028, 12, 31), J816&gt;50000), "Pendente e Caro", AND(F816&gt;= DATE(2026,1,1), F816&lt;= DATE(2028, 12, 31), J816&lt;=50000), "Pendente", F816&gt;= DATE(2029,1,1), "Não prioeitário")</f>
        <v>Urgente e Caro</v>
      </c>
      <c r="H816" s="89">
        <f>YEAR(Tabela1[[#This Row],[Data de Validade]])</f>
        <v>2025</v>
      </c>
      <c r="I816" s="89">
        <f>MONTH(Tabela1[[#This Row],[Data de Validade]])</f>
        <v>9</v>
      </c>
      <c r="J816" s="101">
        <v>81244</v>
      </c>
      <c r="K816" s="87" t="s">
        <v>14</v>
      </c>
      <c r="L816" s="108"/>
      <c r="M816" s="108"/>
      <c r="N816" s="108" t="str">
        <v>P467H525</v>
      </c>
      <c r="O816" s="108">
        <f t="shared" si="14"/>
        <v>1</v>
      </c>
      <c r="P816" s="108"/>
      <c r="Q816"/>
    </row>
    <row r="817" spans="1:17" x14ac:dyDescent="0.25">
      <c r="A817" s="89" t="s">
        <v>10079</v>
      </c>
      <c r="B817" s="87" t="s">
        <v>10080</v>
      </c>
      <c r="C817" s="87" t="s">
        <v>12</v>
      </c>
      <c r="D817" s="87" t="str">
        <f>VLOOKUP(Tabela1[[#This Row],[Origem]], 'Perguntas 1 a 24'!$J$28:$K$34, 2, 0)</f>
        <v>Sudeste</v>
      </c>
      <c r="E817" s="87" t="str">
        <f>Tabela1[[#This Row],[Descrição]]&amp;"-"&amp;Tabela1[[#This Row],[Código]]&amp;"/"&amp;Tabela1[[#This Row],[Origem]]</f>
        <v>Napipupi-P414H888/RJ</v>
      </c>
      <c r="F817" s="88">
        <v>45929</v>
      </c>
      <c r="G817" s="88" t="str" cm="1">
        <f t="array" ref="G8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AND(F817&gt;= DATE(2026,1,1), F817&lt;= DATE(2028, 12, 31), J817&gt;50000), "Pendente e Caro", AND(F817&gt;= DATE(2026,1,1), F817&lt;= DATE(2028, 12, 31), J817&lt;=50000), "Pendente", F817&gt;= DATE(2029,1,1), "Não prioeitário")</f>
        <v>Urgente e Caro</v>
      </c>
      <c r="H817" s="89">
        <f>YEAR(Tabela1[[#This Row],[Data de Validade]])</f>
        <v>2025</v>
      </c>
      <c r="I817" s="89">
        <f>MONTH(Tabela1[[#This Row],[Data de Validade]])</f>
        <v>9</v>
      </c>
      <c r="J817" s="101">
        <v>59124</v>
      </c>
      <c r="K817" s="87" t="s">
        <v>11</v>
      </c>
      <c r="L817" s="108"/>
      <c r="M817" s="108"/>
      <c r="N817" s="108" t="str">
        <v>P414H888</v>
      </c>
      <c r="O817" s="108">
        <f t="shared" si="14"/>
        <v>1</v>
      </c>
      <c r="P817" s="108"/>
      <c r="Q817"/>
    </row>
    <row r="818" spans="1:17" x14ac:dyDescent="0.25">
      <c r="A818" s="89" t="s">
        <v>5340</v>
      </c>
      <c r="B818" s="87" t="s">
        <v>5341</v>
      </c>
      <c r="C818" s="87" t="s">
        <v>8</v>
      </c>
      <c r="D818" s="87" t="str">
        <f>VLOOKUP(Tabela1[[#This Row],[Origem]], 'Perguntas 1 a 24'!$J$28:$K$34, 2, 0)</f>
        <v>Nordeste</v>
      </c>
      <c r="E818" s="87" t="str">
        <f>Tabela1[[#This Row],[Descrição]]&amp;"-"&amp;Tabela1[[#This Row],[Código]]&amp;"/"&amp;Tabela1[[#This Row],[Origem]]</f>
        <v>Ritepacedo-H136P165/AL</v>
      </c>
      <c r="F818" s="88">
        <v>45933</v>
      </c>
      <c r="G818" s="88" t="str" cm="1">
        <f t="array" ref="G8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AND(F818&gt;= DATE(2026,1,1), F818&lt;= DATE(2028, 12, 31), J818&gt;50000), "Pendente e Caro", AND(F818&gt;= DATE(2026,1,1), F818&lt;= DATE(2028, 12, 31), J818&lt;=50000), "Pendente", F818&gt;= DATE(2029,1,1), "Não prioeitário")</f>
        <v>Urgente e Caro</v>
      </c>
      <c r="H818" s="89">
        <f>YEAR(Tabela1[[#This Row],[Data de Validade]])</f>
        <v>2025</v>
      </c>
      <c r="I818" s="89">
        <f>MONTH(Tabela1[[#This Row],[Data de Validade]])</f>
        <v>10</v>
      </c>
      <c r="J818" s="101">
        <v>108119</v>
      </c>
      <c r="K818" s="87" t="s">
        <v>11</v>
      </c>
      <c r="L818" s="108"/>
      <c r="M818" s="108"/>
      <c r="N818" s="108" t="str">
        <v>H136P165</v>
      </c>
      <c r="O818" s="108">
        <f t="shared" si="14"/>
        <v>1</v>
      </c>
      <c r="P818" s="108"/>
      <c r="Q818"/>
    </row>
    <row r="819" spans="1:17" x14ac:dyDescent="0.25">
      <c r="A819" s="89" t="s">
        <v>4872</v>
      </c>
      <c r="B819" s="87" t="s">
        <v>4873</v>
      </c>
      <c r="C819" s="87" t="s">
        <v>6</v>
      </c>
      <c r="D819" s="87" t="str">
        <f>VLOOKUP(Tabela1[[#This Row],[Origem]], 'Perguntas 1 a 24'!$J$28:$K$34, 2, 0)</f>
        <v>Nordeste</v>
      </c>
      <c r="E819" s="87" t="str">
        <f>Tabela1[[#This Row],[Descrição]]&amp;"-"&amp;Tabela1[[#This Row],[Código]]&amp;"/"&amp;Tabela1[[#This Row],[Origem]]</f>
        <v>Fidopelela-H427H226/MA</v>
      </c>
      <c r="F819" s="88">
        <v>45933</v>
      </c>
      <c r="G819" s="88" t="str" cm="1">
        <f t="array" ref="G8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AND(F819&gt;= DATE(2026,1,1), F819&lt;= DATE(2028, 12, 31), J819&gt;50000), "Pendente e Caro", AND(F819&gt;= DATE(2026,1,1), F819&lt;= DATE(2028, 12, 31), J819&lt;=50000), "Pendente", F819&gt;= DATE(2029,1,1), "Não prioeitário")</f>
        <v>Urgente</v>
      </c>
      <c r="H819" s="89">
        <f>YEAR(Tabela1[[#This Row],[Data de Validade]])</f>
        <v>2025</v>
      </c>
      <c r="I819" s="89">
        <f>MONTH(Tabela1[[#This Row],[Data de Validade]])</f>
        <v>10</v>
      </c>
      <c r="J819" s="101">
        <v>27160</v>
      </c>
      <c r="K819" s="87" t="s">
        <v>11</v>
      </c>
      <c r="L819" s="108"/>
      <c r="M819" s="108"/>
      <c r="N819" s="108" t="str">
        <v>H427H226</v>
      </c>
      <c r="O819" s="108">
        <f t="shared" si="14"/>
        <v>1</v>
      </c>
      <c r="P819" s="108"/>
      <c r="Q819"/>
    </row>
    <row r="820" spans="1:17" x14ac:dyDescent="0.25">
      <c r="A820" s="89" t="s">
        <v>6524</v>
      </c>
      <c r="B820" s="87" t="s">
        <v>6525</v>
      </c>
      <c r="C820" s="87" t="s">
        <v>13</v>
      </c>
      <c r="D820" s="87" t="str">
        <f>VLOOKUP(Tabela1[[#This Row],[Origem]], 'Perguntas 1 a 24'!$J$28:$K$34, 2, 0)</f>
        <v>Sudeste</v>
      </c>
      <c r="E820" s="87" t="str">
        <f>Tabela1[[#This Row],[Descrição]]&amp;"-"&amp;Tabela1[[#This Row],[Código]]&amp;"/"&amp;Tabela1[[#This Row],[Origem]]</f>
        <v>Litepi-H132P727/SP</v>
      </c>
      <c r="F820" s="88">
        <v>45934</v>
      </c>
      <c r="G820" s="88" t="str" cm="1">
        <f t="array" ref="G8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AND(F820&gt;= DATE(2026,1,1), F820&lt;= DATE(2028, 12, 31), J820&gt;50000), "Pendente e Caro", AND(F820&gt;= DATE(2026,1,1), F820&lt;= DATE(2028, 12, 31), J820&lt;=50000), "Pendente", F820&gt;= DATE(2029,1,1), "Não prioeitário")</f>
        <v>Urgente e Caro</v>
      </c>
      <c r="H820" s="89">
        <f>YEAR(Tabela1[[#This Row],[Data de Validade]])</f>
        <v>2025</v>
      </c>
      <c r="I820" s="89">
        <f>MONTH(Tabela1[[#This Row],[Data de Validade]])</f>
        <v>10</v>
      </c>
      <c r="J820" s="101">
        <v>97539</v>
      </c>
      <c r="K820" s="87" t="s">
        <v>9</v>
      </c>
      <c r="L820" s="108"/>
      <c r="M820" s="108"/>
      <c r="N820" s="108" t="str">
        <v>H132P727</v>
      </c>
      <c r="O820" s="108">
        <f t="shared" si="14"/>
        <v>1</v>
      </c>
      <c r="P820" s="108"/>
      <c r="Q820"/>
    </row>
    <row r="821" spans="1:17" x14ac:dyDescent="0.25">
      <c r="A821" s="89" t="s">
        <v>4150</v>
      </c>
      <c r="B821" s="87" t="s">
        <v>4151</v>
      </c>
      <c r="C821" s="87" t="s">
        <v>16</v>
      </c>
      <c r="D821" s="87" t="str">
        <f>VLOOKUP(Tabela1[[#This Row],[Origem]], 'Perguntas 1 a 24'!$J$28:$K$34, 2, 0)</f>
        <v>Sudeste</v>
      </c>
      <c r="E821" s="87" t="str">
        <f>Tabela1[[#This Row],[Descrição]]&amp;"-"&amp;Tabela1[[#This Row],[Código]]&amp;"/"&amp;Tabela1[[#This Row],[Origem]]</f>
        <v>Fureta-P639H883/MG</v>
      </c>
      <c r="F821" s="88">
        <v>45934</v>
      </c>
      <c r="G821" s="88" t="str" cm="1">
        <f t="array" ref="G8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AND(F821&gt;= DATE(2026,1,1), F821&lt;= DATE(2028, 12, 31), J821&gt;50000), "Pendente e Caro", AND(F821&gt;= DATE(2026,1,1), F821&lt;= DATE(2028, 12, 31), J821&lt;=50000), "Pendente", F821&gt;= DATE(2029,1,1), "Não prioeitário")</f>
        <v>Urgente</v>
      </c>
      <c r="H821" s="89">
        <f>YEAR(Tabela1[[#This Row],[Data de Validade]])</f>
        <v>2025</v>
      </c>
      <c r="I821" s="89">
        <f>MONTH(Tabela1[[#This Row],[Data de Validade]])</f>
        <v>10</v>
      </c>
      <c r="J821" s="101">
        <v>25938</v>
      </c>
      <c r="K821" s="87" t="s">
        <v>9</v>
      </c>
      <c r="L821" s="108"/>
      <c r="M821" s="108"/>
      <c r="N821" s="108" t="str">
        <v>P639H883</v>
      </c>
      <c r="O821" s="108">
        <f t="shared" si="14"/>
        <v>1</v>
      </c>
      <c r="P821" s="108"/>
      <c r="Q821"/>
    </row>
    <row r="822" spans="1:17" x14ac:dyDescent="0.25">
      <c r="A822" s="89" t="s">
        <v>11337</v>
      </c>
      <c r="B822" s="87" t="s">
        <v>11338</v>
      </c>
      <c r="C822" s="87" t="s">
        <v>16</v>
      </c>
      <c r="D822" s="87" t="str">
        <f>VLOOKUP(Tabela1[[#This Row],[Origem]], 'Perguntas 1 a 24'!$J$28:$K$34, 2, 0)</f>
        <v>Sudeste</v>
      </c>
      <c r="E822" s="87" t="str">
        <f>Tabela1[[#This Row],[Descrição]]&amp;"-"&amp;Tabela1[[#This Row],[Código]]&amp;"/"&amp;Tabela1[[#This Row],[Origem]]</f>
        <v>Lopuretite-H471P737/MG</v>
      </c>
      <c r="F822" s="88">
        <v>45935</v>
      </c>
      <c r="G822" s="88" t="str" cm="1">
        <f t="array" ref="G8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AND(F822&gt;= DATE(2026,1,1), F822&lt;= DATE(2028, 12, 31), J822&gt;50000), "Pendente e Caro", AND(F822&gt;= DATE(2026,1,1), F822&lt;= DATE(2028, 12, 31), J822&lt;=50000), "Pendente", F822&gt;= DATE(2029,1,1), "Não prioeitário")</f>
        <v>Urgente</v>
      </c>
      <c r="H822" s="89">
        <f>YEAR(Tabela1[[#This Row],[Data de Validade]])</f>
        <v>2025</v>
      </c>
      <c r="I822" s="89">
        <f>MONTH(Tabela1[[#This Row],[Data de Validade]])</f>
        <v>10</v>
      </c>
      <c r="J822" s="101">
        <v>29972</v>
      </c>
      <c r="K822" s="87" t="s">
        <v>14</v>
      </c>
      <c r="L822" s="108"/>
      <c r="M822" s="108"/>
      <c r="N822" s="108" t="str">
        <v>H471P737</v>
      </c>
      <c r="O822" s="108">
        <f t="shared" si="14"/>
        <v>1</v>
      </c>
      <c r="P822" s="108"/>
      <c r="Q822"/>
    </row>
    <row r="823" spans="1:17" x14ac:dyDescent="0.25">
      <c r="A823" s="89" t="s">
        <v>8432</v>
      </c>
      <c r="B823" s="87" t="s">
        <v>8433</v>
      </c>
      <c r="C823" s="87" t="s">
        <v>6</v>
      </c>
      <c r="D823" s="87" t="str">
        <f>VLOOKUP(Tabela1[[#This Row],[Origem]], 'Perguntas 1 a 24'!$J$28:$K$34, 2, 0)</f>
        <v>Nordeste</v>
      </c>
      <c r="E823" s="87" t="str">
        <f>Tabela1[[#This Row],[Descrição]]&amp;"-"&amp;Tabela1[[#This Row],[Código]]&amp;"/"&amp;Tabela1[[#This Row],[Origem]]</f>
        <v>Pogala-P428H716/MA</v>
      </c>
      <c r="F823" s="88">
        <v>45936</v>
      </c>
      <c r="G823" s="88" t="str" cm="1">
        <f t="array" ref="G8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AND(F823&gt;= DATE(2026,1,1), F823&lt;= DATE(2028, 12, 31), J823&gt;50000), "Pendente e Caro", AND(F823&gt;= DATE(2026,1,1), F823&lt;= DATE(2028, 12, 31), J823&lt;=50000), "Pendente", F823&gt;= DATE(2029,1,1), "Não prioeitário")</f>
        <v>Urgente</v>
      </c>
      <c r="H823" s="89">
        <f>YEAR(Tabela1[[#This Row],[Data de Validade]])</f>
        <v>2025</v>
      </c>
      <c r="I823" s="89">
        <f>MONTH(Tabela1[[#This Row],[Data de Validade]])</f>
        <v>10</v>
      </c>
      <c r="J823" s="101">
        <v>41744</v>
      </c>
      <c r="K823" s="87" t="s">
        <v>9</v>
      </c>
      <c r="L823" s="108"/>
      <c r="M823" s="108"/>
      <c r="N823" s="108" t="str">
        <v>P428H716</v>
      </c>
      <c r="O823" s="108">
        <f t="shared" si="14"/>
        <v>1</v>
      </c>
      <c r="P823" s="108"/>
      <c r="Q823"/>
    </row>
    <row r="824" spans="1:17" x14ac:dyDescent="0.25">
      <c r="A824" s="89" t="s">
        <v>9981</v>
      </c>
      <c r="B824" s="87" t="s">
        <v>9982</v>
      </c>
      <c r="C824" s="87" t="s">
        <v>12</v>
      </c>
      <c r="D824" s="87" t="str">
        <f>VLOOKUP(Tabela1[[#This Row],[Origem]], 'Perguntas 1 a 24'!$J$28:$K$34, 2, 0)</f>
        <v>Sudeste</v>
      </c>
      <c r="E824" s="87" t="str">
        <f>Tabela1[[#This Row],[Descrição]]&amp;"-"&amp;Tabela1[[#This Row],[Código]]&amp;"/"&amp;Tabela1[[#This Row],[Origem]]</f>
        <v>Ripitoci-H454P885/RJ</v>
      </c>
      <c r="F824" s="88">
        <v>45937</v>
      </c>
      <c r="G824" s="88" t="str" cm="1">
        <f t="array" ref="G8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AND(F824&gt;= DATE(2026,1,1), F824&lt;= DATE(2028, 12, 31), J824&gt;50000), "Pendente e Caro", AND(F824&gt;= DATE(2026,1,1), F824&lt;= DATE(2028, 12, 31), J824&lt;=50000), "Pendente", F824&gt;= DATE(2029,1,1), "Não prioeitário")</f>
        <v>Urgente e Caro</v>
      </c>
      <c r="H824" s="89">
        <f>YEAR(Tabela1[[#This Row],[Data de Validade]])</f>
        <v>2025</v>
      </c>
      <c r="I824" s="89">
        <f>MONTH(Tabela1[[#This Row],[Data de Validade]])</f>
        <v>10</v>
      </c>
      <c r="J824" s="101">
        <v>119595</v>
      </c>
      <c r="K824" s="87" t="s">
        <v>7</v>
      </c>
      <c r="L824" s="108"/>
      <c r="M824" s="108"/>
      <c r="N824" s="108" t="str">
        <v>H454P885</v>
      </c>
      <c r="O824" s="108">
        <f t="shared" si="14"/>
        <v>1</v>
      </c>
      <c r="P824" s="108"/>
      <c r="Q824"/>
    </row>
    <row r="825" spans="1:17" x14ac:dyDescent="0.25">
      <c r="A825" s="89" t="s">
        <v>4439</v>
      </c>
      <c r="B825" s="87" t="s">
        <v>4440</v>
      </c>
      <c r="C825" s="87" t="s">
        <v>16</v>
      </c>
      <c r="D825" s="87" t="str">
        <f>VLOOKUP(Tabela1[[#This Row],[Origem]], 'Perguntas 1 a 24'!$J$28:$K$34, 2, 0)</f>
        <v>Sudeste</v>
      </c>
      <c r="E825" s="87" t="str">
        <f>Tabela1[[#This Row],[Descrição]]&amp;"-"&amp;Tabela1[[#This Row],[Código]]&amp;"/"&amp;Tabela1[[#This Row],[Origem]]</f>
        <v>Papiteda-H133P637/MG</v>
      </c>
      <c r="F825" s="88">
        <v>45938</v>
      </c>
      <c r="G825" s="88" t="str" cm="1">
        <f t="array" ref="G8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AND(F825&gt;= DATE(2026,1,1), F825&lt;= DATE(2028, 12, 31), J825&gt;50000), "Pendente e Caro", AND(F825&gt;= DATE(2026,1,1), F825&lt;= DATE(2028, 12, 31), J825&lt;=50000), "Pendente", F825&gt;= DATE(2029,1,1), "Não prioeitário")</f>
        <v>Urgente e Caro</v>
      </c>
      <c r="H825" s="89">
        <f>YEAR(Tabela1[[#This Row],[Data de Validade]])</f>
        <v>2025</v>
      </c>
      <c r="I825" s="89">
        <f>MONTH(Tabela1[[#This Row],[Data de Validade]])</f>
        <v>10</v>
      </c>
      <c r="J825" s="101">
        <v>110916</v>
      </c>
      <c r="K825" s="87" t="s">
        <v>14</v>
      </c>
      <c r="L825" s="108"/>
      <c r="M825" s="108"/>
      <c r="N825" s="108" t="str">
        <v>H133P637</v>
      </c>
      <c r="O825" s="108">
        <f t="shared" si="14"/>
        <v>1</v>
      </c>
      <c r="P825" s="108"/>
      <c r="Q825"/>
    </row>
    <row r="826" spans="1:17" x14ac:dyDescent="0.25">
      <c r="A826" s="89" t="s">
        <v>4395</v>
      </c>
      <c r="B826" s="87" t="s">
        <v>4396</v>
      </c>
      <c r="C826" s="87" t="s">
        <v>15</v>
      </c>
      <c r="D826" s="87" t="str">
        <f>VLOOKUP(Tabela1[[#This Row],[Origem]], 'Perguntas 1 a 24'!$J$28:$K$34, 2, 0)</f>
        <v>Sudeste</v>
      </c>
      <c r="E826" s="87" t="str">
        <f>Tabela1[[#This Row],[Descrição]]&amp;"-"&amp;Tabela1[[#This Row],[Código]]&amp;"/"&amp;Tabela1[[#This Row],[Origem]]</f>
        <v>Pecoru-H728P493/ES</v>
      </c>
      <c r="F826" s="88">
        <v>45938</v>
      </c>
      <c r="G826" s="88" t="str" cm="1">
        <f t="array" ref="G8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AND(F826&gt;= DATE(2026,1,1), F826&lt;= DATE(2028, 12, 31), J826&gt;50000), "Pendente e Caro", AND(F826&gt;= DATE(2026,1,1), F826&lt;= DATE(2028, 12, 31), J826&lt;=50000), "Pendente", F826&gt;= DATE(2029,1,1), "Não prioeitário")</f>
        <v>Urgente e Caro</v>
      </c>
      <c r="H826" s="89">
        <f>YEAR(Tabela1[[#This Row],[Data de Validade]])</f>
        <v>2025</v>
      </c>
      <c r="I826" s="89">
        <f>MONTH(Tabela1[[#This Row],[Data de Validade]])</f>
        <v>10</v>
      </c>
      <c r="J826" s="101">
        <v>80729</v>
      </c>
      <c r="K826" s="87" t="s">
        <v>14</v>
      </c>
      <c r="L826" s="108"/>
      <c r="M826" s="108"/>
      <c r="N826" s="108" t="str">
        <v>H728P493</v>
      </c>
      <c r="O826" s="108">
        <f t="shared" si="14"/>
        <v>1</v>
      </c>
      <c r="P826" s="108"/>
      <c r="Q826"/>
    </row>
    <row r="827" spans="1:17" x14ac:dyDescent="0.25">
      <c r="A827" s="89" t="s">
        <v>10477</v>
      </c>
      <c r="B827" s="87" t="s">
        <v>10478</v>
      </c>
      <c r="C827" s="87" t="s">
        <v>6</v>
      </c>
      <c r="D827" s="87" t="str">
        <f>VLOOKUP(Tabela1[[#This Row],[Origem]], 'Perguntas 1 a 24'!$J$28:$K$34, 2, 0)</f>
        <v>Nordeste</v>
      </c>
      <c r="E827" s="87" t="str">
        <f>Tabela1[[#This Row],[Descrição]]&amp;"-"&amp;Tabela1[[#This Row],[Código]]&amp;"/"&amp;Tabela1[[#This Row],[Origem]]</f>
        <v>Polemapa-H682P281/MA</v>
      </c>
      <c r="F827" s="88">
        <v>45938</v>
      </c>
      <c r="G827" s="88" t="str" cm="1">
        <f t="array" ref="G8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AND(F827&gt;= DATE(2026,1,1), F827&lt;= DATE(2028, 12, 31), J827&gt;50000), "Pendente e Caro", AND(F827&gt;= DATE(2026,1,1), F827&lt;= DATE(2028, 12, 31), J827&lt;=50000), "Pendente", F827&gt;= DATE(2029,1,1), "Não prioeitário")</f>
        <v>Urgente</v>
      </c>
      <c r="H827" s="89">
        <f>YEAR(Tabela1[[#This Row],[Data de Validade]])</f>
        <v>2025</v>
      </c>
      <c r="I827" s="89">
        <f>MONTH(Tabela1[[#This Row],[Data de Validade]])</f>
        <v>10</v>
      </c>
      <c r="J827" s="101">
        <v>41930</v>
      </c>
      <c r="K827" s="87" t="s">
        <v>9</v>
      </c>
      <c r="L827" s="108"/>
      <c r="M827" s="108"/>
      <c r="N827" s="108" t="str">
        <v>H682P281</v>
      </c>
      <c r="O827" s="108">
        <f t="shared" si="14"/>
        <v>1</v>
      </c>
      <c r="P827" s="108"/>
      <c r="Q827"/>
    </row>
    <row r="828" spans="1:17" x14ac:dyDescent="0.25">
      <c r="A828" s="89" t="s">
        <v>10379</v>
      </c>
      <c r="B828" s="87" t="s">
        <v>10380</v>
      </c>
      <c r="C828" s="87" t="s">
        <v>8</v>
      </c>
      <c r="D828" s="87" t="str">
        <f>VLOOKUP(Tabela1[[#This Row],[Origem]], 'Perguntas 1 a 24'!$J$28:$K$34, 2, 0)</f>
        <v>Nordeste</v>
      </c>
      <c r="E828" s="87" t="str">
        <f>Tabela1[[#This Row],[Descrição]]&amp;"-"&amp;Tabela1[[#This Row],[Código]]&amp;"/"&amp;Tabela1[[#This Row],[Origem]]</f>
        <v>Luguto-P281H999/AL</v>
      </c>
      <c r="F828" s="88">
        <v>45939</v>
      </c>
      <c r="G828" s="88" t="str" cm="1">
        <f t="array" ref="G8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AND(F828&gt;= DATE(2026,1,1), F828&lt;= DATE(2028, 12, 31), J828&gt;50000), "Pendente e Caro", AND(F828&gt;= DATE(2026,1,1), F828&lt;= DATE(2028, 12, 31), J828&lt;=50000), "Pendente", F828&gt;= DATE(2029,1,1), "Não prioeitário")</f>
        <v>Urgente e Caro</v>
      </c>
      <c r="H828" s="89">
        <f>YEAR(Tabela1[[#This Row],[Data de Validade]])</f>
        <v>2025</v>
      </c>
      <c r="I828" s="89">
        <f>MONTH(Tabela1[[#This Row],[Data de Validade]])</f>
        <v>10</v>
      </c>
      <c r="J828" s="101">
        <v>71939</v>
      </c>
      <c r="K828" s="87" t="s">
        <v>7</v>
      </c>
      <c r="L828" s="108"/>
      <c r="M828" s="108"/>
      <c r="N828" s="108" t="str">
        <v>P281H999</v>
      </c>
      <c r="O828" s="108">
        <f t="shared" si="14"/>
        <v>1</v>
      </c>
      <c r="P828" s="108"/>
      <c r="Q828"/>
    </row>
    <row r="829" spans="1:17" x14ac:dyDescent="0.25">
      <c r="A829" s="89" t="s">
        <v>10777</v>
      </c>
      <c r="B829" s="87" t="s">
        <v>10778</v>
      </c>
      <c r="C829" s="87" t="s">
        <v>13</v>
      </c>
      <c r="D829" s="87" t="str">
        <f>VLOOKUP(Tabela1[[#This Row],[Origem]], 'Perguntas 1 a 24'!$J$28:$K$34, 2, 0)</f>
        <v>Sudeste</v>
      </c>
      <c r="E829" s="87" t="str">
        <f>Tabela1[[#This Row],[Descrição]]&amp;"-"&amp;Tabela1[[#This Row],[Código]]&amp;"/"&amp;Tabela1[[#This Row],[Origem]]</f>
        <v>Fivepute-P937H648/SP</v>
      </c>
      <c r="F829" s="88">
        <v>45940</v>
      </c>
      <c r="G829" s="88" t="str" cm="1">
        <f t="array" ref="G8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AND(F829&gt;= DATE(2026,1,1), F829&lt;= DATE(2028, 12, 31), J829&gt;50000), "Pendente e Caro", AND(F829&gt;= DATE(2026,1,1), F829&lt;= DATE(2028, 12, 31), J829&lt;=50000), "Pendente", F829&gt;= DATE(2029,1,1), "Não prioeitário")</f>
        <v>Urgente e Caro</v>
      </c>
      <c r="H829" s="89">
        <f>YEAR(Tabela1[[#This Row],[Data de Validade]])</f>
        <v>2025</v>
      </c>
      <c r="I829" s="89">
        <f>MONTH(Tabela1[[#This Row],[Data de Validade]])</f>
        <v>10</v>
      </c>
      <c r="J829" s="101">
        <v>111793</v>
      </c>
      <c r="K829" s="87" t="s">
        <v>7</v>
      </c>
      <c r="L829" s="108"/>
      <c r="M829" s="108"/>
      <c r="N829" s="108" t="str">
        <v>P937H648</v>
      </c>
      <c r="O829" s="108">
        <f t="shared" si="14"/>
        <v>1</v>
      </c>
      <c r="P829" s="108"/>
      <c r="Q829"/>
    </row>
    <row r="830" spans="1:17" x14ac:dyDescent="0.25">
      <c r="A830" s="89" t="s">
        <v>9073</v>
      </c>
      <c r="B830" s="87" t="s">
        <v>9074</v>
      </c>
      <c r="C830" s="87" t="s">
        <v>8</v>
      </c>
      <c r="D830" s="87" t="str">
        <f>VLOOKUP(Tabela1[[#This Row],[Origem]], 'Perguntas 1 a 24'!$J$28:$K$34, 2, 0)</f>
        <v>Nordeste</v>
      </c>
      <c r="E830" s="87" t="str">
        <f>Tabela1[[#This Row],[Descrição]]&amp;"-"&amp;Tabela1[[#This Row],[Código]]&amp;"/"&amp;Tabela1[[#This Row],[Origem]]</f>
        <v>Cuvapiti-P948H154/AL</v>
      </c>
      <c r="F830" s="88">
        <v>45942</v>
      </c>
      <c r="G830" s="88" t="str" cm="1">
        <f t="array" ref="G8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AND(F830&gt;= DATE(2026,1,1), F830&lt;= DATE(2028, 12, 31), J830&gt;50000), "Pendente e Caro", AND(F830&gt;= DATE(2026,1,1), F830&lt;= DATE(2028, 12, 31), J830&lt;=50000), "Pendente", F830&gt;= DATE(2029,1,1), "Não prioeitário")</f>
        <v>Urgente e Caro</v>
      </c>
      <c r="H830" s="89">
        <f>YEAR(Tabela1[[#This Row],[Data de Validade]])</f>
        <v>2025</v>
      </c>
      <c r="I830" s="89">
        <f>MONTH(Tabela1[[#This Row],[Data de Validade]])</f>
        <v>10</v>
      </c>
      <c r="J830" s="101">
        <v>115388</v>
      </c>
      <c r="K830" s="87" t="s">
        <v>11</v>
      </c>
      <c r="L830" s="108"/>
      <c r="M830" s="108"/>
      <c r="N830" s="108" t="str">
        <v>P948H154</v>
      </c>
      <c r="O830" s="108">
        <f t="shared" si="14"/>
        <v>1</v>
      </c>
      <c r="P830" s="108"/>
      <c r="Q830"/>
    </row>
    <row r="831" spans="1:17" x14ac:dyDescent="0.25">
      <c r="A831" s="89" t="s">
        <v>9379</v>
      </c>
      <c r="B831" s="87" t="s">
        <v>9380</v>
      </c>
      <c r="C831" s="87" t="s">
        <v>8</v>
      </c>
      <c r="D831" s="87" t="str">
        <f>VLOOKUP(Tabela1[[#This Row],[Origem]], 'Perguntas 1 a 24'!$J$28:$K$34, 2, 0)</f>
        <v>Nordeste</v>
      </c>
      <c r="E831" s="87" t="str">
        <f>Tabela1[[#This Row],[Descrição]]&amp;"-"&amp;Tabela1[[#This Row],[Código]]&amp;"/"&amp;Tabela1[[#This Row],[Origem]]</f>
        <v>Tivete-P468P932/AL</v>
      </c>
      <c r="F831" s="88">
        <v>45942</v>
      </c>
      <c r="G831" s="88" t="str" cm="1">
        <f t="array" ref="G8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AND(F831&gt;= DATE(2026,1,1), F831&lt;= DATE(2028, 12, 31), J831&gt;50000), "Pendente e Caro", AND(F831&gt;= DATE(2026,1,1), F831&lt;= DATE(2028, 12, 31), J831&lt;=50000), "Pendente", F831&gt;= DATE(2029,1,1), "Não prioeitário")</f>
        <v>Urgente e Caro</v>
      </c>
      <c r="H831" s="89">
        <f>YEAR(Tabela1[[#This Row],[Data de Validade]])</f>
        <v>2025</v>
      </c>
      <c r="I831" s="89">
        <f>MONTH(Tabela1[[#This Row],[Data de Validade]])</f>
        <v>10</v>
      </c>
      <c r="J831" s="101">
        <v>86735</v>
      </c>
      <c r="K831" s="87" t="s">
        <v>11</v>
      </c>
      <c r="L831" s="108"/>
      <c r="M831" s="108"/>
      <c r="N831" s="108" t="str">
        <v>P468P932</v>
      </c>
      <c r="O831" s="108">
        <f t="shared" si="14"/>
        <v>1</v>
      </c>
      <c r="P831" s="108"/>
      <c r="Q831"/>
    </row>
    <row r="832" spans="1:17" x14ac:dyDescent="0.25">
      <c r="A832" s="89" t="s">
        <v>9657</v>
      </c>
      <c r="B832" s="87" t="s">
        <v>9658</v>
      </c>
      <c r="C832" s="87" t="s">
        <v>6</v>
      </c>
      <c r="D832" s="87" t="str">
        <f>VLOOKUP(Tabela1[[#This Row],[Origem]], 'Perguntas 1 a 24'!$J$28:$K$34, 2, 0)</f>
        <v>Nordeste</v>
      </c>
      <c r="E832" s="87" t="str">
        <f>Tabela1[[#This Row],[Descrição]]&amp;"-"&amp;Tabela1[[#This Row],[Código]]&amp;"/"&amp;Tabela1[[#This Row],[Origem]]</f>
        <v>Tipopefeda-P283P388/MA</v>
      </c>
      <c r="F832" s="88">
        <v>45942</v>
      </c>
      <c r="G832" s="88" t="str" cm="1">
        <f t="array" ref="G8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AND(F832&gt;= DATE(2026,1,1), F832&lt;= DATE(2028, 12, 31), J832&gt;50000), "Pendente e Caro", AND(F832&gt;= DATE(2026,1,1), F832&lt;= DATE(2028, 12, 31), J832&lt;=50000), "Pendente", F832&gt;= DATE(2029,1,1), "Não prioeitário")</f>
        <v>Urgente e Caro</v>
      </c>
      <c r="H832" s="89">
        <f>YEAR(Tabela1[[#This Row],[Data de Validade]])</f>
        <v>2025</v>
      </c>
      <c r="I832" s="89">
        <f>MONTH(Tabela1[[#This Row],[Data de Validade]])</f>
        <v>10</v>
      </c>
      <c r="J832" s="101">
        <v>78100</v>
      </c>
      <c r="K832" s="87" t="s">
        <v>14</v>
      </c>
      <c r="L832" s="108"/>
      <c r="M832" s="108"/>
      <c r="N832" s="108" t="str">
        <v>P283P388</v>
      </c>
      <c r="O832" s="108">
        <f t="shared" si="14"/>
        <v>1</v>
      </c>
      <c r="P832" s="108"/>
      <c r="Q832"/>
    </row>
    <row r="833" spans="1:17" x14ac:dyDescent="0.25">
      <c r="A833" s="89" t="s">
        <v>10891</v>
      </c>
      <c r="B833" s="87" t="s">
        <v>10892</v>
      </c>
      <c r="C833" s="87" t="s">
        <v>15</v>
      </c>
      <c r="D833" s="87" t="str">
        <f>VLOOKUP(Tabela1[[#This Row],[Origem]], 'Perguntas 1 a 24'!$J$28:$K$34, 2, 0)</f>
        <v>Sudeste</v>
      </c>
      <c r="E833" s="87" t="str">
        <f>Tabela1[[#This Row],[Descrição]]&amp;"-"&amp;Tabela1[[#This Row],[Código]]&amp;"/"&amp;Tabela1[[#This Row],[Origem]]</f>
        <v>Pemero-H973P866/ES</v>
      </c>
      <c r="F833" s="88">
        <v>45942</v>
      </c>
      <c r="G833" s="88" t="str" cm="1">
        <f t="array" ref="G8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AND(F833&gt;= DATE(2026,1,1), F833&lt;= DATE(2028, 12, 31), J833&gt;50000), "Pendente e Caro", AND(F833&gt;= DATE(2026,1,1), F833&lt;= DATE(2028, 12, 31), J833&lt;=50000), "Pendente", F833&gt;= DATE(2029,1,1), "Não prioeitário")</f>
        <v>Urgente</v>
      </c>
      <c r="H833" s="89">
        <f>YEAR(Tabela1[[#This Row],[Data de Validade]])</f>
        <v>2025</v>
      </c>
      <c r="I833" s="89">
        <f>MONTH(Tabela1[[#This Row],[Data de Validade]])</f>
        <v>10</v>
      </c>
      <c r="J833" s="101">
        <v>21395</v>
      </c>
      <c r="K833" s="87" t="s">
        <v>9</v>
      </c>
      <c r="L833" s="108"/>
      <c r="M833" s="108"/>
      <c r="N833" s="108" t="str">
        <v>H973P866</v>
      </c>
      <c r="O833" s="108">
        <f t="shared" si="14"/>
        <v>1</v>
      </c>
      <c r="P833" s="108"/>
      <c r="Q833"/>
    </row>
    <row r="834" spans="1:17" x14ac:dyDescent="0.25">
      <c r="A834" s="89" t="s">
        <v>3702</v>
      </c>
      <c r="B834" s="87" t="s">
        <v>3703</v>
      </c>
      <c r="C834" s="87" t="s">
        <v>10</v>
      </c>
      <c r="D834" s="87" t="str">
        <f>VLOOKUP(Tabela1[[#This Row],[Origem]], 'Perguntas 1 a 24'!$J$28:$K$34, 2, 0)</f>
        <v>Centro-Oeste</v>
      </c>
      <c r="E834" s="87" t="str">
        <f>Tabela1[[#This Row],[Descrição]]&amp;"-"&amp;Tabela1[[#This Row],[Código]]&amp;"/"&amp;Tabela1[[#This Row],[Origem]]</f>
        <v>Momofafe-P332H766/GO</v>
      </c>
      <c r="F834" s="88">
        <v>45943</v>
      </c>
      <c r="G834" s="88" t="str" cm="1">
        <f t="array" ref="G8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AND(F834&gt;= DATE(2026,1,1), F834&lt;= DATE(2028, 12, 31), J834&gt;50000), "Pendente e Caro", AND(F834&gt;= DATE(2026,1,1), F834&lt;= DATE(2028, 12, 31), J834&lt;=50000), "Pendente", F834&gt;= DATE(2029,1,1), "Não prioeitário")</f>
        <v>Urgente</v>
      </c>
      <c r="H834" s="89">
        <f>YEAR(Tabela1[[#This Row],[Data de Validade]])</f>
        <v>2025</v>
      </c>
      <c r="I834" s="89">
        <f>MONTH(Tabela1[[#This Row],[Data de Validade]])</f>
        <v>10</v>
      </c>
      <c r="J834" s="101">
        <v>26833</v>
      </c>
      <c r="K834" s="87" t="s">
        <v>11</v>
      </c>
      <c r="L834" s="108"/>
      <c r="M834" s="108"/>
      <c r="N834" s="108" t="str">
        <v>P332H766</v>
      </c>
      <c r="O834" s="108">
        <f t="shared" si="14"/>
        <v>1</v>
      </c>
      <c r="P834" s="108"/>
      <c r="Q834"/>
    </row>
    <row r="835" spans="1:17" x14ac:dyDescent="0.25">
      <c r="A835" s="89" t="s">
        <v>3944</v>
      </c>
      <c r="B835" s="87" t="s">
        <v>3945</v>
      </c>
      <c r="C835" s="87" t="s">
        <v>6</v>
      </c>
      <c r="D835" s="87" t="str">
        <f>VLOOKUP(Tabela1[[#This Row],[Origem]], 'Perguntas 1 a 24'!$J$28:$K$34, 2, 0)</f>
        <v>Nordeste</v>
      </c>
      <c r="E835" s="87" t="str">
        <f>Tabela1[[#This Row],[Descrição]]&amp;"-"&amp;Tabela1[[#This Row],[Código]]&amp;"/"&amp;Tabela1[[#This Row],[Origem]]</f>
        <v>Ritolu-H664H592/MA</v>
      </c>
      <c r="F835" s="88">
        <v>45943</v>
      </c>
      <c r="G835" s="88" t="str" cm="1">
        <f t="array" ref="G8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AND(F835&gt;= DATE(2026,1,1), F835&lt;= DATE(2028, 12, 31), J835&gt;50000), "Pendente e Caro", AND(F835&gt;= DATE(2026,1,1), F835&lt;= DATE(2028, 12, 31), J835&lt;=50000), "Pendente", F835&gt;= DATE(2029,1,1), "Não prioeitário")</f>
        <v>Urgente</v>
      </c>
      <c r="H835" s="89">
        <f>YEAR(Tabela1[[#This Row],[Data de Validade]])</f>
        <v>2025</v>
      </c>
      <c r="I835" s="89">
        <f>MONTH(Tabela1[[#This Row],[Data de Validade]])</f>
        <v>10</v>
      </c>
      <c r="J835" s="101">
        <v>22412</v>
      </c>
      <c r="K835" s="87" t="s">
        <v>9</v>
      </c>
      <c r="L835" s="108"/>
      <c r="M835" s="108"/>
      <c r="N835" s="108" t="str">
        <v>H664H592</v>
      </c>
      <c r="O835" s="108">
        <f t="shared" ref="O835:O898" si="15">COUNTIFS(B:B,N835)</f>
        <v>1</v>
      </c>
      <c r="P835" s="108"/>
      <c r="Q835"/>
    </row>
    <row r="836" spans="1:17" x14ac:dyDescent="0.25">
      <c r="A836" s="89" t="s">
        <v>3884</v>
      </c>
      <c r="B836" s="87" t="s">
        <v>3885</v>
      </c>
      <c r="C836" s="87" t="s">
        <v>10</v>
      </c>
      <c r="D836" s="87" t="str">
        <f>VLOOKUP(Tabela1[[#This Row],[Origem]], 'Perguntas 1 a 24'!$J$28:$K$34, 2, 0)</f>
        <v>Centro-Oeste</v>
      </c>
      <c r="E836" s="87" t="str">
        <f>Tabela1[[#This Row],[Descrição]]&amp;"-"&amp;Tabela1[[#This Row],[Código]]&amp;"/"&amp;Tabela1[[#This Row],[Origem]]</f>
        <v>Patide-P814P498/GO</v>
      </c>
      <c r="F836" s="88">
        <v>45945</v>
      </c>
      <c r="G836" s="88" t="str" cm="1">
        <f t="array" ref="G8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AND(F836&gt;= DATE(2026,1,1), F836&lt;= DATE(2028, 12, 31), J836&gt;50000), "Pendente e Caro", AND(F836&gt;= DATE(2026,1,1), F836&lt;= DATE(2028, 12, 31), J836&lt;=50000), "Pendente", F836&gt;= DATE(2029,1,1), "Não prioeitário")</f>
        <v>Urgente e Caro</v>
      </c>
      <c r="H836" s="89">
        <f>YEAR(Tabela1[[#This Row],[Data de Validade]])</f>
        <v>2025</v>
      </c>
      <c r="I836" s="89">
        <f>MONTH(Tabela1[[#This Row],[Data de Validade]])</f>
        <v>10</v>
      </c>
      <c r="J836" s="101">
        <v>104330</v>
      </c>
      <c r="K836" s="87" t="s">
        <v>9</v>
      </c>
      <c r="L836" s="108"/>
      <c r="M836" s="108"/>
      <c r="N836" s="108" t="str">
        <v>P814P498</v>
      </c>
      <c r="O836" s="108">
        <f t="shared" si="15"/>
        <v>1</v>
      </c>
      <c r="P836" s="108"/>
      <c r="Q836"/>
    </row>
    <row r="837" spans="1:17" x14ac:dyDescent="0.25">
      <c r="A837" s="89" t="s">
        <v>3924</v>
      </c>
      <c r="B837" s="87" t="s">
        <v>3925</v>
      </c>
      <c r="C837" s="87" t="s">
        <v>6</v>
      </c>
      <c r="D837" s="87" t="str">
        <f>VLOOKUP(Tabela1[[#This Row],[Origem]], 'Perguntas 1 a 24'!$J$28:$K$34, 2, 0)</f>
        <v>Nordeste</v>
      </c>
      <c r="E837" s="87" t="str">
        <f>Tabela1[[#This Row],[Descrição]]&amp;"-"&amp;Tabela1[[#This Row],[Código]]&amp;"/"&amp;Tabela1[[#This Row],[Origem]]</f>
        <v>Pupotedu-P786H638/MA</v>
      </c>
      <c r="F837" s="88">
        <v>45946</v>
      </c>
      <c r="G837" s="88" t="str" cm="1">
        <f t="array" ref="G8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AND(F837&gt;= DATE(2026,1,1), F837&lt;= DATE(2028, 12, 31), J837&gt;50000), "Pendente e Caro", AND(F837&gt;= DATE(2026,1,1), F837&lt;= DATE(2028, 12, 31), J837&lt;=50000), "Pendente", F837&gt;= DATE(2029,1,1), "Não prioeitário")</f>
        <v>Urgente e Caro</v>
      </c>
      <c r="H837" s="89">
        <f>YEAR(Tabela1[[#This Row],[Data de Validade]])</f>
        <v>2025</v>
      </c>
      <c r="I837" s="89">
        <f>MONTH(Tabela1[[#This Row],[Data de Validade]])</f>
        <v>10</v>
      </c>
      <c r="J837" s="101">
        <v>75232</v>
      </c>
      <c r="K837" s="87" t="s">
        <v>14</v>
      </c>
      <c r="L837" s="108"/>
      <c r="M837" s="108"/>
      <c r="N837" s="108" t="str">
        <v>P786H638</v>
      </c>
      <c r="O837" s="108">
        <f t="shared" si="15"/>
        <v>1</v>
      </c>
      <c r="P837" s="108"/>
      <c r="Q837"/>
    </row>
    <row r="838" spans="1:17" x14ac:dyDescent="0.25">
      <c r="A838" s="89" t="s">
        <v>10835</v>
      </c>
      <c r="B838" s="87" t="s">
        <v>10836</v>
      </c>
      <c r="C838" s="87" t="s">
        <v>15</v>
      </c>
      <c r="D838" s="87" t="str">
        <f>VLOOKUP(Tabela1[[#This Row],[Origem]], 'Perguntas 1 a 24'!$J$28:$K$34, 2, 0)</f>
        <v>Sudeste</v>
      </c>
      <c r="E838" s="87" t="str">
        <f>Tabela1[[#This Row],[Descrição]]&amp;"-"&amp;Tabela1[[#This Row],[Código]]&amp;"/"&amp;Tabela1[[#This Row],[Origem]]</f>
        <v>Timimepema-P917P876/ES</v>
      </c>
      <c r="F838" s="88">
        <v>45946</v>
      </c>
      <c r="G838" s="88" t="str" cm="1">
        <f t="array" ref="G8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AND(F838&gt;= DATE(2026,1,1), F838&lt;= DATE(2028, 12, 31), J838&gt;50000), "Pendente e Caro", AND(F838&gt;= DATE(2026,1,1), F838&lt;= DATE(2028, 12, 31), J838&lt;=50000), "Pendente", F838&gt;= DATE(2029,1,1), "Não prioeitário")</f>
        <v>Urgente</v>
      </c>
      <c r="H838" s="89">
        <f>YEAR(Tabela1[[#This Row],[Data de Validade]])</f>
        <v>2025</v>
      </c>
      <c r="I838" s="89">
        <f>MONTH(Tabela1[[#This Row],[Data de Validade]])</f>
        <v>10</v>
      </c>
      <c r="J838" s="101">
        <v>48402</v>
      </c>
      <c r="K838" s="87" t="s">
        <v>7</v>
      </c>
      <c r="L838" s="108"/>
      <c r="M838" s="108"/>
      <c r="N838" s="108" t="str">
        <v>P917P876</v>
      </c>
      <c r="O838" s="108">
        <f t="shared" si="15"/>
        <v>1</v>
      </c>
      <c r="P838" s="108"/>
      <c r="Q838"/>
    </row>
    <row r="839" spans="1:17" x14ac:dyDescent="0.25">
      <c r="A839" s="89" t="s">
        <v>8941</v>
      </c>
      <c r="B839" s="87" t="s">
        <v>8942</v>
      </c>
      <c r="C839" s="87" t="s">
        <v>16</v>
      </c>
      <c r="D839" s="87" t="str">
        <f>VLOOKUP(Tabela1[[#This Row],[Origem]], 'Perguntas 1 a 24'!$J$28:$K$34, 2, 0)</f>
        <v>Sudeste</v>
      </c>
      <c r="E839" s="87" t="str">
        <f>Tabela1[[#This Row],[Descrição]]&amp;"-"&amp;Tabela1[[#This Row],[Código]]&amp;"/"&amp;Tabela1[[#This Row],[Origem]]</f>
        <v>Tumefupe-H675H531/MG</v>
      </c>
      <c r="F839" s="88">
        <v>45947</v>
      </c>
      <c r="G839" s="88" t="str" cm="1">
        <f t="array" ref="G8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AND(F839&gt;= DATE(2026,1,1), F839&lt;= DATE(2028, 12, 31), J839&gt;50000), "Pendente e Caro", AND(F839&gt;= DATE(2026,1,1), F839&lt;= DATE(2028, 12, 31), J839&lt;=50000), "Pendente", F839&gt;= DATE(2029,1,1), "Não prioeitário")</f>
        <v>Urgente e Caro</v>
      </c>
      <c r="H839" s="89">
        <f>YEAR(Tabela1[[#This Row],[Data de Validade]])</f>
        <v>2025</v>
      </c>
      <c r="I839" s="89">
        <f>MONTH(Tabela1[[#This Row],[Data de Validade]])</f>
        <v>10</v>
      </c>
      <c r="J839" s="101">
        <v>101399</v>
      </c>
      <c r="K839" s="87" t="s">
        <v>9</v>
      </c>
      <c r="L839" s="108"/>
      <c r="M839" s="108"/>
      <c r="N839" s="108" t="str">
        <v>H675H531</v>
      </c>
      <c r="O839" s="108">
        <f t="shared" si="15"/>
        <v>1</v>
      </c>
      <c r="P839" s="108"/>
      <c r="Q839"/>
    </row>
    <row r="840" spans="1:17" x14ac:dyDescent="0.25">
      <c r="A840" s="89" t="s">
        <v>4506</v>
      </c>
      <c r="B840" s="87" t="s">
        <v>4507</v>
      </c>
      <c r="C840" s="87" t="s">
        <v>10</v>
      </c>
      <c r="D840" s="87" t="str">
        <f>VLOOKUP(Tabela1[[#This Row],[Origem]], 'Perguntas 1 a 24'!$J$28:$K$34, 2, 0)</f>
        <v>Centro-Oeste</v>
      </c>
      <c r="E840" s="87" t="str">
        <f>Tabela1[[#This Row],[Descrição]]&amp;"-"&amp;Tabela1[[#This Row],[Código]]&amp;"/"&amp;Tabela1[[#This Row],[Origem]]</f>
        <v>Lomica-H136P848/GO</v>
      </c>
      <c r="F840" s="88">
        <v>45947</v>
      </c>
      <c r="G840" s="88" t="str" cm="1">
        <f t="array" ref="G8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AND(F840&gt;= DATE(2026,1,1), F840&lt;= DATE(2028, 12, 31), J840&gt;50000), "Pendente e Caro", AND(F840&gt;= DATE(2026,1,1), F840&lt;= DATE(2028, 12, 31), J840&lt;=50000), "Pendente", F840&gt;= DATE(2029,1,1), "Não prioeitário")</f>
        <v>Urgente e Caro</v>
      </c>
      <c r="H840" s="89">
        <f>YEAR(Tabela1[[#This Row],[Data de Validade]])</f>
        <v>2025</v>
      </c>
      <c r="I840" s="89">
        <f>MONTH(Tabela1[[#This Row],[Data de Validade]])</f>
        <v>10</v>
      </c>
      <c r="J840" s="101">
        <v>68551</v>
      </c>
      <c r="K840" s="87" t="s">
        <v>11</v>
      </c>
      <c r="L840" s="108"/>
      <c r="M840" s="108"/>
      <c r="N840" s="108" t="str">
        <v>H136P848</v>
      </c>
      <c r="O840" s="108">
        <f t="shared" si="15"/>
        <v>1</v>
      </c>
      <c r="P840" s="108"/>
      <c r="Q840"/>
    </row>
    <row r="841" spans="1:17" x14ac:dyDescent="0.25">
      <c r="A841" s="89" t="s">
        <v>6388</v>
      </c>
      <c r="B841" s="87" t="s">
        <v>6389</v>
      </c>
      <c r="C841" s="87" t="s">
        <v>6</v>
      </c>
      <c r="D841" s="87" t="str">
        <f>VLOOKUP(Tabela1[[#This Row],[Origem]], 'Perguntas 1 a 24'!$J$28:$K$34, 2, 0)</f>
        <v>Nordeste</v>
      </c>
      <c r="E841" s="87" t="str">
        <f>Tabela1[[#This Row],[Descrição]]&amp;"-"&amp;Tabela1[[#This Row],[Código]]&amp;"/"&amp;Tabela1[[#This Row],[Origem]]</f>
        <v>Povipice-H581H729/MA</v>
      </c>
      <c r="F841" s="88">
        <v>45948</v>
      </c>
      <c r="G841" s="88" t="str" cm="1">
        <f t="array" ref="G8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AND(F841&gt;= DATE(2026,1,1), F841&lt;= DATE(2028, 12, 31), J841&gt;50000), "Pendente e Caro", AND(F841&gt;= DATE(2026,1,1), F841&lt;= DATE(2028, 12, 31), J841&lt;=50000), "Pendente", F841&gt;= DATE(2029,1,1), "Não prioeitário")</f>
        <v>Urgente e Caro</v>
      </c>
      <c r="H841" s="89">
        <f>YEAR(Tabela1[[#This Row],[Data de Validade]])</f>
        <v>2025</v>
      </c>
      <c r="I841" s="89">
        <f>MONTH(Tabela1[[#This Row],[Data de Validade]])</f>
        <v>10</v>
      </c>
      <c r="J841" s="101">
        <v>58782</v>
      </c>
      <c r="K841" s="87" t="s">
        <v>9</v>
      </c>
      <c r="L841" s="108"/>
      <c r="M841" s="108"/>
      <c r="N841" s="108" t="str">
        <v>H581H729</v>
      </c>
      <c r="O841" s="108">
        <f t="shared" si="15"/>
        <v>1</v>
      </c>
      <c r="P841" s="108"/>
      <c r="Q841"/>
    </row>
    <row r="842" spans="1:17" x14ac:dyDescent="0.25">
      <c r="A842" s="89" t="s">
        <v>7488</v>
      </c>
      <c r="B842" s="87" t="s">
        <v>7489</v>
      </c>
      <c r="C842" s="87" t="s">
        <v>15</v>
      </c>
      <c r="D842" s="87" t="str">
        <f>VLOOKUP(Tabela1[[#This Row],[Origem]], 'Perguntas 1 a 24'!$J$28:$K$34, 2, 0)</f>
        <v>Sudeste</v>
      </c>
      <c r="E842" s="87" t="str">
        <f>Tabela1[[#This Row],[Descrição]]&amp;"-"&amp;Tabela1[[#This Row],[Código]]&amp;"/"&amp;Tabela1[[#This Row],[Origem]]</f>
        <v>Vopucepamo-H726P273/ES</v>
      </c>
      <c r="F842" s="88">
        <v>45949</v>
      </c>
      <c r="G842" s="88" t="str" cm="1">
        <f t="array" ref="G8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AND(F842&gt;= DATE(2026,1,1), F842&lt;= DATE(2028, 12, 31), J842&gt;50000), "Pendente e Caro", AND(F842&gt;= DATE(2026,1,1), F842&lt;= DATE(2028, 12, 31), J842&lt;=50000), "Pendente", F842&gt;= DATE(2029,1,1), "Não prioeitário")</f>
        <v>Urgente e Caro</v>
      </c>
      <c r="H842" s="89">
        <f>YEAR(Tabela1[[#This Row],[Data de Validade]])</f>
        <v>2025</v>
      </c>
      <c r="I842" s="89">
        <f>MONTH(Tabela1[[#This Row],[Data de Validade]])</f>
        <v>10</v>
      </c>
      <c r="J842" s="101">
        <v>93653</v>
      </c>
      <c r="K842" s="87" t="s">
        <v>11</v>
      </c>
      <c r="L842" s="108"/>
      <c r="M842" s="108"/>
      <c r="N842" s="108" t="str">
        <v>H726P273</v>
      </c>
      <c r="O842" s="108">
        <f t="shared" si="15"/>
        <v>1</v>
      </c>
      <c r="P842" s="108"/>
      <c r="Q842"/>
    </row>
    <row r="843" spans="1:17" x14ac:dyDescent="0.25">
      <c r="A843" s="89" t="s">
        <v>9865</v>
      </c>
      <c r="B843" s="87" t="s">
        <v>9866</v>
      </c>
      <c r="C843" s="87" t="s">
        <v>16</v>
      </c>
      <c r="D843" s="87" t="str">
        <f>VLOOKUP(Tabela1[[#This Row],[Origem]], 'Perguntas 1 a 24'!$J$28:$K$34, 2, 0)</f>
        <v>Sudeste</v>
      </c>
      <c r="E843" s="87" t="str">
        <f>Tabela1[[#This Row],[Descrição]]&amp;"-"&amp;Tabela1[[#This Row],[Código]]&amp;"/"&amp;Tabela1[[#This Row],[Origem]]</f>
        <v>Defuvego-H286H263/MG</v>
      </c>
      <c r="F843" s="88">
        <v>45949</v>
      </c>
      <c r="G843" s="88" t="str" cm="1">
        <f t="array" ref="G8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AND(F843&gt;= DATE(2026,1,1), F843&lt;= DATE(2028, 12, 31), J843&gt;50000), "Pendente e Caro", AND(F843&gt;= DATE(2026,1,1), F843&lt;= DATE(2028, 12, 31), J843&lt;=50000), "Pendente", F843&gt;= DATE(2029,1,1), "Não prioeitário")</f>
        <v>Urgente e Caro</v>
      </c>
      <c r="H843" s="89">
        <f>YEAR(Tabela1[[#This Row],[Data de Validade]])</f>
        <v>2025</v>
      </c>
      <c r="I843" s="89">
        <f>MONTH(Tabela1[[#This Row],[Data de Validade]])</f>
        <v>10</v>
      </c>
      <c r="J843" s="101">
        <v>89971</v>
      </c>
      <c r="K843" s="87" t="s">
        <v>9</v>
      </c>
      <c r="L843" s="108"/>
      <c r="M843" s="108"/>
      <c r="N843" s="108" t="str">
        <v>H286H263</v>
      </c>
      <c r="O843" s="108">
        <f t="shared" si="15"/>
        <v>1</v>
      </c>
      <c r="P843" s="108"/>
      <c r="Q843"/>
    </row>
    <row r="844" spans="1:17" x14ac:dyDescent="0.25">
      <c r="A844" s="89" t="s">
        <v>4281</v>
      </c>
      <c r="B844" s="87" t="s">
        <v>4282</v>
      </c>
      <c r="C844" s="87" t="s">
        <v>12</v>
      </c>
      <c r="D844" s="87" t="str">
        <f>VLOOKUP(Tabela1[[#This Row],[Origem]], 'Perguntas 1 a 24'!$J$28:$K$34, 2, 0)</f>
        <v>Sudeste</v>
      </c>
      <c r="E844" s="87" t="str">
        <f>Tabela1[[#This Row],[Descrição]]&amp;"-"&amp;Tabela1[[#This Row],[Código]]&amp;"/"&amp;Tabela1[[#This Row],[Origem]]</f>
        <v>Cedigapere-P765H214/RJ</v>
      </c>
      <c r="F844" s="88">
        <v>45949</v>
      </c>
      <c r="G844" s="88" t="str" cm="1">
        <f t="array" ref="G8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AND(F844&gt;= DATE(2026,1,1), F844&lt;= DATE(2028, 12, 31), J844&gt;50000), "Pendente e Caro", AND(F844&gt;= DATE(2026,1,1), F844&lt;= DATE(2028, 12, 31), J844&lt;=50000), "Pendente", F844&gt;= DATE(2029,1,1), "Não prioeitário")</f>
        <v>Urgente e Caro</v>
      </c>
      <c r="H844" s="89">
        <f>YEAR(Tabela1[[#This Row],[Data de Validade]])</f>
        <v>2025</v>
      </c>
      <c r="I844" s="89">
        <f>MONTH(Tabela1[[#This Row],[Data de Validade]])</f>
        <v>10</v>
      </c>
      <c r="J844" s="101">
        <v>58177</v>
      </c>
      <c r="K844" s="87" t="s">
        <v>9</v>
      </c>
      <c r="L844" s="108"/>
      <c r="M844" s="108"/>
      <c r="N844" s="108" t="str">
        <v>P765H214</v>
      </c>
      <c r="O844" s="108">
        <f t="shared" si="15"/>
        <v>1</v>
      </c>
      <c r="P844" s="108"/>
      <c r="Q844"/>
    </row>
    <row r="845" spans="1:17" x14ac:dyDescent="0.25">
      <c r="A845" s="89" t="s">
        <v>4106</v>
      </c>
      <c r="B845" s="87" t="s">
        <v>4107</v>
      </c>
      <c r="C845" s="87" t="s">
        <v>16</v>
      </c>
      <c r="D845" s="87" t="str">
        <f>VLOOKUP(Tabela1[[#This Row],[Origem]], 'Perguntas 1 a 24'!$J$28:$K$34, 2, 0)</f>
        <v>Sudeste</v>
      </c>
      <c r="E845" s="87" t="str">
        <f>Tabela1[[#This Row],[Descrição]]&amp;"-"&amp;Tabela1[[#This Row],[Código]]&amp;"/"&amp;Tabela1[[#This Row],[Origem]]</f>
        <v>Fetotu-H696H648/MG</v>
      </c>
      <c r="F845" s="88">
        <v>45951</v>
      </c>
      <c r="G845" s="88" t="str" cm="1">
        <f t="array" ref="G8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AND(F845&gt;= DATE(2026,1,1), F845&lt;= DATE(2028, 12, 31), J845&gt;50000), "Pendente e Caro", AND(F845&gt;= DATE(2026,1,1), F845&lt;= DATE(2028, 12, 31), J845&lt;=50000), "Pendente", F845&gt;= DATE(2029,1,1), "Não prioeitário")</f>
        <v>Urgente e Caro</v>
      </c>
      <c r="H845" s="89">
        <f>YEAR(Tabela1[[#This Row],[Data de Validade]])</f>
        <v>2025</v>
      </c>
      <c r="I845" s="89">
        <f>MONTH(Tabela1[[#This Row],[Data de Validade]])</f>
        <v>10</v>
      </c>
      <c r="J845" s="101">
        <v>101413</v>
      </c>
      <c r="K845" s="87" t="s">
        <v>9</v>
      </c>
      <c r="L845" s="108"/>
      <c r="M845" s="108"/>
      <c r="N845" s="108" t="str">
        <v>H696H648</v>
      </c>
      <c r="O845" s="108">
        <f t="shared" si="15"/>
        <v>1</v>
      </c>
      <c r="P845" s="108"/>
      <c r="Q845"/>
    </row>
    <row r="846" spans="1:17" x14ac:dyDescent="0.25">
      <c r="A846" s="89" t="s">
        <v>5066</v>
      </c>
      <c r="B846" s="87" t="s">
        <v>5067</v>
      </c>
      <c r="C846" s="87" t="s">
        <v>13</v>
      </c>
      <c r="D846" s="87" t="str">
        <f>VLOOKUP(Tabela1[[#This Row],[Origem]], 'Perguntas 1 a 24'!$J$28:$K$34, 2, 0)</f>
        <v>Sudeste</v>
      </c>
      <c r="E846" s="87" t="str">
        <f>Tabela1[[#This Row],[Descrição]]&amp;"-"&amp;Tabela1[[#This Row],[Código]]&amp;"/"&amp;Tabela1[[#This Row],[Origem]]</f>
        <v>Garefipofa-H331H451/SP</v>
      </c>
      <c r="F846" s="88">
        <v>45952</v>
      </c>
      <c r="G846" s="88" t="str" cm="1">
        <f t="array" ref="G8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AND(F846&gt;= DATE(2026,1,1), F846&lt;= DATE(2028, 12, 31), J846&gt;50000), "Pendente e Caro", AND(F846&gt;= DATE(2026,1,1), F846&lt;= DATE(2028, 12, 31), J846&lt;=50000), "Pendente", F846&gt;= DATE(2029,1,1), "Não prioeitário")</f>
        <v>Urgente</v>
      </c>
      <c r="H846" s="89">
        <f>YEAR(Tabela1[[#This Row],[Data de Validade]])</f>
        <v>2025</v>
      </c>
      <c r="I846" s="89">
        <f>MONTH(Tabela1[[#This Row],[Data de Validade]])</f>
        <v>10</v>
      </c>
      <c r="J846" s="101">
        <v>43807</v>
      </c>
      <c r="K846" s="87" t="s">
        <v>14</v>
      </c>
      <c r="L846" s="108"/>
      <c r="M846" s="108"/>
      <c r="N846" s="108" t="str">
        <v>H331H451</v>
      </c>
      <c r="O846" s="108">
        <f t="shared" si="15"/>
        <v>1</v>
      </c>
      <c r="P846" s="108"/>
      <c r="Q846"/>
    </row>
    <row r="847" spans="1:17" x14ac:dyDescent="0.25">
      <c r="A847" s="89" t="s">
        <v>6276</v>
      </c>
      <c r="B847" s="87" t="s">
        <v>6277</v>
      </c>
      <c r="C847" s="87" t="s">
        <v>13</v>
      </c>
      <c r="D847" s="87" t="str">
        <f>VLOOKUP(Tabela1[[#This Row],[Origem]], 'Perguntas 1 a 24'!$J$28:$K$34, 2, 0)</f>
        <v>Sudeste</v>
      </c>
      <c r="E847" s="87" t="str">
        <f>Tabela1[[#This Row],[Descrição]]&amp;"-"&amp;Tabela1[[#This Row],[Código]]&amp;"/"&amp;Tabela1[[#This Row],[Origem]]</f>
        <v>Renapo-H527P195/SP</v>
      </c>
      <c r="F847" s="88">
        <v>45952</v>
      </c>
      <c r="G847" s="88" t="str" cm="1">
        <f t="array" ref="G8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AND(F847&gt;= DATE(2026,1,1), F847&lt;= DATE(2028, 12, 31), J847&gt;50000), "Pendente e Caro", AND(F847&gt;= DATE(2026,1,1), F847&lt;= DATE(2028, 12, 31), J847&lt;=50000), "Pendente", F847&gt;= DATE(2029,1,1), "Não prioeitário")</f>
        <v>Urgente</v>
      </c>
      <c r="H847" s="89">
        <f>YEAR(Tabela1[[#This Row],[Data de Validade]])</f>
        <v>2025</v>
      </c>
      <c r="I847" s="89">
        <f>MONTH(Tabela1[[#This Row],[Data de Validade]])</f>
        <v>10</v>
      </c>
      <c r="J847" s="101">
        <v>30831</v>
      </c>
      <c r="K847" s="87" t="s">
        <v>9</v>
      </c>
      <c r="L847" s="108"/>
      <c r="M847" s="108"/>
      <c r="N847" s="108" t="str">
        <v>H527P195</v>
      </c>
      <c r="O847" s="108">
        <f t="shared" si="15"/>
        <v>1</v>
      </c>
      <c r="P847" s="108"/>
      <c r="Q847"/>
    </row>
    <row r="848" spans="1:17" x14ac:dyDescent="0.25">
      <c r="A848" s="89" t="s">
        <v>5036</v>
      </c>
      <c r="B848" s="87" t="s">
        <v>5037</v>
      </c>
      <c r="C848" s="87" t="s">
        <v>6</v>
      </c>
      <c r="D848" s="87" t="str">
        <f>VLOOKUP(Tabela1[[#This Row],[Origem]], 'Perguntas 1 a 24'!$J$28:$K$34, 2, 0)</f>
        <v>Nordeste</v>
      </c>
      <c r="E848" s="87" t="str">
        <f>Tabela1[[#This Row],[Descrição]]&amp;"-"&amp;Tabela1[[#This Row],[Código]]&amp;"/"&amp;Tabela1[[#This Row],[Origem]]</f>
        <v>Cefamo-P294P578/MA</v>
      </c>
      <c r="F848" s="88">
        <v>45954</v>
      </c>
      <c r="G848" s="88" t="str" cm="1">
        <f t="array" ref="G8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AND(F848&gt;= DATE(2026,1,1), F848&lt;= DATE(2028, 12, 31), J848&gt;50000), "Pendente e Caro", AND(F848&gt;= DATE(2026,1,1), F848&lt;= DATE(2028, 12, 31), J848&lt;=50000), "Pendente", F848&gt;= DATE(2029,1,1), "Não prioeitário")</f>
        <v>Urgente e Caro</v>
      </c>
      <c r="H848" s="89">
        <f>YEAR(Tabela1[[#This Row],[Data de Validade]])</f>
        <v>2025</v>
      </c>
      <c r="I848" s="89">
        <f>MONTH(Tabela1[[#This Row],[Data de Validade]])</f>
        <v>10</v>
      </c>
      <c r="J848" s="101">
        <v>108476</v>
      </c>
      <c r="K848" s="87" t="s">
        <v>9</v>
      </c>
      <c r="L848" s="108"/>
      <c r="M848" s="108"/>
      <c r="N848" s="108" t="str">
        <v>P294P578</v>
      </c>
      <c r="O848" s="108">
        <f t="shared" si="15"/>
        <v>1</v>
      </c>
      <c r="P848" s="108"/>
      <c r="Q848"/>
    </row>
    <row r="849" spans="1:17" x14ac:dyDescent="0.25">
      <c r="A849" s="89" t="s">
        <v>4830</v>
      </c>
      <c r="B849" s="87" t="s">
        <v>4831</v>
      </c>
      <c r="C849" s="87" t="s">
        <v>13</v>
      </c>
      <c r="D849" s="87" t="str">
        <f>VLOOKUP(Tabela1[[#This Row],[Origem]], 'Perguntas 1 a 24'!$J$28:$K$34, 2, 0)</f>
        <v>Sudeste</v>
      </c>
      <c r="E849" s="87" t="str">
        <f>Tabela1[[#This Row],[Descrição]]&amp;"-"&amp;Tabela1[[#This Row],[Código]]&amp;"/"&amp;Tabela1[[#This Row],[Origem]]</f>
        <v>Liredatu-P721H717/SP</v>
      </c>
      <c r="F849" s="88">
        <v>45954</v>
      </c>
      <c r="G849" s="88" t="str" cm="1">
        <f t="array" ref="G8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AND(F849&gt;= DATE(2026,1,1), F849&lt;= DATE(2028, 12, 31), J849&gt;50000), "Pendente e Caro", AND(F849&gt;= DATE(2026,1,1), F849&lt;= DATE(2028, 12, 31), J849&lt;=50000), "Pendente", F849&gt;= DATE(2029,1,1), "Não prioeitário")</f>
        <v>Urgente e Caro</v>
      </c>
      <c r="H849" s="89">
        <f>YEAR(Tabela1[[#This Row],[Data de Validade]])</f>
        <v>2025</v>
      </c>
      <c r="I849" s="89">
        <f>MONTH(Tabela1[[#This Row],[Data de Validade]])</f>
        <v>10</v>
      </c>
      <c r="J849" s="101">
        <v>93428</v>
      </c>
      <c r="K849" s="87" t="s">
        <v>14</v>
      </c>
      <c r="L849" s="108"/>
      <c r="M849" s="108"/>
      <c r="N849" s="108" t="str">
        <v>P721H717</v>
      </c>
      <c r="O849" s="108">
        <f t="shared" si="15"/>
        <v>1</v>
      </c>
      <c r="P849" s="108"/>
      <c r="Q849"/>
    </row>
    <row r="850" spans="1:17" x14ac:dyDescent="0.25">
      <c r="A850" s="89" t="s">
        <v>4098</v>
      </c>
      <c r="B850" s="87" t="s">
        <v>4099</v>
      </c>
      <c r="C850" s="87" t="s">
        <v>13</v>
      </c>
      <c r="D850" s="87" t="str">
        <f>VLOOKUP(Tabela1[[#This Row],[Origem]], 'Perguntas 1 a 24'!$J$28:$K$34, 2, 0)</f>
        <v>Sudeste</v>
      </c>
      <c r="E850" s="87" t="str">
        <f>Tabela1[[#This Row],[Descrição]]&amp;"-"&amp;Tabela1[[#This Row],[Código]]&amp;"/"&amp;Tabela1[[#This Row],[Origem]]</f>
        <v>Tomipupuvo-H848P245/SP</v>
      </c>
      <c r="F850" s="88">
        <v>45956</v>
      </c>
      <c r="G850" s="88" t="str" cm="1">
        <f t="array" ref="G8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AND(F850&gt;= DATE(2026,1,1), F850&lt;= DATE(2028, 12, 31), J850&gt;50000), "Pendente e Caro", AND(F850&gt;= DATE(2026,1,1), F850&lt;= DATE(2028, 12, 31), J850&lt;=50000), "Pendente", F850&gt;= DATE(2029,1,1), "Não prioeitário")</f>
        <v>Urgente</v>
      </c>
      <c r="H850" s="89">
        <f>YEAR(Tabela1[[#This Row],[Data de Validade]])</f>
        <v>2025</v>
      </c>
      <c r="I850" s="89">
        <f>MONTH(Tabela1[[#This Row],[Data de Validade]])</f>
        <v>10</v>
      </c>
      <c r="J850" s="101">
        <v>20308</v>
      </c>
      <c r="K850" s="87" t="s">
        <v>7</v>
      </c>
      <c r="L850" s="108"/>
      <c r="M850" s="108"/>
      <c r="N850" s="108" t="str">
        <v>H848P245</v>
      </c>
      <c r="O850" s="108">
        <f t="shared" si="15"/>
        <v>1</v>
      </c>
      <c r="P850" s="108"/>
      <c r="Q850"/>
    </row>
    <row r="851" spans="1:17" x14ac:dyDescent="0.25">
      <c r="A851" s="89" t="s">
        <v>6112</v>
      </c>
      <c r="B851" s="87" t="s">
        <v>6113</v>
      </c>
      <c r="C851" s="87" t="s">
        <v>8</v>
      </c>
      <c r="D851" s="87" t="str">
        <f>VLOOKUP(Tabela1[[#This Row],[Origem]], 'Perguntas 1 a 24'!$J$28:$K$34, 2, 0)</f>
        <v>Nordeste</v>
      </c>
      <c r="E851" s="87" t="str">
        <f>Tabela1[[#This Row],[Descrição]]&amp;"-"&amp;Tabela1[[#This Row],[Código]]&amp;"/"&amp;Tabela1[[#This Row],[Origem]]</f>
        <v>Neludutamo-H239P471/AL</v>
      </c>
      <c r="F851" s="88">
        <v>45957</v>
      </c>
      <c r="G851" s="88" t="str" cm="1">
        <f t="array" ref="G8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AND(F851&gt;= DATE(2026,1,1), F851&lt;= DATE(2028, 12, 31), J851&gt;50000), "Pendente e Caro", AND(F851&gt;= DATE(2026,1,1), F851&lt;= DATE(2028, 12, 31), J851&lt;=50000), "Pendente", F851&gt;= DATE(2029,1,1), "Não prioeitário")</f>
        <v>Urgente e Caro</v>
      </c>
      <c r="H851" s="89">
        <f>YEAR(Tabela1[[#This Row],[Data de Validade]])</f>
        <v>2025</v>
      </c>
      <c r="I851" s="89">
        <f>MONTH(Tabela1[[#This Row],[Data de Validade]])</f>
        <v>10</v>
      </c>
      <c r="J851" s="101">
        <v>103177</v>
      </c>
      <c r="K851" s="87" t="s">
        <v>11</v>
      </c>
      <c r="L851" s="108"/>
      <c r="M851" s="108"/>
      <c r="N851" s="108" t="str">
        <v>H239P471</v>
      </c>
      <c r="O851" s="108">
        <f t="shared" si="15"/>
        <v>1</v>
      </c>
      <c r="P851" s="108"/>
      <c r="Q851"/>
    </row>
    <row r="852" spans="1:17" x14ac:dyDescent="0.25">
      <c r="A852" s="89" t="s">
        <v>4225</v>
      </c>
      <c r="B852" s="87" t="s">
        <v>4226</v>
      </c>
      <c r="C852" s="87" t="s">
        <v>8</v>
      </c>
      <c r="D852" s="87" t="str">
        <f>VLOOKUP(Tabela1[[#This Row],[Origem]], 'Perguntas 1 a 24'!$J$28:$K$34, 2, 0)</f>
        <v>Nordeste</v>
      </c>
      <c r="E852" s="87" t="str">
        <f>Tabela1[[#This Row],[Descrição]]&amp;"-"&amp;Tabela1[[#This Row],[Código]]&amp;"/"&amp;Tabela1[[#This Row],[Origem]]</f>
        <v>Radopa-H595H199/AL</v>
      </c>
      <c r="F852" s="88">
        <v>45957</v>
      </c>
      <c r="G852" s="88" t="str" cm="1">
        <f t="array" ref="G8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AND(F852&gt;= DATE(2026,1,1), F852&lt;= DATE(2028, 12, 31), J852&gt;50000), "Pendente e Caro", AND(F852&gt;= DATE(2026,1,1), F852&lt;= DATE(2028, 12, 31), J852&lt;=50000), "Pendente", F852&gt;= DATE(2029,1,1), "Não prioeitário")</f>
        <v>Urgente e Caro</v>
      </c>
      <c r="H852" s="89">
        <f>YEAR(Tabela1[[#This Row],[Data de Validade]])</f>
        <v>2025</v>
      </c>
      <c r="I852" s="89">
        <f>MONTH(Tabela1[[#This Row],[Data de Validade]])</f>
        <v>10</v>
      </c>
      <c r="J852" s="101">
        <v>66508</v>
      </c>
      <c r="K852" s="87" t="s">
        <v>11</v>
      </c>
      <c r="L852" s="108"/>
      <c r="M852" s="108"/>
      <c r="N852" s="108" t="str">
        <v>H595H199</v>
      </c>
      <c r="O852" s="108">
        <f t="shared" si="15"/>
        <v>1</v>
      </c>
      <c r="P852" s="108"/>
      <c r="Q852"/>
    </row>
    <row r="853" spans="1:17" x14ac:dyDescent="0.25">
      <c r="A853" s="89" t="s">
        <v>8288</v>
      </c>
      <c r="B853" s="87" t="s">
        <v>8289</v>
      </c>
      <c r="C853" s="87" t="s">
        <v>6</v>
      </c>
      <c r="D853" s="87" t="str">
        <f>VLOOKUP(Tabela1[[#This Row],[Origem]], 'Perguntas 1 a 24'!$J$28:$K$34, 2, 0)</f>
        <v>Nordeste</v>
      </c>
      <c r="E853" s="87" t="str">
        <f>Tabela1[[#This Row],[Descrição]]&amp;"-"&amp;Tabela1[[#This Row],[Código]]&amp;"/"&amp;Tabela1[[#This Row],[Origem]]</f>
        <v>Natorofa-P499P841/MA</v>
      </c>
      <c r="F853" s="88">
        <v>45957</v>
      </c>
      <c r="G853" s="88" t="str" cm="1">
        <f t="array" ref="G8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AND(F853&gt;= DATE(2026,1,1), F853&lt;= DATE(2028, 12, 31), J853&gt;50000), "Pendente e Caro", AND(F853&gt;= DATE(2026,1,1), F853&lt;= DATE(2028, 12, 31), J853&lt;=50000), "Pendente", F853&gt;= DATE(2029,1,1), "Não prioeitário")</f>
        <v>Urgente</v>
      </c>
      <c r="H853" s="89">
        <f>YEAR(Tabela1[[#This Row],[Data de Validade]])</f>
        <v>2025</v>
      </c>
      <c r="I853" s="89">
        <f>MONTH(Tabela1[[#This Row],[Data de Validade]])</f>
        <v>10</v>
      </c>
      <c r="J853" s="101">
        <v>39129</v>
      </c>
      <c r="K853" s="87" t="s">
        <v>11</v>
      </c>
      <c r="L853" s="108"/>
      <c r="M853" s="108"/>
      <c r="N853" s="108" t="str">
        <v>P499P841</v>
      </c>
      <c r="O853" s="108">
        <f t="shared" si="15"/>
        <v>1</v>
      </c>
      <c r="P853" s="108"/>
      <c r="Q853"/>
    </row>
    <row r="854" spans="1:17" x14ac:dyDescent="0.25">
      <c r="A854" s="89" t="s">
        <v>7766</v>
      </c>
      <c r="B854" s="87" t="s">
        <v>7767</v>
      </c>
      <c r="C854" s="87" t="s">
        <v>12</v>
      </c>
      <c r="D854" s="87" t="str">
        <f>VLOOKUP(Tabela1[[#This Row],[Origem]], 'Perguntas 1 a 24'!$J$28:$K$34, 2, 0)</f>
        <v>Sudeste</v>
      </c>
      <c r="E854" s="87" t="str">
        <f>Tabela1[[#This Row],[Descrição]]&amp;"-"&amp;Tabela1[[#This Row],[Código]]&amp;"/"&amp;Tabela1[[#This Row],[Origem]]</f>
        <v>Papaficuni-P124P521/RJ</v>
      </c>
      <c r="F854" s="88">
        <v>45957</v>
      </c>
      <c r="G854" s="88" t="str" cm="1">
        <f t="array" ref="G8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AND(F854&gt;= DATE(2026,1,1), F854&lt;= DATE(2028, 12, 31), J854&gt;50000), "Pendente e Caro", AND(F854&gt;= DATE(2026,1,1), F854&lt;= DATE(2028, 12, 31), J854&lt;=50000), "Pendente", F854&gt;= DATE(2029,1,1), "Não prioeitário")</f>
        <v>Urgente</v>
      </c>
      <c r="H854" s="89">
        <f>YEAR(Tabela1[[#This Row],[Data de Validade]])</f>
        <v>2025</v>
      </c>
      <c r="I854" s="89">
        <f>MONTH(Tabela1[[#This Row],[Data de Validade]])</f>
        <v>10</v>
      </c>
      <c r="J854" s="101">
        <v>27120</v>
      </c>
      <c r="K854" s="87" t="s">
        <v>11</v>
      </c>
      <c r="L854" s="108"/>
      <c r="M854" s="108"/>
      <c r="N854" s="108" t="str">
        <v>P124P521</v>
      </c>
      <c r="O854" s="108">
        <f t="shared" si="15"/>
        <v>1</v>
      </c>
      <c r="P854" s="108"/>
      <c r="Q854"/>
    </row>
    <row r="855" spans="1:17" x14ac:dyDescent="0.25">
      <c r="A855" s="89" t="s">
        <v>6698</v>
      </c>
      <c r="B855" s="87" t="s">
        <v>6699</v>
      </c>
      <c r="C855" s="87" t="s">
        <v>15</v>
      </c>
      <c r="D855" s="87" t="str">
        <f>VLOOKUP(Tabela1[[#This Row],[Origem]], 'Perguntas 1 a 24'!$J$28:$K$34, 2, 0)</f>
        <v>Sudeste</v>
      </c>
      <c r="E855" s="87" t="str">
        <f>Tabela1[[#This Row],[Descrição]]&amp;"-"&amp;Tabela1[[#This Row],[Código]]&amp;"/"&amp;Tabela1[[#This Row],[Origem]]</f>
        <v>Gaveperugo-H357H413/ES</v>
      </c>
      <c r="F855" s="88">
        <v>45958</v>
      </c>
      <c r="G855" s="88" t="str" cm="1">
        <f t="array" ref="G8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AND(F855&gt;= DATE(2026,1,1), F855&lt;= DATE(2028, 12, 31), J855&gt;50000), "Pendente e Caro", AND(F855&gt;= DATE(2026,1,1), F855&lt;= DATE(2028, 12, 31), J855&lt;=50000), "Pendente", F855&gt;= DATE(2029,1,1), "Não prioeitário")</f>
        <v>Urgente e Caro</v>
      </c>
      <c r="H855" s="89">
        <f>YEAR(Tabela1[[#This Row],[Data de Validade]])</f>
        <v>2025</v>
      </c>
      <c r="I855" s="89">
        <f>MONTH(Tabela1[[#This Row],[Data de Validade]])</f>
        <v>10</v>
      </c>
      <c r="J855" s="101">
        <v>89607</v>
      </c>
      <c r="K855" s="87" t="s">
        <v>7</v>
      </c>
      <c r="L855" s="108"/>
      <c r="M855" s="108"/>
      <c r="N855" s="108" t="str">
        <v>H357H413</v>
      </c>
      <c r="O855" s="108">
        <f t="shared" si="15"/>
        <v>1</v>
      </c>
      <c r="P855" s="108"/>
      <c r="Q855"/>
    </row>
    <row r="856" spans="1:17" x14ac:dyDescent="0.25">
      <c r="A856" s="89" t="s">
        <v>9751</v>
      </c>
      <c r="B856" s="87" t="s">
        <v>9752</v>
      </c>
      <c r="C856" s="87" t="s">
        <v>16</v>
      </c>
      <c r="D856" s="87" t="str">
        <f>VLOOKUP(Tabela1[[#This Row],[Origem]], 'Perguntas 1 a 24'!$J$28:$K$34, 2, 0)</f>
        <v>Sudeste</v>
      </c>
      <c r="E856" s="87" t="str">
        <f>Tabela1[[#This Row],[Descrição]]&amp;"-"&amp;Tabela1[[#This Row],[Código]]&amp;"/"&amp;Tabela1[[#This Row],[Origem]]</f>
        <v>Talorure-H759H511/MG</v>
      </c>
      <c r="F856" s="88">
        <v>45960</v>
      </c>
      <c r="G856" s="88" t="str" cm="1">
        <f t="array" ref="G8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AND(F856&gt;= DATE(2026,1,1), F856&lt;= DATE(2028, 12, 31), J856&gt;50000), "Pendente e Caro", AND(F856&gt;= DATE(2026,1,1), F856&lt;= DATE(2028, 12, 31), J856&lt;=50000), "Pendente", F856&gt;= DATE(2029,1,1), "Não prioeitário")</f>
        <v>Urgente e Caro</v>
      </c>
      <c r="H856" s="89">
        <f>YEAR(Tabela1[[#This Row],[Data de Validade]])</f>
        <v>2025</v>
      </c>
      <c r="I856" s="89">
        <f>MONTH(Tabela1[[#This Row],[Data de Validade]])</f>
        <v>10</v>
      </c>
      <c r="J856" s="101">
        <v>111536</v>
      </c>
      <c r="K856" s="87" t="s">
        <v>7</v>
      </c>
      <c r="L856" s="108"/>
      <c r="M856" s="108"/>
      <c r="N856" s="108" t="str">
        <v>H759H511</v>
      </c>
      <c r="O856" s="108">
        <f t="shared" si="15"/>
        <v>1</v>
      </c>
      <c r="P856" s="108"/>
      <c r="Q856"/>
    </row>
    <row r="857" spans="1:17" x14ac:dyDescent="0.25">
      <c r="A857" s="89" t="s">
        <v>6922</v>
      </c>
      <c r="B857" s="87" t="s">
        <v>6923</v>
      </c>
      <c r="C857" s="87" t="s">
        <v>16</v>
      </c>
      <c r="D857" s="87" t="str">
        <f>VLOOKUP(Tabela1[[#This Row],[Origem]], 'Perguntas 1 a 24'!$J$28:$K$34, 2, 0)</f>
        <v>Sudeste</v>
      </c>
      <c r="E857" s="87" t="str">
        <f>Tabela1[[#This Row],[Descrição]]&amp;"-"&amp;Tabela1[[#This Row],[Código]]&amp;"/"&amp;Tabela1[[#This Row],[Origem]]</f>
        <v>Nudica-P565H273/MG</v>
      </c>
      <c r="F857" s="88">
        <v>45961</v>
      </c>
      <c r="G857" s="88" t="str" cm="1">
        <f t="array" ref="G8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AND(F857&gt;= DATE(2026,1,1), F857&lt;= DATE(2028, 12, 31), J857&gt;50000), "Pendente e Caro", AND(F857&gt;= DATE(2026,1,1), F857&lt;= DATE(2028, 12, 31), J857&lt;=50000), "Pendente", F857&gt;= DATE(2029,1,1), "Não prioeitário")</f>
        <v>Urgente</v>
      </c>
      <c r="H857" s="89">
        <f>YEAR(Tabela1[[#This Row],[Data de Validade]])</f>
        <v>2025</v>
      </c>
      <c r="I857" s="89">
        <f>MONTH(Tabela1[[#This Row],[Data de Validade]])</f>
        <v>10</v>
      </c>
      <c r="J857" s="101">
        <v>40013</v>
      </c>
      <c r="K857" s="87" t="s">
        <v>11</v>
      </c>
      <c r="L857" s="108"/>
      <c r="M857" s="108"/>
      <c r="N857" s="108" t="str">
        <v>P565H273</v>
      </c>
      <c r="O857" s="108">
        <f t="shared" si="15"/>
        <v>1</v>
      </c>
      <c r="P857" s="108"/>
      <c r="Q857"/>
    </row>
    <row r="858" spans="1:17" x14ac:dyDescent="0.25">
      <c r="A858" s="89" t="s">
        <v>4096</v>
      </c>
      <c r="B858" s="87" t="s">
        <v>4097</v>
      </c>
      <c r="C858" s="87" t="s">
        <v>6</v>
      </c>
      <c r="D858" s="87" t="str">
        <f>VLOOKUP(Tabela1[[#This Row],[Origem]], 'Perguntas 1 a 24'!$J$28:$K$34, 2, 0)</f>
        <v>Nordeste</v>
      </c>
      <c r="E858" s="87" t="str">
        <f>Tabela1[[#This Row],[Descrição]]&amp;"-"&amp;Tabela1[[#This Row],[Código]]&amp;"/"&amp;Tabela1[[#This Row],[Origem]]</f>
        <v>Purapo-P798H132/MA</v>
      </c>
      <c r="F858" s="88">
        <v>45963</v>
      </c>
      <c r="G858" s="88" t="str" cm="1">
        <f t="array" ref="G8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AND(F858&gt;= DATE(2026,1,1), F858&lt;= DATE(2028, 12, 31), J858&gt;50000), "Pendente e Caro", AND(F858&gt;= DATE(2026,1,1), F858&lt;= DATE(2028, 12, 31), J858&lt;=50000), "Pendente", F858&gt;= DATE(2029,1,1), "Não prioeitário")</f>
        <v>Urgente</v>
      </c>
      <c r="H858" s="89">
        <f>YEAR(Tabela1[[#This Row],[Data de Validade]])</f>
        <v>2025</v>
      </c>
      <c r="I858" s="89">
        <f>MONTH(Tabela1[[#This Row],[Data de Validade]])</f>
        <v>11</v>
      </c>
      <c r="J858" s="101">
        <v>20256</v>
      </c>
      <c r="K858" s="87" t="s">
        <v>11</v>
      </c>
      <c r="L858" s="108"/>
      <c r="M858" s="108"/>
      <c r="N858" s="108" t="str">
        <v>P798H132</v>
      </c>
      <c r="O858" s="108">
        <f t="shared" si="15"/>
        <v>1</v>
      </c>
      <c r="P858" s="108"/>
      <c r="Q858"/>
    </row>
    <row r="859" spans="1:17" x14ac:dyDescent="0.25">
      <c r="A859" s="89" t="s">
        <v>8623</v>
      </c>
      <c r="B859" s="87" t="s">
        <v>8624</v>
      </c>
      <c r="C859" s="87" t="s">
        <v>15</v>
      </c>
      <c r="D859" s="87" t="str">
        <f>VLOOKUP(Tabela1[[#This Row],[Origem]], 'Perguntas 1 a 24'!$J$28:$K$34, 2, 0)</f>
        <v>Sudeste</v>
      </c>
      <c r="E859" s="87" t="str">
        <f>Tabela1[[#This Row],[Descrição]]&amp;"-"&amp;Tabela1[[#This Row],[Código]]&amp;"/"&amp;Tabela1[[#This Row],[Origem]]</f>
        <v>Lupopatupi-P494P969/ES</v>
      </c>
      <c r="F859" s="88">
        <v>45964</v>
      </c>
      <c r="G859" s="88" t="str" cm="1">
        <f t="array" ref="G8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AND(F859&gt;= DATE(2026,1,1), F859&lt;= DATE(2028, 12, 31), J859&gt;50000), "Pendente e Caro", AND(F859&gt;= DATE(2026,1,1), F859&lt;= DATE(2028, 12, 31), J859&lt;=50000), "Pendente", F859&gt;= DATE(2029,1,1), "Não prioeitário")</f>
        <v>Urgente e Caro</v>
      </c>
      <c r="H859" s="89">
        <f>YEAR(Tabela1[[#This Row],[Data de Validade]])</f>
        <v>2025</v>
      </c>
      <c r="I859" s="89">
        <f>MONTH(Tabela1[[#This Row],[Data de Validade]])</f>
        <v>11</v>
      </c>
      <c r="J859" s="101">
        <v>64568</v>
      </c>
      <c r="K859" s="87" t="s">
        <v>14</v>
      </c>
      <c r="L859" s="108"/>
      <c r="M859" s="108"/>
      <c r="N859" s="108" t="str">
        <v>P494P969</v>
      </c>
      <c r="O859" s="108">
        <f t="shared" si="15"/>
        <v>1</v>
      </c>
      <c r="P859" s="108"/>
      <c r="Q859"/>
    </row>
    <row r="860" spans="1:17" x14ac:dyDescent="0.25">
      <c r="A860" s="89" t="s">
        <v>10629</v>
      </c>
      <c r="B860" s="87" t="s">
        <v>10630</v>
      </c>
      <c r="C860" s="87" t="s">
        <v>15</v>
      </c>
      <c r="D860" s="87" t="str">
        <f>VLOOKUP(Tabela1[[#This Row],[Origem]], 'Perguntas 1 a 24'!$J$28:$K$34, 2, 0)</f>
        <v>Sudeste</v>
      </c>
      <c r="E860" s="87" t="str">
        <f>Tabela1[[#This Row],[Descrição]]&amp;"-"&amp;Tabela1[[#This Row],[Código]]&amp;"/"&amp;Tabela1[[#This Row],[Origem]]</f>
        <v>Retomupeci-P282H253/ES</v>
      </c>
      <c r="F860" s="88">
        <v>45965</v>
      </c>
      <c r="G860" s="88" t="str" cm="1">
        <f t="array" ref="G8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AND(F860&gt;= DATE(2026,1,1), F860&lt;= DATE(2028, 12, 31), J860&gt;50000), "Pendente e Caro", AND(F860&gt;= DATE(2026,1,1), F860&lt;= DATE(2028, 12, 31), J860&lt;=50000), "Pendente", F860&gt;= DATE(2029,1,1), "Não prioeitário")</f>
        <v>Urgente</v>
      </c>
      <c r="H860" s="89">
        <f>YEAR(Tabela1[[#This Row],[Data de Validade]])</f>
        <v>2025</v>
      </c>
      <c r="I860" s="89">
        <f>MONTH(Tabela1[[#This Row],[Data de Validade]])</f>
        <v>11</v>
      </c>
      <c r="J860" s="101">
        <v>20681</v>
      </c>
      <c r="K860" s="87" t="s">
        <v>9</v>
      </c>
      <c r="L860" s="108"/>
      <c r="M860" s="108"/>
      <c r="N860" s="108" t="str">
        <v>P282H253</v>
      </c>
      <c r="O860" s="108">
        <f t="shared" si="15"/>
        <v>1</v>
      </c>
      <c r="P860" s="108"/>
      <c r="Q860"/>
    </row>
    <row r="861" spans="1:17" x14ac:dyDescent="0.25">
      <c r="A861" s="89" t="s">
        <v>5540</v>
      </c>
      <c r="B861" s="87" t="s">
        <v>5541</v>
      </c>
      <c r="C861" s="87" t="s">
        <v>13</v>
      </c>
      <c r="D861" s="87" t="str">
        <f>VLOOKUP(Tabela1[[#This Row],[Origem]], 'Perguntas 1 a 24'!$J$28:$K$34, 2, 0)</f>
        <v>Sudeste</v>
      </c>
      <c r="E861" s="87" t="str">
        <f>Tabela1[[#This Row],[Descrição]]&amp;"-"&amp;Tabela1[[#This Row],[Código]]&amp;"/"&amp;Tabela1[[#This Row],[Origem]]</f>
        <v>Puritapo-P147H657/SP</v>
      </c>
      <c r="F861" s="88">
        <v>45966</v>
      </c>
      <c r="G861" s="88" t="str" cm="1">
        <f t="array" ref="G8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AND(F861&gt;= DATE(2026,1,1), F861&lt;= DATE(2028, 12, 31), J861&gt;50000), "Pendente e Caro", AND(F861&gt;= DATE(2026,1,1), F861&lt;= DATE(2028, 12, 31), J861&lt;=50000), "Pendente", F861&gt;= DATE(2029,1,1), "Não prioeitário")</f>
        <v>Urgente e Caro</v>
      </c>
      <c r="H861" s="89">
        <f>YEAR(Tabela1[[#This Row],[Data de Validade]])</f>
        <v>2025</v>
      </c>
      <c r="I861" s="89">
        <f>MONTH(Tabela1[[#This Row],[Data de Validade]])</f>
        <v>11</v>
      </c>
      <c r="J861" s="101">
        <v>110597</v>
      </c>
      <c r="K861" s="87" t="s">
        <v>11</v>
      </c>
      <c r="L861" s="108"/>
      <c r="M861" s="108"/>
      <c r="N861" s="108" t="str">
        <v>P147H657</v>
      </c>
      <c r="O861" s="108">
        <f t="shared" si="15"/>
        <v>1</v>
      </c>
      <c r="P861" s="108"/>
      <c r="Q861"/>
    </row>
    <row r="862" spans="1:17" x14ac:dyDescent="0.25">
      <c r="A862" s="89" t="s">
        <v>9087</v>
      </c>
      <c r="B862" s="87" t="s">
        <v>9088</v>
      </c>
      <c r="C862" s="87" t="s">
        <v>10</v>
      </c>
      <c r="D862" s="87" t="str">
        <f>VLOOKUP(Tabela1[[#This Row],[Origem]], 'Perguntas 1 a 24'!$J$28:$K$34, 2, 0)</f>
        <v>Centro-Oeste</v>
      </c>
      <c r="E862" s="87" t="str">
        <f>Tabela1[[#This Row],[Descrição]]&amp;"-"&amp;Tabela1[[#This Row],[Código]]&amp;"/"&amp;Tabela1[[#This Row],[Origem]]</f>
        <v>Ruvirupa-H455P461/GO</v>
      </c>
      <c r="F862" s="88">
        <v>45967</v>
      </c>
      <c r="G862" s="88" t="str" cm="1">
        <f t="array" ref="G8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AND(F862&gt;= DATE(2026,1,1), F862&lt;= DATE(2028, 12, 31), J862&gt;50000), "Pendente e Caro", AND(F862&gt;= DATE(2026,1,1), F862&lt;= DATE(2028, 12, 31), J862&lt;=50000), "Pendente", F862&gt;= DATE(2029,1,1), "Não prioeitário")</f>
        <v>Urgente e Caro</v>
      </c>
      <c r="H862" s="89">
        <f>YEAR(Tabela1[[#This Row],[Data de Validade]])</f>
        <v>2025</v>
      </c>
      <c r="I862" s="89">
        <f>MONTH(Tabela1[[#This Row],[Data de Validade]])</f>
        <v>11</v>
      </c>
      <c r="J862" s="101">
        <v>96074</v>
      </c>
      <c r="K862" s="87" t="s">
        <v>7</v>
      </c>
      <c r="L862" s="108"/>
      <c r="M862" s="108"/>
      <c r="N862" s="108" t="str">
        <v>H455P461</v>
      </c>
      <c r="O862" s="108">
        <f t="shared" si="15"/>
        <v>1</v>
      </c>
      <c r="P862" s="108"/>
      <c r="Q862"/>
    </row>
    <row r="863" spans="1:17" x14ac:dyDescent="0.25">
      <c r="A863" s="89" t="s">
        <v>10445</v>
      </c>
      <c r="B863" s="87" t="s">
        <v>10446</v>
      </c>
      <c r="C863" s="87" t="s">
        <v>6</v>
      </c>
      <c r="D863" s="87" t="str">
        <f>VLOOKUP(Tabela1[[#This Row],[Origem]], 'Perguntas 1 a 24'!$J$28:$K$34, 2, 0)</f>
        <v>Nordeste</v>
      </c>
      <c r="E863" s="87" t="str">
        <f>Tabela1[[#This Row],[Descrição]]&amp;"-"&amp;Tabela1[[#This Row],[Código]]&amp;"/"&amp;Tabela1[[#This Row],[Origem]]</f>
        <v>Metifagatu-H761H681/MA</v>
      </c>
      <c r="F863" s="88">
        <v>45968</v>
      </c>
      <c r="G863" s="88" t="str" cm="1">
        <f t="array" ref="G8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AND(F863&gt;= DATE(2026,1,1), F863&lt;= DATE(2028, 12, 31), J863&gt;50000), "Pendente e Caro", AND(F863&gt;= DATE(2026,1,1), F863&lt;= DATE(2028, 12, 31), J863&lt;=50000), "Pendente", F863&gt;= DATE(2029,1,1), "Não prioeitário")</f>
        <v>Urgente e Caro</v>
      </c>
      <c r="H863" s="89">
        <f>YEAR(Tabela1[[#This Row],[Data de Validade]])</f>
        <v>2025</v>
      </c>
      <c r="I863" s="89">
        <f>MONTH(Tabela1[[#This Row],[Data de Validade]])</f>
        <v>11</v>
      </c>
      <c r="J863" s="101">
        <v>119190</v>
      </c>
      <c r="K863" s="87" t="s">
        <v>7</v>
      </c>
      <c r="L863" s="108"/>
      <c r="M863" s="108"/>
      <c r="N863" s="108" t="str">
        <v>H761H681</v>
      </c>
      <c r="O863" s="108">
        <f t="shared" si="15"/>
        <v>1</v>
      </c>
      <c r="P863" s="108"/>
      <c r="Q863"/>
    </row>
    <row r="864" spans="1:17" x14ac:dyDescent="0.25">
      <c r="A864" s="89" t="s">
        <v>11026</v>
      </c>
      <c r="B864" s="87" t="s">
        <v>11027</v>
      </c>
      <c r="C864" s="87" t="s">
        <v>13</v>
      </c>
      <c r="D864" s="87" t="str">
        <f>VLOOKUP(Tabela1[[#This Row],[Origem]], 'Perguntas 1 a 24'!$J$28:$K$34, 2, 0)</f>
        <v>Sudeste</v>
      </c>
      <c r="E864" s="87" t="str">
        <f>Tabela1[[#This Row],[Descrição]]&amp;"-"&amp;Tabela1[[#This Row],[Código]]&amp;"/"&amp;Tabela1[[#This Row],[Origem]]</f>
        <v>Mararacoma-P652P532/SP</v>
      </c>
      <c r="F864" s="88">
        <v>45968</v>
      </c>
      <c r="G864" s="88" t="str" cm="1">
        <f t="array" ref="G8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AND(F864&gt;= DATE(2026,1,1), F864&lt;= DATE(2028, 12, 31), J864&gt;50000), "Pendente e Caro", AND(F864&gt;= DATE(2026,1,1), F864&lt;= DATE(2028, 12, 31), J864&lt;=50000), "Pendente", F864&gt;= DATE(2029,1,1), "Não prioeitário")</f>
        <v>Urgente e Caro</v>
      </c>
      <c r="H864" s="89">
        <f>YEAR(Tabela1[[#This Row],[Data de Validade]])</f>
        <v>2025</v>
      </c>
      <c r="I864" s="89">
        <f>MONTH(Tabela1[[#This Row],[Data de Validade]])</f>
        <v>11</v>
      </c>
      <c r="J864" s="101">
        <v>67324</v>
      </c>
      <c r="K864" s="87" t="s">
        <v>11</v>
      </c>
      <c r="L864" s="108"/>
      <c r="M864" s="108"/>
      <c r="N864" s="108" t="str">
        <v>P652P532</v>
      </c>
      <c r="O864" s="108">
        <f t="shared" si="15"/>
        <v>1</v>
      </c>
      <c r="P864" s="108"/>
      <c r="Q864"/>
    </row>
    <row r="865" spans="1:17" x14ac:dyDescent="0.25">
      <c r="A865" s="89" t="s">
        <v>6830</v>
      </c>
      <c r="B865" s="87" t="s">
        <v>6831</v>
      </c>
      <c r="C865" s="87" t="s">
        <v>10</v>
      </c>
      <c r="D865" s="87" t="str">
        <f>VLOOKUP(Tabela1[[#This Row],[Origem]], 'Perguntas 1 a 24'!$J$28:$K$34, 2, 0)</f>
        <v>Centro-Oeste</v>
      </c>
      <c r="E865" s="87" t="str">
        <f>Tabela1[[#This Row],[Descrição]]&amp;"-"&amp;Tabela1[[#This Row],[Código]]&amp;"/"&amp;Tabela1[[#This Row],[Origem]]</f>
        <v>Rogefi-H193P462/GO</v>
      </c>
      <c r="F865" s="88">
        <v>45968</v>
      </c>
      <c r="G865" s="88" t="str" cm="1">
        <f t="array" ref="G8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AND(F865&gt;= DATE(2026,1,1), F865&lt;= DATE(2028, 12, 31), J865&gt;50000), "Pendente e Caro", AND(F865&gt;= DATE(2026,1,1), F865&lt;= DATE(2028, 12, 31), J865&lt;=50000), "Pendente", F865&gt;= DATE(2029,1,1), "Não prioeitário")</f>
        <v>Urgente e Caro</v>
      </c>
      <c r="H865" s="89">
        <f>YEAR(Tabela1[[#This Row],[Data de Validade]])</f>
        <v>2025</v>
      </c>
      <c r="I865" s="89">
        <f>MONTH(Tabela1[[#This Row],[Data de Validade]])</f>
        <v>11</v>
      </c>
      <c r="J865" s="101">
        <v>55017</v>
      </c>
      <c r="K865" s="87" t="s">
        <v>14</v>
      </c>
      <c r="L865" s="108"/>
      <c r="M865" s="108"/>
      <c r="N865" s="108" t="str">
        <v>H193P462</v>
      </c>
      <c r="O865" s="108">
        <f t="shared" si="15"/>
        <v>1</v>
      </c>
      <c r="P865" s="108"/>
      <c r="Q865"/>
    </row>
    <row r="866" spans="1:17" x14ac:dyDescent="0.25">
      <c r="A866" s="89" t="s">
        <v>6966</v>
      </c>
      <c r="B866" s="87" t="s">
        <v>6967</v>
      </c>
      <c r="C866" s="87" t="s">
        <v>6</v>
      </c>
      <c r="D866" s="87" t="str">
        <f>VLOOKUP(Tabela1[[#This Row],[Origem]], 'Perguntas 1 a 24'!$J$28:$K$34, 2, 0)</f>
        <v>Nordeste</v>
      </c>
      <c r="E866" s="87" t="str">
        <f>Tabela1[[#This Row],[Descrição]]&amp;"-"&amp;Tabela1[[#This Row],[Código]]&amp;"/"&amp;Tabela1[[#This Row],[Origem]]</f>
        <v>Mecitalu-P967P537/MA</v>
      </c>
      <c r="F866" s="88">
        <v>45970</v>
      </c>
      <c r="G866" s="88" t="str" cm="1">
        <f t="array" ref="G8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AND(F866&gt;= DATE(2026,1,1), F866&lt;= DATE(2028, 12, 31), J866&gt;50000), "Pendente e Caro", AND(F866&gt;= DATE(2026,1,1), F866&lt;= DATE(2028, 12, 31), J866&lt;=50000), "Pendente", F866&gt;= DATE(2029,1,1), "Não prioeitário")</f>
        <v>Urgente e Caro</v>
      </c>
      <c r="H866" s="89">
        <f>YEAR(Tabela1[[#This Row],[Data de Validade]])</f>
        <v>2025</v>
      </c>
      <c r="I866" s="89">
        <f>MONTH(Tabela1[[#This Row],[Data de Validade]])</f>
        <v>11</v>
      </c>
      <c r="J866" s="101">
        <v>76375</v>
      </c>
      <c r="K866" s="87" t="s">
        <v>11</v>
      </c>
      <c r="L866" s="108"/>
      <c r="M866" s="108"/>
      <c r="N866" s="108" t="str">
        <v>P967P537</v>
      </c>
      <c r="O866" s="108">
        <f t="shared" si="15"/>
        <v>1</v>
      </c>
      <c r="P866" s="108"/>
      <c r="Q866"/>
    </row>
    <row r="867" spans="1:17" x14ac:dyDescent="0.25">
      <c r="A867" s="89" t="s">
        <v>7840</v>
      </c>
      <c r="B867" s="87" t="s">
        <v>7841</v>
      </c>
      <c r="C867" s="87" t="s">
        <v>16</v>
      </c>
      <c r="D867" s="87" t="str">
        <f>VLOOKUP(Tabela1[[#This Row],[Origem]], 'Perguntas 1 a 24'!$J$28:$K$34, 2, 0)</f>
        <v>Sudeste</v>
      </c>
      <c r="E867" s="87" t="str">
        <f>Tabela1[[#This Row],[Descrição]]&amp;"-"&amp;Tabela1[[#This Row],[Código]]&amp;"/"&amp;Tabela1[[#This Row],[Origem]]</f>
        <v>Patedata-P811P375/MG</v>
      </c>
      <c r="F867" s="88">
        <v>45970</v>
      </c>
      <c r="G867" s="88" t="str" cm="1">
        <f t="array" ref="G8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AND(F867&gt;= DATE(2026,1,1), F867&lt;= DATE(2028, 12, 31), J867&gt;50000), "Pendente e Caro", AND(F867&gt;= DATE(2026,1,1), F867&lt;= DATE(2028, 12, 31), J867&lt;=50000), "Pendente", F867&gt;= DATE(2029,1,1), "Não prioeitário")</f>
        <v>Urgente e Caro</v>
      </c>
      <c r="H867" s="89">
        <f>YEAR(Tabela1[[#This Row],[Data de Validade]])</f>
        <v>2025</v>
      </c>
      <c r="I867" s="89">
        <f>MONTH(Tabela1[[#This Row],[Data de Validade]])</f>
        <v>11</v>
      </c>
      <c r="J867" s="101">
        <v>68037</v>
      </c>
      <c r="K867" s="87" t="s">
        <v>9</v>
      </c>
      <c r="L867" s="108"/>
      <c r="M867" s="108"/>
      <c r="N867" s="108" t="str">
        <v>P811P375</v>
      </c>
      <c r="O867" s="108">
        <f t="shared" si="15"/>
        <v>1</v>
      </c>
      <c r="P867" s="108"/>
      <c r="Q867"/>
    </row>
    <row r="868" spans="1:17" x14ac:dyDescent="0.25">
      <c r="A868" s="89" t="s">
        <v>11157</v>
      </c>
      <c r="B868" s="87" t="s">
        <v>11158</v>
      </c>
      <c r="C868" s="87" t="s">
        <v>15</v>
      </c>
      <c r="D868" s="87" t="str">
        <f>VLOOKUP(Tabela1[[#This Row],[Origem]], 'Perguntas 1 a 24'!$J$28:$K$34, 2, 0)</f>
        <v>Sudeste</v>
      </c>
      <c r="E868" s="87" t="str">
        <f>Tabela1[[#This Row],[Descrição]]&amp;"-"&amp;Tabela1[[#This Row],[Código]]&amp;"/"&amp;Tabela1[[#This Row],[Origem]]</f>
        <v>Fofarope-H996P892/ES</v>
      </c>
      <c r="F868" s="88">
        <v>45971</v>
      </c>
      <c r="G868" s="88" t="str" cm="1">
        <f t="array" ref="G8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AND(F868&gt;= DATE(2026,1,1), F868&lt;= DATE(2028, 12, 31), J868&gt;50000), "Pendente e Caro", AND(F868&gt;= DATE(2026,1,1), F868&lt;= DATE(2028, 12, 31), J868&lt;=50000), "Pendente", F868&gt;= DATE(2029,1,1), "Não prioeitário")</f>
        <v>Urgente e Caro</v>
      </c>
      <c r="H868" s="89">
        <f>YEAR(Tabela1[[#This Row],[Data de Validade]])</f>
        <v>2025</v>
      </c>
      <c r="I868" s="89">
        <f>MONTH(Tabela1[[#This Row],[Data de Validade]])</f>
        <v>11</v>
      </c>
      <c r="J868" s="101">
        <v>73619</v>
      </c>
      <c r="K868" s="87" t="s">
        <v>9</v>
      </c>
      <c r="L868" s="108"/>
      <c r="M868" s="108"/>
      <c r="N868" s="108" t="str">
        <v>H996P892</v>
      </c>
      <c r="O868" s="108">
        <f t="shared" si="15"/>
        <v>1</v>
      </c>
      <c r="P868" s="108"/>
      <c r="Q868"/>
    </row>
    <row r="869" spans="1:17" x14ac:dyDescent="0.25">
      <c r="A869" s="89" t="s">
        <v>11322</v>
      </c>
      <c r="B869" s="87" t="s">
        <v>11323</v>
      </c>
      <c r="C869" s="87" t="s">
        <v>6</v>
      </c>
      <c r="D869" s="87" t="str">
        <f>VLOOKUP(Tabela1[[#This Row],[Origem]], 'Perguntas 1 a 24'!$J$28:$K$34, 2, 0)</f>
        <v>Nordeste</v>
      </c>
      <c r="E869" s="87" t="str">
        <f>Tabela1[[#This Row],[Descrição]]&amp;"-"&amp;Tabela1[[#This Row],[Código]]&amp;"/"&amp;Tabela1[[#This Row],[Origem]]</f>
        <v>Rinipo-H261P693/MA</v>
      </c>
      <c r="F869" s="88">
        <v>45973</v>
      </c>
      <c r="G869" s="88" t="str" cm="1">
        <f t="array" ref="G8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AND(F869&gt;= DATE(2026,1,1), F869&lt;= DATE(2028, 12, 31), J869&gt;50000), "Pendente e Caro", AND(F869&gt;= DATE(2026,1,1), F869&lt;= DATE(2028, 12, 31), J869&lt;=50000), "Pendente", F869&gt;= DATE(2029,1,1), "Não prioeitário")</f>
        <v>Urgente e Caro</v>
      </c>
      <c r="H869" s="89">
        <f>YEAR(Tabela1[[#This Row],[Data de Validade]])</f>
        <v>2025</v>
      </c>
      <c r="I869" s="89">
        <f>MONTH(Tabela1[[#This Row],[Data de Validade]])</f>
        <v>11</v>
      </c>
      <c r="J869" s="101">
        <v>96082</v>
      </c>
      <c r="K869" s="87" t="s">
        <v>11</v>
      </c>
      <c r="L869" s="108"/>
      <c r="M869" s="108"/>
      <c r="N869" s="108" t="str">
        <v>H261P693</v>
      </c>
      <c r="O869" s="108">
        <f t="shared" si="15"/>
        <v>1</v>
      </c>
      <c r="P869" s="108"/>
      <c r="Q869"/>
    </row>
    <row r="870" spans="1:17" x14ac:dyDescent="0.25">
      <c r="A870" s="89" t="s">
        <v>10579</v>
      </c>
      <c r="B870" s="87" t="s">
        <v>10580</v>
      </c>
      <c r="C870" s="87" t="s">
        <v>6</v>
      </c>
      <c r="D870" s="87" t="str">
        <f>VLOOKUP(Tabela1[[#This Row],[Origem]], 'Perguntas 1 a 24'!$J$28:$K$34, 2, 0)</f>
        <v>Nordeste</v>
      </c>
      <c r="E870" s="87" t="str">
        <f>Tabela1[[#This Row],[Descrição]]&amp;"-"&amp;Tabela1[[#This Row],[Código]]&amp;"/"&amp;Tabela1[[#This Row],[Origem]]</f>
        <v>Potufifapo-H468P119/MA</v>
      </c>
      <c r="F870" s="88">
        <v>45974</v>
      </c>
      <c r="G870" s="88" t="str" cm="1">
        <f t="array" ref="G8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AND(F870&gt;= DATE(2026,1,1), F870&lt;= DATE(2028, 12, 31), J870&gt;50000), "Pendente e Caro", AND(F870&gt;= DATE(2026,1,1), F870&lt;= DATE(2028, 12, 31), J870&lt;=50000), "Pendente", F870&gt;= DATE(2029,1,1), "Não prioeitário")</f>
        <v>Urgente e Caro</v>
      </c>
      <c r="H870" s="89">
        <f>YEAR(Tabela1[[#This Row],[Data de Validade]])</f>
        <v>2025</v>
      </c>
      <c r="I870" s="89">
        <f>MONTH(Tabela1[[#This Row],[Data de Validade]])</f>
        <v>11</v>
      </c>
      <c r="J870" s="101">
        <v>115839</v>
      </c>
      <c r="K870" s="87" t="s">
        <v>11</v>
      </c>
      <c r="L870" s="108"/>
      <c r="M870" s="108"/>
      <c r="N870" s="108" t="str">
        <v>H468P119</v>
      </c>
      <c r="O870" s="108">
        <f t="shared" si="15"/>
        <v>1</v>
      </c>
      <c r="P870" s="108"/>
      <c r="Q870"/>
    </row>
    <row r="871" spans="1:17" x14ac:dyDescent="0.25">
      <c r="A871" s="89" t="s">
        <v>4640</v>
      </c>
      <c r="B871" s="87" t="s">
        <v>4641</v>
      </c>
      <c r="C871" s="87" t="s">
        <v>12</v>
      </c>
      <c r="D871" s="87" t="str">
        <f>VLOOKUP(Tabela1[[#This Row],[Origem]], 'Perguntas 1 a 24'!$J$28:$K$34, 2, 0)</f>
        <v>Sudeste</v>
      </c>
      <c r="E871" s="87" t="str">
        <f>Tabela1[[#This Row],[Descrição]]&amp;"-"&amp;Tabela1[[#This Row],[Código]]&amp;"/"&amp;Tabela1[[#This Row],[Origem]]</f>
        <v>Ceceve-P934H358/RJ</v>
      </c>
      <c r="F871" s="88">
        <v>45974</v>
      </c>
      <c r="G871" s="88" t="str" cm="1">
        <f t="array" ref="G8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AND(F871&gt;= DATE(2026,1,1), F871&lt;= DATE(2028, 12, 31), J871&gt;50000), "Pendente e Caro", AND(F871&gt;= DATE(2026,1,1), F871&lt;= DATE(2028, 12, 31), J871&lt;=50000), "Pendente", F871&gt;= DATE(2029,1,1), "Não prioeitário")</f>
        <v>Urgente e Caro</v>
      </c>
      <c r="H871" s="89">
        <f>YEAR(Tabela1[[#This Row],[Data de Validade]])</f>
        <v>2025</v>
      </c>
      <c r="I871" s="89">
        <f>MONTH(Tabela1[[#This Row],[Data de Validade]])</f>
        <v>11</v>
      </c>
      <c r="J871" s="101">
        <v>109675</v>
      </c>
      <c r="K871" s="87" t="s">
        <v>9</v>
      </c>
      <c r="L871" s="108"/>
      <c r="M871" s="108"/>
      <c r="N871" s="108" t="str">
        <v>P934H358</v>
      </c>
      <c r="O871" s="108">
        <f t="shared" si="15"/>
        <v>1</v>
      </c>
      <c r="P871" s="108"/>
      <c r="Q871"/>
    </row>
    <row r="872" spans="1:17" x14ac:dyDescent="0.25">
      <c r="A872" s="89" t="s">
        <v>6286</v>
      </c>
      <c r="B872" s="87" t="s">
        <v>6287</v>
      </c>
      <c r="C872" s="87" t="s">
        <v>8</v>
      </c>
      <c r="D872" s="87" t="str">
        <f>VLOOKUP(Tabela1[[#This Row],[Origem]], 'Perguntas 1 a 24'!$J$28:$K$34, 2, 0)</f>
        <v>Nordeste</v>
      </c>
      <c r="E872" s="87" t="str">
        <f>Tabela1[[#This Row],[Descrição]]&amp;"-"&amp;Tabela1[[#This Row],[Código]]&amp;"/"&amp;Tabela1[[#This Row],[Origem]]</f>
        <v>Getoma-P453P445/AL</v>
      </c>
      <c r="F872" s="88">
        <v>45974</v>
      </c>
      <c r="G872" s="88" t="str" cm="1">
        <f t="array" ref="G8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AND(F872&gt;= DATE(2026,1,1), F872&lt;= DATE(2028, 12, 31), J872&gt;50000), "Pendente e Caro", AND(F872&gt;= DATE(2026,1,1), F872&lt;= DATE(2028, 12, 31), J872&lt;=50000), "Pendente", F872&gt;= DATE(2029,1,1), "Não prioeitário")</f>
        <v>Urgente e Caro</v>
      </c>
      <c r="H872" s="89">
        <f>YEAR(Tabela1[[#This Row],[Data de Validade]])</f>
        <v>2025</v>
      </c>
      <c r="I872" s="89">
        <f>MONTH(Tabela1[[#This Row],[Data de Validade]])</f>
        <v>11</v>
      </c>
      <c r="J872" s="101">
        <v>72962</v>
      </c>
      <c r="K872" s="87" t="s">
        <v>9</v>
      </c>
      <c r="L872" s="108"/>
      <c r="M872" s="108"/>
      <c r="N872" s="108" t="str">
        <v>P453P445</v>
      </c>
      <c r="O872" s="108">
        <f t="shared" si="15"/>
        <v>1</v>
      </c>
      <c r="P872" s="108"/>
      <c r="Q872"/>
    </row>
    <row r="873" spans="1:17" x14ac:dyDescent="0.25">
      <c r="A873" s="89" t="s">
        <v>8386</v>
      </c>
      <c r="B873" s="87" t="s">
        <v>8387</v>
      </c>
      <c r="C873" s="87" t="s">
        <v>8</v>
      </c>
      <c r="D873" s="87" t="str">
        <f>VLOOKUP(Tabela1[[#This Row],[Origem]], 'Perguntas 1 a 24'!$J$28:$K$34, 2, 0)</f>
        <v>Nordeste</v>
      </c>
      <c r="E873" s="87" t="str">
        <f>Tabela1[[#This Row],[Descrição]]&amp;"-"&amp;Tabela1[[#This Row],[Código]]&amp;"/"&amp;Tabela1[[#This Row],[Origem]]</f>
        <v>Nipopago-H826H986/AL</v>
      </c>
      <c r="F873" s="88">
        <v>45974</v>
      </c>
      <c r="G873" s="88" t="str" cm="1">
        <f t="array" ref="G8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AND(F873&gt;= DATE(2026,1,1), F873&lt;= DATE(2028, 12, 31), J873&gt;50000), "Pendente e Caro", AND(F873&gt;= DATE(2026,1,1), F873&lt;= DATE(2028, 12, 31), J873&lt;=50000), "Pendente", F873&gt;= DATE(2029,1,1), "Não prioeitário")</f>
        <v>Urgente e Caro</v>
      </c>
      <c r="H873" s="89">
        <f>YEAR(Tabela1[[#This Row],[Data de Validade]])</f>
        <v>2025</v>
      </c>
      <c r="I873" s="89">
        <f>MONTH(Tabela1[[#This Row],[Data de Validade]])</f>
        <v>11</v>
      </c>
      <c r="J873" s="101">
        <v>66347</v>
      </c>
      <c r="K873" s="87" t="s">
        <v>14</v>
      </c>
      <c r="L873" s="108"/>
      <c r="M873" s="108"/>
      <c r="N873" s="108" t="str">
        <v>H826H986</v>
      </c>
      <c r="O873" s="108">
        <f t="shared" si="15"/>
        <v>1</v>
      </c>
      <c r="P873" s="108"/>
      <c r="Q873"/>
    </row>
    <row r="874" spans="1:17" x14ac:dyDescent="0.25">
      <c r="A874" s="89" t="s">
        <v>11264</v>
      </c>
      <c r="B874" s="87" t="s">
        <v>11265</v>
      </c>
      <c r="C874" s="87" t="s">
        <v>6</v>
      </c>
      <c r="D874" s="87" t="str">
        <f>VLOOKUP(Tabela1[[#This Row],[Origem]], 'Perguntas 1 a 24'!$J$28:$K$34, 2, 0)</f>
        <v>Nordeste</v>
      </c>
      <c r="E874" s="87" t="str">
        <f>Tabela1[[#This Row],[Descrição]]&amp;"-"&amp;Tabela1[[#This Row],[Código]]&amp;"/"&amp;Tabela1[[#This Row],[Origem]]</f>
        <v>Molopimu-H327P753/MA</v>
      </c>
      <c r="F874" s="88">
        <v>45974</v>
      </c>
      <c r="G874" s="88" t="str" cm="1">
        <f t="array" ref="G8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AND(F874&gt;= DATE(2026,1,1), F874&lt;= DATE(2028, 12, 31), J874&gt;50000), "Pendente e Caro", AND(F874&gt;= DATE(2026,1,1), F874&lt;= DATE(2028, 12, 31), J874&lt;=50000), "Pendente", F874&gt;= DATE(2029,1,1), "Não prioeitário")</f>
        <v>Urgente</v>
      </c>
      <c r="H874" s="89">
        <f>YEAR(Tabela1[[#This Row],[Data de Validade]])</f>
        <v>2025</v>
      </c>
      <c r="I874" s="89">
        <f>MONTH(Tabela1[[#This Row],[Data de Validade]])</f>
        <v>11</v>
      </c>
      <c r="J874" s="101">
        <v>26978</v>
      </c>
      <c r="K874" s="87" t="s">
        <v>9</v>
      </c>
      <c r="L874" s="108"/>
      <c r="M874" s="108"/>
      <c r="N874" s="108" t="str">
        <v>H327P753</v>
      </c>
      <c r="O874" s="108">
        <f t="shared" si="15"/>
        <v>1</v>
      </c>
      <c r="P874" s="108"/>
      <c r="Q874"/>
    </row>
    <row r="875" spans="1:17" x14ac:dyDescent="0.25">
      <c r="A875" s="89" t="s">
        <v>3850</v>
      </c>
      <c r="B875" s="87" t="s">
        <v>3851</v>
      </c>
      <c r="C875" s="87" t="s">
        <v>16</v>
      </c>
      <c r="D875" s="87" t="str">
        <f>VLOOKUP(Tabela1[[#This Row],[Origem]], 'Perguntas 1 a 24'!$J$28:$K$34, 2, 0)</f>
        <v>Sudeste</v>
      </c>
      <c r="E875" s="87" t="str">
        <f>Tabela1[[#This Row],[Descrição]]&amp;"-"&amp;Tabela1[[#This Row],[Código]]&amp;"/"&amp;Tabela1[[#This Row],[Origem]]</f>
        <v>Camecigupe-H298H795/MG</v>
      </c>
      <c r="F875" s="88">
        <v>45976</v>
      </c>
      <c r="G875" s="88" t="str" cm="1">
        <f t="array" ref="G8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AND(F875&gt;= DATE(2026,1,1), F875&lt;= DATE(2028, 12, 31), J875&gt;50000), "Pendente e Caro", AND(F875&gt;= DATE(2026,1,1), F875&lt;= DATE(2028, 12, 31), J875&lt;=50000), "Pendente", F875&gt;= DATE(2029,1,1), "Não prioeitário")</f>
        <v>Urgente e Caro</v>
      </c>
      <c r="H875" s="89">
        <f>YEAR(Tabela1[[#This Row],[Data de Validade]])</f>
        <v>2025</v>
      </c>
      <c r="I875" s="89">
        <f>MONTH(Tabela1[[#This Row],[Data de Validade]])</f>
        <v>11</v>
      </c>
      <c r="J875" s="101">
        <v>79228</v>
      </c>
      <c r="K875" s="87" t="s">
        <v>7</v>
      </c>
      <c r="L875" s="108"/>
      <c r="M875" s="108"/>
      <c r="N875" s="108" t="str">
        <v>H298H795</v>
      </c>
      <c r="O875" s="108">
        <f t="shared" si="15"/>
        <v>1</v>
      </c>
      <c r="P875" s="108"/>
      <c r="Q875"/>
    </row>
    <row r="876" spans="1:17" x14ac:dyDescent="0.25">
      <c r="A876" s="89" t="s">
        <v>8530</v>
      </c>
      <c r="B876" s="87" t="s">
        <v>8531</v>
      </c>
      <c r="C876" s="87" t="s">
        <v>6</v>
      </c>
      <c r="D876" s="87" t="str">
        <f>VLOOKUP(Tabela1[[#This Row],[Origem]], 'Perguntas 1 a 24'!$J$28:$K$34, 2, 0)</f>
        <v>Nordeste</v>
      </c>
      <c r="E876" s="87" t="str">
        <f>Tabela1[[#This Row],[Descrição]]&amp;"-"&amp;Tabela1[[#This Row],[Código]]&amp;"/"&amp;Tabela1[[#This Row],[Origem]]</f>
        <v>Pivurega-H845P547/MA</v>
      </c>
      <c r="F876" s="88">
        <v>45977</v>
      </c>
      <c r="G876" s="88" t="str" cm="1">
        <f t="array" ref="G8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AND(F876&gt;= DATE(2026,1,1), F876&lt;= DATE(2028, 12, 31), J876&gt;50000), "Pendente e Caro", AND(F876&gt;= DATE(2026,1,1), F876&lt;= DATE(2028, 12, 31), J876&lt;=50000), "Pendente", F876&gt;= DATE(2029,1,1), "Não prioeitário")</f>
        <v>Urgente e Caro</v>
      </c>
      <c r="H876" s="89">
        <f>YEAR(Tabela1[[#This Row],[Data de Validade]])</f>
        <v>2025</v>
      </c>
      <c r="I876" s="89">
        <f>MONTH(Tabela1[[#This Row],[Data de Validade]])</f>
        <v>11</v>
      </c>
      <c r="J876" s="101">
        <v>63167</v>
      </c>
      <c r="K876" s="87" t="s">
        <v>11</v>
      </c>
      <c r="L876" s="108"/>
      <c r="M876" s="108"/>
      <c r="N876" s="108" t="str">
        <v>H845P547</v>
      </c>
      <c r="O876" s="108">
        <f t="shared" si="15"/>
        <v>1</v>
      </c>
      <c r="P876" s="108"/>
      <c r="Q876"/>
    </row>
    <row r="877" spans="1:17" x14ac:dyDescent="0.25">
      <c r="A877" s="89" t="s">
        <v>9331</v>
      </c>
      <c r="B877" s="87" t="s">
        <v>9332</v>
      </c>
      <c r="C877" s="87" t="s">
        <v>13</v>
      </c>
      <c r="D877" s="87" t="str">
        <f>VLOOKUP(Tabela1[[#This Row],[Origem]], 'Perguntas 1 a 24'!$J$28:$K$34, 2, 0)</f>
        <v>Sudeste</v>
      </c>
      <c r="E877" s="87" t="str">
        <f>Tabela1[[#This Row],[Descrição]]&amp;"-"&amp;Tabela1[[#This Row],[Código]]&amp;"/"&amp;Tabela1[[#This Row],[Origem]]</f>
        <v>Punuritari-P956H778/SP</v>
      </c>
      <c r="F877" s="88">
        <v>45977</v>
      </c>
      <c r="G877" s="88" t="str" cm="1">
        <f t="array" ref="G8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AND(F877&gt;= DATE(2026,1,1), F877&lt;= DATE(2028, 12, 31), J877&gt;50000), "Pendente e Caro", AND(F877&gt;= DATE(2026,1,1), F877&lt;= DATE(2028, 12, 31), J877&lt;=50000), "Pendente", F877&gt;= DATE(2029,1,1), "Não prioeitário")</f>
        <v>Urgente e Caro</v>
      </c>
      <c r="H877" s="89">
        <f>YEAR(Tabela1[[#This Row],[Data de Validade]])</f>
        <v>2025</v>
      </c>
      <c r="I877" s="89">
        <f>MONTH(Tabela1[[#This Row],[Data de Validade]])</f>
        <v>11</v>
      </c>
      <c r="J877" s="101">
        <v>50535</v>
      </c>
      <c r="K877" s="87" t="s">
        <v>14</v>
      </c>
      <c r="L877" s="108"/>
      <c r="M877" s="108"/>
      <c r="N877" s="108" t="str">
        <v>P956H778</v>
      </c>
      <c r="O877" s="108">
        <f t="shared" si="15"/>
        <v>1</v>
      </c>
      <c r="P877" s="108"/>
      <c r="Q877"/>
    </row>
    <row r="878" spans="1:17" x14ac:dyDescent="0.25">
      <c r="A878" s="89" t="s">
        <v>8663</v>
      </c>
      <c r="B878" s="87" t="s">
        <v>8664</v>
      </c>
      <c r="C878" s="87" t="s">
        <v>8</v>
      </c>
      <c r="D878" s="87" t="str">
        <f>VLOOKUP(Tabela1[[#This Row],[Origem]], 'Perguntas 1 a 24'!$J$28:$K$34, 2, 0)</f>
        <v>Nordeste</v>
      </c>
      <c r="E878" s="87" t="str">
        <f>Tabela1[[#This Row],[Descrição]]&amp;"-"&amp;Tabela1[[#This Row],[Código]]&amp;"/"&amp;Tabela1[[#This Row],[Origem]]</f>
        <v>Perarone-P646P241/AL</v>
      </c>
      <c r="F878" s="88">
        <v>45977</v>
      </c>
      <c r="G878" s="88" t="str" cm="1">
        <f t="array" ref="G8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AND(F878&gt;= DATE(2026,1,1), F878&lt;= DATE(2028, 12, 31), J878&gt;50000), "Pendente e Caro", AND(F878&gt;= DATE(2026,1,1), F878&lt;= DATE(2028, 12, 31), J878&lt;=50000), "Pendente", F878&gt;= DATE(2029,1,1), "Não prioeitário")</f>
        <v>Urgente</v>
      </c>
      <c r="H878" s="89">
        <f>YEAR(Tabela1[[#This Row],[Data de Validade]])</f>
        <v>2025</v>
      </c>
      <c r="I878" s="89">
        <f>MONTH(Tabela1[[#This Row],[Data de Validade]])</f>
        <v>11</v>
      </c>
      <c r="J878" s="101">
        <v>31779</v>
      </c>
      <c r="K878" s="87" t="s">
        <v>11</v>
      </c>
      <c r="L878" s="108"/>
      <c r="M878" s="108"/>
      <c r="N878" s="108" t="str">
        <v>P646P241</v>
      </c>
      <c r="O878" s="108">
        <f t="shared" si="15"/>
        <v>1</v>
      </c>
      <c r="P878" s="108"/>
      <c r="Q878"/>
    </row>
    <row r="879" spans="1:17" x14ac:dyDescent="0.25">
      <c r="A879" s="89" t="s">
        <v>9627</v>
      </c>
      <c r="B879" s="87" t="s">
        <v>9628</v>
      </c>
      <c r="C879" s="87" t="s">
        <v>12</v>
      </c>
      <c r="D879" s="87" t="str">
        <f>VLOOKUP(Tabela1[[#This Row],[Origem]], 'Perguntas 1 a 24'!$J$28:$K$34, 2, 0)</f>
        <v>Sudeste</v>
      </c>
      <c r="E879" s="87" t="str">
        <f>Tabela1[[#This Row],[Descrição]]&amp;"-"&amp;Tabela1[[#This Row],[Código]]&amp;"/"&amp;Tabela1[[#This Row],[Origem]]</f>
        <v>Vevitera-H256H541/RJ</v>
      </c>
      <c r="F879" s="88">
        <v>45978</v>
      </c>
      <c r="G879" s="88" t="str" cm="1">
        <f t="array" ref="G8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AND(F879&gt;= DATE(2026,1,1), F879&lt;= DATE(2028, 12, 31), J879&gt;50000), "Pendente e Caro", AND(F879&gt;= DATE(2026,1,1), F879&lt;= DATE(2028, 12, 31), J879&lt;=50000), "Pendente", F879&gt;= DATE(2029,1,1), "Não prioeitário")</f>
        <v>Urgente e Caro</v>
      </c>
      <c r="H879" s="89">
        <f>YEAR(Tabela1[[#This Row],[Data de Validade]])</f>
        <v>2025</v>
      </c>
      <c r="I879" s="89">
        <f>MONTH(Tabela1[[#This Row],[Data de Validade]])</f>
        <v>11</v>
      </c>
      <c r="J879" s="101">
        <v>60185</v>
      </c>
      <c r="K879" s="87" t="s">
        <v>7</v>
      </c>
      <c r="L879" s="108"/>
      <c r="M879" s="108"/>
      <c r="N879" s="108" t="str">
        <v>H256H541</v>
      </c>
      <c r="O879" s="108">
        <f t="shared" si="15"/>
        <v>1</v>
      </c>
      <c r="P879" s="108"/>
      <c r="Q879"/>
    </row>
    <row r="880" spans="1:17" x14ac:dyDescent="0.25">
      <c r="A880" s="89" t="s">
        <v>7680</v>
      </c>
      <c r="B880" s="87" t="s">
        <v>7681</v>
      </c>
      <c r="C880" s="87" t="s">
        <v>10</v>
      </c>
      <c r="D880" s="87" t="str">
        <f>VLOOKUP(Tabela1[[#This Row],[Origem]], 'Perguntas 1 a 24'!$J$28:$K$34, 2, 0)</f>
        <v>Centro-Oeste</v>
      </c>
      <c r="E880" s="87" t="str">
        <f>Tabela1[[#This Row],[Descrição]]&amp;"-"&amp;Tabela1[[#This Row],[Código]]&amp;"/"&amp;Tabela1[[#This Row],[Origem]]</f>
        <v>Mururedari-H946H875/GO</v>
      </c>
      <c r="F880" s="88">
        <v>45978</v>
      </c>
      <c r="G880" s="88" t="str" cm="1">
        <f t="array" ref="G8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AND(F880&gt;= DATE(2026,1,1), F880&lt;= DATE(2028, 12, 31), J880&gt;50000), "Pendente e Caro", AND(F880&gt;= DATE(2026,1,1), F880&lt;= DATE(2028, 12, 31), J880&lt;=50000), "Pendente", F880&gt;= DATE(2029,1,1), "Não prioeitário")</f>
        <v>Urgente e Caro</v>
      </c>
      <c r="H880" s="89">
        <f>YEAR(Tabela1[[#This Row],[Data de Validade]])</f>
        <v>2025</v>
      </c>
      <c r="I880" s="89">
        <f>MONTH(Tabela1[[#This Row],[Data de Validade]])</f>
        <v>11</v>
      </c>
      <c r="J880" s="101">
        <v>50502</v>
      </c>
      <c r="K880" s="87" t="s">
        <v>9</v>
      </c>
      <c r="L880" s="108"/>
      <c r="M880" s="108"/>
      <c r="N880" s="108" t="str">
        <v>H946H875</v>
      </c>
      <c r="O880" s="108">
        <f t="shared" si="15"/>
        <v>1</v>
      </c>
      <c r="P880" s="108"/>
      <c r="Q880"/>
    </row>
    <row r="881" spans="1:17" x14ac:dyDescent="0.25">
      <c r="A881" s="89" t="s">
        <v>6020</v>
      </c>
      <c r="B881" s="87" t="s">
        <v>6021</v>
      </c>
      <c r="C881" s="87" t="s">
        <v>15</v>
      </c>
      <c r="D881" s="87" t="str">
        <f>VLOOKUP(Tabela1[[#This Row],[Origem]], 'Perguntas 1 a 24'!$J$28:$K$34, 2, 0)</f>
        <v>Sudeste</v>
      </c>
      <c r="E881" s="87" t="str">
        <f>Tabela1[[#This Row],[Descrição]]&amp;"-"&amp;Tabela1[[#This Row],[Código]]&amp;"/"&amp;Tabela1[[#This Row],[Origem]]</f>
        <v>Varipeme-H592H278/ES</v>
      </c>
      <c r="F881" s="88">
        <v>45979</v>
      </c>
      <c r="G881" s="88" t="str" cm="1">
        <f t="array" ref="G8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AND(F881&gt;= DATE(2026,1,1), F881&lt;= DATE(2028, 12, 31), J881&gt;50000), "Pendente e Caro", AND(F881&gt;= DATE(2026,1,1), F881&lt;= DATE(2028, 12, 31), J881&lt;=50000), "Pendente", F881&gt;= DATE(2029,1,1), "Não prioeitário")</f>
        <v>Urgente e Caro</v>
      </c>
      <c r="H881" s="89">
        <f>YEAR(Tabela1[[#This Row],[Data de Validade]])</f>
        <v>2025</v>
      </c>
      <c r="I881" s="89">
        <f>MONTH(Tabela1[[#This Row],[Data de Validade]])</f>
        <v>11</v>
      </c>
      <c r="J881" s="101">
        <v>92612</v>
      </c>
      <c r="K881" s="87" t="s">
        <v>11</v>
      </c>
      <c r="L881" s="108"/>
      <c r="M881" s="108"/>
      <c r="N881" s="108" t="str">
        <v>H592H278</v>
      </c>
      <c r="O881" s="108">
        <f t="shared" si="15"/>
        <v>1</v>
      </c>
      <c r="P881" s="108"/>
      <c r="Q881"/>
    </row>
    <row r="882" spans="1:17" x14ac:dyDescent="0.25">
      <c r="A882" s="89" t="s">
        <v>10984</v>
      </c>
      <c r="B882" s="87" t="s">
        <v>10985</v>
      </c>
      <c r="C882" s="87" t="s">
        <v>12</v>
      </c>
      <c r="D882" s="87" t="str">
        <f>VLOOKUP(Tabela1[[#This Row],[Origem]], 'Perguntas 1 a 24'!$J$28:$K$34, 2, 0)</f>
        <v>Sudeste</v>
      </c>
      <c r="E882" s="87" t="str">
        <f>Tabela1[[#This Row],[Descrição]]&amp;"-"&amp;Tabela1[[#This Row],[Código]]&amp;"/"&amp;Tabela1[[#This Row],[Origem]]</f>
        <v>Nacilipari-H135P215/RJ</v>
      </c>
      <c r="F882" s="88">
        <v>45979</v>
      </c>
      <c r="G882" s="88" t="str" cm="1">
        <f t="array" ref="G8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AND(F882&gt;= DATE(2026,1,1), F882&lt;= DATE(2028, 12, 31), J882&gt;50000), "Pendente e Caro", AND(F882&gt;= DATE(2026,1,1), F882&lt;= DATE(2028, 12, 31), J882&lt;=50000), "Pendente", F882&gt;= DATE(2029,1,1), "Não prioeitário")</f>
        <v>Urgente e Caro</v>
      </c>
      <c r="H882" s="89">
        <f>YEAR(Tabela1[[#This Row],[Data de Validade]])</f>
        <v>2025</v>
      </c>
      <c r="I882" s="89">
        <f>MONTH(Tabela1[[#This Row],[Data de Validade]])</f>
        <v>11</v>
      </c>
      <c r="J882" s="101">
        <v>59685</v>
      </c>
      <c r="K882" s="87" t="s">
        <v>7</v>
      </c>
      <c r="L882" s="108"/>
      <c r="M882" s="108"/>
      <c r="N882" s="108" t="str">
        <v>H135P215</v>
      </c>
      <c r="O882" s="108">
        <f t="shared" si="15"/>
        <v>1</v>
      </c>
      <c r="P882" s="108"/>
      <c r="Q882"/>
    </row>
    <row r="883" spans="1:17" x14ac:dyDescent="0.25">
      <c r="A883" s="89" t="s">
        <v>4554</v>
      </c>
      <c r="B883" s="87" t="s">
        <v>4555</v>
      </c>
      <c r="C883" s="87" t="s">
        <v>6</v>
      </c>
      <c r="D883" s="87" t="str">
        <f>VLOOKUP(Tabela1[[#This Row],[Origem]], 'Perguntas 1 a 24'!$J$28:$K$34, 2, 0)</f>
        <v>Nordeste</v>
      </c>
      <c r="E883" s="87" t="str">
        <f>Tabela1[[#This Row],[Descrição]]&amp;"-"&amp;Tabela1[[#This Row],[Código]]&amp;"/"&amp;Tabela1[[#This Row],[Origem]]</f>
        <v>Rivupovimu-P347H631/MA</v>
      </c>
      <c r="F883" s="88">
        <v>45980</v>
      </c>
      <c r="G883" s="88" t="str" cm="1">
        <f t="array" ref="G8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AND(F883&gt;= DATE(2026,1,1), F883&lt;= DATE(2028, 12, 31), J883&gt;50000), "Pendente e Caro", AND(F883&gt;= DATE(2026,1,1), F883&lt;= DATE(2028, 12, 31), J883&lt;=50000), "Pendente", F883&gt;= DATE(2029,1,1), "Não prioeitário")</f>
        <v>Urgente e Caro</v>
      </c>
      <c r="H883" s="89">
        <f>YEAR(Tabela1[[#This Row],[Data de Validade]])</f>
        <v>2025</v>
      </c>
      <c r="I883" s="89">
        <f>MONTH(Tabela1[[#This Row],[Data de Validade]])</f>
        <v>11</v>
      </c>
      <c r="J883" s="101">
        <v>51137</v>
      </c>
      <c r="K883" s="87" t="s">
        <v>9</v>
      </c>
      <c r="L883" s="108"/>
      <c r="M883" s="108"/>
      <c r="N883" s="108" t="str">
        <v>P347H631</v>
      </c>
      <c r="O883" s="108">
        <f t="shared" si="15"/>
        <v>1</v>
      </c>
      <c r="P883" s="108"/>
      <c r="Q883"/>
    </row>
    <row r="884" spans="1:17" x14ac:dyDescent="0.25">
      <c r="A884" s="89" t="s">
        <v>9719</v>
      </c>
      <c r="B884" s="87" t="s">
        <v>9720</v>
      </c>
      <c r="C884" s="87" t="s">
        <v>13</v>
      </c>
      <c r="D884" s="87" t="str">
        <f>VLOOKUP(Tabela1[[#This Row],[Origem]], 'Perguntas 1 a 24'!$J$28:$K$34, 2, 0)</f>
        <v>Sudeste</v>
      </c>
      <c r="E884" s="87" t="str">
        <f>Tabela1[[#This Row],[Descrição]]&amp;"-"&amp;Tabela1[[#This Row],[Código]]&amp;"/"&amp;Tabela1[[#This Row],[Origem]]</f>
        <v>Radopupe-H873H429/SP</v>
      </c>
      <c r="F884" s="88">
        <v>45981</v>
      </c>
      <c r="G884" s="88" t="str" cm="1">
        <f t="array" ref="G8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AND(F884&gt;= DATE(2026,1,1), F884&lt;= DATE(2028, 12, 31), J884&gt;50000), "Pendente e Caro", AND(F884&gt;= DATE(2026,1,1), F884&lt;= DATE(2028, 12, 31), J884&lt;=50000), "Pendente", F884&gt;= DATE(2029,1,1), "Não prioeitário")</f>
        <v>Urgente e Caro</v>
      </c>
      <c r="H884" s="89">
        <f>YEAR(Tabela1[[#This Row],[Data de Validade]])</f>
        <v>2025</v>
      </c>
      <c r="I884" s="89">
        <f>MONTH(Tabela1[[#This Row],[Data de Validade]])</f>
        <v>11</v>
      </c>
      <c r="J884" s="101">
        <v>58787</v>
      </c>
      <c r="K884" s="87" t="s">
        <v>7</v>
      </c>
      <c r="L884" s="108"/>
      <c r="M884" s="108"/>
      <c r="N884" s="108" t="str">
        <v>H873H429</v>
      </c>
      <c r="O884" s="108">
        <f t="shared" si="15"/>
        <v>1</v>
      </c>
      <c r="P884" s="108"/>
      <c r="Q884"/>
    </row>
    <row r="885" spans="1:17" x14ac:dyDescent="0.25">
      <c r="A885" s="89" t="s">
        <v>5636</v>
      </c>
      <c r="B885" s="87" t="s">
        <v>5637</v>
      </c>
      <c r="C885" s="87" t="s">
        <v>10</v>
      </c>
      <c r="D885" s="87" t="str">
        <f>VLOOKUP(Tabela1[[#This Row],[Origem]], 'Perguntas 1 a 24'!$J$28:$K$34, 2, 0)</f>
        <v>Centro-Oeste</v>
      </c>
      <c r="E885" s="87" t="str">
        <f>Tabela1[[#This Row],[Descrição]]&amp;"-"&amp;Tabela1[[#This Row],[Código]]&amp;"/"&amp;Tabela1[[#This Row],[Origem]]</f>
        <v>Pudeto-H693P226/GO</v>
      </c>
      <c r="F885" s="88">
        <v>45982</v>
      </c>
      <c r="G885" s="88" t="str" cm="1">
        <f t="array" ref="G8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AND(F885&gt;= DATE(2026,1,1), F885&lt;= DATE(2028, 12, 31), J885&gt;50000), "Pendente e Caro", AND(F885&gt;= DATE(2026,1,1), F885&lt;= DATE(2028, 12, 31), J885&lt;=50000), "Pendente", F885&gt;= DATE(2029,1,1), "Não prioeitário")</f>
        <v>Urgente e Caro</v>
      </c>
      <c r="H885" s="89">
        <f>YEAR(Tabela1[[#This Row],[Data de Validade]])</f>
        <v>2025</v>
      </c>
      <c r="I885" s="89">
        <f>MONTH(Tabela1[[#This Row],[Data de Validade]])</f>
        <v>11</v>
      </c>
      <c r="J885" s="101">
        <v>73355</v>
      </c>
      <c r="K885" s="87" t="s">
        <v>11</v>
      </c>
      <c r="L885" s="108"/>
      <c r="M885" s="108"/>
      <c r="N885" s="108" t="str">
        <v>H693P226</v>
      </c>
      <c r="O885" s="108">
        <f t="shared" si="15"/>
        <v>1</v>
      </c>
      <c r="P885" s="108"/>
      <c r="Q885"/>
    </row>
    <row r="886" spans="1:17" x14ac:dyDescent="0.25">
      <c r="A886" s="89" t="s">
        <v>8046</v>
      </c>
      <c r="B886" s="87" t="s">
        <v>8047</v>
      </c>
      <c r="C886" s="87" t="s">
        <v>15</v>
      </c>
      <c r="D886" s="87" t="str">
        <f>VLOOKUP(Tabela1[[#This Row],[Origem]], 'Perguntas 1 a 24'!$J$28:$K$34, 2, 0)</f>
        <v>Sudeste</v>
      </c>
      <c r="E886" s="87" t="str">
        <f>Tabela1[[#This Row],[Descrição]]&amp;"-"&amp;Tabela1[[#This Row],[Código]]&amp;"/"&amp;Tabela1[[#This Row],[Origem]]</f>
        <v>Rapicu-P268P438/ES</v>
      </c>
      <c r="F886" s="88">
        <v>45983</v>
      </c>
      <c r="G886" s="88" t="str" cm="1">
        <f t="array" ref="G8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AND(F886&gt;= DATE(2026,1,1), F886&lt;= DATE(2028, 12, 31), J886&gt;50000), "Pendente e Caro", AND(F886&gt;= DATE(2026,1,1), F886&lt;= DATE(2028, 12, 31), J886&lt;=50000), "Pendente", F886&gt;= DATE(2029,1,1), "Não prioeitário")</f>
        <v>Urgente e Caro</v>
      </c>
      <c r="H886" s="89">
        <f>YEAR(Tabela1[[#This Row],[Data de Validade]])</f>
        <v>2025</v>
      </c>
      <c r="I886" s="89">
        <f>MONTH(Tabela1[[#This Row],[Data de Validade]])</f>
        <v>11</v>
      </c>
      <c r="J886" s="101">
        <v>87093</v>
      </c>
      <c r="K886" s="87" t="s">
        <v>9</v>
      </c>
      <c r="L886" s="108"/>
      <c r="M886" s="108"/>
      <c r="N886" s="108" t="str">
        <v>P268P438</v>
      </c>
      <c r="O886" s="108">
        <f t="shared" si="15"/>
        <v>1</v>
      </c>
      <c r="P886" s="108"/>
      <c r="Q886"/>
    </row>
    <row r="887" spans="1:17" x14ac:dyDescent="0.25">
      <c r="A887" s="89" t="s">
        <v>5240</v>
      </c>
      <c r="B887" s="87" t="s">
        <v>5241</v>
      </c>
      <c r="C887" s="87" t="s">
        <v>15</v>
      </c>
      <c r="D887" s="87" t="str">
        <f>VLOOKUP(Tabela1[[#This Row],[Origem]], 'Perguntas 1 a 24'!$J$28:$K$34, 2, 0)</f>
        <v>Sudeste</v>
      </c>
      <c r="E887" s="87" t="str">
        <f>Tabela1[[#This Row],[Descrição]]&amp;"-"&amp;Tabela1[[#This Row],[Código]]&amp;"/"&amp;Tabela1[[#This Row],[Origem]]</f>
        <v>Laguta-P486P153/ES</v>
      </c>
      <c r="F887" s="88">
        <v>45985</v>
      </c>
      <c r="G887" s="88" t="str" cm="1">
        <f t="array" ref="G8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AND(F887&gt;= DATE(2026,1,1), F887&lt;= DATE(2028, 12, 31), J887&gt;50000), "Pendente e Caro", AND(F887&gt;= DATE(2026,1,1), F887&lt;= DATE(2028, 12, 31), J887&lt;=50000), "Pendente", F887&gt;= DATE(2029,1,1), "Não prioeitário")</f>
        <v>Urgente e Caro</v>
      </c>
      <c r="H887" s="89">
        <f>YEAR(Tabela1[[#This Row],[Data de Validade]])</f>
        <v>2025</v>
      </c>
      <c r="I887" s="89">
        <f>MONTH(Tabela1[[#This Row],[Data de Validade]])</f>
        <v>11</v>
      </c>
      <c r="J887" s="101">
        <v>77287</v>
      </c>
      <c r="K887" s="87" t="s">
        <v>9</v>
      </c>
      <c r="L887" s="108"/>
      <c r="M887" s="108"/>
      <c r="N887" s="108" t="str">
        <v>P486P153</v>
      </c>
      <c r="O887" s="108">
        <f t="shared" si="15"/>
        <v>1</v>
      </c>
      <c r="P887" s="108"/>
      <c r="Q887"/>
    </row>
    <row r="888" spans="1:17" x14ac:dyDescent="0.25">
      <c r="A888" s="89" t="s">
        <v>8951</v>
      </c>
      <c r="B888" s="87" t="s">
        <v>8952</v>
      </c>
      <c r="C888" s="87" t="s">
        <v>8</v>
      </c>
      <c r="D888" s="87" t="str">
        <f>VLOOKUP(Tabela1[[#This Row],[Origem]], 'Perguntas 1 a 24'!$J$28:$K$34, 2, 0)</f>
        <v>Nordeste</v>
      </c>
      <c r="E888" s="87" t="str">
        <f>Tabela1[[#This Row],[Descrição]]&amp;"-"&amp;Tabela1[[#This Row],[Código]]&amp;"/"&amp;Tabela1[[#This Row],[Origem]]</f>
        <v>Dupetite-P665P624/AL</v>
      </c>
      <c r="F888" s="88">
        <v>45985</v>
      </c>
      <c r="G888" s="88" t="str" cm="1">
        <f t="array" ref="G8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AND(F888&gt;= DATE(2026,1,1), F888&lt;= DATE(2028, 12, 31), J888&gt;50000), "Pendente e Caro", AND(F888&gt;= DATE(2026,1,1), F888&lt;= DATE(2028, 12, 31), J888&lt;=50000), "Pendente", F888&gt;= DATE(2029,1,1), "Não prioeitário")</f>
        <v>Urgente e Caro</v>
      </c>
      <c r="H888" s="89">
        <f>YEAR(Tabela1[[#This Row],[Data de Validade]])</f>
        <v>2025</v>
      </c>
      <c r="I888" s="89">
        <f>MONTH(Tabela1[[#This Row],[Data de Validade]])</f>
        <v>11</v>
      </c>
      <c r="J888" s="101">
        <v>77000</v>
      </c>
      <c r="K888" s="87" t="s">
        <v>11</v>
      </c>
      <c r="L888" s="108"/>
      <c r="M888" s="108"/>
      <c r="N888" s="108" t="str">
        <v>P665P624</v>
      </c>
      <c r="O888" s="108">
        <f t="shared" si="15"/>
        <v>1</v>
      </c>
      <c r="P888" s="108"/>
      <c r="Q888"/>
    </row>
    <row r="889" spans="1:17" x14ac:dyDescent="0.25">
      <c r="A889" s="89" t="s">
        <v>10673</v>
      </c>
      <c r="B889" s="87" t="s">
        <v>10674</v>
      </c>
      <c r="C889" s="87" t="s">
        <v>6</v>
      </c>
      <c r="D889" s="87" t="str">
        <f>VLOOKUP(Tabela1[[#This Row],[Origem]], 'Perguntas 1 a 24'!$J$28:$K$34, 2, 0)</f>
        <v>Nordeste</v>
      </c>
      <c r="E889" s="87" t="str">
        <f>Tabela1[[#This Row],[Descrição]]&amp;"-"&amp;Tabela1[[#This Row],[Código]]&amp;"/"&amp;Tabela1[[#This Row],[Origem]]</f>
        <v>Papece-P545P331/MA</v>
      </c>
      <c r="F889" s="88">
        <v>45985</v>
      </c>
      <c r="G889" s="88" t="str" cm="1">
        <f t="array" ref="G8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AND(F889&gt;= DATE(2026,1,1), F889&lt;= DATE(2028, 12, 31), J889&gt;50000), "Pendente e Caro", AND(F889&gt;= DATE(2026,1,1), F889&lt;= DATE(2028, 12, 31), J889&lt;=50000), "Pendente", F889&gt;= DATE(2029,1,1), "Não prioeitário")</f>
        <v>Urgente e Caro</v>
      </c>
      <c r="H889" s="89">
        <f>YEAR(Tabela1[[#This Row],[Data de Validade]])</f>
        <v>2025</v>
      </c>
      <c r="I889" s="89">
        <f>MONTH(Tabela1[[#This Row],[Data de Validade]])</f>
        <v>11</v>
      </c>
      <c r="J889" s="101">
        <v>58960</v>
      </c>
      <c r="K889" s="87" t="s">
        <v>7</v>
      </c>
      <c r="L889" s="108"/>
      <c r="M889" s="108"/>
      <c r="N889" s="108" t="str">
        <v>P545P331</v>
      </c>
      <c r="O889" s="108">
        <f t="shared" si="15"/>
        <v>1</v>
      </c>
      <c r="P889" s="108"/>
      <c r="Q889"/>
    </row>
    <row r="890" spans="1:17" x14ac:dyDescent="0.25">
      <c r="A890" s="89" t="s">
        <v>4303</v>
      </c>
      <c r="B890" s="87" t="s">
        <v>4304</v>
      </c>
      <c r="C890" s="87" t="s">
        <v>16</v>
      </c>
      <c r="D890" s="87" t="str">
        <f>VLOOKUP(Tabela1[[#This Row],[Origem]], 'Perguntas 1 a 24'!$J$28:$K$34, 2, 0)</f>
        <v>Sudeste</v>
      </c>
      <c r="E890" s="87" t="str">
        <f>Tabela1[[#This Row],[Descrição]]&amp;"-"&amp;Tabela1[[#This Row],[Código]]&amp;"/"&amp;Tabela1[[#This Row],[Origem]]</f>
        <v>Fapimi-H484H778/MG</v>
      </c>
      <c r="F890" s="88">
        <v>45987</v>
      </c>
      <c r="G890" s="88" t="str" cm="1">
        <f t="array" ref="G8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AND(F890&gt;= DATE(2026,1,1), F890&lt;= DATE(2028, 12, 31), J890&gt;50000), "Pendente e Caro", AND(F890&gt;= DATE(2026,1,1), F890&lt;= DATE(2028, 12, 31), J890&lt;=50000), "Pendente", F890&gt;= DATE(2029,1,1), "Não prioeitário")</f>
        <v>Urgente e Caro</v>
      </c>
      <c r="H890" s="89">
        <f>YEAR(Tabela1[[#This Row],[Data de Validade]])</f>
        <v>2025</v>
      </c>
      <c r="I890" s="89">
        <f>MONTH(Tabela1[[#This Row],[Data de Validade]])</f>
        <v>11</v>
      </c>
      <c r="J890" s="101">
        <v>106481</v>
      </c>
      <c r="K890" s="87" t="s">
        <v>9</v>
      </c>
      <c r="L890" s="108"/>
      <c r="M890" s="108"/>
      <c r="N890" s="108" t="str">
        <v>H484H778</v>
      </c>
      <c r="O890" s="108">
        <f t="shared" si="15"/>
        <v>1</v>
      </c>
      <c r="P890" s="108"/>
      <c r="Q890"/>
    </row>
    <row r="891" spans="1:17" x14ac:dyDescent="0.25">
      <c r="A891" s="89" t="s">
        <v>7014</v>
      </c>
      <c r="B891" s="87" t="s">
        <v>7015</v>
      </c>
      <c r="C891" s="87" t="s">
        <v>10</v>
      </c>
      <c r="D891" s="87" t="str">
        <f>VLOOKUP(Tabela1[[#This Row],[Origem]], 'Perguntas 1 a 24'!$J$28:$K$34, 2, 0)</f>
        <v>Centro-Oeste</v>
      </c>
      <c r="E891" s="87" t="str">
        <f>Tabela1[[#This Row],[Descrição]]&amp;"-"&amp;Tabela1[[#This Row],[Código]]&amp;"/"&amp;Tabela1[[#This Row],[Origem]]</f>
        <v>Dunodo-H297H265/GO</v>
      </c>
      <c r="F891" s="88">
        <v>45988</v>
      </c>
      <c r="G891" s="88" t="str" cm="1">
        <f t="array" ref="G8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AND(F891&gt;= DATE(2026,1,1), F891&lt;= DATE(2028, 12, 31), J891&gt;50000), "Pendente e Caro", AND(F891&gt;= DATE(2026,1,1), F891&lt;= DATE(2028, 12, 31), J891&lt;=50000), "Pendente", F891&gt;= DATE(2029,1,1), "Não prioeitário")</f>
        <v>Urgente e Caro</v>
      </c>
      <c r="H891" s="89">
        <f>YEAR(Tabela1[[#This Row],[Data de Validade]])</f>
        <v>2025</v>
      </c>
      <c r="I891" s="89">
        <f>MONTH(Tabela1[[#This Row],[Data de Validade]])</f>
        <v>11</v>
      </c>
      <c r="J891" s="101">
        <v>60010</v>
      </c>
      <c r="K891" s="87" t="s">
        <v>14</v>
      </c>
      <c r="L891" s="108"/>
      <c r="M891" s="108"/>
      <c r="N891" s="108" t="str">
        <v>H297H265</v>
      </c>
      <c r="O891" s="108">
        <f t="shared" si="15"/>
        <v>1</v>
      </c>
      <c r="P891" s="108"/>
      <c r="Q891"/>
    </row>
    <row r="892" spans="1:17" x14ac:dyDescent="0.25">
      <c r="A892" s="89" t="s">
        <v>5858</v>
      </c>
      <c r="B892" s="87" t="s">
        <v>5859</v>
      </c>
      <c r="C892" s="87" t="s">
        <v>10</v>
      </c>
      <c r="D892" s="87" t="str">
        <f>VLOOKUP(Tabela1[[#This Row],[Origem]], 'Perguntas 1 a 24'!$J$28:$K$34, 2, 0)</f>
        <v>Centro-Oeste</v>
      </c>
      <c r="E892" s="87" t="str">
        <f>Tabela1[[#This Row],[Descrição]]&amp;"-"&amp;Tabela1[[#This Row],[Código]]&amp;"/"&amp;Tabela1[[#This Row],[Origem]]</f>
        <v>Norega-H147P415/GO</v>
      </c>
      <c r="F892" s="88">
        <v>45989</v>
      </c>
      <c r="G892" s="88" t="str" cm="1">
        <f t="array" ref="G8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AND(F892&gt;= DATE(2026,1,1), F892&lt;= DATE(2028, 12, 31), J892&gt;50000), "Pendente e Caro", AND(F892&gt;= DATE(2026,1,1), F892&lt;= DATE(2028, 12, 31), J892&lt;=50000), "Pendente", F892&gt;= DATE(2029,1,1), "Não prioeitário")</f>
        <v>Urgente</v>
      </c>
      <c r="H892" s="89">
        <f>YEAR(Tabela1[[#This Row],[Data de Validade]])</f>
        <v>2025</v>
      </c>
      <c r="I892" s="89">
        <f>MONTH(Tabela1[[#This Row],[Data de Validade]])</f>
        <v>11</v>
      </c>
      <c r="J892" s="101">
        <v>44259</v>
      </c>
      <c r="K892" s="87" t="s">
        <v>7</v>
      </c>
      <c r="L892" s="108"/>
      <c r="M892" s="108"/>
      <c r="N892" s="108" t="str">
        <v>H147P415</v>
      </c>
      <c r="O892" s="108">
        <f t="shared" si="15"/>
        <v>1</v>
      </c>
      <c r="P892" s="108"/>
      <c r="Q892"/>
    </row>
    <row r="893" spans="1:17" x14ac:dyDescent="0.25">
      <c r="A893" s="89" t="s">
        <v>10161</v>
      </c>
      <c r="B893" s="87" t="s">
        <v>10162</v>
      </c>
      <c r="C893" s="87" t="s">
        <v>13</v>
      </c>
      <c r="D893" s="87" t="str">
        <f>VLOOKUP(Tabela1[[#This Row],[Origem]], 'Perguntas 1 a 24'!$J$28:$K$34, 2, 0)</f>
        <v>Sudeste</v>
      </c>
      <c r="E893" s="87" t="str">
        <f>Tabela1[[#This Row],[Descrição]]&amp;"-"&amp;Tabela1[[#This Row],[Código]]&amp;"/"&amp;Tabela1[[#This Row],[Origem]]</f>
        <v>Nopevopu-H426H526/SP</v>
      </c>
      <c r="F893" s="88">
        <v>45991</v>
      </c>
      <c r="G893" s="88" t="str" cm="1">
        <f t="array" ref="G8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AND(F893&gt;= DATE(2026,1,1), F893&lt;= DATE(2028, 12, 31), J893&gt;50000), "Pendente e Caro", AND(F893&gt;= DATE(2026,1,1), F893&lt;= DATE(2028, 12, 31), J893&lt;=50000), "Pendente", F893&gt;= DATE(2029,1,1), "Não prioeitário")</f>
        <v>Urgente e Caro</v>
      </c>
      <c r="H893" s="89">
        <f>YEAR(Tabela1[[#This Row],[Data de Validade]])</f>
        <v>2025</v>
      </c>
      <c r="I893" s="89">
        <f>MONTH(Tabela1[[#This Row],[Data de Validade]])</f>
        <v>11</v>
      </c>
      <c r="J893" s="101">
        <v>103321</v>
      </c>
      <c r="K893" s="87" t="s">
        <v>7</v>
      </c>
      <c r="L893" s="108"/>
      <c r="M893" s="108"/>
      <c r="N893" s="108" t="str">
        <v>H426H526</v>
      </c>
      <c r="O893" s="108">
        <f t="shared" si="15"/>
        <v>1</v>
      </c>
      <c r="P893" s="108"/>
      <c r="Q893"/>
    </row>
    <row r="894" spans="1:17" x14ac:dyDescent="0.25">
      <c r="A894" s="89" t="s">
        <v>10803</v>
      </c>
      <c r="B894" s="87" t="s">
        <v>10804</v>
      </c>
      <c r="C894" s="87" t="s">
        <v>8</v>
      </c>
      <c r="D894" s="87" t="str">
        <f>VLOOKUP(Tabela1[[#This Row],[Origem]], 'Perguntas 1 a 24'!$J$28:$K$34, 2, 0)</f>
        <v>Nordeste</v>
      </c>
      <c r="E894" s="87" t="str">
        <f>Tabela1[[#This Row],[Descrição]]&amp;"-"&amp;Tabela1[[#This Row],[Código]]&amp;"/"&amp;Tabela1[[#This Row],[Origem]]</f>
        <v>Dufimuvoti-H733H875/AL</v>
      </c>
      <c r="F894" s="88">
        <v>45991</v>
      </c>
      <c r="G894" s="88" t="str" cm="1">
        <f t="array" ref="G8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AND(F894&gt;= DATE(2026,1,1), F894&lt;= DATE(2028, 12, 31), J894&gt;50000), "Pendente e Caro", AND(F894&gt;= DATE(2026,1,1), F894&lt;= DATE(2028, 12, 31), J894&lt;=50000), "Pendente", F894&gt;= DATE(2029,1,1), "Não prioeitário")</f>
        <v>Urgente e Caro</v>
      </c>
      <c r="H894" s="89">
        <f>YEAR(Tabela1[[#This Row],[Data de Validade]])</f>
        <v>2025</v>
      </c>
      <c r="I894" s="89">
        <f>MONTH(Tabela1[[#This Row],[Data de Validade]])</f>
        <v>11</v>
      </c>
      <c r="J894" s="101">
        <v>90638</v>
      </c>
      <c r="K894" s="87" t="s">
        <v>11</v>
      </c>
      <c r="L894" s="108"/>
      <c r="M894" s="108"/>
      <c r="N894" s="108" t="str">
        <v>H733H875</v>
      </c>
      <c r="O894" s="108">
        <f t="shared" si="15"/>
        <v>1</v>
      </c>
      <c r="P894" s="108"/>
      <c r="Q894"/>
    </row>
    <row r="895" spans="1:17" x14ac:dyDescent="0.25">
      <c r="A895" s="89" t="s">
        <v>7342</v>
      </c>
      <c r="B895" s="87" t="s">
        <v>7343</v>
      </c>
      <c r="C895" s="87" t="s">
        <v>13</v>
      </c>
      <c r="D895" s="87" t="str">
        <f>VLOOKUP(Tabela1[[#This Row],[Origem]], 'Perguntas 1 a 24'!$J$28:$K$34, 2, 0)</f>
        <v>Sudeste</v>
      </c>
      <c r="E895" s="87" t="str">
        <f>Tabela1[[#This Row],[Descrição]]&amp;"-"&amp;Tabela1[[#This Row],[Código]]&amp;"/"&amp;Tabela1[[#This Row],[Origem]]</f>
        <v>Pifutapu-P755H532/SP</v>
      </c>
      <c r="F895" s="88">
        <v>45992</v>
      </c>
      <c r="G895" s="88" t="str" cm="1">
        <f t="array" ref="G8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AND(F895&gt;= DATE(2026,1,1), F895&lt;= DATE(2028, 12, 31), J895&gt;50000), "Pendente e Caro", AND(F895&gt;= DATE(2026,1,1), F895&lt;= DATE(2028, 12, 31), J895&lt;=50000), "Pendente", F895&gt;= DATE(2029,1,1), "Não prioeitário")</f>
        <v>Urgente e Caro</v>
      </c>
      <c r="H895" s="89">
        <f>YEAR(Tabela1[[#This Row],[Data de Validade]])</f>
        <v>2025</v>
      </c>
      <c r="I895" s="89">
        <f>MONTH(Tabela1[[#This Row],[Data de Validade]])</f>
        <v>12</v>
      </c>
      <c r="J895" s="101">
        <v>87525</v>
      </c>
      <c r="K895" s="87" t="s">
        <v>11</v>
      </c>
      <c r="L895" s="108"/>
      <c r="M895" s="108"/>
      <c r="N895" s="108" t="str">
        <v>P755H532</v>
      </c>
      <c r="O895" s="108">
        <f t="shared" si="15"/>
        <v>1</v>
      </c>
      <c r="P895" s="108"/>
      <c r="Q895"/>
    </row>
    <row r="896" spans="1:17" x14ac:dyDescent="0.25">
      <c r="A896" s="89" t="s">
        <v>8553</v>
      </c>
      <c r="B896" s="87" t="s">
        <v>8554</v>
      </c>
      <c r="C896" s="87" t="s">
        <v>13</v>
      </c>
      <c r="D896" s="87" t="str">
        <f>VLOOKUP(Tabela1[[#This Row],[Origem]], 'Perguntas 1 a 24'!$J$28:$K$34, 2, 0)</f>
        <v>Sudeste</v>
      </c>
      <c r="E896" s="87" t="str">
        <f>Tabela1[[#This Row],[Descrição]]&amp;"-"&amp;Tabela1[[#This Row],[Código]]&amp;"/"&amp;Tabela1[[#This Row],[Origem]]</f>
        <v>Lelirula-P799P735/SP</v>
      </c>
      <c r="F896" s="88">
        <v>45992</v>
      </c>
      <c r="G896" s="88" t="str" cm="1">
        <f t="array" ref="G8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AND(F896&gt;= DATE(2026,1,1), F896&lt;= DATE(2028, 12, 31), J896&gt;50000), "Pendente e Caro", AND(F896&gt;= DATE(2026,1,1), F896&lt;= DATE(2028, 12, 31), J896&lt;=50000), "Pendente", F896&gt;= DATE(2029,1,1), "Não prioeitário")</f>
        <v>Urgente</v>
      </c>
      <c r="H896" s="89">
        <f>YEAR(Tabela1[[#This Row],[Data de Validade]])</f>
        <v>2025</v>
      </c>
      <c r="I896" s="89">
        <f>MONTH(Tabela1[[#This Row],[Data de Validade]])</f>
        <v>12</v>
      </c>
      <c r="J896" s="101">
        <v>47069</v>
      </c>
      <c r="K896" s="87" t="s">
        <v>7</v>
      </c>
      <c r="L896" s="108"/>
      <c r="M896" s="108"/>
      <c r="N896" s="108" t="str">
        <v>P799P735</v>
      </c>
      <c r="O896" s="108">
        <f t="shared" si="15"/>
        <v>1</v>
      </c>
      <c r="P896" s="108"/>
      <c r="Q896"/>
    </row>
    <row r="897" spans="1:17" x14ac:dyDescent="0.25">
      <c r="A897" s="89" t="s">
        <v>4347</v>
      </c>
      <c r="B897" s="87" t="s">
        <v>4348</v>
      </c>
      <c r="C897" s="87" t="s">
        <v>16</v>
      </c>
      <c r="D897" s="87" t="str">
        <f>VLOOKUP(Tabela1[[#This Row],[Origem]], 'Perguntas 1 a 24'!$J$28:$K$34, 2, 0)</f>
        <v>Sudeste</v>
      </c>
      <c r="E897" s="87" t="str">
        <f>Tabela1[[#This Row],[Descrição]]&amp;"-"&amp;Tabela1[[#This Row],[Código]]&amp;"/"&amp;Tabela1[[#This Row],[Origem]]</f>
        <v>Radupifu-H919P568/MG</v>
      </c>
      <c r="F897" s="88">
        <v>45993</v>
      </c>
      <c r="G897" s="88" t="str" cm="1">
        <f t="array" ref="G8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AND(F897&gt;= DATE(2026,1,1), F897&lt;= DATE(2028, 12, 31), J897&gt;50000), "Pendente e Caro", AND(F897&gt;= DATE(2026,1,1), F897&lt;= DATE(2028, 12, 31), J897&lt;=50000), "Pendente", F897&gt;= DATE(2029,1,1), "Não prioeitário")</f>
        <v>Urgente e Caro</v>
      </c>
      <c r="H897" s="89">
        <f>YEAR(Tabela1[[#This Row],[Data de Validade]])</f>
        <v>2025</v>
      </c>
      <c r="I897" s="89">
        <f>MONTH(Tabela1[[#This Row],[Data de Validade]])</f>
        <v>12</v>
      </c>
      <c r="J897" s="101">
        <v>60697</v>
      </c>
      <c r="K897" s="87" t="s">
        <v>11</v>
      </c>
      <c r="L897" s="108"/>
      <c r="M897" s="108"/>
      <c r="N897" s="108" t="str">
        <v>H919P568</v>
      </c>
      <c r="O897" s="108">
        <f t="shared" si="15"/>
        <v>1</v>
      </c>
      <c r="P897" s="108"/>
      <c r="Q897"/>
    </row>
    <row r="898" spans="1:17" x14ac:dyDescent="0.25">
      <c r="A898" s="89" t="s">
        <v>6652</v>
      </c>
      <c r="B898" s="87" t="s">
        <v>6653</v>
      </c>
      <c r="C898" s="87" t="s">
        <v>8</v>
      </c>
      <c r="D898" s="87" t="str">
        <f>VLOOKUP(Tabela1[[#This Row],[Origem]], 'Perguntas 1 a 24'!$J$28:$K$34, 2, 0)</f>
        <v>Nordeste</v>
      </c>
      <c r="E898" s="87" t="str">
        <f>Tabela1[[#This Row],[Descrição]]&amp;"-"&amp;Tabela1[[#This Row],[Código]]&amp;"/"&amp;Tabela1[[#This Row],[Origem]]</f>
        <v>Pepegitoco-P528H755/AL</v>
      </c>
      <c r="F898" s="88">
        <v>45994</v>
      </c>
      <c r="G898" s="88" t="str" cm="1">
        <f t="array" ref="G8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AND(F898&gt;= DATE(2026,1,1), F898&lt;= DATE(2028, 12, 31), J898&gt;50000), "Pendente e Caro", AND(F898&gt;= DATE(2026,1,1), F898&lt;= DATE(2028, 12, 31), J898&lt;=50000), "Pendente", F898&gt;= DATE(2029,1,1), "Não prioeitário")</f>
        <v>Urgente e Caro</v>
      </c>
      <c r="H898" s="89">
        <f>YEAR(Tabela1[[#This Row],[Data de Validade]])</f>
        <v>2025</v>
      </c>
      <c r="I898" s="89">
        <f>MONTH(Tabela1[[#This Row],[Data de Validade]])</f>
        <v>12</v>
      </c>
      <c r="J898" s="101">
        <v>78989</v>
      </c>
      <c r="K898" s="87" t="s">
        <v>7</v>
      </c>
      <c r="L898" s="108"/>
      <c r="M898" s="108"/>
      <c r="N898" s="108" t="str">
        <v>P528H755</v>
      </c>
      <c r="O898" s="108">
        <f t="shared" si="15"/>
        <v>1</v>
      </c>
      <c r="P898" s="108"/>
      <c r="Q898"/>
    </row>
    <row r="899" spans="1:17" x14ac:dyDescent="0.25">
      <c r="A899" s="89" t="s">
        <v>9317</v>
      </c>
      <c r="B899" s="87" t="s">
        <v>9318</v>
      </c>
      <c r="C899" s="87" t="s">
        <v>10</v>
      </c>
      <c r="D899" s="87" t="str">
        <f>VLOOKUP(Tabela1[[#This Row],[Origem]], 'Perguntas 1 a 24'!$J$28:$K$34, 2, 0)</f>
        <v>Centro-Oeste</v>
      </c>
      <c r="E899" s="87" t="str">
        <f>Tabela1[[#This Row],[Descrição]]&amp;"-"&amp;Tabela1[[#This Row],[Código]]&amp;"/"&amp;Tabela1[[#This Row],[Origem]]</f>
        <v>Tatugifo-H946P333/GO</v>
      </c>
      <c r="F899" s="88">
        <v>45995</v>
      </c>
      <c r="G899" s="88" t="str" cm="1">
        <f t="array" ref="G8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AND(F899&gt;= DATE(2026,1,1), F899&lt;= DATE(2028, 12, 31), J899&gt;50000), "Pendente e Caro", AND(F899&gt;= DATE(2026,1,1), F899&lt;= DATE(2028, 12, 31), J899&lt;=50000), "Pendente", F899&gt;= DATE(2029,1,1), "Não prioeitário")</f>
        <v>Urgente e Caro</v>
      </c>
      <c r="H899" s="89">
        <f>YEAR(Tabela1[[#This Row],[Data de Validade]])</f>
        <v>2025</v>
      </c>
      <c r="I899" s="89">
        <f>MONTH(Tabela1[[#This Row],[Data de Validade]])</f>
        <v>12</v>
      </c>
      <c r="J899" s="101">
        <v>53793</v>
      </c>
      <c r="K899" s="87" t="s">
        <v>11</v>
      </c>
      <c r="L899" s="108"/>
      <c r="M899" s="108"/>
      <c r="N899" s="108" t="str">
        <v>H946P333</v>
      </c>
      <c r="O899" s="108">
        <f t="shared" ref="O899:O962" si="16">COUNTIFS(B:B,N899)</f>
        <v>1</v>
      </c>
      <c r="P899" s="108"/>
      <c r="Q899"/>
    </row>
    <row r="900" spans="1:17" x14ac:dyDescent="0.25">
      <c r="A900" s="89" t="s">
        <v>5374</v>
      </c>
      <c r="B900" s="87" t="s">
        <v>5375</v>
      </c>
      <c r="C900" s="87" t="s">
        <v>12</v>
      </c>
      <c r="D900" s="87" t="str">
        <f>VLOOKUP(Tabela1[[#This Row],[Origem]], 'Perguntas 1 a 24'!$J$28:$K$34, 2, 0)</f>
        <v>Sudeste</v>
      </c>
      <c r="E900" s="87" t="str">
        <f>Tabela1[[#This Row],[Descrição]]&amp;"-"&amp;Tabela1[[#This Row],[Código]]&amp;"/"&amp;Tabela1[[#This Row],[Origem]]</f>
        <v>Patoto-P851P885/RJ</v>
      </c>
      <c r="F900" s="88">
        <v>45995</v>
      </c>
      <c r="G900" s="88" t="str" cm="1">
        <f t="array" ref="G9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AND(F900&gt;= DATE(2026,1,1), F900&lt;= DATE(2028, 12, 31), J900&gt;50000), "Pendente e Caro", AND(F900&gt;= DATE(2026,1,1), F900&lt;= DATE(2028, 12, 31), J900&lt;=50000), "Pendente", F900&gt;= DATE(2029,1,1), "Não prioeitário")</f>
        <v>Urgente e Caro</v>
      </c>
      <c r="H900" s="89">
        <f>YEAR(Tabela1[[#This Row],[Data de Validade]])</f>
        <v>2025</v>
      </c>
      <c r="I900" s="89">
        <f>MONTH(Tabela1[[#This Row],[Data de Validade]])</f>
        <v>12</v>
      </c>
      <c r="J900" s="101">
        <v>52367</v>
      </c>
      <c r="K900" s="87" t="s">
        <v>9</v>
      </c>
      <c r="L900" s="108"/>
      <c r="M900" s="108"/>
      <c r="N900" s="108" t="str">
        <v>P851P885</v>
      </c>
      <c r="O900" s="108">
        <f t="shared" si="16"/>
        <v>1</v>
      </c>
      <c r="P900" s="108"/>
      <c r="Q900"/>
    </row>
    <row r="901" spans="1:17" x14ac:dyDescent="0.25">
      <c r="A901" s="89" t="s">
        <v>10125</v>
      </c>
      <c r="B901" s="87" t="s">
        <v>10126</v>
      </c>
      <c r="C901" s="87" t="s">
        <v>15</v>
      </c>
      <c r="D901" s="87" t="str">
        <f>VLOOKUP(Tabela1[[#This Row],[Origem]], 'Perguntas 1 a 24'!$J$28:$K$34, 2, 0)</f>
        <v>Sudeste</v>
      </c>
      <c r="E901" s="87" t="str">
        <f>Tabela1[[#This Row],[Descrição]]&amp;"-"&amp;Tabela1[[#This Row],[Código]]&amp;"/"&amp;Tabela1[[#This Row],[Origem]]</f>
        <v>Rupufu-P343H647/ES</v>
      </c>
      <c r="F901" s="88">
        <v>45996</v>
      </c>
      <c r="G901" s="88" t="str" cm="1">
        <f t="array" ref="G9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AND(F901&gt;= DATE(2026,1,1), F901&lt;= DATE(2028, 12, 31), J901&gt;50000), "Pendente e Caro", AND(F901&gt;= DATE(2026,1,1), F901&lt;= DATE(2028, 12, 31), J901&lt;=50000), "Pendente", F901&gt;= DATE(2029,1,1), "Não prioeitário")</f>
        <v>Urgente e Caro</v>
      </c>
      <c r="H901" s="89">
        <f>YEAR(Tabela1[[#This Row],[Data de Validade]])</f>
        <v>2025</v>
      </c>
      <c r="I901" s="89">
        <f>MONTH(Tabela1[[#This Row],[Data de Validade]])</f>
        <v>12</v>
      </c>
      <c r="J901" s="101">
        <v>116458</v>
      </c>
      <c r="K901" s="87" t="s">
        <v>11</v>
      </c>
      <c r="L901" s="108"/>
      <c r="M901" s="108"/>
      <c r="N901" s="108" t="str">
        <v>P343H647</v>
      </c>
      <c r="O901" s="108">
        <f t="shared" si="16"/>
        <v>1</v>
      </c>
      <c r="P901" s="108"/>
      <c r="Q901"/>
    </row>
    <row r="902" spans="1:17" x14ac:dyDescent="0.25">
      <c r="A902" s="89" t="s">
        <v>4558</v>
      </c>
      <c r="B902" s="87" t="s">
        <v>4559</v>
      </c>
      <c r="C902" s="87" t="s">
        <v>8</v>
      </c>
      <c r="D902" s="87" t="str">
        <f>VLOOKUP(Tabela1[[#This Row],[Origem]], 'Perguntas 1 a 24'!$J$28:$K$34, 2, 0)</f>
        <v>Nordeste</v>
      </c>
      <c r="E902" s="87" t="str">
        <f>Tabela1[[#This Row],[Descrição]]&amp;"-"&amp;Tabela1[[#This Row],[Código]]&amp;"/"&amp;Tabela1[[#This Row],[Origem]]</f>
        <v>Popapogule-H411H255/AL</v>
      </c>
      <c r="F902" s="88">
        <v>45996</v>
      </c>
      <c r="G902" s="88" t="str" cm="1">
        <f t="array" ref="G9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AND(F902&gt;= DATE(2026,1,1), F902&lt;= DATE(2028, 12, 31), J902&gt;50000), "Pendente e Caro", AND(F902&gt;= DATE(2026,1,1), F902&lt;= DATE(2028, 12, 31), J902&lt;=50000), "Pendente", F902&gt;= DATE(2029,1,1), "Não prioeitário")</f>
        <v>Urgente e Caro</v>
      </c>
      <c r="H902" s="89">
        <f>YEAR(Tabela1[[#This Row],[Data de Validade]])</f>
        <v>2025</v>
      </c>
      <c r="I902" s="89">
        <f>MONTH(Tabela1[[#This Row],[Data de Validade]])</f>
        <v>12</v>
      </c>
      <c r="J902" s="101">
        <v>67986</v>
      </c>
      <c r="K902" s="87" t="s">
        <v>9</v>
      </c>
      <c r="L902" s="108"/>
      <c r="M902" s="108"/>
      <c r="N902" s="108" t="str">
        <v>H411H255</v>
      </c>
      <c r="O902" s="108">
        <f t="shared" si="16"/>
        <v>1</v>
      </c>
      <c r="P902" s="108"/>
      <c r="Q902"/>
    </row>
    <row r="903" spans="1:17" x14ac:dyDescent="0.25">
      <c r="A903" s="89" t="s">
        <v>8360</v>
      </c>
      <c r="B903" s="87" t="s">
        <v>8361</v>
      </c>
      <c r="C903" s="87" t="s">
        <v>12</v>
      </c>
      <c r="D903" s="87" t="str">
        <f>VLOOKUP(Tabela1[[#This Row],[Origem]], 'Perguntas 1 a 24'!$J$28:$K$34, 2, 0)</f>
        <v>Sudeste</v>
      </c>
      <c r="E903" s="87" t="str">
        <f>Tabela1[[#This Row],[Descrição]]&amp;"-"&amp;Tabela1[[#This Row],[Código]]&amp;"/"&amp;Tabela1[[#This Row],[Origem]]</f>
        <v>Perucife-P824P384/RJ</v>
      </c>
      <c r="F903" s="88">
        <v>45997</v>
      </c>
      <c r="G903" s="88" t="str" cm="1">
        <f t="array" ref="G9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AND(F903&gt;= DATE(2026,1,1), F903&lt;= DATE(2028, 12, 31), J903&gt;50000), "Pendente e Caro", AND(F903&gt;= DATE(2026,1,1), F903&lt;= DATE(2028, 12, 31), J903&lt;=50000), "Pendente", F903&gt;= DATE(2029,1,1), "Não prioeitário")</f>
        <v>Urgente e Caro</v>
      </c>
      <c r="H903" s="89">
        <f>YEAR(Tabela1[[#This Row],[Data de Validade]])</f>
        <v>2025</v>
      </c>
      <c r="I903" s="89">
        <f>MONTH(Tabela1[[#This Row],[Data de Validade]])</f>
        <v>12</v>
      </c>
      <c r="J903" s="101">
        <v>79306</v>
      </c>
      <c r="K903" s="87" t="s">
        <v>9</v>
      </c>
      <c r="L903" s="108"/>
      <c r="M903" s="108"/>
      <c r="N903" s="108" t="str">
        <v>P824P384</v>
      </c>
      <c r="O903" s="108">
        <f t="shared" si="16"/>
        <v>1</v>
      </c>
      <c r="P903" s="108"/>
      <c r="Q903"/>
    </row>
    <row r="904" spans="1:17" x14ac:dyDescent="0.25">
      <c r="A904" s="89" t="s">
        <v>10323</v>
      </c>
      <c r="B904" s="87" t="s">
        <v>10324</v>
      </c>
      <c r="C904" s="87" t="s">
        <v>10</v>
      </c>
      <c r="D904" s="87" t="str">
        <f>VLOOKUP(Tabela1[[#This Row],[Origem]], 'Perguntas 1 a 24'!$J$28:$K$34, 2, 0)</f>
        <v>Centro-Oeste</v>
      </c>
      <c r="E904" s="87" t="str">
        <f>Tabela1[[#This Row],[Descrição]]&amp;"-"&amp;Tabela1[[#This Row],[Código]]&amp;"/"&amp;Tabela1[[#This Row],[Origem]]</f>
        <v>Neteve-H433H869/GO</v>
      </c>
      <c r="F904" s="88">
        <v>45997</v>
      </c>
      <c r="G904" s="88" t="str" cm="1">
        <f t="array" ref="G9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AND(F904&gt;= DATE(2026,1,1), F904&lt;= DATE(2028, 12, 31), J904&gt;50000), "Pendente e Caro", AND(F904&gt;= DATE(2026,1,1), F904&lt;= DATE(2028, 12, 31), J904&lt;=50000), "Pendente", F904&gt;= DATE(2029,1,1), "Não prioeitário")</f>
        <v>Urgente</v>
      </c>
      <c r="H904" s="89">
        <f>YEAR(Tabela1[[#This Row],[Data de Validade]])</f>
        <v>2025</v>
      </c>
      <c r="I904" s="89">
        <f>MONTH(Tabela1[[#This Row],[Data de Validade]])</f>
        <v>12</v>
      </c>
      <c r="J904" s="101">
        <v>32011</v>
      </c>
      <c r="K904" s="87" t="s">
        <v>11</v>
      </c>
      <c r="L904" s="108"/>
      <c r="M904" s="108"/>
      <c r="N904" s="108" t="str">
        <v>H433H869</v>
      </c>
      <c r="O904" s="108">
        <f t="shared" si="16"/>
        <v>1</v>
      </c>
      <c r="P904" s="108"/>
      <c r="Q904"/>
    </row>
    <row r="905" spans="1:17" x14ac:dyDescent="0.25">
      <c r="A905" s="89" t="s">
        <v>8286</v>
      </c>
      <c r="B905" s="87" t="s">
        <v>8287</v>
      </c>
      <c r="C905" s="87" t="s">
        <v>15</v>
      </c>
      <c r="D905" s="87" t="str">
        <f>VLOOKUP(Tabela1[[#This Row],[Origem]], 'Perguntas 1 a 24'!$J$28:$K$34, 2, 0)</f>
        <v>Sudeste</v>
      </c>
      <c r="E905" s="87" t="str">
        <f>Tabela1[[#This Row],[Descrição]]&amp;"-"&amp;Tabela1[[#This Row],[Código]]&amp;"/"&amp;Tabela1[[#This Row],[Origem]]</f>
        <v>Turifa-H792H249/ES</v>
      </c>
      <c r="F905" s="88">
        <v>45999</v>
      </c>
      <c r="G905" s="88" t="str" cm="1">
        <f t="array" ref="G9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AND(F905&gt;= DATE(2026,1,1), F905&lt;= DATE(2028, 12, 31), J905&gt;50000), "Pendente e Caro", AND(F905&gt;= DATE(2026,1,1), F905&lt;= DATE(2028, 12, 31), J905&lt;=50000), "Pendente", F905&gt;= DATE(2029,1,1), "Não prioeitário")</f>
        <v>Urgente e Caro</v>
      </c>
      <c r="H905" s="89">
        <f>YEAR(Tabela1[[#This Row],[Data de Validade]])</f>
        <v>2025</v>
      </c>
      <c r="I905" s="89">
        <f>MONTH(Tabela1[[#This Row],[Data de Validade]])</f>
        <v>12</v>
      </c>
      <c r="J905" s="101">
        <v>117057</v>
      </c>
      <c r="K905" s="87" t="s">
        <v>14</v>
      </c>
      <c r="L905" s="108"/>
      <c r="M905" s="108"/>
      <c r="N905" s="108" t="str">
        <v>H792H249</v>
      </c>
      <c r="O905" s="108">
        <f t="shared" si="16"/>
        <v>1</v>
      </c>
      <c r="P905" s="108"/>
      <c r="Q905"/>
    </row>
    <row r="906" spans="1:17" x14ac:dyDescent="0.25">
      <c r="A906" s="89" t="s">
        <v>9221</v>
      </c>
      <c r="B906" s="87" t="s">
        <v>9222</v>
      </c>
      <c r="C906" s="87" t="s">
        <v>10</v>
      </c>
      <c r="D906" s="87" t="str">
        <f>VLOOKUP(Tabela1[[#This Row],[Origem]], 'Perguntas 1 a 24'!$J$28:$K$34, 2, 0)</f>
        <v>Centro-Oeste</v>
      </c>
      <c r="E906" s="87" t="str">
        <f>Tabela1[[#This Row],[Descrição]]&amp;"-"&amp;Tabela1[[#This Row],[Código]]&amp;"/"&amp;Tabela1[[#This Row],[Origem]]</f>
        <v>Gutepupade-H478H469/GO</v>
      </c>
      <c r="F906" s="88">
        <v>45999</v>
      </c>
      <c r="G906" s="88" t="str" cm="1">
        <f t="array" ref="G9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AND(F906&gt;= DATE(2026,1,1), F906&lt;= DATE(2028, 12, 31), J906&gt;50000), "Pendente e Caro", AND(F906&gt;= DATE(2026,1,1), F906&lt;= DATE(2028, 12, 31), J906&lt;=50000), "Pendente", F906&gt;= DATE(2029,1,1), "Não prioeitário")</f>
        <v>Urgente e Caro</v>
      </c>
      <c r="H906" s="89">
        <f>YEAR(Tabela1[[#This Row],[Data de Validade]])</f>
        <v>2025</v>
      </c>
      <c r="I906" s="89">
        <f>MONTH(Tabela1[[#This Row],[Data de Validade]])</f>
        <v>12</v>
      </c>
      <c r="J906" s="101">
        <v>83585</v>
      </c>
      <c r="K906" s="87" t="s">
        <v>9</v>
      </c>
      <c r="L906" s="108"/>
      <c r="M906" s="108"/>
      <c r="N906" s="108" t="str">
        <v>H478H469</v>
      </c>
      <c r="O906" s="108">
        <f t="shared" si="16"/>
        <v>1</v>
      </c>
      <c r="P906" s="108"/>
      <c r="Q906"/>
    </row>
    <row r="907" spans="1:17" x14ac:dyDescent="0.25">
      <c r="A907" s="89" t="s">
        <v>11000</v>
      </c>
      <c r="B907" s="87" t="s">
        <v>11001</v>
      </c>
      <c r="C907" s="87" t="s">
        <v>12</v>
      </c>
      <c r="D907" s="87" t="str">
        <f>VLOOKUP(Tabela1[[#This Row],[Origem]], 'Perguntas 1 a 24'!$J$28:$K$34, 2, 0)</f>
        <v>Sudeste</v>
      </c>
      <c r="E907" s="87" t="str">
        <f>Tabela1[[#This Row],[Descrição]]&amp;"-"&amp;Tabela1[[#This Row],[Código]]&amp;"/"&amp;Tabela1[[#This Row],[Origem]]</f>
        <v>Vanulipufi-P822P332/RJ</v>
      </c>
      <c r="F907" s="88">
        <v>45999</v>
      </c>
      <c r="G907" s="88" t="str" cm="1">
        <f t="array" ref="G9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AND(F907&gt;= DATE(2026,1,1), F907&lt;= DATE(2028, 12, 31), J907&gt;50000), "Pendente e Caro", AND(F907&gt;= DATE(2026,1,1), F907&lt;= DATE(2028, 12, 31), J907&lt;=50000), "Pendente", F907&gt;= DATE(2029,1,1), "Não prioeitário")</f>
        <v>Urgente e Caro</v>
      </c>
      <c r="H907" s="89">
        <f>YEAR(Tabela1[[#This Row],[Data de Validade]])</f>
        <v>2025</v>
      </c>
      <c r="I907" s="89">
        <f>MONTH(Tabela1[[#This Row],[Data de Validade]])</f>
        <v>12</v>
      </c>
      <c r="J907" s="101">
        <v>79971</v>
      </c>
      <c r="K907" s="87" t="s">
        <v>9</v>
      </c>
      <c r="L907" s="108"/>
      <c r="M907" s="108"/>
      <c r="N907" s="108" t="str">
        <v>P822P332</v>
      </c>
      <c r="O907" s="108">
        <f t="shared" si="16"/>
        <v>1</v>
      </c>
      <c r="P907" s="108"/>
      <c r="Q907"/>
    </row>
    <row r="908" spans="1:17" x14ac:dyDescent="0.25">
      <c r="A908" s="89" t="s">
        <v>10921</v>
      </c>
      <c r="B908" s="87" t="s">
        <v>10922</v>
      </c>
      <c r="C908" s="87" t="s">
        <v>13</v>
      </c>
      <c r="D908" s="87" t="str">
        <f>VLOOKUP(Tabela1[[#This Row],[Origem]], 'Perguntas 1 a 24'!$J$28:$K$34, 2, 0)</f>
        <v>Sudeste</v>
      </c>
      <c r="E908" s="87" t="str">
        <f>Tabela1[[#This Row],[Descrição]]&amp;"-"&amp;Tabela1[[#This Row],[Código]]&amp;"/"&amp;Tabela1[[#This Row],[Origem]]</f>
        <v>Pucupa-H241H159/SP</v>
      </c>
      <c r="F908" s="88">
        <v>45999</v>
      </c>
      <c r="G908" s="88" t="str" cm="1">
        <f t="array" ref="G9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AND(F908&gt;= DATE(2026,1,1), F908&lt;= DATE(2028, 12, 31), J908&gt;50000), "Pendente e Caro", AND(F908&gt;= DATE(2026,1,1), F908&lt;= DATE(2028, 12, 31), J908&lt;=50000), "Pendente", F908&gt;= DATE(2029,1,1), "Não prioeitário")</f>
        <v>Urgente e Caro</v>
      </c>
      <c r="H908" s="89">
        <f>YEAR(Tabela1[[#This Row],[Data de Validade]])</f>
        <v>2025</v>
      </c>
      <c r="I908" s="89">
        <f>MONTH(Tabela1[[#This Row],[Data de Validade]])</f>
        <v>12</v>
      </c>
      <c r="J908" s="101">
        <v>67129</v>
      </c>
      <c r="K908" s="87" t="s">
        <v>11</v>
      </c>
      <c r="L908" s="108"/>
      <c r="M908" s="108"/>
      <c r="N908" s="108" t="str">
        <v>H241H159</v>
      </c>
      <c r="O908" s="108">
        <f t="shared" si="16"/>
        <v>1</v>
      </c>
      <c r="P908" s="108"/>
      <c r="Q908"/>
    </row>
    <row r="909" spans="1:17" x14ac:dyDescent="0.25">
      <c r="A909" s="89" t="s">
        <v>10015</v>
      </c>
      <c r="B909" s="87" t="s">
        <v>10016</v>
      </c>
      <c r="C909" s="87" t="s">
        <v>16</v>
      </c>
      <c r="D909" s="87" t="str">
        <f>VLOOKUP(Tabela1[[#This Row],[Origem]], 'Perguntas 1 a 24'!$J$28:$K$34, 2, 0)</f>
        <v>Sudeste</v>
      </c>
      <c r="E909" s="87" t="str">
        <f>Tabela1[[#This Row],[Descrição]]&amp;"-"&amp;Tabela1[[#This Row],[Código]]&amp;"/"&amp;Tabela1[[#This Row],[Origem]]</f>
        <v>Tiveconi-H979P518/MG</v>
      </c>
      <c r="F909" s="88">
        <v>45999</v>
      </c>
      <c r="G909" s="88" t="str" cm="1">
        <f t="array" ref="G9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AND(F909&gt;= DATE(2026,1,1), F909&lt;= DATE(2028, 12, 31), J909&gt;50000), "Pendente e Caro", AND(F909&gt;= DATE(2026,1,1), F909&lt;= DATE(2028, 12, 31), J909&lt;=50000), "Pendente", F909&gt;= DATE(2029,1,1), "Não prioeitário")</f>
        <v>Urgente e Caro</v>
      </c>
      <c r="H909" s="89">
        <f>YEAR(Tabela1[[#This Row],[Data de Validade]])</f>
        <v>2025</v>
      </c>
      <c r="I909" s="89">
        <f>MONTH(Tabela1[[#This Row],[Data de Validade]])</f>
        <v>12</v>
      </c>
      <c r="J909" s="101">
        <v>60918</v>
      </c>
      <c r="K909" s="87" t="s">
        <v>11</v>
      </c>
      <c r="L909" s="108"/>
      <c r="M909" s="108"/>
      <c r="N909" s="108" t="str">
        <v>H979P518</v>
      </c>
      <c r="O909" s="108">
        <f t="shared" si="16"/>
        <v>1</v>
      </c>
      <c r="P909" s="108"/>
      <c r="Q909"/>
    </row>
    <row r="910" spans="1:17" x14ac:dyDescent="0.25">
      <c r="A910" s="89" t="s">
        <v>6958</v>
      </c>
      <c r="B910" s="87" t="s">
        <v>6959</v>
      </c>
      <c r="C910" s="87" t="s">
        <v>15</v>
      </c>
      <c r="D910" s="87" t="str">
        <f>VLOOKUP(Tabela1[[#This Row],[Origem]], 'Perguntas 1 a 24'!$J$28:$K$34, 2, 0)</f>
        <v>Sudeste</v>
      </c>
      <c r="E910" s="87" t="str">
        <f>Tabela1[[#This Row],[Descrição]]&amp;"-"&amp;Tabela1[[#This Row],[Código]]&amp;"/"&amp;Tabela1[[#This Row],[Origem]]</f>
        <v>Rogovito-P197H876/ES</v>
      </c>
      <c r="F910" s="88">
        <v>46000</v>
      </c>
      <c r="G910" s="88" t="str" cm="1">
        <f t="array" ref="G9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AND(F910&gt;= DATE(2026,1,1), F910&lt;= DATE(2028, 12, 31), J910&gt;50000), "Pendente e Caro", AND(F910&gt;= DATE(2026,1,1), F910&lt;= DATE(2028, 12, 31), J910&lt;=50000), "Pendente", F910&gt;= DATE(2029,1,1), "Não prioeitário")</f>
        <v>Urgente e Caro</v>
      </c>
      <c r="H910" s="89">
        <f>YEAR(Tabela1[[#This Row],[Data de Validade]])</f>
        <v>2025</v>
      </c>
      <c r="I910" s="89">
        <f>MONTH(Tabela1[[#This Row],[Data de Validade]])</f>
        <v>12</v>
      </c>
      <c r="J910" s="101">
        <v>51529</v>
      </c>
      <c r="K910" s="87" t="s">
        <v>14</v>
      </c>
      <c r="L910" s="108"/>
      <c r="M910" s="108"/>
      <c r="N910" s="108" t="str">
        <v>P197H876</v>
      </c>
      <c r="O910" s="108">
        <f t="shared" si="16"/>
        <v>1</v>
      </c>
      <c r="P910" s="108"/>
      <c r="Q910"/>
    </row>
    <row r="911" spans="1:17" x14ac:dyDescent="0.25">
      <c r="A911" s="89" t="s">
        <v>6118</v>
      </c>
      <c r="B911" s="87" t="s">
        <v>6119</v>
      </c>
      <c r="C911" s="87" t="s">
        <v>16</v>
      </c>
      <c r="D911" s="87" t="str">
        <f>VLOOKUP(Tabela1[[#This Row],[Origem]], 'Perguntas 1 a 24'!$J$28:$K$34, 2, 0)</f>
        <v>Sudeste</v>
      </c>
      <c r="E911" s="87" t="str">
        <f>Tabela1[[#This Row],[Descrição]]&amp;"-"&amp;Tabela1[[#This Row],[Código]]&amp;"/"&amp;Tabela1[[#This Row],[Origem]]</f>
        <v>Rovufunemu-H627P172/MG</v>
      </c>
      <c r="F911" s="88">
        <v>46000</v>
      </c>
      <c r="G911" s="88" t="str" cm="1">
        <f t="array" ref="G9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AND(F911&gt;= DATE(2026,1,1), F911&lt;= DATE(2028, 12, 31), J911&gt;50000), "Pendente e Caro", AND(F911&gt;= DATE(2026,1,1), F911&lt;= DATE(2028, 12, 31), J911&lt;=50000), "Pendente", F911&gt;= DATE(2029,1,1), "Não prioeitário")</f>
        <v>Urgente</v>
      </c>
      <c r="H911" s="89">
        <f>YEAR(Tabela1[[#This Row],[Data de Validade]])</f>
        <v>2025</v>
      </c>
      <c r="I911" s="89">
        <f>MONTH(Tabela1[[#This Row],[Data de Validade]])</f>
        <v>12</v>
      </c>
      <c r="J911" s="101">
        <v>34898</v>
      </c>
      <c r="K911" s="87" t="s">
        <v>9</v>
      </c>
      <c r="L911" s="108"/>
      <c r="M911" s="108"/>
      <c r="N911" s="108" t="str">
        <v>H627P172</v>
      </c>
      <c r="O911" s="108">
        <f t="shared" si="16"/>
        <v>1</v>
      </c>
      <c r="P911" s="108"/>
      <c r="Q911"/>
    </row>
    <row r="912" spans="1:17" x14ac:dyDescent="0.25">
      <c r="A912" s="89" t="s">
        <v>9409</v>
      </c>
      <c r="B912" s="87" t="s">
        <v>9410</v>
      </c>
      <c r="C912" s="87" t="s">
        <v>12</v>
      </c>
      <c r="D912" s="87" t="str">
        <f>VLOOKUP(Tabela1[[#This Row],[Origem]], 'Perguntas 1 a 24'!$J$28:$K$34, 2, 0)</f>
        <v>Sudeste</v>
      </c>
      <c r="E912" s="87" t="str">
        <f>Tabela1[[#This Row],[Descrição]]&amp;"-"&amp;Tabela1[[#This Row],[Código]]&amp;"/"&amp;Tabela1[[#This Row],[Origem]]</f>
        <v>Mepivupipi-H188P659/RJ</v>
      </c>
      <c r="F912" s="88">
        <v>46002</v>
      </c>
      <c r="G912" s="88" t="str" cm="1">
        <f t="array" ref="G9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AND(F912&gt;= DATE(2026,1,1), F912&lt;= DATE(2028, 12, 31), J912&gt;50000), "Pendente e Caro", AND(F912&gt;= DATE(2026,1,1), F912&lt;= DATE(2028, 12, 31), J912&lt;=50000), "Pendente", F912&gt;= DATE(2029,1,1), "Não prioeitário")</f>
        <v>Urgente e Caro</v>
      </c>
      <c r="H912" s="89">
        <f>YEAR(Tabela1[[#This Row],[Data de Validade]])</f>
        <v>2025</v>
      </c>
      <c r="I912" s="89">
        <f>MONTH(Tabela1[[#This Row],[Data de Validade]])</f>
        <v>12</v>
      </c>
      <c r="J912" s="101">
        <v>113917</v>
      </c>
      <c r="K912" s="87" t="s">
        <v>9</v>
      </c>
      <c r="L912" s="108"/>
      <c r="M912" s="108"/>
      <c r="N912" s="108" t="str">
        <v>H188P659</v>
      </c>
      <c r="O912" s="108">
        <f t="shared" si="16"/>
        <v>1</v>
      </c>
      <c r="P912" s="108"/>
      <c r="Q912"/>
    </row>
    <row r="913" spans="1:17" x14ac:dyDescent="0.25">
      <c r="A913" s="89" t="s">
        <v>8084</v>
      </c>
      <c r="B913" s="87" t="s">
        <v>8085</v>
      </c>
      <c r="C913" s="87" t="s">
        <v>6</v>
      </c>
      <c r="D913" s="87" t="str">
        <f>VLOOKUP(Tabela1[[#This Row],[Origem]], 'Perguntas 1 a 24'!$J$28:$K$34, 2, 0)</f>
        <v>Nordeste</v>
      </c>
      <c r="E913" s="87" t="str">
        <f>Tabela1[[#This Row],[Descrição]]&amp;"-"&amp;Tabela1[[#This Row],[Código]]&amp;"/"&amp;Tabela1[[#This Row],[Origem]]</f>
        <v>Tepure-P673P938/MA</v>
      </c>
      <c r="F913" s="88">
        <v>46002</v>
      </c>
      <c r="G913" s="88" t="str" cm="1">
        <f t="array" ref="G9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AND(F913&gt;= DATE(2026,1,1), F913&lt;= DATE(2028, 12, 31), J913&gt;50000), "Pendente e Caro", AND(F913&gt;= DATE(2026,1,1), F913&lt;= DATE(2028, 12, 31), J913&lt;=50000), "Pendente", F913&gt;= DATE(2029,1,1), "Não prioeitário")</f>
        <v>Urgente e Caro</v>
      </c>
      <c r="H913" s="89">
        <f>YEAR(Tabela1[[#This Row],[Data de Validade]])</f>
        <v>2025</v>
      </c>
      <c r="I913" s="89">
        <f>MONTH(Tabela1[[#This Row],[Data de Validade]])</f>
        <v>12</v>
      </c>
      <c r="J913" s="101">
        <v>108949</v>
      </c>
      <c r="K913" s="87" t="s">
        <v>9</v>
      </c>
      <c r="L913" s="108"/>
      <c r="M913" s="108"/>
      <c r="N913" s="108" t="str">
        <v>P673P938</v>
      </c>
      <c r="O913" s="108">
        <f t="shared" si="16"/>
        <v>1</v>
      </c>
      <c r="P913" s="108"/>
      <c r="Q913"/>
    </row>
    <row r="914" spans="1:17" x14ac:dyDescent="0.25">
      <c r="A914" s="89" t="s">
        <v>4914</v>
      </c>
      <c r="B914" s="87" t="s">
        <v>4915</v>
      </c>
      <c r="C914" s="87" t="s">
        <v>10</v>
      </c>
      <c r="D914" s="87" t="str">
        <f>VLOOKUP(Tabela1[[#This Row],[Origem]], 'Perguntas 1 a 24'!$J$28:$K$34, 2, 0)</f>
        <v>Centro-Oeste</v>
      </c>
      <c r="E914" s="87" t="str">
        <f>Tabela1[[#This Row],[Descrição]]&amp;"-"&amp;Tabela1[[#This Row],[Código]]&amp;"/"&amp;Tabela1[[#This Row],[Origem]]</f>
        <v>Turena-H653H429/GO</v>
      </c>
      <c r="F914" s="88">
        <v>46003</v>
      </c>
      <c r="G914" s="88" t="str" cm="1">
        <f t="array" ref="G9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AND(F914&gt;= DATE(2026,1,1), F914&lt;= DATE(2028, 12, 31), J914&gt;50000), "Pendente e Caro", AND(F914&gt;= DATE(2026,1,1), F914&lt;= DATE(2028, 12, 31), J914&lt;=50000), "Pendente", F914&gt;= DATE(2029,1,1), "Não prioeitário")</f>
        <v>Urgente e Caro</v>
      </c>
      <c r="H914" s="89">
        <f>YEAR(Tabela1[[#This Row],[Data de Validade]])</f>
        <v>2025</v>
      </c>
      <c r="I914" s="89">
        <f>MONTH(Tabela1[[#This Row],[Data de Validade]])</f>
        <v>12</v>
      </c>
      <c r="J914" s="101">
        <v>54123</v>
      </c>
      <c r="K914" s="87" t="s">
        <v>7</v>
      </c>
      <c r="L914" s="108"/>
      <c r="M914" s="108"/>
      <c r="N914" s="108" t="str">
        <v>H653H429</v>
      </c>
      <c r="O914" s="108">
        <f t="shared" si="16"/>
        <v>1</v>
      </c>
      <c r="P914" s="108"/>
      <c r="Q914"/>
    </row>
    <row r="915" spans="1:17" x14ac:dyDescent="0.25">
      <c r="A915" s="89" t="s">
        <v>5120</v>
      </c>
      <c r="B915" s="87" t="s">
        <v>5121</v>
      </c>
      <c r="C915" s="87" t="s">
        <v>8</v>
      </c>
      <c r="D915" s="87" t="str">
        <f>VLOOKUP(Tabela1[[#This Row],[Origem]], 'Perguntas 1 a 24'!$J$28:$K$34, 2, 0)</f>
        <v>Nordeste</v>
      </c>
      <c r="E915" s="87" t="str">
        <f>Tabela1[[#This Row],[Descrição]]&amp;"-"&amp;Tabela1[[#This Row],[Código]]&amp;"/"&amp;Tabela1[[#This Row],[Origem]]</f>
        <v>Pimacecavu-P916H475/AL</v>
      </c>
      <c r="F915" s="88">
        <v>46003</v>
      </c>
      <c r="G915" s="88" t="str" cm="1">
        <f t="array" ref="G9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AND(F915&gt;= DATE(2026,1,1), F915&lt;= DATE(2028, 12, 31), J915&gt;50000), "Pendente e Caro", AND(F915&gt;= DATE(2026,1,1), F915&lt;= DATE(2028, 12, 31), J915&lt;=50000), "Pendente", F915&gt;= DATE(2029,1,1), "Não prioeitário")</f>
        <v>Urgente</v>
      </c>
      <c r="H915" s="89">
        <f>YEAR(Tabela1[[#This Row],[Data de Validade]])</f>
        <v>2025</v>
      </c>
      <c r="I915" s="89">
        <f>MONTH(Tabela1[[#This Row],[Data de Validade]])</f>
        <v>12</v>
      </c>
      <c r="J915" s="101">
        <v>41585</v>
      </c>
      <c r="K915" s="87" t="s">
        <v>14</v>
      </c>
      <c r="L915" s="108"/>
      <c r="M915" s="108"/>
      <c r="N915" s="108" t="str">
        <v>P916H475</v>
      </c>
      <c r="O915" s="108">
        <f t="shared" si="16"/>
        <v>1</v>
      </c>
      <c r="P915" s="108"/>
      <c r="Q915"/>
    </row>
    <row r="916" spans="1:17" x14ac:dyDescent="0.25">
      <c r="A916" s="89" t="s">
        <v>6122</v>
      </c>
      <c r="B916" s="87" t="s">
        <v>6123</v>
      </c>
      <c r="C916" s="87" t="s">
        <v>15</v>
      </c>
      <c r="D916" s="87" t="str">
        <f>VLOOKUP(Tabela1[[#This Row],[Origem]], 'Perguntas 1 a 24'!$J$28:$K$34, 2, 0)</f>
        <v>Sudeste</v>
      </c>
      <c r="E916" s="87" t="str">
        <f>Tabela1[[#This Row],[Descrição]]&amp;"-"&amp;Tabela1[[#This Row],[Código]]&amp;"/"&amp;Tabela1[[#This Row],[Origem]]</f>
        <v>Cutura-H227P789/ES</v>
      </c>
      <c r="F916" s="88">
        <v>46003</v>
      </c>
      <c r="G916" s="88" t="str" cm="1">
        <f t="array" ref="G9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AND(F916&gt;= DATE(2026,1,1), F916&lt;= DATE(2028, 12, 31), J916&gt;50000), "Pendente e Caro", AND(F916&gt;= DATE(2026,1,1), F916&lt;= DATE(2028, 12, 31), J916&lt;=50000), "Pendente", F916&gt;= DATE(2029,1,1), "Não prioeitário")</f>
        <v>Urgente</v>
      </c>
      <c r="H916" s="89">
        <f>YEAR(Tabela1[[#This Row],[Data de Validade]])</f>
        <v>2025</v>
      </c>
      <c r="I916" s="89">
        <f>MONTH(Tabela1[[#This Row],[Data de Validade]])</f>
        <v>12</v>
      </c>
      <c r="J916" s="101">
        <v>32011</v>
      </c>
      <c r="K916" s="87" t="s">
        <v>9</v>
      </c>
      <c r="L916" s="108"/>
      <c r="M916" s="108"/>
      <c r="N916" s="108" t="str">
        <v>H227P789</v>
      </c>
      <c r="O916" s="108">
        <f t="shared" si="16"/>
        <v>1</v>
      </c>
      <c r="P916" s="108"/>
      <c r="Q916"/>
    </row>
    <row r="917" spans="1:17" x14ac:dyDescent="0.25">
      <c r="A917" s="89" t="s">
        <v>10219</v>
      </c>
      <c r="B917" s="87" t="s">
        <v>10220</v>
      </c>
      <c r="C917" s="87" t="s">
        <v>8</v>
      </c>
      <c r="D917" s="87" t="str">
        <f>VLOOKUP(Tabela1[[#This Row],[Origem]], 'Perguntas 1 a 24'!$J$28:$K$34, 2, 0)</f>
        <v>Nordeste</v>
      </c>
      <c r="E917" s="87" t="str">
        <f>Tabela1[[#This Row],[Descrição]]&amp;"-"&amp;Tabela1[[#This Row],[Código]]&amp;"/"&amp;Tabela1[[#This Row],[Origem]]</f>
        <v>Nipelacodo-H264H325/AL</v>
      </c>
      <c r="F917" s="88">
        <v>46004</v>
      </c>
      <c r="G917" s="88" t="str" cm="1">
        <f t="array" ref="G9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AND(F917&gt;= DATE(2026,1,1), F917&lt;= DATE(2028, 12, 31), J917&gt;50000), "Pendente e Caro", AND(F917&gt;= DATE(2026,1,1), F917&lt;= DATE(2028, 12, 31), J917&lt;=50000), "Pendente", F917&gt;= DATE(2029,1,1), "Não prioeitário")</f>
        <v>Urgente</v>
      </c>
      <c r="H917" s="89">
        <f>YEAR(Tabela1[[#This Row],[Data de Validade]])</f>
        <v>2025</v>
      </c>
      <c r="I917" s="89">
        <f>MONTH(Tabela1[[#This Row],[Data de Validade]])</f>
        <v>12</v>
      </c>
      <c r="J917" s="101">
        <v>34542</v>
      </c>
      <c r="K917" s="87" t="s">
        <v>11</v>
      </c>
      <c r="L917" s="108"/>
      <c r="M917" s="108"/>
      <c r="N917" s="108" t="str">
        <v>H264H325</v>
      </c>
      <c r="O917" s="108">
        <f t="shared" si="16"/>
        <v>1</v>
      </c>
      <c r="P917" s="108"/>
      <c r="Q917"/>
    </row>
    <row r="918" spans="1:17" x14ac:dyDescent="0.25">
      <c r="A918" s="89" t="s">
        <v>5132</v>
      </c>
      <c r="B918" s="87" t="s">
        <v>5133</v>
      </c>
      <c r="C918" s="87" t="s">
        <v>12</v>
      </c>
      <c r="D918" s="87" t="str">
        <f>VLOOKUP(Tabela1[[#This Row],[Origem]], 'Perguntas 1 a 24'!$J$28:$K$34, 2, 0)</f>
        <v>Sudeste</v>
      </c>
      <c r="E918" s="87" t="str">
        <f>Tabela1[[#This Row],[Descrição]]&amp;"-"&amp;Tabela1[[#This Row],[Código]]&amp;"/"&amp;Tabela1[[#This Row],[Origem]]</f>
        <v>Pogamepepu-H274P191/RJ</v>
      </c>
      <c r="F918" s="88">
        <v>46004</v>
      </c>
      <c r="G918" s="88" t="str" cm="1">
        <f t="array" ref="G9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AND(F918&gt;= DATE(2026,1,1), F918&lt;= DATE(2028, 12, 31), J918&gt;50000), "Pendente e Caro", AND(F918&gt;= DATE(2026,1,1), F918&lt;= DATE(2028, 12, 31), J918&lt;=50000), "Pendente", F918&gt;= DATE(2029,1,1), "Não prioeitário")</f>
        <v>Urgente</v>
      </c>
      <c r="H918" s="89">
        <f>YEAR(Tabela1[[#This Row],[Data de Validade]])</f>
        <v>2025</v>
      </c>
      <c r="I918" s="89">
        <f>MONTH(Tabela1[[#This Row],[Data de Validade]])</f>
        <v>12</v>
      </c>
      <c r="J918" s="101">
        <v>24271</v>
      </c>
      <c r="K918" s="87" t="s">
        <v>7</v>
      </c>
      <c r="L918" s="108"/>
      <c r="M918" s="108"/>
      <c r="N918" s="108" t="str">
        <v>H274P191</v>
      </c>
      <c r="O918" s="108">
        <f t="shared" si="16"/>
        <v>1</v>
      </c>
      <c r="P918" s="108"/>
      <c r="Q918"/>
    </row>
    <row r="919" spans="1:17" x14ac:dyDescent="0.25">
      <c r="A919" s="89" t="s">
        <v>7012</v>
      </c>
      <c r="B919" s="87" t="s">
        <v>7013</v>
      </c>
      <c r="C919" s="87" t="s">
        <v>13</v>
      </c>
      <c r="D919" s="87" t="str">
        <f>VLOOKUP(Tabela1[[#This Row],[Origem]], 'Perguntas 1 a 24'!$J$28:$K$34, 2, 0)</f>
        <v>Sudeste</v>
      </c>
      <c r="E919" s="87" t="str">
        <f>Tabela1[[#This Row],[Descrição]]&amp;"-"&amp;Tabela1[[#This Row],[Código]]&amp;"/"&amp;Tabela1[[#This Row],[Origem]]</f>
        <v>Cotofitifi-P613H527/SP</v>
      </c>
      <c r="F919" s="88">
        <v>46005</v>
      </c>
      <c r="G919" s="88" t="str" cm="1">
        <f t="array" ref="G9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AND(F919&gt;= DATE(2026,1,1), F919&lt;= DATE(2028, 12, 31), J919&gt;50000), "Pendente e Caro", AND(F919&gt;= DATE(2026,1,1), F919&lt;= DATE(2028, 12, 31), J919&lt;=50000), "Pendente", F919&gt;= DATE(2029,1,1), "Não prioeitário")</f>
        <v>Urgente e Caro</v>
      </c>
      <c r="H919" s="89">
        <f>YEAR(Tabela1[[#This Row],[Data de Validade]])</f>
        <v>2025</v>
      </c>
      <c r="I919" s="89">
        <f>MONTH(Tabela1[[#This Row],[Data de Validade]])</f>
        <v>12</v>
      </c>
      <c r="J919" s="101">
        <v>56301</v>
      </c>
      <c r="K919" s="87" t="s">
        <v>9</v>
      </c>
      <c r="L919" s="108"/>
      <c r="M919" s="108"/>
      <c r="N919" s="108" t="str">
        <v>P613H527</v>
      </c>
      <c r="O919" s="108">
        <f t="shared" si="16"/>
        <v>1</v>
      </c>
      <c r="P919" s="108"/>
      <c r="Q919"/>
    </row>
    <row r="920" spans="1:17" x14ac:dyDescent="0.25">
      <c r="A920" s="89" t="s">
        <v>5812</v>
      </c>
      <c r="B920" s="87" t="s">
        <v>5813</v>
      </c>
      <c r="C920" s="87" t="s">
        <v>12</v>
      </c>
      <c r="D920" s="87" t="str">
        <f>VLOOKUP(Tabela1[[#This Row],[Origem]], 'Perguntas 1 a 24'!$J$28:$K$34, 2, 0)</f>
        <v>Sudeste</v>
      </c>
      <c r="E920" s="87" t="str">
        <f>Tabela1[[#This Row],[Descrição]]&amp;"-"&amp;Tabela1[[#This Row],[Código]]&amp;"/"&amp;Tabela1[[#This Row],[Origem]]</f>
        <v>Penadature-P734P511/RJ</v>
      </c>
      <c r="F920" s="88">
        <v>46006</v>
      </c>
      <c r="G920" s="88" t="str" cm="1">
        <f t="array" ref="G9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AND(F920&gt;= DATE(2026,1,1), F920&lt;= DATE(2028, 12, 31), J920&gt;50000), "Pendente e Caro", AND(F920&gt;= DATE(2026,1,1), F920&lt;= DATE(2028, 12, 31), J920&lt;=50000), "Pendente", F920&gt;= DATE(2029,1,1), "Não prioeitário")</f>
        <v>Urgente</v>
      </c>
      <c r="H920" s="89">
        <f>YEAR(Tabela1[[#This Row],[Data de Validade]])</f>
        <v>2025</v>
      </c>
      <c r="I920" s="89">
        <f>MONTH(Tabela1[[#This Row],[Data de Validade]])</f>
        <v>12</v>
      </c>
      <c r="J920" s="101">
        <v>24373</v>
      </c>
      <c r="K920" s="87" t="s">
        <v>14</v>
      </c>
      <c r="L920" s="108"/>
      <c r="M920" s="108"/>
      <c r="N920" s="108" t="str">
        <v>P734P511</v>
      </c>
      <c r="O920" s="108">
        <f t="shared" si="16"/>
        <v>1</v>
      </c>
      <c r="P920" s="108"/>
      <c r="Q920"/>
    </row>
    <row r="921" spans="1:17" x14ac:dyDescent="0.25">
      <c r="A921" s="89" t="s">
        <v>10965</v>
      </c>
      <c r="B921" s="87" t="s">
        <v>10966</v>
      </c>
      <c r="C921" s="87" t="s">
        <v>15</v>
      </c>
      <c r="D921" s="87" t="str">
        <f>VLOOKUP(Tabela1[[#This Row],[Origem]], 'Perguntas 1 a 24'!$J$28:$K$34, 2, 0)</f>
        <v>Sudeste</v>
      </c>
      <c r="E921" s="87" t="str">
        <f>Tabela1[[#This Row],[Descrição]]&amp;"-"&amp;Tabela1[[#This Row],[Código]]&amp;"/"&amp;Tabela1[[#This Row],[Origem]]</f>
        <v>Ruteme-P253P579/ES</v>
      </c>
      <c r="F921" s="88">
        <v>46007</v>
      </c>
      <c r="G921" s="88" t="str" cm="1">
        <f t="array" ref="G9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AND(F921&gt;= DATE(2026,1,1), F921&lt;= DATE(2028, 12, 31), J921&gt;50000), "Pendente e Caro", AND(F921&gt;= DATE(2026,1,1), F921&lt;= DATE(2028, 12, 31), J921&lt;=50000), "Pendente", F921&gt;= DATE(2029,1,1), "Não prioeitário")</f>
        <v>Urgente e Caro</v>
      </c>
      <c r="H921" s="89">
        <f>YEAR(Tabela1[[#This Row],[Data de Validade]])</f>
        <v>2025</v>
      </c>
      <c r="I921" s="89">
        <f>MONTH(Tabela1[[#This Row],[Data de Validade]])</f>
        <v>12</v>
      </c>
      <c r="J921" s="101">
        <v>112783</v>
      </c>
      <c r="K921" s="87" t="s">
        <v>7</v>
      </c>
      <c r="L921" s="108"/>
      <c r="M921" s="108"/>
      <c r="N921" s="108" t="str">
        <v>P253P579</v>
      </c>
      <c r="O921" s="108">
        <f t="shared" si="16"/>
        <v>1</v>
      </c>
      <c r="P921" s="108"/>
      <c r="Q921"/>
    </row>
    <row r="922" spans="1:17" x14ac:dyDescent="0.25">
      <c r="A922" s="89" t="s">
        <v>9543</v>
      </c>
      <c r="B922" s="87" t="s">
        <v>9544</v>
      </c>
      <c r="C922" s="87" t="s">
        <v>10</v>
      </c>
      <c r="D922" s="87" t="str">
        <f>VLOOKUP(Tabela1[[#This Row],[Origem]], 'Perguntas 1 a 24'!$J$28:$K$34, 2, 0)</f>
        <v>Centro-Oeste</v>
      </c>
      <c r="E922" s="87" t="str">
        <f>Tabela1[[#This Row],[Descrição]]&amp;"-"&amp;Tabela1[[#This Row],[Código]]&amp;"/"&amp;Tabela1[[#This Row],[Origem]]</f>
        <v>Focefi-P663P647/GO</v>
      </c>
      <c r="F922" s="88">
        <v>46008</v>
      </c>
      <c r="G922" s="88" t="str" cm="1">
        <f t="array" ref="G9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AND(F922&gt;= DATE(2026,1,1), F922&lt;= DATE(2028, 12, 31), J922&gt;50000), "Pendente e Caro", AND(F922&gt;= DATE(2026,1,1), F922&lt;= DATE(2028, 12, 31), J922&lt;=50000), "Pendente", F922&gt;= DATE(2029,1,1), "Não prioeitário")</f>
        <v>Urgente e Caro</v>
      </c>
      <c r="H922" s="89">
        <f>YEAR(Tabela1[[#This Row],[Data de Validade]])</f>
        <v>2025</v>
      </c>
      <c r="I922" s="89">
        <f>MONTH(Tabela1[[#This Row],[Data de Validade]])</f>
        <v>12</v>
      </c>
      <c r="J922" s="101">
        <v>86698</v>
      </c>
      <c r="K922" s="87" t="s">
        <v>14</v>
      </c>
      <c r="L922" s="108"/>
      <c r="M922" s="108"/>
      <c r="N922" s="108" t="str">
        <v>P663P647</v>
      </c>
      <c r="O922" s="108">
        <f t="shared" si="16"/>
        <v>1</v>
      </c>
      <c r="P922" s="108"/>
      <c r="Q922"/>
    </row>
    <row r="923" spans="1:17" x14ac:dyDescent="0.25">
      <c r="A923" s="89" t="s">
        <v>9547</v>
      </c>
      <c r="B923" s="87" t="s">
        <v>9548</v>
      </c>
      <c r="C923" s="87" t="s">
        <v>12</v>
      </c>
      <c r="D923" s="87" t="str">
        <f>VLOOKUP(Tabela1[[#This Row],[Origem]], 'Perguntas 1 a 24'!$J$28:$K$34, 2, 0)</f>
        <v>Sudeste</v>
      </c>
      <c r="E923" s="87" t="str">
        <f>Tabela1[[#This Row],[Descrição]]&amp;"-"&amp;Tabela1[[#This Row],[Código]]&amp;"/"&amp;Tabela1[[#This Row],[Origem]]</f>
        <v>Fofovipapa-P339H465/RJ</v>
      </c>
      <c r="F923" s="88">
        <v>46009</v>
      </c>
      <c r="G923" s="88" t="str" cm="1">
        <f t="array" ref="G9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AND(F923&gt;= DATE(2026,1,1), F923&lt;= DATE(2028, 12, 31), J923&gt;50000), "Pendente e Caro", AND(F923&gt;= DATE(2026,1,1), F923&lt;= DATE(2028, 12, 31), J923&lt;=50000), "Pendente", F923&gt;= DATE(2029,1,1), "Não prioeitário")</f>
        <v>Urgente e Caro</v>
      </c>
      <c r="H923" s="89">
        <f>YEAR(Tabela1[[#This Row],[Data de Validade]])</f>
        <v>2025</v>
      </c>
      <c r="I923" s="89">
        <f>MONTH(Tabela1[[#This Row],[Data de Validade]])</f>
        <v>12</v>
      </c>
      <c r="J923" s="101">
        <v>97222</v>
      </c>
      <c r="K923" s="87" t="s">
        <v>9</v>
      </c>
      <c r="L923" s="108"/>
      <c r="M923" s="108"/>
      <c r="N923" s="108" t="str">
        <v>P339H465</v>
      </c>
      <c r="O923" s="108">
        <f t="shared" si="16"/>
        <v>1</v>
      </c>
      <c r="P923" s="108"/>
      <c r="Q923"/>
    </row>
    <row r="924" spans="1:17" x14ac:dyDescent="0.25">
      <c r="A924" s="89" t="s">
        <v>5714</v>
      </c>
      <c r="B924" s="87" t="s">
        <v>5715</v>
      </c>
      <c r="C924" s="87" t="s">
        <v>16</v>
      </c>
      <c r="D924" s="87" t="str">
        <f>VLOOKUP(Tabela1[[#This Row],[Origem]], 'Perguntas 1 a 24'!$J$28:$K$34, 2, 0)</f>
        <v>Sudeste</v>
      </c>
      <c r="E924" s="87" t="str">
        <f>Tabela1[[#This Row],[Descrição]]&amp;"-"&amp;Tabela1[[#This Row],[Código]]&amp;"/"&amp;Tabela1[[#This Row],[Origem]]</f>
        <v>Cucipanapi-H378H136/MG</v>
      </c>
      <c r="F924" s="88">
        <v>46010</v>
      </c>
      <c r="G924" s="88" t="str" cm="1">
        <f t="array" ref="G9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AND(F924&gt;= DATE(2026,1,1), F924&lt;= DATE(2028, 12, 31), J924&gt;50000), "Pendente e Caro", AND(F924&gt;= DATE(2026,1,1), F924&lt;= DATE(2028, 12, 31), J924&lt;=50000), "Pendente", F924&gt;= DATE(2029,1,1), "Não prioeitário")</f>
        <v>Urgente</v>
      </c>
      <c r="H924" s="89">
        <f>YEAR(Tabela1[[#This Row],[Data de Validade]])</f>
        <v>2025</v>
      </c>
      <c r="I924" s="89">
        <f>MONTH(Tabela1[[#This Row],[Data de Validade]])</f>
        <v>12</v>
      </c>
      <c r="J924" s="101">
        <v>46468</v>
      </c>
      <c r="K924" s="87" t="s">
        <v>7</v>
      </c>
      <c r="L924" s="108"/>
      <c r="M924" s="108"/>
      <c r="N924" s="108" t="str">
        <v>H378H136</v>
      </c>
      <c r="O924" s="108">
        <f t="shared" si="16"/>
        <v>1</v>
      </c>
      <c r="P924" s="108"/>
      <c r="Q924"/>
    </row>
    <row r="925" spans="1:17" x14ac:dyDescent="0.25">
      <c r="A925" s="89" t="s">
        <v>6042</v>
      </c>
      <c r="B925" s="87" t="s">
        <v>6043</v>
      </c>
      <c r="C925" s="87" t="s">
        <v>16</v>
      </c>
      <c r="D925" s="87" t="str">
        <f>VLOOKUP(Tabela1[[#This Row],[Origem]], 'Perguntas 1 a 24'!$J$28:$K$34, 2, 0)</f>
        <v>Sudeste</v>
      </c>
      <c r="E925" s="87" t="str">
        <f>Tabela1[[#This Row],[Descrição]]&amp;"-"&amp;Tabela1[[#This Row],[Código]]&amp;"/"&amp;Tabela1[[#This Row],[Origem]]</f>
        <v>Munuruleti-H416H396/MG</v>
      </c>
      <c r="F925" s="88">
        <v>46011</v>
      </c>
      <c r="G925" s="88" t="str" cm="1">
        <f t="array" ref="G9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AND(F925&gt;= DATE(2026,1,1), F925&lt;= DATE(2028, 12, 31), J925&gt;50000), "Pendente e Caro", AND(F925&gt;= DATE(2026,1,1), F925&lt;= DATE(2028, 12, 31), J925&lt;=50000), "Pendente", F925&gt;= DATE(2029,1,1), "Não prioeitário")</f>
        <v>Urgente e Caro</v>
      </c>
      <c r="H925" s="89">
        <f>YEAR(Tabela1[[#This Row],[Data de Validade]])</f>
        <v>2025</v>
      </c>
      <c r="I925" s="89">
        <f>MONTH(Tabela1[[#This Row],[Data de Validade]])</f>
        <v>12</v>
      </c>
      <c r="J925" s="101">
        <v>104078</v>
      </c>
      <c r="K925" s="87" t="s">
        <v>9</v>
      </c>
      <c r="L925" s="108"/>
      <c r="M925" s="108"/>
      <c r="N925" s="108" t="str">
        <v>H416H396</v>
      </c>
      <c r="O925" s="108">
        <f t="shared" si="16"/>
        <v>1</v>
      </c>
      <c r="P925" s="108"/>
      <c r="Q925"/>
    </row>
    <row r="926" spans="1:17" x14ac:dyDescent="0.25">
      <c r="A926" s="89" t="s">
        <v>7324</v>
      </c>
      <c r="B926" s="87" t="s">
        <v>7325</v>
      </c>
      <c r="C926" s="87" t="s">
        <v>16</v>
      </c>
      <c r="D926" s="87" t="str">
        <f>VLOOKUP(Tabela1[[#This Row],[Origem]], 'Perguntas 1 a 24'!$J$28:$K$34, 2, 0)</f>
        <v>Sudeste</v>
      </c>
      <c r="E926" s="87" t="str">
        <f>Tabela1[[#This Row],[Descrição]]&amp;"-"&amp;Tabela1[[#This Row],[Código]]&amp;"/"&amp;Tabela1[[#This Row],[Origem]]</f>
        <v>Meterucuro-P441P742/MG</v>
      </c>
      <c r="F926" s="88">
        <v>46011</v>
      </c>
      <c r="G926" s="88" t="str" cm="1">
        <f t="array" ref="G9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AND(F926&gt;= DATE(2026,1,1), F926&lt;= DATE(2028, 12, 31), J926&gt;50000), "Pendente e Caro", AND(F926&gt;= DATE(2026,1,1), F926&lt;= DATE(2028, 12, 31), J926&lt;=50000), "Pendente", F926&gt;= DATE(2029,1,1), "Não prioeitário")</f>
        <v>Urgente e Caro</v>
      </c>
      <c r="H926" s="89">
        <f>YEAR(Tabela1[[#This Row],[Data de Validade]])</f>
        <v>2025</v>
      </c>
      <c r="I926" s="89">
        <f>MONTH(Tabela1[[#This Row],[Data de Validade]])</f>
        <v>12</v>
      </c>
      <c r="J926" s="101">
        <v>93788</v>
      </c>
      <c r="K926" s="87" t="s">
        <v>14</v>
      </c>
      <c r="L926" s="108"/>
      <c r="M926" s="108"/>
      <c r="N926" s="108" t="str">
        <v>P441P742</v>
      </c>
      <c r="O926" s="108">
        <f t="shared" si="16"/>
        <v>1</v>
      </c>
      <c r="P926" s="108"/>
      <c r="Q926"/>
    </row>
    <row r="927" spans="1:17" x14ac:dyDescent="0.25">
      <c r="A927" s="89" t="s">
        <v>4942</v>
      </c>
      <c r="B927" s="87" t="s">
        <v>4943</v>
      </c>
      <c r="C927" s="87" t="s">
        <v>16</v>
      </c>
      <c r="D927" s="87" t="str">
        <f>VLOOKUP(Tabela1[[#This Row],[Origem]], 'Perguntas 1 a 24'!$J$28:$K$34, 2, 0)</f>
        <v>Sudeste</v>
      </c>
      <c r="E927" s="87" t="str">
        <f>Tabela1[[#This Row],[Descrição]]&amp;"-"&amp;Tabela1[[#This Row],[Código]]&amp;"/"&amp;Tabela1[[#This Row],[Origem]]</f>
        <v>Tofife-H835H175/MG</v>
      </c>
      <c r="F927" s="88">
        <v>46011</v>
      </c>
      <c r="G927" s="88" t="str" cm="1">
        <f t="array" ref="G9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AND(F927&gt;= DATE(2026,1,1), F927&lt;= DATE(2028, 12, 31), J927&gt;50000), "Pendente e Caro", AND(F927&gt;= DATE(2026,1,1), F927&lt;= DATE(2028, 12, 31), J927&lt;=50000), "Pendente", F927&gt;= DATE(2029,1,1), "Não prioeitário")</f>
        <v>Urgente</v>
      </c>
      <c r="H927" s="89">
        <f>YEAR(Tabela1[[#This Row],[Data de Validade]])</f>
        <v>2025</v>
      </c>
      <c r="I927" s="89">
        <f>MONTH(Tabela1[[#This Row],[Data de Validade]])</f>
        <v>12</v>
      </c>
      <c r="J927" s="101">
        <v>44376</v>
      </c>
      <c r="K927" s="87" t="s">
        <v>11</v>
      </c>
      <c r="L927" s="108"/>
      <c r="M927" s="108"/>
      <c r="N927" s="108" t="str">
        <v>H835H175</v>
      </c>
      <c r="O927" s="108">
        <f t="shared" si="16"/>
        <v>1</v>
      </c>
      <c r="P927" s="108"/>
      <c r="Q927"/>
    </row>
    <row r="928" spans="1:17" x14ac:dyDescent="0.25">
      <c r="A928" s="89" t="s">
        <v>6202</v>
      </c>
      <c r="B928" s="87" t="s">
        <v>6203</v>
      </c>
      <c r="C928" s="87" t="s">
        <v>6</v>
      </c>
      <c r="D928" s="87" t="str">
        <f>VLOOKUP(Tabela1[[#This Row],[Origem]], 'Perguntas 1 a 24'!$J$28:$K$34, 2, 0)</f>
        <v>Nordeste</v>
      </c>
      <c r="E928" s="87" t="str">
        <f>Tabela1[[#This Row],[Descrição]]&amp;"-"&amp;Tabela1[[#This Row],[Código]]&amp;"/"&amp;Tabela1[[#This Row],[Origem]]</f>
        <v>Ricipo-P791P945/MA</v>
      </c>
      <c r="F928" s="88">
        <v>46012</v>
      </c>
      <c r="G928" s="88" t="str" cm="1">
        <f t="array" ref="G9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AND(F928&gt;= DATE(2026,1,1), F928&lt;= DATE(2028, 12, 31), J928&gt;50000), "Pendente e Caro", AND(F928&gt;= DATE(2026,1,1), F928&lt;= DATE(2028, 12, 31), J928&lt;=50000), "Pendente", F928&gt;= DATE(2029,1,1), "Não prioeitário")</f>
        <v>Urgente e Caro</v>
      </c>
      <c r="H928" s="89">
        <f>YEAR(Tabela1[[#This Row],[Data de Validade]])</f>
        <v>2025</v>
      </c>
      <c r="I928" s="89">
        <f>MONTH(Tabela1[[#This Row],[Data de Validade]])</f>
        <v>12</v>
      </c>
      <c r="J928" s="101">
        <v>67383</v>
      </c>
      <c r="K928" s="87" t="s">
        <v>14</v>
      </c>
      <c r="L928" s="108"/>
      <c r="M928" s="108"/>
      <c r="N928" s="108" t="str">
        <v>P791P945</v>
      </c>
      <c r="O928" s="108">
        <f t="shared" si="16"/>
        <v>1</v>
      </c>
      <c r="P928" s="108"/>
      <c r="Q928"/>
    </row>
    <row r="929" spans="1:17" x14ac:dyDescent="0.25">
      <c r="A929" s="89" t="s">
        <v>7936</v>
      </c>
      <c r="B929" s="87" t="s">
        <v>7937</v>
      </c>
      <c r="C929" s="87" t="s">
        <v>15</v>
      </c>
      <c r="D929" s="87" t="str">
        <f>VLOOKUP(Tabela1[[#This Row],[Origem]], 'Perguntas 1 a 24'!$J$28:$K$34, 2, 0)</f>
        <v>Sudeste</v>
      </c>
      <c r="E929" s="87" t="str">
        <f>Tabela1[[#This Row],[Descrição]]&amp;"-"&amp;Tabela1[[#This Row],[Código]]&amp;"/"&amp;Tabela1[[#This Row],[Origem]]</f>
        <v>Vupodadu-H914P455/ES</v>
      </c>
      <c r="F929" s="88">
        <v>46013</v>
      </c>
      <c r="G929" s="88" t="str" cm="1">
        <f t="array" ref="G9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AND(F929&gt;= DATE(2026,1,1), F929&lt;= DATE(2028, 12, 31), J929&gt;50000), "Pendente e Caro", AND(F929&gt;= DATE(2026,1,1), F929&lt;= DATE(2028, 12, 31), J929&lt;=50000), "Pendente", F929&gt;= DATE(2029,1,1), "Não prioeitário")</f>
        <v>Urgente e Caro</v>
      </c>
      <c r="H929" s="89">
        <f>YEAR(Tabela1[[#This Row],[Data de Validade]])</f>
        <v>2025</v>
      </c>
      <c r="I929" s="89">
        <f>MONTH(Tabela1[[#This Row],[Data de Validade]])</f>
        <v>12</v>
      </c>
      <c r="J929" s="101">
        <v>100620</v>
      </c>
      <c r="K929" s="87" t="s">
        <v>9</v>
      </c>
      <c r="L929" s="108"/>
      <c r="M929" s="108"/>
      <c r="N929" s="108" t="str">
        <v>H914P455</v>
      </c>
      <c r="O929" s="108">
        <f t="shared" si="16"/>
        <v>1</v>
      </c>
      <c r="P929" s="108"/>
      <c r="Q929"/>
    </row>
    <row r="930" spans="1:17" x14ac:dyDescent="0.25">
      <c r="A930" s="89" t="s">
        <v>9641</v>
      </c>
      <c r="B930" s="87" t="s">
        <v>9642</v>
      </c>
      <c r="C930" s="87" t="s">
        <v>15</v>
      </c>
      <c r="D930" s="87" t="str">
        <f>VLOOKUP(Tabela1[[#This Row],[Origem]], 'Perguntas 1 a 24'!$J$28:$K$34, 2, 0)</f>
        <v>Sudeste</v>
      </c>
      <c r="E930" s="87" t="str">
        <f>Tabela1[[#This Row],[Descrição]]&amp;"-"&amp;Tabela1[[#This Row],[Código]]&amp;"/"&amp;Tabela1[[#This Row],[Origem]]</f>
        <v>Lepemaruti-P989P492/ES</v>
      </c>
      <c r="F930" s="88">
        <v>46013</v>
      </c>
      <c r="G930" s="88" t="str" cm="1">
        <f t="array" ref="G9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AND(F930&gt;= DATE(2026,1,1), F930&lt;= DATE(2028, 12, 31), J930&gt;50000), "Pendente e Caro", AND(F930&gt;= DATE(2026,1,1), F930&lt;= DATE(2028, 12, 31), J930&lt;=50000), "Pendente", F930&gt;= DATE(2029,1,1), "Não prioeitário")</f>
        <v>Urgente e Caro</v>
      </c>
      <c r="H930" s="89">
        <f>YEAR(Tabela1[[#This Row],[Data de Validade]])</f>
        <v>2025</v>
      </c>
      <c r="I930" s="89">
        <f>MONTH(Tabela1[[#This Row],[Data de Validade]])</f>
        <v>12</v>
      </c>
      <c r="J930" s="101">
        <v>100070</v>
      </c>
      <c r="K930" s="87" t="s">
        <v>7</v>
      </c>
      <c r="L930" s="108"/>
      <c r="M930" s="108"/>
      <c r="N930" s="108" t="str">
        <v>P989P492</v>
      </c>
      <c r="O930" s="108">
        <f t="shared" si="16"/>
        <v>1</v>
      </c>
      <c r="P930" s="108"/>
      <c r="Q930"/>
    </row>
    <row r="931" spans="1:17" x14ac:dyDescent="0.25">
      <c r="A931" s="89" t="s">
        <v>10351</v>
      </c>
      <c r="B931" s="87" t="s">
        <v>10352</v>
      </c>
      <c r="C931" s="87" t="s">
        <v>6</v>
      </c>
      <c r="D931" s="87" t="str">
        <f>VLOOKUP(Tabela1[[#This Row],[Origem]], 'Perguntas 1 a 24'!$J$28:$K$34, 2, 0)</f>
        <v>Nordeste</v>
      </c>
      <c r="E931" s="87" t="str">
        <f>Tabela1[[#This Row],[Descrição]]&amp;"-"&amp;Tabela1[[#This Row],[Código]]&amp;"/"&amp;Tabela1[[#This Row],[Origem]]</f>
        <v>Litimupupe-H758P165/MA</v>
      </c>
      <c r="F931" s="88">
        <v>46014</v>
      </c>
      <c r="G931" s="88" t="str" cm="1">
        <f t="array" ref="G9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AND(F931&gt;= DATE(2026,1,1), F931&lt;= DATE(2028, 12, 31), J931&gt;50000), "Pendente e Caro", AND(F931&gt;= DATE(2026,1,1), F931&lt;= DATE(2028, 12, 31), J931&lt;=50000), "Pendente", F931&gt;= DATE(2029,1,1), "Não prioeitário")</f>
        <v>Urgente e Caro</v>
      </c>
      <c r="H931" s="89">
        <f>YEAR(Tabela1[[#This Row],[Data de Validade]])</f>
        <v>2025</v>
      </c>
      <c r="I931" s="89">
        <f>MONTH(Tabela1[[#This Row],[Data de Validade]])</f>
        <v>12</v>
      </c>
      <c r="J931" s="101">
        <v>96181</v>
      </c>
      <c r="K931" s="87" t="s">
        <v>9</v>
      </c>
      <c r="L931" s="108"/>
      <c r="M931" s="108"/>
      <c r="N931" s="108" t="str">
        <v>H758P165</v>
      </c>
      <c r="O931" s="108">
        <f t="shared" si="16"/>
        <v>1</v>
      </c>
      <c r="P931" s="108"/>
      <c r="Q931"/>
    </row>
    <row r="932" spans="1:17" x14ac:dyDescent="0.25">
      <c r="A932" s="89" t="s">
        <v>10489</v>
      </c>
      <c r="B932" s="87" t="s">
        <v>10490</v>
      </c>
      <c r="C932" s="87" t="s">
        <v>8</v>
      </c>
      <c r="D932" s="87" t="str">
        <f>VLOOKUP(Tabela1[[#This Row],[Origem]], 'Perguntas 1 a 24'!$J$28:$K$34, 2, 0)</f>
        <v>Nordeste</v>
      </c>
      <c r="E932" s="87" t="str">
        <f>Tabela1[[#This Row],[Descrição]]&amp;"-"&amp;Tabela1[[#This Row],[Código]]&amp;"/"&amp;Tabela1[[#This Row],[Origem]]</f>
        <v>Guripevi-H689P329/AL</v>
      </c>
      <c r="F932" s="88">
        <v>46014</v>
      </c>
      <c r="G932" s="88" t="str" cm="1">
        <f t="array" ref="G9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AND(F932&gt;= DATE(2026,1,1), F932&lt;= DATE(2028, 12, 31), J932&gt;50000), "Pendente e Caro", AND(F932&gt;= DATE(2026,1,1), F932&lt;= DATE(2028, 12, 31), J932&lt;=50000), "Pendente", F932&gt;= DATE(2029,1,1), "Não prioeitário")</f>
        <v>Urgente e Caro</v>
      </c>
      <c r="H932" s="89">
        <f>YEAR(Tabela1[[#This Row],[Data de Validade]])</f>
        <v>2025</v>
      </c>
      <c r="I932" s="89">
        <f>MONTH(Tabela1[[#This Row],[Data de Validade]])</f>
        <v>12</v>
      </c>
      <c r="J932" s="101">
        <v>79243</v>
      </c>
      <c r="K932" s="87" t="s">
        <v>14</v>
      </c>
      <c r="L932" s="108"/>
      <c r="M932" s="108"/>
      <c r="N932" s="108" t="str">
        <v>H689P329</v>
      </c>
      <c r="O932" s="108">
        <f t="shared" si="16"/>
        <v>1</v>
      </c>
      <c r="P932" s="108"/>
      <c r="Q932"/>
    </row>
    <row r="933" spans="1:17" x14ac:dyDescent="0.25">
      <c r="A933" s="89" t="s">
        <v>9397</v>
      </c>
      <c r="B933" s="87" t="s">
        <v>9398</v>
      </c>
      <c r="C933" s="87" t="s">
        <v>16</v>
      </c>
      <c r="D933" s="87" t="str">
        <f>VLOOKUP(Tabela1[[#This Row],[Origem]], 'Perguntas 1 a 24'!$J$28:$K$34, 2, 0)</f>
        <v>Sudeste</v>
      </c>
      <c r="E933" s="87" t="str">
        <f>Tabela1[[#This Row],[Descrição]]&amp;"-"&amp;Tabela1[[#This Row],[Código]]&amp;"/"&amp;Tabela1[[#This Row],[Origem]]</f>
        <v>Mugofu-P666H887/MG</v>
      </c>
      <c r="F933" s="88">
        <v>46014</v>
      </c>
      <c r="G933" s="88" t="str" cm="1">
        <f t="array" ref="G9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AND(F933&gt;= DATE(2026,1,1), F933&lt;= DATE(2028, 12, 31), J933&gt;50000), "Pendente e Caro", AND(F933&gt;= DATE(2026,1,1), F933&lt;= DATE(2028, 12, 31), J933&lt;=50000), "Pendente", F933&gt;= DATE(2029,1,1), "Não prioeitário")</f>
        <v>Urgente e Caro</v>
      </c>
      <c r="H933" s="89">
        <f>YEAR(Tabela1[[#This Row],[Data de Validade]])</f>
        <v>2025</v>
      </c>
      <c r="I933" s="89">
        <f>MONTH(Tabela1[[#This Row],[Data de Validade]])</f>
        <v>12</v>
      </c>
      <c r="J933" s="101">
        <v>67640</v>
      </c>
      <c r="K933" s="87" t="s">
        <v>11</v>
      </c>
      <c r="L933" s="108"/>
      <c r="M933" s="108"/>
      <c r="N933" s="108" t="str">
        <v>P666H887</v>
      </c>
      <c r="O933" s="108">
        <f t="shared" si="16"/>
        <v>1</v>
      </c>
      <c r="P933" s="108"/>
      <c r="Q933"/>
    </row>
    <row r="934" spans="1:17" x14ac:dyDescent="0.25">
      <c r="A934" s="89" t="s">
        <v>8815</v>
      </c>
      <c r="B934" s="87" t="s">
        <v>8816</v>
      </c>
      <c r="C934" s="87" t="s">
        <v>15</v>
      </c>
      <c r="D934" s="87" t="str">
        <f>VLOOKUP(Tabela1[[#This Row],[Origem]], 'Perguntas 1 a 24'!$J$28:$K$34, 2, 0)</f>
        <v>Sudeste</v>
      </c>
      <c r="E934" s="87" t="str">
        <f>Tabela1[[#This Row],[Descrição]]&amp;"-"&amp;Tabela1[[#This Row],[Código]]&amp;"/"&amp;Tabela1[[#This Row],[Origem]]</f>
        <v>Mumuvopu-P443P842/ES</v>
      </c>
      <c r="F934" s="88">
        <v>46015</v>
      </c>
      <c r="G934" s="88" t="str" cm="1">
        <f t="array" ref="G9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AND(F934&gt;= DATE(2026,1,1), F934&lt;= DATE(2028, 12, 31), J934&gt;50000), "Pendente e Caro", AND(F934&gt;= DATE(2026,1,1), F934&lt;= DATE(2028, 12, 31), J934&lt;=50000), "Pendente", F934&gt;= DATE(2029,1,1), "Não prioeitário")</f>
        <v>Urgente</v>
      </c>
      <c r="H934" s="89">
        <f>YEAR(Tabela1[[#This Row],[Data de Validade]])</f>
        <v>2025</v>
      </c>
      <c r="I934" s="89">
        <f>MONTH(Tabela1[[#This Row],[Data de Validade]])</f>
        <v>12</v>
      </c>
      <c r="J934" s="101">
        <v>29707</v>
      </c>
      <c r="K934" s="87" t="s">
        <v>9</v>
      </c>
      <c r="L934" s="108"/>
      <c r="M934" s="108"/>
      <c r="N934" s="108" t="str">
        <v>P443P842</v>
      </c>
      <c r="O934" s="108">
        <f t="shared" si="16"/>
        <v>1</v>
      </c>
      <c r="P934" s="108"/>
      <c r="Q934"/>
    </row>
    <row r="935" spans="1:17" x14ac:dyDescent="0.25">
      <c r="A935" s="89" t="s">
        <v>9709</v>
      </c>
      <c r="B935" s="87" t="s">
        <v>9710</v>
      </c>
      <c r="C935" s="87" t="s">
        <v>8</v>
      </c>
      <c r="D935" s="87" t="str">
        <f>VLOOKUP(Tabela1[[#This Row],[Origem]], 'Perguntas 1 a 24'!$J$28:$K$34, 2, 0)</f>
        <v>Nordeste</v>
      </c>
      <c r="E935" s="87" t="str">
        <f>Tabela1[[#This Row],[Descrição]]&amp;"-"&amp;Tabela1[[#This Row],[Código]]&amp;"/"&amp;Tabela1[[#This Row],[Origem]]</f>
        <v>Funafiteto-P196H441/AL</v>
      </c>
      <c r="F935" s="88">
        <v>46016</v>
      </c>
      <c r="G935" s="88" t="str" cm="1">
        <f t="array" ref="G9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AND(F935&gt;= DATE(2026,1,1), F935&lt;= DATE(2028, 12, 31), J935&gt;50000), "Pendente e Caro", AND(F935&gt;= DATE(2026,1,1), F935&lt;= DATE(2028, 12, 31), J935&lt;=50000), "Pendente", F935&gt;= DATE(2029,1,1), "Não prioeitário")</f>
        <v>Urgente e Caro</v>
      </c>
      <c r="H935" s="89">
        <f>YEAR(Tabela1[[#This Row],[Data de Validade]])</f>
        <v>2025</v>
      </c>
      <c r="I935" s="89">
        <f>MONTH(Tabela1[[#This Row],[Data de Validade]])</f>
        <v>12</v>
      </c>
      <c r="J935" s="101">
        <v>99423</v>
      </c>
      <c r="K935" s="87" t="s">
        <v>7</v>
      </c>
      <c r="L935" s="108"/>
      <c r="M935" s="108"/>
      <c r="N935" s="108" t="str">
        <v>P196H441</v>
      </c>
      <c r="O935" s="108">
        <f t="shared" si="16"/>
        <v>1</v>
      </c>
      <c r="P935" s="108"/>
      <c r="Q935"/>
    </row>
    <row r="936" spans="1:17" x14ac:dyDescent="0.25">
      <c r="A936" s="89" t="s">
        <v>10843</v>
      </c>
      <c r="B936" s="87" t="s">
        <v>10844</v>
      </c>
      <c r="C936" s="87" t="s">
        <v>16</v>
      </c>
      <c r="D936" s="87" t="str">
        <f>VLOOKUP(Tabela1[[#This Row],[Origem]], 'Perguntas 1 a 24'!$J$28:$K$34, 2, 0)</f>
        <v>Sudeste</v>
      </c>
      <c r="E936" s="87" t="str">
        <f>Tabela1[[#This Row],[Descrição]]&amp;"-"&amp;Tabela1[[#This Row],[Código]]&amp;"/"&amp;Tabela1[[#This Row],[Origem]]</f>
        <v>Lefupeturo-H597P272/MG</v>
      </c>
      <c r="F936" s="88">
        <v>46016</v>
      </c>
      <c r="G936" s="88" t="str" cm="1">
        <f t="array" ref="G9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AND(F936&gt;= DATE(2026,1,1), F936&lt;= DATE(2028, 12, 31), J936&gt;50000), "Pendente e Caro", AND(F936&gt;= DATE(2026,1,1), F936&lt;= DATE(2028, 12, 31), J936&lt;=50000), "Pendente", F936&gt;= DATE(2029,1,1), "Não prioeitário")</f>
        <v>Urgente e Caro</v>
      </c>
      <c r="H936" s="89">
        <f>YEAR(Tabela1[[#This Row],[Data de Validade]])</f>
        <v>2025</v>
      </c>
      <c r="I936" s="89">
        <f>MONTH(Tabela1[[#This Row],[Data de Validade]])</f>
        <v>12</v>
      </c>
      <c r="J936" s="101">
        <v>77143</v>
      </c>
      <c r="K936" s="87" t="s">
        <v>11</v>
      </c>
      <c r="L936" s="108"/>
      <c r="M936" s="108"/>
      <c r="N936" s="108" t="str">
        <v>H597P272</v>
      </c>
      <c r="O936" s="108">
        <f t="shared" si="16"/>
        <v>1</v>
      </c>
      <c r="P936" s="108"/>
      <c r="Q936"/>
    </row>
    <row r="937" spans="1:17" x14ac:dyDescent="0.25">
      <c r="A937" s="89" t="s">
        <v>8787</v>
      </c>
      <c r="B937" s="87" t="s">
        <v>8788</v>
      </c>
      <c r="C937" s="87" t="s">
        <v>8</v>
      </c>
      <c r="D937" s="87" t="str">
        <f>VLOOKUP(Tabela1[[#This Row],[Origem]], 'Perguntas 1 a 24'!$J$28:$K$34, 2, 0)</f>
        <v>Nordeste</v>
      </c>
      <c r="E937" s="87" t="str">
        <f>Tabela1[[#This Row],[Descrição]]&amp;"-"&amp;Tabela1[[#This Row],[Código]]&amp;"/"&amp;Tabela1[[#This Row],[Origem]]</f>
        <v>Fupocede-P532H189/AL</v>
      </c>
      <c r="F937" s="88">
        <v>46016</v>
      </c>
      <c r="G937" s="88" t="str" cm="1">
        <f t="array" ref="G9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AND(F937&gt;= DATE(2026,1,1), F937&lt;= DATE(2028, 12, 31), J937&gt;50000), "Pendente e Caro", AND(F937&gt;= DATE(2026,1,1), F937&lt;= DATE(2028, 12, 31), J937&lt;=50000), "Pendente", F937&gt;= DATE(2029,1,1), "Não prioeitário")</f>
        <v>Urgente e Caro</v>
      </c>
      <c r="H937" s="89">
        <f>YEAR(Tabela1[[#This Row],[Data de Validade]])</f>
        <v>2025</v>
      </c>
      <c r="I937" s="89">
        <f>MONTH(Tabela1[[#This Row],[Data de Validade]])</f>
        <v>12</v>
      </c>
      <c r="J937" s="101">
        <v>68729</v>
      </c>
      <c r="K937" s="87" t="s">
        <v>9</v>
      </c>
      <c r="L937" s="108"/>
      <c r="M937" s="108"/>
      <c r="N937" s="108" t="str">
        <v>P532H189</v>
      </c>
      <c r="O937" s="108">
        <f t="shared" si="16"/>
        <v>1</v>
      </c>
      <c r="P937" s="108"/>
      <c r="Q937"/>
    </row>
    <row r="938" spans="1:17" x14ac:dyDescent="0.25">
      <c r="A938" s="89" t="s">
        <v>4257</v>
      </c>
      <c r="B938" s="87" t="s">
        <v>4258</v>
      </c>
      <c r="C938" s="87" t="s">
        <v>16</v>
      </c>
      <c r="D938" s="87" t="str">
        <f>VLOOKUP(Tabela1[[#This Row],[Origem]], 'Perguntas 1 a 24'!$J$28:$K$34, 2, 0)</f>
        <v>Sudeste</v>
      </c>
      <c r="E938" s="87" t="str">
        <f>Tabela1[[#This Row],[Descrição]]&amp;"-"&amp;Tabela1[[#This Row],[Código]]&amp;"/"&amp;Tabela1[[#This Row],[Origem]]</f>
        <v>Papugufe-H137H986/MG</v>
      </c>
      <c r="F938" s="88">
        <v>46017</v>
      </c>
      <c r="G938" s="88" t="str" cm="1">
        <f t="array" ref="G9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AND(F938&gt;= DATE(2026,1,1), F938&lt;= DATE(2028, 12, 31), J938&gt;50000), "Pendente e Caro", AND(F938&gt;= DATE(2026,1,1), F938&lt;= DATE(2028, 12, 31), J938&lt;=50000), "Pendente", F938&gt;= DATE(2029,1,1), "Não prioeitário")</f>
        <v>Urgente e Caro</v>
      </c>
      <c r="H938" s="89">
        <f>YEAR(Tabela1[[#This Row],[Data de Validade]])</f>
        <v>2025</v>
      </c>
      <c r="I938" s="89">
        <f>MONTH(Tabela1[[#This Row],[Data de Validade]])</f>
        <v>12</v>
      </c>
      <c r="J938" s="101">
        <v>116547</v>
      </c>
      <c r="K938" s="87" t="s">
        <v>14</v>
      </c>
      <c r="L938" s="108"/>
      <c r="M938" s="108"/>
      <c r="N938" s="108" t="str">
        <v>H137H986</v>
      </c>
      <c r="O938" s="108">
        <f t="shared" si="16"/>
        <v>1</v>
      </c>
      <c r="P938" s="108"/>
      <c r="Q938"/>
    </row>
    <row r="939" spans="1:17" x14ac:dyDescent="0.25">
      <c r="A939" s="89" t="s">
        <v>6740</v>
      </c>
      <c r="B939" s="87" t="s">
        <v>6741</v>
      </c>
      <c r="C939" s="87" t="s">
        <v>12</v>
      </c>
      <c r="D939" s="87" t="str">
        <f>VLOOKUP(Tabela1[[#This Row],[Origem]], 'Perguntas 1 a 24'!$J$28:$K$34, 2, 0)</f>
        <v>Sudeste</v>
      </c>
      <c r="E939" s="87" t="str">
        <f>Tabela1[[#This Row],[Descrição]]&amp;"-"&amp;Tabela1[[#This Row],[Código]]&amp;"/"&amp;Tabela1[[#This Row],[Origem]]</f>
        <v>Rugonopuno-H357H545/RJ</v>
      </c>
      <c r="F939" s="88">
        <v>46018</v>
      </c>
      <c r="G939" s="88" t="str" cm="1">
        <f t="array" ref="G9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AND(F939&gt;= DATE(2026,1,1), F939&lt;= DATE(2028, 12, 31), J939&gt;50000), "Pendente e Caro", AND(F939&gt;= DATE(2026,1,1), F939&lt;= DATE(2028, 12, 31), J939&lt;=50000), "Pendente", F939&gt;= DATE(2029,1,1), "Não prioeitário")</f>
        <v>Urgente e Caro</v>
      </c>
      <c r="H939" s="89">
        <f>YEAR(Tabela1[[#This Row],[Data de Validade]])</f>
        <v>2025</v>
      </c>
      <c r="I939" s="89">
        <f>MONTH(Tabela1[[#This Row],[Data de Validade]])</f>
        <v>12</v>
      </c>
      <c r="J939" s="101">
        <v>98677</v>
      </c>
      <c r="K939" s="87" t="s">
        <v>11</v>
      </c>
      <c r="L939" s="108"/>
      <c r="M939" s="108"/>
      <c r="N939" s="108" t="str">
        <v>H357H545</v>
      </c>
      <c r="O939" s="108">
        <f t="shared" si="16"/>
        <v>1</v>
      </c>
      <c r="P939" s="108"/>
      <c r="Q939"/>
    </row>
    <row r="940" spans="1:17" x14ac:dyDescent="0.25">
      <c r="A940" s="89" t="s">
        <v>10905</v>
      </c>
      <c r="B940" s="87" t="s">
        <v>10906</v>
      </c>
      <c r="C940" s="87" t="s">
        <v>6</v>
      </c>
      <c r="D940" s="87" t="str">
        <f>VLOOKUP(Tabela1[[#This Row],[Origem]], 'Perguntas 1 a 24'!$J$28:$K$34, 2, 0)</f>
        <v>Nordeste</v>
      </c>
      <c r="E940" s="87" t="str">
        <f>Tabela1[[#This Row],[Descrição]]&amp;"-"&amp;Tabela1[[#This Row],[Código]]&amp;"/"&amp;Tabela1[[#This Row],[Origem]]</f>
        <v>Nudimufori-P484H561/MA</v>
      </c>
      <c r="F940" s="88">
        <v>46018</v>
      </c>
      <c r="G940" s="88" t="str" cm="1">
        <f t="array" ref="G9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AND(F940&gt;= DATE(2026,1,1), F940&lt;= DATE(2028, 12, 31), J940&gt;50000), "Pendente e Caro", AND(F940&gt;= DATE(2026,1,1), F940&lt;= DATE(2028, 12, 31), J940&lt;=50000), "Pendente", F940&gt;= DATE(2029,1,1), "Não prioeitário")</f>
        <v>Urgente e Caro</v>
      </c>
      <c r="H940" s="89">
        <f>YEAR(Tabela1[[#This Row],[Data de Validade]])</f>
        <v>2025</v>
      </c>
      <c r="I940" s="89">
        <f>MONTH(Tabela1[[#This Row],[Data de Validade]])</f>
        <v>12</v>
      </c>
      <c r="J940" s="101">
        <v>78344</v>
      </c>
      <c r="K940" s="87" t="s">
        <v>11</v>
      </c>
      <c r="L940" s="108"/>
      <c r="M940" s="108"/>
      <c r="N940" s="108" t="str">
        <v>P484H561</v>
      </c>
      <c r="O940" s="108">
        <f t="shared" si="16"/>
        <v>1</v>
      </c>
      <c r="P940" s="108"/>
      <c r="Q940"/>
    </row>
    <row r="941" spans="1:17" x14ac:dyDescent="0.25">
      <c r="A941" s="89" t="s">
        <v>9389</v>
      </c>
      <c r="B941" s="87" t="s">
        <v>9390</v>
      </c>
      <c r="C941" s="87" t="s">
        <v>10</v>
      </c>
      <c r="D941" s="87" t="str">
        <f>VLOOKUP(Tabela1[[#This Row],[Origem]], 'Perguntas 1 a 24'!$J$28:$K$34, 2, 0)</f>
        <v>Centro-Oeste</v>
      </c>
      <c r="E941" s="87" t="str">
        <f>Tabela1[[#This Row],[Descrição]]&amp;"-"&amp;Tabela1[[#This Row],[Código]]&amp;"/"&amp;Tabela1[[#This Row],[Origem]]</f>
        <v>Gavucilega-H255P354/GO</v>
      </c>
      <c r="F941" s="88">
        <v>46018</v>
      </c>
      <c r="G941" s="88" t="str" cm="1">
        <f t="array" ref="G9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AND(F941&gt;= DATE(2026,1,1), F941&lt;= DATE(2028, 12, 31), J941&gt;50000), "Pendente e Caro", AND(F941&gt;= DATE(2026,1,1), F941&lt;= DATE(2028, 12, 31), J941&lt;=50000), "Pendente", F941&gt;= DATE(2029,1,1), "Não prioeitário")</f>
        <v>Urgente e Caro</v>
      </c>
      <c r="H941" s="89">
        <f>YEAR(Tabela1[[#This Row],[Data de Validade]])</f>
        <v>2025</v>
      </c>
      <c r="I941" s="89">
        <f>MONTH(Tabela1[[#This Row],[Data de Validade]])</f>
        <v>12</v>
      </c>
      <c r="J941" s="101">
        <v>73696</v>
      </c>
      <c r="K941" s="87" t="s">
        <v>9</v>
      </c>
      <c r="L941" s="108"/>
      <c r="M941" s="108"/>
      <c r="N941" s="108" t="str">
        <v>H255P354</v>
      </c>
      <c r="O941" s="108">
        <f t="shared" si="16"/>
        <v>1</v>
      </c>
      <c r="P941" s="108"/>
      <c r="Q941"/>
    </row>
    <row r="942" spans="1:17" x14ac:dyDescent="0.25">
      <c r="A942" s="89" t="s">
        <v>6374</v>
      </c>
      <c r="B942" s="87" t="s">
        <v>6375</v>
      </c>
      <c r="C942" s="87" t="s">
        <v>10</v>
      </c>
      <c r="D942" s="87" t="str">
        <f>VLOOKUP(Tabela1[[#This Row],[Origem]], 'Perguntas 1 a 24'!$J$28:$K$34, 2, 0)</f>
        <v>Centro-Oeste</v>
      </c>
      <c r="E942" s="87" t="str">
        <f>Tabela1[[#This Row],[Descrição]]&amp;"-"&amp;Tabela1[[#This Row],[Código]]&amp;"/"&amp;Tabela1[[#This Row],[Origem]]</f>
        <v>Tuparugo-H789H764/GO</v>
      </c>
      <c r="F942" s="88">
        <v>46018</v>
      </c>
      <c r="G942" s="88" t="str" cm="1">
        <f t="array" ref="G9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AND(F942&gt;= DATE(2026,1,1), F942&lt;= DATE(2028, 12, 31), J942&gt;50000), "Pendente e Caro", AND(F942&gt;= DATE(2026,1,1), F942&lt;= DATE(2028, 12, 31), J942&lt;=50000), "Pendente", F942&gt;= DATE(2029,1,1), "Não prioeitário")</f>
        <v>Urgente</v>
      </c>
      <c r="H942" s="89">
        <f>YEAR(Tabela1[[#This Row],[Data de Validade]])</f>
        <v>2025</v>
      </c>
      <c r="I942" s="89">
        <f>MONTH(Tabela1[[#This Row],[Data de Validade]])</f>
        <v>12</v>
      </c>
      <c r="J942" s="101">
        <v>29257</v>
      </c>
      <c r="K942" s="87" t="s">
        <v>9</v>
      </c>
      <c r="L942" s="108"/>
      <c r="M942" s="108"/>
      <c r="N942" s="108" t="str">
        <v>H789H764</v>
      </c>
      <c r="O942" s="108">
        <f t="shared" si="16"/>
        <v>1</v>
      </c>
      <c r="P942" s="108"/>
      <c r="Q942"/>
    </row>
    <row r="943" spans="1:17" x14ac:dyDescent="0.25">
      <c r="A943" s="89" t="s">
        <v>5082</v>
      </c>
      <c r="B943" s="87" t="s">
        <v>5083</v>
      </c>
      <c r="C943" s="87" t="s">
        <v>15</v>
      </c>
      <c r="D943" s="87" t="str">
        <f>VLOOKUP(Tabela1[[#This Row],[Origem]], 'Perguntas 1 a 24'!$J$28:$K$34, 2, 0)</f>
        <v>Sudeste</v>
      </c>
      <c r="E943" s="87" t="str">
        <f>Tabela1[[#This Row],[Descrição]]&amp;"-"&amp;Tabela1[[#This Row],[Código]]&amp;"/"&amp;Tabela1[[#This Row],[Origem]]</f>
        <v>Loranativi-H652H361/ES</v>
      </c>
      <c r="F943" s="88">
        <v>46019</v>
      </c>
      <c r="G943" s="88" t="str" cm="1">
        <f t="array" ref="G9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AND(F943&gt;= DATE(2026,1,1), F943&lt;= DATE(2028, 12, 31), J943&gt;50000), "Pendente e Caro", AND(F943&gt;= DATE(2026,1,1), F943&lt;= DATE(2028, 12, 31), J943&lt;=50000), "Pendente", F943&gt;= DATE(2029,1,1), "Não prioeitário")</f>
        <v>Urgente e Caro</v>
      </c>
      <c r="H943" s="89">
        <f>YEAR(Tabela1[[#This Row],[Data de Validade]])</f>
        <v>2025</v>
      </c>
      <c r="I943" s="89">
        <f>MONTH(Tabela1[[#This Row],[Data de Validade]])</f>
        <v>12</v>
      </c>
      <c r="J943" s="101">
        <v>115176</v>
      </c>
      <c r="K943" s="87" t="s">
        <v>9</v>
      </c>
      <c r="L943" s="108"/>
      <c r="M943" s="108"/>
      <c r="N943" s="108" t="str">
        <v>H652H361</v>
      </c>
      <c r="O943" s="108">
        <f t="shared" si="16"/>
        <v>1</v>
      </c>
      <c r="P943" s="108"/>
      <c r="Q943"/>
    </row>
    <row r="944" spans="1:17" x14ac:dyDescent="0.25">
      <c r="A944" s="89" t="s">
        <v>5548</v>
      </c>
      <c r="B944" s="87" t="s">
        <v>5549</v>
      </c>
      <c r="C944" s="87" t="s">
        <v>13</v>
      </c>
      <c r="D944" s="87" t="str">
        <f>VLOOKUP(Tabela1[[#This Row],[Origem]], 'Perguntas 1 a 24'!$J$28:$K$34, 2, 0)</f>
        <v>Sudeste</v>
      </c>
      <c r="E944" s="87" t="str">
        <f>Tabela1[[#This Row],[Descrição]]&amp;"-"&amp;Tabela1[[#This Row],[Código]]&amp;"/"&amp;Tabela1[[#This Row],[Origem]]</f>
        <v>Rurunetu-H826H173/SP</v>
      </c>
      <c r="F944" s="88">
        <v>46019</v>
      </c>
      <c r="G944" s="88" t="str" cm="1">
        <f t="array" ref="G9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AND(F944&gt;= DATE(2026,1,1), F944&lt;= DATE(2028, 12, 31), J944&gt;50000), "Pendente e Caro", AND(F944&gt;= DATE(2026,1,1), F944&lt;= DATE(2028, 12, 31), J944&lt;=50000), "Pendente", F944&gt;= DATE(2029,1,1), "Não prioeitário")</f>
        <v>Urgente e Caro</v>
      </c>
      <c r="H944" s="89">
        <f>YEAR(Tabela1[[#This Row],[Data de Validade]])</f>
        <v>2025</v>
      </c>
      <c r="I944" s="89">
        <f>MONTH(Tabela1[[#This Row],[Data de Validade]])</f>
        <v>12</v>
      </c>
      <c r="J944" s="101">
        <v>108643</v>
      </c>
      <c r="K944" s="87" t="s">
        <v>14</v>
      </c>
      <c r="L944" s="108"/>
      <c r="M944" s="108"/>
      <c r="N944" s="108" t="str">
        <v>H826H173</v>
      </c>
      <c r="O944" s="108">
        <f t="shared" si="16"/>
        <v>1</v>
      </c>
      <c r="P944" s="108"/>
      <c r="Q944"/>
    </row>
    <row r="945" spans="1:17" x14ac:dyDescent="0.25">
      <c r="A945" s="89" t="s">
        <v>9987</v>
      </c>
      <c r="B945" s="87" t="s">
        <v>9988</v>
      </c>
      <c r="C945" s="87" t="s">
        <v>16</v>
      </c>
      <c r="D945" s="87" t="str">
        <f>VLOOKUP(Tabela1[[#This Row],[Origem]], 'Perguntas 1 a 24'!$J$28:$K$34, 2, 0)</f>
        <v>Sudeste</v>
      </c>
      <c r="E945" s="87" t="str">
        <f>Tabela1[[#This Row],[Descrição]]&amp;"-"&amp;Tabela1[[#This Row],[Código]]&amp;"/"&amp;Tabela1[[#This Row],[Origem]]</f>
        <v>Fopanaricu-P321P787/MG</v>
      </c>
      <c r="F945" s="88">
        <v>46019</v>
      </c>
      <c r="G945" s="88" t="str" cm="1">
        <f t="array" ref="G9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AND(F945&gt;= DATE(2026,1,1), F945&lt;= DATE(2028, 12, 31), J945&gt;50000), "Pendente e Caro", AND(F945&gt;= DATE(2026,1,1), F945&lt;= DATE(2028, 12, 31), J945&lt;=50000), "Pendente", F945&gt;= DATE(2029,1,1), "Não prioeitário")</f>
        <v>Urgente e Caro</v>
      </c>
      <c r="H945" s="89">
        <f>YEAR(Tabela1[[#This Row],[Data de Validade]])</f>
        <v>2025</v>
      </c>
      <c r="I945" s="89">
        <f>MONTH(Tabela1[[#This Row],[Data de Validade]])</f>
        <v>12</v>
      </c>
      <c r="J945" s="101">
        <v>98703</v>
      </c>
      <c r="K945" s="87" t="s">
        <v>9</v>
      </c>
      <c r="L945" s="108"/>
      <c r="M945" s="108"/>
      <c r="N945" s="108" t="str">
        <v>P321P787</v>
      </c>
      <c r="O945" s="108">
        <f t="shared" si="16"/>
        <v>1</v>
      </c>
      <c r="P945" s="108"/>
      <c r="Q945"/>
    </row>
    <row r="946" spans="1:17" x14ac:dyDescent="0.25">
      <c r="A946" s="89" t="s">
        <v>6894</v>
      </c>
      <c r="B946" s="87" t="s">
        <v>6895</v>
      </c>
      <c r="C946" s="87" t="s">
        <v>15</v>
      </c>
      <c r="D946" s="87" t="str">
        <f>VLOOKUP(Tabela1[[#This Row],[Origem]], 'Perguntas 1 a 24'!$J$28:$K$34, 2, 0)</f>
        <v>Sudeste</v>
      </c>
      <c r="E946" s="87" t="str">
        <f>Tabela1[[#This Row],[Descrição]]&amp;"-"&amp;Tabela1[[#This Row],[Código]]&amp;"/"&amp;Tabela1[[#This Row],[Origem]]</f>
        <v>Cedepenumo-P126P152/ES</v>
      </c>
      <c r="F946" s="88">
        <v>46019</v>
      </c>
      <c r="G946" s="88" t="str" cm="1">
        <f t="array" ref="G9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AND(F946&gt;= DATE(2026,1,1), F946&lt;= DATE(2028, 12, 31), J946&gt;50000), "Pendente e Caro", AND(F946&gt;= DATE(2026,1,1), F946&lt;= DATE(2028, 12, 31), J946&lt;=50000), "Pendente", F946&gt;= DATE(2029,1,1), "Não prioeitário")</f>
        <v>Urgente e Caro</v>
      </c>
      <c r="H946" s="89">
        <f>YEAR(Tabela1[[#This Row],[Data de Validade]])</f>
        <v>2025</v>
      </c>
      <c r="I946" s="89">
        <f>MONTH(Tabela1[[#This Row],[Data de Validade]])</f>
        <v>12</v>
      </c>
      <c r="J946" s="101">
        <v>77986</v>
      </c>
      <c r="K946" s="87" t="s">
        <v>11</v>
      </c>
      <c r="L946" s="108"/>
      <c r="M946" s="108"/>
      <c r="N946" s="108" t="str">
        <v>P126P152</v>
      </c>
      <c r="O946" s="108">
        <f t="shared" si="16"/>
        <v>1</v>
      </c>
      <c r="P946" s="108"/>
      <c r="Q946"/>
    </row>
    <row r="947" spans="1:17" x14ac:dyDescent="0.25">
      <c r="A947" s="89" t="s">
        <v>7606</v>
      </c>
      <c r="B947" s="87" t="s">
        <v>7607</v>
      </c>
      <c r="C947" s="87" t="s">
        <v>12</v>
      </c>
      <c r="D947" s="87" t="str">
        <f>VLOOKUP(Tabela1[[#This Row],[Origem]], 'Perguntas 1 a 24'!$J$28:$K$34, 2, 0)</f>
        <v>Sudeste</v>
      </c>
      <c r="E947" s="87" t="str">
        <f>Tabela1[[#This Row],[Descrição]]&amp;"-"&amp;Tabela1[[#This Row],[Código]]&amp;"/"&amp;Tabela1[[#This Row],[Origem]]</f>
        <v>Galefitora-P343P411/RJ</v>
      </c>
      <c r="F947" s="88">
        <v>46019</v>
      </c>
      <c r="G947" s="88" t="str" cm="1">
        <f t="array" ref="G9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AND(F947&gt;= DATE(2026,1,1), F947&lt;= DATE(2028, 12, 31), J947&gt;50000), "Pendente e Caro", AND(F947&gt;= DATE(2026,1,1), F947&lt;= DATE(2028, 12, 31), J947&lt;=50000), "Pendente", F947&gt;= DATE(2029,1,1), "Não prioeitário")</f>
        <v>Urgente</v>
      </c>
      <c r="H947" s="89">
        <f>YEAR(Tabela1[[#This Row],[Data de Validade]])</f>
        <v>2025</v>
      </c>
      <c r="I947" s="89">
        <f>MONTH(Tabela1[[#This Row],[Data de Validade]])</f>
        <v>12</v>
      </c>
      <c r="J947" s="101">
        <v>38393</v>
      </c>
      <c r="K947" s="87" t="s">
        <v>14</v>
      </c>
      <c r="L947" s="108"/>
      <c r="M947" s="108"/>
      <c r="N947" s="108" t="str">
        <v>P343P411</v>
      </c>
      <c r="O947" s="108">
        <f t="shared" si="16"/>
        <v>1</v>
      </c>
      <c r="P947" s="108"/>
      <c r="Q947"/>
    </row>
    <row r="948" spans="1:17" x14ac:dyDescent="0.25">
      <c r="A948" s="89" t="s">
        <v>6530</v>
      </c>
      <c r="B948" s="87" t="s">
        <v>6531</v>
      </c>
      <c r="C948" s="87" t="s">
        <v>8</v>
      </c>
      <c r="D948" s="87" t="str">
        <f>VLOOKUP(Tabela1[[#This Row],[Origem]], 'Perguntas 1 a 24'!$J$28:$K$34, 2, 0)</f>
        <v>Nordeste</v>
      </c>
      <c r="E948" s="87" t="str">
        <f>Tabela1[[#This Row],[Descrição]]&amp;"-"&amp;Tabela1[[#This Row],[Código]]&amp;"/"&amp;Tabela1[[#This Row],[Origem]]</f>
        <v>Luvanade-H644H547/AL</v>
      </c>
      <c r="F948" s="88">
        <v>46019</v>
      </c>
      <c r="G948" s="88" t="str" cm="1">
        <f t="array" ref="G9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AND(F948&gt;= DATE(2026,1,1), F948&lt;= DATE(2028, 12, 31), J948&gt;50000), "Pendente e Caro", AND(F948&gt;= DATE(2026,1,1), F948&lt;= DATE(2028, 12, 31), J948&lt;=50000), "Pendente", F948&gt;= DATE(2029,1,1), "Não prioeitário")</f>
        <v>Urgente</v>
      </c>
      <c r="H948" s="89">
        <f>YEAR(Tabela1[[#This Row],[Data de Validade]])</f>
        <v>2025</v>
      </c>
      <c r="I948" s="89">
        <f>MONTH(Tabela1[[#This Row],[Data de Validade]])</f>
        <v>12</v>
      </c>
      <c r="J948" s="101">
        <v>22927</v>
      </c>
      <c r="K948" s="87" t="s">
        <v>7</v>
      </c>
      <c r="L948" s="108"/>
      <c r="M948" s="108"/>
      <c r="N948" s="108" t="str">
        <v>H644H547</v>
      </c>
      <c r="O948" s="108">
        <f t="shared" si="16"/>
        <v>1</v>
      </c>
      <c r="P948" s="108"/>
      <c r="Q948"/>
    </row>
    <row r="949" spans="1:17" x14ac:dyDescent="0.25">
      <c r="A949" s="89" t="s">
        <v>6670</v>
      </c>
      <c r="B949" s="87" t="s">
        <v>6671</v>
      </c>
      <c r="C949" s="87" t="s">
        <v>8</v>
      </c>
      <c r="D949" s="87" t="str">
        <f>VLOOKUP(Tabela1[[#This Row],[Origem]], 'Perguntas 1 a 24'!$J$28:$K$34, 2, 0)</f>
        <v>Nordeste</v>
      </c>
      <c r="E949" s="87" t="str">
        <f>Tabela1[[#This Row],[Descrição]]&amp;"-"&amp;Tabela1[[#This Row],[Código]]&amp;"/"&amp;Tabela1[[#This Row],[Origem]]</f>
        <v>Niperidono-H823P178/AL</v>
      </c>
      <c r="F949" s="88">
        <v>46020</v>
      </c>
      <c r="G949" s="88" t="str" cm="1">
        <f t="array" ref="G9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AND(F949&gt;= DATE(2026,1,1), F949&lt;= DATE(2028, 12, 31), J949&gt;50000), "Pendente e Caro", AND(F949&gt;= DATE(2026,1,1), F949&lt;= DATE(2028, 12, 31), J949&lt;=50000), "Pendente", F949&gt;= DATE(2029,1,1), "Não prioeitário")</f>
        <v>Urgente e Caro</v>
      </c>
      <c r="H949" s="89">
        <f>YEAR(Tabela1[[#This Row],[Data de Validade]])</f>
        <v>2025</v>
      </c>
      <c r="I949" s="89">
        <f>MONTH(Tabela1[[#This Row],[Data de Validade]])</f>
        <v>12</v>
      </c>
      <c r="J949" s="101">
        <v>80560</v>
      </c>
      <c r="K949" s="87" t="s">
        <v>7</v>
      </c>
      <c r="L949" s="108"/>
      <c r="M949" s="108"/>
      <c r="N949" s="108" t="str">
        <v>H823P178</v>
      </c>
      <c r="O949" s="108">
        <f t="shared" si="16"/>
        <v>1</v>
      </c>
      <c r="P949" s="108"/>
      <c r="Q949"/>
    </row>
    <row r="950" spans="1:17" x14ac:dyDescent="0.25">
      <c r="A950" s="89" t="s">
        <v>4646</v>
      </c>
      <c r="B950" s="87" t="s">
        <v>4647</v>
      </c>
      <c r="C950" s="87" t="s">
        <v>15</v>
      </c>
      <c r="D950" s="87" t="str">
        <f>VLOOKUP(Tabela1[[#This Row],[Origem]], 'Perguntas 1 a 24'!$J$28:$K$34, 2, 0)</f>
        <v>Sudeste</v>
      </c>
      <c r="E950" s="87" t="str">
        <f>Tabela1[[#This Row],[Descrição]]&amp;"-"&amp;Tabela1[[#This Row],[Código]]&amp;"/"&amp;Tabela1[[#This Row],[Origem]]</f>
        <v>Mucagene-H466H792/ES</v>
      </c>
      <c r="F950" s="88">
        <v>46022</v>
      </c>
      <c r="G950" s="88" t="str" cm="1">
        <f t="array" ref="G9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AND(F950&gt;= DATE(2026,1,1), F950&lt;= DATE(2028, 12, 31), J950&gt;50000), "Pendente e Caro", AND(F950&gt;= DATE(2026,1,1), F950&lt;= DATE(2028, 12, 31), J950&lt;=50000), "Pendente", F950&gt;= DATE(2029,1,1), "Não prioeitário")</f>
        <v>Urgente e Caro</v>
      </c>
      <c r="H950" s="89">
        <f>YEAR(Tabela1[[#This Row],[Data de Validade]])</f>
        <v>2025</v>
      </c>
      <c r="I950" s="89">
        <f>MONTH(Tabela1[[#This Row],[Data de Validade]])</f>
        <v>12</v>
      </c>
      <c r="J950" s="101">
        <v>57856</v>
      </c>
      <c r="K950" s="87" t="s">
        <v>14</v>
      </c>
      <c r="L950" s="108"/>
      <c r="M950" s="108"/>
      <c r="N950" s="108" t="str">
        <v>H466H792</v>
      </c>
      <c r="O950" s="108">
        <f t="shared" si="16"/>
        <v>1</v>
      </c>
      <c r="P950" s="108"/>
      <c r="Q950"/>
    </row>
    <row r="951" spans="1:17" x14ac:dyDescent="0.25">
      <c r="A951" s="89" t="s">
        <v>7222</v>
      </c>
      <c r="B951" s="87" t="s">
        <v>7223</v>
      </c>
      <c r="C951" s="87" t="s">
        <v>10</v>
      </c>
      <c r="D951" s="87" t="str">
        <f>VLOOKUP(Tabela1[[#This Row],[Origem]], 'Perguntas 1 a 24'!$J$28:$K$34, 2, 0)</f>
        <v>Centro-Oeste</v>
      </c>
      <c r="E951" s="87" t="str">
        <f>Tabela1[[#This Row],[Descrição]]&amp;"-"&amp;Tabela1[[#This Row],[Código]]&amp;"/"&amp;Tabela1[[#This Row],[Origem]]</f>
        <v>Tagipatoma-H694H669/GO</v>
      </c>
      <c r="F951" s="88">
        <v>46023</v>
      </c>
      <c r="G951" s="88" t="str" cm="1">
        <f t="array" ref="G9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AND(F951&gt;= DATE(2026,1,1), F951&lt;= DATE(2028, 12, 31), J951&gt;50000), "Pendente e Caro", AND(F951&gt;= DATE(2026,1,1), F951&lt;= DATE(2028, 12, 31), J951&lt;=50000), "Pendente", F951&gt;= DATE(2029,1,1), "Não prioeitário")</f>
        <v>Pendente</v>
      </c>
      <c r="H951" s="89">
        <f>YEAR(Tabela1[[#This Row],[Data de Validade]])</f>
        <v>2026</v>
      </c>
      <c r="I951" s="89">
        <f>MONTH(Tabela1[[#This Row],[Data de Validade]])</f>
        <v>1</v>
      </c>
      <c r="J951" s="101">
        <v>29774</v>
      </c>
      <c r="K951" s="87" t="s">
        <v>9</v>
      </c>
      <c r="L951" s="108"/>
      <c r="M951" s="108"/>
      <c r="N951" s="108" t="str">
        <v>H694H669</v>
      </c>
      <c r="O951" s="108">
        <f t="shared" si="16"/>
        <v>1</v>
      </c>
      <c r="P951" s="108"/>
      <c r="Q951"/>
    </row>
    <row r="952" spans="1:17" x14ac:dyDescent="0.25">
      <c r="A952" s="89" t="s">
        <v>5396</v>
      </c>
      <c r="B952" s="87" t="s">
        <v>5397</v>
      </c>
      <c r="C952" s="87" t="s">
        <v>10</v>
      </c>
      <c r="D952" s="87" t="str">
        <f>VLOOKUP(Tabela1[[#This Row],[Origem]], 'Perguntas 1 a 24'!$J$28:$K$34, 2, 0)</f>
        <v>Centro-Oeste</v>
      </c>
      <c r="E952" s="87" t="str">
        <f>Tabela1[[#This Row],[Descrição]]&amp;"-"&amp;Tabela1[[#This Row],[Código]]&amp;"/"&amp;Tabela1[[#This Row],[Origem]]</f>
        <v>Maluri-H354H132/GO</v>
      </c>
      <c r="F952" s="88">
        <v>46024</v>
      </c>
      <c r="G952" s="88" t="str" cm="1">
        <f t="array" ref="G9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AND(F952&gt;= DATE(2026,1,1), F952&lt;= DATE(2028, 12, 31), J952&gt;50000), "Pendente e Caro", AND(F952&gt;= DATE(2026,1,1), F952&lt;= DATE(2028, 12, 31), J952&lt;=50000), "Pendente", F952&gt;= DATE(2029,1,1), "Não prioeitário")</f>
        <v>Pendente e Caro</v>
      </c>
      <c r="H952" s="89">
        <f>YEAR(Tabela1[[#This Row],[Data de Validade]])</f>
        <v>2026</v>
      </c>
      <c r="I952" s="89">
        <f>MONTH(Tabela1[[#This Row],[Data de Validade]])</f>
        <v>1</v>
      </c>
      <c r="J952" s="101">
        <v>87122</v>
      </c>
      <c r="K952" s="87" t="s">
        <v>7</v>
      </c>
      <c r="L952" s="108"/>
      <c r="M952" s="108"/>
      <c r="N952" s="108" t="str">
        <v>H354H132</v>
      </c>
      <c r="O952" s="108">
        <f t="shared" si="16"/>
        <v>1</v>
      </c>
      <c r="P952" s="108"/>
      <c r="Q952"/>
    </row>
    <row r="953" spans="1:17" x14ac:dyDescent="0.25">
      <c r="A953" s="89" t="s">
        <v>4114</v>
      </c>
      <c r="B953" s="87" t="s">
        <v>4115</v>
      </c>
      <c r="C953" s="87" t="s">
        <v>15</v>
      </c>
      <c r="D953" s="87" t="str">
        <f>VLOOKUP(Tabela1[[#This Row],[Origem]], 'Perguntas 1 a 24'!$J$28:$K$34, 2, 0)</f>
        <v>Sudeste</v>
      </c>
      <c r="E953" s="87" t="str">
        <f>Tabela1[[#This Row],[Descrição]]&amp;"-"&amp;Tabela1[[#This Row],[Código]]&amp;"/"&amp;Tabela1[[#This Row],[Origem]]</f>
        <v>Patilodula-H758H761/ES</v>
      </c>
      <c r="F953" s="88">
        <v>46024</v>
      </c>
      <c r="G953" s="88" t="str" cm="1">
        <f t="array" ref="G9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AND(F953&gt;= DATE(2026,1,1), F953&lt;= DATE(2028, 12, 31), J953&gt;50000), "Pendente e Caro", AND(F953&gt;= DATE(2026,1,1), F953&lt;= DATE(2028, 12, 31), J953&lt;=50000), "Pendente", F953&gt;= DATE(2029,1,1), "Não prioeitário")</f>
        <v>Pendente e Caro</v>
      </c>
      <c r="H953" s="89">
        <f>YEAR(Tabela1[[#This Row],[Data de Validade]])</f>
        <v>2026</v>
      </c>
      <c r="I953" s="89">
        <f>MONTH(Tabela1[[#This Row],[Data de Validade]])</f>
        <v>1</v>
      </c>
      <c r="J953" s="101">
        <v>67398</v>
      </c>
      <c r="K953" s="87" t="s">
        <v>14</v>
      </c>
      <c r="L953" s="108"/>
      <c r="M953" s="108"/>
      <c r="N953" s="108" t="str">
        <v>H758H761</v>
      </c>
      <c r="O953" s="108">
        <f t="shared" si="16"/>
        <v>1</v>
      </c>
      <c r="P953" s="108"/>
      <c r="Q953"/>
    </row>
    <row r="954" spans="1:17" x14ac:dyDescent="0.25">
      <c r="A954" s="89" t="s">
        <v>7794</v>
      </c>
      <c r="B954" s="87" t="s">
        <v>7795</v>
      </c>
      <c r="C954" s="87" t="s">
        <v>10</v>
      </c>
      <c r="D954" s="87" t="str">
        <f>VLOOKUP(Tabela1[[#This Row],[Origem]], 'Perguntas 1 a 24'!$J$28:$K$34, 2, 0)</f>
        <v>Centro-Oeste</v>
      </c>
      <c r="E954" s="87" t="str">
        <f>Tabela1[[#This Row],[Descrição]]&amp;"-"&amp;Tabela1[[#This Row],[Código]]&amp;"/"&amp;Tabela1[[#This Row],[Origem]]</f>
        <v>Nocepe-P657H762/GO</v>
      </c>
      <c r="F954" s="88">
        <v>46025</v>
      </c>
      <c r="G954" s="88" t="str" cm="1">
        <f t="array" ref="G9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AND(F954&gt;= DATE(2026,1,1), F954&lt;= DATE(2028, 12, 31), J954&gt;50000), "Pendente e Caro", AND(F954&gt;= DATE(2026,1,1), F954&lt;= DATE(2028, 12, 31), J954&lt;=50000), "Pendente", F954&gt;= DATE(2029,1,1), "Não prioeitário")</f>
        <v>Pendente</v>
      </c>
      <c r="H954" s="89">
        <f>YEAR(Tabela1[[#This Row],[Data de Validade]])</f>
        <v>2026</v>
      </c>
      <c r="I954" s="89">
        <f>MONTH(Tabela1[[#This Row],[Data de Validade]])</f>
        <v>1</v>
      </c>
      <c r="J954" s="101">
        <v>36724</v>
      </c>
      <c r="K954" s="87" t="s">
        <v>11</v>
      </c>
      <c r="L954" s="108"/>
      <c r="M954" s="108"/>
      <c r="N954" s="108" t="str">
        <v>P657H762</v>
      </c>
      <c r="O954" s="108">
        <f t="shared" si="16"/>
        <v>1</v>
      </c>
      <c r="P954" s="108"/>
      <c r="Q954"/>
    </row>
    <row r="955" spans="1:17" x14ac:dyDescent="0.25">
      <c r="A955" s="89" t="s">
        <v>10405</v>
      </c>
      <c r="B955" s="87" t="s">
        <v>10406</v>
      </c>
      <c r="C955" s="87" t="s">
        <v>15</v>
      </c>
      <c r="D955" s="87" t="str">
        <f>VLOOKUP(Tabela1[[#This Row],[Origem]], 'Perguntas 1 a 24'!$J$28:$K$34, 2, 0)</f>
        <v>Sudeste</v>
      </c>
      <c r="E955" s="87" t="str">
        <f>Tabela1[[#This Row],[Descrição]]&amp;"-"&amp;Tabela1[[#This Row],[Código]]&amp;"/"&amp;Tabela1[[#This Row],[Origem]]</f>
        <v>Temacavapu-P995H378/ES</v>
      </c>
      <c r="F955" s="88">
        <v>46026</v>
      </c>
      <c r="G955" s="88" t="str" cm="1">
        <f t="array" ref="G9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AND(F955&gt;= DATE(2026,1,1), F955&lt;= DATE(2028, 12, 31), J955&gt;50000), "Pendente e Caro", AND(F955&gt;= DATE(2026,1,1), F955&lt;= DATE(2028, 12, 31), J955&lt;=50000), "Pendente", F955&gt;= DATE(2029,1,1), "Não prioeitário")</f>
        <v>Pendente e Caro</v>
      </c>
      <c r="H955" s="89">
        <f>YEAR(Tabela1[[#This Row],[Data de Validade]])</f>
        <v>2026</v>
      </c>
      <c r="I955" s="89">
        <f>MONTH(Tabela1[[#This Row],[Data de Validade]])</f>
        <v>1</v>
      </c>
      <c r="J955" s="101">
        <v>86037</v>
      </c>
      <c r="K955" s="87" t="s">
        <v>9</v>
      </c>
      <c r="L955" s="108"/>
      <c r="M955" s="108"/>
      <c r="N955" s="108" t="str">
        <v>P995H378</v>
      </c>
      <c r="O955" s="108">
        <f t="shared" si="16"/>
        <v>1</v>
      </c>
      <c r="P955" s="108"/>
      <c r="Q955"/>
    </row>
    <row r="956" spans="1:17" x14ac:dyDescent="0.25">
      <c r="A956" s="89" t="s">
        <v>8114</v>
      </c>
      <c r="B956" s="87" t="s">
        <v>8115</v>
      </c>
      <c r="C956" s="87" t="s">
        <v>16</v>
      </c>
      <c r="D956" s="87" t="str">
        <f>VLOOKUP(Tabela1[[#This Row],[Origem]], 'Perguntas 1 a 24'!$J$28:$K$34, 2, 0)</f>
        <v>Sudeste</v>
      </c>
      <c r="E956" s="87" t="str">
        <f>Tabela1[[#This Row],[Descrição]]&amp;"-"&amp;Tabela1[[#This Row],[Código]]&amp;"/"&amp;Tabela1[[#This Row],[Origem]]</f>
        <v>Pilocora-H717P656/MG</v>
      </c>
      <c r="F956" s="88">
        <v>46026</v>
      </c>
      <c r="G956" s="88" t="str" cm="1">
        <f t="array" ref="G9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AND(F956&gt;= DATE(2026,1,1), F956&lt;= DATE(2028, 12, 31), J956&gt;50000), "Pendente e Caro", AND(F956&gt;= DATE(2026,1,1), F956&lt;= DATE(2028, 12, 31), J956&lt;=50000), "Pendente", F956&gt;= DATE(2029,1,1), "Não prioeitário")</f>
        <v>Pendente e Caro</v>
      </c>
      <c r="H956" s="89">
        <f>YEAR(Tabela1[[#This Row],[Data de Validade]])</f>
        <v>2026</v>
      </c>
      <c r="I956" s="89">
        <f>MONTH(Tabela1[[#This Row],[Data de Validade]])</f>
        <v>1</v>
      </c>
      <c r="J956" s="101">
        <v>84493</v>
      </c>
      <c r="K956" s="87" t="s">
        <v>14</v>
      </c>
      <c r="L956" s="108"/>
      <c r="M956" s="108"/>
      <c r="N956" s="108" t="str">
        <v>H717P656</v>
      </c>
      <c r="O956" s="108">
        <f t="shared" si="16"/>
        <v>1</v>
      </c>
      <c r="P956" s="108"/>
      <c r="Q956"/>
    </row>
    <row r="957" spans="1:17" x14ac:dyDescent="0.25">
      <c r="A957" s="89" t="s">
        <v>9653</v>
      </c>
      <c r="B957" s="87" t="s">
        <v>9654</v>
      </c>
      <c r="C957" s="87" t="s">
        <v>16</v>
      </c>
      <c r="D957" s="87" t="str">
        <f>VLOOKUP(Tabela1[[#This Row],[Origem]], 'Perguntas 1 a 24'!$J$28:$K$34, 2, 0)</f>
        <v>Sudeste</v>
      </c>
      <c r="E957" s="87" t="str">
        <f>Tabela1[[#This Row],[Descrição]]&amp;"-"&amp;Tabela1[[#This Row],[Código]]&amp;"/"&amp;Tabela1[[#This Row],[Origem]]</f>
        <v>Pilevutigo-H319P498/MG</v>
      </c>
      <c r="F957" s="88">
        <v>46026</v>
      </c>
      <c r="G957" s="88" t="str" cm="1">
        <f t="array" ref="G9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AND(F957&gt;= DATE(2026,1,1), F957&lt;= DATE(2028, 12, 31), J957&gt;50000), "Pendente e Caro", AND(F957&gt;= DATE(2026,1,1), F957&lt;= DATE(2028, 12, 31), J957&lt;=50000), "Pendente", F957&gt;= DATE(2029,1,1), "Não prioeitário")</f>
        <v>Pendente</v>
      </c>
      <c r="H957" s="89">
        <f>YEAR(Tabela1[[#This Row],[Data de Validade]])</f>
        <v>2026</v>
      </c>
      <c r="I957" s="89">
        <f>MONTH(Tabela1[[#This Row],[Data de Validade]])</f>
        <v>1</v>
      </c>
      <c r="J957" s="101">
        <v>27008</v>
      </c>
      <c r="K957" s="87" t="s">
        <v>7</v>
      </c>
      <c r="L957" s="108"/>
      <c r="M957" s="108"/>
      <c r="N957" s="108" t="str">
        <v>H319P498</v>
      </c>
      <c r="O957" s="108">
        <f t="shared" si="16"/>
        <v>1</v>
      </c>
      <c r="P957" s="108"/>
      <c r="Q957"/>
    </row>
    <row r="958" spans="1:17" x14ac:dyDescent="0.25">
      <c r="A958" s="89" t="s">
        <v>9229</v>
      </c>
      <c r="B958" s="87" t="s">
        <v>9230</v>
      </c>
      <c r="C958" s="87" t="s">
        <v>16</v>
      </c>
      <c r="D958" s="87" t="str">
        <f>VLOOKUP(Tabela1[[#This Row],[Origem]], 'Perguntas 1 a 24'!$J$28:$K$34, 2, 0)</f>
        <v>Sudeste</v>
      </c>
      <c r="E958" s="87" t="str">
        <f>Tabela1[[#This Row],[Descrição]]&amp;"-"&amp;Tabela1[[#This Row],[Código]]&amp;"/"&amp;Tabela1[[#This Row],[Origem]]</f>
        <v>Lureme-H359P241/MG</v>
      </c>
      <c r="F958" s="88">
        <v>46027</v>
      </c>
      <c r="G958" s="88" t="str" cm="1">
        <f t="array" ref="G9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AND(F958&gt;= DATE(2026,1,1), F958&lt;= DATE(2028, 12, 31), J958&gt;50000), "Pendente e Caro", AND(F958&gt;= DATE(2026,1,1), F958&lt;= DATE(2028, 12, 31), J958&lt;=50000), "Pendente", F958&gt;= DATE(2029,1,1), "Não prioeitário")</f>
        <v>Pendente e Caro</v>
      </c>
      <c r="H958" s="89">
        <f>YEAR(Tabela1[[#This Row],[Data de Validade]])</f>
        <v>2026</v>
      </c>
      <c r="I958" s="89">
        <f>MONTH(Tabela1[[#This Row],[Data de Validade]])</f>
        <v>1</v>
      </c>
      <c r="J958" s="101">
        <v>52493</v>
      </c>
      <c r="K958" s="87" t="s">
        <v>9</v>
      </c>
      <c r="L958" s="108"/>
      <c r="M958" s="108"/>
      <c r="N958" s="108" t="str">
        <v>H359P241</v>
      </c>
      <c r="O958" s="108">
        <f t="shared" si="16"/>
        <v>1</v>
      </c>
      <c r="P958" s="108"/>
      <c r="Q958"/>
    </row>
    <row r="959" spans="1:17" x14ac:dyDescent="0.25">
      <c r="A959" s="89" t="s">
        <v>6924</v>
      </c>
      <c r="B959" s="87" t="s">
        <v>6925</v>
      </c>
      <c r="C959" s="87" t="s">
        <v>8</v>
      </c>
      <c r="D959" s="87" t="str">
        <f>VLOOKUP(Tabela1[[#This Row],[Origem]], 'Perguntas 1 a 24'!$J$28:$K$34, 2, 0)</f>
        <v>Nordeste</v>
      </c>
      <c r="E959" s="87" t="str">
        <f>Tabela1[[#This Row],[Descrição]]&amp;"-"&amp;Tabela1[[#This Row],[Código]]&amp;"/"&amp;Tabela1[[#This Row],[Origem]]</f>
        <v>Mapinifi-H443P459/AL</v>
      </c>
      <c r="F959" s="88">
        <v>46027</v>
      </c>
      <c r="G959" s="88" t="str" cm="1">
        <f t="array" ref="G9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AND(F959&gt;= DATE(2026,1,1), F959&lt;= DATE(2028, 12, 31), J959&gt;50000), "Pendente e Caro", AND(F959&gt;= DATE(2026,1,1), F959&lt;= DATE(2028, 12, 31), J959&lt;=50000), "Pendente", F959&gt;= DATE(2029,1,1), "Não prioeitário")</f>
        <v>Pendente</v>
      </c>
      <c r="H959" s="89">
        <f>YEAR(Tabela1[[#This Row],[Data de Validade]])</f>
        <v>2026</v>
      </c>
      <c r="I959" s="89">
        <f>MONTH(Tabela1[[#This Row],[Data de Validade]])</f>
        <v>1</v>
      </c>
      <c r="J959" s="101">
        <v>31063</v>
      </c>
      <c r="K959" s="87" t="s">
        <v>11</v>
      </c>
      <c r="L959" s="108"/>
      <c r="M959" s="108"/>
      <c r="N959" s="108" t="str">
        <v>H443P459</v>
      </c>
      <c r="O959" s="108">
        <f t="shared" si="16"/>
        <v>1</v>
      </c>
      <c r="P959" s="108"/>
      <c r="Q959"/>
    </row>
    <row r="960" spans="1:17" x14ac:dyDescent="0.25">
      <c r="A960" s="89" t="s">
        <v>9345</v>
      </c>
      <c r="B960" s="87" t="s">
        <v>9346</v>
      </c>
      <c r="C960" s="87" t="s">
        <v>13</v>
      </c>
      <c r="D960" s="87" t="str">
        <f>VLOOKUP(Tabela1[[#This Row],[Origem]], 'Perguntas 1 a 24'!$J$28:$K$34, 2, 0)</f>
        <v>Sudeste</v>
      </c>
      <c r="E960" s="87" t="str">
        <f>Tabela1[[#This Row],[Descrição]]&amp;"-"&amp;Tabela1[[#This Row],[Código]]&amp;"/"&amp;Tabela1[[#This Row],[Origem]]</f>
        <v>Fotemupa-H352P562/SP</v>
      </c>
      <c r="F960" s="88">
        <v>46028</v>
      </c>
      <c r="G960" s="88" t="str" cm="1">
        <f t="array" ref="G9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AND(F960&gt;= DATE(2026,1,1), F960&lt;= DATE(2028, 12, 31), J960&gt;50000), "Pendente e Caro", AND(F960&gt;= DATE(2026,1,1), F960&lt;= DATE(2028, 12, 31), J960&lt;=50000), "Pendente", F960&gt;= DATE(2029,1,1), "Não prioeitário")</f>
        <v>Pendente e Caro</v>
      </c>
      <c r="H960" s="89">
        <f>YEAR(Tabela1[[#This Row],[Data de Validade]])</f>
        <v>2026</v>
      </c>
      <c r="I960" s="89">
        <f>MONTH(Tabela1[[#This Row],[Data de Validade]])</f>
        <v>1</v>
      </c>
      <c r="J960" s="101">
        <v>89101</v>
      </c>
      <c r="K960" s="87" t="s">
        <v>7</v>
      </c>
      <c r="L960" s="108"/>
      <c r="M960" s="108"/>
      <c r="N960" s="108" t="str">
        <v>H352P562</v>
      </c>
      <c r="O960" s="108">
        <f t="shared" si="16"/>
        <v>1</v>
      </c>
      <c r="P960" s="108"/>
      <c r="Q960"/>
    </row>
    <row r="961" spans="1:17" x14ac:dyDescent="0.25">
      <c r="A961" s="89" t="s">
        <v>10257</v>
      </c>
      <c r="B961" s="87" t="s">
        <v>10258</v>
      </c>
      <c r="C961" s="87" t="s">
        <v>12</v>
      </c>
      <c r="D961" s="87" t="str">
        <f>VLOOKUP(Tabela1[[#This Row],[Origem]], 'Perguntas 1 a 24'!$J$28:$K$34, 2, 0)</f>
        <v>Sudeste</v>
      </c>
      <c r="E961" s="87" t="str">
        <f>Tabela1[[#This Row],[Descrição]]&amp;"-"&amp;Tabela1[[#This Row],[Código]]&amp;"/"&amp;Tabela1[[#This Row],[Origem]]</f>
        <v>Mapare-H556P879/RJ</v>
      </c>
      <c r="F961" s="88">
        <v>46029</v>
      </c>
      <c r="G961" s="88" t="str" cm="1">
        <f t="array" ref="G9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AND(F961&gt;= DATE(2026,1,1), F961&lt;= DATE(2028, 12, 31), J961&gt;50000), "Pendente e Caro", AND(F961&gt;= DATE(2026,1,1), F961&lt;= DATE(2028, 12, 31), J961&lt;=50000), "Pendente", F961&gt;= DATE(2029,1,1), "Não prioeitário")</f>
        <v>Pendente e Caro</v>
      </c>
      <c r="H961" s="89">
        <f>YEAR(Tabela1[[#This Row],[Data de Validade]])</f>
        <v>2026</v>
      </c>
      <c r="I961" s="89">
        <f>MONTH(Tabela1[[#This Row],[Data de Validade]])</f>
        <v>1</v>
      </c>
      <c r="J961" s="101">
        <v>110828</v>
      </c>
      <c r="K961" s="87" t="s">
        <v>7</v>
      </c>
      <c r="L961" s="108"/>
      <c r="M961" s="108"/>
      <c r="N961" s="108" t="str">
        <v>H556P879</v>
      </c>
      <c r="O961" s="108">
        <f t="shared" si="16"/>
        <v>1</v>
      </c>
      <c r="P961" s="108"/>
      <c r="Q961"/>
    </row>
    <row r="962" spans="1:17" x14ac:dyDescent="0.25">
      <c r="A962" s="89" t="s">
        <v>8781</v>
      </c>
      <c r="B962" s="87" t="s">
        <v>8782</v>
      </c>
      <c r="C962" s="87" t="s">
        <v>15</v>
      </c>
      <c r="D962" s="87" t="str">
        <f>VLOOKUP(Tabela1[[#This Row],[Origem]], 'Perguntas 1 a 24'!$J$28:$K$34, 2, 0)</f>
        <v>Sudeste</v>
      </c>
      <c r="E962" s="87" t="str">
        <f>Tabela1[[#This Row],[Descrição]]&amp;"-"&amp;Tabela1[[#This Row],[Código]]&amp;"/"&amp;Tabela1[[#This Row],[Origem]]</f>
        <v>Vapedugime-H252P758/ES</v>
      </c>
      <c r="F962" s="88">
        <v>46029</v>
      </c>
      <c r="G962" s="88" t="str" cm="1">
        <f t="array" ref="G9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AND(F962&gt;= DATE(2026,1,1), F962&lt;= DATE(2028, 12, 31), J962&gt;50000), "Pendente e Caro", AND(F962&gt;= DATE(2026,1,1), F962&lt;= DATE(2028, 12, 31), J962&lt;=50000), "Pendente", F962&gt;= DATE(2029,1,1), "Não prioeitário")</f>
        <v>Pendente e Caro</v>
      </c>
      <c r="H962" s="89">
        <f>YEAR(Tabela1[[#This Row],[Data de Validade]])</f>
        <v>2026</v>
      </c>
      <c r="I962" s="89">
        <f>MONTH(Tabela1[[#This Row],[Data de Validade]])</f>
        <v>1</v>
      </c>
      <c r="J962" s="101">
        <v>83619</v>
      </c>
      <c r="K962" s="87" t="s">
        <v>14</v>
      </c>
      <c r="L962" s="108"/>
      <c r="M962" s="108"/>
      <c r="N962" s="108" t="str">
        <v>H252P758</v>
      </c>
      <c r="O962" s="108">
        <f t="shared" si="16"/>
        <v>1</v>
      </c>
      <c r="P962" s="108"/>
      <c r="Q962"/>
    </row>
    <row r="963" spans="1:17" x14ac:dyDescent="0.25">
      <c r="A963" s="89" t="s">
        <v>6616</v>
      </c>
      <c r="B963" s="87" t="s">
        <v>6617</v>
      </c>
      <c r="C963" s="87" t="s">
        <v>12</v>
      </c>
      <c r="D963" s="87" t="str">
        <f>VLOOKUP(Tabela1[[#This Row],[Origem]], 'Perguntas 1 a 24'!$J$28:$K$34, 2, 0)</f>
        <v>Sudeste</v>
      </c>
      <c r="E963" s="87" t="str">
        <f>Tabela1[[#This Row],[Descrição]]&amp;"-"&amp;Tabela1[[#This Row],[Código]]&amp;"/"&amp;Tabela1[[#This Row],[Origem]]</f>
        <v>Pagepopudo-P127H351/RJ</v>
      </c>
      <c r="F963" s="88">
        <v>46030</v>
      </c>
      <c r="G963" s="88" t="str" cm="1">
        <f t="array" ref="G9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AND(F963&gt;= DATE(2026,1,1), F963&lt;= DATE(2028, 12, 31), J963&gt;50000), "Pendente e Caro", AND(F963&gt;= DATE(2026,1,1), F963&lt;= DATE(2028, 12, 31), J963&lt;=50000), "Pendente", F963&gt;= DATE(2029,1,1), "Não prioeitário")</f>
        <v>Pendente e Caro</v>
      </c>
      <c r="H963" s="89">
        <f>YEAR(Tabela1[[#This Row],[Data de Validade]])</f>
        <v>2026</v>
      </c>
      <c r="I963" s="89">
        <f>MONTH(Tabela1[[#This Row],[Data de Validade]])</f>
        <v>1</v>
      </c>
      <c r="J963" s="101">
        <v>65890</v>
      </c>
      <c r="K963" s="87" t="s">
        <v>9</v>
      </c>
      <c r="L963" s="108"/>
      <c r="M963" s="108"/>
      <c r="N963" s="108" t="str">
        <v>P127H351</v>
      </c>
      <c r="O963" s="108">
        <f t="shared" ref="O963:O1026" si="17">COUNTIFS(B:B,N963)</f>
        <v>1</v>
      </c>
      <c r="P963" s="108"/>
      <c r="Q963"/>
    </row>
    <row r="964" spans="1:17" x14ac:dyDescent="0.25">
      <c r="A964" s="89" t="s">
        <v>10521</v>
      </c>
      <c r="B964" s="87" t="s">
        <v>10522</v>
      </c>
      <c r="C964" s="87" t="s">
        <v>15</v>
      </c>
      <c r="D964" s="87" t="str">
        <f>VLOOKUP(Tabela1[[#This Row],[Origem]], 'Perguntas 1 a 24'!$J$28:$K$34, 2, 0)</f>
        <v>Sudeste</v>
      </c>
      <c r="E964" s="87" t="str">
        <f>Tabela1[[#This Row],[Descrição]]&amp;"-"&amp;Tabela1[[#This Row],[Código]]&amp;"/"&amp;Tabela1[[#This Row],[Origem]]</f>
        <v>Ropepicimo-P825P829/ES</v>
      </c>
      <c r="F964" s="88">
        <v>46031</v>
      </c>
      <c r="G964" s="88" t="str" cm="1">
        <f t="array" ref="G9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AND(F964&gt;= DATE(2026,1,1), F964&lt;= DATE(2028, 12, 31), J964&gt;50000), "Pendente e Caro", AND(F964&gt;= DATE(2026,1,1), F964&lt;= DATE(2028, 12, 31), J964&lt;=50000), "Pendente", F964&gt;= DATE(2029,1,1), "Não prioeitário")</f>
        <v>Pendente e Caro</v>
      </c>
      <c r="H964" s="89">
        <f>YEAR(Tabela1[[#This Row],[Data de Validade]])</f>
        <v>2026</v>
      </c>
      <c r="I964" s="89">
        <f>MONTH(Tabela1[[#This Row],[Data de Validade]])</f>
        <v>1</v>
      </c>
      <c r="J964" s="101">
        <v>87353</v>
      </c>
      <c r="K964" s="87" t="s">
        <v>9</v>
      </c>
      <c r="L964" s="108"/>
      <c r="M964" s="108"/>
      <c r="N964" s="108" t="str">
        <v>P825P829</v>
      </c>
      <c r="O964" s="108">
        <f t="shared" si="17"/>
        <v>1</v>
      </c>
      <c r="P964" s="108"/>
      <c r="Q964"/>
    </row>
    <row r="965" spans="1:17" x14ac:dyDescent="0.25">
      <c r="A965" s="89" t="s">
        <v>3946</v>
      </c>
      <c r="B965" s="87" t="s">
        <v>3947</v>
      </c>
      <c r="C965" s="87" t="s">
        <v>6</v>
      </c>
      <c r="D965" s="87" t="str">
        <f>VLOOKUP(Tabela1[[#This Row],[Origem]], 'Perguntas 1 a 24'!$J$28:$K$34, 2, 0)</f>
        <v>Nordeste</v>
      </c>
      <c r="E965" s="87" t="str">
        <f>Tabela1[[#This Row],[Descrição]]&amp;"-"&amp;Tabela1[[#This Row],[Código]]&amp;"/"&amp;Tabela1[[#This Row],[Origem]]</f>
        <v>Notilopeto-H667P322/MA</v>
      </c>
      <c r="F965" s="88">
        <v>46032</v>
      </c>
      <c r="G965" s="88" t="str" cm="1">
        <f t="array" ref="G9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AND(F965&gt;= DATE(2026,1,1), F965&lt;= DATE(2028, 12, 31), J965&gt;50000), "Pendente e Caro", AND(F965&gt;= DATE(2026,1,1), F965&lt;= DATE(2028, 12, 31), J965&lt;=50000), "Pendente", F965&gt;= DATE(2029,1,1), "Não prioeitário")</f>
        <v>Pendente e Caro</v>
      </c>
      <c r="H965" s="89">
        <f>YEAR(Tabela1[[#This Row],[Data de Validade]])</f>
        <v>2026</v>
      </c>
      <c r="I965" s="89">
        <f>MONTH(Tabela1[[#This Row],[Data de Validade]])</f>
        <v>1</v>
      </c>
      <c r="J965" s="101">
        <v>84156</v>
      </c>
      <c r="K965" s="87" t="s">
        <v>11</v>
      </c>
      <c r="L965" s="108"/>
      <c r="M965" s="108"/>
      <c r="N965" s="108" t="str">
        <v>H667P322</v>
      </c>
      <c r="O965" s="108">
        <f t="shared" si="17"/>
        <v>1</v>
      </c>
      <c r="P965" s="108"/>
      <c r="Q965"/>
    </row>
    <row r="966" spans="1:17" x14ac:dyDescent="0.25">
      <c r="A966" s="89" t="s">
        <v>7578</v>
      </c>
      <c r="B966" s="87" t="s">
        <v>7579</v>
      </c>
      <c r="C966" s="87" t="s">
        <v>16</v>
      </c>
      <c r="D966" s="87" t="str">
        <f>VLOOKUP(Tabela1[[#This Row],[Origem]], 'Perguntas 1 a 24'!$J$28:$K$34, 2, 0)</f>
        <v>Sudeste</v>
      </c>
      <c r="E966" s="87" t="str">
        <f>Tabela1[[#This Row],[Descrição]]&amp;"-"&amp;Tabela1[[#This Row],[Código]]&amp;"/"&amp;Tabela1[[#This Row],[Origem]]</f>
        <v>Gaceporofu-P875H779/MG</v>
      </c>
      <c r="F966" s="88">
        <v>46032</v>
      </c>
      <c r="G966" s="88" t="str" cm="1">
        <f t="array" ref="G9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AND(F966&gt;= DATE(2026,1,1), F966&lt;= DATE(2028, 12, 31), J966&gt;50000), "Pendente e Caro", AND(F966&gt;= DATE(2026,1,1), F966&lt;= DATE(2028, 12, 31), J966&lt;=50000), "Pendente", F966&gt;= DATE(2029,1,1), "Não prioeitário")</f>
        <v>Pendente e Caro</v>
      </c>
      <c r="H966" s="89">
        <f>YEAR(Tabela1[[#This Row],[Data de Validade]])</f>
        <v>2026</v>
      </c>
      <c r="I966" s="89">
        <f>MONTH(Tabela1[[#This Row],[Data de Validade]])</f>
        <v>1</v>
      </c>
      <c r="J966" s="101">
        <v>65212</v>
      </c>
      <c r="K966" s="87" t="s">
        <v>11</v>
      </c>
      <c r="L966" s="108"/>
      <c r="M966" s="108"/>
      <c r="N966" s="108" t="str">
        <v>P875H779</v>
      </c>
      <c r="O966" s="108">
        <f t="shared" si="17"/>
        <v>1</v>
      </c>
      <c r="P966" s="108"/>
      <c r="Q966"/>
    </row>
    <row r="967" spans="1:17" x14ac:dyDescent="0.25">
      <c r="A967" s="89" t="s">
        <v>4536</v>
      </c>
      <c r="B967" s="87" t="s">
        <v>4537</v>
      </c>
      <c r="C967" s="87" t="s">
        <v>13</v>
      </c>
      <c r="D967" s="87" t="str">
        <f>VLOOKUP(Tabela1[[#This Row],[Origem]], 'Perguntas 1 a 24'!$J$28:$K$34, 2, 0)</f>
        <v>Sudeste</v>
      </c>
      <c r="E967" s="87" t="str">
        <f>Tabela1[[#This Row],[Descrição]]&amp;"-"&amp;Tabela1[[#This Row],[Código]]&amp;"/"&amp;Tabela1[[#This Row],[Origem]]</f>
        <v>Purutiledu-H864H626/SP</v>
      </c>
      <c r="F967" s="88">
        <v>46033</v>
      </c>
      <c r="G967" s="88" t="str" cm="1">
        <f t="array" ref="G9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AND(F967&gt;= DATE(2026,1,1), F967&lt;= DATE(2028, 12, 31), J967&gt;50000), "Pendente e Caro", AND(F967&gt;= DATE(2026,1,1), F967&lt;= DATE(2028, 12, 31), J967&lt;=50000), "Pendente", F967&gt;= DATE(2029,1,1), "Não prioeitário")</f>
        <v>Pendente</v>
      </c>
      <c r="H967" s="89">
        <f>YEAR(Tabela1[[#This Row],[Data de Validade]])</f>
        <v>2026</v>
      </c>
      <c r="I967" s="89">
        <f>MONTH(Tabela1[[#This Row],[Data de Validade]])</f>
        <v>1</v>
      </c>
      <c r="J967" s="101">
        <v>48330</v>
      </c>
      <c r="K967" s="87" t="s">
        <v>11</v>
      </c>
      <c r="L967" s="108"/>
      <c r="M967" s="108"/>
      <c r="N967" s="108" t="str">
        <v>H864H626</v>
      </c>
      <c r="O967" s="108">
        <f t="shared" si="17"/>
        <v>1</v>
      </c>
      <c r="P967" s="108"/>
      <c r="Q967"/>
    </row>
    <row r="968" spans="1:17" x14ac:dyDescent="0.25">
      <c r="A968" s="89" t="s">
        <v>10737</v>
      </c>
      <c r="B968" s="87" t="s">
        <v>10738</v>
      </c>
      <c r="C968" s="87" t="s">
        <v>13</v>
      </c>
      <c r="D968" s="87" t="str">
        <f>VLOOKUP(Tabela1[[#This Row],[Origem]], 'Perguntas 1 a 24'!$J$28:$K$34, 2, 0)</f>
        <v>Sudeste</v>
      </c>
      <c r="E968" s="87" t="str">
        <f>Tabela1[[#This Row],[Descrição]]&amp;"-"&amp;Tabela1[[#This Row],[Código]]&amp;"/"&amp;Tabela1[[#This Row],[Origem]]</f>
        <v>Vipoteturu-H412H268/SP</v>
      </c>
      <c r="F968" s="88">
        <v>46036</v>
      </c>
      <c r="G968" s="88" t="str" cm="1">
        <f t="array" ref="G9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AND(F968&gt;= DATE(2026,1,1), F968&lt;= DATE(2028, 12, 31), J968&gt;50000), "Pendente e Caro", AND(F968&gt;= DATE(2026,1,1), F968&lt;= DATE(2028, 12, 31), J968&lt;=50000), "Pendente", F968&gt;= DATE(2029,1,1), "Não prioeitário")</f>
        <v>Pendente e Caro</v>
      </c>
      <c r="H968" s="89">
        <f>YEAR(Tabela1[[#This Row],[Data de Validade]])</f>
        <v>2026</v>
      </c>
      <c r="I968" s="89">
        <f>MONTH(Tabela1[[#This Row],[Data de Validade]])</f>
        <v>1</v>
      </c>
      <c r="J968" s="101">
        <v>114228</v>
      </c>
      <c r="K968" s="87" t="s">
        <v>9</v>
      </c>
      <c r="L968" s="108"/>
      <c r="M968" s="108"/>
      <c r="N968" s="108" t="str">
        <v>H412H268</v>
      </c>
      <c r="O968" s="108">
        <f t="shared" si="17"/>
        <v>1</v>
      </c>
      <c r="P968" s="108"/>
      <c r="Q968"/>
    </row>
    <row r="969" spans="1:17" x14ac:dyDescent="0.25">
      <c r="A969" s="89" t="s">
        <v>8186</v>
      </c>
      <c r="B969" s="87" t="s">
        <v>8187</v>
      </c>
      <c r="C969" s="87" t="s">
        <v>6</v>
      </c>
      <c r="D969" s="87" t="str">
        <f>VLOOKUP(Tabela1[[#This Row],[Origem]], 'Perguntas 1 a 24'!$J$28:$K$34, 2, 0)</f>
        <v>Nordeste</v>
      </c>
      <c r="E969" s="87" t="str">
        <f>Tabela1[[#This Row],[Descrição]]&amp;"-"&amp;Tabela1[[#This Row],[Código]]&amp;"/"&amp;Tabela1[[#This Row],[Origem]]</f>
        <v>Gocole-H823P635/MA</v>
      </c>
      <c r="F969" s="88">
        <v>46040</v>
      </c>
      <c r="G969" s="88" t="str" cm="1">
        <f t="array" ref="G9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AND(F969&gt;= DATE(2026,1,1), F969&lt;= DATE(2028, 12, 31), J969&gt;50000), "Pendente e Caro", AND(F969&gt;= DATE(2026,1,1), F969&lt;= DATE(2028, 12, 31), J969&lt;=50000), "Pendente", F969&gt;= DATE(2029,1,1), "Não prioeitário")</f>
        <v>Pendente e Caro</v>
      </c>
      <c r="H969" s="89">
        <f>YEAR(Tabela1[[#This Row],[Data de Validade]])</f>
        <v>2026</v>
      </c>
      <c r="I969" s="89">
        <f>MONTH(Tabela1[[#This Row],[Data de Validade]])</f>
        <v>1</v>
      </c>
      <c r="J969" s="101">
        <v>101966</v>
      </c>
      <c r="K969" s="87" t="s">
        <v>14</v>
      </c>
      <c r="L969" s="108"/>
      <c r="M969" s="108"/>
      <c r="N969" s="108" t="str">
        <v>H823P635</v>
      </c>
      <c r="O969" s="108">
        <f t="shared" si="17"/>
        <v>1</v>
      </c>
      <c r="P969" s="108"/>
      <c r="Q969"/>
    </row>
    <row r="970" spans="1:17" x14ac:dyDescent="0.25">
      <c r="A970" s="89" t="s">
        <v>9741</v>
      </c>
      <c r="B970" s="87" t="s">
        <v>9742</v>
      </c>
      <c r="C970" s="87" t="s">
        <v>16</v>
      </c>
      <c r="D970" s="87" t="str">
        <f>VLOOKUP(Tabela1[[#This Row],[Origem]], 'Perguntas 1 a 24'!$J$28:$K$34, 2, 0)</f>
        <v>Sudeste</v>
      </c>
      <c r="E970" s="87" t="str">
        <f>Tabela1[[#This Row],[Descrição]]&amp;"-"&amp;Tabela1[[#This Row],[Código]]&amp;"/"&amp;Tabela1[[#This Row],[Origem]]</f>
        <v>Gepepa-P551H689/MG</v>
      </c>
      <c r="F970" s="88">
        <v>46040</v>
      </c>
      <c r="G970" s="88" t="str" cm="1">
        <f t="array" ref="G9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AND(F970&gt;= DATE(2026,1,1), F970&lt;= DATE(2028, 12, 31), J970&gt;50000), "Pendente e Caro", AND(F970&gt;= DATE(2026,1,1), F970&lt;= DATE(2028, 12, 31), J970&lt;=50000), "Pendente", F970&gt;= DATE(2029,1,1), "Não prioeitário")</f>
        <v>Pendente e Caro</v>
      </c>
      <c r="H970" s="89">
        <f>YEAR(Tabela1[[#This Row],[Data de Validade]])</f>
        <v>2026</v>
      </c>
      <c r="I970" s="89">
        <f>MONTH(Tabela1[[#This Row],[Data de Validade]])</f>
        <v>1</v>
      </c>
      <c r="J970" s="101">
        <v>95044</v>
      </c>
      <c r="K970" s="87" t="s">
        <v>11</v>
      </c>
      <c r="L970" s="108"/>
      <c r="M970" s="108"/>
      <c r="N970" s="108" t="str">
        <v>P551H689</v>
      </c>
      <c r="O970" s="108">
        <f t="shared" si="17"/>
        <v>1</v>
      </c>
      <c r="P970" s="108"/>
      <c r="Q970"/>
    </row>
    <row r="971" spans="1:17" x14ac:dyDescent="0.25">
      <c r="A971" s="89" t="s">
        <v>6058</v>
      </c>
      <c r="B971" s="87" t="s">
        <v>6059</v>
      </c>
      <c r="C971" s="87" t="s">
        <v>6</v>
      </c>
      <c r="D971" s="87" t="str">
        <f>VLOOKUP(Tabela1[[#This Row],[Origem]], 'Perguntas 1 a 24'!$J$28:$K$34, 2, 0)</f>
        <v>Nordeste</v>
      </c>
      <c r="E971" s="87" t="str">
        <f>Tabela1[[#This Row],[Descrição]]&amp;"-"&amp;Tabela1[[#This Row],[Código]]&amp;"/"&amp;Tabela1[[#This Row],[Origem]]</f>
        <v>Nomutivi-P354H777/MA</v>
      </c>
      <c r="F971" s="88">
        <v>46041</v>
      </c>
      <c r="G971" s="88" t="str" cm="1">
        <f t="array" ref="G9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AND(F971&gt;= DATE(2026,1,1), F971&lt;= DATE(2028, 12, 31), J971&gt;50000), "Pendente e Caro", AND(F971&gt;= DATE(2026,1,1), F971&lt;= DATE(2028, 12, 31), J971&lt;=50000), "Pendente", F971&gt;= DATE(2029,1,1), "Não prioeitário")</f>
        <v>Pendente e Caro</v>
      </c>
      <c r="H971" s="89">
        <f>YEAR(Tabela1[[#This Row],[Data de Validade]])</f>
        <v>2026</v>
      </c>
      <c r="I971" s="89">
        <f>MONTH(Tabela1[[#This Row],[Data de Validade]])</f>
        <v>1</v>
      </c>
      <c r="J971" s="101">
        <v>79777</v>
      </c>
      <c r="K971" s="87" t="s">
        <v>7</v>
      </c>
      <c r="L971" s="108"/>
      <c r="M971" s="108"/>
      <c r="N971" s="108" t="str">
        <v>P354H777</v>
      </c>
      <c r="O971" s="108">
        <f t="shared" si="17"/>
        <v>1</v>
      </c>
      <c r="P971" s="108"/>
      <c r="Q971"/>
    </row>
    <row r="972" spans="1:17" x14ac:dyDescent="0.25">
      <c r="A972" s="89" t="s">
        <v>4492</v>
      </c>
      <c r="B972" s="87" t="s">
        <v>4493</v>
      </c>
      <c r="C972" s="87" t="s">
        <v>13</v>
      </c>
      <c r="D972" s="87" t="str">
        <f>VLOOKUP(Tabela1[[#This Row],[Origem]], 'Perguntas 1 a 24'!$J$28:$K$34, 2, 0)</f>
        <v>Sudeste</v>
      </c>
      <c r="E972" s="87" t="str">
        <f>Tabela1[[#This Row],[Descrição]]&amp;"-"&amp;Tabela1[[#This Row],[Código]]&amp;"/"&amp;Tabela1[[#This Row],[Origem]]</f>
        <v>Garuroro-H272P258/SP</v>
      </c>
      <c r="F972" s="88">
        <v>46041</v>
      </c>
      <c r="G972" s="88" t="str" cm="1">
        <f t="array" ref="G9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AND(F972&gt;= DATE(2026,1,1), F972&lt;= DATE(2028, 12, 31), J972&gt;50000), "Pendente e Caro", AND(F972&gt;= DATE(2026,1,1), F972&lt;= DATE(2028, 12, 31), J972&lt;=50000), "Pendente", F972&gt;= DATE(2029,1,1), "Não prioeitário")</f>
        <v>Pendente e Caro</v>
      </c>
      <c r="H972" s="89">
        <f>YEAR(Tabela1[[#This Row],[Data de Validade]])</f>
        <v>2026</v>
      </c>
      <c r="I972" s="89">
        <f>MONTH(Tabela1[[#This Row],[Data de Validade]])</f>
        <v>1</v>
      </c>
      <c r="J972" s="101">
        <v>64393</v>
      </c>
      <c r="K972" s="87" t="s">
        <v>14</v>
      </c>
      <c r="L972" s="108"/>
      <c r="M972" s="108"/>
      <c r="N972" s="108" t="str">
        <v>H272P258</v>
      </c>
      <c r="O972" s="108">
        <f t="shared" si="17"/>
        <v>1</v>
      </c>
      <c r="P972" s="108"/>
      <c r="Q972"/>
    </row>
    <row r="973" spans="1:17" x14ac:dyDescent="0.25">
      <c r="A973" s="89" t="s">
        <v>6408</v>
      </c>
      <c r="B973" s="87" t="s">
        <v>6409</v>
      </c>
      <c r="C973" s="87" t="s">
        <v>6</v>
      </c>
      <c r="D973" s="87" t="str">
        <f>VLOOKUP(Tabela1[[#This Row],[Origem]], 'Perguntas 1 a 24'!$J$28:$K$34, 2, 0)</f>
        <v>Nordeste</v>
      </c>
      <c r="E973" s="87" t="str">
        <f>Tabela1[[#This Row],[Descrição]]&amp;"-"&amp;Tabela1[[#This Row],[Código]]&amp;"/"&amp;Tabela1[[#This Row],[Origem]]</f>
        <v>Dupafapide-H466H767/MA</v>
      </c>
      <c r="F973" s="88">
        <v>46042</v>
      </c>
      <c r="G973" s="88" t="str" cm="1">
        <f t="array" ref="G9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AND(F973&gt;= DATE(2026,1,1), F973&lt;= DATE(2028, 12, 31), J973&gt;50000), "Pendente e Caro", AND(F973&gt;= DATE(2026,1,1), F973&lt;= DATE(2028, 12, 31), J973&lt;=50000), "Pendente", F973&gt;= DATE(2029,1,1), "Não prioeitário")</f>
        <v>Pendente e Caro</v>
      </c>
      <c r="H973" s="89">
        <f>YEAR(Tabela1[[#This Row],[Data de Validade]])</f>
        <v>2026</v>
      </c>
      <c r="I973" s="89">
        <f>MONTH(Tabela1[[#This Row],[Data de Validade]])</f>
        <v>1</v>
      </c>
      <c r="J973" s="101">
        <v>84136</v>
      </c>
      <c r="K973" s="87" t="s">
        <v>7</v>
      </c>
      <c r="L973" s="108"/>
      <c r="M973" s="108"/>
      <c r="N973" s="108" t="str">
        <v>H466H767</v>
      </c>
      <c r="O973" s="108">
        <f t="shared" si="17"/>
        <v>1</v>
      </c>
      <c r="P973" s="108"/>
      <c r="Q973"/>
    </row>
    <row r="974" spans="1:17" x14ac:dyDescent="0.25">
      <c r="A974" s="89" t="s">
        <v>4158</v>
      </c>
      <c r="B974" s="87" t="s">
        <v>4159</v>
      </c>
      <c r="C974" s="87" t="s">
        <v>12</v>
      </c>
      <c r="D974" s="87" t="str">
        <f>VLOOKUP(Tabela1[[#This Row],[Origem]], 'Perguntas 1 a 24'!$J$28:$K$34, 2, 0)</f>
        <v>Sudeste</v>
      </c>
      <c r="E974" s="87" t="str">
        <f>Tabela1[[#This Row],[Descrição]]&amp;"-"&amp;Tabela1[[#This Row],[Código]]&amp;"/"&amp;Tabela1[[#This Row],[Origem]]</f>
        <v>Raretopa-P135H989/RJ</v>
      </c>
      <c r="F974" s="88">
        <v>46042</v>
      </c>
      <c r="G974" s="88" t="str" cm="1">
        <f t="array" ref="G9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AND(F974&gt;= DATE(2026,1,1), F974&lt;= DATE(2028, 12, 31), J974&gt;50000), "Pendente e Caro", AND(F974&gt;= DATE(2026,1,1), F974&lt;= DATE(2028, 12, 31), J974&lt;=50000), "Pendente", F974&gt;= DATE(2029,1,1), "Não prioeitário")</f>
        <v>Pendente</v>
      </c>
      <c r="H974" s="89">
        <f>YEAR(Tabela1[[#This Row],[Data de Validade]])</f>
        <v>2026</v>
      </c>
      <c r="I974" s="89">
        <f>MONTH(Tabela1[[#This Row],[Data de Validade]])</f>
        <v>1</v>
      </c>
      <c r="J974" s="101">
        <v>21228</v>
      </c>
      <c r="K974" s="87" t="s">
        <v>7</v>
      </c>
      <c r="L974" s="108"/>
      <c r="M974" s="108"/>
      <c r="N974" s="108" t="str">
        <v>P135H989</v>
      </c>
      <c r="O974" s="108">
        <f t="shared" si="17"/>
        <v>1</v>
      </c>
      <c r="P974" s="108"/>
      <c r="Q974"/>
    </row>
    <row r="975" spans="1:17" x14ac:dyDescent="0.25">
      <c r="A975" s="89" t="s">
        <v>7964</v>
      </c>
      <c r="B975" s="87" t="s">
        <v>7965</v>
      </c>
      <c r="C975" s="87" t="s">
        <v>16</v>
      </c>
      <c r="D975" s="87" t="str">
        <f>VLOOKUP(Tabela1[[#This Row],[Origem]], 'Perguntas 1 a 24'!$J$28:$K$34, 2, 0)</f>
        <v>Sudeste</v>
      </c>
      <c r="E975" s="87" t="str">
        <f>Tabela1[[#This Row],[Descrição]]&amp;"-"&amp;Tabela1[[#This Row],[Código]]&amp;"/"&amp;Tabela1[[#This Row],[Origem]]</f>
        <v>Pifuci-H249P844/MG</v>
      </c>
      <c r="F975" s="88">
        <v>46043</v>
      </c>
      <c r="G975" s="88" t="str" cm="1">
        <f t="array" ref="G9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AND(F975&gt;= DATE(2026,1,1), F975&lt;= DATE(2028, 12, 31), J975&gt;50000), "Pendente e Caro", AND(F975&gt;= DATE(2026,1,1), F975&lt;= DATE(2028, 12, 31), J975&lt;=50000), "Pendente", F975&gt;= DATE(2029,1,1), "Não prioeitário")</f>
        <v>Pendente e Caro</v>
      </c>
      <c r="H975" s="89">
        <f>YEAR(Tabela1[[#This Row],[Data de Validade]])</f>
        <v>2026</v>
      </c>
      <c r="I975" s="89">
        <f>MONTH(Tabela1[[#This Row],[Data de Validade]])</f>
        <v>1</v>
      </c>
      <c r="J975" s="101">
        <v>64303</v>
      </c>
      <c r="K975" s="87" t="s">
        <v>7</v>
      </c>
      <c r="L975" s="108"/>
      <c r="M975" s="108"/>
      <c r="N975" s="108" t="str">
        <v>H249P844</v>
      </c>
      <c r="O975" s="108">
        <f t="shared" si="17"/>
        <v>1</v>
      </c>
      <c r="P975" s="108"/>
      <c r="Q975"/>
    </row>
    <row r="976" spans="1:17" x14ac:dyDescent="0.25">
      <c r="A976" s="89" t="s">
        <v>5840</v>
      </c>
      <c r="B976" s="87" t="s">
        <v>5841</v>
      </c>
      <c r="C976" s="87" t="s">
        <v>15</v>
      </c>
      <c r="D976" s="87" t="str">
        <f>VLOOKUP(Tabela1[[#This Row],[Origem]], 'Perguntas 1 a 24'!$J$28:$K$34, 2, 0)</f>
        <v>Sudeste</v>
      </c>
      <c r="E976" s="87" t="str">
        <f>Tabela1[[#This Row],[Descrição]]&amp;"-"&amp;Tabela1[[#This Row],[Código]]&amp;"/"&amp;Tabela1[[#This Row],[Origem]]</f>
        <v>Petapomu-H978H861/ES</v>
      </c>
      <c r="F976" s="88">
        <v>46045</v>
      </c>
      <c r="G976" s="88" t="str" cm="1">
        <f t="array" ref="G9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AND(F976&gt;= DATE(2026,1,1), F976&lt;= DATE(2028, 12, 31), J976&gt;50000), "Pendente e Caro", AND(F976&gt;= DATE(2026,1,1), F976&lt;= DATE(2028, 12, 31), J976&lt;=50000), "Pendente", F976&gt;= DATE(2029,1,1), "Não prioeitário")</f>
        <v>Pendente e Caro</v>
      </c>
      <c r="H976" s="89">
        <f>YEAR(Tabela1[[#This Row],[Data de Validade]])</f>
        <v>2026</v>
      </c>
      <c r="I976" s="89">
        <f>MONTH(Tabela1[[#This Row],[Data de Validade]])</f>
        <v>1</v>
      </c>
      <c r="J976" s="101">
        <v>102614</v>
      </c>
      <c r="K976" s="87" t="s">
        <v>11</v>
      </c>
      <c r="L976" s="108"/>
      <c r="M976" s="108"/>
      <c r="N976" s="108" t="str">
        <v>H978H861</v>
      </c>
      <c r="O976" s="108">
        <f t="shared" si="17"/>
        <v>1</v>
      </c>
      <c r="P976" s="108"/>
      <c r="Q976"/>
    </row>
    <row r="977" spans="1:17" x14ac:dyDescent="0.25">
      <c r="A977" s="89" t="s">
        <v>6586</v>
      </c>
      <c r="B977" s="87" t="s">
        <v>6587</v>
      </c>
      <c r="C977" s="87" t="s">
        <v>6</v>
      </c>
      <c r="D977" s="87" t="str">
        <f>VLOOKUP(Tabela1[[#This Row],[Origem]], 'Perguntas 1 a 24'!$J$28:$K$34, 2, 0)</f>
        <v>Nordeste</v>
      </c>
      <c r="E977" s="87" t="str">
        <f>Tabela1[[#This Row],[Descrição]]&amp;"-"&amp;Tabela1[[#This Row],[Código]]&amp;"/"&amp;Tabela1[[#This Row],[Origem]]</f>
        <v>Mirote-P714P947/MA</v>
      </c>
      <c r="F977" s="88">
        <v>46045</v>
      </c>
      <c r="G977" s="88" t="str" cm="1">
        <f t="array" ref="G9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AND(F977&gt;= DATE(2026,1,1), F977&lt;= DATE(2028, 12, 31), J977&gt;50000), "Pendente e Caro", AND(F977&gt;= DATE(2026,1,1), F977&lt;= DATE(2028, 12, 31), J977&lt;=50000), "Pendente", F977&gt;= DATE(2029,1,1), "Não prioeitário")</f>
        <v>Pendente e Caro</v>
      </c>
      <c r="H977" s="89">
        <f>YEAR(Tabela1[[#This Row],[Data de Validade]])</f>
        <v>2026</v>
      </c>
      <c r="I977" s="89">
        <f>MONTH(Tabela1[[#This Row],[Data de Validade]])</f>
        <v>1</v>
      </c>
      <c r="J977" s="101">
        <v>100689</v>
      </c>
      <c r="K977" s="87" t="s">
        <v>11</v>
      </c>
      <c r="L977" s="108"/>
      <c r="M977" s="108"/>
      <c r="N977" s="108" t="str">
        <v>P714P947</v>
      </c>
      <c r="O977" s="108">
        <f t="shared" si="17"/>
        <v>1</v>
      </c>
      <c r="P977" s="108"/>
      <c r="Q977"/>
    </row>
    <row r="978" spans="1:17" x14ac:dyDescent="0.25">
      <c r="A978" s="89" t="s">
        <v>8048</v>
      </c>
      <c r="B978" s="87" t="s">
        <v>8049</v>
      </c>
      <c r="C978" s="87" t="s">
        <v>12</v>
      </c>
      <c r="D978" s="87" t="str">
        <f>VLOOKUP(Tabela1[[#This Row],[Origem]], 'Perguntas 1 a 24'!$J$28:$K$34, 2, 0)</f>
        <v>Sudeste</v>
      </c>
      <c r="E978" s="87" t="str">
        <f>Tabela1[[#This Row],[Descrição]]&amp;"-"&amp;Tabela1[[#This Row],[Código]]&amp;"/"&amp;Tabela1[[#This Row],[Origem]]</f>
        <v>Ponolape-H217H485/RJ</v>
      </c>
      <c r="F978" s="88">
        <v>46045</v>
      </c>
      <c r="G978" s="88" t="str" cm="1">
        <f t="array" ref="G9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AND(F978&gt;= DATE(2026,1,1), F978&lt;= DATE(2028, 12, 31), J978&gt;50000), "Pendente e Caro", AND(F978&gt;= DATE(2026,1,1), F978&lt;= DATE(2028, 12, 31), J978&lt;=50000), "Pendente", F978&gt;= DATE(2029,1,1), "Não prioeitário")</f>
        <v>Pendente e Caro</v>
      </c>
      <c r="H978" s="89">
        <f>YEAR(Tabela1[[#This Row],[Data de Validade]])</f>
        <v>2026</v>
      </c>
      <c r="I978" s="89">
        <f>MONTH(Tabela1[[#This Row],[Data de Validade]])</f>
        <v>1</v>
      </c>
      <c r="J978" s="101">
        <v>63253</v>
      </c>
      <c r="K978" s="87" t="s">
        <v>9</v>
      </c>
      <c r="L978" s="108"/>
      <c r="M978" s="108"/>
      <c r="N978" s="108" t="str">
        <v>H217H485</v>
      </c>
      <c r="O978" s="108">
        <f t="shared" si="17"/>
        <v>1</v>
      </c>
      <c r="P978" s="108"/>
      <c r="Q978"/>
    </row>
    <row r="979" spans="1:17" x14ac:dyDescent="0.25">
      <c r="A979" s="89" t="s">
        <v>9983</v>
      </c>
      <c r="B979" s="87" t="s">
        <v>9984</v>
      </c>
      <c r="C979" s="87" t="s">
        <v>10</v>
      </c>
      <c r="D979" s="87" t="str">
        <f>VLOOKUP(Tabela1[[#This Row],[Origem]], 'Perguntas 1 a 24'!$J$28:$K$34, 2, 0)</f>
        <v>Centro-Oeste</v>
      </c>
      <c r="E979" s="87" t="str">
        <f>Tabela1[[#This Row],[Descrição]]&amp;"-"&amp;Tabela1[[#This Row],[Código]]&amp;"/"&amp;Tabela1[[#This Row],[Origem]]</f>
        <v>Namolefo-P225H168/GO</v>
      </c>
      <c r="F979" s="88">
        <v>46045</v>
      </c>
      <c r="G979" s="88" t="str" cm="1">
        <f t="array" ref="G9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AND(F979&gt;= DATE(2026,1,1), F979&lt;= DATE(2028, 12, 31), J979&gt;50000), "Pendente e Caro", AND(F979&gt;= DATE(2026,1,1), F979&lt;= DATE(2028, 12, 31), J979&lt;=50000), "Pendente", F979&gt;= DATE(2029,1,1), "Não prioeitário")</f>
        <v>Pendente</v>
      </c>
      <c r="H979" s="89">
        <f>YEAR(Tabela1[[#This Row],[Data de Validade]])</f>
        <v>2026</v>
      </c>
      <c r="I979" s="89">
        <f>MONTH(Tabela1[[#This Row],[Data de Validade]])</f>
        <v>1</v>
      </c>
      <c r="J979" s="101">
        <v>22121</v>
      </c>
      <c r="K979" s="87" t="s">
        <v>7</v>
      </c>
      <c r="L979" s="108"/>
      <c r="M979" s="108"/>
      <c r="N979" s="108" t="str">
        <v>P225H168</v>
      </c>
      <c r="O979" s="108">
        <f t="shared" si="17"/>
        <v>1</v>
      </c>
      <c r="P979" s="108"/>
      <c r="Q979"/>
    </row>
    <row r="980" spans="1:17" x14ac:dyDescent="0.25">
      <c r="A980" s="89" t="s">
        <v>10091</v>
      </c>
      <c r="B980" s="87" t="s">
        <v>10092</v>
      </c>
      <c r="C980" s="87" t="s">
        <v>6</v>
      </c>
      <c r="D980" s="87" t="str">
        <f>VLOOKUP(Tabela1[[#This Row],[Origem]], 'Perguntas 1 a 24'!$J$28:$K$34, 2, 0)</f>
        <v>Nordeste</v>
      </c>
      <c r="E980" s="87" t="str">
        <f>Tabela1[[#This Row],[Descrição]]&amp;"-"&amp;Tabela1[[#This Row],[Código]]&amp;"/"&amp;Tabela1[[#This Row],[Origem]]</f>
        <v>Ruperopa-P494P375/MA</v>
      </c>
      <c r="F980" s="88">
        <v>46047</v>
      </c>
      <c r="G980" s="88" t="str" cm="1">
        <f t="array" ref="G9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AND(F980&gt;= DATE(2026,1,1), F980&lt;= DATE(2028, 12, 31), J980&gt;50000), "Pendente e Caro", AND(F980&gt;= DATE(2026,1,1), F980&lt;= DATE(2028, 12, 31), J980&lt;=50000), "Pendente", F980&gt;= DATE(2029,1,1), "Não prioeitário")</f>
        <v>Pendente e Caro</v>
      </c>
      <c r="H980" s="89">
        <f>YEAR(Tabela1[[#This Row],[Data de Validade]])</f>
        <v>2026</v>
      </c>
      <c r="I980" s="89">
        <f>MONTH(Tabela1[[#This Row],[Data de Validade]])</f>
        <v>1</v>
      </c>
      <c r="J980" s="101">
        <v>107375</v>
      </c>
      <c r="K980" s="87" t="s">
        <v>11</v>
      </c>
      <c r="L980" s="108"/>
      <c r="M980" s="108"/>
      <c r="N980" s="108" t="str">
        <v>P494P375</v>
      </c>
      <c r="O980" s="108">
        <f t="shared" si="17"/>
        <v>1</v>
      </c>
      <c r="P980" s="108"/>
      <c r="Q980"/>
    </row>
    <row r="981" spans="1:17" x14ac:dyDescent="0.25">
      <c r="A981" s="89" t="s">
        <v>7830</v>
      </c>
      <c r="B981" s="87" t="s">
        <v>7831</v>
      </c>
      <c r="C981" s="87" t="s">
        <v>13</v>
      </c>
      <c r="D981" s="87" t="str">
        <f>VLOOKUP(Tabela1[[#This Row],[Origem]], 'Perguntas 1 a 24'!$J$28:$K$34, 2, 0)</f>
        <v>Sudeste</v>
      </c>
      <c r="E981" s="87" t="str">
        <f>Tabela1[[#This Row],[Descrição]]&amp;"-"&amp;Tabela1[[#This Row],[Código]]&amp;"/"&amp;Tabela1[[#This Row],[Origem]]</f>
        <v>Nutecidipo-P673H559/SP</v>
      </c>
      <c r="F981" s="88">
        <v>46048</v>
      </c>
      <c r="G981" s="88" t="str" cm="1">
        <f t="array" ref="G9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AND(F981&gt;= DATE(2026,1,1), F981&lt;= DATE(2028, 12, 31), J981&gt;50000), "Pendente e Caro", AND(F981&gt;= DATE(2026,1,1), F981&lt;= DATE(2028, 12, 31), J981&lt;=50000), "Pendente", F981&gt;= DATE(2029,1,1), "Não prioeitário")</f>
        <v>Pendente e Caro</v>
      </c>
      <c r="H981" s="89">
        <f>YEAR(Tabela1[[#This Row],[Data de Validade]])</f>
        <v>2026</v>
      </c>
      <c r="I981" s="89">
        <f>MONTH(Tabela1[[#This Row],[Data de Validade]])</f>
        <v>1</v>
      </c>
      <c r="J981" s="101">
        <v>110415</v>
      </c>
      <c r="K981" s="87" t="s">
        <v>11</v>
      </c>
      <c r="L981" s="108"/>
      <c r="M981" s="108"/>
      <c r="N981" s="108" t="str">
        <v>P673H559</v>
      </c>
      <c r="O981" s="108">
        <f t="shared" si="17"/>
        <v>1</v>
      </c>
      <c r="P981" s="108"/>
      <c r="Q981"/>
    </row>
    <row r="982" spans="1:17" x14ac:dyDescent="0.25">
      <c r="A982" s="89" t="s">
        <v>3980</v>
      </c>
      <c r="B982" s="87" t="s">
        <v>3981</v>
      </c>
      <c r="C982" s="87" t="s">
        <v>15</v>
      </c>
      <c r="D982" s="87" t="str">
        <f>VLOOKUP(Tabela1[[#This Row],[Origem]], 'Perguntas 1 a 24'!$J$28:$K$34, 2, 0)</f>
        <v>Sudeste</v>
      </c>
      <c r="E982" s="87" t="str">
        <f>Tabela1[[#This Row],[Descrição]]&amp;"-"&amp;Tabela1[[#This Row],[Código]]&amp;"/"&amp;Tabela1[[#This Row],[Origem]]</f>
        <v>Pepora-P393H894/ES</v>
      </c>
      <c r="F982" s="88">
        <v>46048</v>
      </c>
      <c r="G982" s="88" t="str" cm="1">
        <f t="array" ref="G9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AND(F982&gt;= DATE(2026,1,1), F982&lt;= DATE(2028, 12, 31), J982&gt;50000), "Pendente e Caro", AND(F982&gt;= DATE(2026,1,1), F982&lt;= DATE(2028, 12, 31), J982&lt;=50000), "Pendente", F982&gt;= DATE(2029,1,1), "Não prioeitário")</f>
        <v>Pendente e Caro</v>
      </c>
      <c r="H982" s="89">
        <f>YEAR(Tabela1[[#This Row],[Data de Validade]])</f>
        <v>2026</v>
      </c>
      <c r="I982" s="89">
        <f>MONTH(Tabela1[[#This Row],[Data de Validade]])</f>
        <v>1</v>
      </c>
      <c r="J982" s="101">
        <v>85086</v>
      </c>
      <c r="K982" s="87" t="s">
        <v>7</v>
      </c>
      <c r="L982" s="108"/>
      <c r="M982" s="108"/>
      <c r="N982" s="108" t="str">
        <v>P393H894</v>
      </c>
      <c r="O982" s="108">
        <f t="shared" si="17"/>
        <v>1</v>
      </c>
      <c r="P982" s="108"/>
      <c r="Q982"/>
    </row>
    <row r="983" spans="1:17" x14ac:dyDescent="0.25">
      <c r="A983" s="89" t="s">
        <v>10689</v>
      </c>
      <c r="B983" s="87" t="s">
        <v>10690</v>
      </c>
      <c r="C983" s="87" t="s">
        <v>8</v>
      </c>
      <c r="D983" s="87" t="str">
        <f>VLOOKUP(Tabela1[[#This Row],[Origem]], 'Perguntas 1 a 24'!$J$28:$K$34, 2, 0)</f>
        <v>Nordeste</v>
      </c>
      <c r="E983" s="87" t="str">
        <f>Tabela1[[#This Row],[Descrição]]&amp;"-"&amp;Tabela1[[#This Row],[Código]]&amp;"/"&amp;Tabela1[[#This Row],[Origem]]</f>
        <v>Fipero-H638H495/AL</v>
      </c>
      <c r="F983" s="88">
        <v>46048</v>
      </c>
      <c r="G983" s="88" t="str" cm="1">
        <f t="array" ref="G9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AND(F983&gt;= DATE(2026,1,1), F983&lt;= DATE(2028, 12, 31), J983&gt;50000), "Pendente e Caro", AND(F983&gt;= DATE(2026,1,1), F983&lt;= DATE(2028, 12, 31), J983&lt;=50000), "Pendente", F983&gt;= DATE(2029,1,1), "Não prioeitário")</f>
        <v>Pendente</v>
      </c>
      <c r="H983" s="89">
        <f>YEAR(Tabela1[[#This Row],[Data de Validade]])</f>
        <v>2026</v>
      </c>
      <c r="I983" s="89">
        <f>MONTH(Tabela1[[#This Row],[Data de Validade]])</f>
        <v>1</v>
      </c>
      <c r="J983" s="101">
        <v>47509</v>
      </c>
      <c r="K983" s="87" t="s">
        <v>7</v>
      </c>
      <c r="L983" s="108"/>
      <c r="M983" s="108"/>
      <c r="N983" s="108" t="str">
        <v>H638H495</v>
      </c>
      <c r="O983" s="108">
        <f t="shared" si="17"/>
        <v>1</v>
      </c>
      <c r="P983" s="108"/>
      <c r="Q983"/>
    </row>
    <row r="984" spans="1:17" x14ac:dyDescent="0.25">
      <c r="A984" s="89" t="s">
        <v>4896</v>
      </c>
      <c r="B984" s="87" t="s">
        <v>4897</v>
      </c>
      <c r="C984" s="87" t="s">
        <v>6</v>
      </c>
      <c r="D984" s="87" t="str">
        <f>VLOOKUP(Tabela1[[#This Row],[Origem]], 'Perguntas 1 a 24'!$J$28:$K$34, 2, 0)</f>
        <v>Nordeste</v>
      </c>
      <c r="E984" s="87" t="str">
        <f>Tabela1[[#This Row],[Descrição]]&amp;"-"&amp;Tabela1[[#This Row],[Código]]&amp;"/"&amp;Tabela1[[#This Row],[Origem]]</f>
        <v>Comori-H679P688/MA</v>
      </c>
      <c r="F984" s="88">
        <v>46050</v>
      </c>
      <c r="G984" s="88" t="str" cm="1">
        <f t="array" ref="G9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AND(F984&gt;= DATE(2026,1,1), F984&lt;= DATE(2028, 12, 31), J984&gt;50000), "Pendente e Caro", AND(F984&gt;= DATE(2026,1,1), F984&lt;= DATE(2028, 12, 31), J984&lt;=50000), "Pendente", F984&gt;= DATE(2029,1,1), "Não prioeitário")</f>
        <v>Pendente e Caro</v>
      </c>
      <c r="H984" s="89">
        <f>YEAR(Tabela1[[#This Row],[Data de Validade]])</f>
        <v>2026</v>
      </c>
      <c r="I984" s="89">
        <f>MONTH(Tabela1[[#This Row],[Data de Validade]])</f>
        <v>1</v>
      </c>
      <c r="J984" s="101">
        <v>115478</v>
      </c>
      <c r="K984" s="87" t="s">
        <v>9</v>
      </c>
      <c r="L984" s="108"/>
      <c r="M984" s="108"/>
      <c r="N984" s="108" t="str">
        <v>H679P688</v>
      </c>
      <c r="O984" s="108">
        <f t="shared" si="17"/>
        <v>1</v>
      </c>
      <c r="P984" s="108"/>
      <c r="Q984"/>
    </row>
    <row r="985" spans="1:17" x14ac:dyDescent="0.25">
      <c r="A985" s="89" t="s">
        <v>6546</v>
      </c>
      <c r="B985" s="87" t="s">
        <v>6547</v>
      </c>
      <c r="C985" s="87" t="s">
        <v>10</v>
      </c>
      <c r="D985" s="87" t="str">
        <f>VLOOKUP(Tabela1[[#This Row],[Origem]], 'Perguntas 1 a 24'!$J$28:$K$34, 2, 0)</f>
        <v>Centro-Oeste</v>
      </c>
      <c r="E985" s="87" t="str">
        <f>Tabela1[[#This Row],[Descrição]]&amp;"-"&amp;Tabela1[[#This Row],[Código]]&amp;"/"&amp;Tabela1[[#This Row],[Origem]]</f>
        <v>Fapofuge-H822H177/GO</v>
      </c>
      <c r="F985" s="88">
        <v>46050</v>
      </c>
      <c r="G985" s="88" t="str" cm="1">
        <f t="array" ref="G9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AND(F985&gt;= DATE(2026,1,1), F985&lt;= DATE(2028, 12, 31), J985&gt;50000), "Pendente e Caro", AND(F985&gt;= DATE(2026,1,1), F985&lt;= DATE(2028, 12, 31), J985&lt;=50000), "Pendente", F985&gt;= DATE(2029,1,1), "Não prioeitário")</f>
        <v>Pendente e Caro</v>
      </c>
      <c r="H985" s="89">
        <f>YEAR(Tabela1[[#This Row],[Data de Validade]])</f>
        <v>2026</v>
      </c>
      <c r="I985" s="89">
        <f>MONTH(Tabela1[[#This Row],[Data de Validade]])</f>
        <v>1</v>
      </c>
      <c r="J985" s="101">
        <v>106443</v>
      </c>
      <c r="K985" s="87" t="s">
        <v>7</v>
      </c>
      <c r="L985" s="108"/>
      <c r="M985" s="108"/>
      <c r="N985" s="108" t="str">
        <v>H822H177</v>
      </c>
      <c r="O985" s="108">
        <f t="shared" si="17"/>
        <v>1</v>
      </c>
      <c r="P985" s="108"/>
      <c r="Q985"/>
    </row>
    <row r="986" spans="1:17" x14ac:dyDescent="0.25">
      <c r="A986" s="89" t="s">
        <v>9529</v>
      </c>
      <c r="B986" s="87" t="s">
        <v>9530</v>
      </c>
      <c r="C986" s="87" t="s">
        <v>12</v>
      </c>
      <c r="D986" s="87" t="str">
        <f>VLOOKUP(Tabela1[[#This Row],[Origem]], 'Perguntas 1 a 24'!$J$28:$K$34, 2, 0)</f>
        <v>Sudeste</v>
      </c>
      <c r="E986" s="87" t="str">
        <f>Tabela1[[#This Row],[Descrição]]&amp;"-"&amp;Tabela1[[#This Row],[Código]]&amp;"/"&amp;Tabela1[[#This Row],[Origem]]</f>
        <v>Muvivena-P995P629/RJ</v>
      </c>
      <c r="F986" s="88">
        <v>46050</v>
      </c>
      <c r="G986" s="88" t="str" cm="1">
        <f t="array" ref="G9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AND(F986&gt;= DATE(2026,1,1), F986&lt;= DATE(2028, 12, 31), J986&gt;50000), "Pendente e Caro", AND(F986&gt;= DATE(2026,1,1), F986&lt;= DATE(2028, 12, 31), J986&lt;=50000), "Pendente", F986&gt;= DATE(2029,1,1), "Não prioeitário")</f>
        <v>Pendente e Caro</v>
      </c>
      <c r="H986" s="89">
        <f>YEAR(Tabela1[[#This Row],[Data de Validade]])</f>
        <v>2026</v>
      </c>
      <c r="I986" s="89">
        <f>MONTH(Tabela1[[#This Row],[Data de Validade]])</f>
        <v>1</v>
      </c>
      <c r="J986" s="101">
        <v>98143</v>
      </c>
      <c r="K986" s="87" t="s">
        <v>9</v>
      </c>
      <c r="L986" s="108"/>
      <c r="M986" s="108"/>
      <c r="N986" s="108" t="str">
        <v>P995P629</v>
      </c>
      <c r="O986" s="108">
        <f t="shared" si="17"/>
        <v>1</v>
      </c>
      <c r="P986" s="108"/>
      <c r="Q986"/>
    </row>
    <row r="987" spans="1:17" x14ac:dyDescent="0.25">
      <c r="A987" s="89" t="s">
        <v>9737</v>
      </c>
      <c r="B987" s="87" t="s">
        <v>9738</v>
      </c>
      <c r="C987" s="87" t="s">
        <v>12</v>
      </c>
      <c r="D987" s="87" t="str">
        <f>VLOOKUP(Tabela1[[#This Row],[Origem]], 'Perguntas 1 a 24'!$J$28:$K$34, 2, 0)</f>
        <v>Sudeste</v>
      </c>
      <c r="E987" s="87" t="str">
        <f>Tabela1[[#This Row],[Descrição]]&amp;"-"&amp;Tabela1[[#This Row],[Código]]&amp;"/"&amp;Tabela1[[#This Row],[Origem]]</f>
        <v>Tegipu-P543H891/RJ</v>
      </c>
      <c r="F987" s="88">
        <v>46051</v>
      </c>
      <c r="G987" s="88" t="str" cm="1">
        <f t="array" ref="G9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AND(F987&gt;= DATE(2026,1,1), F987&lt;= DATE(2028, 12, 31), J987&gt;50000), "Pendente e Caro", AND(F987&gt;= DATE(2026,1,1), F987&lt;= DATE(2028, 12, 31), J987&lt;=50000), "Pendente", F987&gt;= DATE(2029,1,1), "Não prioeitário")</f>
        <v>Pendente e Caro</v>
      </c>
      <c r="H987" s="89">
        <f>YEAR(Tabela1[[#This Row],[Data de Validade]])</f>
        <v>2026</v>
      </c>
      <c r="I987" s="89">
        <f>MONTH(Tabela1[[#This Row],[Data de Validade]])</f>
        <v>1</v>
      </c>
      <c r="J987" s="101">
        <v>62367</v>
      </c>
      <c r="K987" s="87" t="s">
        <v>11</v>
      </c>
      <c r="L987" s="108"/>
      <c r="M987" s="108"/>
      <c r="N987" s="108" t="str">
        <v>P543H891</v>
      </c>
      <c r="O987" s="108">
        <f t="shared" si="17"/>
        <v>1</v>
      </c>
      <c r="P987" s="108"/>
      <c r="Q987"/>
    </row>
    <row r="988" spans="1:17" x14ac:dyDescent="0.25">
      <c r="A988" s="89" t="s">
        <v>8222</v>
      </c>
      <c r="B988" s="87" t="s">
        <v>8223</v>
      </c>
      <c r="C988" s="87" t="s">
        <v>8</v>
      </c>
      <c r="D988" s="87" t="str">
        <f>VLOOKUP(Tabela1[[#This Row],[Origem]], 'Perguntas 1 a 24'!$J$28:$K$34, 2, 0)</f>
        <v>Nordeste</v>
      </c>
      <c r="E988" s="87" t="str">
        <f>Tabela1[[#This Row],[Descrição]]&amp;"-"&amp;Tabela1[[#This Row],[Código]]&amp;"/"&amp;Tabela1[[#This Row],[Origem]]</f>
        <v>Pidodida-H436H794/AL</v>
      </c>
      <c r="F988" s="88">
        <v>46052</v>
      </c>
      <c r="G988" s="88" t="str" cm="1">
        <f t="array" ref="G9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AND(F988&gt;= DATE(2026,1,1), F988&lt;= DATE(2028, 12, 31), J988&gt;50000), "Pendente e Caro", AND(F988&gt;= DATE(2026,1,1), F988&lt;= DATE(2028, 12, 31), J988&lt;=50000), "Pendente", F988&gt;= DATE(2029,1,1), "Não prioeitário")</f>
        <v>Pendente e Caro</v>
      </c>
      <c r="H988" s="89">
        <f>YEAR(Tabela1[[#This Row],[Data de Validade]])</f>
        <v>2026</v>
      </c>
      <c r="I988" s="89">
        <f>MONTH(Tabela1[[#This Row],[Data de Validade]])</f>
        <v>1</v>
      </c>
      <c r="J988" s="101">
        <v>117029</v>
      </c>
      <c r="K988" s="87" t="s">
        <v>11</v>
      </c>
      <c r="L988" s="108"/>
      <c r="M988" s="108"/>
      <c r="N988" s="108" t="str">
        <v>H436H794</v>
      </c>
      <c r="O988" s="108">
        <f t="shared" si="17"/>
        <v>1</v>
      </c>
      <c r="P988" s="108"/>
      <c r="Q988"/>
    </row>
    <row r="989" spans="1:17" x14ac:dyDescent="0.25">
      <c r="A989" s="89" t="s">
        <v>8412</v>
      </c>
      <c r="B989" s="87" t="s">
        <v>8413</v>
      </c>
      <c r="C989" s="87" t="s">
        <v>6</v>
      </c>
      <c r="D989" s="87" t="str">
        <f>VLOOKUP(Tabela1[[#This Row],[Origem]], 'Perguntas 1 a 24'!$J$28:$K$34, 2, 0)</f>
        <v>Nordeste</v>
      </c>
      <c r="E989" s="87" t="str">
        <f>Tabela1[[#This Row],[Descrição]]&amp;"-"&amp;Tabela1[[#This Row],[Código]]&amp;"/"&amp;Tabela1[[#This Row],[Origem]]</f>
        <v>Ticeru-P211P731/MA</v>
      </c>
      <c r="F989" s="88">
        <v>46052</v>
      </c>
      <c r="G989" s="88" t="str" cm="1">
        <f t="array" ref="G9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AND(F989&gt;= DATE(2026,1,1), F989&lt;= DATE(2028, 12, 31), J989&gt;50000), "Pendente e Caro", AND(F989&gt;= DATE(2026,1,1), F989&lt;= DATE(2028, 12, 31), J989&lt;=50000), "Pendente", F989&gt;= DATE(2029,1,1), "Não prioeitário")</f>
        <v>Pendente e Caro</v>
      </c>
      <c r="H989" s="89">
        <f>YEAR(Tabela1[[#This Row],[Data de Validade]])</f>
        <v>2026</v>
      </c>
      <c r="I989" s="89">
        <f>MONTH(Tabela1[[#This Row],[Data de Validade]])</f>
        <v>1</v>
      </c>
      <c r="J989" s="101">
        <v>86874</v>
      </c>
      <c r="K989" s="87" t="s">
        <v>14</v>
      </c>
      <c r="L989" s="108"/>
      <c r="M989" s="108"/>
      <c r="N989" s="108" t="str">
        <v>P211P731</v>
      </c>
      <c r="O989" s="108">
        <f t="shared" si="17"/>
        <v>1</v>
      </c>
      <c r="P989" s="108"/>
      <c r="Q989"/>
    </row>
    <row r="990" spans="1:17" x14ac:dyDescent="0.25">
      <c r="A990" s="89" t="s">
        <v>4690</v>
      </c>
      <c r="B990" s="87" t="s">
        <v>4691</v>
      </c>
      <c r="C990" s="87" t="s">
        <v>16</v>
      </c>
      <c r="D990" s="87" t="str">
        <f>VLOOKUP(Tabela1[[#This Row],[Origem]], 'Perguntas 1 a 24'!$J$28:$K$34, 2, 0)</f>
        <v>Sudeste</v>
      </c>
      <c r="E990" s="87" t="str">
        <f>Tabela1[[#This Row],[Descrição]]&amp;"-"&amp;Tabela1[[#This Row],[Código]]&amp;"/"&amp;Tabela1[[#This Row],[Origem]]</f>
        <v>Duropuvire-H268P868/MG</v>
      </c>
      <c r="F990" s="88">
        <v>46053</v>
      </c>
      <c r="G990" s="88" t="str" cm="1">
        <f t="array" ref="G9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AND(F990&gt;= DATE(2026,1,1), F990&lt;= DATE(2028, 12, 31), J990&gt;50000), "Pendente e Caro", AND(F990&gt;= DATE(2026,1,1), F990&lt;= DATE(2028, 12, 31), J990&lt;=50000), "Pendente", F990&gt;= DATE(2029,1,1), "Não prioeitário")</f>
        <v>Pendente e Caro</v>
      </c>
      <c r="H990" s="89">
        <f>YEAR(Tabela1[[#This Row],[Data de Validade]])</f>
        <v>2026</v>
      </c>
      <c r="I990" s="89">
        <f>MONTH(Tabela1[[#This Row],[Data de Validade]])</f>
        <v>1</v>
      </c>
      <c r="J990" s="101">
        <v>65627</v>
      </c>
      <c r="K990" s="87" t="s">
        <v>14</v>
      </c>
      <c r="L990" s="108"/>
      <c r="M990" s="108"/>
      <c r="N990" s="108" t="str">
        <v>H268P868</v>
      </c>
      <c r="O990" s="108">
        <f t="shared" si="17"/>
        <v>1</v>
      </c>
      <c r="P990" s="108"/>
      <c r="Q990"/>
    </row>
    <row r="991" spans="1:17" x14ac:dyDescent="0.25">
      <c r="A991" s="89" t="s">
        <v>7428</v>
      </c>
      <c r="B991" s="87" t="s">
        <v>7429</v>
      </c>
      <c r="C991" s="87" t="s">
        <v>16</v>
      </c>
      <c r="D991" s="87" t="str">
        <f>VLOOKUP(Tabela1[[#This Row],[Origem]], 'Perguntas 1 a 24'!$J$28:$K$34, 2, 0)</f>
        <v>Sudeste</v>
      </c>
      <c r="E991" s="87" t="str">
        <f>Tabela1[[#This Row],[Descrição]]&amp;"-"&amp;Tabela1[[#This Row],[Código]]&amp;"/"&amp;Tabela1[[#This Row],[Origem]]</f>
        <v>Paliveme-H926P734/MG</v>
      </c>
      <c r="F991" s="88">
        <v>46054</v>
      </c>
      <c r="G991" s="88" t="str" cm="1">
        <f t="array" ref="G9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AND(F991&gt;= DATE(2026,1,1), F991&lt;= DATE(2028, 12, 31), J991&gt;50000), "Pendente e Caro", AND(F991&gt;= DATE(2026,1,1), F991&lt;= DATE(2028, 12, 31), J991&lt;=50000), "Pendente", F991&gt;= DATE(2029,1,1), "Não prioeitário")</f>
        <v>Pendente e Caro</v>
      </c>
      <c r="H991" s="89">
        <f>YEAR(Tabela1[[#This Row],[Data de Validade]])</f>
        <v>2026</v>
      </c>
      <c r="I991" s="89">
        <f>MONTH(Tabela1[[#This Row],[Data de Validade]])</f>
        <v>2</v>
      </c>
      <c r="J991" s="101">
        <v>54912</v>
      </c>
      <c r="K991" s="87" t="s">
        <v>11</v>
      </c>
      <c r="L991" s="108"/>
      <c r="M991" s="108"/>
      <c r="N991" s="108" t="str">
        <v>H926P734</v>
      </c>
      <c r="O991" s="108">
        <f t="shared" si="17"/>
        <v>1</v>
      </c>
      <c r="P991" s="108"/>
      <c r="Q991"/>
    </row>
    <row r="992" spans="1:17" x14ac:dyDescent="0.25">
      <c r="A992" s="89" t="s">
        <v>9485</v>
      </c>
      <c r="B992" s="87" t="s">
        <v>9486</v>
      </c>
      <c r="C992" s="87" t="s">
        <v>16</v>
      </c>
      <c r="D992" s="87" t="str">
        <f>VLOOKUP(Tabela1[[#This Row],[Origem]], 'Perguntas 1 a 24'!$J$28:$K$34, 2, 0)</f>
        <v>Sudeste</v>
      </c>
      <c r="E992" s="87" t="str">
        <f>Tabela1[[#This Row],[Descrição]]&amp;"-"&amp;Tabela1[[#This Row],[Código]]&amp;"/"&amp;Tabela1[[#This Row],[Origem]]</f>
        <v>Vepato-H196H261/MG</v>
      </c>
      <c r="F992" s="88">
        <v>46054</v>
      </c>
      <c r="G992" s="88" t="str" cm="1">
        <f t="array" ref="G9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AND(F992&gt;= DATE(2026,1,1), F992&lt;= DATE(2028, 12, 31), J992&gt;50000), "Pendente e Caro", AND(F992&gt;= DATE(2026,1,1), F992&lt;= DATE(2028, 12, 31), J992&lt;=50000), "Pendente", F992&gt;= DATE(2029,1,1), "Não prioeitário")</f>
        <v>Pendente</v>
      </c>
      <c r="H992" s="89">
        <f>YEAR(Tabela1[[#This Row],[Data de Validade]])</f>
        <v>2026</v>
      </c>
      <c r="I992" s="89">
        <f>MONTH(Tabela1[[#This Row],[Data de Validade]])</f>
        <v>2</v>
      </c>
      <c r="J992" s="101">
        <v>32203</v>
      </c>
      <c r="K992" s="87" t="s">
        <v>7</v>
      </c>
      <c r="L992" s="108"/>
      <c r="M992" s="108"/>
      <c r="N992" s="108" t="str">
        <v>H196H261</v>
      </c>
      <c r="O992" s="108">
        <f t="shared" si="17"/>
        <v>1</v>
      </c>
      <c r="P992" s="108"/>
      <c r="Q992"/>
    </row>
    <row r="993" spans="1:17" x14ac:dyDescent="0.25">
      <c r="A993" s="89" t="s">
        <v>7402</v>
      </c>
      <c r="B993" s="87" t="s">
        <v>7403</v>
      </c>
      <c r="C993" s="87" t="s">
        <v>10</v>
      </c>
      <c r="D993" s="87" t="str">
        <f>VLOOKUP(Tabela1[[#This Row],[Origem]], 'Perguntas 1 a 24'!$J$28:$K$34, 2, 0)</f>
        <v>Centro-Oeste</v>
      </c>
      <c r="E993" s="87" t="str">
        <f>Tabela1[[#This Row],[Descrição]]&amp;"-"&amp;Tabela1[[#This Row],[Código]]&amp;"/"&amp;Tabela1[[#This Row],[Origem]]</f>
        <v>Valefoga-P897P476/GO</v>
      </c>
      <c r="F993" s="88">
        <v>46054</v>
      </c>
      <c r="G993" s="88" t="str" cm="1">
        <f t="array" ref="G9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AND(F993&gt;= DATE(2026,1,1), F993&lt;= DATE(2028, 12, 31), J993&gt;50000), "Pendente e Caro", AND(F993&gt;= DATE(2026,1,1), F993&lt;= DATE(2028, 12, 31), J993&lt;=50000), "Pendente", F993&gt;= DATE(2029,1,1), "Não prioeitário")</f>
        <v>Pendente</v>
      </c>
      <c r="H993" s="89">
        <f>YEAR(Tabela1[[#This Row],[Data de Validade]])</f>
        <v>2026</v>
      </c>
      <c r="I993" s="89">
        <f>MONTH(Tabela1[[#This Row],[Data de Validade]])</f>
        <v>2</v>
      </c>
      <c r="J993" s="101">
        <v>26536</v>
      </c>
      <c r="K993" s="87" t="s">
        <v>9</v>
      </c>
      <c r="L993" s="108"/>
      <c r="M993" s="108"/>
      <c r="N993" s="108" t="str">
        <v>P897P476</v>
      </c>
      <c r="O993" s="108">
        <f t="shared" si="17"/>
        <v>1</v>
      </c>
      <c r="P993" s="108"/>
      <c r="Q993"/>
    </row>
    <row r="994" spans="1:17" x14ac:dyDescent="0.25">
      <c r="A994" s="89" t="s">
        <v>9453</v>
      </c>
      <c r="B994" s="87" t="s">
        <v>9454</v>
      </c>
      <c r="C994" s="87" t="s">
        <v>15</v>
      </c>
      <c r="D994" s="87" t="str">
        <f>VLOOKUP(Tabela1[[#This Row],[Origem]], 'Perguntas 1 a 24'!$J$28:$K$34, 2, 0)</f>
        <v>Sudeste</v>
      </c>
      <c r="E994" s="87" t="str">
        <f>Tabela1[[#This Row],[Descrição]]&amp;"-"&amp;Tabela1[[#This Row],[Código]]&amp;"/"&amp;Tabela1[[#This Row],[Origem]]</f>
        <v>Tururelomo-H766P398/ES</v>
      </c>
      <c r="F994" s="88">
        <v>46056</v>
      </c>
      <c r="G994" s="88" t="str" cm="1">
        <f t="array" ref="G9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AND(F994&gt;= DATE(2026,1,1), F994&lt;= DATE(2028, 12, 31), J994&gt;50000), "Pendente e Caro", AND(F994&gt;= DATE(2026,1,1), F994&lt;= DATE(2028, 12, 31), J994&lt;=50000), "Pendente", F994&gt;= DATE(2029,1,1), "Não prioeitário")</f>
        <v>Pendente e Caro</v>
      </c>
      <c r="H994" s="89">
        <f>YEAR(Tabela1[[#This Row],[Data de Validade]])</f>
        <v>2026</v>
      </c>
      <c r="I994" s="89">
        <f>MONTH(Tabela1[[#This Row],[Data de Validade]])</f>
        <v>2</v>
      </c>
      <c r="J994" s="101">
        <v>83080</v>
      </c>
      <c r="K994" s="87" t="s">
        <v>9</v>
      </c>
      <c r="L994" s="108"/>
      <c r="M994" s="108"/>
      <c r="N994" s="108" t="str">
        <v>H766P398</v>
      </c>
      <c r="O994" s="108">
        <f t="shared" si="17"/>
        <v>1</v>
      </c>
      <c r="P994" s="108"/>
      <c r="Q994"/>
    </row>
    <row r="995" spans="1:17" x14ac:dyDescent="0.25">
      <c r="A995" s="89" t="s">
        <v>8567</v>
      </c>
      <c r="B995" s="87" t="s">
        <v>8568</v>
      </c>
      <c r="C995" s="87" t="s">
        <v>16</v>
      </c>
      <c r="D995" s="87" t="str">
        <f>VLOOKUP(Tabela1[[#This Row],[Origem]], 'Perguntas 1 a 24'!$J$28:$K$34, 2, 0)</f>
        <v>Sudeste</v>
      </c>
      <c r="E995" s="87" t="str">
        <f>Tabela1[[#This Row],[Descrição]]&amp;"-"&amp;Tabela1[[#This Row],[Código]]&amp;"/"&amp;Tabela1[[#This Row],[Origem]]</f>
        <v>Gutulapi-H439P916/MG</v>
      </c>
      <c r="F995" s="88">
        <v>46056</v>
      </c>
      <c r="G995" s="88" t="str" cm="1">
        <f t="array" ref="G9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AND(F995&gt;= DATE(2026,1,1), F995&lt;= DATE(2028, 12, 31), J995&gt;50000), "Pendente e Caro", AND(F995&gt;= DATE(2026,1,1), F995&lt;= DATE(2028, 12, 31), J995&lt;=50000), "Pendente", F995&gt;= DATE(2029,1,1), "Não prioeitário")</f>
        <v>Pendente e Caro</v>
      </c>
      <c r="H995" s="89">
        <f>YEAR(Tabela1[[#This Row],[Data de Validade]])</f>
        <v>2026</v>
      </c>
      <c r="I995" s="89">
        <f>MONTH(Tabela1[[#This Row],[Data de Validade]])</f>
        <v>2</v>
      </c>
      <c r="J995" s="101">
        <v>58216</v>
      </c>
      <c r="K995" s="87" t="s">
        <v>7</v>
      </c>
      <c r="L995" s="108"/>
      <c r="M995" s="108"/>
      <c r="N995" s="108" t="str">
        <v>H439P916</v>
      </c>
      <c r="O995" s="108">
        <f t="shared" si="17"/>
        <v>1</v>
      </c>
      <c r="P995" s="108"/>
      <c r="Q995"/>
    </row>
    <row r="996" spans="1:17" x14ac:dyDescent="0.25">
      <c r="A996" s="89" t="s">
        <v>11008</v>
      </c>
      <c r="B996" s="87" t="s">
        <v>11009</v>
      </c>
      <c r="C996" s="87" t="s">
        <v>13</v>
      </c>
      <c r="D996" s="87" t="str">
        <f>VLOOKUP(Tabela1[[#This Row],[Origem]], 'Perguntas 1 a 24'!$J$28:$K$34, 2, 0)</f>
        <v>Sudeste</v>
      </c>
      <c r="E996" s="87" t="str">
        <f>Tabela1[[#This Row],[Descrição]]&amp;"-"&amp;Tabela1[[#This Row],[Código]]&amp;"/"&amp;Tabela1[[#This Row],[Origem]]</f>
        <v>Maguverota-P515H443/SP</v>
      </c>
      <c r="F996" s="88">
        <v>46056</v>
      </c>
      <c r="G996" s="88" t="str" cm="1">
        <f t="array" ref="G9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AND(F996&gt;= DATE(2026,1,1), F996&lt;= DATE(2028, 12, 31), J996&gt;50000), "Pendente e Caro", AND(F996&gt;= DATE(2026,1,1), F996&lt;= DATE(2028, 12, 31), J996&lt;=50000), "Pendente", F996&gt;= DATE(2029,1,1), "Não prioeitário")</f>
        <v>Pendente</v>
      </c>
      <c r="H996" s="89">
        <f>YEAR(Tabela1[[#This Row],[Data de Validade]])</f>
        <v>2026</v>
      </c>
      <c r="I996" s="89">
        <f>MONTH(Tabela1[[#This Row],[Data de Validade]])</f>
        <v>2</v>
      </c>
      <c r="J996" s="101">
        <v>28970</v>
      </c>
      <c r="K996" s="87" t="s">
        <v>7</v>
      </c>
      <c r="L996" s="108"/>
      <c r="M996" s="108"/>
      <c r="N996" s="108" t="str">
        <v>P515H443</v>
      </c>
      <c r="O996" s="108">
        <f t="shared" si="17"/>
        <v>1</v>
      </c>
      <c r="P996" s="108"/>
      <c r="Q996"/>
    </row>
    <row r="997" spans="1:17" x14ac:dyDescent="0.25">
      <c r="A997" s="89" t="s">
        <v>7464</v>
      </c>
      <c r="B997" s="87" t="s">
        <v>7465</v>
      </c>
      <c r="C997" s="87" t="s">
        <v>10</v>
      </c>
      <c r="D997" s="87" t="str">
        <f>VLOOKUP(Tabela1[[#This Row],[Origem]], 'Perguntas 1 a 24'!$J$28:$K$34, 2, 0)</f>
        <v>Centro-Oeste</v>
      </c>
      <c r="E997" s="87" t="str">
        <f>Tabela1[[#This Row],[Descrição]]&amp;"-"&amp;Tabela1[[#This Row],[Código]]&amp;"/"&amp;Tabela1[[#This Row],[Origem]]</f>
        <v>Pumipedini-P945P541/GO</v>
      </c>
      <c r="F997" s="88">
        <v>46057</v>
      </c>
      <c r="G997" s="88" t="str" cm="1">
        <f t="array" ref="G9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AND(F997&gt;= DATE(2026,1,1), F997&lt;= DATE(2028, 12, 31), J997&gt;50000), "Pendente e Caro", AND(F997&gt;= DATE(2026,1,1), F997&lt;= DATE(2028, 12, 31), J997&lt;=50000), "Pendente", F997&gt;= DATE(2029,1,1), "Não prioeitário")</f>
        <v>Pendente e Caro</v>
      </c>
      <c r="H997" s="89">
        <f>YEAR(Tabela1[[#This Row],[Data de Validade]])</f>
        <v>2026</v>
      </c>
      <c r="I997" s="89">
        <f>MONTH(Tabela1[[#This Row],[Data de Validade]])</f>
        <v>2</v>
      </c>
      <c r="J997" s="101">
        <v>117002</v>
      </c>
      <c r="K997" s="87" t="s">
        <v>14</v>
      </c>
      <c r="L997" s="108"/>
      <c r="M997" s="108"/>
      <c r="N997" s="108" t="str">
        <v>P945P541</v>
      </c>
      <c r="O997" s="108">
        <f t="shared" si="17"/>
        <v>1</v>
      </c>
      <c r="P997" s="108"/>
      <c r="Q997"/>
    </row>
    <row r="998" spans="1:17" x14ac:dyDescent="0.25">
      <c r="A998" s="89" t="s">
        <v>7548</v>
      </c>
      <c r="B998" s="87" t="s">
        <v>7549</v>
      </c>
      <c r="C998" s="87" t="s">
        <v>15</v>
      </c>
      <c r="D998" s="87" t="str">
        <f>VLOOKUP(Tabela1[[#This Row],[Origem]], 'Perguntas 1 a 24'!$J$28:$K$34, 2, 0)</f>
        <v>Sudeste</v>
      </c>
      <c r="E998" s="87" t="str">
        <f>Tabela1[[#This Row],[Descrição]]&amp;"-"&amp;Tabela1[[#This Row],[Código]]&amp;"/"&amp;Tabela1[[#This Row],[Origem]]</f>
        <v>Naparune-P627P416/ES</v>
      </c>
      <c r="F998" s="88">
        <v>46057</v>
      </c>
      <c r="G998" s="88" t="str" cm="1">
        <f t="array" ref="G9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AND(F998&gt;= DATE(2026,1,1), F998&lt;= DATE(2028, 12, 31), J998&gt;50000), "Pendente e Caro", AND(F998&gt;= DATE(2026,1,1), F998&lt;= DATE(2028, 12, 31), J998&lt;=50000), "Pendente", F998&gt;= DATE(2029,1,1), "Não prioeitário")</f>
        <v>Pendente e Caro</v>
      </c>
      <c r="H998" s="89">
        <f>YEAR(Tabela1[[#This Row],[Data de Validade]])</f>
        <v>2026</v>
      </c>
      <c r="I998" s="89">
        <f>MONTH(Tabela1[[#This Row],[Data de Validade]])</f>
        <v>2</v>
      </c>
      <c r="J998" s="101">
        <v>109374</v>
      </c>
      <c r="K998" s="87" t="s">
        <v>14</v>
      </c>
      <c r="L998" s="108"/>
      <c r="M998" s="108"/>
      <c r="N998" s="108" t="str">
        <v>P627P416</v>
      </c>
      <c r="O998" s="108">
        <f t="shared" si="17"/>
        <v>1</v>
      </c>
      <c r="P998" s="108"/>
      <c r="Q998"/>
    </row>
    <row r="999" spans="1:17" x14ac:dyDescent="0.25">
      <c r="A999" s="89" t="s">
        <v>8056</v>
      </c>
      <c r="B999" s="87" t="s">
        <v>8057</v>
      </c>
      <c r="C999" s="87" t="s">
        <v>12</v>
      </c>
      <c r="D999" s="87" t="str">
        <f>VLOOKUP(Tabela1[[#This Row],[Origem]], 'Perguntas 1 a 24'!$J$28:$K$34, 2, 0)</f>
        <v>Sudeste</v>
      </c>
      <c r="E999" s="87" t="str">
        <f>Tabela1[[#This Row],[Descrição]]&amp;"-"&amp;Tabela1[[#This Row],[Código]]&amp;"/"&amp;Tabela1[[#This Row],[Origem]]</f>
        <v>Ramurani-H461H116/RJ</v>
      </c>
      <c r="F999" s="88">
        <v>46057</v>
      </c>
      <c r="G999" s="88" t="str" cm="1">
        <f t="array" ref="G9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AND(F999&gt;= DATE(2026,1,1), F999&lt;= DATE(2028, 12, 31), J999&gt;50000), "Pendente e Caro", AND(F999&gt;= DATE(2026,1,1), F999&lt;= DATE(2028, 12, 31), J999&lt;=50000), "Pendente", F999&gt;= DATE(2029,1,1), "Não prioeitário")</f>
        <v>Pendente e Caro</v>
      </c>
      <c r="H999" s="89">
        <f>YEAR(Tabela1[[#This Row],[Data de Validade]])</f>
        <v>2026</v>
      </c>
      <c r="I999" s="89">
        <f>MONTH(Tabela1[[#This Row],[Data de Validade]])</f>
        <v>2</v>
      </c>
      <c r="J999" s="101">
        <v>96392</v>
      </c>
      <c r="K999" s="87" t="s">
        <v>9</v>
      </c>
      <c r="L999" s="108"/>
      <c r="M999" s="108"/>
      <c r="N999" s="108" t="str">
        <v>H461H116</v>
      </c>
      <c r="O999" s="108">
        <f t="shared" si="17"/>
        <v>1</v>
      </c>
      <c r="P999" s="108"/>
      <c r="Q999"/>
    </row>
    <row r="1000" spans="1:17" x14ac:dyDescent="0.25">
      <c r="A1000" s="89" t="s">
        <v>5722</v>
      </c>
      <c r="B1000" s="87" t="s">
        <v>5723</v>
      </c>
      <c r="C1000" s="87" t="s">
        <v>15</v>
      </c>
      <c r="D1000" s="87" t="str">
        <f>VLOOKUP(Tabela1[[#This Row],[Origem]], 'Perguntas 1 a 24'!$J$28:$K$34, 2, 0)</f>
        <v>Sudeste</v>
      </c>
      <c r="E1000" s="87" t="str">
        <f>Tabela1[[#This Row],[Descrição]]&amp;"-"&amp;Tabela1[[#This Row],[Código]]&amp;"/"&amp;Tabela1[[#This Row],[Origem]]</f>
        <v>Poreve-H885P635/ES</v>
      </c>
      <c r="F1000" s="88">
        <v>46057</v>
      </c>
      <c r="G1000" s="88" t="str" cm="1">
        <f t="array" ref="G10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AND(F1000&gt;= DATE(2026,1,1), F1000&lt;= DATE(2028, 12, 31), J1000&gt;50000), "Pendente e Caro", AND(F1000&gt;= DATE(2026,1,1), F1000&lt;= DATE(2028, 12, 31), J1000&lt;=50000), "Pendente", F1000&gt;= DATE(2029,1,1), "Não prioeitário")</f>
        <v>Pendente e Caro</v>
      </c>
      <c r="H1000" s="89">
        <f>YEAR(Tabela1[[#This Row],[Data de Validade]])</f>
        <v>2026</v>
      </c>
      <c r="I1000" s="89">
        <f>MONTH(Tabela1[[#This Row],[Data de Validade]])</f>
        <v>2</v>
      </c>
      <c r="J1000" s="101">
        <v>76273</v>
      </c>
      <c r="K1000" s="87" t="s">
        <v>14</v>
      </c>
      <c r="L1000" s="108"/>
      <c r="M1000" s="108"/>
      <c r="N1000" s="108" t="str">
        <v>H885P635</v>
      </c>
      <c r="O1000" s="108">
        <f t="shared" si="17"/>
        <v>1</v>
      </c>
      <c r="P1000" s="108"/>
      <c r="Q1000"/>
    </row>
    <row r="1001" spans="1:17" x14ac:dyDescent="0.25">
      <c r="A1001" s="89" t="s">
        <v>11040</v>
      </c>
      <c r="B1001" s="87" t="s">
        <v>11041</v>
      </c>
      <c r="C1001" s="87" t="s">
        <v>15</v>
      </c>
      <c r="D1001" s="87" t="str">
        <f>VLOOKUP(Tabela1[[#This Row],[Origem]], 'Perguntas 1 a 24'!$J$28:$K$34, 2, 0)</f>
        <v>Sudeste</v>
      </c>
      <c r="E1001" s="87" t="str">
        <f>Tabela1[[#This Row],[Descrição]]&amp;"-"&amp;Tabela1[[#This Row],[Código]]&amp;"/"&amp;Tabela1[[#This Row],[Origem]]</f>
        <v>Girupupelo-P861P315/ES</v>
      </c>
      <c r="F1001" s="88">
        <v>46057</v>
      </c>
      <c r="G1001" s="88" t="str" cm="1">
        <f t="array" ref="G10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AND(F1001&gt;= DATE(2026,1,1), F1001&lt;= DATE(2028, 12, 31), J1001&gt;50000), "Pendente e Caro", AND(F1001&gt;= DATE(2026,1,1), F1001&lt;= DATE(2028, 12, 31), J1001&lt;=50000), "Pendente", F1001&gt;= DATE(2029,1,1), "Não prioeitário")</f>
        <v>Pendente</v>
      </c>
      <c r="H1001" s="89">
        <f>YEAR(Tabela1[[#This Row],[Data de Validade]])</f>
        <v>2026</v>
      </c>
      <c r="I1001" s="89">
        <f>MONTH(Tabela1[[#This Row],[Data de Validade]])</f>
        <v>2</v>
      </c>
      <c r="J1001" s="101">
        <v>44209</v>
      </c>
      <c r="K1001" s="87" t="s">
        <v>11</v>
      </c>
      <c r="L1001" s="108"/>
      <c r="M1001" s="108"/>
      <c r="N1001" s="108" t="str">
        <v>P861P315</v>
      </c>
      <c r="O1001" s="108">
        <f t="shared" si="17"/>
        <v>1</v>
      </c>
      <c r="P1001" s="108"/>
      <c r="Q1001"/>
    </row>
    <row r="1002" spans="1:17" x14ac:dyDescent="0.25">
      <c r="A1002" s="89" t="s">
        <v>5584</v>
      </c>
      <c r="B1002" s="87" t="s">
        <v>5585</v>
      </c>
      <c r="C1002" s="87" t="s">
        <v>10</v>
      </c>
      <c r="D1002" s="87" t="str">
        <f>VLOOKUP(Tabela1[[#This Row],[Origem]], 'Perguntas 1 a 24'!$J$28:$K$34, 2, 0)</f>
        <v>Centro-Oeste</v>
      </c>
      <c r="E1002" s="87" t="str">
        <f>Tabela1[[#This Row],[Descrição]]&amp;"-"&amp;Tabela1[[#This Row],[Código]]&amp;"/"&amp;Tabela1[[#This Row],[Origem]]</f>
        <v>Rodope-H245P338/GO</v>
      </c>
      <c r="F1002" s="88">
        <v>46057</v>
      </c>
      <c r="G1002" s="88" t="str" cm="1">
        <f t="array" ref="G10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AND(F1002&gt;= DATE(2026,1,1), F1002&lt;= DATE(2028, 12, 31), J1002&gt;50000), "Pendente e Caro", AND(F1002&gt;= DATE(2026,1,1), F1002&lt;= DATE(2028, 12, 31), J1002&lt;=50000), "Pendente", F1002&gt;= DATE(2029,1,1), "Não prioeitário")</f>
        <v>Pendente</v>
      </c>
      <c r="H1002" s="89">
        <f>YEAR(Tabela1[[#This Row],[Data de Validade]])</f>
        <v>2026</v>
      </c>
      <c r="I1002" s="89">
        <f>MONTH(Tabela1[[#This Row],[Data de Validade]])</f>
        <v>2</v>
      </c>
      <c r="J1002" s="101">
        <v>38253</v>
      </c>
      <c r="K1002" s="87" t="s">
        <v>11</v>
      </c>
      <c r="L1002" s="108"/>
      <c r="M1002" s="108"/>
      <c r="N1002" s="108" t="str">
        <v>H245P338</v>
      </c>
      <c r="O1002" s="108">
        <f t="shared" si="17"/>
        <v>1</v>
      </c>
      <c r="P1002" s="108"/>
      <c r="Q1002"/>
    </row>
    <row r="1003" spans="1:17" x14ac:dyDescent="0.25">
      <c r="A1003" s="89" t="s">
        <v>6048</v>
      </c>
      <c r="B1003" s="87" t="s">
        <v>6049</v>
      </c>
      <c r="C1003" s="87" t="s">
        <v>10</v>
      </c>
      <c r="D1003" s="87" t="str">
        <f>VLOOKUP(Tabela1[[#This Row],[Origem]], 'Perguntas 1 a 24'!$J$28:$K$34, 2, 0)</f>
        <v>Centro-Oeste</v>
      </c>
      <c r="E1003" s="87" t="str">
        <f>Tabela1[[#This Row],[Descrição]]&amp;"-"&amp;Tabela1[[#This Row],[Código]]&amp;"/"&amp;Tabela1[[#This Row],[Origem]]</f>
        <v>Pudefirana-H374H511/GO</v>
      </c>
      <c r="F1003" s="88">
        <v>46058</v>
      </c>
      <c r="G1003" s="88" t="str" cm="1">
        <f t="array" ref="G10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AND(F1003&gt;= DATE(2026,1,1), F1003&lt;= DATE(2028, 12, 31), J1003&gt;50000), "Pendente e Caro", AND(F1003&gt;= DATE(2026,1,1), F1003&lt;= DATE(2028, 12, 31), J1003&lt;=50000), "Pendente", F1003&gt;= DATE(2029,1,1), "Não prioeitário")</f>
        <v>Pendente e Caro</v>
      </c>
      <c r="H1003" s="89">
        <f>YEAR(Tabela1[[#This Row],[Data de Validade]])</f>
        <v>2026</v>
      </c>
      <c r="I1003" s="89">
        <f>MONTH(Tabela1[[#This Row],[Data de Validade]])</f>
        <v>2</v>
      </c>
      <c r="J1003" s="101">
        <v>50725</v>
      </c>
      <c r="K1003" s="87" t="s">
        <v>9</v>
      </c>
      <c r="L1003" s="108"/>
      <c r="M1003" s="108"/>
      <c r="N1003" s="108" t="str">
        <v>H374H511</v>
      </c>
      <c r="O1003" s="108">
        <f t="shared" si="17"/>
        <v>1</v>
      </c>
      <c r="P1003" s="108"/>
      <c r="Q1003"/>
    </row>
    <row r="1004" spans="1:17" x14ac:dyDescent="0.25">
      <c r="A1004" s="89" t="s">
        <v>7198</v>
      </c>
      <c r="B1004" s="87" t="s">
        <v>7199</v>
      </c>
      <c r="C1004" s="87" t="s">
        <v>12</v>
      </c>
      <c r="D1004" s="87" t="str">
        <f>VLOOKUP(Tabela1[[#This Row],[Origem]], 'Perguntas 1 a 24'!$J$28:$K$34, 2, 0)</f>
        <v>Sudeste</v>
      </c>
      <c r="E1004" s="87" t="str">
        <f>Tabela1[[#This Row],[Descrição]]&amp;"-"&amp;Tabela1[[#This Row],[Código]]&amp;"/"&amp;Tabela1[[#This Row],[Origem]]</f>
        <v>Cirife-P137P861/RJ</v>
      </c>
      <c r="F1004" s="88">
        <v>46059</v>
      </c>
      <c r="G1004" s="88" t="str" cm="1">
        <f t="array" ref="G10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AND(F1004&gt;= DATE(2026,1,1), F1004&lt;= DATE(2028, 12, 31), J1004&gt;50000), "Pendente e Caro", AND(F1004&gt;= DATE(2026,1,1), F1004&lt;= DATE(2028, 12, 31), J1004&lt;=50000), "Pendente", F1004&gt;= DATE(2029,1,1), "Não prioeitário")</f>
        <v>Pendente e Caro</v>
      </c>
      <c r="H1004" s="89">
        <f>YEAR(Tabela1[[#This Row],[Data de Validade]])</f>
        <v>2026</v>
      </c>
      <c r="I1004" s="89">
        <f>MONTH(Tabela1[[#This Row],[Data de Validade]])</f>
        <v>2</v>
      </c>
      <c r="J1004" s="101">
        <v>62519</v>
      </c>
      <c r="K1004" s="87" t="s">
        <v>7</v>
      </c>
      <c r="L1004" s="108"/>
      <c r="M1004" s="108"/>
      <c r="N1004" s="108" t="str">
        <v>P137P861</v>
      </c>
      <c r="O1004" s="108">
        <f t="shared" si="17"/>
        <v>1</v>
      </c>
      <c r="P1004" s="108"/>
      <c r="Q1004"/>
    </row>
    <row r="1005" spans="1:17" x14ac:dyDescent="0.25">
      <c r="A1005" s="89" t="s">
        <v>5018</v>
      </c>
      <c r="B1005" s="87" t="s">
        <v>5019</v>
      </c>
      <c r="C1005" s="87" t="s">
        <v>12</v>
      </c>
      <c r="D1005" s="87" t="str">
        <f>VLOOKUP(Tabela1[[#This Row],[Origem]], 'Perguntas 1 a 24'!$J$28:$K$34, 2, 0)</f>
        <v>Sudeste</v>
      </c>
      <c r="E1005" s="87" t="str">
        <f>Tabela1[[#This Row],[Descrição]]&amp;"-"&amp;Tabela1[[#This Row],[Código]]&amp;"/"&amp;Tabela1[[#This Row],[Origem]]</f>
        <v>Nupopeca-P686H757/RJ</v>
      </c>
      <c r="F1005" s="88">
        <v>46060</v>
      </c>
      <c r="G1005" s="88" t="str" cm="1">
        <f t="array" ref="G10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AND(F1005&gt;= DATE(2026,1,1), F1005&lt;= DATE(2028, 12, 31), J1005&gt;50000), "Pendente e Caro", AND(F1005&gt;= DATE(2026,1,1), F1005&lt;= DATE(2028, 12, 31), J1005&lt;=50000), "Pendente", F1005&gt;= DATE(2029,1,1), "Não prioeitário")</f>
        <v>Pendente e Caro</v>
      </c>
      <c r="H1005" s="89">
        <f>YEAR(Tabela1[[#This Row],[Data de Validade]])</f>
        <v>2026</v>
      </c>
      <c r="I1005" s="89">
        <f>MONTH(Tabela1[[#This Row],[Data de Validade]])</f>
        <v>2</v>
      </c>
      <c r="J1005" s="101">
        <v>70986</v>
      </c>
      <c r="K1005" s="87" t="s">
        <v>11</v>
      </c>
      <c r="L1005" s="108"/>
      <c r="M1005" s="108"/>
      <c r="N1005" s="108" t="str">
        <v>P686H757</v>
      </c>
      <c r="O1005" s="108">
        <f t="shared" si="17"/>
        <v>1</v>
      </c>
      <c r="P1005" s="108"/>
      <c r="Q1005"/>
    </row>
    <row r="1006" spans="1:17" x14ac:dyDescent="0.25">
      <c r="A1006" s="89" t="s">
        <v>7234</v>
      </c>
      <c r="B1006" s="87" t="s">
        <v>7235</v>
      </c>
      <c r="C1006" s="87" t="s">
        <v>16</v>
      </c>
      <c r="D1006" s="87" t="str">
        <f>VLOOKUP(Tabela1[[#This Row],[Origem]], 'Perguntas 1 a 24'!$J$28:$K$34, 2, 0)</f>
        <v>Sudeste</v>
      </c>
      <c r="E1006" s="87" t="str">
        <f>Tabela1[[#This Row],[Descrição]]&amp;"-"&amp;Tabela1[[#This Row],[Código]]&amp;"/"&amp;Tabela1[[#This Row],[Origem]]</f>
        <v>Mulopapa-H149P153/MG</v>
      </c>
      <c r="F1006" s="88">
        <v>46060</v>
      </c>
      <c r="G1006" s="88" t="str" cm="1">
        <f t="array" ref="G10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AND(F1006&gt;= DATE(2026,1,1), F1006&lt;= DATE(2028, 12, 31), J1006&gt;50000), "Pendente e Caro", AND(F1006&gt;= DATE(2026,1,1), F1006&lt;= DATE(2028, 12, 31), J1006&lt;=50000), "Pendente", F1006&gt;= DATE(2029,1,1), "Não prioeitário")</f>
        <v>Pendente e Caro</v>
      </c>
      <c r="H1006" s="89">
        <f>YEAR(Tabela1[[#This Row],[Data de Validade]])</f>
        <v>2026</v>
      </c>
      <c r="I1006" s="89">
        <f>MONTH(Tabela1[[#This Row],[Data de Validade]])</f>
        <v>2</v>
      </c>
      <c r="J1006" s="101">
        <v>64926</v>
      </c>
      <c r="K1006" s="87" t="s">
        <v>7</v>
      </c>
      <c r="L1006" s="108"/>
      <c r="M1006" s="108"/>
      <c r="N1006" s="108" t="str">
        <v>H149P153</v>
      </c>
      <c r="O1006" s="108">
        <f t="shared" si="17"/>
        <v>1</v>
      </c>
      <c r="P1006" s="108"/>
      <c r="Q1006"/>
    </row>
    <row r="1007" spans="1:17" x14ac:dyDescent="0.25">
      <c r="A1007" s="89" t="s">
        <v>4337</v>
      </c>
      <c r="B1007" s="87" t="s">
        <v>4338</v>
      </c>
      <c r="C1007" s="87" t="s">
        <v>8</v>
      </c>
      <c r="D1007" s="87" t="str">
        <f>VLOOKUP(Tabela1[[#This Row],[Origem]], 'Perguntas 1 a 24'!$J$28:$K$34, 2, 0)</f>
        <v>Nordeste</v>
      </c>
      <c r="E1007" s="87" t="str">
        <f>Tabela1[[#This Row],[Descrição]]&amp;"-"&amp;Tabela1[[#This Row],[Código]]&amp;"/"&amp;Tabela1[[#This Row],[Origem]]</f>
        <v>Rudapu-P929H387/AL</v>
      </c>
      <c r="F1007" s="88">
        <v>46060</v>
      </c>
      <c r="G1007" s="88" t="str" cm="1">
        <f t="array" ref="G10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AND(F1007&gt;= DATE(2026,1,1), F1007&lt;= DATE(2028, 12, 31), J1007&gt;50000), "Pendente e Caro", AND(F1007&gt;= DATE(2026,1,1), F1007&lt;= DATE(2028, 12, 31), J1007&lt;=50000), "Pendente", F1007&gt;= DATE(2029,1,1), "Não prioeitário")</f>
        <v>Pendente e Caro</v>
      </c>
      <c r="H1007" s="89">
        <f>YEAR(Tabela1[[#This Row],[Data de Validade]])</f>
        <v>2026</v>
      </c>
      <c r="I1007" s="89">
        <f>MONTH(Tabela1[[#This Row],[Data de Validade]])</f>
        <v>2</v>
      </c>
      <c r="J1007" s="101">
        <v>59690</v>
      </c>
      <c r="K1007" s="87" t="s">
        <v>9</v>
      </c>
      <c r="L1007" s="108"/>
      <c r="M1007" s="108"/>
      <c r="N1007" s="108" t="str">
        <v>P929H387</v>
      </c>
      <c r="O1007" s="108">
        <f t="shared" si="17"/>
        <v>1</v>
      </c>
      <c r="P1007" s="108"/>
      <c r="Q1007"/>
    </row>
    <row r="1008" spans="1:17" x14ac:dyDescent="0.25">
      <c r="A1008" s="89" t="s">
        <v>7672</v>
      </c>
      <c r="B1008" s="87" t="s">
        <v>7673</v>
      </c>
      <c r="C1008" s="87" t="s">
        <v>8</v>
      </c>
      <c r="D1008" s="87" t="str">
        <f>VLOOKUP(Tabela1[[#This Row],[Origem]], 'Perguntas 1 a 24'!$J$28:$K$34, 2, 0)</f>
        <v>Nordeste</v>
      </c>
      <c r="E1008" s="87" t="str">
        <f>Tabela1[[#This Row],[Descrição]]&amp;"-"&amp;Tabela1[[#This Row],[Código]]&amp;"/"&amp;Tabela1[[#This Row],[Origem]]</f>
        <v>Deficamu-H168P469/AL</v>
      </c>
      <c r="F1008" s="88">
        <v>46060</v>
      </c>
      <c r="G1008" s="88" t="str" cm="1">
        <f t="array" ref="G10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AND(F1008&gt;= DATE(2026,1,1), F1008&lt;= DATE(2028, 12, 31), J1008&gt;50000), "Pendente e Caro", AND(F1008&gt;= DATE(2026,1,1), F1008&lt;= DATE(2028, 12, 31), J1008&lt;=50000), "Pendente", F1008&gt;= DATE(2029,1,1), "Não prioeitário")</f>
        <v>Pendente</v>
      </c>
      <c r="H1008" s="89">
        <f>YEAR(Tabela1[[#This Row],[Data de Validade]])</f>
        <v>2026</v>
      </c>
      <c r="I1008" s="89">
        <f>MONTH(Tabela1[[#This Row],[Data de Validade]])</f>
        <v>2</v>
      </c>
      <c r="J1008" s="101">
        <v>20585</v>
      </c>
      <c r="K1008" s="87" t="s">
        <v>7</v>
      </c>
      <c r="L1008" s="108"/>
      <c r="M1008" s="108"/>
      <c r="N1008" s="108" t="str">
        <v>H168P469</v>
      </c>
      <c r="O1008" s="108">
        <f t="shared" si="17"/>
        <v>1</v>
      </c>
      <c r="P1008" s="108"/>
      <c r="Q1008"/>
    </row>
    <row r="1009" spans="1:17" x14ac:dyDescent="0.25">
      <c r="A1009" s="89" t="s">
        <v>7094</v>
      </c>
      <c r="B1009" s="87" t="s">
        <v>7095</v>
      </c>
      <c r="C1009" s="87" t="s">
        <v>15</v>
      </c>
      <c r="D1009" s="87" t="str">
        <f>VLOOKUP(Tabela1[[#This Row],[Origem]], 'Perguntas 1 a 24'!$J$28:$K$34, 2, 0)</f>
        <v>Sudeste</v>
      </c>
      <c r="E1009" s="87" t="str">
        <f>Tabela1[[#This Row],[Descrição]]&amp;"-"&amp;Tabela1[[#This Row],[Código]]&amp;"/"&amp;Tabela1[[#This Row],[Origem]]</f>
        <v>Lidevu-P987H699/ES</v>
      </c>
      <c r="F1009" s="88">
        <v>46061</v>
      </c>
      <c r="G1009" s="88" t="str" cm="1">
        <f t="array" ref="G10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AND(F1009&gt;= DATE(2026,1,1), F1009&lt;= DATE(2028, 12, 31), J1009&gt;50000), "Pendente e Caro", AND(F1009&gt;= DATE(2026,1,1), F1009&lt;= DATE(2028, 12, 31), J1009&lt;=50000), "Pendente", F1009&gt;= DATE(2029,1,1), "Não prioeitário")</f>
        <v>Pendente e Caro</v>
      </c>
      <c r="H1009" s="89">
        <f>YEAR(Tabela1[[#This Row],[Data de Validade]])</f>
        <v>2026</v>
      </c>
      <c r="I1009" s="89">
        <f>MONTH(Tabela1[[#This Row],[Data de Validade]])</f>
        <v>2</v>
      </c>
      <c r="J1009" s="101">
        <v>103635</v>
      </c>
      <c r="K1009" s="87" t="s">
        <v>14</v>
      </c>
      <c r="L1009" s="108"/>
      <c r="M1009" s="108"/>
      <c r="N1009" s="108" t="str">
        <v>P987H699</v>
      </c>
      <c r="O1009" s="108">
        <f t="shared" si="17"/>
        <v>1</v>
      </c>
      <c r="P1009" s="108"/>
      <c r="Q1009"/>
    </row>
    <row r="1010" spans="1:17" x14ac:dyDescent="0.25">
      <c r="A1010" s="89" t="s">
        <v>5170</v>
      </c>
      <c r="B1010" s="87" t="s">
        <v>5171</v>
      </c>
      <c r="C1010" s="87" t="s">
        <v>16</v>
      </c>
      <c r="D1010" s="87" t="str">
        <f>VLOOKUP(Tabela1[[#This Row],[Origem]], 'Perguntas 1 a 24'!$J$28:$K$34, 2, 0)</f>
        <v>Sudeste</v>
      </c>
      <c r="E1010" s="87" t="str">
        <f>Tabela1[[#This Row],[Descrição]]&amp;"-"&amp;Tabela1[[#This Row],[Código]]&amp;"/"&amp;Tabela1[[#This Row],[Origem]]</f>
        <v>Vucipu-H554H738/MG</v>
      </c>
      <c r="F1010" s="88">
        <v>46061</v>
      </c>
      <c r="G1010" s="88" t="str" cm="1">
        <f t="array" ref="G10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AND(F1010&gt;= DATE(2026,1,1), F1010&lt;= DATE(2028, 12, 31), J1010&gt;50000), "Pendente e Caro", AND(F1010&gt;= DATE(2026,1,1), F1010&lt;= DATE(2028, 12, 31), J1010&lt;=50000), "Pendente", F1010&gt;= DATE(2029,1,1), "Não prioeitário")</f>
        <v>Pendente e Caro</v>
      </c>
      <c r="H1010" s="89">
        <f>YEAR(Tabela1[[#This Row],[Data de Validade]])</f>
        <v>2026</v>
      </c>
      <c r="I1010" s="89">
        <f>MONTH(Tabela1[[#This Row],[Data de Validade]])</f>
        <v>2</v>
      </c>
      <c r="J1010" s="101">
        <v>86872</v>
      </c>
      <c r="K1010" s="87" t="s">
        <v>11</v>
      </c>
      <c r="L1010" s="108"/>
      <c r="M1010" s="108"/>
      <c r="N1010" s="108" t="str">
        <v>H554H738</v>
      </c>
      <c r="O1010" s="108">
        <f t="shared" si="17"/>
        <v>1</v>
      </c>
      <c r="P1010" s="108"/>
      <c r="Q1010"/>
    </row>
    <row r="1011" spans="1:17" x14ac:dyDescent="0.25">
      <c r="A1011" s="89" t="s">
        <v>10998</v>
      </c>
      <c r="B1011" s="87" t="s">
        <v>10999</v>
      </c>
      <c r="C1011" s="87" t="s">
        <v>16</v>
      </c>
      <c r="D1011" s="87" t="str">
        <f>VLOOKUP(Tabela1[[#This Row],[Origem]], 'Perguntas 1 a 24'!$J$28:$K$34, 2, 0)</f>
        <v>Sudeste</v>
      </c>
      <c r="E1011" s="87" t="str">
        <f>Tabela1[[#This Row],[Descrição]]&amp;"-"&amp;Tabela1[[#This Row],[Código]]&amp;"/"&amp;Tabela1[[#This Row],[Origem]]</f>
        <v>Depacefu-P131H625/MG</v>
      </c>
      <c r="F1011" s="88">
        <v>46063</v>
      </c>
      <c r="G1011" s="88" t="str" cm="1">
        <f t="array" ref="G10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AND(F1011&gt;= DATE(2026,1,1), F1011&lt;= DATE(2028, 12, 31), J1011&gt;50000), "Pendente e Caro", AND(F1011&gt;= DATE(2026,1,1), F1011&lt;= DATE(2028, 12, 31), J1011&lt;=50000), "Pendente", F1011&gt;= DATE(2029,1,1), "Não prioeitário")</f>
        <v>Pendente e Caro</v>
      </c>
      <c r="H1011" s="89">
        <f>YEAR(Tabela1[[#This Row],[Data de Validade]])</f>
        <v>2026</v>
      </c>
      <c r="I1011" s="89">
        <f>MONTH(Tabela1[[#This Row],[Data de Validade]])</f>
        <v>2</v>
      </c>
      <c r="J1011" s="101">
        <v>50813</v>
      </c>
      <c r="K1011" s="87" t="s">
        <v>14</v>
      </c>
      <c r="L1011" s="108"/>
      <c r="M1011" s="108"/>
      <c r="N1011" s="108" t="str">
        <v>P131H625</v>
      </c>
      <c r="O1011" s="108">
        <f t="shared" si="17"/>
        <v>1</v>
      </c>
      <c r="P1011" s="108"/>
      <c r="Q1011"/>
    </row>
    <row r="1012" spans="1:17" x14ac:dyDescent="0.25">
      <c r="A1012" s="89" t="s">
        <v>6096</v>
      </c>
      <c r="B1012" s="87" t="s">
        <v>6097</v>
      </c>
      <c r="C1012" s="87" t="s">
        <v>13</v>
      </c>
      <c r="D1012" s="87" t="str">
        <f>VLOOKUP(Tabela1[[#This Row],[Origem]], 'Perguntas 1 a 24'!$J$28:$K$34, 2, 0)</f>
        <v>Sudeste</v>
      </c>
      <c r="E1012" s="87" t="str">
        <f>Tabela1[[#This Row],[Descrição]]&amp;"-"&amp;Tabela1[[#This Row],[Código]]&amp;"/"&amp;Tabela1[[#This Row],[Origem]]</f>
        <v>Rivicotu-P618P969/SP</v>
      </c>
      <c r="F1012" s="88">
        <v>46063</v>
      </c>
      <c r="G1012" s="88" t="str" cm="1">
        <f t="array" ref="G10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AND(F1012&gt;= DATE(2026,1,1), F1012&lt;= DATE(2028, 12, 31), J1012&gt;50000), "Pendente e Caro", AND(F1012&gt;= DATE(2026,1,1), F1012&lt;= DATE(2028, 12, 31), J1012&lt;=50000), "Pendente", F1012&gt;= DATE(2029,1,1), "Não prioeitário")</f>
        <v>Pendente</v>
      </c>
      <c r="H1012" s="89">
        <f>YEAR(Tabela1[[#This Row],[Data de Validade]])</f>
        <v>2026</v>
      </c>
      <c r="I1012" s="89">
        <f>MONTH(Tabela1[[#This Row],[Data de Validade]])</f>
        <v>2</v>
      </c>
      <c r="J1012" s="101">
        <v>44844</v>
      </c>
      <c r="K1012" s="87" t="s">
        <v>11</v>
      </c>
      <c r="L1012" s="108"/>
      <c r="M1012" s="108"/>
      <c r="N1012" s="108" t="str">
        <v>P618P969</v>
      </c>
      <c r="O1012" s="108">
        <f t="shared" si="17"/>
        <v>1</v>
      </c>
      <c r="P1012" s="108"/>
      <c r="Q1012"/>
    </row>
    <row r="1013" spans="1:17" x14ac:dyDescent="0.25">
      <c r="A1013" s="89" t="s">
        <v>4550</v>
      </c>
      <c r="B1013" s="87" t="s">
        <v>4551</v>
      </c>
      <c r="C1013" s="87" t="s">
        <v>13</v>
      </c>
      <c r="D1013" s="87" t="str">
        <f>VLOOKUP(Tabela1[[#This Row],[Origem]], 'Perguntas 1 a 24'!$J$28:$K$34, 2, 0)</f>
        <v>Sudeste</v>
      </c>
      <c r="E1013" s="87" t="str">
        <f>Tabela1[[#This Row],[Descrição]]&amp;"-"&amp;Tabela1[[#This Row],[Código]]&amp;"/"&amp;Tabela1[[#This Row],[Origem]]</f>
        <v>Tagevi-P557H266/SP</v>
      </c>
      <c r="F1013" s="88">
        <v>46064</v>
      </c>
      <c r="G1013" s="88" t="str" cm="1">
        <f t="array" ref="G10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AND(F1013&gt;= DATE(2026,1,1), F1013&lt;= DATE(2028, 12, 31), J1013&gt;50000), "Pendente e Caro", AND(F1013&gt;= DATE(2026,1,1), F1013&lt;= DATE(2028, 12, 31), J1013&lt;=50000), "Pendente", F1013&gt;= DATE(2029,1,1), "Não prioeitário")</f>
        <v>Pendente e Caro</v>
      </c>
      <c r="H1013" s="89">
        <f>YEAR(Tabela1[[#This Row],[Data de Validade]])</f>
        <v>2026</v>
      </c>
      <c r="I1013" s="89">
        <f>MONTH(Tabela1[[#This Row],[Data de Validade]])</f>
        <v>2</v>
      </c>
      <c r="J1013" s="101">
        <v>102175</v>
      </c>
      <c r="K1013" s="87" t="s">
        <v>7</v>
      </c>
      <c r="L1013" s="108"/>
      <c r="M1013" s="108"/>
      <c r="N1013" s="108" t="str">
        <v>P557H266</v>
      </c>
      <c r="O1013" s="108">
        <f t="shared" si="17"/>
        <v>1</v>
      </c>
      <c r="P1013" s="108"/>
      <c r="Q1013"/>
    </row>
    <row r="1014" spans="1:17" x14ac:dyDescent="0.25">
      <c r="A1014" s="89" t="s">
        <v>5652</v>
      </c>
      <c r="B1014" s="87" t="s">
        <v>5653</v>
      </c>
      <c r="C1014" s="87" t="s">
        <v>15</v>
      </c>
      <c r="D1014" s="87" t="str">
        <f>VLOOKUP(Tabela1[[#This Row],[Origem]], 'Perguntas 1 a 24'!$J$28:$K$34, 2, 0)</f>
        <v>Sudeste</v>
      </c>
      <c r="E1014" s="87" t="str">
        <f>Tabela1[[#This Row],[Descrição]]&amp;"-"&amp;Tabela1[[#This Row],[Código]]&amp;"/"&amp;Tabela1[[#This Row],[Origem]]</f>
        <v>Cunofane-H668H286/ES</v>
      </c>
      <c r="F1014" s="88">
        <v>46064</v>
      </c>
      <c r="G1014" s="88" t="str" cm="1">
        <f t="array" ref="G10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AND(F1014&gt;= DATE(2026,1,1), F1014&lt;= DATE(2028, 12, 31), J1014&gt;50000), "Pendente e Caro", AND(F1014&gt;= DATE(2026,1,1), F1014&lt;= DATE(2028, 12, 31), J1014&lt;=50000), "Pendente", F1014&gt;= DATE(2029,1,1), "Não prioeitário")</f>
        <v>Pendente</v>
      </c>
      <c r="H1014" s="89">
        <f>YEAR(Tabela1[[#This Row],[Data de Validade]])</f>
        <v>2026</v>
      </c>
      <c r="I1014" s="89">
        <f>MONTH(Tabela1[[#This Row],[Data de Validade]])</f>
        <v>2</v>
      </c>
      <c r="J1014" s="101">
        <v>42321</v>
      </c>
      <c r="K1014" s="87" t="s">
        <v>9</v>
      </c>
      <c r="L1014" s="108"/>
      <c r="M1014" s="108"/>
      <c r="N1014" s="108" t="str">
        <v>H668H286</v>
      </c>
      <c r="O1014" s="108">
        <f t="shared" si="17"/>
        <v>1</v>
      </c>
      <c r="P1014" s="108"/>
      <c r="Q1014"/>
    </row>
    <row r="1015" spans="1:17" x14ac:dyDescent="0.25">
      <c r="A1015" s="89" t="s">
        <v>8076</v>
      </c>
      <c r="B1015" s="87" t="s">
        <v>8077</v>
      </c>
      <c r="C1015" s="87" t="s">
        <v>16</v>
      </c>
      <c r="D1015" s="87" t="str">
        <f>VLOOKUP(Tabela1[[#This Row],[Origem]], 'Perguntas 1 a 24'!$J$28:$K$34, 2, 0)</f>
        <v>Sudeste</v>
      </c>
      <c r="E1015" s="87" t="str">
        <f>Tabela1[[#This Row],[Descrição]]&amp;"-"&amp;Tabela1[[#This Row],[Código]]&amp;"/"&amp;Tabela1[[#This Row],[Origem]]</f>
        <v>Raguroto-P291P616/MG</v>
      </c>
      <c r="F1015" s="88">
        <v>46064</v>
      </c>
      <c r="G1015" s="88" t="str" cm="1">
        <f t="array" ref="G10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AND(F1015&gt;= DATE(2026,1,1), F1015&lt;= DATE(2028, 12, 31), J1015&gt;50000), "Pendente e Caro", AND(F1015&gt;= DATE(2026,1,1), F1015&lt;= DATE(2028, 12, 31), J1015&lt;=50000), "Pendente", F1015&gt;= DATE(2029,1,1), "Não prioeitário")</f>
        <v>Pendente</v>
      </c>
      <c r="H1015" s="89">
        <f>YEAR(Tabela1[[#This Row],[Data de Validade]])</f>
        <v>2026</v>
      </c>
      <c r="I1015" s="89">
        <f>MONTH(Tabela1[[#This Row],[Data de Validade]])</f>
        <v>2</v>
      </c>
      <c r="J1015" s="101">
        <v>27830</v>
      </c>
      <c r="K1015" s="87" t="s">
        <v>11</v>
      </c>
      <c r="L1015" s="108"/>
      <c r="M1015" s="108"/>
      <c r="N1015" s="108" t="str">
        <v>P291P616</v>
      </c>
      <c r="O1015" s="108">
        <f t="shared" si="17"/>
        <v>1</v>
      </c>
      <c r="P1015" s="108"/>
      <c r="Q1015"/>
    </row>
    <row r="1016" spans="1:17" x14ac:dyDescent="0.25">
      <c r="A1016" s="89" t="s">
        <v>10105</v>
      </c>
      <c r="B1016" s="87" t="s">
        <v>10106</v>
      </c>
      <c r="C1016" s="87" t="s">
        <v>13</v>
      </c>
      <c r="D1016" s="87" t="str">
        <f>VLOOKUP(Tabela1[[#This Row],[Origem]], 'Perguntas 1 a 24'!$J$28:$K$34, 2, 0)</f>
        <v>Sudeste</v>
      </c>
      <c r="E1016" s="87" t="str">
        <f>Tabela1[[#This Row],[Descrição]]&amp;"-"&amp;Tabela1[[#This Row],[Código]]&amp;"/"&amp;Tabela1[[#This Row],[Origem]]</f>
        <v>Coritu-P639H442/SP</v>
      </c>
      <c r="F1016" s="88">
        <v>46064</v>
      </c>
      <c r="G1016" s="88" t="str" cm="1">
        <f t="array" ref="G10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AND(F1016&gt;= DATE(2026,1,1), F1016&lt;= DATE(2028, 12, 31), J1016&gt;50000), "Pendente e Caro", AND(F1016&gt;= DATE(2026,1,1), F1016&lt;= DATE(2028, 12, 31), J1016&lt;=50000), "Pendente", F1016&gt;= DATE(2029,1,1), "Não prioeitário")</f>
        <v>Pendente</v>
      </c>
      <c r="H1016" s="89">
        <f>YEAR(Tabela1[[#This Row],[Data de Validade]])</f>
        <v>2026</v>
      </c>
      <c r="I1016" s="89">
        <f>MONTH(Tabela1[[#This Row],[Data de Validade]])</f>
        <v>2</v>
      </c>
      <c r="J1016" s="101">
        <v>27777</v>
      </c>
      <c r="K1016" s="87" t="s">
        <v>14</v>
      </c>
      <c r="L1016" s="108"/>
      <c r="M1016" s="108"/>
      <c r="N1016" s="108" t="str">
        <v>P639H442</v>
      </c>
      <c r="O1016" s="108">
        <f t="shared" si="17"/>
        <v>1</v>
      </c>
      <c r="P1016" s="108"/>
      <c r="Q1016"/>
    </row>
    <row r="1017" spans="1:17" x14ac:dyDescent="0.25">
      <c r="A1017" s="89" t="s">
        <v>6358</v>
      </c>
      <c r="B1017" s="87" t="s">
        <v>6359</v>
      </c>
      <c r="C1017" s="87" t="s">
        <v>6</v>
      </c>
      <c r="D1017" s="87" t="str">
        <f>VLOOKUP(Tabela1[[#This Row],[Origem]], 'Perguntas 1 a 24'!$J$28:$K$34, 2, 0)</f>
        <v>Nordeste</v>
      </c>
      <c r="E1017" s="87" t="str">
        <f>Tabela1[[#This Row],[Descrição]]&amp;"-"&amp;Tabela1[[#This Row],[Código]]&amp;"/"&amp;Tabela1[[#This Row],[Origem]]</f>
        <v>Popirapapa-P664P194/MA</v>
      </c>
      <c r="F1017" s="88">
        <v>46065</v>
      </c>
      <c r="G1017" s="88" t="str" cm="1">
        <f t="array" ref="G10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AND(F1017&gt;= DATE(2026,1,1), F1017&lt;= DATE(2028, 12, 31), J1017&gt;50000), "Pendente e Caro", AND(F1017&gt;= DATE(2026,1,1), F1017&lt;= DATE(2028, 12, 31), J1017&lt;=50000), "Pendente", F1017&gt;= DATE(2029,1,1), "Não prioeitário")</f>
        <v>Pendente e Caro</v>
      </c>
      <c r="H1017" s="89">
        <f>YEAR(Tabela1[[#This Row],[Data de Validade]])</f>
        <v>2026</v>
      </c>
      <c r="I1017" s="89">
        <f>MONTH(Tabela1[[#This Row],[Data de Validade]])</f>
        <v>2</v>
      </c>
      <c r="J1017" s="101">
        <v>59877</v>
      </c>
      <c r="K1017" s="87" t="s">
        <v>9</v>
      </c>
      <c r="L1017" s="108"/>
      <c r="M1017" s="108"/>
      <c r="N1017" s="108" t="str">
        <v>P664P194</v>
      </c>
      <c r="O1017" s="108">
        <f t="shared" si="17"/>
        <v>1</v>
      </c>
      <c r="P1017" s="108"/>
      <c r="Q1017"/>
    </row>
    <row r="1018" spans="1:17" x14ac:dyDescent="0.25">
      <c r="A1018" s="89" t="s">
        <v>5452</v>
      </c>
      <c r="B1018" s="87" t="s">
        <v>5453</v>
      </c>
      <c r="C1018" s="87" t="s">
        <v>8</v>
      </c>
      <c r="D1018" s="87" t="str">
        <f>VLOOKUP(Tabela1[[#This Row],[Origem]], 'Perguntas 1 a 24'!$J$28:$K$34, 2, 0)</f>
        <v>Nordeste</v>
      </c>
      <c r="E1018" s="87" t="str">
        <f>Tabela1[[#This Row],[Descrição]]&amp;"-"&amp;Tabela1[[#This Row],[Código]]&amp;"/"&amp;Tabela1[[#This Row],[Origem]]</f>
        <v>Vegomepu-P127H823/AL</v>
      </c>
      <c r="F1018" s="88">
        <v>46066</v>
      </c>
      <c r="G1018" s="88" t="str" cm="1">
        <f t="array" ref="G10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AND(F1018&gt;= DATE(2026,1,1), F1018&lt;= DATE(2028, 12, 31), J1018&gt;50000), "Pendente e Caro", AND(F1018&gt;= DATE(2026,1,1), F1018&lt;= DATE(2028, 12, 31), J1018&lt;=50000), "Pendente", F1018&gt;= DATE(2029,1,1), "Não prioeitário")</f>
        <v>Pendente e Caro</v>
      </c>
      <c r="H1018" s="89">
        <f>YEAR(Tabela1[[#This Row],[Data de Validade]])</f>
        <v>2026</v>
      </c>
      <c r="I1018" s="89">
        <f>MONTH(Tabela1[[#This Row],[Data de Validade]])</f>
        <v>2</v>
      </c>
      <c r="J1018" s="101">
        <v>116180</v>
      </c>
      <c r="K1018" s="87" t="s">
        <v>9</v>
      </c>
      <c r="L1018" s="108"/>
      <c r="M1018" s="108"/>
      <c r="N1018" s="108" t="str">
        <v>P127H823</v>
      </c>
      <c r="O1018" s="108">
        <f t="shared" si="17"/>
        <v>1</v>
      </c>
      <c r="P1018" s="108"/>
      <c r="Q1018"/>
    </row>
    <row r="1019" spans="1:17" x14ac:dyDescent="0.25">
      <c r="A1019" s="89" t="s">
        <v>5890</v>
      </c>
      <c r="B1019" s="87" t="s">
        <v>5891</v>
      </c>
      <c r="C1019" s="87" t="s">
        <v>8</v>
      </c>
      <c r="D1019" s="87" t="str">
        <f>VLOOKUP(Tabela1[[#This Row],[Origem]], 'Perguntas 1 a 24'!$J$28:$K$34, 2, 0)</f>
        <v>Nordeste</v>
      </c>
      <c r="E1019" s="87" t="str">
        <f>Tabela1[[#This Row],[Descrição]]&amp;"-"&amp;Tabela1[[#This Row],[Código]]&amp;"/"&amp;Tabela1[[#This Row],[Origem]]</f>
        <v>Mopema-H245H431/AL</v>
      </c>
      <c r="F1019" s="88">
        <v>46066</v>
      </c>
      <c r="G1019" s="88" t="str" cm="1">
        <f t="array" ref="G10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AND(F1019&gt;= DATE(2026,1,1), F1019&lt;= DATE(2028, 12, 31), J1019&gt;50000), "Pendente e Caro", AND(F1019&gt;= DATE(2026,1,1), F1019&lt;= DATE(2028, 12, 31), J1019&lt;=50000), "Pendente", F1019&gt;= DATE(2029,1,1), "Não prioeitário")</f>
        <v>Pendente e Caro</v>
      </c>
      <c r="H1019" s="89">
        <f>YEAR(Tabela1[[#This Row],[Data de Validade]])</f>
        <v>2026</v>
      </c>
      <c r="I1019" s="89">
        <f>MONTH(Tabela1[[#This Row],[Data de Validade]])</f>
        <v>2</v>
      </c>
      <c r="J1019" s="101">
        <v>114242</v>
      </c>
      <c r="K1019" s="87" t="s">
        <v>7</v>
      </c>
      <c r="L1019" s="108"/>
      <c r="M1019" s="108"/>
      <c r="N1019" s="108" t="str">
        <v>H245H431</v>
      </c>
      <c r="O1019" s="108">
        <f t="shared" si="17"/>
        <v>1</v>
      </c>
      <c r="P1019" s="108"/>
      <c r="Q1019"/>
    </row>
    <row r="1020" spans="1:17" x14ac:dyDescent="0.25">
      <c r="A1020" s="89" t="s">
        <v>11238</v>
      </c>
      <c r="B1020" s="87" t="s">
        <v>11239</v>
      </c>
      <c r="C1020" s="87" t="s">
        <v>15</v>
      </c>
      <c r="D1020" s="87" t="str">
        <f>VLOOKUP(Tabela1[[#This Row],[Origem]], 'Perguntas 1 a 24'!$J$28:$K$34, 2, 0)</f>
        <v>Sudeste</v>
      </c>
      <c r="E1020" s="87" t="str">
        <f>Tabela1[[#This Row],[Descrição]]&amp;"-"&amp;Tabela1[[#This Row],[Código]]&amp;"/"&amp;Tabela1[[#This Row],[Origem]]</f>
        <v>Palone-H466P736/ES</v>
      </c>
      <c r="F1020" s="88">
        <v>46066</v>
      </c>
      <c r="G1020" s="88" t="str" cm="1">
        <f t="array" ref="G10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AND(F1020&gt;= DATE(2026,1,1), F1020&lt;= DATE(2028, 12, 31), J1020&gt;50000), "Pendente e Caro", AND(F1020&gt;= DATE(2026,1,1), F1020&lt;= DATE(2028, 12, 31), J1020&lt;=50000), "Pendente", F1020&gt;= DATE(2029,1,1), "Não prioeitário")</f>
        <v>Pendente e Caro</v>
      </c>
      <c r="H1020" s="89">
        <f>YEAR(Tabela1[[#This Row],[Data de Validade]])</f>
        <v>2026</v>
      </c>
      <c r="I1020" s="89">
        <f>MONTH(Tabela1[[#This Row],[Data de Validade]])</f>
        <v>2</v>
      </c>
      <c r="J1020" s="101">
        <v>96120</v>
      </c>
      <c r="K1020" s="87" t="s">
        <v>11</v>
      </c>
      <c r="L1020" s="108"/>
      <c r="M1020" s="108"/>
      <c r="N1020" s="108" t="str">
        <v>H466P736</v>
      </c>
      <c r="O1020" s="108">
        <f t="shared" si="17"/>
        <v>1</v>
      </c>
      <c r="P1020" s="108"/>
      <c r="Q1020"/>
    </row>
    <row r="1021" spans="1:17" x14ac:dyDescent="0.25">
      <c r="A1021" s="89" t="s">
        <v>10281</v>
      </c>
      <c r="B1021" s="87" t="s">
        <v>10282</v>
      </c>
      <c r="C1021" s="87" t="s">
        <v>15</v>
      </c>
      <c r="D1021" s="87" t="str">
        <f>VLOOKUP(Tabela1[[#This Row],[Origem]], 'Perguntas 1 a 24'!$J$28:$K$34, 2, 0)</f>
        <v>Sudeste</v>
      </c>
      <c r="E1021" s="87" t="str">
        <f>Tabela1[[#This Row],[Descrição]]&amp;"-"&amp;Tabela1[[#This Row],[Código]]&amp;"/"&amp;Tabela1[[#This Row],[Origem]]</f>
        <v>Pupucuto-H222H525/ES</v>
      </c>
      <c r="F1021" s="88">
        <v>46066</v>
      </c>
      <c r="G1021" s="88" t="str" cm="1">
        <f t="array" ref="G10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AND(F1021&gt;= DATE(2026,1,1), F1021&lt;= DATE(2028, 12, 31), J1021&gt;50000), "Pendente e Caro", AND(F1021&gt;= DATE(2026,1,1), F1021&lt;= DATE(2028, 12, 31), J1021&lt;=50000), "Pendente", F1021&gt;= DATE(2029,1,1), "Não prioeitário")</f>
        <v>Pendente e Caro</v>
      </c>
      <c r="H1021" s="89">
        <f>YEAR(Tabela1[[#This Row],[Data de Validade]])</f>
        <v>2026</v>
      </c>
      <c r="I1021" s="89">
        <f>MONTH(Tabela1[[#This Row],[Data de Validade]])</f>
        <v>2</v>
      </c>
      <c r="J1021" s="101">
        <v>60774</v>
      </c>
      <c r="K1021" s="87" t="s">
        <v>14</v>
      </c>
      <c r="L1021" s="108"/>
      <c r="M1021" s="108"/>
      <c r="N1021" s="108" t="str">
        <v>H222H525</v>
      </c>
      <c r="O1021" s="108">
        <f t="shared" si="17"/>
        <v>1</v>
      </c>
      <c r="P1021" s="108"/>
      <c r="Q1021"/>
    </row>
    <row r="1022" spans="1:17" x14ac:dyDescent="0.25">
      <c r="A1022" s="89" t="s">
        <v>4816</v>
      </c>
      <c r="B1022" s="87" t="s">
        <v>4817</v>
      </c>
      <c r="C1022" s="87" t="s">
        <v>6</v>
      </c>
      <c r="D1022" s="87" t="str">
        <f>VLOOKUP(Tabela1[[#This Row],[Origem]], 'Perguntas 1 a 24'!$J$28:$K$34, 2, 0)</f>
        <v>Nordeste</v>
      </c>
      <c r="E1022" s="87" t="str">
        <f>Tabela1[[#This Row],[Descrição]]&amp;"-"&amp;Tabela1[[#This Row],[Código]]&amp;"/"&amp;Tabela1[[#This Row],[Origem]]</f>
        <v>Nimerilivu-P399P836/MA</v>
      </c>
      <c r="F1022" s="88">
        <v>46067</v>
      </c>
      <c r="G1022" s="88" t="str" cm="1">
        <f t="array" ref="G10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AND(F1022&gt;= DATE(2026,1,1), F1022&lt;= DATE(2028, 12, 31), J1022&gt;50000), "Pendente e Caro", AND(F1022&gt;= DATE(2026,1,1), F1022&lt;= DATE(2028, 12, 31), J1022&lt;=50000), "Pendente", F1022&gt;= DATE(2029,1,1), "Não prioeitário")</f>
        <v>Pendente e Caro</v>
      </c>
      <c r="H1022" s="89">
        <f>YEAR(Tabela1[[#This Row],[Data de Validade]])</f>
        <v>2026</v>
      </c>
      <c r="I1022" s="89">
        <f>MONTH(Tabela1[[#This Row],[Data de Validade]])</f>
        <v>2</v>
      </c>
      <c r="J1022" s="101">
        <v>87167</v>
      </c>
      <c r="K1022" s="87" t="s">
        <v>9</v>
      </c>
      <c r="L1022" s="108"/>
      <c r="M1022" s="108"/>
      <c r="N1022" s="108" t="str">
        <v>P399P836</v>
      </c>
      <c r="O1022" s="108">
        <f t="shared" si="17"/>
        <v>1</v>
      </c>
      <c r="P1022" s="108"/>
      <c r="Q1022"/>
    </row>
    <row r="1023" spans="1:17" x14ac:dyDescent="0.25">
      <c r="A1023" s="89" t="s">
        <v>8617</v>
      </c>
      <c r="B1023" s="87" t="s">
        <v>8618</v>
      </c>
      <c r="C1023" s="87" t="s">
        <v>12</v>
      </c>
      <c r="D1023" s="87" t="str">
        <f>VLOOKUP(Tabela1[[#This Row],[Origem]], 'Perguntas 1 a 24'!$J$28:$K$34, 2, 0)</f>
        <v>Sudeste</v>
      </c>
      <c r="E1023" s="87" t="str">
        <f>Tabela1[[#This Row],[Descrição]]&amp;"-"&amp;Tabela1[[#This Row],[Código]]&amp;"/"&amp;Tabela1[[#This Row],[Origem]]</f>
        <v>Gufipica-H765H166/RJ</v>
      </c>
      <c r="F1023" s="88">
        <v>46067</v>
      </c>
      <c r="G1023" s="88" t="str" cm="1">
        <f t="array" ref="G10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AND(F1023&gt;= DATE(2026,1,1), F1023&lt;= DATE(2028, 12, 31), J1023&gt;50000), "Pendente e Caro", AND(F1023&gt;= DATE(2026,1,1), F1023&lt;= DATE(2028, 12, 31), J1023&lt;=50000), "Pendente", F1023&gt;= DATE(2029,1,1), "Não prioeitário")</f>
        <v>Pendente e Caro</v>
      </c>
      <c r="H1023" s="89">
        <f>YEAR(Tabela1[[#This Row],[Data de Validade]])</f>
        <v>2026</v>
      </c>
      <c r="I1023" s="89">
        <f>MONTH(Tabela1[[#This Row],[Data de Validade]])</f>
        <v>2</v>
      </c>
      <c r="J1023" s="101">
        <v>71854</v>
      </c>
      <c r="K1023" s="87" t="s">
        <v>11</v>
      </c>
      <c r="L1023" s="108"/>
      <c r="M1023" s="108"/>
      <c r="N1023" s="108" t="str">
        <v>H765H166</v>
      </c>
      <c r="O1023" s="108">
        <f t="shared" si="17"/>
        <v>1</v>
      </c>
      <c r="P1023" s="108"/>
      <c r="Q1023"/>
    </row>
    <row r="1024" spans="1:17" x14ac:dyDescent="0.25">
      <c r="A1024" s="89" t="s">
        <v>10641</v>
      </c>
      <c r="B1024" s="87" t="s">
        <v>10642</v>
      </c>
      <c r="C1024" s="87" t="s">
        <v>13</v>
      </c>
      <c r="D1024" s="87" t="str">
        <f>VLOOKUP(Tabela1[[#This Row],[Origem]], 'Perguntas 1 a 24'!$J$28:$K$34, 2, 0)</f>
        <v>Sudeste</v>
      </c>
      <c r="E1024" s="87" t="str">
        <f>Tabela1[[#This Row],[Descrição]]&amp;"-"&amp;Tabela1[[#This Row],[Código]]&amp;"/"&amp;Tabela1[[#This Row],[Origem]]</f>
        <v>Viticipu-P494H515/SP</v>
      </c>
      <c r="F1024" s="88">
        <v>46068</v>
      </c>
      <c r="G1024" s="88" t="str" cm="1">
        <f t="array" ref="G10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AND(F1024&gt;= DATE(2026,1,1), F1024&lt;= DATE(2028, 12, 31), J1024&gt;50000), "Pendente e Caro", AND(F1024&gt;= DATE(2026,1,1), F1024&lt;= DATE(2028, 12, 31), J1024&lt;=50000), "Pendente", F1024&gt;= DATE(2029,1,1), "Não prioeitário")</f>
        <v>Pendente e Caro</v>
      </c>
      <c r="H1024" s="89">
        <f>YEAR(Tabela1[[#This Row],[Data de Validade]])</f>
        <v>2026</v>
      </c>
      <c r="I1024" s="89">
        <f>MONTH(Tabela1[[#This Row],[Data de Validade]])</f>
        <v>2</v>
      </c>
      <c r="J1024" s="101">
        <v>116843</v>
      </c>
      <c r="K1024" s="87" t="s">
        <v>7</v>
      </c>
      <c r="L1024" s="108"/>
      <c r="M1024" s="108"/>
      <c r="N1024" s="108" t="str">
        <v>P494H515</v>
      </c>
      <c r="O1024" s="108">
        <f t="shared" si="17"/>
        <v>1</v>
      </c>
      <c r="P1024" s="108"/>
      <c r="Q1024"/>
    </row>
    <row r="1025" spans="1:17" x14ac:dyDescent="0.25">
      <c r="A1025" s="89" t="s">
        <v>4884</v>
      </c>
      <c r="B1025" s="87" t="s">
        <v>4885</v>
      </c>
      <c r="C1025" s="87" t="s">
        <v>13</v>
      </c>
      <c r="D1025" s="87" t="str">
        <f>VLOOKUP(Tabela1[[#This Row],[Origem]], 'Perguntas 1 a 24'!$J$28:$K$34, 2, 0)</f>
        <v>Sudeste</v>
      </c>
      <c r="E1025" s="87" t="str">
        <f>Tabela1[[#This Row],[Descrição]]&amp;"-"&amp;Tabela1[[#This Row],[Código]]&amp;"/"&amp;Tabela1[[#This Row],[Origem]]</f>
        <v>Pofatagoma-P311H262/SP</v>
      </c>
      <c r="F1025" s="88">
        <v>46068</v>
      </c>
      <c r="G1025" s="88" t="str" cm="1">
        <f t="array" ref="G10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AND(F1025&gt;= DATE(2026,1,1), F1025&lt;= DATE(2028, 12, 31), J1025&gt;50000), "Pendente e Caro", AND(F1025&gt;= DATE(2026,1,1), F1025&lt;= DATE(2028, 12, 31), J1025&lt;=50000), "Pendente", F1025&gt;= DATE(2029,1,1), "Não prioeitário")</f>
        <v>Pendente e Caro</v>
      </c>
      <c r="H1025" s="89">
        <f>YEAR(Tabela1[[#This Row],[Data de Validade]])</f>
        <v>2026</v>
      </c>
      <c r="I1025" s="89">
        <f>MONTH(Tabela1[[#This Row],[Data de Validade]])</f>
        <v>2</v>
      </c>
      <c r="J1025" s="101">
        <v>78544</v>
      </c>
      <c r="K1025" s="87" t="s">
        <v>11</v>
      </c>
      <c r="L1025" s="108"/>
      <c r="M1025" s="108"/>
      <c r="N1025" s="108" t="str">
        <v>P311H262</v>
      </c>
      <c r="O1025" s="108">
        <f t="shared" si="17"/>
        <v>1</v>
      </c>
      <c r="P1025" s="108"/>
      <c r="Q1025"/>
    </row>
    <row r="1026" spans="1:17" x14ac:dyDescent="0.25">
      <c r="A1026" s="89" t="s">
        <v>8118</v>
      </c>
      <c r="B1026" s="87" t="s">
        <v>8119</v>
      </c>
      <c r="C1026" s="87" t="s">
        <v>13</v>
      </c>
      <c r="D1026" s="87" t="str">
        <f>VLOOKUP(Tabela1[[#This Row],[Origem]], 'Perguntas 1 a 24'!$J$28:$K$34, 2, 0)</f>
        <v>Sudeste</v>
      </c>
      <c r="E1026" s="87" t="str">
        <f>Tabela1[[#This Row],[Descrição]]&amp;"-"&amp;Tabela1[[#This Row],[Código]]&amp;"/"&amp;Tabela1[[#This Row],[Origem]]</f>
        <v>Rulufanupe-H714P951/SP</v>
      </c>
      <c r="F1026" s="88">
        <v>46069</v>
      </c>
      <c r="G1026" s="88" t="str" cm="1">
        <f t="array" ref="G10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AND(F1026&gt;= DATE(2026,1,1), F1026&lt;= DATE(2028, 12, 31), J1026&gt;50000), "Pendente e Caro", AND(F1026&gt;= DATE(2026,1,1), F1026&lt;= DATE(2028, 12, 31), J1026&lt;=50000), "Pendente", F1026&gt;= DATE(2029,1,1), "Não prioeitário")</f>
        <v>Pendente e Caro</v>
      </c>
      <c r="H1026" s="89">
        <f>YEAR(Tabela1[[#This Row],[Data de Validade]])</f>
        <v>2026</v>
      </c>
      <c r="I1026" s="89">
        <f>MONTH(Tabela1[[#This Row],[Data de Validade]])</f>
        <v>2</v>
      </c>
      <c r="J1026" s="101">
        <v>100066</v>
      </c>
      <c r="K1026" s="87" t="s">
        <v>11</v>
      </c>
      <c r="L1026" s="108"/>
      <c r="M1026" s="108"/>
      <c r="N1026" s="108" t="str">
        <v>H714P951</v>
      </c>
      <c r="O1026" s="108">
        <f t="shared" si="17"/>
        <v>1</v>
      </c>
      <c r="P1026" s="108"/>
      <c r="Q1026"/>
    </row>
    <row r="1027" spans="1:17" x14ac:dyDescent="0.25">
      <c r="A1027" s="89" t="s">
        <v>9835</v>
      </c>
      <c r="B1027" s="87" t="s">
        <v>9836</v>
      </c>
      <c r="C1027" s="87" t="s">
        <v>8</v>
      </c>
      <c r="D1027" s="87" t="str">
        <f>VLOOKUP(Tabela1[[#This Row],[Origem]], 'Perguntas 1 a 24'!$J$28:$K$34, 2, 0)</f>
        <v>Nordeste</v>
      </c>
      <c r="E1027" s="87" t="str">
        <f>Tabela1[[#This Row],[Descrição]]&amp;"-"&amp;Tabela1[[#This Row],[Código]]&amp;"/"&amp;Tabela1[[#This Row],[Origem]]</f>
        <v>Vedidada-H317H396/AL</v>
      </c>
      <c r="F1027" s="88">
        <v>46069</v>
      </c>
      <c r="G1027" s="88" t="str" cm="1">
        <f t="array" ref="G10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AND(F1027&gt;= DATE(2026,1,1), F1027&lt;= DATE(2028, 12, 31), J1027&gt;50000), "Pendente e Caro", AND(F1027&gt;= DATE(2026,1,1), F1027&lt;= DATE(2028, 12, 31), J1027&lt;=50000), "Pendente", F1027&gt;= DATE(2029,1,1), "Não prioeitário")</f>
        <v>Pendente e Caro</v>
      </c>
      <c r="H1027" s="89">
        <f>YEAR(Tabela1[[#This Row],[Data de Validade]])</f>
        <v>2026</v>
      </c>
      <c r="I1027" s="89">
        <f>MONTH(Tabela1[[#This Row],[Data de Validade]])</f>
        <v>2</v>
      </c>
      <c r="J1027" s="101">
        <v>92731</v>
      </c>
      <c r="K1027" s="87" t="s">
        <v>14</v>
      </c>
      <c r="L1027" s="108"/>
      <c r="M1027" s="108"/>
      <c r="N1027" s="108" t="str">
        <v>H317H396</v>
      </c>
      <c r="O1027" s="108">
        <f t="shared" ref="O1027:O1090" si="18">COUNTIFS(B:B,N1027)</f>
        <v>1</v>
      </c>
      <c r="P1027" s="108"/>
      <c r="Q1027"/>
    </row>
    <row r="1028" spans="1:17" x14ac:dyDescent="0.25">
      <c r="A1028" s="89" t="s">
        <v>9685</v>
      </c>
      <c r="B1028" s="87" t="s">
        <v>9686</v>
      </c>
      <c r="C1028" s="87" t="s">
        <v>15</v>
      </c>
      <c r="D1028" s="87" t="str">
        <f>VLOOKUP(Tabela1[[#This Row],[Origem]], 'Perguntas 1 a 24'!$J$28:$K$34, 2, 0)</f>
        <v>Sudeste</v>
      </c>
      <c r="E1028" s="87" t="str">
        <f>Tabela1[[#This Row],[Descrição]]&amp;"-"&amp;Tabela1[[#This Row],[Código]]&amp;"/"&amp;Tabela1[[#This Row],[Origem]]</f>
        <v>Lapepadu-P763P355/ES</v>
      </c>
      <c r="F1028" s="88">
        <v>46069</v>
      </c>
      <c r="G1028" s="88" t="str" cm="1">
        <f t="array" ref="G10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AND(F1028&gt;= DATE(2026,1,1), F1028&lt;= DATE(2028, 12, 31), J1028&gt;50000), "Pendente e Caro", AND(F1028&gt;= DATE(2026,1,1), F1028&lt;= DATE(2028, 12, 31), J1028&lt;=50000), "Pendente", F1028&gt;= DATE(2029,1,1), "Não prioeitário")</f>
        <v>Pendente</v>
      </c>
      <c r="H1028" s="89">
        <f>YEAR(Tabela1[[#This Row],[Data de Validade]])</f>
        <v>2026</v>
      </c>
      <c r="I1028" s="89">
        <f>MONTH(Tabela1[[#This Row],[Data de Validade]])</f>
        <v>2</v>
      </c>
      <c r="J1028" s="101">
        <v>34507</v>
      </c>
      <c r="K1028" s="87" t="s">
        <v>14</v>
      </c>
      <c r="L1028" s="108"/>
      <c r="M1028" s="108"/>
      <c r="N1028" s="108" t="str">
        <v>P763P355</v>
      </c>
      <c r="O1028" s="108">
        <f t="shared" si="18"/>
        <v>1</v>
      </c>
      <c r="P1028" s="108"/>
      <c r="Q1028"/>
    </row>
    <row r="1029" spans="1:17" x14ac:dyDescent="0.25">
      <c r="A1029" s="89" t="s">
        <v>7196</v>
      </c>
      <c r="B1029" s="87" t="s">
        <v>7197</v>
      </c>
      <c r="C1029" s="87" t="s">
        <v>12</v>
      </c>
      <c r="D1029" s="87" t="str">
        <f>VLOOKUP(Tabela1[[#This Row],[Origem]], 'Perguntas 1 a 24'!$J$28:$K$34, 2, 0)</f>
        <v>Sudeste</v>
      </c>
      <c r="E1029" s="87" t="str">
        <f>Tabela1[[#This Row],[Descrição]]&amp;"-"&amp;Tabela1[[#This Row],[Código]]&amp;"/"&amp;Tabela1[[#This Row],[Origem]]</f>
        <v>Renemuce-P133P976/RJ</v>
      </c>
      <c r="F1029" s="88">
        <v>46070</v>
      </c>
      <c r="G1029" s="88" t="str" cm="1">
        <f t="array" ref="G10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AND(F1029&gt;= DATE(2026,1,1), F1029&lt;= DATE(2028, 12, 31), J1029&gt;50000), "Pendente e Caro", AND(F1029&gt;= DATE(2026,1,1), F1029&lt;= DATE(2028, 12, 31), J1029&lt;=50000), "Pendente", F1029&gt;= DATE(2029,1,1), "Não prioeitário")</f>
        <v>Pendente</v>
      </c>
      <c r="H1029" s="89">
        <f>YEAR(Tabela1[[#This Row],[Data de Validade]])</f>
        <v>2026</v>
      </c>
      <c r="I1029" s="89">
        <f>MONTH(Tabela1[[#This Row],[Data de Validade]])</f>
        <v>2</v>
      </c>
      <c r="J1029" s="101">
        <v>32988</v>
      </c>
      <c r="K1029" s="87" t="s">
        <v>11</v>
      </c>
      <c r="L1029" s="108"/>
      <c r="M1029" s="108"/>
      <c r="N1029" s="108" t="str">
        <v>P133P976</v>
      </c>
      <c r="O1029" s="108">
        <f t="shared" si="18"/>
        <v>1</v>
      </c>
      <c r="P1029" s="108"/>
      <c r="Q1029"/>
    </row>
    <row r="1030" spans="1:17" x14ac:dyDescent="0.25">
      <c r="A1030" s="89" t="s">
        <v>9059</v>
      </c>
      <c r="B1030" s="87" t="s">
        <v>9060</v>
      </c>
      <c r="C1030" s="87" t="s">
        <v>8</v>
      </c>
      <c r="D1030" s="87" t="str">
        <f>VLOOKUP(Tabela1[[#This Row],[Origem]], 'Perguntas 1 a 24'!$J$28:$K$34, 2, 0)</f>
        <v>Nordeste</v>
      </c>
      <c r="E1030" s="87" t="str">
        <f>Tabela1[[#This Row],[Descrição]]&amp;"-"&amp;Tabela1[[#This Row],[Código]]&amp;"/"&amp;Tabela1[[#This Row],[Origem]]</f>
        <v>Tudericoni-H132H958/AL</v>
      </c>
      <c r="F1030" s="88">
        <v>46071</v>
      </c>
      <c r="G1030" s="88" t="str" cm="1">
        <f t="array" ref="G10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AND(F1030&gt;= DATE(2026,1,1), F1030&lt;= DATE(2028, 12, 31), J1030&gt;50000), "Pendente e Caro", AND(F1030&gt;= DATE(2026,1,1), F1030&lt;= DATE(2028, 12, 31), J1030&lt;=50000), "Pendente", F1030&gt;= DATE(2029,1,1), "Não prioeitário")</f>
        <v>Pendente e Caro</v>
      </c>
      <c r="H1030" s="89">
        <f>YEAR(Tabela1[[#This Row],[Data de Validade]])</f>
        <v>2026</v>
      </c>
      <c r="I1030" s="89">
        <f>MONTH(Tabela1[[#This Row],[Data de Validade]])</f>
        <v>2</v>
      </c>
      <c r="J1030" s="101">
        <v>69420</v>
      </c>
      <c r="K1030" s="87" t="s">
        <v>7</v>
      </c>
      <c r="L1030" s="108"/>
      <c r="M1030" s="108"/>
      <c r="N1030" s="108" t="str">
        <v>H132H958</v>
      </c>
      <c r="O1030" s="108">
        <f t="shared" si="18"/>
        <v>1</v>
      </c>
      <c r="P1030" s="108"/>
      <c r="Q1030"/>
    </row>
    <row r="1031" spans="1:17" x14ac:dyDescent="0.25">
      <c r="A1031" s="89" t="s">
        <v>5744</v>
      </c>
      <c r="B1031" s="87" t="s">
        <v>5745</v>
      </c>
      <c r="C1031" s="87" t="s">
        <v>8</v>
      </c>
      <c r="D1031" s="87" t="str">
        <f>VLOOKUP(Tabela1[[#This Row],[Origem]], 'Perguntas 1 a 24'!$J$28:$K$34, 2, 0)</f>
        <v>Nordeste</v>
      </c>
      <c r="E1031" s="87" t="str">
        <f>Tabela1[[#This Row],[Descrição]]&amp;"-"&amp;Tabela1[[#This Row],[Código]]&amp;"/"&amp;Tabela1[[#This Row],[Origem]]</f>
        <v>Regedodidu-H715H254/AL</v>
      </c>
      <c r="F1031" s="88">
        <v>46071</v>
      </c>
      <c r="G1031" s="88" t="str" cm="1">
        <f t="array" ref="G10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AND(F1031&gt;= DATE(2026,1,1), F1031&lt;= DATE(2028, 12, 31), J1031&gt;50000), "Pendente e Caro", AND(F1031&gt;= DATE(2026,1,1), F1031&lt;= DATE(2028, 12, 31), J1031&lt;=50000), "Pendente", F1031&gt;= DATE(2029,1,1), "Não prioeitário")</f>
        <v>Pendente e Caro</v>
      </c>
      <c r="H1031" s="89">
        <f>YEAR(Tabela1[[#This Row],[Data de Validade]])</f>
        <v>2026</v>
      </c>
      <c r="I1031" s="89">
        <f>MONTH(Tabela1[[#This Row],[Data de Validade]])</f>
        <v>2</v>
      </c>
      <c r="J1031" s="101">
        <v>68818</v>
      </c>
      <c r="K1031" s="87" t="s">
        <v>9</v>
      </c>
      <c r="L1031" s="108"/>
      <c r="M1031" s="108"/>
      <c r="N1031" s="108" t="str">
        <v>H715H254</v>
      </c>
      <c r="O1031" s="108">
        <f t="shared" si="18"/>
        <v>1</v>
      </c>
      <c r="P1031" s="108"/>
      <c r="Q1031"/>
    </row>
    <row r="1032" spans="1:17" x14ac:dyDescent="0.25">
      <c r="A1032" s="89" t="s">
        <v>4187</v>
      </c>
      <c r="B1032" s="87" t="s">
        <v>4188</v>
      </c>
      <c r="C1032" s="87" t="s">
        <v>10</v>
      </c>
      <c r="D1032" s="87" t="str">
        <f>VLOOKUP(Tabela1[[#This Row],[Origem]], 'Perguntas 1 a 24'!$J$28:$K$34, 2, 0)</f>
        <v>Centro-Oeste</v>
      </c>
      <c r="E1032" s="87" t="str">
        <f>Tabela1[[#This Row],[Descrição]]&amp;"-"&amp;Tabela1[[#This Row],[Código]]&amp;"/"&amp;Tabela1[[#This Row],[Origem]]</f>
        <v>Putafative-H827H719/GO</v>
      </c>
      <c r="F1032" s="88">
        <v>46072</v>
      </c>
      <c r="G1032" s="88" t="str" cm="1">
        <f t="array" ref="G10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AND(F1032&gt;= DATE(2026,1,1), F1032&lt;= DATE(2028, 12, 31), J1032&gt;50000), "Pendente e Caro", AND(F1032&gt;= DATE(2026,1,1), F1032&lt;= DATE(2028, 12, 31), J1032&lt;=50000), "Pendente", F1032&gt;= DATE(2029,1,1), "Não prioeitário")</f>
        <v>Pendente e Caro</v>
      </c>
      <c r="H1032" s="89">
        <f>YEAR(Tabela1[[#This Row],[Data de Validade]])</f>
        <v>2026</v>
      </c>
      <c r="I1032" s="89">
        <f>MONTH(Tabela1[[#This Row],[Data de Validade]])</f>
        <v>2</v>
      </c>
      <c r="J1032" s="101">
        <v>57807</v>
      </c>
      <c r="K1032" s="87" t="s">
        <v>14</v>
      </c>
      <c r="L1032" s="108"/>
      <c r="M1032" s="108"/>
      <c r="N1032" s="108" t="str">
        <v>H827H719</v>
      </c>
      <c r="O1032" s="108">
        <f t="shared" si="18"/>
        <v>1</v>
      </c>
      <c r="P1032" s="108"/>
      <c r="Q1032"/>
    </row>
    <row r="1033" spans="1:17" x14ac:dyDescent="0.25">
      <c r="A1033" s="89" t="s">
        <v>7312</v>
      </c>
      <c r="B1033" s="87" t="s">
        <v>7313</v>
      </c>
      <c r="C1033" s="87" t="s">
        <v>13</v>
      </c>
      <c r="D1033" s="87" t="str">
        <f>VLOOKUP(Tabela1[[#This Row],[Origem]], 'Perguntas 1 a 24'!$J$28:$K$34, 2, 0)</f>
        <v>Sudeste</v>
      </c>
      <c r="E1033" s="87" t="str">
        <f>Tabela1[[#This Row],[Descrição]]&amp;"-"&amp;Tabela1[[#This Row],[Código]]&amp;"/"&amp;Tabela1[[#This Row],[Origem]]</f>
        <v>Nipulitete-H665P324/SP</v>
      </c>
      <c r="F1033" s="88">
        <v>46074</v>
      </c>
      <c r="G1033" s="88" t="str" cm="1">
        <f t="array" ref="G10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AND(F1033&gt;= DATE(2026,1,1), F1033&lt;= DATE(2028, 12, 31), J1033&gt;50000), "Pendente e Caro", AND(F1033&gt;= DATE(2026,1,1), F1033&lt;= DATE(2028, 12, 31), J1033&lt;=50000), "Pendente", F1033&gt;= DATE(2029,1,1), "Não prioeitário")</f>
        <v>Pendente e Caro</v>
      </c>
      <c r="H1033" s="89">
        <f>YEAR(Tabela1[[#This Row],[Data de Validade]])</f>
        <v>2026</v>
      </c>
      <c r="I1033" s="89">
        <f>MONTH(Tabela1[[#This Row],[Data de Validade]])</f>
        <v>2</v>
      </c>
      <c r="J1033" s="101">
        <v>93422</v>
      </c>
      <c r="K1033" s="87" t="s">
        <v>11</v>
      </c>
      <c r="L1033" s="108"/>
      <c r="M1033" s="108"/>
      <c r="N1033" s="108" t="str">
        <v>H665P324</v>
      </c>
      <c r="O1033" s="108">
        <f t="shared" si="18"/>
        <v>1</v>
      </c>
      <c r="P1033" s="108"/>
      <c r="Q1033"/>
    </row>
    <row r="1034" spans="1:17" x14ac:dyDescent="0.25">
      <c r="A1034" s="89" t="s">
        <v>7192</v>
      </c>
      <c r="B1034" s="87" t="s">
        <v>7193</v>
      </c>
      <c r="C1034" s="87" t="s">
        <v>10</v>
      </c>
      <c r="D1034" s="87" t="str">
        <f>VLOOKUP(Tabela1[[#This Row],[Origem]], 'Perguntas 1 a 24'!$J$28:$K$34, 2, 0)</f>
        <v>Centro-Oeste</v>
      </c>
      <c r="E1034" s="87" t="str">
        <f>Tabela1[[#This Row],[Descrição]]&amp;"-"&amp;Tabela1[[#This Row],[Código]]&amp;"/"&amp;Tabela1[[#This Row],[Origem]]</f>
        <v>Donego-P824P142/GO</v>
      </c>
      <c r="F1034" s="88">
        <v>46074</v>
      </c>
      <c r="G1034" s="88" t="str" cm="1">
        <f t="array" ref="G10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AND(F1034&gt;= DATE(2026,1,1), F1034&lt;= DATE(2028, 12, 31), J1034&gt;50000), "Pendente e Caro", AND(F1034&gt;= DATE(2026,1,1), F1034&lt;= DATE(2028, 12, 31), J1034&lt;=50000), "Pendente", F1034&gt;= DATE(2029,1,1), "Não prioeitário")</f>
        <v>Pendente e Caro</v>
      </c>
      <c r="H1034" s="89">
        <f>YEAR(Tabela1[[#This Row],[Data de Validade]])</f>
        <v>2026</v>
      </c>
      <c r="I1034" s="89">
        <f>MONTH(Tabela1[[#This Row],[Data de Validade]])</f>
        <v>2</v>
      </c>
      <c r="J1034" s="101">
        <v>55885</v>
      </c>
      <c r="K1034" s="87" t="s">
        <v>9</v>
      </c>
      <c r="L1034" s="108"/>
      <c r="M1034" s="108"/>
      <c r="N1034" s="108" t="str">
        <v>P824P142</v>
      </c>
      <c r="O1034" s="108">
        <f t="shared" si="18"/>
        <v>1</v>
      </c>
      <c r="P1034" s="108"/>
      <c r="Q1034"/>
    </row>
    <row r="1035" spans="1:17" x14ac:dyDescent="0.25">
      <c r="A1035" s="89" t="s">
        <v>9819</v>
      </c>
      <c r="B1035" s="87" t="s">
        <v>9820</v>
      </c>
      <c r="C1035" s="87" t="s">
        <v>6</v>
      </c>
      <c r="D1035" s="87" t="str">
        <f>VLOOKUP(Tabela1[[#This Row],[Origem]], 'Perguntas 1 a 24'!$J$28:$K$34, 2, 0)</f>
        <v>Nordeste</v>
      </c>
      <c r="E1035" s="87" t="str">
        <f>Tabela1[[#This Row],[Descrição]]&amp;"-"&amp;Tabela1[[#This Row],[Código]]&amp;"/"&amp;Tabela1[[#This Row],[Origem]]</f>
        <v>Vutimo-H835P375/MA</v>
      </c>
      <c r="F1035" s="88">
        <v>46075</v>
      </c>
      <c r="G1035" s="88" t="str" cm="1">
        <f t="array" ref="G10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AND(F1035&gt;= DATE(2026,1,1), F1035&lt;= DATE(2028, 12, 31), J1035&gt;50000), "Pendente e Caro", AND(F1035&gt;= DATE(2026,1,1), F1035&lt;= DATE(2028, 12, 31), J1035&lt;=50000), "Pendente", F1035&gt;= DATE(2029,1,1), "Não prioeitário")</f>
        <v>Pendente e Caro</v>
      </c>
      <c r="H1035" s="89">
        <f>YEAR(Tabela1[[#This Row],[Data de Validade]])</f>
        <v>2026</v>
      </c>
      <c r="I1035" s="89">
        <f>MONTH(Tabela1[[#This Row],[Data de Validade]])</f>
        <v>2</v>
      </c>
      <c r="J1035" s="101">
        <v>107753</v>
      </c>
      <c r="K1035" s="87" t="s">
        <v>9</v>
      </c>
      <c r="L1035" s="108"/>
      <c r="M1035" s="108"/>
      <c r="N1035" s="108" t="str">
        <v>H835P375</v>
      </c>
      <c r="O1035" s="108">
        <f t="shared" si="18"/>
        <v>1</v>
      </c>
      <c r="P1035" s="108"/>
      <c r="Q1035"/>
    </row>
    <row r="1036" spans="1:17" x14ac:dyDescent="0.25">
      <c r="A1036" s="89" t="s">
        <v>8320</v>
      </c>
      <c r="B1036" s="87" t="s">
        <v>8321</v>
      </c>
      <c r="C1036" s="87" t="s">
        <v>13</v>
      </c>
      <c r="D1036" s="87" t="str">
        <f>VLOOKUP(Tabela1[[#This Row],[Origem]], 'Perguntas 1 a 24'!$J$28:$K$34, 2, 0)</f>
        <v>Sudeste</v>
      </c>
      <c r="E1036" s="87" t="str">
        <f>Tabela1[[#This Row],[Descrição]]&amp;"-"&amp;Tabela1[[#This Row],[Código]]&amp;"/"&amp;Tabela1[[#This Row],[Origem]]</f>
        <v>Pepipero-P296P468/SP</v>
      </c>
      <c r="F1036" s="88">
        <v>46076</v>
      </c>
      <c r="G1036" s="88" t="str" cm="1">
        <f t="array" ref="G10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AND(F1036&gt;= DATE(2026,1,1), F1036&lt;= DATE(2028, 12, 31), J1036&gt;50000), "Pendente e Caro", AND(F1036&gt;= DATE(2026,1,1), F1036&lt;= DATE(2028, 12, 31), J1036&lt;=50000), "Pendente", F1036&gt;= DATE(2029,1,1), "Não prioeitário")</f>
        <v>Pendente e Caro</v>
      </c>
      <c r="H1036" s="89">
        <f>YEAR(Tabela1[[#This Row],[Data de Validade]])</f>
        <v>2026</v>
      </c>
      <c r="I1036" s="89">
        <f>MONTH(Tabela1[[#This Row],[Data de Validade]])</f>
        <v>2</v>
      </c>
      <c r="J1036" s="101">
        <v>119826</v>
      </c>
      <c r="K1036" s="87" t="s">
        <v>11</v>
      </c>
      <c r="L1036" s="108"/>
      <c r="M1036" s="108"/>
      <c r="N1036" s="108" t="str">
        <v>P296P468</v>
      </c>
      <c r="O1036" s="108">
        <f t="shared" si="18"/>
        <v>1</v>
      </c>
      <c r="P1036" s="108"/>
      <c r="Q1036"/>
    </row>
    <row r="1037" spans="1:17" x14ac:dyDescent="0.25">
      <c r="A1037" s="89" t="s">
        <v>9901</v>
      </c>
      <c r="B1037" s="87" t="s">
        <v>9902</v>
      </c>
      <c r="C1037" s="87" t="s">
        <v>15</v>
      </c>
      <c r="D1037" s="87" t="str">
        <f>VLOOKUP(Tabela1[[#This Row],[Origem]], 'Perguntas 1 a 24'!$J$28:$K$34, 2, 0)</f>
        <v>Sudeste</v>
      </c>
      <c r="E1037" s="87" t="str">
        <f>Tabela1[[#This Row],[Descrição]]&amp;"-"&amp;Tabela1[[#This Row],[Código]]&amp;"/"&amp;Tabela1[[#This Row],[Origem]]</f>
        <v>Turipi-P291H321/ES</v>
      </c>
      <c r="F1037" s="88">
        <v>46076</v>
      </c>
      <c r="G1037" s="88" t="str" cm="1">
        <f t="array" ref="G10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AND(F1037&gt;= DATE(2026,1,1), F1037&lt;= DATE(2028, 12, 31), J1037&gt;50000), "Pendente e Caro", AND(F1037&gt;= DATE(2026,1,1), F1037&lt;= DATE(2028, 12, 31), J1037&lt;=50000), "Pendente", F1037&gt;= DATE(2029,1,1), "Não prioeitário")</f>
        <v>Pendente e Caro</v>
      </c>
      <c r="H1037" s="89">
        <f>YEAR(Tabela1[[#This Row],[Data de Validade]])</f>
        <v>2026</v>
      </c>
      <c r="I1037" s="89">
        <f>MONTH(Tabela1[[#This Row],[Data de Validade]])</f>
        <v>2</v>
      </c>
      <c r="J1037" s="101">
        <v>111665</v>
      </c>
      <c r="K1037" s="87" t="s">
        <v>11</v>
      </c>
      <c r="L1037" s="108"/>
      <c r="M1037" s="108"/>
      <c r="N1037" s="108" t="str">
        <v>P291H321</v>
      </c>
      <c r="O1037" s="108">
        <f t="shared" si="18"/>
        <v>1</v>
      </c>
      <c r="P1037" s="108"/>
      <c r="Q1037"/>
    </row>
    <row r="1038" spans="1:17" x14ac:dyDescent="0.25">
      <c r="A1038" s="89" t="s">
        <v>5220</v>
      </c>
      <c r="B1038" s="87" t="s">
        <v>5221</v>
      </c>
      <c r="C1038" s="87" t="s">
        <v>13</v>
      </c>
      <c r="D1038" s="87" t="str">
        <f>VLOOKUP(Tabela1[[#This Row],[Origem]], 'Perguntas 1 a 24'!$J$28:$K$34, 2, 0)</f>
        <v>Sudeste</v>
      </c>
      <c r="E1038" s="87" t="str">
        <f>Tabela1[[#This Row],[Descrição]]&amp;"-"&amp;Tabela1[[#This Row],[Código]]&amp;"/"&amp;Tabela1[[#This Row],[Origem]]</f>
        <v>Fupiri-P742P641/SP</v>
      </c>
      <c r="F1038" s="88">
        <v>46076</v>
      </c>
      <c r="G1038" s="88" t="str" cm="1">
        <f t="array" ref="G10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AND(F1038&gt;= DATE(2026,1,1), F1038&lt;= DATE(2028, 12, 31), J1038&gt;50000), "Pendente e Caro", AND(F1038&gt;= DATE(2026,1,1), F1038&lt;= DATE(2028, 12, 31), J1038&lt;=50000), "Pendente", F1038&gt;= DATE(2029,1,1), "Não prioeitário")</f>
        <v>Pendente e Caro</v>
      </c>
      <c r="H1038" s="89">
        <f>YEAR(Tabela1[[#This Row],[Data de Validade]])</f>
        <v>2026</v>
      </c>
      <c r="I1038" s="89">
        <f>MONTH(Tabela1[[#This Row],[Data de Validade]])</f>
        <v>2</v>
      </c>
      <c r="J1038" s="101">
        <v>59929</v>
      </c>
      <c r="K1038" s="87" t="s">
        <v>14</v>
      </c>
      <c r="L1038" s="108"/>
      <c r="M1038" s="108"/>
      <c r="N1038" s="108" t="str">
        <v>P742P641</v>
      </c>
      <c r="O1038" s="108">
        <f t="shared" si="18"/>
        <v>1</v>
      </c>
      <c r="P1038" s="108"/>
      <c r="Q1038"/>
    </row>
    <row r="1039" spans="1:17" x14ac:dyDescent="0.25">
      <c r="A1039" s="89" t="s">
        <v>6034</v>
      </c>
      <c r="B1039" s="87" t="s">
        <v>6035</v>
      </c>
      <c r="C1039" s="87" t="s">
        <v>8</v>
      </c>
      <c r="D1039" s="87" t="str">
        <f>VLOOKUP(Tabela1[[#This Row],[Origem]], 'Perguntas 1 a 24'!$J$28:$K$34, 2, 0)</f>
        <v>Nordeste</v>
      </c>
      <c r="E1039" s="87" t="str">
        <f>Tabela1[[#This Row],[Descrição]]&amp;"-"&amp;Tabela1[[#This Row],[Código]]&amp;"/"&amp;Tabela1[[#This Row],[Origem]]</f>
        <v>Nutodurere-P543P527/AL</v>
      </c>
      <c r="F1039" s="88">
        <v>46077</v>
      </c>
      <c r="G1039" s="88" t="str" cm="1">
        <f t="array" ref="G10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AND(F1039&gt;= DATE(2026,1,1), F1039&lt;= DATE(2028, 12, 31), J1039&gt;50000), "Pendente e Caro", AND(F1039&gt;= DATE(2026,1,1), F1039&lt;= DATE(2028, 12, 31), J1039&lt;=50000), "Pendente", F1039&gt;= DATE(2029,1,1), "Não prioeitário")</f>
        <v>Pendente</v>
      </c>
      <c r="H1039" s="89">
        <f>YEAR(Tabela1[[#This Row],[Data de Validade]])</f>
        <v>2026</v>
      </c>
      <c r="I1039" s="89">
        <f>MONTH(Tabela1[[#This Row],[Data de Validade]])</f>
        <v>2</v>
      </c>
      <c r="J1039" s="101">
        <v>21213</v>
      </c>
      <c r="K1039" s="87" t="s">
        <v>11</v>
      </c>
      <c r="L1039" s="108"/>
      <c r="M1039" s="108"/>
      <c r="N1039" s="108" t="str">
        <v>P543P527</v>
      </c>
      <c r="O1039" s="108">
        <f t="shared" si="18"/>
        <v>1</v>
      </c>
      <c r="P1039" s="108"/>
      <c r="Q1039"/>
    </row>
    <row r="1040" spans="1:17" x14ac:dyDescent="0.25">
      <c r="A1040" s="89" t="s">
        <v>8731</v>
      </c>
      <c r="B1040" s="87" t="s">
        <v>8732</v>
      </c>
      <c r="C1040" s="87" t="s">
        <v>13</v>
      </c>
      <c r="D1040" s="87" t="str">
        <f>VLOOKUP(Tabela1[[#This Row],[Origem]], 'Perguntas 1 a 24'!$J$28:$K$34, 2, 0)</f>
        <v>Sudeste</v>
      </c>
      <c r="E1040" s="87" t="str">
        <f>Tabela1[[#This Row],[Descrição]]&amp;"-"&amp;Tabela1[[#This Row],[Código]]&amp;"/"&amp;Tabela1[[#This Row],[Origem]]</f>
        <v>Tipanirelu-H229P646/SP</v>
      </c>
      <c r="F1040" s="88">
        <v>46078</v>
      </c>
      <c r="G1040" s="88" t="str" cm="1">
        <f t="array" ref="G10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AND(F1040&gt;= DATE(2026,1,1), F1040&lt;= DATE(2028, 12, 31), J1040&gt;50000), "Pendente e Caro", AND(F1040&gt;= DATE(2026,1,1), F1040&lt;= DATE(2028, 12, 31), J1040&lt;=50000), "Pendente", F1040&gt;= DATE(2029,1,1), "Não prioeitário")</f>
        <v>Pendente e Caro</v>
      </c>
      <c r="H1040" s="89">
        <f>YEAR(Tabela1[[#This Row],[Data de Validade]])</f>
        <v>2026</v>
      </c>
      <c r="I1040" s="89">
        <f>MONTH(Tabela1[[#This Row],[Data de Validade]])</f>
        <v>2</v>
      </c>
      <c r="J1040" s="101">
        <v>53958</v>
      </c>
      <c r="K1040" s="87" t="s">
        <v>9</v>
      </c>
      <c r="L1040" s="108"/>
      <c r="M1040" s="108"/>
      <c r="N1040" s="108" t="str">
        <v>H229P646</v>
      </c>
      <c r="O1040" s="108">
        <f t="shared" si="18"/>
        <v>1</v>
      </c>
      <c r="P1040" s="108"/>
      <c r="Q1040"/>
    </row>
    <row r="1041" spans="1:17" x14ac:dyDescent="0.25">
      <c r="A1041" s="89" t="s">
        <v>5684</v>
      </c>
      <c r="B1041" s="87" t="s">
        <v>5685</v>
      </c>
      <c r="C1041" s="87" t="s">
        <v>6</v>
      </c>
      <c r="D1041" s="87" t="str">
        <f>VLOOKUP(Tabela1[[#This Row],[Origem]], 'Perguntas 1 a 24'!$J$28:$K$34, 2, 0)</f>
        <v>Nordeste</v>
      </c>
      <c r="E1041" s="87" t="str">
        <f>Tabela1[[#This Row],[Descrição]]&amp;"-"&amp;Tabela1[[#This Row],[Código]]&amp;"/"&amp;Tabela1[[#This Row],[Origem]]</f>
        <v>Picimipive-P428P424/MA</v>
      </c>
      <c r="F1041" s="88">
        <v>46079</v>
      </c>
      <c r="G1041" s="88" t="str" cm="1">
        <f t="array" ref="G10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AND(F1041&gt;= DATE(2026,1,1), F1041&lt;= DATE(2028, 12, 31), J1041&gt;50000), "Pendente e Caro", AND(F1041&gt;= DATE(2026,1,1), F1041&lt;= DATE(2028, 12, 31), J1041&lt;=50000), "Pendente", F1041&gt;= DATE(2029,1,1), "Não prioeitário")</f>
        <v>Pendente e Caro</v>
      </c>
      <c r="H1041" s="89">
        <f>YEAR(Tabela1[[#This Row],[Data de Validade]])</f>
        <v>2026</v>
      </c>
      <c r="I1041" s="89">
        <f>MONTH(Tabela1[[#This Row],[Data de Validade]])</f>
        <v>2</v>
      </c>
      <c r="J1041" s="101">
        <v>54626</v>
      </c>
      <c r="K1041" s="87" t="s">
        <v>9</v>
      </c>
      <c r="L1041" s="108"/>
      <c r="M1041" s="108"/>
      <c r="N1041" s="108" t="str">
        <v>P428P424</v>
      </c>
      <c r="O1041" s="108">
        <f t="shared" si="18"/>
        <v>1</v>
      </c>
      <c r="P1041" s="108"/>
      <c r="Q1041"/>
    </row>
    <row r="1042" spans="1:17" x14ac:dyDescent="0.25">
      <c r="A1042" s="89" t="s">
        <v>4918</v>
      </c>
      <c r="B1042" s="87" t="s">
        <v>4919</v>
      </c>
      <c r="C1042" s="87" t="s">
        <v>16</v>
      </c>
      <c r="D1042" s="87" t="str">
        <f>VLOOKUP(Tabela1[[#This Row],[Origem]], 'Perguntas 1 a 24'!$J$28:$K$34, 2, 0)</f>
        <v>Sudeste</v>
      </c>
      <c r="E1042" s="87" t="str">
        <f>Tabela1[[#This Row],[Descrição]]&amp;"-"&amp;Tabela1[[#This Row],[Código]]&amp;"/"&amp;Tabela1[[#This Row],[Origem]]</f>
        <v>Rogupi-H255H614/MG</v>
      </c>
      <c r="F1042" s="88">
        <v>46080</v>
      </c>
      <c r="G1042" s="88" t="str" cm="1">
        <f t="array" ref="G10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AND(F1042&gt;= DATE(2026,1,1), F1042&lt;= DATE(2028, 12, 31), J1042&gt;50000), "Pendente e Caro", AND(F1042&gt;= DATE(2026,1,1), F1042&lt;= DATE(2028, 12, 31), J1042&lt;=50000), "Pendente", F1042&gt;= DATE(2029,1,1), "Não prioeitário")</f>
        <v>Pendente</v>
      </c>
      <c r="H1042" s="89">
        <f>YEAR(Tabela1[[#This Row],[Data de Validade]])</f>
        <v>2026</v>
      </c>
      <c r="I1042" s="89">
        <f>MONTH(Tabela1[[#This Row],[Data de Validade]])</f>
        <v>2</v>
      </c>
      <c r="J1042" s="101">
        <v>37466</v>
      </c>
      <c r="K1042" s="87" t="s">
        <v>11</v>
      </c>
      <c r="L1042" s="108"/>
      <c r="M1042" s="108"/>
      <c r="N1042" s="108" t="str">
        <v>H255H614</v>
      </c>
      <c r="O1042" s="108">
        <f t="shared" si="18"/>
        <v>1</v>
      </c>
      <c r="P1042" s="108"/>
      <c r="Q1042"/>
    </row>
    <row r="1043" spans="1:17" x14ac:dyDescent="0.25">
      <c r="A1043" s="89" t="s">
        <v>6488</v>
      </c>
      <c r="B1043" s="87" t="s">
        <v>6489</v>
      </c>
      <c r="C1043" s="87" t="s">
        <v>16</v>
      </c>
      <c r="D1043" s="87" t="str">
        <f>VLOOKUP(Tabela1[[#This Row],[Origem]], 'Perguntas 1 a 24'!$J$28:$K$34, 2, 0)</f>
        <v>Sudeste</v>
      </c>
      <c r="E1043" s="87" t="str">
        <f>Tabela1[[#This Row],[Descrição]]&amp;"-"&amp;Tabela1[[#This Row],[Código]]&amp;"/"&amp;Tabela1[[#This Row],[Origem]]</f>
        <v>Gogugaputo-P688H382/MG</v>
      </c>
      <c r="F1043" s="88">
        <v>46080</v>
      </c>
      <c r="G1043" s="88" t="str" cm="1">
        <f t="array" ref="G10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AND(F1043&gt;= DATE(2026,1,1), F1043&lt;= DATE(2028, 12, 31), J1043&gt;50000), "Pendente e Caro", AND(F1043&gt;= DATE(2026,1,1), F1043&lt;= DATE(2028, 12, 31), J1043&lt;=50000), "Pendente", F1043&gt;= DATE(2029,1,1), "Não prioeitário")</f>
        <v>Pendente</v>
      </c>
      <c r="H1043" s="89">
        <f>YEAR(Tabela1[[#This Row],[Data de Validade]])</f>
        <v>2026</v>
      </c>
      <c r="I1043" s="89">
        <f>MONTH(Tabela1[[#This Row],[Data de Validade]])</f>
        <v>2</v>
      </c>
      <c r="J1043" s="101">
        <v>26398</v>
      </c>
      <c r="K1043" s="87" t="s">
        <v>14</v>
      </c>
      <c r="L1043" s="108"/>
      <c r="M1043" s="108"/>
      <c r="N1043" s="108" t="str">
        <v>P688H382</v>
      </c>
      <c r="O1043" s="108">
        <f t="shared" si="18"/>
        <v>1</v>
      </c>
      <c r="P1043" s="108"/>
      <c r="Q1043"/>
    </row>
    <row r="1044" spans="1:17" x14ac:dyDescent="0.25">
      <c r="A1044" s="89" t="s">
        <v>4890</v>
      </c>
      <c r="B1044" s="87" t="s">
        <v>4891</v>
      </c>
      <c r="C1044" s="87" t="s">
        <v>15</v>
      </c>
      <c r="D1044" s="87" t="str">
        <f>VLOOKUP(Tabela1[[#This Row],[Origem]], 'Perguntas 1 a 24'!$J$28:$K$34, 2, 0)</f>
        <v>Sudeste</v>
      </c>
      <c r="E1044" s="87" t="str">
        <f>Tabela1[[#This Row],[Descrição]]&amp;"-"&amp;Tabela1[[#This Row],[Código]]&amp;"/"&amp;Tabela1[[#This Row],[Origem]]</f>
        <v>Femidu-P685P296/ES</v>
      </c>
      <c r="F1044" s="88">
        <v>46081</v>
      </c>
      <c r="G1044" s="88" t="str" cm="1">
        <f t="array" ref="G10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AND(F1044&gt;= DATE(2026,1,1), F1044&lt;= DATE(2028, 12, 31), J1044&gt;50000), "Pendente e Caro", AND(F1044&gt;= DATE(2026,1,1), F1044&lt;= DATE(2028, 12, 31), J1044&lt;=50000), "Pendente", F1044&gt;= DATE(2029,1,1), "Não prioeitário")</f>
        <v>Pendente e Caro</v>
      </c>
      <c r="H1044" s="89">
        <f>YEAR(Tabela1[[#This Row],[Data de Validade]])</f>
        <v>2026</v>
      </c>
      <c r="I1044" s="89">
        <f>MONTH(Tabela1[[#This Row],[Data de Validade]])</f>
        <v>2</v>
      </c>
      <c r="J1044" s="101">
        <v>110542</v>
      </c>
      <c r="K1044" s="87" t="s">
        <v>7</v>
      </c>
      <c r="L1044" s="108"/>
      <c r="M1044" s="108"/>
      <c r="N1044" s="108" t="str">
        <v>P685P296</v>
      </c>
      <c r="O1044" s="108">
        <f t="shared" si="18"/>
        <v>1</v>
      </c>
      <c r="P1044" s="108"/>
      <c r="Q1044"/>
    </row>
    <row r="1045" spans="1:17" x14ac:dyDescent="0.25">
      <c r="A1045" s="89" t="s">
        <v>6990</v>
      </c>
      <c r="B1045" s="87" t="s">
        <v>6991</v>
      </c>
      <c r="C1045" s="87" t="s">
        <v>6</v>
      </c>
      <c r="D1045" s="87" t="str">
        <f>VLOOKUP(Tabela1[[#This Row],[Origem]], 'Perguntas 1 a 24'!$J$28:$K$34, 2, 0)</f>
        <v>Nordeste</v>
      </c>
      <c r="E1045" s="87" t="str">
        <f>Tabela1[[#This Row],[Descrição]]&amp;"-"&amp;Tabela1[[#This Row],[Código]]&amp;"/"&amp;Tabela1[[#This Row],[Origem]]</f>
        <v>Pulicepi-H231P967/MA</v>
      </c>
      <c r="F1045" s="88">
        <v>46081</v>
      </c>
      <c r="G1045" s="88" t="str" cm="1">
        <f t="array" ref="G10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AND(F1045&gt;= DATE(2026,1,1), F1045&lt;= DATE(2028, 12, 31), J1045&gt;50000), "Pendente e Caro", AND(F1045&gt;= DATE(2026,1,1), F1045&lt;= DATE(2028, 12, 31), J1045&lt;=50000), "Pendente", F1045&gt;= DATE(2029,1,1), "Não prioeitário")</f>
        <v>Pendente e Caro</v>
      </c>
      <c r="H1045" s="89">
        <f>YEAR(Tabela1[[#This Row],[Data de Validade]])</f>
        <v>2026</v>
      </c>
      <c r="I1045" s="89">
        <f>MONTH(Tabela1[[#This Row],[Data de Validade]])</f>
        <v>2</v>
      </c>
      <c r="J1045" s="101">
        <v>97721</v>
      </c>
      <c r="K1045" s="87" t="s">
        <v>11</v>
      </c>
      <c r="L1045" s="108"/>
      <c r="M1045" s="108"/>
      <c r="N1045" s="108" t="str">
        <v>H231P967</v>
      </c>
      <c r="O1045" s="108">
        <f t="shared" si="18"/>
        <v>1</v>
      </c>
      <c r="P1045" s="108"/>
      <c r="Q1045"/>
    </row>
    <row r="1046" spans="1:17" x14ac:dyDescent="0.25">
      <c r="A1046" s="89" t="s">
        <v>5978</v>
      </c>
      <c r="B1046" s="87" t="s">
        <v>5979</v>
      </c>
      <c r="C1046" s="87" t="s">
        <v>13</v>
      </c>
      <c r="D1046" s="87" t="str">
        <f>VLOOKUP(Tabela1[[#This Row],[Origem]], 'Perguntas 1 a 24'!$J$28:$K$34, 2, 0)</f>
        <v>Sudeste</v>
      </c>
      <c r="E1046" s="87" t="str">
        <f>Tabela1[[#This Row],[Descrição]]&amp;"-"&amp;Tabela1[[#This Row],[Código]]&amp;"/"&amp;Tabela1[[#This Row],[Origem]]</f>
        <v>Puruturo-P645P618/SP</v>
      </c>
      <c r="F1046" s="88">
        <v>46081</v>
      </c>
      <c r="G1046" s="88" t="str" cm="1">
        <f t="array" ref="G10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AND(F1046&gt;= DATE(2026,1,1), F1046&lt;= DATE(2028, 12, 31), J1046&gt;50000), "Pendente e Caro", AND(F1046&gt;= DATE(2026,1,1), F1046&lt;= DATE(2028, 12, 31), J1046&lt;=50000), "Pendente", F1046&gt;= DATE(2029,1,1), "Não prioeitário")</f>
        <v>Pendente</v>
      </c>
      <c r="H1046" s="89">
        <f>YEAR(Tabela1[[#This Row],[Data de Validade]])</f>
        <v>2026</v>
      </c>
      <c r="I1046" s="89">
        <f>MONTH(Tabela1[[#This Row],[Data de Validade]])</f>
        <v>2</v>
      </c>
      <c r="J1046" s="101">
        <v>46000</v>
      </c>
      <c r="K1046" s="87" t="s">
        <v>9</v>
      </c>
      <c r="L1046" s="108"/>
      <c r="M1046" s="108"/>
      <c r="N1046" s="108" t="str">
        <v>P645P618</v>
      </c>
      <c r="O1046" s="108">
        <f t="shared" si="18"/>
        <v>1</v>
      </c>
      <c r="P1046" s="108"/>
      <c r="Q1046"/>
    </row>
    <row r="1047" spans="1:17" x14ac:dyDescent="0.25">
      <c r="A1047" s="89" t="s">
        <v>9517</v>
      </c>
      <c r="B1047" s="87" t="s">
        <v>9518</v>
      </c>
      <c r="C1047" s="87" t="s">
        <v>6</v>
      </c>
      <c r="D1047" s="87" t="str">
        <f>VLOOKUP(Tabela1[[#This Row],[Origem]], 'Perguntas 1 a 24'!$J$28:$K$34, 2, 0)</f>
        <v>Nordeste</v>
      </c>
      <c r="E1047" s="87" t="str">
        <f>Tabela1[[#This Row],[Descrição]]&amp;"-"&amp;Tabela1[[#This Row],[Código]]&amp;"/"&amp;Tabela1[[#This Row],[Origem]]</f>
        <v>Latorecire-H549H253/MA</v>
      </c>
      <c r="F1047" s="88">
        <v>46082</v>
      </c>
      <c r="G1047" s="88" t="str" cm="1">
        <f t="array" ref="G10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AND(F1047&gt;= DATE(2026,1,1), F1047&lt;= DATE(2028, 12, 31), J1047&gt;50000), "Pendente e Caro", AND(F1047&gt;= DATE(2026,1,1), F1047&lt;= DATE(2028, 12, 31), J1047&lt;=50000), "Pendente", F1047&gt;= DATE(2029,1,1), "Não prioeitário")</f>
        <v>Pendente e Caro</v>
      </c>
      <c r="H1047" s="89">
        <f>YEAR(Tabela1[[#This Row],[Data de Validade]])</f>
        <v>2026</v>
      </c>
      <c r="I1047" s="89">
        <f>MONTH(Tabela1[[#This Row],[Data de Validade]])</f>
        <v>3</v>
      </c>
      <c r="J1047" s="101">
        <v>81219</v>
      </c>
      <c r="K1047" s="87" t="s">
        <v>9</v>
      </c>
      <c r="L1047" s="108"/>
      <c r="M1047" s="108"/>
      <c r="N1047" s="108" t="str">
        <v>H549H253</v>
      </c>
      <c r="O1047" s="108">
        <f t="shared" si="18"/>
        <v>1</v>
      </c>
      <c r="P1047" s="108"/>
      <c r="Q1047"/>
    </row>
    <row r="1048" spans="1:17" x14ac:dyDescent="0.25">
      <c r="A1048" s="89" t="s">
        <v>9665</v>
      </c>
      <c r="B1048" s="87" t="s">
        <v>9666</v>
      </c>
      <c r="C1048" s="87" t="s">
        <v>15</v>
      </c>
      <c r="D1048" s="87" t="str">
        <f>VLOOKUP(Tabela1[[#This Row],[Origem]], 'Perguntas 1 a 24'!$J$28:$K$34, 2, 0)</f>
        <v>Sudeste</v>
      </c>
      <c r="E1048" s="87" t="str">
        <f>Tabela1[[#This Row],[Descrição]]&amp;"-"&amp;Tabela1[[#This Row],[Código]]&amp;"/"&amp;Tabela1[[#This Row],[Origem]]</f>
        <v>Repulono-H275P286/ES</v>
      </c>
      <c r="F1048" s="88">
        <v>46082</v>
      </c>
      <c r="G1048" s="88" t="str" cm="1">
        <f t="array" ref="G10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AND(F1048&gt;= DATE(2026,1,1), F1048&lt;= DATE(2028, 12, 31), J1048&gt;50000), "Pendente e Caro", AND(F1048&gt;= DATE(2026,1,1), F1048&lt;= DATE(2028, 12, 31), J1048&lt;=50000), "Pendente", F1048&gt;= DATE(2029,1,1), "Não prioeitário")</f>
        <v>Pendente</v>
      </c>
      <c r="H1048" s="89">
        <f>YEAR(Tabela1[[#This Row],[Data de Validade]])</f>
        <v>2026</v>
      </c>
      <c r="I1048" s="89">
        <f>MONTH(Tabela1[[#This Row],[Data de Validade]])</f>
        <v>3</v>
      </c>
      <c r="J1048" s="101">
        <v>40185</v>
      </c>
      <c r="K1048" s="87" t="s">
        <v>7</v>
      </c>
      <c r="L1048" s="108"/>
      <c r="M1048" s="108"/>
      <c r="N1048" s="108" t="str">
        <v>H275P286</v>
      </c>
      <c r="O1048" s="108">
        <f t="shared" si="18"/>
        <v>1</v>
      </c>
      <c r="P1048" s="108"/>
      <c r="Q1048"/>
    </row>
    <row r="1049" spans="1:17" x14ac:dyDescent="0.25">
      <c r="A1049" s="89" t="s">
        <v>9393</v>
      </c>
      <c r="B1049" s="87" t="s">
        <v>9394</v>
      </c>
      <c r="C1049" s="87" t="s">
        <v>8</v>
      </c>
      <c r="D1049" s="87" t="str">
        <f>VLOOKUP(Tabela1[[#This Row],[Origem]], 'Perguntas 1 a 24'!$J$28:$K$34, 2, 0)</f>
        <v>Nordeste</v>
      </c>
      <c r="E1049" s="87" t="str">
        <f>Tabela1[[#This Row],[Descrição]]&amp;"-"&amp;Tabela1[[#This Row],[Código]]&amp;"/"&amp;Tabela1[[#This Row],[Origem]]</f>
        <v>Lomuparu-H816H989/AL</v>
      </c>
      <c r="F1049" s="88">
        <v>46082</v>
      </c>
      <c r="G1049" s="88" t="str" cm="1">
        <f t="array" ref="G10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AND(F1049&gt;= DATE(2026,1,1), F1049&lt;= DATE(2028, 12, 31), J1049&gt;50000), "Pendente e Caro", AND(F1049&gt;= DATE(2026,1,1), F1049&lt;= DATE(2028, 12, 31), J1049&lt;=50000), "Pendente", F1049&gt;= DATE(2029,1,1), "Não prioeitário")</f>
        <v>Pendente</v>
      </c>
      <c r="H1049" s="89">
        <f>YEAR(Tabela1[[#This Row],[Data de Validade]])</f>
        <v>2026</v>
      </c>
      <c r="I1049" s="89">
        <f>MONTH(Tabela1[[#This Row],[Data de Validade]])</f>
        <v>3</v>
      </c>
      <c r="J1049" s="101">
        <v>37221</v>
      </c>
      <c r="K1049" s="87" t="s">
        <v>7</v>
      </c>
      <c r="L1049" s="108"/>
      <c r="M1049" s="108"/>
      <c r="N1049" s="108" t="str">
        <v>H816H989</v>
      </c>
      <c r="O1049" s="108">
        <f t="shared" si="18"/>
        <v>1</v>
      </c>
      <c r="P1049" s="108"/>
      <c r="Q1049"/>
    </row>
    <row r="1050" spans="1:17" x14ac:dyDescent="0.25">
      <c r="A1050" s="89" t="s">
        <v>5972</v>
      </c>
      <c r="B1050" s="87" t="s">
        <v>5973</v>
      </c>
      <c r="C1050" s="87" t="s">
        <v>6</v>
      </c>
      <c r="D1050" s="87" t="str">
        <f>VLOOKUP(Tabela1[[#This Row],[Origem]], 'Perguntas 1 a 24'!$J$28:$K$34, 2, 0)</f>
        <v>Nordeste</v>
      </c>
      <c r="E1050" s="87" t="str">
        <f>Tabela1[[#This Row],[Descrição]]&amp;"-"&amp;Tabela1[[#This Row],[Código]]&amp;"/"&amp;Tabela1[[#This Row],[Origem]]</f>
        <v>Nupoli-P375P436/MA</v>
      </c>
      <c r="F1050" s="88">
        <v>46083</v>
      </c>
      <c r="G1050" s="88" t="str" cm="1">
        <f t="array" ref="G10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AND(F1050&gt;= DATE(2026,1,1), F1050&lt;= DATE(2028, 12, 31), J1050&gt;50000), "Pendente e Caro", AND(F1050&gt;= DATE(2026,1,1), F1050&lt;= DATE(2028, 12, 31), J1050&lt;=50000), "Pendente", F1050&gt;= DATE(2029,1,1), "Não prioeitário")</f>
        <v>Pendente e Caro</v>
      </c>
      <c r="H1050" s="89">
        <f>YEAR(Tabela1[[#This Row],[Data de Validade]])</f>
        <v>2026</v>
      </c>
      <c r="I1050" s="89">
        <f>MONTH(Tabela1[[#This Row],[Data de Validade]])</f>
        <v>3</v>
      </c>
      <c r="J1050" s="101">
        <v>113744</v>
      </c>
      <c r="K1050" s="87" t="s">
        <v>9</v>
      </c>
      <c r="L1050" s="108"/>
      <c r="M1050" s="108"/>
      <c r="N1050" s="108" t="str">
        <v>P375P436</v>
      </c>
      <c r="O1050" s="108">
        <f t="shared" si="18"/>
        <v>1</v>
      </c>
      <c r="P1050" s="108"/>
      <c r="Q1050"/>
    </row>
    <row r="1051" spans="1:17" x14ac:dyDescent="0.25">
      <c r="A1051" s="89" t="s">
        <v>9145</v>
      </c>
      <c r="B1051" s="87" t="s">
        <v>9146</v>
      </c>
      <c r="C1051" s="87" t="s">
        <v>13</v>
      </c>
      <c r="D1051" s="87" t="str">
        <f>VLOOKUP(Tabela1[[#This Row],[Origem]], 'Perguntas 1 a 24'!$J$28:$K$34, 2, 0)</f>
        <v>Sudeste</v>
      </c>
      <c r="E1051" s="87" t="str">
        <f>Tabela1[[#This Row],[Descrição]]&amp;"-"&amp;Tabela1[[#This Row],[Código]]&amp;"/"&amp;Tabela1[[#This Row],[Origem]]</f>
        <v>Virumire-P525H528/SP</v>
      </c>
      <c r="F1051" s="88">
        <v>46084</v>
      </c>
      <c r="G1051" s="88" t="str" cm="1">
        <f t="array" ref="G10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AND(F1051&gt;= DATE(2026,1,1), F1051&lt;= DATE(2028, 12, 31), J1051&gt;50000), "Pendente e Caro", AND(F1051&gt;= DATE(2026,1,1), F1051&lt;= DATE(2028, 12, 31), J1051&lt;=50000), "Pendente", F1051&gt;= DATE(2029,1,1), "Não prioeitário")</f>
        <v>Pendente e Caro</v>
      </c>
      <c r="H1051" s="89">
        <f>YEAR(Tabela1[[#This Row],[Data de Validade]])</f>
        <v>2026</v>
      </c>
      <c r="I1051" s="89">
        <f>MONTH(Tabela1[[#This Row],[Data de Validade]])</f>
        <v>3</v>
      </c>
      <c r="J1051" s="101">
        <v>90141</v>
      </c>
      <c r="K1051" s="87" t="s">
        <v>7</v>
      </c>
      <c r="L1051" s="108"/>
      <c r="M1051" s="108"/>
      <c r="N1051" s="108" t="str">
        <v>P525H528</v>
      </c>
      <c r="O1051" s="108">
        <f t="shared" si="18"/>
        <v>1</v>
      </c>
      <c r="P1051" s="108"/>
      <c r="Q1051"/>
    </row>
    <row r="1052" spans="1:17" x14ac:dyDescent="0.25">
      <c r="A1052" s="89" t="s">
        <v>10423</v>
      </c>
      <c r="B1052" s="87" t="s">
        <v>10424</v>
      </c>
      <c r="C1052" s="87" t="s">
        <v>13</v>
      </c>
      <c r="D1052" s="87" t="str">
        <f>VLOOKUP(Tabela1[[#This Row],[Origem]], 'Perguntas 1 a 24'!$J$28:$K$34, 2, 0)</f>
        <v>Sudeste</v>
      </c>
      <c r="E1052" s="87" t="str">
        <f>Tabela1[[#This Row],[Descrição]]&amp;"-"&amp;Tabela1[[#This Row],[Código]]&amp;"/"&amp;Tabela1[[#This Row],[Origem]]</f>
        <v>Gavuvu-P941P534/SP</v>
      </c>
      <c r="F1052" s="88">
        <v>46084</v>
      </c>
      <c r="G1052" s="88" t="str" cm="1">
        <f t="array" ref="G10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AND(F1052&gt;= DATE(2026,1,1), F1052&lt;= DATE(2028, 12, 31), J1052&gt;50000), "Pendente e Caro", AND(F1052&gt;= DATE(2026,1,1), F1052&lt;= DATE(2028, 12, 31), J1052&lt;=50000), "Pendente", F1052&gt;= DATE(2029,1,1), "Não prioeitário")</f>
        <v>Pendente</v>
      </c>
      <c r="H1052" s="89">
        <f>YEAR(Tabela1[[#This Row],[Data de Validade]])</f>
        <v>2026</v>
      </c>
      <c r="I1052" s="89">
        <f>MONTH(Tabela1[[#This Row],[Data de Validade]])</f>
        <v>3</v>
      </c>
      <c r="J1052" s="101">
        <v>48701</v>
      </c>
      <c r="K1052" s="87" t="s">
        <v>7</v>
      </c>
      <c r="L1052" s="108"/>
      <c r="M1052" s="108"/>
      <c r="N1052" s="108" t="str">
        <v>P941P534</v>
      </c>
      <c r="O1052" s="108">
        <f t="shared" si="18"/>
        <v>1</v>
      </c>
      <c r="P1052" s="108"/>
      <c r="Q1052"/>
    </row>
    <row r="1053" spans="1:17" x14ac:dyDescent="0.25">
      <c r="A1053" s="89" t="s">
        <v>8763</v>
      </c>
      <c r="B1053" s="87" t="s">
        <v>8764</v>
      </c>
      <c r="C1053" s="87" t="s">
        <v>6</v>
      </c>
      <c r="D1053" s="87" t="str">
        <f>VLOOKUP(Tabela1[[#This Row],[Origem]], 'Perguntas 1 a 24'!$J$28:$K$34, 2, 0)</f>
        <v>Nordeste</v>
      </c>
      <c r="E1053" s="87" t="str">
        <f>Tabela1[[#This Row],[Descrição]]&amp;"-"&amp;Tabela1[[#This Row],[Código]]&amp;"/"&amp;Tabela1[[#This Row],[Origem]]</f>
        <v>Papitocutu-H719H834/MA</v>
      </c>
      <c r="F1053" s="88">
        <v>46086</v>
      </c>
      <c r="G1053" s="88" t="str" cm="1">
        <f t="array" ref="G10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AND(F1053&gt;= DATE(2026,1,1), F1053&lt;= DATE(2028, 12, 31), J1053&gt;50000), "Pendente e Caro", AND(F1053&gt;= DATE(2026,1,1), F1053&lt;= DATE(2028, 12, 31), J1053&lt;=50000), "Pendente", F1053&gt;= DATE(2029,1,1), "Não prioeitário")</f>
        <v>Pendente e Caro</v>
      </c>
      <c r="H1053" s="89">
        <f>YEAR(Tabela1[[#This Row],[Data de Validade]])</f>
        <v>2026</v>
      </c>
      <c r="I1053" s="89">
        <f>MONTH(Tabela1[[#This Row],[Data de Validade]])</f>
        <v>3</v>
      </c>
      <c r="J1053" s="101">
        <v>69510</v>
      </c>
      <c r="K1053" s="87" t="s">
        <v>11</v>
      </c>
      <c r="L1053" s="108"/>
      <c r="M1053" s="108"/>
      <c r="N1053" s="108" t="str">
        <v>H719H834</v>
      </c>
      <c r="O1053" s="108">
        <f t="shared" si="18"/>
        <v>1</v>
      </c>
      <c r="P1053" s="108"/>
      <c r="Q1053"/>
    </row>
    <row r="1054" spans="1:17" x14ac:dyDescent="0.25">
      <c r="A1054" s="89" t="s">
        <v>5286</v>
      </c>
      <c r="B1054" s="87" t="s">
        <v>5287</v>
      </c>
      <c r="C1054" s="87" t="s">
        <v>6</v>
      </c>
      <c r="D1054" s="87" t="str">
        <f>VLOOKUP(Tabela1[[#This Row],[Origem]], 'Perguntas 1 a 24'!$J$28:$K$34, 2, 0)</f>
        <v>Nordeste</v>
      </c>
      <c r="E1054" s="87" t="str">
        <f>Tabela1[[#This Row],[Descrição]]&amp;"-"&amp;Tabela1[[#This Row],[Código]]&amp;"/"&amp;Tabela1[[#This Row],[Origem]]</f>
        <v>Topoli-P923P739/MA</v>
      </c>
      <c r="F1054" s="88">
        <v>46088</v>
      </c>
      <c r="G1054" s="88" t="str" cm="1">
        <f t="array" ref="G10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AND(F1054&gt;= DATE(2026,1,1), F1054&lt;= DATE(2028, 12, 31), J1054&gt;50000), "Pendente e Caro", AND(F1054&gt;= DATE(2026,1,1), F1054&lt;= DATE(2028, 12, 31), J1054&lt;=50000), "Pendente", F1054&gt;= DATE(2029,1,1), "Não prioeitário")</f>
        <v>Pendente e Caro</v>
      </c>
      <c r="H1054" s="89">
        <f>YEAR(Tabela1[[#This Row],[Data de Validade]])</f>
        <v>2026</v>
      </c>
      <c r="I1054" s="89">
        <f>MONTH(Tabela1[[#This Row],[Data de Validade]])</f>
        <v>3</v>
      </c>
      <c r="J1054" s="101">
        <v>85286</v>
      </c>
      <c r="K1054" s="87" t="s">
        <v>9</v>
      </c>
      <c r="L1054" s="108"/>
      <c r="M1054" s="108"/>
      <c r="N1054" s="108" t="str">
        <v>P923P739</v>
      </c>
      <c r="O1054" s="108">
        <f t="shared" si="18"/>
        <v>1</v>
      </c>
      <c r="P1054" s="108"/>
      <c r="Q1054"/>
    </row>
    <row r="1055" spans="1:17" x14ac:dyDescent="0.25">
      <c r="A1055" s="89" t="s">
        <v>3788</v>
      </c>
      <c r="B1055" s="87" t="s">
        <v>3789</v>
      </c>
      <c r="C1055" s="87" t="s">
        <v>12</v>
      </c>
      <c r="D1055" s="87" t="str">
        <f>VLOOKUP(Tabela1[[#This Row],[Origem]], 'Perguntas 1 a 24'!$J$28:$K$34, 2, 0)</f>
        <v>Sudeste</v>
      </c>
      <c r="E1055" s="87" t="str">
        <f>Tabela1[[#This Row],[Descrição]]&amp;"-"&amp;Tabela1[[#This Row],[Código]]&amp;"/"&amp;Tabela1[[#This Row],[Origem]]</f>
        <v>Tilotinu-H812P623/RJ</v>
      </c>
      <c r="F1055" s="88">
        <v>46088</v>
      </c>
      <c r="G1055" s="88" t="str" cm="1">
        <f t="array" ref="G10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AND(F1055&gt;= DATE(2026,1,1), F1055&lt;= DATE(2028, 12, 31), J1055&gt;50000), "Pendente e Caro", AND(F1055&gt;= DATE(2026,1,1), F1055&lt;= DATE(2028, 12, 31), J1055&lt;=50000), "Pendente", F1055&gt;= DATE(2029,1,1), "Não prioeitário")</f>
        <v>Pendente</v>
      </c>
      <c r="H1055" s="89">
        <f>YEAR(Tabela1[[#This Row],[Data de Validade]])</f>
        <v>2026</v>
      </c>
      <c r="I1055" s="89">
        <f>MONTH(Tabela1[[#This Row],[Data de Validade]])</f>
        <v>3</v>
      </c>
      <c r="J1055" s="101">
        <v>45065</v>
      </c>
      <c r="K1055" s="87" t="s">
        <v>11</v>
      </c>
      <c r="L1055" s="108"/>
      <c r="M1055" s="108"/>
      <c r="N1055" s="108" t="str">
        <v>H812P623</v>
      </c>
      <c r="O1055" s="108">
        <f t="shared" si="18"/>
        <v>1</v>
      </c>
      <c r="P1055" s="108"/>
      <c r="Q1055"/>
    </row>
    <row r="1056" spans="1:17" x14ac:dyDescent="0.25">
      <c r="A1056" s="89" t="s">
        <v>9573</v>
      </c>
      <c r="B1056" s="87" t="s">
        <v>9574</v>
      </c>
      <c r="C1056" s="87" t="s">
        <v>13</v>
      </c>
      <c r="D1056" s="87" t="str">
        <f>VLOOKUP(Tabela1[[#This Row],[Origem]], 'Perguntas 1 a 24'!$J$28:$K$34, 2, 0)</f>
        <v>Sudeste</v>
      </c>
      <c r="E1056" s="87" t="str">
        <f>Tabela1[[#This Row],[Descrição]]&amp;"-"&amp;Tabela1[[#This Row],[Código]]&amp;"/"&amp;Tabela1[[#This Row],[Origem]]</f>
        <v>Perocutame-P269H311/SP</v>
      </c>
      <c r="F1056" s="88">
        <v>46089</v>
      </c>
      <c r="G1056" s="88" t="str" cm="1">
        <f t="array" ref="G10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AND(F1056&gt;= DATE(2026,1,1), F1056&lt;= DATE(2028, 12, 31), J1056&gt;50000), "Pendente e Caro", AND(F1056&gt;= DATE(2026,1,1), F1056&lt;= DATE(2028, 12, 31), J1056&lt;=50000), "Pendente", F1056&gt;= DATE(2029,1,1), "Não prioeitário")</f>
        <v>Pendente e Caro</v>
      </c>
      <c r="H1056" s="89">
        <f>YEAR(Tabela1[[#This Row],[Data de Validade]])</f>
        <v>2026</v>
      </c>
      <c r="I1056" s="89">
        <f>MONTH(Tabela1[[#This Row],[Data de Validade]])</f>
        <v>3</v>
      </c>
      <c r="J1056" s="101">
        <v>80116</v>
      </c>
      <c r="K1056" s="87" t="s">
        <v>14</v>
      </c>
      <c r="L1056" s="108"/>
      <c r="M1056" s="108"/>
      <c r="N1056" s="108" t="str">
        <v>P269H311</v>
      </c>
      <c r="O1056" s="108">
        <f t="shared" si="18"/>
        <v>1</v>
      </c>
      <c r="P1056" s="108"/>
      <c r="Q1056"/>
    </row>
    <row r="1057" spans="1:17" x14ac:dyDescent="0.25">
      <c r="A1057" s="89" t="s">
        <v>5632</v>
      </c>
      <c r="B1057" s="87" t="s">
        <v>5633</v>
      </c>
      <c r="C1057" s="87" t="s">
        <v>6</v>
      </c>
      <c r="D1057" s="87" t="str">
        <f>VLOOKUP(Tabela1[[#This Row],[Origem]], 'Perguntas 1 a 24'!$J$28:$K$34, 2, 0)</f>
        <v>Nordeste</v>
      </c>
      <c r="E1057" s="87" t="str">
        <f>Tabela1[[#This Row],[Descrição]]&amp;"-"&amp;Tabela1[[#This Row],[Código]]&amp;"/"&amp;Tabela1[[#This Row],[Origem]]</f>
        <v>Dagaripi-P112P542/MA</v>
      </c>
      <c r="F1057" s="88">
        <v>46091</v>
      </c>
      <c r="G1057" s="88" t="str" cm="1">
        <f t="array" ref="G10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AND(F1057&gt;= DATE(2026,1,1), F1057&lt;= DATE(2028, 12, 31), J1057&gt;50000), "Pendente e Caro", AND(F1057&gt;= DATE(2026,1,1), F1057&lt;= DATE(2028, 12, 31), J1057&lt;=50000), "Pendente", F1057&gt;= DATE(2029,1,1), "Não prioeitário")</f>
        <v>Pendente</v>
      </c>
      <c r="H1057" s="89">
        <f>YEAR(Tabela1[[#This Row],[Data de Validade]])</f>
        <v>2026</v>
      </c>
      <c r="I1057" s="89">
        <f>MONTH(Tabela1[[#This Row],[Data de Validade]])</f>
        <v>3</v>
      </c>
      <c r="J1057" s="101">
        <v>20803</v>
      </c>
      <c r="K1057" s="87" t="s">
        <v>14</v>
      </c>
      <c r="L1057" s="108"/>
      <c r="M1057" s="108"/>
      <c r="N1057" s="108" t="str">
        <v>P112P542</v>
      </c>
      <c r="O1057" s="108">
        <f t="shared" si="18"/>
        <v>1</v>
      </c>
      <c r="P1057" s="108"/>
      <c r="Q1057"/>
    </row>
    <row r="1058" spans="1:17" x14ac:dyDescent="0.25">
      <c r="A1058" s="89" t="s">
        <v>10375</v>
      </c>
      <c r="B1058" s="87" t="s">
        <v>10376</v>
      </c>
      <c r="C1058" s="87" t="s">
        <v>16</v>
      </c>
      <c r="D1058" s="87" t="str">
        <f>VLOOKUP(Tabela1[[#This Row],[Origem]], 'Perguntas 1 a 24'!$J$28:$K$34, 2, 0)</f>
        <v>Sudeste</v>
      </c>
      <c r="E1058" s="87" t="str">
        <f>Tabela1[[#This Row],[Descrição]]&amp;"-"&amp;Tabela1[[#This Row],[Código]]&amp;"/"&amp;Tabela1[[#This Row],[Origem]]</f>
        <v>Pumagape-P973H998/MG</v>
      </c>
      <c r="F1058" s="88">
        <v>46095</v>
      </c>
      <c r="G1058" s="88" t="str" cm="1">
        <f t="array" ref="G10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AND(F1058&gt;= DATE(2026,1,1), F1058&lt;= DATE(2028, 12, 31), J1058&gt;50000), "Pendente e Caro", AND(F1058&gt;= DATE(2026,1,1), F1058&lt;= DATE(2028, 12, 31), J1058&lt;=50000), "Pendente", F1058&gt;= DATE(2029,1,1), "Não prioeitário")</f>
        <v>Pendente e Caro</v>
      </c>
      <c r="H1058" s="89">
        <f>YEAR(Tabela1[[#This Row],[Data de Validade]])</f>
        <v>2026</v>
      </c>
      <c r="I1058" s="89">
        <f>MONTH(Tabela1[[#This Row],[Data de Validade]])</f>
        <v>3</v>
      </c>
      <c r="J1058" s="101">
        <v>89319</v>
      </c>
      <c r="K1058" s="87" t="s">
        <v>7</v>
      </c>
      <c r="L1058" s="108"/>
      <c r="M1058" s="108"/>
      <c r="N1058" s="108" t="str">
        <v>P973H998</v>
      </c>
      <c r="O1058" s="108">
        <f t="shared" si="18"/>
        <v>1</v>
      </c>
      <c r="P1058" s="108"/>
      <c r="Q1058"/>
    </row>
    <row r="1059" spans="1:17" x14ac:dyDescent="0.25">
      <c r="A1059" s="89" t="s">
        <v>7618</v>
      </c>
      <c r="B1059" s="87" t="s">
        <v>7619</v>
      </c>
      <c r="C1059" s="87" t="s">
        <v>15</v>
      </c>
      <c r="D1059" s="87" t="str">
        <f>VLOOKUP(Tabela1[[#This Row],[Origem]], 'Perguntas 1 a 24'!$J$28:$K$34, 2, 0)</f>
        <v>Sudeste</v>
      </c>
      <c r="E1059" s="87" t="str">
        <f>Tabela1[[#This Row],[Descrição]]&amp;"-"&amp;Tabela1[[#This Row],[Código]]&amp;"/"&amp;Tabela1[[#This Row],[Origem]]</f>
        <v>Rerariraga-H194H898/ES</v>
      </c>
      <c r="F1059" s="88">
        <v>46096</v>
      </c>
      <c r="G1059" s="88" t="str" cm="1">
        <f t="array" ref="G10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AND(F1059&gt;= DATE(2026,1,1), F1059&lt;= DATE(2028, 12, 31), J1059&gt;50000), "Pendente e Caro", AND(F1059&gt;= DATE(2026,1,1), F1059&lt;= DATE(2028, 12, 31), J1059&lt;=50000), "Pendente", F1059&gt;= DATE(2029,1,1), "Não prioeitário")</f>
        <v>Pendente e Caro</v>
      </c>
      <c r="H1059" s="89">
        <f>YEAR(Tabela1[[#This Row],[Data de Validade]])</f>
        <v>2026</v>
      </c>
      <c r="I1059" s="89">
        <f>MONTH(Tabela1[[#This Row],[Data de Validade]])</f>
        <v>3</v>
      </c>
      <c r="J1059" s="101">
        <v>77444</v>
      </c>
      <c r="K1059" s="87" t="s">
        <v>14</v>
      </c>
      <c r="L1059" s="108"/>
      <c r="M1059" s="108"/>
      <c r="N1059" s="108" t="str">
        <v>H194H898</v>
      </c>
      <c r="O1059" s="108">
        <f t="shared" si="18"/>
        <v>1</v>
      </c>
      <c r="P1059" s="108"/>
      <c r="Q1059"/>
    </row>
    <row r="1060" spans="1:17" x14ac:dyDescent="0.25">
      <c r="A1060" s="89" t="s">
        <v>11024</v>
      </c>
      <c r="B1060" s="87" t="s">
        <v>11025</v>
      </c>
      <c r="C1060" s="87" t="s">
        <v>6</v>
      </c>
      <c r="D1060" s="87" t="str">
        <f>VLOOKUP(Tabela1[[#This Row],[Origem]], 'Perguntas 1 a 24'!$J$28:$K$34, 2, 0)</f>
        <v>Nordeste</v>
      </c>
      <c r="E1060" s="87" t="str">
        <f>Tabela1[[#This Row],[Descrição]]&amp;"-"&amp;Tabela1[[#This Row],[Código]]&amp;"/"&amp;Tabela1[[#This Row],[Origem]]</f>
        <v>Cavato-P834H148/MA</v>
      </c>
      <c r="F1060" s="88">
        <v>46096</v>
      </c>
      <c r="G1060" s="88" t="str" cm="1">
        <f t="array" ref="G10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AND(F1060&gt;= DATE(2026,1,1), F1060&lt;= DATE(2028, 12, 31), J1060&gt;50000), "Pendente e Caro", AND(F1060&gt;= DATE(2026,1,1), F1060&lt;= DATE(2028, 12, 31), J1060&lt;=50000), "Pendente", F1060&gt;= DATE(2029,1,1), "Não prioeitário")</f>
        <v>Pendente e Caro</v>
      </c>
      <c r="H1060" s="89">
        <f>YEAR(Tabela1[[#This Row],[Data de Validade]])</f>
        <v>2026</v>
      </c>
      <c r="I1060" s="89">
        <f>MONTH(Tabela1[[#This Row],[Data de Validade]])</f>
        <v>3</v>
      </c>
      <c r="J1060" s="101">
        <v>63116</v>
      </c>
      <c r="K1060" s="87" t="s">
        <v>9</v>
      </c>
      <c r="L1060" s="108"/>
      <c r="M1060" s="108"/>
      <c r="N1060" s="108" t="str">
        <v>P834H148</v>
      </c>
      <c r="O1060" s="108">
        <f t="shared" si="18"/>
        <v>1</v>
      </c>
      <c r="P1060" s="108"/>
      <c r="Q1060"/>
    </row>
    <row r="1061" spans="1:17" x14ac:dyDescent="0.25">
      <c r="A1061" s="89" t="s">
        <v>10715</v>
      </c>
      <c r="B1061" s="87" t="s">
        <v>10716</v>
      </c>
      <c r="C1061" s="87" t="s">
        <v>6</v>
      </c>
      <c r="D1061" s="87" t="str">
        <f>VLOOKUP(Tabela1[[#This Row],[Origem]], 'Perguntas 1 a 24'!$J$28:$K$34, 2, 0)</f>
        <v>Nordeste</v>
      </c>
      <c r="E1061" s="87" t="str">
        <f>Tabela1[[#This Row],[Descrição]]&amp;"-"&amp;Tabela1[[#This Row],[Código]]&amp;"/"&amp;Tabela1[[#This Row],[Origem]]</f>
        <v>Comoti-H974P559/MA</v>
      </c>
      <c r="F1061" s="88">
        <v>46096</v>
      </c>
      <c r="G1061" s="88" t="str" cm="1">
        <f t="array" ref="G10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AND(F1061&gt;= DATE(2026,1,1), F1061&lt;= DATE(2028, 12, 31), J1061&gt;50000), "Pendente e Caro", AND(F1061&gt;= DATE(2026,1,1), F1061&lt;= DATE(2028, 12, 31), J1061&lt;=50000), "Pendente", F1061&gt;= DATE(2029,1,1), "Não prioeitário")</f>
        <v>Pendente</v>
      </c>
      <c r="H1061" s="89">
        <f>YEAR(Tabela1[[#This Row],[Data de Validade]])</f>
        <v>2026</v>
      </c>
      <c r="I1061" s="89">
        <f>MONTH(Tabela1[[#This Row],[Data de Validade]])</f>
        <v>3</v>
      </c>
      <c r="J1061" s="101">
        <v>23284</v>
      </c>
      <c r="K1061" s="87" t="s">
        <v>11</v>
      </c>
      <c r="L1061" s="108"/>
      <c r="M1061" s="108"/>
      <c r="N1061" s="108" t="str">
        <v>H974P559</v>
      </c>
      <c r="O1061" s="108">
        <f t="shared" si="18"/>
        <v>1</v>
      </c>
      <c r="P1061" s="108"/>
      <c r="Q1061"/>
    </row>
    <row r="1062" spans="1:17" x14ac:dyDescent="0.25">
      <c r="A1062" s="89" t="s">
        <v>6320</v>
      </c>
      <c r="B1062" s="87" t="s">
        <v>6321</v>
      </c>
      <c r="C1062" s="87" t="s">
        <v>15</v>
      </c>
      <c r="D1062" s="87" t="str">
        <f>VLOOKUP(Tabela1[[#This Row],[Origem]], 'Perguntas 1 a 24'!$J$28:$K$34, 2, 0)</f>
        <v>Sudeste</v>
      </c>
      <c r="E1062" s="87" t="str">
        <f>Tabela1[[#This Row],[Descrição]]&amp;"-"&amp;Tabela1[[#This Row],[Código]]&amp;"/"&amp;Tabela1[[#This Row],[Origem]]</f>
        <v>Goteveto-P413H738/ES</v>
      </c>
      <c r="F1062" s="88">
        <v>46097</v>
      </c>
      <c r="G1062" s="88" t="str" cm="1">
        <f t="array" ref="G10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AND(F1062&gt;= DATE(2026,1,1), F1062&lt;= DATE(2028, 12, 31), J1062&gt;50000), "Pendente e Caro", AND(F1062&gt;= DATE(2026,1,1), F1062&lt;= DATE(2028, 12, 31), J1062&lt;=50000), "Pendente", F1062&gt;= DATE(2029,1,1), "Não prioeitário")</f>
        <v>Pendente e Caro</v>
      </c>
      <c r="H1062" s="89">
        <f>YEAR(Tabela1[[#This Row],[Data de Validade]])</f>
        <v>2026</v>
      </c>
      <c r="I1062" s="89">
        <f>MONTH(Tabela1[[#This Row],[Data de Validade]])</f>
        <v>3</v>
      </c>
      <c r="J1062" s="101">
        <v>119721</v>
      </c>
      <c r="K1062" s="87" t="s">
        <v>9</v>
      </c>
      <c r="L1062" s="108"/>
      <c r="M1062" s="108"/>
      <c r="N1062" s="108" t="str">
        <v>P413H738</v>
      </c>
      <c r="O1062" s="108">
        <f t="shared" si="18"/>
        <v>1</v>
      </c>
      <c r="P1062" s="108"/>
      <c r="Q1062"/>
    </row>
    <row r="1063" spans="1:17" x14ac:dyDescent="0.25">
      <c r="A1063" s="89" t="s">
        <v>4982</v>
      </c>
      <c r="B1063" s="87" t="s">
        <v>4983</v>
      </c>
      <c r="C1063" s="87" t="s">
        <v>12</v>
      </c>
      <c r="D1063" s="87" t="str">
        <f>VLOOKUP(Tabela1[[#This Row],[Origem]], 'Perguntas 1 a 24'!$J$28:$K$34, 2, 0)</f>
        <v>Sudeste</v>
      </c>
      <c r="E1063" s="87" t="str">
        <f>Tabela1[[#This Row],[Descrição]]&amp;"-"&amp;Tabela1[[#This Row],[Código]]&amp;"/"&amp;Tabela1[[#This Row],[Origem]]</f>
        <v>Motucage-P954P572/RJ</v>
      </c>
      <c r="F1063" s="88">
        <v>46097</v>
      </c>
      <c r="G1063" s="88" t="str" cm="1">
        <f t="array" ref="G10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AND(F1063&gt;= DATE(2026,1,1), F1063&lt;= DATE(2028, 12, 31), J1063&gt;50000), "Pendente e Caro", AND(F1063&gt;= DATE(2026,1,1), F1063&lt;= DATE(2028, 12, 31), J1063&lt;=50000), "Pendente", F1063&gt;= DATE(2029,1,1), "Não prioeitário")</f>
        <v>Pendente</v>
      </c>
      <c r="H1063" s="89">
        <f>YEAR(Tabela1[[#This Row],[Data de Validade]])</f>
        <v>2026</v>
      </c>
      <c r="I1063" s="89">
        <f>MONTH(Tabela1[[#This Row],[Data de Validade]])</f>
        <v>3</v>
      </c>
      <c r="J1063" s="101">
        <v>48678</v>
      </c>
      <c r="K1063" s="87" t="s">
        <v>9</v>
      </c>
      <c r="L1063" s="108"/>
      <c r="M1063" s="108"/>
      <c r="N1063" s="108" t="str">
        <v>P954P572</v>
      </c>
      <c r="O1063" s="108">
        <f t="shared" si="18"/>
        <v>1</v>
      </c>
      <c r="P1063" s="108"/>
      <c r="Q1063"/>
    </row>
    <row r="1064" spans="1:17" x14ac:dyDescent="0.25">
      <c r="A1064" s="89" t="s">
        <v>3673</v>
      </c>
      <c r="B1064" s="87" t="s">
        <v>3674</v>
      </c>
      <c r="C1064" s="87" t="s">
        <v>13</v>
      </c>
      <c r="D1064" s="87" t="str">
        <f>VLOOKUP(Tabela1[[#This Row],[Origem]], 'Perguntas 1 a 24'!$J$28:$K$34, 2, 0)</f>
        <v>Sudeste</v>
      </c>
      <c r="E1064" s="87" t="str">
        <f>Tabela1[[#This Row],[Descrição]]&amp;"-"&amp;Tabela1[[#This Row],[Código]]&amp;"/"&amp;Tabela1[[#This Row],[Origem]]</f>
        <v>Cupute-P896P117/SP</v>
      </c>
      <c r="F1064" s="88">
        <v>46098</v>
      </c>
      <c r="G1064" s="88" t="str" cm="1">
        <f t="array" ref="G10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AND(F1064&gt;= DATE(2026,1,1), F1064&lt;= DATE(2028, 12, 31), J1064&gt;50000), "Pendente e Caro", AND(F1064&gt;= DATE(2026,1,1), F1064&lt;= DATE(2028, 12, 31), J1064&lt;=50000), "Pendente", F1064&gt;= DATE(2029,1,1), "Não prioeitário")</f>
        <v>Pendente e Caro</v>
      </c>
      <c r="H1064" s="89">
        <f>YEAR(Tabela1[[#This Row],[Data de Validade]])</f>
        <v>2026</v>
      </c>
      <c r="I1064" s="89">
        <f>MONTH(Tabela1[[#This Row],[Data de Validade]])</f>
        <v>3</v>
      </c>
      <c r="J1064" s="101">
        <v>78039</v>
      </c>
      <c r="K1064" s="87" t="s">
        <v>11</v>
      </c>
      <c r="L1064" s="108"/>
      <c r="M1064" s="108"/>
      <c r="N1064" s="108" t="str">
        <v>P896P117</v>
      </c>
      <c r="O1064" s="108">
        <f t="shared" si="18"/>
        <v>1</v>
      </c>
      <c r="P1064" s="108"/>
      <c r="Q1064"/>
    </row>
    <row r="1065" spans="1:17" x14ac:dyDescent="0.25">
      <c r="A1065" s="89" t="s">
        <v>5476</v>
      </c>
      <c r="B1065" s="87" t="s">
        <v>5477</v>
      </c>
      <c r="C1065" s="87" t="s">
        <v>16</v>
      </c>
      <c r="D1065" s="87" t="str">
        <f>VLOOKUP(Tabela1[[#This Row],[Origem]], 'Perguntas 1 a 24'!$J$28:$K$34, 2, 0)</f>
        <v>Sudeste</v>
      </c>
      <c r="E1065" s="87" t="str">
        <f>Tabela1[[#This Row],[Descrição]]&amp;"-"&amp;Tabela1[[#This Row],[Código]]&amp;"/"&amp;Tabela1[[#This Row],[Origem]]</f>
        <v>Vuroceloru-H446P691/MG</v>
      </c>
      <c r="F1065" s="88">
        <v>46098</v>
      </c>
      <c r="G1065" s="88" t="str" cm="1">
        <f t="array" ref="G10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AND(F1065&gt;= DATE(2026,1,1), F1065&lt;= DATE(2028, 12, 31), J1065&gt;50000), "Pendente e Caro", AND(F1065&gt;= DATE(2026,1,1), F1065&lt;= DATE(2028, 12, 31), J1065&lt;=50000), "Pendente", F1065&gt;= DATE(2029,1,1), "Não prioeitário")</f>
        <v>Pendente e Caro</v>
      </c>
      <c r="H1065" s="89">
        <f>YEAR(Tabela1[[#This Row],[Data de Validade]])</f>
        <v>2026</v>
      </c>
      <c r="I1065" s="89">
        <f>MONTH(Tabela1[[#This Row],[Data de Validade]])</f>
        <v>3</v>
      </c>
      <c r="J1065" s="101">
        <v>57149</v>
      </c>
      <c r="K1065" s="87" t="s">
        <v>14</v>
      </c>
      <c r="L1065" s="108"/>
      <c r="M1065" s="108"/>
      <c r="N1065" s="108" t="str">
        <v>H446P691</v>
      </c>
      <c r="O1065" s="108">
        <f t="shared" si="18"/>
        <v>1</v>
      </c>
      <c r="P1065" s="108"/>
      <c r="Q1065"/>
    </row>
    <row r="1066" spans="1:17" x14ac:dyDescent="0.25">
      <c r="A1066" s="89" t="s">
        <v>8713</v>
      </c>
      <c r="B1066" s="87" t="s">
        <v>8714</v>
      </c>
      <c r="C1066" s="87" t="s">
        <v>10</v>
      </c>
      <c r="D1066" s="87" t="str">
        <f>VLOOKUP(Tabela1[[#This Row],[Origem]], 'Perguntas 1 a 24'!$J$28:$K$34, 2, 0)</f>
        <v>Centro-Oeste</v>
      </c>
      <c r="E1066" s="87" t="str">
        <f>Tabela1[[#This Row],[Descrição]]&amp;"-"&amp;Tabela1[[#This Row],[Código]]&amp;"/"&amp;Tabela1[[#This Row],[Origem]]</f>
        <v>Tedoga-H685P183/GO</v>
      </c>
      <c r="F1066" s="88">
        <v>46099</v>
      </c>
      <c r="G1066" s="88" t="str" cm="1">
        <f t="array" ref="G10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AND(F1066&gt;= DATE(2026,1,1), F1066&lt;= DATE(2028, 12, 31), J1066&gt;50000), "Pendente e Caro", AND(F1066&gt;= DATE(2026,1,1), F1066&lt;= DATE(2028, 12, 31), J1066&lt;=50000), "Pendente", F1066&gt;= DATE(2029,1,1), "Não prioeitário")</f>
        <v>Pendente e Caro</v>
      </c>
      <c r="H1066" s="89">
        <f>YEAR(Tabela1[[#This Row],[Data de Validade]])</f>
        <v>2026</v>
      </c>
      <c r="I1066" s="89">
        <f>MONTH(Tabela1[[#This Row],[Data de Validade]])</f>
        <v>3</v>
      </c>
      <c r="J1066" s="101">
        <v>55881</v>
      </c>
      <c r="K1066" s="87" t="s">
        <v>11</v>
      </c>
      <c r="L1066" s="108"/>
      <c r="M1066" s="108"/>
      <c r="N1066" s="108" t="str">
        <v>H685P183</v>
      </c>
      <c r="O1066" s="108">
        <f t="shared" si="18"/>
        <v>1</v>
      </c>
      <c r="P1066" s="108"/>
      <c r="Q1066"/>
    </row>
    <row r="1067" spans="1:17" x14ac:dyDescent="0.25">
      <c r="A1067" s="89" t="s">
        <v>9755</v>
      </c>
      <c r="B1067" s="87" t="s">
        <v>9756</v>
      </c>
      <c r="C1067" s="87" t="s">
        <v>12</v>
      </c>
      <c r="D1067" s="87" t="str">
        <f>VLOOKUP(Tabela1[[#This Row],[Origem]], 'Perguntas 1 a 24'!$J$28:$K$34, 2, 0)</f>
        <v>Sudeste</v>
      </c>
      <c r="E1067" s="87" t="str">
        <f>Tabela1[[#This Row],[Descrição]]&amp;"-"&amp;Tabela1[[#This Row],[Código]]&amp;"/"&amp;Tabela1[[#This Row],[Origem]]</f>
        <v>Mopida-P669H259/RJ</v>
      </c>
      <c r="F1067" s="88">
        <v>46100</v>
      </c>
      <c r="G1067" s="88" t="str" cm="1">
        <f t="array" ref="G10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AND(F1067&gt;= DATE(2026,1,1), F1067&lt;= DATE(2028, 12, 31), J1067&gt;50000), "Pendente e Caro", AND(F1067&gt;= DATE(2026,1,1), F1067&lt;= DATE(2028, 12, 31), J1067&lt;=50000), "Pendente", F1067&gt;= DATE(2029,1,1), "Não prioeitário")</f>
        <v>Pendente e Caro</v>
      </c>
      <c r="H1067" s="89">
        <f>YEAR(Tabela1[[#This Row],[Data de Validade]])</f>
        <v>2026</v>
      </c>
      <c r="I1067" s="89">
        <f>MONTH(Tabela1[[#This Row],[Data de Validade]])</f>
        <v>3</v>
      </c>
      <c r="J1067" s="101">
        <v>117461</v>
      </c>
      <c r="K1067" s="87" t="s">
        <v>9</v>
      </c>
      <c r="L1067" s="108"/>
      <c r="M1067" s="108"/>
      <c r="N1067" s="108" t="str">
        <v>P669H259</v>
      </c>
      <c r="O1067" s="108">
        <f t="shared" si="18"/>
        <v>1</v>
      </c>
      <c r="P1067" s="108"/>
      <c r="Q1067"/>
    </row>
    <row r="1068" spans="1:17" x14ac:dyDescent="0.25">
      <c r="A1068" s="89" t="s">
        <v>5450</v>
      </c>
      <c r="B1068" s="87" t="s">
        <v>5451</v>
      </c>
      <c r="C1068" s="87" t="s">
        <v>8</v>
      </c>
      <c r="D1068" s="87" t="str">
        <f>VLOOKUP(Tabela1[[#This Row],[Origem]], 'Perguntas 1 a 24'!$J$28:$K$34, 2, 0)</f>
        <v>Nordeste</v>
      </c>
      <c r="E1068" s="87" t="str">
        <f>Tabela1[[#This Row],[Descrição]]&amp;"-"&amp;Tabela1[[#This Row],[Código]]&amp;"/"&amp;Tabela1[[#This Row],[Origem]]</f>
        <v>Verugoto-H946P642/AL</v>
      </c>
      <c r="F1068" s="88">
        <v>46100</v>
      </c>
      <c r="G1068" s="88" t="str" cm="1">
        <f t="array" ref="G10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AND(F1068&gt;= DATE(2026,1,1), F1068&lt;= DATE(2028, 12, 31), J1068&gt;50000), "Pendente e Caro", AND(F1068&gt;= DATE(2026,1,1), F1068&lt;= DATE(2028, 12, 31), J1068&lt;=50000), "Pendente", F1068&gt;= DATE(2029,1,1), "Não prioeitário")</f>
        <v>Pendente e Caro</v>
      </c>
      <c r="H1068" s="89">
        <f>YEAR(Tabela1[[#This Row],[Data de Validade]])</f>
        <v>2026</v>
      </c>
      <c r="I1068" s="89">
        <f>MONTH(Tabela1[[#This Row],[Data de Validade]])</f>
        <v>3</v>
      </c>
      <c r="J1068" s="101">
        <v>71549</v>
      </c>
      <c r="K1068" s="87" t="s">
        <v>7</v>
      </c>
      <c r="L1068" s="108"/>
      <c r="M1068" s="108"/>
      <c r="N1068" s="108" t="str">
        <v>H946P642</v>
      </c>
      <c r="O1068" s="108">
        <f t="shared" si="18"/>
        <v>1</v>
      </c>
      <c r="P1068" s="108"/>
      <c r="Q1068"/>
    </row>
    <row r="1069" spans="1:17" x14ac:dyDescent="0.25">
      <c r="A1069" s="89" t="s">
        <v>9223</v>
      </c>
      <c r="B1069" s="87" t="s">
        <v>9224</v>
      </c>
      <c r="C1069" s="87" t="s">
        <v>10</v>
      </c>
      <c r="D1069" s="87" t="str">
        <f>VLOOKUP(Tabela1[[#This Row],[Origem]], 'Perguntas 1 a 24'!$J$28:$K$34, 2, 0)</f>
        <v>Centro-Oeste</v>
      </c>
      <c r="E1069" s="87" t="str">
        <f>Tabela1[[#This Row],[Descrição]]&amp;"-"&amp;Tabela1[[#This Row],[Código]]&amp;"/"&amp;Tabela1[[#This Row],[Origem]]</f>
        <v>Fepedenilu-P972P878/GO</v>
      </c>
      <c r="F1069" s="88">
        <v>46100</v>
      </c>
      <c r="G1069" s="88" t="str" cm="1">
        <f t="array" ref="G10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AND(F1069&gt;= DATE(2026,1,1), F1069&lt;= DATE(2028, 12, 31), J1069&gt;50000), "Pendente e Caro", AND(F1069&gt;= DATE(2026,1,1), F1069&lt;= DATE(2028, 12, 31), J1069&lt;=50000), "Pendente", F1069&gt;= DATE(2029,1,1), "Não prioeitário")</f>
        <v>Pendente e Caro</v>
      </c>
      <c r="H1069" s="89">
        <f>YEAR(Tabela1[[#This Row],[Data de Validade]])</f>
        <v>2026</v>
      </c>
      <c r="I1069" s="89">
        <f>MONTH(Tabela1[[#This Row],[Data de Validade]])</f>
        <v>3</v>
      </c>
      <c r="J1069" s="101">
        <v>69892</v>
      </c>
      <c r="K1069" s="87" t="s">
        <v>9</v>
      </c>
      <c r="L1069" s="108"/>
      <c r="M1069" s="108"/>
      <c r="N1069" s="108" t="str">
        <v>P972P878</v>
      </c>
      <c r="O1069" s="108">
        <f t="shared" si="18"/>
        <v>1</v>
      </c>
      <c r="P1069" s="108"/>
      <c r="Q1069"/>
    </row>
    <row r="1070" spans="1:17" x14ac:dyDescent="0.25">
      <c r="A1070" s="89" t="s">
        <v>4367</v>
      </c>
      <c r="B1070" s="87" t="s">
        <v>4368</v>
      </c>
      <c r="C1070" s="87" t="s">
        <v>10</v>
      </c>
      <c r="D1070" s="87" t="str">
        <f>VLOOKUP(Tabela1[[#This Row],[Origem]], 'Perguntas 1 a 24'!$J$28:$K$34, 2, 0)</f>
        <v>Centro-Oeste</v>
      </c>
      <c r="E1070" s="87" t="str">
        <f>Tabela1[[#This Row],[Descrição]]&amp;"-"&amp;Tabela1[[#This Row],[Código]]&amp;"/"&amp;Tabela1[[#This Row],[Origem]]</f>
        <v>Gumipi-H291H544/GO</v>
      </c>
      <c r="F1070" s="88">
        <v>46100</v>
      </c>
      <c r="G1070" s="88" t="str" cm="1">
        <f t="array" ref="G10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AND(F1070&gt;= DATE(2026,1,1), F1070&lt;= DATE(2028, 12, 31), J1070&gt;50000), "Pendente e Caro", AND(F1070&gt;= DATE(2026,1,1), F1070&lt;= DATE(2028, 12, 31), J1070&lt;=50000), "Pendente", F1070&gt;= DATE(2029,1,1), "Não prioeitário")</f>
        <v>Pendente e Caro</v>
      </c>
      <c r="H1070" s="89">
        <f>YEAR(Tabela1[[#This Row],[Data de Validade]])</f>
        <v>2026</v>
      </c>
      <c r="I1070" s="89">
        <f>MONTH(Tabela1[[#This Row],[Data de Validade]])</f>
        <v>3</v>
      </c>
      <c r="J1070" s="101">
        <v>62341</v>
      </c>
      <c r="K1070" s="87" t="s">
        <v>9</v>
      </c>
      <c r="L1070" s="108"/>
      <c r="M1070" s="108"/>
      <c r="N1070" s="108" t="str">
        <v>H291H544</v>
      </c>
      <c r="O1070" s="108">
        <f t="shared" si="18"/>
        <v>1</v>
      </c>
      <c r="P1070" s="108"/>
      <c r="Q1070"/>
    </row>
    <row r="1071" spans="1:17" x14ac:dyDescent="0.25">
      <c r="A1071" s="89" t="s">
        <v>9623</v>
      </c>
      <c r="B1071" s="87" t="s">
        <v>9624</v>
      </c>
      <c r="C1071" s="87" t="s">
        <v>16</v>
      </c>
      <c r="D1071" s="87" t="str">
        <f>VLOOKUP(Tabela1[[#This Row],[Origem]], 'Perguntas 1 a 24'!$J$28:$K$34, 2, 0)</f>
        <v>Sudeste</v>
      </c>
      <c r="E1071" s="87" t="str">
        <f>Tabela1[[#This Row],[Descrição]]&amp;"-"&amp;Tabela1[[#This Row],[Código]]&amp;"/"&amp;Tabela1[[#This Row],[Origem]]</f>
        <v>Vapuvo-H617H617/MG</v>
      </c>
      <c r="F1071" s="88">
        <v>46100</v>
      </c>
      <c r="G1071" s="88" t="str" cm="1">
        <f t="array" ref="G10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AND(F1071&gt;= DATE(2026,1,1), F1071&lt;= DATE(2028, 12, 31), J1071&gt;50000), "Pendente e Caro", AND(F1071&gt;= DATE(2026,1,1), F1071&lt;= DATE(2028, 12, 31), J1071&lt;=50000), "Pendente", F1071&gt;= DATE(2029,1,1), "Não prioeitário")</f>
        <v>Pendente</v>
      </c>
      <c r="H1071" s="89">
        <f>YEAR(Tabela1[[#This Row],[Data de Validade]])</f>
        <v>2026</v>
      </c>
      <c r="I1071" s="89">
        <f>MONTH(Tabela1[[#This Row],[Data de Validade]])</f>
        <v>3</v>
      </c>
      <c r="J1071" s="101">
        <v>21906</v>
      </c>
      <c r="K1071" s="87" t="s">
        <v>14</v>
      </c>
      <c r="L1071" s="108"/>
      <c r="M1071" s="108"/>
      <c r="N1071" s="108" t="str">
        <v>H617H617</v>
      </c>
      <c r="O1071" s="108">
        <f t="shared" si="18"/>
        <v>1</v>
      </c>
      <c r="P1071" s="108"/>
      <c r="Q1071"/>
    </row>
    <row r="1072" spans="1:17" x14ac:dyDescent="0.25">
      <c r="A1072" s="89" t="s">
        <v>7254</v>
      </c>
      <c r="B1072" s="87" t="s">
        <v>7255</v>
      </c>
      <c r="C1072" s="87" t="s">
        <v>12</v>
      </c>
      <c r="D1072" s="87" t="str">
        <f>VLOOKUP(Tabela1[[#This Row],[Origem]], 'Perguntas 1 a 24'!$J$28:$K$34, 2, 0)</f>
        <v>Sudeste</v>
      </c>
      <c r="E1072" s="87" t="str">
        <f>Tabela1[[#This Row],[Descrição]]&amp;"-"&amp;Tabela1[[#This Row],[Código]]&amp;"/"&amp;Tabela1[[#This Row],[Origem]]</f>
        <v>Timiro-P377H698/RJ</v>
      </c>
      <c r="F1072" s="88">
        <v>46101</v>
      </c>
      <c r="G1072" s="88" t="str" cm="1">
        <f t="array" ref="G10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AND(F1072&gt;= DATE(2026,1,1), F1072&lt;= DATE(2028, 12, 31), J1072&gt;50000), "Pendente e Caro", AND(F1072&gt;= DATE(2026,1,1), F1072&lt;= DATE(2028, 12, 31), J1072&lt;=50000), "Pendente", F1072&gt;= DATE(2029,1,1), "Não prioeitário")</f>
        <v>Pendente</v>
      </c>
      <c r="H1072" s="89">
        <f>YEAR(Tabela1[[#This Row],[Data de Validade]])</f>
        <v>2026</v>
      </c>
      <c r="I1072" s="89">
        <f>MONTH(Tabela1[[#This Row],[Data de Validade]])</f>
        <v>3</v>
      </c>
      <c r="J1072" s="101">
        <v>48940</v>
      </c>
      <c r="K1072" s="87" t="s">
        <v>9</v>
      </c>
      <c r="L1072" s="108"/>
      <c r="M1072" s="108"/>
      <c r="N1072" s="108" t="str">
        <v>P377H698</v>
      </c>
      <c r="O1072" s="108">
        <f t="shared" si="18"/>
        <v>1</v>
      </c>
      <c r="P1072" s="108"/>
      <c r="Q1072"/>
    </row>
    <row r="1073" spans="1:17" x14ac:dyDescent="0.25">
      <c r="A1073" s="89" t="s">
        <v>4582</v>
      </c>
      <c r="B1073" s="87" t="s">
        <v>4583</v>
      </c>
      <c r="C1073" s="87" t="s">
        <v>13</v>
      </c>
      <c r="D1073" s="87" t="str">
        <f>VLOOKUP(Tabela1[[#This Row],[Origem]], 'Perguntas 1 a 24'!$J$28:$K$34, 2, 0)</f>
        <v>Sudeste</v>
      </c>
      <c r="E1073" s="87" t="str">
        <f>Tabela1[[#This Row],[Descrição]]&amp;"-"&amp;Tabela1[[#This Row],[Código]]&amp;"/"&amp;Tabela1[[#This Row],[Origem]]</f>
        <v>Tecivi-H439P539/SP</v>
      </c>
      <c r="F1073" s="88">
        <v>46102</v>
      </c>
      <c r="G1073" s="88" t="str" cm="1">
        <f t="array" ref="G10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AND(F1073&gt;= DATE(2026,1,1), F1073&lt;= DATE(2028, 12, 31), J1073&gt;50000), "Pendente e Caro", AND(F1073&gt;= DATE(2026,1,1), F1073&lt;= DATE(2028, 12, 31), J1073&lt;=50000), "Pendente", F1073&gt;= DATE(2029,1,1), "Não prioeitário")</f>
        <v>Pendente e Caro</v>
      </c>
      <c r="H1073" s="89">
        <f>YEAR(Tabela1[[#This Row],[Data de Validade]])</f>
        <v>2026</v>
      </c>
      <c r="I1073" s="89">
        <f>MONTH(Tabela1[[#This Row],[Data de Validade]])</f>
        <v>3</v>
      </c>
      <c r="J1073" s="101">
        <v>81865</v>
      </c>
      <c r="K1073" s="87" t="s">
        <v>14</v>
      </c>
      <c r="L1073" s="108"/>
      <c r="M1073" s="108"/>
      <c r="N1073" s="108" t="str">
        <v>H439P539</v>
      </c>
      <c r="O1073" s="108">
        <f t="shared" si="18"/>
        <v>1</v>
      </c>
      <c r="P1073" s="108"/>
      <c r="Q1073"/>
    </row>
    <row r="1074" spans="1:17" x14ac:dyDescent="0.25">
      <c r="A1074" s="89" t="s">
        <v>4253</v>
      </c>
      <c r="B1074" s="87" t="s">
        <v>4254</v>
      </c>
      <c r="C1074" s="87" t="s">
        <v>12</v>
      </c>
      <c r="D1074" s="87" t="str">
        <f>VLOOKUP(Tabela1[[#This Row],[Origem]], 'Perguntas 1 a 24'!$J$28:$K$34, 2, 0)</f>
        <v>Sudeste</v>
      </c>
      <c r="E1074" s="87" t="str">
        <f>Tabela1[[#This Row],[Descrição]]&amp;"-"&amp;Tabela1[[#This Row],[Código]]&amp;"/"&amp;Tabela1[[#This Row],[Origem]]</f>
        <v>Vorugeramo-P357P698/RJ</v>
      </c>
      <c r="F1074" s="88">
        <v>46104</v>
      </c>
      <c r="G1074" s="88" t="str" cm="1">
        <f t="array" ref="G10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AND(F1074&gt;= DATE(2026,1,1), F1074&lt;= DATE(2028, 12, 31), J1074&gt;50000), "Pendente e Caro", AND(F1074&gt;= DATE(2026,1,1), F1074&lt;= DATE(2028, 12, 31), J1074&lt;=50000), "Pendente", F1074&gt;= DATE(2029,1,1), "Não prioeitário")</f>
        <v>Pendente e Caro</v>
      </c>
      <c r="H1074" s="89">
        <f>YEAR(Tabela1[[#This Row],[Data de Validade]])</f>
        <v>2026</v>
      </c>
      <c r="I1074" s="89">
        <f>MONTH(Tabela1[[#This Row],[Data de Validade]])</f>
        <v>3</v>
      </c>
      <c r="J1074" s="101">
        <v>79508</v>
      </c>
      <c r="K1074" s="87" t="s">
        <v>9</v>
      </c>
      <c r="L1074" s="108"/>
      <c r="M1074" s="108"/>
      <c r="N1074" s="108" t="str">
        <v>P357P698</v>
      </c>
      <c r="O1074" s="108">
        <f t="shared" si="18"/>
        <v>1</v>
      </c>
      <c r="P1074" s="108"/>
      <c r="Q1074"/>
    </row>
    <row r="1075" spans="1:17" x14ac:dyDescent="0.25">
      <c r="A1075" s="89" t="s">
        <v>8128</v>
      </c>
      <c r="B1075" s="87" t="s">
        <v>8129</v>
      </c>
      <c r="C1075" s="87" t="s">
        <v>16</v>
      </c>
      <c r="D1075" s="87" t="str">
        <f>VLOOKUP(Tabela1[[#This Row],[Origem]], 'Perguntas 1 a 24'!$J$28:$K$34, 2, 0)</f>
        <v>Sudeste</v>
      </c>
      <c r="E1075" s="87" t="str">
        <f>Tabela1[[#This Row],[Descrição]]&amp;"-"&amp;Tabela1[[#This Row],[Código]]&amp;"/"&amp;Tabela1[[#This Row],[Origem]]</f>
        <v>Pupoduride-H921P822/MG</v>
      </c>
      <c r="F1075" s="88">
        <v>46104</v>
      </c>
      <c r="G1075" s="88" t="str" cm="1">
        <f t="array" ref="G10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AND(F1075&gt;= DATE(2026,1,1), F1075&lt;= DATE(2028, 12, 31), J1075&gt;50000), "Pendente e Caro", AND(F1075&gt;= DATE(2026,1,1), F1075&lt;= DATE(2028, 12, 31), J1075&lt;=50000), "Pendente", F1075&gt;= DATE(2029,1,1), "Não prioeitário")</f>
        <v>Pendente e Caro</v>
      </c>
      <c r="H1075" s="89">
        <f>YEAR(Tabela1[[#This Row],[Data de Validade]])</f>
        <v>2026</v>
      </c>
      <c r="I1075" s="89">
        <f>MONTH(Tabela1[[#This Row],[Data de Validade]])</f>
        <v>3</v>
      </c>
      <c r="J1075" s="101">
        <v>68187</v>
      </c>
      <c r="K1075" s="87" t="s">
        <v>9</v>
      </c>
      <c r="L1075" s="108"/>
      <c r="M1075" s="108"/>
      <c r="N1075" s="108" t="str">
        <v>H921P822</v>
      </c>
      <c r="O1075" s="108">
        <f t="shared" si="18"/>
        <v>1</v>
      </c>
      <c r="P1075" s="108"/>
      <c r="Q1075"/>
    </row>
    <row r="1076" spans="1:17" x14ac:dyDescent="0.25">
      <c r="A1076" s="89" t="s">
        <v>9355</v>
      </c>
      <c r="B1076" s="87" t="s">
        <v>9356</v>
      </c>
      <c r="C1076" s="87" t="s">
        <v>16</v>
      </c>
      <c r="D1076" s="87" t="str">
        <f>VLOOKUP(Tabela1[[#This Row],[Origem]], 'Perguntas 1 a 24'!$J$28:$K$34, 2, 0)</f>
        <v>Sudeste</v>
      </c>
      <c r="E1076" s="87" t="str">
        <f>Tabela1[[#This Row],[Descrição]]&amp;"-"&amp;Tabela1[[#This Row],[Código]]&amp;"/"&amp;Tabela1[[#This Row],[Origem]]</f>
        <v>Camavudifi-P459P841/MG</v>
      </c>
      <c r="F1076" s="88">
        <v>46104</v>
      </c>
      <c r="G1076" s="88" t="str" cm="1">
        <f t="array" ref="G10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AND(F1076&gt;= DATE(2026,1,1), F1076&lt;= DATE(2028, 12, 31), J1076&gt;50000), "Pendente e Caro", AND(F1076&gt;= DATE(2026,1,1), F1076&lt;= DATE(2028, 12, 31), J1076&lt;=50000), "Pendente", F1076&gt;= DATE(2029,1,1), "Não prioeitário")</f>
        <v>Pendente e Caro</v>
      </c>
      <c r="H1076" s="89">
        <f>YEAR(Tabela1[[#This Row],[Data de Validade]])</f>
        <v>2026</v>
      </c>
      <c r="I1076" s="89">
        <f>MONTH(Tabela1[[#This Row],[Data de Validade]])</f>
        <v>3</v>
      </c>
      <c r="J1076" s="101">
        <v>55792</v>
      </c>
      <c r="K1076" s="87" t="s">
        <v>14</v>
      </c>
      <c r="L1076" s="108"/>
      <c r="M1076" s="108"/>
      <c r="N1076" s="108" t="str">
        <v>P459P841</v>
      </c>
      <c r="O1076" s="108">
        <f t="shared" si="18"/>
        <v>1</v>
      </c>
      <c r="P1076" s="108"/>
      <c r="Q1076"/>
    </row>
    <row r="1077" spans="1:17" x14ac:dyDescent="0.25">
      <c r="A1077" s="89" t="s">
        <v>9763</v>
      </c>
      <c r="B1077" s="87" t="s">
        <v>9764</v>
      </c>
      <c r="C1077" s="87" t="s">
        <v>16</v>
      </c>
      <c r="D1077" s="87" t="str">
        <f>VLOOKUP(Tabela1[[#This Row],[Origem]], 'Perguntas 1 a 24'!$J$28:$K$34, 2, 0)</f>
        <v>Sudeste</v>
      </c>
      <c r="E1077" s="87" t="str">
        <f>Tabela1[[#This Row],[Descrição]]&amp;"-"&amp;Tabela1[[#This Row],[Código]]&amp;"/"&amp;Tabela1[[#This Row],[Origem]]</f>
        <v>Tipefunipa-H194P851/MG</v>
      </c>
      <c r="F1077" s="88">
        <v>46105</v>
      </c>
      <c r="G1077" s="88" t="str" cm="1">
        <f t="array" ref="G10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AND(F1077&gt;= DATE(2026,1,1), F1077&lt;= DATE(2028, 12, 31), J1077&gt;50000), "Pendente e Caro", AND(F1077&gt;= DATE(2026,1,1), F1077&lt;= DATE(2028, 12, 31), J1077&lt;=50000), "Pendente", F1077&gt;= DATE(2029,1,1), "Não prioeitário")</f>
        <v>Pendente e Caro</v>
      </c>
      <c r="H1077" s="89">
        <f>YEAR(Tabela1[[#This Row],[Data de Validade]])</f>
        <v>2026</v>
      </c>
      <c r="I1077" s="89">
        <f>MONTH(Tabela1[[#This Row],[Data de Validade]])</f>
        <v>3</v>
      </c>
      <c r="J1077" s="101">
        <v>56394</v>
      </c>
      <c r="K1077" s="87" t="s">
        <v>7</v>
      </c>
      <c r="L1077" s="108"/>
      <c r="M1077" s="108"/>
      <c r="N1077" s="108" t="str">
        <v>H194P851</v>
      </c>
      <c r="O1077" s="108">
        <f t="shared" si="18"/>
        <v>1</v>
      </c>
      <c r="P1077" s="108"/>
      <c r="Q1077"/>
    </row>
    <row r="1078" spans="1:17" x14ac:dyDescent="0.25">
      <c r="A1078" s="89" t="s">
        <v>6680</v>
      </c>
      <c r="B1078" s="87" t="s">
        <v>6681</v>
      </c>
      <c r="C1078" s="87" t="s">
        <v>16</v>
      </c>
      <c r="D1078" s="87" t="str">
        <f>VLOOKUP(Tabela1[[#This Row],[Origem]], 'Perguntas 1 a 24'!$J$28:$K$34, 2, 0)</f>
        <v>Sudeste</v>
      </c>
      <c r="E1078" s="87" t="str">
        <f>Tabela1[[#This Row],[Descrição]]&amp;"-"&amp;Tabela1[[#This Row],[Código]]&amp;"/"&amp;Tabela1[[#This Row],[Origem]]</f>
        <v>Donategavu-P617P357/MG</v>
      </c>
      <c r="F1078" s="88">
        <v>46105</v>
      </c>
      <c r="G1078" s="88" t="str" cm="1">
        <f t="array" ref="G10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AND(F1078&gt;= DATE(2026,1,1), F1078&lt;= DATE(2028, 12, 31), J1078&gt;50000), "Pendente e Caro", AND(F1078&gt;= DATE(2026,1,1), F1078&lt;= DATE(2028, 12, 31), J1078&lt;=50000), "Pendente", F1078&gt;= DATE(2029,1,1), "Não prioeitário")</f>
        <v>Pendente</v>
      </c>
      <c r="H1078" s="89">
        <f>YEAR(Tabela1[[#This Row],[Data de Validade]])</f>
        <v>2026</v>
      </c>
      <c r="I1078" s="89">
        <f>MONTH(Tabela1[[#This Row],[Data de Validade]])</f>
        <v>3</v>
      </c>
      <c r="J1078" s="101">
        <v>28707</v>
      </c>
      <c r="K1078" s="87" t="s">
        <v>11</v>
      </c>
      <c r="L1078" s="108"/>
      <c r="M1078" s="108"/>
      <c r="N1078" s="108" t="str">
        <v>P617P357</v>
      </c>
      <c r="O1078" s="108">
        <f t="shared" si="18"/>
        <v>1</v>
      </c>
      <c r="P1078" s="108"/>
      <c r="Q1078"/>
    </row>
    <row r="1079" spans="1:17" x14ac:dyDescent="0.25">
      <c r="A1079" s="89" t="s">
        <v>8901</v>
      </c>
      <c r="B1079" s="87" t="s">
        <v>8902</v>
      </c>
      <c r="C1079" s="87" t="s">
        <v>12</v>
      </c>
      <c r="D1079" s="87" t="str">
        <f>VLOOKUP(Tabela1[[#This Row],[Origem]], 'Perguntas 1 a 24'!$J$28:$K$34, 2, 0)</f>
        <v>Sudeste</v>
      </c>
      <c r="E1079" s="87" t="str">
        <f>Tabela1[[#This Row],[Descrição]]&amp;"-"&amp;Tabela1[[#This Row],[Código]]&amp;"/"&amp;Tabela1[[#This Row],[Origem]]</f>
        <v>Torola-H379P438/RJ</v>
      </c>
      <c r="F1079" s="88">
        <v>46106</v>
      </c>
      <c r="G1079" s="88" t="str" cm="1">
        <f t="array" ref="G10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AND(F1079&gt;= DATE(2026,1,1), F1079&lt;= DATE(2028, 12, 31), J1079&gt;50000), "Pendente e Caro", AND(F1079&gt;= DATE(2026,1,1), F1079&lt;= DATE(2028, 12, 31), J1079&lt;=50000), "Pendente", F1079&gt;= DATE(2029,1,1), "Não prioeitário")</f>
        <v>Pendente e Caro</v>
      </c>
      <c r="H1079" s="89">
        <f>YEAR(Tabela1[[#This Row],[Data de Validade]])</f>
        <v>2026</v>
      </c>
      <c r="I1079" s="89">
        <f>MONTH(Tabela1[[#This Row],[Data de Validade]])</f>
        <v>3</v>
      </c>
      <c r="J1079" s="101">
        <v>103562</v>
      </c>
      <c r="K1079" s="87" t="s">
        <v>14</v>
      </c>
      <c r="L1079" s="108"/>
      <c r="M1079" s="108"/>
      <c r="N1079" s="108" t="str">
        <v>H379P438</v>
      </c>
      <c r="O1079" s="108">
        <f t="shared" si="18"/>
        <v>1</v>
      </c>
      <c r="P1079" s="108"/>
      <c r="Q1079"/>
    </row>
    <row r="1080" spans="1:17" x14ac:dyDescent="0.25">
      <c r="A1080" s="89" t="s">
        <v>4291</v>
      </c>
      <c r="B1080" s="87" t="s">
        <v>4292</v>
      </c>
      <c r="C1080" s="87" t="s">
        <v>10</v>
      </c>
      <c r="D1080" s="87" t="str">
        <f>VLOOKUP(Tabela1[[#This Row],[Origem]], 'Perguntas 1 a 24'!$J$28:$K$34, 2, 0)</f>
        <v>Centro-Oeste</v>
      </c>
      <c r="E1080" s="87" t="str">
        <f>Tabela1[[#This Row],[Descrição]]&amp;"-"&amp;Tabela1[[#This Row],[Código]]&amp;"/"&amp;Tabela1[[#This Row],[Origem]]</f>
        <v>Ramota-H957P123/GO</v>
      </c>
      <c r="F1080" s="88">
        <v>46106</v>
      </c>
      <c r="G1080" s="88" t="str" cm="1">
        <f t="array" ref="G10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AND(F1080&gt;= DATE(2026,1,1), F1080&lt;= DATE(2028, 12, 31), J1080&gt;50000), "Pendente e Caro", AND(F1080&gt;= DATE(2026,1,1), F1080&lt;= DATE(2028, 12, 31), J1080&lt;=50000), "Pendente", F1080&gt;= DATE(2029,1,1), "Não prioeitário")</f>
        <v>Pendente</v>
      </c>
      <c r="H1080" s="89">
        <f>YEAR(Tabela1[[#This Row],[Data de Validade]])</f>
        <v>2026</v>
      </c>
      <c r="I1080" s="89">
        <f>MONTH(Tabela1[[#This Row],[Data de Validade]])</f>
        <v>3</v>
      </c>
      <c r="J1080" s="101">
        <v>37646</v>
      </c>
      <c r="K1080" s="87" t="s">
        <v>11</v>
      </c>
      <c r="L1080" s="108"/>
      <c r="M1080" s="108"/>
      <c r="N1080" s="108" t="str">
        <v>H957P123</v>
      </c>
      <c r="O1080" s="108">
        <f t="shared" si="18"/>
        <v>1</v>
      </c>
      <c r="P1080" s="108"/>
      <c r="Q1080"/>
    </row>
    <row r="1081" spans="1:17" x14ac:dyDescent="0.25">
      <c r="A1081" s="89" t="s">
        <v>6498</v>
      </c>
      <c r="B1081" s="87" t="s">
        <v>6499</v>
      </c>
      <c r="C1081" s="87" t="s">
        <v>6</v>
      </c>
      <c r="D1081" s="87" t="str">
        <f>VLOOKUP(Tabela1[[#This Row],[Origem]], 'Perguntas 1 a 24'!$J$28:$K$34, 2, 0)</f>
        <v>Nordeste</v>
      </c>
      <c r="E1081" s="87" t="str">
        <f>Tabela1[[#This Row],[Descrição]]&amp;"-"&amp;Tabela1[[#This Row],[Código]]&amp;"/"&amp;Tabela1[[#This Row],[Origem]]</f>
        <v>Taracecu-H311H213/MA</v>
      </c>
      <c r="F1081" s="88">
        <v>46108</v>
      </c>
      <c r="G1081" s="88" t="str" cm="1">
        <f t="array" ref="G10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AND(F1081&gt;= DATE(2026,1,1), F1081&lt;= DATE(2028, 12, 31), J1081&gt;50000), "Pendente e Caro", AND(F1081&gt;= DATE(2026,1,1), F1081&lt;= DATE(2028, 12, 31), J1081&lt;=50000), "Pendente", F1081&gt;= DATE(2029,1,1), "Não prioeitário")</f>
        <v>Pendente e Caro</v>
      </c>
      <c r="H1081" s="89">
        <f>YEAR(Tabela1[[#This Row],[Data de Validade]])</f>
        <v>2026</v>
      </c>
      <c r="I1081" s="89">
        <f>MONTH(Tabela1[[#This Row],[Data de Validade]])</f>
        <v>3</v>
      </c>
      <c r="J1081" s="101">
        <v>70299</v>
      </c>
      <c r="K1081" s="87" t="s">
        <v>9</v>
      </c>
      <c r="L1081" s="108"/>
      <c r="M1081" s="108"/>
      <c r="N1081" s="108" t="str">
        <v>H311H213</v>
      </c>
      <c r="O1081" s="108">
        <f t="shared" si="18"/>
        <v>1</v>
      </c>
      <c r="P1081" s="108"/>
      <c r="Q1081"/>
    </row>
    <row r="1082" spans="1:17" x14ac:dyDescent="0.25">
      <c r="A1082" s="89" t="s">
        <v>8442</v>
      </c>
      <c r="B1082" s="87" t="s">
        <v>8443</v>
      </c>
      <c r="C1082" s="87" t="s">
        <v>12</v>
      </c>
      <c r="D1082" s="87" t="str">
        <f>VLOOKUP(Tabela1[[#This Row],[Origem]], 'Perguntas 1 a 24'!$J$28:$K$34, 2, 0)</f>
        <v>Sudeste</v>
      </c>
      <c r="E1082" s="87" t="str">
        <f>Tabela1[[#This Row],[Descrição]]&amp;"-"&amp;Tabela1[[#This Row],[Código]]&amp;"/"&amp;Tabela1[[#This Row],[Origem]]</f>
        <v>Nepega-P456H172/RJ</v>
      </c>
      <c r="F1082" s="88">
        <v>46113</v>
      </c>
      <c r="G1082" s="88" t="str" cm="1">
        <f t="array" ref="G10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AND(F1082&gt;= DATE(2026,1,1), F1082&lt;= DATE(2028, 12, 31), J1082&gt;50000), "Pendente e Caro", AND(F1082&gt;= DATE(2026,1,1), F1082&lt;= DATE(2028, 12, 31), J1082&lt;=50000), "Pendente", F1082&gt;= DATE(2029,1,1), "Não prioeitário")</f>
        <v>Pendente e Caro</v>
      </c>
      <c r="H1082" s="89">
        <f>YEAR(Tabela1[[#This Row],[Data de Validade]])</f>
        <v>2026</v>
      </c>
      <c r="I1082" s="89">
        <f>MONTH(Tabela1[[#This Row],[Data de Validade]])</f>
        <v>4</v>
      </c>
      <c r="J1082" s="101">
        <v>99136</v>
      </c>
      <c r="K1082" s="87" t="s">
        <v>7</v>
      </c>
      <c r="L1082" s="108"/>
      <c r="M1082" s="108"/>
      <c r="N1082" s="108" t="str">
        <v>P456H172</v>
      </c>
      <c r="O1082" s="108">
        <f t="shared" si="18"/>
        <v>1</v>
      </c>
      <c r="P1082" s="108"/>
      <c r="Q1082"/>
    </row>
    <row r="1083" spans="1:17" x14ac:dyDescent="0.25">
      <c r="A1083" s="89" t="s">
        <v>4958</v>
      </c>
      <c r="B1083" s="87" t="s">
        <v>4959</v>
      </c>
      <c r="C1083" s="87" t="s">
        <v>6</v>
      </c>
      <c r="D1083" s="87" t="str">
        <f>VLOOKUP(Tabela1[[#This Row],[Origem]], 'Perguntas 1 a 24'!$J$28:$K$34, 2, 0)</f>
        <v>Nordeste</v>
      </c>
      <c r="E1083" s="87" t="str">
        <f>Tabela1[[#This Row],[Descrição]]&amp;"-"&amp;Tabela1[[#This Row],[Código]]&amp;"/"&amp;Tabela1[[#This Row],[Origem]]</f>
        <v>Tatupide-H272H339/MA</v>
      </c>
      <c r="F1083" s="88">
        <v>46113</v>
      </c>
      <c r="G1083" s="88" t="str" cm="1">
        <f t="array" ref="G10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AND(F1083&gt;= DATE(2026,1,1), F1083&lt;= DATE(2028, 12, 31), J1083&gt;50000), "Pendente e Caro", AND(F1083&gt;= DATE(2026,1,1), F1083&lt;= DATE(2028, 12, 31), J1083&lt;=50000), "Pendente", F1083&gt;= DATE(2029,1,1), "Não prioeitário")</f>
        <v>Pendente e Caro</v>
      </c>
      <c r="H1083" s="89">
        <f>YEAR(Tabela1[[#This Row],[Data de Validade]])</f>
        <v>2026</v>
      </c>
      <c r="I1083" s="89">
        <f>MONTH(Tabela1[[#This Row],[Data de Validade]])</f>
        <v>4</v>
      </c>
      <c r="J1083" s="101">
        <v>69179</v>
      </c>
      <c r="K1083" s="87" t="s">
        <v>9</v>
      </c>
      <c r="L1083" s="108"/>
      <c r="M1083" s="108"/>
      <c r="N1083" s="108" t="str">
        <v>H272H339</v>
      </c>
      <c r="O1083" s="108">
        <f t="shared" si="18"/>
        <v>1</v>
      </c>
      <c r="P1083" s="108"/>
      <c r="Q1083"/>
    </row>
    <row r="1084" spans="1:17" x14ac:dyDescent="0.25">
      <c r="A1084" s="89" t="s">
        <v>7950</v>
      </c>
      <c r="B1084" s="87" t="s">
        <v>7951</v>
      </c>
      <c r="C1084" s="87" t="s">
        <v>6</v>
      </c>
      <c r="D1084" s="87" t="str">
        <f>VLOOKUP(Tabela1[[#This Row],[Origem]], 'Perguntas 1 a 24'!$J$28:$K$34, 2, 0)</f>
        <v>Nordeste</v>
      </c>
      <c r="E1084" s="87" t="str">
        <f>Tabela1[[#This Row],[Descrição]]&amp;"-"&amp;Tabela1[[#This Row],[Código]]&amp;"/"&amp;Tabela1[[#This Row],[Origem]]</f>
        <v>Titufu-P334H795/MA</v>
      </c>
      <c r="F1084" s="88">
        <v>46113</v>
      </c>
      <c r="G1084" s="88" t="str" cm="1">
        <f t="array" ref="G10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AND(F1084&gt;= DATE(2026,1,1), F1084&lt;= DATE(2028, 12, 31), J1084&gt;50000), "Pendente e Caro", AND(F1084&gt;= DATE(2026,1,1), F1084&lt;= DATE(2028, 12, 31), J1084&lt;=50000), "Pendente", F1084&gt;= DATE(2029,1,1), "Não prioeitário")</f>
        <v>Pendente e Caro</v>
      </c>
      <c r="H1084" s="89">
        <f>YEAR(Tabela1[[#This Row],[Data de Validade]])</f>
        <v>2026</v>
      </c>
      <c r="I1084" s="89">
        <f>MONTH(Tabela1[[#This Row],[Data de Validade]])</f>
        <v>4</v>
      </c>
      <c r="J1084" s="101">
        <v>62881</v>
      </c>
      <c r="K1084" s="87" t="s">
        <v>9</v>
      </c>
      <c r="L1084" s="108"/>
      <c r="M1084" s="108"/>
      <c r="N1084" s="108" t="str">
        <v>P334H795</v>
      </c>
      <c r="O1084" s="108">
        <f t="shared" si="18"/>
        <v>1</v>
      </c>
      <c r="P1084" s="108"/>
      <c r="Q1084"/>
    </row>
    <row r="1085" spans="1:17" x14ac:dyDescent="0.25">
      <c r="A1085" s="89" t="s">
        <v>6590</v>
      </c>
      <c r="B1085" s="87" t="s">
        <v>6591</v>
      </c>
      <c r="C1085" s="87" t="s">
        <v>8</v>
      </c>
      <c r="D1085" s="87" t="str">
        <f>VLOOKUP(Tabela1[[#This Row],[Origem]], 'Perguntas 1 a 24'!$J$28:$K$34, 2, 0)</f>
        <v>Nordeste</v>
      </c>
      <c r="E1085" s="87" t="str">
        <f>Tabela1[[#This Row],[Descrição]]&amp;"-"&amp;Tabela1[[#This Row],[Código]]&amp;"/"&amp;Tabela1[[#This Row],[Origem]]</f>
        <v>Cidico-P623H564/AL</v>
      </c>
      <c r="F1085" s="88">
        <v>46114</v>
      </c>
      <c r="G1085" s="88" t="str" cm="1">
        <f t="array" ref="G10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AND(F1085&gt;= DATE(2026,1,1), F1085&lt;= DATE(2028, 12, 31), J1085&gt;50000), "Pendente e Caro", AND(F1085&gt;= DATE(2026,1,1), F1085&lt;= DATE(2028, 12, 31), J1085&lt;=50000), "Pendente", F1085&gt;= DATE(2029,1,1), "Não prioeitário")</f>
        <v>Pendente e Caro</v>
      </c>
      <c r="H1085" s="89">
        <f>YEAR(Tabela1[[#This Row],[Data de Validade]])</f>
        <v>2026</v>
      </c>
      <c r="I1085" s="89">
        <f>MONTH(Tabela1[[#This Row],[Data de Validade]])</f>
        <v>4</v>
      </c>
      <c r="J1085" s="101">
        <v>79066</v>
      </c>
      <c r="K1085" s="87" t="s">
        <v>9</v>
      </c>
      <c r="L1085" s="108"/>
      <c r="M1085" s="108"/>
      <c r="N1085" s="108" t="str">
        <v>P623H564</v>
      </c>
      <c r="O1085" s="108">
        <f t="shared" si="18"/>
        <v>1</v>
      </c>
      <c r="P1085" s="108"/>
      <c r="Q1085"/>
    </row>
    <row r="1086" spans="1:17" x14ac:dyDescent="0.25">
      <c r="A1086" s="89" t="s">
        <v>4002</v>
      </c>
      <c r="B1086" s="87" t="s">
        <v>4003</v>
      </c>
      <c r="C1086" s="87" t="s">
        <v>12</v>
      </c>
      <c r="D1086" s="87" t="str">
        <f>VLOOKUP(Tabela1[[#This Row],[Origem]], 'Perguntas 1 a 24'!$J$28:$K$34, 2, 0)</f>
        <v>Sudeste</v>
      </c>
      <c r="E1086" s="87" t="str">
        <f>Tabela1[[#This Row],[Descrição]]&amp;"-"&amp;Tabela1[[#This Row],[Código]]&amp;"/"&amp;Tabela1[[#This Row],[Origem]]</f>
        <v>Vegotapupe-H222P521/RJ</v>
      </c>
      <c r="F1086" s="88">
        <v>46115</v>
      </c>
      <c r="G1086" s="88" t="str" cm="1">
        <f t="array" ref="G10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AND(F1086&gt;= DATE(2026,1,1), F1086&lt;= DATE(2028, 12, 31), J1086&gt;50000), "Pendente e Caro", AND(F1086&gt;= DATE(2026,1,1), F1086&lt;= DATE(2028, 12, 31), J1086&lt;=50000), "Pendente", F1086&gt;= DATE(2029,1,1), "Não prioeitário")</f>
        <v>Pendente e Caro</v>
      </c>
      <c r="H1086" s="89">
        <f>YEAR(Tabela1[[#This Row],[Data de Validade]])</f>
        <v>2026</v>
      </c>
      <c r="I1086" s="89">
        <f>MONTH(Tabela1[[#This Row],[Data de Validade]])</f>
        <v>4</v>
      </c>
      <c r="J1086" s="101">
        <v>88238</v>
      </c>
      <c r="K1086" s="87" t="s">
        <v>14</v>
      </c>
      <c r="L1086" s="108"/>
      <c r="M1086" s="108"/>
      <c r="N1086" s="108" t="str">
        <v>H222P521</v>
      </c>
      <c r="O1086" s="108">
        <f t="shared" si="18"/>
        <v>1</v>
      </c>
      <c r="P1086" s="108"/>
      <c r="Q1086"/>
    </row>
    <row r="1087" spans="1:17" x14ac:dyDescent="0.25">
      <c r="A1087" s="89" t="s">
        <v>10385</v>
      </c>
      <c r="B1087" s="87" t="s">
        <v>10386</v>
      </c>
      <c r="C1087" s="87" t="s">
        <v>10</v>
      </c>
      <c r="D1087" s="87" t="str">
        <f>VLOOKUP(Tabela1[[#This Row],[Origem]], 'Perguntas 1 a 24'!$J$28:$K$34, 2, 0)</f>
        <v>Centro-Oeste</v>
      </c>
      <c r="E1087" s="87" t="str">
        <f>Tabela1[[#This Row],[Descrição]]&amp;"-"&amp;Tabela1[[#This Row],[Código]]&amp;"/"&amp;Tabela1[[#This Row],[Origem]]</f>
        <v>Rocani-H251P532/GO</v>
      </c>
      <c r="F1087" s="88">
        <v>46115</v>
      </c>
      <c r="G1087" s="88" t="str" cm="1">
        <f t="array" ref="G10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AND(F1087&gt;= DATE(2026,1,1), F1087&lt;= DATE(2028, 12, 31), J1087&gt;50000), "Pendente e Caro", AND(F1087&gt;= DATE(2026,1,1), F1087&lt;= DATE(2028, 12, 31), J1087&lt;=50000), "Pendente", F1087&gt;= DATE(2029,1,1), "Não prioeitário")</f>
        <v>Pendente e Caro</v>
      </c>
      <c r="H1087" s="89">
        <f>YEAR(Tabela1[[#This Row],[Data de Validade]])</f>
        <v>2026</v>
      </c>
      <c r="I1087" s="89">
        <f>MONTH(Tabela1[[#This Row],[Data de Validade]])</f>
        <v>4</v>
      </c>
      <c r="J1087" s="101">
        <v>74793</v>
      </c>
      <c r="K1087" s="87" t="s">
        <v>9</v>
      </c>
      <c r="L1087" s="108"/>
      <c r="M1087" s="108"/>
      <c r="N1087" s="108" t="str">
        <v>H251P532</v>
      </c>
      <c r="O1087" s="108">
        <f t="shared" si="18"/>
        <v>1</v>
      </c>
      <c r="P1087" s="108"/>
      <c r="Q1087"/>
    </row>
    <row r="1088" spans="1:17" x14ac:dyDescent="0.25">
      <c r="A1088" s="89" t="s">
        <v>5920</v>
      </c>
      <c r="B1088" s="87" t="s">
        <v>5921</v>
      </c>
      <c r="C1088" s="87" t="s">
        <v>16</v>
      </c>
      <c r="D1088" s="87" t="str">
        <f>VLOOKUP(Tabela1[[#This Row],[Origem]], 'Perguntas 1 a 24'!$J$28:$K$34, 2, 0)</f>
        <v>Sudeste</v>
      </c>
      <c r="E1088" s="87" t="str">
        <f>Tabela1[[#This Row],[Descrição]]&amp;"-"&amp;Tabela1[[#This Row],[Código]]&amp;"/"&amp;Tabela1[[#This Row],[Origem]]</f>
        <v>Ravanenora-P571H921/MG</v>
      </c>
      <c r="F1088" s="88">
        <v>46115</v>
      </c>
      <c r="G1088" s="88" t="str" cm="1">
        <f t="array" ref="G10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AND(F1088&gt;= DATE(2026,1,1), F1088&lt;= DATE(2028, 12, 31), J1088&gt;50000), "Pendente e Caro", AND(F1088&gt;= DATE(2026,1,1), F1088&lt;= DATE(2028, 12, 31), J1088&lt;=50000), "Pendente", F1088&gt;= DATE(2029,1,1), "Não prioeitário")</f>
        <v>Pendente e Caro</v>
      </c>
      <c r="H1088" s="89">
        <f>YEAR(Tabela1[[#This Row],[Data de Validade]])</f>
        <v>2026</v>
      </c>
      <c r="I1088" s="89">
        <f>MONTH(Tabela1[[#This Row],[Data de Validade]])</f>
        <v>4</v>
      </c>
      <c r="J1088" s="101">
        <v>57311</v>
      </c>
      <c r="K1088" s="87" t="s">
        <v>14</v>
      </c>
      <c r="L1088" s="108"/>
      <c r="M1088" s="108"/>
      <c r="N1088" s="108" t="str">
        <v>P571H921</v>
      </c>
      <c r="O1088" s="108">
        <f t="shared" si="18"/>
        <v>1</v>
      </c>
      <c r="P1088" s="108"/>
      <c r="Q1088"/>
    </row>
    <row r="1089" spans="1:17" x14ac:dyDescent="0.25">
      <c r="A1089" s="89" t="s">
        <v>5320</v>
      </c>
      <c r="B1089" s="87" t="s">
        <v>5321</v>
      </c>
      <c r="C1089" s="87" t="s">
        <v>13</v>
      </c>
      <c r="D1089" s="87" t="str">
        <f>VLOOKUP(Tabela1[[#This Row],[Origem]], 'Perguntas 1 a 24'!$J$28:$K$34, 2, 0)</f>
        <v>Sudeste</v>
      </c>
      <c r="E1089" s="87" t="str">
        <f>Tabela1[[#This Row],[Descrição]]&amp;"-"&amp;Tabela1[[#This Row],[Código]]&amp;"/"&amp;Tabela1[[#This Row],[Origem]]</f>
        <v>Nupucu-P654H368/SP</v>
      </c>
      <c r="F1089" s="88">
        <v>46115</v>
      </c>
      <c r="G1089" s="88" t="str" cm="1">
        <f t="array" ref="G10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AND(F1089&gt;= DATE(2026,1,1), F1089&lt;= DATE(2028, 12, 31), J1089&gt;50000), "Pendente e Caro", AND(F1089&gt;= DATE(2026,1,1), F1089&lt;= DATE(2028, 12, 31), J1089&lt;=50000), "Pendente", F1089&gt;= DATE(2029,1,1), "Não prioeitário")</f>
        <v>Pendente</v>
      </c>
      <c r="H1089" s="89">
        <f>YEAR(Tabela1[[#This Row],[Data de Validade]])</f>
        <v>2026</v>
      </c>
      <c r="I1089" s="89">
        <f>MONTH(Tabela1[[#This Row],[Data de Validade]])</f>
        <v>4</v>
      </c>
      <c r="J1089" s="101">
        <v>27585</v>
      </c>
      <c r="K1089" s="87" t="s">
        <v>7</v>
      </c>
      <c r="L1089" s="108"/>
      <c r="M1089" s="108"/>
      <c r="N1089" s="108" t="str">
        <v>P654H368</v>
      </c>
      <c r="O1089" s="108">
        <f t="shared" si="18"/>
        <v>1</v>
      </c>
      <c r="P1089" s="108"/>
      <c r="Q1089"/>
    </row>
    <row r="1090" spans="1:17" x14ac:dyDescent="0.25">
      <c r="A1090" s="89" t="s">
        <v>6334</v>
      </c>
      <c r="B1090" s="87" t="s">
        <v>6335</v>
      </c>
      <c r="C1090" s="87" t="s">
        <v>15</v>
      </c>
      <c r="D1090" s="87" t="str">
        <f>VLOOKUP(Tabela1[[#This Row],[Origem]], 'Perguntas 1 a 24'!$J$28:$K$34, 2, 0)</f>
        <v>Sudeste</v>
      </c>
      <c r="E1090" s="87" t="str">
        <f>Tabela1[[#This Row],[Descrição]]&amp;"-"&amp;Tabela1[[#This Row],[Código]]&amp;"/"&amp;Tabela1[[#This Row],[Origem]]</f>
        <v>Tipolule-P722P683/ES</v>
      </c>
      <c r="F1090" s="88">
        <v>46117</v>
      </c>
      <c r="G1090" s="88" t="str" cm="1">
        <f t="array" ref="G10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AND(F1090&gt;= DATE(2026,1,1), F1090&lt;= DATE(2028, 12, 31), J1090&gt;50000), "Pendente e Caro", AND(F1090&gt;= DATE(2026,1,1), F1090&lt;= DATE(2028, 12, 31), J1090&lt;=50000), "Pendente", F1090&gt;= DATE(2029,1,1), "Não prioeitário")</f>
        <v>Pendente e Caro</v>
      </c>
      <c r="H1090" s="89">
        <f>YEAR(Tabela1[[#This Row],[Data de Validade]])</f>
        <v>2026</v>
      </c>
      <c r="I1090" s="89">
        <f>MONTH(Tabela1[[#This Row],[Data de Validade]])</f>
        <v>4</v>
      </c>
      <c r="J1090" s="101">
        <v>68251</v>
      </c>
      <c r="K1090" s="87" t="s">
        <v>11</v>
      </c>
      <c r="L1090" s="108"/>
      <c r="M1090" s="108"/>
      <c r="N1090" s="108" t="str">
        <v>P722P683</v>
      </c>
      <c r="O1090" s="108">
        <f t="shared" si="18"/>
        <v>1</v>
      </c>
      <c r="P1090" s="108"/>
      <c r="Q1090"/>
    </row>
    <row r="1091" spans="1:17" x14ac:dyDescent="0.25">
      <c r="A1091" s="89" t="s">
        <v>10271</v>
      </c>
      <c r="B1091" s="87" t="s">
        <v>10272</v>
      </c>
      <c r="C1091" s="87" t="s">
        <v>10</v>
      </c>
      <c r="D1091" s="87" t="str">
        <f>VLOOKUP(Tabela1[[#This Row],[Origem]], 'Perguntas 1 a 24'!$J$28:$K$34, 2, 0)</f>
        <v>Centro-Oeste</v>
      </c>
      <c r="E1091" s="87" t="str">
        <f>Tabela1[[#This Row],[Descrição]]&amp;"-"&amp;Tabela1[[#This Row],[Código]]&amp;"/"&amp;Tabela1[[#This Row],[Origem]]</f>
        <v>Lopito-P516H412/GO</v>
      </c>
      <c r="F1091" s="88">
        <v>46117</v>
      </c>
      <c r="G1091" s="88" t="str" cm="1">
        <f t="array" ref="G10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AND(F1091&gt;= DATE(2026,1,1), F1091&lt;= DATE(2028, 12, 31), J1091&gt;50000), "Pendente e Caro", AND(F1091&gt;= DATE(2026,1,1), F1091&lt;= DATE(2028, 12, 31), J1091&lt;=50000), "Pendente", F1091&gt;= DATE(2029,1,1), "Não prioeitário")</f>
        <v>Pendente</v>
      </c>
      <c r="H1091" s="89">
        <f>YEAR(Tabela1[[#This Row],[Data de Validade]])</f>
        <v>2026</v>
      </c>
      <c r="I1091" s="89">
        <f>MONTH(Tabela1[[#This Row],[Data de Validade]])</f>
        <v>4</v>
      </c>
      <c r="J1091" s="101">
        <v>22085</v>
      </c>
      <c r="K1091" s="87" t="s">
        <v>14</v>
      </c>
      <c r="L1091" s="108"/>
      <c r="M1091" s="108"/>
      <c r="N1091" s="108" t="str">
        <v>P516H412</v>
      </c>
      <c r="O1091" s="108">
        <f t="shared" ref="O1091:O1154" si="19">COUNTIFS(B:B,N1091)</f>
        <v>1</v>
      </c>
      <c r="P1091" s="108"/>
      <c r="Q1091"/>
    </row>
    <row r="1092" spans="1:17" x14ac:dyDescent="0.25">
      <c r="A1092" s="89" t="s">
        <v>9403</v>
      </c>
      <c r="B1092" s="87" t="s">
        <v>9404</v>
      </c>
      <c r="C1092" s="87" t="s">
        <v>16</v>
      </c>
      <c r="D1092" s="87" t="str">
        <f>VLOOKUP(Tabela1[[#This Row],[Origem]], 'Perguntas 1 a 24'!$J$28:$K$34, 2, 0)</f>
        <v>Sudeste</v>
      </c>
      <c r="E1092" s="87" t="str">
        <f>Tabela1[[#This Row],[Descrição]]&amp;"-"&amp;Tabela1[[#This Row],[Código]]&amp;"/"&amp;Tabela1[[#This Row],[Origem]]</f>
        <v>Rufevororu-P459P953/MG</v>
      </c>
      <c r="F1092" s="88">
        <v>46118</v>
      </c>
      <c r="G1092" s="88" t="str" cm="1">
        <f t="array" ref="G10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AND(F1092&gt;= DATE(2026,1,1), F1092&lt;= DATE(2028, 12, 31), J1092&gt;50000), "Pendente e Caro", AND(F1092&gt;= DATE(2026,1,1), F1092&lt;= DATE(2028, 12, 31), J1092&lt;=50000), "Pendente", F1092&gt;= DATE(2029,1,1), "Não prioeitário")</f>
        <v>Pendente e Caro</v>
      </c>
      <c r="H1092" s="89">
        <f>YEAR(Tabela1[[#This Row],[Data de Validade]])</f>
        <v>2026</v>
      </c>
      <c r="I1092" s="89">
        <f>MONTH(Tabela1[[#This Row],[Data de Validade]])</f>
        <v>4</v>
      </c>
      <c r="J1092" s="101">
        <v>117480</v>
      </c>
      <c r="K1092" s="87" t="s">
        <v>7</v>
      </c>
      <c r="L1092" s="108"/>
      <c r="M1092" s="108"/>
      <c r="N1092" s="108" t="str">
        <v>P459P953</v>
      </c>
      <c r="O1092" s="108">
        <f t="shared" si="19"/>
        <v>1</v>
      </c>
      <c r="P1092" s="108"/>
      <c r="Q1092"/>
    </row>
    <row r="1093" spans="1:17" x14ac:dyDescent="0.25">
      <c r="A1093" s="89" t="s">
        <v>4060</v>
      </c>
      <c r="B1093" s="87" t="s">
        <v>4061</v>
      </c>
      <c r="C1093" s="87" t="s">
        <v>12</v>
      </c>
      <c r="D1093" s="87" t="str">
        <f>VLOOKUP(Tabela1[[#This Row],[Origem]], 'Perguntas 1 a 24'!$J$28:$K$34, 2, 0)</f>
        <v>Sudeste</v>
      </c>
      <c r="E1093" s="87" t="str">
        <f>Tabela1[[#This Row],[Descrição]]&amp;"-"&amp;Tabela1[[#This Row],[Código]]&amp;"/"&amp;Tabela1[[#This Row],[Origem]]</f>
        <v>Rirepi-P732P211/RJ</v>
      </c>
      <c r="F1093" s="88">
        <v>46118</v>
      </c>
      <c r="G1093" s="88" t="str" cm="1">
        <f t="array" ref="G10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AND(F1093&gt;= DATE(2026,1,1), F1093&lt;= DATE(2028, 12, 31), J1093&gt;50000), "Pendente e Caro", AND(F1093&gt;= DATE(2026,1,1), F1093&lt;= DATE(2028, 12, 31), J1093&lt;=50000), "Pendente", F1093&gt;= DATE(2029,1,1), "Não prioeitário")</f>
        <v>Pendente e Caro</v>
      </c>
      <c r="H1093" s="89">
        <f>YEAR(Tabela1[[#This Row],[Data de Validade]])</f>
        <v>2026</v>
      </c>
      <c r="I1093" s="89">
        <f>MONTH(Tabela1[[#This Row],[Data de Validade]])</f>
        <v>4</v>
      </c>
      <c r="J1093" s="101">
        <v>96097</v>
      </c>
      <c r="K1093" s="87" t="s">
        <v>11</v>
      </c>
      <c r="L1093" s="108"/>
      <c r="M1093" s="108"/>
      <c r="N1093" s="108" t="str">
        <v>P732P211</v>
      </c>
      <c r="O1093" s="108">
        <f t="shared" si="19"/>
        <v>1</v>
      </c>
      <c r="P1093" s="108"/>
      <c r="Q1093"/>
    </row>
    <row r="1094" spans="1:17" x14ac:dyDescent="0.25">
      <c r="A1094" s="89" t="s">
        <v>5312</v>
      </c>
      <c r="B1094" s="87" t="s">
        <v>5313</v>
      </c>
      <c r="C1094" s="87" t="s">
        <v>10</v>
      </c>
      <c r="D1094" s="87" t="str">
        <f>VLOOKUP(Tabela1[[#This Row],[Origem]], 'Perguntas 1 a 24'!$J$28:$K$34, 2, 0)</f>
        <v>Centro-Oeste</v>
      </c>
      <c r="E1094" s="87" t="str">
        <f>Tabela1[[#This Row],[Descrição]]&amp;"-"&amp;Tabela1[[#This Row],[Código]]&amp;"/"&amp;Tabela1[[#This Row],[Origem]]</f>
        <v>Fecuvu-P818H941/GO</v>
      </c>
      <c r="F1094" s="88">
        <v>46118</v>
      </c>
      <c r="G1094" s="88" t="str" cm="1">
        <f t="array" ref="G10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AND(F1094&gt;= DATE(2026,1,1), F1094&lt;= DATE(2028, 12, 31), J1094&gt;50000), "Pendente e Caro", AND(F1094&gt;= DATE(2026,1,1), F1094&lt;= DATE(2028, 12, 31), J1094&lt;=50000), "Pendente", F1094&gt;= DATE(2029,1,1), "Não prioeitário")</f>
        <v>Pendente e Caro</v>
      </c>
      <c r="H1094" s="89">
        <f>YEAR(Tabela1[[#This Row],[Data de Validade]])</f>
        <v>2026</v>
      </c>
      <c r="I1094" s="89">
        <f>MONTH(Tabela1[[#This Row],[Data de Validade]])</f>
        <v>4</v>
      </c>
      <c r="J1094" s="101">
        <v>92407</v>
      </c>
      <c r="K1094" s="87" t="s">
        <v>9</v>
      </c>
      <c r="L1094" s="108"/>
      <c r="M1094" s="108"/>
      <c r="N1094" s="108" t="str">
        <v>P818H941</v>
      </c>
      <c r="O1094" s="108">
        <f t="shared" si="19"/>
        <v>1</v>
      </c>
      <c r="P1094" s="108"/>
      <c r="Q1094"/>
    </row>
    <row r="1095" spans="1:17" x14ac:dyDescent="0.25">
      <c r="A1095" s="89" t="s">
        <v>5244</v>
      </c>
      <c r="B1095" s="87" t="s">
        <v>5245</v>
      </c>
      <c r="C1095" s="87" t="s">
        <v>8</v>
      </c>
      <c r="D1095" s="87" t="str">
        <f>VLOOKUP(Tabela1[[#This Row],[Origem]], 'Perguntas 1 a 24'!$J$28:$K$34, 2, 0)</f>
        <v>Nordeste</v>
      </c>
      <c r="E1095" s="87" t="str">
        <f>Tabela1[[#This Row],[Descrição]]&amp;"-"&amp;Tabela1[[#This Row],[Código]]&amp;"/"&amp;Tabela1[[#This Row],[Origem]]</f>
        <v>Potulopu-P888P791/AL</v>
      </c>
      <c r="F1095" s="88">
        <v>46119</v>
      </c>
      <c r="G1095" s="88" t="str" cm="1">
        <f t="array" ref="G10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AND(F1095&gt;= DATE(2026,1,1), F1095&lt;= DATE(2028, 12, 31), J1095&gt;50000), "Pendente e Caro", AND(F1095&gt;= DATE(2026,1,1), F1095&lt;= DATE(2028, 12, 31), J1095&lt;=50000), "Pendente", F1095&gt;= DATE(2029,1,1), "Não prioeitário")</f>
        <v>Pendente e Caro</v>
      </c>
      <c r="H1095" s="89">
        <f>YEAR(Tabela1[[#This Row],[Data de Validade]])</f>
        <v>2026</v>
      </c>
      <c r="I1095" s="89">
        <f>MONTH(Tabela1[[#This Row],[Data de Validade]])</f>
        <v>4</v>
      </c>
      <c r="J1095" s="101">
        <v>58677</v>
      </c>
      <c r="K1095" s="87" t="s">
        <v>14</v>
      </c>
      <c r="L1095" s="108"/>
      <c r="M1095" s="108"/>
      <c r="N1095" s="108" t="str">
        <v>P888P791</v>
      </c>
      <c r="O1095" s="108">
        <f t="shared" si="19"/>
        <v>1</v>
      </c>
      <c r="P1095" s="108"/>
      <c r="Q1095"/>
    </row>
    <row r="1096" spans="1:17" x14ac:dyDescent="0.25">
      <c r="A1096" s="89" t="s">
        <v>3744</v>
      </c>
      <c r="B1096" s="87" t="s">
        <v>3745</v>
      </c>
      <c r="C1096" s="87" t="s">
        <v>6</v>
      </c>
      <c r="D1096" s="87" t="str">
        <f>VLOOKUP(Tabela1[[#This Row],[Origem]], 'Perguntas 1 a 24'!$J$28:$K$34, 2, 0)</f>
        <v>Nordeste</v>
      </c>
      <c r="E1096" s="87" t="str">
        <f>Tabela1[[#This Row],[Descrição]]&amp;"-"&amp;Tabela1[[#This Row],[Código]]&amp;"/"&amp;Tabela1[[#This Row],[Origem]]</f>
        <v>Todudepafa-H473H937/MA</v>
      </c>
      <c r="F1096" s="88">
        <v>46120</v>
      </c>
      <c r="G1096" s="88" t="str" cm="1">
        <f t="array" ref="G10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AND(F1096&gt;= DATE(2026,1,1), F1096&lt;= DATE(2028, 12, 31), J1096&gt;50000), "Pendente e Caro", AND(F1096&gt;= DATE(2026,1,1), F1096&lt;= DATE(2028, 12, 31), J1096&lt;=50000), "Pendente", F1096&gt;= DATE(2029,1,1), "Não prioeitário")</f>
        <v>Pendente e Caro</v>
      </c>
      <c r="H1096" s="89">
        <f>YEAR(Tabela1[[#This Row],[Data de Validade]])</f>
        <v>2026</v>
      </c>
      <c r="I1096" s="89">
        <f>MONTH(Tabela1[[#This Row],[Data de Validade]])</f>
        <v>4</v>
      </c>
      <c r="J1096" s="101">
        <v>76143</v>
      </c>
      <c r="K1096" s="87" t="s">
        <v>9</v>
      </c>
      <c r="L1096" s="108"/>
      <c r="M1096" s="108"/>
      <c r="N1096" s="108" t="str">
        <v>H473H937</v>
      </c>
      <c r="O1096" s="108">
        <f t="shared" si="19"/>
        <v>1</v>
      </c>
      <c r="P1096" s="108"/>
      <c r="Q1096"/>
    </row>
    <row r="1097" spans="1:17" x14ac:dyDescent="0.25">
      <c r="A1097" s="89" t="s">
        <v>5674</v>
      </c>
      <c r="B1097" s="87" t="s">
        <v>5675</v>
      </c>
      <c r="C1097" s="87" t="s">
        <v>6</v>
      </c>
      <c r="D1097" s="87" t="str">
        <f>VLOOKUP(Tabela1[[#This Row],[Origem]], 'Perguntas 1 a 24'!$J$28:$K$34, 2, 0)</f>
        <v>Nordeste</v>
      </c>
      <c r="E1097" s="87" t="str">
        <f>Tabela1[[#This Row],[Descrição]]&amp;"-"&amp;Tabela1[[#This Row],[Código]]&amp;"/"&amp;Tabela1[[#This Row],[Origem]]</f>
        <v>Refema-P175P643/MA</v>
      </c>
      <c r="F1097" s="88">
        <v>46121</v>
      </c>
      <c r="G1097" s="88" t="str" cm="1">
        <f t="array" ref="G10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AND(F1097&gt;= DATE(2026,1,1), F1097&lt;= DATE(2028, 12, 31), J1097&gt;50000), "Pendente e Caro", AND(F1097&gt;= DATE(2026,1,1), F1097&lt;= DATE(2028, 12, 31), J1097&lt;=50000), "Pendente", F1097&gt;= DATE(2029,1,1), "Não prioeitário")</f>
        <v>Pendente e Caro</v>
      </c>
      <c r="H1097" s="89">
        <f>YEAR(Tabela1[[#This Row],[Data de Validade]])</f>
        <v>2026</v>
      </c>
      <c r="I1097" s="89">
        <f>MONTH(Tabela1[[#This Row],[Data de Validade]])</f>
        <v>4</v>
      </c>
      <c r="J1097" s="101">
        <v>108390</v>
      </c>
      <c r="K1097" s="87" t="s">
        <v>14</v>
      </c>
      <c r="L1097" s="108"/>
      <c r="M1097" s="108"/>
      <c r="N1097" s="108" t="str">
        <v>P175P643</v>
      </c>
      <c r="O1097" s="108">
        <f t="shared" si="19"/>
        <v>1</v>
      </c>
      <c r="P1097" s="108"/>
      <c r="Q1097"/>
    </row>
    <row r="1098" spans="1:17" x14ac:dyDescent="0.25">
      <c r="A1098" s="89" t="s">
        <v>10955</v>
      </c>
      <c r="B1098" s="87" t="s">
        <v>10956</v>
      </c>
      <c r="C1098" s="87" t="s">
        <v>6</v>
      </c>
      <c r="D1098" s="87" t="str">
        <f>VLOOKUP(Tabela1[[#This Row],[Origem]], 'Perguntas 1 a 24'!$J$28:$K$34, 2, 0)</f>
        <v>Nordeste</v>
      </c>
      <c r="E1098" s="87" t="str">
        <f>Tabela1[[#This Row],[Descrição]]&amp;"-"&amp;Tabela1[[#This Row],[Código]]&amp;"/"&amp;Tabela1[[#This Row],[Origem]]</f>
        <v>Radulilo-P112H492/MA</v>
      </c>
      <c r="F1098" s="88">
        <v>46121</v>
      </c>
      <c r="G1098" s="88" t="str" cm="1">
        <f t="array" ref="G10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AND(F1098&gt;= DATE(2026,1,1), F1098&lt;= DATE(2028, 12, 31), J1098&gt;50000), "Pendente e Caro", AND(F1098&gt;= DATE(2026,1,1), F1098&lt;= DATE(2028, 12, 31), J1098&lt;=50000), "Pendente", F1098&gt;= DATE(2029,1,1), "Não prioeitário")</f>
        <v>Pendente</v>
      </c>
      <c r="H1098" s="89">
        <f>YEAR(Tabela1[[#This Row],[Data de Validade]])</f>
        <v>2026</v>
      </c>
      <c r="I1098" s="89">
        <f>MONTH(Tabela1[[#This Row],[Data de Validade]])</f>
        <v>4</v>
      </c>
      <c r="J1098" s="101">
        <v>20794</v>
      </c>
      <c r="K1098" s="87" t="s">
        <v>11</v>
      </c>
      <c r="L1098" s="108"/>
      <c r="M1098" s="108"/>
      <c r="N1098" s="108" t="str">
        <v>P112H492</v>
      </c>
      <c r="O1098" s="108">
        <f t="shared" si="19"/>
        <v>1</v>
      </c>
      <c r="P1098" s="108"/>
      <c r="Q1098"/>
    </row>
    <row r="1099" spans="1:17" x14ac:dyDescent="0.25">
      <c r="A1099" s="89" t="s">
        <v>4146</v>
      </c>
      <c r="B1099" s="87" t="s">
        <v>4147</v>
      </c>
      <c r="C1099" s="87" t="s">
        <v>16</v>
      </c>
      <c r="D1099" s="87" t="str">
        <f>VLOOKUP(Tabela1[[#This Row],[Origem]], 'Perguntas 1 a 24'!$J$28:$K$34, 2, 0)</f>
        <v>Sudeste</v>
      </c>
      <c r="E1099" s="87" t="str">
        <f>Tabela1[[#This Row],[Descrição]]&amp;"-"&amp;Tabela1[[#This Row],[Código]]&amp;"/"&amp;Tabela1[[#This Row],[Origem]]</f>
        <v>Cevoto-H353P431/MG</v>
      </c>
      <c r="F1099" s="88">
        <v>46123</v>
      </c>
      <c r="G1099" s="88" t="str" cm="1">
        <f t="array" ref="G10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AND(F1099&gt;= DATE(2026,1,1), F1099&lt;= DATE(2028, 12, 31), J1099&gt;50000), "Pendente e Caro", AND(F1099&gt;= DATE(2026,1,1), F1099&lt;= DATE(2028, 12, 31), J1099&lt;=50000), "Pendente", F1099&gt;= DATE(2029,1,1), "Não prioeitário")</f>
        <v>Pendente e Caro</v>
      </c>
      <c r="H1099" s="89">
        <f>YEAR(Tabela1[[#This Row],[Data de Validade]])</f>
        <v>2026</v>
      </c>
      <c r="I1099" s="89">
        <f>MONTH(Tabela1[[#This Row],[Data de Validade]])</f>
        <v>4</v>
      </c>
      <c r="J1099" s="101">
        <v>96378</v>
      </c>
      <c r="K1099" s="87" t="s">
        <v>7</v>
      </c>
      <c r="L1099" s="108"/>
      <c r="M1099" s="108"/>
      <c r="N1099" s="108" t="str">
        <v>H353P431</v>
      </c>
      <c r="O1099" s="108">
        <f t="shared" si="19"/>
        <v>1</v>
      </c>
      <c r="P1099" s="108"/>
      <c r="Q1099"/>
    </row>
    <row r="1100" spans="1:17" x14ac:dyDescent="0.25">
      <c r="A1100" s="89" t="s">
        <v>5848</v>
      </c>
      <c r="B1100" s="87" t="s">
        <v>5849</v>
      </c>
      <c r="C1100" s="87" t="s">
        <v>13</v>
      </c>
      <c r="D1100" s="87" t="str">
        <f>VLOOKUP(Tabela1[[#This Row],[Origem]], 'Perguntas 1 a 24'!$J$28:$K$34, 2, 0)</f>
        <v>Sudeste</v>
      </c>
      <c r="E1100" s="87" t="str">
        <f>Tabela1[[#This Row],[Descrição]]&amp;"-"&amp;Tabela1[[#This Row],[Código]]&amp;"/"&amp;Tabela1[[#This Row],[Origem]]</f>
        <v>Calovonete-H672H151/SP</v>
      </c>
      <c r="F1100" s="88">
        <v>46123</v>
      </c>
      <c r="G1100" s="88" t="str" cm="1">
        <f t="array" ref="G11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AND(F1100&gt;= DATE(2026,1,1), F1100&lt;= DATE(2028, 12, 31), J1100&gt;50000), "Pendente e Caro", AND(F1100&gt;= DATE(2026,1,1), F1100&lt;= DATE(2028, 12, 31), J1100&lt;=50000), "Pendente", F1100&gt;= DATE(2029,1,1), "Não prioeitário")</f>
        <v>Pendente e Caro</v>
      </c>
      <c r="H1100" s="89">
        <f>YEAR(Tabela1[[#This Row],[Data de Validade]])</f>
        <v>2026</v>
      </c>
      <c r="I1100" s="89">
        <f>MONTH(Tabela1[[#This Row],[Data de Validade]])</f>
        <v>4</v>
      </c>
      <c r="J1100" s="101">
        <v>70154</v>
      </c>
      <c r="K1100" s="87" t="s">
        <v>7</v>
      </c>
      <c r="L1100" s="108"/>
      <c r="M1100" s="108"/>
      <c r="N1100" s="108" t="str">
        <v>H672H151</v>
      </c>
      <c r="O1100" s="108">
        <f t="shared" si="19"/>
        <v>1</v>
      </c>
      <c r="P1100" s="108"/>
      <c r="Q1100"/>
    </row>
    <row r="1101" spans="1:17" x14ac:dyDescent="0.25">
      <c r="A1101" s="89" t="s">
        <v>4401</v>
      </c>
      <c r="B1101" s="87" t="s">
        <v>4402</v>
      </c>
      <c r="C1101" s="87" t="s">
        <v>10</v>
      </c>
      <c r="D1101" s="87" t="str">
        <f>VLOOKUP(Tabela1[[#This Row],[Origem]], 'Perguntas 1 a 24'!$J$28:$K$34, 2, 0)</f>
        <v>Centro-Oeste</v>
      </c>
      <c r="E1101" s="87" t="str">
        <f>Tabela1[[#This Row],[Descrição]]&amp;"-"&amp;Tabela1[[#This Row],[Código]]&amp;"/"&amp;Tabela1[[#This Row],[Origem]]</f>
        <v>Nupada-P298P548/GO</v>
      </c>
      <c r="F1101" s="88">
        <v>46124</v>
      </c>
      <c r="G1101" s="88" t="str" cm="1">
        <f t="array" ref="G11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AND(F1101&gt;= DATE(2026,1,1), F1101&lt;= DATE(2028, 12, 31), J1101&gt;50000), "Pendente e Caro", AND(F1101&gt;= DATE(2026,1,1), F1101&lt;= DATE(2028, 12, 31), J1101&lt;=50000), "Pendente", F1101&gt;= DATE(2029,1,1), "Não prioeitário")</f>
        <v>Pendente e Caro</v>
      </c>
      <c r="H1101" s="89">
        <f>YEAR(Tabela1[[#This Row],[Data de Validade]])</f>
        <v>2026</v>
      </c>
      <c r="I1101" s="89">
        <f>MONTH(Tabela1[[#This Row],[Data de Validade]])</f>
        <v>4</v>
      </c>
      <c r="J1101" s="101">
        <v>101306</v>
      </c>
      <c r="K1101" s="87" t="s">
        <v>14</v>
      </c>
      <c r="L1101" s="108"/>
      <c r="M1101" s="108"/>
      <c r="N1101" s="108" t="str">
        <v>P298P548</v>
      </c>
      <c r="O1101" s="108">
        <f t="shared" si="19"/>
        <v>1</v>
      </c>
      <c r="P1101" s="108"/>
      <c r="Q1101"/>
    </row>
    <row r="1102" spans="1:17" x14ac:dyDescent="0.25">
      <c r="A1102" s="89" t="s">
        <v>5430</v>
      </c>
      <c r="B1102" s="87" t="s">
        <v>5431</v>
      </c>
      <c r="C1102" s="87" t="s">
        <v>6</v>
      </c>
      <c r="D1102" s="87" t="str">
        <f>VLOOKUP(Tabela1[[#This Row],[Origem]], 'Perguntas 1 a 24'!$J$28:$K$34, 2, 0)</f>
        <v>Nordeste</v>
      </c>
      <c r="E1102" s="87" t="str">
        <f>Tabela1[[#This Row],[Descrição]]&amp;"-"&amp;Tabela1[[#This Row],[Código]]&amp;"/"&amp;Tabela1[[#This Row],[Origem]]</f>
        <v>Canura-H591H639/MA</v>
      </c>
      <c r="F1102" s="88">
        <v>46124</v>
      </c>
      <c r="G1102" s="88" t="str" cm="1">
        <f t="array" ref="G11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AND(F1102&gt;= DATE(2026,1,1), F1102&lt;= DATE(2028, 12, 31), J1102&gt;50000), "Pendente e Caro", AND(F1102&gt;= DATE(2026,1,1), F1102&lt;= DATE(2028, 12, 31), J1102&lt;=50000), "Pendente", F1102&gt;= DATE(2029,1,1), "Não prioeitário")</f>
        <v>Pendente</v>
      </c>
      <c r="H1102" s="89">
        <f>YEAR(Tabela1[[#This Row],[Data de Validade]])</f>
        <v>2026</v>
      </c>
      <c r="I1102" s="89">
        <f>MONTH(Tabela1[[#This Row],[Data de Validade]])</f>
        <v>4</v>
      </c>
      <c r="J1102" s="101">
        <v>33682</v>
      </c>
      <c r="K1102" s="87" t="s">
        <v>11</v>
      </c>
      <c r="L1102" s="108"/>
      <c r="M1102" s="108"/>
      <c r="N1102" s="108" t="str">
        <v>H591H639</v>
      </c>
      <c r="O1102" s="108">
        <f t="shared" si="19"/>
        <v>1</v>
      </c>
      <c r="P1102" s="108"/>
      <c r="Q1102"/>
    </row>
    <row r="1103" spans="1:17" x14ac:dyDescent="0.25">
      <c r="A1103" s="89" t="s">
        <v>5428</v>
      </c>
      <c r="B1103" s="87" t="s">
        <v>5429</v>
      </c>
      <c r="C1103" s="87" t="s">
        <v>6</v>
      </c>
      <c r="D1103" s="87" t="str">
        <f>VLOOKUP(Tabela1[[#This Row],[Origem]], 'Perguntas 1 a 24'!$J$28:$K$34, 2, 0)</f>
        <v>Nordeste</v>
      </c>
      <c r="E1103" s="87" t="str">
        <f>Tabela1[[#This Row],[Descrição]]&amp;"-"&amp;Tabela1[[#This Row],[Código]]&amp;"/"&amp;Tabela1[[#This Row],[Origem]]</f>
        <v>Fucogota-H279P172/MA</v>
      </c>
      <c r="F1103" s="88">
        <v>46125</v>
      </c>
      <c r="G1103" s="88" t="str" cm="1">
        <f t="array" ref="G11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AND(F1103&gt;= DATE(2026,1,1), F1103&lt;= DATE(2028, 12, 31), J1103&gt;50000), "Pendente e Caro", AND(F1103&gt;= DATE(2026,1,1), F1103&lt;= DATE(2028, 12, 31), J1103&lt;=50000), "Pendente", F1103&gt;= DATE(2029,1,1), "Não prioeitário")</f>
        <v>Pendente e Caro</v>
      </c>
      <c r="H1103" s="89">
        <f>YEAR(Tabela1[[#This Row],[Data de Validade]])</f>
        <v>2026</v>
      </c>
      <c r="I1103" s="89">
        <f>MONTH(Tabela1[[#This Row],[Data de Validade]])</f>
        <v>4</v>
      </c>
      <c r="J1103" s="101">
        <v>71676</v>
      </c>
      <c r="K1103" s="87" t="s">
        <v>11</v>
      </c>
      <c r="L1103" s="108"/>
      <c r="M1103" s="108"/>
      <c r="N1103" s="108" t="str">
        <v>H279P172</v>
      </c>
      <c r="O1103" s="108">
        <f t="shared" si="19"/>
        <v>1</v>
      </c>
      <c r="P1103" s="108"/>
      <c r="Q1103"/>
    </row>
    <row r="1104" spans="1:17" x14ac:dyDescent="0.25">
      <c r="A1104" s="89" t="s">
        <v>7498</v>
      </c>
      <c r="B1104" s="87" t="s">
        <v>7499</v>
      </c>
      <c r="C1104" s="87" t="s">
        <v>10</v>
      </c>
      <c r="D1104" s="87" t="str">
        <f>VLOOKUP(Tabela1[[#This Row],[Origem]], 'Perguntas 1 a 24'!$J$28:$K$34, 2, 0)</f>
        <v>Centro-Oeste</v>
      </c>
      <c r="E1104" s="87" t="str">
        <f>Tabela1[[#This Row],[Descrição]]&amp;"-"&amp;Tabela1[[#This Row],[Código]]&amp;"/"&amp;Tabela1[[#This Row],[Origem]]</f>
        <v>Lerenotu-P597H444/GO</v>
      </c>
      <c r="F1104" s="88">
        <v>46125</v>
      </c>
      <c r="G1104" s="88" t="str" cm="1">
        <f t="array" ref="G11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AND(F1104&gt;= DATE(2026,1,1), F1104&lt;= DATE(2028, 12, 31), J1104&gt;50000), "Pendente e Caro", AND(F1104&gt;= DATE(2026,1,1), F1104&lt;= DATE(2028, 12, 31), J1104&lt;=50000), "Pendente", F1104&gt;= DATE(2029,1,1), "Não prioeitário")</f>
        <v>Pendente</v>
      </c>
      <c r="H1104" s="89">
        <f>YEAR(Tabela1[[#This Row],[Data de Validade]])</f>
        <v>2026</v>
      </c>
      <c r="I1104" s="89">
        <f>MONTH(Tabela1[[#This Row],[Data de Validade]])</f>
        <v>4</v>
      </c>
      <c r="J1104" s="101">
        <v>49608</v>
      </c>
      <c r="K1104" s="87" t="s">
        <v>7</v>
      </c>
      <c r="L1104" s="108"/>
      <c r="M1104" s="108"/>
      <c r="N1104" s="108" t="str">
        <v>P597H444</v>
      </c>
      <c r="O1104" s="108">
        <f t="shared" si="19"/>
        <v>1</v>
      </c>
      <c r="P1104" s="108"/>
      <c r="Q1104"/>
    </row>
    <row r="1105" spans="1:17" x14ac:dyDescent="0.25">
      <c r="A1105" s="89" t="s">
        <v>8134</v>
      </c>
      <c r="B1105" s="87" t="s">
        <v>8135</v>
      </c>
      <c r="C1105" s="87" t="s">
        <v>10</v>
      </c>
      <c r="D1105" s="87" t="str">
        <f>VLOOKUP(Tabela1[[#This Row],[Origem]], 'Perguntas 1 a 24'!$J$28:$K$34, 2, 0)</f>
        <v>Centro-Oeste</v>
      </c>
      <c r="E1105" s="87" t="str">
        <f>Tabela1[[#This Row],[Descrição]]&amp;"-"&amp;Tabela1[[#This Row],[Código]]&amp;"/"&amp;Tabela1[[#This Row],[Origem]]</f>
        <v>Lopogetovi-H547P237/GO</v>
      </c>
      <c r="F1105" s="88">
        <v>46126</v>
      </c>
      <c r="G1105" s="88" t="str" cm="1">
        <f t="array" ref="G11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AND(F1105&gt;= DATE(2026,1,1), F1105&lt;= DATE(2028, 12, 31), J1105&gt;50000), "Pendente e Caro", AND(F1105&gt;= DATE(2026,1,1), F1105&lt;= DATE(2028, 12, 31), J1105&lt;=50000), "Pendente", F1105&gt;= DATE(2029,1,1), "Não prioeitário")</f>
        <v>Pendente e Caro</v>
      </c>
      <c r="H1105" s="89">
        <f>YEAR(Tabela1[[#This Row],[Data de Validade]])</f>
        <v>2026</v>
      </c>
      <c r="I1105" s="89">
        <f>MONTH(Tabela1[[#This Row],[Data de Validade]])</f>
        <v>4</v>
      </c>
      <c r="J1105" s="101">
        <v>112658</v>
      </c>
      <c r="K1105" s="87" t="s">
        <v>14</v>
      </c>
      <c r="L1105" s="108"/>
      <c r="M1105" s="108"/>
      <c r="N1105" s="108" t="str">
        <v>H547P237</v>
      </c>
      <c r="O1105" s="108">
        <f t="shared" si="19"/>
        <v>1</v>
      </c>
      <c r="P1105" s="108"/>
      <c r="Q1105"/>
    </row>
    <row r="1106" spans="1:17" x14ac:dyDescent="0.25">
      <c r="A1106" s="89" t="s">
        <v>4263</v>
      </c>
      <c r="B1106" s="87" t="s">
        <v>4264</v>
      </c>
      <c r="C1106" s="87" t="s">
        <v>12</v>
      </c>
      <c r="D1106" s="87" t="str">
        <f>VLOOKUP(Tabela1[[#This Row],[Origem]], 'Perguntas 1 a 24'!$J$28:$K$34, 2, 0)</f>
        <v>Sudeste</v>
      </c>
      <c r="E1106" s="87" t="str">
        <f>Tabela1[[#This Row],[Descrição]]&amp;"-"&amp;Tabela1[[#This Row],[Código]]&amp;"/"&amp;Tabela1[[#This Row],[Origem]]</f>
        <v>Vageregola-P687P441/RJ</v>
      </c>
      <c r="F1106" s="88">
        <v>46127</v>
      </c>
      <c r="G1106" s="88" t="str" cm="1">
        <f t="array" ref="G11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AND(F1106&gt;= DATE(2026,1,1), F1106&lt;= DATE(2028, 12, 31), J1106&gt;50000), "Pendente e Caro", AND(F1106&gt;= DATE(2026,1,1), F1106&lt;= DATE(2028, 12, 31), J1106&lt;=50000), "Pendente", F1106&gt;= DATE(2029,1,1), "Não prioeitário")</f>
        <v>Pendente e Caro</v>
      </c>
      <c r="H1106" s="89">
        <f>YEAR(Tabela1[[#This Row],[Data de Validade]])</f>
        <v>2026</v>
      </c>
      <c r="I1106" s="89">
        <f>MONTH(Tabela1[[#This Row],[Data de Validade]])</f>
        <v>4</v>
      </c>
      <c r="J1106" s="101">
        <v>103790</v>
      </c>
      <c r="K1106" s="87" t="s">
        <v>14</v>
      </c>
      <c r="L1106" s="108"/>
      <c r="M1106" s="108"/>
      <c r="N1106" s="108" t="str">
        <v>P687P441</v>
      </c>
      <c r="O1106" s="108">
        <f t="shared" si="19"/>
        <v>1</v>
      </c>
      <c r="P1106" s="108"/>
      <c r="Q1106"/>
    </row>
    <row r="1107" spans="1:17" x14ac:dyDescent="0.25">
      <c r="A1107" s="89" t="s">
        <v>8104</v>
      </c>
      <c r="B1107" s="87" t="s">
        <v>8105</v>
      </c>
      <c r="C1107" s="87" t="s">
        <v>10</v>
      </c>
      <c r="D1107" s="87" t="str">
        <f>VLOOKUP(Tabela1[[#This Row],[Origem]], 'Perguntas 1 a 24'!$J$28:$K$34, 2, 0)</f>
        <v>Centro-Oeste</v>
      </c>
      <c r="E1107" s="87" t="str">
        <f>Tabela1[[#This Row],[Descrição]]&amp;"-"&amp;Tabela1[[#This Row],[Código]]&amp;"/"&amp;Tabela1[[#This Row],[Origem]]</f>
        <v>Tinavarivo-H262H835/GO</v>
      </c>
      <c r="F1107" s="88">
        <v>46127</v>
      </c>
      <c r="G1107" s="88" t="str" cm="1">
        <f t="array" ref="G11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AND(F1107&gt;= DATE(2026,1,1), F1107&lt;= DATE(2028, 12, 31), J1107&gt;50000), "Pendente e Caro", AND(F1107&gt;= DATE(2026,1,1), F1107&lt;= DATE(2028, 12, 31), J1107&lt;=50000), "Pendente", F1107&gt;= DATE(2029,1,1), "Não prioeitário")</f>
        <v>Pendente e Caro</v>
      </c>
      <c r="H1107" s="89">
        <f>YEAR(Tabela1[[#This Row],[Data de Validade]])</f>
        <v>2026</v>
      </c>
      <c r="I1107" s="89">
        <f>MONTH(Tabela1[[#This Row],[Data de Validade]])</f>
        <v>4</v>
      </c>
      <c r="J1107" s="101">
        <v>103525</v>
      </c>
      <c r="K1107" s="87" t="s">
        <v>9</v>
      </c>
      <c r="L1107" s="108"/>
      <c r="M1107" s="108"/>
      <c r="N1107" s="108" t="str">
        <v>H262H835</v>
      </c>
      <c r="O1107" s="108">
        <f t="shared" si="19"/>
        <v>1</v>
      </c>
      <c r="P1107" s="108"/>
      <c r="Q1107"/>
    </row>
    <row r="1108" spans="1:17" x14ac:dyDescent="0.25">
      <c r="A1108" s="89" t="s">
        <v>8703</v>
      </c>
      <c r="B1108" s="87" t="s">
        <v>8704</v>
      </c>
      <c r="C1108" s="87" t="s">
        <v>15</v>
      </c>
      <c r="D1108" s="87" t="str">
        <f>VLOOKUP(Tabela1[[#This Row],[Origem]], 'Perguntas 1 a 24'!$J$28:$K$34, 2, 0)</f>
        <v>Sudeste</v>
      </c>
      <c r="E1108" s="87" t="str">
        <f>Tabela1[[#This Row],[Descrição]]&amp;"-"&amp;Tabela1[[#This Row],[Código]]&amp;"/"&amp;Tabela1[[#This Row],[Origem]]</f>
        <v>Tulagitu-H881H797/ES</v>
      </c>
      <c r="F1108" s="88">
        <v>46127</v>
      </c>
      <c r="G1108" s="88" t="str" cm="1">
        <f t="array" ref="G11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AND(F1108&gt;= DATE(2026,1,1), F1108&lt;= DATE(2028, 12, 31), J1108&gt;50000), "Pendente e Caro", AND(F1108&gt;= DATE(2026,1,1), F1108&lt;= DATE(2028, 12, 31), J1108&lt;=50000), "Pendente", F1108&gt;= DATE(2029,1,1), "Não prioeitário")</f>
        <v>Pendente e Caro</v>
      </c>
      <c r="H1108" s="89">
        <f>YEAR(Tabela1[[#This Row],[Data de Validade]])</f>
        <v>2026</v>
      </c>
      <c r="I1108" s="89">
        <f>MONTH(Tabela1[[#This Row],[Data de Validade]])</f>
        <v>4</v>
      </c>
      <c r="J1108" s="101">
        <v>101639</v>
      </c>
      <c r="K1108" s="87" t="s">
        <v>7</v>
      </c>
      <c r="L1108" s="108"/>
      <c r="M1108" s="108"/>
      <c r="N1108" s="108" t="str">
        <v>H881H797</v>
      </c>
      <c r="O1108" s="108">
        <f t="shared" si="19"/>
        <v>1</v>
      </c>
      <c r="P1108" s="108"/>
      <c r="Q1108"/>
    </row>
    <row r="1109" spans="1:17" x14ac:dyDescent="0.25">
      <c r="A1109" s="89" t="s">
        <v>10675</v>
      </c>
      <c r="B1109" s="87" t="s">
        <v>10676</v>
      </c>
      <c r="C1109" s="87" t="s">
        <v>13</v>
      </c>
      <c r="D1109" s="87" t="str">
        <f>VLOOKUP(Tabela1[[#This Row],[Origem]], 'Perguntas 1 a 24'!$J$28:$K$34, 2, 0)</f>
        <v>Sudeste</v>
      </c>
      <c r="E1109" s="87" t="str">
        <f>Tabela1[[#This Row],[Descrição]]&amp;"-"&amp;Tabela1[[#This Row],[Código]]&amp;"/"&amp;Tabela1[[#This Row],[Origem]]</f>
        <v>Rotucera-P292H889/SP</v>
      </c>
      <c r="F1109" s="88">
        <v>46128</v>
      </c>
      <c r="G1109" s="88" t="str" cm="1">
        <f t="array" ref="G11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AND(F1109&gt;= DATE(2026,1,1), F1109&lt;= DATE(2028, 12, 31), J1109&gt;50000), "Pendente e Caro", AND(F1109&gt;= DATE(2026,1,1), F1109&lt;= DATE(2028, 12, 31), J1109&lt;=50000), "Pendente", F1109&gt;= DATE(2029,1,1), "Não prioeitário")</f>
        <v>Pendente e Caro</v>
      </c>
      <c r="H1109" s="89">
        <f>YEAR(Tabela1[[#This Row],[Data de Validade]])</f>
        <v>2026</v>
      </c>
      <c r="I1109" s="89">
        <f>MONTH(Tabela1[[#This Row],[Data de Validade]])</f>
        <v>4</v>
      </c>
      <c r="J1109" s="101">
        <v>55679</v>
      </c>
      <c r="K1109" s="87" t="s">
        <v>7</v>
      </c>
      <c r="L1109" s="108"/>
      <c r="M1109" s="108"/>
      <c r="N1109" s="108" t="str">
        <v>P292H889</v>
      </c>
      <c r="O1109" s="108">
        <f t="shared" si="19"/>
        <v>1</v>
      </c>
      <c r="P1109" s="108"/>
      <c r="Q1109"/>
    </row>
    <row r="1110" spans="1:17" x14ac:dyDescent="0.25">
      <c r="A1110" s="89" t="s">
        <v>6068</v>
      </c>
      <c r="B1110" s="87" t="s">
        <v>6069</v>
      </c>
      <c r="C1110" s="87" t="s">
        <v>15</v>
      </c>
      <c r="D1110" s="87" t="str">
        <f>VLOOKUP(Tabela1[[#This Row],[Origem]], 'Perguntas 1 a 24'!$J$28:$K$34, 2, 0)</f>
        <v>Sudeste</v>
      </c>
      <c r="E1110" s="87" t="str">
        <f>Tabela1[[#This Row],[Descrição]]&amp;"-"&amp;Tabela1[[#This Row],[Código]]&amp;"/"&amp;Tabela1[[#This Row],[Origem]]</f>
        <v>Noterofelo-H324P677/ES</v>
      </c>
      <c r="F1110" s="88">
        <v>46129</v>
      </c>
      <c r="G1110" s="88" t="str" cm="1">
        <f t="array" ref="G11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AND(F1110&gt;= DATE(2026,1,1), F1110&lt;= DATE(2028, 12, 31), J1110&gt;50000), "Pendente e Caro", AND(F1110&gt;= DATE(2026,1,1), F1110&lt;= DATE(2028, 12, 31), J1110&lt;=50000), "Pendente", F1110&gt;= DATE(2029,1,1), "Não prioeitário")</f>
        <v>Pendente</v>
      </c>
      <c r="H1110" s="89">
        <f>YEAR(Tabela1[[#This Row],[Data de Validade]])</f>
        <v>2026</v>
      </c>
      <c r="I1110" s="89">
        <f>MONTH(Tabela1[[#This Row],[Data de Validade]])</f>
        <v>4</v>
      </c>
      <c r="J1110" s="101">
        <v>34099</v>
      </c>
      <c r="K1110" s="87" t="s">
        <v>14</v>
      </c>
      <c r="L1110" s="108"/>
      <c r="M1110" s="108"/>
      <c r="N1110" s="108" t="str">
        <v>H324P677</v>
      </c>
      <c r="O1110" s="108">
        <f t="shared" si="19"/>
        <v>1</v>
      </c>
      <c r="P1110" s="108"/>
      <c r="Q1110"/>
    </row>
    <row r="1111" spans="1:17" x14ac:dyDescent="0.25">
      <c r="A1111" s="89" t="s">
        <v>9359</v>
      </c>
      <c r="B1111" s="87" t="s">
        <v>9360</v>
      </c>
      <c r="C1111" s="87" t="s">
        <v>8</v>
      </c>
      <c r="D1111" s="87" t="str">
        <f>VLOOKUP(Tabela1[[#This Row],[Origem]], 'Perguntas 1 a 24'!$J$28:$K$34, 2, 0)</f>
        <v>Nordeste</v>
      </c>
      <c r="E1111" s="87" t="str">
        <f>Tabela1[[#This Row],[Descrição]]&amp;"-"&amp;Tabela1[[#This Row],[Código]]&amp;"/"&amp;Tabela1[[#This Row],[Origem]]</f>
        <v>Pavage-P467H769/AL</v>
      </c>
      <c r="F1111" s="88">
        <v>46131</v>
      </c>
      <c r="G1111" s="88" t="str" cm="1">
        <f t="array" ref="G11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AND(F1111&gt;= DATE(2026,1,1), F1111&lt;= DATE(2028, 12, 31), J1111&gt;50000), "Pendente e Caro", AND(F1111&gt;= DATE(2026,1,1), F1111&lt;= DATE(2028, 12, 31), J1111&lt;=50000), "Pendente", F1111&gt;= DATE(2029,1,1), "Não prioeitário")</f>
        <v>Pendente e Caro</v>
      </c>
      <c r="H1111" s="89">
        <f>YEAR(Tabela1[[#This Row],[Data de Validade]])</f>
        <v>2026</v>
      </c>
      <c r="I1111" s="89">
        <f>MONTH(Tabela1[[#This Row],[Data de Validade]])</f>
        <v>4</v>
      </c>
      <c r="J1111" s="101">
        <v>116947</v>
      </c>
      <c r="K1111" s="87" t="s">
        <v>14</v>
      </c>
      <c r="L1111" s="108"/>
      <c r="M1111" s="108"/>
      <c r="N1111" s="108" t="str">
        <v>P467H769</v>
      </c>
      <c r="O1111" s="108">
        <f t="shared" si="19"/>
        <v>1</v>
      </c>
      <c r="P1111" s="108"/>
      <c r="Q1111"/>
    </row>
    <row r="1112" spans="1:17" x14ac:dyDescent="0.25">
      <c r="A1112" s="89" t="s">
        <v>5872</v>
      </c>
      <c r="B1112" s="87" t="s">
        <v>5873</v>
      </c>
      <c r="C1112" s="87" t="s">
        <v>10</v>
      </c>
      <c r="D1112" s="87" t="str">
        <f>VLOOKUP(Tabela1[[#This Row],[Origem]], 'Perguntas 1 a 24'!$J$28:$K$34, 2, 0)</f>
        <v>Centro-Oeste</v>
      </c>
      <c r="E1112" s="87" t="str">
        <f>Tabela1[[#This Row],[Descrição]]&amp;"-"&amp;Tabela1[[#This Row],[Código]]&amp;"/"&amp;Tabela1[[#This Row],[Origem]]</f>
        <v>Pelive-P777P364/GO</v>
      </c>
      <c r="F1112" s="88">
        <v>46131</v>
      </c>
      <c r="G1112" s="88" t="str" cm="1">
        <f t="array" ref="G11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AND(F1112&gt;= DATE(2026,1,1), F1112&lt;= DATE(2028, 12, 31), J1112&gt;50000), "Pendente e Caro", AND(F1112&gt;= DATE(2026,1,1), F1112&lt;= DATE(2028, 12, 31), J1112&lt;=50000), "Pendente", F1112&gt;= DATE(2029,1,1), "Não prioeitário")</f>
        <v>Pendente e Caro</v>
      </c>
      <c r="H1112" s="89">
        <f>YEAR(Tabela1[[#This Row],[Data de Validade]])</f>
        <v>2026</v>
      </c>
      <c r="I1112" s="89">
        <f>MONTH(Tabela1[[#This Row],[Data de Validade]])</f>
        <v>4</v>
      </c>
      <c r="J1112" s="101">
        <v>103371</v>
      </c>
      <c r="K1112" s="87" t="s">
        <v>7</v>
      </c>
      <c r="L1112" s="108"/>
      <c r="M1112" s="108"/>
      <c r="N1112" s="108" t="str">
        <v>P777P364</v>
      </c>
      <c r="O1112" s="108">
        <f t="shared" si="19"/>
        <v>1</v>
      </c>
      <c r="P1112" s="108"/>
      <c r="Q1112"/>
    </row>
    <row r="1113" spans="1:17" x14ac:dyDescent="0.25">
      <c r="A1113" s="89" t="s">
        <v>6750</v>
      </c>
      <c r="B1113" s="87" t="s">
        <v>6751</v>
      </c>
      <c r="C1113" s="87" t="s">
        <v>16</v>
      </c>
      <c r="D1113" s="87" t="str">
        <f>VLOOKUP(Tabela1[[#This Row],[Origem]], 'Perguntas 1 a 24'!$J$28:$K$34, 2, 0)</f>
        <v>Sudeste</v>
      </c>
      <c r="E1113" s="87" t="str">
        <f>Tabela1[[#This Row],[Descrição]]&amp;"-"&amp;Tabela1[[#This Row],[Código]]&amp;"/"&amp;Tabela1[[#This Row],[Origem]]</f>
        <v>Fotenevido-H112P529/MG</v>
      </c>
      <c r="F1113" s="88">
        <v>46131</v>
      </c>
      <c r="G1113" s="88" t="str" cm="1">
        <f t="array" ref="G11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AND(F1113&gt;= DATE(2026,1,1), F1113&lt;= DATE(2028, 12, 31), J1113&gt;50000), "Pendente e Caro", AND(F1113&gt;= DATE(2026,1,1), F1113&lt;= DATE(2028, 12, 31), J1113&lt;=50000), "Pendente", F1113&gt;= DATE(2029,1,1), "Não prioeitário")</f>
        <v>Pendente e Caro</v>
      </c>
      <c r="H1113" s="89">
        <f>YEAR(Tabela1[[#This Row],[Data de Validade]])</f>
        <v>2026</v>
      </c>
      <c r="I1113" s="89">
        <f>MONTH(Tabela1[[#This Row],[Data de Validade]])</f>
        <v>4</v>
      </c>
      <c r="J1113" s="101">
        <v>97538</v>
      </c>
      <c r="K1113" s="87" t="s">
        <v>7</v>
      </c>
      <c r="L1113" s="108"/>
      <c r="M1113" s="108"/>
      <c r="N1113" s="108" t="str">
        <v>H112P529</v>
      </c>
      <c r="O1113" s="108">
        <f t="shared" si="19"/>
        <v>1</v>
      </c>
      <c r="P1113" s="108"/>
      <c r="Q1113"/>
    </row>
    <row r="1114" spans="1:17" x14ac:dyDescent="0.25">
      <c r="A1114" s="89" t="s">
        <v>4433</v>
      </c>
      <c r="B1114" s="87" t="s">
        <v>4434</v>
      </c>
      <c r="C1114" s="87" t="s">
        <v>6</v>
      </c>
      <c r="D1114" s="87" t="str">
        <f>VLOOKUP(Tabela1[[#This Row],[Origem]], 'Perguntas 1 a 24'!$J$28:$K$34, 2, 0)</f>
        <v>Nordeste</v>
      </c>
      <c r="E1114" s="87" t="str">
        <f>Tabela1[[#This Row],[Descrição]]&amp;"-"&amp;Tabela1[[#This Row],[Código]]&amp;"/"&amp;Tabela1[[#This Row],[Origem]]</f>
        <v>Mupufedo-H339H136/MA</v>
      </c>
      <c r="F1114" s="88">
        <v>46131</v>
      </c>
      <c r="G1114" s="88" t="str" cm="1">
        <f t="array" ref="G11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AND(F1114&gt;= DATE(2026,1,1), F1114&lt;= DATE(2028, 12, 31), J1114&gt;50000), "Pendente e Caro", AND(F1114&gt;= DATE(2026,1,1), F1114&lt;= DATE(2028, 12, 31), J1114&lt;=50000), "Pendente", F1114&gt;= DATE(2029,1,1), "Não prioeitário")</f>
        <v>Pendente e Caro</v>
      </c>
      <c r="H1114" s="89">
        <f>YEAR(Tabela1[[#This Row],[Data de Validade]])</f>
        <v>2026</v>
      </c>
      <c r="I1114" s="89">
        <f>MONTH(Tabela1[[#This Row],[Data de Validade]])</f>
        <v>4</v>
      </c>
      <c r="J1114" s="101">
        <v>86436</v>
      </c>
      <c r="K1114" s="87" t="s">
        <v>9</v>
      </c>
      <c r="L1114" s="108"/>
      <c r="M1114" s="108"/>
      <c r="N1114" s="108" t="str">
        <v>H339H136</v>
      </c>
      <c r="O1114" s="108">
        <f t="shared" si="19"/>
        <v>1</v>
      </c>
      <c r="P1114" s="108"/>
      <c r="Q1114"/>
    </row>
    <row r="1115" spans="1:17" x14ac:dyDescent="0.25">
      <c r="A1115" s="89" t="s">
        <v>4510</v>
      </c>
      <c r="B1115" s="87" t="s">
        <v>4511</v>
      </c>
      <c r="C1115" s="87" t="s">
        <v>13</v>
      </c>
      <c r="D1115" s="87" t="str">
        <f>VLOOKUP(Tabela1[[#This Row],[Origem]], 'Perguntas 1 a 24'!$J$28:$K$34, 2, 0)</f>
        <v>Sudeste</v>
      </c>
      <c r="E1115" s="87" t="str">
        <f>Tabela1[[#This Row],[Descrição]]&amp;"-"&amp;Tabela1[[#This Row],[Código]]&amp;"/"&amp;Tabela1[[#This Row],[Origem]]</f>
        <v>Pecenulo-P826P957/SP</v>
      </c>
      <c r="F1115" s="88">
        <v>46131</v>
      </c>
      <c r="G1115" s="88" t="str" cm="1">
        <f t="array" ref="G11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AND(F1115&gt;= DATE(2026,1,1), F1115&lt;= DATE(2028, 12, 31), J1115&gt;50000), "Pendente e Caro", AND(F1115&gt;= DATE(2026,1,1), F1115&lt;= DATE(2028, 12, 31), J1115&lt;=50000), "Pendente", F1115&gt;= DATE(2029,1,1), "Não prioeitário")</f>
        <v>Pendente</v>
      </c>
      <c r="H1115" s="89">
        <f>YEAR(Tabela1[[#This Row],[Data de Validade]])</f>
        <v>2026</v>
      </c>
      <c r="I1115" s="89">
        <f>MONTH(Tabela1[[#This Row],[Data de Validade]])</f>
        <v>4</v>
      </c>
      <c r="J1115" s="101">
        <v>44356</v>
      </c>
      <c r="K1115" s="87" t="s">
        <v>9</v>
      </c>
      <c r="L1115" s="108"/>
      <c r="M1115" s="108"/>
      <c r="N1115" s="108" t="str">
        <v>P826P957</v>
      </c>
      <c r="O1115" s="108">
        <f t="shared" si="19"/>
        <v>1</v>
      </c>
      <c r="P1115" s="108"/>
      <c r="Q1115"/>
    </row>
    <row r="1116" spans="1:17" x14ac:dyDescent="0.25">
      <c r="A1116" s="89" t="s">
        <v>7854</v>
      </c>
      <c r="B1116" s="87" t="s">
        <v>7855</v>
      </c>
      <c r="C1116" s="87" t="s">
        <v>12</v>
      </c>
      <c r="D1116" s="87" t="str">
        <f>VLOOKUP(Tabela1[[#This Row],[Origem]], 'Perguntas 1 a 24'!$J$28:$K$34, 2, 0)</f>
        <v>Sudeste</v>
      </c>
      <c r="E1116" s="87" t="str">
        <f>Tabela1[[#This Row],[Descrição]]&amp;"-"&amp;Tabela1[[#This Row],[Código]]&amp;"/"&amp;Tabela1[[#This Row],[Origem]]</f>
        <v>Dateru-P128H216/RJ</v>
      </c>
      <c r="F1116" s="88">
        <v>46131</v>
      </c>
      <c r="G1116" s="88" t="str" cm="1">
        <f t="array" ref="G11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AND(F1116&gt;= DATE(2026,1,1), F1116&lt;= DATE(2028, 12, 31), J1116&gt;50000), "Pendente e Caro", AND(F1116&gt;= DATE(2026,1,1), F1116&lt;= DATE(2028, 12, 31), J1116&lt;=50000), "Pendente", F1116&gt;= DATE(2029,1,1), "Não prioeitário")</f>
        <v>Pendente</v>
      </c>
      <c r="H1116" s="89">
        <f>YEAR(Tabela1[[#This Row],[Data de Validade]])</f>
        <v>2026</v>
      </c>
      <c r="I1116" s="89">
        <f>MONTH(Tabela1[[#This Row],[Data de Validade]])</f>
        <v>4</v>
      </c>
      <c r="J1116" s="101">
        <v>43341</v>
      </c>
      <c r="K1116" s="87" t="s">
        <v>9</v>
      </c>
      <c r="L1116" s="108"/>
      <c r="M1116" s="108"/>
      <c r="N1116" s="108" t="str">
        <v>P128H216</v>
      </c>
      <c r="O1116" s="108">
        <f t="shared" si="19"/>
        <v>1</v>
      </c>
      <c r="P1116" s="108"/>
      <c r="Q1116"/>
    </row>
    <row r="1117" spans="1:17" x14ac:dyDescent="0.25">
      <c r="A1117" s="89" t="s">
        <v>9635</v>
      </c>
      <c r="B1117" s="87" t="s">
        <v>9636</v>
      </c>
      <c r="C1117" s="87" t="s">
        <v>16</v>
      </c>
      <c r="D1117" s="87" t="str">
        <f>VLOOKUP(Tabela1[[#This Row],[Origem]], 'Perguntas 1 a 24'!$J$28:$K$34, 2, 0)</f>
        <v>Sudeste</v>
      </c>
      <c r="E1117" s="87" t="str">
        <f>Tabela1[[#This Row],[Descrição]]&amp;"-"&amp;Tabela1[[#This Row],[Código]]&amp;"/"&amp;Tabela1[[#This Row],[Origem]]</f>
        <v>Remufufevu-H314P231/MG</v>
      </c>
      <c r="F1117" s="88">
        <v>46132</v>
      </c>
      <c r="G1117" s="88" t="str" cm="1">
        <f t="array" ref="G11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AND(F1117&gt;= DATE(2026,1,1), F1117&lt;= DATE(2028, 12, 31), J1117&gt;50000), "Pendente e Caro", AND(F1117&gt;= DATE(2026,1,1), F1117&lt;= DATE(2028, 12, 31), J1117&lt;=50000), "Pendente", F1117&gt;= DATE(2029,1,1), "Não prioeitário")</f>
        <v>Pendente e Caro</v>
      </c>
      <c r="H1117" s="89">
        <f>YEAR(Tabela1[[#This Row],[Data de Validade]])</f>
        <v>2026</v>
      </c>
      <c r="I1117" s="89">
        <f>MONTH(Tabela1[[#This Row],[Data de Validade]])</f>
        <v>4</v>
      </c>
      <c r="J1117" s="101">
        <v>86915</v>
      </c>
      <c r="K1117" s="87" t="s">
        <v>9</v>
      </c>
      <c r="L1117" s="108"/>
      <c r="M1117" s="108"/>
      <c r="N1117" s="108" t="str">
        <v>H314P231</v>
      </c>
      <c r="O1117" s="108">
        <f t="shared" si="19"/>
        <v>1</v>
      </c>
      <c r="P1117" s="108"/>
      <c r="Q1117"/>
    </row>
    <row r="1118" spans="1:17" x14ac:dyDescent="0.25">
      <c r="A1118" s="89" t="s">
        <v>7060</v>
      </c>
      <c r="B1118" s="87" t="s">
        <v>7061</v>
      </c>
      <c r="C1118" s="87" t="s">
        <v>13</v>
      </c>
      <c r="D1118" s="87" t="str">
        <f>VLOOKUP(Tabela1[[#This Row],[Origem]], 'Perguntas 1 a 24'!$J$28:$K$34, 2, 0)</f>
        <v>Sudeste</v>
      </c>
      <c r="E1118" s="87" t="str">
        <f>Tabela1[[#This Row],[Descrição]]&amp;"-"&amp;Tabela1[[#This Row],[Código]]&amp;"/"&amp;Tabela1[[#This Row],[Origem]]</f>
        <v>Tatita-P896H592/SP</v>
      </c>
      <c r="F1118" s="88">
        <v>46132</v>
      </c>
      <c r="G1118" s="88" t="str" cm="1">
        <f t="array" ref="G11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AND(F1118&gt;= DATE(2026,1,1), F1118&lt;= DATE(2028, 12, 31), J1118&gt;50000), "Pendente e Caro", AND(F1118&gt;= DATE(2026,1,1), F1118&lt;= DATE(2028, 12, 31), J1118&lt;=50000), "Pendente", F1118&gt;= DATE(2029,1,1), "Não prioeitário")</f>
        <v>Pendente e Caro</v>
      </c>
      <c r="H1118" s="89">
        <f>YEAR(Tabela1[[#This Row],[Data de Validade]])</f>
        <v>2026</v>
      </c>
      <c r="I1118" s="89">
        <f>MONTH(Tabela1[[#This Row],[Data de Validade]])</f>
        <v>4</v>
      </c>
      <c r="J1118" s="101">
        <v>82237</v>
      </c>
      <c r="K1118" s="87" t="s">
        <v>9</v>
      </c>
      <c r="L1118" s="108"/>
      <c r="M1118" s="108"/>
      <c r="N1118" s="108" t="str">
        <v>P896H592</v>
      </c>
      <c r="O1118" s="108">
        <f t="shared" si="19"/>
        <v>1</v>
      </c>
      <c r="P1118" s="108"/>
      <c r="Q1118"/>
    </row>
    <row r="1119" spans="1:17" x14ac:dyDescent="0.25">
      <c r="A1119" s="89" t="s">
        <v>5386</v>
      </c>
      <c r="B1119" s="87" t="s">
        <v>5387</v>
      </c>
      <c r="C1119" s="87" t="s">
        <v>6</v>
      </c>
      <c r="D1119" s="87" t="str">
        <f>VLOOKUP(Tabela1[[#This Row],[Origem]], 'Perguntas 1 a 24'!$J$28:$K$34, 2, 0)</f>
        <v>Nordeste</v>
      </c>
      <c r="E1119" s="87" t="str">
        <f>Tabela1[[#This Row],[Descrição]]&amp;"-"&amp;Tabela1[[#This Row],[Código]]&amp;"/"&amp;Tabela1[[#This Row],[Origem]]</f>
        <v>Vopogi-H488P917/MA</v>
      </c>
      <c r="F1119" s="88">
        <v>46132</v>
      </c>
      <c r="G1119" s="88" t="str" cm="1">
        <f t="array" ref="G11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AND(F1119&gt;= DATE(2026,1,1), F1119&lt;= DATE(2028, 12, 31), J1119&gt;50000), "Pendente e Caro", AND(F1119&gt;= DATE(2026,1,1), F1119&lt;= DATE(2028, 12, 31), J1119&lt;=50000), "Pendente", F1119&gt;= DATE(2029,1,1), "Não prioeitário")</f>
        <v>Pendente e Caro</v>
      </c>
      <c r="H1119" s="89">
        <f>YEAR(Tabela1[[#This Row],[Data de Validade]])</f>
        <v>2026</v>
      </c>
      <c r="I1119" s="89">
        <f>MONTH(Tabela1[[#This Row],[Data de Validade]])</f>
        <v>4</v>
      </c>
      <c r="J1119" s="101">
        <v>78736</v>
      </c>
      <c r="K1119" s="87" t="s">
        <v>9</v>
      </c>
      <c r="L1119" s="108"/>
      <c r="M1119" s="108"/>
      <c r="N1119" s="108" t="str">
        <v>H488P917</v>
      </c>
      <c r="O1119" s="108">
        <f t="shared" si="19"/>
        <v>1</v>
      </c>
      <c r="P1119" s="108"/>
      <c r="Q1119"/>
    </row>
    <row r="1120" spans="1:17" x14ac:dyDescent="0.25">
      <c r="A1120" s="89" t="s">
        <v>9555</v>
      </c>
      <c r="B1120" s="87" t="s">
        <v>9556</v>
      </c>
      <c r="C1120" s="87" t="s">
        <v>13</v>
      </c>
      <c r="D1120" s="87" t="str">
        <f>VLOOKUP(Tabela1[[#This Row],[Origem]], 'Perguntas 1 a 24'!$J$28:$K$34, 2, 0)</f>
        <v>Sudeste</v>
      </c>
      <c r="E1120" s="87" t="str">
        <f>Tabela1[[#This Row],[Descrição]]&amp;"-"&amp;Tabela1[[#This Row],[Código]]&amp;"/"&amp;Tabela1[[#This Row],[Origem]]</f>
        <v>Vovegapumu-H955H569/SP</v>
      </c>
      <c r="F1120" s="88">
        <v>46134</v>
      </c>
      <c r="G1120" s="88" t="str" cm="1">
        <f t="array" ref="G11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AND(F1120&gt;= DATE(2026,1,1), F1120&lt;= DATE(2028, 12, 31), J1120&gt;50000), "Pendente e Caro", AND(F1120&gt;= DATE(2026,1,1), F1120&lt;= DATE(2028, 12, 31), J1120&lt;=50000), "Pendente", F1120&gt;= DATE(2029,1,1), "Não prioeitário")</f>
        <v>Pendente</v>
      </c>
      <c r="H1120" s="89">
        <f>YEAR(Tabela1[[#This Row],[Data de Validade]])</f>
        <v>2026</v>
      </c>
      <c r="I1120" s="89">
        <f>MONTH(Tabela1[[#This Row],[Data de Validade]])</f>
        <v>4</v>
      </c>
      <c r="J1120" s="101">
        <v>32123</v>
      </c>
      <c r="K1120" s="87" t="s">
        <v>9</v>
      </c>
      <c r="L1120" s="108"/>
      <c r="M1120" s="108"/>
      <c r="N1120" s="108" t="str">
        <v>H955H569</v>
      </c>
      <c r="O1120" s="108">
        <f t="shared" si="19"/>
        <v>1</v>
      </c>
      <c r="P1120" s="108"/>
      <c r="Q1120"/>
    </row>
    <row r="1121" spans="1:17" x14ac:dyDescent="0.25">
      <c r="A1121" s="89" t="s">
        <v>8785</v>
      </c>
      <c r="B1121" s="87" t="s">
        <v>8786</v>
      </c>
      <c r="C1121" s="87" t="s">
        <v>6</v>
      </c>
      <c r="D1121" s="87" t="str">
        <f>VLOOKUP(Tabela1[[#This Row],[Origem]], 'Perguntas 1 a 24'!$J$28:$K$34, 2, 0)</f>
        <v>Nordeste</v>
      </c>
      <c r="E1121" s="87" t="str">
        <f>Tabela1[[#This Row],[Descrição]]&amp;"-"&amp;Tabela1[[#This Row],[Código]]&amp;"/"&amp;Tabela1[[#This Row],[Origem]]</f>
        <v>Notopire-P254H136/MA</v>
      </c>
      <c r="F1121" s="88">
        <v>46134</v>
      </c>
      <c r="G1121" s="88" t="str" cm="1">
        <f t="array" ref="G11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AND(F1121&gt;= DATE(2026,1,1), F1121&lt;= DATE(2028, 12, 31), J1121&gt;50000), "Pendente e Caro", AND(F1121&gt;= DATE(2026,1,1), F1121&lt;= DATE(2028, 12, 31), J1121&lt;=50000), "Pendente", F1121&gt;= DATE(2029,1,1), "Não prioeitário")</f>
        <v>Pendente</v>
      </c>
      <c r="H1121" s="89">
        <f>YEAR(Tabela1[[#This Row],[Data de Validade]])</f>
        <v>2026</v>
      </c>
      <c r="I1121" s="89">
        <f>MONTH(Tabela1[[#This Row],[Data de Validade]])</f>
        <v>4</v>
      </c>
      <c r="J1121" s="101">
        <v>26579</v>
      </c>
      <c r="K1121" s="87" t="s">
        <v>11</v>
      </c>
      <c r="L1121" s="108"/>
      <c r="M1121" s="108"/>
      <c r="N1121" s="108" t="str">
        <v>P254H136</v>
      </c>
      <c r="O1121" s="108">
        <f t="shared" si="19"/>
        <v>1</v>
      </c>
      <c r="P1121" s="108"/>
      <c r="Q1121"/>
    </row>
    <row r="1122" spans="1:17" x14ac:dyDescent="0.25">
      <c r="A1122" s="89" t="s">
        <v>6398</v>
      </c>
      <c r="B1122" s="87" t="s">
        <v>6399</v>
      </c>
      <c r="C1122" s="87" t="s">
        <v>8</v>
      </c>
      <c r="D1122" s="87" t="str">
        <f>VLOOKUP(Tabela1[[#This Row],[Origem]], 'Perguntas 1 a 24'!$J$28:$K$34, 2, 0)</f>
        <v>Nordeste</v>
      </c>
      <c r="E1122" s="87" t="str">
        <f>Tabela1[[#This Row],[Descrição]]&amp;"-"&amp;Tabela1[[#This Row],[Código]]&amp;"/"&amp;Tabela1[[#This Row],[Origem]]</f>
        <v>Pacolaripo-P862H553/AL</v>
      </c>
      <c r="F1122" s="88">
        <v>46135</v>
      </c>
      <c r="G1122" s="88" t="str" cm="1">
        <f t="array" ref="G11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AND(F1122&gt;= DATE(2026,1,1), F1122&lt;= DATE(2028, 12, 31), J1122&gt;50000), "Pendente e Caro", AND(F1122&gt;= DATE(2026,1,1), F1122&lt;= DATE(2028, 12, 31), J1122&lt;=50000), "Pendente", F1122&gt;= DATE(2029,1,1), "Não prioeitário")</f>
        <v>Pendente e Caro</v>
      </c>
      <c r="H1122" s="89">
        <f>YEAR(Tabela1[[#This Row],[Data de Validade]])</f>
        <v>2026</v>
      </c>
      <c r="I1122" s="89">
        <f>MONTH(Tabela1[[#This Row],[Data de Validade]])</f>
        <v>4</v>
      </c>
      <c r="J1122" s="101">
        <v>73177</v>
      </c>
      <c r="K1122" s="87" t="s">
        <v>9</v>
      </c>
      <c r="L1122" s="108"/>
      <c r="M1122" s="108"/>
      <c r="N1122" s="108" t="str">
        <v>P862H553</v>
      </c>
      <c r="O1122" s="108">
        <f t="shared" si="19"/>
        <v>1</v>
      </c>
      <c r="P1122" s="108"/>
      <c r="Q1122"/>
    </row>
    <row r="1123" spans="1:17" x14ac:dyDescent="0.25">
      <c r="A1123" s="89" t="s">
        <v>8965</v>
      </c>
      <c r="B1123" s="87" t="s">
        <v>8966</v>
      </c>
      <c r="C1123" s="87" t="s">
        <v>6</v>
      </c>
      <c r="D1123" s="87" t="str">
        <f>VLOOKUP(Tabela1[[#This Row],[Origem]], 'Perguntas 1 a 24'!$J$28:$K$34, 2, 0)</f>
        <v>Nordeste</v>
      </c>
      <c r="E1123" s="87" t="str">
        <f>Tabela1[[#This Row],[Descrição]]&amp;"-"&amp;Tabela1[[#This Row],[Código]]&amp;"/"&amp;Tabela1[[#This Row],[Origem]]</f>
        <v>Vopido-P286H323/MA</v>
      </c>
      <c r="F1123" s="88">
        <v>46135</v>
      </c>
      <c r="G1123" s="88" t="str" cm="1">
        <f t="array" ref="G11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AND(F1123&gt;= DATE(2026,1,1), F1123&lt;= DATE(2028, 12, 31), J1123&gt;50000), "Pendente e Caro", AND(F1123&gt;= DATE(2026,1,1), F1123&lt;= DATE(2028, 12, 31), J1123&lt;=50000), "Pendente", F1123&gt;= DATE(2029,1,1), "Não prioeitário")</f>
        <v>Pendente</v>
      </c>
      <c r="H1123" s="89">
        <f>YEAR(Tabela1[[#This Row],[Data de Validade]])</f>
        <v>2026</v>
      </c>
      <c r="I1123" s="89">
        <f>MONTH(Tabela1[[#This Row],[Data de Validade]])</f>
        <v>4</v>
      </c>
      <c r="J1123" s="101">
        <v>20711</v>
      </c>
      <c r="K1123" s="87" t="s">
        <v>7</v>
      </c>
      <c r="L1123" s="108"/>
      <c r="M1123" s="108"/>
      <c r="N1123" s="108" t="str">
        <v>P286H323</v>
      </c>
      <c r="O1123" s="108">
        <f t="shared" si="19"/>
        <v>1</v>
      </c>
      <c r="P1123" s="108"/>
      <c r="Q1123"/>
    </row>
    <row r="1124" spans="1:17" x14ac:dyDescent="0.25">
      <c r="A1124" s="89" t="s">
        <v>6120</v>
      </c>
      <c r="B1124" s="87" t="s">
        <v>6121</v>
      </c>
      <c r="C1124" s="87" t="s">
        <v>12</v>
      </c>
      <c r="D1124" s="87" t="str">
        <f>VLOOKUP(Tabela1[[#This Row],[Origem]], 'Perguntas 1 a 24'!$J$28:$K$34, 2, 0)</f>
        <v>Sudeste</v>
      </c>
      <c r="E1124" s="87" t="str">
        <f>Tabela1[[#This Row],[Descrição]]&amp;"-"&amp;Tabela1[[#This Row],[Código]]&amp;"/"&amp;Tabela1[[#This Row],[Origem]]</f>
        <v>Nagomu-H897P623/RJ</v>
      </c>
      <c r="F1124" s="88">
        <v>46137</v>
      </c>
      <c r="G1124" s="88" t="str" cm="1">
        <f t="array" ref="G11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AND(F1124&gt;= DATE(2026,1,1), F1124&lt;= DATE(2028, 12, 31), J1124&gt;50000), "Pendente e Caro", AND(F1124&gt;= DATE(2026,1,1), F1124&lt;= DATE(2028, 12, 31), J1124&lt;=50000), "Pendente", F1124&gt;= DATE(2029,1,1), "Não prioeitário")</f>
        <v>Pendente</v>
      </c>
      <c r="H1124" s="89">
        <f>YEAR(Tabela1[[#This Row],[Data de Validade]])</f>
        <v>2026</v>
      </c>
      <c r="I1124" s="89">
        <f>MONTH(Tabela1[[#This Row],[Data de Validade]])</f>
        <v>4</v>
      </c>
      <c r="J1124" s="101">
        <v>24343</v>
      </c>
      <c r="K1124" s="87" t="s">
        <v>11</v>
      </c>
      <c r="L1124" s="108"/>
      <c r="M1124" s="108"/>
      <c r="N1124" s="108" t="str">
        <v>H897P623</v>
      </c>
      <c r="O1124" s="108">
        <f t="shared" si="19"/>
        <v>1</v>
      </c>
      <c r="P1124" s="108"/>
      <c r="Q1124"/>
    </row>
    <row r="1125" spans="1:17" x14ac:dyDescent="0.25">
      <c r="A1125" s="89" t="s">
        <v>11010</v>
      </c>
      <c r="B1125" s="87" t="s">
        <v>11011</v>
      </c>
      <c r="C1125" s="87" t="s">
        <v>12</v>
      </c>
      <c r="D1125" s="87" t="str">
        <f>VLOOKUP(Tabela1[[#This Row],[Origem]], 'Perguntas 1 a 24'!$J$28:$K$34, 2, 0)</f>
        <v>Sudeste</v>
      </c>
      <c r="E1125" s="87" t="str">
        <f>Tabela1[[#This Row],[Descrição]]&amp;"-"&amp;Tabela1[[#This Row],[Código]]&amp;"/"&amp;Tabela1[[#This Row],[Origem]]</f>
        <v>Dopatigu-H781H772/RJ</v>
      </c>
      <c r="F1125" s="88">
        <v>46139</v>
      </c>
      <c r="G1125" s="88" t="str" cm="1">
        <f t="array" ref="G11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AND(F1125&gt;= DATE(2026,1,1), F1125&lt;= DATE(2028, 12, 31), J1125&gt;50000), "Pendente e Caro", AND(F1125&gt;= DATE(2026,1,1), F1125&lt;= DATE(2028, 12, 31), J1125&lt;=50000), "Pendente", F1125&gt;= DATE(2029,1,1), "Não prioeitário")</f>
        <v>Pendente e Caro</v>
      </c>
      <c r="H1125" s="89">
        <f>YEAR(Tabela1[[#This Row],[Data de Validade]])</f>
        <v>2026</v>
      </c>
      <c r="I1125" s="89">
        <f>MONTH(Tabela1[[#This Row],[Data de Validade]])</f>
        <v>4</v>
      </c>
      <c r="J1125" s="101">
        <v>116239</v>
      </c>
      <c r="K1125" s="87" t="s">
        <v>14</v>
      </c>
      <c r="L1125" s="108"/>
      <c r="M1125" s="108"/>
      <c r="N1125" s="108" t="str">
        <v>H781H772</v>
      </c>
      <c r="O1125" s="108">
        <f t="shared" si="19"/>
        <v>1</v>
      </c>
      <c r="P1125" s="108"/>
      <c r="Q1125"/>
    </row>
    <row r="1126" spans="1:17" x14ac:dyDescent="0.25">
      <c r="A1126" s="89" t="s">
        <v>4606</v>
      </c>
      <c r="B1126" s="87" t="s">
        <v>4607</v>
      </c>
      <c r="C1126" s="87" t="s">
        <v>8</v>
      </c>
      <c r="D1126" s="87" t="str">
        <f>VLOOKUP(Tabela1[[#This Row],[Origem]], 'Perguntas 1 a 24'!$J$28:$K$34, 2, 0)</f>
        <v>Nordeste</v>
      </c>
      <c r="E1126" s="87" t="str">
        <f>Tabela1[[#This Row],[Descrição]]&amp;"-"&amp;Tabela1[[#This Row],[Código]]&amp;"/"&amp;Tabela1[[#This Row],[Origem]]</f>
        <v>Vilaca-H435H168/AL</v>
      </c>
      <c r="F1126" s="88">
        <v>46139</v>
      </c>
      <c r="G1126" s="88" t="str" cm="1">
        <f t="array" ref="G11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AND(F1126&gt;= DATE(2026,1,1), F1126&lt;= DATE(2028, 12, 31), J1126&gt;50000), "Pendente e Caro", AND(F1126&gt;= DATE(2026,1,1), F1126&lt;= DATE(2028, 12, 31), J1126&lt;=50000), "Pendente", F1126&gt;= DATE(2029,1,1), "Não prioeitário")</f>
        <v>Pendente e Caro</v>
      </c>
      <c r="H1126" s="89">
        <f>YEAR(Tabela1[[#This Row],[Data de Validade]])</f>
        <v>2026</v>
      </c>
      <c r="I1126" s="89">
        <f>MONTH(Tabela1[[#This Row],[Data de Validade]])</f>
        <v>4</v>
      </c>
      <c r="J1126" s="101">
        <v>83671</v>
      </c>
      <c r="K1126" s="87" t="s">
        <v>11</v>
      </c>
      <c r="L1126" s="108"/>
      <c r="M1126" s="108"/>
      <c r="N1126" s="108" t="str">
        <v>H435H168</v>
      </c>
      <c r="O1126" s="108">
        <f t="shared" si="19"/>
        <v>1</v>
      </c>
      <c r="P1126" s="108"/>
      <c r="Q1126"/>
    </row>
    <row r="1127" spans="1:17" x14ac:dyDescent="0.25">
      <c r="A1127" s="89" t="s">
        <v>8512</v>
      </c>
      <c r="B1127" s="87" t="s">
        <v>8513</v>
      </c>
      <c r="C1127" s="87" t="s">
        <v>16</v>
      </c>
      <c r="D1127" s="87" t="str">
        <f>VLOOKUP(Tabela1[[#This Row],[Origem]], 'Perguntas 1 a 24'!$J$28:$K$34, 2, 0)</f>
        <v>Sudeste</v>
      </c>
      <c r="E1127" s="87" t="str">
        <f>Tabela1[[#This Row],[Descrição]]&amp;"-"&amp;Tabela1[[#This Row],[Código]]&amp;"/"&amp;Tabela1[[#This Row],[Origem]]</f>
        <v>Netiripa-H165H853/MG</v>
      </c>
      <c r="F1127" s="88">
        <v>46140</v>
      </c>
      <c r="G1127" s="88" t="str" cm="1">
        <f t="array" ref="G11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AND(F1127&gt;= DATE(2026,1,1), F1127&lt;= DATE(2028, 12, 31), J1127&gt;50000), "Pendente e Caro", AND(F1127&gt;= DATE(2026,1,1), F1127&lt;= DATE(2028, 12, 31), J1127&lt;=50000), "Pendente", F1127&gt;= DATE(2029,1,1), "Não prioeitário")</f>
        <v>Pendente e Caro</v>
      </c>
      <c r="H1127" s="89">
        <f>YEAR(Tabela1[[#This Row],[Data de Validade]])</f>
        <v>2026</v>
      </c>
      <c r="I1127" s="89">
        <f>MONTH(Tabela1[[#This Row],[Data de Validade]])</f>
        <v>4</v>
      </c>
      <c r="J1127" s="101">
        <v>105361</v>
      </c>
      <c r="K1127" s="87" t="s">
        <v>7</v>
      </c>
      <c r="L1127" s="108"/>
      <c r="M1127" s="108"/>
      <c r="N1127" s="108" t="str">
        <v>H165H853</v>
      </c>
      <c r="O1127" s="108">
        <f t="shared" si="19"/>
        <v>1</v>
      </c>
      <c r="P1127" s="108"/>
      <c r="Q1127"/>
    </row>
    <row r="1128" spans="1:17" x14ac:dyDescent="0.25">
      <c r="A1128" s="89" t="s">
        <v>9053</v>
      </c>
      <c r="B1128" s="87" t="s">
        <v>9054</v>
      </c>
      <c r="C1128" s="87" t="s">
        <v>6</v>
      </c>
      <c r="D1128" s="87" t="str">
        <f>VLOOKUP(Tabela1[[#This Row],[Origem]], 'Perguntas 1 a 24'!$J$28:$K$34, 2, 0)</f>
        <v>Nordeste</v>
      </c>
      <c r="E1128" s="87" t="str">
        <f>Tabela1[[#This Row],[Descrição]]&amp;"-"&amp;Tabela1[[#This Row],[Código]]&amp;"/"&amp;Tabela1[[#This Row],[Origem]]</f>
        <v>Tonalo-P815P782/MA</v>
      </c>
      <c r="F1128" s="88">
        <v>46140</v>
      </c>
      <c r="G1128" s="88" t="str" cm="1">
        <f t="array" ref="G11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AND(F1128&gt;= DATE(2026,1,1), F1128&lt;= DATE(2028, 12, 31), J1128&gt;50000), "Pendente e Caro", AND(F1128&gt;= DATE(2026,1,1), F1128&lt;= DATE(2028, 12, 31), J1128&lt;=50000), "Pendente", F1128&gt;= DATE(2029,1,1), "Não prioeitário")</f>
        <v>Pendente</v>
      </c>
      <c r="H1128" s="89">
        <f>YEAR(Tabela1[[#This Row],[Data de Validade]])</f>
        <v>2026</v>
      </c>
      <c r="I1128" s="89">
        <f>MONTH(Tabela1[[#This Row],[Data de Validade]])</f>
        <v>4</v>
      </c>
      <c r="J1128" s="101">
        <v>26193</v>
      </c>
      <c r="K1128" s="87" t="s">
        <v>11</v>
      </c>
      <c r="L1128" s="108"/>
      <c r="M1128" s="108"/>
      <c r="N1128" s="108" t="str">
        <v>P815P782</v>
      </c>
      <c r="O1128" s="108">
        <f t="shared" si="19"/>
        <v>1</v>
      </c>
      <c r="P1128" s="108"/>
      <c r="Q1128"/>
    </row>
    <row r="1129" spans="1:17" x14ac:dyDescent="0.25">
      <c r="A1129" s="89" t="s">
        <v>10847</v>
      </c>
      <c r="B1129" s="87" t="s">
        <v>10848</v>
      </c>
      <c r="C1129" s="87" t="s">
        <v>13</v>
      </c>
      <c r="D1129" s="87" t="str">
        <f>VLOOKUP(Tabela1[[#This Row],[Origem]], 'Perguntas 1 a 24'!$J$28:$K$34, 2, 0)</f>
        <v>Sudeste</v>
      </c>
      <c r="E1129" s="87" t="str">
        <f>Tabela1[[#This Row],[Descrição]]&amp;"-"&amp;Tabela1[[#This Row],[Código]]&amp;"/"&amp;Tabela1[[#This Row],[Origem]]</f>
        <v>Ritapucu-H587H188/SP</v>
      </c>
      <c r="F1129" s="88">
        <v>46142</v>
      </c>
      <c r="G1129" s="88" t="str" cm="1">
        <f t="array" ref="G11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AND(F1129&gt;= DATE(2026,1,1), F1129&lt;= DATE(2028, 12, 31), J1129&gt;50000), "Pendente e Caro", AND(F1129&gt;= DATE(2026,1,1), F1129&lt;= DATE(2028, 12, 31), J1129&lt;=50000), "Pendente", F1129&gt;= DATE(2029,1,1), "Não prioeitário")</f>
        <v>Pendente e Caro</v>
      </c>
      <c r="H1129" s="89">
        <f>YEAR(Tabela1[[#This Row],[Data de Validade]])</f>
        <v>2026</v>
      </c>
      <c r="I1129" s="89">
        <f>MONTH(Tabela1[[#This Row],[Data de Validade]])</f>
        <v>4</v>
      </c>
      <c r="J1129" s="101">
        <v>70751</v>
      </c>
      <c r="K1129" s="87" t="s">
        <v>9</v>
      </c>
      <c r="L1129" s="108"/>
      <c r="M1129" s="108"/>
      <c r="N1129" s="108" t="str">
        <v>H587H188</v>
      </c>
      <c r="O1129" s="108">
        <f t="shared" si="19"/>
        <v>1</v>
      </c>
      <c r="P1129" s="108"/>
      <c r="Q1129"/>
    </row>
    <row r="1130" spans="1:17" x14ac:dyDescent="0.25">
      <c r="A1130" s="89" t="s">
        <v>5438</v>
      </c>
      <c r="B1130" s="87" t="s">
        <v>5439</v>
      </c>
      <c r="C1130" s="87" t="s">
        <v>15</v>
      </c>
      <c r="D1130" s="87" t="str">
        <f>VLOOKUP(Tabela1[[#This Row],[Origem]], 'Perguntas 1 a 24'!$J$28:$K$34, 2, 0)</f>
        <v>Sudeste</v>
      </c>
      <c r="E1130" s="87" t="str">
        <f>Tabela1[[#This Row],[Descrição]]&amp;"-"&amp;Tabela1[[#This Row],[Código]]&amp;"/"&amp;Tabela1[[#This Row],[Origem]]</f>
        <v>Torumavoce-H838H419/ES</v>
      </c>
      <c r="F1130" s="88">
        <v>46142</v>
      </c>
      <c r="G1130" s="88" t="str" cm="1">
        <f t="array" ref="G11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AND(F1130&gt;= DATE(2026,1,1), F1130&lt;= DATE(2028, 12, 31), J1130&gt;50000), "Pendente e Caro", AND(F1130&gt;= DATE(2026,1,1), F1130&lt;= DATE(2028, 12, 31), J1130&lt;=50000), "Pendente", F1130&gt;= DATE(2029,1,1), "Não prioeitário")</f>
        <v>Pendente e Caro</v>
      </c>
      <c r="H1130" s="89">
        <f>YEAR(Tabela1[[#This Row],[Data de Validade]])</f>
        <v>2026</v>
      </c>
      <c r="I1130" s="89">
        <f>MONTH(Tabela1[[#This Row],[Data de Validade]])</f>
        <v>4</v>
      </c>
      <c r="J1130" s="101">
        <v>61537</v>
      </c>
      <c r="K1130" s="87" t="s">
        <v>14</v>
      </c>
      <c r="L1130" s="108"/>
      <c r="M1130" s="108"/>
      <c r="N1130" s="108" t="str">
        <v>H838H419</v>
      </c>
      <c r="O1130" s="108">
        <f t="shared" si="19"/>
        <v>1</v>
      </c>
      <c r="P1130" s="108"/>
      <c r="Q1130"/>
    </row>
    <row r="1131" spans="1:17" x14ac:dyDescent="0.25">
      <c r="A1131" s="89" t="s">
        <v>4860</v>
      </c>
      <c r="B1131" s="87" t="s">
        <v>4861</v>
      </c>
      <c r="C1131" s="87" t="s">
        <v>13</v>
      </c>
      <c r="D1131" s="87" t="str">
        <f>VLOOKUP(Tabela1[[#This Row],[Origem]], 'Perguntas 1 a 24'!$J$28:$K$34, 2, 0)</f>
        <v>Sudeste</v>
      </c>
      <c r="E1131" s="87" t="str">
        <f>Tabela1[[#This Row],[Descrição]]&amp;"-"&amp;Tabela1[[#This Row],[Código]]&amp;"/"&amp;Tabela1[[#This Row],[Origem]]</f>
        <v>Mucovo-P289P536/SP</v>
      </c>
      <c r="F1131" s="88">
        <v>46142</v>
      </c>
      <c r="G1131" s="88" t="str" cm="1">
        <f t="array" ref="G11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AND(F1131&gt;= DATE(2026,1,1), F1131&lt;= DATE(2028, 12, 31), J1131&gt;50000), "Pendente e Caro", AND(F1131&gt;= DATE(2026,1,1), F1131&lt;= DATE(2028, 12, 31), J1131&lt;=50000), "Pendente", F1131&gt;= DATE(2029,1,1), "Não prioeitário")</f>
        <v>Pendente</v>
      </c>
      <c r="H1131" s="89">
        <f>YEAR(Tabela1[[#This Row],[Data de Validade]])</f>
        <v>2026</v>
      </c>
      <c r="I1131" s="89">
        <f>MONTH(Tabela1[[#This Row],[Data de Validade]])</f>
        <v>4</v>
      </c>
      <c r="J1131" s="101">
        <v>35877</v>
      </c>
      <c r="K1131" s="87" t="s">
        <v>7</v>
      </c>
      <c r="L1131" s="108"/>
      <c r="M1131" s="108"/>
      <c r="N1131" s="108" t="str">
        <v>P289P536</v>
      </c>
      <c r="O1131" s="108">
        <f t="shared" si="19"/>
        <v>1</v>
      </c>
      <c r="P1131" s="108"/>
      <c r="Q1131"/>
    </row>
    <row r="1132" spans="1:17" x14ac:dyDescent="0.25">
      <c r="A1132" s="89" t="s">
        <v>8853</v>
      </c>
      <c r="B1132" s="87" t="s">
        <v>8854</v>
      </c>
      <c r="C1132" s="87" t="s">
        <v>10</v>
      </c>
      <c r="D1132" s="87" t="str">
        <f>VLOOKUP(Tabela1[[#This Row],[Origem]], 'Perguntas 1 a 24'!$J$28:$K$34, 2, 0)</f>
        <v>Centro-Oeste</v>
      </c>
      <c r="E1132" s="87" t="str">
        <f>Tabela1[[#This Row],[Descrição]]&amp;"-"&amp;Tabela1[[#This Row],[Código]]&amp;"/"&amp;Tabela1[[#This Row],[Origem]]</f>
        <v>Ludunenuvo-H237H171/GO</v>
      </c>
      <c r="F1132" s="88">
        <v>46143</v>
      </c>
      <c r="G1132" s="88" t="str" cm="1">
        <f t="array" ref="G11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AND(F1132&gt;= DATE(2026,1,1), F1132&lt;= DATE(2028, 12, 31), J1132&gt;50000), "Pendente e Caro", AND(F1132&gt;= DATE(2026,1,1), F1132&lt;= DATE(2028, 12, 31), J1132&lt;=50000), "Pendente", F1132&gt;= DATE(2029,1,1), "Não prioeitário")</f>
        <v>Pendente e Caro</v>
      </c>
      <c r="H1132" s="89">
        <f>YEAR(Tabela1[[#This Row],[Data de Validade]])</f>
        <v>2026</v>
      </c>
      <c r="I1132" s="89">
        <f>MONTH(Tabela1[[#This Row],[Data de Validade]])</f>
        <v>5</v>
      </c>
      <c r="J1132" s="101">
        <v>80017</v>
      </c>
      <c r="K1132" s="87" t="s">
        <v>9</v>
      </c>
      <c r="L1132" s="108"/>
      <c r="M1132" s="108"/>
      <c r="N1132" s="108" t="str">
        <v>H237H171</v>
      </c>
      <c r="O1132" s="108">
        <f t="shared" si="19"/>
        <v>1</v>
      </c>
      <c r="P1132" s="108"/>
      <c r="Q1132"/>
    </row>
    <row r="1133" spans="1:17" x14ac:dyDescent="0.25">
      <c r="A1133" s="89" t="s">
        <v>5258</v>
      </c>
      <c r="B1133" s="87" t="s">
        <v>5259</v>
      </c>
      <c r="C1133" s="87" t="s">
        <v>10</v>
      </c>
      <c r="D1133" s="87" t="str">
        <f>VLOOKUP(Tabela1[[#This Row],[Origem]], 'Perguntas 1 a 24'!$J$28:$K$34, 2, 0)</f>
        <v>Centro-Oeste</v>
      </c>
      <c r="E1133" s="87" t="str">
        <f>Tabela1[[#This Row],[Descrição]]&amp;"-"&amp;Tabela1[[#This Row],[Código]]&amp;"/"&amp;Tabela1[[#This Row],[Origem]]</f>
        <v>Tagetenafu-H774H478/GO</v>
      </c>
      <c r="F1133" s="88">
        <v>46143</v>
      </c>
      <c r="G1133" s="88" t="str" cm="1">
        <f t="array" ref="G11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AND(F1133&gt;= DATE(2026,1,1), F1133&lt;= DATE(2028, 12, 31), J1133&gt;50000), "Pendente e Caro", AND(F1133&gt;= DATE(2026,1,1), F1133&lt;= DATE(2028, 12, 31), J1133&lt;=50000), "Pendente", F1133&gt;= DATE(2029,1,1), "Não prioeitário")</f>
        <v>Pendente</v>
      </c>
      <c r="H1133" s="89">
        <f>YEAR(Tabela1[[#This Row],[Data de Validade]])</f>
        <v>2026</v>
      </c>
      <c r="I1133" s="89">
        <f>MONTH(Tabela1[[#This Row],[Data de Validade]])</f>
        <v>5</v>
      </c>
      <c r="J1133" s="101">
        <v>25242</v>
      </c>
      <c r="K1133" s="87" t="s">
        <v>11</v>
      </c>
      <c r="L1133" s="108"/>
      <c r="M1133" s="108"/>
      <c r="N1133" s="108" t="str">
        <v>H774H478</v>
      </c>
      <c r="O1133" s="108">
        <f t="shared" si="19"/>
        <v>1</v>
      </c>
      <c r="P1133" s="108"/>
      <c r="Q1133"/>
    </row>
    <row r="1134" spans="1:17" x14ac:dyDescent="0.25">
      <c r="A1134" s="89" t="s">
        <v>7638</v>
      </c>
      <c r="B1134" s="87" t="s">
        <v>7639</v>
      </c>
      <c r="C1134" s="87" t="s">
        <v>6</v>
      </c>
      <c r="D1134" s="87" t="str">
        <f>VLOOKUP(Tabela1[[#This Row],[Origem]], 'Perguntas 1 a 24'!$J$28:$K$34, 2, 0)</f>
        <v>Nordeste</v>
      </c>
      <c r="E1134" s="87" t="str">
        <f>Tabela1[[#This Row],[Descrição]]&amp;"-"&amp;Tabela1[[#This Row],[Código]]&amp;"/"&amp;Tabela1[[#This Row],[Origem]]</f>
        <v>Tatepu-H228P233/MA</v>
      </c>
      <c r="F1134" s="88">
        <v>46144</v>
      </c>
      <c r="G1134" s="88" t="str" cm="1">
        <f t="array" ref="G11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AND(F1134&gt;= DATE(2026,1,1), F1134&lt;= DATE(2028, 12, 31), J1134&gt;50000), "Pendente e Caro", AND(F1134&gt;= DATE(2026,1,1), F1134&lt;= DATE(2028, 12, 31), J1134&lt;=50000), "Pendente", F1134&gt;= DATE(2029,1,1), "Não prioeitário")</f>
        <v>Pendente e Caro</v>
      </c>
      <c r="H1134" s="89">
        <f>YEAR(Tabela1[[#This Row],[Data de Validade]])</f>
        <v>2026</v>
      </c>
      <c r="I1134" s="89">
        <f>MONTH(Tabela1[[#This Row],[Data de Validade]])</f>
        <v>5</v>
      </c>
      <c r="J1134" s="101">
        <v>114145</v>
      </c>
      <c r="K1134" s="87" t="s">
        <v>11</v>
      </c>
      <c r="L1134" s="108"/>
      <c r="M1134" s="108"/>
      <c r="N1134" s="108" t="str">
        <v>H228P233</v>
      </c>
      <c r="O1134" s="108">
        <f t="shared" si="19"/>
        <v>1</v>
      </c>
      <c r="P1134" s="108"/>
      <c r="Q1134"/>
    </row>
    <row r="1135" spans="1:17" x14ac:dyDescent="0.25">
      <c r="A1135" s="89" t="s">
        <v>4712</v>
      </c>
      <c r="B1135" s="87" t="s">
        <v>4713</v>
      </c>
      <c r="C1135" s="87" t="s">
        <v>12</v>
      </c>
      <c r="D1135" s="87" t="str">
        <f>VLOOKUP(Tabela1[[#This Row],[Origem]], 'Perguntas 1 a 24'!$J$28:$K$34, 2, 0)</f>
        <v>Sudeste</v>
      </c>
      <c r="E1135" s="87" t="str">
        <f>Tabela1[[#This Row],[Descrição]]&amp;"-"&amp;Tabela1[[#This Row],[Código]]&amp;"/"&amp;Tabela1[[#This Row],[Origem]]</f>
        <v>Tegodudi-H371H216/RJ</v>
      </c>
      <c r="F1135" s="88">
        <v>46145</v>
      </c>
      <c r="G1135" s="88" t="str" cm="1">
        <f t="array" ref="G11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AND(F1135&gt;= DATE(2026,1,1), F1135&lt;= DATE(2028, 12, 31), J1135&gt;50000), "Pendente e Caro", AND(F1135&gt;= DATE(2026,1,1), F1135&lt;= DATE(2028, 12, 31), J1135&lt;=50000), "Pendente", F1135&gt;= DATE(2029,1,1), "Não prioeitário")</f>
        <v>Pendente e Caro</v>
      </c>
      <c r="H1135" s="89">
        <f>YEAR(Tabela1[[#This Row],[Data de Validade]])</f>
        <v>2026</v>
      </c>
      <c r="I1135" s="89">
        <f>MONTH(Tabela1[[#This Row],[Data de Validade]])</f>
        <v>5</v>
      </c>
      <c r="J1135" s="101">
        <v>100992</v>
      </c>
      <c r="K1135" s="87" t="s">
        <v>7</v>
      </c>
      <c r="L1135" s="108"/>
      <c r="M1135" s="108"/>
      <c r="N1135" s="108" t="str">
        <v>H371H216</v>
      </c>
      <c r="O1135" s="108">
        <f t="shared" si="19"/>
        <v>1</v>
      </c>
      <c r="P1135" s="108"/>
      <c r="Q1135"/>
    </row>
    <row r="1136" spans="1:17" x14ac:dyDescent="0.25">
      <c r="A1136" s="89" t="s">
        <v>8376</v>
      </c>
      <c r="B1136" s="87" t="s">
        <v>8377</v>
      </c>
      <c r="C1136" s="87" t="s">
        <v>8</v>
      </c>
      <c r="D1136" s="87" t="str">
        <f>VLOOKUP(Tabela1[[#This Row],[Origem]], 'Perguntas 1 a 24'!$J$28:$K$34, 2, 0)</f>
        <v>Nordeste</v>
      </c>
      <c r="E1136" s="87" t="str">
        <f>Tabela1[[#This Row],[Descrição]]&amp;"-"&amp;Tabela1[[#This Row],[Código]]&amp;"/"&amp;Tabela1[[#This Row],[Origem]]</f>
        <v>Noladegeno-P617H843/AL</v>
      </c>
      <c r="F1136" s="88">
        <v>46145</v>
      </c>
      <c r="G1136" s="88" t="str" cm="1">
        <f t="array" ref="G11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AND(F1136&gt;= DATE(2026,1,1), F1136&lt;= DATE(2028, 12, 31), J1136&gt;50000), "Pendente e Caro", AND(F1136&gt;= DATE(2026,1,1), F1136&lt;= DATE(2028, 12, 31), J1136&lt;=50000), "Pendente", F1136&gt;= DATE(2029,1,1), "Não prioeitário")</f>
        <v>Pendente</v>
      </c>
      <c r="H1136" s="89">
        <f>YEAR(Tabela1[[#This Row],[Data de Validade]])</f>
        <v>2026</v>
      </c>
      <c r="I1136" s="89">
        <f>MONTH(Tabela1[[#This Row],[Data de Validade]])</f>
        <v>5</v>
      </c>
      <c r="J1136" s="101">
        <v>29263</v>
      </c>
      <c r="K1136" s="87" t="s">
        <v>11</v>
      </c>
      <c r="L1136" s="108"/>
      <c r="M1136" s="108"/>
      <c r="N1136" s="108" t="str">
        <v>P617H843</v>
      </c>
      <c r="O1136" s="108">
        <f t="shared" si="19"/>
        <v>1</v>
      </c>
      <c r="P1136" s="108"/>
      <c r="Q1136"/>
    </row>
    <row r="1137" spans="1:17" x14ac:dyDescent="0.25">
      <c r="A1137" s="89" t="s">
        <v>5916</v>
      </c>
      <c r="B1137" s="87" t="s">
        <v>5917</v>
      </c>
      <c r="C1137" s="87" t="s">
        <v>8</v>
      </c>
      <c r="D1137" s="87" t="str">
        <f>VLOOKUP(Tabela1[[#This Row],[Origem]], 'Perguntas 1 a 24'!$J$28:$K$34, 2, 0)</f>
        <v>Nordeste</v>
      </c>
      <c r="E1137" s="87" t="str">
        <f>Tabela1[[#This Row],[Descrição]]&amp;"-"&amp;Tabela1[[#This Row],[Código]]&amp;"/"&amp;Tabela1[[#This Row],[Origem]]</f>
        <v>Peputepufi-H839H769/AL</v>
      </c>
      <c r="F1137" s="88">
        <v>46146</v>
      </c>
      <c r="G1137" s="88" t="str" cm="1">
        <f t="array" ref="G11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AND(F1137&gt;= DATE(2026,1,1), F1137&lt;= DATE(2028, 12, 31), J1137&gt;50000), "Pendente e Caro", AND(F1137&gt;= DATE(2026,1,1), F1137&lt;= DATE(2028, 12, 31), J1137&lt;=50000), "Pendente", F1137&gt;= DATE(2029,1,1), "Não prioeitário")</f>
        <v>Pendente e Caro</v>
      </c>
      <c r="H1137" s="89">
        <f>YEAR(Tabela1[[#This Row],[Data de Validade]])</f>
        <v>2026</v>
      </c>
      <c r="I1137" s="89">
        <f>MONTH(Tabela1[[#This Row],[Data de Validade]])</f>
        <v>5</v>
      </c>
      <c r="J1137" s="101">
        <v>107732</v>
      </c>
      <c r="K1137" s="87" t="s">
        <v>9</v>
      </c>
      <c r="L1137" s="108"/>
      <c r="M1137" s="108"/>
      <c r="N1137" s="108" t="str">
        <v>H839H769</v>
      </c>
      <c r="O1137" s="108">
        <f t="shared" si="19"/>
        <v>1</v>
      </c>
      <c r="P1137" s="108"/>
      <c r="Q1137"/>
    </row>
    <row r="1138" spans="1:17" x14ac:dyDescent="0.25">
      <c r="A1138" s="89" t="s">
        <v>4964</v>
      </c>
      <c r="B1138" s="87" t="s">
        <v>4965</v>
      </c>
      <c r="C1138" s="87" t="s">
        <v>6</v>
      </c>
      <c r="D1138" s="87" t="str">
        <f>VLOOKUP(Tabela1[[#This Row],[Origem]], 'Perguntas 1 a 24'!$J$28:$K$34, 2, 0)</f>
        <v>Nordeste</v>
      </c>
      <c r="E1138" s="87" t="str">
        <f>Tabela1[[#This Row],[Descrição]]&amp;"-"&amp;Tabela1[[#This Row],[Código]]&amp;"/"&amp;Tabela1[[#This Row],[Origem]]</f>
        <v>Palidireta-P671P222/MA</v>
      </c>
      <c r="F1138" s="88">
        <v>46146</v>
      </c>
      <c r="G1138" s="88" t="str" cm="1">
        <f t="array" ref="G11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AND(F1138&gt;= DATE(2026,1,1), F1138&lt;= DATE(2028, 12, 31), J1138&gt;50000), "Pendente e Caro", AND(F1138&gt;= DATE(2026,1,1), F1138&lt;= DATE(2028, 12, 31), J1138&lt;=50000), "Pendente", F1138&gt;= DATE(2029,1,1), "Não prioeitário")</f>
        <v>Pendente e Caro</v>
      </c>
      <c r="H1138" s="89">
        <f>YEAR(Tabela1[[#This Row],[Data de Validade]])</f>
        <v>2026</v>
      </c>
      <c r="I1138" s="89">
        <f>MONTH(Tabela1[[#This Row],[Data de Validade]])</f>
        <v>5</v>
      </c>
      <c r="J1138" s="101">
        <v>60631</v>
      </c>
      <c r="K1138" s="87" t="s">
        <v>9</v>
      </c>
      <c r="L1138" s="108"/>
      <c r="M1138" s="108"/>
      <c r="N1138" s="108" t="str">
        <v>P671P222</v>
      </c>
      <c r="O1138" s="108">
        <f t="shared" si="19"/>
        <v>1</v>
      </c>
      <c r="P1138" s="108"/>
      <c r="Q1138"/>
    </row>
    <row r="1139" spans="1:17" x14ac:dyDescent="0.25">
      <c r="A1139" s="89" t="s">
        <v>6024</v>
      </c>
      <c r="B1139" s="87" t="s">
        <v>6025</v>
      </c>
      <c r="C1139" s="87" t="s">
        <v>6</v>
      </c>
      <c r="D1139" s="87" t="str">
        <f>VLOOKUP(Tabela1[[#This Row],[Origem]], 'Perguntas 1 a 24'!$J$28:$K$34, 2, 0)</f>
        <v>Nordeste</v>
      </c>
      <c r="E1139" s="87" t="str">
        <f>Tabela1[[#This Row],[Descrição]]&amp;"-"&amp;Tabela1[[#This Row],[Código]]&amp;"/"&amp;Tabela1[[#This Row],[Origem]]</f>
        <v>Demureno-P148P529/MA</v>
      </c>
      <c r="F1139" s="88">
        <v>46146</v>
      </c>
      <c r="G1139" s="88" t="str" cm="1">
        <f t="array" ref="G11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AND(F1139&gt;= DATE(2026,1,1), F1139&lt;= DATE(2028, 12, 31), J1139&gt;50000), "Pendente e Caro", AND(F1139&gt;= DATE(2026,1,1), F1139&lt;= DATE(2028, 12, 31), J1139&lt;=50000), "Pendente", F1139&gt;= DATE(2029,1,1), "Não prioeitário")</f>
        <v>Pendente</v>
      </c>
      <c r="H1139" s="89">
        <f>YEAR(Tabela1[[#This Row],[Data de Validade]])</f>
        <v>2026</v>
      </c>
      <c r="I1139" s="89">
        <f>MONTH(Tabela1[[#This Row],[Data de Validade]])</f>
        <v>5</v>
      </c>
      <c r="J1139" s="101">
        <v>36538</v>
      </c>
      <c r="K1139" s="87" t="s">
        <v>14</v>
      </c>
      <c r="L1139" s="108"/>
      <c r="M1139" s="108"/>
      <c r="N1139" s="108" t="str">
        <v>P148P529</v>
      </c>
      <c r="O1139" s="108">
        <f t="shared" si="19"/>
        <v>1</v>
      </c>
      <c r="P1139" s="108"/>
      <c r="Q1139"/>
    </row>
    <row r="1140" spans="1:17" x14ac:dyDescent="0.25">
      <c r="A1140" s="89" t="s">
        <v>9245</v>
      </c>
      <c r="B1140" s="87" t="s">
        <v>9246</v>
      </c>
      <c r="C1140" s="87" t="s">
        <v>12</v>
      </c>
      <c r="D1140" s="87" t="str">
        <f>VLOOKUP(Tabela1[[#This Row],[Origem]], 'Perguntas 1 a 24'!$J$28:$K$34, 2, 0)</f>
        <v>Sudeste</v>
      </c>
      <c r="E1140" s="87" t="str">
        <f>Tabela1[[#This Row],[Descrição]]&amp;"-"&amp;Tabela1[[#This Row],[Código]]&amp;"/"&amp;Tabela1[[#This Row],[Origem]]</f>
        <v>Tipogopipa-P541P948/RJ</v>
      </c>
      <c r="F1140" s="88">
        <v>46147</v>
      </c>
      <c r="G1140" s="88" t="str" cm="1">
        <f t="array" ref="G11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AND(F1140&gt;= DATE(2026,1,1), F1140&lt;= DATE(2028, 12, 31), J1140&gt;50000), "Pendente e Caro", AND(F1140&gt;= DATE(2026,1,1), F1140&lt;= DATE(2028, 12, 31), J1140&lt;=50000), "Pendente", F1140&gt;= DATE(2029,1,1), "Não prioeitário")</f>
        <v>Pendente e Caro</v>
      </c>
      <c r="H1140" s="89">
        <f>YEAR(Tabela1[[#This Row],[Data de Validade]])</f>
        <v>2026</v>
      </c>
      <c r="I1140" s="89">
        <f>MONTH(Tabela1[[#This Row],[Data de Validade]])</f>
        <v>5</v>
      </c>
      <c r="J1140" s="101">
        <v>90884</v>
      </c>
      <c r="K1140" s="87" t="s">
        <v>14</v>
      </c>
      <c r="L1140" s="108"/>
      <c r="M1140" s="108"/>
      <c r="N1140" s="108" t="str">
        <v>P541P948</v>
      </c>
      <c r="O1140" s="108">
        <f t="shared" si="19"/>
        <v>1</v>
      </c>
      <c r="P1140" s="108"/>
      <c r="Q1140"/>
    </row>
    <row r="1141" spans="1:17" x14ac:dyDescent="0.25">
      <c r="A1141" s="89" t="s">
        <v>6370</v>
      </c>
      <c r="B1141" s="87" t="s">
        <v>6371</v>
      </c>
      <c r="C1141" s="87" t="s">
        <v>13</v>
      </c>
      <c r="D1141" s="87" t="str">
        <f>VLOOKUP(Tabela1[[#This Row],[Origem]], 'Perguntas 1 a 24'!$J$28:$K$34, 2, 0)</f>
        <v>Sudeste</v>
      </c>
      <c r="E1141" s="87" t="str">
        <f>Tabela1[[#This Row],[Descrição]]&amp;"-"&amp;Tabela1[[#This Row],[Código]]&amp;"/"&amp;Tabela1[[#This Row],[Origem]]</f>
        <v>Mapuripopa-P161P896/SP</v>
      </c>
      <c r="F1141" s="88">
        <v>46147</v>
      </c>
      <c r="G1141" s="88" t="str" cm="1">
        <f t="array" ref="G11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AND(F1141&gt;= DATE(2026,1,1), F1141&lt;= DATE(2028, 12, 31), J1141&gt;50000), "Pendente e Caro", AND(F1141&gt;= DATE(2026,1,1), F1141&lt;= DATE(2028, 12, 31), J1141&lt;=50000), "Pendente", F1141&gt;= DATE(2029,1,1), "Não prioeitário")</f>
        <v>Pendente e Caro</v>
      </c>
      <c r="H1141" s="89">
        <f>YEAR(Tabela1[[#This Row],[Data de Validade]])</f>
        <v>2026</v>
      </c>
      <c r="I1141" s="89">
        <f>MONTH(Tabela1[[#This Row],[Data de Validade]])</f>
        <v>5</v>
      </c>
      <c r="J1141" s="101">
        <v>85389</v>
      </c>
      <c r="K1141" s="87" t="s">
        <v>9</v>
      </c>
      <c r="L1141" s="108"/>
      <c r="M1141" s="108"/>
      <c r="N1141" s="108" t="str">
        <v>P161P896</v>
      </c>
      <c r="O1141" s="108">
        <f t="shared" si="19"/>
        <v>1</v>
      </c>
      <c r="P1141" s="108"/>
      <c r="Q1141"/>
    </row>
    <row r="1142" spans="1:17" x14ac:dyDescent="0.25">
      <c r="A1142" s="89" t="s">
        <v>7264</v>
      </c>
      <c r="B1142" s="87" t="s">
        <v>7265</v>
      </c>
      <c r="C1142" s="87" t="s">
        <v>8</v>
      </c>
      <c r="D1142" s="87" t="str">
        <f>VLOOKUP(Tabela1[[#This Row],[Origem]], 'Perguntas 1 a 24'!$J$28:$K$34, 2, 0)</f>
        <v>Nordeste</v>
      </c>
      <c r="E1142" s="87" t="str">
        <f>Tabela1[[#This Row],[Descrição]]&amp;"-"&amp;Tabela1[[#This Row],[Código]]&amp;"/"&amp;Tabela1[[#This Row],[Origem]]</f>
        <v>Tatura-P184H391/AL</v>
      </c>
      <c r="F1142" s="88">
        <v>46147</v>
      </c>
      <c r="G1142" s="88" t="str" cm="1">
        <f t="array" ref="G11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AND(F1142&gt;= DATE(2026,1,1), F1142&lt;= DATE(2028, 12, 31), J1142&gt;50000), "Pendente e Caro", AND(F1142&gt;= DATE(2026,1,1), F1142&lt;= DATE(2028, 12, 31), J1142&lt;=50000), "Pendente", F1142&gt;= DATE(2029,1,1), "Não prioeitário")</f>
        <v>Pendente e Caro</v>
      </c>
      <c r="H1142" s="89">
        <f>YEAR(Tabela1[[#This Row],[Data de Validade]])</f>
        <v>2026</v>
      </c>
      <c r="I1142" s="89">
        <f>MONTH(Tabela1[[#This Row],[Data de Validade]])</f>
        <v>5</v>
      </c>
      <c r="J1142" s="101">
        <v>75853</v>
      </c>
      <c r="K1142" s="87" t="s">
        <v>7</v>
      </c>
      <c r="L1142" s="108"/>
      <c r="M1142" s="108"/>
      <c r="N1142" s="108" t="str">
        <v>P184H391</v>
      </c>
      <c r="O1142" s="108">
        <f t="shared" si="19"/>
        <v>1</v>
      </c>
      <c r="P1142" s="108"/>
      <c r="Q1142"/>
    </row>
    <row r="1143" spans="1:17" x14ac:dyDescent="0.25">
      <c r="A1143" s="89" t="s">
        <v>9619</v>
      </c>
      <c r="B1143" s="87" t="s">
        <v>9620</v>
      </c>
      <c r="C1143" s="87" t="s">
        <v>13</v>
      </c>
      <c r="D1143" s="87" t="str">
        <f>VLOOKUP(Tabela1[[#This Row],[Origem]], 'Perguntas 1 a 24'!$J$28:$K$34, 2, 0)</f>
        <v>Sudeste</v>
      </c>
      <c r="E1143" s="87" t="str">
        <f>Tabela1[[#This Row],[Descrição]]&amp;"-"&amp;Tabela1[[#This Row],[Código]]&amp;"/"&amp;Tabela1[[#This Row],[Origem]]</f>
        <v>Dagipi-P835P453/SP</v>
      </c>
      <c r="F1143" s="88">
        <v>46147</v>
      </c>
      <c r="G1143" s="88" t="str" cm="1">
        <f t="array" ref="G11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AND(F1143&gt;= DATE(2026,1,1), F1143&lt;= DATE(2028, 12, 31), J1143&gt;50000), "Pendente e Caro", AND(F1143&gt;= DATE(2026,1,1), F1143&lt;= DATE(2028, 12, 31), J1143&lt;=50000), "Pendente", F1143&gt;= DATE(2029,1,1), "Não prioeitário")</f>
        <v>Pendente e Caro</v>
      </c>
      <c r="H1143" s="89">
        <f>YEAR(Tabela1[[#This Row],[Data de Validade]])</f>
        <v>2026</v>
      </c>
      <c r="I1143" s="89">
        <f>MONTH(Tabela1[[#This Row],[Data de Validade]])</f>
        <v>5</v>
      </c>
      <c r="J1143" s="101">
        <v>69785</v>
      </c>
      <c r="K1143" s="87" t="s">
        <v>9</v>
      </c>
      <c r="L1143" s="108"/>
      <c r="M1143" s="108"/>
      <c r="N1143" s="108" t="str">
        <v>P835P453</v>
      </c>
      <c r="O1143" s="108">
        <f t="shared" si="19"/>
        <v>1</v>
      </c>
      <c r="P1143" s="108"/>
      <c r="Q1143"/>
    </row>
    <row r="1144" spans="1:17" x14ac:dyDescent="0.25">
      <c r="A1144" s="89" t="s">
        <v>6570</v>
      </c>
      <c r="B1144" s="87" t="s">
        <v>6571</v>
      </c>
      <c r="C1144" s="87" t="s">
        <v>6</v>
      </c>
      <c r="D1144" s="87" t="str">
        <f>VLOOKUP(Tabela1[[#This Row],[Origem]], 'Perguntas 1 a 24'!$J$28:$K$34, 2, 0)</f>
        <v>Nordeste</v>
      </c>
      <c r="E1144" s="87" t="str">
        <f>Tabela1[[#This Row],[Descrição]]&amp;"-"&amp;Tabela1[[#This Row],[Código]]&amp;"/"&amp;Tabela1[[#This Row],[Origem]]</f>
        <v>Fofepo-P256H916/MA</v>
      </c>
      <c r="F1144" s="88">
        <v>46147</v>
      </c>
      <c r="G1144" s="88" t="str" cm="1">
        <f t="array" ref="G11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AND(F1144&gt;= DATE(2026,1,1), F1144&lt;= DATE(2028, 12, 31), J1144&gt;50000), "Pendente e Caro", AND(F1144&gt;= DATE(2026,1,1), F1144&lt;= DATE(2028, 12, 31), J1144&lt;=50000), "Pendente", F1144&gt;= DATE(2029,1,1), "Não prioeitário")</f>
        <v>Pendente e Caro</v>
      </c>
      <c r="H1144" s="89">
        <f>YEAR(Tabela1[[#This Row],[Data de Validade]])</f>
        <v>2026</v>
      </c>
      <c r="I1144" s="89">
        <f>MONTH(Tabela1[[#This Row],[Data de Validade]])</f>
        <v>5</v>
      </c>
      <c r="J1144" s="101">
        <v>56533</v>
      </c>
      <c r="K1144" s="87" t="s">
        <v>9</v>
      </c>
      <c r="L1144" s="108"/>
      <c r="M1144" s="108"/>
      <c r="N1144" s="108" t="str">
        <v>P256H916</v>
      </c>
      <c r="O1144" s="108">
        <f t="shared" si="19"/>
        <v>1</v>
      </c>
      <c r="P1144" s="108"/>
      <c r="Q1144"/>
    </row>
    <row r="1145" spans="1:17" x14ac:dyDescent="0.25">
      <c r="A1145" s="89" t="s">
        <v>10587</v>
      </c>
      <c r="B1145" s="87" t="s">
        <v>10588</v>
      </c>
      <c r="C1145" s="87" t="s">
        <v>13</v>
      </c>
      <c r="D1145" s="87" t="str">
        <f>VLOOKUP(Tabela1[[#This Row],[Origem]], 'Perguntas 1 a 24'!$J$28:$K$34, 2, 0)</f>
        <v>Sudeste</v>
      </c>
      <c r="E1145" s="87" t="str">
        <f>Tabela1[[#This Row],[Descrição]]&amp;"-"&amp;Tabela1[[#This Row],[Código]]&amp;"/"&amp;Tabela1[[#This Row],[Origem]]</f>
        <v>Fomofodano-P159P667/SP</v>
      </c>
      <c r="F1145" s="88">
        <v>46148</v>
      </c>
      <c r="G1145" s="88" t="str" cm="1">
        <f t="array" ref="G11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AND(F1145&gt;= DATE(2026,1,1), F1145&lt;= DATE(2028, 12, 31), J1145&gt;50000), "Pendente e Caro", AND(F1145&gt;= DATE(2026,1,1), F1145&lt;= DATE(2028, 12, 31), J1145&lt;=50000), "Pendente", F1145&gt;= DATE(2029,1,1), "Não prioeitário")</f>
        <v>Pendente e Caro</v>
      </c>
      <c r="H1145" s="89">
        <f>YEAR(Tabela1[[#This Row],[Data de Validade]])</f>
        <v>2026</v>
      </c>
      <c r="I1145" s="89">
        <f>MONTH(Tabela1[[#This Row],[Data de Validade]])</f>
        <v>5</v>
      </c>
      <c r="J1145" s="101">
        <v>64862</v>
      </c>
      <c r="K1145" s="87" t="s">
        <v>14</v>
      </c>
      <c r="L1145" s="108"/>
      <c r="M1145" s="108"/>
      <c r="N1145" s="108" t="str">
        <v>P159P667</v>
      </c>
      <c r="O1145" s="108">
        <f t="shared" si="19"/>
        <v>1</v>
      </c>
      <c r="P1145" s="108"/>
      <c r="Q1145"/>
    </row>
    <row r="1146" spans="1:17" x14ac:dyDescent="0.25">
      <c r="A1146" s="89" t="s">
        <v>4572</v>
      </c>
      <c r="B1146" s="87" t="s">
        <v>4573</v>
      </c>
      <c r="C1146" s="87" t="s">
        <v>10</v>
      </c>
      <c r="D1146" s="87" t="str">
        <f>VLOOKUP(Tabela1[[#This Row],[Origem]], 'Perguntas 1 a 24'!$J$28:$K$34, 2, 0)</f>
        <v>Centro-Oeste</v>
      </c>
      <c r="E1146" s="87" t="str">
        <f>Tabela1[[#This Row],[Descrição]]&amp;"-"&amp;Tabela1[[#This Row],[Código]]&amp;"/"&amp;Tabela1[[#This Row],[Origem]]</f>
        <v>Nerocu-P514P938/GO</v>
      </c>
      <c r="F1146" s="88">
        <v>46148</v>
      </c>
      <c r="G1146" s="88" t="str" cm="1">
        <f t="array" ref="G11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AND(F1146&gt;= DATE(2026,1,1), F1146&lt;= DATE(2028, 12, 31), J1146&gt;50000), "Pendente e Caro", AND(F1146&gt;= DATE(2026,1,1), F1146&lt;= DATE(2028, 12, 31), J1146&lt;=50000), "Pendente", F1146&gt;= DATE(2029,1,1), "Não prioeitário")</f>
        <v>Pendente</v>
      </c>
      <c r="H1146" s="89">
        <f>YEAR(Tabela1[[#This Row],[Data de Validade]])</f>
        <v>2026</v>
      </c>
      <c r="I1146" s="89">
        <f>MONTH(Tabela1[[#This Row],[Data de Validade]])</f>
        <v>5</v>
      </c>
      <c r="J1146" s="101">
        <v>41234</v>
      </c>
      <c r="K1146" s="87" t="s">
        <v>9</v>
      </c>
      <c r="L1146" s="108"/>
      <c r="M1146" s="108"/>
      <c r="N1146" s="108" t="str">
        <v>P514P938</v>
      </c>
      <c r="O1146" s="108">
        <f t="shared" si="19"/>
        <v>1</v>
      </c>
      <c r="P1146" s="108"/>
      <c r="Q1146"/>
    </row>
    <row r="1147" spans="1:17" x14ac:dyDescent="0.25">
      <c r="A1147" s="89" t="s">
        <v>8316</v>
      </c>
      <c r="B1147" s="87" t="s">
        <v>8317</v>
      </c>
      <c r="C1147" s="87" t="s">
        <v>8</v>
      </c>
      <c r="D1147" s="87" t="str">
        <f>VLOOKUP(Tabela1[[#This Row],[Origem]], 'Perguntas 1 a 24'!$J$28:$K$34, 2, 0)</f>
        <v>Nordeste</v>
      </c>
      <c r="E1147" s="87" t="str">
        <f>Tabela1[[#This Row],[Descrição]]&amp;"-"&amp;Tabela1[[#This Row],[Código]]&amp;"/"&amp;Tabela1[[#This Row],[Origem]]</f>
        <v>Tinale-P149P222/AL</v>
      </c>
      <c r="F1147" s="88">
        <v>46149</v>
      </c>
      <c r="G1147" s="88" t="str" cm="1">
        <f t="array" ref="G11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AND(F1147&gt;= DATE(2026,1,1), F1147&lt;= DATE(2028, 12, 31), J1147&gt;50000), "Pendente e Caro", AND(F1147&gt;= DATE(2026,1,1), F1147&lt;= DATE(2028, 12, 31), J1147&lt;=50000), "Pendente", F1147&gt;= DATE(2029,1,1), "Não prioeitário")</f>
        <v>Pendente e Caro</v>
      </c>
      <c r="H1147" s="89">
        <f>YEAR(Tabela1[[#This Row],[Data de Validade]])</f>
        <v>2026</v>
      </c>
      <c r="I1147" s="89">
        <f>MONTH(Tabela1[[#This Row],[Data de Validade]])</f>
        <v>5</v>
      </c>
      <c r="J1147" s="101">
        <v>115384</v>
      </c>
      <c r="K1147" s="87" t="s">
        <v>7</v>
      </c>
      <c r="L1147" s="108"/>
      <c r="M1147" s="108"/>
      <c r="N1147" s="108" t="str">
        <v>P149P222</v>
      </c>
      <c r="O1147" s="108">
        <f t="shared" si="19"/>
        <v>1</v>
      </c>
      <c r="P1147" s="108"/>
      <c r="Q1147"/>
    </row>
    <row r="1148" spans="1:17" x14ac:dyDescent="0.25">
      <c r="A1148" s="89" t="s">
        <v>8402</v>
      </c>
      <c r="B1148" s="87" t="s">
        <v>8403</v>
      </c>
      <c r="C1148" s="87" t="s">
        <v>10</v>
      </c>
      <c r="D1148" s="87" t="str">
        <f>VLOOKUP(Tabela1[[#This Row],[Origem]], 'Perguntas 1 a 24'!$J$28:$K$34, 2, 0)</f>
        <v>Centro-Oeste</v>
      </c>
      <c r="E1148" s="87" t="str">
        <f>Tabela1[[#This Row],[Descrição]]&amp;"-"&amp;Tabela1[[#This Row],[Código]]&amp;"/"&amp;Tabela1[[#This Row],[Origem]]</f>
        <v>Tagopude-P853H932/GO</v>
      </c>
      <c r="F1148" s="88">
        <v>46149</v>
      </c>
      <c r="G1148" s="88" t="str" cm="1">
        <f t="array" ref="G11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AND(F1148&gt;= DATE(2026,1,1), F1148&lt;= DATE(2028, 12, 31), J1148&gt;50000), "Pendente e Caro", AND(F1148&gt;= DATE(2026,1,1), F1148&lt;= DATE(2028, 12, 31), J1148&lt;=50000), "Pendente", F1148&gt;= DATE(2029,1,1), "Não prioeitário")</f>
        <v>Pendente e Caro</v>
      </c>
      <c r="H1148" s="89">
        <f>YEAR(Tabela1[[#This Row],[Data de Validade]])</f>
        <v>2026</v>
      </c>
      <c r="I1148" s="89">
        <f>MONTH(Tabela1[[#This Row],[Data de Validade]])</f>
        <v>5</v>
      </c>
      <c r="J1148" s="101">
        <v>104326</v>
      </c>
      <c r="K1148" s="87" t="s">
        <v>7</v>
      </c>
      <c r="L1148" s="108"/>
      <c r="M1148" s="108"/>
      <c r="N1148" s="108" t="str">
        <v>P853H932</v>
      </c>
      <c r="O1148" s="108">
        <f t="shared" si="19"/>
        <v>1</v>
      </c>
      <c r="P1148" s="108"/>
      <c r="Q1148"/>
    </row>
    <row r="1149" spans="1:17" x14ac:dyDescent="0.25">
      <c r="A1149" s="89" t="s">
        <v>4189</v>
      </c>
      <c r="B1149" s="87" t="s">
        <v>4190</v>
      </c>
      <c r="C1149" s="87" t="s">
        <v>8</v>
      </c>
      <c r="D1149" s="87" t="str">
        <f>VLOOKUP(Tabela1[[#This Row],[Origem]], 'Perguntas 1 a 24'!$J$28:$K$34, 2, 0)</f>
        <v>Nordeste</v>
      </c>
      <c r="E1149" s="87" t="str">
        <f>Tabela1[[#This Row],[Descrição]]&amp;"-"&amp;Tabela1[[#This Row],[Código]]&amp;"/"&amp;Tabela1[[#This Row],[Origem]]</f>
        <v>Demurada-H182P139/AL</v>
      </c>
      <c r="F1149" s="88">
        <v>46149</v>
      </c>
      <c r="G1149" s="88" t="str" cm="1">
        <f t="array" ref="G11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AND(F1149&gt;= DATE(2026,1,1), F1149&lt;= DATE(2028, 12, 31), J1149&gt;50000), "Pendente e Caro", AND(F1149&gt;= DATE(2026,1,1), F1149&lt;= DATE(2028, 12, 31), J1149&lt;=50000), "Pendente", F1149&gt;= DATE(2029,1,1), "Não prioeitário")</f>
        <v>Pendente e Caro</v>
      </c>
      <c r="H1149" s="89">
        <f>YEAR(Tabela1[[#This Row],[Data de Validade]])</f>
        <v>2026</v>
      </c>
      <c r="I1149" s="89">
        <f>MONTH(Tabela1[[#This Row],[Data de Validade]])</f>
        <v>5</v>
      </c>
      <c r="J1149" s="101">
        <v>63087</v>
      </c>
      <c r="K1149" s="87" t="s">
        <v>9</v>
      </c>
      <c r="L1149" s="108"/>
      <c r="M1149" s="108"/>
      <c r="N1149" s="108" t="str">
        <v>H182P139</v>
      </c>
      <c r="O1149" s="108">
        <f t="shared" si="19"/>
        <v>1</v>
      </c>
      <c r="P1149" s="108"/>
      <c r="Q1149"/>
    </row>
    <row r="1150" spans="1:17" x14ac:dyDescent="0.25">
      <c r="A1150" s="89" t="s">
        <v>6712</v>
      </c>
      <c r="B1150" s="87" t="s">
        <v>6713</v>
      </c>
      <c r="C1150" s="87" t="s">
        <v>6</v>
      </c>
      <c r="D1150" s="87" t="str">
        <f>VLOOKUP(Tabela1[[#This Row],[Origem]], 'Perguntas 1 a 24'!$J$28:$K$34, 2, 0)</f>
        <v>Nordeste</v>
      </c>
      <c r="E1150" s="87" t="str">
        <f>Tabela1[[#This Row],[Descrição]]&amp;"-"&amp;Tabela1[[#This Row],[Código]]&amp;"/"&amp;Tabela1[[#This Row],[Origem]]</f>
        <v>Rapelupara-P386P654/MA</v>
      </c>
      <c r="F1150" s="88">
        <v>46150</v>
      </c>
      <c r="G1150" s="88" t="str" cm="1">
        <f t="array" ref="G11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AND(F1150&gt;= DATE(2026,1,1), F1150&lt;= DATE(2028, 12, 31), J1150&gt;50000), "Pendente e Caro", AND(F1150&gt;= DATE(2026,1,1), F1150&lt;= DATE(2028, 12, 31), J1150&lt;=50000), "Pendente", F1150&gt;= DATE(2029,1,1), "Não prioeitário")</f>
        <v>Pendente e Caro</v>
      </c>
      <c r="H1150" s="89">
        <f>YEAR(Tabela1[[#This Row],[Data de Validade]])</f>
        <v>2026</v>
      </c>
      <c r="I1150" s="89">
        <f>MONTH(Tabela1[[#This Row],[Data de Validade]])</f>
        <v>5</v>
      </c>
      <c r="J1150" s="101">
        <v>111811</v>
      </c>
      <c r="K1150" s="87" t="s">
        <v>7</v>
      </c>
      <c r="L1150" s="108"/>
      <c r="M1150" s="108"/>
      <c r="N1150" s="108" t="str">
        <v>P386P654</v>
      </c>
      <c r="O1150" s="108">
        <f t="shared" si="19"/>
        <v>1</v>
      </c>
      <c r="P1150" s="108"/>
      <c r="Q1150"/>
    </row>
    <row r="1151" spans="1:17" x14ac:dyDescent="0.25">
      <c r="A1151" s="89" t="s">
        <v>10990</v>
      </c>
      <c r="B1151" s="87" t="s">
        <v>10991</v>
      </c>
      <c r="C1151" s="87" t="s">
        <v>16</v>
      </c>
      <c r="D1151" s="87" t="str">
        <f>VLOOKUP(Tabela1[[#This Row],[Origem]], 'Perguntas 1 a 24'!$J$28:$K$34, 2, 0)</f>
        <v>Sudeste</v>
      </c>
      <c r="E1151" s="87" t="str">
        <f>Tabela1[[#This Row],[Descrição]]&amp;"-"&amp;Tabela1[[#This Row],[Código]]&amp;"/"&amp;Tabela1[[#This Row],[Origem]]</f>
        <v>Revometifu-H176P483/MG</v>
      </c>
      <c r="F1151" s="88">
        <v>46150</v>
      </c>
      <c r="G1151" s="88" t="str" cm="1">
        <f t="array" ref="G11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AND(F1151&gt;= DATE(2026,1,1), F1151&lt;= DATE(2028, 12, 31), J1151&gt;50000), "Pendente e Caro", AND(F1151&gt;= DATE(2026,1,1), F1151&lt;= DATE(2028, 12, 31), J1151&lt;=50000), "Pendente", F1151&gt;= DATE(2029,1,1), "Não prioeitário")</f>
        <v>Pendente e Caro</v>
      </c>
      <c r="H1151" s="89">
        <f>YEAR(Tabela1[[#This Row],[Data de Validade]])</f>
        <v>2026</v>
      </c>
      <c r="I1151" s="89">
        <f>MONTH(Tabela1[[#This Row],[Data de Validade]])</f>
        <v>5</v>
      </c>
      <c r="J1151" s="101">
        <v>90616</v>
      </c>
      <c r="K1151" s="87" t="s">
        <v>9</v>
      </c>
      <c r="L1151" s="108"/>
      <c r="M1151" s="108"/>
      <c r="N1151" s="108" t="str">
        <v>H176P483</v>
      </c>
      <c r="O1151" s="108">
        <f t="shared" si="19"/>
        <v>1</v>
      </c>
      <c r="P1151" s="108"/>
      <c r="Q1151"/>
    </row>
    <row r="1152" spans="1:17" x14ac:dyDescent="0.25">
      <c r="A1152" s="89" t="s">
        <v>5210</v>
      </c>
      <c r="B1152" s="87" t="s">
        <v>5211</v>
      </c>
      <c r="C1152" s="87" t="s">
        <v>10</v>
      </c>
      <c r="D1152" s="87" t="str">
        <f>VLOOKUP(Tabela1[[#This Row],[Origem]], 'Perguntas 1 a 24'!$J$28:$K$34, 2, 0)</f>
        <v>Centro-Oeste</v>
      </c>
      <c r="E1152" s="87" t="str">
        <f>Tabela1[[#This Row],[Descrição]]&amp;"-"&amp;Tabela1[[#This Row],[Código]]&amp;"/"&amp;Tabela1[[#This Row],[Origem]]</f>
        <v>Pupelopipa-H228P446/GO</v>
      </c>
      <c r="F1152" s="88">
        <v>46151</v>
      </c>
      <c r="G1152" s="88" t="str" cm="1">
        <f t="array" ref="G11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AND(F1152&gt;= DATE(2026,1,1), F1152&lt;= DATE(2028, 12, 31), J1152&gt;50000), "Pendente e Caro", AND(F1152&gt;= DATE(2026,1,1), F1152&lt;= DATE(2028, 12, 31), J1152&lt;=50000), "Pendente", F1152&gt;= DATE(2029,1,1), "Não prioeitário")</f>
        <v>Pendente</v>
      </c>
      <c r="H1152" s="89">
        <f>YEAR(Tabela1[[#This Row],[Data de Validade]])</f>
        <v>2026</v>
      </c>
      <c r="I1152" s="89">
        <f>MONTH(Tabela1[[#This Row],[Data de Validade]])</f>
        <v>5</v>
      </c>
      <c r="J1152" s="101">
        <v>30958</v>
      </c>
      <c r="K1152" s="87" t="s">
        <v>11</v>
      </c>
      <c r="L1152" s="108"/>
      <c r="M1152" s="108"/>
      <c r="N1152" s="108" t="str">
        <v>H228P446</v>
      </c>
      <c r="O1152" s="108">
        <f t="shared" si="19"/>
        <v>1</v>
      </c>
      <c r="P1152" s="108"/>
      <c r="Q1152"/>
    </row>
    <row r="1153" spans="1:17" x14ac:dyDescent="0.25">
      <c r="A1153" s="89" t="s">
        <v>6704</v>
      </c>
      <c r="B1153" s="87" t="s">
        <v>6705</v>
      </c>
      <c r="C1153" s="87" t="s">
        <v>8</v>
      </c>
      <c r="D1153" s="87" t="str">
        <f>VLOOKUP(Tabela1[[#This Row],[Origem]], 'Perguntas 1 a 24'!$J$28:$K$34, 2, 0)</f>
        <v>Nordeste</v>
      </c>
      <c r="E1153" s="87" t="str">
        <f>Tabela1[[#This Row],[Descrição]]&amp;"-"&amp;Tabela1[[#This Row],[Código]]&amp;"/"&amp;Tabela1[[#This Row],[Origem]]</f>
        <v>Popadalupe-P755H892/AL</v>
      </c>
      <c r="F1153" s="88">
        <v>46151</v>
      </c>
      <c r="G1153" s="88" t="str" cm="1">
        <f t="array" ref="G11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AND(F1153&gt;= DATE(2026,1,1), F1153&lt;= DATE(2028, 12, 31), J1153&gt;50000), "Pendente e Caro", AND(F1153&gt;= DATE(2026,1,1), F1153&lt;= DATE(2028, 12, 31), J1153&lt;=50000), "Pendente", F1153&gt;= DATE(2029,1,1), "Não prioeitário")</f>
        <v>Pendente</v>
      </c>
      <c r="H1153" s="89">
        <f>YEAR(Tabela1[[#This Row],[Data de Validade]])</f>
        <v>2026</v>
      </c>
      <c r="I1153" s="89">
        <f>MONTH(Tabela1[[#This Row],[Data de Validade]])</f>
        <v>5</v>
      </c>
      <c r="J1153" s="101">
        <v>20992</v>
      </c>
      <c r="K1153" s="87" t="s">
        <v>7</v>
      </c>
      <c r="L1153" s="108"/>
      <c r="M1153" s="108"/>
      <c r="N1153" s="108" t="str">
        <v>P755H892</v>
      </c>
      <c r="O1153" s="108">
        <f t="shared" si="19"/>
        <v>1</v>
      </c>
      <c r="P1153" s="108"/>
      <c r="Q1153"/>
    </row>
    <row r="1154" spans="1:17" x14ac:dyDescent="0.25">
      <c r="A1154" s="89" t="s">
        <v>8721</v>
      </c>
      <c r="B1154" s="87" t="s">
        <v>8722</v>
      </c>
      <c r="C1154" s="87" t="s">
        <v>6</v>
      </c>
      <c r="D1154" s="87" t="str">
        <f>VLOOKUP(Tabela1[[#This Row],[Origem]], 'Perguntas 1 a 24'!$J$28:$K$34, 2, 0)</f>
        <v>Nordeste</v>
      </c>
      <c r="E1154" s="87" t="str">
        <f>Tabela1[[#This Row],[Descrição]]&amp;"-"&amp;Tabela1[[#This Row],[Código]]&amp;"/"&amp;Tabela1[[#This Row],[Origem]]</f>
        <v>Togedepila-P348P529/MA</v>
      </c>
      <c r="F1154" s="88">
        <v>46152</v>
      </c>
      <c r="G1154" s="88" t="str" cm="1">
        <f t="array" ref="G11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AND(F1154&gt;= DATE(2026,1,1), F1154&lt;= DATE(2028, 12, 31), J1154&gt;50000), "Pendente e Caro", AND(F1154&gt;= DATE(2026,1,1), F1154&lt;= DATE(2028, 12, 31), J1154&lt;=50000), "Pendente", F1154&gt;= DATE(2029,1,1), "Não prioeitário")</f>
        <v>Pendente e Caro</v>
      </c>
      <c r="H1154" s="89">
        <f>YEAR(Tabela1[[#This Row],[Data de Validade]])</f>
        <v>2026</v>
      </c>
      <c r="I1154" s="89">
        <f>MONTH(Tabela1[[#This Row],[Data de Validade]])</f>
        <v>5</v>
      </c>
      <c r="J1154" s="101">
        <v>91258</v>
      </c>
      <c r="K1154" s="87" t="s">
        <v>11</v>
      </c>
      <c r="L1154" s="108"/>
      <c r="M1154" s="108"/>
      <c r="N1154" s="108" t="str">
        <v>P348P529</v>
      </c>
      <c r="O1154" s="108">
        <f t="shared" si="19"/>
        <v>1</v>
      </c>
      <c r="P1154" s="108"/>
      <c r="Q1154"/>
    </row>
    <row r="1155" spans="1:17" x14ac:dyDescent="0.25">
      <c r="A1155" s="89" t="s">
        <v>11282</v>
      </c>
      <c r="B1155" s="87" t="s">
        <v>11283</v>
      </c>
      <c r="C1155" s="87" t="s">
        <v>13</v>
      </c>
      <c r="D1155" s="87" t="str">
        <f>VLOOKUP(Tabela1[[#This Row],[Origem]], 'Perguntas 1 a 24'!$J$28:$K$34, 2, 0)</f>
        <v>Sudeste</v>
      </c>
      <c r="E1155" s="87" t="str">
        <f>Tabela1[[#This Row],[Descrição]]&amp;"-"&amp;Tabela1[[#This Row],[Código]]&amp;"/"&amp;Tabela1[[#This Row],[Origem]]</f>
        <v>Gigoro-H722P421/SP</v>
      </c>
      <c r="F1155" s="88">
        <v>46152</v>
      </c>
      <c r="G1155" s="88" t="str" cm="1">
        <f t="array" ref="G11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AND(F1155&gt;= DATE(2026,1,1), F1155&lt;= DATE(2028, 12, 31), J1155&gt;50000), "Pendente e Caro", AND(F1155&gt;= DATE(2026,1,1), F1155&lt;= DATE(2028, 12, 31), J1155&lt;=50000), "Pendente", F1155&gt;= DATE(2029,1,1), "Não prioeitário")</f>
        <v>Pendente e Caro</v>
      </c>
      <c r="H1155" s="89">
        <f>YEAR(Tabela1[[#This Row],[Data de Validade]])</f>
        <v>2026</v>
      </c>
      <c r="I1155" s="89">
        <f>MONTH(Tabela1[[#This Row],[Data de Validade]])</f>
        <v>5</v>
      </c>
      <c r="J1155" s="101">
        <v>81591</v>
      </c>
      <c r="K1155" s="87" t="s">
        <v>9</v>
      </c>
      <c r="L1155" s="108"/>
      <c r="M1155" s="108"/>
      <c r="N1155" s="108" t="str">
        <v>H722P421</v>
      </c>
      <c r="O1155" s="108">
        <f t="shared" ref="O1155:O1218" si="20">COUNTIFS(B:B,N1155)</f>
        <v>1</v>
      </c>
      <c r="P1155" s="108"/>
      <c r="Q1155"/>
    </row>
    <row r="1156" spans="1:17" x14ac:dyDescent="0.25">
      <c r="A1156" s="89" t="s">
        <v>6522</v>
      </c>
      <c r="B1156" s="87" t="s">
        <v>6523</v>
      </c>
      <c r="C1156" s="87" t="s">
        <v>12</v>
      </c>
      <c r="D1156" s="87" t="str">
        <f>VLOOKUP(Tabela1[[#This Row],[Origem]], 'Perguntas 1 a 24'!$J$28:$K$34, 2, 0)</f>
        <v>Sudeste</v>
      </c>
      <c r="E1156" s="87" t="str">
        <f>Tabela1[[#This Row],[Descrição]]&amp;"-"&amp;Tabela1[[#This Row],[Código]]&amp;"/"&amp;Tabela1[[#This Row],[Origem]]</f>
        <v>Tapupenu-P362P425/RJ</v>
      </c>
      <c r="F1156" s="88">
        <v>46152</v>
      </c>
      <c r="G1156" s="88" t="str" cm="1">
        <f t="array" ref="G11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AND(F1156&gt;= DATE(2026,1,1), F1156&lt;= DATE(2028, 12, 31), J1156&gt;50000), "Pendente e Caro", AND(F1156&gt;= DATE(2026,1,1), F1156&lt;= DATE(2028, 12, 31), J1156&lt;=50000), "Pendente", F1156&gt;= DATE(2029,1,1), "Não prioeitário")</f>
        <v>Pendente e Caro</v>
      </c>
      <c r="H1156" s="89">
        <f>YEAR(Tabela1[[#This Row],[Data de Validade]])</f>
        <v>2026</v>
      </c>
      <c r="I1156" s="89">
        <f>MONTH(Tabela1[[#This Row],[Data de Validade]])</f>
        <v>5</v>
      </c>
      <c r="J1156" s="101">
        <v>53099</v>
      </c>
      <c r="K1156" s="87" t="s">
        <v>14</v>
      </c>
      <c r="L1156" s="108"/>
      <c r="M1156" s="108"/>
      <c r="N1156" s="108" t="str">
        <v>P362P425</v>
      </c>
      <c r="O1156" s="108">
        <f t="shared" si="20"/>
        <v>1</v>
      </c>
      <c r="P1156" s="108"/>
      <c r="Q1156"/>
    </row>
    <row r="1157" spans="1:17" x14ac:dyDescent="0.25">
      <c r="A1157" s="89" t="s">
        <v>7816</v>
      </c>
      <c r="B1157" s="87" t="s">
        <v>7817</v>
      </c>
      <c r="C1157" s="87" t="s">
        <v>13</v>
      </c>
      <c r="D1157" s="87" t="str">
        <f>VLOOKUP(Tabela1[[#This Row],[Origem]], 'Perguntas 1 a 24'!$J$28:$K$34, 2, 0)</f>
        <v>Sudeste</v>
      </c>
      <c r="E1157" s="87" t="str">
        <f>Tabela1[[#This Row],[Descrição]]&amp;"-"&amp;Tabela1[[#This Row],[Código]]&amp;"/"&amp;Tabela1[[#This Row],[Origem]]</f>
        <v>Pigafa-P586P465/SP</v>
      </c>
      <c r="F1157" s="88">
        <v>46154</v>
      </c>
      <c r="G1157" s="88" t="str" cm="1">
        <f t="array" ref="G11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AND(F1157&gt;= DATE(2026,1,1), F1157&lt;= DATE(2028, 12, 31), J1157&gt;50000), "Pendente e Caro", AND(F1157&gt;= DATE(2026,1,1), F1157&lt;= DATE(2028, 12, 31), J1157&lt;=50000), "Pendente", F1157&gt;= DATE(2029,1,1), "Não prioeitário")</f>
        <v>Pendente e Caro</v>
      </c>
      <c r="H1157" s="89">
        <f>YEAR(Tabela1[[#This Row],[Data de Validade]])</f>
        <v>2026</v>
      </c>
      <c r="I1157" s="89">
        <f>MONTH(Tabela1[[#This Row],[Data de Validade]])</f>
        <v>5</v>
      </c>
      <c r="J1157" s="101">
        <v>111327</v>
      </c>
      <c r="K1157" s="87" t="s">
        <v>9</v>
      </c>
      <c r="L1157" s="108"/>
      <c r="M1157" s="108"/>
      <c r="N1157" s="108" t="str">
        <v>P586P465</v>
      </c>
      <c r="O1157" s="108">
        <f t="shared" si="20"/>
        <v>1</v>
      </c>
      <c r="P1157" s="108"/>
      <c r="Q1157"/>
    </row>
    <row r="1158" spans="1:17" x14ac:dyDescent="0.25">
      <c r="A1158" s="89" t="s">
        <v>8915</v>
      </c>
      <c r="B1158" s="87" t="s">
        <v>8916</v>
      </c>
      <c r="C1158" s="87" t="s">
        <v>16</v>
      </c>
      <c r="D1158" s="87" t="str">
        <f>VLOOKUP(Tabela1[[#This Row],[Origem]], 'Perguntas 1 a 24'!$J$28:$K$34, 2, 0)</f>
        <v>Sudeste</v>
      </c>
      <c r="E1158" s="87" t="str">
        <f>Tabela1[[#This Row],[Descrição]]&amp;"-"&amp;Tabela1[[#This Row],[Código]]&amp;"/"&amp;Tabela1[[#This Row],[Origem]]</f>
        <v>Pevuli-P411P886/MG</v>
      </c>
      <c r="F1158" s="88">
        <v>46154</v>
      </c>
      <c r="G1158" s="88" t="str" cm="1">
        <f t="array" ref="G11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AND(F1158&gt;= DATE(2026,1,1), F1158&lt;= DATE(2028, 12, 31), J1158&gt;50000), "Pendente e Caro", AND(F1158&gt;= DATE(2026,1,1), F1158&lt;= DATE(2028, 12, 31), J1158&lt;=50000), "Pendente", F1158&gt;= DATE(2029,1,1), "Não prioeitário")</f>
        <v>Pendente e Caro</v>
      </c>
      <c r="H1158" s="89">
        <f>YEAR(Tabela1[[#This Row],[Data de Validade]])</f>
        <v>2026</v>
      </c>
      <c r="I1158" s="89">
        <f>MONTH(Tabela1[[#This Row],[Data de Validade]])</f>
        <v>5</v>
      </c>
      <c r="J1158" s="101">
        <v>85278</v>
      </c>
      <c r="K1158" s="87" t="s">
        <v>7</v>
      </c>
      <c r="L1158" s="108"/>
      <c r="M1158" s="108"/>
      <c r="N1158" s="108" t="str">
        <v>P411P886</v>
      </c>
      <c r="O1158" s="108">
        <f t="shared" si="20"/>
        <v>1</v>
      </c>
      <c r="P1158" s="108"/>
      <c r="Q1158"/>
    </row>
    <row r="1159" spans="1:17" x14ac:dyDescent="0.25">
      <c r="A1159" s="89" t="s">
        <v>8715</v>
      </c>
      <c r="B1159" s="87" t="s">
        <v>8716</v>
      </c>
      <c r="C1159" s="87" t="s">
        <v>12</v>
      </c>
      <c r="D1159" s="87" t="str">
        <f>VLOOKUP(Tabela1[[#This Row],[Origem]], 'Perguntas 1 a 24'!$J$28:$K$34, 2, 0)</f>
        <v>Sudeste</v>
      </c>
      <c r="E1159" s="87" t="str">
        <f>Tabela1[[#This Row],[Descrição]]&amp;"-"&amp;Tabela1[[#This Row],[Código]]&amp;"/"&amp;Tabela1[[#This Row],[Origem]]</f>
        <v>Fenecupule-P217H655/RJ</v>
      </c>
      <c r="F1159" s="88">
        <v>46154</v>
      </c>
      <c r="G1159" s="88" t="str" cm="1">
        <f t="array" ref="G11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AND(F1159&gt;= DATE(2026,1,1), F1159&lt;= DATE(2028, 12, 31), J1159&gt;50000), "Pendente e Caro", AND(F1159&gt;= DATE(2026,1,1), F1159&lt;= DATE(2028, 12, 31), J1159&lt;=50000), "Pendente", F1159&gt;= DATE(2029,1,1), "Não prioeitário")</f>
        <v>Pendente</v>
      </c>
      <c r="H1159" s="89">
        <f>YEAR(Tabela1[[#This Row],[Data de Validade]])</f>
        <v>2026</v>
      </c>
      <c r="I1159" s="89">
        <f>MONTH(Tabela1[[#This Row],[Data de Validade]])</f>
        <v>5</v>
      </c>
      <c r="J1159" s="101">
        <v>26879</v>
      </c>
      <c r="K1159" s="87" t="s">
        <v>9</v>
      </c>
      <c r="L1159" s="108"/>
      <c r="M1159" s="108"/>
      <c r="N1159" s="108" t="str">
        <v>P217H655</v>
      </c>
      <c r="O1159" s="108">
        <f t="shared" si="20"/>
        <v>1</v>
      </c>
      <c r="P1159" s="108"/>
      <c r="Q1159"/>
    </row>
    <row r="1160" spans="1:17" x14ac:dyDescent="0.25">
      <c r="A1160" s="89" t="s">
        <v>7624</v>
      </c>
      <c r="B1160" s="87" t="s">
        <v>7625</v>
      </c>
      <c r="C1160" s="87" t="s">
        <v>8</v>
      </c>
      <c r="D1160" s="87" t="str">
        <f>VLOOKUP(Tabela1[[#This Row],[Origem]], 'Perguntas 1 a 24'!$J$28:$K$34, 2, 0)</f>
        <v>Nordeste</v>
      </c>
      <c r="E1160" s="87" t="str">
        <f>Tabela1[[#This Row],[Descrição]]&amp;"-"&amp;Tabela1[[#This Row],[Código]]&amp;"/"&amp;Tabela1[[#This Row],[Origem]]</f>
        <v>Natopi-P677P137/AL</v>
      </c>
      <c r="F1160" s="88">
        <v>46154</v>
      </c>
      <c r="G1160" s="88" t="str" cm="1">
        <f t="array" ref="G11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AND(F1160&gt;= DATE(2026,1,1), F1160&lt;= DATE(2028, 12, 31), J1160&gt;50000), "Pendente e Caro", AND(F1160&gt;= DATE(2026,1,1), F1160&lt;= DATE(2028, 12, 31), J1160&lt;=50000), "Pendente", F1160&gt;= DATE(2029,1,1), "Não prioeitário")</f>
        <v>Pendente</v>
      </c>
      <c r="H1160" s="89">
        <f>YEAR(Tabela1[[#This Row],[Data de Validade]])</f>
        <v>2026</v>
      </c>
      <c r="I1160" s="89">
        <f>MONTH(Tabela1[[#This Row],[Data de Validade]])</f>
        <v>5</v>
      </c>
      <c r="J1160" s="101">
        <v>25533</v>
      </c>
      <c r="K1160" s="87" t="s">
        <v>9</v>
      </c>
      <c r="L1160" s="108"/>
      <c r="M1160" s="108"/>
      <c r="N1160" s="108" t="str">
        <v>P677P137</v>
      </c>
      <c r="O1160" s="108">
        <f t="shared" si="20"/>
        <v>1</v>
      </c>
      <c r="P1160" s="108"/>
      <c r="Q1160"/>
    </row>
    <row r="1161" spans="1:17" x14ac:dyDescent="0.25">
      <c r="A1161" s="89" t="s">
        <v>6826</v>
      </c>
      <c r="B1161" s="87" t="s">
        <v>6827</v>
      </c>
      <c r="C1161" s="87" t="s">
        <v>12</v>
      </c>
      <c r="D1161" s="87" t="str">
        <f>VLOOKUP(Tabela1[[#This Row],[Origem]], 'Perguntas 1 a 24'!$J$28:$K$34, 2, 0)</f>
        <v>Sudeste</v>
      </c>
      <c r="E1161" s="87" t="str">
        <f>Tabela1[[#This Row],[Descrição]]&amp;"-"&amp;Tabela1[[#This Row],[Código]]&amp;"/"&amp;Tabela1[[#This Row],[Origem]]</f>
        <v>Tupamudecu-P773P377/RJ</v>
      </c>
      <c r="F1161" s="88">
        <v>46155</v>
      </c>
      <c r="G1161" s="88" t="str" cm="1">
        <f t="array" ref="G11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AND(F1161&gt;= DATE(2026,1,1), F1161&lt;= DATE(2028, 12, 31), J1161&gt;50000), "Pendente e Caro", AND(F1161&gt;= DATE(2026,1,1), F1161&lt;= DATE(2028, 12, 31), J1161&lt;=50000), "Pendente", F1161&gt;= DATE(2029,1,1), "Não prioeitário")</f>
        <v>Pendente e Caro</v>
      </c>
      <c r="H1161" s="89">
        <f>YEAR(Tabela1[[#This Row],[Data de Validade]])</f>
        <v>2026</v>
      </c>
      <c r="I1161" s="89">
        <f>MONTH(Tabela1[[#This Row],[Data de Validade]])</f>
        <v>5</v>
      </c>
      <c r="J1161" s="101">
        <v>58115</v>
      </c>
      <c r="K1161" s="87" t="s">
        <v>7</v>
      </c>
      <c r="L1161" s="108"/>
      <c r="M1161" s="108"/>
      <c r="N1161" s="108" t="str">
        <v>P773P377</v>
      </c>
      <c r="O1161" s="108">
        <f t="shared" si="20"/>
        <v>1</v>
      </c>
      <c r="P1161" s="108"/>
      <c r="Q1161"/>
    </row>
    <row r="1162" spans="1:17" x14ac:dyDescent="0.25">
      <c r="A1162" s="89" t="s">
        <v>6918</v>
      </c>
      <c r="B1162" s="87" t="s">
        <v>6919</v>
      </c>
      <c r="C1162" s="87" t="s">
        <v>13</v>
      </c>
      <c r="D1162" s="87" t="str">
        <f>VLOOKUP(Tabela1[[#This Row],[Origem]], 'Perguntas 1 a 24'!$J$28:$K$34, 2, 0)</f>
        <v>Sudeste</v>
      </c>
      <c r="E1162" s="87" t="str">
        <f>Tabela1[[#This Row],[Descrição]]&amp;"-"&amp;Tabela1[[#This Row],[Código]]&amp;"/"&amp;Tabela1[[#This Row],[Origem]]</f>
        <v>Rurepatipu-P346P878/SP</v>
      </c>
      <c r="F1162" s="88">
        <v>46156</v>
      </c>
      <c r="G1162" s="88" t="str" cm="1">
        <f t="array" ref="G11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AND(F1162&gt;= DATE(2026,1,1), F1162&lt;= DATE(2028, 12, 31), J1162&gt;50000), "Pendente e Caro", AND(F1162&gt;= DATE(2026,1,1), F1162&lt;= DATE(2028, 12, 31), J1162&lt;=50000), "Pendente", F1162&gt;= DATE(2029,1,1), "Não prioeitário")</f>
        <v>Pendente e Caro</v>
      </c>
      <c r="H1162" s="89">
        <f>YEAR(Tabela1[[#This Row],[Data de Validade]])</f>
        <v>2026</v>
      </c>
      <c r="I1162" s="89">
        <f>MONTH(Tabela1[[#This Row],[Data de Validade]])</f>
        <v>5</v>
      </c>
      <c r="J1162" s="101">
        <v>101949</v>
      </c>
      <c r="K1162" s="87" t="s">
        <v>9</v>
      </c>
      <c r="L1162" s="108"/>
      <c r="M1162" s="108"/>
      <c r="N1162" s="108" t="str">
        <v>P346P878</v>
      </c>
      <c r="O1162" s="108">
        <f t="shared" si="20"/>
        <v>1</v>
      </c>
      <c r="P1162" s="108"/>
      <c r="Q1162"/>
    </row>
    <row r="1163" spans="1:17" x14ac:dyDescent="0.25">
      <c r="A1163" s="89" t="s">
        <v>10809</v>
      </c>
      <c r="B1163" s="87" t="s">
        <v>10810</v>
      </c>
      <c r="C1163" s="87" t="s">
        <v>15</v>
      </c>
      <c r="D1163" s="87" t="str">
        <f>VLOOKUP(Tabela1[[#This Row],[Origem]], 'Perguntas 1 a 24'!$J$28:$K$34, 2, 0)</f>
        <v>Sudeste</v>
      </c>
      <c r="E1163" s="87" t="str">
        <f>Tabela1[[#This Row],[Descrição]]&amp;"-"&amp;Tabela1[[#This Row],[Código]]&amp;"/"&amp;Tabela1[[#This Row],[Origem]]</f>
        <v>Muducifi-P639H183/ES</v>
      </c>
      <c r="F1163" s="88">
        <v>46157</v>
      </c>
      <c r="G1163" s="88" t="str" cm="1">
        <f t="array" ref="G11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AND(F1163&gt;= DATE(2026,1,1), F1163&lt;= DATE(2028, 12, 31), J1163&gt;50000), "Pendente e Caro", AND(F1163&gt;= DATE(2026,1,1), F1163&lt;= DATE(2028, 12, 31), J1163&lt;=50000), "Pendente", F1163&gt;= DATE(2029,1,1), "Não prioeitário")</f>
        <v>Pendente e Caro</v>
      </c>
      <c r="H1163" s="89">
        <f>YEAR(Tabela1[[#This Row],[Data de Validade]])</f>
        <v>2026</v>
      </c>
      <c r="I1163" s="89">
        <f>MONTH(Tabela1[[#This Row],[Data de Validade]])</f>
        <v>5</v>
      </c>
      <c r="J1163" s="101">
        <v>70226</v>
      </c>
      <c r="K1163" s="87" t="s">
        <v>11</v>
      </c>
      <c r="L1163" s="108"/>
      <c r="M1163" s="108"/>
      <c r="N1163" s="108" t="str">
        <v>P639H183</v>
      </c>
      <c r="O1163" s="108">
        <f t="shared" si="20"/>
        <v>1</v>
      </c>
      <c r="P1163" s="108"/>
      <c r="Q1163"/>
    </row>
    <row r="1164" spans="1:17" x14ac:dyDescent="0.25">
      <c r="A1164" s="89" t="s">
        <v>9605</v>
      </c>
      <c r="B1164" s="87" t="s">
        <v>9606</v>
      </c>
      <c r="C1164" s="87" t="s">
        <v>10</v>
      </c>
      <c r="D1164" s="87" t="str">
        <f>VLOOKUP(Tabela1[[#This Row],[Origem]], 'Perguntas 1 a 24'!$J$28:$K$34, 2, 0)</f>
        <v>Centro-Oeste</v>
      </c>
      <c r="E1164" s="87" t="str">
        <f>Tabela1[[#This Row],[Descrição]]&amp;"-"&amp;Tabela1[[#This Row],[Código]]&amp;"/"&amp;Tabela1[[#This Row],[Origem]]</f>
        <v>Revateraro-H735P822/GO</v>
      </c>
      <c r="F1164" s="88">
        <v>46158</v>
      </c>
      <c r="G1164" s="88" t="str" cm="1">
        <f t="array" ref="G11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AND(F1164&gt;= DATE(2026,1,1), F1164&lt;= DATE(2028, 12, 31), J1164&gt;50000), "Pendente e Caro", AND(F1164&gt;= DATE(2026,1,1), F1164&lt;= DATE(2028, 12, 31), J1164&lt;=50000), "Pendente", F1164&gt;= DATE(2029,1,1), "Não prioeitário")</f>
        <v>Pendente e Caro</v>
      </c>
      <c r="H1164" s="89">
        <f>YEAR(Tabela1[[#This Row],[Data de Validade]])</f>
        <v>2026</v>
      </c>
      <c r="I1164" s="89">
        <f>MONTH(Tabela1[[#This Row],[Data de Validade]])</f>
        <v>5</v>
      </c>
      <c r="J1164" s="101">
        <v>56026</v>
      </c>
      <c r="K1164" s="87" t="s">
        <v>11</v>
      </c>
      <c r="L1164" s="108"/>
      <c r="M1164" s="108"/>
      <c r="N1164" s="108" t="str">
        <v>H735P822</v>
      </c>
      <c r="O1164" s="108">
        <f t="shared" si="20"/>
        <v>1</v>
      </c>
      <c r="P1164" s="108"/>
      <c r="Q1164"/>
    </row>
    <row r="1165" spans="1:17" x14ac:dyDescent="0.25">
      <c r="A1165" s="89" t="s">
        <v>7114</v>
      </c>
      <c r="B1165" s="87" t="s">
        <v>7115</v>
      </c>
      <c r="C1165" s="87" t="s">
        <v>12</v>
      </c>
      <c r="D1165" s="87" t="str">
        <f>VLOOKUP(Tabela1[[#This Row],[Origem]], 'Perguntas 1 a 24'!$J$28:$K$34, 2, 0)</f>
        <v>Sudeste</v>
      </c>
      <c r="E1165" s="87" t="str">
        <f>Tabela1[[#This Row],[Descrição]]&amp;"-"&amp;Tabela1[[#This Row],[Código]]&amp;"/"&amp;Tabela1[[#This Row],[Origem]]</f>
        <v>Pitune-P246P136/RJ</v>
      </c>
      <c r="F1165" s="88">
        <v>46159</v>
      </c>
      <c r="G1165" s="88" t="str" cm="1">
        <f t="array" ref="G11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AND(F1165&gt;= DATE(2026,1,1), F1165&lt;= DATE(2028, 12, 31), J1165&gt;50000), "Pendente e Caro", AND(F1165&gt;= DATE(2026,1,1), F1165&lt;= DATE(2028, 12, 31), J1165&lt;=50000), "Pendente", F1165&gt;= DATE(2029,1,1), "Não prioeitário")</f>
        <v>Pendente e Caro</v>
      </c>
      <c r="H1165" s="89">
        <f>YEAR(Tabela1[[#This Row],[Data de Validade]])</f>
        <v>2026</v>
      </c>
      <c r="I1165" s="89">
        <f>MONTH(Tabela1[[#This Row],[Data de Validade]])</f>
        <v>5</v>
      </c>
      <c r="J1165" s="101">
        <v>64678</v>
      </c>
      <c r="K1165" s="87" t="s">
        <v>14</v>
      </c>
      <c r="L1165" s="108"/>
      <c r="M1165" s="108"/>
      <c r="N1165" s="108" t="str">
        <v>P246P136</v>
      </c>
      <c r="O1165" s="108">
        <f t="shared" si="20"/>
        <v>1</v>
      </c>
      <c r="P1165" s="108"/>
      <c r="Q1165"/>
    </row>
    <row r="1166" spans="1:17" x14ac:dyDescent="0.25">
      <c r="A1166" s="89" t="s">
        <v>4080</v>
      </c>
      <c r="B1166" s="87" t="s">
        <v>4081</v>
      </c>
      <c r="C1166" s="87" t="s">
        <v>13</v>
      </c>
      <c r="D1166" s="87" t="str">
        <f>VLOOKUP(Tabela1[[#This Row],[Origem]], 'Perguntas 1 a 24'!$J$28:$K$34, 2, 0)</f>
        <v>Sudeste</v>
      </c>
      <c r="E1166" s="87" t="str">
        <f>Tabela1[[#This Row],[Descrição]]&amp;"-"&amp;Tabela1[[#This Row],[Código]]&amp;"/"&amp;Tabela1[[#This Row],[Origem]]</f>
        <v>Namine-H694P135/SP</v>
      </c>
      <c r="F1166" s="88">
        <v>46160</v>
      </c>
      <c r="G1166" s="88" t="str" cm="1">
        <f t="array" ref="G11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AND(F1166&gt;= DATE(2026,1,1), F1166&lt;= DATE(2028, 12, 31), J1166&gt;50000), "Pendente e Caro", AND(F1166&gt;= DATE(2026,1,1), F1166&lt;= DATE(2028, 12, 31), J1166&lt;=50000), "Pendente", F1166&gt;= DATE(2029,1,1), "Não prioeitário")</f>
        <v>Pendente e Caro</v>
      </c>
      <c r="H1166" s="89">
        <f>YEAR(Tabela1[[#This Row],[Data de Validade]])</f>
        <v>2026</v>
      </c>
      <c r="I1166" s="89">
        <f>MONTH(Tabela1[[#This Row],[Data de Validade]])</f>
        <v>5</v>
      </c>
      <c r="J1166" s="101">
        <v>90585</v>
      </c>
      <c r="K1166" s="87" t="s">
        <v>7</v>
      </c>
      <c r="L1166" s="108"/>
      <c r="M1166" s="108"/>
      <c r="N1166" s="108" t="str">
        <v>H694P135</v>
      </c>
      <c r="O1166" s="108">
        <f t="shared" si="20"/>
        <v>1</v>
      </c>
      <c r="P1166" s="108"/>
      <c r="Q1166"/>
    </row>
    <row r="1167" spans="1:17" x14ac:dyDescent="0.25">
      <c r="A1167" s="89" t="s">
        <v>10797</v>
      </c>
      <c r="B1167" s="87" t="s">
        <v>10798</v>
      </c>
      <c r="C1167" s="87" t="s">
        <v>15</v>
      </c>
      <c r="D1167" s="87" t="str">
        <f>VLOOKUP(Tabela1[[#This Row],[Origem]], 'Perguntas 1 a 24'!$J$28:$K$34, 2, 0)</f>
        <v>Sudeste</v>
      </c>
      <c r="E1167" s="87" t="str">
        <f>Tabela1[[#This Row],[Descrição]]&amp;"-"&amp;Tabela1[[#This Row],[Código]]&amp;"/"&amp;Tabela1[[#This Row],[Origem]]</f>
        <v>Vonuvuce-H351H229/ES</v>
      </c>
      <c r="F1167" s="88">
        <v>46161</v>
      </c>
      <c r="G1167" s="88" t="str" cm="1">
        <f t="array" ref="G11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AND(F1167&gt;= DATE(2026,1,1), F1167&lt;= DATE(2028, 12, 31), J1167&gt;50000), "Pendente e Caro", AND(F1167&gt;= DATE(2026,1,1), F1167&lt;= DATE(2028, 12, 31), J1167&lt;=50000), "Pendente", F1167&gt;= DATE(2029,1,1), "Não prioeitário")</f>
        <v>Pendente e Caro</v>
      </c>
      <c r="H1167" s="89">
        <f>YEAR(Tabela1[[#This Row],[Data de Validade]])</f>
        <v>2026</v>
      </c>
      <c r="I1167" s="89">
        <f>MONTH(Tabela1[[#This Row],[Data de Validade]])</f>
        <v>5</v>
      </c>
      <c r="J1167" s="101">
        <v>102710</v>
      </c>
      <c r="K1167" s="87" t="s">
        <v>14</v>
      </c>
      <c r="L1167" s="108"/>
      <c r="M1167" s="108"/>
      <c r="N1167" s="108" t="str">
        <v>H351H229</v>
      </c>
      <c r="O1167" s="108">
        <f t="shared" si="20"/>
        <v>1</v>
      </c>
      <c r="P1167" s="108"/>
      <c r="Q1167"/>
    </row>
    <row r="1168" spans="1:17" x14ac:dyDescent="0.25">
      <c r="A1168" s="89" t="s">
        <v>8879</v>
      </c>
      <c r="B1168" s="87" t="s">
        <v>8880</v>
      </c>
      <c r="C1168" s="87" t="s">
        <v>6</v>
      </c>
      <c r="D1168" s="87" t="str">
        <f>VLOOKUP(Tabela1[[#This Row],[Origem]], 'Perguntas 1 a 24'!$J$28:$K$34, 2, 0)</f>
        <v>Nordeste</v>
      </c>
      <c r="E1168" s="87" t="str">
        <f>Tabela1[[#This Row],[Descrição]]&amp;"-"&amp;Tabela1[[#This Row],[Código]]&amp;"/"&amp;Tabela1[[#This Row],[Origem]]</f>
        <v>Pugitofure-H877H329/MA</v>
      </c>
      <c r="F1168" s="88">
        <v>46161</v>
      </c>
      <c r="G1168" s="88" t="str" cm="1">
        <f t="array" ref="G11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AND(F1168&gt;= DATE(2026,1,1), F1168&lt;= DATE(2028, 12, 31), J1168&gt;50000), "Pendente e Caro", AND(F1168&gt;= DATE(2026,1,1), F1168&lt;= DATE(2028, 12, 31), J1168&lt;=50000), "Pendente", F1168&gt;= DATE(2029,1,1), "Não prioeitário")</f>
        <v>Pendente e Caro</v>
      </c>
      <c r="H1168" s="89">
        <f>YEAR(Tabela1[[#This Row],[Data de Validade]])</f>
        <v>2026</v>
      </c>
      <c r="I1168" s="89">
        <f>MONTH(Tabela1[[#This Row],[Data de Validade]])</f>
        <v>5</v>
      </c>
      <c r="J1168" s="101">
        <v>92034</v>
      </c>
      <c r="K1168" s="87" t="s">
        <v>14</v>
      </c>
      <c r="L1168" s="108"/>
      <c r="M1168" s="108"/>
      <c r="N1168" s="108" t="str">
        <v>H877H329</v>
      </c>
      <c r="O1168" s="108">
        <f t="shared" si="20"/>
        <v>1</v>
      </c>
      <c r="P1168" s="108"/>
      <c r="Q1168"/>
    </row>
    <row r="1169" spans="1:17" x14ac:dyDescent="0.25">
      <c r="A1169" s="89" t="s">
        <v>5738</v>
      </c>
      <c r="B1169" s="87" t="s">
        <v>5739</v>
      </c>
      <c r="C1169" s="87" t="s">
        <v>13</v>
      </c>
      <c r="D1169" s="87" t="str">
        <f>VLOOKUP(Tabela1[[#This Row],[Origem]], 'Perguntas 1 a 24'!$J$28:$K$34, 2, 0)</f>
        <v>Sudeste</v>
      </c>
      <c r="E1169" s="87" t="str">
        <f>Tabela1[[#This Row],[Descrição]]&amp;"-"&amp;Tabela1[[#This Row],[Código]]&amp;"/"&amp;Tabela1[[#This Row],[Origem]]</f>
        <v>Mipopime-P627H464/SP</v>
      </c>
      <c r="F1169" s="88">
        <v>46161</v>
      </c>
      <c r="G1169" s="88" t="str" cm="1">
        <f t="array" ref="G11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AND(F1169&gt;= DATE(2026,1,1), F1169&lt;= DATE(2028, 12, 31), J1169&gt;50000), "Pendente e Caro", AND(F1169&gt;= DATE(2026,1,1), F1169&lt;= DATE(2028, 12, 31), J1169&lt;=50000), "Pendente", F1169&gt;= DATE(2029,1,1), "Não prioeitário")</f>
        <v>Pendente</v>
      </c>
      <c r="H1169" s="89">
        <f>YEAR(Tabela1[[#This Row],[Data de Validade]])</f>
        <v>2026</v>
      </c>
      <c r="I1169" s="89">
        <f>MONTH(Tabela1[[#This Row],[Data de Validade]])</f>
        <v>5</v>
      </c>
      <c r="J1169" s="101">
        <v>37145</v>
      </c>
      <c r="K1169" s="87" t="s">
        <v>14</v>
      </c>
      <c r="L1169" s="108"/>
      <c r="M1169" s="108"/>
      <c r="N1169" s="108" t="str">
        <v>P627H464</v>
      </c>
      <c r="O1169" s="108">
        <f t="shared" si="20"/>
        <v>1</v>
      </c>
      <c r="P1169" s="108"/>
      <c r="Q1169"/>
    </row>
    <row r="1170" spans="1:17" x14ac:dyDescent="0.25">
      <c r="A1170" s="89" t="s">
        <v>9879</v>
      </c>
      <c r="B1170" s="87" t="s">
        <v>9880</v>
      </c>
      <c r="C1170" s="87" t="s">
        <v>16</v>
      </c>
      <c r="D1170" s="87" t="str">
        <f>VLOOKUP(Tabela1[[#This Row],[Origem]], 'Perguntas 1 a 24'!$J$28:$K$34, 2, 0)</f>
        <v>Sudeste</v>
      </c>
      <c r="E1170" s="87" t="str">
        <f>Tabela1[[#This Row],[Descrição]]&amp;"-"&amp;Tabela1[[#This Row],[Código]]&amp;"/"&amp;Tabela1[[#This Row],[Origem]]</f>
        <v>Tolamupe-H989P212/MG</v>
      </c>
      <c r="F1170" s="88">
        <v>46164</v>
      </c>
      <c r="G1170" s="88" t="str" cm="1">
        <f t="array" ref="G11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AND(F1170&gt;= DATE(2026,1,1), F1170&lt;= DATE(2028, 12, 31), J1170&gt;50000), "Pendente e Caro", AND(F1170&gt;= DATE(2026,1,1), F1170&lt;= DATE(2028, 12, 31), J1170&lt;=50000), "Pendente", F1170&gt;= DATE(2029,1,1), "Não prioeitário")</f>
        <v>Pendente e Caro</v>
      </c>
      <c r="H1170" s="89">
        <f>YEAR(Tabela1[[#This Row],[Data de Validade]])</f>
        <v>2026</v>
      </c>
      <c r="I1170" s="89">
        <f>MONTH(Tabela1[[#This Row],[Data de Validade]])</f>
        <v>5</v>
      </c>
      <c r="J1170" s="101">
        <v>110530</v>
      </c>
      <c r="K1170" s="87" t="s">
        <v>7</v>
      </c>
      <c r="L1170" s="108"/>
      <c r="M1170" s="108"/>
      <c r="N1170" s="108" t="str">
        <v>H989P212</v>
      </c>
      <c r="O1170" s="108">
        <f t="shared" si="20"/>
        <v>1</v>
      </c>
      <c r="P1170" s="108"/>
      <c r="Q1170"/>
    </row>
    <row r="1171" spans="1:17" x14ac:dyDescent="0.25">
      <c r="A1171" s="89" t="s">
        <v>5484</v>
      </c>
      <c r="B1171" s="87" t="s">
        <v>5485</v>
      </c>
      <c r="C1171" s="87" t="s">
        <v>10</v>
      </c>
      <c r="D1171" s="87" t="str">
        <f>VLOOKUP(Tabela1[[#This Row],[Origem]], 'Perguntas 1 a 24'!$J$28:$K$34, 2, 0)</f>
        <v>Centro-Oeste</v>
      </c>
      <c r="E1171" s="87" t="str">
        <f>Tabela1[[#This Row],[Descrição]]&amp;"-"&amp;Tabela1[[#This Row],[Código]]&amp;"/"&amp;Tabela1[[#This Row],[Origem]]</f>
        <v>Corupucaru-P797P377/GO</v>
      </c>
      <c r="F1171" s="88">
        <v>46164</v>
      </c>
      <c r="G1171" s="88" t="str" cm="1">
        <f t="array" ref="G11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AND(F1171&gt;= DATE(2026,1,1), F1171&lt;= DATE(2028, 12, 31), J1171&gt;50000), "Pendente e Caro", AND(F1171&gt;= DATE(2026,1,1), F1171&lt;= DATE(2028, 12, 31), J1171&lt;=50000), "Pendente", F1171&gt;= DATE(2029,1,1), "Não prioeitário")</f>
        <v>Pendente e Caro</v>
      </c>
      <c r="H1171" s="89">
        <f>YEAR(Tabela1[[#This Row],[Data de Validade]])</f>
        <v>2026</v>
      </c>
      <c r="I1171" s="89">
        <f>MONTH(Tabela1[[#This Row],[Data de Validade]])</f>
        <v>5</v>
      </c>
      <c r="J1171" s="101">
        <v>89132</v>
      </c>
      <c r="K1171" s="87" t="s">
        <v>9</v>
      </c>
      <c r="L1171" s="108"/>
      <c r="M1171" s="108"/>
      <c r="N1171" s="108" t="str">
        <v>P797P377</v>
      </c>
      <c r="O1171" s="108">
        <f t="shared" si="20"/>
        <v>1</v>
      </c>
      <c r="P1171" s="108"/>
      <c r="Q1171"/>
    </row>
    <row r="1172" spans="1:17" x14ac:dyDescent="0.25">
      <c r="A1172" s="89" t="s">
        <v>9009</v>
      </c>
      <c r="B1172" s="87" t="s">
        <v>9010</v>
      </c>
      <c r="C1172" s="87" t="s">
        <v>13</v>
      </c>
      <c r="D1172" s="87" t="str">
        <f>VLOOKUP(Tabela1[[#This Row],[Origem]], 'Perguntas 1 a 24'!$J$28:$K$34, 2, 0)</f>
        <v>Sudeste</v>
      </c>
      <c r="E1172" s="87" t="str">
        <f>Tabela1[[#This Row],[Descrição]]&amp;"-"&amp;Tabela1[[#This Row],[Código]]&amp;"/"&amp;Tabela1[[#This Row],[Origem]]</f>
        <v>Paradumomu-H785P622/SP</v>
      </c>
      <c r="F1172" s="88">
        <v>46164</v>
      </c>
      <c r="G1172" s="88" t="str" cm="1">
        <f t="array" ref="G11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AND(F1172&gt;= DATE(2026,1,1), F1172&lt;= DATE(2028, 12, 31), J1172&gt;50000), "Pendente e Caro", AND(F1172&gt;= DATE(2026,1,1), F1172&lt;= DATE(2028, 12, 31), J1172&lt;=50000), "Pendente", F1172&gt;= DATE(2029,1,1), "Não prioeitário")</f>
        <v>Pendente e Caro</v>
      </c>
      <c r="H1172" s="89">
        <f>YEAR(Tabela1[[#This Row],[Data de Validade]])</f>
        <v>2026</v>
      </c>
      <c r="I1172" s="89">
        <f>MONTH(Tabela1[[#This Row],[Data de Validade]])</f>
        <v>5</v>
      </c>
      <c r="J1172" s="101">
        <v>78061</v>
      </c>
      <c r="K1172" s="87" t="s">
        <v>9</v>
      </c>
      <c r="L1172" s="108"/>
      <c r="M1172" s="108"/>
      <c r="N1172" s="108" t="str">
        <v>H785P622</v>
      </c>
      <c r="O1172" s="108">
        <f t="shared" si="20"/>
        <v>1</v>
      </c>
      <c r="P1172" s="108"/>
      <c r="Q1172"/>
    </row>
    <row r="1173" spans="1:17" x14ac:dyDescent="0.25">
      <c r="A1173" s="89" t="s">
        <v>11270</v>
      </c>
      <c r="B1173" s="87" t="s">
        <v>11271</v>
      </c>
      <c r="C1173" s="87" t="s">
        <v>10</v>
      </c>
      <c r="D1173" s="87" t="str">
        <f>VLOOKUP(Tabela1[[#This Row],[Origem]], 'Perguntas 1 a 24'!$J$28:$K$34, 2, 0)</f>
        <v>Centro-Oeste</v>
      </c>
      <c r="E1173" s="87" t="str">
        <f>Tabela1[[#This Row],[Descrição]]&amp;"-"&amp;Tabela1[[#This Row],[Código]]&amp;"/"&amp;Tabela1[[#This Row],[Origem]]</f>
        <v>Veralu-P149P833/GO</v>
      </c>
      <c r="F1173" s="88">
        <v>46165</v>
      </c>
      <c r="G1173" s="88" t="str" cm="1">
        <f t="array" ref="G11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AND(F1173&gt;= DATE(2026,1,1), F1173&lt;= DATE(2028, 12, 31), J1173&gt;50000), "Pendente e Caro", AND(F1173&gt;= DATE(2026,1,1), F1173&lt;= DATE(2028, 12, 31), J1173&lt;=50000), "Pendente", F1173&gt;= DATE(2029,1,1), "Não prioeitário")</f>
        <v>Pendente e Caro</v>
      </c>
      <c r="H1173" s="89">
        <f>YEAR(Tabela1[[#This Row],[Data de Validade]])</f>
        <v>2026</v>
      </c>
      <c r="I1173" s="89">
        <f>MONTH(Tabela1[[#This Row],[Data de Validade]])</f>
        <v>5</v>
      </c>
      <c r="J1173" s="101">
        <v>78997</v>
      </c>
      <c r="K1173" s="87" t="s">
        <v>7</v>
      </c>
      <c r="L1173" s="108"/>
      <c r="M1173" s="108"/>
      <c r="N1173" s="108" t="str">
        <v>P149P833</v>
      </c>
      <c r="O1173" s="108">
        <f t="shared" si="20"/>
        <v>1</v>
      </c>
      <c r="P1173" s="108"/>
      <c r="Q1173"/>
    </row>
    <row r="1174" spans="1:17" x14ac:dyDescent="0.25">
      <c r="A1174" s="89" t="s">
        <v>10943</v>
      </c>
      <c r="B1174" s="87" t="s">
        <v>10944</v>
      </c>
      <c r="C1174" s="87" t="s">
        <v>16</v>
      </c>
      <c r="D1174" s="87" t="str">
        <f>VLOOKUP(Tabela1[[#This Row],[Origem]], 'Perguntas 1 a 24'!$J$28:$K$34, 2, 0)</f>
        <v>Sudeste</v>
      </c>
      <c r="E1174" s="87" t="str">
        <f>Tabela1[[#This Row],[Descrição]]&amp;"-"&amp;Tabela1[[#This Row],[Código]]&amp;"/"&amp;Tabela1[[#This Row],[Origem]]</f>
        <v>Volota-H233P313/MG</v>
      </c>
      <c r="F1174" s="88">
        <v>46165</v>
      </c>
      <c r="G1174" s="88" t="str" cm="1">
        <f t="array" ref="G11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AND(F1174&gt;= DATE(2026,1,1), F1174&lt;= DATE(2028, 12, 31), J1174&gt;50000), "Pendente e Caro", AND(F1174&gt;= DATE(2026,1,1), F1174&lt;= DATE(2028, 12, 31), J1174&lt;=50000), "Pendente", F1174&gt;= DATE(2029,1,1), "Não prioeitário")</f>
        <v>Pendente e Caro</v>
      </c>
      <c r="H1174" s="89">
        <f>YEAR(Tabela1[[#This Row],[Data de Validade]])</f>
        <v>2026</v>
      </c>
      <c r="I1174" s="89">
        <f>MONTH(Tabela1[[#This Row],[Data de Validade]])</f>
        <v>5</v>
      </c>
      <c r="J1174" s="101">
        <v>70355</v>
      </c>
      <c r="K1174" s="87" t="s">
        <v>14</v>
      </c>
      <c r="L1174" s="108"/>
      <c r="M1174" s="108"/>
      <c r="N1174" s="108" t="str">
        <v>H233P313</v>
      </c>
      <c r="O1174" s="108">
        <f t="shared" si="20"/>
        <v>1</v>
      </c>
      <c r="P1174" s="108"/>
      <c r="Q1174"/>
    </row>
    <row r="1175" spans="1:17" x14ac:dyDescent="0.25">
      <c r="A1175" s="89" t="s">
        <v>8945</v>
      </c>
      <c r="B1175" s="87" t="s">
        <v>8946</v>
      </c>
      <c r="C1175" s="87" t="s">
        <v>15</v>
      </c>
      <c r="D1175" s="87" t="str">
        <f>VLOOKUP(Tabela1[[#This Row],[Origem]], 'Perguntas 1 a 24'!$J$28:$K$34, 2, 0)</f>
        <v>Sudeste</v>
      </c>
      <c r="E1175" s="87" t="str">
        <f>Tabela1[[#This Row],[Descrição]]&amp;"-"&amp;Tabela1[[#This Row],[Código]]&amp;"/"&amp;Tabela1[[#This Row],[Origem]]</f>
        <v>Facafutema-P421P978/ES</v>
      </c>
      <c r="F1175" s="88">
        <v>46165</v>
      </c>
      <c r="G1175" s="88" t="str" cm="1">
        <f t="array" ref="G11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AND(F1175&gt;= DATE(2026,1,1), F1175&lt;= DATE(2028, 12, 31), J1175&gt;50000), "Pendente e Caro", AND(F1175&gt;= DATE(2026,1,1), F1175&lt;= DATE(2028, 12, 31), J1175&lt;=50000), "Pendente", F1175&gt;= DATE(2029,1,1), "Não prioeitário")</f>
        <v>Pendente e Caro</v>
      </c>
      <c r="H1175" s="89">
        <f>YEAR(Tabela1[[#This Row],[Data de Validade]])</f>
        <v>2026</v>
      </c>
      <c r="I1175" s="89">
        <f>MONTH(Tabela1[[#This Row],[Data de Validade]])</f>
        <v>5</v>
      </c>
      <c r="J1175" s="101">
        <v>67123</v>
      </c>
      <c r="K1175" s="87" t="s">
        <v>9</v>
      </c>
      <c r="L1175" s="108"/>
      <c r="M1175" s="108"/>
      <c r="N1175" s="108" t="str">
        <v>P421P978</v>
      </c>
      <c r="O1175" s="108">
        <f t="shared" si="20"/>
        <v>1</v>
      </c>
      <c r="P1175" s="108"/>
      <c r="Q1175"/>
    </row>
    <row r="1176" spans="1:17" x14ac:dyDescent="0.25">
      <c r="A1176" s="89" t="s">
        <v>7126</v>
      </c>
      <c r="B1176" s="87" t="s">
        <v>7127</v>
      </c>
      <c r="C1176" s="87" t="s">
        <v>13</v>
      </c>
      <c r="D1176" s="87" t="str">
        <f>VLOOKUP(Tabela1[[#This Row],[Origem]], 'Perguntas 1 a 24'!$J$28:$K$34, 2, 0)</f>
        <v>Sudeste</v>
      </c>
      <c r="E1176" s="87" t="str">
        <f>Tabela1[[#This Row],[Descrição]]&amp;"-"&amp;Tabela1[[#This Row],[Código]]&amp;"/"&amp;Tabela1[[#This Row],[Origem]]</f>
        <v>Pirinocare-P535P987/SP</v>
      </c>
      <c r="F1176" s="88">
        <v>46165</v>
      </c>
      <c r="G1176" s="88" t="str" cm="1">
        <f t="array" ref="G11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AND(F1176&gt;= DATE(2026,1,1), F1176&lt;= DATE(2028, 12, 31), J1176&gt;50000), "Pendente e Caro", AND(F1176&gt;= DATE(2026,1,1), F1176&lt;= DATE(2028, 12, 31), J1176&lt;=50000), "Pendente", F1176&gt;= DATE(2029,1,1), "Não prioeitário")</f>
        <v>Pendente</v>
      </c>
      <c r="H1176" s="89">
        <f>YEAR(Tabela1[[#This Row],[Data de Validade]])</f>
        <v>2026</v>
      </c>
      <c r="I1176" s="89">
        <f>MONTH(Tabela1[[#This Row],[Data de Validade]])</f>
        <v>5</v>
      </c>
      <c r="J1176" s="101">
        <v>37353</v>
      </c>
      <c r="K1176" s="87" t="s">
        <v>7</v>
      </c>
      <c r="L1176" s="108"/>
      <c r="M1176" s="108"/>
      <c r="N1176" s="108" t="str">
        <v>P535P987</v>
      </c>
      <c r="O1176" s="108">
        <f t="shared" si="20"/>
        <v>1</v>
      </c>
      <c r="P1176" s="108"/>
      <c r="Q1176"/>
    </row>
    <row r="1177" spans="1:17" x14ac:dyDescent="0.25">
      <c r="A1177" s="89" t="s">
        <v>6154</v>
      </c>
      <c r="B1177" s="87" t="s">
        <v>6155</v>
      </c>
      <c r="C1177" s="87" t="s">
        <v>12</v>
      </c>
      <c r="D1177" s="87" t="str">
        <f>VLOOKUP(Tabela1[[#This Row],[Origem]], 'Perguntas 1 a 24'!$J$28:$K$34, 2, 0)</f>
        <v>Sudeste</v>
      </c>
      <c r="E1177" s="87" t="str">
        <f>Tabela1[[#This Row],[Descrição]]&amp;"-"&amp;Tabela1[[#This Row],[Código]]&amp;"/"&amp;Tabela1[[#This Row],[Origem]]</f>
        <v>Copoge-H114H666/RJ</v>
      </c>
      <c r="F1177" s="88">
        <v>46168</v>
      </c>
      <c r="G1177" s="88" t="str" cm="1">
        <f t="array" ref="G11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AND(F1177&gt;= DATE(2026,1,1), F1177&lt;= DATE(2028, 12, 31), J1177&gt;50000), "Pendente e Caro", AND(F1177&gt;= DATE(2026,1,1), F1177&lt;= DATE(2028, 12, 31), J1177&lt;=50000), "Pendente", F1177&gt;= DATE(2029,1,1), "Não prioeitário")</f>
        <v>Pendente e Caro</v>
      </c>
      <c r="H1177" s="89">
        <f>YEAR(Tabela1[[#This Row],[Data de Validade]])</f>
        <v>2026</v>
      </c>
      <c r="I1177" s="89">
        <f>MONTH(Tabela1[[#This Row],[Data de Validade]])</f>
        <v>5</v>
      </c>
      <c r="J1177" s="101">
        <v>111968</v>
      </c>
      <c r="K1177" s="87" t="s">
        <v>11</v>
      </c>
      <c r="L1177" s="108"/>
      <c r="M1177" s="108"/>
      <c r="N1177" s="108" t="str">
        <v>H114H666</v>
      </c>
      <c r="O1177" s="108">
        <f t="shared" si="20"/>
        <v>1</v>
      </c>
      <c r="P1177" s="108"/>
      <c r="Q1177"/>
    </row>
    <row r="1178" spans="1:17" x14ac:dyDescent="0.25">
      <c r="A1178" s="89" t="s">
        <v>5980</v>
      </c>
      <c r="B1178" s="87" t="s">
        <v>5981</v>
      </c>
      <c r="C1178" s="87" t="s">
        <v>16</v>
      </c>
      <c r="D1178" s="87" t="str">
        <f>VLOOKUP(Tabela1[[#This Row],[Origem]], 'Perguntas 1 a 24'!$J$28:$K$34, 2, 0)</f>
        <v>Sudeste</v>
      </c>
      <c r="E1178" s="87" t="str">
        <f>Tabela1[[#This Row],[Descrição]]&amp;"-"&amp;Tabela1[[#This Row],[Código]]&amp;"/"&amp;Tabela1[[#This Row],[Origem]]</f>
        <v>Fagavenaca-P172P944/MG</v>
      </c>
      <c r="F1178" s="88">
        <v>46168</v>
      </c>
      <c r="G1178" s="88" t="str" cm="1">
        <f t="array" ref="G11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AND(F1178&gt;= DATE(2026,1,1), F1178&lt;= DATE(2028, 12, 31), J1178&gt;50000), "Pendente e Caro", AND(F1178&gt;= DATE(2026,1,1), F1178&lt;= DATE(2028, 12, 31), J1178&lt;=50000), "Pendente", F1178&gt;= DATE(2029,1,1), "Não prioeitário")</f>
        <v>Pendente e Caro</v>
      </c>
      <c r="H1178" s="89">
        <f>YEAR(Tabela1[[#This Row],[Data de Validade]])</f>
        <v>2026</v>
      </c>
      <c r="I1178" s="89">
        <f>MONTH(Tabela1[[#This Row],[Data de Validade]])</f>
        <v>5</v>
      </c>
      <c r="J1178" s="101">
        <v>64396</v>
      </c>
      <c r="K1178" s="87" t="s">
        <v>9</v>
      </c>
      <c r="L1178" s="108"/>
      <c r="M1178" s="108"/>
      <c r="N1178" s="108" t="str">
        <v>P172P944</v>
      </c>
      <c r="O1178" s="108">
        <f t="shared" si="20"/>
        <v>1</v>
      </c>
      <c r="P1178" s="108"/>
      <c r="Q1178"/>
    </row>
    <row r="1179" spans="1:17" x14ac:dyDescent="0.25">
      <c r="A1179" s="89" t="s">
        <v>8470</v>
      </c>
      <c r="B1179" s="87" t="s">
        <v>8471</v>
      </c>
      <c r="C1179" s="87" t="s">
        <v>16</v>
      </c>
      <c r="D1179" s="87" t="str">
        <f>VLOOKUP(Tabela1[[#This Row],[Origem]], 'Perguntas 1 a 24'!$J$28:$K$34, 2, 0)</f>
        <v>Sudeste</v>
      </c>
      <c r="E1179" s="87" t="str">
        <f>Tabela1[[#This Row],[Descrição]]&amp;"-"&amp;Tabela1[[#This Row],[Código]]&amp;"/"&amp;Tabela1[[#This Row],[Origem]]</f>
        <v>Tepifidudo-H768P513/MG</v>
      </c>
      <c r="F1179" s="88">
        <v>46169</v>
      </c>
      <c r="G1179" s="88" t="str" cm="1">
        <f t="array" ref="G11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AND(F1179&gt;= DATE(2026,1,1), F1179&lt;= DATE(2028, 12, 31), J1179&gt;50000), "Pendente e Caro", AND(F1179&gt;= DATE(2026,1,1), F1179&lt;= DATE(2028, 12, 31), J1179&lt;=50000), "Pendente", F1179&gt;= DATE(2029,1,1), "Não prioeitário")</f>
        <v>Pendente e Caro</v>
      </c>
      <c r="H1179" s="89">
        <f>YEAR(Tabela1[[#This Row],[Data de Validade]])</f>
        <v>2026</v>
      </c>
      <c r="I1179" s="89">
        <f>MONTH(Tabela1[[#This Row],[Data de Validade]])</f>
        <v>5</v>
      </c>
      <c r="J1179" s="101">
        <v>113689</v>
      </c>
      <c r="K1179" s="87" t="s">
        <v>9</v>
      </c>
      <c r="L1179" s="108"/>
      <c r="M1179" s="108"/>
      <c r="N1179" s="108" t="str">
        <v>H768P513</v>
      </c>
      <c r="O1179" s="108">
        <f t="shared" si="20"/>
        <v>1</v>
      </c>
      <c r="P1179" s="108"/>
      <c r="Q1179"/>
    </row>
    <row r="1180" spans="1:17" x14ac:dyDescent="0.25">
      <c r="A1180" s="89" t="s">
        <v>4518</v>
      </c>
      <c r="B1180" s="87" t="s">
        <v>4519</v>
      </c>
      <c r="C1180" s="87" t="s">
        <v>15</v>
      </c>
      <c r="D1180" s="87" t="str">
        <f>VLOOKUP(Tabela1[[#This Row],[Origem]], 'Perguntas 1 a 24'!$J$28:$K$34, 2, 0)</f>
        <v>Sudeste</v>
      </c>
      <c r="E1180" s="87" t="str">
        <f>Tabela1[[#This Row],[Descrição]]&amp;"-"&amp;Tabela1[[#This Row],[Código]]&amp;"/"&amp;Tabela1[[#This Row],[Origem]]</f>
        <v>Patave-P336H433/ES</v>
      </c>
      <c r="F1180" s="88">
        <v>46169</v>
      </c>
      <c r="G1180" s="88" t="str" cm="1">
        <f t="array" ref="G11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AND(F1180&gt;= DATE(2026,1,1), F1180&lt;= DATE(2028, 12, 31), J1180&gt;50000), "Pendente e Caro", AND(F1180&gt;= DATE(2026,1,1), F1180&lt;= DATE(2028, 12, 31), J1180&lt;=50000), "Pendente", F1180&gt;= DATE(2029,1,1), "Não prioeitário")</f>
        <v>Pendente e Caro</v>
      </c>
      <c r="H1180" s="89">
        <f>YEAR(Tabela1[[#This Row],[Data de Validade]])</f>
        <v>2026</v>
      </c>
      <c r="I1180" s="89">
        <f>MONTH(Tabela1[[#This Row],[Data de Validade]])</f>
        <v>5</v>
      </c>
      <c r="J1180" s="101">
        <v>104467</v>
      </c>
      <c r="K1180" s="87" t="s">
        <v>7</v>
      </c>
      <c r="L1180" s="108"/>
      <c r="M1180" s="108"/>
      <c r="N1180" s="108" t="str">
        <v>P336H433</v>
      </c>
      <c r="O1180" s="108">
        <f t="shared" si="20"/>
        <v>1</v>
      </c>
      <c r="P1180" s="108"/>
      <c r="Q1180"/>
    </row>
    <row r="1181" spans="1:17" x14ac:dyDescent="0.25">
      <c r="A1181" s="89" t="s">
        <v>4534</v>
      </c>
      <c r="B1181" s="87" t="s">
        <v>4535</v>
      </c>
      <c r="C1181" s="87" t="s">
        <v>16</v>
      </c>
      <c r="D1181" s="87" t="str">
        <f>VLOOKUP(Tabela1[[#This Row],[Origem]], 'Perguntas 1 a 24'!$J$28:$K$34, 2, 0)</f>
        <v>Sudeste</v>
      </c>
      <c r="E1181" s="87" t="str">
        <f>Tabela1[[#This Row],[Descrição]]&amp;"-"&amp;Tabela1[[#This Row],[Código]]&amp;"/"&amp;Tabela1[[#This Row],[Origem]]</f>
        <v>Tagoro-P886H865/MG</v>
      </c>
      <c r="F1181" s="88">
        <v>46169</v>
      </c>
      <c r="G1181" s="88" t="str" cm="1">
        <f t="array" ref="G11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AND(F1181&gt;= DATE(2026,1,1), F1181&lt;= DATE(2028, 12, 31), J1181&gt;50000), "Pendente e Caro", AND(F1181&gt;= DATE(2026,1,1), F1181&lt;= DATE(2028, 12, 31), J1181&lt;=50000), "Pendente", F1181&gt;= DATE(2029,1,1), "Não prioeitário")</f>
        <v>Pendente e Caro</v>
      </c>
      <c r="H1181" s="89">
        <f>YEAR(Tabela1[[#This Row],[Data de Validade]])</f>
        <v>2026</v>
      </c>
      <c r="I1181" s="89">
        <f>MONTH(Tabela1[[#This Row],[Data de Validade]])</f>
        <v>5</v>
      </c>
      <c r="J1181" s="101">
        <v>51732</v>
      </c>
      <c r="K1181" s="87" t="s">
        <v>11</v>
      </c>
      <c r="L1181" s="108"/>
      <c r="M1181" s="108"/>
      <c r="N1181" s="108" t="str">
        <v>P886H865</v>
      </c>
      <c r="O1181" s="108">
        <f t="shared" si="20"/>
        <v>1</v>
      </c>
      <c r="P1181" s="108"/>
      <c r="Q1181"/>
    </row>
    <row r="1182" spans="1:17" x14ac:dyDescent="0.25">
      <c r="A1182" s="89" t="s">
        <v>5940</v>
      </c>
      <c r="B1182" s="87" t="s">
        <v>5941</v>
      </c>
      <c r="C1182" s="87" t="s">
        <v>8</v>
      </c>
      <c r="D1182" s="87" t="str">
        <f>VLOOKUP(Tabela1[[#This Row],[Origem]], 'Perguntas 1 a 24'!$J$28:$K$34, 2, 0)</f>
        <v>Nordeste</v>
      </c>
      <c r="E1182" s="87" t="str">
        <f>Tabela1[[#This Row],[Descrição]]&amp;"-"&amp;Tabela1[[#This Row],[Código]]&amp;"/"&amp;Tabela1[[#This Row],[Origem]]</f>
        <v>Pogora-H742P755/AL</v>
      </c>
      <c r="F1182" s="88">
        <v>46169</v>
      </c>
      <c r="G1182" s="88" t="str" cm="1">
        <f t="array" ref="G11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AND(F1182&gt;= DATE(2026,1,1), F1182&lt;= DATE(2028, 12, 31), J1182&gt;50000), "Pendente e Caro", AND(F1182&gt;= DATE(2026,1,1), F1182&lt;= DATE(2028, 12, 31), J1182&lt;=50000), "Pendente", F1182&gt;= DATE(2029,1,1), "Não prioeitário")</f>
        <v>Pendente</v>
      </c>
      <c r="H1182" s="89">
        <f>YEAR(Tabela1[[#This Row],[Data de Validade]])</f>
        <v>2026</v>
      </c>
      <c r="I1182" s="89">
        <f>MONTH(Tabela1[[#This Row],[Data de Validade]])</f>
        <v>5</v>
      </c>
      <c r="J1182" s="101">
        <v>35369</v>
      </c>
      <c r="K1182" s="87" t="s">
        <v>7</v>
      </c>
      <c r="L1182" s="108"/>
      <c r="M1182" s="108"/>
      <c r="N1182" s="108" t="str">
        <v>H742P755</v>
      </c>
      <c r="O1182" s="108">
        <f t="shared" si="20"/>
        <v>1</v>
      </c>
      <c r="P1182" s="108"/>
      <c r="Q1182"/>
    </row>
    <row r="1183" spans="1:17" x14ac:dyDescent="0.25">
      <c r="A1183" s="89" t="s">
        <v>4906</v>
      </c>
      <c r="B1183" s="87" t="s">
        <v>4907</v>
      </c>
      <c r="C1183" s="87" t="s">
        <v>12</v>
      </c>
      <c r="D1183" s="87" t="str">
        <f>VLOOKUP(Tabela1[[#This Row],[Origem]], 'Perguntas 1 a 24'!$J$28:$K$34, 2, 0)</f>
        <v>Sudeste</v>
      </c>
      <c r="E1183" s="87" t="str">
        <f>Tabela1[[#This Row],[Descrição]]&amp;"-"&amp;Tabela1[[#This Row],[Código]]&amp;"/"&amp;Tabela1[[#This Row],[Origem]]</f>
        <v>Neperurefu-P378H569/RJ</v>
      </c>
      <c r="F1183" s="88">
        <v>46171</v>
      </c>
      <c r="G1183" s="88" t="str" cm="1">
        <f t="array" ref="G11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AND(F1183&gt;= DATE(2026,1,1), F1183&lt;= DATE(2028, 12, 31), J1183&gt;50000), "Pendente e Caro", AND(F1183&gt;= DATE(2026,1,1), F1183&lt;= DATE(2028, 12, 31), J1183&lt;=50000), "Pendente", F1183&gt;= DATE(2029,1,1), "Não prioeitário")</f>
        <v>Pendente e Caro</v>
      </c>
      <c r="H1183" s="89">
        <f>YEAR(Tabela1[[#This Row],[Data de Validade]])</f>
        <v>2026</v>
      </c>
      <c r="I1183" s="89">
        <f>MONTH(Tabela1[[#This Row],[Data de Validade]])</f>
        <v>5</v>
      </c>
      <c r="J1183" s="101">
        <v>59411</v>
      </c>
      <c r="K1183" s="87" t="s">
        <v>7</v>
      </c>
      <c r="L1183" s="108"/>
      <c r="M1183" s="108"/>
      <c r="N1183" s="108" t="str">
        <v>P378H569</v>
      </c>
      <c r="O1183" s="108">
        <f t="shared" si="20"/>
        <v>1</v>
      </c>
      <c r="P1183" s="108"/>
      <c r="Q1183"/>
    </row>
    <row r="1184" spans="1:17" x14ac:dyDescent="0.25">
      <c r="A1184" s="89" t="s">
        <v>8164</v>
      </c>
      <c r="B1184" s="87" t="s">
        <v>8165</v>
      </c>
      <c r="C1184" s="87" t="s">
        <v>10</v>
      </c>
      <c r="D1184" s="87" t="str">
        <f>VLOOKUP(Tabela1[[#This Row],[Origem]], 'Perguntas 1 a 24'!$J$28:$K$34, 2, 0)</f>
        <v>Centro-Oeste</v>
      </c>
      <c r="E1184" s="87" t="str">
        <f>Tabela1[[#This Row],[Descrição]]&amp;"-"&amp;Tabela1[[#This Row],[Código]]&amp;"/"&amp;Tabela1[[#This Row],[Origem]]</f>
        <v>Rerucimi-P188H741/GO</v>
      </c>
      <c r="F1184" s="88">
        <v>46172</v>
      </c>
      <c r="G1184" s="88" t="str" cm="1">
        <f t="array" ref="G11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AND(F1184&gt;= DATE(2026,1,1), F1184&lt;= DATE(2028, 12, 31), J1184&gt;50000), "Pendente e Caro", AND(F1184&gt;= DATE(2026,1,1), F1184&lt;= DATE(2028, 12, 31), J1184&lt;=50000), "Pendente", F1184&gt;= DATE(2029,1,1), "Não prioeitário")</f>
        <v>Pendente e Caro</v>
      </c>
      <c r="H1184" s="89">
        <f>YEAR(Tabela1[[#This Row],[Data de Validade]])</f>
        <v>2026</v>
      </c>
      <c r="I1184" s="89">
        <f>MONTH(Tabela1[[#This Row],[Data de Validade]])</f>
        <v>5</v>
      </c>
      <c r="J1184" s="101">
        <v>79620</v>
      </c>
      <c r="K1184" s="87" t="s">
        <v>9</v>
      </c>
      <c r="L1184" s="108"/>
      <c r="M1184" s="108"/>
      <c r="N1184" s="108" t="str">
        <v>P188H741</v>
      </c>
      <c r="O1184" s="108">
        <f t="shared" si="20"/>
        <v>1</v>
      </c>
      <c r="P1184" s="108"/>
      <c r="Q1184"/>
    </row>
    <row r="1185" spans="1:17" x14ac:dyDescent="0.25">
      <c r="A1185" s="89" t="s">
        <v>5888</v>
      </c>
      <c r="B1185" s="87" t="s">
        <v>5889</v>
      </c>
      <c r="C1185" s="87" t="s">
        <v>16</v>
      </c>
      <c r="D1185" s="87" t="str">
        <f>VLOOKUP(Tabela1[[#This Row],[Origem]], 'Perguntas 1 a 24'!$J$28:$K$34, 2, 0)</f>
        <v>Sudeste</v>
      </c>
      <c r="E1185" s="87" t="str">
        <f>Tabela1[[#This Row],[Descrição]]&amp;"-"&amp;Tabela1[[#This Row],[Código]]&amp;"/"&amp;Tabela1[[#This Row],[Origem]]</f>
        <v>Totetagera-P771H744/MG</v>
      </c>
      <c r="F1185" s="88">
        <v>46172</v>
      </c>
      <c r="G1185" s="88" t="str" cm="1">
        <f t="array" ref="G11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AND(F1185&gt;= DATE(2026,1,1), F1185&lt;= DATE(2028, 12, 31), J1185&gt;50000), "Pendente e Caro", AND(F1185&gt;= DATE(2026,1,1), F1185&lt;= DATE(2028, 12, 31), J1185&lt;=50000), "Pendente", F1185&gt;= DATE(2029,1,1), "Não prioeitário")</f>
        <v>Pendente</v>
      </c>
      <c r="H1185" s="89">
        <f>YEAR(Tabela1[[#This Row],[Data de Validade]])</f>
        <v>2026</v>
      </c>
      <c r="I1185" s="89">
        <f>MONTH(Tabela1[[#This Row],[Data de Validade]])</f>
        <v>5</v>
      </c>
      <c r="J1185" s="101">
        <v>31567</v>
      </c>
      <c r="K1185" s="87" t="s">
        <v>11</v>
      </c>
      <c r="L1185" s="108"/>
      <c r="M1185" s="108"/>
      <c r="N1185" s="108" t="str">
        <v>P771H744</v>
      </c>
      <c r="O1185" s="108">
        <f t="shared" si="20"/>
        <v>1</v>
      </c>
      <c r="P1185" s="108"/>
      <c r="Q1185"/>
    </row>
    <row r="1186" spans="1:17" x14ac:dyDescent="0.25">
      <c r="A1186" s="89" t="s">
        <v>6098</v>
      </c>
      <c r="B1186" s="87" t="s">
        <v>6099</v>
      </c>
      <c r="C1186" s="87" t="s">
        <v>10</v>
      </c>
      <c r="D1186" s="87" t="str">
        <f>VLOOKUP(Tabela1[[#This Row],[Origem]], 'Perguntas 1 a 24'!$J$28:$K$34, 2, 0)</f>
        <v>Centro-Oeste</v>
      </c>
      <c r="E1186" s="87" t="str">
        <f>Tabela1[[#This Row],[Descrição]]&amp;"-"&amp;Tabela1[[#This Row],[Código]]&amp;"/"&amp;Tabela1[[#This Row],[Origem]]</f>
        <v>Mepavugupa-P431P875/GO</v>
      </c>
      <c r="F1186" s="88">
        <v>46172</v>
      </c>
      <c r="G1186" s="88" t="str" cm="1">
        <f t="array" ref="G11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AND(F1186&gt;= DATE(2026,1,1), F1186&lt;= DATE(2028, 12, 31), J1186&gt;50000), "Pendente e Caro", AND(F1186&gt;= DATE(2026,1,1), F1186&lt;= DATE(2028, 12, 31), J1186&lt;=50000), "Pendente", F1186&gt;= DATE(2029,1,1), "Não prioeitário")</f>
        <v>Pendente</v>
      </c>
      <c r="H1186" s="89">
        <f>YEAR(Tabela1[[#This Row],[Data de Validade]])</f>
        <v>2026</v>
      </c>
      <c r="I1186" s="89">
        <f>MONTH(Tabela1[[#This Row],[Data de Validade]])</f>
        <v>5</v>
      </c>
      <c r="J1186" s="101">
        <v>24650</v>
      </c>
      <c r="K1186" s="87" t="s">
        <v>9</v>
      </c>
      <c r="L1186" s="108"/>
      <c r="M1186" s="108"/>
      <c r="N1186" s="108" t="str">
        <v>P431P875</v>
      </c>
      <c r="O1186" s="108">
        <f t="shared" si="20"/>
        <v>1</v>
      </c>
      <c r="P1186" s="108"/>
      <c r="Q1186"/>
    </row>
    <row r="1187" spans="1:17" x14ac:dyDescent="0.25">
      <c r="A1187" s="89" t="s">
        <v>9777</v>
      </c>
      <c r="B1187" s="87" t="s">
        <v>9778</v>
      </c>
      <c r="C1187" s="87" t="s">
        <v>16</v>
      </c>
      <c r="D1187" s="87" t="str">
        <f>VLOOKUP(Tabela1[[#This Row],[Origem]], 'Perguntas 1 a 24'!$J$28:$K$34, 2, 0)</f>
        <v>Sudeste</v>
      </c>
      <c r="E1187" s="87" t="str">
        <f>Tabela1[[#This Row],[Descrição]]&amp;"-"&amp;Tabela1[[#This Row],[Código]]&amp;"/"&amp;Tabela1[[#This Row],[Origem]]</f>
        <v>Tutirudo-H663H464/MG</v>
      </c>
      <c r="F1187" s="88">
        <v>46173</v>
      </c>
      <c r="G1187" s="88" t="str" cm="1">
        <f t="array" ref="G11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AND(F1187&gt;= DATE(2026,1,1), F1187&lt;= DATE(2028, 12, 31), J1187&gt;50000), "Pendente e Caro", AND(F1187&gt;= DATE(2026,1,1), F1187&lt;= DATE(2028, 12, 31), J1187&lt;=50000), "Pendente", F1187&gt;= DATE(2029,1,1), "Não prioeitário")</f>
        <v>Pendente e Caro</v>
      </c>
      <c r="H1187" s="89">
        <f>YEAR(Tabela1[[#This Row],[Data de Validade]])</f>
        <v>2026</v>
      </c>
      <c r="I1187" s="89">
        <f>MONTH(Tabela1[[#This Row],[Data de Validade]])</f>
        <v>5</v>
      </c>
      <c r="J1187" s="101">
        <v>118734</v>
      </c>
      <c r="K1187" s="87" t="s">
        <v>9</v>
      </c>
      <c r="L1187" s="108"/>
      <c r="M1187" s="108"/>
      <c r="N1187" s="108" t="str">
        <v>H663H464</v>
      </c>
      <c r="O1187" s="108">
        <f t="shared" si="20"/>
        <v>1</v>
      </c>
      <c r="P1187" s="108"/>
      <c r="Q1187"/>
    </row>
    <row r="1188" spans="1:17" x14ac:dyDescent="0.25">
      <c r="A1188" s="89" t="s">
        <v>4846</v>
      </c>
      <c r="B1188" s="87" t="s">
        <v>4847</v>
      </c>
      <c r="C1188" s="87" t="s">
        <v>10</v>
      </c>
      <c r="D1188" s="87" t="str">
        <f>VLOOKUP(Tabela1[[#This Row],[Origem]], 'Perguntas 1 a 24'!$J$28:$K$34, 2, 0)</f>
        <v>Centro-Oeste</v>
      </c>
      <c r="E1188" s="87" t="str">
        <f>Tabela1[[#This Row],[Descrição]]&amp;"-"&amp;Tabela1[[#This Row],[Código]]&amp;"/"&amp;Tabela1[[#This Row],[Origem]]</f>
        <v>Lufemuci-H435H196/GO</v>
      </c>
      <c r="F1188" s="88">
        <v>46173</v>
      </c>
      <c r="G1188" s="88" t="str" cm="1">
        <f t="array" ref="G11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AND(F1188&gt;= DATE(2026,1,1), F1188&lt;= DATE(2028, 12, 31), J1188&gt;50000), "Pendente e Caro", AND(F1188&gt;= DATE(2026,1,1), F1188&lt;= DATE(2028, 12, 31), J1188&lt;=50000), "Pendente", F1188&gt;= DATE(2029,1,1), "Não prioeitário")</f>
        <v>Pendente</v>
      </c>
      <c r="H1188" s="89">
        <f>YEAR(Tabela1[[#This Row],[Data de Validade]])</f>
        <v>2026</v>
      </c>
      <c r="I1188" s="89">
        <f>MONTH(Tabela1[[#This Row],[Data de Validade]])</f>
        <v>5</v>
      </c>
      <c r="J1188" s="101">
        <v>43636</v>
      </c>
      <c r="K1188" s="87" t="s">
        <v>11</v>
      </c>
      <c r="L1188" s="108"/>
      <c r="M1188" s="108"/>
      <c r="N1188" s="108" t="str">
        <v>H435H196</v>
      </c>
      <c r="O1188" s="108">
        <f t="shared" si="20"/>
        <v>1</v>
      </c>
      <c r="P1188" s="108"/>
      <c r="Q1188"/>
    </row>
    <row r="1189" spans="1:17" x14ac:dyDescent="0.25">
      <c r="A1189" s="89" t="s">
        <v>7130</v>
      </c>
      <c r="B1189" s="87" t="s">
        <v>7131</v>
      </c>
      <c r="C1189" s="87" t="s">
        <v>12</v>
      </c>
      <c r="D1189" s="87" t="str">
        <f>VLOOKUP(Tabela1[[#This Row],[Origem]], 'Perguntas 1 a 24'!$J$28:$K$34, 2, 0)</f>
        <v>Sudeste</v>
      </c>
      <c r="E1189" s="87" t="str">
        <f>Tabela1[[#This Row],[Descrição]]&amp;"-"&amp;Tabela1[[#This Row],[Código]]&amp;"/"&amp;Tabela1[[#This Row],[Origem]]</f>
        <v>Raparanege-P523H119/RJ</v>
      </c>
      <c r="F1189" s="88">
        <v>46173</v>
      </c>
      <c r="G1189" s="88" t="str" cm="1">
        <f t="array" ref="G11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AND(F1189&gt;= DATE(2026,1,1), F1189&lt;= DATE(2028, 12, 31), J1189&gt;50000), "Pendente e Caro", AND(F1189&gt;= DATE(2026,1,1), F1189&lt;= DATE(2028, 12, 31), J1189&lt;=50000), "Pendente", F1189&gt;= DATE(2029,1,1), "Não prioeitário")</f>
        <v>Pendente</v>
      </c>
      <c r="H1189" s="89">
        <f>YEAR(Tabela1[[#This Row],[Data de Validade]])</f>
        <v>2026</v>
      </c>
      <c r="I1189" s="89">
        <f>MONTH(Tabela1[[#This Row],[Data de Validade]])</f>
        <v>5</v>
      </c>
      <c r="J1189" s="101">
        <v>20474</v>
      </c>
      <c r="K1189" s="87" t="s">
        <v>14</v>
      </c>
      <c r="L1189" s="108"/>
      <c r="M1189" s="108"/>
      <c r="N1189" s="108" t="str">
        <v>P523H119</v>
      </c>
      <c r="O1189" s="108">
        <f t="shared" si="20"/>
        <v>1</v>
      </c>
      <c r="P1189" s="108"/>
      <c r="Q1189"/>
    </row>
    <row r="1190" spans="1:17" x14ac:dyDescent="0.25">
      <c r="A1190" s="89" t="s">
        <v>3880</v>
      </c>
      <c r="B1190" s="87" t="s">
        <v>3881</v>
      </c>
      <c r="C1190" s="87" t="s">
        <v>16</v>
      </c>
      <c r="D1190" s="87" t="str">
        <f>VLOOKUP(Tabela1[[#This Row],[Origem]], 'Perguntas 1 a 24'!$J$28:$K$34, 2, 0)</f>
        <v>Sudeste</v>
      </c>
      <c r="E1190" s="87" t="str">
        <f>Tabela1[[#This Row],[Descrição]]&amp;"-"&amp;Tabela1[[#This Row],[Código]]&amp;"/"&amp;Tabela1[[#This Row],[Origem]]</f>
        <v>Faluru-P612H154/MG</v>
      </c>
      <c r="F1190" s="88">
        <v>46174</v>
      </c>
      <c r="G1190" s="88" t="str" cm="1">
        <f t="array" ref="G11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AND(F1190&gt;= DATE(2026,1,1), F1190&lt;= DATE(2028, 12, 31), J1190&gt;50000), "Pendente e Caro", AND(F1190&gt;= DATE(2026,1,1), F1190&lt;= DATE(2028, 12, 31), J1190&lt;=50000), "Pendente", F1190&gt;= DATE(2029,1,1), "Não prioeitário")</f>
        <v>Pendente e Caro</v>
      </c>
      <c r="H1190" s="89">
        <f>YEAR(Tabela1[[#This Row],[Data de Validade]])</f>
        <v>2026</v>
      </c>
      <c r="I1190" s="89">
        <f>MONTH(Tabela1[[#This Row],[Data de Validade]])</f>
        <v>6</v>
      </c>
      <c r="J1190" s="101">
        <v>58896</v>
      </c>
      <c r="K1190" s="87" t="s">
        <v>14</v>
      </c>
      <c r="L1190" s="108"/>
      <c r="M1190" s="108"/>
      <c r="N1190" s="108" t="str">
        <v>P612H154</v>
      </c>
      <c r="O1190" s="108">
        <f t="shared" si="20"/>
        <v>1</v>
      </c>
      <c r="P1190" s="108"/>
      <c r="Q1190"/>
    </row>
    <row r="1191" spans="1:17" x14ac:dyDescent="0.25">
      <c r="A1191" s="89" t="s">
        <v>9207</v>
      </c>
      <c r="B1191" s="87" t="s">
        <v>9208</v>
      </c>
      <c r="C1191" s="87" t="s">
        <v>8</v>
      </c>
      <c r="D1191" s="87" t="str">
        <f>VLOOKUP(Tabela1[[#This Row],[Origem]], 'Perguntas 1 a 24'!$J$28:$K$34, 2, 0)</f>
        <v>Nordeste</v>
      </c>
      <c r="E1191" s="87" t="str">
        <f>Tabela1[[#This Row],[Descrição]]&amp;"-"&amp;Tabela1[[#This Row],[Código]]&amp;"/"&amp;Tabela1[[#This Row],[Origem]]</f>
        <v>Fagerifu-H691P139/AL</v>
      </c>
      <c r="F1191" s="88">
        <v>46174</v>
      </c>
      <c r="G1191" s="88" t="str" cm="1">
        <f t="array" ref="G11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AND(F1191&gt;= DATE(2026,1,1), F1191&lt;= DATE(2028, 12, 31), J1191&gt;50000), "Pendente e Caro", AND(F1191&gt;= DATE(2026,1,1), F1191&lt;= DATE(2028, 12, 31), J1191&lt;=50000), "Pendente", F1191&gt;= DATE(2029,1,1), "Não prioeitário")</f>
        <v>Pendente</v>
      </c>
      <c r="H1191" s="89">
        <f>YEAR(Tabela1[[#This Row],[Data de Validade]])</f>
        <v>2026</v>
      </c>
      <c r="I1191" s="89">
        <f>MONTH(Tabela1[[#This Row],[Data de Validade]])</f>
        <v>6</v>
      </c>
      <c r="J1191" s="101">
        <v>32712</v>
      </c>
      <c r="K1191" s="87" t="s">
        <v>9</v>
      </c>
      <c r="L1191" s="108"/>
      <c r="M1191" s="108"/>
      <c r="N1191" s="108" t="str">
        <v>H691P139</v>
      </c>
      <c r="O1191" s="108">
        <f t="shared" si="20"/>
        <v>1</v>
      </c>
      <c r="P1191" s="108"/>
      <c r="Q1191"/>
    </row>
    <row r="1192" spans="1:17" x14ac:dyDescent="0.25">
      <c r="A1192" s="89" t="s">
        <v>11266</v>
      </c>
      <c r="B1192" s="87" t="s">
        <v>11267</v>
      </c>
      <c r="C1192" s="87" t="s">
        <v>13</v>
      </c>
      <c r="D1192" s="87" t="str">
        <f>VLOOKUP(Tabela1[[#This Row],[Origem]], 'Perguntas 1 a 24'!$J$28:$K$34, 2, 0)</f>
        <v>Sudeste</v>
      </c>
      <c r="E1192" s="87" t="str">
        <f>Tabela1[[#This Row],[Descrição]]&amp;"-"&amp;Tabela1[[#This Row],[Código]]&amp;"/"&amp;Tabela1[[#This Row],[Origem]]</f>
        <v>Momitige-H251P447/SP</v>
      </c>
      <c r="F1192" s="88">
        <v>46174</v>
      </c>
      <c r="G1192" s="88" t="str" cm="1">
        <f t="array" ref="G11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AND(F1192&gt;= DATE(2026,1,1), F1192&lt;= DATE(2028, 12, 31), J1192&gt;50000), "Pendente e Caro", AND(F1192&gt;= DATE(2026,1,1), F1192&lt;= DATE(2028, 12, 31), J1192&lt;=50000), "Pendente", F1192&gt;= DATE(2029,1,1), "Não prioeitário")</f>
        <v>Pendente</v>
      </c>
      <c r="H1192" s="89">
        <f>YEAR(Tabela1[[#This Row],[Data de Validade]])</f>
        <v>2026</v>
      </c>
      <c r="I1192" s="89">
        <f>MONTH(Tabela1[[#This Row],[Data de Validade]])</f>
        <v>6</v>
      </c>
      <c r="J1192" s="101">
        <v>31091</v>
      </c>
      <c r="K1192" s="87" t="s">
        <v>9</v>
      </c>
      <c r="L1192" s="108"/>
      <c r="M1192" s="108"/>
      <c r="N1192" s="108" t="str">
        <v>H251P447</v>
      </c>
      <c r="O1192" s="108">
        <f t="shared" si="20"/>
        <v>1</v>
      </c>
      <c r="P1192" s="108"/>
      <c r="Q1192"/>
    </row>
    <row r="1193" spans="1:17" x14ac:dyDescent="0.25">
      <c r="A1193" s="89" t="s">
        <v>8088</v>
      </c>
      <c r="B1193" s="87" t="s">
        <v>8089</v>
      </c>
      <c r="C1193" s="87" t="s">
        <v>10</v>
      </c>
      <c r="D1193" s="87" t="str">
        <f>VLOOKUP(Tabela1[[#This Row],[Origem]], 'Perguntas 1 a 24'!$J$28:$K$34, 2, 0)</f>
        <v>Centro-Oeste</v>
      </c>
      <c r="E1193" s="87" t="str">
        <f>Tabela1[[#This Row],[Descrição]]&amp;"-"&amp;Tabela1[[#This Row],[Código]]&amp;"/"&amp;Tabela1[[#This Row],[Origem]]</f>
        <v>Potepeto-H693P162/GO</v>
      </c>
      <c r="F1193" s="88">
        <v>46175</v>
      </c>
      <c r="G1193" s="88" t="str" cm="1">
        <f t="array" ref="G11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AND(F1193&gt;= DATE(2026,1,1), F1193&lt;= DATE(2028, 12, 31), J1193&gt;50000), "Pendente e Caro", AND(F1193&gt;= DATE(2026,1,1), F1193&lt;= DATE(2028, 12, 31), J1193&lt;=50000), "Pendente", F1193&gt;= DATE(2029,1,1), "Não prioeitário")</f>
        <v>Pendente</v>
      </c>
      <c r="H1193" s="89">
        <f>YEAR(Tabela1[[#This Row],[Data de Validade]])</f>
        <v>2026</v>
      </c>
      <c r="I1193" s="89">
        <f>MONTH(Tabela1[[#This Row],[Data de Validade]])</f>
        <v>6</v>
      </c>
      <c r="J1193" s="101">
        <v>42724</v>
      </c>
      <c r="K1193" s="87" t="s">
        <v>14</v>
      </c>
      <c r="L1193" s="108"/>
      <c r="M1193" s="108"/>
      <c r="N1193" s="108" t="str">
        <v>H693P162</v>
      </c>
      <c r="O1193" s="108">
        <f t="shared" si="20"/>
        <v>1</v>
      </c>
      <c r="P1193" s="108"/>
      <c r="Q1193"/>
    </row>
    <row r="1194" spans="1:17" x14ac:dyDescent="0.25">
      <c r="A1194" s="89" t="s">
        <v>7438</v>
      </c>
      <c r="B1194" s="87" t="s">
        <v>7439</v>
      </c>
      <c r="C1194" s="87" t="s">
        <v>15</v>
      </c>
      <c r="D1194" s="87" t="str">
        <f>VLOOKUP(Tabela1[[#This Row],[Origem]], 'Perguntas 1 a 24'!$J$28:$K$34, 2, 0)</f>
        <v>Sudeste</v>
      </c>
      <c r="E1194" s="87" t="str">
        <f>Tabela1[[#This Row],[Descrição]]&amp;"-"&amp;Tabela1[[#This Row],[Código]]&amp;"/"&amp;Tabela1[[#This Row],[Origem]]</f>
        <v>Rorapalape-P672H961/ES</v>
      </c>
      <c r="F1194" s="88">
        <v>46176</v>
      </c>
      <c r="G1194" s="88" t="str" cm="1">
        <f t="array" ref="G11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AND(F1194&gt;= DATE(2026,1,1), F1194&lt;= DATE(2028, 12, 31), J1194&gt;50000), "Pendente e Caro", AND(F1194&gt;= DATE(2026,1,1), F1194&lt;= DATE(2028, 12, 31), J1194&lt;=50000), "Pendente", F1194&gt;= DATE(2029,1,1), "Não prioeitário")</f>
        <v>Pendente e Caro</v>
      </c>
      <c r="H1194" s="89">
        <f>YEAR(Tabela1[[#This Row],[Data de Validade]])</f>
        <v>2026</v>
      </c>
      <c r="I1194" s="89">
        <f>MONTH(Tabela1[[#This Row],[Data de Validade]])</f>
        <v>6</v>
      </c>
      <c r="J1194" s="101">
        <v>90030</v>
      </c>
      <c r="K1194" s="87" t="s">
        <v>14</v>
      </c>
      <c r="L1194" s="108"/>
      <c r="M1194" s="108"/>
      <c r="N1194" s="108" t="str">
        <v>P672H961</v>
      </c>
      <c r="O1194" s="108">
        <f t="shared" si="20"/>
        <v>1</v>
      </c>
      <c r="P1194" s="108"/>
      <c r="Q1194"/>
    </row>
    <row r="1195" spans="1:17" x14ac:dyDescent="0.25">
      <c r="A1195" s="89" t="s">
        <v>6902</v>
      </c>
      <c r="B1195" s="87" t="s">
        <v>6903</v>
      </c>
      <c r="C1195" s="87" t="s">
        <v>10</v>
      </c>
      <c r="D1195" s="87" t="str">
        <f>VLOOKUP(Tabela1[[#This Row],[Origem]], 'Perguntas 1 a 24'!$J$28:$K$34, 2, 0)</f>
        <v>Centro-Oeste</v>
      </c>
      <c r="E1195" s="87" t="str">
        <f>Tabela1[[#This Row],[Descrição]]&amp;"-"&amp;Tabela1[[#This Row],[Código]]&amp;"/"&amp;Tabela1[[#This Row],[Origem]]</f>
        <v>Tegopa-P491H227/GO</v>
      </c>
      <c r="F1195" s="88">
        <v>46176</v>
      </c>
      <c r="G1195" s="88" t="str" cm="1">
        <f t="array" ref="G11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AND(F1195&gt;= DATE(2026,1,1), F1195&lt;= DATE(2028, 12, 31), J1195&gt;50000), "Pendente e Caro", AND(F1195&gt;= DATE(2026,1,1), F1195&lt;= DATE(2028, 12, 31), J1195&lt;=50000), "Pendente", F1195&gt;= DATE(2029,1,1), "Não prioeitário")</f>
        <v>Pendente e Caro</v>
      </c>
      <c r="H1195" s="89">
        <f>YEAR(Tabela1[[#This Row],[Data de Validade]])</f>
        <v>2026</v>
      </c>
      <c r="I1195" s="89">
        <f>MONTH(Tabela1[[#This Row],[Data de Validade]])</f>
        <v>6</v>
      </c>
      <c r="J1195" s="101">
        <v>53272</v>
      </c>
      <c r="K1195" s="87" t="s">
        <v>9</v>
      </c>
      <c r="L1195" s="108"/>
      <c r="M1195" s="108"/>
      <c r="N1195" s="108" t="str">
        <v>P491H227</v>
      </c>
      <c r="O1195" s="108">
        <f t="shared" si="20"/>
        <v>1</v>
      </c>
      <c r="P1195" s="108"/>
      <c r="Q1195"/>
    </row>
    <row r="1196" spans="1:17" x14ac:dyDescent="0.25">
      <c r="A1196" s="89" t="s">
        <v>3756</v>
      </c>
      <c r="B1196" s="87" t="s">
        <v>3757</v>
      </c>
      <c r="C1196" s="87" t="s">
        <v>13</v>
      </c>
      <c r="D1196" s="87" t="str">
        <f>VLOOKUP(Tabela1[[#This Row],[Origem]], 'Perguntas 1 a 24'!$J$28:$K$34, 2, 0)</f>
        <v>Sudeste</v>
      </c>
      <c r="E1196" s="87" t="str">
        <f>Tabela1[[#This Row],[Descrição]]&amp;"-"&amp;Tabela1[[#This Row],[Código]]&amp;"/"&amp;Tabela1[[#This Row],[Origem]]</f>
        <v>Maratu-P133P955/SP</v>
      </c>
      <c r="F1196" s="88">
        <v>46176</v>
      </c>
      <c r="G1196" s="88" t="str" cm="1">
        <f t="array" ref="G11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AND(F1196&gt;= DATE(2026,1,1), F1196&lt;= DATE(2028, 12, 31), J1196&gt;50000), "Pendente e Caro", AND(F1196&gt;= DATE(2026,1,1), F1196&lt;= DATE(2028, 12, 31), J1196&lt;=50000), "Pendente", F1196&gt;= DATE(2029,1,1), "Não prioeitário")</f>
        <v>Pendente</v>
      </c>
      <c r="H1196" s="89">
        <f>YEAR(Tabela1[[#This Row],[Data de Validade]])</f>
        <v>2026</v>
      </c>
      <c r="I1196" s="89">
        <f>MONTH(Tabela1[[#This Row],[Data de Validade]])</f>
        <v>6</v>
      </c>
      <c r="J1196" s="101">
        <v>39517</v>
      </c>
      <c r="K1196" s="87" t="s">
        <v>11</v>
      </c>
      <c r="L1196" s="108"/>
      <c r="M1196" s="108"/>
      <c r="N1196" s="108" t="str">
        <v>P133P955</v>
      </c>
      <c r="O1196" s="108">
        <f t="shared" si="20"/>
        <v>1</v>
      </c>
      <c r="P1196" s="108"/>
      <c r="Q1196"/>
    </row>
    <row r="1197" spans="1:17" x14ac:dyDescent="0.25">
      <c r="A1197" s="89" t="s">
        <v>8717</v>
      </c>
      <c r="B1197" s="87" t="s">
        <v>8718</v>
      </c>
      <c r="C1197" s="87" t="s">
        <v>10</v>
      </c>
      <c r="D1197" s="87" t="str">
        <f>VLOOKUP(Tabela1[[#This Row],[Origem]], 'Perguntas 1 a 24'!$J$28:$K$34, 2, 0)</f>
        <v>Centro-Oeste</v>
      </c>
      <c r="E1197" s="87" t="str">
        <f>Tabela1[[#This Row],[Descrição]]&amp;"-"&amp;Tabela1[[#This Row],[Código]]&amp;"/"&amp;Tabela1[[#This Row],[Origem]]</f>
        <v>Copamo-H538P327/GO</v>
      </c>
      <c r="F1197" s="88">
        <v>46177</v>
      </c>
      <c r="G1197" s="88" t="str" cm="1">
        <f t="array" ref="G11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AND(F1197&gt;= DATE(2026,1,1), F1197&lt;= DATE(2028, 12, 31), J1197&gt;50000), "Pendente e Caro", AND(F1197&gt;= DATE(2026,1,1), F1197&lt;= DATE(2028, 12, 31), J1197&lt;=50000), "Pendente", F1197&gt;= DATE(2029,1,1), "Não prioeitário")</f>
        <v>Pendente e Caro</v>
      </c>
      <c r="H1197" s="89">
        <f>YEAR(Tabela1[[#This Row],[Data de Validade]])</f>
        <v>2026</v>
      </c>
      <c r="I1197" s="89">
        <f>MONTH(Tabela1[[#This Row],[Data de Validade]])</f>
        <v>6</v>
      </c>
      <c r="J1197" s="101">
        <v>86490</v>
      </c>
      <c r="K1197" s="87" t="s">
        <v>14</v>
      </c>
      <c r="L1197" s="108"/>
      <c r="M1197" s="108"/>
      <c r="N1197" s="108" t="str">
        <v>H538P327</v>
      </c>
      <c r="O1197" s="108">
        <f t="shared" si="20"/>
        <v>1</v>
      </c>
      <c r="P1197" s="108"/>
      <c r="Q1197"/>
    </row>
    <row r="1198" spans="1:17" x14ac:dyDescent="0.25">
      <c r="A1198" s="89" t="s">
        <v>7862</v>
      </c>
      <c r="B1198" s="87" t="s">
        <v>7863</v>
      </c>
      <c r="C1198" s="87" t="s">
        <v>15</v>
      </c>
      <c r="D1198" s="87" t="str">
        <f>VLOOKUP(Tabela1[[#This Row],[Origem]], 'Perguntas 1 a 24'!$J$28:$K$34, 2, 0)</f>
        <v>Sudeste</v>
      </c>
      <c r="E1198" s="87" t="str">
        <f>Tabela1[[#This Row],[Descrição]]&amp;"-"&amp;Tabela1[[#This Row],[Código]]&amp;"/"&amp;Tabela1[[#This Row],[Origem]]</f>
        <v>Dopedu-H559P423/ES</v>
      </c>
      <c r="F1198" s="88">
        <v>46177</v>
      </c>
      <c r="G1198" s="88" t="str" cm="1">
        <f t="array" ref="G11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AND(F1198&gt;= DATE(2026,1,1), F1198&lt;= DATE(2028, 12, 31), J1198&gt;50000), "Pendente e Caro", AND(F1198&gt;= DATE(2026,1,1), F1198&lt;= DATE(2028, 12, 31), J1198&lt;=50000), "Pendente", F1198&gt;= DATE(2029,1,1), "Não prioeitário")</f>
        <v>Pendente e Caro</v>
      </c>
      <c r="H1198" s="89">
        <f>YEAR(Tabela1[[#This Row],[Data de Validade]])</f>
        <v>2026</v>
      </c>
      <c r="I1198" s="89">
        <f>MONTH(Tabela1[[#This Row],[Data de Validade]])</f>
        <v>6</v>
      </c>
      <c r="J1198" s="101">
        <v>54941</v>
      </c>
      <c r="K1198" s="87" t="s">
        <v>14</v>
      </c>
      <c r="L1198" s="108"/>
      <c r="M1198" s="108"/>
      <c r="N1198" s="108" t="str">
        <v>H559P423</v>
      </c>
      <c r="O1198" s="108">
        <f t="shared" si="20"/>
        <v>1</v>
      </c>
      <c r="P1198" s="108"/>
      <c r="Q1198"/>
    </row>
    <row r="1199" spans="1:17" x14ac:dyDescent="0.25">
      <c r="A1199" s="89" t="s">
        <v>4670</v>
      </c>
      <c r="B1199" s="87" t="s">
        <v>4671</v>
      </c>
      <c r="C1199" s="87" t="s">
        <v>12</v>
      </c>
      <c r="D1199" s="87" t="str">
        <f>VLOOKUP(Tabela1[[#This Row],[Origem]], 'Perguntas 1 a 24'!$J$28:$K$34, 2, 0)</f>
        <v>Sudeste</v>
      </c>
      <c r="E1199" s="87" t="str">
        <f>Tabela1[[#This Row],[Descrição]]&amp;"-"&amp;Tabela1[[#This Row],[Código]]&amp;"/"&amp;Tabela1[[#This Row],[Origem]]</f>
        <v>Tunarare-P344H654/RJ</v>
      </c>
      <c r="F1199" s="88">
        <v>46178</v>
      </c>
      <c r="G1199" s="88" t="str" cm="1">
        <f t="array" ref="G11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AND(F1199&gt;= DATE(2026,1,1), F1199&lt;= DATE(2028, 12, 31), J1199&gt;50000), "Pendente e Caro", AND(F1199&gt;= DATE(2026,1,1), F1199&lt;= DATE(2028, 12, 31), J1199&lt;=50000), "Pendente", F1199&gt;= DATE(2029,1,1), "Não prioeitário")</f>
        <v>Pendente e Caro</v>
      </c>
      <c r="H1199" s="89">
        <f>YEAR(Tabela1[[#This Row],[Data de Validade]])</f>
        <v>2026</v>
      </c>
      <c r="I1199" s="89">
        <f>MONTH(Tabela1[[#This Row],[Data de Validade]])</f>
        <v>6</v>
      </c>
      <c r="J1199" s="101">
        <v>114014</v>
      </c>
      <c r="K1199" s="87" t="s">
        <v>14</v>
      </c>
      <c r="L1199" s="108"/>
      <c r="M1199" s="108"/>
      <c r="N1199" s="108" t="str">
        <v>P344H654</v>
      </c>
      <c r="O1199" s="108">
        <f t="shared" si="20"/>
        <v>1</v>
      </c>
      <c r="P1199" s="108"/>
      <c r="Q1199"/>
    </row>
    <row r="1200" spans="1:17" x14ac:dyDescent="0.25">
      <c r="A1200" s="89" t="s">
        <v>7806</v>
      </c>
      <c r="B1200" s="87" t="s">
        <v>7807</v>
      </c>
      <c r="C1200" s="87" t="s">
        <v>12</v>
      </c>
      <c r="D1200" s="87" t="str">
        <f>VLOOKUP(Tabela1[[#This Row],[Origem]], 'Perguntas 1 a 24'!$J$28:$K$34, 2, 0)</f>
        <v>Sudeste</v>
      </c>
      <c r="E1200" s="87" t="str">
        <f>Tabela1[[#This Row],[Descrição]]&amp;"-"&amp;Tabela1[[#This Row],[Código]]&amp;"/"&amp;Tabela1[[#This Row],[Origem]]</f>
        <v>Tutilapu-H588H384/RJ</v>
      </c>
      <c r="F1200" s="88">
        <v>46178</v>
      </c>
      <c r="G1200" s="88" t="str" cm="1">
        <f t="array" ref="G12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AND(F1200&gt;= DATE(2026,1,1), F1200&lt;= DATE(2028, 12, 31), J1200&gt;50000), "Pendente e Caro", AND(F1200&gt;= DATE(2026,1,1), F1200&lt;= DATE(2028, 12, 31), J1200&lt;=50000), "Pendente", F1200&gt;= DATE(2029,1,1), "Não prioeitário")</f>
        <v>Pendente e Caro</v>
      </c>
      <c r="H1200" s="89">
        <f>YEAR(Tabela1[[#This Row],[Data de Validade]])</f>
        <v>2026</v>
      </c>
      <c r="I1200" s="89">
        <f>MONTH(Tabela1[[#This Row],[Data de Validade]])</f>
        <v>6</v>
      </c>
      <c r="J1200" s="101">
        <v>55753</v>
      </c>
      <c r="K1200" s="87" t="s">
        <v>9</v>
      </c>
      <c r="L1200" s="108"/>
      <c r="M1200" s="108"/>
      <c r="N1200" s="108" t="str">
        <v>H588H384</v>
      </c>
      <c r="O1200" s="108">
        <f t="shared" si="20"/>
        <v>1</v>
      </c>
      <c r="P1200" s="108"/>
      <c r="Q1200"/>
    </row>
    <row r="1201" spans="1:17" x14ac:dyDescent="0.25">
      <c r="A1201" s="89" t="s">
        <v>9501</v>
      </c>
      <c r="B1201" s="87" t="s">
        <v>9502</v>
      </c>
      <c r="C1201" s="87" t="s">
        <v>8</v>
      </c>
      <c r="D1201" s="87" t="str">
        <f>VLOOKUP(Tabela1[[#This Row],[Origem]], 'Perguntas 1 a 24'!$J$28:$K$34, 2, 0)</f>
        <v>Nordeste</v>
      </c>
      <c r="E1201" s="87" t="str">
        <f>Tabela1[[#This Row],[Descrição]]&amp;"-"&amp;Tabela1[[#This Row],[Código]]&amp;"/"&amp;Tabela1[[#This Row],[Origem]]</f>
        <v>Roralapedo-P348H446/AL</v>
      </c>
      <c r="F1201" s="88">
        <v>46178</v>
      </c>
      <c r="G1201" s="88" t="str" cm="1">
        <f t="array" ref="G12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AND(F1201&gt;= DATE(2026,1,1), F1201&lt;= DATE(2028, 12, 31), J1201&gt;50000), "Pendente e Caro", AND(F1201&gt;= DATE(2026,1,1), F1201&lt;= DATE(2028, 12, 31), J1201&lt;=50000), "Pendente", F1201&gt;= DATE(2029,1,1), "Não prioeitário")</f>
        <v>Pendente</v>
      </c>
      <c r="H1201" s="89">
        <f>YEAR(Tabela1[[#This Row],[Data de Validade]])</f>
        <v>2026</v>
      </c>
      <c r="I1201" s="89">
        <f>MONTH(Tabela1[[#This Row],[Data de Validade]])</f>
        <v>6</v>
      </c>
      <c r="J1201" s="101">
        <v>47879</v>
      </c>
      <c r="K1201" s="87" t="s">
        <v>11</v>
      </c>
      <c r="L1201" s="108"/>
      <c r="M1201" s="108"/>
      <c r="N1201" s="108" t="str">
        <v>P348H446</v>
      </c>
      <c r="O1201" s="108">
        <f t="shared" si="20"/>
        <v>1</v>
      </c>
      <c r="P1201" s="108"/>
      <c r="Q1201"/>
    </row>
    <row r="1202" spans="1:17" x14ac:dyDescent="0.25">
      <c r="A1202" s="89" t="s">
        <v>10913</v>
      </c>
      <c r="B1202" s="87" t="s">
        <v>10914</v>
      </c>
      <c r="C1202" s="87" t="s">
        <v>10</v>
      </c>
      <c r="D1202" s="87" t="str">
        <f>VLOOKUP(Tabela1[[#This Row],[Origem]], 'Perguntas 1 a 24'!$J$28:$K$34, 2, 0)</f>
        <v>Centro-Oeste</v>
      </c>
      <c r="E1202" s="87" t="str">
        <f>Tabela1[[#This Row],[Descrição]]&amp;"-"&amp;Tabela1[[#This Row],[Código]]&amp;"/"&amp;Tabela1[[#This Row],[Origem]]</f>
        <v>Pinufuru-H411H829/GO</v>
      </c>
      <c r="F1202" s="88">
        <v>46179</v>
      </c>
      <c r="G1202" s="88" t="str" cm="1">
        <f t="array" ref="G12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AND(F1202&gt;= DATE(2026,1,1), F1202&lt;= DATE(2028, 12, 31), J1202&gt;50000), "Pendente e Caro", AND(F1202&gt;= DATE(2026,1,1), F1202&lt;= DATE(2028, 12, 31), J1202&lt;=50000), "Pendente", F1202&gt;= DATE(2029,1,1), "Não prioeitário")</f>
        <v>Pendente e Caro</v>
      </c>
      <c r="H1202" s="89">
        <f>YEAR(Tabela1[[#This Row],[Data de Validade]])</f>
        <v>2026</v>
      </c>
      <c r="I1202" s="89">
        <f>MONTH(Tabela1[[#This Row],[Data de Validade]])</f>
        <v>6</v>
      </c>
      <c r="J1202" s="101">
        <v>119087</v>
      </c>
      <c r="K1202" s="87" t="s">
        <v>11</v>
      </c>
      <c r="L1202" s="108"/>
      <c r="M1202" s="108"/>
      <c r="N1202" s="108" t="str">
        <v>H411H829</v>
      </c>
      <c r="O1202" s="108">
        <f t="shared" si="20"/>
        <v>1</v>
      </c>
      <c r="P1202" s="108"/>
      <c r="Q1202"/>
    </row>
    <row r="1203" spans="1:17" x14ac:dyDescent="0.25">
      <c r="A1203" s="89" t="s">
        <v>5988</v>
      </c>
      <c r="B1203" s="87" t="s">
        <v>5989</v>
      </c>
      <c r="C1203" s="87" t="s">
        <v>13</v>
      </c>
      <c r="D1203" s="87" t="str">
        <f>VLOOKUP(Tabela1[[#This Row],[Origem]], 'Perguntas 1 a 24'!$J$28:$K$34, 2, 0)</f>
        <v>Sudeste</v>
      </c>
      <c r="E1203" s="87" t="str">
        <f>Tabela1[[#This Row],[Descrição]]&amp;"-"&amp;Tabela1[[#This Row],[Código]]&amp;"/"&amp;Tabela1[[#This Row],[Origem]]</f>
        <v>Lifetipode-H137P286/SP</v>
      </c>
      <c r="F1203" s="88">
        <v>46179</v>
      </c>
      <c r="G1203" s="88" t="str" cm="1">
        <f t="array" ref="G12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AND(F1203&gt;= DATE(2026,1,1), F1203&lt;= DATE(2028, 12, 31), J1203&gt;50000), "Pendente e Caro", AND(F1203&gt;= DATE(2026,1,1), F1203&lt;= DATE(2028, 12, 31), J1203&lt;=50000), "Pendente", F1203&gt;= DATE(2029,1,1), "Não prioeitário")</f>
        <v>Pendente e Caro</v>
      </c>
      <c r="H1203" s="89">
        <f>YEAR(Tabela1[[#This Row],[Data de Validade]])</f>
        <v>2026</v>
      </c>
      <c r="I1203" s="89">
        <f>MONTH(Tabela1[[#This Row],[Data de Validade]])</f>
        <v>6</v>
      </c>
      <c r="J1203" s="101">
        <v>97091</v>
      </c>
      <c r="K1203" s="87" t="s">
        <v>9</v>
      </c>
      <c r="L1203" s="108"/>
      <c r="M1203" s="108"/>
      <c r="N1203" s="108" t="str">
        <v>H137P286</v>
      </c>
      <c r="O1203" s="108">
        <f t="shared" si="20"/>
        <v>1</v>
      </c>
      <c r="P1203" s="108"/>
      <c r="Q1203"/>
    </row>
    <row r="1204" spans="1:17" x14ac:dyDescent="0.25">
      <c r="A1204" s="89" t="s">
        <v>4465</v>
      </c>
      <c r="B1204" s="87" t="s">
        <v>4466</v>
      </c>
      <c r="C1204" s="87" t="s">
        <v>6</v>
      </c>
      <c r="D1204" s="87" t="str">
        <f>VLOOKUP(Tabela1[[#This Row],[Origem]], 'Perguntas 1 a 24'!$J$28:$K$34, 2, 0)</f>
        <v>Nordeste</v>
      </c>
      <c r="E1204" s="87" t="str">
        <f>Tabela1[[#This Row],[Descrição]]&amp;"-"&amp;Tabela1[[#This Row],[Código]]&amp;"/"&amp;Tabela1[[#This Row],[Origem]]</f>
        <v>Cipume-P657P282/MA</v>
      </c>
      <c r="F1204" s="88">
        <v>46179</v>
      </c>
      <c r="G1204" s="88" t="str" cm="1">
        <f t="array" ref="G12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AND(F1204&gt;= DATE(2026,1,1), F1204&lt;= DATE(2028, 12, 31), J1204&gt;50000), "Pendente e Caro", AND(F1204&gt;= DATE(2026,1,1), F1204&lt;= DATE(2028, 12, 31), J1204&lt;=50000), "Pendente", F1204&gt;= DATE(2029,1,1), "Não prioeitário")</f>
        <v>Pendente e Caro</v>
      </c>
      <c r="H1204" s="89">
        <f>YEAR(Tabela1[[#This Row],[Data de Validade]])</f>
        <v>2026</v>
      </c>
      <c r="I1204" s="89">
        <f>MONTH(Tabela1[[#This Row],[Data de Validade]])</f>
        <v>6</v>
      </c>
      <c r="J1204" s="101">
        <v>62378</v>
      </c>
      <c r="K1204" s="87" t="s">
        <v>14</v>
      </c>
      <c r="L1204" s="108"/>
      <c r="M1204" s="108"/>
      <c r="N1204" s="108" t="str">
        <v>P657P282</v>
      </c>
      <c r="O1204" s="108">
        <f t="shared" si="20"/>
        <v>1</v>
      </c>
      <c r="P1204" s="108"/>
      <c r="Q1204"/>
    </row>
    <row r="1205" spans="1:17" x14ac:dyDescent="0.25">
      <c r="A1205" s="89" t="s">
        <v>3950</v>
      </c>
      <c r="B1205" s="87" t="s">
        <v>3951</v>
      </c>
      <c r="C1205" s="87" t="s">
        <v>12</v>
      </c>
      <c r="D1205" s="87" t="str">
        <f>VLOOKUP(Tabela1[[#This Row],[Origem]], 'Perguntas 1 a 24'!$J$28:$K$34, 2, 0)</f>
        <v>Sudeste</v>
      </c>
      <c r="E1205" s="87" t="str">
        <f>Tabela1[[#This Row],[Descrição]]&amp;"-"&amp;Tabela1[[#This Row],[Código]]&amp;"/"&amp;Tabela1[[#This Row],[Origem]]</f>
        <v>Fepurafi-H955H397/RJ</v>
      </c>
      <c r="F1205" s="88">
        <v>46179</v>
      </c>
      <c r="G1205" s="88" t="str" cm="1">
        <f t="array" ref="G12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AND(F1205&gt;= DATE(2026,1,1), F1205&lt;= DATE(2028, 12, 31), J1205&gt;50000), "Pendente e Caro", AND(F1205&gt;= DATE(2026,1,1), F1205&lt;= DATE(2028, 12, 31), J1205&lt;=50000), "Pendente", F1205&gt;= DATE(2029,1,1), "Não prioeitário")</f>
        <v>Pendente</v>
      </c>
      <c r="H1205" s="89">
        <f>YEAR(Tabela1[[#This Row],[Data de Validade]])</f>
        <v>2026</v>
      </c>
      <c r="I1205" s="89">
        <f>MONTH(Tabela1[[#This Row],[Data de Validade]])</f>
        <v>6</v>
      </c>
      <c r="J1205" s="101">
        <v>38875</v>
      </c>
      <c r="K1205" s="87" t="s">
        <v>7</v>
      </c>
      <c r="L1205" s="108"/>
      <c r="M1205" s="108"/>
      <c r="N1205" s="108" t="str">
        <v>H955H397</v>
      </c>
      <c r="O1205" s="108">
        <f t="shared" si="20"/>
        <v>1</v>
      </c>
      <c r="P1205" s="108"/>
      <c r="Q1205"/>
    </row>
    <row r="1206" spans="1:17" x14ac:dyDescent="0.25">
      <c r="A1206" s="89" t="s">
        <v>9953</v>
      </c>
      <c r="B1206" s="87" t="s">
        <v>9954</v>
      </c>
      <c r="C1206" s="87" t="s">
        <v>10</v>
      </c>
      <c r="D1206" s="87" t="str">
        <f>VLOOKUP(Tabela1[[#This Row],[Origem]], 'Perguntas 1 a 24'!$J$28:$K$34, 2, 0)</f>
        <v>Centro-Oeste</v>
      </c>
      <c r="E1206" s="87" t="str">
        <f>Tabela1[[#This Row],[Descrição]]&amp;"-"&amp;Tabela1[[#This Row],[Código]]&amp;"/"&amp;Tabela1[[#This Row],[Origem]]</f>
        <v>Rapapumepo-H482H831/GO</v>
      </c>
      <c r="F1206" s="88">
        <v>46179</v>
      </c>
      <c r="G1206" s="88" t="str" cm="1">
        <f t="array" ref="G12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AND(F1206&gt;= DATE(2026,1,1), F1206&lt;= DATE(2028, 12, 31), J1206&gt;50000), "Pendente e Caro", AND(F1206&gt;= DATE(2026,1,1), F1206&lt;= DATE(2028, 12, 31), J1206&lt;=50000), "Pendente", F1206&gt;= DATE(2029,1,1), "Não prioeitário")</f>
        <v>Pendente</v>
      </c>
      <c r="H1206" s="89">
        <f>YEAR(Tabela1[[#This Row],[Data de Validade]])</f>
        <v>2026</v>
      </c>
      <c r="I1206" s="89">
        <f>MONTH(Tabela1[[#This Row],[Data de Validade]])</f>
        <v>6</v>
      </c>
      <c r="J1206" s="101">
        <v>38866</v>
      </c>
      <c r="K1206" s="87" t="s">
        <v>7</v>
      </c>
      <c r="L1206" s="108"/>
      <c r="M1206" s="108"/>
      <c r="N1206" s="108" t="str">
        <v>H482H831</v>
      </c>
      <c r="O1206" s="108">
        <f t="shared" si="20"/>
        <v>1</v>
      </c>
      <c r="P1206" s="108"/>
      <c r="Q1206"/>
    </row>
    <row r="1207" spans="1:17" x14ac:dyDescent="0.25">
      <c r="A1207" s="89" t="s">
        <v>5754</v>
      </c>
      <c r="B1207" s="87" t="s">
        <v>5755</v>
      </c>
      <c r="C1207" s="87" t="s">
        <v>16</v>
      </c>
      <c r="D1207" s="87" t="str">
        <f>VLOOKUP(Tabela1[[#This Row],[Origem]], 'Perguntas 1 a 24'!$J$28:$K$34, 2, 0)</f>
        <v>Sudeste</v>
      </c>
      <c r="E1207" s="87" t="str">
        <f>Tabela1[[#This Row],[Descrição]]&amp;"-"&amp;Tabela1[[#This Row],[Código]]&amp;"/"&amp;Tabela1[[#This Row],[Origem]]</f>
        <v>Papuguvime-P976P311/MG</v>
      </c>
      <c r="F1207" s="88">
        <v>46180</v>
      </c>
      <c r="G1207" s="88" t="str" cm="1">
        <f t="array" ref="G12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AND(F1207&gt;= DATE(2026,1,1), F1207&lt;= DATE(2028, 12, 31), J1207&gt;50000), "Pendente e Caro", AND(F1207&gt;= DATE(2026,1,1), F1207&lt;= DATE(2028, 12, 31), J1207&lt;=50000), "Pendente", F1207&gt;= DATE(2029,1,1), "Não prioeitário")</f>
        <v>Pendente e Caro</v>
      </c>
      <c r="H1207" s="89">
        <f>YEAR(Tabela1[[#This Row],[Data de Validade]])</f>
        <v>2026</v>
      </c>
      <c r="I1207" s="89">
        <f>MONTH(Tabela1[[#This Row],[Data de Validade]])</f>
        <v>6</v>
      </c>
      <c r="J1207" s="101">
        <v>119451</v>
      </c>
      <c r="K1207" s="87" t="s">
        <v>9</v>
      </c>
      <c r="L1207" s="108"/>
      <c r="M1207" s="108"/>
      <c r="N1207" s="108" t="str">
        <v>P976P311</v>
      </c>
      <c r="O1207" s="108">
        <f t="shared" si="20"/>
        <v>1</v>
      </c>
      <c r="P1207" s="108"/>
      <c r="Q1207"/>
    </row>
    <row r="1208" spans="1:17" x14ac:dyDescent="0.25">
      <c r="A1208" s="89" t="s">
        <v>7938</v>
      </c>
      <c r="B1208" s="87" t="s">
        <v>7939</v>
      </c>
      <c r="C1208" s="87" t="s">
        <v>12</v>
      </c>
      <c r="D1208" s="87" t="str">
        <f>VLOOKUP(Tabela1[[#This Row],[Origem]], 'Perguntas 1 a 24'!$J$28:$K$34, 2, 0)</f>
        <v>Sudeste</v>
      </c>
      <c r="E1208" s="87" t="str">
        <f>Tabela1[[#This Row],[Descrição]]&amp;"-"&amp;Tabela1[[#This Row],[Código]]&amp;"/"&amp;Tabela1[[#This Row],[Origem]]</f>
        <v>Popapepori-P835P397/RJ</v>
      </c>
      <c r="F1208" s="88">
        <v>46180</v>
      </c>
      <c r="G1208" s="88" t="str" cm="1">
        <f t="array" ref="G12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AND(F1208&gt;= DATE(2026,1,1), F1208&lt;= DATE(2028, 12, 31), J1208&gt;50000), "Pendente e Caro", AND(F1208&gt;= DATE(2026,1,1), F1208&lt;= DATE(2028, 12, 31), J1208&lt;=50000), "Pendente", F1208&gt;= DATE(2029,1,1), "Não prioeitário")</f>
        <v>Pendente e Caro</v>
      </c>
      <c r="H1208" s="89">
        <f>YEAR(Tabela1[[#This Row],[Data de Validade]])</f>
        <v>2026</v>
      </c>
      <c r="I1208" s="89">
        <f>MONTH(Tabela1[[#This Row],[Data de Validade]])</f>
        <v>6</v>
      </c>
      <c r="J1208" s="101">
        <v>116758</v>
      </c>
      <c r="K1208" s="87" t="s">
        <v>11</v>
      </c>
      <c r="L1208" s="108"/>
      <c r="M1208" s="108"/>
      <c r="N1208" s="108" t="str">
        <v>P835P397</v>
      </c>
      <c r="O1208" s="108">
        <f t="shared" si="20"/>
        <v>1</v>
      </c>
      <c r="P1208" s="108"/>
      <c r="Q1208"/>
    </row>
    <row r="1209" spans="1:17" x14ac:dyDescent="0.25">
      <c r="A1209" s="89" t="s">
        <v>5648</v>
      </c>
      <c r="B1209" s="87" t="s">
        <v>5649</v>
      </c>
      <c r="C1209" s="87" t="s">
        <v>12</v>
      </c>
      <c r="D1209" s="87" t="str">
        <f>VLOOKUP(Tabela1[[#This Row],[Origem]], 'Perguntas 1 a 24'!$J$28:$K$34, 2, 0)</f>
        <v>Sudeste</v>
      </c>
      <c r="E1209" s="87" t="str">
        <f>Tabela1[[#This Row],[Descrição]]&amp;"-"&amp;Tabela1[[#This Row],[Código]]&amp;"/"&amp;Tabela1[[#This Row],[Origem]]</f>
        <v>Tugepinice-P993P922/RJ</v>
      </c>
      <c r="F1209" s="88">
        <v>46180</v>
      </c>
      <c r="G1209" s="88" t="str" cm="1">
        <f t="array" ref="G12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AND(F1209&gt;= DATE(2026,1,1), F1209&lt;= DATE(2028, 12, 31), J1209&gt;50000), "Pendente e Caro", AND(F1209&gt;= DATE(2026,1,1), F1209&lt;= DATE(2028, 12, 31), J1209&lt;=50000), "Pendente", F1209&gt;= DATE(2029,1,1), "Não prioeitário")</f>
        <v>Pendente e Caro</v>
      </c>
      <c r="H1209" s="89">
        <f>YEAR(Tabela1[[#This Row],[Data de Validade]])</f>
        <v>2026</v>
      </c>
      <c r="I1209" s="89">
        <f>MONTH(Tabela1[[#This Row],[Data de Validade]])</f>
        <v>6</v>
      </c>
      <c r="J1209" s="101">
        <v>81799</v>
      </c>
      <c r="K1209" s="87" t="s">
        <v>9</v>
      </c>
      <c r="L1209" s="108"/>
      <c r="M1209" s="108"/>
      <c r="N1209" s="108" t="str">
        <v>P993P922</v>
      </c>
      <c r="O1209" s="108">
        <f t="shared" si="20"/>
        <v>1</v>
      </c>
      <c r="P1209" s="108"/>
      <c r="Q1209"/>
    </row>
    <row r="1210" spans="1:17" x14ac:dyDescent="0.25">
      <c r="A1210" s="89" t="s">
        <v>3800</v>
      </c>
      <c r="B1210" s="87" t="s">
        <v>3801</v>
      </c>
      <c r="C1210" s="87" t="s">
        <v>10</v>
      </c>
      <c r="D1210" s="87" t="str">
        <f>VLOOKUP(Tabela1[[#This Row],[Origem]], 'Perguntas 1 a 24'!$J$28:$K$34, 2, 0)</f>
        <v>Centro-Oeste</v>
      </c>
      <c r="E1210" s="87" t="str">
        <f>Tabela1[[#This Row],[Descrição]]&amp;"-"&amp;Tabela1[[#This Row],[Código]]&amp;"/"&amp;Tabela1[[#This Row],[Origem]]</f>
        <v>Cutarigu-H265P789/GO</v>
      </c>
      <c r="F1210" s="88">
        <v>46180</v>
      </c>
      <c r="G1210" s="88" t="str" cm="1">
        <f t="array" ref="G12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AND(F1210&gt;= DATE(2026,1,1), F1210&lt;= DATE(2028, 12, 31), J1210&gt;50000), "Pendente e Caro", AND(F1210&gt;= DATE(2026,1,1), F1210&lt;= DATE(2028, 12, 31), J1210&lt;=50000), "Pendente", F1210&gt;= DATE(2029,1,1), "Não prioeitário")</f>
        <v>Pendente e Caro</v>
      </c>
      <c r="H1210" s="89">
        <f>YEAR(Tabela1[[#This Row],[Data de Validade]])</f>
        <v>2026</v>
      </c>
      <c r="I1210" s="89">
        <f>MONTH(Tabela1[[#This Row],[Data de Validade]])</f>
        <v>6</v>
      </c>
      <c r="J1210" s="101">
        <v>68341</v>
      </c>
      <c r="K1210" s="87" t="s">
        <v>7</v>
      </c>
      <c r="L1210" s="108"/>
      <c r="M1210" s="108"/>
      <c r="N1210" s="108" t="str">
        <v>H265P789</v>
      </c>
      <c r="O1210" s="108">
        <f t="shared" si="20"/>
        <v>1</v>
      </c>
      <c r="P1210" s="108"/>
      <c r="Q1210"/>
    </row>
    <row r="1211" spans="1:17" x14ac:dyDescent="0.25">
      <c r="A1211" s="89" t="s">
        <v>7890</v>
      </c>
      <c r="B1211" s="87" t="s">
        <v>7891</v>
      </c>
      <c r="C1211" s="87" t="s">
        <v>13</v>
      </c>
      <c r="D1211" s="87" t="str">
        <f>VLOOKUP(Tabela1[[#This Row],[Origem]], 'Perguntas 1 a 24'!$J$28:$K$34, 2, 0)</f>
        <v>Sudeste</v>
      </c>
      <c r="E1211" s="87" t="str">
        <f>Tabela1[[#This Row],[Descrição]]&amp;"-"&amp;Tabela1[[#This Row],[Código]]&amp;"/"&amp;Tabela1[[#This Row],[Origem]]</f>
        <v>Midaporeru-P656H525/SP</v>
      </c>
      <c r="F1211" s="88">
        <v>46180</v>
      </c>
      <c r="G1211" s="88" t="str" cm="1">
        <f t="array" ref="G12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AND(F1211&gt;= DATE(2026,1,1), F1211&lt;= DATE(2028, 12, 31), J1211&gt;50000), "Pendente e Caro", AND(F1211&gt;= DATE(2026,1,1), F1211&lt;= DATE(2028, 12, 31), J1211&lt;=50000), "Pendente", F1211&gt;= DATE(2029,1,1), "Não prioeitário")</f>
        <v>Pendente e Caro</v>
      </c>
      <c r="H1211" s="89">
        <f>YEAR(Tabela1[[#This Row],[Data de Validade]])</f>
        <v>2026</v>
      </c>
      <c r="I1211" s="89">
        <f>MONTH(Tabela1[[#This Row],[Data de Validade]])</f>
        <v>6</v>
      </c>
      <c r="J1211" s="101">
        <v>66945</v>
      </c>
      <c r="K1211" s="87" t="s">
        <v>7</v>
      </c>
      <c r="L1211" s="108"/>
      <c r="M1211" s="108"/>
      <c r="N1211" s="108" t="str">
        <v>P656H525</v>
      </c>
      <c r="O1211" s="108">
        <f t="shared" si="20"/>
        <v>1</v>
      </c>
      <c r="P1211" s="108"/>
      <c r="Q1211"/>
    </row>
    <row r="1212" spans="1:17" x14ac:dyDescent="0.25">
      <c r="A1212" s="89" t="s">
        <v>4706</v>
      </c>
      <c r="B1212" s="87" t="s">
        <v>4707</v>
      </c>
      <c r="C1212" s="87" t="s">
        <v>15</v>
      </c>
      <c r="D1212" s="87" t="str">
        <f>VLOOKUP(Tabela1[[#This Row],[Origem]], 'Perguntas 1 a 24'!$J$28:$K$34, 2, 0)</f>
        <v>Sudeste</v>
      </c>
      <c r="E1212" s="87" t="str">
        <f>Tabela1[[#This Row],[Descrição]]&amp;"-"&amp;Tabela1[[#This Row],[Código]]&amp;"/"&amp;Tabela1[[#This Row],[Origem]]</f>
        <v>Parepe-H839P591/ES</v>
      </c>
      <c r="F1212" s="88">
        <v>46181</v>
      </c>
      <c r="G1212" s="88" t="str" cm="1">
        <f t="array" ref="G12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AND(F1212&gt;= DATE(2026,1,1), F1212&lt;= DATE(2028, 12, 31), J1212&gt;50000), "Pendente e Caro", AND(F1212&gt;= DATE(2026,1,1), F1212&lt;= DATE(2028, 12, 31), J1212&lt;=50000), "Pendente", F1212&gt;= DATE(2029,1,1), "Não prioeitário")</f>
        <v>Pendente e Caro</v>
      </c>
      <c r="H1212" s="89">
        <f>YEAR(Tabela1[[#This Row],[Data de Validade]])</f>
        <v>2026</v>
      </c>
      <c r="I1212" s="89">
        <f>MONTH(Tabela1[[#This Row],[Data de Validade]])</f>
        <v>6</v>
      </c>
      <c r="J1212" s="101">
        <v>111959</v>
      </c>
      <c r="K1212" s="87" t="s">
        <v>7</v>
      </c>
      <c r="L1212" s="108"/>
      <c r="M1212" s="108"/>
      <c r="N1212" s="108" t="str">
        <v>H839P591</v>
      </c>
      <c r="O1212" s="108">
        <f t="shared" si="20"/>
        <v>1</v>
      </c>
      <c r="P1212" s="108"/>
      <c r="Q1212"/>
    </row>
    <row r="1213" spans="1:17" x14ac:dyDescent="0.25">
      <c r="A1213" s="89" t="s">
        <v>8767</v>
      </c>
      <c r="B1213" s="87" t="s">
        <v>8768</v>
      </c>
      <c r="C1213" s="87" t="s">
        <v>6</v>
      </c>
      <c r="D1213" s="87" t="str">
        <f>VLOOKUP(Tabela1[[#This Row],[Origem]], 'Perguntas 1 a 24'!$J$28:$K$34, 2, 0)</f>
        <v>Nordeste</v>
      </c>
      <c r="E1213" s="87" t="str">
        <f>Tabela1[[#This Row],[Descrição]]&amp;"-"&amp;Tabela1[[#This Row],[Código]]&amp;"/"&amp;Tabela1[[#This Row],[Origem]]</f>
        <v>Denata-H696H575/MA</v>
      </c>
      <c r="F1213" s="88">
        <v>46181</v>
      </c>
      <c r="G1213" s="88" t="str" cm="1">
        <f t="array" ref="G12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AND(F1213&gt;= DATE(2026,1,1), F1213&lt;= DATE(2028, 12, 31), J1213&gt;50000), "Pendente e Caro", AND(F1213&gt;= DATE(2026,1,1), F1213&lt;= DATE(2028, 12, 31), J1213&lt;=50000), "Pendente", F1213&gt;= DATE(2029,1,1), "Não prioeitário")</f>
        <v>Pendente e Caro</v>
      </c>
      <c r="H1213" s="89">
        <f>YEAR(Tabela1[[#This Row],[Data de Validade]])</f>
        <v>2026</v>
      </c>
      <c r="I1213" s="89">
        <f>MONTH(Tabela1[[#This Row],[Data de Validade]])</f>
        <v>6</v>
      </c>
      <c r="J1213" s="101">
        <v>68788</v>
      </c>
      <c r="K1213" s="87" t="s">
        <v>14</v>
      </c>
      <c r="L1213" s="108"/>
      <c r="M1213" s="108"/>
      <c r="N1213" s="108" t="str">
        <v>H696H575</v>
      </c>
      <c r="O1213" s="108">
        <f t="shared" si="20"/>
        <v>1</v>
      </c>
      <c r="P1213" s="108"/>
      <c r="Q1213"/>
    </row>
    <row r="1214" spans="1:17" x14ac:dyDescent="0.25">
      <c r="A1214" s="89" t="s">
        <v>3986</v>
      </c>
      <c r="B1214" s="87" t="s">
        <v>3987</v>
      </c>
      <c r="C1214" s="87" t="s">
        <v>15</v>
      </c>
      <c r="D1214" s="87" t="str">
        <f>VLOOKUP(Tabela1[[#This Row],[Origem]], 'Perguntas 1 a 24'!$J$28:$K$34, 2, 0)</f>
        <v>Sudeste</v>
      </c>
      <c r="E1214" s="87" t="str">
        <f>Tabela1[[#This Row],[Descrição]]&amp;"-"&amp;Tabela1[[#This Row],[Código]]&amp;"/"&amp;Tabela1[[#This Row],[Origem]]</f>
        <v>Rutapepoli-H788P443/ES</v>
      </c>
      <c r="F1214" s="88">
        <v>46181</v>
      </c>
      <c r="G1214" s="88" t="str" cm="1">
        <f t="array" ref="G12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AND(F1214&gt;= DATE(2026,1,1), F1214&lt;= DATE(2028, 12, 31), J1214&gt;50000), "Pendente e Caro", AND(F1214&gt;= DATE(2026,1,1), F1214&lt;= DATE(2028, 12, 31), J1214&lt;=50000), "Pendente", F1214&gt;= DATE(2029,1,1), "Não prioeitário")</f>
        <v>Pendente</v>
      </c>
      <c r="H1214" s="89">
        <f>YEAR(Tabela1[[#This Row],[Data de Validade]])</f>
        <v>2026</v>
      </c>
      <c r="I1214" s="89">
        <f>MONTH(Tabela1[[#This Row],[Data de Validade]])</f>
        <v>6</v>
      </c>
      <c r="J1214" s="101">
        <v>42080</v>
      </c>
      <c r="K1214" s="87" t="s">
        <v>14</v>
      </c>
      <c r="L1214" s="108"/>
      <c r="M1214" s="108"/>
      <c r="N1214" s="108" t="str">
        <v>H788P443</v>
      </c>
      <c r="O1214" s="108">
        <f t="shared" si="20"/>
        <v>1</v>
      </c>
      <c r="P1214" s="108"/>
      <c r="Q1214"/>
    </row>
    <row r="1215" spans="1:17" x14ac:dyDescent="0.25">
      <c r="A1215" s="89" t="s">
        <v>4622</v>
      </c>
      <c r="B1215" s="87" t="s">
        <v>4623</v>
      </c>
      <c r="C1215" s="87" t="s">
        <v>12</v>
      </c>
      <c r="D1215" s="87" t="str">
        <f>VLOOKUP(Tabela1[[#This Row],[Origem]], 'Perguntas 1 a 24'!$J$28:$K$34, 2, 0)</f>
        <v>Sudeste</v>
      </c>
      <c r="E1215" s="87" t="str">
        <f>Tabela1[[#This Row],[Descrição]]&amp;"-"&amp;Tabela1[[#This Row],[Código]]&amp;"/"&amp;Tabela1[[#This Row],[Origem]]</f>
        <v>Tipune-P451P551/RJ</v>
      </c>
      <c r="F1215" s="88">
        <v>46182</v>
      </c>
      <c r="G1215" s="88" t="str" cm="1">
        <f t="array" ref="G12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AND(F1215&gt;= DATE(2026,1,1), F1215&lt;= DATE(2028, 12, 31), J1215&gt;50000), "Pendente e Caro", AND(F1215&gt;= DATE(2026,1,1), F1215&lt;= DATE(2028, 12, 31), J1215&lt;=50000), "Pendente", F1215&gt;= DATE(2029,1,1), "Não prioeitário")</f>
        <v>Pendente</v>
      </c>
      <c r="H1215" s="89">
        <f>YEAR(Tabela1[[#This Row],[Data de Validade]])</f>
        <v>2026</v>
      </c>
      <c r="I1215" s="89">
        <f>MONTH(Tabela1[[#This Row],[Data de Validade]])</f>
        <v>6</v>
      </c>
      <c r="J1215" s="101">
        <v>29669</v>
      </c>
      <c r="K1215" s="87" t="s">
        <v>7</v>
      </c>
      <c r="L1215" s="108"/>
      <c r="M1215" s="108"/>
      <c r="N1215" s="108" t="str">
        <v>P451P551</v>
      </c>
      <c r="O1215" s="108">
        <f t="shared" si="20"/>
        <v>1</v>
      </c>
      <c r="P1215" s="108"/>
      <c r="Q1215"/>
    </row>
    <row r="1216" spans="1:17" x14ac:dyDescent="0.25">
      <c r="A1216" s="89" t="s">
        <v>8418</v>
      </c>
      <c r="B1216" s="87" t="s">
        <v>8419</v>
      </c>
      <c r="C1216" s="87" t="s">
        <v>15</v>
      </c>
      <c r="D1216" s="87" t="str">
        <f>VLOOKUP(Tabela1[[#This Row],[Origem]], 'Perguntas 1 a 24'!$J$28:$K$34, 2, 0)</f>
        <v>Sudeste</v>
      </c>
      <c r="E1216" s="87" t="str">
        <f>Tabela1[[#This Row],[Descrição]]&amp;"-"&amp;Tabela1[[#This Row],[Código]]&amp;"/"&amp;Tabela1[[#This Row],[Origem]]</f>
        <v>Pafumeludu-H816P296/ES</v>
      </c>
      <c r="F1216" s="88">
        <v>46183</v>
      </c>
      <c r="G1216" s="88" t="str" cm="1">
        <f t="array" ref="G12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AND(F1216&gt;= DATE(2026,1,1), F1216&lt;= DATE(2028, 12, 31), J1216&gt;50000), "Pendente e Caro", AND(F1216&gt;= DATE(2026,1,1), F1216&lt;= DATE(2028, 12, 31), J1216&lt;=50000), "Pendente", F1216&gt;= DATE(2029,1,1), "Não prioeitário")</f>
        <v>Pendente e Caro</v>
      </c>
      <c r="H1216" s="89">
        <f>YEAR(Tabela1[[#This Row],[Data de Validade]])</f>
        <v>2026</v>
      </c>
      <c r="I1216" s="89">
        <f>MONTH(Tabela1[[#This Row],[Data de Validade]])</f>
        <v>6</v>
      </c>
      <c r="J1216" s="101">
        <v>95441</v>
      </c>
      <c r="K1216" s="87" t="s">
        <v>11</v>
      </c>
      <c r="L1216" s="108"/>
      <c r="M1216" s="108"/>
      <c r="N1216" s="108" t="str">
        <v>H816P296</v>
      </c>
      <c r="O1216" s="108">
        <f t="shared" si="20"/>
        <v>1</v>
      </c>
      <c r="P1216" s="108"/>
      <c r="Q1216"/>
    </row>
    <row r="1217" spans="1:17" x14ac:dyDescent="0.25">
      <c r="A1217" s="89" t="s">
        <v>11310</v>
      </c>
      <c r="B1217" s="87" t="s">
        <v>11311</v>
      </c>
      <c r="C1217" s="87" t="s">
        <v>13</v>
      </c>
      <c r="D1217" s="87" t="str">
        <f>VLOOKUP(Tabela1[[#This Row],[Origem]], 'Perguntas 1 a 24'!$J$28:$K$34, 2, 0)</f>
        <v>Sudeste</v>
      </c>
      <c r="E1217" s="87" t="str">
        <f>Tabela1[[#This Row],[Descrição]]&amp;"-"&amp;Tabela1[[#This Row],[Código]]&amp;"/"&amp;Tabela1[[#This Row],[Origem]]</f>
        <v>Tirenedu-H623H253/SP</v>
      </c>
      <c r="F1217" s="88">
        <v>46183</v>
      </c>
      <c r="G1217" s="88" t="str" cm="1">
        <f t="array" ref="G12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AND(F1217&gt;= DATE(2026,1,1), F1217&lt;= DATE(2028, 12, 31), J1217&gt;50000), "Pendente e Caro", AND(F1217&gt;= DATE(2026,1,1), F1217&lt;= DATE(2028, 12, 31), J1217&lt;=50000), "Pendente", F1217&gt;= DATE(2029,1,1), "Não prioeitário")</f>
        <v>Pendente e Caro</v>
      </c>
      <c r="H1217" s="89">
        <f>YEAR(Tabela1[[#This Row],[Data de Validade]])</f>
        <v>2026</v>
      </c>
      <c r="I1217" s="89">
        <f>MONTH(Tabela1[[#This Row],[Data de Validade]])</f>
        <v>6</v>
      </c>
      <c r="J1217" s="101">
        <v>80153</v>
      </c>
      <c r="K1217" s="87" t="s">
        <v>9</v>
      </c>
      <c r="L1217" s="108"/>
      <c r="M1217" s="108"/>
      <c r="N1217" s="108" t="str">
        <v>H623H253</v>
      </c>
      <c r="O1217" s="108">
        <f t="shared" si="20"/>
        <v>1</v>
      </c>
      <c r="P1217" s="108"/>
      <c r="Q1217"/>
    </row>
    <row r="1218" spans="1:17" x14ac:dyDescent="0.25">
      <c r="A1218" s="89" t="s">
        <v>11288</v>
      </c>
      <c r="B1218" s="87" t="s">
        <v>11289</v>
      </c>
      <c r="C1218" s="87" t="s">
        <v>8</v>
      </c>
      <c r="D1218" s="87" t="str">
        <f>VLOOKUP(Tabela1[[#This Row],[Origem]], 'Perguntas 1 a 24'!$J$28:$K$34, 2, 0)</f>
        <v>Nordeste</v>
      </c>
      <c r="E1218" s="87" t="str">
        <f>Tabela1[[#This Row],[Descrição]]&amp;"-"&amp;Tabela1[[#This Row],[Código]]&amp;"/"&amp;Tabela1[[#This Row],[Origem]]</f>
        <v>Lafilotu-H731P786/AL</v>
      </c>
      <c r="F1218" s="88">
        <v>46184</v>
      </c>
      <c r="G1218" s="88" t="str" cm="1">
        <f t="array" ref="G12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AND(F1218&gt;= DATE(2026,1,1), F1218&lt;= DATE(2028, 12, 31), J1218&gt;50000), "Pendente e Caro", AND(F1218&gt;= DATE(2026,1,1), F1218&lt;= DATE(2028, 12, 31), J1218&lt;=50000), "Pendente", F1218&gt;= DATE(2029,1,1), "Não prioeitário")</f>
        <v>Pendente e Caro</v>
      </c>
      <c r="H1218" s="89">
        <f>YEAR(Tabela1[[#This Row],[Data de Validade]])</f>
        <v>2026</v>
      </c>
      <c r="I1218" s="89">
        <f>MONTH(Tabela1[[#This Row],[Data de Validade]])</f>
        <v>6</v>
      </c>
      <c r="J1218" s="101">
        <v>112002</v>
      </c>
      <c r="K1218" s="87" t="s">
        <v>9</v>
      </c>
      <c r="L1218" s="108"/>
      <c r="M1218" s="108"/>
      <c r="N1218" s="108" t="str">
        <v>H731P786</v>
      </c>
      <c r="O1218" s="108">
        <f t="shared" si="20"/>
        <v>1</v>
      </c>
      <c r="P1218" s="108"/>
      <c r="Q1218"/>
    </row>
    <row r="1219" spans="1:17" x14ac:dyDescent="0.25">
      <c r="A1219" s="89" t="s">
        <v>7410</v>
      </c>
      <c r="B1219" s="87" t="s">
        <v>7411</v>
      </c>
      <c r="C1219" s="87" t="s">
        <v>16</v>
      </c>
      <c r="D1219" s="87" t="str">
        <f>VLOOKUP(Tabela1[[#This Row],[Origem]], 'Perguntas 1 a 24'!$J$28:$K$34, 2, 0)</f>
        <v>Sudeste</v>
      </c>
      <c r="E1219" s="87" t="str">
        <f>Tabela1[[#This Row],[Descrição]]&amp;"-"&amp;Tabela1[[#This Row],[Código]]&amp;"/"&amp;Tabela1[[#This Row],[Origem]]</f>
        <v>Ropoticacu-H229P155/MG</v>
      </c>
      <c r="F1219" s="88">
        <v>46184</v>
      </c>
      <c r="G1219" s="88" t="str" cm="1">
        <f t="array" ref="G12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AND(F1219&gt;= DATE(2026,1,1), F1219&lt;= DATE(2028, 12, 31), J1219&gt;50000), "Pendente e Caro", AND(F1219&gt;= DATE(2026,1,1), F1219&lt;= DATE(2028, 12, 31), J1219&lt;=50000), "Pendente", F1219&gt;= DATE(2029,1,1), "Não prioeitário")</f>
        <v>Pendente e Caro</v>
      </c>
      <c r="H1219" s="89">
        <f>YEAR(Tabela1[[#This Row],[Data de Validade]])</f>
        <v>2026</v>
      </c>
      <c r="I1219" s="89">
        <f>MONTH(Tabela1[[#This Row],[Data de Validade]])</f>
        <v>6</v>
      </c>
      <c r="J1219" s="101">
        <v>98266</v>
      </c>
      <c r="K1219" s="87" t="s">
        <v>11</v>
      </c>
      <c r="L1219" s="108"/>
      <c r="M1219" s="108"/>
      <c r="N1219" s="108" t="str">
        <v>H229P155</v>
      </c>
      <c r="O1219" s="108">
        <f t="shared" ref="O1219:O1282" si="21">COUNTIFS(B:B,N1219)</f>
        <v>1</v>
      </c>
      <c r="P1219" s="108"/>
      <c r="Q1219"/>
    </row>
    <row r="1220" spans="1:17" x14ac:dyDescent="0.25">
      <c r="A1220" s="89" t="s">
        <v>8484</v>
      </c>
      <c r="B1220" s="87" t="s">
        <v>8485</v>
      </c>
      <c r="C1220" s="87" t="s">
        <v>6</v>
      </c>
      <c r="D1220" s="87" t="str">
        <f>VLOOKUP(Tabela1[[#This Row],[Origem]], 'Perguntas 1 a 24'!$J$28:$K$34, 2, 0)</f>
        <v>Nordeste</v>
      </c>
      <c r="E1220" s="87" t="str">
        <f>Tabela1[[#This Row],[Descrição]]&amp;"-"&amp;Tabela1[[#This Row],[Código]]&amp;"/"&amp;Tabela1[[#This Row],[Origem]]</f>
        <v>Ralutovute-H719P636/MA</v>
      </c>
      <c r="F1220" s="88">
        <v>46185</v>
      </c>
      <c r="G1220" s="88" t="str" cm="1">
        <f t="array" ref="G12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AND(F1220&gt;= DATE(2026,1,1), F1220&lt;= DATE(2028, 12, 31), J1220&gt;50000), "Pendente e Caro", AND(F1220&gt;= DATE(2026,1,1), F1220&lt;= DATE(2028, 12, 31), J1220&lt;=50000), "Pendente", F1220&gt;= DATE(2029,1,1), "Não prioeitário")</f>
        <v>Pendente</v>
      </c>
      <c r="H1220" s="89">
        <f>YEAR(Tabela1[[#This Row],[Data de Validade]])</f>
        <v>2026</v>
      </c>
      <c r="I1220" s="89">
        <f>MONTH(Tabela1[[#This Row],[Data de Validade]])</f>
        <v>6</v>
      </c>
      <c r="J1220" s="101">
        <v>38704</v>
      </c>
      <c r="K1220" s="87" t="s">
        <v>11</v>
      </c>
      <c r="L1220" s="108"/>
      <c r="M1220" s="108"/>
      <c r="N1220" s="108" t="str">
        <v>H719P636</v>
      </c>
      <c r="O1220" s="108">
        <f t="shared" si="21"/>
        <v>1</v>
      </c>
      <c r="P1220" s="108"/>
      <c r="Q1220"/>
    </row>
    <row r="1221" spans="1:17" x14ac:dyDescent="0.25">
      <c r="A1221" s="89" t="s">
        <v>5578</v>
      </c>
      <c r="B1221" s="87" t="s">
        <v>5579</v>
      </c>
      <c r="C1221" s="87" t="s">
        <v>13</v>
      </c>
      <c r="D1221" s="87" t="str">
        <f>VLOOKUP(Tabela1[[#This Row],[Origem]], 'Perguntas 1 a 24'!$J$28:$K$34, 2, 0)</f>
        <v>Sudeste</v>
      </c>
      <c r="E1221" s="87" t="str">
        <f>Tabela1[[#This Row],[Descrição]]&amp;"-"&amp;Tabela1[[#This Row],[Código]]&amp;"/"&amp;Tabela1[[#This Row],[Origem]]</f>
        <v>Rutepurefo-P531H634/SP</v>
      </c>
      <c r="F1221" s="88">
        <v>46186</v>
      </c>
      <c r="G1221" s="88" t="str" cm="1">
        <f t="array" ref="G12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AND(F1221&gt;= DATE(2026,1,1), F1221&lt;= DATE(2028, 12, 31), J1221&gt;50000), "Pendente e Caro", AND(F1221&gt;= DATE(2026,1,1), F1221&lt;= DATE(2028, 12, 31), J1221&lt;=50000), "Pendente", F1221&gt;= DATE(2029,1,1), "Não prioeitário")</f>
        <v>Pendente e Caro</v>
      </c>
      <c r="H1221" s="89">
        <f>YEAR(Tabela1[[#This Row],[Data de Validade]])</f>
        <v>2026</v>
      </c>
      <c r="I1221" s="89">
        <f>MONTH(Tabela1[[#This Row],[Data de Validade]])</f>
        <v>6</v>
      </c>
      <c r="J1221" s="101">
        <v>117699</v>
      </c>
      <c r="K1221" s="87" t="s">
        <v>7</v>
      </c>
      <c r="L1221" s="108"/>
      <c r="M1221" s="108"/>
      <c r="N1221" s="108" t="str">
        <v>P531H634</v>
      </c>
      <c r="O1221" s="108">
        <f t="shared" si="21"/>
        <v>1</v>
      </c>
      <c r="P1221" s="108"/>
      <c r="Q1221"/>
    </row>
    <row r="1222" spans="1:17" x14ac:dyDescent="0.25">
      <c r="A1222" s="89" t="s">
        <v>5728</v>
      </c>
      <c r="B1222" s="87" t="s">
        <v>5729</v>
      </c>
      <c r="C1222" s="87" t="s">
        <v>8</v>
      </c>
      <c r="D1222" s="87" t="str">
        <f>VLOOKUP(Tabela1[[#This Row],[Origem]], 'Perguntas 1 a 24'!$J$28:$K$34, 2, 0)</f>
        <v>Nordeste</v>
      </c>
      <c r="E1222" s="87" t="str">
        <f>Tabela1[[#This Row],[Descrição]]&amp;"-"&amp;Tabela1[[#This Row],[Código]]&amp;"/"&amp;Tabela1[[#This Row],[Origem]]</f>
        <v>Pifipo-P525P286/AL</v>
      </c>
      <c r="F1222" s="88">
        <v>46186</v>
      </c>
      <c r="G1222" s="88" t="str" cm="1">
        <f t="array" ref="G12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AND(F1222&gt;= DATE(2026,1,1), F1222&lt;= DATE(2028, 12, 31), J1222&gt;50000), "Pendente e Caro", AND(F1222&gt;= DATE(2026,1,1), F1222&lt;= DATE(2028, 12, 31), J1222&lt;=50000), "Pendente", F1222&gt;= DATE(2029,1,1), "Não prioeitário")</f>
        <v>Pendente e Caro</v>
      </c>
      <c r="H1222" s="89">
        <f>YEAR(Tabela1[[#This Row],[Data de Validade]])</f>
        <v>2026</v>
      </c>
      <c r="I1222" s="89">
        <f>MONTH(Tabela1[[#This Row],[Data de Validade]])</f>
        <v>6</v>
      </c>
      <c r="J1222" s="101">
        <v>93419</v>
      </c>
      <c r="K1222" s="87" t="s">
        <v>7</v>
      </c>
      <c r="L1222" s="108"/>
      <c r="M1222" s="108"/>
      <c r="N1222" s="108" t="str">
        <v>P525P286</v>
      </c>
      <c r="O1222" s="108">
        <f t="shared" si="21"/>
        <v>1</v>
      </c>
      <c r="P1222" s="108"/>
      <c r="Q1222"/>
    </row>
    <row r="1223" spans="1:17" x14ac:dyDescent="0.25">
      <c r="A1223" s="89" t="s">
        <v>6622</v>
      </c>
      <c r="B1223" s="87" t="s">
        <v>6623</v>
      </c>
      <c r="C1223" s="87" t="s">
        <v>15</v>
      </c>
      <c r="D1223" s="87" t="str">
        <f>VLOOKUP(Tabela1[[#This Row],[Origem]], 'Perguntas 1 a 24'!$J$28:$K$34, 2, 0)</f>
        <v>Sudeste</v>
      </c>
      <c r="E1223" s="87" t="str">
        <f>Tabela1[[#This Row],[Descrição]]&amp;"-"&amp;Tabela1[[#This Row],[Código]]&amp;"/"&amp;Tabela1[[#This Row],[Origem]]</f>
        <v>Ramegivetu-P684H355/ES</v>
      </c>
      <c r="F1223" s="88">
        <v>46186</v>
      </c>
      <c r="G1223" s="88" t="str" cm="1">
        <f t="array" ref="G12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AND(F1223&gt;= DATE(2026,1,1), F1223&lt;= DATE(2028, 12, 31), J1223&gt;50000), "Pendente e Caro", AND(F1223&gt;= DATE(2026,1,1), F1223&lt;= DATE(2028, 12, 31), J1223&lt;=50000), "Pendente", F1223&gt;= DATE(2029,1,1), "Não prioeitário")</f>
        <v>Pendente e Caro</v>
      </c>
      <c r="H1223" s="89">
        <f>YEAR(Tabela1[[#This Row],[Data de Validade]])</f>
        <v>2026</v>
      </c>
      <c r="I1223" s="89">
        <f>MONTH(Tabela1[[#This Row],[Data de Validade]])</f>
        <v>6</v>
      </c>
      <c r="J1223" s="101">
        <v>57004</v>
      </c>
      <c r="K1223" s="87" t="s">
        <v>14</v>
      </c>
      <c r="L1223" s="108"/>
      <c r="M1223" s="108"/>
      <c r="N1223" s="108" t="str">
        <v>P684H355</v>
      </c>
      <c r="O1223" s="108">
        <f t="shared" si="21"/>
        <v>1</v>
      </c>
      <c r="P1223" s="108"/>
      <c r="Q1223"/>
    </row>
    <row r="1224" spans="1:17" x14ac:dyDescent="0.25">
      <c r="A1224" s="89" t="s">
        <v>6050</v>
      </c>
      <c r="B1224" s="87" t="s">
        <v>6051</v>
      </c>
      <c r="C1224" s="87" t="s">
        <v>16</v>
      </c>
      <c r="D1224" s="87" t="str">
        <f>VLOOKUP(Tabela1[[#This Row],[Origem]], 'Perguntas 1 a 24'!$J$28:$K$34, 2, 0)</f>
        <v>Sudeste</v>
      </c>
      <c r="E1224" s="87" t="str">
        <f>Tabela1[[#This Row],[Descrição]]&amp;"-"&amp;Tabela1[[#This Row],[Código]]&amp;"/"&amp;Tabela1[[#This Row],[Origem]]</f>
        <v>Fetivegupi-P272P523/MG</v>
      </c>
      <c r="F1224" s="88">
        <v>46187</v>
      </c>
      <c r="G1224" s="88" t="str" cm="1">
        <f t="array" ref="G12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AND(F1224&gt;= DATE(2026,1,1), F1224&lt;= DATE(2028, 12, 31), J1224&gt;50000), "Pendente e Caro", AND(F1224&gt;= DATE(2026,1,1), F1224&lt;= DATE(2028, 12, 31), J1224&lt;=50000), "Pendente", F1224&gt;= DATE(2029,1,1), "Não prioeitário")</f>
        <v>Pendente e Caro</v>
      </c>
      <c r="H1224" s="89">
        <f>YEAR(Tabela1[[#This Row],[Data de Validade]])</f>
        <v>2026</v>
      </c>
      <c r="I1224" s="89">
        <f>MONTH(Tabela1[[#This Row],[Data de Validade]])</f>
        <v>6</v>
      </c>
      <c r="J1224" s="101">
        <v>93616</v>
      </c>
      <c r="K1224" s="87" t="s">
        <v>9</v>
      </c>
      <c r="L1224" s="108"/>
      <c r="M1224" s="108"/>
      <c r="N1224" s="108" t="str">
        <v>P272P523</v>
      </c>
      <c r="O1224" s="108">
        <f t="shared" si="21"/>
        <v>1</v>
      </c>
      <c r="P1224" s="108"/>
      <c r="Q1224"/>
    </row>
    <row r="1225" spans="1:17" x14ac:dyDescent="0.25">
      <c r="A1225" s="89" t="s">
        <v>10657</v>
      </c>
      <c r="B1225" s="87" t="s">
        <v>10658</v>
      </c>
      <c r="C1225" s="87" t="s">
        <v>8</v>
      </c>
      <c r="D1225" s="87" t="str">
        <f>VLOOKUP(Tabela1[[#This Row],[Origem]], 'Perguntas 1 a 24'!$J$28:$K$34, 2, 0)</f>
        <v>Nordeste</v>
      </c>
      <c r="E1225" s="87" t="str">
        <f>Tabela1[[#This Row],[Descrição]]&amp;"-"&amp;Tabela1[[#This Row],[Código]]&amp;"/"&amp;Tabela1[[#This Row],[Origem]]</f>
        <v>Pomumi-P935H271/AL</v>
      </c>
      <c r="F1225" s="88">
        <v>46187</v>
      </c>
      <c r="G1225" s="88" t="str" cm="1">
        <f t="array" ref="G12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AND(F1225&gt;= DATE(2026,1,1), F1225&lt;= DATE(2028, 12, 31), J1225&gt;50000), "Pendente e Caro", AND(F1225&gt;= DATE(2026,1,1), F1225&lt;= DATE(2028, 12, 31), J1225&lt;=50000), "Pendente", F1225&gt;= DATE(2029,1,1), "Não prioeitário")</f>
        <v>Pendente e Caro</v>
      </c>
      <c r="H1225" s="89">
        <f>YEAR(Tabela1[[#This Row],[Data de Validade]])</f>
        <v>2026</v>
      </c>
      <c r="I1225" s="89">
        <f>MONTH(Tabela1[[#This Row],[Data de Validade]])</f>
        <v>6</v>
      </c>
      <c r="J1225" s="101">
        <v>91069</v>
      </c>
      <c r="K1225" s="87" t="s">
        <v>14</v>
      </c>
      <c r="L1225" s="108"/>
      <c r="M1225" s="108"/>
      <c r="N1225" s="108" t="str">
        <v>P935H271</v>
      </c>
      <c r="O1225" s="108">
        <f t="shared" si="21"/>
        <v>1</v>
      </c>
      <c r="P1225" s="108"/>
      <c r="Q1225"/>
    </row>
    <row r="1226" spans="1:17" x14ac:dyDescent="0.25">
      <c r="A1226" s="89" t="s">
        <v>8687</v>
      </c>
      <c r="B1226" s="87" t="s">
        <v>8688</v>
      </c>
      <c r="C1226" s="87" t="s">
        <v>12</v>
      </c>
      <c r="D1226" s="87" t="str">
        <f>VLOOKUP(Tabela1[[#This Row],[Origem]], 'Perguntas 1 a 24'!$J$28:$K$34, 2, 0)</f>
        <v>Sudeste</v>
      </c>
      <c r="E1226" s="87" t="str">
        <f>Tabela1[[#This Row],[Descrição]]&amp;"-"&amp;Tabela1[[#This Row],[Código]]&amp;"/"&amp;Tabela1[[#This Row],[Origem]]</f>
        <v>Totine-P489H261/RJ</v>
      </c>
      <c r="F1226" s="88">
        <v>46187</v>
      </c>
      <c r="G1226" s="88" t="str" cm="1">
        <f t="array" ref="G12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AND(F1226&gt;= DATE(2026,1,1), F1226&lt;= DATE(2028, 12, 31), J1226&gt;50000), "Pendente e Caro", AND(F1226&gt;= DATE(2026,1,1), F1226&lt;= DATE(2028, 12, 31), J1226&lt;=50000), "Pendente", F1226&gt;= DATE(2029,1,1), "Não prioeitário")</f>
        <v>Pendente e Caro</v>
      </c>
      <c r="H1226" s="89">
        <f>YEAR(Tabela1[[#This Row],[Data de Validade]])</f>
        <v>2026</v>
      </c>
      <c r="I1226" s="89">
        <f>MONTH(Tabela1[[#This Row],[Data de Validade]])</f>
        <v>6</v>
      </c>
      <c r="J1226" s="101">
        <v>81403</v>
      </c>
      <c r="K1226" s="87" t="s">
        <v>11</v>
      </c>
      <c r="L1226" s="108"/>
      <c r="M1226" s="108"/>
      <c r="N1226" s="108" t="str">
        <v>P489H261</v>
      </c>
      <c r="O1226" s="108">
        <f t="shared" si="21"/>
        <v>1</v>
      </c>
      <c r="P1226" s="108"/>
      <c r="Q1226"/>
    </row>
    <row r="1227" spans="1:17" x14ac:dyDescent="0.25">
      <c r="A1227" s="89" t="s">
        <v>9431</v>
      </c>
      <c r="B1227" s="87" t="s">
        <v>9432</v>
      </c>
      <c r="C1227" s="87" t="s">
        <v>10</v>
      </c>
      <c r="D1227" s="87" t="str">
        <f>VLOOKUP(Tabela1[[#This Row],[Origem]], 'Perguntas 1 a 24'!$J$28:$K$34, 2, 0)</f>
        <v>Centro-Oeste</v>
      </c>
      <c r="E1227" s="87" t="str">
        <f>Tabela1[[#This Row],[Descrição]]&amp;"-"&amp;Tabela1[[#This Row],[Código]]&amp;"/"&amp;Tabela1[[#This Row],[Origem]]</f>
        <v>Miporora-H126P811/GO</v>
      </c>
      <c r="F1227" s="88">
        <v>46187</v>
      </c>
      <c r="G1227" s="88" t="str" cm="1">
        <f t="array" ref="G12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AND(F1227&gt;= DATE(2026,1,1), F1227&lt;= DATE(2028, 12, 31), J1227&gt;50000), "Pendente e Caro", AND(F1227&gt;= DATE(2026,1,1), F1227&lt;= DATE(2028, 12, 31), J1227&lt;=50000), "Pendente", F1227&gt;= DATE(2029,1,1), "Não prioeitário")</f>
        <v>Pendente e Caro</v>
      </c>
      <c r="H1227" s="89">
        <f>YEAR(Tabela1[[#This Row],[Data de Validade]])</f>
        <v>2026</v>
      </c>
      <c r="I1227" s="89">
        <f>MONTH(Tabela1[[#This Row],[Data de Validade]])</f>
        <v>6</v>
      </c>
      <c r="J1227" s="101">
        <v>76497</v>
      </c>
      <c r="K1227" s="87" t="s">
        <v>7</v>
      </c>
      <c r="L1227" s="108"/>
      <c r="M1227" s="108"/>
      <c r="N1227" s="108" t="str">
        <v>H126P811</v>
      </c>
      <c r="O1227" s="108">
        <f t="shared" si="21"/>
        <v>1</v>
      </c>
      <c r="P1227" s="108"/>
      <c r="Q1227"/>
    </row>
    <row r="1228" spans="1:17" x14ac:dyDescent="0.25">
      <c r="A1228" s="89" t="s">
        <v>3806</v>
      </c>
      <c r="B1228" s="87" t="s">
        <v>3807</v>
      </c>
      <c r="C1228" s="87" t="s">
        <v>15</v>
      </c>
      <c r="D1228" s="87" t="str">
        <f>VLOOKUP(Tabela1[[#This Row],[Origem]], 'Perguntas 1 a 24'!$J$28:$K$34, 2, 0)</f>
        <v>Sudeste</v>
      </c>
      <c r="E1228" s="87" t="str">
        <f>Tabela1[[#This Row],[Descrição]]&amp;"-"&amp;Tabela1[[#This Row],[Código]]&amp;"/"&amp;Tabela1[[#This Row],[Origem]]</f>
        <v>Tilucenofe-P658H995/ES</v>
      </c>
      <c r="F1228" s="88">
        <v>46187</v>
      </c>
      <c r="G1228" s="88" t="str" cm="1">
        <f t="array" ref="G12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AND(F1228&gt;= DATE(2026,1,1), F1228&lt;= DATE(2028, 12, 31), J1228&gt;50000), "Pendente e Caro", AND(F1228&gt;= DATE(2026,1,1), F1228&lt;= DATE(2028, 12, 31), J1228&lt;=50000), "Pendente", F1228&gt;= DATE(2029,1,1), "Não prioeitário")</f>
        <v>Pendente</v>
      </c>
      <c r="H1228" s="89">
        <f>YEAR(Tabela1[[#This Row],[Data de Validade]])</f>
        <v>2026</v>
      </c>
      <c r="I1228" s="89">
        <f>MONTH(Tabela1[[#This Row],[Data de Validade]])</f>
        <v>6</v>
      </c>
      <c r="J1228" s="101">
        <v>37337</v>
      </c>
      <c r="K1228" s="87" t="s">
        <v>9</v>
      </c>
      <c r="L1228" s="108"/>
      <c r="M1228" s="108"/>
      <c r="N1228" s="108" t="str">
        <v>P658H995</v>
      </c>
      <c r="O1228" s="108">
        <f t="shared" si="21"/>
        <v>1</v>
      </c>
      <c r="P1228" s="108"/>
      <c r="Q1228"/>
    </row>
    <row r="1229" spans="1:17" x14ac:dyDescent="0.25">
      <c r="A1229" s="89" t="s">
        <v>10677</v>
      </c>
      <c r="B1229" s="87" t="s">
        <v>10678</v>
      </c>
      <c r="C1229" s="87" t="s">
        <v>15</v>
      </c>
      <c r="D1229" s="87" t="str">
        <f>VLOOKUP(Tabela1[[#This Row],[Origem]], 'Perguntas 1 a 24'!$J$28:$K$34, 2, 0)</f>
        <v>Sudeste</v>
      </c>
      <c r="E1229" s="87" t="str">
        <f>Tabela1[[#This Row],[Descrição]]&amp;"-"&amp;Tabela1[[#This Row],[Código]]&amp;"/"&amp;Tabela1[[#This Row],[Origem]]</f>
        <v>Rivavo-H842P997/ES</v>
      </c>
      <c r="F1229" s="88">
        <v>46188</v>
      </c>
      <c r="G1229" s="88" t="str" cm="1">
        <f t="array" ref="G12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AND(F1229&gt;= DATE(2026,1,1), F1229&lt;= DATE(2028, 12, 31), J1229&gt;50000), "Pendente e Caro", AND(F1229&gt;= DATE(2026,1,1), F1229&lt;= DATE(2028, 12, 31), J1229&lt;=50000), "Pendente", F1229&gt;= DATE(2029,1,1), "Não prioeitário")</f>
        <v>Pendente e Caro</v>
      </c>
      <c r="H1229" s="89">
        <f>YEAR(Tabela1[[#This Row],[Data de Validade]])</f>
        <v>2026</v>
      </c>
      <c r="I1229" s="89">
        <f>MONTH(Tabela1[[#This Row],[Data de Validade]])</f>
        <v>6</v>
      </c>
      <c r="J1229" s="101">
        <v>90005</v>
      </c>
      <c r="K1229" s="87" t="s">
        <v>7</v>
      </c>
      <c r="L1229" s="108"/>
      <c r="M1229" s="108"/>
      <c r="N1229" s="108" t="str">
        <v>H842P997</v>
      </c>
      <c r="O1229" s="108">
        <f t="shared" si="21"/>
        <v>1</v>
      </c>
      <c r="P1229" s="108"/>
      <c r="Q1229"/>
    </row>
    <row r="1230" spans="1:17" x14ac:dyDescent="0.25">
      <c r="A1230" s="89" t="s">
        <v>7932</v>
      </c>
      <c r="B1230" s="87" t="s">
        <v>7933</v>
      </c>
      <c r="C1230" s="87" t="s">
        <v>8</v>
      </c>
      <c r="D1230" s="87" t="str">
        <f>VLOOKUP(Tabela1[[#This Row],[Origem]], 'Perguntas 1 a 24'!$J$28:$K$34, 2, 0)</f>
        <v>Nordeste</v>
      </c>
      <c r="E1230" s="87" t="str">
        <f>Tabela1[[#This Row],[Descrição]]&amp;"-"&amp;Tabela1[[#This Row],[Código]]&amp;"/"&amp;Tabela1[[#This Row],[Origem]]</f>
        <v>Rufinaci-P588P726/AL</v>
      </c>
      <c r="F1230" s="88">
        <v>46189</v>
      </c>
      <c r="G1230" s="88" t="str" cm="1">
        <f t="array" ref="G12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AND(F1230&gt;= DATE(2026,1,1), F1230&lt;= DATE(2028, 12, 31), J1230&gt;50000), "Pendente e Caro", AND(F1230&gt;= DATE(2026,1,1), F1230&lt;= DATE(2028, 12, 31), J1230&lt;=50000), "Pendente", F1230&gt;= DATE(2029,1,1), "Não prioeitário")</f>
        <v>Pendente e Caro</v>
      </c>
      <c r="H1230" s="89">
        <f>YEAR(Tabela1[[#This Row],[Data de Validade]])</f>
        <v>2026</v>
      </c>
      <c r="I1230" s="89">
        <f>MONTH(Tabela1[[#This Row],[Data de Validade]])</f>
        <v>6</v>
      </c>
      <c r="J1230" s="101">
        <v>90027</v>
      </c>
      <c r="K1230" s="87" t="s">
        <v>11</v>
      </c>
      <c r="L1230" s="108"/>
      <c r="M1230" s="108"/>
      <c r="N1230" s="108" t="str">
        <v>P588P726</v>
      </c>
      <c r="O1230" s="108">
        <f t="shared" si="21"/>
        <v>1</v>
      </c>
      <c r="P1230" s="108"/>
      <c r="Q1230"/>
    </row>
    <row r="1231" spans="1:17" x14ac:dyDescent="0.25">
      <c r="A1231" s="89" t="s">
        <v>9121</v>
      </c>
      <c r="B1231" s="87" t="s">
        <v>9122</v>
      </c>
      <c r="C1231" s="87" t="s">
        <v>13</v>
      </c>
      <c r="D1231" s="87" t="str">
        <f>VLOOKUP(Tabela1[[#This Row],[Origem]], 'Perguntas 1 a 24'!$J$28:$K$34, 2, 0)</f>
        <v>Sudeste</v>
      </c>
      <c r="E1231" s="87" t="str">
        <f>Tabela1[[#This Row],[Descrição]]&amp;"-"&amp;Tabela1[[#This Row],[Código]]&amp;"/"&amp;Tabela1[[#This Row],[Origem]]</f>
        <v>Tavapudope-H221H367/SP</v>
      </c>
      <c r="F1231" s="88">
        <v>46191</v>
      </c>
      <c r="G1231" s="88" t="str" cm="1">
        <f t="array" ref="G12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AND(F1231&gt;= DATE(2026,1,1), F1231&lt;= DATE(2028, 12, 31), J1231&gt;50000), "Pendente e Caro", AND(F1231&gt;= DATE(2026,1,1), F1231&lt;= DATE(2028, 12, 31), J1231&lt;=50000), "Pendente", F1231&gt;= DATE(2029,1,1), "Não prioeitário")</f>
        <v>Pendente e Caro</v>
      </c>
      <c r="H1231" s="89">
        <f>YEAR(Tabela1[[#This Row],[Data de Validade]])</f>
        <v>2026</v>
      </c>
      <c r="I1231" s="89">
        <f>MONTH(Tabela1[[#This Row],[Data de Validade]])</f>
        <v>6</v>
      </c>
      <c r="J1231" s="101">
        <v>92766</v>
      </c>
      <c r="K1231" s="87" t="s">
        <v>11</v>
      </c>
      <c r="L1231" s="108"/>
      <c r="M1231" s="108"/>
      <c r="N1231" s="108" t="str">
        <v>H221H367</v>
      </c>
      <c r="O1231" s="108">
        <f t="shared" si="21"/>
        <v>1</v>
      </c>
      <c r="P1231" s="108"/>
      <c r="Q1231"/>
    </row>
    <row r="1232" spans="1:17" x14ac:dyDescent="0.25">
      <c r="A1232" s="89" t="s">
        <v>5008</v>
      </c>
      <c r="B1232" s="87" t="s">
        <v>5009</v>
      </c>
      <c r="C1232" s="87" t="s">
        <v>16</v>
      </c>
      <c r="D1232" s="87" t="str">
        <f>VLOOKUP(Tabela1[[#This Row],[Origem]], 'Perguntas 1 a 24'!$J$28:$K$34, 2, 0)</f>
        <v>Sudeste</v>
      </c>
      <c r="E1232" s="87" t="str">
        <f>Tabela1[[#This Row],[Descrição]]&amp;"-"&amp;Tabela1[[#This Row],[Código]]&amp;"/"&amp;Tabela1[[#This Row],[Origem]]</f>
        <v>Loveredila-H367P297/MG</v>
      </c>
      <c r="F1232" s="88">
        <v>46191</v>
      </c>
      <c r="G1232" s="88" t="str" cm="1">
        <f t="array" ref="G12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AND(F1232&gt;= DATE(2026,1,1), F1232&lt;= DATE(2028, 12, 31), J1232&gt;50000), "Pendente e Caro", AND(F1232&gt;= DATE(2026,1,1), F1232&lt;= DATE(2028, 12, 31), J1232&lt;=50000), "Pendente", F1232&gt;= DATE(2029,1,1), "Não prioeitário")</f>
        <v>Pendente e Caro</v>
      </c>
      <c r="H1232" s="89">
        <f>YEAR(Tabela1[[#This Row],[Data de Validade]])</f>
        <v>2026</v>
      </c>
      <c r="I1232" s="89">
        <f>MONTH(Tabela1[[#This Row],[Data de Validade]])</f>
        <v>6</v>
      </c>
      <c r="J1232" s="101">
        <v>55429</v>
      </c>
      <c r="K1232" s="87" t="s">
        <v>7</v>
      </c>
      <c r="L1232" s="108"/>
      <c r="M1232" s="108"/>
      <c r="N1232" s="108" t="str">
        <v>H367P297</v>
      </c>
      <c r="O1232" s="108">
        <f t="shared" si="21"/>
        <v>1</v>
      </c>
      <c r="P1232" s="108"/>
      <c r="Q1232"/>
    </row>
    <row r="1233" spans="1:17" x14ac:dyDescent="0.25">
      <c r="A1233" s="89" t="s">
        <v>6186</v>
      </c>
      <c r="B1233" s="87" t="s">
        <v>6187</v>
      </c>
      <c r="C1233" s="87" t="s">
        <v>16</v>
      </c>
      <c r="D1233" s="87" t="str">
        <f>VLOOKUP(Tabela1[[#This Row],[Origem]], 'Perguntas 1 a 24'!$J$28:$K$34, 2, 0)</f>
        <v>Sudeste</v>
      </c>
      <c r="E1233" s="87" t="str">
        <f>Tabela1[[#This Row],[Descrição]]&amp;"-"&amp;Tabela1[[#This Row],[Código]]&amp;"/"&amp;Tabela1[[#This Row],[Origem]]</f>
        <v>Ropucamedo-H388P257/MG</v>
      </c>
      <c r="F1233" s="88">
        <v>46191</v>
      </c>
      <c r="G1233" s="88" t="str" cm="1">
        <f t="array" ref="G12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AND(F1233&gt;= DATE(2026,1,1), F1233&lt;= DATE(2028, 12, 31), J1233&gt;50000), "Pendente e Caro", AND(F1233&gt;= DATE(2026,1,1), F1233&lt;= DATE(2028, 12, 31), J1233&lt;=50000), "Pendente", F1233&gt;= DATE(2029,1,1), "Não prioeitário")</f>
        <v>Pendente</v>
      </c>
      <c r="H1233" s="89">
        <f>YEAR(Tabela1[[#This Row],[Data de Validade]])</f>
        <v>2026</v>
      </c>
      <c r="I1233" s="89">
        <f>MONTH(Tabela1[[#This Row],[Data de Validade]])</f>
        <v>6</v>
      </c>
      <c r="J1233" s="101">
        <v>35869</v>
      </c>
      <c r="K1233" s="87" t="s">
        <v>9</v>
      </c>
      <c r="L1233" s="108"/>
      <c r="M1233" s="108"/>
      <c r="N1233" s="108" t="str">
        <v>H388P257</v>
      </c>
      <c r="O1233" s="108">
        <f t="shared" si="21"/>
        <v>1</v>
      </c>
      <c r="P1233" s="108"/>
      <c r="Q1233"/>
    </row>
    <row r="1234" spans="1:17" x14ac:dyDescent="0.25">
      <c r="A1234" s="89" t="s">
        <v>9149</v>
      </c>
      <c r="B1234" s="87" t="s">
        <v>9150</v>
      </c>
      <c r="C1234" s="87" t="s">
        <v>8</v>
      </c>
      <c r="D1234" s="87" t="str">
        <f>VLOOKUP(Tabela1[[#This Row],[Origem]], 'Perguntas 1 a 24'!$J$28:$K$34, 2, 0)</f>
        <v>Nordeste</v>
      </c>
      <c r="E1234" s="87" t="str">
        <f>Tabela1[[#This Row],[Descrição]]&amp;"-"&amp;Tabela1[[#This Row],[Código]]&amp;"/"&amp;Tabela1[[#This Row],[Origem]]</f>
        <v>Dafarepu-P251P153/AL</v>
      </c>
      <c r="F1234" s="88">
        <v>46193</v>
      </c>
      <c r="G1234" s="88" t="str" cm="1">
        <f t="array" ref="G12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AND(F1234&gt;= DATE(2026,1,1), F1234&lt;= DATE(2028, 12, 31), J1234&gt;50000), "Pendente e Caro", AND(F1234&gt;= DATE(2026,1,1), F1234&lt;= DATE(2028, 12, 31), J1234&lt;=50000), "Pendente", F1234&gt;= DATE(2029,1,1), "Não prioeitário")</f>
        <v>Pendente e Caro</v>
      </c>
      <c r="H1234" s="89">
        <f>YEAR(Tabela1[[#This Row],[Data de Validade]])</f>
        <v>2026</v>
      </c>
      <c r="I1234" s="89">
        <f>MONTH(Tabela1[[#This Row],[Data de Validade]])</f>
        <v>6</v>
      </c>
      <c r="J1234" s="101">
        <v>91135</v>
      </c>
      <c r="K1234" s="87" t="s">
        <v>14</v>
      </c>
      <c r="L1234" s="108"/>
      <c r="M1234" s="108"/>
      <c r="N1234" s="108" t="str">
        <v>P251P153</v>
      </c>
      <c r="O1234" s="108">
        <f t="shared" si="21"/>
        <v>1</v>
      </c>
      <c r="P1234" s="108"/>
      <c r="Q1234"/>
    </row>
    <row r="1235" spans="1:17" x14ac:dyDescent="0.25">
      <c r="A1235" s="89" t="s">
        <v>9915</v>
      </c>
      <c r="B1235" s="87" t="s">
        <v>9916</v>
      </c>
      <c r="C1235" s="87" t="s">
        <v>10</v>
      </c>
      <c r="D1235" s="87" t="str">
        <f>VLOOKUP(Tabela1[[#This Row],[Origem]], 'Perguntas 1 a 24'!$J$28:$K$34, 2, 0)</f>
        <v>Centro-Oeste</v>
      </c>
      <c r="E1235" s="87" t="str">
        <f>Tabela1[[#This Row],[Descrição]]&amp;"-"&amp;Tabela1[[#This Row],[Código]]&amp;"/"&amp;Tabela1[[#This Row],[Origem]]</f>
        <v>Gopurerite-P894H967/GO</v>
      </c>
      <c r="F1235" s="88">
        <v>46193</v>
      </c>
      <c r="G1235" s="88" t="str" cm="1">
        <f t="array" ref="G12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AND(F1235&gt;= DATE(2026,1,1), F1235&lt;= DATE(2028, 12, 31), J1235&gt;50000), "Pendente e Caro", AND(F1235&gt;= DATE(2026,1,1), F1235&lt;= DATE(2028, 12, 31), J1235&lt;=50000), "Pendente", F1235&gt;= DATE(2029,1,1), "Não prioeitário")</f>
        <v>Pendente e Caro</v>
      </c>
      <c r="H1235" s="89">
        <f>YEAR(Tabela1[[#This Row],[Data de Validade]])</f>
        <v>2026</v>
      </c>
      <c r="I1235" s="89">
        <f>MONTH(Tabela1[[#This Row],[Data de Validade]])</f>
        <v>6</v>
      </c>
      <c r="J1235" s="101">
        <v>75808</v>
      </c>
      <c r="K1235" s="87" t="s">
        <v>9</v>
      </c>
      <c r="L1235" s="108"/>
      <c r="M1235" s="108"/>
      <c r="N1235" s="108" t="str">
        <v>P894H967</v>
      </c>
      <c r="O1235" s="108">
        <f t="shared" si="21"/>
        <v>1</v>
      </c>
      <c r="P1235" s="108"/>
      <c r="Q1235"/>
    </row>
    <row r="1236" spans="1:17" x14ac:dyDescent="0.25">
      <c r="A1236" s="89" t="s">
        <v>3922</v>
      </c>
      <c r="B1236" s="87" t="s">
        <v>3923</v>
      </c>
      <c r="C1236" s="87" t="s">
        <v>12</v>
      </c>
      <c r="D1236" s="87" t="str">
        <f>VLOOKUP(Tabela1[[#This Row],[Origem]], 'Perguntas 1 a 24'!$J$28:$K$34, 2, 0)</f>
        <v>Sudeste</v>
      </c>
      <c r="E1236" s="87" t="str">
        <f>Tabela1[[#This Row],[Descrição]]&amp;"-"&amp;Tabela1[[#This Row],[Código]]&amp;"/"&amp;Tabela1[[#This Row],[Origem]]</f>
        <v>Pigera-P458P123/RJ</v>
      </c>
      <c r="F1236" s="88">
        <v>46193</v>
      </c>
      <c r="G1236" s="88" t="str" cm="1">
        <f t="array" ref="G12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AND(F1236&gt;= DATE(2026,1,1), F1236&lt;= DATE(2028, 12, 31), J1236&gt;50000), "Pendente e Caro", AND(F1236&gt;= DATE(2026,1,1), F1236&lt;= DATE(2028, 12, 31), J1236&lt;=50000), "Pendente", F1236&gt;= DATE(2029,1,1), "Não prioeitário")</f>
        <v>Pendente e Caro</v>
      </c>
      <c r="H1236" s="89">
        <f>YEAR(Tabela1[[#This Row],[Data de Validade]])</f>
        <v>2026</v>
      </c>
      <c r="I1236" s="89">
        <f>MONTH(Tabela1[[#This Row],[Data de Validade]])</f>
        <v>6</v>
      </c>
      <c r="J1236" s="101">
        <v>60366</v>
      </c>
      <c r="K1236" s="87" t="s">
        <v>14</v>
      </c>
      <c r="L1236" s="108"/>
      <c r="M1236" s="108"/>
      <c r="N1236" s="108" t="str">
        <v>P458P123</v>
      </c>
      <c r="O1236" s="108">
        <f t="shared" si="21"/>
        <v>1</v>
      </c>
      <c r="P1236" s="108"/>
      <c r="Q1236"/>
    </row>
    <row r="1237" spans="1:17" x14ac:dyDescent="0.25">
      <c r="A1237" s="89" t="s">
        <v>5300</v>
      </c>
      <c r="B1237" s="87" t="s">
        <v>5301</v>
      </c>
      <c r="C1237" s="87" t="s">
        <v>16</v>
      </c>
      <c r="D1237" s="87" t="str">
        <f>VLOOKUP(Tabela1[[#This Row],[Origem]], 'Perguntas 1 a 24'!$J$28:$K$34, 2, 0)</f>
        <v>Sudeste</v>
      </c>
      <c r="E1237" s="87" t="str">
        <f>Tabela1[[#This Row],[Descrição]]&amp;"-"&amp;Tabela1[[#This Row],[Código]]&amp;"/"&amp;Tabela1[[#This Row],[Origem]]</f>
        <v>Vedupunaru-H888H535/MG</v>
      </c>
      <c r="F1237" s="88">
        <v>46194</v>
      </c>
      <c r="G1237" s="88" t="str" cm="1">
        <f t="array" ref="G12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AND(F1237&gt;= DATE(2026,1,1), F1237&lt;= DATE(2028, 12, 31), J1237&gt;50000), "Pendente e Caro", AND(F1237&gt;= DATE(2026,1,1), F1237&lt;= DATE(2028, 12, 31), J1237&lt;=50000), "Pendente", F1237&gt;= DATE(2029,1,1), "Não prioeitário")</f>
        <v>Pendente e Caro</v>
      </c>
      <c r="H1237" s="89">
        <f>YEAR(Tabela1[[#This Row],[Data de Validade]])</f>
        <v>2026</v>
      </c>
      <c r="I1237" s="89">
        <f>MONTH(Tabela1[[#This Row],[Data de Validade]])</f>
        <v>6</v>
      </c>
      <c r="J1237" s="101">
        <v>85588</v>
      </c>
      <c r="K1237" s="87" t="s">
        <v>9</v>
      </c>
      <c r="L1237" s="108"/>
      <c r="M1237" s="108"/>
      <c r="N1237" s="108" t="str">
        <v>H888H535</v>
      </c>
      <c r="O1237" s="108">
        <f t="shared" si="21"/>
        <v>1</v>
      </c>
      <c r="P1237" s="108"/>
      <c r="Q1237"/>
    </row>
    <row r="1238" spans="1:17" x14ac:dyDescent="0.25">
      <c r="A1238" s="89" t="s">
        <v>10129</v>
      </c>
      <c r="B1238" s="87" t="s">
        <v>10130</v>
      </c>
      <c r="C1238" s="87" t="s">
        <v>15</v>
      </c>
      <c r="D1238" s="87" t="str">
        <f>VLOOKUP(Tabela1[[#This Row],[Origem]], 'Perguntas 1 a 24'!$J$28:$K$34, 2, 0)</f>
        <v>Sudeste</v>
      </c>
      <c r="E1238" s="87" t="str">
        <f>Tabela1[[#This Row],[Descrição]]&amp;"-"&amp;Tabela1[[#This Row],[Código]]&amp;"/"&amp;Tabela1[[#This Row],[Origem]]</f>
        <v>Leroci-H143P293/ES</v>
      </c>
      <c r="F1238" s="88">
        <v>46195</v>
      </c>
      <c r="G1238" s="88" t="str" cm="1">
        <f t="array" ref="G12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AND(F1238&gt;= DATE(2026,1,1), F1238&lt;= DATE(2028, 12, 31), J1238&gt;50000), "Pendente e Caro", AND(F1238&gt;= DATE(2026,1,1), F1238&lt;= DATE(2028, 12, 31), J1238&lt;=50000), "Pendente", F1238&gt;= DATE(2029,1,1), "Não prioeitário")</f>
        <v>Pendente e Caro</v>
      </c>
      <c r="H1238" s="89">
        <f>YEAR(Tabela1[[#This Row],[Data de Validade]])</f>
        <v>2026</v>
      </c>
      <c r="I1238" s="89">
        <f>MONTH(Tabela1[[#This Row],[Data de Validade]])</f>
        <v>6</v>
      </c>
      <c r="J1238" s="101">
        <v>107618</v>
      </c>
      <c r="K1238" s="87" t="s">
        <v>7</v>
      </c>
      <c r="L1238" s="108"/>
      <c r="M1238" s="108"/>
      <c r="N1238" s="108" t="str">
        <v>H143P293</v>
      </c>
      <c r="O1238" s="108">
        <f t="shared" si="21"/>
        <v>1</v>
      </c>
      <c r="P1238" s="108"/>
      <c r="Q1238"/>
    </row>
    <row r="1239" spans="1:17" x14ac:dyDescent="0.25">
      <c r="A1239" s="89" t="s">
        <v>5364</v>
      </c>
      <c r="B1239" s="87" t="s">
        <v>5365</v>
      </c>
      <c r="C1239" s="87" t="s">
        <v>12</v>
      </c>
      <c r="D1239" s="87" t="str">
        <f>VLOOKUP(Tabela1[[#This Row],[Origem]], 'Perguntas 1 a 24'!$J$28:$K$34, 2, 0)</f>
        <v>Sudeste</v>
      </c>
      <c r="E1239" s="87" t="str">
        <f>Tabela1[[#This Row],[Descrição]]&amp;"-"&amp;Tabela1[[#This Row],[Código]]&amp;"/"&amp;Tabela1[[#This Row],[Origem]]</f>
        <v>Cenirago-H863P553/RJ</v>
      </c>
      <c r="F1239" s="88">
        <v>46195</v>
      </c>
      <c r="G1239" s="88" t="str" cm="1">
        <f t="array" ref="G12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AND(F1239&gt;= DATE(2026,1,1), F1239&lt;= DATE(2028, 12, 31), J1239&gt;50000), "Pendente e Caro", AND(F1239&gt;= DATE(2026,1,1), F1239&lt;= DATE(2028, 12, 31), J1239&lt;=50000), "Pendente", F1239&gt;= DATE(2029,1,1), "Não prioeitário")</f>
        <v>Pendente</v>
      </c>
      <c r="H1239" s="89">
        <f>YEAR(Tabela1[[#This Row],[Data de Validade]])</f>
        <v>2026</v>
      </c>
      <c r="I1239" s="89">
        <f>MONTH(Tabela1[[#This Row],[Data de Validade]])</f>
        <v>6</v>
      </c>
      <c r="J1239" s="101">
        <v>33378</v>
      </c>
      <c r="K1239" s="87" t="s">
        <v>9</v>
      </c>
      <c r="L1239" s="108"/>
      <c r="M1239" s="108"/>
      <c r="N1239" s="108" t="str">
        <v>H863P553</v>
      </c>
      <c r="O1239" s="108">
        <f t="shared" si="21"/>
        <v>1</v>
      </c>
      <c r="P1239" s="108"/>
      <c r="Q1239"/>
    </row>
    <row r="1240" spans="1:17" x14ac:dyDescent="0.25">
      <c r="A1240" s="89" t="s">
        <v>6954</v>
      </c>
      <c r="B1240" s="87" t="s">
        <v>6955</v>
      </c>
      <c r="C1240" s="87" t="s">
        <v>13</v>
      </c>
      <c r="D1240" s="87" t="str">
        <f>VLOOKUP(Tabela1[[#This Row],[Origem]], 'Perguntas 1 a 24'!$J$28:$K$34, 2, 0)</f>
        <v>Sudeste</v>
      </c>
      <c r="E1240" s="87" t="str">
        <f>Tabela1[[#This Row],[Descrição]]&amp;"-"&amp;Tabela1[[#This Row],[Código]]&amp;"/"&amp;Tabela1[[#This Row],[Origem]]</f>
        <v>Gigegadi-H637H586/SP</v>
      </c>
      <c r="F1240" s="88">
        <v>46197</v>
      </c>
      <c r="G1240" s="88" t="str" cm="1">
        <f t="array" ref="G12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AND(F1240&gt;= DATE(2026,1,1), F1240&lt;= DATE(2028, 12, 31), J1240&gt;50000), "Pendente e Caro", AND(F1240&gt;= DATE(2026,1,1), F1240&lt;= DATE(2028, 12, 31), J1240&lt;=50000), "Pendente", F1240&gt;= DATE(2029,1,1), "Não prioeitário")</f>
        <v>Pendente</v>
      </c>
      <c r="H1240" s="89">
        <f>YEAR(Tabela1[[#This Row],[Data de Validade]])</f>
        <v>2026</v>
      </c>
      <c r="I1240" s="89">
        <f>MONTH(Tabela1[[#This Row],[Data de Validade]])</f>
        <v>6</v>
      </c>
      <c r="J1240" s="101">
        <v>38333</v>
      </c>
      <c r="K1240" s="87" t="s">
        <v>7</v>
      </c>
      <c r="L1240" s="108"/>
      <c r="M1240" s="108"/>
      <c r="N1240" s="108" t="str">
        <v>H637H586</v>
      </c>
      <c r="O1240" s="108">
        <f t="shared" si="21"/>
        <v>1</v>
      </c>
      <c r="P1240" s="108"/>
      <c r="Q1240"/>
    </row>
    <row r="1241" spans="1:17" x14ac:dyDescent="0.25">
      <c r="A1241" s="89" t="s">
        <v>10383</v>
      </c>
      <c r="B1241" s="87" t="s">
        <v>10384</v>
      </c>
      <c r="C1241" s="87" t="s">
        <v>16</v>
      </c>
      <c r="D1241" s="87" t="str">
        <f>VLOOKUP(Tabela1[[#This Row],[Origem]], 'Perguntas 1 a 24'!$J$28:$K$34, 2, 0)</f>
        <v>Sudeste</v>
      </c>
      <c r="E1241" s="87" t="str">
        <f>Tabela1[[#This Row],[Descrição]]&amp;"-"&amp;Tabela1[[#This Row],[Código]]&amp;"/"&amp;Tabela1[[#This Row],[Origem]]</f>
        <v>Rudapira-H932P876/MG</v>
      </c>
      <c r="F1241" s="88">
        <v>46197</v>
      </c>
      <c r="G1241" s="88" t="str" cm="1">
        <f t="array" ref="G12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AND(F1241&gt;= DATE(2026,1,1), F1241&lt;= DATE(2028, 12, 31), J1241&gt;50000), "Pendente e Caro", AND(F1241&gt;= DATE(2026,1,1), F1241&lt;= DATE(2028, 12, 31), J1241&lt;=50000), "Pendente", F1241&gt;= DATE(2029,1,1), "Não prioeitário")</f>
        <v>Pendente</v>
      </c>
      <c r="H1241" s="89">
        <f>YEAR(Tabela1[[#This Row],[Data de Validade]])</f>
        <v>2026</v>
      </c>
      <c r="I1241" s="89">
        <f>MONTH(Tabela1[[#This Row],[Data de Validade]])</f>
        <v>6</v>
      </c>
      <c r="J1241" s="101">
        <v>36792</v>
      </c>
      <c r="K1241" s="87" t="s">
        <v>7</v>
      </c>
      <c r="L1241" s="108"/>
      <c r="M1241" s="108"/>
      <c r="N1241" s="108" t="str">
        <v>H932P876</v>
      </c>
      <c r="O1241" s="108">
        <f t="shared" si="21"/>
        <v>1</v>
      </c>
      <c r="P1241" s="108"/>
      <c r="Q1241"/>
    </row>
    <row r="1242" spans="1:17" x14ac:dyDescent="0.25">
      <c r="A1242" s="89" t="s">
        <v>10035</v>
      </c>
      <c r="B1242" s="87" t="s">
        <v>10036</v>
      </c>
      <c r="C1242" s="87" t="s">
        <v>8</v>
      </c>
      <c r="D1242" s="87" t="str">
        <f>VLOOKUP(Tabela1[[#This Row],[Origem]], 'Perguntas 1 a 24'!$J$28:$K$34, 2, 0)</f>
        <v>Nordeste</v>
      </c>
      <c r="E1242" s="87" t="str">
        <f>Tabela1[[#This Row],[Descrição]]&amp;"-"&amp;Tabela1[[#This Row],[Código]]&amp;"/"&amp;Tabela1[[#This Row],[Origem]]</f>
        <v>Cufurufeto-H318P345/AL</v>
      </c>
      <c r="F1242" s="88">
        <v>46197</v>
      </c>
      <c r="G1242" s="88" t="str" cm="1">
        <f t="array" ref="G12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AND(F1242&gt;= DATE(2026,1,1), F1242&lt;= DATE(2028, 12, 31), J1242&gt;50000), "Pendente e Caro", AND(F1242&gt;= DATE(2026,1,1), F1242&lt;= DATE(2028, 12, 31), J1242&lt;=50000), "Pendente", F1242&gt;= DATE(2029,1,1), "Não prioeitário")</f>
        <v>Pendente</v>
      </c>
      <c r="H1242" s="89">
        <f>YEAR(Tabela1[[#This Row],[Data de Validade]])</f>
        <v>2026</v>
      </c>
      <c r="I1242" s="89">
        <f>MONTH(Tabela1[[#This Row],[Data de Validade]])</f>
        <v>6</v>
      </c>
      <c r="J1242" s="101">
        <v>26586</v>
      </c>
      <c r="K1242" s="87" t="s">
        <v>9</v>
      </c>
      <c r="L1242" s="108"/>
      <c r="M1242" s="108"/>
      <c r="N1242" s="108" t="str">
        <v>H318P345</v>
      </c>
      <c r="O1242" s="108">
        <f t="shared" si="21"/>
        <v>1</v>
      </c>
      <c r="P1242" s="108"/>
      <c r="Q1242"/>
    </row>
    <row r="1243" spans="1:17" x14ac:dyDescent="0.25">
      <c r="A1243" s="89" t="s">
        <v>11258</v>
      </c>
      <c r="B1243" s="87" t="s">
        <v>11259</v>
      </c>
      <c r="C1243" s="87" t="s">
        <v>6</v>
      </c>
      <c r="D1243" s="87" t="str">
        <f>VLOOKUP(Tabela1[[#This Row],[Origem]], 'Perguntas 1 a 24'!$J$28:$K$34, 2, 0)</f>
        <v>Nordeste</v>
      </c>
      <c r="E1243" s="87" t="str">
        <f>Tabela1[[#This Row],[Descrição]]&amp;"-"&amp;Tabela1[[#This Row],[Código]]&amp;"/"&amp;Tabela1[[#This Row],[Origem]]</f>
        <v>Nodopela-H842H685/MA</v>
      </c>
      <c r="F1243" s="88">
        <v>46198</v>
      </c>
      <c r="G1243" s="88" t="str" cm="1">
        <f t="array" ref="G12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AND(F1243&gt;= DATE(2026,1,1), F1243&lt;= DATE(2028, 12, 31), J1243&gt;50000), "Pendente e Caro", AND(F1243&gt;= DATE(2026,1,1), F1243&lt;= DATE(2028, 12, 31), J1243&lt;=50000), "Pendente", F1243&gt;= DATE(2029,1,1), "Não prioeitário")</f>
        <v>Pendente e Caro</v>
      </c>
      <c r="H1243" s="89">
        <f>YEAR(Tabela1[[#This Row],[Data de Validade]])</f>
        <v>2026</v>
      </c>
      <c r="I1243" s="89">
        <f>MONTH(Tabela1[[#This Row],[Data de Validade]])</f>
        <v>6</v>
      </c>
      <c r="J1243" s="101">
        <v>83965</v>
      </c>
      <c r="K1243" s="87" t="s">
        <v>9</v>
      </c>
      <c r="L1243" s="108"/>
      <c r="M1243" s="108"/>
      <c r="N1243" s="108" t="str">
        <v>H842H685</v>
      </c>
      <c r="O1243" s="108">
        <f t="shared" si="21"/>
        <v>1</v>
      </c>
      <c r="P1243" s="108"/>
      <c r="Q1243"/>
    </row>
    <row r="1244" spans="1:17" x14ac:dyDescent="0.25">
      <c r="A1244" s="89" t="s">
        <v>7034</v>
      </c>
      <c r="B1244" s="87" t="s">
        <v>7035</v>
      </c>
      <c r="C1244" s="87" t="s">
        <v>15</v>
      </c>
      <c r="D1244" s="87" t="str">
        <f>VLOOKUP(Tabela1[[#This Row],[Origem]], 'Perguntas 1 a 24'!$J$28:$K$34, 2, 0)</f>
        <v>Sudeste</v>
      </c>
      <c r="E1244" s="87" t="str">
        <f>Tabela1[[#This Row],[Descrição]]&amp;"-"&amp;Tabela1[[#This Row],[Código]]&amp;"/"&amp;Tabela1[[#This Row],[Origem]]</f>
        <v>Dupirucire-H323P195/ES</v>
      </c>
      <c r="F1244" s="88">
        <v>46198</v>
      </c>
      <c r="G1244" s="88" t="str" cm="1">
        <f t="array" ref="G12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AND(F1244&gt;= DATE(2026,1,1), F1244&lt;= DATE(2028, 12, 31), J1244&gt;50000), "Pendente e Caro", AND(F1244&gt;= DATE(2026,1,1), F1244&lt;= DATE(2028, 12, 31), J1244&lt;=50000), "Pendente", F1244&gt;= DATE(2029,1,1), "Não prioeitário")</f>
        <v>Pendente e Caro</v>
      </c>
      <c r="H1244" s="89">
        <f>YEAR(Tabela1[[#This Row],[Data de Validade]])</f>
        <v>2026</v>
      </c>
      <c r="I1244" s="89">
        <f>MONTH(Tabela1[[#This Row],[Data de Validade]])</f>
        <v>6</v>
      </c>
      <c r="J1244" s="101">
        <v>59610</v>
      </c>
      <c r="K1244" s="87" t="s">
        <v>11</v>
      </c>
      <c r="L1244" s="108"/>
      <c r="M1244" s="108"/>
      <c r="N1244" s="108" t="str">
        <v>H323P195</v>
      </c>
      <c r="O1244" s="108">
        <f t="shared" si="21"/>
        <v>1</v>
      </c>
      <c r="P1244" s="108"/>
      <c r="Q1244"/>
    </row>
    <row r="1245" spans="1:17" x14ac:dyDescent="0.25">
      <c r="A1245" s="89" t="s">
        <v>9157</v>
      </c>
      <c r="B1245" s="87" t="s">
        <v>9158</v>
      </c>
      <c r="C1245" s="87" t="s">
        <v>8</v>
      </c>
      <c r="D1245" s="87" t="str">
        <f>VLOOKUP(Tabela1[[#This Row],[Origem]], 'Perguntas 1 a 24'!$J$28:$K$34, 2, 0)</f>
        <v>Nordeste</v>
      </c>
      <c r="E1245" s="87" t="str">
        <f>Tabela1[[#This Row],[Descrição]]&amp;"-"&amp;Tabela1[[#This Row],[Código]]&amp;"/"&amp;Tabela1[[#This Row],[Origem]]</f>
        <v>Rerero-P511P551/AL</v>
      </c>
      <c r="F1245" s="88">
        <v>46198</v>
      </c>
      <c r="G1245" s="88" t="str" cm="1">
        <f t="array" ref="G12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AND(F1245&gt;= DATE(2026,1,1), F1245&lt;= DATE(2028, 12, 31), J1245&gt;50000), "Pendente e Caro", AND(F1245&gt;= DATE(2026,1,1), F1245&lt;= DATE(2028, 12, 31), J1245&lt;=50000), "Pendente", F1245&gt;= DATE(2029,1,1), "Não prioeitário")</f>
        <v>Pendente</v>
      </c>
      <c r="H1245" s="89">
        <f>YEAR(Tabela1[[#This Row],[Data de Validade]])</f>
        <v>2026</v>
      </c>
      <c r="I1245" s="89">
        <f>MONTH(Tabela1[[#This Row],[Data de Validade]])</f>
        <v>6</v>
      </c>
      <c r="J1245" s="101">
        <v>38122</v>
      </c>
      <c r="K1245" s="87" t="s">
        <v>11</v>
      </c>
      <c r="L1245" s="108"/>
      <c r="M1245" s="108"/>
      <c r="N1245" s="108" t="str">
        <v>P511P551</v>
      </c>
      <c r="O1245" s="108">
        <f t="shared" si="21"/>
        <v>1</v>
      </c>
      <c r="P1245" s="108"/>
      <c r="Q1245"/>
    </row>
    <row r="1246" spans="1:17" x14ac:dyDescent="0.25">
      <c r="A1246" s="89" t="s">
        <v>4704</v>
      </c>
      <c r="B1246" s="87" t="s">
        <v>4705</v>
      </c>
      <c r="C1246" s="87" t="s">
        <v>10</v>
      </c>
      <c r="D1246" s="87" t="str">
        <f>VLOOKUP(Tabela1[[#This Row],[Origem]], 'Perguntas 1 a 24'!$J$28:$K$34, 2, 0)</f>
        <v>Centro-Oeste</v>
      </c>
      <c r="E1246" s="87" t="str">
        <f>Tabela1[[#This Row],[Descrição]]&amp;"-"&amp;Tabela1[[#This Row],[Código]]&amp;"/"&amp;Tabela1[[#This Row],[Origem]]</f>
        <v>Nacota-P254H868/GO</v>
      </c>
      <c r="F1246" s="88">
        <v>46198</v>
      </c>
      <c r="G1246" s="88" t="str" cm="1">
        <f t="array" ref="G12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AND(F1246&gt;= DATE(2026,1,1), F1246&lt;= DATE(2028, 12, 31), J1246&gt;50000), "Pendente e Caro", AND(F1246&gt;= DATE(2026,1,1), F1246&lt;= DATE(2028, 12, 31), J1246&lt;=50000), "Pendente", F1246&gt;= DATE(2029,1,1), "Não prioeitário")</f>
        <v>Pendente</v>
      </c>
      <c r="H1246" s="89">
        <f>YEAR(Tabela1[[#This Row],[Data de Validade]])</f>
        <v>2026</v>
      </c>
      <c r="I1246" s="89">
        <f>MONTH(Tabela1[[#This Row],[Data de Validade]])</f>
        <v>6</v>
      </c>
      <c r="J1246" s="101">
        <v>27150</v>
      </c>
      <c r="K1246" s="87" t="s">
        <v>7</v>
      </c>
      <c r="L1246" s="108"/>
      <c r="M1246" s="108"/>
      <c r="N1246" s="108" t="str">
        <v>P254H868</v>
      </c>
      <c r="O1246" s="108">
        <f t="shared" si="21"/>
        <v>1</v>
      </c>
      <c r="P1246" s="108"/>
      <c r="Q1246"/>
    </row>
    <row r="1247" spans="1:17" x14ac:dyDescent="0.25">
      <c r="A1247" s="89" t="s">
        <v>10527</v>
      </c>
      <c r="B1247" s="87" t="s">
        <v>10528</v>
      </c>
      <c r="C1247" s="87" t="s">
        <v>12</v>
      </c>
      <c r="D1247" s="87" t="str">
        <f>VLOOKUP(Tabela1[[#This Row],[Origem]], 'Perguntas 1 a 24'!$J$28:$K$34, 2, 0)</f>
        <v>Sudeste</v>
      </c>
      <c r="E1247" s="87" t="str">
        <f>Tabela1[[#This Row],[Descrição]]&amp;"-"&amp;Tabela1[[#This Row],[Código]]&amp;"/"&amp;Tabela1[[#This Row],[Origem]]</f>
        <v>Mevaficuce-H359P456/RJ</v>
      </c>
      <c r="F1247" s="88">
        <v>46199</v>
      </c>
      <c r="G1247" s="88" t="str" cm="1">
        <f t="array" ref="G12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AND(F1247&gt;= DATE(2026,1,1), F1247&lt;= DATE(2028, 12, 31), J1247&gt;50000), "Pendente e Caro", AND(F1247&gt;= DATE(2026,1,1), F1247&lt;= DATE(2028, 12, 31), J1247&lt;=50000), "Pendente", F1247&gt;= DATE(2029,1,1), "Não prioeitário")</f>
        <v>Pendente e Caro</v>
      </c>
      <c r="H1247" s="89">
        <f>YEAR(Tabela1[[#This Row],[Data de Validade]])</f>
        <v>2026</v>
      </c>
      <c r="I1247" s="89">
        <f>MONTH(Tabela1[[#This Row],[Data de Validade]])</f>
        <v>6</v>
      </c>
      <c r="J1247" s="101">
        <v>112109</v>
      </c>
      <c r="K1247" s="87" t="s">
        <v>7</v>
      </c>
      <c r="L1247" s="108"/>
      <c r="M1247" s="108"/>
      <c r="N1247" s="108" t="str">
        <v>H359P456</v>
      </c>
      <c r="O1247" s="108">
        <f t="shared" si="21"/>
        <v>1</v>
      </c>
      <c r="P1247" s="108"/>
      <c r="Q1247"/>
    </row>
    <row r="1248" spans="1:17" x14ac:dyDescent="0.25">
      <c r="A1248" s="89" t="s">
        <v>6414</v>
      </c>
      <c r="B1248" s="87" t="s">
        <v>6415</v>
      </c>
      <c r="C1248" s="87" t="s">
        <v>10</v>
      </c>
      <c r="D1248" s="87" t="str">
        <f>VLOOKUP(Tabela1[[#This Row],[Origem]], 'Perguntas 1 a 24'!$J$28:$K$34, 2, 0)</f>
        <v>Centro-Oeste</v>
      </c>
      <c r="E1248" s="87" t="str">
        <f>Tabela1[[#This Row],[Descrição]]&amp;"-"&amp;Tabela1[[#This Row],[Código]]&amp;"/"&amp;Tabela1[[#This Row],[Origem]]</f>
        <v>Lagitura-H622H189/GO</v>
      </c>
      <c r="F1248" s="88">
        <v>46200</v>
      </c>
      <c r="G1248" s="88" t="str" cm="1">
        <f t="array" ref="G12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AND(F1248&gt;= DATE(2026,1,1), F1248&lt;= DATE(2028, 12, 31), J1248&gt;50000), "Pendente e Caro", AND(F1248&gt;= DATE(2026,1,1), F1248&lt;= DATE(2028, 12, 31), J1248&lt;=50000), "Pendente", F1248&gt;= DATE(2029,1,1), "Não prioeitário")</f>
        <v>Pendente e Caro</v>
      </c>
      <c r="H1248" s="89">
        <f>YEAR(Tabela1[[#This Row],[Data de Validade]])</f>
        <v>2026</v>
      </c>
      <c r="I1248" s="89">
        <f>MONTH(Tabela1[[#This Row],[Data de Validade]])</f>
        <v>6</v>
      </c>
      <c r="J1248" s="101">
        <v>93764</v>
      </c>
      <c r="K1248" s="87" t="s">
        <v>11</v>
      </c>
      <c r="L1248" s="108"/>
      <c r="M1248" s="108"/>
      <c r="N1248" s="108" t="str">
        <v>H622H189</v>
      </c>
      <c r="O1248" s="108">
        <f t="shared" si="21"/>
        <v>1</v>
      </c>
      <c r="P1248" s="108"/>
      <c r="Q1248"/>
    </row>
    <row r="1249" spans="1:17" x14ac:dyDescent="0.25">
      <c r="A1249" s="89" t="s">
        <v>8120</v>
      </c>
      <c r="B1249" s="87" t="s">
        <v>8121</v>
      </c>
      <c r="C1249" s="87" t="s">
        <v>10</v>
      </c>
      <c r="D1249" s="87" t="str">
        <f>VLOOKUP(Tabela1[[#This Row],[Origem]], 'Perguntas 1 a 24'!$J$28:$K$34, 2, 0)</f>
        <v>Centro-Oeste</v>
      </c>
      <c r="E1249" s="87" t="str">
        <f>Tabela1[[#This Row],[Descrição]]&amp;"-"&amp;Tabela1[[#This Row],[Código]]&amp;"/"&amp;Tabela1[[#This Row],[Origem]]</f>
        <v>Pediduruva-H221H523/GO</v>
      </c>
      <c r="F1249" s="88">
        <v>46200</v>
      </c>
      <c r="G1249" s="88" t="str" cm="1">
        <f t="array" ref="G12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AND(F1249&gt;= DATE(2026,1,1), F1249&lt;= DATE(2028, 12, 31), J1249&gt;50000), "Pendente e Caro", AND(F1249&gt;= DATE(2026,1,1), F1249&lt;= DATE(2028, 12, 31), J1249&lt;=50000), "Pendente", F1249&gt;= DATE(2029,1,1), "Não prioeitário")</f>
        <v>Pendente</v>
      </c>
      <c r="H1249" s="89">
        <f>YEAR(Tabela1[[#This Row],[Data de Validade]])</f>
        <v>2026</v>
      </c>
      <c r="I1249" s="89">
        <f>MONTH(Tabela1[[#This Row],[Data de Validade]])</f>
        <v>6</v>
      </c>
      <c r="J1249" s="101">
        <v>43888</v>
      </c>
      <c r="K1249" s="87" t="s">
        <v>11</v>
      </c>
      <c r="L1249" s="108"/>
      <c r="M1249" s="108"/>
      <c r="N1249" s="108" t="str">
        <v>H221H523</v>
      </c>
      <c r="O1249" s="108">
        <f t="shared" si="21"/>
        <v>1</v>
      </c>
      <c r="P1249" s="108"/>
      <c r="Q1249"/>
    </row>
    <row r="1250" spans="1:17" x14ac:dyDescent="0.25">
      <c r="A1250" s="89" t="s">
        <v>7800</v>
      </c>
      <c r="B1250" s="87" t="s">
        <v>7801</v>
      </c>
      <c r="C1250" s="87" t="s">
        <v>15</v>
      </c>
      <c r="D1250" s="87" t="str">
        <f>VLOOKUP(Tabela1[[#This Row],[Origem]], 'Perguntas 1 a 24'!$J$28:$K$34, 2, 0)</f>
        <v>Sudeste</v>
      </c>
      <c r="E1250" s="87" t="str">
        <f>Tabela1[[#This Row],[Descrição]]&amp;"-"&amp;Tabela1[[#This Row],[Código]]&amp;"/"&amp;Tabela1[[#This Row],[Origem]]</f>
        <v>Falatanaro-P245H349/ES</v>
      </c>
      <c r="F1250" s="88">
        <v>46201</v>
      </c>
      <c r="G1250" s="88" t="str" cm="1">
        <f t="array" ref="G12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AND(F1250&gt;= DATE(2026,1,1), F1250&lt;= DATE(2028, 12, 31), J1250&gt;50000), "Pendente e Caro", AND(F1250&gt;= DATE(2026,1,1), F1250&lt;= DATE(2028, 12, 31), J1250&lt;=50000), "Pendente", F1250&gt;= DATE(2029,1,1), "Não prioeitário")</f>
        <v>Pendente e Caro</v>
      </c>
      <c r="H1250" s="89">
        <f>YEAR(Tabela1[[#This Row],[Data de Validade]])</f>
        <v>2026</v>
      </c>
      <c r="I1250" s="89">
        <f>MONTH(Tabela1[[#This Row],[Data de Validade]])</f>
        <v>6</v>
      </c>
      <c r="J1250" s="101">
        <v>58647</v>
      </c>
      <c r="K1250" s="87" t="s">
        <v>11</v>
      </c>
      <c r="L1250" s="108"/>
      <c r="M1250" s="108"/>
      <c r="N1250" s="108" t="str">
        <v>P245H349</v>
      </c>
      <c r="O1250" s="108">
        <f t="shared" si="21"/>
        <v>1</v>
      </c>
      <c r="P1250" s="108"/>
      <c r="Q1250"/>
    </row>
    <row r="1251" spans="1:17" x14ac:dyDescent="0.25">
      <c r="A1251" s="89" t="s">
        <v>8152</v>
      </c>
      <c r="B1251" s="87" t="s">
        <v>8153</v>
      </c>
      <c r="C1251" s="87" t="s">
        <v>13</v>
      </c>
      <c r="D1251" s="87" t="str">
        <f>VLOOKUP(Tabela1[[#This Row],[Origem]], 'Perguntas 1 a 24'!$J$28:$K$34, 2, 0)</f>
        <v>Sudeste</v>
      </c>
      <c r="E1251" s="87" t="str">
        <f>Tabela1[[#This Row],[Descrição]]&amp;"-"&amp;Tabela1[[#This Row],[Código]]&amp;"/"&amp;Tabela1[[#This Row],[Origem]]</f>
        <v>Dutafupafu-P151P424/SP</v>
      </c>
      <c r="F1251" s="88">
        <v>46202</v>
      </c>
      <c r="G1251" s="88" t="str" cm="1">
        <f t="array" ref="G12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AND(F1251&gt;= DATE(2026,1,1), F1251&lt;= DATE(2028, 12, 31), J1251&gt;50000), "Pendente e Caro", AND(F1251&gt;= DATE(2026,1,1), F1251&lt;= DATE(2028, 12, 31), J1251&lt;=50000), "Pendente", F1251&gt;= DATE(2029,1,1), "Não prioeitário")</f>
        <v>Pendente e Caro</v>
      </c>
      <c r="H1251" s="89">
        <f>YEAR(Tabela1[[#This Row],[Data de Validade]])</f>
        <v>2026</v>
      </c>
      <c r="I1251" s="89">
        <f>MONTH(Tabela1[[#This Row],[Data de Validade]])</f>
        <v>6</v>
      </c>
      <c r="J1251" s="101">
        <v>67044</v>
      </c>
      <c r="K1251" s="87" t="s">
        <v>11</v>
      </c>
      <c r="L1251" s="108"/>
      <c r="M1251" s="108"/>
      <c r="N1251" s="108" t="str">
        <v>P151P424</v>
      </c>
      <c r="O1251" s="108">
        <f t="shared" si="21"/>
        <v>1</v>
      </c>
      <c r="P1251" s="108"/>
      <c r="Q1251"/>
    </row>
    <row r="1252" spans="1:17" x14ac:dyDescent="0.25">
      <c r="A1252" s="89" t="s">
        <v>7062</v>
      </c>
      <c r="B1252" s="87" t="s">
        <v>7063</v>
      </c>
      <c r="C1252" s="87" t="s">
        <v>13</v>
      </c>
      <c r="D1252" s="87" t="str">
        <f>VLOOKUP(Tabela1[[#This Row],[Origem]], 'Perguntas 1 a 24'!$J$28:$K$34, 2, 0)</f>
        <v>Sudeste</v>
      </c>
      <c r="E1252" s="87" t="str">
        <f>Tabela1[[#This Row],[Descrição]]&amp;"-"&amp;Tabela1[[#This Row],[Código]]&amp;"/"&amp;Tabela1[[#This Row],[Origem]]</f>
        <v>Ceritu-H126P995/SP</v>
      </c>
      <c r="F1252" s="88">
        <v>46202</v>
      </c>
      <c r="G1252" s="88" t="str" cm="1">
        <f t="array" ref="G12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AND(F1252&gt;= DATE(2026,1,1), F1252&lt;= DATE(2028, 12, 31), J1252&gt;50000), "Pendente e Caro", AND(F1252&gt;= DATE(2026,1,1), F1252&lt;= DATE(2028, 12, 31), J1252&lt;=50000), "Pendente", F1252&gt;= DATE(2029,1,1), "Não prioeitário")</f>
        <v>Pendente e Caro</v>
      </c>
      <c r="H1252" s="89">
        <f>YEAR(Tabela1[[#This Row],[Data de Validade]])</f>
        <v>2026</v>
      </c>
      <c r="I1252" s="89">
        <f>MONTH(Tabela1[[#This Row],[Data de Validade]])</f>
        <v>6</v>
      </c>
      <c r="J1252" s="101">
        <v>63753</v>
      </c>
      <c r="K1252" s="87" t="s">
        <v>9</v>
      </c>
      <c r="L1252" s="108"/>
      <c r="M1252" s="108"/>
      <c r="N1252" s="108" t="str">
        <v>H126P995</v>
      </c>
      <c r="O1252" s="108">
        <f t="shared" si="21"/>
        <v>1</v>
      </c>
      <c r="P1252" s="108"/>
      <c r="Q1252"/>
    </row>
    <row r="1253" spans="1:17" x14ac:dyDescent="0.25">
      <c r="A1253" s="89" t="s">
        <v>11192</v>
      </c>
      <c r="B1253" s="87" t="s">
        <v>11193</v>
      </c>
      <c r="C1253" s="87" t="s">
        <v>10</v>
      </c>
      <c r="D1253" s="87" t="str">
        <f>VLOOKUP(Tabela1[[#This Row],[Origem]], 'Perguntas 1 a 24'!$J$28:$K$34, 2, 0)</f>
        <v>Centro-Oeste</v>
      </c>
      <c r="E1253" s="87" t="str">
        <f>Tabela1[[#This Row],[Descrição]]&amp;"-"&amp;Tabela1[[#This Row],[Código]]&amp;"/"&amp;Tabela1[[#This Row],[Origem]]</f>
        <v>Dadepumolu-H336H358/GO</v>
      </c>
      <c r="F1253" s="88">
        <v>46202</v>
      </c>
      <c r="G1253" s="88" t="str" cm="1">
        <f t="array" ref="G12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AND(F1253&gt;= DATE(2026,1,1), F1253&lt;= DATE(2028, 12, 31), J1253&gt;50000), "Pendente e Caro", AND(F1253&gt;= DATE(2026,1,1), F1253&lt;= DATE(2028, 12, 31), J1253&lt;=50000), "Pendente", F1253&gt;= DATE(2029,1,1), "Não prioeitário")</f>
        <v>Pendente</v>
      </c>
      <c r="H1253" s="89">
        <f>YEAR(Tabela1[[#This Row],[Data de Validade]])</f>
        <v>2026</v>
      </c>
      <c r="I1253" s="89">
        <f>MONTH(Tabela1[[#This Row],[Data de Validade]])</f>
        <v>6</v>
      </c>
      <c r="J1253" s="101">
        <v>47399</v>
      </c>
      <c r="K1253" s="87" t="s">
        <v>11</v>
      </c>
      <c r="L1253" s="108"/>
      <c r="M1253" s="108"/>
      <c r="N1253" s="108" t="str">
        <v>H336H358</v>
      </c>
      <c r="O1253" s="108">
        <f t="shared" si="21"/>
        <v>1</v>
      </c>
      <c r="P1253" s="108"/>
      <c r="Q1253"/>
    </row>
    <row r="1254" spans="1:17" x14ac:dyDescent="0.25">
      <c r="A1254" s="89" t="s">
        <v>5424</v>
      </c>
      <c r="B1254" s="87" t="s">
        <v>5425</v>
      </c>
      <c r="C1254" s="87" t="s">
        <v>15</v>
      </c>
      <c r="D1254" s="87" t="str">
        <f>VLOOKUP(Tabela1[[#This Row],[Origem]], 'Perguntas 1 a 24'!$J$28:$K$34, 2, 0)</f>
        <v>Sudeste</v>
      </c>
      <c r="E1254" s="87" t="str">
        <f>Tabela1[[#This Row],[Descrição]]&amp;"-"&amp;Tabela1[[#This Row],[Código]]&amp;"/"&amp;Tabela1[[#This Row],[Origem]]</f>
        <v>Mafuro-P816H612/ES</v>
      </c>
      <c r="F1254" s="88">
        <v>46203</v>
      </c>
      <c r="G1254" s="88" t="str" cm="1">
        <f t="array" ref="G12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AND(F1254&gt;= DATE(2026,1,1), F1254&lt;= DATE(2028, 12, 31), J1254&gt;50000), "Pendente e Caro", AND(F1254&gt;= DATE(2026,1,1), F1254&lt;= DATE(2028, 12, 31), J1254&lt;=50000), "Pendente", F1254&gt;= DATE(2029,1,1), "Não prioeitário")</f>
        <v>Pendente e Caro</v>
      </c>
      <c r="H1254" s="89">
        <f>YEAR(Tabela1[[#This Row],[Data de Validade]])</f>
        <v>2026</v>
      </c>
      <c r="I1254" s="89">
        <f>MONTH(Tabela1[[#This Row],[Data de Validade]])</f>
        <v>6</v>
      </c>
      <c r="J1254" s="101">
        <v>93577</v>
      </c>
      <c r="K1254" s="87" t="s">
        <v>11</v>
      </c>
      <c r="L1254" s="108"/>
      <c r="M1254" s="108"/>
      <c r="N1254" s="108" t="str">
        <v>P816H612</v>
      </c>
      <c r="O1254" s="108">
        <f t="shared" si="21"/>
        <v>1</v>
      </c>
      <c r="P1254" s="108"/>
      <c r="Q1254"/>
    </row>
    <row r="1255" spans="1:17" x14ac:dyDescent="0.25">
      <c r="A1255" s="89" t="s">
        <v>8396</v>
      </c>
      <c r="B1255" s="87" t="s">
        <v>8397</v>
      </c>
      <c r="C1255" s="87" t="s">
        <v>10</v>
      </c>
      <c r="D1255" s="87" t="str">
        <f>VLOOKUP(Tabela1[[#This Row],[Origem]], 'Perguntas 1 a 24'!$J$28:$K$34, 2, 0)</f>
        <v>Centro-Oeste</v>
      </c>
      <c r="E1255" s="87" t="str">
        <f>Tabela1[[#This Row],[Descrição]]&amp;"-"&amp;Tabela1[[#This Row],[Código]]&amp;"/"&amp;Tabela1[[#This Row],[Origem]]</f>
        <v>Papura-H771P541/GO</v>
      </c>
      <c r="F1255" s="88">
        <v>46203</v>
      </c>
      <c r="G1255" s="88" t="str" cm="1">
        <f t="array" ref="G12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AND(F1255&gt;= DATE(2026,1,1), F1255&lt;= DATE(2028, 12, 31), J1255&gt;50000), "Pendente e Caro", AND(F1255&gt;= DATE(2026,1,1), F1255&lt;= DATE(2028, 12, 31), J1255&lt;=50000), "Pendente", F1255&gt;= DATE(2029,1,1), "Não prioeitário")</f>
        <v>Pendente e Caro</v>
      </c>
      <c r="H1255" s="89">
        <f>YEAR(Tabela1[[#This Row],[Data de Validade]])</f>
        <v>2026</v>
      </c>
      <c r="I1255" s="89">
        <f>MONTH(Tabela1[[#This Row],[Data de Validade]])</f>
        <v>6</v>
      </c>
      <c r="J1255" s="101">
        <v>73178</v>
      </c>
      <c r="K1255" s="87" t="s">
        <v>7</v>
      </c>
      <c r="L1255" s="108"/>
      <c r="M1255" s="108"/>
      <c r="N1255" s="108" t="str">
        <v>H771P541</v>
      </c>
      <c r="O1255" s="108">
        <f t="shared" si="21"/>
        <v>1</v>
      </c>
      <c r="P1255" s="108"/>
      <c r="Q1255"/>
    </row>
    <row r="1256" spans="1:17" x14ac:dyDescent="0.25">
      <c r="A1256" s="89" t="s">
        <v>6100</v>
      </c>
      <c r="B1256" s="87" t="s">
        <v>6101</v>
      </c>
      <c r="C1256" s="87" t="s">
        <v>8</v>
      </c>
      <c r="D1256" s="87" t="str">
        <f>VLOOKUP(Tabela1[[#This Row],[Origem]], 'Perguntas 1 a 24'!$J$28:$K$34, 2, 0)</f>
        <v>Nordeste</v>
      </c>
      <c r="E1256" s="87" t="str">
        <f>Tabela1[[#This Row],[Descrição]]&amp;"-"&amp;Tabela1[[#This Row],[Código]]&amp;"/"&amp;Tabela1[[#This Row],[Origem]]</f>
        <v>Piripiroco-P354H427/AL</v>
      </c>
      <c r="F1256" s="88">
        <v>46203</v>
      </c>
      <c r="G1256" s="88" t="str" cm="1">
        <f t="array" ref="G12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AND(F1256&gt;= DATE(2026,1,1), F1256&lt;= DATE(2028, 12, 31), J1256&gt;50000), "Pendente e Caro", AND(F1256&gt;= DATE(2026,1,1), F1256&lt;= DATE(2028, 12, 31), J1256&lt;=50000), "Pendente", F1256&gt;= DATE(2029,1,1), "Não prioeitário")</f>
        <v>Pendente</v>
      </c>
      <c r="H1256" s="89">
        <f>YEAR(Tabela1[[#This Row],[Data de Validade]])</f>
        <v>2026</v>
      </c>
      <c r="I1256" s="89">
        <f>MONTH(Tabela1[[#This Row],[Data de Validade]])</f>
        <v>6</v>
      </c>
      <c r="J1256" s="101">
        <v>38070</v>
      </c>
      <c r="K1256" s="87" t="s">
        <v>14</v>
      </c>
      <c r="L1256" s="108"/>
      <c r="M1256" s="108"/>
      <c r="N1256" s="108" t="str">
        <v>P354H427</v>
      </c>
      <c r="O1256" s="108">
        <f t="shared" si="21"/>
        <v>1</v>
      </c>
      <c r="P1256" s="108"/>
      <c r="Q1256"/>
    </row>
    <row r="1257" spans="1:17" x14ac:dyDescent="0.25">
      <c r="A1257" s="89" t="s">
        <v>6820</v>
      </c>
      <c r="B1257" s="87" t="s">
        <v>6821</v>
      </c>
      <c r="C1257" s="87" t="s">
        <v>16</v>
      </c>
      <c r="D1257" s="87" t="str">
        <f>VLOOKUP(Tabela1[[#This Row],[Origem]], 'Perguntas 1 a 24'!$J$28:$K$34, 2, 0)</f>
        <v>Sudeste</v>
      </c>
      <c r="E1257" s="87" t="str">
        <f>Tabela1[[#This Row],[Descrição]]&amp;"-"&amp;Tabela1[[#This Row],[Código]]&amp;"/"&amp;Tabela1[[#This Row],[Origem]]</f>
        <v>Parutoparo-H927P154/MG</v>
      </c>
      <c r="F1257" s="88">
        <v>46204</v>
      </c>
      <c r="G1257" s="88" t="str" cm="1">
        <f t="array" ref="G12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AND(F1257&gt;= DATE(2026,1,1), F1257&lt;= DATE(2028, 12, 31), J1257&gt;50000), "Pendente e Caro", AND(F1257&gt;= DATE(2026,1,1), F1257&lt;= DATE(2028, 12, 31), J1257&lt;=50000), "Pendente", F1257&gt;= DATE(2029,1,1), "Não prioeitário")</f>
        <v>Pendente e Caro</v>
      </c>
      <c r="H1257" s="89">
        <f>YEAR(Tabela1[[#This Row],[Data de Validade]])</f>
        <v>2026</v>
      </c>
      <c r="I1257" s="89">
        <f>MONTH(Tabela1[[#This Row],[Data de Validade]])</f>
        <v>7</v>
      </c>
      <c r="J1257" s="101">
        <v>115798</v>
      </c>
      <c r="K1257" s="87" t="s">
        <v>11</v>
      </c>
      <c r="L1257" s="108"/>
      <c r="M1257" s="108"/>
      <c r="N1257" s="108" t="str">
        <v>H927P154</v>
      </c>
      <c r="O1257" s="108">
        <f t="shared" si="21"/>
        <v>1</v>
      </c>
      <c r="P1257" s="108"/>
      <c r="Q1257"/>
    </row>
    <row r="1258" spans="1:17" x14ac:dyDescent="0.25">
      <c r="A1258" s="89" t="s">
        <v>5602</v>
      </c>
      <c r="B1258" s="87" t="s">
        <v>5603</v>
      </c>
      <c r="C1258" s="87" t="s">
        <v>6</v>
      </c>
      <c r="D1258" s="87" t="str">
        <f>VLOOKUP(Tabela1[[#This Row],[Origem]], 'Perguntas 1 a 24'!$J$28:$K$34, 2, 0)</f>
        <v>Nordeste</v>
      </c>
      <c r="E1258" s="87" t="str">
        <f>Tabela1[[#This Row],[Descrição]]&amp;"-"&amp;Tabela1[[#This Row],[Código]]&amp;"/"&amp;Tabela1[[#This Row],[Origem]]</f>
        <v>Refepanero-H716P375/MA</v>
      </c>
      <c r="F1258" s="88">
        <v>46204</v>
      </c>
      <c r="G1258" s="88" t="str" cm="1">
        <f t="array" ref="G12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AND(F1258&gt;= DATE(2026,1,1), F1258&lt;= DATE(2028, 12, 31), J1258&gt;50000), "Pendente e Caro", AND(F1258&gt;= DATE(2026,1,1), F1258&lt;= DATE(2028, 12, 31), J1258&lt;=50000), "Pendente", F1258&gt;= DATE(2029,1,1), "Não prioeitário")</f>
        <v>Pendente e Caro</v>
      </c>
      <c r="H1258" s="89">
        <f>YEAR(Tabela1[[#This Row],[Data de Validade]])</f>
        <v>2026</v>
      </c>
      <c r="I1258" s="89">
        <f>MONTH(Tabela1[[#This Row],[Data de Validade]])</f>
        <v>7</v>
      </c>
      <c r="J1258" s="101">
        <v>75315</v>
      </c>
      <c r="K1258" s="87" t="s">
        <v>11</v>
      </c>
      <c r="L1258" s="108"/>
      <c r="M1258" s="108"/>
      <c r="N1258" s="108" t="str">
        <v>H716P375</v>
      </c>
      <c r="O1258" s="108">
        <f t="shared" si="21"/>
        <v>1</v>
      </c>
      <c r="P1258" s="108"/>
      <c r="Q1258"/>
    </row>
    <row r="1259" spans="1:17" x14ac:dyDescent="0.25">
      <c r="A1259" s="89" t="s">
        <v>9827</v>
      </c>
      <c r="B1259" s="87" t="s">
        <v>9828</v>
      </c>
      <c r="C1259" s="87" t="s">
        <v>13</v>
      </c>
      <c r="D1259" s="87" t="str">
        <f>VLOOKUP(Tabela1[[#This Row],[Origem]], 'Perguntas 1 a 24'!$J$28:$K$34, 2, 0)</f>
        <v>Sudeste</v>
      </c>
      <c r="E1259" s="87" t="str">
        <f>Tabela1[[#This Row],[Descrição]]&amp;"-"&amp;Tabela1[[#This Row],[Código]]&amp;"/"&amp;Tabela1[[#This Row],[Origem]]</f>
        <v>Pedete-H772P132/SP</v>
      </c>
      <c r="F1259" s="88">
        <v>46204</v>
      </c>
      <c r="G1259" s="88" t="str" cm="1">
        <f t="array" ref="G12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AND(F1259&gt;= DATE(2026,1,1), F1259&lt;= DATE(2028, 12, 31), J1259&gt;50000), "Pendente e Caro", AND(F1259&gt;= DATE(2026,1,1), F1259&lt;= DATE(2028, 12, 31), J1259&lt;=50000), "Pendente", F1259&gt;= DATE(2029,1,1), "Não prioeitário")</f>
        <v>Pendente e Caro</v>
      </c>
      <c r="H1259" s="89">
        <f>YEAR(Tabela1[[#This Row],[Data de Validade]])</f>
        <v>2026</v>
      </c>
      <c r="I1259" s="89">
        <f>MONTH(Tabela1[[#This Row],[Data de Validade]])</f>
        <v>7</v>
      </c>
      <c r="J1259" s="101">
        <v>52597</v>
      </c>
      <c r="K1259" s="87" t="s">
        <v>14</v>
      </c>
      <c r="L1259" s="108"/>
      <c r="M1259" s="108"/>
      <c r="N1259" s="108" t="str">
        <v>H772P132</v>
      </c>
      <c r="O1259" s="108">
        <f t="shared" si="21"/>
        <v>1</v>
      </c>
      <c r="P1259" s="108"/>
      <c r="Q1259"/>
    </row>
    <row r="1260" spans="1:17" x14ac:dyDescent="0.25">
      <c r="A1260" s="89" t="s">
        <v>9857</v>
      </c>
      <c r="B1260" s="87" t="s">
        <v>9858</v>
      </c>
      <c r="C1260" s="87" t="s">
        <v>13</v>
      </c>
      <c r="D1260" s="87" t="str">
        <f>VLOOKUP(Tabela1[[#This Row],[Origem]], 'Perguntas 1 a 24'!$J$28:$K$34, 2, 0)</f>
        <v>Sudeste</v>
      </c>
      <c r="E1260" s="87" t="str">
        <f>Tabela1[[#This Row],[Descrição]]&amp;"-"&amp;Tabela1[[#This Row],[Código]]&amp;"/"&amp;Tabela1[[#This Row],[Origem]]</f>
        <v>Micuca-H353H513/SP</v>
      </c>
      <c r="F1260" s="88">
        <v>46205</v>
      </c>
      <c r="G1260" s="88" t="str" cm="1">
        <f t="array" ref="G12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AND(F1260&gt;= DATE(2026,1,1), F1260&lt;= DATE(2028, 12, 31), J1260&gt;50000), "Pendente e Caro", AND(F1260&gt;= DATE(2026,1,1), F1260&lt;= DATE(2028, 12, 31), J1260&lt;=50000), "Pendente", F1260&gt;= DATE(2029,1,1), "Não prioeitário")</f>
        <v>Pendente e Caro</v>
      </c>
      <c r="H1260" s="89">
        <f>YEAR(Tabela1[[#This Row],[Data de Validade]])</f>
        <v>2026</v>
      </c>
      <c r="I1260" s="89">
        <f>MONTH(Tabela1[[#This Row],[Data de Validade]])</f>
        <v>7</v>
      </c>
      <c r="J1260" s="101">
        <v>93437</v>
      </c>
      <c r="K1260" s="87" t="s">
        <v>11</v>
      </c>
      <c r="L1260" s="108"/>
      <c r="M1260" s="108"/>
      <c r="N1260" s="108" t="str">
        <v>H353H513</v>
      </c>
      <c r="O1260" s="108">
        <f t="shared" si="21"/>
        <v>1</v>
      </c>
      <c r="P1260" s="108"/>
      <c r="Q1260"/>
    </row>
    <row r="1261" spans="1:17" x14ac:dyDescent="0.25">
      <c r="A1261" s="89" t="s">
        <v>10113</v>
      </c>
      <c r="B1261" s="87" t="s">
        <v>10114</v>
      </c>
      <c r="C1261" s="87" t="s">
        <v>12</v>
      </c>
      <c r="D1261" s="87" t="str">
        <f>VLOOKUP(Tabela1[[#This Row],[Origem]], 'Perguntas 1 a 24'!$J$28:$K$34, 2, 0)</f>
        <v>Sudeste</v>
      </c>
      <c r="E1261" s="87" t="str">
        <f>Tabela1[[#This Row],[Descrição]]&amp;"-"&amp;Tabela1[[#This Row],[Código]]&amp;"/"&amp;Tabela1[[#This Row],[Origem]]</f>
        <v>Tugitogupo-P164P657/RJ</v>
      </c>
      <c r="F1261" s="88">
        <v>46205</v>
      </c>
      <c r="G1261" s="88" t="str" cm="1">
        <f t="array" ref="G12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AND(F1261&gt;= DATE(2026,1,1), F1261&lt;= DATE(2028, 12, 31), J1261&gt;50000), "Pendente e Caro", AND(F1261&gt;= DATE(2026,1,1), F1261&lt;= DATE(2028, 12, 31), J1261&lt;=50000), "Pendente", F1261&gt;= DATE(2029,1,1), "Não prioeitário")</f>
        <v>Pendente e Caro</v>
      </c>
      <c r="H1261" s="89">
        <f>YEAR(Tabela1[[#This Row],[Data de Validade]])</f>
        <v>2026</v>
      </c>
      <c r="I1261" s="89">
        <f>MONTH(Tabela1[[#This Row],[Data de Validade]])</f>
        <v>7</v>
      </c>
      <c r="J1261" s="101">
        <v>57526</v>
      </c>
      <c r="K1261" s="87" t="s">
        <v>14</v>
      </c>
      <c r="L1261" s="108"/>
      <c r="M1261" s="108"/>
      <c r="N1261" s="108" t="str">
        <v>P164P657</v>
      </c>
      <c r="O1261" s="108">
        <f t="shared" si="21"/>
        <v>1</v>
      </c>
      <c r="P1261" s="108"/>
      <c r="Q1261"/>
    </row>
    <row r="1262" spans="1:17" x14ac:dyDescent="0.25">
      <c r="A1262" s="89" t="s">
        <v>7666</v>
      </c>
      <c r="B1262" s="87" t="s">
        <v>7667</v>
      </c>
      <c r="C1262" s="87" t="s">
        <v>6</v>
      </c>
      <c r="D1262" s="87" t="str">
        <f>VLOOKUP(Tabela1[[#This Row],[Origem]], 'Perguntas 1 a 24'!$J$28:$K$34, 2, 0)</f>
        <v>Nordeste</v>
      </c>
      <c r="E1262" s="87" t="str">
        <f>Tabela1[[#This Row],[Descrição]]&amp;"-"&amp;Tabela1[[#This Row],[Código]]&amp;"/"&amp;Tabela1[[#This Row],[Origem]]</f>
        <v>Votiri-P443P926/MA</v>
      </c>
      <c r="F1262" s="88">
        <v>46206</v>
      </c>
      <c r="G1262" s="88" t="str" cm="1">
        <f t="array" ref="G12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AND(F1262&gt;= DATE(2026,1,1), F1262&lt;= DATE(2028, 12, 31), J1262&gt;50000), "Pendente e Caro", AND(F1262&gt;= DATE(2026,1,1), F1262&lt;= DATE(2028, 12, 31), J1262&lt;=50000), "Pendente", F1262&gt;= DATE(2029,1,1), "Não prioeitário")</f>
        <v>Pendente e Caro</v>
      </c>
      <c r="H1262" s="89">
        <f>YEAR(Tabela1[[#This Row],[Data de Validade]])</f>
        <v>2026</v>
      </c>
      <c r="I1262" s="89">
        <f>MONTH(Tabela1[[#This Row],[Data de Validade]])</f>
        <v>7</v>
      </c>
      <c r="J1262" s="101">
        <v>66731</v>
      </c>
      <c r="K1262" s="87" t="s">
        <v>9</v>
      </c>
      <c r="L1262" s="108"/>
      <c r="M1262" s="108"/>
      <c r="N1262" s="108" t="str">
        <v>P443P926</v>
      </c>
      <c r="O1262" s="108">
        <f t="shared" si="21"/>
        <v>1</v>
      </c>
      <c r="P1262" s="108"/>
      <c r="Q1262"/>
    </row>
    <row r="1263" spans="1:17" x14ac:dyDescent="0.25">
      <c r="A1263" s="89" t="s">
        <v>10425</v>
      </c>
      <c r="B1263" s="87" t="s">
        <v>10426</v>
      </c>
      <c r="C1263" s="87" t="s">
        <v>10</v>
      </c>
      <c r="D1263" s="87" t="str">
        <f>VLOOKUP(Tabela1[[#This Row],[Origem]], 'Perguntas 1 a 24'!$J$28:$K$34, 2, 0)</f>
        <v>Centro-Oeste</v>
      </c>
      <c r="E1263" s="87" t="str">
        <f>Tabela1[[#This Row],[Descrição]]&amp;"-"&amp;Tabela1[[#This Row],[Código]]&amp;"/"&amp;Tabela1[[#This Row],[Origem]]</f>
        <v>Ruduru-P299H413/GO</v>
      </c>
      <c r="F1263" s="88">
        <v>46206</v>
      </c>
      <c r="G1263" s="88" t="str" cm="1">
        <f t="array" ref="G12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AND(F1263&gt;= DATE(2026,1,1), F1263&lt;= DATE(2028, 12, 31), J1263&gt;50000), "Pendente e Caro", AND(F1263&gt;= DATE(2026,1,1), F1263&lt;= DATE(2028, 12, 31), J1263&lt;=50000), "Pendente", F1263&gt;= DATE(2029,1,1), "Não prioeitário")</f>
        <v>Pendente e Caro</v>
      </c>
      <c r="H1263" s="89">
        <f>YEAR(Tabela1[[#This Row],[Data de Validade]])</f>
        <v>2026</v>
      </c>
      <c r="I1263" s="89">
        <f>MONTH(Tabela1[[#This Row],[Data de Validade]])</f>
        <v>7</v>
      </c>
      <c r="J1263" s="101">
        <v>58353</v>
      </c>
      <c r="K1263" s="87" t="s">
        <v>7</v>
      </c>
      <c r="L1263" s="108"/>
      <c r="M1263" s="108"/>
      <c r="N1263" s="108" t="str">
        <v>P299H413</v>
      </c>
      <c r="O1263" s="108">
        <f t="shared" si="21"/>
        <v>1</v>
      </c>
      <c r="P1263" s="108"/>
      <c r="Q1263"/>
    </row>
    <row r="1264" spans="1:17" x14ac:dyDescent="0.25">
      <c r="A1264" s="89" t="s">
        <v>9473</v>
      </c>
      <c r="B1264" s="87" t="s">
        <v>9474</v>
      </c>
      <c r="C1264" s="87" t="s">
        <v>10</v>
      </c>
      <c r="D1264" s="87" t="str">
        <f>VLOOKUP(Tabela1[[#This Row],[Origem]], 'Perguntas 1 a 24'!$J$28:$K$34, 2, 0)</f>
        <v>Centro-Oeste</v>
      </c>
      <c r="E1264" s="87" t="str">
        <f>Tabela1[[#This Row],[Descrição]]&amp;"-"&amp;Tabela1[[#This Row],[Código]]&amp;"/"&amp;Tabela1[[#This Row],[Origem]]</f>
        <v>Ficefo-H611P878/GO</v>
      </c>
      <c r="F1264" s="88">
        <v>46207</v>
      </c>
      <c r="G1264" s="88" t="str" cm="1">
        <f t="array" ref="G12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AND(F1264&gt;= DATE(2026,1,1), F1264&lt;= DATE(2028, 12, 31), J1264&gt;50000), "Pendente e Caro", AND(F1264&gt;= DATE(2026,1,1), F1264&lt;= DATE(2028, 12, 31), J1264&lt;=50000), "Pendente", F1264&gt;= DATE(2029,1,1), "Não prioeitário")</f>
        <v>Pendente e Caro</v>
      </c>
      <c r="H1264" s="89">
        <f>YEAR(Tabela1[[#This Row],[Data de Validade]])</f>
        <v>2026</v>
      </c>
      <c r="I1264" s="89">
        <f>MONTH(Tabela1[[#This Row],[Data de Validade]])</f>
        <v>7</v>
      </c>
      <c r="J1264" s="101">
        <v>87868</v>
      </c>
      <c r="K1264" s="87" t="s">
        <v>11</v>
      </c>
      <c r="L1264" s="108"/>
      <c r="M1264" s="108"/>
      <c r="N1264" s="108" t="str">
        <v>H611P878</v>
      </c>
      <c r="O1264" s="108">
        <f t="shared" si="21"/>
        <v>1</v>
      </c>
      <c r="P1264" s="108"/>
      <c r="Q1264"/>
    </row>
    <row r="1265" spans="1:17" x14ac:dyDescent="0.25">
      <c r="A1265" s="89" t="s">
        <v>10293</v>
      </c>
      <c r="B1265" s="87" t="s">
        <v>10294</v>
      </c>
      <c r="C1265" s="87" t="s">
        <v>16</v>
      </c>
      <c r="D1265" s="87" t="str">
        <f>VLOOKUP(Tabela1[[#This Row],[Origem]], 'Perguntas 1 a 24'!$J$28:$K$34, 2, 0)</f>
        <v>Sudeste</v>
      </c>
      <c r="E1265" s="87" t="str">
        <f>Tabela1[[#This Row],[Descrição]]&amp;"-"&amp;Tabela1[[#This Row],[Código]]&amp;"/"&amp;Tabela1[[#This Row],[Origem]]</f>
        <v>Rapupatota-H662P823/MG</v>
      </c>
      <c r="F1265" s="88">
        <v>46208</v>
      </c>
      <c r="G1265" s="88" t="str" cm="1">
        <f t="array" ref="G12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AND(F1265&gt;= DATE(2026,1,1), F1265&lt;= DATE(2028, 12, 31), J1265&gt;50000), "Pendente e Caro", AND(F1265&gt;= DATE(2026,1,1), F1265&lt;= DATE(2028, 12, 31), J1265&lt;=50000), "Pendente", F1265&gt;= DATE(2029,1,1), "Não prioeitário")</f>
        <v>Pendente e Caro</v>
      </c>
      <c r="H1265" s="89">
        <f>YEAR(Tabela1[[#This Row],[Data de Validade]])</f>
        <v>2026</v>
      </c>
      <c r="I1265" s="89">
        <f>MONTH(Tabela1[[#This Row],[Data de Validade]])</f>
        <v>7</v>
      </c>
      <c r="J1265" s="101">
        <v>72053</v>
      </c>
      <c r="K1265" s="87" t="s">
        <v>14</v>
      </c>
      <c r="L1265" s="108"/>
      <c r="M1265" s="108"/>
      <c r="N1265" s="108" t="str">
        <v>H662P823</v>
      </c>
      <c r="O1265" s="108">
        <f t="shared" si="21"/>
        <v>1</v>
      </c>
      <c r="P1265" s="108"/>
      <c r="Q1265"/>
    </row>
    <row r="1266" spans="1:17" x14ac:dyDescent="0.25">
      <c r="A1266" s="89" t="s">
        <v>8631</v>
      </c>
      <c r="B1266" s="87" t="s">
        <v>8632</v>
      </c>
      <c r="C1266" s="87" t="s">
        <v>13</v>
      </c>
      <c r="D1266" s="87" t="str">
        <f>VLOOKUP(Tabela1[[#This Row],[Origem]], 'Perguntas 1 a 24'!$J$28:$K$34, 2, 0)</f>
        <v>Sudeste</v>
      </c>
      <c r="E1266" s="87" t="str">
        <f>Tabela1[[#This Row],[Descrição]]&amp;"-"&amp;Tabela1[[#This Row],[Código]]&amp;"/"&amp;Tabela1[[#This Row],[Origem]]</f>
        <v>Nulapagatu-H225H248/SP</v>
      </c>
      <c r="F1266" s="88">
        <v>46208</v>
      </c>
      <c r="G1266" s="88" t="str" cm="1">
        <f t="array" ref="G12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AND(F1266&gt;= DATE(2026,1,1), F1266&lt;= DATE(2028, 12, 31), J1266&gt;50000), "Pendente e Caro", AND(F1266&gt;= DATE(2026,1,1), F1266&lt;= DATE(2028, 12, 31), J1266&lt;=50000), "Pendente", F1266&gt;= DATE(2029,1,1), "Não prioeitário")</f>
        <v>Pendente e Caro</v>
      </c>
      <c r="H1266" s="89">
        <f>YEAR(Tabela1[[#This Row],[Data de Validade]])</f>
        <v>2026</v>
      </c>
      <c r="I1266" s="89">
        <f>MONTH(Tabela1[[#This Row],[Data de Validade]])</f>
        <v>7</v>
      </c>
      <c r="J1266" s="101">
        <v>68353</v>
      </c>
      <c r="K1266" s="87" t="s">
        <v>14</v>
      </c>
      <c r="L1266" s="108"/>
      <c r="M1266" s="108"/>
      <c r="N1266" s="108" t="str">
        <v>H225H248</v>
      </c>
      <c r="O1266" s="108">
        <f t="shared" si="21"/>
        <v>1</v>
      </c>
      <c r="P1266" s="108"/>
      <c r="Q1266"/>
    </row>
    <row r="1267" spans="1:17" x14ac:dyDescent="0.25">
      <c r="A1267" s="89" t="s">
        <v>5820</v>
      </c>
      <c r="B1267" s="87" t="s">
        <v>5821</v>
      </c>
      <c r="C1267" s="87" t="s">
        <v>6</v>
      </c>
      <c r="D1267" s="87" t="str">
        <f>VLOOKUP(Tabela1[[#This Row],[Origem]], 'Perguntas 1 a 24'!$J$28:$K$34, 2, 0)</f>
        <v>Nordeste</v>
      </c>
      <c r="E1267" s="87" t="str">
        <f>Tabela1[[#This Row],[Descrição]]&amp;"-"&amp;Tabela1[[#This Row],[Código]]&amp;"/"&amp;Tabela1[[#This Row],[Origem]]</f>
        <v>Durepidupe-H992H688/MA</v>
      </c>
      <c r="F1267" s="88">
        <v>46208</v>
      </c>
      <c r="G1267" s="88" t="str" cm="1">
        <f t="array" ref="G12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AND(F1267&gt;= DATE(2026,1,1), F1267&lt;= DATE(2028, 12, 31), J1267&gt;50000), "Pendente e Caro", AND(F1267&gt;= DATE(2026,1,1), F1267&lt;= DATE(2028, 12, 31), J1267&lt;=50000), "Pendente", F1267&gt;= DATE(2029,1,1), "Não prioeitário")</f>
        <v>Pendente</v>
      </c>
      <c r="H1267" s="89">
        <f>YEAR(Tabela1[[#This Row],[Data de Validade]])</f>
        <v>2026</v>
      </c>
      <c r="I1267" s="89">
        <f>MONTH(Tabela1[[#This Row],[Data de Validade]])</f>
        <v>7</v>
      </c>
      <c r="J1267" s="101">
        <v>46294</v>
      </c>
      <c r="K1267" s="87" t="s">
        <v>9</v>
      </c>
      <c r="L1267" s="108"/>
      <c r="M1267" s="108"/>
      <c r="N1267" s="108" t="str">
        <v>H992H688</v>
      </c>
      <c r="O1267" s="108">
        <f t="shared" si="21"/>
        <v>1</v>
      </c>
      <c r="P1267" s="108"/>
      <c r="Q1267"/>
    </row>
    <row r="1268" spans="1:17" x14ac:dyDescent="0.25">
      <c r="A1268" s="89" t="s">
        <v>8899</v>
      </c>
      <c r="B1268" s="87" t="s">
        <v>8900</v>
      </c>
      <c r="C1268" s="87" t="s">
        <v>15</v>
      </c>
      <c r="D1268" s="87" t="str">
        <f>VLOOKUP(Tabela1[[#This Row],[Origem]], 'Perguntas 1 a 24'!$J$28:$K$34, 2, 0)</f>
        <v>Sudeste</v>
      </c>
      <c r="E1268" s="87" t="str">
        <f>Tabela1[[#This Row],[Descrição]]&amp;"-"&amp;Tabela1[[#This Row],[Código]]&amp;"/"&amp;Tabela1[[#This Row],[Origem]]</f>
        <v>Felata-H959H997/ES</v>
      </c>
      <c r="F1268" s="88">
        <v>46208</v>
      </c>
      <c r="G1268" s="88" t="str" cm="1">
        <f t="array" ref="G12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AND(F1268&gt;= DATE(2026,1,1), F1268&lt;= DATE(2028, 12, 31), J1268&gt;50000), "Pendente e Caro", AND(F1268&gt;= DATE(2026,1,1), F1268&lt;= DATE(2028, 12, 31), J1268&lt;=50000), "Pendente", F1268&gt;= DATE(2029,1,1), "Não prioeitário")</f>
        <v>Pendente</v>
      </c>
      <c r="H1268" s="89">
        <f>YEAR(Tabela1[[#This Row],[Data de Validade]])</f>
        <v>2026</v>
      </c>
      <c r="I1268" s="89">
        <f>MONTH(Tabela1[[#This Row],[Data de Validade]])</f>
        <v>7</v>
      </c>
      <c r="J1268" s="101">
        <v>31464</v>
      </c>
      <c r="K1268" s="87" t="s">
        <v>9</v>
      </c>
      <c r="L1268" s="108"/>
      <c r="M1268" s="108"/>
      <c r="N1268" s="108" t="str">
        <v>H959H997</v>
      </c>
      <c r="O1268" s="108">
        <f t="shared" si="21"/>
        <v>1</v>
      </c>
      <c r="P1268" s="108"/>
      <c r="Q1268"/>
    </row>
    <row r="1269" spans="1:17" x14ac:dyDescent="0.25">
      <c r="A1269" s="89" t="s">
        <v>7856</v>
      </c>
      <c r="B1269" s="87" t="s">
        <v>7857</v>
      </c>
      <c r="C1269" s="87" t="s">
        <v>13</v>
      </c>
      <c r="D1269" s="87" t="str">
        <f>VLOOKUP(Tabela1[[#This Row],[Origem]], 'Perguntas 1 a 24'!$J$28:$K$34, 2, 0)</f>
        <v>Sudeste</v>
      </c>
      <c r="E1269" s="87" t="str">
        <f>Tabela1[[#This Row],[Descrição]]&amp;"-"&amp;Tabela1[[#This Row],[Código]]&amp;"/"&amp;Tabela1[[#This Row],[Origem]]</f>
        <v>Rogipo-P772H365/SP</v>
      </c>
      <c r="F1269" s="88">
        <v>46209</v>
      </c>
      <c r="G1269" s="88" t="str" cm="1">
        <f t="array" ref="G12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AND(F1269&gt;= DATE(2026,1,1), F1269&lt;= DATE(2028, 12, 31), J1269&gt;50000), "Pendente e Caro", AND(F1269&gt;= DATE(2026,1,1), F1269&lt;= DATE(2028, 12, 31), J1269&lt;=50000), "Pendente", F1269&gt;= DATE(2029,1,1), "Não prioeitário")</f>
        <v>Pendente e Caro</v>
      </c>
      <c r="H1269" s="89">
        <f>YEAR(Tabela1[[#This Row],[Data de Validade]])</f>
        <v>2026</v>
      </c>
      <c r="I1269" s="89">
        <f>MONTH(Tabela1[[#This Row],[Data de Validade]])</f>
        <v>7</v>
      </c>
      <c r="J1269" s="101">
        <v>97726</v>
      </c>
      <c r="K1269" s="87" t="s">
        <v>14</v>
      </c>
      <c r="L1269" s="108"/>
      <c r="M1269" s="108"/>
      <c r="N1269" s="108" t="str">
        <v>P772H365</v>
      </c>
      <c r="O1269" s="108">
        <f t="shared" si="21"/>
        <v>1</v>
      </c>
      <c r="P1269" s="108"/>
      <c r="Q1269"/>
    </row>
    <row r="1270" spans="1:17" x14ac:dyDescent="0.25">
      <c r="A1270" s="89" t="s">
        <v>10681</v>
      </c>
      <c r="B1270" s="87" t="s">
        <v>10682</v>
      </c>
      <c r="C1270" s="87" t="s">
        <v>12</v>
      </c>
      <c r="D1270" s="87" t="str">
        <f>VLOOKUP(Tabela1[[#This Row],[Origem]], 'Perguntas 1 a 24'!$J$28:$K$34, 2, 0)</f>
        <v>Sudeste</v>
      </c>
      <c r="E1270" s="87" t="str">
        <f>Tabela1[[#This Row],[Descrição]]&amp;"-"&amp;Tabela1[[#This Row],[Código]]&amp;"/"&amp;Tabela1[[#This Row],[Origem]]</f>
        <v>Povitepelo-P968H272/RJ</v>
      </c>
      <c r="F1270" s="88">
        <v>46209</v>
      </c>
      <c r="G1270" s="88" t="str" cm="1">
        <f t="array" ref="G12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AND(F1270&gt;= DATE(2026,1,1), F1270&lt;= DATE(2028, 12, 31), J1270&gt;50000), "Pendente e Caro", AND(F1270&gt;= DATE(2026,1,1), F1270&lt;= DATE(2028, 12, 31), J1270&lt;=50000), "Pendente", F1270&gt;= DATE(2029,1,1), "Não prioeitário")</f>
        <v>Pendente</v>
      </c>
      <c r="H1270" s="89">
        <f>YEAR(Tabela1[[#This Row],[Data de Validade]])</f>
        <v>2026</v>
      </c>
      <c r="I1270" s="89">
        <f>MONTH(Tabela1[[#This Row],[Data de Validade]])</f>
        <v>7</v>
      </c>
      <c r="J1270" s="101">
        <v>46707</v>
      </c>
      <c r="K1270" s="87" t="s">
        <v>14</v>
      </c>
      <c r="L1270" s="108"/>
      <c r="M1270" s="108"/>
      <c r="N1270" s="108" t="str">
        <v>P968H272</v>
      </c>
      <c r="O1270" s="108">
        <f t="shared" si="21"/>
        <v>1</v>
      </c>
      <c r="P1270" s="108"/>
      <c r="Q1270"/>
    </row>
    <row r="1271" spans="1:17" x14ac:dyDescent="0.25">
      <c r="A1271" s="89" t="s">
        <v>4475</v>
      </c>
      <c r="B1271" s="87" t="s">
        <v>4476</v>
      </c>
      <c r="C1271" s="87" t="s">
        <v>15</v>
      </c>
      <c r="D1271" s="87" t="str">
        <f>VLOOKUP(Tabela1[[#This Row],[Origem]], 'Perguntas 1 a 24'!$J$28:$K$34, 2, 0)</f>
        <v>Sudeste</v>
      </c>
      <c r="E1271" s="87" t="str">
        <f>Tabela1[[#This Row],[Descrição]]&amp;"-"&amp;Tabela1[[#This Row],[Código]]&amp;"/"&amp;Tabela1[[#This Row],[Origem]]</f>
        <v>Nalirinipo-P864H843/ES</v>
      </c>
      <c r="F1271" s="88">
        <v>46209</v>
      </c>
      <c r="G1271" s="88" t="str" cm="1">
        <f t="array" ref="G12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AND(F1271&gt;= DATE(2026,1,1), F1271&lt;= DATE(2028, 12, 31), J1271&gt;50000), "Pendente e Caro", AND(F1271&gt;= DATE(2026,1,1), F1271&lt;= DATE(2028, 12, 31), J1271&lt;=50000), "Pendente", F1271&gt;= DATE(2029,1,1), "Não prioeitário")</f>
        <v>Pendente</v>
      </c>
      <c r="H1271" s="89">
        <f>YEAR(Tabela1[[#This Row],[Data de Validade]])</f>
        <v>2026</v>
      </c>
      <c r="I1271" s="89">
        <f>MONTH(Tabela1[[#This Row],[Data de Validade]])</f>
        <v>7</v>
      </c>
      <c r="J1271" s="101">
        <v>41190</v>
      </c>
      <c r="K1271" s="87" t="s">
        <v>14</v>
      </c>
      <c r="L1271" s="108"/>
      <c r="M1271" s="108"/>
      <c r="N1271" s="108" t="str">
        <v>P864H843</v>
      </c>
      <c r="O1271" s="108">
        <f t="shared" si="21"/>
        <v>1</v>
      </c>
      <c r="P1271" s="108"/>
      <c r="Q1271"/>
    </row>
    <row r="1272" spans="1:17" x14ac:dyDescent="0.25">
      <c r="A1272" s="89" t="s">
        <v>4672</v>
      </c>
      <c r="B1272" s="87" t="s">
        <v>4673</v>
      </c>
      <c r="C1272" s="87" t="s">
        <v>12</v>
      </c>
      <c r="D1272" s="87" t="str">
        <f>VLOOKUP(Tabela1[[#This Row],[Origem]], 'Perguntas 1 a 24'!$J$28:$K$34, 2, 0)</f>
        <v>Sudeste</v>
      </c>
      <c r="E1272" s="87" t="str">
        <f>Tabela1[[#This Row],[Descrição]]&amp;"-"&amp;Tabela1[[#This Row],[Código]]&amp;"/"&amp;Tabela1[[#This Row],[Origem]]</f>
        <v>Potupe-H843P997/RJ</v>
      </c>
      <c r="F1272" s="88">
        <v>46209</v>
      </c>
      <c r="G1272" s="88" t="str" cm="1">
        <f t="array" ref="G12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AND(F1272&gt;= DATE(2026,1,1), F1272&lt;= DATE(2028, 12, 31), J1272&gt;50000), "Pendente e Caro", AND(F1272&gt;= DATE(2026,1,1), F1272&lt;= DATE(2028, 12, 31), J1272&lt;=50000), "Pendente", F1272&gt;= DATE(2029,1,1), "Não prioeitário")</f>
        <v>Pendente</v>
      </c>
      <c r="H1272" s="89">
        <f>YEAR(Tabela1[[#This Row],[Data de Validade]])</f>
        <v>2026</v>
      </c>
      <c r="I1272" s="89">
        <f>MONTH(Tabela1[[#This Row],[Data de Validade]])</f>
        <v>7</v>
      </c>
      <c r="J1272" s="101">
        <v>32099</v>
      </c>
      <c r="K1272" s="87" t="s">
        <v>9</v>
      </c>
      <c r="L1272" s="108"/>
      <c r="M1272" s="108"/>
      <c r="N1272" s="108" t="str">
        <v>H843P997</v>
      </c>
      <c r="O1272" s="108">
        <f t="shared" si="21"/>
        <v>1</v>
      </c>
      <c r="P1272" s="108"/>
      <c r="Q1272"/>
    </row>
    <row r="1273" spans="1:17" x14ac:dyDescent="0.25">
      <c r="A1273" s="89" t="s">
        <v>9791</v>
      </c>
      <c r="B1273" s="87" t="s">
        <v>9792</v>
      </c>
      <c r="C1273" s="87" t="s">
        <v>16</v>
      </c>
      <c r="D1273" s="87" t="str">
        <f>VLOOKUP(Tabela1[[#This Row],[Origem]], 'Perguntas 1 a 24'!$J$28:$K$34, 2, 0)</f>
        <v>Sudeste</v>
      </c>
      <c r="E1273" s="87" t="str">
        <f>Tabela1[[#This Row],[Descrição]]&amp;"-"&amp;Tabela1[[#This Row],[Código]]&amp;"/"&amp;Tabela1[[#This Row],[Origem]]</f>
        <v>Gepafuni-P144H457/MG</v>
      </c>
      <c r="F1273" s="88">
        <v>46210</v>
      </c>
      <c r="G1273" s="88" t="str" cm="1">
        <f t="array" ref="G12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AND(F1273&gt;= DATE(2026,1,1), F1273&lt;= DATE(2028, 12, 31), J1273&gt;50000), "Pendente e Caro", AND(F1273&gt;= DATE(2026,1,1), F1273&lt;= DATE(2028, 12, 31), J1273&lt;=50000), "Pendente", F1273&gt;= DATE(2029,1,1), "Não prioeitário")</f>
        <v>Pendente e Caro</v>
      </c>
      <c r="H1273" s="89">
        <f>YEAR(Tabela1[[#This Row],[Data de Validade]])</f>
        <v>2026</v>
      </c>
      <c r="I1273" s="89">
        <f>MONTH(Tabela1[[#This Row],[Data de Validade]])</f>
        <v>7</v>
      </c>
      <c r="J1273" s="101">
        <v>78589</v>
      </c>
      <c r="K1273" s="87" t="s">
        <v>14</v>
      </c>
      <c r="L1273" s="108"/>
      <c r="M1273" s="108"/>
      <c r="N1273" s="108" t="str">
        <v>P144H457</v>
      </c>
      <c r="O1273" s="108">
        <f t="shared" si="21"/>
        <v>1</v>
      </c>
      <c r="P1273" s="108"/>
      <c r="Q1273"/>
    </row>
    <row r="1274" spans="1:17" x14ac:dyDescent="0.25">
      <c r="A1274" s="89" t="s">
        <v>3812</v>
      </c>
      <c r="B1274" s="87" t="s">
        <v>3813</v>
      </c>
      <c r="C1274" s="87" t="s">
        <v>8</v>
      </c>
      <c r="D1274" s="87" t="str">
        <f>VLOOKUP(Tabela1[[#This Row],[Origem]], 'Perguntas 1 a 24'!$J$28:$K$34, 2, 0)</f>
        <v>Nordeste</v>
      </c>
      <c r="E1274" s="87" t="str">
        <f>Tabela1[[#This Row],[Descrição]]&amp;"-"&amp;Tabela1[[#This Row],[Código]]&amp;"/"&amp;Tabela1[[#This Row],[Origem]]</f>
        <v>Moleva-P462H584/AL</v>
      </c>
      <c r="F1274" s="88">
        <v>46210</v>
      </c>
      <c r="G1274" s="88" t="str" cm="1">
        <f t="array" ref="G12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AND(F1274&gt;= DATE(2026,1,1), F1274&lt;= DATE(2028, 12, 31), J1274&gt;50000), "Pendente e Caro", AND(F1274&gt;= DATE(2026,1,1), F1274&lt;= DATE(2028, 12, 31), J1274&lt;=50000), "Pendente", F1274&gt;= DATE(2029,1,1), "Não prioeitário")</f>
        <v>Pendente e Caro</v>
      </c>
      <c r="H1274" s="89">
        <f>YEAR(Tabela1[[#This Row],[Data de Validade]])</f>
        <v>2026</v>
      </c>
      <c r="I1274" s="89">
        <f>MONTH(Tabela1[[#This Row],[Data de Validade]])</f>
        <v>7</v>
      </c>
      <c r="J1274" s="101">
        <v>65573</v>
      </c>
      <c r="K1274" s="87" t="s">
        <v>7</v>
      </c>
      <c r="L1274" s="108"/>
      <c r="M1274" s="108"/>
      <c r="N1274" s="108" t="str">
        <v>P462H584</v>
      </c>
      <c r="O1274" s="108">
        <f t="shared" si="21"/>
        <v>1</v>
      </c>
      <c r="P1274" s="108"/>
      <c r="Q1274"/>
    </row>
    <row r="1275" spans="1:17" x14ac:dyDescent="0.25">
      <c r="A1275" s="89" t="s">
        <v>8090</v>
      </c>
      <c r="B1275" s="87" t="s">
        <v>8091</v>
      </c>
      <c r="C1275" s="87" t="s">
        <v>8</v>
      </c>
      <c r="D1275" s="87" t="str">
        <f>VLOOKUP(Tabela1[[#This Row],[Origem]], 'Perguntas 1 a 24'!$J$28:$K$34, 2, 0)</f>
        <v>Nordeste</v>
      </c>
      <c r="E1275" s="87" t="str">
        <f>Tabela1[[#This Row],[Descrição]]&amp;"-"&amp;Tabela1[[#This Row],[Código]]&amp;"/"&amp;Tabela1[[#This Row],[Origem]]</f>
        <v>Tipure-H756P439/AL</v>
      </c>
      <c r="F1275" s="88">
        <v>46211</v>
      </c>
      <c r="G1275" s="88" t="str" cm="1">
        <f t="array" ref="G12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AND(F1275&gt;= DATE(2026,1,1), F1275&lt;= DATE(2028, 12, 31), J1275&gt;50000), "Pendente e Caro", AND(F1275&gt;= DATE(2026,1,1), F1275&lt;= DATE(2028, 12, 31), J1275&lt;=50000), "Pendente", F1275&gt;= DATE(2029,1,1), "Não prioeitário")</f>
        <v>Pendente e Caro</v>
      </c>
      <c r="H1275" s="89">
        <f>YEAR(Tabela1[[#This Row],[Data de Validade]])</f>
        <v>2026</v>
      </c>
      <c r="I1275" s="89">
        <f>MONTH(Tabela1[[#This Row],[Data de Validade]])</f>
        <v>7</v>
      </c>
      <c r="J1275" s="101">
        <v>63334</v>
      </c>
      <c r="K1275" s="87" t="s">
        <v>9</v>
      </c>
      <c r="L1275" s="108"/>
      <c r="M1275" s="108"/>
      <c r="N1275" s="108" t="str">
        <v>H756P439</v>
      </c>
      <c r="O1275" s="108">
        <f t="shared" si="21"/>
        <v>1</v>
      </c>
      <c r="P1275" s="108"/>
      <c r="Q1275"/>
    </row>
    <row r="1276" spans="1:17" x14ac:dyDescent="0.25">
      <c r="A1276" s="89" t="s">
        <v>6988</v>
      </c>
      <c r="B1276" s="87" t="s">
        <v>6989</v>
      </c>
      <c r="C1276" s="87" t="s">
        <v>15</v>
      </c>
      <c r="D1276" s="87" t="str">
        <f>VLOOKUP(Tabela1[[#This Row],[Origem]], 'Perguntas 1 a 24'!$J$28:$K$34, 2, 0)</f>
        <v>Sudeste</v>
      </c>
      <c r="E1276" s="87" t="str">
        <f>Tabela1[[#This Row],[Descrição]]&amp;"-"&amp;Tabela1[[#This Row],[Código]]&amp;"/"&amp;Tabela1[[#This Row],[Origem]]</f>
        <v>Dorirumoru-P545P285/ES</v>
      </c>
      <c r="F1276" s="88">
        <v>46211</v>
      </c>
      <c r="G1276" s="88" t="str" cm="1">
        <f t="array" ref="G12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AND(F1276&gt;= DATE(2026,1,1), F1276&lt;= DATE(2028, 12, 31), J1276&gt;50000), "Pendente e Caro", AND(F1276&gt;= DATE(2026,1,1), F1276&lt;= DATE(2028, 12, 31), J1276&lt;=50000), "Pendente", F1276&gt;= DATE(2029,1,1), "Não prioeitário")</f>
        <v>Pendente e Caro</v>
      </c>
      <c r="H1276" s="89">
        <f>YEAR(Tabela1[[#This Row],[Data de Validade]])</f>
        <v>2026</v>
      </c>
      <c r="I1276" s="89">
        <f>MONTH(Tabela1[[#This Row],[Data de Validade]])</f>
        <v>7</v>
      </c>
      <c r="J1276" s="101">
        <v>52981</v>
      </c>
      <c r="K1276" s="87" t="s">
        <v>7</v>
      </c>
      <c r="L1276" s="108"/>
      <c r="M1276" s="108"/>
      <c r="N1276" s="108" t="str">
        <v>P545P285</v>
      </c>
      <c r="O1276" s="108">
        <f t="shared" si="21"/>
        <v>1</v>
      </c>
      <c r="P1276" s="108"/>
      <c r="Q1276"/>
    </row>
    <row r="1277" spans="1:17" x14ac:dyDescent="0.25">
      <c r="A1277" s="89" t="s">
        <v>5054</v>
      </c>
      <c r="B1277" s="87" t="s">
        <v>5055</v>
      </c>
      <c r="C1277" s="87" t="s">
        <v>10</v>
      </c>
      <c r="D1277" s="87" t="str">
        <f>VLOOKUP(Tabela1[[#This Row],[Origem]], 'Perguntas 1 a 24'!$J$28:$K$34, 2, 0)</f>
        <v>Centro-Oeste</v>
      </c>
      <c r="E1277" s="87" t="str">
        <f>Tabela1[[#This Row],[Descrição]]&amp;"-"&amp;Tabela1[[#This Row],[Código]]&amp;"/"&amp;Tabela1[[#This Row],[Origem]]</f>
        <v>Vopuginotu-P794P667/GO</v>
      </c>
      <c r="F1277" s="88">
        <v>46212</v>
      </c>
      <c r="G1277" s="88" t="str" cm="1">
        <f t="array" ref="G12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AND(F1277&gt;= DATE(2026,1,1), F1277&lt;= DATE(2028, 12, 31), J1277&gt;50000), "Pendente e Caro", AND(F1277&gt;= DATE(2026,1,1), F1277&lt;= DATE(2028, 12, 31), J1277&lt;=50000), "Pendente", F1277&gt;= DATE(2029,1,1), "Não prioeitário")</f>
        <v>Pendente e Caro</v>
      </c>
      <c r="H1277" s="89">
        <f>YEAR(Tabela1[[#This Row],[Data de Validade]])</f>
        <v>2026</v>
      </c>
      <c r="I1277" s="89">
        <f>MONTH(Tabela1[[#This Row],[Data de Validade]])</f>
        <v>7</v>
      </c>
      <c r="J1277" s="101">
        <v>111836</v>
      </c>
      <c r="K1277" s="87" t="s">
        <v>14</v>
      </c>
      <c r="L1277" s="108"/>
      <c r="M1277" s="108"/>
      <c r="N1277" s="108" t="str">
        <v>P794P667</v>
      </c>
      <c r="O1277" s="108">
        <f t="shared" si="21"/>
        <v>1</v>
      </c>
      <c r="P1277" s="108"/>
      <c r="Q1277"/>
    </row>
    <row r="1278" spans="1:17" x14ac:dyDescent="0.25">
      <c r="A1278" s="89" t="s">
        <v>4375</v>
      </c>
      <c r="B1278" s="87" t="s">
        <v>4376</v>
      </c>
      <c r="C1278" s="87" t="s">
        <v>13</v>
      </c>
      <c r="D1278" s="87" t="str">
        <f>VLOOKUP(Tabela1[[#This Row],[Origem]], 'Perguntas 1 a 24'!$J$28:$K$34, 2, 0)</f>
        <v>Sudeste</v>
      </c>
      <c r="E1278" s="87" t="str">
        <f>Tabela1[[#This Row],[Descrição]]&amp;"-"&amp;Tabela1[[#This Row],[Código]]&amp;"/"&amp;Tabela1[[#This Row],[Origem]]</f>
        <v>Tilate-H698P423/SP</v>
      </c>
      <c r="F1278" s="88">
        <v>46212</v>
      </c>
      <c r="G1278" s="88" t="str" cm="1">
        <f t="array" ref="G12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AND(F1278&gt;= DATE(2026,1,1), F1278&lt;= DATE(2028, 12, 31), J1278&gt;50000), "Pendente e Caro", AND(F1278&gt;= DATE(2026,1,1), F1278&lt;= DATE(2028, 12, 31), J1278&lt;=50000), "Pendente", F1278&gt;= DATE(2029,1,1), "Não prioeitário")</f>
        <v>Pendente e Caro</v>
      </c>
      <c r="H1278" s="89">
        <f>YEAR(Tabela1[[#This Row],[Data de Validade]])</f>
        <v>2026</v>
      </c>
      <c r="I1278" s="89">
        <f>MONTH(Tabela1[[#This Row],[Data de Validade]])</f>
        <v>7</v>
      </c>
      <c r="J1278" s="101">
        <v>67174</v>
      </c>
      <c r="K1278" s="87" t="s">
        <v>9</v>
      </c>
      <c r="L1278" s="108"/>
      <c r="M1278" s="108"/>
      <c r="N1278" s="108" t="str">
        <v>H698P423</v>
      </c>
      <c r="O1278" s="108">
        <f t="shared" si="21"/>
        <v>1</v>
      </c>
      <c r="P1278" s="108"/>
      <c r="Q1278"/>
    </row>
    <row r="1279" spans="1:17" x14ac:dyDescent="0.25">
      <c r="A1279" s="89" t="s">
        <v>6428</v>
      </c>
      <c r="B1279" s="87" t="s">
        <v>6429</v>
      </c>
      <c r="C1279" s="87" t="s">
        <v>10</v>
      </c>
      <c r="D1279" s="87" t="str">
        <f>VLOOKUP(Tabela1[[#This Row],[Origem]], 'Perguntas 1 a 24'!$J$28:$K$34, 2, 0)</f>
        <v>Centro-Oeste</v>
      </c>
      <c r="E1279" s="87" t="str">
        <f>Tabela1[[#This Row],[Descrição]]&amp;"-"&amp;Tabela1[[#This Row],[Código]]&amp;"/"&amp;Tabela1[[#This Row],[Origem]]</f>
        <v>Merefetufu-H693H958/GO</v>
      </c>
      <c r="F1279" s="88">
        <v>46212</v>
      </c>
      <c r="G1279" s="88" t="str" cm="1">
        <f t="array" ref="G12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AND(F1279&gt;= DATE(2026,1,1), F1279&lt;= DATE(2028, 12, 31), J1279&gt;50000), "Pendente e Caro", AND(F1279&gt;= DATE(2026,1,1), F1279&lt;= DATE(2028, 12, 31), J1279&lt;=50000), "Pendente", F1279&gt;= DATE(2029,1,1), "Não prioeitário")</f>
        <v>Pendente e Caro</v>
      </c>
      <c r="H1279" s="89">
        <f>YEAR(Tabela1[[#This Row],[Data de Validade]])</f>
        <v>2026</v>
      </c>
      <c r="I1279" s="89">
        <f>MONTH(Tabela1[[#This Row],[Data de Validade]])</f>
        <v>7</v>
      </c>
      <c r="J1279" s="101">
        <v>62928</v>
      </c>
      <c r="K1279" s="87" t="s">
        <v>9</v>
      </c>
      <c r="L1279" s="108"/>
      <c r="M1279" s="108"/>
      <c r="N1279" s="108" t="str">
        <v>H693H958</v>
      </c>
      <c r="O1279" s="108">
        <f t="shared" si="21"/>
        <v>1</v>
      </c>
      <c r="P1279" s="108"/>
      <c r="Q1279"/>
    </row>
    <row r="1280" spans="1:17" x14ac:dyDescent="0.25">
      <c r="A1280" s="89" t="s">
        <v>7354</v>
      </c>
      <c r="B1280" s="87" t="s">
        <v>7355</v>
      </c>
      <c r="C1280" s="87" t="s">
        <v>13</v>
      </c>
      <c r="D1280" s="87" t="str">
        <f>VLOOKUP(Tabela1[[#This Row],[Origem]], 'Perguntas 1 a 24'!$J$28:$K$34, 2, 0)</f>
        <v>Sudeste</v>
      </c>
      <c r="E1280" s="87" t="str">
        <f>Tabela1[[#This Row],[Descrição]]&amp;"-"&amp;Tabela1[[#This Row],[Código]]&amp;"/"&amp;Tabela1[[#This Row],[Origem]]</f>
        <v>Terinipe-P342P633/SP</v>
      </c>
      <c r="F1280" s="88">
        <v>46212</v>
      </c>
      <c r="G1280" s="88" t="str" cm="1">
        <f t="array" ref="G12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AND(F1280&gt;= DATE(2026,1,1), F1280&lt;= DATE(2028, 12, 31), J1280&gt;50000), "Pendente e Caro", AND(F1280&gt;= DATE(2026,1,1), F1280&lt;= DATE(2028, 12, 31), J1280&lt;=50000), "Pendente", F1280&gt;= DATE(2029,1,1), "Não prioeitário")</f>
        <v>Pendente e Caro</v>
      </c>
      <c r="H1280" s="89">
        <f>YEAR(Tabela1[[#This Row],[Data de Validade]])</f>
        <v>2026</v>
      </c>
      <c r="I1280" s="89">
        <f>MONTH(Tabela1[[#This Row],[Data de Validade]])</f>
        <v>7</v>
      </c>
      <c r="J1280" s="101">
        <v>57018</v>
      </c>
      <c r="K1280" s="87" t="s">
        <v>9</v>
      </c>
      <c r="L1280" s="108"/>
      <c r="M1280" s="108"/>
      <c r="N1280" s="108" t="str">
        <v>P342P633</v>
      </c>
      <c r="O1280" s="108">
        <f t="shared" si="21"/>
        <v>1</v>
      </c>
      <c r="P1280" s="108"/>
      <c r="Q1280"/>
    </row>
    <row r="1281" spans="1:17" x14ac:dyDescent="0.25">
      <c r="A1281" s="89" t="s">
        <v>4498</v>
      </c>
      <c r="B1281" s="87" t="s">
        <v>4499</v>
      </c>
      <c r="C1281" s="87" t="s">
        <v>12</v>
      </c>
      <c r="D1281" s="87" t="str">
        <f>VLOOKUP(Tabela1[[#This Row],[Origem]], 'Perguntas 1 a 24'!$J$28:$K$34, 2, 0)</f>
        <v>Sudeste</v>
      </c>
      <c r="E1281" s="87" t="str">
        <f>Tabela1[[#This Row],[Descrição]]&amp;"-"&amp;Tabela1[[#This Row],[Código]]&amp;"/"&amp;Tabela1[[#This Row],[Origem]]</f>
        <v>Dofigo-H859P396/RJ</v>
      </c>
      <c r="F1281" s="88">
        <v>46212</v>
      </c>
      <c r="G1281" s="88" t="str" cm="1">
        <f t="array" ref="G12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AND(F1281&gt;= DATE(2026,1,1), F1281&lt;= DATE(2028, 12, 31), J1281&gt;50000), "Pendente e Caro", AND(F1281&gt;= DATE(2026,1,1), F1281&lt;= DATE(2028, 12, 31), J1281&lt;=50000), "Pendente", F1281&gt;= DATE(2029,1,1), "Não prioeitário")</f>
        <v>Pendente e Caro</v>
      </c>
      <c r="H1281" s="89">
        <f>YEAR(Tabela1[[#This Row],[Data de Validade]])</f>
        <v>2026</v>
      </c>
      <c r="I1281" s="89">
        <f>MONTH(Tabela1[[#This Row],[Data de Validade]])</f>
        <v>7</v>
      </c>
      <c r="J1281" s="101">
        <v>55168</v>
      </c>
      <c r="K1281" s="87" t="s">
        <v>7</v>
      </c>
      <c r="L1281" s="108"/>
      <c r="M1281" s="108"/>
      <c r="N1281" s="108" t="str">
        <v>H859P396</v>
      </c>
      <c r="O1281" s="108">
        <f t="shared" si="21"/>
        <v>1</v>
      </c>
      <c r="P1281" s="108"/>
      <c r="Q1281"/>
    </row>
    <row r="1282" spans="1:17" x14ac:dyDescent="0.25">
      <c r="A1282" s="89" t="s">
        <v>6594</v>
      </c>
      <c r="B1282" s="87" t="s">
        <v>6595</v>
      </c>
      <c r="C1282" s="87" t="s">
        <v>13</v>
      </c>
      <c r="D1282" s="87" t="str">
        <f>VLOOKUP(Tabela1[[#This Row],[Origem]], 'Perguntas 1 a 24'!$J$28:$K$34, 2, 0)</f>
        <v>Sudeste</v>
      </c>
      <c r="E1282" s="87" t="str">
        <f>Tabela1[[#This Row],[Descrição]]&amp;"-"&amp;Tabela1[[#This Row],[Código]]&amp;"/"&amp;Tabela1[[#This Row],[Origem]]</f>
        <v>Dememitovo-H617H543/SP</v>
      </c>
      <c r="F1282" s="88">
        <v>46212</v>
      </c>
      <c r="G1282" s="88" t="str" cm="1">
        <f t="array" ref="G12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AND(F1282&gt;= DATE(2026,1,1), F1282&lt;= DATE(2028, 12, 31), J1282&gt;50000), "Pendente e Caro", AND(F1282&gt;= DATE(2026,1,1), F1282&lt;= DATE(2028, 12, 31), J1282&lt;=50000), "Pendente", F1282&gt;= DATE(2029,1,1), "Não prioeitário")</f>
        <v>Pendente</v>
      </c>
      <c r="H1282" s="89">
        <f>YEAR(Tabela1[[#This Row],[Data de Validade]])</f>
        <v>2026</v>
      </c>
      <c r="I1282" s="89">
        <f>MONTH(Tabela1[[#This Row],[Data de Validade]])</f>
        <v>7</v>
      </c>
      <c r="J1282" s="101">
        <v>20481</v>
      </c>
      <c r="K1282" s="87" t="s">
        <v>14</v>
      </c>
      <c r="L1282" s="108"/>
      <c r="M1282" s="108"/>
      <c r="N1282" s="108" t="str">
        <v>H617H543</v>
      </c>
      <c r="O1282" s="108">
        <f t="shared" si="21"/>
        <v>1</v>
      </c>
      <c r="P1282" s="108"/>
      <c r="Q1282"/>
    </row>
    <row r="1283" spans="1:17" x14ac:dyDescent="0.25">
      <c r="A1283" s="89" t="s">
        <v>10915</v>
      </c>
      <c r="B1283" s="87" t="s">
        <v>10916</v>
      </c>
      <c r="C1283" s="87" t="s">
        <v>8</v>
      </c>
      <c r="D1283" s="87" t="str">
        <f>VLOOKUP(Tabela1[[#This Row],[Origem]], 'Perguntas 1 a 24'!$J$28:$K$34, 2, 0)</f>
        <v>Nordeste</v>
      </c>
      <c r="E1283" s="87" t="str">
        <f>Tabela1[[#This Row],[Descrição]]&amp;"-"&amp;Tabela1[[#This Row],[Código]]&amp;"/"&amp;Tabela1[[#This Row],[Origem]]</f>
        <v>Puvuroli-H843H273/AL</v>
      </c>
      <c r="F1283" s="88">
        <v>46213</v>
      </c>
      <c r="G1283" s="88" t="str" cm="1">
        <f t="array" ref="G12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AND(F1283&gt;= DATE(2026,1,1), F1283&lt;= DATE(2028, 12, 31), J1283&gt;50000), "Pendente e Caro", AND(F1283&gt;= DATE(2026,1,1), F1283&lt;= DATE(2028, 12, 31), J1283&lt;=50000), "Pendente", F1283&gt;= DATE(2029,1,1), "Não prioeitário")</f>
        <v>Pendente e Caro</v>
      </c>
      <c r="H1283" s="89">
        <f>YEAR(Tabela1[[#This Row],[Data de Validade]])</f>
        <v>2026</v>
      </c>
      <c r="I1283" s="89">
        <f>MONTH(Tabela1[[#This Row],[Data de Validade]])</f>
        <v>7</v>
      </c>
      <c r="J1283" s="101">
        <v>72532</v>
      </c>
      <c r="K1283" s="87" t="s">
        <v>11</v>
      </c>
      <c r="L1283" s="108"/>
      <c r="M1283" s="108"/>
      <c r="N1283" s="108" t="str">
        <v>H843H273</v>
      </c>
      <c r="O1283" s="108">
        <f t="shared" ref="O1283:O1346" si="22">COUNTIFS(B:B,N1283)</f>
        <v>1</v>
      </c>
      <c r="P1283" s="108"/>
      <c r="Q1283"/>
    </row>
    <row r="1284" spans="1:17" x14ac:dyDescent="0.25">
      <c r="A1284" s="89" t="s">
        <v>8799</v>
      </c>
      <c r="B1284" s="87" t="s">
        <v>8800</v>
      </c>
      <c r="C1284" s="87" t="s">
        <v>12</v>
      </c>
      <c r="D1284" s="87" t="str">
        <f>VLOOKUP(Tabela1[[#This Row],[Origem]], 'Perguntas 1 a 24'!$J$28:$K$34, 2, 0)</f>
        <v>Sudeste</v>
      </c>
      <c r="E1284" s="87" t="str">
        <f>Tabela1[[#This Row],[Descrição]]&amp;"-"&amp;Tabela1[[#This Row],[Código]]&amp;"/"&amp;Tabela1[[#This Row],[Origem]]</f>
        <v>Vegolepiga-P572H288/RJ</v>
      </c>
      <c r="F1284" s="88">
        <v>46213</v>
      </c>
      <c r="G1284" s="88" t="str" cm="1">
        <f t="array" ref="G12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AND(F1284&gt;= DATE(2026,1,1), F1284&lt;= DATE(2028, 12, 31), J1284&gt;50000), "Pendente e Caro", AND(F1284&gt;= DATE(2026,1,1), F1284&lt;= DATE(2028, 12, 31), J1284&lt;=50000), "Pendente", F1284&gt;= DATE(2029,1,1), "Não prioeitário")</f>
        <v>Pendente</v>
      </c>
      <c r="H1284" s="89">
        <f>YEAR(Tabela1[[#This Row],[Data de Validade]])</f>
        <v>2026</v>
      </c>
      <c r="I1284" s="89">
        <f>MONTH(Tabela1[[#This Row],[Data de Validade]])</f>
        <v>7</v>
      </c>
      <c r="J1284" s="101">
        <v>33407</v>
      </c>
      <c r="K1284" s="87" t="s">
        <v>11</v>
      </c>
      <c r="L1284" s="108"/>
      <c r="M1284" s="108"/>
      <c r="N1284" s="108" t="str">
        <v>P572H288</v>
      </c>
      <c r="O1284" s="108">
        <f t="shared" si="22"/>
        <v>1</v>
      </c>
      <c r="P1284" s="108"/>
      <c r="Q1284"/>
    </row>
    <row r="1285" spans="1:17" x14ac:dyDescent="0.25">
      <c r="A1285" s="89" t="s">
        <v>6436</v>
      </c>
      <c r="B1285" s="87" t="s">
        <v>6437</v>
      </c>
      <c r="C1285" s="87" t="s">
        <v>8</v>
      </c>
      <c r="D1285" s="87" t="str">
        <f>VLOOKUP(Tabela1[[#This Row],[Origem]], 'Perguntas 1 a 24'!$J$28:$K$34, 2, 0)</f>
        <v>Nordeste</v>
      </c>
      <c r="E1285" s="87" t="str">
        <f>Tabela1[[#This Row],[Descrição]]&amp;"-"&amp;Tabela1[[#This Row],[Código]]&amp;"/"&amp;Tabela1[[#This Row],[Origem]]</f>
        <v>Latitapatu-H967H689/AL</v>
      </c>
      <c r="F1285" s="88">
        <v>46214</v>
      </c>
      <c r="G1285" s="88" t="str" cm="1">
        <f t="array" ref="G12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AND(F1285&gt;= DATE(2026,1,1), F1285&lt;= DATE(2028, 12, 31), J1285&gt;50000), "Pendente e Caro", AND(F1285&gt;= DATE(2026,1,1), F1285&lt;= DATE(2028, 12, 31), J1285&lt;=50000), "Pendente", F1285&gt;= DATE(2029,1,1), "Não prioeitário")</f>
        <v>Pendente e Caro</v>
      </c>
      <c r="H1285" s="89">
        <f>YEAR(Tabela1[[#This Row],[Data de Validade]])</f>
        <v>2026</v>
      </c>
      <c r="I1285" s="89">
        <f>MONTH(Tabela1[[#This Row],[Data de Validade]])</f>
        <v>7</v>
      </c>
      <c r="J1285" s="101">
        <v>64381</v>
      </c>
      <c r="K1285" s="87" t="s">
        <v>9</v>
      </c>
      <c r="L1285" s="108"/>
      <c r="M1285" s="108"/>
      <c r="N1285" s="108" t="str">
        <v>H967H689</v>
      </c>
      <c r="O1285" s="108">
        <f t="shared" si="22"/>
        <v>1</v>
      </c>
      <c r="P1285" s="108"/>
      <c r="Q1285"/>
    </row>
    <row r="1286" spans="1:17" x14ac:dyDescent="0.25">
      <c r="A1286" s="89" t="s">
        <v>6536</v>
      </c>
      <c r="B1286" s="87" t="s">
        <v>6537</v>
      </c>
      <c r="C1286" s="87" t="s">
        <v>15</v>
      </c>
      <c r="D1286" s="87" t="str">
        <f>VLOOKUP(Tabela1[[#This Row],[Origem]], 'Perguntas 1 a 24'!$J$28:$K$34, 2, 0)</f>
        <v>Sudeste</v>
      </c>
      <c r="E1286" s="87" t="str">
        <f>Tabela1[[#This Row],[Descrição]]&amp;"-"&amp;Tabela1[[#This Row],[Código]]&amp;"/"&amp;Tabela1[[#This Row],[Origem]]</f>
        <v>Vedumararo-P935H546/ES</v>
      </c>
      <c r="F1286" s="88">
        <v>46215</v>
      </c>
      <c r="G1286" s="88" t="str" cm="1">
        <f t="array" ref="G12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AND(F1286&gt;= DATE(2026,1,1), F1286&lt;= DATE(2028, 12, 31), J1286&gt;50000), "Pendente e Caro", AND(F1286&gt;= DATE(2026,1,1), F1286&lt;= DATE(2028, 12, 31), J1286&lt;=50000), "Pendente", F1286&gt;= DATE(2029,1,1), "Não prioeitário")</f>
        <v>Pendente e Caro</v>
      </c>
      <c r="H1286" s="89">
        <f>YEAR(Tabela1[[#This Row],[Data de Validade]])</f>
        <v>2026</v>
      </c>
      <c r="I1286" s="89">
        <f>MONTH(Tabela1[[#This Row],[Data de Validade]])</f>
        <v>7</v>
      </c>
      <c r="J1286" s="101">
        <v>91219</v>
      </c>
      <c r="K1286" s="87" t="s">
        <v>11</v>
      </c>
      <c r="L1286" s="108"/>
      <c r="M1286" s="108"/>
      <c r="N1286" s="108" t="str">
        <v>P935H546</v>
      </c>
      <c r="O1286" s="108">
        <f t="shared" si="22"/>
        <v>1</v>
      </c>
      <c r="P1286" s="108"/>
      <c r="Q1286"/>
    </row>
    <row r="1287" spans="1:17" x14ac:dyDescent="0.25">
      <c r="A1287" s="89" t="s">
        <v>7502</v>
      </c>
      <c r="B1287" s="87" t="s">
        <v>7503</v>
      </c>
      <c r="C1287" s="87" t="s">
        <v>6</v>
      </c>
      <c r="D1287" s="87" t="str">
        <f>VLOOKUP(Tabela1[[#This Row],[Origem]], 'Perguntas 1 a 24'!$J$28:$K$34, 2, 0)</f>
        <v>Nordeste</v>
      </c>
      <c r="E1287" s="87" t="str">
        <f>Tabela1[[#This Row],[Descrição]]&amp;"-"&amp;Tabela1[[#This Row],[Código]]&amp;"/"&amp;Tabela1[[#This Row],[Origem]]</f>
        <v>Romipo-P814P725/MA</v>
      </c>
      <c r="F1287" s="88">
        <v>46215</v>
      </c>
      <c r="G1287" s="88" t="str" cm="1">
        <f t="array" ref="G12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AND(F1287&gt;= DATE(2026,1,1), F1287&lt;= DATE(2028, 12, 31), J1287&gt;50000), "Pendente e Caro", AND(F1287&gt;= DATE(2026,1,1), F1287&lt;= DATE(2028, 12, 31), J1287&lt;=50000), "Pendente", F1287&gt;= DATE(2029,1,1), "Não prioeitário")</f>
        <v>Pendente</v>
      </c>
      <c r="H1287" s="89">
        <f>YEAR(Tabela1[[#This Row],[Data de Validade]])</f>
        <v>2026</v>
      </c>
      <c r="I1287" s="89">
        <f>MONTH(Tabela1[[#This Row],[Data de Validade]])</f>
        <v>7</v>
      </c>
      <c r="J1287" s="101">
        <v>27351</v>
      </c>
      <c r="K1287" s="87" t="s">
        <v>7</v>
      </c>
      <c r="L1287" s="108"/>
      <c r="M1287" s="108"/>
      <c r="N1287" s="108" t="str">
        <v>P814P725</v>
      </c>
      <c r="O1287" s="108">
        <f t="shared" si="22"/>
        <v>1</v>
      </c>
      <c r="P1287" s="108"/>
      <c r="Q1287"/>
    </row>
    <row r="1288" spans="1:17" x14ac:dyDescent="0.25">
      <c r="A1288" s="89" t="s">
        <v>6568</v>
      </c>
      <c r="B1288" s="87" t="s">
        <v>6569</v>
      </c>
      <c r="C1288" s="87" t="s">
        <v>16</v>
      </c>
      <c r="D1288" s="87" t="str">
        <f>VLOOKUP(Tabela1[[#This Row],[Origem]], 'Perguntas 1 a 24'!$J$28:$K$34, 2, 0)</f>
        <v>Sudeste</v>
      </c>
      <c r="E1288" s="87" t="str">
        <f>Tabela1[[#This Row],[Descrição]]&amp;"-"&amp;Tabela1[[#This Row],[Código]]&amp;"/"&amp;Tabela1[[#This Row],[Origem]]</f>
        <v>Rulirapoti-H425H154/MG</v>
      </c>
      <c r="F1288" s="88">
        <v>46215</v>
      </c>
      <c r="G1288" s="88" t="str" cm="1">
        <f t="array" ref="G12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AND(F1288&gt;= DATE(2026,1,1), F1288&lt;= DATE(2028, 12, 31), J1288&gt;50000), "Pendente e Caro", AND(F1288&gt;= DATE(2026,1,1), F1288&lt;= DATE(2028, 12, 31), J1288&lt;=50000), "Pendente", F1288&gt;= DATE(2029,1,1), "Não prioeitário")</f>
        <v>Pendente</v>
      </c>
      <c r="H1288" s="89">
        <f>YEAR(Tabela1[[#This Row],[Data de Validade]])</f>
        <v>2026</v>
      </c>
      <c r="I1288" s="89">
        <f>MONTH(Tabela1[[#This Row],[Data de Validade]])</f>
        <v>7</v>
      </c>
      <c r="J1288" s="101">
        <v>24492</v>
      </c>
      <c r="K1288" s="87" t="s">
        <v>11</v>
      </c>
      <c r="L1288" s="108"/>
      <c r="M1288" s="108"/>
      <c r="N1288" s="108" t="str">
        <v>H425H154</v>
      </c>
      <c r="O1288" s="108">
        <f t="shared" si="22"/>
        <v>1</v>
      </c>
      <c r="P1288" s="108"/>
      <c r="Q1288"/>
    </row>
    <row r="1289" spans="1:17" x14ac:dyDescent="0.25">
      <c r="A1289" s="89" t="s">
        <v>5276</v>
      </c>
      <c r="B1289" s="87" t="s">
        <v>5277</v>
      </c>
      <c r="C1289" s="87" t="s">
        <v>10</v>
      </c>
      <c r="D1289" s="87" t="str">
        <f>VLOOKUP(Tabela1[[#This Row],[Origem]], 'Perguntas 1 a 24'!$J$28:$K$34, 2, 0)</f>
        <v>Centro-Oeste</v>
      </c>
      <c r="E1289" s="87" t="str">
        <f>Tabela1[[#This Row],[Descrição]]&amp;"-"&amp;Tabela1[[#This Row],[Código]]&amp;"/"&amp;Tabela1[[#This Row],[Origem]]</f>
        <v>Nilumi-H274H188/GO</v>
      </c>
      <c r="F1289" s="88">
        <v>46216</v>
      </c>
      <c r="G1289" s="88" t="str" cm="1">
        <f t="array" ref="G12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AND(F1289&gt;= DATE(2026,1,1), F1289&lt;= DATE(2028, 12, 31), J1289&gt;50000), "Pendente e Caro", AND(F1289&gt;= DATE(2026,1,1), F1289&lt;= DATE(2028, 12, 31), J1289&lt;=50000), "Pendente", F1289&gt;= DATE(2029,1,1), "Não prioeitário")</f>
        <v>Pendente e Caro</v>
      </c>
      <c r="H1289" s="89">
        <f>YEAR(Tabela1[[#This Row],[Data de Validade]])</f>
        <v>2026</v>
      </c>
      <c r="I1289" s="89">
        <f>MONTH(Tabela1[[#This Row],[Data de Validade]])</f>
        <v>7</v>
      </c>
      <c r="J1289" s="101">
        <v>78785</v>
      </c>
      <c r="K1289" s="87" t="s">
        <v>14</v>
      </c>
      <c r="L1289" s="108"/>
      <c r="M1289" s="108"/>
      <c r="N1289" s="108" t="str">
        <v>H274H188</v>
      </c>
      <c r="O1289" s="108">
        <f t="shared" si="22"/>
        <v>1</v>
      </c>
      <c r="P1289" s="108"/>
      <c r="Q1289"/>
    </row>
    <row r="1290" spans="1:17" x14ac:dyDescent="0.25">
      <c r="A1290" s="89" t="s">
        <v>7754</v>
      </c>
      <c r="B1290" s="87" t="s">
        <v>7755</v>
      </c>
      <c r="C1290" s="87" t="s">
        <v>6</v>
      </c>
      <c r="D1290" s="87" t="str">
        <f>VLOOKUP(Tabela1[[#This Row],[Origem]], 'Perguntas 1 a 24'!$J$28:$K$34, 2, 0)</f>
        <v>Nordeste</v>
      </c>
      <c r="E1290" s="87" t="str">
        <f>Tabela1[[#This Row],[Descrição]]&amp;"-"&amp;Tabela1[[#This Row],[Código]]&amp;"/"&amp;Tabela1[[#This Row],[Origem]]</f>
        <v>Delucolo-P799H323/MA</v>
      </c>
      <c r="F1290" s="88">
        <v>46218</v>
      </c>
      <c r="G1290" s="88" t="str" cm="1">
        <f t="array" ref="G12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AND(F1290&gt;= DATE(2026,1,1), F1290&lt;= DATE(2028, 12, 31), J1290&gt;50000), "Pendente e Caro", AND(F1290&gt;= DATE(2026,1,1), F1290&lt;= DATE(2028, 12, 31), J1290&lt;=50000), "Pendente", F1290&gt;= DATE(2029,1,1), "Não prioeitário")</f>
        <v>Pendente e Caro</v>
      </c>
      <c r="H1290" s="89">
        <f>YEAR(Tabela1[[#This Row],[Data de Validade]])</f>
        <v>2026</v>
      </c>
      <c r="I1290" s="89">
        <f>MONTH(Tabela1[[#This Row],[Data de Validade]])</f>
        <v>7</v>
      </c>
      <c r="J1290" s="101">
        <v>111087</v>
      </c>
      <c r="K1290" s="87" t="s">
        <v>14</v>
      </c>
      <c r="L1290" s="108"/>
      <c r="M1290" s="108"/>
      <c r="N1290" s="108" t="str">
        <v>P799H323</v>
      </c>
      <c r="O1290" s="108">
        <f t="shared" si="22"/>
        <v>1</v>
      </c>
      <c r="P1290" s="108"/>
      <c r="Q1290"/>
    </row>
    <row r="1291" spans="1:17" x14ac:dyDescent="0.25">
      <c r="A1291" s="89" t="s">
        <v>8611</v>
      </c>
      <c r="B1291" s="87" t="s">
        <v>8612</v>
      </c>
      <c r="C1291" s="87" t="s">
        <v>6</v>
      </c>
      <c r="D1291" s="87" t="str">
        <f>VLOOKUP(Tabela1[[#This Row],[Origem]], 'Perguntas 1 a 24'!$J$28:$K$34, 2, 0)</f>
        <v>Nordeste</v>
      </c>
      <c r="E1291" s="87" t="str">
        <f>Tabela1[[#This Row],[Descrição]]&amp;"-"&amp;Tabela1[[#This Row],[Código]]&amp;"/"&amp;Tabela1[[#This Row],[Origem]]</f>
        <v>Divitipe-P514H932/MA</v>
      </c>
      <c r="F1291" s="88">
        <v>46218</v>
      </c>
      <c r="G1291" s="88" t="str" cm="1">
        <f t="array" ref="G12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AND(F1291&gt;= DATE(2026,1,1), F1291&lt;= DATE(2028, 12, 31), J1291&gt;50000), "Pendente e Caro", AND(F1291&gt;= DATE(2026,1,1), F1291&lt;= DATE(2028, 12, 31), J1291&lt;=50000), "Pendente", F1291&gt;= DATE(2029,1,1), "Não prioeitário")</f>
        <v>Pendente</v>
      </c>
      <c r="H1291" s="89">
        <f>YEAR(Tabela1[[#This Row],[Data de Validade]])</f>
        <v>2026</v>
      </c>
      <c r="I1291" s="89">
        <f>MONTH(Tabela1[[#This Row],[Data de Validade]])</f>
        <v>7</v>
      </c>
      <c r="J1291" s="101">
        <v>41651</v>
      </c>
      <c r="K1291" s="87" t="s">
        <v>7</v>
      </c>
      <c r="L1291" s="108"/>
      <c r="M1291" s="108"/>
      <c r="N1291" s="108" t="str">
        <v>P514H932</v>
      </c>
      <c r="O1291" s="108">
        <f t="shared" si="22"/>
        <v>1</v>
      </c>
      <c r="P1291" s="108"/>
      <c r="Q1291"/>
    </row>
    <row r="1292" spans="1:17" x14ac:dyDescent="0.25">
      <c r="A1292" s="89" t="s">
        <v>5782</v>
      </c>
      <c r="B1292" s="87" t="s">
        <v>5783</v>
      </c>
      <c r="C1292" s="87" t="s">
        <v>6</v>
      </c>
      <c r="D1292" s="87" t="str">
        <f>VLOOKUP(Tabela1[[#This Row],[Origem]], 'Perguntas 1 a 24'!$J$28:$K$34, 2, 0)</f>
        <v>Nordeste</v>
      </c>
      <c r="E1292" s="87" t="str">
        <f>Tabela1[[#This Row],[Descrição]]&amp;"-"&amp;Tabela1[[#This Row],[Código]]&amp;"/"&amp;Tabela1[[#This Row],[Origem]]</f>
        <v>Vifipi-P231H762/MA</v>
      </c>
      <c r="F1292" s="88">
        <v>46219</v>
      </c>
      <c r="G1292" s="88" t="str" cm="1">
        <f t="array" ref="G12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AND(F1292&gt;= DATE(2026,1,1), F1292&lt;= DATE(2028, 12, 31), J1292&gt;50000), "Pendente e Caro", AND(F1292&gt;= DATE(2026,1,1), F1292&lt;= DATE(2028, 12, 31), J1292&lt;=50000), "Pendente", F1292&gt;= DATE(2029,1,1), "Não prioeitário")</f>
        <v>Pendente e Caro</v>
      </c>
      <c r="H1292" s="89">
        <f>YEAR(Tabela1[[#This Row],[Data de Validade]])</f>
        <v>2026</v>
      </c>
      <c r="I1292" s="89">
        <f>MONTH(Tabela1[[#This Row],[Data de Validade]])</f>
        <v>7</v>
      </c>
      <c r="J1292" s="101">
        <v>99829</v>
      </c>
      <c r="K1292" s="87" t="s">
        <v>11</v>
      </c>
      <c r="L1292" s="108"/>
      <c r="M1292" s="108"/>
      <c r="N1292" s="108" t="str">
        <v>P231H762</v>
      </c>
      <c r="O1292" s="108">
        <f t="shared" si="22"/>
        <v>1</v>
      </c>
      <c r="P1292" s="108"/>
      <c r="Q1292"/>
    </row>
    <row r="1293" spans="1:17" x14ac:dyDescent="0.25">
      <c r="A1293" s="89" t="s">
        <v>8665</v>
      </c>
      <c r="B1293" s="87" t="s">
        <v>8666</v>
      </c>
      <c r="C1293" s="87" t="s">
        <v>6</v>
      </c>
      <c r="D1293" s="87" t="str">
        <f>VLOOKUP(Tabela1[[#This Row],[Origem]], 'Perguntas 1 a 24'!$J$28:$K$34, 2, 0)</f>
        <v>Nordeste</v>
      </c>
      <c r="E1293" s="87" t="str">
        <f>Tabela1[[#This Row],[Descrição]]&amp;"-"&amp;Tabela1[[#This Row],[Código]]&amp;"/"&amp;Tabela1[[#This Row],[Origem]]</f>
        <v>Tatuge-H229P312/MA</v>
      </c>
      <c r="F1293" s="88">
        <v>46219</v>
      </c>
      <c r="G1293" s="88" t="str" cm="1">
        <f t="array" ref="G12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AND(F1293&gt;= DATE(2026,1,1), F1293&lt;= DATE(2028, 12, 31), J1293&gt;50000), "Pendente e Caro", AND(F1293&gt;= DATE(2026,1,1), F1293&lt;= DATE(2028, 12, 31), J1293&lt;=50000), "Pendente", F1293&gt;= DATE(2029,1,1), "Não prioeitário")</f>
        <v>Pendente e Caro</v>
      </c>
      <c r="H1293" s="89">
        <f>YEAR(Tabela1[[#This Row],[Data de Validade]])</f>
        <v>2026</v>
      </c>
      <c r="I1293" s="89">
        <f>MONTH(Tabela1[[#This Row],[Data de Validade]])</f>
        <v>7</v>
      </c>
      <c r="J1293" s="101">
        <v>85043</v>
      </c>
      <c r="K1293" s="87" t="s">
        <v>9</v>
      </c>
      <c r="L1293" s="108"/>
      <c r="M1293" s="108"/>
      <c r="N1293" s="108" t="str">
        <v>H229P312</v>
      </c>
      <c r="O1293" s="108">
        <f t="shared" si="22"/>
        <v>1</v>
      </c>
      <c r="P1293" s="108"/>
      <c r="Q1293"/>
    </row>
    <row r="1294" spans="1:17" x14ac:dyDescent="0.25">
      <c r="A1294" s="89" t="s">
        <v>10373</v>
      </c>
      <c r="B1294" s="87" t="s">
        <v>10374</v>
      </c>
      <c r="C1294" s="87" t="s">
        <v>13</v>
      </c>
      <c r="D1294" s="87" t="str">
        <f>VLOOKUP(Tabela1[[#This Row],[Origem]], 'Perguntas 1 a 24'!$J$28:$K$34, 2, 0)</f>
        <v>Sudeste</v>
      </c>
      <c r="E1294" s="87" t="str">
        <f>Tabela1[[#This Row],[Descrição]]&amp;"-"&amp;Tabela1[[#This Row],[Código]]&amp;"/"&amp;Tabela1[[#This Row],[Origem]]</f>
        <v>Girepi-P593H789/SP</v>
      </c>
      <c r="F1294" s="88">
        <v>46220</v>
      </c>
      <c r="G1294" s="88" t="str" cm="1">
        <f t="array" ref="G12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AND(F1294&gt;= DATE(2026,1,1), F1294&lt;= DATE(2028, 12, 31), J1294&gt;50000), "Pendente e Caro", AND(F1294&gt;= DATE(2026,1,1), F1294&lt;= DATE(2028, 12, 31), J1294&lt;=50000), "Pendente", F1294&gt;= DATE(2029,1,1), "Não prioeitário")</f>
        <v>Pendente e Caro</v>
      </c>
      <c r="H1294" s="89">
        <f>YEAR(Tabela1[[#This Row],[Data de Validade]])</f>
        <v>2026</v>
      </c>
      <c r="I1294" s="89">
        <f>MONTH(Tabela1[[#This Row],[Data de Validade]])</f>
        <v>7</v>
      </c>
      <c r="J1294" s="101">
        <v>58979</v>
      </c>
      <c r="K1294" s="87" t="s">
        <v>11</v>
      </c>
      <c r="L1294" s="108"/>
      <c r="M1294" s="108"/>
      <c r="N1294" s="108" t="str">
        <v>P593H789</v>
      </c>
      <c r="O1294" s="108">
        <f t="shared" si="22"/>
        <v>1</v>
      </c>
      <c r="P1294" s="108"/>
      <c r="Q1294"/>
    </row>
    <row r="1295" spans="1:17" x14ac:dyDescent="0.25">
      <c r="A1295" s="89" t="s">
        <v>5690</v>
      </c>
      <c r="B1295" s="87" t="s">
        <v>5691</v>
      </c>
      <c r="C1295" s="87" t="s">
        <v>13</v>
      </c>
      <c r="D1295" s="87" t="str">
        <f>VLOOKUP(Tabela1[[#This Row],[Origem]], 'Perguntas 1 a 24'!$J$28:$K$34, 2, 0)</f>
        <v>Sudeste</v>
      </c>
      <c r="E1295" s="87" t="str">
        <f>Tabela1[[#This Row],[Descrição]]&amp;"-"&amp;Tabela1[[#This Row],[Código]]&amp;"/"&amp;Tabela1[[#This Row],[Origem]]</f>
        <v>Navagapope-P541H983/SP</v>
      </c>
      <c r="F1295" s="88">
        <v>46220</v>
      </c>
      <c r="G1295" s="88" t="str" cm="1">
        <f t="array" ref="G12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AND(F1295&gt;= DATE(2026,1,1), F1295&lt;= DATE(2028, 12, 31), J1295&gt;50000), "Pendente e Caro", AND(F1295&gt;= DATE(2026,1,1), F1295&lt;= DATE(2028, 12, 31), J1295&lt;=50000), "Pendente", F1295&gt;= DATE(2029,1,1), "Não prioeitário")</f>
        <v>Pendente e Caro</v>
      </c>
      <c r="H1295" s="89">
        <f>YEAR(Tabela1[[#This Row],[Data de Validade]])</f>
        <v>2026</v>
      </c>
      <c r="I1295" s="89">
        <f>MONTH(Tabela1[[#This Row],[Data de Validade]])</f>
        <v>7</v>
      </c>
      <c r="J1295" s="101">
        <v>57605</v>
      </c>
      <c r="K1295" s="87" t="s">
        <v>9</v>
      </c>
      <c r="L1295" s="108"/>
      <c r="M1295" s="108"/>
      <c r="N1295" s="108" t="str">
        <v>P541H983</v>
      </c>
      <c r="O1295" s="108">
        <f t="shared" si="22"/>
        <v>1</v>
      </c>
      <c r="P1295" s="108"/>
      <c r="Q1295"/>
    </row>
    <row r="1296" spans="1:17" x14ac:dyDescent="0.25">
      <c r="A1296" s="89" t="s">
        <v>7164</v>
      </c>
      <c r="B1296" s="87" t="s">
        <v>7165</v>
      </c>
      <c r="C1296" s="87" t="s">
        <v>10</v>
      </c>
      <c r="D1296" s="87" t="str">
        <f>VLOOKUP(Tabela1[[#This Row],[Origem]], 'Perguntas 1 a 24'!$J$28:$K$34, 2, 0)</f>
        <v>Centro-Oeste</v>
      </c>
      <c r="E1296" s="87" t="str">
        <f>Tabela1[[#This Row],[Descrição]]&amp;"-"&amp;Tabela1[[#This Row],[Código]]&amp;"/"&amp;Tabela1[[#This Row],[Origem]]</f>
        <v>Romepuma-P244P655/GO</v>
      </c>
      <c r="F1296" s="88">
        <v>46221</v>
      </c>
      <c r="G1296" s="88" t="str" cm="1">
        <f t="array" ref="G12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AND(F1296&gt;= DATE(2026,1,1), F1296&lt;= DATE(2028, 12, 31), J1296&gt;50000), "Pendente e Caro", AND(F1296&gt;= DATE(2026,1,1), F1296&lt;= DATE(2028, 12, 31), J1296&lt;=50000), "Pendente", F1296&gt;= DATE(2029,1,1), "Não prioeitário")</f>
        <v>Pendente</v>
      </c>
      <c r="H1296" s="89">
        <f>YEAR(Tabela1[[#This Row],[Data de Validade]])</f>
        <v>2026</v>
      </c>
      <c r="I1296" s="89">
        <f>MONTH(Tabela1[[#This Row],[Data de Validade]])</f>
        <v>7</v>
      </c>
      <c r="J1296" s="101">
        <v>49124</v>
      </c>
      <c r="K1296" s="87" t="s">
        <v>11</v>
      </c>
      <c r="L1296" s="108"/>
      <c r="M1296" s="108"/>
      <c r="N1296" s="108" t="str">
        <v>P244P655</v>
      </c>
      <c r="O1296" s="108">
        <f t="shared" si="22"/>
        <v>1</v>
      </c>
      <c r="P1296" s="108"/>
      <c r="Q1296"/>
    </row>
    <row r="1297" spans="1:17" x14ac:dyDescent="0.25">
      <c r="A1297" s="89" t="s">
        <v>5644</v>
      </c>
      <c r="B1297" s="87" t="s">
        <v>5645</v>
      </c>
      <c r="C1297" s="87" t="s">
        <v>16</v>
      </c>
      <c r="D1297" s="87" t="str">
        <f>VLOOKUP(Tabela1[[#This Row],[Origem]], 'Perguntas 1 a 24'!$J$28:$K$34, 2, 0)</f>
        <v>Sudeste</v>
      </c>
      <c r="E1297" s="87" t="str">
        <f>Tabela1[[#This Row],[Descrição]]&amp;"-"&amp;Tabela1[[#This Row],[Código]]&amp;"/"&amp;Tabela1[[#This Row],[Origem]]</f>
        <v>Neficera-H713H948/MG</v>
      </c>
      <c r="F1297" s="88">
        <v>46225</v>
      </c>
      <c r="G1297" s="88" t="str" cm="1">
        <f t="array" ref="G12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AND(F1297&gt;= DATE(2026,1,1), F1297&lt;= DATE(2028, 12, 31), J1297&gt;50000), "Pendente e Caro", AND(F1297&gt;= DATE(2026,1,1), F1297&lt;= DATE(2028, 12, 31), J1297&lt;=50000), "Pendente", F1297&gt;= DATE(2029,1,1), "Não prioeitário")</f>
        <v>Pendente e Caro</v>
      </c>
      <c r="H1297" s="89">
        <f>YEAR(Tabela1[[#This Row],[Data de Validade]])</f>
        <v>2026</v>
      </c>
      <c r="I1297" s="89">
        <f>MONTH(Tabela1[[#This Row],[Data de Validade]])</f>
        <v>7</v>
      </c>
      <c r="J1297" s="101">
        <v>83731</v>
      </c>
      <c r="K1297" s="87" t="s">
        <v>14</v>
      </c>
      <c r="L1297" s="108"/>
      <c r="M1297" s="108"/>
      <c r="N1297" s="108" t="str">
        <v>H713H948</v>
      </c>
      <c r="O1297" s="108">
        <f t="shared" si="22"/>
        <v>1</v>
      </c>
      <c r="P1297" s="108"/>
      <c r="Q1297"/>
    </row>
    <row r="1298" spans="1:17" x14ac:dyDescent="0.25">
      <c r="A1298" s="89" t="s">
        <v>6294</v>
      </c>
      <c r="B1298" s="87" t="s">
        <v>6295</v>
      </c>
      <c r="C1298" s="87" t="s">
        <v>6</v>
      </c>
      <c r="D1298" s="87" t="str">
        <f>VLOOKUP(Tabela1[[#This Row],[Origem]], 'Perguntas 1 a 24'!$J$28:$K$34, 2, 0)</f>
        <v>Nordeste</v>
      </c>
      <c r="E1298" s="87" t="str">
        <f>Tabela1[[#This Row],[Descrição]]&amp;"-"&amp;Tabela1[[#This Row],[Código]]&amp;"/"&amp;Tabela1[[#This Row],[Origem]]</f>
        <v>Gupolerara-P871H723/MA</v>
      </c>
      <c r="F1298" s="88">
        <v>46225</v>
      </c>
      <c r="G1298" s="88" t="str" cm="1">
        <f t="array" ref="G12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AND(F1298&gt;= DATE(2026,1,1), F1298&lt;= DATE(2028, 12, 31), J1298&gt;50000), "Pendente e Caro", AND(F1298&gt;= DATE(2026,1,1), F1298&lt;= DATE(2028, 12, 31), J1298&lt;=50000), "Pendente", F1298&gt;= DATE(2029,1,1), "Não prioeitário")</f>
        <v>Pendente e Caro</v>
      </c>
      <c r="H1298" s="89">
        <f>YEAR(Tabela1[[#This Row],[Data de Validade]])</f>
        <v>2026</v>
      </c>
      <c r="I1298" s="89">
        <f>MONTH(Tabela1[[#This Row],[Data de Validade]])</f>
        <v>7</v>
      </c>
      <c r="J1298" s="101">
        <v>61063</v>
      </c>
      <c r="K1298" s="87" t="s">
        <v>14</v>
      </c>
      <c r="L1298" s="108"/>
      <c r="M1298" s="108"/>
      <c r="N1298" s="108" t="str">
        <v>P871H723</v>
      </c>
      <c r="O1298" s="108">
        <f t="shared" si="22"/>
        <v>1</v>
      </c>
      <c r="P1298" s="108"/>
      <c r="Q1298"/>
    </row>
    <row r="1299" spans="1:17" x14ac:dyDescent="0.25">
      <c r="A1299" s="89" t="s">
        <v>9731</v>
      </c>
      <c r="B1299" s="87" t="s">
        <v>9732</v>
      </c>
      <c r="C1299" s="87" t="s">
        <v>13</v>
      </c>
      <c r="D1299" s="87" t="str">
        <f>VLOOKUP(Tabela1[[#This Row],[Origem]], 'Perguntas 1 a 24'!$J$28:$K$34, 2, 0)</f>
        <v>Sudeste</v>
      </c>
      <c r="E1299" s="87" t="str">
        <f>Tabela1[[#This Row],[Descrição]]&amp;"-"&amp;Tabela1[[#This Row],[Código]]&amp;"/"&amp;Tabela1[[#This Row],[Origem]]</f>
        <v>Tegeroropu-P152H931/SP</v>
      </c>
      <c r="F1299" s="88">
        <v>46226</v>
      </c>
      <c r="G1299" s="88" t="str" cm="1">
        <f t="array" ref="G12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AND(F1299&gt;= DATE(2026,1,1), F1299&lt;= DATE(2028, 12, 31), J1299&gt;50000), "Pendente e Caro", AND(F1299&gt;= DATE(2026,1,1), F1299&lt;= DATE(2028, 12, 31), J1299&lt;=50000), "Pendente", F1299&gt;= DATE(2029,1,1), "Não prioeitário")</f>
        <v>Pendente e Caro</v>
      </c>
      <c r="H1299" s="89">
        <f>YEAR(Tabela1[[#This Row],[Data de Validade]])</f>
        <v>2026</v>
      </c>
      <c r="I1299" s="89">
        <f>MONTH(Tabela1[[#This Row],[Data de Validade]])</f>
        <v>7</v>
      </c>
      <c r="J1299" s="101">
        <v>105763</v>
      </c>
      <c r="K1299" s="87" t="s">
        <v>9</v>
      </c>
      <c r="L1299" s="108"/>
      <c r="M1299" s="108"/>
      <c r="N1299" s="108" t="str">
        <v>P152H931</v>
      </c>
      <c r="O1299" s="108">
        <f t="shared" si="22"/>
        <v>1</v>
      </c>
      <c r="P1299" s="108"/>
      <c r="Q1299"/>
    </row>
    <row r="1300" spans="1:17" x14ac:dyDescent="0.25">
      <c r="A1300" s="89" t="s">
        <v>8202</v>
      </c>
      <c r="B1300" s="87" t="s">
        <v>8203</v>
      </c>
      <c r="C1300" s="87" t="s">
        <v>12</v>
      </c>
      <c r="D1300" s="87" t="str">
        <f>VLOOKUP(Tabela1[[#This Row],[Origem]], 'Perguntas 1 a 24'!$J$28:$K$34, 2, 0)</f>
        <v>Sudeste</v>
      </c>
      <c r="E1300" s="87" t="str">
        <f>Tabela1[[#This Row],[Descrição]]&amp;"-"&amp;Tabela1[[#This Row],[Código]]&amp;"/"&amp;Tabela1[[#This Row],[Origem]]</f>
        <v>Vitunora-H142P529/RJ</v>
      </c>
      <c r="F1300" s="88">
        <v>46226</v>
      </c>
      <c r="G1300" s="88" t="str" cm="1">
        <f t="array" ref="G13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AND(F1300&gt;= DATE(2026,1,1), F1300&lt;= DATE(2028, 12, 31), J1300&gt;50000), "Pendente e Caro", AND(F1300&gt;= DATE(2026,1,1), F1300&lt;= DATE(2028, 12, 31), J1300&lt;=50000), "Pendente", F1300&gt;= DATE(2029,1,1), "Não prioeitário")</f>
        <v>Pendente e Caro</v>
      </c>
      <c r="H1300" s="89">
        <f>YEAR(Tabela1[[#This Row],[Data de Validade]])</f>
        <v>2026</v>
      </c>
      <c r="I1300" s="89">
        <f>MONTH(Tabela1[[#This Row],[Data de Validade]])</f>
        <v>7</v>
      </c>
      <c r="J1300" s="101">
        <v>57142</v>
      </c>
      <c r="K1300" s="87" t="s">
        <v>14</v>
      </c>
      <c r="L1300" s="108"/>
      <c r="M1300" s="108"/>
      <c r="N1300" s="108" t="str">
        <v>H142P529</v>
      </c>
      <c r="O1300" s="108">
        <f t="shared" si="22"/>
        <v>1</v>
      </c>
      <c r="P1300" s="108"/>
      <c r="Q1300"/>
    </row>
    <row r="1301" spans="1:17" x14ac:dyDescent="0.25">
      <c r="A1301" s="89" t="s">
        <v>8308</v>
      </c>
      <c r="B1301" s="87" t="s">
        <v>8309</v>
      </c>
      <c r="C1301" s="87" t="s">
        <v>8</v>
      </c>
      <c r="D1301" s="87" t="str">
        <f>VLOOKUP(Tabela1[[#This Row],[Origem]], 'Perguntas 1 a 24'!$J$28:$K$34, 2, 0)</f>
        <v>Nordeste</v>
      </c>
      <c r="E1301" s="87" t="str">
        <f>Tabela1[[#This Row],[Descrição]]&amp;"-"&amp;Tabela1[[#This Row],[Código]]&amp;"/"&amp;Tabela1[[#This Row],[Origem]]</f>
        <v>Pegolugodu-H591H286/AL</v>
      </c>
      <c r="F1301" s="88">
        <v>46227</v>
      </c>
      <c r="G1301" s="88" t="str" cm="1">
        <f t="array" ref="G13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AND(F1301&gt;= DATE(2026,1,1), F1301&lt;= DATE(2028, 12, 31), J1301&gt;50000), "Pendente e Caro", AND(F1301&gt;= DATE(2026,1,1), F1301&lt;= DATE(2028, 12, 31), J1301&lt;=50000), "Pendente", F1301&gt;= DATE(2029,1,1), "Não prioeitário")</f>
        <v>Pendente e Caro</v>
      </c>
      <c r="H1301" s="89">
        <f>YEAR(Tabela1[[#This Row],[Data de Validade]])</f>
        <v>2026</v>
      </c>
      <c r="I1301" s="89">
        <f>MONTH(Tabela1[[#This Row],[Data de Validade]])</f>
        <v>7</v>
      </c>
      <c r="J1301" s="101">
        <v>107522</v>
      </c>
      <c r="K1301" s="87" t="s">
        <v>11</v>
      </c>
      <c r="L1301" s="108"/>
      <c r="M1301" s="108"/>
      <c r="N1301" s="108" t="str">
        <v>H591H286</v>
      </c>
      <c r="O1301" s="108">
        <f t="shared" si="22"/>
        <v>1</v>
      </c>
      <c r="P1301" s="108"/>
      <c r="Q1301"/>
    </row>
    <row r="1302" spans="1:17" x14ac:dyDescent="0.25">
      <c r="A1302" s="89" t="s">
        <v>10495</v>
      </c>
      <c r="B1302" s="87" t="s">
        <v>10496</v>
      </c>
      <c r="C1302" s="87" t="s">
        <v>10</v>
      </c>
      <c r="D1302" s="87" t="str">
        <f>VLOOKUP(Tabela1[[#This Row],[Origem]], 'Perguntas 1 a 24'!$J$28:$K$34, 2, 0)</f>
        <v>Centro-Oeste</v>
      </c>
      <c r="E1302" s="87" t="str">
        <f>Tabela1[[#This Row],[Descrição]]&amp;"-"&amp;Tabela1[[#This Row],[Código]]&amp;"/"&amp;Tabela1[[#This Row],[Origem]]</f>
        <v>Tipigipi-H491P645/GO</v>
      </c>
      <c r="F1302" s="88">
        <v>46227</v>
      </c>
      <c r="G1302" s="88" t="str" cm="1">
        <f t="array" ref="G13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AND(F1302&gt;= DATE(2026,1,1), F1302&lt;= DATE(2028, 12, 31), J1302&gt;50000), "Pendente e Caro", AND(F1302&gt;= DATE(2026,1,1), F1302&lt;= DATE(2028, 12, 31), J1302&lt;=50000), "Pendente", F1302&gt;= DATE(2029,1,1), "Não prioeitário")</f>
        <v>Pendente</v>
      </c>
      <c r="H1302" s="89">
        <f>YEAR(Tabela1[[#This Row],[Data de Validade]])</f>
        <v>2026</v>
      </c>
      <c r="I1302" s="89">
        <f>MONTH(Tabela1[[#This Row],[Data de Validade]])</f>
        <v>7</v>
      </c>
      <c r="J1302" s="101">
        <v>22604</v>
      </c>
      <c r="K1302" s="87" t="s">
        <v>14</v>
      </c>
      <c r="L1302" s="108"/>
      <c r="M1302" s="108"/>
      <c r="N1302" s="108" t="str">
        <v>H491P645</v>
      </c>
      <c r="O1302" s="108">
        <f t="shared" si="22"/>
        <v>1</v>
      </c>
      <c r="P1302" s="108"/>
      <c r="Q1302"/>
    </row>
    <row r="1303" spans="1:17" x14ac:dyDescent="0.25">
      <c r="A1303" s="89" t="s">
        <v>8404</v>
      </c>
      <c r="B1303" s="87" t="s">
        <v>8405</v>
      </c>
      <c r="C1303" s="87" t="s">
        <v>10</v>
      </c>
      <c r="D1303" s="87" t="str">
        <f>VLOOKUP(Tabela1[[#This Row],[Origem]], 'Perguntas 1 a 24'!$J$28:$K$34, 2, 0)</f>
        <v>Centro-Oeste</v>
      </c>
      <c r="E1303" s="87" t="str">
        <f>Tabela1[[#This Row],[Descrição]]&amp;"-"&amp;Tabela1[[#This Row],[Código]]&amp;"/"&amp;Tabela1[[#This Row],[Origem]]</f>
        <v>Tugatutapo-P753H712/GO</v>
      </c>
      <c r="F1303" s="88">
        <v>46228</v>
      </c>
      <c r="G1303" s="88" t="str" cm="1">
        <f t="array" ref="G13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AND(F1303&gt;= DATE(2026,1,1), F1303&lt;= DATE(2028, 12, 31), J1303&gt;50000), "Pendente e Caro", AND(F1303&gt;= DATE(2026,1,1), F1303&lt;= DATE(2028, 12, 31), J1303&lt;=50000), "Pendente", F1303&gt;= DATE(2029,1,1), "Não prioeitário")</f>
        <v>Pendente</v>
      </c>
      <c r="H1303" s="89">
        <f>YEAR(Tabela1[[#This Row],[Data de Validade]])</f>
        <v>2026</v>
      </c>
      <c r="I1303" s="89">
        <f>MONTH(Tabela1[[#This Row],[Data de Validade]])</f>
        <v>7</v>
      </c>
      <c r="J1303" s="101">
        <v>46137</v>
      </c>
      <c r="K1303" s="87" t="s">
        <v>14</v>
      </c>
      <c r="L1303" s="108"/>
      <c r="M1303" s="108"/>
      <c r="N1303" s="108" t="str">
        <v>P753H712</v>
      </c>
      <c r="O1303" s="108">
        <f t="shared" si="22"/>
        <v>1</v>
      </c>
      <c r="P1303" s="108"/>
      <c r="Q1303"/>
    </row>
    <row r="1304" spans="1:17" x14ac:dyDescent="0.25">
      <c r="A1304" s="89" t="s">
        <v>11196</v>
      </c>
      <c r="B1304" s="87" t="s">
        <v>11197</v>
      </c>
      <c r="C1304" s="87" t="s">
        <v>15</v>
      </c>
      <c r="D1304" s="87" t="str">
        <f>VLOOKUP(Tabela1[[#This Row],[Origem]], 'Perguntas 1 a 24'!$J$28:$K$34, 2, 0)</f>
        <v>Sudeste</v>
      </c>
      <c r="E1304" s="87" t="str">
        <f>Tabela1[[#This Row],[Descrição]]&amp;"-"&amp;Tabela1[[#This Row],[Código]]&amp;"/"&amp;Tabela1[[#This Row],[Origem]]</f>
        <v>Ripipavi-H822P982/ES</v>
      </c>
      <c r="F1304" s="88">
        <v>46229</v>
      </c>
      <c r="G1304" s="88" t="str" cm="1">
        <f t="array" ref="G13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AND(F1304&gt;= DATE(2026,1,1), F1304&lt;= DATE(2028, 12, 31), J1304&gt;50000), "Pendente e Caro", AND(F1304&gt;= DATE(2026,1,1), F1304&lt;= DATE(2028, 12, 31), J1304&lt;=50000), "Pendente", F1304&gt;= DATE(2029,1,1), "Não prioeitário")</f>
        <v>Pendente e Caro</v>
      </c>
      <c r="H1304" s="89">
        <f>YEAR(Tabela1[[#This Row],[Data de Validade]])</f>
        <v>2026</v>
      </c>
      <c r="I1304" s="89">
        <f>MONTH(Tabela1[[#This Row],[Data de Validade]])</f>
        <v>7</v>
      </c>
      <c r="J1304" s="101">
        <v>62356</v>
      </c>
      <c r="K1304" s="87" t="s">
        <v>11</v>
      </c>
      <c r="L1304" s="108"/>
      <c r="M1304" s="108"/>
      <c r="N1304" s="108" t="str">
        <v>H822P982</v>
      </c>
      <c r="O1304" s="108">
        <f t="shared" si="22"/>
        <v>1</v>
      </c>
      <c r="P1304" s="108"/>
      <c r="Q1304"/>
    </row>
    <row r="1305" spans="1:17" x14ac:dyDescent="0.25">
      <c r="A1305" s="89" t="s">
        <v>8693</v>
      </c>
      <c r="B1305" s="87" t="s">
        <v>8694</v>
      </c>
      <c r="C1305" s="87" t="s">
        <v>12</v>
      </c>
      <c r="D1305" s="87" t="str">
        <f>VLOOKUP(Tabela1[[#This Row],[Origem]], 'Perguntas 1 a 24'!$J$28:$K$34, 2, 0)</f>
        <v>Sudeste</v>
      </c>
      <c r="E1305" s="87" t="str">
        <f>Tabela1[[#This Row],[Descrição]]&amp;"-"&amp;Tabela1[[#This Row],[Código]]&amp;"/"&amp;Tabela1[[#This Row],[Origem]]</f>
        <v>Napupitolo-P826P555/RJ</v>
      </c>
      <c r="F1305" s="88">
        <v>46231</v>
      </c>
      <c r="G1305" s="88" t="str" cm="1">
        <f t="array" ref="G13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AND(F1305&gt;= DATE(2026,1,1), F1305&lt;= DATE(2028, 12, 31), J1305&gt;50000), "Pendente e Caro", AND(F1305&gt;= DATE(2026,1,1), F1305&lt;= DATE(2028, 12, 31), J1305&lt;=50000), "Pendente", F1305&gt;= DATE(2029,1,1), "Não prioeitário")</f>
        <v>Pendente e Caro</v>
      </c>
      <c r="H1305" s="89">
        <f>YEAR(Tabela1[[#This Row],[Data de Validade]])</f>
        <v>2026</v>
      </c>
      <c r="I1305" s="89">
        <f>MONTH(Tabela1[[#This Row],[Data de Validade]])</f>
        <v>7</v>
      </c>
      <c r="J1305" s="101">
        <v>90580</v>
      </c>
      <c r="K1305" s="87" t="s">
        <v>11</v>
      </c>
      <c r="L1305" s="108"/>
      <c r="M1305" s="108"/>
      <c r="N1305" s="108" t="str">
        <v>P826P555</v>
      </c>
      <c r="O1305" s="108">
        <f t="shared" si="22"/>
        <v>1</v>
      </c>
      <c r="P1305" s="108"/>
      <c r="Q1305"/>
    </row>
    <row r="1306" spans="1:17" x14ac:dyDescent="0.25">
      <c r="A1306" s="89" t="s">
        <v>7594</v>
      </c>
      <c r="B1306" s="87" t="s">
        <v>7595</v>
      </c>
      <c r="C1306" s="87" t="s">
        <v>13</v>
      </c>
      <c r="D1306" s="87" t="str">
        <f>VLOOKUP(Tabela1[[#This Row],[Origem]], 'Perguntas 1 a 24'!$J$28:$K$34, 2, 0)</f>
        <v>Sudeste</v>
      </c>
      <c r="E1306" s="87" t="str">
        <f>Tabela1[[#This Row],[Descrição]]&amp;"-"&amp;Tabela1[[#This Row],[Código]]&amp;"/"&amp;Tabela1[[#This Row],[Origem]]</f>
        <v>Dogorogere-P857H195/SP</v>
      </c>
      <c r="F1306" s="88">
        <v>46231</v>
      </c>
      <c r="G1306" s="88" t="str" cm="1">
        <f t="array" ref="G13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AND(F1306&gt;= DATE(2026,1,1), F1306&lt;= DATE(2028, 12, 31), J1306&gt;50000), "Pendente e Caro", AND(F1306&gt;= DATE(2026,1,1), F1306&lt;= DATE(2028, 12, 31), J1306&lt;=50000), "Pendente", F1306&gt;= DATE(2029,1,1), "Não prioeitário")</f>
        <v>Pendente e Caro</v>
      </c>
      <c r="H1306" s="89">
        <f>YEAR(Tabela1[[#This Row],[Data de Validade]])</f>
        <v>2026</v>
      </c>
      <c r="I1306" s="89">
        <f>MONTH(Tabela1[[#This Row],[Data de Validade]])</f>
        <v>7</v>
      </c>
      <c r="J1306" s="101">
        <v>56349</v>
      </c>
      <c r="K1306" s="87" t="s">
        <v>14</v>
      </c>
      <c r="L1306" s="108"/>
      <c r="M1306" s="108"/>
      <c r="N1306" s="108" t="str">
        <v>P857H195</v>
      </c>
      <c r="O1306" s="108">
        <f t="shared" si="22"/>
        <v>1</v>
      </c>
      <c r="P1306" s="108"/>
      <c r="Q1306"/>
    </row>
    <row r="1307" spans="1:17" x14ac:dyDescent="0.25">
      <c r="A1307" s="89" t="s">
        <v>10757</v>
      </c>
      <c r="B1307" s="87" t="s">
        <v>10758</v>
      </c>
      <c r="C1307" s="87" t="s">
        <v>15</v>
      </c>
      <c r="D1307" s="87" t="str">
        <f>VLOOKUP(Tabela1[[#This Row],[Origem]], 'Perguntas 1 a 24'!$J$28:$K$34, 2, 0)</f>
        <v>Sudeste</v>
      </c>
      <c r="E1307" s="87" t="str">
        <f>Tabela1[[#This Row],[Descrição]]&amp;"-"&amp;Tabela1[[#This Row],[Código]]&amp;"/"&amp;Tabela1[[#This Row],[Origem]]</f>
        <v>Vucitace-P151P983/ES</v>
      </c>
      <c r="F1307" s="88">
        <v>46233</v>
      </c>
      <c r="G1307" s="88" t="str" cm="1">
        <f t="array" ref="G13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AND(F1307&gt;= DATE(2026,1,1), F1307&lt;= DATE(2028, 12, 31), J1307&gt;50000), "Pendente e Caro", AND(F1307&gt;= DATE(2026,1,1), F1307&lt;= DATE(2028, 12, 31), J1307&lt;=50000), "Pendente", F1307&gt;= DATE(2029,1,1), "Não prioeitário")</f>
        <v>Pendente e Caro</v>
      </c>
      <c r="H1307" s="89">
        <f>YEAR(Tabela1[[#This Row],[Data de Validade]])</f>
        <v>2026</v>
      </c>
      <c r="I1307" s="89">
        <f>MONTH(Tabela1[[#This Row],[Data de Validade]])</f>
        <v>7</v>
      </c>
      <c r="J1307" s="101">
        <v>86518</v>
      </c>
      <c r="K1307" s="87" t="s">
        <v>7</v>
      </c>
      <c r="L1307" s="108"/>
      <c r="M1307" s="108"/>
      <c r="N1307" s="108" t="str">
        <v>P151P983</v>
      </c>
      <c r="O1307" s="108">
        <f t="shared" si="22"/>
        <v>1</v>
      </c>
      <c r="P1307" s="108"/>
      <c r="Q1307"/>
    </row>
    <row r="1308" spans="1:17" x14ac:dyDescent="0.25">
      <c r="A1308" s="89" t="s">
        <v>11084</v>
      </c>
      <c r="B1308" s="87" t="s">
        <v>11085</v>
      </c>
      <c r="C1308" s="87" t="s">
        <v>16</v>
      </c>
      <c r="D1308" s="87" t="str">
        <f>VLOOKUP(Tabela1[[#This Row],[Origem]], 'Perguntas 1 a 24'!$J$28:$K$34, 2, 0)</f>
        <v>Sudeste</v>
      </c>
      <c r="E1308" s="87" t="str">
        <f>Tabela1[[#This Row],[Descrição]]&amp;"-"&amp;Tabela1[[#This Row],[Código]]&amp;"/"&amp;Tabela1[[#This Row],[Origem]]</f>
        <v>Napano-H363P985/MG</v>
      </c>
      <c r="F1308" s="88">
        <v>46233</v>
      </c>
      <c r="G1308" s="88" t="str" cm="1">
        <f t="array" ref="G13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AND(F1308&gt;= DATE(2026,1,1), F1308&lt;= DATE(2028, 12, 31), J1308&gt;50000), "Pendente e Caro", AND(F1308&gt;= DATE(2026,1,1), F1308&lt;= DATE(2028, 12, 31), J1308&lt;=50000), "Pendente", F1308&gt;= DATE(2029,1,1), "Não prioeitário")</f>
        <v>Pendente e Caro</v>
      </c>
      <c r="H1308" s="89">
        <f>YEAR(Tabela1[[#This Row],[Data de Validade]])</f>
        <v>2026</v>
      </c>
      <c r="I1308" s="89">
        <f>MONTH(Tabela1[[#This Row],[Data de Validade]])</f>
        <v>7</v>
      </c>
      <c r="J1308" s="101">
        <v>75939</v>
      </c>
      <c r="K1308" s="87" t="s">
        <v>14</v>
      </c>
      <c r="L1308" s="108"/>
      <c r="M1308" s="108"/>
      <c r="N1308" s="108" t="str">
        <v>H363P985</v>
      </c>
      <c r="O1308" s="108">
        <f t="shared" si="22"/>
        <v>1</v>
      </c>
      <c r="P1308" s="108"/>
      <c r="Q1308"/>
    </row>
    <row r="1309" spans="1:17" x14ac:dyDescent="0.25">
      <c r="A1309" s="89" t="s">
        <v>9871</v>
      </c>
      <c r="B1309" s="87" t="s">
        <v>9872</v>
      </c>
      <c r="C1309" s="87" t="s">
        <v>8</v>
      </c>
      <c r="D1309" s="87" t="str">
        <f>VLOOKUP(Tabela1[[#This Row],[Origem]], 'Perguntas 1 a 24'!$J$28:$K$34, 2, 0)</f>
        <v>Nordeste</v>
      </c>
      <c r="E1309" s="87" t="str">
        <f>Tabela1[[#This Row],[Descrição]]&amp;"-"&amp;Tabela1[[#This Row],[Código]]&amp;"/"&amp;Tabela1[[#This Row],[Origem]]</f>
        <v>Devoda-H247P449/AL</v>
      </c>
      <c r="F1309" s="88">
        <v>46233</v>
      </c>
      <c r="G1309" s="88" t="str" cm="1">
        <f t="array" ref="G13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AND(F1309&gt;= DATE(2026,1,1), F1309&lt;= DATE(2028, 12, 31), J1309&gt;50000), "Pendente e Caro", AND(F1309&gt;= DATE(2026,1,1), F1309&lt;= DATE(2028, 12, 31), J1309&lt;=50000), "Pendente", F1309&gt;= DATE(2029,1,1), "Não prioeitário")</f>
        <v>Pendente</v>
      </c>
      <c r="H1309" s="89">
        <f>YEAR(Tabela1[[#This Row],[Data de Validade]])</f>
        <v>2026</v>
      </c>
      <c r="I1309" s="89">
        <f>MONTH(Tabela1[[#This Row],[Data de Validade]])</f>
        <v>7</v>
      </c>
      <c r="J1309" s="101">
        <v>41057</v>
      </c>
      <c r="K1309" s="87" t="s">
        <v>7</v>
      </c>
      <c r="L1309" s="108"/>
      <c r="M1309" s="108"/>
      <c r="N1309" s="108" t="str">
        <v>H247P449</v>
      </c>
      <c r="O1309" s="108">
        <f t="shared" si="22"/>
        <v>1</v>
      </c>
      <c r="P1309" s="108"/>
      <c r="Q1309"/>
    </row>
    <row r="1310" spans="1:17" x14ac:dyDescent="0.25">
      <c r="A1310" s="89" t="s">
        <v>7476</v>
      </c>
      <c r="B1310" s="87" t="s">
        <v>7477</v>
      </c>
      <c r="C1310" s="87" t="s">
        <v>6</v>
      </c>
      <c r="D1310" s="87" t="str">
        <f>VLOOKUP(Tabela1[[#This Row],[Origem]], 'Perguntas 1 a 24'!$J$28:$K$34, 2, 0)</f>
        <v>Nordeste</v>
      </c>
      <c r="E1310" s="87" t="str">
        <f>Tabela1[[#This Row],[Descrição]]&amp;"-"&amp;Tabela1[[#This Row],[Código]]&amp;"/"&amp;Tabela1[[#This Row],[Origem]]</f>
        <v>Reripelaru-H635P634/MA</v>
      </c>
      <c r="F1310" s="88">
        <v>46234</v>
      </c>
      <c r="G1310" s="88" t="str" cm="1">
        <f t="array" ref="G13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AND(F1310&gt;= DATE(2026,1,1), F1310&lt;= DATE(2028, 12, 31), J1310&gt;50000), "Pendente e Caro", AND(F1310&gt;= DATE(2026,1,1), F1310&lt;= DATE(2028, 12, 31), J1310&lt;=50000), "Pendente", F1310&gt;= DATE(2029,1,1), "Não prioeitário")</f>
        <v>Pendente e Caro</v>
      </c>
      <c r="H1310" s="89">
        <f>YEAR(Tabela1[[#This Row],[Data de Validade]])</f>
        <v>2026</v>
      </c>
      <c r="I1310" s="89">
        <f>MONTH(Tabela1[[#This Row],[Data de Validade]])</f>
        <v>7</v>
      </c>
      <c r="J1310" s="101">
        <v>113810</v>
      </c>
      <c r="K1310" s="87" t="s">
        <v>11</v>
      </c>
      <c r="L1310" s="108"/>
      <c r="M1310" s="108"/>
      <c r="N1310" s="108" t="str">
        <v>H635P634</v>
      </c>
      <c r="O1310" s="108">
        <f t="shared" si="22"/>
        <v>1</v>
      </c>
      <c r="P1310" s="108"/>
      <c r="Q1310"/>
    </row>
    <row r="1311" spans="1:17" x14ac:dyDescent="0.25">
      <c r="A1311" s="89" t="s">
        <v>9499</v>
      </c>
      <c r="B1311" s="87" t="s">
        <v>9500</v>
      </c>
      <c r="C1311" s="87" t="s">
        <v>15</v>
      </c>
      <c r="D1311" s="87" t="str">
        <f>VLOOKUP(Tabela1[[#This Row],[Origem]], 'Perguntas 1 a 24'!$J$28:$K$34, 2, 0)</f>
        <v>Sudeste</v>
      </c>
      <c r="E1311" s="87" t="str">
        <f>Tabela1[[#This Row],[Descrição]]&amp;"-"&amp;Tabela1[[#This Row],[Código]]&amp;"/"&amp;Tabela1[[#This Row],[Origem]]</f>
        <v>Culanu-H412P499/ES</v>
      </c>
      <c r="F1311" s="88">
        <v>46234</v>
      </c>
      <c r="G1311" s="88" t="str" cm="1">
        <f t="array" ref="G13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AND(F1311&gt;= DATE(2026,1,1), F1311&lt;= DATE(2028, 12, 31), J1311&gt;50000), "Pendente e Caro", AND(F1311&gt;= DATE(2026,1,1), F1311&lt;= DATE(2028, 12, 31), J1311&lt;=50000), "Pendente", F1311&gt;= DATE(2029,1,1), "Não prioeitário")</f>
        <v>Pendente e Caro</v>
      </c>
      <c r="H1311" s="89">
        <f>YEAR(Tabela1[[#This Row],[Data de Validade]])</f>
        <v>2026</v>
      </c>
      <c r="I1311" s="89">
        <f>MONTH(Tabela1[[#This Row],[Data de Validade]])</f>
        <v>7</v>
      </c>
      <c r="J1311" s="101">
        <v>103915</v>
      </c>
      <c r="K1311" s="87" t="s">
        <v>9</v>
      </c>
      <c r="L1311" s="108"/>
      <c r="M1311" s="108"/>
      <c r="N1311" s="108" t="str">
        <v>H412P499</v>
      </c>
      <c r="O1311" s="108">
        <f t="shared" si="22"/>
        <v>1</v>
      </c>
      <c r="P1311" s="108"/>
      <c r="Q1311"/>
    </row>
    <row r="1312" spans="1:17" x14ac:dyDescent="0.25">
      <c r="A1312" s="89" t="s">
        <v>3896</v>
      </c>
      <c r="B1312" s="87" t="s">
        <v>3897</v>
      </c>
      <c r="C1312" s="87" t="s">
        <v>13</v>
      </c>
      <c r="D1312" s="87" t="str">
        <f>VLOOKUP(Tabela1[[#This Row],[Origem]], 'Perguntas 1 a 24'!$J$28:$K$34, 2, 0)</f>
        <v>Sudeste</v>
      </c>
      <c r="E1312" s="87" t="str">
        <f>Tabela1[[#This Row],[Descrição]]&amp;"-"&amp;Tabela1[[#This Row],[Código]]&amp;"/"&amp;Tabela1[[#This Row],[Origem]]</f>
        <v>Cidipe-H319H319/SP</v>
      </c>
      <c r="F1312" s="88">
        <v>46234</v>
      </c>
      <c r="G1312" s="88" t="str" cm="1">
        <f t="array" ref="G13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AND(F1312&gt;= DATE(2026,1,1), F1312&lt;= DATE(2028, 12, 31), J1312&gt;50000), "Pendente e Caro", AND(F1312&gt;= DATE(2026,1,1), F1312&lt;= DATE(2028, 12, 31), J1312&lt;=50000), "Pendente", F1312&gt;= DATE(2029,1,1), "Não prioeitário")</f>
        <v>Pendente e Caro</v>
      </c>
      <c r="H1312" s="89">
        <f>YEAR(Tabela1[[#This Row],[Data de Validade]])</f>
        <v>2026</v>
      </c>
      <c r="I1312" s="89">
        <f>MONTH(Tabela1[[#This Row],[Data de Validade]])</f>
        <v>7</v>
      </c>
      <c r="J1312" s="101">
        <v>90697</v>
      </c>
      <c r="K1312" s="87" t="s">
        <v>9</v>
      </c>
      <c r="L1312" s="108"/>
      <c r="M1312" s="108"/>
      <c r="N1312" s="108" t="str">
        <v>H319H319</v>
      </c>
      <c r="O1312" s="108">
        <f t="shared" si="22"/>
        <v>1</v>
      </c>
      <c r="P1312" s="108"/>
      <c r="Q1312"/>
    </row>
    <row r="1313" spans="1:17" x14ac:dyDescent="0.25">
      <c r="A1313" s="89" t="s">
        <v>6932</v>
      </c>
      <c r="B1313" s="87" t="s">
        <v>6933</v>
      </c>
      <c r="C1313" s="87" t="s">
        <v>10</v>
      </c>
      <c r="D1313" s="87" t="str">
        <f>VLOOKUP(Tabela1[[#This Row],[Origem]], 'Perguntas 1 a 24'!$J$28:$K$34, 2, 0)</f>
        <v>Centro-Oeste</v>
      </c>
      <c r="E1313" s="87" t="str">
        <f>Tabela1[[#This Row],[Descrição]]&amp;"-"&amp;Tabela1[[#This Row],[Código]]&amp;"/"&amp;Tabela1[[#This Row],[Origem]]</f>
        <v>Fuducole-H527P341/GO</v>
      </c>
      <c r="F1313" s="88">
        <v>46234</v>
      </c>
      <c r="G1313" s="88" t="str" cm="1">
        <f t="array" ref="G13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AND(F1313&gt;= DATE(2026,1,1), F1313&lt;= DATE(2028, 12, 31), J1313&gt;50000), "Pendente e Caro", AND(F1313&gt;= DATE(2026,1,1), F1313&lt;= DATE(2028, 12, 31), J1313&lt;=50000), "Pendente", F1313&gt;= DATE(2029,1,1), "Não prioeitário")</f>
        <v>Pendente e Caro</v>
      </c>
      <c r="H1313" s="89">
        <f>YEAR(Tabela1[[#This Row],[Data de Validade]])</f>
        <v>2026</v>
      </c>
      <c r="I1313" s="89">
        <f>MONTH(Tabela1[[#This Row],[Data de Validade]])</f>
        <v>7</v>
      </c>
      <c r="J1313" s="101">
        <v>60653</v>
      </c>
      <c r="K1313" s="87" t="s">
        <v>14</v>
      </c>
      <c r="L1313" s="108"/>
      <c r="M1313" s="108"/>
      <c r="N1313" s="108" t="str">
        <v>H527P341</v>
      </c>
      <c r="O1313" s="108">
        <f t="shared" si="22"/>
        <v>1</v>
      </c>
      <c r="P1313" s="108"/>
      <c r="Q1313"/>
    </row>
    <row r="1314" spans="1:17" x14ac:dyDescent="0.25">
      <c r="A1314" s="89" t="s">
        <v>6866</v>
      </c>
      <c r="B1314" s="87" t="s">
        <v>6867</v>
      </c>
      <c r="C1314" s="87" t="s">
        <v>12</v>
      </c>
      <c r="D1314" s="87" t="str">
        <f>VLOOKUP(Tabela1[[#This Row],[Origem]], 'Perguntas 1 a 24'!$J$28:$K$34, 2, 0)</f>
        <v>Sudeste</v>
      </c>
      <c r="E1314" s="87" t="str">
        <f>Tabela1[[#This Row],[Descrição]]&amp;"-"&amp;Tabela1[[#This Row],[Código]]&amp;"/"&amp;Tabela1[[#This Row],[Origem]]</f>
        <v>Pevapida-H688P366/RJ</v>
      </c>
      <c r="F1314" s="88">
        <v>46235</v>
      </c>
      <c r="G1314" s="88" t="str" cm="1">
        <f t="array" ref="G13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AND(F1314&gt;= DATE(2026,1,1), F1314&lt;= DATE(2028, 12, 31), J1314&gt;50000), "Pendente e Caro", AND(F1314&gt;= DATE(2026,1,1), F1314&lt;= DATE(2028, 12, 31), J1314&lt;=50000), "Pendente", F1314&gt;= DATE(2029,1,1), "Não prioeitário")</f>
        <v>Pendente e Caro</v>
      </c>
      <c r="H1314" s="89">
        <f>YEAR(Tabela1[[#This Row],[Data de Validade]])</f>
        <v>2026</v>
      </c>
      <c r="I1314" s="89">
        <f>MONTH(Tabela1[[#This Row],[Data de Validade]])</f>
        <v>8</v>
      </c>
      <c r="J1314" s="101">
        <v>110950</v>
      </c>
      <c r="K1314" s="87" t="s">
        <v>11</v>
      </c>
      <c r="L1314" s="108"/>
      <c r="M1314" s="108"/>
      <c r="N1314" s="108" t="str">
        <v>H688P366</v>
      </c>
      <c r="O1314" s="108">
        <f t="shared" si="22"/>
        <v>1</v>
      </c>
      <c r="P1314" s="108"/>
      <c r="Q1314"/>
    </row>
    <row r="1315" spans="1:17" x14ac:dyDescent="0.25">
      <c r="A1315" s="89" t="s">
        <v>6482</v>
      </c>
      <c r="B1315" s="87" t="s">
        <v>6483</v>
      </c>
      <c r="C1315" s="87" t="s">
        <v>13</v>
      </c>
      <c r="D1315" s="87" t="str">
        <f>VLOOKUP(Tabela1[[#This Row],[Origem]], 'Perguntas 1 a 24'!$J$28:$K$34, 2, 0)</f>
        <v>Sudeste</v>
      </c>
      <c r="E1315" s="87" t="str">
        <f>Tabela1[[#This Row],[Descrição]]&amp;"-"&amp;Tabela1[[#This Row],[Código]]&amp;"/"&amp;Tabela1[[#This Row],[Origem]]</f>
        <v>Vovori-P234P845/SP</v>
      </c>
      <c r="F1315" s="88">
        <v>46236</v>
      </c>
      <c r="G1315" s="88" t="str" cm="1">
        <f t="array" ref="G13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AND(F1315&gt;= DATE(2026,1,1), F1315&lt;= DATE(2028, 12, 31), J1315&gt;50000), "Pendente e Caro", AND(F1315&gt;= DATE(2026,1,1), F1315&lt;= DATE(2028, 12, 31), J1315&lt;=50000), "Pendente", F1315&gt;= DATE(2029,1,1), "Não prioeitário")</f>
        <v>Pendente e Caro</v>
      </c>
      <c r="H1315" s="89">
        <f>YEAR(Tabela1[[#This Row],[Data de Validade]])</f>
        <v>2026</v>
      </c>
      <c r="I1315" s="89">
        <f>MONTH(Tabela1[[#This Row],[Data de Validade]])</f>
        <v>8</v>
      </c>
      <c r="J1315" s="101">
        <v>115513</v>
      </c>
      <c r="K1315" s="87" t="s">
        <v>7</v>
      </c>
      <c r="L1315" s="108"/>
      <c r="M1315" s="108"/>
      <c r="N1315" s="108" t="str">
        <v>P234P845</v>
      </c>
      <c r="O1315" s="108">
        <f t="shared" si="22"/>
        <v>1</v>
      </c>
      <c r="P1315" s="108"/>
      <c r="Q1315"/>
    </row>
    <row r="1316" spans="1:17" x14ac:dyDescent="0.25">
      <c r="A1316" s="89" t="s">
        <v>7802</v>
      </c>
      <c r="B1316" s="87" t="s">
        <v>7803</v>
      </c>
      <c r="C1316" s="87" t="s">
        <v>6</v>
      </c>
      <c r="D1316" s="87" t="str">
        <f>VLOOKUP(Tabela1[[#This Row],[Origem]], 'Perguntas 1 a 24'!$J$28:$K$34, 2, 0)</f>
        <v>Nordeste</v>
      </c>
      <c r="E1316" s="87" t="str">
        <f>Tabela1[[#This Row],[Descrição]]&amp;"-"&amp;Tabela1[[#This Row],[Código]]&amp;"/"&amp;Tabela1[[#This Row],[Origem]]</f>
        <v>Gopenemo-H155P441/MA</v>
      </c>
      <c r="F1316" s="88">
        <v>46237</v>
      </c>
      <c r="G1316" s="88" t="str" cm="1">
        <f t="array" ref="G13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AND(F1316&gt;= DATE(2026,1,1), F1316&lt;= DATE(2028, 12, 31), J1316&gt;50000), "Pendente e Caro", AND(F1316&gt;= DATE(2026,1,1), F1316&lt;= DATE(2028, 12, 31), J1316&lt;=50000), "Pendente", F1316&gt;= DATE(2029,1,1), "Não prioeitário")</f>
        <v>Pendente e Caro</v>
      </c>
      <c r="H1316" s="89">
        <f>YEAR(Tabela1[[#This Row],[Data de Validade]])</f>
        <v>2026</v>
      </c>
      <c r="I1316" s="89">
        <f>MONTH(Tabela1[[#This Row],[Data de Validade]])</f>
        <v>8</v>
      </c>
      <c r="J1316" s="101">
        <v>119903</v>
      </c>
      <c r="K1316" s="87" t="s">
        <v>9</v>
      </c>
      <c r="L1316" s="108"/>
      <c r="M1316" s="108"/>
      <c r="N1316" s="108" t="str">
        <v>H155P441</v>
      </c>
      <c r="O1316" s="108">
        <f t="shared" si="22"/>
        <v>1</v>
      </c>
      <c r="P1316" s="108"/>
      <c r="Q1316"/>
    </row>
    <row r="1317" spans="1:17" x14ac:dyDescent="0.25">
      <c r="A1317" s="89" t="s">
        <v>7434</v>
      </c>
      <c r="B1317" s="87" t="s">
        <v>7435</v>
      </c>
      <c r="C1317" s="87" t="s">
        <v>16</v>
      </c>
      <c r="D1317" s="87" t="str">
        <f>VLOOKUP(Tabela1[[#This Row],[Origem]], 'Perguntas 1 a 24'!$J$28:$K$34, 2, 0)</f>
        <v>Sudeste</v>
      </c>
      <c r="E1317" s="87" t="str">
        <f>Tabela1[[#This Row],[Descrição]]&amp;"-"&amp;Tabela1[[#This Row],[Código]]&amp;"/"&amp;Tabela1[[#This Row],[Origem]]</f>
        <v>Ripevafope-H451P636/MG</v>
      </c>
      <c r="F1317" s="88">
        <v>46237</v>
      </c>
      <c r="G1317" s="88" t="str" cm="1">
        <f t="array" ref="G13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AND(F1317&gt;= DATE(2026,1,1), F1317&lt;= DATE(2028, 12, 31), J1317&gt;50000), "Pendente e Caro", AND(F1317&gt;= DATE(2026,1,1), F1317&lt;= DATE(2028, 12, 31), J1317&lt;=50000), "Pendente", F1317&gt;= DATE(2029,1,1), "Não prioeitário")</f>
        <v>Pendente e Caro</v>
      </c>
      <c r="H1317" s="89">
        <f>YEAR(Tabela1[[#This Row],[Data de Validade]])</f>
        <v>2026</v>
      </c>
      <c r="I1317" s="89">
        <f>MONTH(Tabela1[[#This Row],[Data de Validade]])</f>
        <v>8</v>
      </c>
      <c r="J1317" s="101">
        <v>77656</v>
      </c>
      <c r="K1317" s="87" t="s">
        <v>9</v>
      </c>
      <c r="L1317" s="108"/>
      <c r="M1317" s="108"/>
      <c r="N1317" s="108" t="str">
        <v>H451P636</v>
      </c>
      <c r="O1317" s="108">
        <f t="shared" si="22"/>
        <v>1</v>
      </c>
      <c r="P1317" s="108"/>
      <c r="Q1317"/>
    </row>
    <row r="1318" spans="1:17" x14ac:dyDescent="0.25">
      <c r="A1318" s="89" t="s">
        <v>10711</v>
      </c>
      <c r="B1318" s="87" t="s">
        <v>10712</v>
      </c>
      <c r="C1318" s="87" t="s">
        <v>6</v>
      </c>
      <c r="D1318" s="87" t="str">
        <f>VLOOKUP(Tabela1[[#This Row],[Origem]], 'Perguntas 1 a 24'!$J$28:$K$34, 2, 0)</f>
        <v>Nordeste</v>
      </c>
      <c r="E1318" s="87" t="str">
        <f>Tabela1[[#This Row],[Descrição]]&amp;"-"&amp;Tabela1[[#This Row],[Código]]&amp;"/"&amp;Tabela1[[#This Row],[Origem]]</f>
        <v>Rupagu-P676P876/MA</v>
      </c>
      <c r="F1318" s="88">
        <v>46237</v>
      </c>
      <c r="G1318" s="88" t="str" cm="1">
        <f t="array" ref="G13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AND(F1318&gt;= DATE(2026,1,1), F1318&lt;= DATE(2028, 12, 31), J1318&gt;50000), "Pendente e Caro", AND(F1318&gt;= DATE(2026,1,1), F1318&lt;= DATE(2028, 12, 31), J1318&lt;=50000), "Pendente", F1318&gt;= DATE(2029,1,1), "Não prioeitário")</f>
        <v>Pendente</v>
      </c>
      <c r="H1318" s="89">
        <f>YEAR(Tabela1[[#This Row],[Data de Validade]])</f>
        <v>2026</v>
      </c>
      <c r="I1318" s="89">
        <f>MONTH(Tabela1[[#This Row],[Data de Validade]])</f>
        <v>8</v>
      </c>
      <c r="J1318" s="101">
        <v>49148</v>
      </c>
      <c r="K1318" s="87" t="s">
        <v>9</v>
      </c>
      <c r="L1318" s="108"/>
      <c r="M1318" s="108"/>
      <c r="N1318" s="108" t="str">
        <v>P676P876</v>
      </c>
      <c r="O1318" s="108">
        <f t="shared" si="22"/>
        <v>1</v>
      </c>
      <c r="P1318" s="108"/>
      <c r="Q1318"/>
    </row>
    <row r="1319" spans="1:17" x14ac:dyDescent="0.25">
      <c r="A1319" s="89" t="s">
        <v>5982</v>
      </c>
      <c r="B1319" s="87" t="s">
        <v>5983</v>
      </c>
      <c r="C1319" s="87" t="s">
        <v>13</v>
      </c>
      <c r="D1319" s="87" t="str">
        <f>VLOOKUP(Tabela1[[#This Row],[Origem]], 'Perguntas 1 a 24'!$J$28:$K$34, 2, 0)</f>
        <v>Sudeste</v>
      </c>
      <c r="E1319" s="87" t="str">
        <f>Tabela1[[#This Row],[Descrição]]&amp;"-"&amp;Tabela1[[#This Row],[Código]]&amp;"/"&amp;Tabela1[[#This Row],[Origem]]</f>
        <v>Lefodi-H771H578/SP</v>
      </c>
      <c r="F1319" s="88">
        <v>46237</v>
      </c>
      <c r="G1319" s="88" t="str" cm="1">
        <f t="array" ref="G13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AND(F1319&gt;= DATE(2026,1,1), F1319&lt;= DATE(2028, 12, 31), J1319&gt;50000), "Pendente e Caro", AND(F1319&gt;= DATE(2026,1,1), F1319&lt;= DATE(2028, 12, 31), J1319&lt;=50000), "Pendente", F1319&gt;= DATE(2029,1,1), "Não prioeitário")</f>
        <v>Pendente</v>
      </c>
      <c r="H1319" s="89">
        <f>YEAR(Tabela1[[#This Row],[Data de Validade]])</f>
        <v>2026</v>
      </c>
      <c r="I1319" s="89">
        <f>MONTH(Tabela1[[#This Row],[Data de Validade]])</f>
        <v>8</v>
      </c>
      <c r="J1319" s="101">
        <v>47915</v>
      </c>
      <c r="K1319" s="87" t="s">
        <v>7</v>
      </c>
      <c r="L1319" s="108"/>
      <c r="M1319" s="108"/>
      <c r="N1319" s="108" t="str">
        <v>H771H578</v>
      </c>
      <c r="O1319" s="108">
        <f t="shared" si="22"/>
        <v>1</v>
      </c>
      <c r="P1319" s="108"/>
      <c r="Q1319"/>
    </row>
    <row r="1320" spans="1:17" x14ac:dyDescent="0.25">
      <c r="A1320" s="89" t="s">
        <v>4720</v>
      </c>
      <c r="B1320" s="87" t="s">
        <v>4721</v>
      </c>
      <c r="C1320" s="87" t="s">
        <v>12</v>
      </c>
      <c r="D1320" s="87" t="str">
        <f>VLOOKUP(Tabela1[[#This Row],[Origem]], 'Perguntas 1 a 24'!$J$28:$K$34, 2, 0)</f>
        <v>Sudeste</v>
      </c>
      <c r="E1320" s="87" t="str">
        <f>Tabela1[[#This Row],[Descrição]]&amp;"-"&amp;Tabela1[[#This Row],[Código]]&amp;"/"&amp;Tabela1[[#This Row],[Origem]]</f>
        <v>Nurica-P327P917/RJ</v>
      </c>
      <c r="F1320" s="88">
        <v>46238</v>
      </c>
      <c r="G1320" s="88" t="str" cm="1">
        <f t="array" ref="G13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AND(F1320&gt;= DATE(2026,1,1), F1320&lt;= DATE(2028, 12, 31), J1320&gt;50000), "Pendente e Caro", AND(F1320&gt;= DATE(2026,1,1), F1320&lt;= DATE(2028, 12, 31), J1320&lt;=50000), "Pendente", F1320&gt;= DATE(2029,1,1), "Não prioeitário")</f>
        <v>Pendente e Caro</v>
      </c>
      <c r="H1320" s="89">
        <f>YEAR(Tabela1[[#This Row],[Data de Validade]])</f>
        <v>2026</v>
      </c>
      <c r="I1320" s="89">
        <f>MONTH(Tabela1[[#This Row],[Data de Validade]])</f>
        <v>8</v>
      </c>
      <c r="J1320" s="101">
        <v>77523</v>
      </c>
      <c r="K1320" s="87" t="s">
        <v>11</v>
      </c>
      <c r="L1320" s="108"/>
      <c r="M1320" s="108"/>
      <c r="N1320" s="108" t="str">
        <v>P327P917</v>
      </c>
      <c r="O1320" s="108">
        <f t="shared" si="22"/>
        <v>1</v>
      </c>
      <c r="P1320" s="108"/>
      <c r="Q1320"/>
    </row>
    <row r="1321" spans="1:17" x14ac:dyDescent="0.25">
      <c r="A1321" s="89" t="s">
        <v>6006</v>
      </c>
      <c r="B1321" s="87" t="s">
        <v>6007</v>
      </c>
      <c r="C1321" s="87" t="s">
        <v>12</v>
      </c>
      <c r="D1321" s="87" t="str">
        <f>VLOOKUP(Tabela1[[#This Row],[Origem]], 'Perguntas 1 a 24'!$J$28:$K$34, 2, 0)</f>
        <v>Sudeste</v>
      </c>
      <c r="E1321" s="87" t="str">
        <f>Tabela1[[#This Row],[Descrição]]&amp;"-"&amp;Tabela1[[#This Row],[Código]]&amp;"/"&amp;Tabela1[[#This Row],[Origem]]</f>
        <v>Notomi-H924P747/RJ</v>
      </c>
      <c r="F1321" s="88">
        <v>46238</v>
      </c>
      <c r="G1321" s="88" t="str" cm="1">
        <f t="array" ref="G13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AND(F1321&gt;= DATE(2026,1,1), F1321&lt;= DATE(2028, 12, 31), J1321&gt;50000), "Pendente e Caro", AND(F1321&gt;= DATE(2026,1,1), F1321&lt;= DATE(2028, 12, 31), J1321&lt;=50000), "Pendente", F1321&gt;= DATE(2029,1,1), "Não prioeitário")</f>
        <v>Pendente</v>
      </c>
      <c r="H1321" s="89">
        <f>YEAR(Tabela1[[#This Row],[Data de Validade]])</f>
        <v>2026</v>
      </c>
      <c r="I1321" s="89">
        <f>MONTH(Tabela1[[#This Row],[Data de Validade]])</f>
        <v>8</v>
      </c>
      <c r="J1321" s="101">
        <v>21721</v>
      </c>
      <c r="K1321" s="87" t="s">
        <v>9</v>
      </c>
      <c r="L1321" s="108"/>
      <c r="M1321" s="108"/>
      <c r="N1321" s="108" t="str">
        <v>H924P747</v>
      </c>
      <c r="O1321" s="108">
        <f t="shared" si="22"/>
        <v>1</v>
      </c>
      <c r="P1321" s="108"/>
      <c r="Q1321"/>
    </row>
    <row r="1322" spans="1:17" x14ac:dyDescent="0.25">
      <c r="A1322" s="89" t="s">
        <v>8358</v>
      </c>
      <c r="B1322" s="87" t="s">
        <v>8359</v>
      </c>
      <c r="C1322" s="87" t="s">
        <v>8</v>
      </c>
      <c r="D1322" s="87" t="str">
        <f>VLOOKUP(Tabela1[[#This Row],[Origem]], 'Perguntas 1 a 24'!$J$28:$K$34, 2, 0)</f>
        <v>Nordeste</v>
      </c>
      <c r="E1322" s="87" t="str">
        <f>Tabela1[[#This Row],[Descrição]]&amp;"-"&amp;Tabela1[[#This Row],[Código]]&amp;"/"&amp;Tabela1[[#This Row],[Origem]]</f>
        <v>Riteti-H716H716/AL</v>
      </c>
      <c r="F1322" s="88">
        <v>46239</v>
      </c>
      <c r="G1322" s="88" t="str" cm="1">
        <f t="array" ref="G13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AND(F1322&gt;= DATE(2026,1,1), F1322&lt;= DATE(2028, 12, 31), J1322&gt;50000), "Pendente e Caro", AND(F1322&gt;= DATE(2026,1,1), F1322&lt;= DATE(2028, 12, 31), J1322&lt;=50000), "Pendente", F1322&gt;= DATE(2029,1,1), "Não prioeitário")</f>
        <v>Pendente e Caro</v>
      </c>
      <c r="H1322" s="89">
        <f>YEAR(Tabela1[[#This Row],[Data de Validade]])</f>
        <v>2026</v>
      </c>
      <c r="I1322" s="89">
        <f>MONTH(Tabela1[[#This Row],[Data de Validade]])</f>
        <v>8</v>
      </c>
      <c r="J1322" s="101">
        <v>92439</v>
      </c>
      <c r="K1322" s="87" t="s">
        <v>7</v>
      </c>
      <c r="L1322" s="108"/>
      <c r="M1322" s="108"/>
      <c r="N1322" s="108" t="str">
        <v>H716H716</v>
      </c>
      <c r="O1322" s="108">
        <f t="shared" si="22"/>
        <v>1</v>
      </c>
      <c r="P1322" s="108"/>
      <c r="Q1322"/>
    </row>
    <row r="1323" spans="1:17" x14ac:dyDescent="0.25">
      <c r="A1323" s="89" t="s">
        <v>4714</v>
      </c>
      <c r="B1323" s="87" t="s">
        <v>4715</v>
      </c>
      <c r="C1323" s="87" t="s">
        <v>16</v>
      </c>
      <c r="D1323" s="87" t="str">
        <f>VLOOKUP(Tabela1[[#This Row],[Origem]], 'Perguntas 1 a 24'!$J$28:$K$34, 2, 0)</f>
        <v>Sudeste</v>
      </c>
      <c r="E1323" s="87" t="str">
        <f>Tabela1[[#This Row],[Descrição]]&amp;"-"&amp;Tabela1[[#This Row],[Código]]&amp;"/"&amp;Tabela1[[#This Row],[Origem]]</f>
        <v>Fovede-P524H789/MG</v>
      </c>
      <c r="F1323" s="88">
        <v>46239</v>
      </c>
      <c r="G1323" s="88" t="str" cm="1">
        <f t="array" ref="G13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AND(F1323&gt;= DATE(2026,1,1), F1323&lt;= DATE(2028, 12, 31), J1323&gt;50000), "Pendente e Caro", AND(F1323&gt;= DATE(2026,1,1), F1323&lt;= DATE(2028, 12, 31), J1323&lt;=50000), "Pendente", F1323&gt;= DATE(2029,1,1), "Não prioeitário")</f>
        <v>Pendente</v>
      </c>
      <c r="H1323" s="89">
        <f>YEAR(Tabela1[[#This Row],[Data de Validade]])</f>
        <v>2026</v>
      </c>
      <c r="I1323" s="89">
        <f>MONTH(Tabela1[[#This Row],[Data de Validade]])</f>
        <v>8</v>
      </c>
      <c r="J1323" s="101">
        <v>48300</v>
      </c>
      <c r="K1323" s="87" t="s">
        <v>11</v>
      </c>
      <c r="L1323" s="108"/>
      <c r="M1323" s="108"/>
      <c r="N1323" s="108" t="str">
        <v>P524H789</v>
      </c>
      <c r="O1323" s="108">
        <f t="shared" si="22"/>
        <v>1</v>
      </c>
      <c r="P1323" s="108"/>
      <c r="Q1323"/>
    </row>
    <row r="1324" spans="1:17" x14ac:dyDescent="0.25">
      <c r="A1324" s="89" t="s">
        <v>10633</v>
      </c>
      <c r="B1324" s="87" t="s">
        <v>10634</v>
      </c>
      <c r="C1324" s="87" t="s">
        <v>12</v>
      </c>
      <c r="D1324" s="87" t="str">
        <f>VLOOKUP(Tabela1[[#This Row],[Origem]], 'Perguntas 1 a 24'!$J$28:$K$34, 2, 0)</f>
        <v>Sudeste</v>
      </c>
      <c r="E1324" s="87" t="str">
        <f>Tabela1[[#This Row],[Descrição]]&amp;"-"&amp;Tabela1[[#This Row],[Código]]&amp;"/"&amp;Tabela1[[#This Row],[Origem]]</f>
        <v>Putolitoru-H547H429/RJ</v>
      </c>
      <c r="F1324" s="88">
        <v>46240</v>
      </c>
      <c r="G1324" s="88" t="str" cm="1">
        <f t="array" ref="G13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AND(F1324&gt;= DATE(2026,1,1), F1324&lt;= DATE(2028, 12, 31), J1324&gt;50000), "Pendente e Caro", AND(F1324&gt;= DATE(2026,1,1), F1324&lt;= DATE(2028, 12, 31), J1324&lt;=50000), "Pendente", F1324&gt;= DATE(2029,1,1), "Não prioeitário")</f>
        <v>Pendente</v>
      </c>
      <c r="H1324" s="89">
        <f>YEAR(Tabela1[[#This Row],[Data de Validade]])</f>
        <v>2026</v>
      </c>
      <c r="I1324" s="89">
        <f>MONTH(Tabela1[[#This Row],[Data de Validade]])</f>
        <v>8</v>
      </c>
      <c r="J1324" s="101">
        <v>32390</v>
      </c>
      <c r="K1324" s="87" t="s">
        <v>7</v>
      </c>
      <c r="L1324" s="108"/>
      <c r="M1324" s="108"/>
      <c r="N1324" s="108" t="str">
        <v>H547H429</v>
      </c>
      <c r="O1324" s="108">
        <f t="shared" si="22"/>
        <v>1</v>
      </c>
      <c r="P1324" s="108"/>
      <c r="Q1324"/>
    </row>
    <row r="1325" spans="1:17" x14ac:dyDescent="0.25">
      <c r="A1325" s="89" t="s">
        <v>6344</v>
      </c>
      <c r="B1325" s="87" t="s">
        <v>6345</v>
      </c>
      <c r="C1325" s="87" t="s">
        <v>8</v>
      </c>
      <c r="D1325" s="87" t="str">
        <f>VLOOKUP(Tabela1[[#This Row],[Origem]], 'Perguntas 1 a 24'!$J$28:$K$34, 2, 0)</f>
        <v>Nordeste</v>
      </c>
      <c r="E1325" s="87" t="str">
        <f>Tabela1[[#This Row],[Descrição]]&amp;"-"&amp;Tabela1[[#This Row],[Código]]&amp;"/"&amp;Tabela1[[#This Row],[Origem]]</f>
        <v>Porimiloto-P941P799/AL</v>
      </c>
      <c r="F1325" s="88">
        <v>46241</v>
      </c>
      <c r="G1325" s="88" t="str" cm="1">
        <f t="array" ref="G13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AND(F1325&gt;= DATE(2026,1,1), F1325&lt;= DATE(2028, 12, 31), J1325&gt;50000), "Pendente e Caro", AND(F1325&gt;= DATE(2026,1,1), F1325&lt;= DATE(2028, 12, 31), J1325&lt;=50000), "Pendente", F1325&gt;= DATE(2029,1,1), "Não prioeitário")</f>
        <v>Pendente e Caro</v>
      </c>
      <c r="H1325" s="89">
        <f>YEAR(Tabela1[[#This Row],[Data de Validade]])</f>
        <v>2026</v>
      </c>
      <c r="I1325" s="89">
        <f>MONTH(Tabela1[[#This Row],[Data de Validade]])</f>
        <v>8</v>
      </c>
      <c r="J1325" s="101">
        <v>91380</v>
      </c>
      <c r="K1325" s="87" t="s">
        <v>9</v>
      </c>
      <c r="L1325" s="108"/>
      <c r="M1325" s="108"/>
      <c r="N1325" s="108" t="str">
        <v>P941P799</v>
      </c>
      <c r="O1325" s="108">
        <f t="shared" si="22"/>
        <v>1</v>
      </c>
      <c r="P1325" s="108"/>
      <c r="Q1325"/>
    </row>
    <row r="1326" spans="1:17" x14ac:dyDescent="0.25">
      <c r="A1326" s="89" t="s">
        <v>5536</v>
      </c>
      <c r="B1326" s="87" t="s">
        <v>5537</v>
      </c>
      <c r="C1326" s="87" t="s">
        <v>13</v>
      </c>
      <c r="D1326" s="87" t="str">
        <f>VLOOKUP(Tabela1[[#This Row],[Origem]], 'Perguntas 1 a 24'!$J$28:$K$34, 2, 0)</f>
        <v>Sudeste</v>
      </c>
      <c r="E1326" s="87" t="str">
        <f>Tabela1[[#This Row],[Descrição]]&amp;"-"&amp;Tabela1[[#This Row],[Código]]&amp;"/"&amp;Tabela1[[#This Row],[Origem]]</f>
        <v>Runulagipu-P456P861/SP</v>
      </c>
      <c r="F1326" s="88">
        <v>46242</v>
      </c>
      <c r="G1326" s="88" t="str" cm="1">
        <f t="array" ref="G13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AND(F1326&gt;= DATE(2026,1,1), F1326&lt;= DATE(2028, 12, 31), J1326&gt;50000), "Pendente e Caro", AND(F1326&gt;= DATE(2026,1,1), F1326&lt;= DATE(2028, 12, 31), J1326&lt;=50000), "Pendente", F1326&gt;= DATE(2029,1,1), "Não prioeitário")</f>
        <v>Pendente e Caro</v>
      </c>
      <c r="H1326" s="89">
        <f>YEAR(Tabela1[[#This Row],[Data de Validade]])</f>
        <v>2026</v>
      </c>
      <c r="I1326" s="89">
        <f>MONTH(Tabela1[[#This Row],[Data de Validade]])</f>
        <v>8</v>
      </c>
      <c r="J1326" s="101">
        <v>60945</v>
      </c>
      <c r="K1326" s="87" t="s">
        <v>11</v>
      </c>
      <c r="L1326" s="108"/>
      <c r="M1326" s="108"/>
      <c r="N1326" s="108" t="str">
        <v>P456P861</v>
      </c>
      <c r="O1326" s="108">
        <f t="shared" si="22"/>
        <v>1</v>
      </c>
      <c r="P1326" s="108"/>
      <c r="Q1326"/>
    </row>
    <row r="1327" spans="1:17" x14ac:dyDescent="0.25">
      <c r="A1327" s="89" t="s">
        <v>9231</v>
      </c>
      <c r="B1327" s="87" t="s">
        <v>9232</v>
      </c>
      <c r="C1327" s="87" t="s">
        <v>6</v>
      </c>
      <c r="D1327" s="87" t="str">
        <f>VLOOKUP(Tabela1[[#This Row],[Origem]], 'Perguntas 1 a 24'!$J$28:$K$34, 2, 0)</f>
        <v>Nordeste</v>
      </c>
      <c r="E1327" s="87" t="str">
        <f>Tabela1[[#This Row],[Descrição]]&amp;"-"&amp;Tabela1[[#This Row],[Código]]&amp;"/"&amp;Tabela1[[#This Row],[Origem]]</f>
        <v>Pidogapufi-H953H334/MA</v>
      </c>
      <c r="F1327" s="88">
        <v>46244</v>
      </c>
      <c r="G1327" s="88" t="str" cm="1">
        <f t="array" ref="G13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AND(F1327&gt;= DATE(2026,1,1), F1327&lt;= DATE(2028, 12, 31), J1327&gt;50000), "Pendente e Caro", AND(F1327&gt;= DATE(2026,1,1), F1327&lt;= DATE(2028, 12, 31), J1327&lt;=50000), "Pendente", F1327&gt;= DATE(2029,1,1), "Não prioeitário")</f>
        <v>Pendente e Caro</v>
      </c>
      <c r="H1327" s="89">
        <f>YEAR(Tabela1[[#This Row],[Data de Validade]])</f>
        <v>2026</v>
      </c>
      <c r="I1327" s="89">
        <f>MONTH(Tabela1[[#This Row],[Data de Validade]])</f>
        <v>8</v>
      </c>
      <c r="J1327" s="101">
        <v>115722</v>
      </c>
      <c r="K1327" s="87" t="s">
        <v>7</v>
      </c>
      <c r="L1327" s="108"/>
      <c r="M1327" s="108"/>
      <c r="N1327" s="108" t="str">
        <v>H953H334</v>
      </c>
      <c r="O1327" s="108">
        <f t="shared" si="22"/>
        <v>1</v>
      </c>
      <c r="P1327" s="108"/>
      <c r="Q1327"/>
    </row>
    <row r="1328" spans="1:17" x14ac:dyDescent="0.25">
      <c r="A1328" s="89" t="s">
        <v>7714</v>
      </c>
      <c r="B1328" s="87" t="s">
        <v>7715</v>
      </c>
      <c r="C1328" s="87" t="s">
        <v>12</v>
      </c>
      <c r="D1328" s="87" t="str">
        <f>VLOOKUP(Tabela1[[#This Row],[Origem]], 'Perguntas 1 a 24'!$J$28:$K$34, 2, 0)</f>
        <v>Sudeste</v>
      </c>
      <c r="E1328" s="87" t="str">
        <f>Tabela1[[#This Row],[Descrição]]&amp;"-"&amp;Tabela1[[#This Row],[Código]]&amp;"/"&amp;Tabela1[[#This Row],[Origem]]</f>
        <v>Tepepi-H128P679/RJ</v>
      </c>
      <c r="F1328" s="88">
        <v>46244</v>
      </c>
      <c r="G1328" s="88" t="str" cm="1">
        <f t="array" ref="G13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AND(F1328&gt;= DATE(2026,1,1), F1328&lt;= DATE(2028, 12, 31), J1328&gt;50000), "Pendente e Caro", AND(F1328&gt;= DATE(2026,1,1), F1328&lt;= DATE(2028, 12, 31), J1328&lt;=50000), "Pendente", F1328&gt;= DATE(2029,1,1), "Não prioeitário")</f>
        <v>Pendente e Caro</v>
      </c>
      <c r="H1328" s="89">
        <f>YEAR(Tabela1[[#This Row],[Data de Validade]])</f>
        <v>2026</v>
      </c>
      <c r="I1328" s="89">
        <f>MONTH(Tabela1[[#This Row],[Data de Validade]])</f>
        <v>8</v>
      </c>
      <c r="J1328" s="101">
        <v>101821</v>
      </c>
      <c r="K1328" s="87" t="s">
        <v>14</v>
      </c>
      <c r="L1328" s="108"/>
      <c r="M1328" s="108"/>
      <c r="N1328" s="108" t="str">
        <v>H128P679</v>
      </c>
      <c r="O1328" s="108">
        <f t="shared" si="22"/>
        <v>1</v>
      </c>
      <c r="P1328" s="108"/>
      <c r="Q1328"/>
    </row>
    <row r="1329" spans="1:17" x14ac:dyDescent="0.25">
      <c r="A1329" s="89" t="s">
        <v>7344</v>
      </c>
      <c r="B1329" s="87" t="s">
        <v>7345</v>
      </c>
      <c r="C1329" s="87" t="s">
        <v>16</v>
      </c>
      <c r="D1329" s="87" t="str">
        <f>VLOOKUP(Tabela1[[#This Row],[Origem]], 'Perguntas 1 a 24'!$J$28:$K$34, 2, 0)</f>
        <v>Sudeste</v>
      </c>
      <c r="E1329" s="87" t="str">
        <f>Tabela1[[#This Row],[Descrição]]&amp;"-"&amp;Tabela1[[#This Row],[Código]]&amp;"/"&amp;Tabela1[[#This Row],[Origem]]</f>
        <v>Piteco-P947P659/MG</v>
      </c>
      <c r="F1329" s="88">
        <v>46245</v>
      </c>
      <c r="G1329" s="88" t="str" cm="1">
        <f t="array" ref="G13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AND(F1329&gt;= DATE(2026,1,1), F1329&lt;= DATE(2028, 12, 31), J1329&gt;50000), "Pendente e Caro", AND(F1329&gt;= DATE(2026,1,1), F1329&lt;= DATE(2028, 12, 31), J1329&lt;=50000), "Pendente", F1329&gt;= DATE(2029,1,1), "Não prioeitário")</f>
        <v>Pendente</v>
      </c>
      <c r="H1329" s="89">
        <f>YEAR(Tabela1[[#This Row],[Data de Validade]])</f>
        <v>2026</v>
      </c>
      <c r="I1329" s="89">
        <f>MONTH(Tabela1[[#This Row],[Data de Validade]])</f>
        <v>8</v>
      </c>
      <c r="J1329" s="101">
        <v>42856</v>
      </c>
      <c r="K1329" s="87" t="s">
        <v>14</v>
      </c>
      <c r="L1329" s="108"/>
      <c r="M1329" s="108"/>
      <c r="N1329" s="108" t="str">
        <v>P947P659</v>
      </c>
      <c r="O1329" s="108">
        <f t="shared" si="22"/>
        <v>1</v>
      </c>
      <c r="P1329" s="108"/>
      <c r="Q1329"/>
    </row>
    <row r="1330" spans="1:17" x14ac:dyDescent="0.25">
      <c r="A1330" s="89" t="s">
        <v>6116</v>
      </c>
      <c r="B1330" s="87" t="s">
        <v>6117</v>
      </c>
      <c r="C1330" s="87" t="s">
        <v>15</v>
      </c>
      <c r="D1330" s="87" t="str">
        <f>VLOOKUP(Tabela1[[#This Row],[Origem]], 'Perguntas 1 a 24'!$J$28:$K$34, 2, 0)</f>
        <v>Sudeste</v>
      </c>
      <c r="E1330" s="87" t="str">
        <f>Tabela1[[#This Row],[Descrição]]&amp;"-"&amp;Tabela1[[#This Row],[Código]]&amp;"/"&amp;Tabela1[[#This Row],[Origem]]</f>
        <v>Virapoliro-H447P843/ES</v>
      </c>
      <c r="F1330" s="88">
        <v>46245</v>
      </c>
      <c r="G1330" s="88" t="str" cm="1">
        <f t="array" ref="G13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AND(F1330&gt;= DATE(2026,1,1), F1330&lt;= DATE(2028, 12, 31), J1330&gt;50000), "Pendente e Caro", AND(F1330&gt;= DATE(2026,1,1), F1330&lt;= DATE(2028, 12, 31), J1330&lt;=50000), "Pendente", F1330&gt;= DATE(2029,1,1), "Não prioeitário")</f>
        <v>Pendente</v>
      </c>
      <c r="H1330" s="89">
        <f>YEAR(Tabela1[[#This Row],[Data de Validade]])</f>
        <v>2026</v>
      </c>
      <c r="I1330" s="89">
        <f>MONTH(Tabela1[[#This Row],[Data de Validade]])</f>
        <v>8</v>
      </c>
      <c r="J1330" s="101">
        <v>31161</v>
      </c>
      <c r="K1330" s="87" t="s">
        <v>14</v>
      </c>
      <c r="L1330" s="108"/>
      <c r="M1330" s="108"/>
      <c r="N1330" s="108" t="str">
        <v>H447P843</v>
      </c>
      <c r="O1330" s="108">
        <f t="shared" si="22"/>
        <v>1</v>
      </c>
      <c r="P1330" s="108"/>
      <c r="Q1330"/>
    </row>
    <row r="1331" spans="1:17" x14ac:dyDescent="0.25">
      <c r="A1331" s="89" t="s">
        <v>4381</v>
      </c>
      <c r="B1331" s="87" t="s">
        <v>4382</v>
      </c>
      <c r="C1331" s="87" t="s">
        <v>8</v>
      </c>
      <c r="D1331" s="87" t="str">
        <f>VLOOKUP(Tabela1[[#This Row],[Origem]], 'Perguntas 1 a 24'!$J$28:$K$34, 2, 0)</f>
        <v>Nordeste</v>
      </c>
      <c r="E1331" s="87" t="str">
        <f>Tabela1[[#This Row],[Descrição]]&amp;"-"&amp;Tabela1[[#This Row],[Código]]&amp;"/"&amp;Tabela1[[#This Row],[Origem]]</f>
        <v>Moreluve-H131H977/AL</v>
      </c>
      <c r="F1331" s="88">
        <v>46245</v>
      </c>
      <c r="G1331" s="88" t="str" cm="1">
        <f t="array" ref="G13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AND(F1331&gt;= DATE(2026,1,1), F1331&lt;= DATE(2028, 12, 31), J1331&gt;50000), "Pendente e Caro", AND(F1331&gt;= DATE(2026,1,1), F1331&lt;= DATE(2028, 12, 31), J1331&lt;=50000), "Pendente", F1331&gt;= DATE(2029,1,1), "Não prioeitário")</f>
        <v>Pendente</v>
      </c>
      <c r="H1331" s="89">
        <f>YEAR(Tabela1[[#This Row],[Data de Validade]])</f>
        <v>2026</v>
      </c>
      <c r="I1331" s="89">
        <f>MONTH(Tabela1[[#This Row],[Data de Validade]])</f>
        <v>8</v>
      </c>
      <c r="J1331" s="101">
        <v>29597</v>
      </c>
      <c r="K1331" s="87" t="s">
        <v>14</v>
      </c>
      <c r="L1331" s="108"/>
      <c r="M1331" s="108"/>
      <c r="N1331" s="108" t="str">
        <v>H131H977</v>
      </c>
      <c r="O1331" s="108">
        <f t="shared" si="22"/>
        <v>1</v>
      </c>
      <c r="P1331" s="108"/>
      <c r="Q1331"/>
    </row>
    <row r="1332" spans="1:17" x14ac:dyDescent="0.25">
      <c r="A1332" s="89" t="s">
        <v>6080</v>
      </c>
      <c r="B1332" s="87" t="s">
        <v>6081</v>
      </c>
      <c r="C1332" s="87" t="s">
        <v>16</v>
      </c>
      <c r="D1332" s="87" t="str">
        <f>VLOOKUP(Tabela1[[#This Row],[Origem]], 'Perguntas 1 a 24'!$J$28:$K$34, 2, 0)</f>
        <v>Sudeste</v>
      </c>
      <c r="E1332" s="87" t="str">
        <f>Tabela1[[#This Row],[Descrição]]&amp;"-"&amp;Tabela1[[#This Row],[Código]]&amp;"/"&amp;Tabela1[[#This Row],[Origem]]</f>
        <v>Vedegila-H285H195/MG</v>
      </c>
      <c r="F1332" s="88">
        <v>46247</v>
      </c>
      <c r="G1332" s="88" t="str" cm="1">
        <f t="array" ref="G13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AND(F1332&gt;= DATE(2026,1,1), F1332&lt;= DATE(2028, 12, 31), J1332&gt;50000), "Pendente e Caro", AND(F1332&gt;= DATE(2026,1,1), F1332&lt;= DATE(2028, 12, 31), J1332&lt;=50000), "Pendente", F1332&gt;= DATE(2029,1,1), "Não prioeitário")</f>
        <v>Pendente e Caro</v>
      </c>
      <c r="H1332" s="89">
        <f>YEAR(Tabela1[[#This Row],[Data de Validade]])</f>
        <v>2026</v>
      </c>
      <c r="I1332" s="89">
        <f>MONTH(Tabela1[[#This Row],[Data de Validade]])</f>
        <v>8</v>
      </c>
      <c r="J1332" s="101">
        <v>94906</v>
      </c>
      <c r="K1332" s="87" t="s">
        <v>7</v>
      </c>
      <c r="L1332" s="108"/>
      <c r="M1332" s="108"/>
      <c r="N1332" s="108" t="str">
        <v>H285H195</v>
      </c>
      <c r="O1332" s="108">
        <f t="shared" si="22"/>
        <v>1</v>
      </c>
      <c r="P1332" s="108"/>
      <c r="Q1332"/>
    </row>
    <row r="1333" spans="1:17" x14ac:dyDescent="0.25">
      <c r="A1333" s="89" t="s">
        <v>10169</v>
      </c>
      <c r="B1333" s="87" t="s">
        <v>10170</v>
      </c>
      <c r="C1333" s="87" t="s">
        <v>6</v>
      </c>
      <c r="D1333" s="87" t="str">
        <f>VLOOKUP(Tabela1[[#This Row],[Origem]], 'Perguntas 1 a 24'!$J$28:$K$34, 2, 0)</f>
        <v>Nordeste</v>
      </c>
      <c r="E1333" s="87" t="str">
        <f>Tabela1[[#This Row],[Descrição]]&amp;"-"&amp;Tabela1[[#This Row],[Código]]&amp;"/"&amp;Tabela1[[#This Row],[Origem]]</f>
        <v>Rimutagira-H788H725/MA</v>
      </c>
      <c r="F1333" s="88">
        <v>46247</v>
      </c>
      <c r="G1333" s="88" t="str" cm="1">
        <f t="array" ref="G13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AND(F1333&gt;= DATE(2026,1,1), F1333&lt;= DATE(2028, 12, 31), J1333&gt;50000), "Pendente e Caro", AND(F1333&gt;= DATE(2026,1,1), F1333&lt;= DATE(2028, 12, 31), J1333&lt;=50000), "Pendente", F1333&gt;= DATE(2029,1,1), "Não prioeitário")</f>
        <v>Pendente e Caro</v>
      </c>
      <c r="H1333" s="89">
        <f>YEAR(Tabela1[[#This Row],[Data de Validade]])</f>
        <v>2026</v>
      </c>
      <c r="I1333" s="89">
        <f>MONTH(Tabela1[[#This Row],[Data de Validade]])</f>
        <v>8</v>
      </c>
      <c r="J1333" s="101">
        <v>93393</v>
      </c>
      <c r="K1333" s="87" t="s">
        <v>7</v>
      </c>
      <c r="L1333" s="108"/>
      <c r="M1333" s="108"/>
      <c r="N1333" s="108" t="str">
        <v>H788H725</v>
      </c>
      <c r="O1333" s="108">
        <f t="shared" si="22"/>
        <v>1</v>
      </c>
      <c r="P1333" s="108"/>
      <c r="Q1333"/>
    </row>
    <row r="1334" spans="1:17" x14ac:dyDescent="0.25">
      <c r="A1334" s="89" t="s">
        <v>7214</v>
      </c>
      <c r="B1334" s="87" t="s">
        <v>7215</v>
      </c>
      <c r="C1334" s="87" t="s">
        <v>16</v>
      </c>
      <c r="D1334" s="87" t="str">
        <f>VLOOKUP(Tabela1[[#This Row],[Origem]], 'Perguntas 1 a 24'!$J$28:$K$34, 2, 0)</f>
        <v>Sudeste</v>
      </c>
      <c r="E1334" s="87" t="str">
        <f>Tabela1[[#This Row],[Descrição]]&amp;"-"&amp;Tabela1[[#This Row],[Código]]&amp;"/"&amp;Tabela1[[#This Row],[Origem]]</f>
        <v>Vopepumi-P357P917/MG</v>
      </c>
      <c r="F1334" s="88">
        <v>46248</v>
      </c>
      <c r="G1334" s="88" t="str" cm="1">
        <f t="array" ref="G13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AND(F1334&gt;= DATE(2026,1,1), F1334&lt;= DATE(2028, 12, 31), J1334&gt;50000), "Pendente e Caro", AND(F1334&gt;= DATE(2026,1,1), F1334&lt;= DATE(2028, 12, 31), J1334&lt;=50000), "Pendente", F1334&gt;= DATE(2029,1,1), "Não prioeitário")</f>
        <v>Pendente e Caro</v>
      </c>
      <c r="H1334" s="89">
        <f>YEAR(Tabela1[[#This Row],[Data de Validade]])</f>
        <v>2026</v>
      </c>
      <c r="I1334" s="89">
        <f>MONTH(Tabela1[[#This Row],[Data de Validade]])</f>
        <v>8</v>
      </c>
      <c r="J1334" s="101">
        <v>98079</v>
      </c>
      <c r="K1334" s="87" t="s">
        <v>9</v>
      </c>
      <c r="L1334" s="108"/>
      <c r="M1334" s="108"/>
      <c r="N1334" s="108" t="str">
        <v>P357P917</v>
      </c>
      <c r="O1334" s="108">
        <f t="shared" si="22"/>
        <v>1</v>
      </c>
      <c r="P1334" s="108"/>
      <c r="Q1334"/>
    </row>
    <row r="1335" spans="1:17" x14ac:dyDescent="0.25">
      <c r="A1335" s="89" t="s">
        <v>4481</v>
      </c>
      <c r="B1335" s="87" t="s">
        <v>4482</v>
      </c>
      <c r="C1335" s="87" t="s">
        <v>15</v>
      </c>
      <c r="D1335" s="87" t="str">
        <f>VLOOKUP(Tabela1[[#This Row],[Origem]], 'Perguntas 1 a 24'!$J$28:$K$34, 2, 0)</f>
        <v>Sudeste</v>
      </c>
      <c r="E1335" s="87" t="str">
        <f>Tabela1[[#This Row],[Descrição]]&amp;"-"&amp;Tabela1[[#This Row],[Código]]&amp;"/"&amp;Tabela1[[#This Row],[Origem]]</f>
        <v>Fopifite-H412H686/ES</v>
      </c>
      <c r="F1335" s="88">
        <v>46248</v>
      </c>
      <c r="G1335" s="88" t="str" cm="1">
        <f t="array" ref="G13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AND(F1335&gt;= DATE(2026,1,1), F1335&lt;= DATE(2028, 12, 31), J1335&gt;50000), "Pendente e Caro", AND(F1335&gt;= DATE(2026,1,1), F1335&lt;= DATE(2028, 12, 31), J1335&lt;=50000), "Pendente", F1335&gt;= DATE(2029,1,1), "Não prioeitário")</f>
        <v>Pendente e Caro</v>
      </c>
      <c r="H1335" s="89">
        <f>YEAR(Tabela1[[#This Row],[Data de Validade]])</f>
        <v>2026</v>
      </c>
      <c r="I1335" s="89">
        <f>MONTH(Tabela1[[#This Row],[Data de Validade]])</f>
        <v>8</v>
      </c>
      <c r="J1335" s="101">
        <v>76338</v>
      </c>
      <c r="K1335" s="87" t="s">
        <v>7</v>
      </c>
      <c r="L1335" s="108"/>
      <c r="M1335" s="108"/>
      <c r="N1335" s="108" t="str">
        <v>H412H686</v>
      </c>
      <c r="O1335" s="108">
        <f t="shared" si="22"/>
        <v>1</v>
      </c>
      <c r="P1335" s="108"/>
      <c r="Q1335"/>
    </row>
    <row r="1336" spans="1:17" x14ac:dyDescent="0.25">
      <c r="A1336" s="89" t="s">
        <v>8406</v>
      </c>
      <c r="B1336" s="87" t="s">
        <v>8407</v>
      </c>
      <c r="C1336" s="87" t="s">
        <v>10</v>
      </c>
      <c r="D1336" s="87" t="str">
        <f>VLOOKUP(Tabela1[[#This Row],[Origem]], 'Perguntas 1 a 24'!$J$28:$K$34, 2, 0)</f>
        <v>Centro-Oeste</v>
      </c>
      <c r="E1336" s="87" t="str">
        <f>Tabela1[[#This Row],[Descrição]]&amp;"-"&amp;Tabela1[[#This Row],[Código]]&amp;"/"&amp;Tabela1[[#This Row],[Origem]]</f>
        <v>Mumelapopi-H227P936/GO</v>
      </c>
      <c r="F1336" s="88">
        <v>46249</v>
      </c>
      <c r="G1336" s="88" t="str" cm="1">
        <f t="array" ref="G13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AND(F1336&gt;= DATE(2026,1,1), F1336&lt;= DATE(2028, 12, 31), J1336&gt;50000), "Pendente e Caro", AND(F1336&gt;= DATE(2026,1,1), F1336&lt;= DATE(2028, 12, 31), J1336&lt;=50000), "Pendente", F1336&gt;= DATE(2029,1,1), "Não prioeitário")</f>
        <v>Pendente e Caro</v>
      </c>
      <c r="H1336" s="89">
        <f>YEAR(Tabela1[[#This Row],[Data de Validade]])</f>
        <v>2026</v>
      </c>
      <c r="I1336" s="89">
        <f>MONTH(Tabela1[[#This Row],[Data de Validade]])</f>
        <v>8</v>
      </c>
      <c r="J1336" s="101">
        <v>71036</v>
      </c>
      <c r="K1336" s="87" t="s">
        <v>7</v>
      </c>
      <c r="L1336" s="108"/>
      <c r="M1336" s="108"/>
      <c r="N1336" s="108" t="str">
        <v>H227P936</v>
      </c>
      <c r="O1336" s="108">
        <f t="shared" si="22"/>
        <v>1</v>
      </c>
      <c r="P1336" s="108"/>
      <c r="Q1336"/>
    </row>
    <row r="1337" spans="1:17" x14ac:dyDescent="0.25">
      <c r="A1337" s="89" t="s">
        <v>6930</v>
      </c>
      <c r="B1337" s="87" t="s">
        <v>6931</v>
      </c>
      <c r="C1337" s="87" t="s">
        <v>15</v>
      </c>
      <c r="D1337" s="87" t="str">
        <f>VLOOKUP(Tabela1[[#This Row],[Origem]], 'Perguntas 1 a 24'!$J$28:$K$34, 2, 0)</f>
        <v>Sudeste</v>
      </c>
      <c r="E1337" s="87" t="str">
        <f>Tabela1[[#This Row],[Descrição]]&amp;"-"&amp;Tabela1[[#This Row],[Código]]&amp;"/"&amp;Tabela1[[#This Row],[Origem]]</f>
        <v>Votava-H646P355/ES</v>
      </c>
      <c r="F1337" s="88">
        <v>46249</v>
      </c>
      <c r="G1337" s="88" t="str" cm="1">
        <f t="array" ref="G13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AND(F1337&gt;= DATE(2026,1,1), F1337&lt;= DATE(2028, 12, 31), J1337&gt;50000), "Pendente e Caro", AND(F1337&gt;= DATE(2026,1,1), F1337&lt;= DATE(2028, 12, 31), J1337&lt;=50000), "Pendente", F1337&gt;= DATE(2029,1,1), "Não prioeitário")</f>
        <v>Pendente</v>
      </c>
      <c r="H1337" s="89">
        <f>YEAR(Tabela1[[#This Row],[Data de Validade]])</f>
        <v>2026</v>
      </c>
      <c r="I1337" s="89">
        <f>MONTH(Tabela1[[#This Row],[Data de Validade]])</f>
        <v>8</v>
      </c>
      <c r="J1337" s="101">
        <v>46892</v>
      </c>
      <c r="K1337" s="87" t="s">
        <v>14</v>
      </c>
      <c r="L1337" s="108"/>
      <c r="M1337" s="108"/>
      <c r="N1337" s="108" t="str">
        <v>H646P355</v>
      </c>
      <c r="O1337" s="108">
        <f t="shared" si="22"/>
        <v>1</v>
      </c>
      <c r="P1337" s="108"/>
      <c r="Q1337"/>
    </row>
    <row r="1338" spans="1:17" x14ac:dyDescent="0.25">
      <c r="A1338" s="89" t="s">
        <v>10145</v>
      </c>
      <c r="B1338" s="87" t="s">
        <v>10146</v>
      </c>
      <c r="C1338" s="87" t="s">
        <v>16</v>
      </c>
      <c r="D1338" s="87" t="str">
        <f>VLOOKUP(Tabela1[[#This Row],[Origem]], 'Perguntas 1 a 24'!$J$28:$K$34, 2, 0)</f>
        <v>Sudeste</v>
      </c>
      <c r="E1338" s="87" t="str">
        <f>Tabela1[[#This Row],[Descrição]]&amp;"-"&amp;Tabela1[[#This Row],[Código]]&amp;"/"&amp;Tabela1[[#This Row],[Origem]]</f>
        <v>Gipamaru-H764H725/MG</v>
      </c>
      <c r="F1338" s="88">
        <v>46250</v>
      </c>
      <c r="G1338" s="88" t="str" cm="1">
        <f t="array" ref="G13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AND(F1338&gt;= DATE(2026,1,1), F1338&lt;= DATE(2028, 12, 31), J1338&gt;50000), "Pendente e Caro", AND(F1338&gt;= DATE(2026,1,1), F1338&lt;= DATE(2028, 12, 31), J1338&lt;=50000), "Pendente", F1338&gt;= DATE(2029,1,1), "Não prioeitário")</f>
        <v>Pendente e Caro</v>
      </c>
      <c r="H1338" s="89">
        <f>YEAR(Tabela1[[#This Row],[Data de Validade]])</f>
        <v>2026</v>
      </c>
      <c r="I1338" s="89">
        <f>MONTH(Tabela1[[#This Row],[Data de Validade]])</f>
        <v>8</v>
      </c>
      <c r="J1338" s="101">
        <v>51373</v>
      </c>
      <c r="K1338" s="87" t="s">
        <v>9</v>
      </c>
      <c r="L1338" s="108"/>
      <c r="M1338" s="108"/>
      <c r="N1338" s="108" t="str">
        <v>H764H725</v>
      </c>
      <c r="O1338" s="108">
        <f t="shared" si="22"/>
        <v>1</v>
      </c>
      <c r="P1338" s="108"/>
      <c r="Q1338"/>
    </row>
    <row r="1339" spans="1:17" x14ac:dyDescent="0.25">
      <c r="A1339" s="89" t="s">
        <v>3862</v>
      </c>
      <c r="B1339" s="87" t="s">
        <v>3863</v>
      </c>
      <c r="C1339" s="87" t="s">
        <v>16</v>
      </c>
      <c r="D1339" s="87" t="str">
        <f>VLOOKUP(Tabela1[[#This Row],[Origem]], 'Perguntas 1 a 24'!$J$28:$K$34, 2, 0)</f>
        <v>Sudeste</v>
      </c>
      <c r="E1339" s="87" t="str">
        <f>Tabela1[[#This Row],[Descrição]]&amp;"-"&amp;Tabela1[[#This Row],[Código]]&amp;"/"&amp;Tabela1[[#This Row],[Origem]]</f>
        <v>Gademi-P782P382/MG</v>
      </c>
      <c r="F1339" s="88">
        <v>46251</v>
      </c>
      <c r="G1339" s="88" t="str" cm="1">
        <f t="array" ref="G13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AND(F1339&gt;= DATE(2026,1,1), F1339&lt;= DATE(2028, 12, 31), J1339&gt;50000), "Pendente e Caro", AND(F1339&gt;= DATE(2026,1,1), F1339&lt;= DATE(2028, 12, 31), J1339&lt;=50000), "Pendente", F1339&gt;= DATE(2029,1,1), "Não prioeitário")</f>
        <v>Pendente e Caro</v>
      </c>
      <c r="H1339" s="89">
        <f>YEAR(Tabela1[[#This Row],[Data de Validade]])</f>
        <v>2026</v>
      </c>
      <c r="I1339" s="89">
        <f>MONTH(Tabela1[[#This Row],[Data de Validade]])</f>
        <v>8</v>
      </c>
      <c r="J1339" s="101">
        <v>99102</v>
      </c>
      <c r="K1339" s="87" t="s">
        <v>9</v>
      </c>
      <c r="L1339" s="108"/>
      <c r="M1339" s="108"/>
      <c r="N1339" s="108" t="str">
        <v>P782P382</v>
      </c>
      <c r="O1339" s="108">
        <f t="shared" si="22"/>
        <v>1</v>
      </c>
      <c r="P1339" s="108"/>
      <c r="Q1339"/>
    </row>
    <row r="1340" spans="1:17" x14ac:dyDescent="0.25">
      <c r="A1340" s="89" t="s">
        <v>6936</v>
      </c>
      <c r="B1340" s="87" t="s">
        <v>6937</v>
      </c>
      <c r="C1340" s="87" t="s">
        <v>6</v>
      </c>
      <c r="D1340" s="87" t="str">
        <f>VLOOKUP(Tabela1[[#This Row],[Origem]], 'Perguntas 1 a 24'!$J$28:$K$34, 2, 0)</f>
        <v>Nordeste</v>
      </c>
      <c r="E1340" s="87" t="str">
        <f>Tabela1[[#This Row],[Descrição]]&amp;"-"&amp;Tabela1[[#This Row],[Código]]&amp;"/"&amp;Tabela1[[#This Row],[Origem]]</f>
        <v>Menelapeda-H532P698/MA</v>
      </c>
      <c r="F1340" s="88">
        <v>46251</v>
      </c>
      <c r="G1340" s="88" t="str" cm="1">
        <f t="array" ref="G13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AND(F1340&gt;= DATE(2026,1,1), F1340&lt;= DATE(2028, 12, 31), J1340&gt;50000), "Pendente e Caro", AND(F1340&gt;= DATE(2026,1,1), F1340&lt;= DATE(2028, 12, 31), J1340&lt;=50000), "Pendente", F1340&gt;= DATE(2029,1,1), "Não prioeitário")</f>
        <v>Pendente</v>
      </c>
      <c r="H1340" s="89">
        <f>YEAR(Tabela1[[#This Row],[Data de Validade]])</f>
        <v>2026</v>
      </c>
      <c r="I1340" s="89">
        <f>MONTH(Tabela1[[#This Row],[Data de Validade]])</f>
        <v>8</v>
      </c>
      <c r="J1340" s="101">
        <v>23143</v>
      </c>
      <c r="K1340" s="87" t="s">
        <v>11</v>
      </c>
      <c r="L1340" s="108"/>
      <c r="M1340" s="108"/>
      <c r="N1340" s="108" t="str">
        <v>H532P698</v>
      </c>
      <c r="O1340" s="108">
        <f t="shared" si="22"/>
        <v>1</v>
      </c>
      <c r="P1340" s="108"/>
      <c r="Q1340"/>
    </row>
    <row r="1341" spans="1:17" x14ac:dyDescent="0.25">
      <c r="A1341" s="89" t="s">
        <v>11038</v>
      </c>
      <c r="B1341" s="87" t="s">
        <v>11039</v>
      </c>
      <c r="C1341" s="87" t="s">
        <v>6</v>
      </c>
      <c r="D1341" s="87" t="str">
        <f>VLOOKUP(Tabela1[[#This Row],[Origem]], 'Perguntas 1 a 24'!$J$28:$K$34, 2, 0)</f>
        <v>Nordeste</v>
      </c>
      <c r="E1341" s="87" t="str">
        <f>Tabela1[[#This Row],[Descrição]]&amp;"-"&amp;Tabela1[[#This Row],[Código]]&amp;"/"&amp;Tabela1[[#This Row],[Origem]]</f>
        <v>Vetere-P849H871/MA</v>
      </c>
      <c r="F1341" s="88">
        <v>46252</v>
      </c>
      <c r="G1341" s="88" t="str" cm="1">
        <f t="array" ref="G13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AND(F1341&gt;= DATE(2026,1,1), F1341&lt;= DATE(2028, 12, 31), J1341&gt;50000), "Pendente e Caro", AND(F1341&gt;= DATE(2026,1,1), F1341&lt;= DATE(2028, 12, 31), J1341&lt;=50000), "Pendente", F1341&gt;= DATE(2029,1,1), "Não prioeitário")</f>
        <v>Pendente e Caro</v>
      </c>
      <c r="H1341" s="89">
        <f>YEAR(Tabela1[[#This Row],[Data de Validade]])</f>
        <v>2026</v>
      </c>
      <c r="I1341" s="89">
        <f>MONTH(Tabela1[[#This Row],[Data de Validade]])</f>
        <v>8</v>
      </c>
      <c r="J1341" s="101">
        <v>72330</v>
      </c>
      <c r="K1341" s="87" t="s">
        <v>14</v>
      </c>
      <c r="L1341" s="108"/>
      <c r="M1341" s="108"/>
      <c r="N1341" s="108" t="str">
        <v>P849H871</v>
      </c>
      <c r="O1341" s="108">
        <f t="shared" si="22"/>
        <v>1</v>
      </c>
      <c r="P1341" s="108"/>
      <c r="Q1341"/>
    </row>
    <row r="1342" spans="1:17" x14ac:dyDescent="0.25">
      <c r="A1342" s="89" t="s">
        <v>6552</v>
      </c>
      <c r="B1342" s="87" t="s">
        <v>6553</v>
      </c>
      <c r="C1342" s="87" t="s">
        <v>15</v>
      </c>
      <c r="D1342" s="87" t="str">
        <f>VLOOKUP(Tabela1[[#This Row],[Origem]], 'Perguntas 1 a 24'!$J$28:$K$34, 2, 0)</f>
        <v>Sudeste</v>
      </c>
      <c r="E1342" s="87" t="str">
        <f>Tabela1[[#This Row],[Descrição]]&amp;"-"&amp;Tabela1[[#This Row],[Código]]&amp;"/"&amp;Tabela1[[#This Row],[Origem]]</f>
        <v>Mupupopo-H459P593/ES</v>
      </c>
      <c r="F1342" s="88">
        <v>46253</v>
      </c>
      <c r="G1342" s="88" t="str" cm="1">
        <f t="array" ref="G13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AND(F1342&gt;= DATE(2026,1,1), F1342&lt;= DATE(2028, 12, 31), J1342&gt;50000), "Pendente e Caro", AND(F1342&gt;= DATE(2026,1,1), F1342&lt;= DATE(2028, 12, 31), J1342&lt;=50000), "Pendente", F1342&gt;= DATE(2029,1,1), "Não prioeitário")</f>
        <v>Pendente e Caro</v>
      </c>
      <c r="H1342" s="89">
        <f>YEAR(Tabela1[[#This Row],[Data de Validade]])</f>
        <v>2026</v>
      </c>
      <c r="I1342" s="89">
        <f>MONTH(Tabela1[[#This Row],[Data de Validade]])</f>
        <v>8</v>
      </c>
      <c r="J1342" s="101">
        <v>87748</v>
      </c>
      <c r="K1342" s="87" t="s">
        <v>11</v>
      </c>
      <c r="L1342" s="108"/>
      <c r="M1342" s="108"/>
      <c r="N1342" s="108" t="str">
        <v>H459P593</v>
      </c>
      <c r="O1342" s="108">
        <f t="shared" si="22"/>
        <v>1</v>
      </c>
      <c r="P1342" s="108"/>
      <c r="Q1342"/>
    </row>
    <row r="1343" spans="1:17" x14ac:dyDescent="0.25">
      <c r="A1343" s="89" t="s">
        <v>6578</v>
      </c>
      <c r="B1343" s="87" t="s">
        <v>6579</v>
      </c>
      <c r="C1343" s="87" t="s">
        <v>6</v>
      </c>
      <c r="D1343" s="87" t="str">
        <f>VLOOKUP(Tabela1[[#This Row],[Origem]], 'Perguntas 1 a 24'!$J$28:$K$34, 2, 0)</f>
        <v>Nordeste</v>
      </c>
      <c r="E1343" s="87" t="str">
        <f>Tabela1[[#This Row],[Descrição]]&amp;"-"&amp;Tabela1[[#This Row],[Código]]&amp;"/"&amp;Tabela1[[#This Row],[Origem]]</f>
        <v>Geruto-P952H265/MA</v>
      </c>
      <c r="F1343" s="88">
        <v>46253</v>
      </c>
      <c r="G1343" s="88" t="str" cm="1">
        <f t="array" ref="G13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AND(F1343&gt;= DATE(2026,1,1), F1343&lt;= DATE(2028, 12, 31), J1343&gt;50000), "Pendente e Caro", AND(F1343&gt;= DATE(2026,1,1), F1343&lt;= DATE(2028, 12, 31), J1343&lt;=50000), "Pendente", F1343&gt;= DATE(2029,1,1), "Não prioeitário")</f>
        <v>Pendente e Caro</v>
      </c>
      <c r="H1343" s="89">
        <f>YEAR(Tabela1[[#This Row],[Data de Validade]])</f>
        <v>2026</v>
      </c>
      <c r="I1343" s="89">
        <f>MONTH(Tabela1[[#This Row],[Data de Validade]])</f>
        <v>8</v>
      </c>
      <c r="J1343" s="101">
        <v>70357</v>
      </c>
      <c r="K1343" s="87" t="s">
        <v>9</v>
      </c>
      <c r="L1343" s="108"/>
      <c r="M1343" s="108"/>
      <c r="N1343" s="108" t="str">
        <v>P952H265</v>
      </c>
      <c r="O1343" s="108">
        <f t="shared" si="22"/>
        <v>1</v>
      </c>
      <c r="P1343" s="108"/>
      <c r="Q1343"/>
    </row>
    <row r="1344" spans="1:17" x14ac:dyDescent="0.25">
      <c r="A1344" s="89" t="s">
        <v>3810</v>
      </c>
      <c r="B1344" s="87" t="s">
        <v>3811</v>
      </c>
      <c r="C1344" s="87" t="s">
        <v>16</v>
      </c>
      <c r="D1344" s="87" t="str">
        <f>VLOOKUP(Tabela1[[#This Row],[Origem]], 'Perguntas 1 a 24'!$J$28:$K$34, 2, 0)</f>
        <v>Sudeste</v>
      </c>
      <c r="E1344" s="87" t="str">
        <f>Tabela1[[#This Row],[Descrição]]&amp;"-"&amp;Tabela1[[#This Row],[Código]]&amp;"/"&amp;Tabela1[[#This Row],[Origem]]</f>
        <v>Fomapoto-H846P798/MG</v>
      </c>
      <c r="F1344" s="88">
        <v>46254</v>
      </c>
      <c r="G1344" s="88" t="str" cm="1">
        <f t="array" ref="G13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AND(F1344&gt;= DATE(2026,1,1), F1344&lt;= DATE(2028, 12, 31), J1344&gt;50000), "Pendente e Caro", AND(F1344&gt;= DATE(2026,1,1), F1344&lt;= DATE(2028, 12, 31), J1344&lt;=50000), "Pendente", F1344&gt;= DATE(2029,1,1), "Não prioeitário")</f>
        <v>Pendente e Caro</v>
      </c>
      <c r="H1344" s="89">
        <f>YEAR(Tabela1[[#This Row],[Data de Validade]])</f>
        <v>2026</v>
      </c>
      <c r="I1344" s="89">
        <f>MONTH(Tabela1[[#This Row],[Data de Validade]])</f>
        <v>8</v>
      </c>
      <c r="J1344" s="101">
        <v>80537</v>
      </c>
      <c r="K1344" s="87" t="s">
        <v>14</v>
      </c>
      <c r="L1344" s="108"/>
      <c r="M1344" s="108"/>
      <c r="N1344" s="108" t="str">
        <v>H846P798</v>
      </c>
      <c r="O1344" s="108">
        <f t="shared" si="22"/>
        <v>1</v>
      </c>
      <c r="P1344" s="108"/>
      <c r="Q1344"/>
    </row>
    <row r="1345" spans="1:17" x14ac:dyDescent="0.25">
      <c r="A1345" s="89" t="s">
        <v>10717</v>
      </c>
      <c r="B1345" s="87" t="s">
        <v>10718</v>
      </c>
      <c r="C1345" s="87" t="s">
        <v>16</v>
      </c>
      <c r="D1345" s="87" t="str">
        <f>VLOOKUP(Tabela1[[#This Row],[Origem]], 'Perguntas 1 a 24'!$J$28:$K$34, 2, 0)</f>
        <v>Sudeste</v>
      </c>
      <c r="E1345" s="87" t="str">
        <f>Tabela1[[#This Row],[Descrição]]&amp;"-"&amp;Tabela1[[#This Row],[Código]]&amp;"/"&amp;Tabela1[[#This Row],[Origem]]</f>
        <v>Pacepo-P786P111/MG</v>
      </c>
      <c r="F1345" s="88">
        <v>46254</v>
      </c>
      <c r="G1345" s="88" t="str" cm="1">
        <f t="array" ref="G13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AND(F1345&gt;= DATE(2026,1,1), F1345&lt;= DATE(2028, 12, 31), J1345&gt;50000), "Pendente e Caro", AND(F1345&gt;= DATE(2026,1,1), F1345&lt;= DATE(2028, 12, 31), J1345&lt;=50000), "Pendente", F1345&gt;= DATE(2029,1,1), "Não prioeitário")</f>
        <v>Pendente e Caro</v>
      </c>
      <c r="H1345" s="89">
        <f>YEAR(Tabela1[[#This Row],[Data de Validade]])</f>
        <v>2026</v>
      </c>
      <c r="I1345" s="89">
        <f>MONTH(Tabela1[[#This Row],[Data de Validade]])</f>
        <v>8</v>
      </c>
      <c r="J1345" s="101">
        <v>70341</v>
      </c>
      <c r="K1345" s="87" t="s">
        <v>14</v>
      </c>
      <c r="L1345" s="108"/>
      <c r="M1345" s="108"/>
      <c r="N1345" s="108" t="str">
        <v>P786P111</v>
      </c>
      <c r="O1345" s="108">
        <f t="shared" si="22"/>
        <v>1</v>
      </c>
      <c r="P1345" s="108"/>
      <c r="Q1345"/>
    </row>
    <row r="1346" spans="1:17" x14ac:dyDescent="0.25">
      <c r="A1346" s="89" t="s">
        <v>5844</v>
      </c>
      <c r="B1346" s="87" t="s">
        <v>5845</v>
      </c>
      <c r="C1346" s="87" t="s">
        <v>6</v>
      </c>
      <c r="D1346" s="87" t="str">
        <f>VLOOKUP(Tabela1[[#This Row],[Origem]], 'Perguntas 1 a 24'!$J$28:$K$34, 2, 0)</f>
        <v>Nordeste</v>
      </c>
      <c r="E1346" s="87" t="str">
        <f>Tabela1[[#This Row],[Descrição]]&amp;"-"&amp;Tabela1[[#This Row],[Código]]&amp;"/"&amp;Tabela1[[#This Row],[Origem]]</f>
        <v>Naligede-P249P851/MA</v>
      </c>
      <c r="F1346" s="88">
        <v>46255</v>
      </c>
      <c r="G1346" s="88" t="str" cm="1">
        <f t="array" ref="G13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AND(F1346&gt;= DATE(2026,1,1), F1346&lt;= DATE(2028, 12, 31), J1346&gt;50000), "Pendente e Caro", AND(F1346&gt;= DATE(2026,1,1), F1346&lt;= DATE(2028, 12, 31), J1346&lt;=50000), "Pendente", F1346&gt;= DATE(2029,1,1), "Não prioeitário")</f>
        <v>Pendente</v>
      </c>
      <c r="H1346" s="89">
        <f>YEAR(Tabela1[[#This Row],[Data de Validade]])</f>
        <v>2026</v>
      </c>
      <c r="I1346" s="89">
        <f>MONTH(Tabela1[[#This Row],[Data de Validade]])</f>
        <v>8</v>
      </c>
      <c r="J1346" s="101">
        <v>23653</v>
      </c>
      <c r="K1346" s="87" t="s">
        <v>14</v>
      </c>
      <c r="L1346" s="108"/>
      <c r="M1346" s="108"/>
      <c r="N1346" s="108" t="str">
        <v>P249P851</v>
      </c>
      <c r="O1346" s="108">
        <f t="shared" si="22"/>
        <v>1</v>
      </c>
      <c r="P1346" s="108"/>
      <c r="Q1346"/>
    </row>
    <row r="1347" spans="1:17" x14ac:dyDescent="0.25">
      <c r="A1347" s="89" t="s">
        <v>10739</v>
      </c>
      <c r="B1347" s="87" t="s">
        <v>10740</v>
      </c>
      <c r="C1347" s="87" t="s">
        <v>13</v>
      </c>
      <c r="D1347" s="87" t="str">
        <f>VLOOKUP(Tabela1[[#This Row],[Origem]], 'Perguntas 1 a 24'!$J$28:$K$34, 2, 0)</f>
        <v>Sudeste</v>
      </c>
      <c r="E1347" s="87" t="str">
        <f>Tabela1[[#This Row],[Descrição]]&amp;"-"&amp;Tabela1[[#This Row],[Código]]&amp;"/"&amp;Tabela1[[#This Row],[Origem]]</f>
        <v>Redidurogo-P998H789/SP</v>
      </c>
      <c r="F1347" s="88">
        <v>46256</v>
      </c>
      <c r="G1347" s="88" t="str" cm="1">
        <f t="array" ref="G13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AND(F1347&gt;= DATE(2026,1,1), F1347&lt;= DATE(2028, 12, 31), J1347&gt;50000), "Pendente e Caro", AND(F1347&gt;= DATE(2026,1,1), F1347&lt;= DATE(2028, 12, 31), J1347&lt;=50000), "Pendente", F1347&gt;= DATE(2029,1,1), "Não prioeitário")</f>
        <v>Pendente e Caro</v>
      </c>
      <c r="H1347" s="89">
        <f>YEAR(Tabela1[[#This Row],[Data de Validade]])</f>
        <v>2026</v>
      </c>
      <c r="I1347" s="89">
        <f>MONTH(Tabela1[[#This Row],[Data de Validade]])</f>
        <v>8</v>
      </c>
      <c r="J1347" s="101">
        <v>101915</v>
      </c>
      <c r="K1347" s="87" t="s">
        <v>7</v>
      </c>
      <c r="L1347" s="108"/>
      <c r="M1347" s="108"/>
      <c r="N1347" s="108" t="str">
        <v>P998H789</v>
      </c>
      <c r="O1347" s="108">
        <f t="shared" ref="O1347:O1410" si="23">COUNTIFS(B:B,N1347)</f>
        <v>1</v>
      </c>
      <c r="P1347" s="108"/>
      <c r="Q1347"/>
    </row>
    <row r="1348" spans="1:17" x14ac:dyDescent="0.25">
      <c r="A1348" s="89" t="s">
        <v>3898</v>
      </c>
      <c r="B1348" s="87" t="s">
        <v>3899</v>
      </c>
      <c r="C1348" s="87" t="s">
        <v>13</v>
      </c>
      <c r="D1348" s="87" t="str">
        <f>VLOOKUP(Tabela1[[#This Row],[Origem]], 'Perguntas 1 a 24'!$J$28:$K$34, 2, 0)</f>
        <v>Sudeste</v>
      </c>
      <c r="E1348" s="87" t="str">
        <f>Tabela1[[#This Row],[Descrição]]&amp;"-"&amp;Tabela1[[#This Row],[Código]]&amp;"/"&amp;Tabela1[[#This Row],[Origem]]</f>
        <v>Pomugafa-P542H664/SP</v>
      </c>
      <c r="F1348" s="88">
        <v>46257</v>
      </c>
      <c r="G1348" s="88" t="str" cm="1">
        <f t="array" ref="G13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AND(F1348&gt;= DATE(2026,1,1), F1348&lt;= DATE(2028, 12, 31), J1348&gt;50000), "Pendente e Caro", AND(F1348&gt;= DATE(2026,1,1), F1348&lt;= DATE(2028, 12, 31), J1348&lt;=50000), "Pendente", F1348&gt;= DATE(2029,1,1), "Não prioeitário")</f>
        <v>Pendente e Caro</v>
      </c>
      <c r="H1348" s="89">
        <f>YEAR(Tabela1[[#This Row],[Data de Validade]])</f>
        <v>2026</v>
      </c>
      <c r="I1348" s="89">
        <f>MONTH(Tabela1[[#This Row],[Data de Validade]])</f>
        <v>8</v>
      </c>
      <c r="J1348" s="101">
        <v>100077</v>
      </c>
      <c r="K1348" s="87" t="s">
        <v>7</v>
      </c>
      <c r="L1348" s="108"/>
      <c r="M1348" s="108"/>
      <c r="N1348" s="108" t="str">
        <v>P542H664</v>
      </c>
      <c r="O1348" s="108">
        <f t="shared" si="23"/>
        <v>1</v>
      </c>
      <c r="P1348" s="108"/>
      <c r="Q1348"/>
    </row>
    <row r="1349" spans="1:17" x14ac:dyDescent="0.25">
      <c r="A1349" s="89" t="s">
        <v>6846</v>
      </c>
      <c r="B1349" s="87" t="s">
        <v>6847</v>
      </c>
      <c r="C1349" s="87" t="s">
        <v>16</v>
      </c>
      <c r="D1349" s="87" t="str">
        <f>VLOOKUP(Tabela1[[#This Row],[Origem]], 'Perguntas 1 a 24'!$J$28:$K$34, 2, 0)</f>
        <v>Sudeste</v>
      </c>
      <c r="E1349" s="87" t="str">
        <f>Tabela1[[#This Row],[Descrição]]&amp;"-"&amp;Tabela1[[#This Row],[Código]]&amp;"/"&amp;Tabela1[[#This Row],[Origem]]</f>
        <v>Lararu-P688P763/MG</v>
      </c>
      <c r="F1349" s="88">
        <v>46257</v>
      </c>
      <c r="G1349" s="88" t="str" cm="1">
        <f t="array" ref="G13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AND(F1349&gt;= DATE(2026,1,1), F1349&lt;= DATE(2028, 12, 31), J1349&gt;50000), "Pendente e Caro", AND(F1349&gt;= DATE(2026,1,1), F1349&lt;= DATE(2028, 12, 31), J1349&lt;=50000), "Pendente", F1349&gt;= DATE(2029,1,1), "Não prioeitário")</f>
        <v>Pendente e Caro</v>
      </c>
      <c r="H1349" s="89">
        <f>YEAR(Tabela1[[#This Row],[Data de Validade]])</f>
        <v>2026</v>
      </c>
      <c r="I1349" s="89">
        <f>MONTH(Tabela1[[#This Row],[Data de Validade]])</f>
        <v>8</v>
      </c>
      <c r="J1349" s="101">
        <v>57475</v>
      </c>
      <c r="K1349" s="87" t="s">
        <v>14</v>
      </c>
      <c r="L1349" s="108"/>
      <c r="M1349" s="108"/>
      <c r="N1349" s="108" t="str">
        <v>P688P763</v>
      </c>
      <c r="O1349" s="108">
        <f t="shared" si="23"/>
        <v>1</v>
      </c>
      <c r="P1349" s="108"/>
      <c r="Q1349"/>
    </row>
    <row r="1350" spans="1:17" x14ac:dyDescent="0.25">
      <c r="A1350" s="89" t="s">
        <v>8671</v>
      </c>
      <c r="B1350" s="87" t="s">
        <v>8672</v>
      </c>
      <c r="C1350" s="87" t="s">
        <v>6</v>
      </c>
      <c r="D1350" s="87" t="str">
        <f>VLOOKUP(Tabela1[[#This Row],[Origem]], 'Perguntas 1 a 24'!$J$28:$K$34, 2, 0)</f>
        <v>Nordeste</v>
      </c>
      <c r="E1350" s="87" t="str">
        <f>Tabela1[[#This Row],[Descrição]]&amp;"-"&amp;Tabela1[[#This Row],[Código]]&amp;"/"&amp;Tabela1[[#This Row],[Origem]]</f>
        <v>Fidemopote-P699H925/MA</v>
      </c>
      <c r="F1350" s="88">
        <v>46258</v>
      </c>
      <c r="G1350" s="88" t="str" cm="1">
        <f t="array" ref="G13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AND(F1350&gt;= DATE(2026,1,1), F1350&lt;= DATE(2028, 12, 31), J1350&gt;50000), "Pendente e Caro", AND(F1350&gt;= DATE(2026,1,1), F1350&lt;= DATE(2028, 12, 31), J1350&lt;=50000), "Pendente", F1350&gt;= DATE(2029,1,1), "Não prioeitário")</f>
        <v>Pendente e Caro</v>
      </c>
      <c r="H1350" s="89">
        <f>YEAR(Tabela1[[#This Row],[Data de Validade]])</f>
        <v>2026</v>
      </c>
      <c r="I1350" s="89">
        <f>MONTH(Tabela1[[#This Row],[Data de Validade]])</f>
        <v>8</v>
      </c>
      <c r="J1350" s="101">
        <v>93624</v>
      </c>
      <c r="K1350" s="87" t="s">
        <v>11</v>
      </c>
      <c r="L1350" s="108"/>
      <c r="M1350" s="108"/>
      <c r="N1350" s="108" t="str">
        <v>P699H925</v>
      </c>
      <c r="O1350" s="108">
        <f t="shared" si="23"/>
        <v>1</v>
      </c>
      <c r="P1350" s="108"/>
      <c r="Q1350"/>
    </row>
    <row r="1351" spans="1:17" x14ac:dyDescent="0.25">
      <c r="A1351" s="89" t="s">
        <v>7570</v>
      </c>
      <c r="B1351" s="87" t="s">
        <v>7571</v>
      </c>
      <c r="C1351" s="87" t="s">
        <v>10</v>
      </c>
      <c r="D1351" s="87" t="str">
        <f>VLOOKUP(Tabela1[[#This Row],[Origem]], 'Perguntas 1 a 24'!$J$28:$K$34, 2, 0)</f>
        <v>Centro-Oeste</v>
      </c>
      <c r="E1351" s="87" t="str">
        <f>Tabela1[[#This Row],[Descrição]]&amp;"-"&amp;Tabela1[[#This Row],[Código]]&amp;"/"&amp;Tabela1[[#This Row],[Origem]]</f>
        <v>Ditatuvi-H676P682/GO</v>
      </c>
      <c r="F1351" s="88">
        <v>46258</v>
      </c>
      <c r="G1351" s="88" t="str" cm="1">
        <f t="array" ref="G13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AND(F1351&gt;= DATE(2026,1,1), F1351&lt;= DATE(2028, 12, 31), J1351&gt;50000), "Pendente e Caro", AND(F1351&gt;= DATE(2026,1,1), F1351&lt;= DATE(2028, 12, 31), J1351&lt;=50000), "Pendente", F1351&gt;= DATE(2029,1,1), "Não prioeitário")</f>
        <v>Pendente e Caro</v>
      </c>
      <c r="H1351" s="89">
        <f>YEAR(Tabela1[[#This Row],[Data de Validade]])</f>
        <v>2026</v>
      </c>
      <c r="I1351" s="89">
        <f>MONTH(Tabela1[[#This Row],[Data de Validade]])</f>
        <v>8</v>
      </c>
      <c r="J1351" s="101">
        <v>75070</v>
      </c>
      <c r="K1351" s="87" t="s">
        <v>11</v>
      </c>
      <c r="L1351" s="108"/>
      <c r="M1351" s="108"/>
      <c r="N1351" s="108" t="str">
        <v>H676P682</v>
      </c>
      <c r="O1351" s="108">
        <f t="shared" si="23"/>
        <v>1</v>
      </c>
      <c r="P1351" s="108"/>
      <c r="Q1351"/>
    </row>
    <row r="1352" spans="1:17" x14ac:dyDescent="0.25">
      <c r="A1352" s="89" t="s">
        <v>9497</v>
      </c>
      <c r="B1352" s="87" t="s">
        <v>9498</v>
      </c>
      <c r="C1352" s="87" t="s">
        <v>13</v>
      </c>
      <c r="D1352" s="87" t="str">
        <f>VLOOKUP(Tabela1[[#This Row],[Origem]], 'Perguntas 1 a 24'!$J$28:$K$34, 2, 0)</f>
        <v>Sudeste</v>
      </c>
      <c r="E1352" s="87" t="str">
        <f>Tabela1[[#This Row],[Descrição]]&amp;"-"&amp;Tabela1[[#This Row],[Código]]&amp;"/"&amp;Tabela1[[#This Row],[Origem]]</f>
        <v>Poteralede-P232H297/SP</v>
      </c>
      <c r="F1352" s="88">
        <v>46258</v>
      </c>
      <c r="G1352" s="88" t="str" cm="1">
        <f t="array" ref="G13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AND(F1352&gt;= DATE(2026,1,1), F1352&lt;= DATE(2028, 12, 31), J1352&gt;50000), "Pendente e Caro", AND(F1352&gt;= DATE(2026,1,1), F1352&lt;= DATE(2028, 12, 31), J1352&lt;=50000), "Pendente", F1352&gt;= DATE(2029,1,1), "Não prioeitário")</f>
        <v>Pendente e Caro</v>
      </c>
      <c r="H1352" s="89">
        <f>YEAR(Tabela1[[#This Row],[Data de Validade]])</f>
        <v>2026</v>
      </c>
      <c r="I1352" s="89">
        <f>MONTH(Tabela1[[#This Row],[Data de Validade]])</f>
        <v>8</v>
      </c>
      <c r="J1352" s="101">
        <v>58848</v>
      </c>
      <c r="K1352" s="87" t="s">
        <v>7</v>
      </c>
      <c r="L1352" s="108"/>
      <c r="M1352" s="108"/>
      <c r="N1352" s="108" t="str">
        <v>P232H297</v>
      </c>
      <c r="O1352" s="108">
        <f t="shared" si="23"/>
        <v>1</v>
      </c>
      <c r="P1352" s="108"/>
      <c r="Q1352"/>
    </row>
    <row r="1353" spans="1:17" x14ac:dyDescent="0.25">
      <c r="A1353" s="89" t="s">
        <v>9947</v>
      </c>
      <c r="B1353" s="87" t="s">
        <v>9948</v>
      </c>
      <c r="C1353" s="87" t="s">
        <v>13</v>
      </c>
      <c r="D1353" s="87" t="str">
        <f>VLOOKUP(Tabela1[[#This Row],[Origem]], 'Perguntas 1 a 24'!$J$28:$K$34, 2, 0)</f>
        <v>Sudeste</v>
      </c>
      <c r="E1353" s="87" t="str">
        <f>Tabela1[[#This Row],[Descrição]]&amp;"-"&amp;Tabela1[[#This Row],[Código]]&amp;"/"&amp;Tabela1[[#This Row],[Origem]]</f>
        <v>Patipalu-P346H845/SP</v>
      </c>
      <c r="F1353" s="88">
        <v>46259</v>
      </c>
      <c r="G1353" s="88" t="str" cm="1">
        <f t="array" ref="G13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AND(F1353&gt;= DATE(2026,1,1), F1353&lt;= DATE(2028, 12, 31), J1353&gt;50000), "Pendente e Caro", AND(F1353&gt;= DATE(2026,1,1), F1353&lt;= DATE(2028, 12, 31), J1353&lt;=50000), "Pendente", F1353&gt;= DATE(2029,1,1), "Não prioeitário")</f>
        <v>Pendente e Caro</v>
      </c>
      <c r="H1353" s="89">
        <f>YEAR(Tabela1[[#This Row],[Data de Validade]])</f>
        <v>2026</v>
      </c>
      <c r="I1353" s="89">
        <f>MONTH(Tabela1[[#This Row],[Data de Validade]])</f>
        <v>8</v>
      </c>
      <c r="J1353" s="101">
        <v>86033</v>
      </c>
      <c r="K1353" s="87" t="s">
        <v>7</v>
      </c>
      <c r="L1353" s="108"/>
      <c r="M1353" s="108"/>
      <c r="N1353" s="108" t="str">
        <v>P346H845</v>
      </c>
      <c r="O1353" s="108">
        <f t="shared" si="23"/>
        <v>1</v>
      </c>
      <c r="P1353" s="108"/>
      <c r="Q1353"/>
    </row>
    <row r="1354" spans="1:17" x14ac:dyDescent="0.25">
      <c r="A1354" s="89" t="s">
        <v>7678</v>
      </c>
      <c r="B1354" s="87" t="s">
        <v>7679</v>
      </c>
      <c r="C1354" s="87" t="s">
        <v>15</v>
      </c>
      <c r="D1354" s="87" t="str">
        <f>VLOOKUP(Tabela1[[#This Row],[Origem]], 'Perguntas 1 a 24'!$J$28:$K$34, 2, 0)</f>
        <v>Sudeste</v>
      </c>
      <c r="E1354" s="87" t="str">
        <f>Tabela1[[#This Row],[Descrição]]&amp;"-"&amp;Tabela1[[#This Row],[Código]]&amp;"/"&amp;Tabela1[[#This Row],[Origem]]</f>
        <v>Rapole-P228H172/ES</v>
      </c>
      <c r="F1354" s="88">
        <v>46260</v>
      </c>
      <c r="G1354" s="88" t="str" cm="1">
        <f t="array" ref="G13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AND(F1354&gt;= DATE(2026,1,1), F1354&lt;= DATE(2028, 12, 31), J1354&gt;50000), "Pendente e Caro", AND(F1354&gt;= DATE(2026,1,1), F1354&lt;= DATE(2028, 12, 31), J1354&lt;=50000), "Pendente", F1354&gt;= DATE(2029,1,1), "Não prioeitário")</f>
        <v>Pendente</v>
      </c>
      <c r="H1354" s="89">
        <f>YEAR(Tabela1[[#This Row],[Data de Validade]])</f>
        <v>2026</v>
      </c>
      <c r="I1354" s="89">
        <f>MONTH(Tabela1[[#This Row],[Data de Validade]])</f>
        <v>8</v>
      </c>
      <c r="J1354" s="101">
        <v>42300</v>
      </c>
      <c r="K1354" s="87" t="s">
        <v>11</v>
      </c>
      <c r="L1354" s="108"/>
      <c r="M1354" s="108"/>
      <c r="N1354" s="108" t="str">
        <v>P228H172</v>
      </c>
      <c r="O1354" s="108">
        <f t="shared" si="23"/>
        <v>1</v>
      </c>
      <c r="P1354" s="108"/>
      <c r="Q1354"/>
    </row>
    <row r="1355" spans="1:17" x14ac:dyDescent="0.25">
      <c r="A1355" s="89" t="s">
        <v>9887</v>
      </c>
      <c r="B1355" s="87" t="s">
        <v>9888</v>
      </c>
      <c r="C1355" s="87" t="s">
        <v>13</v>
      </c>
      <c r="D1355" s="87" t="str">
        <f>VLOOKUP(Tabela1[[#This Row],[Origem]], 'Perguntas 1 a 24'!$J$28:$K$34, 2, 0)</f>
        <v>Sudeste</v>
      </c>
      <c r="E1355" s="87" t="str">
        <f>Tabela1[[#This Row],[Descrição]]&amp;"-"&amp;Tabela1[[#This Row],[Código]]&amp;"/"&amp;Tabela1[[#This Row],[Origem]]</f>
        <v>Gocuregogi-P794P551/SP</v>
      </c>
      <c r="F1355" s="88">
        <v>46261</v>
      </c>
      <c r="G1355" s="88" t="str" cm="1">
        <f t="array" ref="G13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AND(F1355&gt;= DATE(2026,1,1), F1355&lt;= DATE(2028, 12, 31), J1355&gt;50000), "Pendente e Caro", AND(F1355&gt;= DATE(2026,1,1), F1355&lt;= DATE(2028, 12, 31), J1355&lt;=50000), "Pendente", F1355&gt;= DATE(2029,1,1), "Não prioeitário")</f>
        <v>Pendente e Caro</v>
      </c>
      <c r="H1355" s="89">
        <f>YEAR(Tabela1[[#This Row],[Data de Validade]])</f>
        <v>2026</v>
      </c>
      <c r="I1355" s="89">
        <f>MONTH(Tabela1[[#This Row],[Data de Validade]])</f>
        <v>8</v>
      </c>
      <c r="J1355" s="101">
        <v>113476</v>
      </c>
      <c r="K1355" s="87" t="s">
        <v>11</v>
      </c>
      <c r="L1355" s="108"/>
      <c r="M1355" s="108"/>
      <c r="N1355" s="108" t="str">
        <v>P794P551</v>
      </c>
      <c r="O1355" s="108">
        <f t="shared" si="23"/>
        <v>1</v>
      </c>
      <c r="P1355" s="108"/>
      <c r="Q1355"/>
    </row>
    <row r="1356" spans="1:17" x14ac:dyDescent="0.25">
      <c r="A1356" s="89" t="s">
        <v>9779</v>
      </c>
      <c r="B1356" s="87" t="s">
        <v>9780</v>
      </c>
      <c r="C1356" s="87" t="s">
        <v>8</v>
      </c>
      <c r="D1356" s="87" t="str">
        <f>VLOOKUP(Tabela1[[#This Row],[Origem]], 'Perguntas 1 a 24'!$J$28:$K$34, 2, 0)</f>
        <v>Nordeste</v>
      </c>
      <c r="E1356" s="87" t="str">
        <f>Tabela1[[#This Row],[Descrição]]&amp;"-"&amp;Tabela1[[#This Row],[Código]]&amp;"/"&amp;Tabela1[[#This Row],[Origem]]</f>
        <v>Pumepava-P395H275/AL</v>
      </c>
      <c r="F1356" s="88">
        <v>46261</v>
      </c>
      <c r="G1356" s="88" t="str" cm="1">
        <f t="array" ref="G13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AND(F1356&gt;= DATE(2026,1,1), F1356&lt;= DATE(2028, 12, 31), J1356&gt;50000), "Pendente e Caro", AND(F1356&gt;= DATE(2026,1,1), F1356&lt;= DATE(2028, 12, 31), J1356&lt;=50000), "Pendente", F1356&gt;= DATE(2029,1,1), "Não prioeitário")</f>
        <v>Pendente e Caro</v>
      </c>
      <c r="H1356" s="89">
        <f>YEAR(Tabela1[[#This Row],[Data de Validade]])</f>
        <v>2026</v>
      </c>
      <c r="I1356" s="89">
        <f>MONTH(Tabela1[[#This Row],[Data de Validade]])</f>
        <v>8</v>
      </c>
      <c r="J1356" s="101">
        <v>84042</v>
      </c>
      <c r="K1356" s="87" t="s">
        <v>7</v>
      </c>
      <c r="L1356" s="108"/>
      <c r="M1356" s="108"/>
      <c r="N1356" s="108" t="str">
        <v>P395H275</v>
      </c>
      <c r="O1356" s="108">
        <f t="shared" si="23"/>
        <v>1</v>
      </c>
      <c r="P1356" s="108"/>
      <c r="Q1356"/>
    </row>
    <row r="1357" spans="1:17" x14ac:dyDescent="0.25">
      <c r="A1357" s="89" t="s">
        <v>9487</v>
      </c>
      <c r="B1357" s="87" t="s">
        <v>9488</v>
      </c>
      <c r="C1357" s="87" t="s">
        <v>6</v>
      </c>
      <c r="D1357" s="87" t="str">
        <f>VLOOKUP(Tabela1[[#This Row],[Origem]], 'Perguntas 1 a 24'!$J$28:$K$34, 2, 0)</f>
        <v>Nordeste</v>
      </c>
      <c r="E1357" s="87" t="str">
        <f>Tabela1[[#This Row],[Descrição]]&amp;"-"&amp;Tabela1[[#This Row],[Código]]&amp;"/"&amp;Tabela1[[#This Row],[Origem]]</f>
        <v>Teriparo-H545H859/MA</v>
      </c>
      <c r="F1357" s="88">
        <v>46264</v>
      </c>
      <c r="G1357" s="88" t="str" cm="1">
        <f t="array" ref="G13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AND(F1357&gt;= DATE(2026,1,1), F1357&lt;= DATE(2028, 12, 31), J1357&gt;50000), "Pendente e Caro", AND(F1357&gt;= DATE(2026,1,1), F1357&lt;= DATE(2028, 12, 31), J1357&lt;=50000), "Pendente", F1357&gt;= DATE(2029,1,1), "Não prioeitário")</f>
        <v>Pendente e Caro</v>
      </c>
      <c r="H1357" s="89">
        <f>YEAR(Tabela1[[#This Row],[Data de Validade]])</f>
        <v>2026</v>
      </c>
      <c r="I1357" s="89">
        <f>MONTH(Tabela1[[#This Row],[Data de Validade]])</f>
        <v>8</v>
      </c>
      <c r="J1357" s="101">
        <v>54539</v>
      </c>
      <c r="K1357" s="87" t="s">
        <v>9</v>
      </c>
      <c r="L1357" s="108"/>
      <c r="M1357" s="108"/>
      <c r="N1357" s="108" t="str">
        <v>H545H859</v>
      </c>
      <c r="O1357" s="108">
        <f t="shared" si="23"/>
        <v>1</v>
      </c>
      <c r="P1357" s="108"/>
      <c r="Q1357"/>
    </row>
    <row r="1358" spans="1:17" x14ac:dyDescent="0.25">
      <c r="A1358" s="89" t="s">
        <v>5408</v>
      </c>
      <c r="B1358" s="87" t="s">
        <v>5409</v>
      </c>
      <c r="C1358" s="87" t="s">
        <v>6</v>
      </c>
      <c r="D1358" s="87" t="str">
        <f>VLOOKUP(Tabela1[[#This Row],[Origem]], 'Perguntas 1 a 24'!$J$28:$K$34, 2, 0)</f>
        <v>Nordeste</v>
      </c>
      <c r="E1358" s="87" t="str">
        <f>Tabela1[[#This Row],[Descrição]]&amp;"-"&amp;Tabela1[[#This Row],[Código]]&amp;"/"&amp;Tabela1[[#This Row],[Origem]]</f>
        <v>Lacepi-P427P659/MA</v>
      </c>
      <c r="F1358" s="88">
        <v>46264</v>
      </c>
      <c r="G1358" s="88" t="str" cm="1">
        <f t="array" ref="G13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AND(F1358&gt;= DATE(2026,1,1), F1358&lt;= DATE(2028, 12, 31), J1358&gt;50000), "Pendente e Caro", AND(F1358&gt;= DATE(2026,1,1), F1358&lt;= DATE(2028, 12, 31), J1358&lt;=50000), "Pendente", F1358&gt;= DATE(2029,1,1), "Não prioeitário")</f>
        <v>Pendente e Caro</v>
      </c>
      <c r="H1358" s="89">
        <f>YEAR(Tabela1[[#This Row],[Data de Validade]])</f>
        <v>2026</v>
      </c>
      <c r="I1358" s="89">
        <f>MONTH(Tabela1[[#This Row],[Data de Validade]])</f>
        <v>8</v>
      </c>
      <c r="J1358" s="101">
        <v>50681</v>
      </c>
      <c r="K1358" s="87" t="s">
        <v>7</v>
      </c>
      <c r="L1358" s="108"/>
      <c r="M1358" s="108"/>
      <c r="N1358" s="108" t="str">
        <v>P427P659</v>
      </c>
      <c r="O1358" s="108">
        <f t="shared" si="23"/>
        <v>1</v>
      </c>
      <c r="P1358" s="108"/>
      <c r="Q1358"/>
    </row>
    <row r="1359" spans="1:17" x14ac:dyDescent="0.25">
      <c r="A1359" s="89" t="s">
        <v>9885</v>
      </c>
      <c r="B1359" s="87" t="s">
        <v>9886</v>
      </c>
      <c r="C1359" s="87" t="s">
        <v>13</v>
      </c>
      <c r="D1359" s="87" t="str">
        <f>VLOOKUP(Tabela1[[#This Row],[Origem]], 'Perguntas 1 a 24'!$J$28:$K$34, 2, 0)</f>
        <v>Sudeste</v>
      </c>
      <c r="E1359" s="87" t="str">
        <f>Tabela1[[#This Row],[Descrição]]&amp;"-"&amp;Tabela1[[#This Row],[Código]]&amp;"/"&amp;Tabela1[[#This Row],[Origem]]</f>
        <v>Povaroliti-P731H317/SP</v>
      </c>
      <c r="F1359" s="88">
        <v>46264</v>
      </c>
      <c r="G1359" s="88" t="str" cm="1">
        <f t="array" ref="G13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AND(F1359&gt;= DATE(2026,1,1), F1359&lt;= DATE(2028, 12, 31), J1359&gt;50000), "Pendente e Caro", AND(F1359&gt;= DATE(2026,1,1), F1359&lt;= DATE(2028, 12, 31), J1359&lt;=50000), "Pendente", F1359&gt;= DATE(2029,1,1), "Não prioeitário")</f>
        <v>Pendente</v>
      </c>
      <c r="H1359" s="89">
        <f>YEAR(Tabela1[[#This Row],[Data de Validade]])</f>
        <v>2026</v>
      </c>
      <c r="I1359" s="89">
        <f>MONTH(Tabela1[[#This Row],[Data de Validade]])</f>
        <v>8</v>
      </c>
      <c r="J1359" s="101">
        <v>22846</v>
      </c>
      <c r="K1359" s="87" t="s">
        <v>14</v>
      </c>
      <c r="L1359" s="108"/>
      <c r="M1359" s="108"/>
      <c r="N1359" s="108" t="str">
        <v>P731H317</v>
      </c>
      <c r="O1359" s="108">
        <f t="shared" si="23"/>
        <v>1</v>
      </c>
      <c r="P1359" s="108"/>
      <c r="Q1359"/>
    </row>
    <row r="1360" spans="1:17" x14ac:dyDescent="0.25">
      <c r="A1360" s="89" t="s">
        <v>5084</v>
      </c>
      <c r="B1360" s="87" t="s">
        <v>5085</v>
      </c>
      <c r="C1360" s="87" t="s">
        <v>8</v>
      </c>
      <c r="D1360" s="87" t="str">
        <f>VLOOKUP(Tabela1[[#This Row],[Origem]], 'Perguntas 1 a 24'!$J$28:$K$34, 2, 0)</f>
        <v>Nordeste</v>
      </c>
      <c r="E1360" s="87" t="str">
        <f>Tabela1[[#This Row],[Descrição]]&amp;"-"&amp;Tabela1[[#This Row],[Código]]&amp;"/"&amp;Tabela1[[#This Row],[Origem]]</f>
        <v>Tamavuvu-P169H986/AL</v>
      </c>
      <c r="F1360" s="88">
        <v>46265</v>
      </c>
      <c r="G1360" s="88" t="str" cm="1">
        <f t="array" ref="G13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AND(F1360&gt;= DATE(2026,1,1), F1360&lt;= DATE(2028, 12, 31), J1360&gt;50000), "Pendente e Caro", AND(F1360&gt;= DATE(2026,1,1), F1360&lt;= DATE(2028, 12, 31), J1360&lt;=50000), "Pendente", F1360&gt;= DATE(2029,1,1), "Não prioeitário")</f>
        <v>Pendente e Caro</v>
      </c>
      <c r="H1360" s="89">
        <f>YEAR(Tabela1[[#This Row],[Data de Validade]])</f>
        <v>2026</v>
      </c>
      <c r="I1360" s="89">
        <f>MONTH(Tabela1[[#This Row],[Data de Validade]])</f>
        <v>8</v>
      </c>
      <c r="J1360" s="101">
        <v>85029</v>
      </c>
      <c r="K1360" s="87" t="s">
        <v>11</v>
      </c>
      <c r="L1360" s="108"/>
      <c r="M1360" s="108"/>
      <c r="N1360" s="108" t="str">
        <v>P169H986</v>
      </c>
      <c r="O1360" s="108">
        <f t="shared" si="23"/>
        <v>1</v>
      </c>
      <c r="P1360" s="108"/>
      <c r="Q1360"/>
    </row>
    <row r="1361" spans="1:17" x14ac:dyDescent="0.25">
      <c r="A1361" s="89" t="s">
        <v>4134</v>
      </c>
      <c r="B1361" s="87" t="s">
        <v>4135</v>
      </c>
      <c r="C1361" s="87" t="s">
        <v>13</v>
      </c>
      <c r="D1361" s="87" t="str">
        <f>VLOOKUP(Tabela1[[#This Row],[Origem]], 'Perguntas 1 a 24'!$J$28:$K$34, 2, 0)</f>
        <v>Sudeste</v>
      </c>
      <c r="E1361" s="87" t="str">
        <f>Tabela1[[#This Row],[Descrição]]&amp;"-"&amp;Tabela1[[#This Row],[Código]]&amp;"/"&amp;Tabela1[[#This Row],[Origem]]</f>
        <v>Darura-P635P391/SP</v>
      </c>
      <c r="F1361" s="88">
        <v>46266</v>
      </c>
      <c r="G1361" s="88" t="str" cm="1">
        <f t="array" ref="G13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AND(F1361&gt;= DATE(2026,1,1), F1361&lt;= DATE(2028, 12, 31), J1361&gt;50000), "Pendente e Caro", AND(F1361&gt;= DATE(2026,1,1), F1361&lt;= DATE(2028, 12, 31), J1361&lt;=50000), "Pendente", F1361&gt;= DATE(2029,1,1), "Não prioeitário")</f>
        <v>Pendente</v>
      </c>
      <c r="H1361" s="89">
        <f>YEAR(Tabela1[[#This Row],[Data de Validade]])</f>
        <v>2026</v>
      </c>
      <c r="I1361" s="89">
        <f>MONTH(Tabela1[[#This Row],[Data de Validade]])</f>
        <v>9</v>
      </c>
      <c r="J1361" s="101">
        <v>44546</v>
      </c>
      <c r="K1361" s="87" t="s">
        <v>9</v>
      </c>
      <c r="L1361" s="108"/>
      <c r="M1361" s="108"/>
      <c r="N1361" s="108" t="str">
        <v>P635P391</v>
      </c>
      <c r="O1361" s="108">
        <f t="shared" si="23"/>
        <v>1</v>
      </c>
      <c r="P1361" s="108"/>
      <c r="Q1361"/>
    </row>
    <row r="1362" spans="1:17" x14ac:dyDescent="0.25">
      <c r="A1362" s="89" t="s">
        <v>4030</v>
      </c>
      <c r="B1362" s="87" t="s">
        <v>4031</v>
      </c>
      <c r="C1362" s="87" t="s">
        <v>10</v>
      </c>
      <c r="D1362" s="87" t="str">
        <f>VLOOKUP(Tabela1[[#This Row],[Origem]], 'Perguntas 1 a 24'!$J$28:$K$34, 2, 0)</f>
        <v>Centro-Oeste</v>
      </c>
      <c r="E1362" s="87" t="str">
        <f>Tabela1[[#This Row],[Descrição]]&amp;"-"&amp;Tabela1[[#This Row],[Código]]&amp;"/"&amp;Tabela1[[#This Row],[Origem]]</f>
        <v>Palarafura-P179H341/GO</v>
      </c>
      <c r="F1362" s="88">
        <v>46267</v>
      </c>
      <c r="G1362" s="88" t="str" cm="1">
        <f t="array" ref="G13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AND(F1362&gt;= DATE(2026,1,1), F1362&lt;= DATE(2028, 12, 31), J1362&gt;50000), "Pendente e Caro", AND(F1362&gt;= DATE(2026,1,1), F1362&lt;= DATE(2028, 12, 31), J1362&lt;=50000), "Pendente", F1362&gt;= DATE(2029,1,1), "Não prioeitário")</f>
        <v>Pendente e Caro</v>
      </c>
      <c r="H1362" s="89">
        <f>YEAR(Tabela1[[#This Row],[Data de Validade]])</f>
        <v>2026</v>
      </c>
      <c r="I1362" s="89">
        <f>MONTH(Tabela1[[#This Row],[Data de Validade]])</f>
        <v>9</v>
      </c>
      <c r="J1362" s="101">
        <v>93442</v>
      </c>
      <c r="K1362" s="87" t="s">
        <v>9</v>
      </c>
      <c r="L1362" s="108"/>
      <c r="M1362" s="108"/>
      <c r="N1362" s="108" t="str">
        <v>P179H341</v>
      </c>
      <c r="O1362" s="108">
        <f t="shared" si="23"/>
        <v>1</v>
      </c>
      <c r="P1362" s="108"/>
      <c r="Q1362"/>
    </row>
    <row r="1363" spans="1:17" x14ac:dyDescent="0.25">
      <c r="A1363" s="89" t="s">
        <v>10807</v>
      </c>
      <c r="B1363" s="87" t="s">
        <v>10808</v>
      </c>
      <c r="C1363" s="87" t="s">
        <v>16</v>
      </c>
      <c r="D1363" s="87" t="str">
        <f>VLOOKUP(Tabela1[[#This Row],[Origem]], 'Perguntas 1 a 24'!$J$28:$K$34, 2, 0)</f>
        <v>Sudeste</v>
      </c>
      <c r="E1363" s="87" t="str">
        <f>Tabela1[[#This Row],[Descrição]]&amp;"-"&amp;Tabela1[[#This Row],[Código]]&amp;"/"&amp;Tabela1[[#This Row],[Origem]]</f>
        <v>Mapotifuma-P326H353/MG</v>
      </c>
      <c r="F1363" s="88">
        <v>46267</v>
      </c>
      <c r="G1363" s="88" t="str" cm="1">
        <f t="array" ref="G13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AND(F1363&gt;= DATE(2026,1,1), F1363&lt;= DATE(2028, 12, 31), J1363&gt;50000), "Pendente e Caro", AND(F1363&gt;= DATE(2026,1,1), F1363&lt;= DATE(2028, 12, 31), J1363&lt;=50000), "Pendente", F1363&gt;= DATE(2029,1,1), "Não prioeitário")</f>
        <v>Pendente e Caro</v>
      </c>
      <c r="H1363" s="89">
        <f>YEAR(Tabela1[[#This Row],[Data de Validade]])</f>
        <v>2026</v>
      </c>
      <c r="I1363" s="89">
        <f>MONTH(Tabela1[[#This Row],[Data de Validade]])</f>
        <v>9</v>
      </c>
      <c r="J1363" s="101">
        <v>77837</v>
      </c>
      <c r="K1363" s="87" t="s">
        <v>14</v>
      </c>
      <c r="L1363" s="108"/>
      <c r="M1363" s="108"/>
      <c r="N1363" s="108" t="str">
        <v>P326H353</v>
      </c>
      <c r="O1363" s="108">
        <f t="shared" si="23"/>
        <v>1</v>
      </c>
      <c r="P1363" s="108"/>
      <c r="Q1363"/>
    </row>
    <row r="1364" spans="1:17" x14ac:dyDescent="0.25">
      <c r="A1364" s="89" t="s">
        <v>7868</v>
      </c>
      <c r="B1364" s="87" t="s">
        <v>7869</v>
      </c>
      <c r="C1364" s="87" t="s">
        <v>8</v>
      </c>
      <c r="D1364" s="87" t="str">
        <f>VLOOKUP(Tabela1[[#This Row],[Origem]], 'Perguntas 1 a 24'!$J$28:$K$34, 2, 0)</f>
        <v>Nordeste</v>
      </c>
      <c r="E1364" s="87" t="str">
        <f>Tabela1[[#This Row],[Descrição]]&amp;"-"&amp;Tabela1[[#This Row],[Código]]&amp;"/"&amp;Tabela1[[#This Row],[Origem]]</f>
        <v>Patuterete-H574H914/AL</v>
      </c>
      <c r="F1364" s="88">
        <v>46267</v>
      </c>
      <c r="G1364" s="88" t="str" cm="1">
        <f t="array" ref="G13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AND(F1364&gt;= DATE(2026,1,1), F1364&lt;= DATE(2028, 12, 31), J1364&gt;50000), "Pendente e Caro", AND(F1364&gt;= DATE(2026,1,1), F1364&lt;= DATE(2028, 12, 31), J1364&lt;=50000), "Pendente", F1364&gt;= DATE(2029,1,1), "Não prioeitário")</f>
        <v>Pendente</v>
      </c>
      <c r="H1364" s="89">
        <f>YEAR(Tabela1[[#This Row],[Data de Validade]])</f>
        <v>2026</v>
      </c>
      <c r="I1364" s="89">
        <f>MONTH(Tabela1[[#This Row],[Data de Validade]])</f>
        <v>9</v>
      </c>
      <c r="J1364" s="101">
        <v>39206</v>
      </c>
      <c r="K1364" s="87" t="s">
        <v>11</v>
      </c>
      <c r="L1364" s="108"/>
      <c r="M1364" s="108"/>
      <c r="N1364" s="108" t="str">
        <v>H574H914</v>
      </c>
      <c r="O1364" s="108">
        <f t="shared" si="23"/>
        <v>1</v>
      </c>
      <c r="P1364" s="108"/>
      <c r="Q1364"/>
    </row>
    <row r="1365" spans="1:17" x14ac:dyDescent="0.25">
      <c r="A1365" s="89" t="s">
        <v>7378</v>
      </c>
      <c r="B1365" s="87" t="s">
        <v>7379</v>
      </c>
      <c r="C1365" s="87" t="s">
        <v>8</v>
      </c>
      <c r="D1365" s="87" t="str">
        <f>VLOOKUP(Tabela1[[#This Row],[Origem]], 'Perguntas 1 a 24'!$J$28:$K$34, 2, 0)</f>
        <v>Nordeste</v>
      </c>
      <c r="E1365" s="87" t="str">
        <f>Tabela1[[#This Row],[Descrição]]&amp;"-"&amp;Tabela1[[#This Row],[Código]]&amp;"/"&amp;Tabela1[[#This Row],[Origem]]</f>
        <v>Tapafecope-P389P268/AL</v>
      </c>
      <c r="F1365" s="88">
        <v>46267</v>
      </c>
      <c r="G1365" s="88" t="str" cm="1">
        <f t="array" ref="G13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AND(F1365&gt;= DATE(2026,1,1), F1365&lt;= DATE(2028, 12, 31), J1365&gt;50000), "Pendente e Caro", AND(F1365&gt;= DATE(2026,1,1), F1365&lt;= DATE(2028, 12, 31), J1365&lt;=50000), "Pendente", F1365&gt;= DATE(2029,1,1), "Não prioeitário")</f>
        <v>Pendente</v>
      </c>
      <c r="H1365" s="89">
        <f>YEAR(Tabela1[[#This Row],[Data de Validade]])</f>
        <v>2026</v>
      </c>
      <c r="I1365" s="89">
        <f>MONTH(Tabela1[[#This Row],[Data de Validade]])</f>
        <v>9</v>
      </c>
      <c r="J1365" s="101">
        <v>22656</v>
      </c>
      <c r="K1365" s="87" t="s">
        <v>7</v>
      </c>
      <c r="L1365" s="108"/>
      <c r="M1365" s="108"/>
      <c r="N1365" s="108" t="str">
        <v>P389P268</v>
      </c>
      <c r="O1365" s="108">
        <f t="shared" si="23"/>
        <v>1</v>
      </c>
      <c r="P1365" s="108"/>
      <c r="Q1365"/>
    </row>
    <row r="1366" spans="1:17" x14ac:dyDescent="0.25">
      <c r="A1366" s="89" t="s">
        <v>6760</v>
      </c>
      <c r="B1366" s="87" t="s">
        <v>6761</v>
      </c>
      <c r="C1366" s="87" t="s">
        <v>10</v>
      </c>
      <c r="D1366" s="87" t="str">
        <f>VLOOKUP(Tabela1[[#This Row],[Origem]], 'Perguntas 1 a 24'!$J$28:$K$34, 2, 0)</f>
        <v>Centro-Oeste</v>
      </c>
      <c r="E1366" s="87" t="str">
        <f>Tabela1[[#This Row],[Descrição]]&amp;"-"&amp;Tabela1[[#This Row],[Código]]&amp;"/"&amp;Tabela1[[#This Row],[Origem]]</f>
        <v>Renagipocu-H954H575/GO</v>
      </c>
      <c r="F1366" s="88">
        <v>46268</v>
      </c>
      <c r="G1366" s="88" t="str" cm="1">
        <f t="array" ref="G13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AND(F1366&gt;= DATE(2026,1,1), F1366&lt;= DATE(2028, 12, 31), J1366&gt;50000), "Pendente e Caro", AND(F1366&gt;= DATE(2026,1,1), F1366&lt;= DATE(2028, 12, 31), J1366&lt;=50000), "Pendente", F1366&gt;= DATE(2029,1,1), "Não prioeitário")</f>
        <v>Pendente e Caro</v>
      </c>
      <c r="H1366" s="89">
        <f>YEAR(Tabela1[[#This Row],[Data de Validade]])</f>
        <v>2026</v>
      </c>
      <c r="I1366" s="89">
        <f>MONTH(Tabela1[[#This Row],[Data de Validade]])</f>
        <v>9</v>
      </c>
      <c r="J1366" s="101">
        <v>70310</v>
      </c>
      <c r="K1366" s="87" t="s">
        <v>7</v>
      </c>
      <c r="L1366" s="108"/>
      <c r="M1366" s="108"/>
      <c r="N1366" s="108" t="str">
        <v>H954H575</v>
      </c>
      <c r="O1366" s="108">
        <f t="shared" si="23"/>
        <v>1</v>
      </c>
      <c r="P1366" s="108"/>
      <c r="Q1366"/>
    </row>
    <row r="1367" spans="1:17" x14ac:dyDescent="0.25">
      <c r="A1367" s="89" t="s">
        <v>10933</v>
      </c>
      <c r="B1367" s="87" t="s">
        <v>10934</v>
      </c>
      <c r="C1367" s="87" t="s">
        <v>8</v>
      </c>
      <c r="D1367" s="87" t="str">
        <f>VLOOKUP(Tabela1[[#This Row],[Origem]], 'Perguntas 1 a 24'!$J$28:$K$34, 2, 0)</f>
        <v>Nordeste</v>
      </c>
      <c r="E1367" s="87" t="str">
        <f>Tabela1[[#This Row],[Descrição]]&amp;"-"&amp;Tabela1[[#This Row],[Código]]&amp;"/"&amp;Tabela1[[#This Row],[Origem]]</f>
        <v>Focigu-H959H643/AL</v>
      </c>
      <c r="F1367" s="88">
        <v>46269</v>
      </c>
      <c r="G1367" s="88" t="str" cm="1">
        <f t="array" ref="G13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AND(F1367&gt;= DATE(2026,1,1), F1367&lt;= DATE(2028, 12, 31), J1367&gt;50000), "Pendente e Caro", AND(F1367&gt;= DATE(2026,1,1), F1367&lt;= DATE(2028, 12, 31), J1367&lt;=50000), "Pendente", F1367&gt;= DATE(2029,1,1), "Não prioeitário")</f>
        <v>Pendente e Caro</v>
      </c>
      <c r="H1367" s="89">
        <f>YEAR(Tabela1[[#This Row],[Data de Validade]])</f>
        <v>2026</v>
      </c>
      <c r="I1367" s="89">
        <f>MONTH(Tabela1[[#This Row],[Data de Validade]])</f>
        <v>9</v>
      </c>
      <c r="J1367" s="101">
        <v>89260</v>
      </c>
      <c r="K1367" s="87" t="s">
        <v>14</v>
      </c>
      <c r="L1367" s="108"/>
      <c r="M1367" s="108"/>
      <c r="N1367" s="108" t="str">
        <v>H959H643</v>
      </c>
      <c r="O1367" s="108">
        <f t="shared" si="23"/>
        <v>1</v>
      </c>
      <c r="P1367" s="108"/>
      <c r="Q1367"/>
    </row>
    <row r="1368" spans="1:17" x14ac:dyDescent="0.25">
      <c r="A1368" s="89" t="s">
        <v>6106</v>
      </c>
      <c r="B1368" s="87" t="s">
        <v>6107</v>
      </c>
      <c r="C1368" s="87" t="s">
        <v>12</v>
      </c>
      <c r="D1368" s="87" t="str">
        <f>VLOOKUP(Tabela1[[#This Row],[Origem]], 'Perguntas 1 a 24'!$J$28:$K$34, 2, 0)</f>
        <v>Sudeste</v>
      </c>
      <c r="E1368" s="87" t="str">
        <f>Tabela1[[#This Row],[Descrição]]&amp;"-"&amp;Tabela1[[#This Row],[Código]]&amp;"/"&amp;Tabela1[[#This Row],[Origem]]</f>
        <v>Camoda-H463P393/RJ</v>
      </c>
      <c r="F1368" s="88">
        <v>46269</v>
      </c>
      <c r="G1368" s="88" t="str" cm="1">
        <f t="array" ref="G13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AND(F1368&gt;= DATE(2026,1,1), F1368&lt;= DATE(2028, 12, 31), J1368&gt;50000), "Pendente e Caro", AND(F1368&gt;= DATE(2026,1,1), F1368&lt;= DATE(2028, 12, 31), J1368&lt;=50000), "Pendente", F1368&gt;= DATE(2029,1,1), "Não prioeitário")</f>
        <v>Pendente e Caro</v>
      </c>
      <c r="H1368" s="89">
        <f>YEAR(Tabela1[[#This Row],[Data de Validade]])</f>
        <v>2026</v>
      </c>
      <c r="I1368" s="89">
        <f>MONTH(Tabela1[[#This Row],[Data de Validade]])</f>
        <v>9</v>
      </c>
      <c r="J1368" s="101">
        <v>74340</v>
      </c>
      <c r="K1368" s="87" t="s">
        <v>14</v>
      </c>
      <c r="L1368" s="108"/>
      <c r="M1368" s="108"/>
      <c r="N1368" s="108" t="str">
        <v>H463P393</v>
      </c>
      <c r="O1368" s="108">
        <f t="shared" si="23"/>
        <v>1</v>
      </c>
      <c r="P1368" s="108"/>
      <c r="Q1368"/>
    </row>
    <row r="1369" spans="1:17" x14ac:dyDescent="0.25">
      <c r="A1369" s="89" t="s">
        <v>4419</v>
      </c>
      <c r="B1369" s="87" t="s">
        <v>4420</v>
      </c>
      <c r="C1369" s="87" t="s">
        <v>6</v>
      </c>
      <c r="D1369" s="87" t="str">
        <f>VLOOKUP(Tabela1[[#This Row],[Origem]], 'Perguntas 1 a 24'!$J$28:$K$34, 2, 0)</f>
        <v>Nordeste</v>
      </c>
      <c r="E1369" s="87" t="str">
        <f>Tabela1[[#This Row],[Descrição]]&amp;"-"&amp;Tabela1[[#This Row],[Código]]&amp;"/"&amp;Tabela1[[#This Row],[Origem]]</f>
        <v>Ratodevo-H619H865/MA</v>
      </c>
      <c r="F1369" s="88">
        <v>46269</v>
      </c>
      <c r="G1369" s="88" t="str" cm="1">
        <f t="array" ref="G13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AND(F1369&gt;= DATE(2026,1,1), F1369&lt;= DATE(2028, 12, 31), J1369&gt;50000), "Pendente e Caro", AND(F1369&gt;= DATE(2026,1,1), F1369&lt;= DATE(2028, 12, 31), J1369&lt;=50000), "Pendente", F1369&gt;= DATE(2029,1,1), "Não prioeitário")</f>
        <v>Pendente</v>
      </c>
      <c r="H1369" s="89">
        <f>YEAR(Tabela1[[#This Row],[Data de Validade]])</f>
        <v>2026</v>
      </c>
      <c r="I1369" s="89">
        <f>MONTH(Tabela1[[#This Row],[Data de Validade]])</f>
        <v>9</v>
      </c>
      <c r="J1369" s="101">
        <v>20843</v>
      </c>
      <c r="K1369" s="87" t="s">
        <v>14</v>
      </c>
      <c r="L1369" s="108"/>
      <c r="M1369" s="108"/>
      <c r="N1369" s="108" t="str">
        <v>H619H865</v>
      </c>
      <c r="O1369" s="108">
        <f t="shared" si="23"/>
        <v>1</v>
      </c>
      <c r="P1369" s="108"/>
      <c r="Q1369"/>
    </row>
    <row r="1370" spans="1:17" x14ac:dyDescent="0.25">
      <c r="A1370" s="89" t="s">
        <v>10907</v>
      </c>
      <c r="B1370" s="87" t="s">
        <v>10908</v>
      </c>
      <c r="C1370" s="87" t="s">
        <v>10</v>
      </c>
      <c r="D1370" s="87" t="str">
        <f>VLOOKUP(Tabela1[[#This Row],[Origem]], 'Perguntas 1 a 24'!$J$28:$K$34, 2, 0)</f>
        <v>Centro-Oeste</v>
      </c>
      <c r="E1370" s="87" t="str">
        <f>Tabela1[[#This Row],[Descrição]]&amp;"-"&amp;Tabela1[[#This Row],[Código]]&amp;"/"&amp;Tabela1[[#This Row],[Origem]]</f>
        <v>Foropi-P246P553/GO</v>
      </c>
      <c r="F1370" s="88">
        <v>46270</v>
      </c>
      <c r="G1370" s="88" t="str" cm="1">
        <f t="array" ref="G13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AND(F1370&gt;= DATE(2026,1,1), F1370&lt;= DATE(2028, 12, 31), J1370&gt;50000), "Pendente e Caro", AND(F1370&gt;= DATE(2026,1,1), F1370&lt;= DATE(2028, 12, 31), J1370&lt;=50000), "Pendente", F1370&gt;= DATE(2029,1,1), "Não prioeitário")</f>
        <v>Pendente</v>
      </c>
      <c r="H1370" s="89">
        <f>YEAR(Tabela1[[#This Row],[Data de Validade]])</f>
        <v>2026</v>
      </c>
      <c r="I1370" s="89">
        <f>MONTH(Tabela1[[#This Row],[Data de Validade]])</f>
        <v>9</v>
      </c>
      <c r="J1370" s="101">
        <v>20970</v>
      </c>
      <c r="K1370" s="87" t="s">
        <v>9</v>
      </c>
      <c r="L1370" s="108"/>
      <c r="M1370" s="108"/>
      <c r="N1370" s="108" t="str">
        <v>P246P553</v>
      </c>
      <c r="O1370" s="108">
        <f t="shared" si="23"/>
        <v>1</v>
      </c>
      <c r="P1370" s="108"/>
      <c r="Q1370"/>
    </row>
    <row r="1371" spans="1:17" x14ac:dyDescent="0.25">
      <c r="A1371" s="89" t="s">
        <v>4331</v>
      </c>
      <c r="B1371" s="87" t="s">
        <v>4332</v>
      </c>
      <c r="C1371" s="87" t="s">
        <v>8</v>
      </c>
      <c r="D1371" s="87" t="str">
        <f>VLOOKUP(Tabela1[[#This Row],[Origem]], 'Perguntas 1 a 24'!$J$28:$K$34, 2, 0)</f>
        <v>Nordeste</v>
      </c>
      <c r="E1371" s="87" t="str">
        <f>Tabela1[[#This Row],[Descrição]]&amp;"-"&amp;Tabela1[[#This Row],[Código]]&amp;"/"&amp;Tabela1[[#This Row],[Origem]]</f>
        <v>Minupepe-P564H993/AL</v>
      </c>
      <c r="F1371" s="88">
        <v>46271</v>
      </c>
      <c r="G1371" s="88" t="str" cm="1">
        <f t="array" ref="G13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AND(F1371&gt;= DATE(2026,1,1), F1371&lt;= DATE(2028, 12, 31), J1371&gt;50000), "Pendente e Caro", AND(F1371&gt;= DATE(2026,1,1), F1371&lt;= DATE(2028, 12, 31), J1371&lt;=50000), "Pendente", F1371&gt;= DATE(2029,1,1), "Não prioeitário")</f>
        <v>Pendente e Caro</v>
      </c>
      <c r="H1371" s="89">
        <f>YEAR(Tabela1[[#This Row],[Data de Validade]])</f>
        <v>2026</v>
      </c>
      <c r="I1371" s="89">
        <f>MONTH(Tabela1[[#This Row],[Data de Validade]])</f>
        <v>9</v>
      </c>
      <c r="J1371" s="101">
        <v>93597</v>
      </c>
      <c r="K1371" s="87" t="s">
        <v>7</v>
      </c>
      <c r="L1371" s="108"/>
      <c r="M1371" s="108"/>
      <c r="N1371" s="108" t="str">
        <v>P564H993</v>
      </c>
      <c r="O1371" s="108">
        <f t="shared" si="23"/>
        <v>1</v>
      </c>
      <c r="P1371" s="108"/>
      <c r="Q1371"/>
    </row>
    <row r="1372" spans="1:17" x14ac:dyDescent="0.25">
      <c r="A1372" s="89" t="s">
        <v>7642</v>
      </c>
      <c r="B1372" s="87" t="s">
        <v>7643</v>
      </c>
      <c r="C1372" s="87" t="s">
        <v>6</v>
      </c>
      <c r="D1372" s="87" t="str">
        <f>VLOOKUP(Tabela1[[#This Row],[Origem]], 'Perguntas 1 a 24'!$J$28:$K$34, 2, 0)</f>
        <v>Nordeste</v>
      </c>
      <c r="E1372" s="87" t="str">
        <f>Tabela1[[#This Row],[Descrição]]&amp;"-"&amp;Tabela1[[#This Row],[Código]]&amp;"/"&amp;Tabela1[[#This Row],[Origem]]</f>
        <v>Refugu-P137P487/MA</v>
      </c>
      <c r="F1372" s="88">
        <v>46271</v>
      </c>
      <c r="G1372" s="88" t="str" cm="1">
        <f t="array" ref="G13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AND(F1372&gt;= DATE(2026,1,1), F1372&lt;= DATE(2028, 12, 31), J1372&gt;50000), "Pendente e Caro", AND(F1372&gt;= DATE(2026,1,1), F1372&lt;= DATE(2028, 12, 31), J1372&lt;=50000), "Pendente", F1372&gt;= DATE(2029,1,1), "Não prioeitário")</f>
        <v>Pendente e Caro</v>
      </c>
      <c r="H1372" s="89">
        <f>YEAR(Tabela1[[#This Row],[Data de Validade]])</f>
        <v>2026</v>
      </c>
      <c r="I1372" s="89">
        <f>MONTH(Tabela1[[#This Row],[Data de Validade]])</f>
        <v>9</v>
      </c>
      <c r="J1372" s="101">
        <v>91945</v>
      </c>
      <c r="K1372" s="87" t="s">
        <v>9</v>
      </c>
      <c r="L1372" s="108"/>
      <c r="M1372" s="108"/>
      <c r="N1372" s="108" t="str">
        <v>P137P487</v>
      </c>
      <c r="O1372" s="108">
        <f t="shared" si="23"/>
        <v>1</v>
      </c>
      <c r="P1372" s="108"/>
      <c r="Q1372"/>
    </row>
    <row r="1373" spans="1:17" x14ac:dyDescent="0.25">
      <c r="A1373" s="89" t="s">
        <v>5564</v>
      </c>
      <c r="B1373" s="87" t="s">
        <v>5565</v>
      </c>
      <c r="C1373" s="87" t="s">
        <v>6</v>
      </c>
      <c r="D1373" s="87" t="str">
        <f>VLOOKUP(Tabela1[[#This Row],[Origem]], 'Perguntas 1 a 24'!$J$28:$K$34, 2, 0)</f>
        <v>Nordeste</v>
      </c>
      <c r="E1373" s="87" t="str">
        <f>Tabela1[[#This Row],[Descrição]]&amp;"-"&amp;Tabela1[[#This Row],[Código]]&amp;"/"&amp;Tabela1[[#This Row],[Origem]]</f>
        <v>Dupovura-H188H328/MA</v>
      </c>
      <c r="F1373" s="88">
        <v>46271</v>
      </c>
      <c r="G1373" s="88" t="str" cm="1">
        <f t="array" ref="G13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AND(F1373&gt;= DATE(2026,1,1), F1373&lt;= DATE(2028, 12, 31), J1373&gt;50000), "Pendente e Caro", AND(F1373&gt;= DATE(2026,1,1), F1373&lt;= DATE(2028, 12, 31), J1373&lt;=50000), "Pendente", F1373&gt;= DATE(2029,1,1), "Não prioeitário")</f>
        <v>Pendente e Caro</v>
      </c>
      <c r="H1373" s="89">
        <f>YEAR(Tabela1[[#This Row],[Data de Validade]])</f>
        <v>2026</v>
      </c>
      <c r="I1373" s="89">
        <f>MONTH(Tabela1[[#This Row],[Data de Validade]])</f>
        <v>9</v>
      </c>
      <c r="J1373" s="101">
        <v>55729</v>
      </c>
      <c r="K1373" s="87" t="s">
        <v>9</v>
      </c>
      <c r="L1373" s="108"/>
      <c r="M1373" s="108"/>
      <c r="N1373" s="108" t="str">
        <v>H188H328</v>
      </c>
      <c r="O1373" s="108">
        <f t="shared" si="23"/>
        <v>1</v>
      </c>
      <c r="P1373" s="108"/>
      <c r="Q1373"/>
    </row>
    <row r="1374" spans="1:17" x14ac:dyDescent="0.25">
      <c r="A1374" s="89" t="s">
        <v>8064</v>
      </c>
      <c r="B1374" s="87" t="s">
        <v>8065</v>
      </c>
      <c r="C1374" s="87" t="s">
        <v>8</v>
      </c>
      <c r="D1374" s="87" t="str">
        <f>VLOOKUP(Tabela1[[#This Row],[Origem]], 'Perguntas 1 a 24'!$J$28:$K$34, 2, 0)</f>
        <v>Nordeste</v>
      </c>
      <c r="E1374" s="87" t="str">
        <f>Tabela1[[#This Row],[Descrição]]&amp;"-"&amp;Tabela1[[#This Row],[Código]]&amp;"/"&amp;Tabela1[[#This Row],[Origem]]</f>
        <v>Pefaperefi-H887P635/AL</v>
      </c>
      <c r="F1374" s="88">
        <v>46271</v>
      </c>
      <c r="G1374" s="88" t="str" cm="1">
        <f t="array" ref="G13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AND(F1374&gt;= DATE(2026,1,1), F1374&lt;= DATE(2028, 12, 31), J1374&gt;50000), "Pendente e Caro", AND(F1374&gt;= DATE(2026,1,1), F1374&lt;= DATE(2028, 12, 31), J1374&lt;=50000), "Pendente", F1374&gt;= DATE(2029,1,1), "Não prioeitário")</f>
        <v>Pendente</v>
      </c>
      <c r="H1374" s="89">
        <f>YEAR(Tabela1[[#This Row],[Data de Validade]])</f>
        <v>2026</v>
      </c>
      <c r="I1374" s="89">
        <f>MONTH(Tabela1[[#This Row],[Data de Validade]])</f>
        <v>9</v>
      </c>
      <c r="J1374" s="101">
        <v>24049</v>
      </c>
      <c r="K1374" s="87" t="s">
        <v>11</v>
      </c>
      <c r="L1374" s="108"/>
      <c r="M1374" s="108"/>
      <c r="N1374" s="108" t="str">
        <v>H887P635</v>
      </c>
      <c r="O1374" s="108">
        <f t="shared" si="23"/>
        <v>1</v>
      </c>
      <c r="P1374" s="108"/>
      <c r="Q1374"/>
    </row>
    <row r="1375" spans="1:17" x14ac:dyDescent="0.25">
      <c r="A1375" s="89" t="s">
        <v>9943</v>
      </c>
      <c r="B1375" s="87" t="s">
        <v>9944</v>
      </c>
      <c r="C1375" s="87" t="s">
        <v>10</v>
      </c>
      <c r="D1375" s="87" t="str">
        <f>VLOOKUP(Tabela1[[#This Row],[Origem]], 'Perguntas 1 a 24'!$J$28:$K$34, 2, 0)</f>
        <v>Centro-Oeste</v>
      </c>
      <c r="E1375" s="87" t="str">
        <f>Tabela1[[#This Row],[Descrição]]&amp;"-"&amp;Tabela1[[#This Row],[Código]]&amp;"/"&amp;Tabela1[[#This Row],[Origem]]</f>
        <v>Favegi-H674H933/GO</v>
      </c>
      <c r="F1375" s="88">
        <v>46272</v>
      </c>
      <c r="G1375" s="88" t="str" cm="1">
        <f t="array" ref="G13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AND(F1375&gt;= DATE(2026,1,1), F1375&lt;= DATE(2028, 12, 31), J1375&gt;50000), "Pendente e Caro", AND(F1375&gt;= DATE(2026,1,1), F1375&lt;= DATE(2028, 12, 31), J1375&lt;=50000), "Pendente", F1375&gt;= DATE(2029,1,1), "Não prioeitário")</f>
        <v>Pendente e Caro</v>
      </c>
      <c r="H1375" s="89">
        <f>YEAR(Tabela1[[#This Row],[Data de Validade]])</f>
        <v>2026</v>
      </c>
      <c r="I1375" s="89">
        <f>MONTH(Tabela1[[#This Row],[Data de Validade]])</f>
        <v>9</v>
      </c>
      <c r="J1375" s="101">
        <v>106508</v>
      </c>
      <c r="K1375" s="87" t="s">
        <v>14</v>
      </c>
      <c r="L1375" s="108"/>
      <c r="M1375" s="108"/>
      <c r="N1375" s="108" t="str">
        <v>H674H933</v>
      </c>
      <c r="O1375" s="108">
        <f t="shared" si="23"/>
        <v>1</v>
      </c>
      <c r="P1375" s="108"/>
      <c r="Q1375"/>
    </row>
    <row r="1376" spans="1:17" x14ac:dyDescent="0.25">
      <c r="A1376" s="89" t="s">
        <v>6848</v>
      </c>
      <c r="B1376" s="87" t="s">
        <v>6849</v>
      </c>
      <c r="C1376" s="87" t="s">
        <v>12</v>
      </c>
      <c r="D1376" s="87" t="str">
        <f>VLOOKUP(Tabela1[[#This Row],[Origem]], 'Perguntas 1 a 24'!$J$28:$K$34, 2, 0)</f>
        <v>Sudeste</v>
      </c>
      <c r="E1376" s="87" t="str">
        <f>Tabela1[[#This Row],[Descrição]]&amp;"-"&amp;Tabela1[[#This Row],[Código]]&amp;"/"&amp;Tabela1[[#This Row],[Origem]]</f>
        <v>Firefero-P662P244/RJ</v>
      </c>
      <c r="F1376" s="88">
        <v>46272</v>
      </c>
      <c r="G1376" s="88" t="str" cm="1">
        <f t="array" ref="G13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AND(F1376&gt;= DATE(2026,1,1), F1376&lt;= DATE(2028, 12, 31), J1376&gt;50000), "Pendente e Caro", AND(F1376&gt;= DATE(2026,1,1), F1376&lt;= DATE(2028, 12, 31), J1376&lt;=50000), "Pendente", F1376&gt;= DATE(2029,1,1), "Não prioeitário")</f>
        <v>Pendente e Caro</v>
      </c>
      <c r="H1376" s="89">
        <f>YEAR(Tabela1[[#This Row],[Data de Validade]])</f>
        <v>2026</v>
      </c>
      <c r="I1376" s="89">
        <f>MONTH(Tabela1[[#This Row],[Data de Validade]])</f>
        <v>9</v>
      </c>
      <c r="J1376" s="101">
        <v>92885</v>
      </c>
      <c r="K1376" s="87" t="s">
        <v>14</v>
      </c>
      <c r="L1376" s="108"/>
      <c r="M1376" s="108"/>
      <c r="N1376" s="108" t="str">
        <v>P662P244</v>
      </c>
      <c r="O1376" s="108">
        <f t="shared" si="23"/>
        <v>1</v>
      </c>
      <c r="P1376" s="108"/>
      <c r="Q1376"/>
    </row>
    <row r="1377" spans="1:17" x14ac:dyDescent="0.25">
      <c r="A1377" s="89" t="s">
        <v>4016</v>
      </c>
      <c r="B1377" s="87" t="s">
        <v>4017</v>
      </c>
      <c r="C1377" s="87" t="s">
        <v>15</v>
      </c>
      <c r="D1377" s="87" t="str">
        <f>VLOOKUP(Tabela1[[#This Row],[Origem]], 'Perguntas 1 a 24'!$J$28:$K$34, 2, 0)</f>
        <v>Sudeste</v>
      </c>
      <c r="E1377" s="87" t="str">
        <f>Tabela1[[#This Row],[Descrição]]&amp;"-"&amp;Tabela1[[#This Row],[Código]]&amp;"/"&amp;Tabela1[[#This Row],[Origem]]</f>
        <v>Perupinace-P263P296/ES</v>
      </c>
      <c r="F1377" s="88">
        <v>46272</v>
      </c>
      <c r="G1377" s="88" t="str" cm="1">
        <f t="array" ref="G13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AND(F1377&gt;= DATE(2026,1,1), F1377&lt;= DATE(2028, 12, 31), J1377&gt;50000), "Pendente e Caro", AND(F1377&gt;= DATE(2026,1,1), F1377&lt;= DATE(2028, 12, 31), J1377&lt;=50000), "Pendente", F1377&gt;= DATE(2029,1,1), "Não prioeitário")</f>
        <v>Pendente e Caro</v>
      </c>
      <c r="H1377" s="89">
        <f>YEAR(Tabela1[[#This Row],[Data de Validade]])</f>
        <v>2026</v>
      </c>
      <c r="I1377" s="89">
        <f>MONTH(Tabela1[[#This Row],[Data de Validade]])</f>
        <v>9</v>
      </c>
      <c r="J1377" s="101">
        <v>70626</v>
      </c>
      <c r="K1377" s="87" t="s">
        <v>7</v>
      </c>
      <c r="L1377" s="108"/>
      <c r="M1377" s="108"/>
      <c r="N1377" s="108" t="str">
        <v>P263P296</v>
      </c>
      <c r="O1377" s="108">
        <f t="shared" si="23"/>
        <v>1</v>
      </c>
      <c r="P1377" s="108"/>
      <c r="Q1377"/>
    </row>
    <row r="1378" spans="1:17" x14ac:dyDescent="0.25">
      <c r="A1378" s="89" t="s">
        <v>7258</v>
      </c>
      <c r="B1378" s="87" t="s">
        <v>7259</v>
      </c>
      <c r="C1378" s="87" t="s">
        <v>13</v>
      </c>
      <c r="D1378" s="87" t="str">
        <f>VLOOKUP(Tabela1[[#This Row],[Origem]], 'Perguntas 1 a 24'!$J$28:$K$34, 2, 0)</f>
        <v>Sudeste</v>
      </c>
      <c r="E1378" s="87" t="str">
        <f>Tabela1[[#This Row],[Descrição]]&amp;"-"&amp;Tabela1[[#This Row],[Código]]&amp;"/"&amp;Tabela1[[#This Row],[Origem]]</f>
        <v>Gimape-P443H361/SP</v>
      </c>
      <c r="F1378" s="88">
        <v>46273</v>
      </c>
      <c r="G1378" s="88" t="str" cm="1">
        <f t="array" ref="G13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AND(F1378&gt;= DATE(2026,1,1), F1378&lt;= DATE(2028, 12, 31), J1378&gt;50000), "Pendente e Caro", AND(F1378&gt;= DATE(2026,1,1), F1378&lt;= DATE(2028, 12, 31), J1378&lt;=50000), "Pendente", F1378&gt;= DATE(2029,1,1), "Não prioeitário")</f>
        <v>Pendente e Caro</v>
      </c>
      <c r="H1378" s="89">
        <f>YEAR(Tabela1[[#This Row],[Data de Validade]])</f>
        <v>2026</v>
      </c>
      <c r="I1378" s="89">
        <f>MONTH(Tabela1[[#This Row],[Data de Validade]])</f>
        <v>9</v>
      </c>
      <c r="J1378" s="101">
        <v>102561</v>
      </c>
      <c r="K1378" s="87" t="s">
        <v>14</v>
      </c>
      <c r="L1378" s="108"/>
      <c r="M1378" s="108"/>
      <c r="N1378" s="108" t="str">
        <v>P443H361</v>
      </c>
      <c r="O1378" s="108">
        <f t="shared" si="23"/>
        <v>1</v>
      </c>
      <c r="P1378" s="108"/>
      <c r="Q1378"/>
    </row>
    <row r="1379" spans="1:17" x14ac:dyDescent="0.25">
      <c r="A1379" s="89" t="s">
        <v>5654</v>
      </c>
      <c r="B1379" s="87" t="s">
        <v>5655</v>
      </c>
      <c r="C1379" s="87" t="s">
        <v>8</v>
      </c>
      <c r="D1379" s="87" t="str">
        <f>VLOOKUP(Tabela1[[#This Row],[Origem]], 'Perguntas 1 a 24'!$J$28:$K$34, 2, 0)</f>
        <v>Nordeste</v>
      </c>
      <c r="E1379" s="87" t="str">
        <f>Tabela1[[#This Row],[Descrição]]&amp;"-"&amp;Tabela1[[#This Row],[Código]]&amp;"/"&amp;Tabela1[[#This Row],[Origem]]</f>
        <v>Getopigi-H264H836/AL</v>
      </c>
      <c r="F1379" s="88">
        <v>46273</v>
      </c>
      <c r="G1379" s="88" t="str" cm="1">
        <f t="array" ref="G13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AND(F1379&gt;= DATE(2026,1,1), F1379&lt;= DATE(2028, 12, 31), J1379&gt;50000), "Pendente e Caro", AND(F1379&gt;= DATE(2026,1,1), F1379&lt;= DATE(2028, 12, 31), J1379&lt;=50000), "Pendente", F1379&gt;= DATE(2029,1,1), "Não prioeitário")</f>
        <v>Pendente e Caro</v>
      </c>
      <c r="H1379" s="89">
        <f>YEAR(Tabela1[[#This Row],[Data de Validade]])</f>
        <v>2026</v>
      </c>
      <c r="I1379" s="89">
        <f>MONTH(Tabela1[[#This Row],[Data de Validade]])</f>
        <v>9</v>
      </c>
      <c r="J1379" s="101">
        <v>70153</v>
      </c>
      <c r="K1379" s="87" t="s">
        <v>9</v>
      </c>
      <c r="L1379" s="108"/>
      <c r="M1379" s="108"/>
      <c r="N1379" s="108" t="str">
        <v>H264H836</v>
      </c>
      <c r="O1379" s="108">
        <f t="shared" si="23"/>
        <v>1</v>
      </c>
      <c r="P1379" s="108"/>
      <c r="Q1379"/>
    </row>
    <row r="1380" spans="1:17" x14ac:dyDescent="0.25">
      <c r="A1380" s="89" t="s">
        <v>3902</v>
      </c>
      <c r="B1380" s="87" t="s">
        <v>3903</v>
      </c>
      <c r="C1380" s="87" t="s">
        <v>8</v>
      </c>
      <c r="D1380" s="87" t="str">
        <f>VLOOKUP(Tabela1[[#This Row],[Origem]], 'Perguntas 1 a 24'!$J$28:$K$34, 2, 0)</f>
        <v>Nordeste</v>
      </c>
      <c r="E1380" s="87" t="str">
        <f>Tabela1[[#This Row],[Descrição]]&amp;"-"&amp;Tabela1[[#This Row],[Código]]&amp;"/"&amp;Tabela1[[#This Row],[Origem]]</f>
        <v>Venoro-H797H836/AL</v>
      </c>
      <c r="F1380" s="88">
        <v>46273</v>
      </c>
      <c r="G1380" s="88" t="str" cm="1">
        <f t="array" ref="G13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AND(F1380&gt;= DATE(2026,1,1), F1380&lt;= DATE(2028, 12, 31), J1380&gt;50000), "Pendente e Caro", AND(F1380&gt;= DATE(2026,1,1), F1380&lt;= DATE(2028, 12, 31), J1380&lt;=50000), "Pendente", F1380&gt;= DATE(2029,1,1), "Não prioeitário")</f>
        <v>Pendente e Caro</v>
      </c>
      <c r="H1380" s="89">
        <f>YEAR(Tabela1[[#This Row],[Data de Validade]])</f>
        <v>2026</v>
      </c>
      <c r="I1380" s="89">
        <f>MONTH(Tabela1[[#This Row],[Data de Validade]])</f>
        <v>9</v>
      </c>
      <c r="J1380" s="101">
        <v>58022</v>
      </c>
      <c r="K1380" s="87" t="s">
        <v>7</v>
      </c>
      <c r="L1380" s="108"/>
      <c r="M1380" s="108"/>
      <c r="N1380" s="108" t="str">
        <v>H797H836</v>
      </c>
      <c r="O1380" s="108">
        <f t="shared" si="23"/>
        <v>1</v>
      </c>
      <c r="P1380" s="108"/>
      <c r="Q1380"/>
    </row>
    <row r="1381" spans="1:17" x14ac:dyDescent="0.25">
      <c r="A1381" s="89" t="s">
        <v>6262</v>
      </c>
      <c r="B1381" s="87" t="s">
        <v>6263</v>
      </c>
      <c r="C1381" s="87" t="s">
        <v>10</v>
      </c>
      <c r="D1381" s="87" t="str">
        <f>VLOOKUP(Tabela1[[#This Row],[Origem]], 'Perguntas 1 a 24'!$J$28:$K$34, 2, 0)</f>
        <v>Centro-Oeste</v>
      </c>
      <c r="E1381" s="87" t="str">
        <f>Tabela1[[#This Row],[Descrição]]&amp;"-"&amp;Tabela1[[#This Row],[Código]]&amp;"/"&amp;Tabela1[[#This Row],[Origem]]</f>
        <v>Capoli-H554H172/GO</v>
      </c>
      <c r="F1381" s="88">
        <v>46273</v>
      </c>
      <c r="G1381" s="88" t="str" cm="1">
        <f t="array" ref="G13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AND(F1381&gt;= DATE(2026,1,1), F1381&lt;= DATE(2028, 12, 31), J1381&gt;50000), "Pendente e Caro", AND(F1381&gt;= DATE(2026,1,1), F1381&lt;= DATE(2028, 12, 31), J1381&lt;=50000), "Pendente", F1381&gt;= DATE(2029,1,1), "Não prioeitário")</f>
        <v>Pendente</v>
      </c>
      <c r="H1381" s="89">
        <f>YEAR(Tabela1[[#This Row],[Data de Validade]])</f>
        <v>2026</v>
      </c>
      <c r="I1381" s="89">
        <f>MONTH(Tabela1[[#This Row],[Data de Validade]])</f>
        <v>9</v>
      </c>
      <c r="J1381" s="101">
        <v>35151</v>
      </c>
      <c r="K1381" s="87" t="s">
        <v>9</v>
      </c>
      <c r="L1381" s="108"/>
      <c r="M1381" s="108"/>
      <c r="N1381" s="108" t="str">
        <v>H554H172</v>
      </c>
      <c r="O1381" s="108">
        <f t="shared" si="23"/>
        <v>1</v>
      </c>
      <c r="P1381" s="108"/>
      <c r="Q1381"/>
    </row>
    <row r="1382" spans="1:17" x14ac:dyDescent="0.25">
      <c r="A1382" s="89" t="s">
        <v>4980</v>
      </c>
      <c r="B1382" s="87" t="s">
        <v>4981</v>
      </c>
      <c r="C1382" s="87" t="s">
        <v>13</v>
      </c>
      <c r="D1382" s="87" t="str">
        <f>VLOOKUP(Tabela1[[#This Row],[Origem]], 'Perguntas 1 a 24'!$J$28:$K$34, 2, 0)</f>
        <v>Sudeste</v>
      </c>
      <c r="E1382" s="87" t="str">
        <f>Tabela1[[#This Row],[Descrição]]&amp;"-"&amp;Tabela1[[#This Row],[Código]]&amp;"/"&amp;Tabela1[[#This Row],[Origem]]</f>
        <v>Paregaga-H712H691/SP</v>
      </c>
      <c r="F1382" s="88">
        <v>46274</v>
      </c>
      <c r="G1382" s="88" t="str" cm="1">
        <f t="array" ref="G13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AND(F1382&gt;= DATE(2026,1,1), F1382&lt;= DATE(2028, 12, 31), J1382&gt;50000), "Pendente e Caro", AND(F1382&gt;= DATE(2026,1,1), F1382&lt;= DATE(2028, 12, 31), J1382&lt;=50000), "Pendente", F1382&gt;= DATE(2029,1,1), "Não prioeitário")</f>
        <v>Pendente e Caro</v>
      </c>
      <c r="H1382" s="89">
        <f>YEAR(Tabela1[[#This Row],[Data de Validade]])</f>
        <v>2026</v>
      </c>
      <c r="I1382" s="89">
        <f>MONTH(Tabela1[[#This Row],[Data de Validade]])</f>
        <v>9</v>
      </c>
      <c r="J1382" s="101">
        <v>90733</v>
      </c>
      <c r="K1382" s="87" t="s">
        <v>9</v>
      </c>
      <c r="L1382" s="108"/>
      <c r="M1382" s="108"/>
      <c r="N1382" s="108" t="str">
        <v>H712H691</v>
      </c>
      <c r="O1382" s="108">
        <f t="shared" si="23"/>
        <v>1</v>
      </c>
      <c r="P1382" s="108"/>
      <c r="Q1382"/>
    </row>
    <row r="1383" spans="1:17" x14ac:dyDescent="0.25">
      <c r="A1383" s="89" t="s">
        <v>9405</v>
      </c>
      <c r="B1383" s="87" t="s">
        <v>9406</v>
      </c>
      <c r="C1383" s="87" t="s">
        <v>16</v>
      </c>
      <c r="D1383" s="87" t="str">
        <f>VLOOKUP(Tabela1[[#This Row],[Origem]], 'Perguntas 1 a 24'!$J$28:$K$34, 2, 0)</f>
        <v>Sudeste</v>
      </c>
      <c r="E1383" s="87" t="str">
        <f>Tabela1[[#This Row],[Descrição]]&amp;"-"&amp;Tabela1[[#This Row],[Código]]&amp;"/"&amp;Tabela1[[#This Row],[Origem]]</f>
        <v>Tatoraci-H665H516/MG</v>
      </c>
      <c r="F1383" s="88">
        <v>46274</v>
      </c>
      <c r="G1383" s="88" t="str" cm="1">
        <f t="array" ref="G13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AND(F1383&gt;= DATE(2026,1,1), F1383&lt;= DATE(2028, 12, 31), J1383&gt;50000), "Pendente e Caro", AND(F1383&gt;= DATE(2026,1,1), F1383&lt;= DATE(2028, 12, 31), J1383&lt;=50000), "Pendente", F1383&gt;= DATE(2029,1,1), "Não prioeitário")</f>
        <v>Pendente</v>
      </c>
      <c r="H1383" s="89">
        <f>YEAR(Tabela1[[#This Row],[Data de Validade]])</f>
        <v>2026</v>
      </c>
      <c r="I1383" s="89">
        <f>MONTH(Tabela1[[#This Row],[Data de Validade]])</f>
        <v>9</v>
      </c>
      <c r="J1383" s="101">
        <v>38877</v>
      </c>
      <c r="K1383" s="87" t="s">
        <v>9</v>
      </c>
      <c r="L1383" s="108"/>
      <c r="M1383" s="108"/>
      <c r="N1383" s="108" t="str">
        <v>H665H516</v>
      </c>
      <c r="O1383" s="108">
        <f t="shared" si="23"/>
        <v>1</v>
      </c>
      <c r="P1383" s="108"/>
      <c r="Q1383"/>
    </row>
    <row r="1384" spans="1:17" x14ac:dyDescent="0.25">
      <c r="A1384" s="89" t="s">
        <v>9349</v>
      </c>
      <c r="B1384" s="87" t="s">
        <v>9350</v>
      </c>
      <c r="C1384" s="87" t="s">
        <v>15</v>
      </c>
      <c r="D1384" s="87" t="str">
        <f>VLOOKUP(Tabela1[[#This Row],[Origem]], 'Perguntas 1 a 24'!$J$28:$K$34, 2, 0)</f>
        <v>Sudeste</v>
      </c>
      <c r="E1384" s="87" t="str">
        <f>Tabela1[[#This Row],[Descrição]]&amp;"-"&amp;Tabela1[[#This Row],[Código]]&amp;"/"&amp;Tabela1[[#This Row],[Origem]]</f>
        <v>Rutaligi-P858P151/ES</v>
      </c>
      <c r="F1384" s="88">
        <v>46275</v>
      </c>
      <c r="G1384" s="88" t="str" cm="1">
        <f t="array" ref="G13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AND(F1384&gt;= DATE(2026,1,1), F1384&lt;= DATE(2028, 12, 31), J1384&gt;50000), "Pendente e Caro", AND(F1384&gt;= DATE(2026,1,1), F1384&lt;= DATE(2028, 12, 31), J1384&lt;=50000), "Pendente", F1384&gt;= DATE(2029,1,1), "Não prioeitário")</f>
        <v>Pendente e Caro</v>
      </c>
      <c r="H1384" s="89">
        <f>YEAR(Tabela1[[#This Row],[Data de Validade]])</f>
        <v>2026</v>
      </c>
      <c r="I1384" s="89">
        <f>MONTH(Tabela1[[#This Row],[Data de Validade]])</f>
        <v>9</v>
      </c>
      <c r="J1384" s="101">
        <v>109168</v>
      </c>
      <c r="K1384" s="87" t="s">
        <v>14</v>
      </c>
      <c r="L1384" s="108"/>
      <c r="M1384" s="108"/>
      <c r="N1384" s="108" t="str">
        <v>P858P151</v>
      </c>
      <c r="O1384" s="108">
        <f t="shared" si="23"/>
        <v>1</v>
      </c>
      <c r="P1384" s="108"/>
      <c r="Q1384"/>
    </row>
    <row r="1385" spans="1:17" x14ac:dyDescent="0.25">
      <c r="A1385" s="89" t="s">
        <v>7564</v>
      </c>
      <c r="B1385" s="87" t="s">
        <v>7565</v>
      </c>
      <c r="C1385" s="87" t="s">
        <v>6</v>
      </c>
      <c r="D1385" s="87" t="str">
        <f>VLOOKUP(Tabela1[[#This Row],[Origem]], 'Perguntas 1 a 24'!$J$28:$K$34, 2, 0)</f>
        <v>Nordeste</v>
      </c>
      <c r="E1385" s="87" t="str">
        <f>Tabela1[[#This Row],[Descrição]]&amp;"-"&amp;Tabela1[[#This Row],[Código]]&amp;"/"&amp;Tabela1[[#This Row],[Origem]]</f>
        <v>Tiponetatu-P224P834/MA</v>
      </c>
      <c r="F1385" s="88">
        <v>46275</v>
      </c>
      <c r="G1385" s="88" t="str" cm="1">
        <f t="array" ref="G13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AND(F1385&gt;= DATE(2026,1,1), F1385&lt;= DATE(2028, 12, 31), J1385&gt;50000), "Pendente e Caro", AND(F1385&gt;= DATE(2026,1,1), F1385&lt;= DATE(2028, 12, 31), J1385&lt;=50000), "Pendente", F1385&gt;= DATE(2029,1,1), "Não prioeitário")</f>
        <v>Pendente e Caro</v>
      </c>
      <c r="H1385" s="89">
        <f>YEAR(Tabela1[[#This Row],[Data de Validade]])</f>
        <v>2026</v>
      </c>
      <c r="I1385" s="89">
        <f>MONTH(Tabela1[[#This Row],[Data de Validade]])</f>
        <v>9</v>
      </c>
      <c r="J1385" s="101">
        <v>74612</v>
      </c>
      <c r="K1385" s="87" t="s">
        <v>11</v>
      </c>
      <c r="L1385" s="108"/>
      <c r="M1385" s="108"/>
      <c r="N1385" s="108" t="str">
        <v>P224P834</v>
      </c>
      <c r="O1385" s="108">
        <f t="shared" si="23"/>
        <v>1</v>
      </c>
      <c r="P1385" s="108"/>
      <c r="Q1385"/>
    </row>
    <row r="1386" spans="1:17" x14ac:dyDescent="0.25">
      <c r="A1386" s="89" t="s">
        <v>7586</v>
      </c>
      <c r="B1386" s="87" t="s">
        <v>7587</v>
      </c>
      <c r="C1386" s="87" t="s">
        <v>8</v>
      </c>
      <c r="D1386" s="87" t="str">
        <f>VLOOKUP(Tabela1[[#This Row],[Origem]], 'Perguntas 1 a 24'!$J$28:$K$34, 2, 0)</f>
        <v>Nordeste</v>
      </c>
      <c r="E1386" s="87" t="str">
        <f>Tabela1[[#This Row],[Descrição]]&amp;"-"&amp;Tabela1[[#This Row],[Código]]&amp;"/"&amp;Tabela1[[#This Row],[Origem]]</f>
        <v>Mupora-H542P123/AL</v>
      </c>
      <c r="F1386" s="88">
        <v>46276</v>
      </c>
      <c r="G1386" s="88" t="str" cm="1">
        <f t="array" ref="G13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AND(F1386&gt;= DATE(2026,1,1), F1386&lt;= DATE(2028, 12, 31), J1386&gt;50000), "Pendente e Caro", AND(F1386&gt;= DATE(2026,1,1), F1386&lt;= DATE(2028, 12, 31), J1386&lt;=50000), "Pendente", F1386&gt;= DATE(2029,1,1), "Não prioeitário")</f>
        <v>Pendente</v>
      </c>
      <c r="H1386" s="89">
        <f>YEAR(Tabela1[[#This Row],[Data de Validade]])</f>
        <v>2026</v>
      </c>
      <c r="I1386" s="89">
        <f>MONTH(Tabela1[[#This Row],[Data de Validade]])</f>
        <v>9</v>
      </c>
      <c r="J1386" s="101">
        <v>27434</v>
      </c>
      <c r="K1386" s="87" t="s">
        <v>9</v>
      </c>
      <c r="L1386" s="108"/>
      <c r="M1386" s="108"/>
      <c r="N1386" s="108" t="str">
        <v>H542P123</v>
      </c>
      <c r="O1386" s="108">
        <f t="shared" si="23"/>
        <v>1</v>
      </c>
      <c r="P1386" s="108"/>
      <c r="Q1386"/>
    </row>
    <row r="1387" spans="1:17" x14ac:dyDescent="0.25">
      <c r="A1387" s="89" t="s">
        <v>10439</v>
      </c>
      <c r="B1387" s="87" t="s">
        <v>10440</v>
      </c>
      <c r="C1387" s="87" t="s">
        <v>15</v>
      </c>
      <c r="D1387" s="87" t="str">
        <f>VLOOKUP(Tabela1[[#This Row],[Origem]], 'Perguntas 1 a 24'!$J$28:$K$34, 2, 0)</f>
        <v>Sudeste</v>
      </c>
      <c r="E1387" s="87" t="str">
        <f>Tabela1[[#This Row],[Descrição]]&amp;"-"&amp;Tabela1[[#This Row],[Código]]&amp;"/"&amp;Tabela1[[#This Row],[Origem]]</f>
        <v>Ruvepila-P964H395/ES</v>
      </c>
      <c r="F1387" s="88">
        <v>46277</v>
      </c>
      <c r="G1387" s="88" t="str" cm="1">
        <f t="array" ref="G13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AND(F1387&gt;= DATE(2026,1,1), F1387&lt;= DATE(2028, 12, 31), J1387&gt;50000), "Pendente e Caro", AND(F1387&gt;= DATE(2026,1,1), F1387&lt;= DATE(2028, 12, 31), J1387&lt;=50000), "Pendente", F1387&gt;= DATE(2029,1,1), "Não prioeitário")</f>
        <v>Pendente e Caro</v>
      </c>
      <c r="H1387" s="89">
        <f>YEAR(Tabela1[[#This Row],[Data de Validade]])</f>
        <v>2026</v>
      </c>
      <c r="I1387" s="89">
        <f>MONTH(Tabela1[[#This Row],[Data de Validade]])</f>
        <v>9</v>
      </c>
      <c r="J1387" s="101">
        <v>94200</v>
      </c>
      <c r="K1387" s="87" t="s">
        <v>9</v>
      </c>
      <c r="L1387" s="108"/>
      <c r="M1387" s="108"/>
      <c r="N1387" s="108" t="str">
        <v>P964H395</v>
      </c>
      <c r="O1387" s="108">
        <f t="shared" si="23"/>
        <v>1</v>
      </c>
      <c r="P1387" s="108"/>
      <c r="Q1387"/>
    </row>
    <row r="1388" spans="1:17" x14ac:dyDescent="0.25">
      <c r="A1388" s="89" t="s">
        <v>10411</v>
      </c>
      <c r="B1388" s="87" t="s">
        <v>10412</v>
      </c>
      <c r="C1388" s="87" t="s">
        <v>8</v>
      </c>
      <c r="D1388" s="87" t="str">
        <f>VLOOKUP(Tabela1[[#This Row],[Origem]], 'Perguntas 1 a 24'!$J$28:$K$34, 2, 0)</f>
        <v>Nordeste</v>
      </c>
      <c r="E1388" s="87" t="str">
        <f>Tabela1[[#This Row],[Descrição]]&amp;"-"&amp;Tabela1[[#This Row],[Código]]&amp;"/"&amp;Tabela1[[#This Row],[Origem]]</f>
        <v>Furetugucu-P791H994/AL</v>
      </c>
      <c r="F1388" s="88">
        <v>46279</v>
      </c>
      <c r="G1388" s="88" t="str" cm="1">
        <f t="array" ref="G13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AND(F1388&gt;= DATE(2026,1,1), F1388&lt;= DATE(2028, 12, 31), J1388&gt;50000), "Pendente e Caro", AND(F1388&gt;= DATE(2026,1,1), F1388&lt;= DATE(2028, 12, 31), J1388&lt;=50000), "Pendente", F1388&gt;= DATE(2029,1,1), "Não prioeitário")</f>
        <v>Pendente e Caro</v>
      </c>
      <c r="H1388" s="89">
        <f>YEAR(Tabela1[[#This Row],[Data de Validade]])</f>
        <v>2026</v>
      </c>
      <c r="I1388" s="89">
        <f>MONTH(Tabela1[[#This Row],[Data de Validade]])</f>
        <v>9</v>
      </c>
      <c r="J1388" s="101">
        <v>101893</v>
      </c>
      <c r="K1388" s="87" t="s">
        <v>11</v>
      </c>
      <c r="L1388" s="108"/>
      <c r="M1388" s="108"/>
      <c r="N1388" s="108" t="str">
        <v>P791H994</v>
      </c>
      <c r="O1388" s="108">
        <f t="shared" si="23"/>
        <v>1</v>
      </c>
      <c r="P1388" s="108"/>
      <c r="Q1388"/>
    </row>
    <row r="1389" spans="1:17" x14ac:dyDescent="0.25">
      <c r="A1389" s="89" t="s">
        <v>8094</v>
      </c>
      <c r="B1389" s="87" t="s">
        <v>8095</v>
      </c>
      <c r="C1389" s="87" t="s">
        <v>12</v>
      </c>
      <c r="D1389" s="87" t="str">
        <f>VLOOKUP(Tabela1[[#This Row],[Origem]], 'Perguntas 1 a 24'!$J$28:$K$34, 2, 0)</f>
        <v>Sudeste</v>
      </c>
      <c r="E1389" s="87" t="str">
        <f>Tabela1[[#This Row],[Descrição]]&amp;"-"&amp;Tabela1[[#This Row],[Código]]&amp;"/"&amp;Tabela1[[#This Row],[Origem]]</f>
        <v>Mimopurite-P825H764/RJ</v>
      </c>
      <c r="F1389" s="88">
        <v>46279</v>
      </c>
      <c r="G1389" s="88" t="str" cm="1">
        <f t="array" ref="G13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AND(F1389&gt;= DATE(2026,1,1), F1389&lt;= DATE(2028, 12, 31), J1389&gt;50000), "Pendente e Caro", AND(F1389&gt;= DATE(2026,1,1), F1389&lt;= DATE(2028, 12, 31), J1389&lt;=50000), "Pendente", F1389&gt;= DATE(2029,1,1), "Não prioeitário")</f>
        <v>Pendente e Caro</v>
      </c>
      <c r="H1389" s="89">
        <f>YEAR(Tabela1[[#This Row],[Data de Validade]])</f>
        <v>2026</v>
      </c>
      <c r="I1389" s="89">
        <f>MONTH(Tabela1[[#This Row],[Data de Validade]])</f>
        <v>9</v>
      </c>
      <c r="J1389" s="101">
        <v>52148</v>
      </c>
      <c r="K1389" s="87" t="s">
        <v>14</v>
      </c>
      <c r="L1389" s="108"/>
      <c r="M1389" s="108"/>
      <c r="N1389" s="108" t="str">
        <v>P825H764</v>
      </c>
      <c r="O1389" s="108">
        <f t="shared" si="23"/>
        <v>1</v>
      </c>
      <c r="P1389" s="108"/>
      <c r="Q1389"/>
    </row>
    <row r="1390" spans="1:17" x14ac:dyDescent="0.25">
      <c r="A1390" s="89" t="s">
        <v>5950</v>
      </c>
      <c r="B1390" s="87" t="s">
        <v>5951</v>
      </c>
      <c r="C1390" s="87" t="s">
        <v>10</v>
      </c>
      <c r="D1390" s="87" t="str">
        <f>VLOOKUP(Tabela1[[#This Row],[Origem]], 'Perguntas 1 a 24'!$J$28:$K$34, 2, 0)</f>
        <v>Centro-Oeste</v>
      </c>
      <c r="E1390" s="87" t="str">
        <f>Tabela1[[#This Row],[Descrição]]&amp;"-"&amp;Tabela1[[#This Row],[Código]]&amp;"/"&amp;Tabela1[[#This Row],[Origem]]</f>
        <v>Lacepeta-H196P132/GO</v>
      </c>
      <c r="F1390" s="88">
        <v>46279</v>
      </c>
      <c r="G1390" s="88" t="str" cm="1">
        <f t="array" ref="G13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AND(F1390&gt;= DATE(2026,1,1), F1390&lt;= DATE(2028, 12, 31), J1390&gt;50000), "Pendente e Caro", AND(F1390&gt;= DATE(2026,1,1), F1390&lt;= DATE(2028, 12, 31), J1390&lt;=50000), "Pendente", F1390&gt;= DATE(2029,1,1), "Não prioeitário")</f>
        <v>Pendente</v>
      </c>
      <c r="H1390" s="89">
        <f>YEAR(Tabela1[[#This Row],[Data de Validade]])</f>
        <v>2026</v>
      </c>
      <c r="I1390" s="89">
        <f>MONTH(Tabela1[[#This Row],[Data de Validade]])</f>
        <v>9</v>
      </c>
      <c r="J1390" s="101">
        <v>23413</v>
      </c>
      <c r="K1390" s="87" t="s">
        <v>7</v>
      </c>
      <c r="L1390" s="108"/>
      <c r="M1390" s="108"/>
      <c r="N1390" s="108" t="str">
        <v>H196P132</v>
      </c>
      <c r="O1390" s="108">
        <f t="shared" si="23"/>
        <v>1</v>
      </c>
      <c r="P1390" s="108"/>
      <c r="Q1390"/>
    </row>
    <row r="1391" spans="1:17" x14ac:dyDescent="0.25">
      <c r="A1391" s="89" t="s">
        <v>10065</v>
      </c>
      <c r="B1391" s="87" t="s">
        <v>10066</v>
      </c>
      <c r="C1391" s="87" t="s">
        <v>16</v>
      </c>
      <c r="D1391" s="87" t="str">
        <f>VLOOKUP(Tabela1[[#This Row],[Origem]], 'Perguntas 1 a 24'!$J$28:$K$34, 2, 0)</f>
        <v>Sudeste</v>
      </c>
      <c r="E1391" s="87" t="str">
        <f>Tabela1[[#This Row],[Descrição]]&amp;"-"&amp;Tabela1[[#This Row],[Código]]&amp;"/"&amp;Tabela1[[#This Row],[Origem]]</f>
        <v>Gipirugodu-H999H161/MG</v>
      </c>
      <c r="F1391" s="88">
        <v>46281</v>
      </c>
      <c r="G1391" s="88" t="str" cm="1">
        <f t="array" ref="G13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AND(F1391&gt;= DATE(2026,1,1), F1391&lt;= DATE(2028, 12, 31), J1391&gt;50000), "Pendente e Caro", AND(F1391&gt;= DATE(2026,1,1), F1391&lt;= DATE(2028, 12, 31), J1391&lt;=50000), "Pendente", F1391&gt;= DATE(2029,1,1), "Não prioeitário")</f>
        <v>Pendente e Caro</v>
      </c>
      <c r="H1391" s="89">
        <f>YEAR(Tabela1[[#This Row],[Data de Validade]])</f>
        <v>2026</v>
      </c>
      <c r="I1391" s="89">
        <f>MONTH(Tabela1[[#This Row],[Data de Validade]])</f>
        <v>9</v>
      </c>
      <c r="J1391" s="101">
        <v>109384</v>
      </c>
      <c r="K1391" s="87" t="s">
        <v>14</v>
      </c>
      <c r="L1391" s="108"/>
      <c r="M1391" s="108"/>
      <c r="N1391" s="108" t="str">
        <v>H999H161</v>
      </c>
      <c r="O1391" s="108">
        <f t="shared" si="23"/>
        <v>1</v>
      </c>
      <c r="P1391" s="108"/>
      <c r="Q1391"/>
    </row>
    <row r="1392" spans="1:17" x14ac:dyDescent="0.25">
      <c r="A1392" s="89" t="s">
        <v>3932</v>
      </c>
      <c r="B1392" s="87" t="s">
        <v>3933</v>
      </c>
      <c r="C1392" s="87" t="s">
        <v>6</v>
      </c>
      <c r="D1392" s="87" t="str">
        <f>VLOOKUP(Tabela1[[#This Row],[Origem]], 'Perguntas 1 a 24'!$J$28:$K$34, 2, 0)</f>
        <v>Nordeste</v>
      </c>
      <c r="E1392" s="87" t="str">
        <f>Tabela1[[#This Row],[Descrição]]&amp;"-"&amp;Tabela1[[#This Row],[Código]]&amp;"/"&amp;Tabela1[[#This Row],[Origem]]</f>
        <v>Runite-P342H318/MA</v>
      </c>
      <c r="F1392" s="88">
        <v>46281</v>
      </c>
      <c r="G1392" s="88" t="str" cm="1">
        <f t="array" ref="G13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AND(F1392&gt;= DATE(2026,1,1), F1392&lt;= DATE(2028, 12, 31), J1392&gt;50000), "Pendente e Caro", AND(F1392&gt;= DATE(2026,1,1), F1392&lt;= DATE(2028, 12, 31), J1392&lt;=50000), "Pendente", F1392&gt;= DATE(2029,1,1), "Não prioeitário")</f>
        <v>Pendente e Caro</v>
      </c>
      <c r="H1392" s="89">
        <f>YEAR(Tabela1[[#This Row],[Data de Validade]])</f>
        <v>2026</v>
      </c>
      <c r="I1392" s="89">
        <f>MONTH(Tabela1[[#This Row],[Data de Validade]])</f>
        <v>9</v>
      </c>
      <c r="J1392" s="101">
        <v>102970</v>
      </c>
      <c r="K1392" s="87" t="s">
        <v>11</v>
      </c>
      <c r="L1392" s="108"/>
      <c r="M1392" s="108"/>
      <c r="N1392" s="108" t="str">
        <v>P342H318</v>
      </c>
      <c r="O1392" s="108">
        <f t="shared" si="23"/>
        <v>1</v>
      </c>
      <c r="P1392" s="108"/>
      <c r="Q1392"/>
    </row>
    <row r="1393" spans="1:17" x14ac:dyDescent="0.25">
      <c r="A1393" s="89" t="s">
        <v>4684</v>
      </c>
      <c r="B1393" s="87" t="s">
        <v>4685</v>
      </c>
      <c r="C1393" s="87" t="s">
        <v>8</v>
      </c>
      <c r="D1393" s="87" t="str">
        <f>VLOOKUP(Tabela1[[#This Row],[Origem]], 'Perguntas 1 a 24'!$J$28:$K$34, 2, 0)</f>
        <v>Nordeste</v>
      </c>
      <c r="E1393" s="87" t="str">
        <f>Tabela1[[#This Row],[Descrição]]&amp;"-"&amp;Tabela1[[#This Row],[Código]]&amp;"/"&amp;Tabela1[[#This Row],[Origem]]</f>
        <v>Ropiginu-P754H859/AL</v>
      </c>
      <c r="F1393" s="88">
        <v>46281</v>
      </c>
      <c r="G1393" s="88" t="str" cm="1">
        <f t="array" ref="G13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AND(F1393&gt;= DATE(2026,1,1), F1393&lt;= DATE(2028, 12, 31), J1393&gt;50000), "Pendente e Caro", AND(F1393&gt;= DATE(2026,1,1), F1393&lt;= DATE(2028, 12, 31), J1393&lt;=50000), "Pendente", F1393&gt;= DATE(2029,1,1), "Não prioeitário")</f>
        <v>Pendente e Caro</v>
      </c>
      <c r="H1393" s="89">
        <f>YEAR(Tabela1[[#This Row],[Data de Validade]])</f>
        <v>2026</v>
      </c>
      <c r="I1393" s="89">
        <f>MONTH(Tabela1[[#This Row],[Data de Validade]])</f>
        <v>9</v>
      </c>
      <c r="J1393" s="101">
        <v>73998</v>
      </c>
      <c r="K1393" s="87" t="s">
        <v>9</v>
      </c>
      <c r="L1393" s="108"/>
      <c r="M1393" s="108"/>
      <c r="N1393" s="108" t="str">
        <v>P754H859</v>
      </c>
      <c r="O1393" s="108">
        <f t="shared" si="23"/>
        <v>1</v>
      </c>
      <c r="P1393" s="108"/>
      <c r="Q1393"/>
    </row>
    <row r="1394" spans="1:17" x14ac:dyDescent="0.25">
      <c r="A1394" s="89" t="s">
        <v>5190</v>
      </c>
      <c r="B1394" s="87" t="s">
        <v>5191</v>
      </c>
      <c r="C1394" s="87" t="s">
        <v>16</v>
      </c>
      <c r="D1394" s="87" t="str">
        <f>VLOOKUP(Tabela1[[#This Row],[Origem]], 'Perguntas 1 a 24'!$J$28:$K$34, 2, 0)</f>
        <v>Sudeste</v>
      </c>
      <c r="E1394" s="87" t="str">
        <f>Tabela1[[#This Row],[Descrição]]&amp;"-"&amp;Tabela1[[#This Row],[Código]]&amp;"/"&amp;Tabela1[[#This Row],[Origem]]</f>
        <v>Nirefe-H625P674/MG</v>
      </c>
      <c r="F1394" s="88">
        <v>46281</v>
      </c>
      <c r="G1394" s="88" t="str" cm="1">
        <f t="array" ref="G13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AND(F1394&gt;= DATE(2026,1,1), F1394&lt;= DATE(2028, 12, 31), J1394&gt;50000), "Pendente e Caro", AND(F1394&gt;= DATE(2026,1,1), F1394&lt;= DATE(2028, 12, 31), J1394&lt;=50000), "Pendente", F1394&gt;= DATE(2029,1,1), "Não prioeitário")</f>
        <v>Pendente e Caro</v>
      </c>
      <c r="H1394" s="89">
        <f>YEAR(Tabela1[[#This Row],[Data de Validade]])</f>
        <v>2026</v>
      </c>
      <c r="I1394" s="89">
        <f>MONTH(Tabela1[[#This Row],[Data de Validade]])</f>
        <v>9</v>
      </c>
      <c r="J1394" s="101">
        <v>62722</v>
      </c>
      <c r="K1394" s="87" t="s">
        <v>7</v>
      </c>
      <c r="L1394" s="108"/>
      <c r="M1394" s="108"/>
      <c r="N1394" s="108" t="str">
        <v>H625P674</v>
      </c>
      <c r="O1394" s="108">
        <f t="shared" si="23"/>
        <v>1</v>
      </c>
      <c r="P1394" s="108"/>
      <c r="Q1394"/>
    </row>
    <row r="1395" spans="1:17" x14ac:dyDescent="0.25">
      <c r="A1395" s="89" t="s">
        <v>4608</v>
      </c>
      <c r="B1395" s="87" t="s">
        <v>4609</v>
      </c>
      <c r="C1395" s="87" t="s">
        <v>8</v>
      </c>
      <c r="D1395" s="87" t="str">
        <f>VLOOKUP(Tabela1[[#This Row],[Origem]], 'Perguntas 1 a 24'!$J$28:$K$34, 2, 0)</f>
        <v>Nordeste</v>
      </c>
      <c r="E1395" s="87" t="str">
        <f>Tabela1[[#This Row],[Descrição]]&amp;"-"&amp;Tabela1[[#This Row],[Código]]&amp;"/"&amp;Tabela1[[#This Row],[Origem]]</f>
        <v>Tivipomo-H367H118/AL</v>
      </c>
      <c r="F1395" s="88">
        <v>46281</v>
      </c>
      <c r="G1395" s="88" t="str" cm="1">
        <f t="array" ref="G13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AND(F1395&gt;= DATE(2026,1,1), F1395&lt;= DATE(2028, 12, 31), J1395&gt;50000), "Pendente e Caro", AND(F1395&gt;= DATE(2026,1,1), F1395&lt;= DATE(2028, 12, 31), J1395&lt;=50000), "Pendente", F1395&gt;= DATE(2029,1,1), "Não prioeitário")</f>
        <v>Pendente</v>
      </c>
      <c r="H1395" s="89">
        <f>YEAR(Tabela1[[#This Row],[Data de Validade]])</f>
        <v>2026</v>
      </c>
      <c r="I1395" s="89">
        <f>MONTH(Tabela1[[#This Row],[Data de Validade]])</f>
        <v>9</v>
      </c>
      <c r="J1395" s="101">
        <v>20563</v>
      </c>
      <c r="K1395" s="87" t="s">
        <v>14</v>
      </c>
      <c r="L1395" s="108"/>
      <c r="M1395" s="108"/>
      <c r="N1395" s="108" t="str">
        <v>H367H118</v>
      </c>
      <c r="O1395" s="108">
        <f t="shared" si="23"/>
        <v>1</v>
      </c>
      <c r="P1395" s="108"/>
      <c r="Q1395"/>
    </row>
    <row r="1396" spans="1:17" x14ac:dyDescent="0.25">
      <c r="A1396" s="89" t="s">
        <v>7562</v>
      </c>
      <c r="B1396" s="87" t="s">
        <v>7563</v>
      </c>
      <c r="C1396" s="87" t="s">
        <v>6</v>
      </c>
      <c r="D1396" s="87" t="str">
        <f>VLOOKUP(Tabela1[[#This Row],[Origem]], 'Perguntas 1 a 24'!$J$28:$K$34, 2, 0)</f>
        <v>Nordeste</v>
      </c>
      <c r="E1396" s="87" t="str">
        <f>Tabela1[[#This Row],[Descrição]]&amp;"-"&amp;Tabela1[[#This Row],[Código]]&amp;"/"&amp;Tabela1[[#This Row],[Origem]]</f>
        <v>Nutetafava-H358H871/MA</v>
      </c>
      <c r="F1396" s="88">
        <v>46283</v>
      </c>
      <c r="G1396" s="88" t="str" cm="1">
        <f t="array" ref="G13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AND(F1396&gt;= DATE(2026,1,1), F1396&lt;= DATE(2028, 12, 31), J1396&gt;50000), "Pendente e Caro", AND(F1396&gt;= DATE(2026,1,1), F1396&lt;= DATE(2028, 12, 31), J1396&lt;=50000), "Pendente", F1396&gt;= DATE(2029,1,1), "Não prioeitário")</f>
        <v>Pendente e Caro</v>
      </c>
      <c r="H1396" s="89">
        <f>YEAR(Tabela1[[#This Row],[Data de Validade]])</f>
        <v>2026</v>
      </c>
      <c r="I1396" s="89">
        <f>MONTH(Tabela1[[#This Row],[Data de Validade]])</f>
        <v>9</v>
      </c>
      <c r="J1396" s="101">
        <v>96474</v>
      </c>
      <c r="K1396" s="87" t="s">
        <v>9</v>
      </c>
      <c r="L1396" s="108"/>
      <c r="M1396" s="108"/>
      <c r="N1396" s="108" t="str">
        <v>H358H871</v>
      </c>
      <c r="O1396" s="108">
        <f t="shared" si="23"/>
        <v>1</v>
      </c>
      <c r="P1396" s="108"/>
      <c r="Q1396"/>
    </row>
    <row r="1397" spans="1:17" x14ac:dyDescent="0.25">
      <c r="A1397" s="89" t="s">
        <v>8196</v>
      </c>
      <c r="B1397" s="87" t="s">
        <v>8197</v>
      </c>
      <c r="C1397" s="87" t="s">
        <v>6</v>
      </c>
      <c r="D1397" s="87" t="str">
        <f>VLOOKUP(Tabela1[[#This Row],[Origem]], 'Perguntas 1 a 24'!$J$28:$K$34, 2, 0)</f>
        <v>Nordeste</v>
      </c>
      <c r="E1397" s="87" t="str">
        <f>Tabela1[[#This Row],[Descrição]]&amp;"-"&amp;Tabela1[[#This Row],[Código]]&amp;"/"&amp;Tabela1[[#This Row],[Origem]]</f>
        <v>Pevora-P156P922/MA</v>
      </c>
      <c r="F1397" s="88">
        <v>46284</v>
      </c>
      <c r="G1397" s="88" t="str" cm="1">
        <f t="array" ref="G13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AND(F1397&gt;= DATE(2026,1,1), F1397&lt;= DATE(2028, 12, 31), J1397&gt;50000), "Pendente e Caro", AND(F1397&gt;= DATE(2026,1,1), F1397&lt;= DATE(2028, 12, 31), J1397&lt;=50000), "Pendente", F1397&gt;= DATE(2029,1,1), "Não prioeitário")</f>
        <v>Pendente e Caro</v>
      </c>
      <c r="H1397" s="89">
        <f>YEAR(Tabela1[[#This Row],[Data de Validade]])</f>
        <v>2026</v>
      </c>
      <c r="I1397" s="89">
        <f>MONTH(Tabela1[[#This Row],[Data de Validade]])</f>
        <v>9</v>
      </c>
      <c r="J1397" s="101">
        <v>96442</v>
      </c>
      <c r="K1397" s="87" t="s">
        <v>9</v>
      </c>
      <c r="L1397" s="108"/>
      <c r="M1397" s="108"/>
      <c r="N1397" s="108" t="str">
        <v>P156P922</v>
      </c>
      <c r="O1397" s="108">
        <f t="shared" si="23"/>
        <v>1</v>
      </c>
      <c r="P1397" s="108"/>
      <c r="Q1397"/>
    </row>
    <row r="1398" spans="1:17" x14ac:dyDescent="0.25">
      <c r="A1398" s="89" t="s">
        <v>8837</v>
      </c>
      <c r="B1398" s="87" t="s">
        <v>8838</v>
      </c>
      <c r="C1398" s="87" t="s">
        <v>6</v>
      </c>
      <c r="D1398" s="87" t="str">
        <f>VLOOKUP(Tabela1[[#This Row],[Origem]], 'Perguntas 1 a 24'!$J$28:$K$34, 2, 0)</f>
        <v>Nordeste</v>
      </c>
      <c r="E1398" s="87" t="str">
        <f>Tabela1[[#This Row],[Descrição]]&amp;"-"&amp;Tabela1[[#This Row],[Código]]&amp;"/"&amp;Tabela1[[#This Row],[Origem]]</f>
        <v>Panavaro-H994H796/MA</v>
      </c>
      <c r="F1398" s="88">
        <v>46284</v>
      </c>
      <c r="G1398" s="88" t="str" cm="1">
        <f t="array" ref="G13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AND(F1398&gt;= DATE(2026,1,1), F1398&lt;= DATE(2028, 12, 31), J1398&gt;50000), "Pendente e Caro", AND(F1398&gt;= DATE(2026,1,1), F1398&lt;= DATE(2028, 12, 31), J1398&lt;=50000), "Pendente", F1398&gt;= DATE(2029,1,1), "Não prioeitário")</f>
        <v>Pendente</v>
      </c>
      <c r="H1398" s="89">
        <f>YEAR(Tabela1[[#This Row],[Data de Validade]])</f>
        <v>2026</v>
      </c>
      <c r="I1398" s="89">
        <f>MONTH(Tabela1[[#This Row],[Data de Validade]])</f>
        <v>9</v>
      </c>
      <c r="J1398" s="101">
        <v>22769</v>
      </c>
      <c r="K1398" s="87" t="s">
        <v>7</v>
      </c>
      <c r="L1398" s="108"/>
      <c r="M1398" s="108"/>
      <c r="N1398" s="108" t="str">
        <v>H994H796</v>
      </c>
      <c r="O1398" s="108">
        <f t="shared" si="23"/>
        <v>1</v>
      </c>
      <c r="P1398" s="108"/>
      <c r="Q1398"/>
    </row>
    <row r="1399" spans="1:17" x14ac:dyDescent="0.25">
      <c r="A1399" s="89" t="s">
        <v>9773</v>
      </c>
      <c r="B1399" s="87" t="s">
        <v>9774</v>
      </c>
      <c r="C1399" s="87" t="s">
        <v>8</v>
      </c>
      <c r="D1399" s="87" t="str">
        <f>VLOOKUP(Tabela1[[#This Row],[Origem]], 'Perguntas 1 a 24'!$J$28:$K$34, 2, 0)</f>
        <v>Nordeste</v>
      </c>
      <c r="E1399" s="87" t="str">
        <f>Tabela1[[#This Row],[Descrição]]&amp;"-"&amp;Tabela1[[#This Row],[Código]]&amp;"/"&amp;Tabela1[[#This Row],[Origem]]</f>
        <v>Dipegetu-P152P837/AL</v>
      </c>
      <c r="F1399" s="88">
        <v>46286</v>
      </c>
      <c r="G1399" s="88" t="str" cm="1">
        <f t="array" ref="G13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AND(F1399&gt;= DATE(2026,1,1), F1399&lt;= DATE(2028, 12, 31), J1399&gt;50000), "Pendente e Caro", AND(F1399&gt;= DATE(2026,1,1), F1399&lt;= DATE(2028, 12, 31), J1399&lt;=50000), "Pendente", F1399&gt;= DATE(2029,1,1), "Não prioeitário")</f>
        <v>Pendente e Caro</v>
      </c>
      <c r="H1399" s="89">
        <f>YEAR(Tabela1[[#This Row],[Data de Validade]])</f>
        <v>2026</v>
      </c>
      <c r="I1399" s="89">
        <f>MONTH(Tabela1[[#This Row],[Data de Validade]])</f>
        <v>9</v>
      </c>
      <c r="J1399" s="101">
        <v>57905</v>
      </c>
      <c r="K1399" s="87" t="s">
        <v>11</v>
      </c>
      <c r="L1399" s="108"/>
      <c r="M1399" s="108"/>
      <c r="N1399" s="108" t="str">
        <v>P152P837</v>
      </c>
      <c r="O1399" s="108">
        <f t="shared" si="23"/>
        <v>1</v>
      </c>
      <c r="P1399" s="108"/>
      <c r="Q1399"/>
    </row>
    <row r="1400" spans="1:17" x14ac:dyDescent="0.25">
      <c r="A1400" s="89" t="s">
        <v>9745</v>
      </c>
      <c r="B1400" s="87" t="s">
        <v>9746</v>
      </c>
      <c r="C1400" s="87" t="s">
        <v>16</v>
      </c>
      <c r="D1400" s="87" t="str">
        <f>VLOOKUP(Tabela1[[#This Row],[Origem]], 'Perguntas 1 a 24'!$J$28:$K$34, 2, 0)</f>
        <v>Sudeste</v>
      </c>
      <c r="E1400" s="87" t="str">
        <f>Tabela1[[#This Row],[Descrição]]&amp;"-"&amp;Tabela1[[#This Row],[Código]]&amp;"/"&amp;Tabela1[[#This Row],[Origem]]</f>
        <v>Covularacu-H379P777/MG</v>
      </c>
      <c r="F1400" s="88">
        <v>46287</v>
      </c>
      <c r="G1400" s="88" t="str" cm="1">
        <f t="array" ref="G14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AND(F1400&gt;= DATE(2026,1,1), F1400&lt;= DATE(2028, 12, 31), J1400&gt;50000), "Pendente e Caro", AND(F1400&gt;= DATE(2026,1,1), F1400&lt;= DATE(2028, 12, 31), J1400&lt;=50000), "Pendente", F1400&gt;= DATE(2029,1,1), "Não prioeitário")</f>
        <v>Pendente e Caro</v>
      </c>
      <c r="H1400" s="89">
        <f>YEAR(Tabela1[[#This Row],[Data de Validade]])</f>
        <v>2026</v>
      </c>
      <c r="I1400" s="89">
        <f>MONTH(Tabela1[[#This Row],[Data de Validade]])</f>
        <v>9</v>
      </c>
      <c r="J1400" s="101">
        <v>118558</v>
      </c>
      <c r="K1400" s="87" t="s">
        <v>7</v>
      </c>
      <c r="L1400" s="108"/>
      <c r="M1400" s="108"/>
      <c r="N1400" s="108" t="str">
        <v>H379P777</v>
      </c>
      <c r="O1400" s="108">
        <f t="shared" si="23"/>
        <v>1</v>
      </c>
      <c r="P1400" s="108"/>
      <c r="Q1400"/>
    </row>
    <row r="1401" spans="1:17" x14ac:dyDescent="0.25">
      <c r="A1401" s="89" t="s">
        <v>10819</v>
      </c>
      <c r="B1401" s="87" t="s">
        <v>10820</v>
      </c>
      <c r="C1401" s="87" t="s">
        <v>12</v>
      </c>
      <c r="D1401" s="87" t="str">
        <f>VLOOKUP(Tabela1[[#This Row],[Origem]], 'Perguntas 1 a 24'!$J$28:$K$34, 2, 0)</f>
        <v>Sudeste</v>
      </c>
      <c r="E1401" s="87" t="str">
        <f>Tabela1[[#This Row],[Descrição]]&amp;"-"&amp;Tabela1[[#This Row],[Código]]&amp;"/"&amp;Tabela1[[#This Row],[Origem]]</f>
        <v>Virici-H548P783/RJ</v>
      </c>
      <c r="F1401" s="88">
        <v>46288</v>
      </c>
      <c r="G1401" s="88" t="str" cm="1">
        <f t="array" ref="G14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AND(F1401&gt;= DATE(2026,1,1), F1401&lt;= DATE(2028, 12, 31), J1401&gt;50000), "Pendente e Caro", AND(F1401&gt;= DATE(2026,1,1), F1401&lt;= DATE(2028, 12, 31), J1401&lt;=50000), "Pendente", F1401&gt;= DATE(2029,1,1), "Não prioeitário")</f>
        <v>Pendente</v>
      </c>
      <c r="H1401" s="89">
        <f>YEAR(Tabela1[[#This Row],[Data de Validade]])</f>
        <v>2026</v>
      </c>
      <c r="I1401" s="89">
        <f>MONTH(Tabela1[[#This Row],[Data de Validade]])</f>
        <v>9</v>
      </c>
      <c r="J1401" s="101">
        <v>36051</v>
      </c>
      <c r="K1401" s="87" t="s">
        <v>7</v>
      </c>
      <c r="L1401" s="108"/>
      <c r="M1401" s="108"/>
      <c r="N1401" s="108" t="str">
        <v>H548P783</v>
      </c>
      <c r="O1401" s="108">
        <f t="shared" si="23"/>
        <v>1</v>
      </c>
      <c r="P1401" s="108"/>
      <c r="Q1401"/>
    </row>
    <row r="1402" spans="1:17" x14ac:dyDescent="0.25">
      <c r="A1402" s="89" t="s">
        <v>6786</v>
      </c>
      <c r="B1402" s="87" t="s">
        <v>6787</v>
      </c>
      <c r="C1402" s="87" t="s">
        <v>13</v>
      </c>
      <c r="D1402" s="87" t="str">
        <f>VLOOKUP(Tabela1[[#This Row],[Origem]], 'Perguntas 1 a 24'!$J$28:$K$34, 2, 0)</f>
        <v>Sudeste</v>
      </c>
      <c r="E1402" s="87" t="str">
        <f>Tabela1[[#This Row],[Descrição]]&amp;"-"&amp;Tabela1[[#This Row],[Código]]&amp;"/"&amp;Tabela1[[#This Row],[Origem]]</f>
        <v>Farano-P856P547/SP</v>
      </c>
      <c r="F1402" s="88">
        <v>46289</v>
      </c>
      <c r="G1402" s="88" t="str" cm="1">
        <f t="array" ref="G14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AND(F1402&gt;= DATE(2026,1,1), F1402&lt;= DATE(2028, 12, 31), J1402&gt;50000), "Pendente e Caro", AND(F1402&gt;= DATE(2026,1,1), F1402&lt;= DATE(2028, 12, 31), J1402&lt;=50000), "Pendente", F1402&gt;= DATE(2029,1,1), "Não prioeitário")</f>
        <v>Pendente e Caro</v>
      </c>
      <c r="H1402" s="89">
        <f>YEAR(Tabela1[[#This Row],[Data de Validade]])</f>
        <v>2026</v>
      </c>
      <c r="I1402" s="89">
        <f>MONTH(Tabela1[[#This Row],[Data de Validade]])</f>
        <v>9</v>
      </c>
      <c r="J1402" s="101">
        <v>81231</v>
      </c>
      <c r="K1402" s="87" t="s">
        <v>11</v>
      </c>
      <c r="L1402" s="108"/>
      <c r="M1402" s="108"/>
      <c r="N1402" s="108" t="str">
        <v>P856P547</v>
      </c>
      <c r="O1402" s="108">
        <f t="shared" si="23"/>
        <v>1</v>
      </c>
      <c r="P1402" s="108"/>
      <c r="Q1402"/>
    </row>
    <row r="1403" spans="1:17" x14ac:dyDescent="0.25">
      <c r="A1403" s="89" t="s">
        <v>5622</v>
      </c>
      <c r="B1403" s="87" t="s">
        <v>5623</v>
      </c>
      <c r="C1403" s="87" t="s">
        <v>15</v>
      </c>
      <c r="D1403" s="87" t="str">
        <f>VLOOKUP(Tabela1[[#This Row],[Origem]], 'Perguntas 1 a 24'!$J$28:$K$34, 2, 0)</f>
        <v>Sudeste</v>
      </c>
      <c r="E1403" s="87" t="str">
        <f>Tabela1[[#This Row],[Descrição]]&amp;"-"&amp;Tabela1[[#This Row],[Código]]&amp;"/"&amp;Tabela1[[#This Row],[Origem]]</f>
        <v>Gevimugepe-P139P598/ES</v>
      </c>
      <c r="F1403" s="88">
        <v>46289</v>
      </c>
      <c r="G1403" s="88" t="str" cm="1">
        <f t="array" ref="G14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AND(F1403&gt;= DATE(2026,1,1), F1403&lt;= DATE(2028, 12, 31), J1403&gt;50000), "Pendente e Caro", AND(F1403&gt;= DATE(2026,1,1), F1403&lt;= DATE(2028, 12, 31), J1403&lt;=50000), "Pendente", F1403&gt;= DATE(2029,1,1), "Não prioeitário")</f>
        <v>Pendente e Caro</v>
      </c>
      <c r="H1403" s="89">
        <f>YEAR(Tabela1[[#This Row],[Data de Validade]])</f>
        <v>2026</v>
      </c>
      <c r="I1403" s="89">
        <f>MONTH(Tabela1[[#This Row],[Data de Validade]])</f>
        <v>9</v>
      </c>
      <c r="J1403" s="101">
        <v>59923</v>
      </c>
      <c r="K1403" s="87" t="s">
        <v>11</v>
      </c>
      <c r="L1403" s="108"/>
      <c r="M1403" s="108"/>
      <c r="N1403" s="108" t="str">
        <v>P139P598</v>
      </c>
      <c r="O1403" s="108">
        <f t="shared" si="23"/>
        <v>1</v>
      </c>
      <c r="P1403" s="108"/>
      <c r="Q1403"/>
    </row>
    <row r="1404" spans="1:17" x14ac:dyDescent="0.25">
      <c r="A1404" s="89" t="s">
        <v>10479</v>
      </c>
      <c r="B1404" s="87" t="s">
        <v>10480</v>
      </c>
      <c r="C1404" s="87" t="s">
        <v>8</v>
      </c>
      <c r="D1404" s="87" t="str">
        <f>VLOOKUP(Tabela1[[#This Row],[Origem]], 'Perguntas 1 a 24'!$J$28:$K$34, 2, 0)</f>
        <v>Nordeste</v>
      </c>
      <c r="E1404" s="87" t="str">
        <f>Tabela1[[#This Row],[Descrição]]&amp;"-"&amp;Tabela1[[#This Row],[Código]]&amp;"/"&amp;Tabela1[[#This Row],[Origem]]</f>
        <v>Turido-P794P226/AL</v>
      </c>
      <c r="F1404" s="88">
        <v>46290</v>
      </c>
      <c r="G1404" s="88" t="str" cm="1">
        <f t="array" ref="G14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AND(F1404&gt;= DATE(2026,1,1), F1404&lt;= DATE(2028, 12, 31), J1404&gt;50000), "Pendente e Caro", AND(F1404&gt;= DATE(2026,1,1), F1404&lt;= DATE(2028, 12, 31), J1404&lt;=50000), "Pendente", F1404&gt;= DATE(2029,1,1), "Não prioeitário")</f>
        <v>Pendente e Caro</v>
      </c>
      <c r="H1404" s="89">
        <f>YEAR(Tabela1[[#This Row],[Data de Validade]])</f>
        <v>2026</v>
      </c>
      <c r="I1404" s="89">
        <f>MONTH(Tabela1[[#This Row],[Data de Validade]])</f>
        <v>9</v>
      </c>
      <c r="J1404" s="101">
        <v>73479</v>
      </c>
      <c r="K1404" s="87" t="s">
        <v>11</v>
      </c>
      <c r="L1404" s="108"/>
      <c r="M1404" s="108"/>
      <c r="N1404" s="108" t="str">
        <v>P794P226</v>
      </c>
      <c r="O1404" s="108">
        <f t="shared" si="23"/>
        <v>1</v>
      </c>
      <c r="P1404" s="108"/>
      <c r="Q1404"/>
    </row>
    <row r="1405" spans="1:17" x14ac:dyDescent="0.25">
      <c r="A1405" s="89" t="s">
        <v>4315</v>
      </c>
      <c r="B1405" s="87" t="s">
        <v>4316</v>
      </c>
      <c r="C1405" s="87" t="s">
        <v>12</v>
      </c>
      <c r="D1405" s="87" t="str">
        <f>VLOOKUP(Tabela1[[#This Row],[Origem]], 'Perguntas 1 a 24'!$J$28:$K$34, 2, 0)</f>
        <v>Sudeste</v>
      </c>
      <c r="E1405" s="87" t="str">
        <f>Tabela1[[#This Row],[Descrição]]&amp;"-"&amp;Tabela1[[#This Row],[Código]]&amp;"/"&amp;Tabela1[[#This Row],[Origem]]</f>
        <v>Tidogutupu-H777H534/RJ</v>
      </c>
      <c r="F1405" s="88">
        <v>46290</v>
      </c>
      <c r="G1405" s="88" t="str" cm="1">
        <f t="array" ref="G14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AND(F1405&gt;= DATE(2026,1,1), F1405&lt;= DATE(2028, 12, 31), J1405&gt;50000), "Pendente e Caro", AND(F1405&gt;= DATE(2026,1,1), F1405&lt;= DATE(2028, 12, 31), J1405&lt;=50000), "Pendente", F1405&gt;= DATE(2029,1,1), "Não prioeitário")</f>
        <v>Pendente e Caro</v>
      </c>
      <c r="H1405" s="89">
        <f>YEAR(Tabela1[[#This Row],[Data de Validade]])</f>
        <v>2026</v>
      </c>
      <c r="I1405" s="89">
        <f>MONTH(Tabela1[[#This Row],[Data de Validade]])</f>
        <v>9</v>
      </c>
      <c r="J1405" s="101">
        <v>52604</v>
      </c>
      <c r="K1405" s="87" t="s">
        <v>9</v>
      </c>
      <c r="L1405" s="108"/>
      <c r="M1405" s="108"/>
      <c r="N1405" s="108" t="str">
        <v>H777H534</v>
      </c>
      <c r="O1405" s="108">
        <f t="shared" si="23"/>
        <v>1</v>
      </c>
      <c r="P1405" s="108"/>
      <c r="Q1405"/>
    </row>
    <row r="1406" spans="1:17" x14ac:dyDescent="0.25">
      <c r="A1406" s="89" t="s">
        <v>11294</v>
      </c>
      <c r="B1406" s="87" t="s">
        <v>11295</v>
      </c>
      <c r="C1406" s="87" t="s">
        <v>16</v>
      </c>
      <c r="D1406" s="87" t="str">
        <f>VLOOKUP(Tabela1[[#This Row],[Origem]], 'Perguntas 1 a 24'!$J$28:$K$34, 2, 0)</f>
        <v>Sudeste</v>
      </c>
      <c r="E1406" s="87" t="str">
        <f>Tabela1[[#This Row],[Descrição]]&amp;"-"&amp;Tabela1[[#This Row],[Código]]&amp;"/"&amp;Tabela1[[#This Row],[Origem]]</f>
        <v>Goganaca-P731P581/MG</v>
      </c>
      <c r="F1406" s="88">
        <v>46291</v>
      </c>
      <c r="G1406" s="88" t="str" cm="1">
        <f t="array" ref="G14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AND(F1406&gt;= DATE(2026,1,1), F1406&lt;= DATE(2028, 12, 31), J1406&gt;50000), "Pendente e Caro", AND(F1406&gt;= DATE(2026,1,1), F1406&lt;= DATE(2028, 12, 31), J1406&lt;=50000), "Pendente", F1406&gt;= DATE(2029,1,1), "Não prioeitário")</f>
        <v>Pendente e Caro</v>
      </c>
      <c r="H1406" s="89">
        <f>YEAR(Tabela1[[#This Row],[Data de Validade]])</f>
        <v>2026</v>
      </c>
      <c r="I1406" s="89">
        <f>MONTH(Tabela1[[#This Row],[Data de Validade]])</f>
        <v>9</v>
      </c>
      <c r="J1406" s="101">
        <v>101870</v>
      </c>
      <c r="K1406" s="87" t="s">
        <v>9</v>
      </c>
      <c r="L1406" s="108"/>
      <c r="M1406" s="108"/>
      <c r="N1406" s="108" t="str">
        <v>P731P581</v>
      </c>
      <c r="O1406" s="108">
        <f t="shared" si="23"/>
        <v>1</v>
      </c>
      <c r="P1406" s="108"/>
      <c r="Q1406"/>
    </row>
    <row r="1407" spans="1:17" x14ac:dyDescent="0.25">
      <c r="A1407" s="89" t="s">
        <v>7968</v>
      </c>
      <c r="B1407" s="87" t="s">
        <v>7969</v>
      </c>
      <c r="C1407" s="87" t="s">
        <v>13</v>
      </c>
      <c r="D1407" s="87" t="str">
        <f>VLOOKUP(Tabela1[[#This Row],[Origem]], 'Perguntas 1 a 24'!$J$28:$K$34, 2, 0)</f>
        <v>Sudeste</v>
      </c>
      <c r="E1407" s="87" t="str">
        <f>Tabela1[[#This Row],[Descrição]]&amp;"-"&amp;Tabela1[[#This Row],[Código]]&amp;"/"&amp;Tabela1[[#This Row],[Origem]]</f>
        <v>Cagutoto-P117P671/SP</v>
      </c>
      <c r="F1407" s="88">
        <v>46291</v>
      </c>
      <c r="G1407" s="88" t="str" cm="1">
        <f t="array" ref="G14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AND(F1407&gt;= DATE(2026,1,1), F1407&lt;= DATE(2028, 12, 31), J1407&gt;50000), "Pendente e Caro", AND(F1407&gt;= DATE(2026,1,1), F1407&lt;= DATE(2028, 12, 31), J1407&lt;=50000), "Pendente", F1407&gt;= DATE(2029,1,1), "Não prioeitário")</f>
        <v>Pendente e Caro</v>
      </c>
      <c r="H1407" s="89">
        <f>YEAR(Tabela1[[#This Row],[Data de Validade]])</f>
        <v>2026</v>
      </c>
      <c r="I1407" s="89">
        <f>MONTH(Tabela1[[#This Row],[Data de Validade]])</f>
        <v>9</v>
      </c>
      <c r="J1407" s="101">
        <v>96554</v>
      </c>
      <c r="K1407" s="87" t="s">
        <v>7</v>
      </c>
      <c r="L1407" s="108"/>
      <c r="M1407" s="108"/>
      <c r="N1407" s="108" t="str">
        <v>P117P671</v>
      </c>
      <c r="O1407" s="108">
        <f t="shared" si="23"/>
        <v>1</v>
      </c>
      <c r="P1407" s="108"/>
      <c r="Q1407"/>
    </row>
    <row r="1408" spans="1:17" x14ac:dyDescent="0.25">
      <c r="A1408" s="89" t="s">
        <v>10325</v>
      </c>
      <c r="B1408" s="87" t="s">
        <v>10326</v>
      </c>
      <c r="C1408" s="87" t="s">
        <v>8</v>
      </c>
      <c r="D1408" s="87" t="str">
        <f>VLOOKUP(Tabela1[[#This Row],[Origem]], 'Perguntas 1 a 24'!$J$28:$K$34, 2, 0)</f>
        <v>Nordeste</v>
      </c>
      <c r="E1408" s="87" t="str">
        <f>Tabela1[[#This Row],[Descrição]]&amp;"-"&amp;Tabela1[[#This Row],[Código]]&amp;"/"&amp;Tabela1[[#This Row],[Origem]]</f>
        <v>Tagorutodi-H623P411/AL</v>
      </c>
      <c r="F1408" s="88">
        <v>46291</v>
      </c>
      <c r="G1408" s="88" t="str" cm="1">
        <f t="array" ref="G14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AND(F1408&gt;= DATE(2026,1,1), F1408&lt;= DATE(2028, 12, 31), J1408&gt;50000), "Pendente e Caro", AND(F1408&gt;= DATE(2026,1,1), F1408&lt;= DATE(2028, 12, 31), J1408&lt;=50000), "Pendente", F1408&gt;= DATE(2029,1,1), "Não prioeitário")</f>
        <v>Pendente e Caro</v>
      </c>
      <c r="H1408" s="89">
        <f>YEAR(Tabela1[[#This Row],[Data de Validade]])</f>
        <v>2026</v>
      </c>
      <c r="I1408" s="89">
        <f>MONTH(Tabela1[[#This Row],[Data de Validade]])</f>
        <v>9</v>
      </c>
      <c r="J1408" s="101">
        <v>54518</v>
      </c>
      <c r="K1408" s="87" t="s">
        <v>11</v>
      </c>
      <c r="L1408" s="108"/>
      <c r="M1408" s="108"/>
      <c r="N1408" s="108" t="str">
        <v>H623P411</v>
      </c>
      <c r="O1408" s="108">
        <f t="shared" si="23"/>
        <v>1</v>
      </c>
      <c r="P1408" s="108"/>
      <c r="Q1408"/>
    </row>
    <row r="1409" spans="1:17" x14ac:dyDescent="0.25">
      <c r="A1409" s="89" t="s">
        <v>10309</v>
      </c>
      <c r="B1409" s="87" t="s">
        <v>10310</v>
      </c>
      <c r="C1409" s="87" t="s">
        <v>6</v>
      </c>
      <c r="D1409" s="87" t="str">
        <f>VLOOKUP(Tabela1[[#This Row],[Origem]], 'Perguntas 1 a 24'!$J$28:$K$34, 2, 0)</f>
        <v>Nordeste</v>
      </c>
      <c r="E1409" s="87" t="str">
        <f>Tabela1[[#This Row],[Descrição]]&amp;"-"&amp;Tabela1[[#This Row],[Código]]&amp;"/"&amp;Tabela1[[#This Row],[Origem]]</f>
        <v>Vupoto-H432H259/MA</v>
      </c>
      <c r="F1409" s="88">
        <v>46291</v>
      </c>
      <c r="G1409" s="88" t="str" cm="1">
        <f t="array" ref="G14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AND(F1409&gt;= DATE(2026,1,1), F1409&lt;= DATE(2028, 12, 31), J1409&gt;50000), "Pendente e Caro", AND(F1409&gt;= DATE(2026,1,1), F1409&lt;= DATE(2028, 12, 31), J1409&lt;=50000), "Pendente", F1409&gt;= DATE(2029,1,1), "Não prioeitário")</f>
        <v>Pendente</v>
      </c>
      <c r="H1409" s="89">
        <f>YEAR(Tabela1[[#This Row],[Data de Validade]])</f>
        <v>2026</v>
      </c>
      <c r="I1409" s="89">
        <f>MONTH(Tabela1[[#This Row],[Data de Validade]])</f>
        <v>9</v>
      </c>
      <c r="J1409" s="101">
        <v>41866</v>
      </c>
      <c r="K1409" s="87" t="s">
        <v>7</v>
      </c>
      <c r="L1409" s="108"/>
      <c r="M1409" s="108"/>
      <c r="N1409" s="108" t="str">
        <v>H432H259</v>
      </c>
      <c r="O1409" s="108">
        <f t="shared" si="23"/>
        <v>1</v>
      </c>
      <c r="P1409" s="108"/>
      <c r="Q1409"/>
    </row>
    <row r="1410" spans="1:17" x14ac:dyDescent="0.25">
      <c r="A1410" s="89" t="s">
        <v>9291</v>
      </c>
      <c r="B1410" s="87" t="s">
        <v>9292</v>
      </c>
      <c r="C1410" s="87" t="s">
        <v>15</v>
      </c>
      <c r="D1410" s="87" t="str">
        <f>VLOOKUP(Tabela1[[#This Row],[Origem]], 'Perguntas 1 a 24'!$J$28:$K$34, 2, 0)</f>
        <v>Sudeste</v>
      </c>
      <c r="E1410" s="87" t="str">
        <f>Tabela1[[#This Row],[Descrição]]&amp;"-"&amp;Tabela1[[#This Row],[Código]]&amp;"/"&amp;Tabela1[[#This Row],[Origem]]</f>
        <v>Gitipeve-H717H943/ES</v>
      </c>
      <c r="F1410" s="88">
        <v>46292</v>
      </c>
      <c r="G1410" s="88" t="str" cm="1">
        <f t="array" ref="G14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AND(F1410&gt;= DATE(2026,1,1), F1410&lt;= DATE(2028, 12, 31), J1410&gt;50000), "Pendente e Caro", AND(F1410&gt;= DATE(2026,1,1), F1410&lt;= DATE(2028, 12, 31), J1410&lt;=50000), "Pendente", F1410&gt;= DATE(2029,1,1), "Não prioeitário")</f>
        <v>Pendente e Caro</v>
      </c>
      <c r="H1410" s="89">
        <f>YEAR(Tabela1[[#This Row],[Data de Validade]])</f>
        <v>2026</v>
      </c>
      <c r="I1410" s="89">
        <f>MONTH(Tabela1[[#This Row],[Data de Validade]])</f>
        <v>9</v>
      </c>
      <c r="J1410" s="101">
        <v>50089</v>
      </c>
      <c r="K1410" s="87" t="s">
        <v>7</v>
      </c>
      <c r="L1410" s="108"/>
      <c r="M1410" s="108"/>
      <c r="N1410" s="108" t="str">
        <v>H717H943</v>
      </c>
      <c r="O1410" s="108">
        <f t="shared" si="23"/>
        <v>1</v>
      </c>
      <c r="P1410" s="108"/>
      <c r="Q1410"/>
    </row>
    <row r="1411" spans="1:17" x14ac:dyDescent="0.25">
      <c r="A1411" s="89" t="s">
        <v>9361</v>
      </c>
      <c r="B1411" s="87" t="s">
        <v>9362</v>
      </c>
      <c r="C1411" s="87" t="s">
        <v>15</v>
      </c>
      <c r="D1411" s="87" t="str">
        <f>VLOOKUP(Tabela1[[#This Row],[Origem]], 'Perguntas 1 a 24'!$J$28:$K$34, 2, 0)</f>
        <v>Sudeste</v>
      </c>
      <c r="E1411" s="87" t="str">
        <f>Tabela1[[#This Row],[Descrição]]&amp;"-"&amp;Tabela1[[#This Row],[Código]]&amp;"/"&amp;Tabela1[[#This Row],[Origem]]</f>
        <v>Ropucifipe-H171H219/ES</v>
      </c>
      <c r="F1411" s="88">
        <v>46293</v>
      </c>
      <c r="G1411" s="88" t="str" cm="1">
        <f t="array" ref="G14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AND(F1411&gt;= DATE(2026,1,1), F1411&lt;= DATE(2028, 12, 31), J1411&gt;50000), "Pendente e Caro", AND(F1411&gt;= DATE(2026,1,1), F1411&lt;= DATE(2028, 12, 31), J1411&lt;=50000), "Pendente", F1411&gt;= DATE(2029,1,1), "Não prioeitário")</f>
        <v>Pendente e Caro</v>
      </c>
      <c r="H1411" s="89">
        <f>YEAR(Tabela1[[#This Row],[Data de Validade]])</f>
        <v>2026</v>
      </c>
      <c r="I1411" s="89">
        <f>MONTH(Tabela1[[#This Row],[Data de Validade]])</f>
        <v>9</v>
      </c>
      <c r="J1411" s="101">
        <v>111427</v>
      </c>
      <c r="K1411" s="87" t="s">
        <v>11</v>
      </c>
      <c r="L1411" s="108"/>
      <c r="M1411" s="108"/>
      <c r="N1411" s="108" t="str">
        <v>H171H219</v>
      </c>
      <c r="O1411" s="108">
        <f t="shared" ref="O1411:O1474" si="24">COUNTIFS(B:B,N1411)</f>
        <v>1</v>
      </c>
      <c r="P1411" s="108"/>
      <c r="Q1411"/>
    </row>
    <row r="1412" spans="1:17" x14ac:dyDescent="0.25">
      <c r="A1412" s="89" t="s">
        <v>4197</v>
      </c>
      <c r="B1412" s="87" t="s">
        <v>4198</v>
      </c>
      <c r="C1412" s="87" t="s">
        <v>16</v>
      </c>
      <c r="D1412" s="87" t="str">
        <f>VLOOKUP(Tabela1[[#This Row],[Origem]], 'Perguntas 1 a 24'!$J$28:$K$34, 2, 0)</f>
        <v>Sudeste</v>
      </c>
      <c r="E1412" s="87" t="str">
        <f>Tabela1[[#This Row],[Descrição]]&amp;"-"&amp;Tabela1[[#This Row],[Código]]&amp;"/"&amp;Tabela1[[#This Row],[Origem]]</f>
        <v>Dagila-P363H756/MG</v>
      </c>
      <c r="F1412" s="88">
        <v>46293</v>
      </c>
      <c r="G1412" s="88" t="str" cm="1">
        <f t="array" ref="G14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AND(F1412&gt;= DATE(2026,1,1), F1412&lt;= DATE(2028, 12, 31), J1412&gt;50000), "Pendente e Caro", AND(F1412&gt;= DATE(2026,1,1), F1412&lt;= DATE(2028, 12, 31), J1412&lt;=50000), "Pendente", F1412&gt;= DATE(2029,1,1), "Não prioeitário")</f>
        <v>Pendente e Caro</v>
      </c>
      <c r="H1412" s="89">
        <f>YEAR(Tabela1[[#This Row],[Data de Validade]])</f>
        <v>2026</v>
      </c>
      <c r="I1412" s="89">
        <f>MONTH(Tabela1[[#This Row],[Data de Validade]])</f>
        <v>9</v>
      </c>
      <c r="J1412" s="101">
        <v>92126</v>
      </c>
      <c r="K1412" s="87" t="s">
        <v>14</v>
      </c>
      <c r="L1412" s="108"/>
      <c r="M1412" s="108"/>
      <c r="N1412" s="108" t="str">
        <v>P363H756</v>
      </c>
      <c r="O1412" s="108">
        <f t="shared" si="24"/>
        <v>1</v>
      </c>
      <c r="P1412" s="108"/>
      <c r="Q1412"/>
    </row>
    <row r="1413" spans="1:17" x14ac:dyDescent="0.25">
      <c r="A1413" s="89" t="s">
        <v>7430</v>
      </c>
      <c r="B1413" s="87" t="s">
        <v>7431</v>
      </c>
      <c r="C1413" s="87" t="s">
        <v>10</v>
      </c>
      <c r="D1413" s="87" t="str">
        <f>VLOOKUP(Tabela1[[#This Row],[Origem]], 'Perguntas 1 a 24'!$J$28:$K$34, 2, 0)</f>
        <v>Centro-Oeste</v>
      </c>
      <c r="E1413" s="87" t="str">
        <f>Tabela1[[#This Row],[Descrição]]&amp;"-"&amp;Tabela1[[#This Row],[Código]]&amp;"/"&amp;Tabela1[[#This Row],[Origem]]</f>
        <v>Taceturu-H532H831/GO</v>
      </c>
      <c r="F1413" s="88">
        <v>46293</v>
      </c>
      <c r="G1413" s="88" t="str" cm="1">
        <f t="array" ref="G14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AND(F1413&gt;= DATE(2026,1,1), F1413&lt;= DATE(2028, 12, 31), J1413&gt;50000), "Pendente e Caro", AND(F1413&gt;= DATE(2026,1,1), F1413&lt;= DATE(2028, 12, 31), J1413&lt;=50000), "Pendente", F1413&gt;= DATE(2029,1,1), "Não prioeitário")</f>
        <v>Pendente</v>
      </c>
      <c r="H1413" s="89">
        <f>YEAR(Tabela1[[#This Row],[Data de Validade]])</f>
        <v>2026</v>
      </c>
      <c r="I1413" s="89">
        <f>MONTH(Tabela1[[#This Row],[Data de Validade]])</f>
        <v>9</v>
      </c>
      <c r="J1413" s="101">
        <v>39654</v>
      </c>
      <c r="K1413" s="87" t="s">
        <v>11</v>
      </c>
      <c r="L1413" s="108"/>
      <c r="M1413" s="108"/>
      <c r="N1413" s="108" t="str">
        <v>H532H831</v>
      </c>
      <c r="O1413" s="108">
        <f t="shared" si="24"/>
        <v>1</v>
      </c>
      <c r="P1413" s="108"/>
      <c r="Q1413"/>
    </row>
    <row r="1414" spans="1:17" x14ac:dyDescent="0.25">
      <c r="A1414" s="89" t="s">
        <v>6598</v>
      </c>
      <c r="B1414" s="87" t="s">
        <v>6599</v>
      </c>
      <c r="C1414" s="87" t="s">
        <v>16</v>
      </c>
      <c r="D1414" s="87" t="str">
        <f>VLOOKUP(Tabela1[[#This Row],[Origem]], 'Perguntas 1 a 24'!$J$28:$K$34, 2, 0)</f>
        <v>Sudeste</v>
      </c>
      <c r="E1414" s="87" t="str">
        <f>Tabela1[[#This Row],[Descrição]]&amp;"-"&amp;Tabela1[[#This Row],[Código]]&amp;"/"&amp;Tabela1[[#This Row],[Origem]]</f>
        <v>Pelopepe-H129P156/MG</v>
      </c>
      <c r="F1414" s="88">
        <v>46293</v>
      </c>
      <c r="G1414" s="88" t="str" cm="1">
        <f t="array" ref="G14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AND(F1414&gt;= DATE(2026,1,1), F1414&lt;= DATE(2028, 12, 31), J1414&gt;50000), "Pendente e Caro", AND(F1414&gt;= DATE(2026,1,1), F1414&lt;= DATE(2028, 12, 31), J1414&lt;=50000), "Pendente", F1414&gt;= DATE(2029,1,1), "Não prioeitário")</f>
        <v>Pendente</v>
      </c>
      <c r="H1414" s="89">
        <f>YEAR(Tabela1[[#This Row],[Data de Validade]])</f>
        <v>2026</v>
      </c>
      <c r="I1414" s="89">
        <f>MONTH(Tabela1[[#This Row],[Data de Validade]])</f>
        <v>9</v>
      </c>
      <c r="J1414" s="101">
        <v>22411</v>
      </c>
      <c r="K1414" s="87" t="s">
        <v>7</v>
      </c>
      <c r="L1414" s="108"/>
      <c r="M1414" s="108"/>
      <c r="N1414" s="108" t="str">
        <v>H129P156</v>
      </c>
      <c r="O1414" s="108">
        <f t="shared" si="24"/>
        <v>1</v>
      </c>
      <c r="P1414" s="108"/>
      <c r="Q1414"/>
    </row>
    <row r="1415" spans="1:17" x14ac:dyDescent="0.25">
      <c r="A1415" s="89" t="s">
        <v>5268</v>
      </c>
      <c r="B1415" s="87" t="s">
        <v>5269</v>
      </c>
      <c r="C1415" s="87" t="s">
        <v>13</v>
      </c>
      <c r="D1415" s="87" t="str">
        <f>VLOOKUP(Tabela1[[#This Row],[Origem]], 'Perguntas 1 a 24'!$J$28:$K$34, 2, 0)</f>
        <v>Sudeste</v>
      </c>
      <c r="E1415" s="87" t="str">
        <f>Tabela1[[#This Row],[Descrição]]&amp;"-"&amp;Tabela1[[#This Row],[Código]]&amp;"/"&amp;Tabela1[[#This Row],[Origem]]</f>
        <v>Filefa-H985P685/SP</v>
      </c>
      <c r="F1415" s="88">
        <v>46295</v>
      </c>
      <c r="G1415" s="88" t="str" cm="1">
        <f t="array" ref="G14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AND(F1415&gt;= DATE(2026,1,1), F1415&lt;= DATE(2028, 12, 31), J1415&gt;50000), "Pendente e Caro", AND(F1415&gt;= DATE(2026,1,1), F1415&lt;= DATE(2028, 12, 31), J1415&lt;=50000), "Pendente", F1415&gt;= DATE(2029,1,1), "Não prioeitário")</f>
        <v>Pendente</v>
      </c>
      <c r="H1415" s="89">
        <f>YEAR(Tabela1[[#This Row],[Data de Validade]])</f>
        <v>2026</v>
      </c>
      <c r="I1415" s="89">
        <f>MONTH(Tabela1[[#This Row],[Data de Validade]])</f>
        <v>9</v>
      </c>
      <c r="J1415" s="101">
        <v>44161</v>
      </c>
      <c r="K1415" s="87" t="s">
        <v>7</v>
      </c>
      <c r="L1415" s="108"/>
      <c r="M1415" s="108"/>
      <c r="N1415" s="108" t="str">
        <v>H985P685</v>
      </c>
      <c r="O1415" s="108">
        <f t="shared" si="24"/>
        <v>1</v>
      </c>
      <c r="P1415" s="108"/>
      <c r="Q1415"/>
    </row>
    <row r="1416" spans="1:17" x14ac:dyDescent="0.25">
      <c r="A1416" s="89" t="s">
        <v>3864</v>
      </c>
      <c r="B1416" s="87" t="s">
        <v>3865</v>
      </c>
      <c r="C1416" s="87" t="s">
        <v>15</v>
      </c>
      <c r="D1416" s="87" t="str">
        <f>VLOOKUP(Tabela1[[#This Row],[Origem]], 'Perguntas 1 a 24'!$J$28:$K$34, 2, 0)</f>
        <v>Sudeste</v>
      </c>
      <c r="E1416" s="87" t="str">
        <f>Tabela1[[#This Row],[Descrição]]&amp;"-"&amp;Tabela1[[#This Row],[Código]]&amp;"/"&amp;Tabela1[[#This Row],[Origem]]</f>
        <v>Dapufu-H528H692/ES</v>
      </c>
      <c r="F1416" s="88">
        <v>46295</v>
      </c>
      <c r="G1416" s="88" t="str" cm="1">
        <f t="array" ref="G14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AND(F1416&gt;= DATE(2026,1,1), F1416&lt;= DATE(2028, 12, 31), J1416&gt;50000), "Pendente e Caro", AND(F1416&gt;= DATE(2026,1,1), F1416&lt;= DATE(2028, 12, 31), J1416&lt;=50000), "Pendente", F1416&gt;= DATE(2029,1,1), "Não prioeitário")</f>
        <v>Pendente</v>
      </c>
      <c r="H1416" s="89">
        <f>YEAR(Tabela1[[#This Row],[Data de Validade]])</f>
        <v>2026</v>
      </c>
      <c r="I1416" s="89">
        <f>MONTH(Tabela1[[#This Row],[Data de Validade]])</f>
        <v>9</v>
      </c>
      <c r="J1416" s="101">
        <v>42833</v>
      </c>
      <c r="K1416" s="87" t="s">
        <v>11</v>
      </c>
      <c r="L1416" s="108"/>
      <c r="M1416" s="108"/>
      <c r="N1416" s="108" t="str">
        <v>H528H692</v>
      </c>
      <c r="O1416" s="108">
        <f t="shared" si="24"/>
        <v>1</v>
      </c>
      <c r="P1416" s="108"/>
      <c r="Q1416"/>
    </row>
    <row r="1417" spans="1:17" x14ac:dyDescent="0.25">
      <c r="A1417" s="89" t="s">
        <v>4265</v>
      </c>
      <c r="B1417" s="87" t="s">
        <v>4266</v>
      </c>
      <c r="C1417" s="87" t="s">
        <v>13</v>
      </c>
      <c r="D1417" s="87" t="str">
        <f>VLOOKUP(Tabela1[[#This Row],[Origem]], 'Perguntas 1 a 24'!$J$28:$K$34, 2, 0)</f>
        <v>Sudeste</v>
      </c>
      <c r="E1417" s="87" t="str">
        <f>Tabela1[[#This Row],[Descrição]]&amp;"-"&amp;Tabela1[[#This Row],[Código]]&amp;"/"&amp;Tabela1[[#This Row],[Origem]]</f>
        <v>Dugafupugi-H936H139/SP</v>
      </c>
      <c r="F1417" s="88">
        <v>46296</v>
      </c>
      <c r="G1417" s="88" t="str" cm="1">
        <f t="array" ref="G14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AND(F1417&gt;= DATE(2026,1,1), F1417&lt;= DATE(2028, 12, 31), J1417&gt;50000), "Pendente e Caro", AND(F1417&gt;= DATE(2026,1,1), F1417&lt;= DATE(2028, 12, 31), J1417&lt;=50000), "Pendente", F1417&gt;= DATE(2029,1,1), "Não prioeitário")</f>
        <v>Pendente e Caro</v>
      </c>
      <c r="H1417" s="89">
        <f>YEAR(Tabela1[[#This Row],[Data de Validade]])</f>
        <v>2026</v>
      </c>
      <c r="I1417" s="89">
        <f>MONTH(Tabela1[[#This Row],[Data de Validade]])</f>
        <v>10</v>
      </c>
      <c r="J1417" s="101">
        <v>97501</v>
      </c>
      <c r="K1417" s="87" t="s">
        <v>14</v>
      </c>
      <c r="L1417" s="108"/>
      <c r="M1417" s="108"/>
      <c r="N1417" s="108" t="str">
        <v>H936H139</v>
      </c>
      <c r="O1417" s="108">
        <f t="shared" si="24"/>
        <v>1</v>
      </c>
      <c r="P1417" s="108"/>
      <c r="Q1417"/>
    </row>
    <row r="1418" spans="1:17" x14ac:dyDescent="0.25">
      <c r="A1418" s="89" t="s">
        <v>10421</v>
      </c>
      <c r="B1418" s="87" t="s">
        <v>10422</v>
      </c>
      <c r="C1418" s="87" t="s">
        <v>13</v>
      </c>
      <c r="D1418" s="87" t="str">
        <f>VLOOKUP(Tabela1[[#This Row],[Origem]], 'Perguntas 1 a 24'!$J$28:$K$34, 2, 0)</f>
        <v>Sudeste</v>
      </c>
      <c r="E1418" s="87" t="str">
        <f>Tabela1[[#This Row],[Descrição]]&amp;"-"&amp;Tabela1[[#This Row],[Código]]&amp;"/"&amp;Tabela1[[#This Row],[Origem]]</f>
        <v>Catuna-H672P964/SP</v>
      </c>
      <c r="F1418" s="88">
        <v>46297</v>
      </c>
      <c r="G1418" s="88" t="str" cm="1">
        <f t="array" ref="G14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AND(F1418&gt;= DATE(2026,1,1), F1418&lt;= DATE(2028, 12, 31), J1418&gt;50000), "Pendente e Caro", AND(F1418&gt;= DATE(2026,1,1), F1418&lt;= DATE(2028, 12, 31), J1418&lt;=50000), "Pendente", F1418&gt;= DATE(2029,1,1), "Não prioeitário")</f>
        <v>Pendente e Caro</v>
      </c>
      <c r="H1418" s="89">
        <f>YEAR(Tabela1[[#This Row],[Data de Validade]])</f>
        <v>2026</v>
      </c>
      <c r="I1418" s="89">
        <f>MONTH(Tabela1[[#This Row],[Data de Validade]])</f>
        <v>10</v>
      </c>
      <c r="J1418" s="101">
        <v>113730</v>
      </c>
      <c r="K1418" s="87" t="s">
        <v>7</v>
      </c>
      <c r="L1418" s="108"/>
      <c r="M1418" s="108"/>
      <c r="N1418" s="108" t="str">
        <v>H672P964</v>
      </c>
      <c r="O1418" s="108">
        <f t="shared" si="24"/>
        <v>1</v>
      </c>
      <c r="P1418" s="108"/>
      <c r="Q1418"/>
    </row>
    <row r="1419" spans="1:17" x14ac:dyDescent="0.25">
      <c r="A1419" s="89" t="s">
        <v>4762</v>
      </c>
      <c r="B1419" s="87" t="s">
        <v>4763</v>
      </c>
      <c r="C1419" s="87" t="s">
        <v>6</v>
      </c>
      <c r="D1419" s="87" t="str">
        <f>VLOOKUP(Tabela1[[#This Row],[Origem]], 'Perguntas 1 a 24'!$J$28:$K$34, 2, 0)</f>
        <v>Nordeste</v>
      </c>
      <c r="E1419" s="87" t="str">
        <f>Tabela1[[#This Row],[Descrição]]&amp;"-"&amp;Tabela1[[#This Row],[Código]]&amp;"/"&amp;Tabela1[[#This Row],[Origem]]</f>
        <v>Rafugepa-P352P686/MA</v>
      </c>
      <c r="F1419" s="88">
        <v>46297</v>
      </c>
      <c r="G1419" s="88" t="str" cm="1">
        <f t="array" ref="G14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AND(F1419&gt;= DATE(2026,1,1), F1419&lt;= DATE(2028, 12, 31), J1419&gt;50000), "Pendente e Caro", AND(F1419&gt;= DATE(2026,1,1), F1419&lt;= DATE(2028, 12, 31), J1419&lt;=50000), "Pendente", F1419&gt;= DATE(2029,1,1), "Não prioeitário")</f>
        <v>Pendente e Caro</v>
      </c>
      <c r="H1419" s="89">
        <f>YEAR(Tabela1[[#This Row],[Data de Validade]])</f>
        <v>2026</v>
      </c>
      <c r="I1419" s="89">
        <f>MONTH(Tabela1[[#This Row],[Data de Validade]])</f>
        <v>10</v>
      </c>
      <c r="J1419" s="101">
        <v>82479</v>
      </c>
      <c r="K1419" s="87" t="s">
        <v>7</v>
      </c>
      <c r="L1419" s="108"/>
      <c r="M1419" s="108"/>
      <c r="N1419" s="108" t="str">
        <v>P352P686</v>
      </c>
      <c r="O1419" s="108">
        <f t="shared" si="24"/>
        <v>1</v>
      </c>
      <c r="P1419" s="108"/>
      <c r="Q1419"/>
    </row>
    <row r="1420" spans="1:17" x14ac:dyDescent="0.25">
      <c r="A1420" s="89" t="s">
        <v>7202</v>
      </c>
      <c r="B1420" s="87" t="s">
        <v>7203</v>
      </c>
      <c r="C1420" s="87" t="s">
        <v>13</v>
      </c>
      <c r="D1420" s="87" t="str">
        <f>VLOOKUP(Tabela1[[#This Row],[Origem]], 'Perguntas 1 a 24'!$J$28:$K$34, 2, 0)</f>
        <v>Sudeste</v>
      </c>
      <c r="E1420" s="87" t="str">
        <f>Tabela1[[#This Row],[Descrição]]&amp;"-"&amp;Tabela1[[#This Row],[Código]]&amp;"/"&amp;Tabela1[[#This Row],[Origem]]</f>
        <v>Focelide-P367P951/SP</v>
      </c>
      <c r="F1420" s="88">
        <v>46298</v>
      </c>
      <c r="G1420" s="88" t="str" cm="1">
        <f t="array" ref="G14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AND(F1420&gt;= DATE(2026,1,1), F1420&lt;= DATE(2028, 12, 31), J1420&gt;50000), "Pendente e Caro", AND(F1420&gt;= DATE(2026,1,1), F1420&lt;= DATE(2028, 12, 31), J1420&lt;=50000), "Pendente", F1420&gt;= DATE(2029,1,1), "Não prioeitário")</f>
        <v>Pendente e Caro</v>
      </c>
      <c r="H1420" s="89">
        <f>YEAR(Tabela1[[#This Row],[Data de Validade]])</f>
        <v>2026</v>
      </c>
      <c r="I1420" s="89">
        <f>MONTH(Tabela1[[#This Row],[Data de Validade]])</f>
        <v>10</v>
      </c>
      <c r="J1420" s="101">
        <v>83084</v>
      </c>
      <c r="K1420" s="87" t="s">
        <v>11</v>
      </c>
      <c r="L1420" s="108"/>
      <c r="M1420" s="108"/>
      <c r="N1420" s="108" t="str">
        <v>P367P951</v>
      </c>
      <c r="O1420" s="108">
        <f t="shared" si="24"/>
        <v>1</v>
      </c>
      <c r="P1420" s="108"/>
      <c r="Q1420"/>
    </row>
    <row r="1421" spans="1:17" x14ac:dyDescent="0.25">
      <c r="A1421" s="89" t="s">
        <v>4966</v>
      </c>
      <c r="B1421" s="87" t="s">
        <v>4967</v>
      </c>
      <c r="C1421" s="87" t="s">
        <v>8</v>
      </c>
      <c r="D1421" s="87" t="str">
        <f>VLOOKUP(Tabela1[[#This Row],[Origem]], 'Perguntas 1 a 24'!$J$28:$K$34, 2, 0)</f>
        <v>Nordeste</v>
      </c>
      <c r="E1421" s="87" t="str">
        <f>Tabela1[[#This Row],[Descrição]]&amp;"-"&amp;Tabela1[[#This Row],[Código]]&amp;"/"&amp;Tabela1[[#This Row],[Origem]]</f>
        <v>Gecefo-H486H939/AL</v>
      </c>
      <c r="F1421" s="88">
        <v>46298</v>
      </c>
      <c r="G1421" s="88" t="str" cm="1">
        <f t="array" ref="G14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AND(F1421&gt;= DATE(2026,1,1), F1421&lt;= DATE(2028, 12, 31), J1421&gt;50000), "Pendente e Caro", AND(F1421&gt;= DATE(2026,1,1), F1421&lt;= DATE(2028, 12, 31), J1421&lt;=50000), "Pendente", F1421&gt;= DATE(2029,1,1), "Não prioeitário")</f>
        <v>Pendente e Caro</v>
      </c>
      <c r="H1421" s="89">
        <f>YEAR(Tabela1[[#This Row],[Data de Validade]])</f>
        <v>2026</v>
      </c>
      <c r="I1421" s="89">
        <f>MONTH(Tabela1[[#This Row],[Data de Validade]])</f>
        <v>10</v>
      </c>
      <c r="J1421" s="101">
        <v>72403</v>
      </c>
      <c r="K1421" s="87" t="s">
        <v>11</v>
      </c>
      <c r="L1421" s="108"/>
      <c r="M1421" s="108"/>
      <c r="N1421" s="108" t="str">
        <v>H486H939</v>
      </c>
      <c r="O1421" s="108">
        <f t="shared" si="24"/>
        <v>1</v>
      </c>
      <c r="P1421" s="108"/>
      <c r="Q1421"/>
    </row>
    <row r="1422" spans="1:17" x14ac:dyDescent="0.25">
      <c r="A1422" s="89" t="s">
        <v>8683</v>
      </c>
      <c r="B1422" s="87" t="s">
        <v>8684</v>
      </c>
      <c r="C1422" s="87" t="s">
        <v>13</v>
      </c>
      <c r="D1422" s="87" t="str">
        <f>VLOOKUP(Tabela1[[#This Row],[Origem]], 'Perguntas 1 a 24'!$J$28:$K$34, 2, 0)</f>
        <v>Sudeste</v>
      </c>
      <c r="E1422" s="87" t="str">
        <f>Tabela1[[#This Row],[Descrição]]&amp;"-"&amp;Tabela1[[#This Row],[Código]]&amp;"/"&amp;Tabela1[[#This Row],[Origem]]</f>
        <v>Tipare-H775P913/SP</v>
      </c>
      <c r="F1422" s="88">
        <v>46302</v>
      </c>
      <c r="G1422" s="88" t="str" cm="1">
        <f t="array" ref="G14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AND(F1422&gt;= DATE(2026,1,1), F1422&lt;= DATE(2028, 12, 31), J1422&gt;50000), "Pendente e Caro", AND(F1422&gt;= DATE(2026,1,1), F1422&lt;= DATE(2028, 12, 31), J1422&lt;=50000), "Pendente", F1422&gt;= DATE(2029,1,1), "Não prioeitário")</f>
        <v>Pendente e Caro</v>
      </c>
      <c r="H1422" s="89">
        <f>YEAR(Tabela1[[#This Row],[Data de Validade]])</f>
        <v>2026</v>
      </c>
      <c r="I1422" s="89">
        <f>MONTH(Tabela1[[#This Row],[Data de Validade]])</f>
        <v>10</v>
      </c>
      <c r="J1422" s="101">
        <v>112360</v>
      </c>
      <c r="K1422" s="87" t="s">
        <v>7</v>
      </c>
      <c r="L1422" s="108"/>
      <c r="M1422" s="108"/>
      <c r="N1422" s="108" t="str">
        <v>H775P913</v>
      </c>
      <c r="O1422" s="108">
        <f t="shared" si="24"/>
        <v>1</v>
      </c>
      <c r="P1422" s="108"/>
      <c r="Q1422"/>
    </row>
    <row r="1423" spans="1:17" x14ac:dyDescent="0.25">
      <c r="A1423" s="89" t="s">
        <v>4538</v>
      </c>
      <c r="B1423" s="87" t="s">
        <v>4539</v>
      </c>
      <c r="C1423" s="87" t="s">
        <v>10</v>
      </c>
      <c r="D1423" s="87" t="str">
        <f>VLOOKUP(Tabela1[[#This Row],[Origem]], 'Perguntas 1 a 24'!$J$28:$K$34, 2, 0)</f>
        <v>Centro-Oeste</v>
      </c>
      <c r="E1423" s="87" t="str">
        <f>Tabela1[[#This Row],[Descrição]]&amp;"-"&amp;Tabela1[[#This Row],[Código]]&amp;"/"&amp;Tabela1[[#This Row],[Origem]]</f>
        <v>Lamiva-P526P779/GO</v>
      </c>
      <c r="F1423" s="88">
        <v>46302</v>
      </c>
      <c r="G1423" s="88" t="str" cm="1">
        <f t="array" ref="G14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AND(F1423&gt;= DATE(2026,1,1), F1423&lt;= DATE(2028, 12, 31), J1423&gt;50000), "Pendente e Caro", AND(F1423&gt;= DATE(2026,1,1), F1423&lt;= DATE(2028, 12, 31), J1423&lt;=50000), "Pendente", F1423&gt;= DATE(2029,1,1), "Não prioeitário")</f>
        <v>Pendente e Caro</v>
      </c>
      <c r="H1423" s="89">
        <f>YEAR(Tabela1[[#This Row],[Data de Validade]])</f>
        <v>2026</v>
      </c>
      <c r="I1423" s="89">
        <f>MONTH(Tabela1[[#This Row],[Data de Validade]])</f>
        <v>10</v>
      </c>
      <c r="J1423" s="101">
        <v>109080</v>
      </c>
      <c r="K1423" s="87" t="s">
        <v>14</v>
      </c>
      <c r="L1423" s="108"/>
      <c r="M1423" s="108"/>
      <c r="N1423" s="108" t="str">
        <v>P526P779</v>
      </c>
      <c r="O1423" s="108">
        <f t="shared" si="24"/>
        <v>1</v>
      </c>
      <c r="P1423" s="108"/>
      <c r="Q1423"/>
    </row>
    <row r="1424" spans="1:17" x14ac:dyDescent="0.25">
      <c r="A1424" s="89" t="s">
        <v>6514</v>
      </c>
      <c r="B1424" s="87" t="s">
        <v>6515</v>
      </c>
      <c r="C1424" s="87" t="s">
        <v>13</v>
      </c>
      <c r="D1424" s="87" t="str">
        <f>VLOOKUP(Tabela1[[#This Row],[Origem]], 'Perguntas 1 a 24'!$J$28:$K$34, 2, 0)</f>
        <v>Sudeste</v>
      </c>
      <c r="E1424" s="87" t="str">
        <f>Tabela1[[#This Row],[Descrição]]&amp;"-"&amp;Tabela1[[#This Row],[Código]]&amp;"/"&amp;Tabela1[[#This Row],[Origem]]</f>
        <v>Toledapira-H817P115/SP</v>
      </c>
      <c r="F1424" s="88">
        <v>46303</v>
      </c>
      <c r="G1424" s="88" t="str" cm="1">
        <f t="array" ref="G14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AND(F1424&gt;= DATE(2026,1,1), F1424&lt;= DATE(2028, 12, 31), J1424&gt;50000), "Pendente e Caro", AND(F1424&gt;= DATE(2026,1,1), F1424&lt;= DATE(2028, 12, 31), J1424&lt;=50000), "Pendente", F1424&gt;= DATE(2029,1,1), "Não prioeitário")</f>
        <v>Pendente e Caro</v>
      </c>
      <c r="H1424" s="89">
        <f>YEAR(Tabela1[[#This Row],[Data de Validade]])</f>
        <v>2026</v>
      </c>
      <c r="I1424" s="89">
        <f>MONTH(Tabela1[[#This Row],[Data de Validade]])</f>
        <v>10</v>
      </c>
      <c r="J1424" s="101">
        <v>111946</v>
      </c>
      <c r="K1424" s="87" t="s">
        <v>7</v>
      </c>
      <c r="L1424" s="108"/>
      <c r="M1424" s="108"/>
      <c r="N1424" s="108" t="str">
        <v>H817P115</v>
      </c>
      <c r="O1424" s="108">
        <f t="shared" si="24"/>
        <v>1</v>
      </c>
      <c r="P1424" s="108"/>
      <c r="Q1424"/>
    </row>
    <row r="1425" spans="1:17" x14ac:dyDescent="0.25">
      <c r="A1425" s="89" t="s">
        <v>9577</v>
      </c>
      <c r="B1425" s="87" t="s">
        <v>9578</v>
      </c>
      <c r="C1425" s="87" t="s">
        <v>8</v>
      </c>
      <c r="D1425" s="87" t="str">
        <f>VLOOKUP(Tabela1[[#This Row],[Origem]], 'Perguntas 1 a 24'!$J$28:$K$34, 2, 0)</f>
        <v>Nordeste</v>
      </c>
      <c r="E1425" s="87" t="str">
        <f>Tabela1[[#This Row],[Descrição]]&amp;"-"&amp;Tabela1[[#This Row],[Código]]&amp;"/"&amp;Tabela1[[#This Row],[Origem]]</f>
        <v>Numupugare-P963H837/AL</v>
      </c>
      <c r="F1425" s="88">
        <v>46304</v>
      </c>
      <c r="G1425" s="88" t="str" cm="1">
        <f t="array" ref="G14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AND(F1425&gt;= DATE(2026,1,1), F1425&lt;= DATE(2028, 12, 31), J1425&gt;50000), "Pendente e Caro", AND(F1425&gt;= DATE(2026,1,1), F1425&lt;= DATE(2028, 12, 31), J1425&lt;=50000), "Pendente", F1425&gt;= DATE(2029,1,1), "Não prioeitário")</f>
        <v>Pendente e Caro</v>
      </c>
      <c r="H1425" s="89">
        <f>YEAR(Tabela1[[#This Row],[Data de Validade]])</f>
        <v>2026</v>
      </c>
      <c r="I1425" s="89">
        <f>MONTH(Tabela1[[#This Row],[Data de Validade]])</f>
        <v>10</v>
      </c>
      <c r="J1425" s="101">
        <v>119188</v>
      </c>
      <c r="K1425" s="87" t="s">
        <v>11</v>
      </c>
      <c r="L1425" s="108"/>
      <c r="M1425" s="108"/>
      <c r="N1425" s="108" t="str">
        <v>P963H837</v>
      </c>
      <c r="O1425" s="108">
        <f t="shared" si="24"/>
        <v>1</v>
      </c>
      <c r="P1425" s="108"/>
      <c r="Q1425"/>
    </row>
    <row r="1426" spans="1:17" x14ac:dyDescent="0.25">
      <c r="A1426" s="89" t="s">
        <v>10581</v>
      </c>
      <c r="B1426" s="87" t="s">
        <v>10582</v>
      </c>
      <c r="C1426" s="87" t="s">
        <v>12</v>
      </c>
      <c r="D1426" s="87" t="str">
        <f>VLOOKUP(Tabela1[[#This Row],[Origem]], 'Perguntas 1 a 24'!$J$28:$K$34, 2, 0)</f>
        <v>Sudeste</v>
      </c>
      <c r="E1426" s="87" t="str">
        <f>Tabela1[[#This Row],[Descrição]]&amp;"-"&amp;Tabela1[[#This Row],[Código]]&amp;"/"&amp;Tabela1[[#This Row],[Origem]]</f>
        <v>Pepinireva-H233H424/RJ</v>
      </c>
      <c r="F1426" s="88">
        <v>46304</v>
      </c>
      <c r="G1426" s="88" t="str" cm="1">
        <f t="array" ref="G14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AND(F1426&gt;= DATE(2026,1,1), F1426&lt;= DATE(2028, 12, 31), J1426&gt;50000), "Pendente e Caro", AND(F1426&gt;= DATE(2026,1,1), F1426&lt;= DATE(2028, 12, 31), J1426&lt;=50000), "Pendente", F1426&gt;= DATE(2029,1,1), "Não prioeitário")</f>
        <v>Pendente</v>
      </c>
      <c r="H1426" s="89">
        <f>YEAR(Tabela1[[#This Row],[Data de Validade]])</f>
        <v>2026</v>
      </c>
      <c r="I1426" s="89">
        <f>MONTH(Tabela1[[#This Row],[Data de Validade]])</f>
        <v>10</v>
      </c>
      <c r="J1426" s="101">
        <v>49315</v>
      </c>
      <c r="K1426" s="87" t="s">
        <v>11</v>
      </c>
      <c r="L1426" s="108"/>
      <c r="M1426" s="108"/>
      <c r="N1426" s="108" t="str">
        <v>H233H424</v>
      </c>
      <c r="O1426" s="108">
        <f t="shared" si="24"/>
        <v>1</v>
      </c>
      <c r="P1426" s="108"/>
      <c r="Q1426"/>
    </row>
    <row r="1427" spans="1:17" x14ac:dyDescent="0.25">
      <c r="A1427" s="89" t="s">
        <v>5678</v>
      </c>
      <c r="B1427" s="87" t="s">
        <v>5679</v>
      </c>
      <c r="C1427" s="87" t="s">
        <v>6</v>
      </c>
      <c r="D1427" s="87" t="str">
        <f>VLOOKUP(Tabela1[[#This Row],[Origem]], 'Perguntas 1 a 24'!$J$28:$K$34, 2, 0)</f>
        <v>Nordeste</v>
      </c>
      <c r="E1427" s="87" t="str">
        <f>Tabela1[[#This Row],[Descrição]]&amp;"-"&amp;Tabela1[[#This Row],[Código]]&amp;"/"&amp;Tabela1[[#This Row],[Origem]]</f>
        <v>Dopemedero-P933H836/MA</v>
      </c>
      <c r="F1427" s="88">
        <v>46307</v>
      </c>
      <c r="G1427" s="88" t="str" cm="1">
        <f t="array" ref="G14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AND(F1427&gt;= DATE(2026,1,1), F1427&lt;= DATE(2028, 12, 31), J1427&gt;50000), "Pendente e Caro", AND(F1427&gt;= DATE(2026,1,1), F1427&lt;= DATE(2028, 12, 31), J1427&lt;=50000), "Pendente", F1427&gt;= DATE(2029,1,1), "Não prioeitário")</f>
        <v>Pendente e Caro</v>
      </c>
      <c r="H1427" s="89">
        <f>YEAR(Tabela1[[#This Row],[Data de Validade]])</f>
        <v>2026</v>
      </c>
      <c r="I1427" s="89">
        <f>MONTH(Tabela1[[#This Row],[Data de Validade]])</f>
        <v>10</v>
      </c>
      <c r="J1427" s="101">
        <v>90478</v>
      </c>
      <c r="K1427" s="87" t="s">
        <v>11</v>
      </c>
      <c r="L1427" s="108"/>
      <c r="M1427" s="108"/>
      <c r="N1427" s="108" t="str">
        <v>P933H836</v>
      </c>
      <c r="O1427" s="108">
        <f t="shared" si="24"/>
        <v>1</v>
      </c>
      <c r="P1427" s="108"/>
      <c r="Q1427"/>
    </row>
    <row r="1428" spans="1:17" x14ac:dyDescent="0.25">
      <c r="A1428" s="89" t="s">
        <v>7982</v>
      </c>
      <c r="B1428" s="87" t="s">
        <v>7983</v>
      </c>
      <c r="C1428" s="87" t="s">
        <v>16</v>
      </c>
      <c r="D1428" s="87" t="str">
        <f>VLOOKUP(Tabela1[[#This Row],[Origem]], 'Perguntas 1 a 24'!$J$28:$K$34, 2, 0)</f>
        <v>Sudeste</v>
      </c>
      <c r="E1428" s="87" t="str">
        <f>Tabela1[[#This Row],[Descrição]]&amp;"-"&amp;Tabela1[[#This Row],[Código]]&amp;"/"&amp;Tabela1[[#This Row],[Origem]]</f>
        <v>Gatale-H181P646/MG</v>
      </c>
      <c r="F1428" s="88">
        <v>46307</v>
      </c>
      <c r="G1428" s="88" t="str" cm="1">
        <f t="array" ref="G14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AND(F1428&gt;= DATE(2026,1,1), F1428&lt;= DATE(2028, 12, 31), J1428&gt;50000), "Pendente e Caro", AND(F1428&gt;= DATE(2026,1,1), F1428&lt;= DATE(2028, 12, 31), J1428&lt;=50000), "Pendente", F1428&gt;= DATE(2029,1,1), "Não prioeitário")</f>
        <v>Pendente</v>
      </c>
      <c r="H1428" s="89">
        <f>YEAR(Tabela1[[#This Row],[Data de Validade]])</f>
        <v>2026</v>
      </c>
      <c r="I1428" s="89">
        <f>MONTH(Tabela1[[#This Row],[Data de Validade]])</f>
        <v>10</v>
      </c>
      <c r="J1428" s="101">
        <v>45588</v>
      </c>
      <c r="K1428" s="87" t="s">
        <v>9</v>
      </c>
      <c r="L1428" s="108"/>
      <c r="M1428" s="108"/>
      <c r="N1428" s="108" t="str">
        <v>H181P646</v>
      </c>
      <c r="O1428" s="108">
        <f t="shared" si="24"/>
        <v>1</v>
      </c>
      <c r="P1428" s="108"/>
      <c r="Q1428"/>
    </row>
    <row r="1429" spans="1:17" x14ac:dyDescent="0.25">
      <c r="A1429" s="89" t="s">
        <v>6292</v>
      </c>
      <c r="B1429" s="87" t="s">
        <v>6293</v>
      </c>
      <c r="C1429" s="87" t="s">
        <v>13</v>
      </c>
      <c r="D1429" s="87" t="str">
        <f>VLOOKUP(Tabela1[[#This Row],[Origem]], 'Perguntas 1 a 24'!$J$28:$K$34, 2, 0)</f>
        <v>Sudeste</v>
      </c>
      <c r="E1429" s="87" t="str">
        <f>Tabela1[[#This Row],[Descrição]]&amp;"-"&amp;Tabela1[[#This Row],[Código]]&amp;"/"&amp;Tabela1[[#This Row],[Origem]]</f>
        <v>Petitode-H119P473/SP</v>
      </c>
      <c r="F1429" s="88">
        <v>46309</v>
      </c>
      <c r="G1429" s="88" t="str" cm="1">
        <f t="array" ref="G14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AND(F1429&gt;= DATE(2026,1,1), F1429&lt;= DATE(2028, 12, 31), J1429&gt;50000), "Pendente e Caro", AND(F1429&gt;= DATE(2026,1,1), F1429&lt;= DATE(2028, 12, 31), J1429&lt;=50000), "Pendente", F1429&gt;= DATE(2029,1,1), "Não prioeitário")</f>
        <v>Pendente e Caro</v>
      </c>
      <c r="H1429" s="89">
        <f>YEAR(Tabela1[[#This Row],[Data de Validade]])</f>
        <v>2026</v>
      </c>
      <c r="I1429" s="89">
        <f>MONTH(Tabela1[[#This Row],[Data de Validade]])</f>
        <v>10</v>
      </c>
      <c r="J1429" s="101">
        <v>119901</v>
      </c>
      <c r="K1429" s="87" t="s">
        <v>9</v>
      </c>
      <c r="L1429" s="108"/>
      <c r="M1429" s="108"/>
      <c r="N1429" s="108" t="str">
        <v>H119P473</v>
      </c>
      <c r="O1429" s="108">
        <f t="shared" si="24"/>
        <v>1</v>
      </c>
      <c r="P1429" s="108"/>
      <c r="Q1429"/>
    </row>
    <row r="1430" spans="1:17" x14ac:dyDescent="0.25">
      <c r="A1430" s="89" t="s">
        <v>10073</v>
      </c>
      <c r="B1430" s="87" t="s">
        <v>10074</v>
      </c>
      <c r="C1430" s="87" t="s">
        <v>12</v>
      </c>
      <c r="D1430" s="87" t="str">
        <f>VLOOKUP(Tabela1[[#This Row],[Origem]], 'Perguntas 1 a 24'!$J$28:$K$34, 2, 0)</f>
        <v>Sudeste</v>
      </c>
      <c r="E1430" s="87" t="str">
        <f>Tabela1[[#This Row],[Descrição]]&amp;"-"&amp;Tabela1[[#This Row],[Código]]&amp;"/"&amp;Tabela1[[#This Row],[Origem]]</f>
        <v>Patupagere-P571H242/RJ</v>
      </c>
      <c r="F1430" s="88">
        <v>46309</v>
      </c>
      <c r="G1430" s="88" t="str" cm="1">
        <f t="array" ref="G14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AND(F1430&gt;= DATE(2026,1,1), F1430&lt;= DATE(2028, 12, 31), J1430&gt;50000), "Pendente e Caro", AND(F1430&gt;= DATE(2026,1,1), F1430&lt;= DATE(2028, 12, 31), J1430&lt;=50000), "Pendente", F1430&gt;= DATE(2029,1,1), "Não prioeitário")</f>
        <v>Pendente e Caro</v>
      </c>
      <c r="H1430" s="89">
        <f>YEAR(Tabela1[[#This Row],[Data de Validade]])</f>
        <v>2026</v>
      </c>
      <c r="I1430" s="89">
        <f>MONTH(Tabela1[[#This Row],[Data de Validade]])</f>
        <v>10</v>
      </c>
      <c r="J1430" s="101">
        <v>105084</v>
      </c>
      <c r="K1430" s="87" t="s">
        <v>7</v>
      </c>
      <c r="L1430" s="108"/>
      <c r="M1430" s="108"/>
      <c r="N1430" s="108" t="str">
        <v>P571H242</v>
      </c>
      <c r="O1430" s="108">
        <f t="shared" si="24"/>
        <v>1</v>
      </c>
      <c r="P1430" s="108"/>
      <c r="Q1430"/>
    </row>
    <row r="1431" spans="1:17" x14ac:dyDescent="0.25">
      <c r="A1431" s="89" t="s">
        <v>5238</v>
      </c>
      <c r="B1431" s="87" t="s">
        <v>5239</v>
      </c>
      <c r="C1431" s="87" t="s">
        <v>15</v>
      </c>
      <c r="D1431" s="87" t="str">
        <f>VLOOKUP(Tabela1[[#This Row],[Origem]], 'Perguntas 1 a 24'!$J$28:$K$34, 2, 0)</f>
        <v>Sudeste</v>
      </c>
      <c r="E1431" s="87" t="str">
        <f>Tabela1[[#This Row],[Descrição]]&amp;"-"&amp;Tabela1[[#This Row],[Código]]&amp;"/"&amp;Tabela1[[#This Row],[Origem]]</f>
        <v>Diporare-P494H522/ES</v>
      </c>
      <c r="F1431" s="88">
        <v>46309</v>
      </c>
      <c r="G1431" s="88" t="str" cm="1">
        <f t="array" ref="G14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AND(F1431&gt;= DATE(2026,1,1), F1431&lt;= DATE(2028, 12, 31), J1431&gt;50000), "Pendente e Caro", AND(F1431&gt;= DATE(2026,1,1), F1431&lt;= DATE(2028, 12, 31), J1431&lt;=50000), "Pendente", F1431&gt;= DATE(2029,1,1), "Não prioeitário")</f>
        <v>Pendente e Caro</v>
      </c>
      <c r="H1431" s="89">
        <f>YEAR(Tabela1[[#This Row],[Data de Validade]])</f>
        <v>2026</v>
      </c>
      <c r="I1431" s="89">
        <f>MONTH(Tabela1[[#This Row],[Data de Validade]])</f>
        <v>10</v>
      </c>
      <c r="J1431" s="101">
        <v>52611</v>
      </c>
      <c r="K1431" s="87" t="s">
        <v>9</v>
      </c>
      <c r="L1431" s="108"/>
      <c r="M1431" s="108"/>
      <c r="N1431" s="108" t="str">
        <v>P494H522</v>
      </c>
      <c r="O1431" s="108">
        <f t="shared" si="24"/>
        <v>1</v>
      </c>
      <c r="P1431" s="108"/>
      <c r="Q1431"/>
    </row>
    <row r="1432" spans="1:17" x14ac:dyDescent="0.25">
      <c r="A1432" s="89" t="s">
        <v>8891</v>
      </c>
      <c r="B1432" s="87" t="s">
        <v>8892</v>
      </c>
      <c r="C1432" s="87" t="s">
        <v>16</v>
      </c>
      <c r="D1432" s="87" t="str">
        <f>VLOOKUP(Tabela1[[#This Row],[Origem]], 'Perguntas 1 a 24'!$J$28:$K$34, 2, 0)</f>
        <v>Sudeste</v>
      </c>
      <c r="E1432" s="87" t="str">
        <f>Tabela1[[#This Row],[Descrição]]&amp;"-"&amp;Tabela1[[#This Row],[Código]]&amp;"/"&amp;Tabela1[[#This Row],[Origem]]</f>
        <v>Tevulurupo-H572P593/MG</v>
      </c>
      <c r="F1432" s="88">
        <v>46310</v>
      </c>
      <c r="G1432" s="88" t="str" cm="1">
        <f t="array" ref="G14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AND(F1432&gt;= DATE(2026,1,1), F1432&lt;= DATE(2028, 12, 31), J1432&gt;50000), "Pendente e Caro", AND(F1432&gt;= DATE(2026,1,1), F1432&lt;= DATE(2028, 12, 31), J1432&lt;=50000), "Pendente", F1432&gt;= DATE(2029,1,1), "Não prioeitário")</f>
        <v>Pendente e Caro</v>
      </c>
      <c r="H1432" s="89">
        <f>YEAR(Tabela1[[#This Row],[Data de Validade]])</f>
        <v>2026</v>
      </c>
      <c r="I1432" s="89">
        <f>MONTH(Tabela1[[#This Row],[Data de Validade]])</f>
        <v>10</v>
      </c>
      <c r="J1432" s="101">
        <v>95468</v>
      </c>
      <c r="K1432" s="87" t="s">
        <v>9</v>
      </c>
      <c r="L1432" s="108"/>
      <c r="M1432" s="108"/>
      <c r="N1432" s="108" t="str">
        <v>H572P593</v>
      </c>
      <c r="O1432" s="108">
        <f t="shared" si="24"/>
        <v>1</v>
      </c>
      <c r="P1432" s="108"/>
      <c r="Q1432"/>
    </row>
    <row r="1433" spans="1:17" x14ac:dyDescent="0.25">
      <c r="A1433" s="89" t="s">
        <v>7282</v>
      </c>
      <c r="B1433" s="87" t="s">
        <v>7283</v>
      </c>
      <c r="C1433" s="87" t="s">
        <v>8</v>
      </c>
      <c r="D1433" s="87" t="str">
        <f>VLOOKUP(Tabela1[[#This Row],[Origem]], 'Perguntas 1 a 24'!$J$28:$K$34, 2, 0)</f>
        <v>Nordeste</v>
      </c>
      <c r="E1433" s="87" t="str">
        <f>Tabela1[[#This Row],[Descrição]]&amp;"-"&amp;Tabela1[[#This Row],[Código]]&amp;"/"&amp;Tabela1[[#This Row],[Origem]]</f>
        <v>Menora-P948P317/AL</v>
      </c>
      <c r="F1433" s="88">
        <v>46310</v>
      </c>
      <c r="G1433" s="88" t="str" cm="1">
        <f t="array" ref="G14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AND(F1433&gt;= DATE(2026,1,1), F1433&lt;= DATE(2028, 12, 31), J1433&gt;50000), "Pendente e Caro", AND(F1433&gt;= DATE(2026,1,1), F1433&lt;= DATE(2028, 12, 31), J1433&lt;=50000), "Pendente", F1433&gt;= DATE(2029,1,1), "Não prioeitário")</f>
        <v>Pendente e Caro</v>
      </c>
      <c r="H1433" s="89">
        <f>YEAR(Tabela1[[#This Row],[Data de Validade]])</f>
        <v>2026</v>
      </c>
      <c r="I1433" s="89">
        <f>MONTH(Tabela1[[#This Row],[Data de Validade]])</f>
        <v>10</v>
      </c>
      <c r="J1433" s="101">
        <v>69515</v>
      </c>
      <c r="K1433" s="87" t="s">
        <v>11</v>
      </c>
      <c r="L1433" s="108"/>
      <c r="M1433" s="108"/>
      <c r="N1433" s="108" t="str">
        <v>P948P317</v>
      </c>
      <c r="O1433" s="108">
        <f t="shared" si="24"/>
        <v>1</v>
      </c>
      <c r="P1433" s="108"/>
      <c r="Q1433"/>
    </row>
    <row r="1434" spans="1:17" x14ac:dyDescent="0.25">
      <c r="A1434" s="89" t="s">
        <v>9949</v>
      </c>
      <c r="B1434" s="87" t="s">
        <v>9950</v>
      </c>
      <c r="C1434" s="87" t="s">
        <v>10</v>
      </c>
      <c r="D1434" s="87" t="str">
        <f>VLOOKUP(Tabela1[[#This Row],[Origem]], 'Perguntas 1 a 24'!$J$28:$K$34, 2, 0)</f>
        <v>Centro-Oeste</v>
      </c>
      <c r="E1434" s="87" t="str">
        <f>Tabela1[[#This Row],[Descrição]]&amp;"-"&amp;Tabela1[[#This Row],[Código]]&amp;"/"&amp;Tabela1[[#This Row],[Origem]]</f>
        <v>Vutotomi-P568P213/GO</v>
      </c>
      <c r="F1434" s="88">
        <v>46310</v>
      </c>
      <c r="G1434" s="88" t="str" cm="1">
        <f t="array" ref="G14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AND(F1434&gt;= DATE(2026,1,1), F1434&lt;= DATE(2028, 12, 31), J1434&gt;50000), "Pendente e Caro", AND(F1434&gt;= DATE(2026,1,1), F1434&lt;= DATE(2028, 12, 31), J1434&lt;=50000), "Pendente", F1434&gt;= DATE(2029,1,1), "Não prioeitário")</f>
        <v>Pendente</v>
      </c>
      <c r="H1434" s="89">
        <f>YEAR(Tabela1[[#This Row],[Data de Validade]])</f>
        <v>2026</v>
      </c>
      <c r="I1434" s="89">
        <f>MONTH(Tabela1[[#This Row],[Data de Validade]])</f>
        <v>10</v>
      </c>
      <c r="J1434" s="101">
        <v>28937</v>
      </c>
      <c r="K1434" s="87" t="s">
        <v>11</v>
      </c>
      <c r="L1434" s="108"/>
      <c r="M1434" s="108"/>
      <c r="N1434" s="108" t="str">
        <v>P568P213</v>
      </c>
      <c r="O1434" s="108">
        <f t="shared" si="24"/>
        <v>1</v>
      </c>
      <c r="P1434" s="108"/>
      <c r="Q1434"/>
    </row>
    <row r="1435" spans="1:17" x14ac:dyDescent="0.25">
      <c r="A1435" s="89" t="s">
        <v>6970</v>
      </c>
      <c r="B1435" s="87" t="s">
        <v>6971</v>
      </c>
      <c r="C1435" s="87" t="s">
        <v>10</v>
      </c>
      <c r="D1435" s="87" t="str">
        <f>VLOOKUP(Tabela1[[#This Row],[Origem]], 'Perguntas 1 a 24'!$J$28:$K$34, 2, 0)</f>
        <v>Centro-Oeste</v>
      </c>
      <c r="E1435" s="87" t="str">
        <f>Tabela1[[#This Row],[Descrição]]&amp;"-"&amp;Tabela1[[#This Row],[Código]]&amp;"/"&amp;Tabela1[[#This Row],[Origem]]</f>
        <v>Nopofo-H865H352/GO</v>
      </c>
      <c r="F1435" s="88">
        <v>46311</v>
      </c>
      <c r="G1435" s="88" t="str" cm="1">
        <f t="array" ref="G14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AND(F1435&gt;= DATE(2026,1,1), F1435&lt;= DATE(2028, 12, 31), J1435&gt;50000), "Pendente e Caro", AND(F1435&gt;= DATE(2026,1,1), F1435&lt;= DATE(2028, 12, 31), J1435&lt;=50000), "Pendente", F1435&gt;= DATE(2029,1,1), "Não prioeitário")</f>
        <v>Pendente</v>
      </c>
      <c r="H1435" s="89">
        <f>YEAR(Tabela1[[#This Row],[Data de Validade]])</f>
        <v>2026</v>
      </c>
      <c r="I1435" s="89">
        <f>MONTH(Tabela1[[#This Row],[Data de Validade]])</f>
        <v>10</v>
      </c>
      <c r="J1435" s="101">
        <v>32721</v>
      </c>
      <c r="K1435" s="87" t="s">
        <v>14</v>
      </c>
      <c r="L1435" s="108"/>
      <c r="M1435" s="108"/>
      <c r="N1435" s="108" t="str">
        <v>H865H352</v>
      </c>
      <c r="O1435" s="108">
        <f t="shared" si="24"/>
        <v>1</v>
      </c>
      <c r="P1435" s="108"/>
      <c r="Q1435"/>
    </row>
    <row r="1436" spans="1:17" x14ac:dyDescent="0.25">
      <c r="A1436" s="89" t="s">
        <v>7022</v>
      </c>
      <c r="B1436" s="87" t="s">
        <v>7023</v>
      </c>
      <c r="C1436" s="87" t="s">
        <v>8</v>
      </c>
      <c r="D1436" s="87" t="str">
        <f>VLOOKUP(Tabela1[[#This Row],[Origem]], 'Perguntas 1 a 24'!$J$28:$K$34, 2, 0)</f>
        <v>Nordeste</v>
      </c>
      <c r="E1436" s="87" t="str">
        <f>Tabela1[[#This Row],[Descrição]]&amp;"-"&amp;Tabela1[[#This Row],[Código]]&amp;"/"&amp;Tabela1[[#This Row],[Origem]]</f>
        <v>Gegati-H594H412/AL</v>
      </c>
      <c r="F1436" s="88">
        <v>46313</v>
      </c>
      <c r="G1436" s="88" t="str" cm="1">
        <f t="array" ref="G14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AND(F1436&gt;= DATE(2026,1,1), F1436&lt;= DATE(2028, 12, 31), J1436&gt;50000), "Pendente e Caro", AND(F1436&gt;= DATE(2026,1,1), F1436&lt;= DATE(2028, 12, 31), J1436&lt;=50000), "Pendente", F1436&gt;= DATE(2029,1,1), "Não prioeitário")</f>
        <v>Pendente e Caro</v>
      </c>
      <c r="H1436" s="89">
        <f>YEAR(Tabela1[[#This Row],[Data de Validade]])</f>
        <v>2026</v>
      </c>
      <c r="I1436" s="89">
        <f>MONTH(Tabela1[[#This Row],[Data de Validade]])</f>
        <v>10</v>
      </c>
      <c r="J1436" s="101">
        <v>50360</v>
      </c>
      <c r="K1436" s="87" t="s">
        <v>14</v>
      </c>
      <c r="L1436" s="108"/>
      <c r="M1436" s="108"/>
      <c r="N1436" s="108" t="str">
        <v>H594H412</v>
      </c>
      <c r="O1436" s="108">
        <f t="shared" si="24"/>
        <v>1</v>
      </c>
      <c r="P1436" s="108"/>
      <c r="Q1436"/>
    </row>
    <row r="1437" spans="1:17" x14ac:dyDescent="0.25">
      <c r="A1437" s="89" t="s">
        <v>5724</v>
      </c>
      <c r="B1437" s="87" t="s">
        <v>5725</v>
      </c>
      <c r="C1437" s="87" t="s">
        <v>12</v>
      </c>
      <c r="D1437" s="87" t="str">
        <f>VLOOKUP(Tabela1[[#This Row],[Origem]], 'Perguntas 1 a 24'!$J$28:$K$34, 2, 0)</f>
        <v>Sudeste</v>
      </c>
      <c r="E1437" s="87" t="str">
        <f>Tabela1[[#This Row],[Descrição]]&amp;"-"&amp;Tabela1[[#This Row],[Código]]&amp;"/"&amp;Tabela1[[#This Row],[Origem]]</f>
        <v>Caripate-H715H369/RJ</v>
      </c>
      <c r="F1437" s="88">
        <v>46314</v>
      </c>
      <c r="G1437" s="88" t="str" cm="1">
        <f t="array" ref="G14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AND(F1437&gt;= DATE(2026,1,1), F1437&lt;= DATE(2028, 12, 31), J1437&gt;50000), "Pendente e Caro", AND(F1437&gt;= DATE(2026,1,1), F1437&lt;= DATE(2028, 12, 31), J1437&lt;=50000), "Pendente", F1437&gt;= DATE(2029,1,1), "Não prioeitário")</f>
        <v>Pendente e Caro</v>
      </c>
      <c r="H1437" s="89">
        <f>YEAR(Tabela1[[#This Row],[Data de Validade]])</f>
        <v>2026</v>
      </c>
      <c r="I1437" s="89">
        <f>MONTH(Tabela1[[#This Row],[Data de Validade]])</f>
        <v>10</v>
      </c>
      <c r="J1437" s="101">
        <v>100696</v>
      </c>
      <c r="K1437" s="87" t="s">
        <v>7</v>
      </c>
      <c r="L1437" s="108"/>
      <c r="M1437" s="108"/>
      <c r="N1437" s="108" t="str">
        <v>H715H369</v>
      </c>
      <c r="O1437" s="108">
        <f t="shared" si="24"/>
        <v>1</v>
      </c>
      <c r="P1437" s="108"/>
      <c r="Q1437"/>
    </row>
    <row r="1438" spans="1:17" x14ac:dyDescent="0.25">
      <c r="A1438" s="89" t="s">
        <v>9931</v>
      </c>
      <c r="B1438" s="87" t="s">
        <v>9932</v>
      </c>
      <c r="C1438" s="87" t="s">
        <v>15</v>
      </c>
      <c r="D1438" s="87" t="str">
        <f>VLOOKUP(Tabela1[[#This Row],[Origem]], 'Perguntas 1 a 24'!$J$28:$K$34, 2, 0)</f>
        <v>Sudeste</v>
      </c>
      <c r="E1438" s="87" t="str">
        <f>Tabela1[[#This Row],[Descrição]]&amp;"-"&amp;Tabela1[[#This Row],[Código]]&amp;"/"&amp;Tabela1[[#This Row],[Origem]]</f>
        <v>Pecomi-H893P763/ES</v>
      </c>
      <c r="F1438" s="88">
        <v>46316</v>
      </c>
      <c r="G1438" s="88" t="str" cm="1">
        <f t="array" ref="G14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AND(F1438&gt;= DATE(2026,1,1), F1438&lt;= DATE(2028, 12, 31), J1438&gt;50000), "Pendente e Caro", AND(F1438&gt;= DATE(2026,1,1), F1438&lt;= DATE(2028, 12, 31), J1438&lt;=50000), "Pendente", F1438&gt;= DATE(2029,1,1), "Não prioeitário")</f>
        <v>Pendente e Caro</v>
      </c>
      <c r="H1438" s="89">
        <f>YEAR(Tabela1[[#This Row],[Data de Validade]])</f>
        <v>2026</v>
      </c>
      <c r="I1438" s="89">
        <f>MONTH(Tabela1[[#This Row],[Data de Validade]])</f>
        <v>10</v>
      </c>
      <c r="J1438" s="101">
        <v>62739</v>
      </c>
      <c r="K1438" s="87" t="s">
        <v>11</v>
      </c>
      <c r="L1438" s="108"/>
      <c r="M1438" s="108"/>
      <c r="N1438" s="108" t="str">
        <v>H893P763</v>
      </c>
      <c r="O1438" s="108">
        <f t="shared" si="24"/>
        <v>1</v>
      </c>
      <c r="P1438" s="108"/>
      <c r="Q1438"/>
    </row>
    <row r="1439" spans="1:17" x14ac:dyDescent="0.25">
      <c r="A1439" s="89" t="s">
        <v>8809</v>
      </c>
      <c r="B1439" s="87" t="s">
        <v>8810</v>
      </c>
      <c r="C1439" s="87" t="s">
        <v>16</v>
      </c>
      <c r="D1439" s="87" t="str">
        <f>VLOOKUP(Tabela1[[#This Row],[Origem]], 'Perguntas 1 a 24'!$J$28:$K$34, 2, 0)</f>
        <v>Sudeste</v>
      </c>
      <c r="E1439" s="87" t="str">
        <f>Tabela1[[#This Row],[Descrição]]&amp;"-"&amp;Tabela1[[#This Row],[Código]]&amp;"/"&amp;Tabela1[[#This Row],[Origem]]</f>
        <v>Civifa-P159H445/MG</v>
      </c>
      <c r="F1439" s="88">
        <v>46317</v>
      </c>
      <c r="G1439" s="88" t="str" cm="1">
        <f t="array" ref="G14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AND(F1439&gt;= DATE(2026,1,1), F1439&lt;= DATE(2028, 12, 31), J1439&gt;50000), "Pendente e Caro", AND(F1439&gt;= DATE(2026,1,1), F1439&lt;= DATE(2028, 12, 31), J1439&lt;=50000), "Pendente", F1439&gt;= DATE(2029,1,1), "Não prioeitário")</f>
        <v>Pendente e Caro</v>
      </c>
      <c r="H1439" s="89">
        <f>YEAR(Tabela1[[#This Row],[Data de Validade]])</f>
        <v>2026</v>
      </c>
      <c r="I1439" s="89">
        <f>MONTH(Tabela1[[#This Row],[Data de Validade]])</f>
        <v>10</v>
      </c>
      <c r="J1439" s="101">
        <v>95337</v>
      </c>
      <c r="K1439" s="87" t="s">
        <v>9</v>
      </c>
      <c r="L1439" s="108"/>
      <c r="M1439" s="108"/>
      <c r="N1439" s="108" t="str">
        <v>P159H445</v>
      </c>
      <c r="O1439" s="108">
        <f t="shared" si="24"/>
        <v>1</v>
      </c>
      <c r="P1439" s="108"/>
      <c r="Q1439"/>
    </row>
    <row r="1440" spans="1:17" x14ac:dyDescent="0.25">
      <c r="A1440" s="89" t="s">
        <v>8516</v>
      </c>
      <c r="B1440" s="87" t="s">
        <v>8517</v>
      </c>
      <c r="C1440" s="87" t="s">
        <v>12</v>
      </c>
      <c r="D1440" s="87" t="str">
        <f>VLOOKUP(Tabela1[[#This Row],[Origem]], 'Perguntas 1 a 24'!$J$28:$K$34, 2, 0)</f>
        <v>Sudeste</v>
      </c>
      <c r="E1440" s="87" t="str">
        <f>Tabela1[[#This Row],[Descrição]]&amp;"-"&amp;Tabela1[[#This Row],[Código]]&amp;"/"&amp;Tabela1[[#This Row],[Origem]]</f>
        <v>Rupipu-H615H536/RJ</v>
      </c>
      <c r="F1440" s="88">
        <v>46319</v>
      </c>
      <c r="G1440" s="88" t="str" cm="1">
        <f t="array" ref="G14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AND(F1440&gt;= DATE(2026,1,1), F1440&lt;= DATE(2028, 12, 31), J1440&gt;50000), "Pendente e Caro", AND(F1440&gt;= DATE(2026,1,1), F1440&lt;= DATE(2028, 12, 31), J1440&lt;=50000), "Pendente", F1440&gt;= DATE(2029,1,1), "Não prioeitário")</f>
        <v>Pendente e Caro</v>
      </c>
      <c r="H1440" s="89">
        <f>YEAR(Tabela1[[#This Row],[Data de Validade]])</f>
        <v>2026</v>
      </c>
      <c r="I1440" s="89">
        <f>MONTH(Tabela1[[#This Row],[Data de Validade]])</f>
        <v>10</v>
      </c>
      <c r="J1440" s="101">
        <v>119370</v>
      </c>
      <c r="K1440" s="87" t="s">
        <v>14</v>
      </c>
      <c r="L1440" s="108"/>
      <c r="M1440" s="108"/>
      <c r="N1440" s="108" t="str">
        <v>H615H536</v>
      </c>
      <c r="O1440" s="108">
        <f t="shared" si="24"/>
        <v>1</v>
      </c>
      <c r="P1440" s="108"/>
      <c r="Q1440"/>
    </row>
    <row r="1441" spans="1:17" x14ac:dyDescent="0.25">
      <c r="A1441" s="89" t="s">
        <v>4074</v>
      </c>
      <c r="B1441" s="87" t="s">
        <v>4075</v>
      </c>
      <c r="C1441" s="87" t="s">
        <v>6</v>
      </c>
      <c r="D1441" s="87" t="str">
        <f>VLOOKUP(Tabela1[[#This Row],[Origem]], 'Perguntas 1 a 24'!$J$28:$K$34, 2, 0)</f>
        <v>Nordeste</v>
      </c>
      <c r="E1441" s="87" t="str">
        <f>Tabela1[[#This Row],[Descrição]]&amp;"-"&amp;Tabela1[[#This Row],[Código]]&amp;"/"&amp;Tabela1[[#This Row],[Origem]]</f>
        <v>Tupipa-H578H231/MA</v>
      </c>
      <c r="F1441" s="88">
        <v>46319</v>
      </c>
      <c r="G1441" s="88" t="str" cm="1">
        <f t="array" ref="G14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AND(F1441&gt;= DATE(2026,1,1), F1441&lt;= DATE(2028, 12, 31), J1441&gt;50000), "Pendente e Caro", AND(F1441&gt;= DATE(2026,1,1), F1441&lt;= DATE(2028, 12, 31), J1441&lt;=50000), "Pendente", F1441&gt;= DATE(2029,1,1), "Não prioeitário")</f>
        <v>Pendente e Caro</v>
      </c>
      <c r="H1441" s="89">
        <f>YEAR(Tabela1[[#This Row],[Data de Validade]])</f>
        <v>2026</v>
      </c>
      <c r="I1441" s="89">
        <f>MONTH(Tabela1[[#This Row],[Data de Validade]])</f>
        <v>10</v>
      </c>
      <c r="J1441" s="101">
        <v>87405</v>
      </c>
      <c r="K1441" s="87" t="s">
        <v>11</v>
      </c>
      <c r="L1441" s="108"/>
      <c r="M1441" s="108"/>
      <c r="N1441" s="108" t="str">
        <v>H578H231</v>
      </c>
      <c r="O1441" s="108">
        <f t="shared" si="24"/>
        <v>1</v>
      </c>
      <c r="P1441" s="108"/>
      <c r="Q1441"/>
    </row>
    <row r="1442" spans="1:17" x14ac:dyDescent="0.25">
      <c r="A1442" s="89" t="s">
        <v>7486</v>
      </c>
      <c r="B1442" s="87" t="s">
        <v>7487</v>
      </c>
      <c r="C1442" s="87" t="s">
        <v>16</v>
      </c>
      <c r="D1442" s="87" t="str">
        <f>VLOOKUP(Tabela1[[#This Row],[Origem]], 'Perguntas 1 a 24'!$J$28:$K$34, 2, 0)</f>
        <v>Sudeste</v>
      </c>
      <c r="E1442" s="87" t="str">
        <f>Tabela1[[#This Row],[Descrição]]&amp;"-"&amp;Tabela1[[#This Row],[Código]]&amp;"/"&amp;Tabela1[[#This Row],[Origem]]</f>
        <v>Vipoviliru-H419H879/MG</v>
      </c>
      <c r="F1442" s="88">
        <v>46319</v>
      </c>
      <c r="G1442" s="88" t="str" cm="1">
        <f t="array" ref="G14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AND(F1442&gt;= DATE(2026,1,1), F1442&lt;= DATE(2028, 12, 31), J1442&gt;50000), "Pendente e Caro", AND(F1442&gt;= DATE(2026,1,1), F1442&lt;= DATE(2028, 12, 31), J1442&lt;=50000), "Pendente", F1442&gt;= DATE(2029,1,1), "Não prioeitário")</f>
        <v>Pendente e Caro</v>
      </c>
      <c r="H1442" s="89">
        <f>YEAR(Tabela1[[#This Row],[Data de Validade]])</f>
        <v>2026</v>
      </c>
      <c r="I1442" s="89">
        <f>MONTH(Tabela1[[#This Row],[Data de Validade]])</f>
        <v>10</v>
      </c>
      <c r="J1442" s="101">
        <v>71587</v>
      </c>
      <c r="K1442" s="87" t="s">
        <v>14</v>
      </c>
      <c r="L1442" s="108"/>
      <c r="M1442" s="108"/>
      <c r="N1442" s="108" t="str">
        <v>H419H879</v>
      </c>
      <c r="O1442" s="108">
        <f t="shared" si="24"/>
        <v>1</v>
      </c>
      <c r="P1442" s="108"/>
      <c r="Q1442"/>
    </row>
    <row r="1443" spans="1:17" x14ac:dyDescent="0.25">
      <c r="A1443" s="89" t="s">
        <v>8536</v>
      </c>
      <c r="B1443" s="87" t="s">
        <v>19</v>
      </c>
      <c r="C1443" s="87" t="s">
        <v>12</v>
      </c>
      <c r="D1443" s="87" t="str">
        <f>VLOOKUP(Tabela1[[#This Row],[Origem]], 'Perguntas 1 a 24'!$J$28:$K$34, 2, 0)</f>
        <v>Sudeste</v>
      </c>
      <c r="E1443" s="87" t="str">
        <f>Tabela1[[#This Row],[Descrição]]&amp;"-"&amp;Tabela1[[#This Row],[Código]]&amp;"/"&amp;Tabela1[[#This Row],[Origem]]</f>
        <v>Malari-H485H921/RJ</v>
      </c>
      <c r="F1443" s="88">
        <v>46319</v>
      </c>
      <c r="G1443" s="88" t="str" cm="1">
        <f t="array" ref="G14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AND(F1443&gt;= DATE(2026,1,1), F1443&lt;= DATE(2028, 12, 31), J1443&gt;50000), "Pendente e Caro", AND(F1443&gt;= DATE(2026,1,1), F1443&lt;= DATE(2028, 12, 31), J1443&lt;=50000), "Pendente", F1443&gt;= DATE(2029,1,1), "Não prioeitário")</f>
        <v>Pendente e Caro</v>
      </c>
      <c r="H1443" s="89">
        <f>YEAR(Tabela1[[#This Row],[Data de Validade]])</f>
        <v>2026</v>
      </c>
      <c r="I1443" s="89">
        <f>MONTH(Tabela1[[#This Row],[Data de Validade]])</f>
        <v>10</v>
      </c>
      <c r="J1443" s="101">
        <v>70587</v>
      </c>
      <c r="K1443" s="87" t="s">
        <v>7</v>
      </c>
      <c r="L1443" s="108"/>
      <c r="M1443" s="108"/>
      <c r="N1443" s="108" t="str">
        <v>H485H921</v>
      </c>
      <c r="O1443" s="108">
        <f t="shared" si="24"/>
        <v>1</v>
      </c>
      <c r="P1443" s="108"/>
      <c r="Q1443"/>
    </row>
    <row r="1444" spans="1:17" x14ac:dyDescent="0.25">
      <c r="A1444" s="89" t="s">
        <v>4116</v>
      </c>
      <c r="B1444" s="87" t="s">
        <v>4117</v>
      </c>
      <c r="C1444" s="87" t="s">
        <v>6</v>
      </c>
      <c r="D1444" s="87" t="str">
        <f>VLOOKUP(Tabela1[[#This Row],[Origem]], 'Perguntas 1 a 24'!$J$28:$K$34, 2, 0)</f>
        <v>Nordeste</v>
      </c>
      <c r="E1444" s="87" t="str">
        <f>Tabela1[[#This Row],[Descrição]]&amp;"-"&amp;Tabela1[[#This Row],[Código]]&amp;"/"&amp;Tabela1[[#This Row],[Origem]]</f>
        <v>Ramuri-P411P331/MA</v>
      </c>
      <c r="F1444" s="88">
        <v>46319</v>
      </c>
      <c r="G1444" s="88" t="str" cm="1">
        <f t="array" ref="G14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AND(F1444&gt;= DATE(2026,1,1), F1444&lt;= DATE(2028, 12, 31), J1444&gt;50000), "Pendente e Caro", AND(F1444&gt;= DATE(2026,1,1), F1444&lt;= DATE(2028, 12, 31), J1444&lt;=50000), "Pendente", F1444&gt;= DATE(2029,1,1), "Não prioeitário")</f>
        <v>Pendente</v>
      </c>
      <c r="H1444" s="89">
        <f>YEAR(Tabela1[[#This Row],[Data de Validade]])</f>
        <v>2026</v>
      </c>
      <c r="I1444" s="89">
        <f>MONTH(Tabela1[[#This Row],[Data de Validade]])</f>
        <v>10</v>
      </c>
      <c r="J1444" s="101">
        <v>47321</v>
      </c>
      <c r="K1444" s="87" t="s">
        <v>14</v>
      </c>
      <c r="L1444" s="108"/>
      <c r="M1444" s="108"/>
      <c r="N1444" s="108" t="str">
        <v>P411P331</v>
      </c>
      <c r="O1444" s="108">
        <f t="shared" si="24"/>
        <v>1</v>
      </c>
      <c r="P1444" s="108"/>
      <c r="Q1444"/>
    </row>
    <row r="1445" spans="1:17" x14ac:dyDescent="0.25">
      <c r="A1445" s="89" t="s">
        <v>5876</v>
      </c>
      <c r="B1445" s="87" t="s">
        <v>5877</v>
      </c>
      <c r="C1445" s="87" t="s">
        <v>12</v>
      </c>
      <c r="D1445" s="87" t="str">
        <f>VLOOKUP(Tabela1[[#This Row],[Origem]], 'Perguntas 1 a 24'!$J$28:$K$34, 2, 0)</f>
        <v>Sudeste</v>
      </c>
      <c r="E1445" s="87" t="str">
        <f>Tabela1[[#This Row],[Descrição]]&amp;"-"&amp;Tabela1[[#This Row],[Código]]&amp;"/"&amp;Tabela1[[#This Row],[Origem]]</f>
        <v>Renaraguvo-P985P121/RJ</v>
      </c>
      <c r="F1445" s="88">
        <v>46319</v>
      </c>
      <c r="G1445" s="88" t="str" cm="1">
        <f t="array" ref="G14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AND(F1445&gt;= DATE(2026,1,1), F1445&lt;= DATE(2028, 12, 31), J1445&gt;50000), "Pendente e Caro", AND(F1445&gt;= DATE(2026,1,1), F1445&lt;= DATE(2028, 12, 31), J1445&lt;=50000), "Pendente", F1445&gt;= DATE(2029,1,1), "Não prioeitário")</f>
        <v>Pendente</v>
      </c>
      <c r="H1445" s="89">
        <f>YEAR(Tabela1[[#This Row],[Data de Validade]])</f>
        <v>2026</v>
      </c>
      <c r="I1445" s="89">
        <f>MONTH(Tabela1[[#This Row],[Data de Validade]])</f>
        <v>10</v>
      </c>
      <c r="J1445" s="101">
        <v>27971</v>
      </c>
      <c r="K1445" s="87" t="s">
        <v>9</v>
      </c>
      <c r="L1445" s="108"/>
      <c r="M1445" s="108"/>
      <c r="N1445" s="108" t="str">
        <v>P985P121</v>
      </c>
      <c r="O1445" s="108">
        <f t="shared" si="24"/>
        <v>1</v>
      </c>
      <c r="P1445" s="108"/>
      <c r="Q1445"/>
    </row>
    <row r="1446" spans="1:17" x14ac:dyDescent="0.25">
      <c r="A1446" s="89" t="s">
        <v>3936</v>
      </c>
      <c r="B1446" s="87" t="s">
        <v>3937</v>
      </c>
      <c r="C1446" s="87" t="s">
        <v>10</v>
      </c>
      <c r="D1446" s="87" t="str">
        <f>VLOOKUP(Tabela1[[#This Row],[Origem]], 'Perguntas 1 a 24'!$J$28:$K$34, 2, 0)</f>
        <v>Centro-Oeste</v>
      </c>
      <c r="E1446" s="87" t="str">
        <f>Tabela1[[#This Row],[Descrição]]&amp;"-"&amp;Tabela1[[#This Row],[Código]]&amp;"/"&amp;Tabela1[[#This Row],[Origem]]</f>
        <v>Mepilevano-H845H617/GO</v>
      </c>
      <c r="F1446" s="88">
        <v>46321</v>
      </c>
      <c r="G1446" s="88" t="str" cm="1">
        <f t="array" ref="G14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AND(F1446&gt;= DATE(2026,1,1), F1446&lt;= DATE(2028, 12, 31), J1446&gt;50000), "Pendente e Caro", AND(F1446&gt;= DATE(2026,1,1), F1446&lt;= DATE(2028, 12, 31), J1446&lt;=50000), "Pendente", F1446&gt;= DATE(2029,1,1), "Não prioeitário")</f>
        <v>Pendente e Caro</v>
      </c>
      <c r="H1446" s="89">
        <f>YEAR(Tabela1[[#This Row],[Data de Validade]])</f>
        <v>2026</v>
      </c>
      <c r="I1446" s="89">
        <f>MONTH(Tabela1[[#This Row],[Data de Validade]])</f>
        <v>10</v>
      </c>
      <c r="J1446" s="101">
        <v>103438</v>
      </c>
      <c r="K1446" s="87" t="s">
        <v>7</v>
      </c>
      <c r="L1446" s="108"/>
      <c r="M1446" s="108"/>
      <c r="N1446" s="108" t="str">
        <v>H845H617</v>
      </c>
      <c r="O1446" s="108">
        <f t="shared" si="24"/>
        <v>1</v>
      </c>
      <c r="P1446" s="108"/>
      <c r="Q1446"/>
    </row>
    <row r="1447" spans="1:17" x14ac:dyDescent="0.25">
      <c r="A1447" s="89" t="s">
        <v>5092</v>
      </c>
      <c r="B1447" s="87" t="s">
        <v>5093</v>
      </c>
      <c r="C1447" s="87" t="s">
        <v>15</v>
      </c>
      <c r="D1447" s="87" t="str">
        <f>VLOOKUP(Tabela1[[#This Row],[Origem]], 'Perguntas 1 a 24'!$J$28:$K$34, 2, 0)</f>
        <v>Sudeste</v>
      </c>
      <c r="E1447" s="87" t="str">
        <f>Tabela1[[#This Row],[Descrição]]&amp;"-"&amp;Tabela1[[#This Row],[Código]]&amp;"/"&amp;Tabela1[[#This Row],[Origem]]</f>
        <v>Tulapori-P512P698/ES</v>
      </c>
      <c r="F1447" s="88">
        <v>46321</v>
      </c>
      <c r="G1447" s="88" t="str" cm="1">
        <f t="array" ref="G14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AND(F1447&gt;= DATE(2026,1,1), F1447&lt;= DATE(2028, 12, 31), J1447&gt;50000), "Pendente e Caro", AND(F1447&gt;= DATE(2026,1,1), F1447&lt;= DATE(2028, 12, 31), J1447&lt;=50000), "Pendente", F1447&gt;= DATE(2029,1,1), "Não prioeitário")</f>
        <v>Pendente e Caro</v>
      </c>
      <c r="H1447" s="89">
        <f>YEAR(Tabela1[[#This Row],[Data de Validade]])</f>
        <v>2026</v>
      </c>
      <c r="I1447" s="89">
        <f>MONTH(Tabela1[[#This Row],[Data de Validade]])</f>
        <v>10</v>
      </c>
      <c r="J1447" s="101">
        <v>92349</v>
      </c>
      <c r="K1447" s="87" t="s">
        <v>14</v>
      </c>
      <c r="L1447" s="108"/>
      <c r="M1447" s="108"/>
      <c r="N1447" s="108" t="str">
        <v>P512P698</v>
      </c>
      <c r="O1447" s="108">
        <f t="shared" si="24"/>
        <v>1</v>
      </c>
      <c r="P1447" s="108"/>
      <c r="Q1447"/>
    </row>
    <row r="1448" spans="1:17" x14ac:dyDescent="0.25">
      <c r="A1448" s="89" t="s">
        <v>4461</v>
      </c>
      <c r="B1448" s="87" t="s">
        <v>4462</v>
      </c>
      <c r="C1448" s="87" t="s">
        <v>12</v>
      </c>
      <c r="D1448" s="87" t="str">
        <f>VLOOKUP(Tabela1[[#This Row],[Origem]], 'Perguntas 1 a 24'!$J$28:$K$34, 2, 0)</f>
        <v>Sudeste</v>
      </c>
      <c r="E1448" s="87" t="str">
        <f>Tabela1[[#This Row],[Descrição]]&amp;"-"&amp;Tabela1[[#This Row],[Código]]&amp;"/"&amp;Tabela1[[#This Row],[Origem]]</f>
        <v>Potepi-P312P598/RJ</v>
      </c>
      <c r="F1448" s="88">
        <v>46321</v>
      </c>
      <c r="G1448" s="88" t="str" cm="1">
        <f t="array" ref="G14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AND(F1448&gt;= DATE(2026,1,1), F1448&lt;= DATE(2028, 12, 31), J1448&gt;50000), "Pendente e Caro", AND(F1448&gt;= DATE(2026,1,1), F1448&lt;= DATE(2028, 12, 31), J1448&lt;=50000), "Pendente", F1448&gt;= DATE(2029,1,1), "Não prioeitário")</f>
        <v>Pendente e Caro</v>
      </c>
      <c r="H1448" s="89">
        <f>YEAR(Tabela1[[#This Row],[Data de Validade]])</f>
        <v>2026</v>
      </c>
      <c r="I1448" s="89">
        <f>MONTH(Tabela1[[#This Row],[Data de Validade]])</f>
        <v>10</v>
      </c>
      <c r="J1448" s="101">
        <v>91902</v>
      </c>
      <c r="K1448" s="87" t="s">
        <v>14</v>
      </c>
      <c r="L1448" s="108"/>
      <c r="M1448" s="108"/>
      <c r="N1448" s="108" t="str">
        <v>P312P598</v>
      </c>
      <c r="O1448" s="108">
        <f t="shared" si="24"/>
        <v>1</v>
      </c>
      <c r="P1448" s="108"/>
      <c r="Q1448"/>
    </row>
    <row r="1449" spans="1:17" x14ac:dyDescent="0.25">
      <c r="A1449" s="89" t="s">
        <v>10357</v>
      </c>
      <c r="B1449" s="87" t="s">
        <v>10358</v>
      </c>
      <c r="C1449" s="87" t="s">
        <v>13</v>
      </c>
      <c r="D1449" s="87" t="str">
        <f>VLOOKUP(Tabela1[[#This Row],[Origem]], 'Perguntas 1 a 24'!$J$28:$K$34, 2, 0)</f>
        <v>Sudeste</v>
      </c>
      <c r="E1449" s="87" t="str">
        <f>Tabela1[[#This Row],[Descrição]]&amp;"-"&amp;Tabela1[[#This Row],[Código]]&amp;"/"&amp;Tabela1[[#This Row],[Origem]]</f>
        <v>Leripu-P959H347/SP</v>
      </c>
      <c r="F1449" s="88">
        <v>46322</v>
      </c>
      <c r="G1449" s="88" t="str" cm="1">
        <f t="array" ref="G14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AND(F1449&gt;= DATE(2026,1,1), F1449&lt;= DATE(2028, 12, 31), J1449&gt;50000), "Pendente e Caro", AND(F1449&gt;= DATE(2026,1,1), F1449&lt;= DATE(2028, 12, 31), J1449&lt;=50000), "Pendente", F1449&gt;= DATE(2029,1,1), "Não prioeitário")</f>
        <v>Pendente e Caro</v>
      </c>
      <c r="H1449" s="89">
        <f>YEAR(Tabela1[[#This Row],[Data de Validade]])</f>
        <v>2026</v>
      </c>
      <c r="I1449" s="89">
        <f>MONTH(Tabela1[[#This Row],[Data de Validade]])</f>
        <v>10</v>
      </c>
      <c r="J1449" s="101">
        <v>102224</v>
      </c>
      <c r="K1449" s="87" t="s">
        <v>7</v>
      </c>
      <c r="L1449" s="108"/>
      <c r="M1449" s="108"/>
      <c r="N1449" s="108" t="str">
        <v>P959H347</v>
      </c>
      <c r="O1449" s="108">
        <f t="shared" si="24"/>
        <v>1</v>
      </c>
      <c r="P1449" s="108"/>
      <c r="Q1449"/>
    </row>
    <row r="1450" spans="1:17" x14ac:dyDescent="0.25">
      <c r="A1450" s="89" t="s">
        <v>9373</v>
      </c>
      <c r="B1450" s="87" t="s">
        <v>9374</v>
      </c>
      <c r="C1450" s="87" t="s">
        <v>16</v>
      </c>
      <c r="D1450" s="87" t="str">
        <f>VLOOKUP(Tabela1[[#This Row],[Origem]], 'Perguntas 1 a 24'!$J$28:$K$34, 2, 0)</f>
        <v>Sudeste</v>
      </c>
      <c r="E1450" s="87" t="str">
        <f>Tabela1[[#This Row],[Descrição]]&amp;"-"&amp;Tabela1[[#This Row],[Código]]&amp;"/"&amp;Tabela1[[#This Row],[Origem]]</f>
        <v>Titadi-H112P536/MG</v>
      </c>
      <c r="F1450" s="88">
        <v>46322</v>
      </c>
      <c r="G1450" s="88" t="str" cm="1">
        <f t="array" ref="G14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AND(F1450&gt;= DATE(2026,1,1), F1450&lt;= DATE(2028, 12, 31), J1450&gt;50000), "Pendente e Caro", AND(F1450&gt;= DATE(2026,1,1), F1450&lt;= DATE(2028, 12, 31), J1450&lt;=50000), "Pendente", F1450&gt;= DATE(2029,1,1), "Não prioeitário")</f>
        <v>Pendente e Caro</v>
      </c>
      <c r="H1450" s="89">
        <f>YEAR(Tabela1[[#This Row],[Data de Validade]])</f>
        <v>2026</v>
      </c>
      <c r="I1450" s="89">
        <f>MONTH(Tabela1[[#This Row],[Data de Validade]])</f>
        <v>10</v>
      </c>
      <c r="J1450" s="101">
        <v>85340</v>
      </c>
      <c r="K1450" s="87" t="s">
        <v>14</v>
      </c>
      <c r="L1450" s="108"/>
      <c r="M1450" s="108"/>
      <c r="N1450" s="108" t="str">
        <v>H112P536</v>
      </c>
      <c r="O1450" s="108">
        <f t="shared" si="24"/>
        <v>1</v>
      </c>
      <c r="P1450" s="108"/>
      <c r="Q1450"/>
    </row>
    <row r="1451" spans="1:17" x14ac:dyDescent="0.25">
      <c r="A1451" s="89" t="s">
        <v>6960</v>
      </c>
      <c r="B1451" s="87" t="s">
        <v>6961</v>
      </c>
      <c r="C1451" s="87" t="s">
        <v>8</v>
      </c>
      <c r="D1451" s="87" t="str">
        <f>VLOOKUP(Tabela1[[#This Row],[Origem]], 'Perguntas 1 a 24'!$J$28:$K$34, 2, 0)</f>
        <v>Nordeste</v>
      </c>
      <c r="E1451" s="87" t="str">
        <f>Tabela1[[#This Row],[Descrição]]&amp;"-"&amp;Tabela1[[#This Row],[Código]]&amp;"/"&amp;Tabela1[[#This Row],[Origem]]</f>
        <v>Dupotu-P392H978/AL</v>
      </c>
      <c r="F1451" s="88">
        <v>46323</v>
      </c>
      <c r="G1451" s="88" t="str" cm="1">
        <f t="array" ref="G14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AND(F1451&gt;= DATE(2026,1,1), F1451&lt;= DATE(2028, 12, 31), J1451&gt;50000), "Pendente e Caro", AND(F1451&gt;= DATE(2026,1,1), F1451&lt;= DATE(2028, 12, 31), J1451&lt;=50000), "Pendente", F1451&gt;= DATE(2029,1,1), "Não prioeitário")</f>
        <v>Pendente e Caro</v>
      </c>
      <c r="H1451" s="89">
        <f>YEAR(Tabela1[[#This Row],[Data de Validade]])</f>
        <v>2026</v>
      </c>
      <c r="I1451" s="89">
        <f>MONTH(Tabela1[[#This Row],[Data de Validade]])</f>
        <v>10</v>
      </c>
      <c r="J1451" s="101">
        <v>84120</v>
      </c>
      <c r="K1451" s="87" t="s">
        <v>11</v>
      </c>
      <c r="L1451" s="108"/>
      <c r="M1451" s="108"/>
      <c r="N1451" s="108" t="str">
        <v>P392H978</v>
      </c>
      <c r="O1451" s="108">
        <f t="shared" si="24"/>
        <v>1</v>
      </c>
      <c r="P1451" s="108"/>
      <c r="Q1451"/>
    </row>
    <row r="1452" spans="1:17" x14ac:dyDescent="0.25">
      <c r="A1452" s="89" t="s">
        <v>11115</v>
      </c>
      <c r="B1452" s="87" t="s">
        <v>11116</v>
      </c>
      <c r="C1452" s="87" t="s">
        <v>10</v>
      </c>
      <c r="D1452" s="87" t="str">
        <f>VLOOKUP(Tabela1[[#This Row],[Origem]], 'Perguntas 1 a 24'!$J$28:$K$34, 2, 0)</f>
        <v>Centro-Oeste</v>
      </c>
      <c r="E1452" s="87" t="str">
        <f>Tabela1[[#This Row],[Descrição]]&amp;"-"&amp;Tabela1[[#This Row],[Código]]&amp;"/"&amp;Tabela1[[#This Row],[Origem]]</f>
        <v>Ropapa-H261P913/GO</v>
      </c>
      <c r="F1452" s="88">
        <v>46323</v>
      </c>
      <c r="G1452" s="88" t="str" cm="1">
        <f t="array" ref="G14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AND(F1452&gt;= DATE(2026,1,1), F1452&lt;= DATE(2028, 12, 31), J1452&gt;50000), "Pendente e Caro", AND(F1452&gt;= DATE(2026,1,1), F1452&lt;= DATE(2028, 12, 31), J1452&lt;=50000), "Pendente", F1452&gt;= DATE(2029,1,1), "Não prioeitário")</f>
        <v>Pendente e Caro</v>
      </c>
      <c r="H1452" s="89">
        <f>YEAR(Tabela1[[#This Row],[Data de Validade]])</f>
        <v>2026</v>
      </c>
      <c r="I1452" s="89">
        <f>MONTH(Tabela1[[#This Row],[Data de Validade]])</f>
        <v>10</v>
      </c>
      <c r="J1452" s="101">
        <v>55533</v>
      </c>
      <c r="K1452" s="87" t="s">
        <v>14</v>
      </c>
      <c r="L1452" s="108"/>
      <c r="M1452" s="108"/>
      <c r="N1452" s="108" t="str">
        <v>H261P913</v>
      </c>
      <c r="O1452" s="108">
        <f t="shared" si="24"/>
        <v>1</v>
      </c>
      <c r="P1452" s="108"/>
      <c r="Q1452"/>
    </row>
    <row r="1453" spans="1:17" x14ac:dyDescent="0.25">
      <c r="A1453" s="89" t="s">
        <v>3742</v>
      </c>
      <c r="B1453" s="87" t="s">
        <v>3743</v>
      </c>
      <c r="C1453" s="87" t="s">
        <v>10</v>
      </c>
      <c r="D1453" s="87" t="str">
        <f>VLOOKUP(Tabela1[[#This Row],[Origem]], 'Perguntas 1 a 24'!$J$28:$K$34, 2, 0)</f>
        <v>Centro-Oeste</v>
      </c>
      <c r="E1453" s="87" t="str">
        <f>Tabela1[[#This Row],[Descrição]]&amp;"-"&amp;Tabela1[[#This Row],[Código]]&amp;"/"&amp;Tabela1[[#This Row],[Origem]]</f>
        <v>Vopupopi-P648P328/GO</v>
      </c>
      <c r="F1453" s="88">
        <v>46323</v>
      </c>
      <c r="G1453" s="88" t="str" cm="1">
        <f t="array" ref="G14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AND(F1453&gt;= DATE(2026,1,1), F1453&lt;= DATE(2028, 12, 31), J1453&gt;50000), "Pendente e Caro", AND(F1453&gt;= DATE(2026,1,1), F1453&lt;= DATE(2028, 12, 31), J1453&lt;=50000), "Pendente", F1453&gt;= DATE(2029,1,1), "Não prioeitário")</f>
        <v>Pendente</v>
      </c>
      <c r="H1453" s="89">
        <f>YEAR(Tabela1[[#This Row],[Data de Validade]])</f>
        <v>2026</v>
      </c>
      <c r="I1453" s="89">
        <f>MONTH(Tabela1[[#This Row],[Data de Validade]])</f>
        <v>10</v>
      </c>
      <c r="J1453" s="101">
        <v>37450</v>
      </c>
      <c r="K1453" s="87" t="s">
        <v>9</v>
      </c>
      <c r="L1453" s="108"/>
      <c r="M1453" s="108"/>
      <c r="N1453" s="108" t="str">
        <v>P648P328</v>
      </c>
      <c r="O1453" s="108">
        <f t="shared" si="24"/>
        <v>1</v>
      </c>
      <c r="P1453" s="108"/>
      <c r="Q1453"/>
    </row>
    <row r="1454" spans="1:17" x14ac:dyDescent="0.25">
      <c r="A1454" s="89" t="s">
        <v>7140</v>
      </c>
      <c r="B1454" s="87" t="s">
        <v>7141</v>
      </c>
      <c r="C1454" s="87" t="s">
        <v>16</v>
      </c>
      <c r="D1454" s="87" t="str">
        <f>VLOOKUP(Tabela1[[#This Row],[Origem]], 'Perguntas 1 a 24'!$J$28:$K$34, 2, 0)</f>
        <v>Sudeste</v>
      </c>
      <c r="E1454" s="87" t="str">
        <f>Tabela1[[#This Row],[Descrição]]&amp;"-"&amp;Tabela1[[#This Row],[Código]]&amp;"/"&amp;Tabela1[[#This Row],[Origem]]</f>
        <v>Pepacu-H732P916/MG</v>
      </c>
      <c r="F1454" s="88">
        <v>46325</v>
      </c>
      <c r="G1454" s="88" t="str" cm="1">
        <f t="array" ref="G14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AND(F1454&gt;= DATE(2026,1,1), F1454&lt;= DATE(2028, 12, 31), J1454&gt;50000), "Pendente e Caro", AND(F1454&gt;= DATE(2026,1,1), F1454&lt;= DATE(2028, 12, 31), J1454&lt;=50000), "Pendente", F1454&gt;= DATE(2029,1,1), "Não prioeitário")</f>
        <v>Pendente e Caro</v>
      </c>
      <c r="H1454" s="89">
        <f>YEAR(Tabela1[[#This Row],[Data de Validade]])</f>
        <v>2026</v>
      </c>
      <c r="I1454" s="89">
        <f>MONTH(Tabela1[[#This Row],[Data de Validade]])</f>
        <v>10</v>
      </c>
      <c r="J1454" s="101">
        <v>116515</v>
      </c>
      <c r="K1454" s="87" t="s">
        <v>9</v>
      </c>
      <c r="L1454" s="108"/>
      <c r="M1454" s="108"/>
      <c r="N1454" s="108" t="str">
        <v>H732P916</v>
      </c>
      <c r="O1454" s="108">
        <f t="shared" si="24"/>
        <v>1</v>
      </c>
      <c r="P1454" s="108"/>
      <c r="Q1454"/>
    </row>
    <row r="1455" spans="1:17" x14ac:dyDescent="0.25">
      <c r="A1455" s="89" t="s">
        <v>5936</v>
      </c>
      <c r="B1455" s="87" t="s">
        <v>5937</v>
      </c>
      <c r="C1455" s="87" t="s">
        <v>10</v>
      </c>
      <c r="D1455" s="87" t="str">
        <f>VLOOKUP(Tabela1[[#This Row],[Origem]], 'Perguntas 1 a 24'!$J$28:$K$34, 2, 0)</f>
        <v>Centro-Oeste</v>
      </c>
      <c r="E1455" s="87" t="str">
        <f>Tabela1[[#This Row],[Descrição]]&amp;"-"&amp;Tabela1[[#This Row],[Código]]&amp;"/"&amp;Tabela1[[#This Row],[Origem]]</f>
        <v>Megepenopa-P282H278/GO</v>
      </c>
      <c r="F1455" s="88">
        <v>46325</v>
      </c>
      <c r="G1455" s="88" t="str" cm="1">
        <f t="array" ref="G14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AND(F1455&gt;= DATE(2026,1,1), F1455&lt;= DATE(2028, 12, 31), J1455&gt;50000), "Pendente e Caro", AND(F1455&gt;= DATE(2026,1,1), F1455&lt;= DATE(2028, 12, 31), J1455&lt;=50000), "Pendente", F1455&gt;= DATE(2029,1,1), "Não prioeitário")</f>
        <v>Pendente</v>
      </c>
      <c r="H1455" s="89">
        <f>YEAR(Tabela1[[#This Row],[Data de Validade]])</f>
        <v>2026</v>
      </c>
      <c r="I1455" s="89">
        <f>MONTH(Tabela1[[#This Row],[Data de Validade]])</f>
        <v>10</v>
      </c>
      <c r="J1455" s="101">
        <v>35942</v>
      </c>
      <c r="K1455" s="87" t="s">
        <v>7</v>
      </c>
      <c r="L1455" s="108"/>
      <c r="M1455" s="108"/>
      <c r="N1455" s="108" t="str">
        <v>P282H278</v>
      </c>
      <c r="O1455" s="108">
        <f t="shared" si="24"/>
        <v>1</v>
      </c>
      <c r="P1455" s="108"/>
      <c r="Q1455"/>
    </row>
    <row r="1456" spans="1:17" x14ac:dyDescent="0.25">
      <c r="A1456" s="89" t="s">
        <v>7882</v>
      </c>
      <c r="B1456" s="87" t="s">
        <v>7883</v>
      </c>
      <c r="C1456" s="87" t="s">
        <v>6</v>
      </c>
      <c r="D1456" s="87" t="str">
        <f>VLOOKUP(Tabela1[[#This Row],[Origem]], 'Perguntas 1 a 24'!$J$28:$K$34, 2, 0)</f>
        <v>Nordeste</v>
      </c>
      <c r="E1456" s="87" t="str">
        <f>Tabela1[[#This Row],[Descrição]]&amp;"-"&amp;Tabela1[[#This Row],[Código]]&amp;"/"&amp;Tabela1[[#This Row],[Origem]]</f>
        <v>Rupete-P526H675/MA</v>
      </c>
      <c r="F1456" s="88">
        <v>46326</v>
      </c>
      <c r="G1456" s="88" t="str" cm="1">
        <f t="array" ref="G14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AND(F1456&gt;= DATE(2026,1,1), F1456&lt;= DATE(2028, 12, 31), J1456&gt;50000), "Pendente e Caro", AND(F1456&gt;= DATE(2026,1,1), F1456&lt;= DATE(2028, 12, 31), J1456&lt;=50000), "Pendente", F1456&gt;= DATE(2029,1,1), "Não prioeitário")</f>
        <v>Pendente</v>
      </c>
      <c r="H1456" s="89">
        <f>YEAR(Tabela1[[#This Row],[Data de Validade]])</f>
        <v>2026</v>
      </c>
      <c r="I1456" s="89">
        <f>MONTH(Tabela1[[#This Row],[Data de Validade]])</f>
        <v>10</v>
      </c>
      <c r="J1456" s="101">
        <v>38700</v>
      </c>
      <c r="K1456" s="87" t="s">
        <v>11</v>
      </c>
      <c r="L1456" s="108"/>
      <c r="M1456" s="108"/>
      <c r="N1456" s="108" t="str">
        <v>P526H675</v>
      </c>
      <c r="O1456" s="108">
        <f t="shared" si="24"/>
        <v>1</v>
      </c>
      <c r="P1456" s="108"/>
      <c r="Q1456"/>
    </row>
    <row r="1457" spans="1:17" x14ac:dyDescent="0.25">
      <c r="A1457" s="89" t="s">
        <v>6130</v>
      </c>
      <c r="B1457" s="87" t="s">
        <v>6131</v>
      </c>
      <c r="C1457" s="87" t="s">
        <v>13</v>
      </c>
      <c r="D1457" s="87" t="str">
        <f>VLOOKUP(Tabela1[[#This Row],[Origem]], 'Perguntas 1 a 24'!$J$28:$K$34, 2, 0)</f>
        <v>Sudeste</v>
      </c>
      <c r="E1457" s="87" t="str">
        <f>Tabela1[[#This Row],[Descrição]]&amp;"-"&amp;Tabela1[[#This Row],[Código]]&amp;"/"&amp;Tabela1[[#This Row],[Origem]]</f>
        <v>Papupare-P917H765/SP</v>
      </c>
      <c r="F1457" s="88">
        <v>46327</v>
      </c>
      <c r="G1457" s="88" t="str" cm="1">
        <f t="array" ref="G14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AND(F1457&gt;= DATE(2026,1,1), F1457&lt;= DATE(2028, 12, 31), J1457&gt;50000), "Pendente e Caro", AND(F1457&gt;= DATE(2026,1,1), F1457&lt;= DATE(2028, 12, 31), J1457&lt;=50000), "Pendente", F1457&gt;= DATE(2029,1,1), "Não prioeitário")</f>
        <v>Pendente e Caro</v>
      </c>
      <c r="H1457" s="89">
        <f>YEAR(Tabela1[[#This Row],[Data de Validade]])</f>
        <v>2026</v>
      </c>
      <c r="I1457" s="89">
        <f>MONTH(Tabela1[[#This Row],[Data de Validade]])</f>
        <v>11</v>
      </c>
      <c r="J1457" s="101">
        <v>102247</v>
      </c>
      <c r="K1457" s="87" t="s">
        <v>14</v>
      </c>
      <c r="L1457" s="108"/>
      <c r="M1457" s="108"/>
      <c r="N1457" s="108" t="str">
        <v>P917H765</v>
      </c>
      <c r="O1457" s="108">
        <f t="shared" si="24"/>
        <v>1</v>
      </c>
      <c r="P1457" s="108"/>
      <c r="Q1457"/>
    </row>
    <row r="1458" spans="1:17" x14ac:dyDescent="0.25">
      <c r="A1458" s="89" t="s">
        <v>10976</v>
      </c>
      <c r="B1458" s="87" t="s">
        <v>10977</v>
      </c>
      <c r="C1458" s="87" t="s">
        <v>13</v>
      </c>
      <c r="D1458" s="87" t="str">
        <f>VLOOKUP(Tabela1[[#This Row],[Origem]], 'Perguntas 1 a 24'!$J$28:$K$34, 2, 0)</f>
        <v>Sudeste</v>
      </c>
      <c r="E1458" s="87" t="str">
        <f>Tabela1[[#This Row],[Descrição]]&amp;"-"&amp;Tabela1[[#This Row],[Código]]&amp;"/"&amp;Tabela1[[#This Row],[Origem]]</f>
        <v>Dafapimuro-H289H557/SP</v>
      </c>
      <c r="F1458" s="88">
        <v>46327</v>
      </c>
      <c r="G1458" s="88" t="str" cm="1">
        <f t="array" ref="G14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AND(F1458&gt;= DATE(2026,1,1), F1458&lt;= DATE(2028, 12, 31), J1458&gt;50000), "Pendente e Caro", AND(F1458&gt;= DATE(2026,1,1), F1458&lt;= DATE(2028, 12, 31), J1458&lt;=50000), "Pendente", F1458&gt;= DATE(2029,1,1), "Não prioeitário")</f>
        <v>Pendente</v>
      </c>
      <c r="H1458" s="89">
        <f>YEAR(Tabela1[[#This Row],[Data de Validade]])</f>
        <v>2026</v>
      </c>
      <c r="I1458" s="89">
        <f>MONTH(Tabela1[[#This Row],[Data de Validade]])</f>
        <v>11</v>
      </c>
      <c r="J1458" s="101">
        <v>37489</v>
      </c>
      <c r="K1458" s="87" t="s">
        <v>11</v>
      </c>
      <c r="L1458" s="108"/>
      <c r="M1458" s="108"/>
      <c r="N1458" s="108" t="str">
        <v>H289H557</v>
      </c>
      <c r="O1458" s="108">
        <f t="shared" si="24"/>
        <v>1</v>
      </c>
      <c r="P1458" s="108"/>
      <c r="Q1458"/>
    </row>
    <row r="1459" spans="1:17" x14ac:dyDescent="0.25">
      <c r="A1459" s="89" t="s">
        <v>8695</v>
      </c>
      <c r="B1459" s="87" t="s">
        <v>8696</v>
      </c>
      <c r="C1459" s="87" t="s">
        <v>8</v>
      </c>
      <c r="D1459" s="87" t="str">
        <f>VLOOKUP(Tabela1[[#This Row],[Origem]], 'Perguntas 1 a 24'!$J$28:$K$34, 2, 0)</f>
        <v>Nordeste</v>
      </c>
      <c r="E1459" s="87" t="str">
        <f>Tabela1[[#This Row],[Descrição]]&amp;"-"&amp;Tabela1[[#This Row],[Código]]&amp;"/"&amp;Tabela1[[#This Row],[Origem]]</f>
        <v>Mupudave-H776H352/AL</v>
      </c>
      <c r="F1459" s="88">
        <v>46328</v>
      </c>
      <c r="G1459" s="88" t="str" cm="1">
        <f t="array" ref="G14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AND(F1459&gt;= DATE(2026,1,1), F1459&lt;= DATE(2028, 12, 31), J1459&gt;50000), "Pendente e Caro", AND(F1459&gt;= DATE(2026,1,1), F1459&lt;= DATE(2028, 12, 31), J1459&lt;=50000), "Pendente", F1459&gt;= DATE(2029,1,1), "Não prioeitário")</f>
        <v>Pendente e Caro</v>
      </c>
      <c r="H1459" s="89">
        <f>YEAR(Tabela1[[#This Row],[Data de Validade]])</f>
        <v>2026</v>
      </c>
      <c r="I1459" s="89">
        <f>MONTH(Tabela1[[#This Row],[Data de Validade]])</f>
        <v>11</v>
      </c>
      <c r="J1459" s="101">
        <v>52165</v>
      </c>
      <c r="K1459" s="87" t="s">
        <v>9</v>
      </c>
      <c r="L1459" s="108"/>
      <c r="M1459" s="108"/>
      <c r="N1459" s="108" t="str">
        <v>H776H352</v>
      </c>
      <c r="O1459" s="108">
        <f t="shared" si="24"/>
        <v>1</v>
      </c>
      <c r="P1459" s="108"/>
      <c r="Q1459"/>
    </row>
    <row r="1460" spans="1:17" x14ac:dyDescent="0.25">
      <c r="A1460" s="89" t="s">
        <v>8943</v>
      </c>
      <c r="B1460" s="87" t="s">
        <v>8944</v>
      </c>
      <c r="C1460" s="87" t="s">
        <v>6</v>
      </c>
      <c r="D1460" s="87" t="str">
        <f>VLOOKUP(Tabela1[[#This Row],[Origem]], 'Perguntas 1 a 24'!$J$28:$K$34, 2, 0)</f>
        <v>Nordeste</v>
      </c>
      <c r="E1460" s="87" t="str">
        <f>Tabela1[[#This Row],[Descrição]]&amp;"-"&amp;Tabela1[[#This Row],[Código]]&amp;"/"&amp;Tabela1[[#This Row],[Origem]]</f>
        <v>Ragelurapo-P992P261/MA</v>
      </c>
      <c r="F1460" s="88">
        <v>46331</v>
      </c>
      <c r="G1460" s="88" t="str" cm="1">
        <f t="array" ref="G14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AND(F1460&gt;= DATE(2026,1,1), F1460&lt;= DATE(2028, 12, 31), J1460&gt;50000), "Pendente e Caro", AND(F1460&gt;= DATE(2026,1,1), F1460&lt;= DATE(2028, 12, 31), J1460&lt;=50000), "Pendente", F1460&gt;= DATE(2029,1,1), "Não prioeitário")</f>
        <v>Pendente e Caro</v>
      </c>
      <c r="H1460" s="89">
        <f>YEAR(Tabela1[[#This Row],[Data de Validade]])</f>
        <v>2026</v>
      </c>
      <c r="I1460" s="89">
        <f>MONTH(Tabela1[[#This Row],[Data de Validade]])</f>
        <v>11</v>
      </c>
      <c r="J1460" s="101">
        <v>102865</v>
      </c>
      <c r="K1460" s="87" t="s">
        <v>7</v>
      </c>
      <c r="L1460" s="108"/>
      <c r="M1460" s="108"/>
      <c r="N1460" s="108" t="str">
        <v>P992P261</v>
      </c>
      <c r="O1460" s="108">
        <f t="shared" si="24"/>
        <v>1</v>
      </c>
      <c r="P1460" s="108"/>
      <c r="Q1460"/>
    </row>
    <row r="1461" spans="1:17" x14ac:dyDescent="0.25">
      <c r="A1461" s="89" t="s">
        <v>6410</v>
      </c>
      <c r="B1461" s="87" t="s">
        <v>6411</v>
      </c>
      <c r="C1461" s="87" t="s">
        <v>13</v>
      </c>
      <c r="D1461" s="87" t="str">
        <f>VLOOKUP(Tabela1[[#This Row],[Origem]], 'Perguntas 1 a 24'!$J$28:$K$34, 2, 0)</f>
        <v>Sudeste</v>
      </c>
      <c r="E1461" s="87" t="str">
        <f>Tabela1[[#This Row],[Descrição]]&amp;"-"&amp;Tabela1[[#This Row],[Código]]&amp;"/"&amp;Tabela1[[#This Row],[Origem]]</f>
        <v>Padula-P932H516/SP</v>
      </c>
      <c r="F1461" s="88">
        <v>46331</v>
      </c>
      <c r="G1461" s="88" t="str" cm="1">
        <f t="array" ref="G14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AND(F1461&gt;= DATE(2026,1,1), F1461&lt;= DATE(2028, 12, 31), J1461&gt;50000), "Pendente e Caro", AND(F1461&gt;= DATE(2026,1,1), F1461&lt;= DATE(2028, 12, 31), J1461&lt;=50000), "Pendente", F1461&gt;= DATE(2029,1,1), "Não prioeitário")</f>
        <v>Pendente e Caro</v>
      </c>
      <c r="H1461" s="89">
        <f>YEAR(Tabela1[[#This Row],[Data de Validade]])</f>
        <v>2026</v>
      </c>
      <c r="I1461" s="89">
        <f>MONTH(Tabela1[[#This Row],[Data de Validade]])</f>
        <v>11</v>
      </c>
      <c r="J1461" s="101">
        <v>102637</v>
      </c>
      <c r="K1461" s="87" t="s">
        <v>7</v>
      </c>
      <c r="L1461" s="108"/>
      <c r="M1461" s="108"/>
      <c r="N1461" s="108" t="str">
        <v>P932H516</v>
      </c>
      <c r="O1461" s="108">
        <f t="shared" si="24"/>
        <v>1</v>
      </c>
      <c r="P1461" s="108"/>
      <c r="Q1461"/>
    </row>
    <row r="1462" spans="1:17" x14ac:dyDescent="0.25">
      <c r="A1462" s="89" t="s">
        <v>3870</v>
      </c>
      <c r="B1462" s="87" t="s">
        <v>3871</v>
      </c>
      <c r="C1462" s="87" t="s">
        <v>10</v>
      </c>
      <c r="D1462" s="87" t="str">
        <f>VLOOKUP(Tabela1[[#This Row],[Origem]], 'Perguntas 1 a 24'!$J$28:$K$34, 2, 0)</f>
        <v>Centro-Oeste</v>
      </c>
      <c r="E1462" s="87" t="str">
        <f>Tabela1[[#This Row],[Descrição]]&amp;"-"&amp;Tabela1[[#This Row],[Código]]&amp;"/"&amp;Tabela1[[#This Row],[Origem]]</f>
        <v>Pilurotu-H383P883/GO</v>
      </c>
      <c r="F1462" s="88">
        <v>46332</v>
      </c>
      <c r="G1462" s="88" t="str" cm="1">
        <f t="array" ref="G14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AND(F1462&gt;= DATE(2026,1,1), F1462&lt;= DATE(2028, 12, 31), J1462&gt;50000), "Pendente e Caro", AND(F1462&gt;= DATE(2026,1,1), F1462&lt;= DATE(2028, 12, 31), J1462&lt;=50000), "Pendente", F1462&gt;= DATE(2029,1,1), "Não prioeitário")</f>
        <v>Pendente e Caro</v>
      </c>
      <c r="H1462" s="89">
        <f>YEAR(Tabela1[[#This Row],[Data de Validade]])</f>
        <v>2026</v>
      </c>
      <c r="I1462" s="89">
        <f>MONTH(Tabela1[[#This Row],[Data de Validade]])</f>
        <v>11</v>
      </c>
      <c r="J1462" s="101">
        <v>75561</v>
      </c>
      <c r="K1462" s="87" t="s">
        <v>9</v>
      </c>
      <c r="L1462" s="108"/>
      <c r="M1462" s="108"/>
      <c r="N1462" s="108" t="str">
        <v>H383P883</v>
      </c>
      <c r="O1462" s="108">
        <f t="shared" si="24"/>
        <v>1</v>
      </c>
      <c r="P1462" s="108"/>
      <c r="Q1462"/>
    </row>
    <row r="1463" spans="1:17" x14ac:dyDescent="0.25">
      <c r="A1463" s="89" t="s">
        <v>10705</v>
      </c>
      <c r="B1463" s="87" t="s">
        <v>10706</v>
      </c>
      <c r="C1463" s="87" t="s">
        <v>6</v>
      </c>
      <c r="D1463" s="87" t="str">
        <f>VLOOKUP(Tabela1[[#This Row],[Origem]], 'Perguntas 1 a 24'!$J$28:$K$34, 2, 0)</f>
        <v>Nordeste</v>
      </c>
      <c r="E1463" s="87" t="str">
        <f>Tabela1[[#This Row],[Descrição]]&amp;"-"&amp;Tabela1[[#This Row],[Código]]&amp;"/"&amp;Tabela1[[#This Row],[Origem]]</f>
        <v>Tafovo-H471P831/MA</v>
      </c>
      <c r="F1463" s="88">
        <v>46332</v>
      </c>
      <c r="G1463" s="88" t="str" cm="1">
        <f t="array" ref="G14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AND(F1463&gt;= DATE(2026,1,1), F1463&lt;= DATE(2028, 12, 31), J1463&gt;50000), "Pendente e Caro", AND(F1463&gt;= DATE(2026,1,1), F1463&lt;= DATE(2028, 12, 31), J1463&lt;=50000), "Pendente", F1463&gt;= DATE(2029,1,1), "Não prioeitário")</f>
        <v>Pendente</v>
      </c>
      <c r="H1463" s="89">
        <f>YEAR(Tabela1[[#This Row],[Data de Validade]])</f>
        <v>2026</v>
      </c>
      <c r="I1463" s="89">
        <f>MONTH(Tabela1[[#This Row],[Data de Validade]])</f>
        <v>11</v>
      </c>
      <c r="J1463" s="101">
        <v>43279</v>
      </c>
      <c r="K1463" s="87" t="s">
        <v>9</v>
      </c>
      <c r="L1463" s="108"/>
      <c r="M1463" s="108"/>
      <c r="N1463" s="108" t="str">
        <v>H471P831</v>
      </c>
      <c r="O1463" s="108">
        <f t="shared" si="24"/>
        <v>1</v>
      </c>
      <c r="P1463" s="108"/>
      <c r="Q1463"/>
    </row>
    <row r="1464" spans="1:17" x14ac:dyDescent="0.25">
      <c r="A1464" s="89" t="s">
        <v>8685</v>
      </c>
      <c r="B1464" s="87" t="s">
        <v>8686</v>
      </c>
      <c r="C1464" s="87" t="s">
        <v>15</v>
      </c>
      <c r="D1464" s="87" t="str">
        <f>VLOOKUP(Tabela1[[#This Row],[Origem]], 'Perguntas 1 a 24'!$J$28:$K$34, 2, 0)</f>
        <v>Sudeste</v>
      </c>
      <c r="E1464" s="87" t="str">
        <f>Tabela1[[#This Row],[Descrição]]&amp;"-"&amp;Tabela1[[#This Row],[Código]]&amp;"/"&amp;Tabela1[[#This Row],[Origem]]</f>
        <v>Mofifi-P738P663/ES</v>
      </c>
      <c r="F1464" s="88">
        <v>46332</v>
      </c>
      <c r="G1464" s="88" t="str" cm="1">
        <f t="array" ref="G14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AND(F1464&gt;= DATE(2026,1,1), F1464&lt;= DATE(2028, 12, 31), J1464&gt;50000), "Pendente e Caro", AND(F1464&gt;= DATE(2026,1,1), F1464&lt;= DATE(2028, 12, 31), J1464&lt;=50000), "Pendente", F1464&gt;= DATE(2029,1,1), "Não prioeitário")</f>
        <v>Pendente</v>
      </c>
      <c r="H1464" s="89">
        <f>YEAR(Tabela1[[#This Row],[Data de Validade]])</f>
        <v>2026</v>
      </c>
      <c r="I1464" s="89">
        <f>MONTH(Tabela1[[#This Row],[Data de Validade]])</f>
        <v>11</v>
      </c>
      <c r="J1464" s="101">
        <v>23170</v>
      </c>
      <c r="K1464" s="87" t="s">
        <v>9</v>
      </c>
      <c r="L1464" s="108"/>
      <c r="M1464" s="108"/>
      <c r="N1464" s="108" t="str">
        <v>P738P663</v>
      </c>
      <c r="O1464" s="108">
        <f t="shared" si="24"/>
        <v>1</v>
      </c>
      <c r="P1464" s="108"/>
      <c r="Q1464"/>
    </row>
    <row r="1465" spans="1:17" x14ac:dyDescent="0.25">
      <c r="A1465" s="89" t="s">
        <v>4660</v>
      </c>
      <c r="B1465" s="87" t="s">
        <v>4661</v>
      </c>
      <c r="C1465" s="87" t="s">
        <v>12</v>
      </c>
      <c r="D1465" s="87" t="str">
        <f>VLOOKUP(Tabela1[[#This Row],[Origem]], 'Perguntas 1 a 24'!$J$28:$K$34, 2, 0)</f>
        <v>Sudeste</v>
      </c>
      <c r="E1465" s="87" t="str">
        <f>Tabela1[[#This Row],[Descrição]]&amp;"-"&amp;Tabela1[[#This Row],[Código]]&amp;"/"&amp;Tabela1[[#This Row],[Origem]]</f>
        <v>Culelifofi-P234P125/RJ</v>
      </c>
      <c r="F1465" s="88">
        <v>46333</v>
      </c>
      <c r="G1465" s="88" t="str" cm="1">
        <f t="array" ref="G14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AND(F1465&gt;= DATE(2026,1,1), F1465&lt;= DATE(2028, 12, 31), J1465&gt;50000), "Pendente e Caro", AND(F1465&gt;= DATE(2026,1,1), F1465&lt;= DATE(2028, 12, 31), J1465&lt;=50000), "Pendente", F1465&gt;= DATE(2029,1,1), "Não prioeitário")</f>
        <v>Pendente e Caro</v>
      </c>
      <c r="H1465" s="89">
        <f>YEAR(Tabela1[[#This Row],[Data de Validade]])</f>
        <v>2026</v>
      </c>
      <c r="I1465" s="89">
        <f>MONTH(Tabela1[[#This Row],[Data de Validade]])</f>
        <v>11</v>
      </c>
      <c r="J1465" s="101">
        <v>117212</v>
      </c>
      <c r="K1465" s="87" t="s">
        <v>11</v>
      </c>
      <c r="L1465" s="108"/>
      <c r="M1465" s="108"/>
      <c r="N1465" s="108" t="str">
        <v>P234P125</v>
      </c>
      <c r="O1465" s="108">
        <f t="shared" si="24"/>
        <v>1</v>
      </c>
      <c r="P1465" s="108"/>
      <c r="Q1465"/>
    </row>
    <row r="1466" spans="1:17" x14ac:dyDescent="0.25">
      <c r="A1466" s="89" t="s">
        <v>11210</v>
      </c>
      <c r="B1466" s="87" t="s">
        <v>11211</v>
      </c>
      <c r="C1466" s="87" t="s">
        <v>6</v>
      </c>
      <c r="D1466" s="87" t="str">
        <f>VLOOKUP(Tabela1[[#This Row],[Origem]], 'Perguntas 1 a 24'!$J$28:$K$34, 2, 0)</f>
        <v>Nordeste</v>
      </c>
      <c r="E1466" s="87" t="str">
        <f>Tabela1[[#This Row],[Descrição]]&amp;"-"&amp;Tabela1[[#This Row],[Código]]&amp;"/"&amp;Tabela1[[#This Row],[Origem]]</f>
        <v>Tunonurepo-P987H629/MA</v>
      </c>
      <c r="F1466" s="88">
        <v>46333</v>
      </c>
      <c r="G1466" s="88" t="str" cm="1">
        <f t="array" ref="G14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AND(F1466&gt;= DATE(2026,1,1), F1466&lt;= DATE(2028, 12, 31), J1466&gt;50000), "Pendente e Caro", AND(F1466&gt;= DATE(2026,1,1), F1466&lt;= DATE(2028, 12, 31), J1466&lt;=50000), "Pendente", F1466&gt;= DATE(2029,1,1), "Não prioeitário")</f>
        <v>Pendente e Caro</v>
      </c>
      <c r="H1466" s="89">
        <f>YEAR(Tabela1[[#This Row],[Data de Validade]])</f>
        <v>2026</v>
      </c>
      <c r="I1466" s="89">
        <f>MONTH(Tabela1[[#This Row],[Data de Validade]])</f>
        <v>11</v>
      </c>
      <c r="J1466" s="101">
        <v>56319</v>
      </c>
      <c r="K1466" s="87" t="s">
        <v>11</v>
      </c>
      <c r="L1466" s="108"/>
      <c r="M1466" s="108"/>
      <c r="N1466" s="108" t="str">
        <v>P987H629</v>
      </c>
      <c r="O1466" s="108">
        <f t="shared" si="24"/>
        <v>1</v>
      </c>
      <c r="P1466" s="108"/>
      <c r="Q1466"/>
    </row>
    <row r="1467" spans="1:17" x14ac:dyDescent="0.25">
      <c r="A1467" s="89" t="s">
        <v>6012</v>
      </c>
      <c r="B1467" s="87" t="s">
        <v>6013</v>
      </c>
      <c r="C1467" s="87" t="s">
        <v>8</v>
      </c>
      <c r="D1467" s="87" t="str">
        <f>VLOOKUP(Tabela1[[#This Row],[Origem]], 'Perguntas 1 a 24'!$J$28:$K$34, 2, 0)</f>
        <v>Nordeste</v>
      </c>
      <c r="E1467" s="87" t="str">
        <f>Tabela1[[#This Row],[Descrição]]&amp;"-"&amp;Tabela1[[#This Row],[Código]]&amp;"/"&amp;Tabela1[[#This Row],[Origem]]</f>
        <v>Dutaromipa-P616P664/AL</v>
      </c>
      <c r="F1467" s="88">
        <v>46334</v>
      </c>
      <c r="G1467" s="88" t="str" cm="1">
        <f t="array" ref="G14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AND(F1467&gt;= DATE(2026,1,1), F1467&lt;= DATE(2028, 12, 31), J1467&gt;50000), "Pendente e Caro", AND(F1467&gt;= DATE(2026,1,1), F1467&lt;= DATE(2028, 12, 31), J1467&lt;=50000), "Pendente", F1467&gt;= DATE(2029,1,1), "Não prioeitário")</f>
        <v>Pendente e Caro</v>
      </c>
      <c r="H1467" s="89">
        <f>YEAR(Tabela1[[#This Row],[Data de Validade]])</f>
        <v>2026</v>
      </c>
      <c r="I1467" s="89">
        <f>MONTH(Tabela1[[#This Row],[Data de Validade]])</f>
        <v>11</v>
      </c>
      <c r="J1467" s="101">
        <v>112877</v>
      </c>
      <c r="K1467" s="87" t="s">
        <v>11</v>
      </c>
      <c r="L1467" s="108"/>
      <c r="M1467" s="108"/>
      <c r="N1467" s="108" t="str">
        <v>P616P664</v>
      </c>
      <c r="O1467" s="108">
        <f t="shared" si="24"/>
        <v>1</v>
      </c>
      <c r="P1467" s="108"/>
      <c r="Q1467"/>
    </row>
    <row r="1468" spans="1:17" x14ac:dyDescent="0.25">
      <c r="A1468" s="89" t="s">
        <v>7496</v>
      </c>
      <c r="B1468" s="87" t="s">
        <v>7497</v>
      </c>
      <c r="C1468" s="87" t="s">
        <v>10</v>
      </c>
      <c r="D1468" s="87" t="str">
        <f>VLOOKUP(Tabela1[[#This Row],[Origem]], 'Perguntas 1 a 24'!$J$28:$K$34, 2, 0)</f>
        <v>Centro-Oeste</v>
      </c>
      <c r="E1468" s="87" t="str">
        <f>Tabela1[[#This Row],[Descrição]]&amp;"-"&amp;Tabela1[[#This Row],[Código]]&amp;"/"&amp;Tabela1[[#This Row],[Origem]]</f>
        <v>Lamefepe-H487P611/GO</v>
      </c>
      <c r="F1468" s="88">
        <v>46334</v>
      </c>
      <c r="G1468" s="88" t="str" cm="1">
        <f t="array" ref="G14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AND(F1468&gt;= DATE(2026,1,1), F1468&lt;= DATE(2028, 12, 31), J1468&gt;50000), "Pendente e Caro", AND(F1468&gt;= DATE(2026,1,1), F1468&lt;= DATE(2028, 12, 31), J1468&lt;=50000), "Pendente", F1468&gt;= DATE(2029,1,1), "Não prioeitário")</f>
        <v>Pendente e Caro</v>
      </c>
      <c r="H1468" s="89">
        <f>YEAR(Tabela1[[#This Row],[Data de Validade]])</f>
        <v>2026</v>
      </c>
      <c r="I1468" s="89">
        <f>MONTH(Tabela1[[#This Row],[Data de Validade]])</f>
        <v>11</v>
      </c>
      <c r="J1468" s="101">
        <v>61230</v>
      </c>
      <c r="K1468" s="87" t="s">
        <v>9</v>
      </c>
      <c r="L1468" s="108"/>
      <c r="M1468" s="108"/>
      <c r="N1468" s="108" t="str">
        <v>H487P611</v>
      </c>
      <c r="O1468" s="108">
        <f t="shared" si="24"/>
        <v>1</v>
      </c>
      <c r="P1468" s="108"/>
      <c r="Q1468"/>
    </row>
    <row r="1469" spans="1:17" x14ac:dyDescent="0.25">
      <c r="A1469" s="89" t="s">
        <v>4453</v>
      </c>
      <c r="B1469" s="87" t="s">
        <v>4454</v>
      </c>
      <c r="C1469" s="87" t="s">
        <v>12</v>
      </c>
      <c r="D1469" s="87" t="str">
        <f>VLOOKUP(Tabela1[[#This Row],[Origem]], 'Perguntas 1 a 24'!$J$28:$K$34, 2, 0)</f>
        <v>Sudeste</v>
      </c>
      <c r="E1469" s="87" t="str">
        <f>Tabela1[[#This Row],[Descrição]]&amp;"-"&amp;Tabela1[[#This Row],[Código]]&amp;"/"&amp;Tabela1[[#This Row],[Origem]]</f>
        <v>Vepipeculu-P746P572/RJ</v>
      </c>
      <c r="F1469" s="88">
        <v>46335</v>
      </c>
      <c r="G1469" s="88" t="str" cm="1">
        <f t="array" ref="G14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AND(F1469&gt;= DATE(2026,1,1), F1469&lt;= DATE(2028, 12, 31), J1469&gt;50000), "Pendente e Caro", AND(F1469&gt;= DATE(2026,1,1), F1469&lt;= DATE(2028, 12, 31), J1469&lt;=50000), "Pendente", F1469&gt;= DATE(2029,1,1), "Não prioeitário")</f>
        <v>Pendente e Caro</v>
      </c>
      <c r="H1469" s="89">
        <f>YEAR(Tabela1[[#This Row],[Data de Validade]])</f>
        <v>2026</v>
      </c>
      <c r="I1469" s="89">
        <f>MONTH(Tabela1[[#This Row],[Data de Validade]])</f>
        <v>11</v>
      </c>
      <c r="J1469" s="101">
        <v>97300</v>
      </c>
      <c r="K1469" s="87" t="s">
        <v>11</v>
      </c>
      <c r="L1469" s="108"/>
      <c r="M1469" s="108"/>
      <c r="N1469" s="108" t="str">
        <v>P746P572</v>
      </c>
      <c r="O1469" s="108">
        <f t="shared" si="24"/>
        <v>1</v>
      </c>
      <c r="P1469" s="108"/>
      <c r="Q1469"/>
    </row>
    <row r="1470" spans="1:17" x14ac:dyDescent="0.25">
      <c r="A1470" s="89" t="s">
        <v>7450</v>
      </c>
      <c r="B1470" s="87" t="s">
        <v>7451</v>
      </c>
      <c r="C1470" s="87" t="s">
        <v>13</v>
      </c>
      <c r="D1470" s="87" t="str">
        <f>VLOOKUP(Tabela1[[#This Row],[Origem]], 'Perguntas 1 a 24'!$J$28:$K$34, 2, 0)</f>
        <v>Sudeste</v>
      </c>
      <c r="E1470" s="87" t="str">
        <f>Tabela1[[#This Row],[Descrição]]&amp;"-"&amp;Tabela1[[#This Row],[Código]]&amp;"/"&amp;Tabela1[[#This Row],[Origem]]</f>
        <v>Murerava-H227P855/SP</v>
      </c>
      <c r="F1470" s="88">
        <v>46335</v>
      </c>
      <c r="G1470" s="88" t="str" cm="1">
        <f t="array" ref="G14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AND(F1470&gt;= DATE(2026,1,1), F1470&lt;= DATE(2028, 12, 31), J1470&gt;50000), "Pendente e Caro", AND(F1470&gt;= DATE(2026,1,1), F1470&lt;= DATE(2028, 12, 31), J1470&lt;=50000), "Pendente", F1470&gt;= DATE(2029,1,1), "Não prioeitário")</f>
        <v>Pendente e Caro</v>
      </c>
      <c r="H1470" s="89">
        <f>YEAR(Tabela1[[#This Row],[Data de Validade]])</f>
        <v>2026</v>
      </c>
      <c r="I1470" s="89">
        <f>MONTH(Tabela1[[#This Row],[Data de Validade]])</f>
        <v>11</v>
      </c>
      <c r="J1470" s="101">
        <v>76396</v>
      </c>
      <c r="K1470" s="87" t="s">
        <v>11</v>
      </c>
      <c r="L1470" s="108"/>
      <c r="M1470" s="108"/>
      <c r="N1470" s="108" t="str">
        <v>H227P855</v>
      </c>
      <c r="O1470" s="108">
        <f t="shared" si="24"/>
        <v>1</v>
      </c>
      <c r="P1470" s="108"/>
      <c r="Q1470"/>
    </row>
    <row r="1471" spans="1:17" x14ac:dyDescent="0.25">
      <c r="A1471" s="89" t="s">
        <v>11302</v>
      </c>
      <c r="B1471" s="87" t="s">
        <v>11303</v>
      </c>
      <c r="C1471" s="87" t="s">
        <v>10</v>
      </c>
      <c r="D1471" s="87" t="str">
        <f>VLOOKUP(Tabela1[[#This Row],[Origem]], 'Perguntas 1 a 24'!$J$28:$K$34, 2, 0)</f>
        <v>Centro-Oeste</v>
      </c>
      <c r="E1471" s="87" t="str">
        <f>Tabela1[[#This Row],[Descrição]]&amp;"-"&amp;Tabela1[[#This Row],[Código]]&amp;"/"&amp;Tabela1[[#This Row],[Origem]]</f>
        <v>Pudapigo-P368H496/GO</v>
      </c>
      <c r="F1471" s="88">
        <v>46335</v>
      </c>
      <c r="G1471" s="88" t="str" cm="1">
        <f t="array" ref="G14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AND(F1471&gt;= DATE(2026,1,1), F1471&lt;= DATE(2028, 12, 31), J1471&gt;50000), "Pendente e Caro", AND(F1471&gt;= DATE(2026,1,1), F1471&lt;= DATE(2028, 12, 31), J1471&lt;=50000), "Pendente", F1471&gt;= DATE(2029,1,1), "Não prioeitário")</f>
        <v>Pendente e Caro</v>
      </c>
      <c r="H1471" s="89">
        <f>YEAR(Tabela1[[#This Row],[Data de Validade]])</f>
        <v>2026</v>
      </c>
      <c r="I1471" s="89">
        <f>MONTH(Tabela1[[#This Row],[Data de Validade]])</f>
        <v>11</v>
      </c>
      <c r="J1471" s="101">
        <v>68289</v>
      </c>
      <c r="K1471" s="87" t="s">
        <v>14</v>
      </c>
      <c r="L1471" s="108"/>
      <c r="M1471" s="108"/>
      <c r="N1471" s="108" t="str">
        <v>P368H496</v>
      </c>
      <c r="O1471" s="108">
        <f t="shared" si="24"/>
        <v>1</v>
      </c>
      <c r="P1471" s="108"/>
      <c r="Q1471"/>
    </row>
    <row r="1472" spans="1:17" x14ac:dyDescent="0.25">
      <c r="A1472" s="89" t="s">
        <v>6880</v>
      </c>
      <c r="B1472" s="87" t="s">
        <v>6881</v>
      </c>
      <c r="C1472" s="87" t="s">
        <v>13</v>
      </c>
      <c r="D1472" s="87" t="str">
        <f>VLOOKUP(Tabela1[[#This Row],[Origem]], 'Perguntas 1 a 24'!$J$28:$K$34, 2, 0)</f>
        <v>Sudeste</v>
      </c>
      <c r="E1472" s="87" t="str">
        <f>Tabela1[[#This Row],[Descrição]]&amp;"-"&amp;Tabela1[[#This Row],[Código]]&amp;"/"&amp;Tabela1[[#This Row],[Origem]]</f>
        <v>Mefepedupi-H416H849/SP</v>
      </c>
      <c r="F1472" s="88">
        <v>46335</v>
      </c>
      <c r="G1472" s="88" t="str" cm="1">
        <f t="array" ref="G14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AND(F1472&gt;= DATE(2026,1,1), F1472&lt;= DATE(2028, 12, 31), J1472&gt;50000), "Pendente e Caro", AND(F1472&gt;= DATE(2026,1,1), F1472&lt;= DATE(2028, 12, 31), J1472&lt;=50000), "Pendente", F1472&gt;= DATE(2029,1,1), "Não prioeitário")</f>
        <v>Pendente</v>
      </c>
      <c r="H1472" s="89">
        <f>YEAR(Tabela1[[#This Row],[Data de Validade]])</f>
        <v>2026</v>
      </c>
      <c r="I1472" s="89">
        <f>MONTH(Tabela1[[#This Row],[Data de Validade]])</f>
        <v>11</v>
      </c>
      <c r="J1472" s="101">
        <v>40330</v>
      </c>
      <c r="K1472" s="87" t="s">
        <v>7</v>
      </c>
      <c r="L1472" s="108"/>
      <c r="M1472" s="108"/>
      <c r="N1472" s="108" t="str">
        <v>H416H849</v>
      </c>
      <c r="O1472" s="108">
        <f t="shared" si="24"/>
        <v>1</v>
      </c>
      <c r="P1472" s="108"/>
      <c r="Q1472"/>
    </row>
    <row r="1473" spans="1:17" x14ac:dyDescent="0.25">
      <c r="A1473" s="89" t="s">
        <v>4820</v>
      </c>
      <c r="B1473" s="87" t="s">
        <v>4821</v>
      </c>
      <c r="C1473" s="87" t="s">
        <v>13</v>
      </c>
      <c r="D1473" s="87" t="str">
        <f>VLOOKUP(Tabela1[[#This Row],[Origem]], 'Perguntas 1 a 24'!$J$28:$K$34, 2, 0)</f>
        <v>Sudeste</v>
      </c>
      <c r="E1473" s="87" t="str">
        <f>Tabela1[[#This Row],[Descrição]]&amp;"-"&amp;Tabela1[[#This Row],[Código]]&amp;"/"&amp;Tabela1[[#This Row],[Origem]]</f>
        <v>Citufopo-P721H459/SP</v>
      </c>
      <c r="F1473" s="88">
        <v>46336</v>
      </c>
      <c r="G1473" s="88" t="str" cm="1">
        <f t="array" ref="G14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AND(F1473&gt;= DATE(2026,1,1), F1473&lt;= DATE(2028, 12, 31), J1473&gt;50000), "Pendente e Caro", AND(F1473&gt;= DATE(2026,1,1), F1473&lt;= DATE(2028, 12, 31), J1473&lt;=50000), "Pendente", F1473&gt;= DATE(2029,1,1), "Não prioeitário")</f>
        <v>Pendente e Caro</v>
      </c>
      <c r="H1473" s="89">
        <f>YEAR(Tabela1[[#This Row],[Data de Validade]])</f>
        <v>2026</v>
      </c>
      <c r="I1473" s="89">
        <f>MONTH(Tabela1[[#This Row],[Data de Validade]])</f>
        <v>11</v>
      </c>
      <c r="J1473" s="101">
        <v>97237</v>
      </c>
      <c r="K1473" s="87" t="s">
        <v>7</v>
      </c>
      <c r="L1473" s="108"/>
      <c r="M1473" s="108"/>
      <c r="N1473" s="108" t="str">
        <v>P721H459</v>
      </c>
      <c r="O1473" s="108">
        <f t="shared" si="24"/>
        <v>1</v>
      </c>
      <c r="P1473" s="108"/>
      <c r="Q1473"/>
    </row>
    <row r="1474" spans="1:17" x14ac:dyDescent="0.25">
      <c r="A1474" s="89" t="s">
        <v>4363</v>
      </c>
      <c r="B1474" s="87" t="s">
        <v>4364</v>
      </c>
      <c r="C1474" s="87" t="s">
        <v>13</v>
      </c>
      <c r="D1474" s="87" t="str">
        <f>VLOOKUP(Tabela1[[#This Row],[Origem]], 'Perguntas 1 a 24'!$J$28:$K$34, 2, 0)</f>
        <v>Sudeste</v>
      </c>
      <c r="E1474" s="87" t="str">
        <f>Tabela1[[#This Row],[Descrição]]&amp;"-"&amp;Tabela1[[#This Row],[Código]]&amp;"/"&amp;Tabela1[[#This Row],[Origem]]</f>
        <v>Pecefuceru-P744P414/SP</v>
      </c>
      <c r="F1474" s="88">
        <v>46337</v>
      </c>
      <c r="G1474" s="88" t="str" cm="1">
        <f t="array" ref="G14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AND(F1474&gt;= DATE(2026,1,1), F1474&lt;= DATE(2028, 12, 31), J1474&gt;50000), "Pendente e Caro", AND(F1474&gt;= DATE(2026,1,1), F1474&lt;= DATE(2028, 12, 31), J1474&lt;=50000), "Pendente", F1474&gt;= DATE(2029,1,1), "Não prioeitário")</f>
        <v>Pendente e Caro</v>
      </c>
      <c r="H1474" s="89">
        <f>YEAR(Tabela1[[#This Row],[Data de Validade]])</f>
        <v>2026</v>
      </c>
      <c r="I1474" s="89">
        <f>MONTH(Tabela1[[#This Row],[Data de Validade]])</f>
        <v>11</v>
      </c>
      <c r="J1474" s="101">
        <v>77950</v>
      </c>
      <c r="K1474" s="87" t="s">
        <v>14</v>
      </c>
      <c r="L1474" s="108"/>
      <c r="M1474" s="108"/>
      <c r="N1474" s="108" t="str">
        <v>P744P414</v>
      </c>
      <c r="O1474" s="108">
        <f t="shared" si="24"/>
        <v>1</v>
      </c>
      <c r="P1474" s="108"/>
      <c r="Q1474"/>
    </row>
    <row r="1475" spans="1:17" x14ac:dyDescent="0.25">
      <c r="A1475" s="89" t="s">
        <v>4122</v>
      </c>
      <c r="B1475" s="87" t="s">
        <v>4123</v>
      </c>
      <c r="C1475" s="87" t="s">
        <v>16</v>
      </c>
      <c r="D1475" s="87" t="str">
        <f>VLOOKUP(Tabela1[[#This Row],[Origem]], 'Perguntas 1 a 24'!$J$28:$K$34, 2, 0)</f>
        <v>Sudeste</v>
      </c>
      <c r="E1475" s="87" t="str">
        <f>Tabela1[[#This Row],[Descrição]]&amp;"-"&amp;Tabela1[[#This Row],[Código]]&amp;"/"&amp;Tabela1[[#This Row],[Origem]]</f>
        <v>Fupupotepa-P863H316/MG</v>
      </c>
      <c r="F1475" s="88">
        <v>46337</v>
      </c>
      <c r="G1475" s="88" t="str" cm="1">
        <f t="array" ref="G14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AND(F1475&gt;= DATE(2026,1,1), F1475&lt;= DATE(2028, 12, 31), J1475&gt;50000), "Pendente e Caro", AND(F1475&gt;= DATE(2026,1,1), F1475&lt;= DATE(2028, 12, 31), J1475&lt;=50000), "Pendente", F1475&gt;= DATE(2029,1,1), "Não prioeitário")</f>
        <v>Pendente</v>
      </c>
      <c r="H1475" s="89">
        <f>YEAR(Tabela1[[#This Row],[Data de Validade]])</f>
        <v>2026</v>
      </c>
      <c r="I1475" s="89">
        <f>MONTH(Tabela1[[#This Row],[Data de Validade]])</f>
        <v>11</v>
      </c>
      <c r="J1475" s="101">
        <v>49313</v>
      </c>
      <c r="K1475" s="87" t="s">
        <v>11</v>
      </c>
      <c r="L1475" s="108"/>
      <c r="M1475" s="108"/>
      <c r="N1475" s="108" t="str">
        <v>P863H316</v>
      </c>
      <c r="O1475" s="108">
        <f t="shared" ref="O1475:O1538" si="25">COUNTIFS(B:B,N1475)</f>
        <v>1</v>
      </c>
      <c r="P1475" s="108"/>
      <c r="Q1475"/>
    </row>
    <row r="1476" spans="1:17" x14ac:dyDescent="0.25">
      <c r="A1476" s="89" t="s">
        <v>6146</v>
      </c>
      <c r="B1476" s="87" t="s">
        <v>6147</v>
      </c>
      <c r="C1476" s="87" t="s">
        <v>10</v>
      </c>
      <c r="D1476" s="87" t="str">
        <f>VLOOKUP(Tabela1[[#This Row],[Origem]], 'Perguntas 1 a 24'!$J$28:$K$34, 2, 0)</f>
        <v>Centro-Oeste</v>
      </c>
      <c r="E1476" s="87" t="str">
        <f>Tabela1[[#This Row],[Descrição]]&amp;"-"&amp;Tabela1[[#This Row],[Código]]&amp;"/"&amp;Tabela1[[#This Row],[Origem]]</f>
        <v>Pudimevato-P976P227/GO</v>
      </c>
      <c r="F1476" s="88">
        <v>46337</v>
      </c>
      <c r="G1476" s="88" t="str" cm="1">
        <f t="array" ref="G14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AND(F1476&gt;= DATE(2026,1,1), F1476&lt;= DATE(2028, 12, 31), J1476&gt;50000), "Pendente e Caro", AND(F1476&gt;= DATE(2026,1,1), F1476&lt;= DATE(2028, 12, 31), J1476&lt;=50000), "Pendente", F1476&gt;= DATE(2029,1,1), "Não prioeitário")</f>
        <v>Pendente</v>
      </c>
      <c r="H1476" s="89">
        <f>YEAR(Tabela1[[#This Row],[Data de Validade]])</f>
        <v>2026</v>
      </c>
      <c r="I1476" s="89">
        <f>MONTH(Tabela1[[#This Row],[Data de Validade]])</f>
        <v>11</v>
      </c>
      <c r="J1476" s="101">
        <v>35482</v>
      </c>
      <c r="K1476" s="87" t="s">
        <v>9</v>
      </c>
      <c r="L1476" s="108"/>
      <c r="M1476" s="108"/>
      <c r="N1476" s="108" t="str">
        <v>P976P227</v>
      </c>
      <c r="O1476" s="108">
        <f t="shared" si="25"/>
        <v>1</v>
      </c>
      <c r="P1476" s="108"/>
      <c r="Q1476"/>
    </row>
    <row r="1477" spans="1:17" x14ac:dyDescent="0.25">
      <c r="A1477" s="89" t="s">
        <v>10231</v>
      </c>
      <c r="B1477" s="87" t="s">
        <v>10232</v>
      </c>
      <c r="C1477" s="87" t="s">
        <v>10</v>
      </c>
      <c r="D1477" s="87" t="str">
        <f>VLOOKUP(Tabela1[[#This Row],[Origem]], 'Perguntas 1 a 24'!$J$28:$K$34, 2, 0)</f>
        <v>Centro-Oeste</v>
      </c>
      <c r="E1477" s="87" t="str">
        <f>Tabela1[[#This Row],[Descrição]]&amp;"-"&amp;Tabela1[[#This Row],[Código]]&amp;"/"&amp;Tabela1[[#This Row],[Origem]]</f>
        <v>Focopalo-H757H344/GO</v>
      </c>
      <c r="F1477" s="88">
        <v>46338</v>
      </c>
      <c r="G1477" s="88" t="str" cm="1">
        <f t="array" ref="G14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AND(F1477&gt;= DATE(2026,1,1), F1477&lt;= DATE(2028, 12, 31), J1477&gt;50000), "Pendente e Caro", AND(F1477&gt;= DATE(2026,1,1), F1477&lt;= DATE(2028, 12, 31), J1477&lt;=50000), "Pendente", F1477&gt;= DATE(2029,1,1), "Não prioeitário")</f>
        <v>Pendente e Caro</v>
      </c>
      <c r="H1477" s="89">
        <f>YEAR(Tabela1[[#This Row],[Data de Validade]])</f>
        <v>2026</v>
      </c>
      <c r="I1477" s="89">
        <f>MONTH(Tabela1[[#This Row],[Data de Validade]])</f>
        <v>11</v>
      </c>
      <c r="J1477" s="101">
        <v>68021</v>
      </c>
      <c r="K1477" s="87" t="s">
        <v>9</v>
      </c>
      <c r="L1477" s="108"/>
      <c r="M1477" s="108"/>
      <c r="N1477" s="108" t="str">
        <v>H757H344</v>
      </c>
      <c r="O1477" s="108">
        <f t="shared" si="25"/>
        <v>1</v>
      </c>
      <c r="P1477" s="108"/>
      <c r="Q1477"/>
    </row>
    <row r="1478" spans="1:17" x14ac:dyDescent="0.25">
      <c r="A1478" s="89" t="s">
        <v>9557</v>
      </c>
      <c r="B1478" s="87" t="s">
        <v>9558</v>
      </c>
      <c r="C1478" s="87" t="s">
        <v>13</v>
      </c>
      <c r="D1478" s="87" t="str">
        <f>VLOOKUP(Tabela1[[#This Row],[Origem]], 'Perguntas 1 a 24'!$J$28:$K$34, 2, 0)</f>
        <v>Sudeste</v>
      </c>
      <c r="E1478" s="87" t="str">
        <f>Tabela1[[#This Row],[Descrição]]&amp;"-"&amp;Tabela1[[#This Row],[Código]]&amp;"/"&amp;Tabela1[[#This Row],[Origem]]</f>
        <v>Foturero-P243P814/SP</v>
      </c>
      <c r="F1478" s="88">
        <v>46338</v>
      </c>
      <c r="G1478" s="88" t="str" cm="1">
        <f t="array" ref="G14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AND(F1478&gt;= DATE(2026,1,1), F1478&lt;= DATE(2028, 12, 31), J1478&gt;50000), "Pendente e Caro", AND(F1478&gt;= DATE(2026,1,1), F1478&lt;= DATE(2028, 12, 31), J1478&lt;=50000), "Pendente", F1478&gt;= DATE(2029,1,1), "Não prioeitário")</f>
        <v>Pendente e Caro</v>
      </c>
      <c r="H1478" s="89">
        <f>YEAR(Tabela1[[#This Row],[Data de Validade]])</f>
        <v>2026</v>
      </c>
      <c r="I1478" s="89">
        <f>MONTH(Tabela1[[#This Row],[Data de Validade]])</f>
        <v>11</v>
      </c>
      <c r="J1478" s="101">
        <v>59127</v>
      </c>
      <c r="K1478" s="87" t="s">
        <v>11</v>
      </c>
      <c r="L1478" s="108"/>
      <c r="M1478" s="108"/>
      <c r="N1478" s="108" t="str">
        <v>P243P814</v>
      </c>
      <c r="O1478" s="108">
        <f t="shared" si="25"/>
        <v>1</v>
      </c>
      <c r="P1478" s="108"/>
      <c r="Q1478"/>
    </row>
    <row r="1479" spans="1:17" x14ac:dyDescent="0.25">
      <c r="A1479" s="89" t="s">
        <v>8270</v>
      </c>
      <c r="B1479" s="87" t="s">
        <v>8271</v>
      </c>
      <c r="C1479" s="87" t="s">
        <v>16</v>
      </c>
      <c r="D1479" s="87" t="str">
        <f>VLOOKUP(Tabela1[[#This Row],[Origem]], 'Perguntas 1 a 24'!$J$28:$K$34, 2, 0)</f>
        <v>Sudeste</v>
      </c>
      <c r="E1479" s="87" t="str">
        <f>Tabela1[[#This Row],[Descrição]]&amp;"-"&amp;Tabela1[[#This Row],[Código]]&amp;"/"&amp;Tabela1[[#This Row],[Origem]]</f>
        <v>Pupuponi-H893H846/MG</v>
      </c>
      <c r="F1479" s="88">
        <v>46338</v>
      </c>
      <c r="G1479" s="88" t="str" cm="1">
        <f t="array" ref="G14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AND(F1479&gt;= DATE(2026,1,1), F1479&lt;= DATE(2028, 12, 31), J1479&gt;50000), "Pendente e Caro", AND(F1479&gt;= DATE(2026,1,1), F1479&lt;= DATE(2028, 12, 31), J1479&lt;=50000), "Pendente", F1479&gt;= DATE(2029,1,1), "Não prioeitário")</f>
        <v>Pendente</v>
      </c>
      <c r="H1479" s="89">
        <f>YEAR(Tabela1[[#This Row],[Data de Validade]])</f>
        <v>2026</v>
      </c>
      <c r="I1479" s="89">
        <f>MONTH(Tabela1[[#This Row],[Data de Validade]])</f>
        <v>11</v>
      </c>
      <c r="J1479" s="101">
        <v>33741</v>
      </c>
      <c r="K1479" s="87" t="s">
        <v>9</v>
      </c>
      <c r="L1479" s="108"/>
      <c r="M1479" s="108"/>
      <c r="N1479" s="108" t="str">
        <v>H893H846</v>
      </c>
      <c r="O1479" s="108">
        <f t="shared" si="25"/>
        <v>1</v>
      </c>
      <c r="P1479" s="108"/>
      <c r="Q1479"/>
    </row>
    <row r="1480" spans="1:17" x14ac:dyDescent="0.25">
      <c r="A1480" s="89" t="s">
        <v>8863</v>
      </c>
      <c r="B1480" s="87" t="s">
        <v>8864</v>
      </c>
      <c r="C1480" s="87" t="s">
        <v>13</v>
      </c>
      <c r="D1480" s="87" t="str">
        <f>VLOOKUP(Tabela1[[#This Row],[Origem]], 'Perguntas 1 a 24'!$J$28:$K$34, 2, 0)</f>
        <v>Sudeste</v>
      </c>
      <c r="E1480" s="87" t="str">
        <f>Tabela1[[#This Row],[Descrição]]&amp;"-"&amp;Tabela1[[#This Row],[Código]]&amp;"/"&amp;Tabela1[[#This Row],[Origem]]</f>
        <v>Paganupu-H837H657/SP</v>
      </c>
      <c r="F1480" s="88">
        <v>46340</v>
      </c>
      <c r="G1480" s="88" t="str" cm="1">
        <f t="array" ref="G14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AND(F1480&gt;= DATE(2026,1,1), F1480&lt;= DATE(2028, 12, 31), J1480&gt;50000), "Pendente e Caro", AND(F1480&gt;= DATE(2026,1,1), F1480&lt;= DATE(2028, 12, 31), J1480&lt;=50000), "Pendente", F1480&gt;= DATE(2029,1,1), "Não prioeitário")</f>
        <v>Pendente e Caro</v>
      </c>
      <c r="H1480" s="89">
        <f>YEAR(Tabela1[[#This Row],[Data de Validade]])</f>
        <v>2026</v>
      </c>
      <c r="I1480" s="89">
        <f>MONTH(Tabela1[[#This Row],[Data de Validade]])</f>
        <v>11</v>
      </c>
      <c r="J1480" s="101">
        <v>116849</v>
      </c>
      <c r="K1480" s="87" t="s">
        <v>14</v>
      </c>
      <c r="L1480" s="108"/>
      <c r="M1480" s="108"/>
      <c r="N1480" s="108" t="str">
        <v>H837H657</v>
      </c>
      <c r="O1480" s="108">
        <f t="shared" si="25"/>
        <v>1</v>
      </c>
      <c r="P1480" s="108"/>
      <c r="Q1480"/>
    </row>
    <row r="1481" spans="1:17" x14ac:dyDescent="0.25">
      <c r="A1481" s="89" t="s">
        <v>7328</v>
      </c>
      <c r="B1481" s="87" t="s">
        <v>7329</v>
      </c>
      <c r="C1481" s="87" t="s">
        <v>8</v>
      </c>
      <c r="D1481" s="87" t="str">
        <f>VLOOKUP(Tabela1[[#This Row],[Origem]], 'Perguntas 1 a 24'!$J$28:$K$34, 2, 0)</f>
        <v>Nordeste</v>
      </c>
      <c r="E1481" s="87" t="str">
        <f>Tabela1[[#This Row],[Descrição]]&amp;"-"&amp;Tabela1[[#This Row],[Código]]&amp;"/"&amp;Tabela1[[#This Row],[Origem]]</f>
        <v>Canecegupo-H736P987/AL</v>
      </c>
      <c r="F1481" s="88">
        <v>46340</v>
      </c>
      <c r="G1481" s="88" t="str" cm="1">
        <f t="array" ref="G14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AND(F1481&gt;= DATE(2026,1,1), F1481&lt;= DATE(2028, 12, 31), J1481&gt;50000), "Pendente e Caro", AND(F1481&gt;= DATE(2026,1,1), F1481&lt;= DATE(2028, 12, 31), J1481&lt;=50000), "Pendente", F1481&gt;= DATE(2029,1,1), "Não prioeitário")</f>
        <v>Pendente e Caro</v>
      </c>
      <c r="H1481" s="89">
        <f>YEAR(Tabela1[[#This Row],[Data de Validade]])</f>
        <v>2026</v>
      </c>
      <c r="I1481" s="89">
        <f>MONTH(Tabela1[[#This Row],[Data de Validade]])</f>
        <v>11</v>
      </c>
      <c r="J1481" s="101">
        <v>98967</v>
      </c>
      <c r="K1481" s="87" t="s">
        <v>14</v>
      </c>
      <c r="L1481" s="108"/>
      <c r="M1481" s="108"/>
      <c r="N1481" s="108" t="str">
        <v>H736P987</v>
      </c>
      <c r="O1481" s="108">
        <f t="shared" si="25"/>
        <v>1</v>
      </c>
      <c r="P1481" s="108"/>
      <c r="Q1481"/>
    </row>
    <row r="1482" spans="1:17" x14ac:dyDescent="0.25">
      <c r="A1482" s="89" t="s">
        <v>5726</v>
      </c>
      <c r="B1482" s="87" t="s">
        <v>5727</v>
      </c>
      <c r="C1482" s="87" t="s">
        <v>8</v>
      </c>
      <c r="D1482" s="87" t="str">
        <f>VLOOKUP(Tabela1[[#This Row],[Origem]], 'Perguntas 1 a 24'!$J$28:$K$34, 2, 0)</f>
        <v>Nordeste</v>
      </c>
      <c r="E1482" s="87" t="str">
        <f>Tabela1[[#This Row],[Descrição]]&amp;"-"&amp;Tabela1[[#This Row],[Código]]&amp;"/"&amp;Tabela1[[#This Row],[Origem]]</f>
        <v>Dopofuginu-H128P723/AL</v>
      </c>
      <c r="F1482" s="88">
        <v>46342</v>
      </c>
      <c r="G1482" s="88" t="str" cm="1">
        <f t="array" ref="G14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AND(F1482&gt;= DATE(2026,1,1), F1482&lt;= DATE(2028, 12, 31), J1482&gt;50000), "Pendente e Caro", AND(F1482&gt;= DATE(2026,1,1), F1482&lt;= DATE(2028, 12, 31), J1482&lt;=50000), "Pendente", F1482&gt;= DATE(2029,1,1), "Não prioeitário")</f>
        <v>Pendente e Caro</v>
      </c>
      <c r="H1482" s="89">
        <f>YEAR(Tabela1[[#This Row],[Data de Validade]])</f>
        <v>2026</v>
      </c>
      <c r="I1482" s="89">
        <f>MONTH(Tabela1[[#This Row],[Data de Validade]])</f>
        <v>11</v>
      </c>
      <c r="J1482" s="101">
        <v>104219</v>
      </c>
      <c r="K1482" s="87" t="s">
        <v>14</v>
      </c>
      <c r="L1482" s="108"/>
      <c r="M1482" s="108"/>
      <c r="N1482" s="108" t="str">
        <v>H128P723</v>
      </c>
      <c r="O1482" s="108">
        <f t="shared" si="25"/>
        <v>1</v>
      </c>
      <c r="P1482" s="108"/>
      <c r="Q1482"/>
    </row>
    <row r="1483" spans="1:17" x14ac:dyDescent="0.25">
      <c r="A1483" s="89" t="s">
        <v>9239</v>
      </c>
      <c r="B1483" s="87" t="s">
        <v>9240</v>
      </c>
      <c r="C1483" s="87" t="s">
        <v>6</v>
      </c>
      <c r="D1483" s="87" t="str">
        <f>VLOOKUP(Tabela1[[#This Row],[Origem]], 'Perguntas 1 a 24'!$J$28:$K$34, 2, 0)</f>
        <v>Nordeste</v>
      </c>
      <c r="E1483" s="87" t="str">
        <f>Tabela1[[#This Row],[Descrição]]&amp;"-"&amp;Tabela1[[#This Row],[Código]]&amp;"/"&amp;Tabela1[[#This Row],[Origem]]</f>
        <v>Fopota-H657P379/MA</v>
      </c>
      <c r="F1483" s="88">
        <v>46342</v>
      </c>
      <c r="G1483" s="88" t="str" cm="1">
        <f t="array" ref="G14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AND(F1483&gt;= DATE(2026,1,1), F1483&lt;= DATE(2028, 12, 31), J1483&gt;50000), "Pendente e Caro", AND(F1483&gt;= DATE(2026,1,1), F1483&lt;= DATE(2028, 12, 31), J1483&lt;=50000), "Pendente", F1483&gt;= DATE(2029,1,1), "Não prioeitário")</f>
        <v>Pendente e Caro</v>
      </c>
      <c r="H1483" s="89">
        <f>YEAR(Tabela1[[#This Row],[Data de Validade]])</f>
        <v>2026</v>
      </c>
      <c r="I1483" s="89">
        <f>MONTH(Tabela1[[#This Row],[Data de Validade]])</f>
        <v>11</v>
      </c>
      <c r="J1483" s="101">
        <v>86269</v>
      </c>
      <c r="K1483" s="87" t="s">
        <v>9</v>
      </c>
      <c r="L1483" s="108"/>
      <c r="M1483" s="108"/>
      <c r="N1483" s="108" t="str">
        <v>H657P379</v>
      </c>
      <c r="O1483" s="108">
        <f t="shared" si="25"/>
        <v>1</v>
      </c>
      <c r="P1483" s="108"/>
      <c r="Q1483"/>
    </row>
    <row r="1484" spans="1:17" x14ac:dyDescent="0.25">
      <c r="A1484" s="89" t="s">
        <v>4776</v>
      </c>
      <c r="B1484" s="87" t="s">
        <v>4777</v>
      </c>
      <c r="C1484" s="87" t="s">
        <v>10</v>
      </c>
      <c r="D1484" s="87" t="str">
        <f>VLOOKUP(Tabela1[[#This Row],[Origem]], 'Perguntas 1 a 24'!$J$28:$K$34, 2, 0)</f>
        <v>Centro-Oeste</v>
      </c>
      <c r="E1484" s="87" t="str">
        <f>Tabela1[[#This Row],[Descrição]]&amp;"-"&amp;Tabela1[[#This Row],[Código]]&amp;"/"&amp;Tabela1[[#This Row],[Origem]]</f>
        <v>Pufufegu-H851P576/GO</v>
      </c>
      <c r="F1484" s="88">
        <v>46343</v>
      </c>
      <c r="G1484" s="88" t="str" cm="1">
        <f t="array" ref="G14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AND(F1484&gt;= DATE(2026,1,1), F1484&lt;= DATE(2028, 12, 31), J1484&gt;50000), "Pendente e Caro", AND(F1484&gt;= DATE(2026,1,1), F1484&lt;= DATE(2028, 12, 31), J1484&lt;=50000), "Pendente", F1484&gt;= DATE(2029,1,1), "Não prioeitário")</f>
        <v>Pendente e Caro</v>
      </c>
      <c r="H1484" s="89">
        <f>YEAR(Tabela1[[#This Row],[Data de Validade]])</f>
        <v>2026</v>
      </c>
      <c r="I1484" s="89">
        <f>MONTH(Tabela1[[#This Row],[Data de Validade]])</f>
        <v>11</v>
      </c>
      <c r="J1484" s="101">
        <v>112510</v>
      </c>
      <c r="K1484" s="87" t="s">
        <v>7</v>
      </c>
      <c r="L1484" s="108"/>
      <c r="M1484" s="108"/>
      <c r="N1484" s="108" t="str">
        <v>H851P576</v>
      </c>
      <c r="O1484" s="108">
        <f t="shared" si="25"/>
        <v>1</v>
      </c>
      <c r="P1484" s="108"/>
      <c r="Q1484"/>
    </row>
    <row r="1485" spans="1:17" x14ac:dyDescent="0.25">
      <c r="A1485" s="89" t="s">
        <v>4399</v>
      </c>
      <c r="B1485" s="87" t="s">
        <v>4400</v>
      </c>
      <c r="C1485" s="87" t="s">
        <v>8</v>
      </c>
      <c r="D1485" s="87" t="str">
        <f>VLOOKUP(Tabela1[[#This Row],[Origem]], 'Perguntas 1 a 24'!$J$28:$K$34, 2, 0)</f>
        <v>Nordeste</v>
      </c>
      <c r="E1485" s="87" t="str">
        <f>Tabela1[[#This Row],[Descrição]]&amp;"-"&amp;Tabela1[[#This Row],[Código]]&amp;"/"&amp;Tabela1[[#This Row],[Origem]]</f>
        <v>Piduvifitu-P789H652/AL</v>
      </c>
      <c r="F1485" s="88">
        <v>46343</v>
      </c>
      <c r="G1485" s="88" t="str" cm="1">
        <f t="array" ref="G14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AND(F1485&gt;= DATE(2026,1,1), F1485&lt;= DATE(2028, 12, 31), J1485&gt;50000), "Pendente e Caro", AND(F1485&gt;= DATE(2026,1,1), F1485&lt;= DATE(2028, 12, 31), J1485&lt;=50000), "Pendente", F1485&gt;= DATE(2029,1,1), "Não prioeitário")</f>
        <v>Pendente e Caro</v>
      </c>
      <c r="H1485" s="89">
        <f>YEAR(Tabela1[[#This Row],[Data de Validade]])</f>
        <v>2026</v>
      </c>
      <c r="I1485" s="89">
        <f>MONTH(Tabela1[[#This Row],[Data de Validade]])</f>
        <v>11</v>
      </c>
      <c r="J1485" s="101">
        <v>75232</v>
      </c>
      <c r="K1485" s="87" t="s">
        <v>11</v>
      </c>
      <c r="L1485" s="108"/>
      <c r="M1485" s="108"/>
      <c r="N1485" s="108" t="str">
        <v>P789H652</v>
      </c>
      <c r="O1485" s="108">
        <f t="shared" si="25"/>
        <v>1</v>
      </c>
      <c r="P1485" s="108"/>
      <c r="Q1485"/>
    </row>
    <row r="1486" spans="1:17" x14ac:dyDescent="0.25">
      <c r="A1486" s="89" t="s">
        <v>3736</v>
      </c>
      <c r="B1486" s="87" t="s">
        <v>3737</v>
      </c>
      <c r="C1486" s="87" t="s">
        <v>6</v>
      </c>
      <c r="D1486" s="87" t="str">
        <f>VLOOKUP(Tabela1[[#This Row],[Origem]], 'Perguntas 1 a 24'!$J$28:$K$34, 2, 0)</f>
        <v>Nordeste</v>
      </c>
      <c r="E1486" s="87" t="str">
        <f>Tabela1[[#This Row],[Descrição]]&amp;"-"&amp;Tabela1[[#This Row],[Código]]&amp;"/"&amp;Tabela1[[#This Row],[Origem]]</f>
        <v>Vavude-P949H129/MA</v>
      </c>
      <c r="F1486" s="88">
        <v>46343</v>
      </c>
      <c r="G1486" s="88" t="str" cm="1">
        <f t="array" ref="G14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AND(F1486&gt;= DATE(2026,1,1), F1486&lt;= DATE(2028, 12, 31), J1486&gt;50000), "Pendente e Caro", AND(F1486&gt;= DATE(2026,1,1), F1486&lt;= DATE(2028, 12, 31), J1486&lt;=50000), "Pendente", F1486&gt;= DATE(2029,1,1), "Não prioeitário")</f>
        <v>Pendente</v>
      </c>
      <c r="H1486" s="89">
        <f>YEAR(Tabela1[[#This Row],[Data de Validade]])</f>
        <v>2026</v>
      </c>
      <c r="I1486" s="89">
        <f>MONTH(Tabela1[[#This Row],[Data de Validade]])</f>
        <v>11</v>
      </c>
      <c r="J1486" s="101">
        <v>40034</v>
      </c>
      <c r="K1486" s="87" t="s">
        <v>7</v>
      </c>
      <c r="L1486" s="108"/>
      <c r="M1486" s="108"/>
      <c r="N1486" s="108" t="str">
        <v>P949H129</v>
      </c>
      <c r="O1486" s="108">
        <f t="shared" si="25"/>
        <v>1</v>
      </c>
      <c r="P1486" s="108"/>
      <c r="Q1486"/>
    </row>
    <row r="1487" spans="1:17" x14ac:dyDescent="0.25">
      <c r="A1487" s="89" t="s">
        <v>6778</v>
      </c>
      <c r="B1487" s="87" t="s">
        <v>6779</v>
      </c>
      <c r="C1487" s="87" t="s">
        <v>6</v>
      </c>
      <c r="D1487" s="87" t="str">
        <f>VLOOKUP(Tabela1[[#This Row],[Origem]], 'Perguntas 1 a 24'!$J$28:$K$34, 2, 0)</f>
        <v>Nordeste</v>
      </c>
      <c r="E1487" s="87" t="str">
        <f>Tabela1[[#This Row],[Descrição]]&amp;"-"&amp;Tabela1[[#This Row],[Código]]&amp;"/"&amp;Tabela1[[#This Row],[Origem]]</f>
        <v>Dopitope-P616P319/MA</v>
      </c>
      <c r="F1487" s="88">
        <v>46344</v>
      </c>
      <c r="G1487" s="88" t="str" cm="1">
        <f t="array" ref="G14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AND(F1487&gt;= DATE(2026,1,1), F1487&lt;= DATE(2028, 12, 31), J1487&gt;50000), "Pendente e Caro", AND(F1487&gt;= DATE(2026,1,1), F1487&lt;= DATE(2028, 12, 31), J1487&lt;=50000), "Pendente", F1487&gt;= DATE(2029,1,1), "Não prioeitário")</f>
        <v>Pendente e Caro</v>
      </c>
      <c r="H1487" s="89">
        <f>YEAR(Tabela1[[#This Row],[Data de Validade]])</f>
        <v>2026</v>
      </c>
      <c r="I1487" s="89">
        <f>MONTH(Tabela1[[#This Row],[Data de Validade]])</f>
        <v>11</v>
      </c>
      <c r="J1487" s="101">
        <v>87844</v>
      </c>
      <c r="K1487" s="87" t="s">
        <v>9</v>
      </c>
      <c r="L1487" s="108"/>
      <c r="M1487" s="108"/>
      <c r="N1487" s="108" t="str">
        <v>P616P319</v>
      </c>
      <c r="O1487" s="108">
        <f t="shared" si="25"/>
        <v>1</v>
      </c>
      <c r="P1487" s="108"/>
      <c r="Q1487"/>
    </row>
    <row r="1488" spans="1:17" x14ac:dyDescent="0.25">
      <c r="A1488" s="89" t="s">
        <v>5174</v>
      </c>
      <c r="B1488" s="87" t="s">
        <v>5175</v>
      </c>
      <c r="C1488" s="87" t="s">
        <v>10</v>
      </c>
      <c r="D1488" s="87" t="str">
        <f>VLOOKUP(Tabela1[[#This Row],[Origem]], 'Perguntas 1 a 24'!$J$28:$K$34, 2, 0)</f>
        <v>Centro-Oeste</v>
      </c>
      <c r="E1488" s="87" t="str">
        <f>Tabela1[[#This Row],[Descrição]]&amp;"-"&amp;Tabela1[[#This Row],[Código]]&amp;"/"&amp;Tabela1[[#This Row],[Origem]]</f>
        <v>Fanulofapu-H665H688/GO</v>
      </c>
      <c r="F1488" s="88">
        <v>46344</v>
      </c>
      <c r="G1488" s="88" t="str" cm="1">
        <f t="array" ref="G14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AND(F1488&gt;= DATE(2026,1,1), F1488&lt;= DATE(2028, 12, 31), J1488&gt;50000), "Pendente e Caro", AND(F1488&gt;= DATE(2026,1,1), F1488&lt;= DATE(2028, 12, 31), J1488&lt;=50000), "Pendente", F1488&gt;= DATE(2029,1,1), "Não prioeitário")</f>
        <v>Pendente e Caro</v>
      </c>
      <c r="H1488" s="89">
        <f>YEAR(Tabela1[[#This Row],[Data de Validade]])</f>
        <v>2026</v>
      </c>
      <c r="I1488" s="89">
        <f>MONTH(Tabela1[[#This Row],[Data de Validade]])</f>
        <v>11</v>
      </c>
      <c r="J1488" s="101">
        <v>77084</v>
      </c>
      <c r="K1488" s="87" t="s">
        <v>11</v>
      </c>
      <c r="L1488" s="108"/>
      <c r="M1488" s="108"/>
      <c r="N1488" s="108" t="str">
        <v>H665H688</v>
      </c>
      <c r="O1488" s="108">
        <f t="shared" si="25"/>
        <v>1</v>
      </c>
      <c r="P1488" s="108"/>
      <c r="Q1488"/>
    </row>
    <row r="1489" spans="1:17" x14ac:dyDescent="0.25">
      <c r="A1489" s="89" t="s">
        <v>5412</v>
      </c>
      <c r="B1489" s="87" t="s">
        <v>5413</v>
      </c>
      <c r="C1489" s="87" t="s">
        <v>6</v>
      </c>
      <c r="D1489" s="87" t="str">
        <f>VLOOKUP(Tabela1[[#This Row],[Origem]], 'Perguntas 1 a 24'!$J$28:$K$34, 2, 0)</f>
        <v>Nordeste</v>
      </c>
      <c r="E1489" s="87" t="str">
        <f>Tabela1[[#This Row],[Descrição]]&amp;"-"&amp;Tabela1[[#This Row],[Código]]&amp;"/"&amp;Tabela1[[#This Row],[Origem]]</f>
        <v>Malecotu-H155H148/MA</v>
      </c>
      <c r="F1489" s="88">
        <v>46344</v>
      </c>
      <c r="G1489" s="88" t="str" cm="1">
        <f t="array" ref="G14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AND(F1489&gt;= DATE(2026,1,1), F1489&lt;= DATE(2028, 12, 31), J1489&gt;50000), "Pendente e Caro", AND(F1489&gt;= DATE(2026,1,1), F1489&lt;= DATE(2028, 12, 31), J1489&lt;=50000), "Pendente", F1489&gt;= DATE(2029,1,1), "Não prioeitário")</f>
        <v>Pendente e Caro</v>
      </c>
      <c r="H1489" s="89">
        <f>YEAR(Tabela1[[#This Row],[Data de Validade]])</f>
        <v>2026</v>
      </c>
      <c r="I1489" s="89">
        <f>MONTH(Tabela1[[#This Row],[Data de Validade]])</f>
        <v>11</v>
      </c>
      <c r="J1489" s="101">
        <v>70286</v>
      </c>
      <c r="K1489" s="87" t="s">
        <v>14</v>
      </c>
      <c r="L1489" s="108"/>
      <c r="M1489" s="108"/>
      <c r="N1489" s="108" t="str">
        <v>H155H148</v>
      </c>
      <c r="O1489" s="108">
        <f t="shared" si="25"/>
        <v>1</v>
      </c>
      <c r="P1489" s="108"/>
      <c r="Q1489"/>
    </row>
    <row r="1490" spans="1:17" x14ac:dyDescent="0.25">
      <c r="A1490" s="89" t="s">
        <v>9075</v>
      </c>
      <c r="B1490" s="87" t="s">
        <v>9076</v>
      </c>
      <c r="C1490" s="87" t="s">
        <v>6</v>
      </c>
      <c r="D1490" s="87" t="str">
        <f>VLOOKUP(Tabela1[[#This Row],[Origem]], 'Perguntas 1 a 24'!$J$28:$K$34, 2, 0)</f>
        <v>Nordeste</v>
      </c>
      <c r="E1490" s="87" t="str">
        <f>Tabela1[[#This Row],[Descrição]]&amp;"-"&amp;Tabela1[[#This Row],[Código]]&amp;"/"&amp;Tabela1[[#This Row],[Origem]]</f>
        <v>Peturufa-P764P334/MA</v>
      </c>
      <c r="F1490" s="88">
        <v>46345</v>
      </c>
      <c r="G1490" s="88" t="str" cm="1">
        <f t="array" ref="G14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AND(F1490&gt;= DATE(2026,1,1), F1490&lt;= DATE(2028, 12, 31), J1490&gt;50000), "Pendente e Caro", AND(F1490&gt;= DATE(2026,1,1), F1490&lt;= DATE(2028, 12, 31), J1490&lt;=50000), "Pendente", F1490&gt;= DATE(2029,1,1), "Não prioeitário")</f>
        <v>Pendente e Caro</v>
      </c>
      <c r="H1490" s="89">
        <f>YEAR(Tabela1[[#This Row],[Data de Validade]])</f>
        <v>2026</v>
      </c>
      <c r="I1490" s="89">
        <f>MONTH(Tabela1[[#This Row],[Data de Validade]])</f>
        <v>11</v>
      </c>
      <c r="J1490" s="101">
        <v>86002</v>
      </c>
      <c r="K1490" s="87" t="s">
        <v>11</v>
      </c>
      <c r="L1490" s="108"/>
      <c r="M1490" s="108"/>
      <c r="N1490" s="108" t="str">
        <v>P764P334</v>
      </c>
      <c r="O1490" s="108">
        <f t="shared" si="25"/>
        <v>1</v>
      </c>
      <c r="P1490" s="108"/>
      <c r="Q1490"/>
    </row>
    <row r="1491" spans="1:17" x14ac:dyDescent="0.25">
      <c r="A1491" s="89" t="s">
        <v>7850</v>
      </c>
      <c r="B1491" s="87" t="s">
        <v>7851</v>
      </c>
      <c r="C1491" s="87" t="s">
        <v>12</v>
      </c>
      <c r="D1491" s="87" t="str">
        <f>VLOOKUP(Tabela1[[#This Row],[Origem]], 'Perguntas 1 a 24'!$J$28:$K$34, 2, 0)</f>
        <v>Sudeste</v>
      </c>
      <c r="E1491" s="87" t="str">
        <f>Tabela1[[#This Row],[Descrição]]&amp;"-"&amp;Tabela1[[#This Row],[Código]]&amp;"/"&amp;Tabela1[[#This Row],[Origem]]</f>
        <v>Fefepo-H734H553/RJ</v>
      </c>
      <c r="F1491" s="88">
        <v>46346</v>
      </c>
      <c r="G1491" s="88" t="str" cm="1">
        <f t="array" ref="G14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AND(F1491&gt;= DATE(2026,1,1), F1491&lt;= DATE(2028, 12, 31), J1491&gt;50000), "Pendente e Caro", AND(F1491&gt;= DATE(2026,1,1), F1491&lt;= DATE(2028, 12, 31), J1491&lt;=50000), "Pendente", F1491&gt;= DATE(2029,1,1), "Não prioeitário")</f>
        <v>Pendente e Caro</v>
      </c>
      <c r="H1491" s="89">
        <f>YEAR(Tabela1[[#This Row],[Data de Validade]])</f>
        <v>2026</v>
      </c>
      <c r="I1491" s="89">
        <f>MONTH(Tabela1[[#This Row],[Data de Validade]])</f>
        <v>11</v>
      </c>
      <c r="J1491" s="101">
        <v>117505</v>
      </c>
      <c r="K1491" s="87" t="s">
        <v>9</v>
      </c>
      <c r="L1491" s="108"/>
      <c r="M1491" s="108"/>
      <c r="N1491" s="108" t="str">
        <v>H734H553</v>
      </c>
      <c r="O1491" s="108">
        <f t="shared" si="25"/>
        <v>1</v>
      </c>
      <c r="P1491" s="108"/>
      <c r="Q1491"/>
    </row>
    <row r="1492" spans="1:17" x14ac:dyDescent="0.25">
      <c r="A1492" s="89" t="s">
        <v>9951</v>
      </c>
      <c r="B1492" s="87" t="s">
        <v>9952</v>
      </c>
      <c r="C1492" s="87" t="s">
        <v>13</v>
      </c>
      <c r="D1492" s="87" t="str">
        <f>VLOOKUP(Tabela1[[#This Row],[Origem]], 'Perguntas 1 a 24'!$J$28:$K$34, 2, 0)</f>
        <v>Sudeste</v>
      </c>
      <c r="E1492" s="87" t="str">
        <f>Tabela1[[#This Row],[Descrição]]&amp;"-"&amp;Tabela1[[#This Row],[Código]]&amp;"/"&amp;Tabela1[[#This Row],[Origem]]</f>
        <v>Luline-H874H185/SP</v>
      </c>
      <c r="F1492" s="88">
        <v>46346</v>
      </c>
      <c r="G1492" s="88" t="str" cm="1">
        <f t="array" ref="G14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AND(F1492&gt;= DATE(2026,1,1), F1492&lt;= DATE(2028, 12, 31), J1492&gt;50000), "Pendente e Caro", AND(F1492&gt;= DATE(2026,1,1), F1492&lt;= DATE(2028, 12, 31), J1492&lt;=50000), "Pendente", F1492&gt;= DATE(2029,1,1), "Não prioeitário")</f>
        <v>Pendente</v>
      </c>
      <c r="H1492" s="89">
        <f>YEAR(Tabela1[[#This Row],[Data de Validade]])</f>
        <v>2026</v>
      </c>
      <c r="I1492" s="89">
        <f>MONTH(Tabela1[[#This Row],[Data de Validade]])</f>
        <v>11</v>
      </c>
      <c r="J1492" s="101">
        <v>23913</v>
      </c>
      <c r="K1492" s="87" t="s">
        <v>9</v>
      </c>
      <c r="L1492" s="108"/>
      <c r="M1492" s="108"/>
      <c r="N1492" s="108" t="str">
        <v>H874H185</v>
      </c>
      <c r="O1492" s="108">
        <f t="shared" si="25"/>
        <v>1</v>
      </c>
      <c r="P1492" s="108"/>
      <c r="Q1492"/>
    </row>
    <row r="1493" spans="1:17" x14ac:dyDescent="0.25">
      <c r="A1493" s="89" t="s">
        <v>5630</v>
      </c>
      <c r="B1493" s="87" t="s">
        <v>5631</v>
      </c>
      <c r="C1493" s="87" t="s">
        <v>8</v>
      </c>
      <c r="D1493" s="87" t="str">
        <f>VLOOKUP(Tabela1[[#This Row],[Origem]], 'Perguntas 1 a 24'!$J$28:$K$34, 2, 0)</f>
        <v>Nordeste</v>
      </c>
      <c r="E1493" s="87" t="str">
        <f>Tabela1[[#This Row],[Descrição]]&amp;"-"&amp;Tabela1[[#This Row],[Código]]&amp;"/"&amp;Tabela1[[#This Row],[Origem]]</f>
        <v>Mapidemo-P363P381/AL</v>
      </c>
      <c r="F1493" s="88">
        <v>46347</v>
      </c>
      <c r="G1493" s="88" t="str" cm="1">
        <f t="array" ref="G14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AND(F1493&gt;= DATE(2026,1,1), F1493&lt;= DATE(2028, 12, 31), J1493&gt;50000), "Pendente e Caro", AND(F1493&gt;= DATE(2026,1,1), F1493&lt;= DATE(2028, 12, 31), J1493&lt;=50000), "Pendente", F1493&gt;= DATE(2029,1,1), "Não prioeitário")</f>
        <v>Pendente e Caro</v>
      </c>
      <c r="H1493" s="89">
        <f>YEAR(Tabela1[[#This Row],[Data de Validade]])</f>
        <v>2026</v>
      </c>
      <c r="I1493" s="89">
        <f>MONTH(Tabela1[[#This Row],[Data de Validade]])</f>
        <v>11</v>
      </c>
      <c r="J1493" s="101">
        <v>101859</v>
      </c>
      <c r="K1493" s="87" t="s">
        <v>14</v>
      </c>
      <c r="L1493" s="108"/>
      <c r="M1493" s="108"/>
      <c r="N1493" s="108" t="str">
        <v>P363P381</v>
      </c>
      <c r="O1493" s="108">
        <f t="shared" si="25"/>
        <v>1</v>
      </c>
      <c r="P1493" s="108"/>
      <c r="Q1493"/>
    </row>
    <row r="1494" spans="1:17" x14ac:dyDescent="0.25">
      <c r="A1494" s="89" t="s">
        <v>7482</v>
      </c>
      <c r="B1494" s="87" t="s">
        <v>7483</v>
      </c>
      <c r="C1494" s="87" t="s">
        <v>12</v>
      </c>
      <c r="D1494" s="87" t="str">
        <f>VLOOKUP(Tabela1[[#This Row],[Origem]], 'Perguntas 1 a 24'!$J$28:$K$34, 2, 0)</f>
        <v>Sudeste</v>
      </c>
      <c r="E1494" s="87" t="str">
        <f>Tabela1[[#This Row],[Descrição]]&amp;"-"&amp;Tabela1[[#This Row],[Código]]&amp;"/"&amp;Tabela1[[#This Row],[Origem]]</f>
        <v>Gevurupuru-P968P994/RJ</v>
      </c>
      <c r="F1494" s="88">
        <v>46347</v>
      </c>
      <c r="G1494" s="88" t="str" cm="1">
        <f t="array" ref="G14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AND(F1494&gt;= DATE(2026,1,1), F1494&lt;= DATE(2028, 12, 31), J1494&gt;50000), "Pendente e Caro", AND(F1494&gt;= DATE(2026,1,1), F1494&lt;= DATE(2028, 12, 31), J1494&lt;=50000), "Pendente", F1494&gt;= DATE(2029,1,1), "Não prioeitário")</f>
        <v>Pendente</v>
      </c>
      <c r="H1494" s="89">
        <f>YEAR(Tabela1[[#This Row],[Data de Validade]])</f>
        <v>2026</v>
      </c>
      <c r="I1494" s="89">
        <f>MONTH(Tabela1[[#This Row],[Data de Validade]])</f>
        <v>11</v>
      </c>
      <c r="J1494" s="101">
        <v>48541</v>
      </c>
      <c r="K1494" s="87" t="s">
        <v>11</v>
      </c>
      <c r="L1494" s="108"/>
      <c r="M1494" s="108"/>
      <c r="N1494" s="108" t="str">
        <v>P968P994</v>
      </c>
      <c r="O1494" s="108">
        <f t="shared" si="25"/>
        <v>1</v>
      </c>
      <c r="P1494" s="108"/>
      <c r="Q1494"/>
    </row>
    <row r="1495" spans="1:17" x14ac:dyDescent="0.25">
      <c r="A1495" s="89" t="s">
        <v>7500</v>
      </c>
      <c r="B1495" s="87" t="s">
        <v>7501</v>
      </c>
      <c r="C1495" s="87" t="s">
        <v>16</v>
      </c>
      <c r="D1495" s="87" t="str">
        <f>VLOOKUP(Tabela1[[#This Row],[Origem]], 'Perguntas 1 a 24'!$J$28:$K$34, 2, 0)</f>
        <v>Sudeste</v>
      </c>
      <c r="E1495" s="87" t="str">
        <f>Tabela1[[#This Row],[Descrição]]&amp;"-"&amp;Tabela1[[#This Row],[Código]]&amp;"/"&amp;Tabela1[[#This Row],[Origem]]</f>
        <v>Tidinudifa-H366H311/MG</v>
      </c>
      <c r="F1495" s="88">
        <v>46348</v>
      </c>
      <c r="G1495" s="88" t="str" cm="1">
        <f t="array" ref="G14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AND(F1495&gt;= DATE(2026,1,1), F1495&lt;= DATE(2028, 12, 31), J1495&gt;50000), "Pendente e Caro", AND(F1495&gt;= DATE(2026,1,1), F1495&lt;= DATE(2028, 12, 31), J1495&lt;=50000), "Pendente", F1495&gt;= DATE(2029,1,1), "Não prioeitário")</f>
        <v>Pendente e Caro</v>
      </c>
      <c r="H1495" s="89">
        <f>YEAR(Tabela1[[#This Row],[Data de Validade]])</f>
        <v>2026</v>
      </c>
      <c r="I1495" s="89">
        <f>MONTH(Tabela1[[#This Row],[Data de Validade]])</f>
        <v>11</v>
      </c>
      <c r="J1495" s="101">
        <v>71346</v>
      </c>
      <c r="K1495" s="87" t="s">
        <v>7</v>
      </c>
      <c r="L1495" s="108"/>
      <c r="M1495" s="108"/>
      <c r="N1495" s="108" t="str">
        <v>H366H311</v>
      </c>
      <c r="O1495" s="108">
        <f t="shared" si="25"/>
        <v>1</v>
      </c>
      <c r="P1495" s="108"/>
      <c r="Q1495"/>
    </row>
    <row r="1496" spans="1:17" x14ac:dyDescent="0.25">
      <c r="A1496" s="89" t="s">
        <v>6104</v>
      </c>
      <c r="B1496" s="87" t="s">
        <v>6105</v>
      </c>
      <c r="C1496" s="87" t="s">
        <v>6</v>
      </c>
      <c r="D1496" s="87" t="str">
        <f>VLOOKUP(Tabela1[[#This Row],[Origem]], 'Perguntas 1 a 24'!$J$28:$K$34, 2, 0)</f>
        <v>Nordeste</v>
      </c>
      <c r="E1496" s="87" t="str">
        <f>Tabela1[[#This Row],[Descrição]]&amp;"-"&amp;Tabela1[[#This Row],[Código]]&amp;"/"&amp;Tabela1[[#This Row],[Origem]]</f>
        <v>Pimarofu-P825P235/MA</v>
      </c>
      <c r="F1496" s="88">
        <v>46348</v>
      </c>
      <c r="G1496" s="88" t="str" cm="1">
        <f t="array" ref="G14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AND(F1496&gt;= DATE(2026,1,1), F1496&lt;= DATE(2028, 12, 31), J1496&gt;50000), "Pendente e Caro", AND(F1496&gt;= DATE(2026,1,1), F1496&lt;= DATE(2028, 12, 31), J1496&lt;=50000), "Pendente", F1496&gt;= DATE(2029,1,1), "Não prioeitário")</f>
        <v>Pendente</v>
      </c>
      <c r="H1496" s="89">
        <f>YEAR(Tabela1[[#This Row],[Data de Validade]])</f>
        <v>2026</v>
      </c>
      <c r="I1496" s="89">
        <f>MONTH(Tabela1[[#This Row],[Data de Validade]])</f>
        <v>11</v>
      </c>
      <c r="J1496" s="101">
        <v>35138</v>
      </c>
      <c r="K1496" s="87" t="s">
        <v>7</v>
      </c>
      <c r="L1496" s="108"/>
      <c r="M1496" s="108"/>
      <c r="N1496" s="108" t="str">
        <v>P825P235</v>
      </c>
      <c r="O1496" s="108">
        <f t="shared" si="25"/>
        <v>1</v>
      </c>
      <c r="P1496" s="108"/>
      <c r="Q1496"/>
    </row>
    <row r="1497" spans="1:17" x14ac:dyDescent="0.25">
      <c r="A1497" s="89" t="s">
        <v>4162</v>
      </c>
      <c r="B1497" s="87" t="s">
        <v>4163</v>
      </c>
      <c r="C1497" s="87" t="s">
        <v>15</v>
      </c>
      <c r="D1497" s="87" t="str">
        <f>VLOOKUP(Tabela1[[#This Row],[Origem]], 'Perguntas 1 a 24'!$J$28:$K$34, 2, 0)</f>
        <v>Sudeste</v>
      </c>
      <c r="E1497" s="87" t="str">
        <f>Tabela1[[#This Row],[Descrição]]&amp;"-"&amp;Tabela1[[#This Row],[Código]]&amp;"/"&amp;Tabela1[[#This Row],[Origem]]</f>
        <v>Panetepu-H149H948/ES</v>
      </c>
      <c r="F1497" s="88">
        <v>46349</v>
      </c>
      <c r="G1497" s="88" t="str" cm="1">
        <f t="array" ref="G14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AND(F1497&gt;= DATE(2026,1,1), F1497&lt;= DATE(2028, 12, 31), J1497&gt;50000), "Pendente e Caro", AND(F1497&gt;= DATE(2026,1,1), F1497&lt;= DATE(2028, 12, 31), J1497&lt;=50000), "Pendente", F1497&gt;= DATE(2029,1,1), "Não prioeitário")</f>
        <v>Pendente e Caro</v>
      </c>
      <c r="H1497" s="89">
        <f>YEAR(Tabela1[[#This Row],[Data de Validade]])</f>
        <v>2026</v>
      </c>
      <c r="I1497" s="89">
        <f>MONTH(Tabela1[[#This Row],[Data de Validade]])</f>
        <v>11</v>
      </c>
      <c r="J1497" s="101">
        <v>80556</v>
      </c>
      <c r="K1497" s="87" t="s">
        <v>7</v>
      </c>
      <c r="L1497" s="108"/>
      <c r="M1497" s="108"/>
      <c r="N1497" s="108" t="str">
        <v>H149H948</v>
      </c>
      <c r="O1497" s="108">
        <f t="shared" si="25"/>
        <v>1</v>
      </c>
      <c r="P1497" s="108"/>
      <c r="Q1497"/>
    </row>
    <row r="1498" spans="1:17" x14ac:dyDescent="0.25">
      <c r="A1498" s="89" t="s">
        <v>5160</v>
      </c>
      <c r="B1498" s="87" t="s">
        <v>5161</v>
      </c>
      <c r="C1498" s="87" t="s">
        <v>16</v>
      </c>
      <c r="D1498" s="87" t="str">
        <f>VLOOKUP(Tabela1[[#This Row],[Origem]], 'Perguntas 1 a 24'!$J$28:$K$34, 2, 0)</f>
        <v>Sudeste</v>
      </c>
      <c r="E1498" s="87" t="str">
        <f>Tabela1[[#This Row],[Descrição]]&amp;"-"&amp;Tabela1[[#This Row],[Código]]&amp;"/"&amp;Tabela1[[#This Row],[Origem]]</f>
        <v>Cafipevu-H186P661/MG</v>
      </c>
      <c r="F1498" s="88">
        <v>46349</v>
      </c>
      <c r="G1498" s="88" t="str" cm="1">
        <f t="array" ref="G14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AND(F1498&gt;= DATE(2026,1,1), F1498&lt;= DATE(2028, 12, 31), J1498&gt;50000), "Pendente e Caro", AND(F1498&gt;= DATE(2026,1,1), F1498&lt;= DATE(2028, 12, 31), J1498&lt;=50000), "Pendente", F1498&gt;= DATE(2029,1,1), "Não prioeitário")</f>
        <v>Pendente e Caro</v>
      </c>
      <c r="H1498" s="89">
        <f>YEAR(Tabela1[[#This Row],[Data de Validade]])</f>
        <v>2026</v>
      </c>
      <c r="I1498" s="89">
        <f>MONTH(Tabela1[[#This Row],[Data de Validade]])</f>
        <v>11</v>
      </c>
      <c r="J1498" s="101">
        <v>65950</v>
      </c>
      <c r="K1498" s="87" t="s">
        <v>11</v>
      </c>
      <c r="L1498" s="108"/>
      <c r="M1498" s="108"/>
      <c r="N1498" s="108" t="str">
        <v>H186P661</v>
      </c>
      <c r="O1498" s="108">
        <f t="shared" si="25"/>
        <v>1</v>
      </c>
      <c r="P1498" s="108"/>
      <c r="Q1498"/>
    </row>
    <row r="1499" spans="1:17" x14ac:dyDescent="0.25">
      <c r="A1499" s="89" t="s">
        <v>9535</v>
      </c>
      <c r="B1499" s="87" t="s">
        <v>9536</v>
      </c>
      <c r="C1499" s="87" t="s">
        <v>15</v>
      </c>
      <c r="D1499" s="87" t="str">
        <f>VLOOKUP(Tabela1[[#This Row],[Origem]], 'Perguntas 1 a 24'!$J$28:$K$34, 2, 0)</f>
        <v>Sudeste</v>
      </c>
      <c r="E1499" s="87" t="str">
        <f>Tabela1[[#This Row],[Descrição]]&amp;"-"&amp;Tabela1[[#This Row],[Código]]&amp;"/"&amp;Tabela1[[#This Row],[Origem]]</f>
        <v>Cepavepe-H892H587/ES</v>
      </c>
      <c r="F1499" s="88">
        <v>46349</v>
      </c>
      <c r="G1499" s="88" t="str" cm="1">
        <f t="array" ref="G14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AND(F1499&gt;= DATE(2026,1,1), F1499&lt;= DATE(2028, 12, 31), J1499&gt;50000), "Pendente e Caro", AND(F1499&gt;= DATE(2026,1,1), F1499&lt;= DATE(2028, 12, 31), J1499&lt;=50000), "Pendente", F1499&gt;= DATE(2029,1,1), "Não prioeitário")</f>
        <v>Pendente e Caro</v>
      </c>
      <c r="H1499" s="89">
        <f>YEAR(Tabela1[[#This Row],[Data de Validade]])</f>
        <v>2026</v>
      </c>
      <c r="I1499" s="89">
        <f>MONTH(Tabela1[[#This Row],[Data de Validade]])</f>
        <v>11</v>
      </c>
      <c r="J1499" s="101">
        <v>64766</v>
      </c>
      <c r="K1499" s="87" t="s">
        <v>11</v>
      </c>
      <c r="L1499" s="108"/>
      <c r="M1499" s="108"/>
      <c r="N1499" s="108" t="str">
        <v>H892H587</v>
      </c>
      <c r="O1499" s="108">
        <f t="shared" si="25"/>
        <v>1</v>
      </c>
      <c r="P1499" s="108"/>
      <c r="Q1499"/>
    </row>
    <row r="1500" spans="1:17" x14ac:dyDescent="0.25">
      <c r="A1500" s="89" t="s">
        <v>8482</v>
      </c>
      <c r="B1500" s="87" t="s">
        <v>8483</v>
      </c>
      <c r="C1500" s="87" t="s">
        <v>16</v>
      </c>
      <c r="D1500" s="87" t="str">
        <f>VLOOKUP(Tabela1[[#This Row],[Origem]], 'Perguntas 1 a 24'!$J$28:$K$34, 2, 0)</f>
        <v>Sudeste</v>
      </c>
      <c r="E1500" s="87" t="str">
        <f>Tabela1[[#This Row],[Descrição]]&amp;"-"&amp;Tabela1[[#This Row],[Código]]&amp;"/"&amp;Tabela1[[#This Row],[Origem]]</f>
        <v>Tecipo-P195P496/MG</v>
      </c>
      <c r="F1500" s="88">
        <v>46350</v>
      </c>
      <c r="G1500" s="88" t="str" cm="1">
        <f t="array" ref="G15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AND(F1500&gt;= DATE(2026,1,1), F1500&lt;= DATE(2028, 12, 31), J1500&gt;50000), "Pendente e Caro", AND(F1500&gt;= DATE(2026,1,1), F1500&lt;= DATE(2028, 12, 31), J1500&lt;=50000), "Pendente", F1500&gt;= DATE(2029,1,1), "Não prioeitário")</f>
        <v>Pendente e Caro</v>
      </c>
      <c r="H1500" s="89">
        <f>YEAR(Tabela1[[#This Row],[Data de Validade]])</f>
        <v>2026</v>
      </c>
      <c r="I1500" s="89">
        <f>MONTH(Tabela1[[#This Row],[Data de Validade]])</f>
        <v>11</v>
      </c>
      <c r="J1500" s="101">
        <v>90154</v>
      </c>
      <c r="K1500" s="87" t="s">
        <v>11</v>
      </c>
      <c r="L1500" s="108"/>
      <c r="M1500" s="108"/>
      <c r="N1500" s="108" t="str">
        <v>P195P496</v>
      </c>
      <c r="O1500" s="108">
        <f t="shared" si="25"/>
        <v>1</v>
      </c>
      <c r="P1500" s="108"/>
      <c r="Q1500"/>
    </row>
    <row r="1501" spans="1:17" x14ac:dyDescent="0.25">
      <c r="A1501" s="89" t="s">
        <v>6376</v>
      </c>
      <c r="B1501" s="87" t="s">
        <v>6377</v>
      </c>
      <c r="C1501" s="87" t="s">
        <v>15</v>
      </c>
      <c r="D1501" s="87" t="str">
        <f>VLOOKUP(Tabela1[[#This Row],[Origem]], 'Perguntas 1 a 24'!$J$28:$K$34, 2, 0)</f>
        <v>Sudeste</v>
      </c>
      <c r="E1501" s="87" t="str">
        <f>Tabela1[[#This Row],[Descrição]]&amp;"-"&amp;Tabela1[[#This Row],[Código]]&amp;"/"&amp;Tabela1[[#This Row],[Origem]]</f>
        <v>Todogapi-H433P157/ES</v>
      </c>
      <c r="F1501" s="88">
        <v>46350</v>
      </c>
      <c r="G1501" s="88" t="str" cm="1">
        <f t="array" ref="G15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AND(F1501&gt;= DATE(2026,1,1), F1501&lt;= DATE(2028, 12, 31), J1501&gt;50000), "Pendente e Caro", AND(F1501&gt;= DATE(2026,1,1), F1501&lt;= DATE(2028, 12, 31), J1501&lt;=50000), "Pendente", F1501&gt;= DATE(2029,1,1), "Não prioeitário")</f>
        <v>Pendente e Caro</v>
      </c>
      <c r="H1501" s="89">
        <f>YEAR(Tabela1[[#This Row],[Data de Validade]])</f>
        <v>2026</v>
      </c>
      <c r="I1501" s="89">
        <f>MONTH(Tabela1[[#This Row],[Data de Validade]])</f>
        <v>11</v>
      </c>
      <c r="J1501" s="101">
        <v>66355</v>
      </c>
      <c r="K1501" s="87" t="s">
        <v>14</v>
      </c>
      <c r="L1501" s="108"/>
      <c r="M1501" s="108"/>
      <c r="N1501" s="108" t="str">
        <v>H433P157</v>
      </c>
      <c r="O1501" s="108">
        <f t="shared" si="25"/>
        <v>1</v>
      </c>
      <c r="P1501" s="108"/>
      <c r="Q1501"/>
    </row>
    <row r="1502" spans="1:17" x14ac:dyDescent="0.25">
      <c r="A1502" s="89" t="s">
        <v>10811</v>
      </c>
      <c r="B1502" s="87" t="s">
        <v>10812</v>
      </c>
      <c r="C1502" s="87" t="s">
        <v>15</v>
      </c>
      <c r="D1502" s="87" t="str">
        <f>VLOOKUP(Tabela1[[#This Row],[Origem]], 'Perguntas 1 a 24'!$J$28:$K$34, 2, 0)</f>
        <v>Sudeste</v>
      </c>
      <c r="E1502" s="87" t="str">
        <f>Tabela1[[#This Row],[Descrição]]&amp;"-"&amp;Tabela1[[#This Row],[Código]]&amp;"/"&amp;Tabela1[[#This Row],[Origem]]</f>
        <v>Garurapive-H415H984/ES</v>
      </c>
      <c r="F1502" s="88">
        <v>46351</v>
      </c>
      <c r="G1502" s="88" t="str" cm="1">
        <f t="array" ref="G15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AND(F1502&gt;= DATE(2026,1,1), F1502&lt;= DATE(2028, 12, 31), J1502&gt;50000), "Pendente e Caro", AND(F1502&gt;= DATE(2026,1,1), F1502&lt;= DATE(2028, 12, 31), J1502&lt;=50000), "Pendente", F1502&gt;= DATE(2029,1,1), "Não prioeitário")</f>
        <v>Pendente e Caro</v>
      </c>
      <c r="H1502" s="89">
        <f>YEAR(Tabela1[[#This Row],[Data de Validade]])</f>
        <v>2026</v>
      </c>
      <c r="I1502" s="89">
        <f>MONTH(Tabela1[[#This Row],[Data de Validade]])</f>
        <v>11</v>
      </c>
      <c r="J1502" s="101">
        <v>107119</v>
      </c>
      <c r="K1502" s="87" t="s">
        <v>7</v>
      </c>
      <c r="L1502" s="108"/>
      <c r="M1502" s="108"/>
      <c r="N1502" s="108" t="str">
        <v>H415H984</v>
      </c>
      <c r="O1502" s="108">
        <f t="shared" si="25"/>
        <v>1</v>
      </c>
      <c r="P1502" s="108"/>
      <c r="Q1502"/>
    </row>
    <row r="1503" spans="1:17" x14ac:dyDescent="0.25">
      <c r="A1503" s="89" t="s">
        <v>9965</v>
      </c>
      <c r="B1503" s="87" t="s">
        <v>9966</v>
      </c>
      <c r="C1503" s="87" t="s">
        <v>6</v>
      </c>
      <c r="D1503" s="87" t="str">
        <f>VLOOKUP(Tabela1[[#This Row],[Origem]], 'Perguntas 1 a 24'!$J$28:$K$34, 2, 0)</f>
        <v>Nordeste</v>
      </c>
      <c r="E1503" s="87" t="str">
        <f>Tabela1[[#This Row],[Descrição]]&amp;"-"&amp;Tabela1[[#This Row],[Código]]&amp;"/"&amp;Tabela1[[#This Row],[Origem]]</f>
        <v>Lararudoda-P796H317/MA</v>
      </c>
      <c r="F1503" s="88">
        <v>46351</v>
      </c>
      <c r="G1503" s="88" t="str" cm="1">
        <f t="array" ref="G15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AND(F1503&gt;= DATE(2026,1,1), F1503&lt;= DATE(2028, 12, 31), J1503&gt;50000), "Pendente e Caro", AND(F1503&gt;= DATE(2026,1,1), F1503&lt;= DATE(2028, 12, 31), J1503&lt;=50000), "Pendente", F1503&gt;= DATE(2029,1,1), "Não prioeitário")</f>
        <v>Pendente e Caro</v>
      </c>
      <c r="H1503" s="89">
        <f>YEAR(Tabela1[[#This Row],[Data de Validade]])</f>
        <v>2026</v>
      </c>
      <c r="I1503" s="89">
        <f>MONTH(Tabela1[[#This Row],[Data de Validade]])</f>
        <v>11</v>
      </c>
      <c r="J1503" s="101">
        <v>77571</v>
      </c>
      <c r="K1503" s="87" t="s">
        <v>7</v>
      </c>
      <c r="L1503" s="108"/>
      <c r="M1503" s="108"/>
      <c r="N1503" s="108" t="str">
        <v>P796H317</v>
      </c>
      <c r="O1503" s="108">
        <f t="shared" si="25"/>
        <v>1</v>
      </c>
      <c r="P1503" s="108"/>
      <c r="Q1503"/>
    </row>
    <row r="1504" spans="1:17" x14ac:dyDescent="0.25">
      <c r="A1504" s="89" t="s">
        <v>5836</v>
      </c>
      <c r="B1504" s="87" t="s">
        <v>5837</v>
      </c>
      <c r="C1504" s="87" t="s">
        <v>15</v>
      </c>
      <c r="D1504" s="87" t="str">
        <f>VLOOKUP(Tabela1[[#This Row],[Origem]], 'Perguntas 1 a 24'!$J$28:$K$34, 2, 0)</f>
        <v>Sudeste</v>
      </c>
      <c r="E1504" s="87" t="str">
        <f>Tabela1[[#This Row],[Descrição]]&amp;"-"&amp;Tabela1[[#This Row],[Código]]&amp;"/"&amp;Tabela1[[#This Row],[Origem]]</f>
        <v>Nepidu-P917H856/ES</v>
      </c>
      <c r="F1504" s="88">
        <v>46351</v>
      </c>
      <c r="G1504" s="88" t="str" cm="1">
        <f t="array" ref="G15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AND(F1504&gt;= DATE(2026,1,1), F1504&lt;= DATE(2028, 12, 31), J1504&gt;50000), "Pendente e Caro", AND(F1504&gt;= DATE(2026,1,1), F1504&lt;= DATE(2028, 12, 31), J1504&lt;=50000), "Pendente", F1504&gt;= DATE(2029,1,1), "Não prioeitário")</f>
        <v>Pendente e Caro</v>
      </c>
      <c r="H1504" s="89">
        <f>YEAR(Tabela1[[#This Row],[Data de Validade]])</f>
        <v>2026</v>
      </c>
      <c r="I1504" s="89">
        <f>MONTH(Tabela1[[#This Row],[Data de Validade]])</f>
        <v>11</v>
      </c>
      <c r="J1504" s="101">
        <v>59574</v>
      </c>
      <c r="K1504" s="87" t="s">
        <v>14</v>
      </c>
      <c r="L1504" s="108"/>
      <c r="M1504" s="108"/>
      <c r="N1504" s="108" t="str">
        <v>P917H856</v>
      </c>
      <c r="O1504" s="108">
        <f t="shared" si="25"/>
        <v>1</v>
      </c>
      <c r="P1504" s="108"/>
      <c r="Q1504"/>
    </row>
    <row r="1505" spans="1:17" x14ac:dyDescent="0.25">
      <c r="A1505" s="89" t="s">
        <v>4307</v>
      </c>
      <c r="B1505" s="87" t="s">
        <v>4308</v>
      </c>
      <c r="C1505" s="87" t="s">
        <v>8</v>
      </c>
      <c r="D1505" s="87" t="str">
        <f>VLOOKUP(Tabela1[[#This Row],[Origem]], 'Perguntas 1 a 24'!$J$28:$K$34, 2, 0)</f>
        <v>Nordeste</v>
      </c>
      <c r="E1505" s="87" t="str">
        <f>Tabela1[[#This Row],[Descrição]]&amp;"-"&amp;Tabela1[[#This Row],[Código]]&amp;"/"&amp;Tabela1[[#This Row],[Origem]]</f>
        <v>Nicupevo-P521P536/AL</v>
      </c>
      <c r="F1505" s="88">
        <v>46351</v>
      </c>
      <c r="G1505" s="88" t="str" cm="1">
        <f t="array" ref="G15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AND(F1505&gt;= DATE(2026,1,1), F1505&lt;= DATE(2028, 12, 31), J1505&gt;50000), "Pendente e Caro", AND(F1505&gt;= DATE(2026,1,1), F1505&lt;= DATE(2028, 12, 31), J1505&lt;=50000), "Pendente", F1505&gt;= DATE(2029,1,1), "Não prioeitário")</f>
        <v>Pendente</v>
      </c>
      <c r="H1505" s="89">
        <f>YEAR(Tabela1[[#This Row],[Data de Validade]])</f>
        <v>2026</v>
      </c>
      <c r="I1505" s="89">
        <f>MONTH(Tabela1[[#This Row],[Data de Validade]])</f>
        <v>11</v>
      </c>
      <c r="J1505" s="101">
        <v>44242</v>
      </c>
      <c r="K1505" s="87" t="s">
        <v>9</v>
      </c>
      <c r="L1505" s="108"/>
      <c r="M1505" s="108"/>
      <c r="N1505" s="108" t="str">
        <v>P521P536</v>
      </c>
      <c r="O1505" s="108">
        <f t="shared" si="25"/>
        <v>1</v>
      </c>
      <c r="P1505" s="108"/>
      <c r="Q1505"/>
    </row>
    <row r="1506" spans="1:17" x14ac:dyDescent="0.25">
      <c r="A1506" s="89" t="s">
        <v>8208</v>
      </c>
      <c r="B1506" s="87" t="s">
        <v>8209</v>
      </c>
      <c r="C1506" s="87" t="s">
        <v>16</v>
      </c>
      <c r="D1506" s="87" t="str">
        <f>VLOOKUP(Tabela1[[#This Row],[Origem]], 'Perguntas 1 a 24'!$J$28:$K$34, 2, 0)</f>
        <v>Sudeste</v>
      </c>
      <c r="E1506" s="87" t="str">
        <f>Tabela1[[#This Row],[Descrição]]&amp;"-"&amp;Tabela1[[#This Row],[Código]]&amp;"/"&amp;Tabela1[[#This Row],[Origem]]</f>
        <v>Nolunotali-H196P767/MG</v>
      </c>
      <c r="F1506" s="88">
        <v>46352</v>
      </c>
      <c r="G1506" s="88" t="str" cm="1">
        <f t="array" ref="G15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AND(F1506&gt;= DATE(2026,1,1), F1506&lt;= DATE(2028, 12, 31), J1506&gt;50000), "Pendente e Caro", AND(F1506&gt;= DATE(2026,1,1), F1506&lt;= DATE(2028, 12, 31), J1506&lt;=50000), "Pendente", F1506&gt;= DATE(2029,1,1), "Não prioeitário")</f>
        <v>Pendente e Caro</v>
      </c>
      <c r="H1506" s="89">
        <f>YEAR(Tabela1[[#This Row],[Data de Validade]])</f>
        <v>2026</v>
      </c>
      <c r="I1506" s="89">
        <f>MONTH(Tabela1[[#This Row],[Data de Validade]])</f>
        <v>11</v>
      </c>
      <c r="J1506" s="101">
        <v>91108</v>
      </c>
      <c r="K1506" s="87" t="s">
        <v>14</v>
      </c>
      <c r="L1506" s="108"/>
      <c r="M1506" s="108"/>
      <c r="N1506" s="108" t="str">
        <v>H196P767</v>
      </c>
      <c r="O1506" s="108">
        <f t="shared" si="25"/>
        <v>1</v>
      </c>
      <c r="P1506" s="108"/>
      <c r="Q1506"/>
    </row>
    <row r="1507" spans="1:17" x14ac:dyDescent="0.25">
      <c r="A1507" s="89" t="s">
        <v>7418</v>
      </c>
      <c r="B1507" s="87" t="s">
        <v>7419</v>
      </c>
      <c r="C1507" s="87" t="s">
        <v>12</v>
      </c>
      <c r="D1507" s="87" t="str">
        <f>VLOOKUP(Tabela1[[#This Row],[Origem]], 'Perguntas 1 a 24'!$J$28:$K$34, 2, 0)</f>
        <v>Sudeste</v>
      </c>
      <c r="E1507" s="87" t="str">
        <f>Tabela1[[#This Row],[Descrição]]&amp;"-"&amp;Tabela1[[#This Row],[Código]]&amp;"/"&amp;Tabela1[[#This Row],[Origem]]</f>
        <v>Tuvodona-H749P499/RJ</v>
      </c>
      <c r="F1507" s="88">
        <v>46352</v>
      </c>
      <c r="G1507" s="88" t="str" cm="1">
        <f t="array" ref="G15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AND(F1507&gt;= DATE(2026,1,1), F1507&lt;= DATE(2028, 12, 31), J1507&gt;50000), "Pendente e Caro", AND(F1507&gt;= DATE(2026,1,1), F1507&lt;= DATE(2028, 12, 31), J1507&lt;=50000), "Pendente", F1507&gt;= DATE(2029,1,1), "Não prioeitário")</f>
        <v>Pendente</v>
      </c>
      <c r="H1507" s="89">
        <f>YEAR(Tabela1[[#This Row],[Data de Validade]])</f>
        <v>2026</v>
      </c>
      <c r="I1507" s="89">
        <f>MONTH(Tabela1[[#This Row],[Data de Validade]])</f>
        <v>11</v>
      </c>
      <c r="J1507" s="101">
        <v>44507</v>
      </c>
      <c r="K1507" s="87" t="s">
        <v>14</v>
      </c>
      <c r="L1507" s="108"/>
      <c r="M1507" s="108"/>
      <c r="N1507" s="108" t="str">
        <v>H749P499</v>
      </c>
      <c r="O1507" s="108">
        <f t="shared" si="25"/>
        <v>1</v>
      </c>
      <c r="P1507" s="108"/>
      <c r="Q1507"/>
    </row>
    <row r="1508" spans="1:17" x14ac:dyDescent="0.25">
      <c r="A1508" s="89" t="s">
        <v>9017</v>
      </c>
      <c r="B1508" s="87" t="s">
        <v>9018</v>
      </c>
      <c r="C1508" s="87" t="s">
        <v>16</v>
      </c>
      <c r="D1508" s="87" t="str">
        <f>VLOOKUP(Tabela1[[#This Row],[Origem]], 'Perguntas 1 a 24'!$J$28:$K$34, 2, 0)</f>
        <v>Sudeste</v>
      </c>
      <c r="E1508" s="87" t="str">
        <f>Tabela1[[#This Row],[Descrição]]&amp;"-"&amp;Tabela1[[#This Row],[Código]]&amp;"/"&amp;Tabela1[[#This Row],[Origem]]</f>
        <v>Pudepipomu-H881H799/MG</v>
      </c>
      <c r="F1508" s="88">
        <v>46353</v>
      </c>
      <c r="G1508" s="88" t="str" cm="1">
        <f t="array" ref="G15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AND(F1508&gt;= DATE(2026,1,1), F1508&lt;= DATE(2028, 12, 31), J1508&gt;50000), "Pendente e Caro", AND(F1508&gt;= DATE(2026,1,1), F1508&lt;= DATE(2028, 12, 31), J1508&lt;=50000), "Pendente", F1508&gt;= DATE(2029,1,1), "Não prioeitário")</f>
        <v>Pendente e Caro</v>
      </c>
      <c r="H1508" s="89">
        <f>YEAR(Tabela1[[#This Row],[Data de Validade]])</f>
        <v>2026</v>
      </c>
      <c r="I1508" s="89">
        <f>MONTH(Tabela1[[#This Row],[Data de Validade]])</f>
        <v>11</v>
      </c>
      <c r="J1508" s="101">
        <v>96542</v>
      </c>
      <c r="K1508" s="87" t="s">
        <v>9</v>
      </c>
      <c r="L1508" s="108"/>
      <c r="M1508" s="108"/>
      <c r="N1508" s="108" t="str">
        <v>H881H799</v>
      </c>
      <c r="O1508" s="108">
        <f t="shared" si="25"/>
        <v>1</v>
      </c>
      <c r="P1508" s="108"/>
      <c r="Q1508"/>
    </row>
    <row r="1509" spans="1:17" x14ac:dyDescent="0.25">
      <c r="A1509" s="89" t="s">
        <v>4421</v>
      </c>
      <c r="B1509" s="87" t="s">
        <v>4422</v>
      </c>
      <c r="C1509" s="87" t="s">
        <v>16</v>
      </c>
      <c r="D1509" s="87" t="str">
        <f>VLOOKUP(Tabela1[[#This Row],[Origem]], 'Perguntas 1 a 24'!$J$28:$K$34, 2, 0)</f>
        <v>Sudeste</v>
      </c>
      <c r="E1509" s="87" t="str">
        <f>Tabela1[[#This Row],[Descrição]]&amp;"-"&amp;Tabela1[[#This Row],[Código]]&amp;"/"&amp;Tabela1[[#This Row],[Origem]]</f>
        <v>Ridameto-H912H631/MG</v>
      </c>
      <c r="F1509" s="88">
        <v>46353</v>
      </c>
      <c r="G1509" s="88" t="str" cm="1">
        <f t="array" ref="G15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AND(F1509&gt;= DATE(2026,1,1), F1509&lt;= DATE(2028, 12, 31), J1509&gt;50000), "Pendente e Caro", AND(F1509&gt;= DATE(2026,1,1), F1509&lt;= DATE(2028, 12, 31), J1509&lt;=50000), "Pendente", F1509&gt;= DATE(2029,1,1), "Não prioeitário")</f>
        <v>Pendente e Caro</v>
      </c>
      <c r="H1509" s="89">
        <f>YEAR(Tabela1[[#This Row],[Data de Validade]])</f>
        <v>2026</v>
      </c>
      <c r="I1509" s="89">
        <f>MONTH(Tabela1[[#This Row],[Data de Validade]])</f>
        <v>11</v>
      </c>
      <c r="J1509" s="101">
        <v>90897</v>
      </c>
      <c r="K1509" s="87" t="s">
        <v>7</v>
      </c>
      <c r="L1509" s="108"/>
      <c r="M1509" s="108"/>
      <c r="N1509" s="108" t="str">
        <v>H912H631</v>
      </c>
      <c r="O1509" s="108">
        <f t="shared" si="25"/>
        <v>1</v>
      </c>
      <c r="P1509" s="108"/>
      <c r="Q1509"/>
    </row>
    <row r="1510" spans="1:17" x14ac:dyDescent="0.25">
      <c r="A1510" s="89" t="s">
        <v>7742</v>
      </c>
      <c r="B1510" s="87" t="s">
        <v>7743</v>
      </c>
      <c r="C1510" s="87" t="s">
        <v>15</v>
      </c>
      <c r="D1510" s="87" t="str">
        <f>VLOOKUP(Tabela1[[#This Row],[Origem]], 'Perguntas 1 a 24'!$J$28:$K$34, 2, 0)</f>
        <v>Sudeste</v>
      </c>
      <c r="E1510" s="87" t="str">
        <f>Tabela1[[#This Row],[Descrição]]&amp;"-"&amp;Tabela1[[#This Row],[Código]]&amp;"/"&amp;Tabela1[[#This Row],[Origem]]</f>
        <v>Papupu-P725P788/ES</v>
      </c>
      <c r="F1510" s="88">
        <v>46354</v>
      </c>
      <c r="G1510" s="88" t="str" cm="1">
        <f t="array" ref="G15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AND(F1510&gt;= DATE(2026,1,1), F1510&lt;= DATE(2028, 12, 31), J1510&gt;50000), "Pendente e Caro", AND(F1510&gt;= DATE(2026,1,1), F1510&lt;= DATE(2028, 12, 31), J1510&lt;=50000), "Pendente", F1510&gt;= DATE(2029,1,1), "Não prioeitário")</f>
        <v>Pendente e Caro</v>
      </c>
      <c r="H1510" s="89">
        <f>YEAR(Tabela1[[#This Row],[Data de Validade]])</f>
        <v>2026</v>
      </c>
      <c r="I1510" s="89">
        <f>MONTH(Tabela1[[#This Row],[Data de Validade]])</f>
        <v>11</v>
      </c>
      <c r="J1510" s="101">
        <v>110698</v>
      </c>
      <c r="K1510" s="87" t="s">
        <v>14</v>
      </c>
      <c r="L1510" s="108"/>
      <c r="M1510" s="108"/>
      <c r="N1510" s="108" t="str">
        <v>P725P788</v>
      </c>
      <c r="O1510" s="108">
        <f t="shared" si="25"/>
        <v>1</v>
      </c>
      <c r="P1510" s="108"/>
      <c r="Q1510"/>
    </row>
    <row r="1511" spans="1:17" x14ac:dyDescent="0.25">
      <c r="A1511" s="89" t="s">
        <v>7188</v>
      </c>
      <c r="B1511" s="87" t="s">
        <v>7189</v>
      </c>
      <c r="C1511" s="87" t="s">
        <v>6</v>
      </c>
      <c r="D1511" s="87" t="str">
        <f>VLOOKUP(Tabela1[[#This Row],[Origem]], 'Perguntas 1 a 24'!$J$28:$K$34, 2, 0)</f>
        <v>Nordeste</v>
      </c>
      <c r="E1511" s="87" t="str">
        <f>Tabela1[[#This Row],[Descrição]]&amp;"-"&amp;Tabela1[[#This Row],[Código]]&amp;"/"&amp;Tabela1[[#This Row],[Origem]]</f>
        <v>Tupecuvatu-H987H461/MA</v>
      </c>
      <c r="F1511" s="88">
        <v>46354</v>
      </c>
      <c r="G1511" s="88" t="str" cm="1">
        <f t="array" ref="G15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AND(F1511&gt;= DATE(2026,1,1), F1511&lt;= DATE(2028, 12, 31), J1511&gt;50000), "Pendente e Caro", AND(F1511&gt;= DATE(2026,1,1), F1511&lt;= DATE(2028, 12, 31), J1511&lt;=50000), "Pendente", F1511&gt;= DATE(2029,1,1), "Não prioeitário")</f>
        <v>Pendente e Caro</v>
      </c>
      <c r="H1511" s="89">
        <f>YEAR(Tabela1[[#This Row],[Data de Validade]])</f>
        <v>2026</v>
      </c>
      <c r="I1511" s="89">
        <f>MONTH(Tabela1[[#This Row],[Data de Validade]])</f>
        <v>11</v>
      </c>
      <c r="J1511" s="101">
        <v>108781</v>
      </c>
      <c r="K1511" s="87" t="s">
        <v>7</v>
      </c>
      <c r="L1511" s="108"/>
      <c r="M1511" s="108"/>
      <c r="N1511" s="108" t="str">
        <v>H987H461</v>
      </c>
      <c r="O1511" s="108">
        <f t="shared" si="25"/>
        <v>1</v>
      </c>
      <c r="P1511" s="108"/>
      <c r="Q1511"/>
    </row>
    <row r="1512" spans="1:17" x14ac:dyDescent="0.25">
      <c r="A1512" s="89" t="s">
        <v>8460</v>
      </c>
      <c r="B1512" s="87" t="s">
        <v>8461</v>
      </c>
      <c r="C1512" s="87" t="s">
        <v>8</v>
      </c>
      <c r="D1512" s="87" t="str">
        <f>VLOOKUP(Tabela1[[#This Row],[Origem]], 'Perguntas 1 a 24'!$J$28:$K$34, 2, 0)</f>
        <v>Nordeste</v>
      </c>
      <c r="E1512" s="87" t="str">
        <f>Tabela1[[#This Row],[Descrição]]&amp;"-"&amp;Tabela1[[#This Row],[Código]]&amp;"/"&amp;Tabela1[[#This Row],[Origem]]</f>
        <v>Cipati-P774P491/AL</v>
      </c>
      <c r="F1512" s="88">
        <v>46354</v>
      </c>
      <c r="G1512" s="88" t="str" cm="1">
        <f t="array" ref="G15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AND(F1512&gt;= DATE(2026,1,1), F1512&lt;= DATE(2028, 12, 31), J1512&gt;50000), "Pendente e Caro", AND(F1512&gt;= DATE(2026,1,1), F1512&lt;= DATE(2028, 12, 31), J1512&lt;=50000), "Pendente", F1512&gt;= DATE(2029,1,1), "Não prioeitário")</f>
        <v>Pendente e Caro</v>
      </c>
      <c r="H1512" s="89">
        <f>YEAR(Tabela1[[#This Row],[Data de Validade]])</f>
        <v>2026</v>
      </c>
      <c r="I1512" s="89">
        <f>MONTH(Tabela1[[#This Row],[Data de Validade]])</f>
        <v>11</v>
      </c>
      <c r="J1512" s="101">
        <v>101020</v>
      </c>
      <c r="K1512" s="87" t="s">
        <v>14</v>
      </c>
      <c r="L1512" s="108"/>
      <c r="M1512" s="108"/>
      <c r="N1512" s="108" t="str">
        <v>P774P491</v>
      </c>
      <c r="O1512" s="108">
        <f t="shared" si="25"/>
        <v>1</v>
      </c>
      <c r="P1512" s="108"/>
      <c r="Q1512"/>
    </row>
    <row r="1513" spans="1:17" x14ac:dyDescent="0.25">
      <c r="A1513" s="89" t="s">
        <v>7472</v>
      </c>
      <c r="B1513" s="87" t="s">
        <v>7473</v>
      </c>
      <c r="C1513" s="87" t="s">
        <v>6</v>
      </c>
      <c r="D1513" s="87" t="str">
        <f>VLOOKUP(Tabela1[[#This Row],[Origem]], 'Perguntas 1 a 24'!$J$28:$K$34, 2, 0)</f>
        <v>Nordeste</v>
      </c>
      <c r="E1513" s="87" t="str">
        <f>Tabela1[[#This Row],[Descrição]]&amp;"-"&amp;Tabela1[[#This Row],[Código]]&amp;"/"&amp;Tabela1[[#This Row],[Origem]]</f>
        <v>Pemecidi-P986H136/MA</v>
      </c>
      <c r="F1513" s="88">
        <v>46355</v>
      </c>
      <c r="G1513" s="88" t="str" cm="1">
        <f t="array" ref="G15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AND(F1513&gt;= DATE(2026,1,1), F1513&lt;= DATE(2028, 12, 31), J1513&gt;50000), "Pendente e Caro", AND(F1513&gt;= DATE(2026,1,1), F1513&lt;= DATE(2028, 12, 31), J1513&lt;=50000), "Pendente", F1513&gt;= DATE(2029,1,1), "Não prioeitário")</f>
        <v>Pendente e Caro</v>
      </c>
      <c r="H1513" s="89">
        <f>YEAR(Tabela1[[#This Row],[Data de Validade]])</f>
        <v>2026</v>
      </c>
      <c r="I1513" s="89">
        <f>MONTH(Tabela1[[#This Row],[Data de Validade]])</f>
        <v>11</v>
      </c>
      <c r="J1513" s="101">
        <v>113273</v>
      </c>
      <c r="K1513" s="87" t="s">
        <v>9</v>
      </c>
      <c r="L1513" s="108"/>
      <c r="M1513" s="108"/>
      <c r="N1513" s="108" t="str">
        <v>P986H136</v>
      </c>
      <c r="O1513" s="108">
        <f t="shared" si="25"/>
        <v>1</v>
      </c>
      <c r="P1513" s="108"/>
      <c r="Q1513"/>
    </row>
    <row r="1514" spans="1:17" x14ac:dyDescent="0.25">
      <c r="A1514" s="89" t="s">
        <v>7892</v>
      </c>
      <c r="B1514" s="87" t="s">
        <v>7893</v>
      </c>
      <c r="C1514" s="87" t="s">
        <v>12</v>
      </c>
      <c r="D1514" s="87" t="str">
        <f>VLOOKUP(Tabela1[[#This Row],[Origem]], 'Perguntas 1 a 24'!$J$28:$K$34, 2, 0)</f>
        <v>Sudeste</v>
      </c>
      <c r="E1514" s="87" t="str">
        <f>Tabela1[[#This Row],[Descrição]]&amp;"-"&amp;Tabela1[[#This Row],[Código]]&amp;"/"&amp;Tabela1[[#This Row],[Origem]]</f>
        <v>Potataceme-H146P647/RJ</v>
      </c>
      <c r="F1514" s="88">
        <v>46355</v>
      </c>
      <c r="G1514" s="88" t="str" cm="1">
        <f t="array" ref="G15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AND(F1514&gt;= DATE(2026,1,1), F1514&lt;= DATE(2028, 12, 31), J1514&gt;50000), "Pendente e Caro", AND(F1514&gt;= DATE(2026,1,1), F1514&lt;= DATE(2028, 12, 31), J1514&lt;=50000), "Pendente", F1514&gt;= DATE(2029,1,1), "Não prioeitário")</f>
        <v>Pendente e Caro</v>
      </c>
      <c r="H1514" s="89">
        <f>YEAR(Tabela1[[#This Row],[Data de Validade]])</f>
        <v>2026</v>
      </c>
      <c r="I1514" s="89">
        <f>MONTH(Tabela1[[#This Row],[Data de Validade]])</f>
        <v>11</v>
      </c>
      <c r="J1514" s="101">
        <v>65669</v>
      </c>
      <c r="K1514" s="87" t="s">
        <v>7</v>
      </c>
      <c r="L1514" s="108"/>
      <c r="M1514" s="108"/>
      <c r="N1514" s="108" t="str">
        <v>H146P647</v>
      </c>
      <c r="O1514" s="108">
        <f t="shared" si="25"/>
        <v>1</v>
      </c>
      <c r="P1514" s="108"/>
      <c r="Q1514"/>
    </row>
    <row r="1515" spans="1:17" x14ac:dyDescent="0.25">
      <c r="A1515" s="89" t="s">
        <v>4900</v>
      </c>
      <c r="B1515" s="87" t="s">
        <v>4901</v>
      </c>
      <c r="C1515" s="87" t="s">
        <v>15</v>
      </c>
      <c r="D1515" s="87" t="str">
        <f>VLOOKUP(Tabela1[[#This Row],[Origem]], 'Perguntas 1 a 24'!$J$28:$K$34, 2, 0)</f>
        <v>Sudeste</v>
      </c>
      <c r="E1515" s="87" t="str">
        <f>Tabela1[[#This Row],[Descrição]]&amp;"-"&amp;Tabela1[[#This Row],[Código]]&amp;"/"&amp;Tabela1[[#This Row],[Origem]]</f>
        <v>Panoto-P774H521/ES</v>
      </c>
      <c r="F1515" s="88">
        <v>46356</v>
      </c>
      <c r="G1515" s="88" t="str" cm="1">
        <f t="array" ref="G15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AND(F1515&gt;= DATE(2026,1,1), F1515&lt;= DATE(2028, 12, 31), J1515&gt;50000), "Pendente e Caro", AND(F1515&gt;= DATE(2026,1,1), F1515&lt;= DATE(2028, 12, 31), J1515&lt;=50000), "Pendente", F1515&gt;= DATE(2029,1,1), "Não prioeitário")</f>
        <v>Pendente e Caro</v>
      </c>
      <c r="H1515" s="89">
        <f>YEAR(Tabela1[[#This Row],[Data de Validade]])</f>
        <v>2026</v>
      </c>
      <c r="I1515" s="89">
        <f>MONTH(Tabela1[[#This Row],[Data de Validade]])</f>
        <v>11</v>
      </c>
      <c r="J1515" s="101">
        <v>108703</v>
      </c>
      <c r="K1515" s="87" t="s">
        <v>14</v>
      </c>
      <c r="L1515" s="108"/>
      <c r="M1515" s="108"/>
      <c r="N1515" s="108" t="str">
        <v>P774H521</v>
      </c>
      <c r="O1515" s="108">
        <f t="shared" si="25"/>
        <v>1</v>
      </c>
      <c r="P1515" s="108"/>
      <c r="Q1515"/>
    </row>
    <row r="1516" spans="1:17" x14ac:dyDescent="0.25">
      <c r="A1516" s="89" t="s">
        <v>8262</v>
      </c>
      <c r="B1516" s="87" t="s">
        <v>8263</v>
      </c>
      <c r="C1516" s="87" t="s">
        <v>16</v>
      </c>
      <c r="D1516" s="87" t="str">
        <f>VLOOKUP(Tabela1[[#This Row],[Origem]], 'Perguntas 1 a 24'!$J$28:$K$34, 2, 0)</f>
        <v>Sudeste</v>
      </c>
      <c r="E1516" s="87" t="str">
        <f>Tabela1[[#This Row],[Descrição]]&amp;"-"&amp;Tabela1[[#This Row],[Código]]&amp;"/"&amp;Tabela1[[#This Row],[Origem]]</f>
        <v>Conupopire-P645H914/MG</v>
      </c>
      <c r="F1516" s="88">
        <v>46356</v>
      </c>
      <c r="G1516" s="88" t="str" cm="1">
        <f t="array" ref="G15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AND(F1516&gt;= DATE(2026,1,1), F1516&lt;= DATE(2028, 12, 31), J1516&gt;50000), "Pendente e Caro", AND(F1516&gt;= DATE(2026,1,1), F1516&lt;= DATE(2028, 12, 31), J1516&lt;=50000), "Pendente", F1516&gt;= DATE(2029,1,1), "Não prioeitário")</f>
        <v>Pendente e Caro</v>
      </c>
      <c r="H1516" s="89">
        <f>YEAR(Tabela1[[#This Row],[Data de Validade]])</f>
        <v>2026</v>
      </c>
      <c r="I1516" s="89">
        <f>MONTH(Tabela1[[#This Row],[Data de Validade]])</f>
        <v>11</v>
      </c>
      <c r="J1516" s="101">
        <v>91189</v>
      </c>
      <c r="K1516" s="87" t="s">
        <v>7</v>
      </c>
      <c r="L1516" s="108"/>
      <c r="M1516" s="108"/>
      <c r="N1516" s="108" t="str">
        <v>P645H914</v>
      </c>
      <c r="O1516" s="108">
        <f t="shared" si="25"/>
        <v>1</v>
      </c>
      <c r="P1516" s="108"/>
      <c r="Q1516"/>
    </row>
    <row r="1517" spans="1:17" x14ac:dyDescent="0.25">
      <c r="A1517" s="89" t="s">
        <v>11147</v>
      </c>
      <c r="B1517" s="87" t="s">
        <v>11148</v>
      </c>
      <c r="C1517" s="87" t="s">
        <v>15</v>
      </c>
      <c r="D1517" s="87" t="str">
        <f>VLOOKUP(Tabela1[[#This Row],[Origem]], 'Perguntas 1 a 24'!$J$28:$K$34, 2, 0)</f>
        <v>Sudeste</v>
      </c>
      <c r="E1517" s="87" t="str">
        <f>Tabela1[[#This Row],[Descrição]]&amp;"-"&amp;Tabela1[[#This Row],[Código]]&amp;"/"&amp;Tabela1[[#This Row],[Origem]]</f>
        <v>Topinevelu-P356H883/ES</v>
      </c>
      <c r="F1517" s="88">
        <v>46356</v>
      </c>
      <c r="G1517" s="88" t="str" cm="1">
        <f t="array" ref="G15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AND(F1517&gt;= DATE(2026,1,1), F1517&lt;= DATE(2028, 12, 31), J1517&gt;50000), "Pendente e Caro", AND(F1517&gt;= DATE(2026,1,1), F1517&lt;= DATE(2028, 12, 31), J1517&lt;=50000), "Pendente", F1517&gt;= DATE(2029,1,1), "Não prioeitário")</f>
        <v>Pendente e Caro</v>
      </c>
      <c r="H1517" s="89">
        <f>YEAR(Tabela1[[#This Row],[Data de Validade]])</f>
        <v>2026</v>
      </c>
      <c r="I1517" s="89">
        <f>MONTH(Tabela1[[#This Row],[Data de Validade]])</f>
        <v>11</v>
      </c>
      <c r="J1517" s="101">
        <v>68113</v>
      </c>
      <c r="K1517" s="87" t="s">
        <v>9</v>
      </c>
      <c r="L1517" s="108"/>
      <c r="M1517" s="108"/>
      <c r="N1517" s="108" t="str">
        <v>P356H883</v>
      </c>
      <c r="O1517" s="108">
        <f t="shared" si="25"/>
        <v>1</v>
      </c>
      <c r="P1517" s="108"/>
      <c r="Q1517"/>
    </row>
    <row r="1518" spans="1:17" x14ac:dyDescent="0.25">
      <c r="A1518" s="89" t="s">
        <v>4874</v>
      </c>
      <c r="B1518" s="87" t="s">
        <v>4875</v>
      </c>
      <c r="C1518" s="87" t="s">
        <v>10</v>
      </c>
      <c r="D1518" s="87" t="str">
        <f>VLOOKUP(Tabela1[[#This Row],[Origem]], 'Perguntas 1 a 24'!$J$28:$K$34, 2, 0)</f>
        <v>Centro-Oeste</v>
      </c>
      <c r="E1518" s="87" t="str">
        <f>Tabela1[[#This Row],[Descrição]]&amp;"-"&amp;Tabela1[[#This Row],[Código]]&amp;"/"&amp;Tabela1[[#This Row],[Origem]]</f>
        <v>Gedupovu-P728P865/GO</v>
      </c>
      <c r="F1518" s="88">
        <v>46356</v>
      </c>
      <c r="G1518" s="88" t="str" cm="1">
        <f t="array" ref="G15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AND(F1518&gt;= DATE(2026,1,1), F1518&lt;= DATE(2028, 12, 31), J1518&gt;50000), "Pendente e Caro", AND(F1518&gt;= DATE(2026,1,1), F1518&lt;= DATE(2028, 12, 31), J1518&lt;=50000), "Pendente", F1518&gt;= DATE(2029,1,1), "Não prioeitário")</f>
        <v>Pendente</v>
      </c>
      <c r="H1518" s="89">
        <f>YEAR(Tabela1[[#This Row],[Data de Validade]])</f>
        <v>2026</v>
      </c>
      <c r="I1518" s="89">
        <f>MONTH(Tabela1[[#This Row],[Data de Validade]])</f>
        <v>11</v>
      </c>
      <c r="J1518" s="101">
        <v>42001</v>
      </c>
      <c r="K1518" s="87" t="s">
        <v>9</v>
      </c>
      <c r="L1518" s="108"/>
      <c r="M1518" s="108"/>
      <c r="N1518" s="108" t="str">
        <v>P728P865</v>
      </c>
      <c r="O1518" s="108">
        <f t="shared" si="25"/>
        <v>1</v>
      </c>
      <c r="P1518" s="108"/>
      <c r="Q1518"/>
    </row>
    <row r="1519" spans="1:17" x14ac:dyDescent="0.25">
      <c r="A1519" s="89" t="s">
        <v>6220</v>
      </c>
      <c r="B1519" s="87" t="s">
        <v>6221</v>
      </c>
      <c r="C1519" s="87" t="s">
        <v>6</v>
      </c>
      <c r="D1519" s="87" t="str">
        <f>VLOOKUP(Tabela1[[#This Row],[Origem]], 'Perguntas 1 a 24'!$J$28:$K$34, 2, 0)</f>
        <v>Nordeste</v>
      </c>
      <c r="E1519" s="87" t="str">
        <f>Tabela1[[#This Row],[Descrição]]&amp;"-"&amp;Tabela1[[#This Row],[Código]]&amp;"/"&amp;Tabela1[[#This Row],[Origem]]</f>
        <v>Ritucona-P612P581/MA</v>
      </c>
      <c r="F1519" s="88">
        <v>46357</v>
      </c>
      <c r="G1519" s="88" t="str" cm="1">
        <f t="array" ref="G15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AND(F1519&gt;= DATE(2026,1,1), F1519&lt;= DATE(2028, 12, 31), J1519&gt;50000), "Pendente e Caro", AND(F1519&gt;= DATE(2026,1,1), F1519&lt;= DATE(2028, 12, 31), J1519&lt;=50000), "Pendente", F1519&gt;= DATE(2029,1,1), "Não prioeitário")</f>
        <v>Pendente e Caro</v>
      </c>
      <c r="H1519" s="89">
        <f>YEAR(Tabela1[[#This Row],[Data de Validade]])</f>
        <v>2026</v>
      </c>
      <c r="I1519" s="89">
        <f>MONTH(Tabela1[[#This Row],[Data de Validade]])</f>
        <v>12</v>
      </c>
      <c r="J1519" s="101">
        <v>112574</v>
      </c>
      <c r="K1519" s="87" t="s">
        <v>14</v>
      </c>
      <c r="L1519" s="108"/>
      <c r="M1519" s="108"/>
      <c r="N1519" s="108" t="str">
        <v>P612P581</v>
      </c>
      <c r="O1519" s="108">
        <f t="shared" si="25"/>
        <v>1</v>
      </c>
      <c r="P1519" s="108"/>
      <c r="Q1519"/>
    </row>
    <row r="1520" spans="1:17" x14ac:dyDescent="0.25">
      <c r="A1520" s="89" t="s">
        <v>4283</v>
      </c>
      <c r="B1520" s="87" t="s">
        <v>4284</v>
      </c>
      <c r="C1520" s="87" t="s">
        <v>8</v>
      </c>
      <c r="D1520" s="87" t="str">
        <f>VLOOKUP(Tabela1[[#This Row],[Origem]], 'Perguntas 1 a 24'!$J$28:$K$34, 2, 0)</f>
        <v>Nordeste</v>
      </c>
      <c r="E1520" s="87" t="str">
        <f>Tabela1[[#This Row],[Descrição]]&amp;"-"&amp;Tabela1[[#This Row],[Código]]&amp;"/"&amp;Tabela1[[#This Row],[Origem]]</f>
        <v>Vopitonu-H211P148/AL</v>
      </c>
      <c r="F1520" s="88">
        <v>46357</v>
      </c>
      <c r="G1520" s="88" t="str" cm="1">
        <f t="array" ref="G15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AND(F1520&gt;= DATE(2026,1,1), F1520&lt;= DATE(2028, 12, 31), J1520&gt;50000), "Pendente e Caro", AND(F1520&gt;= DATE(2026,1,1), F1520&lt;= DATE(2028, 12, 31), J1520&lt;=50000), "Pendente", F1520&gt;= DATE(2029,1,1), "Não prioeitário")</f>
        <v>Pendente e Caro</v>
      </c>
      <c r="H1520" s="89">
        <f>YEAR(Tabela1[[#This Row],[Data de Validade]])</f>
        <v>2026</v>
      </c>
      <c r="I1520" s="89">
        <f>MONTH(Tabela1[[#This Row],[Data de Validade]])</f>
        <v>12</v>
      </c>
      <c r="J1520" s="101">
        <v>53779</v>
      </c>
      <c r="K1520" s="87" t="s">
        <v>14</v>
      </c>
      <c r="L1520" s="108"/>
      <c r="M1520" s="108"/>
      <c r="N1520" s="108" t="str">
        <v>H211P148</v>
      </c>
      <c r="O1520" s="108">
        <f t="shared" si="25"/>
        <v>1</v>
      </c>
      <c r="P1520" s="108"/>
      <c r="Q1520"/>
    </row>
    <row r="1521" spans="1:17" x14ac:dyDescent="0.25">
      <c r="A1521" s="89" t="s">
        <v>9415</v>
      </c>
      <c r="B1521" s="87" t="s">
        <v>9416</v>
      </c>
      <c r="C1521" s="87" t="s">
        <v>12</v>
      </c>
      <c r="D1521" s="87" t="str">
        <f>VLOOKUP(Tabela1[[#This Row],[Origem]], 'Perguntas 1 a 24'!$J$28:$K$34, 2, 0)</f>
        <v>Sudeste</v>
      </c>
      <c r="E1521" s="87" t="str">
        <f>Tabela1[[#This Row],[Descrição]]&amp;"-"&amp;Tabela1[[#This Row],[Código]]&amp;"/"&amp;Tabela1[[#This Row],[Origem]]</f>
        <v>Pumoparolo-H817H861/RJ</v>
      </c>
      <c r="F1521" s="88">
        <v>46358</v>
      </c>
      <c r="G1521" s="88" t="str" cm="1">
        <f t="array" ref="G15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AND(F1521&gt;= DATE(2026,1,1), F1521&lt;= DATE(2028, 12, 31), J1521&gt;50000), "Pendente e Caro", AND(F1521&gt;= DATE(2026,1,1), F1521&lt;= DATE(2028, 12, 31), J1521&lt;=50000), "Pendente", F1521&gt;= DATE(2029,1,1), "Não prioeitário")</f>
        <v>Pendente e Caro</v>
      </c>
      <c r="H1521" s="89">
        <f>YEAR(Tabela1[[#This Row],[Data de Validade]])</f>
        <v>2026</v>
      </c>
      <c r="I1521" s="89">
        <f>MONTH(Tabela1[[#This Row],[Data de Validade]])</f>
        <v>12</v>
      </c>
      <c r="J1521" s="101">
        <v>110517</v>
      </c>
      <c r="K1521" s="87" t="s">
        <v>9</v>
      </c>
      <c r="L1521" s="108"/>
      <c r="M1521" s="108"/>
      <c r="N1521" s="108" t="str">
        <v>H817H861</v>
      </c>
      <c r="O1521" s="108">
        <f t="shared" si="25"/>
        <v>1</v>
      </c>
      <c r="P1521" s="108"/>
      <c r="Q1521"/>
    </row>
    <row r="1522" spans="1:17" x14ac:dyDescent="0.25">
      <c r="A1522" s="89" t="s">
        <v>11058</v>
      </c>
      <c r="B1522" s="87" t="s">
        <v>11059</v>
      </c>
      <c r="C1522" s="87" t="s">
        <v>12</v>
      </c>
      <c r="D1522" s="87" t="str">
        <f>VLOOKUP(Tabela1[[#This Row],[Origem]], 'Perguntas 1 a 24'!$J$28:$K$34, 2, 0)</f>
        <v>Sudeste</v>
      </c>
      <c r="E1522" s="87" t="str">
        <f>Tabela1[[#This Row],[Descrição]]&amp;"-"&amp;Tabela1[[#This Row],[Código]]&amp;"/"&amp;Tabela1[[#This Row],[Origem]]</f>
        <v>Retotamita-H793H564/RJ</v>
      </c>
      <c r="F1522" s="88">
        <v>46358</v>
      </c>
      <c r="G1522" s="88" t="str" cm="1">
        <f t="array" ref="G15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AND(F1522&gt;= DATE(2026,1,1), F1522&lt;= DATE(2028, 12, 31), J1522&gt;50000), "Pendente e Caro", AND(F1522&gt;= DATE(2026,1,1), F1522&lt;= DATE(2028, 12, 31), J1522&lt;=50000), "Pendente", F1522&gt;= DATE(2029,1,1), "Não prioeitário")</f>
        <v>Pendente e Caro</v>
      </c>
      <c r="H1522" s="89">
        <f>YEAR(Tabela1[[#This Row],[Data de Validade]])</f>
        <v>2026</v>
      </c>
      <c r="I1522" s="89">
        <f>MONTH(Tabela1[[#This Row],[Data de Validade]])</f>
        <v>12</v>
      </c>
      <c r="J1522" s="101">
        <v>106292</v>
      </c>
      <c r="K1522" s="87" t="s">
        <v>7</v>
      </c>
      <c r="L1522" s="108"/>
      <c r="M1522" s="108"/>
      <c r="N1522" s="108" t="str">
        <v>H793H564</v>
      </c>
      <c r="O1522" s="108">
        <f t="shared" si="25"/>
        <v>1</v>
      </c>
      <c r="P1522" s="108"/>
      <c r="Q1522"/>
    </row>
    <row r="1523" spans="1:17" x14ac:dyDescent="0.25">
      <c r="A1523" s="89" t="s">
        <v>7148</v>
      </c>
      <c r="B1523" s="87" t="s">
        <v>7149</v>
      </c>
      <c r="C1523" s="87" t="s">
        <v>16</v>
      </c>
      <c r="D1523" s="87" t="str">
        <f>VLOOKUP(Tabela1[[#This Row],[Origem]], 'Perguntas 1 a 24'!$J$28:$K$34, 2, 0)</f>
        <v>Sudeste</v>
      </c>
      <c r="E1523" s="87" t="str">
        <f>Tabela1[[#This Row],[Descrição]]&amp;"-"&amp;Tabela1[[#This Row],[Código]]&amp;"/"&amp;Tabela1[[#This Row],[Origem]]</f>
        <v>Purumu-P595P329/MG</v>
      </c>
      <c r="F1523" s="88">
        <v>46358</v>
      </c>
      <c r="G1523" s="88" t="str" cm="1">
        <f t="array" ref="G15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AND(F1523&gt;= DATE(2026,1,1), F1523&lt;= DATE(2028, 12, 31), J1523&gt;50000), "Pendente e Caro", AND(F1523&gt;= DATE(2026,1,1), F1523&lt;= DATE(2028, 12, 31), J1523&lt;=50000), "Pendente", F1523&gt;= DATE(2029,1,1), "Não prioeitário")</f>
        <v>Pendente</v>
      </c>
      <c r="H1523" s="89">
        <f>YEAR(Tabela1[[#This Row],[Data de Validade]])</f>
        <v>2026</v>
      </c>
      <c r="I1523" s="89">
        <f>MONTH(Tabela1[[#This Row],[Data de Validade]])</f>
        <v>12</v>
      </c>
      <c r="J1523" s="101">
        <v>44715</v>
      </c>
      <c r="K1523" s="87" t="s">
        <v>9</v>
      </c>
      <c r="L1523" s="108"/>
      <c r="M1523" s="108"/>
      <c r="N1523" s="108" t="str">
        <v>P595P329</v>
      </c>
      <c r="O1523" s="108">
        <f t="shared" si="25"/>
        <v>1</v>
      </c>
      <c r="P1523" s="108"/>
      <c r="Q1523"/>
    </row>
    <row r="1524" spans="1:17" x14ac:dyDescent="0.25">
      <c r="A1524" s="89" t="s">
        <v>4140</v>
      </c>
      <c r="B1524" s="87" t="s">
        <v>4141</v>
      </c>
      <c r="C1524" s="87" t="s">
        <v>16</v>
      </c>
      <c r="D1524" s="87" t="str">
        <f>VLOOKUP(Tabela1[[#This Row],[Origem]], 'Perguntas 1 a 24'!$J$28:$K$34, 2, 0)</f>
        <v>Sudeste</v>
      </c>
      <c r="E1524" s="87" t="str">
        <f>Tabela1[[#This Row],[Descrição]]&amp;"-"&amp;Tabela1[[#This Row],[Código]]&amp;"/"&amp;Tabela1[[#This Row],[Origem]]</f>
        <v>Ropanuguvo-H596P197/MG</v>
      </c>
      <c r="F1524" s="88">
        <v>46358</v>
      </c>
      <c r="G1524" s="88" t="str" cm="1">
        <f t="array" ref="G15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AND(F1524&gt;= DATE(2026,1,1), F1524&lt;= DATE(2028, 12, 31), J1524&gt;50000), "Pendente e Caro", AND(F1524&gt;= DATE(2026,1,1), F1524&lt;= DATE(2028, 12, 31), J1524&lt;=50000), "Pendente", F1524&gt;= DATE(2029,1,1), "Não prioeitário")</f>
        <v>Pendente</v>
      </c>
      <c r="H1524" s="89">
        <f>YEAR(Tabela1[[#This Row],[Data de Validade]])</f>
        <v>2026</v>
      </c>
      <c r="I1524" s="89">
        <f>MONTH(Tabela1[[#This Row],[Data de Validade]])</f>
        <v>12</v>
      </c>
      <c r="J1524" s="101">
        <v>23290</v>
      </c>
      <c r="K1524" s="87" t="s">
        <v>9</v>
      </c>
      <c r="L1524" s="108"/>
      <c r="M1524" s="108"/>
      <c r="N1524" s="108" t="str">
        <v>H596P197</v>
      </c>
      <c r="O1524" s="108">
        <f t="shared" si="25"/>
        <v>1</v>
      </c>
      <c r="P1524" s="108"/>
      <c r="Q1524"/>
    </row>
    <row r="1525" spans="1:17" x14ac:dyDescent="0.25">
      <c r="A1525" s="89" t="s">
        <v>10119</v>
      </c>
      <c r="B1525" s="87" t="s">
        <v>10120</v>
      </c>
      <c r="C1525" s="87" t="s">
        <v>16</v>
      </c>
      <c r="D1525" s="87" t="str">
        <f>VLOOKUP(Tabela1[[#This Row],[Origem]], 'Perguntas 1 a 24'!$J$28:$K$34, 2, 0)</f>
        <v>Sudeste</v>
      </c>
      <c r="E1525" s="87" t="str">
        <f>Tabela1[[#This Row],[Descrição]]&amp;"-"&amp;Tabela1[[#This Row],[Código]]&amp;"/"&amp;Tabela1[[#This Row],[Origem]]</f>
        <v>Rupenono-P546P732/MG</v>
      </c>
      <c r="F1525" s="88">
        <v>46359</v>
      </c>
      <c r="G1525" s="88" t="str" cm="1">
        <f t="array" ref="G15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AND(F1525&gt;= DATE(2026,1,1), F1525&lt;= DATE(2028, 12, 31), J1525&gt;50000), "Pendente e Caro", AND(F1525&gt;= DATE(2026,1,1), F1525&lt;= DATE(2028, 12, 31), J1525&lt;=50000), "Pendente", F1525&gt;= DATE(2029,1,1), "Não prioeitário")</f>
        <v>Pendente e Caro</v>
      </c>
      <c r="H1525" s="89">
        <f>YEAR(Tabela1[[#This Row],[Data de Validade]])</f>
        <v>2026</v>
      </c>
      <c r="I1525" s="89">
        <f>MONTH(Tabela1[[#This Row],[Data de Validade]])</f>
        <v>12</v>
      </c>
      <c r="J1525" s="101">
        <v>102589</v>
      </c>
      <c r="K1525" s="87" t="s">
        <v>9</v>
      </c>
      <c r="L1525" s="108"/>
      <c r="M1525" s="108"/>
      <c r="N1525" s="108" t="str">
        <v>P546P732</v>
      </c>
      <c r="O1525" s="108">
        <f t="shared" si="25"/>
        <v>1</v>
      </c>
      <c r="P1525" s="108"/>
      <c r="Q1525"/>
    </row>
    <row r="1526" spans="1:17" x14ac:dyDescent="0.25">
      <c r="A1526" s="89" t="s">
        <v>6608</v>
      </c>
      <c r="B1526" s="87" t="s">
        <v>6609</v>
      </c>
      <c r="C1526" s="87" t="s">
        <v>13</v>
      </c>
      <c r="D1526" s="87" t="str">
        <f>VLOOKUP(Tabela1[[#This Row],[Origem]], 'Perguntas 1 a 24'!$J$28:$K$34, 2, 0)</f>
        <v>Sudeste</v>
      </c>
      <c r="E1526" s="87" t="str">
        <f>Tabela1[[#This Row],[Descrição]]&amp;"-"&amp;Tabela1[[#This Row],[Código]]&amp;"/"&amp;Tabela1[[#This Row],[Origem]]</f>
        <v>Tipedoce-H468H474/SP</v>
      </c>
      <c r="F1526" s="88">
        <v>46360</v>
      </c>
      <c r="G1526" s="88" t="str" cm="1">
        <f t="array" ref="G15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AND(F1526&gt;= DATE(2026,1,1), F1526&lt;= DATE(2028, 12, 31), J1526&gt;50000), "Pendente e Caro", AND(F1526&gt;= DATE(2026,1,1), F1526&lt;= DATE(2028, 12, 31), J1526&lt;=50000), "Pendente", F1526&gt;= DATE(2029,1,1), "Não prioeitário")</f>
        <v>Pendente e Caro</v>
      </c>
      <c r="H1526" s="89">
        <f>YEAR(Tabela1[[#This Row],[Data de Validade]])</f>
        <v>2026</v>
      </c>
      <c r="I1526" s="89">
        <f>MONTH(Tabela1[[#This Row],[Data de Validade]])</f>
        <v>12</v>
      </c>
      <c r="J1526" s="101">
        <v>88354</v>
      </c>
      <c r="K1526" s="87" t="s">
        <v>11</v>
      </c>
      <c r="L1526" s="108"/>
      <c r="M1526" s="108"/>
      <c r="N1526" s="108" t="str">
        <v>H468H474</v>
      </c>
      <c r="O1526" s="108">
        <f t="shared" si="25"/>
        <v>1</v>
      </c>
      <c r="P1526" s="108"/>
      <c r="Q1526"/>
    </row>
    <row r="1527" spans="1:17" x14ac:dyDescent="0.25">
      <c r="A1527" s="89" t="s">
        <v>10317</v>
      </c>
      <c r="B1527" s="87" t="s">
        <v>10318</v>
      </c>
      <c r="C1527" s="87" t="s">
        <v>6</v>
      </c>
      <c r="D1527" s="87" t="str">
        <f>VLOOKUP(Tabela1[[#This Row],[Origem]], 'Perguntas 1 a 24'!$J$28:$K$34, 2, 0)</f>
        <v>Nordeste</v>
      </c>
      <c r="E1527" s="87" t="str">
        <f>Tabela1[[#This Row],[Descrição]]&amp;"-"&amp;Tabela1[[#This Row],[Código]]&amp;"/"&amp;Tabela1[[#This Row],[Origem]]</f>
        <v>Pafevofune-H471H591/MA</v>
      </c>
      <c r="F1527" s="88">
        <v>46360</v>
      </c>
      <c r="G1527" s="88" t="str" cm="1">
        <f t="array" ref="G15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AND(F1527&gt;= DATE(2026,1,1), F1527&lt;= DATE(2028, 12, 31), J1527&gt;50000), "Pendente e Caro", AND(F1527&gt;= DATE(2026,1,1), F1527&lt;= DATE(2028, 12, 31), J1527&lt;=50000), "Pendente", F1527&gt;= DATE(2029,1,1), "Não prioeitário")</f>
        <v>Pendente</v>
      </c>
      <c r="H1527" s="89">
        <f>YEAR(Tabela1[[#This Row],[Data de Validade]])</f>
        <v>2026</v>
      </c>
      <c r="I1527" s="89">
        <f>MONTH(Tabela1[[#This Row],[Data de Validade]])</f>
        <v>12</v>
      </c>
      <c r="J1527" s="101">
        <v>31003</v>
      </c>
      <c r="K1527" s="87" t="s">
        <v>11</v>
      </c>
      <c r="L1527" s="108"/>
      <c r="M1527" s="108"/>
      <c r="N1527" s="108" t="str">
        <v>H471H591</v>
      </c>
      <c r="O1527" s="108">
        <f t="shared" si="25"/>
        <v>1</v>
      </c>
      <c r="P1527" s="108"/>
      <c r="Q1527"/>
    </row>
    <row r="1528" spans="1:17" x14ac:dyDescent="0.25">
      <c r="A1528" s="89" t="s">
        <v>10221</v>
      </c>
      <c r="B1528" s="87" t="s">
        <v>10222</v>
      </c>
      <c r="C1528" s="87" t="s">
        <v>15</v>
      </c>
      <c r="D1528" s="87" t="str">
        <f>VLOOKUP(Tabela1[[#This Row],[Origem]], 'Perguntas 1 a 24'!$J$28:$K$34, 2, 0)</f>
        <v>Sudeste</v>
      </c>
      <c r="E1528" s="87" t="str">
        <f>Tabela1[[#This Row],[Descrição]]&amp;"-"&amp;Tabela1[[#This Row],[Código]]&amp;"/"&amp;Tabela1[[#This Row],[Origem]]</f>
        <v>Curumemogo-H567H167/ES</v>
      </c>
      <c r="F1528" s="88">
        <v>46361</v>
      </c>
      <c r="G1528" s="88" t="str" cm="1">
        <f t="array" ref="G15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AND(F1528&gt;= DATE(2026,1,1), F1528&lt;= DATE(2028, 12, 31), J1528&gt;50000), "Pendente e Caro", AND(F1528&gt;= DATE(2026,1,1), F1528&lt;= DATE(2028, 12, 31), J1528&lt;=50000), "Pendente", F1528&gt;= DATE(2029,1,1), "Não prioeitário")</f>
        <v>Pendente</v>
      </c>
      <c r="H1528" s="89">
        <f>YEAR(Tabela1[[#This Row],[Data de Validade]])</f>
        <v>2026</v>
      </c>
      <c r="I1528" s="89">
        <f>MONTH(Tabela1[[#This Row],[Data de Validade]])</f>
        <v>12</v>
      </c>
      <c r="J1528" s="101">
        <v>28891</v>
      </c>
      <c r="K1528" s="87" t="s">
        <v>9</v>
      </c>
      <c r="L1528" s="108"/>
      <c r="M1528" s="108"/>
      <c r="N1528" s="108" t="str">
        <v>H567H167</v>
      </c>
      <c r="O1528" s="108">
        <f t="shared" si="25"/>
        <v>1</v>
      </c>
      <c r="P1528" s="108"/>
      <c r="Q1528"/>
    </row>
    <row r="1529" spans="1:17" x14ac:dyDescent="0.25">
      <c r="A1529" s="89" t="s">
        <v>11276</v>
      </c>
      <c r="B1529" s="87" t="s">
        <v>11277</v>
      </c>
      <c r="C1529" s="87" t="s">
        <v>6</v>
      </c>
      <c r="D1529" s="87" t="str">
        <f>VLOOKUP(Tabela1[[#This Row],[Origem]], 'Perguntas 1 a 24'!$J$28:$K$34, 2, 0)</f>
        <v>Nordeste</v>
      </c>
      <c r="E1529" s="87" t="str">
        <f>Tabela1[[#This Row],[Descrição]]&amp;"-"&amp;Tabela1[[#This Row],[Código]]&amp;"/"&amp;Tabela1[[#This Row],[Origem]]</f>
        <v>Paniduti-H797P813/MA</v>
      </c>
      <c r="F1529" s="88">
        <v>46362</v>
      </c>
      <c r="G1529" s="88" t="str" cm="1">
        <f t="array" ref="G15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AND(F1529&gt;= DATE(2026,1,1), F1529&lt;= DATE(2028, 12, 31), J1529&gt;50000), "Pendente e Caro", AND(F1529&gt;= DATE(2026,1,1), F1529&lt;= DATE(2028, 12, 31), J1529&lt;=50000), "Pendente", F1529&gt;= DATE(2029,1,1), "Não prioeitário")</f>
        <v>Pendente e Caro</v>
      </c>
      <c r="H1529" s="89">
        <f>YEAR(Tabela1[[#This Row],[Data de Validade]])</f>
        <v>2026</v>
      </c>
      <c r="I1529" s="89">
        <f>MONTH(Tabela1[[#This Row],[Data de Validade]])</f>
        <v>12</v>
      </c>
      <c r="J1529" s="101">
        <v>109383</v>
      </c>
      <c r="K1529" s="87" t="s">
        <v>14</v>
      </c>
      <c r="L1529" s="108"/>
      <c r="M1529" s="108"/>
      <c r="N1529" s="108" t="str">
        <v>H797P813</v>
      </c>
      <c r="O1529" s="108">
        <f t="shared" si="25"/>
        <v>1</v>
      </c>
      <c r="P1529" s="108"/>
      <c r="Q1529"/>
    </row>
    <row r="1530" spans="1:17" x14ac:dyDescent="0.25">
      <c r="A1530" s="89" t="s">
        <v>5942</v>
      </c>
      <c r="B1530" s="87" t="s">
        <v>5943</v>
      </c>
      <c r="C1530" s="87" t="s">
        <v>15</v>
      </c>
      <c r="D1530" s="87" t="str">
        <f>VLOOKUP(Tabela1[[#This Row],[Origem]], 'Perguntas 1 a 24'!$J$28:$K$34, 2, 0)</f>
        <v>Sudeste</v>
      </c>
      <c r="E1530" s="87" t="str">
        <f>Tabela1[[#This Row],[Descrição]]&amp;"-"&amp;Tabela1[[#This Row],[Código]]&amp;"/"&amp;Tabela1[[#This Row],[Origem]]</f>
        <v>Rarinagu-P155H888/ES</v>
      </c>
      <c r="F1530" s="88">
        <v>46363</v>
      </c>
      <c r="G1530" s="88" t="str" cm="1">
        <f t="array" ref="G15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AND(F1530&gt;= DATE(2026,1,1), F1530&lt;= DATE(2028, 12, 31), J1530&gt;50000), "Pendente e Caro", AND(F1530&gt;= DATE(2026,1,1), F1530&lt;= DATE(2028, 12, 31), J1530&lt;=50000), "Pendente", F1530&gt;= DATE(2029,1,1), "Não prioeitário")</f>
        <v>Pendente e Caro</v>
      </c>
      <c r="H1530" s="89">
        <f>YEAR(Tabela1[[#This Row],[Data de Validade]])</f>
        <v>2026</v>
      </c>
      <c r="I1530" s="89">
        <f>MONTH(Tabela1[[#This Row],[Data de Validade]])</f>
        <v>12</v>
      </c>
      <c r="J1530" s="101">
        <v>119753</v>
      </c>
      <c r="K1530" s="87" t="s">
        <v>14</v>
      </c>
      <c r="L1530" s="108"/>
      <c r="M1530" s="108"/>
      <c r="N1530" s="108" t="str">
        <v>P155H888</v>
      </c>
      <c r="O1530" s="108">
        <f t="shared" si="25"/>
        <v>1</v>
      </c>
      <c r="P1530" s="108"/>
      <c r="Q1530"/>
    </row>
    <row r="1531" spans="1:17" x14ac:dyDescent="0.25">
      <c r="A1531" s="89" t="s">
        <v>9179</v>
      </c>
      <c r="B1531" s="87" t="s">
        <v>9180</v>
      </c>
      <c r="C1531" s="87" t="s">
        <v>16</v>
      </c>
      <c r="D1531" s="87" t="str">
        <f>VLOOKUP(Tabela1[[#This Row],[Origem]], 'Perguntas 1 a 24'!$J$28:$K$34, 2, 0)</f>
        <v>Sudeste</v>
      </c>
      <c r="E1531" s="87" t="str">
        <f>Tabela1[[#This Row],[Descrição]]&amp;"-"&amp;Tabela1[[#This Row],[Código]]&amp;"/"&amp;Tabela1[[#This Row],[Origem]]</f>
        <v>Nipuralapo-H136P128/MG</v>
      </c>
      <c r="F1531" s="88">
        <v>46363</v>
      </c>
      <c r="G1531" s="88" t="str" cm="1">
        <f t="array" ref="G15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AND(F1531&gt;= DATE(2026,1,1), F1531&lt;= DATE(2028, 12, 31), J1531&gt;50000), "Pendente e Caro", AND(F1531&gt;= DATE(2026,1,1), F1531&lt;= DATE(2028, 12, 31), J1531&lt;=50000), "Pendente", F1531&gt;= DATE(2029,1,1), "Não prioeitário")</f>
        <v>Pendente e Caro</v>
      </c>
      <c r="H1531" s="89">
        <f>YEAR(Tabela1[[#This Row],[Data de Validade]])</f>
        <v>2026</v>
      </c>
      <c r="I1531" s="89">
        <f>MONTH(Tabela1[[#This Row],[Data de Validade]])</f>
        <v>12</v>
      </c>
      <c r="J1531" s="101">
        <v>71628</v>
      </c>
      <c r="K1531" s="87" t="s">
        <v>7</v>
      </c>
      <c r="L1531" s="108"/>
      <c r="M1531" s="108"/>
      <c r="N1531" s="108" t="str">
        <v>H136P128</v>
      </c>
      <c r="O1531" s="108">
        <f t="shared" si="25"/>
        <v>1</v>
      </c>
      <c r="P1531" s="108"/>
      <c r="Q1531"/>
    </row>
    <row r="1532" spans="1:17" x14ac:dyDescent="0.25">
      <c r="A1532" s="89" t="s">
        <v>6666</v>
      </c>
      <c r="B1532" s="87" t="s">
        <v>6667</v>
      </c>
      <c r="C1532" s="87" t="s">
        <v>8</v>
      </c>
      <c r="D1532" s="87" t="str">
        <f>VLOOKUP(Tabela1[[#This Row],[Origem]], 'Perguntas 1 a 24'!$J$28:$K$34, 2, 0)</f>
        <v>Nordeste</v>
      </c>
      <c r="E1532" s="87" t="str">
        <f>Tabela1[[#This Row],[Descrição]]&amp;"-"&amp;Tabela1[[#This Row],[Código]]&amp;"/"&amp;Tabela1[[#This Row],[Origem]]</f>
        <v>Dolite-H755H977/AL</v>
      </c>
      <c r="F1532" s="88">
        <v>46363</v>
      </c>
      <c r="G1532" s="88" t="str" cm="1">
        <f t="array" ref="G15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AND(F1532&gt;= DATE(2026,1,1), F1532&lt;= DATE(2028, 12, 31), J1532&gt;50000), "Pendente e Caro", AND(F1532&gt;= DATE(2026,1,1), F1532&lt;= DATE(2028, 12, 31), J1532&lt;=50000), "Pendente", F1532&gt;= DATE(2029,1,1), "Não prioeitário")</f>
        <v>Pendente</v>
      </c>
      <c r="H1532" s="89">
        <f>YEAR(Tabela1[[#This Row],[Data de Validade]])</f>
        <v>2026</v>
      </c>
      <c r="I1532" s="89">
        <f>MONTH(Tabela1[[#This Row],[Data de Validade]])</f>
        <v>12</v>
      </c>
      <c r="J1532" s="101">
        <v>23143</v>
      </c>
      <c r="K1532" s="87" t="s">
        <v>9</v>
      </c>
      <c r="L1532" s="108"/>
      <c r="M1532" s="108"/>
      <c r="N1532" s="108" t="str">
        <v>H755H977</v>
      </c>
      <c r="O1532" s="108">
        <f t="shared" si="25"/>
        <v>1</v>
      </c>
      <c r="P1532" s="108"/>
      <c r="Q1532"/>
    </row>
    <row r="1533" spans="1:17" x14ac:dyDescent="0.25">
      <c r="A1533" s="89" t="s">
        <v>9721</v>
      </c>
      <c r="B1533" s="87" t="s">
        <v>9722</v>
      </c>
      <c r="C1533" s="87" t="s">
        <v>15</v>
      </c>
      <c r="D1533" s="87" t="str">
        <f>VLOOKUP(Tabela1[[#This Row],[Origem]], 'Perguntas 1 a 24'!$J$28:$K$34, 2, 0)</f>
        <v>Sudeste</v>
      </c>
      <c r="E1533" s="87" t="str">
        <f>Tabela1[[#This Row],[Descrição]]&amp;"-"&amp;Tabela1[[#This Row],[Código]]&amp;"/"&amp;Tabela1[[#This Row],[Origem]]</f>
        <v>Fumorato-H667H339/ES</v>
      </c>
      <c r="F1533" s="88">
        <v>46364</v>
      </c>
      <c r="G1533" s="88" t="str" cm="1">
        <f t="array" ref="G15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AND(F1533&gt;= DATE(2026,1,1), F1533&lt;= DATE(2028, 12, 31), J1533&gt;50000), "Pendente e Caro", AND(F1533&gt;= DATE(2026,1,1), F1533&lt;= DATE(2028, 12, 31), J1533&lt;=50000), "Pendente", F1533&gt;= DATE(2029,1,1), "Não prioeitário")</f>
        <v>Pendente e Caro</v>
      </c>
      <c r="H1533" s="89">
        <f>YEAR(Tabela1[[#This Row],[Data de Validade]])</f>
        <v>2026</v>
      </c>
      <c r="I1533" s="89">
        <f>MONTH(Tabela1[[#This Row],[Data de Validade]])</f>
        <v>12</v>
      </c>
      <c r="J1533" s="101">
        <v>87945</v>
      </c>
      <c r="K1533" s="87" t="s">
        <v>9</v>
      </c>
      <c r="L1533" s="108"/>
      <c r="M1533" s="108"/>
      <c r="N1533" s="108" t="str">
        <v>H667H339</v>
      </c>
      <c r="O1533" s="108">
        <f t="shared" si="25"/>
        <v>1</v>
      </c>
      <c r="P1533" s="108"/>
      <c r="Q1533"/>
    </row>
    <row r="1534" spans="1:17" x14ac:dyDescent="0.25">
      <c r="A1534" s="89" t="s">
        <v>10595</v>
      </c>
      <c r="B1534" s="87" t="s">
        <v>10596</v>
      </c>
      <c r="C1534" s="87" t="s">
        <v>8</v>
      </c>
      <c r="D1534" s="87" t="str">
        <f>VLOOKUP(Tabela1[[#This Row],[Origem]], 'Perguntas 1 a 24'!$J$28:$K$34, 2, 0)</f>
        <v>Nordeste</v>
      </c>
      <c r="E1534" s="87" t="str">
        <f>Tabela1[[#This Row],[Descrição]]&amp;"-"&amp;Tabela1[[#This Row],[Código]]&amp;"/"&amp;Tabela1[[#This Row],[Origem]]</f>
        <v>Cifetu-H218H359/AL</v>
      </c>
      <c r="F1534" s="88">
        <v>46364</v>
      </c>
      <c r="G1534" s="88" t="str" cm="1">
        <f t="array" ref="G15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AND(F1534&gt;= DATE(2026,1,1), F1534&lt;= DATE(2028, 12, 31), J1534&gt;50000), "Pendente e Caro", AND(F1534&gt;= DATE(2026,1,1), F1534&lt;= DATE(2028, 12, 31), J1534&lt;=50000), "Pendente", F1534&gt;= DATE(2029,1,1), "Não prioeitário")</f>
        <v>Pendente</v>
      </c>
      <c r="H1534" s="89">
        <f>YEAR(Tabela1[[#This Row],[Data de Validade]])</f>
        <v>2026</v>
      </c>
      <c r="I1534" s="89">
        <f>MONTH(Tabela1[[#This Row],[Data de Validade]])</f>
        <v>12</v>
      </c>
      <c r="J1534" s="101">
        <v>30841</v>
      </c>
      <c r="K1534" s="87" t="s">
        <v>14</v>
      </c>
      <c r="L1534" s="108"/>
      <c r="M1534" s="108"/>
      <c r="N1534" s="108" t="str">
        <v>H218H359</v>
      </c>
      <c r="O1534" s="108">
        <f t="shared" si="25"/>
        <v>1</v>
      </c>
      <c r="P1534" s="108"/>
      <c r="Q1534"/>
    </row>
    <row r="1535" spans="1:17" x14ac:dyDescent="0.25">
      <c r="A1535" s="89" t="s">
        <v>9043</v>
      </c>
      <c r="B1535" s="87" t="s">
        <v>9044</v>
      </c>
      <c r="C1535" s="87" t="s">
        <v>6</v>
      </c>
      <c r="D1535" s="87" t="str">
        <f>VLOOKUP(Tabela1[[#This Row],[Origem]], 'Perguntas 1 a 24'!$J$28:$K$34, 2, 0)</f>
        <v>Nordeste</v>
      </c>
      <c r="E1535" s="87" t="str">
        <f>Tabela1[[#This Row],[Descrição]]&amp;"-"&amp;Tabela1[[#This Row],[Código]]&amp;"/"&amp;Tabela1[[#This Row],[Origem]]</f>
        <v>Gatodenopi-H797H622/MA</v>
      </c>
      <c r="F1535" s="88">
        <v>46365</v>
      </c>
      <c r="G1535" s="88" t="str" cm="1">
        <f t="array" ref="G15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AND(F1535&gt;= DATE(2026,1,1), F1535&lt;= DATE(2028, 12, 31), J1535&gt;50000), "Pendente e Caro", AND(F1535&gt;= DATE(2026,1,1), F1535&lt;= DATE(2028, 12, 31), J1535&lt;=50000), "Pendente", F1535&gt;= DATE(2029,1,1), "Não prioeitário")</f>
        <v>Pendente e Caro</v>
      </c>
      <c r="H1535" s="89">
        <f>YEAR(Tabela1[[#This Row],[Data de Validade]])</f>
        <v>2026</v>
      </c>
      <c r="I1535" s="89">
        <f>MONTH(Tabela1[[#This Row],[Data de Validade]])</f>
        <v>12</v>
      </c>
      <c r="J1535" s="101">
        <v>113908</v>
      </c>
      <c r="K1535" s="87" t="s">
        <v>14</v>
      </c>
      <c r="L1535" s="108"/>
      <c r="M1535" s="108"/>
      <c r="N1535" s="108" t="str">
        <v>H797H622</v>
      </c>
      <c r="O1535" s="108">
        <f t="shared" si="25"/>
        <v>1</v>
      </c>
      <c r="P1535" s="108"/>
      <c r="Q1535"/>
    </row>
    <row r="1536" spans="1:17" x14ac:dyDescent="0.25">
      <c r="A1536" s="89" t="s">
        <v>9131</v>
      </c>
      <c r="B1536" s="87" t="s">
        <v>9132</v>
      </c>
      <c r="C1536" s="87" t="s">
        <v>10</v>
      </c>
      <c r="D1536" s="87" t="str">
        <f>VLOOKUP(Tabela1[[#This Row],[Origem]], 'Perguntas 1 a 24'!$J$28:$K$34, 2, 0)</f>
        <v>Centro-Oeste</v>
      </c>
      <c r="E1536" s="87" t="str">
        <f>Tabela1[[#This Row],[Descrição]]&amp;"-"&amp;Tabela1[[#This Row],[Código]]&amp;"/"&amp;Tabela1[[#This Row],[Origem]]</f>
        <v>Tuluvu-P372P994/GO</v>
      </c>
      <c r="F1536" s="88">
        <v>46365</v>
      </c>
      <c r="G1536" s="88" t="str" cm="1">
        <f t="array" ref="G15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AND(F1536&gt;= DATE(2026,1,1), F1536&lt;= DATE(2028, 12, 31), J1536&gt;50000), "Pendente e Caro", AND(F1536&gt;= DATE(2026,1,1), F1536&lt;= DATE(2028, 12, 31), J1536&lt;=50000), "Pendente", F1536&gt;= DATE(2029,1,1), "Não prioeitário")</f>
        <v>Pendente e Caro</v>
      </c>
      <c r="H1536" s="89">
        <f>YEAR(Tabela1[[#This Row],[Data de Validade]])</f>
        <v>2026</v>
      </c>
      <c r="I1536" s="89">
        <f>MONTH(Tabela1[[#This Row],[Data de Validade]])</f>
        <v>12</v>
      </c>
      <c r="J1536" s="101">
        <v>89620</v>
      </c>
      <c r="K1536" s="87" t="s">
        <v>14</v>
      </c>
      <c r="L1536" s="108"/>
      <c r="M1536" s="108"/>
      <c r="N1536" s="108" t="str">
        <v>P372P994</v>
      </c>
      <c r="O1536" s="108">
        <f t="shared" si="25"/>
        <v>1</v>
      </c>
      <c r="P1536" s="108"/>
      <c r="Q1536"/>
    </row>
    <row r="1537" spans="1:17" x14ac:dyDescent="0.25">
      <c r="A1537" s="89" t="s">
        <v>6030</v>
      </c>
      <c r="B1537" s="87" t="s">
        <v>6031</v>
      </c>
      <c r="C1537" s="87" t="s">
        <v>13</v>
      </c>
      <c r="D1537" s="87" t="str">
        <f>VLOOKUP(Tabela1[[#This Row],[Origem]], 'Perguntas 1 a 24'!$J$28:$K$34, 2, 0)</f>
        <v>Sudeste</v>
      </c>
      <c r="E1537" s="87" t="str">
        <f>Tabela1[[#This Row],[Descrição]]&amp;"-"&amp;Tabela1[[#This Row],[Código]]&amp;"/"&amp;Tabela1[[#This Row],[Origem]]</f>
        <v>Ritipa-P298P658/SP</v>
      </c>
      <c r="F1537" s="88">
        <v>46365</v>
      </c>
      <c r="G1537" s="88" t="str" cm="1">
        <f t="array" ref="G15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AND(F1537&gt;= DATE(2026,1,1), F1537&lt;= DATE(2028, 12, 31), J1537&gt;50000), "Pendente e Caro", AND(F1537&gt;= DATE(2026,1,1), F1537&lt;= DATE(2028, 12, 31), J1537&lt;=50000), "Pendente", F1537&gt;= DATE(2029,1,1), "Não prioeitário")</f>
        <v>Pendente e Caro</v>
      </c>
      <c r="H1537" s="89">
        <f>YEAR(Tabela1[[#This Row],[Data de Validade]])</f>
        <v>2026</v>
      </c>
      <c r="I1537" s="89">
        <f>MONTH(Tabela1[[#This Row],[Data de Validade]])</f>
        <v>12</v>
      </c>
      <c r="J1537" s="101">
        <v>58959</v>
      </c>
      <c r="K1537" s="87" t="s">
        <v>7</v>
      </c>
      <c r="L1537" s="108"/>
      <c r="M1537" s="108"/>
      <c r="N1537" s="108" t="str">
        <v>P298P658</v>
      </c>
      <c r="O1537" s="108">
        <f t="shared" si="25"/>
        <v>1</v>
      </c>
      <c r="P1537" s="108"/>
      <c r="Q1537"/>
    </row>
    <row r="1538" spans="1:17" x14ac:dyDescent="0.25">
      <c r="A1538" s="89" t="s">
        <v>7628</v>
      </c>
      <c r="B1538" s="87" t="s">
        <v>7629</v>
      </c>
      <c r="C1538" s="87" t="s">
        <v>13</v>
      </c>
      <c r="D1538" s="87" t="str">
        <f>VLOOKUP(Tabela1[[#This Row],[Origem]], 'Perguntas 1 a 24'!$J$28:$K$34, 2, 0)</f>
        <v>Sudeste</v>
      </c>
      <c r="E1538" s="87" t="str">
        <f>Tabela1[[#This Row],[Descrição]]&amp;"-"&amp;Tabela1[[#This Row],[Código]]&amp;"/"&amp;Tabela1[[#This Row],[Origem]]</f>
        <v>Tanivo-P549H884/SP</v>
      </c>
      <c r="F1538" s="88">
        <v>46366</v>
      </c>
      <c r="G1538" s="88" t="str" cm="1">
        <f t="array" ref="G15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AND(F1538&gt;= DATE(2026,1,1), F1538&lt;= DATE(2028, 12, 31), J1538&gt;50000), "Pendente e Caro", AND(F1538&gt;= DATE(2026,1,1), F1538&lt;= DATE(2028, 12, 31), J1538&lt;=50000), "Pendente", F1538&gt;= DATE(2029,1,1), "Não prioeitário")</f>
        <v>Pendente e Caro</v>
      </c>
      <c r="H1538" s="89">
        <f>YEAR(Tabela1[[#This Row],[Data de Validade]])</f>
        <v>2026</v>
      </c>
      <c r="I1538" s="89">
        <f>MONTH(Tabela1[[#This Row],[Data de Validade]])</f>
        <v>12</v>
      </c>
      <c r="J1538" s="101">
        <v>89637</v>
      </c>
      <c r="K1538" s="87" t="s">
        <v>7</v>
      </c>
      <c r="L1538" s="108"/>
      <c r="M1538" s="108"/>
      <c r="N1538" s="108" t="str">
        <v>P549H884</v>
      </c>
      <c r="O1538" s="108">
        <f t="shared" si="25"/>
        <v>1</v>
      </c>
      <c r="P1538" s="108"/>
      <c r="Q1538"/>
    </row>
    <row r="1539" spans="1:17" x14ac:dyDescent="0.25">
      <c r="A1539" s="89" t="s">
        <v>7372</v>
      </c>
      <c r="B1539" s="87" t="s">
        <v>7373</v>
      </c>
      <c r="C1539" s="87" t="s">
        <v>12</v>
      </c>
      <c r="D1539" s="87" t="str">
        <f>VLOOKUP(Tabela1[[#This Row],[Origem]], 'Perguntas 1 a 24'!$J$28:$K$34, 2, 0)</f>
        <v>Sudeste</v>
      </c>
      <c r="E1539" s="87" t="str">
        <f>Tabela1[[#This Row],[Descrição]]&amp;"-"&amp;Tabela1[[#This Row],[Código]]&amp;"/"&amp;Tabela1[[#This Row],[Origem]]</f>
        <v>Pugopi-H628P885/RJ</v>
      </c>
      <c r="F1539" s="88">
        <v>46366</v>
      </c>
      <c r="G1539" s="88" t="str" cm="1">
        <f t="array" ref="G15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AND(F1539&gt;= DATE(2026,1,1), F1539&lt;= DATE(2028, 12, 31), J1539&gt;50000), "Pendente e Caro", AND(F1539&gt;= DATE(2026,1,1), F1539&lt;= DATE(2028, 12, 31), J1539&lt;=50000), "Pendente", F1539&gt;= DATE(2029,1,1), "Não prioeitário")</f>
        <v>Pendente e Caro</v>
      </c>
      <c r="H1539" s="89">
        <f>YEAR(Tabela1[[#This Row],[Data de Validade]])</f>
        <v>2026</v>
      </c>
      <c r="I1539" s="89">
        <f>MONTH(Tabela1[[#This Row],[Data de Validade]])</f>
        <v>12</v>
      </c>
      <c r="J1539" s="101">
        <v>74495</v>
      </c>
      <c r="K1539" s="87" t="s">
        <v>11</v>
      </c>
      <c r="L1539" s="108"/>
      <c r="M1539" s="108"/>
      <c r="N1539" s="108" t="str">
        <v>H628P885</v>
      </c>
      <c r="O1539" s="108">
        <f t="shared" ref="O1539:O1602" si="26">COUNTIFS(B:B,N1539)</f>
        <v>1</v>
      </c>
      <c r="P1539" s="108"/>
      <c r="Q1539"/>
    </row>
    <row r="1540" spans="1:17" x14ac:dyDescent="0.25">
      <c r="A1540" s="89" t="s">
        <v>8330</v>
      </c>
      <c r="B1540" s="87" t="s">
        <v>8331</v>
      </c>
      <c r="C1540" s="87" t="s">
        <v>6</v>
      </c>
      <c r="D1540" s="87" t="str">
        <f>VLOOKUP(Tabela1[[#This Row],[Origem]], 'Perguntas 1 a 24'!$J$28:$K$34, 2, 0)</f>
        <v>Nordeste</v>
      </c>
      <c r="E1540" s="87" t="str">
        <f>Tabela1[[#This Row],[Descrição]]&amp;"-"&amp;Tabela1[[#This Row],[Código]]&amp;"/"&amp;Tabela1[[#This Row],[Origem]]</f>
        <v>Ditotu-P391P742/MA</v>
      </c>
      <c r="F1540" s="88">
        <v>46366</v>
      </c>
      <c r="G1540" s="88" t="str" cm="1">
        <f t="array" ref="G15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AND(F1540&gt;= DATE(2026,1,1), F1540&lt;= DATE(2028, 12, 31), J1540&gt;50000), "Pendente e Caro", AND(F1540&gt;= DATE(2026,1,1), F1540&lt;= DATE(2028, 12, 31), J1540&lt;=50000), "Pendente", F1540&gt;= DATE(2029,1,1), "Não prioeitário")</f>
        <v>Pendente e Caro</v>
      </c>
      <c r="H1540" s="89">
        <f>YEAR(Tabela1[[#This Row],[Data de Validade]])</f>
        <v>2026</v>
      </c>
      <c r="I1540" s="89">
        <f>MONTH(Tabela1[[#This Row],[Data de Validade]])</f>
        <v>12</v>
      </c>
      <c r="J1540" s="101">
        <v>65615</v>
      </c>
      <c r="K1540" s="87" t="s">
        <v>14</v>
      </c>
      <c r="L1540" s="108"/>
      <c r="M1540" s="108"/>
      <c r="N1540" s="108" t="str">
        <v>P391P742</v>
      </c>
      <c r="O1540" s="108">
        <f t="shared" si="26"/>
        <v>1</v>
      </c>
      <c r="P1540" s="108"/>
      <c r="Q1540"/>
    </row>
    <row r="1541" spans="1:17" x14ac:dyDescent="0.25">
      <c r="A1541" s="89" t="s">
        <v>10209</v>
      </c>
      <c r="B1541" s="87" t="s">
        <v>10210</v>
      </c>
      <c r="C1541" s="87" t="s">
        <v>15</v>
      </c>
      <c r="D1541" s="87" t="str">
        <f>VLOOKUP(Tabela1[[#This Row],[Origem]], 'Perguntas 1 a 24'!$J$28:$K$34, 2, 0)</f>
        <v>Sudeste</v>
      </c>
      <c r="E1541" s="87" t="str">
        <f>Tabela1[[#This Row],[Descrição]]&amp;"-"&amp;Tabela1[[#This Row],[Código]]&amp;"/"&amp;Tabela1[[#This Row],[Origem]]</f>
        <v>Navopape-P923H215/ES</v>
      </c>
      <c r="F1541" s="88">
        <v>46367</v>
      </c>
      <c r="G1541" s="88" t="str" cm="1">
        <f t="array" ref="G15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AND(F1541&gt;= DATE(2026,1,1), F1541&lt;= DATE(2028, 12, 31), J1541&gt;50000), "Pendente e Caro", AND(F1541&gt;= DATE(2026,1,1), F1541&lt;= DATE(2028, 12, 31), J1541&lt;=50000), "Pendente", F1541&gt;= DATE(2029,1,1), "Não prioeitário")</f>
        <v>Pendente e Caro</v>
      </c>
      <c r="H1541" s="89">
        <f>YEAR(Tabela1[[#This Row],[Data de Validade]])</f>
        <v>2026</v>
      </c>
      <c r="I1541" s="89">
        <f>MONTH(Tabela1[[#This Row],[Data de Validade]])</f>
        <v>12</v>
      </c>
      <c r="J1541" s="101">
        <v>94430</v>
      </c>
      <c r="K1541" s="87" t="s">
        <v>9</v>
      </c>
      <c r="L1541" s="108"/>
      <c r="M1541" s="108"/>
      <c r="N1541" s="108" t="str">
        <v>P923H215</v>
      </c>
      <c r="O1541" s="108">
        <f t="shared" si="26"/>
        <v>1</v>
      </c>
      <c r="P1541" s="108"/>
      <c r="Q1541"/>
    </row>
    <row r="1542" spans="1:17" x14ac:dyDescent="0.25">
      <c r="A1542" s="89" t="s">
        <v>7390</v>
      </c>
      <c r="B1542" s="87" t="s">
        <v>7391</v>
      </c>
      <c r="C1542" s="87" t="s">
        <v>12</v>
      </c>
      <c r="D1542" s="87" t="str">
        <f>VLOOKUP(Tabela1[[#This Row],[Origem]], 'Perguntas 1 a 24'!$J$28:$K$34, 2, 0)</f>
        <v>Sudeste</v>
      </c>
      <c r="E1542" s="87" t="str">
        <f>Tabela1[[#This Row],[Descrição]]&amp;"-"&amp;Tabela1[[#This Row],[Código]]&amp;"/"&amp;Tabela1[[#This Row],[Origem]]</f>
        <v>Rapetofe-H692H175/RJ</v>
      </c>
      <c r="F1542" s="88">
        <v>46367</v>
      </c>
      <c r="G1542" s="88" t="str" cm="1">
        <f t="array" ref="G15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AND(F1542&gt;= DATE(2026,1,1), F1542&lt;= DATE(2028, 12, 31), J1542&gt;50000), "Pendente e Caro", AND(F1542&gt;= DATE(2026,1,1), F1542&lt;= DATE(2028, 12, 31), J1542&lt;=50000), "Pendente", F1542&gt;= DATE(2029,1,1), "Não prioeitário")</f>
        <v>Pendente e Caro</v>
      </c>
      <c r="H1542" s="89">
        <f>YEAR(Tabela1[[#This Row],[Data de Validade]])</f>
        <v>2026</v>
      </c>
      <c r="I1542" s="89">
        <f>MONTH(Tabela1[[#This Row],[Data de Validade]])</f>
        <v>12</v>
      </c>
      <c r="J1542" s="101">
        <v>68782</v>
      </c>
      <c r="K1542" s="87" t="s">
        <v>11</v>
      </c>
      <c r="L1542" s="108"/>
      <c r="M1542" s="108"/>
      <c r="N1542" s="108" t="str">
        <v>H692H175</v>
      </c>
      <c r="O1542" s="108">
        <f t="shared" si="26"/>
        <v>1</v>
      </c>
      <c r="P1542" s="108"/>
      <c r="Q1542"/>
    </row>
    <row r="1543" spans="1:17" x14ac:dyDescent="0.25">
      <c r="A1543" s="89" t="s">
        <v>8488</v>
      </c>
      <c r="B1543" s="87" t="s">
        <v>8489</v>
      </c>
      <c r="C1543" s="87" t="s">
        <v>16</v>
      </c>
      <c r="D1543" s="87" t="str">
        <f>VLOOKUP(Tabela1[[#This Row],[Origem]], 'Perguntas 1 a 24'!$J$28:$K$34, 2, 0)</f>
        <v>Sudeste</v>
      </c>
      <c r="E1543" s="87" t="str">
        <f>Tabela1[[#This Row],[Descrição]]&amp;"-"&amp;Tabela1[[#This Row],[Código]]&amp;"/"&amp;Tabela1[[#This Row],[Origem]]</f>
        <v>Gomogulope-P971H853/MG</v>
      </c>
      <c r="F1543" s="88">
        <v>46367</v>
      </c>
      <c r="G1543" s="88" t="str" cm="1">
        <f t="array" ref="G15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AND(F1543&gt;= DATE(2026,1,1), F1543&lt;= DATE(2028, 12, 31), J1543&gt;50000), "Pendente e Caro", AND(F1543&gt;= DATE(2026,1,1), F1543&lt;= DATE(2028, 12, 31), J1543&lt;=50000), "Pendente", F1543&gt;= DATE(2029,1,1), "Não prioeitário")</f>
        <v>Pendente</v>
      </c>
      <c r="H1543" s="89">
        <f>YEAR(Tabela1[[#This Row],[Data de Validade]])</f>
        <v>2026</v>
      </c>
      <c r="I1543" s="89">
        <f>MONTH(Tabela1[[#This Row],[Data de Validade]])</f>
        <v>12</v>
      </c>
      <c r="J1543" s="101">
        <v>38962</v>
      </c>
      <c r="K1543" s="87" t="s">
        <v>9</v>
      </c>
      <c r="L1543" s="108"/>
      <c r="M1543" s="108"/>
      <c r="N1543" s="108" t="str">
        <v>P971H853</v>
      </c>
      <c r="O1543" s="108">
        <f t="shared" si="26"/>
        <v>1</v>
      </c>
      <c r="P1543" s="108"/>
      <c r="Q1543"/>
    </row>
    <row r="1544" spans="1:17" x14ac:dyDescent="0.25">
      <c r="A1544" s="89" t="s">
        <v>5324</v>
      </c>
      <c r="B1544" s="87" t="s">
        <v>5325</v>
      </c>
      <c r="C1544" s="87" t="s">
        <v>8</v>
      </c>
      <c r="D1544" s="87" t="str">
        <f>VLOOKUP(Tabela1[[#This Row],[Origem]], 'Perguntas 1 a 24'!$J$28:$K$34, 2, 0)</f>
        <v>Nordeste</v>
      </c>
      <c r="E1544" s="87" t="str">
        <f>Tabela1[[#This Row],[Descrição]]&amp;"-"&amp;Tabela1[[#This Row],[Código]]&amp;"/"&amp;Tabela1[[#This Row],[Origem]]</f>
        <v>Torace-H579P381/AL</v>
      </c>
      <c r="F1544" s="88">
        <v>46367</v>
      </c>
      <c r="G1544" s="88" t="str" cm="1">
        <f t="array" ref="G15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AND(F1544&gt;= DATE(2026,1,1), F1544&lt;= DATE(2028, 12, 31), J1544&gt;50000), "Pendente e Caro", AND(F1544&gt;= DATE(2026,1,1), F1544&lt;= DATE(2028, 12, 31), J1544&lt;=50000), "Pendente", F1544&gt;= DATE(2029,1,1), "Não prioeitário")</f>
        <v>Pendente</v>
      </c>
      <c r="H1544" s="89">
        <f>YEAR(Tabela1[[#This Row],[Data de Validade]])</f>
        <v>2026</v>
      </c>
      <c r="I1544" s="89">
        <f>MONTH(Tabela1[[#This Row],[Data de Validade]])</f>
        <v>12</v>
      </c>
      <c r="J1544" s="101">
        <v>24569</v>
      </c>
      <c r="K1544" s="87" t="s">
        <v>11</v>
      </c>
      <c r="L1544" s="108"/>
      <c r="M1544" s="108"/>
      <c r="N1544" s="108" t="str">
        <v>H579P381</v>
      </c>
      <c r="O1544" s="108">
        <f t="shared" si="26"/>
        <v>1</v>
      </c>
      <c r="P1544" s="108"/>
      <c r="Q1544"/>
    </row>
    <row r="1545" spans="1:17" x14ac:dyDescent="0.25">
      <c r="A1545" s="89" t="s">
        <v>5556</v>
      </c>
      <c r="B1545" s="87" t="s">
        <v>5557</v>
      </c>
      <c r="C1545" s="87" t="s">
        <v>6</v>
      </c>
      <c r="D1545" s="87" t="str">
        <f>VLOOKUP(Tabela1[[#This Row],[Origem]], 'Perguntas 1 a 24'!$J$28:$K$34, 2, 0)</f>
        <v>Nordeste</v>
      </c>
      <c r="E1545" s="87" t="str">
        <f>Tabela1[[#This Row],[Descrição]]&amp;"-"&amp;Tabela1[[#This Row],[Código]]&amp;"/"&amp;Tabela1[[#This Row],[Origem]]</f>
        <v>Dopetupo-H342P996/MA</v>
      </c>
      <c r="F1545" s="88">
        <v>46368</v>
      </c>
      <c r="G1545" s="88" t="str" cm="1">
        <f t="array" ref="G15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AND(F1545&gt;= DATE(2026,1,1), F1545&lt;= DATE(2028, 12, 31), J1545&gt;50000), "Pendente e Caro", AND(F1545&gt;= DATE(2026,1,1), F1545&lt;= DATE(2028, 12, 31), J1545&lt;=50000), "Pendente", F1545&gt;= DATE(2029,1,1), "Não prioeitário")</f>
        <v>Pendente e Caro</v>
      </c>
      <c r="H1545" s="89">
        <f>YEAR(Tabela1[[#This Row],[Data de Validade]])</f>
        <v>2026</v>
      </c>
      <c r="I1545" s="89">
        <f>MONTH(Tabela1[[#This Row],[Data de Validade]])</f>
        <v>12</v>
      </c>
      <c r="J1545" s="101">
        <v>119050</v>
      </c>
      <c r="K1545" s="87" t="s">
        <v>14</v>
      </c>
      <c r="L1545" s="108"/>
      <c r="M1545" s="108"/>
      <c r="N1545" s="108" t="str">
        <v>H342P996</v>
      </c>
      <c r="O1545" s="108">
        <f t="shared" si="26"/>
        <v>1</v>
      </c>
      <c r="P1545" s="108"/>
      <c r="Q1545"/>
    </row>
    <row r="1546" spans="1:17" x14ac:dyDescent="0.25">
      <c r="A1546" s="89" t="s">
        <v>10895</v>
      </c>
      <c r="B1546" s="87" t="s">
        <v>10896</v>
      </c>
      <c r="C1546" s="87" t="s">
        <v>12</v>
      </c>
      <c r="D1546" s="87" t="str">
        <f>VLOOKUP(Tabela1[[#This Row],[Origem]], 'Perguntas 1 a 24'!$J$28:$K$34, 2, 0)</f>
        <v>Sudeste</v>
      </c>
      <c r="E1546" s="87" t="str">
        <f>Tabela1[[#This Row],[Descrição]]&amp;"-"&amp;Tabela1[[#This Row],[Código]]&amp;"/"&amp;Tabela1[[#This Row],[Origem]]</f>
        <v>Mocupomugu-P993H465/RJ</v>
      </c>
      <c r="F1546" s="88">
        <v>46368</v>
      </c>
      <c r="G1546" s="88" t="str" cm="1">
        <f t="array" ref="G15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AND(F1546&gt;= DATE(2026,1,1), F1546&lt;= DATE(2028, 12, 31), J1546&gt;50000), "Pendente e Caro", AND(F1546&gt;= DATE(2026,1,1), F1546&lt;= DATE(2028, 12, 31), J1546&lt;=50000), "Pendente", F1546&gt;= DATE(2029,1,1), "Não prioeitário")</f>
        <v>Pendente e Caro</v>
      </c>
      <c r="H1546" s="89">
        <f>YEAR(Tabela1[[#This Row],[Data de Validade]])</f>
        <v>2026</v>
      </c>
      <c r="I1546" s="89">
        <f>MONTH(Tabela1[[#This Row],[Data de Validade]])</f>
        <v>12</v>
      </c>
      <c r="J1546" s="101">
        <v>92068</v>
      </c>
      <c r="K1546" s="87" t="s">
        <v>7</v>
      </c>
      <c r="L1546" s="108"/>
      <c r="M1546" s="108"/>
      <c r="N1546" s="108" t="str">
        <v>P993H465</v>
      </c>
      <c r="O1546" s="108">
        <f t="shared" si="26"/>
        <v>1</v>
      </c>
      <c r="P1546" s="108"/>
      <c r="Q1546"/>
    </row>
    <row r="1547" spans="1:17" x14ac:dyDescent="0.25">
      <c r="A1547" s="89" t="s">
        <v>3708</v>
      </c>
      <c r="B1547" s="87" t="s">
        <v>3709</v>
      </c>
      <c r="C1547" s="87" t="s">
        <v>12</v>
      </c>
      <c r="D1547" s="87" t="str">
        <f>VLOOKUP(Tabela1[[#This Row],[Origem]], 'Perguntas 1 a 24'!$J$28:$K$34, 2, 0)</f>
        <v>Sudeste</v>
      </c>
      <c r="E1547" s="87" t="str">
        <f>Tabela1[[#This Row],[Descrição]]&amp;"-"&amp;Tabela1[[#This Row],[Código]]&amp;"/"&amp;Tabela1[[#This Row],[Origem]]</f>
        <v>Pularimudi-P153P691/RJ</v>
      </c>
      <c r="F1547" s="88">
        <v>46368</v>
      </c>
      <c r="G1547" s="88" t="str" cm="1">
        <f t="array" ref="G15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AND(F1547&gt;= DATE(2026,1,1), F1547&lt;= DATE(2028, 12, 31), J1547&gt;50000), "Pendente e Caro", AND(F1547&gt;= DATE(2026,1,1), F1547&lt;= DATE(2028, 12, 31), J1547&lt;=50000), "Pendente", F1547&gt;= DATE(2029,1,1), "Não prioeitário")</f>
        <v>Pendente</v>
      </c>
      <c r="H1547" s="89">
        <f>YEAR(Tabela1[[#This Row],[Data de Validade]])</f>
        <v>2026</v>
      </c>
      <c r="I1547" s="89">
        <f>MONTH(Tabela1[[#This Row],[Data de Validade]])</f>
        <v>12</v>
      </c>
      <c r="J1547" s="101">
        <v>48480</v>
      </c>
      <c r="K1547" s="87" t="s">
        <v>11</v>
      </c>
      <c r="L1547" s="108"/>
      <c r="M1547" s="108"/>
      <c r="N1547" s="108" t="str">
        <v>P153P691</v>
      </c>
      <c r="O1547" s="108">
        <f t="shared" si="26"/>
        <v>1</v>
      </c>
      <c r="P1547" s="108"/>
      <c r="Q1547"/>
    </row>
    <row r="1548" spans="1:17" x14ac:dyDescent="0.25">
      <c r="A1548" s="89" t="s">
        <v>6260</v>
      </c>
      <c r="B1548" s="87" t="s">
        <v>6261</v>
      </c>
      <c r="C1548" s="87" t="s">
        <v>6</v>
      </c>
      <c r="D1548" s="87" t="str">
        <f>VLOOKUP(Tabela1[[#This Row],[Origem]], 'Perguntas 1 a 24'!$J$28:$K$34, 2, 0)</f>
        <v>Nordeste</v>
      </c>
      <c r="E1548" s="87" t="str">
        <f>Tabela1[[#This Row],[Descrição]]&amp;"-"&amp;Tabela1[[#This Row],[Código]]&amp;"/"&amp;Tabela1[[#This Row],[Origem]]</f>
        <v>Filevi-P877P816/MA</v>
      </c>
      <c r="F1548" s="88">
        <v>46368</v>
      </c>
      <c r="G1548" s="88" t="str" cm="1">
        <f t="array" ref="G15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AND(F1548&gt;= DATE(2026,1,1), F1548&lt;= DATE(2028, 12, 31), J1548&gt;50000), "Pendente e Caro", AND(F1548&gt;= DATE(2026,1,1), F1548&lt;= DATE(2028, 12, 31), J1548&lt;=50000), "Pendente", F1548&gt;= DATE(2029,1,1), "Não prioeitário")</f>
        <v>Pendente</v>
      </c>
      <c r="H1548" s="89">
        <f>YEAR(Tabela1[[#This Row],[Data de Validade]])</f>
        <v>2026</v>
      </c>
      <c r="I1548" s="89">
        <f>MONTH(Tabela1[[#This Row],[Data de Validade]])</f>
        <v>12</v>
      </c>
      <c r="J1548" s="101">
        <v>29599</v>
      </c>
      <c r="K1548" s="87" t="s">
        <v>11</v>
      </c>
      <c r="L1548" s="108"/>
      <c r="M1548" s="108"/>
      <c r="N1548" s="108" t="str">
        <v>P877P816</v>
      </c>
      <c r="O1548" s="108">
        <f t="shared" si="26"/>
        <v>1</v>
      </c>
      <c r="P1548" s="108"/>
      <c r="Q1548"/>
    </row>
    <row r="1549" spans="1:17" x14ac:dyDescent="0.25">
      <c r="A1549" s="89" t="s">
        <v>11096</v>
      </c>
      <c r="B1549" s="87" t="s">
        <v>11097</v>
      </c>
      <c r="C1549" s="87" t="s">
        <v>16</v>
      </c>
      <c r="D1549" s="87" t="str">
        <f>VLOOKUP(Tabela1[[#This Row],[Origem]], 'Perguntas 1 a 24'!$J$28:$K$34, 2, 0)</f>
        <v>Sudeste</v>
      </c>
      <c r="E1549" s="87" t="str">
        <f>Tabela1[[#This Row],[Descrição]]&amp;"-"&amp;Tabela1[[#This Row],[Código]]&amp;"/"&amp;Tabela1[[#This Row],[Origem]]</f>
        <v>Pafuveda-P344P352/MG</v>
      </c>
      <c r="F1549" s="88">
        <v>46369</v>
      </c>
      <c r="G1549" s="88" t="str" cm="1">
        <f t="array" ref="G15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AND(F1549&gt;= DATE(2026,1,1), F1549&lt;= DATE(2028, 12, 31), J1549&gt;50000), "Pendente e Caro", AND(F1549&gt;= DATE(2026,1,1), F1549&lt;= DATE(2028, 12, 31), J1549&lt;=50000), "Pendente", F1549&gt;= DATE(2029,1,1), "Não prioeitário")</f>
        <v>Pendente e Caro</v>
      </c>
      <c r="H1549" s="89">
        <f>YEAR(Tabela1[[#This Row],[Data de Validade]])</f>
        <v>2026</v>
      </c>
      <c r="I1549" s="89">
        <f>MONTH(Tabela1[[#This Row],[Data de Validade]])</f>
        <v>12</v>
      </c>
      <c r="J1549" s="101">
        <v>86266</v>
      </c>
      <c r="K1549" s="87" t="s">
        <v>14</v>
      </c>
      <c r="L1549" s="108"/>
      <c r="M1549" s="108"/>
      <c r="N1549" s="108" t="str">
        <v>P344P352</v>
      </c>
      <c r="O1549" s="108">
        <f t="shared" si="26"/>
        <v>1</v>
      </c>
      <c r="P1549" s="108"/>
      <c r="Q1549"/>
    </row>
    <row r="1550" spans="1:17" x14ac:dyDescent="0.25">
      <c r="A1550" s="89" t="s">
        <v>3822</v>
      </c>
      <c r="B1550" s="87" t="s">
        <v>3823</v>
      </c>
      <c r="C1550" s="87" t="s">
        <v>12</v>
      </c>
      <c r="D1550" s="87" t="str">
        <f>VLOOKUP(Tabela1[[#This Row],[Origem]], 'Perguntas 1 a 24'!$J$28:$K$34, 2, 0)</f>
        <v>Sudeste</v>
      </c>
      <c r="E1550" s="87" t="str">
        <f>Tabela1[[#This Row],[Descrição]]&amp;"-"&amp;Tabela1[[#This Row],[Código]]&amp;"/"&amp;Tabela1[[#This Row],[Origem]]</f>
        <v>Ronilufe-H662H357/RJ</v>
      </c>
      <c r="F1550" s="88">
        <v>46370</v>
      </c>
      <c r="G1550" s="88" t="str" cm="1">
        <f t="array" ref="G15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AND(F1550&gt;= DATE(2026,1,1), F1550&lt;= DATE(2028, 12, 31), J1550&gt;50000), "Pendente e Caro", AND(F1550&gt;= DATE(2026,1,1), F1550&lt;= DATE(2028, 12, 31), J1550&lt;=50000), "Pendente", F1550&gt;= DATE(2029,1,1), "Não prioeitário")</f>
        <v>Pendente e Caro</v>
      </c>
      <c r="H1550" s="89">
        <f>YEAR(Tabela1[[#This Row],[Data de Validade]])</f>
        <v>2026</v>
      </c>
      <c r="I1550" s="89">
        <f>MONTH(Tabela1[[#This Row],[Data de Validade]])</f>
        <v>12</v>
      </c>
      <c r="J1550" s="101">
        <v>92053</v>
      </c>
      <c r="K1550" s="87" t="s">
        <v>7</v>
      </c>
      <c r="L1550" s="108"/>
      <c r="M1550" s="108"/>
      <c r="N1550" s="108" t="str">
        <v>H662H357</v>
      </c>
      <c r="O1550" s="108">
        <f t="shared" si="26"/>
        <v>1</v>
      </c>
      <c r="P1550" s="108"/>
      <c r="Q1550"/>
    </row>
    <row r="1551" spans="1:17" x14ac:dyDescent="0.25">
      <c r="A1551" s="89" t="s">
        <v>9599</v>
      </c>
      <c r="B1551" s="87" t="s">
        <v>9600</v>
      </c>
      <c r="C1551" s="87" t="s">
        <v>10</v>
      </c>
      <c r="D1551" s="87" t="str">
        <f>VLOOKUP(Tabela1[[#This Row],[Origem]], 'Perguntas 1 a 24'!$J$28:$K$34, 2, 0)</f>
        <v>Centro-Oeste</v>
      </c>
      <c r="E1551" s="87" t="str">
        <f>Tabela1[[#This Row],[Descrição]]&amp;"-"&amp;Tabela1[[#This Row],[Código]]&amp;"/"&amp;Tabela1[[#This Row],[Origem]]</f>
        <v>Vudima-H596P465/GO</v>
      </c>
      <c r="F1551" s="88">
        <v>46370</v>
      </c>
      <c r="G1551" s="88" t="str" cm="1">
        <f t="array" ref="G15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AND(F1551&gt;= DATE(2026,1,1), F1551&lt;= DATE(2028, 12, 31), J1551&gt;50000), "Pendente e Caro", AND(F1551&gt;= DATE(2026,1,1), F1551&lt;= DATE(2028, 12, 31), J1551&lt;=50000), "Pendente", F1551&gt;= DATE(2029,1,1), "Não prioeitário")</f>
        <v>Pendente e Caro</v>
      </c>
      <c r="H1551" s="89">
        <f>YEAR(Tabela1[[#This Row],[Data de Validade]])</f>
        <v>2026</v>
      </c>
      <c r="I1551" s="89">
        <f>MONTH(Tabela1[[#This Row],[Data de Validade]])</f>
        <v>12</v>
      </c>
      <c r="J1551" s="101">
        <v>81871</v>
      </c>
      <c r="K1551" s="87" t="s">
        <v>9</v>
      </c>
      <c r="L1551" s="108"/>
      <c r="M1551" s="108"/>
      <c r="N1551" s="108" t="str">
        <v>H596P465</v>
      </c>
      <c r="O1551" s="108">
        <f t="shared" si="26"/>
        <v>1</v>
      </c>
      <c r="P1551" s="108"/>
      <c r="Q1551"/>
    </row>
    <row r="1552" spans="1:17" x14ac:dyDescent="0.25">
      <c r="A1552" s="89" t="s">
        <v>7540</v>
      </c>
      <c r="B1552" s="87" t="s">
        <v>7541</v>
      </c>
      <c r="C1552" s="87" t="s">
        <v>15</v>
      </c>
      <c r="D1552" s="87" t="str">
        <f>VLOOKUP(Tabela1[[#This Row],[Origem]], 'Perguntas 1 a 24'!$J$28:$K$34, 2, 0)</f>
        <v>Sudeste</v>
      </c>
      <c r="E1552" s="87" t="str">
        <f>Tabela1[[#This Row],[Descrição]]&amp;"-"&amp;Tabela1[[#This Row],[Código]]&amp;"/"&amp;Tabela1[[#This Row],[Origem]]</f>
        <v>Nupate-H911P329/ES</v>
      </c>
      <c r="F1552" s="88">
        <v>46370</v>
      </c>
      <c r="G1552" s="88" t="str" cm="1">
        <f t="array" ref="G15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AND(F1552&gt;= DATE(2026,1,1), F1552&lt;= DATE(2028, 12, 31), J1552&gt;50000), "Pendente e Caro", AND(F1552&gt;= DATE(2026,1,1), F1552&lt;= DATE(2028, 12, 31), J1552&lt;=50000), "Pendente", F1552&gt;= DATE(2029,1,1), "Não prioeitário")</f>
        <v>Pendente e Caro</v>
      </c>
      <c r="H1552" s="89">
        <f>YEAR(Tabela1[[#This Row],[Data de Validade]])</f>
        <v>2026</v>
      </c>
      <c r="I1552" s="89">
        <f>MONTH(Tabela1[[#This Row],[Data de Validade]])</f>
        <v>12</v>
      </c>
      <c r="J1552" s="101">
        <v>72171</v>
      </c>
      <c r="K1552" s="87" t="s">
        <v>11</v>
      </c>
      <c r="L1552" s="108"/>
      <c r="M1552" s="108"/>
      <c r="N1552" s="108" t="str">
        <v>H911P329</v>
      </c>
      <c r="O1552" s="108">
        <f t="shared" si="26"/>
        <v>1</v>
      </c>
      <c r="P1552" s="108"/>
      <c r="Q1552"/>
    </row>
    <row r="1553" spans="1:17" x14ac:dyDescent="0.25">
      <c r="A1553" s="89" t="s">
        <v>8218</v>
      </c>
      <c r="B1553" s="87" t="s">
        <v>8219</v>
      </c>
      <c r="C1553" s="87" t="s">
        <v>10</v>
      </c>
      <c r="D1553" s="87" t="str">
        <f>VLOOKUP(Tabela1[[#This Row],[Origem]], 'Perguntas 1 a 24'!$J$28:$K$34, 2, 0)</f>
        <v>Centro-Oeste</v>
      </c>
      <c r="E1553" s="87" t="str">
        <f>Tabela1[[#This Row],[Descrição]]&amp;"-"&amp;Tabela1[[#This Row],[Código]]&amp;"/"&amp;Tabela1[[#This Row],[Origem]]</f>
        <v>Ripevali-H875P343/GO</v>
      </c>
      <c r="F1553" s="88">
        <v>46372</v>
      </c>
      <c r="G1553" s="88" t="str" cm="1">
        <f t="array" ref="G15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AND(F1553&gt;= DATE(2026,1,1), F1553&lt;= DATE(2028, 12, 31), J1553&gt;50000), "Pendente e Caro", AND(F1553&gt;= DATE(2026,1,1), F1553&lt;= DATE(2028, 12, 31), J1553&lt;=50000), "Pendente", F1553&gt;= DATE(2029,1,1), "Não prioeitário")</f>
        <v>Pendente e Caro</v>
      </c>
      <c r="H1553" s="89">
        <f>YEAR(Tabela1[[#This Row],[Data de Validade]])</f>
        <v>2026</v>
      </c>
      <c r="I1553" s="89">
        <f>MONTH(Tabela1[[#This Row],[Data de Validade]])</f>
        <v>12</v>
      </c>
      <c r="J1553" s="101">
        <v>95819</v>
      </c>
      <c r="K1553" s="87" t="s">
        <v>9</v>
      </c>
      <c r="L1553" s="108"/>
      <c r="M1553" s="108"/>
      <c r="N1553" s="108" t="str">
        <v>H875P343</v>
      </c>
      <c r="O1553" s="108">
        <f t="shared" si="26"/>
        <v>1</v>
      </c>
      <c r="P1553" s="108"/>
      <c r="Q1553"/>
    </row>
    <row r="1554" spans="1:17" x14ac:dyDescent="0.25">
      <c r="A1554" s="89" t="s">
        <v>6422</v>
      </c>
      <c r="B1554" s="87" t="s">
        <v>6423</v>
      </c>
      <c r="C1554" s="87" t="s">
        <v>6</v>
      </c>
      <c r="D1554" s="87" t="str">
        <f>VLOOKUP(Tabela1[[#This Row],[Origem]], 'Perguntas 1 a 24'!$J$28:$K$34, 2, 0)</f>
        <v>Nordeste</v>
      </c>
      <c r="E1554" s="87" t="str">
        <f>Tabela1[[#This Row],[Descrição]]&amp;"-"&amp;Tabela1[[#This Row],[Código]]&amp;"/"&amp;Tabela1[[#This Row],[Origem]]</f>
        <v>Mumupi-P148H775/MA</v>
      </c>
      <c r="F1554" s="88">
        <v>46372</v>
      </c>
      <c r="G1554" s="88" t="str" cm="1">
        <f t="array" ref="G15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AND(F1554&gt;= DATE(2026,1,1), F1554&lt;= DATE(2028, 12, 31), J1554&gt;50000), "Pendente e Caro", AND(F1554&gt;= DATE(2026,1,1), F1554&lt;= DATE(2028, 12, 31), J1554&lt;=50000), "Pendente", F1554&gt;= DATE(2029,1,1), "Não prioeitário")</f>
        <v>Pendente e Caro</v>
      </c>
      <c r="H1554" s="89">
        <f>YEAR(Tabela1[[#This Row],[Data de Validade]])</f>
        <v>2026</v>
      </c>
      <c r="I1554" s="89">
        <f>MONTH(Tabela1[[#This Row],[Data de Validade]])</f>
        <v>12</v>
      </c>
      <c r="J1554" s="101">
        <v>74302</v>
      </c>
      <c r="K1554" s="87" t="s">
        <v>7</v>
      </c>
      <c r="L1554" s="108"/>
      <c r="M1554" s="108"/>
      <c r="N1554" s="108" t="str">
        <v>P148H775</v>
      </c>
      <c r="O1554" s="108">
        <f t="shared" si="26"/>
        <v>1</v>
      </c>
      <c r="P1554" s="108"/>
      <c r="Q1554"/>
    </row>
    <row r="1555" spans="1:17" x14ac:dyDescent="0.25">
      <c r="A1555" s="89" t="s">
        <v>8506</v>
      </c>
      <c r="B1555" s="87" t="s">
        <v>8507</v>
      </c>
      <c r="C1555" s="87" t="s">
        <v>10</v>
      </c>
      <c r="D1555" s="87" t="str">
        <f>VLOOKUP(Tabela1[[#This Row],[Origem]], 'Perguntas 1 a 24'!$J$28:$K$34, 2, 0)</f>
        <v>Centro-Oeste</v>
      </c>
      <c r="E1555" s="87" t="str">
        <f>Tabela1[[#This Row],[Descrição]]&amp;"-"&amp;Tabela1[[#This Row],[Código]]&amp;"/"&amp;Tabela1[[#This Row],[Origem]]</f>
        <v>Tucilori-H481H359/GO</v>
      </c>
      <c r="F1555" s="88">
        <v>46372</v>
      </c>
      <c r="G1555" s="88" t="str" cm="1">
        <f t="array" ref="G15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AND(F1555&gt;= DATE(2026,1,1), F1555&lt;= DATE(2028, 12, 31), J1555&gt;50000), "Pendente e Caro", AND(F1555&gt;= DATE(2026,1,1), F1555&lt;= DATE(2028, 12, 31), J1555&lt;=50000), "Pendente", F1555&gt;= DATE(2029,1,1), "Não prioeitário")</f>
        <v>Pendente e Caro</v>
      </c>
      <c r="H1555" s="89">
        <f>YEAR(Tabela1[[#This Row],[Data de Validade]])</f>
        <v>2026</v>
      </c>
      <c r="I1555" s="89">
        <f>MONTH(Tabela1[[#This Row],[Data de Validade]])</f>
        <v>12</v>
      </c>
      <c r="J1555" s="101">
        <v>67080</v>
      </c>
      <c r="K1555" s="87" t="s">
        <v>7</v>
      </c>
      <c r="L1555" s="108"/>
      <c r="M1555" s="108"/>
      <c r="N1555" s="108" t="str">
        <v>H481H359</v>
      </c>
      <c r="O1555" s="108">
        <f t="shared" si="26"/>
        <v>1</v>
      </c>
      <c r="P1555" s="108"/>
      <c r="Q1555"/>
    </row>
    <row r="1556" spans="1:17" x14ac:dyDescent="0.25">
      <c r="A1556" s="89" t="s">
        <v>8336</v>
      </c>
      <c r="B1556" s="87" t="s">
        <v>8337</v>
      </c>
      <c r="C1556" s="87" t="s">
        <v>16</v>
      </c>
      <c r="D1556" s="87" t="str">
        <f>VLOOKUP(Tabela1[[#This Row],[Origem]], 'Perguntas 1 a 24'!$J$28:$K$34, 2, 0)</f>
        <v>Sudeste</v>
      </c>
      <c r="E1556" s="87" t="str">
        <f>Tabela1[[#This Row],[Descrição]]&amp;"-"&amp;Tabela1[[#This Row],[Código]]&amp;"/"&amp;Tabela1[[#This Row],[Origem]]</f>
        <v>Lapuvoca-P241H848/MG</v>
      </c>
      <c r="F1556" s="88">
        <v>46372</v>
      </c>
      <c r="G1556" s="88" t="str" cm="1">
        <f t="array" ref="G15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AND(F1556&gt;= DATE(2026,1,1), F1556&lt;= DATE(2028, 12, 31), J1556&gt;50000), "Pendente e Caro", AND(F1556&gt;= DATE(2026,1,1), F1556&lt;= DATE(2028, 12, 31), J1556&lt;=50000), "Pendente", F1556&gt;= DATE(2029,1,1), "Não prioeitário")</f>
        <v>Pendente e Caro</v>
      </c>
      <c r="H1556" s="89">
        <f>YEAR(Tabela1[[#This Row],[Data de Validade]])</f>
        <v>2026</v>
      </c>
      <c r="I1556" s="89">
        <f>MONTH(Tabela1[[#This Row],[Data de Validade]])</f>
        <v>12</v>
      </c>
      <c r="J1556" s="101">
        <v>63197</v>
      </c>
      <c r="K1556" s="87" t="s">
        <v>7</v>
      </c>
      <c r="L1556" s="108"/>
      <c r="M1556" s="108"/>
      <c r="N1556" s="108" t="str">
        <v>P241H848</v>
      </c>
      <c r="O1556" s="108">
        <f t="shared" si="26"/>
        <v>1</v>
      </c>
      <c r="P1556" s="108"/>
      <c r="Q1556"/>
    </row>
    <row r="1557" spans="1:17" x14ac:dyDescent="0.25">
      <c r="A1557" s="89" t="s">
        <v>5850</v>
      </c>
      <c r="B1557" s="87" t="s">
        <v>5851</v>
      </c>
      <c r="C1557" s="87" t="s">
        <v>13</v>
      </c>
      <c r="D1557" s="87" t="str">
        <f>VLOOKUP(Tabela1[[#This Row],[Origem]], 'Perguntas 1 a 24'!$J$28:$K$34, 2, 0)</f>
        <v>Sudeste</v>
      </c>
      <c r="E1557" s="87" t="str">
        <f>Tabela1[[#This Row],[Descrição]]&amp;"-"&amp;Tabela1[[#This Row],[Código]]&amp;"/"&amp;Tabela1[[#This Row],[Origem]]</f>
        <v>Vamuretolo-P661H577/SP</v>
      </c>
      <c r="F1557" s="88">
        <v>46373</v>
      </c>
      <c r="G1557" s="88" t="str" cm="1">
        <f t="array" ref="G15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AND(F1557&gt;= DATE(2026,1,1), F1557&lt;= DATE(2028, 12, 31), J1557&gt;50000), "Pendente e Caro", AND(F1557&gt;= DATE(2026,1,1), F1557&lt;= DATE(2028, 12, 31), J1557&lt;=50000), "Pendente", F1557&gt;= DATE(2029,1,1), "Não prioeitário")</f>
        <v>Pendente e Caro</v>
      </c>
      <c r="H1557" s="89">
        <f>YEAR(Tabela1[[#This Row],[Data de Validade]])</f>
        <v>2026</v>
      </c>
      <c r="I1557" s="89">
        <f>MONTH(Tabela1[[#This Row],[Data de Validade]])</f>
        <v>12</v>
      </c>
      <c r="J1557" s="101">
        <v>92659</v>
      </c>
      <c r="K1557" s="87" t="s">
        <v>11</v>
      </c>
      <c r="L1557" s="108"/>
      <c r="M1557" s="108"/>
      <c r="N1557" s="108" t="str">
        <v>P661H577</v>
      </c>
      <c r="O1557" s="108">
        <f t="shared" si="26"/>
        <v>1</v>
      </c>
      <c r="P1557" s="108"/>
      <c r="Q1557"/>
    </row>
    <row r="1558" spans="1:17" x14ac:dyDescent="0.25">
      <c r="A1558" s="89" t="s">
        <v>6558</v>
      </c>
      <c r="B1558" s="87" t="s">
        <v>6559</v>
      </c>
      <c r="C1558" s="87" t="s">
        <v>16</v>
      </c>
      <c r="D1558" s="87" t="str">
        <f>VLOOKUP(Tabela1[[#This Row],[Origem]], 'Perguntas 1 a 24'!$J$28:$K$34, 2, 0)</f>
        <v>Sudeste</v>
      </c>
      <c r="E1558" s="87" t="str">
        <f>Tabela1[[#This Row],[Descrição]]&amp;"-"&amp;Tabela1[[#This Row],[Código]]&amp;"/"&amp;Tabela1[[#This Row],[Origem]]</f>
        <v>Pifofugepa-H525P646/MG</v>
      </c>
      <c r="F1558" s="88">
        <v>46373</v>
      </c>
      <c r="G1558" s="88" t="str" cm="1">
        <f t="array" ref="G15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AND(F1558&gt;= DATE(2026,1,1), F1558&lt;= DATE(2028, 12, 31), J1558&gt;50000), "Pendente e Caro", AND(F1558&gt;= DATE(2026,1,1), F1558&lt;= DATE(2028, 12, 31), J1558&lt;=50000), "Pendente", F1558&gt;= DATE(2029,1,1), "Não prioeitário")</f>
        <v>Pendente</v>
      </c>
      <c r="H1558" s="89">
        <f>YEAR(Tabela1[[#This Row],[Data de Validade]])</f>
        <v>2026</v>
      </c>
      <c r="I1558" s="89">
        <f>MONTH(Tabela1[[#This Row],[Data de Validade]])</f>
        <v>12</v>
      </c>
      <c r="J1558" s="101">
        <v>21836</v>
      </c>
      <c r="K1558" s="87" t="s">
        <v>14</v>
      </c>
      <c r="L1558" s="108"/>
      <c r="M1558" s="108"/>
      <c r="N1558" s="108" t="str">
        <v>H525P646</v>
      </c>
      <c r="O1558" s="108">
        <f t="shared" si="26"/>
        <v>1</v>
      </c>
      <c r="P1558" s="108"/>
      <c r="Q1558"/>
    </row>
    <row r="1559" spans="1:17" x14ac:dyDescent="0.25">
      <c r="A1559" s="89" t="s">
        <v>5750</v>
      </c>
      <c r="B1559" s="87" t="s">
        <v>5751</v>
      </c>
      <c r="C1559" s="87" t="s">
        <v>8</v>
      </c>
      <c r="D1559" s="87" t="str">
        <f>VLOOKUP(Tabela1[[#This Row],[Origem]], 'Perguntas 1 a 24'!$J$28:$K$34, 2, 0)</f>
        <v>Nordeste</v>
      </c>
      <c r="E1559" s="87" t="str">
        <f>Tabela1[[#This Row],[Descrição]]&amp;"-"&amp;Tabela1[[#This Row],[Código]]&amp;"/"&amp;Tabela1[[#This Row],[Origem]]</f>
        <v>Virira-H611H517/AL</v>
      </c>
      <c r="F1559" s="88">
        <v>46374</v>
      </c>
      <c r="G1559" s="88" t="str" cm="1">
        <f t="array" ref="G15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AND(F1559&gt;= DATE(2026,1,1), F1559&lt;= DATE(2028, 12, 31), J1559&gt;50000), "Pendente e Caro", AND(F1559&gt;= DATE(2026,1,1), F1559&lt;= DATE(2028, 12, 31), J1559&lt;=50000), "Pendente", F1559&gt;= DATE(2029,1,1), "Não prioeitário")</f>
        <v>Pendente e Caro</v>
      </c>
      <c r="H1559" s="89">
        <f>YEAR(Tabela1[[#This Row],[Data de Validade]])</f>
        <v>2026</v>
      </c>
      <c r="I1559" s="89">
        <f>MONTH(Tabela1[[#This Row],[Data de Validade]])</f>
        <v>12</v>
      </c>
      <c r="J1559" s="101">
        <v>74038</v>
      </c>
      <c r="K1559" s="87" t="s">
        <v>7</v>
      </c>
      <c r="L1559" s="108"/>
      <c r="M1559" s="108"/>
      <c r="N1559" s="108" t="str">
        <v>H611H517</v>
      </c>
      <c r="O1559" s="108">
        <f t="shared" si="26"/>
        <v>1</v>
      </c>
      <c r="P1559" s="108"/>
      <c r="Q1559"/>
    </row>
    <row r="1560" spans="1:17" x14ac:dyDescent="0.25">
      <c r="A1560" s="89" t="s">
        <v>5096</v>
      </c>
      <c r="B1560" s="87" t="s">
        <v>5097</v>
      </c>
      <c r="C1560" s="87" t="s">
        <v>6</v>
      </c>
      <c r="D1560" s="87" t="str">
        <f>VLOOKUP(Tabela1[[#This Row],[Origem]], 'Perguntas 1 a 24'!$J$28:$K$34, 2, 0)</f>
        <v>Nordeste</v>
      </c>
      <c r="E1560" s="87" t="str">
        <f>Tabela1[[#This Row],[Descrição]]&amp;"-"&amp;Tabela1[[#This Row],[Código]]&amp;"/"&amp;Tabela1[[#This Row],[Origem]]</f>
        <v>Lopereva-P966P564/MA</v>
      </c>
      <c r="F1560" s="88">
        <v>46374</v>
      </c>
      <c r="G1560" s="88" t="str" cm="1">
        <f t="array" ref="G15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AND(F1560&gt;= DATE(2026,1,1), F1560&lt;= DATE(2028, 12, 31), J1560&gt;50000), "Pendente e Caro", AND(F1560&gt;= DATE(2026,1,1), F1560&lt;= DATE(2028, 12, 31), J1560&lt;=50000), "Pendente", F1560&gt;= DATE(2029,1,1), "Não prioeitário")</f>
        <v>Pendente e Caro</v>
      </c>
      <c r="H1560" s="89">
        <f>YEAR(Tabela1[[#This Row],[Data de Validade]])</f>
        <v>2026</v>
      </c>
      <c r="I1560" s="89">
        <f>MONTH(Tabela1[[#This Row],[Data de Validade]])</f>
        <v>12</v>
      </c>
      <c r="J1560" s="101">
        <v>56787</v>
      </c>
      <c r="K1560" s="87" t="s">
        <v>7</v>
      </c>
      <c r="L1560" s="108"/>
      <c r="M1560" s="108"/>
      <c r="N1560" s="108" t="str">
        <v>P966P564</v>
      </c>
      <c r="O1560" s="108">
        <f t="shared" si="26"/>
        <v>1</v>
      </c>
      <c r="P1560" s="108"/>
      <c r="Q1560"/>
    </row>
    <row r="1561" spans="1:17" x14ac:dyDescent="0.25">
      <c r="A1561" s="89" t="s">
        <v>11109</v>
      </c>
      <c r="B1561" s="87" t="s">
        <v>11110</v>
      </c>
      <c r="C1561" s="87" t="s">
        <v>8</v>
      </c>
      <c r="D1561" s="87" t="str">
        <f>VLOOKUP(Tabela1[[#This Row],[Origem]], 'Perguntas 1 a 24'!$J$28:$K$34, 2, 0)</f>
        <v>Nordeste</v>
      </c>
      <c r="E1561" s="87" t="str">
        <f>Tabela1[[#This Row],[Descrição]]&amp;"-"&amp;Tabela1[[#This Row],[Código]]&amp;"/"&amp;Tabela1[[#This Row],[Origem]]</f>
        <v>Gimametu-P746P148/AL</v>
      </c>
      <c r="F1561" s="88">
        <v>46374</v>
      </c>
      <c r="G1561" s="88" t="str" cm="1">
        <f t="array" ref="G15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AND(F1561&gt;= DATE(2026,1,1), F1561&lt;= DATE(2028, 12, 31), J1561&gt;50000), "Pendente e Caro", AND(F1561&gt;= DATE(2026,1,1), F1561&lt;= DATE(2028, 12, 31), J1561&lt;=50000), "Pendente", F1561&gt;= DATE(2029,1,1), "Não prioeitário")</f>
        <v>Pendente e Caro</v>
      </c>
      <c r="H1561" s="89">
        <f>YEAR(Tabela1[[#This Row],[Data de Validade]])</f>
        <v>2026</v>
      </c>
      <c r="I1561" s="89">
        <f>MONTH(Tabela1[[#This Row],[Data de Validade]])</f>
        <v>12</v>
      </c>
      <c r="J1561" s="101">
        <v>52874</v>
      </c>
      <c r="K1561" s="87" t="s">
        <v>14</v>
      </c>
      <c r="L1561" s="108"/>
      <c r="M1561" s="108"/>
      <c r="N1561" s="108" t="str">
        <v>P746P148</v>
      </c>
      <c r="O1561" s="108">
        <f t="shared" si="26"/>
        <v>1</v>
      </c>
      <c r="P1561" s="108"/>
      <c r="Q1561"/>
    </row>
    <row r="1562" spans="1:17" x14ac:dyDescent="0.25">
      <c r="A1562" s="89" t="s">
        <v>4301</v>
      </c>
      <c r="B1562" s="87" t="s">
        <v>4302</v>
      </c>
      <c r="C1562" s="87" t="s">
        <v>8</v>
      </c>
      <c r="D1562" s="87" t="str">
        <f>VLOOKUP(Tabela1[[#This Row],[Origem]], 'Perguntas 1 a 24'!$J$28:$K$34, 2, 0)</f>
        <v>Nordeste</v>
      </c>
      <c r="E1562" s="87" t="str">
        <f>Tabela1[[#This Row],[Descrição]]&amp;"-"&amp;Tabela1[[#This Row],[Código]]&amp;"/"&amp;Tabela1[[#This Row],[Origem]]</f>
        <v>Pepinarute-P762P982/AL</v>
      </c>
      <c r="F1562" s="88">
        <v>46376</v>
      </c>
      <c r="G1562" s="88" t="str" cm="1">
        <f t="array" ref="G15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AND(F1562&gt;= DATE(2026,1,1), F1562&lt;= DATE(2028, 12, 31), J1562&gt;50000), "Pendente e Caro", AND(F1562&gt;= DATE(2026,1,1), F1562&lt;= DATE(2028, 12, 31), J1562&lt;=50000), "Pendente", F1562&gt;= DATE(2029,1,1), "Não prioeitário")</f>
        <v>Pendente</v>
      </c>
      <c r="H1562" s="89">
        <f>YEAR(Tabela1[[#This Row],[Data de Validade]])</f>
        <v>2026</v>
      </c>
      <c r="I1562" s="89">
        <f>MONTH(Tabela1[[#This Row],[Data de Validade]])</f>
        <v>12</v>
      </c>
      <c r="J1562" s="101">
        <v>25654</v>
      </c>
      <c r="K1562" s="87" t="s">
        <v>7</v>
      </c>
      <c r="L1562" s="108"/>
      <c r="M1562" s="108"/>
      <c r="N1562" s="108" t="str">
        <v>P762P982</v>
      </c>
      <c r="O1562" s="108">
        <f t="shared" si="26"/>
        <v>1</v>
      </c>
      <c r="P1562" s="108"/>
      <c r="Q1562"/>
    </row>
    <row r="1563" spans="1:17" x14ac:dyDescent="0.25">
      <c r="A1563" s="89" t="s">
        <v>9357</v>
      </c>
      <c r="B1563" s="87" t="s">
        <v>9358</v>
      </c>
      <c r="C1563" s="87" t="s">
        <v>16</v>
      </c>
      <c r="D1563" s="87" t="str">
        <f>VLOOKUP(Tabela1[[#This Row],[Origem]], 'Perguntas 1 a 24'!$J$28:$K$34, 2, 0)</f>
        <v>Sudeste</v>
      </c>
      <c r="E1563" s="87" t="str">
        <f>Tabela1[[#This Row],[Descrição]]&amp;"-"&amp;Tabela1[[#This Row],[Código]]&amp;"/"&amp;Tabela1[[#This Row],[Origem]]</f>
        <v>Lorago-H277H195/MG</v>
      </c>
      <c r="F1563" s="88">
        <v>46377</v>
      </c>
      <c r="G1563" s="88" t="str" cm="1">
        <f t="array" ref="G15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AND(F1563&gt;= DATE(2026,1,1), F1563&lt;= DATE(2028, 12, 31), J1563&gt;50000), "Pendente e Caro", AND(F1563&gt;= DATE(2026,1,1), F1563&lt;= DATE(2028, 12, 31), J1563&lt;=50000), "Pendente", F1563&gt;= DATE(2029,1,1), "Não prioeitário")</f>
        <v>Pendente e Caro</v>
      </c>
      <c r="H1563" s="89">
        <f>YEAR(Tabela1[[#This Row],[Data de Validade]])</f>
        <v>2026</v>
      </c>
      <c r="I1563" s="89">
        <f>MONTH(Tabela1[[#This Row],[Data de Validade]])</f>
        <v>12</v>
      </c>
      <c r="J1563" s="101">
        <v>107685</v>
      </c>
      <c r="K1563" s="87" t="s">
        <v>14</v>
      </c>
      <c r="L1563" s="108"/>
      <c r="M1563" s="108"/>
      <c r="N1563" s="108" t="str">
        <v>H277H195</v>
      </c>
      <c r="O1563" s="108">
        <f t="shared" si="26"/>
        <v>1</v>
      </c>
      <c r="P1563" s="108"/>
      <c r="Q1563"/>
    </row>
    <row r="1564" spans="1:17" x14ac:dyDescent="0.25">
      <c r="A1564" s="89" t="s">
        <v>3966</v>
      </c>
      <c r="B1564" s="87" t="s">
        <v>3967</v>
      </c>
      <c r="C1564" s="87" t="s">
        <v>6</v>
      </c>
      <c r="D1564" s="87" t="str">
        <f>VLOOKUP(Tabela1[[#This Row],[Origem]], 'Perguntas 1 a 24'!$J$28:$K$34, 2, 0)</f>
        <v>Nordeste</v>
      </c>
      <c r="E1564" s="87" t="str">
        <f>Tabela1[[#This Row],[Descrição]]&amp;"-"&amp;Tabela1[[#This Row],[Código]]&amp;"/"&amp;Tabela1[[#This Row],[Origem]]</f>
        <v>Polapu-H324P972/MA</v>
      </c>
      <c r="F1564" s="88">
        <v>46377</v>
      </c>
      <c r="G1564" s="88" t="str" cm="1">
        <f t="array" ref="G15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AND(F1564&gt;= DATE(2026,1,1), F1564&lt;= DATE(2028, 12, 31), J1564&gt;50000), "Pendente e Caro", AND(F1564&gt;= DATE(2026,1,1), F1564&lt;= DATE(2028, 12, 31), J1564&lt;=50000), "Pendente", F1564&gt;= DATE(2029,1,1), "Não prioeitário")</f>
        <v>Pendente e Caro</v>
      </c>
      <c r="H1564" s="89">
        <f>YEAR(Tabela1[[#This Row],[Data de Validade]])</f>
        <v>2026</v>
      </c>
      <c r="I1564" s="89">
        <f>MONTH(Tabela1[[#This Row],[Data de Validade]])</f>
        <v>12</v>
      </c>
      <c r="J1564" s="101">
        <v>101734</v>
      </c>
      <c r="K1564" s="87" t="s">
        <v>9</v>
      </c>
      <c r="L1564" s="108"/>
      <c r="M1564" s="108"/>
      <c r="N1564" s="108" t="str">
        <v>H324P972</v>
      </c>
      <c r="O1564" s="108">
        <f t="shared" si="26"/>
        <v>1</v>
      </c>
      <c r="P1564" s="108"/>
      <c r="Q1564"/>
    </row>
    <row r="1565" spans="1:17" x14ac:dyDescent="0.25">
      <c r="A1565" s="89" t="s">
        <v>6980</v>
      </c>
      <c r="B1565" s="87" t="s">
        <v>6981</v>
      </c>
      <c r="C1565" s="87" t="s">
        <v>16</v>
      </c>
      <c r="D1565" s="87" t="str">
        <f>VLOOKUP(Tabela1[[#This Row],[Origem]], 'Perguntas 1 a 24'!$J$28:$K$34, 2, 0)</f>
        <v>Sudeste</v>
      </c>
      <c r="E1565" s="87" t="str">
        <f>Tabela1[[#This Row],[Descrição]]&amp;"-"&amp;Tabela1[[#This Row],[Código]]&amp;"/"&amp;Tabela1[[#This Row],[Origem]]</f>
        <v>Cupepono-H233H425/MG</v>
      </c>
      <c r="F1565" s="88">
        <v>46378</v>
      </c>
      <c r="G1565" s="88" t="str" cm="1">
        <f t="array" ref="G15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AND(F1565&gt;= DATE(2026,1,1), F1565&lt;= DATE(2028, 12, 31), J1565&gt;50000), "Pendente e Caro", AND(F1565&gt;= DATE(2026,1,1), F1565&lt;= DATE(2028, 12, 31), J1565&lt;=50000), "Pendente", F1565&gt;= DATE(2029,1,1), "Não prioeitário")</f>
        <v>Pendente e Caro</v>
      </c>
      <c r="H1565" s="89">
        <f>YEAR(Tabela1[[#This Row],[Data de Validade]])</f>
        <v>2026</v>
      </c>
      <c r="I1565" s="89">
        <f>MONTH(Tabela1[[#This Row],[Data de Validade]])</f>
        <v>12</v>
      </c>
      <c r="J1565" s="101">
        <v>82842</v>
      </c>
      <c r="K1565" s="87" t="s">
        <v>9</v>
      </c>
      <c r="L1565" s="108"/>
      <c r="M1565" s="108"/>
      <c r="N1565" s="108" t="str">
        <v>H233H425</v>
      </c>
      <c r="O1565" s="108">
        <f t="shared" si="26"/>
        <v>1</v>
      </c>
      <c r="P1565" s="108"/>
      <c r="Q1565"/>
    </row>
    <row r="1566" spans="1:17" x14ac:dyDescent="0.25">
      <c r="A1566" s="89" t="s">
        <v>9465</v>
      </c>
      <c r="B1566" s="87" t="s">
        <v>9466</v>
      </c>
      <c r="C1566" s="87" t="s">
        <v>15</v>
      </c>
      <c r="D1566" s="87" t="str">
        <f>VLOOKUP(Tabela1[[#This Row],[Origem]], 'Perguntas 1 a 24'!$J$28:$K$34, 2, 0)</f>
        <v>Sudeste</v>
      </c>
      <c r="E1566" s="87" t="str">
        <f>Tabela1[[#This Row],[Descrição]]&amp;"-"&amp;Tabela1[[#This Row],[Código]]&amp;"/"&amp;Tabela1[[#This Row],[Origem]]</f>
        <v>Nipupunimi-P173H754/ES</v>
      </c>
      <c r="F1566" s="88">
        <v>46379</v>
      </c>
      <c r="G1566" s="88" t="str" cm="1">
        <f t="array" ref="G15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AND(F1566&gt;= DATE(2026,1,1), F1566&lt;= DATE(2028, 12, 31), J1566&gt;50000), "Pendente e Caro", AND(F1566&gt;= DATE(2026,1,1), F1566&lt;= DATE(2028, 12, 31), J1566&lt;=50000), "Pendente", F1566&gt;= DATE(2029,1,1), "Não prioeitário")</f>
        <v>Pendente e Caro</v>
      </c>
      <c r="H1566" s="89">
        <f>YEAR(Tabela1[[#This Row],[Data de Validade]])</f>
        <v>2026</v>
      </c>
      <c r="I1566" s="89">
        <f>MONTH(Tabela1[[#This Row],[Data de Validade]])</f>
        <v>12</v>
      </c>
      <c r="J1566" s="101">
        <v>111328</v>
      </c>
      <c r="K1566" s="87" t="s">
        <v>7</v>
      </c>
      <c r="L1566" s="108"/>
      <c r="M1566" s="108"/>
      <c r="N1566" s="108" t="str">
        <v>P173H754</v>
      </c>
      <c r="O1566" s="108">
        <f t="shared" si="26"/>
        <v>1</v>
      </c>
      <c r="P1566" s="108"/>
      <c r="Q1566"/>
    </row>
    <row r="1567" spans="1:17" x14ac:dyDescent="0.25">
      <c r="A1567" s="89" t="s">
        <v>4275</v>
      </c>
      <c r="B1567" s="87" t="s">
        <v>4276</v>
      </c>
      <c r="C1567" s="87" t="s">
        <v>8</v>
      </c>
      <c r="D1567" s="87" t="str">
        <f>VLOOKUP(Tabela1[[#This Row],[Origem]], 'Perguntas 1 a 24'!$J$28:$K$34, 2, 0)</f>
        <v>Nordeste</v>
      </c>
      <c r="E1567" s="87" t="str">
        <f>Tabela1[[#This Row],[Descrição]]&amp;"-"&amp;Tabela1[[#This Row],[Código]]&amp;"/"&amp;Tabela1[[#This Row],[Origem]]</f>
        <v>Nitupuca-P325H367/AL</v>
      </c>
      <c r="F1567" s="88">
        <v>46380</v>
      </c>
      <c r="G1567" s="88" t="str" cm="1">
        <f t="array" ref="G15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AND(F1567&gt;= DATE(2026,1,1), F1567&lt;= DATE(2028, 12, 31), J1567&gt;50000), "Pendente e Caro", AND(F1567&gt;= DATE(2026,1,1), F1567&lt;= DATE(2028, 12, 31), J1567&lt;=50000), "Pendente", F1567&gt;= DATE(2029,1,1), "Não prioeitário")</f>
        <v>Pendente e Caro</v>
      </c>
      <c r="H1567" s="89">
        <f>YEAR(Tabela1[[#This Row],[Data de Validade]])</f>
        <v>2026</v>
      </c>
      <c r="I1567" s="89">
        <f>MONTH(Tabela1[[#This Row],[Data de Validade]])</f>
        <v>12</v>
      </c>
      <c r="J1567" s="101">
        <v>81057</v>
      </c>
      <c r="K1567" s="87" t="s">
        <v>7</v>
      </c>
      <c r="L1567" s="108"/>
      <c r="M1567" s="108"/>
      <c r="N1567" s="108" t="str">
        <v>P325H367</v>
      </c>
      <c r="O1567" s="108">
        <f t="shared" si="26"/>
        <v>1</v>
      </c>
      <c r="P1567" s="108"/>
      <c r="Q1567"/>
    </row>
    <row r="1568" spans="1:17" x14ac:dyDescent="0.25">
      <c r="A1568" s="89" t="s">
        <v>9687</v>
      </c>
      <c r="B1568" s="87" t="s">
        <v>9688</v>
      </c>
      <c r="C1568" s="87" t="s">
        <v>13</v>
      </c>
      <c r="D1568" s="87" t="str">
        <f>VLOOKUP(Tabela1[[#This Row],[Origem]], 'Perguntas 1 a 24'!$J$28:$K$34, 2, 0)</f>
        <v>Sudeste</v>
      </c>
      <c r="E1568" s="87" t="str">
        <f>Tabela1[[#This Row],[Descrição]]&amp;"-"&amp;Tabela1[[#This Row],[Código]]&amp;"/"&amp;Tabela1[[#This Row],[Origem]]</f>
        <v>Tapovo-H139P529/SP</v>
      </c>
      <c r="F1568" s="88">
        <v>46381</v>
      </c>
      <c r="G1568" s="88" t="str" cm="1">
        <f t="array" ref="G15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AND(F1568&gt;= DATE(2026,1,1), F1568&lt;= DATE(2028, 12, 31), J1568&gt;50000), "Pendente e Caro", AND(F1568&gt;= DATE(2026,1,1), F1568&lt;= DATE(2028, 12, 31), J1568&lt;=50000), "Pendente", F1568&gt;= DATE(2029,1,1), "Não prioeitário")</f>
        <v>Pendente e Caro</v>
      </c>
      <c r="H1568" s="89">
        <f>YEAR(Tabela1[[#This Row],[Data de Validade]])</f>
        <v>2026</v>
      </c>
      <c r="I1568" s="89">
        <f>MONTH(Tabela1[[#This Row],[Data de Validade]])</f>
        <v>12</v>
      </c>
      <c r="J1568" s="101">
        <v>103229</v>
      </c>
      <c r="K1568" s="87" t="s">
        <v>11</v>
      </c>
      <c r="L1568" s="108"/>
      <c r="M1568" s="108"/>
      <c r="N1568" s="108" t="str">
        <v>H139P529</v>
      </c>
      <c r="O1568" s="108">
        <f t="shared" si="26"/>
        <v>1</v>
      </c>
      <c r="P1568" s="108"/>
      <c r="Q1568"/>
    </row>
    <row r="1569" spans="1:18" x14ac:dyDescent="0.25">
      <c r="A1569" s="89" t="s">
        <v>10929</v>
      </c>
      <c r="B1569" s="87" t="s">
        <v>10930</v>
      </c>
      <c r="C1569" s="87" t="s">
        <v>12</v>
      </c>
      <c r="D1569" s="87" t="str">
        <f>VLOOKUP(Tabela1[[#This Row],[Origem]], 'Perguntas 1 a 24'!$J$28:$K$34, 2, 0)</f>
        <v>Sudeste</v>
      </c>
      <c r="E1569" s="87" t="str">
        <f>Tabela1[[#This Row],[Descrição]]&amp;"-"&amp;Tabela1[[#This Row],[Código]]&amp;"/"&amp;Tabela1[[#This Row],[Origem]]</f>
        <v>Tafecaguto-P677P457/RJ</v>
      </c>
      <c r="F1569" s="88">
        <v>46381</v>
      </c>
      <c r="G1569" s="88" t="str" cm="1">
        <f t="array" ref="G15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AND(F1569&gt;= DATE(2026,1,1), F1569&lt;= DATE(2028, 12, 31), J1569&gt;50000), "Pendente e Caro", AND(F1569&gt;= DATE(2026,1,1), F1569&lt;= DATE(2028, 12, 31), J1569&lt;=50000), "Pendente", F1569&gt;= DATE(2029,1,1), "Não prioeitário")</f>
        <v>Pendente e Caro</v>
      </c>
      <c r="H1569" s="89">
        <f>YEAR(Tabela1[[#This Row],[Data de Validade]])</f>
        <v>2026</v>
      </c>
      <c r="I1569" s="89">
        <f>MONTH(Tabela1[[#This Row],[Data de Validade]])</f>
        <v>12</v>
      </c>
      <c r="J1569" s="101">
        <v>65994</v>
      </c>
      <c r="K1569" s="87" t="s">
        <v>7</v>
      </c>
      <c r="L1569" s="108"/>
      <c r="M1569" s="108"/>
      <c r="N1569" s="108" t="str">
        <v>P677P457</v>
      </c>
      <c r="O1569" s="108">
        <f t="shared" si="26"/>
        <v>1</v>
      </c>
      <c r="P1569" s="108"/>
      <c r="Q1569"/>
    </row>
    <row r="1570" spans="1:18" x14ac:dyDescent="0.25">
      <c r="A1570" s="89" t="s">
        <v>6974</v>
      </c>
      <c r="B1570" s="87" t="s">
        <v>6975</v>
      </c>
      <c r="C1570" s="87" t="s">
        <v>15</v>
      </c>
      <c r="D1570" s="87" t="str">
        <f>VLOOKUP(Tabela1[[#This Row],[Origem]], 'Perguntas 1 a 24'!$J$28:$K$34, 2, 0)</f>
        <v>Sudeste</v>
      </c>
      <c r="E1570" s="87" t="str">
        <f>Tabela1[[#This Row],[Descrição]]&amp;"-"&amp;Tabela1[[#This Row],[Código]]&amp;"/"&amp;Tabela1[[#This Row],[Origem]]</f>
        <v>Puguvi-P548P253/ES</v>
      </c>
      <c r="F1570" s="88">
        <v>46381</v>
      </c>
      <c r="G1570" s="88" t="str" cm="1">
        <f t="array" ref="G15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AND(F1570&gt;= DATE(2026,1,1), F1570&lt;= DATE(2028, 12, 31), J1570&gt;50000), "Pendente e Caro", AND(F1570&gt;= DATE(2026,1,1), F1570&lt;= DATE(2028, 12, 31), J1570&lt;=50000), "Pendente", F1570&gt;= DATE(2029,1,1), "Não prioeitário")</f>
        <v>Pendente</v>
      </c>
      <c r="H1570" s="89">
        <f>YEAR(Tabela1[[#This Row],[Data de Validade]])</f>
        <v>2026</v>
      </c>
      <c r="I1570" s="89">
        <f>MONTH(Tabela1[[#This Row],[Data de Validade]])</f>
        <v>12</v>
      </c>
      <c r="J1570" s="101">
        <v>32552</v>
      </c>
      <c r="K1570" s="87" t="s">
        <v>9</v>
      </c>
      <c r="L1570" s="108"/>
      <c r="M1570" s="108"/>
      <c r="N1570" s="108" t="str">
        <v>P548P253</v>
      </c>
      <c r="O1570" s="108">
        <f t="shared" si="26"/>
        <v>1</v>
      </c>
      <c r="P1570" s="108"/>
      <c r="Q1570"/>
    </row>
    <row r="1571" spans="1:18" x14ac:dyDescent="0.25">
      <c r="A1571" s="89" t="s">
        <v>5804</v>
      </c>
      <c r="B1571" s="87" t="s">
        <v>5805</v>
      </c>
      <c r="C1571" s="87" t="s">
        <v>12</v>
      </c>
      <c r="D1571" s="87" t="str">
        <f>VLOOKUP(Tabela1[[#This Row],[Origem]], 'Perguntas 1 a 24'!$J$28:$K$34, 2, 0)</f>
        <v>Sudeste</v>
      </c>
      <c r="E1571" s="87" t="str">
        <f>Tabela1[[#This Row],[Descrição]]&amp;"-"&amp;Tabela1[[#This Row],[Código]]&amp;"/"&amp;Tabela1[[#This Row],[Origem]]</f>
        <v>Titagegi-H567H939/RJ</v>
      </c>
      <c r="F1571" s="88">
        <v>46382</v>
      </c>
      <c r="G1571" s="88" t="str" cm="1">
        <f t="array" ref="G15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AND(F1571&gt;= DATE(2026,1,1), F1571&lt;= DATE(2028, 12, 31), J1571&gt;50000), "Pendente e Caro", AND(F1571&gt;= DATE(2026,1,1), F1571&lt;= DATE(2028, 12, 31), J1571&lt;=50000), "Pendente", F1571&gt;= DATE(2029,1,1), "Não prioeitário")</f>
        <v>Pendente e Caro</v>
      </c>
      <c r="H1571" s="89">
        <f>YEAR(Tabela1[[#This Row],[Data de Validade]])</f>
        <v>2026</v>
      </c>
      <c r="I1571" s="89">
        <f>MONTH(Tabela1[[#This Row],[Data de Validade]])</f>
        <v>12</v>
      </c>
      <c r="J1571" s="101">
        <v>116957</v>
      </c>
      <c r="K1571" s="87" t="s">
        <v>14</v>
      </c>
      <c r="L1571" s="108"/>
      <c r="M1571" s="108"/>
      <c r="N1571" s="108" t="str">
        <v>H567H939</v>
      </c>
      <c r="O1571" s="108">
        <f t="shared" si="26"/>
        <v>1</v>
      </c>
      <c r="P1571" s="108"/>
      <c r="Q1571"/>
    </row>
    <row r="1572" spans="1:18" x14ac:dyDescent="0.25">
      <c r="A1572" s="89" t="s">
        <v>5380</v>
      </c>
      <c r="B1572" s="87" t="s">
        <v>5381</v>
      </c>
      <c r="C1572" s="87" t="s">
        <v>8</v>
      </c>
      <c r="D1572" s="87" t="str">
        <f>VLOOKUP(Tabela1[[#This Row],[Origem]], 'Perguntas 1 a 24'!$J$28:$K$34, 2, 0)</f>
        <v>Nordeste</v>
      </c>
      <c r="E1572" s="87" t="str">
        <f>Tabela1[[#This Row],[Descrição]]&amp;"-"&amp;Tabela1[[#This Row],[Código]]&amp;"/"&amp;Tabela1[[#This Row],[Origem]]</f>
        <v>Litenele-P386H897/AL</v>
      </c>
      <c r="F1572" s="88">
        <v>46382</v>
      </c>
      <c r="G1572" s="88" t="str" cm="1">
        <f t="array" ref="G15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AND(F1572&gt;= DATE(2026,1,1), F1572&lt;= DATE(2028, 12, 31), J1572&gt;50000), "Pendente e Caro", AND(F1572&gt;= DATE(2026,1,1), F1572&lt;= DATE(2028, 12, 31), J1572&lt;=50000), "Pendente", F1572&gt;= DATE(2029,1,1), "Não prioeitário")</f>
        <v>Pendente e Caro</v>
      </c>
      <c r="H1572" s="89">
        <f>YEAR(Tabela1[[#This Row],[Data de Validade]])</f>
        <v>2026</v>
      </c>
      <c r="I1572" s="89">
        <f>MONTH(Tabela1[[#This Row],[Data de Validade]])</f>
        <v>12</v>
      </c>
      <c r="J1572" s="101">
        <v>112687</v>
      </c>
      <c r="K1572" s="87" t="s">
        <v>9</v>
      </c>
      <c r="L1572" s="108"/>
      <c r="M1572" s="108"/>
      <c r="N1572" s="108" t="str">
        <v>P386H897</v>
      </c>
      <c r="O1572" s="108">
        <f t="shared" si="26"/>
        <v>1</v>
      </c>
      <c r="P1572" s="108"/>
      <c r="Q1572"/>
    </row>
    <row r="1573" spans="1:18" x14ac:dyDescent="0.25">
      <c r="A1573" s="89" t="s">
        <v>6892</v>
      </c>
      <c r="B1573" s="87" t="s">
        <v>6893</v>
      </c>
      <c r="C1573" s="87" t="s">
        <v>10</v>
      </c>
      <c r="D1573" s="87" t="str">
        <f>VLOOKUP(Tabela1[[#This Row],[Origem]], 'Perguntas 1 a 24'!$J$28:$K$34, 2, 0)</f>
        <v>Centro-Oeste</v>
      </c>
      <c r="E1573" s="87" t="str">
        <f>Tabela1[[#This Row],[Descrição]]&amp;"-"&amp;Tabela1[[#This Row],[Código]]&amp;"/"&amp;Tabela1[[#This Row],[Origem]]</f>
        <v>Rafelerapi-P797H275/GO</v>
      </c>
      <c r="F1573" s="88">
        <v>46382</v>
      </c>
      <c r="G1573" s="88" t="str" cm="1">
        <f t="array" ref="G15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AND(F1573&gt;= DATE(2026,1,1), F1573&lt;= DATE(2028, 12, 31), J1573&gt;50000), "Pendente e Caro", AND(F1573&gt;= DATE(2026,1,1), F1573&lt;= DATE(2028, 12, 31), J1573&lt;=50000), "Pendente", F1573&gt;= DATE(2029,1,1), "Não prioeitário")</f>
        <v>Pendente</v>
      </c>
      <c r="H1573" s="89">
        <f>YEAR(Tabela1[[#This Row],[Data de Validade]])</f>
        <v>2026</v>
      </c>
      <c r="I1573" s="89">
        <f>MONTH(Tabela1[[#This Row],[Data de Validade]])</f>
        <v>12</v>
      </c>
      <c r="J1573" s="101">
        <v>42932</v>
      </c>
      <c r="K1573" s="87" t="s">
        <v>9</v>
      </c>
      <c r="L1573" s="108"/>
      <c r="M1573" s="108"/>
      <c r="N1573" s="108" t="str">
        <v>P797H275</v>
      </c>
      <c r="O1573" s="108">
        <f t="shared" si="26"/>
        <v>1</v>
      </c>
      <c r="P1573" s="108"/>
      <c r="Q1573"/>
    </row>
    <row r="1574" spans="1:18" x14ac:dyDescent="0.25">
      <c r="A1574" s="89" t="s">
        <v>4760</v>
      </c>
      <c r="B1574" s="87" t="s">
        <v>4761</v>
      </c>
      <c r="C1574" s="87" t="s">
        <v>10</v>
      </c>
      <c r="D1574" s="87" t="str">
        <f>VLOOKUP(Tabela1[[#This Row],[Origem]], 'Perguntas 1 a 24'!$J$28:$K$34, 2, 0)</f>
        <v>Centro-Oeste</v>
      </c>
      <c r="E1574" s="87" t="str">
        <f>Tabela1[[#This Row],[Descrição]]&amp;"-"&amp;Tabela1[[#This Row],[Código]]&amp;"/"&amp;Tabela1[[#This Row],[Origem]]</f>
        <v>Pepugocepi-H663H166/GO</v>
      </c>
      <c r="F1574" s="88">
        <v>46383</v>
      </c>
      <c r="G1574" s="88" t="str" cm="1">
        <f t="array" ref="G15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AND(F1574&gt;= DATE(2026,1,1), F1574&lt;= DATE(2028, 12, 31), J1574&gt;50000), "Pendente e Caro", AND(F1574&gt;= DATE(2026,1,1), F1574&lt;= DATE(2028, 12, 31), J1574&lt;=50000), "Pendente", F1574&gt;= DATE(2029,1,1), "Não prioeitário")</f>
        <v>Pendente e Caro</v>
      </c>
      <c r="H1574" s="89">
        <f>YEAR(Tabela1[[#This Row],[Data de Validade]])</f>
        <v>2026</v>
      </c>
      <c r="I1574" s="89">
        <f>MONTH(Tabela1[[#This Row],[Data de Validade]])</f>
        <v>12</v>
      </c>
      <c r="J1574" s="101">
        <v>115670</v>
      </c>
      <c r="K1574" s="87" t="s">
        <v>14</v>
      </c>
      <c r="L1574" s="108"/>
      <c r="M1574" s="108"/>
      <c r="N1574" s="108" t="str">
        <v>H663H166</v>
      </c>
      <c r="O1574" s="108">
        <f t="shared" si="26"/>
        <v>1</v>
      </c>
      <c r="P1574" s="108"/>
      <c r="Q1574"/>
    </row>
    <row r="1575" spans="1:18" x14ac:dyDescent="0.25">
      <c r="A1575" s="89" t="s">
        <v>4100</v>
      </c>
      <c r="B1575" s="87" t="s">
        <v>4101</v>
      </c>
      <c r="C1575" s="87" t="s">
        <v>15</v>
      </c>
      <c r="D1575" s="87" t="str">
        <f>VLOOKUP(Tabela1[[#This Row],[Origem]], 'Perguntas 1 a 24'!$J$28:$K$34, 2, 0)</f>
        <v>Sudeste</v>
      </c>
      <c r="E1575" s="87" t="str">
        <f>Tabela1[[#This Row],[Descrição]]&amp;"-"&amp;Tabela1[[#This Row],[Código]]&amp;"/"&amp;Tabela1[[#This Row],[Origem]]</f>
        <v>Rupatoramu-H161P797/ES</v>
      </c>
      <c r="F1575" s="88">
        <v>46385</v>
      </c>
      <c r="G1575" s="88" t="str" cm="1">
        <f t="array" ref="G15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AND(F1575&gt;= DATE(2026,1,1), F1575&lt;= DATE(2028, 12, 31), J1575&gt;50000), "Pendente e Caro", AND(F1575&gt;= DATE(2026,1,1), F1575&lt;= DATE(2028, 12, 31), J1575&lt;=50000), "Pendente", F1575&gt;= DATE(2029,1,1), "Não prioeitário")</f>
        <v>Pendente e Caro</v>
      </c>
      <c r="H1575" s="89">
        <f>YEAR(Tabela1[[#This Row],[Data de Validade]])</f>
        <v>2026</v>
      </c>
      <c r="I1575" s="89">
        <f>MONTH(Tabela1[[#This Row],[Data de Validade]])</f>
        <v>12</v>
      </c>
      <c r="J1575" s="101">
        <v>70557</v>
      </c>
      <c r="K1575" s="87" t="s">
        <v>9</v>
      </c>
      <c r="L1575" s="108"/>
      <c r="M1575" s="108"/>
      <c r="N1575" s="108" t="str">
        <v>H161P797</v>
      </c>
      <c r="O1575" s="108">
        <f t="shared" si="26"/>
        <v>1</v>
      </c>
      <c r="P1575" s="108"/>
      <c r="Q1575"/>
    </row>
    <row r="1576" spans="1:18" x14ac:dyDescent="0.25">
      <c r="A1576" s="89" t="s">
        <v>6998</v>
      </c>
      <c r="B1576" s="87" t="s">
        <v>6999</v>
      </c>
      <c r="C1576" s="87" t="s">
        <v>16</v>
      </c>
      <c r="D1576" s="87" t="str">
        <f>VLOOKUP(Tabela1[[#This Row],[Origem]], 'Perguntas 1 a 24'!$J$28:$K$34, 2, 0)</f>
        <v>Sudeste</v>
      </c>
      <c r="E1576" s="87" t="str">
        <f>Tabela1[[#This Row],[Descrição]]&amp;"-"&amp;Tabela1[[#This Row],[Código]]&amp;"/"&amp;Tabela1[[#This Row],[Origem]]</f>
        <v>Pevepe-P426H388/MG</v>
      </c>
      <c r="F1576" s="88">
        <v>46385</v>
      </c>
      <c r="G1576" s="88" t="str" cm="1">
        <f t="array" ref="G15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AND(F1576&gt;= DATE(2026,1,1), F1576&lt;= DATE(2028, 12, 31), J1576&gt;50000), "Pendente e Caro", AND(F1576&gt;= DATE(2026,1,1), F1576&lt;= DATE(2028, 12, 31), J1576&lt;=50000), "Pendente", F1576&gt;= DATE(2029,1,1), "Não prioeitário")</f>
        <v>Pendente e Caro</v>
      </c>
      <c r="H1576" s="89">
        <f>YEAR(Tabela1[[#This Row],[Data de Validade]])</f>
        <v>2026</v>
      </c>
      <c r="I1576" s="89">
        <f>MONTH(Tabela1[[#This Row],[Data de Validade]])</f>
        <v>12</v>
      </c>
      <c r="J1576" s="101">
        <v>51250</v>
      </c>
      <c r="K1576" s="87" t="s">
        <v>14</v>
      </c>
      <c r="L1576" s="108"/>
      <c r="M1576" s="108"/>
      <c r="N1576" s="108" t="str">
        <v>P426H388</v>
      </c>
      <c r="O1576" s="108">
        <f t="shared" si="26"/>
        <v>1</v>
      </c>
      <c r="P1576" s="108"/>
      <c r="Q1576"/>
    </row>
    <row r="1577" spans="1:18" x14ac:dyDescent="0.25">
      <c r="A1577" s="89" t="s">
        <v>10265</v>
      </c>
      <c r="B1577" s="87" t="s">
        <v>10266</v>
      </c>
      <c r="C1577" s="87" t="s">
        <v>13</v>
      </c>
      <c r="D1577" s="87" t="str">
        <f>VLOOKUP(Tabela1[[#This Row],[Origem]], 'Perguntas 1 a 24'!$J$28:$K$34, 2, 0)</f>
        <v>Sudeste</v>
      </c>
      <c r="E1577" s="87" t="str">
        <f>Tabela1[[#This Row],[Descrição]]&amp;"-"&amp;Tabela1[[#This Row],[Código]]&amp;"/"&amp;Tabela1[[#This Row],[Origem]]</f>
        <v>Cicoratopi-P829P661/SP</v>
      </c>
      <c r="F1577" s="88">
        <v>46385</v>
      </c>
      <c r="G1577" s="88" t="str" cm="1">
        <f t="array" ref="G15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AND(F1577&gt;= DATE(2026,1,1), F1577&lt;= DATE(2028, 12, 31), J1577&gt;50000), "Pendente e Caro", AND(F1577&gt;= DATE(2026,1,1), F1577&lt;= DATE(2028, 12, 31), J1577&lt;=50000), "Pendente", F1577&gt;= DATE(2029,1,1), "Não prioeitário")</f>
        <v>Pendente e Caro</v>
      </c>
      <c r="H1577" s="89">
        <f>YEAR(Tabela1[[#This Row],[Data de Validade]])</f>
        <v>2026</v>
      </c>
      <c r="I1577" s="89">
        <f>MONTH(Tabela1[[#This Row],[Data de Validade]])</f>
        <v>12</v>
      </c>
      <c r="J1577" s="101">
        <v>50431</v>
      </c>
      <c r="K1577" s="87" t="s">
        <v>11</v>
      </c>
      <c r="L1577" s="108"/>
      <c r="M1577" s="108"/>
      <c r="N1577" s="108" t="str">
        <v>P829P661</v>
      </c>
      <c r="O1577" s="108">
        <f t="shared" si="26"/>
        <v>1</v>
      </c>
      <c r="P1577" s="108"/>
      <c r="Q1577"/>
    </row>
    <row r="1578" spans="1:18" x14ac:dyDescent="0.25">
      <c r="A1578" s="89" t="s">
        <v>9197</v>
      </c>
      <c r="B1578" s="87" t="s">
        <v>9198</v>
      </c>
      <c r="C1578" s="87" t="s">
        <v>6</v>
      </c>
      <c r="D1578" s="87" t="str">
        <f>VLOOKUP(Tabela1[[#This Row],[Origem]], 'Perguntas 1 a 24'!$J$28:$K$34, 2, 0)</f>
        <v>Nordeste</v>
      </c>
      <c r="E1578" s="87" t="str">
        <f>Tabela1[[#This Row],[Descrição]]&amp;"-"&amp;Tabela1[[#This Row],[Código]]&amp;"/"&amp;Tabela1[[#This Row],[Origem]]</f>
        <v>Terite-H984H298/MA</v>
      </c>
      <c r="F1578" s="88">
        <v>46385</v>
      </c>
      <c r="G1578" s="88" t="str" cm="1">
        <f t="array" ref="G15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AND(F1578&gt;= DATE(2026,1,1), F1578&lt;= DATE(2028, 12, 31), J1578&gt;50000), "Pendente e Caro", AND(F1578&gt;= DATE(2026,1,1), F1578&lt;= DATE(2028, 12, 31), J1578&lt;=50000), "Pendente", F1578&gt;= DATE(2029,1,1), "Não prioeitário")</f>
        <v>Pendente</v>
      </c>
      <c r="H1578" s="89">
        <f>YEAR(Tabela1[[#This Row],[Data de Validade]])</f>
        <v>2026</v>
      </c>
      <c r="I1578" s="89">
        <f>MONTH(Tabela1[[#This Row],[Data de Validade]])</f>
        <v>12</v>
      </c>
      <c r="J1578" s="101">
        <v>26332</v>
      </c>
      <c r="K1578" s="87" t="s">
        <v>11</v>
      </c>
      <c r="L1578" s="108"/>
      <c r="M1578" s="108"/>
      <c r="N1578" s="108" t="str">
        <v>H984H298</v>
      </c>
      <c r="O1578" s="108">
        <f t="shared" si="26"/>
        <v>1</v>
      </c>
      <c r="P1578" s="108"/>
      <c r="Q1578"/>
    </row>
    <row r="1579" spans="1:18" x14ac:dyDescent="0.25">
      <c r="A1579" s="89" t="s">
        <v>6148</v>
      </c>
      <c r="B1579" s="87" t="s">
        <v>6149</v>
      </c>
      <c r="C1579" s="87" t="s">
        <v>12</v>
      </c>
      <c r="D1579" s="87" t="str">
        <f>VLOOKUP(Tabela1[[#This Row],[Origem]], 'Perguntas 1 a 24'!$J$28:$K$34, 2, 0)</f>
        <v>Sudeste</v>
      </c>
      <c r="E1579" s="87" t="str">
        <f>Tabela1[[#This Row],[Descrição]]&amp;"-"&amp;Tabela1[[#This Row],[Código]]&amp;"/"&amp;Tabela1[[#This Row],[Origem]]</f>
        <v>Tofapapa-H966H473/RJ</v>
      </c>
      <c r="F1579" s="88">
        <v>46388</v>
      </c>
      <c r="G1579" s="88" t="str" cm="1">
        <f t="array" ref="G15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AND(F1579&gt;= DATE(2026,1,1), F1579&lt;= DATE(2028, 12, 31), J1579&gt;50000), "Pendente e Caro", AND(F1579&gt;= DATE(2026,1,1), F1579&lt;= DATE(2028, 12, 31), J1579&lt;=50000), "Pendente", F1579&gt;= DATE(2029,1,1), "Não prioeitário")</f>
        <v>Pendente e Caro</v>
      </c>
      <c r="H1579" s="89">
        <f>YEAR(Tabela1[[#This Row],[Data de Validade]])</f>
        <v>2027</v>
      </c>
      <c r="I1579" s="89">
        <f>MONTH(Tabela1[[#This Row],[Data de Validade]])</f>
        <v>1</v>
      </c>
      <c r="J1579" s="101">
        <v>51866</v>
      </c>
      <c r="K1579" s="87" t="s">
        <v>7</v>
      </c>
      <c r="L1579" s="108"/>
      <c r="M1579" s="108"/>
      <c r="N1579" s="108" t="str">
        <v>H966H473</v>
      </c>
      <c r="O1579" s="108">
        <f t="shared" si="26"/>
        <v>1</v>
      </c>
      <c r="P1579" s="108"/>
      <c r="Q1579"/>
    </row>
    <row r="1580" spans="1:18" x14ac:dyDescent="0.25">
      <c r="A1580" s="89" t="s">
        <v>4932</v>
      </c>
      <c r="B1580" s="87" t="s">
        <v>4933</v>
      </c>
      <c r="C1580" s="87" t="s">
        <v>10</v>
      </c>
      <c r="D1580" s="87" t="str">
        <f>VLOOKUP(Tabela1[[#This Row],[Origem]], 'Perguntas 1 a 24'!$J$28:$K$34, 2, 0)</f>
        <v>Centro-Oeste</v>
      </c>
      <c r="E1580" s="87" t="str">
        <f>Tabela1[[#This Row],[Descrição]]&amp;"-"&amp;Tabela1[[#This Row],[Código]]&amp;"/"&amp;Tabela1[[#This Row],[Origem]]</f>
        <v>Litamalo-H717P222/GO</v>
      </c>
      <c r="F1580" s="88">
        <v>46389</v>
      </c>
      <c r="G1580" s="88" t="str" cm="1">
        <f t="array" ref="G15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AND(F1580&gt;= DATE(2026,1,1), F1580&lt;= DATE(2028, 12, 31), J1580&gt;50000), "Pendente e Caro", AND(F1580&gt;= DATE(2026,1,1), F1580&lt;= DATE(2028, 12, 31), J1580&lt;=50000), "Pendente", F1580&gt;= DATE(2029,1,1), "Não prioeitário")</f>
        <v>Pendente</v>
      </c>
      <c r="H1580" s="89">
        <f>YEAR(Tabela1[[#This Row],[Data de Validade]])</f>
        <v>2027</v>
      </c>
      <c r="I1580" s="89">
        <f>MONTH(Tabela1[[#This Row],[Data de Validade]])</f>
        <v>1</v>
      </c>
      <c r="J1580" s="101">
        <v>37999</v>
      </c>
      <c r="K1580" s="87" t="s">
        <v>9</v>
      </c>
      <c r="L1580" s="108"/>
      <c r="M1580" s="108"/>
      <c r="N1580" s="108" t="str">
        <v>H717P222</v>
      </c>
      <c r="O1580" s="108">
        <f t="shared" si="26"/>
        <v>1</v>
      </c>
      <c r="P1580" s="108"/>
      <c r="Q1580"/>
    </row>
    <row r="1581" spans="1:18" x14ac:dyDescent="0.25">
      <c r="A1581" s="89" t="s">
        <v>8613</v>
      </c>
      <c r="B1581" s="87" t="s">
        <v>8614</v>
      </c>
      <c r="C1581" s="87" t="s">
        <v>15</v>
      </c>
      <c r="D1581" s="87" t="str">
        <f>VLOOKUP(Tabela1[[#This Row],[Origem]], 'Perguntas 1 a 24'!$J$28:$K$34, 2, 0)</f>
        <v>Sudeste</v>
      </c>
      <c r="E1581" s="87" t="str">
        <f>Tabela1[[#This Row],[Descrição]]&amp;"-"&amp;Tabela1[[#This Row],[Código]]&amp;"/"&amp;Tabela1[[#This Row],[Origem]]</f>
        <v>Lefopa-P728H446/ES</v>
      </c>
      <c r="F1581" s="88">
        <v>46391</v>
      </c>
      <c r="G1581" s="88" t="str" cm="1">
        <f t="array" ref="G15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AND(F1581&gt;= DATE(2026,1,1), F1581&lt;= DATE(2028, 12, 31), J1581&gt;50000), "Pendente e Caro", AND(F1581&gt;= DATE(2026,1,1), F1581&lt;= DATE(2028, 12, 31), J1581&lt;=50000), "Pendente", F1581&gt;= DATE(2029,1,1), "Não prioeitário")</f>
        <v>Pendente e Caro</v>
      </c>
      <c r="H1581" s="89">
        <f>YEAR(Tabela1[[#This Row],[Data de Validade]])</f>
        <v>2027</v>
      </c>
      <c r="I1581" s="89">
        <f>MONTH(Tabela1[[#This Row],[Data de Validade]])</f>
        <v>1</v>
      </c>
      <c r="J1581" s="101">
        <v>106157</v>
      </c>
      <c r="K1581" s="87" t="s">
        <v>7</v>
      </c>
      <c r="L1581" s="108"/>
      <c r="M1581" s="108"/>
      <c r="N1581" s="108" t="str">
        <v>P728H446</v>
      </c>
      <c r="O1581" s="108">
        <f t="shared" si="26"/>
        <v>1</v>
      </c>
      <c r="P1581" s="108"/>
      <c r="Q1581"/>
    </row>
    <row r="1582" spans="1:18" x14ac:dyDescent="0.25">
      <c r="A1582" s="89" t="s">
        <v>9035</v>
      </c>
      <c r="B1582" s="87" t="s">
        <v>9036</v>
      </c>
      <c r="C1582" s="87" t="s">
        <v>10</v>
      </c>
      <c r="D1582" s="87" t="str">
        <f>VLOOKUP(Tabela1[[#This Row],[Origem]], 'Perguntas 1 a 24'!$J$28:$K$34, 2, 0)</f>
        <v>Centro-Oeste</v>
      </c>
      <c r="E1582" s="87" t="str">
        <f>Tabela1[[#This Row],[Descrição]]&amp;"-"&amp;Tabela1[[#This Row],[Código]]&amp;"/"&amp;Tabela1[[#This Row],[Origem]]</f>
        <v>Penunu-P328H362/GO</v>
      </c>
      <c r="F1582" s="88">
        <v>46391</v>
      </c>
      <c r="G1582" s="88" t="str" cm="1">
        <f t="array" ref="G15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AND(F1582&gt;= DATE(2026,1,1), F1582&lt;= DATE(2028, 12, 31), J1582&gt;50000), "Pendente e Caro", AND(F1582&gt;= DATE(2026,1,1), F1582&lt;= DATE(2028, 12, 31), J1582&lt;=50000), "Pendente", F1582&gt;= DATE(2029,1,1), "Não prioeitário")</f>
        <v>Pendente e Caro</v>
      </c>
      <c r="H1582" s="89">
        <f>YEAR(Tabela1[[#This Row],[Data de Validade]])</f>
        <v>2027</v>
      </c>
      <c r="I1582" s="89">
        <f>MONTH(Tabela1[[#This Row],[Data de Validade]])</f>
        <v>1</v>
      </c>
      <c r="J1582" s="101">
        <v>98087</v>
      </c>
      <c r="K1582" s="87" t="s">
        <v>14</v>
      </c>
      <c r="L1582" s="108"/>
      <c r="M1582" s="108"/>
      <c r="N1582" s="108" t="str">
        <v>P328H362</v>
      </c>
      <c r="O1582" s="108">
        <f t="shared" si="26"/>
        <v>1</v>
      </c>
      <c r="P1582" s="108"/>
      <c r="Q1582"/>
    </row>
    <row r="1583" spans="1:18" x14ac:dyDescent="0.25">
      <c r="A1583" s="89" t="s">
        <v>4788</v>
      </c>
      <c r="B1583" s="87" t="s">
        <v>4789</v>
      </c>
      <c r="C1583" s="87" t="s">
        <v>12</v>
      </c>
      <c r="D1583" s="87" t="str">
        <f>VLOOKUP(Tabela1[[#This Row],[Origem]], 'Perguntas 1 a 24'!$J$28:$K$34, 2, 0)</f>
        <v>Sudeste</v>
      </c>
      <c r="E1583" s="87" t="str">
        <f>Tabela1[[#This Row],[Descrição]]&amp;"-"&amp;Tabela1[[#This Row],[Código]]&amp;"/"&amp;Tabela1[[#This Row],[Origem]]</f>
        <v>Deforidula-P264H647/RJ</v>
      </c>
      <c r="F1583" s="88">
        <v>46391</v>
      </c>
      <c r="G1583" s="88" t="str" cm="1">
        <f t="array" ref="G15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AND(F1583&gt;= DATE(2026,1,1), F1583&lt;= DATE(2028, 12, 31), J1583&gt;50000), "Pendente e Caro", AND(F1583&gt;= DATE(2026,1,1), F1583&lt;= DATE(2028, 12, 31), J1583&lt;=50000), "Pendente", F1583&gt;= DATE(2029,1,1), "Não prioeitário")</f>
        <v>Pendente</v>
      </c>
      <c r="H1583" s="89">
        <f>YEAR(Tabela1[[#This Row],[Data de Validade]])</f>
        <v>2027</v>
      </c>
      <c r="I1583" s="89">
        <f>MONTH(Tabela1[[#This Row],[Data de Validade]])</f>
        <v>1</v>
      </c>
      <c r="J1583" s="101">
        <v>20952</v>
      </c>
      <c r="K1583" s="87" t="s">
        <v>11</v>
      </c>
      <c r="L1583" s="108"/>
      <c r="M1583" s="108"/>
      <c r="N1583" s="108" t="str">
        <v>P264H647</v>
      </c>
      <c r="O1583" s="108">
        <f t="shared" si="26"/>
        <v>1</v>
      </c>
      <c r="P1583" s="108"/>
      <c r="Q1583"/>
    </row>
    <row r="1584" spans="1:18" x14ac:dyDescent="0.25">
      <c r="A1584" s="89" t="s">
        <v>7090</v>
      </c>
      <c r="B1584" s="87" t="s">
        <v>7091</v>
      </c>
      <c r="C1584" s="87" t="s">
        <v>16</v>
      </c>
      <c r="D1584" s="87" t="str">
        <f>VLOOKUP(Tabela1[[#This Row],[Origem]], 'Perguntas 1 a 24'!$J$28:$K$34, 2, 0)</f>
        <v>Sudeste</v>
      </c>
      <c r="E1584" s="87" t="str">
        <f>Tabela1[[#This Row],[Descrição]]&amp;"-"&amp;Tabela1[[#This Row],[Código]]&amp;"/"&amp;Tabela1[[#This Row],[Origem]]</f>
        <v>Rumipitero-H288P128/MG</v>
      </c>
      <c r="F1584" s="88">
        <v>46391</v>
      </c>
      <c r="G1584" s="88" t="str" cm="1">
        <f t="array" ref="G15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AND(F1584&gt;= DATE(2026,1,1), F1584&lt;= DATE(2028, 12, 31), J1584&gt;50000), "Pendente e Caro", AND(F1584&gt;= DATE(2026,1,1), F1584&lt;= DATE(2028, 12, 31), J1584&lt;=50000), "Pendente", F1584&gt;= DATE(2029,1,1), "Não prioeitário")</f>
        <v>Pendente</v>
      </c>
      <c r="H1584" s="89">
        <f>YEAR(Tabela1[[#This Row],[Data de Validade]])</f>
        <v>2027</v>
      </c>
      <c r="I1584" s="89">
        <f>MONTH(Tabela1[[#This Row],[Data de Validade]])</f>
        <v>1</v>
      </c>
      <c r="J1584" s="101">
        <v>20286</v>
      </c>
      <c r="K1584" s="87" t="s">
        <v>11</v>
      </c>
      <c r="L1584" s="108"/>
      <c r="M1584" s="108"/>
      <c r="N1584" s="108" t="str">
        <v>H288P128</v>
      </c>
      <c r="O1584" s="108">
        <f t="shared" si="26"/>
        <v>1</v>
      </c>
      <c r="P1584" s="108"/>
      <c r="Q1584"/>
      <c r="R1584">
        <f>71534.94+70654.45</f>
        <v>142189.39000000001</v>
      </c>
    </row>
    <row r="1585" spans="1:18" x14ac:dyDescent="0.25">
      <c r="A1585" s="89" t="s">
        <v>8747</v>
      </c>
      <c r="B1585" s="87" t="s">
        <v>8748</v>
      </c>
      <c r="C1585" s="87" t="s">
        <v>6</v>
      </c>
      <c r="D1585" s="87" t="str">
        <f>VLOOKUP(Tabela1[[#This Row],[Origem]], 'Perguntas 1 a 24'!$J$28:$K$34, 2, 0)</f>
        <v>Nordeste</v>
      </c>
      <c r="E1585" s="87" t="str">
        <f>Tabela1[[#This Row],[Descrição]]&amp;"-"&amp;Tabela1[[#This Row],[Código]]&amp;"/"&amp;Tabela1[[#This Row],[Origem]]</f>
        <v>Dapeli-P197H653/MA</v>
      </c>
      <c r="F1585" s="88">
        <v>46392</v>
      </c>
      <c r="G1585" s="88" t="str" cm="1">
        <f t="array" ref="G15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AND(F1585&gt;= DATE(2026,1,1), F1585&lt;= DATE(2028, 12, 31), J1585&gt;50000), "Pendente e Caro", AND(F1585&gt;= DATE(2026,1,1), F1585&lt;= DATE(2028, 12, 31), J1585&lt;=50000), "Pendente", F1585&gt;= DATE(2029,1,1), "Não prioeitário")</f>
        <v>Pendente e Caro</v>
      </c>
      <c r="H1585" s="89">
        <f>YEAR(Tabela1[[#This Row],[Data de Validade]])</f>
        <v>2027</v>
      </c>
      <c r="I1585" s="89">
        <f>MONTH(Tabela1[[#This Row],[Data de Validade]])</f>
        <v>1</v>
      </c>
      <c r="J1585" s="101">
        <v>113530</v>
      </c>
      <c r="K1585" s="87" t="s">
        <v>14</v>
      </c>
      <c r="L1585" s="108"/>
      <c r="M1585" s="108"/>
      <c r="N1585" s="108" t="str">
        <v>P197H653</v>
      </c>
      <c r="O1585" s="108">
        <f t="shared" si="26"/>
        <v>1</v>
      </c>
      <c r="P1585" s="108"/>
      <c r="Q1585"/>
      <c r="R1585">
        <f>R1584/2</f>
        <v>71094.695000000007</v>
      </c>
    </row>
    <row r="1586" spans="1:18" x14ac:dyDescent="0.25">
      <c r="A1586" s="89" t="s">
        <v>8268</v>
      </c>
      <c r="B1586" s="87" t="s">
        <v>8269</v>
      </c>
      <c r="C1586" s="87" t="s">
        <v>10</v>
      </c>
      <c r="D1586" s="87" t="str">
        <f>VLOOKUP(Tabela1[[#This Row],[Origem]], 'Perguntas 1 a 24'!$J$28:$K$34, 2, 0)</f>
        <v>Centro-Oeste</v>
      </c>
      <c r="E1586" s="87" t="str">
        <f>Tabela1[[#This Row],[Descrição]]&amp;"-"&amp;Tabela1[[#This Row],[Código]]&amp;"/"&amp;Tabela1[[#This Row],[Origem]]</f>
        <v>Fenocete-H696H439/GO</v>
      </c>
      <c r="F1586" s="88">
        <v>46393</v>
      </c>
      <c r="G1586" s="88" t="str" cm="1">
        <f t="array" ref="G15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AND(F1586&gt;= DATE(2026,1,1), F1586&lt;= DATE(2028, 12, 31), J1586&gt;50000), "Pendente e Caro", AND(F1586&gt;= DATE(2026,1,1), F1586&lt;= DATE(2028, 12, 31), J1586&lt;=50000), "Pendente", F1586&gt;= DATE(2029,1,1), "Não prioeitário")</f>
        <v>Pendente e Caro</v>
      </c>
      <c r="H1586" s="89">
        <f>YEAR(Tabela1[[#This Row],[Data de Validade]])</f>
        <v>2027</v>
      </c>
      <c r="I1586" s="89">
        <f>MONTH(Tabela1[[#This Row],[Data de Validade]])</f>
        <v>1</v>
      </c>
      <c r="J1586" s="101">
        <v>63906</v>
      </c>
      <c r="K1586" s="87" t="s">
        <v>14</v>
      </c>
      <c r="L1586" s="108"/>
      <c r="M1586" s="108"/>
      <c r="N1586" s="108" t="str">
        <v>H696H439</v>
      </c>
      <c r="O1586" s="108">
        <f t="shared" si="26"/>
        <v>1</v>
      </c>
      <c r="P1586" s="108"/>
      <c r="Q1586"/>
    </row>
    <row r="1587" spans="1:18" x14ac:dyDescent="0.25">
      <c r="A1587" s="89" t="s">
        <v>4956</v>
      </c>
      <c r="B1587" s="87" t="s">
        <v>4957</v>
      </c>
      <c r="C1587" s="87" t="s">
        <v>15</v>
      </c>
      <c r="D1587" s="87" t="str">
        <f>VLOOKUP(Tabela1[[#This Row],[Origem]], 'Perguntas 1 a 24'!$J$28:$K$34, 2, 0)</f>
        <v>Sudeste</v>
      </c>
      <c r="E1587" s="87" t="str">
        <f>Tabela1[[#This Row],[Descrição]]&amp;"-"&amp;Tabela1[[#This Row],[Código]]&amp;"/"&amp;Tabela1[[#This Row],[Origem]]</f>
        <v>Cefolado-P996P358/ES</v>
      </c>
      <c r="F1587" s="88">
        <v>46393</v>
      </c>
      <c r="G1587" s="88" t="str" cm="1">
        <f t="array" ref="G15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AND(F1587&gt;= DATE(2026,1,1), F1587&lt;= DATE(2028, 12, 31), J1587&gt;50000), "Pendente e Caro", AND(F1587&gt;= DATE(2026,1,1), F1587&lt;= DATE(2028, 12, 31), J1587&lt;=50000), "Pendente", F1587&gt;= DATE(2029,1,1), "Não prioeitário")</f>
        <v>Pendente</v>
      </c>
      <c r="H1587" s="89">
        <f>YEAR(Tabela1[[#This Row],[Data de Validade]])</f>
        <v>2027</v>
      </c>
      <c r="I1587" s="89">
        <f>MONTH(Tabela1[[#This Row],[Data de Validade]])</f>
        <v>1</v>
      </c>
      <c r="J1587" s="101">
        <v>20139</v>
      </c>
      <c r="K1587" s="87" t="s">
        <v>7</v>
      </c>
      <c r="L1587" s="108"/>
      <c r="M1587" s="108"/>
      <c r="N1587" s="108" t="str">
        <v>P996P358</v>
      </c>
      <c r="O1587" s="108">
        <f t="shared" si="26"/>
        <v>1</v>
      </c>
      <c r="P1587" s="108"/>
      <c r="Q1587"/>
    </row>
    <row r="1588" spans="1:18" x14ac:dyDescent="0.25">
      <c r="A1588" s="89" t="s">
        <v>8420</v>
      </c>
      <c r="B1588" s="87" t="s">
        <v>8421</v>
      </c>
      <c r="C1588" s="87" t="s">
        <v>10</v>
      </c>
      <c r="D1588" s="87" t="str">
        <f>VLOOKUP(Tabela1[[#This Row],[Origem]], 'Perguntas 1 a 24'!$J$28:$K$34, 2, 0)</f>
        <v>Centro-Oeste</v>
      </c>
      <c r="E1588" s="87" t="str">
        <f>Tabela1[[#This Row],[Descrição]]&amp;"-"&amp;Tabela1[[#This Row],[Código]]&amp;"/"&amp;Tabela1[[#This Row],[Origem]]</f>
        <v>Pefunotifa-H863P859/GO</v>
      </c>
      <c r="F1588" s="88">
        <v>46395</v>
      </c>
      <c r="G1588" s="88" t="str" cm="1">
        <f t="array" ref="G15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AND(F1588&gt;= DATE(2026,1,1), F1588&lt;= DATE(2028, 12, 31), J1588&gt;50000), "Pendente e Caro", AND(F1588&gt;= DATE(2026,1,1), F1588&lt;= DATE(2028, 12, 31), J1588&lt;=50000), "Pendente", F1588&gt;= DATE(2029,1,1), "Não prioeitário")</f>
        <v>Pendente</v>
      </c>
      <c r="H1588" s="89">
        <f>YEAR(Tabela1[[#This Row],[Data de Validade]])</f>
        <v>2027</v>
      </c>
      <c r="I1588" s="89">
        <f>MONTH(Tabela1[[#This Row],[Data de Validade]])</f>
        <v>1</v>
      </c>
      <c r="J1588" s="101">
        <v>29827</v>
      </c>
      <c r="K1588" s="87" t="s">
        <v>9</v>
      </c>
      <c r="L1588" s="108"/>
      <c r="M1588" s="108"/>
      <c r="N1588" s="108" t="str">
        <v>H863P859</v>
      </c>
      <c r="O1588" s="108">
        <f t="shared" si="26"/>
        <v>1</v>
      </c>
      <c r="P1588" s="108"/>
      <c r="Q1588"/>
    </row>
    <row r="1589" spans="1:18" x14ac:dyDescent="0.25">
      <c r="A1589" s="89" t="s">
        <v>6406</v>
      </c>
      <c r="B1589" s="87" t="s">
        <v>6407</v>
      </c>
      <c r="C1589" s="87" t="s">
        <v>10</v>
      </c>
      <c r="D1589" s="87" t="str">
        <f>VLOOKUP(Tabela1[[#This Row],[Origem]], 'Perguntas 1 a 24'!$J$28:$K$34, 2, 0)</f>
        <v>Centro-Oeste</v>
      </c>
      <c r="E1589" s="87" t="str">
        <f>Tabela1[[#This Row],[Descrição]]&amp;"-"&amp;Tabela1[[#This Row],[Código]]&amp;"/"&amp;Tabela1[[#This Row],[Origem]]</f>
        <v>Cetame-P187H652/GO</v>
      </c>
      <c r="F1589" s="88">
        <v>46397</v>
      </c>
      <c r="G1589" s="88" t="str" cm="1">
        <f t="array" ref="G15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AND(F1589&gt;= DATE(2026,1,1), F1589&lt;= DATE(2028, 12, 31), J1589&gt;50000), "Pendente e Caro", AND(F1589&gt;= DATE(2026,1,1), F1589&lt;= DATE(2028, 12, 31), J1589&lt;=50000), "Pendente", F1589&gt;= DATE(2029,1,1), "Não prioeitário")</f>
        <v>Pendente</v>
      </c>
      <c r="H1589" s="89">
        <f>YEAR(Tabela1[[#This Row],[Data de Validade]])</f>
        <v>2027</v>
      </c>
      <c r="I1589" s="89">
        <f>MONTH(Tabela1[[#This Row],[Data de Validade]])</f>
        <v>1</v>
      </c>
      <c r="J1589" s="101">
        <v>34826</v>
      </c>
      <c r="K1589" s="87" t="s">
        <v>7</v>
      </c>
      <c r="L1589" s="108"/>
      <c r="M1589" s="108"/>
      <c r="N1589" s="108" t="str">
        <v>P187H652</v>
      </c>
      <c r="O1589" s="108">
        <f t="shared" si="26"/>
        <v>1</v>
      </c>
      <c r="P1589" s="108"/>
      <c r="Q1589"/>
    </row>
    <row r="1590" spans="1:18" x14ac:dyDescent="0.25">
      <c r="A1590" s="89" t="s">
        <v>8144</v>
      </c>
      <c r="B1590" s="87" t="s">
        <v>8145</v>
      </c>
      <c r="C1590" s="87" t="s">
        <v>10</v>
      </c>
      <c r="D1590" s="87" t="str">
        <f>VLOOKUP(Tabela1[[#This Row],[Origem]], 'Perguntas 1 a 24'!$J$28:$K$34, 2, 0)</f>
        <v>Centro-Oeste</v>
      </c>
      <c r="E1590" s="87" t="str">
        <f>Tabela1[[#This Row],[Descrição]]&amp;"-"&amp;Tabela1[[#This Row],[Código]]&amp;"/"&amp;Tabela1[[#This Row],[Origem]]</f>
        <v>Vitagu-H635P832/GO</v>
      </c>
      <c r="F1590" s="88">
        <v>46398</v>
      </c>
      <c r="G1590" s="88" t="str" cm="1">
        <f t="array" ref="G15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AND(F1590&gt;= DATE(2026,1,1), F1590&lt;= DATE(2028, 12, 31), J1590&gt;50000), "Pendente e Caro", AND(F1590&gt;= DATE(2026,1,1), F1590&lt;= DATE(2028, 12, 31), J1590&lt;=50000), "Pendente", F1590&gt;= DATE(2029,1,1), "Não prioeitário")</f>
        <v>Pendente e Caro</v>
      </c>
      <c r="H1590" s="89">
        <f>YEAR(Tabela1[[#This Row],[Data de Validade]])</f>
        <v>2027</v>
      </c>
      <c r="I1590" s="89">
        <f>MONTH(Tabela1[[#This Row],[Data de Validade]])</f>
        <v>1</v>
      </c>
      <c r="J1590" s="101">
        <v>68744</v>
      </c>
      <c r="K1590" s="87" t="s">
        <v>14</v>
      </c>
      <c r="L1590" s="108"/>
      <c r="M1590" s="108"/>
      <c r="N1590" s="108" t="str">
        <v>H635P832</v>
      </c>
      <c r="O1590" s="108">
        <f t="shared" si="26"/>
        <v>1</v>
      </c>
      <c r="P1590" s="108"/>
      <c r="Q1590"/>
    </row>
    <row r="1591" spans="1:18" x14ac:dyDescent="0.25">
      <c r="A1591" s="89" t="s">
        <v>4628</v>
      </c>
      <c r="B1591" s="87" t="s">
        <v>4629</v>
      </c>
      <c r="C1591" s="87" t="s">
        <v>6</v>
      </c>
      <c r="D1591" s="87" t="str">
        <f>VLOOKUP(Tabela1[[#This Row],[Origem]], 'Perguntas 1 a 24'!$J$28:$K$34, 2, 0)</f>
        <v>Nordeste</v>
      </c>
      <c r="E1591" s="87" t="str">
        <f>Tabela1[[#This Row],[Descrição]]&amp;"-"&amp;Tabela1[[#This Row],[Código]]&amp;"/"&amp;Tabela1[[#This Row],[Origem]]</f>
        <v>Ruruperave-H159H591/MA</v>
      </c>
      <c r="F1591" s="88">
        <v>46399</v>
      </c>
      <c r="G1591" s="88" t="str" cm="1">
        <f t="array" ref="G15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AND(F1591&gt;= DATE(2026,1,1), F1591&lt;= DATE(2028, 12, 31), J1591&gt;50000), "Pendente e Caro", AND(F1591&gt;= DATE(2026,1,1), F1591&lt;= DATE(2028, 12, 31), J1591&lt;=50000), "Pendente", F1591&gt;= DATE(2029,1,1), "Não prioeitário")</f>
        <v>Pendente e Caro</v>
      </c>
      <c r="H1591" s="89">
        <f>YEAR(Tabela1[[#This Row],[Data de Validade]])</f>
        <v>2027</v>
      </c>
      <c r="I1591" s="89">
        <f>MONTH(Tabela1[[#This Row],[Data de Validade]])</f>
        <v>1</v>
      </c>
      <c r="J1591" s="101">
        <v>76130</v>
      </c>
      <c r="K1591" s="87" t="s">
        <v>14</v>
      </c>
      <c r="L1591" s="108"/>
      <c r="M1591" s="108"/>
      <c r="N1591" s="108" t="str">
        <v>H159H591</v>
      </c>
      <c r="O1591" s="108">
        <f t="shared" si="26"/>
        <v>1</v>
      </c>
      <c r="P1591" s="108"/>
      <c r="Q1591"/>
    </row>
    <row r="1592" spans="1:18" x14ac:dyDescent="0.25">
      <c r="A1592" s="89" t="s">
        <v>4502</v>
      </c>
      <c r="B1592" s="87" t="s">
        <v>4503</v>
      </c>
      <c r="C1592" s="87" t="s">
        <v>16</v>
      </c>
      <c r="D1592" s="87" t="str">
        <f>VLOOKUP(Tabela1[[#This Row],[Origem]], 'Perguntas 1 a 24'!$J$28:$K$34, 2, 0)</f>
        <v>Sudeste</v>
      </c>
      <c r="E1592" s="87" t="str">
        <f>Tabela1[[#This Row],[Descrição]]&amp;"-"&amp;Tabela1[[#This Row],[Código]]&amp;"/"&amp;Tabela1[[#This Row],[Origem]]</f>
        <v>Pavopavu-P374H788/MG</v>
      </c>
      <c r="F1592" s="88">
        <v>46401</v>
      </c>
      <c r="G1592" s="88" t="str" cm="1">
        <f t="array" ref="G15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AND(F1592&gt;= DATE(2026,1,1), F1592&lt;= DATE(2028, 12, 31), J1592&gt;50000), "Pendente e Caro", AND(F1592&gt;= DATE(2026,1,1), F1592&lt;= DATE(2028, 12, 31), J1592&lt;=50000), "Pendente", F1592&gt;= DATE(2029,1,1), "Não prioeitário")</f>
        <v>Pendente e Caro</v>
      </c>
      <c r="H1592" s="89">
        <f>YEAR(Tabela1[[#This Row],[Data de Validade]])</f>
        <v>2027</v>
      </c>
      <c r="I1592" s="89">
        <f>MONTH(Tabela1[[#This Row],[Data de Validade]])</f>
        <v>1</v>
      </c>
      <c r="J1592" s="101">
        <v>93675</v>
      </c>
      <c r="K1592" s="87" t="s">
        <v>14</v>
      </c>
      <c r="L1592" s="108"/>
      <c r="M1592" s="108"/>
      <c r="N1592" s="108" t="str">
        <v>P374H788</v>
      </c>
      <c r="O1592" s="108">
        <f t="shared" si="26"/>
        <v>1</v>
      </c>
      <c r="P1592" s="108"/>
      <c r="Q1592"/>
    </row>
    <row r="1593" spans="1:18" x14ac:dyDescent="0.25">
      <c r="A1593" s="89" t="s">
        <v>4341</v>
      </c>
      <c r="B1593" s="87" t="s">
        <v>4342</v>
      </c>
      <c r="C1593" s="87" t="s">
        <v>15</v>
      </c>
      <c r="D1593" s="87" t="str">
        <f>VLOOKUP(Tabela1[[#This Row],[Origem]], 'Perguntas 1 a 24'!$J$28:$K$34, 2, 0)</f>
        <v>Sudeste</v>
      </c>
      <c r="E1593" s="87" t="str">
        <f>Tabela1[[#This Row],[Descrição]]&amp;"-"&amp;Tabela1[[#This Row],[Código]]&amp;"/"&amp;Tabela1[[#This Row],[Origem]]</f>
        <v>Purupetilu-H678P823/ES</v>
      </c>
      <c r="F1593" s="88">
        <v>46402</v>
      </c>
      <c r="G1593" s="88" t="str" cm="1">
        <f t="array" ref="G15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AND(F1593&gt;= DATE(2026,1,1), F1593&lt;= DATE(2028, 12, 31), J1593&gt;50000), "Pendente e Caro", AND(F1593&gt;= DATE(2026,1,1), F1593&lt;= DATE(2028, 12, 31), J1593&lt;=50000), "Pendente", F1593&gt;= DATE(2029,1,1), "Não prioeitário")</f>
        <v>Pendente e Caro</v>
      </c>
      <c r="H1593" s="89">
        <f>YEAR(Tabela1[[#This Row],[Data de Validade]])</f>
        <v>2027</v>
      </c>
      <c r="I1593" s="89">
        <f>MONTH(Tabela1[[#This Row],[Data de Validade]])</f>
        <v>1</v>
      </c>
      <c r="J1593" s="101">
        <v>61661</v>
      </c>
      <c r="K1593" s="87" t="s">
        <v>14</v>
      </c>
      <c r="L1593" s="108"/>
      <c r="M1593" s="108"/>
      <c r="N1593" s="108" t="str">
        <v>H678P823</v>
      </c>
      <c r="O1593" s="108">
        <f t="shared" si="26"/>
        <v>1</v>
      </c>
      <c r="P1593" s="108"/>
      <c r="Q1593"/>
    </row>
    <row r="1594" spans="1:18" x14ac:dyDescent="0.25">
      <c r="A1594" s="89" t="s">
        <v>5350</v>
      </c>
      <c r="B1594" s="87" t="s">
        <v>5351</v>
      </c>
      <c r="C1594" s="87" t="s">
        <v>6</v>
      </c>
      <c r="D1594" s="87" t="str">
        <f>VLOOKUP(Tabela1[[#This Row],[Origem]], 'Perguntas 1 a 24'!$J$28:$K$34, 2, 0)</f>
        <v>Nordeste</v>
      </c>
      <c r="E1594" s="87" t="str">
        <f>Tabela1[[#This Row],[Descrição]]&amp;"-"&amp;Tabela1[[#This Row],[Código]]&amp;"/"&amp;Tabela1[[#This Row],[Origem]]</f>
        <v>Repugo-H412P682/MA</v>
      </c>
      <c r="F1594" s="88">
        <v>46403</v>
      </c>
      <c r="G1594" s="88" t="str" cm="1">
        <f t="array" ref="G15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AND(F1594&gt;= DATE(2026,1,1), F1594&lt;= DATE(2028, 12, 31), J1594&gt;50000), "Pendente e Caro", AND(F1594&gt;= DATE(2026,1,1), F1594&lt;= DATE(2028, 12, 31), J1594&lt;=50000), "Pendente", F1594&gt;= DATE(2029,1,1), "Não prioeitário")</f>
        <v>Pendente e Caro</v>
      </c>
      <c r="H1594" s="89">
        <f>YEAR(Tabela1[[#This Row],[Data de Validade]])</f>
        <v>2027</v>
      </c>
      <c r="I1594" s="89">
        <f>MONTH(Tabela1[[#This Row],[Data de Validade]])</f>
        <v>1</v>
      </c>
      <c r="J1594" s="101">
        <v>107539</v>
      </c>
      <c r="K1594" s="87" t="s">
        <v>14</v>
      </c>
      <c r="L1594" s="108"/>
      <c r="M1594" s="108"/>
      <c r="N1594" s="108" t="str">
        <v>H412P682</v>
      </c>
      <c r="O1594" s="108">
        <f t="shared" si="26"/>
        <v>1</v>
      </c>
      <c r="P1594" s="108"/>
      <c r="Q1594"/>
    </row>
    <row r="1595" spans="1:18" x14ac:dyDescent="0.25">
      <c r="A1595" s="89" t="s">
        <v>4048</v>
      </c>
      <c r="B1595" s="87" t="s">
        <v>4049</v>
      </c>
      <c r="C1595" s="87" t="s">
        <v>13</v>
      </c>
      <c r="D1595" s="87" t="str">
        <f>VLOOKUP(Tabela1[[#This Row],[Origem]], 'Perguntas 1 a 24'!$J$28:$K$34, 2, 0)</f>
        <v>Sudeste</v>
      </c>
      <c r="E1595" s="87" t="str">
        <f>Tabela1[[#This Row],[Descrição]]&amp;"-"&amp;Tabela1[[#This Row],[Código]]&amp;"/"&amp;Tabela1[[#This Row],[Origem]]</f>
        <v>Litavolu-H873P158/SP</v>
      </c>
      <c r="F1595" s="88">
        <v>46403</v>
      </c>
      <c r="G1595" s="88" t="str" cm="1">
        <f t="array" ref="G15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AND(F1595&gt;= DATE(2026,1,1), F1595&lt;= DATE(2028, 12, 31), J1595&gt;50000), "Pendente e Caro", AND(F1595&gt;= DATE(2026,1,1), F1595&lt;= DATE(2028, 12, 31), J1595&lt;=50000), "Pendente", F1595&gt;= DATE(2029,1,1), "Não prioeitário")</f>
        <v>Pendente e Caro</v>
      </c>
      <c r="H1595" s="89">
        <f>YEAR(Tabela1[[#This Row],[Data de Validade]])</f>
        <v>2027</v>
      </c>
      <c r="I1595" s="89">
        <f>MONTH(Tabela1[[#This Row],[Data de Validade]])</f>
        <v>1</v>
      </c>
      <c r="J1595" s="101">
        <v>78178</v>
      </c>
      <c r="K1595" s="87" t="s">
        <v>7</v>
      </c>
      <c r="L1595" s="108"/>
      <c r="M1595" s="108"/>
      <c r="N1595" s="108" t="str">
        <v>H873P158</v>
      </c>
      <c r="O1595" s="108">
        <f t="shared" si="26"/>
        <v>1</v>
      </c>
      <c r="P1595" s="108"/>
      <c r="Q1595"/>
    </row>
    <row r="1596" spans="1:18" x14ac:dyDescent="0.25">
      <c r="A1596" s="89" t="s">
        <v>10857</v>
      </c>
      <c r="B1596" s="87" t="s">
        <v>10858</v>
      </c>
      <c r="C1596" s="87" t="s">
        <v>6</v>
      </c>
      <c r="D1596" s="87" t="str">
        <f>VLOOKUP(Tabela1[[#This Row],[Origem]], 'Perguntas 1 a 24'!$J$28:$K$34, 2, 0)</f>
        <v>Nordeste</v>
      </c>
      <c r="E1596" s="87" t="str">
        <f>Tabela1[[#This Row],[Descrição]]&amp;"-"&amp;Tabela1[[#This Row],[Código]]&amp;"/"&amp;Tabela1[[#This Row],[Origem]]</f>
        <v>Dovetumofi-P976P355/MA</v>
      </c>
      <c r="F1596" s="88">
        <v>46405</v>
      </c>
      <c r="G1596" s="88" t="str" cm="1">
        <f t="array" ref="G15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AND(F1596&gt;= DATE(2026,1,1), F1596&lt;= DATE(2028, 12, 31), J1596&gt;50000), "Pendente e Caro", AND(F1596&gt;= DATE(2026,1,1), F1596&lt;= DATE(2028, 12, 31), J1596&lt;=50000), "Pendente", F1596&gt;= DATE(2029,1,1), "Não prioeitário")</f>
        <v>Pendente e Caro</v>
      </c>
      <c r="H1596" s="89">
        <f>YEAR(Tabela1[[#This Row],[Data de Validade]])</f>
        <v>2027</v>
      </c>
      <c r="I1596" s="89">
        <f>MONTH(Tabela1[[#This Row],[Data de Validade]])</f>
        <v>1</v>
      </c>
      <c r="J1596" s="101">
        <v>108659</v>
      </c>
      <c r="K1596" s="87" t="s">
        <v>9</v>
      </c>
      <c r="L1596" s="108"/>
      <c r="M1596" s="108"/>
      <c r="N1596" s="108" t="str">
        <v>P976P355</v>
      </c>
      <c r="O1596" s="108">
        <f t="shared" si="26"/>
        <v>1</v>
      </c>
      <c r="P1596" s="108"/>
      <c r="Q1596"/>
    </row>
    <row r="1597" spans="1:18" x14ac:dyDescent="0.25">
      <c r="A1597" s="89" t="s">
        <v>8953</v>
      </c>
      <c r="B1597" s="87" t="s">
        <v>8954</v>
      </c>
      <c r="C1597" s="87" t="s">
        <v>13</v>
      </c>
      <c r="D1597" s="87" t="str">
        <f>VLOOKUP(Tabela1[[#This Row],[Origem]], 'Perguntas 1 a 24'!$J$28:$K$34, 2, 0)</f>
        <v>Sudeste</v>
      </c>
      <c r="E1597" s="87" t="str">
        <f>Tabela1[[#This Row],[Descrição]]&amp;"-"&amp;Tabela1[[#This Row],[Código]]&amp;"/"&amp;Tabela1[[#This Row],[Origem]]</f>
        <v>Levafi-P152P474/SP</v>
      </c>
      <c r="F1597" s="88">
        <v>46405</v>
      </c>
      <c r="G1597" s="88" t="str" cm="1">
        <f t="array" ref="G15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AND(F1597&gt;= DATE(2026,1,1), F1597&lt;= DATE(2028, 12, 31), J1597&gt;50000), "Pendente e Caro", AND(F1597&gt;= DATE(2026,1,1), F1597&lt;= DATE(2028, 12, 31), J1597&lt;=50000), "Pendente", F1597&gt;= DATE(2029,1,1), "Não prioeitário")</f>
        <v>Pendente</v>
      </c>
      <c r="H1597" s="89">
        <f>YEAR(Tabela1[[#This Row],[Data de Validade]])</f>
        <v>2027</v>
      </c>
      <c r="I1597" s="89">
        <f>MONTH(Tabela1[[#This Row],[Data de Validade]])</f>
        <v>1</v>
      </c>
      <c r="J1597" s="101">
        <v>41487</v>
      </c>
      <c r="K1597" s="87" t="s">
        <v>11</v>
      </c>
      <c r="L1597" s="108"/>
      <c r="M1597" s="108"/>
      <c r="N1597" s="108" t="str">
        <v>P152P474</v>
      </c>
      <c r="O1597" s="108">
        <f t="shared" si="26"/>
        <v>1</v>
      </c>
      <c r="P1597" s="108"/>
      <c r="Q1597"/>
    </row>
    <row r="1598" spans="1:18" x14ac:dyDescent="0.25">
      <c r="A1598" s="89" t="s">
        <v>8839</v>
      </c>
      <c r="B1598" s="87" t="s">
        <v>8840</v>
      </c>
      <c r="C1598" s="87" t="s">
        <v>10</v>
      </c>
      <c r="D1598" s="87" t="str">
        <f>VLOOKUP(Tabela1[[#This Row],[Origem]], 'Perguntas 1 a 24'!$J$28:$K$34, 2, 0)</f>
        <v>Centro-Oeste</v>
      </c>
      <c r="E1598" s="87" t="str">
        <f>Tabela1[[#This Row],[Descrição]]&amp;"-"&amp;Tabela1[[#This Row],[Código]]&amp;"/"&amp;Tabela1[[#This Row],[Origem]]</f>
        <v>Rotapulevu-H283P215/GO</v>
      </c>
      <c r="F1598" s="88">
        <v>46407</v>
      </c>
      <c r="G1598" s="88" t="str" cm="1">
        <f t="array" ref="G15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AND(F1598&gt;= DATE(2026,1,1), F1598&lt;= DATE(2028, 12, 31), J1598&gt;50000), "Pendente e Caro", AND(F1598&gt;= DATE(2026,1,1), F1598&lt;= DATE(2028, 12, 31), J1598&lt;=50000), "Pendente", F1598&gt;= DATE(2029,1,1), "Não prioeitário")</f>
        <v>Pendente e Caro</v>
      </c>
      <c r="H1598" s="89">
        <f>YEAR(Tabela1[[#This Row],[Data de Validade]])</f>
        <v>2027</v>
      </c>
      <c r="I1598" s="89">
        <f>MONTH(Tabela1[[#This Row],[Data de Validade]])</f>
        <v>1</v>
      </c>
      <c r="J1598" s="101">
        <v>115442</v>
      </c>
      <c r="K1598" s="87" t="s">
        <v>7</v>
      </c>
      <c r="L1598" s="108"/>
      <c r="M1598" s="108"/>
      <c r="N1598" s="108" t="str">
        <v>H283P215</v>
      </c>
      <c r="O1598" s="108">
        <f t="shared" si="26"/>
        <v>1</v>
      </c>
      <c r="P1598" s="108"/>
      <c r="Q1598"/>
    </row>
    <row r="1599" spans="1:18" x14ac:dyDescent="0.25">
      <c r="A1599" s="89" t="s">
        <v>6792</v>
      </c>
      <c r="B1599" s="87" t="s">
        <v>6793</v>
      </c>
      <c r="C1599" s="87" t="s">
        <v>8</v>
      </c>
      <c r="D1599" s="87" t="str">
        <f>VLOOKUP(Tabela1[[#This Row],[Origem]], 'Perguntas 1 a 24'!$J$28:$K$34, 2, 0)</f>
        <v>Nordeste</v>
      </c>
      <c r="E1599" s="87" t="str">
        <f>Tabela1[[#This Row],[Descrição]]&amp;"-"&amp;Tabela1[[#This Row],[Código]]&amp;"/"&amp;Tabela1[[#This Row],[Origem]]</f>
        <v>Fitirulana-H535H684/AL</v>
      </c>
      <c r="F1599" s="88">
        <v>46407</v>
      </c>
      <c r="G1599" s="88" t="str" cm="1">
        <f t="array" ref="G15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AND(F1599&gt;= DATE(2026,1,1), F1599&lt;= DATE(2028, 12, 31), J1599&gt;50000), "Pendente e Caro", AND(F1599&gt;= DATE(2026,1,1), F1599&lt;= DATE(2028, 12, 31), J1599&lt;=50000), "Pendente", F1599&gt;= DATE(2029,1,1), "Não prioeitário")</f>
        <v>Pendente e Caro</v>
      </c>
      <c r="H1599" s="89">
        <f>YEAR(Tabela1[[#This Row],[Data de Validade]])</f>
        <v>2027</v>
      </c>
      <c r="I1599" s="89">
        <f>MONTH(Tabela1[[#This Row],[Data de Validade]])</f>
        <v>1</v>
      </c>
      <c r="J1599" s="101">
        <v>100216</v>
      </c>
      <c r="K1599" s="87" t="s">
        <v>11</v>
      </c>
      <c r="L1599" s="108"/>
      <c r="M1599" s="108"/>
      <c r="N1599" s="108" t="str">
        <v>H535H684</v>
      </c>
      <c r="O1599" s="108">
        <f t="shared" si="26"/>
        <v>1</v>
      </c>
      <c r="P1599" s="108"/>
      <c r="Q1599"/>
    </row>
    <row r="1600" spans="1:18" x14ac:dyDescent="0.25">
      <c r="A1600" s="89" t="s">
        <v>10853</v>
      </c>
      <c r="B1600" s="87" t="s">
        <v>10854</v>
      </c>
      <c r="C1600" s="87" t="s">
        <v>15</v>
      </c>
      <c r="D1600" s="87" t="str">
        <f>VLOOKUP(Tabela1[[#This Row],[Origem]], 'Perguntas 1 a 24'!$J$28:$K$34, 2, 0)</f>
        <v>Sudeste</v>
      </c>
      <c r="E1600" s="87" t="str">
        <f>Tabela1[[#This Row],[Descrição]]&amp;"-"&amp;Tabela1[[#This Row],[Código]]&amp;"/"&amp;Tabela1[[#This Row],[Origem]]</f>
        <v>Gidenope-P152P311/ES</v>
      </c>
      <c r="F1600" s="88">
        <v>46407</v>
      </c>
      <c r="G1600" s="88" t="str" cm="1">
        <f t="array" ref="G16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AND(F1600&gt;= DATE(2026,1,1), F1600&lt;= DATE(2028, 12, 31), J1600&gt;50000), "Pendente e Caro", AND(F1600&gt;= DATE(2026,1,1), F1600&lt;= DATE(2028, 12, 31), J1600&lt;=50000), "Pendente", F1600&gt;= DATE(2029,1,1), "Não prioeitário")</f>
        <v>Pendente</v>
      </c>
      <c r="H1600" s="89">
        <f>YEAR(Tabela1[[#This Row],[Data de Validade]])</f>
        <v>2027</v>
      </c>
      <c r="I1600" s="89">
        <f>MONTH(Tabela1[[#This Row],[Data de Validade]])</f>
        <v>1</v>
      </c>
      <c r="J1600" s="101">
        <v>34185</v>
      </c>
      <c r="K1600" s="87" t="s">
        <v>14</v>
      </c>
      <c r="L1600" s="108"/>
      <c r="M1600" s="108"/>
      <c r="N1600" s="108" t="str">
        <v>P152P311</v>
      </c>
      <c r="O1600" s="108">
        <f t="shared" si="26"/>
        <v>1</v>
      </c>
      <c r="P1600" s="108"/>
      <c r="Q1600"/>
    </row>
    <row r="1601" spans="1:17" x14ac:dyDescent="0.25">
      <c r="A1601" s="89" t="s">
        <v>10978</v>
      </c>
      <c r="B1601" s="87" t="s">
        <v>10979</v>
      </c>
      <c r="C1601" s="87" t="s">
        <v>6</v>
      </c>
      <c r="D1601" s="87" t="str">
        <f>VLOOKUP(Tabela1[[#This Row],[Origem]], 'Perguntas 1 a 24'!$J$28:$K$34, 2, 0)</f>
        <v>Nordeste</v>
      </c>
      <c r="E1601" s="87" t="str">
        <f>Tabela1[[#This Row],[Descrição]]&amp;"-"&amp;Tabela1[[#This Row],[Código]]&amp;"/"&amp;Tabela1[[#This Row],[Origem]]</f>
        <v>Depaloda-H964H355/MA</v>
      </c>
      <c r="F1601" s="88">
        <v>46408</v>
      </c>
      <c r="G1601" s="88" t="str" cm="1">
        <f t="array" ref="G16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AND(F1601&gt;= DATE(2026,1,1), F1601&lt;= DATE(2028, 12, 31), J1601&gt;50000), "Pendente e Caro", AND(F1601&gt;= DATE(2026,1,1), F1601&lt;= DATE(2028, 12, 31), J1601&lt;=50000), "Pendente", F1601&gt;= DATE(2029,1,1), "Não prioeitário")</f>
        <v>Pendente e Caro</v>
      </c>
      <c r="H1601" s="89">
        <f>YEAR(Tabela1[[#This Row],[Data de Validade]])</f>
        <v>2027</v>
      </c>
      <c r="I1601" s="89">
        <f>MONTH(Tabela1[[#This Row],[Data de Validade]])</f>
        <v>1</v>
      </c>
      <c r="J1601" s="101">
        <v>108683</v>
      </c>
      <c r="K1601" s="87" t="s">
        <v>7</v>
      </c>
      <c r="L1601" s="108"/>
      <c r="M1601" s="108"/>
      <c r="N1601" s="108" t="str">
        <v>H964H355</v>
      </c>
      <c r="O1601" s="108">
        <f t="shared" si="26"/>
        <v>1</v>
      </c>
      <c r="P1601" s="108"/>
      <c r="Q1601"/>
    </row>
    <row r="1602" spans="1:17" x14ac:dyDescent="0.25">
      <c r="A1602" s="89" t="s">
        <v>10635</v>
      </c>
      <c r="B1602" s="87" t="s">
        <v>10636</v>
      </c>
      <c r="C1602" s="87" t="s">
        <v>12</v>
      </c>
      <c r="D1602" s="87" t="str">
        <f>VLOOKUP(Tabela1[[#This Row],[Origem]], 'Perguntas 1 a 24'!$J$28:$K$34, 2, 0)</f>
        <v>Sudeste</v>
      </c>
      <c r="E1602" s="87" t="str">
        <f>Tabela1[[#This Row],[Descrição]]&amp;"-"&amp;Tabela1[[#This Row],[Código]]&amp;"/"&amp;Tabela1[[#This Row],[Origem]]</f>
        <v>Firuritu-P271H832/RJ</v>
      </c>
      <c r="F1602" s="88">
        <v>46408</v>
      </c>
      <c r="G1602" s="88" t="str" cm="1">
        <f t="array" ref="G16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AND(F1602&gt;= DATE(2026,1,1), F1602&lt;= DATE(2028, 12, 31), J1602&gt;50000), "Pendente e Caro", AND(F1602&gt;= DATE(2026,1,1), F1602&lt;= DATE(2028, 12, 31), J1602&lt;=50000), "Pendente", F1602&gt;= DATE(2029,1,1), "Não prioeitário")</f>
        <v>Pendente e Caro</v>
      </c>
      <c r="H1602" s="89">
        <f>YEAR(Tabela1[[#This Row],[Data de Validade]])</f>
        <v>2027</v>
      </c>
      <c r="I1602" s="89">
        <f>MONTH(Tabela1[[#This Row],[Data de Validade]])</f>
        <v>1</v>
      </c>
      <c r="J1602" s="101">
        <v>67950</v>
      </c>
      <c r="K1602" s="87" t="s">
        <v>7</v>
      </c>
      <c r="L1602" s="108"/>
      <c r="M1602" s="108"/>
      <c r="N1602" s="108" t="str">
        <v>P271H832</v>
      </c>
      <c r="O1602" s="108">
        <f t="shared" si="26"/>
        <v>1</v>
      </c>
      <c r="P1602" s="108"/>
      <c r="Q1602"/>
    </row>
    <row r="1603" spans="1:17" x14ac:dyDescent="0.25">
      <c r="A1603" s="89" t="s">
        <v>4746</v>
      </c>
      <c r="B1603" s="87" t="s">
        <v>4747</v>
      </c>
      <c r="C1603" s="87" t="s">
        <v>13</v>
      </c>
      <c r="D1603" s="87" t="str">
        <f>VLOOKUP(Tabela1[[#This Row],[Origem]], 'Perguntas 1 a 24'!$J$28:$K$34, 2, 0)</f>
        <v>Sudeste</v>
      </c>
      <c r="E1603" s="87" t="str">
        <f>Tabela1[[#This Row],[Descrição]]&amp;"-"&amp;Tabela1[[#This Row],[Código]]&amp;"/"&amp;Tabela1[[#This Row],[Origem]]</f>
        <v>Pulopu-P636P378/SP</v>
      </c>
      <c r="F1603" s="88">
        <v>46408</v>
      </c>
      <c r="G1603" s="88" t="str" cm="1">
        <f t="array" ref="G16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AND(F1603&gt;= DATE(2026,1,1), F1603&lt;= DATE(2028, 12, 31), J1603&gt;50000), "Pendente e Caro", AND(F1603&gt;= DATE(2026,1,1), F1603&lt;= DATE(2028, 12, 31), J1603&lt;=50000), "Pendente", F1603&gt;= DATE(2029,1,1), "Não prioeitário")</f>
        <v>Pendente</v>
      </c>
      <c r="H1603" s="89">
        <f>YEAR(Tabela1[[#This Row],[Data de Validade]])</f>
        <v>2027</v>
      </c>
      <c r="I1603" s="89">
        <f>MONTH(Tabela1[[#This Row],[Data de Validade]])</f>
        <v>1</v>
      </c>
      <c r="J1603" s="101">
        <v>37589</v>
      </c>
      <c r="K1603" s="87" t="s">
        <v>9</v>
      </c>
      <c r="L1603" s="108"/>
      <c r="M1603" s="108"/>
      <c r="N1603" s="108" t="str">
        <v>P636P378</v>
      </c>
      <c r="O1603" s="108">
        <f t="shared" ref="O1603:O1666" si="27">COUNTIFS(B:B,N1603)</f>
        <v>1</v>
      </c>
      <c r="P1603" s="108"/>
      <c r="Q1603"/>
    </row>
    <row r="1604" spans="1:17" x14ac:dyDescent="0.25">
      <c r="A1604" s="89" t="s">
        <v>6194</v>
      </c>
      <c r="B1604" s="87" t="s">
        <v>6195</v>
      </c>
      <c r="C1604" s="87" t="s">
        <v>12</v>
      </c>
      <c r="D1604" s="87" t="str">
        <f>VLOOKUP(Tabela1[[#This Row],[Origem]], 'Perguntas 1 a 24'!$J$28:$K$34, 2, 0)</f>
        <v>Sudeste</v>
      </c>
      <c r="E1604" s="87" t="str">
        <f>Tabela1[[#This Row],[Descrição]]&amp;"-"&amp;Tabela1[[#This Row],[Código]]&amp;"/"&amp;Tabela1[[#This Row],[Origem]]</f>
        <v>Vatuce-H494H796/RJ</v>
      </c>
      <c r="F1604" s="88">
        <v>46409</v>
      </c>
      <c r="G1604" s="88" t="str" cm="1">
        <f t="array" ref="G16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AND(F1604&gt;= DATE(2026,1,1), F1604&lt;= DATE(2028, 12, 31), J1604&gt;50000), "Pendente e Caro", AND(F1604&gt;= DATE(2026,1,1), F1604&lt;= DATE(2028, 12, 31), J1604&lt;=50000), "Pendente", F1604&gt;= DATE(2029,1,1), "Não prioeitário")</f>
        <v>Pendente</v>
      </c>
      <c r="H1604" s="89">
        <f>YEAR(Tabela1[[#This Row],[Data de Validade]])</f>
        <v>2027</v>
      </c>
      <c r="I1604" s="89">
        <f>MONTH(Tabela1[[#This Row],[Data de Validade]])</f>
        <v>1</v>
      </c>
      <c r="J1604" s="101">
        <v>49079</v>
      </c>
      <c r="K1604" s="87" t="s">
        <v>7</v>
      </c>
      <c r="L1604" s="108"/>
      <c r="M1604" s="108"/>
      <c r="N1604" s="108" t="str">
        <v>H494H796</v>
      </c>
      <c r="O1604" s="108">
        <f t="shared" si="27"/>
        <v>1</v>
      </c>
      <c r="P1604" s="108"/>
      <c r="Q1604"/>
    </row>
    <row r="1605" spans="1:17" x14ac:dyDescent="0.25">
      <c r="A1605" s="89" t="s">
        <v>10667</v>
      </c>
      <c r="B1605" s="87" t="s">
        <v>10668</v>
      </c>
      <c r="C1605" s="87" t="s">
        <v>12</v>
      </c>
      <c r="D1605" s="87" t="str">
        <f>VLOOKUP(Tabela1[[#This Row],[Origem]], 'Perguntas 1 a 24'!$J$28:$K$34, 2, 0)</f>
        <v>Sudeste</v>
      </c>
      <c r="E1605" s="87" t="str">
        <f>Tabela1[[#This Row],[Descrição]]&amp;"-"&amp;Tabela1[[#This Row],[Código]]&amp;"/"&amp;Tabela1[[#This Row],[Origem]]</f>
        <v>Pifuvi-P367H993/RJ</v>
      </c>
      <c r="F1605" s="88">
        <v>46409</v>
      </c>
      <c r="G1605" s="88" t="str" cm="1">
        <f t="array" ref="G16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AND(F1605&gt;= DATE(2026,1,1), F1605&lt;= DATE(2028, 12, 31), J1605&gt;50000), "Pendente e Caro", AND(F1605&gt;= DATE(2026,1,1), F1605&lt;= DATE(2028, 12, 31), J1605&lt;=50000), "Pendente", F1605&gt;= DATE(2029,1,1), "Não prioeitário")</f>
        <v>Pendente</v>
      </c>
      <c r="H1605" s="89">
        <f>YEAR(Tabela1[[#This Row],[Data de Validade]])</f>
        <v>2027</v>
      </c>
      <c r="I1605" s="89">
        <f>MONTH(Tabela1[[#This Row],[Data de Validade]])</f>
        <v>1</v>
      </c>
      <c r="J1605" s="101">
        <v>29454</v>
      </c>
      <c r="K1605" s="87" t="s">
        <v>7</v>
      </c>
      <c r="L1605" s="108"/>
      <c r="M1605" s="108"/>
      <c r="N1605" s="108" t="str">
        <v>P367H993</v>
      </c>
      <c r="O1605" s="108">
        <f t="shared" si="27"/>
        <v>1</v>
      </c>
      <c r="P1605" s="108"/>
      <c r="Q1605"/>
    </row>
    <row r="1606" spans="1:17" x14ac:dyDescent="0.25">
      <c r="A1606" s="89" t="s">
        <v>4026</v>
      </c>
      <c r="B1606" s="87" t="s">
        <v>4027</v>
      </c>
      <c r="C1606" s="87" t="s">
        <v>15</v>
      </c>
      <c r="D1606" s="87" t="str">
        <f>VLOOKUP(Tabela1[[#This Row],[Origem]], 'Perguntas 1 a 24'!$J$28:$K$34, 2, 0)</f>
        <v>Sudeste</v>
      </c>
      <c r="E1606" s="87" t="str">
        <f>Tabela1[[#This Row],[Descrição]]&amp;"-"&amp;Tabela1[[#This Row],[Código]]&amp;"/"&amp;Tabela1[[#This Row],[Origem]]</f>
        <v>Depagimera-P571H459/ES</v>
      </c>
      <c r="F1606" s="88">
        <v>46410</v>
      </c>
      <c r="G1606" s="88" t="str" cm="1">
        <f t="array" ref="G16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AND(F1606&gt;= DATE(2026,1,1), F1606&lt;= DATE(2028, 12, 31), J1606&gt;50000), "Pendente e Caro", AND(F1606&gt;= DATE(2026,1,1), F1606&lt;= DATE(2028, 12, 31), J1606&lt;=50000), "Pendente", F1606&gt;= DATE(2029,1,1), "Não prioeitário")</f>
        <v>Pendente</v>
      </c>
      <c r="H1606" s="89">
        <f>YEAR(Tabela1[[#This Row],[Data de Validade]])</f>
        <v>2027</v>
      </c>
      <c r="I1606" s="89">
        <f>MONTH(Tabela1[[#This Row],[Data de Validade]])</f>
        <v>1</v>
      </c>
      <c r="J1606" s="101">
        <v>22330</v>
      </c>
      <c r="K1606" s="87" t="s">
        <v>9</v>
      </c>
      <c r="L1606" s="108"/>
      <c r="M1606" s="108"/>
      <c r="N1606" s="108" t="str">
        <v>P571H459</v>
      </c>
      <c r="O1606" s="108">
        <f t="shared" si="27"/>
        <v>1</v>
      </c>
      <c r="P1606" s="108"/>
      <c r="Q1606"/>
    </row>
    <row r="1607" spans="1:17" x14ac:dyDescent="0.25">
      <c r="A1607" s="89" t="s">
        <v>4680</v>
      </c>
      <c r="B1607" s="87" t="s">
        <v>4681</v>
      </c>
      <c r="C1607" s="87" t="s">
        <v>16</v>
      </c>
      <c r="D1607" s="87" t="str">
        <f>VLOOKUP(Tabela1[[#This Row],[Origem]], 'Perguntas 1 a 24'!$J$28:$K$34, 2, 0)</f>
        <v>Sudeste</v>
      </c>
      <c r="E1607" s="87" t="str">
        <f>Tabela1[[#This Row],[Descrição]]&amp;"-"&amp;Tabela1[[#This Row],[Código]]&amp;"/"&amp;Tabela1[[#This Row],[Origem]]</f>
        <v>Moculo-H443H437/MG</v>
      </c>
      <c r="F1607" s="88">
        <v>46411</v>
      </c>
      <c r="G1607" s="88" t="str" cm="1">
        <f t="array" ref="G16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AND(F1607&gt;= DATE(2026,1,1), F1607&lt;= DATE(2028, 12, 31), J1607&gt;50000), "Pendente e Caro", AND(F1607&gt;= DATE(2026,1,1), F1607&lt;= DATE(2028, 12, 31), J1607&lt;=50000), "Pendente", F1607&gt;= DATE(2029,1,1), "Não prioeitário")</f>
        <v>Pendente e Caro</v>
      </c>
      <c r="H1607" s="89">
        <f>YEAR(Tabela1[[#This Row],[Data de Validade]])</f>
        <v>2027</v>
      </c>
      <c r="I1607" s="89">
        <f>MONTH(Tabela1[[#This Row],[Data de Validade]])</f>
        <v>1</v>
      </c>
      <c r="J1607" s="101">
        <v>113555</v>
      </c>
      <c r="K1607" s="87" t="s">
        <v>9</v>
      </c>
      <c r="L1607" s="108"/>
      <c r="M1607" s="108"/>
      <c r="N1607" s="108" t="str">
        <v>H443H437</v>
      </c>
      <c r="O1607" s="108">
        <f t="shared" si="27"/>
        <v>1</v>
      </c>
      <c r="P1607" s="108"/>
      <c r="Q1607"/>
    </row>
    <row r="1608" spans="1:17" x14ac:dyDescent="0.25">
      <c r="A1608" s="89" t="s">
        <v>9113</v>
      </c>
      <c r="B1608" s="87" t="s">
        <v>9114</v>
      </c>
      <c r="C1608" s="87" t="s">
        <v>16</v>
      </c>
      <c r="D1608" s="87" t="str">
        <f>VLOOKUP(Tabela1[[#This Row],[Origem]], 'Perguntas 1 a 24'!$J$28:$K$34, 2, 0)</f>
        <v>Sudeste</v>
      </c>
      <c r="E1608" s="87" t="str">
        <f>Tabela1[[#This Row],[Descrição]]&amp;"-"&amp;Tabela1[[#This Row],[Código]]&amp;"/"&amp;Tabela1[[#This Row],[Origem]]</f>
        <v>Pidolufupa-H226H139/MG</v>
      </c>
      <c r="F1608" s="88">
        <v>46411</v>
      </c>
      <c r="G1608" s="88" t="str" cm="1">
        <f t="array" ref="G16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AND(F1608&gt;= DATE(2026,1,1), F1608&lt;= DATE(2028, 12, 31), J1608&gt;50000), "Pendente e Caro", AND(F1608&gt;= DATE(2026,1,1), F1608&lt;= DATE(2028, 12, 31), J1608&lt;=50000), "Pendente", F1608&gt;= DATE(2029,1,1), "Não prioeitário")</f>
        <v>Pendente e Caro</v>
      </c>
      <c r="H1608" s="89">
        <f>YEAR(Tabela1[[#This Row],[Data de Validade]])</f>
        <v>2027</v>
      </c>
      <c r="I1608" s="89">
        <f>MONTH(Tabela1[[#This Row],[Data de Validade]])</f>
        <v>1</v>
      </c>
      <c r="J1608" s="101">
        <v>58763</v>
      </c>
      <c r="K1608" s="87" t="s">
        <v>7</v>
      </c>
      <c r="L1608" s="108"/>
      <c r="M1608" s="108"/>
      <c r="N1608" s="108" t="str">
        <v>H226H139</v>
      </c>
      <c r="O1608" s="108">
        <f t="shared" si="27"/>
        <v>1</v>
      </c>
      <c r="P1608" s="108"/>
      <c r="Q1608"/>
    </row>
    <row r="1609" spans="1:17" x14ac:dyDescent="0.25">
      <c r="A1609" s="89" t="s">
        <v>9421</v>
      </c>
      <c r="B1609" s="87" t="s">
        <v>9422</v>
      </c>
      <c r="C1609" s="87" t="s">
        <v>15</v>
      </c>
      <c r="D1609" s="87" t="str">
        <f>VLOOKUP(Tabela1[[#This Row],[Origem]], 'Perguntas 1 a 24'!$J$28:$K$34, 2, 0)</f>
        <v>Sudeste</v>
      </c>
      <c r="E1609" s="87" t="str">
        <f>Tabela1[[#This Row],[Descrição]]&amp;"-"&amp;Tabela1[[#This Row],[Código]]&amp;"/"&amp;Tabela1[[#This Row],[Origem]]</f>
        <v>Rirurinu-H473H619/ES</v>
      </c>
      <c r="F1609" s="88">
        <v>46411</v>
      </c>
      <c r="G1609" s="88" t="str" cm="1">
        <f t="array" ref="G16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AND(F1609&gt;= DATE(2026,1,1), F1609&lt;= DATE(2028, 12, 31), J1609&gt;50000), "Pendente e Caro", AND(F1609&gt;= DATE(2026,1,1), F1609&lt;= DATE(2028, 12, 31), J1609&lt;=50000), "Pendente", F1609&gt;= DATE(2029,1,1), "Não prioeitário")</f>
        <v>Pendente e Caro</v>
      </c>
      <c r="H1609" s="89">
        <f>YEAR(Tabela1[[#This Row],[Data de Validade]])</f>
        <v>2027</v>
      </c>
      <c r="I1609" s="89">
        <f>MONTH(Tabela1[[#This Row],[Data de Validade]])</f>
        <v>1</v>
      </c>
      <c r="J1609" s="101">
        <v>53030</v>
      </c>
      <c r="K1609" s="87" t="s">
        <v>14</v>
      </c>
      <c r="L1609" s="108"/>
      <c r="M1609" s="108"/>
      <c r="N1609" s="108" t="str">
        <v>H473H619</v>
      </c>
      <c r="O1609" s="108">
        <f t="shared" si="27"/>
        <v>1</v>
      </c>
      <c r="P1609" s="108"/>
      <c r="Q1609"/>
    </row>
    <row r="1610" spans="1:17" x14ac:dyDescent="0.25">
      <c r="A1610" s="89" t="s">
        <v>7272</v>
      </c>
      <c r="B1610" s="87" t="s">
        <v>7273</v>
      </c>
      <c r="C1610" s="87" t="s">
        <v>15</v>
      </c>
      <c r="D1610" s="87" t="str">
        <f>VLOOKUP(Tabela1[[#This Row],[Origem]], 'Perguntas 1 a 24'!$J$28:$K$34, 2, 0)</f>
        <v>Sudeste</v>
      </c>
      <c r="E1610" s="87" t="str">
        <f>Tabela1[[#This Row],[Descrição]]&amp;"-"&amp;Tabela1[[#This Row],[Código]]&amp;"/"&amp;Tabela1[[#This Row],[Origem]]</f>
        <v>Tupucona-H891H786/ES</v>
      </c>
      <c r="F1610" s="88">
        <v>46412</v>
      </c>
      <c r="G1610" s="88" t="str" cm="1">
        <f t="array" ref="G16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AND(F1610&gt;= DATE(2026,1,1), F1610&lt;= DATE(2028, 12, 31), J1610&gt;50000), "Pendente e Caro", AND(F1610&gt;= DATE(2026,1,1), F1610&lt;= DATE(2028, 12, 31), J1610&lt;=50000), "Pendente", F1610&gt;= DATE(2029,1,1), "Não prioeitário")</f>
        <v>Pendente</v>
      </c>
      <c r="H1610" s="89">
        <f>YEAR(Tabela1[[#This Row],[Data de Validade]])</f>
        <v>2027</v>
      </c>
      <c r="I1610" s="89">
        <f>MONTH(Tabela1[[#This Row],[Data de Validade]])</f>
        <v>1</v>
      </c>
      <c r="J1610" s="101">
        <v>30412</v>
      </c>
      <c r="K1610" s="87" t="s">
        <v>11</v>
      </c>
      <c r="L1610" s="108"/>
      <c r="M1610" s="108"/>
      <c r="N1610" s="108" t="str">
        <v>H891H786</v>
      </c>
      <c r="O1610" s="108">
        <f t="shared" si="27"/>
        <v>1</v>
      </c>
      <c r="P1610" s="108"/>
      <c r="Q1610"/>
    </row>
    <row r="1611" spans="1:17" x14ac:dyDescent="0.25">
      <c r="A1611" s="89" t="s">
        <v>4588</v>
      </c>
      <c r="B1611" s="87" t="s">
        <v>4589</v>
      </c>
      <c r="C1611" s="87" t="s">
        <v>16</v>
      </c>
      <c r="D1611" s="87" t="str">
        <f>VLOOKUP(Tabela1[[#This Row],[Origem]], 'Perguntas 1 a 24'!$J$28:$K$34, 2, 0)</f>
        <v>Sudeste</v>
      </c>
      <c r="E1611" s="87" t="str">
        <f>Tabela1[[#This Row],[Descrição]]&amp;"-"&amp;Tabela1[[#This Row],[Código]]&amp;"/"&amp;Tabela1[[#This Row],[Origem]]</f>
        <v>Fadutepe-P613H581/MG</v>
      </c>
      <c r="F1611" s="88">
        <v>46413</v>
      </c>
      <c r="G1611" s="88" t="str" cm="1">
        <f t="array" ref="G16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AND(F1611&gt;= DATE(2026,1,1), F1611&lt;= DATE(2028, 12, 31), J1611&gt;50000), "Pendente e Caro", AND(F1611&gt;= DATE(2026,1,1), F1611&lt;= DATE(2028, 12, 31), J1611&lt;=50000), "Pendente", F1611&gt;= DATE(2029,1,1), "Não prioeitário")</f>
        <v>Pendente e Caro</v>
      </c>
      <c r="H1611" s="89">
        <f>YEAR(Tabela1[[#This Row],[Data de Validade]])</f>
        <v>2027</v>
      </c>
      <c r="I1611" s="89">
        <f>MONTH(Tabela1[[#This Row],[Data de Validade]])</f>
        <v>1</v>
      </c>
      <c r="J1611" s="101">
        <v>113412</v>
      </c>
      <c r="K1611" s="87" t="s">
        <v>11</v>
      </c>
      <c r="L1611" s="108"/>
      <c r="M1611" s="108"/>
      <c r="N1611" s="108" t="str">
        <v>P613H581</v>
      </c>
      <c r="O1611" s="108">
        <f t="shared" si="27"/>
        <v>1</v>
      </c>
      <c r="P1611" s="108"/>
      <c r="Q1611"/>
    </row>
    <row r="1612" spans="1:17" x14ac:dyDescent="0.25">
      <c r="A1612" s="89" t="s">
        <v>6494</v>
      </c>
      <c r="B1612" s="87" t="s">
        <v>6495</v>
      </c>
      <c r="C1612" s="87" t="s">
        <v>6</v>
      </c>
      <c r="D1612" s="87" t="str">
        <f>VLOOKUP(Tabela1[[#This Row],[Origem]], 'Perguntas 1 a 24'!$J$28:$K$34, 2, 0)</f>
        <v>Nordeste</v>
      </c>
      <c r="E1612" s="87" t="str">
        <f>Tabela1[[#This Row],[Descrição]]&amp;"-"&amp;Tabela1[[#This Row],[Código]]&amp;"/"&amp;Tabela1[[#This Row],[Origem]]</f>
        <v>Micitogufa-H212H255/MA</v>
      </c>
      <c r="F1612" s="88">
        <v>46414</v>
      </c>
      <c r="G1612" s="88" t="str" cm="1">
        <f t="array" ref="G16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AND(F1612&gt;= DATE(2026,1,1), F1612&lt;= DATE(2028, 12, 31), J1612&gt;50000), "Pendente e Caro", AND(F1612&gt;= DATE(2026,1,1), F1612&lt;= DATE(2028, 12, 31), J1612&lt;=50000), "Pendente", F1612&gt;= DATE(2029,1,1), "Não prioeitário")</f>
        <v>Pendente e Caro</v>
      </c>
      <c r="H1612" s="89">
        <f>YEAR(Tabela1[[#This Row],[Data de Validade]])</f>
        <v>2027</v>
      </c>
      <c r="I1612" s="89">
        <f>MONTH(Tabela1[[#This Row],[Data de Validade]])</f>
        <v>1</v>
      </c>
      <c r="J1612" s="101">
        <v>100161</v>
      </c>
      <c r="K1612" s="87" t="s">
        <v>9</v>
      </c>
      <c r="L1612" s="108"/>
      <c r="M1612" s="108"/>
      <c r="N1612" s="108" t="str">
        <v>H212H255</v>
      </c>
      <c r="O1612" s="108">
        <f t="shared" si="27"/>
        <v>1</v>
      </c>
      <c r="P1612" s="108"/>
      <c r="Q1612"/>
    </row>
    <row r="1613" spans="1:17" x14ac:dyDescent="0.25">
      <c r="A1613" s="89" t="s">
        <v>5044</v>
      </c>
      <c r="B1613" s="87" t="s">
        <v>5045</v>
      </c>
      <c r="C1613" s="87" t="s">
        <v>10</v>
      </c>
      <c r="D1613" s="87" t="str">
        <f>VLOOKUP(Tabela1[[#This Row],[Origem]], 'Perguntas 1 a 24'!$J$28:$K$34, 2, 0)</f>
        <v>Centro-Oeste</v>
      </c>
      <c r="E1613" s="87" t="str">
        <f>Tabela1[[#This Row],[Descrição]]&amp;"-"&amp;Tabela1[[#This Row],[Código]]&amp;"/"&amp;Tabela1[[#This Row],[Origem]]</f>
        <v>Fopupugafe-P869H236/GO</v>
      </c>
      <c r="F1613" s="88">
        <v>46414</v>
      </c>
      <c r="G1613" s="88" t="str" cm="1">
        <f t="array" ref="G16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AND(F1613&gt;= DATE(2026,1,1), F1613&lt;= DATE(2028, 12, 31), J1613&gt;50000), "Pendente e Caro", AND(F1613&gt;= DATE(2026,1,1), F1613&lt;= DATE(2028, 12, 31), J1613&lt;=50000), "Pendente", F1613&gt;= DATE(2029,1,1), "Não prioeitário")</f>
        <v>Pendente e Caro</v>
      </c>
      <c r="H1613" s="89">
        <f>YEAR(Tabela1[[#This Row],[Data de Validade]])</f>
        <v>2027</v>
      </c>
      <c r="I1613" s="89">
        <f>MONTH(Tabela1[[#This Row],[Data de Validade]])</f>
        <v>1</v>
      </c>
      <c r="J1613" s="101">
        <v>92258</v>
      </c>
      <c r="K1613" s="87" t="s">
        <v>11</v>
      </c>
      <c r="L1613" s="108"/>
      <c r="M1613" s="108"/>
      <c r="N1613" s="108" t="str">
        <v>P869H236</v>
      </c>
      <c r="O1613" s="108">
        <f t="shared" si="27"/>
        <v>1</v>
      </c>
      <c r="P1613" s="108"/>
      <c r="Q1613"/>
    </row>
    <row r="1614" spans="1:17" x14ac:dyDescent="0.25">
      <c r="A1614" s="89" t="s">
        <v>6872</v>
      </c>
      <c r="B1614" s="87" t="s">
        <v>6873</v>
      </c>
      <c r="C1614" s="87" t="s">
        <v>8</v>
      </c>
      <c r="D1614" s="87" t="str">
        <f>VLOOKUP(Tabela1[[#This Row],[Origem]], 'Perguntas 1 a 24'!$J$28:$K$34, 2, 0)</f>
        <v>Nordeste</v>
      </c>
      <c r="E1614" s="87" t="str">
        <f>Tabela1[[#This Row],[Descrição]]&amp;"-"&amp;Tabela1[[#This Row],[Código]]&amp;"/"&amp;Tabela1[[#This Row],[Origem]]</f>
        <v>Tocoti-H775P482/AL</v>
      </c>
      <c r="F1614" s="88">
        <v>46414</v>
      </c>
      <c r="G1614" s="88" t="str" cm="1">
        <f t="array" ref="G16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AND(F1614&gt;= DATE(2026,1,1), F1614&lt;= DATE(2028, 12, 31), J1614&gt;50000), "Pendente e Caro", AND(F1614&gt;= DATE(2026,1,1), F1614&lt;= DATE(2028, 12, 31), J1614&lt;=50000), "Pendente", F1614&gt;= DATE(2029,1,1), "Não prioeitário")</f>
        <v>Pendente</v>
      </c>
      <c r="H1614" s="89">
        <f>YEAR(Tabela1[[#This Row],[Data de Validade]])</f>
        <v>2027</v>
      </c>
      <c r="I1614" s="89">
        <f>MONTH(Tabela1[[#This Row],[Data de Validade]])</f>
        <v>1</v>
      </c>
      <c r="J1614" s="101">
        <v>48745</v>
      </c>
      <c r="K1614" s="87" t="s">
        <v>9</v>
      </c>
      <c r="L1614" s="108"/>
      <c r="M1614" s="108"/>
      <c r="N1614" s="108" t="str">
        <v>H775P482</v>
      </c>
      <c r="O1614" s="108">
        <f t="shared" si="27"/>
        <v>1</v>
      </c>
      <c r="P1614" s="108"/>
      <c r="Q1614"/>
    </row>
    <row r="1615" spans="1:17" x14ac:dyDescent="0.25">
      <c r="A1615" s="89" t="s">
        <v>4128</v>
      </c>
      <c r="B1615" s="87" t="s">
        <v>4129</v>
      </c>
      <c r="C1615" s="87" t="s">
        <v>12</v>
      </c>
      <c r="D1615" s="87" t="str">
        <f>VLOOKUP(Tabela1[[#This Row],[Origem]], 'Perguntas 1 a 24'!$J$28:$K$34, 2, 0)</f>
        <v>Sudeste</v>
      </c>
      <c r="E1615" s="87" t="str">
        <f>Tabela1[[#This Row],[Descrição]]&amp;"-"&amp;Tabela1[[#This Row],[Código]]&amp;"/"&amp;Tabela1[[#This Row],[Origem]]</f>
        <v>Pirumi-H878P976/RJ</v>
      </c>
      <c r="F1615" s="88">
        <v>46415</v>
      </c>
      <c r="G1615" s="88" t="str" cm="1">
        <f t="array" ref="G16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AND(F1615&gt;= DATE(2026,1,1), F1615&lt;= DATE(2028, 12, 31), J1615&gt;50000), "Pendente e Caro", AND(F1615&gt;= DATE(2026,1,1), F1615&lt;= DATE(2028, 12, 31), J1615&lt;=50000), "Pendente", F1615&gt;= DATE(2029,1,1), "Não prioeitário")</f>
        <v>Pendente e Caro</v>
      </c>
      <c r="H1615" s="89">
        <f>YEAR(Tabela1[[#This Row],[Data de Validade]])</f>
        <v>2027</v>
      </c>
      <c r="I1615" s="89">
        <f>MONTH(Tabela1[[#This Row],[Data de Validade]])</f>
        <v>1</v>
      </c>
      <c r="J1615" s="101">
        <v>70059</v>
      </c>
      <c r="K1615" s="87" t="s">
        <v>11</v>
      </c>
      <c r="L1615" s="108"/>
      <c r="M1615" s="108"/>
      <c r="N1615" s="108" t="str">
        <v>H878P976</v>
      </c>
      <c r="O1615" s="108">
        <f t="shared" si="27"/>
        <v>1</v>
      </c>
      <c r="P1615" s="108"/>
      <c r="Q1615"/>
    </row>
    <row r="1616" spans="1:17" x14ac:dyDescent="0.25">
      <c r="A1616" s="89" t="s">
        <v>3683</v>
      </c>
      <c r="B1616" s="87" t="s">
        <v>3684</v>
      </c>
      <c r="C1616" s="87" t="s">
        <v>8</v>
      </c>
      <c r="D1616" s="87" t="str">
        <f>VLOOKUP(Tabela1[[#This Row],[Origem]], 'Perguntas 1 a 24'!$J$28:$K$34, 2, 0)</f>
        <v>Nordeste</v>
      </c>
      <c r="E1616" s="87" t="str">
        <f>Tabela1[[#This Row],[Descrição]]&amp;"-"&amp;Tabela1[[#This Row],[Código]]&amp;"/"&amp;Tabela1[[#This Row],[Origem]]</f>
        <v>Patefore-H535H254/AL</v>
      </c>
      <c r="F1616" s="88">
        <v>46415</v>
      </c>
      <c r="G1616" s="88" t="str" cm="1">
        <f t="array" ref="G16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AND(F1616&gt;= DATE(2026,1,1), F1616&lt;= DATE(2028, 12, 31), J1616&gt;50000), "Pendente e Caro", AND(F1616&gt;= DATE(2026,1,1), F1616&lt;= DATE(2028, 12, 31), J1616&lt;=50000), "Pendente", F1616&gt;= DATE(2029,1,1), "Não prioeitário")</f>
        <v>Pendente e Caro</v>
      </c>
      <c r="H1616" s="89">
        <f>YEAR(Tabela1[[#This Row],[Data de Validade]])</f>
        <v>2027</v>
      </c>
      <c r="I1616" s="89">
        <f>MONTH(Tabela1[[#This Row],[Data de Validade]])</f>
        <v>1</v>
      </c>
      <c r="J1616" s="101">
        <v>69179</v>
      </c>
      <c r="K1616" s="87" t="s">
        <v>7</v>
      </c>
      <c r="L1616" s="108"/>
      <c r="M1616" s="108"/>
      <c r="N1616" s="108" t="str">
        <v>H535H254</v>
      </c>
      <c r="O1616" s="108">
        <f t="shared" si="27"/>
        <v>1</v>
      </c>
      <c r="P1616" s="108"/>
      <c r="Q1616"/>
    </row>
    <row r="1617" spans="1:17" x14ac:dyDescent="0.25">
      <c r="A1617" s="89" t="s">
        <v>7480</v>
      </c>
      <c r="B1617" s="87" t="s">
        <v>7481</v>
      </c>
      <c r="C1617" s="87" t="s">
        <v>8</v>
      </c>
      <c r="D1617" s="87" t="str">
        <f>VLOOKUP(Tabela1[[#This Row],[Origem]], 'Perguntas 1 a 24'!$J$28:$K$34, 2, 0)</f>
        <v>Nordeste</v>
      </c>
      <c r="E1617" s="87" t="str">
        <f>Tabela1[[#This Row],[Descrição]]&amp;"-"&amp;Tabela1[[#This Row],[Código]]&amp;"/"&amp;Tabela1[[#This Row],[Origem]]</f>
        <v>Tutuditoli-H756P163/AL</v>
      </c>
      <c r="F1617" s="88">
        <v>46416</v>
      </c>
      <c r="G1617" s="88" t="str" cm="1">
        <f t="array" ref="G16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AND(F1617&gt;= DATE(2026,1,1), F1617&lt;= DATE(2028, 12, 31), J1617&gt;50000), "Pendente e Caro", AND(F1617&gt;= DATE(2026,1,1), F1617&lt;= DATE(2028, 12, 31), J1617&lt;=50000), "Pendente", F1617&gt;= DATE(2029,1,1), "Não prioeitário")</f>
        <v>Pendente e Caro</v>
      </c>
      <c r="H1617" s="89">
        <f>YEAR(Tabela1[[#This Row],[Data de Validade]])</f>
        <v>2027</v>
      </c>
      <c r="I1617" s="89">
        <f>MONTH(Tabela1[[#This Row],[Data de Validade]])</f>
        <v>1</v>
      </c>
      <c r="J1617" s="101">
        <v>53823</v>
      </c>
      <c r="K1617" s="87" t="s">
        <v>14</v>
      </c>
      <c r="L1617" s="108"/>
      <c r="M1617" s="108"/>
      <c r="N1617" s="108" t="str">
        <v>H756P163</v>
      </c>
      <c r="O1617" s="108">
        <f t="shared" si="27"/>
        <v>1</v>
      </c>
      <c r="P1617" s="108"/>
      <c r="Q1617"/>
    </row>
    <row r="1618" spans="1:17" x14ac:dyDescent="0.25">
      <c r="A1618" s="89" t="s">
        <v>7690</v>
      </c>
      <c r="B1618" s="87" t="s">
        <v>7691</v>
      </c>
      <c r="C1618" s="87" t="s">
        <v>15</v>
      </c>
      <c r="D1618" s="87" t="str">
        <f>VLOOKUP(Tabela1[[#This Row],[Origem]], 'Perguntas 1 a 24'!$J$28:$K$34, 2, 0)</f>
        <v>Sudeste</v>
      </c>
      <c r="E1618" s="87" t="str">
        <f>Tabela1[[#This Row],[Descrição]]&amp;"-"&amp;Tabela1[[#This Row],[Código]]&amp;"/"&amp;Tabela1[[#This Row],[Origem]]</f>
        <v>Pumoto-P826P232/ES</v>
      </c>
      <c r="F1618" s="88">
        <v>46417</v>
      </c>
      <c r="G1618" s="88" t="str" cm="1">
        <f t="array" ref="G16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AND(F1618&gt;= DATE(2026,1,1), F1618&lt;= DATE(2028, 12, 31), J1618&gt;50000), "Pendente e Caro", AND(F1618&gt;= DATE(2026,1,1), F1618&lt;= DATE(2028, 12, 31), J1618&lt;=50000), "Pendente", F1618&gt;= DATE(2029,1,1), "Não prioeitário")</f>
        <v>Pendente e Caro</v>
      </c>
      <c r="H1618" s="89">
        <f>YEAR(Tabela1[[#This Row],[Data de Validade]])</f>
        <v>2027</v>
      </c>
      <c r="I1618" s="89">
        <f>MONTH(Tabela1[[#This Row],[Data de Validade]])</f>
        <v>1</v>
      </c>
      <c r="J1618" s="101">
        <v>110408</v>
      </c>
      <c r="K1618" s="87" t="s">
        <v>14</v>
      </c>
      <c r="L1618" s="108"/>
      <c r="M1618" s="108"/>
      <c r="N1618" s="108" t="str">
        <v>P826P232</v>
      </c>
      <c r="O1618" s="108">
        <f t="shared" si="27"/>
        <v>1</v>
      </c>
      <c r="P1618" s="108"/>
      <c r="Q1618"/>
    </row>
    <row r="1619" spans="1:17" x14ac:dyDescent="0.25">
      <c r="A1619" s="89" t="s">
        <v>9315</v>
      </c>
      <c r="B1619" s="87" t="s">
        <v>9316</v>
      </c>
      <c r="C1619" s="87" t="s">
        <v>13</v>
      </c>
      <c r="D1619" s="87" t="str">
        <f>VLOOKUP(Tabela1[[#This Row],[Origem]], 'Perguntas 1 a 24'!$J$28:$K$34, 2, 0)</f>
        <v>Sudeste</v>
      </c>
      <c r="E1619" s="87" t="str">
        <f>Tabela1[[#This Row],[Descrição]]&amp;"-"&amp;Tabela1[[#This Row],[Código]]&amp;"/"&amp;Tabela1[[#This Row],[Origem]]</f>
        <v>Varuturove-P941H326/SP</v>
      </c>
      <c r="F1619" s="88">
        <v>46417</v>
      </c>
      <c r="G1619" s="88" t="str" cm="1">
        <f t="array" ref="G16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AND(F1619&gt;= DATE(2026,1,1), F1619&lt;= DATE(2028, 12, 31), J1619&gt;50000), "Pendente e Caro", AND(F1619&gt;= DATE(2026,1,1), F1619&lt;= DATE(2028, 12, 31), J1619&lt;=50000), "Pendente", F1619&gt;= DATE(2029,1,1), "Não prioeitário")</f>
        <v>Pendente e Caro</v>
      </c>
      <c r="H1619" s="89">
        <f>YEAR(Tabela1[[#This Row],[Data de Validade]])</f>
        <v>2027</v>
      </c>
      <c r="I1619" s="89">
        <f>MONTH(Tabela1[[#This Row],[Data de Validade]])</f>
        <v>1</v>
      </c>
      <c r="J1619" s="101">
        <v>80734</v>
      </c>
      <c r="K1619" s="87" t="s">
        <v>9</v>
      </c>
      <c r="L1619" s="108"/>
      <c r="M1619" s="108"/>
      <c r="N1619" s="108" t="str">
        <v>P941H326</v>
      </c>
      <c r="O1619" s="108">
        <f t="shared" si="27"/>
        <v>1</v>
      </c>
      <c r="P1619" s="108"/>
      <c r="Q1619"/>
    </row>
    <row r="1620" spans="1:17" x14ac:dyDescent="0.25">
      <c r="A1620" s="89" t="s">
        <v>3663</v>
      </c>
      <c r="B1620" s="87" t="s">
        <v>3701</v>
      </c>
      <c r="C1620" s="87" t="s">
        <v>12</v>
      </c>
      <c r="D1620" s="87" t="str">
        <f>VLOOKUP(Tabela1[[#This Row],[Origem]], 'Perguntas 1 a 24'!$J$28:$K$34, 2, 0)</f>
        <v>Sudeste</v>
      </c>
      <c r="E1620" s="87" t="str">
        <f>Tabela1[[#This Row],[Descrição]]&amp;"-"&amp;Tabela1[[#This Row],[Código]]&amp;"/"&amp;Tabela1[[#This Row],[Origem]]</f>
        <v>Nocogifo-P953P965/RJ</v>
      </c>
      <c r="F1620" s="88">
        <v>46418</v>
      </c>
      <c r="G1620" s="88" t="str" cm="1">
        <f t="array" ref="G16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AND(F1620&gt;= DATE(2026,1,1), F1620&lt;= DATE(2028, 12, 31), J1620&gt;50000), "Pendente e Caro", AND(F1620&gt;= DATE(2026,1,1), F1620&lt;= DATE(2028, 12, 31), J1620&lt;=50000), "Pendente", F1620&gt;= DATE(2029,1,1), "Não prioeitário")</f>
        <v>Pendente</v>
      </c>
      <c r="H1620" s="89">
        <f>YEAR(Tabela1[[#This Row],[Data de Validade]])</f>
        <v>2027</v>
      </c>
      <c r="I1620" s="89">
        <f>MONTH(Tabela1[[#This Row],[Data de Validade]])</f>
        <v>1</v>
      </c>
      <c r="J1620" s="101">
        <v>24900</v>
      </c>
      <c r="K1620" s="87" t="s">
        <v>14</v>
      </c>
      <c r="L1620" s="108"/>
      <c r="M1620" s="108"/>
      <c r="N1620" s="108" t="str">
        <v>P953P965</v>
      </c>
      <c r="O1620" s="108">
        <f t="shared" si="27"/>
        <v>1</v>
      </c>
      <c r="P1620" s="108"/>
      <c r="Q1620"/>
    </row>
    <row r="1621" spans="1:17" x14ac:dyDescent="0.25">
      <c r="A1621" s="89" t="s">
        <v>8388</v>
      </c>
      <c r="B1621" s="87" t="s">
        <v>8389</v>
      </c>
      <c r="C1621" s="87" t="s">
        <v>12</v>
      </c>
      <c r="D1621" s="87" t="str">
        <f>VLOOKUP(Tabela1[[#This Row],[Origem]], 'Perguntas 1 a 24'!$J$28:$K$34, 2, 0)</f>
        <v>Sudeste</v>
      </c>
      <c r="E1621" s="87" t="str">
        <f>Tabela1[[#This Row],[Descrição]]&amp;"-"&amp;Tabela1[[#This Row],[Código]]&amp;"/"&amp;Tabela1[[#This Row],[Origem]]</f>
        <v>Teparavuti-H979H177/RJ</v>
      </c>
      <c r="F1621" s="88">
        <v>46419</v>
      </c>
      <c r="G1621" s="88" t="str" cm="1">
        <f t="array" ref="G16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AND(F1621&gt;= DATE(2026,1,1), F1621&lt;= DATE(2028, 12, 31), J1621&gt;50000), "Pendente e Caro", AND(F1621&gt;= DATE(2026,1,1), F1621&lt;= DATE(2028, 12, 31), J1621&lt;=50000), "Pendente", F1621&gt;= DATE(2029,1,1), "Não prioeitário")</f>
        <v>Pendente e Caro</v>
      </c>
      <c r="H1621" s="89">
        <f>YEAR(Tabela1[[#This Row],[Data de Validade]])</f>
        <v>2027</v>
      </c>
      <c r="I1621" s="89">
        <f>MONTH(Tabela1[[#This Row],[Data de Validade]])</f>
        <v>2</v>
      </c>
      <c r="J1621" s="101">
        <v>100077</v>
      </c>
      <c r="K1621" s="87" t="s">
        <v>7</v>
      </c>
      <c r="L1621" s="108"/>
      <c r="M1621" s="108"/>
      <c r="N1621" s="108" t="str">
        <v>H979H177</v>
      </c>
      <c r="O1621" s="108">
        <f t="shared" si="27"/>
        <v>1</v>
      </c>
      <c r="P1621" s="108"/>
      <c r="Q1621"/>
    </row>
    <row r="1622" spans="1:17" x14ac:dyDescent="0.25">
      <c r="A1622" s="89" t="s">
        <v>9185</v>
      </c>
      <c r="B1622" s="87" t="s">
        <v>9186</v>
      </c>
      <c r="C1622" s="87" t="s">
        <v>16</v>
      </c>
      <c r="D1622" s="87" t="str">
        <f>VLOOKUP(Tabela1[[#This Row],[Origem]], 'Perguntas 1 a 24'!$J$28:$K$34, 2, 0)</f>
        <v>Sudeste</v>
      </c>
      <c r="E1622" s="87" t="str">
        <f>Tabela1[[#This Row],[Descrição]]&amp;"-"&amp;Tabela1[[#This Row],[Código]]&amp;"/"&amp;Tabela1[[#This Row],[Origem]]</f>
        <v>Patanipifo-H467P555/MG</v>
      </c>
      <c r="F1622" s="88">
        <v>46420</v>
      </c>
      <c r="G1622" s="88" t="str" cm="1">
        <f t="array" ref="G16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AND(F1622&gt;= DATE(2026,1,1), F1622&lt;= DATE(2028, 12, 31), J1622&gt;50000), "Pendente e Caro", AND(F1622&gt;= DATE(2026,1,1), F1622&lt;= DATE(2028, 12, 31), J1622&lt;=50000), "Pendente", F1622&gt;= DATE(2029,1,1), "Não prioeitário")</f>
        <v>Pendente e Caro</v>
      </c>
      <c r="H1622" s="89">
        <f>YEAR(Tabela1[[#This Row],[Data de Validade]])</f>
        <v>2027</v>
      </c>
      <c r="I1622" s="89">
        <f>MONTH(Tabela1[[#This Row],[Data de Validade]])</f>
        <v>2</v>
      </c>
      <c r="J1622" s="101">
        <v>85511</v>
      </c>
      <c r="K1622" s="87" t="s">
        <v>14</v>
      </c>
      <c r="L1622" s="108"/>
      <c r="M1622" s="108"/>
      <c r="N1622" s="108" t="str">
        <v>H467P555</v>
      </c>
      <c r="O1622" s="108">
        <f t="shared" si="27"/>
        <v>1</v>
      </c>
      <c r="P1622" s="108"/>
      <c r="Q1622"/>
    </row>
    <row r="1623" spans="1:17" x14ac:dyDescent="0.25">
      <c r="A1623" s="89" t="s">
        <v>7436</v>
      </c>
      <c r="B1623" s="87" t="s">
        <v>7437</v>
      </c>
      <c r="C1623" s="87" t="s">
        <v>12</v>
      </c>
      <c r="D1623" s="87" t="str">
        <f>VLOOKUP(Tabela1[[#This Row],[Origem]], 'Perguntas 1 a 24'!$J$28:$K$34, 2, 0)</f>
        <v>Sudeste</v>
      </c>
      <c r="E1623" s="87" t="str">
        <f>Tabela1[[#This Row],[Descrição]]&amp;"-"&amp;Tabela1[[#This Row],[Código]]&amp;"/"&amp;Tabela1[[#This Row],[Origem]]</f>
        <v>Ratumova-P961H738/RJ</v>
      </c>
      <c r="F1623" s="88">
        <v>46421</v>
      </c>
      <c r="G1623" s="88" t="str" cm="1">
        <f t="array" ref="G16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AND(F1623&gt;= DATE(2026,1,1), F1623&lt;= DATE(2028, 12, 31), J1623&gt;50000), "Pendente e Caro", AND(F1623&gt;= DATE(2026,1,1), F1623&lt;= DATE(2028, 12, 31), J1623&lt;=50000), "Pendente", F1623&gt;= DATE(2029,1,1), "Não prioeitário")</f>
        <v>Pendente</v>
      </c>
      <c r="H1623" s="89">
        <f>YEAR(Tabela1[[#This Row],[Data de Validade]])</f>
        <v>2027</v>
      </c>
      <c r="I1623" s="89">
        <f>MONTH(Tabela1[[#This Row],[Data de Validade]])</f>
        <v>2</v>
      </c>
      <c r="J1623" s="101">
        <v>23465</v>
      </c>
      <c r="K1623" s="87" t="s">
        <v>14</v>
      </c>
      <c r="L1623" s="108"/>
      <c r="M1623" s="108"/>
      <c r="N1623" s="108" t="str">
        <v>P961H738</v>
      </c>
      <c r="O1623" s="108">
        <f t="shared" si="27"/>
        <v>1</v>
      </c>
      <c r="P1623" s="108"/>
      <c r="Q1623"/>
    </row>
    <row r="1624" spans="1:17" x14ac:dyDescent="0.25">
      <c r="A1624" s="89" t="s">
        <v>4170</v>
      </c>
      <c r="B1624" s="87" t="s">
        <v>4171</v>
      </c>
      <c r="C1624" s="87" t="s">
        <v>8</v>
      </c>
      <c r="D1624" s="87" t="str">
        <f>VLOOKUP(Tabela1[[#This Row],[Origem]], 'Perguntas 1 a 24'!$J$28:$K$34, 2, 0)</f>
        <v>Nordeste</v>
      </c>
      <c r="E1624" s="87" t="str">
        <f>Tabela1[[#This Row],[Descrição]]&amp;"-"&amp;Tabela1[[#This Row],[Código]]&amp;"/"&amp;Tabela1[[#This Row],[Origem]]</f>
        <v>Pecanemi-H259H941/AL</v>
      </c>
      <c r="F1624" s="88">
        <v>46422</v>
      </c>
      <c r="G1624" s="88" t="str" cm="1">
        <f t="array" ref="G16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AND(F1624&gt;= DATE(2026,1,1), F1624&lt;= DATE(2028, 12, 31), J1624&gt;50000), "Pendente e Caro", AND(F1624&gt;= DATE(2026,1,1), F1624&lt;= DATE(2028, 12, 31), J1624&lt;=50000), "Pendente", F1624&gt;= DATE(2029,1,1), "Não prioeitário")</f>
        <v>Pendente e Caro</v>
      </c>
      <c r="H1624" s="89">
        <f>YEAR(Tabela1[[#This Row],[Data de Validade]])</f>
        <v>2027</v>
      </c>
      <c r="I1624" s="89">
        <f>MONTH(Tabela1[[#This Row],[Data de Validade]])</f>
        <v>2</v>
      </c>
      <c r="J1624" s="101">
        <v>109392</v>
      </c>
      <c r="K1624" s="87" t="s">
        <v>9</v>
      </c>
      <c r="L1624" s="108"/>
      <c r="M1624" s="108"/>
      <c r="N1624" s="108" t="str">
        <v>H259H941</v>
      </c>
      <c r="O1624" s="108">
        <f t="shared" si="27"/>
        <v>1</v>
      </c>
      <c r="P1624" s="108"/>
      <c r="Q1624"/>
    </row>
    <row r="1625" spans="1:17" x14ac:dyDescent="0.25">
      <c r="A1625" s="89" t="s">
        <v>5204</v>
      </c>
      <c r="B1625" s="87" t="s">
        <v>5205</v>
      </c>
      <c r="C1625" s="87" t="s">
        <v>12</v>
      </c>
      <c r="D1625" s="87" t="str">
        <f>VLOOKUP(Tabela1[[#This Row],[Origem]], 'Perguntas 1 a 24'!$J$28:$K$34, 2, 0)</f>
        <v>Sudeste</v>
      </c>
      <c r="E1625" s="87" t="str">
        <f>Tabela1[[#This Row],[Descrição]]&amp;"-"&amp;Tabela1[[#This Row],[Código]]&amp;"/"&amp;Tabela1[[#This Row],[Origem]]</f>
        <v>Mupovara-H659H495/RJ</v>
      </c>
      <c r="F1625" s="88">
        <v>46422</v>
      </c>
      <c r="G1625" s="88" t="str" cm="1">
        <f t="array" ref="G16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AND(F1625&gt;= DATE(2026,1,1), F1625&lt;= DATE(2028, 12, 31), J1625&gt;50000), "Pendente e Caro", AND(F1625&gt;= DATE(2026,1,1), F1625&lt;= DATE(2028, 12, 31), J1625&lt;=50000), "Pendente", F1625&gt;= DATE(2029,1,1), "Não prioeitário")</f>
        <v>Pendente e Caro</v>
      </c>
      <c r="H1625" s="89">
        <f>YEAR(Tabela1[[#This Row],[Data de Validade]])</f>
        <v>2027</v>
      </c>
      <c r="I1625" s="89">
        <f>MONTH(Tabela1[[#This Row],[Data de Validade]])</f>
        <v>2</v>
      </c>
      <c r="J1625" s="101">
        <v>95539</v>
      </c>
      <c r="K1625" s="87" t="s">
        <v>14</v>
      </c>
      <c r="L1625" s="108"/>
      <c r="M1625" s="108"/>
      <c r="N1625" s="108" t="str">
        <v>H659H495</v>
      </c>
      <c r="O1625" s="108">
        <f t="shared" si="27"/>
        <v>1</v>
      </c>
      <c r="P1625" s="108"/>
      <c r="Q1625"/>
    </row>
    <row r="1626" spans="1:17" x14ac:dyDescent="0.25">
      <c r="A1626" s="89" t="s">
        <v>7770</v>
      </c>
      <c r="B1626" s="87" t="s">
        <v>7771</v>
      </c>
      <c r="C1626" s="87" t="s">
        <v>15</v>
      </c>
      <c r="D1626" s="87" t="str">
        <f>VLOOKUP(Tabela1[[#This Row],[Origem]], 'Perguntas 1 a 24'!$J$28:$K$34, 2, 0)</f>
        <v>Sudeste</v>
      </c>
      <c r="E1626" s="87" t="str">
        <f>Tabela1[[#This Row],[Descrição]]&amp;"-"&amp;Tabela1[[#This Row],[Código]]&amp;"/"&amp;Tabela1[[#This Row],[Origem]]</f>
        <v>Tanacapege-P527P146/ES</v>
      </c>
      <c r="F1626" s="88">
        <v>46423</v>
      </c>
      <c r="G1626" s="88" t="str" cm="1">
        <f t="array" ref="G16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AND(F1626&gt;= DATE(2026,1,1), F1626&lt;= DATE(2028, 12, 31), J1626&gt;50000), "Pendente e Caro", AND(F1626&gt;= DATE(2026,1,1), F1626&lt;= DATE(2028, 12, 31), J1626&lt;=50000), "Pendente", F1626&gt;= DATE(2029,1,1), "Não prioeitário")</f>
        <v>Pendente e Caro</v>
      </c>
      <c r="H1626" s="89">
        <f>YEAR(Tabela1[[#This Row],[Data de Validade]])</f>
        <v>2027</v>
      </c>
      <c r="I1626" s="89">
        <f>MONTH(Tabela1[[#This Row],[Data de Validade]])</f>
        <v>2</v>
      </c>
      <c r="J1626" s="101">
        <v>111097</v>
      </c>
      <c r="K1626" s="87" t="s">
        <v>14</v>
      </c>
      <c r="L1626" s="108"/>
      <c r="M1626" s="108"/>
      <c r="N1626" s="108" t="str">
        <v>P527P146</v>
      </c>
      <c r="O1626" s="108">
        <f t="shared" si="27"/>
        <v>1</v>
      </c>
      <c r="P1626" s="108"/>
      <c r="Q1626"/>
    </row>
    <row r="1627" spans="1:17" x14ac:dyDescent="0.25">
      <c r="A1627" s="89" t="s">
        <v>10813</v>
      </c>
      <c r="B1627" s="87" t="s">
        <v>10814</v>
      </c>
      <c r="C1627" s="87" t="s">
        <v>12</v>
      </c>
      <c r="D1627" s="87" t="str">
        <f>VLOOKUP(Tabela1[[#This Row],[Origem]], 'Perguntas 1 a 24'!$J$28:$K$34, 2, 0)</f>
        <v>Sudeste</v>
      </c>
      <c r="E1627" s="87" t="str">
        <f>Tabela1[[#This Row],[Descrição]]&amp;"-"&amp;Tabela1[[#This Row],[Código]]&amp;"/"&amp;Tabela1[[#This Row],[Origem]]</f>
        <v>Tepudo-P724H737/RJ</v>
      </c>
      <c r="F1627" s="88">
        <v>46423</v>
      </c>
      <c r="G1627" s="88" t="str" cm="1">
        <f t="array" ref="G16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AND(F1627&gt;= DATE(2026,1,1), F1627&lt;= DATE(2028, 12, 31), J1627&gt;50000), "Pendente e Caro", AND(F1627&gt;= DATE(2026,1,1), F1627&lt;= DATE(2028, 12, 31), J1627&lt;=50000), "Pendente", F1627&gt;= DATE(2029,1,1), "Não prioeitário")</f>
        <v>Pendente e Caro</v>
      </c>
      <c r="H1627" s="89">
        <f>YEAR(Tabela1[[#This Row],[Data de Validade]])</f>
        <v>2027</v>
      </c>
      <c r="I1627" s="89">
        <f>MONTH(Tabela1[[#This Row],[Data de Validade]])</f>
        <v>2</v>
      </c>
      <c r="J1627" s="101">
        <v>53993</v>
      </c>
      <c r="K1627" s="87" t="s">
        <v>7</v>
      </c>
      <c r="L1627" s="108"/>
      <c r="M1627" s="108"/>
      <c r="N1627" s="108" t="str">
        <v>P724H737</v>
      </c>
      <c r="O1627" s="108">
        <f t="shared" si="27"/>
        <v>1</v>
      </c>
      <c r="P1627" s="108"/>
      <c r="Q1627"/>
    </row>
    <row r="1628" spans="1:17" x14ac:dyDescent="0.25">
      <c r="A1628" s="89" t="s">
        <v>4018</v>
      </c>
      <c r="B1628" s="87" t="s">
        <v>4019</v>
      </c>
      <c r="C1628" s="87" t="s">
        <v>12</v>
      </c>
      <c r="D1628" s="87" t="str">
        <f>VLOOKUP(Tabela1[[#This Row],[Origem]], 'Perguntas 1 a 24'!$J$28:$K$34, 2, 0)</f>
        <v>Sudeste</v>
      </c>
      <c r="E1628" s="87" t="str">
        <f>Tabela1[[#This Row],[Descrição]]&amp;"-"&amp;Tabela1[[#This Row],[Código]]&amp;"/"&amp;Tabela1[[#This Row],[Origem]]</f>
        <v>Purevacuve-H331H332/RJ</v>
      </c>
      <c r="F1628" s="88">
        <v>46424</v>
      </c>
      <c r="G1628" s="88" t="str" cm="1">
        <f t="array" ref="G16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AND(F1628&gt;= DATE(2026,1,1), F1628&lt;= DATE(2028, 12, 31), J1628&gt;50000), "Pendente e Caro", AND(F1628&gt;= DATE(2026,1,1), F1628&lt;= DATE(2028, 12, 31), J1628&lt;=50000), "Pendente", F1628&gt;= DATE(2029,1,1), "Não prioeitário")</f>
        <v>Pendente e Caro</v>
      </c>
      <c r="H1628" s="89">
        <f>YEAR(Tabela1[[#This Row],[Data de Validade]])</f>
        <v>2027</v>
      </c>
      <c r="I1628" s="89">
        <f>MONTH(Tabela1[[#This Row],[Data de Validade]])</f>
        <v>2</v>
      </c>
      <c r="J1628" s="101">
        <v>105243</v>
      </c>
      <c r="K1628" s="87" t="s">
        <v>7</v>
      </c>
      <c r="L1628" s="108"/>
      <c r="M1628" s="108"/>
      <c r="N1628" s="108" t="str">
        <v>H331H332</v>
      </c>
      <c r="O1628" s="108">
        <f t="shared" si="27"/>
        <v>1</v>
      </c>
      <c r="P1628" s="108"/>
      <c r="Q1628"/>
    </row>
    <row r="1629" spans="1:17" x14ac:dyDescent="0.25">
      <c r="A1629" s="89" t="s">
        <v>6108</v>
      </c>
      <c r="B1629" s="87" t="s">
        <v>6109</v>
      </c>
      <c r="C1629" s="87" t="s">
        <v>6</v>
      </c>
      <c r="D1629" s="87" t="str">
        <f>VLOOKUP(Tabela1[[#This Row],[Origem]], 'Perguntas 1 a 24'!$J$28:$K$34, 2, 0)</f>
        <v>Nordeste</v>
      </c>
      <c r="E1629" s="87" t="str">
        <f>Tabela1[[#This Row],[Descrição]]&amp;"-"&amp;Tabela1[[#This Row],[Código]]&amp;"/"&amp;Tabela1[[#This Row],[Origem]]</f>
        <v>Regapori-H115H546/MA</v>
      </c>
      <c r="F1629" s="88">
        <v>46425</v>
      </c>
      <c r="G1629" s="88" t="str" cm="1">
        <f t="array" ref="G16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AND(F1629&gt;= DATE(2026,1,1), F1629&lt;= DATE(2028, 12, 31), J1629&gt;50000), "Pendente e Caro", AND(F1629&gt;= DATE(2026,1,1), F1629&lt;= DATE(2028, 12, 31), J1629&lt;=50000), "Pendente", F1629&gt;= DATE(2029,1,1), "Não prioeitário")</f>
        <v>Pendente e Caro</v>
      </c>
      <c r="H1629" s="89">
        <f>YEAR(Tabela1[[#This Row],[Data de Validade]])</f>
        <v>2027</v>
      </c>
      <c r="I1629" s="89">
        <f>MONTH(Tabela1[[#This Row],[Data de Validade]])</f>
        <v>2</v>
      </c>
      <c r="J1629" s="101">
        <v>68585</v>
      </c>
      <c r="K1629" s="87" t="s">
        <v>7</v>
      </c>
      <c r="L1629" s="108"/>
      <c r="M1629" s="108"/>
      <c r="N1629" s="108" t="str">
        <v>H115H546</v>
      </c>
      <c r="O1629" s="108">
        <f t="shared" si="27"/>
        <v>1</v>
      </c>
      <c r="P1629" s="108"/>
      <c r="Q1629"/>
    </row>
    <row r="1630" spans="1:17" x14ac:dyDescent="0.25">
      <c r="A1630" s="89" t="s">
        <v>9063</v>
      </c>
      <c r="B1630" s="87" t="s">
        <v>9064</v>
      </c>
      <c r="C1630" s="87" t="s">
        <v>12</v>
      </c>
      <c r="D1630" s="87" t="str">
        <f>VLOOKUP(Tabela1[[#This Row],[Origem]], 'Perguntas 1 a 24'!$J$28:$K$34, 2, 0)</f>
        <v>Sudeste</v>
      </c>
      <c r="E1630" s="87" t="str">
        <f>Tabela1[[#This Row],[Descrição]]&amp;"-"&amp;Tabela1[[#This Row],[Código]]&amp;"/"&amp;Tabela1[[#This Row],[Origem]]</f>
        <v>Lereteri-P138H892/RJ</v>
      </c>
      <c r="F1630" s="88">
        <v>46427</v>
      </c>
      <c r="G1630" s="88" t="str" cm="1">
        <f t="array" ref="G16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AND(F1630&gt;= DATE(2026,1,1), F1630&lt;= DATE(2028, 12, 31), J1630&gt;50000), "Pendente e Caro", AND(F1630&gt;= DATE(2026,1,1), F1630&lt;= DATE(2028, 12, 31), J1630&lt;=50000), "Pendente", F1630&gt;= DATE(2029,1,1), "Não prioeitário")</f>
        <v>Pendente e Caro</v>
      </c>
      <c r="H1630" s="89">
        <f>YEAR(Tabela1[[#This Row],[Data de Validade]])</f>
        <v>2027</v>
      </c>
      <c r="I1630" s="89">
        <f>MONTH(Tabela1[[#This Row],[Data de Validade]])</f>
        <v>2</v>
      </c>
      <c r="J1630" s="101">
        <v>114458</v>
      </c>
      <c r="K1630" s="87" t="s">
        <v>9</v>
      </c>
      <c r="L1630" s="108"/>
      <c r="M1630" s="108"/>
      <c r="N1630" s="108" t="str">
        <v>P138H892</v>
      </c>
      <c r="O1630" s="108">
        <f t="shared" si="27"/>
        <v>1</v>
      </c>
      <c r="P1630" s="108"/>
      <c r="Q1630"/>
    </row>
    <row r="1631" spans="1:17" x14ac:dyDescent="0.25">
      <c r="A1631" s="89" t="s">
        <v>10497</v>
      </c>
      <c r="B1631" s="87" t="s">
        <v>10498</v>
      </c>
      <c r="C1631" s="87" t="s">
        <v>16</v>
      </c>
      <c r="D1631" s="87" t="str">
        <f>VLOOKUP(Tabela1[[#This Row],[Origem]], 'Perguntas 1 a 24'!$J$28:$K$34, 2, 0)</f>
        <v>Sudeste</v>
      </c>
      <c r="E1631" s="87" t="str">
        <f>Tabela1[[#This Row],[Descrição]]&amp;"-"&amp;Tabela1[[#This Row],[Código]]&amp;"/"&amp;Tabela1[[#This Row],[Origem]]</f>
        <v>Tudipo-P984P119/MG</v>
      </c>
      <c r="F1631" s="88">
        <v>46427</v>
      </c>
      <c r="G1631" s="88" t="str" cm="1">
        <f t="array" ref="G16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AND(F1631&gt;= DATE(2026,1,1), F1631&lt;= DATE(2028, 12, 31), J1631&gt;50000), "Pendente e Caro", AND(F1631&gt;= DATE(2026,1,1), F1631&lt;= DATE(2028, 12, 31), J1631&lt;=50000), "Pendente", F1631&gt;= DATE(2029,1,1), "Não prioeitário")</f>
        <v>Pendente e Caro</v>
      </c>
      <c r="H1631" s="89">
        <f>YEAR(Tabela1[[#This Row],[Data de Validade]])</f>
        <v>2027</v>
      </c>
      <c r="I1631" s="89">
        <f>MONTH(Tabela1[[#This Row],[Data de Validade]])</f>
        <v>2</v>
      </c>
      <c r="J1631" s="101">
        <v>111553</v>
      </c>
      <c r="K1631" s="87" t="s">
        <v>11</v>
      </c>
      <c r="L1631" s="108"/>
      <c r="M1631" s="108"/>
      <c r="N1631" s="108" t="str">
        <v>P984P119</v>
      </c>
      <c r="O1631" s="108">
        <f t="shared" si="27"/>
        <v>1</v>
      </c>
      <c r="P1631" s="108"/>
      <c r="Q1631"/>
    </row>
    <row r="1632" spans="1:17" x14ac:dyDescent="0.25">
      <c r="A1632" s="89" t="s">
        <v>6928</v>
      </c>
      <c r="B1632" s="87" t="s">
        <v>6929</v>
      </c>
      <c r="C1632" s="87" t="s">
        <v>12</v>
      </c>
      <c r="D1632" s="87" t="str">
        <f>VLOOKUP(Tabela1[[#This Row],[Origem]], 'Perguntas 1 a 24'!$J$28:$K$34, 2, 0)</f>
        <v>Sudeste</v>
      </c>
      <c r="E1632" s="87" t="str">
        <f>Tabela1[[#This Row],[Descrição]]&amp;"-"&amp;Tabela1[[#This Row],[Código]]&amp;"/"&amp;Tabela1[[#This Row],[Origem]]</f>
        <v>Pupolapo-P247P143/RJ</v>
      </c>
      <c r="F1632" s="88">
        <v>46428</v>
      </c>
      <c r="G1632" s="88" t="str" cm="1">
        <f t="array" ref="G16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AND(F1632&gt;= DATE(2026,1,1), F1632&lt;= DATE(2028, 12, 31), J1632&gt;50000), "Pendente e Caro", AND(F1632&gt;= DATE(2026,1,1), F1632&lt;= DATE(2028, 12, 31), J1632&lt;=50000), "Pendente", F1632&gt;= DATE(2029,1,1), "Não prioeitário")</f>
        <v>Pendente e Caro</v>
      </c>
      <c r="H1632" s="89">
        <f>YEAR(Tabela1[[#This Row],[Data de Validade]])</f>
        <v>2027</v>
      </c>
      <c r="I1632" s="89">
        <f>MONTH(Tabela1[[#This Row],[Data de Validade]])</f>
        <v>2</v>
      </c>
      <c r="J1632" s="101">
        <v>78364</v>
      </c>
      <c r="K1632" s="87" t="s">
        <v>7</v>
      </c>
      <c r="L1632" s="108"/>
      <c r="M1632" s="108"/>
      <c r="N1632" s="108" t="str">
        <v>P247P143</v>
      </c>
      <c r="O1632" s="108">
        <f t="shared" si="27"/>
        <v>1</v>
      </c>
      <c r="P1632" s="108"/>
      <c r="Q1632"/>
    </row>
    <row r="1633" spans="1:17" x14ac:dyDescent="0.25">
      <c r="A1633" s="89" t="s">
        <v>8601</v>
      </c>
      <c r="B1633" s="87" t="s">
        <v>8602</v>
      </c>
      <c r="C1633" s="87" t="s">
        <v>12</v>
      </c>
      <c r="D1633" s="87" t="str">
        <f>VLOOKUP(Tabela1[[#This Row],[Origem]], 'Perguntas 1 a 24'!$J$28:$K$34, 2, 0)</f>
        <v>Sudeste</v>
      </c>
      <c r="E1633" s="87" t="str">
        <f>Tabela1[[#This Row],[Descrição]]&amp;"-"&amp;Tabela1[[#This Row],[Código]]&amp;"/"&amp;Tabela1[[#This Row],[Origem]]</f>
        <v>Rurupo-H194H919/RJ</v>
      </c>
      <c r="F1633" s="88">
        <v>46428</v>
      </c>
      <c r="G1633" s="88" t="str" cm="1">
        <f t="array" ref="G16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AND(F1633&gt;= DATE(2026,1,1), F1633&lt;= DATE(2028, 12, 31), J1633&gt;50000), "Pendente e Caro", AND(F1633&gt;= DATE(2026,1,1), F1633&lt;= DATE(2028, 12, 31), J1633&lt;=50000), "Pendente", F1633&gt;= DATE(2029,1,1), "Não prioeitário")</f>
        <v>Pendente</v>
      </c>
      <c r="H1633" s="89">
        <f>YEAR(Tabela1[[#This Row],[Data de Validade]])</f>
        <v>2027</v>
      </c>
      <c r="I1633" s="89">
        <f>MONTH(Tabela1[[#This Row],[Data de Validade]])</f>
        <v>2</v>
      </c>
      <c r="J1633" s="101">
        <v>38527</v>
      </c>
      <c r="K1633" s="87" t="s">
        <v>7</v>
      </c>
      <c r="L1633" s="108"/>
      <c r="M1633" s="108"/>
      <c r="N1633" s="108" t="str">
        <v>H194H919</v>
      </c>
      <c r="O1633" s="108">
        <f t="shared" si="27"/>
        <v>1</v>
      </c>
      <c r="P1633" s="108"/>
      <c r="Q1633"/>
    </row>
    <row r="1634" spans="1:17" x14ac:dyDescent="0.25">
      <c r="A1634" s="89" t="s">
        <v>5574</v>
      </c>
      <c r="B1634" s="87" t="s">
        <v>5575</v>
      </c>
      <c r="C1634" s="87" t="s">
        <v>6</v>
      </c>
      <c r="D1634" s="87" t="str">
        <f>VLOOKUP(Tabela1[[#This Row],[Origem]], 'Perguntas 1 a 24'!$J$28:$K$34, 2, 0)</f>
        <v>Nordeste</v>
      </c>
      <c r="E1634" s="87" t="str">
        <f>Tabela1[[#This Row],[Descrição]]&amp;"-"&amp;Tabela1[[#This Row],[Código]]&amp;"/"&amp;Tabela1[[#This Row],[Origem]]</f>
        <v>Tafonicetu-H848H735/MA</v>
      </c>
      <c r="F1634" s="88">
        <v>46428</v>
      </c>
      <c r="G1634" s="88" t="str" cm="1">
        <f t="array" ref="G16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AND(F1634&gt;= DATE(2026,1,1), F1634&lt;= DATE(2028, 12, 31), J1634&gt;50000), "Pendente e Caro", AND(F1634&gt;= DATE(2026,1,1), F1634&lt;= DATE(2028, 12, 31), J1634&lt;=50000), "Pendente", F1634&gt;= DATE(2029,1,1), "Não prioeitário")</f>
        <v>Pendente</v>
      </c>
      <c r="H1634" s="89">
        <f>YEAR(Tabela1[[#This Row],[Data de Validade]])</f>
        <v>2027</v>
      </c>
      <c r="I1634" s="89">
        <f>MONTH(Tabela1[[#This Row],[Data de Validade]])</f>
        <v>2</v>
      </c>
      <c r="J1634" s="101">
        <v>21741</v>
      </c>
      <c r="K1634" s="87" t="s">
        <v>7</v>
      </c>
      <c r="L1634" s="108"/>
      <c r="M1634" s="108"/>
      <c r="N1634" s="108" t="str">
        <v>H848H735</v>
      </c>
      <c r="O1634" s="108">
        <f t="shared" si="27"/>
        <v>1</v>
      </c>
      <c r="P1634" s="108"/>
      <c r="Q1634"/>
    </row>
    <row r="1635" spans="1:17" x14ac:dyDescent="0.25">
      <c r="A1635" s="89" t="s">
        <v>11129</v>
      </c>
      <c r="B1635" s="87" t="s">
        <v>11130</v>
      </c>
      <c r="C1635" s="87" t="s">
        <v>12</v>
      </c>
      <c r="D1635" s="87" t="str">
        <f>VLOOKUP(Tabela1[[#This Row],[Origem]], 'Perguntas 1 a 24'!$J$28:$K$34, 2, 0)</f>
        <v>Sudeste</v>
      </c>
      <c r="E1635" s="87" t="str">
        <f>Tabela1[[#This Row],[Descrição]]&amp;"-"&amp;Tabela1[[#This Row],[Código]]&amp;"/"&amp;Tabela1[[#This Row],[Origem]]</f>
        <v>Vapacimela-H448P189/RJ</v>
      </c>
      <c r="F1635" s="88">
        <v>46429</v>
      </c>
      <c r="G1635" s="88" t="str" cm="1">
        <f t="array" ref="G16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AND(F1635&gt;= DATE(2026,1,1), F1635&lt;= DATE(2028, 12, 31), J1635&gt;50000), "Pendente e Caro", AND(F1635&gt;= DATE(2026,1,1), F1635&lt;= DATE(2028, 12, 31), J1635&lt;=50000), "Pendente", F1635&gt;= DATE(2029,1,1), "Não prioeitário")</f>
        <v>Pendente e Caro</v>
      </c>
      <c r="H1635" s="89">
        <f>YEAR(Tabela1[[#This Row],[Data de Validade]])</f>
        <v>2027</v>
      </c>
      <c r="I1635" s="89">
        <f>MONTH(Tabela1[[#This Row],[Data de Validade]])</f>
        <v>2</v>
      </c>
      <c r="J1635" s="101">
        <v>112238</v>
      </c>
      <c r="K1635" s="87" t="s">
        <v>7</v>
      </c>
      <c r="L1635" s="108"/>
      <c r="M1635" s="108"/>
      <c r="N1635" s="108" t="str">
        <v>H448P189</v>
      </c>
      <c r="O1635" s="108">
        <f t="shared" si="27"/>
        <v>1</v>
      </c>
      <c r="P1635" s="108"/>
      <c r="Q1635"/>
    </row>
    <row r="1636" spans="1:17" x14ac:dyDescent="0.25">
      <c r="A1636" s="89" t="s">
        <v>10645</v>
      </c>
      <c r="B1636" s="87" t="s">
        <v>10646</v>
      </c>
      <c r="C1636" s="87" t="s">
        <v>15</v>
      </c>
      <c r="D1636" s="87" t="str">
        <f>VLOOKUP(Tabela1[[#This Row],[Origem]], 'Perguntas 1 a 24'!$J$28:$K$34, 2, 0)</f>
        <v>Sudeste</v>
      </c>
      <c r="E1636" s="87" t="str">
        <f>Tabela1[[#This Row],[Descrição]]&amp;"-"&amp;Tabela1[[#This Row],[Código]]&amp;"/"&amp;Tabela1[[#This Row],[Origem]]</f>
        <v>Mamema-P576H167/ES</v>
      </c>
      <c r="F1636" s="88">
        <v>46429</v>
      </c>
      <c r="G1636" s="88" t="str" cm="1">
        <f t="array" ref="G16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AND(F1636&gt;= DATE(2026,1,1), F1636&lt;= DATE(2028, 12, 31), J1636&gt;50000), "Pendente e Caro", AND(F1636&gt;= DATE(2026,1,1), F1636&lt;= DATE(2028, 12, 31), J1636&lt;=50000), "Pendente", F1636&gt;= DATE(2029,1,1), "Não prioeitário")</f>
        <v>Pendente e Caro</v>
      </c>
      <c r="H1636" s="89">
        <f>YEAR(Tabela1[[#This Row],[Data de Validade]])</f>
        <v>2027</v>
      </c>
      <c r="I1636" s="89">
        <f>MONTH(Tabela1[[#This Row],[Data de Validade]])</f>
        <v>2</v>
      </c>
      <c r="J1636" s="101">
        <v>77850</v>
      </c>
      <c r="K1636" s="87" t="s">
        <v>11</v>
      </c>
      <c r="L1636" s="108"/>
      <c r="M1636" s="108"/>
      <c r="N1636" s="108" t="str">
        <v>P576H167</v>
      </c>
      <c r="O1636" s="108">
        <f t="shared" si="27"/>
        <v>1</v>
      </c>
      <c r="P1636" s="108"/>
      <c r="Q1636"/>
    </row>
    <row r="1637" spans="1:17" x14ac:dyDescent="0.25">
      <c r="A1637" s="89" t="s">
        <v>6650</v>
      </c>
      <c r="B1637" s="87" t="s">
        <v>6651</v>
      </c>
      <c r="C1637" s="87" t="s">
        <v>13</v>
      </c>
      <c r="D1637" s="87" t="str">
        <f>VLOOKUP(Tabela1[[#This Row],[Origem]], 'Perguntas 1 a 24'!$J$28:$K$34, 2, 0)</f>
        <v>Sudeste</v>
      </c>
      <c r="E1637" s="87" t="str">
        <f>Tabela1[[#This Row],[Descrição]]&amp;"-"&amp;Tabela1[[#This Row],[Código]]&amp;"/"&amp;Tabela1[[#This Row],[Origem]]</f>
        <v>Lupifo-H181P867/SP</v>
      </c>
      <c r="F1637" s="88">
        <v>46430</v>
      </c>
      <c r="G1637" s="88" t="str" cm="1">
        <f t="array" ref="G16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AND(F1637&gt;= DATE(2026,1,1), F1637&lt;= DATE(2028, 12, 31), J1637&gt;50000), "Pendente e Caro", AND(F1637&gt;= DATE(2026,1,1), F1637&lt;= DATE(2028, 12, 31), J1637&lt;=50000), "Pendente", F1637&gt;= DATE(2029,1,1), "Não prioeitário")</f>
        <v>Pendente</v>
      </c>
      <c r="H1637" s="89">
        <f>YEAR(Tabela1[[#This Row],[Data de Validade]])</f>
        <v>2027</v>
      </c>
      <c r="I1637" s="89">
        <f>MONTH(Tabela1[[#This Row],[Data de Validade]])</f>
        <v>2</v>
      </c>
      <c r="J1637" s="101">
        <v>30232</v>
      </c>
      <c r="K1637" s="87" t="s">
        <v>11</v>
      </c>
      <c r="L1637" s="108"/>
      <c r="M1637" s="108"/>
      <c r="N1637" s="108" t="str">
        <v>H181P867</v>
      </c>
      <c r="O1637" s="108">
        <f t="shared" si="27"/>
        <v>1</v>
      </c>
      <c r="P1637" s="108"/>
      <c r="Q1637"/>
    </row>
    <row r="1638" spans="1:17" x14ac:dyDescent="0.25">
      <c r="A1638" s="89" t="s">
        <v>8743</v>
      </c>
      <c r="B1638" s="87" t="s">
        <v>8744</v>
      </c>
      <c r="C1638" s="87" t="s">
        <v>12</v>
      </c>
      <c r="D1638" s="87" t="str">
        <f>VLOOKUP(Tabela1[[#This Row],[Origem]], 'Perguntas 1 a 24'!$J$28:$K$34, 2, 0)</f>
        <v>Sudeste</v>
      </c>
      <c r="E1638" s="87" t="str">
        <f>Tabela1[[#This Row],[Descrição]]&amp;"-"&amp;Tabela1[[#This Row],[Código]]&amp;"/"&amp;Tabela1[[#This Row],[Origem]]</f>
        <v>Lodopamiru-P689P898/RJ</v>
      </c>
      <c r="F1638" s="88">
        <v>46431</v>
      </c>
      <c r="G1638" s="88" t="str" cm="1">
        <f t="array" ref="G16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AND(F1638&gt;= DATE(2026,1,1), F1638&lt;= DATE(2028, 12, 31), J1638&gt;50000), "Pendente e Caro", AND(F1638&gt;= DATE(2026,1,1), F1638&lt;= DATE(2028, 12, 31), J1638&lt;=50000), "Pendente", F1638&gt;= DATE(2029,1,1), "Não prioeitário")</f>
        <v>Pendente e Caro</v>
      </c>
      <c r="H1638" s="89">
        <f>YEAR(Tabela1[[#This Row],[Data de Validade]])</f>
        <v>2027</v>
      </c>
      <c r="I1638" s="89">
        <f>MONTH(Tabela1[[#This Row],[Data de Validade]])</f>
        <v>2</v>
      </c>
      <c r="J1638" s="101">
        <v>112028</v>
      </c>
      <c r="K1638" s="87" t="s">
        <v>9</v>
      </c>
      <c r="L1638" s="108"/>
      <c r="M1638" s="108"/>
      <c r="N1638" s="108" t="str">
        <v>P689P898</v>
      </c>
      <c r="O1638" s="108">
        <f t="shared" si="27"/>
        <v>1</v>
      </c>
      <c r="P1638" s="108"/>
      <c r="Q1638"/>
    </row>
    <row r="1639" spans="1:17" x14ac:dyDescent="0.25">
      <c r="A1639" s="89" t="s">
        <v>8575</v>
      </c>
      <c r="B1639" s="87" t="s">
        <v>8576</v>
      </c>
      <c r="C1639" s="87" t="s">
        <v>16</v>
      </c>
      <c r="D1639" s="87" t="str">
        <f>VLOOKUP(Tabela1[[#This Row],[Origem]], 'Perguntas 1 a 24'!$J$28:$K$34, 2, 0)</f>
        <v>Sudeste</v>
      </c>
      <c r="E1639" s="87" t="str">
        <f>Tabela1[[#This Row],[Descrição]]&amp;"-"&amp;Tabela1[[#This Row],[Código]]&amp;"/"&amp;Tabela1[[#This Row],[Origem]]</f>
        <v>Larapiluco-H667H892/MG</v>
      </c>
      <c r="F1639" s="88">
        <v>46431</v>
      </c>
      <c r="G1639" s="88" t="str" cm="1">
        <f t="array" ref="G16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AND(F1639&gt;= DATE(2026,1,1), F1639&lt;= DATE(2028, 12, 31), J1639&gt;50000), "Pendente e Caro", AND(F1639&gt;= DATE(2026,1,1), F1639&lt;= DATE(2028, 12, 31), J1639&lt;=50000), "Pendente", F1639&gt;= DATE(2029,1,1), "Não prioeitário")</f>
        <v>Pendente e Caro</v>
      </c>
      <c r="H1639" s="89">
        <f>YEAR(Tabela1[[#This Row],[Data de Validade]])</f>
        <v>2027</v>
      </c>
      <c r="I1639" s="89">
        <f>MONTH(Tabela1[[#This Row],[Data de Validade]])</f>
        <v>2</v>
      </c>
      <c r="J1639" s="101">
        <v>91490</v>
      </c>
      <c r="K1639" s="87" t="s">
        <v>9</v>
      </c>
      <c r="L1639" s="108"/>
      <c r="M1639" s="108"/>
      <c r="N1639" s="108" t="str">
        <v>H667H892</v>
      </c>
      <c r="O1639" s="108">
        <f t="shared" si="27"/>
        <v>1</v>
      </c>
      <c r="P1639" s="108"/>
      <c r="Q1639"/>
    </row>
    <row r="1640" spans="1:17" x14ac:dyDescent="0.25">
      <c r="A1640" s="89" t="s">
        <v>7028</v>
      </c>
      <c r="B1640" s="87" t="s">
        <v>7029</v>
      </c>
      <c r="C1640" s="87" t="s">
        <v>10</v>
      </c>
      <c r="D1640" s="87" t="str">
        <f>VLOOKUP(Tabela1[[#This Row],[Origem]], 'Perguntas 1 a 24'!$J$28:$K$34, 2, 0)</f>
        <v>Centro-Oeste</v>
      </c>
      <c r="E1640" s="87" t="str">
        <f>Tabela1[[#This Row],[Descrição]]&amp;"-"&amp;Tabela1[[#This Row],[Código]]&amp;"/"&amp;Tabela1[[#This Row],[Origem]]</f>
        <v>Cidetefo-H256P455/GO</v>
      </c>
      <c r="F1640" s="88">
        <v>46431</v>
      </c>
      <c r="G1640" s="88" t="str" cm="1">
        <f t="array" ref="G16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AND(F1640&gt;= DATE(2026,1,1), F1640&lt;= DATE(2028, 12, 31), J1640&gt;50000), "Pendente e Caro", AND(F1640&gt;= DATE(2026,1,1), F1640&lt;= DATE(2028, 12, 31), J1640&lt;=50000), "Pendente", F1640&gt;= DATE(2029,1,1), "Não prioeitário")</f>
        <v>Pendente</v>
      </c>
      <c r="H1640" s="89">
        <f>YEAR(Tabela1[[#This Row],[Data de Validade]])</f>
        <v>2027</v>
      </c>
      <c r="I1640" s="89">
        <f>MONTH(Tabela1[[#This Row],[Data de Validade]])</f>
        <v>2</v>
      </c>
      <c r="J1640" s="101">
        <v>33733</v>
      </c>
      <c r="K1640" s="87" t="s">
        <v>14</v>
      </c>
      <c r="L1640" s="108"/>
      <c r="M1640" s="108"/>
      <c r="N1640" s="108" t="str">
        <v>H256P455</v>
      </c>
      <c r="O1640" s="108">
        <f t="shared" si="27"/>
        <v>1</v>
      </c>
      <c r="P1640" s="108"/>
      <c r="Q1640"/>
    </row>
    <row r="1641" spans="1:17" x14ac:dyDescent="0.25">
      <c r="A1641" s="89" t="s">
        <v>6192</v>
      </c>
      <c r="B1641" s="87" t="s">
        <v>6193</v>
      </c>
      <c r="C1641" s="87" t="s">
        <v>16</v>
      </c>
      <c r="D1641" s="87" t="str">
        <f>VLOOKUP(Tabela1[[#This Row],[Origem]], 'Perguntas 1 a 24'!$J$28:$K$34, 2, 0)</f>
        <v>Sudeste</v>
      </c>
      <c r="E1641" s="87" t="str">
        <f>Tabela1[[#This Row],[Descrição]]&amp;"-"&amp;Tabela1[[#This Row],[Código]]&amp;"/"&amp;Tabela1[[#This Row],[Origem]]</f>
        <v>Dotedu-P982P962/MG</v>
      </c>
      <c r="F1641" s="88">
        <v>46432</v>
      </c>
      <c r="G1641" s="88" t="str" cm="1">
        <f t="array" ref="G16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AND(F1641&gt;= DATE(2026,1,1), F1641&lt;= DATE(2028, 12, 31), J1641&gt;50000), "Pendente e Caro", AND(F1641&gt;= DATE(2026,1,1), F1641&lt;= DATE(2028, 12, 31), J1641&lt;=50000), "Pendente", F1641&gt;= DATE(2029,1,1), "Não prioeitário")</f>
        <v>Pendente e Caro</v>
      </c>
      <c r="H1641" s="89">
        <f>YEAR(Tabela1[[#This Row],[Data de Validade]])</f>
        <v>2027</v>
      </c>
      <c r="I1641" s="89">
        <f>MONTH(Tabela1[[#This Row],[Data de Validade]])</f>
        <v>2</v>
      </c>
      <c r="J1641" s="101">
        <v>109465</v>
      </c>
      <c r="K1641" s="87" t="s">
        <v>7</v>
      </c>
      <c r="L1641" s="108"/>
      <c r="M1641" s="108"/>
      <c r="N1641" s="108" t="str">
        <v>P982P962</v>
      </c>
      <c r="O1641" s="108">
        <f t="shared" si="27"/>
        <v>1</v>
      </c>
      <c r="P1641" s="108"/>
      <c r="Q1641"/>
    </row>
    <row r="1642" spans="1:17" x14ac:dyDescent="0.25">
      <c r="A1642" s="89" t="s">
        <v>4353</v>
      </c>
      <c r="B1642" s="87" t="s">
        <v>4354</v>
      </c>
      <c r="C1642" s="87" t="s">
        <v>16</v>
      </c>
      <c r="D1642" s="87" t="str">
        <f>VLOOKUP(Tabela1[[#This Row],[Origem]], 'Perguntas 1 a 24'!$J$28:$K$34, 2, 0)</f>
        <v>Sudeste</v>
      </c>
      <c r="E1642" s="87" t="str">
        <f>Tabela1[[#This Row],[Descrição]]&amp;"-"&amp;Tabela1[[#This Row],[Código]]&amp;"/"&amp;Tabela1[[#This Row],[Origem]]</f>
        <v>Papodafu-P174P215/MG</v>
      </c>
      <c r="F1642" s="88">
        <v>46433</v>
      </c>
      <c r="G1642" s="88" t="str" cm="1">
        <f t="array" ref="G16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AND(F1642&gt;= DATE(2026,1,1), F1642&lt;= DATE(2028, 12, 31), J1642&gt;50000), "Pendente e Caro", AND(F1642&gt;= DATE(2026,1,1), F1642&lt;= DATE(2028, 12, 31), J1642&lt;=50000), "Pendente", F1642&gt;= DATE(2029,1,1), "Não prioeitário")</f>
        <v>Pendente e Caro</v>
      </c>
      <c r="H1642" s="89">
        <f>YEAR(Tabela1[[#This Row],[Data de Validade]])</f>
        <v>2027</v>
      </c>
      <c r="I1642" s="89">
        <f>MONTH(Tabela1[[#This Row],[Data de Validade]])</f>
        <v>2</v>
      </c>
      <c r="J1642" s="101">
        <v>73202</v>
      </c>
      <c r="K1642" s="87" t="s">
        <v>9</v>
      </c>
      <c r="L1642" s="108"/>
      <c r="M1642" s="108"/>
      <c r="N1642" s="108" t="str">
        <v>P174P215</v>
      </c>
      <c r="O1642" s="108">
        <f t="shared" si="27"/>
        <v>1</v>
      </c>
      <c r="P1642" s="108"/>
      <c r="Q1642"/>
    </row>
    <row r="1643" spans="1:17" x14ac:dyDescent="0.25">
      <c r="A1643" s="89" t="s">
        <v>9899</v>
      </c>
      <c r="B1643" s="87" t="s">
        <v>9900</v>
      </c>
      <c r="C1643" s="87" t="s">
        <v>6</v>
      </c>
      <c r="D1643" s="87" t="str">
        <f>VLOOKUP(Tabela1[[#This Row],[Origem]], 'Perguntas 1 a 24'!$J$28:$K$34, 2, 0)</f>
        <v>Nordeste</v>
      </c>
      <c r="E1643" s="87" t="str">
        <f>Tabela1[[#This Row],[Descrição]]&amp;"-"&amp;Tabela1[[#This Row],[Código]]&amp;"/"&amp;Tabela1[[#This Row],[Origem]]</f>
        <v>Penuperepe-H571P212/MA</v>
      </c>
      <c r="F1643" s="88">
        <v>46435</v>
      </c>
      <c r="G1643" s="88" t="str" cm="1">
        <f t="array" ref="G16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AND(F1643&gt;= DATE(2026,1,1), F1643&lt;= DATE(2028, 12, 31), J1643&gt;50000), "Pendente e Caro", AND(F1643&gt;= DATE(2026,1,1), F1643&lt;= DATE(2028, 12, 31), J1643&lt;=50000), "Pendente", F1643&gt;= DATE(2029,1,1), "Não prioeitário")</f>
        <v>Pendente e Caro</v>
      </c>
      <c r="H1643" s="89">
        <f>YEAR(Tabela1[[#This Row],[Data de Validade]])</f>
        <v>2027</v>
      </c>
      <c r="I1643" s="89">
        <f>MONTH(Tabela1[[#This Row],[Data de Validade]])</f>
        <v>2</v>
      </c>
      <c r="J1643" s="101">
        <v>59262</v>
      </c>
      <c r="K1643" s="87" t="s">
        <v>7</v>
      </c>
      <c r="L1643" s="108"/>
      <c r="M1643" s="108"/>
      <c r="N1643" s="108" t="str">
        <v>H571P212</v>
      </c>
      <c r="O1643" s="108">
        <f t="shared" si="27"/>
        <v>1</v>
      </c>
      <c r="P1643" s="108"/>
      <c r="Q1643"/>
    </row>
    <row r="1644" spans="1:17" x14ac:dyDescent="0.25">
      <c r="A1644" s="89" t="s">
        <v>9975</v>
      </c>
      <c r="B1644" s="87" t="s">
        <v>9976</v>
      </c>
      <c r="C1644" s="87" t="s">
        <v>8</v>
      </c>
      <c r="D1644" s="87" t="str">
        <f>VLOOKUP(Tabela1[[#This Row],[Origem]], 'Perguntas 1 a 24'!$J$28:$K$34, 2, 0)</f>
        <v>Nordeste</v>
      </c>
      <c r="E1644" s="87" t="str">
        <f>Tabela1[[#This Row],[Descrição]]&amp;"-"&amp;Tabela1[[#This Row],[Código]]&amp;"/"&amp;Tabela1[[#This Row],[Origem]]</f>
        <v>Nemopice-H846P778/AL</v>
      </c>
      <c r="F1644" s="88">
        <v>46435</v>
      </c>
      <c r="G1644" s="88" t="str" cm="1">
        <f t="array" ref="G16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AND(F1644&gt;= DATE(2026,1,1), F1644&lt;= DATE(2028, 12, 31), J1644&gt;50000), "Pendente e Caro", AND(F1644&gt;= DATE(2026,1,1), F1644&lt;= DATE(2028, 12, 31), J1644&lt;=50000), "Pendente", F1644&gt;= DATE(2029,1,1), "Não prioeitário")</f>
        <v>Pendente</v>
      </c>
      <c r="H1644" s="89">
        <f>YEAR(Tabela1[[#This Row],[Data de Validade]])</f>
        <v>2027</v>
      </c>
      <c r="I1644" s="89">
        <f>MONTH(Tabela1[[#This Row],[Data de Validade]])</f>
        <v>2</v>
      </c>
      <c r="J1644" s="101">
        <v>24640</v>
      </c>
      <c r="K1644" s="87" t="s">
        <v>9</v>
      </c>
      <c r="L1644" s="108"/>
      <c r="M1644" s="108"/>
      <c r="N1644" s="108" t="str">
        <v>H846P778</v>
      </c>
      <c r="O1644" s="108">
        <f t="shared" si="27"/>
        <v>1</v>
      </c>
      <c r="P1644" s="108"/>
      <c r="Q1644"/>
    </row>
    <row r="1645" spans="1:17" x14ac:dyDescent="0.25">
      <c r="A1645" s="89" t="s">
        <v>4351</v>
      </c>
      <c r="B1645" s="87" t="s">
        <v>4352</v>
      </c>
      <c r="C1645" s="87" t="s">
        <v>16</v>
      </c>
      <c r="D1645" s="87" t="str">
        <f>VLOOKUP(Tabela1[[#This Row],[Origem]], 'Perguntas 1 a 24'!$J$28:$K$34, 2, 0)</f>
        <v>Sudeste</v>
      </c>
      <c r="E1645" s="87" t="str">
        <f>Tabela1[[#This Row],[Descrição]]&amp;"-"&amp;Tabela1[[#This Row],[Código]]&amp;"/"&amp;Tabela1[[#This Row],[Origem]]</f>
        <v>Patipopudo-H139P978/MG</v>
      </c>
      <c r="F1645" s="88">
        <v>46437</v>
      </c>
      <c r="G1645" s="88" t="str" cm="1">
        <f t="array" ref="G16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AND(F1645&gt;= DATE(2026,1,1), F1645&lt;= DATE(2028, 12, 31), J1645&gt;50000), "Pendente e Caro", AND(F1645&gt;= DATE(2026,1,1), F1645&lt;= DATE(2028, 12, 31), J1645&lt;=50000), "Pendente", F1645&gt;= DATE(2029,1,1), "Não prioeitário")</f>
        <v>Pendente</v>
      </c>
      <c r="H1645" s="89">
        <f>YEAR(Tabela1[[#This Row],[Data de Validade]])</f>
        <v>2027</v>
      </c>
      <c r="I1645" s="89">
        <f>MONTH(Tabela1[[#This Row],[Data de Validade]])</f>
        <v>2</v>
      </c>
      <c r="J1645" s="101">
        <v>32677</v>
      </c>
      <c r="K1645" s="87" t="s">
        <v>11</v>
      </c>
      <c r="L1645" s="108"/>
      <c r="M1645" s="108"/>
      <c r="N1645" s="108" t="str">
        <v>H139P978</v>
      </c>
      <c r="O1645" s="108">
        <f t="shared" si="27"/>
        <v>1</v>
      </c>
      <c r="P1645" s="108"/>
      <c r="Q1645"/>
    </row>
    <row r="1646" spans="1:17" x14ac:dyDescent="0.25">
      <c r="A1646" s="89" t="s">
        <v>10017</v>
      </c>
      <c r="B1646" s="87" t="s">
        <v>10018</v>
      </c>
      <c r="C1646" s="87" t="s">
        <v>15</v>
      </c>
      <c r="D1646" s="87" t="str">
        <f>VLOOKUP(Tabela1[[#This Row],[Origem]], 'Perguntas 1 a 24'!$J$28:$K$34, 2, 0)</f>
        <v>Sudeste</v>
      </c>
      <c r="E1646" s="87" t="str">
        <f>Tabela1[[#This Row],[Descrição]]&amp;"-"&amp;Tabela1[[#This Row],[Código]]&amp;"/"&amp;Tabela1[[#This Row],[Origem]]</f>
        <v>Celitufinu-H781H636/ES</v>
      </c>
      <c r="F1646" s="88">
        <v>46438</v>
      </c>
      <c r="G1646" s="88" t="str" cm="1">
        <f t="array" ref="G16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AND(F1646&gt;= DATE(2026,1,1), F1646&lt;= DATE(2028, 12, 31), J1646&gt;50000), "Pendente e Caro", AND(F1646&gt;= DATE(2026,1,1), F1646&lt;= DATE(2028, 12, 31), J1646&lt;=50000), "Pendente", F1646&gt;= DATE(2029,1,1), "Não prioeitário")</f>
        <v>Pendente e Caro</v>
      </c>
      <c r="H1646" s="89">
        <f>YEAR(Tabela1[[#This Row],[Data de Validade]])</f>
        <v>2027</v>
      </c>
      <c r="I1646" s="89">
        <f>MONTH(Tabela1[[#This Row],[Data de Validade]])</f>
        <v>2</v>
      </c>
      <c r="J1646" s="101">
        <v>88865</v>
      </c>
      <c r="K1646" s="87" t="s">
        <v>14</v>
      </c>
      <c r="L1646" s="108"/>
      <c r="M1646" s="108"/>
      <c r="N1646" s="108" t="str">
        <v>H781H636</v>
      </c>
      <c r="O1646" s="108">
        <f t="shared" si="27"/>
        <v>1</v>
      </c>
      <c r="P1646" s="108"/>
      <c r="Q1646"/>
    </row>
    <row r="1647" spans="1:17" x14ac:dyDescent="0.25">
      <c r="A1647" s="89" t="s">
        <v>5426</v>
      </c>
      <c r="B1647" s="87" t="s">
        <v>5427</v>
      </c>
      <c r="C1647" s="87" t="s">
        <v>16</v>
      </c>
      <c r="D1647" s="87" t="str">
        <f>VLOOKUP(Tabela1[[#This Row],[Origem]], 'Perguntas 1 a 24'!$J$28:$K$34, 2, 0)</f>
        <v>Sudeste</v>
      </c>
      <c r="E1647" s="87" t="str">
        <f>Tabela1[[#This Row],[Descrição]]&amp;"-"&amp;Tabela1[[#This Row],[Código]]&amp;"/"&amp;Tabela1[[#This Row],[Origem]]</f>
        <v>Pufimimo-H186P944/MG</v>
      </c>
      <c r="F1647" s="88">
        <v>46438</v>
      </c>
      <c r="G1647" s="88" t="str" cm="1">
        <f t="array" ref="G16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AND(F1647&gt;= DATE(2026,1,1), F1647&lt;= DATE(2028, 12, 31), J1647&gt;50000), "Pendente e Caro", AND(F1647&gt;= DATE(2026,1,1), F1647&lt;= DATE(2028, 12, 31), J1647&lt;=50000), "Pendente", F1647&gt;= DATE(2029,1,1), "Não prioeitário")</f>
        <v>Pendente</v>
      </c>
      <c r="H1647" s="89">
        <f>YEAR(Tabela1[[#This Row],[Data de Validade]])</f>
        <v>2027</v>
      </c>
      <c r="I1647" s="89">
        <f>MONTH(Tabela1[[#This Row],[Data de Validade]])</f>
        <v>2</v>
      </c>
      <c r="J1647" s="101">
        <v>27770</v>
      </c>
      <c r="K1647" s="87" t="s">
        <v>14</v>
      </c>
      <c r="L1647" s="108"/>
      <c r="M1647" s="108"/>
      <c r="N1647" s="108" t="str">
        <v>H186P944</v>
      </c>
      <c r="O1647" s="108">
        <f t="shared" si="27"/>
        <v>1</v>
      </c>
      <c r="P1647" s="108"/>
      <c r="Q1647"/>
    </row>
    <row r="1648" spans="1:17" x14ac:dyDescent="0.25">
      <c r="A1648" s="89" t="s">
        <v>8627</v>
      </c>
      <c r="B1648" s="87" t="s">
        <v>8628</v>
      </c>
      <c r="C1648" s="87" t="s">
        <v>8</v>
      </c>
      <c r="D1648" s="87" t="str">
        <f>VLOOKUP(Tabela1[[#This Row],[Origem]], 'Perguntas 1 a 24'!$J$28:$K$34, 2, 0)</f>
        <v>Nordeste</v>
      </c>
      <c r="E1648" s="87" t="str">
        <f>Tabela1[[#This Row],[Descrição]]&amp;"-"&amp;Tabela1[[#This Row],[Código]]&amp;"/"&amp;Tabela1[[#This Row],[Origem]]</f>
        <v>Cirofa-P334P765/AL</v>
      </c>
      <c r="F1648" s="88">
        <v>46439</v>
      </c>
      <c r="G1648" s="88" t="str" cm="1">
        <f t="array" ref="G16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AND(F1648&gt;= DATE(2026,1,1), F1648&lt;= DATE(2028, 12, 31), J1648&gt;50000), "Pendente e Caro", AND(F1648&gt;= DATE(2026,1,1), F1648&lt;= DATE(2028, 12, 31), J1648&lt;=50000), "Pendente", F1648&gt;= DATE(2029,1,1), "Não prioeitário")</f>
        <v>Pendente e Caro</v>
      </c>
      <c r="H1648" s="89">
        <f>YEAR(Tabela1[[#This Row],[Data de Validade]])</f>
        <v>2027</v>
      </c>
      <c r="I1648" s="89">
        <f>MONTH(Tabela1[[#This Row],[Data de Validade]])</f>
        <v>2</v>
      </c>
      <c r="J1648" s="101">
        <v>55256</v>
      </c>
      <c r="K1648" s="87" t="s">
        <v>14</v>
      </c>
      <c r="L1648" s="108"/>
      <c r="M1648" s="108"/>
      <c r="N1648" s="108" t="str">
        <v>P334P765</v>
      </c>
      <c r="O1648" s="108">
        <f t="shared" si="27"/>
        <v>1</v>
      </c>
      <c r="P1648" s="108"/>
      <c r="Q1648"/>
    </row>
    <row r="1649" spans="1:17" x14ac:dyDescent="0.25">
      <c r="A1649" s="89" t="s">
        <v>9119</v>
      </c>
      <c r="B1649" s="87" t="s">
        <v>9120</v>
      </c>
      <c r="C1649" s="87" t="s">
        <v>13</v>
      </c>
      <c r="D1649" s="87" t="str">
        <f>VLOOKUP(Tabela1[[#This Row],[Origem]], 'Perguntas 1 a 24'!$J$28:$K$34, 2, 0)</f>
        <v>Sudeste</v>
      </c>
      <c r="E1649" s="87" t="str">
        <f>Tabela1[[#This Row],[Descrição]]&amp;"-"&amp;Tabela1[[#This Row],[Código]]&amp;"/"&amp;Tabela1[[#This Row],[Origem]]</f>
        <v>Poceturunu-H626H175/SP</v>
      </c>
      <c r="F1649" s="88">
        <v>46439</v>
      </c>
      <c r="G1649" s="88" t="str" cm="1">
        <f t="array" ref="G16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AND(F1649&gt;= DATE(2026,1,1), F1649&lt;= DATE(2028, 12, 31), J1649&gt;50000), "Pendente e Caro", AND(F1649&gt;= DATE(2026,1,1), F1649&lt;= DATE(2028, 12, 31), J1649&lt;=50000), "Pendente", F1649&gt;= DATE(2029,1,1), "Não prioeitário")</f>
        <v>Pendente</v>
      </c>
      <c r="H1649" s="89">
        <f>YEAR(Tabela1[[#This Row],[Data de Validade]])</f>
        <v>2027</v>
      </c>
      <c r="I1649" s="89">
        <f>MONTH(Tabela1[[#This Row],[Data de Validade]])</f>
        <v>2</v>
      </c>
      <c r="J1649" s="101">
        <v>48600</v>
      </c>
      <c r="K1649" s="87" t="s">
        <v>14</v>
      </c>
      <c r="L1649" s="108"/>
      <c r="M1649" s="108"/>
      <c r="N1649" s="108" t="str">
        <v>H626H175</v>
      </c>
      <c r="O1649" s="108">
        <f t="shared" si="27"/>
        <v>1</v>
      </c>
      <c r="P1649" s="108"/>
      <c r="Q1649"/>
    </row>
    <row r="1650" spans="1:17" x14ac:dyDescent="0.25">
      <c r="A1650" s="89" t="s">
        <v>8498</v>
      </c>
      <c r="B1650" s="87" t="s">
        <v>8499</v>
      </c>
      <c r="C1650" s="87" t="s">
        <v>8</v>
      </c>
      <c r="D1650" s="87" t="str">
        <f>VLOOKUP(Tabela1[[#This Row],[Origem]], 'Perguntas 1 a 24'!$J$28:$K$34, 2, 0)</f>
        <v>Nordeste</v>
      </c>
      <c r="E1650" s="87" t="str">
        <f>Tabela1[[#This Row],[Descrição]]&amp;"-"&amp;Tabela1[[#This Row],[Código]]&amp;"/"&amp;Tabela1[[#This Row],[Origem]]</f>
        <v>Tagunavife-P542P947/AL</v>
      </c>
      <c r="F1650" s="88">
        <v>46441</v>
      </c>
      <c r="G1650" s="88" t="str" cm="1">
        <f t="array" ref="G16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AND(F1650&gt;= DATE(2026,1,1), F1650&lt;= DATE(2028, 12, 31), J1650&gt;50000), "Pendente e Caro", AND(F1650&gt;= DATE(2026,1,1), F1650&lt;= DATE(2028, 12, 31), J1650&lt;=50000), "Pendente", F1650&gt;= DATE(2029,1,1), "Não prioeitário")</f>
        <v>Pendente e Caro</v>
      </c>
      <c r="H1650" s="89">
        <f>YEAR(Tabela1[[#This Row],[Data de Validade]])</f>
        <v>2027</v>
      </c>
      <c r="I1650" s="89">
        <f>MONTH(Tabela1[[#This Row],[Data de Validade]])</f>
        <v>2</v>
      </c>
      <c r="J1650" s="101">
        <v>91935</v>
      </c>
      <c r="K1650" s="87" t="s">
        <v>9</v>
      </c>
      <c r="L1650" s="108"/>
      <c r="M1650" s="108"/>
      <c r="N1650" s="108" t="str">
        <v>P542P947</v>
      </c>
      <c r="O1650" s="108">
        <f t="shared" si="27"/>
        <v>1</v>
      </c>
      <c r="P1650" s="108"/>
      <c r="Q1650"/>
    </row>
    <row r="1651" spans="1:17" x14ac:dyDescent="0.25">
      <c r="A1651" s="89" t="s">
        <v>3938</v>
      </c>
      <c r="B1651" s="87" t="s">
        <v>3939</v>
      </c>
      <c r="C1651" s="87" t="s">
        <v>13</v>
      </c>
      <c r="D1651" s="87" t="str">
        <f>VLOOKUP(Tabela1[[#This Row],[Origem]], 'Perguntas 1 a 24'!$J$28:$K$34, 2, 0)</f>
        <v>Sudeste</v>
      </c>
      <c r="E1651" s="87" t="str">
        <f>Tabela1[[#This Row],[Descrição]]&amp;"-"&amp;Tabela1[[#This Row],[Código]]&amp;"/"&amp;Tabela1[[#This Row],[Origem]]</f>
        <v>Ganice-H673P571/SP</v>
      </c>
      <c r="F1651" s="88">
        <v>46443</v>
      </c>
      <c r="G1651" s="88" t="str" cm="1">
        <f t="array" ref="G16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AND(F1651&gt;= DATE(2026,1,1), F1651&lt;= DATE(2028, 12, 31), J1651&gt;50000), "Pendente e Caro", AND(F1651&gt;= DATE(2026,1,1), F1651&lt;= DATE(2028, 12, 31), J1651&lt;=50000), "Pendente", F1651&gt;= DATE(2029,1,1), "Não prioeitário")</f>
        <v>Pendente e Caro</v>
      </c>
      <c r="H1651" s="89">
        <f>YEAR(Tabela1[[#This Row],[Data de Validade]])</f>
        <v>2027</v>
      </c>
      <c r="I1651" s="89">
        <f>MONTH(Tabela1[[#This Row],[Data de Validade]])</f>
        <v>2</v>
      </c>
      <c r="J1651" s="101">
        <v>84280</v>
      </c>
      <c r="K1651" s="87" t="s">
        <v>7</v>
      </c>
      <c r="L1651" s="108"/>
      <c r="M1651" s="108"/>
      <c r="N1651" s="108" t="str">
        <v>H673P571</v>
      </c>
      <c r="O1651" s="108">
        <f t="shared" si="27"/>
        <v>1</v>
      </c>
      <c r="P1651" s="108"/>
      <c r="Q1651"/>
    </row>
    <row r="1652" spans="1:17" x14ac:dyDescent="0.25">
      <c r="A1652" s="89" t="s">
        <v>4732</v>
      </c>
      <c r="B1652" s="87" t="s">
        <v>4733</v>
      </c>
      <c r="C1652" s="87" t="s">
        <v>10</v>
      </c>
      <c r="D1652" s="87" t="str">
        <f>VLOOKUP(Tabela1[[#This Row],[Origem]], 'Perguntas 1 a 24'!$J$28:$K$34, 2, 0)</f>
        <v>Centro-Oeste</v>
      </c>
      <c r="E1652" s="87" t="str">
        <f>Tabela1[[#This Row],[Descrição]]&amp;"-"&amp;Tabela1[[#This Row],[Código]]&amp;"/"&amp;Tabela1[[#This Row],[Origem]]</f>
        <v>Gavule-P393P998/GO</v>
      </c>
      <c r="F1652" s="88">
        <v>46443</v>
      </c>
      <c r="G1652" s="88" t="str" cm="1">
        <f t="array" ref="G16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AND(F1652&gt;= DATE(2026,1,1), F1652&lt;= DATE(2028, 12, 31), J1652&gt;50000), "Pendente e Caro", AND(F1652&gt;= DATE(2026,1,1), F1652&lt;= DATE(2028, 12, 31), J1652&lt;=50000), "Pendente", F1652&gt;= DATE(2029,1,1), "Não prioeitário")</f>
        <v>Pendente e Caro</v>
      </c>
      <c r="H1652" s="89">
        <f>YEAR(Tabela1[[#This Row],[Data de Validade]])</f>
        <v>2027</v>
      </c>
      <c r="I1652" s="89">
        <f>MONTH(Tabela1[[#This Row],[Data de Validade]])</f>
        <v>2</v>
      </c>
      <c r="J1652" s="101">
        <v>67591</v>
      </c>
      <c r="K1652" s="87" t="s">
        <v>9</v>
      </c>
      <c r="L1652" s="108"/>
      <c r="M1652" s="108"/>
      <c r="N1652" s="108" t="str">
        <v>P393P998</v>
      </c>
      <c r="O1652" s="108">
        <f t="shared" si="27"/>
        <v>1</v>
      </c>
      <c r="P1652" s="108"/>
      <c r="Q1652"/>
    </row>
    <row r="1653" spans="1:17" x14ac:dyDescent="0.25">
      <c r="A1653" s="89" t="s">
        <v>8282</v>
      </c>
      <c r="B1653" s="87" t="s">
        <v>8283</v>
      </c>
      <c r="C1653" s="87" t="s">
        <v>16</v>
      </c>
      <c r="D1653" s="87" t="str">
        <f>VLOOKUP(Tabela1[[#This Row],[Origem]], 'Perguntas 1 a 24'!$J$28:$K$34, 2, 0)</f>
        <v>Sudeste</v>
      </c>
      <c r="E1653" s="87" t="str">
        <f>Tabela1[[#This Row],[Descrição]]&amp;"-"&amp;Tabela1[[#This Row],[Código]]&amp;"/"&amp;Tabela1[[#This Row],[Origem]]</f>
        <v>Daripupalu-P231H291/MG</v>
      </c>
      <c r="F1653" s="88">
        <v>46443</v>
      </c>
      <c r="G1653" s="88" t="str" cm="1">
        <f t="array" ref="G16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AND(F1653&gt;= DATE(2026,1,1), F1653&lt;= DATE(2028, 12, 31), J1653&gt;50000), "Pendente e Caro", AND(F1653&gt;= DATE(2026,1,1), F1653&lt;= DATE(2028, 12, 31), J1653&lt;=50000), "Pendente", F1653&gt;= DATE(2029,1,1), "Não prioeitário")</f>
        <v>Pendente e Caro</v>
      </c>
      <c r="H1653" s="89">
        <f>YEAR(Tabela1[[#This Row],[Data de Validade]])</f>
        <v>2027</v>
      </c>
      <c r="I1653" s="89">
        <f>MONTH(Tabela1[[#This Row],[Data de Validade]])</f>
        <v>2</v>
      </c>
      <c r="J1653" s="101">
        <v>62360</v>
      </c>
      <c r="K1653" s="87" t="s">
        <v>7</v>
      </c>
      <c r="L1653" s="108"/>
      <c r="M1653" s="108"/>
      <c r="N1653" s="108" t="str">
        <v>P231H291</v>
      </c>
      <c r="O1653" s="108">
        <f t="shared" si="27"/>
        <v>1</v>
      </c>
      <c r="P1653" s="108"/>
      <c r="Q1653"/>
    </row>
    <row r="1654" spans="1:17" x14ac:dyDescent="0.25">
      <c r="A1654" s="89" t="s">
        <v>4832</v>
      </c>
      <c r="B1654" s="87" t="s">
        <v>4833</v>
      </c>
      <c r="C1654" s="87" t="s">
        <v>6</v>
      </c>
      <c r="D1654" s="87" t="str">
        <f>VLOOKUP(Tabela1[[#This Row],[Origem]], 'Perguntas 1 a 24'!$J$28:$K$34, 2, 0)</f>
        <v>Nordeste</v>
      </c>
      <c r="E1654" s="87" t="str">
        <f>Tabela1[[#This Row],[Descrição]]&amp;"-"&amp;Tabela1[[#This Row],[Código]]&amp;"/"&amp;Tabela1[[#This Row],[Origem]]</f>
        <v>Pilipa-H381H737/MA</v>
      </c>
      <c r="F1654" s="88">
        <v>46444</v>
      </c>
      <c r="G1654" s="88" t="str" cm="1">
        <f t="array" ref="G16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AND(F1654&gt;= DATE(2026,1,1), F1654&lt;= DATE(2028, 12, 31), J1654&gt;50000), "Pendente e Caro", AND(F1654&gt;= DATE(2026,1,1), F1654&lt;= DATE(2028, 12, 31), J1654&lt;=50000), "Pendente", F1654&gt;= DATE(2029,1,1), "Não prioeitário")</f>
        <v>Pendente e Caro</v>
      </c>
      <c r="H1654" s="89">
        <f>YEAR(Tabela1[[#This Row],[Data de Validade]])</f>
        <v>2027</v>
      </c>
      <c r="I1654" s="89">
        <f>MONTH(Tabela1[[#This Row],[Data de Validade]])</f>
        <v>2</v>
      </c>
      <c r="J1654" s="101">
        <v>117902</v>
      </c>
      <c r="K1654" s="87" t="s">
        <v>7</v>
      </c>
      <c r="L1654" s="108"/>
      <c r="M1654" s="108"/>
      <c r="N1654" s="108" t="str">
        <v>H381H737</v>
      </c>
      <c r="O1654" s="108">
        <f t="shared" si="27"/>
        <v>1</v>
      </c>
      <c r="P1654" s="108"/>
      <c r="Q1654"/>
    </row>
    <row r="1655" spans="1:17" x14ac:dyDescent="0.25">
      <c r="A1655" s="89" t="s">
        <v>10859</v>
      </c>
      <c r="B1655" s="87" t="s">
        <v>10860</v>
      </c>
      <c r="C1655" s="87" t="s">
        <v>16</v>
      </c>
      <c r="D1655" s="87" t="str">
        <f>VLOOKUP(Tabela1[[#This Row],[Origem]], 'Perguntas 1 a 24'!$J$28:$K$34, 2, 0)</f>
        <v>Sudeste</v>
      </c>
      <c r="E1655" s="87" t="str">
        <f>Tabela1[[#This Row],[Descrição]]&amp;"-"&amp;Tabela1[[#This Row],[Código]]&amp;"/"&amp;Tabela1[[#This Row],[Origem]]</f>
        <v>Liretugina-P996P462/MG</v>
      </c>
      <c r="F1655" s="88">
        <v>46444</v>
      </c>
      <c r="G1655" s="88" t="str" cm="1">
        <f t="array" ref="G16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AND(F1655&gt;= DATE(2026,1,1), F1655&lt;= DATE(2028, 12, 31), J1655&gt;50000), "Pendente e Caro", AND(F1655&gt;= DATE(2026,1,1), F1655&lt;= DATE(2028, 12, 31), J1655&lt;=50000), "Pendente", F1655&gt;= DATE(2029,1,1), "Não prioeitário")</f>
        <v>Pendente e Caro</v>
      </c>
      <c r="H1655" s="89">
        <f>YEAR(Tabela1[[#This Row],[Data de Validade]])</f>
        <v>2027</v>
      </c>
      <c r="I1655" s="89">
        <f>MONTH(Tabela1[[#This Row],[Data de Validade]])</f>
        <v>2</v>
      </c>
      <c r="J1655" s="101">
        <v>106835</v>
      </c>
      <c r="K1655" s="87" t="s">
        <v>14</v>
      </c>
      <c r="L1655" s="108"/>
      <c r="M1655" s="108"/>
      <c r="N1655" s="108" t="str">
        <v>P996P462</v>
      </c>
      <c r="O1655" s="108">
        <f t="shared" si="27"/>
        <v>1</v>
      </c>
      <c r="P1655" s="108"/>
      <c r="Q1655"/>
    </row>
    <row r="1656" spans="1:17" x14ac:dyDescent="0.25">
      <c r="A1656" s="89" t="s">
        <v>10275</v>
      </c>
      <c r="B1656" s="87" t="s">
        <v>10276</v>
      </c>
      <c r="C1656" s="87" t="s">
        <v>10</v>
      </c>
      <c r="D1656" s="87" t="str">
        <f>VLOOKUP(Tabela1[[#This Row],[Origem]], 'Perguntas 1 a 24'!$J$28:$K$34, 2, 0)</f>
        <v>Centro-Oeste</v>
      </c>
      <c r="E1656" s="87" t="str">
        <f>Tabela1[[#This Row],[Descrição]]&amp;"-"&amp;Tabela1[[#This Row],[Código]]&amp;"/"&amp;Tabela1[[#This Row],[Origem]]</f>
        <v>Cegefe-P248P453/GO</v>
      </c>
      <c r="F1656" s="88">
        <v>46445</v>
      </c>
      <c r="G1656" s="88" t="str" cm="1">
        <f t="array" ref="G16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AND(F1656&gt;= DATE(2026,1,1), F1656&lt;= DATE(2028, 12, 31), J1656&gt;50000), "Pendente e Caro", AND(F1656&gt;= DATE(2026,1,1), F1656&lt;= DATE(2028, 12, 31), J1656&lt;=50000), "Pendente", F1656&gt;= DATE(2029,1,1), "Não prioeitário")</f>
        <v>Pendente e Caro</v>
      </c>
      <c r="H1656" s="89">
        <f>YEAR(Tabela1[[#This Row],[Data de Validade]])</f>
        <v>2027</v>
      </c>
      <c r="I1656" s="89">
        <f>MONTH(Tabela1[[#This Row],[Data de Validade]])</f>
        <v>2</v>
      </c>
      <c r="J1656" s="101">
        <v>93631</v>
      </c>
      <c r="K1656" s="87" t="s">
        <v>9</v>
      </c>
      <c r="L1656" s="108"/>
      <c r="M1656" s="108"/>
      <c r="N1656" s="108" t="str">
        <v>P248P453</v>
      </c>
      <c r="O1656" s="108">
        <f t="shared" si="27"/>
        <v>1</v>
      </c>
      <c r="P1656" s="108"/>
      <c r="Q1656"/>
    </row>
    <row r="1657" spans="1:17" x14ac:dyDescent="0.25">
      <c r="A1657" s="89" t="s">
        <v>8875</v>
      </c>
      <c r="B1657" s="87" t="s">
        <v>8876</v>
      </c>
      <c r="C1657" s="87" t="s">
        <v>6</v>
      </c>
      <c r="D1657" s="87" t="str">
        <f>VLOOKUP(Tabela1[[#This Row],[Origem]], 'Perguntas 1 a 24'!$J$28:$K$34, 2, 0)</f>
        <v>Nordeste</v>
      </c>
      <c r="E1657" s="87" t="str">
        <f>Tabela1[[#This Row],[Descrição]]&amp;"-"&amp;Tabela1[[#This Row],[Código]]&amp;"/"&amp;Tabela1[[#This Row],[Origem]]</f>
        <v>Tifolito-P317P765/MA</v>
      </c>
      <c r="F1657" s="88">
        <v>46445</v>
      </c>
      <c r="G1657" s="88" t="str" cm="1">
        <f t="array" ref="G16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AND(F1657&gt;= DATE(2026,1,1), F1657&lt;= DATE(2028, 12, 31), J1657&gt;50000), "Pendente e Caro", AND(F1657&gt;= DATE(2026,1,1), F1657&lt;= DATE(2028, 12, 31), J1657&lt;=50000), "Pendente", F1657&gt;= DATE(2029,1,1), "Não prioeitário")</f>
        <v>Pendente e Caro</v>
      </c>
      <c r="H1657" s="89">
        <f>YEAR(Tabela1[[#This Row],[Data de Validade]])</f>
        <v>2027</v>
      </c>
      <c r="I1657" s="89">
        <f>MONTH(Tabela1[[#This Row],[Data de Validade]])</f>
        <v>2</v>
      </c>
      <c r="J1657" s="101">
        <v>68965</v>
      </c>
      <c r="K1657" s="87" t="s">
        <v>14</v>
      </c>
      <c r="L1657" s="108"/>
      <c r="M1657" s="108"/>
      <c r="N1657" s="108" t="str">
        <v>P317P765</v>
      </c>
      <c r="O1657" s="108">
        <f t="shared" si="27"/>
        <v>1</v>
      </c>
      <c r="P1657" s="108"/>
      <c r="Q1657"/>
    </row>
    <row r="1658" spans="1:17" x14ac:dyDescent="0.25">
      <c r="A1658" s="89" t="s">
        <v>6696</v>
      </c>
      <c r="B1658" s="87" t="s">
        <v>6697</v>
      </c>
      <c r="C1658" s="87" t="s">
        <v>12</v>
      </c>
      <c r="D1658" s="87" t="str">
        <f>VLOOKUP(Tabela1[[#This Row],[Origem]], 'Perguntas 1 a 24'!$J$28:$K$34, 2, 0)</f>
        <v>Sudeste</v>
      </c>
      <c r="E1658" s="87" t="str">
        <f>Tabela1[[#This Row],[Descrição]]&amp;"-"&amp;Tabela1[[#This Row],[Código]]&amp;"/"&amp;Tabela1[[#This Row],[Origem]]</f>
        <v>Toticica-P831P966/RJ</v>
      </c>
      <c r="F1658" s="88">
        <v>46445</v>
      </c>
      <c r="G1658" s="88" t="str" cm="1">
        <f t="array" ref="G16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AND(F1658&gt;= DATE(2026,1,1), F1658&lt;= DATE(2028, 12, 31), J1658&gt;50000), "Pendente e Caro", AND(F1658&gt;= DATE(2026,1,1), F1658&lt;= DATE(2028, 12, 31), J1658&lt;=50000), "Pendente", F1658&gt;= DATE(2029,1,1), "Não prioeitário")</f>
        <v>Pendente e Caro</v>
      </c>
      <c r="H1658" s="89">
        <f>YEAR(Tabela1[[#This Row],[Data de Validade]])</f>
        <v>2027</v>
      </c>
      <c r="I1658" s="89">
        <f>MONTH(Tabela1[[#This Row],[Data de Validade]])</f>
        <v>2</v>
      </c>
      <c r="J1658" s="101">
        <v>62736</v>
      </c>
      <c r="K1658" s="87" t="s">
        <v>9</v>
      </c>
      <c r="L1658" s="108"/>
      <c r="M1658" s="108"/>
      <c r="N1658" s="108" t="str">
        <v>P831P966</v>
      </c>
      <c r="O1658" s="108">
        <f t="shared" si="27"/>
        <v>1</v>
      </c>
      <c r="P1658" s="108"/>
      <c r="Q1658"/>
    </row>
    <row r="1659" spans="1:17" x14ac:dyDescent="0.25">
      <c r="A1659" s="89" t="s">
        <v>5504</v>
      </c>
      <c r="B1659" s="87" t="s">
        <v>5505</v>
      </c>
      <c r="C1659" s="87" t="s">
        <v>6</v>
      </c>
      <c r="D1659" s="87" t="str">
        <f>VLOOKUP(Tabela1[[#This Row],[Origem]], 'Perguntas 1 a 24'!$J$28:$K$34, 2, 0)</f>
        <v>Nordeste</v>
      </c>
      <c r="E1659" s="87" t="str">
        <f>Tabela1[[#This Row],[Descrição]]&amp;"-"&amp;Tabela1[[#This Row],[Código]]&amp;"/"&amp;Tabela1[[#This Row],[Origem]]</f>
        <v>Dotate-P196P971/MA</v>
      </c>
      <c r="F1659" s="88">
        <v>46446</v>
      </c>
      <c r="G1659" s="88" t="str" cm="1">
        <f t="array" ref="G16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AND(F1659&gt;= DATE(2026,1,1), F1659&lt;= DATE(2028, 12, 31), J1659&gt;50000), "Pendente e Caro", AND(F1659&gt;= DATE(2026,1,1), F1659&lt;= DATE(2028, 12, 31), J1659&lt;=50000), "Pendente", F1659&gt;= DATE(2029,1,1), "Não prioeitário")</f>
        <v>Pendente e Caro</v>
      </c>
      <c r="H1659" s="89">
        <f>YEAR(Tabela1[[#This Row],[Data de Validade]])</f>
        <v>2027</v>
      </c>
      <c r="I1659" s="89">
        <f>MONTH(Tabela1[[#This Row],[Data de Validade]])</f>
        <v>2</v>
      </c>
      <c r="J1659" s="101">
        <v>101793</v>
      </c>
      <c r="K1659" s="87" t="s">
        <v>9</v>
      </c>
      <c r="L1659" s="108"/>
      <c r="M1659" s="108"/>
      <c r="N1659" s="108" t="str">
        <v>P196P971</v>
      </c>
      <c r="O1659" s="108">
        <f t="shared" si="27"/>
        <v>1</v>
      </c>
      <c r="P1659" s="108"/>
      <c r="Q1659"/>
    </row>
    <row r="1660" spans="1:17" x14ac:dyDescent="0.25">
      <c r="A1660" s="89" t="s">
        <v>9347</v>
      </c>
      <c r="B1660" s="87" t="s">
        <v>9348</v>
      </c>
      <c r="C1660" s="87" t="s">
        <v>10</v>
      </c>
      <c r="D1660" s="87" t="str">
        <f>VLOOKUP(Tabela1[[#This Row],[Origem]], 'Perguntas 1 a 24'!$J$28:$K$34, 2, 0)</f>
        <v>Centro-Oeste</v>
      </c>
      <c r="E1660" s="87" t="str">
        <f>Tabela1[[#This Row],[Descrição]]&amp;"-"&amp;Tabela1[[#This Row],[Código]]&amp;"/"&amp;Tabela1[[#This Row],[Origem]]</f>
        <v>Teredefuvi-P288P446/GO</v>
      </c>
      <c r="F1660" s="88">
        <v>46446</v>
      </c>
      <c r="G1660" s="88" t="str" cm="1">
        <f t="array" ref="G16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AND(F1660&gt;= DATE(2026,1,1), F1660&lt;= DATE(2028, 12, 31), J1660&gt;50000), "Pendente e Caro", AND(F1660&gt;= DATE(2026,1,1), F1660&lt;= DATE(2028, 12, 31), J1660&lt;=50000), "Pendente", F1660&gt;= DATE(2029,1,1), "Não prioeitário")</f>
        <v>Pendente</v>
      </c>
      <c r="H1660" s="89">
        <f>YEAR(Tabela1[[#This Row],[Data de Validade]])</f>
        <v>2027</v>
      </c>
      <c r="I1660" s="89">
        <f>MONTH(Tabela1[[#This Row],[Data de Validade]])</f>
        <v>2</v>
      </c>
      <c r="J1660" s="101">
        <v>44565</v>
      </c>
      <c r="K1660" s="87" t="s">
        <v>11</v>
      </c>
      <c r="L1660" s="108"/>
      <c r="M1660" s="108"/>
      <c r="N1660" s="108" t="str">
        <v>P288P446</v>
      </c>
      <c r="O1660" s="108">
        <f t="shared" si="27"/>
        <v>1</v>
      </c>
      <c r="P1660" s="108"/>
      <c r="Q1660"/>
    </row>
    <row r="1661" spans="1:17" x14ac:dyDescent="0.25">
      <c r="A1661" s="89" t="s">
        <v>9029</v>
      </c>
      <c r="B1661" s="87" t="s">
        <v>9030</v>
      </c>
      <c r="C1661" s="87" t="s">
        <v>6</v>
      </c>
      <c r="D1661" s="87" t="str">
        <f>VLOOKUP(Tabela1[[#This Row],[Origem]], 'Perguntas 1 a 24'!$J$28:$K$34, 2, 0)</f>
        <v>Nordeste</v>
      </c>
      <c r="E1661" s="87" t="str">
        <f>Tabela1[[#This Row],[Descrição]]&amp;"-"&amp;Tabela1[[#This Row],[Código]]&amp;"/"&amp;Tabela1[[#This Row],[Origem]]</f>
        <v>Rupegi-P853P455/MA</v>
      </c>
      <c r="F1661" s="88">
        <v>46446</v>
      </c>
      <c r="G1661" s="88" t="str" cm="1">
        <f t="array" ref="G16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AND(F1661&gt;= DATE(2026,1,1), F1661&lt;= DATE(2028, 12, 31), J1661&gt;50000), "Pendente e Caro", AND(F1661&gt;= DATE(2026,1,1), F1661&lt;= DATE(2028, 12, 31), J1661&lt;=50000), "Pendente", F1661&gt;= DATE(2029,1,1), "Não prioeitário")</f>
        <v>Pendente</v>
      </c>
      <c r="H1661" s="89">
        <f>YEAR(Tabela1[[#This Row],[Data de Validade]])</f>
        <v>2027</v>
      </c>
      <c r="I1661" s="89">
        <f>MONTH(Tabela1[[#This Row],[Data de Validade]])</f>
        <v>2</v>
      </c>
      <c r="J1661" s="101">
        <v>31585</v>
      </c>
      <c r="K1661" s="87" t="s">
        <v>7</v>
      </c>
      <c r="L1661" s="108"/>
      <c r="M1661" s="108"/>
      <c r="N1661" s="108" t="str">
        <v>P853P455</v>
      </c>
      <c r="O1661" s="108">
        <f t="shared" si="27"/>
        <v>1</v>
      </c>
      <c r="P1661" s="108"/>
      <c r="Q1661"/>
    </row>
    <row r="1662" spans="1:17" x14ac:dyDescent="0.25">
      <c r="A1662" s="89" t="s">
        <v>4455</v>
      </c>
      <c r="B1662" s="87" t="s">
        <v>4456</v>
      </c>
      <c r="C1662" s="87" t="s">
        <v>12</v>
      </c>
      <c r="D1662" s="87" t="str">
        <f>VLOOKUP(Tabela1[[#This Row],[Origem]], 'Perguntas 1 a 24'!$J$28:$K$34, 2, 0)</f>
        <v>Sudeste</v>
      </c>
      <c r="E1662" s="87" t="str">
        <f>Tabela1[[#This Row],[Descrição]]&amp;"-"&amp;Tabela1[[#This Row],[Código]]&amp;"/"&amp;Tabela1[[#This Row],[Origem]]</f>
        <v>Getulatigu-P531P457/RJ</v>
      </c>
      <c r="F1662" s="88">
        <v>46447</v>
      </c>
      <c r="G1662" s="88" t="str" cm="1">
        <f t="array" ref="G16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AND(F1662&gt;= DATE(2026,1,1), F1662&lt;= DATE(2028, 12, 31), J1662&gt;50000), "Pendente e Caro", AND(F1662&gt;= DATE(2026,1,1), F1662&lt;= DATE(2028, 12, 31), J1662&lt;=50000), "Pendente", F1662&gt;= DATE(2029,1,1), "Não prioeitário")</f>
        <v>Pendente e Caro</v>
      </c>
      <c r="H1662" s="89">
        <f>YEAR(Tabela1[[#This Row],[Data de Validade]])</f>
        <v>2027</v>
      </c>
      <c r="I1662" s="89">
        <f>MONTH(Tabela1[[#This Row],[Data de Validade]])</f>
        <v>3</v>
      </c>
      <c r="J1662" s="101">
        <v>107847</v>
      </c>
      <c r="K1662" s="87" t="s">
        <v>11</v>
      </c>
      <c r="L1662" s="108"/>
      <c r="M1662" s="108"/>
      <c r="N1662" s="108" t="str">
        <v>P531P457</v>
      </c>
      <c r="O1662" s="108">
        <f t="shared" si="27"/>
        <v>1</v>
      </c>
      <c r="P1662" s="108"/>
      <c r="Q1662"/>
    </row>
    <row r="1663" spans="1:17" x14ac:dyDescent="0.25">
      <c r="A1663" s="89" t="s">
        <v>5050</v>
      </c>
      <c r="B1663" s="87" t="s">
        <v>5051</v>
      </c>
      <c r="C1663" s="87" t="s">
        <v>12</v>
      </c>
      <c r="D1663" s="87" t="str">
        <f>VLOOKUP(Tabela1[[#This Row],[Origem]], 'Perguntas 1 a 24'!$J$28:$K$34, 2, 0)</f>
        <v>Sudeste</v>
      </c>
      <c r="E1663" s="87" t="str">
        <f>Tabela1[[#This Row],[Descrição]]&amp;"-"&amp;Tabela1[[#This Row],[Código]]&amp;"/"&amp;Tabela1[[#This Row],[Origem]]</f>
        <v>Rurapirefu-P635P142/RJ</v>
      </c>
      <c r="F1663" s="88">
        <v>46447</v>
      </c>
      <c r="G1663" s="88" t="str" cm="1">
        <f t="array" ref="G16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AND(F1663&gt;= DATE(2026,1,1), F1663&lt;= DATE(2028, 12, 31), J1663&gt;50000), "Pendente e Caro", AND(F1663&gt;= DATE(2026,1,1), F1663&lt;= DATE(2028, 12, 31), J1663&lt;=50000), "Pendente", F1663&gt;= DATE(2029,1,1), "Não prioeitário")</f>
        <v>Pendente</v>
      </c>
      <c r="H1663" s="89">
        <f>YEAR(Tabela1[[#This Row],[Data de Validade]])</f>
        <v>2027</v>
      </c>
      <c r="I1663" s="89">
        <f>MONTH(Tabela1[[#This Row],[Data de Validade]])</f>
        <v>3</v>
      </c>
      <c r="J1663" s="101">
        <v>47145</v>
      </c>
      <c r="K1663" s="87" t="s">
        <v>11</v>
      </c>
      <c r="L1663" s="108"/>
      <c r="M1663" s="108"/>
      <c r="N1663" s="108" t="str">
        <v>P635P142</v>
      </c>
      <c r="O1663" s="108">
        <f t="shared" si="27"/>
        <v>1</v>
      </c>
      <c r="P1663" s="108"/>
      <c r="Q1663"/>
    </row>
    <row r="1664" spans="1:17" x14ac:dyDescent="0.25">
      <c r="A1664" s="89" t="s">
        <v>5796</v>
      </c>
      <c r="B1664" s="87" t="s">
        <v>5797</v>
      </c>
      <c r="C1664" s="87" t="s">
        <v>8</v>
      </c>
      <c r="D1664" s="87" t="str">
        <f>VLOOKUP(Tabela1[[#This Row],[Origem]], 'Perguntas 1 a 24'!$J$28:$K$34, 2, 0)</f>
        <v>Nordeste</v>
      </c>
      <c r="E1664" s="87" t="str">
        <f>Tabela1[[#This Row],[Descrição]]&amp;"-"&amp;Tabela1[[#This Row],[Código]]&amp;"/"&amp;Tabela1[[#This Row],[Origem]]</f>
        <v>Figugidi-P212H834/AL</v>
      </c>
      <c r="F1664" s="88">
        <v>46449</v>
      </c>
      <c r="G1664" s="88" t="str" cm="1">
        <f t="array" ref="G16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AND(F1664&gt;= DATE(2026,1,1), F1664&lt;= DATE(2028, 12, 31), J1664&gt;50000), "Pendente e Caro", AND(F1664&gt;= DATE(2026,1,1), F1664&lt;= DATE(2028, 12, 31), J1664&lt;=50000), "Pendente", F1664&gt;= DATE(2029,1,1), "Não prioeitário")</f>
        <v>Pendente e Caro</v>
      </c>
      <c r="H1664" s="89">
        <f>YEAR(Tabela1[[#This Row],[Data de Validade]])</f>
        <v>2027</v>
      </c>
      <c r="I1664" s="89">
        <f>MONTH(Tabela1[[#This Row],[Data de Validade]])</f>
        <v>3</v>
      </c>
      <c r="J1664" s="101">
        <v>112447</v>
      </c>
      <c r="K1664" s="87" t="s">
        <v>9</v>
      </c>
      <c r="L1664" s="108"/>
      <c r="M1664" s="108"/>
      <c r="N1664" s="108" t="str">
        <v>P212H834</v>
      </c>
      <c r="O1664" s="108">
        <f t="shared" si="27"/>
        <v>1</v>
      </c>
      <c r="P1664" s="108"/>
      <c r="Q1664"/>
    </row>
    <row r="1665" spans="1:17" x14ac:dyDescent="0.25">
      <c r="A1665" s="89" t="s">
        <v>9337</v>
      </c>
      <c r="B1665" s="87" t="s">
        <v>9338</v>
      </c>
      <c r="C1665" s="87" t="s">
        <v>12</v>
      </c>
      <c r="D1665" s="87" t="str">
        <f>VLOOKUP(Tabela1[[#This Row],[Origem]], 'Perguntas 1 a 24'!$J$28:$K$34, 2, 0)</f>
        <v>Sudeste</v>
      </c>
      <c r="E1665" s="87" t="str">
        <f>Tabela1[[#This Row],[Descrição]]&amp;"-"&amp;Tabela1[[#This Row],[Código]]&amp;"/"&amp;Tabela1[[#This Row],[Origem]]</f>
        <v>Tutipaneli-P379H329/RJ</v>
      </c>
      <c r="F1665" s="88">
        <v>46449</v>
      </c>
      <c r="G1665" s="88" t="str" cm="1">
        <f t="array" ref="G16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AND(F1665&gt;= DATE(2026,1,1), F1665&lt;= DATE(2028, 12, 31), J1665&gt;50000), "Pendente e Caro", AND(F1665&gt;= DATE(2026,1,1), F1665&lt;= DATE(2028, 12, 31), J1665&lt;=50000), "Pendente", F1665&gt;= DATE(2029,1,1), "Não prioeitário")</f>
        <v>Pendente e Caro</v>
      </c>
      <c r="H1665" s="89">
        <f>YEAR(Tabela1[[#This Row],[Data de Validade]])</f>
        <v>2027</v>
      </c>
      <c r="I1665" s="89">
        <f>MONTH(Tabela1[[#This Row],[Data de Validade]])</f>
        <v>3</v>
      </c>
      <c r="J1665" s="101">
        <v>90101</v>
      </c>
      <c r="K1665" s="87" t="s">
        <v>14</v>
      </c>
      <c r="L1665" s="108"/>
      <c r="M1665" s="108"/>
      <c r="N1665" s="108" t="str">
        <v>P379H329</v>
      </c>
      <c r="O1665" s="108">
        <f t="shared" si="27"/>
        <v>1</v>
      </c>
      <c r="P1665" s="108"/>
      <c r="Q1665"/>
    </row>
    <row r="1666" spans="1:17" x14ac:dyDescent="0.25">
      <c r="A1666" s="89" t="s">
        <v>9933</v>
      </c>
      <c r="B1666" s="87" t="s">
        <v>9934</v>
      </c>
      <c r="C1666" s="87" t="s">
        <v>6</v>
      </c>
      <c r="D1666" s="87" t="str">
        <f>VLOOKUP(Tabela1[[#This Row],[Origem]], 'Perguntas 1 a 24'!$J$28:$K$34, 2, 0)</f>
        <v>Nordeste</v>
      </c>
      <c r="E1666" s="87" t="str">
        <f>Tabela1[[#This Row],[Descrição]]&amp;"-"&amp;Tabela1[[#This Row],[Código]]&amp;"/"&amp;Tabela1[[#This Row],[Origem]]</f>
        <v>Pedupavuro-H711P298/MA</v>
      </c>
      <c r="F1666" s="88">
        <v>46449</v>
      </c>
      <c r="G1666" s="88" t="str" cm="1">
        <f t="array" ref="G16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AND(F1666&gt;= DATE(2026,1,1), F1666&lt;= DATE(2028, 12, 31), J1666&gt;50000), "Pendente e Caro", AND(F1666&gt;= DATE(2026,1,1), F1666&lt;= DATE(2028, 12, 31), J1666&lt;=50000), "Pendente", F1666&gt;= DATE(2029,1,1), "Não prioeitário")</f>
        <v>Pendente</v>
      </c>
      <c r="H1666" s="89">
        <f>YEAR(Tabela1[[#This Row],[Data de Validade]])</f>
        <v>2027</v>
      </c>
      <c r="I1666" s="89">
        <f>MONTH(Tabela1[[#This Row],[Data de Validade]])</f>
        <v>3</v>
      </c>
      <c r="J1666" s="101">
        <v>48570</v>
      </c>
      <c r="K1666" s="87" t="s">
        <v>7</v>
      </c>
      <c r="L1666" s="108"/>
      <c r="M1666" s="108"/>
      <c r="N1666" s="108" t="str">
        <v>H711P298</v>
      </c>
      <c r="O1666" s="108">
        <f t="shared" si="27"/>
        <v>1</v>
      </c>
      <c r="P1666" s="108"/>
      <c r="Q1666"/>
    </row>
    <row r="1667" spans="1:17" x14ac:dyDescent="0.25">
      <c r="A1667" s="89" t="s">
        <v>9841</v>
      </c>
      <c r="B1667" s="87" t="s">
        <v>9842</v>
      </c>
      <c r="C1667" s="87" t="s">
        <v>12</v>
      </c>
      <c r="D1667" s="87" t="str">
        <f>VLOOKUP(Tabela1[[#This Row],[Origem]], 'Perguntas 1 a 24'!$J$28:$K$34, 2, 0)</f>
        <v>Sudeste</v>
      </c>
      <c r="E1667" s="87" t="str">
        <f>Tabela1[[#This Row],[Descrição]]&amp;"-"&amp;Tabela1[[#This Row],[Código]]&amp;"/"&amp;Tabela1[[#This Row],[Origem]]</f>
        <v>Fefapo-H463H424/RJ</v>
      </c>
      <c r="F1667" s="88">
        <v>46449</v>
      </c>
      <c r="G1667" s="88" t="str" cm="1">
        <f t="array" ref="G16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AND(F1667&gt;= DATE(2026,1,1), F1667&lt;= DATE(2028, 12, 31), J1667&gt;50000), "Pendente e Caro", AND(F1667&gt;= DATE(2026,1,1), F1667&lt;= DATE(2028, 12, 31), J1667&lt;=50000), "Pendente", F1667&gt;= DATE(2029,1,1), "Não prioeitário")</f>
        <v>Pendente</v>
      </c>
      <c r="H1667" s="89">
        <f>YEAR(Tabela1[[#This Row],[Data de Validade]])</f>
        <v>2027</v>
      </c>
      <c r="I1667" s="89">
        <f>MONTH(Tabela1[[#This Row],[Data de Validade]])</f>
        <v>3</v>
      </c>
      <c r="J1667" s="101">
        <v>33813</v>
      </c>
      <c r="K1667" s="87" t="s">
        <v>9</v>
      </c>
      <c r="L1667" s="108"/>
      <c r="M1667" s="108"/>
      <c r="N1667" s="108" t="str">
        <v>H463H424</v>
      </c>
      <c r="O1667" s="108">
        <f t="shared" ref="O1667:O1730" si="28">COUNTIFS(B:B,N1667)</f>
        <v>1</v>
      </c>
      <c r="P1667" s="108"/>
      <c r="Q1667"/>
    </row>
    <row r="1668" spans="1:17" x14ac:dyDescent="0.25">
      <c r="A1668" s="89" t="s">
        <v>5680</v>
      </c>
      <c r="B1668" s="87" t="s">
        <v>5681</v>
      </c>
      <c r="C1668" s="87" t="s">
        <v>12</v>
      </c>
      <c r="D1668" s="87" t="str">
        <f>VLOOKUP(Tabela1[[#This Row],[Origem]], 'Perguntas 1 a 24'!$J$28:$K$34, 2, 0)</f>
        <v>Sudeste</v>
      </c>
      <c r="E1668" s="87" t="str">
        <f>Tabela1[[#This Row],[Descrição]]&amp;"-"&amp;Tabela1[[#This Row],[Código]]&amp;"/"&amp;Tabela1[[#This Row],[Origem]]</f>
        <v>Gefevofe-P721H182/RJ</v>
      </c>
      <c r="F1668" s="88">
        <v>46450</v>
      </c>
      <c r="G1668" s="88" t="str" cm="1">
        <f t="array" ref="G16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AND(F1668&gt;= DATE(2026,1,1), F1668&lt;= DATE(2028, 12, 31), J1668&gt;50000), "Pendente e Caro", AND(F1668&gt;= DATE(2026,1,1), F1668&lt;= DATE(2028, 12, 31), J1668&lt;=50000), "Pendente", F1668&gt;= DATE(2029,1,1), "Não prioeitário")</f>
        <v>Pendente e Caro</v>
      </c>
      <c r="H1668" s="89">
        <f>YEAR(Tabela1[[#This Row],[Data de Validade]])</f>
        <v>2027</v>
      </c>
      <c r="I1668" s="89">
        <f>MONTH(Tabela1[[#This Row],[Data de Validade]])</f>
        <v>3</v>
      </c>
      <c r="J1668" s="101">
        <v>106815</v>
      </c>
      <c r="K1668" s="87" t="s">
        <v>14</v>
      </c>
      <c r="L1668" s="108"/>
      <c r="M1668" s="108"/>
      <c r="N1668" s="108" t="str">
        <v>P721H182</v>
      </c>
      <c r="O1668" s="108">
        <f t="shared" si="28"/>
        <v>1</v>
      </c>
      <c r="P1668" s="108"/>
      <c r="Q1668"/>
    </row>
    <row r="1669" spans="1:17" x14ac:dyDescent="0.25">
      <c r="A1669" s="89" t="s">
        <v>5206</v>
      </c>
      <c r="B1669" s="87" t="s">
        <v>5207</v>
      </c>
      <c r="C1669" s="87" t="s">
        <v>10</v>
      </c>
      <c r="D1669" s="87" t="str">
        <f>VLOOKUP(Tabela1[[#This Row],[Origem]], 'Perguntas 1 a 24'!$J$28:$K$34, 2, 0)</f>
        <v>Centro-Oeste</v>
      </c>
      <c r="E1669" s="87" t="str">
        <f>Tabela1[[#This Row],[Descrição]]&amp;"-"&amp;Tabela1[[#This Row],[Código]]&amp;"/"&amp;Tabela1[[#This Row],[Origem]]</f>
        <v>Falumavu-H653P541/GO</v>
      </c>
      <c r="F1669" s="88">
        <v>46450</v>
      </c>
      <c r="G1669" s="88" t="str" cm="1">
        <f t="array" ref="G16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AND(F1669&gt;= DATE(2026,1,1), F1669&lt;= DATE(2028, 12, 31), J1669&gt;50000), "Pendente e Caro", AND(F1669&gt;= DATE(2026,1,1), F1669&lt;= DATE(2028, 12, 31), J1669&lt;=50000), "Pendente", F1669&gt;= DATE(2029,1,1), "Não prioeitário")</f>
        <v>Pendente e Caro</v>
      </c>
      <c r="H1669" s="89">
        <f>YEAR(Tabela1[[#This Row],[Data de Validade]])</f>
        <v>2027</v>
      </c>
      <c r="I1669" s="89">
        <f>MONTH(Tabela1[[#This Row],[Data de Validade]])</f>
        <v>3</v>
      </c>
      <c r="J1669" s="101">
        <v>74734</v>
      </c>
      <c r="K1669" s="87" t="s">
        <v>9</v>
      </c>
      <c r="L1669" s="108"/>
      <c r="M1669" s="108"/>
      <c r="N1669" s="108" t="str">
        <v>H653P541</v>
      </c>
      <c r="O1669" s="108">
        <f t="shared" si="28"/>
        <v>1</v>
      </c>
      <c r="P1669" s="108"/>
      <c r="Q1669"/>
    </row>
    <row r="1670" spans="1:17" x14ac:dyDescent="0.25">
      <c r="A1670" s="89" t="s">
        <v>3768</v>
      </c>
      <c r="B1670" s="87" t="s">
        <v>3769</v>
      </c>
      <c r="C1670" s="87" t="s">
        <v>15</v>
      </c>
      <c r="D1670" s="87" t="str">
        <f>VLOOKUP(Tabela1[[#This Row],[Origem]], 'Perguntas 1 a 24'!$J$28:$K$34, 2, 0)</f>
        <v>Sudeste</v>
      </c>
      <c r="E1670" s="87" t="str">
        <f>Tabela1[[#This Row],[Descrição]]&amp;"-"&amp;Tabela1[[#This Row],[Código]]&amp;"/"&amp;Tabela1[[#This Row],[Origem]]</f>
        <v>Dateradido-P262H611/ES</v>
      </c>
      <c r="F1670" s="88">
        <v>46450</v>
      </c>
      <c r="G1670" s="88" t="str" cm="1">
        <f t="array" ref="G16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AND(F1670&gt;= DATE(2026,1,1), F1670&lt;= DATE(2028, 12, 31), J1670&gt;50000), "Pendente e Caro", AND(F1670&gt;= DATE(2026,1,1), F1670&lt;= DATE(2028, 12, 31), J1670&lt;=50000), "Pendente", F1670&gt;= DATE(2029,1,1), "Não prioeitário")</f>
        <v>Pendente</v>
      </c>
      <c r="H1670" s="89">
        <f>YEAR(Tabela1[[#This Row],[Data de Validade]])</f>
        <v>2027</v>
      </c>
      <c r="I1670" s="89">
        <f>MONTH(Tabela1[[#This Row],[Data de Validade]])</f>
        <v>3</v>
      </c>
      <c r="J1670" s="101">
        <v>28861</v>
      </c>
      <c r="K1670" s="87" t="s">
        <v>11</v>
      </c>
      <c r="L1670" s="108"/>
      <c r="M1670" s="108"/>
      <c r="N1670" s="108" t="str">
        <v>P262H611</v>
      </c>
      <c r="O1670" s="108">
        <f t="shared" si="28"/>
        <v>1</v>
      </c>
      <c r="P1670" s="108"/>
      <c r="Q1670"/>
    </row>
    <row r="1671" spans="1:17" x14ac:dyDescent="0.25">
      <c r="A1671" s="89" t="s">
        <v>9663</v>
      </c>
      <c r="B1671" s="87" t="s">
        <v>9664</v>
      </c>
      <c r="C1671" s="87" t="s">
        <v>10</v>
      </c>
      <c r="D1671" s="87" t="str">
        <f>VLOOKUP(Tabela1[[#This Row],[Origem]], 'Perguntas 1 a 24'!$J$28:$K$34, 2, 0)</f>
        <v>Centro-Oeste</v>
      </c>
      <c r="E1671" s="87" t="str">
        <f>Tabela1[[#This Row],[Descrição]]&amp;"-"&amp;Tabela1[[#This Row],[Código]]&amp;"/"&amp;Tabela1[[#This Row],[Origem]]</f>
        <v>Tapirutavi-P796P453/GO</v>
      </c>
      <c r="F1671" s="88">
        <v>46451</v>
      </c>
      <c r="G1671" s="88" t="str" cm="1">
        <f t="array" ref="G16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AND(F1671&gt;= DATE(2026,1,1), F1671&lt;= DATE(2028, 12, 31), J1671&gt;50000), "Pendente e Caro", AND(F1671&gt;= DATE(2026,1,1), F1671&lt;= DATE(2028, 12, 31), J1671&lt;=50000), "Pendente", F1671&gt;= DATE(2029,1,1), "Não prioeitário")</f>
        <v>Pendente e Caro</v>
      </c>
      <c r="H1671" s="89">
        <f>YEAR(Tabela1[[#This Row],[Data de Validade]])</f>
        <v>2027</v>
      </c>
      <c r="I1671" s="89">
        <f>MONTH(Tabela1[[#This Row],[Data de Validade]])</f>
        <v>3</v>
      </c>
      <c r="J1671" s="101">
        <v>72693</v>
      </c>
      <c r="K1671" s="87" t="s">
        <v>7</v>
      </c>
      <c r="L1671" s="108"/>
      <c r="M1671" s="108"/>
      <c r="N1671" s="108" t="str">
        <v>P796P453</v>
      </c>
      <c r="O1671" s="108">
        <f t="shared" si="28"/>
        <v>1</v>
      </c>
      <c r="P1671" s="108"/>
      <c r="Q1671"/>
    </row>
    <row r="1672" spans="1:17" x14ac:dyDescent="0.25">
      <c r="A1672" s="89" t="s">
        <v>5278</v>
      </c>
      <c r="B1672" s="87" t="s">
        <v>5279</v>
      </c>
      <c r="C1672" s="87" t="s">
        <v>16</v>
      </c>
      <c r="D1672" s="87" t="str">
        <f>VLOOKUP(Tabela1[[#This Row],[Origem]], 'Perguntas 1 a 24'!$J$28:$K$34, 2, 0)</f>
        <v>Sudeste</v>
      </c>
      <c r="E1672" s="87" t="str">
        <f>Tabela1[[#This Row],[Descrição]]&amp;"-"&amp;Tabela1[[#This Row],[Código]]&amp;"/"&amp;Tabela1[[#This Row],[Origem]]</f>
        <v>Gofipepive-P119H836/MG</v>
      </c>
      <c r="F1672" s="88">
        <v>46452</v>
      </c>
      <c r="G1672" s="88" t="str" cm="1">
        <f t="array" ref="G16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AND(F1672&gt;= DATE(2026,1,1), F1672&lt;= DATE(2028, 12, 31), J1672&gt;50000), "Pendente e Caro", AND(F1672&gt;= DATE(2026,1,1), F1672&lt;= DATE(2028, 12, 31), J1672&lt;=50000), "Pendente", F1672&gt;= DATE(2029,1,1), "Não prioeitário")</f>
        <v>Pendente e Caro</v>
      </c>
      <c r="H1672" s="89">
        <f>YEAR(Tabela1[[#This Row],[Data de Validade]])</f>
        <v>2027</v>
      </c>
      <c r="I1672" s="89">
        <f>MONTH(Tabela1[[#This Row],[Data de Validade]])</f>
        <v>3</v>
      </c>
      <c r="J1672" s="101">
        <v>105236</v>
      </c>
      <c r="K1672" s="87" t="s">
        <v>9</v>
      </c>
      <c r="L1672" s="108"/>
      <c r="M1672" s="108"/>
      <c r="N1672" s="108" t="str">
        <v>P119H836</v>
      </c>
      <c r="O1672" s="108">
        <f t="shared" si="28"/>
        <v>1</v>
      </c>
      <c r="P1672" s="108"/>
      <c r="Q1672"/>
    </row>
    <row r="1673" spans="1:17" x14ac:dyDescent="0.25">
      <c r="A1673" s="89" t="s">
        <v>4062</v>
      </c>
      <c r="B1673" s="87" t="s">
        <v>4063</v>
      </c>
      <c r="C1673" s="87" t="s">
        <v>16</v>
      </c>
      <c r="D1673" s="87" t="str">
        <f>VLOOKUP(Tabela1[[#This Row],[Origem]], 'Perguntas 1 a 24'!$J$28:$K$34, 2, 0)</f>
        <v>Sudeste</v>
      </c>
      <c r="E1673" s="87" t="str">
        <f>Tabela1[[#This Row],[Descrição]]&amp;"-"&amp;Tabela1[[#This Row],[Código]]&amp;"/"&amp;Tabela1[[#This Row],[Origem]]</f>
        <v>Totoratoti-H136P937/MG</v>
      </c>
      <c r="F1673" s="88">
        <v>46452</v>
      </c>
      <c r="G1673" s="88" t="str" cm="1">
        <f t="array" ref="G16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AND(F1673&gt;= DATE(2026,1,1), F1673&lt;= DATE(2028, 12, 31), J1673&gt;50000), "Pendente e Caro", AND(F1673&gt;= DATE(2026,1,1), F1673&lt;= DATE(2028, 12, 31), J1673&lt;=50000), "Pendente", F1673&gt;= DATE(2029,1,1), "Não prioeitário")</f>
        <v>Pendente e Caro</v>
      </c>
      <c r="H1673" s="89">
        <f>YEAR(Tabela1[[#This Row],[Data de Validade]])</f>
        <v>2027</v>
      </c>
      <c r="I1673" s="89">
        <f>MONTH(Tabela1[[#This Row],[Data de Validade]])</f>
        <v>3</v>
      </c>
      <c r="J1673" s="101">
        <v>89760</v>
      </c>
      <c r="K1673" s="87" t="s">
        <v>11</v>
      </c>
      <c r="L1673" s="108"/>
      <c r="M1673" s="108"/>
      <c r="N1673" s="108" t="str">
        <v>H136P937</v>
      </c>
      <c r="O1673" s="108">
        <f t="shared" si="28"/>
        <v>1</v>
      </c>
      <c r="P1673" s="108"/>
      <c r="Q1673"/>
    </row>
    <row r="1674" spans="1:17" x14ac:dyDescent="0.25">
      <c r="A1674" s="89" t="s">
        <v>7832</v>
      </c>
      <c r="B1674" s="87" t="s">
        <v>7833</v>
      </c>
      <c r="C1674" s="87" t="s">
        <v>16</v>
      </c>
      <c r="D1674" s="87" t="str">
        <f>VLOOKUP(Tabela1[[#This Row],[Origem]], 'Perguntas 1 a 24'!$J$28:$K$34, 2, 0)</f>
        <v>Sudeste</v>
      </c>
      <c r="E1674" s="87" t="str">
        <f>Tabela1[[#This Row],[Descrição]]&amp;"-"&amp;Tabela1[[#This Row],[Código]]&amp;"/"&amp;Tabela1[[#This Row],[Origem]]</f>
        <v>Matalupa-H978H862/MG</v>
      </c>
      <c r="F1674" s="88">
        <v>46452</v>
      </c>
      <c r="G1674" s="88" t="str" cm="1">
        <f t="array" ref="G16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AND(F1674&gt;= DATE(2026,1,1), F1674&lt;= DATE(2028, 12, 31), J1674&gt;50000), "Pendente e Caro", AND(F1674&gt;= DATE(2026,1,1), F1674&lt;= DATE(2028, 12, 31), J1674&lt;=50000), "Pendente", F1674&gt;= DATE(2029,1,1), "Não prioeitário")</f>
        <v>Pendente</v>
      </c>
      <c r="H1674" s="89">
        <f>YEAR(Tabela1[[#This Row],[Data de Validade]])</f>
        <v>2027</v>
      </c>
      <c r="I1674" s="89">
        <f>MONTH(Tabela1[[#This Row],[Data de Validade]])</f>
        <v>3</v>
      </c>
      <c r="J1674" s="101">
        <v>36391</v>
      </c>
      <c r="K1674" s="87" t="s">
        <v>11</v>
      </c>
      <c r="L1674" s="108"/>
      <c r="M1674" s="108"/>
      <c r="N1674" s="108" t="str">
        <v>H978H862</v>
      </c>
      <c r="O1674" s="108">
        <f t="shared" si="28"/>
        <v>1</v>
      </c>
      <c r="P1674" s="108"/>
      <c r="Q1674"/>
    </row>
    <row r="1675" spans="1:17" x14ac:dyDescent="0.25">
      <c r="A1675" s="89" t="s">
        <v>8214</v>
      </c>
      <c r="B1675" s="87" t="s">
        <v>8215</v>
      </c>
      <c r="C1675" s="87" t="s">
        <v>12</v>
      </c>
      <c r="D1675" s="87" t="str">
        <f>VLOOKUP(Tabela1[[#This Row],[Origem]], 'Perguntas 1 a 24'!$J$28:$K$34, 2, 0)</f>
        <v>Sudeste</v>
      </c>
      <c r="E1675" s="87" t="str">
        <f>Tabela1[[#This Row],[Descrição]]&amp;"-"&amp;Tabela1[[#This Row],[Código]]&amp;"/"&amp;Tabela1[[#This Row],[Origem]]</f>
        <v>Vigeva-H695H871/RJ</v>
      </c>
      <c r="F1675" s="88">
        <v>46453</v>
      </c>
      <c r="G1675" s="88" t="str" cm="1">
        <f t="array" ref="G16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AND(F1675&gt;= DATE(2026,1,1), F1675&lt;= DATE(2028, 12, 31), J1675&gt;50000), "Pendente e Caro", AND(F1675&gt;= DATE(2026,1,1), F1675&lt;= DATE(2028, 12, 31), J1675&lt;=50000), "Pendente", F1675&gt;= DATE(2029,1,1), "Não prioeitário")</f>
        <v>Pendente e Caro</v>
      </c>
      <c r="H1675" s="89">
        <f>YEAR(Tabela1[[#This Row],[Data de Validade]])</f>
        <v>2027</v>
      </c>
      <c r="I1675" s="89">
        <f>MONTH(Tabela1[[#This Row],[Data de Validade]])</f>
        <v>3</v>
      </c>
      <c r="J1675" s="101">
        <v>107154</v>
      </c>
      <c r="K1675" s="87" t="s">
        <v>11</v>
      </c>
      <c r="L1675" s="108"/>
      <c r="M1675" s="108"/>
      <c r="N1675" s="108" t="str">
        <v>H695H871</v>
      </c>
      <c r="O1675" s="108">
        <f t="shared" si="28"/>
        <v>1</v>
      </c>
      <c r="P1675" s="108"/>
      <c r="Q1675"/>
    </row>
    <row r="1676" spans="1:17" x14ac:dyDescent="0.25">
      <c r="A1676" s="89" t="s">
        <v>4289</v>
      </c>
      <c r="B1676" s="87" t="s">
        <v>4290</v>
      </c>
      <c r="C1676" s="87" t="s">
        <v>15</v>
      </c>
      <c r="D1676" s="87" t="str">
        <f>VLOOKUP(Tabela1[[#This Row],[Origem]], 'Perguntas 1 a 24'!$J$28:$K$34, 2, 0)</f>
        <v>Sudeste</v>
      </c>
      <c r="E1676" s="87" t="str">
        <f>Tabela1[[#This Row],[Descrição]]&amp;"-"&amp;Tabela1[[#This Row],[Código]]&amp;"/"&amp;Tabela1[[#This Row],[Origem]]</f>
        <v>Perifelire-P676H665/ES</v>
      </c>
      <c r="F1676" s="88">
        <v>46453</v>
      </c>
      <c r="G1676" s="88" t="str" cm="1">
        <f t="array" ref="G16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AND(F1676&gt;= DATE(2026,1,1), F1676&lt;= DATE(2028, 12, 31), J1676&gt;50000), "Pendente e Caro", AND(F1676&gt;= DATE(2026,1,1), F1676&lt;= DATE(2028, 12, 31), J1676&lt;=50000), "Pendente", F1676&gt;= DATE(2029,1,1), "Não prioeitário")</f>
        <v>Pendente e Caro</v>
      </c>
      <c r="H1676" s="89">
        <f>YEAR(Tabela1[[#This Row],[Data de Validade]])</f>
        <v>2027</v>
      </c>
      <c r="I1676" s="89">
        <f>MONTH(Tabela1[[#This Row],[Data de Validade]])</f>
        <v>3</v>
      </c>
      <c r="J1676" s="101">
        <v>105676</v>
      </c>
      <c r="K1676" s="87" t="s">
        <v>14</v>
      </c>
      <c r="L1676" s="108"/>
      <c r="M1676" s="108"/>
      <c r="N1676" s="108" t="str">
        <v>P676H665</v>
      </c>
      <c r="O1676" s="108">
        <f t="shared" si="28"/>
        <v>1</v>
      </c>
      <c r="P1676" s="108"/>
      <c r="Q1676"/>
    </row>
    <row r="1677" spans="1:17" x14ac:dyDescent="0.25">
      <c r="A1677" s="89" t="s">
        <v>8366</v>
      </c>
      <c r="B1677" s="87" t="s">
        <v>8367</v>
      </c>
      <c r="C1677" s="87" t="s">
        <v>10</v>
      </c>
      <c r="D1677" s="87" t="str">
        <f>VLOOKUP(Tabela1[[#This Row],[Origem]], 'Perguntas 1 a 24'!$J$28:$K$34, 2, 0)</f>
        <v>Centro-Oeste</v>
      </c>
      <c r="E1677" s="87" t="str">
        <f>Tabela1[[#This Row],[Descrição]]&amp;"-"&amp;Tabela1[[#This Row],[Código]]&amp;"/"&amp;Tabela1[[#This Row],[Origem]]</f>
        <v>Toduti-P112P346/GO</v>
      </c>
      <c r="F1677" s="88">
        <v>46453</v>
      </c>
      <c r="G1677" s="88" t="str" cm="1">
        <f t="array" ref="G16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AND(F1677&gt;= DATE(2026,1,1), F1677&lt;= DATE(2028, 12, 31), J1677&gt;50000), "Pendente e Caro", AND(F1677&gt;= DATE(2026,1,1), F1677&lt;= DATE(2028, 12, 31), J1677&lt;=50000), "Pendente", F1677&gt;= DATE(2029,1,1), "Não prioeitário")</f>
        <v>Pendente e Caro</v>
      </c>
      <c r="H1677" s="89">
        <f>YEAR(Tabela1[[#This Row],[Data de Validade]])</f>
        <v>2027</v>
      </c>
      <c r="I1677" s="89">
        <f>MONTH(Tabela1[[#This Row],[Data de Validade]])</f>
        <v>3</v>
      </c>
      <c r="J1677" s="101">
        <v>57067</v>
      </c>
      <c r="K1677" s="87" t="s">
        <v>7</v>
      </c>
      <c r="L1677" s="108"/>
      <c r="M1677" s="108"/>
      <c r="N1677" s="108" t="str">
        <v>P112P346</v>
      </c>
      <c r="O1677" s="108">
        <f t="shared" si="28"/>
        <v>1</v>
      </c>
      <c r="P1677" s="108"/>
      <c r="Q1677"/>
    </row>
    <row r="1678" spans="1:17" x14ac:dyDescent="0.25">
      <c r="A1678" s="89" t="s">
        <v>10992</v>
      </c>
      <c r="B1678" s="87" t="s">
        <v>10993</v>
      </c>
      <c r="C1678" s="87" t="s">
        <v>6</v>
      </c>
      <c r="D1678" s="87" t="str">
        <f>VLOOKUP(Tabela1[[#This Row],[Origem]], 'Perguntas 1 a 24'!$J$28:$K$34, 2, 0)</f>
        <v>Nordeste</v>
      </c>
      <c r="E1678" s="87" t="str">
        <f>Tabela1[[#This Row],[Descrição]]&amp;"-"&amp;Tabela1[[#This Row],[Código]]&amp;"/"&amp;Tabela1[[#This Row],[Origem]]</f>
        <v>Pitocupo-H793H261/MA</v>
      </c>
      <c r="F1678" s="88">
        <v>46454</v>
      </c>
      <c r="G1678" s="88" t="str" cm="1">
        <f t="array" ref="G16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AND(F1678&gt;= DATE(2026,1,1), F1678&lt;= DATE(2028, 12, 31), J1678&gt;50000), "Pendente e Caro", AND(F1678&gt;= DATE(2026,1,1), F1678&lt;= DATE(2028, 12, 31), J1678&lt;=50000), "Pendente", F1678&gt;= DATE(2029,1,1), "Não prioeitário")</f>
        <v>Pendente e Caro</v>
      </c>
      <c r="H1678" s="89">
        <f>YEAR(Tabela1[[#This Row],[Data de Validade]])</f>
        <v>2027</v>
      </c>
      <c r="I1678" s="89">
        <f>MONTH(Tabela1[[#This Row],[Data de Validade]])</f>
        <v>3</v>
      </c>
      <c r="J1678" s="101">
        <v>84815</v>
      </c>
      <c r="K1678" s="87" t="s">
        <v>9</v>
      </c>
      <c r="L1678" s="108"/>
      <c r="M1678" s="108"/>
      <c r="N1678" s="108" t="str">
        <v>H793H261</v>
      </c>
      <c r="O1678" s="108">
        <f t="shared" si="28"/>
        <v>1</v>
      </c>
      <c r="P1678" s="108"/>
      <c r="Q1678"/>
    </row>
    <row r="1679" spans="1:17" x14ac:dyDescent="0.25">
      <c r="A1679" s="89" t="s">
        <v>7102</v>
      </c>
      <c r="B1679" s="87" t="s">
        <v>7103</v>
      </c>
      <c r="C1679" s="87" t="s">
        <v>15</v>
      </c>
      <c r="D1679" s="87" t="str">
        <f>VLOOKUP(Tabela1[[#This Row],[Origem]], 'Perguntas 1 a 24'!$J$28:$K$34, 2, 0)</f>
        <v>Sudeste</v>
      </c>
      <c r="E1679" s="87" t="str">
        <f>Tabela1[[#This Row],[Descrição]]&amp;"-"&amp;Tabela1[[#This Row],[Código]]&amp;"/"&amp;Tabela1[[#This Row],[Origem]]</f>
        <v>Folarofe-H645P187/ES</v>
      </c>
      <c r="F1679" s="88">
        <v>46454</v>
      </c>
      <c r="G1679" s="88" t="str" cm="1">
        <f t="array" ref="G16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AND(F1679&gt;= DATE(2026,1,1), F1679&lt;= DATE(2028, 12, 31), J1679&gt;50000), "Pendente e Caro", AND(F1679&gt;= DATE(2026,1,1), F1679&lt;= DATE(2028, 12, 31), J1679&lt;=50000), "Pendente", F1679&gt;= DATE(2029,1,1), "Não prioeitário")</f>
        <v>Pendente e Caro</v>
      </c>
      <c r="H1679" s="89">
        <f>YEAR(Tabela1[[#This Row],[Data de Validade]])</f>
        <v>2027</v>
      </c>
      <c r="I1679" s="89">
        <f>MONTH(Tabela1[[#This Row],[Data de Validade]])</f>
        <v>3</v>
      </c>
      <c r="J1679" s="101">
        <v>71704</v>
      </c>
      <c r="K1679" s="87" t="s">
        <v>11</v>
      </c>
      <c r="L1679" s="108"/>
      <c r="M1679" s="108"/>
      <c r="N1679" s="108" t="str">
        <v>H645P187</v>
      </c>
      <c r="O1679" s="108">
        <f t="shared" si="28"/>
        <v>1</v>
      </c>
      <c r="P1679" s="108"/>
      <c r="Q1679"/>
    </row>
    <row r="1680" spans="1:17" x14ac:dyDescent="0.25">
      <c r="A1680" s="89" t="s">
        <v>6752</v>
      </c>
      <c r="B1680" s="87" t="s">
        <v>6753</v>
      </c>
      <c r="C1680" s="87" t="s">
        <v>12</v>
      </c>
      <c r="D1680" s="87" t="str">
        <f>VLOOKUP(Tabela1[[#This Row],[Origem]], 'Perguntas 1 a 24'!$J$28:$K$34, 2, 0)</f>
        <v>Sudeste</v>
      </c>
      <c r="E1680" s="87" t="str">
        <f>Tabela1[[#This Row],[Descrição]]&amp;"-"&amp;Tabela1[[#This Row],[Código]]&amp;"/"&amp;Tabela1[[#This Row],[Origem]]</f>
        <v>Mupapu-P361H558/RJ</v>
      </c>
      <c r="F1680" s="88">
        <v>46455</v>
      </c>
      <c r="G1680" s="88" t="str" cm="1">
        <f t="array" ref="G16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AND(F1680&gt;= DATE(2026,1,1), F1680&lt;= DATE(2028, 12, 31), J1680&gt;50000), "Pendente e Caro", AND(F1680&gt;= DATE(2026,1,1), F1680&lt;= DATE(2028, 12, 31), J1680&lt;=50000), "Pendente", F1680&gt;= DATE(2029,1,1), "Não prioeitário")</f>
        <v>Pendente e Caro</v>
      </c>
      <c r="H1680" s="89">
        <f>YEAR(Tabela1[[#This Row],[Data de Validade]])</f>
        <v>2027</v>
      </c>
      <c r="I1680" s="89">
        <f>MONTH(Tabela1[[#This Row],[Data de Validade]])</f>
        <v>3</v>
      </c>
      <c r="J1680" s="101">
        <v>54427</v>
      </c>
      <c r="K1680" s="87" t="s">
        <v>14</v>
      </c>
      <c r="L1680" s="108"/>
      <c r="M1680" s="108"/>
      <c r="N1680" s="108" t="str">
        <v>P361H558</v>
      </c>
      <c r="O1680" s="108">
        <f t="shared" si="28"/>
        <v>1</v>
      </c>
      <c r="P1680" s="108"/>
      <c r="Q1680"/>
    </row>
    <row r="1681" spans="1:17" x14ac:dyDescent="0.25">
      <c r="A1681" s="89" t="s">
        <v>8929</v>
      </c>
      <c r="B1681" s="87" t="s">
        <v>8930</v>
      </c>
      <c r="C1681" s="87" t="s">
        <v>16</v>
      </c>
      <c r="D1681" s="87" t="str">
        <f>VLOOKUP(Tabela1[[#This Row],[Origem]], 'Perguntas 1 a 24'!$J$28:$K$34, 2, 0)</f>
        <v>Sudeste</v>
      </c>
      <c r="E1681" s="87" t="str">
        <f>Tabela1[[#This Row],[Descrição]]&amp;"-"&amp;Tabela1[[#This Row],[Código]]&amp;"/"&amp;Tabela1[[#This Row],[Origem]]</f>
        <v>Momuragi-H136P687/MG</v>
      </c>
      <c r="F1681" s="88">
        <v>46455</v>
      </c>
      <c r="G1681" s="88" t="str" cm="1">
        <f t="array" ref="G16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AND(F1681&gt;= DATE(2026,1,1), F1681&lt;= DATE(2028, 12, 31), J1681&gt;50000), "Pendente e Caro", AND(F1681&gt;= DATE(2026,1,1), F1681&lt;= DATE(2028, 12, 31), J1681&lt;=50000), "Pendente", F1681&gt;= DATE(2029,1,1), "Não prioeitário")</f>
        <v>Pendente</v>
      </c>
      <c r="H1681" s="89">
        <f>YEAR(Tabela1[[#This Row],[Data de Validade]])</f>
        <v>2027</v>
      </c>
      <c r="I1681" s="89">
        <f>MONTH(Tabela1[[#This Row],[Data de Validade]])</f>
        <v>3</v>
      </c>
      <c r="J1681" s="101">
        <v>48825</v>
      </c>
      <c r="K1681" s="87" t="s">
        <v>9</v>
      </c>
      <c r="L1681" s="108"/>
      <c r="M1681" s="108"/>
      <c r="N1681" s="108" t="str">
        <v>H136P687</v>
      </c>
      <c r="O1681" s="108">
        <f t="shared" si="28"/>
        <v>1</v>
      </c>
      <c r="P1681" s="108"/>
      <c r="Q1681"/>
    </row>
    <row r="1682" spans="1:17" x14ac:dyDescent="0.25">
      <c r="A1682" s="89" t="s">
        <v>6746</v>
      </c>
      <c r="B1682" s="87" t="s">
        <v>6747</v>
      </c>
      <c r="C1682" s="87" t="s">
        <v>12</v>
      </c>
      <c r="D1682" s="87" t="str">
        <f>VLOOKUP(Tabela1[[#This Row],[Origem]], 'Perguntas 1 a 24'!$J$28:$K$34, 2, 0)</f>
        <v>Sudeste</v>
      </c>
      <c r="E1682" s="87" t="str">
        <f>Tabela1[[#This Row],[Descrição]]&amp;"-"&amp;Tabela1[[#This Row],[Código]]&amp;"/"&amp;Tabela1[[#This Row],[Origem]]</f>
        <v>Ranapanana-H881H851/RJ</v>
      </c>
      <c r="F1682" s="88">
        <v>46457</v>
      </c>
      <c r="G1682" s="88" t="str" cm="1">
        <f t="array" ref="G16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AND(F1682&gt;= DATE(2026,1,1), F1682&lt;= DATE(2028, 12, 31), J1682&gt;50000), "Pendente e Caro", AND(F1682&gt;= DATE(2026,1,1), F1682&lt;= DATE(2028, 12, 31), J1682&lt;=50000), "Pendente", F1682&gt;= DATE(2029,1,1), "Não prioeitário")</f>
        <v>Pendente e Caro</v>
      </c>
      <c r="H1682" s="89">
        <f>YEAR(Tabela1[[#This Row],[Data de Validade]])</f>
        <v>2027</v>
      </c>
      <c r="I1682" s="89">
        <f>MONTH(Tabela1[[#This Row],[Data de Validade]])</f>
        <v>3</v>
      </c>
      <c r="J1682" s="101">
        <v>111502</v>
      </c>
      <c r="K1682" s="87" t="s">
        <v>14</v>
      </c>
      <c r="L1682" s="108"/>
      <c r="M1682" s="108"/>
      <c r="N1682" s="108" t="str">
        <v>H881H851</v>
      </c>
      <c r="O1682" s="108">
        <f t="shared" si="28"/>
        <v>1</v>
      </c>
      <c r="P1682" s="108"/>
      <c r="Q1682"/>
    </row>
    <row r="1683" spans="1:17" x14ac:dyDescent="0.25">
      <c r="A1683" s="89" t="s">
        <v>8452</v>
      </c>
      <c r="B1683" s="87" t="s">
        <v>8453</v>
      </c>
      <c r="C1683" s="87" t="s">
        <v>8</v>
      </c>
      <c r="D1683" s="87" t="str">
        <f>VLOOKUP(Tabela1[[#This Row],[Origem]], 'Perguntas 1 a 24'!$J$28:$K$34, 2, 0)</f>
        <v>Nordeste</v>
      </c>
      <c r="E1683" s="87" t="str">
        <f>Tabela1[[#This Row],[Descrição]]&amp;"-"&amp;Tabela1[[#This Row],[Código]]&amp;"/"&amp;Tabela1[[#This Row],[Origem]]</f>
        <v>Maputa-P854P273/AL</v>
      </c>
      <c r="F1683" s="88">
        <v>46457</v>
      </c>
      <c r="G1683" s="88" t="str" cm="1">
        <f t="array" ref="G16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AND(F1683&gt;= DATE(2026,1,1), F1683&lt;= DATE(2028, 12, 31), J1683&gt;50000), "Pendente e Caro", AND(F1683&gt;= DATE(2026,1,1), F1683&lt;= DATE(2028, 12, 31), J1683&lt;=50000), "Pendente", F1683&gt;= DATE(2029,1,1), "Não prioeitário")</f>
        <v>Pendente e Caro</v>
      </c>
      <c r="H1683" s="89">
        <f>YEAR(Tabela1[[#This Row],[Data de Validade]])</f>
        <v>2027</v>
      </c>
      <c r="I1683" s="89">
        <f>MONTH(Tabela1[[#This Row],[Data de Validade]])</f>
        <v>3</v>
      </c>
      <c r="J1683" s="101">
        <v>93160</v>
      </c>
      <c r="K1683" s="87" t="s">
        <v>9</v>
      </c>
      <c r="L1683" s="108"/>
      <c r="M1683" s="108"/>
      <c r="N1683" s="108" t="str">
        <v>P854P273</v>
      </c>
      <c r="O1683" s="108">
        <f t="shared" si="28"/>
        <v>1</v>
      </c>
      <c r="P1683" s="108"/>
      <c r="Q1683"/>
    </row>
    <row r="1684" spans="1:17" x14ac:dyDescent="0.25">
      <c r="A1684" s="89" t="s">
        <v>9411</v>
      </c>
      <c r="B1684" s="87" t="s">
        <v>9412</v>
      </c>
      <c r="C1684" s="87" t="s">
        <v>15</v>
      </c>
      <c r="D1684" s="87" t="str">
        <f>VLOOKUP(Tabela1[[#This Row],[Origem]], 'Perguntas 1 a 24'!$J$28:$K$34, 2, 0)</f>
        <v>Sudeste</v>
      </c>
      <c r="E1684" s="87" t="str">
        <f>Tabela1[[#This Row],[Descrição]]&amp;"-"&amp;Tabela1[[#This Row],[Código]]&amp;"/"&amp;Tabela1[[#This Row],[Origem]]</f>
        <v>Tafotafi-P917P759/ES</v>
      </c>
      <c r="F1684" s="88">
        <v>46458</v>
      </c>
      <c r="G1684" s="88" t="str" cm="1">
        <f t="array" ref="G16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AND(F1684&gt;= DATE(2026,1,1), F1684&lt;= DATE(2028, 12, 31), J1684&gt;50000), "Pendente e Caro", AND(F1684&gt;= DATE(2026,1,1), F1684&lt;= DATE(2028, 12, 31), J1684&lt;=50000), "Pendente", F1684&gt;= DATE(2029,1,1), "Não prioeitário")</f>
        <v>Pendente e Caro</v>
      </c>
      <c r="H1684" s="89">
        <f>YEAR(Tabela1[[#This Row],[Data de Validade]])</f>
        <v>2027</v>
      </c>
      <c r="I1684" s="89">
        <f>MONTH(Tabela1[[#This Row],[Data de Validade]])</f>
        <v>3</v>
      </c>
      <c r="J1684" s="101">
        <v>56436</v>
      </c>
      <c r="K1684" s="87" t="s">
        <v>9</v>
      </c>
      <c r="L1684" s="108"/>
      <c r="M1684" s="108"/>
      <c r="N1684" s="108" t="str">
        <v>P917P759</v>
      </c>
      <c r="O1684" s="108">
        <f t="shared" si="28"/>
        <v>1</v>
      </c>
      <c r="P1684" s="108"/>
      <c r="Q1684"/>
    </row>
    <row r="1685" spans="1:17" x14ac:dyDescent="0.25">
      <c r="A1685" s="89" t="s">
        <v>10303</v>
      </c>
      <c r="B1685" s="87" t="s">
        <v>10304</v>
      </c>
      <c r="C1685" s="87" t="s">
        <v>16</v>
      </c>
      <c r="D1685" s="87" t="str">
        <f>VLOOKUP(Tabela1[[#This Row],[Origem]], 'Perguntas 1 a 24'!$J$28:$K$34, 2, 0)</f>
        <v>Sudeste</v>
      </c>
      <c r="E1685" s="87" t="str">
        <f>Tabela1[[#This Row],[Descrição]]&amp;"-"&amp;Tabela1[[#This Row],[Código]]&amp;"/"&amp;Tabela1[[#This Row],[Origem]]</f>
        <v>Leduri-P728P973/MG</v>
      </c>
      <c r="F1685" s="88">
        <v>46459</v>
      </c>
      <c r="G1685" s="88" t="str" cm="1">
        <f t="array" ref="G16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AND(F1685&gt;= DATE(2026,1,1), F1685&lt;= DATE(2028, 12, 31), J1685&gt;50000), "Pendente e Caro", AND(F1685&gt;= DATE(2026,1,1), F1685&lt;= DATE(2028, 12, 31), J1685&lt;=50000), "Pendente", F1685&gt;= DATE(2029,1,1), "Não prioeitário")</f>
        <v>Pendente e Caro</v>
      </c>
      <c r="H1685" s="89">
        <f>YEAR(Tabela1[[#This Row],[Data de Validade]])</f>
        <v>2027</v>
      </c>
      <c r="I1685" s="89">
        <f>MONTH(Tabela1[[#This Row],[Data de Validade]])</f>
        <v>3</v>
      </c>
      <c r="J1685" s="101">
        <v>108450</v>
      </c>
      <c r="K1685" s="87" t="s">
        <v>7</v>
      </c>
      <c r="L1685" s="108"/>
      <c r="M1685" s="108"/>
      <c r="N1685" s="108" t="str">
        <v>P728P973</v>
      </c>
      <c r="O1685" s="108">
        <f t="shared" si="28"/>
        <v>1</v>
      </c>
      <c r="P1685" s="108"/>
      <c r="Q1685"/>
    </row>
    <row r="1686" spans="1:17" x14ac:dyDescent="0.25">
      <c r="A1686" s="89" t="s">
        <v>11046</v>
      </c>
      <c r="B1686" s="87" t="s">
        <v>11047</v>
      </c>
      <c r="C1686" s="87" t="s">
        <v>12</v>
      </c>
      <c r="D1686" s="87" t="str">
        <f>VLOOKUP(Tabela1[[#This Row],[Origem]], 'Perguntas 1 a 24'!$J$28:$K$34, 2, 0)</f>
        <v>Sudeste</v>
      </c>
      <c r="E1686" s="87" t="str">
        <f>Tabela1[[#This Row],[Descrição]]&amp;"-"&amp;Tabela1[[#This Row],[Código]]&amp;"/"&amp;Tabela1[[#This Row],[Origem]]</f>
        <v>Rivomopovo-P816H162/RJ</v>
      </c>
      <c r="F1686" s="88">
        <v>46459</v>
      </c>
      <c r="G1686" s="88" t="str" cm="1">
        <f t="array" ref="G16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AND(F1686&gt;= DATE(2026,1,1), F1686&lt;= DATE(2028, 12, 31), J1686&gt;50000), "Pendente e Caro", AND(F1686&gt;= DATE(2026,1,1), F1686&lt;= DATE(2028, 12, 31), J1686&lt;=50000), "Pendente", F1686&gt;= DATE(2029,1,1), "Não prioeitário")</f>
        <v>Pendente e Caro</v>
      </c>
      <c r="H1686" s="89">
        <f>YEAR(Tabela1[[#This Row],[Data de Validade]])</f>
        <v>2027</v>
      </c>
      <c r="I1686" s="89">
        <f>MONTH(Tabela1[[#This Row],[Data de Validade]])</f>
        <v>3</v>
      </c>
      <c r="J1686" s="101">
        <v>95703</v>
      </c>
      <c r="K1686" s="87" t="s">
        <v>11</v>
      </c>
      <c r="L1686" s="108"/>
      <c r="M1686" s="108"/>
      <c r="N1686" s="108" t="str">
        <v>P816H162</v>
      </c>
      <c r="O1686" s="108">
        <f t="shared" si="28"/>
        <v>1</v>
      </c>
      <c r="P1686" s="108"/>
      <c r="Q1686"/>
    </row>
    <row r="1687" spans="1:17" x14ac:dyDescent="0.25">
      <c r="A1687" s="89" t="s">
        <v>4174</v>
      </c>
      <c r="B1687" s="87" t="s">
        <v>4175</v>
      </c>
      <c r="C1687" s="87" t="s">
        <v>8</v>
      </c>
      <c r="D1687" s="87" t="str">
        <f>VLOOKUP(Tabela1[[#This Row],[Origem]], 'Perguntas 1 a 24'!$J$28:$K$34, 2, 0)</f>
        <v>Nordeste</v>
      </c>
      <c r="E1687" s="87" t="str">
        <f>Tabela1[[#This Row],[Descrição]]&amp;"-"&amp;Tabela1[[#This Row],[Código]]&amp;"/"&amp;Tabela1[[#This Row],[Origem]]</f>
        <v>Gipecemura-H544P832/AL</v>
      </c>
      <c r="F1687" s="88">
        <v>46459</v>
      </c>
      <c r="G1687" s="88" t="str" cm="1">
        <f t="array" ref="G16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AND(F1687&gt;= DATE(2026,1,1), F1687&lt;= DATE(2028, 12, 31), J1687&gt;50000), "Pendente e Caro", AND(F1687&gt;= DATE(2026,1,1), F1687&lt;= DATE(2028, 12, 31), J1687&lt;=50000), "Pendente", F1687&gt;= DATE(2029,1,1), "Não prioeitário")</f>
        <v>Pendente</v>
      </c>
      <c r="H1687" s="89">
        <f>YEAR(Tabela1[[#This Row],[Data de Validade]])</f>
        <v>2027</v>
      </c>
      <c r="I1687" s="89">
        <f>MONTH(Tabela1[[#This Row],[Data de Validade]])</f>
        <v>3</v>
      </c>
      <c r="J1687" s="101">
        <v>26323</v>
      </c>
      <c r="K1687" s="87" t="s">
        <v>11</v>
      </c>
      <c r="L1687" s="108"/>
      <c r="M1687" s="108"/>
      <c r="N1687" s="108" t="str">
        <v>H544P832</v>
      </c>
      <c r="O1687" s="108">
        <f t="shared" si="28"/>
        <v>1</v>
      </c>
      <c r="P1687" s="108"/>
      <c r="Q1687"/>
    </row>
    <row r="1688" spans="1:17" x14ac:dyDescent="0.25">
      <c r="A1688" s="89" t="s">
        <v>11206</v>
      </c>
      <c r="B1688" s="87" t="s">
        <v>11207</v>
      </c>
      <c r="C1688" s="87" t="s">
        <v>8</v>
      </c>
      <c r="D1688" s="87" t="str">
        <f>VLOOKUP(Tabela1[[#This Row],[Origem]], 'Perguntas 1 a 24'!$J$28:$K$34, 2, 0)</f>
        <v>Nordeste</v>
      </c>
      <c r="E1688" s="87" t="str">
        <f>Tabela1[[#This Row],[Descrição]]&amp;"-"&amp;Tabela1[[#This Row],[Código]]&amp;"/"&amp;Tabela1[[#This Row],[Origem]]</f>
        <v>Vonepa-P341H534/AL</v>
      </c>
      <c r="F1688" s="88">
        <v>46460</v>
      </c>
      <c r="G1688" s="88" t="str" cm="1">
        <f t="array" ref="G16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AND(F1688&gt;= DATE(2026,1,1), F1688&lt;= DATE(2028, 12, 31), J1688&gt;50000), "Pendente e Caro", AND(F1688&gt;= DATE(2026,1,1), F1688&lt;= DATE(2028, 12, 31), J1688&lt;=50000), "Pendente", F1688&gt;= DATE(2029,1,1), "Não prioeitário")</f>
        <v>Pendente e Caro</v>
      </c>
      <c r="H1688" s="89">
        <f>YEAR(Tabela1[[#This Row],[Data de Validade]])</f>
        <v>2027</v>
      </c>
      <c r="I1688" s="89">
        <f>MONTH(Tabela1[[#This Row],[Data de Validade]])</f>
        <v>3</v>
      </c>
      <c r="J1688" s="101">
        <v>117858</v>
      </c>
      <c r="K1688" s="87" t="s">
        <v>14</v>
      </c>
      <c r="L1688" s="108"/>
      <c r="M1688" s="108"/>
      <c r="N1688" s="108" t="str">
        <v>P341H534</v>
      </c>
      <c r="O1688" s="108">
        <f t="shared" si="28"/>
        <v>1</v>
      </c>
      <c r="P1688" s="108"/>
      <c r="Q1688"/>
    </row>
    <row r="1689" spans="1:17" x14ac:dyDescent="0.25">
      <c r="A1689" s="89" t="s">
        <v>6464</v>
      </c>
      <c r="B1689" s="87" t="s">
        <v>6465</v>
      </c>
      <c r="C1689" s="87" t="s">
        <v>6</v>
      </c>
      <c r="D1689" s="87" t="str">
        <f>VLOOKUP(Tabela1[[#This Row],[Origem]], 'Perguntas 1 a 24'!$J$28:$K$34, 2, 0)</f>
        <v>Nordeste</v>
      </c>
      <c r="E1689" s="87" t="str">
        <f>Tabela1[[#This Row],[Descrição]]&amp;"-"&amp;Tabela1[[#This Row],[Código]]&amp;"/"&amp;Tabela1[[#This Row],[Origem]]</f>
        <v>Gilatodefo-H522H664/MA</v>
      </c>
      <c r="F1689" s="88">
        <v>46460</v>
      </c>
      <c r="G1689" s="88" t="str" cm="1">
        <f t="array" ref="G16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AND(F1689&gt;= DATE(2026,1,1), F1689&lt;= DATE(2028, 12, 31), J1689&gt;50000), "Pendente e Caro", AND(F1689&gt;= DATE(2026,1,1), F1689&lt;= DATE(2028, 12, 31), J1689&lt;=50000), "Pendente", F1689&gt;= DATE(2029,1,1), "Não prioeitário")</f>
        <v>Pendente e Caro</v>
      </c>
      <c r="H1689" s="89">
        <f>YEAR(Tabela1[[#This Row],[Data de Validade]])</f>
        <v>2027</v>
      </c>
      <c r="I1689" s="89">
        <f>MONTH(Tabela1[[#This Row],[Data de Validade]])</f>
        <v>3</v>
      </c>
      <c r="J1689" s="101">
        <v>56248</v>
      </c>
      <c r="K1689" s="87" t="s">
        <v>7</v>
      </c>
      <c r="L1689" s="108"/>
      <c r="M1689" s="108"/>
      <c r="N1689" s="108" t="str">
        <v>H522H664</v>
      </c>
      <c r="O1689" s="108">
        <f t="shared" si="28"/>
        <v>1</v>
      </c>
      <c r="P1689" s="108"/>
      <c r="Q1689"/>
    </row>
    <row r="1690" spans="1:17" x14ac:dyDescent="0.25">
      <c r="A1690" s="89" t="s">
        <v>8725</v>
      </c>
      <c r="B1690" s="87" t="s">
        <v>8726</v>
      </c>
      <c r="C1690" s="87" t="s">
        <v>6</v>
      </c>
      <c r="D1690" s="87" t="str">
        <f>VLOOKUP(Tabela1[[#This Row],[Origem]], 'Perguntas 1 a 24'!$J$28:$K$34, 2, 0)</f>
        <v>Nordeste</v>
      </c>
      <c r="E1690" s="87" t="str">
        <f>Tabela1[[#This Row],[Descrição]]&amp;"-"&amp;Tabela1[[#This Row],[Código]]&amp;"/"&amp;Tabela1[[#This Row],[Origem]]</f>
        <v>Ragupe-P245H527/MA</v>
      </c>
      <c r="F1690" s="88">
        <v>46461</v>
      </c>
      <c r="G1690" s="88" t="str" cm="1">
        <f t="array" ref="G16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AND(F1690&gt;= DATE(2026,1,1), F1690&lt;= DATE(2028, 12, 31), J1690&gt;50000), "Pendente e Caro", AND(F1690&gt;= DATE(2026,1,1), F1690&lt;= DATE(2028, 12, 31), J1690&lt;=50000), "Pendente", F1690&gt;= DATE(2029,1,1), "Não prioeitário")</f>
        <v>Pendente e Caro</v>
      </c>
      <c r="H1690" s="89">
        <f>YEAR(Tabela1[[#This Row],[Data de Validade]])</f>
        <v>2027</v>
      </c>
      <c r="I1690" s="89">
        <f>MONTH(Tabela1[[#This Row],[Data de Validade]])</f>
        <v>3</v>
      </c>
      <c r="J1690" s="101">
        <v>56111</v>
      </c>
      <c r="K1690" s="87" t="s">
        <v>14</v>
      </c>
      <c r="L1690" s="108"/>
      <c r="M1690" s="108"/>
      <c r="N1690" s="108" t="str">
        <v>P245H527</v>
      </c>
      <c r="O1690" s="108">
        <f t="shared" si="28"/>
        <v>1</v>
      </c>
      <c r="P1690" s="108"/>
      <c r="Q1690"/>
    </row>
    <row r="1691" spans="1:17" x14ac:dyDescent="0.25">
      <c r="A1691" s="89" t="s">
        <v>4361</v>
      </c>
      <c r="B1691" s="87" t="s">
        <v>4362</v>
      </c>
      <c r="C1691" s="87" t="s">
        <v>12</v>
      </c>
      <c r="D1691" s="87" t="str">
        <f>VLOOKUP(Tabela1[[#This Row],[Origem]], 'Perguntas 1 a 24'!$J$28:$K$34, 2, 0)</f>
        <v>Sudeste</v>
      </c>
      <c r="E1691" s="87" t="str">
        <f>Tabela1[[#This Row],[Descrição]]&amp;"-"&amp;Tabela1[[#This Row],[Código]]&amp;"/"&amp;Tabela1[[#This Row],[Origem]]</f>
        <v>Gecupeputo-P581P245/RJ</v>
      </c>
      <c r="F1691" s="88">
        <v>46461</v>
      </c>
      <c r="G1691" s="88" t="str" cm="1">
        <f t="array" ref="G16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AND(F1691&gt;= DATE(2026,1,1), F1691&lt;= DATE(2028, 12, 31), J1691&gt;50000), "Pendente e Caro", AND(F1691&gt;= DATE(2026,1,1), F1691&lt;= DATE(2028, 12, 31), J1691&lt;=50000), "Pendente", F1691&gt;= DATE(2029,1,1), "Não prioeitário")</f>
        <v>Pendente</v>
      </c>
      <c r="H1691" s="89">
        <f>YEAR(Tabela1[[#This Row],[Data de Validade]])</f>
        <v>2027</v>
      </c>
      <c r="I1691" s="89">
        <f>MONTH(Tabela1[[#This Row],[Data de Validade]])</f>
        <v>3</v>
      </c>
      <c r="J1691" s="101">
        <v>38899</v>
      </c>
      <c r="K1691" s="87" t="s">
        <v>11</v>
      </c>
      <c r="L1691" s="108"/>
      <c r="M1691" s="108"/>
      <c r="N1691" s="108" t="str">
        <v>P581P245</v>
      </c>
      <c r="O1691" s="108">
        <f t="shared" si="28"/>
        <v>1</v>
      </c>
      <c r="P1691" s="108"/>
      <c r="Q1691"/>
    </row>
    <row r="1692" spans="1:17" x14ac:dyDescent="0.25">
      <c r="A1692" s="89" t="s">
        <v>8723</v>
      </c>
      <c r="B1692" s="87" t="s">
        <v>8724</v>
      </c>
      <c r="C1692" s="87" t="s">
        <v>12</v>
      </c>
      <c r="D1692" s="87" t="str">
        <f>VLOOKUP(Tabela1[[#This Row],[Origem]], 'Perguntas 1 a 24'!$J$28:$K$34, 2, 0)</f>
        <v>Sudeste</v>
      </c>
      <c r="E1692" s="87" t="str">
        <f>Tabela1[[#This Row],[Descrição]]&amp;"-"&amp;Tabela1[[#This Row],[Código]]&amp;"/"&amp;Tabela1[[#This Row],[Origem]]</f>
        <v>Vunipi-P255P261/RJ</v>
      </c>
      <c r="F1692" s="88">
        <v>46463</v>
      </c>
      <c r="G1692" s="88" t="str" cm="1">
        <f t="array" ref="G16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AND(F1692&gt;= DATE(2026,1,1), F1692&lt;= DATE(2028, 12, 31), J1692&gt;50000), "Pendente e Caro", AND(F1692&gt;= DATE(2026,1,1), F1692&lt;= DATE(2028, 12, 31), J1692&lt;=50000), "Pendente", F1692&gt;= DATE(2029,1,1), "Não prioeitário")</f>
        <v>Pendente e Caro</v>
      </c>
      <c r="H1692" s="89">
        <f>YEAR(Tabela1[[#This Row],[Data de Validade]])</f>
        <v>2027</v>
      </c>
      <c r="I1692" s="89">
        <f>MONTH(Tabela1[[#This Row],[Data de Validade]])</f>
        <v>3</v>
      </c>
      <c r="J1692" s="101">
        <v>87154</v>
      </c>
      <c r="K1692" s="87" t="s">
        <v>14</v>
      </c>
      <c r="L1692" s="108"/>
      <c r="M1692" s="108"/>
      <c r="N1692" s="108" t="str">
        <v>P255P261</v>
      </c>
      <c r="O1692" s="108">
        <f t="shared" si="28"/>
        <v>1</v>
      </c>
      <c r="P1692" s="108"/>
      <c r="Q1692"/>
    </row>
    <row r="1693" spans="1:17" x14ac:dyDescent="0.25">
      <c r="A1693" s="89" t="s">
        <v>5130</v>
      </c>
      <c r="B1693" s="87" t="s">
        <v>5131</v>
      </c>
      <c r="C1693" s="87" t="s">
        <v>15</v>
      </c>
      <c r="D1693" s="87" t="str">
        <f>VLOOKUP(Tabela1[[#This Row],[Origem]], 'Perguntas 1 a 24'!$J$28:$K$34, 2, 0)</f>
        <v>Sudeste</v>
      </c>
      <c r="E1693" s="87" t="str">
        <f>Tabela1[[#This Row],[Descrição]]&amp;"-"&amp;Tabela1[[#This Row],[Código]]&amp;"/"&amp;Tabela1[[#This Row],[Origem]]</f>
        <v>Fivoni-P297P848/ES</v>
      </c>
      <c r="F1693" s="88">
        <v>46463</v>
      </c>
      <c r="G1693" s="88" t="str" cm="1">
        <f t="array" ref="G16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AND(F1693&gt;= DATE(2026,1,1), F1693&lt;= DATE(2028, 12, 31), J1693&gt;50000), "Pendente e Caro", AND(F1693&gt;= DATE(2026,1,1), F1693&lt;= DATE(2028, 12, 31), J1693&lt;=50000), "Pendente", F1693&gt;= DATE(2029,1,1), "Não prioeitário")</f>
        <v>Pendente e Caro</v>
      </c>
      <c r="H1693" s="89">
        <f>YEAR(Tabela1[[#This Row],[Data de Validade]])</f>
        <v>2027</v>
      </c>
      <c r="I1693" s="89">
        <f>MONTH(Tabela1[[#This Row],[Data de Validade]])</f>
        <v>3</v>
      </c>
      <c r="J1693" s="101">
        <v>80760</v>
      </c>
      <c r="K1693" s="87" t="s">
        <v>9</v>
      </c>
      <c r="L1693" s="108"/>
      <c r="M1693" s="108"/>
      <c r="N1693" s="108" t="str">
        <v>P297P848</v>
      </c>
      <c r="O1693" s="108">
        <f t="shared" si="28"/>
        <v>1</v>
      </c>
      <c r="P1693" s="108"/>
      <c r="Q1693"/>
    </row>
    <row r="1694" spans="1:17" x14ac:dyDescent="0.25">
      <c r="A1694" s="89" t="s">
        <v>7864</v>
      </c>
      <c r="B1694" s="87" t="s">
        <v>7865</v>
      </c>
      <c r="C1694" s="87" t="s">
        <v>8</v>
      </c>
      <c r="D1694" s="87" t="str">
        <f>VLOOKUP(Tabela1[[#This Row],[Origem]], 'Perguntas 1 a 24'!$J$28:$K$34, 2, 0)</f>
        <v>Nordeste</v>
      </c>
      <c r="E1694" s="87" t="str">
        <f>Tabela1[[#This Row],[Descrição]]&amp;"-"&amp;Tabela1[[#This Row],[Código]]&amp;"/"&amp;Tabela1[[#This Row],[Origem]]</f>
        <v>Govodipida-P363H472/AL</v>
      </c>
      <c r="F1694" s="88">
        <v>46464</v>
      </c>
      <c r="G1694" s="88" t="str" cm="1">
        <f t="array" ref="G16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AND(F1694&gt;= DATE(2026,1,1), F1694&lt;= DATE(2028, 12, 31), J1694&gt;50000), "Pendente e Caro", AND(F1694&gt;= DATE(2026,1,1), F1694&lt;= DATE(2028, 12, 31), J1694&lt;=50000), "Pendente", F1694&gt;= DATE(2029,1,1), "Não prioeitário")</f>
        <v>Pendente e Caro</v>
      </c>
      <c r="H1694" s="89">
        <f>YEAR(Tabela1[[#This Row],[Data de Validade]])</f>
        <v>2027</v>
      </c>
      <c r="I1694" s="89">
        <f>MONTH(Tabela1[[#This Row],[Data de Validade]])</f>
        <v>3</v>
      </c>
      <c r="J1694" s="101">
        <v>71160</v>
      </c>
      <c r="K1694" s="87" t="s">
        <v>7</v>
      </c>
      <c r="L1694" s="108"/>
      <c r="M1694" s="108"/>
      <c r="N1694" s="108" t="str">
        <v>P363H472</v>
      </c>
      <c r="O1694" s="108">
        <f t="shared" si="28"/>
        <v>1</v>
      </c>
      <c r="P1694" s="108"/>
      <c r="Q1694"/>
    </row>
    <row r="1695" spans="1:17" x14ac:dyDescent="0.25">
      <c r="A1695" s="89" t="s">
        <v>9697</v>
      </c>
      <c r="B1695" s="87" t="s">
        <v>9698</v>
      </c>
      <c r="C1695" s="87" t="s">
        <v>16</v>
      </c>
      <c r="D1695" s="87" t="str">
        <f>VLOOKUP(Tabela1[[#This Row],[Origem]], 'Perguntas 1 a 24'!$J$28:$K$34, 2, 0)</f>
        <v>Sudeste</v>
      </c>
      <c r="E1695" s="87" t="str">
        <f>Tabela1[[#This Row],[Descrição]]&amp;"-"&amp;Tabela1[[#This Row],[Código]]&amp;"/"&amp;Tabela1[[#This Row],[Origem]]</f>
        <v>Carinimopa-P167P955/MG</v>
      </c>
      <c r="F1695" s="88">
        <v>46465</v>
      </c>
      <c r="G1695" s="88" t="str" cm="1">
        <f t="array" ref="G16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AND(F1695&gt;= DATE(2026,1,1), F1695&lt;= DATE(2028, 12, 31), J1695&gt;50000), "Pendente e Caro", AND(F1695&gt;= DATE(2026,1,1), F1695&lt;= DATE(2028, 12, 31), J1695&lt;=50000), "Pendente", F1695&gt;= DATE(2029,1,1), "Não prioeitário")</f>
        <v>Pendente e Caro</v>
      </c>
      <c r="H1695" s="89">
        <f>YEAR(Tabela1[[#This Row],[Data de Validade]])</f>
        <v>2027</v>
      </c>
      <c r="I1695" s="89">
        <f>MONTH(Tabela1[[#This Row],[Data de Validade]])</f>
        <v>3</v>
      </c>
      <c r="J1695" s="101">
        <v>66082</v>
      </c>
      <c r="K1695" s="87" t="s">
        <v>9</v>
      </c>
      <c r="L1695" s="108"/>
      <c r="M1695" s="108"/>
      <c r="N1695" s="108" t="str">
        <v>P167P955</v>
      </c>
      <c r="O1695" s="108">
        <f t="shared" si="28"/>
        <v>1</v>
      </c>
      <c r="P1695" s="108"/>
      <c r="Q1695"/>
    </row>
    <row r="1696" spans="1:17" x14ac:dyDescent="0.25">
      <c r="A1696" s="89" t="s">
        <v>5962</v>
      </c>
      <c r="B1696" s="87" t="s">
        <v>5963</v>
      </c>
      <c r="C1696" s="87" t="s">
        <v>16</v>
      </c>
      <c r="D1696" s="87" t="str">
        <f>VLOOKUP(Tabela1[[#This Row],[Origem]], 'Perguntas 1 a 24'!$J$28:$K$34, 2, 0)</f>
        <v>Sudeste</v>
      </c>
      <c r="E1696" s="87" t="str">
        <f>Tabela1[[#This Row],[Descrição]]&amp;"-"&amp;Tabela1[[#This Row],[Código]]&amp;"/"&amp;Tabela1[[#This Row],[Origem]]</f>
        <v>Didedida-H616P578/MG</v>
      </c>
      <c r="F1696" s="88">
        <v>46466</v>
      </c>
      <c r="G1696" s="88" t="str" cm="1">
        <f t="array" ref="G16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AND(F1696&gt;= DATE(2026,1,1), F1696&lt;= DATE(2028, 12, 31), J1696&gt;50000), "Pendente e Caro", AND(F1696&gt;= DATE(2026,1,1), F1696&lt;= DATE(2028, 12, 31), J1696&lt;=50000), "Pendente", F1696&gt;= DATE(2029,1,1), "Não prioeitário")</f>
        <v>Pendente e Caro</v>
      </c>
      <c r="H1696" s="89">
        <f>YEAR(Tabela1[[#This Row],[Data de Validade]])</f>
        <v>2027</v>
      </c>
      <c r="I1696" s="89">
        <f>MONTH(Tabela1[[#This Row],[Data de Validade]])</f>
        <v>3</v>
      </c>
      <c r="J1696" s="101">
        <v>69852</v>
      </c>
      <c r="K1696" s="87" t="s">
        <v>14</v>
      </c>
      <c r="L1696" s="108"/>
      <c r="M1696" s="108"/>
      <c r="N1696" s="108" t="str">
        <v>H616P578</v>
      </c>
      <c r="O1696" s="108">
        <f t="shared" si="28"/>
        <v>1</v>
      </c>
      <c r="P1696" s="108"/>
      <c r="Q1696"/>
    </row>
    <row r="1697" spans="1:17" x14ac:dyDescent="0.25">
      <c r="A1697" s="89" t="s">
        <v>7380</v>
      </c>
      <c r="B1697" s="87" t="s">
        <v>7381</v>
      </c>
      <c r="C1697" s="87" t="s">
        <v>12</v>
      </c>
      <c r="D1697" s="87" t="str">
        <f>VLOOKUP(Tabela1[[#This Row],[Origem]], 'Perguntas 1 a 24'!$J$28:$K$34, 2, 0)</f>
        <v>Sudeste</v>
      </c>
      <c r="E1697" s="87" t="str">
        <f>Tabela1[[#This Row],[Descrição]]&amp;"-"&amp;Tabela1[[#This Row],[Código]]&amp;"/"&amp;Tabela1[[#This Row],[Origem]]</f>
        <v>Cudamocopi-P667H188/RJ</v>
      </c>
      <c r="F1697" s="88">
        <v>46466</v>
      </c>
      <c r="G1697" s="88" t="str" cm="1">
        <f t="array" ref="G16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AND(F1697&gt;= DATE(2026,1,1), F1697&lt;= DATE(2028, 12, 31), J1697&gt;50000), "Pendente e Caro", AND(F1697&gt;= DATE(2026,1,1), F1697&lt;= DATE(2028, 12, 31), J1697&lt;=50000), "Pendente", F1697&gt;= DATE(2029,1,1), "Não prioeitário")</f>
        <v>Pendente</v>
      </c>
      <c r="H1697" s="89">
        <f>YEAR(Tabela1[[#This Row],[Data de Validade]])</f>
        <v>2027</v>
      </c>
      <c r="I1697" s="89">
        <f>MONTH(Tabela1[[#This Row],[Data de Validade]])</f>
        <v>3</v>
      </c>
      <c r="J1697" s="101">
        <v>42483</v>
      </c>
      <c r="K1697" s="87" t="s">
        <v>14</v>
      </c>
      <c r="L1697" s="108"/>
      <c r="M1697" s="108"/>
      <c r="N1697" s="108" t="str">
        <v>P667H188</v>
      </c>
      <c r="O1697" s="108">
        <f t="shared" si="28"/>
        <v>1</v>
      </c>
      <c r="P1697" s="108"/>
      <c r="Q1697"/>
    </row>
    <row r="1698" spans="1:17" x14ac:dyDescent="0.25">
      <c r="A1698" s="89" t="s">
        <v>8593</v>
      </c>
      <c r="B1698" s="87" t="s">
        <v>8594</v>
      </c>
      <c r="C1698" s="87" t="s">
        <v>10</v>
      </c>
      <c r="D1698" s="87" t="str">
        <f>VLOOKUP(Tabela1[[#This Row],[Origem]], 'Perguntas 1 a 24'!$J$28:$K$34, 2, 0)</f>
        <v>Centro-Oeste</v>
      </c>
      <c r="E1698" s="87" t="str">
        <f>Tabela1[[#This Row],[Descrição]]&amp;"-"&amp;Tabela1[[#This Row],[Código]]&amp;"/"&amp;Tabela1[[#This Row],[Origem]]</f>
        <v>Todope-P258P177/GO</v>
      </c>
      <c r="F1698" s="88">
        <v>46467</v>
      </c>
      <c r="G1698" s="88" t="str" cm="1">
        <f t="array" ref="G16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AND(F1698&gt;= DATE(2026,1,1), F1698&lt;= DATE(2028, 12, 31), J1698&gt;50000), "Pendente e Caro", AND(F1698&gt;= DATE(2026,1,1), F1698&lt;= DATE(2028, 12, 31), J1698&lt;=50000), "Pendente", F1698&gt;= DATE(2029,1,1), "Não prioeitário")</f>
        <v>Pendente e Caro</v>
      </c>
      <c r="H1698" s="89">
        <f>YEAR(Tabela1[[#This Row],[Data de Validade]])</f>
        <v>2027</v>
      </c>
      <c r="I1698" s="89">
        <f>MONTH(Tabela1[[#This Row],[Data de Validade]])</f>
        <v>3</v>
      </c>
      <c r="J1698" s="101">
        <v>69300</v>
      </c>
      <c r="K1698" s="87" t="s">
        <v>14</v>
      </c>
      <c r="L1698" s="108"/>
      <c r="M1698" s="108"/>
      <c r="N1698" s="108" t="str">
        <v>P258P177</v>
      </c>
      <c r="O1698" s="108">
        <f t="shared" si="28"/>
        <v>1</v>
      </c>
      <c r="P1698" s="108"/>
      <c r="Q1698"/>
    </row>
    <row r="1699" spans="1:17" x14ac:dyDescent="0.25">
      <c r="A1699" s="89" t="s">
        <v>6934</v>
      </c>
      <c r="B1699" s="87" t="s">
        <v>6935</v>
      </c>
      <c r="C1699" s="87" t="s">
        <v>15</v>
      </c>
      <c r="D1699" s="87" t="str">
        <f>VLOOKUP(Tabela1[[#This Row],[Origem]], 'Perguntas 1 a 24'!$J$28:$K$34, 2, 0)</f>
        <v>Sudeste</v>
      </c>
      <c r="E1699" s="87" t="str">
        <f>Tabela1[[#This Row],[Descrição]]&amp;"-"&amp;Tabela1[[#This Row],[Código]]&amp;"/"&amp;Tabela1[[#This Row],[Origem]]</f>
        <v>Miculacaco-H558H348/ES</v>
      </c>
      <c r="F1699" s="88">
        <v>46467</v>
      </c>
      <c r="G1699" s="88" t="str" cm="1">
        <f t="array" ref="G16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AND(F1699&gt;= DATE(2026,1,1), F1699&lt;= DATE(2028, 12, 31), J1699&gt;50000), "Pendente e Caro", AND(F1699&gt;= DATE(2026,1,1), F1699&lt;= DATE(2028, 12, 31), J1699&lt;=50000), "Pendente", F1699&gt;= DATE(2029,1,1), "Não prioeitário")</f>
        <v>Pendente e Caro</v>
      </c>
      <c r="H1699" s="89">
        <f>YEAR(Tabela1[[#This Row],[Data de Validade]])</f>
        <v>2027</v>
      </c>
      <c r="I1699" s="89">
        <f>MONTH(Tabela1[[#This Row],[Data de Validade]])</f>
        <v>3</v>
      </c>
      <c r="J1699" s="101">
        <v>69174</v>
      </c>
      <c r="K1699" s="87" t="s">
        <v>14</v>
      </c>
      <c r="L1699" s="108"/>
      <c r="M1699" s="108"/>
      <c r="N1699" s="108" t="str">
        <v>H558H348</v>
      </c>
      <c r="O1699" s="108">
        <f t="shared" si="28"/>
        <v>1</v>
      </c>
      <c r="P1699" s="108"/>
      <c r="Q1699"/>
    </row>
    <row r="1700" spans="1:17" x14ac:dyDescent="0.25">
      <c r="A1700" s="89" t="s">
        <v>6452</v>
      </c>
      <c r="B1700" s="87" t="s">
        <v>6453</v>
      </c>
      <c r="C1700" s="87" t="s">
        <v>6</v>
      </c>
      <c r="D1700" s="87" t="str">
        <f>VLOOKUP(Tabela1[[#This Row],[Origem]], 'Perguntas 1 a 24'!$J$28:$K$34, 2, 0)</f>
        <v>Nordeste</v>
      </c>
      <c r="E1700" s="87" t="str">
        <f>Tabela1[[#This Row],[Descrição]]&amp;"-"&amp;Tabela1[[#This Row],[Código]]&amp;"/"&amp;Tabela1[[#This Row],[Origem]]</f>
        <v>Lamatutuge-P997H739/MA</v>
      </c>
      <c r="F1700" s="88">
        <v>46468</v>
      </c>
      <c r="G1700" s="88" t="str" cm="1">
        <f t="array" ref="G17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AND(F1700&gt;= DATE(2026,1,1), F1700&lt;= DATE(2028, 12, 31), J1700&gt;50000), "Pendente e Caro", AND(F1700&gt;= DATE(2026,1,1), F1700&lt;= DATE(2028, 12, 31), J1700&lt;=50000), "Pendente", F1700&gt;= DATE(2029,1,1), "Não prioeitário")</f>
        <v>Pendente e Caro</v>
      </c>
      <c r="H1700" s="89">
        <f>YEAR(Tabela1[[#This Row],[Data de Validade]])</f>
        <v>2027</v>
      </c>
      <c r="I1700" s="89">
        <f>MONTH(Tabela1[[#This Row],[Data de Validade]])</f>
        <v>3</v>
      </c>
      <c r="J1700" s="101">
        <v>91518</v>
      </c>
      <c r="K1700" s="87" t="s">
        <v>11</v>
      </c>
      <c r="L1700" s="108"/>
      <c r="M1700" s="108"/>
      <c r="N1700" s="108" t="str">
        <v>P997H739</v>
      </c>
      <c r="O1700" s="108">
        <f t="shared" si="28"/>
        <v>1</v>
      </c>
      <c r="P1700" s="108"/>
      <c r="Q1700"/>
    </row>
    <row r="1701" spans="1:17" x14ac:dyDescent="0.25">
      <c r="A1701" s="89" t="s">
        <v>7604</v>
      </c>
      <c r="B1701" s="87" t="s">
        <v>7605</v>
      </c>
      <c r="C1701" s="87" t="s">
        <v>12</v>
      </c>
      <c r="D1701" s="87" t="str">
        <f>VLOOKUP(Tabela1[[#This Row],[Origem]], 'Perguntas 1 a 24'!$J$28:$K$34, 2, 0)</f>
        <v>Sudeste</v>
      </c>
      <c r="E1701" s="87" t="str">
        <f>Tabela1[[#This Row],[Descrição]]&amp;"-"&amp;Tabela1[[#This Row],[Código]]&amp;"/"&amp;Tabela1[[#This Row],[Origem]]</f>
        <v>Parata-H161H515/RJ</v>
      </c>
      <c r="F1701" s="88">
        <v>46468</v>
      </c>
      <c r="G1701" s="88" t="str" cm="1">
        <f t="array" ref="G17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AND(F1701&gt;= DATE(2026,1,1), F1701&lt;= DATE(2028, 12, 31), J1701&gt;50000), "Pendente e Caro", AND(F1701&gt;= DATE(2026,1,1), F1701&lt;= DATE(2028, 12, 31), J1701&lt;=50000), "Pendente", F1701&gt;= DATE(2029,1,1), "Não prioeitário")</f>
        <v>Pendente</v>
      </c>
      <c r="H1701" s="89">
        <f>YEAR(Tabela1[[#This Row],[Data de Validade]])</f>
        <v>2027</v>
      </c>
      <c r="I1701" s="89">
        <f>MONTH(Tabela1[[#This Row],[Data de Validade]])</f>
        <v>3</v>
      </c>
      <c r="J1701" s="101">
        <v>24031</v>
      </c>
      <c r="K1701" s="87" t="s">
        <v>11</v>
      </c>
      <c r="L1701" s="108"/>
      <c r="M1701" s="108"/>
      <c r="N1701" s="108" t="str">
        <v>H161H515</v>
      </c>
      <c r="O1701" s="108">
        <f t="shared" si="28"/>
        <v>1</v>
      </c>
      <c r="P1701" s="108"/>
      <c r="Q1701"/>
    </row>
    <row r="1702" spans="1:17" x14ac:dyDescent="0.25">
      <c r="A1702" s="89" t="s">
        <v>6692</v>
      </c>
      <c r="B1702" s="87" t="s">
        <v>6693</v>
      </c>
      <c r="C1702" s="87" t="s">
        <v>15</v>
      </c>
      <c r="D1702" s="87" t="str">
        <f>VLOOKUP(Tabela1[[#This Row],[Origem]], 'Perguntas 1 a 24'!$J$28:$K$34, 2, 0)</f>
        <v>Sudeste</v>
      </c>
      <c r="E1702" s="87" t="str">
        <f>Tabela1[[#This Row],[Descrição]]&amp;"-"&amp;Tabela1[[#This Row],[Código]]&amp;"/"&amp;Tabela1[[#This Row],[Origem]]</f>
        <v>Maloro-P898P571/ES</v>
      </c>
      <c r="F1702" s="88">
        <v>46469</v>
      </c>
      <c r="G1702" s="88" t="str" cm="1">
        <f t="array" ref="G17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AND(F1702&gt;= DATE(2026,1,1), F1702&lt;= DATE(2028, 12, 31), J1702&gt;50000), "Pendente e Caro", AND(F1702&gt;= DATE(2026,1,1), F1702&lt;= DATE(2028, 12, 31), J1702&lt;=50000), "Pendente", F1702&gt;= DATE(2029,1,1), "Não prioeitário")</f>
        <v>Pendente e Caro</v>
      </c>
      <c r="H1702" s="89">
        <f>YEAR(Tabela1[[#This Row],[Data de Validade]])</f>
        <v>2027</v>
      </c>
      <c r="I1702" s="89">
        <f>MONTH(Tabela1[[#This Row],[Data de Validade]])</f>
        <v>3</v>
      </c>
      <c r="J1702" s="101">
        <v>103525</v>
      </c>
      <c r="K1702" s="87" t="s">
        <v>9</v>
      </c>
      <c r="L1702" s="108"/>
      <c r="M1702" s="108"/>
      <c r="N1702" s="108" t="str">
        <v>P898P571</v>
      </c>
      <c r="O1702" s="108">
        <f t="shared" si="28"/>
        <v>1</v>
      </c>
      <c r="P1702" s="108"/>
      <c r="Q1702"/>
    </row>
    <row r="1703" spans="1:17" x14ac:dyDescent="0.25">
      <c r="A1703" s="89" t="s">
        <v>8086</v>
      </c>
      <c r="B1703" s="87" t="s">
        <v>8087</v>
      </c>
      <c r="C1703" s="87" t="s">
        <v>12</v>
      </c>
      <c r="D1703" s="87" t="str">
        <f>VLOOKUP(Tabela1[[#This Row],[Origem]], 'Perguntas 1 a 24'!$J$28:$K$34, 2, 0)</f>
        <v>Sudeste</v>
      </c>
      <c r="E1703" s="87" t="str">
        <f>Tabela1[[#This Row],[Descrição]]&amp;"-"&amp;Tabela1[[#This Row],[Código]]&amp;"/"&amp;Tabela1[[#This Row],[Origem]]</f>
        <v>Ruvegegu-P954H526/RJ</v>
      </c>
      <c r="F1703" s="88">
        <v>46469</v>
      </c>
      <c r="G1703" s="88" t="str" cm="1">
        <f t="array" ref="G17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AND(F1703&gt;= DATE(2026,1,1), F1703&lt;= DATE(2028, 12, 31), J1703&gt;50000), "Pendente e Caro", AND(F1703&gt;= DATE(2026,1,1), F1703&lt;= DATE(2028, 12, 31), J1703&lt;=50000), "Pendente", F1703&gt;= DATE(2029,1,1), "Não prioeitário")</f>
        <v>Pendente e Caro</v>
      </c>
      <c r="H1703" s="89">
        <f>YEAR(Tabela1[[#This Row],[Data de Validade]])</f>
        <v>2027</v>
      </c>
      <c r="I1703" s="89">
        <f>MONTH(Tabela1[[#This Row],[Data de Validade]])</f>
        <v>3</v>
      </c>
      <c r="J1703" s="101">
        <v>81868</v>
      </c>
      <c r="K1703" s="87" t="s">
        <v>14</v>
      </c>
      <c r="L1703" s="108"/>
      <c r="M1703" s="108"/>
      <c r="N1703" s="108" t="str">
        <v>P954H526</v>
      </c>
      <c r="O1703" s="108">
        <f t="shared" si="28"/>
        <v>1</v>
      </c>
      <c r="P1703" s="108"/>
      <c r="Q1703"/>
    </row>
    <row r="1704" spans="1:17" x14ac:dyDescent="0.25">
      <c r="A1704" s="89" t="s">
        <v>8887</v>
      </c>
      <c r="B1704" s="87" t="s">
        <v>8888</v>
      </c>
      <c r="C1704" s="87" t="s">
        <v>10</v>
      </c>
      <c r="D1704" s="87" t="str">
        <f>VLOOKUP(Tabela1[[#This Row],[Origem]], 'Perguntas 1 a 24'!$J$28:$K$34, 2, 0)</f>
        <v>Centro-Oeste</v>
      </c>
      <c r="E1704" s="87" t="str">
        <f>Tabela1[[#This Row],[Descrição]]&amp;"-"&amp;Tabela1[[#This Row],[Código]]&amp;"/"&amp;Tabela1[[#This Row],[Origem]]</f>
        <v>Devimi-P996H857/GO</v>
      </c>
      <c r="F1704" s="88">
        <v>46471</v>
      </c>
      <c r="G1704" s="88" t="str" cm="1">
        <f t="array" ref="G17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AND(F1704&gt;= DATE(2026,1,1), F1704&lt;= DATE(2028, 12, 31), J1704&gt;50000), "Pendente e Caro", AND(F1704&gt;= DATE(2026,1,1), F1704&lt;= DATE(2028, 12, 31), J1704&lt;=50000), "Pendente", F1704&gt;= DATE(2029,1,1), "Não prioeitário")</f>
        <v>Pendente e Caro</v>
      </c>
      <c r="H1704" s="89">
        <f>YEAR(Tabela1[[#This Row],[Data de Validade]])</f>
        <v>2027</v>
      </c>
      <c r="I1704" s="89">
        <f>MONTH(Tabela1[[#This Row],[Data de Validade]])</f>
        <v>3</v>
      </c>
      <c r="J1704" s="101">
        <v>94090</v>
      </c>
      <c r="K1704" s="87" t="s">
        <v>11</v>
      </c>
      <c r="L1704" s="108"/>
      <c r="M1704" s="108"/>
      <c r="N1704" s="108" t="str">
        <v>P996H857</v>
      </c>
      <c r="O1704" s="108">
        <f t="shared" si="28"/>
        <v>1</v>
      </c>
      <c r="P1704" s="108"/>
      <c r="Q1704"/>
    </row>
    <row r="1705" spans="1:17" x14ac:dyDescent="0.25">
      <c r="A1705" s="89" t="s">
        <v>5236</v>
      </c>
      <c r="B1705" s="87" t="s">
        <v>5237</v>
      </c>
      <c r="C1705" s="87" t="s">
        <v>6</v>
      </c>
      <c r="D1705" s="87" t="str">
        <f>VLOOKUP(Tabela1[[#This Row],[Origem]], 'Perguntas 1 a 24'!$J$28:$K$34, 2, 0)</f>
        <v>Nordeste</v>
      </c>
      <c r="E1705" s="87" t="str">
        <f>Tabela1[[#This Row],[Descrição]]&amp;"-"&amp;Tabela1[[#This Row],[Código]]&amp;"/"&amp;Tabela1[[#This Row],[Origem]]</f>
        <v>Ridamipoca-H555P437/MA</v>
      </c>
      <c r="F1705" s="88">
        <v>46471</v>
      </c>
      <c r="G1705" s="88" t="str" cm="1">
        <f t="array" ref="G17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AND(F1705&gt;= DATE(2026,1,1), F1705&lt;= DATE(2028, 12, 31), J1705&gt;50000), "Pendente e Caro", AND(F1705&gt;= DATE(2026,1,1), F1705&lt;= DATE(2028, 12, 31), J1705&lt;=50000), "Pendente", F1705&gt;= DATE(2029,1,1), "Não prioeitário")</f>
        <v>Pendente</v>
      </c>
      <c r="H1705" s="89">
        <f>YEAR(Tabela1[[#This Row],[Data de Validade]])</f>
        <v>2027</v>
      </c>
      <c r="I1705" s="89">
        <f>MONTH(Tabela1[[#This Row],[Data de Validade]])</f>
        <v>3</v>
      </c>
      <c r="J1705" s="101">
        <v>20454</v>
      </c>
      <c r="K1705" s="87" t="s">
        <v>9</v>
      </c>
      <c r="L1705" s="108"/>
      <c r="M1705" s="108"/>
      <c r="N1705" s="108" t="str">
        <v>H555P437</v>
      </c>
      <c r="O1705" s="108">
        <f t="shared" si="28"/>
        <v>1</v>
      </c>
      <c r="P1705" s="108"/>
      <c r="Q1705"/>
    </row>
    <row r="1706" spans="1:17" x14ac:dyDescent="0.25">
      <c r="A1706" s="89" t="s">
        <v>8194</v>
      </c>
      <c r="B1706" s="87" t="s">
        <v>8195</v>
      </c>
      <c r="C1706" s="87" t="s">
        <v>15</v>
      </c>
      <c r="D1706" s="87" t="str">
        <f>VLOOKUP(Tabela1[[#This Row],[Origem]], 'Perguntas 1 a 24'!$J$28:$K$34, 2, 0)</f>
        <v>Sudeste</v>
      </c>
      <c r="E1706" s="87" t="str">
        <f>Tabela1[[#This Row],[Descrição]]&amp;"-"&amp;Tabela1[[#This Row],[Código]]&amp;"/"&amp;Tabela1[[#This Row],[Origem]]</f>
        <v>Cifavava-H473P162/ES</v>
      </c>
      <c r="F1706" s="88">
        <v>46472</v>
      </c>
      <c r="G1706" s="88" t="str" cm="1">
        <f t="array" ref="G17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AND(F1706&gt;= DATE(2026,1,1), F1706&lt;= DATE(2028, 12, 31), J1706&gt;50000), "Pendente e Caro", AND(F1706&gt;= DATE(2026,1,1), F1706&lt;= DATE(2028, 12, 31), J1706&lt;=50000), "Pendente", F1706&gt;= DATE(2029,1,1), "Não prioeitário")</f>
        <v>Pendente</v>
      </c>
      <c r="H1706" s="89">
        <f>YEAR(Tabela1[[#This Row],[Data de Validade]])</f>
        <v>2027</v>
      </c>
      <c r="I1706" s="89">
        <f>MONTH(Tabela1[[#This Row],[Data de Validade]])</f>
        <v>3</v>
      </c>
      <c r="J1706" s="101">
        <v>22347</v>
      </c>
      <c r="K1706" s="87" t="s">
        <v>9</v>
      </c>
      <c r="L1706" s="108"/>
      <c r="M1706" s="108"/>
      <c r="N1706" s="108" t="str">
        <v>H473P162</v>
      </c>
      <c r="O1706" s="108">
        <f t="shared" si="28"/>
        <v>1</v>
      </c>
      <c r="P1706" s="108"/>
      <c r="Q1706"/>
    </row>
    <row r="1707" spans="1:17" x14ac:dyDescent="0.25">
      <c r="A1707" s="89" t="s">
        <v>10593</v>
      </c>
      <c r="B1707" s="87" t="s">
        <v>10594</v>
      </c>
      <c r="C1707" s="87" t="s">
        <v>13</v>
      </c>
      <c r="D1707" s="87" t="str">
        <f>VLOOKUP(Tabela1[[#This Row],[Origem]], 'Perguntas 1 a 24'!$J$28:$K$34, 2, 0)</f>
        <v>Sudeste</v>
      </c>
      <c r="E1707" s="87" t="str">
        <f>Tabela1[[#This Row],[Descrição]]&amp;"-"&amp;Tabela1[[#This Row],[Código]]&amp;"/"&amp;Tabela1[[#This Row],[Origem]]</f>
        <v>Fuvatuve-H433H847/SP</v>
      </c>
      <c r="F1707" s="88">
        <v>46475</v>
      </c>
      <c r="G1707" s="88" t="str" cm="1">
        <f t="array" ref="G17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AND(F1707&gt;= DATE(2026,1,1), F1707&lt;= DATE(2028, 12, 31), J1707&gt;50000), "Pendente e Caro", AND(F1707&gt;= DATE(2026,1,1), F1707&lt;= DATE(2028, 12, 31), J1707&lt;=50000), "Pendente", F1707&gt;= DATE(2029,1,1), "Não prioeitário")</f>
        <v>Pendente e Caro</v>
      </c>
      <c r="H1707" s="89">
        <f>YEAR(Tabela1[[#This Row],[Data de Validade]])</f>
        <v>2027</v>
      </c>
      <c r="I1707" s="89">
        <f>MONTH(Tabela1[[#This Row],[Data de Validade]])</f>
        <v>3</v>
      </c>
      <c r="J1707" s="101">
        <v>116456</v>
      </c>
      <c r="K1707" s="87" t="s">
        <v>14</v>
      </c>
      <c r="L1707" s="108"/>
      <c r="M1707" s="108"/>
      <c r="N1707" s="108" t="str">
        <v>H433H847</v>
      </c>
      <c r="O1707" s="108">
        <f t="shared" si="28"/>
        <v>1</v>
      </c>
      <c r="P1707" s="108"/>
      <c r="Q1707"/>
    </row>
    <row r="1708" spans="1:17" x14ac:dyDescent="0.25">
      <c r="A1708" s="89" t="s">
        <v>4544</v>
      </c>
      <c r="B1708" s="87" t="s">
        <v>4545</v>
      </c>
      <c r="C1708" s="87" t="s">
        <v>6</v>
      </c>
      <c r="D1708" s="87" t="str">
        <f>VLOOKUP(Tabela1[[#This Row],[Origem]], 'Perguntas 1 a 24'!$J$28:$K$34, 2, 0)</f>
        <v>Nordeste</v>
      </c>
      <c r="E1708" s="87" t="str">
        <f>Tabela1[[#This Row],[Descrição]]&amp;"-"&amp;Tabela1[[#This Row],[Código]]&amp;"/"&amp;Tabela1[[#This Row],[Origem]]</f>
        <v>Pagarocu-P227H348/MA</v>
      </c>
      <c r="F1708" s="88">
        <v>46475</v>
      </c>
      <c r="G1708" s="88" t="str" cm="1">
        <f t="array" ref="G17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AND(F1708&gt;= DATE(2026,1,1), F1708&lt;= DATE(2028, 12, 31), J1708&gt;50000), "Pendente e Caro", AND(F1708&gt;= DATE(2026,1,1), F1708&lt;= DATE(2028, 12, 31), J1708&lt;=50000), "Pendente", F1708&gt;= DATE(2029,1,1), "Não prioeitário")</f>
        <v>Pendente e Caro</v>
      </c>
      <c r="H1708" s="89">
        <f>YEAR(Tabela1[[#This Row],[Data de Validade]])</f>
        <v>2027</v>
      </c>
      <c r="I1708" s="89">
        <f>MONTH(Tabela1[[#This Row],[Data de Validade]])</f>
        <v>3</v>
      </c>
      <c r="J1708" s="101">
        <v>99233</v>
      </c>
      <c r="K1708" s="87" t="s">
        <v>14</v>
      </c>
      <c r="L1708" s="108"/>
      <c r="M1708" s="108"/>
      <c r="N1708" s="108" t="str">
        <v>P227H348</v>
      </c>
      <c r="O1708" s="108">
        <f t="shared" si="28"/>
        <v>1</v>
      </c>
      <c r="P1708" s="108"/>
      <c r="Q1708"/>
    </row>
    <row r="1709" spans="1:17" x14ac:dyDescent="0.25">
      <c r="A1709" s="89" t="s">
        <v>5930</v>
      </c>
      <c r="B1709" s="87" t="s">
        <v>5931</v>
      </c>
      <c r="C1709" s="87" t="s">
        <v>10</v>
      </c>
      <c r="D1709" s="87" t="str">
        <f>VLOOKUP(Tabela1[[#This Row],[Origem]], 'Perguntas 1 a 24'!$J$28:$K$34, 2, 0)</f>
        <v>Centro-Oeste</v>
      </c>
      <c r="E1709" s="87" t="str">
        <f>Tabela1[[#This Row],[Descrição]]&amp;"-"&amp;Tabela1[[#This Row],[Código]]&amp;"/"&amp;Tabela1[[#This Row],[Origem]]</f>
        <v>Ripati-H818H637/GO</v>
      </c>
      <c r="F1709" s="88">
        <v>46475</v>
      </c>
      <c r="G1709" s="88" t="str" cm="1">
        <f t="array" ref="G17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AND(F1709&gt;= DATE(2026,1,1), F1709&lt;= DATE(2028, 12, 31), J1709&gt;50000), "Pendente e Caro", AND(F1709&gt;= DATE(2026,1,1), F1709&lt;= DATE(2028, 12, 31), J1709&lt;=50000), "Pendente", F1709&gt;= DATE(2029,1,1), "Não prioeitário")</f>
        <v>Pendente e Caro</v>
      </c>
      <c r="H1709" s="89">
        <f>YEAR(Tabela1[[#This Row],[Data de Validade]])</f>
        <v>2027</v>
      </c>
      <c r="I1709" s="89">
        <f>MONTH(Tabela1[[#This Row],[Data de Validade]])</f>
        <v>3</v>
      </c>
      <c r="J1709" s="101">
        <v>94547</v>
      </c>
      <c r="K1709" s="87" t="s">
        <v>9</v>
      </c>
      <c r="L1709" s="108"/>
      <c r="M1709" s="108"/>
      <c r="N1709" s="108" t="str">
        <v>H818H637</v>
      </c>
      <c r="O1709" s="108">
        <f t="shared" si="28"/>
        <v>1</v>
      </c>
      <c r="P1709" s="108"/>
      <c r="Q1709"/>
    </row>
    <row r="1710" spans="1:17" x14ac:dyDescent="0.25">
      <c r="A1710" s="89" t="s">
        <v>9669</v>
      </c>
      <c r="B1710" s="87" t="s">
        <v>9670</v>
      </c>
      <c r="C1710" s="87" t="s">
        <v>12</v>
      </c>
      <c r="D1710" s="87" t="str">
        <f>VLOOKUP(Tabela1[[#This Row],[Origem]], 'Perguntas 1 a 24'!$J$28:$K$34, 2, 0)</f>
        <v>Sudeste</v>
      </c>
      <c r="E1710" s="87" t="str">
        <f>Tabela1[[#This Row],[Descrição]]&amp;"-"&amp;Tabela1[[#This Row],[Código]]&amp;"/"&amp;Tabela1[[#This Row],[Origem]]</f>
        <v>Gupafe-H753P766/RJ</v>
      </c>
      <c r="F1710" s="88">
        <v>46476</v>
      </c>
      <c r="G1710" s="88" t="str" cm="1">
        <f t="array" ref="G17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AND(F1710&gt;= DATE(2026,1,1), F1710&lt;= DATE(2028, 12, 31), J1710&gt;50000), "Pendente e Caro", AND(F1710&gt;= DATE(2026,1,1), F1710&lt;= DATE(2028, 12, 31), J1710&lt;=50000), "Pendente", F1710&gt;= DATE(2029,1,1), "Não prioeitário")</f>
        <v>Pendente e Caro</v>
      </c>
      <c r="H1710" s="89">
        <f>YEAR(Tabela1[[#This Row],[Data de Validade]])</f>
        <v>2027</v>
      </c>
      <c r="I1710" s="89">
        <f>MONTH(Tabela1[[#This Row],[Data de Validade]])</f>
        <v>3</v>
      </c>
      <c r="J1710" s="101">
        <v>113925</v>
      </c>
      <c r="K1710" s="87" t="s">
        <v>7</v>
      </c>
      <c r="L1710" s="108"/>
      <c r="M1710" s="108"/>
      <c r="N1710" s="108" t="str">
        <v>H753P766</v>
      </c>
      <c r="O1710" s="108">
        <f t="shared" si="28"/>
        <v>1</v>
      </c>
      <c r="P1710" s="108"/>
      <c r="Q1710"/>
    </row>
    <row r="1711" spans="1:17" x14ac:dyDescent="0.25">
      <c r="A1711" s="89" t="s">
        <v>9227</v>
      </c>
      <c r="B1711" s="87" t="s">
        <v>9228</v>
      </c>
      <c r="C1711" s="87" t="s">
        <v>12</v>
      </c>
      <c r="D1711" s="87" t="str">
        <f>VLOOKUP(Tabela1[[#This Row],[Origem]], 'Perguntas 1 a 24'!$J$28:$K$34, 2, 0)</f>
        <v>Sudeste</v>
      </c>
      <c r="E1711" s="87" t="str">
        <f>Tabela1[[#This Row],[Descrição]]&amp;"-"&amp;Tabela1[[#This Row],[Código]]&amp;"/"&amp;Tabela1[[#This Row],[Origem]]</f>
        <v>Tovumo-H279H464/RJ</v>
      </c>
      <c r="F1711" s="88">
        <v>46476</v>
      </c>
      <c r="G1711" s="88" t="str" cm="1">
        <f t="array" ref="G17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AND(F1711&gt;= DATE(2026,1,1), F1711&lt;= DATE(2028, 12, 31), J1711&gt;50000), "Pendente e Caro", AND(F1711&gt;= DATE(2026,1,1), F1711&lt;= DATE(2028, 12, 31), J1711&lt;=50000), "Pendente", F1711&gt;= DATE(2029,1,1), "Não prioeitário")</f>
        <v>Pendente e Caro</v>
      </c>
      <c r="H1711" s="89">
        <f>YEAR(Tabela1[[#This Row],[Data de Validade]])</f>
        <v>2027</v>
      </c>
      <c r="I1711" s="89">
        <f>MONTH(Tabela1[[#This Row],[Data de Validade]])</f>
        <v>3</v>
      </c>
      <c r="J1711" s="101">
        <v>106727</v>
      </c>
      <c r="K1711" s="87" t="s">
        <v>11</v>
      </c>
      <c r="L1711" s="108"/>
      <c r="M1711" s="108"/>
      <c r="N1711" s="108" t="str">
        <v>H279H464</v>
      </c>
      <c r="O1711" s="108">
        <f t="shared" si="28"/>
        <v>1</v>
      </c>
      <c r="P1711" s="108"/>
      <c r="Q1711"/>
    </row>
    <row r="1712" spans="1:17" x14ac:dyDescent="0.25">
      <c r="A1712" s="89" t="s">
        <v>10019</v>
      </c>
      <c r="B1712" s="87" t="s">
        <v>10020</v>
      </c>
      <c r="C1712" s="87" t="s">
        <v>13</v>
      </c>
      <c r="D1712" s="87" t="str">
        <f>VLOOKUP(Tabela1[[#This Row],[Origem]], 'Perguntas 1 a 24'!$J$28:$K$34, 2, 0)</f>
        <v>Sudeste</v>
      </c>
      <c r="E1712" s="87" t="str">
        <f>Tabela1[[#This Row],[Descrição]]&amp;"-"&amp;Tabela1[[#This Row],[Código]]&amp;"/"&amp;Tabela1[[#This Row],[Origem]]</f>
        <v>Logagerita-H616P445/SP</v>
      </c>
      <c r="F1712" s="88">
        <v>46477</v>
      </c>
      <c r="G1712" s="88" t="str" cm="1">
        <f t="array" ref="G17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AND(F1712&gt;= DATE(2026,1,1), F1712&lt;= DATE(2028, 12, 31), J1712&gt;50000), "Pendente e Caro", AND(F1712&gt;= DATE(2026,1,1), F1712&lt;= DATE(2028, 12, 31), J1712&lt;=50000), "Pendente", F1712&gt;= DATE(2029,1,1), "Não prioeitário")</f>
        <v>Pendente e Caro</v>
      </c>
      <c r="H1712" s="89">
        <f>YEAR(Tabela1[[#This Row],[Data de Validade]])</f>
        <v>2027</v>
      </c>
      <c r="I1712" s="89">
        <f>MONTH(Tabela1[[#This Row],[Data de Validade]])</f>
        <v>3</v>
      </c>
      <c r="J1712" s="101">
        <v>57600</v>
      </c>
      <c r="K1712" s="87" t="s">
        <v>7</v>
      </c>
      <c r="L1712" s="108"/>
      <c r="M1712" s="108"/>
      <c r="N1712" s="108" t="str">
        <v>H616P445</v>
      </c>
      <c r="O1712" s="108">
        <f t="shared" si="28"/>
        <v>1</v>
      </c>
      <c r="P1712" s="108"/>
      <c r="Q1712"/>
    </row>
    <row r="1713" spans="1:17" x14ac:dyDescent="0.25">
      <c r="A1713" s="89" t="s">
        <v>5900</v>
      </c>
      <c r="B1713" s="87" t="s">
        <v>5901</v>
      </c>
      <c r="C1713" s="87" t="s">
        <v>6</v>
      </c>
      <c r="D1713" s="87" t="str">
        <f>VLOOKUP(Tabela1[[#This Row],[Origem]], 'Perguntas 1 a 24'!$J$28:$K$34, 2, 0)</f>
        <v>Nordeste</v>
      </c>
      <c r="E1713" s="87" t="str">
        <f>Tabela1[[#This Row],[Descrição]]&amp;"-"&amp;Tabela1[[#This Row],[Código]]&amp;"/"&amp;Tabela1[[#This Row],[Origem]]</f>
        <v>Putitoni-H842P672/MA</v>
      </c>
      <c r="F1713" s="88">
        <v>46478</v>
      </c>
      <c r="G1713" s="88" t="str" cm="1">
        <f t="array" ref="G17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AND(F1713&gt;= DATE(2026,1,1), F1713&lt;= DATE(2028, 12, 31), J1713&gt;50000), "Pendente e Caro", AND(F1713&gt;= DATE(2026,1,1), F1713&lt;= DATE(2028, 12, 31), J1713&lt;=50000), "Pendente", F1713&gt;= DATE(2029,1,1), "Não prioeitário")</f>
        <v>Pendente e Caro</v>
      </c>
      <c r="H1713" s="89">
        <f>YEAR(Tabela1[[#This Row],[Data de Validade]])</f>
        <v>2027</v>
      </c>
      <c r="I1713" s="89">
        <f>MONTH(Tabela1[[#This Row],[Data de Validade]])</f>
        <v>4</v>
      </c>
      <c r="J1713" s="101">
        <v>57211</v>
      </c>
      <c r="K1713" s="87" t="s">
        <v>7</v>
      </c>
      <c r="L1713" s="108"/>
      <c r="M1713" s="108"/>
      <c r="N1713" s="108" t="str">
        <v>H842P672</v>
      </c>
      <c r="O1713" s="108">
        <f t="shared" si="28"/>
        <v>1</v>
      </c>
      <c r="P1713" s="108"/>
      <c r="Q1713"/>
    </row>
    <row r="1714" spans="1:17" x14ac:dyDescent="0.25">
      <c r="A1714" s="89" t="s">
        <v>8272</v>
      </c>
      <c r="B1714" s="87" t="s">
        <v>8273</v>
      </c>
      <c r="C1714" s="87" t="s">
        <v>13</v>
      </c>
      <c r="D1714" s="87" t="str">
        <f>VLOOKUP(Tabela1[[#This Row],[Origem]], 'Perguntas 1 a 24'!$J$28:$K$34, 2, 0)</f>
        <v>Sudeste</v>
      </c>
      <c r="E1714" s="87" t="str">
        <f>Tabela1[[#This Row],[Descrição]]&amp;"-"&amp;Tabela1[[#This Row],[Código]]&amp;"/"&amp;Tabela1[[#This Row],[Origem]]</f>
        <v>Popiro-H818H356/SP</v>
      </c>
      <c r="F1714" s="88">
        <v>46479</v>
      </c>
      <c r="G1714" s="88" t="str" cm="1">
        <f t="array" ref="G17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AND(F1714&gt;= DATE(2026,1,1), F1714&lt;= DATE(2028, 12, 31), J1714&gt;50000), "Pendente e Caro", AND(F1714&gt;= DATE(2026,1,1), F1714&lt;= DATE(2028, 12, 31), J1714&lt;=50000), "Pendente", F1714&gt;= DATE(2029,1,1), "Não prioeitário")</f>
        <v>Pendente e Caro</v>
      </c>
      <c r="H1714" s="89">
        <f>YEAR(Tabela1[[#This Row],[Data de Validade]])</f>
        <v>2027</v>
      </c>
      <c r="I1714" s="89">
        <f>MONTH(Tabela1[[#This Row],[Data de Validade]])</f>
        <v>4</v>
      </c>
      <c r="J1714" s="101">
        <v>95220</v>
      </c>
      <c r="K1714" s="87" t="s">
        <v>11</v>
      </c>
      <c r="L1714" s="108"/>
      <c r="M1714" s="108"/>
      <c r="N1714" s="108" t="str">
        <v>H818H356</v>
      </c>
      <c r="O1714" s="108">
        <f t="shared" si="28"/>
        <v>1</v>
      </c>
      <c r="P1714" s="108"/>
      <c r="Q1714"/>
    </row>
    <row r="1715" spans="1:17" x14ac:dyDescent="0.25">
      <c r="A1715" s="89" t="s">
        <v>4618</v>
      </c>
      <c r="B1715" s="87" t="s">
        <v>4619</v>
      </c>
      <c r="C1715" s="87" t="s">
        <v>12</v>
      </c>
      <c r="D1715" s="87" t="str">
        <f>VLOOKUP(Tabela1[[#This Row],[Origem]], 'Perguntas 1 a 24'!$J$28:$K$34, 2, 0)</f>
        <v>Sudeste</v>
      </c>
      <c r="E1715" s="87" t="str">
        <f>Tabela1[[#This Row],[Descrição]]&amp;"-"&amp;Tabela1[[#This Row],[Código]]&amp;"/"&amp;Tabela1[[#This Row],[Origem]]</f>
        <v>Ramilifu-P277P789/RJ</v>
      </c>
      <c r="F1715" s="88">
        <v>46479</v>
      </c>
      <c r="G1715" s="88" t="str" cm="1">
        <f t="array" ref="G17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AND(F1715&gt;= DATE(2026,1,1), F1715&lt;= DATE(2028, 12, 31), J1715&gt;50000), "Pendente e Caro", AND(F1715&gt;= DATE(2026,1,1), F1715&lt;= DATE(2028, 12, 31), J1715&lt;=50000), "Pendente", F1715&gt;= DATE(2029,1,1), "Não prioeitário")</f>
        <v>Pendente</v>
      </c>
      <c r="H1715" s="89">
        <f>YEAR(Tabela1[[#This Row],[Data de Validade]])</f>
        <v>2027</v>
      </c>
      <c r="I1715" s="89">
        <f>MONTH(Tabela1[[#This Row],[Data de Validade]])</f>
        <v>4</v>
      </c>
      <c r="J1715" s="101">
        <v>45123</v>
      </c>
      <c r="K1715" s="87" t="s">
        <v>9</v>
      </c>
      <c r="L1715" s="108"/>
      <c r="M1715" s="108"/>
      <c r="N1715" s="108" t="str">
        <v>P277P789</v>
      </c>
      <c r="O1715" s="108">
        <f t="shared" si="28"/>
        <v>1</v>
      </c>
      <c r="P1715" s="108"/>
      <c r="Q1715"/>
    </row>
    <row r="1716" spans="1:17" x14ac:dyDescent="0.25">
      <c r="A1716" s="89" t="s">
        <v>5432</v>
      </c>
      <c r="B1716" s="87" t="s">
        <v>5433</v>
      </c>
      <c r="C1716" s="87" t="s">
        <v>10</v>
      </c>
      <c r="D1716" s="87" t="str">
        <f>VLOOKUP(Tabela1[[#This Row],[Origem]], 'Perguntas 1 a 24'!$J$28:$K$34, 2, 0)</f>
        <v>Centro-Oeste</v>
      </c>
      <c r="E1716" s="87" t="str">
        <f>Tabela1[[#This Row],[Descrição]]&amp;"-"&amp;Tabela1[[#This Row],[Código]]&amp;"/"&amp;Tabela1[[#This Row],[Origem]]</f>
        <v>Fivufafu-P131P229/GO</v>
      </c>
      <c r="F1716" s="88">
        <v>46480</v>
      </c>
      <c r="G1716" s="88" t="str" cm="1">
        <f t="array" ref="G17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AND(F1716&gt;= DATE(2026,1,1), F1716&lt;= DATE(2028, 12, 31), J1716&gt;50000), "Pendente e Caro", AND(F1716&gt;= DATE(2026,1,1), F1716&lt;= DATE(2028, 12, 31), J1716&lt;=50000), "Pendente", F1716&gt;= DATE(2029,1,1), "Não prioeitário")</f>
        <v>Pendente e Caro</v>
      </c>
      <c r="H1716" s="89">
        <f>YEAR(Tabela1[[#This Row],[Data de Validade]])</f>
        <v>2027</v>
      </c>
      <c r="I1716" s="89">
        <f>MONTH(Tabela1[[#This Row],[Data de Validade]])</f>
        <v>4</v>
      </c>
      <c r="J1716" s="101">
        <v>81517</v>
      </c>
      <c r="K1716" s="87" t="s">
        <v>7</v>
      </c>
      <c r="L1716" s="108"/>
      <c r="M1716" s="108"/>
      <c r="N1716" s="108" t="str">
        <v>P131P229</v>
      </c>
      <c r="O1716" s="108">
        <f t="shared" si="28"/>
        <v>1</v>
      </c>
      <c r="P1716" s="108"/>
      <c r="Q1716"/>
    </row>
    <row r="1717" spans="1:17" x14ac:dyDescent="0.25">
      <c r="A1717" s="89" t="s">
        <v>8522</v>
      </c>
      <c r="B1717" s="87" t="s">
        <v>8523</v>
      </c>
      <c r="C1717" s="87" t="s">
        <v>8</v>
      </c>
      <c r="D1717" s="87" t="str">
        <f>VLOOKUP(Tabela1[[#This Row],[Origem]], 'Perguntas 1 a 24'!$J$28:$K$34, 2, 0)</f>
        <v>Nordeste</v>
      </c>
      <c r="E1717" s="87" t="str">
        <f>Tabela1[[#This Row],[Descrição]]&amp;"-"&amp;Tabela1[[#This Row],[Código]]&amp;"/"&amp;Tabela1[[#This Row],[Origem]]</f>
        <v>Motocopu-P143H569/AL</v>
      </c>
      <c r="F1717" s="88">
        <v>46480</v>
      </c>
      <c r="G1717" s="88" t="str" cm="1">
        <f t="array" ref="G17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AND(F1717&gt;= DATE(2026,1,1), F1717&lt;= DATE(2028, 12, 31), J1717&gt;50000), "Pendente e Caro", AND(F1717&gt;= DATE(2026,1,1), F1717&lt;= DATE(2028, 12, 31), J1717&lt;=50000), "Pendente", F1717&gt;= DATE(2029,1,1), "Não prioeitário")</f>
        <v>Pendente</v>
      </c>
      <c r="H1717" s="89">
        <f>YEAR(Tabela1[[#This Row],[Data de Validade]])</f>
        <v>2027</v>
      </c>
      <c r="I1717" s="89">
        <f>MONTH(Tabela1[[#This Row],[Data de Validade]])</f>
        <v>4</v>
      </c>
      <c r="J1717" s="101">
        <v>47303</v>
      </c>
      <c r="K1717" s="87" t="s">
        <v>11</v>
      </c>
      <c r="L1717" s="108"/>
      <c r="M1717" s="108"/>
      <c r="N1717" s="108" t="str">
        <v>P143H569</v>
      </c>
      <c r="O1717" s="108">
        <f t="shared" si="28"/>
        <v>1</v>
      </c>
      <c r="P1717" s="108"/>
      <c r="Q1717"/>
    </row>
    <row r="1718" spans="1:17" x14ac:dyDescent="0.25">
      <c r="A1718" s="89" t="s">
        <v>9293</v>
      </c>
      <c r="B1718" s="87" t="s">
        <v>9294</v>
      </c>
      <c r="C1718" s="87" t="s">
        <v>16</v>
      </c>
      <c r="D1718" s="87" t="str">
        <f>VLOOKUP(Tabela1[[#This Row],[Origem]], 'Perguntas 1 a 24'!$J$28:$K$34, 2, 0)</f>
        <v>Sudeste</v>
      </c>
      <c r="E1718" s="87" t="str">
        <f>Tabela1[[#This Row],[Descrição]]&amp;"-"&amp;Tabela1[[#This Row],[Código]]&amp;"/"&amp;Tabela1[[#This Row],[Origem]]</f>
        <v>Lerufi-H123P182/MG</v>
      </c>
      <c r="F1718" s="88">
        <v>46481</v>
      </c>
      <c r="G1718" s="88" t="str" cm="1">
        <f t="array" ref="G17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AND(F1718&gt;= DATE(2026,1,1), F1718&lt;= DATE(2028, 12, 31), J1718&gt;50000), "Pendente e Caro", AND(F1718&gt;= DATE(2026,1,1), F1718&lt;= DATE(2028, 12, 31), J1718&lt;=50000), "Pendente", F1718&gt;= DATE(2029,1,1), "Não prioeitário")</f>
        <v>Pendente e Caro</v>
      </c>
      <c r="H1718" s="89">
        <f>YEAR(Tabela1[[#This Row],[Data de Validade]])</f>
        <v>2027</v>
      </c>
      <c r="I1718" s="89">
        <f>MONTH(Tabela1[[#This Row],[Data de Validade]])</f>
        <v>4</v>
      </c>
      <c r="J1718" s="101">
        <v>85891</v>
      </c>
      <c r="K1718" s="87" t="s">
        <v>9</v>
      </c>
      <c r="L1718" s="108"/>
      <c r="M1718" s="108"/>
      <c r="N1718" s="108" t="str">
        <v>H123P182</v>
      </c>
      <c r="O1718" s="108">
        <f t="shared" si="28"/>
        <v>1</v>
      </c>
      <c r="P1718" s="108"/>
      <c r="Q1718"/>
    </row>
    <row r="1719" spans="1:17" x14ac:dyDescent="0.25">
      <c r="A1719" s="89" t="s">
        <v>8096</v>
      </c>
      <c r="B1719" s="87" t="s">
        <v>8097</v>
      </c>
      <c r="C1719" s="87" t="s">
        <v>8</v>
      </c>
      <c r="D1719" s="87" t="str">
        <f>VLOOKUP(Tabela1[[#This Row],[Origem]], 'Perguntas 1 a 24'!$J$28:$K$34, 2, 0)</f>
        <v>Nordeste</v>
      </c>
      <c r="E1719" s="87" t="str">
        <f>Tabela1[[#This Row],[Descrição]]&amp;"-"&amp;Tabela1[[#This Row],[Código]]&amp;"/"&amp;Tabela1[[#This Row],[Origem]]</f>
        <v>Falacoro-P754H795/AL</v>
      </c>
      <c r="F1719" s="88">
        <v>46481</v>
      </c>
      <c r="G1719" s="88" t="str" cm="1">
        <f t="array" ref="G17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AND(F1719&gt;= DATE(2026,1,1), F1719&lt;= DATE(2028, 12, 31), J1719&gt;50000), "Pendente e Caro", AND(F1719&gt;= DATE(2026,1,1), F1719&lt;= DATE(2028, 12, 31), J1719&lt;=50000), "Pendente", F1719&gt;= DATE(2029,1,1), "Não prioeitário")</f>
        <v>Pendente e Caro</v>
      </c>
      <c r="H1719" s="89">
        <f>YEAR(Tabela1[[#This Row],[Data de Validade]])</f>
        <v>2027</v>
      </c>
      <c r="I1719" s="89">
        <f>MONTH(Tabela1[[#This Row],[Data de Validade]])</f>
        <v>4</v>
      </c>
      <c r="J1719" s="101">
        <v>50929</v>
      </c>
      <c r="K1719" s="87" t="s">
        <v>14</v>
      </c>
      <c r="L1719" s="108"/>
      <c r="M1719" s="108"/>
      <c r="N1719" s="108" t="str">
        <v>P754H795</v>
      </c>
      <c r="O1719" s="108">
        <f t="shared" si="28"/>
        <v>1</v>
      </c>
      <c r="P1719" s="108"/>
      <c r="Q1719"/>
    </row>
    <row r="1720" spans="1:17" x14ac:dyDescent="0.25">
      <c r="A1720" s="89" t="s">
        <v>5382</v>
      </c>
      <c r="B1720" s="87" t="s">
        <v>5383</v>
      </c>
      <c r="C1720" s="87" t="s">
        <v>12</v>
      </c>
      <c r="D1720" s="87" t="str">
        <f>VLOOKUP(Tabela1[[#This Row],[Origem]], 'Perguntas 1 a 24'!$J$28:$K$34, 2, 0)</f>
        <v>Sudeste</v>
      </c>
      <c r="E1720" s="87" t="str">
        <f>Tabela1[[#This Row],[Descrição]]&amp;"-"&amp;Tabela1[[#This Row],[Código]]&amp;"/"&amp;Tabela1[[#This Row],[Origem]]</f>
        <v>Fipacu-H866P457/RJ</v>
      </c>
      <c r="F1720" s="88">
        <v>46482</v>
      </c>
      <c r="G1720" s="88" t="str" cm="1">
        <f t="array" ref="G17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AND(F1720&gt;= DATE(2026,1,1), F1720&lt;= DATE(2028, 12, 31), J1720&gt;50000), "Pendente e Caro", AND(F1720&gt;= DATE(2026,1,1), F1720&lt;= DATE(2028, 12, 31), J1720&lt;=50000), "Pendente", F1720&gt;= DATE(2029,1,1), "Não prioeitário")</f>
        <v>Pendente e Caro</v>
      </c>
      <c r="H1720" s="89">
        <f>YEAR(Tabela1[[#This Row],[Data de Validade]])</f>
        <v>2027</v>
      </c>
      <c r="I1720" s="89">
        <f>MONTH(Tabela1[[#This Row],[Data de Validade]])</f>
        <v>4</v>
      </c>
      <c r="J1720" s="101">
        <v>51590</v>
      </c>
      <c r="K1720" s="87" t="s">
        <v>9</v>
      </c>
      <c r="L1720" s="108"/>
      <c r="M1720" s="108"/>
      <c r="N1720" s="108" t="str">
        <v>H866P457</v>
      </c>
      <c r="O1720" s="108">
        <f t="shared" si="28"/>
        <v>1</v>
      </c>
      <c r="P1720" s="108"/>
      <c r="Q1720"/>
    </row>
    <row r="1721" spans="1:17" x14ac:dyDescent="0.25">
      <c r="A1721" s="89" t="s">
        <v>7782</v>
      </c>
      <c r="B1721" s="87" t="s">
        <v>7783</v>
      </c>
      <c r="C1721" s="87" t="s">
        <v>15</v>
      </c>
      <c r="D1721" s="87" t="str">
        <f>VLOOKUP(Tabela1[[#This Row],[Origem]], 'Perguntas 1 a 24'!$J$28:$K$34, 2, 0)</f>
        <v>Sudeste</v>
      </c>
      <c r="E1721" s="87" t="str">
        <f>Tabela1[[#This Row],[Descrição]]&amp;"-"&amp;Tabela1[[#This Row],[Código]]&amp;"/"&amp;Tabela1[[#This Row],[Origem]]</f>
        <v>Gigopego-H737P774/ES</v>
      </c>
      <c r="F1721" s="88">
        <v>46485</v>
      </c>
      <c r="G1721" s="88" t="str" cm="1">
        <f t="array" ref="G17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AND(F1721&gt;= DATE(2026,1,1), F1721&lt;= DATE(2028, 12, 31), J1721&gt;50000), "Pendente e Caro", AND(F1721&gt;= DATE(2026,1,1), F1721&lt;= DATE(2028, 12, 31), J1721&lt;=50000), "Pendente", F1721&gt;= DATE(2029,1,1), "Não prioeitário")</f>
        <v>Pendente e Caro</v>
      </c>
      <c r="H1721" s="89">
        <f>YEAR(Tabela1[[#This Row],[Data de Validade]])</f>
        <v>2027</v>
      </c>
      <c r="I1721" s="89">
        <f>MONTH(Tabela1[[#This Row],[Data de Validade]])</f>
        <v>4</v>
      </c>
      <c r="J1721" s="101">
        <v>94685</v>
      </c>
      <c r="K1721" s="87" t="s">
        <v>14</v>
      </c>
      <c r="L1721" s="108"/>
      <c r="M1721" s="108"/>
      <c r="N1721" s="108" t="str">
        <v>H737P774</v>
      </c>
      <c r="O1721" s="108">
        <f t="shared" si="28"/>
        <v>1</v>
      </c>
      <c r="P1721" s="108"/>
      <c r="Q1721"/>
    </row>
    <row r="1722" spans="1:17" x14ac:dyDescent="0.25">
      <c r="A1722" s="89" t="s">
        <v>6920</v>
      </c>
      <c r="B1722" s="87" t="s">
        <v>6921</v>
      </c>
      <c r="C1722" s="87" t="s">
        <v>13</v>
      </c>
      <c r="D1722" s="87" t="str">
        <f>VLOOKUP(Tabela1[[#This Row],[Origem]], 'Perguntas 1 a 24'!$J$28:$K$34, 2, 0)</f>
        <v>Sudeste</v>
      </c>
      <c r="E1722" s="87" t="str">
        <f>Tabela1[[#This Row],[Descrição]]&amp;"-"&amp;Tabela1[[#This Row],[Código]]&amp;"/"&amp;Tabela1[[#This Row],[Origem]]</f>
        <v>Cevuro-P886P282/SP</v>
      </c>
      <c r="F1722" s="88">
        <v>46485</v>
      </c>
      <c r="G1722" s="88" t="str" cm="1">
        <f t="array" ref="G17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AND(F1722&gt;= DATE(2026,1,1), F1722&lt;= DATE(2028, 12, 31), J1722&gt;50000), "Pendente e Caro", AND(F1722&gt;= DATE(2026,1,1), F1722&lt;= DATE(2028, 12, 31), J1722&lt;=50000), "Pendente", F1722&gt;= DATE(2029,1,1), "Não prioeitário")</f>
        <v>Pendente e Caro</v>
      </c>
      <c r="H1722" s="89">
        <f>YEAR(Tabela1[[#This Row],[Data de Validade]])</f>
        <v>2027</v>
      </c>
      <c r="I1722" s="89">
        <f>MONTH(Tabela1[[#This Row],[Data de Validade]])</f>
        <v>4</v>
      </c>
      <c r="J1722" s="101">
        <v>80708</v>
      </c>
      <c r="K1722" s="87" t="s">
        <v>7</v>
      </c>
      <c r="L1722" s="108"/>
      <c r="M1722" s="108"/>
      <c r="N1722" s="108" t="str">
        <v>P886P282</v>
      </c>
      <c r="O1722" s="108">
        <f t="shared" si="28"/>
        <v>1</v>
      </c>
      <c r="P1722" s="108"/>
      <c r="Q1722"/>
    </row>
    <row r="1723" spans="1:17" x14ac:dyDescent="0.25">
      <c r="A1723" s="89" t="s">
        <v>7460</v>
      </c>
      <c r="B1723" s="87" t="s">
        <v>7461</v>
      </c>
      <c r="C1723" s="87" t="s">
        <v>8</v>
      </c>
      <c r="D1723" s="87" t="str">
        <f>VLOOKUP(Tabela1[[#This Row],[Origem]], 'Perguntas 1 a 24'!$J$28:$K$34, 2, 0)</f>
        <v>Nordeste</v>
      </c>
      <c r="E1723" s="87" t="str">
        <f>Tabela1[[#This Row],[Descrição]]&amp;"-"&amp;Tabela1[[#This Row],[Código]]&amp;"/"&amp;Tabela1[[#This Row],[Origem]]</f>
        <v>Gigeta-H184P767/AL</v>
      </c>
      <c r="F1723" s="88">
        <v>46486</v>
      </c>
      <c r="G1723" s="88" t="str" cm="1">
        <f t="array" ref="G17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AND(F1723&gt;= DATE(2026,1,1), F1723&lt;= DATE(2028, 12, 31), J1723&gt;50000), "Pendente e Caro", AND(F1723&gt;= DATE(2026,1,1), F1723&lt;= DATE(2028, 12, 31), J1723&lt;=50000), "Pendente", F1723&gt;= DATE(2029,1,1), "Não prioeitário")</f>
        <v>Pendente e Caro</v>
      </c>
      <c r="H1723" s="89">
        <f>YEAR(Tabela1[[#This Row],[Data de Validade]])</f>
        <v>2027</v>
      </c>
      <c r="I1723" s="89">
        <f>MONTH(Tabela1[[#This Row],[Data de Validade]])</f>
        <v>4</v>
      </c>
      <c r="J1723" s="101">
        <v>100446</v>
      </c>
      <c r="K1723" s="87" t="s">
        <v>14</v>
      </c>
      <c r="L1723" s="108"/>
      <c r="M1723" s="108"/>
      <c r="N1723" s="108" t="str">
        <v>H184P767</v>
      </c>
      <c r="O1723" s="108">
        <f t="shared" si="28"/>
        <v>1</v>
      </c>
      <c r="P1723" s="108"/>
      <c r="Q1723"/>
    </row>
    <row r="1724" spans="1:17" x14ac:dyDescent="0.25">
      <c r="A1724" s="89" t="s">
        <v>8342</v>
      </c>
      <c r="B1724" s="87" t="s">
        <v>8343</v>
      </c>
      <c r="C1724" s="87" t="s">
        <v>10</v>
      </c>
      <c r="D1724" s="87" t="str">
        <f>VLOOKUP(Tabela1[[#This Row],[Origem]], 'Perguntas 1 a 24'!$J$28:$K$34, 2, 0)</f>
        <v>Centro-Oeste</v>
      </c>
      <c r="E1724" s="87" t="str">
        <f>Tabela1[[#This Row],[Descrição]]&amp;"-"&amp;Tabela1[[#This Row],[Código]]&amp;"/"&amp;Tabela1[[#This Row],[Origem]]</f>
        <v>Pugodapero-P382P814/GO</v>
      </c>
      <c r="F1724" s="88">
        <v>46486</v>
      </c>
      <c r="G1724" s="88" t="str" cm="1">
        <f t="array" ref="G17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AND(F1724&gt;= DATE(2026,1,1), F1724&lt;= DATE(2028, 12, 31), J1724&gt;50000), "Pendente e Caro", AND(F1724&gt;= DATE(2026,1,1), F1724&lt;= DATE(2028, 12, 31), J1724&lt;=50000), "Pendente", F1724&gt;= DATE(2029,1,1), "Não prioeitário")</f>
        <v>Pendente e Caro</v>
      </c>
      <c r="H1724" s="89">
        <f>YEAR(Tabela1[[#This Row],[Data de Validade]])</f>
        <v>2027</v>
      </c>
      <c r="I1724" s="89">
        <f>MONTH(Tabela1[[#This Row],[Data de Validade]])</f>
        <v>4</v>
      </c>
      <c r="J1724" s="101">
        <v>74250</v>
      </c>
      <c r="K1724" s="87" t="s">
        <v>11</v>
      </c>
      <c r="L1724" s="108"/>
      <c r="M1724" s="108"/>
      <c r="N1724" s="108" t="str">
        <v>P382P814</v>
      </c>
      <c r="O1724" s="108">
        <f t="shared" si="28"/>
        <v>1</v>
      </c>
      <c r="P1724" s="108"/>
      <c r="Q1724"/>
    </row>
    <row r="1725" spans="1:17" x14ac:dyDescent="0.25">
      <c r="A1725" s="89" t="s">
        <v>5708</v>
      </c>
      <c r="B1725" s="87" t="s">
        <v>5709</v>
      </c>
      <c r="C1725" s="87" t="s">
        <v>10</v>
      </c>
      <c r="D1725" s="87" t="str">
        <f>VLOOKUP(Tabela1[[#This Row],[Origem]], 'Perguntas 1 a 24'!$J$28:$K$34, 2, 0)</f>
        <v>Centro-Oeste</v>
      </c>
      <c r="E1725" s="87" t="str">
        <f>Tabela1[[#This Row],[Descrição]]&amp;"-"&amp;Tabela1[[#This Row],[Código]]&amp;"/"&amp;Tabela1[[#This Row],[Origem]]</f>
        <v>Titavavo-P463P624/GO</v>
      </c>
      <c r="F1725" s="88">
        <v>46486</v>
      </c>
      <c r="G1725" s="88" t="str" cm="1">
        <f t="array" ref="G17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AND(F1725&gt;= DATE(2026,1,1), F1725&lt;= DATE(2028, 12, 31), J1725&gt;50000), "Pendente e Caro", AND(F1725&gt;= DATE(2026,1,1), F1725&lt;= DATE(2028, 12, 31), J1725&lt;=50000), "Pendente", F1725&gt;= DATE(2029,1,1), "Não prioeitário")</f>
        <v>Pendente</v>
      </c>
      <c r="H1725" s="89">
        <f>YEAR(Tabela1[[#This Row],[Data de Validade]])</f>
        <v>2027</v>
      </c>
      <c r="I1725" s="89">
        <f>MONTH(Tabela1[[#This Row],[Data de Validade]])</f>
        <v>4</v>
      </c>
      <c r="J1725" s="101">
        <v>26679</v>
      </c>
      <c r="K1725" s="87" t="s">
        <v>9</v>
      </c>
      <c r="L1725" s="108"/>
      <c r="M1725" s="108"/>
      <c r="N1725" s="108" t="str">
        <v>P463P624</v>
      </c>
      <c r="O1725" s="108">
        <f t="shared" si="28"/>
        <v>1</v>
      </c>
      <c r="P1725" s="108"/>
      <c r="Q1725"/>
    </row>
    <row r="1726" spans="1:17" x14ac:dyDescent="0.25">
      <c r="A1726" s="89" t="s">
        <v>10655</v>
      </c>
      <c r="B1726" s="87" t="s">
        <v>10656</v>
      </c>
      <c r="C1726" s="87" t="s">
        <v>12</v>
      </c>
      <c r="D1726" s="87" t="str">
        <f>VLOOKUP(Tabela1[[#This Row],[Origem]], 'Perguntas 1 a 24'!$J$28:$K$34, 2, 0)</f>
        <v>Sudeste</v>
      </c>
      <c r="E1726" s="87" t="str">
        <f>Tabela1[[#This Row],[Descrição]]&amp;"-"&amp;Tabela1[[#This Row],[Código]]&amp;"/"&amp;Tabela1[[#This Row],[Origem]]</f>
        <v>Lucatutidu-H976H233/RJ</v>
      </c>
      <c r="F1726" s="88">
        <v>46487</v>
      </c>
      <c r="G1726" s="88" t="str" cm="1">
        <f t="array" ref="G17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AND(F1726&gt;= DATE(2026,1,1), F1726&lt;= DATE(2028, 12, 31), J1726&gt;50000), "Pendente e Caro", AND(F1726&gt;= DATE(2026,1,1), F1726&lt;= DATE(2028, 12, 31), J1726&lt;=50000), "Pendente", F1726&gt;= DATE(2029,1,1), "Não prioeitário")</f>
        <v>Pendente e Caro</v>
      </c>
      <c r="H1726" s="89">
        <f>YEAR(Tabela1[[#This Row],[Data de Validade]])</f>
        <v>2027</v>
      </c>
      <c r="I1726" s="89">
        <f>MONTH(Tabela1[[#This Row],[Data de Validade]])</f>
        <v>4</v>
      </c>
      <c r="J1726" s="101">
        <v>83236</v>
      </c>
      <c r="K1726" s="87" t="s">
        <v>7</v>
      </c>
      <c r="L1726" s="108"/>
      <c r="M1726" s="108"/>
      <c r="N1726" s="108" t="str">
        <v>H976H233</v>
      </c>
      <c r="O1726" s="108">
        <f t="shared" si="28"/>
        <v>1</v>
      </c>
      <c r="P1726" s="108"/>
      <c r="Q1726"/>
    </row>
    <row r="1727" spans="1:17" x14ac:dyDescent="0.25">
      <c r="A1727" s="89" t="s">
        <v>9781</v>
      </c>
      <c r="B1727" s="87" t="s">
        <v>9782</v>
      </c>
      <c r="C1727" s="87" t="s">
        <v>15</v>
      </c>
      <c r="D1727" s="87" t="str">
        <f>VLOOKUP(Tabela1[[#This Row],[Origem]], 'Perguntas 1 a 24'!$J$28:$K$34, 2, 0)</f>
        <v>Sudeste</v>
      </c>
      <c r="E1727" s="87" t="str">
        <f>Tabela1[[#This Row],[Descrição]]&amp;"-"&amp;Tabela1[[#This Row],[Código]]&amp;"/"&amp;Tabela1[[#This Row],[Origem]]</f>
        <v>Napapafetu-P422P744/ES</v>
      </c>
      <c r="F1727" s="88">
        <v>46488</v>
      </c>
      <c r="G1727" s="88" t="str" cm="1">
        <f t="array" ref="G17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AND(F1727&gt;= DATE(2026,1,1), F1727&lt;= DATE(2028, 12, 31), J1727&gt;50000), "Pendente e Caro", AND(F1727&gt;= DATE(2026,1,1), F1727&lt;= DATE(2028, 12, 31), J1727&lt;=50000), "Pendente", F1727&gt;= DATE(2029,1,1), "Não prioeitário")</f>
        <v>Pendente e Caro</v>
      </c>
      <c r="H1727" s="89">
        <f>YEAR(Tabela1[[#This Row],[Data de Validade]])</f>
        <v>2027</v>
      </c>
      <c r="I1727" s="89">
        <f>MONTH(Tabela1[[#This Row],[Data de Validade]])</f>
        <v>4</v>
      </c>
      <c r="J1727" s="101">
        <v>118259</v>
      </c>
      <c r="K1727" s="87" t="s">
        <v>11</v>
      </c>
      <c r="L1727" s="108"/>
      <c r="M1727" s="108"/>
      <c r="N1727" s="108" t="str">
        <v>P422P744</v>
      </c>
      <c r="O1727" s="108">
        <f t="shared" si="28"/>
        <v>1</v>
      </c>
      <c r="P1727" s="108"/>
      <c r="Q1727"/>
    </row>
    <row r="1728" spans="1:17" x14ac:dyDescent="0.25">
      <c r="A1728" s="89" t="s">
        <v>11216</v>
      </c>
      <c r="B1728" s="87" t="s">
        <v>11217</v>
      </c>
      <c r="C1728" s="87" t="s">
        <v>13</v>
      </c>
      <c r="D1728" s="87" t="str">
        <f>VLOOKUP(Tabela1[[#This Row],[Origem]], 'Perguntas 1 a 24'!$J$28:$K$34, 2, 0)</f>
        <v>Sudeste</v>
      </c>
      <c r="E1728" s="87" t="str">
        <f>Tabela1[[#This Row],[Descrição]]&amp;"-"&amp;Tabela1[[#This Row],[Código]]&amp;"/"&amp;Tabela1[[#This Row],[Origem]]</f>
        <v>Fulolu-P773H244/SP</v>
      </c>
      <c r="F1728" s="88">
        <v>46488</v>
      </c>
      <c r="G1728" s="88" t="str" cm="1">
        <f t="array" ref="G17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AND(F1728&gt;= DATE(2026,1,1), F1728&lt;= DATE(2028, 12, 31), J1728&gt;50000), "Pendente e Caro", AND(F1728&gt;= DATE(2026,1,1), F1728&lt;= DATE(2028, 12, 31), J1728&lt;=50000), "Pendente", F1728&gt;= DATE(2029,1,1), "Não prioeitário")</f>
        <v>Pendente e Caro</v>
      </c>
      <c r="H1728" s="89">
        <f>YEAR(Tabela1[[#This Row],[Data de Validade]])</f>
        <v>2027</v>
      </c>
      <c r="I1728" s="89">
        <f>MONTH(Tabela1[[#This Row],[Data de Validade]])</f>
        <v>4</v>
      </c>
      <c r="J1728" s="101">
        <v>115961</v>
      </c>
      <c r="K1728" s="87" t="s">
        <v>7</v>
      </c>
      <c r="L1728" s="108"/>
      <c r="M1728" s="108"/>
      <c r="N1728" s="108" t="str">
        <v>P773H244</v>
      </c>
      <c r="O1728" s="108">
        <f t="shared" si="28"/>
        <v>1</v>
      </c>
      <c r="P1728" s="108"/>
      <c r="Q1728"/>
    </row>
    <row r="1729" spans="1:17" x14ac:dyDescent="0.25">
      <c r="A1729" s="89" t="s">
        <v>8408</v>
      </c>
      <c r="B1729" s="87" t="s">
        <v>8409</v>
      </c>
      <c r="C1729" s="87" t="s">
        <v>16</v>
      </c>
      <c r="D1729" s="87" t="str">
        <f>VLOOKUP(Tabela1[[#This Row],[Origem]], 'Perguntas 1 a 24'!$J$28:$K$34, 2, 0)</f>
        <v>Sudeste</v>
      </c>
      <c r="E1729" s="87" t="str">
        <f>Tabela1[[#This Row],[Descrição]]&amp;"-"&amp;Tabela1[[#This Row],[Código]]&amp;"/"&amp;Tabela1[[#This Row],[Origem]]</f>
        <v>Lefipetegi-H491H223/MG</v>
      </c>
      <c r="F1729" s="88">
        <v>46490</v>
      </c>
      <c r="G1729" s="88" t="str" cm="1">
        <f t="array" ref="G17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AND(F1729&gt;= DATE(2026,1,1), F1729&lt;= DATE(2028, 12, 31), J1729&gt;50000), "Pendente e Caro", AND(F1729&gt;= DATE(2026,1,1), F1729&lt;= DATE(2028, 12, 31), J1729&lt;=50000), "Pendente", F1729&gt;= DATE(2029,1,1), "Não prioeitário")</f>
        <v>Pendente e Caro</v>
      </c>
      <c r="H1729" s="89">
        <f>YEAR(Tabela1[[#This Row],[Data de Validade]])</f>
        <v>2027</v>
      </c>
      <c r="I1729" s="89">
        <f>MONTH(Tabela1[[#This Row],[Data de Validade]])</f>
        <v>4</v>
      </c>
      <c r="J1729" s="101">
        <v>58510</v>
      </c>
      <c r="K1729" s="87" t="s">
        <v>9</v>
      </c>
      <c r="L1729" s="108"/>
      <c r="M1729" s="108"/>
      <c r="N1729" s="108" t="str">
        <v>H491H223</v>
      </c>
      <c r="O1729" s="108">
        <f t="shared" si="28"/>
        <v>1</v>
      </c>
      <c r="P1729" s="108"/>
      <c r="Q1729"/>
    </row>
    <row r="1730" spans="1:17" x14ac:dyDescent="0.25">
      <c r="A1730" s="89" t="s">
        <v>5230</v>
      </c>
      <c r="B1730" s="87" t="s">
        <v>5231</v>
      </c>
      <c r="C1730" s="87" t="s">
        <v>12</v>
      </c>
      <c r="D1730" s="87" t="str">
        <f>VLOOKUP(Tabela1[[#This Row],[Origem]], 'Perguntas 1 a 24'!$J$28:$K$34, 2, 0)</f>
        <v>Sudeste</v>
      </c>
      <c r="E1730" s="87" t="str">
        <f>Tabela1[[#This Row],[Descrição]]&amp;"-"&amp;Tabela1[[#This Row],[Código]]&amp;"/"&amp;Tabela1[[#This Row],[Origem]]</f>
        <v>Tatovuvema-H649H587/RJ</v>
      </c>
      <c r="F1730" s="88">
        <v>46490</v>
      </c>
      <c r="G1730" s="88" t="str" cm="1">
        <f t="array" ref="G17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AND(F1730&gt;= DATE(2026,1,1), F1730&lt;= DATE(2028, 12, 31), J1730&gt;50000), "Pendente e Caro", AND(F1730&gt;= DATE(2026,1,1), F1730&lt;= DATE(2028, 12, 31), J1730&lt;=50000), "Pendente", F1730&gt;= DATE(2029,1,1), "Não prioeitário")</f>
        <v>Pendente</v>
      </c>
      <c r="H1730" s="89">
        <f>YEAR(Tabela1[[#This Row],[Data de Validade]])</f>
        <v>2027</v>
      </c>
      <c r="I1730" s="89">
        <f>MONTH(Tabela1[[#This Row],[Data de Validade]])</f>
        <v>4</v>
      </c>
      <c r="J1730" s="101">
        <v>39609</v>
      </c>
      <c r="K1730" s="87" t="s">
        <v>11</v>
      </c>
      <c r="L1730" s="108"/>
      <c r="M1730" s="108"/>
      <c r="N1730" s="108" t="str">
        <v>H649H587</v>
      </c>
      <c r="O1730" s="108">
        <f t="shared" si="28"/>
        <v>1</v>
      </c>
      <c r="P1730" s="108"/>
      <c r="Q1730"/>
    </row>
    <row r="1731" spans="1:17" x14ac:dyDescent="0.25">
      <c r="A1731" s="89" t="s">
        <v>10982</v>
      </c>
      <c r="B1731" s="87" t="s">
        <v>10983</v>
      </c>
      <c r="C1731" s="87" t="s">
        <v>13</v>
      </c>
      <c r="D1731" s="87" t="str">
        <f>VLOOKUP(Tabela1[[#This Row],[Origem]], 'Perguntas 1 a 24'!$J$28:$K$34, 2, 0)</f>
        <v>Sudeste</v>
      </c>
      <c r="E1731" s="87" t="str">
        <f>Tabela1[[#This Row],[Descrição]]&amp;"-"&amp;Tabela1[[#This Row],[Código]]&amp;"/"&amp;Tabela1[[#This Row],[Origem]]</f>
        <v>Pecopanu-P171P465/SP</v>
      </c>
      <c r="F1731" s="88">
        <v>46490</v>
      </c>
      <c r="G1731" s="88" t="str" cm="1">
        <f t="array" ref="G17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AND(F1731&gt;= DATE(2026,1,1), F1731&lt;= DATE(2028, 12, 31), J1731&gt;50000), "Pendente e Caro", AND(F1731&gt;= DATE(2026,1,1), F1731&lt;= DATE(2028, 12, 31), J1731&lt;=50000), "Pendente", F1731&gt;= DATE(2029,1,1), "Não prioeitário")</f>
        <v>Pendente</v>
      </c>
      <c r="H1731" s="89">
        <f>YEAR(Tabela1[[#This Row],[Data de Validade]])</f>
        <v>2027</v>
      </c>
      <c r="I1731" s="89">
        <f>MONTH(Tabela1[[#This Row],[Data de Validade]])</f>
        <v>4</v>
      </c>
      <c r="J1731" s="101">
        <v>34858</v>
      </c>
      <c r="K1731" s="87" t="s">
        <v>7</v>
      </c>
      <c r="L1731" s="108"/>
      <c r="M1731" s="108"/>
      <c r="N1731" s="108" t="str">
        <v>P171P465</v>
      </c>
      <c r="O1731" s="108">
        <f t="shared" ref="O1731:O1794" si="29">COUNTIFS(B:B,N1731)</f>
        <v>1</v>
      </c>
      <c r="P1731" s="108"/>
      <c r="Q1731"/>
    </row>
    <row r="1732" spans="1:17" x14ac:dyDescent="0.25">
      <c r="A1732" s="89" t="s">
        <v>9849</v>
      </c>
      <c r="B1732" s="87" t="s">
        <v>9850</v>
      </c>
      <c r="C1732" s="87" t="s">
        <v>15</v>
      </c>
      <c r="D1732" s="87" t="str">
        <f>VLOOKUP(Tabela1[[#This Row],[Origem]], 'Perguntas 1 a 24'!$J$28:$K$34, 2, 0)</f>
        <v>Sudeste</v>
      </c>
      <c r="E1732" s="87" t="str">
        <f>Tabela1[[#This Row],[Descrição]]&amp;"-"&amp;Tabela1[[#This Row],[Código]]&amp;"/"&amp;Tabela1[[#This Row],[Origem]]</f>
        <v>Mepone-P511H352/ES</v>
      </c>
      <c r="F1732" s="88">
        <v>46491</v>
      </c>
      <c r="G1732" s="88" t="str" cm="1">
        <f t="array" ref="G17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AND(F1732&gt;= DATE(2026,1,1), F1732&lt;= DATE(2028, 12, 31), J1732&gt;50000), "Pendente e Caro", AND(F1732&gt;= DATE(2026,1,1), F1732&lt;= DATE(2028, 12, 31), J1732&lt;=50000), "Pendente", F1732&gt;= DATE(2029,1,1), "Não prioeitário")</f>
        <v>Pendente e Caro</v>
      </c>
      <c r="H1732" s="89">
        <f>YEAR(Tabela1[[#This Row],[Data de Validade]])</f>
        <v>2027</v>
      </c>
      <c r="I1732" s="89">
        <f>MONTH(Tabela1[[#This Row],[Data de Validade]])</f>
        <v>4</v>
      </c>
      <c r="J1732" s="101">
        <v>106089</v>
      </c>
      <c r="K1732" s="87" t="s">
        <v>7</v>
      </c>
      <c r="L1732" s="108"/>
      <c r="M1732" s="108"/>
      <c r="N1732" s="108" t="str">
        <v>P511H352</v>
      </c>
      <c r="O1732" s="108">
        <f t="shared" si="29"/>
        <v>1</v>
      </c>
      <c r="P1732" s="108"/>
      <c r="Q1732"/>
    </row>
    <row r="1733" spans="1:17" x14ac:dyDescent="0.25">
      <c r="A1733" s="89" t="s">
        <v>7980</v>
      </c>
      <c r="B1733" s="87" t="s">
        <v>7981</v>
      </c>
      <c r="C1733" s="87" t="s">
        <v>13</v>
      </c>
      <c r="D1733" s="87" t="str">
        <f>VLOOKUP(Tabela1[[#This Row],[Origem]], 'Perguntas 1 a 24'!$J$28:$K$34, 2, 0)</f>
        <v>Sudeste</v>
      </c>
      <c r="E1733" s="87" t="str">
        <f>Tabela1[[#This Row],[Descrição]]&amp;"-"&amp;Tabela1[[#This Row],[Código]]&amp;"/"&amp;Tabela1[[#This Row],[Origem]]</f>
        <v>Picicunepi-H179H927/SP</v>
      </c>
      <c r="F1733" s="88">
        <v>46492</v>
      </c>
      <c r="G1733" s="88" t="str" cm="1">
        <f t="array" ref="G17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AND(F1733&gt;= DATE(2026,1,1), F1733&lt;= DATE(2028, 12, 31), J1733&gt;50000), "Pendente e Caro", AND(F1733&gt;= DATE(2026,1,1), F1733&lt;= DATE(2028, 12, 31), J1733&lt;=50000), "Pendente", F1733&gt;= DATE(2029,1,1), "Não prioeitário")</f>
        <v>Pendente</v>
      </c>
      <c r="H1733" s="89">
        <f>YEAR(Tabela1[[#This Row],[Data de Validade]])</f>
        <v>2027</v>
      </c>
      <c r="I1733" s="89">
        <f>MONTH(Tabela1[[#This Row],[Data de Validade]])</f>
        <v>4</v>
      </c>
      <c r="J1733" s="101">
        <v>42878</v>
      </c>
      <c r="K1733" s="87" t="s">
        <v>7</v>
      </c>
      <c r="L1733" s="108"/>
      <c r="M1733" s="108"/>
      <c r="N1733" s="108" t="str">
        <v>H179H927</v>
      </c>
      <c r="O1733" s="108">
        <f t="shared" si="29"/>
        <v>1</v>
      </c>
      <c r="P1733" s="108"/>
      <c r="Q1733"/>
    </row>
    <row r="1734" spans="1:17" x14ac:dyDescent="0.25">
      <c r="A1734" s="89" t="s">
        <v>4702</v>
      </c>
      <c r="B1734" s="87" t="s">
        <v>4703</v>
      </c>
      <c r="C1734" s="87" t="s">
        <v>8</v>
      </c>
      <c r="D1734" s="87" t="str">
        <f>VLOOKUP(Tabela1[[#This Row],[Origem]], 'Perguntas 1 a 24'!$J$28:$K$34, 2, 0)</f>
        <v>Nordeste</v>
      </c>
      <c r="E1734" s="87" t="str">
        <f>Tabela1[[#This Row],[Descrição]]&amp;"-"&amp;Tabela1[[#This Row],[Código]]&amp;"/"&amp;Tabela1[[#This Row],[Origem]]</f>
        <v>Rolape-H621H241/AL</v>
      </c>
      <c r="F1734" s="88">
        <v>46494</v>
      </c>
      <c r="G1734" s="88" t="str" cm="1">
        <f t="array" ref="G17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AND(F1734&gt;= DATE(2026,1,1), F1734&lt;= DATE(2028, 12, 31), J1734&gt;50000), "Pendente e Caro", AND(F1734&gt;= DATE(2026,1,1), F1734&lt;= DATE(2028, 12, 31), J1734&lt;=50000), "Pendente", F1734&gt;= DATE(2029,1,1), "Não prioeitário")</f>
        <v>Pendente e Caro</v>
      </c>
      <c r="H1734" s="89">
        <f>YEAR(Tabela1[[#This Row],[Data de Validade]])</f>
        <v>2027</v>
      </c>
      <c r="I1734" s="89">
        <f>MONTH(Tabela1[[#This Row],[Data de Validade]])</f>
        <v>4</v>
      </c>
      <c r="J1734" s="101">
        <v>90429</v>
      </c>
      <c r="K1734" s="87" t="s">
        <v>7</v>
      </c>
      <c r="L1734" s="108"/>
      <c r="M1734" s="108"/>
      <c r="N1734" s="108" t="str">
        <v>H621H241</v>
      </c>
      <c r="O1734" s="108">
        <f t="shared" si="29"/>
        <v>1</v>
      </c>
      <c r="P1734" s="108"/>
      <c r="Q1734"/>
    </row>
    <row r="1735" spans="1:17" x14ac:dyDescent="0.25">
      <c r="A1735" s="89" t="s">
        <v>10637</v>
      </c>
      <c r="B1735" s="87" t="s">
        <v>10638</v>
      </c>
      <c r="C1735" s="87" t="s">
        <v>10</v>
      </c>
      <c r="D1735" s="87" t="str">
        <f>VLOOKUP(Tabela1[[#This Row],[Origem]], 'Perguntas 1 a 24'!$J$28:$K$34, 2, 0)</f>
        <v>Centro-Oeste</v>
      </c>
      <c r="E1735" s="87" t="str">
        <f>Tabela1[[#This Row],[Descrição]]&amp;"-"&amp;Tabela1[[#This Row],[Código]]&amp;"/"&amp;Tabela1[[#This Row],[Origem]]</f>
        <v>Tedoda-P128H533/GO</v>
      </c>
      <c r="F1735" s="88">
        <v>46494</v>
      </c>
      <c r="G1735" s="88" t="str" cm="1">
        <f t="array" ref="G17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AND(F1735&gt;= DATE(2026,1,1), F1735&lt;= DATE(2028, 12, 31), J1735&gt;50000), "Pendente e Caro", AND(F1735&gt;= DATE(2026,1,1), F1735&lt;= DATE(2028, 12, 31), J1735&lt;=50000), "Pendente", F1735&gt;= DATE(2029,1,1), "Não prioeitário")</f>
        <v>Pendente e Caro</v>
      </c>
      <c r="H1735" s="89">
        <f>YEAR(Tabela1[[#This Row],[Data de Validade]])</f>
        <v>2027</v>
      </c>
      <c r="I1735" s="89">
        <f>MONTH(Tabela1[[#This Row],[Data de Validade]])</f>
        <v>4</v>
      </c>
      <c r="J1735" s="101">
        <v>70158</v>
      </c>
      <c r="K1735" s="87" t="s">
        <v>11</v>
      </c>
      <c r="L1735" s="108"/>
      <c r="M1735" s="108"/>
      <c r="N1735" s="108" t="str">
        <v>P128H533</v>
      </c>
      <c r="O1735" s="108">
        <f t="shared" si="29"/>
        <v>1</v>
      </c>
      <c r="P1735" s="108"/>
      <c r="Q1735"/>
    </row>
    <row r="1736" spans="1:17" x14ac:dyDescent="0.25">
      <c r="A1736" s="89" t="s">
        <v>10937</v>
      </c>
      <c r="B1736" s="87" t="s">
        <v>10938</v>
      </c>
      <c r="C1736" s="87" t="s">
        <v>8</v>
      </c>
      <c r="D1736" s="87" t="str">
        <f>VLOOKUP(Tabela1[[#This Row],[Origem]], 'Perguntas 1 a 24'!$J$28:$K$34, 2, 0)</f>
        <v>Nordeste</v>
      </c>
      <c r="E1736" s="87" t="str">
        <f>Tabela1[[#This Row],[Descrição]]&amp;"-"&amp;Tabela1[[#This Row],[Código]]&amp;"/"&amp;Tabela1[[#This Row],[Origem]]</f>
        <v>Pogodipoma-H933P916/AL</v>
      </c>
      <c r="F1736" s="88">
        <v>46494</v>
      </c>
      <c r="G1736" s="88" t="str" cm="1">
        <f t="array" ref="G17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AND(F1736&gt;= DATE(2026,1,1), F1736&lt;= DATE(2028, 12, 31), J1736&gt;50000), "Pendente e Caro", AND(F1736&gt;= DATE(2026,1,1), F1736&lt;= DATE(2028, 12, 31), J1736&lt;=50000), "Pendente", F1736&gt;= DATE(2029,1,1), "Não prioeitário")</f>
        <v>Pendente e Caro</v>
      </c>
      <c r="H1736" s="89">
        <f>YEAR(Tabela1[[#This Row],[Data de Validade]])</f>
        <v>2027</v>
      </c>
      <c r="I1736" s="89">
        <f>MONTH(Tabela1[[#This Row],[Data de Validade]])</f>
        <v>4</v>
      </c>
      <c r="J1736" s="101">
        <v>59199</v>
      </c>
      <c r="K1736" s="87" t="s">
        <v>9</v>
      </c>
      <c r="L1736" s="108"/>
      <c r="M1736" s="108"/>
      <c r="N1736" s="108" t="str">
        <v>H933P916</v>
      </c>
      <c r="O1736" s="108">
        <f t="shared" si="29"/>
        <v>1</v>
      </c>
      <c r="P1736" s="108"/>
      <c r="Q1736"/>
    </row>
    <row r="1737" spans="1:17" x14ac:dyDescent="0.25">
      <c r="A1737" s="89" t="s">
        <v>7634</v>
      </c>
      <c r="B1737" s="87" t="s">
        <v>7635</v>
      </c>
      <c r="C1737" s="87" t="s">
        <v>8</v>
      </c>
      <c r="D1737" s="87" t="str">
        <f>VLOOKUP(Tabela1[[#This Row],[Origem]], 'Perguntas 1 a 24'!$J$28:$K$34, 2, 0)</f>
        <v>Nordeste</v>
      </c>
      <c r="E1737" s="87" t="str">
        <f>Tabela1[[#This Row],[Descrição]]&amp;"-"&amp;Tabela1[[#This Row],[Código]]&amp;"/"&amp;Tabela1[[#This Row],[Origem]]</f>
        <v>Pifufuvopi-H891H947/AL</v>
      </c>
      <c r="F1737" s="88">
        <v>46495</v>
      </c>
      <c r="G1737" s="88" t="str" cm="1">
        <f t="array" ref="G17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AND(F1737&gt;= DATE(2026,1,1), F1737&lt;= DATE(2028, 12, 31), J1737&gt;50000), "Pendente e Caro", AND(F1737&gt;= DATE(2026,1,1), F1737&lt;= DATE(2028, 12, 31), J1737&lt;=50000), "Pendente", F1737&gt;= DATE(2029,1,1), "Não prioeitário")</f>
        <v>Pendente e Caro</v>
      </c>
      <c r="H1737" s="89">
        <f>YEAR(Tabela1[[#This Row],[Data de Validade]])</f>
        <v>2027</v>
      </c>
      <c r="I1737" s="89">
        <f>MONTH(Tabela1[[#This Row],[Data de Validade]])</f>
        <v>4</v>
      </c>
      <c r="J1737" s="101">
        <v>69611</v>
      </c>
      <c r="K1737" s="87" t="s">
        <v>7</v>
      </c>
      <c r="L1737" s="108"/>
      <c r="M1737" s="108"/>
      <c r="N1737" s="108" t="str">
        <v>H891H947</v>
      </c>
      <c r="O1737" s="108">
        <f t="shared" si="29"/>
        <v>1</v>
      </c>
      <c r="P1737" s="108"/>
      <c r="Q1737"/>
    </row>
    <row r="1738" spans="1:17" x14ac:dyDescent="0.25">
      <c r="A1738" s="89" t="s">
        <v>10195</v>
      </c>
      <c r="B1738" s="87" t="s">
        <v>10196</v>
      </c>
      <c r="C1738" s="87" t="s">
        <v>16</v>
      </c>
      <c r="D1738" s="87" t="str">
        <f>VLOOKUP(Tabela1[[#This Row],[Origem]], 'Perguntas 1 a 24'!$J$28:$K$34, 2, 0)</f>
        <v>Sudeste</v>
      </c>
      <c r="E1738" s="87" t="str">
        <f>Tabela1[[#This Row],[Descrição]]&amp;"-"&amp;Tabela1[[#This Row],[Código]]&amp;"/"&amp;Tabela1[[#This Row],[Origem]]</f>
        <v>Ponepu-H973H235/MG</v>
      </c>
      <c r="F1738" s="88">
        <v>46495</v>
      </c>
      <c r="G1738" s="88" t="str" cm="1">
        <f t="array" ref="G17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AND(F1738&gt;= DATE(2026,1,1), F1738&lt;= DATE(2028, 12, 31), J1738&gt;50000), "Pendente e Caro", AND(F1738&gt;= DATE(2026,1,1), F1738&lt;= DATE(2028, 12, 31), J1738&lt;=50000), "Pendente", F1738&gt;= DATE(2029,1,1), "Não prioeitário")</f>
        <v>Pendente e Caro</v>
      </c>
      <c r="H1738" s="89">
        <f>YEAR(Tabela1[[#This Row],[Data de Validade]])</f>
        <v>2027</v>
      </c>
      <c r="I1738" s="89">
        <f>MONTH(Tabela1[[#This Row],[Data de Validade]])</f>
        <v>4</v>
      </c>
      <c r="J1738" s="101">
        <v>62752</v>
      </c>
      <c r="K1738" s="87" t="s">
        <v>11</v>
      </c>
      <c r="L1738" s="108"/>
      <c r="M1738" s="108"/>
      <c r="N1738" s="108" t="str">
        <v>H973H235</v>
      </c>
      <c r="O1738" s="108">
        <f t="shared" si="29"/>
        <v>1</v>
      </c>
      <c r="P1738" s="108"/>
      <c r="Q1738"/>
    </row>
    <row r="1739" spans="1:17" x14ac:dyDescent="0.25">
      <c r="A1739" s="89" t="s">
        <v>4052</v>
      </c>
      <c r="B1739" s="87" t="s">
        <v>4053</v>
      </c>
      <c r="C1739" s="87" t="s">
        <v>10</v>
      </c>
      <c r="D1739" s="87" t="str">
        <f>VLOOKUP(Tabela1[[#This Row],[Origem]], 'Perguntas 1 a 24'!$J$28:$K$34, 2, 0)</f>
        <v>Centro-Oeste</v>
      </c>
      <c r="E1739" s="87" t="str">
        <f>Tabela1[[#This Row],[Descrição]]&amp;"-"&amp;Tabela1[[#This Row],[Código]]&amp;"/"&amp;Tabela1[[#This Row],[Origem]]</f>
        <v>Rupina-H868H654/GO</v>
      </c>
      <c r="F1739" s="88">
        <v>46495</v>
      </c>
      <c r="G1739" s="88" t="str" cm="1">
        <f t="array" ref="G17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AND(F1739&gt;= DATE(2026,1,1), F1739&lt;= DATE(2028, 12, 31), J1739&gt;50000), "Pendente e Caro", AND(F1739&gt;= DATE(2026,1,1), F1739&lt;= DATE(2028, 12, 31), J1739&lt;=50000), "Pendente", F1739&gt;= DATE(2029,1,1), "Não prioeitário")</f>
        <v>Pendente</v>
      </c>
      <c r="H1739" s="89">
        <f>YEAR(Tabela1[[#This Row],[Data de Validade]])</f>
        <v>2027</v>
      </c>
      <c r="I1739" s="89">
        <f>MONTH(Tabela1[[#This Row],[Data de Validade]])</f>
        <v>4</v>
      </c>
      <c r="J1739" s="101">
        <v>25703</v>
      </c>
      <c r="K1739" s="87" t="s">
        <v>9</v>
      </c>
      <c r="L1739" s="108"/>
      <c r="M1739" s="108"/>
      <c r="N1739" s="108" t="str">
        <v>H868H654</v>
      </c>
      <c r="O1739" s="108">
        <f t="shared" si="29"/>
        <v>1</v>
      </c>
      <c r="P1739" s="108"/>
      <c r="Q1739"/>
    </row>
    <row r="1740" spans="1:17" x14ac:dyDescent="0.25">
      <c r="A1740" s="89" t="s">
        <v>9027</v>
      </c>
      <c r="B1740" s="87" t="s">
        <v>9028</v>
      </c>
      <c r="C1740" s="87" t="s">
        <v>8</v>
      </c>
      <c r="D1740" s="87" t="str">
        <f>VLOOKUP(Tabela1[[#This Row],[Origem]], 'Perguntas 1 a 24'!$J$28:$K$34, 2, 0)</f>
        <v>Nordeste</v>
      </c>
      <c r="E1740" s="87" t="str">
        <f>Tabela1[[#This Row],[Descrição]]&amp;"-"&amp;Tabela1[[#This Row],[Código]]&amp;"/"&amp;Tabela1[[#This Row],[Origem]]</f>
        <v>Fatape-H176H619/AL</v>
      </c>
      <c r="F1740" s="88">
        <v>46495</v>
      </c>
      <c r="G1740" s="88" t="str" cm="1">
        <f t="array" ref="G17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AND(F1740&gt;= DATE(2026,1,1), F1740&lt;= DATE(2028, 12, 31), J1740&gt;50000), "Pendente e Caro", AND(F1740&gt;= DATE(2026,1,1), F1740&lt;= DATE(2028, 12, 31), J1740&lt;=50000), "Pendente", F1740&gt;= DATE(2029,1,1), "Não prioeitário")</f>
        <v>Pendente</v>
      </c>
      <c r="H1740" s="89">
        <f>YEAR(Tabela1[[#This Row],[Data de Validade]])</f>
        <v>2027</v>
      </c>
      <c r="I1740" s="89">
        <f>MONTH(Tabela1[[#This Row],[Data de Validade]])</f>
        <v>4</v>
      </c>
      <c r="J1740" s="101">
        <v>22718</v>
      </c>
      <c r="K1740" s="87" t="s">
        <v>11</v>
      </c>
      <c r="L1740" s="108"/>
      <c r="M1740" s="108"/>
      <c r="N1740" s="108" t="str">
        <v>H176H619</v>
      </c>
      <c r="O1740" s="108">
        <f t="shared" si="29"/>
        <v>1</v>
      </c>
      <c r="P1740" s="108"/>
      <c r="Q1740"/>
    </row>
    <row r="1741" spans="1:17" x14ac:dyDescent="0.25">
      <c r="A1741" s="89" t="s">
        <v>7504</v>
      </c>
      <c r="B1741" s="87" t="s">
        <v>7505</v>
      </c>
      <c r="C1741" s="87" t="s">
        <v>6</v>
      </c>
      <c r="D1741" s="87" t="str">
        <f>VLOOKUP(Tabela1[[#This Row],[Origem]], 'Perguntas 1 a 24'!$J$28:$K$34, 2, 0)</f>
        <v>Nordeste</v>
      </c>
      <c r="E1741" s="87" t="str">
        <f>Tabela1[[#This Row],[Descrição]]&amp;"-"&amp;Tabela1[[#This Row],[Código]]&amp;"/"&amp;Tabela1[[#This Row],[Origem]]</f>
        <v>Lacevicela-P942H818/MA</v>
      </c>
      <c r="F1741" s="88">
        <v>46496</v>
      </c>
      <c r="G1741" s="88" t="str" cm="1">
        <f t="array" ref="G17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AND(F1741&gt;= DATE(2026,1,1), F1741&lt;= DATE(2028, 12, 31), J1741&gt;50000), "Pendente e Caro", AND(F1741&gt;= DATE(2026,1,1), F1741&lt;= DATE(2028, 12, 31), J1741&lt;=50000), "Pendente", F1741&gt;= DATE(2029,1,1), "Não prioeitário")</f>
        <v>Pendente e Caro</v>
      </c>
      <c r="H1741" s="89">
        <f>YEAR(Tabela1[[#This Row],[Data de Validade]])</f>
        <v>2027</v>
      </c>
      <c r="I1741" s="89">
        <f>MONTH(Tabela1[[#This Row],[Data de Validade]])</f>
        <v>4</v>
      </c>
      <c r="J1741" s="101">
        <v>94313</v>
      </c>
      <c r="K1741" s="87" t="s">
        <v>9</v>
      </c>
      <c r="L1741" s="108"/>
      <c r="M1741" s="108"/>
      <c r="N1741" s="108" t="str">
        <v>P942H818</v>
      </c>
      <c r="O1741" s="108">
        <f t="shared" si="29"/>
        <v>1</v>
      </c>
      <c r="P1741" s="108"/>
      <c r="Q1741"/>
    </row>
    <row r="1742" spans="1:17" x14ac:dyDescent="0.25">
      <c r="A1742" s="89" t="s">
        <v>4261</v>
      </c>
      <c r="B1742" s="87" t="s">
        <v>4262</v>
      </c>
      <c r="C1742" s="87" t="s">
        <v>12</v>
      </c>
      <c r="D1742" s="87" t="str">
        <f>VLOOKUP(Tabela1[[#This Row],[Origem]], 'Perguntas 1 a 24'!$J$28:$K$34, 2, 0)</f>
        <v>Sudeste</v>
      </c>
      <c r="E1742" s="87" t="str">
        <f>Tabela1[[#This Row],[Descrição]]&amp;"-"&amp;Tabela1[[#This Row],[Código]]&amp;"/"&amp;Tabela1[[#This Row],[Origem]]</f>
        <v>Rutepofo-H377P596/RJ</v>
      </c>
      <c r="F1742" s="88">
        <v>46497</v>
      </c>
      <c r="G1742" s="88" t="str" cm="1">
        <f t="array" ref="G17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AND(F1742&gt;= DATE(2026,1,1), F1742&lt;= DATE(2028, 12, 31), J1742&gt;50000), "Pendente e Caro", AND(F1742&gt;= DATE(2026,1,1), F1742&lt;= DATE(2028, 12, 31), J1742&lt;=50000), "Pendente", F1742&gt;= DATE(2029,1,1), "Não prioeitário")</f>
        <v>Pendente e Caro</v>
      </c>
      <c r="H1742" s="89">
        <f>YEAR(Tabela1[[#This Row],[Data de Validade]])</f>
        <v>2027</v>
      </c>
      <c r="I1742" s="89">
        <f>MONTH(Tabela1[[#This Row],[Data de Validade]])</f>
        <v>4</v>
      </c>
      <c r="J1742" s="101">
        <v>99152</v>
      </c>
      <c r="K1742" s="87" t="s">
        <v>9</v>
      </c>
      <c r="L1742" s="108"/>
      <c r="M1742" s="108"/>
      <c r="N1742" s="108" t="str">
        <v>H377P596</v>
      </c>
      <c r="O1742" s="108">
        <f t="shared" si="29"/>
        <v>1</v>
      </c>
      <c r="P1742" s="108"/>
      <c r="Q1742"/>
    </row>
    <row r="1743" spans="1:17" x14ac:dyDescent="0.25">
      <c r="A1743" s="89" t="s">
        <v>8957</v>
      </c>
      <c r="B1743" s="87" t="s">
        <v>8958</v>
      </c>
      <c r="C1743" s="87" t="s">
        <v>12</v>
      </c>
      <c r="D1743" s="87" t="str">
        <f>VLOOKUP(Tabela1[[#This Row],[Origem]], 'Perguntas 1 a 24'!$J$28:$K$34, 2, 0)</f>
        <v>Sudeste</v>
      </c>
      <c r="E1743" s="87" t="str">
        <f>Tabela1[[#This Row],[Descrição]]&amp;"-"&amp;Tabela1[[#This Row],[Código]]&amp;"/"&amp;Tabela1[[#This Row],[Origem]]</f>
        <v>Dufepipa-H619P476/RJ</v>
      </c>
      <c r="F1743" s="88">
        <v>46497</v>
      </c>
      <c r="G1743" s="88" t="str" cm="1">
        <f t="array" ref="G17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AND(F1743&gt;= DATE(2026,1,1), F1743&lt;= DATE(2028, 12, 31), J1743&gt;50000), "Pendente e Caro", AND(F1743&gt;= DATE(2026,1,1), F1743&lt;= DATE(2028, 12, 31), J1743&lt;=50000), "Pendente", F1743&gt;= DATE(2029,1,1), "Não prioeitário")</f>
        <v>Pendente e Caro</v>
      </c>
      <c r="H1743" s="89">
        <f>YEAR(Tabela1[[#This Row],[Data de Validade]])</f>
        <v>2027</v>
      </c>
      <c r="I1743" s="89">
        <f>MONTH(Tabela1[[#This Row],[Data de Validade]])</f>
        <v>4</v>
      </c>
      <c r="J1743" s="101">
        <v>81954</v>
      </c>
      <c r="K1743" s="87" t="s">
        <v>11</v>
      </c>
      <c r="L1743" s="108"/>
      <c r="M1743" s="108"/>
      <c r="N1743" s="108" t="str">
        <v>H619P476</v>
      </c>
      <c r="O1743" s="108">
        <f t="shared" si="29"/>
        <v>1</v>
      </c>
      <c r="P1743" s="108"/>
      <c r="Q1743"/>
    </row>
    <row r="1744" spans="1:17" x14ac:dyDescent="0.25">
      <c r="A1744" s="89" t="s">
        <v>10531</v>
      </c>
      <c r="B1744" s="87" t="s">
        <v>10532</v>
      </c>
      <c r="C1744" s="87" t="s">
        <v>16</v>
      </c>
      <c r="D1744" s="87" t="str">
        <f>VLOOKUP(Tabela1[[#This Row],[Origem]], 'Perguntas 1 a 24'!$J$28:$K$34, 2, 0)</f>
        <v>Sudeste</v>
      </c>
      <c r="E1744" s="87" t="str">
        <f>Tabela1[[#This Row],[Descrição]]&amp;"-"&amp;Tabela1[[#This Row],[Código]]&amp;"/"&amp;Tabela1[[#This Row],[Origem]]</f>
        <v>Cugunitama-P795H816/MG</v>
      </c>
      <c r="F1744" s="88">
        <v>46498</v>
      </c>
      <c r="G1744" s="88" t="str" cm="1">
        <f t="array" ref="G17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AND(F1744&gt;= DATE(2026,1,1), F1744&lt;= DATE(2028, 12, 31), J1744&gt;50000), "Pendente e Caro", AND(F1744&gt;= DATE(2026,1,1), F1744&lt;= DATE(2028, 12, 31), J1744&lt;=50000), "Pendente", F1744&gt;= DATE(2029,1,1), "Não prioeitário")</f>
        <v>Pendente e Caro</v>
      </c>
      <c r="H1744" s="89">
        <f>YEAR(Tabela1[[#This Row],[Data de Validade]])</f>
        <v>2027</v>
      </c>
      <c r="I1744" s="89">
        <f>MONTH(Tabela1[[#This Row],[Data de Validade]])</f>
        <v>4</v>
      </c>
      <c r="J1744" s="101">
        <v>118307</v>
      </c>
      <c r="K1744" s="87" t="s">
        <v>11</v>
      </c>
      <c r="L1744" s="108"/>
      <c r="M1744" s="108"/>
      <c r="N1744" s="108" t="str">
        <v>P795H816</v>
      </c>
      <c r="O1744" s="108">
        <f t="shared" si="29"/>
        <v>1</v>
      </c>
      <c r="P1744" s="108"/>
      <c r="Q1744"/>
    </row>
    <row r="1745" spans="1:17" x14ac:dyDescent="0.25">
      <c r="A1745" s="89" t="s">
        <v>7160</v>
      </c>
      <c r="B1745" s="87" t="s">
        <v>7161</v>
      </c>
      <c r="C1745" s="87" t="s">
        <v>16</v>
      </c>
      <c r="D1745" s="87" t="str">
        <f>VLOOKUP(Tabela1[[#This Row],[Origem]], 'Perguntas 1 a 24'!$J$28:$K$34, 2, 0)</f>
        <v>Sudeste</v>
      </c>
      <c r="E1745" s="87" t="str">
        <f>Tabela1[[#This Row],[Descrição]]&amp;"-"&amp;Tabela1[[#This Row],[Código]]&amp;"/"&amp;Tabela1[[#This Row],[Origem]]</f>
        <v>Tafamuneci-H643H178/MG</v>
      </c>
      <c r="F1745" s="88">
        <v>46499</v>
      </c>
      <c r="G1745" s="88" t="str" cm="1">
        <f t="array" ref="G17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AND(F1745&gt;= DATE(2026,1,1), F1745&lt;= DATE(2028, 12, 31), J1745&gt;50000), "Pendente e Caro", AND(F1745&gt;= DATE(2026,1,1), F1745&lt;= DATE(2028, 12, 31), J1745&lt;=50000), "Pendente", F1745&gt;= DATE(2029,1,1), "Não prioeitário")</f>
        <v>Pendente e Caro</v>
      </c>
      <c r="H1745" s="89">
        <f>YEAR(Tabela1[[#This Row],[Data de Validade]])</f>
        <v>2027</v>
      </c>
      <c r="I1745" s="89">
        <f>MONTH(Tabela1[[#This Row],[Data de Validade]])</f>
        <v>4</v>
      </c>
      <c r="J1745" s="101">
        <v>98983</v>
      </c>
      <c r="K1745" s="87" t="s">
        <v>11</v>
      </c>
      <c r="L1745" s="108"/>
      <c r="M1745" s="108"/>
      <c r="N1745" s="108" t="str">
        <v>H643H178</v>
      </c>
      <c r="O1745" s="108">
        <f t="shared" si="29"/>
        <v>1</v>
      </c>
      <c r="P1745" s="108"/>
      <c r="Q1745"/>
    </row>
    <row r="1746" spans="1:17" x14ac:dyDescent="0.25">
      <c r="A1746" s="89" t="s">
        <v>8709</v>
      </c>
      <c r="B1746" s="87" t="s">
        <v>8710</v>
      </c>
      <c r="C1746" s="87" t="s">
        <v>16</v>
      </c>
      <c r="D1746" s="87" t="str">
        <f>VLOOKUP(Tabela1[[#This Row],[Origem]], 'Perguntas 1 a 24'!$J$28:$K$34, 2, 0)</f>
        <v>Sudeste</v>
      </c>
      <c r="E1746" s="87" t="str">
        <f>Tabela1[[#This Row],[Descrição]]&amp;"-"&amp;Tabela1[[#This Row],[Código]]&amp;"/"&amp;Tabela1[[#This Row],[Origem]]</f>
        <v>Punaci-H616P857/MG</v>
      </c>
      <c r="F1746" s="88">
        <v>46500</v>
      </c>
      <c r="G1746" s="88" t="str" cm="1">
        <f t="array" ref="G17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AND(F1746&gt;= DATE(2026,1,1), F1746&lt;= DATE(2028, 12, 31), J1746&gt;50000), "Pendente e Caro", AND(F1746&gt;= DATE(2026,1,1), F1746&lt;= DATE(2028, 12, 31), J1746&lt;=50000), "Pendente", F1746&gt;= DATE(2029,1,1), "Não prioeitário")</f>
        <v>Pendente e Caro</v>
      </c>
      <c r="H1746" s="89">
        <f>YEAR(Tabela1[[#This Row],[Data de Validade]])</f>
        <v>2027</v>
      </c>
      <c r="I1746" s="89">
        <f>MONTH(Tabela1[[#This Row],[Data de Validade]])</f>
        <v>4</v>
      </c>
      <c r="J1746" s="101">
        <v>89074</v>
      </c>
      <c r="K1746" s="87" t="s">
        <v>9</v>
      </c>
      <c r="L1746" s="108"/>
      <c r="M1746" s="108"/>
      <c r="N1746" s="108" t="str">
        <v>H616P857</v>
      </c>
      <c r="O1746" s="108">
        <f t="shared" si="29"/>
        <v>1</v>
      </c>
      <c r="P1746" s="108"/>
      <c r="Q1746"/>
    </row>
    <row r="1747" spans="1:17" x14ac:dyDescent="0.25">
      <c r="A1747" s="89" t="s">
        <v>10839</v>
      </c>
      <c r="B1747" s="87" t="s">
        <v>10840</v>
      </c>
      <c r="C1747" s="87" t="s">
        <v>16</v>
      </c>
      <c r="D1747" s="87" t="str">
        <f>VLOOKUP(Tabela1[[#This Row],[Origem]], 'Perguntas 1 a 24'!$J$28:$K$34, 2, 0)</f>
        <v>Sudeste</v>
      </c>
      <c r="E1747" s="87" t="str">
        <f>Tabela1[[#This Row],[Descrição]]&amp;"-"&amp;Tabela1[[#This Row],[Código]]&amp;"/"&amp;Tabela1[[#This Row],[Origem]]</f>
        <v>Fitavapiru-P165H127/MG</v>
      </c>
      <c r="F1747" s="88">
        <v>46501</v>
      </c>
      <c r="G1747" s="88" t="str" cm="1">
        <f t="array" ref="G17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AND(F1747&gt;= DATE(2026,1,1), F1747&lt;= DATE(2028, 12, 31), J1747&gt;50000), "Pendente e Caro", AND(F1747&gt;= DATE(2026,1,1), F1747&lt;= DATE(2028, 12, 31), J1747&lt;=50000), "Pendente", F1747&gt;= DATE(2029,1,1), "Não prioeitário")</f>
        <v>Pendente e Caro</v>
      </c>
      <c r="H1747" s="89">
        <f>YEAR(Tabela1[[#This Row],[Data de Validade]])</f>
        <v>2027</v>
      </c>
      <c r="I1747" s="89">
        <f>MONTH(Tabela1[[#This Row],[Data de Validade]])</f>
        <v>4</v>
      </c>
      <c r="J1747" s="101">
        <v>111247</v>
      </c>
      <c r="K1747" s="87" t="s">
        <v>9</v>
      </c>
      <c r="L1747" s="108"/>
      <c r="M1747" s="108"/>
      <c r="N1747" s="108" t="str">
        <v>P165H127</v>
      </c>
      <c r="O1747" s="108">
        <f t="shared" si="29"/>
        <v>1</v>
      </c>
      <c r="P1747" s="108"/>
      <c r="Q1747"/>
    </row>
    <row r="1748" spans="1:17" x14ac:dyDescent="0.25">
      <c r="A1748" s="89" t="s">
        <v>4744</v>
      </c>
      <c r="B1748" s="87" t="s">
        <v>4745</v>
      </c>
      <c r="C1748" s="87" t="s">
        <v>10</v>
      </c>
      <c r="D1748" s="87" t="str">
        <f>VLOOKUP(Tabela1[[#This Row],[Origem]], 'Perguntas 1 a 24'!$J$28:$K$34, 2, 0)</f>
        <v>Centro-Oeste</v>
      </c>
      <c r="E1748" s="87" t="str">
        <f>Tabela1[[#This Row],[Descrição]]&amp;"-"&amp;Tabela1[[#This Row],[Código]]&amp;"/"&amp;Tabela1[[#This Row],[Origem]]</f>
        <v>Pepopire-P364H388/GO</v>
      </c>
      <c r="F1748" s="88">
        <v>46501</v>
      </c>
      <c r="G1748" s="88" t="str" cm="1">
        <f t="array" ref="G17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AND(F1748&gt;= DATE(2026,1,1), F1748&lt;= DATE(2028, 12, 31), J1748&gt;50000), "Pendente e Caro", AND(F1748&gt;= DATE(2026,1,1), F1748&lt;= DATE(2028, 12, 31), J1748&lt;=50000), "Pendente", F1748&gt;= DATE(2029,1,1), "Não prioeitário")</f>
        <v>Pendente e Caro</v>
      </c>
      <c r="H1748" s="89">
        <f>YEAR(Tabela1[[#This Row],[Data de Validade]])</f>
        <v>2027</v>
      </c>
      <c r="I1748" s="89">
        <f>MONTH(Tabela1[[#This Row],[Data de Validade]])</f>
        <v>4</v>
      </c>
      <c r="J1748" s="101">
        <v>77964</v>
      </c>
      <c r="K1748" s="87" t="s">
        <v>9</v>
      </c>
      <c r="L1748" s="108"/>
      <c r="M1748" s="108"/>
      <c r="N1748" s="108" t="str">
        <v>P364H388</v>
      </c>
      <c r="O1748" s="108">
        <f t="shared" si="29"/>
        <v>1</v>
      </c>
      <c r="P1748" s="108"/>
      <c r="Q1748"/>
    </row>
    <row r="1749" spans="1:17" x14ac:dyDescent="0.25">
      <c r="A1749" s="89" t="s">
        <v>4032</v>
      </c>
      <c r="B1749" s="87" t="s">
        <v>4033</v>
      </c>
      <c r="C1749" s="87" t="s">
        <v>12</v>
      </c>
      <c r="D1749" s="87" t="str">
        <f>VLOOKUP(Tabela1[[#This Row],[Origem]], 'Perguntas 1 a 24'!$J$28:$K$34, 2, 0)</f>
        <v>Sudeste</v>
      </c>
      <c r="E1749" s="87" t="str">
        <f>Tabela1[[#This Row],[Descrição]]&amp;"-"&amp;Tabela1[[#This Row],[Código]]&amp;"/"&amp;Tabela1[[#This Row],[Origem]]</f>
        <v>Puripale-P635H863/RJ</v>
      </c>
      <c r="F1749" s="88">
        <v>46501</v>
      </c>
      <c r="G1749" s="88" t="str" cm="1">
        <f t="array" ref="G17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AND(F1749&gt;= DATE(2026,1,1), F1749&lt;= DATE(2028, 12, 31), J1749&gt;50000), "Pendente e Caro", AND(F1749&gt;= DATE(2026,1,1), F1749&lt;= DATE(2028, 12, 31), J1749&lt;=50000), "Pendente", F1749&gt;= DATE(2029,1,1), "Não prioeitário")</f>
        <v>Pendente e Caro</v>
      </c>
      <c r="H1749" s="89">
        <f>YEAR(Tabela1[[#This Row],[Data de Validade]])</f>
        <v>2027</v>
      </c>
      <c r="I1749" s="89">
        <f>MONTH(Tabela1[[#This Row],[Data de Validade]])</f>
        <v>4</v>
      </c>
      <c r="J1749" s="101">
        <v>60877</v>
      </c>
      <c r="K1749" s="87" t="s">
        <v>7</v>
      </c>
      <c r="L1749" s="108"/>
      <c r="M1749" s="108"/>
      <c r="N1749" s="108" t="str">
        <v>P635H863</v>
      </c>
      <c r="O1749" s="108">
        <f t="shared" si="29"/>
        <v>1</v>
      </c>
      <c r="P1749" s="108"/>
      <c r="Q1749"/>
    </row>
    <row r="1750" spans="1:17" x14ac:dyDescent="0.25">
      <c r="A1750" s="89" t="s">
        <v>11133</v>
      </c>
      <c r="B1750" s="87" t="s">
        <v>11134</v>
      </c>
      <c r="C1750" s="87" t="s">
        <v>8</v>
      </c>
      <c r="D1750" s="87" t="str">
        <f>VLOOKUP(Tabela1[[#This Row],[Origem]], 'Perguntas 1 a 24'!$J$28:$K$34, 2, 0)</f>
        <v>Nordeste</v>
      </c>
      <c r="E1750" s="87" t="str">
        <f>Tabela1[[#This Row],[Descrição]]&amp;"-"&amp;Tabela1[[#This Row],[Código]]&amp;"/"&amp;Tabela1[[#This Row],[Origem]]</f>
        <v>Nerutura-H866P428/AL</v>
      </c>
      <c r="F1750" s="88">
        <v>46501</v>
      </c>
      <c r="G1750" s="88" t="str" cm="1">
        <f t="array" ref="G17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AND(F1750&gt;= DATE(2026,1,1), F1750&lt;= DATE(2028, 12, 31), J1750&gt;50000), "Pendente e Caro", AND(F1750&gt;= DATE(2026,1,1), F1750&lt;= DATE(2028, 12, 31), J1750&lt;=50000), "Pendente", F1750&gt;= DATE(2029,1,1), "Não prioeitário")</f>
        <v>Pendente</v>
      </c>
      <c r="H1750" s="89">
        <f>YEAR(Tabela1[[#This Row],[Data de Validade]])</f>
        <v>2027</v>
      </c>
      <c r="I1750" s="89">
        <f>MONTH(Tabela1[[#This Row],[Data de Validade]])</f>
        <v>4</v>
      </c>
      <c r="J1750" s="101">
        <v>46427</v>
      </c>
      <c r="K1750" s="87" t="s">
        <v>14</v>
      </c>
      <c r="L1750" s="108"/>
      <c r="M1750" s="108"/>
      <c r="N1750" s="108" t="str">
        <v>H866P428</v>
      </c>
      <c r="O1750" s="108">
        <f t="shared" si="29"/>
        <v>1</v>
      </c>
      <c r="P1750" s="108"/>
      <c r="Q1750"/>
    </row>
    <row r="1751" spans="1:17" x14ac:dyDescent="0.25">
      <c r="A1751" s="89" t="s">
        <v>4104</v>
      </c>
      <c r="B1751" s="87" t="s">
        <v>4105</v>
      </c>
      <c r="C1751" s="87" t="s">
        <v>15</v>
      </c>
      <c r="D1751" s="87" t="str">
        <f>VLOOKUP(Tabela1[[#This Row],[Origem]], 'Perguntas 1 a 24'!$J$28:$K$34, 2, 0)</f>
        <v>Sudeste</v>
      </c>
      <c r="E1751" s="87" t="str">
        <f>Tabela1[[#This Row],[Descrição]]&amp;"-"&amp;Tabela1[[#This Row],[Código]]&amp;"/"&amp;Tabela1[[#This Row],[Origem]]</f>
        <v>Meteti-P537P862/ES</v>
      </c>
      <c r="F1751" s="88">
        <v>46501</v>
      </c>
      <c r="G1751" s="88" t="str" cm="1">
        <f t="array" ref="G17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AND(F1751&gt;= DATE(2026,1,1), F1751&lt;= DATE(2028, 12, 31), J1751&gt;50000), "Pendente e Caro", AND(F1751&gt;= DATE(2026,1,1), F1751&lt;= DATE(2028, 12, 31), J1751&lt;=50000), "Pendente", F1751&gt;= DATE(2029,1,1), "Não prioeitário")</f>
        <v>Pendente</v>
      </c>
      <c r="H1751" s="89">
        <f>YEAR(Tabela1[[#This Row],[Data de Validade]])</f>
        <v>2027</v>
      </c>
      <c r="I1751" s="89">
        <f>MONTH(Tabela1[[#This Row],[Data de Validade]])</f>
        <v>4</v>
      </c>
      <c r="J1751" s="101">
        <v>39565</v>
      </c>
      <c r="K1751" s="87" t="s">
        <v>7</v>
      </c>
      <c r="L1751" s="108"/>
      <c r="M1751" s="108"/>
      <c r="N1751" s="108" t="str">
        <v>P537P862</v>
      </c>
      <c r="O1751" s="108">
        <f t="shared" si="29"/>
        <v>1</v>
      </c>
      <c r="P1751" s="108"/>
      <c r="Q1751"/>
    </row>
    <row r="1752" spans="1:17" x14ac:dyDescent="0.25">
      <c r="A1752" s="89" t="s">
        <v>5472</v>
      </c>
      <c r="B1752" s="87" t="s">
        <v>5473</v>
      </c>
      <c r="C1752" s="87" t="s">
        <v>15</v>
      </c>
      <c r="D1752" s="87" t="str">
        <f>VLOOKUP(Tabela1[[#This Row],[Origem]], 'Perguntas 1 a 24'!$J$28:$K$34, 2, 0)</f>
        <v>Sudeste</v>
      </c>
      <c r="E1752" s="87" t="str">
        <f>Tabela1[[#This Row],[Descrição]]&amp;"-"&amp;Tabela1[[#This Row],[Código]]&amp;"/"&amp;Tabela1[[#This Row],[Origem]]</f>
        <v>Gacugo-H689H642/ES</v>
      </c>
      <c r="F1752" s="88">
        <v>46501</v>
      </c>
      <c r="G1752" s="88" t="str" cm="1">
        <f t="array" ref="G17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AND(F1752&gt;= DATE(2026,1,1), F1752&lt;= DATE(2028, 12, 31), J1752&gt;50000), "Pendente e Caro", AND(F1752&gt;= DATE(2026,1,1), F1752&lt;= DATE(2028, 12, 31), J1752&lt;=50000), "Pendente", F1752&gt;= DATE(2029,1,1), "Não prioeitário")</f>
        <v>Pendente</v>
      </c>
      <c r="H1752" s="89">
        <f>YEAR(Tabela1[[#This Row],[Data de Validade]])</f>
        <v>2027</v>
      </c>
      <c r="I1752" s="89">
        <f>MONTH(Tabela1[[#This Row],[Data de Validade]])</f>
        <v>4</v>
      </c>
      <c r="J1752" s="101">
        <v>22547</v>
      </c>
      <c r="K1752" s="87" t="s">
        <v>14</v>
      </c>
      <c r="L1752" s="108"/>
      <c r="M1752" s="108"/>
      <c r="N1752" s="108" t="str">
        <v>H689H642</v>
      </c>
      <c r="O1752" s="108">
        <f t="shared" si="29"/>
        <v>1</v>
      </c>
      <c r="P1752" s="108"/>
      <c r="Q1752"/>
    </row>
    <row r="1753" spans="1:17" x14ac:dyDescent="0.25">
      <c r="A1753" s="89" t="s">
        <v>5520</v>
      </c>
      <c r="B1753" s="87" t="s">
        <v>5521</v>
      </c>
      <c r="C1753" s="87" t="s">
        <v>15</v>
      </c>
      <c r="D1753" s="87" t="str">
        <f>VLOOKUP(Tabela1[[#This Row],[Origem]], 'Perguntas 1 a 24'!$J$28:$K$34, 2, 0)</f>
        <v>Sudeste</v>
      </c>
      <c r="E1753" s="87" t="str">
        <f>Tabela1[[#This Row],[Descrição]]&amp;"-"&amp;Tabela1[[#This Row],[Código]]&amp;"/"&amp;Tabela1[[#This Row],[Origem]]</f>
        <v>Farucumo-P183P283/ES</v>
      </c>
      <c r="F1753" s="88">
        <v>46503</v>
      </c>
      <c r="G1753" s="88" t="str" cm="1">
        <f t="array" ref="G17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AND(F1753&gt;= DATE(2026,1,1), F1753&lt;= DATE(2028, 12, 31), J1753&gt;50000), "Pendente e Caro", AND(F1753&gt;= DATE(2026,1,1), F1753&lt;= DATE(2028, 12, 31), J1753&lt;=50000), "Pendente", F1753&gt;= DATE(2029,1,1), "Não prioeitário")</f>
        <v>Pendente e Caro</v>
      </c>
      <c r="H1753" s="89">
        <f>YEAR(Tabela1[[#This Row],[Data de Validade]])</f>
        <v>2027</v>
      </c>
      <c r="I1753" s="89">
        <f>MONTH(Tabela1[[#This Row],[Data de Validade]])</f>
        <v>4</v>
      </c>
      <c r="J1753" s="101">
        <v>79992</v>
      </c>
      <c r="K1753" s="87" t="s">
        <v>9</v>
      </c>
      <c r="L1753" s="108"/>
      <c r="M1753" s="108"/>
      <c r="N1753" s="108" t="str">
        <v>P183P283</v>
      </c>
      <c r="O1753" s="108">
        <f t="shared" si="29"/>
        <v>1</v>
      </c>
      <c r="P1753" s="108"/>
      <c r="Q1753"/>
    </row>
    <row r="1754" spans="1:17" x14ac:dyDescent="0.25">
      <c r="A1754" s="89" t="s">
        <v>6234</v>
      </c>
      <c r="B1754" s="87" t="s">
        <v>6235</v>
      </c>
      <c r="C1754" s="87" t="s">
        <v>15</v>
      </c>
      <c r="D1754" s="87" t="str">
        <f>VLOOKUP(Tabela1[[#This Row],[Origem]], 'Perguntas 1 a 24'!$J$28:$K$34, 2, 0)</f>
        <v>Sudeste</v>
      </c>
      <c r="E1754" s="87" t="str">
        <f>Tabela1[[#This Row],[Descrição]]&amp;"-"&amp;Tabela1[[#This Row],[Código]]&amp;"/"&amp;Tabela1[[#This Row],[Origem]]</f>
        <v>Pucaparevo-P672P215/ES</v>
      </c>
      <c r="F1754" s="88">
        <v>46504</v>
      </c>
      <c r="G1754" s="88" t="str" cm="1">
        <f t="array" ref="G17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AND(F1754&gt;= DATE(2026,1,1), F1754&lt;= DATE(2028, 12, 31), J1754&gt;50000), "Pendente e Caro", AND(F1754&gt;= DATE(2026,1,1), F1754&lt;= DATE(2028, 12, 31), J1754&lt;=50000), "Pendente", F1754&gt;= DATE(2029,1,1), "Não prioeitário")</f>
        <v>Pendente e Caro</v>
      </c>
      <c r="H1754" s="89">
        <f>YEAR(Tabela1[[#This Row],[Data de Validade]])</f>
        <v>2027</v>
      </c>
      <c r="I1754" s="89">
        <f>MONTH(Tabela1[[#This Row],[Data de Validade]])</f>
        <v>4</v>
      </c>
      <c r="J1754" s="101">
        <v>111137</v>
      </c>
      <c r="K1754" s="87" t="s">
        <v>14</v>
      </c>
      <c r="L1754" s="108"/>
      <c r="M1754" s="108"/>
      <c r="N1754" s="108" t="str">
        <v>P672P215</v>
      </c>
      <c r="O1754" s="108">
        <f t="shared" si="29"/>
        <v>1</v>
      </c>
      <c r="P1754" s="108"/>
      <c r="Q1754"/>
    </row>
    <row r="1755" spans="1:17" x14ac:dyDescent="0.25">
      <c r="A1755" s="89" t="s">
        <v>8985</v>
      </c>
      <c r="B1755" s="87" t="s">
        <v>8986</v>
      </c>
      <c r="C1755" s="87" t="s">
        <v>12</v>
      </c>
      <c r="D1755" s="87" t="str">
        <f>VLOOKUP(Tabela1[[#This Row],[Origem]], 'Perguntas 1 a 24'!$J$28:$K$34, 2, 0)</f>
        <v>Sudeste</v>
      </c>
      <c r="E1755" s="87" t="str">
        <f>Tabela1[[#This Row],[Descrição]]&amp;"-"&amp;Tabela1[[#This Row],[Código]]&amp;"/"&amp;Tabela1[[#This Row],[Origem]]</f>
        <v>Riraropelu-P342H433/RJ</v>
      </c>
      <c r="F1755" s="88">
        <v>46504</v>
      </c>
      <c r="G1755" s="88" t="str" cm="1">
        <f t="array" ref="G17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AND(F1755&gt;= DATE(2026,1,1), F1755&lt;= DATE(2028, 12, 31), J1755&gt;50000), "Pendente e Caro", AND(F1755&gt;= DATE(2026,1,1), F1755&lt;= DATE(2028, 12, 31), J1755&lt;=50000), "Pendente", F1755&gt;= DATE(2029,1,1), "Não prioeitário")</f>
        <v>Pendente e Caro</v>
      </c>
      <c r="H1755" s="89">
        <f>YEAR(Tabela1[[#This Row],[Data de Validade]])</f>
        <v>2027</v>
      </c>
      <c r="I1755" s="89">
        <f>MONTH(Tabela1[[#This Row],[Data de Validade]])</f>
        <v>4</v>
      </c>
      <c r="J1755" s="101">
        <v>103843</v>
      </c>
      <c r="K1755" s="87" t="s">
        <v>9</v>
      </c>
      <c r="L1755" s="108"/>
      <c r="M1755" s="108"/>
      <c r="N1755" s="108" t="str">
        <v>P342H433</v>
      </c>
      <c r="O1755" s="108">
        <f t="shared" si="29"/>
        <v>1</v>
      </c>
      <c r="P1755" s="108"/>
      <c r="Q1755"/>
    </row>
    <row r="1756" spans="1:17" x14ac:dyDescent="0.25">
      <c r="A1756" s="89" t="s">
        <v>11121</v>
      </c>
      <c r="B1756" s="87" t="s">
        <v>11122</v>
      </c>
      <c r="C1756" s="87" t="s">
        <v>13</v>
      </c>
      <c r="D1756" s="87" t="str">
        <f>VLOOKUP(Tabela1[[#This Row],[Origem]], 'Perguntas 1 a 24'!$J$28:$K$34, 2, 0)</f>
        <v>Sudeste</v>
      </c>
      <c r="E1756" s="87" t="str">
        <f>Tabela1[[#This Row],[Descrição]]&amp;"-"&amp;Tabela1[[#This Row],[Código]]&amp;"/"&amp;Tabela1[[#This Row],[Origem]]</f>
        <v>Datupida-H328H638/SP</v>
      </c>
      <c r="F1756" s="88">
        <v>46505</v>
      </c>
      <c r="G1756" s="88" t="str" cm="1">
        <f t="array" ref="G17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AND(F1756&gt;= DATE(2026,1,1), F1756&lt;= DATE(2028, 12, 31), J1756&gt;50000), "Pendente e Caro", AND(F1756&gt;= DATE(2026,1,1), F1756&lt;= DATE(2028, 12, 31), J1756&lt;=50000), "Pendente", F1756&gt;= DATE(2029,1,1), "Não prioeitário")</f>
        <v>Pendente e Caro</v>
      </c>
      <c r="H1756" s="89">
        <f>YEAR(Tabela1[[#This Row],[Data de Validade]])</f>
        <v>2027</v>
      </c>
      <c r="I1756" s="89">
        <f>MONTH(Tabela1[[#This Row],[Data de Validade]])</f>
        <v>4</v>
      </c>
      <c r="J1756" s="101">
        <v>103834</v>
      </c>
      <c r="K1756" s="87" t="s">
        <v>14</v>
      </c>
      <c r="L1756" s="108"/>
      <c r="M1756" s="108"/>
      <c r="N1756" s="108" t="str">
        <v>H328H638</v>
      </c>
      <c r="O1756" s="108">
        <f t="shared" si="29"/>
        <v>1</v>
      </c>
      <c r="P1756" s="108"/>
      <c r="Q1756"/>
    </row>
    <row r="1757" spans="1:17" x14ac:dyDescent="0.25">
      <c r="A1757" s="89" t="s">
        <v>10191</v>
      </c>
      <c r="B1757" s="87" t="s">
        <v>10192</v>
      </c>
      <c r="C1757" s="87" t="s">
        <v>15</v>
      </c>
      <c r="D1757" s="87" t="str">
        <f>VLOOKUP(Tabela1[[#This Row],[Origem]], 'Perguntas 1 a 24'!$J$28:$K$34, 2, 0)</f>
        <v>Sudeste</v>
      </c>
      <c r="E1757" s="87" t="str">
        <f>Tabela1[[#This Row],[Descrição]]&amp;"-"&amp;Tabela1[[#This Row],[Código]]&amp;"/"&amp;Tabela1[[#This Row],[Origem]]</f>
        <v>Gugiteci-P511P111/ES</v>
      </c>
      <c r="F1757" s="88">
        <v>46505</v>
      </c>
      <c r="G1757" s="88" t="str" cm="1">
        <f t="array" ref="G17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AND(F1757&gt;= DATE(2026,1,1), F1757&lt;= DATE(2028, 12, 31), J1757&gt;50000), "Pendente e Caro", AND(F1757&gt;= DATE(2026,1,1), F1757&lt;= DATE(2028, 12, 31), J1757&lt;=50000), "Pendente", F1757&gt;= DATE(2029,1,1), "Não prioeitário")</f>
        <v>Pendente e Caro</v>
      </c>
      <c r="H1757" s="89">
        <f>YEAR(Tabela1[[#This Row],[Data de Validade]])</f>
        <v>2027</v>
      </c>
      <c r="I1757" s="89">
        <f>MONTH(Tabela1[[#This Row],[Data de Validade]])</f>
        <v>4</v>
      </c>
      <c r="J1757" s="101">
        <v>102411</v>
      </c>
      <c r="K1757" s="87" t="s">
        <v>9</v>
      </c>
      <c r="L1757" s="108"/>
      <c r="M1757" s="108"/>
      <c r="N1757" s="108" t="str">
        <v>P511P111</v>
      </c>
      <c r="O1757" s="108">
        <f t="shared" si="29"/>
        <v>1</v>
      </c>
      <c r="P1757" s="108"/>
      <c r="Q1757"/>
    </row>
    <row r="1758" spans="1:17" x14ac:dyDescent="0.25">
      <c r="A1758" s="89" t="s">
        <v>6694</v>
      </c>
      <c r="B1758" s="87" t="s">
        <v>6695</v>
      </c>
      <c r="C1758" s="87" t="s">
        <v>16</v>
      </c>
      <c r="D1758" s="87" t="str">
        <f>VLOOKUP(Tabela1[[#This Row],[Origem]], 'Perguntas 1 a 24'!$J$28:$K$34, 2, 0)</f>
        <v>Sudeste</v>
      </c>
      <c r="E1758" s="87" t="str">
        <f>Tabela1[[#This Row],[Descrição]]&amp;"-"&amp;Tabela1[[#This Row],[Código]]&amp;"/"&amp;Tabela1[[#This Row],[Origem]]</f>
        <v>Potefi-P486H615/MG</v>
      </c>
      <c r="F1758" s="88">
        <v>46507</v>
      </c>
      <c r="G1758" s="88" t="str" cm="1">
        <f t="array" ref="G17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AND(F1758&gt;= DATE(2026,1,1), F1758&lt;= DATE(2028, 12, 31), J1758&gt;50000), "Pendente e Caro", AND(F1758&gt;= DATE(2026,1,1), F1758&lt;= DATE(2028, 12, 31), J1758&lt;=50000), "Pendente", F1758&gt;= DATE(2029,1,1), "Não prioeitário")</f>
        <v>Pendente e Caro</v>
      </c>
      <c r="H1758" s="89">
        <f>YEAR(Tabela1[[#This Row],[Data de Validade]])</f>
        <v>2027</v>
      </c>
      <c r="I1758" s="89">
        <f>MONTH(Tabela1[[#This Row],[Data de Validade]])</f>
        <v>4</v>
      </c>
      <c r="J1758" s="101">
        <v>117197</v>
      </c>
      <c r="K1758" s="87" t="s">
        <v>7</v>
      </c>
      <c r="L1758" s="108"/>
      <c r="M1758" s="108"/>
      <c r="N1758" s="108" t="str">
        <v>P486H615</v>
      </c>
      <c r="O1758" s="108">
        <f t="shared" si="29"/>
        <v>1</v>
      </c>
      <c r="P1758" s="108"/>
      <c r="Q1758"/>
    </row>
    <row r="1759" spans="1:17" x14ac:dyDescent="0.25">
      <c r="A1759" s="89" t="s">
        <v>4626</v>
      </c>
      <c r="B1759" s="87" t="s">
        <v>4627</v>
      </c>
      <c r="C1759" s="87" t="s">
        <v>10</v>
      </c>
      <c r="D1759" s="87" t="str">
        <f>VLOOKUP(Tabela1[[#This Row],[Origem]], 'Perguntas 1 a 24'!$J$28:$K$34, 2, 0)</f>
        <v>Centro-Oeste</v>
      </c>
      <c r="E1759" s="87" t="str">
        <f>Tabela1[[#This Row],[Descrição]]&amp;"-"&amp;Tabela1[[#This Row],[Código]]&amp;"/"&amp;Tabela1[[#This Row],[Origem]]</f>
        <v>Pacugi-P785P741/GO</v>
      </c>
      <c r="F1759" s="88">
        <v>46507</v>
      </c>
      <c r="G1759" s="88" t="str" cm="1">
        <f t="array" ref="G17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AND(F1759&gt;= DATE(2026,1,1), F1759&lt;= DATE(2028, 12, 31), J1759&gt;50000), "Pendente e Caro", AND(F1759&gt;= DATE(2026,1,1), F1759&lt;= DATE(2028, 12, 31), J1759&lt;=50000), "Pendente", F1759&gt;= DATE(2029,1,1), "Não prioeitário")</f>
        <v>Pendente e Caro</v>
      </c>
      <c r="H1759" s="89">
        <f>YEAR(Tabela1[[#This Row],[Data de Validade]])</f>
        <v>2027</v>
      </c>
      <c r="I1759" s="89">
        <f>MONTH(Tabela1[[#This Row],[Data de Validade]])</f>
        <v>4</v>
      </c>
      <c r="J1759" s="101">
        <v>94805</v>
      </c>
      <c r="K1759" s="87" t="s">
        <v>9</v>
      </c>
      <c r="L1759" s="108"/>
      <c r="M1759" s="108"/>
      <c r="N1759" s="108" t="str">
        <v>P785P741</v>
      </c>
      <c r="O1759" s="108">
        <f t="shared" si="29"/>
        <v>1</v>
      </c>
      <c r="P1759" s="108"/>
      <c r="Q1759"/>
    </row>
    <row r="1760" spans="1:17" x14ac:dyDescent="0.25">
      <c r="A1760" s="89" t="s">
        <v>6844</v>
      </c>
      <c r="B1760" s="87" t="s">
        <v>6845</v>
      </c>
      <c r="C1760" s="87" t="s">
        <v>16</v>
      </c>
      <c r="D1760" s="87" t="str">
        <f>VLOOKUP(Tabela1[[#This Row],[Origem]], 'Perguntas 1 a 24'!$J$28:$K$34, 2, 0)</f>
        <v>Sudeste</v>
      </c>
      <c r="E1760" s="87" t="str">
        <f>Tabela1[[#This Row],[Descrição]]&amp;"-"&amp;Tabela1[[#This Row],[Código]]&amp;"/"&amp;Tabela1[[#This Row],[Origem]]</f>
        <v>Poverovopa-P545P172/MG</v>
      </c>
      <c r="F1760" s="88">
        <v>46507</v>
      </c>
      <c r="G1760" s="88" t="str" cm="1">
        <f t="array" ref="G17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AND(F1760&gt;= DATE(2026,1,1), F1760&lt;= DATE(2028, 12, 31), J1760&gt;50000), "Pendente e Caro", AND(F1760&gt;= DATE(2026,1,1), F1760&lt;= DATE(2028, 12, 31), J1760&lt;=50000), "Pendente", F1760&gt;= DATE(2029,1,1), "Não prioeitário")</f>
        <v>Pendente</v>
      </c>
      <c r="H1760" s="89">
        <f>YEAR(Tabela1[[#This Row],[Data de Validade]])</f>
        <v>2027</v>
      </c>
      <c r="I1760" s="89">
        <f>MONTH(Tabela1[[#This Row],[Data de Validade]])</f>
        <v>4</v>
      </c>
      <c r="J1760" s="101">
        <v>20138</v>
      </c>
      <c r="K1760" s="87" t="s">
        <v>9</v>
      </c>
      <c r="L1760" s="108"/>
      <c r="M1760" s="108"/>
      <c r="N1760" s="108" t="str">
        <v>P545P172</v>
      </c>
      <c r="O1760" s="108">
        <f t="shared" si="29"/>
        <v>1</v>
      </c>
      <c r="P1760" s="108"/>
      <c r="Q1760"/>
    </row>
    <row r="1761" spans="1:17" x14ac:dyDescent="0.25">
      <c r="A1761" s="89" t="s">
        <v>4014</v>
      </c>
      <c r="B1761" s="87" t="s">
        <v>4015</v>
      </c>
      <c r="C1761" s="87" t="s">
        <v>6</v>
      </c>
      <c r="D1761" s="87" t="str">
        <f>VLOOKUP(Tabela1[[#This Row],[Origem]], 'Perguntas 1 a 24'!$J$28:$K$34, 2, 0)</f>
        <v>Nordeste</v>
      </c>
      <c r="E1761" s="87" t="str">
        <f>Tabela1[[#This Row],[Descrição]]&amp;"-"&amp;Tabela1[[#This Row],[Código]]&amp;"/"&amp;Tabela1[[#This Row],[Origem]]</f>
        <v>Gupivodare-P776P514/MA</v>
      </c>
      <c r="F1761" s="88">
        <v>46508</v>
      </c>
      <c r="G1761" s="88" t="str" cm="1">
        <f t="array" ref="G17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AND(F1761&gt;= DATE(2026,1,1), F1761&lt;= DATE(2028, 12, 31), J1761&gt;50000), "Pendente e Caro", AND(F1761&gt;= DATE(2026,1,1), F1761&lt;= DATE(2028, 12, 31), J1761&lt;=50000), "Pendente", F1761&gt;= DATE(2029,1,1), "Não prioeitário")</f>
        <v>Pendente</v>
      </c>
      <c r="H1761" s="89">
        <f>YEAR(Tabela1[[#This Row],[Data de Validade]])</f>
        <v>2027</v>
      </c>
      <c r="I1761" s="89">
        <f>MONTH(Tabela1[[#This Row],[Data de Validade]])</f>
        <v>5</v>
      </c>
      <c r="J1761" s="101">
        <v>44748</v>
      </c>
      <c r="K1761" s="87" t="s">
        <v>7</v>
      </c>
      <c r="L1761" s="108"/>
      <c r="M1761" s="108"/>
      <c r="N1761" s="108" t="str">
        <v>P776P514</v>
      </c>
      <c r="O1761" s="108">
        <f t="shared" si="29"/>
        <v>1</v>
      </c>
      <c r="P1761" s="108"/>
      <c r="Q1761"/>
    </row>
    <row r="1762" spans="1:17" x14ac:dyDescent="0.25">
      <c r="A1762" s="89" t="s">
        <v>5148</v>
      </c>
      <c r="B1762" s="87" t="s">
        <v>5149</v>
      </c>
      <c r="C1762" s="87" t="s">
        <v>13</v>
      </c>
      <c r="D1762" s="87" t="str">
        <f>VLOOKUP(Tabela1[[#This Row],[Origem]], 'Perguntas 1 a 24'!$J$28:$K$34, 2, 0)</f>
        <v>Sudeste</v>
      </c>
      <c r="E1762" s="87" t="str">
        <f>Tabela1[[#This Row],[Descrição]]&amp;"-"&amp;Tabela1[[#This Row],[Código]]&amp;"/"&amp;Tabela1[[#This Row],[Origem]]</f>
        <v>Tupanomipo-H455H471/SP</v>
      </c>
      <c r="F1762" s="88">
        <v>46510</v>
      </c>
      <c r="G1762" s="88" t="str" cm="1">
        <f t="array" ref="G17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AND(F1762&gt;= DATE(2026,1,1), F1762&lt;= DATE(2028, 12, 31), J1762&gt;50000), "Pendente e Caro", AND(F1762&gt;= DATE(2026,1,1), F1762&lt;= DATE(2028, 12, 31), J1762&lt;=50000), "Pendente", F1762&gt;= DATE(2029,1,1), "Não prioeitário")</f>
        <v>Pendente e Caro</v>
      </c>
      <c r="H1762" s="89">
        <f>YEAR(Tabela1[[#This Row],[Data de Validade]])</f>
        <v>2027</v>
      </c>
      <c r="I1762" s="89">
        <f>MONTH(Tabela1[[#This Row],[Data de Validade]])</f>
        <v>5</v>
      </c>
      <c r="J1762" s="101">
        <v>63800</v>
      </c>
      <c r="K1762" s="87" t="s">
        <v>9</v>
      </c>
      <c r="L1762" s="108"/>
      <c r="M1762" s="108"/>
      <c r="N1762" s="108" t="str">
        <v>H455H471</v>
      </c>
      <c r="O1762" s="108">
        <f t="shared" si="29"/>
        <v>1</v>
      </c>
      <c r="P1762" s="108"/>
      <c r="Q1762"/>
    </row>
    <row r="1763" spans="1:17" x14ac:dyDescent="0.25">
      <c r="A1763" s="89" t="s">
        <v>8881</v>
      </c>
      <c r="B1763" s="87" t="s">
        <v>8882</v>
      </c>
      <c r="C1763" s="87" t="s">
        <v>15</v>
      </c>
      <c r="D1763" s="87" t="str">
        <f>VLOOKUP(Tabela1[[#This Row],[Origem]], 'Perguntas 1 a 24'!$J$28:$K$34, 2, 0)</f>
        <v>Sudeste</v>
      </c>
      <c r="E1763" s="87" t="str">
        <f>Tabela1[[#This Row],[Descrição]]&amp;"-"&amp;Tabela1[[#This Row],[Código]]&amp;"/"&amp;Tabela1[[#This Row],[Origem]]</f>
        <v>Dutulu-P279H239/ES</v>
      </c>
      <c r="F1763" s="88">
        <v>46511</v>
      </c>
      <c r="G1763" s="88" t="str" cm="1">
        <f t="array" ref="G17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AND(F1763&gt;= DATE(2026,1,1), F1763&lt;= DATE(2028, 12, 31), J1763&gt;50000), "Pendente e Caro", AND(F1763&gt;= DATE(2026,1,1), F1763&lt;= DATE(2028, 12, 31), J1763&lt;=50000), "Pendente", F1763&gt;= DATE(2029,1,1), "Não prioeitário")</f>
        <v>Pendente e Caro</v>
      </c>
      <c r="H1763" s="89">
        <f>YEAR(Tabela1[[#This Row],[Data de Validade]])</f>
        <v>2027</v>
      </c>
      <c r="I1763" s="89">
        <f>MONTH(Tabela1[[#This Row],[Data de Validade]])</f>
        <v>5</v>
      </c>
      <c r="J1763" s="101">
        <v>77825</v>
      </c>
      <c r="K1763" s="87" t="s">
        <v>14</v>
      </c>
      <c r="L1763" s="108"/>
      <c r="M1763" s="108"/>
      <c r="N1763" s="108" t="str">
        <v>P279H239</v>
      </c>
      <c r="O1763" s="108">
        <f t="shared" si="29"/>
        <v>1</v>
      </c>
      <c r="P1763" s="108"/>
      <c r="Q1763"/>
    </row>
    <row r="1764" spans="1:17" x14ac:dyDescent="0.25">
      <c r="A1764" s="89" t="s">
        <v>4682</v>
      </c>
      <c r="B1764" s="87" t="s">
        <v>4683</v>
      </c>
      <c r="C1764" s="87" t="s">
        <v>15</v>
      </c>
      <c r="D1764" s="87" t="str">
        <f>VLOOKUP(Tabela1[[#This Row],[Origem]], 'Perguntas 1 a 24'!$J$28:$K$34, 2, 0)</f>
        <v>Sudeste</v>
      </c>
      <c r="E1764" s="87" t="str">
        <f>Tabela1[[#This Row],[Descrição]]&amp;"-"&amp;Tabela1[[#This Row],[Código]]&amp;"/"&amp;Tabela1[[#This Row],[Origem]]</f>
        <v>Nagemagimu-H292H779/ES</v>
      </c>
      <c r="F1764" s="88">
        <v>46511</v>
      </c>
      <c r="G1764" s="88" t="str" cm="1">
        <f t="array" ref="G17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AND(F1764&gt;= DATE(2026,1,1), F1764&lt;= DATE(2028, 12, 31), J1764&gt;50000), "Pendente e Caro", AND(F1764&gt;= DATE(2026,1,1), F1764&lt;= DATE(2028, 12, 31), J1764&lt;=50000), "Pendente", F1764&gt;= DATE(2029,1,1), "Não prioeitário")</f>
        <v>Pendente e Caro</v>
      </c>
      <c r="H1764" s="89">
        <f>YEAR(Tabela1[[#This Row],[Data de Validade]])</f>
        <v>2027</v>
      </c>
      <c r="I1764" s="89">
        <f>MONTH(Tabela1[[#This Row],[Data de Validade]])</f>
        <v>5</v>
      </c>
      <c r="J1764" s="101">
        <v>73688</v>
      </c>
      <c r="K1764" s="87" t="s">
        <v>11</v>
      </c>
      <c r="L1764" s="108"/>
      <c r="M1764" s="108"/>
      <c r="N1764" s="108" t="str">
        <v>H292H779</v>
      </c>
      <c r="O1764" s="108">
        <f t="shared" si="29"/>
        <v>1</v>
      </c>
      <c r="P1764" s="108"/>
      <c r="Q1764"/>
    </row>
    <row r="1765" spans="1:17" x14ac:dyDescent="0.25">
      <c r="A1765" s="89" t="s">
        <v>5400</v>
      </c>
      <c r="B1765" s="87" t="s">
        <v>5401</v>
      </c>
      <c r="C1765" s="87" t="s">
        <v>16</v>
      </c>
      <c r="D1765" s="87" t="str">
        <f>VLOOKUP(Tabela1[[#This Row],[Origem]], 'Perguntas 1 a 24'!$J$28:$K$34, 2, 0)</f>
        <v>Sudeste</v>
      </c>
      <c r="E1765" s="87" t="str">
        <f>Tabela1[[#This Row],[Descrição]]&amp;"-"&amp;Tabela1[[#This Row],[Código]]&amp;"/"&amp;Tabela1[[#This Row],[Origem]]</f>
        <v>Renuce-H482H713/MG</v>
      </c>
      <c r="F1765" s="88">
        <v>46514</v>
      </c>
      <c r="G1765" s="88" t="str" cm="1">
        <f t="array" ref="G17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AND(F1765&gt;= DATE(2026,1,1), F1765&lt;= DATE(2028, 12, 31), J1765&gt;50000), "Pendente e Caro", AND(F1765&gt;= DATE(2026,1,1), F1765&lt;= DATE(2028, 12, 31), J1765&lt;=50000), "Pendente", F1765&gt;= DATE(2029,1,1), "Não prioeitário")</f>
        <v>Pendente</v>
      </c>
      <c r="H1765" s="89">
        <f>YEAR(Tabela1[[#This Row],[Data de Validade]])</f>
        <v>2027</v>
      </c>
      <c r="I1765" s="89">
        <f>MONTH(Tabela1[[#This Row],[Data de Validade]])</f>
        <v>5</v>
      </c>
      <c r="J1765" s="101">
        <v>21633</v>
      </c>
      <c r="K1765" s="87" t="s">
        <v>9</v>
      </c>
      <c r="L1765" s="108"/>
      <c r="M1765" s="108"/>
      <c r="N1765" s="108" t="str">
        <v>H482H713</v>
      </c>
      <c r="O1765" s="108">
        <f t="shared" si="29"/>
        <v>1</v>
      </c>
      <c r="P1765" s="108"/>
      <c r="Q1765"/>
    </row>
    <row r="1766" spans="1:17" x14ac:dyDescent="0.25">
      <c r="A1766" s="89" t="s">
        <v>6532</v>
      </c>
      <c r="B1766" s="87" t="s">
        <v>6533</v>
      </c>
      <c r="C1766" s="87" t="s">
        <v>8</v>
      </c>
      <c r="D1766" s="87" t="str">
        <f>VLOOKUP(Tabela1[[#This Row],[Origem]], 'Perguntas 1 a 24'!$J$28:$K$34, 2, 0)</f>
        <v>Nordeste</v>
      </c>
      <c r="E1766" s="87" t="str">
        <f>Tabela1[[#This Row],[Descrição]]&amp;"-"&amp;Tabela1[[#This Row],[Código]]&amp;"/"&amp;Tabela1[[#This Row],[Origem]]</f>
        <v>Purenu-H944P315/AL</v>
      </c>
      <c r="F1766" s="88">
        <v>46515</v>
      </c>
      <c r="G1766" s="88" t="str" cm="1">
        <f t="array" ref="G17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AND(F1766&gt;= DATE(2026,1,1), F1766&lt;= DATE(2028, 12, 31), J1766&gt;50000), "Pendente e Caro", AND(F1766&gt;= DATE(2026,1,1), F1766&lt;= DATE(2028, 12, 31), J1766&lt;=50000), "Pendente", F1766&gt;= DATE(2029,1,1), "Não prioeitário")</f>
        <v>Pendente e Caro</v>
      </c>
      <c r="H1766" s="89">
        <f>YEAR(Tabela1[[#This Row],[Data de Validade]])</f>
        <v>2027</v>
      </c>
      <c r="I1766" s="89">
        <f>MONTH(Tabela1[[#This Row],[Data de Validade]])</f>
        <v>5</v>
      </c>
      <c r="J1766" s="101">
        <v>118593</v>
      </c>
      <c r="K1766" s="87" t="s">
        <v>11</v>
      </c>
      <c r="L1766" s="108"/>
      <c r="M1766" s="108"/>
      <c r="N1766" s="108" t="str">
        <v>H944P315</v>
      </c>
      <c r="O1766" s="108">
        <f t="shared" si="29"/>
        <v>1</v>
      </c>
      <c r="P1766" s="108"/>
      <c r="Q1766"/>
    </row>
    <row r="1767" spans="1:17" x14ac:dyDescent="0.25">
      <c r="A1767" s="89" t="s">
        <v>4148</v>
      </c>
      <c r="B1767" s="87" t="s">
        <v>4149</v>
      </c>
      <c r="C1767" s="87" t="s">
        <v>15</v>
      </c>
      <c r="D1767" s="87" t="str">
        <f>VLOOKUP(Tabela1[[#This Row],[Origem]], 'Perguntas 1 a 24'!$J$28:$K$34, 2, 0)</f>
        <v>Sudeste</v>
      </c>
      <c r="E1767" s="87" t="str">
        <f>Tabela1[[#This Row],[Descrição]]&amp;"-"&amp;Tabela1[[#This Row],[Código]]&amp;"/"&amp;Tabela1[[#This Row],[Origem]]</f>
        <v>Penutofale-H863P434/ES</v>
      </c>
      <c r="F1767" s="88">
        <v>46515</v>
      </c>
      <c r="G1767" s="88" t="str" cm="1">
        <f t="array" ref="G17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AND(F1767&gt;= DATE(2026,1,1), F1767&lt;= DATE(2028, 12, 31), J1767&gt;50000), "Pendente e Caro", AND(F1767&gt;= DATE(2026,1,1), F1767&lt;= DATE(2028, 12, 31), J1767&lt;=50000), "Pendente", F1767&gt;= DATE(2029,1,1), "Não prioeitário")</f>
        <v>Pendente e Caro</v>
      </c>
      <c r="H1767" s="89">
        <f>YEAR(Tabela1[[#This Row],[Data de Validade]])</f>
        <v>2027</v>
      </c>
      <c r="I1767" s="89">
        <f>MONTH(Tabela1[[#This Row],[Data de Validade]])</f>
        <v>5</v>
      </c>
      <c r="J1767" s="101">
        <v>70004</v>
      </c>
      <c r="K1767" s="87" t="s">
        <v>14</v>
      </c>
      <c r="L1767" s="108"/>
      <c r="M1767" s="108"/>
      <c r="N1767" s="108" t="str">
        <v>H863P434</v>
      </c>
      <c r="O1767" s="108">
        <f t="shared" si="29"/>
        <v>1</v>
      </c>
      <c r="P1767" s="108"/>
      <c r="Q1767"/>
    </row>
    <row r="1768" spans="1:17" x14ac:dyDescent="0.25">
      <c r="A1768" s="89" t="s">
        <v>4960</v>
      </c>
      <c r="B1768" s="87" t="s">
        <v>4961</v>
      </c>
      <c r="C1768" s="87" t="s">
        <v>15</v>
      </c>
      <c r="D1768" s="87" t="str">
        <f>VLOOKUP(Tabela1[[#This Row],[Origem]], 'Perguntas 1 a 24'!$J$28:$K$34, 2, 0)</f>
        <v>Sudeste</v>
      </c>
      <c r="E1768" s="87" t="str">
        <f>Tabela1[[#This Row],[Descrição]]&amp;"-"&amp;Tabela1[[#This Row],[Código]]&amp;"/"&amp;Tabela1[[#This Row],[Origem]]</f>
        <v>Fipicuvu-H166H859/ES</v>
      </c>
      <c r="F1768" s="88">
        <v>46515</v>
      </c>
      <c r="G1768" s="88" t="str" cm="1">
        <f t="array" ref="G17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AND(F1768&gt;= DATE(2026,1,1), F1768&lt;= DATE(2028, 12, 31), J1768&gt;50000), "Pendente e Caro", AND(F1768&gt;= DATE(2026,1,1), F1768&lt;= DATE(2028, 12, 31), J1768&lt;=50000), "Pendente", F1768&gt;= DATE(2029,1,1), "Não prioeitário")</f>
        <v>Pendente</v>
      </c>
      <c r="H1768" s="89">
        <f>YEAR(Tabela1[[#This Row],[Data de Validade]])</f>
        <v>2027</v>
      </c>
      <c r="I1768" s="89">
        <f>MONTH(Tabela1[[#This Row],[Data de Validade]])</f>
        <v>5</v>
      </c>
      <c r="J1768" s="101">
        <v>37896</v>
      </c>
      <c r="K1768" s="87" t="s">
        <v>14</v>
      </c>
      <c r="L1768" s="108"/>
      <c r="M1768" s="108"/>
      <c r="N1768" s="108" t="str">
        <v>H166H859</v>
      </c>
      <c r="O1768" s="108">
        <f t="shared" si="29"/>
        <v>1</v>
      </c>
      <c r="P1768" s="108"/>
      <c r="Q1768"/>
    </row>
    <row r="1769" spans="1:17" x14ac:dyDescent="0.25">
      <c r="A1769" s="89" t="s">
        <v>7784</v>
      </c>
      <c r="B1769" s="87" t="s">
        <v>7785</v>
      </c>
      <c r="C1769" s="87" t="s">
        <v>16</v>
      </c>
      <c r="D1769" s="87" t="str">
        <f>VLOOKUP(Tabela1[[#This Row],[Origem]], 'Perguntas 1 a 24'!$J$28:$K$34, 2, 0)</f>
        <v>Sudeste</v>
      </c>
      <c r="E1769" s="87" t="str">
        <f>Tabela1[[#This Row],[Descrição]]&amp;"-"&amp;Tabela1[[#This Row],[Código]]&amp;"/"&amp;Tabela1[[#This Row],[Origem]]</f>
        <v>Vupona-P413H448/MG</v>
      </c>
      <c r="F1769" s="88">
        <v>46516</v>
      </c>
      <c r="G1769" s="88" t="str" cm="1">
        <f t="array" ref="G17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AND(F1769&gt;= DATE(2026,1,1), F1769&lt;= DATE(2028, 12, 31), J1769&gt;50000), "Pendente e Caro", AND(F1769&gt;= DATE(2026,1,1), F1769&lt;= DATE(2028, 12, 31), J1769&lt;=50000), "Pendente", F1769&gt;= DATE(2029,1,1), "Não prioeitário")</f>
        <v>Pendente e Caro</v>
      </c>
      <c r="H1769" s="89">
        <f>YEAR(Tabela1[[#This Row],[Data de Validade]])</f>
        <v>2027</v>
      </c>
      <c r="I1769" s="89">
        <f>MONTH(Tabela1[[#This Row],[Data de Validade]])</f>
        <v>5</v>
      </c>
      <c r="J1769" s="101">
        <v>79589</v>
      </c>
      <c r="K1769" s="87" t="s">
        <v>14</v>
      </c>
      <c r="L1769" s="108"/>
      <c r="M1769" s="108"/>
      <c r="N1769" s="108" t="str">
        <v>P413H448</v>
      </c>
      <c r="O1769" s="108">
        <f t="shared" si="29"/>
        <v>1</v>
      </c>
      <c r="P1769" s="108"/>
      <c r="Q1769"/>
    </row>
    <row r="1770" spans="1:17" x14ac:dyDescent="0.25">
      <c r="A1770" s="89" t="s">
        <v>8462</v>
      </c>
      <c r="B1770" s="87" t="s">
        <v>8463</v>
      </c>
      <c r="C1770" s="87" t="s">
        <v>16</v>
      </c>
      <c r="D1770" s="87" t="str">
        <f>VLOOKUP(Tabela1[[#This Row],[Origem]], 'Perguntas 1 a 24'!$J$28:$K$34, 2, 0)</f>
        <v>Sudeste</v>
      </c>
      <c r="E1770" s="87" t="str">
        <f>Tabela1[[#This Row],[Descrição]]&amp;"-"&amp;Tabela1[[#This Row],[Código]]&amp;"/"&amp;Tabela1[[#This Row],[Origem]]</f>
        <v>Polidato-P199H831/MG</v>
      </c>
      <c r="F1770" s="88">
        <v>46516</v>
      </c>
      <c r="G1770" s="88" t="str" cm="1">
        <f t="array" ref="G17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AND(F1770&gt;= DATE(2026,1,1), F1770&lt;= DATE(2028, 12, 31), J1770&gt;50000), "Pendente e Caro", AND(F1770&gt;= DATE(2026,1,1), F1770&lt;= DATE(2028, 12, 31), J1770&lt;=50000), "Pendente", F1770&gt;= DATE(2029,1,1), "Não prioeitário")</f>
        <v>Pendente e Caro</v>
      </c>
      <c r="H1770" s="89">
        <f>YEAR(Tabela1[[#This Row],[Data de Validade]])</f>
        <v>2027</v>
      </c>
      <c r="I1770" s="89">
        <f>MONTH(Tabela1[[#This Row],[Data de Validade]])</f>
        <v>5</v>
      </c>
      <c r="J1770" s="101">
        <v>63095</v>
      </c>
      <c r="K1770" s="87" t="s">
        <v>11</v>
      </c>
      <c r="L1770" s="108"/>
      <c r="M1770" s="108"/>
      <c r="N1770" s="108" t="str">
        <v>P199H831</v>
      </c>
      <c r="O1770" s="108">
        <f t="shared" si="29"/>
        <v>1</v>
      </c>
      <c r="P1770" s="108"/>
      <c r="Q1770"/>
    </row>
    <row r="1771" spans="1:17" x14ac:dyDescent="0.25">
      <c r="A1771" s="89" t="s">
        <v>4305</v>
      </c>
      <c r="B1771" s="87" t="s">
        <v>4306</v>
      </c>
      <c r="C1771" s="87" t="s">
        <v>10</v>
      </c>
      <c r="D1771" s="87" t="str">
        <f>VLOOKUP(Tabela1[[#This Row],[Origem]], 'Perguntas 1 a 24'!$J$28:$K$34, 2, 0)</f>
        <v>Centro-Oeste</v>
      </c>
      <c r="E1771" s="87" t="str">
        <f>Tabela1[[#This Row],[Descrição]]&amp;"-"&amp;Tabela1[[#This Row],[Código]]&amp;"/"&amp;Tabela1[[#This Row],[Origem]]</f>
        <v>Peteca-H994P371/GO</v>
      </c>
      <c r="F1771" s="88">
        <v>46517</v>
      </c>
      <c r="G1771" s="88" t="str" cm="1">
        <f t="array" ref="G17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AND(F1771&gt;= DATE(2026,1,1), F1771&lt;= DATE(2028, 12, 31), J1771&gt;50000), "Pendente e Caro", AND(F1771&gt;= DATE(2026,1,1), F1771&lt;= DATE(2028, 12, 31), J1771&lt;=50000), "Pendente", F1771&gt;= DATE(2029,1,1), "Não prioeitário")</f>
        <v>Pendente e Caro</v>
      </c>
      <c r="H1771" s="89">
        <f>YEAR(Tabela1[[#This Row],[Data de Validade]])</f>
        <v>2027</v>
      </c>
      <c r="I1771" s="89">
        <f>MONTH(Tabela1[[#This Row],[Data de Validade]])</f>
        <v>5</v>
      </c>
      <c r="J1771" s="101">
        <v>101375</v>
      </c>
      <c r="K1771" s="87" t="s">
        <v>14</v>
      </c>
      <c r="L1771" s="108"/>
      <c r="M1771" s="108"/>
      <c r="N1771" s="108" t="str">
        <v>H994P371</v>
      </c>
      <c r="O1771" s="108">
        <f t="shared" si="29"/>
        <v>1</v>
      </c>
      <c r="P1771" s="108"/>
      <c r="Q1771"/>
    </row>
    <row r="1772" spans="1:17" x14ac:dyDescent="0.25">
      <c r="A1772" s="89" t="s">
        <v>8541</v>
      </c>
      <c r="B1772" s="87" t="s">
        <v>8542</v>
      </c>
      <c r="C1772" s="87" t="s">
        <v>8</v>
      </c>
      <c r="D1772" s="87" t="str">
        <f>VLOOKUP(Tabela1[[#This Row],[Origem]], 'Perguntas 1 a 24'!$J$28:$K$34, 2, 0)</f>
        <v>Nordeste</v>
      </c>
      <c r="E1772" s="87" t="str">
        <f>Tabela1[[#This Row],[Descrição]]&amp;"-"&amp;Tabela1[[#This Row],[Código]]&amp;"/"&amp;Tabela1[[#This Row],[Origem]]</f>
        <v>Ticivireti-P477H999/AL</v>
      </c>
      <c r="F1772" s="88">
        <v>46517</v>
      </c>
      <c r="G1772" s="88" t="str" cm="1">
        <f t="array" ref="G17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AND(F1772&gt;= DATE(2026,1,1), F1772&lt;= DATE(2028, 12, 31), J1772&gt;50000), "Pendente e Caro", AND(F1772&gt;= DATE(2026,1,1), F1772&lt;= DATE(2028, 12, 31), J1772&lt;=50000), "Pendente", F1772&gt;= DATE(2029,1,1), "Não prioeitário")</f>
        <v>Pendente e Caro</v>
      </c>
      <c r="H1772" s="89">
        <f>YEAR(Tabela1[[#This Row],[Data de Validade]])</f>
        <v>2027</v>
      </c>
      <c r="I1772" s="89">
        <f>MONTH(Tabela1[[#This Row],[Data de Validade]])</f>
        <v>5</v>
      </c>
      <c r="J1772" s="101">
        <v>66493</v>
      </c>
      <c r="K1772" s="87" t="s">
        <v>9</v>
      </c>
      <c r="L1772" s="108"/>
      <c r="M1772" s="108"/>
      <c r="N1772" s="108" t="str">
        <v>P477H999</v>
      </c>
      <c r="O1772" s="108">
        <f t="shared" si="29"/>
        <v>1</v>
      </c>
      <c r="P1772" s="108"/>
      <c r="Q1772"/>
    </row>
    <row r="1773" spans="1:17" x14ac:dyDescent="0.25">
      <c r="A1773" s="89" t="s">
        <v>9637</v>
      </c>
      <c r="B1773" s="87" t="s">
        <v>9638</v>
      </c>
      <c r="C1773" s="87" t="s">
        <v>8</v>
      </c>
      <c r="D1773" s="87" t="str">
        <f>VLOOKUP(Tabela1[[#This Row],[Origem]], 'Perguntas 1 a 24'!$J$28:$K$34, 2, 0)</f>
        <v>Nordeste</v>
      </c>
      <c r="E1773" s="87" t="str">
        <f>Tabela1[[#This Row],[Descrição]]&amp;"-"&amp;Tabela1[[#This Row],[Código]]&amp;"/"&amp;Tabela1[[#This Row],[Origem]]</f>
        <v>Livipeli-P886P739/AL</v>
      </c>
      <c r="F1773" s="88">
        <v>46517</v>
      </c>
      <c r="G1773" s="88" t="str" cm="1">
        <f t="array" ref="G17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AND(F1773&gt;= DATE(2026,1,1), F1773&lt;= DATE(2028, 12, 31), J1773&gt;50000), "Pendente e Caro", AND(F1773&gt;= DATE(2026,1,1), F1773&lt;= DATE(2028, 12, 31), J1773&lt;=50000), "Pendente", F1773&gt;= DATE(2029,1,1), "Não prioeitário")</f>
        <v>Pendente e Caro</v>
      </c>
      <c r="H1773" s="89">
        <f>YEAR(Tabela1[[#This Row],[Data de Validade]])</f>
        <v>2027</v>
      </c>
      <c r="I1773" s="89">
        <f>MONTH(Tabela1[[#This Row],[Data de Validade]])</f>
        <v>5</v>
      </c>
      <c r="J1773" s="101">
        <v>63965</v>
      </c>
      <c r="K1773" s="87" t="s">
        <v>11</v>
      </c>
      <c r="L1773" s="108"/>
      <c r="M1773" s="108"/>
      <c r="N1773" s="108" t="str">
        <v>P886P739</v>
      </c>
      <c r="O1773" s="108">
        <f t="shared" si="29"/>
        <v>1</v>
      </c>
      <c r="P1773" s="108"/>
      <c r="Q1773"/>
    </row>
    <row r="1774" spans="1:17" x14ac:dyDescent="0.25">
      <c r="A1774" s="89" t="s">
        <v>4584</v>
      </c>
      <c r="B1774" s="87" t="s">
        <v>4585</v>
      </c>
      <c r="C1774" s="87" t="s">
        <v>12</v>
      </c>
      <c r="D1774" s="87" t="str">
        <f>VLOOKUP(Tabela1[[#This Row],[Origem]], 'Perguntas 1 a 24'!$J$28:$K$34, 2, 0)</f>
        <v>Sudeste</v>
      </c>
      <c r="E1774" s="87" t="str">
        <f>Tabela1[[#This Row],[Descrição]]&amp;"-"&amp;Tabela1[[#This Row],[Código]]&amp;"/"&amp;Tabela1[[#This Row],[Origem]]</f>
        <v>Derodace-P865H454/RJ</v>
      </c>
      <c r="F1774" s="88">
        <v>46517</v>
      </c>
      <c r="G1774" s="88" t="str" cm="1">
        <f t="array" ref="G17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AND(F1774&gt;= DATE(2026,1,1), F1774&lt;= DATE(2028, 12, 31), J1774&gt;50000), "Pendente e Caro", AND(F1774&gt;= DATE(2026,1,1), F1774&lt;= DATE(2028, 12, 31), J1774&lt;=50000), "Pendente", F1774&gt;= DATE(2029,1,1), "Não prioeitário")</f>
        <v>Pendente</v>
      </c>
      <c r="H1774" s="89">
        <f>YEAR(Tabela1[[#This Row],[Data de Validade]])</f>
        <v>2027</v>
      </c>
      <c r="I1774" s="89">
        <f>MONTH(Tabela1[[#This Row],[Data de Validade]])</f>
        <v>5</v>
      </c>
      <c r="J1774" s="101">
        <v>36895</v>
      </c>
      <c r="K1774" s="87" t="s">
        <v>7</v>
      </c>
      <c r="L1774" s="108"/>
      <c r="M1774" s="108"/>
      <c r="N1774" s="108" t="str">
        <v>P865H454</v>
      </c>
      <c r="O1774" s="108">
        <f t="shared" si="29"/>
        <v>1</v>
      </c>
      <c r="P1774" s="108"/>
      <c r="Q1774"/>
    </row>
    <row r="1775" spans="1:17" x14ac:dyDescent="0.25">
      <c r="A1775" s="89" t="s">
        <v>10345</v>
      </c>
      <c r="B1775" s="87" t="s">
        <v>10346</v>
      </c>
      <c r="C1775" s="87" t="s">
        <v>8</v>
      </c>
      <c r="D1775" s="87" t="str">
        <f>VLOOKUP(Tabela1[[#This Row],[Origem]], 'Perguntas 1 a 24'!$J$28:$K$34, 2, 0)</f>
        <v>Nordeste</v>
      </c>
      <c r="E1775" s="87" t="str">
        <f>Tabela1[[#This Row],[Descrição]]&amp;"-"&amp;Tabela1[[#This Row],[Código]]&amp;"/"&amp;Tabela1[[#This Row],[Origem]]</f>
        <v>Regadaletu-H322P878/AL</v>
      </c>
      <c r="F1775" s="88">
        <v>46518</v>
      </c>
      <c r="G1775" s="88" t="str" cm="1">
        <f t="array" ref="G17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AND(F1775&gt;= DATE(2026,1,1), F1775&lt;= DATE(2028, 12, 31), J1775&gt;50000), "Pendente e Caro", AND(F1775&gt;= DATE(2026,1,1), F1775&lt;= DATE(2028, 12, 31), J1775&lt;=50000), "Pendente", F1775&gt;= DATE(2029,1,1), "Não prioeitário")</f>
        <v>Pendente e Caro</v>
      </c>
      <c r="H1775" s="89">
        <f>YEAR(Tabela1[[#This Row],[Data de Validade]])</f>
        <v>2027</v>
      </c>
      <c r="I1775" s="89">
        <f>MONTH(Tabela1[[#This Row],[Data de Validade]])</f>
        <v>5</v>
      </c>
      <c r="J1775" s="101">
        <v>91153</v>
      </c>
      <c r="K1775" s="87" t="s">
        <v>9</v>
      </c>
      <c r="L1775" s="108"/>
      <c r="M1775" s="108"/>
      <c r="N1775" s="108" t="str">
        <v>H322P878</v>
      </c>
      <c r="O1775" s="108">
        <f t="shared" si="29"/>
        <v>1</v>
      </c>
      <c r="P1775" s="108"/>
      <c r="Q1775"/>
    </row>
    <row r="1776" spans="1:17" x14ac:dyDescent="0.25">
      <c r="A1776" s="89" t="s">
        <v>6516</v>
      </c>
      <c r="B1776" s="87" t="s">
        <v>6517</v>
      </c>
      <c r="C1776" s="87" t="s">
        <v>15</v>
      </c>
      <c r="D1776" s="87" t="str">
        <f>VLOOKUP(Tabela1[[#This Row],[Origem]], 'Perguntas 1 a 24'!$J$28:$K$34, 2, 0)</f>
        <v>Sudeste</v>
      </c>
      <c r="E1776" s="87" t="str">
        <f>Tabela1[[#This Row],[Descrição]]&amp;"-"&amp;Tabela1[[#This Row],[Código]]&amp;"/"&amp;Tabela1[[#This Row],[Origem]]</f>
        <v>Vimugodi-H462H842/ES</v>
      </c>
      <c r="F1776" s="88">
        <v>46518</v>
      </c>
      <c r="G1776" s="88" t="str" cm="1">
        <f t="array" ref="G17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AND(F1776&gt;= DATE(2026,1,1), F1776&lt;= DATE(2028, 12, 31), J1776&gt;50000), "Pendente e Caro", AND(F1776&gt;= DATE(2026,1,1), F1776&lt;= DATE(2028, 12, 31), J1776&lt;=50000), "Pendente", F1776&gt;= DATE(2029,1,1), "Não prioeitário")</f>
        <v>Pendente e Caro</v>
      </c>
      <c r="H1776" s="89">
        <f>YEAR(Tabela1[[#This Row],[Data de Validade]])</f>
        <v>2027</v>
      </c>
      <c r="I1776" s="89">
        <f>MONTH(Tabela1[[#This Row],[Data de Validade]])</f>
        <v>5</v>
      </c>
      <c r="J1776" s="101">
        <v>69417</v>
      </c>
      <c r="K1776" s="87" t="s">
        <v>14</v>
      </c>
      <c r="L1776" s="108"/>
      <c r="M1776" s="108"/>
      <c r="N1776" s="108" t="str">
        <v>H462H842</v>
      </c>
      <c r="O1776" s="108">
        <f t="shared" si="29"/>
        <v>1</v>
      </c>
      <c r="P1776" s="108"/>
      <c r="Q1776"/>
    </row>
    <row r="1777" spans="1:17" x14ac:dyDescent="0.25">
      <c r="A1777" s="89" t="s">
        <v>6708</v>
      </c>
      <c r="B1777" s="87" t="s">
        <v>6709</v>
      </c>
      <c r="C1777" s="87" t="s">
        <v>8</v>
      </c>
      <c r="D1777" s="87" t="str">
        <f>VLOOKUP(Tabela1[[#This Row],[Origem]], 'Perguntas 1 a 24'!$J$28:$K$34, 2, 0)</f>
        <v>Nordeste</v>
      </c>
      <c r="E1777" s="87" t="str">
        <f>Tabela1[[#This Row],[Descrição]]&amp;"-"&amp;Tabela1[[#This Row],[Código]]&amp;"/"&amp;Tabela1[[#This Row],[Origem]]</f>
        <v>Gutemu-H971P645/AL</v>
      </c>
      <c r="F1777" s="88">
        <v>46519</v>
      </c>
      <c r="G1777" s="88" t="str" cm="1">
        <f t="array" ref="G17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AND(F1777&gt;= DATE(2026,1,1), F1777&lt;= DATE(2028, 12, 31), J1777&gt;50000), "Pendente e Caro", AND(F1777&gt;= DATE(2026,1,1), F1777&lt;= DATE(2028, 12, 31), J1777&lt;=50000), "Pendente", F1777&gt;= DATE(2029,1,1), "Não prioeitário")</f>
        <v>Pendente e Caro</v>
      </c>
      <c r="H1777" s="89">
        <f>YEAR(Tabela1[[#This Row],[Data de Validade]])</f>
        <v>2027</v>
      </c>
      <c r="I1777" s="89">
        <f>MONTH(Tabela1[[#This Row],[Data de Validade]])</f>
        <v>5</v>
      </c>
      <c r="J1777" s="101">
        <v>100686</v>
      </c>
      <c r="K1777" s="87" t="s">
        <v>14</v>
      </c>
      <c r="L1777" s="108"/>
      <c r="M1777" s="108"/>
      <c r="N1777" s="108" t="str">
        <v>H971P645</v>
      </c>
      <c r="O1777" s="108">
        <f t="shared" si="29"/>
        <v>1</v>
      </c>
      <c r="P1777" s="108"/>
      <c r="Q1777"/>
    </row>
    <row r="1778" spans="1:17" x14ac:dyDescent="0.25">
      <c r="A1778" s="89" t="s">
        <v>5878</v>
      </c>
      <c r="B1778" s="87" t="s">
        <v>5879</v>
      </c>
      <c r="C1778" s="87" t="s">
        <v>13</v>
      </c>
      <c r="D1778" s="87" t="str">
        <f>VLOOKUP(Tabela1[[#This Row],[Origem]], 'Perguntas 1 a 24'!$J$28:$K$34, 2, 0)</f>
        <v>Sudeste</v>
      </c>
      <c r="E1778" s="87" t="str">
        <f>Tabela1[[#This Row],[Descrição]]&amp;"-"&amp;Tabela1[[#This Row],[Código]]&amp;"/"&amp;Tabela1[[#This Row],[Origem]]</f>
        <v>Dumira-P744H764/SP</v>
      </c>
      <c r="F1778" s="88">
        <v>46519</v>
      </c>
      <c r="G1778" s="88" t="str" cm="1">
        <f t="array" ref="G17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AND(F1778&gt;= DATE(2026,1,1), F1778&lt;= DATE(2028, 12, 31), J1778&gt;50000), "Pendente e Caro", AND(F1778&gt;= DATE(2026,1,1), F1778&lt;= DATE(2028, 12, 31), J1778&lt;=50000), "Pendente", F1778&gt;= DATE(2029,1,1), "Não prioeitário")</f>
        <v>Pendente e Caro</v>
      </c>
      <c r="H1778" s="89">
        <f>YEAR(Tabela1[[#This Row],[Data de Validade]])</f>
        <v>2027</v>
      </c>
      <c r="I1778" s="89">
        <f>MONTH(Tabela1[[#This Row],[Data de Validade]])</f>
        <v>5</v>
      </c>
      <c r="J1778" s="101">
        <v>91121</v>
      </c>
      <c r="K1778" s="87" t="s">
        <v>11</v>
      </c>
      <c r="L1778" s="108"/>
      <c r="M1778" s="108"/>
      <c r="N1778" s="108" t="str">
        <v>P744H764</v>
      </c>
      <c r="O1778" s="108">
        <f t="shared" si="29"/>
        <v>1</v>
      </c>
      <c r="P1778" s="108"/>
      <c r="Q1778"/>
    </row>
    <row r="1779" spans="1:17" x14ac:dyDescent="0.25">
      <c r="A1779" s="89" t="s">
        <v>9747</v>
      </c>
      <c r="B1779" s="87" t="s">
        <v>9748</v>
      </c>
      <c r="C1779" s="87" t="s">
        <v>10</v>
      </c>
      <c r="D1779" s="87" t="str">
        <f>VLOOKUP(Tabela1[[#This Row],[Origem]], 'Perguntas 1 a 24'!$J$28:$K$34, 2, 0)</f>
        <v>Centro-Oeste</v>
      </c>
      <c r="E1779" s="87" t="str">
        <f>Tabela1[[#This Row],[Descrição]]&amp;"-"&amp;Tabela1[[#This Row],[Código]]&amp;"/"&amp;Tabela1[[#This Row],[Origem]]</f>
        <v>Padutavoti-P431H563/GO</v>
      </c>
      <c r="F1779" s="88">
        <v>46519</v>
      </c>
      <c r="G1779" s="88" t="str" cm="1">
        <f t="array" ref="G17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AND(F1779&gt;= DATE(2026,1,1), F1779&lt;= DATE(2028, 12, 31), J1779&gt;50000), "Pendente e Caro", AND(F1779&gt;= DATE(2026,1,1), F1779&lt;= DATE(2028, 12, 31), J1779&lt;=50000), "Pendente", F1779&gt;= DATE(2029,1,1), "Não prioeitário")</f>
        <v>Pendente e Caro</v>
      </c>
      <c r="H1779" s="89">
        <f>YEAR(Tabela1[[#This Row],[Data de Validade]])</f>
        <v>2027</v>
      </c>
      <c r="I1779" s="89">
        <f>MONTH(Tabela1[[#This Row],[Data de Validade]])</f>
        <v>5</v>
      </c>
      <c r="J1779" s="101">
        <v>75318</v>
      </c>
      <c r="K1779" s="87" t="s">
        <v>9</v>
      </c>
      <c r="L1779" s="108"/>
      <c r="M1779" s="108"/>
      <c r="N1779" s="108" t="str">
        <v>P431H563</v>
      </c>
      <c r="O1779" s="108">
        <f t="shared" si="29"/>
        <v>1</v>
      </c>
      <c r="P1779" s="108"/>
      <c r="Q1779"/>
    </row>
    <row r="1780" spans="1:17" x14ac:dyDescent="0.25">
      <c r="A1780" s="89" t="s">
        <v>4130</v>
      </c>
      <c r="B1780" s="87" t="s">
        <v>4131</v>
      </c>
      <c r="C1780" s="87" t="s">
        <v>15</v>
      </c>
      <c r="D1780" s="87" t="str">
        <f>VLOOKUP(Tabela1[[#This Row],[Origem]], 'Perguntas 1 a 24'!$J$28:$K$34, 2, 0)</f>
        <v>Sudeste</v>
      </c>
      <c r="E1780" s="87" t="str">
        <f>Tabela1[[#This Row],[Descrição]]&amp;"-"&amp;Tabela1[[#This Row],[Código]]&amp;"/"&amp;Tabela1[[#This Row],[Origem]]</f>
        <v>Tipelege-P525H789/ES</v>
      </c>
      <c r="F1780" s="88">
        <v>46520</v>
      </c>
      <c r="G1780" s="88" t="str" cm="1">
        <f t="array" ref="G17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AND(F1780&gt;= DATE(2026,1,1), F1780&lt;= DATE(2028, 12, 31), J1780&gt;50000), "Pendente e Caro", AND(F1780&gt;= DATE(2026,1,1), F1780&lt;= DATE(2028, 12, 31), J1780&lt;=50000), "Pendente", F1780&gt;= DATE(2029,1,1), "Não prioeitário")</f>
        <v>Pendente</v>
      </c>
      <c r="H1780" s="89">
        <f>YEAR(Tabela1[[#This Row],[Data de Validade]])</f>
        <v>2027</v>
      </c>
      <c r="I1780" s="89">
        <f>MONTH(Tabela1[[#This Row],[Data de Validade]])</f>
        <v>5</v>
      </c>
      <c r="J1780" s="101">
        <v>27282</v>
      </c>
      <c r="K1780" s="87" t="s">
        <v>11</v>
      </c>
      <c r="L1780" s="108"/>
      <c r="M1780" s="108"/>
      <c r="N1780" s="108" t="str">
        <v>P525H789</v>
      </c>
      <c r="O1780" s="108">
        <f t="shared" si="29"/>
        <v>1</v>
      </c>
      <c r="P1780" s="108"/>
      <c r="Q1780"/>
    </row>
    <row r="1781" spans="1:17" x14ac:dyDescent="0.25">
      <c r="A1781" s="89" t="s">
        <v>6798</v>
      </c>
      <c r="B1781" s="87" t="s">
        <v>6799</v>
      </c>
      <c r="C1781" s="87" t="s">
        <v>16</v>
      </c>
      <c r="D1781" s="87" t="str">
        <f>VLOOKUP(Tabela1[[#This Row],[Origem]], 'Perguntas 1 a 24'!$J$28:$K$34, 2, 0)</f>
        <v>Sudeste</v>
      </c>
      <c r="E1781" s="87" t="str">
        <f>Tabela1[[#This Row],[Descrição]]&amp;"-"&amp;Tabela1[[#This Row],[Código]]&amp;"/"&amp;Tabela1[[#This Row],[Origem]]</f>
        <v>Devonipu-P778P986/MG</v>
      </c>
      <c r="F1781" s="88">
        <v>46522</v>
      </c>
      <c r="G1781" s="88" t="str" cm="1">
        <f t="array" ref="G17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AND(F1781&gt;= DATE(2026,1,1), F1781&lt;= DATE(2028, 12, 31), J1781&gt;50000), "Pendente e Caro", AND(F1781&gt;= DATE(2026,1,1), F1781&lt;= DATE(2028, 12, 31), J1781&lt;=50000), "Pendente", F1781&gt;= DATE(2029,1,1), "Não prioeitário")</f>
        <v>Pendente e Caro</v>
      </c>
      <c r="H1781" s="89">
        <f>YEAR(Tabela1[[#This Row],[Data de Validade]])</f>
        <v>2027</v>
      </c>
      <c r="I1781" s="89">
        <f>MONTH(Tabela1[[#This Row],[Data de Validade]])</f>
        <v>5</v>
      </c>
      <c r="J1781" s="101">
        <v>114546</v>
      </c>
      <c r="K1781" s="87" t="s">
        <v>9</v>
      </c>
      <c r="L1781" s="108"/>
      <c r="M1781" s="108"/>
      <c r="N1781" s="108" t="str">
        <v>P778P986</v>
      </c>
      <c r="O1781" s="108">
        <f t="shared" si="29"/>
        <v>1</v>
      </c>
      <c r="P1781" s="108"/>
      <c r="Q1781"/>
    </row>
    <row r="1782" spans="1:17" x14ac:dyDescent="0.25">
      <c r="A1782" s="89" t="s">
        <v>6136</v>
      </c>
      <c r="B1782" s="87" t="s">
        <v>6137</v>
      </c>
      <c r="C1782" s="87" t="s">
        <v>13</v>
      </c>
      <c r="D1782" s="87" t="str">
        <f>VLOOKUP(Tabela1[[#This Row],[Origem]], 'Perguntas 1 a 24'!$J$28:$K$34, 2, 0)</f>
        <v>Sudeste</v>
      </c>
      <c r="E1782" s="87" t="str">
        <f>Tabela1[[#This Row],[Descrição]]&amp;"-"&amp;Tabela1[[#This Row],[Código]]&amp;"/"&amp;Tabela1[[#This Row],[Origem]]</f>
        <v>Lumalamu-P769P827/SP</v>
      </c>
      <c r="F1782" s="88">
        <v>46522</v>
      </c>
      <c r="G1782" s="88" t="str" cm="1">
        <f t="array" ref="G17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AND(F1782&gt;= DATE(2026,1,1), F1782&lt;= DATE(2028, 12, 31), J1782&gt;50000), "Pendente e Caro", AND(F1782&gt;= DATE(2026,1,1), F1782&lt;= DATE(2028, 12, 31), J1782&lt;=50000), "Pendente", F1782&gt;= DATE(2029,1,1), "Não prioeitário")</f>
        <v>Pendente e Caro</v>
      </c>
      <c r="H1782" s="89">
        <f>YEAR(Tabela1[[#This Row],[Data de Validade]])</f>
        <v>2027</v>
      </c>
      <c r="I1782" s="89">
        <f>MONTH(Tabela1[[#This Row],[Data de Validade]])</f>
        <v>5</v>
      </c>
      <c r="J1782" s="101">
        <v>78909</v>
      </c>
      <c r="K1782" s="87" t="s">
        <v>14</v>
      </c>
      <c r="L1782" s="108"/>
      <c r="M1782" s="108"/>
      <c r="N1782" s="108" t="str">
        <v>P769P827</v>
      </c>
      <c r="O1782" s="108">
        <f t="shared" si="29"/>
        <v>1</v>
      </c>
      <c r="P1782" s="108"/>
      <c r="Q1782"/>
    </row>
    <row r="1783" spans="1:17" x14ac:dyDescent="0.25">
      <c r="A1783" s="89" t="s">
        <v>8314</v>
      </c>
      <c r="B1783" s="87" t="s">
        <v>8315</v>
      </c>
      <c r="C1783" s="87" t="s">
        <v>16</v>
      </c>
      <c r="D1783" s="87" t="str">
        <f>VLOOKUP(Tabela1[[#This Row],[Origem]], 'Perguntas 1 a 24'!$J$28:$K$34, 2, 0)</f>
        <v>Sudeste</v>
      </c>
      <c r="E1783" s="87" t="str">
        <f>Tabela1[[#This Row],[Descrição]]&amp;"-"&amp;Tabela1[[#This Row],[Código]]&amp;"/"&amp;Tabela1[[#This Row],[Origem]]</f>
        <v>Tirepurori-P117H298/MG</v>
      </c>
      <c r="F1783" s="88">
        <v>46522</v>
      </c>
      <c r="G1783" s="88" t="str" cm="1">
        <f t="array" ref="G17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AND(F1783&gt;= DATE(2026,1,1), F1783&lt;= DATE(2028, 12, 31), J1783&gt;50000), "Pendente e Caro", AND(F1783&gt;= DATE(2026,1,1), F1783&lt;= DATE(2028, 12, 31), J1783&lt;=50000), "Pendente", F1783&gt;= DATE(2029,1,1), "Não prioeitário")</f>
        <v>Pendente</v>
      </c>
      <c r="H1783" s="89">
        <f>YEAR(Tabela1[[#This Row],[Data de Validade]])</f>
        <v>2027</v>
      </c>
      <c r="I1783" s="89">
        <f>MONTH(Tabela1[[#This Row],[Data de Validade]])</f>
        <v>5</v>
      </c>
      <c r="J1783" s="101">
        <v>40613</v>
      </c>
      <c r="K1783" s="87" t="s">
        <v>11</v>
      </c>
      <c r="L1783" s="108"/>
      <c r="M1783" s="108"/>
      <c r="N1783" s="108" t="str">
        <v>P117H298</v>
      </c>
      <c r="O1783" s="108">
        <f t="shared" si="29"/>
        <v>1</v>
      </c>
      <c r="P1783" s="108"/>
      <c r="Q1783"/>
    </row>
    <row r="1784" spans="1:17" x14ac:dyDescent="0.25">
      <c r="A1784" s="89" t="s">
        <v>9385</v>
      </c>
      <c r="B1784" s="87" t="s">
        <v>9386</v>
      </c>
      <c r="C1784" s="87" t="s">
        <v>10</v>
      </c>
      <c r="D1784" s="87" t="str">
        <f>VLOOKUP(Tabela1[[#This Row],[Origem]], 'Perguntas 1 a 24'!$J$28:$K$34, 2, 0)</f>
        <v>Centro-Oeste</v>
      </c>
      <c r="E1784" s="87" t="str">
        <f>Tabela1[[#This Row],[Descrição]]&amp;"-"&amp;Tabela1[[#This Row],[Código]]&amp;"/"&amp;Tabela1[[#This Row],[Origem]]</f>
        <v>Nomenivocu-P886P179/GO</v>
      </c>
      <c r="F1784" s="88">
        <v>46523</v>
      </c>
      <c r="G1784" s="88" t="str" cm="1">
        <f t="array" ref="G17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AND(F1784&gt;= DATE(2026,1,1), F1784&lt;= DATE(2028, 12, 31), J1784&gt;50000), "Pendente e Caro", AND(F1784&gt;= DATE(2026,1,1), F1784&lt;= DATE(2028, 12, 31), J1784&lt;=50000), "Pendente", F1784&gt;= DATE(2029,1,1), "Não prioeitário")</f>
        <v>Pendente</v>
      </c>
      <c r="H1784" s="89">
        <f>YEAR(Tabela1[[#This Row],[Data de Validade]])</f>
        <v>2027</v>
      </c>
      <c r="I1784" s="89">
        <f>MONTH(Tabela1[[#This Row],[Data de Validade]])</f>
        <v>5</v>
      </c>
      <c r="J1784" s="101">
        <v>34261</v>
      </c>
      <c r="K1784" s="87" t="s">
        <v>14</v>
      </c>
      <c r="L1784" s="108"/>
      <c r="M1784" s="108"/>
      <c r="N1784" s="108" t="str">
        <v>P886P179</v>
      </c>
      <c r="O1784" s="108">
        <f t="shared" si="29"/>
        <v>1</v>
      </c>
      <c r="P1784" s="108"/>
      <c r="Q1784"/>
    </row>
    <row r="1785" spans="1:17" x14ac:dyDescent="0.25">
      <c r="A1785" s="89" t="s">
        <v>6540</v>
      </c>
      <c r="B1785" s="87" t="s">
        <v>6541</v>
      </c>
      <c r="C1785" s="87" t="s">
        <v>6</v>
      </c>
      <c r="D1785" s="87" t="str">
        <f>VLOOKUP(Tabela1[[#This Row],[Origem]], 'Perguntas 1 a 24'!$J$28:$K$34, 2, 0)</f>
        <v>Nordeste</v>
      </c>
      <c r="E1785" s="87" t="str">
        <f>Tabela1[[#This Row],[Descrição]]&amp;"-"&amp;Tabela1[[#This Row],[Código]]&amp;"/"&amp;Tabela1[[#This Row],[Origem]]</f>
        <v>Putipepala-P121P983/MA</v>
      </c>
      <c r="F1785" s="88">
        <v>46524</v>
      </c>
      <c r="G1785" s="88" t="str" cm="1">
        <f t="array" ref="G17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AND(F1785&gt;= DATE(2026,1,1), F1785&lt;= DATE(2028, 12, 31), J1785&gt;50000), "Pendente e Caro", AND(F1785&gt;= DATE(2026,1,1), F1785&lt;= DATE(2028, 12, 31), J1785&lt;=50000), "Pendente", F1785&gt;= DATE(2029,1,1), "Não prioeitário")</f>
        <v>Pendente e Caro</v>
      </c>
      <c r="H1785" s="89">
        <f>YEAR(Tabela1[[#This Row],[Data de Validade]])</f>
        <v>2027</v>
      </c>
      <c r="I1785" s="89">
        <f>MONTH(Tabela1[[#This Row],[Data de Validade]])</f>
        <v>5</v>
      </c>
      <c r="J1785" s="101">
        <v>105608</v>
      </c>
      <c r="K1785" s="87" t="s">
        <v>14</v>
      </c>
      <c r="L1785" s="108"/>
      <c r="M1785" s="108"/>
      <c r="N1785" s="108" t="str">
        <v>P121P983</v>
      </c>
      <c r="O1785" s="108">
        <f t="shared" si="29"/>
        <v>1</v>
      </c>
      <c r="P1785" s="108"/>
      <c r="Q1785"/>
    </row>
    <row r="1786" spans="1:17" x14ac:dyDescent="0.25">
      <c r="A1786" s="89" t="s">
        <v>8098</v>
      </c>
      <c r="B1786" s="87" t="s">
        <v>8099</v>
      </c>
      <c r="C1786" s="87" t="s">
        <v>8</v>
      </c>
      <c r="D1786" s="87" t="str">
        <f>VLOOKUP(Tabela1[[#This Row],[Origem]], 'Perguntas 1 a 24'!$J$28:$K$34, 2, 0)</f>
        <v>Nordeste</v>
      </c>
      <c r="E1786" s="87" t="str">
        <f>Tabela1[[#This Row],[Descrição]]&amp;"-"&amp;Tabela1[[#This Row],[Código]]&amp;"/"&amp;Tabela1[[#This Row],[Origem]]</f>
        <v>Tegodo-H112H485/AL</v>
      </c>
      <c r="F1786" s="88">
        <v>46524</v>
      </c>
      <c r="G1786" s="88" t="str" cm="1">
        <f t="array" ref="G17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AND(F1786&gt;= DATE(2026,1,1), F1786&lt;= DATE(2028, 12, 31), J1786&gt;50000), "Pendente e Caro", AND(F1786&gt;= DATE(2026,1,1), F1786&lt;= DATE(2028, 12, 31), J1786&lt;=50000), "Pendente", F1786&gt;= DATE(2029,1,1), "Não prioeitário")</f>
        <v>Pendente e Caro</v>
      </c>
      <c r="H1786" s="89">
        <f>YEAR(Tabela1[[#This Row],[Data de Validade]])</f>
        <v>2027</v>
      </c>
      <c r="I1786" s="89">
        <f>MONTH(Tabela1[[#This Row],[Data de Validade]])</f>
        <v>5</v>
      </c>
      <c r="J1786" s="101">
        <v>66620</v>
      </c>
      <c r="K1786" s="87" t="s">
        <v>7</v>
      </c>
      <c r="L1786" s="108"/>
      <c r="M1786" s="108"/>
      <c r="N1786" s="108" t="str">
        <v>H112H485</v>
      </c>
      <c r="O1786" s="108">
        <f t="shared" si="29"/>
        <v>1</v>
      </c>
      <c r="P1786" s="108"/>
      <c r="Q1786"/>
    </row>
    <row r="1787" spans="1:17" x14ac:dyDescent="0.25">
      <c r="A1787" s="89" t="s">
        <v>4504</v>
      </c>
      <c r="B1787" s="87" t="s">
        <v>4505</v>
      </c>
      <c r="C1787" s="87" t="s">
        <v>8</v>
      </c>
      <c r="D1787" s="87" t="str">
        <f>VLOOKUP(Tabela1[[#This Row],[Origem]], 'Perguntas 1 a 24'!$J$28:$K$34, 2, 0)</f>
        <v>Nordeste</v>
      </c>
      <c r="E1787" s="87" t="str">
        <f>Tabela1[[#This Row],[Descrição]]&amp;"-"&amp;Tabela1[[#This Row],[Código]]&amp;"/"&amp;Tabela1[[#This Row],[Origem]]</f>
        <v>Movifapera-H699P337/AL</v>
      </c>
      <c r="F1787" s="88">
        <v>46524</v>
      </c>
      <c r="G1787" s="88" t="str" cm="1">
        <f t="array" ref="G17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AND(F1787&gt;= DATE(2026,1,1), F1787&lt;= DATE(2028, 12, 31), J1787&gt;50000), "Pendente e Caro", AND(F1787&gt;= DATE(2026,1,1), F1787&lt;= DATE(2028, 12, 31), J1787&lt;=50000), "Pendente", F1787&gt;= DATE(2029,1,1), "Não prioeitário")</f>
        <v>Pendente e Caro</v>
      </c>
      <c r="H1787" s="89">
        <f>YEAR(Tabela1[[#This Row],[Data de Validade]])</f>
        <v>2027</v>
      </c>
      <c r="I1787" s="89">
        <f>MONTH(Tabela1[[#This Row],[Data de Validade]])</f>
        <v>5</v>
      </c>
      <c r="J1787" s="101">
        <v>58182</v>
      </c>
      <c r="K1787" s="87" t="s">
        <v>14</v>
      </c>
      <c r="L1787" s="108"/>
      <c r="M1787" s="108"/>
      <c r="N1787" s="108" t="str">
        <v>H699P337</v>
      </c>
      <c r="O1787" s="108">
        <f t="shared" si="29"/>
        <v>1</v>
      </c>
      <c r="P1787" s="108"/>
      <c r="Q1787"/>
    </row>
    <row r="1788" spans="1:17" x14ac:dyDescent="0.25">
      <c r="A1788" s="89" t="s">
        <v>7484</v>
      </c>
      <c r="B1788" s="87" t="s">
        <v>7485</v>
      </c>
      <c r="C1788" s="87" t="s">
        <v>8</v>
      </c>
      <c r="D1788" s="87" t="str">
        <f>VLOOKUP(Tabela1[[#This Row],[Origem]], 'Perguntas 1 a 24'!$J$28:$K$34, 2, 0)</f>
        <v>Nordeste</v>
      </c>
      <c r="E1788" s="87" t="str">
        <f>Tabela1[[#This Row],[Descrição]]&amp;"-"&amp;Tabela1[[#This Row],[Código]]&amp;"/"&amp;Tabela1[[#This Row],[Origem]]</f>
        <v>Gapavupapi-H736H945/AL</v>
      </c>
      <c r="F1788" s="88">
        <v>46525</v>
      </c>
      <c r="G1788" s="88" t="str" cm="1">
        <f t="array" ref="G17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AND(F1788&gt;= DATE(2026,1,1), F1788&lt;= DATE(2028, 12, 31), J1788&gt;50000), "Pendente e Caro", AND(F1788&gt;= DATE(2026,1,1), F1788&lt;= DATE(2028, 12, 31), J1788&lt;=50000), "Pendente", F1788&gt;= DATE(2029,1,1), "Não prioeitário")</f>
        <v>Pendente e Caro</v>
      </c>
      <c r="H1788" s="89">
        <f>YEAR(Tabela1[[#This Row],[Data de Validade]])</f>
        <v>2027</v>
      </c>
      <c r="I1788" s="89">
        <f>MONTH(Tabela1[[#This Row],[Data de Validade]])</f>
        <v>5</v>
      </c>
      <c r="J1788" s="101">
        <v>75597</v>
      </c>
      <c r="K1788" s="87" t="s">
        <v>14</v>
      </c>
      <c r="L1788" s="108"/>
      <c r="M1788" s="108"/>
      <c r="N1788" s="108" t="str">
        <v>H736H945</v>
      </c>
      <c r="O1788" s="108">
        <f t="shared" si="29"/>
        <v>1</v>
      </c>
      <c r="P1788" s="108"/>
      <c r="Q1788"/>
    </row>
    <row r="1789" spans="1:17" x14ac:dyDescent="0.25">
      <c r="A1789" s="89" t="s">
        <v>10277</v>
      </c>
      <c r="B1789" s="87" t="s">
        <v>10278</v>
      </c>
      <c r="C1789" s="87" t="s">
        <v>16</v>
      </c>
      <c r="D1789" s="87" t="str">
        <f>VLOOKUP(Tabela1[[#This Row],[Origem]], 'Perguntas 1 a 24'!$J$28:$K$34, 2, 0)</f>
        <v>Sudeste</v>
      </c>
      <c r="E1789" s="87" t="str">
        <f>Tabela1[[#This Row],[Descrição]]&amp;"-"&amp;Tabela1[[#This Row],[Código]]&amp;"/"&amp;Tabela1[[#This Row],[Origem]]</f>
        <v>Repago-H181P142/MG</v>
      </c>
      <c r="F1789" s="88">
        <v>46525</v>
      </c>
      <c r="G1789" s="88" t="str" cm="1">
        <f t="array" ref="G17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AND(F1789&gt;= DATE(2026,1,1), F1789&lt;= DATE(2028, 12, 31), J1789&gt;50000), "Pendente e Caro", AND(F1789&gt;= DATE(2026,1,1), F1789&lt;= DATE(2028, 12, 31), J1789&lt;=50000), "Pendente", F1789&gt;= DATE(2029,1,1), "Não prioeitário")</f>
        <v>Pendente e Caro</v>
      </c>
      <c r="H1789" s="89">
        <f>YEAR(Tabela1[[#This Row],[Data de Validade]])</f>
        <v>2027</v>
      </c>
      <c r="I1789" s="89">
        <f>MONTH(Tabela1[[#This Row],[Data de Validade]])</f>
        <v>5</v>
      </c>
      <c r="J1789" s="101">
        <v>51126</v>
      </c>
      <c r="K1789" s="87" t="s">
        <v>14</v>
      </c>
      <c r="L1789" s="108"/>
      <c r="M1789" s="108"/>
      <c r="N1789" s="108" t="str">
        <v>H181P142</v>
      </c>
      <c r="O1789" s="108">
        <f t="shared" si="29"/>
        <v>1</v>
      </c>
      <c r="P1789" s="108"/>
      <c r="Q1789"/>
    </row>
    <row r="1790" spans="1:17" x14ac:dyDescent="0.25">
      <c r="A1790" s="89" t="s">
        <v>4552</v>
      </c>
      <c r="B1790" s="87" t="s">
        <v>4553</v>
      </c>
      <c r="C1790" s="87" t="s">
        <v>6</v>
      </c>
      <c r="D1790" s="87" t="str">
        <f>VLOOKUP(Tabela1[[#This Row],[Origem]], 'Perguntas 1 a 24'!$J$28:$K$34, 2, 0)</f>
        <v>Nordeste</v>
      </c>
      <c r="E1790" s="87" t="str">
        <f>Tabela1[[#This Row],[Descrição]]&amp;"-"&amp;Tabela1[[#This Row],[Código]]&amp;"/"&amp;Tabela1[[#This Row],[Origem]]</f>
        <v>Cidotoco-H239P828/MA</v>
      </c>
      <c r="F1790" s="88">
        <v>46526</v>
      </c>
      <c r="G1790" s="88" t="str" cm="1">
        <f t="array" ref="G17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AND(F1790&gt;= DATE(2026,1,1), F1790&lt;= DATE(2028, 12, 31), J1790&gt;50000), "Pendente e Caro", AND(F1790&gt;= DATE(2026,1,1), F1790&lt;= DATE(2028, 12, 31), J1790&lt;=50000), "Pendente", F1790&gt;= DATE(2029,1,1), "Não prioeitário")</f>
        <v>Pendente e Caro</v>
      </c>
      <c r="H1790" s="89">
        <f>YEAR(Tabela1[[#This Row],[Data de Validade]])</f>
        <v>2027</v>
      </c>
      <c r="I1790" s="89">
        <f>MONTH(Tabela1[[#This Row],[Data de Validade]])</f>
        <v>5</v>
      </c>
      <c r="J1790" s="101">
        <v>81391</v>
      </c>
      <c r="K1790" s="87" t="s">
        <v>14</v>
      </c>
      <c r="L1790" s="108"/>
      <c r="M1790" s="108"/>
      <c r="N1790" s="108" t="str">
        <v>H239P828</v>
      </c>
      <c r="O1790" s="108">
        <f t="shared" si="29"/>
        <v>1</v>
      </c>
      <c r="P1790" s="108"/>
      <c r="Q1790"/>
    </row>
    <row r="1791" spans="1:17" x14ac:dyDescent="0.25">
      <c r="A1791" s="89" t="s">
        <v>10285</v>
      </c>
      <c r="B1791" s="87" t="s">
        <v>10286</v>
      </c>
      <c r="C1791" s="87" t="s">
        <v>12</v>
      </c>
      <c r="D1791" s="87" t="str">
        <f>VLOOKUP(Tabela1[[#This Row],[Origem]], 'Perguntas 1 a 24'!$J$28:$K$34, 2, 0)</f>
        <v>Sudeste</v>
      </c>
      <c r="E1791" s="87" t="str">
        <f>Tabela1[[#This Row],[Descrição]]&amp;"-"&amp;Tabela1[[#This Row],[Código]]&amp;"/"&amp;Tabela1[[#This Row],[Origem]]</f>
        <v>Nonepu-P251H335/RJ</v>
      </c>
      <c r="F1791" s="88">
        <v>46527</v>
      </c>
      <c r="G1791" s="88" t="str" cm="1">
        <f t="array" ref="G17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AND(F1791&gt;= DATE(2026,1,1), F1791&lt;= DATE(2028, 12, 31), J1791&gt;50000), "Pendente e Caro", AND(F1791&gt;= DATE(2026,1,1), F1791&lt;= DATE(2028, 12, 31), J1791&lt;=50000), "Pendente", F1791&gt;= DATE(2029,1,1), "Não prioeitário")</f>
        <v>Pendente e Caro</v>
      </c>
      <c r="H1791" s="89">
        <f>YEAR(Tabela1[[#This Row],[Data de Validade]])</f>
        <v>2027</v>
      </c>
      <c r="I1791" s="89">
        <f>MONTH(Tabela1[[#This Row],[Data de Validade]])</f>
        <v>5</v>
      </c>
      <c r="J1791" s="101">
        <v>109711</v>
      </c>
      <c r="K1791" s="87" t="s">
        <v>7</v>
      </c>
      <c r="L1791" s="108"/>
      <c r="M1791" s="108"/>
      <c r="N1791" s="108" t="str">
        <v>P251H335</v>
      </c>
      <c r="O1791" s="108">
        <f t="shared" si="29"/>
        <v>1</v>
      </c>
      <c r="P1791" s="108"/>
      <c r="Q1791"/>
    </row>
    <row r="1792" spans="1:17" x14ac:dyDescent="0.25">
      <c r="A1792" s="89" t="s">
        <v>8356</v>
      </c>
      <c r="B1792" s="87" t="s">
        <v>8357</v>
      </c>
      <c r="C1792" s="87" t="s">
        <v>10</v>
      </c>
      <c r="D1792" s="87" t="str">
        <f>VLOOKUP(Tabela1[[#This Row],[Origem]], 'Perguntas 1 a 24'!$J$28:$K$34, 2, 0)</f>
        <v>Centro-Oeste</v>
      </c>
      <c r="E1792" s="87" t="str">
        <f>Tabela1[[#This Row],[Descrição]]&amp;"-"&amp;Tabela1[[#This Row],[Código]]&amp;"/"&amp;Tabela1[[#This Row],[Origem]]</f>
        <v>Mopilagopu-P826H536/GO</v>
      </c>
      <c r="F1792" s="88">
        <v>46527</v>
      </c>
      <c r="G1792" s="88" t="str" cm="1">
        <f t="array" ref="G17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AND(F1792&gt;= DATE(2026,1,1), F1792&lt;= DATE(2028, 12, 31), J1792&gt;50000), "Pendente e Caro", AND(F1792&gt;= DATE(2026,1,1), F1792&lt;= DATE(2028, 12, 31), J1792&lt;=50000), "Pendente", F1792&gt;= DATE(2029,1,1), "Não prioeitário")</f>
        <v>Pendente e Caro</v>
      </c>
      <c r="H1792" s="89">
        <f>YEAR(Tabela1[[#This Row],[Data de Validade]])</f>
        <v>2027</v>
      </c>
      <c r="I1792" s="89">
        <f>MONTH(Tabela1[[#This Row],[Data de Validade]])</f>
        <v>5</v>
      </c>
      <c r="J1792" s="101">
        <v>74857</v>
      </c>
      <c r="K1792" s="87" t="s">
        <v>9</v>
      </c>
      <c r="L1792" s="108"/>
      <c r="M1792" s="108"/>
      <c r="N1792" s="108" t="str">
        <v>P826H536</v>
      </c>
      <c r="O1792" s="108">
        <f t="shared" si="29"/>
        <v>1</v>
      </c>
      <c r="P1792" s="108"/>
      <c r="Q1792"/>
    </row>
    <row r="1793" spans="1:17" x14ac:dyDescent="0.25">
      <c r="A1793" s="89" t="s">
        <v>8338</v>
      </c>
      <c r="B1793" s="87" t="s">
        <v>8339</v>
      </c>
      <c r="C1793" s="87" t="s">
        <v>6</v>
      </c>
      <c r="D1793" s="87" t="str">
        <f>VLOOKUP(Tabela1[[#This Row],[Origem]], 'Perguntas 1 a 24'!$J$28:$K$34, 2, 0)</f>
        <v>Nordeste</v>
      </c>
      <c r="E1793" s="87" t="str">
        <f>Tabela1[[#This Row],[Descrição]]&amp;"-"&amp;Tabela1[[#This Row],[Código]]&amp;"/"&amp;Tabela1[[#This Row],[Origem]]</f>
        <v>Tagatiripo-H479H132/MA</v>
      </c>
      <c r="F1793" s="88">
        <v>46528</v>
      </c>
      <c r="G1793" s="88" t="str" cm="1">
        <f t="array" ref="G17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AND(F1793&gt;= DATE(2026,1,1), F1793&lt;= DATE(2028, 12, 31), J1793&gt;50000), "Pendente e Caro", AND(F1793&gt;= DATE(2026,1,1), F1793&lt;= DATE(2028, 12, 31), J1793&lt;=50000), "Pendente", F1793&gt;= DATE(2029,1,1), "Não prioeitário")</f>
        <v>Pendente e Caro</v>
      </c>
      <c r="H1793" s="89">
        <f>YEAR(Tabela1[[#This Row],[Data de Validade]])</f>
        <v>2027</v>
      </c>
      <c r="I1793" s="89">
        <f>MONTH(Tabela1[[#This Row],[Data de Validade]])</f>
        <v>5</v>
      </c>
      <c r="J1793" s="101">
        <v>105326</v>
      </c>
      <c r="K1793" s="87" t="s">
        <v>11</v>
      </c>
      <c r="L1793" s="108"/>
      <c r="M1793" s="108"/>
      <c r="N1793" s="108" t="str">
        <v>H479H132</v>
      </c>
      <c r="O1793" s="108">
        <f t="shared" si="29"/>
        <v>1</v>
      </c>
      <c r="P1793" s="108"/>
      <c r="Q1793"/>
    </row>
    <row r="1794" spans="1:17" x14ac:dyDescent="0.25">
      <c r="A1794" s="89" t="s">
        <v>8210</v>
      </c>
      <c r="B1794" s="87" t="s">
        <v>8211</v>
      </c>
      <c r="C1794" s="87" t="s">
        <v>12</v>
      </c>
      <c r="D1794" s="87" t="str">
        <f>VLOOKUP(Tabela1[[#This Row],[Origem]], 'Perguntas 1 a 24'!$J$28:$K$34, 2, 0)</f>
        <v>Sudeste</v>
      </c>
      <c r="E1794" s="87" t="str">
        <f>Tabela1[[#This Row],[Descrição]]&amp;"-"&amp;Tabela1[[#This Row],[Código]]&amp;"/"&amp;Tabela1[[#This Row],[Origem]]</f>
        <v>Pepapu-P374H431/RJ</v>
      </c>
      <c r="F1794" s="88">
        <v>46528</v>
      </c>
      <c r="G1794" s="88" t="str" cm="1">
        <f t="array" ref="G17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AND(F1794&gt;= DATE(2026,1,1), F1794&lt;= DATE(2028, 12, 31), J1794&gt;50000), "Pendente e Caro", AND(F1794&gt;= DATE(2026,1,1), F1794&lt;= DATE(2028, 12, 31), J1794&lt;=50000), "Pendente", F1794&gt;= DATE(2029,1,1), "Não prioeitário")</f>
        <v>Pendente</v>
      </c>
      <c r="H1794" s="89">
        <f>YEAR(Tabela1[[#This Row],[Data de Validade]])</f>
        <v>2027</v>
      </c>
      <c r="I1794" s="89">
        <f>MONTH(Tabela1[[#This Row],[Data de Validade]])</f>
        <v>5</v>
      </c>
      <c r="J1794" s="101">
        <v>26347</v>
      </c>
      <c r="K1794" s="87" t="s">
        <v>7</v>
      </c>
      <c r="L1794" s="108"/>
      <c r="M1794" s="108"/>
      <c r="N1794" s="108" t="str">
        <v>P374H431</v>
      </c>
      <c r="O1794" s="108">
        <f t="shared" si="29"/>
        <v>1</v>
      </c>
      <c r="P1794" s="108"/>
      <c r="Q1794"/>
    </row>
    <row r="1795" spans="1:17" x14ac:dyDescent="0.25">
      <c r="A1795" s="89" t="s">
        <v>6882</v>
      </c>
      <c r="B1795" s="87" t="s">
        <v>6883</v>
      </c>
      <c r="C1795" s="87" t="s">
        <v>15</v>
      </c>
      <c r="D1795" s="87" t="str">
        <f>VLOOKUP(Tabela1[[#This Row],[Origem]], 'Perguntas 1 a 24'!$J$28:$K$34, 2, 0)</f>
        <v>Sudeste</v>
      </c>
      <c r="E1795" s="87" t="str">
        <f>Tabela1[[#This Row],[Descrição]]&amp;"-"&amp;Tabela1[[#This Row],[Código]]&amp;"/"&amp;Tabela1[[#This Row],[Origem]]</f>
        <v>Tucerutito-P195P439/ES</v>
      </c>
      <c r="F1795" s="88">
        <v>46529</v>
      </c>
      <c r="G1795" s="88" t="str" cm="1">
        <f t="array" ref="G17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AND(F1795&gt;= DATE(2026,1,1), F1795&lt;= DATE(2028, 12, 31), J1795&gt;50000), "Pendente e Caro", AND(F1795&gt;= DATE(2026,1,1), F1795&lt;= DATE(2028, 12, 31), J1795&lt;=50000), "Pendente", F1795&gt;= DATE(2029,1,1), "Não prioeitário")</f>
        <v>Pendente e Caro</v>
      </c>
      <c r="H1795" s="89">
        <f>YEAR(Tabela1[[#This Row],[Data de Validade]])</f>
        <v>2027</v>
      </c>
      <c r="I1795" s="89">
        <f>MONTH(Tabela1[[#This Row],[Data de Validade]])</f>
        <v>5</v>
      </c>
      <c r="J1795" s="101">
        <v>50344</v>
      </c>
      <c r="K1795" s="87" t="s">
        <v>11</v>
      </c>
      <c r="L1795" s="108"/>
      <c r="M1795" s="108"/>
      <c r="N1795" s="108" t="str">
        <v>P195P439</v>
      </c>
      <c r="O1795" s="108">
        <f t="shared" ref="O1795:O1858" si="30">COUNTIFS(B:B,N1795)</f>
        <v>1</v>
      </c>
      <c r="P1795" s="108"/>
      <c r="Q1795"/>
    </row>
    <row r="1796" spans="1:17" x14ac:dyDescent="0.25">
      <c r="A1796" s="89" t="s">
        <v>6324</v>
      </c>
      <c r="B1796" s="87" t="s">
        <v>6325</v>
      </c>
      <c r="C1796" s="87" t="s">
        <v>12</v>
      </c>
      <c r="D1796" s="87" t="str">
        <f>VLOOKUP(Tabela1[[#This Row],[Origem]], 'Perguntas 1 a 24'!$J$28:$K$34, 2, 0)</f>
        <v>Sudeste</v>
      </c>
      <c r="E1796" s="87" t="str">
        <f>Tabela1[[#This Row],[Descrição]]&amp;"-"&amp;Tabela1[[#This Row],[Código]]&amp;"/"&amp;Tabela1[[#This Row],[Origem]]</f>
        <v>Fitogoma-P425P982/RJ</v>
      </c>
      <c r="F1796" s="88">
        <v>46530</v>
      </c>
      <c r="G1796" s="88" t="str" cm="1">
        <f t="array" ref="G17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AND(F1796&gt;= DATE(2026,1,1), F1796&lt;= DATE(2028, 12, 31), J1796&gt;50000), "Pendente e Caro", AND(F1796&gt;= DATE(2026,1,1), F1796&lt;= DATE(2028, 12, 31), J1796&lt;=50000), "Pendente", F1796&gt;= DATE(2029,1,1), "Não prioeitário")</f>
        <v>Pendente e Caro</v>
      </c>
      <c r="H1796" s="89">
        <f>YEAR(Tabela1[[#This Row],[Data de Validade]])</f>
        <v>2027</v>
      </c>
      <c r="I1796" s="89">
        <f>MONTH(Tabela1[[#This Row],[Data de Validade]])</f>
        <v>5</v>
      </c>
      <c r="J1796" s="101">
        <v>95787</v>
      </c>
      <c r="K1796" s="87" t="s">
        <v>7</v>
      </c>
      <c r="L1796" s="108"/>
      <c r="M1796" s="108"/>
      <c r="N1796" s="108" t="str">
        <v>P425P982</v>
      </c>
      <c r="O1796" s="108">
        <f t="shared" si="30"/>
        <v>1</v>
      </c>
      <c r="P1796" s="108"/>
      <c r="Q1796"/>
    </row>
    <row r="1797" spans="1:17" x14ac:dyDescent="0.25">
      <c r="A1797" s="89" t="s">
        <v>4277</v>
      </c>
      <c r="B1797" s="87" t="s">
        <v>4278</v>
      </c>
      <c r="C1797" s="87" t="s">
        <v>10</v>
      </c>
      <c r="D1797" s="87" t="str">
        <f>VLOOKUP(Tabela1[[#This Row],[Origem]], 'Perguntas 1 a 24'!$J$28:$K$34, 2, 0)</f>
        <v>Centro-Oeste</v>
      </c>
      <c r="E1797" s="87" t="str">
        <f>Tabela1[[#This Row],[Descrição]]&amp;"-"&amp;Tabela1[[#This Row],[Código]]&amp;"/"&amp;Tabela1[[#This Row],[Origem]]</f>
        <v>Perulu-P483H531/GO</v>
      </c>
      <c r="F1797" s="88">
        <v>46530</v>
      </c>
      <c r="G1797" s="88" t="str" cm="1">
        <f t="array" ref="G17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AND(F1797&gt;= DATE(2026,1,1), F1797&lt;= DATE(2028, 12, 31), J1797&gt;50000), "Pendente e Caro", AND(F1797&gt;= DATE(2026,1,1), F1797&lt;= DATE(2028, 12, 31), J1797&lt;=50000), "Pendente", F1797&gt;= DATE(2029,1,1), "Não prioeitário")</f>
        <v>Pendente e Caro</v>
      </c>
      <c r="H1797" s="89">
        <f>YEAR(Tabela1[[#This Row],[Data de Validade]])</f>
        <v>2027</v>
      </c>
      <c r="I1797" s="89">
        <f>MONTH(Tabela1[[#This Row],[Data de Validade]])</f>
        <v>5</v>
      </c>
      <c r="J1797" s="101">
        <v>74884</v>
      </c>
      <c r="K1797" s="87" t="s">
        <v>11</v>
      </c>
      <c r="L1797" s="108"/>
      <c r="M1797" s="108"/>
      <c r="N1797" s="108" t="str">
        <v>P483H531</v>
      </c>
      <c r="O1797" s="108">
        <f t="shared" si="30"/>
        <v>1</v>
      </c>
      <c r="P1797" s="108"/>
      <c r="Q1797"/>
    </row>
    <row r="1798" spans="1:17" x14ac:dyDescent="0.25">
      <c r="A1798" s="89" t="s">
        <v>5046</v>
      </c>
      <c r="B1798" s="87" t="s">
        <v>5047</v>
      </c>
      <c r="C1798" s="87" t="s">
        <v>16</v>
      </c>
      <c r="D1798" s="87" t="str">
        <f>VLOOKUP(Tabela1[[#This Row],[Origem]], 'Perguntas 1 a 24'!$J$28:$K$34, 2, 0)</f>
        <v>Sudeste</v>
      </c>
      <c r="E1798" s="87" t="str">
        <f>Tabela1[[#This Row],[Descrição]]&amp;"-"&amp;Tabela1[[#This Row],[Código]]&amp;"/"&amp;Tabela1[[#This Row],[Origem]]</f>
        <v>Mulamigadi-P375P778/MG</v>
      </c>
      <c r="F1798" s="88">
        <v>46530</v>
      </c>
      <c r="G1798" s="88" t="str" cm="1">
        <f t="array" ref="G17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AND(F1798&gt;= DATE(2026,1,1), F1798&lt;= DATE(2028, 12, 31), J1798&gt;50000), "Pendente e Caro", AND(F1798&gt;= DATE(2026,1,1), F1798&lt;= DATE(2028, 12, 31), J1798&lt;=50000), "Pendente", F1798&gt;= DATE(2029,1,1), "Não prioeitário")</f>
        <v>Pendente e Caro</v>
      </c>
      <c r="H1798" s="89">
        <f>YEAR(Tabela1[[#This Row],[Data de Validade]])</f>
        <v>2027</v>
      </c>
      <c r="I1798" s="89">
        <f>MONTH(Tabela1[[#This Row],[Data de Validade]])</f>
        <v>5</v>
      </c>
      <c r="J1798" s="101">
        <v>60481</v>
      </c>
      <c r="K1798" s="87" t="s">
        <v>14</v>
      </c>
      <c r="L1798" s="108"/>
      <c r="M1798" s="108"/>
      <c r="N1798" s="108" t="str">
        <v>P375P778</v>
      </c>
      <c r="O1798" s="108">
        <f t="shared" si="30"/>
        <v>1</v>
      </c>
      <c r="P1798" s="108"/>
      <c r="Q1798"/>
    </row>
    <row r="1799" spans="1:17" x14ac:dyDescent="0.25">
      <c r="A1799" s="89" t="s">
        <v>9785</v>
      </c>
      <c r="B1799" s="87" t="s">
        <v>9786</v>
      </c>
      <c r="C1799" s="87" t="s">
        <v>10</v>
      </c>
      <c r="D1799" s="87" t="str">
        <f>VLOOKUP(Tabela1[[#This Row],[Origem]], 'Perguntas 1 a 24'!$J$28:$K$34, 2, 0)</f>
        <v>Centro-Oeste</v>
      </c>
      <c r="E1799" s="87" t="str">
        <f>Tabela1[[#This Row],[Descrição]]&amp;"-"&amp;Tabela1[[#This Row],[Código]]&amp;"/"&amp;Tabela1[[#This Row],[Origem]]</f>
        <v>Lovuli-H569P586/GO</v>
      </c>
      <c r="F1799" s="88">
        <v>46530</v>
      </c>
      <c r="G1799" s="88" t="str" cm="1">
        <f t="array" ref="G17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AND(F1799&gt;= DATE(2026,1,1), F1799&lt;= DATE(2028, 12, 31), J1799&gt;50000), "Pendente e Caro", AND(F1799&gt;= DATE(2026,1,1), F1799&lt;= DATE(2028, 12, 31), J1799&lt;=50000), "Pendente", F1799&gt;= DATE(2029,1,1), "Não prioeitário")</f>
        <v>Pendente</v>
      </c>
      <c r="H1799" s="89">
        <f>YEAR(Tabela1[[#This Row],[Data de Validade]])</f>
        <v>2027</v>
      </c>
      <c r="I1799" s="89">
        <f>MONTH(Tabela1[[#This Row],[Data de Validade]])</f>
        <v>5</v>
      </c>
      <c r="J1799" s="101">
        <v>27519</v>
      </c>
      <c r="K1799" s="87" t="s">
        <v>9</v>
      </c>
      <c r="L1799" s="108"/>
      <c r="M1799" s="108"/>
      <c r="N1799" s="108" t="str">
        <v>H569P586</v>
      </c>
      <c r="O1799" s="108">
        <f t="shared" si="30"/>
        <v>1</v>
      </c>
      <c r="P1799" s="108"/>
      <c r="Q1799"/>
    </row>
    <row r="1800" spans="1:17" x14ac:dyDescent="0.25">
      <c r="A1800" s="89" t="s">
        <v>7186</v>
      </c>
      <c r="B1800" s="87" t="s">
        <v>7187</v>
      </c>
      <c r="C1800" s="87" t="s">
        <v>8</v>
      </c>
      <c r="D1800" s="87" t="str">
        <f>VLOOKUP(Tabela1[[#This Row],[Origem]], 'Perguntas 1 a 24'!$J$28:$K$34, 2, 0)</f>
        <v>Nordeste</v>
      </c>
      <c r="E1800" s="87" t="str">
        <f>Tabela1[[#This Row],[Descrição]]&amp;"-"&amp;Tabela1[[#This Row],[Código]]&amp;"/"&amp;Tabela1[[#This Row],[Origem]]</f>
        <v>Meparepu-H687H264/AL</v>
      </c>
      <c r="F1800" s="88">
        <v>46532</v>
      </c>
      <c r="G1800" s="88" t="str" cm="1">
        <f t="array" ref="G18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AND(F1800&gt;= DATE(2026,1,1), F1800&lt;= DATE(2028, 12, 31), J1800&gt;50000), "Pendente e Caro", AND(F1800&gt;= DATE(2026,1,1), F1800&lt;= DATE(2028, 12, 31), J1800&lt;=50000), "Pendente", F1800&gt;= DATE(2029,1,1), "Não prioeitário")</f>
        <v>Pendente e Caro</v>
      </c>
      <c r="H1800" s="89">
        <f>YEAR(Tabela1[[#This Row],[Data de Validade]])</f>
        <v>2027</v>
      </c>
      <c r="I1800" s="89">
        <f>MONTH(Tabela1[[#This Row],[Data de Validade]])</f>
        <v>5</v>
      </c>
      <c r="J1800" s="101">
        <v>119301</v>
      </c>
      <c r="K1800" s="87" t="s">
        <v>9</v>
      </c>
      <c r="L1800" s="108"/>
      <c r="M1800" s="108"/>
      <c r="N1800" s="108" t="str">
        <v>H687H264</v>
      </c>
      <c r="O1800" s="108">
        <f t="shared" si="30"/>
        <v>1</v>
      </c>
      <c r="P1800" s="108"/>
      <c r="Q1800"/>
    </row>
    <row r="1801" spans="1:17" x14ac:dyDescent="0.25">
      <c r="A1801" s="89" t="s">
        <v>6354</v>
      </c>
      <c r="B1801" s="87" t="s">
        <v>6355</v>
      </c>
      <c r="C1801" s="87" t="s">
        <v>16</v>
      </c>
      <c r="D1801" s="87" t="str">
        <f>VLOOKUP(Tabela1[[#This Row],[Origem]], 'Perguntas 1 a 24'!$J$28:$K$34, 2, 0)</f>
        <v>Sudeste</v>
      </c>
      <c r="E1801" s="87" t="str">
        <f>Tabela1[[#This Row],[Descrição]]&amp;"-"&amp;Tabela1[[#This Row],[Código]]&amp;"/"&amp;Tabela1[[#This Row],[Origem]]</f>
        <v>Ritomipevu-P511P556/MG</v>
      </c>
      <c r="F1801" s="88">
        <v>46532</v>
      </c>
      <c r="G1801" s="88" t="str" cm="1">
        <f t="array" ref="G18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AND(F1801&gt;= DATE(2026,1,1), F1801&lt;= DATE(2028, 12, 31), J1801&gt;50000), "Pendente e Caro", AND(F1801&gt;= DATE(2026,1,1), F1801&lt;= DATE(2028, 12, 31), J1801&lt;=50000), "Pendente", F1801&gt;= DATE(2029,1,1), "Não prioeitário")</f>
        <v>Pendente e Caro</v>
      </c>
      <c r="H1801" s="89">
        <f>YEAR(Tabela1[[#This Row],[Data de Validade]])</f>
        <v>2027</v>
      </c>
      <c r="I1801" s="89">
        <f>MONTH(Tabela1[[#This Row],[Data de Validade]])</f>
        <v>5</v>
      </c>
      <c r="J1801" s="101">
        <v>58360</v>
      </c>
      <c r="K1801" s="87" t="s">
        <v>7</v>
      </c>
      <c r="L1801" s="108"/>
      <c r="M1801" s="108"/>
      <c r="N1801" s="108" t="str">
        <v>P511P556</v>
      </c>
      <c r="O1801" s="108">
        <f t="shared" si="30"/>
        <v>1</v>
      </c>
      <c r="P1801" s="108"/>
      <c r="Q1801"/>
    </row>
    <row r="1802" spans="1:17" x14ac:dyDescent="0.25">
      <c r="A1802" s="89" t="s">
        <v>10917</v>
      </c>
      <c r="B1802" s="87" t="s">
        <v>10918</v>
      </c>
      <c r="C1802" s="87" t="s">
        <v>12</v>
      </c>
      <c r="D1802" s="87" t="str">
        <f>VLOOKUP(Tabela1[[#This Row],[Origem]], 'Perguntas 1 a 24'!$J$28:$K$34, 2, 0)</f>
        <v>Sudeste</v>
      </c>
      <c r="E1802" s="87" t="str">
        <f>Tabela1[[#This Row],[Descrição]]&amp;"-"&amp;Tabela1[[#This Row],[Código]]&amp;"/"&amp;Tabela1[[#This Row],[Origem]]</f>
        <v>Pepitapa-P678H498/RJ</v>
      </c>
      <c r="F1802" s="88">
        <v>46534</v>
      </c>
      <c r="G1802" s="88" t="str" cm="1">
        <f t="array" ref="G18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AND(F1802&gt;= DATE(2026,1,1), F1802&lt;= DATE(2028, 12, 31), J1802&gt;50000), "Pendente e Caro", AND(F1802&gt;= DATE(2026,1,1), F1802&lt;= DATE(2028, 12, 31), J1802&lt;=50000), "Pendente", F1802&gt;= DATE(2029,1,1), "Não prioeitário")</f>
        <v>Pendente e Caro</v>
      </c>
      <c r="H1802" s="89">
        <f>YEAR(Tabela1[[#This Row],[Data de Validade]])</f>
        <v>2027</v>
      </c>
      <c r="I1802" s="89">
        <f>MONTH(Tabela1[[#This Row],[Data de Validade]])</f>
        <v>5</v>
      </c>
      <c r="J1802" s="101">
        <v>77225</v>
      </c>
      <c r="K1802" s="87" t="s">
        <v>7</v>
      </c>
      <c r="L1802" s="108"/>
      <c r="M1802" s="108"/>
      <c r="N1802" s="108" t="str">
        <v>P678H498</v>
      </c>
      <c r="O1802" s="108">
        <f t="shared" si="30"/>
        <v>1</v>
      </c>
      <c r="P1802" s="108"/>
      <c r="Q1802"/>
    </row>
    <row r="1803" spans="1:17" x14ac:dyDescent="0.25">
      <c r="A1803" s="89" t="s">
        <v>5984</v>
      </c>
      <c r="B1803" s="87" t="s">
        <v>5985</v>
      </c>
      <c r="C1803" s="87" t="s">
        <v>10</v>
      </c>
      <c r="D1803" s="87" t="str">
        <f>VLOOKUP(Tabela1[[#This Row],[Origem]], 'Perguntas 1 a 24'!$J$28:$K$34, 2, 0)</f>
        <v>Centro-Oeste</v>
      </c>
      <c r="E1803" s="87" t="str">
        <f>Tabela1[[#This Row],[Descrição]]&amp;"-"&amp;Tabela1[[#This Row],[Código]]&amp;"/"&amp;Tabela1[[#This Row],[Origem]]</f>
        <v>Cacudo-H881P556/GO</v>
      </c>
      <c r="F1803" s="88">
        <v>46535</v>
      </c>
      <c r="G1803" s="88" t="str" cm="1">
        <f t="array" ref="G18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AND(F1803&gt;= DATE(2026,1,1), F1803&lt;= DATE(2028, 12, 31), J1803&gt;50000), "Pendente e Caro", AND(F1803&gt;= DATE(2026,1,1), F1803&lt;= DATE(2028, 12, 31), J1803&lt;=50000), "Pendente", F1803&gt;= DATE(2029,1,1), "Não prioeitário")</f>
        <v>Pendente e Caro</v>
      </c>
      <c r="H1803" s="89">
        <f>YEAR(Tabela1[[#This Row],[Data de Validade]])</f>
        <v>2027</v>
      </c>
      <c r="I1803" s="89">
        <f>MONTH(Tabela1[[#This Row],[Data de Validade]])</f>
        <v>5</v>
      </c>
      <c r="J1803" s="101">
        <v>110229</v>
      </c>
      <c r="K1803" s="87" t="s">
        <v>11</v>
      </c>
      <c r="L1803" s="108"/>
      <c r="M1803" s="108"/>
      <c r="N1803" s="108" t="str">
        <v>H881P556</v>
      </c>
      <c r="O1803" s="108">
        <f t="shared" si="30"/>
        <v>1</v>
      </c>
      <c r="P1803" s="108"/>
      <c r="Q1803"/>
    </row>
    <row r="1804" spans="1:17" x14ac:dyDescent="0.25">
      <c r="A1804" s="89" t="s">
        <v>10173</v>
      </c>
      <c r="B1804" s="87" t="s">
        <v>10174</v>
      </c>
      <c r="C1804" s="87" t="s">
        <v>10</v>
      </c>
      <c r="D1804" s="87" t="str">
        <f>VLOOKUP(Tabela1[[#This Row],[Origem]], 'Perguntas 1 a 24'!$J$28:$K$34, 2, 0)</f>
        <v>Centro-Oeste</v>
      </c>
      <c r="E1804" s="87" t="str">
        <f>Tabela1[[#This Row],[Descrição]]&amp;"-"&amp;Tabela1[[#This Row],[Código]]&amp;"/"&amp;Tabela1[[#This Row],[Origem]]</f>
        <v>Venira-P138P995/GO</v>
      </c>
      <c r="F1804" s="88">
        <v>46535</v>
      </c>
      <c r="G1804" s="88" t="str" cm="1">
        <f t="array" ref="G18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AND(F1804&gt;= DATE(2026,1,1), F1804&lt;= DATE(2028, 12, 31), J1804&gt;50000), "Pendente e Caro", AND(F1804&gt;= DATE(2026,1,1), F1804&lt;= DATE(2028, 12, 31), J1804&lt;=50000), "Pendente", F1804&gt;= DATE(2029,1,1), "Não prioeitário")</f>
        <v>Pendente e Caro</v>
      </c>
      <c r="H1804" s="89">
        <f>YEAR(Tabela1[[#This Row],[Data de Validade]])</f>
        <v>2027</v>
      </c>
      <c r="I1804" s="89">
        <f>MONTH(Tabela1[[#This Row],[Data de Validade]])</f>
        <v>5</v>
      </c>
      <c r="J1804" s="101">
        <v>108083</v>
      </c>
      <c r="K1804" s="87" t="s">
        <v>14</v>
      </c>
      <c r="L1804" s="108"/>
      <c r="M1804" s="108"/>
      <c r="N1804" s="108" t="str">
        <v>P138P995</v>
      </c>
      <c r="O1804" s="108">
        <f t="shared" si="30"/>
        <v>1</v>
      </c>
      <c r="P1804" s="108"/>
      <c r="Q1804"/>
    </row>
    <row r="1805" spans="1:17" x14ac:dyDescent="0.25">
      <c r="A1805" s="89" t="s">
        <v>10205</v>
      </c>
      <c r="B1805" s="87" t="s">
        <v>10206</v>
      </c>
      <c r="C1805" s="87" t="s">
        <v>6</v>
      </c>
      <c r="D1805" s="87" t="str">
        <f>VLOOKUP(Tabela1[[#This Row],[Origem]], 'Perguntas 1 a 24'!$J$28:$K$34, 2, 0)</f>
        <v>Nordeste</v>
      </c>
      <c r="E1805" s="87" t="str">
        <f>Tabela1[[#This Row],[Descrição]]&amp;"-"&amp;Tabela1[[#This Row],[Código]]&amp;"/"&amp;Tabela1[[#This Row],[Origem]]</f>
        <v>Vafuvodugi-H599P613/MA</v>
      </c>
      <c r="F1805" s="88">
        <v>46535</v>
      </c>
      <c r="G1805" s="88" t="str" cm="1">
        <f t="array" ref="G18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AND(F1805&gt;= DATE(2026,1,1), F1805&lt;= DATE(2028, 12, 31), J1805&gt;50000), "Pendente e Caro", AND(F1805&gt;= DATE(2026,1,1), F1805&lt;= DATE(2028, 12, 31), J1805&lt;=50000), "Pendente", F1805&gt;= DATE(2029,1,1), "Não prioeitário")</f>
        <v>Pendente e Caro</v>
      </c>
      <c r="H1805" s="89">
        <f>YEAR(Tabela1[[#This Row],[Data de Validade]])</f>
        <v>2027</v>
      </c>
      <c r="I1805" s="89">
        <f>MONTH(Tabela1[[#This Row],[Data de Validade]])</f>
        <v>5</v>
      </c>
      <c r="J1805" s="101">
        <v>95719</v>
      </c>
      <c r="K1805" s="87" t="s">
        <v>7</v>
      </c>
      <c r="L1805" s="108"/>
      <c r="M1805" s="108"/>
      <c r="N1805" s="108" t="str">
        <v>H599P613</v>
      </c>
      <c r="O1805" s="108">
        <f t="shared" si="30"/>
        <v>1</v>
      </c>
      <c r="P1805" s="108"/>
      <c r="Q1805"/>
    </row>
    <row r="1806" spans="1:17" x14ac:dyDescent="0.25">
      <c r="A1806" s="89" t="s">
        <v>5198</v>
      </c>
      <c r="B1806" s="87" t="s">
        <v>5199</v>
      </c>
      <c r="C1806" s="87" t="s">
        <v>13</v>
      </c>
      <c r="D1806" s="87" t="str">
        <f>VLOOKUP(Tabela1[[#This Row],[Origem]], 'Perguntas 1 a 24'!$J$28:$K$34, 2, 0)</f>
        <v>Sudeste</v>
      </c>
      <c r="E1806" s="87" t="str">
        <f>Tabela1[[#This Row],[Descrição]]&amp;"-"&amp;Tabela1[[#This Row],[Código]]&amp;"/"&amp;Tabela1[[#This Row],[Origem]]</f>
        <v>Vavara-H645H619/SP</v>
      </c>
      <c r="F1806" s="88">
        <v>46535</v>
      </c>
      <c r="G1806" s="88" t="str" cm="1">
        <f t="array" ref="G18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AND(F1806&gt;= DATE(2026,1,1), F1806&lt;= DATE(2028, 12, 31), J1806&gt;50000), "Pendente e Caro", AND(F1806&gt;= DATE(2026,1,1), F1806&lt;= DATE(2028, 12, 31), J1806&lt;=50000), "Pendente", F1806&gt;= DATE(2029,1,1), "Não prioeitário")</f>
        <v>Pendente</v>
      </c>
      <c r="H1806" s="89">
        <f>YEAR(Tabela1[[#This Row],[Data de Validade]])</f>
        <v>2027</v>
      </c>
      <c r="I1806" s="89">
        <f>MONTH(Tabela1[[#This Row],[Data de Validade]])</f>
        <v>5</v>
      </c>
      <c r="J1806" s="101">
        <v>37030</v>
      </c>
      <c r="K1806" s="87" t="s">
        <v>14</v>
      </c>
      <c r="L1806" s="108"/>
      <c r="M1806" s="108"/>
      <c r="N1806" s="108" t="str">
        <v>H645H619</v>
      </c>
      <c r="O1806" s="108">
        <f t="shared" si="30"/>
        <v>1</v>
      </c>
      <c r="P1806" s="108"/>
      <c r="Q1806"/>
    </row>
    <row r="1807" spans="1:17" x14ac:dyDescent="0.25">
      <c r="A1807" s="89" t="s">
        <v>5994</v>
      </c>
      <c r="B1807" s="87" t="s">
        <v>5995</v>
      </c>
      <c r="C1807" s="87" t="s">
        <v>8</v>
      </c>
      <c r="D1807" s="87" t="str">
        <f>VLOOKUP(Tabela1[[#This Row],[Origem]], 'Perguntas 1 a 24'!$J$28:$K$34, 2, 0)</f>
        <v>Nordeste</v>
      </c>
      <c r="E1807" s="87" t="str">
        <f>Tabela1[[#This Row],[Descrição]]&amp;"-"&amp;Tabela1[[#This Row],[Código]]&amp;"/"&amp;Tabela1[[#This Row],[Origem]]</f>
        <v>Pofitipe-H396H578/AL</v>
      </c>
      <c r="F1807" s="88">
        <v>46536</v>
      </c>
      <c r="G1807" s="88" t="str" cm="1">
        <f t="array" ref="G18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AND(F1807&gt;= DATE(2026,1,1), F1807&lt;= DATE(2028, 12, 31), J1807&gt;50000), "Pendente e Caro", AND(F1807&gt;= DATE(2026,1,1), F1807&lt;= DATE(2028, 12, 31), J1807&lt;=50000), "Pendente", F1807&gt;= DATE(2029,1,1), "Não prioeitário")</f>
        <v>Pendente e Caro</v>
      </c>
      <c r="H1807" s="89">
        <f>YEAR(Tabela1[[#This Row],[Data de Validade]])</f>
        <v>2027</v>
      </c>
      <c r="I1807" s="89">
        <f>MONTH(Tabela1[[#This Row],[Data de Validade]])</f>
        <v>5</v>
      </c>
      <c r="J1807" s="101">
        <v>75489</v>
      </c>
      <c r="K1807" s="87" t="s">
        <v>7</v>
      </c>
      <c r="L1807" s="108"/>
      <c r="M1807" s="108"/>
      <c r="N1807" s="108" t="str">
        <v>H396H578</v>
      </c>
      <c r="O1807" s="108">
        <f t="shared" si="30"/>
        <v>1</v>
      </c>
      <c r="P1807" s="108"/>
      <c r="Q1807"/>
    </row>
    <row r="1808" spans="1:17" x14ac:dyDescent="0.25">
      <c r="A1808" s="89" t="s">
        <v>8969</v>
      </c>
      <c r="B1808" s="87" t="s">
        <v>8970</v>
      </c>
      <c r="C1808" s="87" t="s">
        <v>15</v>
      </c>
      <c r="D1808" s="87" t="str">
        <f>VLOOKUP(Tabela1[[#This Row],[Origem]], 'Perguntas 1 a 24'!$J$28:$K$34, 2, 0)</f>
        <v>Sudeste</v>
      </c>
      <c r="E1808" s="87" t="str">
        <f>Tabela1[[#This Row],[Descrição]]&amp;"-"&amp;Tabela1[[#This Row],[Código]]&amp;"/"&amp;Tabela1[[#This Row],[Origem]]</f>
        <v>Vadori-P449H587/ES</v>
      </c>
      <c r="F1808" s="88">
        <v>46537</v>
      </c>
      <c r="G1808" s="88" t="str" cm="1">
        <f t="array" ref="G18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AND(F1808&gt;= DATE(2026,1,1), F1808&lt;= DATE(2028, 12, 31), J1808&gt;50000), "Pendente e Caro", AND(F1808&gt;= DATE(2026,1,1), F1808&lt;= DATE(2028, 12, 31), J1808&lt;=50000), "Pendente", F1808&gt;= DATE(2029,1,1), "Não prioeitário")</f>
        <v>Pendente e Caro</v>
      </c>
      <c r="H1808" s="89">
        <f>YEAR(Tabela1[[#This Row],[Data de Validade]])</f>
        <v>2027</v>
      </c>
      <c r="I1808" s="89">
        <f>MONTH(Tabela1[[#This Row],[Data de Validade]])</f>
        <v>5</v>
      </c>
      <c r="J1808" s="101">
        <v>92706</v>
      </c>
      <c r="K1808" s="87" t="s">
        <v>7</v>
      </c>
      <c r="L1808" s="108"/>
      <c r="M1808" s="108"/>
      <c r="N1808" s="108" t="str">
        <v>P449H587</v>
      </c>
      <c r="O1808" s="108">
        <f t="shared" si="30"/>
        <v>1</v>
      </c>
      <c r="P1808" s="108"/>
      <c r="Q1808"/>
    </row>
    <row r="1809" spans="1:17" x14ac:dyDescent="0.25">
      <c r="A1809" s="89" t="s">
        <v>7512</v>
      </c>
      <c r="B1809" s="87" t="s">
        <v>7513</v>
      </c>
      <c r="C1809" s="87" t="s">
        <v>13</v>
      </c>
      <c r="D1809" s="87" t="str">
        <f>VLOOKUP(Tabela1[[#This Row],[Origem]], 'Perguntas 1 a 24'!$J$28:$K$34, 2, 0)</f>
        <v>Sudeste</v>
      </c>
      <c r="E1809" s="87" t="str">
        <f>Tabela1[[#This Row],[Descrição]]&amp;"-"&amp;Tabela1[[#This Row],[Código]]&amp;"/"&amp;Tabela1[[#This Row],[Origem]]</f>
        <v>Fivadote-H546H924/SP</v>
      </c>
      <c r="F1809" s="88">
        <v>46537</v>
      </c>
      <c r="G1809" s="88" t="str" cm="1">
        <f t="array" ref="G18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AND(F1809&gt;= DATE(2026,1,1), F1809&lt;= DATE(2028, 12, 31), J1809&gt;50000), "Pendente e Caro", AND(F1809&gt;= DATE(2026,1,1), F1809&lt;= DATE(2028, 12, 31), J1809&lt;=50000), "Pendente", F1809&gt;= DATE(2029,1,1), "Não prioeitário")</f>
        <v>Pendente</v>
      </c>
      <c r="H1809" s="89">
        <f>YEAR(Tabela1[[#This Row],[Data de Validade]])</f>
        <v>2027</v>
      </c>
      <c r="I1809" s="89">
        <f>MONTH(Tabela1[[#This Row],[Data de Validade]])</f>
        <v>5</v>
      </c>
      <c r="J1809" s="101">
        <v>45235</v>
      </c>
      <c r="K1809" s="87" t="s">
        <v>7</v>
      </c>
      <c r="L1809" s="108"/>
      <c r="M1809" s="108"/>
      <c r="N1809" s="108" t="str">
        <v>H546H924</v>
      </c>
      <c r="O1809" s="108">
        <f t="shared" si="30"/>
        <v>1</v>
      </c>
      <c r="P1809" s="108"/>
      <c r="Q1809"/>
    </row>
    <row r="1810" spans="1:17" x14ac:dyDescent="0.25">
      <c r="A1810" s="89" t="s">
        <v>7180</v>
      </c>
      <c r="B1810" s="87" t="s">
        <v>7181</v>
      </c>
      <c r="C1810" s="87" t="s">
        <v>15</v>
      </c>
      <c r="D1810" s="87" t="str">
        <f>VLOOKUP(Tabela1[[#This Row],[Origem]], 'Perguntas 1 a 24'!$J$28:$K$34, 2, 0)</f>
        <v>Sudeste</v>
      </c>
      <c r="E1810" s="87" t="str">
        <f>Tabela1[[#This Row],[Descrição]]&amp;"-"&amp;Tabela1[[#This Row],[Código]]&amp;"/"&amp;Tabela1[[#This Row],[Origem]]</f>
        <v>Cidarutaco-H115P855/ES</v>
      </c>
      <c r="F1810" s="88">
        <v>46537</v>
      </c>
      <c r="G1810" s="88" t="str" cm="1">
        <f t="array" ref="G18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AND(F1810&gt;= DATE(2026,1,1), F1810&lt;= DATE(2028, 12, 31), J1810&gt;50000), "Pendente e Caro", AND(F1810&gt;= DATE(2026,1,1), F1810&lt;= DATE(2028, 12, 31), J1810&lt;=50000), "Pendente", F1810&gt;= DATE(2029,1,1), "Não prioeitário")</f>
        <v>Pendente</v>
      </c>
      <c r="H1810" s="89">
        <f>YEAR(Tabela1[[#This Row],[Data de Validade]])</f>
        <v>2027</v>
      </c>
      <c r="I1810" s="89">
        <f>MONTH(Tabela1[[#This Row],[Data de Validade]])</f>
        <v>5</v>
      </c>
      <c r="J1810" s="101">
        <v>43928</v>
      </c>
      <c r="K1810" s="87" t="s">
        <v>7</v>
      </c>
      <c r="L1810" s="108"/>
      <c r="M1810" s="108"/>
      <c r="N1810" s="108" t="str">
        <v>H115P855</v>
      </c>
      <c r="O1810" s="108">
        <f t="shared" si="30"/>
        <v>1</v>
      </c>
      <c r="P1810" s="108"/>
      <c r="Q1810"/>
    </row>
    <row r="1811" spans="1:17" x14ac:dyDescent="0.25">
      <c r="A1811" s="89" t="s">
        <v>6018</v>
      </c>
      <c r="B1811" s="87" t="s">
        <v>6019</v>
      </c>
      <c r="C1811" s="87" t="s">
        <v>10</v>
      </c>
      <c r="D1811" s="87" t="str">
        <f>VLOOKUP(Tabela1[[#This Row],[Origem]], 'Perguntas 1 a 24'!$J$28:$K$34, 2, 0)</f>
        <v>Centro-Oeste</v>
      </c>
      <c r="E1811" s="87" t="str">
        <f>Tabela1[[#This Row],[Descrição]]&amp;"-"&amp;Tabela1[[#This Row],[Código]]&amp;"/"&amp;Tabela1[[#This Row],[Origem]]</f>
        <v>Gotulipa-H695P825/GO</v>
      </c>
      <c r="F1811" s="88">
        <v>46537</v>
      </c>
      <c r="G1811" s="88" t="str" cm="1">
        <f t="array" ref="G18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AND(F1811&gt;= DATE(2026,1,1), F1811&lt;= DATE(2028, 12, 31), J1811&gt;50000), "Pendente e Caro", AND(F1811&gt;= DATE(2026,1,1), F1811&lt;= DATE(2028, 12, 31), J1811&lt;=50000), "Pendente", F1811&gt;= DATE(2029,1,1), "Não prioeitário")</f>
        <v>Pendente</v>
      </c>
      <c r="H1811" s="89">
        <f>YEAR(Tabela1[[#This Row],[Data de Validade]])</f>
        <v>2027</v>
      </c>
      <c r="I1811" s="89">
        <f>MONTH(Tabela1[[#This Row],[Data de Validade]])</f>
        <v>5</v>
      </c>
      <c r="J1811" s="101">
        <v>24736</v>
      </c>
      <c r="K1811" s="87" t="s">
        <v>14</v>
      </c>
      <c r="L1811" s="108"/>
      <c r="M1811" s="108"/>
      <c r="N1811" s="108" t="str">
        <v>H695P825</v>
      </c>
      <c r="O1811" s="108">
        <f t="shared" si="30"/>
        <v>1</v>
      </c>
      <c r="P1811" s="108"/>
      <c r="Q1811"/>
    </row>
    <row r="1812" spans="1:17" x14ac:dyDescent="0.25">
      <c r="A1812" s="89" t="s">
        <v>5938</v>
      </c>
      <c r="B1812" s="87" t="s">
        <v>5939</v>
      </c>
      <c r="C1812" s="87" t="s">
        <v>10</v>
      </c>
      <c r="D1812" s="87" t="str">
        <f>VLOOKUP(Tabela1[[#This Row],[Origem]], 'Perguntas 1 a 24'!$J$28:$K$34, 2, 0)</f>
        <v>Centro-Oeste</v>
      </c>
      <c r="E1812" s="87" t="str">
        <f>Tabela1[[#This Row],[Descrição]]&amp;"-"&amp;Tabela1[[#This Row],[Código]]&amp;"/"&amp;Tabela1[[#This Row],[Origem]]</f>
        <v>Nanumadumo-P197H677/GO</v>
      </c>
      <c r="F1812" s="88">
        <v>46539</v>
      </c>
      <c r="G1812" s="88" t="str" cm="1">
        <f t="array" ref="G18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AND(F1812&gt;= DATE(2026,1,1), F1812&lt;= DATE(2028, 12, 31), J1812&gt;50000), "Pendente e Caro", AND(F1812&gt;= DATE(2026,1,1), F1812&lt;= DATE(2028, 12, 31), J1812&lt;=50000), "Pendente", F1812&gt;= DATE(2029,1,1), "Não prioeitário")</f>
        <v>Pendente e Caro</v>
      </c>
      <c r="H1812" s="89">
        <f>YEAR(Tabela1[[#This Row],[Data de Validade]])</f>
        <v>2027</v>
      </c>
      <c r="I1812" s="89">
        <f>MONTH(Tabela1[[#This Row],[Data de Validade]])</f>
        <v>6</v>
      </c>
      <c r="J1812" s="101">
        <v>91268</v>
      </c>
      <c r="K1812" s="87" t="s">
        <v>11</v>
      </c>
      <c r="L1812" s="108"/>
      <c r="M1812" s="108"/>
      <c r="N1812" s="108" t="str">
        <v>P197H677</v>
      </c>
      <c r="O1812" s="108">
        <f t="shared" si="30"/>
        <v>1</v>
      </c>
      <c r="P1812" s="108"/>
      <c r="Q1812"/>
    </row>
    <row r="1813" spans="1:17" x14ac:dyDescent="0.25">
      <c r="A1813" s="89" t="s">
        <v>6198</v>
      </c>
      <c r="B1813" s="87" t="s">
        <v>6199</v>
      </c>
      <c r="C1813" s="87" t="s">
        <v>6</v>
      </c>
      <c r="D1813" s="87" t="str">
        <f>VLOOKUP(Tabela1[[#This Row],[Origem]], 'Perguntas 1 a 24'!$J$28:$K$34, 2, 0)</f>
        <v>Nordeste</v>
      </c>
      <c r="E1813" s="87" t="str">
        <f>Tabela1[[#This Row],[Descrição]]&amp;"-"&amp;Tabela1[[#This Row],[Código]]&amp;"/"&amp;Tabela1[[#This Row],[Origem]]</f>
        <v>Cutite-P274P255/MA</v>
      </c>
      <c r="F1813" s="88">
        <v>46540</v>
      </c>
      <c r="G1813" s="88" t="str" cm="1">
        <f t="array" ref="G18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AND(F1813&gt;= DATE(2026,1,1), F1813&lt;= DATE(2028, 12, 31), J1813&gt;50000), "Pendente e Caro", AND(F1813&gt;= DATE(2026,1,1), F1813&lt;= DATE(2028, 12, 31), J1813&lt;=50000), "Pendente", F1813&gt;= DATE(2029,1,1), "Não prioeitário")</f>
        <v>Pendente e Caro</v>
      </c>
      <c r="H1813" s="89">
        <f>YEAR(Tabela1[[#This Row],[Data de Validade]])</f>
        <v>2027</v>
      </c>
      <c r="I1813" s="89">
        <f>MONTH(Tabela1[[#This Row],[Data de Validade]])</f>
        <v>6</v>
      </c>
      <c r="J1813" s="101">
        <v>110335</v>
      </c>
      <c r="K1813" s="87" t="s">
        <v>14</v>
      </c>
      <c r="L1813" s="108"/>
      <c r="M1813" s="108"/>
      <c r="N1813" s="108" t="str">
        <v>P274P255</v>
      </c>
      <c r="O1813" s="108">
        <f t="shared" si="30"/>
        <v>1</v>
      </c>
      <c r="P1813" s="108"/>
      <c r="Q1813"/>
    </row>
    <row r="1814" spans="1:17" x14ac:dyDescent="0.25">
      <c r="A1814" s="89" t="s">
        <v>8689</v>
      </c>
      <c r="B1814" s="87" t="s">
        <v>8690</v>
      </c>
      <c r="C1814" s="87" t="s">
        <v>15</v>
      </c>
      <c r="D1814" s="87" t="str">
        <f>VLOOKUP(Tabela1[[#This Row],[Origem]], 'Perguntas 1 a 24'!$J$28:$K$34, 2, 0)</f>
        <v>Sudeste</v>
      </c>
      <c r="E1814" s="87" t="str">
        <f>Tabela1[[#This Row],[Descrição]]&amp;"-"&amp;Tabela1[[#This Row],[Código]]&amp;"/"&amp;Tabela1[[#This Row],[Origem]]</f>
        <v>Dotutugo-P191P755/ES</v>
      </c>
      <c r="F1814" s="88">
        <v>46540</v>
      </c>
      <c r="G1814" s="88" t="str" cm="1">
        <f t="array" ref="G18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AND(F1814&gt;= DATE(2026,1,1), F1814&lt;= DATE(2028, 12, 31), J1814&gt;50000), "Pendente e Caro", AND(F1814&gt;= DATE(2026,1,1), F1814&lt;= DATE(2028, 12, 31), J1814&lt;=50000), "Pendente", F1814&gt;= DATE(2029,1,1), "Não prioeitário")</f>
        <v>Pendente e Caro</v>
      </c>
      <c r="H1814" s="89">
        <f>YEAR(Tabela1[[#This Row],[Data de Validade]])</f>
        <v>2027</v>
      </c>
      <c r="I1814" s="89">
        <f>MONTH(Tabela1[[#This Row],[Data de Validade]])</f>
        <v>6</v>
      </c>
      <c r="J1814" s="101">
        <v>96966</v>
      </c>
      <c r="K1814" s="87" t="s">
        <v>11</v>
      </c>
      <c r="L1814" s="108"/>
      <c r="M1814" s="108"/>
      <c r="N1814" s="108" t="str">
        <v>P191P755</v>
      </c>
      <c r="O1814" s="108">
        <f t="shared" si="30"/>
        <v>1</v>
      </c>
      <c r="P1814" s="108"/>
      <c r="Q1814"/>
    </row>
    <row r="1815" spans="1:17" x14ac:dyDescent="0.25">
      <c r="A1815" s="89" t="s">
        <v>10247</v>
      </c>
      <c r="B1815" s="87" t="s">
        <v>10248</v>
      </c>
      <c r="C1815" s="87" t="s">
        <v>16</v>
      </c>
      <c r="D1815" s="87" t="str">
        <f>VLOOKUP(Tabela1[[#This Row],[Origem]], 'Perguntas 1 a 24'!$J$28:$K$34, 2, 0)</f>
        <v>Sudeste</v>
      </c>
      <c r="E1815" s="87" t="str">
        <f>Tabela1[[#This Row],[Descrição]]&amp;"-"&amp;Tabela1[[#This Row],[Código]]&amp;"/"&amp;Tabela1[[#This Row],[Origem]]</f>
        <v>Tapopovonu-H785P683/MG</v>
      </c>
      <c r="F1815" s="88">
        <v>46540</v>
      </c>
      <c r="G1815" s="88" t="str" cm="1">
        <f t="array" ref="G18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AND(F1815&gt;= DATE(2026,1,1), F1815&lt;= DATE(2028, 12, 31), J1815&gt;50000), "Pendente e Caro", AND(F1815&gt;= DATE(2026,1,1), F1815&lt;= DATE(2028, 12, 31), J1815&lt;=50000), "Pendente", F1815&gt;= DATE(2029,1,1), "Não prioeitário")</f>
        <v>Pendente e Caro</v>
      </c>
      <c r="H1815" s="89">
        <f>YEAR(Tabela1[[#This Row],[Data de Validade]])</f>
        <v>2027</v>
      </c>
      <c r="I1815" s="89">
        <f>MONTH(Tabela1[[#This Row],[Data de Validade]])</f>
        <v>6</v>
      </c>
      <c r="J1815" s="101">
        <v>66268</v>
      </c>
      <c r="K1815" s="87" t="s">
        <v>9</v>
      </c>
      <c r="L1815" s="108"/>
      <c r="M1815" s="108"/>
      <c r="N1815" s="108" t="str">
        <v>H785P683</v>
      </c>
      <c r="O1815" s="108">
        <f t="shared" si="30"/>
        <v>1</v>
      </c>
      <c r="P1815" s="108"/>
      <c r="Q1815"/>
    </row>
    <row r="1816" spans="1:17" x14ac:dyDescent="0.25">
      <c r="A1816" s="89" t="s">
        <v>8050</v>
      </c>
      <c r="B1816" s="87" t="s">
        <v>8051</v>
      </c>
      <c r="C1816" s="87" t="s">
        <v>13</v>
      </c>
      <c r="D1816" s="87" t="str">
        <f>VLOOKUP(Tabela1[[#This Row],[Origem]], 'Perguntas 1 a 24'!$J$28:$K$34, 2, 0)</f>
        <v>Sudeste</v>
      </c>
      <c r="E1816" s="87" t="str">
        <f>Tabela1[[#This Row],[Descrição]]&amp;"-"&amp;Tabela1[[#This Row],[Código]]&amp;"/"&amp;Tabela1[[#This Row],[Origem]]</f>
        <v>Lerumelule-P693H457/SP</v>
      </c>
      <c r="F1816" s="88">
        <v>46541</v>
      </c>
      <c r="G1816" s="88" t="str" cm="1">
        <f t="array" ref="G18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AND(F1816&gt;= DATE(2026,1,1), F1816&lt;= DATE(2028, 12, 31), J1816&gt;50000), "Pendente e Caro", AND(F1816&gt;= DATE(2026,1,1), F1816&lt;= DATE(2028, 12, 31), J1816&lt;=50000), "Pendente", F1816&gt;= DATE(2029,1,1), "Não prioeitário")</f>
        <v>Pendente e Caro</v>
      </c>
      <c r="H1816" s="89">
        <f>YEAR(Tabela1[[#This Row],[Data de Validade]])</f>
        <v>2027</v>
      </c>
      <c r="I1816" s="89">
        <f>MONTH(Tabela1[[#This Row],[Data de Validade]])</f>
        <v>6</v>
      </c>
      <c r="J1816" s="101">
        <v>86053</v>
      </c>
      <c r="K1816" s="87" t="s">
        <v>7</v>
      </c>
      <c r="L1816" s="108"/>
      <c r="M1816" s="108"/>
      <c r="N1816" s="108" t="str">
        <v>P693H457</v>
      </c>
      <c r="O1816" s="108">
        <f t="shared" si="30"/>
        <v>1</v>
      </c>
      <c r="P1816" s="108"/>
      <c r="Q1816"/>
    </row>
    <row r="1817" spans="1:17" x14ac:dyDescent="0.25">
      <c r="A1817" s="89" t="s">
        <v>10627</v>
      </c>
      <c r="B1817" s="87" t="s">
        <v>10628</v>
      </c>
      <c r="C1817" s="87" t="s">
        <v>8</v>
      </c>
      <c r="D1817" s="87" t="str">
        <f>VLOOKUP(Tabela1[[#This Row],[Origem]], 'Perguntas 1 a 24'!$J$28:$K$34, 2, 0)</f>
        <v>Nordeste</v>
      </c>
      <c r="E1817" s="87" t="str">
        <f>Tabela1[[#This Row],[Descrição]]&amp;"-"&amp;Tabela1[[#This Row],[Código]]&amp;"/"&amp;Tabela1[[#This Row],[Origem]]</f>
        <v>Pugelumapu-H293P564/AL</v>
      </c>
      <c r="F1817" s="88">
        <v>46541</v>
      </c>
      <c r="G1817" s="88" t="str" cm="1">
        <f t="array" ref="G18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AND(F1817&gt;= DATE(2026,1,1), F1817&lt;= DATE(2028, 12, 31), J1817&gt;50000), "Pendente e Caro", AND(F1817&gt;= DATE(2026,1,1), F1817&lt;= DATE(2028, 12, 31), J1817&lt;=50000), "Pendente", F1817&gt;= DATE(2029,1,1), "Não prioeitário")</f>
        <v>Pendente e Caro</v>
      </c>
      <c r="H1817" s="89">
        <f>YEAR(Tabela1[[#This Row],[Data de Validade]])</f>
        <v>2027</v>
      </c>
      <c r="I1817" s="89">
        <f>MONTH(Tabela1[[#This Row],[Data de Validade]])</f>
        <v>6</v>
      </c>
      <c r="J1817" s="101">
        <v>52086</v>
      </c>
      <c r="K1817" s="87" t="s">
        <v>7</v>
      </c>
      <c r="L1817" s="108"/>
      <c r="M1817" s="108"/>
      <c r="N1817" s="108" t="str">
        <v>H293P564</v>
      </c>
      <c r="O1817" s="108">
        <f t="shared" si="30"/>
        <v>1</v>
      </c>
      <c r="P1817" s="108"/>
      <c r="Q1817"/>
    </row>
    <row r="1818" spans="1:17" x14ac:dyDescent="0.25">
      <c r="A1818" s="89" t="s">
        <v>7596</v>
      </c>
      <c r="B1818" s="87" t="s">
        <v>7597</v>
      </c>
      <c r="C1818" s="87" t="s">
        <v>12</v>
      </c>
      <c r="D1818" s="87" t="str">
        <f>VLOOKUP(Tabela1[[#This Row],[Origem]], 'Perguntas 1 a 24'!$J$28:$K$34, 2, 0)</f>
        <v>Sudeste</v>
      </c>
      <c r="E1818" s="87" t="str">
        <f>Tabela1[[#This Row],[Descrição]]&amp;"-"&amp;Tabela1[[#This Row],[Código]]&amp;"/"&amp;Tabela1[[#This Row],[Origem]]</f>
        <v>Puripiladu-P878P681/RJ</v>
      </c>
      <c r="F1818" s="88">
        <v>46544</v>
      </c>
      <c r="G1818" s="88" t="str" cm="1">
        <f t="array" ref="G18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AND(F1818&gt;= DATE(2026,1,1), F1818&lt;= DATE(2028, 12, 31), J1818&gt;50000), "Pendente e Caro", AND(F1818&gt;= DATE(2026,1,1), F1818&lt;= DATE(2028, 12, 31), J1818&lt;=50000), "Pendente", F1818&gt;= DATE(2029,1,1), "Não prioeitário")</f>
        <v>Pendente e Caro</v>
      </c>
      <c r="H1818" s="89">
        <f>YEAR(Tabela1[[#This Row],[Data de Validade]])</f>
        <v>2027</v>
      </c>
      <c r="I1818" s="89">
        <f>MONTH(Tabela1[[#This Row],[Data de Validade]])</f>
        <v>6</v>
      </c>
      <c r="J1818" s="101">
        <v>77349</v>
      </c>
      <c r="K1818" s="87" t="s">
        <v>9</v>
      </c>
      <c r="L1818" s="108"/>
      <c r="M1818" s="108"/>
      <c r="N1818" s="108" t="str">
        <v>P878P681</v>
      </c>
      <c r="O1818" s="108">
        <f t="shared" si="30"/>
        <v>1</v>
      </c>
      <c r="P1818" s="108"/>
      <c r="Q1818"/>
    </row>
    <row r="1819" spans="1:17" x14ac:dyDescent="0.25">
      <c r="A1819" s="89" t="s">
        <v>7356</v>
      </c>
      <c r="B1819" s="87" t="s">
        <v>7357</v>
      </c>
      <c r="C1819" s="87" t="s">
        <v>16</v>
      </c>
      <c r="D1819" s="87" t="str">
        <f>VLOOKUP(Tabela1[[#This Row],[Origem]], 'Perguntas 1 a 24'!$J$28:$K$34, 2, 0)</f>
        <v>Sudeste</v>
      </c>
      <c r="E1819" s="87" t="str">
        <f>Tabela1[[#This Row],[Descrição]]&amp;"-"&amp;Tabela1[[#This Row],[Código]]&amp;"/"&amp;Tabela1[[#This Row],[Origem]]</f>
        <v>Mopatu-P899H681/MG</v>
      </c>
      <c r="F1819" s="88">
        <v>46547</v>
      </c>
      <c r="G1819" s="88" t="str" cm="1">
        <f t="array" ref="G18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AND(F1819&gt;= DATE(2026,1,1), F1819&lt;= DATE(2028, 12, 31), J1819&gt;50000), "Pendente e Caro", AND(F1819&gt;= DATE(2026,1,1), F1819&lt;= DATE(2028, 12, 31), J1819&lt;=50000), "Pendente", F1819&gt;= DATE(2029,1,1), "Não prioeitário")</f>
        <v>Pendente e Caro</v>
      </c>
      <c r="H1819" s="89">
        <f>YEAR(Tabela1[[#This Row],[Data de Validade]])</f>
        <v>2027</v>
      </c>
      <c r="I1819" s="89">
        <f>MONTH(Tabela1[[#This Row],[Data de Validade]])</f>
        <v>6</v>
      </c>
      <c r="J1819" s="101">
        <v>85695</v>
      </c>
      <c r="K1819" s="87" t="s">
        <v>9</v>
      </c>
      <c r="L1819" s="108"/>
      <c r="M1819" s="108"/>
      <c r="N1819" s="108" t="str">
        <v>P899H681</v>
      </c>
      <c r="O1819" s="108">
        <f t="shared" si="30"/>
        <v>1</v>
      </c>
      <c r="P1819" s="108"/>
      <c r="Q1819"/>
    </row>
    <row r="1820" spans="1:17" x14ac:dyDescent="0.25">
      <c r="A1820" s="89" t="s">
        <v>7566</v>
      </c>
      <c r="B1820" s="87" t="s">
        <v>7567</v>
      </c>
      <c r="C1820" s="87" t="s">
        <v>8</v>
      </c>
      <c r="D1820" s="87" t="str">
        <f>VLOOKUP(Tabela1[[#This Row],[Origem]], 'Perguntas 1 a 24'!$J$28:$K$34, 2, 0)</f>
        <v>Nordeste</v>
      </c>
      <c r="E1820" s="87" t="str">
        <f>Tabela1[[#This Row],[Descrição]]&amp;"-"&amp;Tabela1[[#This Row],[Código]]&amp;"/"&amp;Tabela1[[#This Row],[Origem]]</f>
        <v>Detotera-P259P945/AL</v>
      </c>
      <c r="F1820" s="88">
        <v>46547</v>
      </c>
      <c r="G1820" s="88" t="str" cm="1">
        <f t="array" ref="G18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AND(F1820&gt;= DATE(2026,1,1), F1820&lt;= DATE(2028, 12, 31), J1820&gt;50000), "Pendente e Caro", AND(F1820&gt;= DATE(2026,1,1), F1820&lt;= DATE(2028, 12, 31), J1820&lt;=50000), "Pendente", F1820&gt;= DATE(2029,1,1), "Não prioeitário")</f>
        <v>Pendente e Caro</v>
      </c>
      <c r="H1820" s="89">
        <f>YEAR(Tabela1[[#This Row],[Data de Validade]])</f>
        <v>2027</v>
      </c>
      <c r="I1820" s="89">
        <f>MONTH(Tabela1[[#This Row],[Data de Validade]])</f>
        <v>6</v>
      </c>
      <c r="J1820" s="101">
        <v>74458</v>
      </c>
      <c r="K1820" s="87" t="s">
        <v>7</v>
      </c>
      <c r="L1820" s="108"/>
      <c r="M1820" s="108"/>
      <c r="N1820" s="108" t="str">
        <v>P259P945</v>
      </c>
      <c r="O1820" s="108">
        <f t="shared" si="30"/>
        <v>1</v>
      </c>
      <c r="P1820" s="108"/>
      <c r="Q1820"/>
    </row>
    <row r="1821" spans="1:17" x14ac:dyDescent="0.25">
      <c r="A1821" s="89" t="s">
        <v>4772</v>
      </c>
      <c r="B1821" s="87" t="s">
        <v>4773</v>
      </c>
      <c r="C1821" s="87" t="s">
        <v>10</v>
      </c>
      <c r="D1821" s="87" t="str">
        <f>VLOOKUP(Tabela1[[#This Row],[Origem]], 'Perguntas 1 a 24'!$J$28:$K$34, 2, 0)</f>
        <v>Centro-Oeste</v>
      </c>
      <c r="E1821" s="87" t="str">
        <f>Tabela1[[#This Row],[Descrição]]&amp;"-"&amp;Tabela1[[#This Row],[Código]]&amp;"/"&amp;Tabela1[[#This Row],[Origem]]</f>
        <v>Matepuco-H239H915/GO</v>
      </c>
      <c r="F1821" s="88">
        <v>46547</v>
      </c>
      <c r="G1821" s="88" t="str" cm="1">
        <f t="array" ref="G18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AND(F1821&gt;= DATE(2026,1,1), F1821&lt;= DATE(2028, 12, 31), J1821&gt;50000), "Pendente e Caro", AND(F1821&gt;= DATE(2026,1,1), F1821&lt;= DATE(2028, 12, 31), J1821&lt;=50000), "Pendente", F1821&gt;= DATE(2029,1,1), "Não prioeitário")</f>
        <v>Pendente e Caro</v>
      </c>
      <c r="H1821" s="89">
        <f>YEAR(Tabela1[[#This Row],[Data de Validade]])</f>
        <v>2027</v>
      </c>
      <c r="I1821" s="89">
        <f>MONTH(Tabela1[[#This Row],[Data de Validade]])</f>
        <v>6</v>
      </c>
      <c r="J1821" s="101">
        <v>54989</v>
      </c>
      <c r="K1821" s="87" t="s">
        <v>9</v>
      </c>
      <c r="L1821" s="108"/>
      <c r="M1821" s="108"/>
      <c r="N1821" s="108" t="str">
        <v>H239H915</v>
      </c>
      <c r="O1821" s="108">
        <f t="shared" si="30"/>
        <v>1</v>
      </c>
      <c r="P1821" s="108"/>
      <c r="Q1821"/>
    </row>
    <row r="1822" spans="1:17" x14ac:dyDescent="0.25">
      <c r="A1822" s="89" t="s">
        <v>7026</v>
      </c>
      <c r="B1822" s="87" t="s">
        <v>7027</v>
      </c>
      <c r="C1822" s="87" t="s">
        <v>15</v>
      </c>
      <c r="D1822" s="87" t="str">
        <f>VLOOKUP(Tabela1[[#This Row],[Origem]], 'Perguntas 1 a 24'!$J$28:$K$34, 2, 0)</f>
        <v>Sudeste</v>
      </c>
      <c r="E1822" s="87" t="str">
        <f>Tabela1[[#This Row],[Descrição]]&amp;"-"&amp;Tabela1[[#This Row],[Código]]&amp;"/"&amp;Tabela1[[#This Row],[Origem]]</f>
        <v>Rutigipala-H359H783/ES</v>
      </c>
      <c r="F1822" s="88">
        <v>46548</v>
      </c>
      <c r="G1822" s="88" t="str" cm="1">
        <f t="array" ref="G18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AND(F1822&gt;= DATE(2026,1,1), F1822&lt;= DATE(2028, 12, 31), J1822&gt;50000), "Pendente e Caro", AND(F1822&gt;= DATE(2026,1,1), F1822&lt;= DATE(2028, 12, 31), J1822&lt;=50000), "Pendente", F1822&gt;= DATE(2029,1,1), "Não prioeitário")</f>
        <v>Pendente e Caro</v>
      </c>
      <c r="H1822" s="89">
        <f>YEAR(Tabela1[[#This Row],[Data de Validade]])</f>
        <v>2027</v>
      </c>
      <c r="I1822" s="89">
        <f>MONTH(Tabela1[[#This Row],[Data de Validade]])</f>
        <v>6</v>
      </c>
      <c r="J1822" s="101">
        <v>113477</v>
      </c>
      <c r="K1822" s="87" t="s">
        <v>9</v>
      </c>
      <c r="L1822" s="108"/>
      <c r="M1822" s="108"/>
      <c r="N1822" s="108" t="str">
        <v>H359H783</v>
      </c>
      <c r="O1822" s="108">
        <f t="shared" si="30"/>
        <v>1</v>
      </c>
      <c r="P1822" s="108"/>
      <c r="Q1822"/>
    </row>
    <row r="1823" spans="1:17" x14ac:dyDescent="0.25">
      <c r="A1823" s="89" t="s">
        <v>11088</v>
      </c>
      <c r="B1823" s="87" t="s">
        <v>11089</v>
      </c>
      <c r="C1823" s="87" t="s">
        <v>10</v>
      </c>
      <c r="D1823" s="87" t="str">
        <f>VLOOKUP(Tabela1[[#This Row],[Origem]], 'Perguntas 1 a 24'!$J$28:$K$34, 2, 0)</f>
        <v>Centro-Oeste</v>
      </c>
      <c r="E1823" s="87" t="str">
        <f>Tabela1[[#This Row],[Descrição]]&amp;"-"&amp;Tabela1[[#This Row],[Código]]&amp;"/"&amp;Tabela1[[#This Row],[Origem]]</f>
        <v>Ficopi-P983P623/GO</v>
      </c>
      <c r="F1823" s="88">
        <v>46548</v>
      </c>
      <c r="G1823" s="88" t="str" cm="1">
        <f t="array" ref="G18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AND(F1823&gt;= DATE(2026,1,1), F1823&lt;= DATE(2028, 12, 31), J1823&gt;50000), "Pendente e Caro", AND(F1823&gt;= DATE(2026,1,1), F1823&lt;= DATE(2028, 12, 31), J1823&lt;=50000), "Pendente", F1823&gt;= DATE(2029,1,1), "Não prioeitário")</f>
        <v>Pendente</v>
      </c>
      <c r="H1823" s="89">
        <f>YEAR(Tabela1[[#This Row],[Data de Validade]])</f>
        <v>2027</v>
      </c>
      <c r="I1823" s="89">
        <f>MONTH(Tabela1[[#This Row],[Data de Validade]])</f>
        <v>6</v>
      </c>
      <c r="J1823" s="101">
        <v>38404</v>
      </c>
      <c r="K1823" s="87" t="s">
        <v>14</v>
      </c>
      <c r="L1823" s="108"/>
      <c r="M1823" s="108"/>
      <c r="N1823" s="108" t="str">
        <v>P983P623</v>
      </c>
      <c r="O1823" s="108">
        <f t="shared" si="30"/>
        <v>1</v>
      </c>
      <c r="P1823" s="108"/>
      <c r="Q1823"/>
    </row>
    <row r="1824" spans="1:17" x14ac:dyDescent="0.25">
      <c r="A1824" s="89" t="s">
        <v>7246</v>
      </c>
      <c r="B1824" s="87" t="s">
        <v>7247</v>
      </c>
      <c r="C1824" s="87" t="s">
        <v>6</v>
      </c>
      <c r="D1824" s="87" t="str">
        <f>VLOOKUP(Tabela1[[#This Row],[Origem]], 'Perguntas 1 a 24'!$J$28:$K$34, 2, 0)</f>
        <v>Nordeste</v>
      </c>
      <c r="E1824" s="87" t="str">
        <f>Tabela1[[#This Row],[Descrição]]&amp;"-"&amp;Tabela1[[#This Row],[Código]]&amp;"/"&amp;Tabela1[[#This Row],[Origem]]</f>
        <v>Gemofiviru-P869P186/MA</v>
      </c>
      <c r="F1824" s="88">
        <v>46548</v>
      </c>
      <c r="G1824" s="88" t="str" cm="1">
        <f t="array" ref="G18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AND(F1824&gt;= DATE(2026,1,1), F1824&lt;= DATE(2028, 12, 31), J1824&gt;50000), "Pendente e Caro", AND(F1824&gt;= DATE(2026,1,1), F1824&lt;= DATE(2028, 12, 31), J1824&lt;=50000), "Pendente", F1824&gt;= DATE(2029,1,1), "Não prioeitário")</f>
        <v>Pendente</v>
      </c>
      <c r="H1824" s="89">
        <f>YEAR(Tabela1[[#This Row],[Data de Validade]])</f>
        <v>2027</v>
      </c>
      <c r="I1824" s="89">
        <f>MONTH(Tabela1[[#This Row],[Data de Validade]])</f>
        <v>6</v>
      </c>
      <c r="J1824" s="101">
        <v>31194</v>
      </c>
      <c r="K1824" s="87" t="s">
        <v>9</v>
      </c>
      <c r="L1824" s="108"/>
      <c r="M1824" s="108"/>
      <c r="N1824" s="108" t="str">
        <v>P869P186</v>
      </c>
      <c r="O1824" s="108">
        <f t="shared" si="30"/>
        <v>1</v>
      </c>
      <c r="P1824" s="108"/>
      <c r="Q1824"/>
    </row>
    <row r="1825" spans="1:17" x14ac:dyDescent="0.25">
      <c r="A1825" s="89" t="s">
        <v>6596</v>
      </c>
      <c r="B1825" s="87" t="s">
        <v>6597</v>
      </c>
      <c r="C1825" s="87" t="s">
        <v>16</v>
      </c>
      <c r="D1825" s="87" t="str">
        <f>VLOOKUP(Tabela1[[#This Row],[Origem]], 'Perguntas 1 a 24'!$J$28:$K$34, 2, 0)</f>
        <v>Sudeste</v>
      </c>
      <c r="E1825" s="87" t="str">
        <f>Tabela1[[#This Row],[Descrição]]&amp;"-"&amp;Tabela1[[#This Row],[Código]]&amp;"/"&amp;Tabela1[[#This Row],[Origem]]</f>
        <v>Ludipodedu-P116H876/MG</v>
      </c>
      <c r="F1825" s="88">
        <v>46549</v>
      </c>
      <c r="G1825" s="88" t="str" cm="1">
        <f t="array" ref="G18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AND(F1825&gt;= DATE(2026,1,1), F1825&lt;= DATE(2028, 12, 31), J1825&gt;50000), "Pendente e Caro", AND(F1825&gt;= DATE(2026,1,1), F1825&lt;= DATE(2028, 12, 31), J1825&lt;=50000), "Pendente", F1825&gt;= DATE(2029,1,1), "Não prioeitário")</f>
        <v>Pendente e Caro</v>
      </c>
      <c r="H1825" s="89">
        <f>YEAR(Tabela1[[#This Row],[Data de Validade]])</f>
        <v>2027</v>
      </c>
      <c r="I1825" s="89">
        <f>MONTH(Tabela1[[#This Row],[Data de Validade]])</f>
        <v>6</v>
      </c>
      <c r="J1825" s="101">
        <v>88123</v>
      </c>
      <c r="K1825" s="87" t="s">
        <v>9</v>
      </c>
      <c r="L1825" s="108"/>
      <c r="M1825" s="108"/>
      <c r="N1825" s="108" t="str">
        <v>P116H876</v>
      </c>
      <c r="O1825" s="108">
        <f t="shared" si="30"/>
        <v>1</v>
      </c>
      <c r="P1825" s="108"/>
      <c r="Q1825"/>
    </row>
    <row r="1826" spans="1:17" x14ac:dyDescent="0.25">
      <c r="A1826" s="89" t="s">
        <v>6066</v>
      </c>
      <c r="B1826" s="87" t="s">
        <v>6067</v>
      </c>
      <c r="C1826" s="87" t="s">
        <v>10</v>
      </c>
      <c r="D1826" s="87" t="str">
        <f>VLOOKUP(Tabela1[[#This Row],[Origem]], 'Perguntas 1 a 24'!$J$28:$K$34, 2, 0)</f>
        <v>Centro-Oeste</v>
      </c>
      <c r="E1826" s="87" t="str">
        <f>Tabela1[[#This Row],[Descrição]]&amp;"-"&amp;Tabela1[[#This Row],[Código]]&amp;"/"&amp;Tabela1[[#This Row],[Origem]]</f>
        <v>Tudoropo-H448H437/GO</v>
      </c>
      <c r="F1826" s="88">
        <v>46549</v>
      </c>
      <c r="G1826" s="88" t="str" cm="1">
        <f t="array" ref="G18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AND(F1826&gt;= DATE(2026,1,1), F1826&lt;= DATE(2028, 12, 31), J1826&gt;50000), "Pendente e Caro", AND(F1826&gt;= DATE(2026,1,1), F1826&lt;= DATE(2028, 12, 31), J1826&lt;=50000), "Pendente", F1826&gt;= DATE(2029,1,1), "Não prioeitário")</f>
        <v>Pendente e Caro</v>
      </c>
      <c r="H1826" s="89">
        <f>YEAR(Tabela1[[#This Row],[Data de Validade]])</f>
        <v>2027</v>
      </c>
      <c r="I1826" s="89">
        <f>MONTH(Tabela1[[#This Row],[Data de Validade]])</f>
        <v>6</v>
      </c>
      <c r="J1826" s="101">
        <v>86871</v>
      </c>
      <c r="K1826" s="87" t="s">
        <v>11</v>
      </c>
      <c r="L1826" s="108"/>
      <c r="M1826" s="108"/>
      <c r="N1826" s="108" t="str">
        <v>H448H437</v>
      </c>
      <c r="O1826" s="108">
        <f t="shared" si="30"/>
        <v>1</v>
      </c>
      <c r="P1826" s="108"/>
      <c r="Q1826"/>
    </row>
    <row r="1827" spans="1:17" x14ac:dyDescent="0.25">
      <c r="A1827" s="89" t="s">
        <v>10597</v>
      </c>
      <c r="B1827" s="87" t="s">
        <v>10598</v>
      </c>
      <c r="C1827" s="87" t="s">
        <v>13</v>
      </c>
      <c r="D1827" s="87" t="str">
        <f>VLOOKUP(Tabela1[[#This Row],[Origem]], 'Perguntas 1 a 24'!$J$28:$K$34, 2, 0)</f>
        <v>Sudeste</v>
      </c>
      <c r="E1827" s="87" t="str">
        <f>Tabela1[[#This Row],[Descrição]]&amp;"-"&amp;Tabela1[[#This Row],[Código]]&amp;"/"&amp;Tabela1[[#This Row],[Origem]]</f>
        <v>Ledatete-H792P426/SP</v>
      </c>
      <c r="F1827" s="88">
        <v>46549</v>
      </c>
      <c r="G1827" s="88" t="str" cm="1">
        <f t="array" ref="G18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AND(F1827&gt;= DATE(2026,1,1), F1827&lt;= DATE(2028, 12, 31), J1827&gt;50000), "Pendente e Caro", AND(F1827&gt;= DATE(2026,1,1), F1827&lt;= DATE(2028, 12, 31), J1827&lt;=50000), "Pendente", F1827&gt;= DATE(2029,1,1), "Não prioeitário")</f>
        <v>Pendente e Caro</v>
      </c>
      <c r="H1827" s="89">
        <f>YEAR(Tabela1[[#This Row],[Data de Validade]])</f>
        <v>2027</v>
      </c>
      <c r="I1827" s="89">
        <f>MONTH(Tabela1[[#This Row],[Data de Validade]])</f>
        <v>6</v>
      </c>
      <c r="J1827" s="101">
        <v>55149</v>
      </c>
      <c r="K1827" s="87" t="s">
        <v>14</v>
      </c>
      <c r="L1827" s="108"/>
      <c r="M1827" s="108"/>
      <c r="N1827" s="108" t="str">
        <v>H792P426</v>
      </c>
      <c r="O1827" s="108">
        <f t="shared" si="30"/>
        <v>1</v>
      </c>
      <c r="P1827" s="108"/>
      <c r="Q1827"/>
    </row>
    <row r="1828" spans="1:17" x14ac:dyDescent="0.25">
      <c r="A1828" s="89" t="s">
        <v>7668</v>
      </c>
      <c r="B1828" s="87" t="s">
        <v>7669</v>
      </c>
      <c r="C1828" s="87" t="s">
        <v>12</v>
      </c>
      <c r="D1828" s="87" t="str">
        <f>VLOOKUP(Tabela1[[#This Row],[Origem]], 'Perguntas 1 a 24'!$J$28:$K$34, 2, 0)</f>
        <v>Sudeste</v>
      </c>
      <c r="E1828" s="87" t="str">
        <f>Tabela1[[#This Row],[Descrição]]&amp;"-"&amp;Tabela1[[#This Row],[Código]]&amp;"/"&amp;Tabela1[[#This Row],[Origem]]</f>
        <v>Papipe-P175H683/RJ</v>
      </c>
      <c r="F1828" s="88">
        <v>46549</v>
      </c>
      <c r="G1828" s="88" t="str" cm="1">
        <f t="array" ref="G18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AND(F1828&gt;= DATE(2026,1,1), F1828&lt;= DATE(2028, 12, 31), J1828&gt;50000), "Pendente e Caro", AND(F1828&gt;= DATE(2026,1,1), F1828&lt;= DATE(2028, 12, 31), J1828&lt;=50000), "Pendente", F1828&gt;= DATE(2029,1,1), "Não prioeitário")</f>
        <v>Pendente</v>
      </c>
      <c r="H1828" s="89">
        <f>YEAR(Tabela1[[#This Row],[Data de Validade]])</f>
        <v>2027</v>
      </c>
      <c r="I1828" s="89">
        <f>MONTH(Tabela1[[#This Row],[Data de Validade]])</f>
        <v>6</v>
      </c>
      <c r="J1828" s="101">
        <v>25303</v>
      </c>
      <c r="K1828" s="87" t="s">
        <v>7</v>
      </c>
      <c r="L1828" s="108"/>
      <c r="M1828" s="108"/>
      <c r="N1828" s="108" t="str">
        <v>P175H683</v>
      </c>
      <c r="O1828" s="108">
        <f t="shared" si="30"/>
        <v>1</v>
      </c>
      <c r="P1828" s="108"/>
      <c r="Q1828"/>
    </row>
    <row r="1829" spans="1:17" x14ac:dyDescent="0.25">
      <c r="A1829" s="89" t="s">
        <v>7304</v>
      </c>
      <c r="B1829" s="87" t="s">
        <v>7305</v>
      </c>
      <c r="C1829" s="87" t="s">
        <v>8</v>
      </c>
      <c r="D1829" s="87" t="str">
        <f>VLOOKUP(Tabela1[[#This Row],[Origem]], 'Perguntas 1 a 24'!$J$28:$K$34, 2, 0)</f>
        <v>Nordeste</v>
      </c>
      <c r="E1829" s="87" t="str">
        <f>Tabela1[[#This Row],[Descrição]]&amp;"-"&amp;Tabela1[[#This Row],[Código]]&amp;"/"&amp;Tabela1[[#This Row],[Origem]]</f>
        <v>Locipu-P941P925/AL</v>
      </c>
      <c r="F1829" s="88">
        <v>46551</v>
      </c>
      <c r="G1829" s="88" t="str" cm="1">
        <f t="array" ref="G18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AND(F1829&gt;= DATE(2026,1,1), F1829&lt;= DATE(2028, 12, 31), J1829&gt;50000), "Pendente e Caro", AND(F1829&gt;= DATE(2026,1,1), F1829&lt;= DATE(2028, 12, 31), J1829&lt;=50000), "Pendente", F1829&gt;= DATE(2029,1,1), "Não prioeitário")</f>
        <v>Pendente e Caro</v>
      </c>
      <c r="H1829" s="89">
        <f>YEAR(Tabela1[[#This Row],[Data de Validade]])</f>
        <v>2027</v>
      </c>
      <c r="I1829" s="89">
        <f>MONTH(Tabela1[[#This Row],[Data de Validade]])</f>
        <v>6</v>
      </c>
      <c r="J1829" s="101">
        <v>57501</v>
      </c>
      <c r="K1829" s="87" t="s">
        <v>9</v>
      </c>
      <c r="L1829" s="108"/>
      <c r="M1829" s="108"/>
      <c r="N1829" s="108" t="str">
        <v>P941P925</v>
      </c>
      <c r="O1829" s="108">
        <f t="shared" si="30"/>
        <v>1</v>
      </c>
      <c r="P1829" s="108"/>
      <c r="Q1829"/>
    </row>
    <row r="1830" spans="1:17" x14ac:dyDescent="0.25">
      <c r="A1830" s="89" t="s">
        <v>4217</v>
      </c>
      <c r="B1830" s="87" t="s">
        <v>4218</v>
      </c>
      <c r="C1830" s="87" t="s">
        <v>13</v>
      </c>
      <c r="D1830" s="87" t="str">
        <f>VLOOKUP(Tabela1[[#This Row],[Origem]], 'Perguntas 1 a 24'!$J$28:$K$34, 2, 0)</f>
        <v>Sudeste</v>
      </c>
      <c r="E1830" s="87" t="str">
        <f>Tabela1[[#This Row],[Descrição]]&amp;"-"&amp;Tabela1[[#This Row],[Código]]&amp;"/"&amp;Tabela1[[#This Row],[Origem]]</f>
        <v>Nacumo-H559H423/SP</v>
      </c>
      <c r="F1830" s="88">
        <v>46553</v>
      </c>
      <c r="G1830" s="88" t="str" cm="1">
        <f t="array" ref="G18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AND(F1830&gt;= DATE(2026,1,1), F1830&lt;= DATE(2028, 12, 31), J1830&gt;50000), "Pendente e Caro", AND(F1830&gt;= DATE(2026,1,1), F1830&lt;= DATE(2028, 12, 31), J1830&lt;=50000), "Pendente", F1830&gt;= DATE(2029,1,1), "Não prioeitário")</f>
        <v>Pendente e Caro</v>
      </c>
      <c r="H1830" s="89">
        <f>YEAR(Tabela1[[#This Row],[Data de Validade]])</f>
        <v>2027</v>
      </c>
      <c r="I1830" s="89">
        <f>MONTH(Tabela1[[#This Row],[Data de Validade]])</f>
        <v>6</v>
      </c>
      <c r="J1830" s="101">
        <v>61505</v>
      </c>
      <c r="K1830" s="87" t="s">
        <v>7</v>
      </c>
      <c r="L1830" s="108"/>
      <c r="M1830" s="108"/>
      <c r="N1830" s="108" t="str">
        <v>H559H423</v>
      </c>
      <c r="O1830" s="108">
        <f t="shared" si="30"/>
        <v>1</v>
      </c>
      <c r="P1830" s="108"/>
      <c r="Q1830"/>
    </row>
    <row r="1831" spans="1:17" x14ac:dyDescent="0.25">
      <c r="A1831" s="89" t="s">
        <v>6090</v>
      </c>
      <c r="B1831" s="87" t="s">
        <v>6091</v>
      </c>
      <c r="C1831" s="87" t="s">
        <v>13</v>
      </c>
      <c r="D1831" s="87" t="str">
        <f>VLOOKUP(Tabela1[[#This Row],[Origem]], 'Perguntas 1 a 24'!$J$28:$K$34, 2, 0)</f>
        <v>Sudeste</v>
      </c>
      <c r="E1831" s="87" t="str">
        <f>Tabela1[[#This Row],[Descrição]]&amp;"-"&amp;Tabela1[[#This Row],[Código]]&amp;"/"&amp;Tabela1[[#This Row],[Origem]]</f>
        <v>Rerafireru-H675H746/SP</v>
      </c>
      <c r="F1831" s="88">
        <v>46554</v>
      </c>
      <c r="G1831" s="88" t="str" cm="1">
        <f t="array" ref="G18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AND(F1831&gt;= DATE(2026,1,1), F1831&lt;= DATE(2028, 12, 31), J1831&gt;50000), "Pendente e Caro", AND(F1831&gt;= DATE(2026,1,1), F1831&lt;= DATE(2028, 12, 31), J1831&lt;=50000), "Pendente", F1831&gt;= DATE(2029,1,1), "Não prioeitário")</f>
        <v>Pendente e Caro</v>
      </c>
      <c r="H1831" s="89">
        <f>YEAR(Tabela1[[#This Row],[Data de Validade]])</f>
        <v>2027</v>
      </c>
      <c r="I1831" s="89">
        <f>MONTH(Tabela1[[#This Row],[Data de Validade]])</f>
        <v>6</v>
      </c>
      <c r="J1831" s="101">
        <v>100867</v>
      </c>
      <c r="K1831" s="87" t="s">
        <v>14</v>
      </c>
      <c r="L1831" s="108"/>
      <c r="M1831" s="108"/>
      <c r="N1831" s="108" t="str">
        <v>H675H746</v>
      </c>
      <c r="O1831" s="108">
        <f t="shared" si="30"/>
        <v>1</v>
      </c>
      <c r="P1831" s="108"/>
      <c r="Q1831"/>
    </row>
    <row r="1832" spans="1:17" x14ac:dyDescent="0.25">
      <c r="A1832" s="89" t="s">
        <v>6144</v>
      </c>
      <c r="B1832" s="87" t="s">
        <v>6145</v>
      </c>
      <c r="C1832" s="87" t="s">
        <v>6</v>
      </c>
      <c r="D1832" s="87" t="str">
        <f>VLOOKUP(Tabela1[[#This Row],[Origem]], 'Perguntas 1 a 24'!$J$28:$K$34, 2, 0)</f>
        <v>Nordeste</v>
      </c>
      <c r="E1832" s="87" t="str">
        <f>Tabela1[[#This Row],[Descrição]]&amp;"-"&amp;Tabela1[[#This Row],[Código]]&amp;"/"&amp;Tabela1[[#This Row],[Origem]]</f>
        <v>Mevudufagu-H662H697/MA</v>
      </c>
      <c r="F1832" s="88">
        <v>46554</v>
      </c>
      <c r="G1832" s="88" t="str" cm="1">
        <f t="array" ref="G18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AND(F1832&gt;= DATE(2026,1,1), F1832&lt;= DATE(2028, 12, 31), J1832&gt;50000), "Pendente e Caro", AND(F1832&gt;= DATE(2026,1,1), F1832&lt;= DATE(2028, 12, 31), J1832&lt;=50000), "Pendente", F1832&gt;= DATE(2029,1,1), "Não prioeitário")</f>
        <v>Pendente e Caro</v>
      </c>
      <c r="H1832" s="89">
        <f>YEAR(Tabela1[[#This Row],[Data de Validade]])</f>
        <v>2027</v>
      </c>
      <c r="I1832" s="89">
        <f>MONTH(Tabela1[[#This Row],[Data de Validade]])</f>
        <v>6</v>
      </c>
      <c r="J1832" s="101">
        <v>98234</v>
      </c>
      <c r="K1832" s="87" t="s">
        <v>11</v>
      </c>
      <c r="L1832" s="108"/>
      <c r="M1832" s="108"/>
      <c r="N1832" s="108" t="str">
        <v>H662H697</v>
      </c>
      <c r="O1832" s="108">
        <f t="shared" si="30"/>
        <v>1</v>
      </c>
      <c r="P1832" s="108"/>
      <c r="Q1832"/>
    </row>
    <row r="1833" spans="1:17" x14ac:dyDescent="0.25">
      <c r="A1833" s="89" t="s">
        <v>5226</v>
      </c>
      <c r="B1833" s="87" t="s">
        <v>5227</v>
      </c>
      <c r="C1833" s="87" t="s">
        <v>12</v>
      </c>
      <c r="D1833" s="87" t="str">
        <f>VLOOKUP(Tabela1[[#This Row],[Origem]], 'Perguntas 1 a 24'!$J$28:$K$34, 2, 0)</f>
        <v>Sudeste</v>
      </c>
      <c r="E1833" s="87" t="str">
        <f>Tabela1[[#This Row],[Descrição]]&amp;"-"&amp;Tabela1[[#This Row],[Código]]&amp;"/"&amp;Tabela1[[#This Row],[Origem]]</f>
        <v>Ritamodoru-P425P391/RJ</v>
      </c>
      <c r="F1833" s="88">
        <v>46554</v>
      </c>
      <c r="G1833" s="88" t="str" cm="1">
        <f t="array" ref="G18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AND(F1833&gt;= DATE(2026,1,1), F1833&lt;= DATE(2028, 12, 31), J1833&gt;50000), "Pendente e Caro", AND(F1833&gt;= DATE(2026,1,1), F1833&lt;= DATE(2028, 12, 31), J1833&lt;=50000), "Pendente", F1833&gt;= DATE(2029,1,1), "Não prioeitário")</f>
        <v>Pendente</v>
      </c>
      <c r="H1833" s="89">
        <f>YEAR(Tabela1[[#This Row],[Data de Validade]])</f>
        <v>2027</v>
      </c>
      <c r="I1833" s="89">
        <f>MONTH(Tabela1[[#This Row],[Data de Validade]])</f>
        <v>6</v>
      </c>
      <c r="J1833" s="101">
        <v>44395</v>
      </c>
      <c r="K1833" s="87" t="s">
        <v>14</v>
      </c>
      <c r="L1833" s="108"/>
      <c r="M1833" s="108"/>
      <c r="N1833" s="108" t="str">
        <v>P425P391</v>
      </c>
      <c r="O1833" s="108">
        <f t="shared" si="30"/>
        <v>1</v>
      </c>
      <c r="P1833" s="108"/>
      <c r="Q1833"/>
    </row>
    <row r="1834" spans="1:17" x14ac:dyDescent="0.25">
      <c r="A1834" s="89" t="s">
        <v>9191</v>
      </c>
      <c r="B1834" s="87" t="s">
        <v>9192</v>
      </c>
      <c r="C1834" s="87" t="s">
        <v>6</v>
      </c>
      <c r="D1834" s="87" t="str">
        <f>VLOOKUP(Tabela1[[#This Row],[Origem]], 'Perguntas 1 a 24'!$J$28:$K$34, 2, 0)</f>
        <v>Nordeste</v>
      </c>
      <c r="E1834" s="87" t="str">
        <f>Tabela1[[#This Row],[Descrição]]&amp;"-"&amp;Tabela1[[#This Row],[Código]]&amp;"/"&amp;Tabela1[[#This Row],[Origem]]</f>
        <v>Diruredole-P367P713/MA</v>
      </c>
      <c r="F1834" s="88">
        <v>46555</v>
      </c>
      <c r="G1834" s="88" t="str" cm="1">
        <f t="array" ref="G18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AND(F1834&gt;= DATE(2026,1,1), F1834&lt;= DATE(2028, 12, 31), J1834&gt;50000), "Pendente e Caro", AND(F1834&gt;= DATE(2026,1,1), F1834&lt;= DATE(2028, 12, 31), J1834&lt;=50000), "Pendente", F1834&gt;= DATE(2029,1,1), "Não prioeitário")</f>
        <v>Pendente e Caro</v>
      </c>
      <c r="H1834" s="89">
        <f>YEAR(Tabela1[[#This Row],[Data de Validade]])</f>
        <v>2027</v>
      </c>
      <c r="I1834" s="89">
        <f>MONTH(Tabela1[[#This Row],[Data de Validade]])</f>
        <v>6</v>
      </c>
      <c r="J1834" s="101">
        <v>106448</v>
      </c>
      <c r="K1834" s="87" t="s">
        <v>11</v>
      </c>
      <c r="L1834" s="108"/>
      <c r="M1834" s="108"/>
      <c r="N1834" s="108" t="str">
        <v>P367P713</v>
      </c>
      <c r="O1834" s="108">
        <f t="shared" si="30"/>
        <v>1</v>
      </c>
      <c r="P1834" s="108"/>
      <c r="Q1834"/>
    </row>
    <row r="1835" spans="1:17" x14ac:dyDescent="0.25">
      <c r="A1835" s="89" t="s">
        <v>7392</v>
      </c>
      <c r="B1835" s="87" t="s">
        <v>7393</v>
      </c>
      <c r="C1835" s="87" t="s">
        <v>15</v>
      </c>
      <c r="D1835" s="87" t="str">
        <f>VLOOKUP(Tabela1[[#This Row],[Origem]], 'Perguntas 1 a 24'!$J$28:$K$34, 2, 0)</f>
        <v>Sudeste</v>
      </c>
      <c r="E1835" s="87" t="str">
        <f>Tabela1[[#This Row],[Descrição]]&amp;"-"&amp;Tabela1[[#This Row],[Código]]&amp;"/"&amp;Tabela1[[#This Row],[Origem]]</f>
        <v>Temifara-P888H517/ES</v>
      </c>
      <c r="F1835" s="88">
        <v>46556</v>
      </c>
      <c r="G1835" s="88" t="str" cm="1">
        <f t="array" ref="G18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AND(F1835&gt;= DATE(2026,1,1), F1835&lt;= DATE(2028, 12, 31), J1835&gt;50000), "Pendente e Caro", AND(F1835&gt;= DATE(2026,1,1), F1835&lt;= DATE(2028, 12, 31), J1835&lt;=50000), "Pendente", F1835&gt;= DATE(2029,1,1), "Não prioeitário")</f>
        <v>Pendente e Caro</v>
      </c>
      <c r="H1835" s="89">
        <f>YEAR(Tabela1[[#This Row],[Data de Validade]])</f>
        <v>2027</v>
      </c>
      <c r="I1835" s="89">
        <f>MONTH(Tabela1[[#This Row],[Data de Validade]])</f>
        <v>6</v>
      </c>
      <c r="J1835" s="101">
        <v>111362</v>
      </c>
      <c r="K1835" s="87" t="s">
        <v>7</v>
      </c>
      <c r="L1835" s="108"/>
      <c r="M1835" s="108"/>
      <c r="N1835" s="108" t="str">
        <v>P888H517</v>
      </c>
      <c r="O1835" s="108">
        <f t="shared" si="30"/>
        <v>1</v>
      </c>
      <c r="P1835" s="108"/>
      <c r="Q1835"/>
    </row>
    <row r="1836" spans="1:17" x14ac:dyDescent="0.25">
      <c r="A1836" s="89" t="s">
        <v>4359</v>
      </c>
      <c r="B1836" s="87" t="s">
        <v>4360</v>
      </c>
      <c r="C1836" s="87" t="s">
        <v>15</v>
      </c>
      <c r="D1836" s="87" t="str">
        <f>VLOOKUP(Tabela1[[#This Row],[Origem]], 'Perguntas 1 a 24'!$J$28:$K$34, 2, 0)</f>
        <v>Sudeste</v>
      </c>
      <c r="E1836" s="87" t="str">
        <f>Tabela1[[#This Row],[Descrição]]&amp;"-"&amp;Tabela1[[#This Row],[Código]]&amp;"/"&amp;Tabela1[[#This Row],[Origem]]</f>
        <v>Tirinegide-H184H694/ES</v>
      </c>
      <c r="F1836" s="88">
        <v>46557</v>
      </c>
      <c r="G1836" s="88" t="str" cm="1">
        <f t="array" ref="G18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AND(F1836&gt;= DATE(2026,1,1), F1836&lt;= DATE(2028, 12, 31), J1836&gt;50000), "Pendente e Caro", AND(F1836&gt;= DATE(2026,1,1), F1836&lt;= DATE(2028, 12, 31), J1836&lt;=50000), "Pendente", F1836&gt;= DATE(2029,1,1), "Não prioeitário")</f>
        <v>Pendente e Caro</v>
      </c>
      <c r="H1836" s="89">
        <f>YEAR(Tabela1[[#This Row],[Data de Validade]])</f>
        <v>2027</v>
      </c>
      <c r="I1836" s="89">
        <f>MONTH(Tabela1[[#This Row],[Data de Validade]])</f>
        <v>6</v>
      </c>
      <c r="J1836" s="101">
        <v>100300</v>
      </c>
      <c r="K1836" s="87" t="s">
        <v>9</v>
      </c>
      <c r="L1836" s="108"/>
      <c r="M1836" s="108"/>
      <c r="N1836" s="108" t="str">
        <v>H184H694</v>
      </c>
      <c r="O1836" s="108">
        <f t="shared" si="30"/>
        <v>1</v>
      </c>
      <c r="P1836" s="108"/>
      <c r="Q1836"/>
    </row>
    <row r="1837" spans="1:17" x14ac:dyDescent="0.25">
      <c r="A1837" s="89" t="s">
        <v>7682</v>
      </c>
      <c r="B1837" s="87" t="s">
        <v>7683</v>
      </c>
      <c r="C1837" s="87" t="s">
        <v>10</v>
      </c>
      <c r="D1837" s="87" t="str">
        <f>VLOOKUP(Tabela1[[#This Row],[Origem]], 'Perguntas 1 a 24'!$J$28:$K$34, 2, 0)</f>
        <v>Centro-Oeste</v>
      </c>
      <c r="E1837" s="87" t="str">
        <f>Tabela1[[#This Row],[Descrição]]&amp;"-"&amp;Tabela1[[#This Row],[Código]]&amp;"/"&amp;Tabela1[[#This Row],[Origem]]</f>
        <v>Fatigo-H425P241/GO</v>
      </c>
      <c r="F1837" s="88">
        <v>46557</v>
      </c>
      <c r="G1837" s="88" t="str" cm="1">
        <f t="array" ref="G18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AND(F1837&gt;= DATE(2026,1,1), F1837&lt;= DATE(2028, 12, 31), J1837&gt;50000), "Pendente e Caro", AND(F1837&gt;= DATE(2026,1,1), F1837&lt;= DATE(2028, 12, 31), J1837&lt;=50000), "Pendente", F1837&gt;= DATE(2029,1,1), "Não prioeitário")</f>
        <v>Pendente</v>
      </c>
      <c r="H1837" s="89">
        <f>YEAR(Tabela1[[#This Row],[Data de Validade]])</f>
        <v>2027</v>
      </c>
      <c r="I1837" s="89">
        <f>MONTH(Tabela1[[#This Row],[Data de Validade]])</f>
        <v>6</v>
      </c>
      <c r="J1837" s="101">
        <v>37698</v>
      </c>
      <c r="K1837" s="87" t="s">
        <v>7</v>
      </c>
      <c r="L1837" s="108"/>
      <c r="M1837" s="108"/>
      <c r="N1837" s="108" t="str">
        <v>H425P241</v>
      </c>
      <c r="O1837" s="108">
        <f t="shared" si="30"/>
        <v>1</v>
      </c>
      <c r="P1837" s="108"/>
      <c r="Q1837"/>
    </row>
    <row r="1838" spans="1:17" x14ac:dyDescent="0.25">
      <c r="A1838" s="89" t="s">
        <v>7084</v>
      </c>
      <c r="B1838" s="87" t="s">
        <v>7085</v>
      </c>
      <c r="C1838" s="87" t="s">
        <v>16</v>
      </c>
      <c r="D1838" s="87" t="str">
        <f>VLOOKUP(Tabela1[[#This Row],[Origem]], 'Perguntas 1 a 24'!$J$28:$K$34, 2, 0)</f>
        <v>Sudeste</v>
      </c>
      <c r="E1838" s="87" t="str">
        <f>Tabela1[[#This Row],[Descrição]]&amp;"-"&amp;Tabela1[[#This Row],[Código]]&amp;"/"&amp;Tabela1[[#This Row],[Origem]]</f>
        <v>Pegeme-P436H986/MG</v>
      </c>
      <c r="F1838" s="88">
        <v>46558</v>
      </c>
      <c r="G1838" s="88" t="str" cm="1">
        <f t="array" ref="G18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AND(F1838&gt;= DATE(2026,1,1), F1838&lt;= DATE(2028, 12, 31), J1838&gt;50000), "Pendente e Caro", AND(F1838&gt;= DATE(2026,1,1), F1838&lt;= DATE(2028, 12, 31), J1838&lt;=50000), "Pendente", F1838&gt;= DATE(2029,1,1), "Não prioeitário")</f>
        <v>Pendente e Caro</v>
      </c>
      <c r="H1838" s="89">
        <f>YEAR(Tabela1[[#This Row],[Data de Validade]])</f>
        <v>2027</v>
      </c>
      <c r="I1838" s="89">
        <f>MONTH(Tabela1[[#This Row],[Data de Validade]])</f>
        <v>6</v>
      </c>
      <c r="J1838" s="101">
        <v>97060</v>
      </c>
      <c r="K1838" s="87" t="s">
        <v>14</v>
      </c>
      <c r="L1838" s="108"/>
      <c r="M1838" s="108"/>
      <c r="N1838" s="108" t="str">
        <v>P436H986</v>
      </c>
      <c r="O1838" s="108">
        <f t="shared" si="30"/>
        <v>1</v>
      </c>
      <c r="P1838" s="108"/>
      <c r="Q1838"/>
    </row>
    <row r="1839" spans="1:17" x14ac:dyDescent="0.25">
      <c r="A1839" s="89" t="s">
        <v>10251</v>
      </c>
      <c r="B1839" s="87" t="s">
        <v>10252</v>
      </c>
      <c r="C1839" s="87" t="s">
        <v>13</v>
      </c>
      <c r="D1839" s="87" t="str">
        <f>VLOOKUP(Tabela1[[#This Row],[Origem]], 'Perguntas 1 a 24'!$J$28:$K$34, 2, 0)</f>
        <v>Sudeste</v>
      </c>
      <c r="E1839" s="87" t="str">
        <f>Tabela1[[#This Row],[Descrição]]&amp;"-"&amp;Tabela1[[#This Row],[Código]]&amp;"/"&amp;Tabela1[[#This Row],[Origem]]</f>
        <v>Padimipo-H432H785/SP</v>
      </c>
      <c r="F1839" s="88">
        <v>46558</v>
      </c>
      <c r="G1839" s="88" t="str" cm="1">
        <f t="array" ref="G18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AND(F1839&gt;= DATE(2026,1,1), F1839&lt;= DATE(2028, 12, 31), J1839&gt;50000), "Pendente e Caro", AND(F1839&gt;= DATE(2026,1,1), F1839&lt;= DATE(2028, 12, 31), J1839&lt;=50000), "Pendente", F1839&gt;= DATE(2029,1,1), "Não prioeitário")</f>
        <v>Pendente e Caro</v>
      </c>
      <c r="H1839" s="89">
        <f>YEAR(Tabela1[[#This Row],[Data de Validade]])</f>
        <v>2027</v>
      </c>
      <c r="I1839" s="89">
        <f>MONTH(Tabela1[[#This Row],[Data de Validade]])</f>
        <v>6</v>
      </c>
      <c r="J1839" s="101">
        <v>52851</v>
      </c>
      <c r="K1839" s="87" t="s">
        <v>7</v>
      </c>
      <c r="L1839" s="108"/>
      <c r="M1839" s="108"/>
      <c r="N1839" s="108" t="str">
        <v>H432H785</v>
      </c>
      <c r="O1839" s="108">
        <f t="shared" si="30"/>
        <v>1</v>
      </c>
      <c r="P1839" s="108"/>
      <c r="Q1839"/>
    </row>
    <row r="1840" spans="1:17" x14ac:dyDescent="0.25">
      <c r="A1840" s="89" t="s">
        <v>10980</v>
      </c>
      <c r="B1840" s="87" t="s">
        <v>10981</v>
      </c>
      <c r="C1840" s="87" t="s">
        <v>6</v>
      </c>
      <c r="D1840" s="87" t="str">
        <f>VLOOKUP(Tabela1[[#This Row],[Origem]], 'Perguntas 1 a 24'!$J$28:$K$34, 2, 0)</f>
        <v>Nordeste</v>
      </c>
      <c r="E1840" s="87" t="str">
        <f>Tabela1[[#This Row],[Descrição]]&amp;"-"&amp;Tabela1[[#This Row],[Código]]&amp;"/"&amp;Tabela1[[#This Row],[Origem]]</f>
        <v>Veteri-P558H147/MA</v>
      </c>
      <c r="F1840" s="88">
        <v>46558</v>
      </c>
      <c r="G1840" s="88" t="str" cm="1">
        <f t="array" ref="G18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AND(F1840&gt;= DATE(2026,1,1), F1840&lt;= DATE(2028, 12, 31), J1840&gt;50000), "Pendente e Caro", AND(F1840&gt;= DATE(2026,1,1), F1840&lt;= DATE(2028, 12, 31), J1840&lt;=50000), "Pendente", F1840&gt;= DATE(2029,1,1), "Não prioeitário")</f>
        <v>Pendente</v>
      </c>
      <c r="H1840" s="89">
        <f>YEAR(Tabela1[[#This Row],[Data de Validade]])</f>
        <v>2027</v>
      </c>
      <c r="I1840" s="89">
        <f>MONTH(Tabela1[[#This Row],[Data de Validade]])</f>
        <v>6</v>
      </c>
      <c r="J1840" s="101">
        <v>34868</v>
      </c>
      <c r="K1840" s="87" t="s">
        <v>9</v>
      </c>
      <c r="L1840" s="108"/>
      <c r="M1840" s="108"/>
      <c r="N1840" s="108" t="str">
        <v>P558H147</v>
      </c>
      <c r="O1840" s="108">
        <f t="shared" si="30"/>
        <v>1</v>
      </c>
      <c r="P1840" s="108"/>
      <c r="Q1840"/>
    </row>
    <row r="1841" spans="1:17" x14ac:dyDescent="0.25">
      <c r="A1841" s="89" t="s">
        <v>7658</v>
      </c>
      <c r="B1841" s="87" t="s">
        <v>7659</v>
      </c>
      <c r="C1841" s="87" t="s">
        <v>8</v>
      </c>
      <c r="D1841" s="87" t="str">
        <f>VLOOKUP(Tabela1[[#This Row],[Origem]], 'Perguntas 1 a 24'!$J$28:$K$34, 2, 0)</f>
        <v>Nordeste</v>
      </c>
      <c r="E1841" s="87" t="str">
        <f>Tabela1[[#This Row],[Descrição]]&amp;"-"&amp;Tabela1[[#This Row],[Código]]&amp;"/"&amp;Tabela1[[#This Row],[Origem]]</f>
        <v>Nulidepufa-P981H484/AL</v>
      </c>
      <c r="F1841" s="88">
        <v>46561</v>
      </c>
      <c r="G1841" s="88" t="str" cm="1">
        <f t="array" ref="G18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AND(F1841&gt;= DATE(2026,1,1), F1841&lt;= DATE(2028, 12, 31), J1841&gt;50000), "Pendente e Caro", AND(F1841&gt;= DATE(2026,1,1), F1841&lt;= DATE(2028, 12, 31), J1841&lt;=50000), "Pendente", F1841&gt;= DATE(2029,1,1), "Não prioeitário")</f>
        <v>Pendente e Caro</v>
      </c>
      <c r="H1841" s="89">
        <f>YEAR(Tabela1[[#This Row],[Data de Validade]])</f>
        <v>2027</v>
      </c>
      <c r="I1841" s="89">
        <f>MONTH(Tabela1[[#This Row],[Data de Validade]])</f>
        <v>6</v>
      </c>
      <c r="J1841" s="101">
        <v>80632</v>
      </c>
      <c r="K1841" s="87" t="s">
        <v>9</v>
      </c>
      <c r="L1841" s="108"/>
      <c r="M1841" s="108"/>
      <c r="N1841" s="108" t="str">
        <v>P981H484</v>
      </c>
      <c r="O1841" s="108">
        <f t="shared" si="30"/>
        <v>1</v>
      </c>
      <c r="P1841" s="108"/>
      <c r="Q1841"/>
    </row>
    <row r="1842" spans="1:17" x14ac:dyDescent="0.25">
      <c r="A1842" s="89" t="s">
        <v>9255</v>
      </c>
      <c r="B1842" s="87" t="s">
        <v>9256</v>
      </c>
      <c r="C1842" s="87" t="s">
        <v>6</v>
      </c>
      <c r="D1842" s="87" t="str">
        <f>VLOOKUP(Tabela1[[#This Row],[Origem]], 'Perguntas 1 a 24'!$J$28:$K$34, 2, 0)</f>
        <v>Nordeste</v>
      </c>
      <c r="E1842" s="87" t="str">
        <f>Tabela1[[#This Row],[Descrição]]&amp;"-"&amp;Tabela1[[#This Row],[Código]]&amp;"/"&amp;Tabela1[[#This Row],[Origem]]</f>
        <v>Fivevateci-H522P877/MA</v>
      </c>
      <c r="F1842" s="88">
        <v>46562</v>
      </c>
      <c r="G1842" s="88" t="str" cm="1">
        <f t="array" ref="G18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AND(F1842&gt;= DATE(2026,1,1), F1842&lt;= DATE(2028, 12, 31), J1842&gt;50000), "Pendente e Caro", AND(F1842&gt;= DATE(2026,1,1), F1842&lt;= DATE(2028, 12, 31), J1842&lt;=50000), "Pendente", F1842&gt;= DATE(2029,1,1), "Não prioeitário")</f>
        <v>Pendente e Caro</v>
      </c>
      <c r="H1842" s="89">
        <f>YEAR(Tabela1[[#This Row],[Data de Validade]])</f>
        <v>2027</v>
      </c>
      <c r="I1842" s="89">
        <f>MONTH(Tabela1[[#This Row],[Data de Validade]])</f>
        <v>6</v>
      </c>
      <c r="J1842" s="101">
        <v>85836</v>
      </c>
      <c r="K1842" s="87" t="s">
        <v>9</v>
      </c>
      <c r="L1842" s="108"/>
      <c r="M1842" s="108"/>
      <c r="N1842" s="108" t="str">
        <v>H522P877</v>
      </c>
      <c r="O1842" s="108">
        <f t="shared" si="30"/>
        <v>1</v>
      </c>
      <c r="P1842" s="108"/>
      <c r="Q1842"/>
    </row>
    <row r="1843" spans="1:17" x14ac:dyDescent="0.25">
      <c r="A1843" s="89" t="s">
        <v>10193</v>
      </c>
      <c r="B1843" s="87" t="s">
        <v>10194</v>
      </c>
      <c r="C1843" s="87" t="s">
        <v>10</v>
      </c>
      <c r="D1843" s="87" t="str">
        <f>VLOOKUP(Tabela1[[#This Row],[Origem]], 'Perguntas 1 a 24'!$J$28:$K$34, 2, 0)</f>
        <v>Centro-Oeste</v>
      </c>
      <c r="E1843" s="87" t="str">
        <f>Tabela1[[#This Row],[Descrição]]&amp;"-"&amp;Tabela1[[#This Row],[Código]]&amp;"/"&amp;Tabela1[[#This Row],[Origem]]</f>
        <v>Tetunimufe-H478H519/GO</v>
      </c>
      <c r="F1843" s="88">
        <v>46563</v>
      </c>
      <c r="G1843" s="88" t="str" cm="1">
        <f t="array" ref="G18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AND(F1843&gt;= DATE(2026,1,1), F1843&lt;= DATE(2028, 12, 31), J1843&gt;50000), "Pendente e Caro", AND(F1843&gt;= DATE(2026,1,1), F1843&lt;= DATE(2028, 12, 31), J1843&lt;=50000), "Pendente", F1843&gt;= DATE(2029,1,1), "Não prioeitário")</f>
        <v>Pendente e Caro</v>
      </c>
      <c r="H1843" s="89">
        <f>YEAR(Tabela1[[#This Row],[Data de Validade]])</f>
        <v>2027</v>
      </c>
      <c r="I1843" s="89">
        <f>MONTH(Tabela1[[#This Row],[Data de Validade]])</f>
        <v>6</v>
      </c>
      <c r="J1843" s="101">
        <v>105790</v>
      </c>
      <c r="K1843" s="87" t="s">
        <v>14</v>
      </c>
      <c r="L1843" s="108"/>
      <c r="M1843" s="108"/>
      <c r="N1843" s="108" t="str">
        <v>H478H519</v>
      </c>
      <c r="O1843" s="108">
        <f t="shared" si="30"/>
        <v>1</v>
      </c>
      <c r="P1843" s="108"/>
      <c r="Q1843"/>
    </row>
    <row r="1844" spans="1:17" x14ac:dyDescent="0.25">
      <c r="A1844" s="89" t="s">
        <v>9193</v>
      </c>
      <c r="B1844" s="87" t="s">
        <v>9194</v>
      </c>
      <c r="C1844" s="87" t="s">
        <v>6</v>
      </c>
      <c r="D1844" s="87" t="str">
        <f>VLOOKUP(Tabela1[[#This Row],[Origem]], 'Perguntas 1 a 24'!$J$28:$K$34, 2, 0)</f>
        <v>Nordeste</v>
      </c>
      <c r="E1844" s="87" t="str">
        <f>Tabela1[[#This Row],[Descrição]]&amp;"-"&amp;Tabela1[[#This Row],[Código]]&amp;"/"&amp;Tabela1[[#This Row],[Origem]]</f>
        <v>Dotepipifo-H886H156/MA</v>
      </c>
      <c r="F1844" s="88">
        <v>46563</v>
      </c>
      <c r="G1844" s="88" t="str" cm="1">
        <f t="array" ref="G18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AND(F1844&gt;= DATE(2026,1,1), F1844&lt;= DATE(2028, 12, 31), J1844&gt;50000), "Pendente e Caro", AND(F1844&gt;= DATE(2026,1,1), F1844&lt;= DATE(2028, 12, 31), J1844&lt;=50000), "Pendente", F1844&gt;= DATE(2029,1,1), "Não prioeitário")</f>
        <v>Pendente e Caro</v>
      </c>
      <c r="H1844" s="89">
        <f>YEAR(Tabela1[[#This Row],[Data de Validade]])</f>
        <v>2027</v>
      </c>
      <c r="I1844" s="89">
        <f>MONTH(Tabela1[[#This Row],[Data de Validade]])</f>
        <v>6</v>
      </c>
      <c r="J1844" s="101">
        <v>92570</v>
      </c>
      <c r="K1844" s="87" t="s">
        <v>11</v>
      </c>
      <c r="L1844" s="108"/>
      <c r="M1844" s="108"/>
      <c r="N1844" s="108" t="str">
        <v>H886H156</v>
      </c>
      <c r="O1844" s="108">
        <f t="shared" si="30"/>
        <v>1</v>
      </c>
      <c r="P1844" s="108"/>
      <c r="Q1844"/>
    </row>
    <row r="1845" spans="1:17" x14ac:dyDescent="0.25">
      <c r="A1845" s="89" t="s">
        <v>10487</v>
      </c>
      <c r="B1845" s="87" t="s">
        <v>10488</v>
      </c>
      <c r="C1845" s="87" t="s">
        <v>10</v>
      </c>
      <c r="D1845" s="87" t="str">
        <f>VLOOKUP(Tabela1[[#This Row],[Origem]], 'Perguntas 1 a 24'!$J$28:$K$34, 2, 0)</f>
        <v>Centro-Oeste</v>
      </c>
      <c r="E1845" s="87" t="str">
        <f>Tabela1[[#This Row],[Descrição]]&amp;"-"&amp;Tabela1[[#This Row],[Código]]&amp;"/"&amp;Tabela1[[#This Row],[Origem]]</f>
        <v>Fitoripimo-H656H553/GO</v>
      </c>
      <c r="F1845" s="88">
        <v>46563</v>
      </c>
      <c r="G1845" s="88" t="str" cm="1">
        <f t="array" ref="G18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AND(F1845&gt;= DATE(2026,1,1), F1845&lt;= DATE(2028, 12, 31), J1845&gt;50000), "Pendente e Caro", AND(F1845&gt;= DATE(2026,1,1), F1845&lt;= DATE(2028, 12, 31), J1845&lt;=50000), "Pendente", F1845&gt;= DATE(2029,1,1), "Não prioeitário")</f>
        <v>Pendente</v>
      </c>
      <c r="H1845" s="89">
        <f>YEAR(Tabela1[[#This Row],[Data de Validade]])</f>
        <v>2027</v>
      </c>
      <c r="I1845" s="89">
        <f>MONTH(Tabela1[[#This Row],[Data de Validade]])</f>
        <v>6</v>
      </c>
      <c r="J1845" s="101">
        <v>33425</v>
      </c>
      <c r="K1845" s="87" t="s">
        <v>11</v>
      </c>
      <c r="L1845" s="108"/>
      <c r="M1845" s="108"/>
      <c r="N1845" s="108" t="str">
        <v>H656H553</v>
      </c>
      <c r="O1845" s="108">
        <f t="shared" si="30"/>
        <v>1</v>
      </c>
      <c r="P1845" s="108"/>
      <c r="Q1845"/>
    </row>
    <row r="1846" spans="1:17" x14ac:dyDescent="0.25">
      <c r="A1846" s="89" t="s">
        <v>3860</v>
      </c>
      <c r="B1846" s="87" t="s">
        <v>3861</v>
      </c>
      <c r="C1846" s="87" t="s">
        <v>15</v>
      </c>
      <c r="D1846" s="87" t="str">
        <f>VLOOKUP(Tabela1[[#This Row],[Origem]], 'Perguntas 1 a 24'!$J$28:$K$34, 2, 0)</f>
        <v>Sudeste</v>
      </c>
      <c r="E1846" s="87" t="str">
        <f>Tabela1[[#This Row],[Descrição]]&amp;"-"&amp;Tabela1[[#This Row],[Código]]&amp;"/"&amp;Tabela1[[#This Row],[Origem]]</f>
        <v>Lomeloro-P692P589/ES</v>
      </c>
      <c r="F1846" s="88">
        <v>46565</v>
      </c>
      <c r="G1846" s="88" t="str" cm="1">
        <f t="array" ref="G18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AND(F1846&gt;= DATE(2026,1,1), F1846&lt;= DATE(2028, 12, 31), J1846&gt;50000), "Pendente e Caro", AND(F1846&gt;= DATE(2026,1,1), F1846&lt;= DATE(2028, 12, 31), J1846&lt;=50000), "Pendente", F1846&gt;= DATE(2029,1,1), "Não prioeitário")</f>
        <v>Pendente e Caro</v>
      </c>
      <c r="H1846" s="89">
        <f>YEAR(Tabela1[[#This Row],[Data de Validade]])</f>
        <v>2027</v>
      </c>
      <c r="I1846" s="89">
        <f>MONTH(Tabela1[[#This Row],[Data de Validade]])</f>
        <v>6</v>
      </c>
      <c r="J1846" s="101">
        <v>111992</v>
      </c>
      <c r="K1846" s="87" t="s">
        <v>7</v>
      </c>
      <c r="L1846" s="108"/>
      <c r="M1846" s="108"/>
      <c r="N1846" s="108" t="str">
        <v>P692P589</v>
      </c>
      <c r="O1846" s="108">
        <f t="shared" si="30"/>
        <v>1</v>
      </c>
      <c r="P1846" s="108"/>
      <c r="Q1846"/>
    </row>
    <row r="1847" spans="1:17" x14ac:dyDescent="0.25">
      <c r="A1847" s="89" t="s">
        <v>6330</v>
      </c>
      <c r="B1847" s="87" t="s">
        <v>6331</v>
      </c>
      <c r="C1847" s="87" t="s">
        <v>16</v>
      </c>
      <c r="D1847" s="87" t="str">
        <f>VLOOKUP(Tabela1[[#This Row],[Origem]], 'Perguntas 1 a 24'!$J$28:$K$34, 2, 0)</f>
        <v>Sudeste</v>
      </c>
      <c r="E1847" s="87" t="str">
        <f>Tabela1[[#This Row],[Descrição]]&amp;"-"&amp;Tabela1[[#This Row],[Código]]&amp;"/"&amp;Tabela1[[#This Row],[Origem]]</f>
        <v>Pavudoga-P345P867/MG</v>
      </c>
      <c r="F1847" s="88">
        <v>46566</v>
      </c>
      <c r="G1847" s="88" t="str" cm="1">
        <f t="array" ref="G18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AND(F1847&gt;= DATE(2026,1,1), F1847&lt;= DATE(2028, 12, 31), J1847&gt;50000), "Pendente e Caro", AND(F1847&gt;= DATE(2026,1,1), F1847&lt;= DATE(2028, 12, 31), J1847&lt;=50000), "Pendente", F1847&gt;= DATE(2029,1,1), "Não prioeitário")</f>
        <v>Pendente e Caro</v>
      </c>
      <c r="H1847" s="89">
        <f>YEAR(Tabela1[[#This Row],[Data de Validade]])</f>
        <v>2027</v>
      </c>
      <c r="I1847" s="89">
        <f>MONTH(Tabela1[[#This Row],[Data de Validade]])</f>
        <v>6</v>
      </c>
      <c r="J1847" s="101">
        <v>73336</v>
      </c>
      <c r="K1847" s="87" t="s">
        <v>11</v>
      </c>
      <c r="L1847" s="108"/>
      <c r="M1847" s="108"/>
      <c r="N1847" s="108" t="str">
        <v>P345P867</v>
      </c>
      <c r="O1847" s="108">
        <f t="shared" si="30"/>
        <v>1</v>
      </c>
      <c r="P1847" s="108"/>
      <c r="Q1847"/>
    </row>
    <row r="1848" spans="1:17" x14ac:dyDescent="0.25">
      <c r="A1848" s="89" t="s">
        <v>6802</v>
      </c>
      <c r="B1848" s="87" t="s">
        <v>6803</v>
      </c>
      <c r="C1848" s="87" t="s">
        <v>6</v>
      </c>
      <c r="D1848" s="87" t="str">
        <f>VLOOKUP(Tabela1[[#This Row],[Origem]], 'Perguntas 1 a 24'!$J$28:$K$34, 2, 0)</f>
        <v>Nordeste</v>
      </c>
      <c r="E1848" s="87" t="str">
        <f>Tabela1[[#This Row],[Descrição]]&amp;"-"&amp;Tabela1[[#This Row],[Código]]&amp;"/"&amp;Tabela1[[#This Row],[Origem]]</f>
        <v>Pemevacanu-H623H753/MA</v>
      </c>
      <c r="F1848" s="88">
        <v>46566</v>
      </c>
      <c r="G1848" s="88" t="str" cm="1">
        <f t="array" ref="G18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AND(F1848&gt;= DATE(2026,1,1), F1848&lt;= DATE(2028, 12, 31), J1848&gt;50000), "Pendente e Caro", AND(F1848&gt;= DATE(2026,1,1), F1848&lt;= DATE(2028, 12, 31), J1848&lt;=50000), "Pendente", F1848&gt;= DATE(2029,1,1), "Não prioeitário")</f>
        <v>Pendente e Caro</v>
      </c>
      <c r="H1848" s="89">
        <f>YEAR(Tabela1[[#This Row],[Data de Validade]])</f>
        <v>2027</v>
      </c>
      <c r="I1848" s="89">
        <f>MONTH(Tabela1[[#This Row],[Data de Validade]])</f>
        <v>6</v>
      </c>
      <c r="J1848" s="101">
        <v>70875</v>
      </c>
      <c r="K1848" s="87" t="s">
        <v>11</v>
      </c>
      <c r="L1848" s="108"/>
      <c r="M1848" s="108"/>
      <c r="N1848" s="108" t="str">
        <v>H623H753</v>
      </c>
      <c r="O1848" s="108">
        <f t="shared" si="30"/>
        <v>1</v>
      </c>
      <c r="P1848" s="108"/>
      <c r="Q1848"/>
    </row>
    <row r="1849" spans="1:17" x14ac:dyDescent="0.25">
      <c r="A1849" s="89" t="s">
        <v>7444</v>
      </c>
      <c r="B1849" s="87" t="s">
        <v>7445</v>
      </c>
      <c r="C1849" s="87" t="s">
        <v>15</v>
      </c>
      <c r="D1849" s="87" t="str">
        <f>VLOOKUP(Tabela1[[#This Row],[Origem]], 'Perguntas 1 a 24'!$J$28:$K$34, 2, 0)</f>
        <v>Sudeste</v>
      </c>
      <c r="E1849" s="87" t="str">
        <f>Tabela1[[#This Row],[Descrição]]&amp;"-"&amp;Tabela1[[#This Row],[Código]]&amp;"/"&amp;Tabela1[[#This Row],[Origem]]</f>
        <v>Gotadofepu-P685H239/ES</v>
      </c>
      <c r="F1849" s="88">
        <v>46567</v>
      </c>
      <c r="G1849" s="88" t="str" cm="1">
        <f t="array" ref="G18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AND(F1849&gt;= DATE(2026,1,1), F1849&lt;= DATE(2028, 12, 31), J1849&gt;50000), "Pendente e Caro", AND(F1849&gt;= DATE(2026,1,1), F1849&lt;= DATE(2028, 12, 31), J1849&lt;=50000), "Pendente", F1849&gt;= DATE(2029,1,1), "Não prioeitário")</f>
        <v>Pendente e Caro</v>
      </c>
      <c r="H1849" s="89">
        <f>YEAR(Tabela1[[#This Row],[Data de Validade]])</f>
        <v>2027</v>
      </c>
      <c r="I1849" s="89">
        <f>MONTH(Tabela1[[#This Row],[Data de Validade]])</f>
        <v>6</v>
      </c>
      <c r="J1849" s="101">
        <v>71988</v>
      </c>
      <c r="K1849" s="87" t="s">
        <v>11</v>
      </c>
      <c r="L1849" s="108"/>
      <c r="M1849" s="108"/>
      <c r="N1849" s="108" t="str">
        <v>P685H239</v>
      </c>
      <c r="O1849" s="108">
        <f t="shared" si="30"/>
        <v>1</v>
      </c>
      <c r="P1849" s="108"/>
      <c r="Q1849"/>
    </row>
    <row r="1850" spans="1:17" x14ac:dyDescent="0.25">
      <c r="A1850" s="89" t="s">
        <v>7908</v>
      </c>
      <c r="B1850" s="87" t="s">
        <v>7909</v>
      </c>
      <c r="C1850" s="87" t="s">
        <v>8</v>
      </c>
      <c r="D1850" s="87" t="str">
        <f>VLOOKUP(Tabela1[[#This Row],[Origem]], 'Perguntas 1 a 24'!$J$28:$K$34, 2, 0)</f>
        <v>Nordeste</v>
      </c>
      <c r="E1850" s="87" t="str">
        <f>Tabela1[[#This Row],[Descrição]]&amp;"-"&amp;Tabela1[[#This Row],[Código]]&amp;"/"&amp;Tabela1[[#This Row],[Origem]]</f>
        <v>Celipa-H397H893/AL</v>
      </c>
      <c r="F1850" s="88">
        <v>46567</v>
      </c>
      <c r="G1850" s="88" t="str" cm="1">
        <f t="array" ref="G18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AND(F1850&gt;= DATE(2026,1,1), F1850&lt;= DATE(2028, 12, 31), J1850&gt;50000), "Pendente e Caro", AND(F1850&gt;= DATE(2026,1,1), F1850&lt;= DATE(2028, 12, 31), J1850&lt;=50000), "Pendente", F1850&gt;= DATE(2029,1,1), "Não prioeitário")</f>
        <v>Pendente e Caro</v>
      </c>
      <c r="H1850" s="89">
        <f>YEAR(Tabela1[[#This Row],[Data de Validade]])</f>
        <v>2027</v>
      </c>
      <c r="I1850" s="89">
        <f>MONTH(Tabela1[[#This Row],[Data de Validade]])</f>
        <v>6</v>
      </c>
      <c r="J1850" s="101">
        <v>67216</v>
      </c>
      <c r="K1850" s="87" t="s">
        <v>9</v>
      </c>
      <c r="L1850" s="108"/>
      <c r="M1850" s="108"/>
      <c r="N1850" s="108" t="str">
        <v>H397H893</v>
      </c>
      <c r="O1850" s="108">
        <f t="shared" si="30"/>
        <v>1</v>
      </c>
      <c r="P1850" s="108"/>
      <c r="Q1850"/>
    </row>
    <row r="1851" spans="1:17" x14ac:dyDescent="0.25">
      <c r="A1851" s="89" t="s">
        <v>9597</v>
      </c>
      <c r="B1851" s="87" t="s">
        <v>9598</v>
      </c>
      <c r="C1851" s="87" t="s">
        <v>6</v>
      </c>
      <c r="D1851" s="87" t="str">
        <f>VLOOKUP(Tabela1[[#This Row],[Origem]], 'Perguntas 1 a 24'!$J$28:$K$34, 2, 0)</f>
        <v>Nordeste</v>
      </c>
      <c r="E1851" s="87" t="str">
        <f>Tabela1[[#This Row],[Descrição]]&amp;"-"&amp;Tabela1[[#This Row],[Código]]&amp;"/"&amp;Tabela1[[#This Row],[Origem]]</f>
        <v>Pacevovepe-P125H365/MA</v>
      </c>
      <c r="F1851" s="88">
        <v>46567</v>
      </c>
      <c r="G1851" s="88" t="str" cm="1">
        <f t="array" ref="G18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AND(F1851&gt;= DATE(2026,1,1), F1851&lt;= DATE(2028, 12, 31), J1851&gt;50000), "Pendente e Caro", AND(F1851&gt;= DATE(2026,1,1), F1851&lt;= DATE(2028, 12, 31), J1851&lt;=50000), "Pendente", F1851&gt;= DATE(2029,1,1), "Não prioeitário")</f>
        <v>Pendente</v>
      </c>
      <c r="H1851" s="89">
        <f>YEAR(Tabela1[[#This Row],[Data de Validade]])</f>
        <v>2027</v>
      </c>
      <c r="I1851" s="89">
        <f>MONTH(Tabela1[[#This Row],[Data de Validade]])</f>
        <v>6</v>
      </c>
      <c r="J1851" s="101">
        <v>41802</v>
      </c>
      <c r="K1851" s="87" t="s">
        <v>7</v>
      </c>
      <c r="L1851" s="108"/>
      <c r="M1851" s="108"/>
      <c r="N1851" s="108" t="str">
        <v>P125H365</v>
      </c>
      <c r="O1851" s="108">
        <f t="shared" si="30"/>
        <v>1</v>
      </c>
      <c r="P1851" s="108"/>
      <c r="Q1851"/>
    </row>
    <row r="1852" spans="1:17" x14ac:dyDescent="0.25">
      <c r="A1852" s="89" t="s">
        <v>5832</v>
      </c>
      <c r="B1852" s="87" t="s">
        <v>5833</v>
      </c>
      <c r="C1852" s="87" t="s">
        <v>8</v>
      </c>
      <c r="D1852" s="87" t="str">
        <f>VLOOKUP(Tabela1[[#This Row],[Origem]], 'Perguntas 1 a 24'!$J$28:$K$34, 2, 0)</f>
        <v>Nordeste</v>
      </c>
      <c r="E1852" s="87" t="str">
        <f>Tabela1[[#This Row],[Descrição]]&amp;"-"&amp;Tabela1[[#This Row],[Código]]&amp;"/"&amp;Tabela1[[#This Row],[Origem]]</f>
        <v>Fopuvi-P297P621/AL</v>
      </c>
      <c r="F1852" s="88">
        <v>46568</v>
      </c>
      <c r="G1852" s="88" t="str" cm="1">
        <f t="array" ref="G18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AND(F1852&gt;= DATE(2026,1,1), F1852&lt;= DATE(2028, 12, 31), J1852&gt;50000), "Pendente e Caro", AND(F1852&gt;= DATE(2026,1,1), F1852&lt;= DATE(2028, 12, 31), J1852&lt;=50000), "Pendente", F1852&gt;= DATE(2029,1,1), "Não prioeitário")</f>
        <v>Pendente e Caro</v>
      </c>
      <c r="H1852" s="89">
        <f>YEAR(Tabela1[[#This Row],[Data de Validade]])</f>
        <v>2027</v>
      </c>
      <c r="I1852" s="89">
        <f>MONTH(Tabela1[[#This Row],[Data de Validade]])</f>
        <v>6</v>
      </c>
      <c r="J1852" s="101">
        <v>62858</v>
      </c>
      <c r="K1852" s="87" t="s">
        <v>9</v>
      </c>
      <c r="L1852" s="108"/>
      <c r="M1852" s="108"/>
      <c r="N1852" s="108" t="str">
        <v>P297P621</v>
      </c>
      <c r="O1852" s="108">
        <f t="shared" si="30"/>
        <v>1</v>
      </c>
      <c r="P1852" s="108"/>
      <c r="Q1852"/>
    </row>
    <row r="1853" spans="1:17" x14ac:dyDescent="0.25">
      <c r="A1853" s="89" t="s">
        <v>9553</v>
      </c>
      <c r="B1853" s="87" t="s">
        <v>9554</v>
      </c>
      <c r="C1853" s="87" t="s">
        <v>12</v>
      </c>
      <c r="D1853" s="87" t="str">
        <f>VLOOKUP(Tabela1[[#This Row],[Origem]], 'Perguntas 1 a 24'!$J$28:$K$34, 2, 0)</f>
        <v>Sudeste</v>
      </c>
      <c r="E1853" s="87" t="str">
        <f>Tabela1[[#This Row],[Descrição]]&amp;"-"&amp;Tabela1[[#This Row],[Código]]&amp;"/"&amp;Tabela1[[#This Row],[Origem]]</f>
        <v>Tiromegu-H741H769/RJ</v>
      </c>
      <c r="F1853" s="88">
        <v>46569</v>
      </c>
      <c r="G1853" s="88" t="str" cm="1">
        <f t="array" ref="G18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AND(F1853&gt;= DATE(2026,1,1), F1853&lt;= DATE(2028, 12, 31), J1853&gt;50000), "Pendente e Caro", AND(F1853&gt;= DATE(2026,1,1), F1853&lt;= DATE(2028, 12, 31), J1853&lt;=50000), "Pendente", F1853&gt;= DATE(2029,1,1), "Não prioeitário")</f>
        <v>Pendente</v>
      </c>
      <c r="H1853" s="89">
        <f>YEAR(Tabela1[[#This Row],[Data de Validade]])</f>
        <v>2027</v>
      </c>
      <c r="I1853" s="89">
        <f>MONTH(Tabela1[[#This Row],[Data de Validade]])</f>
        <v>7</v>
      </c>
      <c r="J1853" s="101">
        <v>26609</v>
      </c>
      <c r="K1853" s="87" t="s">
        <v>7</v>
      </c>
      <c r="L1853" s="108"/>
      <c r="M1853" s="108"/>
      <c r="N1853" s="108" t="str">
        <v>H741H769</v>
      </c>
      <c r="O1853" s="108">
        <f t="shared" si="30"/>
        <v>1</v>
      </c>
      <c r="P1853" s="108"/>
      <c r="Q1853"/>
    </row>
    <row r="1854" spans="1:17" x14ac:dyDescent="0.25">
      <c r="A1854" s="89" t="s">
        <v>4938</v>
      </c>
      <c r="B1854" s="87" t="s">
        <v>4939</v>
      </c>
      <c r="C1854" s="87" t="s">
        <v>16</v>
      </c>
      <c r="D1854" s="87" t="str">
        <f>VLOOKUP(Tabela1[[#This Row],[Origem]], 'Perguntas 1 a 24'!$J$28:$K$34, 2, 0)</f>
        <v>Sudeste</v>
      </c>
      <c r="E1854" s="87" t="str">
        <f>Tabela1[[#This Row],[Descrição]]&amp;"-"&amp;Tabela1[[#This Row],[Código]]&amp;"/"&amp;Tabela1[[#This Row],[Origem]]</f>
        <v>Purelegete-P842P434/MG</v>
      </c>
      <c r="F1854" s="88">
        <v>46570</v>
      </c>
      <c r="G1854" s="88" t="str" cm="1">
        <f t="array" ref="G18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AND(F1854&gt;= DATE(2026,1,1), F1854&lt;= DATE(2028, 12, 31), J1854&gt;50000), "Pendente e Caro", AND(F1854&gt;= DATE(2026,1,1), F1854&lt;= DATE(2028, 12, 31), J1854&lt;=50000), "Pendente", F1854&gt;= DATE(2029,1,1), "Não prioeitário")</f>
        <v>Pendente e Caro</v>
      </c>
      <c r="H1854" s="89">
        <f>YEAR(Tabela1[[#This Row],[Data de Validade]])</f>
        <v>2027</v>
      </c>
      <c r="I1854" s="89">
        <f>MONTH(Tabela1[[#This Row],[Data de Validade]])</f>
        <v>7</v>
      </c>
      <c r="J1854" s="101">
        <v>117822</v>
      </c>
      <c r="K1854" s="87" t="s">
        <v>11</v>
      </c>
      <c r="L1854" s="108"/>
      <c r="M1854" s="108"/>
      <c r="N1854" s="108" t="str">
        <v>P842P434</v>
      </c>
      <c r="O1854" s="108">
        <f t="shared" si="30"/>
        <v>1</v>
      </c>
      <c r="P1854" s="108"/>
      <c r="Q1854"/>
    </row>
    <row r="1855" spans="1:17" x14ac:dyDescent="0.25">
      <c r="A1855" s="89" t="s">
        <v>6742</v>
      </c>
      <c r="B1855" s="87" t="s">
        <v>6743</v>
      </c>
      <c r="C1855" s="87" t="s">
        <v>16</v>
      </c>
      <c r="D1855" s="87" t="str">
        <f>VLOOKUP(Tabela1[[#This Row],[Origem]], 'Perguntas 1 a 24'!$J$28:$K$34, 2, 0)</f>
        <v>Sudeste</v>
      </c>
      <c r="E1855" s="87" t="str">
        <f>Tabela1[[#This Row],[Descrição]]&amp;"-"&amp;Tabela1[[#This Row],[Código]]&amp;"/"&amp;Tabela1[[#This Row],[Origem]]</f>
        <v>Dopife-P974P613/MG</v>
      </c>
      <c r="F1855" s="88">
        <v>46571</v>
      </c>
      <c r="G1855" s="88" t="str" cm="1">
        <f t="array" ref="G18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AND(F1855&gt;= DATE(2026,1,1), F1855&lt;= DATE(2028, 12, 31), J1855&gt;50000), "Pendente e Caro", AND(F1855&gt;= DATE(2026,1,1), F1855&lt;= DATE(2028, 12, 31), J1855&lt;=50000), "Pendente", F1855&gt;= DATE(2029,1,1), "Não prioeitário")</f>
        <v>Pendente e Caro</v>
      </c>
      <c r="H1855" s="89">
        <f>YEAR(Tabela1[[#This Row],[Data de Validade]])</f>
        <v>2027</v>
      </c>
      <c r="I1855" s="89">
        <f>MONTH(Tabela1[[#This Row],[Data de Validade]])</f>
        <v>7</v>
      </c>
      <c r="J1855" s="101">
        <v>113442</v>
      </c>
      <c r="K1855" s="87" t="s">
        <v>9</v>
      </c>
      <c r="L1855" s="108"/>
      <c r="M1855" s="108"/>
      <c r="N1855" s="108" t="str">
        <v>P974P613</v>
      </c>
      <c r="O1855" s="108">
        <f t="shared" si="30"/>
        <v>1</v>
      </c>
      <c r="P1855" s="108"/>
      <c r="Q1855"/>
    </row>
    <row r="1856" spans="1:17" x14ac:dyDescent="0.25">
      <c r="A1856" s="89" t="s">
        <v>11086</v>
      </c>
      <c r="B1856" s="87" t="s">
        <v>11087</v>
      </c>
      <c r="C1856" s="87" t="s">
        <v>16</v>
      </c>
      <c r="D1856" s="87" t="str">
        <f>VLOOKUP(Tabela1[[#This Row],[Origem]], 'Perguntas 1 a 24'!$J$28:$K$34, 2, 0)</f>
        <v>Sudeste</v>
      </c>
      <c r="E1856" s="87" t="str">
        <f>Tabela1[[#This Row],[Descrição]]&amp;"-"&amp;Tabela1[[#This Row],[Código]]&amp;"/"&amp;Tabela1[[#This Row],[Origem]]</f>
        <v>Rugepoteni-H622P377/MG</v>
      </c>
      <c r="F1856" s="88">
        <v>46571</v>
      </c>
      <c r="G1856" s="88" t="str" cm="1">
        <f t="array" ref="G18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AND(F1856&gt;= DATE(2026,1,1), F1856&lt;= DATE(2028, 12, 31), J1856&gt;50000), "Pendente e Caro", AND(F1856&gt;= DATE(2026,1,1), F1856&lt;= DATE(2028, 12, 31), J1856&lt;=50000), "Pendente", F1856&gt;= DATE(2029,1,1), "Não prioeitário")</f>
        <v>Pendente e Caro</v>
      </c>
      <c r="H1856" s="89">
        <f>YEAR(Tabela1[[#This Row],[Data de Validade]])</f>
        <v>2027</v>
      </c>
      <c r="I1856" s="89">
        <f>MONTH(Tabela1[[#This Row],[Data de Validade]])</f>
        <v>7</v>
      </c>
      <c r="J1856" s="101">
        <v>107888</v>
      </c>
      <c r="K1856" s="87" t="s">
        <v>11</v>
      </c>
      <c r="L1856" s="108"/>
      <c r="M1856" s="108"/>
      <c r="N1856" s="108" t="str">
        <v>H622P377</v>
      </c>
      <c r="O1856" s="108">
        <f t="shared" si="30"/>
        <v>1</v>
      </c>
      <c r="P1856" s="108"/>
      <c r="Q1856"/>
    </row>
    <row r="1857" spans="1:17" x14ac:dyDescent="0.25">
      <c r="A1857" s="89" t="s">
        <v>5456</v>
      </c>
      <c r="B1857" s="87" t="s">
        <v>5457</v>
      </c>
      <c r="C1857" s="87" t="s">
        <v>16</v>
      </c>
      <c r="D1857" s="87" t="str">
        <f>VLOOKUP(Tabela1[[#This Row],[Origem]], 'Perguntas 1 a 24'!$J$28:$K$34, 2, 0)</f>
        <v>Sudeste</v>
      </c>
      <c r="E1857" s="87" t="str">
        <f>Tabela1[[#This Row],[Descrição]]&amp;"-"&amp;Tabela1[[#This Row],[Código]]&amp;"/"&amp;Tabela1[[#This Row],[Origem]]</f>
        <v>Rarudacu-P569H286/MG</v>
      </c>
      <c r="F1857" s="88">
        <v>46571</v>
      </c>
      <c r="G1857" s="88" t="str" cm="1">
        <f t="array" ref="G18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AND(F1857&gt;= DATE(2026,1,1), F1857&lt;= DATE(2028, 12, 31), J1857&gt;50000), "Pendente e Caro", AND(F1857&gt;= DATE(2026,1,1), F1857&lt;= DATE(2028, 12, 31), J1857&lt;=50000), "Pendente", F1857&gt;= DATE(2029,1,1), "Não prioeitário")</f>
        <v>Pendente e Caro</v>
      </c>
      <c r="H1857" s="89">
        <f>YEAR(Tabela1[[#This Row],[Data de Validade]])</f>
        <v>2027</v>
      </c>
      <c r="I1857" s="89">
        <f>MONTH(Tabela1[[#This Row],[Data de Validade]])</f>
        <v>7</v>
      </c>
      <c r="J1857" s="101">
        <v>78767</v>
      </c>
      <c r="K1857" s="87" t="s">
        <v>14</v>
      </c>
      <c r="L1857" s="108"/>
      <c r="M1857" s="108"/>
      <c r="N1857" s="108" t="str">
        <v>P569H286</v>
      </c>
      <c r="O1857" s="108">
        <f t="shared" si="30"/>
        <v>1</v>
      </c>
      <c r="P1857" s="108"/>
      <c r="Q1857"/>
    </row>
    <row r="1858" spans="1:17" x14ac:dyDescent="0.25">
      <c r="A1858" s="89" t="s">
        <v>8002</v>
      </c>
      <c r="B1858" s="87" t="s">
        <v>8003</v>
      </c>
      <c r="C1858" s="87" t="s">
        <v>16</v>
      </c>
      <c r="D1858" s="87" t="str">
        <f>VLOOKUP(Tabela1[[#This Row],[Origem]], 'Perguntas 1 a 24'!$J$28:$K$34, 2, 0)</f>
        <v>Sudeste</v>
      </c>
      <c r="E1858" s="87" t="str">
        <f>Tabela1[[#This Row],[Descrição]]&amp;"-"&amp;Tabela1[[#This Row],[Código]]&amp;"/"&amp;Tabela1[[#This Row],[Origem]]</f>
        <v>Tacirima-H695H597/MG</v>
      </c>
      <c r="F1858" s="88">
        <v>46573</v>
      </c>
      <c r="G1858" s="88" t="str" cm="1">
        <f t="array" ref="G18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AND(F1858&gt;= DATE(2026,1,1), F1858&lt;= DATE(2028, 12, 31), J1858&gt;50000), "Pendente e Caro", AND(F1858&gt;= DATE(2026,1,1), F1858&lt;= DATE(2028, 12, 31), J1858&lt;=50000), "Pendente", F1858&gt;= DATE(2029,1,1), "Não prioeitário")</f>
        <v>Pendente e Caro</v>
      </c>
      <c r="H1858" s="89">
        <f>YEAR(Tabela1[[#This Row],[Data de Validade]])</f>
        <v>2027</v>
      </c>
      <c r="I1858" s="89">
        <f>MONTH(Tabela1[[#This Row],[Data de Validade]])</f>
        <v>7</v>
      </c>
      <c r="J1858" s="101">
        <v>86094</v>
      </c>
      <c r="K1858" s="87" t="s">
        <v>14</v>
      </c>
      <c r="L1858" s="108"/>
      <c r="M1858" s="108"/>
      <c r="N1858" s="108" t="str">
        <v>H695H597</v>
      </c>
      <c r="O1858" s="108">
        <f t="shared" si="30"/>
        <v>1</v>
      </c>
      <c r="P1858" s="108"/>
      <c r="Q1858"/>
    </row>
    <row r="1859" spans="1:17" x14ac:dyDescent="0.25">
      <c r="A1859" s="89" t="s">
        <v>10061</v>
      </c>
      <c r="B1859" s="87" t="s">
        <v>10062</v>
      </c>
      <c r="C1859" s="87" t="s">
        <v>13</v>
      </c>
      <c r="D1859" s="87" t="str">
        <f>VLOOKUP(Tabela1[[#This Row],[Origem]], 'Perguntas 1 a 24'!$J$28:$K$34, 2, 0)</f>
        <v>Sudeste</v>
      </c>
      <c r="E1859" s="87" t="str">
        <f>Tabela1[[#This Row],[Descrição]]&amp;"-"&amp;Tabela1[[#This Row],[Código]]&amp;"/"&amp;Tabela1[[#This Row],[Origem]]</f>
        <v>Menemuvu-H889H649/SP</v>
      </c>
      <c r="F1859" s="88">
        <v>46573</v>
      </c>
      <c r="G1859" s="88" t="str" cm="1">
        <f t="array" ref="G18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AND(F1859&gt;= DATE(2026,1,1), F1859&lt;= DATE(2028, 12, 31), J1859&gt;50000), "Pendente e Caro", AND(F1859&gt;= DATE(2026,1,1), F1859&lt;= DATE(2028, 12, 31), J1859&lt;=50000), "Pendente", F1859&gt;= DATE(2029,1,1), "Não prioeitário")</f>
        <v>Pendente e Caro</v>
      </c>
      <c r="H1859" s="89">
        <f>YEAR(Tabela1[[#This Row],[Data de Validade]])</f>
        <v>2027</v>
      </c>
      <c r="I1859" s="89">
        <f>MONTH(Tabela1[[#This Row],[Data de Validade]])</f>
        <v>7</v>
      </c>
      <c r="J1859" s="101">
        <v>85672</v>
      </c>
      <c r="K1859" s="87" t="s">
        <v>7</v>
      </c>
      <c r="L1859" s="108"/>
      <c r="M1859" s="108"/>
      <c r="N1859" s="108" t="str">
        <v>H889H649</v>
      </c>
      <c r="O1859" s="108">
        <f t="shared" ref="O1859:O1922" si="31">COUNTIFS(B:B,N1859)</f>
        <v>1</v>
      </c>
      <c r="P1859" s="108"/>
      <c r="Q1859"/>
    </row>
    <row r="1860" spans="1:17" x14ac:dyDescent="0.25">
      <c r="A1860" s="89" t="s">
        <v>9803</v>
      </c>
      <c r="B1860" s="87" t="s">
        <v>9804</v>
      </c>
      <c r="C1860" s="87" t="s">
        <v>10</v>
      </c>
      <c r="D1860" s="87" t="str">
        <f>VLOOKUP(Tabela1[[#This Row],[Origem]], 'Perguntas 1 a 24'!$J$28:$K$34, 2, 0)</f>
        <v>Centro-Oeste</v>
      </c>
      <c r="E1860" s="87" t="str">
        <f>Tabela1[[#This Row],[Descrição]]&amp;"-"&amp;Tabela1[[#This Row],[Código]]&amp;"/"&amp;Tabela1[[#This Row],[Origem]]</f>
        <v>Feticocu-H558P142/GO</v>
      </c>
      <c r="F1860" s="88">
        <v>46574</v>
      </c>
      <c r="G1860" s="88" t="str" cm="1">
        <f t="array" ref="G18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AND(F1860&gt;= DATE(2026,1,1), F1860&lt;= DATE(2028, 12, 31), J1860&gt;50000), "Pendente e Caro", AND(F1860&gt;= DATE(2026,1,1), F1860&lt;= DATE(2028, 12, 31), J1860&lt;=50000), "Pendente", F1860&gt;= DATE(2029,1,1), "Não prioeitário")</f>
        <v>Pendente e Caro</v>
      </c>
      <c r="H1860" s="89">
        <f>YEAR(Tabela1[[#This Row],[Data de Validade]])</f>
        <v>2027</v>
      </c>
      <c r="I1860" s="89">
        <f>MONTH(Tabela1[[#This Row],[Data de Validade]])</f>
        <v>7</v>
      </c>
      <c r="J1860" s="101">
        <v>88313</v>
      </c>
      <c r="K1860" s="87" t="s">
        <v>9</v>
      </c>
      <c r="L1860" s="108"/>
      <c r="M1860" s="108"/>
      <c r="N1860" s="108" t="str">
        <v>H558P142</v>
      </c>
      <c r="O1860" s="108">
        <f t="shared" si="31"/>
        <v>1</v>
      </c>
      <c r="P1860" s="108"/>
      <c r="Q1860"/>
    </row>
    <row r="1861" spans="1:17" x14ac:dyDescent="0.25">
      <c r="A1861" s="89" t="s">
        <v>5446</v>
      </c>
      <c r="B1861" s="87" t="s">
        <v>5447</v>
      </c>
      <c r="C1861" s="87" t="s">
        <v>6</v>
      </c>
      <c r="D1861" s="87" t="str">
        <f>VLOOKUP(Tabela1[[#This Row],[Origem]], 'Perguntas 1 a 24'!$J$28:$K$34, 2, 0)</f>
        <v>Nordeste</v>
      </c>
      <c r="E1861" s="87" t="str">
        <f>Tabela1[[#This Row],[Descrição]]&amp;"-"&amp;Tabela1[[#This Row],[Código]]&amp;"/"&amp;Tabela1[[#This Row],[Origem]]</f>
        <v>Fipigi-P949H871/MA</v>
      </c>
      <c r="F1861" s="88">
        <v>46575</v>
      </c>
      <c r="G1861" s="88" t="str" cm="1">
        <f t="array" ref="G18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AND(F1861&gt;= DATE(2026,1,1), F1861&lt;= DATE(2028, 12, 31), J1861&gt;50000), "Pendente e Caro", AND(F1861&gt;= DATE(2026,1,1), F1861&lt;= DATE(2028, 12, 31), J1861&lt;=50000), "Pendente", F1861&gt;= DATE(2029,1,1), "Não prioeitário")</f>
        <v>Pendente e Caro</v>
      </c>
      <c r="H1861" s="89">
        <f>YEAR(Tabela1[[#This Row],[Data de Validade]])</f>
        <v>2027</v>
      </c>
      <c r="I1861" s="89">
        <f>MONTH(Tabela1[[#This Row],[Data de Validade]])</f>
        <v>7</v>
      </c>
      <c r="J1861" s="101">
        <v>108519</v>
      </c>
      <c r="K1861" s="87" t="s">
        <v>11</v>
      </c>
      <c r="L1861" s="108"/>
      <c r="M1861" s="108"/>
      <c r="N1861" s="108" t="str">
        <v>P949H871</v>
      </c>
      <c r="O1861" s="108">
        <f t="shared" si="31"/>
        <v>1</v>
      </c>
      <c r="P1861" s="108"/>
      <c r="Q1861"/>
    </row>
    <row r="1862" spans="1:17" x14ac:dyDescent="0.25">
      <c r="A1862" s="89" t="s">
        <v>5326</v>
      </c>
      <c r="B1862" s="87" t="s">
        <v>5327</v>
      </c>
      <c r="C1862" s="87" t="s">
        <v>12</v>
      </c>
      <c r="D1862" s="87" t="str">
        <f>VLOOKUP(Tabela1[[#This Row],[Origem]], 'Perguntas 1 a 24'!$J$28:$K$34, 2, 0)</f>
        <v>Sudeste</v>
      </c>
      <c r="E1862" s="87" t="str">
        <f>Tabela1[[#This Row],[Descrição]]&amp;"-"&amp;Tabela1[[#This Row],[Código]]&amp;"/"&amp;Tabela1[[#This Row],[Origem]]</f>
        <v>Mefatare-P913P669/RJ</v>
      </c>
      <c r="F1862" s="88">
        <v>46575</v>
      </c>
      <c r="G1862" s="88" t="str" cm="1">
        <f t="array" ref="G18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AND(F1862&gt;= DATE(2026,1,1), F1862&lt;= DATE(2028, 12, 31), J1862&gt;50000), "Pendente e Caro", AND(F1862&gt;= DATE(2026,1,1), F1862&lt;= DATE(2028, 12, 31), J1862&lt;=50000), "Pendente", F1862&gt;= DATE(2029,1,1), "Não prioeitário")</f>
        <v>Pendente e Caro</v>
      </c>
      <c r="H1862" s="89">
        <f>YEAR(Tabela1[[#This Row],[Data de Validade]])</f>
        <v>2027</v>
      </c>
      <c r="I1862" s="89">
        <f>MONTH(Tabela1[[#This Row],[Data de Validade]])</f>
        <v>7</v>
      </c>
      <c r="J1862" s="101">
        <v>89921</v>
      </c>
      <c r="K1862" s="87" t="s">
        <v>14</v>
      </c>
      <c r="L1862" s="108"/>
      <c r="M1862" s="108"/>
      <c r="N1862" s="108" t="str">
        <v>P913P669</v>
      </c>
      <c r="O1862" s="108">
        <f t="shared" si="31"/>
        <v>1</v>
      </c>
      <c r="P1862" s="108"/>
      <c r="Q1862"/>
    </row>
    <row r="1863" spans="1:17" x14ac:dyDescent="0.25">
      <c r="A1863" s="89" t="s">
        <v>5394</v>
      </c>
      <c r="B1863" s="87" t="s">
        <v>5395</v>
      </c>
      <c r="C1863" s="87" t="s">
        <v>15</v>
      </c>
      <c r="D1863" s="87" t="str">
        <f>VLOOKUP(Tabela1[[#This Row],[Origem]], 'Perguntas 1 a 24'!$J$28:$K$34, 2, 0)</f>
        <v>Sudeste</v>
      </c>
      <c r="E1863" s="87" t="str">
        <f>Tabela1[[#This Row],[Descrição]]&amp;"-"&amp;Tabela1[[#This Row],[Código]]&amp;"/"&amp;Tabela1[[#This Row],[Origem]]</f>
        <v>Dimitire-H241P754/ES</v>
      </c>
      <c r="F1863" s="88">
        <v>46577</v>
      </c>
      <c r="G1863" s="88" t="str" cm="1">
        <f t="array" ref="G18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AND(F1863&gt;= DATE(2026,1,1), F1863&lt;= DATE(2028, 12, 31), J1863&gt;50000), "Pendente e Caro", AND(F1863&gt;= DATE(2026,1,1), F1863&lt;= DATE(2028, 12, 31), J1863&lt;=50000), "Pendente", F1863&gt;= DATE(2029,1,1), "Não prioeitário")</f>
        <v>Pendente e Caro</v>
      </c>
      <c r="H1863" s="89">
        <f>YEAR(Tabela1[[#This Row],[Data de Validade]])</f>
        <v>2027</v>
      </c>
      <c r="I1863" s="89">
        <f>MONTH(Tabela1[[#This Row],[Data de Validade]])</f>
        <v>7</v>
      </c>
      <c r="J1863" s="101">
        <v>55797</v>
      </c>
      <c r="K1863" s="87" t="s">
        <v>14</v>
      </c>
      <c r="L1863" s="108"/>
      <c r="M1863" s="108"/>
      <c r="N1863" s="108" t="str">
        <v>H241P754</v>
      </c>
      <c r="O1863" s="108">
        <f t="shared" si="31"/>
        <v>1</v>
      </c>
      <c r="P1863" s="108"/>
      <c r="Q1863"/>
    </row>
    <row r="1864" spans="1:17" x14ac:dyDescent="0.25">
      <c r="A1864" s="89" t="s">
        <v>9613</v>
      </c>
      <c r="B1864" s="87" t="s">
        <v>9614</v>
      </c>
      <c r="C1864" s="87" t="s">
        <v>12</v>
      </c>
      <c r="D1864" s="87" t="str">
        <f>VLOOKUP(Tabela1[[#This Row],[Origem]], 'Perguntas 1 a 24'!$J$28:$K$34, 2, 0)</f>
        <v>Sudeste</v>
      </c>
      <c r="E1864" s="87" t="str">
        <f>Tabela1[[#This Row],[Descrição]]&amp;"-"&amp;Tabela1[[#This Row],[Código]]&amp;"/"&amp;Tabela1[[#This Row],[Origem]]</f>
        <v>Riderule-H764H331/RJ</v>
      </c>
      <c r="F1864" s="88">
        <v>46579</v>
      </c>
      <c r="G1864" s="88" t="str" cm="1">
        <f t="array" ref="G18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AND(F1864&gt;= DATE(2026,1,1), F1864&lt;= DATE(2028, 12, 31), J1864&gt;50000), "Pendente e Caro", AND(F1864&gt;= DATE(2026,1,1), F1864&lt;= DATE(2028, 12, 31), J1864&lt;=50000), "Pendente", F1864&gt;= DATE(2029,1,1), "Não prioeitário")</f>
        <v>Pendente e Caro</v>
      </c>
      <c r="H1864" s="89">
        <f>YEAR(Tabela1[[#This Row],[Data de Validade]])</f>
        <v>2027</v>
      </c>
      <c r="I1864" s="89">
        <f>MONTH(Tabela1[[#This Row],[Data de Validade]])</f>
        <v>7</v>
      </c>
      <c r="J1864" s="101">
        <v>94305</v>
      </c>
      <c r="K1864" s="87" t="s">
        <v>9</v>
      </c>
      <c r="L1864" s="108"/>
      <c r="M1864" s="108"/>
      <c r="N1864" s="108" t="str">
        <v>H764H331</v>
      </c>
      <c r="O1864" s="108">
        <f t="shared" si="31"/>
        <v>1</v>
      </c>
      <c r="P1864" s="108"/>
      <c r="Q1864"/>
    </row>
    <row r="1865" spans="1:17" x14ac:dyDescent="0.25">
      <c r="A1865" s="89" t="s">
        <v>5368</v>
      </c>
      <c r="B1865" s="87" t="s">
        <v>5369</v>
      </c>
      <c r="C1865" s="87" t="s">
        <v>8</v>
      </c>
      <c r="D1865" s="87" t="str">
        <f>VLOOKUP(Tabela1[[#This Row],[Origem]], 'Perguntas 1 a 24'!$J$28:$K$34, 2, 0)</f>
        <v>Nordeste</v>
      </c>
      <c r="E1865" s="87" t="str">
        <f>Tabela1[[#This Row],[Descrição]]&amp;"-"&amp;Tabela1[[#This Row],[Código]]&amp;"/"&amp;Tabela1[[#This Row],[Origem]]</f>
        <v>Pigupipeta-P518P274/AL</v>
      </c>
      <c r="F1865" s="88">
        <v>46579</v>
      </c>
      <c r="G1865" s="88" t="str" cm="1">
        <f t="array" ref="G18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AND(F1865&gt;= DATE(2026,1,1), F1865&lt;= DATE(2028, 12, 31), J1865&gt;50000), "Pendente e Caro", AND(F1865&gt;= DATE(2026,1,1), F1865&lt;= DATE(2028, 12, 31), J1865&lt;=50000), "Pendente", F1865&gt;= DATE(2029,1,1), "Não prioeitário")</f>
        <v>Pendente e Caro</v>
      </c>
      <c r="H1865" s="89">
        <f>YEAR(Tabela1[[#This Row],[Data de Validade]])</f>
        <v>2027</v>
      </c>
      <c r="I1865" s="89">
        <f>MONTH(Tabela1[[#This Row],[Data de Validade]])</f>
        <v>7</v>
      </c>
      <c r="J1865" s="101">
        <v>78469</v>
      </c>
      <c r="K1865" s="87" t="s">
        <v>11</v>
      </c>
      <c r="L1865" s="108"/>
      <c r="M1865" s="108"/>
      <c r="N1865" s="108" t="str">
        <v>P518P274</v>
      </c>
      <c r="O1865" s="108">
        <f t="shared" si="31"/>
        <v>1</v>
      </c>
      <c r="P1865" s="108"/>
      <c r="Q1865"/>
    </row>
    <row r="1866" spans="1:17" x14ac:dyDescent="0.25">
      <c r="A1866" s="89" t="s">
        <v>4211</v>
      </c>
      <c r="B1866" s="87" t="s">
        <v>4212</v>
      </c>
      <c r="C1866" s="87" t="s">
        <v>13</v>
      </c>
      <c r="D1866" s="87" t="str">
        <f>VLOOKUP(Tabela1[[#This Row],[Origem]], 'Perguntas 1 a 24'!$J$28:$K$34, 2, 0)</f>
        <v>Sudeste</v>
      </c>
      <c r="E1866" s="87" t="str">
        <f>Tabela1[[#This Row],[Descrição]]&amp;"-"&amp;Tabela1[[#This Row],[Código]]&amp;"/"&amp;Tabela1[[#This Row],[Origem]]</f>
        <v>Tilodaderi-H343P826/SP</v>
      </c>
      <c r="F1866" s="88">
        <v>46580</v>
      </c>
      <c r="G1866" s="88" t="str" cm="1">
        <f t="array" ref="G18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AND(F1866&gt;= DATE(2026,1,1), F1866&lt;= DATE(2028, 12, 31), J1866&gt;50000), "Pendente e Caro", AND(F1866&gt;= DATE(2026,1,1), F1866&lt;= DATE(2028, 12, 31), J1866&lt;=50000), "Pendente", F1866&gt;= DATE(2029,1,1), "Não prioeitário")</f>
        <v>Pendente</v>
      </c>
      <c r="H1866" s="89">
        <f>YEAR(Tabela1[[#This Row],[Data de Validade]])</f>
        <v>2027</v>
      </c>
      <c r="I1866" s="89">
        <f>MONTH(Tabela1[[#This Row],[Data de Validade]])</f>
        <v>7</v>
      </c>
      <c r="J1866" s="101">
        <v>22617</v>
      </c>
      <c r="K1866" s="87" t="s">
        <v>11</v>
      </c>
      <c r="L1866" s="108"/>
      <c r="M1866" s="108"/>
      <c r="N1866" s="108" t="str">
        <v>H343P826</v>
      </c>
      <c r="O1866" s="108">
        <f t="shared" si="31"/>
        <v>1</v>
      </c>
      <c r="P1866" s="108"/>
      <c r="Q1866"/>
    </row>
    <row r="1867" spans="1:17" x14ac:dyDescent="0.25">
      <c r="A1867" s="89" t="s">
        <v>8745</v>
      </c>
      <c r="B1867" s="87" t="s">
        <v>8746</v>
      </c>
      <c r="C1867" s="87" t="s">
        <v>8</v>
      </c>
      <c r="D1867" s="87" t="str">
        <f>VLOOKUP(Tabela1[[#This Row],[Origem]], 'Perguntas 1 a 24'!$J$28:$K$34, 2, 0)</f>
        <v>Nordeste</v>
      </c>
      <c r="E1867" s="87" t="str">
        <f>Tabela1[[#This Row],[Descrição]]&amp;"-"&amp;Tabela1[[#This Row],[Código]]&amp;"/"&amp;Tabela1[[#This Row],[Origem]]</f>
        <v>Fapupota-P174H233/AL</v>
      </c>
      <c r="F1867" s="88">
        <v>46581</v>
      </c>
      <c r="G1867" s="88" t="str" cm="1">
        <f t="array" ref="G18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AND(F1867&gt;= DATE(2026,1,1), F1867&lt;= DATE(2028, 12, 31), J1867&gt;50000), "Pendente e Caro", AND(F1867&gt;= DATE(2026,1,1), F1867&lt;= DATE(2028, 12, 31), J1867&lt;=50000), "Pendente", F1867&gt;= DATE(2029,1,1), "Não prioeitário")</f>
        <v>Pendente</v>
      </c>
      <c r="H1867" s="89">
        <f>YEAR(Tabela1[[#This Row],[Data de Validade]])</f>
        <v>2027</v>
      </c>
      <c r="I1867" s="89">
        <f>MONTH(Tabela1[[#This Row],[Data de Validade]])</f>
        <v>7</v>
      </c>
      <c r="J1867" s="101">
        <v>31890</v>
      </c>
      <c r="K1867" s="87" t="s">
        <v>14</v>
      </c>
      <c r="L1867" s="108"/>
      <c r="M1867" s="108"/>
      <c r="N1867" s="108" t="str">
        <v>P174H233</v>
      </c>
      <c r="O1867" s="108">
        <f t="shared" si="31"/>
        <v>1</v>
      </c>
      <c r="P1867" s="108"/>
      <c r="Q1867"/>
    </row>
    <row r="1868" spans="1:17" x14ac:dyDescent="0.25">
      <c r="A1868" s="89" t="s">
        <v>4654</v>
      </c>
      <c r="B1868" s="87" t="s">
        <v>4655</v>
      </c>
      <c r="C1868" s="87" t="s">
        <v>13</v>
      </c>
      <c r="D1868" s="87" t="str">
        <f>VLOOKUP(Tabela1[[#This Row],[Origem]], 'Perguntas 1 a 24'!$J$28:$K$34, 2, 0)</f>
        <v>Sudeste</v>
      </c>
      <c r="E1868" s="87" t="str">
        <f>Tabela1[[#This Row],[Descrição]]&amp;"-"&amp;Tabela1[[#This Row],[Código]]&amp;"/"&amp;Tabela1[[#This Row],[Origem]]</f>
        <v>Numupunoda-P567H617/SP</v>
      </c>
      <c r="F1868" s="88">
        <v>46582</v>
      </c>
      <c r="G1868" s="88" t="str" cm="1">
        <f t="array" ref="G18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AND(F1868&gt;= DATE(2026,1,1), F1868&lt;= DATE(2028, 12, 31), J1868&gt;50000), "Pendente e Caro", AND(F1868&gt;= DATE(2026,1,1), F1868&lt;= DATE(2028, 12, 31), J1868&lt;=50000), "Pendente", F1868&gt;= DATE(2029,1,1), "Não prioeitário")</f>
        <v>Pendente e Caro</v>
      </c>
      <c r="H1868" s="89">
        <f>YEAR(Tabela1[[#This Row],[Data de Validade]])</f>
        <v>2027</v>
      </c>
      <c r="I1868" s="89">
        <f>MONTH(Tabela1[[#This Row],[Data de Validade]])</f>
        <v>7</v>
      </c>
      <c r="J1868" s="101">
        <v>101970</v>
      </c>
      <c r="K1868" s="87" t="s">
        <v>9</v>
      </c>
      <c r="L1868" s="108"/>
      <c r="M1868" s="108"/>
      <c r="N1868" s="108" t="str">
        <v>P567H617</v>
      </c>
      <c r="O1868" s="108">
        <f t="shared" si="31"/>
        <v>1</v>
      </c>
      <c r="P1868" s="108"/>
      <c r="Q1868"/>
    </row>
    <row r="1869" spans="1:17" x14ac:dyDescent="0.25">
      <c r="A1869" s="89" t="s">
        <v>11098</v>
      </c>
      <c r="B1869" s="87" t="s">
        <v>11099</v>
      </c>
      <c r="C1869" s="87" t="s">
        <v>8</v>
      </c>
      <c r="D1869" s="87" t="str">
        <f>VLOOKUP(Tabela1[[#This Row],[Origem]], 'Perguntas 1 a 24'!$J$28:$K$34, 2, 0)</f>
        <v>Nordeste</v>
      </c>
      <c r="E1869" s="87" t="str">
        <f>Tabela1[[#This Row],[Descrição]]&amp;"-"&amp;Tabela1[[#This Row],[Código]]&amp;"/"&amp;Tabela1[[#This Row],[Origem]]</f>
        <v>Nupigatepu-P232P518/AL</v>
      </c>
      <c r="F1869" s="88">
        <v>46583</v>
      </c>
      <c r="G1869" s="88" t="str" cm="1">
        <f t="array" ref="G18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AND(F1869&gt;= DATE(2026,1,1), F1869&lt;= DATE(2028, 12, 31), J1869&gt;50000), "Pendente e Caro", AND(F1869&gt;= DATE(2026,1,1), F1869&lt;= DATE(2028, 12, 31), J1869&lt;=50000), "Pendente", F1869&gt;= DATE(2029,1,1), "Não prioeitário")</f>
        <v>Pendente e Caro</v>
      </c>
      <c r="H1869" s="89">
        <f>YEAR(Tabela1[[#This Row],[Data de Validade]])</f>
        <v>2027</v>
      </c>
      <c r="I1869" s="89">
        <f>MONTH(Tabela1[[#This Row],[Data de Validade]])</f>
        <v>7</v>
      </c>
      <c r="J1869" s="101">
        <v>95658</v>
      </c>
      <c r="K1869" s="87" t="s">
        <v>9</v>
      </c>
      <c r="L1869" s="108"/>
      <c r="M1869" s="108"/>
      <c r="N1869" s="108" t="str">
        <v>P232P518</v>
      </c>
      <c r="O1869" s="108">
        <f t="shared" si="31"/>
        <v>1</v>
      </c>
      <c r="P1869" s="108"/>
      <c r="Q1869"/>
    </row>
    <row r="1870" spans="1:17" x14ac:dyDescent="0.25">
      <c r="A1870" s="89" t="s">
        <v>10555</v>
      </c>
      <c r="B1870" s="87" t="s">
        <v>10556</v>
      </c>
      <c r="C1870" s="87" t="s">
        <v>15</v>
      </c>
      <c r="D1870" s="87" t="str">
        <f>VLOOKUP(Tabela1[[#This Row],[Origem]], 'Perguntas 1 a 24'!$J$28:$K$34, 2, 0)</f>
        <v>Sudeste</v>
      </c>
      <c r="E1870" s="87" t="str">
        <f>Tabela1[[#This Row],[Descrição]]&amp;"-"&amp;Tabela1[[#This Row],[Código]]&amp;"/"&amp;Tabela1[[#This Row],[Origem]]</f>
        <v>Covufa-P141P481/ES</v>
      </c>
      <c r="F1870" s="88">
        <v>46583</v>
      </c>
      <c r="G1870" s="88" t="str" cm="1">
        <f t="array" ref="G18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AND(F1870&gt;= DATE(2026,1,1), F1870&lt;= DATE(2028, 12, 31), J1870&gt;50000), "Pendente e Caro", AND(F1870&gt;= DATE(2026,1,1), F1870&lt;= DATE(2028, 12, 31), J1870&lt;=50000), "Pendente", F1870&gt;= DATE(2029,1,1), "Não prioeitário")</f>
        <v>Pendente e Caro</v>
      </c>
      <c r="H1870" s="89">
        <f>YEAR(Tabela1[[#This Row],[Data de Validade]])</f>
        <v>2027</v>
      </c>
      <c r="I1870" s="89">
        <f>MONTH(Tabela1[[#This Row],[Data de Validade]])</f>
        <v>7</v>
      </c>
      <c r="J1870" s="101">
        <v>62056</v>
      </c>
      <c r="K1870" s="87" t="s">
        <v>7</v>
      </c>
      <c r="L1870" s="108"/>
      <c r="M1870" s="108"/>
      <c r="N1870" s="108" t="str">
        <v>P141P481</v>
      </c>
      <c r="O1870" s="108">
        <f t="shared" si="31"/>
        <v>1</v>
      </c>
      <c r="P1870" s="108"/>
      <c r="Q1870"/>
    </row>
    <row r="1871" spans="1:17" x14ac:dyDescent="0.25">
      <c r="A1871" s="89" t="s">
        <v>4255</v>
      </c>
      <c r="B1871" s="87" t="s">
        <v>4256</v>
      </c>
      <c r="C1871" s="87" t="s">
        <v>6</v>
      </c>
      <c r="D1871" s="87" t="str">
        <f>VLOOKUP(Tabela1[[#This Row],[Origem]], 'Perguntas 1 a 24'!$J$28:$K$34, 2, 0)</f>
        <v>Nordeste</v>
      </c>
      <c r="E1871" s="87" t="str">
        <f>Tabela1[[#This Row],[Descrição]]&amp;"-"&amp;Tabela1[[#This Row],[Código]]&amp;"/"&amp;Tabela1[[#This Row],[Origem]]</f>
        <v>Paramoco-H536P726/MA</v>
      </c>
      <c r="F1871" s="88">
        <v>46583</v>
      </c>
      <c r="G1871" s="88" t="str" cm="1">
        <f t="array" ref="G18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AND(F1871&gt;= DATE(2026,1,1), F1871&lt;= DATE(2028, 12, 31), J1871&gt;50000), "Pendente e Caro", AND(F1871&gt;= DATE(2026,1,1), F1871&lt;= DATE(2028, 12, 31), J1871&lt;=50000), "Pendente", F1871&gt;= DATE(2029,1,1), "Não prioeitário")</f>
        <v>Pendente</v>
      </c>
      <c r="H1871" s="89">
        <f>YEAR(Tabela1[[#This Row],[Data de Validade]])</f>
        <v>2027</v>
      </c>
      <c r="I1871" s="89">
        <f>MONTH(Tabela1[[#This Row],[Data de Validade]])</f>
        <v>7</v>
      </c>
      <c r="J1871" s="101">
        <v>45734</v>
      </c>
      <c r="K1871" s="87" t="s">
        <v>11</v>
      </c>
      <c r="L1871" s="108"/>
      <c r="M1871" s="108"/>
      <c r="N1871" s="108" t="str">
        <v>H536P726</v>
      </c>
      <c r="O1871" s="108">
        <f t="shared" si="31"/>
        <v>1</v>
      </c>
      <c r="P1871" s="108"/>
      <c r="Q1871"/>
    </row>
    <row r="1872" spans="1:17" x14ac:dyDescent="0.25">
      <c r="A1872" s="89" t="s">
        <v>4508</v>
      </c>
      <c r="B1872" s="87" t="s">
        <v>4509</v>
      </c>
      <c r="C1872" s="87" t="s">
        <v>15</v>
      </c>
      <c r="D1872" s="87" t="str">
        <f>VLOOKUP(Tabela1[[#This Row],[Origem]], 'Perguntas 1 a 24'!$J$28:$K$34, 2, 0)</f>
        <v>Sudeste</v>
      </c>
      <c r="E1872" s="87" t="str">
        <f>Tabela1[[#This Row],[Descrição]]&amp;"-"&amp;Tabela1[[#This Row],[Código]]&amp;"/"&amp;Tabela1[[#This Row],[Origem]]</f>
        <v>Ruravali-H773P155/ES</v>
      </c>
      <c r="F1872" s="88">
        <v>46583</v>
      </c>
      <c r="G1872" s="88" t="str" cm="1">
        <f t="array" ref="G18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AND(F1872&gt;= DATE(2026,1,1), F1872&lt;= DATE(2028, 12, 31), J1872&gt;50000), "Pendente e Caro", AND(F1872&gt;= DATE(2026,1,1), F1872&lt;= DATE(2028, 12, 31), J1872&lt;=50000), "Pendente", F1872&gt;= DATE(2029,1,1), "Não prioeitário")</f>
        <v>Pendente</v>
      </c>
      <c r="H1872" s="89">
        <f>YEAR(Tabela1[[#This Row],[Data de Validade]])</f>
        <v>2027</v>
      </c>
      <c r="I1872" s="89">
        <f>MONTH(Tabela1[[#This Row],[Data de Validade]])</f>
        <v>7</v>
      </c>
      <c r="J1872" s="101">
        <v>42403</v>
      </c>
      <c r="K1872" s="87" t="s">
        <v>11</v>
      </c>
      <c r="L1872" s="108"/>
      <c r="M1872" s="108"/>
      <c r="N1872" s="108" t="str">
        <v>H773P155</v>
      </c>
      <c r="O1872" s="108">
        <f t="shared" si="31"/>
        <v>1</v>
      </c>
      <c r="P1872" s="108"/>
      <c r="Q1872"/>
    </row>
    <row r="1873" spans="1:17" x14ac:dyDescent="0.25">
      <c r="A1873" s="89" t="s">
        <v>4373</v>
      </c>
      <c r="B1873" s="87" t="s">
        <v>4374</v>
      </c>
      <c r="C1873" s="87" t="s">
        <v>6</v>
      </c>
      <c r="D1873" s="87" t="str">
        <f>VLOOKUP(Tabela1[[#This Row],[Origem]], 'Perguntas 1 a 24'!$J$28:$K$34, 2, 0)</f>
        <v>Nordeste</v>
      </c>
      <c r="E1873" s="87" t="str">
        <f>Tabela1[[#This Row],[Descrição]]&amp;"-"&amp;Tabela1[[#This Row],[Código]]&amp;"/"&amp;Tabela1[[#This Row],[Origem]]</f>
        <v>Dulagadanu-H232H376/MA</v>
      </c>
      <c r="F1873" s="88">
        <v>46584</v>
      </c>
      <c r="G1873" s="88" t="str" cm="1">
        <f t="array" ref="G18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AND(F1873&gt;= DATE(2026,1,1), F1873&lt;= DATE(2028, 12, 31), J1873&gt;50000), "Pendente e Caro", AND(F1873&gt;= DATE(2026,1,1), F1873&lt;= DATE(2028, 12, 31), J1873&lt;=50000), "Pendente", F1873&gt;= DATE(2029,1,1), "Não prioeitário")</f>
        <v>Pendente e Caro</v>
      </c>
      <c r="H1873" s="89">
        <f>YEAR(Tabela1[[#This Row],[Data de Validade]])</f>
        <v>2027</v>
      </c>
      <c r="I1873" s="89">
        <f>MONTH(Tabela1[[#This Row],[Data de Validade]])</f>
        <v>7</v>
      </c>
      <c r="J1873" s="101">
        <v>78295</v>
      </c>
      <c r="K1873" s="87" t="s">
        <v>9</v>
      </c>
      <c r="L1873" s="108"/>
      <c r="M1873" s="108"/>
      <c r="N1873" s="108" t="str">
        <v>H232H376</v>
      </c>
      <c r="O1873" s="108">
        <f t="shared" si="31"/>
        <v>1</v>
      </c>
      <c r="P1873" s="108"/>
      <c r="Q1873"/>
    </row>
    <row r="1874" spans="1:17" x14ac:dyDescent="0.25">
      <c r="A1874" s="89" t="s">
        <v>6518</v>
      </c>
      <c r="B1874" s="87" t="s">
        <v>6519</v>
      </c>
      <c r="C1874" s="87" t="s">
        <v>10</v>
      </c>
      <c r="D1874" s="87" t="str">
        <f>VLOOKUP(Tabela1[[#This Row],[Origem]], 'Perguntas 1 a 24'!$J$28:$K$34, 2, 0)</f>
        <v>Centro-Oeste</v>
      </c>
      <c r="E1874" s="87" t="str">
        <f>Tabela1[[#This Row],[Descrição]]&amp;"-"&amp;Tabela1[[#This Row],[Código]]&amp;"/"&amp;Tabela1[[#This Row],[Origem]]</f>
        <v>Ritili-H267P579/GO</v>
      </c>
      <c r="F1874" s="88">
        <v>46584</v>
      </c>
      <c r="G1874" s="88" t="str" cm="1">
        <f t="array" ref="G18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AND(F1874&gt;= DATE(2026,1,1), F1874&lt;= DATE(2028, 12, 31), J1874&gt;50000), "Pendente e Caro", AND(F1874&gt;= DATE(2026,1,1), F1874&lt;= DATE(2028, 12, 31), J1874&lt;=50000), "Pendente", F1874&gt;= DATE(2029,1,1), "Não prioeitário")</f>
        <v>Pendente e Caro</v>
      </c>
      <c r="H1874" s="89">
        <f>YEAR(Tabela1[[#This Row],[Data de Validade]])</f>
        <v>2027</v>
      </c>
      <c r="I1874" s="89">
        <f>MONTH(Tabela1[[#This Row],[Data de Validade]])</f>
        <v>7</v>
      </c>
      <c r="J1874" s="101">
        <v>56465</v>
      </c>
      <c r="K1874" s="87" t="s">
        <v>11</v>
      </c>
      <c r="L1874" s="108"/>
      <c r="M1874" s="108"/>
      <c r="N1874" s="108" t="str">
        <v>H267P579</v>
      </c>
      <c r="O1874" s="108">
        <f t="shared" si="31"/>
        <v>1</v>
      </c>
      <c r="P1874" s="108"/>
      <c r="Q1874"/>
    </row>
    <row r="1875" spans="1:17" x14ac:dyDescent="0.25">
      <c r="A1875" s="89" t="s">
        <v>6904</v>
      </c>
      <c r="B1875" s="87" t="s">
        <v>6905</v>
      </c>
      <c r="C1875" s="87" t="s">
        <v>6</v>
      </c>
      <c r="D1875" s="87" t="str">
        <f>VLOOKUP(Tabela1[[#This Row],[Origem]], 'Perguntas 1 a 24'!$J$28:$K$34, 2, 0)</f>
        <v>Nordeste</v>
      </c>
      <c r="E1875" s="87" t="str">
        <f>Tabela1[[#This Row],[Descrição]]&amp;"-"&amp;Tabela1[[#This Row],[Código]]&amp;"/"&amp;Tabela1[[#This Row],[Origem]]</f>
        <v>Fogocopigo-P146H346/MA</v>
      </c>
      <c r="F1875" s="88">
        <v>46584</v>
      </c>
      <c r="G1875" s="88" t="str" cm="1">
        <f t="array" ref="G18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AND(F1875&gt;= DATE(2026,1,1), F1875&lt;= DATE(2028, 12, 31), J1875&gt;50000), "Pendente e Caro", AND(F1875&gt;= DATE(2026,1,1), F1875&lt;= DATE(2028, 12, 31), J1875&lt;=50000), "Pendente", F1875&gt;= DATE(2029,1,1), "Não prioeitário")</f>
        <v>Pendente</v>
      </c>
      <c r="H1875" s="89">
        <f>YEAR(Tabela1[[#This Row],[Data de Validade]])</f>
        <v>2027</v>
      </c>
      <c r="I1875" s="89">
        <f>MONTH(Tabela1[[#This Row],[Data de Validade]])</f>
        <v>7</v>
      </c>
      <c r="J1875" s="101">
        <v>31261</v>
      </c>
      <c r="K1875" s="87" t="s">
        <v>9</v>
      </c>
      <c r="L1875" s="108"/>
      <c r="M1875" s="108"/>
      <c r="N1875" s="108" t="str">
        <v>P146H346</v>
      </c>
      <c r="O1875" s="108">
        <f t="shared" si="31"/>
        <v>1</v>
      </c>
      <c r="P1875" s="108"/>
      <c r="Q1875"/>
    </row>
    <row r="1876" spans="1:17" x14ac:dyDescent="0.25">
      <c r="A1876" s="89" t="s">
        <v>11125</v>
      </c>
      <c r="B1876" s="87" t="s">
        <v>11126</v>
      </c>
      <c r="C1876" s="87" t="s">
        <v>12</v>
      </c>
      <c r="D1876" s="87" t="str">
        <f>VLOOKUP(Tabela1[[#This Row],[Origem]], 'Perguntas 1 a 24'!$J$28:$K$34, 2, 0)</f>
        <v>Sudeste</v>
      </c>
      <c r="E1876" s="87" t="str">
        <f>Tabela1[[#This Row],[Descrição]]&amp;"-"&amp;Tabela1[[#This Row],[Código]]&amp;"/"&amp;Tabela1[[#This Row],[Origem]]</f>
        <v>Tovomopene-P465H764/RJ</v>
      </c>
      <c r="F1876" s="88">
        <v>46585</v>
      </c>
      <c r="G1876" s="88" t="str" cm="1">
        <f t="array" ref="G18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AND(F1876&gt;= DATE(2026,1,1), F1876&lt;= DATE(2028, 12, 31), J1876&gt;50000), "Pendente e Caro", AND(F1876&gt;= DATE(2026,1,1), F1876&lt;= DATE(2028, 12, 31), J1876&lt;=50000), "Pendente", F1876&gt;= DATE(2029,1,1), "Não prioeitário")</f>
        <v>Pendente e Caro</v>
      </c>
      <c r="H1876" s="89">
        <f>YEAR(Tabela1[[#This Row],[Data de Validade]])</f>
        <v>2027</v>
      </c>
      <c r="I1876" s="89">
        <f>MONTH(Tabela1[[#This Row],[Data de Validade]])</f>
        <v>7</v>
      </c>
      <c r="J1876" s="101">
        <v>101897</v>
      </c>
      <c r="K1876" s="87" t="s">
        <v>9</v>
      </c>
      <c r="L1876" s="108"/>
      <c r="M1876" s="108"/>
      <c r="N1876" s="108" t="str">
        <v>P465H764</v>
      </c>
      <c r="O1876" s="108">
        <f t="shared" si="31"/>
        <v>1</v>
      </c>
      <c r="P1876" s="108"/>
      <c r="Q1876"/>
    </row>
    <row r="1877" spans="1:17" x14ac:dyDescent="0.25">
      <c r="A1877" s="89" t="s">
        <v>6418</v>
      </c>
      <c r="B1877" s="87" t="s">
        <v>6419</v>
      </c>
      <c r="C1877" s="87" t="s">
        <v>15</v>
      </c>
      <c r="D1877" s="87" t="str">
        <f>VLOOKUP(Tabela1[[#This Row],[Origem]], 'Perguntas 1 a 24'!$J$28:$K$34, 2, 0)</f>
        <v>Sudeste</v>
      </c>
      <c r="E1877" s="87" t="str">
        <f>Tabela1[[#This Row],[Descrição]]&amp;"-"&amp;Tabela1[[#This Row],[Código]]&amp;"/"&amp;Tabela1[[#This Row],[Origem]]</f>
        <v>Rucucapefi-H196P827/ES</v>
      </c>
      <c r="F1877" s="88">
        <v>46585</v>
      </c>
      <c r="G1877" s="88" t="str" cm="1">
        <f t="array" ref="G18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AND(F1877&gt;= DATE(2026,1,1), F1877&lt;= DATE(2028, 12, 31), J1877&gt;50000), "Pendente e Caro", AND(F1877&gt;= DATE(2026,1,1), F1877&lt;= DATE(2028, 12, 31), J1877&lt;=50000), "Pendente", F1877&gt;= DATE(2029,1,1), "Não prioeitário")</f>
        <v>Pendente</v>
      </c>
      <c r="H1877" s="89">
        <f>YEAR(Tabela1[[#This Row],[Data de Validade]])</f>
        <v>2027</v>
      </c>
      <c r="I1877" s="89">
        <f>MONTH(Tabela1[[#This Row],[Data de Validade]])</f>
        <v>7</v>
      </c>
      <c r="J1877" s="101">
        <v>33610</v>
      </c>
      <c r="K1877" s="87" t="s">
        <v>11</v>
      </c>
      <c r="L1877" s="108"/>
      <c r="M1877" s="108"/>
      <c r="N1877" s="108" t="str">
        <v>H196P827</v>
      </c>
      <c r="O1877" s="108">
        <f t="shared" si="31"/>
        <v>1</v>
      </c>
      <c r="P1877" s="108"/>
      <c r="Q1877"/>
    </row>
    <row r="1878" spans="1:17" x14ac:dyDescent="0.25">
      <c r="A1878" s="89" t="s">
        <v>3992</v>
      </c>
      <c r="B1878" s="87" t="s">
        <v>3993</v>
      </c>
      <c r="C1878" s="87" t="s">
        <v>8</v>
      </c>
      <c r="D1878" s="87" t="str">
        <f>VLOOKUP(Tabela1[[#This Row],[Origem]], 'Perguntas 1 a 24'!$J$28:$K$34, 2, 0)</f>
        <v>Nordeste</v>
      </c>
      <c r="E1878" s="87" t="str">
        <f>Tabela1[[#This Row],[Descrição]]&amp;"-"&amp;Tabela1[[#This Row],[Código]]&amp;"/"&amp;Tabela1[[#This Row],[Origem]]</f>
        <v>Renepamere-H652H711/AL</v>
      </c>
      <c r="F1878" s="88">
        <v>46585</v>
      </c>
      <c r="G1878" s="88" t="str" cm="1">
        <f t="array" ref="G18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AND(F1878&gt;= DATE(2026,1,1), F1878&lt;= DATE(2028, 12, 31), J1878&gt;50000), "Pendente e Caro", AND(F1878&gt;= DATE(2026,1,1), F1878&lt;= DATE(2028, 12, 31), J1878&lt;=50000), "Pendente", F1878&gt;= DATE(2029,1,1), "Não prioeitário")</f>
        <v>Pendente</v>
      </c>
      <c r="H1878" s="89">
        <f>YEAR(Tabela1[[#This Row],[Data de Validade]])</f>
        <v>2027</v>
      </c>
      <c r="I1878" s="89">
        <f>MONTH(Tabela1[[#This Row],[Data de Validade]])</f>
        <v>7</v>
      </c>
      <c r="J1878" s="101">
        <v>21677</v>
      </c>
      <c r="K1878" s="87" t="s">
        <v>7</v>
      </c>
      <c r="L1878" s="108"/>
      <c r="M1878" s="108"/>
      <c r="N1878" s="108" t="str">
        <v>H652H711</v>
      </c>
      <c r="O1878" s="108">
        <f t="shared" si="31"/>
        <v>1</v>
      </c>
      <c r="P1878" s="108"/>
      <c r="Q1878"/>
    </row>
    <row r="1879" spans="1:17" x14ac:dyDescent="0.25">
      <c r="A1879" s="89" t="s">
        <v>8909</v>
      </c>
      <c r="B1879" s="87" t="s">
        <v>8910</v>
      </c>
      <c r="C1879" s="87" t="s">
        <v>13</v>
      </c>
      <c r="D1879" s="87" t="str">
        <f>VLOOKUP(Tabela1[[#This Row],[Origem]], 'Perguntas 1 a 24'!$J$28:$K$34, 2, 0)</f>
        <v>Sudeste</v>
      </c>
      <c r="E1879" s="87" t="str">
        <f>Tabela1[[#This Row],[Descrição]]&amp;"-"&amp;Tabela1[[#This Row],[Código]]&amp;"/"&amp;Tabela1[[#This Row],[Origem]]</f>
        <v>Volerufu-H756H348/SP</v>
      </c>
      <c r="F1879" s="88">
        <v>46586</v>
      </c>
      <c r="G1879" s="88" t="str" cm="1">
        <f t="array" ref="G18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AND(F1879&gt;= DATE(2026,1,1), F1879&lt;= DATE(2028, 12, 31), J1879&gt;50000), "Pendente e Caro", AND(F1879&gt;= DATE(2026,1,1), F1879&lt;= DATE(2028, 12, 31), J1879&lt;=50000), "Pendente", F1879&gt;= DATE(2029,1,1), "Não prioeitário")</f>
        <v>Pendente e Caro</v>
      </c>
      <c r="H1879" s="89">
        <f>YEAR(Tabela1[[#This Row],[Data de Validade]])</f>
        <v>2027</v>
      </c>
      <c r="I1879" s="89">
        <f>MONTH(Tabela1[[#This Row],[Data de Validade]])</f>
        <v>7</v>
      </c>
      <c r="J1879" s="101">
        <v>79855</v>
      </c>
      <c r="K1879" s="87" t="s">
        <v>14</v>
      </c>
      <c r="L1879" s="108"/>
      <c r="M1879" s="108"/>
      <c r="N1879" s="108" t="str">
        <v>H756H348</v>
      </c>
      <c r="O1879" s="108">
        <f t="shared" si="31"/>
        <v>1</v>
      </c>
      <c r="P1879" s="108"/>
      <c r="Q1879"/>
    </row>
    <row r="1880" spans="1:17" x14ac:dyDescent="0.25">
      <c r="A1880" s="89" t="s">
        <v>11324</v>
      </c>
      <c r="B1880" s="87" t="s">
        <v>11325</v>
      </c>
      <c r="C1880" s="87" t="s">
        <v>10</v>
      </c>
      <c r="D1880" s="87" t="str">
        <f>VLOOKUP(Tabela1[[#This Row],[Origem]], 'Perguntas 1 a 24'!$J$28:$K$34, 2, 0)</f>
        <v>Centro-Oeste</v>
      </c>
      <c r="E1880" s="87" t="str">
        <f>Tabela1[[#This Row],[Descrição]]&amp;"-"&amp;Tabela1[[#This Row],[Código]]&amp;"/"&amp;Tabela1[[#This Row],[Origem]]</f>
        <v>Tatigu-H833H489/GO</v>
      </c>
      <c r="F1880" s="88">
        <v>46588</v>
      </c>
      <c r="G1880" s="88" t="str" cm="1">
        <f t="array" ref="G18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AND(F1880&gt;= DATE(2026,1,1), F1880&lt;= DATE(2028, 12, 31), J1880&gt;50000), "Pendente e Caro", AND(F1880&gt;= DATE(2026,1,1), F1880&lt;= DATE(2028, 12, 31), J1880&lt;=50000), "Pendente", F1880&gt;= DATE(2029,1,1), "Não prioeitário")</f>
        <v>Pendente e Caro</v>
      </c>
      <c r="H1880" s="89">
        <f>YEAR(Tabela1[[#This Row],[Data de Validade]])</f>
        <v>2027</v>
      </c>
      <c r="I1880" s="89">
        <f>MONTH(Tabela1[[#This Row],[Data de Validade]])</f>
        <v>7</v>
      </c>
      <c r="J1880" s="101">
        <v>101539</v>
      </c>
      <c r="K1880" s="87" t="s">
        <v>14</v>
      </c>
      <c r="L1880" s="108"/>
      <c r="M1880" s="108"/>
      <c r="N1880" s="108" t="str">
        <v>H833H489</v>
      </c>
      <c r="O1880" s="108">
        <f t="shared" si="31"/>
        <v>1</v>
      </c>
      <c r="P1880" s="108"/>
      <c r="Q1880"/>
    </row>
    <row r="1881" spans="1:17" x14ac:dyDescent="0.25">
      <c r="A1881" s="89" t="s">
        <v>5422</v>
      </c>
      <c r="B1881" s="87" t="s">
        <v>5423</v>
      </c>
      <c r="C1881" s="87" t="s">
        <v>8</v>
      </c>
      <c r="D1881" s="87" t="str">
        <f>VLOOKUP(Tabela1[[#This Row],[Origem]], 'Perguntas 1 a 24'!$J$28:$K$34, 2, 0)</f>
        <v>Nordeste</v>
      </c>
      <c r="E1881" s="87" t="str">
        <f>Tabela1[[#This Row],[Descrição]]&amp;"-"&amp;Tabela1[[#This Row],[Código]]&amp;"/"&amp;Tabela1[[#This Row],[Origem]]</f>
        <v>Ratopada-P329H621/AL</v>
      </c>
      <c r="F1881" s="88">
        <v>46589</v>
      </c>
      <c r="G1881" s="88" t="str" cm="1">
        <f t="array" ref="G18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AND(F1881&gt;= DATE(2026,1,1), F1881&lt;= DATE(2028, 12, 31), J1881&gt;50000), "Pendente e Caro", AND(F1881&gt;= DATE(2026,1,1), F1881&lt;= DATE(2028, 12, 31), J1881&lt;=50000), "Pendente", F1881&gt;= DATE(2029,1,1), "Não prioeitário")</f>
        <v>Pendente e Caro</v>
      </c>
      <c r="H1881" s="89">
        <f>YEAR(Tabela1[[#This Row],[Data de Validade]])</f>
        <v>2027</v>
      </c>
      <c r="I1881" s="89">
        <f>MONTH(Tabela1[[#This Row],[Data de Validade]])</f>
        <v>7</v>
      </c>
      <c r="J1881" s="101">
        <v>83678</v>
      </c>
      <c r="K1881" s="87" t="s">
        <v>9</v>
      </c>
      <c r="L1881" s="108"/>
      <c r="M1881" s="108"/>
      <c r="N1881" s="108" t="str">
        <v>P329H621</v>
      </c>
      <c r="O1881" s="108">
        <f t="shared" si="31"/>
        <v>1</v>
      </c>
      <c r="P1881" s="108"/>
      <c r="Q1881"/>
    </row>
    <row r="1882" spans="1:17" x14ac:dyDescent="0.25">
      <c r="A1882" s="89" t="s">
        <v>8977</v>
      </c>
      <c r="B1882" s="87" t="s">
        <v>8978</v>
      </c>
      <c r="C1882" s="87" t="s">
        <v>6</v>
      </c>
      <c r="D1882" s="87" t="str">
        <f>VLOOKUP(Tabela1[[#This Row],[Origem]], 'Perguntas 1 a 24'!$J$28:$K$34, 2, 0)</f>
        <v>Nordeste</v>
      </c>
      <c r="E1882" s="87" t="str">
        <f>Tabela1[[#This Row],[Descrição]]&amp;"-"&amp;Tabela1[[#This Row],[Código]]&amp;"/"&amp;Tabela1[[#This Row],[Origem]]</f>
        <v>Vutofo-H398P738/MA</v>
      </c>
      <c r="F1882" s="88">
        <v>46589</v>
      </c>
      <c r="G1882" s="88" t="str" cm="1">
        <f t="array" ref="G18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AND(F1882&gt;= DATE(2026,1,1), F1882&lt;= DATE(2028, 12, 31), J1882&gt;50000), "Pendente e Caro", AND(F1882&gt;= DATE(2026,1,1), F1882&lt;= DATE(2028, 12, 31), J1882&lt;=50000), "Pendente", F1882&gt;= DATE(2029,1,1), "Não prioeitário")</f>
        <v>Pendente e Caro</v>
      </c>
      <c r="H1882" s="89">
        <f>YEAR(Tabela1[[#This Row],[Data de Validade]])</f>
        <v>2027</v>
      </c>
      <c r="I1882" s="89">
        <f>MONTH(Tabela1[[#This Row],[Data de Validade]])</f>
        <v>7</v>
      </c>
      <c r="J1882" s="101">
        <v>57049</v>
      </c>
      <c r="K1882" s="87" t="s">
        <v>7</v>
      </c>
      <c r="L1882" s="108"/>
      <c r="M1882" s="108"/>
      <c r="N1882" s="108" t="str">
        <v>H398P738</v>
      </c>
      <c r="O1882" s="108">
        <f t="shared" si="31"/>
        <v>1</v>
      </c>
      <c r="P1882" s="108"/>
      <c r="Q1882"/>
    </row>
    <row r="1883" spans="1:17" x14ac:dyDescent="0.25">
      <c r="A1883" s="89" t="s">
        <v>6748</v>
      </c>
      <c r="B1883" s="87" t="s">
        <v>6749</v>
      </c>
      <c r="C1883" s="87" t="s">
        <v>16</v>
      </c>
      <c r="D1883" s="87" t="str">
        <f>VLOOKUP(Tabela1[[#This Row],[Origem]], 'Perguntas 1 a 24'!$J$28:$K$34, 2, 0)</f>
        <v>Sudeste</v>
      </c>
      <c r="E1883" s="87" t="str">
        <f>Tabela1[[#This Row],[Descrição]]&amp;"-"&amp;Tabela1[[#This Row],[Código]]&amp;"/"&amp;Tabela1[[#This Row],[Origem]]</f>
        <v>Vituga-P794P978/MG</v>
      </c>
      <c r="F1883" s="88">
        <v>46590</v>
      </c>
      <c r="G1883" s="88" t="str" cm="1">
        <f t="array" ref="G18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AND(F1883&gt;= DATE(2026,1,1), F1883&lt;= DATE(2028, 12, 31), J1883&gt;50000), "Pendente e Caro", AND(F1883&gt;= DATE(2026,1,1), F1883&lt;= DATE(2028, 12, 31), J1883&lt;=50000), "Pendente", F1883&gt;= DATE(2029,1,1), "Não prioeitário")</f>
        <v>Pendente e Caro</v>
      </c>
      <c r="H1883" s="89">
        <f>YEAR(Tabela1[[#This Row],[Data de Validade]])</f>
        <v>2027</v>
      </c>
      <c r="I1883" s="89">
        <f>MONTH(Tabela1[[#This Row],[Data de Validade]])</f>
        <v>7</v>
      </c>
      <c r="J1883" s="101">
        <v>103241</v>
      </c>
      <c r="K1883" s="87" t="s">
        <v>14</v>
      </c>
      <c r="L1883" s="108"/>
      <c r="M1883" s="108"/>
      <c r="N1883" s="108" t="str">
        <v>P794P978</v>
      </c>
      <c r="O1883" s="108">
        <f t="shared" si="31"/>
        <v>1</v>
      </c>
      <c r="P1883" s="108"/>
      <c r="Q1883"/>
    </row>
    <row r="1884" spans="1:17" x14ac:dyDescent="0.25">
      <c r="A1884" s="89" t="s">
        <v>11254</v>
      </c>
      <c r="B1884" s="87" t="s">
        <v>11255</v>
      </c>
      <c r="C1884" s="87" t="s">
        <v>15</v>
      </c>
      <c r="D1884" s="87" t="str">
        <f>VLOOKUP(Tabela1[[#This Row],[Origem]], 'Perguntas 1 a 24'!$J$28:$K$34, 2, 0)</f>
        <v>Sudeste</v>
      </c>
      <c r="E1884" s="87" t="str">
        <f>Tabela1[[#This Row],[Descrição]]&amp;"-"&amp;Tabela1[[#This Row],[Código]]&amp;"/"&amp;Tabela1[[#This Row],[Origem]]</f>
        <v>Vopiponepa-H236P567/ES</v>
      </c>
      <c r="F1884" s="88">
        <v>46590</v>
      </c>
      <c r="G1884" s="88" t="str" cm="1">
        <f t="array" ref="G18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AND(F1884&gt;= DATE(2026,1,1), F1884&lt;= DATE(2028, 12, 31), J1884&gt;50000), "Pendente e Caro", AND(F1884&gt;= DATE(2026,1,1), F1884&lt;= DATE(2028, 12, 31), J1884&lt;=50000), "Pendente", F1884&gt;= DATE(2029,1,1), "Não prioeitário")</f>
        <v>Pendente e Caro</v>
      </c>
      <c r="H1884" s="89">
        <f>YEAR(Tabela1[[#This Row],[Data de Validade]])</f>
        <v>2027</v>
      </c>
      <c r="I1884" s="89">
        <f>MONTH(Tabela1[[#This Row],[Data de Validade]])</f>
        <v>7</v>
      </c>
      <c r="J1884" s="101">
        <v>53479</v>
      </c>
      <c r="K1884" s="87" t="s">
        <v>9</v>
      </c>
      <c r="L1884" s="108"/>
      <c r="M1884" s="108"/>
      <c r="N1884" s="108" t="str">
        <v>H236P567</v>
      </c>
      <c r="O1884" s="108">
        <f t="shared" si="31"/>
        <v>1</v>
      </c>
      <c r="P1884" s="108"/>
      <c r="Q1884"/>
    </row>
    <row r="1885" spans="1:17" x14ac:dyDescent="0.25">
      <c r="A1885" s="89" t="s">
        <v>5298</v>
      </c>
      <c r="B1885" s="87" t="s">
        <v>5299</v>
      </c>
      <c r="C1885" s="87" t="s">
        <v>10</v>
      </c>
      <c r="D1885" s="87" t="str">
        <f>VLOOKUP(Tabela1[[#This Row],[Origem]], 'Perguntas 1 a 24'!$J$28:$K$34, 2, 0)</f>
        <v>Centro-Oeste</v>
      </c>
      <c r="E1885" s="87" t="str">
        <f>Tabela1[[#This Row],[Descrição]]&amp;"-"&amp;Tabela1[[#This Row],[Código]]&amp;"/"&amp;Tabela1[[#This Row],[Origem]]</f>
        <v>Neropefiti-H812P545/GO</v>
      </c>
      <c r="F1885" s="88">
        <v>46590</v>
      </c>
      <c r="G1885" s="88" t="str" cm="1">
        <f t="array" ref="G18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AND(F1885&gt;= DATE(2026,1,1), F1885&lt;= DATE(2028, 12, 31), J1885&gt;50000), "Pendente e Caro", AND(F1885&gt;= DATE(2026,1,1), F1885&lt;= DATE(2028, 12, 31), J1885&lt;=50000), "Pendente", F1885&gt;= DATE(2029,1,1), "Não prioeitário")</f>
        <v>Pendente e Caro</v>
      </c>
      <c r="H1885" s="89">
        <f>YEAR(Tabela1[[#This Row],[Data de Validade]])</f>
        <v>2027</v>
      </c>
      <c r="I1885" s="89">
        <f>MONTH(Tabela1[[#This Row],[Data de Validade]])</f>
        <v>7</v>
      </c>
      <c r="J1885" s="101">
        <v>52262</v>
      </c>
      <c r="K1885" s="87" t="s">
        <v>7</v>
      </c>
      <c r="L1885" s="108"/>
      <c r="M1885" s="108"/>
      <c r="N1885" s="108" t="str">
        <v>H812P545</v>
      </c>
      <c r="O1885" s="108">
        <f t="shared" si="31"/>
        <v>1</v>
      </c>
      <c r="P1885" s="108"/>
      <c r="Q1885"/>
    </row>
    <row r="1886" spans="1:17" x14ac:dyDescent="0.25">
      <c r="A1886" s="89" t="s">
        <v>6914</v>
      </c>
      <c r="B1886" s="87" t="s">
        <v>6915</v>
      </c>
      <c r="C1886" s="87" t="s">
        <v>15</v>
      </c>
      <c r="D1886" s="87" t="str">
        <f>VLOOKUP(Tabela1[[#This Row],[Origem]], 'Perguntas 1 a 24'!$J$28:$K$34, 2, 0)</f>
        <v>Sudeste</v>
      </c>
      <c r="E1886" s="87" t="str">
        <f>Tabela1[[#This Row],[Descrição]]&amp;"-"&amp;Tabela1[[#This Row],[Código]]&amp;"/"&amp;Tabela1[[#This Row],[Origem]]</f>
        <v>Putepecemo-H391H721/ES</v>
      </c>
      <c r="F1886" s="88">
        <v>46591</v>
      </c>
      <c r="G1886" s="88" t="str" cm="1">
        <f t="array" ref="G18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AND(F1886&gt;= DATE(2026,1,1), F1886&lt;= DATE(2028, 12, 31), J1886&gt;50000), "Pendente e Caro", AND(F1886&gt;= DATE(2026,1,1), F1886&lt;= DATE(2028, 12, 31), J1886&lt;=50000), "Pendente", F1886&gt;= DATE(2029,1,1), "Não prioeitário")</f>
        <v>Pendente</v>
      </c>
      <c r="H1886" s="89">
        <f>YEAR(Tabela1[[#This Row],[Data de Validade]])</f>
        <v>2027</v>
      </c>
      <c r="I1886" s="89">
        <f>MONTH(Tabela1[[#This Row],[Data de Validade]])</f>
        <v>7</v>
      </c>
      <c r="J1886" s="101">
        <v>35022</v>
      </c>
      <c r="K1886" s="87" t="s">
        <v>9</v>
      </c>
      <c r="L1886" s="108"/>
      <c r="M1886" s="108"/>
      <c r="N1886" s="108" t="str">
        <v>H391H721</v>
      </c>
      <c r="O1886" s="108">
        <f t="shared" si="31"/>
        <v>1</v>
      </c>
      <c r="P1886" s="108"/>
      <c r="Q1886"/>
    </row>
    <row r="1887" spans="1:17" x14ac:dyDescent="0.25">
      <c r="A1887" s="89" t="s">
        <v>7032</v>
      </c>
      <c r="B1887" s="87" t="s">
        <v>7033</v>
      </c>
      <c r="C1887" s="87" t="s">
        <v>10</v>
      </c>
      <c r="D1887" s="87" t="str">
        <f>VLOOKUP(Tabela1[[#This Row],[Origem]], 'Perguntas 1 a 24'!$J$28:$K$34, 2, 0)</f>
        <v>Centro-Oeste</v>
      </c>
      <c r="E1887" s="87" t="str">
        <f>Tabela1[[#This Row],[Descrição]]&amp;"-"&amp;Tabela1[[#This Row],[Código]]&amp;"/"&amp;Tabela1[[#This Row],[Origem]]</f>
        <v>Lecove-H391P138/GO</v>
      </c>
      <c r="F1887" s="88">
        <v>46592</v>
      </c>
      <c r="G1887" s="88" t="str" cm="1">
        <f t="array" ref="G18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AND(F1887&gt;= DATE(2026,1,1), F1887&lt;= DATE(2028, 12, 31), J1887&gt;50000), "Pendente e Caro", AND(F1887&gt;= DATE(2026,1,1), F1887&lt;= DATE(2028, 12, 31), J1887&lt;=50000), "Pendente", F1887&gt;= DATE(2029,1,1), "Não prioeitário")</f>
        <v>Pendente e Caro</v>
      </c>
      <c r="H1887" s="89">
        <f>YEAR(Tabela1[[#This Row],[Data de Validade]])</f>
        <v>2027</v>
      </c>
      <c r="I1887" s="89">
        <f>MONTH(Tabela1[[#This Row],[Data de Validade]])</f>
        <v>7</v>
      </c>
      <c r="J1887" s="101">
        <v>73311</v>
      </c>
      <c r="K1887" s="87" t="s">
        <v>7</v>
      </c>
      <c r="L1887" s="108"/>
      <c r="M1887" s="108"/>
      <c r="N1887" s="108" t="str">
        <v>H391P138</v>
      </c>
      <c r="O1887" s="108">
        <f t="shared" si="31"/>
        <v>1</v>
      </c>
      <c r="P1887" s="108"/>
      <c r="Q1887"/>
    </row>
    <row r="1888" spans="1:17" x14ac:dyDescent="0.25">
      <c r="A1888" s="89" t="s">
        <v>10493</v>
      </c>
      <c r="B1888" s="87" t="s">
        <v>10494</v>
      </c>
      <c r="C1888" s="87" t="s">
        <v>13</v>
      </c>
      <c r="D1888" s="87" t="str">
        <f>VLOOKUP(Tabela1[[#This Row],[Origem]], 'Perguntas 1 a 24'!$J$28:$K$34, 2, 0)</f>
        <v>Sudeste</v>
      </c>
      <c r="E1888" s="87" t="str">
        <f>Tabela1[[#This Row],[Descrição]]&amp;"-"&amp;Tabela1[[#This Row],[Código]]&amp;"/"&amp;Tabela1[[#This Row],[Origem]]</f>
        <v>Futetagu-H973H262/SP</v>
      </c>
      <c r="F1888" s="88">
        <v>46593</v>
      </c>
      <c r="G1888" s="88" t="str" cm="1">
        <f t="array" ref="G18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AND(F1888&gt;= DATE(2026,1,1), F1888&lt;= DATE(2028, 12, 31), J1888&gt;50000), "Pendente e Caro", AND(F1888&gt;= DATE(2026,1,1), F1888&lt;= DATE(2028, 12, 31), J1888&lt;=50000), "Pendente", F1888&gt;= DATE(2029,1,1), "Não prioeitário")</f>
        <v>Pendente e Caro</v>
      </c>
      <c r="H1888" s="89">
        <f>YEAR(Tabela1[[#This Row],[Data de Validade]])</f>
        <v>2027</v>
      </c>
      <c r="I1888" s="89">
        <f>MONTH(Tabela1[[#This Row],[Data de Validade]])</f>
        <v>7</v>
      </c>
      <c r="J1888" s="101">
        <v>83470</v>
      </c>
      <c r="K1888" s="87" t="s">
        <v>11</v>
      </c>
      <c r="L1888" s="108"/>
      <c r="M1888" s="108"/>
      <c r="N1888" s="108" t="str">
        <v>H973H262</v>
      </c>
      <c r="O1888" s="108">
        <f t="shared" si="31"/>
        <v>1</v>
      </c>
      <c r="P1888" s="108"/>
      <c r="Q1888"/>
    </row>
    <row r="1889" spans="1:17" x14ac:dyDescent="0.25">
      <c r="A1889" s="89" t="s">
        <v>10545</v>
      </c>
      <c r="B1889" s="87" t="s">
        <v>10546</v>
      </c>
      <c r="C1889" s="87" t="s">
        <v>16</v>
      </c>
      <c r="D1889" s="87" t="str">
        <f>VLOOKUP(Tabela1[[#This Row],[Origem]], 'Perguntas 1 a 24'!$J$28:$K$34, 2, 0)</f>
        <v>Sudeste</v>
      </c>
      <c r="E1889" s="87" t="str">
        <f>Tabela1[[#This Row],[Descrição]]&amp;"-"&amp;Tabela1[[#This Row],[Código]]&amp;"/"&amp;Tabela1[[#This Row],[Origem]]</f>
        <v>Vitome-P343H759/MG</v>
      </c>
      <c r="F1889" s="88">
        <v>46594</v>
      </c>
      <c r="G1889" s="88" t="str" cm="1">
        <f t="array" ref="G18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AND(F1889&gt;= DATE(2026,1,1), F1889&lt;= DATE(2028, 12, 31), J1889&gt;50000), "Pendente e Caro", AND(F1889&gt;= DATE(2026,1,1), F1889&lt;= DATE(2028, 12, 31), J1889&lt;=50000), "Pendente", F1889&gt;= DATE(2029,1,1), "Não prioeitário")</f>
        <v>Pendente e Caro</v>
      </c>
      <c r="H1889" s="89">
        <f>YEAR(Tabela1[[#This Row],[Data de Validade]])</f>
        <v>2027</v>
      </c>
      <c r="I1889" s="89">
        <f>MONTH(Tabela1[[#This Row],[Data de Validade]])</f>
        <v>7</v>
      </c>
      <c r="J1889" s="101">
        <v>73875</v>
      </c>
      <c r="K1889" s="87" t="s">
        <v>7</v>
      </c>
      <c r="L1889" s="108"/>
      <c r="M1889" s="108"/>
      <c r="N1889" s="108" t="str">
        <v>P343H759</v>
      </c>
      <c r="O1889" s="108">
        <f t="shared" si="31"/>
        <v>1</v>
      </c>
      <c r="P1889" s="108"/>
      <c r="Q1889"/>
    </row>
    <row r="1890" spans="1:17" x14ac:dyDescent="0.25">
      <c r="A1890" s="89" t="s">
        <v>8955</v>
      </c>
      <c r="B1890" s="87" t="s">
        <v>8956</v>
      </c>
      <c r="C1890" s="87" t="s">
        <v>12</v>
      </c>
      <c r="D1890" s="87" t="str">
        <f>VLOOKUP(Tabela1[[#This Row],[Origem]], 'Perguntas 1 a 24'!$J$28:$K$34, 2, 0)</f>
        <v>Sudeste</v>
      </c>
      <c r="E1890" s="87" t="str">
        <f>Tabela1[[#This Row],[Descrição]]&amp;"-"&amp;Tabela1[[#This Row],[Código]]&amp;"/"&amp;Tabela1[[#This Row],[Origem]]</f>
        <v>Melade-H468P414/RJ</v>
      </c>
      <c r="F1890" s="88">
        <v>46594</v>
      </c>
      <c r="G1890" s="88" t="str" cm="1">
        <f t="array" ref="G18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AND(F1890&gt;= DATE(2026,1,1), F1890&lt;= DATE(2028, 12, 31), J1890&gt;50000), "Pendente e Caro", AND(F1890&gt;= DATE(2026,1,1), F1890&lt;= DATE(2028, 12, 31), J1890&lt;=50000), "Pendente", F1890&gt;= DATE(2029,1,1), "Não prioeitário")</f>
        <v>Pendente e Caro</v>
      </c>
      <c r="H1890" s="89">
        <f>YEAR(Tabela1[[#This Row],[Data de Validade]])</f>
        <v>2027</v>
      </c>
      <c r="I1890" s="89">
        <f>MONTH(Tabela1[[#This Row],[Data de Validade]])</f>
        <v>7</v>
      </c>
      <c r="J1890" s="101">
        <v>53479</v>
      </c>
      <c r="K1890" s="87" t="s">
        <v>11</v>
      </c>
      <c r="L1890" s="108"/>
      <c r="M1890" s="108"/>
      <c r="N1890" s="108" t="str">
        <v>H468P414</v>
      </c>
      <c r="O1890" s="108">
        <f t="shared" si="31"/>
        <v>1</v>
      </c>
      <c r="P1890" s="108"/>
      <c r="Q1890"/>
    </row>
    <row r="1891" spans="1:17" x14ac:dyDescent="0.25">
      <c r="A1891" s="89" t="s">
        <v>8937</v>
      </c>
      <c r="B1891" s="87" t="s">
        <v>8938</v>
      </c>
      <c r="C1891" s="87" t="s">
        <v>10</v>
      </c>
      <c r="D1891" s="87" t="str">
        <f>VLOOKUP(Tabela1[[#This Row],[Origem]], 'Perguntas 1 a 24'!$J$28:$K$34, 2, 0)</f>
        <v>Centro-Oeste</v>
      </c>
      <c r="E1891" s="87" t="str">
        <f>Tabela1[[#This Row],[Descrição]]&amp;"-"&amp;Tabela1[[#This Row],[Código]]&amp;"/"&amp;Tabela1[[#This Row],[Origem]]</f>
        <v>Dimoni-P837H725/GO</v>
      </c>
      <c r="F1891" s="88">
        <v>46595</v>
      </c>
      <c r="G1891" s="88" t="str" cm="1">
        <f t="array" ref="G18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AND(F1891&gt;= DATE(2026,1,1), F1891&lt;= DATE(2028, 12, 31), J1891&gt;50000), "Pendente e Caro", AND(F1891&gt;= DATE(2026,1,1), F1891&lt;= DATE(2028, 12, 31), J1891&lt;=50000), "Pendente", F1891&gt;= DATE(2029,1,1), "Não prioeitário")</f>
        <v>Pendente e Caro</v>
      </c>
      <c r="H1891" s="89">
        <f>YEAR(Tabela1[[#This Row],[Data de Validade]])</f>
        <v>2027</v>
      </c>
      <c r="I1891" s="89">
        <f>MONTH(Tabela1[[#This Row],[Data de Validade]])</f>
        <v>7</v>
      </c>
      <c r="J1891" s="101">
        <v>114681</v>
      </c>
      <c r="K1891" s="87" t="s">
        <v>9</v>
      </c>
      <c r="L1891" s="108"/>
      <c r="M1891" s="108"/>
      <c r="N1891" s="108" t="str">
        <v>P837H725</v>
      </c>
      <c r="O1891" s="108">
        <f t="shared" si="31"/>
        <v>1</v>
      </c>
      <c r="P1891" s="108"/>
      <c r="Q1891"/>
    </row>
    <row r="1892" spans="1:17" x14ac:dyDescent="0.25">
      <c r="A1892" s="89" t="s">
        <v>4616</v>
      </c>
      <c r="B1892" s="87" t="s">
        <v>4617</v>
      </c>
      <c r="C1892" s="87" t="s">
        <v>16</v>
      </c>
      <c r="D1892" s="87" t="str">
        <f>VLOOKUP(Tabela1[[#This Row],[Origem]], 'Perguntas 1 a 24'!$J$28:$K$34, 2, 0)</f>
        <v>Sudeste</v>
      </c>
      <c r="E1892" s="87" t="str">
        <f>Tabela1[[#This Row],[Descrição]]&amp;"-"&amp;Tabela1[[#This Row],[Código]]&amp;"/"&amp;Tabela1[[#This Row],[Origem]]</f>
        <v>Mudufomi-P182P784/MG</v>
      </c>
      <c r="F1892" s="88">
        <v>46596</v>
      </c>
      <c r="G1892" s="88" t="str" cm="1">
        <f t="array" ref="G18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AND(F1892&gt;= DATE(2026,1,1), F1892&lt;= DATE(2028, 12, 31), J1892&gt;50000), "Pendente e Caro", AND(F1892&gt;= DATE(2026,1,1), F1892&lt;= DATE(2028, 12, 31), J1892&lt;=50000), "Pendente", F1892&gt;= DATE(2029,1,1), "Não prioeitário")</f>
        <v>Pendente e Caro</v>
      </c>
      <c r="H1892" s="89">
        <f>YEAR(Tabela1[[#This Row],[Data de Validade]])</f>
        <v>2027</v>
      </c>
      <c r="I1892" s="89">
        <f>MONTH(Tabela1[[#This Row],[Data de Validade]])</f>
        <v>7</v>
      </c>
      <c r="J1892" s="101">
        <v>94265</v>
      </c>
      <c r="K1892" s="87" t="s">
        <v>7</v>
      </c>
      <c r="L1892" s="108"/>
      <c r="M1892" s="108"/>
      <c r="N1892" s="108" t="str">
        <v>P182P784</v>
      </c>
      <c r="O1892" s="108">
        <f t="shared" si="31"/>
        <v>1</v>
      </c>
      <c r="P1892" s="108"/>
      <c r="Q1892"/>
    </row>
    <row r="1893" spans="1:17" x14ac:dyDescent="0.25">
      <c r="A1893" s="89" t="s">
        <v>9533</v>
      </c>
      <c r="B1893" s="87" t="s">
        <v>9534</v>
      </c>
      <c r="C1893" s="87" t="s">
        <v>6</v>
      </c>
      <c r="D1893" s="87" t="str">
        <f>VLOOKUP(Tabela1[[#This Row],[Origem]], 'Perguntas 1 a 24'!$J$28:$K$34, 2, 0)</f>
        <v>Nordeste</v>
      </c>
      <c r="E1893" s="87" t="str">
        <f>Tabela1[[#This Row],[Descrição]]&amp;"-"&amp;Tabela1[[#This Row],[Código]]&amp;"/"&amp;Tabela1[[#This Row],[Origem]]</f>
        <v>Pudepe-P633H549/MA</v>
      </c>
      <c r="F1893" s="88">
        <v>46596</v>
      </c>
      <c r="G1893" s="88" t="str" cm="1">
        <f t="array" ref="G18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AND(F1893&gt;= DATE(2026,1,1), F1893&lt;= DATE(2028, 12, 31), J1893&gt;50000), "Pendente e Caro", AND(F1893&gt;= DATE(2026,1,1), F1893&lt;= DATE(2028, 12, 31), J1893&lt;=50000), "Pendente", F1893&gt;= DATE(2029,1,1), "Não prioeitário")</f>
        <v>Pendente e Caro</v>
      </c>
      <c r="H1893" s="89">
        <f>YEAR(Tabela1[[#This Row],[Data de Validade]])</f>
        <v>2027</v>
      </c>
      <c r="I1893" s="89">
        <f>MONTH(Tabela1[[#This Row],[Data de Validade]])</f>
        <v>7</v>
      </c>
      <c r="J1893" s="101">
        <v>92483</v>
      </c>
      <c r="K1893" s="87" t="s">
        <v>7</v>
      </c>
      <c r="L1893" s="108"/>
      <c r="M1893" s="108"/>
      <c r="N1893" s="108" t="str">
        <v>P633H549</v>
      </c>
      <c r="O1893" s="108">
        <f t="shared" si="31"/>
        <v>1</v>
      </c>
      <c r="P1893" s="108"/>
      <c r="Q1893"/>
    </row>
    <row r="1894" spans="1:17" x14ac:dyDescent="0.25">
      <c r="A1894" s="89" t="s">
        <v>8921</v>
      </c>
      <c r="B1894" s="87" t="s">
        <v>8922</v>
      </c>
      <c r="C1894" s="87" t="s">
        <v>12</v>
      </c>
      <c r="D1894" s="87" t="str">
        <f>VLOOKUP(Tabela1[[#This Row],[Origem]], 'Perguntas 1 a 24'!$J$28:$K$34, 2, 0)</f>
        <v>Sudeste</v>
      </c>
      <c r="E1894" s="87" t="str">
        <f>Tabela1[[#This Row],[Descrição]]&amp;"-"&amp;Tabela1[[#This Row],[Código]]&amp;"/"&amp;Tabela1[[#This Row],[Origem]]</f>
        <v>Tagitutego-H745H578/RJ</v>
      </c>
      <c r="F1894" s="88">
        <v>46596</v>
      </c>
      <c r="G1894" s="88" t="str" cm="1">
        <f t="array" ref="G18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AND(F1894&gt;= DATE(2026,1,1), F1894&lt;= DATE(2028, 12, 31), J1894&gt;50000), "Pendente e Caro", AND(F1894&gt;= DATE(2026,1,1), F1894&lt;= DATE(2028, 12, 31), J1894&lt;=50000), "Pendente", F1894&gt;= DATE(2029,1,1), "Não prioeitário")</f>
        <v>Pendente</v>
      </c>
      <c r="H1894" s="89">
        <f>YEAR(Tabela1[[#This Row],[Data de Validade]])</f>
        <v>2027</v>
      </c>
      <c r="I1894" s="89">
        <f>MONTH(Tabela1[[#This Row],[Data de Validade]])</f>
        <v>7</v>
      </c>
      <c r="J1894" s="101">
        <v>33942</v>
      </c>
      <c r="K1894" s="87" t="s">
        <v>9</v>
      </c>
      <c r="L1894" s="108"/>
      <c r="M1894" s="108"/>
      <c r="N1894" s="108" t="str">
        <v>H745H578</v>
      </c>
      <c r="O1894" s="108">
        <f t="shared" si="31"/>
        <v>1</v>
      </c>
      <c r="P1894" s="108"/>
      <c r="Q1894"/>
    </row>
    <row r="1895" spans="1:17" x14ac:dyDescent="0.25">
      <c r="A1895" s="89" t="s">
        <v>9427</v>
      </c>
      <c r="B1895" s="87" t="s">
        <v>9428</v>
      </c>
      <c r="C1895" s="87" t="s">
        <v>16</v>
      </c>
      <c r="D1895" s="87" t="str">
        <f>VLOOKUP(Tabela1[[#This Row],[Origem]], 'Perguntas 1 a 24'!$J$28:$K$34, 2, 0)</f>
        <v>Sudeste</v>
      </c>
      <c r="E1895" s="87" t="str">
        <f>Tabela1[[#This Row],[Descrição]]&amp;"-"&amp;Tabela1[[#This Row],[Código]]&amp;"/"&amp;Tabela1[[#This Row],[Origem]]</f>
        <v>Pirare-P384H158/MG</v>
      </c>
      <c r="F1895" s="88">
        <v>46597</v>
      </c>
      <c r="G1895" s="88" t="str" cm="1">
        <f t="array" ref="G18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AND(F1895&gt;= DATE(2026,1,1), F1895&lt;= DATE(2028, 12, 31), J1895&gt;50000), "Pendente e Caro", AND(F1895&gt;= DATE(2026,1,1), F1895&lt;= DATE(2028, 12, 31), J1895&lt;=50000), "Pendente", F1895&gt;= DATE(2029,1,1), "Não prioeitário")</f>
        <v>Pendente e Caro</v>
      </c>
      <c r="H1895" s="89">
        <f>YEAR(Tabela1[[#This Row],[Data de Validade]])</f>
        <v>2027</v>
      </c>
      <c r="I1895" s="89">
        <f>MONTH(Tabela1[[#This Row],[Data de Validade]])</f>
        <v>7</v>
      </c>
      <c r="J1895" s="101">
        <v>73094</v>
      </c>
      <c r="K1895" s="87" t="s">
        <v>11</v>
      </c>
      <c r="L1895" s="108"/>
      <c r="M1895" s="108"/>
      <c r="N1895" s="108" t="str">
        <v>P384H158</v>
      </c>
      <c r="O1895" s="108">
        <f t="shared" si="31"/>
        <v>1</v>
      </c>
      <c r="P1895" s="108"/>
      <c r="Q1895"/>
    </row>
    <row r="1896" spans="1:17" x14ac:dyDescent="0.25">
      <c r="A1896" s="89" t="s">
        <v>10363</v>
      </c>
      <c r="B1896" s="87" t="s">
        <v>10364</v>
      </c>
      <c r="C1896" s="87" t="s">
        <v>16</v>
      </c>
      <c r="D1896" s="87" t="str">
        <f>VLOOKUP(Tabela1[[#This Row],[Origem]], 'Perguntas 1 a 24'!$J$28:$K$34, 2, 0)</f>
        <v>Sudeste</v>
      </c>
      <c r="E1896" s="87" t="str">
        <f>Tabela1[[#This Row],[Descrição]]&amp;"-"&amp;Tabela1[[#This Row],[Código]]&amp;"/"&amp;Tabela1[[#This Row],[Origem]]</f>
        <v>Tolonarudu-P226P511/MG</v>
      </c>
      <c r="F1896" s="88">
        <v>46597</v>
      </c>
      <c r="G1896" s="88" t="str" cm="1">
        <f t="array" ref="G18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AND(F1896&gt;= DATE(2026,1,1), F1896&lt;= DATE(2028, 12, 31), J1896&gt;50000), "Pendente e Caro", AND(F1896&gt;= DATE(2026,1,1), F1896&lt;= DATE(2028, 12, 31), J1896&lt;=50000), "Pendente", F1896&gt;= DATE(2029,1,1), "Não prioeitário")</f>
        <v>Pendente e Caro</v>
      </c>
      <c r="H1896" s="89">
        <f>YEAR(Tabela1[[#This Row],[Data de Validade]])</f>
        <v>2027</v>
      </c>
      <c r="I1896" s="89">
        <f>MONTH(Tabela1[[#This Row],[Data de Validade]])</f>
        <v>7</v>
      </c>
      <c r="J1896" s="101">
        <v>71067</v>
      </c>
      <c r="K1896" s="87" t="s">
        <v>14</v>
      </c>
      <c r="L1896" s="108"/>
      <c r="M1896" s="108"/>
      <c r="N1896" s="108" t="str">
        <v>P226P511</v>
      </c>
      <c r="O1896" s="108">
        <f t="shared" si="31"/>
        <v>1</v>
      </c>
      <c r="P1896" s="108"/>
      <c r="Q1896"/>
    </row>
    <row r="1897" spans="1:17" x14ac:dyDescent="0.25">
      <c r="A1897" s="89" t="s">
        <v>9235</v>
      </c>
      <c r="B1897" s="87" t="s">
        <v>9236</v>
      </c>
      <c r="C1897" s="87" t="s">
        <v>12</v>
      </c>
      <c r="D1897" s="87" t="str">
        <f>VLOOKUP(Tabela1[[#This Row],[Origem]], 'Perguntas 1 a 24'!$J$28:$K$34, 2, 0)</f>
        <v>Sudeste</v>
      </c>
      <c r="E1897" s="87" t="str">
        <f>Tabela1[[#This Row],[Descrição]]&amp;"-"&amp;Tabela1[[#This Row],[Código]]&amp;"/"&amp;Tabela1[[#This Row],[Origem]]</f>
        <v>Rudepuri-H151P488/RJ</v>
      </c>
      <c r="F1897" s="88">
        <v>46597</v>
      </c>
      <c r="G1897" s="88" t="str" cm="1">
        <f t="array" ref="G18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AND(F1897&gt;= DATE(2026,1,1), F1897&lt;= DATE(2028, 12, 31), J1897&gt;50000), "Pendente e Caro", AND(F1897&gt;= DATE(2026,1,1), F1897&lt;= DATE(2028, 12, 31), J1897&lt;=50000), "Pendente", F1897&gt;= DATE(2029,1,1), "Não prioeitário")</f>
        <v>Pendente</v>
      </c>
      <c r="H1897" s="89">
        <f>YEAR(Tabela1[[#This Row],[Data de Validade]])</f>
        <v>2027</v>
      </c>
      <c r="I1897" s="89">
        <f>MONTH(Tabela1[[#This Row],[Data de Validade]])</f>
        <v>7</v>
      </c>
      <c r="J1897" s="101">
        <v>32551</v>
      </c>
      <c r="K1897" s="87" t="s">
        <v>14</v>
      </c>
      <c r="L1897" s="108"/>
      <c r="M1897" s="108"/>
      <c r="N1897" s="108" t="str">
        <v>H151P488</v>
      </c>
      <c r="O1897" s="108">
        <f t="shared" si="31"/>
        <v>1</v>
      </c>
      <c r="P1897" s="108"/>
      <c r="Q1897"/>
    </row>
    <row r="1898" spans="1:17" x14ac:dyDescent="0.25">
      <c r="A1898" s="89" t="s">
        <v>10085</v>
      </c>
      <c r="B1898" s="87" t="s">
        <v>10086</v>
      </c>
      <c r="C1898" s="87" t="s">
        <v>12</v>
      </c>
      <c r="D1898" s="87" t="str">
        <f>VLOOKUP(Tabela1[[#This Row],[Origem]], 'Perguntas 1 a 24'!$J$28:$K$34, 2, 0)</f>
        <v>Sudeste</v>
      </c>
      <c r="E1898" s="87" t="str">
        <f>Tabela1[[#This Row],[Descrição]]&amp;"-"&amp;Tabela1[[#This Row],[Código]]&amp;"/"&amp;Tabela1[[#This Row],[Origem]]</f>
        <v>Lapara-H429P341/RJ</v>
      </c>
      <c r="F1898" s="88">
        <v>46597</v>
      </c>
      <c r="G1898" s="88" t="str" cm="1">
        <f t="array" ref="G18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AND(F1898&gt;= DATE(2026,1,1), F1898&lt;= DATE(2028, 12, 31), J1898&gt;50000), "Pendente e Caro", AND(F1898&gt;= DATE(2026,1,1), F1898&lt;= DATE(2028, 12, 31), J1898&lt;=50000), "Pendente", F1898&gt;= DATE(2029,1,1), "Não prioeitário")</f>
        <v>Pendente</v>
      </c>
      <c r="H1898" s="89">
        <f>YEAR(Tabela1[[#This Row],[Data de Validade]])</f>
        <v>2027</v>
      </c>
      <c r="I1898" s="89">
        <f>MONTH(Tabela1[[#This Row],[Data de Validade]])</f>
        <v>7</v>
      </c>
      <c r="J1898" s="101">
        <v>26217</v>
      </c>
      <c r="K1898" s="87" t="s">
        <v>9</v>
      </c>
      <c r="L1898" s="108"/>
      <c r="M1898" s="108"/>
      <c r="N1898" s="108" t="str">
        <v>H429P341</v>
      </c>
      <c r="O1898" s="108">
        <f t="shared" si="31"/>
        <v>1</v>
      </c>
      <c r="P1898" s="108"/>
      <c r="Q1898"/>
    </row>
    <row r="1899" spans="1:17" x14ac:dyDescent="0.25">
      <c r="A1899" s="89" t="s">
        <v>5280</v>
      </c>
      <c r="B1899" s="87" t="s">
        <v>5281</v>
      </c>
      <c r="C1899" s="87" t="s">
        <v>15</v>
      </c>
      <c r="D1899" s="87" t="str">
        <f>VLOOKUP(Tabela1[[#This Row],[Origem]], 'Perguntas 1 a 24'!$J$28:$K$34, 2, 0)</f>
        <v>Sudeste</v>
      </c>
      <c r="E1899" s="87" t="str">
        <f>Tabela1[[#This Row],[Descrição]]&amp;"-"&amp;Tabela1[[#This Row],[Código]]&amp;"/"&amp;Tabela1[[#This Row],[Origem]]</f>
        <v>Tonulofuro-H892H167/ES</v>
      </c>
      <c r="F1899" s="88">
        <v>46598</v>
      </c>
      <c r="G1899" s="88" t="str" cm="1">
        <f t="array" ref="G18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AND(F1899&gt;= DATE(2026,1,1), F1899&lt;= DATE(2028, 12, 31), J1899&gt;50000), "Pendente e Caro", AND(F1899&gt;= DATE(2026,1,1), F1899&lt;= DATE(2028, 12, 31), J1899&lt;=50000), "Pendente", F1899&gt;= DATE(2029,1,1), "Não prioeitário")</f>
        <v>Pendente e Caro</v>
      </c>
      <c r="H1899" s="89">
        <f>YEAR(Tabela1[[#This Row],[Data de Validade]])</f>
        <v>2027</v>
      </c>
      <c r="I1899" s="89">
        <f>MONTH(Tabela1[[#This Row],[Data de Validade]])</f>
        <v>7</v>
      </c>
      <c r="J1899" s="101">
        <v>92872</v>
      </c>
      <c r="K1899" s="87" t="s">
        <v>7</v>
      </c>
      <c r="L1899" s="108"/>
      <c r="M1899" s="108"/>
      <c r="N1899" s="108" t="str">
        <v>H892H167</v>
      </c>
      <c r="O1899" s="108">
        <f t="shared" si="31"/>
        <v>2</v>
      </c>
      <c r="P1899" s="108"/>
      <c r="Q1899"/>
    </row>
    <row r="1900" spans="1:17" x14ac:dyDescent="0.25">
      <c r="A1900" s="89" t="s">
        <v>5280</v>
      </c>
      <c r="B1900" s="87" t="s">
        <v>5281</v>
      </c>
      <c r="C1900" s="87" t="s">
        <v>15</v>
      </c>
      <c r="D1900" s="87" t="str">
        <f>VLOOKUP(Tabela1[[#This Row],[Origem]], 'Perguntas 1 a 24'!$J$28:$K$34, 2, 0)</f>
        <v>Sudeste</v>
      </c>
      <c r="E1900" s="87" t="str">
        <f>Tabela1[[#This Row],[Descrição]]&amp;"-"&amp;Tabela1[[#This Row],[Código]]&amp;"/"&amp;Tabela1[[#This Row],[Origem]]</f>
        <v>Tonulofuro-H892H167/ES</v>
      </c>
      <c r="F1900" s="88">
        <v>46598</v>
      </c>
      <c r="G1900" s="88" t="str" cm="1">
        <f t="array" ref="G19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AND(F1900&gt;= DATE(2026,1,1), F1900&lt;= DATE(2028, 12, 31), J1900&gt;50000), "Pendente e Caro", AND(F1900&gt;= DATE(2026,1,1), F1900&lt;= DATE(2028, 12, 31), J1900&lt;=50000), "Pendente", F1900&gt;= DATE(2029,1,1), "Não prioeitário")</f>
        <v>Pendente e Caro</v>
      </c>
      <c r="H1900" s="89">
        <f>YEAR(Tabela1[[#This Row],[Data de Validade]])</f>
        <v>2027</v>
      </c>
      <c r="I1900" s="89">
        <f>MONTH(Tabela1[[#This Row],[Data de Validade]])</f>
        <v>7</v>
      </c>
      <c r="J1900" s="101">
        <v>92872</v>
      </c>
      <c r="K1900" s="87" t="s">
        <v>7</v>
      </c>
      <c r="L1900" s="108"/>
      <c r="M1900" s="108"/>
      <c r="N1900" s="108" t="str">
        <v>H427H519</v>
      </c>
      <c r="O1900" s="108">
        <f t="shared" si="31"/>
        <v>1</v>
      </c>
      <c r="P1900" s="108"/>
      <c r="Q1900"/>
    </row>
    <row r="1901" spans="1:17" x14ac:dyDescent="0.25">
      <c r="A1901" s="89" t="s">
        <v>9413</v>
      </c>
      <c r="B1901" s="87" t="s">
        <v>9414</v>
      </c>
      <c r="C1901" s="87" t="s">
        <v>6</v>
      </c>
      <c r="D1901" s="87" t="str">
        <f>VLOOKUP(Tabela1[[#This Row],[Origem]], 'Perguntas 1 a 24'!$J$28:$K$34, 2, 0)</f>
        <v>Nordeste</v>
      </c>
      <c r="E1901" s="87" t="str">
        <f>Tabela1[[#This Row],[Descrição]]&amp;"-"&amp;Tabela1[[#This Row],[Código]]&amp;"/"&amp;Tabela1[[#This Row],[Origem]]</f>
        <v>Nepapanigu-H427H519/MA</v>
      </c>
      <c r="F1901" s="88">
        <v>46598</v>
      </c>
      <c r="G1901" s="88" t="str" cm="1">
        <f t="array" ref="G19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AND(F1901&gt;= DATE(2026,1,1), F1901&lt;= DATE(2028, 12, 31), J1901&gt;50000), "Pendente e Caro", AND(F1901&gt;= DATE(2026,1,1), F1901&lt;= DATE(2028, 12, 31), J1901&lt;=50000), "Pendente", F1901&gt;= DATE(2029,1,1), "Não prioeitário")</f>
        <v>Pendente e Caro</v>
      </c>
      <c r="H1901" s="89">
        <f>YEAR(Tabela1[[#This Row],[Data de Validade]])</f>
        <v>2027</v>
      </c>
      <c r="I1901" s="89">
        <f>MONTH(Tabela1[[#This Row],[Data de Validade]])</f>
        <v>7</v>
      </c>
      <c r="J1901" s="101">
        <v>91304</v>
      </c>
      <c r="K1901" s="87" t="s">
        <v>14</v>
      </c>
      <c r="L1901" s="108"/>
      <c r="M1901" s="108"/>
      <c r="N1901" s="108" t="str">
        <v>H642H159</v>
      </c>
      <c r="O1901" s="108">
        <f t="shared" si="31"/>
        <v>1</v>
      </c>
      <c r="P1901" s="108"/>
      <c r="Q1901"/>
    </row>
    <row r="1902" spans="1:17" x14ac:dyDescent="0.25">
      <c r="A1902" s="89" t="s">
        <v>4880</v>
      </c>
      <c r="B1902" s="87" t="s">
        <v>4881</v>
      </c>
      <c r="C1902" s="87" t="s">
        <v>16</v>
      </c>
      <c r="D1902" s="87" t="str">
        <f>VLOOKUP(Tabela1[[#This Row],[Origem]], 'Perguntas 1 a 24'!$J$28:$K$34, 2, 0)</f>
        <v>Sudeste</v>
      </c>
      <c r="E1902" s="87" t="str">
        <f>Tabela1[[#This Row],[Descrição]]&amp;"-"&amp;Tabela1[[#This Row],[Código]]&amp;"/"&amp;Tabela1[[#This Row],[Origem]]</f>
        <v>Pavupitimo-H642H159/MG</v>
      </c>
      <c r="F1902" s="88">
        <v>46599</v>
      </c>
      <c r="G1902" s="88" t="str" cm="1">
        <f t="array" ref="G19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AND(F1902&gt;= DATE(2026,1,1), F1902&lt;= DATE(2028, 12, 31), J1902&gt;50000), "Pendente e Caro", AND(F1902&gt;= DATE(2026,1,1), F1902&lt;= DATE(2028, 12, 31), J1902&lt;=50000), "Pendente", F1902&gt;= DATE(2029,1,1), "Não prioeitário")</f>
        <v>Pendente e Caro</v>
      </c>
      <c r="H1902" s="89">
        <f>YEAR(Tabela1[[#This Row],[Data de Validade]])</f>
        <v>2027</v>
      </c>
      <c r="I1902" s="89">
        <f>MONTH(Tabela1[[#This Row],[Data de Validade]])</f>
        <v>7</v>
      </c>
      <c r="J1902" s="101">
        <v>112318</v>
      </c>
      <c r="K1902" s="87" t="s">
        <v>7</v>
      </c>
      <c r="L1902" s="108"/>
      <c r="M1902" s="108"/>
      <c r="N1902" s="108" t="str">
        <v>H516P211</v>
      </c>
      <c r="O1902" s="108">
        <f t="shared" si="31"/>
        <v>1</v>
      </c>
      <c r="P1902" s="108"/>
      <c r="Q1902"/>
    </row>
    <row r="1903" spans="1:17" x14ac:dyDescent="0.25">
      <c r="A1903" s="89" t="s">
        <v>8000</v>
      </c>
      <c r="B1903" s="87" t="s">
        <v>8001</v>
      </c>
      <c r="C1903" s="87" t="s">
        <v>6</v>
      </c>
      <c r="D1903" s="87" t="str">
        <f>VLOOKUP(Tabela1[[#This Row],[Origem]], 'Perguntas 1 a 24'!$J$28:$K$34, 2, 0)</f>
        <v>Nordeste</v>
      </c>
      <c r="E1903" s="87" t="str">
        <f>Tabela1[[#This Row],[Descrição]]&amp;"-"&amp;Tabela1[[#This Row],[Código]]&amp;"/"&amp;Tabela1[[#This Row],[Origem]]</f>
        <v>Videgete-H516P211/MA</v>
      </c>
      <c r="F1903" s="88">
        <v>46599</v>
      </c>
      <c r="G1903" s="88" t="str" cm="1">
        <f t="array" ref="G19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AND(F1903&gt;= DATE(2026,1,1), F1903&lt;= DATE(2028, 12, 31), J1903&gt;50000), "Pendente e Caro", AND(F1903&gt;= DATE(2026,1,1), F1903&lt;= DATE(2028, 12, 31), J1903&lt;=50000), "Pendente", F1903&gt;= DATE(2029,1,1), "Não prioeitário")</f>
        <v>Pendente e Caro</v>
      </c>
      <c r="H1903" s="89">
        <f>YEAR(Tabela1[[#This Row],[Data de Validade]])</f>
        <v>2027</v>
      </c>
      <c r="I1903" s="89">
        <f>MONTH(Tabela1[[#This Row],[Data de Validade]])</f>
        <v>7</v>
      </c>
      <c r="J1903" s="101">
        <v>68588</v>
      </c>
      <c r="K1903" s="87" t="s">
        <v>11</v>
      </c>
      <c r="L1903" s="108"/>
      <c r="M1903" s="108"/>
      <c r="N1903" s="108" t="str">
        <v>P513P551</v>
      </c>
      <c r="O1903" s="108">
        <f t="shared" si="31"/>
        <v>1</v>
      </c>
      <c r="P1903" s="108"/>
      <c r="Q1903"/>
    </row>
    <row r="1904" spans="1:17" x14ac:dyDescent="0.25">
      <c r="A1904" s="89" t="s">
        <v>9519</v>
      </c>
      <c r="B1904" s="87" t="s">
        <v>9520</v>
      </c>
      <c r="C1904" s="87" t="s">
        <v>6</v>
      </c>
      <c r="D1904" s="87" t="str">
        <f>VLOOKUP(Tabela1[[#This Row],[Origem]], 'Perguntas 1 a 24'!$J$28:$K$34, 2, 0)</f>
        <v>Nordeste</v>
      </c>
      <c r="E1904" s="87" t="str">
        <f>Tabela1[[#This Row],[Descrição]]&amp;"-"&amp;Tabela1[[#This Row],[Código]]&amp;"/"&amp;Tabela1[[#This Row],[Origem]]</f>
        <v>Mucefopo-P513P551/MA</v>
      </c>
      <c r="F1904" s="88">
        <v>46599</v>
      </c>
      <c r="G1904" s="88" t="str" cm="1">
        <f t="array" ref="G19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AND(F1904&gt;= DATE(2026,1,1), F1904&lt;= DATE(2028, 12, 31), J1904&gt;50000), "Pendente e Caro", AND(F1904&gt;= DATE(2026,1,1), F1904&lt;= DATE(2028, 12, 31), J1904&lt;=50000), "Pendente", F1904&gt;= DATE(2029,1,1), "Não prioeitário")</f>
        <v>Pendente e Caro</v>
      </c>
      <c r="H1904" s="89">
        <f>YEAR(Tabela1[[#This Row],[Data de Validade]])</f>
        <v>2027</v>
      </c>
      <c r="I1904" s="89">
        <f>MONTH(Tabela1[[#This Row],[Data de Validade]])</f>
        <v>7</v>
      </c>
      <c r="J1904" s="101">
        <v>64959</v>
      </c>
      <c r="K1904" s="87" t="s">
        <v>9</v>
      </c>
      <c r="L1904" s="108"/>
      <c r="M1904" s="108"/>
      <c r="N1904" s="108" t="str">
        <v>P987P619</v>
      </c>
      <c r="O1904" s="108">
        <f t="shared" si="31"/>
        <v>1</v>
      </c>
      <c r="P1904" s="108"/>
      <c r="Q1904"/>
    </row>
    <row r="1905" spans="1:17" x14ac:dyDescent="0.25">
      <c r="A1905" s="89" t="s">
        <v>6184</v>
      </c>
      <c r="B1905" s="87" t="s">
        <v>6185</v>
      </c>
      <c r="C1905" s="87" t="s">
        <v>12</v>
      </c>
      <c r="D1905" s="87" t="str">
        <f>VLOOKUP(Tabela1[[#This Row],[Origem]], 'Perguntas 1 a 24'!$J$28:$K$34, 2, 0)</f>
        <v>Sudeste</v>
      </c>
      <c r="E1905" s="87" t="str">
        <f>Tabela1[[#This Row],[Descrição]]&amp;"-"&amp;Tabela1[[#This Row],[Código]]&amp;"/"&amp;Tabela1[[#This Row],[Origem]]</f>
        <v>Turecoruru-P987P619/RJ</v>
      </c>
      <c r="F1905" s="88">
        <v>46599</v>
      </c>
      <c r="G1905" s="88" t="str" cm="1">
        <f t="array" ref="G19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AND(F1905&gt;= DATE(2026,1,1), F1905&lt;= DATE(2028, 12, 31), J1905&gt;50000), "Pendente e Caro", AND(F1905&gt;= DATE(2026,1,1), F1905&lt;= DATE(2028, 12, 31), J1905&lt;=50000), "Pendente", F1905&gt;= DATE(2029,1,1), "Não prioeitário")</f>
        <v>Pendente</v>
      </c>
      <c r="H1905" s="89">
        <f>YEAR(Tabela1[[#This Row],[Data de Validade]])</f>
        <v>2027</v>
      </c>
      <c r="I1905" s="89">
        <f>MONTH(Tabela1[[#This Row],[Data de Validade]])</f>
        <v>7</v>
      </c>
      <c r="J1905" s="101">
        <v>41706</v>
      </c>
      <c r="K1905" s="87" t="s">
        <v>9</v>
      </c>
      <c r="L1905" s="108"/>
      <c r="M1905" s="108"/>
      <c r="N1905" s="108" t="str">
        <v>P334H215</v>
      </c>
      <c r="O1905" s="108">
        <f t="shared" si="31"/>
        <v>1</v>
      </c>
      <c r="P1905" s="108"/>
      <c r="Q1905"/>
    </row>
    <row r="1906" spans="1:17" x14ac:dyDescent="0.25">
      <c r="A1906" s="89" t="s">
        <v>9677</v>
      </c>
      <c r="B1906" s="87" t="s">
        <v>9678</v>
      </c>
      <c r="C1906" s="87" t="s">
        <v>15</v>
      </c>
      <c r="D1906" s="87" t="str">
        <f>VLOOKUP(Tabela1[[#This Row],[Origem]], 'Perguntas 1 a 24'!$J$28:$K$34, 2, 0)</f>
        <v>Sudeste</v>
      </c>
      <c r="E1906" s="87" t="str">
        <f>Tabela1[[#This Row],[Descrição]]&amp;"-"&amp;Tabela1[[#This Row],[Código]]&amp;"/"&amp;Tabela1[[#This Row],[Origem]]</f>
        <v>Rupacafero-P334H215/ES</v>
      </c>
      <c r="F1906" s="88">
        <v>46600</v>
      </c>
      <c r="G1906" s="88" t="str" cm="1">
        <f t="array" ref="G19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AND(F1906&gt;= DATE(2026,1,1), F1906&lt;= DATE(2028, 12, 31), J1906&gt;50000), "Pendente e Caro", AND(F1906&gt;= DATE(2026,1,1), F1906&lt;= DATE(2028, 12, 31), J1906&lt;=50000), "Pendente", F1906&gt;= DATE(2029,1,1), "Não prioeitário")</f>
        <v>Pendente e Caro</v>
      </c>
      <c r="H1906" s="89">
        <f>YEAR(Tabela1[[#This Row],[Data de Validade]])</f>
        <v>2027</v>
      </c>
      <c r="I1906" s="89">
        <f>MONTH(Tabela1[[#This Row],[Data de Validade]])</f>
        <v>8</v>
      </c>
      <c r="J1906" s="101">
        <v>102019</v>
      </c>
      <c r="K1906" s="87" t="s">
        <v>7</v>
      </c>
      <c r="L1906" s="108"/>
      <c r="M1906" s="108"/>
      <c r="N1906" s="108" t="str">
        <v>H985P951</v>
      </c>
      <c r="O1906" s="108">
        <f t="shared" si="31"/>
        <v>1</v>
      </c>
      <c r="P1906" s="108"/>
      <c r="Q1906"/>
    </row>
    <row r="1907" spans="1:17" x14ac:dyDescent="0.25">
      <c r="A1907" s="89" t="s">
        <v>8116</v>
      </c>
      <c r="B1907" s="87" t="s">
        <v>8117</v>
      </c>
      <c r="C1907" s="87" t="s">
        <v>15</v>
      </c>
      <c r="D1907" s="87" t="str">
        <f>VLOOKUP(Tabela1[[#This Row],[Origem]], 'Perguntas 1 a 24'!$J$28:$K$34, 2, 0)</f>
        <v>Sudeste</v>
      </c>
      <c r="E1907" s="87" t="str">
        <f>Tabela1[[#This Row],[Descrição]]&amp;"-"&amp;Tabela1[[#This Row],[Código]]&amp;"/"&amp;Tabela1[[#This Row],[Origem]]</f>
        <v>Teripore-H985P951/ES</v>
      </c>
      <c r="F1907" s="88">
        <v>46600</v>
      </c>
      <c r="G1907" s="88" t="str" cm="1">
        <f t="array" ref="G19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AND(F1907&gt;= DATE(2026,1,1), F1907&lt;= DATE(2028, 12, 31), J1907&gt;50000), "Pendente e Caro", AND(F1907&gt;= DATE(2026,1,1), F1907&lt;= DATE(2028, 12, 31), J1907&lt;=50000), "Pendente", F1907&gt;= DATE(2029,1,1), "Não prioeitário")</f>
        <v>Pendente e Caro</v>
      </c>
      <c r="H1907" s="89">
        <f>YEAR(Tabela1[[#This Row],[Data de Validade]])</f>
        <v>2027</v>
      </c>
      <c r="I1907" s="89">
        <f>MONTH(Tabela1[[#This Row],[Data de Validade]])</f>
        <v>8</v>
      </c>
      <c r="J1907" s="101">
        <v>71503</v>
      </c>
      <c r="K1907" s="87" t="s">
        <v>7</v>
      </c>
      <c r="L1907" s="108"/>
      <c r="M1907" s="108"/>
      <c r="N1907" s="108" t="str">
        <v>H851P697</v>
      </c>
      <c r="O1907" s="108">
        <f t="shared" si="31"/>
        <v>1</v>
      </c>
      <c r="P1907" s="108"/>
      <c r="Q1907"/>
    </row>
    <row r="1908" spans="1:17" x14ac:dyDescent="0.25">
      <c r="A1908" s="89" t="s">
        <v>3838</v>
      </c>
      <c r="B1908" s="87" t="s">
        <v>3839</v>
      </c>
      <c r="C1908" s="87" t="s">
        <v>13</v>
      </c>
      <c r="D1908" s="87" t="str">
        <f>VLOOKUP(Tabela1[[#This Row],[Origem]], 'Perguntas 1 a 24'!$J$28:$K$34, 2, 0)</f>
        <v>Sudeste</v>
      </c>
      <c r="E1908" s="87" t="str">
        <f>Tabela1[[#This Row],[Descrição]]&amp;"-"&amp;Tabela1[[#This Row],[Código]]&amp;"/"&amp;Tabela1[[#This Row],[Origem]]</f>
        <v>Gutipo-H851P697/SP</v>
      </c>
      <c r="F1908" s="88">
        <v>46601</v>
      </c>
      <c r="G1908" s="88" t="str" cm="1">
        <f t="array" ref="G19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AND(F1908&gt;= DATE(2026,1,1), F1908&lt;= DATE(2028, 12, 31), J1908&gt;50000), "Pendente e Caro", AND(F1908&gt;= DATE(2026,1,1), F1908&lt;= DATE(2028, 12, 31), J1908&lt;=50000), "Pendente", F1908&gt;= DATE(2029,1,1), "Não prioeitário")</f>
        <v>Pendente e Caro</v>
      </c>
      <c r="H1908" s="89">
        <f>YEAR(Tabela1[[#This Row],[Data de Validade]])</f>
        <v>2027</v>
      </c>
      <c r="I1908" s="89">
        <f>MONTH(Tabela1[[#This Row],[Data de Validade]])</f>
        <v>8</v>
      </c>
      <c r="J1908" s="101">
        <v>80512</v>
      </c>
      <c r="K1908" s="87" t="s">
        <v>9</v>
      </c>
      <c r="L1908" s="108"/>
      <c r="M1908" s="108"/>
      <c r="N1908" s="108" t="str">
        <v>P279H711</v>
      </c>
      <c r="O1908" s="108">
        <f t="shared" si="31"/>
        <v>1</v>
      </c>
      <c r="P1908" s="108"/>
      <c r="Q1908"/>
    </row>
    <row r="1909" spans="1:17" x14ac:dyDescent="0.25">
      <c r="A1909" s="89" t="s">
        <v>3734</v>
      </c>
      <c r="B1909" s="87" t="s">
        <v>3735</v>
      </c>
      <c r="C1909" s="87" t="s">
        <v>12</v>
      </c>
      <c r="D1909" s="87" t="str">
        <f>VLOOKUP(Tabela1[[#This Row],[Origem]], 'Perguntas 1 a 24'!$J$28:$K$34, 2, 0)</f>
        <v>Sudeste</v>
      </c>
      <c r="E1909" s="87" t="str">
        <f>Tabela1[[#This Row],[Descrição]]&amp;"-"&amp;Tabela1[[#This Row],[Código]]&amp;"/"&amp;Tabela1[[#This Row],[Origem]]</f>
        <v>Vilafa-P279H711/RJ</v>
      </c>
      <c r="F1909" s="88">
        <v>46601</v>
      </c>
      <c r="G1909" s="88" t="str" cm="1">
        <f t="array" ref="G19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AND(F1909&gt;= DATE(2026,1,1), F1909&lt;= DATE(2028, 12, 31), J1909&gt;50000), "Pendente e Caro", AND(F1909&gt;= DATE(2026,1,1), F1909&lt;= DATE(2028, 12, 31), J1909&lt;=50000), "Pendente", F1909&gt;= DATE(2029,1,1), "Não prioeitário")</f>
        <v>Pendente</v>
      </c>
      <c r="H1909" s="89">
        <f>YEAR(Tabela1[[#This Row],[Data de Validade]])</f>
        <v>2027</v>
      </c>
      <c r="I1909" s="89">
        <f>MONTH(Tabela1[[#This Row],[Data de Validade]])</f>
        <v>8</v>
      </c>
      <c r="J1909" s="101">
        <v>23558</v>
      </c>
      <c r="K1909" s="87" t="s">
        <v>11</v>
      </c>
      <c r="L1909" s="108"/>
      <c r="M1909" s="108"/>
      <c r="N1909" s="108" t="str">
        <v>H966H989</v>
      </c>
      <c r="O1909" s="108">
        <f t="shared" si="31"/>
        <v>1</v>
      </c>
      <c r="P1909" s="108"/>
      <c r="Q1909"/>
    </row>
    <row r="1910" spans="1:17" x14ac:dyDescent="0.25">
      <c r="A1910" s="89" t="s">
        <v>10149</v>
      </c>
      <c r="B1910" s="87" t="s">
        <v>10150</v>
      </c>
      <c r="C1910" s="87" t="s">
        <v>15</v>
      </c>
      <c r="D1910" s="87" t="str">
        <f>VLOOKUP(Tabela1[[#This Row],[Origem]], 'Perguntas 1 a 24'!$J$28:$K$34, 2, 0)</f>
        <v>Sudeste</v>
      </c>
      <c r="E1910" s="87" t="str">
        <f>Tabela1[[#This Row],[Descrição]]&amp;"-"&amp;Tabela1[[#This Row],[Código]]&amp;"/"&amp;Tabela1[[#This Row],[Origem]]</f>
        <v>Toravi-H966H989/ES</v>
      </c>
      <c r="F1910" s="88">
        <v>46602</v>
      </c>
      <c r="G1910" s="88" t="str" cm="1">
        <f t="array" ref="G19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AND(F1910&gt;= DATE(2026,1,1), F1910&lt;= DATE(2028, 12, 31), J1910&gt;50000), "Pendente e Caro", AND(F1910&gt;= DATE(2026,1,1), F1910&lt;= DATE(2028, 12, 31), J1910&lt;=50000), "Pendente", F1910&gt;= DATE(2029,1,1), "Não prioeitário")</f>
        <v>Pendente</v>
      </c>
      <c r="H1910" s="89">
        <f>YEAR(Tabela1[[#This Row],[Data de Validade]])</f>
        <v>2027</v>
      </c>
      <c r="I1910" s="89">
        <f>MONTH(Tabela1[[#This Row],[Data de Validade]])</f>
        <v>8</v>
      </c>
      <c r="J1910" s="101">
        <v>22264</v>
      </c>
      <c r="K1910" s="87" t="s">
        <v>14</v>
      </c>
      <c r="L1910" s="108"/>
      <c r="M1910" s="108"/>
      <c r="N1910" s="108" t="str">
        <v>H387H484</v>
      </c>
      <c r="O1910" s="108">
        <f t="shared" si="31"/>
        <v>1</v>
      </c>
      <c r="P1910" s="108"/>
      <c r="Q1910"/>
    </row>
    <row r="1911" spans="1:17" x14ac:dyDescent="0.25">
      <c r="A1911" s="89" t="s">
        <v>9617</v>
      </c>
      <c r="B1911" s="87" t="s">
        <v>9618</v>
      </c>
      <c r="C1911" s="87" t="s">
        <v>15</v>
      </c>
      <c r="D1911" s="87" t="str">
        <f>VLOOKUP(Tabela1[[#This Row],[Origem]], 'Perguntas 1 a 24'!$J$28:$K$34, 2, 0)</f>
        <v>Sudeste</v>
      </c>
      <c r="E1911" s="87" t="str">
        <f>Tabela1[[#This Row],[Descrição]]&amp;"-"&amp;Tabela1[[#This Row],[Código]]&amp;"/"&amp;Tabela1[[#This Row],[Origem]]</f>
        <v>Rirarupe-H387H484/ES</v>
      </c>
      <c r="F1911" s="88">
        <v>46603</v>
      </c>
      <c r="G1911" s="88" t="str" cm="1">
        <f t="array" ref="G19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AND(F1911&gt;= DATE(2026,1,1), F1911&lt;= DATE(2028, 12, 31), J1911&gt;50000), "Pendente e Caro", AND(F1911&gt;= DATE(2026,1,1), F1911&lt;= DATE(2028, 12, 31), J1911&lt;=50000), "Pendente", F1911&gt;= DATE(2029,1,1), "Não prioeitário")</f>
        <v>Pendente</v>
      </c>
      <c r="H1911" s="89">
        <f>YEAR(Tabela1[[#This Row],[Data de Validade]])</f>
        <v>2027</v>
      </c>
      <c r="I1911" s="89">
        <f>MONTH(Tabela1[[#This Row],[Data de Validade]])</f>
        <v>8</v>
      </c>
      <c r="J1911" s="101">
        <v>42773</v>
      </c>
      <c r="K1911" s="87" t="s">
        <v>9</v>
      </c>
      <c r="L1911" s="108"/>
      <c r="M1911" s="108"/>
      <c r="N1911" s="108" t="str">
        <v>P264P829</v>
      </c>
      <c r="O1911" s="108">
        <f t="shared" si="31"/>
        <v>1</v>
      </c>
      <c r="P1911" s="108"/>
      <c r="Q1911"/>
    </row>
    <row r="1912" spans="1:17" x14ac:dyDescent="0.25">
      <c r="A1912" s="89" t="s">
        <v>8110</v>
      </c>
      <c r="B1912" s="87" t="s">
        <v>8111</v>
      </c>
      <c r="C1912" s="87" t="s">
        <v>16</v>
      </c>
      <c r="D1912" s="87" t="str">
        <f>VLOOKUP(Tabela1[[#This Row],[Origem]], 'Perguntas 1 a 24'!$J$28:$K$34, 2, 0)</f>
        <v>Sudeste</v>
      </c>
      <c r="E1912" s="87" t="str">
        <f>Tabela1[[#This Row],[Descrição]]&amp;"-"&amp;Tabela1[[#This Row],[Código]]&amp;"/"&amp;Tabela1[[#This Row],[Origem]]</f>
        <v>Cedorodeti-P264P829/MG</v>
      </c>
      <c r="F1912" s="88">
        <v>46603</v>
      </c>
      <c r="G1912" s="88" t="str" cm="1">
        <f t="array" ref="G19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AND(F1912&gt;= DATE(2026,1,1), F1912&lt;= DATE(2028, 12, 31), J1912&gt;50000), "Pendente e Caro", AND(F1912&gt;= DATE(2026,1,1), F1912&lt;= DATE(2028, 12, 31), J1912&lt;=50000), "Pendente", F1912&gt;= DATE(2029,1,1), "Não prioeitário")</f>
        <v>Pendente</v>
      </c>
      <c r="H1912" s="89">
        <f>YEAR(Tabela1[[#This Row],[Data de Validade]])</f>
        <v>2027</v>
      </c>
      <c r="I1912" s="89">
        <f>MONTH(Tabela1[[#This Row],[Data de Validade]])</f>
        <v>8</v>
      </c>
      <c r="J1912" s="101">
        <v>32704</v>
      </c>
      <c r="K1912" s="87" t="s">
        <v>7</v>
      </c>
      <c r="L1912" s="108"/>
      <c r="M1912" s="108"/>
      <c r="N1912" s="108" t="str">
        <v>H324P816</v>
      </c>
      <c r="O1912" s="108">
        <f t="shared" si="31"/>
        <v>1</v>
      </c>
      <c r="P1912" s="108"/>
      <c r="Q1912"/>
    </row>
    <row r="1913" spans="1:17" x14ac:dyDescent="0.25">
      <c r="A1913" s="89" t="s">
        <v>11300</v>
      </c>
      <c r="B1913" s="87" t="s">
        <v>11301</v>
      </c>
      <c r="C1913" s="87" t="s">
        <v>16</v>
      </c>
      <c r="D1913" s="87" t="str">
        <f>VLOOKUP(Tabela1[[#This Row],[Origem]], 'Perguntas 1 a 24'!$J$28:$K$34, 2, 0)</f>
        <v>Sudeste</v>
      </c>
      <c r="E1913" s="87" t="str">
        <f>Tabela1[[#This Row],[Descrição]]&amp;"-"&amp;Tabela1[[#This Row],[Código]]&amp;"/"&amp;Tabela1[[#This Row],[Origem]]</f>
        <v>Tadopa-H324P816/MG</v>
      </c>
      <c r="F1913" s="88">
        <v>46604</v>
      </c>
      <c r="G1913" s="88" t="str" cm="1">
        <f t="array" ref="G19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AND(F1913&gt;= DATE(2026,1,1), F1913&lt;= DATE(2028, 12, 31), J1913&gt;50000), "Pendente e Caro", AND(F1913&gt;= DATE(2026,1,1), F1913&lt;= DATE(2028, 12, 31), J1913&lt;=50000), "Pendente", F1913&gt;= DATE(2029,1,1), "Não prioeitário")</f>
        <v>Pendente e Caro</v>
      </c>
      <c r="H1913" s="89">
        <f>YEAR(Tabela1[[#This Row],[Data de Validade]])</f>
        <v>2027</v>
      </c>
      <c r="I1913" s="89">
        <f>MONTH(Tabela1[[#This Row],[Data de Validade]])</f>
        <v>8</v>
      </c>
      <c r="J1913" s="101">
        <v>75786</v>
      </c>
      <c r="K1913" s="87" t="s">
        <v>7</v>
      </c>
      <c r="L1913" s="108"/>
      <c r="M1913" s="108"/>
      <c r="N1913" s="108" t="str">
        <v>P163P613</v>
      </c>
      <c r="O1913" s="108">
        <f t="shared" si="31"/>
        <v>1</v>
      </c>
      <c r="P1913" s="108"/>
      <c r="Q1913"/>
    </row>
    <row r="1914" spans="1:17" x14ac:dyDescent="0.25">
      <c r="A1914" s="89" t="s">
        <v>8637</v>
      </c>
      <c r="B1914" s="87" t="s">
        <v>8638</v>
      </c>
      <c r="C1914" s="87" t="s">
        <v>6</v>
      </c>
      <c r="D1914" s="87" t="str">
        <f>VLOOKUP(Tabela1[[#This Row],[Origem]], 'Perguntas 1 a 24'!$J$28:$K$34, 2, 0)</f>
        <v>Nordeste</v>
      </c>
      <c r="E1914" s="87" t="str">
        <f>Tabela1[[#This Row],[Descrição]]&amp;"-"&amp;Tabela1[[#This Row],[Código]]&amp;"/"&amp;Tabela1[[#This Row],[Origem]]</f>
        <v>Titegofomi-P163P613/MA</v>
      </c>
      <c r="F1914" s="88">
        <v>46604</v>
      </c>
      <c r="G1914" s="88" t="str" cm="1">
        <f t="array" ref="G19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AND(F1914&gt;= DATE(2026,1,1), F1914&lt;= DATE(2028, 12, 31), J1914&gt;50000), "Pendente e Caro", AND(F1914&gt;= DATE(2026,1,1), F1914&lt;= DATE(2028, 12, 31), J1914&lt;=50000), "Pendente", F1914&gt;= DATE(2029,1,1), "Não prioeitário")</f>
        <v>Pendente</v>
      </c>
      <c r="H1914" s="89">
        <f>YEAR(Tabela1[[#This Row],[Data de Validade]])</f>
        <v>2027</v>
      </c>
      <c r="I1914" s="89">
        <f>MONTH(Tabela1[[#This Row],[Data de Validade]])</f>
        <v>8</v>
      </c>
      <c r="J1914" s="101">
        <v>30405</v>
      </c>
      <c r="K1914" s="87" t="s">
        <v>9</v>
      </c>
      <c r="L1914" s="108"/>
      <c r="M1914" s="108"/>
      <c r="N1914" s="108" t="str">
        <v>P449P923</v>
      </c>
      <c r="O1914" s="108">
        <f t="shared" si="31"/>
        <v>1</v>
      </c>
      <c r="P1914" s="108"/>
      <c r="Q1914"/>
    </row>
    <row r="1915" spans="1:17" x14ac:dyDescent="0.25">
      <c r="A1915" s="89" t="s">
        <v>6038</v>
      </c>
      <c r="B1915" s="87" t="s">
        <v>6039</v>
      </c>
      <c r="C1915" s="87" t="s">
        <v>8</v>
      </c>
      <c r="D1915" s="87" t="str">
        <f>VLOOKUP(Tabela1[[#This Row],[Origem]], 'Perguntas 1 a 24'!$J$28:$K$34, 2, 0)</f>
        <v>Nordeste</v>
      </c>
      <c r="E1915" s="87" t="str">
        <f>Tabela1[[#This Row],[Descrição]]&amp;"-"&amp;Tabela1[[#This Row],[Código]]&amp;"/"&amp;Tabela1[[#This Row],[Origem]]</f>
        <v>Panoguriru-P449P923/AL</v>
      </c>
      <c r="F1915" s="88">
        <v>46605</v>
      </c>
      <c r="G1915" s="88" t="str" cm="1">
        <f t="array" ref="G19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AND(F1915&gt;= DATE(2026,1,1), F1915&lt;= DATE(2028, 12, 31), J1915&gt;50000), "Pendente e Caro", AND(F1915&gt;= DATE(2026,1,1), F1915&lt;= DATE(2028, 12, 31), J1915&lt;=50000), "Pendente", F1915&gt;= DATE(2029,1,1), "Não prioeitário")</f>
        <v>Pendente e Caro</v>
      </c>
      <c r="H1915" s="89">
        <f>YEAR(Tabela1[[#This Row],[Data de Validade]])</f>
        <v>2027</v>
      </c>
      <c r="I1915" s="89">
        <f>MONTH(Tabela1[[#This Row],[Data de Validade]])</f>
        <v>8</v>
      </c>
      <c r="J1915" s="101">
        <v>101944</v>
      </c>
      <c r="K1915" s="87" t="s">
        <v>7</v>
      </c>
      <c r="L1915" s="108"/>
      <c r="M1915" s="108"/>
      <c r="N1915" s="108" t="str">
        <v>P434P624</v>
      </c>
      <c r="O1915" s="108">
        <f t="shared" si="31"/>
        <v>1</v>
      </c>
      <c r="P1915" s="108"/>
      <c r="Q1915"/>
    </row>
    <row r="1916" spans="1:17" x14ac:dyDescent="0.25">
      <c r="A1916" s="89" t="s">
        <v>4594</v>
      </c>
      <c r="B1916" s="87" t="s">
        <v>4595</v>
      </c>
      <c r="C1916" s="87" t="s">
        <v>16</v>
      </c>
      <c r="D1916" s="87" t="str">
        <f>VLOOKUP(Tabela1[[#This Row],[Origem]], 'Perguntas 1 a 24'!$J$28:$K$34, 2, 0)</f>
        <v>Sudeste</v>
      </c>
      <c r="E1916" s="87" t="str">
        <f>Tabela1[[#This Row],[Descrição]]&amp;"-"&amp;Tabela1[[#This Row],[Código]]&amp;"/"&amp;Tabela1[[#This Row],[Origem]]</f>
        <v>Ratirivo-P434P624/MG</v>
      </c>
      <c r="F1916" s="88">
        <v>46605</v>
      </c>
      <c r="G1916" s="88" t="str" cm="1">
        <f t="array" ref="G19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AND(F1916&gt;= DATE(2026,1,1), F1916&lt;= DATE(2028, 12, 31), J1916&gt;50000), "Pendente e Caro", AND(F1916&gt;= DATE(2026,1,1), F1916&lt;= DATE(2028, 12, 31), J1916&lt;=50000), "Pendente", F1916&gt;= DATE(2029,1,1), "Não prioeitário")</f>
        <v>Pendente</v>
      </c>
      <c r="H1916" s="89">
        <f>YEAR(Tabela1[[#This Row],[Data de Validade]])</f>
        <v>2027</v>
      </c>
      <c r="I1916" s="89">
        <f>MONTH(Tabela1[[#This Row],[Data de Validade]])</f>
        <v>8</v>
      </c>
      <c r="J1916" s="101">
        <v>36072</v>
      </c>
      <c r="K1916" s="87" t="s">
        <v>9</v>
      </c>
      <c r="L1916" s="108"/>
      <c r="M1916" s="108"/>
      <c r="N1916" s="108" t="str">
        <v>H623P187</v>
      </c>
      <c r="O1916" s="108">
        <f t="shared" si="31"/>
        <v>1</v>
      </c>
      <c r="P1916" s="108"/>
      <c r="Q1916"/>
    </row>
    <row r="1917" spans="1:17" x14ac:dyDescent="0.25">
      <c r="A1917" s="89" t="s">
        <v>9165</v>
      </c>
      <c r="B1917" s="87" t="s">
        <v>9166</v>
      </c>
      <c r="C1917" s="87" t="s">
        <v>10</v>
      </c>
      <c r="D1917" s="87" t="str">
        <f>VLOOKUP(Tabela1[[#This Row],[Origem]], 'Perguntas 1 a 24'!$J$28:$K$34, 2, 0)</f>
        <v>Centro-Oeste</v>
      </c>
      <c r="E1917" s="87" t="str">
        <f>Tabela1[[#This Row],[Descrição]]&amp;"-"&amp;Tabela1[[#This Row],[Código]]&amp;"/"&amp;Tabela1[[#This Row],[Origem]]</f>
        <v>Pururu-H623P187/GO</v>
      </c>
      <c r="F1917" s="88">
        <v>46605</v>
      </c>
      <c r="G1917" s="88" t="str" cm="1">
        <f t="array" ref="G19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AND(F1917&gt;= DATE(2026,1,1), F1917&lt;= DATE(2028, 12, 31), J1917&gt;50000), "Pendente e Caro", AND(F1917&gt;= DATE(2026,1,1), F1917&lt;= DATE(2028, 12, 31), J1917&lt;=50000), "Pendente", F1917&gt;= DATE(2029,1,1), "Não prioeitário")</f>
        <v>Pendente</v>
      </c>
      <c r="H1917" s="89">
        <f>YEAR(Tabela1[[#This Row],[Data de Validade]])</f>
        <v>2027</v>
      </c>
      <c r="I1917" s="89">
        <f>MONTH(Tabela1[[#This Row],[Data de Validade]])</f>
        <v>8</v>
      </c>
      <c r="J1917" s="101">
        <v>25847</v>
      </c>
      <c r="K1917" s="87" t="s">
        <v>14</v>
      </c>
      <c r="L1917" s="108"/>
      <c r="M1917" s="108"/>
      <c r="N1917" s="108" t="str">
        <v>H748P635</v>
      </c>
      <c r="O1917" s="108">
        <f t="shared" si="31"/>
        <v>1</v>
      </c>
      <c r="P1917" s="108"/>
      <c r="Q1917"/>
    </row>
    <row r="1918" spans="1:17" x14ac:dyDescent="0.25">
      <c r="A1918" s="89" t="s">
        <v>4794</v>
      </c>
      <c r="B1918" s="87" t="s">
        <v>4795</v>
      </c>
      <c r="C1918" s="87" t="s">
        <v>6</v>
      </c>
      <c r="D1918" s="87" t="str">
        <f>VLOOKUP(Tabela1[[#This Row],[Origem]], 'Perguntas 1 a 24'!$J$28:$K$34, 2, 0)</f>
        <v>Nordeste</v>
      </c>
      <c r="E1918" s="87" t="str">
        <f>Tabela1[[#This Row],[Descrição]]&amp;"-"&amp;Tabela1[[#This Row],[Código]]&amp;"/"&amp;Tabela1[[#This Row],[Origem]]</f>
        <v>Tepanepe-H748P635/MA</v>
      </c>
      <c r="F1918" s="88">
        <v>46606</v>
      </c>
      <c r="G1918" s="88" t="str" cm="1">
        <f t="array" ref="G19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AND(F1918&gt;= DATE(2026,1,1), F1918&lt;= DATE(2028, 12, 31), J1918&gt;50000), "Pendente e Caro", AND(F1918&gt;= DATE(2026,1,1), F1918&lt;= DATE(2028, 12, 31), J1918&lt;=50000), "Pendente", F1918&gt;= DATE(2029,1,1), "Não prioeitário")</f>
        <v>Pendente e Caro</v>
      </c>
      <c r="H1918" s="89">
        <f>YEAR(Tabela1[[#This Row],[Data de Validade]])</f>
        <v>2027</v>
      </c>
      <c r="I1918" s="89">
        <f>MONTH(Tabela1[[#This Row],[Data de Validade]])</f>
        <v>8</v>
      </c>
      <c r="J1918" s="101">
        <v>53178</v>
      </c>
      <c r="K1918" s="87" t="s">
        <v>7</v>
      </c>
      <c r="L1918" s="108"/>
      <c r="M1918" s="108"/>
      <c r="N1918" s="108" t="str">
        <v>H886H882</v>
      </c>
      <c r="O1918" s="108">
        <f t="shared" si="31"/>
        <v>1</v>
      </c>
      <c r="P1918" s="108"/>
      <c r="Q1918"/>
    </row>
    <row r="1919" spans="1:17" x14ac:dyDescent="0.25">
      <c r="A1919" s="89" t="s">
        <v>5608</v>
      </c>
      <c r="B1919" s="87" t="s">
        <v>5609</v>
      </c>
      <c r="C1919" s="87" t="s">
        <v>13</v>
      </c>
      <c r="D1919" s="87" t="str">
        <f>VLOOKUP(Tabela1[[#This Row],[Origem]], 'Perguntas 1 a 24'!$J$28:$K$34, 2, 0)</f>
        <v>Sudeste</v>
      </c>
      <c r="E1919" s="87" t="str">
        <f>Tabela1[[#This Row],[Descrição]]&amp;"-"&amp;Tabela1[[#This Row],[Código]]&amp;"/"&amp;Tabela1[[#This Row],[Origem]]</f>
        <v>Topogore-H886H882/SP</v>
      </c>
      <c r="F1919" s="88">
        <v>46607</v>
      </c>
      <c r="G1919" s="88" t="str" cm="1">
        <f t="array" ref="G19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AND(F1919&gt;= DATE(2026,1,1), F1919&lt;= DATE(2028, 12, 31), J1919&gt;50000), "Pendente e Caro", AND(F1919&gt;= DATE(2026,1,1), F1919&lt;= DATE(2028, 12, 31), J1919&lt;=50000), "Pendente", F1919&gt;= DATE(2029,1,1), "Não prioeitário")</f>
        <v>Pendente e Caro</v>
      </c>
      <c r="H1919" s="89">
        <f>YEAR(Tabela1[[#This Row],[Data de Validade]])</f>
        <v>2027</v>
      </c>
      <c r="I1919" s="89">
        <f>MONTH(Tabela1[[#This Row],[Data de Validade]])</f>
        <v>8</v>
      </c>
      <c r="J1919" s="101">
        <v>108458</v>
      </c>
      <c r="K1919" s="87" t="s">
        <v>14</v>
      </c>
      <c r="L1919" s="108"/>
      <c r="M1919" s="108"/>
      <c r="N1919" s="108" t="str">
        <v>H586H485</v>
      </c>
      <c r="O1919" s="108">
        <f t="shared" si="31"/>
        <v>1</v>
      </c>
      <c r="P1919" s="108"/>
      <c r="Q1919"/>
    </row>
    <row r="1920" spans="1:17" x14ac:dyDescent="0.25">
      <c r="A1920" s="89" t="s">
        <v>6076</v>
      </c>
      <c r="B1920" s="87" t="s">
        <v>6077</v>
      </c>
      <c r="C1920" s="87" t="s">
        <v>16</v>
      </c>
      <c r="D1920" s="87" t="str">
        <f>VLOOKUP(Tabela1[[#This Row],[Origem]], 'Perguntas 1 a 24'!$J$28:$K$34, 2, 0)</f>
        <v>Sudeste</v>
      </c>
      <c r="E1920" s="87" t="str">
        <f>Tabela1[[#This Row],[Descrição]]&amp;"-"&amp;Tabela1[[#This Row],[Código]]&amp;"/"&amp;Tabela1[[#This Row],[Origem]]</f>
        <v>Petuva-H586H485/MG</v>
      </c>
      <c r="F1920" s="88">
        <v>46607</v>
      </c>
      <c r="G1920" s="88" t="str" cm="1">
        <f t="array" ref="G19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AND(F1920&gt;= DATE(2026,1,1), F1920&lt;= DATE(2028, 12, 31), J1920&gt;50000), "Pendente e Caro", AND(F1920&gt;= DATE(2026,1,1), F1920&lt;= DATE(2028, 12, 31), J1920&lt;=50000), "Pendente", F1920&gt;= DATE(2029,1,1), "Não prioeitário")</f>
        <v>Pendente e Caro</v>
      </c>
      <c r="H1920" s="89">
        <f>YEAR(Tabela1[[#This Row],[Data de Validade]])</f>
        <v>2027</v>
      </c>
      <c r="I1920" s="89">
        <f>MONTH(Tabela1[[#This Row],[Data de Validade]])</f>
        <v>8</v>
      </c>
      <c r="J1920" s="101">
        <v>80862</v>
      </c>
      <c r="K1920" s="87" t="s">
        <v>11</v>
      </c>
      <c r="L1920" s="108"/>
      <c r="M1920" s="108"/>
      <c r="N1920" s="108" t="str">
        <v>P478P963</v>
      </c>
      <c r="O1920" s="108">
        <f t="shared" si="31"/>
        <v>1</v>
      </c>
      <c r="P1920" s="108"/>
      <c r="Q1920"/>
    </row>
    <row r="1921" spans="1:17" x14ac:dyDescent="0.25">
      <c r="A1921" s="89" t="s">
        <v>5144</v>
      </c>
      <c r="B1921" s="87" t="s">
        <v>5145</v>
      </c>
      <c r="C1921" s="87" t="s">
        <v>16</v>
      </c>
      <c r="D1921" s="87" t="str">
        <f>VLOOKUP(Tabela1[[#This Row],[Origem]], 'Perguntas 1 a 24'!$J$28:$K$34, 2, 0)</f>
        <v>Sudeste</v>
      </c>
      <c r="E1921" s="87" t="str">
        <f>Tabela1[[#This Row],[Descrição]]&amp;"-"&amp;Tabela1[[#This Row],[Código]]&amp;"/"&amp;Tabela1[[#This Row],[Origem]]</f>
        <v>Tuloparumu-P478P963/MG</v>
      </c>
      <c r="F1921" s="88">
        <v>46607</v>
      </c>
      <c r="G1921" s="88" t="str" cm="1">
        <f t="array" ref="G19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AND(F1921&gt;= DATE(2026,1,1), F1921&lt;= DATE(2028, 12, 31), J1921&gt;50000), "Pendente e Caro", AND(F1921&gt;= DATE(2026,1,1), F1921&lt;= DATE(2028, 12, 31), J1921&lt;=50000), "Pendente", F1921&gt;= DATE(2029,1,1), "Não prioeitário")</f>
        <v>Pendente e Caro</v>
      </c>
      <c r="H1921" s="89">
        <f>YEAR(Tabela1[[#This Row],[Data de Validade]])</f>
        <v>2027</v>
      </c>
      <c r="I1921" s="89">
        <f>MONTH(Tabela1[[#This Row],[Data de Validade]])</f>
        <v>8</v>
      </c>
      <c r="J1921" s="101">
        <v>79772</v>
      </c>
      <c r="K1921" s="87" t="s">
        <v>7</v>
      </c>
      <c r="L1921" s="108"/>
      <c r="M1921" s="108"/>
      <c r="N1921" s="108" t="str">
        <v>P359P855</v>
      </c>
      <c r="O1921" s="108">
        <f t="shared" si="31"/>
        <v>1</v>
      </c>
      <c r="P1921" s="108"/>
      <c r="Q1921"/>
    </row>
    <row r="1922" spans="1:17" x14ac:dyDescent="0.25">
      <c r="A1922" s="89" t="s">
        <v>6862</v>
      </c>
      <c r="B1922" s="87" t="s">
        <v>6863</v>
      </c>
      <c r="C1922" s="87" t="s">
        <v>10</v>
      </c>
      <c r="D1922" s="87" t="str">
        <f>VLOOKUP(Tabela1[[#This Row],[Origem]], 'Perguntas 1 a 24'!$J$28:$K$34, 2, 0)</f>
        <v>Centro-Oeste</v>
      </c>
      <c r="E1922" s="87" t="str">
        <f>Tabela1[[#This Row],[Descrição]]&amp;"-"&amp;Tabela1[[#This Row],[Código]]&amp;"/"&amp;Tabela1[[#This Row],[Origem]]</f>
        <v>Cemalice-P359P855/GO</v>
      </c>
      <c r="F1922" s="88">
        <v>46607</v>
      </c>
      <c r="G1922" s="88" t="str" cm="1">
        <f t="array" ref="G19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AND(F1922&gt;= DATE(2026,1,1), F1922&lt;= DATE(2028, 12, 31), J1922&gt;50000), "Pendente e Caro", AND(F1922&gt;= DATE(2026,1,1), F1922&lt;= DATE(2028, 12, 31), J1922&lt;=50000), "Pendente", F1922&gt;= DATE(2029,1,1), "Não prioeitário")</f>
        <v>Pendente e Caro</v>
      </c>
      <c r="H1922" s="89">
        <f>YEAR(Tabela1[[#This Row],[Data de Validade]])</f>
        <v>2027</v>
      </c>
      <c r="I1922" s="89">
        <f>MONTH(Tabela1[[#This Row],[Data de Validade]])</f>
        <v>8</v>
      </c>
      <c r="J1922" s="101">
        <v>76187</v>
      </c>
      <c r="K1922" s="87" t="s">
        <v>11</v>
      </c>
      <c r="L1922" s="108"/>
      <c r="M1922" s="108"/>
      <c r="N1922" s="108" t="str">
        <v>H936P814</v>
      </c>
      <c r="O1922" s="108">
        <f t="shared" si="31"/>
        <v>1</v>
      </c>
      <c r="P1922" s="108"/>
      <c r="Q1922"/>
    </row>
    <row r="1923" spans="1:17" x14ac:dyDescent="0.25">
      <c r="A1923" s="89" t="s">
        <v>5554</v>
      </c>
      <c r="B1923" s="87" t="s">
        <v>5555</v>
      </c>
      <c r="C1923" s="87" t="s">
        <v>8</v>
      </c>
      <c r="D1923" s="87" t="str">
        <f>VLOOKUP(Tabela1[[#This Row],[Origem]], 'Perguntas 1 a 24'!$J$28:$K$34, 2, 0)</f>
        <v>Nordeste</v>
      </c>
      <c r="E1923" s="87" t="str">
        <f>Tabela1[[#This Row],[Descrição]]&amp;"-"&amp;Tabela1[[#This Row],[Código]]&amp;"/"&amp;Tabela1[[#This Row],[Origem]]</f>
        <v>Capapi-H936P814/AL</v>
      </c>
      <c r="F1923" s="88">
        <v>46608</v>
      </c>
      <c r="G1923" s="88" t="str" cm="1">
        <f t="array" ref="G19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AND(F1923&gt;= DATE(2026,1,1), F1923&lt;= DATE(2028, 12, 31), J1923&gt;50000), "Pendente e Caro", AND(F1923&gt;= DATE(2026,1,1), F1923&lt;= DATE(2028, 12, 31), J1923&lt;=50000), "Pendente", F1923&gt;= DATE(2029,1,1), "Não prioeitário")</f>
        <v>Pendente e Caro</v>
      </c>
      <c r="H1923" s="89">
        <f>YEAR(Tabela1[[#This Row],[Data de Validade]])</f>
        <v>2027</v>
      </c>
      <c r="I1923" s="89">
        <f>MONTH(Tabela1[[#This Row],[Data de Validade]])</f>
        <v>8</v>
      </c>
      <c r="J1923" s="101">
        <v>117242</v>
      </c>
      <c r="K1923" s="87" t="s">
        <v>9</v>
      </c>
      <c r="L1923" s="108"/>
      <c r="M1923" s="108"/>
      <c r="N1923" s="108" t="str">
        <v>H715P171</v>
      </c>
      <c r="O1923" s="108">
        <f t="shared" ref="O1923:O1986" si="32">COUNTIFS(B:B,N1923)</f>
        <v>1</v>
      </c>
      <c r="P1923" s="108"/>
      <c r="Q1923"/>
    </row>
    <row r="1924" spans="1:17" x14ac:dyDescent="0.25">
      <c r="A1924" s="89" t="s">
        <v>6770</v>
      </c>
      <c r="B1924" s="87" t="s">
        <v>6771</v>
      </c>
      <c r="C1924" s="87" t="s">
        <v>6</v>
      </c>
      <c r="D1924" s="87" t="str">
        <f>VLOOKUP(Tabela1[[#This Row],[Origem]], 'Perguntas 1 a 24'!$J$28:$K$34, 2, 0)</f>
        <v>Nordeste</v>
      </c>
      <c r="E1924" s="87" t="str">
        <f>Tabela1[[#This Row],[Descrição]]&amp;"-"&amp;Tabela1[[#This Row],[Código]]&amp;"/"&amp;Tabela1[[#This Row],[Origem]]</f>
        <v>Porapa-H715P171/MA</v>
      </c>
      <c r="F1924" s="88">
        <v>46609</v>
      </c>
      <c r="G1924" s="88" t="str" cm="1">
        <f t="array" ref="G19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AND(F1924&gt;= DATE(2026,1,1), F1924&lt;= DATE(2028, 12, 31), J1924&gt;50000), "Pendente e Caro", AND(F1924&gt;= DATE(2026,1,1), F1924&lt;= DATE(2028, 12, 31), J1924&lt;=50000), "Pendente", F1924&gt;= DATE(2029,1,1), "Não prioeitário")</f>
        <v>Pendente e Caro</v>
      </c>
      <c r="H1924" s="89">
        <f>YEAR(Tabela1[[#This Row],[Data de Validade]])</f>
        <v>2027</v>
      </c>
      <c r="I1924" s="89">
        <f>MONTH(Tabela1[[#This Row],[Data de Validade]])</f>
        <v>8</v>
      </c>
      <c r="J1924" s="101">
        <v>98845</v>
      </c>
      <c r="K1924" s="87" t="s">
        <v>11</v>
      </c>
      <c r="L1924" s="108"/>
      <c r="M1924" s="108"/>
      <c r="N1924" s="108" t="str">
        <v>P543H154</v>
      </c>
      <c r="O1924" s="108">
        <f t="shared" si="32"/>
        <v>1</v>
      </c>
      <c r="P1924" s="108"/>
      <c r="Q1924"/>
    </row>
    <row r="1925" spans="1:17" x14ac:dyDescent="0.25">
      <c r="A1925" s="89" t="s">
        <v>9407</v>
      </c>
      <c r="B1925" s="87" t="s">
        <v>9408</v>
      </c>
      <c r="C1925" s="87" t="s">
        <v>10</v>
      </c>
      <c r="D1925" s="87" t="str">
        <f>VLOOKUP(Tabela1[[#This Row],[Origem]], 'Perguntas 1 a 24'!$J$28:$K$34, 2, 0)</f>
        <v>Centro-Oeste</v>
      </c>
      <c r="E1925" s="87" t="str">
        <f>Tabela1[[#This Row],[Descrição]]&amp;"-"&amp;Tabela1[[#This Row],[Código]]&amp;"/"&amp;Tabela1[[#This Row],[Origem]]</f>
        <v>Totugamora-P543H154/GO</v>
      </c>
      <c r="F1925" s="88">
        <v>46610</v>
      </c>
      <c r="G1925" s="88" t="str" cm="1">
        <f t="array" ref="G19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AND(F1925&gt;= DATE(2026,1,1), F1925&lt;= DATE(2028, 12, 31), J1925&gt;50000), "Pendente e Caro", AND(F1925&gt;= DATE(2026,1,1), F1925&lt;= DATE(2028, 12, 31), J1925&lt;=50000), "Pendente", F1925&gt;= DATE(2029,1,1), "Não prioeitário")</f>
        <v>Pendente e Caro</v>
      </c>
      <c r="H1925" s="89">
        <f>YEAR(Tabela1[[#This Row],[Data de Validade]])</f>
        <v>2027</v>
      </c>
      <c r="I1925" s="89">
        <f>MONTH(Tabela1[[#This Row],[Data de Validade]])</f>
        <v>8</v>
      </c>
      <c r="J1925" s="101">
        <v>60976</v>
      </c>
      <c r="K1925" s="87" t="s">
        <v>9</v>
      </c>
      <c r="L1925" s="108"/>
      <c r="M1925" s="108"/>
      <c r="N1925" s="108" t="str">
        <v>H343P482</v>
      </c>
      <c r="O1925" s="108">
        <f t="shared" si="32"/>
        <v>1</v>
      </c>
      <c r="P1925" s="108"/>
      <c r="Q1925"/>
    </row>
    <row r="1926" spans="1:17" x14ac:dyDescent="0.25">
      <c r="A1926" s="89" t="s">
        <v>8947</v>
      </c>
      <c r="B1926" s="87" t="s">
        <v>8948</v>
      </c>
      <c r="C1926" s="87" t="s">
        <v>13</v>
      </c>
      <c r="D1926" s="87" t="str">
        <f>VLOOKUP(Tabela1[[#This Row],[Origem]], 'Perguntas 1 a 24'!$J$28:$K$34, 2, 0)</f>
        <v>Sudeste</v>
      </c>
      <c r="E1926" s="87" t="str">
        <f>Tabela1[[#This Row],[Descrição]]&amp;"-"&amp;Tabela1[[#This Row],[Código]]&amp;"/"&amp;Tabela1[[#This Row],[Origem]]</f>
        <v>Rapiga-H343P482/SP</v>
      </c>
      <c r="F1926" s="88">
        <v>46613</v>
      </c>
      <c r="G1926" s="88" t="str" cm="1">
        <f t="array" ref="G19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AND(F1926&gt;= DATE(2026,1,1), F1926&lt;= DATE(2028, 12, 31), J1926&gt;50000), "Pendente e Caro", AND(F1926&gt;= DATE(2026,1,1), F1926&lt;= DATE(2028, 12, 31), J1926&lt;=50000), "Pendente", F1926&gt;= DATE(2029,1,1), "Não prioeitário")</f>
        <v>Pendente e Caro</v>
      </c>
      <c r="H1926" s="89">
        <f>YEAR(Tabela1[[#This Row],[Data de Validade]])</f>
        <v>2027</v>
      </c>
      <c r="I1926" s="89">
        <f>MONTH(Tabela1[[#This Row],[Data de Validade]])</f>
        <v>8</v>
      </c>
      <c r="J1926" s="101">
        <v>100741</v>
      </c>
      <c r="K1926" s="87" t="s">
        <v>9</v>
      </c>
      <c r="L1926" s="108"/>
      <c r="M1926" s="108"/>
      <c r="N1926" s="108" t="str">
        <v>P772H198</v>
      </c>
      <c r="O1926" s="108">
        <f t="shared" si="32"/>
        <v>1</v>
      </c>
      <c r="P1926" s="108"/>
      <c r="Q1926"/>
    </row>
    <row r="1927" spans="1:17" x14ac:dyDescent="0.25">
      <c r="A1927" s="89" t="s">
        <v>10569</v>
      </c>
      <c r="B1927" s="87" t="s">
        <v>10570</v>
      </c>
      <c r="C1927" s="87" t="s">
        <v>8</v>
      </c>
      <c r="D1927" s="87" t="str">
        <f>VLOOKUP(Tabela1[[#This Row],[Origem]], 'Perguntas 1 a 24'!$J$28:$K$34, 2, 0)</f>
        <v>Nordeste</v>
      </c>
      <c r="E1927" s="87" t="str">
        <f>Tabela1[[#This Row],[Descrição]]&amp;"-"&amp;Tabela1[[#This Row],[Código]]&amp;"/"&amp;Tabela1[[#This Row],[Origem]]</f>
        <v>Fopepeti-P772H198/AL</v>
      </c>
      <c r="F1927" s="88">
        <v>46613</v>
      </c>
      <c r="G1927" s="88" t="str" cm="1">
        <f t="array" ref="G19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AND(F1927&gt;= DATE(2026,1,1), F1927&lt;= DATE(2028, 12, 31), J1927&gt;50000), "Pendente e Caro", AND(F1927&gt;= DATE(2026,1,1), F1927&lt;= DATE(2028, 12, 31), J1927&lt;=50000), "Pendente", F1927&gt;= DATE(2029,1,1), "Não prioeitário")</f>
        <v>Pendente</v>
      </c>
      <c r="H1927" s="89">
        <f>YEAR(Tabela1[[#This Row],[Data de Validade]])</f>
        <v>2027</v>
      </c>
      <c r="I1927" s="89">
        <f>MONTH(Tabela1[[#This Row],[Data de Validade]])</f>
        <v>8</v>
      </c>
      <c r="J1927" s="101">
        <v>44528</v>
      </c>
      <c r="K1927" s="87" t="s">
        <v>14</v>
      </c>
      <c r="L1927" s="108"/>
      <c r="M1927" s="108"/>
      <c r="N1927" s="108" t="str">
        <v>P312H942</v>
      </c>
      <c r="O1927" s="108">
        <f t="shared" si="32"/>
        <v>1</v>
      </c>
      <c r="P1927" s="108"/>
      <c r="Q1927"/>
    </row>
    <row r="1928" spans="1:17" x14ac:dyDescent="0.25">
      <c r="A1928" s="89" t="s">
        <v>9793</v>
      </c>
      <c r="B1928" s="87" t="s">
        <v>9794</v>
      </c>
      <c r="C1928" s="87" t="s">
        <v>8</v>
      </c>
      <c r="D1928" s="87" t="str">
        <f>VLOOKUP(Tabela1[[#This Row],[Origem]], 'Perguntas 1 a 24'!$J$28:$K$34, 2, 0)</f>
        <v>Nordeste</v>
      </c>
      <c r="E1928" s="87" t="str">
        <f>Tabela1[[#This Row],[Descrição]]&amp;"-"&amp;Tabela1[[#This Row],[Código]]&amp;"/"&amp;Tabela1[[#This Row],[Origem]]</f>
        <v>Vuvupageri-P312H942/AL</v>
      </c>
      <c r="F1928" s="88">
        <v>46614</v>
      </c>
      <c r="G1928" s="88" t="str" cm="1">
        <f t="array" ref="G19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AND(F1928&gt;= DATE(2026,1,1), F1928&lt;= DATE(2028, 12, 31), J1928&gt;50000), "Pendente e Caro", AND(F1928&gt;= DATE(2026,1,1), F1928&lt;= DATE(2028, 12, 31), J1928&lt;=50000), "Pendente", F1928&gt;= DATE(2029,1,1), "Não prioeitário")</f>
        <v>Pendente e Caro</v>
      </c>
      <c r="H1928" s="89">
        <f>YEAR(Tabela1[[#This Row],[Data de Validade]])</f>
        <v>2027</v>
      </c>
      <c r="I1928" s="89">
        <f>MONTH(Tabela1[[#This Row],[Data de Validade]])</f>
        <v>8</v>
      </c>
      <c r="J1928" s="101">
        <v>110913</v>
      </c>
      <c r="K1928" s="87" t="s">
        <v>11</v>
      </c>
      <c r="L1928" s="108"/>
      <c r="M1928" s="108"/>
      <c r="N1928" s="108" t="str">
        <v>P815P977</v>
      </c>
      <c r="O1928" s="108">
        <f t="shared" si="32"/>
        <v>1</v>
      </c>
      <c r="P1928" s="108"/>
      <c r="Q1928"/>
    </row>
    <row r="1929" spans="1:17" x14ac:dyDescent="0.25">
      <c r="A1929" s="89" t="s">
        <v>5612</v>
      </c>
      <c r="B1929" s="87" t="s">
        <v>5613</v>
      </c>
      <c r="C1929" s="87" t="s">
        <v>6</v>
      </c>
      <c r="D1929" s="87" t="str">
        <f>VLOOKUP(Tabela1[[#This Row],[Origem]], 'Perguntas 1 a 24'!$J$28:$K$34, 2, 0)</f>
        <v>Nordeste</v>
      </c>
      <c r="E1929" s="87" t="str">
        <f>Tabela1[[#This Row],[Descrição]]&amp;"-"&amp;Tabela1[[#This Row],[Código]]&amp;"/"&amp;Tabela1[[#This Row],[Origem]]</f>
        <v>Miponapapu-P815P977/MA</v>
      </c>
      <c r="F1929" s="88">
        <v>46614</v>
      </c>
      <c r="G1929" s="88" t="str" cm="1">
        <f t="array" ref="G19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AND(F1929&gt;= DATE(2026,1,1), F1929&lt;= DATE(2028, 12, 31), J1929&gt;50000), "Pendente e Caro", AND(F1929&gt;= DATE(2026,1,1), F1929&lt;= DATE(2028, 12, 31), J1929&lt;=50000), "Pendente", F1929&gt;= DATE(2029,1,1), "Não prioeitário")</f>
        <v>Pendente e Caro</v>
      </c>
      <c r="H1929" s="89">
        <f>YEAR(Tabela1[[#This Row],[Data de Validade]])</f>
        <v>2027</v>
      </c>
      <c r="I1929" s="89">
        <f>MONTH(Tabela1[[#This Row],[Data de Validade]])</f>
        <v>8</v>
      </c>
      <c r="J1929" s="101">
        <v>50247</v>
      </c>
      <c r="K1929" s="87" t="s">
        <v>9</v>
      </c>
      <c r="L1929" s="108"/>
      <c r="M1929" s="108"/>
      <c r="N1929" s="108" t="str">
        <v>H316H196</v>
      </c>
      <c r="O1929" s="108">
        <f t="shared" si="32"/>
        <v>1</v>
      </c>
      <c r="P1929" s="108"/>
      <c r="Q1929"/>
    </row>
    <row r="1930" spans="1:17" x14ac:dyDescent="0.25">
      <c r="A1930" s="89" t="s">
        <v>8587</v>
      </c>
      <c r="B1930" s="87" t="s">
        <v>8588</v>
      </c>
      <c r="C1930" s="87" t="s">
        <v>16</v>
      </c>
      <c r="D1930" s="87" t="str">
        <f>VLOOKUP(Tabela1[[#This Row],[Origem]], 'Perguntas 1 a 24'!$J$28:$K$34, 2, 0)</f>
        <v>Sudeste</v>
      </c>
      <c r="E1930" s="87" t="str">
        <f>Tabela1[[#This Row],[Descrição]]&amp;"-"&amp;Tabela1[[#This Row],[Código]]&amp;"/"&amp;Tabela1[[#This Row],[Origem]]</f>
        <v>Femumidetu-H316H196/MG</v>
      </c>
      <c r="F1930" s="88">
        <v>46614</v>
      </c>
      <c r="G1930" s="88" t="str" cm="1">
        <f t="array" ref="G19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AND(F1930&gt;= DATE(2026,1,1), F1930&lt;= DATE(2028, 12, 31), J1930&gt;50000), "Pendente e Caro", AND(F1930&gt;= DATE(2026,1,1), F1930&lt;= DATE(2028, 12, 31), J1930&lt;=50000), "Pendente", F1930&gt;= DATE(2029,1,1), "Não prioeitário")</f>
        <v>Pendente</v>
      </c>
      <c r="H1930" s="89">
        <f>YEAR(Tabela1[[#This Row],[Data de Validade]])</f>
        <v>2027</v>
      </c>
      <c r="I1930" s="89">
        <f>MONTH(Tabela1[[#This Row],[Data de Validade]])</f>
        <v>8</v>
      </c>
      <c r="J1930" s="101">
        <v>43249</v>
      </c>
      <c r="K1930" s="87" t="s">
        <v>11</v>
      </c>
      <c r="L1930" s="108"/>
      <c r="M1930" s="108"/>
      <c r="N1930" s="108" t="str">
        <v>P961P382</v>
      </c>
      <c r="O1930" s="108">
        <f t="shared" si="32"/>
        <v>1</v>
      </c>
      <c r="P1930" s="108"/>
      <c r="Q1930"/>
    </row>
    <row r="1931" spans="1:17" x14ac:dyDescent="0.25">
      <c r="A1931" s="89" t="s">
        <v>9187</v>
      </c>
      <c r="B1931" s="87" t="s">
        <v>9188</v>
      </c>
      <c r="C1931" s="87" t="s">
        <v>8</v>
      </c>
      <c r="D1931" s="87" t="str">
        <f>VLOOKUP(Tabela1[[#This Row],[Origem]], 'Perguntas 1 a 24'!$J$28:$K$34, 2, 0)</f>
        <v>Nordeste</v>
      </c>
      <c r="E1931" s="87" t="str">
        <f>Tabela1[[#This Row],[Descrição]]&amp;"-"&amp;Tabela1[[#This Row],[Código]]&amp;"/"&amp;Tabela1[[#This Row],[Origem]]</f>
        <v>Vogopolona-P961P382/AL</v>
      </c>
      <c r="F1931" s="88">
        <v>46615</v>
      </c>
      <c r="G1931" s="88" t="str" cm="1">
        <f t="array" ref="G19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AND(F1931&gt;= DATE(2026,1,1), F1931&lt;= DATE(2028, 12, 31), J1931&gt;50000), "Pendente e Caro", AND(F1931&gt;= DATE(2026,1,1), F1931&lt;= DATE(2028, 12, 31), J1931&lt;=50000), "Pendente", F1931&gt;= DATE(2029,1,1), "Não prioeitário")</f>
        <v>Pendente e Caro</v>
      </c>
      <c r="H1931" s="89">
        <f>YEAR(Tabela1[[#This Row],[Data de Validade]])</f>
        <v>2027</v>
      </c>
      <c r="I1931" s="89">
        <f>MONTH(Tabela1[[#This Row],[Data de Validade]])</f>
        <v>8</v>
      </c>
      <c r="J1931" s="101">
        <v>106549</v>
      </c>
      <c r="K1931" s="87" t="s">
        <v>9</v>
      </c>
      <c r="L1931" s="108"/>
      <c r="M1931" s="108"/>
      <c r="N1931" s="108" t="str">
        <v>P266H524</v>
      </c>
      <c r="O1931" s="108">
        <f t="shared" si="32"/>
        <v>1</v>
      </c>
      <c r="P1931" s="108"/>
      <c r="Q1931"/>
    </row>
    <row r="1932" spans="1:17" x14ac:dyDescent="0.25">
      <c r="A1932" s="89" t="s">
        <v>9603</v>
      </c>
      <c r="B1932" s="87" t="s">
        <v>9604</v>
      </c>
      <c r="C1932" s="87" t="s">
        <v>16</v>
      </c>
      <c r="D1932" s="87" t="str">
        <f>VLOOKUP(Tabela1[[#This Row],[Origem]], 'Perguntas 1 a 24'!$J$28:$K$34, 2, 0)</f>
        <v>Sudeste</v>
      </c>
      <c r="E1932" s="87" t="str">
        <f>Tabela1[[#This Row],[Descrição]]&amp;"-"&amp;Tabela1[[#This Row],[Código]]&amp;"/"&amp;Tabela1[[#This Row],[Origem]]</f>
        <v>Lipipoteta-P266H524/MG</v>
      </c>
      <c r="F1932" s="88">
        <v>46615</v>
      </c>
      <c r="G1932" s="88" t="str" cm="1">
        <f t="array" ref="G19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AND(F1932&gt;= DATE(2026,1,1), F1932&lt;= DATE(2028, 12, 31), J1932&gt;50000), "Pendente e Caro", AND(F1932&gt;= DATE(2026,1,1), F1932&lt;= DATE(2028, 12, 31), J1932&lt;=50000), "Pendente", F1932&gt;= DATE(2029,1,1), "Não prioeitário")</f>
        <v>Pendente e Caro</v>
      </c>
      <c r="H1932" s="89">
        <f>YEAR(Tabela1[[#This Row],[Data de Validade]])</f>
        <v>2027</v>
      </c>
      <c r="I1932" s="89">
        <f>MONTH(Tabela1[[#This Row],[Data de Validade]])</f>
        <v>8</v>
      </c>
      <c r="J1932" s="101">
        <v>99103</v>
      </c>
      <c r="K1932" s="87" t="s">
        <v>11</v>
      </c>
      <c r="L1932" s="108"/>
      <c r="M1932" s="108"/>
      <c r="N1932" s="108" t="str">
        <v>P742H469</v>
      </c>
      <c r="O1932" s="108">
        <f t="shared" si="32"/>
        <v>1</v>
      </c>
      <c r="P1932" s="108"/>
      <c r="Q1932"/>
    </row>
    <row r="1933" spans="1:17" x14ac:dyDescent="0.25">
      <c r="A1933" s="89" t="s">
        <v>6140</v>
      </c>
      <c r="B1933" s="87" t="s">
        <v>6141</v>
      </c>
      <c r="C1933" s="87" t="s">
        <v>12</v>
      </c>
      <c r="D1933" s="87" t="str">
        <f>VLOOKUP(Tabela1[[#This Row],[Origem]], 'Perguntas 1 a 24'!$J$28:$K$34, 2, 0)</f>
        <v>Sudeste</v>
      </c>
      <c r="E1933" s="87" t="str">
        <f>Tabela1[[#This Row],[Descrição]]&amp;"-"&amp;Tabela1[[#This Row],[Código]]&amp;"/"&amp;Tabela1[[#This Row],[Origem]]</f>
        <v>Fegota-P742H469/RJ</v>
      </c>
      <c r="F1933" s="88">
        <v>46615</v>
      </c>
      <c r="G1933" s="88" t="str" cm="1">
        <f t="array" ref="G19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AND(F1933&gt;= DATE(2026,1,1), F1933&lt;= DATE(2028, 12, 31), J1933&gt;50000), "Pendente e Caro", AND(F1933&gt;= DATE(2026,1,1), F1933&lt;= DATE(2028, 12, 31), J1933&lt;=50000), "Pendente", F1933&gt;= DATE(2029,1,1), "Não prioeitário")</f>
        <v>Pendente e Caro</v>
      </c>
      <c r="H1933" s="89">
        <f>YEAR(Tabela1[[#This Row],[Data de Validade]])</f>
        <v>2027</v>
      </c>
      <c r="I1933" s="89">
        <f>MONTH(Tabela1[[#This Row],[Data de Validade]])</f>
        <v>8</v>
      </c>
      <c r="J1933" s="101">
        <v>88111</v>
      </c>
      <c r="K1933" s="87" t="s">
        <v>7</v>
      </c>
      <c r="L1933" s="108"/>
      <c r="M1933" s="108"/>
      <c r="N1933" s="108" t="str">
        <v>H356P747</v>
      </c>
      <c r="O1933" s="108">
        <f t="shared" si="32"/>
        <v>1</v>
      </c>
      <c r="P1933" s="108"/>
      <c r="Q1933"/>
    </row>
    <row r="1934" spans="1:17" x14ac:dyDescent="0.25">
      <c r="A1934" s="89" t="s">
        <v>5924</v>
      </c>
      <c r="B1934" s="87" t="s">
        <v>5925</v>
      </c>
      <c r="C1934" s="87" t="s">
        <v>15</v>
      </c>
      <c r="D1934" s="87" t="str">
        <f>VLOOKUP(Tabela1[[#This Row],[Origem]], 'Perguntas 1 a 24'!$J$28:$K$34, 2, 0)</f>
        <v>Sudeste</v>
      </c>
      <c r="E1934" s="87" t="str">
        <f>Tabela1[[#This Row],[Descrição]]&amp;"-"&amp;Tabela1[[#This Row],[Código]]&amp;"/"&amp;Tabela1[[#This Row],[Origem]]</f>
        <v>Decumu-H356P747/ES</v>
      </c>
      <c r="F1934" s="88">
        <v>46616</v>
      </c>
      <c r="G1934" s="88" t="str" cm="1">
        <f t="array" ref="G19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AND(F1934&gt;= DATE(2026,1,1), F1934&lt;= DATE(2028, 12, 31), J1934&gt;50000), "Pendente e Caro", AND(F1934&gt;= DATE(2026,1,1), F1934&lt;= DATE(2028, 12, 31), J1934&lt;=50000), "Pendente", F1934&gt;= DATE(2029,1,1), "Não prioeitário")</f>
        <v>Pendente e Caro</v>
      </c>
      <c r="H1934" s="89">
        <f>YEAR(Tabela1[[#This Row],[Data de Validade]])</f>
        <v>2027</v>
      </c>
      <c r="I1934" s="89">
        <f>MONTH(Tabela1[[#This Row],[Data de Validade]])</f>
        <v>8</v>
      </c>
      <c r="J1934" s="101">
        <v>78661</v>
      </c>
      <c r="K1934" s="87" t="s">
        <v>9</v>
      </c>
      <c r="L1934" s="108"/>
      <c r="M1934" s="108"/>
      <c r="N1934" s="108" t="str">
        <v>P295P623</v>
      </c>
      <c r="O1934" s="108">
        <f t="shared" si="32"/>
        <v>1</v>
      </c>
      <c r="P1934" s="108"/>
      <c r="Q1934"/>
    </row>
    <row r="1935" spans="1:17" x14ac:dyDescent="0.25">
      <c r="A1935" s="89" t="s">
        <v>11308</v>
      </c>
      <c r="B1935" s="87" t="s">
        <v>11309</v>
      </c>
      <c r="C1935" s="87" t="s">
        <v>6</v>
      </c>
      <c r="D1935" s="87" t="str">
        <f>VLOOKUP(Tabela1[[#This Row],[Origem]], 'Perguntas 1 a 24'!$J$28:$K$34, 2, 0)</f>
        <v>Nordeste</v>
      </c>
      <c r="E1935" s="87" t="str">
        <f>Tabela1[[#This Row],[Descrição]]&amp;"-"&amp;Tabela1[[#This Row],[Código]]&amp;"/"&amp;Tabela1[[#This Row],[Origem]]</f>
        <v>Papale-P295P623/MA</v>
      </c>
      <c r="F1935" s="88">
        <v>46618</v>
      </c>
      <c r="G1935" s="88" t="str" cm="1">
        <f t="array" ref="G19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AND(F1935&gt;= DATE(2026,1,1), F1935&lt;= DATE(2028, 12, 31), J1935&gt;50000), "Pendente e Caro", AND(F1935&gt;= DATE(2026,1,1), F1935&lt;= DATE(2028, 12, 31), J1935&lt;=50000), "Pendente", F1935&gt;= DATE(2029,1,1), "Não prioeitário")</f>
        <v>Pendente e Caro</v>
      </c>
      <c r="H1935" s="89">
        <f>YEAR(Tabela1[[#This Row],[Data de Validade]])</f>
        <v>2027</v>
      </c>
      <c r="I1935" s="89">
        <f>MONTH(Tabela1[[#This Row],[Data de Validade]])</f>
        <v>8</v>
      </c>
      <c r="J1935" s="101">
        <v>95900</v>
      </c>
      <c r="K1935" s="87" t="s">
        <v>9</v>
      </c>
      <c r="L1935" s="108"/>
      <c r="M1935" s="108"/>
      <c r="N1935" s="108" t="str">
        <v>P699P339</v>
      </c>
      <c r="O1935" s="108">
        <f t="shared" si="32"/>
        <v>1</v>
      </c>
      <c r="P1935" s="108"/>
      <c r="Q1935"/>
    </row>
    <row r="1936" spans="1:17" x14ac:dyDescent="0.25">
      <c r="A1936" s="89" t="s">
        <v>7824</v>
      </c>
      <c r="B1936" s="87" t="s">
        <v>7825</v>
      </c>
      <c r="C1936" s="87" t="s">
        <v>16</v>
      </c>
      <c r="D1936" s="87" t="str">
        <f>VLOOKUP(Tabela1[[#This Row],[Origem]], 'Perguntas 1 a 24'!$J$28:$K$34, 2, 0)</f>
        <v>Sudeste</v>
      </c>
      <c r="E1936" s="87" t="str">
        <f>Tabela1[[#This Row],[Descrição]]&amp;"-"&amp;Tabela1[[#This Row],[Código]]&amp;"/"&amp;Tabela1[[#This Row],[Origem]]</f>
        <v>Merili-P699P339/MG</v>
      </c>
      <c r="F1936" s="88">
        <v>46618</v>
      </c>
      <c r="G1936" s="88" t="str" cm="1">
        <f t="array" ref="G19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AND(F1936&gt;= DATE(2026,1,1), F1936&lt;= DATE(2028, 12, 31), J1936&gt;50000), "Pendente e Caro", AND(F1936&gt;= DATE(2026,1,1), F1936&lt;= DATE(2028, 12, 31), J1936&lt;=50000), "Pendente", F1936&gt;= DATE(2029,1,1), "Não prioeitário")</f>
        <v>Pendente e Caro</v>
      </c>
      <c r="H1936" s="89">
        <f>YEAR(Tabela1[[#This Row],[Data de Validade]])</f>
        <v>2027</v>
      </c>
      <c r="I1936" s="89">
        <f>MONTH(Tabela1[[#This Row],[Data de Validade]])</f>
        <v>8</v>
      </c>
      <c r="J1936" s="101">
        <v>89334</v>
      </c>
      <c r="K1936" s="87" t="s">
        <v>9</v>
      </c>
      <c r="L1936" s="108"/>
      <c r="M1936" s="108"/>
      <c r="N1936" s="108" t="str">
        <v>P592P198</v>
      </c>
      <c r="O1936" s="108">
        <f t="shared" si="32"/>
        <v>1</v>
      </c>
      <c r="P1936" s="108"/>
      <c r="Q1936"/>
    </row>
    <row r="1937" spans="1:17" x14ac:dyDescent="0.25">
      <c r="A1937" s="89" t="s">
        <v>6534</v>
      </c>
      <c r="B1937" s="87" t="s">
        <v>6535</v>
      </c>
      <c r="C1937" s="87" t="s">
        <v>12</v>
      </c>
      <c r="D1937" s="87" t="str">
        <f>VLOOKUP(Tabela1[[#This Row],[Origem]], 'Perguntas 1 a 24'!$J$28:$K$34, 2, 0)</f>
        <v>Sudeste</v>
      </c>
      <c r="E1937" s="87" t="str">
        <f>Tabela1[[#This Row],[Descrição]]&amp;"-"&amp;Tabela1[[#This Row],[Código]]&amp;"/"&amp;Tabela1[[#This Row],[Origem]]</f>
        <v>Popacupulo-P592P198/RJ</v>
      </c>
      <c r="F1937" s="88">
        <v>46618</v>
      </c>
      <c r="G1937" s="88" t="str" cm="1">
        <f t="array" ref="G19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AND(F1937&gt;= DATE(2026,1,1), F1937&lt;= DATE(2028, 12, 31), J1937&gt;50000), "Pendente e Caro", AND(F1937&gt;= DATE(2026,1,1), F1937&lt;= DATE(2028, 12, 31), J1937&lt;=50000), "Pendente", F1937&gt;= DATE(2029,1,1), "Não prioeitário")</f>
        <v>Pendente</v>
      </c>
      <c r="H1937" s="89">
        <f>YEAR(Tabela1[[#This Row],[Data de Validade]])</f>
        <v>2027</v>
      </c>
      <c r="I1937" s="89">
        <f>MONTH(Tabela1[[#This Row],[Data de Validade]])</f>
        <v>8</v>
      </c>
      <c r="J1937" s="101">
        <v>25903</v>
      </c>
      <c r="K1937" s="87" t="s">
        <v>14</v>
      </c>
      <c r="L1937" s="108"/>
      <c r="M1937" s="108"/>
      <c r="N1937" s="108" t="str">
        <v>P516P163</v>
      </c>
      <c r="O1937" s="108">
        <f t="shared" si="32"/>
        <v>1</v>
      </c>
      <c r="P1937" s="108"/>
      <c r="Q1937"/>
    </row>
    <row r="1938" spans="1:17" x14ac:dyDescent="0.25">
      <c r="A1938" s="89" t="s">
        <v>6218</v>
      </c>
      <c r="B1938" s="87" t="s">
        <v>6219</v>
      </c>
      <c r="C1938" s="87" t="s">
        <v>8</v>
      </c>
      <c r="D1938" s="87" t="str">
        <f>VLOOKUP(Tabela1[[#This Row],[Origem]], 'Perguntas 1 a 24'!$J$28:$K$34, 2, 0)</f>
        <v>Nordeste</v>
      </c>
      <c r="E1938" s="87" t="str">
        <f>Tabela1[[#This Row],[Descrição]]&amp;"-"&amp;Tabela1[[#This Row],[Código]]&amp;"/"&amp;Tabela1[[#This Row],[Origem]]</f>
        <v>Darido-P516P163/AL</v>
      </c>
      <c r="F1938" s="88">
        <v>46619</v>
      </c>
      <c r="G1938" s="88" t="str" cm="1">
        <f t="array" ref="G19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AND(F1938&gt;= DATE(2026,1,1), F1938&lt;= DATE(2028, 12, 31), J1938&gt;50000), "Pendente e Caro", AND(F1938&gt;= DATE(2026,1,1), F1938&lt;= DATE(2028, 12, 31), J1938&lt;=50000), "Pendente", F1938&gt;= DATE(2029,1,1), "Não prioeitário")</f>
        <v>Pendente e Caro</v>
      </c>
      <c r="H1938" s="89">
        <f>YEAR(Tabela1[[#This Row],[Data de Validade]])</f>
        <v>2027</v>
      </c>
      <c r="I1938" s="89">
        <f>MONTH(Tabela1[[#This Row],[Data de Validade]])</f>
        <v>8</v>
      </c>
      <c r="J1938" s="101">
        <v>116697</v>
      </c>
      <c r="K1938" s="87" t="s">
        <v>7</v>
      </c>
      <c r="L1938" s="108"/>
      <c r="M1938" s="108"/>
      <c r="N1938" s="108" t="str">
        <v>P286P914</v>
      </c>
      <c r="O1938" s="108">
        <f t="shared" si="32"/>
        <v>1</v>
      </c>
      <c r="P1938" s="108"/>
      <c r="Q1938"/>
    </row>
    <row r="1939" spans="1:17" x14ac:dyDescent="0.25">
      <c r="A1939" s="89" t="s">
        <v>7152</v>
      </c>
      <c r="B1939" s="87" t="s">
        <v>7153</v>
      </c>
      <c r="C1939" s="87" t="s">
        <v>6</v>
      </c>
      <c r="D1939" s="87" t="str">
        <f>VLOOKUP(Tabela1[[#This Row],[Origem]], 'Perguntas 1 a 24'!$J$28:$K$34, 2, 0)</f>
        <v>Nordeste</v>
      </c>
      <c r="E1939" s="87" t="str">
        <f>Tabela1[[#This Row],[Descrição]]&amp;"-"&amp;Tabela1[[#This Row],[Código]]&amp;"/"&amp;Tabela1[[#This Row],[Origem]]</f>
        <v>Tapira-P286P914/MA</v>
      </c>
      <c r="F1939" s="88">
        <v>46619</v>
      </c>
      <c r="G1939" s="88" t="str" cm="1">
        <f t="array" ref="G19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AND(F1939&gt;= DATE(2026,1,1), F1939&lt;= DATE(2028, 12, 31), J1939&gt;50000), "Pendente e Caro", AND(F1939&gt;= DATE(2026,1,1), F1939&lt;= DATE(2028, 12, 31), J1939&lt;=50000), "Pendente", F1939&gt;= DATE(2029,1,1), "Não prioeitário")</f>
        <v>Pendente</v>
      </c>
      <c r="H1939" s="89">
        <f>YEAR(Tabela1[[#This Row],[Data de Validade]])</f>
        <v>2027</v>
      </c>
      <c r="I1939" s="89">
        <f>MONTH(Tabela1[[#This Row],[Data de Validade]])</f>
        <v>8</v>
      </c>
      <c r="J1939" s="101">
        <v>49118</v>
      </c>
      <c r="K1939" s="87" t="s">
        <v>7</v>
      </c>
      <c r="L1939" s="108"/>
      <c r="M1939" s="108"/>
      <c r="N1939" s="108" t="str">
        <v>P672H344</v>
      </c>
      <c r="O1939" s="108">
        <f t="shared" si="32"/>
        <v>1</v>
      </c>
      <c r="P1939" s="108"/>
      <c r="Q1939"/>
    </row>
    <row r="1940" spans="1:17" x14ac:dyDescent="0.25">
      <c r="A1940" s="89" t="s">
        <v>8424</v>
      </c>
      <c r="B1940" s="87" t="s">
        <v>8425</v>
      </c>
      <c r="C1940" s="87" t="s">
        <v>8</v>
      </c>
      <c r="D1940" s="87" t="str">
        <f>VLOOKUP(Tabela1[[#This Row],[Origem]], 'Perguntas 1 a 24'!$J$28:$K$34, 2, 0)</f>
        <v>Nordeste</v>
      </c>
      <c r="E1940" s="87" t="str">
        <f>Tabela1[[#This Row],[Descrição]]&amp;"-"&amp;Tabela1[[#This Row],[Código]]&amp;"/"&amp;Tabela1[[#This Row],[Origem]]</f>
        <v>Pofenepo-P672H344/AL</v>
      </c>
      <c r="F1940" s="88">
        <v>46619</v>
      </c>
      <c r="G1940" s="88" t="str" cm="1">
        <f t="array" ref="G19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AND(F1940&gt;= DATE(2026,1,1), F1940&lt;= DATE(2028, 12, 31), J1940&gt;50000), "Pendente e Caro", AND(F1940&gt;= DATE(2026,1,1), F1940&lt;= DATE(2028, 12, 31), J1940&lt;=50000), "Pendente", F1940&gt;= DATE(2029,1,1), "Não prioeitário")</f>
        <v>Pendente</v>
      </c>
      <c r="H1940" s="89">
        <f>YEAR(Tabela1[[#This Row],[Data de Validade]])</f>
        <v>2027</v>
      </c>
      <c r="I1940" s="89">
        <f>MONTH(Tabela1[[#This Row],[Data de Validade]])</f>
        <v>8</v>
      </c>
      <c r="J1940" s="101">
        <v>43370</v>
      </c>
      <c r="K1940" s="87" t="s">
        <v>9</v>
      </c>
      <c r="L1940" s="108"/>
      <c r="M1940" s="108"/>
      <c r="N1940" s="108" t="str">
        <v>P691P272</v>
      </c>
      <c r="O1940" s="108">
        <f t="shared" si="32"/>
        <v>1</v>
      </c>
      <c r="P1940" s="108"/>
      <c r="Q1940"/>
    </row>
    <row r="1941" spans="1:17" x14ac:dyDescent="0.25">
      <c r="A1941" s="89" t="s">
        <v>9805</v>
      </c>
      <c r="B1941" s="87" t="s">
        <v>9806</v>
      </c>
      <c r="C1941" s="87" t="s">
        <v>6</v>
      </c>
      <c r="D1941" s="87" t="str">
        <f>VLOOKUP(Tabela1[[#This Row],[Origem]], 'Perguntas 1 a 24'!$J$28:$K$34, 2, 0)</f>
        <v>Nordeste</v>
      </c>
      <c r="E1941" s="87" t="str">
        <f>Tabela1[[#This Row],[Descrição]]&amp;"-"&amp;Tabela1[[#This Row],[Código]]&amp;"/"&amp;Tabela1[[#This Row],[Origem]]</f>
        <v>Vifilupo-P691P272/MA</v>
      </c>
      <c r="F1941" s="88">
        <v>46621</v>
      </c>
      <c r="G1941" s="88" t="str" cm="1">
        <f t="array" ref="G19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AND(F1941&gt;= DATE(2026,1,1), F1941&lt;= DATE(2028, 12, 31), J1941&gt;50000), "Pendente e Caro", AND(F1941&gt;= DATE(2026,1,1), F1941&lt;= DATE(2028, 12, 31), J1941&lt;=50000), "Pendente", F1941&gt;= DATE(2029,1,1), "Não prioeitário")</f>
        <v>Pendente e Caro</v>
      </c>
      <c r="H1941" s="89">
        <f>YEAR(Tabela1[[#This Row],[Data de Validade]])</f>
        <v>2027</v>
      </c>
      <c r="I1941" s="89">
        <f>MONTH(Tabela1[[#This Row],[Data de Validade]])</f>
        <v>8</v>
      </c>
      <c r="J1941" s="101">
        <v>62214</v>
      </c>
      <c r="K1941" s="87" t="s">
        <v>11</v>
      </c>
      <c r="L1941" s="108"/>
      <c r="M1941" s="108"/>
      <c r="N1941" s="108" t="str">
        <v>P264H952</v>
      </c>
      <c r="O1941" s="108">
        <f t="shared" si="32"/>
        <v>1</v>
      </c>
      <c r="P1941" s="108"/>
      <c r="Q1941"/>
    </row>
    <row r="1942" spans="1:17" x14ac:dyDescent="0.25">
      <c r="A1942" s="89" t="s">
        <v>10735</v>
      </c>
      <c r="B1942" s="87" t="s">
        <v>10736</v>
      </c>
      <c r="C1942" s="87" t="s">
        <v>13</v>
      </c>
      <c r="D1942" s="87" t="str">
        <f>VLOOKUP(Tabela1[[#This Row],[Origem]], 'Perguntas 1 a 24'!$J$28:$K$34, 2, 0)</f>
        <v>Sudeste</v>
      </c>
      <c r="E1942" s="87" t="str">
        <f>Tabela1[[#This Row],[Descrição]]&amp;"-"&amp;Tabela1[[#This Row],[Código]]&amp;"/"&amp;Tabela1[[#This Row],[Origem]]</f>
        <v>Paviditupo-P264H952/SP</v>
      </c>
      <c r="F1942" s="88">
        <v>46621</v>
      </c>
      <c r="G1942" s="88" t="str" cm="1">
        <f t="array" ref="G19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AND(F1942&gt;= DATE(2026,1,1), F1942&lt;= DATE(2028, 12, 31), J1942&gt;50000), "Pendente e Caro", AND(F1942&gt;= DATE(2026,1,1), F1942&lt;= DATE(2028, 12, 31), J1942&lt;=50000), "Pendente", F1942&gt;= DATE(2029,1,1), "Não prioeitário")</f>
        <v>Pendente</v>
      </c>
      <c r="H1942" s="89">
        <f>YEAR(Tabela1[[#This Row],[Data de Validade]])</f>
        <v>2027</v>
      </c>
      <c r="I1942" s="89">
        <f>MONTH(Tabela1[[#This Row],[Data de Validade]])</f>
        <v>8</v>
      </c>
      <c r="J1942" s="101">
        <v>25997</v>
      </c>
      <c r="K1942" s="87" t="s">
        <v>7</v>
      </c>
      <c r="L1942" s="108"/>
      <c r="M1942" s="108"/>
      <c r="N1942" s="108" t="str">
        <v>H489P362</v>
      </c>
      <c r="O1942" s="108">
        <f t="shared" si="32"/>
        <v>1</v>
      </c>
      <c r="P1942" s="108"/>
      <c r="Q1942"/>
    </row>
    <row r="1943" spans="1:17" x14ac:dyDescent="0.25">
      <c r="A1943" s="89" t="s">
        <v>7150</v>
      </c>
      <c r="B1943" s="87" t="s">
        <v>7151</v>
      </c>
      <c r="C1943" s="87" t="s">
        <v>13</v>
      </c>
      <c r="D1943" s="87" t="str">
        <f>VLOOKUP(Tabela1[[#This Row],[Origem]], 'Perguntas 1 a 24'!$J$28:$K$34, 2, 0)</f>
        <v>Sudeste</v>
      </c>
      <c r="E1943" s="87" t="str">
        <f>Tabela1[[#This Row],[Descrição]]&amp;"-"&amp;Tabela1[[#This Row],[Código]]&amp;"/"&amp;Tabela1[[#This Row],[Origem]]</f>
        <v>Metafemi-H489P362/SP</v>
      </c>
      <c r="F1943" s="88">
        <v>46622</v>
      </c>
      <c r="G1943" s="88" t="str" cm="1">
        <f t="array" ref="G19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AND(F1943&gt;= DATE(2026,1,1), F1943&lt;= DATE(2028, 12, 31), J1943&gt;50000), "Pendente e Caro", AND(F1943&gt;= DATE(2026,1,1), F1943&lt;= DATE(2028, 12, 31), J1943&lt;=50000), "Pendente", F1943&gt;= DATE(2029,1,1), "Não prioeitário")</f>
        <v>Pendente e Caro</v>
      </c>
      <c r="H1943" s="89">
        <f>YEAR(Tabela1[[#This Row],[Data de Validade]])</f>
        <v>2027</v>
      </c>
      <c r="I1943" s="89">
        <f>MONTH(Tabela1[[#This Row],[Data de Validade]])</f>
        <v>8</v>
      </c>
      <c r="J1943" s="101">
        <v>108190</v>
      </c>
      <c r="K1943" s="87" t="s">
        <v>11</v>
      </c>
      <c r="L1943" s="108"/>
      <c r="M1943" s="108"/>
      <c r="N1943" s="108" t="str">
        <v>P483P875</v>
      </c>
      <c r="O1943" s="108">
        <f t="shared" si="32"/>
        <v>1</v>
      </c>
      <c r="P1943" s="108"/>
      <c r="Q1943"/>
    </row>
    <row r="1944" spans="1:17" x14ac:dyDescent="0.25">
      <c r="A1944" s="89" t="s">
        <v>5570</v>
      </c>
      <c r="B1944" s="87" t="s">
        <v>5571</v>
      </c>
      <c r="C1944" s="87" t="s">
        <v>8</v>
      </c>
      <c r="D1944" s="87" t="str">
        <f>VLOOKUP(Tabela1[[#This Row],[Origem]], 'Perguntas 1 a 24'!$J$28:$K$34, 2, 0)</f>
        <v>Nordeste</v>
      </c>
      <c r="E1944" s="87" t="str">
        <f>Tabela1[[#This Row],[Descrição]]&amp;"-"&amp;Tabela1[[#This Row],[Código]]&amp;"/"&amp;Tabela1[[#This Row],[Origem]]</f>
        <v>Tufama-P483P875/AL</v>
      </c>
      <c r="F1944" s="88">
        <v>46622</v>
      </c>
      <c r="G1944" s="88" t="str" cm="1">
        <f t="array" ref="G19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AND(F1944&gt;= DATE(2026,1,1), F1944&lt;= DATE(2028, 12, 31), J1944&gt;50000), "Pendente e Caro", AND(F1944&gt;= DATE(2026,1,1), F1944&lt;= DATE(2028, 12, 31), J1944&lt;=50000), "Pendente", F1944&gt;= DATE(2029,1,1), "Não prioeitário")</f>
        <v>Pendente e Caro</v>
      </c>
      <c r="H1944" s="89">
        <f>YEAR(Tabela1[[#This Row],[Data de Validade]])</f>
        <v>2027</v>
      </c>
      <c r="I1944" s="89">
        <f>MONTH(Tabela1[[#This Row],[Data de Validade]])</f>
        <v>8</v>
      </c>
      <c r="J1944" s="101">
        <v>77526</v>
      </c>
      <c r="K1944" s="87" t="s">
        <v>7</v>
      </c>
      <c r="L1944" s="108"/>
      <c r="M1944" s="108"/>
      <c r="N1944" s="108" t="str">
        <v>P914H951</v>
      </c>
      <c r="O1944" s="108">
        <f t="shared" si="32"/>
        <v>1</v>
      </c>
      <c r="P1944" s="108"/>
      <c r="Q1944"/>
    </row>
    <row r="1945" spans="1:17" x14ac:dyDescent="0.25">
      <c r="A1945" s="89" t="s">
        <v>6952</v>
      </c>
      <c r="B1945" s="87" t="s">
        <v>6953</v>
      </c>
      <c r="C1945" s="87" t="s">
        <v>16</v>
      </c>
      <c r="D1945" s="87" t="str">
        <f>VLOOKUP(Tabela1[[#This Row],[Origem]], 'Perguntas 1 a 24'!$J$28:$K$34, 2, 0)</f>
        <v>Sudeste</v>
      </c>
      <c r="E1945" s="87" t="str">
        <f>Tabela1[[#This Row],[Descrição]]&amp;"-"&amp;Tabela1[[#This Row],[Código]]&amp;"/"&amp;Tabela1[[#This Row],[Origem]]</f>
        <v>Mitodepe-P914H951/MG</v>
      </c>
      <c r="F1945" s="88">
        <v>46622</v>
      </c>
      <c r="G1945" s="88" t="str" cm="1">
        <f t="array" ref="G19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AND(F1945&gt;= DATE(2026,1,1), F1945&lt;= DATE(2028, 12, 31), J1945&gt;50000), "Pendente e Caro", AND(F1945&gt;= DATE(2026,1,1), F1945&lt;= DATE(2028, 12, 31), J1945&lt;=50000), "Pendente", F1945&gt;= DATE(2029,1,1), "Não prioeitário")</f>
        <v>Pendente</v>
      </c>
      <c r="H1945" s="89">
        <f>YEAR(Tabela1[[#This Row],[Data de Validade]])</f>
        <v>2027</v>
      </c>
      <c r="I1945" s="89">
        <f>MONTH(Tabela1[[#This Row],[Data de Validade]])</f>
        <v>8</v>
      </c>
      <c r="J1945" s="101">
        <v>46860</v>
      </c>
      <c r="K1945" s="87" t="s">
        <v>11</v>
      </c>
      <c r="L1945" s="108"/>
      <c r="M1945" s="108"/>
      <c r="N1945" s="108" t="str">
        <v>P869H466</v>
      </c>
      <c r="O1945" s="108">
        <f t="shared" si="32"/>
        <v>1</v>
      </c>
      <c r="P1945" s="108"/>
      <c r="Q1945"/>
    </row>
    <row r="1946" spans="1:17" x14ac:dyDescent="0.25">
      <c r="A1946" s="89" t="s">
        <v>10075</v>
      </c>
      <c r="B1946" s="87" t="s">
        <v>10076</v>
      </c>
      <c r="C1946" s="87" t="s">
        <v>15</v>
      </c>
      <c r="D1946" s="87" t="str">
        <f>VLOOKUP(Tabela1[[#This Row],[Origem]], 'Perguntas 1 a 24'!$J$28:$K$34, 2, 0)</f>
        <v>Sudeste</v>
      </c>
      <c r="E1946" s="87" t="str">
        <f>Tabela1[[#This Row],[Descrição]]&amp;"-"&amp;Tabela1[[#This Row],[Código]]&amp;"/"&amp;Tabela1[[#This Row],[Origem]]</f>
        <v>Patipunofo-P869H466/ES</v>
      </c>
      <c r="F1946" s="88">
        <v>46622</v>
      </c>
      <c r="G1946" s="88" t="str" cm="1">
        <f t="array" ref="G19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AND(F1946&gt;= DATE(2026,1,1), F1946&lt;= DATE(2028, 12, 31), J1946&gt;50000), "Pendente e Caro", AND(F1946&gt;= DATE(2026,1,1), F1946&lt;= DATE(2028, 12, 31), J1946&lt;=50000), "Pendente", F1946&gt;= DATE(2029,1,1), "Não prioeitário")</f>
        <v>Pendente</v>
      </c>
      <c r="H1946" s="89">
        <f>YEAR(Tabela1[[#This Row],[Data de Validade]])</f>
        <v>2027</v>
      </c>
      <c r="I1946" s="89">
        <f>MONTH(Tabela1[[#This Row],[Data de Validade]])</f>
        <v>8</v>
      </c>
      <c r="J1946" s="101">
        <v>37610</v>
      </c>
      <c r="K1946" s="87" t="s">
        <v>14</v>
      </c>
      <c r="L1946" s="108"/>
      <c r="M1946" s="108"/>
      <c r="N1946" s="108" t="str">
        <v>P953H441</v>
      </c>
      <c r="O1946" s="108">
        <f t="shared" si="32"/>
        <v>1</v>
      </c>
      <c r="P1946" s="108"/>
      <c r="Q1946"/>
    </row>
    <row r="1947" spans="1:17" x14ac:dyDescent="0.25">
      <c r="A1947" s="89" t="s">
        <v>9959</v>
      </c>
      <c r="B1947" s="87" t="s">
        <v>9960</v>
      </c>
      <c r="C1947" s="87" t="s">
        <v>15</v>
      </c>
      <c r="D1947" s="87" t="str">
        <f>VLOOKUP(Tabela1[[#This Row],[Origem]], 'Perguntas 1 a 24'!$J$28:$K$34, 2, 0)</f>
        <v>Sudeste</v>
      </c>
      <c r="E1947" s="87" t="str">
        <f>Tabela1[[#This Row],[Descrição]]&amp;"-"&amp;Tabela1[[#This Row],[Código]]&amp;"/"&amp;Tabela1[[#This Row],[Origem]]</f>
        <v>Focereli-P953H441/ES</v>
      </c>
      <c r="F1947" s="88">
        <v>46623</v>
      </c>
      <c r="G1947" s="88" t="str" cm="1">
        <f t="array" ref="G19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AND(F1947&gt;= DATE(2026,1,1), F1947&lt;= DATE(2028, 12, 31), J1947&gt;50000), "Pendente e Caro", AND(F1947&gt;= DATE(2026,1,1), F1947&lt;= DATE(2028, 12, 31), J1947&lt;=50000), "Pendente", F1947&gt;= DATE(2029,1,1), "Não prioeitário")</f>
        <v>Pendente e Caro</v>
      </c>
      <c r="H1947" s="89">
        <f>YEAR(Tabela1[[#This Row],[Data de Validade]])</f>
        <v>2027</v>
      </c>
      <c r="I1947" s="89">
        <f>MONTH(Tabela1[[#This Row],[Data de Validade]])</f>
        <v>8</v>
      </c>
      <c r="J1947" s="101">
        <v>96238</v>
      </c>
      <c r="K1947" s="87" t="s">
        <v>7</v>
      </c>
      <c r="L1947" s="108"/>
      <c r="M1947" s="108"/>
      <c r="N1947" s="108" t="str">
        <v>H658P524</v>
      </c>
      <c r="O1947" s="108">
        <f t="shared" si="32"/>
        <v>1</v>
      </c>
      <c r="P1947" s="108"/>
      <c r="Q1947"/>
    </row>
    <row r="1948" spans="1:17" x14ac:dyDescent="0.25">
      <c r="A1948" s="89" t="s">
        <v>9993</v>
      </c>
      <c r="B1948" s="87" t="s">
        <v>9994</v>
      </c>
      <c r="C1948" s="87" t="s">
        <v>8</v>
      </c>
      <c r="D1948" s="87" t="str">
        <f>VLOOKUP(Tabela1[[#This Row],[Origem]], 'Perguntas 1 a 24'!$J$28:$K$34, 2, 0)</f>
        <v>Nordeste</v>
      </c>
      <c r="E1948" s="87" t="str">
        <f>Tabela1[[#This Row],[Descrição]]&amp;"-"&amp;Tabela1[[#This Row],[Código]]&amp;"/"&amp;Tabela1[[#This Row],[Origem]]</f>
        <v>Repafi-H658P524/AL</v>
      </c>
      <c r="F1948" s="88">
        <v>46624</v>
      </c>
      <c r="G1948" s="88" t="str" cm="1">
        <f t="array" ref="G19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AND(F1948&gt;= DATE(2026,1,1), F1948&lt;= DATE(2028, 12, 31), J1948&gt;50000), "Pendente e Caro", AND(F1948&gt;= DATE(2026,1,1), F1948&lt;= DATE(2028, 12, 31), J1948&lt;=50000), "Pendente", F1948&gt;= DATE(2029,1,1), "Não prioeitário")</f>
        <v>Pendente e Caro</v>
      </c>
      <c r="H1948" s="89">
        <f>YEAR(Tabela1[[#This Row],[Data de Validade]])</f>
        <v>2027</v>
      </c>
      <c r="I1948" s="89">
        <f>MONTH(Tabela1[[#This Row],[Data de Validade]])</f>
        <v>8</v>
      </c>
      <c r="J1948" s="101">
        <v>64888</v>
      </c>
      <c r="K1948" s="87" t="s">
        <v>14</v>
      </c>
      <c r="L1948" s="108"/>
      <c r="M1948" s="108"/>
      <c r="N1948" s="108" t="str">
        <v>P162H618</v>
      </c>
      <c r="O1948" s="108">
        <f t="shared" si="32"/>
        <v>1</v>
      </c>
      <c r="P1948" s="108"/>
      <c r="Q1948"/>
    </row>
    <row r="1949" spans="1:17" x14ac:dyDescent="0.25">
      <c r="A1949" s="89" t="s">
        <v>10541</v>
      </c>
      <c r="B1949" s="87" t="s">
        <v>10542</v>
      </c>
      <c r="C1949" s="87" t="s">
        <v>10</v>
      </c>
      <c r="D1949" s="87" t="str">
        <f>VLOOKUP(Tabela1[[#This Row],[Origem]], 'Perguntas 1 a 24'!$J$28:$K$34, 2, 0)</f>
        <v>Centro-Oeste</v>
      </c>
      <c r="E1949" s="87" t="str">
        <f>Tabela1[[#This Row],[Descrição]]&amp;"-"&amp;Tabela1[[#This Row],[Código]]&amp;"/"&amp;Tabela1[[#This Row],[Origem]]</f>
        <v>Latoratepi-P162H618/GO</v>
      </c>
      <c r="F1949" s="88">
        <v>46624</v>
      </c>
      <c r="G1949" s="88" t="str" cm="1">
        <f t="array" ref="G19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AND(F1949&gt;= DATE(2026,1,1), F1949&lt;= DATE(2028, 12, 31), J1949&gt;50000), "Pendente e Caro", AND(F1949&gt;= DATE(2026,1,1), F1949&lt;= DATE(2028, 12, 31), J1949&lt;=50000), "Pendente", F1949&gt;= DATE(2029,1,1), "Não prioeitário")</f>
        <v>Pendente</v>
      </c>
      <c r="H1949" s="89">
        <f>YEAR(Tabela1[[#This Row],[Data de Validade]])</f>
        <v>2027</v>
      </c>
      <c r="I1949" s="89">
        <f>MONTH(Tabela1[[#This Row],[Data de Validade]])</f>
        <v>8</v>
      </c>
      <c r="J1949" s="101">
        <v>34443</v>
      </c>
      <c r="K1949" s="87" t="s">
        <v>9</v>
      </c>
      <c r="L1949" s="108"/>
      <c r="M1949" s="108"/>
      <c r="N1949" s="108" t="str">
        <v>H464H122</v>
      </c>
      <c r="O1949" s="108">
        <f t="shared" si="32"/>
        <v>1</v>
      </c>
      <c r="P1949" s="108"/>
      <c r="Q1949"/>
    </row>
    <row r="1950" spans="1:17" x14ac:dyDescent="0.25">
      <c r="A1950" s="89" t="s">
        <v>4692</v>
      </c>
      <c r="B1950" s="87" t="s">
        <v>4693</v>
      </c>
      <c r="C1950" s="87" t="s">
        <v>12</v>
      </c>
      <c r="D1950" s="87" t="str">
        <f>VLOOKUP(Tabela1[[#This Row],[Origem]], 'Perguntas 1 a 24'!$J$28:$K$34, 2, 0)</f>
        <v>Sudeste</v>
      </c>
      <c r="E1950" s="87" t="str">
        <f>Tabela1[[#This Row],[Descrição]]&amp;"-"&amp;Tabela1[[#This Row],[Código]]&amp;"/"&amp;Tabela1[[#This Row],[Origem]]</f>
        <v>Lagudi-H464H122/RJ</v>
      </c>
      <c r="F1950" s="88">
        <v>46625</v>
      </c>
      <c r="G1950" s="88" t="str" cm="1">
        <f t="array" ref="G19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AND(F1950&gt;= DATE(2026,1,1), F1950&lt;= DATE(2028, 12, 31), J1950&gt;50000), "Pendente e Caro", AND(F1950&gt;= DATE(2026,1,1), F1950&lt;= DATE(2028, 12, 31), J1950&lt;=50000), "Pendente", F1950&gt;= DATE(2029,1,1), "Não prioeitário")</f>
        <v>Pendente</v>
      </c>
      <c r="H1950" s="89">
        <f>YEAR(Tabela1[[#This Row],[Data de Validade]])</f>
        <v>2027</v>
      </c>
      <c r="I1950" s="89">
        <f>MONTH(Tabela1[[#This Row],[Data de Validade]])</f>
        <v>8</v>
      </c>
      <c r="J1950" s="101">
        <v>44830</v>
      </c>
      <c r="K1950" s="87" t="s">
        <v>11</v>
      </c>
      <c r="L1950" s="108"/>
      <c r="M1950" s="108"/>
      <c r="N1950" s="108" t="str">
        <v>H118H764</v>
      </c>
      <c r="O1950" s="108">
        <f t="shared" si="32"/>
        <v>1</v>
      </c>
      <c r="P1950" s="108"/>
      <c r="Q1950"/>
    </row>
    <row r="1951" spans="1:17" x14ac:dyDescent="0.25">
      <c r="A1951" s="89" t="s">
        <v>10549</v>
      </c>
      <c r="B1951" s="87" t="s">
        <v>10550</v>
      </c>
      <c r="C1951" s="87" t="s">
        <v>13</v>
      </c>
      <c r="D1951" s="87" t="str">
        <f>VLOOKUP(Tabela1[[#This Row],[Origem]], 'Perguntas 1 a 24'!$J$28:$K$34, 2, 0)</f>
        <v>Sudeste</v>
      </c>
      <c r="E1951" s="87" t="str">
        <f>Tabela1[[#This Row],[Descrição]]&amp;"-"&amp;Tabela1[[#This Row],[Código]]&amp;"/"&amp;Tabela1[[#This Row],[Origem]]</f>
        <v>Cotetu-H118H764/SP</v>
      </c>
      <c r="F1951" s="88">
        <v>46626</v>
      </c>
      <c r="G1951" s="88" t="str" cm="1">
        <f t="array" ref="G19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AND(F1951&gt;= DATE(2026,1,1), F1951&lt;= DATE(2028, 12, 31), J1951&gt;50000), "Pendente e Caro", AND(F1951&gt;= DATE(2026,1,1), F1951&lt;= DATE(2028, 12, 31), J1951&lt;=50000), "Pendente", F1951&gt;= DATE(2029,1,1), "Não prioeitário")</f>
        <v>Pendente e Caro</v>
      </c>
      <c r="H1951" s="89">
        <f>YEAR(Tabela1[[#This Row],[Data de Validade]])</f>
        <v>2027</v>
      </c>
      <c r="I1951" s="89">
        <f>MONTH(Tabela1[[#This Row],[Data de Validade]])</f>
        <v>8</v>
      </c>
      <c r="J1951" s="101">
        <v>112730</v>
      </c>
      <c r="K1951" s="87" t="s">
        <v>11</v>
      </c>
      <c r="L1951" s="108"/>
      <c r="M1951" s="108"/>
      <c r="N1951" s="108" t="str">
        <v>P174P899</v>
      </c>
      <c r="O1951" s="108">
        <f t="shared" si="32"/>
        <v>1</v>
      </c>
      <c r="P1951" s="108"/>
      <c r="Q1951"/>
    </row>
    <row r="1952" spans="1:17" x14ac:dyDescent="0.25">
      <c r="A1952" s="89" t="s">
        <v>7588</v>
      </c>
      <c r="B1952" s="87" t="s">
        <v>7589</v>
      </c>
      <c r="C1952" s="87" t="s">
        <v>16</v>
      </c>
      <c r="D1952" s="87" t="str">
        <f>VLOOKUP(Tabela1[[#This Row],[Origem]], 'Perguntas 1 a 24'!$J$28:$K$34, 2, 0)</f>
        <v>Sudeste</v>
      </c>
      <c r="E1952" s="87" t="str">
        <f>Tabela1[[#This Row],[Descrição]]&amp;"-"&amp;Tabela1[[#This Row],[Código]]&amp;"/"&amp;Tabela1[[#This Row],[Origem]]</f>
        <v>Ritedupela-P174P899/MG</v>
      </c>
      <c r="F1952" s="88">
        <v>46627</v>
      </c>
      <c r="G1952" s="88" t="str" cm="1">
        <f t="array" ref="G19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AND(F1952&gt;= DATE(2026,1,1), F1952&lt;= DATE(2028, 12, 31), J1952&gt;50000), "Pendente e Caro", AND(F1952&gt;= DATE(2026,1,1), F1952&lt;= DATE(2028, 12, 31), J1952&lt;=50000), "Pendente", F1952&gt;= DATE(2029,1,1), "Não prioeitário")</f>
        <v>Pendente</v>
      </c>
      <c r="H1952" s="89">
        <f>YEAR(Tabela1[[#This Row],[Data de Validade]])</f>
        <v>2027</v>
      </c>
      <c r="I1952" s="89">
        <f>MONTH(Tabela1[[#This Row],[Data de Validade]])</f>
        <v>8</v>
      </c>
      <c r="J1952" s="101">
        <v>35807</v>
      </c>
      <c r="K1952" s="87" t="s">
        <v>11</v>
      </c>
      <c r="L1952" s="108"/>
      <c r="M1952" s="108"/>
      <c r="N1952" s="108" t="str">
        <v>P139P229</v>
      </c>
      <c r="O1952" s="108">
        <f t="shared" si="32"/>
        <v>1</v>
      </c>
      <c r="P1952" s="108"/>
      <c r="Q1952"/>
    </row>
    <row r="1953" spans="1:17" x14ac:dyDescent="0.25">
      <c r="A1953" s="89" t="s">
        <v>6326</v>
      </c>
      <c r="B1953" s="87" t="s">
        <v>6327</v>
      </c>
      <c r="C1953" s="87" t="s">
        <v>13</v>
      </c>
      <c r="D1953" s="87" t="str">
        <f>VLOOKUP(Tabela1[[#This Row],[Origem]], 'Perguntas 1 a 24'!$J$28:$K$34, 2, 0)</f>
        <v>Sudeste</v>
      </c>
      <c r="E1953" s="87" t="str">
        <f>Tabela1[[#This Row],[Descrição]]&amp;"-"&amp;Tabela1[[#This Row],[Código]]&amp;"/"&amp;Tabela1[[#This Row],[Origem]]</f>
        <v>Rafuvate-P139P229/SP</v>
      </c>
      <c r="F1953" s="88">
        <v>46628</v>
      </c>
      <c r="G1953" s="88" t="str" cm="1">
        <f t="array" ref="G19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AND(F1953&gt;= DATE(2026,1,1), F1953&lt;= DATE(2028, 12, 31), J1953&gt;50000), "Pendente e Caro", AND(F1953&gt;= DATE(2026,1,1), F1953&lt;= DATE(2028, 12, 31), J1953&lt;=50000), "Pendente", F1953&gt;= DATE(2029,1,1), "Não prioeitário")</f>
        <v>Pendente e Caro</v>
      </c>
      <c r="H1953" s="89">
        <f>YEAR(Tabela1[[#This Row],[Data de Validade]])</f>
        <v>2027</v>
      </c>
      <c r="I1953" s="89">
        <f>MONTH(Tabela1[[#This Row],[Data de Validade]])</f>
        <v>8</v>
      </c>
      <c r="J1953" s="101">
        <v>77846</v>
      </c>
      <c r="K1953" s="87" t="s">
        <v>9</v>
      </c>
      <c r="L1953" s="108"/>
      <c r="M1953" s="108"/>
      <c r="N1953" s="108" t="str">
        <v>H686H281</v>
      </c>
      <c r="O1953" s="108">
        <f t="shared" si="32"/>
        <v>1</v>
      </c>
      <c r="P1953" s="108"/>
      <c r="Q1953"/>
    </row>
    <row r="1954" spans="1:17" x14ac:dyDescent="0.25">
      <c r="A1954" s="89" t="s">
        <v>8959</v>
      </c>
      <c r="B1954" s="87" t="s">
        <v>8960</v>
      </c>
      <c r="C1954" s="87" t="s">
        <v>10</v>
      </c>
      <c r="D1954" s="87" t="str">
        <f>VLOOKUP(Tabela1[[#This Row],[Origem]], 'Perguntas 1 a 24'!$J$28:$K$34, 2, 0)</f>
        <v>Centro-Oeste</v>
      </c>
      <c r="E1954" s="87" t="str">
        <f>Tabela1[[#This Row],[Descrição]]&amp;"-"&amp;Tabela1[[#This Row],[Código]]&amp;"/"&amp;Tabela1[[#This Row],[Origem]]</f>
        <v>Tuvarerapo-H686H281/GO</v>
      </c>
      <c r="F1954" s="88">
        <v>46631</v>
      </c>
      <c r="G1954" s="88" t="str" cm="1">
        <f t="array" ref="G19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AND(F1954&gt;= DATE(2026,1,1), F1954&lt;= DATE(2028, 12, 31), J1954&gt;50000), "Pendente e Caro", AND(F1954&gt;= DATE(2026,1,1), F1954&lt;= DATE(2028, 12, 31), J1954&lt;=50000), "Pendente", F1954&gt;= DATE(2029,1,1), "Não prioeitário")</f>
        <v>Pendente e Caro</v>
      </c>
      <c r="H1954" s="89">
        <f>YEAR(Tabela1[[#This Row],[Data de Validade]])</f>
        <v>2027</v>
      </c>
      <c r="I1954" s="89">
        <f>MONTH(Tabela1[[#This Row],[Data de Validade]])</f>
        <v>9</v>
      </c>
      <c r="J1954" s="101">
        <v>68205</v>
      </c>
      <c r="K1954" s="87" t="s">
        <v>9</v>
      </c>
      <c r="L1954" s="108"/>
      <c r="M1954" s="108"/>
      <c r="N1954" s="108" t="str">
        <v>P652H258</v>
      </c>
      <c r="O1954" s="108">
        <f t="shared" si="32"/>
        <v>1</v>
      </c>
      <c r="P1954" s="108"/>
      <c r="Q1954"/>
    </row>
    <row r="1955" spans="1:17" x14ac:dyDescent="0.25">
      <c r="A1955" s="89" t="s">
        <v>3685</v>
      </c>
      <c r="B1955" s="87" t="s">
        <v>3686</v>
      </c>
      <c r="C1955" s="87" t="s">
        <v>12</v>
      </c>
      <c r="D1955" s="87" t="str">
        <f>VLOOKUP(Tabela1[[#This Row],[Origem]], 'Perguntas 1 a 24'!$J$28:$K$34, 2, 0)</f>
        <v>Sudeste</v>
      </c>
      <c r="E1955" s="87" t="str">
        <f>Tabela1[[#This Row],[Descrição]]&amp;"-"&amp;Tabela1[[#This Row],[Código]]&amp;"/"&amp;Tabela1[[#This Row],[Origem]]</f>
        <v>Tupigama-P652H258/RJ</v>
      </c>
      <c r="F1955" s="88">
        <v>46631</v>
      </c>
      <c r="G1955" s="88" t="str" cm="1">
        <f t="array" ref="G19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AND(F1955&gt;= DATE(2026,1,1), F1955&lt;= DATE(2028, 12, 31), J1955&gt;50000), "Pendente e Caro", AND(F1955&gt;= DATE(2026,1,1), F1955&lt;= DATE(2028, 12, 31), J1955&lt;=50000), "Pendente", F1955&gt;= DATE(2029,1,1), "Não prioeitário")</f>
        <v>Pendente</v>
      </c>
      <c r="H1955" s="89">
        <f>YEAR(Tabela1[[#This Row],[Data de Validade]])</f>
        <v>2027</v>
      </c>
      <c r="I1955" s="89">
        <f>MONTH(Tabela1[[#This Row],[Data de Validade]])</f>
        <v>9</v>
      </c>
      <c r="J1955" s="101">
        <v>37770</v>
      </c>
      <c r="K1955" s="87" t="s">
        <v>9</v>
      </c>
      <c r="L1955" s="108"/>
      <c r="M1955" s="108"/>
      <c r="N1955" s="108" t="str">
        <v>P551P619</v>
      </c>
      <c r="O1955" s="108">
        <f t="shared" si="32"/>
        <v>1</v>
      </c>
      <c r="P1955" s="108"/>
      <c r="Q1955"/>
    </row>
    <row r="1956" spans="1:17" x14ac:dyDescent="0.25">
      <c r="A1956" s="89" t="s">
        <v>6744</v>
      </c>
      <c r="B1956" s="87" t="s">
        <v>6745</v>
      </c>
      <c r="C1956" s="87" t="s">
        <v>13</v>
      </c>
      <c r="D1956" s="87" t="str">
        <f>VLOOKUP(Tabela1[[#This Row],[Origem]], 'Perguntas 1 a 24'!$J$28:$K$34, 2, 0)</f>
        <v>Sudeste</v>
      </c>
      <c r="E1956" s="87" t="str">
        <f>Tabela1[[#This Row],[Descrição]]&amp;"-"&amp;Tabela1[[#This Row],[Código]]&amp;"/"&amp;Tabela1[[#This Row],[Origem]]</f>
        <v>Pinevucugi-P551P619/SP</v>
      </c>
      <c r="F1956" s="88">
        <v>46632</v>
      </c>
      <c r="G1956" s="88" t="str" cm="1">
        <f t="array" ref="G19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AND(F1956&gt;= DATE(2026,1,1), F1956&lt;= DATE(2028, 12, 31), J1956&gt;50000), "Pendente e Caro", AND(F1956&gt;= DATE(2026,1,1), F1956&lt;= DATE(2028, 12, 31), J1956&lt;=50000), "Pendente", F1956&gt;= DATE(2029,1,1), "Não prioeitário")</f>
        <v>Pendente e Caro</v>
      </c>
      <c r="H1956" s="89">
        <f>YEAR(Tabela1[[#This Row],[Data de Validade]])</f>
        <v>2027</v>
      </c>
      <c r="I1956" s="89">
        <f>MONTH(Tabela1[[#This Row],[Data de Validade]])</f>
        <v>9</v>
      </c>
      <c r="J1956" s="101">
        <v>90460</v>
      </c>
      <c r="K1956" s="87" t="s">
        <v>11</v>
      </c>
      <c r="L1956" s="108"/>
      <c r="M1956" s="108"/>
      <c r="N1956" s="108" t="str">
        <v>P263P215</v>
      </c>
      <c r="O1956" s="108">
        <f t="shared" si="32"/>
        <v>1</v>
      </c>
      <c r="P1956" s="108"/>
      <c r="Q1956"/>
    </row>
    <row r="1957" spans="1:17" x14ac:dyDescent="0.25">
      <c r="A1957" s="89" t="s">
        <v>10988</v>
      </c>
      <c r="B1957" s="87" t="s">
        <v>10989</v>
      </c>
      <c r="C1957" s="87" t="s">
        <v>12</v>
      </c>
      <c r="D1957" s="87" t="str">
        <f>VLOOKUP(Tabela1[[#This Row],[Origem]], 'Perguntas 1 a 24'!$J$28:$K$34, 2, 0)</f>
        <v>Sudeste</v>
      </c>
      <c r="E1957" s="87" t="str">
        <f>Tabela1[[#This Row],[Descrição]]&amp;"-"&amp;Tabela1[[#This Row],[Código]]&amp;"/"&amp;Tabela1[[#This Row],[Origem]]</f>
        <v>Tuvomatifi-P263P215/RJ</v>
      </c>
      <c r="F1957" s="88">
        <v>46633</v>
      </c>
      <c r="G1957" s="88" t="str" cm="1">
        <f t="array" ref="G19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AND(F1957&gt;= DATE(2026,1,1), F1957&lt;= DATE(2028, 12, 31), J1957&gt;50000), "Pendente e Caro", AND(F1957&gt;= DATE(2026,1,1), F1957&lt;= DATE(2028, 12, 31), J1957&lt;=50000), "Pendente", F1957&gt;= DATE(2029,1,1), "Não prioeitário")</f>
        <v>Pendente e Caro</v>
      </c>
      <c r="H1957" s="89">
        <f>YEAR(Tabela1[[#This Row],[Data de Validade]])</f>
        <v>2027</v>
      </c>
      <c r="I1957" s="89">
        <f>MONTH(Tabela1[[#This Row],[Data de Validade]])</f>
        <v>9</v>
      </c>
      <c r="J1957" s="101">
        <v>56743</v>
      </c>
      <c r="K1957" s="87" t="s">
        <v>9</v>
      </c>
      <c r="L1957" s="108"/>
      <c r="M1957" s="108"/>
      <c r="N1957" s="108" t="str">
        <v>P674P315</v>
      </c>
      <c r="O1957" s="108">
        <f t="shared" si="32"/>
        <v>1</v>
      </c>
      <c r="P1957" s="108"/>
      <c r="Q1957"/>
    </row>
    <row r="1958" spans="1:17" x14ac:dyDescent="0.25">
      <c r="A1958" s="89" t="s">
        <v>10369</v>
      </c>
      <c r="B1958" s="87" t="s">
        <v>10370</v>
      </c>
      <c r="C1958" s="87" t="s">
        <v>16</v>
      </c>
      <c r="D1958" s="87" t="str">
        <f>VLOOKUP(Tabela1[[#This Row],[Origem]], 'Perguntas 1 a 24'!$J$28:$K$34, 2, 0)</f>
        <v>Sudeste</v>
      </c>
      <c r="E1958" s="87" t="str">
        <f>Tabela1[[#This Row],[Descrição]]&amp;"-"&amp;Tabela1[[#This Row],[Código]]&amp;"/"&amp;Tabela1[[#This Row],[Origem]]</f>
        <v>Dogucu-P674P315/MG</v>
      </c>
      <c r="F1958" s="88">
        <v>46634</v>
      </c>
      <c r="G1958" s="88" t="str" cm="1">
        <f t="array" ref="G19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AND(F1958&gt;= DATE(2026,1,1), F1958&lt;= DATE(2028, 12, 31), J1958&gt;50000), "Pendente e Caro", AND(F1958&gt;= DATE(2026,1,1), F1958&lt;= DATE(2028, 12, 31), J1958&lt;=50000), "Pendente", F1958&gt;= DATE(2029,1,1), "Não prioeitário")</f>
        <v>Pendente e Caro</v>
      </c>
      <c r="H1958" s="89">
        <f>YEAR(Tabela1[[#This Row],[Data de Validade]])</f>
        <v>2027</v>
      </c>
      <c r="I1958" s="89">
        <f>MONTH(Tabela1[[#This Row],[Data de Validade]])</f>
        <v>9</v>
      </c>
      <c r="J1958" s="101">
        <v>109761</v>
      </c>
      <c r="K1958" s="87" t="s">
        <v>14</v>
      </c>
      <c r="L1958" s="108"/>
      <c r="M1958" s="108"/>
      <c r="N1958" s="108" t="str">
        <v>H941H694</v>
      </c>
      <c r="O1958" s="108">
        <f t="shared" si="32"/>
        <v>1</v>
      </c>
      <c r="P1958" s="108"/>
      <c r="Q1958"/>
    </row>
    <row r="1959" spans="1:17" x14ac:dyDescent="0.25">
      <c r="A1959" s="89" t="s">
        <v>5100</v>
      </c>
      <c r="B1959" s="87" t="s">
        <v>5101</v>
      </c>
      <c r="C1959" s="87" t="s">
        <v>8</v>
      </c>
      <c r="D1959" s="87" t="str">
        <f>VLOOKUP(Tabela1[[#This Row],[Origem]], 'Perguntas 1 a 24'!$J$28:$K$34, 2, 0)</f>
        <v>Nordeste</v>
      </c>
      <c r="E1959" s="87" t="str">
        <f>Tabela1[[#This Row],[Descrição]]&amp;"-"&amp;Tabela1[[#This Row],[Código]]&amp;"/"&amp;Tabela1[[#This Row],[Origem]]</f>
        <v>Pomeretuge-H941H694/AL</v>
      </c>
      <c r="F1959" s="88">
        <v>46634</v>
      </c>
      <c r="G1959" s="88" t="str" cm="1">
        <f t="array" ref="G19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AND(F1959&gt;= DATE(2026,1,1), F1959&lt;= DATE(2028, 12, 31), J1959&gt;50000), "Pendente e Caro", AND(F1959&gt;= DATE(2026,1,1), F1959&lt;= DATE(2028, 12, 31), J1959&lt;=50000), "Pendente", F1959&gt;= DATE(2029,1,1), "Não prioeitário")</f>
        <v>Pendente e Caro</v>
      </c>
      <c r="H1959" s="89">
        <f>YEAR(Tabela1[[#This Row],[Data de Validade]])</f>
        <v>2027</v>
      </c>
      <c r="I1959" s="89">
        <f>MONTH(Tabela1[[#This Row],[Data de Validade]])</f>
        <v>9</v>
      </c>
      <c r="J1959" s="101">
        <v>94774</v>
      </c>
      <c r="K1959" s="87" t="s">
        <v>7</v>
      </c>
      <c r="L1959" s="108"/>
      <c r="M1959" s="108"/>
      <c r="N1959" s="108" t="str">
        <v>P296P983</v>
      </c>
      <c r="O1959" s="108">
        <f t="shared" si="32"/>
        <v>1</v>
      </c>
      <c r="P1959" s="108"/>
      <c r="Q1959"/>
    </row>
    <row r="1960" spans="1:17" x14ac:dyDescent="0.25">
      <c r="A1960" s="89" t="s">
        <v>4766</v>
      </c>
      <c r="B1960" s="87" t="s">
        <v>4767</v>
      </c>
      <c r="C1960" s="87" t="s">
        <v>8</v>
      </c>
      <c r="D1960" s="87" t="str">
        <f>VLOOKUP(Tabela1[[#This Row],[Origem]], 'Perguntas 1 a 24'!$J$28:$K$34, 2, 0)</f>
        <v>Nordeste</v>
      </c>
      <c r="E1960" s="87" t="str">
        <f>Tabela1[[#This Row],[Descrição]]&amp;"-"&amp;Tabela1[[#This Row],[Código]]&amp;"/"&amp;Tabela1[[#This Row],[Origem]]</f>
        <v>Rucopupa-P296P983/AL</v>
      </c>
      <c r="F1960" s="88">
        <v>46634</v>
      </c>
      <c r="G1960" s="88" t="str" cm="1">
        <f t="array" ref="G19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AND(F1960&gt;= DATE(2026,1,1), F1960&lt;= DATE(2028, 12, 31), J1960&gt;50000), "Pendente e Caro", AND(F1960&gt;= DATE(2026,1,1), F1960&lt;= DATE(2028, 12, 31), J1960&lt;=50000), "Pendente", F1960&gt;= DATE(2029,1,1), "Não prioeitário")</f>
        <v>Pendente e Caro</v>
      </c>
      <c r="H1960" s="89">
        <f>YEAR(Tabela1[[#This Row],[Data de Validade]])</f>
        <v>2027</v>
      </c>
      <c r="I1960" s="89">
        <f>MONTH(Tabela1[[#This Row],[Data de Validade]])</f>
        <v>9</v>
      </c>
      <c r="J1960" s="101">
        <v>62241</v>
      </c>
      <c r="K1960" s="87" t="s">
        <v>11</v>
      </c>
      <c r="L1960" s="108"/>
      <c r="M1960" s="108"/>
      <c r="N1960" s="108" t="str">
        <v>P598P514</v>
      </c>
      <c r="O1960" s="108">
        <f t="shared" si="32"/>
        <v>1</v>
      </c>
      <c r="P1960" s="108"/>
      <c r="Q1960"/>
    </row>
    <row r="1961" spans="1:17" x14ac:dyDescent="0.25">
      <c r="A1961" s="89" t="s">
        <v>7640</v>
      </c>
      <c r="B1961" s="87" t="s">
        <v>7641</v>
      </c>
      <c r="C1961" s="87" t="s">
        <v>15</v>
      </c>
      <c r="D1961" s="87" t="str">
        <f>VLOOKUP(Tabela1[[#This Row],[Origem]], 'Perguntas 1 a 24'!$J$28:$K$34, 2, 0)</f>
        <v>Sudeste</v>
      </c>
      <c r="E1961" s="87" t="str">
        <f>Tabela1[[#This Row],[Descrição]]&amp;"-"&amp;Tabela1[[#This Row],[Código]]&amp;"/"&amp;Tabela1[[#This Row],[Origem]]</f>
        <v>Vidaporepa-P598P514/ES</v>
      </c>
      <c r="F1961" s="88">
        <v>46634</v>
      </c>
      <c r="G1961" s="88" t="str" cm="1">
        <f t="array" ref="G19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AND(F1961&gt;= DATE(2026,1,1), F1961&lt;= DATE(2028, 12, 31), J1961&gt;50000), "Pendente e Caro", AND(F1961&gt;= DATE(2026,1,1), F1961&lt;= DATE(2028, 12, 31), J1961&lt;=50000), "Pendente", F1961&gt;= DATE(2029,1,1), "Não prioeitário")</f>
        <v>Pendente e Caro</v>
      </c>
      <c r="H1961" s="89">
        <f>YEAR(Tabela1[[#This Row],[Data de Validade]])</f>
        <v>2027</v>
      </c>
      <c r="I1961" s="89">
        <f>MONTH(Tabela1[[#This Row],[Data de Validade]])</f>
        <v>9</v>
      </c>
      <c r="J1961" s="101">
        <v>54023</v>
      </c>
      <c r="K1961" s="87" t="s">
        <v>11</v>
      </c>
      <c r="L1961" s="108"/>
      <c r="M1961" s="108"/>
      <c r="N1961" s="108" t="str">
        <v>H829P415</v>
      </c>
      <c r="O1961" s="108">
        <f t="shared" si="32"/>
        <v>1</v>
      </c>
      <c r="P1961" s="108"/>
      <c r="Q1961"/>
    </row>
    <row r="1962" spans="1:17" x14ac:dyDescent="0.25">
      <c r="A1962" s="89" t="s">
        <v>11090</v>
      </c>
      <c r="B1962" s="87" t="s">
        <v>11091</v>
      </c>
      <c r="C1962" s="87" t="s">
        <v>13</v>
      </c>
      <c r="D1962" s="87" t="str">
        <f>VLOOKUP(Tabela1[[#This Row],[Origem]], 'Perguntas 1 a 24'!$J$28:$K$34, 2, 0)</f>
        <v>Sudeste</v>
      </c>
      <c r="E1962" s="87" t="str">
        <f>Tabela1[[#This Row],[Descrição]]&amp;"-"&amp;Tabela1[[#This Row],[Código]]&amp;"/"&amp;Tabela1[[#This Row],[Origem]]</f>
        <v>Tomelefo-H829P415/SP</v>
      </c>
      <c r="F1962" s="88">
        <v>46635</v>
      </c>
      <c r="G1962" s="88" t="str" cm="1">
        <f t="array" ref="G19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AND(F1962&gt;= DATE(2026,1,1), F1962&lt;= DATE(2028, 12, 31), J1962&gt;50000), "Pendente e Caro", AND(F1962&gt;= DATE(2026,1,1), F1962&lt;= DATE(2028, 12, 31), J1962&lt;=50000), "Pendente", F1962&gt;= DATE(2029,1,1), "Não prioeitário")</f>
        <v>Pendente e Caro</v>
      </c>
      <c r="H1962" s="89">
        <f>YEAR(Tabela1[[#This Row],[Data de Validade]])</f>
        <v>2027</v>
      </c>
      <c r="I1962" s="89">
        <f>MONTH(Tabela1[[#This Row],[Data de Validade]])</f>
        <v>9</v>
      </c>
      <c r="J1962" s="101">
        <v>68631</v>
      </c>
      <c r="K1962" s="87" t="s">
        <v>14</v>
      </c>
      <c r="L1962" s="108"/>
      <c r="M1962" s="108"/>
      <c r="N1962" s="108" t="str">
        <v>P535P863</v>
      </c>
      <c r="O1962" s="108">
        <f t="shared" si="32"/>
        <v>1</v>
      </c>
      <c r="P1962" s="108"/>
      <c r="Q1962"/>
    </row>
    <row r="1963" spans="1:17" x14ac:dyDescent="0.25">
      <c r="A1963" s="89" t="s">
        <v>3888</v>
      </c>
      <c r="B1963" s="87" t="s">
        <v>3889</v>
      </c>
      <c r="C1963" s="87" t="s">
        <v>15</v>
      </c>
      <c r="D1963" s="87" t="str">
        <f>VLOOKUP(Tabela1[[#This Row],[Origem]], 'Perguntas 1 a 24'!$J$28:$K$34, 2, 0)</f>
        <v>Sudeste</v>
      </c>
      <c r="E1963" s="87" t="str">
        <f>Tabela1[[#This Row],[Descrição]]&amp;"-"&amp;Tabela1[[#This Row],[Código]]&amp;"/"&amp;Tabela1[[#This Row],[Origem]]</f>
        <v>Tirapari-P535P863/ES</v>
      </c>
      <c r="F1963" s="88">
        <v>46636</v>
      </c>
      <c r="G1963" s="88" t="str" cm="1">
        <f t="array" ref="G19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AND(F1963&gt;= DATE(2026,1,1), F1963&lt;= DATE(2028, 12, 31), J1963&gt;50000), "Pendente e Caro", AND(F1963&gt;= DATE(2026,1,1), F1963&lt;= DATE(2028, 12, 31), J1963&lt;=50000), "Pendente", F1963&gt;= DATE(2029,1,1), "Não prioeitário")</f>
        <v>Pendente e Caro</v>
      </c>
      <c r="H1963" s="89">
        <f>YEAR(Tabela1[[#This Row],[Data de Validade]])</f>
        <v>2027</v>
      </c>
      <c r="I1963" s="89">
        <f>MONTH(Tabela1[[#This Row],[Data de Validade]])</f>
        <v>9</v>
      </c>
      <c r="J1963" s="101">
        <v>99170</v>
      </c>
      <c r="K1963" s="87" t="s">
        <v>11</v>
      </c>
      <c r="L1963" s="108"/>
      <c r="M1963" s="108"/>
      <c r="N1963" s="108" t="str">
        <v>H812H399</v>
      </c>
      <c r="O1963" s="108">
        <f t="shared" si="32"/>
        <v>1</v>
      </c>
      <c r="P1963" s="108"/>
      <c r="Q1963"/>
    </row>
    <row r="1964" spans="1:17" x14ac:dyDescent="0.25">
      <c r="A1964" s="89" t="s">
        <v>7612</v>
      </c>
      <c r="B1964" s="87" t="s">
        <v>7613</v>
      </c>
      <c r="C1964" s="87" t="s">
        <v>10</v>
      </c>
      <c r="D1964" s="87" t="str">
        <f>VLOOKUP(Tabela1[[#This Row],[Origem]], 'Perguntas 1 a 24'!$J$28:$K$34, 2, 0)</f>
        <v>Centro-Oeste</v>
      </c>
      <c r="E1964" s="87" t="str">
        <f>Tabela1[[#This Row],[Descrição]]&amp;"-"&amp;Tabela1[[#This Row],[Código]]&amp;"/"&amp;Tabela1[[#This Row],[Origem]]</f>
        <v>Corerevipe-H812H399/GO</v>
      </c>
      <c r="F1964" s="88">
        <v>46636</v>
      </c>
      <c r="G1964" s="88" t="str" cm="1">
        <f t="array" ref="G19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AND(F1964&gt;= DATE(2026,1,1), F1964&lt;= DATE(2028, 12, 31), J1964&gt;50000), "Pendente e Caro", AND(F1964&gt;= DATE(2026,1,1), F1964&lt;= DATE(2028, 12, 31), J1964&lt;=50000), "Pendente", F1964&gt;= DATE(2029,1,1), "Não prioeitário")</f>
        <v>Pendente</v>
      </c>
      <c r="H1964" s="89">
        <f>YEAR(Tabela1[[#This Row],[Data de Validade]])</f>
        <v>2027</v>
      </c>
      <c r="I1964" s="89">
        <f>MONTH(Tabela1[[#This Row],[Data de Validade]])</f>
        <v>9</v>
      </c>
      <c r="J1964" s="101">
        <v>46522</v>
      </c>
      <c r="K1964" s="87" t="s">
        <v>7</v>
      </c>
      <c r="L1964" s="108"/>
      <c r="M1964" s="108"/>
      <c r="N1964" s="108" t="str">
        <v>P481P357</v>
      </c>
      <c r="O1964" s="108">
        <f t="shared" si="32"/>
        <v>1</v>
      </c>
      <c r="P1964" s="108"/>
      <c r="Q1964"/>
    </row>
    <row r="1965" spans="1:17" x14ac:dyDescent="0.25">
      <c r="A1965" s="89" t="s">
        <v>8030</v>
      </c>
      <c r="B1965" s="87" t="s">
        <v>8031</v>
      </c>
      <c r="C1965" s="87" t="s">
        <v>10</v>
      </c>
      <c r="D1965" s="87" t="str">
        <f>VLOOKUP(Tabela1[[#This Row],[Origem]], 'Perguntas 1 a 24'!$J$28:$K$34, 2, 0)</f>
        <v>Centro-Oeste</v>
      </c>
      <c r="E1965" s="87" t="str">
        <f>Tabela1[[#This Row],[Descrição]]&amp;"-"&amp;Tabela1[[#This Row],[Código]]&amp;"/"&amp;Tabela1[[#This Row],[Origem]]</f>
        <v>Ropopu-P481P357/GO</v>
      </c>
      <c r="F1965" s="88">
        <v>46637</v>
      </c>
      <c r="G1965" s="88" t="str" cm="1">
        <f t="array" ref="G19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AND(F1965&gt;= DATE(2026,1,1), F1965&lt;= DATE(2028, 12, 31), J1965&gt;50000), "Pendente e Caro", AND(F1965&gt;= DATE(2026,1,1), F1965&lt;= DATE(2028, 12, 31), J1965&lt;=50000), "Pendente", F1965&gt;= DATE(2029,1,1), "Não prioeitário")</f>
        <v>Pendente e Caro</v>
      </c>
      <c r="H1965" s="89">
        <f>YEAR(Tabela1[[#This Row],[Data de Validade]])</f>
        <v>2027</v>
      </c>
      <c r="I1965" s="89">
        <f>MONTH(Tabela1[[#This Row],[Data de Validade]])</f>
        <v>9</v>
      </c>
      <c r="J1965" s="101">
        <v>104444</v>
      </c>
      <c r="K1965" s="87" t="s">
        <v>11</v>
      </c>
      <c r="L1965" s="108"/>
      <c r="M1965" s="108"/>
      <c r="N1965" s="108" t="str">
        <v>P821H454</v>
      </c>
      <c r="O1965" s="108">
        <f t="shared" si="32"/>
        <v>1</v>
      </c>
      <c r="P1965" s="108"/>
      <c r="Q1965"/>
    </row>
    <row r="1966" spans="1:17" x14ac:dyDescent="0.25">
      <c r="A1966" s="89" t="s">
        <v>5334</v>
      </c>
      <c r="B1966" s="87" t="s">
        <v>5335</v>
      </c>
      <c r="C1966" s="87" t="s">
        <v>12</v>
      </c>
      <c r="D1966" s="87" t="str">
        <f>VLOOKUP(Tabela1[[#This Row],[Origem]], 'Perguntas 1 a 24'!$J$28:$K$34, 2, 0)</f>
        <v>Sudeste</v>
      </c>
      <c r="E1966" s="87" t="str">
        <f>Tabela1[[#This Row],[Descrição]]&amp;"-"&amp;Tabela1[[#This Row],[Código]]&amp;"/"&amp;Tabela1[[#This Row],[Origem]]</f>
        <v>Moroceci-P821H454/RJ</v>
      </c>
      <c r="F1966" s="88">
        <v>46637</v>
      </c>
      <c r="G1966" s="88" t="str" cm="1">
        <f t="array" ref="G19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AND(F1966&gt;= DATE(2026,1,1), F1966&lt;= DATE(2028, 12, 31), J1966&gt;50000), "Pendente e Caro", AND(F1966&gt;= DATE(2026,1,1), F1966&lt;= DATE(2028, 12, 31), J1966&lt;=50000), "Pendente", F1966&gt;= DATE(2029,1,1), "Não prioeitário")</f>
        <v>Pendente</v>
      </c>
      <c r="H1966" s="89">
        <f>YEAR(Tabela1[[#This Row],[Data de Validade]])</f>
        <v>2027</v>
      </c>
      <c r="I1966" s="89">
        <f>MONTH(Tabela1[[#This Row],[Data de Validade]])</f>
        <v>9</v>
      </c>
      <c r="J1966" s="101">
        <v>39099</v>
      </c>
      <c r="K1966" s="87" t="s">
        <v>11</v>
      </c>
      <c r="L1966" s="108"/>
      <c r="M1966" s="108"/>
      <c r="N1966" s="108" t="str">
        <v>P699H542</v>
      </c>
      <c r="O1966" s="108">
        <f t="shared" si="32"/>
        <v>1</v>
      </c>
      <c r="P1966" s="108"/>
      <c r="Q1966"/>
    </row>
    <row r="1967" spans="1:17" x14ac:dyDescent="0.25">
      <c r="A1967" s="89" t="s">
        <v>10135</v>
      </c>
      <c r="B1967" s="87" t="s">
        <v>10136</v>
      </c>
      <c r="C1967" s="87" t="s">
        <v>12</v>
      </c>
      <c r="D1967" s="87" t="str">
        <f>VLOOKUP(Tabela1[[#This Row],[Origem]], 'Perguntas 1 a 24'!$J$28:$K$34, 2, 0)</f>
        <v>Sudeste</v>
      </c>
      <c r="E1967" s="87" t="str">
        <f>Tabela1[[#This Row],[Descrição]]&amp;"-"&amp;Tabela1[[#This Row],[Código]]&amp;"/"&amp;Tabela1[[#This Row],[Origem]]</f>
        <v>Mapepe-P699H542/RJ</v>
      </c>
      <c r="F1967" s="88">
        <v>46637</v>
      </c>
      <c r="G1967" s="88" t="str" cm="1">
        <f t="array" ref="G19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AND(F1967&gt;= DATE(2026,1,1), F1967&lt;= DATE(2028, 12, 31), J1967&gt;50000), "Pendente e Caro", AND(F1967&gt;= DATE(2026,1,1), F1967&lt;= DATE(2028, 12, 31), J1967&lt;=50000), "Pendente", F1967&gt;= DATE(2029,1,1), "Não prioeitário")</f>
        <v>Pendente</v>
      </c>
      <c r="H1967" s="89">
        <f>YEAR(Tabela1[[#This Row],[Data de Validade]])</f>
        <v>2027</v>
      </c>
      <c r="I1967" s="89">
        <f>MONTH(Tabela1[[#This Row],[Data de Validade]])</f>
        <v>9</v>
      </c>
      <c r="J1967" s="101">
        <v>27431</v>
      </c>
      <c r="K1967" s="87" t="s">
        <v>11</v>
      </c>
      <c r="L1967" s="108"/>
      <c r="M1967" s="108"/>
      <c r="N1967" s="108" t="str">
        <v>P623H931</v>
      </c>
      <c r="O1967" s="108">
        <f t="shared" si="32"/>
        <v>1</v>
      </c>
      <c r="P1967" s="108"/>
      <c r="Q1967"/>
    </row>
    <row r="1968" spans="1:17" x14ac:dyDescent="0.25">
      <c r="A1968" s="89" t="s">
        <v>5892</v>
      </c>
      <c r="B1968" s="87" t="s">
        <v>5893</v>
      </c>
      <c r="C1968" s="87" t="s">
        <v>6</v>
      </c>
      <c r="D1968" s="87" t="str">
        <f>VLOOKUP(Tabela1[[#This Row],[Origem]], 'Perguntas 1 a 24'!$J$28:$K$34, 2, 0)</f>
        <v>Nordeste</v>
      </c>
      <c r="E1968" s="87" t="str">
        <f>Tabela1[[#This Row],[Descrição]]&amp;"-"&amp;Tabela1[[#This Row],[Código]]&amp;"/"&amp;Tabela1[[#This Row],[Origem]]</f>
        <v>Citomocinu-P623H931/MA</v>
      </c>
      <c r="F1968" s="88">
        <v>46638</v>
      </c>
      <c r="G1968" s="88" t="str" cm="1">
        <f t="array" ref="G19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AND(F1968&gt;= DATE(2026,1,1), F1968&lt;= DATE(2028, 12, 31), J1968&gt;50000), "Pendente e Caro", AND(F1968&gt;= DATE(2026,1,1), F1968&lt;= DATE(2028, 12, 31), J1968&lt;=50000), "Pendente", F1968&gt;= DATE(2029,1,1), "Não prioeitário")</f>
        <v>Pendente e Caro</v>
      </c>
      <c r="H1968" s="89">
        <f>YEAR(Tabela1[[#This Row],[Data de Validade]])</f>
        <v>2027</v>
      </c>
      <c r="I1968" s="89">
        <f>MONTH(Tabela1[[#This Row],[Data de Validade]])</f>
        <v>9</v>
      </c>
      <c r="J1968" s="101">
        <v>115085</v>
      </c>
      <c r="K1968" s="87" t="s">
        <v>7</v>
      </c>
      <c r="L1968" s="108"/>
      <c r="M1968" s="108"/>
      <c r="N1968" s="108" t="str">
        <v>H277P216</v>
      </c>
      <c r="O1968" s="108">
        <f t="shared" si="32"/>
        <v>1</v>
      </c>
      <c r="P1968" s="108"/>
      <c r="Q1968"/>
    </row>
    <row r="1969" spans="1:17" x14ac:dyDescent="0.25">
      <c r="A1969" s="89" t="s">
        <v>4976</v>
      </c>
      <c r="B1969" s="87" t="s">
        <v>4977</v>
      </c>
      <c r="C1969" s="87" t="s">
        <v>8</v>
      </c>
      <c r="D1969" s="87" t="str">
        <f>VLOOKUP(Tabela1[[#This Row],[Origem]], 'Perguntas 1 a 24'!$J$28:$K$34, 2, 0)</f>
        <v>Nordeste</v>
      </c>
      <c r="E1969" s="87" t="str">
        <f>Tabela1[[#This Row],[Descrição]]&amp;"-"&amp;Tabela1[[#This Row],[Código]]&amp;"/"&amp;Tabela1[[#This Row],[Origem]]</f>
        <v>Mipopi-H277P216/AL</v>
      </c>
      <c r="F1969" s="88">
        <v>46638</v>
      </c>
      <c r="G1969" s="88" t="str" cm="1">
        <f t="array" ref="G19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AND(F1969&gt;= DATE(2026,1,1), F1969&lt;= DATE(2028, 12, 31), J1969&gt;50000), "Pendente e Caro", AND(F1969&gt;= DATE(2026,1,1), F1969&lt;= DATE(2028, 12, 31), J1969&lt;=50000), "Pendente", F1969&gt;= DATE(2029,1,1), "Não prioeitário")</f>
        <v>Pendente</v>
      </c>
      <c r="H1969" s="89">
        <f>YEAR(Tabela1[[#This Row],[Data de Validade]])</f>
        <v>2027</v>
      </c>
      <c r="I1969" s="89">
        <f>MONTH(Tabela1[[#This Row],[Data de Validade]])</f>
        <v>9</v>
      </c>
      <c r="J1969" s="101">
        <v>29403</v>
      </c>
      <c r="K1969" s="87" t="s">
        <v>9</v>
      </c>
      <c r="L1969" s="108"/>
      <c r="M1969" s="108"/>
      <c r="N1969" s="108" t="str">
        <v>P454P589</v>
      </c>
      <c r="O1969" s="108">
        <f t="shared" si="32"/>
        <v>1</v>
      </c>
      <c r="P1969" s="108"/>
      <c r="Q1969"/>
    </row>
    <row r="1970" spans="1:17" x14ac:dyDescent="0.25">
      <c r="A1970" s="89" t="s">
        <v>5716</v>
      </c>
      <c r="B1970" s="87" t="s">
        <v>5717</v>
      </c>
      <c r="C1970" s="87" t="s">
        <v>16</v>
      </c>
      <c r="D1970" s="87" t="str">
        <f>VLOOKUP(Tabela1[[#This Row],[Origem]], 'Perguntas 1 a 24'!$J$28:$K$34, 2, 0)</f>
        <v>Sudeste</v>
      </c>
      <c r="E1970" s="87" t="str">
        <f>Tabela1[[#This Row],[Descrição]]&amp;"-"&amp;Tabela1[[#This Row],[Código]]&amp;"/"&amp;Tabela1[[#This Row],[Origem]]</f>
        <v>Pinudoci-P454P589/MG</v>
      </c>
      <c r="F1970" s="88">
        <v>46639</v>
      </c>
      <c r="G1970" s="88" t="str" cm="1">
        <f t="array" ref="G19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AND(F1970&gt;= DATE(2026,1,1), F1970&lt;= DATE(2028, 12, 31), J1970&gt;50000), "Pendente e Caro", AND(F1970&gt;= DATE(2026,1,1), F1970&lt;= DATE(2028, 12, 31), J1970&lt;=50000), "Pendente", F1970&gt;= DATE(2029,1,1), "Não prioeitário")</f>
        <v>Pendente e Caro</v>
      </c>
      <c r="H1970" s="89">
        <f>YEAR(Tabela1[[#This Row],[Data de Validade]])</f>
        <v>2027</v>
      </c>
      <c r="I1970" s="89">
        <f>MONTH(Tabela1[[#This Row],[Data de Validade]])</f>
        <v>9</v>
      </c>
      <c r="J1970" s="101">
        <v>59067</v>
      </c>
      <c r="K1970" s="87" t="s">
        <v>9</v>
      </c>
      <c r="L1970" s="108"/>
      <c r="M1970" s="108"/>
      <c r="N1970" s="108" t="str">
        <v>P893P377</v>
      </c>
      <c r="O1970" s="108">
        <f t="shared" si="32"/>
        <v>1</v>
      </c>
      <c r="P1970" s="108"/>
      <c r="Q1970"/>
    </row>
    <row r="1971" spans="1:17" x14ac:dyDescent="0.25">
      <c r="A1971" s="89" t="s">
        <v>8464</v>
      </c>
      <c r="B1971" s="87" t="s">
        <v>8465</v>
      </c>
      <c r="C1971" s="87" t="s">
        <v>13</v>
      </c>
      <c r="D1971" s="87" t="str">
        <f>VLOOKUP(Tabela1[[#This Row],[Origem]], 'Perguntas 1 a 24'!$J$28:$K$34, 2, 0)</f>
        <v>Sudeste</v>
      </c>
      <c r="E1971" s="87" t="str">
        <f>Tabela1[[#This Row],[Descrição]]&amp;"-"&amp;Tabela1[[#This Row],[Código]]&amp;"/"&amp;Tabela1[[#This Row],[Origem]]</f>
        <v>Paridedi-P893P377/SP</v>
      </c>
      <c r="F1971" s="88">
        <v>46640</v>
      </c>
      <c r="G1971" s="88" t="str" cm="1">
        <f t="array" ref="G19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AND(F1971&gt;= DATE(2026,1,1), F1971&lt;= DATE(2028, 12, 31), J1971&gt;50000), "Pendente e Caro", AND(F1971&gt;= DATE(2026,1,1), F1971&lt;= DATE(2028, 12, 31), J1971&lt;=50000), "Pendente", F1971&gt;= DATE(2029,1,1), "Não prioeitário")</f>
        <v>Pendente e Caro</v>
      </c>
      <c r="H1971" s="89">
        <f>YEAR(Tabela1[[#This Row],[Data de Validade]])</f>
        <v>2027</v>
      </c>
      <c r="I1971" s="89">
        <f>MONTH(Tabela1[[#This Row],[Data de Validade]])</f>
        <v>9</v>
      </c>
      <c r="J1971" s="101">
        <v>93079</v>
      </c>
      <c r="K1971" s="87" t="s">
        <v>9</v>
      </c>
      <c r="L1971" s="108"/>
      <c r="M1971" s="108"/>
      <c r="N1971" s="108" t="str">
        <v>P735H918</v>
      </c>
      <c r="O1971" s="108">
        <f t="shared" si="32"/>
        <v>1</v>
      </c>
      <c r="P1971" s="108"/>
      <c r="Q1971"/>
    </row>
    <row r="1972" spans="1:17" x14ac:dyDescent="0.25">
      <c r="A1972" s="89" t="s">
        <v>4377</v>
      </c>
      <c r="B1972" s="87" t="s">
        <v>4378</v>
      </c>
      <c r="C1972" s="87" t="s">
        <v>8</v>
      </c>
      <c r="D1972" s="87" t="str">
        <f>VLOOKUP(Tabela1[[#This Row],[Origem]], 'Perguntas 1 a 24'!$J$28:$K$34, 2, 0)</f>
        <v>Nordeste</v>
      </c>
      <c r="E1972" s="87" t="str">
        <f>Tabela1[[#This Row],[Descrição]]&amp;"-"&amp;Tabela1[[#This Row],[Código]]&amp;"/"&amp;Tabela1[[#This Row],[Origem]]</f>
        <v>Meferidapo-P735H918/AL</v>
      </c>
      <c r="F1972" s="88">
        <v>46642</v>
      </c>
      <c r="G1972" s="88" t="str" cm="1">
        <f t="array" ref="G19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AND(F1972&gt;= DATE(2026,1,1), F1972&lt;= DATE(2028, 12, 31), J1972&gt;50000), "Pendente e Caro", AND(F1972&gt;= DATE(2026,1,1), F1972&lt;= DATE(2028, 12, 31), J1972&lt;=50000), "Pendente", F1972&gt;= DATE(2029,1,1), "Não prioeitário")</f>
        <v>Pendente e Caro</v>
      </c>
      <c r="H1972" s="89">
        <f>YEAR(Tabela1[[#This Row],[Data de Validade]])</f>
        <v>2027</v>
      </c>
      <c r="I1972" s="89">
        <f>MONTH(Tabela1[[#This Row],[Data de Validade]])</f>
        <v>9</v>
      </c>
      <c r="J1972" s="101">
        <v>98207</v>
      </c>
      <c r="K1972" s="87" t="s">
        <v>9</v>
      </c>
      <c r="L1972" s="108"/>
      <c r="M1972" s="108"/>
      <c r="N1972" s="108" t="str">
        <v>H917P789</v>
      </c>
      <c r="O1972" s="108">
        <f t="shared" si="32"/>
        <v>1</v>
      </c>
      <c r="P1972" s="108"/>
      <c r="Q1972"/>
    </row>
    <row r="1973" spans="1:17" x14ac:dyDescent="0.25">
      <c r="A1973" s="89" t="s">
        <v>4237</v>
      </c>
      <c r="B1973" s="87" t="s">
        <v>4238</v>
      </c>
      <c r="C1973" s="87" t="s">
        <v>6</v>
      </c>
      <c r="D1973" s="87" t="str">
        <f>VLOOKUP(Tabela1[[#This Row],[Origem]], 'Perguntas 1 a 24'!$J$28:$K$34, 2, 0)</f>
        <v>Nordeste</v>
      </c>
      <c r="E1973" s="87" t="str">
        <f>Tabela1[[#This Row],[Descrição]]&amp;"-"&amp;Tabela1[[#This Row],[Código]]&amp;"/"&amp;Tabela1[[#This Row],[Origem]]</f>
        <v>Cepirateru-H917P789/MA</v>
      </c>
      <c r="F1973" s="88">
        <v>46642</v>
      </c>
      <c r="G1973" s="88" t="str" cm="1">
        <f t="array" ref="G19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AND(F1973&gt;= DATE(2026,1,1), F1973&lt;= DATE(2028, 12, 31), J1973&gt;50000), "Pendente e Caro", AND(F1973&gt;= DATE(2026,1,1), F1973&lt;= DATE(2028, 12, 31), J1973&lt;=50000), "Pendente", F1973&gt;= DATE(2029,1,1), "Não prioeitário")</f>
        <v>Pendente</v>
      </c>
      <c r="H1973" s="89">
        <f>YEAR(Tabela1[[#This Row],[Data de Validade]])</f>
        <v>2027</v>
      </c>
      <c r="I1973" s="89">
        <f>MONTH(Tabela1[[#This Row],[Data de Validade]])</f>
        <v>9</v>
      </c>
      <c r="J1973" s="101">
        <v>32143</v>
      </c>
      <c r="K1973" s="87" t="s">
        <v>14</v>
      </c>
      <c r="L1973" s="108"/>
      <c r="M1973" s="108"/>
      <c r="N1973" s="108" t="str">
        <v>H991P868</v>
      </c>
      <c r="O1973" s="108">
        <f t="shared" si="32"/>
        <v>1</v>
      </c>
      <c r="P1973" s="108"/>
      <c r="Q1973"/>
    </row>
    <row r="1974" spans="1:17" x14ac:dyDescent="0.25">
      <c r="A1974" s="89" t="s">
        <v>9181</v>
      </c>
      <c r="B1974" s="87" t="s">
        <v>9182</v>
      </c>
      <c r="C1974" s="87" t="s">
        <v>6</v>
      </c>
      <c r="D1974" s="87" t="str">
        <f>VLOOKUP(Tabela1[[#This Row],[Origem]], 'Perguntas 1 a 24'!$J$28:$K$34, 2, 0)</f>
        <v>Nordeste</v>
      </c>
      <c r="E1974" s="87" t="str">
        <f>Tabela1[[#This Row],[Descrição]]&amp;"-"&amp;Tabela1[[#This Row],[Código]]&amp;"/"&amp;Tabela1[[#This Row],[Origem]]</f>
        <v>Rarudatu-H991P868/MA</v>
      </c>
      <c r="F1974" s="88">
        <v>46643</v>
      </c>
      <c r="G1974" s="88" t="str" cm="1">
        <f t="array" ref="G19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AND(F1974&gt;= DATE(2026,1,1), F1974&lt;= DATE(2028, 12, 31), J1974&gt;50000), "Pendente e Caro", AND(F1974&gt;= DATE(2026,1,1), F1974&lt;= DATE(2028, 12, 31), J1974&lt;=50000), "Pendente", F1974&gt;= DATE(2029,1,1), "Não prioeitário")</f>
        <v>Pendente e Caro</v>
      </c>
      <c r="H1974" s="89">
        <f>YEAR(Tabela1[[#This Row],[Data de Validade]])</f>
        <v>2027</v>
      </c>
      <c r="I1974" s="89">
        <f>MONTH(Tabela1[[#This Row],[Data de Validade]])</f>
        <v>9</v>
      </c>
      <c r="J1974" s="101">
        <v>99841</v>
      </c>
      <c r="K1974" s="87" t="s">
        <v>9</v>
      </c>
      <c r="L1974" s="108"/>
      <c r="M1974" s="108"/>
      <c r="N1974" s="108" t="str">
        <v>P172H232</v>
      </c>
      <c r="O1974" s="108">
        <f t="shared" si="32"/>
        <v>1</v>
      </c>
      <c r="P1974" s="108"/>
      <c r="Q1974"/>
    </row>
    <row r="1975" spans="1:17" x14ac:dyDescent="0.25">
      <c r="A1975" s="89" t="s">
        <v>8132</v>
      </c>
      <c r="B1975" s="87" t="s">
        <v>8133</v>
      </c>
      <c r="C1975" s="87" t="s">
        <v>16</v>
      </c>
      <c r="D1975" s="87" t="str">
        <f>VLOOKUP(Tabela1[[#This Row],[Origem]], 'Perguntas 1 a 24'!$J$28:$K$34, 2, 0)</f>
        <v>Sudeste</v>
      </c>
      <c r="E1975" s="87" t="str">
        <f>Tabela1[[#This Row],[Descrição]]&amp;"-"&amp;Tabela1[[#This Row],[Código]]&amp;"/"&amp;Tabela1[[#This Row],[Origem]]</f>
        <v>Gecopela-P172H232/MG</v>
      </c>
      <c r="F1975" s="88">
        <v>46644</v>
      </c>
      <c r="G1975" s="88" t="str" cm="1">
        <f t="array" ref="G19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AND(F1975&gt;= DATE(2026,1,1), F1975&lt;= DATE(2028, 12, 31), J1975&gt;50000), "Pendente e Caro", AND(F1975&gt;= DATE(2026,1,1), F1975&lt;= DATE(2028, 12, 31), J1975&lt;=50000), "Pendente", F1975&gt;= DATE(2029,1,1), "Não prioeitário")</f>
        <v>Pendente e Caro</v>
      </c>
      <c r="H1975" s="89">
        <f>YEAR(Tabela1[[#This Row],[Data de Validade]])</f>
        <v>2027</v>
      </c>
      <c r="I1975" s="89">
        <f>MONTH(Tabela1[[#This Row],[Data de Validade]])</f>
        <v>9</v>
      </c>
      <c r="J1975" s="101">
        <v>115588</v>
      </c>
      <c r="K1975" s="87" t="s">
        <v>7</v>
      </c>
      <c r="L1975" s="108"/>
      <c r="M1975" s="108"/>
      <c r="N1975" s="108" t="str">
        <v>P369P322</v>
      </c>
      <c r="O1975" s="108">
        <f t="shared" si="32"/>
        <v>1</v>
      </c>
      <c r="P1975" s="108"/>
      <c r="Q1975"/>
    </row>
    <row r="1976" spans="1:17" x14ac:dyDescent="0.25">
      <c r="A1976" s="89" t="s">
        <v>9307</v>
      </c>
      <c r="B1976" s="87" t="s">
        <v>9308</v>
      </c>
      <c r="C1976" s="87" t="s">
        <v>10</v>
      </c>
      <c r="D1976" s="87" t="str">
        <f>VLOOKUP(Tabela1[[#This Row],[Origem]], 'Perguntas 1 a 24'!$J$28:$K$34, 2, 0)</f>
        <v>Centro-Oeste</v>
      </c>
      <c r="E1976" s="87" t="str">
        <f>Tabela1[[#This Row],[Descrição]]&amp;"-"&amp;Tabela1[[#This Row],[Código]]&amp;"/"&amp;Tabela1[[#This Row],[Origem]]</f>
        <v>Nufelora-P369P322/GO</v>
      </c>
      <c r="F1976" s="88">
        <v>46645</v>
      </c>
      <c r="G1976" s="88" t="str" cm="1">
        <f t="array" ref="G19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AND(F1976&gt;= DATE(2026,1,1), F1976&lt;= DATE(2028, 12, 31), J1976&gt;50000), "Pendente e Caro", AND(F1976&gt;= DATE(2026,1,1), F1976&lt;= DATE(2028, 12, 31), J1976&lt;=50000), "Pendente", F1976&gt;= DATE(2029,1,1), "Não prioeitário")</f>
        <v>Pendente e Caro</v>
      </c>
      <c r="H1976" s="89">
        <f>YEAR(Tabela1[[#This Row],[Data de Validade]])</f>
        <v>2027</v>
      </c>
      <c r="I1976" s="89">
        <f>MONTH(Tabela1[[#This Row],[Data de Validade]])</f>
        <v>9</v>
      </c>
      <c r="J1976" s="101">
        <v>104064</v>
      </c>
      <c r="K1976" s="87" t="s">
        <v>7</v>
      </c>
      <c r="L1976" s="108"/>
      <c r="M1976" s="108"/>
      <c r="N1976" s="108" t="str">
        <v>H469P267</v>
      </c>
      <c r="O1976" s="108">
        <f t="shared" si="32"/>
        <v>1</v>
      </c>
      <c r="P1976" s="108"/>
      <c r="Q1976"/>
    </row>
    <row r="1977" spans="1:17" x14ac:dyDescent="0.25">
      <c r="A1977" s="89" t="s">
        <v>5354</v>
      </c>
      <c r="B1977" s="87" t="s">
        <v>5355</v>
      </c>
      <c r="C1977" s="87" t="s">
        <v>12</v>
      </c>
      <c r="D1977" s="87" t="str">
        <f>VLOOKUP(Tabela1[[#This Row],[Origem]], 'Perguntas 1 a 24'!$J$28:$K$34, 2, 0)</f>
        <v>Sudeste</v>
      </c>
      <c r="E1977" s="87" t="str">
        <f>Tabela1[[#This Row],[Descrição]]&amp;"-"&amp;Tabela1[[#This Row],[Código]]&amp;"/"&amp;Tabela1[[#This Row],[Origem]]</f>
        <v>Rugira-H469P267/RJ</v>
      </c>
      <c r="F1977" s="88">
        <v>46645</v>
      </c>
      <c r="G1977" s="88" t="str" cm="1">
        <f t="array" ref="G19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AND(F1977&gt;= DATE(2026,1,1), F1977&lt;= DATE(2028, 12, 31), J1977&gt;50000), "Pendente e Caro", AND(F1977&gt;= DATE(2026,1,1), F1977&lt;= DATE(2028, 12, 31), J1977&lt;=50000), "Pendente", F1977&gt;= DATE(2029,1,1), "Não prioeitário")</f>
        <v>Pendente e Caro</v>
      </c>
      <c r="H1977" s="89">
        <f>YEAR(Tabela1[[#This Row],[Data de Validade]])</f>
        <v>2027</v>
      </c>
      <c r="I1977" s="89">
        <f>MONTH(Tabela1[[#This Row],[Data de Validade]])</f>
        <v>9</v>
      </c>
      <c r="J1977" s="101">
        <v>64545</v>
      </c>
      <c r="K1977" s="87" t="s">
        <v>11</v>
      </c>
      <c r="L1977" s="108"/>
      <c r="M1977" s="108"/>
      <c r="N1977" s="108" t="str">
        <v>P312H382</v>
      </c>
      <c r="O1977" s="108">
        <f t="shared" si="32"/>
        <v>1</v>
      </c>
      <c r="P1977" s="108"/>
      <c r="Q1977"/>
    </row>
    <row r="1978" spans="1:17" x14ac:dyDescent="0.25">
      <c r="A1978" s="89" t="s">
        <v>9883</v>
      </c>
      <c r="B1978" s="87" t="s">
        <v>9884</v>
      </c>
      <c r="C1978" s="87" t="s">
        <v>10</v>
      </c>
      <c r="D1978" s="87" t="str">
        <f>VLOOKUP(Tabela1[[#This Row],[Origem]], 'Perguntas 1 a 24'!$J$28:$K$34, 2, 0)</f>
        <v>Centro-Oeste</v>
      </c>
      <c r="E1978" s="87" t="str">
        <f>Tabela1[[#This Row],[Descrição]]&amp;"-"&amp;Tabela1[[#This Row],[Código]]&amp;"/"&amp;Tabela1[[#This Row],[Origem]]</f>
        <v>Nogepi-P312H382/GO</v>
      </c>
      <c r="F1978" s="88">
        <v>46645</v>
      </c>
      <c r="G1978" s="88" t="str" cm="1">
        <f t="array" ref="G19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AND(F1978&gt;= DATE(2026,1,1), F1978&lt;= DATE(2028, 12, 31), J1978&gt;50000), "Pendente e Caro", AND(F1978&gt;= DATE(2026,1,1), F1978&lt;= DATE(2028, 12, 31), J1978&lt;=50000), "Pendente", F1978&gt;= DATE(2029,1,1), "Não prioeitário")</f>
        <v>Pendente</v>
      </c>
      <c r="H1978" s="89">
        <f>YEAR(Tabela1[[#This Row],[Data de Validade]])</f>
        <v>2027</v>
      </c>
      <c r="I1978" s="89">
        <f>MONTH(Tabela1[[#This Row],[Data de Validade]])</f>
        <v>9</v>
      </c>
      <c r="J1978" s="101">
        <v>35626</v>
      </c>
      <c r="K1978" s="87" t="s">
        <v>11</v>
      </c>
      <c r="L1978" s="108"/>
      <c r="M1978" s="108"/>
      <c r="N1978" s="108" t="str">
        <v>P557P758</v>
      </c>
      <c r="O1978" s="108">
        <f t="shared" si="32"/>
        <v>1</v>
      </c>
      <c r="P1978" s="108"/>
      <c r="Q1978"/>
    </row>
    <row r="1979" spans="1:17" x14ac:dyDescent="0.25">
      <c r="A1979" s="89" t="s">
        <v>8727</v>
      </c>
      <c r="B1979" s="87" t="s">
        <v>8728</v>
      </c>
      <c r="C1979" s="87" t="s">
        <v>10</v>
      </c>
      <c r="D1979" s="87" t="str">
        <f>VLOOKUP(Tabela1[[#This Row],[Origem]], 'Perguntas 1 a 24'!$J$28:$K$34, 2, 0)</f>
        <v>Centro-Oeste</v>
      </c>
      <c r="E1979" s="87" t="str">
        <f>Tabela1[[#This Row],[Descrição]]&amp;"-"&amp;Tabela1[[#This Row],[Código]]&amp;"/"&amp;Tabela1[[#This Row],[Origem]]</f>
        <v>Cecodaco-P557P758/GO</v>
      </c>
      <c r="F1979" s="88">
        <v>46645</v>
      </c>
      <c r="G1979" s="88" t="str" cm="1">
        <f t="array" ref="G19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AND(F1979&gt;= DATE(2026,1,1), F1979&lt;= DATE(2028, 12, 31), J1979&gt;50000), "Pendente e Caro", AND(F1979&gt;= DATE(2026,1,1), F1979&lt;= DATE(2028, 12, 31), J1979&lt;=50000), "Pendente", F1979&gt;= DATE(2029,1,1), "Não prioeitário")</f>
        <v>Pendente</v>
      </c>
      <c r="H1979" s="89">
        <f>YEAR(Tabela1[[#This Row],[Data de Validade]])</f>
        <v>2027</v>
      </c>
      <c r="I1979" s="89">
        <f>MONTH(Tabela1[[#This Row],[Data de Validade]])</f>
        <v>9</v>
      </c>
      <c r="J1979" s="101">
        <v>20276</v>
      </c>
      <c r="K1979" s="87" t="s">
        <v>7</v>
      </c>
      <c r="L1979" s="108"/>
      <c r="M1979" s="108"/>
      <c r="N1979" s="108" t="str">
        <v>P177H514</v>
      </c>
      <c r="O1979" s="108">
        <f t="shared" si="32"/>
        <v>1</v>
      </c>
      <c r="P1979" s="108"/>
      <c r="Q1979"/>
    </row>
    <row r="1980" spans="1:17" x14ac:dyDescent="0.25">
      <c r="A1980" s="89" t="s">
        <v>6284</v>
      </c>
      <c r="B1980" s="87" t="s">
        <v>6285</v>
      </c>
      <c r="C1980" s="87" t="s">
        <v>12</v>
      </c>
      <c r="D1980" s="87" t="str">
        <f>VLOOKUP(Tabela1[[#This Row],[Origem]], 'Perguntas 1 a 24'!$J$28:$K$34, 2, 0)</f>
        <v>Sudeste</v>
      </c>
      <c r="E1980" s="87" t="str">
        <f>Tabela1[[#This Row],[Descrição]]&amp;"-"&amp;Tabela1[[#This Row],[Código]]&amp;"/"&amp;Tabela1[[#This Row],[Origem]]</f>
        <v>Tareta-P177H514/RJ</v>
      </c>
      <c r="F1980" s="88">
        <v>46646</v>
      </c>
      <c r="G1980" s="88" t="str" cm="1">
        <f t="array" ref="G19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AND(F1980&gt;= DATE(2026,1,1), F1980&lt;= DATE(2028, 12, 31), J1980&gt;50000), "Pendente e Caro", AND(F1980&gt;= DATE(2026,1,1), F1980&lt;= DATE(2028, 12, 31), J1980&lt;=50000), "Pendente", F1980&gt;= DATE(2029,1,1), "Não prioeitário")</f>
        <v>Pendente e Caro</v>
      </c>
      <c r="H1980" s="89">
        <f>YEAR(Tabela1[[#This Row],[Data de Validade]])</f>
        <v>2027</v>
      </c>
      <c r="I1980" s="89">
        <f>MONTH(Tabela1[[#This Row],[Data de Validade]])</f>
        <v>9</v>
      </c>
      <c r="J1980" s="101">
        <v>89482</v>
      </c>
      <c r="K1980" s="87" t="s">
        <v>7</v>
      </c>
      <c r="L1980" s="108"/>
      <c r="M1980" s="108"/>
      <c r="N1980" s="108" t="str">
        <v>P821P341</v>
      </c>
      <c r="O1980" s="108">
        <f t="shared" si="32"/>
        <v>1</v>
      </c>
      <c r="P1980" s="108"/>
      <c r="Q1980"/>
    </row>
    <row r="1981" spans="1:17" x14ac:dyDescent="0.25">
      <c r="A1981" s="89" t="s">
        <v>7394</v>
      </c>
      <c r="B1981" s="87" t="s">
        <v>7395</v>
      </c>
      <c r="C1981" s="87" t="s">
        <v>10</v>
      </c>
      <c r="D1981" s="87" t="str">
        <f>VLOOKUP(Tabela1[[#This Row],[Origem]], 'Perguntas 1 a 24'!$J$28:$K$34, 2, 0)</f>
        <v>Centro-Oeste</v>
      </c>
      <c r="E1981" s="87" t="str">
        <f>Tabela1[[#This Row],[Descrição]]&amp;"-"&amp;Tabela1[[#This Row],[Código]]&amp;"/"&amp;Tabela1[[#This Row],[Origem]]</f>
        <v>Pemuti-P821P341/GO</v>
      </c>
      <c r="F1981" s="88">
        <v>46647</v>
      </c>
      <c r="G1981" s="88" t="str" cm="1">
        <f t="array" ref="G19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AND(F1981&gt;= DATE(2026,1,1), F1981&lt;= DATE(2028, 12, 31), J1981&gt;50000), "Pendente e Caro", AND(F1981&gt;= DATE(2026,1,1), F1981&lt;= DATE(2028, 12, 31), J1981&lt;=50000), "Pendente", F1981&gt;= DATE(2029,1,1), "Não prioeitário")</f>
        <v>Pendente e Caro</v>
      </c>
      <c r="H1981" s="89">
        <f>YEAR(Tabela1[[#This Row],[Data de Validade]])</f>
        <v>2027</v>
      </c>
      <c r="I1981" s="89">
        <f>MONTH(Tabela1[[#This Row],[Data de Validade]])</f>
        <v>9</v>
      </c>
      <c r="J1981" s="101">
        <v>111887</v>
      </c>
      <c r="K1981" s="87" t="s">
        <v>9</v>
      </c>
      <c r="L1981" s="108"/>
      <c r="M1981" s="108"/>
      <c r="N1981" s="108" t="str">
        <v>P857P287</v>
      </c>
      <c r="O1981" s="108">
        <f t="shared" si="32"/>
        <v>1</v>
      </c>
      <c r="P1981" s="108"/>
      <c r="Q1981"/>
    </row>
    <row r="1982" spans="1:17" x14ac:dyDescent="0.25">
      <c r="A1982" s="89" t="s">
        <v>6300</v>
      </c>
      <c r="B1982" s="87" t="s">
        <v>6301</v>
      </c>
      <c r="C1982" s="87" t="s">
        <v>13</v>
      </c>
      <c r="D1982" s="87" t="str">
        <f>VLOOKUP(Tabela1[[#This Row],[Origem]], 'Perguntas 1 a 24'!$J$28:$K$34, 2, 0)</f>
        <v>Sudeste</v>
      </c>
      <c r="E1982" s="87" t="str">
        <f>Tabela1[[#This Row],[Descrição]]&amp;"-"&amp;Tabela1[[#This Row],[Código]]&amp;"/"&amp;Tabela1[[#This Row],[Origem]]</f>
        <v>Potirula-P857P287/SP</v>
      </c>
      <c r="F1982" s="88">
        <v>46647</v>
      </c>
      <c r="G1982" s="88" t="str" cm="1">
        <f t="array" ref="G19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AND(F1982&gt;= DATE(2026,1,1), F1982&lt;= DATE(2028, 12, 31), J1982&gt;50000), "Pendente e Caro", AND(F1982&gt;= DATE(2026,1,1), F1982&lt;= DATE(2028, 12, 31), J1982&lt;=50000), "Pendente", F1982&gt;= DATE(2029,1,1), "Não prioeitário")</f>
        <v>Pendente e Caro</v>
      </c>
      <c r="H1982" s="89">
        <f>YEAR(Tabela1[[#This Row],[Data de Validade]])</f>
        <v>2027</v>
      </c>
      <c r="I1982" s="89">
        <f>MONTH(Tabela1[[#This Row],[Data de Validade]])</f>
        <v>9</v>
      </c>
      <c r="J1982" s="101">
        <v>52994</v>
      </c>
      <c r="K1982" s="87" t="s">
        <v>11</v>
      </c>
      <c r="L1982" s="108"/>
      <c r="M1982" s="108"/>
      <c r="N1982" s="108" t="str">
        <v>P269H142</v>
      </c>
      <c r="O1982" s="108">
        <f t="shared" si="32"/>
        <v>1</v>
      </c>
      <c r="P1982" s="108"/>
      <c r="Q1982"/>
    </row>
    <row r="1983" spans="1:17" x14ac:dyDescent="0.25">
      <c r="A1983" s="89" t="s">
        <v>5164</v>
      </c>
      <c r="B1983" s="87" t="s">
        <v>5165</v>
      </c>
      <c r="C1983" s="87" t="s">
        <v>8</v>
      </c>
      <c r="D1983" s="87" t="str">
        <f>VLOOKUP(Tabela1[[#This Row],[Origem]], 'Perguntas 1 a 24'!$J$28:$K$34, 2, 0)</f>
        <v>Nordeste</v>
      </c>
      <c r="E1983" s="87" t="str">
        <f>Tabela1[[#This Row],[Descrição]]&amp;"-"&amp;Tabela1[[#This Row],[Código]]&amp;"/"&amp;Tabela1[[#This Row],[Origem]]</f>
        <v>Corivu-P269H142/AL</v>
      </c>
      <c r="F1983" s="88">
        <v>46648</v>
      </c>
      <c r="G1983" s="88" t="str" cm="1">
        <f t="array" ref="G19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AND(F1983&gt;= DATE(2026,1,1), F1983&lt;= DATE(2028, 12, 31), J1983&gt;50000), "Pendente e Caro", AND(F1983&gt;= DATE(2026,1,1), F1983&lt;= DATE(2028, 12, 31), J1983&lt;=50000), "Pendente", F1983&gt;= DATE(2029,1,1), "Não prioeitário")</f>
        <v>Pendente e Caro</v>
      </c>
      <c r="H1983" s="89">
        <f>YEAR(Tabela1[[#This Row],[Data de Validade]])</f>
        <v>2027</v>
      </c>
      <c r="I1983" s="89">
        <f>MONTH(Tabela1[[#This Row],[Data de Validade]])</f>
        <v>9</v>
      </c>
      <c r="J1983" s="101">
        <v>65213</v>
      </c>
      <c r="K1983" s="87" t="s">
        <v>11</v>
      </c>
      <c r="L1983" s="108"/>
      <c r="M1983" s="108"/>
      <c r="N1983" s="108" t="str">
        <v>H894H912</v>
      </c>
      <c r="O1983" s="108">
        <f t="shared" si="32"/>
        <v>1</v>
      </c>
      <c r="P1983" s="108"/>
      <c r="Q1983"/>
    </row>
    <row r="1984" spans="1:17" x14ac:dyDescent="0.25">
      <c r="A1984" s="89" t="s">
        <v>10829</v>
      </c>
      <c r="B1984" s="87" t="s">
        <v>10830</v>
      </c>
      <c r="C1984" s="87" t="s">
        <v>16</v>
      </c>
      <c r="D1984" s="87" t="str">
        <f>VLOOKUP(Tabela1[[#This Row],[Origem]], 'Perguntas 1 a 24'!$J$28:$K$34, 2, 0)</f>
        <v>Sudeste</v>
      </c>
      <c r="E1984" s="87" t="str">
        <f>Tabela1[[#This Row],[Descrição]]&amp;"-"&amp;Tabela1[[#This Row],[Código]]&amp;"/"&amp;Tabela1[[#This Row],[Origem]]</f>
        <v>Pepepotori-H894H912/MG</v>
      </c>
      <c r="F1984" s="88">
        <v>46648</v>
      </c>
      <c r="G1984" s="88" t="str" cm="1">
        <f t="array" ref="G19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AND(F1984&gt;= DATE(2026,1,1), F1984&lt;= DATE(2028, 12, 31), J1984&gt;50000), "Pendente e Caro", AND(F1984&gt;= DATE(2026,1,1), F1984&lt;= DATE(2028, 12, 31), J1984&lt;=50000), "Pendente", F1984&gt;= DATE(2029,1,1), "Não prioeitário")</f>
        <v>Pendente</v>
      </c>
      <c r="H1984" s="89">
        <f>YEAR(Tabela1[[#This Row],[Data de Validade]])</f>
        <v>2027</v>
      </c>
      <c r="I1984" s="89">
        <f>MONTH(Tabela1[[#This Row],[Data de Validade]])</f>
        <v>9</v>
      </c>
      <c r="J1984" s="101">
        <v>29174</v>
      </c>
      <c r="K1984" s="87" t="s">
        <v>14</v>
      </c>
      <c r="L1984" s="108"/>
      <c r="M1984" s="108"/>
      <c r="N1984" s="108" t="str">
        <v>H789P185</v>
      </c>
      <c r="O1984" s="108">
        <f t="shared" si="32"/>
        <v>1</v>
      </c>
      <c r="P1984" s="108"/>
      <c r="Q1984"/>
    </row>
    <row r="1985" spans="1:17" x14ac:dyDescent="0.25">
      <c r="A1985" s="89" t="s">
        <v>5128</v>
      </c>
      <c r="B1985" s="87" t="s">
        <v>5129</v>
      </c>
      <c r="C1985" s="87" t="s">
        <v>6</v>
      </c>
      <c r="D1985" s="87" t="str">
        <f>VLOOKUP(Tabela1[[#This Row],[Origem]], 'Perguntas 1 a 24'!$J$28:$K$34, 2, 0)</f>
        <v>Nordeste</v>
      </c>
      <c r="E1985" s="87" t="str">
        <f>Tabela1[[#This Row],[Descrição]]&amp;"-"&amp;Tabela1[[#This Row],[Código]]&amp;"/"&amp;Tabela1[[#This Row],[Origem]]</f>
        <v>Pafigagu-H789P185/MA</v>
      </c>
      <c r="F1985" s="88">
        <v>46649</v>
      </c>
      <c r="G1985" s="88" t="str" cm="1">
        <f t="array" ref="G19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AND(F1985&gt;= DATE(2026,1,1), F1985&lt;= DATE(2028, 12, 31), J1985&gt;50000), "Pendente e Caro", AND(F1985&gt;= DATE(2026,1,1), F1985&lt;= DATE(2028, 12, 31), J1985&lt;=50000), "Pendente", F1985&gt;= DATE(2029,1,1), "Não prioeitário")</f>
        <v>Pendente e Caro</v>
      </c>
      <c r="H1985" s="89">
        <f>YEAR(Tabela1[[#This Row],[Data de Validade]])</f>
        <v>2027</v>
      </c>
      <c r="I1985" s="89">
        <f>MONTH(Tabela1[[#This Row],[Data de Validade]])</f>
        <v>9</v>
      </c>
      <c r="J1985" s="101">
        <v>105513</v>
      </c>
      <c r="K1985" s="87" t="s">
        <v>9</v>
      </c>
      <c r="L1985" s="108"/>
      <c r="M1985" s="108"/>
      <c r="N1985" s="108" t="str">
        <v>H752H628</v>
      </c>
      <c r="O1985" s="108">
        <f t="shared" si="32"/>
        <v>1</v>
      </c>
      <c r="P1985" s="108"/>
      <c r="Q1985"/>
    </row>
    <row r="1986" spans="1:17" x14ac:dyDescent="0.25">
      <c r="A1986" s="89" t="s">
        <v>8677</v>
      </c>
      <c r="B1986" s="87" t="s">
        <v>8678</v>
      </c>
      <c r="C1986" s="87" t="s">
        <v>15</v>
      </c>
      <c r="D1986" s="87" t="str">
        <f>VLOOKUP(Tabela1[[#This Row],[Origem]], 'Perguntas 1 a 24'!$J$28:$K$34, 2, 0)</f>
        <v>Sudeste</v>
      </c>
      <c r="E1986" s="87" t="str">
        <f>Tabela1[[#This Row],[Descrição]]&amp;"-"&amp;Tabela1[[#This Row],[Código]]&amp;"/"&amp;Tabela1[[#This Row],[Origem]]</f>
        <v>Covodu-H752H628/ES</v>
      </c>
      <c r="F1986" s="88">
        <v>46649</v>
      </c>
      <c r="G1986" s="88" t="str" cm="1">
        <f t="array" ref="G19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AND(F1986&gt;= DATE(2026,1,1), F1986&lt;= DATE(2028, 12, 31), J1986&gt;50000), "Pendente e Caro", AND(F1986&gt;= DATE(2026,1,1), F1986&lt;= DATE(2028, 12, 31), J1986&lt;=50000), "Pendente", F1986&gt;= DATE(2029,1,1), "Não prioeitário")</f>
        <v>Pendente e Caro</v>
      </c>
      <c r="H1986" s="89">
        <f>YEAR(Tabela1[[#This Row],[Data de Validade]])</f>
        <v>2027</v>
      </c>
      <c r="I1986" s="89">
        <f>MONTH(Tabela1[[#This Row],[Data de Validade]])</f>
        <v>9</v>
      </c>
      <c r="J1986" s="101">
        <v>68774</v>
      </c>
      <c r="K1986" s="87" t="s">
        <v>7</v>
      </c>
      <c r="L1986" s="108"/>
      <c r="M1986" s="108"/>
      <c r="N1986" s="108" t="str">
        <v>P577H891</v>
      </c>
      <c r="O1986" s="108">
        <f t="shared" si="32"/>
        <v>1</v>
      </c>
      <c r="P1986" s="108"/>
      <c r="Q1986"/>
    </row>
    <row r="1987" spans="1:17" x14ac:dyDescent="0.25">
      <c r="A1987" s="89" t="s">
        <v>11104</v>
      </c>
      <c r="B1987" s="87" t="s">
        <v>21</v>
      </c>
      <c r="C1987" s="87" t="s">
        <v>12</v>
      </c>
      <c r="D1987" s="87" t="str">
        <f>VLOOKUP(Tabela1[[#This Row],[Origem]], 'Perguntas 1 a 24'!$J$28:$K$34, 2, 0)</f>
        <v>Sudeste</v>
      </c>
      <c r="E1987" s="87" t="str">
        <f>Tabela1[[#This Row],[Descrição]]&amp;"-"&amp;Tabela1[[#This Row],[Código]]&amp;"/"&amp;Tabela1[[#This Row],[Origem]]</f>
        <v>Vetoci-P577H891/RJ</v>
      </c>
      <c r="F1987" s="88">
        <v>46650</v>
      </c>
      <c r="G1987" s="88" t="str" cm="1">
        <f t="array" ref="G19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AND(F1987&gt;= DATE(2026,1,1), F1987&lt;= DATE(2028, 12, 31), J1987&gt;50000), "Pendente e Caro", AND(F1987&gt;= DATE(2026,1,1), F1987&lt;= DATE(2028, 12, 31), J1987&lt;=50000), "Pendente", F1987&gt;= DATE(2029,1,1), "Não prioeitário")</f>
        <v>Pendente</v>
      </c>
      <c r="H1987" s="89">
        <f>YEAR(Tabela1[[#This Row],[Data de Validade]])</f>
        <v>2027</v>
      </c>
      <c r="I1987" s="89">
        <f>MONTH(Tabela1[[#This Row],[Data de Validade]])</f>
        <v>9</v>
      </c>
      <c r="J1987" s="101">
        <v>42869</v>
      </c>
      <c r="K1987" s="87" t="s">
        <v>7</v>
      </c>
      <c r="L1987" s="108"/>
      <c r="M1987" s="108"/>
      <c r="N1987" s="108" t="str">
        <v>P476P866</v>
      </c>
      <c r="O1987" s="108">
        <f t="shared" ref="O1987:O2050" si="33">COUNTIFS(B:B,N1987)</f>
        <v>1</v>
      </c>
      <c r="P1987" s="108"/>
      <c r="Q1987"/>
    </row>
    <row r="1988" spans="1:17" x14ac:dyDescent="0.25">
      <c r="A1988" s="89" t="s">
        <v>8290</v>
      </c>
      <c r="B1988" s="87" t="s">
        <v>8291</v>
      </c>
      <c r="C1988" s="87" t="s">
        <v>6</v>
      </c>
      <c r="D1988" s="87" t="str">
        <f>VLOOKUP(Tabela1[[#This Row],[Origem]], 'Perguntas 1 a 24'!$J$28:$K$34, 2, 0)</f>
        <v>Nordeste</v>
      </c>
      <c r="E1988" s="87" t="str">
        <f>Tabela1[[#This Row],[Descrição]]&amp;"-"&amp;Tabela1[[#This Row],[Código]]&amp;"/"&amp;Tabela1[[#This Row],[Origem]]</f>
        <v>Fopece-P476P866/MA</v>
      </c>
      <c r="F1988" s="88">
        <v>46651</v>
      </c>
      <c r="G1988" s="88" t="str" cm="1">
        <f t="array" ref="G19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AND(F1988&gt;= DATE(2026,1,1), F1988&lt;= DATE(2028, 12, 31), J1988&gt;50000), "Pendente e Caro", AND(F1988&gt;= DATE(2026,1,1), F1988&lt;= DATE(2028, 12, 31), J1988&lt;=50000), "Pendente", F1988&gt;= DATE(2029,1,1), "Não prioeitário")</f>
        <v>Pendente</v>
      </c>
      <c r="H1988" s="89">
        <f>YEAR(Tabela1[[#This Row],[Data de Validade]])</f>
        <v>2027</v>
      </c>
      <c r="I1988" s="89">
        <f>MONTH(Tabela1[[#This Row],[Data de Validade]])</f>
        <v>9</v>
      </c>
      <c r="J1988" s="101">
        <v>31956</v>
      </c>
      <c r="K1988" s="87" t="s">
        <v>14</v>
      </c>
      <c r="L1988" s="108"/>
      <c r="M1988" s="108"/>
      <c r="N1988" s="108" t="str">
        <v>P167P398</v>
      </c>
      <c r="O1988" s="108">
        <f t="shared" si="33"/>
        <v>1</v>
      </c>
      <c r="P1988" s="108"/>
      <c r="Q1988"/>
    </row>
    <row r="1989" spans="1:17" x14ac:dyDescent="0.25">
      <c r="A1989" s="89" t="s">
        <v>9003</v>
      </c>
      <c r="B1989" s="87" t="s">
        <v>9004</v>
      </c>
      <c r="C1989" s="87" t="s">
        <v>8</v>
      </c>
      <c r="D1989" s="87" t="str">
        <f>VLOOKUP(Tabela1[[#This Row],[Origem]], 'Perguntas 1 a 24'!$J$28:$K$34, 2, 0)</f>
        <v>Nordeste</v>
      </c>
      <c r="E1989" s="87" t="str">
        <f>Tabela1[[#This Row],[Descrição]]&amp;"-"&amp;Tabela1[[#This Row],[Código]]&amp;"/"&amp;Tabela1[[#This Row],[Origem]]</f>
        <v>Poluve-P167P398/AL</v>
      </c>
      <c r="F1989" s="88">
        <v>46653</v>
      </c>
      <c r="G1989" s="88" t="str" cm="1">
        <f t="array" ref="G19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AND(F1989&gt;= DATE(2026,1,1), F1989&lt;= DATE(2028, 12, 31), J1989&gt;50000), "Pendente e Caro", AND(F1989&gt;= DATE(2026,1,1), F1989&lt;= DATE(2028, 12, 31), J1989&lt;=50000), "Pendente", F1989&gt;= DATE(2029,1,1), "Não prioeitário")</f>
        <v>Pendente e Caro</v>
      </c>
      <c r="H1989" s="89">
        <f>YEAR(Tabela1[[#This Row],[Data de Validade]])</f>
        <v>2027</v>
      </c>
      <c r="I1989" s="89">
        <f>MONTH(Tabela1[[#This Row],[Data de Validade]])</f>
        <v>9</v>
      </c>
      <c r="J1989" s="101">
        <v>113200</v>
      </c>
      <c r="K1989" s="87" t="s">
        <v>11</v>
      </c>
      <c r="L1989" s="108"/>
      <c r="M1989" s="108"/>
      <c r="N1989" s="108" t="str">
        <v>P111P475</v>
      </c>
      <c r="O1989" s="108">
        <f t="shared" si="33"/>
        <v>1</v>
      </c>
      <c r="P1989" s="108"/>
      <c r="Q1989"/>
    </row>
    <row r="1990" spans="1:17" x14ac:dyDescent="0.25">
      <c r="A1990" s="89" t="s">
        <v>7538</v>
      </c>
      <c r="B1990" s="87" t="s">
        <v>7539</v>
      </c>
      <c r="C1990" s="87" t="s">
        <v>16</v>
      </c>
      <c r="D1990" s="87" t="str">
        <f>VLOOKUP(Tabela1[[#This Row],[Origem]], 'Perguntas 1 a 24'!$J$28:$K$34, 2, 0)</f>
        <v>Sudeste</v>
      </c>
      <c r="E1990" s="87" t="str">
        <f>Tabela1[[#This Row],[Descrição]]&amp;"-"&amp;Tabela1[[#This Row],[Código]]&amp;"/"&amp;Tabela1[[#This Row],[Origem]]</f>
        <v>Tilove-P111P475/MG</v>
      </c>
      <c r="F1990" s="88">
        <v>46653</v>
      </c>
      <c r="G1990" s="88" t="str" cm="1">
        <f t="array" ref="G19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AND(F1990&gt;= DATE(2026,1,1), F1990&lt;= DATE(2028, 12, 31), J1990&gt;50000), "Pendente e Caro", AND(F1990&gt;= DATE(2026,1,1), F1990&lt;= DATE(2028, 12, 31), J1990&lt;=50000), "Pendente", F1990&gt;= DATE(2029,1,1), "Não prioeitário")</f>
        <v>Pendente</v>
      </c>
      <c r="H1990" s="89">
        <f>YEAR(Tabela1[[#This Row],[Data de Validade]])</f>
        <v>2027</v>
      </c>
      <c r="I1990" s="89">
        <f>MONTH(Tabela1[[#This Row],[Data de Validade]])</f>
        <v>9</v>
      </c>
      <c r="J1990" s="101">
        <v>48421</v>
      </c>
      <c r="K1990" s="87" t="s">
        <v>9</v>
      </c>
      <c r="L1990" s="108"/>
      <c r="M1990" s="108"/>
      <c r="N1990" s="108" t="str">
        <v>H787H532</v>
      </c>
      <c r="O1990" s="108">
        <f t="shared" si="33"/>
        <v>1</v>
      </c>
      <c r="P1990" s="108"/>
      <c r="Q1990"/>
    </row>
    <row r="1991" spans="1:17" x14ac:dyDescent="0.25">
      <c r="A1991" s="89" t="s">
        <v>7174</v>
      </c>
      <c r="B1991" s="87" t="s">
        <v>7175</v>
      </c>
      <c r="C1991" s="87" t="s">
        <v>6</v>
      </c>
      <c r="D1991" s="87" t="str">
        <f>VLOOKUP(Tabela1[[#This Row],[Origem]], 'Perguntas 1 a 24'!$J$28:$K$34, 2, 0)</f>
        <v>Nordeste</v>
      </c>
      <c r="E1991" s="87" t="str">
        <f>Tabela1[[#This Row],[Descrição]]&amp;"-"&amp;Tabela1[[#This Row],[Código]]&amp;"/"&amp;Tabela1[[#This Row],[Origem]]</f>
        <v>Nugutila-H787H532/MA</v>
      </c>
      <c r="F1991" s="88">
        <v>46654</v>
      </c>
      <c r="G1991" s="88" t="str" cm="1">
        <f t="array" ref="G19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AND(F1991&gt;= DATE(2026,1,1), F1991&lt;= DATE(2028, 12, 31), J1991&gt;50000), "Pendente e Caro", AND(F1991&gt;= DATE(2026,1,1), F1991&lt;= DATE(2028, 12, 31), J1991&lt;=50000), "Pendente", F1991&gt;= DATE(2029,1,1), "Não prioeitário")</f>
        <v>Pendente e Caro</v>
      </c>
      <c r="H1991" s="89">
        <f>YEAR(Tabela1[[#This Row],[Data de Validade]])</f>
        <v>2027</v>
      </c>
      <c r="I1991" s="89">
        <f>MONTH(Tabela1[[#This Row],[Data de Validade]])</f>
        <v>9</v>
      </c>
      <c r="J1991" s="101">
        <v>80012</v>
      </c>
      <c r="K1991" s="87" t="s">
        <v>7</v>
      </c>
      <c r="L1991" s="108"/>
      <c r="M1991" s="108"/>
      <c r="N1991" s="108" t="str">
        <v>P535H661</v>
      </c>
      <c r="O1991" s="108">
        <f t="shared" si="33"/>
        <v>1</v>
      </c>
      <c r="P1991" s="108"/>
      <c r="Q1991"/>
    </row>
    <row r="1992" spans="1:17" x14ac:dyDescent="0.25">
      <c r="A1992" s="89" t="s">
        <v>10877</v>
      </c>
      <c r="B1992" s="87" t="s">
        <v>10878</v>
      </c>
      <c r="C1992" s="87" t="s">
        <v>12</v>
      </c>
      <c r="D1992" s="87" t="str">
        <f>VLOOKUP(Tabela1[[#This Row],[Origem]], 'Perguntas 1 a 24'!$J$28:$K$34, 2, 0)</f>
        <v>Sudeste</v>
      </c>
      <c r="E1992" s="87" t="str">
        <f>Tabela1[[#This Row],[Descrição]]&amp;"-"&amp;Tabela1[[#This Row],[Código]]&amp;"/"&amp;Tabela1[[#This Row],[Origem]]</f>
        <v>Putedo-P535H661/RJ</v>
      </c>
      <c r="F1992" s="88">
        <v>46655</v>
      </c>
      <c r="G1992" s="88" t="str" cm="1">
        <f t="array" ref="G19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AND(F1992&gt;= DATE(2026,1,1), F1992&lt;= DATE(2028, 12, 31), J1992&gt;50000), "Pendente e Caro", AND(F1992&gt;= DATE(2026,1,1), F1992&lt;= DATE(2028, 12, 31), J1992&lt;=50000), "Pendente", F1992&gt;= DATE(2029,1,1), "Não prioeitário")</f>
        <v>Pendente e Caro</v>
      </c>
      <c r="H1992" s="89">
        <f>YEAR(Tabela1[[#This Row],[Data de Validade]])</f>
        <v>2027</v>
      </c>
      <c r="I1992" s="89">
        <f>MONTH(Tabela1[[#This Row],[Data de Validade]])</f>
        <v>9</v>
      </c>
      <c r="J1992" s="101">
        <v>60877</v>
      </c>
      <c r="K1992" s="87" t="s">
        <v>11</v>
      </c>
      <c r="L1992" s="108"/>
      <c r="M1992" s="108"/>
      <c r="N1992" s="108" t="str">
        <v>P655P211</v>
      </c>
      <c r="O1992" s="108">
        <f t="shared" si="33"/>
        <v>1</v>
      </c>
      <c r="P1992" s="108"/>
      <c r="Q1992"/>
    </row>
    <row r="1993" spans="1:17" x14ac:dyDescent="0.25">
      <c r="A1993" s="89" t="s">
        <v>10767</v>
      </c>
      <c r="B1993" s="87" t="s">
        <v>10768</v>
      </c>
      <c r="C1993" s="87" t="s">
        <v>6</v>
      </c>
      <c r="D1993" s="87" t="str">
        <f>VLOOKUP(Tabela1[[#This Row],[Origem]], 'Perguntas 1 a 24'!$J$28:$K$34, 2, 0)</f>
        <v>Nordeste</v>
      </c>
      <c r="E1993" s="87" t="str">
        <f>Tabela1[[#This Row],[Descrição]]&amp;"-"&amp;Tabela1[[#This Row],[Código]]&amp;"/"&amp;Tabela1[[#This Row],[Origem]]</f>
        <v>Pipiromi-P655P211/MA</v>
      </c>
      <c r="F1993" s="88">
        <v>46656</v>
      </c>
      <c r="G1993" s="88" t="str" cm="1">
        <f t="array" ref="G19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AND(F1993&gt;= DATE(2026,1,1), F1993&lt;= DATE(2028, 12, 31), J1993&gt;50000), "Pendente e Caro", AND(F1993&gt;= DATE(2026,1,1), F1993&lt;= DATE(2028, 12, 31), J1993&lt;=50000), "Pendente", F1993&gt;= DATE(2029,1,1), "Não prioeitário")</f>
        <v>Pendente e Caro</v>
      </c>
      <c r="H1993" s="89">
        <f>YEAR(Tabela1[[#This Row],[Data de Validade]])</f>
        <v>2027</v>
      </c>
      <c r="I1993" s="89">
        <f>MONTH(Tabela1[[#This Row],[Data de Validade]])</f>
        <v>9</v>
      </c>
      <c r="J1993" s="101">
        <v>105334</v>
      </c>
      <c r="K1993" s="87" t="s">
        <v>11</v>
      </c>
      <c r="L1993" s="108"/>
      <c r="M1993" s="108"/>
      <c r="N1993" s="108" t="str">
        <v>P991H576</v>
      </c>
      <c r="O1993" s="108">
        <f t="shared" si="33"/>
        <v>1</v>
      </c>
      <c r="P1993" s="108"/>
      <c r="Q1993"/>
    </row>
    <row r="1994" spans="1:17" x14ac:dyDescent="0.25">
      <c r="A1994" s="89" t="s">
        <v>7568</v>
      </c>
      <c r="B1994" s="87" t="s">
        <v>7569</v>
      </c>
      <c r="C1994" s="87" t="s">
        <v>16</v>
      </c>
      <c r="D1994" s="87" t="str">
        <f>VLOOKUP(Tabela1[[#This Row],[Origem]], 'Perguntas 1 a 24'!$J$28:$K$34, 2, 0)</f>
        <v>Sudeste</v>
      </c>
      <c r="E1994" s="87" t="str">
        <f>Tabela1[[#This Row],[Descrição]]&amp;"-"&amp;Tabela1[[#This Row],[Código]]&amp;"/"&amp;Tabela1[[#This Row],[Origem]]</f>
        <v>Lugocolodu-P991H576/MG</v>
      </c>
      <c r="F1994" s="88">
        <v>46656</v>
      </c>
      <c r="G1994" s="88" t="str" cm="1">
        <f t="array" ref="G19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AND(F1994&gt;= DATE(2026,1,1), F1994&lt;= DATE(2028, 12, 31), J1994&gt;50000), "Pendente e Caro", AND(F1994&gt;= DATE(2026,1,1), F1994&lt;= DATE(2028, 12, 31), J1994&lt;=50000), "Pendente", F1994&gt;= DATE(2029,1,1), "Não prioeitário")</f>
        <v>Pendente</v>
      </c>
      <c r="H1994" s="89">
        <f>YEAR(Tabela1[[#This Row],[Data de Validade]])</f>
        <v>2027</v>
      </c>
      <c r="I1994" s="89">
        <f>MONTH(Tabela1[[#This Row],[Data de Validade]])</f>
        <v>9</v>
      </c>
      <c r="J1994" s="101">
        <v>28221</v>
      </c>
      <c r="K1994" s="87" t="s">
        <v>9</v>
      </c>
      <c r="L1994" s="108"/>
      <c r="M1994" s="108"/>
      <c r="N1994" s="108" t="str">
        <v>H541P268</v>
      </c>
      <c r="O1994" s="108">
        <f t="shared" si="33"/>
        <v>1</v>
      </c>
      <c r="P1994" s="108"/>
      <c r="Q1994"/>
    </row>
    <row r="1995" spans="1:17" x14ac:dyDescent="0.25">
      <c r="A1995" s="89" t="s">
        <v>9695</v>
      </c>
      <c r="B1995" s="87" t="s">
        <v>9696</v>
      </c>
      <c r="C1995" s="87" t="s">
        <v>8</v>
      </c>
      <c r="D1995" s="87" t="str">
        <f>VLOOKUP(Tabela1[[#This Row],[Origem]], 'Perguntas 1 a 24'!$J$28:$K$34, 2, 0)</f>
        <v>Nordeste</v>
      </c>
      <c r="E1995" s="87" t="str">
        <f>Tabela1[[#This Row],[Descrição]]&amp;"-"&amp;Tabela1[[#This Row],[Código]]&amp;"/"&amp;Tabela1[[#This Row],[Origem]]</f>
        <v>Tedunalevo-H541P268/AL</v>
      </c>
      <c r="F1995" s="88">
        <v>46657</v>
      </c>
      <c r="G1995" s="88" t="str" cm="1">
        <f t="array" ref="G19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AND(F1995&gt;= DATE(2026,1,1), F1995&lt;= DATE(2028, 12, 31), J1995&gt;50000), "Pendente e Caro", AND(F1995&gt;= DATE(2026,1,1), F1995&lt;= DATE(2028, 12, 31), J1995&lt;=50000), "Pendente", F1995&gt;= DATE(2029,1,1), "Não prioeitário")</f>
        <v>Pendente e Caro</v>
      </c>
      <c r="H1995" s="89">
        <f>YEAR(Tabela1[[#This Row],[Data de Validade]])</f>
        <v>2027</v>
      </c>
      <c r="I1995" s="89">
        <f>MONTH(Tabela1[[#This Row],[Data de Validade]])</f>
        <v>9</v>
      </c>
      <c r="J1995" s="101">
        <v>75898</v>
      </c>
      <c r="K1995" s="87" t="s">
        <v>11</v>
      </c>
      <c r="L1995" s="108"/>
      <c r="M1995" s="108"/>
      <c r="N1995" s="108" t="str">
        <v>H163P689</v>
      </c>
      <c r="O1995" s="108">
        <f t="shared" si="33"/>
        <v>1</v>
      </c>
      <c r="P1995" s="108"/>
      <c r="Q1995"/>
    </row>
    <row r="1996" spans="1:17" x14ac:dyDescent="0.25">
      <c r="A1996" s="89" t="s">
        <v>6102</v>
      </c>
      <c r="B1996" s="87" t="s">
        <v>6103</v>
      </c>
      <c r="C1996" s="87" t="s">
        <v>13</v>
      </c>
      <c r="D1996" s="87" t="str">
        <f>VLOOKUP(Tabela1[[#This Row],[Origem]], 'Perguntas 1 a 24'!$J$28:$K$34, 2, 0)</f>
        <v>Sudeste</v>
      </c>
      <c r="E1996" s="87" t="str">
        <f>Tabela1[[#This Row],[Descrição]]&amp;"-"&amp;Tabela1[[#This Row],[Código]]&amp;"/"&amp;Tabela1[[#This Row],[Origem]]</f>
        <v>Femelanapo-H163P689/SP</v>
      </c>
      <c r="F1996" s="88">
        <v>46657</v>
      </c>
      <c r="G1996" s="88" t="str" cm="1">
        <f t="array" ref="G19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AND(F1996&gt;= DATE(2026,1,1), F1996&lt;= DATE(2028, 12, 31), J1996&gt;50000), "Pendente e Caro", AND(F1996&gt;= DATE(2026,1,1), F1996&lt;= DATE(2028, 12, 31), J1996&lt;=50000), "Pendente", F1996&gt;= DATE(2029,1,1), "Não prioeitário")</f>
        <v>Pendente</v>
      </c>
      <c r="H1996" s="89">
        <f>YEAR(Tabela1[[#This Row],[Data de Validade]])</f>
        <v>2027</v>
      </c>
      <c r="I1996" s="89">
        <f>MONTH(Tabela1[[#This Row],[Data de Validade]])</f>
        <v>9</v>
      </c>
      <c r="J1996" s="101">
        <v>39714</v>
      </c>
      <c r="K1996" s="87" t="s">
        <v>11</v>
      </c>
      <c r="L1996" s="108"/>
      <c r="M1996" s="108"/>
      <c r="N1996" s="108" t="str">
        <v>H974H915</v>
      </c>
      <c r="O1996" s="108">
        <f t="shared" si="33"/>
        <v>1</v>
      </c>
      <c r="P1996" s="108"/>
      <c r="Q1996"/>
    </row>
    <row r="1997" spans="1:17" x14ac:dyDescent="0.25">
      <c r="A1997" s="89" t="s">
        <v>7838</v>
      </c>
      <c r="B1997" s="87" t="s">
        <v>7839</v>
      </c>
      <c r="C1997" s="87" t="s">
        <v>10</v>
      </c>
      <c r="D1997" s="87" t="str">
        <f>VLOOKUP(Tabela1[[#This Row],[Origem]], 'Perguntas 1 a 24'!$J$28:$K$34, 2, 0)</f>
        <v>Centro-Oeste</v>
      </c>
      <c r="E1997" s="87" t="str">
        <f>Tabela1[[#This Row],[Descrição]]&amp;"-"&amp;Tabela1[[#This Row],[Código]]&amp;"/"&amp;Tabela1[[#This Row],[Origem]]</f>
        <v>Pecunanuni-H974H915/GO</v>
      </c>
      <c r="F1997" s="88">
        <v>46659</v>
      </c>
      <c r="G1997" s="88" t="str" cm="1">
        <f t="array" ref="G19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AND(F1997&gt;= DATE(2026,1,1), F1997&lt;= DATE(2028, 12, 31), J1997&gt;50000), "Pendente e Caro", AND(F1997&gt;= DATE(2026,1,1), F1997&lt;= DATE(2028, 12, 31), J1997&lt;=50000), "Pendente", F1997&gt;= DATE(2029,1,1), "Não prioeitário")</f>
        <v>Pendente e Caro</v>
      </c>
      <c r="H1997" s="89">
        <f>YEAR(Tabela1[[#This Row],[Data de Validade]])</f>
        <v>2027</v>
      </c>
      <c r="I1997" s="89">
        <f>MONTH(Tabela1[[#This Row],[Data de Validade]])</f>
        <v>9</v>
      </c>
      <c r="J1997" s="101">
        <v>92606</v>
      </c>
      <c r="K1997" s="87" t="s">
        <v>14</v>
      </c>
      <c r="L1997" s="108"/>
      <c r="M1997" s="108"/>
      <c r="N1997" s="108" t="str">
        <v>H171P269</v>
      </c>
      <c r="O1997" s="108">
        <f t="shared" si="33"/>
        <v>1</v>
      </c>
      <c r="P1997" s="108"/>
      <c r="Q1997"/>
    </row>
    <row r="1998" spans="1:17" x14ac:dyDescent="0.25">
      <c r="A1998" s="89" t="s">
        <v>10873</v>
      </c>
      <c r="B1998" s="87" t="s">
        <v>10874</v>
      </c>
      <c r="C1998" s="87" t="s">
        <v>13</v>
      </c>
      <c r="D1998" s="87" t="str">
        <f>VLOOKUP(Tabela1[[#This Row],[Origem]], 'Perguntas 1 a 24'!$J$28:$K$34, 2, 0)</f>
        <v>Sudeste</v>
      </c>
      <c r="E1998" s="87" t="str">
        <f>Tabela1[[#This Row],[Descrição]]&amp;"-"&amp;Tabela1[[#This Row],[Código]]&amp;"/"&amp;Tabela1[[#This Row],[Origem]]</f>
        <v>Pemeca-H171P269/SP</v>
      </c>
      <c r="F1998" s="88">
        <v>46659</v>
      </c>
      <c r="G1998" s="88" t="str" cm="1">
        <f t="array" ref="G19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AND(F1998&gt;= DATE(2026,1,1), F1998&lt;= DATE(2028, 12, 31), J1998&gt;50000), "Pendente e Caro", AND(F1998&gt;= DATE(2026,1,1), F1998&lt;= DATE(2028, 12, 31), J1998&lt;=50000), "Pendente", F1998&gt;= DATE(2029,1,1), "Não prioeitário")</f>
        <v>Pendente e Caro</v>
      </c>
      <c r="H1998" s="89">
        <f>YEAR(Tabela1[[#This Row],[Data de Validade]])</f>
        <v>2027</v>
      </c>
      <c r="I1998" s="89">
        <f>MONTH(Tabela1[[#This Row],[Data de Validade]])</f>
        <v>9</v>
      </c>
      <c r="J1998" s="101">
        <v>64657</v>
      </c>
      <c r="K1998" s="87" t="s">
        <v>11</v>
      </c>
      <c r="L1998" s="108"/>
      <c r="M1998" s="108"/>
      <c r="N1998" s="108" t="str">
        <v>H789H461</v>
      </c>
      <c r="O1998" s="108">
        <f t="shared" si="33"/>
        <v>1</v>
      </c>
      <c r="P1998" s="108"/>
      <c r="Q1998"/>
    </row>
    <row r="1999" spans="1:17" x14ac:dyDescent="0.25">
      <c r="A1999" s="89" t="s">
        <v>10335</v>
      </c>
      <c r="B1999" s="87" t="s">
        <v>10336</v>
      </c>
      <c r="C1999" s="87" t="s">
        <v>15</v>
      </c>
      <c r="D1999" s="87" t="str">
        <f>VLOOKUP(Tabela1[[#This Row],[Origem]], 'Perguntas 1 a 24'!$J$28:$K$34, 2, 0)</f>
        <v>Sudeste</v>
      </c>
      <c r="E1999" s="87" t="str">
        <f>Tabela1[[#This Row],[Descrição]]&amp;"-"&amp;Tabela1[[#This Row],[Código]]&amp;"/"&amp;Tabela1[[#This Row],[Origem]]</f>
        <v>Fagonitino-H789H461/ES</v>
      </c>
      <c r="F1999" s="88">
        <v>46659</v>
      </c>
      <c r="G1999" s="88" t="str" cm="1">
        <f t="array" ref="G19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AND(F1999&gt;= DATE(2026,1,1), F1999&lt;= DATE(2028, 12, 31), J1999&gt;50000), "Pendente e Caro", AND(F1999&gt;= DATE(2026,1,1), F1999&lt;= DATE(2028, 12, 31), J1999&lt;=50000), "Pendente", F1999&gt;= DATE(2029,1,1), "Não prioeitário")</f>
        <v>Pendente</v>
      </c>
      <c r="H1999" s="89">
        <f>YEAR(Tabela1[[#This Row],[Data de Validade]])</f>
        <v>2027</v>
      </c>
      <c r="I1999" s="89">
        <f>MONTH(Tabela1[[#This Row],[Data de Validade]])</f>
        <v>9</v>
      </c>
      <c r="J1999" s="101">
        <v>41311</v>
      </c>
      <c r="K1999" s="87" t="s">
        <v>9</v>
      </c>
      <c r="L1999" s="108"/>
      <c r="M1999" s="108"/>
      <c r="N1999" s="108" t="str">
        <v>P946H478</v>
      </c>
      <c r="O1999" s="108">
        <f t="shared" si="33"/>
        <v>1</v>
      </c>
      <c r="P1999" s="108"/>
      <c r="Q1999"/>
    </row>
    <row r="2000" spans="1:17" x14ac:dyDescent="0.25">
      <c r="A2000" s="89" t="s">
        <v>4415</v>
      </c>
      <c r="B2000" s="87" t="s">
        <v>4416</v>
      </c>
      <c r="C2000" s="87" t="s">
        <v>16</v>
      </c>
      <c r="D2000" s="87" t="str">
        <f>VLOOKUP(Tabela1[[#This Row],[Origem]], 'Perguntas 1 a 24'!$J$28:$K$34, 2, 0)</f>
        <v>Sudeste</v>
      </c>
      <c r="E2000" s="87" t="str">
        <f>Tabela1[[#This Row],[Descrição]]&amp;"-"&amp;Tabela1[[#This Row],[Código]]&amp;"/"&amp;Tabela1[[#This Row],[Origem]]</f>
        <v>Rupadu-P946H478/MG</v>
      </c>
      <c r="F2000" s="88">
        <v>46660</v>
      </c>
      <c r="G2000" s="88" t="str" cm="1">
        <f t="array" ref="G20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AND(F2000&gt;= DATE(2026,1,1), F2000&lt;= DATE(2028, 12, 31), J2000&gt;50000), "Pendente e Caro", AND(F2000&gt;= DATE(2026,1,1), F2000&lt;= DATE(2028, 12, 31), J2000&lt;=50000), "Pendente", F2000&gt;= DATE(2029,1,1), "Não prioeitário")</f>
        <v>Pendente e Caro</v>
      </c>
      <c r="H2000" s="89">
        <f>YEAR(Tabela1[[#This Row],[Data de Validade]])</f>
        <v>2027</v>
      </c>
      <c r="I2000" s="89">
        <f>MONTH(Tabela1[[#This Row],[Data de Validade]])</f>
        <v>9</v>
      </c>
      <c r="J2000" s="101">
        <v>89463</v>
      </c>
      <c r="K2000" s="87" t="s">
        <v>7</v>
      </c>
      <c r="L2000" s="108"/>
      <c r="M2000" s="108"/>
      <c r="N2000" s="108" t="str">
        <v>H894H534</v>
      </c>
      <c r="O2000" s="108">
        <f t="shared" si="33"/>
        <v>1</v>
      </c>
      <c r="P2000" s="108"/>
      <c r="Q2000"/>
    </row>
    <row r="2001" spans="1:17" x14ac:dyDescent="0.25">
      <c r="A2001" s="89" t="s">
        <v>9531</v>
      </c>
      <c r="B2001" s="87" t="s">
        <v>9532</v>
      </c>
      <c r="C2001" s="87" t="s">
        <v>16</v>
      </c>
      <c r="D2001" s="87" t="str">
        <f>VLOOKUP(Tabela1[[#This Row],[Origem]], 'Perguntas 1 a 24'!$J$28:$K$34, 2, 0)</f>
        <v>Sudeste</v>
      </c>
      <c r="E2001" s="87" t="str">
        <f>Tabela1[[#This Row],[Descrição]]&amp;"-"&amp;Tabela1[[#This Row],[Código]]&amp;"/"&amp;Tabela1[[#This Row],[Origem]]</f>
        <v>Ginefupami-H894H534/MG</v>
      </c>
      <c r="F2001" s="88">
        <v>46661</v>
      </c>
      <c r="G2001" s="88" t="str" cm="1">
        <f t="array" ref="G20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AND(F2001&gt;= DATE(2026,1,1), F2001&lt;= DATE(2028, 12, 31), J2001&gt;50000), "Pendente e Caro", AND(F2001&gt;= DATE(2026,1,1), F2001&lt;= DATE(2028, 12, 31), J2001&lt;=50000), "Pendente", F2001&gt;= DATE(2029,1,1), "Não prioeitário")</f>
        <v>Pendente</v>
      </c>
      <c r="H2001" s="89">
        <f>YEAR(Tabela1[[#This Row],[Data de Validade]])</f>
        <v>2027</v>
      </c>
      <c r="I2001" s="89">
        <f>MONTH(Tabela1[[#This Row],[Data de Validade]])</f>
        <v>10</v>
      </c>
      <c r="J2001" s="101">
        <v>34850</v>
      </c>
      <c r="K2001" s="87" t="s">
        <v>9</v>
      </c>
      <c r="L2001" s="108"/>
      <c r="M2001" s="108"/>
      <c r="N2001" s="108" t="str">
        <v>H932H746</v>
      </c>
      <c r="O2001" s="108">
        <f t="shared" si="33"/>
        <v>1</v>
      </c>
      <c r="P2001" s="108"/>
      <c r="Q2001"/>
    </row>
    <row r="2002" spans="1:17" x14ac:dyDescent="0.25">
      <c r="A2002" s="89" t="s">
        <v>7288</v>
      </c>
      <c r="B2002" s="87" t="s">
        <v>7289</v>
      </c>
      <c r="C2002" s="87" t="s">
        <v>6</v>
      </c>
      <c r="D2002" s="87" t="str">
        <f>VLOOKUP(Tabela1[[#This Row],[Origem]], 'Perguntas 1 a 24'!$J$28:$K$34, 2, 0)</f>
        <v>Nordeste</v>
      </c>
      <c r="E2002" s="87" t="str">
        <f>Tabela1[[#This Row],[Descrição]]&amp;"-"&amp;Tabela1[[#This Row],[Código]]&amp;"/"&amp;Tabela1[[#This Row],[Origem]]</f>
        <v>Papogu-H932H746/MA</v>
      </c>
      <c r="F2002" s="88">
        <v>46664</v>
      </c>
      <c r="G2002" s="88" t="str" cm="1">
        <f t="array" ref="G20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AND(F2002&gt;= DATE(2026,1,1), F2002&lt;= DATE(2028, 12, 31), J2002&gt;50000), "Pendente e Caro", AND(F2002&gt;= DATE(2026,1,1), F2002&lt;= DATE(2028, 12, 31), J2002&lt;=50000), "Pendente", F2002&gt;= DATE(2029,1,1), "Não prioeitário")</f>
        <v>Pendente</v>
      </c>
      <c r="H2002" s="89">
        <f>YEAR(Tabela1[[#This Row],[Data de Validade]])</f>
        <v>2027</v>
      </c>
      <c r="I2002" s="89">
        <f>MONTH(Tabela1[[#This Row],[Data de Validade]])</f>
        <v>10</v>
      </c>
      <c r="J2002" s="101">
        <v>28044</v>
      </c>
      <c r="K2002" s="87" t="s">
        <v>7</v>
      </c>
      <c r="L2002" s="108"/>
      <c r="M2002" s="108"/>
      <c r="N2002" s="108" t="str">
        <v>P467P367</v>
      </c>
      <c r="O2002" s="108">
        <f t="shared" si="33"/>
        <v>1</v>
      </c>
      <c r="P2002" s="108"/>
      <c r="Q2002"/>
    </row>
    <row r="2003" spans="1:17" x14ac:dyDescent="0.25">
      <c r="A2003" s="89" t="s">
        <v>5914</v>
      </c>
      <c r="B2003" s="87" t="s">
        <v>5915</v>
      </c>
      <c r="C2003" s="87" t="s">
        <v>10</v>
      </c>
      <c r="D2003" s="87" t="str">
        <f>VLOOKUP(Tabela1[[#This Row],[Origem]], 'Perguntas 1 a 24'!$J$28:$K$34, 2, 0)</f>
        <v>Centro-Oeste</v>
      </c>
      <c r="E2003" s="87" t="str">
        <f>Tabela1[[#This Row],[Descrição]]&amp;"-"&amp;Tabela1[[#This Row],[Código]]&amp;"/"&amp;Tabela1[[#This Row],[Origem]]</f>
        <v>Recunavi-P467P367/GO</v>
      </c>
      <c r="F2003" s="88">
        <v>46665</v>
      </c>
      <c r="G2003" s="88" t="str" cm="1">
        <f t="array" ref="G20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AND(F2003&gt;= DATE(2026,1,1), F2003&lt;= DATE(2028, 12, 31), J2003&gt;50000), "Pendente e Caro", AND(F2003&gt;= DATE(2026,1,1), F2003&lt;= DATE(2028, 12, 31), J2003&lt;=50000), "Pendente", F2003&gt;= DATE(2029,1,1), "Não prioeitário")</f>
        <v>Pendente e Caro</v>
      </c>
      <c r="H2003" s="89">
        <f>YEAR(Tabela1[[#This Row],[Data de Validade]])</f>
        <v>2027</v>
      </c>
      <c r="I2003" s="89">
        <f>MONTH(Tabela1[[#This Row],[Data de Validade]])</f>
        <v>10</v>
      </c>
      <c r="J2003" s="101">
        <v>68495</v>
      </c>
      <c r="K2003" s="87" t="s">
        <v>7</v>
      </c>
      <c r="L2003" s="108"/>
      <c r="M2003" s="108"/>
      <c r="N2003" s="108" t="str">
        <v>P786H239</v>
      </c>
      <c r="O2003" s="108">
        <f t="shared" si="33"/>
        <v>1</v>
      </c>
      <c r="P2003" s="108"/>
      <c r="Q2003"/>
    </row>
    <row r="2004" spans="1:17" x14ac:dyDescent="0.25">
      <c r="A2004" s="89" t="s">
        <v>4405</v>
      </c>
      <c r="B2004" s="87" t="s">
        <v>4406</v>
      </c>
      <c r="C2004" s="87" t="s">
        <v>8</v>
      </c>
      <c r="D2004" s="87" t="str">
        <f>VLOOKUP(Tabela1[[#This Row],[Origem]], 'Perguntas 1 a 24'!$J$28:$K$34, 2, 0)</f>
        <v>Nordeste</v>
      </c>
      <c r="E2004" s="87" t="str">
        <f>Tabela1[[#This Row],[Descrição]]&amp;"-"&amp;Tabela1[[#This Row],[Código]]&amp;"/"&amp;Tabela1[[#This Row],[Origem]]</f>
        <v>Letame-P786H239/AL</v>
      </c>
      <c r="F2004" s="88">
        <v>46665</v>
      </c>
      <c r="G2004" s="88" t="str" cm="1">
        <f t="array" ref="G20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AND(F2004&gt;= DATE(2026,1,1), F2004&lt;= DATE(2028, 12, 31), J2004&gt;50000), "Pendente e Caro", AND(F2004&gt;= DATE(2026,1,1), F2004&lt;= DATE(2028, 12, 31), J2004&lt;=50000), "Pendente", F2004&gt;= DATE(2029,1,1), "Não prioeitário")</f>
        <v>Pendente</v>
      </c>
      <c r="H2004" s="89">
        <f>YEAR(Tabela1[[#This Row],[Data de Validade]])</f>
        <v>2027</v>
      </c>
      <c r="I2004" s="89">
        <f>MONTH(Tabela1[[#This Row],[Data de Validade]])</f>
        <v>10</v>
      </c>
      <c r="J2004" s="101">
        <v>27643</v>
      </c>
      <c r="K2004" s="87" t="s">
        <v>9</v>
      </c>
      <c r="L2004" s="108"/>
      <c r="M2004" s="108"/>
      <c r="N2004" s="108" t="str">
        <v>P726H599</v>
      </c>
      <c r="O2004" s="108">
        <f t="shared" si="33"/>
        <v>1</v>
      </c>
      <c r="P2004" s="108"/>
      <c r="Q2004"/>
    </row>
    <row r="2005" spans="1:17" x14ac:dyDescent="0.25">
      <c r="A2005" s="89" t="s">
        <v>7534</v>
      </c>
      <c r="B2005" s="87" t="s">
        <v>7535</v>
      </c>
      <c r="C2005" s="87" t="s">
        <v>12</v>
      </c>
      <c r="D2005" s="87" t="str">
        <f>VLOOKUP(Tabela1[[#This Row],[Origem]], 'Perguntas 1 a 24'!$J$28:$K$34, 2, 0)</f>
        <v>Sudeste</v>
      </c>
      <c r="E2005" s="87" t="str">
        <f>Tabela1[[#This Row],[Descrição]]&amp;"-"&amp;Tabela1[[#This Row],[Código]]&amp;"/"&amp;Tabela1[[#This Row],[Origem]]</f>
        <v>Potarere-P726H599/RJ</v>
      </c>
      <c r="F2005" s="88">
        <v>46666</v>
      </c>
      <c r="G2005" s="88" t="str" cm="1">
        <f t="array" ref="G20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AND(F2005&gt;= DATE(2026,1,1), F2005&lt;= DATE(2028, 12, 31), J2005&gt;50000), "Pendente e Caro", AND(F2005&gt;= DATE(2026,1,1), F2005&lt;= DATE(2028, 12, 31), J2005&lt;=50000), "Pendente", F2005&gt;= DATE(2029,1,1), "Não prioeitário")</f>
        <v>Pendente e Caro</v>
      </c>
      <c r="H2005" s="89">
        <f>YEAR(Tabela1[[#This Row],[Data de Validade]])</f>
        <v>2027</v>
      </c>
      <c r="I2005" s="89">
        <f>MONTH(Tabela1[[#This Row],[Data de Validade]])</f>
        <v>10</v>
      </c>
      <c r="J2005" s="101">
        <v>54302</v>
      </c>
      <c r="K2005" s="87" t="s">
        <v>9</v>
      </c>
      <c r="L2005" s="108"/>
      <c r="M2005" s="108"/>
      <c r="N2005" s="108" t="str">
        <v>P982P825</v>
      </c>
      <c r="O2005" s="108">
        <f t="shared" si="33"/>
        <v>1</v>
      </c>
      <c r="P2005" s="108"/>
      <c r="Q2005"/>
    </row>
    <row r="2006" spans="1:17" x14ac:dyDescent="0.25">
      <c r="A2006" s="89" t="s">
        <v>7178</v>
      </c>
      <c r="B2006" s="87" t="s">
        <v>7179</v>
      </c>
      <c r="C2006" s="87" t="s">
        <v>15</v>
      </c>
      <c r="D2006" s="87" t="str">
        <f>VLOOKUP(Tabela1[[#This Row],[Origem]], 'Perguntas 1 a 24'!$J$28:$K$34, 2, 0)</f>
        <v>Sudeste</v>
      </c>
      <c r="E2006" s="87" t="str">
        <f>Tabela1[[#This Row],[Descrição]]&amp;"-"&amp;Tabela1[[#This Row],[Código]]&amp;"/"&amp;Tabela1[[#This Row],[Origem]]</f>
        <v>Niririvi-P982P825/ES</v>
      </c>
      <c r="F2006" s="88">
        <v>46666</v>
      </c>
      <c r="G2006" s="88" t="str" cm="1">
        <f t="array" ref="G20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AND(F2006&gt;= DATE(2026,1,1), F2006&lt;= DATE(2028, 12, 31), J2006&gt;50000), "Pendente e Caro", AND(F2006&gt;= DATE(2026,1,1), F2006&lt;= DATE(2028, 12, 31), J2006&lt;=50000), "Pendente", F2006&gt;= DATE(2029,1,1), "Não prioeitário")</f>
        <v>Pendente</v>
      </c>
      <c r="H2006" s="89">
        <f>YEAR(Tabela1[[#This Row],[Data de Validade]])</f>
        <v>2027</v>
      </c>
      <c r="I2006" s="89">
        <f>MONTH(Tabela1[[#This Row],[Data de Validade]])</f>
        <v>10</v>
      </c>
      <c r="J2006" s="101">
        <v>23344</v>
      </c>
      <c r="K2006" s="87" t="s">
        <v>9</v>
      </c>
      <c r="L2006" s="108"/>
      <c r="M2006" s="108"/>
      <c r="N2006" s="108" t="str">
        <v>H763P748</v>
      </c>
      <c r="O2006" s="108">
        <f t="shared" si="33"/>
        <v>1</v>
      </c>
      <c r="P2006" s="108"/>
      <c r="Q2006"/>
    </row>
    <row r="2007" spans="1:17" x14ac:dyDescent="0.25">
      <c r="A2007" s="89" t="s">
        <v>6416</v>
      </c>
      <c r="B2007" s="87" t="s">
        <v>6417</v>
      </c>
      <c r="C2007" s="87" t="s">
        <v>6</v>
      </c>
      <c r="D2007" s="87" t="str">
        <f>VLOOKUP(Tabela1[[#This Row],[Origem]], 'Perguntas 1 a 24'!$J$28:$K$34, 2, 0)</f>
        <v>Nordeste</v>
      </c>
      <c r="E2007" s="87" t="str">
        <f>Tabela1[[#This Row],[Descrição]]&amp;"-"&amp;Tabela1[[#This Row],[Código]]&amp;"/"&amp;Tabela1[[#This Row],[Origem]]</f>
        <v>Rapoma-H763P748/MA</v>
      </c>
      <c r="F2007" s="88">
        <v>46667</v>
      </c>
      <c r="G2007" s="88" t="str" cm="1">
        <f t="array" ref="G20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AND(F2007&gt;= DATE(2026,1,1), F2007&lt;= DATE(2028, 12, 31), J2007&gt;50000), "Pendente e Caro", AND(F2007&gt;= DATE(2026,1,1), F2007&lt;= DATE(2028, 12, 31), J2007&lt;=50000), "Pendente", F2007&gt;= DATE(2029,1,1), "Não prioeitário")</f>
        <v>Pendente e Caro</v>
      </c>
      <c r="H2007" s="89">
        <f>YEAR(Tabela1[[#This Row],[Data de Validade]])</f>
        <v>2027</v>
      </c>
      <c r="I2007" s="89">
        <f>MONTH(Tabela1[[#This Row],[Data de Validade]])</f>
        <v>10</v>
      </c>
      <c r="J2007" s="101">
        <v>102541</v>
      </c>
      <c r="K2007" s="87" t="s">
        <v>7</v>
      </c>
      <c r="L2007" s="108"/>
      <c r="M2007" s="108"/>
      <c r="N2007" s="108" t="str">
        <v>H982P798</v>
      </c>
      <c r="O2007" s="108">
        <f t="shared" si="33"/>
        <v>1</v>
      </c>
      <c r="P2007" s="108"/>
      <c r="Q2007"/>
    </row>
    <row r="2008" spans="1:17" x14ac:dyDescent="0.25">
      <c r="A2008" s="89" t="s">
        <v>5106</v>
      </c>
      <c r="B2008" s="87" t="s">
        <v>5107</v>
      </c>
      <c r="C2008" s="87" t="s">
        <v>8</v>
      </c>
      <c r="D2008" s="87" t="str">
        <f>VLOOKUP(Tabela1[[#This Row],[Origem]], 'Perguntas 1 a 24'!$J$28:$K$34, 2, 0)</f>
        <v>Nordeste</v>
      </c>
      <c r="E2008" s="87" t="str">
        <f>Tabela1[[#This Row],[Descrição]]&amp;"-"&amp;Tabela1[[#This Row],[Código]]&amp;"/"&amp;Tabela1[[#This Row],[Origem]]</f>
        <v>Nolocepeno-H982P798/AL</v>
      </c>
      <c r="F2008" s="88">
        <v>46668</v>
      </c>
      <c r="G2008" s="88" t="str" cm="1">
        <f t="array" ref="G20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AND(F2008&gt;= DATE(2026,1,1), F2008&lt;= DATE(2028, 12, 31), J2008&gt;50000), "Pendente e Caro", AND(F2008&gt;= DATE(2026,1,1), F2008&lt;= DATE(2028, 12, 31), J2008&lt;=50000), "Pendente", F2008&gt;= DATE(2029,1,1), "Não prioeitário")</f>
        <v>Pendente e Caro</v>
      </c>
      <c r="H2008" s="89">
        <f>YEAR(Tabela1[[#This Row],[Data de Validade]])</f>
        <v>2027</v>
      </c>
      <c r="I2008" s="89">
        <f>MONTH(Tabela1[[#This Row],[Data de Validade]])</f>
        <v>10</v>
      </c>
      <c r="J2008" s="101">
        <v>65274</v>
      </c>
      <c r="K2008" s="87" t="s">
        <v>7</v>
      </c>
      <c r="L2008" s="108"/>
      <c r="M2008" s="108"/>
      <c r="N2008" s="108" t="str">
        <v>P431P646</v>
      </c>
      <c r="O2008" s="108">
        <f t="shared" si="33"/>
        <v>1</v>
      </c>
      <c r="P2008" s="108"/>
      <c r="Q2008"/>
    </row>
    <row r="2009" spans="1:17" x14ac:dyDescent="0.25">
      <c r="A2009" s="89" t="s">
        <v>8332</v>
      </c>
      <c r="B2009" s="87" t="s">
        <v>8333</v>
      </c>
      <c r="C2009" s="87" t="s">
        <v>16</v>
      </c>
      <c r="D2009" s="87" t="str">
        <f>VLOOKUP(Tabela1[[#This Row],[Origem]], 'Perguntas 1 a 24'!$J$28:$K$34, 2, 0)</f>
        <v>Sudeste</v>
      </c>
      <c r="E2009" s="87" t="str">
        <f>Tabela1[[#This Row],[Descrição]]&amp;"-"&amp;Tabela1[[#This Row],[Código]]&amp;"/"&amp;Tabela1[[#This Row],[Origem]]</f>
        <v>Gumega-P431P646/MG</v>
      </c>
      <c r="F2009" s="88">
        <v>46669</v>
      </c>
      <c r="G2009" s="88" t="str" cm="1">
        <f t="array" ref="G20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AND(F2009&gt;= DATE(2026,1,1), F2009&lt;= DATE(2028, 12, 31), J2009&gt;50000), "Pendente e Caro", AND(F2009&gt;= DATE(2026,1,1), F2009&lt;= DATE(2028, 12, 31), J2009&lt;=50000), "Pendente", F2009&gt;= DATE(2029,1,1), "Não prioeitário")</f>
        <v>Pendente</v>
      </c>
      <c r="H2009" s="89">
        <f>YEAR(Tabela1[[#This Row],[Data de Validade]])</f>
        <v>2027</v>
      </c>
      <c r="I2009" s="89">
        <f>MONTH(Tabela1[[#This Row],[Data de Validade]])</f>
        <v>10</v>
      </c>
      <c r="J2009" s="101">
        <v>36957</v>
      </c>
      <c r="K2009" s="87" t="s">
        <v>9</v>
      </c>
      <c r="L2009" s="108"/>
      <c r="M2009" s="108"/>
      <c r="N2009" s="108" t="str">
        <v>H388H754</v>
      </c>
      <c r="O2009" s="108">
        <f t="shared" si="33"/>
        <v>1</v>
      </c>
      <c r="P2009" s="108"/>
      <c r="Q2009"/>
    </row>
    <row r="2010" spans="1:17" x14ac:dyDescent="0.25">
      <c r="A2010" s="89" t="s">
        <v>9607</v>
      </c>
      <c r="B2010" s="87" t="s">
        <v>9608</v>
      </c>
      <c r="C2010" s="87" t="s">
        <v>10</v>
      </c>
      <c r="D2010" s="87" t="str">
        <f>VLOOKUP(Tabela1[[#This Row],[Origem]], 'Perguntas 1 a 24'!$J$28:$K$34, 2, 0)</f>
        <v>Centro-Oeste</v>
      </c>
      <c r="E2010" s="87" t="str">
        <f>Tabela1[[#This Row],[Descrição]]&amp;"-"&amp;Tabela1[[#This Row],[Código]]&amp;"/"&amp;Tabela1[[#This Row],[Origem]]</f>
        <v>Dopopi-H388H754/GO</v>
      </c>
      <c r="F2010" s="88">
        <v>46671</v>
      </c>
      <c r="G2010" s="88" t="str" cm="1">
        <f t="array" ref="G20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AND(F2010&gt;= DATE(2026,1,1), F2010&lt;= DATE(2028, 12, 31), J2010&gt;50000), "Pendente e Caro", AND(F2010&gt;= DATE(2026,1,1), F2010&lt;= DATE(2028, 12, 31), J2010&lt;=50000), "Pendente", F2010&gt;= DATE(2029,1,1), "Não prioeitário")</f>
        <v>Pendente</v>
      </c>
      <c r="H2010" s="89">
        <f>YEAR(Tabela1[[#This Row],[Data de Validade]])</f>
        <v>2027</v>
      </c>
      <c r="I2010" s="89">
        <f>MONTH(Tabela1[[#This Row],[Data de Validade]])</f>
        <v>10</v>
      </c>
      <c r="J2010" s="101">
        <v>47614</v>
      </c>
      <c r="K2010" s="87" t="s">
        <v>14</v>
      </c>
      <c r="L2010" s="108"/>
      <c r="M2010" s="108"/>
      <c r="N2010" s="108" t="str">
        <v>P449P777</v>
      </c>
      <c r="O2010" s="108">
        <f t="shared" si="33"/>
        <v>1</v>
      </c>
      <c r="P2010" s="108"/>
      <c r="Q2010"/>
    </row>
    <row r="2011" spans="1:17" x14ac:dyDescent="0.25">
      <c r="A2011" s="89" t="s">
        <v>5372</v>
      </c>
      <c r="B2011" s="87" t="s">
        <v>5373</v>
      </c>
      <c r="C2011" s="87" t="s">
        <v>13</v>
      </c>
      <c r="D2011" s="87" t="str">
        <f>VLOOKUP(Tabela1[[#This Row],[Origem]], 'Perguntas 1 a 24'!$J$28:$K$34, 2, 0)</f>
        <v>Sudeste</v>
      </c>
      <c r="E2011" s="87" t="str">
        <f>Tabela1[[#This Row],[Descrição]]&amp;"-"&amp;Tabela1[[#This Row],[Código]]&amp;"/"&amp;Tabela1[[#This Row],[Origem]]</f>
        <v>Natutupige-P449P777/SP</v>
      </c>
      <c r="F2011" s="88">
        <v>46672</v>
      </c>
      <c r="G2011" s="88" t="str" cm="1">
        <f t="array" ref="G20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AND(F2011&gt;= DATE(2026,1,1), F2011&lt;= DATE(2028, 12, 31), J2011&gt;50000), "Pendente e Caro", AND(F2011&gt;= DATE(2026,1,1), F2011&lt;= DATE(2028, 12, 31), J2011&lt;=50000), "Pendente", F2011&gt;= DATE(2029,1,1), "Não prioeitário")</f>
        <v>Pendente e Caro</v>
      </c>
      <c r="H2011" s="89">
        <f>YEAR(Tabela1[[#This Row],[Data de Validade]])</f>
        <v>2027</v>
      </c>
      <c r="I2011" s="89">
        <f>MONTH(Tabela1[[#This Row],[Data de Validade]])</f>
        <v>10</v>
      </c>
      <c r="J2011" s="101">
        <v>111664</v>
      </c>
      <c r="K2011" s="87" t="s">
        <v>14</v>
      </c>
      <c r="L2011" s="108"/>
      <c r="M2011" s="108"/>
      <c r="N2011" s="108" t="str">
        <v>P964P351</v>
      </c>
      <c r="O2011" s="108">
        <f t="shared" si="33"/>
        <v>1</v>
      </c>
      <c r="P2011" s="108"/>
      <c r="Q2011"/>
    </row>
    <row r="2012" spans="1:17" x14ac:dyDescent="0.25">
      <c r="A2012" s="89" t="s">
        <v>4636</v>
      </c>
      <c r="B2012" s="87" t="s">
        <v>4637</v>
      </c>
      <c r="C2012" s="87" t="s">
        <v>10</v>
      </c>
      <c r="D2012" s="87" t="str">
        <f>VLOOKUP(Tabela1[[#This Row],[Origem]], 'Perguntas 1 a 24'!$J$28:$K$34, 2, 0)</f>
        <v>Centro-Oeste</v>
      </c>
      <c r="E2012" s="87" t="str">
        <f>Tabela1[[#This Row],[Descrição]]&amp;"-"&amp;Tabela1[[#This Row],[Código]]&amp;"/"&amp;Tabela1[[#This Row],[Origem]]</f>
        <v>Mamomulo-P964P351/GO</v>
      </c>
      <c r="F2012" s="88">
        <v>46672</v>
      </c>
      <c r="G2012" s="88" t="str" cm="1">
        <f t="array" ref="G20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AND(F2012&gt;= DATE(2026,1,1), F2012&lt;= DATE(2028, 12, 31), J2012&gt;50000), "Pendente e Caro", AND(F2012&gt;= DATE(2026,1,1), F2012&lt;= DATE(2028, 12, 31), J2012&lt;=50000), "Pendente", F2012&gt;= DATE(2029,1,1), "Não prioeitário")</f>
        <v>Pendente</v>
      </c>
      <c r="H2012" s="89">
        <f>YEAR(Tabela1[[#This Row],[Data de Validade]])</f>
        <v>2027</v>
      </c>
      <c r="I2012" s="89">
        <f>MONTH(Tabela1[[#This Row],[Data de Validade]])</f>
        <v>10</v>
      </c>
      <c r="J2012" s="101">
        <v>35031</v>
      </c>
      <c r="K2012" s="87" t="s">
        <v>7</v>
      </c>
      <c r="L2012" s="108"/>
      <c r="M2012" s="108"/>
      <c r="N2012" s="108" t="str">
        <v>H486H632</v>
      </c>
      <c r="O2012" s="108">
        <f t="shared" si="33"/>
        <v>1</v>
      </c>
      <c r="P2012" s="108"/>
      <c r="Q2012"/>
    </row>
    <row r="2013" spans="1:17" x14ac:dyDescent="0.25">
      <c r="A2013" s="89" t="s">
        <v>5538</v>
      </c>
      <c r="B2013" s="87" t="s">
        <v>5539</v>
      </c>
      <c r="C2013" s="87" t="s">
        <v>15</v>
      </c>
      <c r="D2013" s="87" t="str">
        <f>VLOOKUP(Tabela1[[#This Row],[Origem]], 'Perguntas 1 a 24'!$J$28:$K$34, 2, 0)</f>
        <v>Sudeste</v>
      </c>
      <c r="E2013" s="87" t="str">
        <f>Tabela1[[#This Row],[Descrição]]&amp;"-"&amp;Tabela1[[#This Row],[Código]]&amp;"/"&amp;Tabela1[[#This Row],[Origem]]</f>
        <v>Gupeminu-H486H632/ES</v>
      </c>
      <c r="F2013" s="88">
        <v>46673</v>
      </c>
      <c r="G2013" s="88" t="str" cm="1">
        <f t="array" ref="G20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AND(F2013&gt;= DATE(2026,1,1), F2013&lt;= DATE(2028, 12, 31), J2013&gt;50000), "Pendente e Caro", AND(F2013&gt;= DATE(2026,1,1), F2013&lt;= DATE(2028, 12, 31), J2013&lt;=50000), "Pendente", F2013&gt;= DATE(2029,1,1), "Não prioeitário")</f>
        <v>Pendente e Caro</v>
      </c>
      <c r="H2013" s="89">
        <f>YEAR(Tabela1[[#This Row],[Data de Validade]])</f>
        <v>2027</v>
      </c>
      <c r="I2013" s="89">
        <f>MONTH(Tabela1[[#This Row],[Data de Validade]])</f>
        <v>10</v>
      </c>
      <c r="J2013" s="101">
        <v>53232</v>
      </c>
      <c r="K2013" s="87" t="s">
        <v>11</v>
      </c>
      <c r="L2013" s="108"/>
      <c r="M2013" s="108"/>
      <c r="N2013" s="108" t="str">
        <v>H351P362</v>
      </c>
      <c r="O2013" s="108">
        <f t="shared" si="33"/>
        <v>1</v>
      </c>
      <c r="P2013" s="108"/>
      <c r="Q2013"/>
    </row>
    <row r="2014" spans="1:17" x14ac:dyDescent="0.25">
      <c r="A2014" s="89" t="s">
        <v>8753</v>
      </c>
      <c r="B2014" s="87" t="s">
        <v>8754</v>
      </c>
      <c r="C2014" s="87" t="s">
        <v>16</v>
      </c>
      <c r="D2014" s="87" t="str">
        <f>VLOOKUP(Tabela1[[#This Row],[Origem]], 'Perguntas 1 a 24'!$J$28:$K$34, 2, 0)</f>
        <v>Sudeste</v>
      </c>
      <c r="E2014" s="87" t="str">
        <f>Tabela1[[#This Row],[Descrição]]&amp;"-"&amp;Tabela1[[#This Row],[Código]]&amp;"/"&amp;Tabela1[[#This Row],[Origem]]</f>
        <v>Pucuci-H351P362/MG</v>
      </c>
      <c r="F2014" s="88">
        <v>46674</v>
      </c>
      <c r="G2014" s="88" t="str" cm="1">
        <f t="array" ref="G20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AND(F2014&gt;= DATE(2026,1,1), F2014&lt;= DATE(2028, 12, 31), J2014&gt;50000), "Pendente e Caro", AND(F2014&gt;= DATE(2026,1,1), F2014&lt;= DATE(2028, 12, 31), J2014&lt;=50000), "Pendente", F2014&gt;= DATE(2029,1,1), "Não prioeitário")</f>
        <v>Pendente e Caro</v>
      </c>
      <c r="H2014" s="89">
        <f>YEAR(Tabela1[[#This Row],[Data de Validade]])</f>
        <v>2027</v>
      </c>
      <c r="I2014" s="89">
        <f>MONTH(Tabela1[[#This Row],[Data de Validade]])</f>
        <v>10</v>
      </c>
      <c r="J2014" s="101">
        <v>116289</v>
      </c>
      <c r="K2014" s="87" t="s">
        <v>14</v>
      </c>
      <c r="L2014" s="108"/>
      <c r="M2014" s="108"/>
      <c r="N2014" s="108" t="str">
        <v>P463H942</v>
      </c>
      <c r="O2014" s="108">
        <f t="shared" si="33"/>
        <v>1</v>
      </c>
      <c r="P2014" s="108"/>
      <c r="Q2014"/>
    </row>
    <row r="2015" spans="1:17" x14ac:dyDescent="0.25">
      <c r="A2015" s="89" t="s">
        <v>9673</v>
      </c>
      <c r="B2015" s="87" t="s">
        <v>9674</v>
      </c>
      <c r="C2015" s="87" t="s">
        <v>8</v>
      </c>
      <c r="D2015" s="87" t="str">
        <f>VLOOKUP(Tabela1[[#This Row],[Origem]], 'Perguntas 1 a 24'!$J$28:$K$34, 2, 0)</f>
        <v>Nordeste</v>
      </c>
      <c r="E2015" s="87" t="str">
        <f>Tabela1[[#This Row],[Descrição]]&amp;"-"&amp;Tabela1[[#This Row],[Código]]&amp;"/"&amp;Tabela1[[#This Row],[Origem]]</f>
        <v>Fiparofofi-P463H942/AL</v>
      </c>
      <c r="F2015" s="88">
        <v>46674</v>
      </c>
      <c r="G2015" s="88" t="str" cm="1">
        <f t="array" ref="G20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AND(F2015&gt;= DATE(2026,1,1), F2015&lt;= DATE(2028, 12, 31), J2015&gt;50000), "Pendente e Caro", AND(F2015&gt;= DATE(2026,1,1), F2015&lt;= DATE(2028, 12, 31), J2015&lt;=50000), "Pendente", F2015&gt;= DATE(2029,1,1), "Não prioeitário")</f>
        <v>Pendente e Caro</v>
      </c>
      <c r="H2015" s="89">
        <f>YEAR(Tabela1[[#This Row],[Data de Validade]])</f>
        <v>2027</v>
      </c>
      <c r="I2015" s="89">
        <f>MONTH(Tabela1[[#This Row],[Data de Validade]])</f>
        <v>10</v>
      </c>
      <c r="J2015" s="101">
        <v>55904</v>
      </c>
      <c r="K2015" s="87" t="s">
        <v>9</v>
      </c>
      <c r="L2015" s="108"/>
      <c r="M2015" s="108"/>
      <c r="N2015" s="108" t="str">
        <v>P757H786</v>
      </c>
      <c r="O2015" s="108">
        <f t="shared" si="33"/>
        <v>1</v>
      </c>
      <c r="P2015" s="108"/>
      <c r="Q2015"/>
    </row>
    <row r="2016" spans="1:17" x14ac:dyDescent="0.25">
      <c r="A2016" s="89" t="s">
        <v>11184</v>
      </c>
      <c r="B2016" s="87" t="s">
        <v>11185</v>
      </c>
      <c r="C2016" s="87" t="s">
        <v>10</v>
      </c>
      <c r="D2016" s="87" t="str">
        <f>VLOOKUP(Tabela1[[#This Row],[Origem]], 'Perguntas 1 a 24'!$J$28:$K$34, 2, 0)</f>
        <v>Centro-Oeste</v>
      </c>
      <c r="E2016" s="87" t="str">
        <f>Tabela1[[#This Row],[Descrição]]&amp;"-"&amp;Tabela1[[#This Row],[Código]]&amp;"/"&amp;Tabela1[[#This Row],[Origem]]</f>
        <v>Focidilamo-P757H786/GO</v>
      </c>
      <c r="F2016" s="88">
        <v>46676</v>
      </c>
      <c r="G2016" s="88" t="str" cm="1">
        <f t="array" ref="G20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AND(F2016&gt;= DATE(2026,1,1), F2016&lt;= DATE(2028, 12, 31), J2016&gt;50000), "Pendente e Caro", AND(F2016&gt;= DATE(2026,1,1), F2016&lt;= DATE(2028, 12, 31), J2016&lt;=50000), "Pendente", F2016&gt;= DATE(2029,1,1), "Não prioeitário")</f>
        <v>Pendente e Caro</v>
      </c>
      <c r="H2016" s="89">
        <f>YEAR(Tabela1[[#This Row],[Data de Validade]])</f>
        <v>2027</v>
      </c>
      <c r="I2016" s="89">
        <f>MONTH(Tabela1[[#This Row],[Data de Validade]])</f>
        <v>10</v>
      </c>
      <c r="J2016" s="101">
        <v>92542</v>
      </c>
      <c r="K2016" s="87" t="s">
        <v>11</v>
      </c>
      <c r="L2016" s="108"/>
      <c r="M2016" s="108"/>
      <c r="N2016" s="108" t="str">
        <v>H118H428</v>
      </c>
      <c r="O2016" s="108">
        <f t="shared" si="33"/>
        <v>1</v>
      </c>
      <c r="P2016" s="108"/>
      <c r="Q2016"/>
    </row>
    <row r="2017" spans="1:17" x14ac:dyDescent="0.25">
      <c r="A2017" s="89" t="s">
        <v>9433</v>
      </c>
      <c r="B2017" s="87" t="s">
        <v>9434</v>
      </c>
      <c r="C2017" s="87" t="s">
        <v>16</v>
      </c>
      <c r="D2017" s="87" t="str">
        <f>VLOOKUP(Tabela1[[#This Row],[Origem]], 'Perguntas 1 a 24'!$J$28:$K$34, 2, 0)</f>
        <v>Sudeste</v>
      </c>
      <c r="E2017" s="87" t="str">
        <f>Tabela1[[#This Row],[Descrição]]&amp;"-"&amp;Tabela1[[#This Row],[Código]]&amp;"/"&amp;Tabela1[[#This Row],[Origem]]</f>
        <v>Lelepolo-H118H428/MG</v>
      </c>
      <c r="F2017" s="88">
        <v>46677</v>
      </c>
      <c r="G2017" s="88" t="str" cm="1">
        <f t="array" ref="G20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AND(F2017&gt;= DATE(2026,1,1), F2017&lt;= DATE(2028, 12, 31), J2017&gt;50000), "Pendente e Caro", AND(F2017&gt;= DATE(2026,1,1), F2017&lt;= DATE(2028, 12, 31), J2017&lt;=50000), "Pendente", F2017&gt;= DATE(2029,1,1), "Não prioeitário")</f>
        <v>Pendente e Caro</v>
      </c>
      <c r="H2017" s="89">
        <f>YEAR(Tabela1[[#This Row],[Data de Validade]])</f>
        <v>2027</v>
      </c>
      <c r="I2017" s="89">
        <f>MONTH(Tabela1[[#This Row],[Data de Validade]])</f>
        <v>10</v>
      </c>
      <c r="J2017" s="101">
        <v>116046</v>
      </c>
      <c r="K2017" s="87" t="s">
        <v>9</v>
      </c>
      <c r="L2017" s="108"/>
      <c r="M2017" s="108"/>
      <c r="N2017" s="108" t="str">
        <v>P592P618</v>
      </c>
      <c r="O2017" s="108">
        <f t="shared" si="33"/>
        <v>1</v>
      </c>
      <c r="P2017" s="108"/>
      <c r="Q2017"/>
    </row>
    <row r="2018" spans="1:17" x14ac:dyDescent="0.25">
      <c r="A2018" s="89" t="s">
        <v>5856</v>
      </c>
      <c r="B2018" s="87" t="s">
        <v>5857</v>
      </c>
      <c r="C2018" s="87" t="s">
        <v>10</v>
      </c>
      <c r="D2018" s="87" t="str">
        <f>VLOOKUP(Tabela1[[#This Row],[Origem]], 'Perguntas 1 a 24'!$J$28:$K$34, 2, 0)</f>
        <v>Centro-Oeste</v>
      </c>
      <c r="E2018" s="87" t="str">
        <f>Tabela1[[#This Row],[Descrição]]&amp;"-"&amp;Tabela1[[#This Row],[Código]]&amp;"/"&amp;Tabela1[[#This Row],[Origem]]</f>
        <v>Pipetace-P592P618/GO</v>
      </c>
      <c r="F2018" s="88">
        <v>46677</v>
      </c>
      <c r="G2018" s="88" t="str" cm="1">
        <f t="array" ref="G20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AND(F2018&gt;= DATE(2026,1,1), F2018&lt;= DATE(2028, 12, 31), J2018&gt;50000), "Pendente e Caro", AND(F2018&gt;= DATE(2026,1,1), F2018&lt;= DATE(2028, 12, 31), J2018&lt;=50000), "Pendente", F2018&gt;= DATE(2029,1,1), "Não prioeitário")</f>
        <v>Pendente e Caro</v>
      </c>
      <c r="H2018" s="89">
        <f>YEAR(Tabela1[[#This Row],[Data de Validade]])</f>
        <v>2027</v>
      </c>
      <c r="I2018" s="89">
        <f>MONTH(Tabela1[[#This Row],[Data de Validade]])</f>
        <v>10</v>
      </c>
      <c r="J2018" s="101">
        <v>88639</v>
      </c>
      <c r="K2018" s="87" t="s">
        <v>11</v>
      </c>
      <c r="L2018" s="108"/>
      <c r="M2018" s="108"/>
      <c r="N2018" s="108" t="str">
        <v>H922P168</v>
      </c>
      <c r="O2018" s="108">
        <f t="shared" si="33"/>
        <v>1</v>
      </c>
      <c r="P2018" s="108"/>
      <c r="Q2018"/>
    </row>
    <row r="2019" spans="1:17" x14ac:dyDescent="0.25">
      <c r="A2019" s="89" t="s">
        <v>11178</v>
      </c>
      <c r="B2019" s="87" t="s">
        <v>11179</v>
      </c>
      <c r="C2019" s="87" t="s">
        <v>15</v>
      </c>
      <c r="D2019" s="87" t="str">
        <f>VLOOKUP(Tabela1[[#This Row],[Origem]], 'Perguntas 1 a 24'!$J$28:$K$34, 2, 0)</f>
        <v>Sudeste</v>
      </c>
      <c r="E2019" s="87" t="str">
        <f>Tabela1[[#This Row],[Descrição]]&amp;"-"&amp;Tabela1[[#This Row],[Código]]&amp;"/"&amp;Tabela1[[#This Row],[Origem]]</f>
        <v>Mutivucira-H922P168/ES</v>
      </c>
      <c r="F2019" s="88">
        <v>46677</v>
      </c>
      <c r="G2019" s="88" t="str" cm="1">
        <f t="array" ref="G20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AND(F2019&gt;= DATE(2026,1,1), F2019&lt;= DATE(2028, 12, 31), J2019&gt;50000), "Pendente e Caro", AND(F2019&gt;= DATE(2026,1,1), F2019&lt;= DATE(2028, 12, 31), J2019&lt;=50000), "Pendente", F2019&gt;= DATE(2029,1,1), "Não prioeitário")</f>
        <v>Pendente e Caro</v>
      </c>
      <c r="H2019" s="89">
        <f>YEAR(Tabela1[[#This Row],[Data de Validade]])</f>
        <v>2027</v>
      </c>
      <c r="I2019" s="89">
        <f>MONTH(Tabela1[[#This Row],[Data de Validade]])</f>
        <v>10</v>
      </c>
      <c r="J2019" s="101">
        <v>81467</v>
      </c>
      <c r="K2019" s="87" t="s">
        <v>9</v>
      </c>
      <c r="L2019" s="108"/>
      <c r="M2019" s="108"/>
      <c r="N2019" s="108" t="str">
        <v>P338P522</v>
      </c>
      <c r="O2019" s="108">
        <f t="shared" si="33"/>
        <v>1</v>
      </c>
      <c r="P2019" s="108"/>
      <c r="Q2019"/>
    </row>
    <row r="2020" spans="1:17" x14ac:dyDescent="0.25">
      <c r="A2020" s="89" t="s">
        <v>10057</v>
      </c>
      <c r="B2020" s="87" t="s">
        <v>10058</v>
      </c>
      <c r="C2020" s="87" t="s">
        <v>12</v>
      </c>
      <c r="D2020" s="87" t="str">
        <f>VLOOKUP(Tabela1[[#This Row],[Origem]], 'Perguntas 1 a 24'!$J$28:$K$34, 2, 0)</f>
        <v>Sudeste</v>
      </c>
      <c r="E2020" s="87" t="str">
        <f>Tabela1[[#This Row],[Descrição]]&amp;"-"&amp;Tabela1[[#This Row],[Código]]&amp;"/"&amp;Tabela1[[#This Row],[Origem]]</f>
        <v>Megefopume-P338P522/RJ</v>
      </c>
      <c r="F2020" s="88">
        <v>46680</v>
      </c>
      <c r="G2020" s="88" t="str" cm="1">
        <f t="array" ref="G20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AND(F2020&gt;= DATE(2026,1,1), F2020&lt;= DATE(2028, 12, 31), J2020&gt;50000), "Pendente e Caro", AND(F2020&gt;= DATE(2026,1,1), F2020&lt;= DATE(2028, 12, 31), J2020&lt;=50000), "Pendente", F2020&gt;= DATE(2029,1,1), "Não prioeitário")</f>
        <v>Pendente</v>
      </c>
      <c r="H2020" s="89">
        <f>YEAR(Tabela1[[#This Row],[Data de Validade]])</f>
        <v>2027</v>
      </c>
      <c r="I2020" s="89">
        <f>MONTH(Tabela1[[#This Row],[Data de Validade]])</f>
        <v>10</v>
      </c>
      <c r="J2020" s="101">
        <v>21868</v>
      </c>
      <c r="K2020" s="87" t="s">
        <v>11</v>
      </c>
      <c r="L2020" s="108"/>
      <c r="M2020" s="108"/>
      <c r="N2020" s="108" t="str">
        <v>H597P257</v>
      </c>
      <c r="O2020" s="108">
        <f t="shared" si="33"/>
        <v>1</v>
      </c>
      <c r="P2020" s="108"/>
      <c r="Q2020"/>
    </row>
    <row r="2021" spans="1:17" x14ac:dyDescent="0.25">
      <c r="A2021" s="89" t="s">
        <v>4178</v>
      </c>
      <c r="B2021" s="87" t="s">
        <v>4179</v>
      </c>
      <c r="C2021" s="87" t="s">
        <v>8</v>
      </c>
      <c r="D2021" s="87" t="str">
        <f>VLOOKUP(Tabela1[[#This Row],[Origem]], 'Perguntas 1 a 24'!$J$28:$K$34, 2, 0)</f>
        <v>Nordeste</v>
      </c>
      <c r="E2021" s="87" t="str">
        <f>Tabela1[[#This Row],[Descrição]]&amp;"-"&amp;Tabela1[[#This Row],[Código]]&amp;"/"&amp;Tabela1[[#This Row],[Origem]]</f>
        <v>Tavopo-H597P257/AL</v>
      </c>
      <c r="F2021" s="88">
        <v>46681</v>
      </c>
      <c r="G2021" s="88" t="str" cm="1">
        <f t="array" ref="G20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AND(F2021&gt;= DATE(2026,1,1), F2021&lt;= DATE(2028, 12, 31), J2021&gt;50000), "Pendente e Caro", AND(F2021&gt;= DATE(2026,1,1), F2021&lt;= DATE(2028, 12, 31), J2021&lt;=50000), "Pendente", F2021&gt;= DATE(2029,1,1), "Não prioeitário")</f>
        <v>Pendente e Caro</v>
      </c>
      <c r="H2021" s="89">
        <f>YEAR(Tabela1[[#This Row],[Data de Validade]])</f>
        <v>2027</v>
      </c>
      <c r="I2021" s="89">
        <f>MONTH(Tabela1[[#This Row],[Data de Validade]])</f>
        <v>10</v>
      </c>
      <c r="J2021" s="101">
        <v>66512</v>
      </c>
      <c r="K2021" s="87" t="s">
        <v>7</v>
      </c>
      <c r="L2021" s="108"/>
      <c r="M2021" s="108"/>
      <c r="N2021" s="108" t="str">
        <v>P698H553</v>
      </c>
      <c r="O2021" s="108">
        <f t="shared" si="33"/>
        <v>1</v>
      </c>
      <c r="P2021" s="108"/>
      <c r="Q2021"/>
    </row>
    <row r="2022" spans="1:17" x14ac:dyDescent="0.25">
      <c r="A2022" s="89" t="s">
        <v>3704</v>
      </c>
      <c r="B2022" s="87" t="s">
        <v>3705</v>
      </c>
      <c r="C2022" s="87" t="s">
        <v>12</v>
      </c>
      <c r="D2022" s="87" t="str">
        <f>VLOOKUP(Tabela1[[#This Row],[Origem]], 'Perguntas 1 a 24'!$J$28:$K$34, 2, 0)</f>
        <v>Sudeste</v>
      </c>
      <c r="E2022" s="87" t="str">
        <f>Tabela1[[#This Row],[Descrição]]&amp;"-"&amp;Tabela1[[#This Row],[Código]]&amp;"/"&amp;Tabela1[[#This Row],[Origem]]</f>
        <v>Vudarufime-P698H553/RJ</v>
      </c>
      <c r="F2022" s="88">
        <v>46681</v>
      </c>
      <c r="G2022" s="88" t="str" cm="1">
        <f t="array" ref="G20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AND(F2022&gt;= DATE(2026,1,1), F2022&lt;= DATE(2028, 12, 31), J2022&gt;50000), "Pendente e Caro", AND(F2022&gt;= DATE(2026,1,1), F2022&lt;= DATE(2028, 12, 31), J2022&lt;=50000), "Pendente", F2022&gt;= DATE(2029,1,1), "Não prioeitário")</f>
        <v>Pendente</v>
      </c>
      <c r="H2022" s="89">
        <f>YEAR(Tabela1[[#This Row],[Data de Validade]])</f>
        <v>2027</v>
      </c>
      <c r="I2022" s="89">
        <f>MONTH(Tabela1[[#This Row],[Data de Validade]])</f>
        <v>10</v>
      </c>
      <c r="J2022" s="101">
        <v>29749</v>
      </c>
      <c r="K2022" s="87" t="s">
        <v>11</v>
      </c>
      <c r="L2022" s="108"/>
      <c r="M2022" s="108"/>
      <c r="N2022" s="108" t="str">
        <v>H744P717</v>
      </c>
      <c r="O2022" s="108">
        <f t="shared" si="33"/>
        <v>1</v>
      </c>
      <c r="P2022" s="108"/>
      <c r="Q2022"/>
    </row>
    <row r="2023" spans="1:17" x14ac:dyDescent="0.25">
      <c r="A2023" s="89" t="s">
        <v>8378</v>
      </c>
      <c r="B2023" s="87" t="s">
        <v>8379</v>
      </c>
      <c r="C2023" s="87" t="s">
        <v>6</v>
      </c>
      <c r="D2023" s="87" t="str">
        <f>VLOOKUP(Tabela1[[#This Row],[Origem]], 'Perguntas 1 a 24'!$J$28:$K$34, 2, 0)</f>
        <v>Nordeste</v>
      </c>
      <c r="E2023" s="87" t="str">
        <f>Tabela1[[#This Row],[Descrição]]&amp;"-"&amp;Tabela1[[#This Row],[Código]]&amp;"/"&amp;Tabela1[[#This Row],[Origem]]</f>
        <v>Tovugica-H744P717/MA</v>
      </c>
      <c r="F2023" s="88">
        <v>46684</v>
      </c>
      <c r="G2023" s="88" t="str" cm="1">
        <f t="array" ref="G20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AND(F2023&gt;= DATE(2026,1,1), F2023&lt;= DATE(2028, 12, 31), J2023&gt;50000), "Pendente e Caro", AND(F2023&gt;= DATE(2026,1,1), F2023&lt;= DATE(2028, 12, 31), J2023&lt;=50000), "Pendente", F2023&gt;= DATE(2029,1,1), "Não prioeitário")</f>
        <v>Pendente e Caro</v>
      </c>
      <c r="H2023" s="89">
        <f>YEAR(Tabela1[[#This Row],[Data de Validade]])</f>
        <v>2027</v>
      </c>
      <c r="I2023" s="89">
        <f>MONTH(Tabela1[[#This Row],[Data de Validade]])</f>
        <v>10</v>
      </c>
      <c r="J2023" s="101">
        <v>70079</v>
      </c>
      <c r="K2023" s="87" t="s">
        <v>14</v>
      </c>
      <c r="L2023" s="108"/>
      <c r="M2023" s="108"/>
      <c r="N2023" s="108" t="str">
        <v>P279H586</v>
      </c>
      <c r="O2023" s="108">
        <f t="shared" si="33"/>
        <v>1</v>
      </c>
      <c r="P2023" s="108"/>
      <c r="Q2023"/>
    </row>
    <row r="2024" spans="1:17" x14ac:dyDescent="0.25">
      <c r="A2024" s="89" t="s">
        <v>9259</v>
      </c>
      <c r="B2024" s="87" t="s">
        <v>9260</v>
      </c>
      <c r="C2024" s="87" t="s">
        <v>8</v>
      </c>
      <c r="D2024" s="87" t="str">
        <f>VLOOKUP(Tabela1[[#This Row],[Origem]], 'Perguntas 1 a 24'!$J$28:$K$34, 2, 0)</f>
        <v>Nordeste</v>
      </c>
      <c r="E2024" s="87" t="str">
        <f>Tabela1[[#This Row],[Descrição]]&amp;"-"&amp;Tabela1[[#This Row],[Código]]&amp;"/"&amp;Tabela1[[#This Row],[Origem]]</f>
        <v>Patoduvo-P279H586/AL</v>
      </c>
      <c r="F2024" s="88">
        <v>46684</v>
      </c>
      <c r="G2024" s="88" t="str" cm="1">
        <f t="array" ref="G20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AND(F2024&gt;= DATE(2026,1,1), F2024&lt;= DATE(2028, 12, 31), J2024&gt;50000), "Pendente e Caro", AND(F2024&gt;= DATE(2026,1,1), F2024&lt;= DATE(2028, 12, 31), J2024&lt;=50000), "Pendente", F2024&gt;= DATE(2029,1,1), "Não prioeitário")</f>
        <v>Pendente e Caro</v>
      </c>
      <c r="H2024" s="89">
        <f>YEAR(Tabela1[[#This Row],[Data de Validade]])</f>
        <v>2027</v>
      </c>
      <c r="I2024" s="89">
        <f>MONTH(Tabela1[[#This Row],[Data de Validade]])</f>
        <v>10</v>
      </c>
      <c r="J2024" s="101">
        <v>68735</v>
      </c>
      <c r="K2024" s="87" t="s">
        <v>7</v>
      </c>
      <c r="L2024" s="108"/>
      <c r="M2024" s="108"/>
      <c r="N2024" s="108" t="str">
        <v>P231H716</v>
      </c>
      <c r="O2024" s="108">
        <f t="shared" si="33"/>
        <v>1</v>
      </c>
      <c r="P2024" s="108"/>
      <c r="Q2024"/>
    </row>
    <row r="2025" spans="1:17" x14ac:dyDescent="0.25">
      <c r="A2025" s="89" t="s">
        <v>10217</v>
      </c>
      <c r="B2025" s="87" t="s">
        <v>10218</v>
      </c>
      <c r="C2025" s="87" t="s">
        <v>10</v>
      </c>
      <c r="D2025" s="87" t="str">
        <f>VLOOKUP(Tabela1[[#This Row],[Origem]], 'Perguntas 1 a 24'!$J$28:$K$34, 2, 0)</f>
        <v>Centro-Oeste</v>
      </c>
      <c r="E2025" s="87" t="str">
        <f>Tabela1[[#This Row],[Descrição]]&amp;"-"&amp;Tabela1[[#This Row],[Código]]&amp;"/"&amp;Tabela1[[#This Row],[Origem]]</f>
        <v>Garire-P231H716/GO</v>
      </c>
      <c r="F2025" s="88">
        <v>46685</v>
      </c>
      <c r="G2025" s="88" t="str" cm="1">
        <f t="array" ref="G20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AND(F2025&gt;= DATE(2026,1,1), F2025&lt;= DATE(2028, 12, 31), J2025&gt;50000), "Pendente e Caro", AND(F2025&gt;= DATE(2026,1,1), F2025&lt;= DATE(2028, 12, 31), J2025&lt;=50000), "Pendente", F2025&gt;= DATE(2029,1,1), "Não prioeitário")</f>
        <v>Pendente e Caro</v>
      </c>
      <c r="H2025" s="89">
        <f>YEAR(Tabela1[[#This Row],[Data de Validade]])</f>
        <v>2027</v>
      </c>
      <c r="I2025" s="89">
        <f>MONTH(Tabela1[[#This Row],[Data de Validade]])</f>
        <v>10</v>
      </c>
      <c r="J2025" s="101">
        <v>52979</v>
      </c>
      <c r="K2025" s="87" t="s">
        <v>9</v>
      </c>
      <c r="L2025" s="108"/>
      <c r="M2025" s="108"/>
      <c r="N2025" s="108" t="str">
        <v>H739H698</v>
      </c>
      <c r="O2025" s="108">
        <f t="shared" si="33"/>
        <v>1</v>
      </c>
      <c r="P2025" s="108"/>
      <c r="Q2025"/>
    </row>
    <row r="2026" spans="1:17" x14ac:dyDescent="0.25">
      <c r="A2026" s="89" t="s">
        <v>6658</v>
      </c>
      <c r="B2026" s="87" t="s">
        <v>6659</v>
      </c>
      <c r="C2026" s="87" t="s">
        <v>12</v>
      </c>
      <c r="D2026" s="87" t="str">
        <f>VLOOKUP(Tabela1[[#This Row],[Origem]], 'Perguntas 1 a 24'!$J$28:$K$34, 2, 0)</f>
        <v>Sudeste</v>
      </c>
      <c r="E2026" s="87" t="str">
        <f>Tabela1[[#This Row],[Descrição]]&amp;"-"&amp;Tabela1[[#This Row],[Código]]&amp;"/"&amp;Tabela1[[#This Row],[Origem]]</f>
        <v>Rovamu-H739H698/RJ</v>
      </c>
      <c r="F2026" s="88">
        <v>46685</v>
      </c>
      <c r="G2026" s="88" t="str" cm="1">
        <f t="array" ref="G20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AND(F2026&gt;= DATE(2026,1,1), F2026&lt;= DATE(2028, 12, 31), J2026&gt;50000), "Pendente e Caro", AND(F2026&gt;= DATE(2026,1,1), F2026&lt;= DATE(2028, 12, 31), J2026&lt;=50000), "Pendente", F2026&gt;= DATE(2029,1,1), "Não prioeitário")</f>
        <v>Pendente e Caro</v>
      </c>
      <c r="H2026" s="89">
        <f>YEAR(Tabela1[[#This Row],[Data de Validade]])</f>
        <v>2027</v>
      </c>
      <c r="I2026" s="89">
        <f>MONTH(Tabela1[[#This Row],[Data de Validade]])</f>
        <v>10</v>
      </c>
      <c r="J2026" s="101">
        <v>52084</v>
      </c>
      <c r="K2026" s="87" t="s">
        <v>11</v>
      </c>
      <c r="L2026" s="108"/>
      <c r="M2026" s="108"/>
      <c r="N2026" s="108" t="str">
        <v>H342P771</v>
      </c>
      <c r="O2026" s="108">
        <f t="shared" si="33"/>
        <v>1</v>
      </c>
      <c r="P2026" s="108"/>
      <c r="Q2026"/>
    </row>
    <row r="2027" spans="1:17" x14ac:dyDescent="0.25">
      <c r="A2027" s="89" t="s">
        <v>6156</v>
      </c>
      <c r="B2027" s="87" t="s">
        <v>6157</v>
      </c>
      <c r="C2027" s="87" t="s">
        <v>6</v>
      </c>
      <c r="D2027" s="87" t="str">
        <f>VLOOKUP(Tabela1[[#This Row],[Origem]], 'Perguntas 1 a 24'!$J$28:$K$34, 2, 0)</f>
        <v>Nordeste</v>
      </c>
      <c r="E2027" s="87" t="str">
        <f>Tabela1[[#This Row],[Descrição]]&amp;"-"&amp;Tabela1[[#This Row],[Código]]&amp;"/"&amp;Tabela1[[#This Row],[Origem]]</f>
        <v>Pilatiti-H342P771/MA</v>
      </c>
      <c r="F2027" s="88">
        <v>46688</v>
      </c>
      <c r="G2027" s="88" t="str" cm="1">
        <f t="array" ref="G20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AND(F2027&gt;= DATE(2026,1,1), F2027&lt;= DATE(2028, 12, 31), J2027&gt;50000), "Pendente e Caro", AND(F2027&gt;= DATE(2026,1,1), F2027&lt;= DATE(2028, 12, 31), J2027&lt;=50000), "Pendente", F2027&gt;= DATE(2029,1,1), "Não prioeitário")</f>
        <v>Pendente e Caro</v>
      </c>
      <c r="H2027" s="89">
        <f>YEAR(Tabela1[[#This Row],[Data de Validade]])</f>
        <v>2027</v>
      </c>
      <c r="I2027" s="89">
        <f>MONTH(Tabela1[[#This Row],[Data de Validade]])</f>
        <v>10</v>
      </c>
      <c r="J2027" s="101">
        <v>104861</v>
      </c>
      <c r="K2027" s="87" t="s">
        <v>11</v>
      </c>
      <c r="L2027" s="108"/>
      <c r="M2027" s="108"/>
      <c r="N2027" s="108" t="str">
        <v>P844H423</v>
      </c>
      <c r="O2027" s="108">
        <f t="shared" si="33"/>
        <v>1</v>
      </c>
      <c r="P2027" s="108"/>
      <c r="Q2027"/>
    </row>
    <row r="2028" spans="1:17" x14ac:dyDescent="0.25">
      <c r="A2028" s="89" t="s">
        <v>9297</v>
      </c>
      <c r="B2028" s="87" t="s">
        <v>9298</v>
      </c>
      <c r="C2028" s="87" t="s">
        <v>13</v>
      </c>
      <c r="D2028" s="87" t="str">
        <f>VLOOKUP(Tabela1[[#This Row],[Origem]], 'Perguntas 1 a 24'!$J$28:$K$34, 2, 0)</f>
        <v>Sudeste</v>
      </c>
      <c r="E2028" s="87" t="str">
        <f>Tabela1[[#This Row],[Descrição]]&amp;"-"&amp;Tabela1[[#This Row],[Código]]&amp;"/"&amp;Tabela1[[#This Row],[Origem]]</f>
        <v>Gepacepu-P844H423/SP</v>
      </c>
      <c r="F2028" s="88">
        <v>46689</v>
      </c>
      <c r="G2028" s="88" t="str" cm="1">
        <f t="array" ref="G20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AND(F2028&gt;= DATE(2026,1,1), F2028&lt;= DATE(2028, 12, 31), J2028&gt;50000), "Pendente e Caro", AND(F2028&gt;= DATE(2026,1,1), F2028&lt;= DATE(2028, 12, 31), J2028&lt;=50000), "Pendente", F2028&gt;= DATE(2029,1,1), "Não prioeitário")</f>
        <v>Pendente e Caro</v>
      </c>
      <c r="H2028" s="89">
        <f>YEAR(Tabela1[[#This Row],[Data de Validade]])</f>
        <v>2027</v>
      </c>
      <c r="I2028" s="89">
        <f>MONTH(Tabela1[[#This Row],[Data de Validade]])</f>
        <v>10</v>
      </c>
      <c r="J2028" s="101">
        <v>100879</v>
      </c>
      <c r="K2028" s="87" t="s">
        <v>7</v>
      </c>
      <c r="L2028" s="108"/>
      <c r="M2028" s="108"/>
      <c r="N2028" s="108" t="str">
        <v>H821H254</v>
      </c>
      <c r="O2028" s="108">
        <f t="shared" si="33"/>
        <v>1</v>
      </c>
      <c r="P2028" s="108"/>
      <c r="Q2028"/>
    </row>
    <row r="2029" spans="1:17" x14ac:dyDescent="0.25">
      <c r="A2029" s="89" t="s">
        <v>6812</v>
      </c>
      <c r="B2029" s="87" t="s">
        <v>6813</v>
      </c>
      <c r="C2029" s="87" t="s">
        <v>16</v>
      </c>
      <c r="D2029" s="87" t="str">
        <f>VLOOKUP(Tabela1[[#This Row],[Origem]], 'Perguntas 1 a 24'!$J$28:$K$34, 2, 0)</f>
        <v>Sudeste</v>
      </c>
      <c r="E2029" s="87" t="str">
        <f>Tabela1[[#This Row],[Descrição]]&amp;"-"&amp;Tabela1[[#This Row],[Código]]&amp;"/"&amp;Tabela1[[#This Row],[Origem]]</f>
        <v>Pepafelu-H821H254/MG</v>
      </c>
      <c r="F2029" s="88">
        <v>46690</v>
      </c>
      <c r="G2029" s="88" t="str" cm="1">
        <f t="array" ref="G20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AND(F2029&gt;= DATE(2026,1,1), F2029&lt;= DATE(2028, 12, 31), J2029&gt;50000), "Pendente e Caro", AND(F2029&gt;= DATE(2026,1,1), F2029&lt;= DATE(2028, 12, 31), J2029&lt;=50000), "Pendente", F2029&gt;= DATE(2029,1,1), "Não prioeitário")</f>
        <v>Pendente</v>
      </c>
      <c r="H2029" s="89">
        <f>YEAR(Tabela1[[#This Row],[Data de Validade]])</f>
        <v>2027</v>
      </c>
      <c r="I2029" s="89">
        <f>MONTH(Tabela1[[#This Row],[Data de Validade]])</f>
        <v>10</v>
      </c>
      <c r="J2029" s="101">
        <v>24844</v>
      </c>
      <c r="K2029" s="87" t="s">
        <v>14</v>
      </c>
      <c r="L2029" s="108"/>
      <c r="M2029" s="108"/>
      <c r="N2029" s="108" t="str">
        <v>H556H628</v>
      </c>
      <c r="O2029" s="108">
        <f t="shared" si="33"/>
        <v>1</v>
      </c>
      <c r="P2029" s="108"/>
      <c r="Q2029"/>
    </row>
    <row r="2030" spans="1:17" x14ac:dyDescent="0.25">
      <c r="A2030" s="89" t="s">
        <v>11094</v>
      </c>
      <c r="B2030" s="87" t="s">
        <v>11095</v>
      </c>
      <c r="C2030" s="87" t="s">
        <v>12</v>
      </c>
      <c r="D2030" s="87" t="str">
        <f>VLOOKUP(Tabela1[[#This Row],[Origem]], 'Perguntas 1 a 24'!$J$28:$K$34, 2, 0)</f>
        <v>Sudeste</v>
      </c>
      <c r="E2030" s="87" t="str">
        <f>Tabela1[[#This Row],[Descrição]]&amp;"-"&amp;Tabela1[[#This Row],[Código]]&amp;"/"&amp;Tabela1[[#This Row],[Origem]]</f>
        <v>Madatane-H556H628/RJ</v>
      </c>
      <c r="F2030" s="88">
        <v>46690</v>
      </c>
      <c r="G2030" s="88" t="str" cm="1">
        <f t="array" ref="G20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AND(F2030&gt;= DATE(2026,1,1), F2030&lt;= DATE(2028, 12, 31), J2030&gt;50000), "Pendente e Caro", AND(F2030&gt;= DATE(2026,1,1), F2030&lt;= DATE(2028, 12, 31), J2030&lt;=50000), "Pendente", F2030&gt;= DATE(2029,1,1), "Não prioeitário")</f>
        <v>Pendente</v>
      </c>
      <c r="H2030" s="89">
        <f>YEAR(Tabela1[[#This Row],[Data de Validade]])</f>
        <v>2027</v>
      </c>
      <c r="I2030" s="89">
        <f>MONTH(Tabela1[[#This Row],[Data de Validade]])</f>
        <v>10</v>
      </c>
      <c r="J2030" s="101">
        <v>22800</v>
      </c>
      <c r="K2030" s="87" t="s">
        <v>11</v>
      </c>
      <c r="L2030" s="108"/>
      <c r="M2030" s="108"/>
      <c r="N2030" s="108" t="str">
        <v>H539H453</v>
      </c>
      <c r="O2030" s="108">
        <f t="shared" si="33"/>
        <v>1</v>
      </c>
      <c r="P2030" s="108"/>
      <c r="Q2030"/>
    </row>
    <row r="2031" spans="1:17" x14ac:dyDescent="0.25">
      <c r="A2031" s="89" t="s">
        <v>8817</v>
      </c>
      <c r="B2031" s="87" t="s">
        <v>8818</v>
      </c>
      <c r="C2031" s="87" t="s">
        <v>10</v>
      </c>
      <c r="D2031" s="87" t="str">
        <f>VLOOKUP(Tabela1[[#This Row],[Origem]], 'Perguntas 1 a 24'!$J$28:$K$34, 2, 0)</f>
        <v>Centro-Oeste</v>
      </c>
      <c r="E2031" s="87" t="str">
        <f>Tabela1[[#This Row],[Descrição]]&amp;"-"&amp;Tabela1[[#This Row],[Código]]&amp;"/"&amp;Tabela1[[#This Row],[Origem]]</f>
        <v>Nulopo-H539H453/GO</v>
      </c>
      <c r="F2031" s="88">
        <v>46690</v>
      </c>
      <c r="G2031" s="88" t="str" cm="1">
        <f t="array" ref="G20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AND(F2031&gt;= DATE(2026,1,1), F2031&lt;= DATE(2028, 12, 31), J2031&gt;50000), "Pendente e Caro", AND(F2031&gt;= DATE(2026,1,1), F2031&lt;= DATE(2028, 12, 31), J2031&lt;=50000), "Pendente", F2031&gt;= DATE(2029,1,1), "Não prioeitário")</f>
        <v>Pendente</v>
      </c>
      <c r="H2031" s="89">
        <f>YEAR(Tabela1[[#This Row],[Data de Validade]])</f>
        <v>2027</v>
      </c>
      <c r="I2031" s="89">
        <f>MONTH(Tabela1[[#This Row],[Data de Validade]])</f>
        <v>10</v>
      </c>
      <c r="J2031" s="101">
        <v>21042</v>
      </c>
      <c r="K2031" s="87" t="s">
        <v>9</v>
      </c>
      <c r="L2031" s="108"/>
      <c r="M2031" s="108"/>
      <c r="N2031" s="108" t="str">
        <v>H621P762</v>
      </c>
      <c r="O2031" s="108">
        <f t="shared" si="33"/>
        <v>1</v>
      </c>
      <c r="P2031" s="108"/>
      <c r="Q2031"/>
    </row>
    <row r="2032" spans="1:17" x14ac:dyDescent="0.25">
      <c r="A2032" s="89" t="s">
        <v>5922</v>
      </c>
      <c r="B2032" s="87" t="s">
        <v>5923</v>
      </c>
      <c r="C2032" s="87" t="s">
        <v>15</v>
      </c>
      <c r="D2032" s="87" t="str">
        <f>VLOOKUP(Tabela1[[#This Row],[Origem]], 'Perguntas 1 a 24'!$J$28:$K$34, 2, 0)</f>
        <v>Sudeste</v>
      </c>
      <c r="E2032" s="87" t="str">
        <f>Tabela1[[#This Row],[Descrição]]&amp;"-"&amp;Tabela1[[#This Row],[Código]]&amp;"/"&amp;Tabela1[[#This Row],[Origem]]</f>
        <v>Gepoguma-H621P762/ES</v>
      </c>
      <c r="F2032" s="88">
        <v>46691</v>
      </c>
      <c r="G2032" s="88" t="str" cm="1">
        <f t="array" ref="G20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AND(F2032&gt;= DATE(2026,1,1), F2032&lt;= DATE(2028, 12, 31), J2032&gt;50000), "Pendente e Caro", AND(F2032&gt;= DATE(2026,1,1), F2032&lt;= DATE(2028, 12, 31), J2032&lt;=50000), "Pendente", F2032&gt;= DATE(2029,1,1), "Não prioeitário")</f>
        <v>Pendente e Caro</v>
      </c>
      <c r="H2032" s="89">
        <f>YEAR(Tabela1[[#This Row],[Data de Validade]])</f>
        <v>2027</v>
      </c>
      <c r="I2032" s="89">
        <f>MONTH(Tabela1[[#This Row],[Data de Validade]])</f>
        <v>10</v>
      </c>
      <c r="J2032" s="101">
        <v>55715</v>
      </c>
      <c r="K2032" s="87" t="s">
        <v>11</v>
      </c>
      <c r="L2032" s="108"/>
      <c r="M2032" s="108"/>
      <c r="N2032" s="108" t="str">
        <v>P985H777</v>
      </c>
      <c r="O2032" s="108">
        <f t="shared" si="33"/>
        <v>1</v>
      </c>
      <c r="P2032" s="108"/>
      <c r="Q2032"/>
    </row>
    <row r="2033" spans="1:17" x14ac:dyDescent="0.25">
      <c r="A2033" s="89" t="s">
        <v>9457</v>
      </c>
      <c r="B2033" s="87" t="s">
        <v>9458</v>
      </c>
      <c r="C2033" s="87" t="s">
        <v>16</v>
      </c>
      <c r="D2033" s="87" t="str">
        <f>VLOOKUP(Tabela1[[#This Row],[Origem]], 'Perguntas 1 a 24'!$J$28:$K$34, 2, 0)</f>
        <v>Sudeste</v>
      </c>
      <c r="E2033" s="87" t="str">
        <f>Tabela1[[#This Row],[Descrição]]&amp;"-"&amp;Tabela1[[#This Row],[Código]]&amp;"/"&amp;Tabela1[[#This Row],[Origem]]</f>
        <v>Petagipide-P985H777/MG</v>
      </c>
      <c r="F2033" s="88">
        <v>46692</v>
      </c>
      <c r="G2033" s="88" t="str" cm="1">
        <f t="array" ref="G20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AND(F2033&gt;= DATE(2026,1,1), F2033&lt;= DATE(2028, 12, 31), J2033&gt;50000), "Pendente e Caro", AND(F2033&gt;= DATE(2026,1,1), F2033&lt;= DATE(2028, 12, 31), J2033&lt;=50000), "Pendente", F2033&gt;= DATE(2029,1,1), "Não prioeitário")</f>
        <v>Pendente e Caro</v>
      </c>
      <c r="H2033" s="89">
        <f>YEAR(Tabela1[[#This Row],[Data de Validade]])</f>
        <v>2027</v>
      </c>
      <c r="I2033" s="89">
        <f>MONTH(Tabela1[[#This Row],[Data de Validade]])</f>
        <v>11</v>
      </c>
      <c r="J2033" s="101">
        <v>58282</v>
      </c>
      <c r="K2033" s="87" t="s">
        <v>14</v>
      </c>
      <c r="L2033" s="108"/>
      <c r="M2033" s="108"/>
      <c r="N2033" s="108" t="str">
        <v>P881H541</v>
      </c>
      <c r="O2033" s="108">
        <f t="shared" si="33"/>
        <v>1</v>
      </c>
      <c r="P2033" s="108"/>
      <c r="Q2033"/>
    </row>
    <row r="2034" spans="1:17" x14ac:dyDescent="0.25">
      <c r="A2034" s="89" t="s">
        <v>4978</v>
      </c>
      <c r="B2034" s="87" t="s">
        <v>4979</v>
      </c>
      <c r="C2034" s="87" t="s">
        <v>16</v>
      </c>
      <c r="D2034" s="87" t="str">
        <f>VLOOKUP(Tabela1[[#This Row],[Origem]], 'Perguntas 1 a 24'!$J$28:$K$34, 2, 0)</f>
        <v>Sudeste</v>
      </c>
      <c r="E2034" s="87" t="str">
        <f>Tabela1[[#This Row],[Descrição]]&amp;"-"&amp;Tabela1[[#This Row],[Código]]&amp;"/"&amp;Tabela1[[#This Row],[Origem]]</f>
        <v>Necofi-P881H541/MG</v>
      </c>
      <c r="F2034" s="88">
        <v>46693</v>
      </c>
      <c r="G2034" s="88" t="str" cm="1">
        <f t="array" ref="G20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AND(F2034&gt;= DATE(2026,1,1), F2034&lt;= DATE(2028, 12, 31), J2034&gt;50000), "Pendente e Caro", AND(F2034&gt;= DATE(2026,1,1), F2034&lt;= DATE(2028, 12, 31), J2034&lt;=50000), "Pendente", F2034&gt;= DATE(2029,1,1), "Não prioeitário")</f>
        <v>Pendente e Caro</v>
      </c>
      <c r="H2034" s="89">
        <f>YEAR(Tabela1[[#This Row],[Data de Validade]])</f>
        <v>2027</v>
      </c>
      <c r="I2034" s="89">
        <f>MONTH(Tabela1[[#This Row],[Data de Validade]])</f>
        <v>11</v>
      </c>
      <c r="J2034" s="101">
        <v>107740</v>
      </c>
      <c r="K2034" s="87" t="s">
        <v>11</v>
      </c>
      <c r="L2034" s="108"/>
      <c r="M2034" s="108"/>
      <c r="N2034" s="108" t="str">
        <v>P681P674</v>
      </c>
      <c r="O2034" s="108">
        <f t="shared" si="33"/>
        <v>1</v>
      </c>
      <c r="P2034" s="108"/>
      <c r="Q2034"/>
    </row>
    <row r="2035" spans="1:17" x14ac:dyDescent="0.25">
      <c r="A2035" s="89" t="s">
        <v>10239</v>
      </c>
      <c r="B2035" s="87" t="s">
        <v>10240</v>
      </c>
      <c r="C2035" s="87" t="s">
        <v>6</v>
      </c>
      <c r="D2035" s="87" t="str">
        <f>VLOOKUP(Tabela1[[#This Row],[Origem]], 'Perguntas 1 a 24'!$J$28:$K$34, 2, 0)</f>
        <v>Nordeste</v>
      </c>
      <c r="E2035" s="87" t="str">
        <f>Tabela1[[#This Row],[Descrição]]&amp;"-"&amp;Tabela1[[#This Row],[Código]]&amp;"/"&amp;Tabela1[[#This Row],[Origem]]</f>
        <v>Polido-P681P674/MA</v>
      </c>
      <c r="F2035" s="88">
        <v>46694</v>
      </c>
      <c r="G2035" s="88" t="str" cm="1">
        <f t="array" ref="G20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AND(F2035&gt;= DATE(2026,1,1), F2035&lt;= DATE(2028, 12, 31), J2035&gt;50000), "Pendente e Caro", AND(F2035&gt;= DATE(2026,1,1), F2035&lt;= DATE(2028, 12, 31), J2035&lt;=50000), "Pendente", F2035&gt;= DATE(2029,1,1), "Não prioeitário")</f>
        <v>Pendente e Caro</v>
      </c>
      <c r="H2035" s="89">
        <f>YEAR(Tabela1[[#This Row],[Data de Validade]])</f>
        <v>2027</v>
      </c>
      <c r="I2035" s="89">
        <f>MONTH(Tabela1[[#This Row],[Data de Validade]])</f>
        <v>11</v>
      </c>
      <c r="J2035" s="101">
        <v>112267</v>
      </c>
      <c r="K2035" s="87" t="s">
        <v>14</v>
      </c>
      <c r="L2035" s="108"/>
      <c r="M2035" s="108"/>
      <c r="N2035" s="108" t="str">
        <v>H254H651</v>
      </c>
      <c r="O2035" s="108">
        <f t="shared" si="33"/>
        <v>1</v>
      </c>
      <c r="P2035" s="108"/>
      <c r="Q2035"/>
    </row>
    <row r="2036" spans="1:17" x14ac:dyDescent="0.25">
      <c r="A2036" s="89" t="s">
        <v>9203</v>
      </c>
      <c r="B2036" s="87" t="s">
        <v>9204</v>
      </c>
      <c r="C2036" s="87" t="s">
        <v>8</v>
      </c>
      <c r="D2036" s="87" t="str">
        <f>VLOOKUP(Tabela1[[#This Row],[Origem]], 'Perguntas 1 a 24'!$J$28:$K$34, 2, 0)</f>
        <v>Nordeste</v>
      </c>
      <c r="E2036" s="87" t="str">
        <f>Tabela1[[#This Row],[Descrição]]&amp;"-"&amp;Tabela1[[#This Row],[Código]]&amp;"/"&amp;Tabela1[[#This Row],[Origem]]</f>
        <v>Pefuru-H254H651/AL</v>
      </c>
      <c r="F2036" s="88">
        <v>46694</v>
      </c>
      <c r="G2036" s="88" t="str" cm="1">
        <f t="array" ref="G20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AND(F2036&gt;= DATE(2026,1,1), F2036&lt;= DATE(2028, 12, 31), J2036&gt;50000), "Pendente e Caro", AND(F2036&gt;= DATE(2026,1,1), F2036&lt;= DATE(2028, 12, 31), J2036&lt;=50000), "Pendente", F2036&gt;= DATE(2029,1,1), "Não prioeitário")</f>
        <v>Pendente e Caro</v>
      </c>
      <c r="H2036" s="89">
        <f>YEAR(Tabela1[[#This Row],[Data de Validade]])</f>
        <v>2027</v>
      </c>
      <c r="I2036" s="89">
        <f>MONTH(Tabela1[[#This Row],[Data de Validade]])</f>
        <v>11</v>
      </c>
      <c r="J2036" s="101">
        <v>65720</v>
      </c>
      <c r="K2036" s="87" t="s">
        <v>11</v>
      </c>
      <c r="L2036" s="108"/>
      <c r="M2036" s="108"/>
      <c r="N2036" s="108" t="str">
        <v>P838H438</v>
      </c>
      <c r="O2036" s="108">
        <f t="shared" si="33"/>
        <v>1</v>
      </c>
      <c r="P2036" s="108"/>
      <c r="Q2036"/>
    </row>
    <row r="2037" spans="1:17" x14ac:dyDescent="0.25">
      <c r="A2037" s="89" t="s">
        <v>7422</v>
      </c>
      <c r="B2037" s="87" t="s">
        <v>7423</v>
      </c>
      <c r="C2037" s="87" t="s">
        <v>10</v>
      </c>
      <c r="D2037" s="87" t="str">
        <f>VLOOKUP(Tabela1[[#This Row],[Origem]], 'Perguntas 1 a 24'!$J$28:$K$34, 2, 0)</f>
        <v>Centro-Oeste</v>
      </c>
      <c r="E2037" s="87" t="str">
        <f>Tabela1[[#This Row],[Descrição]]&amp;"-"&amp;Tabela1[[#This Row],[Código]]&amp;"/"&amp;Tabela1[[#This Row],[Origem]]</f>
        <v>Penero-P838H438/GO</v>
      </c>
      <c r="F2037" s="88">
        <v>46695</v>
      </c>
      <c r="G2037" s="88" t="str" cm="1">
        <f t="array" ref="G20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AND(F2037&gt;= DATE(2026,1,1), F2037&lt;= DATE(2028, 12, 31), J2037&gt;50000), "Pendente e Caro", AND(F2037&gt;= DATE(2026,1,1), F2037&lt;= DATE(2028, 12, 31), J2037&lt;=50000), "Pendente", F2037&gt;= DATE(2029,1,1), "Não prioeitário")</f>
        <v>Pendente e Caro</v>
      </c>
      <c r="H2037" s="89">
        <f>YEAR(Tabela1[[#This Row],[Data de Validade]])</f>
        <v>2027</v>
      </c>
      <c r="I2037" s="89">
        <f>MONTH(Tabela1[[#This Row],[Data de Validade]])</f>
        <v>11</v>
      </c>
      <c r="J2037" s="101">
        <v>90559</v>
      </c>
      <c r="K2037" s="87" t="s">
        <v>7</v>
      </c>
      <c r="L2037" s="108"/>
      <c r="M2037" s="108"/>
      <c r="N2037" s="108" t="str">
        <v>H548H579</v>
      </c>
      <c r="O2037" s="108">
        <f t="shared" si="33"/>
        <v>1</v>
      </c>
      <c r="P2037" s="108"/>
      <c r="Q2037"/>
    </row>
    <row r="2038" spans="1:17" x14ac:dyDescent="0.25">
      <c r="A2038" s="89" t="s">
        <v>7256</v>
      </c>
      <c r="B2038" s="87" t="s">
        <v>7257</v>
      </c>
      <c r="C2038" s="87" t="s">
        <v>16</v>
      </c>
      <c r="D2038" s="87" t="str">
        <f>VLOOKUP(Tabela1[[#This Row],[Origem]], 'Perguntas 1 a 24'!$J$28:$K$34, 2, 0)</f>
        <v>Sudeste</v>
      </c>
      <c r="E2038" s="87" t="str">
        <f>Tabela1[[#This Row],[Descrição]]&amp;"-"&amp;Tabela1[[#This Row],[Código]]&amp;"/"&amp;Tabela1[[#This Row],[Origem]]</f>
        <v>Pepape-H548H579/MG</v>
      </c>
      <c r="F2038" s="88">
        <v>46695</v>
      </c>
      <c r="G2038" s="88" t="str" cm="1">
        <f t="array" ref="G20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AND(F2038&gt;= DATE(2026,1,1), F2038&lt;= DATE(2028, 12, 31), J2038&gt;50000), "Pendente e Caro", AND(F2038&gt;= DATE(2026,1,1), F2038&lt;= DATE(2028, 12, 31), J2038&lt;=50000), "Pendente", F2038&gt;= DATE(2029,1,1), "Não prioeitário")</f>
        <v>Pendente e Caro</v>
      </c>
      <c r="H2038" s="89">
        <f>YEAR(Tabela1[[#This Row],[Data de Validade]])</f>
        <v>2027</v>
      </c>
      <c r="I2038" s="89">
        <f>MONTH(Tabela1[[#This Row],[Data de Validade]])</f>
        <v>11</v>
      </c>
      <c r="J2038" s="101">
        <v>55815</v>
      </c>
      <c r="K2038" s="87" t="s">
        <v>11</v>
      </c>
      <c r="L2038" s="108"/>
      <c r="M2038" s="108"/>
      <c r="N2038" s="108" t="str">
        <v>P321H585</v>
      </c>
      <c r="O2038" s="108">
        <f t="shared" si="33"/>
        <v>1</v>
      </c>
      <c r="P2038" s="108"/>
      <c r="Q2038"/>
    </row>
    <row r="2039" spans="1:17" x14ac:dyDescent="0.25">
      <c r="A2039" s="89" t="s">
        <v>4878</v>
      </c>
      <c r="B2039" s="87" t="s">
        <v>4879</v>
      </c>
      <c r="C2039" s="87" t="s">
        <v>13</v>
      </c>
      <c r="D2039" s="87" t="str">
        <f>VLOOKUP(Tabela1[[#This Row],[Origem]], 'Perguntas 1 a 24'!$J$28:$K$34, 2, 0)</f>
        <v>Sudeste</v>
      </c>
      <c r="E2039" s="87" t="str">
        <f>Tabela1[[#This Row],[Descrição]]&amp;"-"&amp;Tabela1[[#This Row],[Código]]&amp;"/"&amp;Tabela1[[#This Row],[Origem]]</f>
        <v>Gemunigupi-P321H585/SP</v>
      </c>
      <c r="F2039" s="88">
        <v>46696</v>
      </c>
      <c r="G2039" s="88" t="str" cm="1">
        <f t="array" ref="G20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AND(F2039&gt;= DATE(2026,1,1), F2039&lt;= DATE(2028, 12, 31), J2039&gt;50000), "Pendente e Caro", AND(F2039&gt;= DATE(2026,1,1), F2039&lt;= DATE(2028, 12, 31), J2039&lt;=50000), "Pendente", F2039&gt;= DATE(2029,1,1), "Não prioeitário")</f>
        <v>Pendente e Caro</v>
      </c>
      <c r="H2039" s="89">
        <f>YEAR(Tabela1[[#This Row],[Data de Validade]])</f>
        <v>2027</v>
      </c>
      <c r="I2039" s="89">
        <f>MONTH(Tabela1[[#This Row],[Data de Validade]])</f>
        <v>11</v>
      </c>
      <c r="J2039" s="101">
        <v>87516</v>
      </c>
      <c r="K2039" s="87" t="s">
        <v>14</v>
      </c>
      <c r="L2039" s="108"/>
      <c r="M2039" s="108"/>
      <c r="N2039" s="108" t="str">
        <v>H454P228</v>
      </c>
      <c r="O2039" s="108">
        <f t="shared" si="33"/>
        <v>1</v>
      </c>
      <c r="P2039" s="108"/>
      <c r="Q2039"/>
    </row>
    <row r="2040" spans="1:17" x14ac:dyDescent="0.25">
      <c r="A2040" s="89" t="s">
        <v>8855</v>
      </c>
      <c r="B2040" s="87" t="s">
        <v>8856</v>
      </c>
      <c r="C2040" s="87" t="s">
        <v>12</v>
      </c>
      <c r="D2040" s="87" t="str">
        <f>VLOOKUP(Tabela1[[#This Row],[Origem]], 'Perguntas 1 a 24'!$J$28:$K$34, 2, 0)</f>
        <v>Sudeste</v>
      </c>
      <c r="E2040" s="87" t="str">
        <f>Tabela1[[#This Row],[Descrição]]&amp;"-"&amp;Tabela1[[#This Row],[Código]]&amp;"/"&amp;Tabela1[[#This Row],[Origem]]</f>
        <v>Nifagitu-H454P228/RJ</v>
      </c>
      <c r="F2040" s="88">
        <v>46698</v>
      </c>
      <c r="G2040" s="88" t="str" cm="1">
        <f t="array" ref="G20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AND(F2040&gt;= DATE(2026,1,1), F2040&lt;= DATE(2028, 12, 31), J2040&gt;50000), "Pendente e Caro", AND(F2040&gt;= DATE(2026,1,1), F2040&lt;= DATE(2028, 12, 31), J2040&lt;=50000), "Pendente", F2040&gt;= DATE(2029,1,1), "Não prioeitário")</f>
        <v>Pendente</v>
      </c>
      <c r="H2040" s="89">
        <f>YEAR(Tabela1[[#This Row],[Data de Validade]])</f>
        <v>2027</v>
      </c>
      <c r="I2040" s="89">
        <f>MONTH(Tabela1[[#This Row],[Data de Validade]])</f>
        <v>11</v>
      </c>
      <c r="J2040" s="101">
        <v>40413</v>
      </c>
      <c r="K2040" s="87" t="s">
        <v>14</v>
      </c>
      <c r="L2040" s="108"/>
      <c r="M2040" s="108"/>
      <c r="N2040" s="108" t="str">
        <v>P766H336</v>
      </c>
      <c r="O2040" s="108">
        <f t="shared" si="33"/>
        <v>1</v>
      </c>
      <c r="P2040" s="108"/>
      <c r="Q2040"/>
    </row>
    <row r="2041" spans="1:17" x14ac:dyDescent="0.25">
      <c r="A2041" s="89" t="s">
        <v>7928</v>
      </c>
      <c r="B2041" s="87" t="s">
        <v>7929</v>
      </c>
      <c r="C2041" s="87" t="s">
        <v>6</v>
      </c>
      <c r="D2041" s="87" t="str">
        <f>VLOOKUP(Tabela1[[#This Row],[Origem]], 'Perguntas 1 a 24'!$J$28:$K$34, 2, 0)</f>
        <v>Nordeste</v>
      </c>
      <c r="E2041" s="87" t="str">
        <f>Tabela1[[#This Row],[Descrição]]&amp;"-"&amp;Tabela1[[#This Row],[Código]]&amp;"/"&amp;Tabela1[[#This Row],[Origem]]</f>
        <v>Pinevene-P766H336/MA</v>
      </c>
      <c r="F2041" s="88">
        <v>46698</v>
      </c>
      <c r="G2041" s="88" t="str" cm="1">
        <f t="array" ref="G20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AND(F2041&gt;= DATE(2026,1,1), F2041&lt;= DATE(2028, 12, 31), J2041&gt;50000), "Pendente e Caro", AND(F2041&gt;= DATE(2026,1,1), F2041&lt;= DATE(2028, 12, 31), J2041&lt;=50000), "Pendente", F2041&gt;= DATE(2029,1,1), "Não prioeitário")</f>
        <v>Pendente</v>
      </c>
      <c r="H2041" s="89">
        <f>YEAR(Tabela1[[#This Row],[Data de Validade]])</f>
        <v>2027</v>
      </c>
      <c r="I2041" s="89">
        <f>MONTH(Tabela1[[#This Row],[Data de Validade]])</f>
        <v>11</v>
      </c>
      <c r="J2041" s="101">
        <v>25798</v>
      </c>
      <c r="K2041" s="87" t="s">
        <v>9</v>
      </c>
      <c r="L2041" s="108"/>
      <c r="M2041" s="108"/>
      <c r="N2041" s="108" t="str">
        <v>P538H835</v>
      </c>
      <c r="O2041" s="108">
        <f t="shared" si="33"/>
        <v>1</v>
      </c>
      <c r="P2041" s="108"/>
      <c r="Q2041"/>
    </row>
    <row r="2042" spans="1:17" x14ac:dyDescent="0.25">
      <c r="A2042" s="89" t="s">
        <v>6736</v>
      </c>
      <c r="B2042" s="87" t="s">
        <v>6737</v>
      </c>
      <c r="C2042" s="87" t="s">
        <v>15</v>
      </c>
      <c r="D2042" s="87" t="str">
        <f>VLOOKUP(Tabela1[[#This Row],[Origem]], 'Perguntas 1 a 24'!$J$28:$K$34, 2, 0)</f>
        <v>Sudeste</v>
      </c>
      <c r="E2042" s="87" t="str">
        <f>Tabela1[[#This Row],[Descrição]]&amp;"-"&amp;Tabela1[[#This Row],[Código]]&amp;"/"&amp;Tabela1[[#This Row],[Origem]]</f>
        <v>Dunepa-P538H835/ES</v>
      </c>
      <c r="F2042" s="88">
        <v>46699</v>
      </c>
      <c r="G2042" s="88" t="str" cm="1">
        <f t="array" ref="G20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AND(F2042&gt;= DATE(2026,1,1), F2042&lt;= DATE(2028, 12, 31), J2042&gt;50000), "Pendente e Caro", AND(F2042&gt;= DATE(2026,1,1), F2042&lt;= DATE(2028, 12, 31), J2042&lt;=50000), "Pendente", F2042&gt;= DATE(2029,1,1), "Não prioeitário")</f>
        <v>Pendente e Caro</v>
      </c>
      <c r="H2042" s="89">
        <f>YEAR(Tabela1[[#This Row],[Data de Validade]])</f>
        <v>2027</v>
      </c>
      <c r="I2042" s="89">
        <f>MONTH(Tabela1[[#This Row],[Data de Validade]])</f>
        <v>11</v>
      </c>
      <c r="J2042" s="101">
        <v>97211</v>
      </c>
      <c r="K2042" s="87" t="s">
        <v>7</v>
      </c>
      <c r="L2042" s="108"/>
      <c r="M2042" s="108"/>
      <c r="N2042" s="108" t="str">
        <v>P345P496</v>
      </c>
      <c r="O2042" s="108">
        <f t="shared" si="33"/>
        <v>1</v>
      </c>
      <c r="P2042" s="108"/>
      <c r="Q2042"/>
    </row>
    <row r="2043" spans="1:17" x14ac:dyDescent="0.25">
      <c r="A2043" s="89" t="s">
        <v>7746</v>
      </c>
      <c r="B2043" s="87" t="s">
        <v>7747</v>
      </c>
      <c r="C2043" s="87" t="s">
        <v>6</v>
      </c>
      <c r="D2043" s="87" t="str">
        <f>VLOOKUP(Tabela1[[#This Row],[Origem]], 'Perguntas 1 a 24'!$J$28:$K$34, 2, 0)</f>
        <v>Nordeste</v>
      </c>
      <c r="E2043" s="87" t="str">
        <f>Tabela1[[#This Row],[Descrição]]&amp;"-"&amp;Tabela1[[#This Row],[Código]]&amp;"/"&amp;Tabela1[[#This Row],[Origem]]</f>
        <v>Titudaradu-P345P496/MA</v>
      </c>
      <c r="F2043" s="88">
        <v>46699</v>
      </c>
      <c r="G2043" s="88" t="str" cm="1">
        <f t="array" ref="G20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AND(F2043&gt;= DATE(2026,1,1), F2043&lt;= DATE(2028, 12, 31), J2043&gt;50000), "Pendente e Caro", AND(F2043&gt;= DATE(2026,1,1), F2043&lt;= DATE(2028, 12, 31), J2043&lt;=50000), "Pendente", F2043&gt;= DATE(2029,1,1), "Não prioeitário")</f>
        <v>Pendente e Caro</v>
      </c>
      <c r="H2043" s="89">
        <f>YEAR(Tabela1[[#This Row],[Data de Validade]])</f>
        <v>2027</v>
      </c>
      <c r="I2043" s="89">
        <f>MONTH(Tabela1[[#This Row],[Data de Validade]])</f>
        <v>11</v>
      </c>
      <c r="J2043" s="101">
        <v>57936</v>
      </c>
      <c r="K2043" s="87" t="s">
        <v>14</v>
      </c>
      <c r="L2043" s="108"/>
      <c r="M2043" s="108"/>
      <c r="N2043" s="108" t="str">
        <v>P921H669</v>
      </c>
      <c r="O2043" s="108">
        <f t="shared" si="33"/>
        <v>1</v>
      </c>
      <c r="P2043" s="108"/>
      <c r="Q2043"/>
    </row>
    <row r="2044" spans="1:17" x14ac:dyDescent="0.25">
      <c r="A2044" s="89" t="s">
        <v>9601</v>
      </c>
      <c r="B2044" s="87" t="s">
        <v>9602</v>
      </c>
      <c r="C2044" s="87" t="s">
        <v>13</v>
      </c>
      <c r="D2044" s="87" t="str">
        <f>VLOOKUP(Tabela1[[#This Row],[Origem]], 'Perguntas 1 a 24'!$J$28:$K$34, 2, 0)</f>
        <v>Sudeste</v>
      </c>
      <c r="E2044" s="87" t="str">
        <f>Tabela1[[#This Row],[Descrição]]&amp;"-"&amp;Tabela1[[#This Row],[Código]]&amp;"/"&amp;Tabela1[[#This Row],[Origem]]</f>
        <v>Davefo-P921H669/SP</v>
      </c>
      <c r="F2044" s="88">
        <v>46700</v>
      </c>
      <c r="G2044" s="88" t="str" cm="1">
        <f t="array" ref="G20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AND(F2044&gt;= DATE(2026,1,1), F2044&lt;= DATE(2028, 12, 31), J2044&gt;50000), "Pendente e Caro", AND(F2044&gt;= DATE(2026,1,1), F2044&lt;= DATE(2028, 12, 31), J2044&lt;=50000), "Pendente", F2044&gt;= DATE(2029,1,1), "Não prioeitário")</f>
        <v>Pendente e Caro</v>
      </c>
      <c r="H2044" s="89">
        <f>YEAR(Tabela1[[#This Row],[Data de Validade]])</f>
        <v>2027</v>
      </c>
      <c r="I2044" s="89">
        <f>MONTH(Tabela1[[#This Row],[Data de Validade]])</f>
        <v>11</v>
      </c>
      <c r="J2044" s="101">
        <v>92864</v>
      </c>
      <c r="K2044" s="87" t="s">
        <v>14</v>
      </c>
      <c r="L2044" s="108"/>
      <c r="M2044" s="108"/>
      <c r="N2044" s="108" t="str">
        <v>H467P162</v>
      </c>
      <c r="O2044" s="108">
        <f t="shared" si="33"/>
        <v>1</v>
      </c>
      <c r="P2044" s="108"/>
      <c r="Q2044"/>
    </row>
    <row r="2045" spans="1:17" x14ac:dyDescent="0.25">
      <c r="A2045" s="89" t="s">
        <v>8597</v>
      </c>
      <c r="B2045" s="87" t="s">
        <v>8598</v>
      </c>
      <c r="C2045" s="87" t="s">
        <v>10</v>
      </c>
      <c r="D2045" s="87" t="str">
        <f>VLOOKUP(Tabela1[[#This Row],[Origem]], 'Perguntas 1 a 24'!$J$28:$K$34, 2, 0)</f>
        <v>Centro-Oeste</v>
      </c>
      <c r="E2045" s="87" t="str">
        <f>Tabela1[[#This Row],[Descrição]]&amp;"-"&amp;Tabela1[[#This Row],[Código]]&amp;"/"&amp;Tabela1[[#This Row],[Origem]]</f>
        <v>Peradadupe-H467P162/GO</v>
      </c>
      <c r="F2045" s="88">
        <v>46700</v>
      </c>
      <c r="G2045" s="88" t="str" cm="1">
        <f t="array" ref="G20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AND(F2045&gt;= DATE(2026,1,1), F2045&lt;= DATE(2028, 12, 31), J2045&gt;50000), "Pendente e Caro", AND(F2045&gt;= DATE(2026,1,1), F2045&lt;= DATE(2028, 12, 31), J2045&lt;=50000), "Pendente", F2045&gt;= DATE(2029,1,1), "Não prioeitário")</f>
        <v>Pendente e Caro</v>
      </c>
      <c r="H2045" s="89">
        <f>YEAR(Tabela1[[#This Row],[Data de Validade]])</f>
        <v>2027</v>
      </c>
      <c r="I2045" s="89">
        <f>MONTH(Tabela1[[#This Row],[Data de Validade]])</f>
        <v>11</v>
      </c>
      <c r="J2045" s="101">
        <v>82324</v>
      </c>
      <c r="K2045" s="87" t="s">
        <v>7</v>
      </c>
      <c r="L2045" s="108"/>
      <c r="M2045" s="108"/>
      <c r="N2045" s="108" t="str">
        <v>P169H534</v>
      </c>
      <c r="O2045" s="108">
        <f t="shared" si="33"/>
        <v>1</v>
      </c>
      <c r="P2045" s="108"/>
      <c r="Q2045"/>
    </row>
    <row r="2046" spans="1:17" x14ac:dyDescent="0.25">
      <c r="A2046" s="89" t="s">
        <v>4183</v>
      </c>
      <c r="B2046" s="87" t="s">
        <v>4184</v>
      </c>
      <c r="C2046" s="87" t="s">
        <v>10</v>
      </c>
      <c r="D2046" s="87" t="str">
        <f>VLOOKUP(Tabela1[[#This Row],[Origem]], 'Perguntas 1 a 24'!$J$28:$K$34, 2, 0)</f>
        <v>Centro-Oeste</v>
      </c>
      <c r="E2046" s="87" t="str">
        <f>Tabela1[[#This Row],[Descrição]]&amp;"-"&amp;Tabela1[[#This Row],[Código]]&amp;"/"&amp;Tabela1[[#This Row],[Origem]]</f>
        <v>Rapitepe-P169H534/GO</v>
      </c>
      <c r="F2046" s="88">
        <v>46702</v>
      </c>
      <c r="G2046" s="88" t="str" cm="1">
        <f t="array" ref="G20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AND(F2046&gt;= DATE(2026,1,1), F2046&lt;= DATE(2028, 12, 31), J2046&gt;50000), "Pendente e Caro", AND(F2046&gt;= DATE(2026,1,1), F2046&lt;= DATE(2028, 12, 31), J2046&lt;=50000), "Pendente", F2046&gt;= DATE(2029,1,1), "Não prioeitário")</f>
        <v>Pendente e Caro</v>
      </c>
      <c r="H2046" s="89">
        <f>YEAR(Tabela1[[#This Row],[Data de Validade]])</f>
        <v>2027</v>
      </c>
      <c r="I2046" s="89">
        <f>MONTH(Tabela1[[#This Row],[Data de Validade]])</f>
        <v>11</v>
      </c>
      <c r="J2046" s="101">
        <v>87734</v>
      </c>
      <c r="K2046" s="87" t="s">
        <v>14</v>
      </c>
      <c r="L2046" s="108"/>
      <c r="M2046" s="108"/>
      <c r="N2046" s="108" t="str">
        <v>H414H343</v>
      </c>
      <c r="O2046" s="108">
        <f t="shared" si="33"/>
        <v>1</v>
      </c>
      <c r="P2046" s="108"/>
      <c r="Q2046"/>
    </row>
    <row r="2047" spans="1:17" x14ac:dyDescent="0.25">
      <c r="A2047" s="89" t="s">
        <v>4564</v>
      </c>
      <c r="B2047" s="87" t="s">
        <v>4565</v>
      </c>
      <c r="C2047" s="87" t="s">
        <v>15</v>
      </c>
      <c r="D2047" s="87" t="str">
        <f>VLOOKUP(Tabela1[[#This Row],[Origem]], 'Perguntas 1 a 24'!$J$28:$K$34, 2, 0)</f>
        <v>Sudeste</v>
      </c>
      <c r="E2047" s="87" t="str">
        <f>Tabela1[[#This Row],[Descrição]]&amp;"-"&amp;Tabela1[[#This Row],[Código]]&amp;"/"&amp;Tabela1[[#This Row],[Origem]]</f>
        <v>Recura-H414H343/ES</v>
      </c>
      <c r="F2047" s="88">
        <v>46703</v>
      </c>
      <c r="G2047" s="88" t="str" cm="1">
        <f t="array" ref="G20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AND(F2047&gt;= DATE(2026,1,1), F2047&lt;= DATE(2028, 12, 31), J2047&gt;50000), "Pendente e Caro", AND(F2047&gt;= DATE(2026,1,1), F2047&lt;= DATE(2028, 12, 31), J2047&lt;=50000), "Pendente", F2047&gt;= DATE(2029,1,1), "Não prioeitário")</f>
        <v>Pendente e Caro</v>
      </c>
      <c r="H2047" s="89">
        <f>YEAR(Tabela1[[#This Row],[Data de Validade]])</f>
        <v>2027</v>
      </c>
      <c r="I2047" s="89">
        <f>MONTH(Tabela1[[#This Row],[Data de Validade]])</f>
        <v>11</v>
      </c>
      <c r="J2047" s="101">
        <v>61967</v>
      </c>
      <c r="K2047" s="87" t="s">
        <v>7</v>
      </c>
      <c r="L2047" s="108"/>
      <c r="M2047" s="108"/>
      <c r="N2047" s="108" t="str">
        <v>H559P117</v>
      </c>
      <c r="O2047" s="108">
        <f t="shared" si="33"/>
        <v>1</v>
      </c>
      <c r="P2047" s="108"/>
      <c r="Q2047"/>
    </row>
    <row r="2048" spans="1:17" x14ac:dyDescent="0.25">
      <c r="A2048" s="89" t="s">
        <v>7080</v>
      </c>
      <c r="B2048" s="87" t="s">
        <v>7081</v>
      </c>
      <c r="C2048" s="87" t="s">
        <v>10</v>
      </c>
      <c r="D2048" s="87" t="str">
        <f>VLOOKUP(Tabela1[[#This Row],[Origem]], 'Perguntas 1 a 24'!$J$28:$K$34, 2, 0)</f>
        <v>Centro-Oeste</v>
      </c>
      <c r="E2048" s="87" t="str">
        <f>Tabela1[[#This Row],[Descrição]]&amp;"-"&amp;Tabela1[[#This Row],[Código]]&amp;"/"&amp;Tabela1[[#This Row],[Origem]]</f>
        <v>Movarafugi-H559P117/GO</v>
      </c>
      <c r="F2048" s="88">
        <v>46704</v>
      </c>
      <c r="G2048" s="88" t="str" cm="1">
        <f t="array" ref="G20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AND(F2048&gt;= DATE(2026,1,1), F2048&lt;= DATE(2028, 12, 31), J2048&gt;50000), "Pendente e Caro", AND(F2048&gt;= DATE(2026,1,1), F2048&lt;= DATE(2028, 12, 31), J2048&lt;=50000), "Pendente", F2048&gt;= DATE(2029,1,1), "Não prioeitário")</f>
        <v>Pendente e Caro</v>
      </c>
      <c r="H2048" s="89">
        <f>YEAR(Tabela1[[#This Row],[Data de Validade]])</f>
        <v>2027</v>
      </c>
      <c r="I2048" s="89">
        <f>MONTH(Tabela1[[#This Row],[Data de Validade]])</f>
        <v>11</v>
      </c>
      <c r="J2048" s="101">
        <v>83305</v>
      </c>
      <c r="K2048" s="87" t="s">
        <v>9</v>
      </c>
      <c r="L2048" s="108"/>
      <c r="M2048" s="108"/>
      <c r="N2048" s="108" t="str">
        <v>P598H245</v>
      </c>
      <c r="O2048" s="108">
        <f t="shared" si="33"/>
        <v>1</v>
      </c>
      <c r="P2048" s="108"/>
      <c r="Q2048"/>
    </row>
    <row r="2049" spans="1:17" x14ac:dyDescent="0.25">
      <c r="A2049" s="89" t="s">
        <v>5814</v>
      </c>
      <c r="B2049" s="87" t="s">
        <v>5815</v>
      </c>
      <c r="C2049" s="87" t="s">
        <v>6</v>
      </c>
      <c r="D2049" s="87" t="str">
        <f>VLOOKUP(Tabela1[[#This Row],[Origem]], 'Perguntas 1 a 24'!$J$28:$K$34, 2, 0)</f>
        <v>Nordeste</v>
      </c>
      <c r="E2049" s="87" t="str">
        <f>Tabela1[[#This Row],[Descrição]]&amp;"-"&amp;Tabela1[[#This Row],[Código]]&amp;"/"&amp;Tabela1[[#This Row],[Origem]]</f>
        <v>Vetamomoce-P598H245/MA</v>
      </c>
      <c r="F2049" s="88">
        <v>46704</v>
      </c>
      <c r="G2049" s="88" t="str" cm="1">
        <f t="array" ref="G20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AND(F2049&gt;= DATE(2026,1,1), F2049&lt;= DATE(2028, 12, 31), J2049&gt;50000), "Pendente e Caro", AND(F2049&gt;= DATE(2026,1,1), F2049&lt;= DATE(2028, 12, 31), J2049&lt;=50000), "Pendente", F2049&gt;= DATE(2029,1,1), "Não prioeitário")</f>
        <v>Pendente e Caro</v>
      </c>
      <c r="H2049" s="89">
        <f>YEAR(Tabela1[[#This Row],[Data de Validade]])</f>
        <v>2027</v>
      </c>
      <c r="I2049" s="89">
        <f>MONTH(Tabela1[[#This Row],[Data de Validade]])</f>
        <v>11</v>
      </c>
      <c r="J2049" s="101">
        <v>74895</v>
      </c>
      <c r="K2049" s="87" t="s">
        <v>11</v>
      </c>
      <c r="L2049" s="108"/>
      <c r="M2049" s="108"/>
      <c r="N2049" s="108" t="str">
        <v>P631P363</v>
      </c>
      <c r="O2049" s="108">
        <f t="shared" si="33"/>
        <v>1</v>
      </c>
      <c r="P2049" s="108"/>
      <c r="Q2049"/>
    </row>
    <row r="2050" spans="1:17" x14ac:dyDescent="0.25">
      <c r="A2050" s="89" t="s">
        <v>4514</v>
      </c>
      <c r="B2050" s="87" t="s">
        <v>4515</v>
      </c>
      <c r="C2050" s="87" t="s">
        <v>6</v>
      </c>
      <c r="D2050" s="87" t="str">
        <f>VLOOKUP(Tabela1[[#This Row],[Origem]], 'Perguntas 1 a 24'!$J$28:$K$34, 2, 0)</f>
        <v>Nordeste</v>
      </c>
      <c r="E2050" s="87" t="str">
        <f>Tabela1[[#This Row],[Descrição]]&amp;"-"&amp;Tabela1[[#This Row],[Código]]&amp;"/"&amp;Tabela1[[#This Row],[Origem]]</f>
        <v>Pegopamo-P631P363/MA</v>
      </c>
      <c r="F2050" s="88">
        <v>46704</v>
      </c>
      <c r="G2050" s="88" t="str" cm="1">
        <f t="array" ref="G20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AND(F2050&gt;= DATE(2026,1,1), F2050&lt;= DATE(2028, 12, 31), J2050&gt;50000), "Pendente e Caro", AND(F2050&gt;= DATE(2026,1,1), F2050&lt;= DATE(2028, 12, 31), J2050&lt;=50000), "Pendente", F2050&gt;= DATE(2029,1,1), "Não prioeitário")</f>
        <v>Pendente e Caro</v>
      </c>
      <c r="H2050" s="89">
        <f>YEAR(Tabela1[[#This Row],[Data de Validade]])</f>
        <v>2027</v>
      </c>
      <c r="I2050" s="89">
        <f>MONTH(Tabela1[[#This Row],[Data de Validade]])</f>
        <v>11</v>
      </c>
      <c r="J2050" s="101">
        <v>74571</v>
      </c>
      <c r="K2050" s="87" t="s">
        <v>7</v>
      </c>
      <c r="L2050" s="108"/>
      <c r="M2050" s="108"/>
      <c r="N2050" s="108" t="str">
        <v>H259P161</v>
      </c>
      <c r="O2050" s="108">
        <f t="shared" si="33"/>
        <v>1</v>
      </c>
      <c r="P2050" s="108"/>
      <c r="Q2050"/>
    </row>
    <row r="2051" spans="1:17" x14ac:dyDescent="0.25">
      <c r="A2051" s="89" t="s">
        <v>8871</v>
      </c>
      <c r="B2051" s="87" t="s">
        <v>8872</v>
      </c>
      <c r="C2051" s="87" t="s">
        <v>12</v>
      </c>
      <c r="D2051" s="87" t="str">
        <f>VLOOKUP(Tabela1[[#This Row],[Origem]], 'Perguntas 1 a 24'!$J$28:$K$34, 2, 0)</f>
        <v>Sudeste</v>
      </c>
      <c r="E2051" s="87" t="str">
        <f>Tabela1[[#This Row],[Descrição]]&amp;"-"&amp;Tabela1[[#This Row],[Código]]&amp;"/"&amp;Tabela1[[#This Row],[Origem]]</f>
        <v>Capoda-H259P161/RJ</v>
      </c>
      <c r="F2051" s="88">
        <v>46704</v>
      </c>
      <c r="G2051" s="88" t="str" cm="1">
        <f t="array" ref="G20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AND(F2051&gt;= DATE(2026,1,1), F2051&lt;= DATE(2028, 12, 31), J2051&gt;50000), "Pendente e Caro", AND(F2051&gt;= DATE(2026,1,1), F2051&lt;= DATE(2028, 12, 31), J2051&lt;=50000), "Pendente", F2051&gt;= DATE(2029,1,1), "Não prioeitário")</f>
        <v>Pendente</v>
      </c>
      <c r="H2051" s="89">
        <f>YEAR(Tabela1[[#This Row],[Data de Validade]])</f>
        <v>2027</v>
      </c>
      <c r="I2051" s="89">
        <f>MONTH(Tabela1[[#This Row],[Data de Validade]])</f>
        <v>11</v>
      </c>
      <c r="J2051" s="101">
        <v>38705</v>
      </c>
      <c r="K2051" s="87" t="s">
        <v>11</v>
      </c>
      <c r="L2051" s="108"/>
      <c r="M2051" s="108"/>
      <c r="N2051" s="108" t="str">
        <v>H643H146</v>
      </c>
      <c r="O2051" s="108">
        <f t="shared" ref="O2051:O2114" si="34">COUNTIFS(B:B,N2051)</f>
        <v>1</v>
      </c>
      <c r="P2051" s="108"/>
      <c r="Q2051"/>
    </row>
    <row r="2052" spans="1:17" x14ac:dyDescent="0.25">
      <c r="A2052" s="89" t="s">
        <v>4974</v>
      </c>
      <c r="B2052" s="87" t="s">
        <v>4975</v>
      </c>
      <c r="C2052" s="87" t="s">
        <v>16</v>
      </c>
      <c r="D2052" s="87" t="str">
        <f>VLOOKUP(Tabela1[[#This Row],[Origem]], 'Perguntas 1 a 24'!$J$28:$K$34, 2, 0)</f>
        <v>Sudeste</v>
      </c>
      <c r="E2052" s="87" t="str">
        <f>Tabela1[[#This Row],[Descrição]]&amp;"-"&amp;Tabela1[[#This Row],[Código]]&amp;"/"&amp;Tabela1[[#This Row],[Origem]]</f>
        <v>Vipafa-H643H146/MG</v>
      </c>
      <c r="F2052" s="88">
        <v>46704</v>
      </c>
      <c r="G2052" s="88" t="str" cm="1">
        <f t="array" ref="G20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AND(F2052&gt;= DATE(2026,1,1), F2052&lt;= DATE(2028, 12, 31), J2052&gt;50000), "Pendente e Caro", AND(F2052&gt;= DATE(2026,1,1), F2052&lt;= DATE(2028, 12, 31), J2052&lt;=50000), "Pendente", F2052&gt;= DATE(2029,1,1), "Não prioeitário")</f>
        <v>Pendente</v>
      </c>
      <c r="H2052" s="89">
        <f>YEAR(Tabela1[[#This Row],[Data de Validade]])</f>
        <v>2027</v>
      </c>
      <c r="I2052" s="89">
        <f>MONTH(Tabela1[[#This Row],[Data de Validade]])</f>
        <v>11</v>
      </c>
      <c r="J2052" s="101">
        <v>24308</v>
      </c>
      <c r="K2052" s="87" t="s">
        <v>7</v>
      </c>
      <c r="L2052" s="108"/>
      <c r="M2052" s="108"/>
      <c r="N2052" s="108" t="str">
        <v>P561H778</v>
      </c>
      <c r="O2052" s="108">
        <f t="shared" si="34"/>
        <v>1</v>
      </c>
      <c r="P2052" s="108"/>
      <c r="Q2052"/>
    </row>
    <row r="2053" spans="1:17" x14ac:dyDescent="0.25">
      <c r="A2053" s="89" t="s">
        <v>5384</v>
      </c>
      <c r="B2053" s="87" t="s">
        <v>5385</v>
      </c>
      <c r="C2053" s="87" t="s">
        <v>12</v>
      </c>
      <c r="D2053" s="87" t="str">
        <f>VLOOKUP(Tabela1[[#This Row],[Origem]], 'Perguntas 1 a 24'!$J$28:$K$34, 2, 0)</f>
        <v>Sudeste</v>
      </c>
      <c r="E2053" s="87" t="str">
        <f>Tabela1[[#This Row],[Descrição]]&amp;"-"&amp;Tabela1[[#This Row],[Código]]&amp;"/"&amp;Tabela1[[#This Row],[Origem]]</f>
        <v>Rupepale-P561H778/RJ</v>
      </c>
      <c r="F2053" s="88">
        <v>46705</v>
      </c>
      <c r="G2053" s="88" t="str" cm="1">
        <f t="array" ref="G20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AND(F2053&gt;= DATE(2026,1,1), F2053&lt;= DATE(2028, 12, 31), J2053&gt;50000), "Pendente e Caro", AND(F2053&gt;= DATE(2026,1,1), F2053&lt;= DATE(2028, 12, 31), J2053&lt;=50000), "Pendente", F2053&gt;= DATE(2029,1,1), "Não prioeitário")</f>
        <v>Pendente e Caro</v>
      </c>
      <c r="H2053" s="89">
        <f>YEAR(Tabela1[[#This Row],[Data de Validade]])</f>
        <v>2027</v>
      </c>
      <c r="I2053" s="89">
        <f>MONTH(Tabela1[[#This Row],[Data de Validade]])</f>
        <v>11</v>
      </c>
      <c r="J2053" s="101">
        <v>71242</v>
      </c>
      <c r="K2053" s="87" t="s">
        <v>14</v>
      </c>
      <c r="L2053" s="108"/>
      <c r="M2053" s="108"/>
      <c r="N2053" s="108" t="str">
        <v>H551H251</v>
      </c>
      <c r="O2053" s="108">
        <f t="shared" si="34"/>
        <v>1</v>
      </c>
      <c r="P2053" s="108"/>
      <c r="Q2053"/>
    </row>
    <row r="2054" spans="1:17" x14ac:dyDescent="0.25">
      <c r="A2054" s="89" t="s">
        <v>6520</v>
      </c>
      <c r="B2054" s="87" t="s">
        <v>6521</v>
      </c>
      <c r="C2054" s="87" t="s">
        <v>6</v>
      </c>
      <c r="D2054" s="87" t="str">
        <f>VLOOKUP(Tabela1[[#This Row],[Origem]], 'Perguntas 1 a 24'!$J$28:$K$34, 2, 0)</f>
        <v>Nordeste</v>
      </c>
      <c r="E2054" s="87" t="str">
        <f>Tabela1[[#This Row],[Descrição]]&amp;"-"&amp;Tabela1[[#This Row],[Código]]&amp;"/"&amp;Tabela1[[#This Row],[Origem]]</f>
        <v>Nemevigifo-H551H251/MA</v>
      </c>
      <c r="F2054" s="88">
        <v>46706</v>
      </c>
      <c r="G2054" s="88" t="str" cm="1">
        <f t="array" ref="G20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AND(F2054&gt;= DATE(2026,1,1), F2054&lt;= DATE(2028, 12, 31), J2054&gt;50000), "Pendente e Caro", AND(F2054&gt;= DATE(2026,1,1), F2054&lt;= DATE(2028, 12, 31), J2054&lt;=50000), "Pendente", F2054&gt;= DATE(2029,1,1), "Não prioeitário")</f>
        <v>Pendente e Caro</v>
      </c>
      <c r="H2054" s="89">
        <f>YEAR(Tabela1[[#This Row],[Data de Validade]])</f>
        <v>2027</v>
      </c>
      <c r="I2054" s="89">
        <f>MONTH(Tabela1[[#This Row],[Data de Validade]])</f>
        <v>11</v>
      </c>
      <c r="J2054" s="101">
        <v>114675</v>
      </c>
      <c r="K2054" s="87" t="s">
        <v>11</v>
      </c>
      <c r="L2054" s="108"/>
      <c r="M2054" s="108"/>
      <c r="N2054" s="108" t="str">
        <v>H182H675</v>
      </c>
      <c r="O2054" s="108">
        <f t="shared" si="34"/>
        <v>1</v>
      </c>
      <c r="P2054" s="108"/>
      <c r="Q2054"/>
    </row>
    <row r="2055" spans="1:17" x14ac:dyDescent="0.25">
      <c r="A2055" s="89" t="s">
        <v>6842</v>
      </c>
      <c r="B2055" s="87" t="s">
        <v>6843</v>
      </c>
      <c r="C2055" s="87" t="s">
        <v>12</v>
      </c>
      <c r="D2055" s="87" t="str">
        <f>VLOOKUP(Tabela1[[#This Row],[Origem]], 'Perguntas 1 a 24'!$J$28:$K$34, 2, 0)</f>
        <v>Sudeste</v>
      </c>
      <c r="E2055" s="87" t="str">
        <f>Tabela1[[#This Row],[Descrição]]&amp;"-"&amp;Tabela1[[#This Row],[Código]]&amp;"/"&amp;Tabela1[[#This Row],[Origem]]</f>
        <v>Vererudapa-H182H675/RJ</v>
      </c>
      <c r="F2055" s="88">
        <v>46707</v>
      </c>
      <c r="G2055" s="88" t="str" cm="1">
        <f t="array" ref="G20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AND(F2055&gt;= DATE(2026,1,1), F2055&lt;= DATE(2028, 12, 31), J2055&gt;50000), "Pendente e Caro", AND(F2055&gt;= DATE(2026,1,1), F2055&lt;= DATE(2028, 12, 31), J2055&lt;=50000), "Pendente", F2055&gt;= DATE(2029,1,1), "Não prioeitário")</f>
        <v>Pendente</v>
      </c>
      <c r="H2055" s="89">
        <f>YEAR(Tabela1[[#This Row],[Data de Validade]])</f>
        <v>2027</v>
      </c>
      <c r="I2055" s="89">
        <f>MONTH(Tabela1[[#This Row],[Data de Validade]])</f>
        <v>11</v>
      </c>
      <c r="J2055" s="101">
        <v>49702</v>
      </c>
      <c r="K2055" s="87" t="s">
        <v>9</v>
      </c>
      <c r="L2055" s="108"/>
      <c r="M2055" s="108"/>
      <c r="N2055" s="108" t="str">
        <v>P916P472</v>
      </c>
      <c r="O2055" s="108">
        <f t="shared" si="34"/>
        <v>1</v>
      </c>
      <c r="P2055" s="108"/>
      <c r="Q2055"/>
    </row>
    <row r="2056" spans="1:17" x14ac:dyDescent="0.25">
      <c r="A2056" s="89" t="s">
        <v>10319</v>
      </c>
      <c r="B2056" s="87" t="s">
        <v>10320</v>
      </c>
      <c r="C2056" s="87" t="s">
        <v>10</v>
      </c>
      <c r="D2056" s="87" t="str">
        <f>VLOOKUP(Tabela1[[#This Row],[Origem]], 'Perguntas 1 a 24'!$J$28:$K$34, 2, 0)</f>
        <v>Centro-Oeste</v>
      </c>
      <c r="E2056" s="87" t="str">
        <f>Tabela1[[#This Row],[Descrição]]&amp;"-"&amp;Tabela1[[#This Row],[Código]]&amp;"/"&amp;Tabela1[[#This Row],[Origem]]</f>
        <v>Gipopocati-P916P472/GO</v>
      </c>
      <c r="F2056" s="88">
        <v>46707</v>
      </c>
      <c r="G2056" s="88" t="str" cm="1">
        <f t="array" ref="G20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AND(F2056&gt;= DATE(2026,1,1), F2056&lt;= DATE(2028, 12, 31), J2056&gt;50000), "Pendente e Caro", AND(F2056&gt;= DATE(2026,1,1), F2056&lt;= DATE(2028, 12, 31), J2056&lt;=50000), "Pendente", F2056&gt;= DATE(2029,1,1), "Não prioeitário")</f>
        <v>Pendente</v>
      </c>
      <c r="H2056" s="89">
        <f>YEAR(Tabela1[[#This Row],[Data de Validade]])</f>
        <v>2027</v>
      </c>
      <c r="I2056" s="89">
        <f>MONTH(Tabela1[[#This Row],[Data de Validade]])</f>
        <v>11</v>
      </c>
      <c r="J2056" s="101">
        <v>46273</v>
      </c>
      <c r="K2056" s="87" t="s">
        <v>14</v>
      </c>
      <c r="L2056" s="108"/>
      <c r="M2056" s="108"/>
      <c r="N2056" s="108" t="str">
        <v>H134H629</v>
      </c>
      <c r="O2056" s="108">
        <f t="shared" si="34"/>
        <v>1</v>
      </c>
      <c r="P2056" s="108"/>
      <c r="Q2056"/>
    </row>
    <row r="2057" spans="1:17" x14ac:dyDescent="0.25">
      <c r="A2057" s="89" t="s">
        <v>6142</v>
      </c>
      <c r="B2057" s="87" t="s">
        <v>6143</v>
      </c>
      <c r="C2057" s="87" t="s">
        <v>8</v>
      </c>
      <c r="D2057" s="87" t="str">
        <f>VLOOKUP(Tabela1[[#This Row],[Origem]], 'Perguntas 1 a 24'!$J$28:$K$34, 2, 0)</f>
        <v>Nordeste</v>
      </c>
      <c r="E2057" s="87" t="str">
        <f>Tabela1[[#This Row],[Descrição]]&amp;"-"&amp;Tabela1[[#This Row],[Código]]&amp;"/"&amp;Tabela1[[#This Row],[Origem]]</f>
        <v>Faruditale-H134H629/AL</v>
      </c>
      <c r="F2057" s="88">
        <v>46707</v>
      </c>
      <c r="G2057" s="88" t="str" cm="1">
        <f t="array" ref="G20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AND(F2057&gt;= DATE(2026,1,1), F2057&lt;= DATE(2028, 12, 31), J2057&gt;50000), "Pendente e Caro", AND(F2057&gt;= DATE(2026,1,1), F2057&lt;= DATE(2028, 12, 31), J2057&lt;=50000), "Pendente", F2057&gt;= DATE(2029,1,1), "Não prioeitário")</f>
        <v>Pendente</v>
      </c>
      <c r="H2057" s="89">
        <f>YEAR(Tabela1[[#This Row],[Data de Validade]])</f>
        <v>2027</v>
      </c>
      <c r="I2057" s="89">
        <f>MONTH(Tabela1[[#This Row],[Data de Validade]])</f>
        <v>11</v>
      </c>
      <c r="J2057" s="101">
        <v>42684</v>
      </c>
      <c r="K2057" s="87" t="s">
        <v>9</v>
      </c>
      <c r="L2057" s="108"/>
      <c r="M2057" s="108"/>
      <c r="N2057" s="108" t="str">
        <v>P545P259</v>
      </c>
      <c r="O2057" s="108">
        <f t="shared" si="34"/>
        <v>1</v>
      </c>
      <c r="P2057" s="108"/>
      <c r="Q2057"/>
    </row>
    <row r="2058" spans="1:17" x14ac:dyDescent="0.25">
      <c r="A2058" s="89" t="s">
        <v>5756</v>
      </c>
      <c r="B2058" s="87" t="s">
        <v>5757</v>
      </c>
      <c r="C2058" s="87" t="s">
        <v>12</v>
      </c>
      <c r="D2058" s="87" t="str">
        <f>VLOOKUP(Tabela1[[#This Row],[Origem]], 'Perguntas 1 a 24'!$J$28:$K$34, 2, 0)</f>
        <v>Sudeste</v>
      </c>
      <c r="E2058" s="87" t="str">
        <f>Tabela1[[#This Row],[Descrição]]&amp;"-"&amp;Tabela1[[#This Row],[Código]]&amp;"/"&amp;Tabela1[[#This Row],[Origem]]</f>
        <v>Pirimo-P545P259/RJ</v>
      </c>
      <c r="F2058" s="88">
        <v>46709</v>
      </c>
      <c r="G2058" s="88" t="str" cm="1">
        <f t="array" ref="G20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AND(F2058&gt;= DATE(2026,1,1), F2058&lt;= DATE(2028, 12, 31), J2058&gt;50000), "Pendente e Caro", AND(F2058&gt;= DATE(2026,1,1), F2058&lt;= DATE(2028, 12, 31), J2058&lt;=50000), "Pendente", F2058&gt;= DATE(2029,1,1), "Não prioeitário")</f>
        <v>Pendente e Caro</v>
      </c>
      <c r="H2058" s="89">
        <f>YEAR(Tabela1[[#This Row],[Data de Validade]])</f>
        <v>2027</v>
      </c>
      <c r="I2058" s="89">
        <f>MONTH(Tabela1[[#This Row],[Data de Validade]])</f>
        <v>11</v>
      </c>
      <c r="J2058" s="101">
        <v>119375</v>
      </c>
      <c r="K2058" s="87" t="s">
        <v>11</v>
      </c>
      <c r="L2058" s="108"/>
      <c r="M2058" s="108"/>
      <c r="N2058" s="108" t="str">
        <v>H257P957</v>
      </c>
      <c r="O2058" s="108">
        <f t="shared" si="34"/>
        <v>1</v>
      </c>
      <c r="P2058" s="108"/>
      <c r="Q2058"/>
    </row>
    <row r="2059" spans="1:17" x14ac:dyDescent="0.25">
      <c r="A2059" s="89" t="s">
        <v>6780</v>
      </c>
      <c r="B2059" s="87" t="s">
        <v>6781</v>
      </c>
      <c r="C2059" s="87" t="s">
        <v>16</v>
      </c>
      <c r="D2059" s="87" t="str">
        <f>VLOOKUP(Tabela1[[#This Row],[Origem]], 'Perguntas 1 a 24'!$J$28:$K$34, 2, 0)</f>
        <v>Sudeste</v>
      </c>
      <c r="E2059" s="87" t="str">
        <f>Tabela1[[#This Row],[Descrição]]&amp;"-"&amp;Tabela1[[#This Row],[Código]]&amp;"/"&amp;Tabela1[[#This Row],[Origem]]</f>
        <v>Coducipa-H257P957/MG</v>
      </c>
      <c r="F2059" s="88">
        <v>46709</v>
      </c>
      <c r="G2059" s="88" t="str" cm="1">
        <f t="array" ref="G20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AND(F2059&gt;= DATE(2026,1,1), F2059&lt;= DATE(2028, 12, 31), J2059&gt;50000), "Pendente e Caro", AND(F2059&gt;= DATE(2026,1,1), F2059&lt;= DATE(2028, 12, 31), J2059&lt;=50000), "Pendente", F2059&gt;= DATE(2029,1,1), "Não prioeitário")</f>
        <v>Pendente e Caro</v>
      </c>
      <c r="H2059" s="89">
        <f>YEAR(Tabela1[[#This Row],[Data de Validade]])</f>
        <v>2027</v>
      </c>
      <c r="I2059" s="89">
        <f>MONTH(Tabela1[[#This Row],[Data de Validade]])</f>
        <v>11</v>
      </c>
      <c r="J2059" s="101">
        <v>54918</v>
      </c>
      <c r="K2059" s="87" t="s">
        <v>11</v>
      </c>
      <c r="L2059" s="108"/>
      <c r="M2059" s="108"/>
      <c r="N2059" s="108" t="str">
        <v>H227H717</v>
      </c>
      <c r="O2059" s="108">
        <f t="shared" si="34"/>
        <v>1</v>
      </c>
      <c r="P2059" s="108"/>
      <c r="Q2059"/>
    </row>
    <row r="2060" spans="1:17" x14ac:dyDescent="0.25">
      <c r="A2060" s="89" t="s">
        <v>11145</v>
      </c>
      <c r="B2060" s="87" t="s">
        <v>11146</v>
      </c>
      <c r="C2060" s="87" t="s">
        <v>8</v>
      </c>
      <c r="D2060" s="87" t="str">
        <f>VLOOKUP(Tabela1[[#This Row],[Origem]], 'Perguntas 1 a 24'!$J$28:$K$34, 2, 0)</f>
        <v>Nordeste</v>
      </c>
      <c r="E2060" s="87" t="str">
        <f>Tabela1[[#This Row],[Descrição]]&amp;"-"&amp;Tabela1[[#This Row],[Código]]&amp;"/"&amp;Tabela1[[#This Row],[Origem]]</f>
        <v>Leropo-H227H717/AL</v>
      </c>
      <c r="F2060" s="88">
        <v>46710</v>
      </c>
      <c r="G2060" s="88" t="str" cm="1">
        <f t="array" ref="G20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AND(F2060&gt;= DATE(2026,1,1), F2060&lt;= DATE(2028, 12, 31), J2060&gt;50000), "Pendente e Caro", AND(F2060&gt;= DATE(2026,1,1), F2060&lt;= DATE(2028, 12, 31), J2060&lt;=50000), "Pendente", F2060&gt;= DATE(2029,1,1), "Não prioeitário")</f>
        <v>Pendente e Caro</v>
      </c>
      <c r="H2060" s="89">
        <f>YEAR(Tabela1[[#This Row],[Data de Validade]])</f>
        <v>2027</v>
      </c>
      <c r="I2060" s="89">
        <f>MONTH(Tabela1[[#This Row],[Data de Validade]])</f>
        <v>11</v>
      </c>
      <c r="J2060" s="101">
        <v>104328</v>
      </c>
      <c r="K2060" s="87" t="s">
        <v>11</v>
      </c>
      <c r="L2060" s="108"/>
      <c r="M2060" s="108"/>
      <c r="N2060" s="108" t="str">
        <v>H946H414</v>
      </c>
      <c r="O2060" s="108">
        <f t="shared" si="34"/>
        <v>1</v>
      </c>
      <c r="P2060" s="108"/>
      <c r="Q2060"/>
    </row>
    <row r="2061" spans="1:17" x14ac:dyDescent="0.25">
      <c r="A2061" s="89" t="s">
        <v>9789</v>
      </c>
      <c r="B2061" s="87" t="s">
        <v>9790</v>
      </c>
      <c r="C2061" s="87" t="s">
        <v>10</v>
      </c>
      <c r="D2061" s="87" t="str">
        <f>VLOOKUP(Tabela1[[#This Row],[Origem]], 'Perguntas 1 a 24'!$J$28:$K$34, 2, 0)</f>
        <v>Centro-Oeste</v>
      </c>
      <c r="E2061" s="87" t="str">
        <f>Tabela1[[#This Row],[Descrição]]&amp;"-"&amp;Tabela1[[#This Row],[Código]]&amp;"/"&amp;Tabela1[[#This Row],[Origem]]</f>
        <v>Lepifure-H946H414/GO</v>
      </c>
      <c r="F2061" s="88">
        <v>46710</v>
      </c>
      <c r="G2061" s="88" t="str" cm="1">
        <f t="array" ref="G20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AND(F2061&gt;= DATE(2026,1,1), F2061&lt;= DATE(2028, 12, 31), J2061&gt;50000), "Pendente e Caro", AND(F2061&gt;= DATE(2026,1,1), F2061&lt;= DATE(2028, 12, 31), J2061&lt;=50000), "Pendente", F2061&gt;= DATE(2029,1,1), "Não prioeitário")</f>
        <v>Pendente e Caro</v>
      </c>
      <c r="H2061" s="89">
        <f>YEAR(Tabela1[[#This Row],[Data de Validade]])</f>
        <v>2027</v>
      </c>
      <c r="I2061" s="89">
        <f>MONTH(Tabela1[[#This Row],[Data de Validade]])</f>
        <v>11</v>
      </c>
      <c r="J2061" s="101">
        <v>55588</v>
      </c>
      <c r="K2061" s="87" t="s">
        <v>7</v>
      </c>
      <c r="L2061" s="108"/>
      <c r="M2061" s="108"/>
      <c r="N2061" s="108" t="str">
        <v>H237P392</v>
      </c>
      <c r="O2061" s="108">
        <f t="shared" si="34"/>
        <v>1</v>
      </c>
      <c r="P2061" s="108"/>
      <c r="Q2061"/>
    </row>
    <row r="2062" spans="1:17" x14ac:dyDescent="0.25">
      <c r="A2062" s="89" t="s">
        <v>8326</v>
      </c>
      <c r="B2062" s="87" t="s">
        <v>8327</v>
      </c>
      <c r="C2062" s="87" t="s">
        <v>12</v>
      </c>
      <c r="D2062" s="87" t="str">
        <f>VLOOKUP(Tabela1[[#This Row],[Origem]], 'Perguntas 1 a 24'!$J$28:$K$34, 2, 0)</f>
        <v>Sudeste</v>
      </c>
      <c r="E2062" s="87" t="str">
        <f>Tabela1[[#This Row],[Descrição]]&amp;"-"&amp;Tabela1[[#This Row],[Código]]&amp;"/"&amp;Tabela1[[#This Row],[Origem]]</f>
        <v>Gamape-H237P392/RJ</v>
      </c>
      <c r="F2062" s="88">
        <v>46710</v>
      </c>
      <c r="G2062" s="88" t="str" cm="1">
        <f t="array" ref="G20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AND(F2062&gt;= DATE(2026,1,1), F2062&lt;= DATE(2028, 12, 31), J2062&gt;50000), "Pendente e Caro", AND(F2062&gt;= DATE(2026,1,1), F2062&lt;= DATE(2028, 12, 31), J2062&lt;=50000), "Pendente", F2062&gt;= DATE(2029,1,1), "Não prioeitário")</f>
        <v>Pendente</v>
      </c>
      <c r="H2062" s="89">
        <f>YEAR(Tabela1[[#This Row],[Data de Validade]])</f>
        <v>2027</v>
      </c>
      <c r="I2062" s="89">
        <f>MONTH(Tabela1[[#This Row],[Data de Validade]])</f>
        <v>11</v>
      </c>
      <c r="J2062" s="101">
        <v>27042</v>
      </c>
      <c r="K2062" s="87" t="s">
        <v>7</v>
      </c>
      <c r="L2062" s="108"/>
      <c r="M2062" s="108"/>
      <c r="N2062" s="108" t="str">
        <v>H122H567</v>
      </c>
      <c r="O2062" s="108">
        <f t="shared" si="34"/>
        <v>1</v>
      </c>
      <c r="P2062" s="108"/>
      <c r="Q2062"/>
    </row>
    <row r="2063" spans="1:17" x14ac:dyDescent="0.25">
      <c r="A2063" s="89" t="s">
        <v>8907</v>
      </c>
      <c r="B2063" s="87" t="s">
        <v>8908</v>
      </c>
      <c r="C2063" s="87" t="s">
        <v>8</v>
      </c>
      <c r="D2063" s="87" t="str">
        <f>VLOOKUP(Tabela1[[#This Row],[Origem]], 'Perguntas 1 a 24'!$J$28:$K$34, 2, 0)</f>
        <v>Nordeste</v>
      </c>
      <c r="E2063" s="87" t="str">
        <f>Tabela1[[#This Row],[Descrição]]&amp;"-"&amp;Tabela1[[#This Row],[Código]]&amp;"/"&amp;Tabela1[[#This Row],[Origem]]</f>
        <v>Petumefate-H122H567/AL</v>
      </c>
      <c r="F2063" s="88">
        <v>46711</v>
      </c>
      <c r="G2063" s="88" t="str" cm="1">
        <f t="array" ref="G20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AND(F2063&gt;= DATE(2026,1,1), F2063&lt;= DATE(2028, 12, 31), J2063&gt;50000), "Pendente e Caro", AND(F2063&gt;= DATE(2026,1,1), F2063&lt;= DATE(2028, 12, 31), J2063&lt;=50000), "Pendente", F2063&gt;= DATE(2029,1,1), "Não prioeitário")</f>
        <v>Pendente e Caro</v>
      </c>
      <c r="H2063" s="89">
        <f>YEAR(Tabela1[[#This Row],[Data de Validade]])</f>
        <v>2027</v>
      </c>
      <c r="I2063" s="89">
        <f>MONTH(Tabela1[[#This Row],[Data de Validade]])</f>
        <v>11</v>
      </c>
      <c r="J2063" s="101">
        <v>115032</v>
      </c>
      <c r="K2063" s="87" t="s">
        <v>14</v>
      </c>
      <c r="L2063" s="108"/>
      <c r="M2063" s="108"/>
      <c r="N2063" s="108" t="str">
        <v>P215H152</v>
      </c>
      <c r="O2063" s="108">
        <f t="shared" si="34"/>
        <v>1</v>
      </c>
      <c r="P2063" s="108"/>
      <c r="Q2063"/>
    </row>
    <row r="2064" spans="1:17" x14ac:dyDescent="0.25">
      <c r="A2064" s="89" t="s">
        <v>10961</v>
      </c>
      <c r="B2064" s="87" t="s">
        <v>10962</v>
      </c>
      <c r="C2064" s="87" t="s">
        <v>16</v>
      </c>
      <c r="D2064" s="87" t="str">
        <f>VLOOKUP(Tabela1[[#This Row],[Origem]], 'Perguntas 1 a 24'!$J$28:$K$34, 2, 0)</f>
        <v>Sudeste</v>
      </c>
      <c r="E2064" s="87" t="str">
        <f>Tabela1[[#This Row],[Descrição]]&amp;"-"&amp;Tabela1[[#This Row],[Código]]&amp;"/"&amp;Tabela1[[#This Row],[Origem]]</f>
        <v>Memupope-P215H152/MG</v>
      </c>
      <c r="F2064" s="88">
        <v>46711</v>
      </c>
      <c r="G2064" s="88" t="str" cm="1">
        <f t="array" ref="G20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AND(F2064&gt;= DATE(2026,1,1), F2064&lt;= DATE(2028, 12, 31), J2064&gt;50000), "Pendente e Caro", AND(F2064&gt;= DATE(2026,1,1), F2064&lt;= DATE(2028, 12, 31), J2064&lt;=50000), "Pendente", F2064&gt;= DATE(2029,1,1), "Não prioeitário")</f>
        <v>Pendente e Caro</v>
      </c>
      <c r="H2064" s="89">
        <f>YEAR(Tabela1[[#This Row],[Data de Validade]])</f>
        <v>2027</v>
      </c>
      <c r="I2064" s="89">
        <f>MONTH(Tabela1[[#This Row],[Data de Validade]])</f>
        <v>11</v>
      </c>
      <c r="J2064" s="101">
        <v>102773</v>
      </c>
      <c r="K2064" s="87" t="s">
        <v>7</v>
      </c>
      <c r="L2064" s="108"/>
      <c r="M2064" s="108"/>
      <c r="N2064" s="108" t="str">
        <v>H153P499</v>
      </c>
      <c r="O2064" s="108">
        <f t="shared" si="34"/>
        <v>1</v>
      </c>
      <c r="P2064" s="108"/>
      <c r="Q2064"/>
    </row>
    <row r="2065" spans="1:17" x14ac:dyDescent="0.25">
      <c r="A2065" s="89" t="s">
        <v>10117</v>
      </c>
      <c r="B2065" s="87" t="s">
        <v>10118</v>
      </c>
      <c r="C2065" s="87" t="s">
        <v>10</v>
      </c>
      <c r="D2065" s="87" t="str">
        <f>VLOOKUP(Tabela1[[#This Row],[Origem]], 'Perguntas 1 a 24'!$J$28:$K$34, 2, 0)</f>
        <v>Centro-Oeste</v>
      </c>
      <c r="E2065" s="87" t="str">
        <f>Tabela1[[#This Row],[Descrição]]&amp;"-"&amp;Tabela1[[#This Row],[Código]]&amp;"/"&amp;Tabela1[[#This Row],[Origem]]</f>
        <v>Deporaca-H153P499/GO</v>
      </c>
      <c r="F2065" s="88">
        <v>46711</v>
      </c>
      <c r="G2065" s="88" t="str" cm="1">
        <f t="array" ref="G20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AND(F2065&gt;= DATE(2026,1,1), F2065&lt;= DATE(2028, 12, 31), J2065&gt;50000), "Pendente e Caro", AND(F2065&gt;= DATE(2026,1,1), F2065&lt;= DATE(2028, 12, 31), J2065&lt;=50000), "Pendente", F2065&gt;= DATE(2029,1,1), "Não prioeitário")</f>
        <v>Pendente e Caro</v>
      </c>
      <c r="H2065" s="89">
        <f>YEAR(Tabela1[[#This Row],[Data de Validade]])</f>
        <v>2027</v>
      </c>
      <c r="I2065" s="89">
        <f>MONTH(Tabela1[[#This Row],[Data de Validade]])</f>
        <v>11</v>
      </c>
      <c r="J2065" s="101">
        <v>62152</v>
      </c>
      <c r="K2065" s="87" t="s">
        <v>7</v>
      </c>
      <c r="L2065" s="108"/>
      <c r="M2065" s="108"/>
      <c r="N2065" s="108" t="str">
        <v>H484H561</v>
      </c>
      <c r="O2065" s="108">
        <f t="shared" si="34"/>
        <v>1</v>
      </c>
      <c r="P2065" s="108"/>
      <c r="Q2065"/>
    </row>
    <row r="2066" spans="1:17" x14ac:dyDescent="0.25">
      <c r="A2066" s="89" t="s">
        <v>7744</v>
      </c>
      <c r="B2066" s="87" t="s">
        <v>7745</v>
      </c>
      <c r="C2066" s="87" t="s">
        <v>12</v>
      </c>
      <c r="D2066" s="87" t="str">
        <f>VLOOKUP(Tabela1[[#This Row],[Origem]], 'Perguntas 1 a 24'!$J$28:$K$34, 2, 0)</f>
        <v>Sudeste</v>
      </c>
      <c r="E2066" s="87" t="str">
        <f>Tabela1[[#This Row],[Descrição]]&amp;"-"&amp;Tabela1[[#This Row],[Código]]&amp;"/"&amp;Tabela1[[#This Row],[Origem]]</f>
        <v>Demipuna-H484H561/RJ</v>
      </c>
      <c r="F2066" s="88">
        <v>46711</v>
      </c>
      <c r="G2066" s="88" t="str" cm="1">
        <f t="array" ref="G20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AND(F2066&gt;= DATE(2026,1,1), F2066&lt;= DATE(2028, 12, 31), J2066&gt;50000), "Pendente e Caro", AND(F2066&gt;= DATE(2026,1,1), F2066&lt;= DATE(2028, 12, 31), J2066&lt;=50000), "Pendente", F2066&gt;= DATE(2029,1,1), "Não prioeitário")</f>
        <v>Pendente</v>
      </c>
      <c r="H2066" s="89">
        <f>YEAR(Tabela1[[#This Row],[Data de Validade]])</f>
        <v>2027</v>
      </c>
      <c r="I2066" s="89">
        <f>MONTH(Tabela1[[#This Row],[Data de Validade]])</f>
        <v>11</v>
      </c>
      <c r="J2066" s="101">
        <v>34462</v>
      </c>
      <c r="K2066" s="87" t="s">
        <v>14</v>
      </c>
      <c r="L2066" s="108"/>
      <c r="M2066" s="108"/>
      <c r="N2066" s="108" t="str">
        <v>P276H148</v>
      </c>
      <c r="O2066" s="108">
        <f t="shared" si="34"/>
        <v>1</v>
      </c>
      <c r="P2066" s="108"/>
      <c r="Q2066"/>
    </row>
    <row r="2067" spans="1:17" x14ac:dyDescent="0.25">
      <c r="A2067" s="89" t="s">
        <v>7872</v>
      </c>
      <c r="B2067" s="87" t="s">
        <v>7873</v>
      </c>
      <c r="C2067" s="87" t="s">
        <v>12</v>
      </c>
      <c r="D2067" s="87" t="str">
        <f>VLOOKUP(Tabela1[[#This Row],[Origem]], 'Perguntas 1 a 24'!$J$28:$K$34, 2, 0)</f>
        <v>Sudeste</v>
      </c>
      <c r="E2067" s="87" t="str">
        <f>Tabela1[[#This Row],[Descrição]]&amp;"-"&amp;Tabela1[[#This Row],[Código]]&amp;"/"&amp;Tabela1[[#This Row],[Origem]]</f>
        <v>Feteti-P276H148/RJ</v>
      </c>
      <c r="F2067" s="88">
        <v>46711</v>
      </c>
      <c r="G2067" s="88" t="str" cm="1">
        <f t="array" ref="G20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AND(F2067&gt;= DATE(2026,1,1), F2067&lt;= DATE(2028, 12, 31), J2067&gt;50000), "Pendente e Caro", AND(F2067&gt;= DATE(2026,1,1), F2067&lt;= DATE(2028, 12, 31), J2067&lt;=50000), "Pendente", F2067&gt;= DATE(2029,1,1), "Não prioeitário")</f>
        <v>Pendente</v>
      </c>
      <c r="H2067" s="89">
        <f>YEAR(Tabela1[[#This Row],[Data de Validade]])</f>
        <v>2027</v>
      </c>
      <c r="I2067" s="89">
        <f>MONTH(Tabela1[[#This Row],[Data de Validade]])</f>
        <v>11</v>
      </c>
      <c r="J2067" s="101">
        <v>22860</v>
      </c>
      <c r="K2067" s="87" t="s">
        <v>9</v>
      </c>
      <c r="L2067" s="108"/>
      <c r="M2067" s="108"/>
      <c r="N2067" s="108" t="str">
        <v>P154H682</v>
      </c>
      <c r="O2067" s="108">
        <f t="shared" si="34"/>
        <v>1</v>
      </c>
      <c r="P2067" s="108"/>
      <c r="Q2067"/>
    </row>
    <row r="2068" spans="1:17" x14ac:dyDescent="0.25">
      <c r="A2068" s="89" t="s">
        <v>4644</v>
      </c>
      <c r="B2068" s="87" t="s">
        <v>4645</v>
      </c>
      <c r="C2068" s="87" t="s">
        <v>8</v>
      </c>
      <c r="D2068" s="87" t="str">
        <f>VLOOKUP(Tabela1[[#This Row],[Origem]], 'Perguntas 1 a 24'!$J$28:$K$34, 2, 0)</f>
        <v>Nordeste</v>
      </c>
      <c r="E2068" s="87" t="str">
        <f>Tabela1[[#This Row],[Descrição]]&amp;"-"&amp;Tabela1[[#This Row],[Código]]&amp;"/"&amp;Tabela1[[#This Row],[Origem]]</f>
        <v>Vipuduta-P154H682/AL</v>
      </c>
      <c r="F2068" s="88">
        <v>46711</v>
      </c>
      <c r="G2068" s="88" t="str" cm="1">
        <f t="array" ref="G20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AND(F2068&gt;= DATE(2026,1,1), F2068&lt;= DATE(2028, 12, 31), J2068&gt;50000), "Pendente e Caro", AND(F2068&gt;= DATE(2026,1,1), F2068&lt;= DATE(2028, 12, 31), J2068&lt;=50000), "Pendente", F2068&gt;= DATE(2029,1,1), "Não prioeitário")</f>
        <v>Pendente</v>
      </c>
      <c r="H2068" s="89">
        <f>YEAR(Tabela1[[#This Row],[Data de Validade]])</f>
        <v>2027</v>
      </c>
      <c r="I2068" s="89">
        <f>MONTH(Tabela1[[#This Row],[Data de Validade]])</f>
        <v>11</v>
      </c>
      <c r="J2068" s="101">
        <v>20954</v>
      </c>
      <c r="K2068" s="87" t="s">
        <v>14</v>
      </c>
      <c r="L2068" s="108"/>
      <c r="M2068" s="108"/>
      <c r="N2068" s="108" t="str">
        <v>H248H538</v>
      </c>
      <c r="O2068" s="108">
        <f t="shared" si="34"/>
        <v>1</v>
      </c>
      <c r="P2068" s="108"/>
      <c r="Q2068"/>
    </row>
    <row r="2069" spans="1:17" x14ac:dyDescent="0.25">
      <c r="A2069" s="89" t="s">
        <v>5188</v>
      </c>
      <c r="B2069" s="87" t="s">
        <v>5189</v>
      </c>
      <c r="C2069" s="87" t="s">
        <v>13</v>
      </c>
      <c r="D2069" s="87" t="str">
        <f>VLOOKUP(Tabela1[[#This Row],[Origem]], 'Perguntas 1 a 24'!$J$28:$K$34, 2, 0)</f>
        <v>Sudeste</v>
      </c>
      <c r="E2069" s="87" t="str">
        <f>Tabela1[[#This Row],[Descrição]]&amp;"-"&amp;Tabela1[[#This Row],[Código]]&amp;"/"&amp;Tabela1[[#This Row],[Origem]]</f>
        <v>Porupelipe-H248H538/SP</v>
      </c>
      <c r="F2069" s="88">
        <v>46712</v>
      </c>
      <c r="G2069" s="88" t="str" cm="1">
        <f t="array" ref="G20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AND(F2069&gt;= DATE(2026,1,1), F2069&lt;= DATE(2028, 12, 31), J2069&gt;50000), "Pendente e Caro", AND(F2069&gt;= DATE(2026,1,1), F2069&lt;= DATE(2028, 12, 31), J2069&lt;=50000), "Pendente", F2069&gt;= DATE(2029,1,1), "Não prioeitário")</f>
        <v>Pendente e Caro</v>
      </c>
      <c r="H2069" s="89">
        <f>YEAR(Tabela1[[#This Row],[Data de Validade]])</f>
        <v>2027</v>
      </c>
      <c r="I2069" s="89">
        <f>MONTH(Tabela1[[#This Row],[Data de Validade]])</f>
        <v>11</v>
      </c>
      <c r="J2069" s="101">
        <v>89151</v>
      </c>
      <c r="K2069" s="87" t="s">
        <v>14</v>
      </c>
      <c r="L2069" s="108"/>
      <c r="M2069" s="108"/>
      <c r="N2069" s="108" t="str">
        <v>P343H133</v>
      </c>
      <c r="O2069" s="108">
        <f t="shared" si="34"/>
        <v>1</v>
      </c>
      <c r="P2069" s="108"/>
      <c r="Q2069"/>
    </row>
    <row r="2070" spans="1:17" x14ac:dyDescent="0.25">
      <c r="A2070" s="89" t="s">
        <v>7086</v>
      </c>
      <c r="B2070" s="87" t="s">
        <v>7087</v>
      </c>
      <c r="C2070" s="87" t="s">
        <v>12</v>
      </c>
      <c r="D2070" s="87" t="str">
        <f>VLOOKUP(Tabela1[[#This Row],[Origem]], 'Perguntas 1 a 24'!$J$28:$K$34, 2, 0)</f>
        <v>Sudeste</v>
      </c>
      <c r="E2070" s="87" t="str">
        <f>Tabela1[[#This Row],[Descrição]]&amp;"-"&amp;Tabela1[[#This Row],[Código]]&amp;"/"&amp;Tabela1[[#This Row],[Origem]]</f>
        <v>Cipuma-P343H133/RJ</v>
      </c>
      <c r="F2070" s="88">
        <v>46714</v>
      </c>
      <c r="G2070" s="88" t="str" cm="1">
        <f t="array" ref="G20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AND(F2070&gt;= DATE(2026,1,1), F2070&lt;= DATE(2028, 12, 31), J2070&gt;50000), "Pendente e Caro", AND(F2070&gt;= DATE(2026,1,1), F2070&lt;= DATE(2028, 12, 31), J2070&lt;=50000), "Pendente", F2070&gt;= DATE(2029,1,1), "Não prioeitário")</f>
        <v>Pendente e Caro</v>
      </c>
      <c r="H2070" s="89">
        <f>YEAR(Tabela1[[#This Row],[Data de Validade]])</f>
        <v>2027</v>
      </c>
      <c r="I2070" s="89">
        <f>MONTH(Tabela1[[#This Row],[Data de Validade]])</f>
        <v>11</v>
      </c>
      <c r="J2070" s="101">
        <v>101920</v>
      </c>
      <c r="K2070" s="87" t="s">
        <v>11</v>
      </c>
      <c r="L2070" s="108"/>
      <c r="M2070" s="108"/>
      <c r="N2070" s="108" t="str">
        <v>H129H567</v>
      </c>
      <c r="O2070" s="108">
        <f t="shared" si="34"/>
        <v>1</v>
      </c>
      <c r="P2070" s="108"/>
      <c r="Q2070"/>
    </row>
    <row r="2071" spans="1:17" x14ac:dyDescent="0.25">
      <c r="A2071" s="89" t="s">
        <v>9801</v>
      </c>
      <c r="B2071" s="87" t="s">
        <v>9802</v>
      </c>
      <c r="C2071" s="87" t="s">
        <v>16</v>
      </c>
      <c r="D2071" s="87" t="str">
        <f>VLOOKUP(Tabela1[[#This Row],[Origem]], 'Perguntas 1 a 24'!$J$28:$K$34, 2, 0)</f>
        <v>Sudeste</v>
      </c>
      <c r="E2071" s="87" t="str">
        <f>Tabela1[[#This Row],[Descrição]]&amp;"-"&amp;Tabela1[[#This Row],[Código]]&amp;"/"&amp;Tabela1[[#This Row],[Origem]]</f>
        <v>Nipafode-H129H567/MG</v>
      </c>
      <c r="F2071" s="88">
        <v>46714</v>
      </c>
      <c r="G2071" s="88" t="str" cm="1">
        <f t="array" ref="G20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AND(F2071&gt;= DATE(2026,1,1), F2071&lt;= DATE(2028, 12, 31), J2071&gt;50000), "Pendente e Caro", AND(F2071&gt;= DATE(2026,1,1), F2071&lt;= DATE(2028, 12, 31), J2071&lt;=50000), "Pendente", F2071&gt;= DATE(2029,1,1), "Não prioeitário")</f>
        <v>Pendente e Caro</v>
      </c>
      <c r="H2071" s="89">
        <f>YEAR(Tabela1[[#This Row],[Data de Validade]])</f>
        <v>2027</v>
      </c>
      <c r="I2071" s="89">
        <f>MONTH(Tabela1[[#This Row],[Data de Validade]])</f>
        <v>11</v>
      </c>
      <c r="J2071" s="101">
        <v>97871</v>
      </c>
      <c r="K2071" s="87" t="s">
        <v>9</v>
      </c>
      <c r="L2071" s="108"/>
      <c r="M2071" s="108"/>
      <c r="N2071" s="108" t="str">
        <v>H114H376</v>
      </c>
      <c r="O2071" s="108">
        <f t="shared" si="34"/>
        <v>1</v>
      </c>
      <c r="P2071" s="108"/>
      <c r="Q2071"/>
    </row>
    <row r="2072" spans="1:17" x14ac:dyDescent="0.25">
      <c r="A2072" s="89" t="s">
        <v>10343</v>
      </c>
      <c r="B2072" s="87" t="s">
        <v>10344</v>
      </c>
      <c r="C2072" s="87" t="s">
        <v>8</v>
      </c>
      <c r="D2072" s="87" t="str">
        <f>VLOOKUP(Tabela1[[#This Row],[Origem]], 'Perguntas 1 a 24'!$J$28:$K$34, 2, 0)</f>
        <v>Nordeste</v>
      </c>
      <c r="E2072" s="87" t="str">
        <f>Tabela1[[#This Row],[Descrição]]&amp;"-"&amp;Tabela1[[#This Row],[Código]]&amp;"/"&amp;Tabela1[[#This Row],[Origem]]</f>
        <v>Latogogi-H114H376/AL</v>
      </c>
      <c r="F2072" s="88">
        <v>46714</v>
      </c>
      <c r="G2072" s="88" t="str" cm="1">
        <f t="array" ref="G20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AND(F2072&gt;= DATE(2026,1,1), F2072&lt;= DATE(2028, 12, 31), J2072&gt;50000), "Pendente e Caro", AND(F2072&gt;= DATE(2026,1,1), F2072&lt;= DATE(2028, 12, 31), J2072&lt;=50000), "Pendente", F2072&gt;= DATE(2029,1,1), "Não prioeitário")</f>
        <v>Pendente e Caro</v>
      </c>
      <c r="H2072" s="89">
        <f>YEAR(Tabela1[[#This Row],[Data de Validade]])</f>
        <v>2027</v>
      </c>
      <c r="I2072" s="89">
        <f>MONTH(Tabela1[[#This Row],[Data de Validade]])</f>
        <v>11</v>
      </c>
      <c r="J2072" s="101">
        <v>78530</v>
      </c>
      <c r="K2072" s="87" t="s">
        <v>11</v>
      </c>
      <c r="L2072" s="108"/>
      <c r="M2072" s="108"/>
      <c r="N2072" s="108" t="str">
        <v>H897H682</v>
      </c>
      <c r="O2072" s="108">
        <f t="shared" si="34"/>
        <v>1</v>
      </c>
      <c r="P2072" s="108"/>
      <c r="Q2072"/>
    </row>
    <row r="2073" spans="1:17" x14ac:dyDescent="0.25">
      <c r="A2073" s="89" t="s">
        <v>9503</v>
      </c>
      <c r="B2073" s="87" t="s">
        <v>9504</v>
      </c>
      <c r="C2073" s="87" t="s">
        <v>16</v>
      </c>
      <c r="D2073" s="87" t="str">
        <f>VLOOKUP(Tabela1[[#This Row],[Origem]], 'Perguntas 1 a 24'!$J$28:$K$34, 2, 0)</f>
        <v>Sudeste</v>
      </c>
      <c r="E2073" s="87" t="str">
        <f>Tabela1[[#This Row],[Descrição]]&amp;"-"&amp;Tabela1[[#This Row],[Código]]&amp;"/"&amp;Tabela1[[#This Row],[Origem]]</f>
        <v>Dorenegoro-H897H682/MG</v>
      </c>
      <c r="F2073" s="88">
        <v>46715</v>
      </c>
      <c r="G2073" s="88" t="str" cm="1">
        <f t="array" ref="G20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AND(F2073&gt;= DATE(2026,1,1), F2073&lt;= DATE(2028, 12, 31), J2073&gt;50000), "Pendente e Caro", AND(F2073&gt;= DATE(2026,1,1), F2073&lt;= DATE(2028, 12, 31), J2073&lt;=50000), "Pendente", F2073&gt;= DATE(2029,1,1), "Não prioeitário")</f>
        <v>Pendente</v>
      </c>
      <c r="H2073" s="89">
        <f>YEAR(Tabela1[[#This Row],[Data de Validade]])</f>
        <v>2027</v>
      </c>
      <c r="I2073" s="89">
        <f>MONTH(Tabela1[[#This Row],[Data de Validade]])</f>
        <v>11</v>
      </c>
      <c r="J2073" s="101">
        <v>35952</v>
      </c>
      <c r="K2073" s="87" t="s">
        <v>7</v>
      </c>
      <c r="L2073" s="108"/>
      <c r="M2073" s="108"/>
      <c r="N2073" s="108" t="str">
        <v>H943P391</v>
      </c>
      <c r="O2073" s="108">
        <f t="shared" si="34"/>
        <v>1</v>
      </c>
      <c r="P2073" s="108"/>
      <c r="Q2073"/>
    </row>
    <row r="2074" spans="1:17" x14ac:dyDescent="0.25">
      <c r="A2074" s="89" t="s">
        <v>7124</v>
      </c>
      <c r="B2074" s="87" t="s">
        <v>7125</v>
      </c>
      <c r="C2074" s="87" t="s">
        <v>8</v>
      </c>
      <c r="D2074" s="87" t="str">
        <f>VLOOKUP(Tabela1[[#This Row],[Origem]], 'Perguntas 1 a 24'!$J$28:$K$34, 2, 0)</f>
        <v>Nordeste</v>
      </c>
      <c r="E2074" s="87" t="str">
        <f>Tabela1[[#This Row],[Descrição]]&amp;"-"&amp;Tabela1[[#This Row],[Código]]&amp;"/"&amp;Tabela1[[#This Row],[Origem]]</f>
        <v>Roguvegata-H943P391/AL</v>
      </c>
      <c r="F2074" s="88">
        <v>46716</v>
      </c>
      <c r="G2074" s="88" t="str" cm="1">
        <f t="array" ref="G20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AND(F2074&gt;= DATE(2026,1,1), F2074&lt;= DATE(2028, 12, 31), J2074&gt;50000), "Pendente e Caro", AND(F2074&gt;= DATE(2026,1,1), F2074&lt;= DATE(2028, 12, 31), J2074&lt;=50000), "Pendente", F2074&gt;= DATE(2029,1,1), "Não prioeitário")</f>
        <v>Pendente e Caro</v>
      </c>
      <c r="H2074" s="89">
        <f>YEAR(Tabela1[[#This Row],[Data de Validade]])</f>
        <v>2027</v>
      </c>
      <c r="I2074" s="89">
        <f>MONTH(Tabela1[[#This Row],[Data de Validade]])</f>
        <v>11</v>
      </c>
      <c r="J2074" s="101">
        <v>106928</v>
      </c>
      <c r="K2074" s="87" t="s">
        <v>7</v>
      </c>
      <c r="L2074" s="108"/>
      <c r="M2074" s="108"/>
      <c r="N2074" s="108" t="str">
        <v>P154P819</v>
      </c>
      <c r="O2074" s="108">
        <f t="shared" si="34"/>
        <v>1</v>
      </c>
      <c r="P2074" s="108"/>
      <c r="Q2074"/>
    </row>
    <row r="2075" spans="1:17" x14ac:dyDescent="0.25">
      <c r="A2075" s="89" t="s">
        <v>7042</v>
      </c>
      <c r="B2075" s="87" t="s">
        <v>7043</v>
      </c>
      <c r="C2075" s="87" t="s">
        <v>13</v>
      </c>
      <c r="D2075" s="87" t="str">
        <f>VLOOKUP(Tabela1[[#This Row],[Origem]], 'Perguntas 1 a 24'!$J$28:$K$34, 2, 0)</f>
        <v>Sudeste</v>
      </c>
      <c r="E2075" s="87" t="str">
        <f>Tabela1[[#This Row],[Descrição]]&amp;"-"&amp;Tabela1[[#This Row],[Código]]&amp;"/"&amp;Tabela1[[#This Row],[Origem]]</f>
        <v>Mitoluvagi-P154P819/SP</v>
      </c>
      <c r="F2075" s="88">
        <v>46718</v>
      </c>
      <c r="G2075" s="88" t="str" cm="1">
        <f t="array" ref="G20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AND(F2075&gt;= DATE(2026,1,1), F2075&lt;= DATE(2028, 12, 31), J2075&gt;50000), "Pendente e Caro", AND(F2075&gt;= DATE(2026,1,1), F2075&lt;= DATE(2028, 12, 31), J2075&lt;=50000), "Pendente", F2075&gt;= DATE(2029,1,1), "Não prioeitário")</f>
        <v>Pendente e Caro</v>
      </c>
      <c r="H2075" s="89">
        <f>YEAR(Tabela1[[#This Row],[Data de Validade]])</f>
        <v>2027</v>
      </c>
      <c r="I2075" s="89">
        <f>MONTH(Tabela1[[#This Row],[Data de Validade]])</f>
        <v>11</v>
      </c>
      <c r="J2075" s="101">
        <v>65417</v>
      </c>
      <c r="K2075" s="87" t="s">
        <v>14</v>
      </c>
      <c r="L2075" s="108"/>
      <c r="M2075" s="108"/>
      <c r="N2075" s="108" t="str">
        <v>H717H696</v>
      </c>
      <c r="O2075" s="108">
        <f t="shared" si="34"/>
        <v>1</v>
      </c>
      <c r="P2075" s="108"/>
      <c r="Q2075"/>
    </row>
    <row r="2076" spans="1:17" x14ac:dyDescent="0.25">
      <c r="A2076" s="89" t="s">
        <v>8793</v>
      </c>
      <c r="B2076" s="87" t="s">
        <v>8794</v>
      </c>
      <c r="C2076" s="87" t="s">
        <v>13</v>
      </c>
      <c r="D2076" s="87" t="str">
        <f>VLOOKUP(Tabela1[[#This Row],[Origem]], 'Perguntas 1 a 24'!$J$28:$K$34, 2, 0)</f>
        <v>Sudeste</v>
      </c>
      <c r="E2076" s="87" t="str">
        <f>Tabela1[[#This Row],[Descrição]]&amp;"-"&amp;Tabela1[[#This Row],[Código]]&amp;"/"&amp;Tabela1[[#This Row],[Origem]]</f>
        <v>Paremopu-H717H696/SP</v>
      </c>
      <c r="F2076" s="88">
        <v>46720</v>
      </c>
      <c r="G2076" s="88" t="str" cm="1">
        <f t="array" ref="G20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AND(F2076&gt;= DATE(2026,1,1), F2076&lt;= DATE(2028, 12, 31), J2076&gt;50000), "Pendente e Caro", AND(F2076&gt;= DATE(2026,1,1), F2076&lt;= DATE(2028, 12, 31), J2076&lt;=50000), "Pendente", F2076&gt;= DATE(2029,1,1), "Não prioeitário")</f>
        <v>Pendente e Caro</v>
      </c>
      <c r="H2076" s="89">
        <f>YEAR(Tabela1[[#This Row],[Data de Validade]])</f>
        <v>2027</v>
      </c>
      <c r="I2076" s="89">
        <f>MONTH(Tabela1[[#This Row],[Data de Validade]])</f>
        <v>11</v>
      </c>
      <c r="J2076" s="101">
        <v>61240</v>
      </c>
      <c r="K2076" s="87" t="s">
        <v>9</v>
      </c>
      <c r="L2076" s="108"/>
      <c r="M2076" s="108"/>
      <c r="N2076" s="108" t="str">
        <v>P973H167</v>
      </c>
      <c r="O2076" s="108">
        <f t="shared" si="34"/>
        <v>1</v>
      </c>
      <c r="P2076" s="108"/>
      <c r="Q2076"/>
    </row>
    <row r="2077" spans="1:17" x14ac:dyDescent="0.25">
      <c r="A2077" s="89" t="s">
        <v>7906</v>
      </c>
      <c r="B2077" s="87" t="s">
        <v>7907</v>
      </c>
      <c r="C2077" s="87" t="s">
        <v>15</v>
      </c>
      <c r="D2077" s="87" t="str">
        <f>VLOOKUP(Tabela1[[#This Row],[Origem]], 'Perguntas 1 a 24'!$J$28:$K$34, 2, 0)</f>
        <v>Sudeste</v>
      </c>
      <c r="E2077" s="87" t="str">
        <f>Tabela1[[#This Row],[Descrição]]&amp;"-"&amp;Tabela1[[#This Row],[Código]]&amp;"/"&amp;Tabela1[[#This Row],[Origem]]</f>
        <v>Tetepi-P973H167/ES</v>
      </c>
      <c r="F2077" s="88">
        <v>46721</v>
      </c>
      <c r="G2077" s="88" t="str" cm="1">
        <f t="array" ref="G20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AND(F2077&gt;= DATE(2026,1,1), F2077&lt;= DATE(2028, 12, 31), J2077&gt;50000), "Pendente e Caro", AND(F2077&gt;= DATE(2026,1,1), F2077&lt;= DATE(2028, 12, 31), J2077&lt;=50000), "Pendente", F2077&gt;= DATE(2029,1,1), "Não prioeitário")</f>
        <v>Pendente e Caro</v>
      </c>
      <c r="H2077" s="89">
        <f>YEAR(Tabela1[[#This Row],[Data de Validade]])</f>
        <v>2027</v>
      </c>
      <c r="I2077" s="89">
        <f>MONTH(Tabela1[[#This Row],[Data de Validade]])</f>
        <v>11</v>
      </c>
      <c r="J2077" s="101">
        <v>61434</v>
      </c>
      <c r="K2077" s="87" t="s">
        <v>11</v>
      </c>
      <c r="L2077" s="108"/>
      <c r="M2077" s="108"/>
      <c r="N2077" s="108" t="str">
        <v>P111P428</v>
      </c>
      <c r="O2077" s="108">
        <f t="shared" si="34"/>
        <v>1</v>
      </c>
      <c r="P2077" s="108"/>
      <c r="Q2077"/>
    </row>
    <row r="2078" spans="1:17" x14ac:dyDescent="0.25">
      <c r="A2078" s="89" t="s">
        <v>5580</v>
      </c>
      <c r="B2078" s="87" t="s">
        <v>5581</v>
      </c>
      <c r="C2078" s="87" t="s">
        <v>10</v>
      </c>
      <c r="D2078" s="87" t="str">
        <f>VLOOKUP(Tabela1[[#This Row],[Origem]], 'Perguntas 1 a 24'!$J$28:$K$34, 2, 0)</f>
        <v>Centro-Oeste</v>
      </c>
      <c r="E2078" s="87" t="str">
        <f>Tabela1[[#This Row],[Descrição]]&amp;"-"&amp;Tabela1[[#This Row],[Código]]&amp;"/"&amp;Tabela1[[#This Row],[Origem]]</f>
        <v>Lopirapepa-P111P428/GO</v>
      </c>
      <c r="F2078" s="88">
        <v>46722</v>
      </c>
      <c r="G2078" s="88" t="str" cm="1">
        <f t="array" ref="G20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AND(F2078&gt;= DATE(2026,1,1), F2078&lt;= DATE(2028, 12, 31), J2078&gt;50000), "Pendente e Caro", AND(F2078&gt;= DATE(2026,1,1), F2078&lt;= DATE(2028, 12, 31), J2078&lt;=50000), "Pendente", F2078&gt;= DATE(2029,1,1), "Não prioeitário")</f>
        <v>Pendente e Caro</v>
      </c>
      <c r="H2078" s="89">
        <f>YEAR(Tabela1[[#This Row],[Data de Validade]])</f>
        <v>2027</v>
      </c>
      <c r="I2078" s="89">
        <f>MONTH(Tabela1[[#This Row],[Data de Validade]])</f>
        <v>12</v>
      </c>
      <c r="J2078" s="101">
        <v>88804</v>
      </c>
      <c r="K2078" s="87" t="s">
        <v>7</v>
      </c>
      <c r="L2078" s="108"/>
      <c r="M2078" s="108"/>
      <c r="N2078" s="108" t="str">
        <v>P369P298</v>
      </c>
      <c r="O2078" s="108">
        <f t="shared" si="34"/>
        <v>1</v>
      </c>
      <c r="P2078" s="108"/>
      <c r="Q2078"/>
    </row>
    <row r="2079" spans="1:17" x14ac:dyDescent="0.25">
      <c r="A2079" s="89" t="s">
        <v>10731</v>
      </c>
      <c r="B2079" s="87" t="s">
        <v>10732</v>
      </c>
      <c r="C2079" s="87" t="s">
        <v>10</v>
      </c>
      <c r="D2079" s="87" t="str">
        <f>VLOOKUP(Tabela1[[#This Row],[Origem]], 'Perguntas 1 a 24'!$J$28:$K$34, 2, 0)</f>
        <v>Centro-Oeste</v>
      </c>
      <c r="E2079" s="87" t="str">
        <f>Tabela1[[#This Row],[Descrição]]&amp;"-"&amp;Tabela1[[#This Row],[Código]]&amp;"/"&amp;Tabela1[[#This Row],[Origem]]</f>
        <v>Tocada-P369P298/GO</v>
      </c>
      <c r="F2079" s="88">
        <v>46722</v>
      </c>
      <c r="G2079" s="88" t="str" cm="1">
        <f t="array" ref="G20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AND(F2079&gt;= DATE(2026,1,1), F2079&lt;= DATE(2028, 12, 31), J2079&gt;50000), "Pendente e Caro", AND(F2079&gt;= DATE(2026,1,1), F2079&lt;= DATE(2028, 12, 31), J2079&lt;=50000), "Pendente", F2079&gt;= DATE(2029,1,1), "Não prioeitário")</f>
        <v>Pendente e Caro</v>
      </c>
      <c r="H2079" s="89">
        <f>YEAR(Tabela1[[#This Row],[Data de Validade]])</f>
        <v>2027</v>
      </c>
      <c r="I2079" s="89">
        <f>MONTH(Tabela1[[#This Row],[Data de Validade]])</f>
        <v>12</v>
      </c>
      <c r="J2079" s="101">
        <v>77469</v>
      </c>
      <c r="K2079" s="87" t="s">
        <v>9</v>
      </c>
      <c r="L2079" s="108"/>
      <c r="M2079" s="108"/>
      <c r="N2079" s="108" t="str">
        <v>H384P293</v>
      </c>
      <c r="O2079" s="108">
        <f t="shared" si="34"/>
        <v>1</v>
      </c>
      <c r="P2079" s="108"/>
      <c r="Q2079"/>
    </row>
    <row r="2080" spans="1:17" x14ac:dyDescent="0.25">
      <c r="A2080" s="89" t="s">
        <v>5158</v>
      </c>
      <c r="B2080" s="87" t="s">
        <v>5159</v>
      </c>
      <c r="C2080" s="87" t="s">
        <v>6</v>
      </c>
      <c r="D2080" s="87" t="str">
        <f>VLOOKUP(Tabela1[[#This Row],[Origem]], 'Perguntas 1 a 24'!$J$28:$K$34, 2, 0)</f>
        <v>Nordeste</v>
      </c>
      <c r="E2080" s="87" t="str">
        <f>Tabela1[[#This Row],[Descrição]]&amp;"-"&amp;Tabela1[[#This Row],[Código]]&amp;"/"&amp;Tabela1[[#This Row],[Origem]]</f>
        <v>Toticigari-H384P293/MA</v>
      </c>
      <c r="F2080" s="88">
        <v>46722</v>
      </c>
      <c r="G2080" s="88" t="str" cm="1">
        <f t="array" ref="G20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AND(F2080&gt;= DATE(2026,1,1), F2080&lt;= DATE(2028, 12, 31), J2080&gt;50000), "Pendente e Caro", AND(F2080&gt;= DATE(2026,1,1), F2080&lt;= DATE(2028, 12, 31), J2080&lt;=50000), "Pendente", F2080&gt;= DATE(2029,1,1), "Não prioeitário")</f>
        <v>Pendente e Caro</v>
      </c>
      <c r="H2080" s="89">
        <f>YEAR(Tabela1[[#This Row],[Data de Validade]])</f>
        <v>2027</v>
      </c>
      <c r="I2080" s="89">
        <f>MONTH(Tabela1[[#This Row],[Data de Validade]])</f>
        <v>12</v>
      </c>
      <c r="J2080" s="101">
        <v>64496</v>
      </c>
      <c r="K2080" s="87" t="s">
        <v>9</v>
      </c>
      <c r="L2080" s="108"/>
      <c r="M2080" s="108"/>
      <c r="N2080" s="108" t="str">
        <v>P536H846</v>
      </c>
      <c r="O2080" s="108">
        <f t="shared" si="34"/>
        <v>1</v>
      </c>
      <c r="P2080" s="108"/>
      <c r="Q2080"/>
    </row>
    <row r="2081" spans="1:17" x14ac:dyDescent="0.25">
      <c r="A2081" s="89" t="s">
        <v>9371</v>
      </c>
      <c r="B2081" s="87" t="s">
        <v>9372</v>
      </c>
      <c r="C2081" s="87" t="s">
        <v>8</v>
      </c>
      <c r="D2081" s="87" t="str">
        <f>VLOOKUP(Tabela1[[#This Row],[Origem]], 'Perguntas 1 a 24'!$J$28:$K$34, 2, 0)</f>
        <v>Nordeste</v>
      </c>
      <c r="E2081" s="87" t="str">
        <f>Tabela1[[#This Row],[Descrição]]&amp;"-"&amp;Tabela1[[#This Row],[Código]]&amp;"/"&amp;Tabela1[[#This Row],[Origem]]</f>
        <v>Nunicaneca-P536H846/AL</v>
      </c>
      <c r="F2081" s="88">
        <v>46722</v>
      </c>
      <c r="G2081" s="88" t="str" cm="1">
        <f t="array" ref="G20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AND(F2081&gt;= DATE(2026,1,1), F2081&lt;= DATE(2028, 12, 31), J2081&gt;50000), "Pendente e Caro", AND(F2081&gt;= DATE(2026,1,1), F2081&lt;= DATE(2028, 12, 31), J2081&lt;=50000), "Pendente", F2081&gt;= DATE(2029,1,1), "Não prioeitário")</f>
        <v>Pendente e Caro</v>
      </c>
      <c r="H2081" s="89">
        <f>YEAR(Tabela1[[#This Row],[Data de Validade]])</f>
        <v>2027</v>
      </c>
      <c r="I2081" s="89">
        <f>MONTH(Tabela1[[#This Row],[Data de Validade]])</f>
        <v>12</v>
      </c>
      <c r="J2081" s="101">
        <v>55843</v>
      </c>
      <c r="K2081" s="87" t="s">
        <v>7</v>
      </c>
      <c r="L2081" s="108"/>
      <c r="M2081" s="108"/>
      <c r="N2081" s="108" t="str">
        <v>H181H773</v>
      </c>
      <c r="O2081" s="108">
        <f t="shared" si="34"/>
        <v>1</v>
      </c>
      <c r="P2081" s="108"/>
      <c r="Q2081"/>
    </row>
    <row r="2082" spans="1:17" x14ac:dyDescent="0.25">
      <c r="A2082" s="89" t="s">
        <v>5342</v>
      </c>
      <c r="B2082" s="87" t="s">
        <v>5343</v>
      </c>
      <c r="C2082" s="87" t="s">
        <v>8</v>
      </c>
      <c r="D2082" s="87" t="str">
        <f>VLOOKUP(Tabela1[[#This Row],[Origem]], 'Perguntas 1 a 24'!$J$28:$K$34, 2, 0)</f>
        <v>Nordeste</v>
      </c>
      <c r="E2082" s="87" t="str">
        <f>Tabela1[[#This Row],[Descrição]]&amp;"-"&amp;Tabela1[[#This Row],[Código]]&amp;"/"&amp;Tabela1[[#This Row],[Origem]]</f>
        <v>Petopo-H181H773/AL</v>
      </c>
      <c r="F2082" s="88">
        <v>46723</v>
      </c>
      <c r="G2082" s="88" t="str" cm="1">
        <f t="array" ref="G20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AND(F2082&gt;= DATE(2026,1,1), F2082&lt;= DATE(2028, 12, 31), J2082&gt;50000), "Pendente e Caro", AND(F2082&gt;= DATE(2026,1,1), F2082&lt;= DATE(2028, 12, 31), J2082&lt;=50000), "Pendente", F2082&gt;= DATE(2029,1,1), "Não prioeitário")</f>
        <v>Pendente e Caro</v>
      </c>
      <c r="H2082" s="89">
        <f>YEAR(Tabela1[[#This Row],[Data de Validade]])</f>
        <v>2027</v>
      </c>
      <c r="I2082" s="89">
        <f>MONTH(Tabela1[[#This Row],[Data de Validade]])</f>
        <v>12</v>
      </c>
      <c r="J2082" s="101">
        <v>115550</v>
      </c>
      <c r="K2082" s="87" t="s">
        <v>9</v>
      </c>
      <c r="L2082" s="108"/>
      <c r="M2082" s="108"/>
      <c r="N2082" s="108" t="str">
        <v>H719P197</v>
      </c>
      <c r="O2082" s="108">
        <f t="shared" si="34"/>
        <v>1</v>
      </c>
      <c r="P2082" s="108"/>
      <c r="Q2082"/>
    </row>
    <row r="2083" spans="1:17" x14ac:dyDescent="0.25">
      <c r="A2083" s="89" t="s">
        <v>9757</v>
      </c>
      <c r="B2083" s="87" t="s">
        <v>9758</v>
      </c>
      <c r="C2083" s="87" t="s">
        <v>12</v>
      </c>
      <c r="D2083" s="87" t="str">
        <f>VLOOKUP(Tabela1[[#This Row],[Origem]], 'Perguntas 1 a 24'!$J$28:$K$34, 2, 0)</f>
        <v>Sudeste</v>
      </c>
      <c r="E2083" s="87" t="str">
        <f>Tabela1[[#This Row],[Descrição]]&amp;"-"&amp;Tabela1[[#This Row],[Código]]&amp;"/"&amp;Tabela1[[#This Row],[Origem]]</f>
        <v>Telapiru-H719P197/RJ</v>
      </c>
      <c r="F2083" s="88">
        <v>46723</v>
      </c>
      <c r="G2083" s="88" t="str" cm="1">
        <f t="array" ref="G20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AND(F2083&gt;= DATE(2026,1,1), F2083&lt;= DATE(2028, 12, 31), J2083&gt;50000), "Pendente e Caro", AND(F2083&gt;= DATE(2026,1,1), F2083&lt;= DATE(2028, 12, 31), J2083&lt;=50000), "Pendente", F2083&gt;= DATE(2029,1,1), "Não prioeitário")</f>
        <v>Pendente e Caro</v>
      </c>
      <c r="H2083" s="89">
        <f>YEAR(Tabela1[[#This Row],[Data de Validade]])</f>
        <v>2027</v>
      </c>
      <c r="I2083" s="89">
        <f>MONTH(Tabela1[[#This Row],[Data de Validade]])</f>
        <v>12</v>
      </c>
      <c r="J2083" s="101">
        <v>100195</v>
      </c>
      <c r="K2083" s="87" t="s">
        <v>11</v>
      </c>
      <c r="L2083" s="108"/>
      <c r="M2083" s="108"/>
      <c r="N2083" s="108" t="str">
        <v>H329H427</v>
      </c>
      <c r="O2083" s="108">
        <f t="shared" si="34"/>
        <v>1</v>
      </c>
      <c r="P2083" s="108"/>
      <c r="Q2083"/>
    </row>
    <row r="2084" spans="1:17" x14ac:dyDescent="0.25">
      <c r="A2084" s="89" t="s">
        <v>8543</v>
      </c>
      <c r="B2084" s="87" t="s">
        <v>8544</v>
      </c>
      <c r="C2084" s="87" t="s">
        <v>13</v>
      </c>
      <c r="D2084" s="87" t="str">
        <f>VLOOKUP(Tabela1[[#This Row],[Origem]], 'Perguntas 1 a 24'!$J$28:$K$34, 2, 0)</f>
        <v>Sudeste</v>
      </c>
      <c r="E2084" s="87" t="str">
        <f>Tabela1[[#This Row],[Descrição]]&amp;"-"&amp;Tabela1[[#This Row],[Código]]&amp;"/"&amp;Tabela1[[#This Row],[Origem]]</f>
        <v>Fetego-H329H427/SP</v>
      </c>
      <c r="F2084" s="88">
        <v>46723</v>
      </c>
      <c r="G2084" s="88" t="str" cm="1">
        <f t="array" ref="G20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AND(F2084&gt;= DATE(2026,1,1), F2084&lt;= DATE(2028, 12, 31), J2084&gt;50000), "Pendente e Caro", AND(F2084&gt;= DATE(2026,1,1), F2084&lt;= DATE(2028, 12, 31), J2084&lt;=50000), "Pendente", F2084&gt;= DATE(2029,1,1), "Não prioeitário")</f>
        <v>Pendente e Caro</v>
      </c>
      <c r="H2084" s="89">
        <f>YEAR(Tabela1[[#This Row],[Data de Validade]])</f>
        <v>2027</v>
      </c>
      <c r="I2084" s="89">
        <f>MONTH(Tabela1[[#This Row],[Data de Validade]])</f>
        <v>12</v>
      </c>
      <c r="J2084" s="101">
        <v>77580</v>
      </c>
      <c r="K2084" s="87" t="s">
        <v>14</v>
      </c>
      <c r="L2084" s="108"/>
      <c r="M2084" s="108"/>
      <c r="N2084" s="108" t="str">
        <v>H213P173</v>
      </c>
      <c r="O2084" s="108">
        <f t="shared" si="34"/>
        <v>1</v>
      </c>
      <c r="P2084" s="108"/>
      <c r="Q2084"/>
    </row>
    <row r="2085" spans="1:17" x14ac:dyDescent="0.25">
      <c r="A2085" s="89" t="s">
        <v>10787</v>
      </c>
      <c r="B2085" s="87" t="s">
        <v>10788</v>
      </c>
      <c r="C2085" s="87" t="s">
        <v>13</v>
      </c>
      <c r="D2085" s="87" t="str">
        <f>VLOOKUP(Tabela1[[#This Row],[Origem]], 'Perguntas 1 a 24'!$J$28:$K$34, 2, 0)</f>
        <v>Sudeste</v>
      </c>
      <c r="E2085" s="87" t="str">
        <f>Tabela1[[#This Row],[Descrição]]&amp;"-"&amp;Tabela1[[#This Row],[Código]]&amp;"/"&amp;Tabela1[[#This Row],[Origem]]</f>
        <v>Dafetopete-H213P173/SP</v>
      </c>
      <c r="F2085" s="88">
        <v>46725</v>
      </c>
      <c r="G2085" s="88" t="str" cm="1">
        <f t="array" ref="G20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AND(F2085&gt;= DATE(2026,1,1), F2085&lt;= DATE(2028, 12, 31), J2085&gt;50000), "Pendente e Caro", AND(F2085&gt;= DATE(2026,1,1), F2085&lt;= DATE(2028, 12, 31), J2085&lt;=50000), "Pendente", F2085&gt;= DATE(2029,1,1), "Não prioeitário")</f>
        <v>Pendente</v>
      </c>
      <c r="H2085" s="89">
        <f>YEAR(Tabela1[[#This Row],[Data de Validade]])</f>
        <v>2027</v>
      </c>
      <c r="I2085" s="89">
        <f>MONTH(Tabela1[[#This Row],[Data de Validade]])</f>
        <v>12</v>
      </c>
      <c r="J2085" s="101">
        <v>46433</v>
      </c>
      <c r="K2085" s="87" t="s">
        <v>11</v>
      </c>
      <c r="L2085" s="108"/>
      <c r="M2085" s="108"/>
      <c r="N2085" s="108" t="str">
        <v>P789H913</v>
      </c>
      <c r="O2085" s="108">
        <f t="shared" si="34"/>
        <v>1</v>
      </c>
      <c r="P2085" s="108"/>
      <c r="Q2085"/>
    </row>
    <row r="2086" spans="1:17" x14ac:dyDescent="0.25">
      <c r="A2086" s="89" t="s">
        <v>5902</v>
      </c>
      <c r="B2086" s="87" t="s">
        <v>5903</v>
      </c>
      <c r="C2086" s="87" t="s">
        <v>15</v>
      </c>
      <c r="D2086" s="87" t="str">
        <f>VLOOKUP(Tabela1[[#This Row],[Origem]], 'Perguntas 1 a 24'!$J$28:$K$34, 2, 0)</f>
        <v>Sudeste</v>
      </c>
      <c r="E2086" s="87" t="str">
        <f>Tabela1[[#This Row],[Descrição]]&amp;"-"&amp;Tabela1[[#This Row],[Código]]&amp;"/"&amp;Tabela1[[#This Row],[Origem]]</f>
        <v>Fodotomu-P789H913/ES</v>
      </c>
      <c r="F2086" s="88">
        <v>46725</v>
      </c>
      <c r="G2086" s="88" t="str" cm="1">
        <f t="array" ref="G20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AND(F2086&gt;= DATE(2026,1,1), F2086&lt;= DATE(2028, 12, 31), J2086&gt;50000), "Pendente e Caro", AND(F2086&gt;= DATE(2026,1,1), F2086&lt;= DATE(2028, 12, 31), J2086&lt;=50000), "Pendente", F2086&gt;= DATE(2029,1,1), "Não prioeitário")</f>
        <v>Pendente</v>
      </c>
      <c r="H2086" s="89">
        <f>YEAR(Tabela1[[#This Row],[Data de Validade]])</f>
        <v>2027</v>
      </c>
      <c r="I2086" s="89">
        <f>MONTH(Tabela1[[#This Row],[Data de Validade]])</f>
        <v>12</v>
      </c>
      <c r="J2086" s="101">
        <v>45332</v>
      </c>
      <c r="K2086" s="87" t="s">
        <v>7</v>
      </c>
      <c r="L2086" s="108"/>
      <c r="M2086" s="108"/>
      <c r="N2086" s="108" t="str">
        <v>H114H237</v>
      </c>
      <c r="O2086" s="108">
        <f t="shared" si="34"/>
        <v>1</v>
      </c>
      <c r="P2086" s="108"/>
      <c r="Q2086"/>
    </row>
    <row r="2087" spans="1:17" x14ac:dyDescent="0.25">
      <c r="A2087" s="89" t="s">
        <v>9565</v>
      </c>
      <c r="B2087" s="87" t="s">
        <v>9566</v>
      </c>
      <c r="C2087" s="87" t="s">
        <v>16</v>
      </c>
      <c r="D2087" s="87" t="str">
        <f>VLOOKUP(Tabela1[[#This Row],[Origem]], 'Perguntas 1 a 24'!$J$28:$K$34, 2, 0)</f>
        <v>Sudeste</v>
      </c>
      <c r="E2087" s="87" t="str">
        <f>Tabela1[[#This Row],[Descrição]]&amp;"-"&amp;Tabela1[[#This Row],[Código]]&amp;"/"&amp;Tabela1[[#This Row],[Origem]]</f>
        <v>Pogumima-H114H237/MG</v>
      </c>
      <c r="F2087" s="88">
        <v>46726</v>
      </c>
      <c r="G2087" s="88" t="str" cm="1">
        <f t="array" ref="G20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AND(F2087&gt;= DATE(2026,1,1), F2087&lt;= DATE(2028, 12, 31), J2087&gt;50000), "Pendente e Caro", AND(F2087&gt;= DATE(2026,1,1), F2087&lt;= DATE(2028, 12, 31), J2087&lt;=50000), "Pendente", F2087&gt;= DATE(2029,1,1), "Não prioeitário")</f>
        <v>Pendente e Caro</v>
      </c>
      <c r="H2087" s="89">
        <f>YEAR(Tabela1[[#This Row],[Data de Validade]])</f>
        <v>2027</v>
      </c>
      <c r="I2087" s="89">
        <f>MONTH(Tabela1[[#This Row],[Data de Validade]])</f>
        <v>12</v>
      </c>
      <c r="J2087" s="101">
        <v>75364</v>
      </c>
      <c r="K2087" s="87" t="s">
        <v>9</v>
      </c>
      <c r="L2087" s="108"/>
      <c r="M2087" s="108"/>
      <c r="N2087" s="108" t="str">
        <v>H523P426</v>
      </c>
      <c r="O2087" s="108">
        <f t="shared" si="34"/>
        <v>1</v>
      </c>
      <c r="P2087" s="108"/>
      <c r="Q2087"/>
    </row>
    <row r="2088" spans="1:17" x14ac:dyDescent="0.25">
      <c r="A2088" s="89" t="s">
        <v>6322</v>
      </c>
      <c r="B2088" s="87" t="s">
        <v>6323</v>
      </c>
      <c r="C2088" s="87" t="s">
        <v>16</v>
      </c>
      <c r="D2088" s="87" t="str">
        <f>VLOOKUP(Tabela1[[#This Row],[Origem]], 'Perguntas 1 a 24'!$J$28:$K$34, 2, 0)</f>
        <v>Sudeste</v>
      </c>
      <c r="E2088" s="87" t="str">
        <f>Tabela1[[#This Row],[Descrição]]&amp;"-"&amp;Tabela1[[#This Row],[Código]]&amp;"/"&amp;Tabela1[[#This Row],[Origem]]</f>
        <v>Colipodi-H523P426/MG</v>
      </c>
      <c r="F2088" s="88">
        <v>46726</v>
      </c>
      <c r="G2088" s="88" t="str" cm="1">
        <f t="array" ref="G20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AND(F2088&gt;= DATE(2026,1,1), F2088&lt;= DATE(2028, 12, 31), J2088&gt;50000), "Pendente e Caro", AND(F2088&gt;= DATE(2026,1,1), F2088&lt;= DATE(2028, 12, 31), J2088&lt;=50000), "Pendente", F2088&gt;= DATE(2029,1,1), "Não prioeitário")</f>
        <v>Pendente</v>
      </c>
      <c r="H2088" s="89">
        <f>YEAR(Tabela1[[#This Row],[Data de Validade]])</f>
        <v>2027</v>
      </c>
      <c r="I2088" s="89">
        <f>MONTH(Tabela1[[#This Row],[Data de Validade]])</f>
        <v>12</v>
      </c>
      <c r="J2088" s="101">
        <v>48965</v>
      </c>
      <c r="K2088" s="87" t="s">
        <v>7</v>
      </c>
      <c r="L2088" s="108"/>
      <c r="M2088" s="108"/>
      <c r="N2088" s="108" t="str">
        <v>P994H199</v>
      </c>
      <c r="O2088" s="108">
        <f t="shared" si="34"/>
        <v>1</v>
      </c>
      <c r="P2088" s="108"/>
      <c r="Q2088"/>
    </row>
    <row r="2089" spans="1:17" x14ac:dyDescent="0.25">
      <c r="A2089" s="89" t="s">
        <v>8749</v>
      </c>
      <c r="B2089" s="87" t="s">
        <v>8750</v>
      </c>
      <c r="C2089" s="87" t="s">
        <v>13</v>
      </c>
      <c r="D2089" s="87" t="str">
        <f>VLOOKUP(Tabela1[[#This Row],[Origem]], 'Perguntas 1 a 24'!$J$28:$K$34, 2, 0)</f>
        <v>Sudeste</v>
      </c>
      <c r="E2089" s="87" t="str">
        <f>Tabela1[[#This Row],[Descrição]]&amp;"-"&amp;Tabela1[[#This Row],[Código]]&amp;"/"&amp;Tabela1[[#This Row],[Origem]]</f>
        <v>Torififu-P994H199/SP</v>
      </c>
      <c r="F2089" s="88">
        <v>46728</v>
      </c>
      <c r="G2089" s="88" t="str" cm="1">
        <f t="array" ref="G20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AND(F2089&gt;= DATE(2026,1,1), F2089&lt;= DATE(2028, 12, 31), J2089&gt;50000), "Pendente e Caro", AND(F2089&gt;= DATE(2026,1,1), F2089&lt;= DATE(2028, 12, 31), J2089&lt;=50000), "Pendente", F2089&gt;= DATE(2029,1,1), "Não prioeitário")</f>
        <v>Pendente e Caro</v>
      </c>
      <c r="H2089" s="89">
        <f>YEAR(Tabela1[[#This Row],[Data de Validade]])</f>
        <v>2027</v>
      </c>
      <c r="I2089" s="89">
        <f>MONTH(Tabela1[[#This Row],[Data de Validade]])</f>
        <v>12</v>
      </c>
      <c r="J2089" s="101">
        <v>90244</v>
      </c>
      <c r="K2089" s="87" t="s">
        <v>9</v>
      </c>
      <c r="L2089" s="108"/>
      <c r="M2089" s="108"/>
      <c r="N2089" s="108" t="str">
        <v>P561P591</v>
      </c>
      <c r="O2089" s="108">
        <f t="shared" si="34"/>
        <v>1</v>
      </c>
      <c r="P2089" s="108"/>
      <c r="Q2089"/>
    </row>
    <row r="2090" spans="1:17" x14ac:dyDescent="0.25">
      <c r="A2090" s="89" t="s">
        <v>10009</v>
      </c>
      <c r="B2090" s="87" t="s">
        <v>10010</v>
      </c>
      <c r="C2090" s="87" t="s">
        <v>12</v>
      </c>
      <c r="D2090" s="87" t="str">
        <f>VLOOKUP(Tabela1[[#This Row],[Origem]], 'Perguntas 1 a 24'!$J$28:$K$34, 2, 0)</f>
        <v>Sudeste</v>
      </c>
      <c r="E2090" s="87" t="str">
        <f>Tabela1[[#This Row],[Descrição]]&amp;"-"&amp;Tabela1[[#This Row],[Código]]&amp;"/"&amp;Tabela1[[#This Row],[Origem]]</f>
        <v>Rupumira-P561P591/RJ</v>
      </c>
      <c r="F2090" s="88">
        <v>46728</v>
      </c>
      <c r="G2090" s="88" t="str" cm="1">
        <f t="array" ref="G20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AND(F2090&gt;= DATE(2026,1,1), F2090&lt;= DATE(2028, 12, 31), J2090&gt;50000), "Pendente e Caro", AND(F2090&gt;= DATE(2026,1,1), F2090&lt;= DATE(2028, 12, 31), J2090&lt;=50000), "Pendente", F2090&gt;= DATE(2029,1,1), "Não prioeitário")</f>
        <v>Pendente e Caro</v>
      </c>
      <c r="H2090" s="89">
        <f>YEAR(Tabela1[[#This Row],[Data de Validade]])</f>
        <v>2027</v>
      </c>
      <c r="I2090" s="89">
        <f>MONTH(Tabela1[[#This Row],[Data de Validade]])</f>
        <v>12</v>
      </c>
      <c r="J2090" s="101">
        <v>86447</v>
      </c>
      <c r="K2090" s="87" t="s">
        <v>11</v>
      </c>
      <c r="L2090" s="108"/>
      <c r="M2090" s="108"/>
      <c r="N2090" s="108" t="str">
        <v>H745H641</v>
      </c>
      <c r="O2090" s="108">
        <f t="shared" si="34"/>
        <v>1</v>
      </c>
      <c r="P2090" s="108"/>
      <c r="Q2090"/>
    </row>
    <row r="2091" spans="1:17" x14ac:dyDescent="0.25">
      <c r="A2091" s="89" t="s">
        <v>7728</v>
      </c>
      <c r="B2091" s="87" t="s">
        <v>7729</v>
      </c>
      <c r="C2091" s="87" t="s">
        <v>15</v>
      </c>
      <c r="D2091" s="87" t="str">
        <f>VLOOKUP(Tabela1[[#This Row],[Origem]], 'Perguntas 1 a 24'!$J$28:$K$34, 2, 0)</f>
        <v>Sudeste</v>
      </c>
      <c r="E2091" s="87" t="str">
        <f>Tabela1[[#This Row],[Descrição]]&amp;"-"&amp;Tabela1[[#This Row],[Código]]&amp;"/"&amp;Tabela1[[#This Row],[Origem]]</f>
        <v>Lepavicati-H745H641/ES</v>
      </c>
      <c r="F2091" s="88">
        <v>46729</v>
      </c>
      <c r="G2091" s="88" t="str" cm="1">
        <f t="array" ref="G20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AND(F2091&gt;= DATE(2026,1,1), F2091&lt;= DATE(2028, 12, 31), J2091&gt;50000), "Pendente e Caro", AND(F2091&gt;= DATE(2026,1,1), F2091&lt;= DATE(2028, 12, 31), J2091&lt;=50000), "Pendente", F2091&gt;= DATE(2029,1,1), "Não prioeitário")</f>
        <v>Pendente</v>
      </c>
      <c r="H2091" s="89">
        <f>YEAR(Tabela1[[#This Row],[Data de Validade]])</f>
        <v>2027</v>
      </c>
      <c r="I2091" s="89">
        <f>MONTH(Tabela1[[#This Row],[Data de Validade]])</f>
        <v>12</v>
      </c>
      <c r="J2091" s="101">
        <v>38180</v>
      </c>
      <c r="K2091" s="87" t="s">
        <v>7</v>
      </c>
      <c r="L2091" s="108"/>
      <c r="M2091" s="108"/>
      <c r="N2091" s="108" t="str">
        <v>H466H446</v>
      </c>
      <c r="O2091" s="108">
        <f t="shared" si="34"/>
        <v>1</v>
      </c>
      <c r="P2091" s="108"/>
      <c r="Q2091"/>
    </row>
    <row r="2092" spans="1:17" x14ac:dyDescent="0.25">
      <c r="A2092" s="89" t="s">
        <v>5582</v>
      </c>
      <c r="B2092" s="87" t="s">
        <v>5583</v>
      </c>
      <c r="C2092" s="87" t="s">
        <v>6</v>
      </c>
      <c r="D2092" s="87" t="str">
        <f>VLOOKUP(Tabela1[[#This Row],[Origem]], 'Perguntas 1 a 24'!$J$28:$K$34, 2, 0)</f>
        <v>Nordeste</v>
      </c>
      <c r="E2092" s="87" t="str">
        <f>Tabela1[[#This Row],[Descrição]]&amp;"-"&amp;Tabela1[[#This Row],[Código]]&amp;"/"&amp;Tabela1[[#This Row],[Origem]]</f>
        <v>Giregope-H466H446/MA</v>
      </c>
      <c r="F2092" s="88">
        <v>46730</v>
      </c>
      <c r="G2092" s="88" t="str" cm="1">
        <f t="array" ref="G20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AND(F2092&gt;= DATE(2026,1,1), F2092&lt;= DATE(2028, 12, 31), J2092&gt;50000), "Pendente e Caro", AND(F2092&gt;= DATE(2026,1,1), F2092&lt;= DATE(2028, 12, 31), J2092&lt;=50000), "Pendente", F2092&gt;= DATE(2029,1,1), "Não prioeitário")</f>
        <v>Pendente e Caro</v>
      </c>
      <c r="H2092" s="89">
        <f>YEAR(Tabela1[[#This Row],[Data de Validade]])</f>
        <v>2027</v>
      </c>
      <c r="I2092" s="89">
        <f>MONTH(Tabela1[[#This Row],[Data de Validade]])</f>
        <v>12</v>
      </c>
      <c r="J2092" s="101">
        <v>104762</v>
      </c>
      <c r="K2092" s="87" t="s">
        <v>9</v>
      </c>
      <c r="L2092" s="108"/>
      <c r="M2092" s="108"/>
      <c r="N2092" s="108" t="str">
        <v>P451P636</v>
      </c>
      <c r="O2092" s="108">
        <f t="shared" si="34"/>
        <v>1</v>
      </c>
      <c r="P2092" s="108"/>
      <c r="Q2092"/>
    </row>
    <row r="2093" spans="1:17" x14ac:dyDescent="0.25">
      <c r="A2093" s="89" t="s">
        <v>5034</v>
      </c>
      <c r="B2093" s="87" t="s">
        <v>5035</v>
      </c>
      <c r="C2093" s="87" t="s">
        <v>12</v>
      </c>
      <c r="D2093" s="87" t="str">
        <f>VLOOKUP(Tabela1[[#This Row],[Origem]], 'Perguntas 1 a 24'!$J$28:$K$34, 2, 0)</f>
        <v>Sudeste</v>
      </c>
      <c r="E2093" s="87" t="str">
        <f>Tabela1[[#This Row],[Descrição]]&amp;"-"&amp;Tabela1[[#This Row],[Código]]&amp;"/"&amp;Tabela1[[#This Row],[Origem]]</f>
        <v>Pupadeto-P451P636/RJ</v>
      </c>
      <c r="F2093" s="88">
        <v>46730</v>
      </c>
      <c r="G2093" s="88" t="str" cm="1">
        <f t="array" ref="G20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AND(F2093&gt;= DATE(2026,1,1), F2093&lt;= DATE(2028, 12, 31), J2093&gt;50000), "Pendente e Caro", AND(F2093&gt;= DATE(2026,1,1), F2093&lt;= DATE(2028, 12, 31), J2093&lt;=50000), "Pendente", F2093&gt;= DATE(2029,1,1), "Não prioeitário")</f>
        <v>Pendente e Caro</v>
      </c>
      <c r="H2093" s="89">
        <f>YEAR(Tabela1[[#This Row],[Data de Validade]])</f>
        <v>2027</v>
      </c>
      <c r="I2093" s="89">
        <f>MONTH(Tabela1[[#This Row],[Data de Validade]])</f>
        <v>12</v>
      </c>
      <c r="J2093" s="101">
        <v>79366</v>
      </c>
      <c r="K2093" s="87" t="s">
        <v>14</v>
      </c>
      <c r="L2093" s="108"/>
      <c r="M2093" s="108"/>
      <c r="N2093" s="108" t="str">
        <v>H453P963</v>
      </c>
      <c r="O2093" s="108">
        <f t="shared" si="34"/>
        <v>1</v>
      </c>
      <c r="P2093" s="108"/>
      <c r="Q2093"/>
    </row>
    <row r="2094" spans="1:17" x14ac:dyDescent="0.25">
      <c r="A2094" s="89" t="s">
        <v>7944</v>
      </c>
      <c r="B2094" s="87" t="s">
        <v>7945</v>
      </c>
      <c r="C2094" s="87" t="s">
        <v>15</v>
      </c>
      <c r="D2094" s="87" t="str">
        <f>VLOOKUP(Tabela1[[#This Row],[Origem]], 'Perguntas 1 a 24'!$J$28:$K$34, 2, 0)</f>
        <v>Sudeste</v>
      </c>
      <c r="E2094" s="87" t="str">
        <f>Tabela1[[#This Row],[Descrição]]&amp;"-"&amp;Tabela1[[#This Row],[Código]]&amp;"/"&amp;Tabela1[[#This Row],[Origem]]</f>
        <v>Dumumodato-H453P963/ES</v>
      </c>
      <c r="F2094" s="88">
        <v>46730</v>
      </c>
      <c r="G2094" s="88" t="str" cm="1">
        <f t="array" ref="G20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AND(F2094&gt;= DATE(2026,1,1), F2094&lt;= DATE(2028, 12, 31), J2094&gt;50000), "Pendente e Caro", AND(F2094&gt;= DATE(2026,1,1), F2094&lt;= DATE(2028, 12, 31), J2094&lt;=50000), "Pendente", F2094&gt;= DATE(2029,1,1), "Não prioeitário")</f>
        <v>Pendente</v>
      </c>
      <c r="H2094" s="89">
        <f>YEAR(Tabela1[[#This Row],[Data de Validade]])</f>
        <v>2027</v>
      </c>
      <c r="I2094" s="89">
        <f>MONTH(Tabela1[[#This Row],[Data de Validade]])</f>
        <v>12</v>
      </c>
      <c r="J2094" s="101">
        <v>43771</v>
      </c>
      <c r="K2094" s="87" t="s">
        <v>14</v>
      </c>
      <c r="L2094" s="108"/>
      <c r="M2094" s="108"/>
      <c r="N2094" s="108" t="str">
        <v>P341P419</v>
      </c>
      <c r="O2094" s="108">
        <f t="shared" si="34"/>
        <v>1</v>
      </c>
      <c r="P2094" s="108"/>
      <c r="Q2094"/>
    </row>
    <row r="2095" spans="1:17" x14ac:dyDescent="0.25">
      <c r="A2095" s="89" t="s">
        <v>7040</v>
      </c>
      <c r="B2095" s="87" t="s">
        <v>7041</v>
      </c>
      <c r="C2095" s="87" t="s">
        <v>6</v>
      </c>
      <c r="D2095" s="87" t="str">
        <f>VLOOKUP(Tabela1[[#This Row],[Origem]], 'Perguntas 1 a 24'!$J$28:$K$34, 2, 0)</f>
        <v>Nordeste</v>
      </c>
      <c r="E2095" s="87" t="str">
        <f>Tabela1[[#This Row],[Descrição]]&amp;"-"&amp;Tabela1[[#This Row],[Código]]&amp;"/"&amp;Tabela1[[#This Row],[Origem]]</f>
        <v>Ponedutipa-P341P419/MA</v>
      </c>
      <c r="F2095" s="88">
        <v>46731</v>
      </c>
      <c r="G2095" s="88" t="str" cm="1">
        <f t="array" ref="G20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AND(F2095&gt;= DATE(2026,1,1), F2095&lt;= DATE(2028, 12, 31), J2095&gt;50000), "Pendente e Caro", AND(F2095&gt;= DATE(2026,1,1), F2095&lt;= DATE(2028, 12, 31), J2095&lt;=50000), "Pendente", F2095&gt;= DATE(2029,1,1), "Não prioeitário")</f>
        <v>Pendente e Caro</v>
      </c>
      <c r="H2095" s="89">
        <f>YEAR(Tabela1[[#This Row],[Data de Validade]])</f>
        <v>2027</v>
      </c>
      <c r="I2095" s="89">
        <f>MONTH(Tabela1[[#This Row],[Data de Validade]])</f>
        <v>12</v>
      </c>
      <c r="J2095" s="101">
        <v>108236</v>
      </c>
      <c r="K2095" s="87" t="s">
        <v>7</v>
      </c>
      <c r="L2095" s="108"/>
      <c r="M2095" s="108"/>
      <c r="N2095" s="108" t="str">
        <v>H879P987</v>
      </c>
      <c r="O2095" s="108">
        <f t="shared" si="34"/>
        <v>1</v>
      </c>
      <c r="P2095" s="108"/>
      <c r="Q2095"/>
    </row>
    <row r="2096" spans="1:17" x14ac:dyDescent="0.25">
      <c r="A2096" s="89" t="s">
        <v>10109</v>
      </c>
      <c r="B2096" s="87" t="s">
        <v>10110</v>
      </c>
      <c r="C2096" s="87" t="s">
        <v>13</v>
      </c>
      <c r="D2096" s="87" t="str">
        <f>VLOOKUP(Tabela1[[#This Row],[Origem]], 'Perguntas 1 a 24'!$J$28:$K$34, 2, 0)</f>
        <v>Sudeste</v>
      </c>
      <c r="E2096" s="87" t="str">
        <f>Tabela1[[#This Row],[Descrição]]&amp;"-"&amp;Tabela1[[#This Row],[Código]]&amp;"/"&amp;Tabela1[[#This Row],[Origem]]</f>
        <v>Tugomeli-H879P987/SP</v>
      </c>
      <c r="F2096" s="88">
        <v>46731</v>
      </c>
      <c r="G2096" s="88" t="str" cm="1">
        <f t="array" ref="G20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AND(F2096&gt;= DATE(2026,1,1), F2096&lt;= DATE(2028, 12, 31), J2096&gt;50000), "Pendente e Caro", AND(F2096&gt;= DATE(2026,1,1), F2096&lt;= DATE(2028, 12, 31), J2096&lt;=50000), "Pendente", F2096&gt;= DATE(2029,1,1), "Não prioeitário")</f>
        <v>Pendente e Caro</v>
      </c>
      <c r="H2096" s="89">
        <f>YEAR(Tabela1[[#This Row],[Data de Validade]])</f>
        <v>2027</v>
      </c>
      <c r="I2096" s="89">
        <f>MONTH(Tabela1[[#This Row],[Data de Validade]])</f>
        <v>12</v>
      </c>
      <c r="J2096" s="101">
        <v>99697</v>
      </c>
      <c r="K2096" s="87" t="s">
        <v>9</v>
      </c>
      <c r="L2096" s="108"/>
      <c r="M2096" s="108"/>
      <c r="N2096" s="108" t="str">
        <v>H199H296</v>
      </c>
      <c r="O2096" s="108">
        <f t="shared" si="34"/>
        <v>1</v>
      </c>
      <c r="P2096" s="108"/>
      <c r="Q2096"/>
    </row>
    <row r="2097" spans="1:17" x14ac:dyDescent="0.25">
      <c r="A2097" s="89" t="s">
        <v>6718</v>
      </c>
      <c r="B2097" s="87" t="s">
        <v>6719</v>
      </c>
      <c r="C2097" s="87" t="s">
        <v>12</v>
      </c>
      <c r="D2097" s="87" t="str">
        <f>VLOOKUP(Tabela1[[#This Row],[Origem]], 'Perguntas 1 a 24'!$J$28:$K$34, 2, 0)</f>
        <v>Sudeste</v>
      </c>
      <c r="E2097" s="87" t="str">
        <f>Tabela1[[#This Row],[Descrição]]&amp;"-"&amp;Tabela1[[#This Row],[Código]]&amp;"/"&amp;Tabela1[[#This Row],[Origem]]</f>
        <v>Cecaravepu-H199H296/RJ</v>
      </c>
      <c r="F2097" s="88">
        <v>46731</v>
      </c>
      <c r="G2097" s="88" t="str" cm="1">
        <f t="array" ref="G20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AND(F2097&gt;= DATE(2026,1,1), F2097&lt;= DATE(2028, 12, 31), J2097&gt;50000), "Pendente e Caro", AND(F2097&gt;= DATE(2026,1,1), F2097&lt;= DATE(2028, 12, 31), J2097&lt;=50000), "Pendente", F2097&gt;= DATE(2029,1,1), "Não prioeitário")</f>
        <v>Pendente e Caro</v>
      </c>
      <c r="H2097" s="89">
        <f>YEAR(Tabela1[[#This Row],[Data de Validade]])</f>
        <v>2027</v>
      </c>
      <c r="I2097" s="89">
        <f>MONTH(Tabela1[[#This Row],[Data de Validade]])</f>
        <v>12</v>
      </c>
      <c r="J2097" s="101">
        <v>88793</v>
      </c>
      <c r="K2097" s="87" t="s">
        <v>14</v>
      </c>
      <c r="L2097" s="108"/>
      <c r="M2097" s="108"/>
      <c r="N2097" s="108" t="str">
        <v>P175H793</v>
      </c>
      <c r="O2097" s="108">
        <f t="shared" si="34"/>
        <v>1</v>
      </c>
      <c r="P2097" s="108"/>
      <c r="Q2097"/>
    </row>
    <row r="2098" spans="1:17" x14ac:dyDescent="0.25">
      <c r="A2098" s="89" t="s">
        <v>3852</v>
      </c>
      <c r="B2098" s="87" t="s">
        <v>3853</v>
      </c>
      <c r="C2098" s="87" t="s">
        <v>8</v>
      </c>
      <c r="D2098" s="87" t="str">
        <f>VLOOKUP(Tabela1[[#This Row],[Origem]], 'Perguntas 1 a 24'!$J$28:$K$34, 2, 0)</f>
        <v>Nordeste</v>
      </c>
      <c r="E2098" s="87" t="str">
        <f>Tabela1[[#This Row],[Descrição]]&amp;"-"&amp;Tabela1[[#This Row],[Código]]&amp;"/"&amp;Tabela1[[#This Row],[Origem]]</f>
        <v>Napolo-P175H793/AL</v>
      </c>
      <c r="F2098" s="88">
        <v>46732</v>
      </c>
      <c r="G2098" s="88" t="str" cm="1">
        <f t="array" ref="G20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AND(F2098&gt;= DATE(2026,1,1), F2098&lt;= DATE(2028, 12, 31), J2098&gt;50000), "Pendente e Caro", AND(F2098&gt;= DATE(2026,1,1), F2098&lt;= DATE(2028, 12, 31), J2098&lt;=50000), "Pendente", F2098&gt;= DATE(2029,1,1), "Não prioeitário")</f>
        <v>Pendente</v>
      </c>
      <c r="H2098" s="89">
        <f>YEAR(Tabela1[[#This Row],[Data de Validade]])</f>
        <v>2027</v>
      </c>
      <c r="I2098" s="89">
        <f>MONTH(Tabela1[[#This Row],[Data de Validade]])</f>
        <v>12</v>
      </c>
      <c r="J2098" s="101">
        <v>37882</v>
      </c>
      <c r="K2098" s="87" t="s">
        <v>7</v>
      </c>
      <c r="L2098" s="108"/>
      <c r="M2098" s="108"/>
      <c r="N2098" s="108" t="str">
        <v>H487P824</v>
      </c>
      <c r="O2098" s="108">
        <f t="shared" si="34"/>
        <v>1</v>
      </c>
      <c r="P2098" s="108"/>
      <c r="Q2098"/>
    </row>
    <row r="2099" spans="1:17" x14ac:dyDescent="0.25">
      <c r="A2099" s="89" t="s">
        <v>6610</v>
      </c>
      <c r="B2099" s="87" t="s">
        <v>6611</v>
      </c>
      <c r="C2099" s="87" t="s">
        <v>10</v>
      </c>
      <c r="D2099" s="87" t="str">
        <f>VLOOKUP(Tabela1[[#This Row],[Origem]], 'Perguntas 1 a 24'!$J$28:$K$34, 2, 0)</f>
        <v>Centro-Oeste</v>
      </c>
      <c r="E2099" s="87" t="str">
        <f>Tabela1[[#This Row],[Descrição]]&amp;"-"&amp;Tabela1[[#This Row],[Código]]&amp;"/"&amp;Tabela1[[#This Row],[Origem]]</f>
        <v>Tetapa-H487P824/GO</v>
      </c>
      <c r="F2099" s="88">
        <v>46735</v>
      </c>
      <c r="G2099" s="88" t="str" cm="1">
        <f t="array" ref="G20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AND(F2099&gt;= DATE(2026,1,1), F2099&lt;= DATE(2028, 12, 31), J2099&gt;50000), "Pendente e Caro", AND(F2099&gt;= DATE(2026,1,1), F2099&lt;= DATE(2028, 12, 31), J2099&lt;=50000), "Pendente", F2099&gt;= DATE(2029,1,1), "Não prioeitário")</f>
        <v>Pendente</v>
      </c>
      <c r="H2099" s="89">
        <f>YEAR(Tabela1[[#This Row],[Data de Validade]])</f>
        <v>2027</v>
      </c>
      <c r="I2099" s="89">
        <f>MONTH(Tabela1[[#This Row],[Data de Validade]])</f>
        <v>12</v>
      </c>
      <c r="J2099" s="101">
        <v>48430</v>
      </c>
      <c r="K2099" s="87" t="s">
        <v>11</v>
      </c>
      <c r="L2099" s="108"/>
      <c r="M2099" s="108"/>
      <c r="N2099" s="108" t="str">
        <v>H116H272</v>
      </c>
      <c r="O2099" s="108">
        <f t="shared" si="34"/>
        <v>1</v>
      </c>
      <c r="P2099" s="108"/>
      <c r="Q2099"/>
    </row>
    <row r="2100" spans="1:17" x14ac:dyDescent="0.25">
      <c r="A2100" s="89" t="s">
        <v>9645</v>
      </c>
      <c r="B2100" s="87" t="s">
        <v>9646</v>
      </c>
      <c r="C2100" s="87" t="s">
        <v>15</v>
      </c>
      <c r="D2100" s="87" t="str">
        <f>VLOOKUP(Tabela1[[#This Row],[Origem]], 'Perguntas 1 a 24'!$J$28:$K$34, 2, 0)</f>
        <v>Sudeste</v>
      </c>
      <c r="E2100" s="87" t="str">
        <f>Tabela1[[#This Row],[Descrição]]&amp;"-"&amp;Tabela1[[#This Row],[Código]]&amp;"/"&amp;Tabela1[[#This Row],[Origem]]</f>
        <v>Vunari-H116H272/ES</v>
      </c>
      <c r="F2100" s="88">
        <v>46735</v>
      </c>
      <c r="G2100" s="88" t="str" cm="1">
        <f t="array" ref="G21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AND(F2100&gt;= DATE(2026,1,1), F2100&lt;= DATE(2028, 12, 31), J2100&gt;50000), "Pendente e Caro", AND(F2100&gt;= DATE(2026,1,1), F2100&lt;= DATE(2028, 12, 31), J2100&lt;=50000), "Pendente", F2100&gt;= DATE(2029,1,1), "Não prioeitário")</f>
        <v>Pendente</v>
      </c>
      <c r="H2100" s="89">
        <f>YEAR(Tabela1[[#This Row],[Data de Validade]])</f>
        <v>2027</v>
      </c>
      <c r="I2100" s="89">
        <f>MONTH(Tabela1[[#This Row],[Data de Validade]])</f>
        <v>12</v>
      </c>
      <c r="J2100" s="101">
        <v>43681</v>
      </c>
      <c r="K2100" s="87" t="s">
        <v>7</v>
      </c>
      <c r="L2100" s="108"/>
      <c r="M2100" s="108"/>
      <c r="N2100" s="108" t="str">
        <v>H318H824</v>
      </c>
      <c r="O2100" s="108">
        <f t="shared" si="34"/>
        <v>1</v>
      </c>
      <c r="P2100" s="108"/>
      <c r="Q2100"/>
    </row>
    <row r="2101" spans="1:17" x14ac:dyDescent="0.25">
      <c r="A2101" s="89" t="s">
        <v>6448</v>
      </c>
      <c r="B2101" s="87" t="s">
        <v>6449</v>
      </c>
      <c r="C2101" s="87" t="s">
        <v>8</v>
      </c>
      <c r="D2101" s="87" t="str">
        <f>VLOOKUP(Tabela1[[#This Row],[Origem]], 'Perguntas 1 a 24'!$J$28:$K$34, 2, 0)</f>
        <v>Nordeste</v>
      </c>
      <c r="E2101" s="87" t="str">
        <f>Tabela1[[#This Row],[Descrição]]&amp;"-"&amp;Tabela1[[#This Row],[Código]]&amp;"/"&amp;Tabela1[[#This Row],[Origem]]</f>
        <v>Camamu-H318H824/AL</v>
      </c>
      <c r="F2101" s="88">
        <v>46737</v>
      </c>
      <c r="G2101" s="88" t="str" cm="1">
        <f t="array" ref="G21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AND(F2101&gt;= DATE(2026,1,1), F2101&lt;= DATE(2028, 12, 31), J2101&gt;50000), "Pendente e Caro", AND(F2101&gt;= DATE(2026,1,1), F2101&lt;= DATE(2028, 12, 31), J2101&lt;=50000), "Pendente", F2101&gt;= DATE(2029,1,1), "Não prioeitário")</f>
        <v>Pendente</v>
      </c>
      <c r="H2101" s="89">
        <f>YEAR(Tabela1[[#This Row],[Data de Validade]])</f>
        <v>2027</v>
      </c>
      <c r="I2101" s="89">
        <f>MONTH(Tabela1[[#This Row],[Data de Validade]])</f>
        <v>12</v>
      </c>
      <c r="J2101" s="101">
        <v>46982</v>
      </c>
      <c r="K2101" s="87" t="s">
        <v>7</v>
      </c>
      <c r="L2101" s="108"/>
      <c r="M2101" s="108"/>
      <c r="N2101" s="108" t="str">
        <v>P122P464</v>
      </c>
      <c r="O2101" s="108">
        <f t="shared" si="34"/>
        <v>1</v>
      </c>
      <c r="P2101" s="108"/>
      <c r="Q2101"/>
    </row>
    <row r="2102" spans="1:17" x14ac:dyDescent="0.25">
      <c r="A2102" s="89" t="s">
        <v>10591</v>
      </c>
      <c r="B2102" s="87" t="s">
        <v>10592</v>
      </c>
      <c r="C2102" s="87" t="s">
        <v>10</v>
      </c>
      <c r="D2102" s="87" t="str">
        <f>VLOOKUP(Tabela1[[#This Row],[Origem]], 'Perguntas 1 a 24'!$J$28:$K$34, 2, 0)</f>
        <v>Centro-Oeste</v>
      </c>
      <c r="E2102" s="87" t="str">
        <f>Tabela1[[#This Row],[Descrição]]&amp;"-"&amp;Tabela1[[#This Row],[Código]]&amp;"/"&amp;Tabela1[[#This Row],[Origem]]</f>
        <v>Fetaro-P122P464/GO</v>
      </c>
      <c r="F2102" s="88">
        <v>46737</v>
      </c>
      <c r="G2102" s="88" t="str" cm="1">
        <f t="array" ref="G21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AND(F2102&gt;= DATE(2026,1,1), F2102&lt;= DATE(2028, 12, 31), J2102&gt;50000), "Pendente e Caro", AND(F2102&gt;= DATE(2026,1,1), F2102&lt;= DATE(2028, 12, 31), J2102&lt;=50000), "Pendente", F2102&gt;= DATE(2029,1,1), "Não prioeitário")</f>
        <v>Pendente</v>
      </c>
      <c r="H2102" s="89">
        <f>YEAR(Tabela1[[#This Row],[Data de Validade]])</f>
        <v>2027</v>
      </c>
      <c r="I2102" s="89">
        <f>MONTH(Tabela1[[#This Row],[Data de Validade]])</f>
        <v>12</v>
      </c>
      <c r="J2102" s="101">
        <v>46478</v>
      </c>
      <c r="K2102" s="87" t="s">
        <v>9</v>
      </c>
      <c r="L2102" s="108"/>
      <c r="M2102" s="108"/>
      <c r="N2102" s="108" t="str">
        <v>H661P169</v>
      </c>
      <c r="O2102" s="108">
        <f t="shared" si="34"/>
        <v>1</v>
      </c>
      <c r="P2102" s="108"/>
      <c r="Q2102"/>
    </row>
    <row r="2103" spans="1:17" x14ac:dyDescent="0.25">
      <c r="A2103" s="89" t="s">
        <v>8983</v>
      </c>
      <c r="B2103" s="87" t="s">
        <v>8984</v>
      </c>
      <c r="C2103" s="87" t="s">
        <v>10</v>
      </c>
      <c r="D2103" s="87" t="str">
        <f>VLOOKUP(Tabela1[[#This Row],[Origem]], 'Perguntas 1 a 24'!$J$28:$K$34, 2, 0)</f>
        <v>Centro-Oeste</v>
      </c>
      <c r="E2103" s="87" t="str">
        <f>Tabela1[[#This Row],[Descrição]]&amp;"-"&amp;Tabela1[[#This Row],[Código]]&amp;"/"&amp;Tabela1[[#This Row],[Origem]]</f>
        <v>Lofali-H661P169/GO</v>
      </c>
      <c r="F2103" s="88">
        <v>46737</v>
      </c>
      <c r="G2103" s="88" t="str" cm="1">
        <f t="array" ref="G21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AND(F2103&gt;= DATE(2026,1,1), F2103&lt;= DATE(2028, 12, 31), J2103&gt;50000), "Pendente e Caro", AND(F2103&gt;= DATE(2026,1,1), F2103&lt;= DATE(2028, 12, 31), J2103&lt;=50000), "Pendente", F2103&gt;= DATE(2029,1,1), "Não prioeitário")</f>
        <v>Pendente</v>
      </c>
      <c r="H2103" s="89">
        <f>YEAR(Tabela1[[#This Row],[Data de Validade]])</f>
        <v>2027</v>
      </c>
      <c r="I2103" s="89">
        <f>MONTH(Tabela1[[#This Row],[Data de Validade]])</f>
        <v>12</v>
      </c>
      <c r="J2103" s="101">
        <v>38939</v>
      </c>
      <c r="K2103" s="87" t="s">
        <v>7</v>
      </c>
      <c r="L2103" s="108"/>
      <c r="M2103" s="108"/>
      <c r="N2103" s="108" t="str">
        <v>P932P717</v>
      </c>
      <c r="O2103" s="108">
        <f t="shared" si="34"/>
        <v>1</v>
      </c>
      <c r="P2103" s="108"/>
      <c r="Q2103"/>
    </row>
    <row r="2104" spans="1:17" x14ac:dyDescent="0.25">
      <c r="A2104" s="89" t="s">
        <v>9123</v>
      </c>
      <c r="B2104" s="87" t="s">
        <v>9124</v>
      </c>
      <c r="C2104" s="87" t="s">
        <v>6</v>
      </c>
      <c r="D2104" s="87" t="str">
        <f>VLOOKUP(Tabela1[[#This Row],[Origem]], 'Perguntas 1 a 24'!$J$28:$K$34, 2, 0)</f>
        <v>Nordeste</v>
      </c>
      <c r="E2104" s="87" t="str">
        <f>Tabela1[[#This Row],[Descrição]]&amp;"-"&amp;Tabela1[[#This Row],[Código]]&amp;"/"&amp;Tabela1[[#This Row],[Origem]]</f>
        <v>Nitetu-P932P717/MA</v>
      </c>
      <c r="F2104" s="88">
        <v>46738</v>
      </c>
      <c r="G2104" s="88" t="str" cm="1">
        <f t="array" ref="G21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AND(F2104&gt;= DATE(2026,1,1), F2104&lt;= DATE(2028, 12, 31), J2104&gt;50000), "Pendente e Caro", AND(F2104&gt;= DATE(2026,1,1), F2104&lt;= DATE(2028, 12, 31), J2104&lt;=50000), "Pendente", F2104&gt;= DATE(2029,1,1), "Não prioeitário")</f>
        <v>Pendente e Caro</v>
      </c>
      <c r="H2104" s="89">
        <f>YEAR(Tabela1[[#This Row],[Data de Validade]])</f>
        <v>2027</v>
      </c>
      <c r="I2104" s="89">
        <f>MONTH(Tabela1[[#This Row],[Data de Validade]])</f>
        <v>12</v>
      </c>
      <c r="J2104" s="101">
        <v>116890</v>
      </c>
      <c r="K2104" s="87" t="s">
        <v>9</v>
      </c>
      <c r="L2104" s="108"/>
      <c r="M2104" s="108"/>
      <c r="N2104" s="108" t="str">
        <v>H665H832</v>
      </c>
      <c r="O2104" s="108">
        <f t="shared" si="34"/>
        <v>1</v>
      </c>
      <c r="P2104" s="108"/>
      <c r="Q2104"/>
    </row>
    <row r="2105" spans="1:17" x14ac:dyDescent="0.25">
      <c r="A2105" s="89" t="s">
        <v>8877</v>
      </c>
      <c r="B2105" s="87" t="s">
        <v>8878</v>
      </c>
      <c r="C2105" s="87" t="s">
        <v>16</v>
      </c>
      <c r="D2105" s="87" t="str">
        <f>VLOOKUP(Tabela1[[#This Row],[Origem]], 'Perguntas 1 a 24'!$J$28:$K$34, 2, 0)</f>
        <v>Sudeste</v>
      </c>
      <c r="E2105" s="87" t="str">
        <f>Tabela1[[#This Row],[Descrição]]&amp;"-"&amp;Tabela1[[#This Row],[Código]]&amp;"/"&amp;Tabela1[[#This Row],[Origem]]</f>
        <v>Dogaturo-H665H832/MG</v>
      </c>
      <c r="F2105" s="88">
        <v>46739</v>
      </c>
      <c r="G2105" s="88" t="str" cm="1">
        <f t="array" ref="G21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AND(F2105&gt;= DATE(2026,1,1), F2105&lt;= DATE(2028, 12, 31), J2105&gt;50000), "Pendente e Caro", AND(F2105&gt;= DATE(2026,1,1), F2105&lt;= DATE(2028, 12, 31), J2105&lt;=50000), "Pendente", F2105&gt;= DATE(2029,1,1), "Não prioeitário")</f>
        <v>Pendente</v>
      </c>
      <c r="H2105" s="89">
        <f>YEAR(Tabela1[[#This Row],[Data de Validade]])</f>
        <v>2027</v>
      </c>
      <c r="I2105" s="89">
        <f>MONTH(Tabela1[[#This Row],[Data de Validade]])</f>
        <v>12</v>
      </c>
      <c r="J2105" s="101">
        <v>41242</v>
      </c>
      <c r="K2105" s="87" t="s">
        <v>7</v>
      </c>
      <c r="L2105" s="108"/>
      <c r="M2105" s="108"/>
      <c r="N2105" s="108" t="str">
        <v>H526H419</v>
      </c>
      <c r="O2105" s="108">
        <f t="shared" si="34"/>
        <v>1</v>
      </c>
      <c r="P2105" s="108"/>
      <c r="Q2105"/>
    </row>
    <row r="2106" spans="1:17" x14ac:dyDescent="0.25">
      <c r="A2106" s="89" t="s">
        <v>10693</v>
      </c>
      <c r="B2106" s="87" t="s">
        <v>10694</v>
      </c>
      <c r="C2106" s="87" t="s">
        <v>15</v>
      </c>
      <c r="D2106" s="87" t="str">
        <f>VLOOKUP(Tabela1[[#This Row],[Origem]], 'Perguntas 1 a 24'!$J$28:$K$34, 2, 0)</f>
        <v>Sudeste</v>
      </c>
      <c r="E2106" s="87" t="str">
        <f>Tabela1[[#This Row],[Descrição]]&amp;"-"&amp;Tabela1[[#This Row],[Código]]&amp;"/"&amp;Tabela1[[#This Row],[Origem]]</f>
        <v>Melororivu-H526H419/ES</v>
      </c>
      <c r="F2106" s="88">
        <v>46739</v>
      </c>
      <c r="G2106" s="88" t="str" cm="1">
        <f t="array" ref="G21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AND(F2106&gt;= DATE(2026,1,1), F2106&lt;= DATE(2028, 12, 31), J2106&gt;50000), "Pendente e Caro", AND(F2106&gt;= DATE(2026,1,1), F2106&lt;= DATE(2028, 12, 31), J2106&lt;=50000), "Pendente", F2106&gt;= DATE(2029,1,1), "Não prioeitário")</f>
        <v>Pendente</v>
      </c>
      <c r="H2106" s="89">
        <f>YEAR(Tabela1[[#This Row],[Data de Validade]])</f>
        <v>2027</v>
      </c>
      <c r="I2106" s="89">
        <f>MONTH(Tabela1[[#This Row],[Data de Validade]])</f>
        <v>12</v>
      </c>
      <c r="J2106" s="101">
        <v>32090</v>
      </c>
      <c r="K2106" s="87" t="s">
        <v>9</v>
      </c>
      <c r="L2106" s="108"/>
      <c r="M2106" s="108"/>
      <c r="N2106" s="108" t="str">
        <v>P988P828</v>
      </c>
      <c r="O2106" s="108">
        <f t="shared" si="34"/>
        <v>1</v>
      </c>
      <c r="P2106" s="108"/>
      <c r="Q2106"/>
    </row>
    <row r="2107" spans="1:17" x14ac:dyDescent="0.25">
      <c r="A2107" s="89" t="s">
        <v>7076</v>
      </c>
      <c r="B2107" s="87" t="s">
        <v>7077</v>
      </c>
      <c r="C2107" s="87" t="s">
        <v>8</v>
      </c>
      <c r="D2107" s="87" t="str">
        <f>VLOOKUP(Tabela1[[#This Row],[Origem]], 'Perguntas 1 a 24'!$J$28:$K$34, 2, 0)</f>
        <v>Nordeste</v>
      </c>
      <c r="E2107" s="87" t="str">
        <f>Tabela1[[#This Row],[Descrição]]&amp;"-"&amp;Tabela1[[#This Row],[Código]]&amp;"/"&amp;Tabela1[[#This Row],[Origem]]</f>
        <v>Piratucone-P988P828/AL</v>
      </c>
      <c r="F2107" s="88">
        <v>46740</v>
      </c>
      <c r="G2107" s="88" t="str" cm="1">
        <f t="array" ref="G21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AND(F2107&gt;= DATE(2026,1,1), F2107&lt;= DATE(2028, 12, 31), J2107&gt;50000), "Pendente e Caro", AND(F2107&gt;= DATE(2026,1,1), F2107&lt;= DATE(2028, 12, 31), J2107&lt;=50000), "Pendente", F2107&gt;= DATE(2029,1,1), "Não prioeitário")</f>
        <v>Pendente</v>
      </c>
      <c r="H2107" s="89">
        <f>YEAR(Tabela1[[#This Row],[Data de Validade]])</f>
        <v>2027</v>
      </c>
      <c r="I2107" s="89">
        <f>MONTH(Tabela1[[#This Row],[Data de Validade]])</f>
        <v>12</v>
      </c>
      <c r="J2107" s="101">
        <v>43943</v>
      </c>
      <c r="K2107" s="87" t="s">
        <v>9</v>
      </c>
      <c r="L2107" s="108"/>
      <c r="M2107" s="108"/>
      <c r="N2107" s="108" t="str">
        <v>P557H578</v>
      </c>
      <c r="O2107" s="108">
        <f t="shared" si="34"/>
        <v>1</v>
      </c>
      <c r="P2107" s="108"/>
      <c r="Q2107"/>
    </row>
    <row r="2108" spans="1:17" x14ac:dyDescent="0.25">
      <c r="A2108" s="89" t="s">
        <v>5136</v>
      </c>
      <c r="B2108" s="87" t="s">
        <v>5137</v>
      </c>
      <c r="C2108" s="87" t="s">
        <v>15</v>
      </c>
      <c r="D2108" s="87" t="str">
        <f>VLOOKUP(Tabela1[[#This Row],[Origem]], 'Perguntas 1 a 24'!$J$28:$K$34, 2, 0)</f>
        <v>Sudeste</v>
      </c>
      <c r="E2108" s="87" t="str">
        <f>Tabela1[[#This Row],[Descrição]]&amp;"-"&amp;Tabela1[[#This Row],[Código]]&amp;"/"&amp;Tabela1[[#This Row],[Origem]]</f>
        <v>Gipecopa-P557H578/ES</v>
      </c>
      <c r="F2108" s="88">
        <v>46742</v>
      </c>
      <c r="G2108" s="88" t="str" cm="1">
        <f t="array" ref="G21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AND(F2108&gt;= DATE(2026,1,1), F2108&lt;= DATE(2028, 12, 31), J2108&gt;50000), "Pendente e Caro", AND(F2108&gt;= DATE(2026,1,1), F2108&lt;= DATE(2028, 12, 31), J2108&lt;=50000), "Pendente", F2108&gt;= DATE(2029,1,1), "Não prioeitário")</f>
        <v>Pendente e Caro</v>
      </c>
      <c r="H2108" s="89">
        <f>YEAR(Tabela1[[#This Row],[Data de Validade]])</f>
        <v>2027</v>
      </c>
      <c r="I2108" s="89">
        <f>MONTH(Tabela1[[#This Row],[Data de Validade]])</f>
        <v>12</v>
      </c>
      <c r="J2108" s="101">
        <v>77613</v>
      </c>
      <c r="K2108" s="87" t="s">
        <v>7</v>
      </c>
      <c r="L2108" s="108"/>
      <c r="M2108" s="108"/>
      <c r="N2108" s="108" t="str">
        <v>P954H127</v>
      </c>
      <c r="O2108" s="108">
        <f t="shared" si="34"/>
        <v>1</v>
      </c>
      <c r="P2108" s="108"/>
      <c r="Q2108"/>
    </row>
    <row r="2109" spans="1:17" x14ac:dyDescent="0.25">
      <c r="A2109" s="89" t="s">
        <v>6864</v>
      </c>
      <c r="B2109" s="87" t="s">
        <v>6865</v>
      </c>
      <c r="C2109" s="87" t="s">
        <v>12</v>
      </c>
      <c r="D2109" s="87" t="str">
        <f>VLOOKUP(Tabela1[[#This Row],[Origem]], 'Perguntas 1 a 24'!$J$28:$K$34, 2, 0)</f>
        <v>Sudeste</v>
      </c>
      <c r="E2109" s="87" t="str">
        <f>Tabela1[[#This Row],[Descrição]]&amp;"-"&amp;Tabela1[[#This Row],[Código]]&amp;"/"&amp;Tabela1[[#This Row],[Origem]]</f>
        <v>Moridi-P954H127/RJ</v>
      </c>
      <c r="F2109" s="88">
        <v>46743</v>
      </c>
      <c r="G2109" s="88" t="str" cm="1">
        <f t="array" ref="G21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AND(F2109&gt;= DATE(2026,1,1), F2109&lt;= DATE(2028, 12, 31), J2109&gt;50000), "Pendente e Caro", AND(F2109&gt;= DATE(2026,1,1), F2109&lt;= DATE(2028, 12, 31), J2109&lt;=50000), "Pendente", F2109&gt;= DATE(2029,1,1), "Não prioeitário")</f>
        <v>Pendente e Caro</v>
      </c>
      <c r="H2109" s="89">
        <f>YEAR(Tabela1[[#This Row],[Data de Validade]])</f>
        <v>2027</v>
      </c>
      <c r="I2109" s="89">
        <f>MONTH(Tabela1[[#This Row],[Data de Validade]])</f>
        <v>12</v>
      </c>
      <c r="J2109" s="101">
        <v>108997</v>
      </c>
      <c r="K2109" s="87" t="s">
        <v>11</v>
      </c>
      <c r="L2109" s="108"/>
      <c r="M2109" s="108"/>
      <c r="N2109" s="108" t="str">
        <v>H541P574</v>
      </c>
      <c r="O2109" s="108">
        <f t="shared" si="34"/>
        <v>1</v>
      </c>
      <c r="P2109" s="108"/>
      <c r="Q2109"/>
    </row>
    <row r="2110" spans="1:17" x14ac:dyDescent="0.25">
      <c r="A2110" s="89" t="s">
        <v>9621</v>
      </c>
      <c r="B2110" s="87" t="s">
        <v>9622</v>
      </c>
      <c r="C2110" s="87" t="s">
        <v>12</v>
      </c>
      <c r="D2110" s="87" t="str">
        <f>VLOOKUP(Tabela1[[#This Row],[Origem]], 'Perguntas 1 a 24'!$J$28:$K$34, 2, 0)</f>
        <v>Sudeste</v>
      </c>
      <c r="E2110" s="87" t="str">
        <f>Tabela1[[#This Row],[Descrição]]&amp;"-"&amp;Tabela1[[#This Row],[Código]]&amp;"/"&amp;Tabela1[[#This Row],[Origem]]</f>
        <v>Cetepepi-H541P574/RJ</v>
      </c>
      <c r="F2110" s="88">
        <v>46743</v>
      </c>
      <c r="G2110" s="88" t="str" cm="1">
        <f t="array" ref="G21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AND(F2110&gt;= DATE(2026,1,1), F2110&lt;= DATE(2028, 12, 31), J2110&gt;50000), "Pendente e Caro", AND(F2110&gt;= DATE(2026,1,1), F2110&lt;= DATE(2028, 12, 31), J2110&lt;=50000), "Pendente", F2110&gt;= DATE(2029,1,1), "Não prioeitário")</f>
        <v>Pendente e Caro</v>
      </c>
      <c r="H2110" s="89">
        <f>YEAR(Tabela1[[#This Row],[Data de Validade]])</f>
        <v>2027</v>
      </c>
      <c r="I2110" s="89">
        <f>MONTH(Tabela1[[#This Row],[Data de Validade]])</f>
        <v>12</v>
      </c>
      <c r="J2110" s="101">
        <v>83287</v>
      </c>
      <c r="K2110" s="87" t="s">
        <v>9</v>
      </c>
      <c r="L2110" s="108"/>
      <c r="M2110" s="108"/>
      <c r="N2110" s="108" t="str">
        <v>P775P594</v>
      </c>
      <c r="O2110" s="108">
        <f t="shared" si="34"/>
        <v>1</v>
      </c>
      <c r="P2110" s="108"/>
      <c r="Q2110"/>
    </row>
    <row r="2111" spans="1:17" x14ac:dyDescent="0.25">
      <c r="A2111" s="89" t="s">
        <v>8605</v>
      </c>
      <c r="B2111" s="87" t="s">
        <v>8606</v>
      </c>
      <c r="C2111" s="87" t="s">
        <v>8</v>
      </c>
      <c r="D2111" s="87" t="str">
        <f>VLOOKUP(Tabela1[[#This Row],[Origem]], 'Perguntas 1 a 24'!$J$28:$K$34, 2, 0)</f>
        <v>Nordeste</v>
      </c>
      <c r="E2111" s="87" t="str">
        <f>Tabela1[[#This Row],[Descrição]]&amp;"-"&amp;Tabela1[[#This Row],[Código]]&amp;"/"&amp;Tabela1[[#This Row],[Origem]]</f>
        <v>Tuvame-P775P594/AL</v>
      </c>
      <c r="F2111" s="88">
        <v>46745</v>
      </c>
      <c r="G2111" s="88" t="str" cm="1">
        <f t="array" ref="G21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AND(F2111&gt;= DATE(2026,1,1), F2111&lt;= DATE(2028, 12, 31), J2111&gt;50000), "Pendente e Caro", AND(F2111&gt;= DATE(2026,1,1), F2111&lt;= DATE(2028, 12, 31), J2111&lt;=50000), "Pendente", F2111&gt;= DATE(2029,1,1), "Não prioeitário")</f>
        <v>Pendente e Caro</v>
      </c>
      <c r="H2111" s="89">
        <f>YEAR(Tabela1[[#This Row],[Data de Validade]])</f>
        <v>2027</v>
      </c>
      <c r="I2111" s="89">
        <f>MONTH(Tabela1[[#This Row],[Data de Validade]])</f>
        <v>12</v>
      </c>
      <c r="J2111" s="101">
        <v>84237</v>
      </c>
      <c r="K2111" s="87" t="s">
        <v>9</v>
      </c>
      <c r="L2111" s="108"/>
      <c r="M2111" s="108"/>
      <c r="N2111" s="108" t="str">
        <v>H397H411</v>
      </c>
      <c r="O2111" s="108">
        <f t="shared" si="34"/>
        <v>1</v>
      </c>
      <c r="P2111" s="108"/>
      <c r="Q2111"/>
    </row>
    <row r="2112" spans="1:17" x14ac:dyDescent="0.25">
      <c r="A2112" s="89" t="s">
        <v>8486</v>
      </c>
      <c r="B2112" s="87" t="s">
        <v>8487</v>
      </c>
      <c r="C2112" s="87" t="s">
        <v>10</v>
      </c>
      <c r="D2112" s="87" t="str">
        <f>VLOOKUP(Tabela1[[#This Row],[Origem]], 'Perguntas 1 a 24'!$J$28:$K$34, 2, 0)</f>
        <v>Centro-Oeste</v>
      </c>
      <c r="E2112" s="87" t="str">
        <f>Tabela1[[#This Row],[Descrição]]&amp;"-"&amp;Tabela1[[#This Row],[Código]]&amp;"/"&amp;Tabela1[[#This Row],[Origem]]</f>
        <v>Ritucapide-H397H411/GO</v>
      </c>
      <c r="F2112" s="88">
        <v>46745</v>
      </c>
      <c r="G2112" s="88" t="str" cm="1">
        <f t="array" ref="G21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AND(F2112&gt;= DATE(2026,1,1), F2112&lt;= DATE(2028, 12, 31), J2112&gt;50000), "Pendente e Caro", AND(F2112&gt;= DATE(2026,1,1), F2112&lt;= DATE(2028, 12, 31), J2112&lt;=50000), "Pendente", F2112&gt;= DATE(2029,1,1), "Não prioeitário")</f>
        <v>Pendente e Caro</v>
      </c>
      <c r="H2112" s="89">
        <f>YEAR(Tabela1[[#This Row],[Data de Validade]])</f>
        <v>2027</v>
      </c>
      <c r="I2112" s="89">
        <f>MONTH(Tabela1[[#This Row],[Data de Validade]])</f>
        <v>12</v>
      </c>
      <c r="J2112" s="101">
        <v>74043</v>
      </c>
      <c r="K2112" s="87" t="s">
        <v>11</v>
      </c>
      <c r="L2112" s="108"/>
      <c r="M2112" s="108"/>
      <c r="N2112" s="108" t="str">
        <v>P827P836</v>
      </c>
      <c r="O2112" s="108">
        <f t="shared" si="34"/>
        <v>1</v>
      </c>
      <c r="P2112" s="108"/>
      <c r="Q2112"/>
    </row>
    <row r="2113" spans="1:17" x14ac:dyDescent="0.25">
      <c r="A2113" s="89" t="s">
        <v>3780</v>
      </c>
      <c r="B2113" s="87" t="s">
        <v>3781</v>
      </c>
      <c r="C2113" s="87" t="s">
        <v>8</v>
      </c>
      <c r="D2113" s="87" t="str">
        <f>VLOOKUP(Tabela1[[#This Row],[Origem]], 'Perguntas 1 a 24'!$J$28:$K$34, 2, 0)</f>
        <v>Nordeste</v>
      </c>
      <c r="E2113" s="87" t="str">
        <f>Tabela1[[#This Row],[Descrição]]&amp;"-"&amp;Tabela1[[#This Row],[Código]]&amp;"/"&amp;Tabela1[[#This Row],[Origem]]</f>
        <v>Mupivunepu-P827P836/AL</v>
      </c>
      <c r="F2113" s="88">
        <v>46746</v>
      </c>
      <c r="G2113" s="88" t="str" cm="1">
        <f t="array" ref="G21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AND(F2113&gt;= DATE(2026,1,1), F2113&lt;= DATE(2028, 12, 31), J2113&gt;50000), "Pendente e Caro", AND(F2113&gt;= DATE(2026,1,1), F2113&lt;= DATE(2028, 12, 31), J2113&lt;=50000), "Pendente", F2113&gt;= DATE(2029,1,1), "Não prioeitário")</f>
        <v>Pendente e Caro</v>
      </c>
      <c r="H2113" s="89">
        <f>YEAR(Tabela1[[#This Row],[Data de Validade]])</f>
        <v>2027</v>
      </c>
      <c r="I2113" s="89">
        <f>MONTH(Tabela1[[#This Row],[Data de Validade]])</f>
        <v>12</v>
      </c>
      <c r="J2113" s="101">
        <v>94165</v>
      </c>
      <c r="K2113" s="87" t="s">
        <v>9</v>
      </c>
      <c r="L2113" s="108"/>
      <c r="M2113" s="108"/>
      <c r="N2113" s="108" t="str">
        <v>H522P777</v>
      </c>
      <c r="O2113" s="108">
        <f t="shared" si="34"/>
        <v>1</v>
      </c>
      <c r="P2113" s="108"/>
      <c r="Q2113"/>
    </row>
    <row r="2114" spans="1:17" x14ac:dyDescent="0.25">
      <c r="A2114" s="89" t="s">
        <v>10315</v>
      </c>
      <c r="B2114" s="87" t="s">
        <v>10316</v>
      </c>
      <c r="C2114" s="87" t="s">
        <v>15</v>
      </c>
      <c r="D2114" s="87" t="str">
        <f>VLOOKUP(Tabela1[[#This Row],[Origem]], 'Perguntas 1 a 24'!$J$28:$K$34, 2, 0)</f>
        <v>Sudeste</v>
      </c>
      <c r="E2114" s="87" t="str">
        <f>Tabela1[[#This Row],[Descrição]]&amp;"-"&amp;Tabela1[[#This Row],[Código]]&amp;"/"&amp;Tabela1[[#This Row],[Origem]]</f>
        <v>Taviropage-H522P777/ES</v>
      </c>
      <c r="F2114" s="88">
        <v>46746</v>
      </c>
      <c r="G2114" s="88" t="str" cm="1">
        <f t="array" ref="G21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AND(F2114&gt;= DATE(2026,1,1), F2114&lt;= DATE(2028, 12, 31), J2114&gt;50000), "Pendente e Caro", AND(F2114&gt;= DATE(2026,1,1), F2114&lt;= DATE(2028, 12, 31), J2114&lt;=50000), "Pendente", F2114&gt;= DATE(2029,1,1), "Não prioeitário")</f>
        <v>Pendente</v>
      </c>
      <c r="H2114" s="89">
        <f>YEAR(Tabela1[[#This Row],[Data de Validade]])</f>
        <v>2027</v>
      </c>
      <c r="I2114" s="89">
        <f>MONTH(Tabela1[[#This Row],[Data de Validade]])</f>
        <v>12</v>
      </c>
      <c r="J2114" s="101">
        <v>38778</v>
      </c>
      <c r="K2114" s="87" t="s">
        <v>11</v>
      </c>
      <c r="L2114" s="108"/>
      <c r="M2114" s="108"/>
      <c r="N2114" s="108" t="str">
        <v>P478P661</v>
      </c>
      <c r="O2114" s="108">
        <f t="shared" si="34"/>
        <v>1</v>
      </c>
      <c r="P2114" s="108"/>
      <c r="Q2114"/>
    </row>
    <row r="2115" spans="1:17" x14ac:dyDescent="0.25">
      <c r="A2115" s="89" t="s">
        <v>10137</v>
      </c>
      <c r="B2115" s="87" t="s">
        <v>10138</v>
      </c>
      <c r="C2115" s="87" t="s">
        <v>16</v>
      </c>
      <c r="D2115" s="87" t="str">
        <f>VLOOKUP(Tabela1[[#This Row],[Origem]], 'Perguntas 1 a 24'!$J$28:$K$34, 2, 0)</f>
        <v>Sudeste</v>
      </c>
      <c r="E2115" s="87" t="str">
        <f>Tabela1[[#This Row],[Descrição]]&amp;"-"&amp;Tabela1[[#This Row],[Código]]&amp;"/"&amp;Tabela1[[#This Row],[Origem]]</f>
        <v>Coguravafa-P478P661/MG</v>
      </c>
      <c r="F2115" s="88">
        <v>46747</v>
      </c>
      <c r="G2115" s="88" t="str" cm="1">
        <f t="array" ref="G21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AND(F2115&gt;= DATE(2026,1,1), F2115&lt;= DATE(2028, 12, 31), J2115&gt;50000), "Pendente e Caro", AND(F2115&gt;= DATE(2026,1,1), F2115&lt;= DATE(2028, 12, 31), J2115&lt;=50000), "Pendente", F2115&gt;= DATE(2029,1,1), "Não prioeitário")</f>
        <v>Pendente e Caro</v>
      </c>
      <c r="H2115" s="89">
        <f>YEAR(Tabela1[[#This Row],[Data de Validade]])</f>
        <v>2027</v>
      </c>
      <c r="I2115" s="89">
        <f>MONTH(Tabela1[[#This Row],[Data de Validade]])</f>
        <v>12</v>
      </c>
      <c r="J2115" s="101">
        <v>105842</v>
      </c>
      <c r="K2115" s="87" t="s">
        <v>14</v>
      </c>
      <c r="L2115" s="108"/>
      <c r="M2115" s="108"/>
      <c r="N2115" s="108" t="str">
        <v>H616P844</v>
      </c>
      <c r="O2115" s="108">
        <f t="shared" ref="O2115:O2178" si="35">COUNTIFS(B:B,N2115)</f>
        <v>1</v>
      </c>
      <c r="P2115" s="108"/>
      <c r="Q2115"/>
    </row>
    <row r="2116" spans="1:17" x14ac:dyDescent="0.25">
      <c r="A2116" s="89" t="s">
        <v>8571</v>
      </c>
      <c r="B2116" s="87" t="s">
        <v>8572</v>
      </c>
      <c r="C2116" s="87" t="s">
        <v>8</v>
      </c>
      <c r="D2116" s="87" t="str">
        <f>VLOOKUP(Tabela1[[#This Row],[Origem]], 'Perguntas 1 a 24'!$J$28:$K$34, 2, 0)</f>
        <v>Nordeste</v>
      </c>
      <c r="E2116" s="87" t="str">
        <f>Tabela1[[#This Row],[Descrição]]&amp;"-"&amp;Tabela1[[#This Row],[Código]]&amp;"/"&amp;Tabela1[[#This Row],[Origem]]</f>
        <v>Lumepeve-H616P844/AL</v>
      </c>
      <c r="F2116" s="88">
        <v>46747</v>
      </c>
      <c r="G2116" s="88" t="str" cm="1">
        <f t="array" ref="G21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AND(F2116&gt;= DATE(2026,1,1), F2116&lt;= DATE(2028, 12, 31), J2116&gt;50000), "Pendente e Caro", AND(F2116&gt;= DATE(2026,1,1), F2116&lt;= DATE(2028, 12, 31), J2116&lt;=50000), "Pendente", F2116&gt;= DATE(2029,1,1), "Não prioeitário")</f>
        <v>Pendente</v>
      </c>
      <c r="H2116" s="89">
        <f>YEAR(Tabela1[[#This Row],[Data de Validade]])</f>
        <v>2027</v>
      </c>
      <c r="I2116" s="89">
        <f>MONTH(Tabela1[[#This Row],[Data de Validade]])</f>
        <v>12</v>
      </c>
      <c r="J2116" s="101">
        <v>23320</v>
      </c>
      <c r="K2116" s="87" t="s">
        <v>9</v>
      </c>
      <c r="L2116" s="108"/>
      <c r="M2116" s="108"/>
      <c r="N2116" s="108" t="str">
        <v>P949H372</v>
      </c>
      <c r="O2116" s="108">
        <f t="shared" si="35"/>
        <v>1</v>
      </c>
      <c r="P2116" s="108"/>
      <c r="Q2116"/>
    </row>
    <row r="2117" spans="1:17" x14ac:dyDescent="0.25">
      <c r="A2117" s="89" t="s">
        <v>9515</v>
      </c>
      <c r="B2117" s="87" t="s">
        <v>9516</v>
      </c>
      <c r="C2117" s="87" t="s">
        <v>15</v>
      </c>
      <c r="D2117" s="87" t="str">
        <f>VLOOKUP(Tabela1[[#This Row],[Origem]], 'Perguntas 1 a 24'!$J$28:$K$34, 2, 0)</f>
        <v>Sudeste</v>
      </c>
      <c r="E2117" s="87" t="str">
        <f>Tabela1[[#This Row],[Descrição]]&amp;"-"&amp;Tabela1[[#This Row],[Código]]&amp;"/"&amp;Tabela1[[#This Row],[Origem]]</f>
        <v>Vepevono-P949H372/ES</v>
      </c>
      <c r="F2117" s="88">
        <v>46748</v>
      </c>
      <c r="G2117" s="88" t="str" cm="1">
        <f t="array" ref="G21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AND(F2117&gt;= DATE(2026,1,1), F2117&lt;= DATE(2028, 12, 31), J2117&gt;50000), "Pendente e Caro", AND(F2117&gt;= DATE(2026,1,1), F2117&lt;= DATE(2028, 12, 31), J2117&lt;=50000), "Pendente", F2117&gt;= DATE(2029,1,1), "Não prioeitário")</f>
        <v>Pendente e Caro</v>
      </c>
      <c r="H2117" s="89">
        <f>YEAR(Tabela1[[#This Row],[Data de Validade]])</f>
        <v>2027</v>
      </c>
      <c r="I2117" s="89">
        <f>MONTH(Tabela1[[#This Row],[Data de Validade]])</f>
        <v>12</v>
      </c>
      <c r="J2117" s="101">
        <v>109110</v>
      </c>
      <c r="K2117" s="87" t="s">
        <v>14</v>
      </c>
      <c r="L2117" s="108"/>
      <c r="M2117" s="108"/>
      <c r="N2117" s="108" t="str">
        <v>P675H175</v>
      </c>
      <c r="O2117" s="108">
        <f t="shared" si="35"/>
        <v>1</v>
      </c>
      <c r="P2117" s="108"/>
      <c r="Q2117"/>
    </row>
    <row r="2118" spans="1:17" x14ac:dyDescent="0.25">
      <c r="A2118" s="89" t="s">
        <v>5026</v>
      </c>
      <c r="B2118" s="87" t="s">
        <v>5027</v>
      </c>
      <c r="C2118" s="87" t="s">
        <v>8</v>
      </c>
      <c r="D2118" s="87" t="str">
        <f>VLOOKUP(Tabela1[[#This Row],[Origem]], 'Perguntas 1 a 24'!$J$28:$K$34, 2, 0)</f>
        <v>Nordeste</v>
      </c>
      <c r="E2118" s="87" t="str">
        <f>Tabela1[[#This Row],[Descrição]]&amp;"-"&amp;Tabela1[[#This Row],[Código]]&amp;"/"&amp;Tabela1[[#This Row],[Origem]]</f>
        <v>Maveco-P675H175/AL</v>
      </c>
      <c r="F2118" s="88">
        <v>46748</v>
      </c>
      <c r="G2118" s="88" t="str" cm="1">
        <f t="array" ref="G21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AND(F2118&gt;= DATE(2026,1,1), F2118&lt;= DATE(2028, 12, 31), J2118&gt;50000), "Pendente e Caro", AND(F2118&gt;= DATE(2026,1,1), F2118&lt;= DATE(2028, 12, 31), J2118&lt;=50000), "Pendente", F2118&gt;= DATE(2029,1,1), "Não prioeitário")</f>
        <v>Pendente e Caro</v>
      </c>
      <c r="H2118" s="89">
        <f>YEAR(Tabela1[[#This Row],[Data de Validade]])</f>
        <v>2027</v>
      </c>
      <c r="I2118" s="89">
        <f>MONTH(Tabela1[[#This Row],[Data de Validade]])</f>
        <v>12</v>
      </c>
      <c r="J2118" s="101">
        <v>55296</v>
      </c>
      <c r="K2118" s="87" t="s">
        <v>14</v>
      </c>
      <c r="L2118" s="108"/>
      <c r="M2118" s="108"/>
      <c r="N2118" s="108" t="str">
        <v>P262H353</v>
      </c>
      <c r="O2118" s="108">
        <f t="shared" si="35"/>
        <v>1</v>
      </c>
      <c r="P2118" s="108"/>
      <c r="Q2118"/>
    </row>
    <row r="2119" spans="1:17" x14ac:dyDescent="0.25">
      <c r="A2119" s="89" t="s">
        <v>10801</v>
      </c>
      <c r="B2119" s="87" t="s">
        <v>10802</v>
      </c>
      <c r="C2119" s="87" t="s">
        <v>13</v>
      </c>
      <c r="D2119" s="87" t="str">
        <f>VLOOKUP(Tabela1[[#This Row],[Origem]], 'Perguntas 1 a 24'!$J$28:$K$34, 2, 0)</f>
        <v>Sudeste</v>
      </c>
      <c r="E2119" s="87" t="str">
        <f>Tabela1[[#This Row],[Descrição]]&amp;"-"&amp;Tabela1[[#This Row],[Código]]&amp;"/"&amp;Tabela1[[#This Row],[Origem]]</f>
        <v>Fagepedu-P262H353/SP</v>
      </c>
      <c r="F2119" s="88">
        <v>46749</v>
      </c>
      <c r="G2119" s="88" t="str" cm="1">
        <f t="array" ref="G21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AND(F2119&gt;= DATE(2026,1,1), F2119&lt;= DATE(2028, 12, 31), J2119&gt;50000), "Pendente e Caro", AND(F2119&gt;= DATE(2026,1,1), F2119&lt;= DATE(2028, 12, 31), J2119&lt;=50000), "Pendente", F2119&gt;= DATE(2029,1,1), "Não prioeitário")</f>
        <v>Pendente e Caro</v>
      </c>
      <c r="H2119" s="89">
        <f>YEAR(Tabela1[[#This Row],[Data de Validade]])</f>
        <v>2027</v>
      </c>
      <c r="I2119" s="89">
        <f>MONTH(Tabela1[[#This Row],[Data de Validade]])</f>
        <v>12</v>
      </c>
      <c r="J2119" s="101">
        <v>90763</v>
      </c>
      <c r="K2119" s="87" t="s">
        <v>7</v>
      </c>
      <c r="L2119" s="108"/>
      <c r="M2119" s="108"/>
      <c r="N2119" s="108" t="str">
        <v>P112H264</v>
      </c>
      <c r="O2119" s="108">
        <f t="shared" si="35"/>
        <v>1</v>
      </c>
      <c r="P2119" s="108"/>
      <c r="Q2119"/>
    </row>
    <row r="2120" spans="1:17" x14ac:dyDescent="0.25">
      <c r="A2120" s="89" t="s">
        <v>6676</v>
      </c>
      <c r="B2120" s="87" t="s">
        <v>6677</v>
      </c>
      <c r="C2120" s="87" t="s">
        <v>13</v>
      </c>
      <c r="D2120" s="87" t="str">
        <f>VLOOKUP(Tabela1[[#This Row],[Origem]], 'Perguntas 1 a 24'!$J$28:$K$34, 2, 0)</f>
        <v>Sudeste</v>
      </c>
      <c r="E2120" s="87" t="str">
        <f>Tabela1[[#This Row],[Descrição]]&amp;"-"&amp;Tabela1[[#This Row],[Código]]&amp;"/"&amp;Tabela1[[#This Row],[Origem]]</f>
        <v>Popufi-P112H264/SP</v>
      </c>
      <c r="F2120" s="88">
        <v>46750</v>
      </c>
      <c r="G2120" s="88" t="str" cm="1">
        <f t="array" ref="G21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AND(F2120&gt;= DATE(2026,1,1), F2120&lt;= DATE(2028, 12, 31), J2120&gt;50000), "Pendente e Caro", AND(F2120&gt;= DATE(2026,1,1), F2120&lt;= DATE(2028, 12, 31), J2120&lt;=50000), "Pendente", F2120&gt;= DATE(2029,1,1), "Não prioeitário")</f>
        <v>Pendente</v>
      </c>
      <c r="H2120" s="89">
        <f>YEAR(Tabela1[[#This Row],[Data de Validade]])</f>
        <v>2027</v>
      </c>
      <c r="I2120" s="89">
        <f>MONTH(Tabela1[[#This Row],[Data de Validade]])</f>
        <v>12</v>
      </c>
      <c r="J2120" s="101">
        <v>48386</v>
      </c>
      <c r="K2120" s="87" t="s">
        <v>11</v>
      </c>
      <c r="L2120" s="108"/>
      <c r="M2120" s="108"/>
      <c r="N2120" s="108" t="str">
        <v>P191H763</v>
      </c>
      <c r="O2120" s="108">
        <f t="shared" si="35"/>
        <v>1</v>
      </c>
      <c r="P2120" s="108"/>
      <c r="Q2120"/>
    </row>
    <row r="2121" spans="1:17" x14ac:dyDescent="0.25">
      <c r="A2121" s="89" t="s">
        <v>4774</v>
      </c>
      <c r="B2121" s="87" t="s">
        <v>4775</v>
      </c>
      <c r="C2121" s="87" t="s">
        <v>15</v>
      </c>
      <c r="D2121" s="87" t="str">
        <f>VLOOKUP(Tabela1[[#This Row],[Origem]], 'Perguntas 1 a 24'!$J$28:$K$34, 2, 0)</f>
        <v>Sudeste</v>
      </c>
      <c r="E2121" s="87" t="str">
        <f>Tabela1[[#This Row],[Descrição]]&amp;"-"&amp;Tabela1[[#This Row],[Código]]&amp;"/"&amp;Tabela1[[#This Row],[Origem]]</f>
        <v>Gecerolicu-P191H763/ES</v>
      </c>
      <c r="F2121" s="88">
        <v>46750</v>
      </c>
      <c r="G2121" s="88" t="str" cm="1">
        <f t="array" ref="G21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AND(F2121&gt;= DATE(2026,1,1), F2121&lt;= DATE(2028, 12, 31), J2121&gt;50000), "Pendente e Caro", AND(F2121&gt;= DATE(2026,1,1), F2121&lt;= DATE(2028, 12, 31), J2121&lt;=50000), "Pendente", F2121&gt;= DATE(2029,1,1), "Não prioeitário")</f>
        <v>Pendente</v>
      </c>
      <c r="H2121" s="89">
        <f>YEAR(Tabela1[[#This Row],[Data de Validade]])</f>
        <v>2027</v>
      </c>
      <c r="I2121" s="89">
        <f>MONTH(Tabela1[[#This Row],[Data de Validade]])</f>
        <v>12</v>
      </c>
      <c r="J2121" s="101">
        <v>21455</v>
      </c>
      <c r="K2121" s="87" t="s">
        <v>7</v>
      </c>
      <c r="L2121" s="108"/>
      <c r="M2121" s="108"/>
      <c r="N2121" s="108" t="str">
        <v>P514P164</v>
      </c>
      <c r="O2121" s="108">
        <f t="shared" si="35"/>
        <v>1</v>
      </c>
      <c r="P2121" s="108"/>
      <c r="Q2121"/>
    </row>
    <row r="2122" spans="1:17" x14ac:dyDescent="0.25">
      <c r="A2122" s="89" t="s">
        <v>4802</v>
      </c>
      <c r="B2122" s="87" t="s">
        <v>4803</v>
      </c>
      <c r="C2122" s="87" t="s">
        <v>6</v>
      </c>
      <c r="D2122" s="87" t="str">
        <f>VLOOKUP(Tabela1[[#This Row],[Origem]], 'Perguntas 1 a 24'!$J$28:$K$34, 2, 0)</f>
        <v>Nordeste</v>
      </c>
      <c r="E2122" s="87" t="str">
        <f>Tabela1[[#This Row],[Descrição]]&amp;"-"&amp;Tabela1[[#This Row],[Código]]&amp;"/"&amp;Tabela1[[#This Row],[Origem]]</f>
        <v>Piratolaru-P514P164/MA</v>
      </c>
      <c r="F2122" s="88">
        <v>46751</v>
      </c>
      <c r="G2122" s="88" t="str" cm="1">
        <f t="array" ref="G21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AND(F2122&gt;= DATE(2026,1,1), F2122&lt;= DATE(2028, 12, 31), J2122&gt;50000), "Pendente e Caro", AND(F2122&gt;= DATE(2026,1,1), F2122&lt;= DATE(2028, 12, 31), J2122&lt;=50000), "Pendente", F2122&gt;= DATE(2029,1,1), "Não prioeitário")</f>
        <v>Pendente e Caro</v>
      </c>
      <c r="H2122" s="89">
        <f>YEAR(Tabela1[[#This Row],[Data de Validade]])</f>
        <v>2027</v>
      </c>
      <c r="I2122" s="89">
        <f>MONTH(Tabela1[[#This Row],[Data de Validade]])</f>
        <v>12</v>
      </c>
      <c r="J2122" s="101">
        <v>99315</v>
      </c>
      <c r="K2122" s="87" t="s">
        <v>7</v>
      </c>
      <c r="L2122" s="108"/>
      <c r="M2122" s="108"/>
      <c r="N2122" s="108" t="str">
        <v>H137H699</v>
      </c>
      <c r="O2122" s="108">
        <f t="shared" si="35"/>
        <v>1</v>
      </c>
      <c r="P2122" s="108"/>
      <c r="Q2122"/>
    </row>
    <row r="2123" spans="1:17" x14ac:dyDescent="0.25">
      <c r="A2123" s="89" t="s">
        <v>4036</v>
      </c>
      <c r="B2123" s="87" t="s">
        <v>4037</v>
      </c>
      <c r="C2123" s="87" t="s">
        <v>15</v>
      </c>
      <c r="D2123" s="87" t="str">
        <f>VLOOKUP(Tabela1[[#This Row],[Origem]], 'Perguntas 1 a 24'!$J$28:$K$34, 2, 0)</f>
        <v>Sudeste</v>
      </c>
      <c r="E2123" s="87" t="str">
        <f>Tabela1[[#This Row],[Descrição]]&amp;"-"&amp;Tabela1[[#This Row],[Código]]&amp;"/"&amp;Tabela1[[#This Row],[Origem]]</f>
        <v>Ripavedofe-H137H699/ES</v>
      </c>
      <c r="F2123" s="88">
        <v>46751</v>
      </c>
      <c r="G2123" s="88" t="str" cm="1">
        <f t="array" ref="G21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AND(F2123&gt;= DATE(2026,1,1), F2123&lt;= DATE(2028, 12, 31), J2123&gt;50000), "Pendente e Caro", AND(F2123&gt;= DATE(2026,1,1), F2123&lt;= DATE(2028, 12, 31), J2123&lt;=50000), "Pendente", F2123&gt;= DATE(2029,1,1), "Não prioeitário")</f>
        <v>Pendente e Caro</v>
      </c>
      <c r="H2123" s="89">
        <f>YEAR(Tabela1[[#This Row],[Data de Validade]])</f>
        <v>2027</v>
      </c>
      <c r="I2123" s="89">
        <f>MONTH(Tabela1[[#This Row],[Data de Validade]])</f>
        <v>12</v>
      </c>
      <c r="J2123" s="101">
        <v>94759</v>
      </c>
      <c r="K2123" s="87" t="s">
        <v>9</v>
      </c>
      <c r="L2123" s="108"/>
      <c r="M2123" s="108"/>
      <c r="N2123" s="108" t="str">
        <v>H394P546</v>
      </c>
      <c r="O2123" s="108">
        <f t="shared" si="35"/>
        <v>1</v>
      </c>
      <c r="P2123" s="108"/>
      <c r="Q2123"/>
    </row>
    <row r="2124" spans="1:17" x14ac:dyDescent="0.25">
      <c r="A2124" s="89" t="s">
        <v>8811</v>
      </c>
      <c r="B2124" s="87" t="s">
        <v>8812</v>
      </c>
      <c r="C2124" s="87" t="s">
        <v>13</v>
      </c>
      <c r="D2124" s="87" t="str">
        <f>VLOOKUP(Tabela1[[#This Row],[Origem]], 'Perguntas 1 a 24'!$J$28:$K$34, 2, 0)</f>
        <v>Sudeste</v>
      </c>
      <c r="E2124" s="87" t="str">
        <f>Tabela1[[#This Row],[Descrição]]&amp;"-"&amp;Tabela1[[#This Row],[Código]]&amp;"/"&amp;Tabela1[[#This Row],[Origem]]</f>
        <v>Pamapaluca-H394P546/SP</v>
      </c>
      <c r="F2124" s="88">
        <v>46751</v>
      </c>
      <c r="G2124" s="88" t="str" cm="1">
        <f t="array" ref="G21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AND(F2124&gt;= DATE(2026,1,1), F2124&lt;= DATE(2028, 12, 31), J2124&gt;50000), "Pendente e Caro", AND(F2124&gt;= DATE(2026,1,1), F2124&lt;= DATE(2028, 12, 31), J2124&lt;=50000), "Pendente", F2124&gt;= DATE(2029,1,1), "Não prioeitário")</f>
        <v>Pendente e Caro</v>
      </c>
      <c r="H2124" s="89">
        <f>YEAR(Tabela1[[#This Row],[Data de Validade]])</f>
        <v>2027</v>
      </c>
      <c r="I2124" s="89">
        <f>MONTH(Tabela1[[#This Row],[Data de Validade]])</f>
        <v>12</v>
      </c>
      <c r="J2124" s="101">
        <v>90512</v>
      </c>
      <c r="K2124" s="87" t="s">
        <v>7</v>
      </c>
      <c r="L2124" s="108"/>
      <c r="M2124" s="108"/>
      <c r="N2124" s="108" t="str">
        <v>P287H428</v>
      </c>
      <c r="O2124" s="108">
        <f t="shared" si="35"/>
        <v>1</v>
      </c>
      <c r="P2124" s="108"/>
      <c r="Q2124"/>
    </row>
    <row r="2125" spans="1:17" x14ac:dyDescent="0.25">
      <c r="A2125" s="89" t="s">
        <v>8861</v>
      </c>
      <c r="B2125" s="87" t="s">
        <v>8862</v>
      </c>
      <c r="C2125" s="87" t="s">
        <v>8</v>
      </c>
      <c r="D2125" s="87" t="str">
        <f>VLOOKUP(Tabela1[[#This Row],[Origem]], 'Perguntas 1 a 24'!$J$28:$K$34, 2, 0)</f>
        <v>Nordeste</v>
      </c>
      <c r="E2125" s="87" t="str">
        <f>Tabela1[[#This Row],[Descrição]]&amp;"-"&amp;Tabela1[[#This Row],[Código]]&amp;"/"&amp;Tabela1[[#This Row],[Origem]]</f>
        <v>Rumonorivu-P287H428/AL</v>
      </c>
      <c r="F2125" s="88">
        <v>46751</v>
      </c>
      <c r="G2125" s="88" t="str" cm="1">
        <f t="array" ref="G21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AND(F2125&gt;= DATE(2026,1,1), F2125&lt;= DATE(2028, 12, 31), J2125&gt;50000), "Pendente e Caro", AND(F2125&gt;= DATE(2026,1,1), F2125&lt;= DATE(2028, 12, 31), J2125&lt;=50000), "Pendente", F2125&gt;= DATE(2029,1,1), "Não prioeitário")</f>
        <v>Pendente e Caro</v>
      </c>
      <c r="H2125" s="89">
        <f>YEAR(Tabela1[[#This Row],[Data de Validade]])</f>
        <v>2027</v>
      </c>
      <c r="I2125" s="89">
        <f>MONTH(Tabela1[[#This Row],[Data de Validade]])</f>
        <v>12</v>
      </c>
      <c r="J2125" s="101">
        <v>89386</v>
      </c>
      <c r="K2125" s="87" t="s">
        <v>11</v>
      </c>
      <c r="L2125" s="108"/>
      <c r="M2125" s="108"/>
      <c r="N2125" s="108" t="str">
        <v>H487H463</v>
      </c>
      <c r="O2125" s="108">
        <f t="shared" si="35"/>
        <v>1</v>
      </c>
      <c r="P2125" s="108"/>
      <c r="Q2125"/>
    </row>
    <row r="2126" spans="1:17" x14ac:dyDescent="0.25">
      <c r="A2126" s="89" t="s">
        <v>7494</v>
      </c>
      <c r="B2126" s="87" t="s">
        <v>7495</v>
      </c>
      <c r="C2126" s="87" t="s">
        <v>6</v>
      </c>
      <c r="D2126" s="87" t="str">
        <f>VLOOKUP(Tabela1[[#This Row],[Origem]], 'Perguntas 1 a 24'!$J$28:$K$34, 2, 0)</f>
        <v>Nordeste</v>
      </c>
      <c r="E2126" s="87" t="str">
        <f>Tabela1[[#This Row],[Descrição]]&amp;"-"&amp;Tabela1[[#This Row],[Código]]&amp;"/"&amp;Tabela1[[#This Row],[Origem]]</f>
        <v>Fapuragi-H487H463/MA</v>
      </c>
      <c r="F2126" s="88">
        <v>46751</v>
      </c>
      <c r="G2126" s="88" t="str" cm="1">
        <f t="array" ref="G21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AND(F2126&gt;= DATE(2026,1,1), F2126&lt;= DATE(2028, 12, 31), J2126&gt;50000), "Pendente e Caro", AND(F2126&gt;= DATE(2026,1,1), F2126&lt;= DATE(2028, 12, 31), J2126&lt;=50000), "Pendente", F2126&gt;= DATE(2029,1,1), "Não prioeitário")</f>
        <v>Pendente e Caro</v>
      </c>
      <c r="H2126" s="89">
        <f>YEAR(Tabela1[[#This Row],[Data de Validade]])</f>
        <v>2027</v>
      </c>
      <c r="I2126" s="89">
        <f>MONTH(Tabela1[[#This Row],[Data de Validade]])</f>
        <v>12</v>
      </c>
      <c r="J2126" s="101">
        <v>77081</v>
      </c>
      <c r="K2126" s="87" t="s">
        <v>14</v>
      </c>
      <c r="L2126" s="108"/>
      <c r="M2126" s="108"/>
      <c r="N2126" s="108" t="str">
        <v>H255H153</v>
      </c>
      <c r="O2126" s="108">
        <f t="shared" si="35"/>
        <v>1</v>
      </c>
      <c r="P2126" s="108"/>
      <c r="Q2126"/>
    </row>
    <row r="2127" spans="1:17" x14ac:dyDescent="0.25">
      <c r="A2127" s="89" t="s">
        <v>6788</v>
      </c>
      <c r="B2127" s="87" t="s">
        <v>6789</v>
      </c>
      <c r="C2127" s="87" t="s">
        <v>16</v>
      </c>
      <c r="D2127" s="87" t="str">
        <f>VLOOKUP(Tabela1[[#This Row],[Origem]], 'Perguntas 1 a 24'!$J$28:$K$34, 2, 0)</f>
        <v>Sudeste</v>
      </c>
      <c r="E2127" s="87" t="str">
        <f>Tabela1[[#This Row],[Descrição]]&amp;"-"&amp;Tabela1[[#This Row],[Código]]&amp;"/"&amp;Tabela1[[#This Row],[Origem]]</f>
        <v>Devefidivo-H255H153/MG</v>
      </c>
      <c r="F2127" s="88">
        <v>46751</v>
      </c>
      <c r="G2127" s="88" t="str" cm="1">
        <f t="array" ref="G21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AND(F2127&gt;= DATE(2026,1,1), F2127&lt;= DATE(2028, 12, 31), J2127&gt;50000), "Pendente e Caro", AND(F2127&gt;= DATE(2026,1,1), F2127&lt;= DATE(2028, 12, 31), J2127&lt;=50000), "Pendente", F2127&gt;= DATE(2029,1,1), "Não prioeitário")</f>
        <v>Pendente</v>
      </c>
      <c r="H2127" s="89">
        <f>YEAR(Tabela1[[#This Row],[Data de Validade]])</f>
        <v>2027</v>
      </c>
      <c r="I2127" s="89">
        <f>MONTH(Tabela1[[#This Row],[Data de Validade]])</f>
        <v>12</v>
      </c>
      <c r="J2127" s="101">
        <v>34353</v>
      </c>
      <c r="K2127" s="87" t="s">
        <v>14</v>
      </c>
      <c r="L2127" s="108"/>
      <c r="M2127" s="108"/>
      <c r="N2127" s="108" t="str">
        <v>P568H488</v>
      </c>
      <c r="O2127" s="108">
        <f t="shared" si="35"/>
        <v>1</v>
      </c>
      <c r="P2127" s="108"/>
      <c r="Q2127"/>
    </row>
    <row r="2128" spans="1:17" x14ac:dyDescent="0.25">
      <c r="A2128" s="89" t="s">
        <v>7608</v>
      </c>
      <c r="B2128" s="87" t="s">
        <v>7609</v>
      </c>
      <c r="C2128" s="87" t="s">
        <v>10</v>
      </c>
      <c r="D2128" s="87" t="str">
        <f>VLOOKUP(Tabela1[[#This Row],[Origem]], 'Perguntas 1 a 24'!$J$28:$K$34, 2, 0)</f>
        <v>Centro-Oeste</v>
      </c>
      <c r="E2128" s="87" t="str">
        <f>Tabela1[[#This Row],[Descrição]]&amp;"-"&amp;Tabela1[[#This Row],[Código]]&amp;"/"&amp;Tabela1[[#This Row],[Origem]]</f>
        <v>Piruvacutu-P568H488/GO</v>
      </c>
      <c r="F2128" s="88">
        <v>46751</v>
      </c>
      <c r="G2128" s="88" t="str" cm="1">
        <f t="array" ref="G21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AND(F2128&gt;= DATE(2026,1,1), F2128&lt;= DATE(2028, 12, 31), J2128&gt;50000), "Pendente e Caro", AND(F2128&gt;= DATE(2026,1,1), F2128&lt;= DATE(2028, 12, 31), J2128&lt;=50000), "Pendente", F2128&gt;= DATE(2029,1,1), "Não prioeitário")</f>
        <v>Pendente</v>
      </c>
      <c r="H2128" s="89">
        <f>YEAR(Tabela1[[#This Row],[Data de Validade]])</f>
        <v>2027</v>
      </c>
      <c r="I2128" s="89">
        <f>MONTH(Tabela1[[#This Row],[Data de Validade]])</f>
        <v>12</v>
      </c>
      <c r="J2128" s="101">
        <v>27137</v>
      </c>
      <c r="K2128" s="87" t="s">
        <v>11</v>
      </c>
      <c r="L2128" s="108"/>
      <c r="M2128" s="108"/>
      <c r="N2128" s="108" t="str">
        <v>P625P483</v>
      </c>
      <c r="O2128" s="108">
        <f t="shared" si="35"/>
        <v>1</v>
      </c>
      <c r="P2128" s="108"/>
      <c r="Q2128"/>
    </row>
    <row r="2129" spans="1:17" x14ac:dyDescent="0.25">
      <c r="A2129" s="89" t="s">
        <v>8166</v>
      </c>
      <c r="B2129" s="87" t="s">
        <v>8167</v>
      </c>
      <c r="C2129" s="87" t="s">
        <v>10</v>
      </c>
      <c r="D2129" s="87" t="str">
        <f>VLOOKUP(Tabela1[[#This Row],[Origem]], 'Perguntas 1 a 24'!$J$28:$K$34, 2, 0)</f>
        <v>Centro-Oeste</v>
      </c>
      <c r="E2129" s="87" t="str">
        <f>Tabela1[[#This Row],[Descrição]]&amp;"-"&amp;Tabela1[[#This Row],[Código]]&amp;"/"&amp;Tabela1[[#This Row],[Origem]]</f>
        <v>Cofepipa-P625P483/GO</v>
      </c>
      <c r="F2129" s="88">
        <v>46752</v>
      </c>
      <c r="G2129" s="88" t="str" cm="1">
        <f t="array" ref="G21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AND(F2129&gt;= DATE(2026,1,1), F2129&lt;= DATE(2028, 12, 31), J2129&gt;50000), "Pendente e Caro", AND(F2129&gt;= DATE(2026,1,1), F2129&lt;= DATE(2028, 12, 31), J2129&lt;=50000), "Pendente", F2129&gt;= DATE(2029,1,1), "Não prioeitário")</f>
        <v>Pendente e Caro</v>
      </c>
      <c r="H2129" s="89">
        <f>YEAR(Tabela1[[#This Row],[Data de Validade]])</f>
        <v>2027</v>
      </c>
      <c r="I2129" s="89">
        <f>MONTH(Tabela1[[#This Row],[Data de Validade]])</f>
        <v>12</v>
      </c>
      <c r="J2129" s="101">
        <v>60593</v>
      </c>
      <c r="K2129" s="87" t="s">
        <v>11</v>
      </c>
      <c r="L2129" s="108"/>
      <c r="M2129" s="108"/>
      <c r="N2129" s="108" t="str">
        <v>P198P264</v>
      </c>
      <c r="O2129" s="108">
        <f t="shared" si="35"/>
        <v>1</v>
      </c>
      <c r="P2129" s="108"/>
      <c r="Q2129"/>
    </row>
    <row r="2130" spans="1:17" x14ac:dyDescent="0.25">
      <c r="A2130" s="89" t="s">
        <v>4570</v>
      </c>
      <c r="B2130" s="87" t="s">
        <v>4571</v>
      </c>
      <c r="C2130" s="87" t="s">
        <v>13</v>
      </c>
      <c r="D2130" s="87" t="str">
        <f>VLOOKUP(Tabela1[[#This Row],[Origem]], 'Perguntas 1 a 24'!$J$28:$K$34, 2, 0)</f>
        <v>Sudeste</v>
      </c>
      <c r="E2130" s="87" t="str">
        <f>Tabela1[[#This Row],[Descrição]]&amp;"-"&amp;Tabela1[[#This Row],[Código]]&amp;"/"&amp;Tabela1[[#This Row],[Origem]]</f>
        <v>Voroce-P198P264/SP</v>
      </c>
      <c r="F2130" s="88">
        <v>46752</v>
      </c>
      <c r="G2130" s="88" t="str" cm="1">
        <f t="array" ref="G21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AND(F2130&gt;= DATE(2026,1,1), F2130&lt;= DATE(2028, 12, 31), J2130&gt;50000), "Pendente e Caro", AND(F2130&gt;= DATE(2026,1,1), F2130&lt;= DATE(2028, 12, 31), J2130&lt;=50000), "Pendente", F2130&gt;= DATE(2029,1,1), "Não prioeitário")</f>
        <v>Pendente e Caro</v>
      </c>
      <c r="H2130" s="89">
        <f>YEAR(Tabela1[[#This Row],[Data de Validade]])</f>
        <v>2027</v>
      </c>
      <c r="I2130" s="89">
        <f>MONTH(Tabela1[[#This Row],[Data de Validade]])</f>
        <v>12</v>
      </c>
      <c r="J2130" s="101">
        <v>54160</v>
      </c>
      <c r="K2130" s="87" t="s">
        <v>7</v>
      </c>
      <c r="L2130" s="108"/>
      <c r="M2130" s="108"/>
      <c r="N2130" s="108" t="str">
        <v>P436H682</v>
      </c>
      <c r="O2130" s="108">
        <f t="shared" si="35"/>
        <v>1</v>
      </c>
      <c r="P2130" s="108"/>
      <c r="Q2130"/>
    </row>
    <row r="2131" spans="1:17" x14ac:dyDescent="0.25">
      <c r="A2131" s="89" t="s">
        <v>3764</v>
      </c>
      <c r="B2131" s="87" t="s">
        <v>3765</v>
      </c>
      <c r="C2131" s="87" t="s">
        <v>8</v>
      </c>
      <c r="D2131" s="87" t="str">
        <f>VLOOKUP(Tabela1[[#This Row],[Origem]], 'Perguntas 1 a 24'!$J$28:$K$34, 2, 0)</f>
        <v>Nordeste</v>
      </c>
      <c r="E2131" s="87" t="str">
        <f>Tabela1[[#This Row],[Descrição]]&amp;"-"&amp;Tabela1[[#This Row],[Código]]&amp;"/"&amp;Tabela1[[#This Row],[Origem]]</f>
        <v>Rulupali-P436H682/AL</v>
      </c>
      <c r="F2131" s="88">
        <v>46753</v>
      </c>
      <c r="G2131" s="88" t="str" cm="1">
        <f t="array" ref="G21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AND(F2131&gt;= DATE(2026,1,1), F2131&lt;= DATE(2028, 12, 31), J2131&gt;50000), "Pendente e Caro", AND(F2131&gt;= DATE(2026,1,1), F2131&lt;= DATE(2028, 12, 31), J2131&lt;=50000), "Pendente", F2131&gt;= DATE(2029,1,1), "Não prioeitário")</f>
        <v>Pendente e Caro</v>
      </c>
      <c r="H2131" s="89">
        <f>YEAR(Tabela1[[#This Row],[Data de Validade]])</f>
        <v>2028</v>
      </c>
      <c r="I2131" s="89">
        <f>MONTH(Tabela1[[#This Row],[Data de Validade]])</f>
        <v>1</v>
      </c>
      <c r="J2131" s="101">
        <v>117823</v>
      </c>
      <c r="K2131" s="87" t="s">
        <v>14</v>
      </c>
      <c r="L2131" s="108"/>
      <c r="M2131" s="108"/>
      <c r="N2131" s="108" t="str">
        <v>H798H463</v>
      </c>
      <c r="O2131" s="108">
        <f t="shared" si="35"/>
        <v>1</v>
      </c>
      <c r="P2131" s="108"/>
      <c r="Q2131"/>
    </row>
    <row r="2132" spans="1:17" x14ac:dyDescent="0.25">
      <c r="A2132" s="89" t="s">
        <v>9319</v>
      </c>
      <c r="B2132" s="87" t="s">
        <v>9320</v>
      </c>
      <c r="C2132" s="87" t="s">
        <v>15</v>
      </c>
      <c r="D2132" s="87" t="str">
        <f>VLOOKUP(Tabela1[[#This Row],[Origem]], 'Perguntas 1 a 24'!$J$28:$K$34, 2, 0)</f>
        <v>Sudeste</v>
      </c>
      <c r="E2132" s="87" t="str">
        <f>Tabela1[[#This Row],[Descrição]]&amp;"-"&amp;Tabela1[[#This Row],[Código]]&amp;"/"&amp;Tabela1[[#This Row],[Origem]]</f>
        <v>Pilipevudo-H798H463/ES</v>
      </c>
      <c r="F2132" s="88">
        <v>46753</v>
      </c>
      <c r="G2132" s="88" t="str" cm="1">
        <f t="array" ref="G21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AND(F2132&gt;= DATE(2026,1,1), F2132&lt;= DATE(2028, 12, 31), J2132&gt;50000), "Pendente e Caro", AND(F2132&gt;= DATE(2026,1,1), F2132&lt;= DATE(2028, 12, 31), J2132&lt;=50000), "Pendente", F2132&gt;= DATE(2029,1,1), "Não prioeitário")</f>
        <v>Pendente e Caro</v>
      </c>
      <c r="H2132" s="89">
        <f>YEAR(Tabela1[[#This Row],[Data de Validade]])</f>
        <v>2028</v>
      </c>
      <c r="I2132" s="89">
        <f>MONTH(Tabela1[[#This Row],[Data de Validade]])</f>
        <v>1</v>
      </c>
      <c r="J2132" s="101">
        <v>92344</v>
      </c>
      <c r="K2132" s="87" t="s">
        <v>7</v>
      </c>
      <c r="L2132" s="108"/>
      <c r="M2132" s="108"/>
      <c r="N2132" s="108" t="str">
        <v>H496H924</v>
      </c>
      <c r="O2132" s="108">
        <f t="shared" si="35"/>
        <v>1</v>
      </c>
      <c r="P2132" s="108"/>
      <c r="Q2132"/>
    </row>
    <row r="2133" spans="1:17" x14ac:dyDescent="0.25">
      <c r="A2133" s="89" t="s">
        <v>9639</v>
      </c>
      <c r="B2133" s="87" t="s">
        <v>9640</v>
      </c>
      <c r="C2133" s="87" t="s">
        <v>6</v>
      </c>
      <c r="D2133" s="87" t="str">
        <f>VLOOKUP(Tabela1[[#This Row],[Origem]], 'Perguntas 1 a 24'!$J$28:$K$34, 2, 0)</f>
        <v>Nordeste</v>
      </c>
      <c r="E2133" s="87" t="str">
        <f>Tabela1[[#This Row],[Descrição]]&amp;"-"&amp;Tabela1[[#This Row],[Código]]&amp;"/"&amp;Tabela1[[#This Row],[Origem]]</f>
        <v>Pufoda-H496H924/MA</v>
      </c>
      <c r="F2133" s="88">
        <v>46753</v>
      </c>
      <c r="G2133" s="88" t="str" cm="1">
        <f t="array" ref="G21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AND(F2133&gt;= DATE(2026,1,1), F2133&lt;= DATE(2028, 12, 31), J2133&gt;50000), "Pendente e Caro", AND(F2133&gt;= DATE(2026,1,1), F2133&lt;= DATE(2028, 12, 31), J2133&lt;=50000), "Pendente", F2133&gt;= DATE(2029,1,1), "Não prioeitário")</f>
        <v>Pendente e Caro</v>
      </c>
      <c r="H2133" s="89">
        <f>YEAR(Tabela1[[#This Row],[Data de Validade]])</f>
        <v>2028</v>
      </c>
      <c r="I2133" s="89">
        <f>MONTH(Tabela1[[#This Row],[Data de Validade]])</f>
        <v>1</v>
      </c>
      <c r="J2133" s="101">
        <v>80334</v>
      </c>
      <c r="K2133" s="87" t="s">
        <v>11</v>
      </c>
      <c r="L2133" s="108"/>
      <c r="M2133" s="108"/>
      <c r="N2133" s="108" t="str">
        <v>P971H971</v>
      </c>
      <c r="O2133" s="108">
        <f t="shared" si="35"/>
        <v>1</v>
      </c>
      <c r="P2133" s="108"/>
      <c r="Q2133"/>
    </row>
    <row r="2134" spans="1:17" x14ac:dyDescent="0.25">
      <c r="A2134" s="89" t="s">
        <v>6204</v>
      </c>
      <c r="B2134" s="87" t="s">
        <v>6205</v>
      </c>
      <c r="C2134" s="87" t="s">
        <v>15</v>
      </c>
      <c r="D2134" s="87" t="str">
        <f>VLOOKUP(Tabela1[[#This Row],[Origem]], 'Perguntas 1 a 24'!$J$28:$K$34, 2, 0)</f>
        <v>Sudeste</v>
      </c>
      <c r="E2134" s="87" t="str">
        <f>Tabela1[[#This Row],[Descrição]]&amp;"-"&amp;Tabela1[[#This Row],[Código]]&amp;"/"&amp;Tabela1[[#This Row],[Origem]]</f>
        <v>Dacuculatu-P971H971/ES</v>
      </c>
      <c r="F2134" s="88">
        <v>46754</v>
      </c>
      <c r="G2134" s="88" t="str" cm="1">
        <f t="array" ref="G21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AND(F2134&gt;= DATE(2026,1,1), F2134&lt;= DATE(2028, 12, 31), J2134&gt;50000), "Pendente e Caro", AND(F2134&gt;= DATE(2026,1,1), F2134&lt;= DATE(2028, 12, 31), J2134&lt;=50000), "Pendente", F2134&gt;= DATE(2029,1,1), "Não prioeitário")</f>
        <v>Pendente e Caro</v>
      </c>
      <c r="H2134" s="89">
        <f>YEAR(Tabela1[[#This Row],[Data de Validade]])</f>
        <v>2028</v>
      </c>
      <c r="I2134" s="89">
        <f>MONTH(Tabela1[[#This Row],[Data de Validade]])</f>
        <v>1</v>
      </c>
      <c r="J2134" s="101">
        <v>89989</v>
      </c>
      <c r="K2134" s="87" t="s">
        <v>14</v>
      </c>
      <c r="L2134" s="108"/>
      <c r="M2134" s="108"/>
      <c r="N2134" s="108" t="str">
        <v>H942P584</v>
      </c>
      <c r="O2134" s="108">
        <f t="shared" si="35"/>
        <v>1</v>
      </c>
      <c r="P2134" s="108"/>
      <c r="Q2134"/>
    </row>
    <row r="2135" spans="1:17" x14ac:dyDescent="0.25">
      <c r="A2135" s="89" t="s">
        <v>5416</v>
      </c>
      <c r="B2135" s="87" t="s">
        <v>5417</v>
      </c>
      <c r="C2135" s="87" t="s">
        <v>13</v>
      </c>
      <c r="D2135" s="87" t="str">
        <f>VLOOKUP(Tabela1[[#This Row],[Origem]], 'Perguntas 1 a 24'!$J$28:$K$34, 2, 0)</f>
        <v>Sudeste</v>
      </c>
      <c r="E2135" s="87" t="str">
        <f>Tabela1[[#This Row],[Descrição]]&amp;"-"&amp;Tabela1[[#This Row],[Código]]&amp;"/"&amp;Tabela1[[#This Row],[Origem]]</f>
        <v>Mufape-H942P584/SP</v>
      </c>
      <c r="F2135" s="88">
        <v>46754</v>
      </c>
      <c r="G2135" s="88" t="str" cm="1">
        <f t="array" ref="G21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AND(F2135&gt;= DATE(2026,1,1), F2135&lt;= DATE(2028, 12, 31), J2135&gt;50000), "Pendente e Caro", AND(F2135&gt;= DATE(2026,1,1), F2135&lt;= DATE(2028, 12, 31), J2135&lt;=50000), "Pendente", F2135&gt;= DATE(2029,1,1), "Não prioeitário")</f>
        <v>Pendente e Caro</v>
      </c>
      <c r="H2135" s="89">
        <f>YEAR(Tabela1[[#This Row],[Data de Validade]])</f>
        <v>2028</v>
      </c>
      <c r="I2135" s="89">
        <f>MONTH(Tabela1[[#This Row],[Data de Validade]])</f>
        <v>1</v>
      </c>
      <c r="J2135" s="101">
        <v>61107</v>
      </c>
      <c r="K2135" s="87" t="s">
        <v>7</v>
      </c>
      <c r="L2135" s="108"/>
      <c r="M2135" s="108"/>
      <c r="N2135" s="108" t="str">
        <v>H865P725</v>
      </c>
      <c r="O2135" s="108">
        <f t="shared" si="35"/>
        <v>1</v>
      </c>
      <c r="P2135" s="108"/>
      <c r="Q2135"/>
    </row>
    <row r="2136" spans="1:17" x14ac:dyDescent="0.25">
      <c r="A2136" s="89" t="s">
        <v>3990</v>
      </c>
      <c r="B2136" s="87" t="s">
        <v>3991</v>
      </c>
      <c r="C2136" s="87" t="s">
        <v>8</v>
      </c>
      <c r="D2136" s="87" t="str">
        <f>VLOOKUP(Tabela1[[#This Row],[Origem]], 'Perguntas 1 a 24'!$J$28:$K$34, 2, 0)</f>
        <v>Nordeste</v>
      </c>
      <c r="E2136" s="87" t="str">
        <f>Tabela1[[#This Row],[Descrição]]&amp;"-"&amp;Tabela1[[#This Row],[Código]]&amp;"/"&amp;Tabela1[[#This Row],[Origem]]</f>
        <v>Devadetu-H865P725/AL</v>
      </c>
      <c r="F2136" s="88">
        <v>46754</v>
      </c>
      <c r="G2136" s="88" t="str" cm="1">
        <f t="array" ref="G21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AND(F2136&gt;= DATE(2026,1,1), F2136&lt;= DATE(2028, 12, 31), J2136&gt;50000), "Pendente e Caro", AND(F2136&gt;= DATE(2026,1,1), F2136&lt;= DATE(2028, 12, 31), J2136&lt;=50000), "Pendente", F2136&gt;= DATE(2029,1,1), "Não prioeitário")</f>
        <v>Pendente e Caro</v>
      </c>
      <c r="H2136" s="89">
        <f>YEAR(Tabela1[[#This Row],[Data de Validade]])</f>
        <v>2028</v>
      </c>
      <c r="I2136" s="89">
        <f>MONTH(Tabela1[[#This Row],[Data de Validade]])</f>
        <v>1</v>
      </c>
      <c r="J2136" s="101">
        <v>52768</v>
      </c>
      <c r="K2136" s="87" t="s">
        <v>9</v>
      </c>
      <c r="L2136" s="108"/>
      <c r="M2136" s="108"/>
      <c r="N2136" s="108" t="str">
        <v>P116P968</v>
      </c>
      <c r="O2136" s="108">
        <f t="shared" si="35"/>
        <v>1</v>
      </c>
      <c r="P2136" s="108"/>
      <c r="Q2136"/>
    </row>
    <row r="2137" spans="1:17" x14ac:dyDescent="0.25">
      <c r="A2137" s="89" t="s">
        <v>4740</v>
      </c>
      <c r="B2137" s="87" t="s">
        <v>4741</v>
      </c>
      <c r="C2137" s="87" t="s">
        <v>13</v>
      </c>
      <c r="D2137" s="87" t="str">
        <f>VLOOKUP(Tabela1[[#This Row],[Origem]], 'Perguntas 1 a 24'!$J$28:$K$34, 2, 0)</f>
        <v>Sudeste</v>
      </c>
      <c r="E2137" s="87" t="str">
        <f>Tabela1[[#This Row],[Descrição]]&amp;"-"&amp;Tabela1[[#This Row],[Código]]&amp;"/"&amp;Tabela1[[#This Row],[Origem]]</f>
        <v>Rutiruru-P116P968/SP</v>
      </c>
      <c r="F2137" s="88">
        <v>46754</v>
      </c>
      <c r="G2137" s="88" t="str" cm="1">
        <f t="array" ref="G21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AND(F2137&gt;= DATE(2026,1,1), F2137&lt;= DATE(2028, 12, 31), J2137&gt;50000), "Pendente e Caro", AND(F2137&gt;= DATE(2026,1,1), F2137&lt;= DATE(2028, 12, 31), J2137&lt;=50000), "Pendente", F2137&gt;= DATE(2029,1,1), "Não prioeitário")</f>
        <v>Pendente</v>
      </c>
      <c r="H2137" s="89">
        <f>YEAR(Tabela1[[#This Row],[Data de Validade]])</f>
        <v>2028</v>
      </c>
      <c r="I2137" s="89">
        <f>MONTH(Tabela1[[#This Row],[Data de Validade]])</f>
        <v>1</v>
      </c>
      <c r="J2137" s="101">
        <v>36716</v>
      </c>
      <c r="K2137" s="87" t="s">
        <v>7</v>
      </c>
      <c r="L2137" s="108"/>
      <c r="M2137" s="108"/>
      <c r="N2137" s="108" t="str">
        <v>H682P969</v>
      </c>
      <c r="O2137" s="108">
        <f t="shared" si="35"/>
        <v>1</v>
      </c>
      <c r="P2137" s="108"/>
      <c r="Q2137"/>
    </row>
    <row r="2138" spans="1:17" x14ac:dyDescent="0.25">
      <c r="A2138" s="89" t="s">
        <v>10241</v>
      </c>
      <c r="B2138" s="87" t="s">
        <v>10242</v>
      </c>
      <c r="C2138" s="87" t="s">
        <v>13</v>
      </c>
      <c r="D2138" s="87" t="str">
        <f>VLOOKUP(Tabela1[[#This Row],[Origem]], 'Perguntas 1 a 24'!$J$28:$K$34, 2, 0)</f>
        <v>Sudeste</v>
      </c>
      <c r="E2138" s="87" t="str">
        <f>Tabela1[[#This Row],[Descrição]]&amp;"-"&amp;Tabela1[[#This Row],[Código]]&amp;"/"&amp;Tabela1[[#This Row],[Origem]]</f>
        <v>Fenadidu-H682P969/SP</v>
      </c>
      <c r="F2138" s="88">
        <v>46755</v>
      </c>
      <c r="G2138" s="88" t="str" cm="1">
        <f t="array" ref="G21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AND(F2138&gt;= DATE(2026,1,1), F2138&lt;= DATE(2028, 12, 31), J2138&gt;50000), "Pendente e Caro", AND(F2138&gt;= DATE(2026,1,1), F2138&lt;= DATE(2028, 12, 31), J2138&lt;=50000), "Pendente", F2138&gt;= DATE(2029,1,1), "Não prioeitário")</f>
        <v>Pendente e Caro</v>
      </c>
      <c r="H2138" s="89">
        <f>YEAR(Tabela1[[#This Row],[Data de Validade]])</f>
        <v>2028</v>
      </c>
      <c r="I2138" s="89">
        <f>MONTH(Tabela1[[#This Row],[Data de Validade]])</f>
        <v>1</v>
      </c>
      <c r="J2138" s="101">
        <v>63626</v>
      </c>
      <c r="K2138" s="87" t="s">
        <v>11</v>
      </c>
      <c r="L2138" s="108"/>
      <c r="M2138" s="108"/>
      <c r="N2138" s="108" t="str">
        <v>H622P841</v>
      </c>
      <c r="O2138" s="108">
        <f t="shared" si="35"/>
        <v>1</v>
      </c>
      <c r="P2138" s="108"/>
      <c r="Q2138"/>
    </row>
    <row r="2139" spans="1:17" x14ac:dyDescent="0.25">
      <c r="A2139" s="89" t="s">
        <v>9919</v>
      </c>
      <c r="B2139" s="87" t="s">
        <v>9920</v>
      </c>
      <c r="C2139" s="87" t="s">
        <v>12</v>
      </c>
      <c r="D2139" s="87" t="str">
        <f>VLOOKUP(Tabela1[[#This Row],[Origem]], 'Perguntas 1 a 24'!$J$28:$K$34, 2, 0)</f>
        <v>Sudeste</v>
      </c>
      <c r="E2139" s="87" t="str">
        <f>Tabela1[[#This Row],[Descrição]]&amp;"-"&amp;Tabela1[[#This Row],[Código]]&amp;"/"&amp;Tabela1[[#This Row],[Origem]]</f>
        <v>Tutipitaro-H622P841/RJ</v>
      </c>
      <c r="F2139" s="88">
        <v>46755</v>
      </c>
      <c r="G2139" s="88" t="str" cm="1">
        <f t="array" ref="G21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AND(F2139&gt;= DATE(2026,1,1), F2139&lt;= DATE(2028, 12, 31), J2139&gt;50000), "Pendente e Caro", AND(F2139&gt;= DATE(2026,1,1), F2139&lt;= DATE(2028, 12, 31), J2139&lt;=50000), "Pendente", F2139&gt;= DATE(2029,1,1), "Não prioeitário")</f>
        <v>Pendente e Caro</v>
      </c>
      <c r="H2139" s="89">
        <f>YEAR(Tabela1[[#This Row],[Data de Validade]])</f>
        <v>2028</v>
      </c>
      <c r="I2139" s="89">
        <f>MONTH(Tabela1[[#This Row],[Data de Validade]])</f>
        <v>1</v>
      </c>
      <c r="J2139" s="101">
        <v>57311</v>
      </c>
      <c r="K2139" s="87" t="s">
        <v>14</v>
      </c>
      <c r="L2139" s="108"/>
      <c r="M2139" s="108"/>
      <c r="N2139" s="108" t="str">
        <v>H917P816</v>
      </c>
      <c r="O2139" s="108">
        <f t="shared" si="35"/>
        <v>1</v>
      </c>
      <c r="P2139" s="108"/>
      <c r="Q2139"/>
    </row>
    <row r="2140" spans="1:17" x14ac:dyDescent="0.25">
      <c r="A2140" s="89" t="s">
        <v>8807</v>
      </c>
      <c r="B2140" s="87" t="s">
        <v>8808</v>
      </c>
      <c r="C2140" s="87" t="s">
        <v>6</v>
      </c>
      <c r="D2140" s="87" t="str">
        <f>VLOOKUP(Tabela1[[#This Row],[Origem]], 'Perguntas 1 a 24'!$J$28:$K$34, 2, 0)</f>
        <v>Nordeste</v>
      </c>
      <c r="E2140" s="87" t="str">
        <f>Tabela1[[#This Row],[Descrição]]&amp;"-"&amp;Tabela1[[#This Row],[Código]]&amp;"/"&amp;Tabela1[[#This Row],[Origem]]</f>
        <v>Micivanudi-H917P816/MA</v>
      </c>
      <c r="F2140" s="88">
        <v>46756</v>
      </c>
      <c r="G2140" s="88" t="str" cm="1">
        <f t="array" ref="G21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AND(F2140&gt;= DATE(2026,1,1), F2140&lt;= DATE(2028, 12, 31), J2140&gt;50000), "Pendente e Caro", AND(F2140&gt;= DATE(2026,1,1), F2140&lt;= DATE(2028, 12, 31), J2140&lt;=50000), "Pendente", F2140&gt;= DATE(2029,1,1), "Não prioeitário")</f>
        <v>Pendente</v>
      </c>
      <c r="H2140" s="89">
        <f>YEAR(Tabela1[[#This Row],[Data de Validade]])</f>
        <v>2028</v>
      </c>
      <c r="I2140" s="89">
        <f>MONTH(Tabela1[[#This Row],[Data de Validade]])</f>
        <v>1</v>
      </c>
      <c r="J2140" s="101">
        <v>26643</v>
      </c>
      <c r="K2140" s="87" t="s">
        <v>9</v>
      </c>
      <c r="L2140" s="108"/>
      <c r="M2140" s="108"/>
      <c r="N2140" s="108" t="str">
        <v>H354H418</v>
      </c>
      <c r="O2140" s="108">
        <f t="shared" si="35"/>
        <v>1</v>
      </c>
      <c r="P2140" s="108"/>
      <c r="Q2140"/>
    </row>
    <row r="2141" spans="1:17" x14ac:dyDescent="0.25">
      <c r="A2141" s="89" t="s">
        <v>10393</v>
      </c>
      <c r="B2141" s="87" t="s">
        <v>10394</v>
      </c>
      <c r="C2141" s="87" t="s">
        <v>16</v>
      </c>
      <c r="D2141" s="87" t="str">
        <f>VLOOKUP(Tabela1[[#This Row],[Origem]], 'Perguntas 1 a 24'!$J$28:$K$34, 2, 0)</f>
        <v>Sudeste</v>
      </c>
      <c r="E2141" s="87" t="str">
        <f>Tabela1[[#This Row],[Descrição]]&amp;"-"&amp;Tabela1[[#This Row],[Código]]&amp;"/"&amp;Tabela1[[#This Row],[Origem]]</f>
        <v>Tetovimi-H354H418/MG</v>
      </c>
      <c r="F2141" s="88">
        <v>46757</v>
      </c>
      <c r="G2141" s="88" t="str" cm="1">
        <f t="array" ref="G21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AND(F2141&gt;= DATE(2026,1,1), F2141&lt;= DATE(2028, 12, 31), J2141&gt;50000), "Pendente e Caro", AND(F2141&gt;= DATE(2026,1,1), F2141&lt;= DATE(2028, 12, 31), J2141&lt;=50000), "Pendente", F2141&gt;= DATE(2029,1,1), "Não prioeitário")</f>
        <v>Pendente e Caro</v>
      </c>
      <c r="H2141" s="89">
        <f>YEAR(Tabela1[[#This Row],[Data de Validade]])</f>
        <v>2028</v>
      </c>
      <c r="I2141" s="89">
        <f>MONTH(Tabela1[[#This Row],[Data de Validade]])</f>
        <v>1</v>
      </c>
      <c r="J2141" s="101">
        <v>103094</v>
      </c>
      <c r="K2141" s="87" t="s">
        <v>14</v>
      </c>
      <c r="L2141" s="108"/>
      <c r="M2141" s="108"/>
      <c r="N2141" s="108" t="str">
        <v>P594H515</v>
      </c>
      <c r="O2141" s="108">
        <f t="shared" si="35"/>
        <v>1</v>
      </c>
      <c r="P2141" s="108"/>
      <c r="Q2141"/>
    </row>
    <row r="2142" spans="1:17" x14ac:dyDescent="0.25">
      <c r="A2142" s="89" t="s">
        <v>7804</v>
      </c>
      <c r="B2142" s="87" t="s">
        <v>7805</v>
      </c>
      <c r="C2142" s="87" t="s">
        <v>16</v>
      </c>
      <c r="D2142" s="87" t="str">
        <f>VLOOKUP(Tabela1[[#This Row],[Origem]], 'Perguntas 1 a 24'!$J$28:$K$34, 2, 0)</f>
        <v>Sudeste</v>
      </c>
      <c r="E2142" s="87" t="str">
        <f>Tabela1[[#This Row],[Descrição]]&amp;"-"&amp;Tabela1[[#This Row],[Código]]&amp;"/"&amp;Tabela1[[#This Row],[Origem]]</f>
        <v>Revitepeva-P594H515/MG</v>
      </c>
      <c r="F2142" s="88">
        <v>46757</v>
      </c>
      <c r="G2142" s="88" t="str" cm="1">
        <f t="array" ref="G21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AND(F2142&gt;= DATE(2026,1,1), F2142&lt;= DATE(2028, 12, 31), J2142&gt;50000), "Pendente e Caro", AND(F2142&gt;= DATE(2026,1,1), F2142&lt;= DATE(2028, 12, 31), J2142&lt;=50000), "Pendente", F2142&gt;= DATE(2029,1,1), "Não prioeitário")</f>
        <v>Pendente</v>
      </c>
      <c r="H2142" s="89">
        <f>YEAR(Tabela1[[#This Row],[Data de Validade]])</f>
        <v>2028</v>
      </c>
      <c r="I2142" s="89">
        <f>MONTH(Tabela1[[#This Row],[Data de Validade]])</f>
        <v>1</v>
      </c>
      <c r="J2142" s="101">
        <v>48631</v>
      </c>
      <c r="K2142" s="87" t="s">
        <v>9</v>
      </c>
      <c r="L2142" s="108"/>
      <c r="M2142" s="108"/>
      <c r="N2142" s="108" t="str">
        <v>P383H632</v>
      </c>
      <c r="O2142" s="108">
        <f t="shared" si="35"/>
        <v>1</v>
      </c>
      <c r="P2142" s="108"/>
      <c r="Q2142"/>
    </row>
    <row r="2143" spans="1:17" x14ac:dyDescent="0.25">
      <c r="A2143" s="89" t="s">
        <v>3677</v>
      </c>
      <c r="B2143" s="87" t="s">
        <v>3678</v>
      </c>
      <c r="C2143" s="87" t="s">
        <v>6</v>
      </c>
      <c r="D2143" s="87" t="str">
        <f>VLOOKUP(Tabela1[[#This Row],[Origem]], 'Perguntas 1 a 24'!$J$28:$K$34, 2, 0)</f>
        <v>Nordeste</v>
      </c>
      <c r="E2143" s="87" t="str">
        <f>Tabela1[[#This Row],[Descrição]]&amp;"-"&amp;Tabela1[[#This Row],[Código]]&amp;"/"&amp;Tabela1[[#This Row],[Origem]]</f>
        <v>Povedefu-P383H632/MA</v>
      </c>
      <c r="F2143" s="88">
        <v>46759</v>
      </c>
      <c r="G2143" s="88" t="str" cm="1">
        <f t="array" ref="G21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AND(F2143&gt;= DATE(2026,1,1), F2143&lt;= DATE(2028, 12, 31), J2143&gt;50000), "Pendente e Caro", AND(F2143&gt;= DATE(2026,1,1), F2143&lt;= DATE(2028, 12, 31), J2143&lt;=50000), "Pendente", F2143&gt;= DATE(2029,1,1), "Não prioeitário")</f>
        <v>Pendente</v>
      </c>
      <c r="H2143" s="89">
        <f>YEAR(Tabela1[[#This Row],[Data de Validade]])</f>
        <v>2028</v>
      </c>
      <c r="I2143" s="89">
        <f>MONTH(Tabela1[[#This Row],[Data de Validade]])</f>
        <v>1</v>
      </c>
      <c r="J2143" s="101">
        <v>49685</v>
      </c>
      <c r="K2143" s="87" t="s">
        <v>14</v>
      </c>
      <c r="L2143" s="108"/>
      <c r="M2143" s="108"/>
      <c r="N2143" s="108" t="str">
        <v>H525H487</v>
      </c>
      <c r="O2143" s="108">
        <f t="shared" si="35"/>
        <v>1</v>
      </c>
      <c r="P2143" s="108"/>
      <c r="Q2143"/>
    </row>
    <row r="2144" spans="1:17" x14ac:dyDescent="0.25">
      <c r="A2144" s="89" t="s">
        <v>4686</v>
      </c>
      <c r="B2144" s="87" t="s">
        <v>4687</v>
      </c>
      <c r="C2144" s="87" t="s">
        <v>8</v>
      </c>
      <c r="D2144" s="87" t="str">
        <f>VLOOKUP(Tabela1[[#This Row],[Origem]], 'Perguntas 1 a 24'!$J$28:$K$34, 2, 0)</f>
        <v>Nordeste</v>
      </c>
      <c r="E2144" s="87" t="str">
        <f>Tabela1[[#This Row],[Descrição]]&amp;"-"&amp;Tabela1[[#This Row],[Código]]&amp;"/"&amp;Tabela1[[#This Row],[Origem]]</f>
        <v>Mifufa-H525H487/AL</v>
      </c>
      <c r="F2144" s="88">
        <v>46761</v>
      </c>
      <c r="G2144" s="88" t="str" cm="1">
        <f t="array" ref="G21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AND(F2144&gt;= DATE(2026,1,1), F2144&lt;= DATE(2028, 12, 31), J2144&gt;50000), "Pendente e Caro", AND(F2144&gt;= DATE(2026,1,1), F2144&lt;= DATE(2028, 12, 31), J2144&lt;=50000), "Pendente", F2144&gt;= DATE(2029,1,1), "Não prioeitário")</f>
        <v>Pendente e Caro</v>
      </c>
      <c r="H2144" s="89">
        <f>YEAR(Tabela1[[#This Row],[Data de Validade]])</f>
        <v>2028</v>
      </c>
      <c r="I2144" s="89">
        <f>MONTH(Tabela1[[#This Row],[Data de Validade]])</f>
        <v>1</v>
      </c>
      <c r="J2144" s="101">
        <v>83921</v>
      </c>
      <c r="K2144" s="87" t="s">
        <v>9</v>
      </c>
      <c r="L2144" s="108"/>
      <c r="M2144" s="108"/>
      <c r="N2144" s="108" t="str">
        <v>P221P471</v>
      </c>
      <c r="O2144" s="108">
        <f t="shared" si="35"/>
        <v>1</v>
      </c>
      <c r="P2144" s="108"/>
      <c r="Q2144"/>
    </row>
    <row r="2145" spans="1:17" x14ac:dyDescent="0.25">
      <c r="A2145" s="89" t="s">
        <v>10023</v>
      </c>
      <c r="B2145" s="87" t="s">
        <v>10024</v>
      </c>
      <c r="C2145" s="87" t="s">
        <v>15</v>
      </c>
      <c r="D2145" s="87" t="str">
        <f>VLOOKUP(Tabela1[[#This Row],[Origem]], 'Perguntas 1 a 24'!$J$28:$K$34, 2, 0)</f>
        <v>Sudeste</v>
      </c>
      <c r="E2145" s="87" t="str">
        <f>Tabela1[[#This Row],[Descrição]]&amp;"-"&amp;Tabela1[[#This Row],[Código]]&amp;"/"&amp;Tabela1[[#This Row],[Origem]]</f>
        <v>Tarerupofo-P221P471/ES</v>
      </c>
      <c r="F2145" s="88">
        <v>46763</v>
      </c>
      <c r="G2145" s="88" t="str" cm="1">
        <f t="array" ref="G21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AND(F2145&gt;= DATE(2026,1,1), F2145&lt;= DATE(2028, 12, 31), J2145&gt;50000), "Pendente e Caro", AND(F2145&gt;= DATE(2026,1,1), F2145&lt;= DATE(2028, 12, 31), J2145&lt;=50000), "Pendente", F2145&gt;= DATE(2029,1,1), "Não prioeitário")</f>
        <v>Pendente</v>
      </c>
      <c r="H2145" s="89">
        <f>YEAR(Tabela1[[#This Row],[Data de Validade]])</f>
        <v>2028</v>
      </c>
      <c r="I2145" s="89">
        <f>MONTH(Tabela1[[#This Row],[Data de Validade]])</f>
        <v>1</v>
      </c>
      <c r="J2145" s="101">
        <v>20373</v>
      </c>
      <c r="K2145" s="87" t="s">
        <v>7</v>
      </c>
      <c r="L2145" s="108"/>
      <c r="M2145" s="108"/>
      <c r="N2145" s="108" t="str">
        <v>H543H834</v>
      </c>
      <c r="O2145" s="108">
        <f t="shared" si="35"/>
        <v>1</v>
      </c>
      <c r="P2145" s="108"/>
      <c r="Q2145"/>
    </row>
    <row r="2146" spans="1:17" x14ac:dyDescent="0.25">
      <c r="A2146" s="89" t="s">
        <v>10429</v>
      </c>
      <c r="B2146" s="87" t="s">
        <v>10430</v>
      </c>
      <c r="C2146" s="87" t="s">
        <v>6</v>
      </c>
      <c r="D2146" s="87" t="str">
        <f>VLOOKUP(Tabela1[[#This Row],[Origem]], 'Perguntas 1 a 24'!$J$28:$K$34, 2, 0)</f>
        <v>Nordeste</v>
      </c>
      <c r="E2146" s="87" t="str">
        <f>Tabela1[[#This Row],[Descrição]]&amp;"-"&amp;Tabela1[[#This Row],[Código]]&amp;"/"&amp;Tabela1[[#This Row],[Origem]]</f>
        <v>Piripovu-H543H834/MA</v>
      </c>
      <c r="F2146" s="88">
        <v>46764</v>
      </c>
      <c r="G2146" s="88" t="str" cm="1">
        <f t="array" ref="G21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AND(F2146&gt;= DATE(2026,1,1), F2146&lt;= DATE(2028, 12, 31), J2146&gt;50000), "Pendente e Caro", AND(F2146&gt;= DATE(2026,1,1), F2146&lt;= DATE(2028, 12, 31), J2146&lt;=50000), "Pendente", F2146&gt;= DATE(2029,1,1), "Não prioeitário")</f>
        <v>Pendente e Caro</v>
      </c>
      <c r="H2146" s="89">
        <f>YEAR(Tabela1[[#This Row],[Data de Validade]])</f>
        <v>2028</v>
      </c>
      <c r="I2146" s="89">
        <f>MONTH(Tabela1[[#This Row],[Data de Validade]])</f>
        <v>1</v>
      </c>
      <c r="J2146" s="101">
        <v>98225</v>
      </c>
      <c r="K2146" s="87" t="s">
        <v>9</v>
      </c>
      <c r="L2146" s="108"/>
      <c r="M2146" s="108"/>
      <c r="N2146" s="108" t="str">
        <v>P511P715</v>
      </c>
      <c r="O2146" s="108">
        <f t="shared" si="35"/>
        <v>1</v>
      </c>
      <c r="P2146" s="108"/>
      <c r="Q2146"/>
    </row>
    <row r="2147" spans="1:17" x14ac:dyDescent="0.25">
      <c r="A2147" s="89" t="s">
        <v>4936</v>
      </c>
      <c r="B2147" s="87" t="s">
        <v>4937</v>
      </c>
      <c r="C2147" s="87" t="s">
        <v>10</v>
      </c>
      <c r="D2147" s="87" t="str">
        <f>VLOOKUP(Tabela1[[#This Row],[Origem]], 'Perguntas 1 a 24'!$J$28:$K$34, 2, 0)</f>
        <v>Centro-Oeste</v>
      </c>
      <c r="E2147" s="87" t="str">
        <f>Tabela1[[#This Row],[Descrição]]&amp;"-"&amp;Tabela1[[#This Row],[Código]]&amp;"/"&amp;Tabela1[[#This Row],[Origem]]</f>
        <v>Mulava-P511P715/GO</v>
      </c>
      <c r="F2147" s="88">
        <v>46765</v>
      </c>
      <c r="G2147" s="88" t="str" cm="1">
        <f t="array" ref="G21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AND(F2147&gt;= DATE(2026,1,1), F2147&lt;= DATE(2028, 12, 31), J2147&gt;50000), "Pendente e Caro", AND(F2147&gt;= DATE(2026,1,1), F2147&lt;= DATE(2028, 12, 31), J2147&lt;=50000), "Pendente", F2147&gt;= DATE(2029,1,1), "Não prioeitário")</f>
        <v>Pendente e Caro</v>
      </c>
      <c r="H2147" s="89">
        <f>YEAR(Tabela1[[#This Row],[Data de Validade]])</f>
        <v>2028</v>
      </c>
      <c r="I2147" s="89">
        <f>MONTH(Tabela1[[#This Row],[Data de Validade]])</f>
        <v>1</v>
      </c>
      <c r="J2147" s="101">
        <v>98842</v>
      </c>
      <c r="K2147" s="87" t="s">
        <v>7</v>
      </c>
      <c r="L2147" s="108"/>
      <c r="M2147" s="108"/>
      <c r="N2147" s="108" t="str">
        <v>H126P716</v>
      </c>
      <c r="O2147" s="108">
        <f t="shared" si="35"/>
        <v>1</v>
      </c>
      <c r="P2147" s="108"/>
      <c r="Q2147"/>
    </row>
    <row r="2148" spans="1:17" x14ac:dyDescent="0.25">
      <c r="A2148" s="89" t="s">
        <v>8615</v>
      </c>
      <c r="B2148" s="87" t="s">
        <v>8616</v>
      </c>
      <c r="C2148" s="87" t="s">
        <v>13</v>
      </c>
      <c r="D2148" s="87" t="str">
        <f>VLOOKUP(Tabela1[[#This Row],[Origem]], 'Perguntas 1 a 24'!$J$28:$K$34, 2, 0)</f>
        <v>Sudeste</v>
      </c>
      <c r="E2148" s="87" t="str">
        <f>Tabela1[[#This Row],[Descrição]]&amp;"-"&amp;Tabela1[[#This Row],[Código]]&amp;"/"&amp;Tabela1[[#This Row],[Origem]]</f>
        <v>Digugoleti-H126P716/SP</v>
      </c>
      <c r="F2148" s="88">
        <v>46766</v>
      </c>
      <c r="G2148" s="88" t="str" cm="1">
        <f t="array" ref="G21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AND(F2148&gt;= DATE(2026,1,1), F2148&lt;= DATE(2028, 12, 31), J2148&gt;50000), "Pendente e Caro", AND(F2148&gt;= DATE(2026,1,1), F2148&lt;= DATE(2028, 12, 31), J2148&lt;=50000), "Pendente", F2148&gt;= DATE(2029,1,1), "Não prioeitário")</f>
        <v>Pendente e Caro</v>
      </c>
      <c r="H2148" s="89">
        <f>YEAR(Tabela1[[#This Row],[Data de Validade]])</f>
        <v>2028</v>
      </c>
      <c r="I2148" s="89">
        <f>MONTH(Tabela1[[#This Row],[Data de Validade]])</f>
        <v>1</v>
      </c>
      <c r="J2148" s="101">
        <v>60853</v>
      </c>
      <c r="K2148" s="87" t="s">
        <v>11</v>
      </c>
      <c r="L2148" s="108"/>
      <c r="M2148" s="108"/>
      <c r="N2148" s="108" t="str">
        <v>H329P583</v>
      </c>
      <c r="O2148" s="108">
        <f t="shared" si="35"/>
        <v>1</v>
      </c>
      <c r="P2148" s="108"/>
      <c r="Q2148"/>
    </row>
    <row r="2149" spans="1:17" x14ac:dyDescent="0.25">
      <c r="A2149" s="89" t="s">
        <v>4285</v>
      </c>
      <c r="B2149" s="87" t="s">
        <v>4286</v>
      </c>
      <c r="C2149" s="87" t="s">
        <v>12</v>
      </c>
      <c r="D2149" s="87" t="str">
        <f>VLOOKUP(Tabela1[[#This Row],[Origem]], 'Perguntas 1 a 24'!$J$28:$K$34, 2, 0)</f>
        <v>Sudeste</v>
      </c>
      <c r="E2149" s="87" t="str">
        <f>Tabela1[[#This Row],[Descrição]]&amp;"-"&amp;Tabela1[[#This Row],[Código]]&amp;"/"&amp;Tabela1[[#This Row],[Origem]]</f>
        <v>Gidupa-H329P583/RJ</v>
      </c>
      <c r="F2149" s="88">
        <v>46766</v>
      </c>
      <c r="G2149" s="88" t="str" cm="1">
        <f t="array" ref="G21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AND(F2149&gt;= DATE(2026,1,1), F2149&lt;= DATE(2028, 12, 31), J2149&gt;50000), "Pendente e Caro", AND(F2149&gt;= DATE(2026,1,1), F2149&lt;= DATE(2028, 12, 31), J2149&lt;=50000), "Pendente", F2149&gt;= DATE(2029,1,1), "Não prioeitário")</f>
        <v>Pendente e Caro</v>
      </c>
      <c r="H2149" s="89">
        <f>YEAR(Tabela1[[#This Row],[Data de Validade]])</f>
        <v>2028</v>
      </c>
      <c r="I2149" s="89">
        <f>MONTH(Tabela1[[#This Row],[Data de Validade]])</f>
        <v>1</v>
      </c>
      <c r="J2149" s="101">
        <v>53815</v>
      </c>
      <c r="K2149" s="87" t="s">
        <v>7</v>
      </c>
      <c r="L2149" s="108"/>
      <c r="M2149" s="108"/>
      <c r="N2149" s="108" t="str">
        <v>P622H499</v>
      </c>
      <c r="O2149" s="108">
        <f t="shared" si="35"/>
        <v>1</v>
      </c>
      <c r="P2149" s="108"/>
      <c r="Q2149"/>
    </row>
    <row r="2150" spans="1:17" x14ac:dyDescent="0.25">
      <c r="A2150" s="89" t="s">
        <v>6094</v>
      </c>
      <c r="B2150" s="87" t="s">
        <v>6095</v>
      </c>
      <c r="C2150" s="87" t="s">
        <v>15</v>
      </c>
      <c r="D2150" s="87" t="str">
        <f>VLOOKUP(Tabela1[[#This Row],[Origem]], 'Perguntas 1 a 24'!$J$28:$K$34, 2, 0)</f>
        <v>Sudeste</v>
      </c>
      <c r="E2150" s="87" t="str">
        <f>Tabela1[[#This Row],[Descrição]]&amp;"-"&amp;Tabela1[[#This Row],[Código]]&amp;"/"&amp;Tabela1[[#This Row],[Origem]]</f>
        <v>Nuparufacu-P622H499/ES</v>
      </c>
      <c r="F2150" s="88">
        <v>46766</v>
      </c>
      <c r="G2150" s="88" t="str" cm="1">
        <f t="array" ref="G21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AND(F2150&gt;= DATE(2026,1,1), F2150&lt;= DATE(2028, 12, 31), J2150&gt;50000), "Pendente e Caro", AND(F2150&gt;= DATE(2026,1,1), F2150&lt;= DATE(2028, 12, 31), J2150&lt;=50000), "Pendente", F2150&gt;= DATE(2029,1,1), "Não prioeitário")</f>
        <v>Pendente</v>
      </c>
      <c r="H2150" s="89">
        <f>YEAR(Tabela1[[#This Row],[Data de Validade]])</f>
        <v>2028</v>
      </c>
      <c r="I2150" s="89">
        <f>MONTH(Tabela1[[#This Row],[Data de Validade]])</f>
        <v>1</v>
      </c>
      <c r="J2150" s="101">
        <v>21631</v>
      </c>
      <c r="K2150" s="87" t="s">
        <v>7</v>
      </c>
      <c r="L2150" s="108"/>
      <c r="M2150" s="108"/>
      <c r="N2150" s="108" t="str">
        <v>P854H188</v>
      </c>
      <c r="O2150" s="108">
        <f t="shared" si="35"/>
        <v>1</v>
      </c>
      <c r="P2150" s="108"/>
      <c r="Q2150"/>
    </row>
    <row r="2151" spans="1:17" x14ac:dyDescent="0.25">
      <c r="A2151" s="89" t="s">
        <v>9643</v>
      </c>
      <c r="B2151" s="87" t="s">
        <v>9644</v>
      </c>
      <c r="C2151" s="87" t="s">
        <v>8</v>
      </c>
      <c r="D2151" s="87" t="str">
        <f>VLOOKUP(Tabela1[[#This Row],[Origem]], 'Perguntas 1 a 24'!$J$28:$K$34, 2, 0)</f>
        <v>Nordeste</v>
      </c>
      <c r="E2151" s="87" t="str">
        <f>Tabela1[[#This Row],[Descrição]]&amp;"-"&amp;Tabela1[[#This Row],[Código]]&amp;"/"&amp;Tabela1[[#This Row],[Origem]]</f>
        <v>Vogupumo-P854H188/AL</v>
      </c>
      <c r="F2151" s="88">
        <v>46767</v>
      </c>
      <c r="G2151" s="88" t="str" cm="1">
        <f t="array" ref="G21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AND(F2151&gt;= DATE(2026,1,1), F2151&lt;= DATE(2028, 12, 31), J2151&gt;50000), "Pendente e Caro", AND(F2151&gt;= DATE(2026,1,1), F2151&lt;= DATE(2028, 12, 31), J2151&lt;=50000), "Pendente", F2151&gt;= DATE(2029,1,1), "Não prioeitário")</f>
        <v>Pendente</v>
      </c>
      <c r="H2151" s="89">
        <f>YEAR(Tabela1[[#This Row],[Data de Validade]])</f>
        <v>2028</v>
      </c>
      <c r="I2151" s="89">
        <f>MONTH(Tabela1[[#This Row],[Data de Validade]])</f>
        <v>1</v>
      </c>
      <c r="J2151" s="101">
        <v>47447</v>
      </c>
      <c r="K2151" s="87" t="s">
        <v>9</v>
      </c>
      <c r="L2151" s="108"/>
      <c r="M2151" s="108"/>
      <c r="N2151" s="108" t="str">
        <v>H954P638</v>
      </c>
      <c r="O2151" s="108">
        <f t="shared" si="35"/>
        <v>1</v>
      </c>
      <c r="P2151" s="108"/>
      <c r="Q2151"/>
    </row>
    <row r="2152" spans="1:17" x14ac:dyDescent="0.25">
      <c r="A2152" s="89" t="s">
        <v>10827</v>
      </c>
      <c r="B2152" s="87" t="s">
        <v>10828</v>
      </c>
      <c r="C2152" s="87" t="s">
        <v>15</v>
      </c>
      <c r="D2152" s="87" t="str">
        <f>VLOOKUP(Tabela1[[#This Row],[Origem]], 'Perguntas 1 a 24'!$J$28:$K$34, 2, 0)</f>
        <v>Sudeste</v>
      </c>
      <c r="E2152" s="87" t="str">
        <f>Tabela1[[#This Row],[Descrição]]&amp;"-"&amp;Tabela1[[#This Row],[Código]]&amp;"/"&amp;Tabela1[[#This Row],[Origem]]</f>
        <v>Miporiti-H954P638/ES</v>
      </c>
      <c r="F2152" s="88">
        <v>46768</v>
      </c>
      <c r="G2152" s="88" t="str" cm="1">
        <f t="array" ref="G21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AND(F2152&gt;= DATE(2026,1,1), F2152&lt;= DATE(2028, 12, 31), J2152&gt;50000), "Pendente e Caro", AND(F2152&gt;= DATE(2026,1,1), F2152&lt;= DATE(2028, 12, 31), J2152&lt;=50000), "Pendente", F2152&gt;= DATE(2029,1,1), "Não prioeitário")</f>
        <v>Pendente e Caro</v>
      </c>
      <c r="H2152" s="89">
        <f>YEAR(Tabela1[[#This Row],[Data de Validade]])</f>
        <v>2028</v>
      </c>
      <c r="I2152" s="89">
        <f>MONTH(Tabela1[[#This Row],[Data de Validade]])</f>
        <v>1</v>
      </c>
      <c r="J2152" s="101">
        <v>79724</v>
      </c>
      <c r="K2152" s="87" t="s">
        <v>14</v>
      </c>
      <c r="L2152" s="108"/>
      <c r="M2152" s="108"/>
      <c r="N2152" s="108" t="str">
        <v>P153H977</v>
      </c>
      <c r="O2152" s="108">
        <f t="shared" si="35"/>
        <v>1</v>
      </c>
      <c r="P2152" s="108"/>
      <c r="Q2152"/>
    </row>
    <row r="2153" spans="1:17" x14ac:dyDescent="0.25">
      <c r="A2153" s="89" t="s">
        <v>7732</v>
      </c>
      <c r="B2153" s="87" t="s">
        <v>7733</v>
      </c>
      <c r="C2153" s="87" t="s">
        <v>13</v>
      </c>
      <c r="D2153" s="87" t="str">
        <f>VLOOKUP(Tabela1[[#This Row],[Origem]], 'Perguntas 1 a 24'!$J$28:$K$34, 2, 0)</f>
        <v>Sudeste</v>
      </c>
      <c r="E2153" s="87" t="str">
        <f>Tabela1[[#This Row],[Descrição]]&amp;"-"&amp;Tabela1[[#This Row],[Código]]&amp;"/"&amp;Tabela1[[#This Row],[Origem]]</f>
        <v>Nifirivita-P153H977/SP</v>
      </c>
      <c r="F2153" s="88">
        <v>46769</v>
      </c>
      <c r="G2153" s="88" t="str" cm="1">
        <f t="array" ref="G21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AND(F2153&gt;= DATE(2026,1,1), F2153&lt;= DATE(2028, 12, 31), J2153&gt;50000), "Pendente e Caro", AND(F2153&gt;= DATE(2026,1,1), F2153&lt;= DATE(2028, 12, 31), J2153&lt;=50000), "Pendente", F2153&gt;= DATE(2029,1,1), "Não prioeitário")</f>
        <v>Pendente e Caro</v>
      </c>
      <c r="H2153" s="89">
        <f>YEAR(Tabela1[[#This Row],[Data de Validade]])</f>
        <v>2028</v>
      </c>
      <c r="I2153" s="89">
        <f>MONTH(Tabela1[[#This Row],[Data de Validade]])</f>
        <v>1</v>
      </c>
      <c r="J2153" s="101">
        <v>111279</v>
      </c>
      <c r="K2153" s="87" t="s">
        <v>14</v>
      </c>
      <c r="L2153" s="108"/>
      <c r="M2153" s="108"/>
      <c r="N2153" s="108" t="str">
        <v>P996P577</v>
      </c>
      <c r="O2153" s="108">
        <f t="shared" si="35"/>
        <v>1</v>
      </c>
      <c r="P2153" s="108"/>
      <c r="Q2153"/>
    </row>
    <row r="2154" spans="1:17" x14ac:dyDescent="0.25">
      <c r="A2154" s="89" t="s">
        <v>8434</v>
      </c>
      <c r="B2154" s="87" t="s">
        <v>8435</v>
      </c>
      <c r="C2154" s="87" t="s">
        <v>8</v>
      </c>
      <c r="D2154" s="87" t="str">
        <f>VLOOKUP(Tabela1[[#This Row],[Origem]], 'Perguntas 1 a 24'!$J$28:$K$34, 2, 0)</f>
        <v>Nordeste</v>
      </c>
      <c r="E2154" s="87" t="str">
        <f>Tabela1[[#This Row],[Descrição]]&amp;"-"&amp;Tabela1[[#This Row],[Código]]&amp;"/"&amp;Tabela1[[#This Row],[Origem]]</f>
        <v>Vavecari-P996P577/AL</v>
      </c>
      <c r="F2154" s="88">
        <v>46769</v>
      </c>
      <c r="G2154" s="88" t="str" cm="1">
        <f t="array" ref="G21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AND(F2154&gt;= DATE(2026,1,1), F2154&lt;= DATE(2028, 12, 31), J2154&gt;50000), "Pendente e Caro", AND(F2154&gt;= DATE(2026,1,1), F2154&lt;= DATE(2028, 12, 31), J2154&lt;=50000), "Pendente", F2154&gt;= DATE(2029,1,1), "Não prioeitário")</f>
        <v>Pendente</v>
      </c>
      <c r="H2154" s="89">
        <f>YEAR(Tabela1[[#This Row],[Data de Validade]])</f>
        <v>2028</v>
      </c>
      <c r="I2154" s="89">
        <f>MONTH(Tabela1[[#This Row],[Data de Validade]])</f>
        <v>1</v>
      </c>
      <c r="J2154" s="101">
        <v>35981</v>
      </c>
      <c r="K2154" s="87" t="s">
        <v>9</v>
      </c>
      <c r="L2154" s="108"/>
      <c r="M2154" s="108"/>
      <c r="N2154" s="108" t="str">
        <v>P788H647</v>
      </c>
      <c r="O2154" s="108">
        <f t="shared" si="35"/>
        <v>1</v>
      </c>
      <c r="P2154" s="108"/>
      <c r="Q2154"/>
    </row>
    <row r="2155" spans="1:17" x14ac:dyDescent="0.25">
      <c r="A2155" s="89" t="s">
        <v>10033</v>
      </c>
      <c r="B2155" s="87" t="s">
        <v>10034</v>
      </c>
      <c r="C2155" s="87" t="s">
        <v>13</v>
      </c>
      <c r="D2155" s="87" t="str">
        <f>VLOOKUP(Tabela1[[#This Row],[Origem]], 'Perguntas 1 a 24'!$J$28:$K$34, 2, 0)</f>
        <v>Sudeste</v>
      </c>
      <c r="E2155" s="87" t="str">
        <f>Tabela1[[#This Row],[Descrição]]&amp;"-"&amp;Tabela1[[#This Row],[Código]]&amp;"/"&amp;Tabela1[[#This Row],[Origem]]</f>
        <v>Vovivi-P788H647/SP</v>
      </c>
      <c r="F2155" s="88">
        <v>46769</v>
      </c>
      <c r="G2155" s="88" t="str" cm="1">
        <f t="array" ref="G21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AND(F2155&gt;= DATE(2026,1,1), F2155&lt;= DATE(2028, 12, 31), J2155&gt;50000), "Pendente e Caro", AND(F2155&gt;= DATE(2026,1,1), F2155&lt;= DATE(2028, 12, 31), J2155&lt;=50000), "Pendente", F2155&gt;= DATE(2029,1,1), "Não prioeitário")</f>
        <v>Pendente</v>
      </c>
      <c r="H2155" s="89">
        <f>YEAR(Tabela1[[#This Row],[Data de Validade]])</f>
        <v>2028</v>
      </c>
      <c r="I2155" s="89">
        <f>MONTH(Tabela1[[#This Row],[Data de Validade]])</f>
        <v>1</v>
      </c>
      <c r="J2155" s="101">
        <v>21382</v>
      </c>
      <c r="K2155" s="87" t="s">
        <v>9</v>
      </c>
      <c r="L2155" s="108"/>
      <c r="M2155" s="108"/>
      <c r="N2155" s="108" t="str">
        <v>H298P268</v>
      </c>
      <c r="O2155" s="108">
        <f t="shared" si="35"/>
        <v>1</v>
      </c>
      <c r="P2155" s="108"/>
      <c r="Q2155"/>
    </row>
    <row r="2156" spans="1:17" x14ac:dyDescent="0.25">
      <c r="A2156" s="89" t="s">
        <v>10973</v>
      </c>
      <c r="B2156" s="87" t="s">
        <v>20</v>
      </c>
      <c r="C2156" s="87" t="s">
        <v>10</v>
      </c>
      <c r="D2156" s="87" t="str">
        <f>VLOOKUP(Tabela1[[#This Row],[Origem]], 'Perguntas 1 a 24'!$J$28:$K$34, 2, 0)</f>
        <v>Centro-Oeste</v>
      </c>
      <c r="E2156" s="87" t="str">
        <f>Tabela1[[#This Row],[Descrição]]&amp;"-"&amp;Tabela1[[#This Row],[Código]]&amp;"/"&amp;Tabela1[[#This Row],[Origem]]</f>
        <v>Vidipu-H298P268/GO</v>
      </c>
      <c r="F2156" s="88">
        <v>46770</v>
      </c>
      <c r="G2156" s="88" t="str" cm="1">
        <f t="array" ref="G21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AND(F2156&gt;= DATE(2026,1,1), F2156&lt;= DATE(2028, 12, 31), J2156&gt;50000), "Pendente e Caro", AND(F2156&gt;= DATE(2026,1,1), F2156&lt;= DATE(2028, 12, 31), J2156&lt;=50000), "Pendente", F2156&gt;= DATE(2029,1,1), "Não prioeitário")</f>
        <v>Pendente e Caro</v>
      </c>
      <c r="H2156" s="89">
        <f>YEAR(Tabela1[[#This Row],[Data de Validade]])</f>
        <v>2028</v>
      </c>
      <c r="I2156" s="89">
        <f>MONTH(Tabela1[[#This Row],[Data de Validade]])</f>
        <v>1</v>
      </c>
      <c r="J2156" s="101">
        <v>119088</v>
      </c>
      <c r="K2156" s="87" t="s">
        <v>9</v>
      </c>
      <c r="L2156" s="108"/>
      <c r="M2156" s="108"/>
      <c r="N2156" s="108" t="str">
        <v>P153P638</v>
      </c>
      <c r="O2156" s="108">
        <f t="shared" si="35"/>
        <v>1</v>
      </c>
      <c r="P2156" s="108"/>
      <c r="Q2156"/>
    </row>
    <row r="2157" spans="1:17" x14ac:dyDescent="0.25">
      <c r="A2157" s="89" t="s">
        <v>6478</v>
      </c>
      <c r="B2157" s="87" t="s">
        <v>6479</v>
      </c>
      <c r="C2157" s="87" t="s">
        <v>8</v>
      </c>
      <c r="D2157" s="87" t="str">
        <f>VLOOKUP(Tabela1[[#This Row],[Origem]], 'Perguntas 1 a 24'!$J$28:$K$34, 2, 0)</f>
        <v>Nordeste</v>
      </c>
      <c r="E2157" s="87" t="str">
        <f>Tabela1[[#This Row],[Descrição]]&amp;"-"&amp;Tabela1[[#This Row],[Código]]&amp;"/"&amp;Tabela1[[#This Row],[Origem]]</f>
        <v>Nilinipiru-P153P638/AL</v>
      </c>
      <c r="F2157" s="88">
        <v>46770</v>
      </c>
      <c r="G2157" s="88" t="str" cm="1">
        <f t="array" ref="G21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AND(F2157&gt;= DATE(2026,1,1), F2157&lt;= DATE(2028, 12, 31), J2157&gt;50000), "Pendente e Caro", AND(F2157&gt;= DATE(2026,1,1), F2157&lt;= DATE(2028, 12, 31), J2157&lt;=50000), "Pendente", F2157&gt;= DATE(2029,1,1), "Não prioeitário")</f>
        <v>Pendente e Caro</v>
      </c>
      <c r="H2157" s="89">
        <f>YEAR(Tabela1[[#This Row],[Data de Validade]])</f>
        <v>2028</v>
      </c>
      <c r="I2157" s="89">
        <f>MONTH(Tabela1[[#This Row],[Data de Validade]])</f>
        <v>1</v>
      </c>
      <c r="J2157" s="101">
        <v>115536</v>
      </c>
      <c r="K2157" s="87" t="s">
        <v>9</v>
      </c>
      <c r="L2157" s="108"/>
      <c r="M2157" s="108"/>
      <c r="N2157" s="108" t="str">
        <v>P849H681</v>
      </c>
      <c r="O2157" s="108">
        <f t="shared" si="35"/>
        <v>1</v>
      </c>
      <c r="P2157" s="108"/>
      <c r="Q2157"/>
    </row>
    <row r="2158" spans="1:17" x14ac:dyDescent="0.25">
      <c r="A2158" s="89" t="s">
        <v>8771</v>
      </c>
      <c r="B2158" s="87" t="s">
        <v>8772</v>
      </c>
      <c r="C2158" s="87" t="s">
        <v>8</v>
      </c>
      <c r="D2158" s="87" t="str">
        <f>VLOOKUP(Tabela1[[#This Row],[Origem]], 'Perguntas 1 a 24'!$J$28:$K$34, 2, 0)</f>
        <v>Nordeste</v>
      </c>
      <c r="E2158" s="87" t="str">
        <f>Tabela1[[#This Row],[Descrição]]&amp;"-"&amp;Tabela1[[#This Row],[Código]]&amp;"/"&amp;Tabela1[[#This Row],[Origem]]</f>
        <v>Pacatoco-P849H681/AL</v>
      </c>
      <c r="F2158" s="88">
        <v>46770</v>
      </c>
      <c r="G2158" s="88" t="str" cm="1">
        <f t="array" ref="G21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AND(F2158&gt;= DATE(2026,1,1), F2158&lt;= DATE(2028, 12, 31), J2158&gt;50000), "Pendente e Caro", AND(F2158&gt;= DATE(2026,1,1), F2158&lt;= DATE(2028, 12, 31), J2158&lt;=50000), "Pendente", F2158&gt;= DATE(2029,1,1), "Não prioeitário")</f>
        <v>Pendente e Caro</v>
      </c>
      <c r="H2158" s="89">
        <f>YEAR(Tabela1[[#This Row],[Data de Validade]])</f>
        <v>2028</v>
      </c>
      <c r="I2158" s="89">
        <f>MONTH(Tabela1[[#This Row],[Data de Validade]])</f>
        <v>1</v>
      </c>
      <c r="J2158" s="101">
        <v>114472</v>
      </c>
      <c r="K2158" s="87" t="s">
        <v>11</v>
      </c>
      <c r="L2158" s="108"/>
      <c r="M2158" s="108"/>
      <c r="N2158" s="108" t="str">
        <v>H931H162</v>
      </c>
      <c r="O2158" s="108">
        <f t="shared" si="35"/>
        <v>1</v>
      </c>
      <c r="P2158" s="108"/>
      <c r="Q2158"/>
    </row>
    <row r="2159" spans="1:17" x14ac:dyDescent="0.25">
      <c r="A2159" s="89" t="s">
        <v>10881</v>
      </c>
      <c r="B2159" s="87" t="s">
        <v>10882</v>
      </c>
      <c r="C2159" s="87" t="s">
        <v>6</v>
      </c>
      <c r="D2159" s="87" t="str">
        <f>VLOOKUP(Tabela1[[#This Row],[Origem]], 'Perguntas 1 a 24'!$J$28:$K$34, 2, 0)</f>
        <v>Nordeste</v>
      </c>
      <c r="E2159" s="87" t="str">
        <f>Tabela1[[#This Row],[Descrição]]&amp;"-"&amp;Tabela1[[#This Row],[Código]]&amp;"/"&amp;Tabela1[[#This Row],[Origem]]</f>
        <v>Dovuve-H931H162/MA</v>
      </c>
      <c r="F2159" s="88">
        <v>46770</v>
      </c>
      <c r="G2159" s="88" t="str" cm="1">
        <f t="array" ref="G21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AND(F2159&gt;= DATE(2026,1,1), F2159&lt;= DATE(2028, 12, 31), J2159&gt;50000), "Pendente e Caro", AND(F2159&gt;= DATE(2026,1,1), F2159&lt;= DATE(2028, 12, 31), J2159&lt;=50000), "Pendente", F2159&gt;= DATE(2029,1,1), "Não prioeitário")</f>
        <v>Pendente e Caro</v>
      </c>
      <c r="H2159" s="89">
        <f>YEAR(Tabela1[[#This Row],[Data de Validade]])</f>
        <v>2028</v>
      </c>
      <c r="I2159" s="89">
        <f>MONTH(Tabela1[[#This Row],[Data de Validade]])</f>
        <v>1</v>
      </c>
      <c r="J2159" s="101">
        <v>113448</v>
      </c>
      <c r="K2159" s="87" t="s">
        <v>7</v>
      </c>
      <c r="L2159" s="108"/>
      <c r="M2159" s="108"/>
      <c r="N2159" s="108" t="str">
        <v>H715H628</v>
      </c>
      <c r="O2159" s="108">
        <f t="shared" si="35"/>
        <v>1</v>
      </c>
      <c r="P2159" s="108"/>
      <c r="Q2159"/>
    </row>
    <row r="2160" spans="1:17" x14ac:dyDescent="0.25">
      <c r="A2160" s="89" t="s">
        <v>7940</v>
      </c>
      <c r="B2160" s="87" t="s">
        <v>7941</v>
      </c>
      <c r="C2160" s="87" t="s">
        <v>10</v>
      </c>
      <c r="D2160" s="87" t="str">
        <f>VLOOKUP(Tabela1[[#This Row],[Origem]], 'Perguntas 1 a 24'!$J$28:$K$34, 2, 0)</f>
        <v>Centro-Oeste</v>
      </c>
      <c r="E2160" s="87" t="str">
        <f>Tabela1[[#This Row],[Descrição]]&amp;"-"&amp;Tabela1[[#This Row],[Código]]&amp;"/"&amp;Tabela1[[#This Row],[Origem]]</f>
        <v>Rigoripa-H715H628/GO</v>
      </c>
      <c r="F2160" s="88">
        <v>46772</v>
      </c>
      <c r="G2160" s="88" t="str" cm="1">
        <f t="array" ref="G21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AND(F2160&gt;= DATE(2026,1,1), F2160&lt;= DATE(2028, 12, 31), J2160&gt;50000), "Pendente e Caro", AND(F2160&gt;= DATE(2026,1,1), F2160&lt;= DATE(2028, 12, 31), J2160&lt;=50000), "Pendente", F2160&gt;= DATE(2029,1,1), "Não prioeitário")</f>
        <v>Pendente</v>
      </c>
      <c r="H2160" s="89">
        <f>YEAR(Tabela1[[#This Row],[Data de Validade]])</f>
        <v>2028</v>
      </c>
      <c r="I2160" s="89">
        <f>MONTH(Tabela1[[#This Row],[Data de Validade]])</f>
        <v>1</v>
      </c>
      <c r="J2160" s="101">
        <v>46508</v>
      </c>
      <c r="K2160" s="87" t="s">
        <v>11</v>
      </c>
      <c r="L2160" s="108"/>
      <c r="M2160" s="108"/>
      <c r="N2160" s="108" t="str">
        <v>H569H663</v>
      </c>
      <c r="O2160" s="108">
        <f t="shared" si="35"/>
        <v>1</v>
      </c>
      <c r="P2160" s="108"/>
      <c r="Q2160"/>
    </row>
    <row r="2161" spans="1:17" x14ac:dyDescent="0.25">
      <c r="A2161" s="89" t="s">
        <v>9463</v>
      </c>
      <c r="B2161" s="87" t="s">
        <v>9464</v>
      </c>
      <c r="C2161" s="87" t="s">
        <v>13</v>
      </c>
      <c r="D2161" s="87" t="str">
        <f>VLOOKUP(Tabela1[[#This Row],[Origem]], 'Perguntas 1 a 24'!$J$28:$K$34, 2, 0)</f>
        <v>Sudeste</v>
      </c>
      <c r="E2161" s="87" t="str">
        <f>Tabela1[[#This Row],[Descrição]]&amp;"-"&amp;Tabela1[[#This Row],[Código]]&amp;"/"&amp;Tabela1[[#This Row],[Origem]]</f>
        <v>Cufepa-H569H663/SP</v>
      </c>
      <c r="F2161" s="88">
        <v>46773</v>
      </c>
      <c r="G2161" s="88" t="str" cm="1">
        <f t="array" ref="G21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AND(F2161&gt;= DATE(2026,1,1), F2161&lt;= DATE(2028, 12, 31), J2161&gt;50000), "Pendente e Caro", AND(F2161&gt;= DATE(2026,1,1), F2161&lt;= DATE(2028, 12, 31), J2161&lt;=50000), "Pendente", F2161&gt;= DATE(2029,1,1), "Não prioeitário")</f>
        <v>Pendente e Caro</v>
      </c>
      <c r="H2161" s="89">
        <f>YEAR(Tabela1[[#This Row],[Data de Validade]])</f>
        <v>2028</v>
      </c>
      <c r="I2161" s="89">
        <f>MONTH(Tabela1[[#This Row],[Data de Validade]])</f>
        <v>1</v>
      </c>
      <c r="J2161" s="101">
        <v>67999</v>
      </c>
      <c r="K2161" s="87" t="s">
        <v>14</v>
      </c>
      <c r="L2161" s="108"/>
      <c r="M2161" s="108"/>
      <c r="N2161" s="108" t="str">
        <v>H698P813</v>
      </c>
      <c r="O2161" s="108">
        <f t="shared" si="35"/>
        <v>1</v>
      </c>
      <c r="P2161" s="108"/>
      <c r="Q2161"/>
    </row>
    <row r="2162" spans="1:17" x14ac:dyDescent="0.25">
      <c r="A2162" s="89" t="s">
        <v>10167</v>
      </c>
      <c r="B2162" s="87" t="s">
        <v>10168</v>
      </c>
      <c r="C2162" s="87" t="s">
        <v>6</v>
      </c>
      <c r="D2162" s="87" t="str">
        <f>VLOOKUP(Tabela1[[#This Row],[Origem]], 'Perguntas 1 a 24'!$J$28:$K$34, 2, 0)</f>
        <v>Nordeste</v>
      </c>
      <c r="E2162" s="87" t="str">
        <f>Tabela1[[#This Row],[Descrição]]&amp;"-"&amp;Tabela1[[#This Row],[Código]]&amp;"/"&amp;Tabela1[[#This Row],[Origem]]</f>
        <v>Golatafupa-H698P813/MA</v>
      </c>
      <c r="F2162" s="88">
        <v>46774</v>
      </c>
      <c r="G2162" s="88" t="str" cm="1">
        <f t="array" ref="G21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AND(F2162&gt;= DATE(2026,1,1), F2162&lt;= DATE(2028, 12, 31), J2162&gt;50000), "Pendente e Caro", AND(F2162&gt;= DATE(2026,1,1), F2162&lt;= DATE(2028, 12, 31), J2162&lt;=50000), "Pendente", F2162&gt;= DATE(2029,1,1), "Não prioeitário")</f>
        <v>Pendente e Caro</v>
      </c>
      <c r="H2162" s="89">
        <f>YEAR(Tabela1[[#This Row],[Data de Validade]])</f>
        <v>2028</v>
      </c>
      <c r="I2162" s="89">
        <f>MONTH(Tabela1[[#This Row],[Data de Validade]])</f>
        <v>1</v>
      </c>
      <c r="J2162" s="101">
        <v>87779</v>
      </c>
      <c r="K2162" s="87" t="s">
        <v>9</v>
      </c>
      <c r="L2162" s="108"/>
      <c r="M2162" s="108"/>
      <c r="N2162" s="108" t="str">
        <v>H449P211</v>
      </c>
      <c r="O2162" s="108">
        <f t="shared" si="35"/>
        <v>1</v>
      </c>
      <c r="P2162" s="108"/>
      <c r="Q2162"/>
    </row>
    <row r="2163" spans="1:17" x14ac:dyDescent="0.25">
      <c r="A2163" s="89" t="s">
        <v>11172</v>
      </c>
      <c r="B2163" s="87" t="s">
        <v>11173</v>
      </c>
      <c r="C2163" s="87" t="s">
        <v>8</v>
      </c>
      <c r="D2163" s="87" t="str">
        <f>VLOOKUP(Tabela1[[#This Row],[Origem]], 'Perguntas 1 a 24'!$J$28:$K$34, 2, 0)</f>
        <v>Nordeste</v>
      </c>
      <c r="E2163" s="87" t="str">
        <f>Tabela1[[#This Row],[Descrição]]&amp;"-"&amp;Tabela1[[#This Row],[Código]]&amp;"/"&amp;Tabela1[[#This Row],[Origem]]</f>
        <v>Modapapole-H449P211/AL</v>
      </c>
      <c r="F2163" s="88">
        <v>46775</v>
      </c>
      <c r="G2163" s="88" t="str" cm="1">
        <f t="array" ref="G21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AND(F2163&gt;= DATE(2026,1,1), F2163&lt;= DATE(2028, 12, 31), J2163&gt;50000), "Pendente e Caro", AND(F2163&gt;= DATE(2026,1,1), F2163&lt;= DATE(2028, 12, 31), J2163&lt;=50000), "Pendente", F2163&gt;= DATE(2029,1,1), "Não prioeitário")</f>
        <v>Pendente e Caro</v>
      </c>
      <c r="H2163" s="89">
        <f>YEAR(Tabela1[[#This Row],[Data de Validade]])</f>
        <v>2028</v>
      </c>
      <c r="I2163" s="89">
        <f>MONTH(Tabela1[[#This Row],[Data de Validade]])</f>
        <v>1</v>
      </c>
      <c r="J2163" s="101">
        <v>52400</v>
      </c>
      <c r="K2163" s="87" t="s">
        <v>14</v>
      </c>
      <c r="L2163" s="108"/>
      <c r="M2163" s="108"/>
      <c r="N2163" s="108" t="str">
        <v>P737P623</v>
      </c>
      <c r="O2163" s="108">
        <f t="shared" si="35"/>
        <v>1</v>
      </c>
      <c r="P2163" s="108"/>
      <c r="Q2163"/>
    </row>
    <row r="2164" spans="1:17" x14ac:dyDescent="0.25">
      <c r="A2164" s="89" t="s">
        <v>7720</v>
      </c>
      <c r="B2164" s="87" t="s">
        <v>7721</v>
      </c>
      <c r="C2164" s="87" t="s">
        <v>16</v>
      </c>
      <c r="D2164" s="87" t="str">
        <f>VLOOKUP(Tabela1[[#This Row],[Origem]], 'Perguntas 1 a 24'!$J$28:$K$34, 2, 0)</f>
        <v>Sudeste</v>
      </c>
      <c r="E2164" s="87" t="str">
        <f>Tabela1[[#This Row],[Descrição]]&amp;"-"&amp;Tabela1[[#This Row],[Código]]&amp;"/"&amp;Tabela1[[#This Row],[Origem]]</f>
        <v>Lugumudo-P737P623/MG</v>
      </c>
      <c r="F2164" s="88">
        <v>46776</v>
      </c>
      <c r="G2164" s="88" t="str" cm="1">
        <f t="array" ref="G21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AND(F2164&gt;= DATE(2026,1,1), F2164&lt;= DATE(2028, 12, 31), J2164&gt;50000), "Pendente e Caro", AND(F2164&gt;= DATE(2026,1,1), F2164&lt;= DATE(2028, 12, 31), J2164&lt;=50000), "Pendente", F2164&gt;= DATE(2029,1,1), "Não prioeitário")</f>
        <v>Pendente</v>
      </c>
      <c r="H2164" s="89">
        <f>YEAR(Tabela1[[#This Row],[Data de Validade]])</f>
        <v>2028</v>
      </c>
      <c r="I2164" s="89">
        <f>MONTH(Tabela1[[#This Row],[Data de Validade]])</f>
        <v>1</v>
      </c>
      <c r="J2164" s="101">
        <v>26139</v>
      </c>
      <c r="K2164" s="87" t="s">
        <v>11</v>
      </c>
      <c r="L2164" s="108"/>
      <c r="M2164" s="108"/>
      <c r="N2164" s="108" t="str">
        <v>P844P851</v>
      </c>
      <c r="O2164" s="108">
        <f t="shared" si="35"/>
        <v>1</v>
      </c>
      <c r="P2164" s="108"/>
      <c r="Q2164"/>
    </row>
    <row r="2165" spans="1:17" x14ac:dyDescent="0.25">
      <c r="A2165" s="89" t="s">
        <v>10339</v>
      </c>
      <c r="B2165" s="87" t="s">
        <v>10340</v>
      </c>
      <c r="C2165" s="87" t="s">
        <v>15</v>
      </c>
      <c r="D2165" s="87" t="str">
        <f>VLOOKUP(Tabela1[[#This Row],[Origem]], 'Perguntas 1 a 24'!$J$28:$K$34, 2, 0)</f>
        <v>Sudeste</v>
      </c>
      <c r="E2165" s="87" t="str">
        <f>Tabela1[[#This Row],[Descrição]]&amp;"-"&amp;Tabela1[[#This Row],[Código]]&amp;"/"&amp;Tabela1[[#This Row],[Origem]]</f>
        <v>Cogorigere-P844P851/ES</v>
      </c>
      <c r="F2165" s="88">
        <v>46776</v>
      </c>
      <c r="G2165" s="88" t="str" cm="1">
        <f t="array" ref="G21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AND(F2165&gt;= DATE(2026,1,1), F2165&lt;= DATE(2028, 12, 31), J2165&gt;50000), "Pendente e Caro", AND(F2165&gt;= DATE(2026,1,1), F2165&lt;= DATE(2028, 12, 31), J2165&lt;=50000), "Pendente", F2165&gt;= DATE(2029,1,1), "Não prioeitário")</f>
        <v>Pendente</v>
      </c>
      <c r="H2165" s="89">
        <f>YEAR(Tabela1[[#This Row],[Data de Validade]])</f>
        <v>2028</v>
      </c>
      <c r="I2165" s="89">
        <f>MONTH(Tabela1[[#This Row],[Data de Validade]])</f>
        <v>1</v>
      </c>
      <c r="J2165" s="101">
        <v>23201</v>
      </c>
      <c r="K2165" s="87" t="s">
        <v>11</v>
      </c>
      <c r="L2165" s="108"/>
      <c r="M2165" s="108"/>
      <c r="N2165" s="108" t="str">
        <v>H931P917</v>
      </c>
      <c r="O2165" s="108">
        <f t="shared" si="35"/>
        <v>1</v>
      </c>
      <c r="P2165" s="108"/>
      <c r="Q2165"/>
    </row>
    <row r="2166" spans="1:17" x14ac:dyDescent="0.25">
      <c r="A2166" s="89" t="s">
        <v>8492</v>
      </c>
      <c r="B2166" s="87" t="s">
        <v>8493</v>
      </c>
      <c r="C2166" s="87" t="s">
        <v>13</v>
      </c>
      <c r="D2166" s="87" t="str">
        <f>VLOOKUP(Tabela1[[#This Row],[Origem]], 'Perguntas 1 a 24'!$J$28:$K$34, 2, 0)</f>
        <v>Sudeste</v>
      </c>
      <c r="E2166" s="87" t="str">
        <f>Tabela1[[#This Row],[Descrição]]&amp;"-"&amp;Tabela1[[#This Row],[Código]]&amp;"/"&amp;Tabela1[[#This Row],[Origem]]</f>
        <v>Toniromu-H931P917/SP</v>
      </c>
      <c r="F2166" s="88">
        <v>46777</v>
      </c>
      <c r="G2166" s="88" t="str" cm="1">
        <f t="array" ref="G21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AND(F2166&gt;= DATE(2026,1,1), F2166&lt;= DATE(2028, 12, 31), J2166&gt;50000), "Pendente e Caro", AND(F2166&gt;= DATE(2026,1,1), F2166&lt;= DATE(2028, 12, 31), J2166&lt;=50000), "Pendente", F2166&gt;= DATE(2029,1,1), "Não prioeitário")</f>
        <v>Pendente e Caro</v>
      </c>
      <c r="H2166" s="89">
        <f>YEAR(Tabela1[[#This Row],[Data de Validade]])</f>
        <v>2028</v>
      </c>
      <c r="I2166" s="89">
        <f>MONTH(Tabela1[[#This Row],[Data de Validade]])</f>
        <v>1</v>
      </c>
      <c r="J2166" s="101">
        <v>115332</v>
      </c>
      <c r="K2166" s="87" t="s">
        <v>14</v>
      </c>
      <c r="L2166" s="108"/>
      <c r="M2166" s="108"/>
      <c r="N2166" s="108" t="str">
        <v>P623P698</v>
      </c>
      <c r="O2166" s="108">
        <f t="shared" si="35"/>
        <v>1</v>
      </c>
      <c r="P2166" s="108"/>
      <c r="Q2166"/>
    </row>
    <row r="2167" spans="1:17" x14ac:dyDescent="0.25">
      <c r="A2167" s="89" t="s">
        <v>8340</v>
      </c>
      <c r="B2167" s="87" t="s">
        <v>8341</v>
      </c>
      <c r="C2167" s="87" t="s">
        <v>10</v>
      </c>
      <c r="D2167" s="87" t="str">
        <f>VLOOKUP(Tabela1[[#This Row],[Origem]], 'Perguntas 1 a 24'!$J$28:$K$34, 2, 0)</f>
        <v>Centro-Oeste</v>
      </c>
      <c r="E2167" s="87" t="str">
        <f>Tabela1[[#This Row],[Descrição]]&amp;"-"&amp;Tabela1[[#This Row],[Código]]&amp;"/"&amp;Tabela1[[#This Row],[Origem]]</f>
        <v>Locide-P623P698/GO</v>
      </c>
      <c r="F2167" s="88">
        <v>46777</v>
      </c>
      <c r="G2167" s="88" t="str" cm="1">
        <f t="array" ref="G21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AND(F2167&gt;= DATE(2026,1,1), F2167&lt;= DATE(2028, 12, 31), J2167&gt;50000), "Pendente e Caro", AND(F2167&gt;= DATE(2026,1,1), F2167&lt;= DATE(2028, 12, 31), J2167&lt;=50000), "Pendente", F2167&gt;= DATE(2029,1,1), "Não prioeitário")</f>
        <v>Pendente e Caro</v>
      </c>
      <c r="H2167" s="89">
        <f>YEAR(Tabela1[[#This Row],[Data de Validade]])</f>
        <v>2028</v>
      </c>
      <c r="I2167" s="89">
        <f>MONTH(Tabela1[[#This Row],[Data de Validade]])</f>
        <v>1</v>
      </c>
      <c r="J2167" s="101">
        <v>75801</v>
      </c>
      <c r="K2167" s="87" t="s">
        <v>14</v>
      </c>
      <c r="L2167" s="108"/>
      <c r="M2167" s="108"/>
      <c r="N2167" s="108" t="str">
        <v>H713H422</v>
      </c>
      <c r="O2167" s="108">
        <f t="shared" si="35"/>
        <v>1</v>
      </c>
      <c r="P2167" s="108"/>
      <c r="Q2167"/>
    </row>
    <row r="2168" spans="1:17" x14ac:dyDescent="0.25">
      <c r="A2168" s="89" t="s">
        <v>5510</v>
      </c>
      <c r="B2168" s="87" t="s">
        <v>5511</v>
      </c>
      <c r="C2168" s="87" t="s">
        <v>13</v>
      </c>
      <c r="D2168" s="87" t="str">
        <f>VLOOKUP(Tabela1[[#This Row],[Origem]], 'Perguntas 1 a 24'!$J$28:$K$34, 2, 0)</f>
        <v>Sudeste</v>
      </c>
      <c r="E2168" s="87" t="str">
        <f>Tabela1[[#This Row],[Descrição]]&amp;"-"&amp;Tabela1[[#This Row],[Código]]&amp;"/"&amp;Tabela1[[#This Row],[Origem]]</f>
        <v>Podumo-H713H422/SP</v>
      </c>
      <c r="F2168" s="88">
        <v>46778</v>
      </c>
      <c r="G2168" s="88" t="str" cm="1">
        <f t="array" ref="G21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AND(F2168&gt;= DATE(2026,1,1), F2168&lt;= DATE(2028, 12, 31), J2168&gt;50000), "Pendente e Caro", AND(F2168&gt;= DATE(2026,1,1), F2168&lt;= DATE(2028, 12, 31), J2168&lt;=50000), "Pendente", F2168&gt;= DATE(2029,1,1), "Não prioeitário")</f>
        <v>Pendente e Caro</v>
      </c>
      <c r="H2168" s="89">
        <f>YEAR(Tabela1[[#This Row],[Data de Validade]])</f>
        <v>2028</v>
      </c>
      <c r="I2168" s="89">
        <f>MONTH(Tabela1[[#This Row],[Data de Validade]])</f>
        <v>1</v>
      </c>
      <c r="J2168" s="101">
        <v>100222</v>
      </c>
      <c r="K2168" s="87" t="s">
        <v>11</v>
      </c>
      <c r="L2168" s="108"/>
      <c r="M2168" s="108"/>
      <c r="N2168" s="108" t="str">
        <v>H233P314</v>
      </c>
      <c r="O2168" s="108">
        <f t="shared" si="35"/>
        <v>1</v>
      </c>
      <c r="P2168" s="108"/>
      <c r="Q2168"/>
    </row>
    <row r="2169" spans="1:17" x14ac:dyDescent="0.25">
      <c r="A2169" s="89" t="s">
        <v>5108</v>
      </c>
      <c r="B2169" s="87" t="s">
        <v>5109</v>
      </c>
      <c r="C2169" s="87" t="s">
        <v>15</v>
      </c>
      <c r="D2169" s="87" t="str">
        <f>VLOOKUP(Tabela1[[#This Row],[Origem]], 'Perguntas 1 a 24'!$J$28:$K$34, 2, 0)</f>
        <v>Sudeste</v>
      </c>
      <c r="E2169" s="87" t="str">
        <f>Tabela1[[#This Row],[Descrição]]&amp;"-"&amp;Tabela1[[#This Row],[Código]]&amp;"/"&amp;Tabela1[[#This Row],[Origem]]</f>
        <v>Larepe-H233P314/ES</v>
      </c>
      <c r="F2169" s="88">
        <v>46779</v>
      </c>
      <c r="G2169" s="88" t="str" cm="1">
        <f t="array" ref="G21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AND(F2169&gt;= DATE(2026,1,1), F2169&lt;= DATE(2028, 12, 31), J2169&gt;50000), "Pendente e Caro", AND(F2169&gt;= DATE(2026,1,1), F2169&lt;= DATE(2028, 12, 31), J2169&lt;=50000), "Pendente", F2169&gt;= DATE(2029,1,1), "Não prioeitário")</f>
        <v>Pendente e Caro</v>
      </c>
      <c r="H2169" s="89">
        <f>YEAR(Tabela1[[#This Row],[Data de Validade]])</f>
        <v>2028</v>
      </c>
      <c r="I2169" s="89">
        <f>MONTH(Tabela1[[#This Row],[Data de Validade]])</f>
        <v>1</v>
      </c>
      <c r="J2169" s="101">
        <v>101160</v>
      </c>
      <c r="K2169" s="87" t="s">
        <v>9</v>
      </c>
      <c r="L2169" s="108"/>
      <c r="M2169" s="108"/>
      <c r="N2169" s="108" t="str">
        <v>P321P989</v>
      </c>
      <c r="O2169" s="108">
        <f t="shared" si="35"/>
        <v>1</v>
      </c>
      <c r="P2169" s="108"/>
      <c r="Q2169"/>
    </row>
    <row r="2170" spans="1:17" x14ac:dyDescent="0.25">
      <c r="A2170" s="89" t="s">
        <v>4365</v>
      </c>
      <c r="B2170" s="87" t="s">
        <v>4366</v>
      </c>
      <c r="C2170" s="87" t="s">
        <v>13</v>
      </c>
      <c r="D2170" s="87" t="str">
        <f>VLOOKUP(Tabela1[[#This Row],[Origem]], 'Perguntas 1 a 24'!$J$28:$K$34, 2, 0)</f>
        <v>Sudeste</v>
      </c>
      <c r="E2170" s="87" t="str">
        <f>Tabela1[[#This Row],[Descrição]]&amp;"-"&amp;Tabela1[[#This Row],[Código]]&amp;"/"&amp;Tabela1[[#This Row],[Origem]]</f>
        <v>Cunate-P321P989/SP</v>
      </c>
      <c r="F2170" s="88">
        <v>46779</v>
      </c>
      <c r="G2170" s="88" t="str" cm="1">
        <f t="array" ref="G21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AND(F2170&gt;= DATE(2026,1,1), F2170&lt;= DATE(2028, 12, 31), J2170&gt;50000), "Pendente e Caro", AND(F2170&gt;= DATE(2026,1,1), F2170&lt;= DATE(2028, 12, 31), J2170&lt;=50000), "Pendente", F2170&gt;= DATE(2029,1,1), "Não prioeitário")</f>
        <v>Pendente e Caro</v>
      </c>
      <c r="H2170" s="89">
        <f>YEAR(Tabela1[[#This Row],[Data de Validade]])</f>
        <v>2028</v>
      </c>
      <c r="I2170" s="89">
        <f>MONTH(Tabela1[[#This Row],[Data de Validade]])</f>
        <v>1</v>
      </c>
      <c r="J2170" s="101">
        <v>70593</v>
      </c>
      <c r="K2170" s="87" t="s">
        <v>14</v>
      </c>
      <c r="L2170" s="108"/>
      <c r="M2170" s="108"/>
      <c r="N2170" s="108" t="str">
        <v>P439P446</v>
      </c>
      <c r="O2170" s="108">
        <f t="shared" si="35"/>
        <v>1</v>
      </c>
      <c r="P2170" s="108"/>
      <c r="Q2170"/>
    </row>
    <row r="2171" spans="1:17" x14ac:dyDescent="0.25">
      <c r="A2171" s="89" t="s">
        <v>4295</v>
      </c>
      <c r="B2171" s="87" t="s">
        <v>4296</v>
      </c>
      <c r="C2171" s="87" t="s">
        <v>12</v>
      </c>
      <c r="D2171" s="87" t="str">
        <f>VLOOKUP(Tabela1[[#This Row],[Origem]], 'Perguntas 1 a 24'!$J$28:$K$34, 2, 0)</f>
        <v>Sudeste</v>
      </c>
      <c r="E2171" s="87" t="str">
        <f>Tabela1[[#This Row],[Descrição]]&amp;"-"&amp;Tabela1[[#This Row],[Código]]&amp;"/"&amp;Tabela1[[#This Row],[Origem]]</f>
        <v>Cafotufo-P439P446/RJ</v>
      </c>
      <c r="F2171" s="88">
        <v>46779</v>
      </c>
      <c r="G2171" s="88" t="str" cm="1">
        <f t="array" ref="G21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AND(F2171&gt;= DATE(2026,1,1), F2171&lt;= DATE(2028, 12, 31), J2171&gt;50000), "Pendente e Caro", AND(F2171&gt;= DATE(2026,1,1), F2171&lt;= DATE(2028, 12, 31), J2171&lt;=50000), "Pendente", F2171&gt;= DATE(2029,1,1), "Não prioeitário")</f>
        <v>Pendente e Caro</v>
      </c>
      <c r="H2171" s="89">
        <f>YEAR(Tabela1[[#This Row],[Data de Validade]])</f>
        <v>2028</v>
      </c>
      <c r="I2171" s="89">
        <f>MONTH(Tabela1[[#This Row],[Data de Validade]])</f>
        <v>1</v>
      </c>
      <c r="J2171" s="101">
        <v>69167</v>
      </c>
      <c r="K2171" s="87" t="s">
        <v>11</v>
      </c>
      <c r="L2171" s="108"/>
      <c r="M2171" s="108"/>
      <c r="N2171" s="108" t="str">
        <v>P844P563</v>
      </c>
      <c r="O2171" s="108">
        <f t="shared" si="35"/>
        <v>1</v>
      </c>
      <c r="P2171" s="108"/>
      <c r="Q2171"/>
    </row>
    <row r="2172" spans="1:17" x14ac:dyDescent="0.25">
      <c r="A2172" s="89" t="s">
        <v>10311</v>
      </c>
      <c r="B2172" s="87" t="s">
        <v>10312</v>
      </c>
      <c r="C2172" s="87" t="s">
        <v>6</v>
      </c>
      <c r="D2172" s="87" t="str">
        <f>VLOOKUP(Tabela1[[#This Row],[Origem]], 'Perguntas 1 a 24'!$J$28:$K$34, 2, 0)</f>
        <v>Nordeste</v>
      </c>
      <c r="E2172" s="87" t="str">
        <f>Tabela1[[#This Row],[Descrição]]&amp;"-"&amp;Tabela1[[#This Row],[Código]]&amp;"/"&amp;Tabela1[[#This Row],[Origem]]</f>
        <v>Davicu-P844P563/MA</v>
      </c>
      <c r="F2172" s="88">
        <v>46779</v>
      </c>
      <c r="G2172" s="88" t="str" cm="1">
        <f t="array" ref="G21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AND(F2172&gt;= DATE(2026,1,1), F2172&lt;= DATE(2028, 12, 31), J2172&gt;50000), "Pendente e Caro", AND(F2172&gt;= DATE(2026,1,1), F2172&lt;= DATE(2028, 12, 31), J2172&lt;=50000), "Pendente", F2172&gt;= DATE(2029,1,1), "Não prioeitário")</f>
        <v>Pendente e Caro</v>
      </c>
      <c r="H2172" s="89">
        <f>YEAR(Tabela1[[#This Row],[Data de Validade]])</f>
        <v>2028</v>
      </c>
      <c r="I2172" s="89">
        <f>MONTH(Tabela1[[#This Row],[Data de Validade]])</f>
        <v>1</v>
      </c>
      <c r="J2172" s="101">
        <v>68658</v>
      </c>
      <c r="K2172" s="87" t="s">
        <v>14</v>
      </c>
      <c r="L2172" s="108"/>
      <c r="M2172" s="108"/>
      <c r="N2172" s="108" t="str">
        <v>H388P351</v>
      </c>
      <c r="O2172" s="108">
        <f t="shared" si="35"/>
        <v>1</v>
      </c>
      <c r="P2172" s="108"/>
      <c r="Q2172"/>
    </row>
    <row r="2173" spans="1:17" x14ac:dyDescent="0.25">
      <c r="A2173" s="89" t="s">
        <v>7786</v>
      </c>
      <c r="B2173" s="87" t="s">
        <v>7787</v>
      </c>
      <c r="C2173" s="87" t="s">
        <v>13</v>
      </c>
      <c r="D2173" s="87" t="str">
        <f>VLOOKUP(Tabela1[[#This Row],[Origem]], 'Perguntas 1 a 24'!$J$28:$K$34, 2, 0)</f>
        <v>Sudeste</v>
      </c>
      <c r="E2173" s="87" t="str">
        <f>Tabela1[[#This Row],[Descrição]]&amp;"-"&amp;Tabela1[[#This Row],[Código]]&amp;"/"&amp;Tabela1[[#This Row],[Origem]]</f>
        <v>Vimevipa-H388P351/SP</v>
      </c>
      <c r="F2173" s="88">
        <v>46779</v>
      </c>
      <c r="G2173" s="88" t="str" cm="1">
        <f t="array" ref="G21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AND(F2173&gt;= DATE(2026,1,1), F2173&lt;= DATE(2028, 12, 31), J2173&gt;50000), "Pendente e Caro", AND(F2173&gt;= DATE(2026,1,1), F2173&lt;= DATE(2028, 12, 31), J2173&lt;=50000), "Pendente", F2173&gt;= DATE(2029,1,1), "Não prioeitário")</f>
        <v>Pendente</v>
      </c>
      <c r="H2173" s="89">
        <f>YEAR(Tabela1[[#This Row],[Data de Validade]])</f>
        <v>2028</v>
      </c>
      <c r="I2173" s="89">
        <f>MONTH(Tabela1[[#This Row],[Data de Validade]])</f>
        <v>1</v>
      </c>
      <c r="J2173" s="101">
        <v>25628</v>
      </c>
      <c r="K2173" s="87" t="s">
        <v>9</v>
      </c>
      <c r="L2173" s="108"/>
      <c r="M2173" s="108"/>
      <c r="N2173" s="108" t="str">
        <v>H784H123</v>
      </c>
      <c r="O2173" s="108">
        <f t="shared" si="35"/>
        <v>1</v>
      </c>
      <c r="P2173" s="108"/>
      <c r="Q2173"/>
    </row>
    <row r="2174" spans="1:17" x14ac:dyDescent="0.25">
      <c r="A2174" s="89" t="s">
        <v>11135</v>
      </c>
      <c r="B2174" s="87" t="s">
        <v>11136</v>
      </c>
      <c r="C2174" s="87" t="s">
        <v>12</v>
      </c>
      <c r="D2174" s="87" t="str">
        <f>VLOOKUP(Tabela1[[#This Row],[Origem]], 'Perguntas 1 a 24'!$J$28:$K$34, 2, 0)</f>
        <v>Sudeste</v>
      </c>
      <c r="E2174" s="87" t="str">
        <f>Tabela1[[#This Row],[Descrição]]&amp;"-"&amp;Tabela1[[#This Row],[Código]]&amp;"/"&amp;Tabela1[[#This Row],[Origem]]</f>
        <v>Potudeni-H784H123/RJ</v>
      </c>
      <c r="F2174" s="88">
        <v>46780</v>
      </c>
      <c r="G2174" s="88" t="str" cm="1">
        <f t="array" ref="G21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AND(F2174&gt;= DATE(2026,1,1), F2174&lt;= DATE(2028, 12, 31), J2174&gt;50000), "Pendente e Caro", AND(F2174&gt;= DATE(2026,1,1), F2174&lt;= DATE(2028, 12, 31), J2174&lt;=50000), "Pendente", F2174&gt;= DATE(2029,1,1), "Não prioeitário")</f>
        <v>Pendente e Caro</v>
      </c>
      <c r="H2174" s="89">
        <f>YEAR(Tabela1[[#This Row],[Data de Validade]])</f>
        <v>2028</v>
      </c>
      <c r="I2174" s="89">
        <f>MONTH(Tabela1[[#This Row],[Data de Validade]])</f>
        <v>1</v>
      </c>
      <c r="J2174" s="101">
        <v>108871</v>
      </c>
      <c r="K2174" s="87" t="s">
        <v>9</v>
      </c>
      <c r="L2174" s="108"/>
      <c r="M2174" s="108"/>
      <c r="N2174" s="108" t="str">
        <v>H541P745</v>
      </c>
      <c r="O2174" s="108">
        <f t="shared" si="35"/>
        <v>1</v>
      </c>
      <c r="P2174" s="108"/>
      <c r="Q2174"/>
    </row>
    <row r="2175" spans="1:17" x14ac:dyDescent="0.25">
      <c r="A2175" s="89" t="s">
        <v>7302</v>
      </c>
      <c r="B2175" s="87" t="s">
        <v>7303</v>
      </c>
      <c r="C2175" s="87" t="s">
        <v>8</v>
      </c>
      <c r="D2175" s="87" t="str">
        <f>VLOOKUP(Tabela1[[#This Row],[Origem]], 'Perguntas 1 a 24'!$J$28:$K$34, 2, 0)</f>
        <v>Nordeste</v>
      </c>
      <c r="E2175" s="87" t="str">
        <f>Tabela1[[#This Row],[Descrição]]&amp;"-"&amp;Tabela1[[#This Row],[Código]]&amp;"/"&amp;Tabela1[[#This Row],[Origem]]</f>
        <v>Pidaveturo-H541P745/AL</v>
      </c>
      <c r="F2175" s="88">
        <v>46781</v>
      </c>
      <c r="G2175" s="88" t="str" cm="1">
        <f t="array" ref="G21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AND(F2175&gt;= DATE(2026,1,1), F2175&lt;= DATE(2028, 12, 31), J2175&gt;50000), "Pendente e Caro", AND(F2175&gt;= DATE(2026,1,1), F2175&lt;= DATE(2028, 12, 31), J2175&lt;=50000), "Pendente", F2175&gt;= DATE(2029,1,1), "Não prioeitário")</f>
        <v>Pendente e Caro</v>
      </c>
      <c r="H2175" s="89">
        <f>YEAR(Tabela1[[#This Row],[Data de Validade]])</f>
        <v>2028</v>
      </c>
      <c r="I2175" s="89">
        <f>MONTH(Tabela1[[#This Row],[Data de Validade]])</f>
        <v>1</v>
      </c>
      <c r="J2175" s="101">
        <v>74230</v>
      </c>
      <c r="K2175" s="87" t="s">
        <v>14</v>
      </c>
      <c r="L2175" s="108"/>
      <c r="M2175" s="108"/>
      <c r="N2175" s="108" t="str">
        <v>H569P133</v>
      </c>
      <c r="O2175" s="108">
        <f t="shared" si="35"/>
        <v>1</v>
      </c>
      <c r="P2175" s="108"/>
      <c r="Q2175"/>
    </row>
    <row r="2176" spans="1:17" x14ac:dyDescent="0.25">
      <c r="A2176" s="89" t="s">
        <v>4349</v>
      </c>
      <c r="B2176" s="87" t="s">
        <v>4350</v>
      </c>
      <c r="C2176" s="87" t="s">
        <v>10</v>
      </c>
      <c r="D2176" s="87" t="str">
        <f>VLOOKUP(Tabela1[[#This Row],[Origem]], 'Perguntas 1 a 24'!$J$28:$K$34, 2, 0)</f>
        <v>Centro-Oeste</v>
      </c>
      <c r="E2176" s="87" t="str">
        <f>Tabela1[[#This Row],[Descrição]]&amp;"-"&amp;Tabela1[[#This Row],[Código]]&amp;"/"&amp;Tabela1[[#This Row],[Origem]]</f>
        <v>Ratuto-H569P133/GO</v>
      </c>
      <c r="F2176" s="88">
        <v>46781</v>
      </c>
      <c r="G2176" s="88" t="str" cm="1">
        <f t="array" ref="G21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AND(F2176&gt;= DATE(2026,1,1), F2176&lt;= DATE(2028, 12, 31), J2176&gt;50000), "Pendente e Caro", AND(F2176&gt;= DATE(2026,1,1), F2176&lt;= DATE(2028, 12, 31), J2176&lt;=50000), "Pendente", F2176&gt;= DATE(2029,1,1), "Não prioeitário")</f>
        <v>Pendente e Caro</v>
      </c>
      <c r="H2176" s="89">
        <f>YEAR(Tabela1[[#This Row],[Data de Validade]])</f>
        <v>2028</v>
      </c>
      <c r="I2176" s="89">
        <f>MONTH(Tabela1[[#This Row],[Data de Validade]])</f>
        <v>1</v>
      </c>
      <c r="J2176" s="101">
        <v>70064</v>
      </c>
      <c r="K2176" s="87" t="s">
        <v>11</v>
      </c>
      <c r="L2176" s="108"/>
      <c r="M2176" s="108"/>
      <c r="N2176" s="108" t="str">
        <v>P169P521</v>
      </c>
      <c r="O2176" s="108">
        <f t="shared" si="35"/>
        <v>1</v>
      </c>
      <c r="P2176" s="108"/>
      <c r="Q2176"/>
    </row>
    <row r="2177" spans="1:17" x14ac:dyDescent="0.25">
      <c r="A2177" s="89" t="s">
        <v>8004</v>
      </c>
      <c r="B2177" s="87" t="s">
        <v>8005</v>
      </c>
      <c r="C2177" s="87" t="s">
        <v>16</v>
      </c>
      <c r="D2177" s="87" t="str">
        <f>VLOOKUP(Tabela1[[#This Row],[Origem]], 'Perguntas 1 a 24'!$J$28:$K$34, 2, 0)</f>
        <v>Sudeste</v>
      </c>
      <c r="E2177" s="87" t="str">
        <f>Tabela1[[#This Row],[Descrição]]&amp;"-"&amp;Tabela1[[#This Row],[Código]]&amp;"/"&amp;Tabela1[[#This Row],[Origem]]</f>
        <v>Retinu-P169P521/MG</v>
      </c>
      <c r="F2177" s="88">
        <v>46781</v>
      </c>
      <c r="G2177" s="88" t="str" cm="1">
        <f t="array" ref="G21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AND(F2177&gt;= DATE(2026,1,1), F2177&lt;= DATE(2028, 12, 31), J2177&gt;50000), "Pendente e Caro", AND(F2177&gt;= DATE(2026,1,1), F2177&lt;= DATE(2028, 12, 31), J2177&lt;=50000), "Pendente", F2177&gt;= DATE(2029,1,1), "Não prioeitário")</f>
        <v>Pendente e Caro</v>
      </c>
      <c r="H2177" s="89">
        <f>YEAR(Tabela1[[#This Row],[Data de Validade]])</f>
        <v>2028</v>
      </c>
      <c r="I2177" s="89">
        <f>MONTH(Tabela1[[#This Row],[Data de Validade]])</f>
        <v>1</v>
      </c>
      <c r="J2177" s="101">
        <v>65654</v>
      </c>
      <c r="K2177" s="87" t="s">
        <v>14</v>
      </c>
      <c r="L2177" s="108"/>
      <c r="M2177" s="108"/>
      <c r="N2177" s="108" t="str">
        <v>P655P386</v>
      </c>
      <c r="O2177" s="108">
        <f t="shared" si="35"/>
        <v>1</v>
      </c>
      <c r="P2177" s="108"/>
      <c r="Q2177"/>
    </row>
    <row r="2178" spans="1:17" x14ac:dyDescent="0.25">
      <c r="A2178" s="89" t="s">
        <v>11143</v>
      </c>
      <c r="B2178" s="87" t="s">
        <v>11144</v>
      </c>
      <c r="C2178" s="87" t="s">
        <v>8</v>
      </c>
      <c r="D2178" s="87" t="str">
        <f>VLOOKUP(Tabela1[[#This Row],[Origem]], 'Perguntas 1 a 24'!$J$28:$K$34, 2, 0)</f>
        <v>Nordeste</v>
      </c>
      <c r="E2178" s="87" t="str">
        <f>Tabela1[[#This Row],[Descrição]]&amp;"-"&amp;Tabela1[[#This Row],[Código]]&amp;"/"&amp;Tabela1[[#This Row],[Origem]]</f>
        <v>Papilera-P655P386/AL</v>
      </c>
      <c r="F2178" s="88">
        <v>46781</v>
      </c>
      <c r="G2178" s="88" t="str" cm="1">
        <f t="array" ref="G21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AND(F2178&gt;= DATE(2026,1,1), F2178&lt;= DATE(2028, 12, 31), J2178&gt;50000), "Pendente e Caro", AND(F2178&gt;= DATE(2026,1,1), F2178&lt;= DATE(2028, 12, 31), J2178&lt;=50000), "Pendente", F2178&gt;= DATE(2029,1,1), "Não prioeitário")</f>
        <v>Pendente e Caro</v>
      </c>
      <c r="H2178" s="89">
        <f>YEAR(Tabela1[[#This Row],[Data de Validade]])</f>
        <v>2028</v>
      </c>
      <c r="I2178" s="89">
        <f>MONTH(Tabela1[[#This Row],[Data de Validade]])</f>
        <v>1</v>
      </c>
      <c r="J2178" s="101">
        <v>62334</v>
      </c>
      <c r="K2178" s="87" t="s">
        <v>11</v>
      </c>
      <c r="L2178" s="108"/>
      <c r="M2178" s="108"/>
      <c r="N2178" s="108" t="str">
        <v>H956P889</v>
      </c>
      <c r="O2178" s="108">
        <f t="shared" si="35"/>
        <v>1</v>
      </c>
      <c r="P2178" s="108"/>
      <c r="Q2178"/>
    </row>
    <row r="2179" spans="1:17" x14ac:dyDescent="0.25">
      <c r="A2179" s="89" t="s">
        <v>9199</v>
      </c>
      <c r="B2179" s="87" t="s">
        <v>9200</v>
      </c>
      <c r="C2179" s="87" t="s">
        <v>15</v>
      </c>
      <c r="D2179" s="87" t="str">
        <f>VLOOKUP(Tabela1[[#This Row],[Origem]], 'Perguntas 1 a 24'!$J$28:$K$34, 2, 0)</f>
        <v>Sudeste</v>
      </c>
      <c r="E2179" s="87" t="str">
        <f>Tabela1[[#This Row],[Descrição]]&amp;"-"&amp;Tabela1[[#This Row],[Código]]&amp;"/"&amp;Tabela1[[#This Row],[Origem]]</f>
        <v>Dugutalifo-H956P889/ES</v>
      </c>
      <c r="F2179" s="88">
        <v>46781</v>
      </c>
      <c r="G2179" s="88" t="str" cm="1">
        <f t="array" ref="G21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AND(F2179&gt;= DATE(2026,1,1), F2179&lt;= DATE(2028, 12, 31), J2179&gt;50000), "Pendente e Caro", AND(F2179&gt;= DATE(2026,1,1), F2179&lt;= DATE(2028, 12, 31), J2179&lt;=50000), "Pendente", F2179&gt;= DATE(2029,1,1), "Não prioeitário")</f>
        <v>Pendente e Caro</v>
      </c>
      <c r="H2179" s="89">
        <f>YEAR(Tabela1[[#This Row],[Data de Validade]])</f>
        <v>2028</v>
      </c>
      <c r="I2179" s="89">
        <f>MONTH(Tabela1[[#This Row],[Data de Validade]])</f>
        <v>1</v>
      </c>
      <c r="J2179" s="101">
        <v>59369</v>
      </c>
      <c r="K2179" s="87" t="s">
        <v>7</v>
      </c>
      <c r="L2179" s="108"/>
      <c r="M2179" s="108"/>
      <c r="N2179" s="108" t="str">
        <v>P689P583</v>
      </c>
      <c r="O2179" s="108">
        <f t="shared" ref="O2179:O2242" si="36">COUNTIFS(B:B,N2179)</f>
        <v>1</v>
      </c>
      <c r="P2179" s="108"/>
      <c r="Q2179"/>
    </row>
    <row r="2180" spans="1:17" x14ac:dyDescent="0.25">
      <c r="A2180" s="89" t="s">
        <v>10869</v>
      </c>
      <c r="B2180" s="87" t="s">
        <v>10870</v>
      </c>
      <c r="C2180" s="87" t="s">
        <v>12</v>
      </c>
      <c r="D2180" s="87" t="str">
        <f>VLOOKUP(Tabela1[[#This Row],[Origem]], 'Perguntas 1 a 24'!$J$28:$K$34, 2, 0)</f>
        <v>Sudeste</v>
      </c>
      <c r="E2180" s="87" t="str">
        <f>Tabela1[[#This Row],[Descrição]]&amp;"-"&amp;Tabela1[[#This Row],[Código]]&amp;"/"&amp;Tabela1[[#This Row],[Origem]]</f>
        <v>Nalecaru-P689P583/RJ</v>
      </c>
      <c r="F2180" s="88">
        <v>46783</v>
      </c>
      <c r="G2180" s="88" t="str" cm="1">
        <f t="array" ref="G21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AND(F2180&gt;= DATE(2026,1,1), F2180&lt;= DATE(2028, 12, 31), J2180&gt;50000), "Pendente e Caro", AND(F2180&gt;= DATE(2026,1,1), F2180&lt;= DATE(2028, 12, 31), J2180&lt;=50000), "Pendente", F2180&gt;= DATE(2029,1,1), "Não prioeitário")</f>
        <v>Pendente e Caro</v>
      </c>
      <c r="H2180" s="89">
        <f>YEAR(Tabela1[[#This Row],[Data de Validade]])</f>
        <v>2028</v>
      </c>
      <c r="I2180" s="89">
        <f>MONTH(Tabela1[[#This Row],[Data de Validade]])</f>
        <v>1</v>
      </c>
      <c r="J2180" s="101">
        <v>84404</v>
      </c>
      <c r="K2180" s="87" t="s">
        <v>9</v>
      </c>
      <c r="L2180" s="108"/>
      <c r="M2180" s="108"/>
      <c r="N2180" s="108" t="str">
        <v>H461P667</v>
      </c>
      <c r="O2180" s="108">
        <f t="shared" si="36"/>
        <v>1</v>
      </c>
      <c r="P2180" s="108"/>
      <c r="Q2180"/>
    </row>
    <row r="2181" spans="1:17" x14ac:dyDescent="0.25">
      <c r="A2181" s="89" t="s">
        <v>7442</v>
      </c>
      <c r="B2181" s="87" t="s">
        <v>7443</v>
      </c>
      <c r="C2181" s="87" t="s">
        <v>12</v>
      </c>
      <c r="D2181" s="87" t="str">
        <f>VLOOKUP(Tabela1[[#This Row],[Origem]], 'Perguntas 1 a 24'!$J$28:$K$34, 2, 0)</f>
        <v>Sudeste</v>
      </c>
      <c r="E2181" s="87" t="str">
        <f>Tabela1[[#This Row],[Descrição]]&amp;"-"&amp;Tabela1[[#This Row],[Código]]&amp;"/"&amp;Tabela1[[#This Row],[Origem]]</f>
        <v>Firacato-H461P667/RJ</v>
      </c>
      <c r="F2181" s="88">
        <v>46785</v>
      </c>
      <c r="G2181" s="88" t="str" cm="1">
        <f t="array" ref="G21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AND(F2181&gt;= DATE(2026,1,1), F2181&lt;= DATE(2028, 12, 31), J2181&gt;50000), "Pendente e Caro", AND(F2181&gt;= DATE(2026,1,1), F2181&lt;= DATE(2028, 12, 31), J2181&lt;=50000), "Pendente", F2181&gt;= DATE(2029,1,1), "Não prioeitário")</f>
        <v>Pendente e Caro</v>
      </c>
      <c r="H2181" s="89">
        <f>YEAR(Tabela1[[#This Row],[Data de Validade]])</f>
        <v>2028</v>
      </c>
      <c r="I2181" s="89">
        <f>MONTH(Tabela1[[#This Row],[Data de Validade]])</f>
        <v>2</v>
      </c>
      <c r="J2181" s="101">
        <v>99836</v>
      </c>
      <c r="K2181" s="87" t="s">
        <v>7</v>
      </c>
      <c r="L2181" s="108"/>
      <c r="M2181" s="108"/>
      <c r="N2181" s="108" t="str">
        <v>H388H333</v>
      </c>
      <c r="O2181" s="108">
        <f t="shared" si="36"/>
        <v>1</v>
      </c>
      <c r="P2181" s="108"/>
      <c r="Q2181"/>
    </row>
    <row r="2182" spans="1:17" x14ac:dyDescent="0.25">
      <c r="A2182" s="89" t="s">
        <v>5946</v>
      </c>
      <c r="B2182" s="87" t="s">
        <v>5947</v>
      </c>
      <c r="C2182" s="87" t="s">
        <v>6</v>
      </c>
      <c r="D2182" s="87" t="str">
        <f>VLOOKUP(Tabela1[[#This Row],[Origem]], 'Perguntas 1 a 24'!$J$28:$K$34, 2, 0)</f>
        <v>Nordeste</v>
      </c>
      <c r="E2182" s="87" t="str">
        <f>Tabela1[[#This Row],[Descrição]]&amp;"-"&amp;Tabela1[[#This Row],[Código]]&amp;"/"&amp;Tabela1[[#This Row],[Origem]]</f>
        <v>Popunata-H388H333/MA</v>
      </c>
      <c r="F2182" s="88">
        <v>46785</v>
      </c>
      <c r="G2182" s="88" t="str" cm="1">
        <f t="array" ref="G21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AND(F2182&gt;= DATE(2026,1,1), F2182&lt;= DATE(2028, 12, 31), J2182&gt;50000), "Pendente e Caro", AND(F2182&gt;= DATE(2026,1,1), F2182&lt;= DATE(2028, 12, 31), J2182&lt;=50000), "Pendente", F2182&gt;= DATE(2029,1,1), "Não prioeitário")</f>
        <v>Pendente e Caro</v>
      </c>
      <c r="H2182" s="89">
        <f>YEAR(Tabela1[[#This Row],[Data de Validade]])</f>
        <v>2028</v>
      </c>
      <c r="I2182" s="89">
        <f>MONTH(Tabela1[[#This Row],[Data de Validade]])</f>
        <v>2</v>
      </c>
      <c r="J2182" s="101">
        <v>87917</v>
      </c>
      <c r="K2182" s="87" t="s">
        <v>7</v>
      </c>
      <c r="L2182" s="108"/>
      <c r="M2182" s="108"/>
      <c r="N2182" s="108" t="str">
        <v>P967P371</v>
      </c>
      <c r="O2182" s="108">
        <f t="shared" si="36"/>
        <v>1</v>
      </c>
      <c r="P2182" s="108"/>
      <c r="Q2182"/>
    </row>
    <row r="2183" spans="1:17" x14ac:dyDescent="0.25">
      <c r="A2183" s="89" t="s">
        <v>3976</v>
      </c>
      <c r="B2183" s="87" t="s">
        <v>3977</v>
      </c>
      <c r="C2183" s="87" t="s">
        <v>10</v>
      </c>
      <c r="D2183" s="87" t="str">
        <f>VLOOKUP(Tabela1[[#This Row],[Origem]], 'Perguntas 1 a 24'!$J$28:$K$34, 2, 0)</f>
        <v>Centro-Oeste</v>
      </c>
      <c r="E2183" s="87" t="str">
        <f>Tabela1[[#This Row],[Descrição]]&amp;"-"&amp;Tabela1[[#This Row],[Código]]&amp;"/"&amp;Tabela1[[#This Row],[Origem]]</f>
        <v>Radivevu-P967P371/GO</v>
      </c>
      <c r="F2183" s="88">
        <v>46785</v>
      </c>
      <c r="G2183" s="88" t="str" cm="1">
        <f t="array" ref="G21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AND(F2183&gt;= DATE(2026,1,1), F2183&lt;= DATE(2028, 12, 31), J2183&gt;50000), "Pendente e Caro", AND(F2183&gt;= DATE(2026,1,1), F2183&lt;= DATE(2028, 12, 31), J2183&lt;=50000), "Pendente", F2183&gt;= DATE(2029,1,1), "Não prioeitário")</f>
        <v>Pendente</v>
      </c>
      <c r="H2183" s="89">
        <f>YEAR(Tabela1[[#This Row],[Data de Validade]])</f>
        <v>2028</v>
      </c>
      <c r="I2183" s="89">
        <f>MONTH(Tabela1[[#This Row],[Data de Validade]])</f>
        <v>2</v>
      </c>
      <c r="J2183" s="101">
        <v>47820</v>
      </c>
      <c r="K2183" s="87" t="s">
        <v>9</v>
      </c>
      <c r="L2183" s="108"/>
      <c r="M2183" s="108"/>
      <c r="N2183" s="108" t="str">
        <v>P658P868</v>
      </c>
      <c r="O2183" s="108">
        <f t="shared" si="36"/>
        <v>1</v>
      </c>
      <c r="P2183" s="108"/>
      <c r="Q2183"/>
    </row>
    <row r="2184" spans="1:17" x14ac:dyDescent="0.25">
      <c r="A2184" s="89" t="s">
        <v>5318</v>
      </c>
      <c r="B2184" s="87" t="s">
        <v>5319</v>
      </c>
      <c r="C2184" s="87" t="s">
        <v>8</v>
      </c>
      <c r="D2184" s="87" t="str">
        <f>VLOOKUP(Tabela1[[#This Row],[Origem]], 'Perguntas 1 a 24'!$J$28:$K$34, 2, 0)</f>
        <v>Nordeste</v>
      </c>
      <c r="E2184" s="87" t="str">
        <f>Tabela1[[#This Row],[Descrição]]&amp;"-"&amp;Tabela1[[#This Row],[Código]]&amp;"/"&amp;Tabela1[[#This Row],[Origem]]</f>
        <v>Cavapodeni-P658P868/AL</v>
      </c>
      <c r="F2184" s="88">
        <v>46785</v>
      </c>
      <c r="G2184" s="88" t="str" cm="1">
        <f t="array" ref="G21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AND(F2184&gt;= DATE(2026,1,1), F2184&lt;= DATE(2028, 12, 31), J2184&gt;50000), "Pendente e Caro", AND(F2184&gt;= DATE(2026,1,1), F2184&lt;= DATE(2028, 12, 31), J2184&lt;=50000), "Pendente", F2184&gt;= DATE(2029,1,1), "Não prioeitário")</f>
        <v>Pendente</v>
      </c>
      <c r="H2184" s="89">
        <f>YEAR(Tabela1[[#This Row],[Data de Validade]])</f>
        <v>2028</v>
      </c>
      <c r="I2184" s="89">
        <f>MONTH(Tabela1[[#This Row],[Data de Validade]])</f>
        <v>2</v>
      </c>
      <c r="J2184" s="101">
        <v>23929</v>
      </c>
      <c r="K2184" s="87" t="s">
        <v>7</v>
      </c>
      <c r="L2184" s="108"/>
      <c r="M2184" s="108"/>
      <c r="N2184" s="108" t="str">
        <v>H361H588</v>
      </c>
      <c r="O2184" s="108">
        <f t="shared" si="36"/>
        <v>1</v>
      </c>
      <c r="P2184" s="108"/>
      <c r="Q2184"/>
    </row>
    <row r="2185" spans="1:17" x14ac:dyDescent="0.25">
      <c r="A2185" s="89" t="s">
        <v>5266</v>
      </c>
      <c r="B2185" s="87" t="s">
        <v>5267</v>
      </c>
      <c r="C2185" s="87" t="s">
        <v>13</v>
      </c>
      <c r="D2185" s="87" t="str">
        <f>VLOOKUP(Tabela1[[#This Row],[Origem]], 'Perguntas 1 a 24'!$J$28:$K$34, 2, 0)</f>
        <v>Sudeste</v>
      </c>
      <c r="E2185" s="87" t="str">
        <f>Tabela1[[#This Row],[Descrição]]&amp;"-"&amp;Tabela1[[#This Row],[Código]]&amp;"/"&amp;Tabela1[[#This Row],[Origem]]</f>
        <v>Pacitepa-H361H588/SP</v>
      </c>
      <c r="F2185" s="88">
        <v>46786</v>
      </c>
      <c r="G2185" s="88" t="str" cm="1">
        <f t="array" ref="G21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AND(F2185&gt;= DATE(2026,1,1), F2185&lt;= DATE(2028, 12, 31), J2185&gt;50000), "Pendente e Caro", AND(F2185&gt;= DATE(2026,1,1), F2185&lt;= DATE(2028, 12, 31), J2185&lt;=50000), "Pendente", F2185&gt;= DATE(2029,1,1), "Não prioeitário")</f>
        <v>Pendente e Caro</v>
      </c>
      <c r="H2185" s="89">
        <f>YEAR(Tabela1[[#This Row],[Data de Validade]])</f>
        <v>2028</v>
      </c>
      <c r="I2185" s="89">
        <f>MONTH(Tabela1[[#This Row],[Data de Validade]])</f>
        <v>2</v>
      </c>
      <c r="J2185" s="101">
        <v>104815</v>
      </c>
      <c r="K2185" s="87" t="s">
        <v>14</v>
      </c>
      <c r="L2185" s="108"/>
      <c r="M2185" s="108"/>
      <c r="N2185" s="108" t="str">
        <v>P356H281</v>
      </c>
      <c r="O2185" s="108">
        <f t="shared" si="36"/>
        <v>1</v>
      </c>
      <c r="P2185" s="108"/>
      <c r="Q2185"/>
    </row>
    <row r="2186" spans="1:17" x14ac:dyDescent="0.25">
      <c r="A2186" s="89" t="s">
        <v>10623</v>
      </c>
      <c r="B2186" s="87" t="s">
        <v>10624</v>
      </c>
      <c r="C2186" s="87" t="s">
        <v>10</v>
      </c>
      <c r="D2186" s="87" t="str">
        <f>VLOOKUP(Tabela1[[#This Row],[Origem]], 'Perguntas 1 a 24'!$J$28:$K$34, 2, 0)</f>
        <v>Centro-Oeste</v>
      </c>
      <c r="E2186" s="87" t="str">
        <f>Tabela1[[#This Row],[Descrição]]&amp;"-"&amp;Tabela1[[#This Row],[Código]]&amp;"/"&amp;Tabela1[[#This Row],[Origem]]</f>
        <v>Tepivu-P356H281/GO</v>
      </c>
      <c r="F2186" s="88">
        <v>46786</v>
      </c>
      <c r="G2186" s="88" t="str" cm="1">
        <f t="array" ref="G21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AND(F2186&gt;= DATE(2026,1,1), F2186&lt;= DATE(2028, 12, 31), J2186&gt;50000), "Pendente e Caro", AND(F2186&gt;= DATE(2026,1,1), F2186&lt;= DATE(2028, 12, 31), J2186&lt;=50000), "Pendente", F2186&gt;= DATE(2029,1,1), "Não prioeitário")</f>
        <v>Pendente e Caro</v>
      </c>
      <c r="H2186" s="89">
        <f>YEAR(Tabela1[[#This Row],[Data de Validade]])</f>
        <v>2028</v>
      </c>
      <c r="I2186" s="89">
        <f>MONTH(Tabela1[[#This Row],[Data de Validade]])</f>
        <v>2</v>
      </c>
      <c r="J2186" s="101">
        <v>81595</v>
      </c>
      <c r="K2186" s="87" t="s">
        <v>9</v>
      </c>
      <c r="L2186" s="108"/>
      <c r="M2186" s="108"/>
      <c r="N2186" s="108" t="str">
        <v>H338P635</v>
      </c>
      <c r="O2186" s="108">
        <f t="shared" si="36"/>
        <v>1</v>
      </c>
      <c r="P2186" s="108"/>
      <c r="Q2186"/>
    </row>
    <row r="2187" spans="1:17" x14ac:dyDescent="0.25">
      <c r="A2187" s="89" t="s">
        <v>7590</v>
      </c>
      <c r="B2187" s="87" t="s">
        <v>7591</v>
      </c>
      <c r="C2187" s="87" t="s">
        <v>8</v>
      </c>
      <c r="D2187" s="87" t="str">
        <f>VLOOKUP(Tabela1[[#This Row],[Origem]], 'Perguntas 1 a 24'!$J$28:$K$34, 2, 0)</f>
        <v>Nordeste</v>
      </c>
      <c r="E2187" s="87" t="str">
        <f>Tabela1[[#This Row],[Descrição]]&amp;"-"&amp;Tabela1[[#This Row],[Código]]&amp;"/"&amp;Tabela1[[#This Row],[Origem]]</f>
        <v>Celifofa-H338P635/AL</v>
      </c>
      <c r="F2187" s="88">
        <v>46786</v>
      </c>
      <c r="G2187" s="88" t="str" cm="1">
        <f t="array" ref="G21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AND(F2187&gt;= DATE(2026,1,1), F2187&lt;= DATE(2028, 12, 31), J2187&gt;50000), "Pendente e Caro", AND(F2187&gt;= DATE(2026,1,1), F2187&lt;= DATE(2028, 12, 31), J2187&lt;=50000), "Pendente", F2187&gt;= DATE(2029,1,1), "Não prioeitário")</f>
        <v>Pendente</v>
      </c>
      <c r="H2187" s="89">
        <f>YEAR(Tabela1[[#This Row],[Data de Validade]])</f>
        <v>2028</v>
      </c>
      <c r="I2187" s="89">
        <f>MONTH(Tabela1[[#This Row],[Data de Validade]])</f>
        <v>2</v>
      </c>
      <c r="J2187" s="101">
        <v>22654</v>
      </c>
      <c r="K2187" s="87" t="s">
        <v>9</v>
      </c>
      <c r="L2187" s="108"/>
      <c r="M2187" s="108"/>
      <c r="N2187" s="108" t="str">
        <v>P272H951</v>
      </c>
      <c r="O2187" s="108">
        <f t="shared" si="36"/>
        <v>1</v>
      </c>
      <c r="P2187" s="108"/>
      <c r="Q2187"/>
    </row>
    <row r="2188" spans="1:17" x14ac:dyDescent="0.25">
      <c r="A2188" s="89" t="s">
        <v>4231</v>
      </c>
      <c r="B2188" s="87" t="s">
        <v>4232</v>
      </c>
      <c r="C2188" s="87" t="s">
        <v>13</v>
      </c>
      <c r="D2188" s="87" t="str">
        <f>VLOOKUP(Tabela1[[#This Row],[Origem]], 'Perguntas 1 a 24'!$J$28:$K$34, 2, 0)</f>
        <v>Sudeste</v>
      </c>
      <c r="E2188" s="87" t="str">
        <f>Tabela1[[#This Row],[Descrição]]&amp;"-"&amp;Tabela1[[#This Row],[Código]]&amp;"/"&amp;Tabela1[[#This Row],[Origem]]</f>
        <v>Rerafigilu-P272H951/SP</v>
      </c>
      <c r="F2188" s="88">
        <v>46787</v>
      </c>
      <c r="G2188" s="88" t="str" cm="1">
        <f t="array" ref="G21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AND(F2188&gt;= DATE(2026,1,1), F2188&lt;= DATE(2028, 12, 31), J2188&gt;50000), "Pendente e Caro", AND(F2188&gt;= DATE(2026,1,1), F2188&lt;= DATE(2028, 12, 31), J2188&lt;=50000), "Pendente", F2188&gt;= DATE(2029,1,1), "Não prioeitário")</f>
        <v>Pendente</v>
      </c>
      <c r="H2188" s="89">
        <f>YEAR(Tabela1[[#This Row],[Data de Validade]])</f>
        <v>2028</v>
      </c>
      <c r="I2188" s="89">
        <f>MONTH(Tabela1[[#This Row],[Data de Validade]])</f>
        <v>2</v>
      </c>
      <c r="J2188" s="101">
        <v>36533</v>
      </c>
      <c r="K2188" s="87" t="s">
        <v>11</v>
      </c>
      <c r="L2188" s="108"/>
      <c r="M2188" s="108"/>
      <c r="N2188" s="108" t="str">
        <v>P882P816</v>
      </c>
      <c r="O2188" s="108">
        <f t="shared" si="36"/>
        <v>1</v>
      </c>
      <c r="P2188" s="108"/>
      <c r="Q2188"/>
    </row>
    <row r="2189" spans="1:17" x14ac:dyDescent="0.25">
      <c r="A2189" s="89" t="s">
        <v>10229</v>
      </c>
      <c r="B2189" s="87" t="s">
        <v>10230</v>
      </c>
      <c r="C2189" s="87" t="s">
        <v>15</v>
      </c>
      <c r="D2189" s="87" t="str">
        <f>VLOOKUP(Tabela1[[#This Row],[Origem]], 'Perguntas 1 a 24'!$J$28:$K$34, 2, 0)</f>
        <v>Sudeste</v>
      </c>
      <c r="E2189" s="87" t="str">
        <f>Tabela1[[#This Row],[Descrição]]&amp;"-"&amp;Tabela1[[#This Row],[Código]]&amp;"/"&amp;Tabela1[[#This Row],[Origem]]</f>
        <v>Lufara-P882P816/ES</v>
      </c>
      <c r="F2189" s="88">
        <v>46787</v>
      </c>
      <c r="G2189" s="88" t="str" cm="1">
        <f t="array" ref="G21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AND(F2189&gt;= DATE(2026,1,1), F2189&lt;= DATE(2028, 12, 31), J2189&gt;50000), "Pendente e Caro", AND(F2189&gt;= DATE(2026,1,1), F2189&lt;= DATE(2028, 12, 31), J2189&lt;=50000), "Pendente", F2189&gt;= DATE(2029,1,1), "Não prioeitário")</f>
        <v>Pendente</v>
      </c>
      <c r="H2189" s="89">
        <f>YEAR(Tabela1[[#This Row],[Data de Validade]])</f>
        <v>2028</v>
      </c>
      <c r="I2189" s="89">
        <f>MONTH(Tabela1[[#This Row],[Data de Validade]])</f>
        <v>2</v>
      </c>
      <c r="J2189" s="101">
        <v>34930</v>
      </c>
      <c r="K2189" s="87" t="s">
        <v>11</v>
      </c>
      <c r="L2189" s="108"/>
      <c r="M2189" s="108"/>
      <c r="N2189" s="108" t="str">
        <v>H122H137</v>
      </c>
      <c r="O2189" s="108">
        <f t="shared" si="36"/>
        <v>1</v>
      </c>
      <c r="P2189" s="108"/>
      <c r="Q2189"/>
    </row>
    <row r="2190" spans="1:17" x14ac:dyDescent="0.25">
      <c r="A2190" s="89" t="s">
        <v>9377</v>
      </c>
      <c r="B2190" s="87" t="s">
        <v>9378</v>
      </c>
      <c r="C2190" s="87" t="s">
        <v>15</v>
      </c>
      <c r="D2190" s="87" t="str">
        <f>VLOOKUP(Tabela1[[#This Row],[Origem]], 'Perguntas 1 a 24'!$J$28:$K$34, 2, 0)</f>
        <v>Sudeste</v>
      </c>
      <c r="E2190" s="87" t="str">
        <f>Tabela1[[#This Row],[Descrição]]&amp;"-"&amp;Tabela1[[#This Row],[Código]]&amp;"/"&amp;Tabela1[[#This Row],[Origem]]</f>
        <v>Varagadede-H122H137/ES</v>
      </c>
      <c r="F2190" s="88">
        <v>46787</v>
      </c>
      <c r="G2190" s="88" t="str" cm="1">
        <f t="array" ref="G21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AND(F2190&gt;= DATE(2026,1,1), F2190&lt;= DATE(2028, 12, 31), J2190&gt;50000), "Pendente e Caro", AND(F2190&gt;= DATE(2026,1,1), F2190&lt;= DATE(2028, 12, 31), J2190&lt;=50000), "Pendente", F2190&gt;= DATE(2029,1,1), "Não prioeitário")</f>
        <v>Pendente</v>
      </c>
      <c r="H2190" s="89">
        <f>YEAR(Tabela1[[#This Row],[Data de Validade]])</f>
        <v>2028</v>
      </c>
      <c r="I2190" s="89">
        <f>MONTH(Tabela1[[#This Row],[Data de Validade]])</f>
        <v>2</v>
      </c>
      <c r="J2190" s="101">
        <v>22903</v>
      </c>
      <c r="K2190" s="87" t="s">
        <v>9</v>
      </c>
      <c r="L2190" s="108"/>
      <c r="M2190" s="108"/>
      <c r="N2190" s="108" t="str">
        <v>H535P279</v>
      </c>
      <c r="O2190" s="108">
        <f t="shared" si="36"/>
        <v>1</v>
      </c>
      <c r="P2190" s="108"/>
      <c r="Q2190"/>
    </row>
    <row r="2191" spans="1:17" x14ac:dyDescent="0.25">
      <c r="A2191" s="89" t="s">
        <v>10437</v>
      </c>
      <c r="B2191" s="87" t="s">
        <v>10438</v>
      </c>
      <c r="C2191" s="87" t="s">
        <v>10</v>
      </c>
      <c r="D2191" s="87" t="str">
        <f>VLOOKUP(Tabela1[[#This Row],[Origem]], 'Perguntas 1 a 24'!$J$28:$K$34, 2, 0)</f>
        <v>Centro-Oeste</v>
      </c>
      <c r="E2191" s="87" t="str">
        <f>Tabela1[[#This Row],[Descrição]]&amp;"-"&amp;Tabela1[[#This Row],[Código]]&amp;"/"&amp;Tabela1[[#This Row],[Origem]]</f>
        <v>Rucomofu-H535P279/GO</v>
      </c>
      <c r="F2191" s="88">
        <v>46788</v>
      </c>
      <c r="G2191" s="88" t="str" cm="1">
        <f t="array" ref="G21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AND(F2191&gt;= DATE(2026,1,1), F2191&lt;= DATE(2028, 12, 31), J2191&gt;50000), "Pendente e Caro", AND(F2191&gt;= DATE(2026,1,1), F2191&lt;= DATE(2028, 12, 31), J2191&lt;=50000), "Pendente", F2191&gt;= DATE(2029,1,1), "Não prioeitário")</f>
        <v>Pendente e Caro</v>
      </c>
      <c r="H2191" s="89">
        <f>YEAR(Tabela1[[#This Row],[Data de Validade]])</f>
        <v>2028</v>
      </c>
      <c r="I2191" s="89">
        <f>MONTH(Tabela1[[#This Row],[Data de Validade]])</f>
        <v>2</v>
      </c>
      <c r="J2191" s="101">
        <v>74613</v>
      </c>
      <c r="K2191" s="87" t="s">
        <v>14</v>
      </c>
      <c r="L2191" s="108"/>
      <c r="M2191" s="108"/>
      <c r="N2191" s="108" t="str">
        <v>P314P552</v>
      </c>
      <c r="O2191" s="108">
        <f t="shared" si="36"/>
        <v>1</v>
      </c>
      <c r="P2191" s="108"/>
      <c r="Q2191"/>
    </row>
    <row r="2192" spans="1:17" x14ac:dyDescent="0.25">
      <c r="A2192" s="89" t="s">
        <v>5954</v>
      </c>
      <c r="B2192" s="87" t="s">
        <v>5955</v>
      </c>
      <c r="C2192" s="87" t="s">
        <v>13</v>
      </c>
      <c r="D2192" s="87" t="str">
        <f>VLOOKUP(Tabela1[[#This Row],[Origem]], 'Perguntas 1 a 24'!$J$28:$K$34, 2, 0)</f>
        <v>Sudeste</v>
      </c>
      <c r="E2192" s="87" t="str">
        <f>Tabela1[[#This Row],[Descrição]]&amp;"-"&amp;Tabela1[[#This Row],[Código]]&amp;"/"&amp;Tabela1[[#This Row],[Origem]]</f>
        <v>Lirapori-P314P552/SP</v>
      </c>
      <c r="F2192" s="88">
        <v>46789</v>
      </c>
      <c r="G2192" s="88" t="str" cm="1">
        <f t="array" ref="G21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AND(F2192&gt;= DATE(2026,1,1), F2192&lt;= DATE(2028, 12, 31), J2192&gt;50000), "Pendente e Caro", AND(F2192&gt;= DATE(2026,1,1), F2192&lt;= DATE(2028, 12, 31), J2192&lt;=50000), "Pendente", F2192&gt;= DATE(2029,1,1), "Não prioeitário")</f>
        <v>Pendente e Caro</v>
      </c>
      <c r="H2192" s="89">
        <f>YEAR(Tabela1[[#This Row],[Data de Validade]])</f>
        <v>2028</v>
      </c>
      <c r="I2192" s="89">
        <f>MONTH(Tabela1[[#This Row],[Data de Validade]])</f>
        <v>2</v>
      </c>
      <c r="J2192" s="101">
        <v>75114</v>
      </c>
      <c r="K2192" s="87" t="s">
        <v>9</v>
      </c>
      <c r="L2192" s="108"/>
      <c r="M2192" s="108"/>
      <c r="N2192" s="108" t="str">
        <v>H879H181</v>
      </c>
      <c r="O2192" s="108">
        <f t="shared" si="36"/>
        <v>1</v>
      </c>
      <c r="P2192" s="108"/>
      <c r="Q2192"/>
    </row>
    <row r="2193" spans="1:17" x14ac:dyDescent="0.25">
      <c r="A2193" s="89" t="s">
        <v>6496</v>
      </c>
      <c r="B2193" s="87" t="s">
        <v>6497</v>
      </c>
      <c r="C2193" s="87" t="s">
        <v>6</v>
      </c>
      <c r="D2193" s="87" t="str">
        <f>VLOOKUP(Tabela1[[#This Row],[Origem]], 'Perguntas 1 a 24'!$J$28:$K$34, 2, 0)</f>
        <v>Nordeste</v>
      </c>
      <c r="E2193" s="87" t="str">
        <f>Tabela1[[#This Row],[Descrição]]&amp;"-"&amp;Tabela1[[#This Row],[Código]]&amp;"/"&amp;Tabela1[[#This Row],[Origem]]</f>
        <v>Gilulura-H879H181/MA</v>
      </c>
      <c r="F2193" s="88">
        <v>46789</v>
      </c>
      <c r="G2193" s="88" t="str" cm="1">
        <f t="array" ref="G21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AND(F2193&gt;= DATE(2026,1,1), F2193&lt;= DATE(2028, 12, 31), J2193&gt;50000), "Pendente e Caro", AND(F2193&gt;= DATE(2026,1,1), F2193&lt;= DATE(2028, 12, 31), J2193&lt;=50000), "Pendente", F2193&gt;= DATE(2029,1,1), "Não prioeitário")</f>
        <v>Pendente</v>
      </c>
      <c r="H2193" s="89">
        <f>YEAR(Tabela1[[#This Row],[Data de Validade]])</f>
        <v>2028</v>
      </c>
      <c r="I2193" s="89">
        <f>MONTH(Tabela1[[#This Row],[Data de Validade]])</f>
        <v>2</v>
      </c>
      <c r="J2193" s="101">
        <v>43504</v>
      </c>
      <c r="K2193" s="87" t="s">
        <v>7</v>
      </c>
      <c r="L2193" s="108"/>
      <c r="M2193" s="108"/>
      <c r="N2193" s="108" t="str">
        <v>P569P844</v>
      </c>
      <c r="O2193" s="108">
        <f t="shared" si="36"/>
        <v>1</v>
      </c>
      <c r="P2193" s="108"/>
      <c r="Q2193"/>
    </row>
    <row r="2194" spans="1:17" x14ac:dyDescent="0.25">
      <c r="A2194" s="89" t="s">
        <v>9809</v>
      </c>
      <c r="B2194" s="87" t="s">
        <v>9810</v>
      </c>
      <c r="C2194" s="87" t="s">
        <v>10</v>
      </c>
      <c r="D2194" s="87" t="str">
        <f>VLOOKUP(Tabela1[[#This Row],[Origem]], 'Perguntas 1 a 24'!$J$28:$K$34, 2, 0)</f>
        <v>Centro-Oeste</v>
      </c>
      <c r="E2194" s="87" t="str">
        <f>Tabela1[[#This Row],[Descrição]]&amp;"-"&amp;Tabela1[[#This Row],[Código]]&amp;"/"&amp;Tabela1[[#This Row],[Origem]]</f>
        <v>Venoru-P569P844/GO</v>
      </c>
      <c r="F2194" s="88">
        <v>46789</v>
      </c>
      <c r="G2194" s="88" t="str" cm="1">
        <f t="array" ref="G21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AND(F2194&gt;= DATE(2026,1,1), F2194&lt;= DATE(2028, 12, 31), J2194&gt;50000), "Pendente e Caro", AND(F2194&gt;= DATE(2026,1,1), F2194&lt;= DATE(2028, 12, 31), J2194&lt;=50000), "Pendente", F2194&gt;= DATE(2029,1,1), "Não prioeitário")</f>
        <v>Pendente</v>
      </c>
      <c r="H2194" s="89">
        <f>YEAR(Tabela1[[#This Row],[Data de Validade]])</f>
        <v>2028</v>
      </c>
      <c r="I2194" s="89">
        <f>MONTH(Tabela1[[#This Row],[Data de Validade]])</f>
        <v>2</v>
      </c>
      <c r="J2194" s="101">
        <v>38167</v>
      </c>
      <c r="K2194" s="87" t="s">
        <v>9</v>
      </c>
      <c r="L2194" s="108"/>
      <c r="M2194" s="108"/>
      <c r="N2194" s="108" t="str">
        <v>H542P473</v>
      </c>
      <c r="O2194" s="108">
        <f t="shared" si="36"/>
        <v>1</v>
      </c>
      <c r="P2194" s="108"/>
      <c r="Q2194"/>
    </row>
    <row r="2195" spans="1:17" x14ac:dyDescent="0.25">
      <c r="A2195" s="89" t="s">
        <v>10953</v>
      </c>
      <c r="B2195" s="87" t="s">
        <v>10954</v>
      </c>
      <c r="C2195" s="87" t="s">
        <v>6</v>
      </c>
      <c r="D2195" s="87" t="str">
        <f>VLOOKUP(Tabela1[[#This Row],[Origem]], 'Perguntas 1 a 24'!$J$28:$K$34, 2, 0)</f>
        <v>Nordeste</v>
      </c>
      <c r="E2195" s="87" t="str">
        <f>Tabela1[[#This Row],[Descrição]]&amp;"-"&amp;Tabela1[[#This Row],[Código]]&amp;"/"&amp;Tabela1[[#This Row],[Origem]]</f>
        <v>Varifitimi-H542P473/MA</v>
      </c>
      <c r="F2195" s="88">
        <v>46790</v>
      </c>
      <c r="G2195" s="88" t="str" cm="1">
        <f t="array" ref="G21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AND(F2195&gt;= DATE(2026,1,1), F2195&lt;= DATE(2028, 12, 31), J2195&gt;50000), "Pendente e Caro", AND(F2195&gt;= DATE(2026,1,1), F2195&lt;= DATE(2028, 12, 31), J2195&lt;=50000), "Pendente", F2195&gt;= DATE(2029,1,1), "Não prioeitário")</f>
        <v>Pendente</v>
      </c>
      <c r="H2195" s="89">
        <f>YEAR(Tabela1[[#This Row],[Data de Validade]])</f>
        <v>2028</v>
      </c>
      <c r="I2195" s="89">
        <f>MONTH(Tabela1[[#This Row],[Data de Validade]])</f>
        <v>2</v>
      </c>
      <c r="J2195" s="101">
        <v>38596</v>
      </c>
      <c r="K2195" s="87" t="s">
        <v>14</v>
      </c>
      <c r="L2195" s="108"/>
      <c r="M2195" s="108"/>
      <c r="N2195" s="108" t="str">
        <v>P525P673</v>
      </c>
      <c r="O2195" s="108">
        <f t="shared" si="36"/>
        <v>1</v>
      </c>
      <c r="P2195" s="108"/>
      <c r="Q2195"/>
    </row>
    <row r="2196" spans="1:17" x14ac:dyDescent="0.25">
      <c r="A2196" s="89" t="s">
        <v>7696</v>
      </c>
      <c r="B2196" s="87" t="s">
        <v>7697</v>
      </c>
      <c r="C2196" s="87" t="s">
        <v>12</v>
      </c>
      <c r="D2196" s="87" t="str">
        <f>VLOOKUP(Tabela1[[#This Row],[Origem]], 'Perguntas 1 a 24'!$J$28:$K$34, 2, 0)</f>
        <v>Sudeste</v>
      </c>
      <c r="E2196" s="87" t="str">
        <f>Tabela1[[#This Row],[Descrição]]&amp;"-"&amp;Tabela1[[#This Row],[Código]]&amp;"/"&amp;Tabela1[[#This Row],[Origem]]</f>
        <v>Racopo-P525P673/RJ</v>
      </c>
      <c r="F2196" s="88">
        <v>46791</v>
      </c>
      <c r="G2196" s="88" t="str" cm="1">
        <f t="array" ref="G21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AND(F2196&gt;= DATE(2026,1,1), F2196&lt;= DATE(2028, 12, 31), J2196&gt;50000), "Pendente e Caro", AND(F2196&gt;= DATE(2026,1,1), F2196&lt;= DATE(2028, 12, 31), J2196&lt;=50000), "Pendente", F2196&gt;= DATE(2029,1,1), "Não prioeitário")</f>
        <v>Pendente e Caro</v>
      </c>
      <c r="H2196" s="89">
        <f>YEAR(Tabela1[[#This Row],[Data de Validade]])</f>
        <v>2028</v>
      </c>
      <c r="I2196" s="89">
        <f>MONTH(Tabela1[[#This Row],[Data de Validade]])</f>
        <v>2</v>
      </c>
      <c r="J2196" s="101">
        <v>112706</v>
      </c>
      <c r="K2196" s="87" t="s">
        <v>7</v>
      </c>
      <c r="L2196" s="108"/>
      <c r="M2196" s="108"/>
      <c r="N2196" s="108" t="str">
        <v>H275P682</v>
      </c>
      <c r="O2196" s="108">
        <f t="shared" si="36"/>
        <v>1</v>
      </c>
      <c r="P2196" s="108"/>
      <c r="Q2196"/>
    </row>
    <row r="2197" spans="1:17" x14ac:dyDescent="0.25">
      <c r="A2197" s="89" t="s">
        <v>5330</v>
      </c>
      <c r="B2197" s="87" t="s">
        <v>5331</v>
      </c>
      <c r="C2197" s="87" t="s">
        <v>16</v>
      </c>
      <c r="D2197" s="87" t="str">
        <f>VLOOKUP(Tabela1[[#This Row],[Origem]], 'Perguntas 1 a 24'!$J$28:$K$34, 2, 0)</f>
        <v>Sudeste</v>
      </c>
      <c r="E2197" s="87" t="str">
        <f>Tabela1[[#This Row],[Descrição]]&amp;"-"&amp;Tabela1[[#This Row],[Código]]&amp;"/"&amp;Tabela1[[#This Row],[Origem]]</f>
        <v>Retafurufu-H275P682/MG</v>
      </c>
      <c r="F2197" s="88">
        <v>46791</v>
      </c>
      <c r="G2197" s="88" t="str" cm="1">
        <f t="array" ref="G21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AND(F2197&gt;= DATE(2026,1,1), F2197&lt;= DATE(2028, 12, 31), J2197&gt;50000), "Pendente e Caro", AND(F2197&gt;= DATE(2026,1,1), F2197&lt;= DATE(2028, 12, 31), J2197&lt;=50000), "Pendente", F2197&gt;= DATE(2029,1,1), "Não prioeitário")</f>
        <v>Pendente e Caro</v>
      </c>
      <c r="H2197" s="89">
        <f>YEAR(Tabela1[[#This Row],[Data de Validade]])</f>
        <v>2028</v>
      </c>
      <c r="I2197" s="89">
        <f>MONTH(Tabela1[[#This Row],[Data de Validade]])</f>
        <v>2</v>
      </c>
      <c r="J2197" s="101">
        <v>53423</v>
      </c>
      <c r="K2197" s="87" t="s">
        <v>11</v>
      </c>
      <c r="L2197" s="108"/>
      <c r="M2197" s="108"/>
      <c r="N2197" s="108" t="str">
        <v>P441P139</v>
      </c>
      <c r="O2197" s="108">
        <f t="shared" si="36"/>
        <v>1</v>
      </c>
      <c r="P2197" s="108"/>
      <c r="Q2197"/>
    </row>
    <row r="2198" spans="1:17" x14ac:dyDescent="0.25">
      <c r="A2198" s="89" t="s">
        <v>4862</v>
      </c>
      <c r="B2198" s="87" t="s">
        <v>4863</v>
      </c>
      <c r="C2198" s="87" t="s">
        <v>10</v>
      </c>
      <c r="D2198" s="87" t="str">
        <f>VLOOKUP(Tabela1[[#This Row],[Origem]], 'Perguntas 1 a 24'!$J$28:$K$34, 2, 0)</f>
        <v>Centro-Oeste</v>
      </c>
      <c r="E2198" s="87" t="str">
        <f>Tabela1[[#This Row],[Descrição]]&amp;"-"&amp;Tabela1[[#This Row],[Código]]&amp;"/"&amp;Tabela1[[#This Row],[Origem]]</f>
        <v>Rupanuliri-P441P139/GO</v>
      </c>
      <c r="F2198" s="88">
        <v>46791</v>
      </c>
      <c r="G2198" s="88" t="str" cm="1">
        <f t="array" ref="G21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AND(F2198&gt;= DATE(2026,1,1), F2198&lt;= DATE(2028, 12, 31), J2198&gt;50000), "Pendente e Caro", AND(F2198&gt;= DATE(2026,1,1), F2198&lt;= DATE(2028, 12, 31), J2198&lt;=50000), "Pendente", F2198&gt;= DATE(2029,1,1), "Não prioeitário")</f>
        <v>Pendente</v>
      </c>
      <c r="H2198" s="89">
        <f>YEAR(Tabela1[[#This Row],[Data de Validade]])</f>
        <v>2028</v>
      </c>
      <c r="I2198" s="89">
        <f>MONTH(Tabela1[[#This Row],[Data de Validade]])</f>
        <v>2</v>
      </c>
      <c r="J2198" s="101">
        <v>24542</v>
      </c>
      <c r="K2198" s="87" t="s">
        <v>11</v>
      </c>
      <c r="L2198" s="108"/>
      <c r="M2198" s="108"/>
      <c r="N2198" s="108" t="str">
        <v>H126P278</v>
      </c>
      <c r="O2198" s="108">
        <f t="shared" si="36"/>
        <v>1</v>
      </c>
      <c r="P2198" s="108"/>
      <c r="Q2198"/>
    </row>
    <row r="2199" spans="1:17" x14ac:dyDescent="0.25">
      <c r="A2199" s="89" t="s">
        <v>7456</v>
      </c>
      <c r="B2199" s="87" t="s">
        <v>7457</v>
      </c>
      <c r="C2199" s="87" t="s">
        <v>13</v>
      </c>
      <c r="D2199" s="87" t="str">
        <f>VLOOKUP(Tabela1[[#This Row],[Origem]], 'Perguntas 1 a 24'!$J$28:$K$34, 2, 0)</f>
        <v>Sudeste</v>
      </c>
      <c r="E2199" s="87" t="str">
        <f>Tabela1[[#This Row],[Descrição]]&amp;"-"&amp;Tabela1[[#This Row],[Código]]&amp;"/"&amp;Tabela1[[#This Row],[Origem]]</f>
        <v>Davata-H126P278/SP</v>
      </c>
      <c r="F2199" s="88">
        <v>46792</v>
      </c>
      <c r="G2199" s="88" t="str" cm="1">
        <f t="array" ref="G21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AND(F2199&gt;= DATE(2026,1,1), F2199&lt;= DATE(2028, 12, 31), J2199&gt;50000), "Pendente e Caro", AND(F2199&gt;= DATE(2026,1,1), F2199&lt;= DATE(2028, 12, 31), J2199&lt;=50000), "Pendente", F2199&gt;= DATE(2029,1,1), "Não prioeitário")</f>
        <v>Pendente e Caro</v>
      </c>
      <c r="H2199" s="89">
        <f>YEAR(Tabela1[[#This Row],[Data de Validade]])</f>
        <v>2028</v>
      </c>
      <c r="I2199" s="89">
        <f>MONTH(Tabela1[[#This Row],[Data de Validade]])</f>
        <v>2</v>
      </c>
      <c r="J2199" s="101">
        <v>81404</v>
      </c>
      <c r="K2199" s="87" t="s">
        <v>11</v>
      </c>
      <c r="L2199" s="108"/>
      <c r="M2199" s="108"/>
      <c r="N2199" s="108" t="str">
        <v>P161H629</v>
      </c>
      <c r="O2199" s="108">
        <f t="shared" si="36"/>
        <v>1</v>
      </c>
      <c r="P2199" s="108"/>
      <c r="Q2199"/>
    </row>
    <row r="2200" spans="1:17" x14ac:dyDescent="0.25">
      <c r="A2200" s="89" t="s">
        <v>4924</v>
      </c>
      <c r="B2200" s="87" t="s">
        <v>4925</v>
      </c>
      <c r="C2200" s="87" t="s">
        <v>12</v>
      </c>
      <c r="D2200" s="87" t="str">
        <f>VLOOKUP(Tabela1[[#This Row],[Origem]], 'Perguntas 1 a 24'!$J$28:$K$34, 2, 0)</f>
        <v>Sudeste</v>
      </c>
      <c r="E2200" s="87" t="str">
        <f>Tabela1[[#This Row],[Descrição]]&amp;"-"&amp;Tabela1[[#This Row],[Código]]&amp;"/"&amp;Tabela1[[#This Row],[Origem]]</f>
        <v>Vogeta-P161H629/RJ</v>
      </c>
      <c r="F2200" s="88">
        <v>46792</v>
      </c>
      <c r="G2200" s="88" t="str" cm="1">
        <f t="array" ref="G22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AND(F2200&gt;= DATE(2026,1,1), F2200&lt;= DATE(2028, 12, 31), J2200&gt;50000), "Pendente e Caro", AND(F2200&gt;= DATE(2026,1,1), F2200&lt;= DATE(2028, 12, 31), J2200&lt;=50000), "Pendente", F2200&gt;= DATE(2029,1,1), "Não prioeitário")</f>
        <v>Pendente</v>
      </c>
      <c r="H2200" s="89">
        <f>YEAR(Tabela1[[#This Row],[Data de Validade]])</f>
        <v>2028</v>
      </c>
      <c r="I2200" s="89">
        <f>MONTH(Tabela1[[#This Row],[Data de Validade]])</f>
        <v>2</v>
      </c>
      <c r="J2200" s="101">
        <v>28199</v>
      </c>
      <c r="K2200" s="87" t="s">
        <v>14</v>
      </c>
      <c r="L2200" s="108"/>
      <c r="M2200" s="108"/>
      <c r="N2200" s="108" t="str">
        <v>P847P137</v>
      </c>
      <c r="O2200" s="108">
        <f t="shared" si="36"/>
        <v>1</v>
      </c>
      <c r="P2200" s="108"/>
      <c r="Q2200"/>
    </row>
    <row r="2201" spans="1:17" x14ac:dyDescent="0.25">
      <c r="A2201" s="89" t="s">
        <v>6732</v>
      </c>
      <c r="B2201" s="87" t="s">
        <v>6733</v>
      </c>
      <c r="C2201" s="87" t="s">
        <v>15</v>
      </c>
      <c r="D2201" s="87" t="str">
        <f>VLOOKUP(Tabela1[[#This Row],[Origem]], 'Perguntas 1 a 24'!$J$28:$K$34, 2, 0)</f>
        <v>Sudeste</v>
      </c>
      <c r="E2201" s="87" t="str">
        <f>Tabela1[[#This Row],[Descrição]]&amp;"-"&amp;Tabela1[[#This Row],[Código]]&amp;"/"&amp;Tabela1[[#This Row],[Origem]]</f>
        <v>Culopapi-P847P137/ES</v>
      </c>
      <c r="F2201" s="88">
        <v>46793</v>
      </c>
      <c r="G2201" s="88" t="str" cm="1">
        <f t="array" ref="G22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AND(F2201&gt;= DATE(2026,1,1), F2201&lt;= DATE(2028, 12, 31), J2201&gt;50000), "Pendente e Caro", AND(F2201&gt;= DATE(2026,1,1), F2201&lt;= DATE(2028, 12, 31), J2201&lt;=50000), "Pendente", F2201&gt;= DATE(2029,1,1), "Não prioeitário")</f>
        <v>Pendente e Caro</v>
      </c>
      <c r="H2201" s="89">
        <f>YEAR(Tabela1[[#This Row],[Data de Validade]])</f>
        <v>2028</v>
      </c>
      <c r="I2201" s="89">
        <f>MONTH(Tabela1[[#This Row],[Data de Validade]])</f>
        <v>2</v>
      </c>
      <c r="J2201" s="101">
        <v>104919</v>
      </c>
      <c r="K2201" s="87" t="s">
        <v>14</v>
      </c>
      <c r="L2201" s="108"/>
      <c r="M2201" s="108"/>
      <c r="N2201" s="108" t="str">
        <v>P336P841</v>
      </c>
      <c r="O2201" s="108">
        <f t="shared" si="36"/>
        <v>1</v>
      </c>
      <c r="P2201" s="108"/>
      <c r="Q2201"/>
    </row>
    <row r="2202" spans="1:17" x14ac:dyDescent="0.25">
      <c r="A2202" s="89" t="s">
        <v>4227</v>
      </c>
      <c r="B2202" s="87" t="s">
        <v>4228</v>
      </c>
      <c r="C2202" s="87" t="s">
        <v>6</v>
      </c>
      <c r="D2202" s="87" t="str">
        <f>VLOOKUP(Tabela1[[#This Row],[Origem]], 'Perguntas 1 a 24'!$J$28:$K$34, 2, 0)</f>
        <v>Nordeste</v>
      </c>
      <c r="E2202" s="87" t="str">
        <f>Tabela1[[#This Row],[Descrição]]&amp;"-"&amp;Tabela1[[#This Row],[Código]]&amp;"/"&amp;Tabela1[[#This Row],[Origem]]</f>
        <v>Pupere-P336P841/MA</v>
      </c>
      <c r="F2202" s="88">
        <v>46793</v>
      </c>
      <c r="G2202" s="88" t="str" cm="1">
        <f t="array" ref="G22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AND(F2202&gt;= DATE(2026,1,1), F2202&lt;= DATE(2028, 12, 31), J2202&gt;50000), "Pendente e Caro", AND(F2202&gt;= DATE(2026,1,1), F2202&lt;= DATE(2028, 12, 31), J2202&lt;=50000), "Pendente", F2202&gt;= DATE(2029,1,1), "Não prioeitário")</f>
        <v>Pendente</v>
      </c>
      <c r="H2202" s="89">
        <f>YEAR(Tabela1[[#This Row],[Data de Validade]])</f>
        <v>2028</v>
      </c>
      <c r="I2202" s="89">
        <f>MONTH(Tabela1[[#This Row],[Data de Validade]])</f>
        <v>2</v>
      </c>
      <c r="J2202" s="101">
        <v>36142</v>
      </c>
      <c r="K2202" s="87" t="s">
        <v>11</v>
      </c>
      <c r="L2202" s="108"/>
      <c r="M2202" s="108"/>
      <c r="N2202" s="108" t="str">
        <v>P632P728</v>
      </c>
      <c r="O2202" s="108">
        <f t="shared" si="36"/>
        <v>1</v>
      </c>
      <c r="P2202" s="108"/>
      <c r="Q2202"/>
    </row>
    <row r="2203" spans="1:17" x14ac:dyDescent="0.25">
      <c r="A2203" s="89" t="s">
        <v>5404</v>
      </c>
      <c r="B2203" s="87" t="s">
        <v>5405</v>
      </c>
      <c r="C2203" s="87" t="s">
        <v>6</v>
      </c>
      <c r="D2203" s="87" t="str">
        <f>VLOOKUP(Tabela1[[#This Row],[Origem]], 'Perguntas 1 a 24'!$J$28:$K$34, 2, 0)</f>
        <v>Nordeste</v>
      </c>
      <c r="E2203" s="87" t="str">
        <f>Tabela1[[#This Row],[Descrição]]&amp;"-"&amp;Tabela1[[#This Row],[Código]]&amp;"/"&amp;Tabela1[[#This Row],[Origem]]</f>
        <v>Ripatopu-P632P728/MA</v>
      </c>
      <c r="F2203" s="88">
        <v>46794</v>
      </c>
      <c r="G2203" s="88" t="str" cm="1">
        <f t="array" ref="G22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AND(F2203&gt;= DATE(2026,1,1), F2203&lt;= DATE(2028, 12, 31), J2203&gt;50000), "Pendente e Caro", AND(F2203&gt;= DATE(2026,1,1), F2203&lt;= DATE(2028, 12, 31), J2203&lt;=50000), "Pendente", F2203&gt;= DATE(2029,1,1), "Não prioeitário")</f>
        <v>Pendente</v>
      </c>
      <c r="H2203" s="89">
        <f>YEAR(Tabela1[[#This Row],[Data de Validade]])</f>
        <v>2028</v>
      </c>
      <c r="I2203" s="89">
        <f>MONTH(Tabela1[[#This Row],[Data de Validade]])</f>
        <v>2</v>
      </c>
      <c r="J2203" s="101">
        <v>43384</v>
      </c>
      <c r="K2203" s="87" t="s">
        <v>14</v>
      </c>
      <c r="L2203" s="108"/>
      <c r="M2203" s="108"/>
      <c r="N2203" s="108" t="str">
        <v>H469H647</v>
      </c>
      <c r="O2203" s="108">
        <f t="shared" si="36"/>
        <v>1</v>
      </c>
      <c r="P2203" s="108"/>
      <c r="Q2203"/>
    </row>
    <row r="2204" spans="1:17" x14ac:dyDescent="0.25">
      <c r="A2204" s="89" t="s">
        <v>7398</v>
      </c>
      <c r="B2204" s="87" t="s">
        <v>7399</v>
      </c>
      <c r="C2204" s="87" t="s">
        <v>15</v>
      </c>
      <c r="D2204" s="87" t="str">
        <f>VLOOKUP(Tabela1[[#This Row],[Origem]], 'Perguntas 1 a 24'!$J$28:$K$34, 2, 0)</f>
        <v>Sudeste</v>
      </c>
      <c r="E2204" s="87" t="str">
        <f>Tabela1[[#This Row],[Descrição]]&amp;"-"&amp;Tabela1[[#This Row],[Código]]&amp;"/"&amp;Tabela1[[#This Row],[Origem]]</f>
        <v>Parigupava-H469H647/ES</v>
      </c>
      <c r="F2204" s="88">
        <v>46796</v>
      </c>
      <c r="G2204" s="88" t="str" cm="1">
        <f t="array" ref="G22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AND(F2204&gt;= DATE(2026,1,1), F2204&lt;= DATE(2028, 12, 31), J2204&gt;50000), "Pendente e Caro", AND(F2204&gt;= DATE(2026,1,1), F2204&lt;= DATE(2028, 12, 31), J2204&lt;=50000), "Pendente", F2204&gt;= DATE(2029,1,1), "Não prioeitário")</f>
        <v>Pendente e Caro</v>
      </c>
      <c r="H2204" s="89">
        <f>YEAR(Tabela1[[#This Row],[Data de Validade]])</f>
        <v>2028</v>
      </c>
      <c r="I2204" s="89">
        <f>MONTH(Tabela1[[#This Row],[Data de Validade]])</f>
        <v>2</v>
      </c>
      <c r="J2204" s="101">
        <v>116487</v>
      </c>
      <c r="K2204" s="87" t="s">
        <v>11</v>
      </c>
      <c r="L2204" s="108"/>
      <c r="M2204" s="108"/>
      <c r="N2204" s="108" t="str">
        <v>P661P727</v>
      </c>
      <c r="O2204" s="108">
        <f t="shared" si="36"/>
        <v>1</v>
      </c>
      <c r="P2204" s="108"/>
      <c r="Q2204"/>
    </row>
    <row r="2205" spans="1:17" x14ac:dyDescent="0.25">
      <c r="A2205" s="89" t="s">
        <v>9761</v>
      </c>
      <c r="B2205" s="87" t="s">
        <v>9762</v>
      </c>
      <c r="C2205" s="87" t="s">
        <v>12</v>
      </c>
      <c r="D2205" s="87" t="str">
        <f>VLOOKUP(Tabela1[[#This Row],[Origem]], 'Perguntas 1 a 24'!$J$28:$K$34, 2, 0)</f>
        <v>Sudeste</v>
      </c>
      <c r="E2205" s="87" t="str">
        <f>Tabela1[[#This Row],[Descrição]]&amp;"-"&amp;Tabela1[[#This Row],[Código]]&amp;"/"&amp;Tabela1[[#This Row],[Origem]]</f>
        <v>Nimame-P661P727/RJ</v>
      </c>
      <c r="F2205" s="88">
        <v>46796</v>
      </c>
      <c r="G2205" s="88" t="str" cm="1">
        <f t="array" ref="G22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AND(F2205&gt;= DATE(2026,1,1), F2205&lt;= DATE(2028, 12, 31), J2205&gt;50000), "Pendente e Caro", AND(F2205&gt;= DATE(2026,1,1), F2205&lt;= DATE(2028, 12, 31), J2205&lt;=50000), "Pendente", F2205&gt;= DATE(2029,1,1), "Não prioeitário")</f>
        <v>Pendente</v>
      </c>
      <c r="H2205" s="89">
        <f>YEAR(Tabela1[[#This Row],[Data de Validade]])</f>
        <v>2028</v>
      </c>
      <c r="I2205" s="89">
        <f>MONTH(Tabela1[[#This Row],[Data de Validade]])</f>
        <v>2</v>
      </c>
      <c r="J2205" s="101">
        <v>39956</v>
      </c>
      <c r="K2205" s="87" t="s">
        <v>7</v>
      </c>
      <c r="L2205" s="108"/>
      <c r="M2205" s="108"/>
      <c r="N2205" s="108" t="str">
        <v>H537P989</v>
      </c>
      <c r="O2205" s="108">
        <f t="shared" si="36"/>
        <v>1</v>
      </c>
      <c r="P2205" s="108"/>
      <c r="Q2205"/>
    </row>
    <row r="2206" spans="1:17" x14ac:dyDescent="0.25">
      <c r="A2206" s="89" t="s">
        <v>6566</v>
      </c>
      <c r="B2206" s="87" t="s">
        <v>6567</v>
      </c>
      <c r="C2206" s="87" t="s">
        <v>13</v>
      </c>
      <c r="D2206" s="87" t="str">
        <f>VLOOKUP(Tabela1[[#This Row],[Origem]], 'Perguntas 1 a 24'!$J$28:$K$34, 2, 0)</f>
        <v>Sudeste</v>
      </c>
      <c r="E2206" s="87" t="str">
        <f>Tabela1[[#This Row],[Descrição]]&amp;"-"&amp;Tabela1[[#This Row],[Código]]&amp;"/"&amp;Tabela1[[#This Row],[Origem]]</f>
        <v>Rotatu-H537P989/SP</v>
      </c>
      <c r="F2206" s="88">
        <v>46797</v>
      </c>
      <c r="G2206" s="88" t="str" cm="1">
        <f t="array" ref="G22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AND(F2206&gt;= DATE(2026,1,1), F2206&lt;= DATE(2028, 12, 31), J2206&gt;50000), "Pendente e Caro", AND(F2206&gt;= DATE(2026,1,1), F2206&lt;= DATE(2028, 12, 31), J2206&lt;=50000), "Pendente", F2206&gt;= DATE(2029,1,1), "Não prioeitário")</f>
        <v>Pendente e Caro</v>
      </c>
      <c r="H2206" s="89">
        <f>YEAR(Tabela1[[#This Row],[Data de Validade]])</f>
        <v>2028</v>
      </c>
      <c r="I2206" s="89">
        <f>MONTH(Tabela1[[#This Row],[Data de Validade]])</f>
        <v>2</v>
      </c>
      <c r="J2206" s="101">
        <v>117224</v>
      </c>
      <c r="K2206" s="87" t="s">
        <v>11</v>
      </c>
      <c r="L2206" s="108"/>
      <c r="M2206" s="108"/>
      <c r="N2206" s="108" t="str">
        <v>P565P881</v>
      </c>
      <c r="O2206" s="108">
        <f t="shared" si="36"/>
        <v>1</v>
      </c>
      <c r="P2206" s="108"/>
      <c r="Q2206"/>
    </row>
    <row r="2207" spans="1:17" x14ac:dyDescent="0.25">
      <c r="A2207" s="89" t="s">
        <v>7000</v>
      </c>
      <c r="B2207" s="87" t="s">
        <v>7001</v>
      </c>
      <c r="C2207" s="87" t="s">
        <v>8</v>
      </c>
      <c r="D2207" s="87" t="str">
        <f>VLOOKUP(Tabela1[[#This Row],[Origem]], 'Perguntas 1 a 24'!$J$28:$K$34, 2, 0)</f>
        <v>Nordeste</v>
      </c>
      <c r="E2207" s="87" t="str">
        <f>Tabela1[[#This Row],[Descrição]]&amp;"-"&amp;Tabela1[[#This Row],[Código]]&amp;"/"&amp;Tabela1[[#This Row],[Origem]]</f>
        <v>Gocari-P565P881/AL</v>
      </c>
      <c r="F2207" s="88">
        <v>46797</v>
      </c>
      <c r="G2207" s="88" t="str" cm="1">
        <f t="array" ref="G22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AND(F2207&gt;= DATE(2026,1,1), F2207&lt;= DATE(2028, 12, 31), J2207&gt;50000), "Pendente e Caro", AND(F2207&gt;= DATE(2026,1,1), F2207&lt;= DATE(2028, 12, 31), J2207&lt;=50000), "Pendente", F2207&gt;= DATE(2029,1,1), "Não prioeitário")</f>
        <v>Pendente e Caro</v>
      </c>
      <c r="H2207" s="89">
        <f>YEAR(Tabela1[[#This Row],[Data de Validade]])</f>
        <v>2028</v>
      </c>
      <c r="I2207" s="89">
        <f>MONTH(Tabela1[[#This Row],[Data de Validade]])</f>
        <v>2</v>
      </c>
      <c r="J2207" s="101">
        <v>108662</v>
      </c>
      <c r="K2207" s="87" t="s">
        <v>7</v>
      </c>
      <c r="L2207" s="108"/>
      <c r="M2207" s="108"/>
      <c r="N2207" s="108" t="str">
        <v>P958P721</v>
      </c>
      <c r="O2207" s="108">
        <f t="shared" si="36"/>
        <v>1</v>
      </c>
      <c r="P2207" s="108"/>
      <c r="Q2207"/>
    </row>
    <row r="2208" spans="1:17" x14ac:dyDescent="0.25">
      <c r="A2208" s="89" t="s">
        <v>9085</v>
      </c>
      <c r="B2208" s="87" t="s">
        <v>9086</v>
      </c>
      <c r="C2208" s="87" t="s">
        <v>12</v>
      </c>
      <c r="D2208" s="87" t="str">
        <f>VLOOKUP(Tabela1[[#This Row],[Origem]], 'Perguntas 1 a 24'!$J$28:$K$34, 2, 0)</f>
        <v>Sudeste</v>
      </c>
      <c r="E2208" s="87" t="str">
        <f>Tabela1[[#This Row],[Descrição]]&amp;"-"&amp;Tabela1[[#This Row],[Código]]&amp;"/"&amp;Tabela1[[#This Row],[Origem]]</f>
        <v>Rirode-P958P721/RJ</v>
      </c>
      <c r="F2208" s="88">
        <v>46797</v>
      </c>
      <c r="G2208" s="88" t="str" cm="1">
        <f t="array" ref="G22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AND(F2208&gt;= DATE(2026,1,1), F2208&lt;= DATE(2028, 12, 31), J2208&gt;50000), "Pendente e Caro", AND(F2208&gt;= DATE(2026,1,1), F2208&lt;= DATE(2028, 12, 31), J2208&lt;=50000), "Pendente", F2208&gt;= DATE(2029,1,1), "Não prioeitário")</f>
        <v>Pendente e Caro</v>
      </c>
      <c r="H2208" s="89">
        <f>YEAR(Tabela1[[#This Row],[Data de Validade]])</f>
        <v>2028</v>
      </c>
      <c r="I2208" s="89">
        <f>MONTH(Tabela1[[#This Row],[Data de Validade]])</f>
        <v>2</v>
      </c>
      <c r="J2208" s="101">
        <v>92952</v>
      </c>
      <c r="K2208" s="87" t="s">
        <v>9</v>
      </c>
      <c r="L2208" s="108"/>
      <c r="M2208" s="108"/>
      <c r="N2208" s="108" t="str">
        <v>P123H191</v>
      </c>
      <c r="O2208" s="108">
        <f t="shared" si="36"/>
        <v>1</v>
      </c>
      <c r="P2208" s="108"/>
      <c r="Q2208"/>
    </row>
    <row r="2209" spans="1:17" x14ac:dyDescent="0.25">
      <c r="A2209" s="89" t="s">
        <v>3882</v>
      </c>
      <c r="B2209" s="87" t="s">
        <v>3883</v>
      </c>
      <c r="C2209" s="87" t="s">
        <v>6</v>
      </c>
      <c r="D2209" s="87" t="str">
        <f>VLOOKUP(Tabela1[[#This Row],[Origem]], 'Perguntas 1 a 24'!$J$28:$K$34, 2, 0)</f>
        <v>Nordeste</v>
      </c>
      <c r="E2209" s="87" t="str">
        <f>Tabela1[[#This Row],[Descrição]]&amp;"-"&amp;Tabela1[[#This Row],[Código]]&amp;"/"&amp;Tabela1[[#This Row],[Origem]]</f>
        <v>Lonara-P123H191/MA</v>
      </c>
      <c r="F2209" s="88">
        <v>46797</v>
      </c>
      <c r="G2209" s="88" t="str" cm="1">
        <f t="array" ref="G22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AND(F2209&gt;= DATE(2026,1,1), F2209&lt;= DATE(2028, 12, 31), J2209&gt;50000), "Pendente e Caro", AND(F2209&gt;= DATE(2026,1,1), F2209&lt;= DATE(2028, 12, 31), J2209&lt;=50000), "Pendente", F2209&gt;= DATE(2029,1,1), "Não prioeitário")</f>
        <v>Pendente e Caro</v>
      </c>
      <c r="H2209" s="89">
        <f>YEAR(Tabela1[[#This Row],[Data de Validade]])</f>
        <v>2028</v>
      </c>
      <c r="I2209" s="89">
        <f>MONTH(Tabela1[[#This Row],[Data de Validade]])</f>
        <v>2</v>
      </c>
      <c r="J2209" s="101">
        <v>65099</v>
      </c>
      <c r="K2209" s="87" t="s">
        <v>7</v>
      </c>
      <c r="L2209" s="108"/>
      <c r="M2209" s="108"/>
      <c r="N2209" s="108" t="str">
        <v>H849P841</v>
      </c>
      <c r="O2209" s="108">
        <f t="shared" si="36"/>
        <v>1</v>
      </c>
      <c r="P2209" s="108"/>
      <c r="Q2209"/>
    </row>
    <row r="2210" spans="1:17" x14ac:dyDescent="0.25">
      <c r="A2210" s="89" t="s">
        <v>11131</v>
      </c>
      <c r="B2210" s="87" t="s">
        <v>11132</v>
      </c>
      <c r="C2210" s="87" t="s">
        <v>12</v>
      </c>
      <c r="D2210" s="87" t="str">
        <f>VLOOKUP(Tabela1[[#This Row],[Origem]], 'Perguntas 1 a 24'!$J$28:$K$34, 2, 0)</f>
        <v>Sudeste</v>
      </c>
      <c r="E2210" s="87" t="str">
        <f>Tabela1[[#This Row],[Descrição]]&amp;"-"&amp;Tabela1[[#This Row],[Código]]&amp;"/"&amp;Tabela1[[#This Row],[Origem]]</f>
        <v>Vaficinu-H849P841/RJ</v>
      </c>
      <c r="F2210" s="88">
        <v>46797</v>
      </c>
      <c r="G2210" s="88" t="str" cm="1">
        <f t="array" ref="G22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AND(F2210&gt;= DATE(2026,1,1), F2210&lt;= DATE(2028, 12, 31), J2210&gt;50000), "Pendente e Caro", AND(F2210&gt;= DATE(2026,1,1), F2210&lt;= DATE(2028, 12, 31), J2210&lt;=50000), "Pendente", F2210&gt;= DATE(2029,1,1), "Não prioeitário")</f>
        <v>Pendente</v>
      </c>
      <c r="H2210" s="89">
        <f>YEAR(Tabela1[[#This Row],[Data de Validade]])</f>
        <v>2028</v>
      </c>
      <c r="I2210" s="89">
        <f>MONTH(Tabela1[[#This Row],[Data de Validade]])</f>
        <v>2</v>
      </c>
      <c r="J2210" s="101">
        <v>43181</v>
      </c>
      <c r="K2210" s="87" t="s">
        <v>7</v>
      </c>
      <c r="L2210" s="108"/>
      <c r="M2210" s="108"/>
      <c r="N2210" s="108" t="str">
        <v>H812H145</v>
      </c>
      <c r="O2210" s="108">
        <f t="shared" si="36"/>
        <v>1</v>
      </c>
      <c r="P2210" s="108"/>
      <c r="Q2210"/>
    </row>
    <row r="2211" spans="1:17" x14ac:dyDescent="0.25">
      <c r="A2211" s="89" t="s">
        <v>5292</v>
      </c>
      <c r="B2211" s="87" t="s">
        <v>5293</v>
      </c>
      <c r="C2211" s="87" t="s">
        <v>12</v>
      </c>
      <c r="D2211" s="87" t="str">
        <f>VLOOKUP(Tabela1[[#This Row],[Origem]], 'Perguntas 1 a 24'!$J$28:$K$34, 2, 0)</f>
        <v>Sudeste</v>
      </c>
      <c r="E2211" s="87" t="str">
        <f>Tabela1[[#This Row],[Descrição]]&amp;"-"&amp;Tabela1[[#This Row],[Código]]&amp;"/"&amp;Tabela1[[#This Row],[Origem]]</f>
        <v>Letevi-H812H145/RJ</v>
      </c>
      <c r="F2211" s="88">
        <v>46797</v>
      </c>
      <c r="G2211" s="88" t="str" cm="1">
        <f t="array" ref="G22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AND(F2211&gt;= DATE(2026,1,1), F2211&lt;= DATE(2028, 12, 31), J2211&gt;50000), "Pendente e Caro", AND(F2211&gt;= DATE(2026,1,1), F2211&lt;= DATE(2028, 12, 31), J2211&lt;=50000), "Pendente", F2211&gt;= DATE(2029,1,1), "Não prioeitário")</f>
        <v>Pendente</v>
      </c>
      <c r="H2211" s="89">
        <f>YEAR(Tabela1[[#This Row],[Data de Validade]])</f>
        <v>2028</v>
      </c>
      <c r="I2211" s="89">
        <f>MONTH(Tabela1[[#This Row],[Data de Validade]])</f>
        <v>2</v>
      </c>
      <c r="J2211" s="101">
        <v>33788</v>
      </c>
      <c r="K2211" s="87" t="s">
        <v>11</v>
      </c>
      <c r="L2211" s="108"/>
      <c r="M2211" s="108"/>
      <c r="N2211" s="108" t="str">
        <v>H958P874</v>
      </c>
      <c r="O2211" s="108">
        <f t="shared" si="36"/>
        <v>1</v>
      </c>
      <c r="P2211" s="108"/>
      <c r="Q2211"/>
    </row>
    <row r="2212" spans="1:17" x14ac:dyDescent="0.25">
      <c r="A2212" s="89" t="s">
        <v>9247</v>
      </c>
      <c r="B2212" s="87" t="s">
        <v>9248</v>
      </c>
      <c r="C2212" s="87" t="s">
        <v>10</v>
      </c>
      <c r="D2212" s="87" t="str">
        <f>VLOOKUP(Tabela1[[#This Row],[Origem]], 'Perguntas 1 a 24'!$J$28:$K$34, 2, 0)</f>
        <v>Centro-Oeste</v>
      </c>
      <c r="E2212" s="87" t="str">
        <f>Tabela1[[#This Row],[Descrição]]&amp;"-"&amp;Tabela1[[#This Row],[Código]]&amp;"/"&amp;Tabela1[[#This Row],[Origem]]</f>
        <v>Dumevenipe-H958P874/GO</v>
      </c>
      <c r="F2212" s="88">
        <v>46797</v>
      </c>
      <c r="G2212" s="88" t="str" cm="1">
        <f t="array" ref="G22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AND(F2212&gt;= DATE(2026,1,1), F2212&lt;= DATE(2028, 12, 31), J2212&gt;50000), "Pendente e Caro", AND(F2212&gt;= DATE(2026,1,1), F2212&lt;= DATE(2028, 12, 31), J2212&lt;=50000), "Pendente", F2212&gt;= DATE(2029,1,1), "Não prioeitário")</f>
        <v>Pendente</v>
      </c>
      <c r="H2212" s="89">
        <f>YEAR(Tabela1[[#This Row],[Data de Validade]])</f>
        <v>2028</v>
      </c>
      <c r="I2212" s="89">
        <f>MONTH(Tabela1[[#This Row],[Data de Validade]])</f>
        <v>2</v>
      </c>
      <c r="J2212" s="101">
        <v>21244</v>
      </c>
      <c r="K2212" s="87" t="s">
        <v>14</v>
      </c>
      <c r="L2212" s="108"/>
      <c r="M2212" s="108"/>
      <c r="N2212" s="108" t="str">
        <v>H978P212</v>
      </c>
      <c r="O2212" s="108">
        <f t="shared" si="36"/>
        <v>1</v>
      </c>
      <c r="P2212" s="108"/>
      <c r="Q2212"/>
    </row>
    <row r="2213" spans="1:17" x14ac:dyDescent="0.25">
      <c r="A2213" s="89" t="s">
        <v>5544</v>
      </c>
      <c r="B2213" s="87" t="s">
        <v>5545</v>
      </c>
      <c r="C2213" s="87" t="s">
        <v>8</v>
      </c>
      <c r="D2213" s="87" t="str">
        <f>VLOOKUP(Tabela1[[#This Row],[Origem]], 'Perguntas 1 a 24'!$J$28:$K$34, 2, 0)</f>
        <v>Nordeste</v>
      </c>
      <c r="E2213" s="87" t="str">
        <f>Tabela1[[#This Row],[Descrição]]&amp;"-"&amp;Tabela1[[#This Row],[Código]]&amp;"/"&amp;Tabela1[[#This Row],[Origem]]</f>
        <v>Fulapu-H978P212/AL</v>
      </c>
      <c r="F2213" s="88">
        <v>46799</v>
      </c>
      <c r="G2213" s="88" t="str" cm="1">
        <f t="array" ref="G22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AND(F2213&gt;= DATE(2026,1,1), F2213&lt;= DATE(2028, 12, 31), J2213&gt;50000), "Pendente e Caro", AND(F2213&gt;= DATE(2026,1,1), F2213&lt;= DATE(2028, 12, 31), J2213&lt;=50000), "Pendente", F2213&gt;= DATE(2029,1,1), "Não prioeitário")</f>
        <v>Pendente</v>
      </c>
      <c r="H2213" s="89">
        <f>YEAR(Tabela1[[#This Row],[Data de Validade]])</f>
        <v>2028</v>
      </c>
      <c r="I2213" s="89">
        <f>MONTH(Tabela1[[#This Row],[Data de Validade]])</f>
        <v>2</v>
      </c>
      <c r="J2213" s="101">
        <v>38243</v>
      </c>
      <c r="K2213" s="87" t="s">
        <v>9</v>
      </c>
      <c r="L2213" s="108"/>
      <c r="M2213" s="108"/>
      <c r="N2213" s="108" t="str">
        <v>H624H612</v>
      </c>
      <c r="O2213" s="108">
        <f t="shared" si="36"/>
        <v>1</v>
      </c>
      <c r="P2213" s="108"/>
      <c r="Q2213"/>
    </row>
    <row r="2214" spans="1:17" x14ac:dyDescent="0.25">
      <c r="A2214" s="89" t="s">
        <v>5568</v>
      </c>
      <c r="B2214" s="87" t="s">
        <v>5569</v>
      </c>
      <c r="C2214" s="87" t="s">
        <v>15</v>
      </c>
      <c r="D2214" s="87" t="str">
        <f>VLOOKUP(Tabela1[[#This Row],[Origem]], 'Perguntas 1 a 24'!$J$28:$K$34, 2, 0)</f>
        <v>Sudeste</v>
      </c>
      <c r="E2214" s="87" t="str">
        <f>Tabela1[[#This Row],[Descrição]]&amp;"-"&amp;Tabela1[[#This Row],[Código]]&amp;"/"&amp;Tabela1[[#This Row],[Origem]]</f>
        <v>Ravitomopi-H624H612/ES</v>
      </c>
      <c r="F2214" s="88">
        <v>46799</v>
      </c>
      <c r="G2214" s="88" t="str" cm="1">
        <f t="array" ref="G22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AND(F2214&gt;= DATE(2026,1,1), F2214&lt;= DATE(2028, 12, 31), J2214&gt;50000), "Pendente e Caro", AND(F2214&gt;= DATE(2026,1,1), F2214&lt;= DATE(2028, 12, 31), J2214&lt;=50000), "Pendente", F2214&gt;= DATE(2029,1,1), "Não prioeitário")</f>
        <v>Pendente</v>
      </c>
      <c r="H2214" s="89">
        <f>YEAR(Tabela1[[#This Row],[Data de Validade]])</f>
        <v>2028</v>
      </c>
      <c r="I2214" s="89">
        <f>MONTH(Tabela1[[#This Row],[Data de Validade]])</f>
        <v>2</v>
      </c>
      <c r="J2214" s="101">
        <v>38042</v>
      </c>
      <c r="K2214" s="87" t="s">
        <v>14</v>
      </c>
      <c r="L2214" s="108"/>
      <c r="M2214" s="108"/>
      <c r="N2214" s="108" t="str">
        <v>H121P377</v>
      </c>
      <c r="O2214" s="108">
        <f t="shared" si="36"/>
        <v>1</v>
      </c>
      <c r="P2214" s="108"/>
      <c r="Q2214"/>
    </row>
    <row r="2215" spans="1:17" x14ac:dyDescent="0.25">
      <c r="A2215" s="89" t="s">
        <v>10273</v>
      </c>
      <c r="B2215" s="87" t="s">
        <v>10274</v>
      </c>
      <c r="C2215" s="87" t="s">
        <v>13</v>
      </c>
      <c r="D2215" s="87" t="str">
        <f>VLOOKUP(Tabela1[[#This Row],[Origem]], 'Perguntas 1 a 24'!$J$28:$K$34, 2, 0)</f>
        <v>Sudeste</v>
      </c>
      <c r="E2215" s="87" t="str">
        <f>Tabela1[[#This Row],[Descrição]]&amp;"-"&amp;Tabela1[[#This Row],[Código]]&amp;"/"&amp;Tabela1[[#This Row],[Origem]]</f>
        <v>Temiri-H121P377/SP</v>
      </c>
      <c r="F2215" s="88">
        <v>46799</v>
      </c>
      <c r="G2215" s="88" t="str" cm="1">
        <f t="array" ref="G22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AND(F2215&gt;= DATE(2026,1,1), F2215&lt;= DATE(2028, 12, 31), J2215&gt;50000), "Pendente e Caro", AND(F2215&gt;= DATE(2026,1,1), F2215&lt;= DATE(2028, 12, 31), J2215&lt;=50000), "Pendente", F2215&gt;= DATE(2029,1,1), "Não prioeitário")</f>
        <v>Pendente</v>
      </c>
      <c r="H2215" s="89">
        <f>YEAR(Tabela1[[#This Row],[Data de Validade]])</f>
        <v>2028</v>
      </c>
      <c r="I2215" s="89">
        <f>MONTH(Tabela1[[#This Row],[Data de Validade]])</f>
        <v>2</v>
      </c>
      <c r="J2215" s="101">
        <v>31157</v>
      </c>
      <c r="K2215" s="87" t="s">
        <v>11</v>
      </c>
      <c r="L2215" s="108"/>
      <c r="M2215" s="108"/>
      <c r="N2215" s="108" t="str">
        <v>P269P235</v>
      </c>
      <c r="O2215" s="108">
        <f t="shared" si="36"/>
        <v>1</v>
      </c>
      <c r="P2215" s="108"/>
      <c r="Q2215"/>
    </row>
    <row r="2216" spans="1:17" x14ac:dyDescent="0.25">
      <c r="A2216" s="89" t="s">
        <v>6764</v>
      </c>
      <c r="B2216" s="87" t="s">
        <v>6765</v>
      </c>
      <c r="C2216" s="87" t="s">
        <v>13</v>
      </c>
      <c r="D2216" s="87" t="str">
        <f>VLOOKUP(Tabela1[[#This Row],[Origem]], 'Perguntas 1 a 24'!$J$28:$K$34, 2, 0)</f>
        <v>Sudeste</v>
      </c>
      <c r="E2216" s="87" t="str">
        <f>Tabela1[[#This Row],[Descrição]]&amp;"-"&amp;Tabela1[[#This Row],[Código]]&amp;"/"&amp;Tabela1[[#This Row],[Origem]]</f>
        <v>Nidupuru-P269P235/SP</v>
      </c>
      <c r="F2216" s="88">
        <v>46800</v>
      </c>
      <c r="G2216" s="88" t="str" cm="1">
        <f t="array" ref="G22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AND(F2216&gt;= DATE(2026,1,1), F2216&lt;= DATE(2028, 12, 31), J2216&gt;50000), "Pendente e Caro", AND(F2216&gt;= DATE(2026,1,1), F2216&lt;= DATE(2028, 12, 31), J2216&lt;=50000), "Pendente", F2216&gt;= DATE(2029,1,1), "Não prioeitário")</f>
        <v>Pendente e Caro</v>
      </c>
      <c r="H2216" s="89">
        <f>YEAR(Tabela1[[#This Row],[Data de Validade]])</f>
        <v>2028</v>
      </c>
      <c r="I2216" s="89">
        <f>MONTH(Tabela1[[#This Row],[Data de Validade]])</f>
        <v>2</v>
      </c>
      <c r="J2216" s="101">
        <v>68795</v>
      </c>
      <c r="K2216" s="87" t="s">
        <v>14</v>
      </c>
      <c r="L2216" s="108"/>
      <c r="M2216" s="108"/>
      <c r="N2216" s="108" t="str">
        <v>P778H148</v>
      </c>
      <c r="O2216" s="108">
        <f t="shared" si="36"/>
        <v>1</v>
      </c>
      <c r="P2216" s="108"/>
      <c r="Q2216"/>
    </row>
    <row r="2217" spans="1:17" x14ac:dyDescent="0.25">
      <c r="A2217" s="89" t="s">
        <v>10199</v>
      </c>
      <c r="B2217" s="87" t="s">
        <v>10200</v>
      </c>
      <c r="C2217" s="87" t="s">
        <v>12</v>
      </c>
      <c r="D2217" s="87" t="str">
        <f>VLOOKUP(Tabela1[[#This Row],[Origem]], 'Perguntas 1 a 24'!$J$28:$K$34, 2, 0)</f>
        <v>Sudeste</v>
      </c>
      <c r="E2217" s="87" t="str">
        <f>Tabela1[[#This Row],[Descrição]]&amp;"-"&amp;Tabela1[[#This Row],[Código]]&amp;"/"&amp;Tabela1[[#This Row],[Origem]]</f>
        <v>Faparara-P778H148/RJ</v>
      </c>
      <c r="F2217" s="88">
        <v>46800</v>
      </c>
      <c r="G2217" s="88" t="str" cm="1">
        <f t="array" ref="G22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AND(F2217&gt;= DATE(2026,1,1), F2217&lt;= DATE(2028, 12, 31), J2217&gt;50000), "Pendente e Caro", AND(F2217&gt;= DATE(2026,1,1), F2217&lt;= DATE(2028, 12, 31), J2217&lt;=50000), "Pendente", F2217&gt;= DATE(2029,1,1), "Não prioeitário")</f>
        <v>Pendente e Caro</v>
      </c>
      <c r="H2217" s="89">
        <f>YEAR(Tabela1[[#This Row],[Data de Validade]])</f>
        <v>2028</v>
      </c>
      <c r="I2217" s="89">
        <f>MONTH(Tabela1[[#This Row],[Data de Validade]])</f>
        <v>2</v>
      </c>
      <c r="J2217" s="101">
        <v>50662</v>
      </c>
      <c r="K2217" s="87" t="s">
        <v>14</v>
      </c>
      <c r="L2217" s="108"/>
      <c r="M2217" s="108"/>
      <c r="N2217" s="108" t="str">
        <v>P226P565</v>
      </c>
      <c r="O2217" s="108">
        <f t="shared" si="36"/>
        <v>1</v>
      </c>
      <c r="P2217" s="108"/>
      <c r="Q2217"/>
    </row>
    <row r="2218" spans="1:17" x14ac:dyDescent="0.25">
      <c r="A2218" s="89" t="s">
        <v>5194</v>
      </c>
      <c r="B2218" s="87" t="s">
        <v>5195</v>
      </c>
      <c r="C2218" s="87" t="s">
        <v>10</v>
      </c>
      <c r="D2218" s="87" t="str">
        <f>VLOOKUP(Tabela1[[#This Row],[Origem]], 'Perguntas 1 a 24'!$J$28:$K$34, 2, 0)</f>
        <v>Centro-Oeste</v>
      </c>
      <c r="E2218" s="87" t="str">
        <f>Tabela1[[#This Row],[Descrição]]&amp;"-"&amp;Tabela1[[#This Row],[Código]]&amp;"/"&amp;Tabela1[[#This Row],[Origem]]</f>
        <v>Nudipi-P226P565/GO</v>
      </c>
      <c r="F2218" s="88">
        <v>46800</v>
      </c>
      <c r="G2218" s="88" t="str" cm="1">
        <f t="array" ref="G22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AND(F2218&gt;= DATE(2026,1,1), F2218&lt;= DATE(2028, 12, 31), J2218&gt;50000), "Pendente e Caro", AND(F2218&gt;= DATE(2026,1,1), F2218&lt;= DATE(2028, 12, 31), J2218&lt;=50000), "Pendente", F2218&gt;= DATE(2029,1,1), "Não prioeitário")</f>
        <v>Pendente</v>
      </c>
      <c r="H2218" s="89">
        <f>YEAR(Tabela1[[#This Row],[Data de Validade]])</f>
        <v>2028</v>
      </c>
      <c r="I2218" s="89">
        <f>MONTH(Tabela1[[#This Row],[Data de Validade]])</f>
        <v>2</v>
      </c>
      <c r="J2218" s="101">
        <v>40536</v>
      </c>
      <c r="K2218" s="87" t="s">
        <v>9</v>
      </c>
      <c r="L2218" s="108"/>
      <c r="M2218" s="108"/>
      <c r="N2218" s="108" t="str">
        <v>P816P947</v>
      </c>
      <c r="O2218" s="108">
        <f t="shared" si="36"/>
        <v>1</v>
      </c>
      <c r="P2218" s="108"/>
      <c r="Q2218"/>
    </row>
    <row r="2219" spans="1:17" x14ac:dyDescent="0.25">
      <c r="A2219" s="89" t="s">
        <v>10763</v>
      </c>
      <c r="B2219" s="87" t="s">
        <v>10764</v>
      </c>
      <c r="C2219" s="87" t="s">
        <v>16</v>
      </c>
      <c r="D2219" s="87" t="str">
        <f>VLOOKUP(Tabela1[[#This Row],[Origem]], 'Perguntas 1 a 24'!$J$28:$K$34, 2, 0)</f>
        <v>Sudeste</v>
      </c>
      <c r="E2219" s="87" t="str">
        <f>Tabela1[[#This Row],[Descrição]]&amp;"-"&amp;Tabela1[[#This Row],[Código]]&amp;"/"&amp;Tabela1[[#This Row],[Origem]]</f>
        <v>Tecaripi-P816P947/MG</v>
      </c>
      <c r="F2219" s="88">
        <v>46801</v>
      </c>
      <c r="G2219" s="88" t="str" cm="1">
        <f t="array" ref="G22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AND(F2219&gt;= DATE(2026,1,1), F2219&lt;= DATE(2028, 12, 31), J2219&gt;50000), "Pendente e Caro", AND(F2219&gt;= DATE(2026,1,1), F2219&lt;= DATE(2028, 12, 31), J2219&lt;=50000), "Pendente", F2219&gt;= DATE(2029,1,1), "Não prioeitário")</f>
        <v>Pendente e Caro</v>
      </c>
      <c r="H2219" s="89">
        <f>YEAR(Tabela1[[#This Row],[Data de Validade]])</f>
        <v>2028</v>
      </c>
      <c r="I2219" s="89">
        <f>MONTH(Tabela1[[#This Row],[Data de Validade]])</f>
        <v>2</v>
      </c>
      <c r="J2219" s="101">
        <v>114488</v>
      </c>
      <c r="K2219" s="87" t="s">
        <v>14</v>
      </c>
      <c r="L2219" s="108"/>
      <c r="M2219" s="108"/>
      <c r="N2219" s="108" t="str">
        <v>P178P467</v>
      </c>
      <c r="O2219" s="108">
        <f t="shared" si="36"/>
        <v>1</v>
      </c>
      <c r="P2219" s="108"/>
      <c r="Q2219"/>
    </row>
    <row r="2220" spans="1:17" x14ac:dyDescent="0.25">
      <c r="A2220" s="89" t="s">
        <v>4722</v>
      </c>
      <c r="B2220" s="87" t="s">
        <v>4723</v>
      </c>
      <c r="C2220" s="87" t="s">
        <v>15</v>
      </c>
      <c r="D2220" s="87" t="str">
        <f>VLOOKUP(Tabela1[[#This Row],[Origem]], 'Perguntas 1 a 24'!$J$28:$K$34, 2, 0)</f>
        <v>Sudeste</v>
      </c>
      <c r="E2220" s="87" t="str">
        <f>Tabela1[[#This Row],[Descrição]]&amp;"-"&amp;Tabela1[[#This Row],[Código]]&amp;"/"&amp;Tabela1[[#This Row],[Origem]]</f>
        <v>Fapucitadi-P178P467/ES</v>
      </c>
      <c r="F2220" s="88">
        <v>46801</v>
      </c>
      <c r="G2220" s="88" t="str" cm="1">
        <f t="array" ref="G22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AND(F2220&gt;= DATE(2026,1,1), F2220&lt;= DATE(2028, 12, 31), J2220&gt;50000), "Pendente e Caro", AND(F2220&gt;= DATE(2026,1,1), F2220&lt;= DATE(2028, 12, 31), J2220&lt;=50000), "Pendente", F2220&gt;= DATE(2029,1,1), "Não prioeitário")</f>
        <v>Pendente</v>
      </c>
      <c r="H2220" s="89">
        <f>YEAR(Tabela1[[#This Row],[Data de Validade]])</f>
        <v>2028</v>
      </c>
      <c r="I2220" s="89">
        <f>MONTH(Tabela1[[#This Row],[Data de Validade]])</f>
        <v>2</v>
      </c>
      <c r="J2220" s="101">
        <v>42159</v>
      </c>
      <c r="K2220" s="87" t="s">
        <v>7</v>
      </c>
      <c r="L2220" s="108"/>
      <c r="M2220" s="108"/>
      <c r="N2220" s="108" t="str">
        <v>P799H443</v>
      </c>
      <c r="O2220" s="108">
        <f t="shared" si="36"/>
        <v>1</v>
      </c>
      <c r="P2220" s="108"/>
      <c r="Q2220"/>
    </row>
    <row r="2221" spans="1:17" x14ac:dyDescent="0.25">
      <c r="A2221" s="89" t="s">
        <v>5532</v>
      </c>
      <c r="B2221" s="87" t="s">
        <v>5533</v>
      </c>
      <c r="C2221" s="87" t="s">
        <v>13</v>
      </c>
      <c r="D2221" s="87" t="str">
        <f>VLOOKUP(Tabela1[[#This Row],[Origem]], 'Perguntas 1 a 24'!$J$28:$K$34, 2, 0)</f>
        <v>Sudeste</v>
      </c>
      <c r="E2221" s="87" t="str">
        <f>Tabela1[[#This Row],[Descrição]]&amp;"-"&amp;Tabela1[[#This Row],[Código]]&amp;"/"&amp;Tabela1[[#This Row],[Origem]]</f>
        <v>Roretanupe-P799H443/SP</v>
      </c>
      <c r="F2221" s="88">
        <v>46803</v>
      </c>
      <c r="G2221" s="88" t="str" cm="1">
        <f t="array" ref="G22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AND(F2221&gt;= DATE(2026,1,1), F2221&lt;= DATE(2028, 12, 31), J2221&gt;50000), "Pendente e Caro", AND(F2221&gt;= DATE(2026,1,1), F2221&lt;= DATE(2028, 12, 31), J2221&lt;=50000), "Pendente", F2221&gt;= DATE(2029,1,1), "Não prioeitário")</f>
        <v>Pendente e Caro</v>
      </c>
      <c r="H2221" s="89">
        <f>YEAR(Tabela1[[#This Row],[Data de Validade]])</f>
        <v>2028</v>
      </c>
      <c r="I2221" s="89">
        <f>MONTH(Tabela1[[#This Row],[Data de Validade]])</f>
        <v>2</v>
      </c>
      <c r="J2221" s="101">
        <v>70263</v>
      </c>
      <c r="K2221" s="87" t="s">
        <v>7</v>
      </c>
      <c r="L2221" s="108"/>
      <c r="M2221" s="108"/>
      <c r="N2221" s="108" t="str">
        <v>H443H384</v>
      </c>
      <c r="O2221" s="108">
        <f t="shared" si="36"/>
        <v>1</v>
      </c>
      <c r="P2221" s="108"/>
      <c r="Q2221"/>
    </row>
    <row r="2222" spans="1:17" x14ac:dyDescent="0.25">
      <c r="A2222" s="89" t="s">
        <v>5112</v>
      </c>
      <c r="B2222" s="87" t="s">
        <v>5113</v>
      </c>
      <c r="C2222" s="87" t="s">
        <v>15</v>
      </c>
      <c r="D2222" s="87" t="str">
        <f>VLOOKUP(Tabela1[[#This Row],[Origem]], 'Perguntas 1 a 24'!$J$28:$K$34, 2, 0)</f>
        <v>Sudeste</v>
      </c>
      <c r="E2222" s="87" t="str">
        <f>Tabela1[[#This Row],[Descrição]]&amp;"-"&amp;Tabela1[[#This Row],[Código]]&amp;"/"&amp;Tabela1[[#This Row],[Origem]]</f>
        <v>Delulo-H443H384/ES</v>
      </c>
      <c r="F2222" s="88">
        <v>46804</v>
      </c>
      <c r="G2222" s="88" t="str" cm="1">
        <f t="array" ref="G22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AND(F2222&gt;= DATE(2026,1,1), F2222&lt;= DATE(2028, 12, 31), J2222&gt;50000), "Pendente e Caro", AND(F2222&gt;= DATE(2026,1,1), F2222&lt;= DATE(2028, 12, 31), J2222&lt;=50000), "Pendente", F2222&gt;= DATE(2029,1,1), "Não prioeitário")</f>
        <v>Pendente</v>
      </c>
      <c r="H2222" s="89">
        <f>YEAR(Tabela1[[#This Row],[Data de Validade]])</f>
        <v>2028</v>
      </c>
      <c r="I2222" s="89">
        <f>MONTH(Tabela1[[#This Row],[Data de Validade]])</f>
        <v>2</v>
      </c>
      <c r="J2222" s="101">
        <v>40816</v>
      </c>
      <c r="K2222" s="87" t="s">
        <v>9</v>
      </c>
      <c r="L2222" s="108"/>
      <c r="M2222" s="108"/>
      <c r="N2222" s="108" t="str">
        <v>P357P358</v>
      </c>
      <c r="O2222" s="108">
        <f t="shared" si="36"/>
        <v>1</v>
      </c>
      <c r="P2222" s="108"/>
      <c r="Q2222"/>
    </row>
    <row r="2223" spans="1:17" x14ac:dyDescent="0.25">
      <c r="A2223" s="89" t="s">
        <v>10561</v>
      </c>
      <c r="B2223" s="87" t="s">
        <v>10562</v>
      </c>
      <c r="C2223" s="87" t="s">
        <v>13</v>
      </c>
      <c r="D2223" s="87" t="str">
        <f>VLOOKUP(Tabela1[[#This Row],[Origem]], 'Perguntas 1 a 24'!$J$28:$K$34, 2, 0)</f>
        <v>Sudeste</v>
      </c>
      <c r="E2223" s="87" t="str">
        <f>Tabela1[[#This Row],[Descrição]]&amp;"-"&amp;Tabela1[[#This Row],[Código]]&amp;"/"&amp;Tabela1[[#This Row],[Origem]]</f>
        <v>Pugonatepo-P357P358/SP</v>
      </c>
      <c r="F2223" s="88">
        <v>46805</v>
      </c>
      <c r="G2223" s="88" t="str" cm="1">
        <f t="array" ref="G22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AND(F2223&gt;= DATE(2026,1,1), F2223&lt;= DATE(2028, 12, 31), J2223&gt;50000), "Pendente e Caro", AND(F2223&gt;= DATE(2026,1,1), F2223&lt;= DATE(2028, 12, 31), J2223&lt;=50000), "Pendente", F2223&gt;= DATE(2029,1,1), "Não prioeitário")</f>
        <v>Pendente e Caro</v>
      </c>
      <c r="H2223" s="89">
        <f>YEAR(Tabela1[[#This Row],[Data de Validade]])</f>
        <v>2028</v>
      </c>
      <c r="I2223" s="89">
        <f>MONTH(Tabela1[[#This Row],[Data de Validade]])</f>
        <v>2</v>
      </c>
      <c r="J2223" s="101">
        <v>97842</v>
      </c>
      <c r="K2223" s="87" t="s">
        <v>9</v>
      </c>
      <c r="L2223" s="108"/>
      <c r="M2223" s="108"/>
      <c r="N2223" s="108" t="str">
        <v>H171H831</v>
      </c>
      <c r="O2223" s="108">
        <f t="shared" si="36"/>
        <v>1</v>
      </c>
      <c r="P2223" s="108"/>
      <c r="Q2223"/>
    </row>
    <row r="2224" spans="1:17" x14ac:dyDescent="0.25">
      <c r="A2224" s="89" t="s">
        <v>10613</v>
      </c>
      <c r="B2224" s="87" t="s">
        <v>10614</v>
      </c>
      <c r="C2224" s="87" t="s">
        <v>8</v>
      </c>
      <c r="D2224" s="87" t="str">
        <f>VLOOKUP(Tabela1[[#This Row],[Origem]], 'Perguntas 1 a 24'!$J$28:$K$34, 2, 0)</f>
        <v>Nordeste</v>
      </c>
      <c r="E2224" s="87" t="str">
        <f>Tabela1[[#This Row],[Descrição]]&amp;"-"&amp;Tabela1[[#This Row],[Código]]&amp;"/"&amp;Tabela1[[#This Row],[Origem]]</f>
        <v>Docitipuno-H171H831/AL</v>
      </c>
      <c r="F2224" s="88">
        <v>46805</v>
      </c>
      <c r="G2224" s="88" t="str" cm="1">
        <f t="array" ref="G22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AND(F2224&gt;= DATE(2026,1,1), F2224&lt;= DATE(2028, 12, 31), J2224&gt;50000), "Pendente e Caro", AND(F2224&gt;= DATE(2026,1,1), F2224&lt;= DATE(2028, 12, 31), J2224&lt;=50000), "Pendente", F2224&gt;= DATE(2029,1,1), "Não prioeitário")</f>
        <v>Pendente</v>
      </c>
      <c r="H2224" s="89">
        <f>YEAR(Tabela1[[#This Row],[Data de Validade]])</f>
        <v>2028</v>
      </c>
      <c r="I2224" s="89">
        <f>MONTH(Tabela1[[#This Row],[Data de Validade]])</f>
        <v>2</v>
      </c>
      <c r="J2224" s="101">
        <v>31749</v>
      </c>
      <c r="K2224" s="87" t="s">
        <v>9</v>
      </c>
      <c r="L2224" s="108"/>
      <c r="M2224" s="108"/>
      <c r="N2224" s="108" t="str">
        <v>H776P778</v>
      </c>
      <c r="O2224" s="108">
        <f t="shared" si="36"/>
        <v>1</v>
      </c>
      <c r="P2224" s="108"/>
      <c r="Q2224"/>
    </row>
    <row r="2225" spans="1:17" x14ac:dyDescent="0.25">
      <c r="A2225" s="89" t="s">
        <v>10511</v>
      </c>
      <c r="B2225" s="87" t="s">
        <v>10512</v>
      </c>
      <c r="C2225" s="87" t="s">
        <v>8</v>
      </c>
      <c r="D2225" s="87" t="str">
        <f>VLOOKUP(Tabela1[[#This Row],[Origem]], 'Perguntas 1 a 24'!$J$28:$K$34, 2, 0)</f>
        <v>Nordeste</v>
      </c>
      <c r="E2225" s="87" t="str">
        <f>Tabela1[[#This Row],[Descrição]]&amp;"-"&amp;Tabela1[[#This Row],[Código]]&amp;"/"&amp;Tabela1[[#This Row],[Origem]]</f>
        <v>Ricurapo-H776P778/AL</v>
      </c>
      <c r="F2225" s="88">
        <v>46806</v>
      </c>
      <c r="G2225" s="88" t="str" cm="1">
        <f t="array" ref="G22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AND(F2225&gt;= DATE(2026,1,1), F2225&lt;= DATE(2028, 12, 31), J2225&gt;50000), "Pendente e Caro", AND(F2225&gt;= DATE(2026,1,1), F2225&lt;= DATE(2028, 12, 31), J2225&lt;=50000), "Pendente", F2225&gt;= DATE(2029,1,1), "Não prioeitário")</f>
        <v>Pendente e Caro</v>
      </c>
      <c r="H2225" s="89">
        <f>YEAR(Tabela1[[#This Row],[Data de Validade]])</f>
        <v>2028</v>
      </c>
      <c r="I2225" s="89">
        <f>MONTH(Tabela1[[#This Row],[Data de Validade]])</f>
        <v>2</v>
      </c>
      <c r="J2225" s="101">
        <v>61960</v>
      </c>
      <c r="K2225" s="87" t="s">
        <v>7</v>
      </c>
      <c r="L2225" s="108"/>
      <c r="M2225" s="108"/>
      <c r="N2225" s="108" t="str">
        <v>P659P963</v>
      </c>
      <c r="O2225" s="108">
        <f t="shared" si="36"/>
        <v>1</v>
      </c>
      <c r="P2225" s="108"/>
      <c r="Q2225"/>
    </row>
    <row r="2226" spans="1:17" x14ac:dyDescent="0.25">
      <c r="A2226" s="89" t="s">
        <v>8889</v>
      </c>
      <c r="B2226" s="87" t="s">
        <v>8890</v>
      </c>
      <c r="C2226" s="87" t="s">
        <v>15</v>
      </c>
      <c r="D2226" s="87" t="str">
        <f>VLOOKUP(Tabela1[[#This Row],[Origem]], 'Perguntas 1 a 24'!$J$28:$K$34, 2, 0)</f>
        <v>Sudeste</v>
      </c>
      <c r="E2226" s="87" t="str">
        <f>Tabela1[[#This Row],[Descrição]]&amp;"-"&amp;Tabela1[[#This Row],[Código]]&amp;"/"&amp;Tabela1[[#This Row],[Origem]]</f>
        <v>Pamepa-P659P963/ES</v>
      </c>
      <c r="F2226" s="88">
        <v>46806</v>
      </c>
      <c r="G2226" s="88" t="str" cm="1">
        <f t="array" ref="G22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AND(F2226&gt;= DATE(2026,1,1), F2226&lt;= DATE(2028, 12, 31), J2226&gt;50000), "Pendente e Caro", AND(F2226&gt;= DATE(2026,1,1), F2226&lt;= DATE(2028, 12, 31), J2226&lt;=50000), "Pendente", F2226&gt;= DATE(2029,1,1), "Não prioeitário")</f>
        <v>Pendente e Caro</v>
      </c>
      <c r="H2226" s="89">
        <f>YEAR(Tabela1[[#This Row],[Data de Validade]])</f>
        <v>2028</v>
      </c>
      <c r="I2226" s="89">
        <f>MONTH(Tabela1[[#This Row],[Data de Validade]])</f>
        <v>2</v>
      </c>
      <c r="J2226" s="101">
        <v>53528</v>
      </c>
      <c r="K2226" s="87" t="s">
        <v>14</v>
      </c>
      <c r="L2226" s="108"/>
      <c r="M2226" s="108"/>
      <c r="N2226" s="108" t="str">
        <v>H995H745</v>
      </c>
      <c r="O2226" s="108">
        <f t="shared" si="36"/>
        <v>1</v>
      </c>
      <c r="P2226" s="108"/>
      <c r="Q2226"/>
    </row>
    <row r="2227" spans="1:17" x14ac:dyDescent="0.25">
      <c r="A2227" s="89" t="s">
        <v>4120</v>
      </c>
      <c r="B2227" s="87" t="s">
        <v>4121</v>
      </c>
      <c r="C2227" s="87" t="s">
        <v>16</v>
      </c>
      <c r="D2227" s="87" t="str">
        <f>VLOOKUP(Tabela1[[#This Row],[Origem]], 'Perguntas 1 a 24'!$J$28:$K$34, 2, 0)</f>
        <v>Sudeste</v>
      </c>
      <c r="E2227" s="87" t="str">
        <f>Tabela1[[#This Row],[Descrição]]&amp;"-"&amp;Tabela1[[#This Row],[Código]]&amp;"/"&amp;Tabela1[[#This Row],[Origem]]</f>
        <v>Carafopiro-H995H745/MG</v>
      </c>
      <c r="F2227" s="88">
        <v>46806</v>
      </c>
      <c r="G2227" s="88" t="str" cm="1">
        <f t="array" ref="G22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AND(F2227&gt;= DATE(2026,1,1), F2227&lt;= DATE(2028, 12, 31), J2227&gt;50000), "Pendente e Caro", AND(F2227&gt;= DATE(2026,1,1), F2227&lt;= DATE(2028, 12, 31), J2227&lt;=50000), "Pendente", F2227&gt;= DATE(2029,1,1), "Não prioeitário")</f>
        <v>Pendente</v>
      </c>
      <c r="H2227" s="89">
        <f>YEAR(Tabela1[[#This Row],[Data de Validade]])</f>
        <v>2028</v>
      </c>
      <c r="I2227" s="89">
        <f>MONTH(Tabela1[[#This Row],[Data de Validade]])</f>
        <v>2</v>
      </c>
      <c r="J2227" s="101">
        <v>44064</v>
      </c>
      <c r="K2227" s="87" t="s">
        <v>11</v>
      </c>
      <c r="L2227" s="108"/>
      <c r="M2227" s="108"/>
      <c r="N2227" s="108" t="str">
        <v>H366H864</v>
      </c>
      <c r="O2227" s="108">
        <f t="shared" si="36"/>
        <v>1</v>
      </c>
      <c r="P2227" s="108"/>
      <c r="Q2227"/>
    </row>
    <row r="2228" spans="1:17" x14ac:dyDescent="0.25">
      <c r="A2228" s="89" t="s">
        <v>5360</v>
      </c>
      <c r="B2228" s="87" t="s">
        <v>5361</v>
      </c>
      <c r="C2228" s="87" t="s">
        <v>6</v>
      </c>
      <c r="D2228" s="87" t="str">
        <f>VLOOKUP(Tabela1[[#This Row],[Origem]], 'Perguntas 1 a 24'!$J$28:$K$34, 2, 0)</f>
        <v>Nordeste</v>
      </c>
      <c r="E2228" s="87" t="str">
        <f>Tabela1[[#This Row],[Descrição]]&amp;"-"&amp;Tabela1[[#This Row],[Código]]&amp;"/"&amp;Tabela1[[#This Row],[Origem]]</f>
        <v>Popela-H366H864/MA</v>
      </c>
      <c r="F2228" s="88">
        <v>46808</v>
      </c>
      <c r="G2228" s="88" t="str" cm="1">
        <f t="array" ref="G22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AND(F2228&gt;= DATE(2026,1,1), F2228&lt;= DATE(2028, 12, 31), J2228&gt;50000), "Pendente e Caro", AND(F2228&gt;= DATE(2026,1,1), F2228&lt;= DATE(2028, 12, 31), J2228&lt;=50000), "Pendente", F2228&gt;= DATE(2029,1,1), "Não prioeitário")</f>
        <v>Pendente e Caro</v>
      </c>
      <c r="H2228" s="89">
        <f>YEAR(Tabela1[[#This Row],[Data de Validade]])</f>
        <v>2028</v>
      </c>
      <c r="I2228" s="89">
        <f>MONTH(Tabela1[[#This Row],[Data de Validade]])</f>
        <v>2</v>
      </c>
      <c r="J2228" s="101">
        <v>73640</v>
      </c>
      <c r="K2228" s="87" t="s">
        <v>9</v>
      </c>
      <c r="L2228" s="108"/>
      <c r="M2228" s="108"/>
      <c r="N2228" s="108" t="str">
        <v>H349P335</v>
      </c>
      <c r="O2228" s="108">
        <f t="shared" si="36"/>
        <v>1</v>
      </c>
      <c r="P2228" s="108"/>
      <c r="Q2228"/>
    </row>
    <row r="2229" spans="1:17" x14ac:dyDescent="0.25">
      <c r="A2229" s="89" t="s">
        <v>8885</v>
      </c>
      <c r="B2229" s="87" t="s">
        <v>8886</v>
      </c>
      <c r="C2229" s="87" t="s">
        <v>6</v>
      </c>
      <c r="D2229" s="87" t="str">
        <f>VLOOKUP(Tabela1[[#This Row],[Origem]], 'Perguntas 1 a 24'!$J$28:$K$34, 2, 0)</f>
        <v>Nordeste</v>
      </c>
      <c r="E2229" s="87" t="str">
        <f>Tabela1[[#This Row],[Descrição]]&amp;"-"&amp;Tabela1[[#This Row],[Código]]&amp;"/"&amp;Tabela1[[#This Row],[Origem]]</f>
        <v>Dipotupe-H349P335/MA</v>
      </c>
      <c r="F2229" s="88">
        <v>46808</v>
      </c>
      <c r="G2229" s="88" t="str" cm="1">
        <f t="array" ref="G22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AND(F2229&gt;= DATE(2026,1,1), F2229&lt;= DATE(2028, 12, 31), J2229&gt;50000), "Pendente e Caro", AND(F2229&gt;= DATE(2026,1,1), F2229&lt;= DATE(2028, 12, 31), J2229&lt;=50000), "Pendente", F2229&gt;= DATE(2029,1,1), "Não prioeitário")</f>
        <v>Pendente</v>
      </c>
      <c r="H2229" s="89">
        <f>YEAR(Tabela1[[#This Row],[Data de Validade]])</f>
        <v>2028</v>
      </c>
      <c r="I2229" s="89">
        <f>MONTH(Tabela1[[#This Row],[Data de Validade]])</f>
        <v>2</v>
      </c>
      <c r="J2229" s="101">
        <v>38925</v>
      </c>
      <c r="K2229" s="87" t="s">
        <v>9</v>
      </c>
      <c r="L2229" s="108"/>
      <c r="M2229" s="108"/>
      <c r="N2229" s="108" t="str">
        <v>H752P914</v>
      </c>
      <c r="O2229" s="108">
        <f t="shared" si="36"/>
        <v>1</v>
      </c>
      <c r="P2229" s="108"/>
      <c r="Q2229"/>
    </row>
    <row r="2230" spans="1:17" x14ac:dyDescent="0.25">
      <c r="A2230" s="89" t="s">
        <v>10401</v>
      </c>
      <c r="B2230" s="87" t="s">
        <v>10402</v>
      </c>
      <c r="C2230" s="87" t="s">
        <v>10</v>
      </c>
      <c r="D2230" s="87" t="str">
        <f>VLOOKUP(Tabela1[[#This Row],[Origem]], 'Perguntas 1 a 24'!$J$28:$K$34, 2, 0)</f>
        <v>Centro-Oeste</v>
      </c>
      <c r="E2230" s="87" t="str">
        <f>Tabela1[[#This Row],[Descrição]]&amp;"-"&amp;Tabela1[[#This Row],[Código]]&amp;"/"&amp;Tabela1[[#This Row],[Origem]]</f>
        <v>Padogugiro-H752P914/GO</v>
      </c>
      <c r="F2230" s="88">
        <v>46809</v>
      </c>
      <c r="G2230" s="88" t="str" cm="1">
        <f t="array" ref="G22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AND(F2230&gt;= DATE(2026,1,1), F2230&lt;= DATE(2028, 12, 31), J2230&gt;50000), "Pendente e Caro", AND(F2230&gt;= DATE(2026,1,1), F2230&lt;= DATE(2028, 12, 31), J2230&lt;=50000), "Pendente", F2230&gt;= DATE(2029,1,1), "Não prioeitário")</f>
        <v>Pendente e Caro</v>
      </c>
      <c r="H2230" s="89">
        <f>YEAR(Tabela1[[#This Row],[Data de Validade]])</f>
        <v>2028</v>
      </c>
      <c r="I2230" s="89">
        <f>MONTH(Tabela1[[#This Row],[Data de Validade]])</f>
        <v>2</v>
      </c>
      <c r="J2230" s="101">
        <v>83671</v>
      </c>
      <c r="K2230" s="87" t="s">
        <v>7</v>
      </c>
      <c r="L2230" s="108"/>
      <c r="M2230" s="108"/>
      <c r="N2230" s="108" t="str">
        <v>H165H857</v>
      </c>
      <c r="O2230" s="108">
        <f t="shared" si="36"/>
        <v>1</v>
      </c>
      <c r="P2230" s="108"/>
      <c r="Q2230"/>
    </row>
    <row r="2231" spans="1:17" x14ac:dyDescent="0.25">
      <c r="A2231" s="89" t="s">
        <v>4431</v>
      </c>
      <c r="B2231" s="87" t="s">
        <v>4432</v>
      </c>
      <c r="C2231" s="87" t="s">
        <v>16</v>
      </c>
      <c r="D2231" s="87" t="str">
        <f>VLOOKUP(Tabela1[[#This Row],[Origem]], 'Perguntas 1 a 24'!$J$28:$K$34, 2, 0)</f>
        <v>Sudeste</v>
      </c>
      <c r="E2231" s="87" t="str">
        <f>Tabela1[[#This Row],[Descrição]]&amp;"-"&amp;Tabela1[[#This Row],[Código]]&amp;"/"&amp;Tabela1[[#This Row],[Origem]]</f>
        <v>Totapamo-H165H857/MG</v>
      </c>
      <c r="F2231" s="88">
        <v>46810</v>
      </c>
      <c r="G2231" s="88" t="str" cm="1">
        <f t="array" ref="G22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AND(F2231&gt;= DATE(2026,1,1), F2231&lt;= DATE(2028, 12, 31), J2231&gt;50000), "Pendente e Caro", AND(F2231&gt;= DATE(2026,1,1), F2231&lt;= DATE(2028, 12, 31), J2231&lt;=50000), "Pendente", F2231&gt;= DATE(2029,1,1), "Não prioeitário")</f>
        <v>Pendente e Caro</v>
      </c>
      <c r="H2231" s="89">
        <f>YEAR(Tabela1[[#This Row],[Data de Validade]])</f>
        <v>2028</v>
      </c>
      <c r="I2231" s="89">
        <f>MONTH(Tabela1[[#This Row],[Data de Validade]])</f>
        <v>2</v>
      </c>
      <c r="J2231" s="101">
        <v>85633</v>
      </c>
      <c r="K2231" s="87" t="s">
        <v>9</v>
      </c>
      <c r="L2231" s="108"/>
      <c r="M2231" s="108"/>
      <c r="N2231" s="108" t="str">
        <v>H845P575</v>
      </c>
      <c r="O2231" s="108">
        <f t="shared" si="36"/>
        <v>1</v>
      </c>
      <c r="P2231" s="108"/>
      <c r="Q2231"/>
    </row>
    <row r="2232" spans="1:17" x14ac:dyDescent="0.25">
      <c r="A2232" s="89" t="s">
        <v>6702</v>
      </c>
      <c r="B2232" s="87" t="s">
        <v>6703</v>
      </c>
      <c r="C2232" s="87" t="s">
        <v>16</v>
      </c>
      <c r="D2232" s="87" t="str">
        <f>VLOOKUP(Tabela1[[#This Row],[Origem]], 'Perguntas 1 a 24'!$J$28:$K$34, 2, 0)</f>
        <v>Sudeste</v>
      </c>
      <c r="E2232" s="87" t="str">
        <f>Tabela1[[#This Row],[Descrição]]&amp;"-"&amp;Tabela1[[#This Row],[Código]]&amp;"/"&amp;Tabela1[[#This Row],[Origem]]</f>
        <v>Cececupato-H845P575/MG</v>
      </c>
      <c r="F2232" s="88">
        <v>46810</v>
      </c>
      <c r="G2232" s="88" t="str" cm="1">
        <f t="array" ref="G22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AND(F2232&gt;= DATE(2026,1,1), F2232&lt;= DATE(2028, 12, 31), J2232&gt;50000), "Pendente e Caro", AND(F2232&gt;= DATE(2026,1,1), F2232&lt;= DATE(2028, 12, 31), J2232&lt;=50000), "Pendente", F2232&gt;= DATE(2029,1,1), "Não prioeitário")</f>
        <v>Pendente</v>
      </c>
      <c r="H2232" s="89">
        <f>YEAR(Tabela1[[#This Row],[Data de Validade]])</f>
        <v>2028</v>
      </c>
      <c r="I2232" s="89">
        <f>MONTH(Tabela1[[#This Row],[Data de Validade]])</f>
        <v>2</v>
      </c>
      <c r="J2232" s="101">
        <v>43887</v>
      </c>
      <c r="K2232" s="87" t="s">
        <v>7</v>
      </c>
      <c r="L2232" s="108"/>
      <c r="M2232" s="108"/>
      <c r="N2232" s="108" t="str">
        <v>P886H581</v>
      </c>
      <c r="O2232" s="108">
        <f t="shared" si="36"/>
        <v>1</v>
      </c>
      <c r="P2232" s="108"/>
      <c r="Q2232"/>
    </row>
    <row r="2233" spans="1:17" x14ac:dyDescent="0.25">
      <c r="A2233" s="89" t="s">
        <v>5496</v>
      </c>
      <c r="B2233" s="87" t="s">
        <v>5497</v>
      </c>
      <c r="C2233" s="87" t="s">
        <v>16</v>
      </c>
      <c r="D2233" s="87" t="str">
        <f>VLOOKUP(Tabela1[[#This Row],[Origem]], 'Perguntas 1 a 24'!$J$28:$K$34, 2, 0)</f>
        <v>Sudeste</v>
      </c>
      <c r="E2233" s="87" t="str">
        <f>Tabela1[[#This Row],[Descrição]]&amp;"-"&amp;Tabela1[[#This Row],[Código]]&amp;"/"&amp;Tabela1[[#This Row],[Origem]]</f>
        <v>Pogodiru-P886H581/MG</v>
      </c>
      <c r="F2233" s="88">
        <v>46810</v>
      </c>
      <c r="G2233" s="88" t="str" cm="1">
        <f t="array" ref="G22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AND(F2233&gt;= DATE(2026,1,1), F2233&lt;= DATE(2028, 12, 31), J2233&gt;50000), "Pendente e Caro", AND(F2233&gt;= DATE(2026,1,1), F2233&lt;= DATE(2028, 12, 31), J2233&lt;=50000), "Pendente", F2233&gt;= DATE(2029,1,1), "Não prioeitário")</f>
        <v>Pendente</v>
      </c>
      <c r="H2233" s="89">
        <f>YEAR(Tabela1[[#This Row],[Data de Validade]])</f>
        <v>2028</v>
      </c>
      <c r="I2233" s="89">
        <f>MONTH(Tabela1[[#This Row],[Data de Validade]])</f>
        <v>2</v>
      </c>
      <c r="J2233" s="101">
        <v>23439</v>
      </c>
      <c r="K2233" s="87" t="s">
        <v>7</v>
      </c>
      <c r="L2233" s="108"/>
      <c r="M2233" s="108"/>
      <c r="N2233" s="108" t="str">
        <v>P537H546</v>
      </c>
      <c r="O2233" s="108">
        <f t="shared" si="36"/>
        <v>1</v>
      </c>
      <c r="P2233" s="108"/>
      <c r="Q2233"/>
    </row>
    <row r="2234" spans="1:17" x14ac:dyDescent="0.25">
      <c r="A2234" s="89" t="s">
        <v>6686</v>
      </c>
      <c r="B2234" s="87" t="s">
        <v>6687</v>
      </c>
      <c r="C2234" s="87" t="s">
        <v>16</v>
      </c>
      <c r="D2234" s="87" t="str">
        <f>VLOOKUP(Tabela1[[#This Row],[Origem]], 'Perguntas 1 a 24'!$J$28:$K$34, 2, 0)</f>
        <v>Sudeste</v>
      </c>
      <c r="E2234" s="87" t="str">
        <f>Tabela1[[#This Row],[Descrição]]&amp;"-"&amp;Tabela1[[#This Row],[Código]]&amp;"/"&amp;Tabela1[[#This Row],[Origem]]</f>
        <v>Pogagora-P537H546/MG</v>
      </c>
      <c r="F2234" s="88">
        <v>46811</v>
      </c>
      <c r="G2234" s="88" t="str" cm="1">
        <f t="array" ref="G22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AND(F2234&gt;= DATE(2026,1,1), F2234&lt;= DATE(2028, 12, 31), J2234&gt;50000), "Pendente e Caro", AND(F2234&gt;= DATE(2026,1,1), F2234&lt;= DATE(2028, 12, 31), J2234&lt;=50000), "Pendente", F2234&gt;= DATE(2029,1,1), "Não prioeitário")</f>
        <v>Pendente e Caro</v>
      </c>
      <c r="H2234" s="89">
        <f>YEAR(Tabela1[[#This Row],[Data de Validade]])</f>
        <v>2028</v>
      </c>
      <c r="I2234" s="89">
        <f>MONTH(Tabela1[[#This Row],[Data de Validade]])</f>
        <v>2</v>
      </c>
      <c r="J2234" s="101">
        <v>72258</v>
      </c>
      <c r="K2234" s="87" t="s">
        <v>11</v>
      </c>
      <c r="L2234" s="108"/>
      <c r="M2234" s="108"/>
      <c r="N2234" s="108" t="str">
        <v>H317H318</v>
      </c>
      <c r="O2234" s="108">
        <f t="shared" si="36"/>
        <v>1</v>
      </c>
      <c r="P2234" s="108"/>
      <c r="Q2234"/>
    </row>
    <row r="2235" spans="1:17" x14ac:dyDescent="0.25">
      <c r="A2235" s="89" t="s">
        <v>9593</v>
      </c>
      <c r="B2235" s="87" t="s">
        <v>9594</v>
      </c>
      <c r="C2235" s="87" t="s">
        <v>6</v>
      </c>
      <c r="D2235" s="87" t="str">
        <f>VLOOKUP(Tabela1[[#This Row],[Origem]], 'Perguntas 1 a 24'!$J$28:$K$34, 2, 0)</f>
        <v>Nordeste</v>
      </c>
      <c r="E2235" s="87" t="str">
        <f>Tabela1[[#This Row],[Descrição]]&amp;"-"&amp;Tabela1[[#This Row],[Código]]&amp;"/"&amp;Tabela1[[#This Row],[Origem]]</f>
        <v>Nenaticuvi-H317H318/MA</v>
      </c>
      <c r="F2235" s="88">
        <v>46813</v>
      </c>
      <c r="G2235" s="88" t="str" cm="1">
        <f t="array" ref="G22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AND(F2235&gt;= DATE(2026,1,1), F2235&lt;= DATE(2028, 12, 31), J2235&gt;50000), "Pendente e Caro", AND(F2235&gt;= DATE(2026,1,1), F2235&lt;= DATE(2028, 12, 31), J2235&lt;=50000), "Pendente", F2235&gt;= DATE(2029,1,1), "Não prioeitário")</f>
        <v>Pendente e Caro</v>
      </c>
      <c r="H2235" s="89">
        <f>YEAR(Tabela1[[#This Row],[Data de Validade]])</f>
        <v>2028</v>
      </c>
      <c r="I2235" s="89">
        <f>MONTH(Tabela1[[#This Row],[Data de Validade]])</f>
        <v>3</v>
      </c>
      <c r="J2235" s="101">
        <v>112296</v>
      </c>
      <c r="K2235" s="87" t="s">
        <v>14</v>
      </c>
      <c r="L2235" s="108"/>
      <c r="M2235" s="108"/>
      <c r="N2235" s="108" t="str">
        <v>P821H722</v>
      </c>
      <c r="O2235" s="108">
        <f t="shared" si="36"/>
        <v>1</v>
      </c>
      <c r="P2235" s="108"/>
      <c r="Q2235"/>
    </row>
    <row r="2236" spans="1:17" x14ac:dyDescent="0.25">
      <c r="A2236" s="89" t="s">
        <v>3906</v>
      </c>
      <c r="B2236" s="87" t="s">
        <v>3907</v>
      </c>
      <c r="C2236" s="87" t="s">
        <v>15</v>
      </c>
      <c r="D2236" s="87" t="str">
        <f>VLOOKUP(Tabela1[[#This Row],[Origem]], 'Perguntas 1 a 24'!$J$28:$K$34, 2, 0)</f>
        <v>Sudeste</v>
      </c>
      <c r="E2236" s="87" t="str">
        <f>Tabela1[[#This Row],[Descrição]]&amp;"-"&amp;Tabela1[[#This Row],[Código]]&amp;"/"&amp;Tabela1[[#This Row],[Origem]]</f>
        <v>Ralipa-P821H722/ES</v>
      </c>
      <c r="F2236" s="88">
        <v>46813</v>
      </c>
      <c r="G2236" s="88" t="str" cm="1">
        <f t="array" ref="G22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AND(F2236&gt;= DATE(2026,1,1), F2236&lt;= DATE(2028, 12, 31), J2236&gt;50000), "Pendente e Caro", AND(F2236&gt;= DATE(2026,1,1), F2236&lt;= DATE(2028, 12, 31), J2236&lt;=50000), "Pendente", F2236&gt;= DATE(2029,1,1), "Não prioeitário")</f>
        <v>Pendente e Caro</v>
      </c>
      <c r="H2236" s="89">
        <f>YEAR(Tabela1[[#This Row],[Data de Validade]])</f>
        <v>2028</v>
      </c>
      <c r="I2236" s="89">
        <f>MONTH(Tabela1[[#This Row],[Data de Validade]])</f>
        <v>3</v>
      </c>
      <c r="J2236" s="101">
        <v>76039</v>
      </c>
      <c r="K2236" s="87" t="s">
        <v>14</v>
      </c>
      <c r="L2236" s="108"/>
      <c r="M2236" s="108"/>
      <c r="N2236" s="108" t="str">
        <v>H926P739</v>
      </c>
      <c r="O2236" s="108">
        <f t="shared" si="36"/>
        <v>1</v>
      </c>
      <c r="P2236" s="108"/>
      <c r="Q2236"/>
    </row>
    <row r="2237" spans="1:17" x14ac:dyDescent="0.25">
      <c r="A2237" s="89" t="s">
        <v>10305</v>
      </c>
      <c r="B2237" s="87" t="s">
        <v>10306</v>
      </c>
      <c r="C2237" s="87" t="s">
        <v>13</v>
      </c>
      <c r="D2237" s="87" t="str">
        <f>VLOOKUP(Tabela1[[#This Row],[Origem]], 'Perguntas 1 a 24'!$J$28:$K$34, 2, 0)</f>
        <v>Sudeste</v>
      </c>
      <c r="E2237" s="87" t="str">
        <f>Tabela1[[#This Row],[Descrição]]&amp;"-"&amp;Tabela1[[#This Row],[Código]]&amp;"/"&amp;Tabela1[[#This Row],[Origem]]</f>
        <v>Tudero-H926P739/SP</v>
      </c>
      <c r="F2237" s="88">
        <v>46816</v>
      </c>
      <c r="G2237" s="88" t="str" cm="1">
        <f t="array" ref="G22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AND(F2237&gt;= DATE(2026,1,1), F2237&lt;= DATE(2028, 12, 31), J2237&gt;50000), "Pendente e Caro", AND(F2237&gt;= DATE(2026,1,1), F2237&lt;= DATE(2028, 12, 31), J2237&lt;=50000), "Pendente", F2237&gt;= DATE(2029,1,1), "Não prioeitário")</f>
        <v>Pendente e Caro</v>
      </c>
      <c r="H2237" s="89">
        <f>YEAR(Tabela1[[#This Row],[Data de Validade]])</f>
        <v>2028</v>
      </c>
      <c r="I2237" s="89">
        <f>MONTH(Tabela1[[#This Row],[Data de Validade]])</f>
        <v>3</v>
      </c>
      <c r="J2237" s="101">
        <v>119869</v>
      </c>
      <c r="K2237" s="87" t="s">
        <v>11</v>
      </c>
      <c r="L2237" s="108"/>
      <c r="M2237" s="108"/>
      <c r="N2237" s="108" t="str">
        <v>P785P334</v>
      </c>
      <c r="O2237" s="108">
        <f t="shared" si="36"/>
        <v>1</v>
      </c>
      <c r="P2237" s="108"/>
      <c r="Q2237"/>
    </row>
    <row r="2238" spans="1:17" x14ac:dyDescent="0.25">
      <c r="A2238" s="89" t="s">
        <v>8204</v>
      </c>
      <c r="B2238" s="87" t="s">
        <v>8205</v>
      </c>
      <c r="C2238" s="87" t="s">
        <v>12</v>
      </c>
      <c r="D2238" s="87" t="str">
        <f>VLOOKUP(Tabela1[[#This Row],[Origem]], 'Perguntas 1 a 24'!$J$28:$K$34, 2, 0)</f>
        <v>Sudeste</v>
      </c>
      <c r="E2238" s="87" t="str">
        <f>Tabela1[[#This Row],[Descrição]]&amp;"-"&amp;Tabela1[[#This Row],[Código]]&amp;"/"&amp;Tabela1[[#This Row],[Origem]]</f>
        <v>Futitano-P785P334/RJ</v>
      </c>
      <c r="F2238" s="88">
        <v>46817</v>
      </c>
      <c r="G2238" s="88" t="str" cm="1">
        <f t="array" ref="G22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AND(F2238&gt;= DATE(2026,1,1), F2238&lt;= DATE(2028, 12, 31), J2238&gt;50000), "Pendente e Caro", AND(F2238&gt;= DATE(2026,1,1), F2238&lt;= DATE(2028, 12, 31), J2238&lt;=50000), "Pendente", F2238&gt;= DATE(2029,1,1), "Não prioeitário")</f>
        <v>Pendente e Caro</v>
      </c>
      <c r="H2238" s="89">
        <f>YEAR(Tabela1[[#This Row],[Data de Validade]])</f>
        <v>2028</v>
      </c>
      <c r="I2238" s="89">
        <f>MONTH(Tabela1[[#This Row],[Data de Validade]])</f>
        <v>3</v>
      </c>
      <c r="J2238" s="101">
        <v>113859</v>
      </c>
      <c r="K2238" s="87" t="s">
        <v>7</v>
      </c>
      <c r="L2238" s="108"/>
      <c r="M2238" s="108"/>
      <c r="N2238" s="108" t="str">
        <v>P442P856</v>
      </c>
      <c r="O2238" s="108">
        <f t="shared" si="36"/>
        <v>1</v>
      </c>
      <c r="P2238" s="108"/>
      <c r="Q2238"/>
    </row>
    <row r="2239" spans="1:17" x14ac:dyDescent="0.25">
      <c r="A2239" s="89" t="s">
        <v>8010</v>
      </c>
      <c r="B2239" s="87" t="s">
        <v>8011</v>
      </c>
      <c r="C2239" s="87" t="s">
        <v>6</v>
      </c>
      <c r="D2239" s="87" t="str">
        <f>VLOOKUP(Tabela1[[#This Row],[Origem]], 'Perguntas 1 a 24'!$J$28:$K$34, 2, 0)</f>
        <v>Nordeste</v>
      </c>
      <c r="E2239" s="87" t="str">
        <f>Tabela1[[#This Row],[Descrição]]&amp;"-"&amp;Tabela1[[#This Row],[Código]]&amp;"/"&amp;Tabela1[[#This Row],[Origem]]</f>
        <v>Cepimefe-P442P856/MA</v>
      </c>
      <c r="F2239" s="88">
        <v>46818</v>
      </c>
      <c r="G2239" s="88" t="str" cm="1">
        <f t="array" ref="G22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AND(F2239&gt;= DATE(2026,1,1), F2239&lt;= DATE(2028, 12, 31), J2239&gt;50000), "Pendente e Caro", AND(F2239&gt;= DATE(2026,1,1), F2239&lt;= DATE(2028, 12, 31), J2239&lt;=50000), "Pendente", F2239&gt;= DATE(2029,1,1), "Não prioeitário")</f>
        <v>Pendente e Caro</v>
      </c>
      <c r="H2239" s="89">
        <f>YEAR(Tabela1[[#This Row],[Data de Validade]])</f>
        <v>2028</v>
      </c>
      <c r="I2239" s="89">
        <f>MONTH(Tabela1[[#This Row],[Data de Validade]])</f>
        <v>3</v>
      </c>
      <c r="J2239" s="101">
        <v>67915</v>
      </c>
      <c r="K2239" s="87" t="s">
        <v>14</v>
      </c>
      <c r="L2239" s="108"/>
      <c r="M2239" s="108"/>
      <c r="N2239" s="108" t="str">
        <v>H166P831</v>
      </c>
      <c r="O2239" s="108">
        <f t="shared" si="36"/>
        <v>1</v>
      </c>
      <c r="P2239" s="108"/>
      <c r="Q2239"/>
    </row>
    <row r="2240" spans="1:17" x14ac:dyDescent="0.25">
      <c r="A2240" s="89" t="s">
        <v>4451</v>
      </c>
      <c r="B2240" s="87" t="s">
        <v>4452</v>
      </c>
      <c r="C2240" s="87" t="s">
        <v>16</v>
      </c>
      <c r="D2240" s="87" t="str">
        <f>VLOOKUP(Tabela1[[#This Row],[Origem]], 'Perguntas 1 a 24'!$J$28:$K$34, 2, 0)</f>
        <v>Sudeste</v>
      </c>
      <c r="E2240" s="87" t="str">
        <f>Tabela1[[#This Row],[Descrição]]&amp;"-"&amp;Tabela1[[#This Row],[Código]]&amp;"/"&amp;Tabela1[[#This Row],[Origem]]</f>
        <v>Finuno-H166P831/MG</v>
      </c>
      <c r="F2240" s="88">
        <v>46818</v>
      </c>
      <c r="G2240" s="88" t="str" cm="1">
        <f t="array" ref="G22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AND(F2240&gt;= DATE(2026,1,1), F2240&lt;= DATE(2028, 12, 31), J2240&gt;50000), "Pendente e Caro", AND(F2240&gt;= DATE(2026,1,1), F2240&lt;= DATE(2028, 12, 31), J2240&lt;=50000), "Pendente", F2240&gt;= DATE(2029,1,1), "Não prioeitário")</f>
        <v>Pendente</v>
      </c>
      <c r="H2240" s="89">
        <f>YEAR(Tabela1[[#This Row],[Data de Validade]])</f>
        <v>2028</v>
      </c>
      <c r="I2240" s="89">
        <f>MONTH(Tabela1[[#This Row],[Data de Validade]])</f>
        <v>3</v>
      </c>
      <c r="J2240" s="101">
        <v>34435</v>
      </c>
      <c r="K2240" s="87" t="s">
        <v>11</v>
      </c>
      <c r="L2240" s="108"/>
      <c r="M2240" s="108"/>
      <c r="N2240" s="108" t="str">
        <v>H349H361</v>
      </c>
      <c r="O2240" s="108">
        <f t="shared" si="36"/>
        <v>1</v>
      </c>
      <c r="P2240" s="108"/>
      <c r="Q2240"/>
    </row>
    <row r="2241" spans="1:17" x14ac:dyDescent="0.25">
      <c r="A2241" s="89" t="s">
        <v>6916</v>
      </c>
      <c r="B2241" s="87" t="s">
        <v>6917</v>
      </c>
      <c r="C2241" s="87" t="s">
        <v>16</v>
      </c>
      <c r="D2241" s="87" t="str">
        <f>VLOOKUP(Tabela1[[#This Row],[Origem]], 'Perguntas 1 a 24'!$J$28:$K$34, 2, 0)</f>
        <v>Sudeste</v>
      </c>
      <c r="E2241" s="87" t="str">
        <f>Tabela1[[#This Row],[Descrição]]&amp;"-"&amp;Tabela1[[#This Row],[Código]]&amp;"/"&amp;Tabela1[[#This Row],[Origem]]</f>
        <v>Ripiretori-H349H361/MG</v>
      </c>
      <c r="F2241" s="88">
        <v>46819</v>
      </c>
      <c r="G2241" s="88" t="str" cm="1">
        <f t="array" ref="G22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AND(F2241&gt;= DATE(2026,1,1), F2241&lt;= DATE(2028, 12, 31), J2241&gt;50000), "Pendente e Caro", AND(F2241&gt;= DATE(2026,1,1), F2241&lt;= DATE(2028, 12, 31), J2241&lt;=50000), "Pendente", F2241&gt;= DATE(2029,1,1), "Não prioeitário")</f>
        <v>Pendente e Caro</v>
      </c>
      <c r="H2241" s="89">
        <f>YEAR(Tabela1[[#This Row],[Data de Validade]])</f>
        <v>2028</v>
      </c>
      <c r="I2241" s="89">
        <f>MONTH(Tabela1[[#This Row],[Data de Validade]])</f>
        <v>3</v>
      </c>
      <c r="J2241" s="101">
        <v>56519</v>
      </c>
      <c r="K2241" s="87" t="s">
        <v>14</v>
      </c>
      <c r="L2241" s="108"/>
      <c r="M2241" s="108"/>
      <c r="N2241" s="108" t="str">
        <v>H445H963</v>
      </c>
      <c r="O2241" s="108">
        <f t="shared" si="36"/>
        <v>1</v>
      </c>
      <c r="P2241" s="108"/>
      <c r="Q2241"/>
    </row>
    <row r="2242" spans="1:17" x14ac:dyDescent="0.25">
      <c r="A2242" s="89" t="s">
        <v>3732</v>
      </c>
      <c r="B2242" s="87" t="s">
        <v>3733</v>
      </c>
      <c r="C2242" s="87" t="s">
        <v>6</v>
      </c>
      <c r="D2242" s="87" t="str">
        <f>VLOOKUP(Tabela1[[#This Row],[Origem]], 'Perguntas 1 a 24'!$J$28:$K$34, 2, 0)</f>
        <v>Nordeste</v>
      </c>
      <c r="E2242" s="87" t="str">
        <f>Tabela1[[#This Row],[Descrição]]&amp;"-"&amp;Tabela1[[#This Row],[Código]]&amp;"/"&amp;Tabela1[[#This Row],[Origem]]</f>
        <v>Palata-H445H963/MA</v>
      </c>
      <c r="F2242" s="88">
        <v>46819</v>
      </c>
      <c r="G2242" s="88" t="str" cm="1">
        <f t="array" ref="G22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AND(F2242&gt;= DATE(2026,1,1), F2242&lt;= DATE(2028, 12, 31), J2242&gt;50000), "Pendente e Caro", AND(F2242&gt;= DATE(2026,1,1), F2242&lt;= DATE(2028, 12, 31), J2242&lt;=50000), "Pendente", F2242&gt;= DATE(2029,1,1), "Não prioeitário")</f>
        <v>Pendente</v>
      </c>
      <c r="H2242" s="89">
        <f>YEAR(Tabela1[[#This Row],[Data de Validade]])</f>
        <v>2028</v>
      </c>
      <c r="I2242" s="89">
        <f>MONTH(Tabela1[[#This Row],[Data de Validade]])</f>
        <v>3</v>
      </c>
      <c r="J2242" s="101">
        <v>40679</v>
      </c>
      <c r="K2242" s="87" t="s">
        <v>7</v>
      </c>
      <c r="L2242" s="108"/>
      <c r="M2242" s="108"/>
      <c r="N2242" s="108" t="str">
        <v>H266P413</v>
      </c>
      <c r="O2242" s="108">
        <f t="shared" si="36"/>
        <v>1</v>
      </c>
      <c r="P2242" s="108"/>
      <c r="Q2242"/>
    </row>
    <row r="2243" spans="1:17" x14ac:dyDescent="0.25">
      <c r="A2243" s="89" t="s">
        <v>4082</v>
      </c>
      <c r="B2243" s="87" t="s">
        <v>4083</v>
      </c>
      <c r="C2243" s="87" t="s">
        <v>12</v>
      </c>
      <c r="D2243" s="87" t="str">
        <f>VLOOKUP(Tabela1[[#This Row],[Origem]], 'Perguntas 1 a 24'!$J$28:$K$34, 2, 0)</f>
        <v>Sudeste</v>
      </c>
      <c r="E2243" s="87" t="str">
        <f>Tabela1[[#This Row],[Descrição]]&amp;"-"&amp;Tabela1[[#This Row],[Código]]&amp;"/"&amp;Tabela1[[#This Row],[Origem]]</f>
        <v>Parotuvine-H266P413/RJ</v>
      </c>
      <c r="F2243" s="88">
        <v>46821</v>
      </c>
      <c r="G2243" s="88" t="str" cm="1">
        <f t="array" ref="G22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AND(F2243&gt;= DATE(2026,1,1), F2243&lt;= DATE(2028, 12, 31), J2243&gt;50000), "Pendente e Caro", AND(F2243&gt;= DATE(2026,1,1), F2243&lt;= DATE(2028, 12, 31), J2243&lt;=50000), "Pendente", F2243&gt;= DATE(2029,1,1), "Não prioeitário")</f>
        <v>Pendente</v>
      </c>
      <c r="H2243" s="89">
        <f>YEAR(Tabela1[[#This Row],[Data de Validade]])</f>
        <v>2028</v>
      </c>
      <c r="I2243" s="89">
        <f>MONTH(Tabela1[[#This Row],[Data de Validade]])</f>
        <v>3</v>
      </c>
      <c r="J2243" s="101">
        <v>28359</v>
      </c>
      <c r="K2243" s="87" t="s">
        <v>9</v>
      </c>
      <c r="L2243" s="108"/>
      <c r="M2243" s="108"/>
      <c r="N2243" s="108" t="str">
        <v>P521H667</v>
      </c>
      <c r="O2243" s="108">
        <f t="shared" ref="O2243:O2306" si="37">COUNTIFS(B:B,N2243)</f>
        <v>1</v>
      </c>
      <c r="P2243" s="108"/>
      <c r="Q2243"/>
    </row>
    <row r="2244" spans="1:17" x14ac:dyDescent="0.25">
      <c r="A2244" s="89" t="s">
        <v>7056</v>
      </c>
      <c r="B2244" s="87" t="s">
        <v>7057</v>
      </c>
      <c r="C2244" s="87" t="s">
        <v>15</v>
      </c>
      <c r="D2244" s="87" t="str">
        <f>VLOOKUP(Tabela1[[#This Row],[Origem]], 'Perguntas 1 a 24'!$J$28:$K$34, 2, 0)</f>
        <v>Sudeste</v>
      </c>
      <c r="E2244" s="87" t="str">
        <f>Tabela1[[#This Row],[Descrição]]&amp;"-"&amp;Tabela1[[#This Row],[Código]]&amp;"/"&amp;Tabela1[[#This Row],[Origem]]</f>
        <v>Ronopudapo-P521H667/ES</v>
      </c>
      <c r="F2244" s="88">
        <v>46823</v>
      </c>
      <c r="G2244" s="88" t="str" cm="1">
        <f t="array" ref="G22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AND(F2244&gt;= DATE(2026,1,1), F2244&lt;= DATE(2028, 12, 31), J2244&gt;50000), "Pendente e Caro", AND(F2244&gt;= DATE(2026,1,1), F2244&lt;= DATE(2028, 12, 31), J2244&lt;=50000), "Pendente", F2244&gt;= DATE(2029,1,1), "Não prioeitário")</f>
        <v>Pendente</v>
      </c>
      <c r="H2244" s="89">
        <f>YEAR(Tabela1[[#This Row],[Data de Validade]])</f>
        <v>2028</v>
      </c>
      <c r="I2244" s="89">
        <f>MONTH(Tabela1[[#This Row],[Data de Validade]])</f>
        <v>3</v>
      </c>
      <c r="J2244" s="101">
        <v>38067</v>
      </c>
      <c r="K2244" s="87" t="s">
        <v>14</v>
      </c>
      <c r="L2244" s="108"/>
      <c r="M2244" s="108"/>
      <c r="N2244" s="108" t="str">
        <v>P213P376</v>
      </c>
      <c r="O2244" s="108">
        <f t="shared" si="37"/>
        <v>1</v>
      </c>
      <c r="P2244" s="108"/>
      <c r="Q2244"/>
    </row>
    <row r="2245" spans="1:17" x14ac:dyDescent="0.25">
      <c r="A2245" s="89" t="s">
        <v>5402</v>
      </c>
      <c r="B2245" s="87" t="s">
        <v>5403</v>
      </c>
      <c r="C2245" s="87" t="s">
        <v>8</v>
      </c>
      <c r="D2245" s="87" t="str">
        <f>VLOOKUP(Tabela1[[#This Row],[Origem]], 'Perguntas 1 a 24'!$J$28:$K$34, 2, 0)</f>
        <v>Nordeste</v>
      </c>
      <c r="E2245" s="87" t="str">
        <f>Tabela1[[#This Row],[Descrição]]&amp;"-"&amp;Tabela1[[#This Row],[Código]]&amp;"/"&amp;Tabela1[[#This Row],[Origem]]</f>
        <v>Pumurepa-P213P376/AL</v>
      </c>
      <c r="F2245" s="88">
        <v>46823</v>
      </c>
      <c r="G2245" s="88" t="str" cm="1">
        <f t="array" ref="G22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AND(F2245&gt;= DATE(2026,1,1), F2245&lt;= DATE(2028, 12, 31), J2245&gt;50000), "Pendente e Caro", AND(F2245&gt;= DATE(2026,1,1), F2245&lt;= DATE(2028, 12, 31), J2245&lt;=50000), "Pendente", F2245&gt;= DATE(2029,1,1), "Não prioeitário")</f>
        <v>Pendente</v>
      </c>
      <c r="H2245" s="89">
        <f>YEAR(Tabela1[[#This Row],[Data de Validade]])</f>
        <v>2028</v>
      </c>
      <c r="I2245" s="89">
        <f>MONTH(Tabela1[[#This Row],[Data de Validade]])</f>
        <v>3</v>
      </c>
      <c r="J2245" s="101">
        <v>27424</v>
      </c>
      <c r="K2245" s="87" t="s">
        <v>9</v>
      </c>
      <c r="L2245" s="108"/>
      <c r="M2245" s="108"/>
      <c r="N2245" s="108" t="str">
        <v>H455H563</v>
      </c>
      <c r="O2245" s="108">
        <f t="shared" si="37"/>
        <v>1</v>
      </c>
      <c r="P2245" s="108"/>
      <c r="Q2245"/>
    </row>
    <row r="2246" spans="1:17" x14ac:dyDescent="0.25">
      <c r="A2246" s="89" t="s">
        <v>9237</v>
      </c>
      <c r="B2246" s="87" t="s">
        <v>9238</v>
      </c>
      <c r="C2246" s="87" t="s">
        <v>15</v>
      </c>
      <c r="D2246" s="87" t="str">
        <f>VLOOKUP(Tabela1[[#This Row],[Origem]], 'Perguntas 1 a 24'!$J$28:$K$34, 2, 0)</f>
        <v>Sudeste</v>
      </c>
      <c r="E2246" s="87" t="str">
        <f>Tabela1[[#This Row],[Descrição]]&amp;"-"&amp;Tabela1[[#This Row],[Código]]&amp;"/"&amp;Tabela1[[#This Row],[Origem]]</f>
        <v>Muvite-H455H563/ES</v>
      </c>
      <c r="F2246" s="88">
        <v>46823</v>
      </c>
      <c r="G2246" s="88" t="str" cm="1">
        <f t="array" ref="G22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AND(F2246&gt;= DATE(2026,1,1), F2246&lt;= DATE(2028, 12, 31), J2246&gt;50000), "Pendente e Caro", AND(F2246&gt;= DATE(2026,1,1), F2246&lt;= DATE(2028, 12, 31), J2246&lt;=50000), "Pendente", F2246&gt;= DATE(2029,1,1), "Não prioeitário")</f>
        <v>Pendente</v>
      </c>
      <c r="H2246" s="89">
        <f>YEAR(Tabela1[[#This Row],[Data de Validade]])</f>
        <v>2028</v>
      </c>
      <c r="I2246" s="89">
        <f>MONTH(Tabela1[[#This Row],[Data de Validade]])</f>
        <v>3</v>
      </c>
      <c r="J2246" s="101">
        <v>23383</v>
      </c>
      <c r="K2246" s="87" t="s">
        <v>7</v>
      </c>
      <c r="L2246" s="108"/>
      <c r="M2246" s="108"/>
      <c r="N2246" s="108" t="str">
        <v>H143P894</v>
      </c>
      <c r="O2246" s="108">
        <f t="shared" si="37"/>
        <v>1</v>
      </c>
      <c r="P2246" s="108"/>
      <c r="Q2246"/>
    </row>
    <row r="2247" spans="1:17" x14ac:dyDescent="0.25">
      <c r="A2247" s="89" t="s">
        <v>10863</v>
      </c>
      <c r="B2247" s="87" t="s">
        <v>10864</v>
      </c>
      <c r="C2247" s="87" t="s">
        <v>6</v>
      </c>
      <c r="D2247" s="87" t="str">
        <f>VLOOKUP(Tabela1[[#This Row],[Origem]], 'Perguntas 1 a 24'!$J$28:$K$34, 2, 0)</f>
        <v>Nordeste</v>
      </c>
      <c r="E2247" s="87" t="str">
        <f>Tabela1[[#This Row],[Descrição]]&amp;"-"&amp;Tabela1[[#This Row],[Código]]&amp;"/"&amp;Tabela1[[#This Row],[Origem]]</f>
        <v>Lalegoru-H143P894/MA</v>
      </c>
      <c r="F2247" s="88">
        <v>46824</v>
      </c>
      <c r="G2247" s="88" t="str" cm="1">
        <f t="array" ref="G22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AND(F2247&gt;= DATE(2026,1,1), F2247&lt;= DATE(2028, 12, 31), J2247&gt;50000), "Pendente e Caro", AND(F2247&gt;= DATE(2026,1,1), F2247&lt;= DATE(2028, 12, 31), J2247&lt;=50000), "Pendente", F2247&gt;= DATE(2029,1,1), "Não prioeitário")</f>
        <v>Pendente</v>
      </c>
      <c r="H2247" s="89">
        <f>YEAR(Tabela1[[#This Row],[Data de Validade]])</f>
        <v>2028</v>
      </c>
      <c r="I2247" s="89">
        <f>MONTH(Tabela1[[#This Row],[Data de Validade]])</f>
        <v>3</v>
      </c>
      <c r="J2247" s="101">
        <v>34531</v>
      </c>
      <c r="K2247" s="87" t="s">
        <v>9</v>
      </c>
      <c r="L2247" s="108"/>
      <c r="M2247" s="108"/>
      <c r="N2247" s="108" t="str">
        <v>H775P499</v>
      </c>
      <c r="O2247" s="108">
        <f t="shared" si="37"/>
        <v>1</v>
      </c>
      <c r="P2247" s="108"/>
      <c r="Q2247"/>
    </row>
    <row r="2248" spans="1:17" x14ac:dyDescent="0.25">
      <c r="A2248" s="89" t="s">
        <v>8162</v>
      </c>
      <c r="B2248" s="87" t="s">
        <v>8163</v>
      </c>
      <c r="C2248" s="87" t="s">
        <v>8</v>
      </c>
      <c r="D2248" s="87" t="str">
        <f>VLOOKUP(Tabela1[[#This Row],[Origem]], 'Perguntas 1 a 24'!$J$28:$K$34, 2, 0)</f>
        <v>Nordeste</v>
      </c>
      <c r="E2248" s="87" t="str">
        <f>Tabela1[[#This Row],[Descrição]]&amp;"-"&amp;Tabela1[[#This Row],[Código]]&amp;"/"&amp;Tabela1[[#This Row],[Origem]]</f>
        <v>Vetala-H775P499/AL</v>
      </c>
      <c r="F2248" s="88">
        <v>46824</v>
      </c>
      <c r="G2248" s="88" t="str" cm="1">
        <f t="array" ref="G22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AND(F2248&gt;= DATE(2026,1,1), F2248&lt;= DATE(2028, 12, 31), J2248&gt;50000), "Pendente e Caro", AND(F2248&gt;= DATE(2026,1,1), F2248&lt;= DATE(2028, 12, 31), J2248&lt;=50000), "Pendente", F2248&gt;= DATE(2029,1,1), "Não prioeitário")</f>
        <v>Pendente</v>
      </c>
      <c r="H2248" s="89">
        <f>YEAR(Tabela1[[#This Row],[Data de Validade]])</f>
        <v>2028</v>
      </c>
      <c r="I2248" s="89">
        <f>MONTH(Tabela1[[#This Row],[Data de Validade]])</f>
        <v>3</v>
      </c>
      <c r="J2248" s="101">
        <v>32537</v>
      </c>
      <c r="K2248" s="87" t="s">
        <v>7</v>
      </c>
      <c r="L2248" s="108"/>
      <c r="M2248" s="108"/>
      <c r="N2248" s="108" t="str">
        <v>H118H353</v>
      </c>
      <c r="O2248" s="108">
        <f t="shared" si="37"/>
        <v>1</v>
      </c>
      <c r="P2248" s="108"/>
      <c r="Q2248"/>
    </row>
    <row r="2249" spans="1:17" x14ac:dyDescent="0.25">
      <c r="A2249" s="89" t="s">
        <v>5222</v>
      </c>
      <c r="B2249" s="87" t="s">
        <v>5223</v>
      </c>
      <c r="C2249" s="87" t="s">
        <v>13</v>
      </c>
      <c r="D2249" s="87" t="str">
        <f>VLOOKUP(Tabela1[[#This Row],[Origem]], 'Perguntas 1 a 24'!$J$28:$K$34, 2, 0)</f>
        <v>Sudeste</v>
      </c>
      <c r="E2249" s="87" t="str">
        <f>Tabela1[[#This Row],[Descrição]]&amp;"-"&amp;Tabela1[[#This Row],[Código]]&amp;"/"&amp;Tabela1[[#This Row],[Origem]]</f>
        <v>Ruruli-H118H353/SP</v>
      </c>
      <c r="F2249" s="88">
        <v>46825</v>
      </c>
      <c r="G2249" s="88" t="str" cm="1">
        <f t="array" ref="G22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AND(F2249&gt;= DATE(2026,1,1), F2249&lt;= DATE(2028, 12, 31), J2249&gt;50000), "Pendente e Caro", AND(F2249&gt;= DATE(2026,1,1), F2249&lt;= DATE(2028, 12, 31), J2249&lt;=50000), "Pendente", F2249&gt;= DATE(2029,1,1), "Não prioeitário")</f>
        <v>Pendente</v>
      </c>
      <c r="H2249" s="89">
        <f>YEAR(Tabela1[[#This Row],[Data de Validade]])</f>
        <v>2028</v>
      </c>
      <c r="I2249" s="89">
        <f>MONTH(Tabela1[[#This Row],[Data de Validade]])</f>
        <v>3</v>
      </c>
      <c r="J2249" s="101">
        <v>46686</v>
      </c>
      <c r="K2249" s="87" t="s">
        <v>11</v>
      </c>
      <c r="L2249" s="108"/>
      <c r="M2249" s="108"/>
      <c r="N2249" s="108" t="str">
        <v>P519P522</v>
      </c>
      <c r="O2249" s="108">
        <f t="shared" si="37"/>
        <v>1</v>
      </c>
      <c r="P2249" s="108"/>
      <c r="Q2249"/>
    </row>
    <row r="2250" spans="1:17" x14ac:dyDescent="0.25">
      <c r="A2250" s="89" t="s">
        <v>8436</v>
      </c>
      <c r="B2250" s="87" t="s">
        <v>8437</v>
      </c>
      <c r="C2250" s="87" t="s">
        <v>16</v>
      </c>
      <c r="D2250" s="87" t="str">
        <f>VLOOKUP(Tabela1[[#This Row],[Origem]], 'Perguntas 1 a 24'!$J$28:$K$34, 2, 0)</f>
        <v>Sudeste</v>
      </c>
      <c r="E2250" s="87" t="str">
        <f>Tabela1[[#This Row],[Descrição]]&amp;"-"&amp;Tabela1[[#This Row],[Código]]&amp;"/"&amp;Tabela1[[#This Row],[Origem]]</f>
        <v>Nuvipu-P519P522/MG</v>
      </c>
      <c r="F2250" s="88">
        <v>46826</v>
      </c>
      <c r="G2250" s="88" t="str" cm="1">
        <f t="array" ref="G22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AND(F2250&gt;= DATE(2026,1,1), F2250&lt;= DATE(2028, 12, 31), J2250&gt;50000), "Pendente e Caro", AND(F2250&gt;= DATE(2026,1,1), F2250&lt;= DATE(2028, 12, 31), J2250&lt;=50000), "Pendente", F2250&gt;= DATE(2029,1,1), "Não prioeitário")</f>
        <v>Pendente e Caro</v>
      </c>
      <c r="H2250" s="89">
        <f>YEAR(Tabela1[[#This Row],[Data de Validade]])</f>
        <v>2028</v>
      </c>
      <c r="I2250" s="89">
        <f>MONTH(Tabela1[[#This Row],[Data de Validade]])</f>
        <v>3</v>
      </c>
      <c r="J2250" s="101">
        <v>78538</v>
      </c>
      <c r="K2250" s="87" t="s">
        <v>7</v>
      </c>
      <c r="L2250" s="108"/>
      <c r="M2250" s="108"/>
      <c r="N2250" s="108" t="str">
        <v>H486P462</v>
      </c>
      <c r="O2250" s="108">
        <f t="shared" si="37"/>
        <v>1</v>
      </c>
      <c r="P2250" s="108"/>
      <c r="Q2250"/>
    </row>
    <row r="2251" spans="1:17" x14ac:dyDescent="0.25">
      <c r="A2251" s="89" t="s">
        <v>11070</v>
      </c>
      <c r="B2251" s="87" t="s">
        <v>11071</v>
      </c>
      <c r="C2251" s="87" t="s">
        <v>6</v>
      </c>
      <c r="D2251" s="87" t="str">
        <f>VLOOKUP(Tabela1[[#This Row],[Origem]], 'Perguntas 1 a 24'!$J$28:$K$34, 2, 0)</f>
        <v>Nordeste</v>
      </c>
      <c r="E2251" s="87" t="str">
        <f>Tabela1[[#This Row],[Descrição]]&amp;"-"&amp;Tabela1[[#This Row],[Código]]&amp;"/"&amp;Tabela1[[#This Row],[Origem]]</f>
        <v>Fugecoco-H486P462/MA</v>
      </c>
      <c r="F2251" s="88">
        <v>46826</v>
      </c>
      <c r="G2251" s="88" t="str" cm="1">
        <f t="array" ref="G22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AND(F2251&gt;= DATE(2026,1,1), F2251&lt;= DATE(2028, 12, 31), J2251&gt;50000), "Pendente e Caro", AND(F2251&gt;= DATE(2026,1,1), F2251&lt;= DATE(2028, 12, 31), J2251&lt;=50000), "Pendente", F2251&gt;= DATE(2029,1,1), "Não prioeitário")</f>
        <v>Pendente e Caro</v>
      </c>
      <c r="H2251" s="89">
        <f>YEAR(Tabela1[[#This Row],[Data de Validade]])</f>
        <v>2028</v>
      </c>
      <c r="I2251" s="89">
        <f>MONTH(Tabela1[[#This Row],[Data de Validade]])</f>
        <v>3</v>
      </c>
      <c r="J2251" s="101">
        <v>66213</v>
      </c>
      <c r="K2251" s="87" t="s">
        <v>7</v>
      </c>
      <c r="L2251" s="108"/>
      <c r="M2251" s="108"/>
      <c r="N2251" s="108" t="str">
        <v>H851P298</v>
      </c>
      <c r="O2251" s="108">
        <f t="shared" si="37"/>
        <v>1</v>
      </c>
      <c r="P2251" s="108"/>
      <c r="Q2251"/>
    </row>
    <row r="2252" spans="1:17" x14ac:dyDescent="0.25">
      <c r="A2252" s="89" t="s">
        <v>6618</v>
      </c>
      <c r="B2252" s="87" t="s">
        <v>6619</v>
      </c>
      <c r="C2252" s="87" t="s">
        <v>6</v>
      </c>
      <c r="D2252" s="87" t="str">
        <f>VLOOKUP(Tabela1[[#This Row],[Origem]], 'Perguntas 1 a 24'!$J$28:$K$34, 2, 0)</f>
        <v>Nordeste</v>
      </c>
      <c r="E2252" s="87" t="str">
        <f>Tabela1[[#This Row],[Descrição]]&amp;"-"&amp;Tabela1[[#This Row],[Código]]&amp;"/"&amp;Tabela1[[#This Row],[Origem]]</f>
        <v>Diguvo-H851P298/MA</v>
      </c>
      <c r="F2252" s="88">
        <v>46828</v>
      </c>
      <c r="G2252" s="88" t="str" cm="1">
        <f t="array" ref="G22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AND(F2252&gt;= DATE(2026,1,1), F2252&lt;= DATE(2028, 12, 31), J2252&gt;50000), "Pendente e Caro", AND(F2252&gt;= DATE(2026,1,1), F2252&lt;= DATE(2028, 12, 31), J2252&lt;=50000), "Pendente", F2252&gt;= DATE(2029,1,1), "Não prioeitário")</f>
        <v>Pendente e Caro</v>
      </c>
      <c r="H2252" s="89">
        <f>YEAR(Tabela1[[#This Row],[Data de Validade]])</f>
        <v>2028</v>
      </c>
      <c r="I2252" s="89">
        <f>MONTH(Tabela1[[#This Row],[Data de Validade]])</f>
        <v>3</v>
      </c>
      <c r="J2252" s="101">
        <v>52708</v>
      </c>
      <c r="K2252" s="87" t="s">
        <v>7</v>
      </c>
      <c r="L2252" s="108"/>
      <c r="M2252" s="108"/>
      <c r="N2252" s="108" t="str">
        <v>H376H451</v>
      </c>
      <c r="O2252" s="108">
        <f t="shared" si="37"/>
        <v>1</v>
      </c>
      <c r="P2252" s="108"/>
      <c r="Q2252"/>
    </row>
    <row r="2253" spans="1:17" x14ac:dyDescent="0.25">
      <c r="A2253" s="89" t="s">
        <v>8903</v>
      </c>
      <c r="B2253" s="87" t="s">
        <v>8904</v>
      </c>
      <c r="C2253" s="87" t="s">
        <v>12</v>
      </c>
      <c r="D2253" s="87" t="str">
        <f>VLOOKUP(Tabela1[[#This Row],[Origem]], 'Perguntas 1 a 24'!$J$28:$K$34, 2, 0)</f>
        <v>Sudeste</v>
      </c>
      <c r="E2253" s="87" t="str">
        <f>Tabela1[[#This Row],[Descrição]]&amp;"-"&amp;Tabela1[[#This Row],[Código]]&amp;"/"&amp;Tabela1[[#This Row],[Origem]]</f>
        <v>Miguto-H376H451/RJ</v>
      </c>
      <c r="F2253" s="88">
        <v>46828</v>
      </c>
      <c r="G2253" s="88" t="str" cm="1">
        <f t="array" ref="G22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AND(F2253&gt;= DATE(2026,1,1), F2253&lt;= DATE(2028, 12, 31), J2253&gt;50000), "Pendente e Caro", AND(F2253&gt;= DATE(2026,1,1), F2253&lt;= DATE(2028, 12, 31), J2253&lt;=50000), "Pendente", F2253&gt;= DATE(2029,1,1), "Não prioeitário")</f>
        <v>Pendente</v>
      </c>
      <c r="H2253" s="89">
        <f>YEAR(Tabela1[[#This Row],[Data de Validade]])</f>
        <v>2028</v>
      </c>
      <c r="I2253" s="89">
        <f>MONTH(Tabela1[[#This Row],[Data de Validade]])</f>
        <v>3</v>
      </c>
      <c r="J2253" s="101">
        <v>36816</v>
      </c>
      <c r="K2253" s="87" t="s">
        <v>7</v>
      </c>
      <c r="L2253" s="108"/>
      <c r="M2253" s="108"/>
      <c r="N2253" s="108" t="str">
        <v>H627P786</v>
      </c>
      <c r="O2253" s="108">
        <f t="shared" si="37"/>
        <v>1</v>
      </c>
      <c r="P2253" s="108"/>
      <c r="Q2253"/>
    </row>
    <row r="2254" spans="1:17" x14ac:dyDescent="0.25">
      <c r="A2254" s="89" t="s">
        <v>6572</v>
      </c>
      <c r="B2254" s="87" t="s">
        <v>6573</v>
      </c>
      <c r="C2254" s="87" t="s">
        <v>6</v>
      </c>
      <c r="D2254" s="87" t="str">
        <f>VLOOKUP(Tabela1[[#This Row],[Origem]], 'Perguntas 1 a 24'!$J$28:$K$34, 2, 0)</f>
        <v>Nordeste</v>
      </c>
      <c r="E2254" s="87" t="str">
        <f>Tabela1[[#This Row],[Descrição]]&amp;"-"&amp;Tabela1[[#This Row],[Código]]&amp;"/"&amp;Tabela1[[#This Row],[Origem]]</f>
        <v>Ganuvagi-H627P786/MA</v>
      </c>
      <c r="F2254" s="88">
        <v>46829</v>
      </c>
      <c r="G2254" s="88" t="str" cm="1">
        <f t="array" ref="G22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AND(F2254&gt;= DATE(2026,1,1), F2254&lt;= DATE(2028, 12, 31), J2254&gt;50000), "Pendente e Caro", AND(F2254&gt;= DATE(2026,1,1), F2254&lt;= DATE(2028, 12, 31), J2254&lt;=50000), "Pendente", F2254&gt;= DATE(2029,1,1), "Não prioeitário")</f>
        <v>Pendente e Caro</v>
      </c>
      <c r="H2254" s="89">
        <f>YEAR(Tabela1[[#This Row],[Data de Validade]])</f>
        <v>2028</v>
      </c>
      <c r="I2254" s="89">
        <f>MONTH(Tabela1[[#This Row],[Data de Validade]])</f>
        <v>3</v>
      </c>
      <c r="J2254" s="101">
        <v>93023</v>
      </c>
      <c r="K2254" s="87" t="s">
        <v>7</v>
      </c>
      <c r="L2254" s="108"/>
      <c r="M2254" s="108"/>
      <c r="N2254" s="108" t="str">
        <v>H415H252</v>
      </c>
      <c r="O2254" s="108">
        <f t="shared" si="37"/>
        <v>1</v>
      </c>
      <c r="P2254" s="108"/>
      <c r="Q2254"/>
    </row>
    <row r="2255" spans="1:17" x14ac:dyDescent="0.25">
      <c r="A2255" s="89" t="s">
        <v>5214</v>
      </c>
      <c r="B2255" s="87" t="s">
        <v>5215</v>
      </c>
      <c r="C2255" s="87" t="s">
        <v>8</v>
      </c>
      <c r="D2255" s="87" t="str">
        <f>VLOOKUP(Tabela1[[#This Row],[Origem]], 'Perguntas 1 a 24'!$J$28:$K$34, 2, 0)</f>
        <v>Nordeste</v>
      </c>
      <c r="E2255" s="87" t="str">
        <f>Tabela1[[#This Row],[Descrição]]&amp;"-"&amp;Tabela1[[#This Row],[Código]]&amp;"/"&amp;Tabela1[[#This Row],[Origem]]</f>
        <v>Viputopopu-H415H252/AL</v>
      </c>
      <c r="F2255" s="88">
        <v>46829</v>
      </c>
      <c r="G2255" s="88" t="str" cm="1">
        <f t="array" ref="G22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AND(F2255&gt;= DATE(2026,1,1), F2255&lt;= DATE(2028, 12, 31), J2255&gt;50000), "Pendente e Caro", AND(F2255&gt;= DATE(2026,1,1), F2255&lt;= DATE(2028, 12, 31), J2255&lt;=50000), "Pendente", F2255&gt;= DATE(2029,1,1), "Não prioeitário")</f>
        <v>Pendente e Caro</v>
      </c>
      <c r="H2255" s="89">
        <f>YEAR(Tabela1[[#This Row],[Data de Validade]])</f>
        <v>2028</v>
      </c>
      <c r="I2255" s="89">
        <f>MONTH(Tabela1[[#This Row],[Data de Validade]])</f>
        <v>3</v>
      </c>
      <c r="J2255" s="101">
        <v>79429</v>
      </c>
      <c r="K2255" s="87" t="s">
        <v>7</v>
      </c>
      <c r="L2255" s="108"/>
      <c r="M2255" s="108"/>
      <c r="N2255" s="108" t="str">
        <v>H495H159</v>
      </c>
      <c r="O2255" s="108">
        <f t="shared" si="37"/>
        <v>1</v>
      </c>
      <c r="P2255" s="108"/>
      <c r="Q2255"/>
    </row>
    <row r="2256" spans="1:17" x14ac:dyDescent="0.25">
      <c r="A2256" s="89" t="s">
        <v>6940</v>
      </c>
      <c r="B2256" s="87" t="s">
        <v>6941</v>
      </c>
      <c r="C2256" s="87" t="s">
        <v>16</v>
      </c>
      <c r="D2256" s="87" t="str">
        <f>VLOOKUP(Tabela1[[#This Row],[Origem]], 'Perguntas 1 a 24'!$J$28:$K$34, 2, 0)</f>
        <v>Sudeste</v>
      </c>
      <c r="E2256" s="87" t="str">
        <f>Tabela1[[#This Row],[Descrição]]&amp;"-"&amp;Tabela1[[#This Row],[Código]]&amp;"/"&amp;Tabela1[[#This Row],[Origem]]</f>
        <v>Mirafapo-H495H159/MG</v>
      </c>
      <c r="F2256" s="88">
        <v>46829</v>
      </c>
      <c r="G2256" s="88" t="str" cm="1">
        <f t="array" ref="G22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AND(F2256&gt;= DATE(2026,1,1), F2256&lt;= DATE(2028, 12, 31), J2256&gt;50000), "Pendente e Caro", AND(F2256&gt;= DATE(2026,1,1), F2256&lt;= DATE(2028, 12, 31), J2256&lt;=50000), "Pendente", F2256&gt;= DATE(2029,1,1), "Não prioeitário")</f>
        <v>Pendente e Caro</v>
      </c>
      <c r="H2256" s="89">
        <f>YEAR(Tabela1[[#This Row],[Data de Validade]])</f>
        <v>2028</v>
      </c>
      <c r="I2256" s="89">
        <f>MONTH(Tabela1[[#This Row],[Data de Validade]])</f>
        <v>3</v>
      </c>
      <c r="J2256" s="101">
        <v>60938</v>
      </c>
      <c r="K2256" s="87" t="s">
        <v>7</v>
      </c>
      <c r="L2256" s="108"/>
      <c r="M2256" s="108"/>
      <c r="N2256" s="108" t="str">
        <v>H588H741</v>
      </c>
      <c r="O2256" s="108">
        <f t="shared" si="37"/>
        <v>1</v>
      </c>
      <c r="P2256" s="108"/>
      <c r="Q2256"/>
    </row>
    <row r="2257" spans="1:17" x14ac:dyDescent="0.25">
      <c r="A2257" s="89" t="s">
        <v>7758</v>
      </c>
      <c r="B2257" s="87" t="s">
        <v>7759</v>
      </c>
      <c r="C2257" s="87" t="s">
        <v>10</v>
      </c>
      <c r="D2257" s="87" t="str">
        <f>VLOOKUP(Tabela1[[#This Row],[Origem]], 'Perguntas 1 a 24'!$J$28:$K$34, 2, 0)</f>
        <v>Centro-Oeste</v>
      </c>
      <c r="E2257" s="87" t="str">
        <f>Tabela1[[#This Row],[Descrição]]&amp;"-"&amp;Tabela1[[#This Row],[Código]]&amp;"/"&amp;Tabela1[[#This Row],[Origem]]</f>
        <v>Vecigidone-H588H741/GO</v>
      </c>
      <c r="F2257" s="88">
        <v>46829</v>
      </c>
      <c r="G2257" s="88" t="str" cm="1">
        <f t="array" ref="G22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AND(F2257&gt;= DATE(2026,1,1), F2257&lt;= DATE(2028, 12, 31), J2257&gt;50000), "Pendente e Caro", AND(F2257&gt;= DATE(2026,1,1), F2257&lt;= DATE(2028, 12, 31), J2257&lt;=50000), "Pendente", F2257&gt;= DATE(2029,1,1), "Não prioeitário")</f>
        <v>Pendente e Caro</v>
      </c>
      <c r="H2257" s="89">
        <f>YEAR(Tabela1[[#This Row],[Data de Validade]])</f>
        <v>2028</v>
      </c>
      <c r="I2257" s="89">
        <f>MONTH(Tabela1[[#This Row],[Data de Validade]])</f>
        <v>3</v>
      </c>
      <c r="J2257" s="101">
        <v>58934</v>
      </c>
      <c r="K2257" s="87" t="s">
        <v>9</v>
      </c>
      <c r="L2257" s="108"/>
      <c r="M2257" s="108"/>
      <c r="N2257" s="108" t="str">
        <v>H489H934</v>
      </c>
      <c r="O2257" s="108">
        <f t="shared" si="37"/>
        <v>1</v>
      </c>
      <c r="P2257" s="108"/>
      <c r="Q2257"/>
    </row>
    <row r="2258" spans="1:17" x14ac:dyDescent="0.25">
      <c r="A2258" s="89" t="s">
        <v>10649</v>
      </c>
      <c r="B2258" s="87" t="s">
        <v>10650</v>
      </c>
      <c r="C2258" s="87" t="s">
        <v>8</v>
      </c>
      <c r="D2258" s="87" t="str">
        <f>VLOOKUP(Tabela1[[#This Row],[Origem]], 'Perguntas 1 a 24'!$J$28:$K$34, 2, 0)</f>
        <v>Nordeste</v>
      </c>
      <c r="E2258" s="87" t="str">
        <f>Tabela1[[#This Row],[Descrição]]&amp;"-"&amp;Tabela1[[#This Row],[Código]]&amp;"/"&amp;Tabela1[[#This Row],[Origem]]</f>
        <v>Numeporare-H489H934/AL</v>
      </c>
      <c r="F2258" s="88">
        <v>46829</v>
      </c>
      <c r="G2258" s="88" t="str" cm="1">
        <f t="array" ref="G22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AND(F2258&gt;= DATE(2026,1,1), F2258&lt;= DATE(2028, 12, 31), J2258&gt;50000), "Pendente e Caro", AND(F2258&gt;= DATE(2026,1,1), F2258&lt;= DATE(2028, 12, 31), J2258&lt;=50000), "Pendente", F2258&gt;= DATE(2029,1,1), "Não prioeitário")</f>
        <v>Pendente</v>
      </c>
      <c r="H2258" s="89">
        <f>YEAR(Tabela1[[#This Row],[Data de Validade]])</f>
        <v>2028</v>
      </c>
      <c r="I2258" s="89">
        <f>MONTH(Tabela1[[#This Row],[Data de Validade]])</f>
        <v>3</v>
      </c>
      <c r="J2258" s="101">
        <v>46930</v>
      </c>
      <c r="K2258" s="87" t="s">
        <v>7</v>
      </c>
      <c r="L2258" s="108"/>
      <c r="M2258" s="108"/>
      <c r="N2258" s="108" t="str">
        <v>P573P542</v>
      </c>
      <c r="O2258" s="108">
        <f t="shared" si="37"/>
        <v>1</v>
      </c>
      <c r="P2258" s="108"/>
      <c r="Q2258"/>
    </row>
    <row r="2259" spans="1:17" x14ac:dyDescent="0.25">
      <c r="A2259" s="89" t="s">
        <v>4323</v>
      </c>
      <c r="B2259" s="87" t="s">
        <v>4324</v>
      </c>
      <c r="C2259" s="87" t="s">
        <v>15</v>
      </c>
      <c r="D2259" s="87" t="str">
        <f>VLOOKUP(Tabela1[[#This Row],[Origem]], 'Perguntas 1 a 24'!$J$28:$K$34, 2, 0)</f>
        <v>Sudeste</v>
      </c>
      <c r="E2259" s="87" t="str">
        <f>Tabela1[[#This Row],[Descrição]]&amp;"-"&amp;Tabela1[[#This Row],[Código]]&amp;"/"&amp;Tabela1[[#This Row],[Origem]]</f>
        <v>Negaraceru-P573P542/ES</v>
      </c>
      <c r="F2259" s="88">
        <v>46830</v>
      </c>
      <c r="G2259" s="88" t="str" cm="1">
        <f t="array" ref="G22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AND(F2259&gt;= DATE(2026,1,1), F2259&lt;= DATE(2028, 12, 31), J2259&gt;50000), "Pendente e Caro", AND(F2259&gt;= DATE(2026,1,1), F2259&lt;= DATE(2028, 12, 31), J2259&lt;=50000), "Pendente", F2259&gt;= DATE(2029,1,1), "Não prioeitário")</f>
        <v>Pendente e Caro</v>
      </c>
      <c r="H2259" s="89">
        <f>YEAR(Tabela1[[#This Row],[Data de Validade]])</f>
        <v>2028</v>
      </c>
      <c r="I2259" s="89">
        <f>MONTH(Tabela1[[#This Row],[Data de Validade]])</f>
        <v>3</v>
      </c>
      <c r="J2259" s="101">
        <v>102129</v>
      </c>
      <c r="K2259" s="87" t="s">
        <v>9</v>
      </c>
      <c r="L2259" s="108"/>
      <c r="M2259" s="108"/>
      <c r="N2259" s="108" t="str">
        <v>P636P257</v>
      </c>
      <c r="O2259" s="108">
        <f t="shared" si="37"/>
        <v>1</v>
      </c>
      <c r="P2259" s="108"/>
      <c r="Q2259"/>
    </row>
    <row r="2260" spans="1:17" x14ac:dyDescent="0.25">
      <c r="A2260" s="89" t="s">
        <v>10841</v>
      </c>
      <c r="B2260" s="87" t="s">
        <v>10842</v>
      </c>
      <c r="C2260" s="87" t="s">
        <v>10</v>
      </c>
      <c r="D2260" s="87" t="str">
        <f>VLOOKUP(Tabela1[[#This Row],[Origem]], 'Perguntas 1 a 24'!$J$28:$K$34, 2, 0)</f>
        <v>Centro-Oeste</v>
      </c>
      <c r="E2260" s="87" t="str">
        <f>Tabela1[[#This Row],[Descrição]]&amp;"-"&amp;Tabela1[[#This Row],[Código]]&amp;"/"&amp;Tabela1[[#This Row],[Origem]]</f>
        <v>Lecita-P636P257/GO</v>
      </c>
      <c r="F2260" s="88">
        <v>46830</v>
      </c>
      <c r="G2260" s="88" t="str" cm="1">
        <f t="array" ref="G22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AND(F2260&gt;= DATE(2026,1,1), F2260&lt;= DATE(2028, 12, 31), J2260&gt;50000), "Pendente e Caro", AND(F2260&gt;= DATE(2026,1,1), F2260&lt;= DATE(2028, 12, 31), J2260&lt;=50000), "Pendente", F2260&gt;= DATE(2029,1,1), "Não prioeitário")</f>
        <v>Pendente e Caro</v>
      </c>
      <c r="H2260" s="89">
        <f>YEAR(Tabela1[[#This Row],[Data de Validade]])</f>
        <v>2028</v>
      </c>
      <c r="I2260" s="89">
        <f>MONTH(Tabela1[[#This Row],[Data de Validade]])</f>
        <v>3</v>
      </c>
      <c r="J2260" s="101">
        <v>63555</v>
      </c>
      <c r="K2260" s="87" t="s">
        <v>11</v>
      </c>
      <c r="L2260" s="108"/>
      <c r="M2260" s="108"/>
      <c r="N2260" s="108" t="str">
        <v>H828H355</v>
      </c>
      <c r="O2260" s="108">
        <f t="shared" si="37"/>
        <v>1</v>
      </c>
      <c r="P2260" s="108"/>
      <c r="Q2260"/>
    </row>
    <row r="2261" spans="1:17" x14ac:dyDescent="0.25">
      <c r="A2261" s="89" t="s">
        <v>8380</v>
      </c>
      <c r="B2261" s="87" t="s">
        <v>8381</v>
      </c>
      <c r="C2261" s="87" t="s">
        <v>16</v>
      </c>
      <c r="D2261" s="87" t="str">
        <f>VLOOKUP(Tabela1[[#This Row],[Origem]], 'Perguntas 1 a 24'!$J$28:$K$34, 2, 0)</f>
        <v>Sudeste</v>
      </c>
      <c r="E2261" s="87" t="str">
        <f>Tabela1[[#This Row],[Descrição]]&amp;"-"&amp;Tabela1[[#This Row],[Código]]&amp;"/"&amp;Tabela1[[#This Row],[Origem]]</f>
        <v>Davidota-H828H355/MG</v>
      </c>
      <c r="F2261" s="88">
        <v>46830</v>
      </c>
      <c r="G2261" s="88" t="str" cm="1">
        <f t="array" ref="G22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AND(F2261&gt;= DATE(2026,1,1), F2261&lt;= DATE(2028, 12, 31), J2261&gt;50000), "Pendente e Caro", AND(F2261&gt;= DATE(2026,1,1), F2261&lt;= DATE(2028, 12, 31), J2261&lt;=50000), "Pendente", F2261&gt;= DATE(2029,1,1), "Não prioeitário")</f>
        <v>Pendente</v>
      </c>
      <c r="H2261" s="89">
        <f>YEAR(Tabela1[[#This Row],[Data de Validade]])</f>
        <v>2028</v>
      </c>
      <c r="I2261" s="89">
        <f>MONTH(Tabela1[[#This Row],[Data de Validade]])</f>
        <v>3</v>
      </c>
      <c r="J2261" s="101">
        <v>26160</v>
      </c>
      <c r="K2261" s="87" t="s">
        <v>11</v>
      </c>
      <c r="L2261" s="108"/>
      <c r="M2261" s="108"/>
      <c r="N2261" s="108" t="str">
        <v>H616H673</v>
      </c>
      <c r="O2261" s="108">
        <f t="shared" si="37"/>
        <v>1</v>
      </c>
      <c r="P2261" s="108"/>
      <c r="Q2261"/>
    </row>
    <row r="2262" spans="1:17" x14ac:dyDescent="0.25">
      <c r="A2262" s="89" t="s">
        <v>10071</v>
      </c>
      <c r="B2262" s="87" t="s">
        <v>10072</v>
      </c>
      <c r="C2262" s="87" t="s">
        <v>8</v>
      </c>
      <c r="D2262" s="87" t="str">
        <f>VLOOKUP(Tabela1[[#This Row],[Origem]], 'Perguntas 1 a 24'!$J$28:$K$34, 2, 0)</f>
        <v>Nordeste</v>
      </c>
      <c r="E2262" s="87" t="str">
        <f>Tabela1[[#This Row],[Descrição]]&amp;"-"&amp;Tabela1[[#This Row],[Código]]&amp;"/"&amp;Tabela1[[#This Row],[Origem]]</f>
        <v>Vorotepidu-H616H673/AL</v>
      </c>
      <c r="F2262" s="88">
        <v>46832</v>
      </c>
      <c r="G2262" s="88" t="str" cm="1">
        <f t="array" ref="G22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AND(F2262&gt;= DATE(2026,1,1), F2262&lt;= DATE(2028, 12, 31), J2262&gt;50000), "Pendente e Caro", AND(F2262&gt;= DATE(2026,1,1), F2262&lt;= DATE(2028, 12, 31), J2262&lt;=50000), "Pendente", F2262&gt;= DATE(2029,1,1), "Não prioeitário")</f>
        <v>Pendente e Caro</v>
      </c>
      <c r="H2262" s="89">
        <f>YEAR(Tabela1[[#This Row],[Data de Validade]])</f>
        <v>2028</v>
      </c>
      <c r="I2262" s="89">
        <f>MONTH(Tabela1[[#This Row],[Data de Validade]])</f>
        <v>3</v>
      </c>
      <c r="J2262" s="101">
        <v>84769</v>
      </c>
      <c r="K2262" s="87" t="s">
        <v>11</v>
      </c>
      <c r="L2262" s="108"/>
      <c r="M2262" s="108"/>
      <c r="N2262" s="108" t="str">
        <v>P917P849</v>
      </c>
      <c r="O2262" s="108">
        <f t="shared" si="37"/>
        <v>1</v>
      </c>
      <c r="P2262" s="108"/>
      <c r="Q2262"/>
    </row>
    <row r="2263" spans="1:17" x14ac:dyDescent="0.25">
      <c r="A2263" s="89" t="s">
        <v>11335</v>
      </c>
      <c r="B2263" s="87" t="s">
        <v>11336</v>
      </c>
      <c r="C2263" s="87" t="s">
        <v>15</v>
      </c>
      <c r="D2263" s="87" t="str">
        <f>VLOOKUP(Tabela1[[#This Row],[Origem]], 'Perguntas 1 a 24'!$J$28:$K$34, 2, 0)</f>
        <v>Sudeste</v>
      </c>
      <c r="E2263" s="87" t="str">
        <f>Tabela1[[#This Row],[Descrição]]&amp;"-"&amp;Tabela1[[#This Row],[Código]]&amp;"/"&amp;Tabela1[[#This Row],[Origem]]</f>
        <v>Veluporeci-P917P849/ES</v>
      </c>
      <c r="F2263" s="88">
        <v>46833</v>
      </c>
      <c r="G2263" s="88" t="str" cm="1">
        <f t="array" ref="G22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AND(F2263&gt;= DATE(2026,1,1), F2263&lt;= DATE(2028, 12, 31), J2263&gt;50000), "Pendente e Caro", AND(F2263&gt;= DATE(2026,1,1), F2263&lt;= DATE(2028, 12, 31), J2263&lt;=50000), "Pendente", F2263&gt;= DATE(2029,1,1), "Não prioeitário")</f>
        <v>Pendente e Caro</v>
      </c>
      <c r="H2263" s="89">
        <f>YEAR(Tabela1[[#This Row],[Data de Validade]])</f>
        <v>2028</v>
      </c>
      <c r="I2263" s="89">
        <f>MONTH(Tabela1[[#This Row],[Data de Validade]])</f>
        <v>3</v>
      </c>
      <c r="J2263" s="101">
        <v>108960</v>
      </c>
      <c r="K2263" s="87" t="s">
        <v>11</v>
      </c>
      <c r="L2263" s="108"/>
      <c r="M2263" s="108"/>
      <c r="N2263" s="108" t="str">
        <v>P252H629</v>
      </c>
      <c r="O2263" s="108">
        <f t="shared" si="37"/>
        <v>1</v>
      </c>
      <c r="P2263" s="108"/>
      <c r="Q2263"/>
    </row>
    <row r="2264" spans="1:17" x14ac:dyDescent="0.25">
      <c r="A2264" s="89" t="s">
        <v>9303</v>
      </c>
      <c r="B2264" s="87" t="s">
        <v>9304</v>
      </c>
      <c r="C2264" s="87" t="s">
        <v>15</v>
      </c>
      <c r="D2264" s="87" t="str">
        <f>VLOOKUP(Tabela1[[#This Row],[Origem]], 'Perguntas 1 a 24'!$J$28:$K$34, 2, 0)</f>
        <v>Sudeste</v>
      </c>
      <c r="E2264" s="87" t="str">
        <f>Tabela1[[#This Row],[Descrição]]&amp;"-"&amp;Tabela1[[#This Row],[Código]]&amp;"/"&amp;Tabela1[[#This Row],[Origem]]</f>
        <v>Tufope-P252H629/ES</v>
      </c>
      <c r="F2264" s="88">
        <v>46834</v>
      </c>
      <c r="G2264" s="88" t="str" cm="1">
        <f t="array" ref="G22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AND(F2264&gt;= DATE(2026,1,1), F2264&lt;= DATE(2028, 12, 31), J2264&gt;50000), "Pendente e Caro", AND(F2264&gt;= DATE(2026,1,1), F2264&lt;= DATE(2028, 12, 31), J2264&lt;=50000), "Pendente", F2264&gt;= DATE(2029,1,1), "Não prioeitário")</f>
        <v>Pendente e Caro</v>
      </c>
      <c r="H2264" s="89">
        <f>YEAR(Tabela1[[#This Row],[Data de Validade]])</f>
        <v>2028</v>
      </c>
      <c r="I2264" s="89">
        <f>MONTH(Tabela1[[#This Row],[Data de Validade]])</f>
        <v>3</v>
      </c>
      <c r="J2264" s="101">
        <v>95711</v>
      </c>
      <c r="K2264" s="87" t="s">
        <v>9</v>
      </c>
      <c r="L2264" s="108"/>
      <c r="M2264" s="108"/>
      <c r="N2264" s="108" t="str">
        <v>P157H825</v>
      </c>
      <c r="O2264" s="108">
        <f t="shared" si="37"/>
        <v>1</v>
      </c>
      <c r="P2264" s="108"/>
      <c r="Q2264"/>
    </row>
    <row r="2265" spans="1:17" x14ac:dyDescent="0.25">
      <c r="A2265" s="89" t="s">
        <v>10974</v>
      </c>
      <c r="B2265" s="87" t="s">
        <v>10975</v>
      </c>
      <c r="C2265" s="87" t="s">
        <v>8</v>
      </c>
      <c r="D2265" s="87" t="str">
        <f>VLOOKUP(Tabela1[[#This Row],[Origem]], 'Perguntas 1 a 24'!$J$28:$K$34, 2, 0)</f>
        <v>Nordeste</v>
      </c>
      <c r="E2265" s="87" t="str">
        <f>Tabela1[[#This Row],[Descrição]]&amp;"-"&amp;Tabela1[[#This Row],[Código]]&amp;"/"&amp;Tabela1[[#This Row],[Origem]]</f>
        <v>Vomari-P157H825/AL</v>
      </c>
      <c r="F2265" s="88">
        <v>46836</v>
      </c>
      <c r="G2265" s="88" t="str" cm="1">
        <f t="array" ref="G22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AND(F2265&gt;= DATE(2026,1,1), F2265&lt;= DATE(2028, 12, 31), J2265&gt;50000), "Pendente e Caro", AND(F2265&gt;= DATE(2026,1,1), F2265&lt;= DATE(2028, 12, 31), J2265&lt;=50000), "Pendente", F2265&gt;= DATE(2029,1,1), "Não prioeitário")</f>
        <v>Pendente</v>
      </c>
      <c r="H2265" s="89">
        <f>YEAR(Tabela1[[#This Row],[Data de Validade]])</f>
        <v>2028</v>
      </c>
      <c r="I2265" s="89">
        <f>MONTH(Tabela1[[#This Row],[Data de Validade]])</f>
        <v>3</v>
      </c>
      <c r="J2265" s="101">
        <v>24388</v>
      </c>
      <c r="K2265" s="87" t="s">
        <v>7</v>
      </c>
      <c r="L2265" s="108"/>
      <c r="M2265" s="108"/>
      <c r="N2265" s="108" t="str">
        <v>H278P947</v>
      </c>
      <c r="O2265" s="108">
        <f t="shared" si="37"/>
        <v>1</v>
      </c>
      <c r="P2265" s="108"/>
      <c r="Q2265"/>
    </row>
    <row r="2266" spans="1:17" x14ac:dyDescent="0.25">
      <c r="A2266" s="89" t="s">
        <v>4842</v>
      </c>
      <c r="B2266" s="87" t="s">
        <v>4843</v>
      </c>
      <c r="C2266" s="87" t="s">
        <v>15</v>
      </c>
      <c r="D2266" s="87" t="str">
        <f>VLOOKUP(Tabela1[[#This Row],[Origem]], 'Perguntas 1 a 24'!$J$28:$K$34, 2, 0)</f>
        <v>Sudeste</v>
      </c>
      <c r="E2266" s="87" t="str">
        <f>Tabela1[[#This Row],[Descrição]]&amp;"-"&amp;Tabela1[[#This Row],[Código]]&amp;"/"&amp;Tabela1[[#This Row],[Origem]]</f>
        <v>Dederulu-H278P947/ES</v>
      </c>
      <c r="F2266" s="88">
        <v>46837</v>
      </c>
      <c r="G2266" s="88" t="str" cm="1">
        <f t="array" ref="G22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AND(F2266&gt;= DATE(2026,1,1), F2266&lt;= DATE(2028, 12, 31), J2266&gt;50000), "Pendente e Caro", AND(F2266&gt;= DATE(2026,1,1), F2266&lt;= DATE(2028, 12, 31), J2266&lt;=50000), "Pendente", F2266&gt;= DATE(2029,1,1), "Não prioeitário")</f>
        <v>Pendente e Caro</v>
      </c>
      <c r="H2266" s="89">
        <f>YEAR(Tabela1[[#This Row],[Data de Validade]])</f>
        <v>2028</v>
      </c>
      <c r="I2266" s="89">
        <f>MONTH(Tabela1[[#This Row],[Data de Validade]])</f>
        <v>3</v>
      </c>
      <c r="J2266" s="101">
        <v>73963</v>
      </c>
      <c r="K2266" s="87" t="s">
        <v>14</v>
      </c>
      <c r="L2266" s="108"/>
      <c r="M2266" s="108"/>
      <c r="N2266" s="108" t="str">
        <v>P726H553</v>
      </c>
      <c r="O2266" s="108">
        <f t="shared" si="37"/>
        <v>1</v>
      </c>
      <c r="P2266" s="108"/>
      <c r="Q2266"/>
    </row>
    <row r="2267" spans="1:17" x14ac:dyDescent="0.25">
      <c r="A2267" s="89" t="s">
        <v>8400</v>
      </c>
      <c r="B2267" s="87" t="s">
        <v>8401</v>
      </c>
      <c r="C2267" s="87" t="s">
        <v>15</v>
      </c>
      <c r="D2267" s="87" t="str">
        <f>VLOOKUP(Tabela1[[#This Row],[Origem]], 'Perguntas 1 a 24'!$J$28:$K$34, 2, 0)</f>
        <v>Sudeste</v>
      </c>
      <c r="E2267" s="87" t="str">
        <f>Tabela1[[#This Row],[Descrição]]&amp;"-"&amp;Tabela1[[#This Row],[Código]]&amp;"/"&amp;Tabela1[[#This Row],[Origem]]</f>
        <v>Rucalidepe-P726H553/ES</v>
      </c>
      <c r="F2267" s="88">
        <v>46837</v>
      </c>
      <c r="G2267" s="88" t="str" cm="1">
        <f t="array" ref="G22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AND(F2267&gt;= DATE(2026,1,1), F2267&lt;= DATE(2028, 12, 31), J2267&gt;50000), "Pendente e Caro", AND(F2267&gt;= DATE(2026,1,1), F2267&lt;= DATE(2028, 12, 31), J2267&lt;=50000), "Pendente", F2267&gt;= DATE(2029,1,1), "Não prioeitário")</f>
        <v>Pendente</v>
      </c>
      <c r="H2267" s="89">
        <f>YEAR(Tabela1[[#This Row],[Data de Validade]])</f>
        <v>2028</v>
      </c>
      <c r="I2267" s="89">
        <f>MONTH(Tabela1[[#This Row],[Data de Validade]])</f>
        <v>3</v>
      </c>
      <c r="J2267" s="101">
        <v>38136</v>
      </c>
      <c r="K2267" s="87" t="s">
        <v>14</v>
      </c>
      <c r="L2267" s="108"/>
      <c r="M2267" s="108"/>
      <c r="N2267" s="108" t="str">
        <v>H346H769</v>
      </c>
      <c r="O2267" s="108">
        <f t="shared" si="37"/>
        <v>1</v>
      </c>
      <c r="P2267" s="108"/>
      <c r="Q2267"/>
    </row>
    <row r="2268" spans="1:17" x14ac:dyDescent="0.25">
      <c r="A2268" s="89" t="s">
        <v>9437</v>
      </c>
      <c r="B2268" s="87" t="s">
        <v>9438</v>
      </c>
      <c r="C2268" s="87" t="s">
        <v>6</v>
      </c>
      <c r="D2268" s="87" t="str">
        <f>VLOOKUP(Tabela1[[#This Row],[Origem]], 'Perguntas 1 a 24'!$J$28:$K$34, 2, 0)</f>
        <v>Nordeste</v>
      </c>
      <c r="E2268" s="87" t="str">
        <f>Tabela1[[#This Row],[Descrição]]&amp;"-"&amp;Tabela1[[#This Row],[Código]]&amp;"/"&amp;Tabela1[[#This Row],[Origem]]</f>
        <v>Pidonuga-H346H769/MA</v>
      </c>
      <c r="F2268" s="88">
        <v>46837</v>
      </c>
      <c r="G2268" s="88" t="str" cm="1">
        <f t="array" ref="G22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AND(F2268&gt;= DATE(2026,1,1), F2268&lt;= DATE(2028, 12, 31), J2268&gt;50000), "Pendente e Caro", AND(F2268&gt;= DATE(2026,1,1), F2268&lt;= DATE(2028, 12, 31), J2268&lt;=50000), "Pendente", F2268&gt;= DATE(2029,1,1), "Não prioeitário")</f>
        <v>Pendente</v>
      </c>
      <c r="H2268" s="89">
        <f>YEAR(Tabela1[[#This Row],[Data de Validade]])</f>
        <v>2028</v>
      </c>
      <c r="I2268" s="89">
        <f>MONTH(Tabela1[[#This Row],[Data de Validade]])</f>
        <v>3</v>
      </c>
      <c r="J2268" s="101">
        <v>20102</v>
      </c>
      <c r="K2268" s="87" t="s">
        <v>11</v>
      </c>
      <c r="L2268" s="108"/>
      <c r="M2268" s="108"/>
      <c r="N2268" s="108" t="str">
        <v>H878P295</v>
      </c>
      <c r="O2268" s="108">
        <f t="shared" si="37"/>
        <v>1</v>
      </c>
      <c r="P2268" s="108"/>
      <c r="Q2268"/>
    </row>
    <row r="2269" spans="1:17" x14ac:dyDescent="0.25">
      <c r="A2269" s="89" t="s">
        <v>4072</v>
      </c>
      <c r="B2269" s="87" t="s">
        <v>4073</v>
      </c>
      <c r="C2269" s="87" t="s">
        <v>10</v>
      </c>
      <c r="D2269" s="87" t="str">
        <f>VLOOKUP(Tabela1[[#This Row],[Origem]], 'Perguntas 1 a 24'!$J$28:$K$34, 2, 0)</f>
        <v>Centro-Oeste</v>
      </c>
      <c r="E2269" s="87" t="str">
        <f>Tabela1[[#This Row],[Descrição]]&amp;"-"&amp;Tabela1[[#This Row],[Código]]&amp;"/"&amp;Tabela1[[#This Row],[Origem]]</f>
        <v>Fapuvi-H878P295/GO</v>
      </c>
      <c r="F2269" s="88">
        <v>46838</v>
      </c>
      <c r="G2269" s="88" t="str" cm="1">
        <f t="array" ref="G22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AND(F2269&gt;= DATE(2026,1,1), F2269&lt;= DATE(2028, 12, 31), J2269&gt;50000), "Pendente e Caro", AND(F2269&gt;= DATE(2026,1,1), F2269&lt;= DATE(2028, 12, 31), J2269&lt;=50000), "Pendente", F2269&gt;= DATE(2029,1,1), "Não prioeitário")</f>
        <v>Pendente e Caro</v>
      </c>
      <c r="H2269" s="89">
        <f>YEAR(Tabela1[[#This Row],[Data de Validade]])</f>
        <v>2028</v>
      </c>
      <c r="I2269" s="89">
        <f>MONTH(Tabela1[[#This Row],[Data de Validade]])</f>
        <v>3</v>
      </c>
      <c r="J2269" s="101">
        <v>67075</v>
      </c>
      <c r="K2269" s="87" t="s">
        <v>11</v>
      </c>
      <c r="L2269" s="108"/>
      <c r="M2269" s="108"/>
      <c r="N2269" s="108" t="str">
        <v>P541H889</v>
      </c>
      <c r="O2269" s="108">
        <f t="shared" si="37"/>
        <v>1</v>
      </c>
      <c r="P2269" s="108"/>
      <c r="Q2269"/>
    </row>
    <row r="2270" spans="1:17" x14ac:dyDescent="0.25">
      <c r="A2270" s="89" t="s">
        <v>8653</v>
      </c>
      <c r="B2270" s="87" t="s">
        <v>8654</v>
      </c>
      <c r="C2270" s="87" t="s">
        <v>16</v>
      </c>
      <c r="D2270" s="87" t="str">
        <f>VLOOKUP(Tabela1[[#This Row],[Origem]], 'Perguntas 1 a 24'!$J$28:$K$34, 2, 0)</f>
        <v>Sudeste</v>
      </c>
      <c r="E2270" s="87" t="str">
        <f>Tabela1[[#This Row],[Descrição]]&amp;"-"&amp;Tabela1[[#This Row],[Código]]&amp;"/"&amp;Tabela1[[#This Row],[Origem]]</f>
        <v>Murufeperi-P541H889/MG</v>
      </c>
      <c r="F2270" s="88">
        <v>46839</v>
      </c>
      <c r="G2270" s="88" t="str" cm="1">
        <f t="array" ref="G22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AND(F2270&gt;= DATE(2026,1,1), F2270&lt;= DATE(2028, 12, 31), J2270&gt;50000), "Pendente e Caro", AND(F2270&gt;= DATE(2026,1,1), F2270&lt;= DATE(2028, 12, 31), J2270&lt;=50000), "Pendente", F2270&gt;= DATE(2029,1,1), "Não prioeitário")</f>
        <v>Pendente e Caro</v>
      </c>
      <c r="H2270" s="89">
        <f>YEAR(Tabela1[[#This Row],[Data de Validade]])</f>
        <v>2028</v>
      </c>
      <c r="I2270" s="89">
        <f>MONTH(Tabela1[[#This Row],[Data de Validade]])</f>
        <v>3</v>
      </c>
      <c r="J2270" s="101">
        <v>52599</v>
      </c>
      <c r="K2270" s="87" t="s">
        <v>11</v>
      </c>
      <c r="L2270" s="108"/>
      <c r="M2270" s="108"/>
      <c r="N2270" s="108" t="str">
        <v>P445P566</v>
      </c>
      <c r="O2270" s="108">
        <f t="shared" si="37"/>
        <v>1</v>
      </c>
      <c r="P2270" s="108"/>
      <c r="Q2270"/>
    </row>
    <row r="2271" spans="1:17" x14ac:dyDescent="0.25">
      <c r="A2271" s="89" t="s">
        <v>8647</v>
      </c>
      <c r="B2271" s="87" t="s">
        <v>8648</v>
      </c>
      <c r="C2271" s="87" t="s">
        <v>15</v>
      </c>
      <c r="D2271" s="87" t="str">
        <f>VLOOKUP(Tabela1[[#This Row],[Origem]], 'Perguntas 1 a 24'!$J$28:$K$34, 2, 0)</f>
        <v>Sudeste</v>
      </c>
      <c r="E2271" s="87" t="str">
        <f>Tabela1[[#This Row],[Descrição]]&amp;"-"&amp;Tabela1[[#This Row],[Código]]&amp;"/"&amp;Tabela1[[#This Row],[Origem]]</f>
        <v>Ropapumu-P445P566/ES</v>
      </c>
      <c r="F2271" s="88">
        <v>46840</v>
      </c>
      <c r="G2271" s="88" t="str" cm="1">
        <f t="array" ref="G22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AND(F2271&gt;= DATE(2026,1,1), F2271&lt;= DATE(2028, 12, 31), J2271&gt;50000), "Pendente e Caro", AND(F2271&gt;= DATE(2026,1,1), F2271&lt;= DATE(2028, 12, 31), J2271&lt;=50000), "Pendente", F2271&gt;= DATE(2029,1,1), "Não prioeitário")</f>
        <v>Pendente e Caro</v>
      </c>
      <c r="H2271" s="89">
        <f>YEAR(Tabela1[[#This Row],[Data de Validade]])</f>
        <v>2028</v>
      </c>
      <c r="I2271" s="89">
        <f>MONTH(Tabela1[[#This Row],[Data de Validade]])</f>
        <v>3</v>
      </c>
      <c r="J2271" s="101">
        <v>115281</v>
      </c>
      <c r="K2271" s="87" t="s">
        <v>7</v>
      </c>
      <c r="L2271" s="108"/>
      <c r="M2271" s="108"/>
      <c r="N2271" s="108" t="str">
        <v>P958H858</v>
      </c>
      <c r="O2271" s="108">
        <f t="shared" si="37"/>
        <v>1</v>
      </c>
      <c r="P2271" s="108"/>
      <c r="Q2271"/>
    </row>
    <row r="2272" spans="1:17" x14ac:dyDescent="0.25">
      <c r="A2272" s="89" t="s">
        <v>8328</v>
      </c>
      <c r="B2272" s="87" t="s">
        <v>8329</v>
      </c>
      <c r="C2272" s="87" t="s">
        <v>6</v>
      </c>
      <c r="D2272" s="87" t="str">
        <f>VLOOKUP(Tabela1[[#This Row],[Origem]], 'Perguntas 1 a 24'!$J$28:$K$34, 2, 0)</f>
        <v>Nordeste</v>
      </c>
      <c r="E2272" s="87" t="str">
        <f>Tabela1[[#This Row],[Descrição]]&amp;"-"&amp;Tabela1[[#This Row],[Código]]&amp;"/"&amp;Tabela1[[#This Row],[Origem]]</f>
        <v>Nodemutumi-P958H858/MA</v>
      </c>
      <c r="F2272" s="88">
        <v>46841</v>
      </c>
      <c r="G2272" s="88" t="str" cm="1">
        <f t="array" ref="G22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AND(F2272&gt;= DATE(2026,1,1), F2272&lt;= DATE(2028, 12, 31), J2272&gt;50000), "Pendente e Caro", AND(F2272&gt;= DATE(2026,1,1), F2272&lt;= DATE(2028, 12, 31), J2272&lt;=50000), "Pendente", F2272&gt;= DATE(2029,1,1), "Não prioeitário")</f>
        <v>Pendente e Caro</v>
      </c>
      <c r="H2272" s="89">
        <f>YEAR(Tabela1[[#This Row],[Data de Validade]])</f>
        <v>2028</v>
      </c>
      <c r="I2272" s="89">
        <f>MONTH(Tabela1[[#This Row],[Data de Validade]])</f>
        <v>3</v>
      </c>
      <c r="J2272" s="101">
        <v>82542</v>
      </c>
      <c r="K2272" s="87" t="s">
        <v>11</v>
      </c>
      <c r="L2272" s="108"/>
      <c r="M2272" s="108"/>
      <c r="N2272" s="108" t="str">
        <v>P382H552</v>
      </c>
      <c r="O2272" s="108">
        <f t="shared" si="37"/>
        <v>1</v>
      </c>
      <c r="P2272" s="108"/>
      <c r="Q2272"/>
    </row>
    <row r="2273" spans="1:17" x14ac:dyDescent="0.25">
      <c r="A2273" s="89" t="s">
        <v>10133</v>
      </c>
      <c r="B2273" s="87" t="s">
        <v>10134</v>
      </c>
      <c r="C2273" s="87" t="s">
        <v>15</v>
      </c>
      <c r="D2273" s="87" t="str">
        <f>VLOOKUP(Tabela1[[#This Row],[Origem]], 'Perguntas 1 a 24'!$J$28:$K$34, 2, 0)</f>
        <v>Sudeste</v>
      </c>
      <c r="E2273" s="87" t="str">
        <f>Tabela1[[#This Row],[Descrição]]&amp;"-"&amp;Tabela1[[#This Row],[Código]]&amp;"/"&amp;Tabela1[[#This Row],[Origem]]</f>
        <v>Rurutu-P382H552/ES</v>
      </c>
      <c r="F2273" s="88">
        <v>46842</v>
      </c>
      <c r="G2273" s="88" t="str" cm="1">
        <f t="array" ref="G22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AND(F2273&gt;= DATE(2026,1,1), F2273&lt;= DATE(2028, 12, 31), J2273&gt;50000), "Pendente e Caro", AND(F2273&gt;= DATE(2026,1,1), F2273&lt;= DATE(2028, 12, 31), J2273&lt;=50000), "Pendente", F2273&gt;= DATE(2029,1,1), "Não prioeitário")</f>
        <v>Pendente e Caro</v>
      </c>
      <c r="H2273" s="89">
        <f>YEAR(Tabela1[[#This Row],[Data de Validade]])</f>
        <v>2028</v>
      </c>
      <c r="I2273" s="89">
        <f>MONTH(Tabela1[[#This Row],[Data de Validade]])</f>
        <v>3</v>
      </c>
      <c r="J2273" s="101">
        <v>67132</v>
      </c>
      <c r="K2273" s="87" t="s">
        <v>9</v>
      </c>
      <c r="L2273" s="108"/>
      <c r="M2273" s="108"/>
      <c r="N2273" s="108" t="str">
        <v>H812H424</v>
      </c>
      <c r="O2273" s="108">
        <f t="shared" si="37"/>
        <v>1</v>
      </c>
      <c r="P2273" s="108"/>
      <c r="Q2273"/>
    </row>
    <row r="2274" spans="1:17" x14ac:dyDescent="0.25">
      <c r="A2274" s="89" t="s">
        <v>8228</v>
      </c>
      <c r="B2274" s="87" t="s">
        <v>8229</v>
      </c>
      <c r="C2274" s="87" t="s">
        <v>10</v>
      </c>
      <c r="D2274" s="87" t="str">
        <f>VLOOKUP(Tabela1[[#This Row],[Origem]], 'Perguntas 1 a 24'!$J$28:$K$34, 2, 0)</f>
        <v>Centro-Oeste</v>
      </c>
      <c r="E2274" s="87" t="str">
        <f>Tabela1[[#This Row],[Descrição]]&amp;"-"&amp;Tabela1[[#This Row],[Código]]&amp;"/"&amp;Tabela1[[#This Row],[Origem]]</f>
        <v>Redonu-H812H424/GO</v>
      </c>
      <c r="F2274" s="88">
        <v>46843</v>
      </c>
      <c r="G2274" s="88" t="str" cm="1">
        <f t="array" ref="G22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AND(F2274&gt;= DATE(2026,1,1), F2274&lt;= DATE(2028, 12, 31), J2274&gt;50000), "Pendente e Caro", AND(F2274&gt;= DATE(2026,1,1), F2274&lt;= DATE(2028, 12, 31), J2274&lt;=50000), "Pendente", F2274&gt;= DATE(2029,1,1), "Não prioeitário")</f>
        <v>Pendente e Caro</v>
      </c>
      <c r="H2274" s="89">
        <f>YEAR(Tabela1[[#This Row],[Data de Validade]])</f>
        <v>2028</v>
      </c>
      <c r="I2274" s="89">
        <f>MONTH(Tabela1[[#This Row],[Data de Validade]])</f>
        <v>3</v>
      </c>
      <c r="J2274" s="101">
        <v>88777</v>
      </c>
      <c r="K2274" s="87" t="s">
        <v>9</v>
      </c>
      <c r="L2274" s="108"/>
      <c r="M2274" s="108"/>
      <c r="N2274" s="108" t="str">
        <v>P566H418</v>
      </c>
      <c r="O2274" s="108">
        <f t="shared" si="37"/>
        <v>1</v>
      </c>
      <c r="P2274" s="108"/>
      <c r="Q2274"/>
    </row>
    <row r="2275" spans="1:17" x14ac:dyDescent="0.25">
      <c r="A2275" s="89" t="s">
        <v>10269</v>
      </c>
      <c r="B2275" s="87" t="s">
        <v>10270</v>
      </c>
      <c r="C2275" s="87" t="s">
        <v>13</v>
      </c>
      <c r="D2275" s="87" t="str">
        <f>VLOOKUP(Tabela1[[#This Row],[Origem]], 'Perguntas 1 a 24'!$J$28:$K$34, 2, 0)</f>
        <v>Sudeste</v>
      </c>
      <c r="E2275" s="87" t="str">
        <f>Tabela1[[#This Row],[Descrição]]&amp;"-"&amp;Tabela1[[#This Row],[Código]]&amp;"/"&amp;Tabela1[[#This Row],[Origem]]</f>
        <v>Tifugove-P566H418/SP</v>
      </c>
      <c r="F2275" s="88">
        <v>46843</v>
      </c>
      <c r="G2275" s="88" t="str" cm="1">
        <f t="array" ref="G22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AND(F2275&gt;= DATE(2026,1,1), F2275&lt;= DATE(2028, 12, 31), J2275&gt;50000), "Pendente e Caro", AND(F2275&gt;= DATE(2026,1,1), F2275&lt;= DATE(2028, 12, 31), J2275&lt;=50000), "Pendente", F2275&gt;= DATE(2029,1,1), "Não prioeitário")</f>
        <v>Pendente e Caro</v>
      </c>
      <c r="H2275" s="89">
        <f>YEAR(Tabela1[[#This Row],[Data de Validade]])</f>
        <v>2028</v>
      </c>
      <c r="I2275" s="89">
        <f>MONTH(Tabela1[[#This Row],[Data de Validade]])</f>
        <v>3</v>
      </c>
      <c r="J2275" s="101">
        <v>71267</v>
      </c>
      <c r="K2275" s="87" t="s">
        <v>7</v>
      </c>
      <c r="L2275" s="108"/>
      <c r="M2275" s="108"/>
      <c r="N2275" s="108" t="str">
        <v>H818H385</v>
      </c>
      <c r="O2275" s="108">
        <f t="shared" si="37"/>
        <v>1</v>
      </c>
      <c r="P2275" s="108"/>
      <c r="Q2275"/>
    </row>
    <row r="2276" spans="1:17" x14ac:dyDescent="0.25">
      <c r="A2276" s="89" t="s">
        <v>10295</v>
      </c>
      <c r="B2276" s="87" t="s">
        <v>10296</v>
      </c>
      <c r="C2276" s="87" t="s">
        <v>8</v>
      </c>
      <c r="D2276" s="87" t="str">
        <f>VLOOKUP(Tabela1[[#This Row],[Origem]], 'Perguntas 1 a 24'!$J$28:$K$34, 2, 0)</f>
        <v>Nordeste</v>
      </c>
      <c r="E2276" s="87" t="str">
        <f>Tabela1[[#This Row],[Descrição]]&amp;"-"&amp;Tabela1[[#This Row],[Código]]&amp;"/"&amp;Tabela1[[#This Row],[Origem]]</f>
        <v>Porora-H818H385/AL</v>
      </c>
      <c r="F2276" s="88">
        <v>46843</v>
      </c>
      <c r="G2276" s="88" t="str" cm="1">
        <f t="array" ref="G22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AND(F2276&gt;= DATE(2026,1,1), F2276&lt;= DATE(2028, 12, 31), J2276&gt;50000), "Pendente e Caro", AND(F2276&gt;= DATE(2026,1,1), F2276&lt;= DATE(2028, 12, 31), J2276&lt;=50000), "Pendente", F2276&gt;= DATE(2029,1,1), "Não prioeitário")</f>
        <v>Pendente e Caro</v>
      </c>
      <c r="H2276" s="89">
        <f>YEAR(Tabela1[[#This Row],[Data de Validade]])</f>
        <v>2028</v>
      </c>
      <c r="I2276" s="89">
        <f>MONTH(Tabela1[[#This Row],[Data de Validade]])</f>
        <v>3</v>
      </c>
      <c r="J2276" s="101">
        <v>71055</v>
      </c>
      <c r="K2276" s="87" t="s">
        <v>14</v>
      </c>
      <c r="L2276" s="108"/>
      <c r="M2276" s="108"/>
      <c r="N2276" s="108" t="str">
        <v>H968H118</v>
      </c>
      <c r="O2276" s="108">
        <f t="shared" si="37"/>
        <v>1</v>
      </c>
      <c r="P2276" s="108"/>
      <c r="Q2276"/>
    </row>
    <row r="2277" spans="1:17" x14ac:dyDescent="0.25">
      <c r="A2277" s="89" t="s">
        <v>8428</v>
      </c>
      <c r="B2277" s="87" t="s">
        <v>8429</v>
      </c>
      <c r="C2277" s="87" t="s">
        <v>8</v>
      </c>
      <c r="D2277" s="87" t="str">
        <f>VLOOKUP(Tabela1[[#This Row],[Origem]], 'Perguntas 1 a 24'!$J$28:$K$34, 2, 0)</f>
        <v>Nordeste</v>
      </c>
      <c r="E2277" s="87" t="str">
        <f>Tabela1[[#This Row],[Descrição]]&amp;"-"&amp;Tabela1[[#This Row],[Código]]&amp;"/"&amp;Tabela1[[#This Row],[Origem]]</f>
        <v>Lugeno-H968H118/AL</v>
      </c>
      <c r="F2277" s="88">
        <v>46843</v>
      </c>
      <c r="G2277" s="88" t="str" cm="1">
        <f t="array" ref="G22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AND(F2277&gt;= DATE(2026,1,1), F2277&lt;= DATE(2028, 12, 31), J2277&gt;50000), "Pendente e Caro", AND(F2277&gt;= DATE(2026,1,1), F2277&lt;= DATE(2028, 12, 31), J2277&lt;=50000), "Pendente", F2277&gt;= DATE(2029,1,1), "Não prioeitário")</f>
        <v>Pendente</v>
      </c>
      <c r="H2277" s="89">
        <f>YEAR(Tabela1[[#This Row],[Data de Validade]])</f>
        <v>2028</v>
      </c>
      <c r="I2277" s="89">
        <f>MONTH(Tabela1[[#This Row],[Data de Validade]])</f>
        <v>3</v>
      </c>
      <c r="J2277" s="101">
        <v>29926</v>
      </c>
      <c r="K2277" s="87" t="s">
        <v>9</v>
      </c>
      <c r="L2277" s="108"/>
      <c r="M2277" s="108"/>
      <c r="N2277" s="108" t="str">
        <v>P261P142</v>
      </c>
      <c r="O2277" s="108">
        <f t="shared" si="37"/>
        <v>1</v>
      </c>
      <c r="P2277" s="108"/>
      <c r="Q2277"/>
    </row>
    <row r="2278" spans="1:17" x14ac:dyDescent="0.25">
      <c r="A2278" s="89" t="s">
        <v>4898</v>
      </c>
      <c r="B2278" s="87" t="s">
        <v>4899</v>
      </c>
      <c r="C2278" s="87" t="s">
        <v>15</v>
      </c>
      <c r="D2278" s="87" t="str">
        <f>VLOOKUP(Tabela1[[#This Row],[Origem]], 'Perguntas 1 a 24'!$J$28:$K$34, 2, 0)</f>
        <v>Sudeste</v>
      </c>
      <c r="E2278" s="87" t="str">
        <f>Tabela1[[#This Row],[Descrição]]&amp;"-"&amp;Tabela1[[#This Row],[Código]]&amp;"/"&amp;Tabela1[[#This Row],[Origem]]</f>
        <v>Mafegamopo-P261P142/ES</v>
      </c>
      <c r="F2278" s="88">
        <v>46844</v>
      </c>
      <c r="G2278" s="88" t="str" cm="1">
        <f t="array" ref="G22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AND(F2278&gt;= DATE(2026,1,1), F2278&lt;= DATE(2028, 12, 31), J2278&gt;50000), "Pendente e Caro", AND(F2278&gt;= DATE(2026,1,1), F2278&lt;= DATE(2028, 12, 31), J2278&lt;=50000), "Pendente", F2278&gt;= DATE(2029,1,1), "Não prioeitário")</f>
        <v>Pendente</v>
      </c>
      <c r="H2278" s="89">
        <f>YEAR(Tabela1[[#This Row],[Data de Validade]])</f>
        <v>2028</v>
      </c>
      <c r="I2278" s="89">
        <f>MONTH(Tabela1[[#This Row],[Data de Validade]])</f>
        <v>4</v>
      </c>
      <c r="J2278" s="101">
        <v>38082</v>
      </c>
      <c r="K2278" s="87" t="s">
        <v>14</v>
      </c>
      <c r="L2278" s="108"/>
      <c r="M2278" s="108"/>
      <c r="N2278" s="108" t="str">
        <v>P953P247</v>
      </c>
      <c r="O2278" s="108">
        <f t="shared" si="37"/>
        <v>1</v>
      </c>
      <c r="P2278" s="108"/>
      <c r="Q2278"/>
    </row>
    <row r="2279" spans="1:17" x14ac:dyDescent="0.25">
      <c r="A2279" s="89" t="s">
        <v>9115</v>
      </c>
      <c r="B2279" s="87" t="s">
        <v>9116</v>
      </c>
      <c r="C2279" s="87" t="s">
        <v>13</v>
      </c>
      <c r="D2279" s="87" t="str">
        <f>VLOOKUP(Tabela1[[#This Row],[Origem]], 'Perguntas 1 a 24'!$J$28:$K$34, 2, 0)</f>
        <v>Sudeste</v>
      </c>
      <c r="E2279" s="87" t="str">
        <f>Tabela1[[#This Row],[Descrição]]&amp;"-"&amp;Tabela1[[#This Row],[Código]]&amp;"/"&amp;Tabela1[[#This Row],[Origem]]</f>
        <v>Decari-P953P247/SP</v>
      </c>
      <c r="F2279" s="88">
        <v>46846</v>
      </c>
      <c r="G2279" s="88" t="str" cm="1">
        <f t="array" ref="G22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AND(F2279&gt;= DATE(2026,1,1), F2279&lt;= DATE(2028, 12, 31), J2279&gt;50000), "Pendente e Caro", AND(F2279&gt;= DATE(2026,1,1), F2279&lt;= DATE(2028, 12, 31), J2279&lt;=50000), "Pendente", F2279&gt;= DATE(2029,1,1), "Não prioeitário")</f>
        <v>Pendente e Caro</v>
      </c>
      <c r="H2279" s="89">
        <f>YEAR(Tabela1[[#This Row],[Data de Validade]])</f>
        <v>2028</v>
      </c>
      <c r="I2279" s="89">
        <f>MONTH(Tabela1[[#This Row],[Data de Validade]])</f>
        <v>4</v>
      </c>
      <c r="J2279" s="101">
        <v>99639</v>
      </c>
      <c r="K2279" s="87" t="s">
        <v>14</v>
      </c>
      <c r="L2279" s="108"/>
      <c r="M2279" s="108"/>
      <c r="N2279" s="108" t="str">
        <v>H267P451</v>
      </c>
      <c r="O2279" s="108">
        <f t="shared" si="37"/>
        <v>1</v>
      </c>
      <c r="P2279" s="108"/>
      <c r="Q2279"/>
    </row>
    <row r="2280" spans="1:17" x14ac:dyDescent="0.25">
      <c r="A2280" s="89" t="s">
        <v>5702</v>
      </c>
      <c r="B2280" s="87" t="s">
        <v>5703</v>
      </c>
      <c r="C2280" s="87" t="s">
        <v>16</v>
      </c>
      <c r="D2280" s="87" t="str">
        <f>VLOOKUP(Tabela1[[#This Row],[Origem]], 'Perguntas 1 a 24'!$J$28:$K$34, 2, 0)</f>
        <v>Sudeste</v>
      </c>
      <c r="E2280" s="87" t="str">
        <f>Tabela1[[#This Row],[Descrição]]&amp;"-"&amp;Tabela1[[#This Row],[Código]]&amp;"/"&amp;Tabela1[[#This Row],[Origem]]</f>
        <v>Pemaripote-H267P451/MG</v>
      </c>
      <c r="F2280" s="88">
        <v>46846</v>
      </c>
      <c r="G2280" s="88" t="str" cm="1">
        <f t="array" ref="G22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AND(F2280&gt;= DATE(2026,1,1), F2280&lt;= DATE(2028, 12, 31), J2280&gt;50000), "Pendente e Caro", AND(F2280&gt;= DATE(2026,1,1), F2280&lt;= DATE(2028, 12, 31), J2280&lt;=50000), "Pendente", F2280&gt;= DATE(2029,1,1), "Não prioeitário")</f>
        <v>Pendente</v>
      </c>
      <c r="H2280" s="89">
        <f>YEAR(Tabela1[[#This Row],[Data de Validade]])</f>
        <v>2028</v>
      </c>
      <c r="I2280" s="89">
        <f>MONTH(Tabela1[[#This Row],[Data de Validade]])</f>
        <v>4</v>
      </c>
      <c r="J2280" s="101">
        <v>24082</v>
      </c>
      <c r="K2280" s="87" t="s">
        <v>9</v>
      </c>
      <c r="L2280" s="108"/>
      <c r="M2280" s="108"/>
      <c r="N2280" s="108" t="str">
        <v>H995H211</v>
      </c>
      <c r="O2280" s="108">
        <f t="shared" si="37"/>
        <v>1</v>
      </c>
      <c r="P2280" s="108"/>
      <c r="Q2280"/>
    </row>
    <row r="2281" spans="1:17" x14ac:dyDescent="0.25">
      <c r="A2281" s="89" t="s">
        <v>8639</v>
      </c>
      <c r="B2281" s="87" t="s">
        <v>8640</v>
      </c>
      <c r="C2281" s="87" t="s">
        <v>12</v>
      </c>
      <c r="D2281" s="87" t="str">
        <f>VLOOKUP(Tabela1[[#This Row],[Origem]], 'Perguntas 1 a 24'!$J$28:$K$34, 2, 0)</f>
        <v>Sudeste</v>
      </c>
      <c r="E2281" s="87" t="str">
        <f>Tabela1[[#This Row],[Descrição]]&amp;"-"&amp;Tabela1[[#This Row],[Código]]&amp;"/"&amp;Tabela1[[#This Row],[Origem]]</f>
        <v>Tulicecari-H995H211/RJ</v>
      </c>
      <c r="F2281" s="88">
        <v>46847</v>
      </c>
      <c r="G2281" s="88" t="str" cm="1">
        <f t="array" ref="G22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AND(F2281&gt;= DATE(2026,1,1), F2281&lt;= DATE(2028, 12, 31), J2281&gt;50000), "Pendente e Caro", AND(F2281&gt;= DATE(2026,1,1), F2281&lt;= DATE(2028, 12, 31), J2281&lt;=50000), "Pendente", F2281&gt;= DATE(2029,1,1), "Não prioeitário")</f>
        <v>Pendente e Caro</v>
      </c>
      <c r="H2281" s="89">
        <f>YEAR(Tabela1[[#This Row],[Data de Validade]])</f>
        <v>2028</v>
      </c>
      <c r="I2281" s="89">
        <f>MONTH(Tabela1[[#This Row],[Data de Validade]])</f>
        <v>4</v>
      </c>
      <c r="J2281" s="101">
        <v>69161</v>
      </c>
      <c r="K2281" s="87" t="s">
        <v>9</v>
      </c>
      <c r="L2281" s="108"/>
      <c r="M2281" s="108"/>
      <c r="N2281" s="108" t="str">
        <v>H896H295</v>
      </c>
      <c r="O2281" s="108">
        <f t="shared" si="37"/>
        <v>1</v>
      </c>
      <c r="P2281" s="108"/>
      <c r="Q2281"/>
    </row>
    <row r="2282" spans="1:17" x14ac:dyDescent="0.25">
      <c r="A2282" s="89" t="s">
        <v>5152</v>
      </c>
      <c r="B2282" s="87" t="s">
        <v>5153</v>
      </c>
      <c r="C2282" s="87" t="s">
        <v>8</v>
      </c>
      <c r="D2282" s="87" t="str">
        <f>VLOOKUP(Tabela1[[#This Row],[Origem]], 'Perguntas 1 a 24'!$J$28:$K$34, 2, 0)</f>
        <v>Nordeste</v>
      </c>
      <c r="E2282" s="87" t="str">
        <f>Tabela1[[#This Row],[Descrição]]&amp;"-"&amp;Tabela1[[#This Row],[Código]]&amp;"/"&amp;Tabela1[[#This Row],[Origem]]</f>
        <v>Torevoceco-H896H295/AL</v>
      </c>
      <c r="F2282" s="88">
        <v>46849</v>
      </c>
      <c r="G2282" s="88" t="str" cm="1">
        <f t="array" ref="G22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AND(F2282&gt;= DATE(2026,1,1), F2282&lt;= DATE(2028, 12, 31), J2282&gt;50000), "Pendente e Caro", AND(F2282&gt;= DATE(2026,1,1), F2282&lt;= DATE(2028, 12, 31), J2282&lt;=50000), "Pendente", F2282&gt;= DATE(2029,1,1), "Não prioeitário")</f>
        <v>Pendente e Caro</v>
      </c>
      <c r="H2282" s="89">
        <f>YEAR(Tabela1[[#This Row],[Data de Validade]])</f>
        <v>2028</v>
      </c>
      <c r="I2282" s="89">
        <f>MONTH(Tabela1[[#This Row],[Data de Validade]])</f>
        <v>4</v>
      </c>
      <c r="J2282" s="101">
        <v>108441</v>
      </c>
      <c r="K2282" s="87" t="s">
        <v>7</v>
      </c>
      <c r="L2282" s="108"/>
      <c r="M2282" s="108"/>
      <c r="N2282" s="108" t="str">
        <v>P167P678</v>
      </c>
      <c r="O2282" s="108">
        <f t="shared" si="37"/>
        <v>1</v>
      </c>
      <c r="P2282" s="108"/>
      <c r="Q2282"/>
    </row>
    <row r="2283" spans="1:17" x14ac:dyDescent="0.25">
      <c r="A2283" s="89" t="s">
        <v>5122</v>
      </c>
      <c r="B2283" s="87" t="s">
        <v>5123</v>
      </c>
      <c r="C2283" s="87" t="s">
        <v>10</v>
      </c>
      <c r="D2283" s="87" t="str">
        <f>VLOOKUP(Tabela1[[#This Row],[Origem]], 'Perguntas 1 a 24'!$J$28:$K$34, 2, 0)</f>
        <v>Centro-Oeste</v>
      </c>
      <c r="E2283" s="87" t="str">
        <f>Tabela1[[#This Row],[Descrição]]&amp;"-"&amp;Tabela1[[#This Row],[Código]]&amp;"/"&amp;Tabela1[[#This Row],[Origem]]</f>
        <v>Lipoco-P167P678/GO</v>
      </c>
      <c r="F2283" s="88">
        <v>46849</v>
      </c>
      <c r="G2283" s="88" t="str" cm="1">
        <f t="array" ref="G22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AND(F2283&gt;= DATE(2026,1,1), F2283&lt;= DATE(2028, 12, 31), J2283&gt;50000), "Pendente e Caro", AND(F2283&gt;= DATE(2026,1,1), F2283&lt;= DATE(2028, 12, 31), J2283&lt;=50000), "Pendente", F2283&gt;= DATE(2029,1,1), "Não prioeitário")</f>
        <v>Pendente e Caro</v>
      </c>
      <c r="H2283" s="89">
        <f>YEAR(Tabela1[[#This Row],[Data de Validade]])</f>
        <v>2028</v>
      </c>
      <c r="I2283" s="89">
        <f>MONTH(Tabela1[[#This Row],[Data de Validade]])</f>
        <v>4</v>
      </c>
      <c r="J2283" s="101">
        <v>80140</v>
      </c>
      <c r="K2283" s="87" t="s">
        <v>9</v>
      </c>
      <c r="L2283" s="108"/>
      <c r="M2283" s="108"/>
      <c r="N2283" s="108" t="str">
        <v>H284H427</v>
      </c>
      <c r="O2283" s="108">
        <f t="shared" si="37"/>
        <v>1</v>
      </c>
      <c r="P2283" s="108"/>
      <c r="Q2283"/>
    </row>
    <row r="2284" spans="1:17" x14ac:dyDescent="0.25">
      <c r="A2284" s="89" t="s">
        <v>8729</v>
      </c>
      <c r="B2284" s="87" t="s">
        <v>8730</v>
      </c>
      <c r="C2284" s="87" t="s">
        <v>10</v>
      </c>
      <c r="D2284" s="87" t="str">
        <f>VLOOKUP(Tabela1[[#This Row],[Origem]], 'Perguntas 1 a 24'!$J$28:$K$34, 2, 0)</f>
        <v>Centro-Oeste</v>
      </c>
      <c r="E2284" s="87" t="str">
        <f>Tabela1[[#This Row],[Descrição]]&amp;"-"&amp;Tabela1[[#This Row],[Código]]&amp;"/"&amp;Tabela1[[#This Row],[Origem]]</f>
        <v>Pureta-H284H427/GO</v>
      </c>
      <c r="F2284" s="88">
        <v>46849</v>
      </c>
      <c r="G2284" s="88" t="str" cm="1">
        <f t="array" ref="G22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AND(F2284&gt;= DATE(2026,1,1), F2284&lt;= DATE(2028, 12, 31), J2284&gt;50000), "Pendente e Caro", AND(F2284&gt;= DATE(2026,1,1), F2284&lt;= DATE(2028, 12, 31), J2284&lt;=50000), "Pendente", F2284&gt;= DATE(2029,1,1), "Não prioeitário")</f>
        <v>Pendente e Caro</v>
      </c>
      <c r="H2284" s="89">
        <f>YEAR(Tabela1[[#This Row],[Data de Validade]])</f>
        <v>2028</v>
      </c>
      <c r="I2284" s="89">
        <f>MONTH(Tabela1[[#This Row],[Data de Validade]])</f>
        <v>4</v>
      </c>
      <c r="J2284" s="101">
        <v>78986</v>
      </c>
      <c r="K2284" s="87" t="s">
        <v>7</v>
      </c>
      <c r="L2284" s="108"/>
      <c r="M2284" s="108"/>
      <c r="N2284" s="108" t="str">
        <v>P382H188</v>
      </c>
      <c r="O2284" s="108">
        <f t="shared" si="37"/>
        <v>1</v>
      </c>
      <c r="P2284" s="108"/>
      <c r="Q2284"/>
    </row>
    <row r="2285" spans="1:17" x14ac:dyDescent="0.25">
      <c r="A2285" s="89" t="s">
        <v>9527</v>
      </c>
      <c r="B2285" s="87" t="s">
        <v>9528</v>
      </c>
      <c r="C2285" s="87" t="s">
        <v>12</v>
      </c>
      <c r="D2285" s="87" t="str">
        <f>VLOOKUP(Tabela1[[#This Row],[Origem]], 'Perguntas 1 a 24'!$J$28:$K$34, 2, 0)</f>
        <v>Sudeste</v>
      </c>
      <c r="E2285" s="87" t="str">
        <f>Tabela1[[#This Row],[Descrição]]&amp;"-"&amp;Tabela1[[#This Row],[Código]]&amp;"/"&amp;Tabela1[[#This Row],[Origem]]</f>
        <v>Parerode-P382H188/RJ</v>
      </c>
      <c r="F2285" s="88">
        <v>46850</v>
      </c>
      <c r="G2285" s="88" t="str" cm="1">
        <f t="array" ref="G22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AND(F2285&gt;= DATE(2026,1,1), F2285&lt;= DATE(2028, 12, 31), J2285&gt;50000), "Pendente e Caro", AND(F2285&gt;= DATE(2026,1,1), F2285&lt;= DATE(2028, 12, 31), J2285&lt;=50000), "Pendente", F2285&gt;= DATE(2029,1,1), "Não prioeitário")</f>
        <v>Pendente e Caro</v>
      </c>
      <c r="H2285" s="89">
        <f>YEAR(Tabela1[[#This Row],[Data de Validade]])</f>
        <v>2028</v>
      </c>
      <c r="I2285" s="89">
        <f>MONTH(Tabela1[[#This Row],[Data de Validade]])</f>
        <v>4</v>
      </c>
      <c r="J2285" s="101">
        <v>119298</v>
      </c>
      <c r="K2285" s="87" t="s">
        <v>11</v>
      </c>
      <c r="L2285" s="108"/>
      <c r="M2285" s="108"/>
      <c r="N2285" s="108" t="str">
        <v>P361P931</v>
      </c>
      <c r="O2285" s="108">
        <f t="shared" si="37"/>
        <v>1</v>
      </c>
      <c r="P2285" s="108"/>
      <c r="Q2285"/>
    </row>
    <row r="2286" spans="1:17" x14ac:dyDescent="0.25">
      <c r="A2286" s="89" t="s">
        <v>4688</v>
      </c>
      <c r="B2286" s="87" t="s">
        <v>4689</v>
      </c>
      <c r="C2286" s="87" t="s">
        <v>6</v>
      </c>
      <c r="D2286" s="87" t="str">
        <f>VLOOKUP(Tabela1[[#This Row],[Origem]], 'Perguntas 1 a 24'!$J$28:$K$34, 2, 0)</f>
        <v>Nordeste</v>
      </c>
      <c r="E2286" s="87" t="str">
        <f>Tabela1[[#This Row],[Descrição]]&amp;"-"&amp;Tabela1[[#This Row],[Código]]&amp;"/"&amp;Tabela1[[#This Row],[Origem]]</f>
        <v>Totuleriri-P361P931/MA</v>
      </c>
      <c r="F2286" s="88">
        <v>46851</v>
      </c>
      <c r="G2286" s="88" t="str" cm="1">
        <f t="array" ref="G22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AND(F2286&gt;= DATE(2026,1,1), F2286&lt;= DATE(2028, 12, 31), J2286&gt;50000), "Pendente e Caro", AND(F2286&gt;= DATE(2026,1,1), F2286&lt;= DATE(2028, 12, 31), J2286&lt;=50000), "Pendente", F2286&gt;= DATE(2029,1,1), "Não prioeitário")</f>
        <v>Pendente e Caro</v>
      </c>
      <c r="H2286" s="89">
        <f>YEAR(Tabela1[[#This Row],[Data de Validade]])</f>
        <v>2028</v>
      </c>
      <c r="I2286" s="89">
        <f>MONTH(Tabela1[[#This Row],[Data de Validade]])</f>
        <v>4</v>
      </c>
      <c r="J2286" s="101">
        <v>105969</v>
      </c>
      <c r="K2286" s="87" t="s">
        <v>11</v>
      </c>
      <c r="L2286" s="108"/>
      <c r="M2286" s="108"/>
      <c r="N2286" s="108" t="str">
        <v>P619H359</v>
      </c>
      <c r="O2286" s="108">
        <f t="shared" si="37"/>
        <v>1</v>
      </c>
      <c r="P2286" s="108"/>
      <c r="Q2286"/>
    </row>
    <row r="2287" spans="1:17" x14ac:dyDescent="0.25">
      <c r="A2287" s="89" t="s">
        <v>4988</v>
      </c>
      <c r="B2287" s="87" t="s">
        <v>4989</v>
      </c>
      <c r="C2287" s="87" t="s">
        <v>15</v>
      </c>
      <c r="D2287" s="87" t="str">
        <f>VLOOKUP(Tabela1[[#This Row],[Origem]], 'Perguntas 1 a 24'!$J$28:$K$34, 2, 0)</f>
        <v>Sudeste</v>
      </c>
      <c r="E2287" s="87" t="str">
        <f>Tabela1[[#This Row],[Descrição]]&amp;"-"&amp;Tabela1[[#This Row],[Código]]&amp;"/"&amp;Tabela1[[#This Row],[Origem]]</f>
        <v>Pitecame-P619H359/ES</v>
      </c>
      <c r="F2287" s="88">
        <v>46851</v>
      </c>
      <c r="G2287" s="88" t="str" cm="1">
        <f t="array" ref="G22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AND(F2287&gt;= DATE(2026,1,1), F2287&lt;= DATE(2028, 12, 31), J2287&gt;50000), "Pendente e Caro", AND(F2287&gt;= DATE(2026,1,1), F2287&lt;= DATE(2028, 12, 31), J2287&lt;=50000), "Pendente", F2287&gt;= DATE(2029,1,1), "Não prioeitário")</f>
        <v>Pendente e Caro</v>
      </c>
      <c r="H2287" s="89">
        <f>YEAR(Tabela1[[#This Row],[Data de Validade]])</f>
        <v>2028</v>
      </c>
      <c r="I2287" s="89">
        <f>MONTH(Tabela1[[#This Row],[Data de Validade]])</f>
        <v>4</v>
      </c>
      <c r="J2287" s="101">
        <v>55351</v>
      </c>
      <c r="K2287" s="87" t="s">
        <v>9</v>
      </c>
      <c r="L2287" s="108"/>
      <c r="M2287" s="108"/>
      <c r="N2287" s="108" t="str">
        <v>P838P999</v>
      </c>
      <c r="O2287" s="108">
        <f t="shared" si="37"/>
        <v>1</v>
      </c>
      <c r="P2287" s="108"/>
      <c r="Q2287"/>
    </row>
    <row r="2288" spans="1:17" x14ac:dyDescent="0.25">
      <c r="A2288" s="89" t="s">
        <v>11054</v>
      </c>
      <c r="B2288" s="87" t="s">
        <v>11055</v>
      </c>
      <c r="C2288" s="87" t="s">
        <v>13</v>
      </c>
      <c r="D2288" s="87" t="str">
        <f>VLOOKUP(Tabela1[[#This Row],[Origem]], 'Perguntas 1 a 24'!$J$28:$K$34, 2, 0)</f>
        <v>Sudeste</v>
      </c>
      <c r="E2288" s="87" t="str">
        <f>Tabela1[[#This Row],[Descrição]]&amp;"-"&amp;Tabela1[[#This Row],[Código]]&amp;"/"&amp;Tabela1[[#This Row],[Origem]]</f>
        <v>Ranuvoru-P838P999/SP</v>
      </c>
      <c r="F2288" s="88">
        <v>46852</v>
      </c>
      <c r="G2288" s="88" t="str" cm="1">
        <f t="array" ref="G22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AND(F2288&gt;= DATE(2026,1,1), F2288&lt;= DATE(2028, 12, 31), J2288&gt;50000), "Pendente e Caro", AND(F2288&gt;= DATE(2026,1,1), F2288&lt;= DATE(2028, 12, 31), J2288&lt;=50000), "Pendente", F2288&gt;= DATE(2029,1,1), "Não prioeitário")</f>
        <v>Pendente e Caro</v>
      </c>
      <c r="H2288" s="89">
        <f>YEAR(Tabela1[[#This Row],[Data de Validade]])</f>
        <v>2028</v>
      </c>
      <c r="I2288" s="89">
        <f>MONTH(Tabela1[[#This Row],[Data de Validade]])</f>
        <v>4</v>
      </c>
      <c r="J2288" s="101">
        <v>117208</v>
      </c>
      <c r="K2288" s="87" t="s">
        <v>7</v>
      </c>
      <c r="L2288" s="108"/>
      <c r="M2288" s="108"/>
      <c r="N2288" s="108" t="str">
        <v>H566P687</v>
      </c>
      <c r="O2288" s="108">
        <f t="shared" si="37"/>
        <v>1</v>
      </c>
      <c r="P2288" s="108"/>
      <c r="Q2288"/>
    </row>
    <row r="2289" spans="1:17" x14ac:dyDescent="0.25">
      <c r="A2289" s="89" t="s">
        <v>10919</v>
      </c>
      <c r="B2289" s="87" t="s">
        <v>10920</v>
      </c>
      <c r="C2289" s="87" t="s">
        <v>15</v>
      </c>
      <c r="D2289" s="87" t="str">
        <f>VLOOKUP(Tabela1[[#This Row],[Origem]], 'Perguntas 1 a 24'!$J$28:$K$34, 2, 0)</f>
        <v>Sudeste</v>
      </c>
      <c r="E2289" s="87" t="str">
        <f>Tabela1[[#This Row],[Descrição]]&amp;"-"&amp;Tabela1[[#This Row],[Código]]&amp;"/"&amp;Tabela1[[#This Row],[Origem]]</f>
        <v>Popetu-H566P687/ES</v>
      </c>
      <c r="F2289" s="88">
        <v>46852</v>
      </c>
      <c r="G2289" s="88" t="str" cm="1">
        <f t="array" ref="G22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AND(F2289&gt;= DATE(2026,1,1), F2289&lt;= DATE(2028, 12, 31), J2289&gt;50000), "Pendente e Caro", AND(F2289&gt;= DATE(2026,1,1), F2289&lt;= DATE(2028, 12, 31), J2289&lt;=50000), "Pendente", F2289&gt;= DATE(2029,1,1), "Não prioeitário")</f>
        <v>Pendente e Caro</v>
      </c>
      <c r="H2289" s="89">
        <f>YEAR(Tabela1[[#This Row],[Data de Validade]])</f>
        <v>2028</v>
      </c>
      <c r="I2289" s="89">
        <f>MONTH(Tabela1[[#This Row],[Data de Validade]])</f>
        <v>4</v>
      </c>
      <c r="J2289" s="101">
        <v>68478</v>
      </c>
      <c r="K2289" s="87" t="s">
        <v>14</v>
      </c>
      <c r="L2289" s="108"/>
      <c r="M2289" s="108"/>
      <c r="N2289" s="108" t="str">
        <v>H634H655</v>
      </c>
      <c r="O2289" s="108">
        <f t="shared" si="37"/>
        <v>1</v>
      </c>
      <c r="P2289" s="108"/>
      <c r="Q2289"/>
    </row>
    <row r="2290" spans="1:17" x14ac:dyDescent="0.25">
      <c r="A2290" s="89" t="s">
        <v>6162</v>
      </c>
      <c r="B2290" s="87" t="s">
        <v>6163</v>
      </c>
      <c r="C2290" s="87" t="s">
        <v>8</v>
      </c>
      <c r="D2290" s="87" t="str">
        <f>VLOOKUP(Tabela1[[#This Row],[Origem]], 'Perguntas 1 a 24'!$J$28:$K$34, 2, 0)</f>
        <v>Nordeste</v>
      </c>
      <c r="E2290" s="87" t="str">
        <f>Tabela1[[#This Row],[Descrição]]&amp;"-"&amp;Tabela1[[#This Row],[Código]]&amp;"/"&amp;Tabela1[[#This Row],[Origem]]</f>
        <v>Ridicate-H634H655/AL</v>
      </c>
      <c r="F2290" s="88">
        <v>46853</v>
      </c>
      <c r="G2290" s="88" t="str" cm="1">
        <f t="array" ref="G22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AND(F2290&gt;= DATE(2026,1,1), F2290&lt;= DATE(2028, 12, 31), J2290&gt;50000), "Pendente e Caro", AND(F2290&gt;= DATE(2026,1,1), F2290&lt;= DATE(2028, 12, 31), J2290&lt;=50000), "Pendente", F2290&gt;= DATE(2029,1,1), "Não prioeitário")</f>
        <v>Pendente e Caro</v>
      </c>
      <c r="H2290" s="89">
        <f>YEAR(Tabela1[[#This Row],[Data de Validade]])</f>
        <v>2028</v>
      </c>
      <c r="I2290" s="89">
        <f>MONTH(Tabela1[[#This Row],[Data de Validade]])</f>
        <v>4</v>
      </c>
      <c r="J2290" s="101">
        <v>51494</v>
      </c>
      <c r="K2290" s="87" t="s">
        <v>11</v>
      </c>
      <c r="L2290" s="108"/>
      <c r="M2290" s="108"/>
      <c r="N2290" s="108" t="str">
        <v>H244H687</v>
      </c>
      <c r="O2290" s="108">
        <f t="shared" si="37"/>
        <v>1</v>
      </c>
      <c r="P2290" s="108"/>
      <c r="Q2290"/>
    </row>
    <row r="2291" spans="1:17" x14ac:dyDescent="0.25">
      <c r="A2291" s="89" t="s">
        <v>10355</v>
      </c>
      <c r="B2291" s="87" t="s">
        <v>10356</v>
      </c>
      <c r="C2291" s="87" t="s">
        <v>15</v>
      </c>
      <c r="D2291" s="87" t="str">
        <f>VLOOKUP(Tabela1[[#This Row],[Origem]], 'Perguntas 1 a 24'!$J$28:$K$34, 2, 0)</f>
        <v>Sudeste</v>
      </c>
      <c r="E2291" s="87" t="str">
        <f>Tabela1[[#This Row],[Descrição]]&amp;"-"&amp;Tabela1[[#This Row],[Código]]&amp;"/"&amp;Tabela1[[#This Row],[Origem]]</f>
        <v>Rogereteta-H244H687/ES</v>
      </c>
      <c r="F2291" s="88">
        <v>46853</v>
      </c>
      <c r="G2291" s="88" t="str" cm="1">
        <f t="array" ref="G22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AND(F2291&gt;= DATE(2026,1,1), F2291&lt;= DATE(2028, 12, 31), J2291&gt;50000), "Pendente e Caro", AND(F2291&gt;= DATE(2026,1,1), F2291&lt;= DATE(2028, 12, 31), J2291&lt;=50000), "Pendente", F2291&gt;= DATE(2029,1,1), "Não prioeitário")</f>
        <v>Pendente</v>
      </c>
      <c r="H2291" s="89">
        <f>YEAR(Tabela1[[#This Row],[Data de Validade]])</f>
        <v>2028</v>
      </c>
      <c r="I2291" s="89">
        <f>MONTH(Tabela1[[#This Row],[Data de Validade]])</f>
        <v>4</v>
      </c>
      <c r="J2291" s="101">
        <v>26525</v>
      </c>
      <c r="K2291" s="87" t="s">
        <v>9</v>
      </c>
      <c r="L2291" s="108"/>
      <c r="M2291" s="108"/>
      <c r="N2291" s="108" t="str">
        <v>P866P597</v>
      </c>
      <c r="O2291" s="108">
        <f t="shared" si="37"/>
        <v>1</v>
      </c>
      <c r="P2291" s="108"/>
      <c r="Q2291"/>
    </row>
    <row r="2292" spans="1:17" x14ac:dyDescent="0.25">
      <c r="A2292" s="89" t="s">
        <v>5104</v>
      </c>
      <c r="B2292" s="87" t="s">
        <v>5105</v>
      </c>
      <c r="C2292" s="87" t="s">
        <v>10</v>
      </c>
      <c r="D2292" s="87" t="str">
        <f>VLOOKUP(Tabela1[[#This Row],[Origem]], 'Perguntas 1 a 24'!$J$28:$K$34, 2, 0)</f>
        <v>Centro-Oeste</v>
      </c>
      <c r="E2292" s="87" t="str">
        <f>Tabela1[[#This Row],[Descrição]]&amp;"-"&amp;Tabela1[[#This Row],[Código]]&amp;"/"&amp;Tabela1[[#This Row],[Origem]]</f>
        <v>Piruraciro-P866P597/GO</v>
      </c>
      <c r="F2292" s="88">
        <v>46854</v>
      </c>
      <c r="G2292" s="88" t="str" cm="1">
        <f t="array" ref="G22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AND(F2292&gt;= DATE(2026,1,1), F2292&lt;= DATE(2028, 12, 31), J2292&gt;50000), "Pendente e Caro", AND(F2292&gt;= DATE(2026,1,1), F2292&lt;= DATE(2028, 12, 31), J2292&lt;=50000), "Pendente", F2292&gt;= DATE(2029,1,1), "Não prioeitário")</f>
        <v>Pendente e Caro</v>
      </c>
      <c r="H2292" s="89">
        <f>YEAR(Tabela1[[#This Row],[Data de Validade]])</f>
        <v>2028</v>
      </c>
      <c r="I2292" s="89">
        <f>MONTH(Tabela1[[#This Row],[Data de Validade]])</f>
        <v>4</v>
      </c>
      <c r="J2292" s="101">
        <v>100479</v>
      </c>
      <c r="K2292" s="87" t="s">
        <v>14</v>
      </c>
      <c r="L2292" s="108"/>
      <c r="M2292" s="108"/>
      <c r="N2292" s="108" t="str">
        <v>P354P445</v>
      </c>
      <c r="O2292" s="108">
        <f t="shared" si="37"/>
        <v>1</v>
      </c>
      <c r="P2292" s="108"/>
      <c r="Q2292"/>
    </row>
    <row r="2293" spans="1:17" x14ac:dyDescent="0.25">
      <c r="A2293" s="89" t="s">
        <v>10127</v>
      </c>
      <c r="B2293" s="87" t="s">
        <v>10128</v>
      </c>
      <c r="C2293" s="87" t="s">
        <v>12</v>
      </c>
      <c r="D2293" s="87" t="str">
        <f>VLOOKUP(Tabela1[[#This Row],[Origem]], 'Perguntas 1 a 24'!$J$28:$K$34, 2, 0)</f>
        <v>Sudeste</v>
      </c>
      <c r="E2293" s="87" t="str">
        <f>Tabela1[[#This Row],[Descrição]]&amp;"-"&amp;Tabela1[[#This Row],[Código]]&amp;"/"&amp;Tabela1[[#This Row],[Origem]]</f>
        <v>Ratipurivu-P354P445/RJ</v>
      </c>
      <c r="F2293" s="88">
        <v>46855</v>
      </c>
      <c r="G2293" s="88" t="str" cm="1">
        <f t="array" ref="G22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AND(F2293&gt;= DATE(2026,1,1), F2293&lt;= DATE(2028, 12, 31), J2293&gt;50000), "Pendente e Caro", AND(F2293&gt;= DATE(2026,1,1), F2293&lt;= DATE(2028, 12, 31), J2293&lt;=50000), "Pendente", F2293&gt;= DATE(2029,1,1), "Não prioeitário")</f>
        <v>Pendente e Caro</v>
      </c>
      <c r="H2293" s="89">
        <f>YEAR(Tabela1[[#This Row],[Data de Validade]])</f>
        <v>2028</v>
      </c>
      <c r="I2293" s="89">
        <f>MONTH(Tabela1[[#This Row],[Data de Validade]])</f>
        <v>4</v>
      </c>
      <c r="J2293" s="101">
        <v>94637</v>
      </c>
      <c r="K2293" s="87" t="s">
        <v>11</v>
      </c>
      <c r="L2293" s="108"/>
      <c r="M2293" s="108"/>
      <c r="N2293" s="108" t="str">
        <v>H155H847</v>
      </c>
      <c r="O2293" s="108">
        <f t="shared" si="37"/>
        <v>1</v>
      </c>
      <c r="P2293" s="108"/>
      <c r="Q2293"/>
    </row>
    <row r="2294" spans="1:17" x14ac:dyDescent="0.25">
      <c r="A2294" s="89" t="s">
        <v>3972</v>
      </c>
      <c r="B2294" s="87" t="s">
        <v>3973</v>
      </c>
      <c r="C2294" s="87" t="s">
        <v>13</v>
      </c>
      <c r="D2294" s="87" t="str">
        <f>VLOOKUP(Tabela1[[#This Row],[Origem]], 'Perguntas 1 a 24'!$J$28:$K$34, 2, 0)</f>
        <v>Sudeste</v>
      </c>
      <c r="E2294" s="87" t="str">
        <f>Tabela1[[#This Row],[Descrição]]&amp;"-"&amp;Tabela1[[#This Row],[Código]]&amp;"/"&amp;Tabela1[[#This Row],[Origem]]</f>
        <v>Padode-H155H847/SP</v>
      </c>
      <c r="F2294" s="88">
        <v>46855</v>
      </c>
      <c r="G2294" s="88" t="str" cm="1">
        <f t="array" ref="G22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AND(F2294&gt;= DATE(2026,1,1), F2294&lt;= DATE(2028, 12, 31), J2294&gt;50000), "Pendente e Caro", AND(F2294&gt;= DATE(2026,1,1), F2294&lt;= DATE(2028, 12, 31), J2294&lt;=50000), "Pendente", F2294&gt;= DATE(2029,1,1), "Não prioeitário")</f>
        <v>Pendente e Caro</v>
      </c>
      <c r="H2294" s="89">
        <f>YEAR(Tabela1[[#This Row],[Data de Validade]])</f>
        <v>2028</v>
      </c>
      <c r="I2294" s="89">
        <f>MONTH(Tabela1[[#This Row],[Data de Validade]])</f>
        <v>4</v>
      </c>
      <c r="J2294" s="101">
        <v>92297</v>
      </c>
      <c r="K2294" s="87" t="s">
        <v>9</v>
      </c>
      <c r="L2294" s="108"/>
      <c r="M2294" s="108"/>
      <c r="N2294" s="108" t="str">
        <v>H555P172</v>
      </c>
      <c r="O2294" s="108">
        <f t="shared" si="37"/>
        <v>1</v>
      </c>
      <c r="P2294" s="108"/>
      <c r="Q2294"/>
    </row>
    <row r="2295" spans="1:17" x14ac:dyDescent="0.25">
      <c r="A2295" s="89" t="s">
        <v>7542</v>
      </c>
      <c r="B2295" s="87" t="s">
        <v>7543</v>
      </c>
      <c r="C2295" s="87" t="s">
        <v>15</v>
      </c>
      <c r="D2295" s="87" t="str">
        <f>VLOOKUP(Tabela1[[#This Row],[Origem]], 'Perguntas 1 a 24'!$J$28:$K$34, 2, 0)</f>
        <v>Sudeste</v>
      </c>
      <c r="E2295" s="87" t="str">
        <f>Tabela1[[#This Row],[Descrição]]&amp;"-"&amp;Tabela1[[#This Row],[Código]]&amp;"/"&amp;Tabela1[[#This Row],[Origem]]</f>
        <v>Pofari-H555P172/ES</v>
      </c>
      <c r="F2295" s="88">
        <v>46855</v>
      </c>
      <c r="G2295" s="88" t="str" cm="1">
        <f t="array" ref="G22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AND(F2295&gt;= DATE(2026,1,1), F2295&lt;= DATE(2028, 12, 31), J2295&gt;50000), "Pendente e Caro", AND(F2295&gt;= DATE(2026,1,1), F2295&lt;= DATE(2028, 12, 31), J2295&lt;=50000), "Pendente", F2295&gt;= DATE(2029,1,1), "Não prioeitário")</f>
        <v>Pendente</v>
      </c>
      <c r="H2295" s="89">
        <f>YEAR(Tabela1[[#This Row],[Data de Validade]])</f>
        <v>2028</v>
      </c>
      <c r="I2295" s="89">
        <f>MONTH(Tabela1[[#This Row],[Data de Validade]])</f>
        <v>4</v>
      </c>
      <c r="J2295" s="101">
        <v>24002</v>
      </c>
      <c r="K2295" s="87" t="s">
        <v>11</v>
      </c>
      <c r="L2295" s="108"/>
      <c r="M2295" s="108"/>
      <c r="N2295" s="108" t="str">
        <v>H393H396</v>
      </c>
      <c r="O2295" s="108">
        <f t="shared" si="37"/>
        <v>1</v>
      </c>
      <c r="P2295" s="108"/>
      <c r="Q2295"/>
    </row>
    <row r="2296" spans="1:17" x14ac:dyDescent="0.25">
      <c r="A2296" s="89" t="s">
        <v>8348</v>
      </c>
      <c r="B2296" s="87" t="s">
        <v>8349</v>
      </c>
      <c r="C2296" s="87" t="s">
        <v>10</v>
      </c>
      <c r="D2296" s="87" t="str">
        <f>VLOOKUP(Tabela1[[#This Row],[Origem]], 'Perguntas 1 a 24'!$J$28:$K$34, 2, 0)</f>
        <v>Centro-Oeste</v>
      </c>
      <c r="E2296" s="87" t="str">
        <f>Tabela1[[#This Row],[Descrição]]&amp;"-"&amp;Tabela1[[#This Row],[Código]]&amp;"/"&amp;Tabela1[[#This Row],[Origem]]</f>
        <v>Mepore-H393H396/GO</v>
      </c>
      <c r="F2296" s="88">
        <v>46856</v>
      </c>
      <c r="G2296" s="88" t="str" cm="1">
        <f t="array" ref="G22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AND(F2296&gt;= DATE(2026,1,1), F2296&lt;= DATE(2028, 12, 31), J2296&gt;50000), "Pendente e Caro", AND(F2296&gt;= DATE(2026,1,1), F2296&lt;= DATE(2028, 12, 31), J2296&lt;=50000), "Pendente", F2296&gt;= DATE(2029,1,1), "Não prioeitário")</f>
        <v>Pendente e Caro</v>
      </c>
      <c r="H2296" s="89">
        <f>YEAR(Tabela1[[#This Row],[Data de Validade]])</f>
        <v>2028</v>
      </c>
      <c r="I2296" s="89">
        <f>MONTH(Tabela1[[#This Row],[Data de Validade]])</f>
        <v>4</v>
      </c>
      <c r="J2296" s="101">
        <v>106916</v>
      </c>
      <c r="K2296" s="87" t="s">
        <v>7</v>
      </c>
      <c r="L2296" s="108"/>
      <c r="M2296" s="108"/>
      <c r="N2296" s="108" t="str">
        <v>H169H399</v>
      </c>
      <c r="O2296" s="108">
        <f t="shared" si="37"/>
        <v>1</v>
      </c>
      <c r="P2296" s="108"/>
      <c r="Q2296"/>
    </row>
    <row r="2297" spans="1:17" x14ac:dyDescent="0.25">
      <c r="A2297" s="89" t="s">
        <v>8625</v>
      </c>
      <c r="B2297" s="87" t="s">
        <v>8626</v>
      </c>
      <c r="C2297" s="87" t="s">
        <v>8</v>
      </c>
      <c r="D2297" s="87" t="str">
        <f>VLOOKUP(Tabela1[[#This Row],[Origem]], 'Perguntas 1 a 24'!$J$28:$K$34, 2, 0)</f>
        <v>Nordeste</v>
      </c>
      <c r="E2297" s="87" t="str">
        <f>Tabela1[[#This Row],[Descrição]]&amp;"-"&amp;Tabela1[[#This Row],[Código]]&amp;"/"&amp;Tabela1[[#This Row],[Origem]]</f>
        <v>Lipapicapu-H169H399/AL</v>
      </c>
      <c r="F2297" s="88">
        <v>46857</v>
      </c>
      <c r="G2297" s="88" t="str" cm="1">
        <f t="array" ref="G22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AND(F2297&gt;= DATE(2026,1,1), F2297&lt;= DATE(2028, 12, 31), J2297&gt;50000), "Pendente e Caro", AND(F2297&gt;= DATE(2026,1,1), F2297&lt;= DATE(2028, 12, 31), J2297&lt;=50000), "Pendente", F2297&gt;= DATE(2029,1,1), "Não prioeitário")</f>
        <v>Pendente e Caro</v>
      </c>
      <c r="H2297" s="89">
        <f>YEAR(Tabela1[[#This Row],[Data de Validade]])</f>
        <v>2028</v>
      </c>
      <c r="I2297" s="89">
        <f>MONTH(Tabela1[[#This Row],[Data de Validade]])</f>
        <v>4</v>
      </c>
      <c r="J2297" s="101">
        <v>96766</v>
      </c>
      <c r="K2297" s="87" t="s">
        <v>9</v>
      </c>
      <c r="L2297" s="108"/>
      <c r="M2297" s="108"/>
      <c r="N2297" s="108" t="str">
        <v>H799P273</v>
      </c>
      <c r="O2297" s="108">
        <f t="shared" si="37"/>
        <v>1</v>
      </c>
      <c r="P2297" s="108"/>
      <c r="Q2297"/>
    </row>
    <row r="2298" spans="1:17" x14ac:dyDescent="0.25">
      <c r="A2298" s="89" t="s">
        <v>9103</v>
      </c>
      <c r="B2298" s="87" t="s">
        <v>9104</v>
      </c>
      <c r="C2298" s="87" t="s">
        <v>10</v>
      </c>
      <c r="D2298" s="87" t="str">
        <f>VLOOKUP(Tabela1[[#This Row],[Origem]], 'Perguntas 1 a 24'!$J$28:$K$34, 2, 0)</f>
        <v>Centro-Oeste</v>
      </c>
      <c r="E2298" s="87" t="str">
        <f>Tabela1[[#This Row],[Descrição]]&amp;"-"&amp;Tabela1[[#This Row],[Código]]&amp;"/"&amp;Tabela1[[#This Row],[Origem]]</f>
        <v>Votolureto-H799P273/GO</v>
      </c>
      <c r="F2298" s="88">
        <v>46857</v>
      </c>
      <c r="G2298" s="88" t="str" cm="1">
        <f t="array" ref="G22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AND(F2298&gt;= DATE(2026,1,1), F2298&lt;= DATE(2028, 12, 31), J2298&gt;50000), "Pendente e Caro", AND(F2298&gt;= DATE(2026,1,1), F2298&lt;= DATE(2028, 12, 31), J2298&lt;=50000), "Pendente", F2298&gt;= DATE(2029,1,1), "Não prioeitário")</f>
        <v>Pendente</v>
      </c>
      <c r="H2298" s="89">
        <f>YEAR(Tabela1[[#This Row],[Data de Validade]])</f>
        <v>2028</v>
      </c>
      <c r="I2298" s="89">
        <f>MONTH(Tabela1[[#This Row],[Data de Validade]])</f>
        <v>4</v>
      </c>
      <c r="J2298" s="101">
        <v>43591</v>
      </c>
      <c r="K2298" s="87" t="s">
        <v>11</v>
      </c>
      <c r="L2298" s="108"/>
      <c r="M2298" s="108"/>
      <c r="N2298" s="108" t="str">
        <v>P442P556</v>
      </c>
      <c r="O2298" s="108">
        <f t="shared" si="37"/>
        <v>1</v>
      </c>
      <c r="P2298" s="108"/>
      <c r="Q2298"/>
    </row>
    <row r="2299" spans="1:17" x14ac:dyDescent="0.25">
      <c r="A2299" s="89" t="s">
        <v>10699</v>
      </c>
      <c r="B2299" s="87" t="s">
        <v>10700</v>
      </c>
      <c r="C2299" s="87" t="s">
        <v>6</v>
      </c>
      <c r="D2299" s="87" t="str">
        <f>VLOOKUP(Tabela1[[#This Row],[Origem]], 'Perguntas 1 a 24'!$J$28:$K$34, 2, 0)</f>
        <v>Nordeste</v>
      </c>
      <c r="E2299" s="87" t="str">
        <f>Tabela1[[#This Row],[Descrição]]&amp;"-"&amp;Tabela1[[#This Row],[Código]]&amp;"/"&amp;Tabela1[[#This Row],[Origem]]</f>
        <v>Nifupigi-P442P556/MA</v>
      </c>
      <c r="F2299" s="88">
        <v>46858</v>
      </c>
      <c r="G2299" s="88" t="str" cm="1">
        <f t="array" ref="G22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AND(F2299&gt;= DATE(2026,1,1), F2299&lt;= DATE(2028, 12, 31), J2299&gt;50000), "Pendente e Caro", AND(F2299&gt;= DATE(2026,1,1), F2299&lt;= DATE(2028, 12, 31), J2299&lt;=50000), "Pendente", F2299&gt;= DATE(2029,1,1), "Não prioeitário")</f>
        <v>Pendente e Caro</v>
      </c>
      <c r="H2299" s="89">
        <f>YEAR(Tabela1[[#This Row],[Data de Validade]])</f>
        <v>2028</v>
      </c>
      <c r="I2299" s="89">
        <f>MONTH(Tabela1[[#This Row],[Data de Validade]])</f>
        <v>4</v>
      </c>
      <c r="J2299" s="101">
        <v>113642</v>
      </c>
      <c r="K2299" s="87" t="s">
        <v>9</v>
      </c>
      <c r="L2299" s="108"/>
      <c r="M2299" s="108"/>
      <c r="N2299" s="108" t="str">
        <v>P841P154</v>
      </c>
      <c r="O2299" s="108">
        <f t="shared" si="37"/>
        <v>1</v>
      </c>
      <c r="P2299" s="108"/>
      <c r="Q2299"/>
    </row>
    <row r="2300" spans="1:17" x14ac:dyDescent="0.25">
      <c r="A2300" s="89" t="s">
        <v>9335</v>
      </c>
      <c r="B2300" s="87" t="s">
        <v>9336</v>
      </c>
      <c r="C2300" s="87" t="s">
        <v>16</v>
      </c>
      <c r="D2300" s="87" t="str">
        <f>VLOOKUP(Tabela1[[#This Row],[Origem]], 'Perguntas 1 a 24'!$J$28:$K$34, 2, 0)</f>
        <v>Sudeste</v>
      </c>
      <c r="E2300" s="87" t="str">
        <f>Tabela1[[#This Row],[Descrição]]&amp;"-"&amp;Tabela1[[#This Row],[Código]]&amp;"/"&amp;Tabela1[[#This Row],[Origem]]</f>
        <v>Vurutafave-P841P154/MG</v>
      </c>
      <c r="F2300" s="88">
        <v>46858</v>
      </c>
      <c r="G2300" s="88" t="str" cm="1">
        <f t="array" ref="G23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AND(F2300&gt;= DATE(2026,1,1), F2300&lt;= DATE(2028, 12, 31), J2300&gt;50000), "Pendente e Caro", AND(F2300&gt;= DATE(2026,1,1), F2300&lt;= DATE(2028, 12, 31), J2300&lt;=50000), "Pendente", F2300&gt;= DATE(2029,1,1), "Não prioeitário")</f>
        <v>Pendente e Caro</v>
      </c>
      <c r="H2300" s="89">
        <f>YEAR(Tabela1[[#This Row],[Data de Validade]])</f>
        <v>2028</v>
      </c>
      <c r="I2300" s="89">
        <f>MONTH(Tabela1[[#This Row],[Data de Validade]])</f>
        <v>4</v>
      </c>
      <c r="J2300" s="101">
        <v>104987</v>
      </c>
      <c r="K2300" s="87" t="s">
        <v>9</v>
      </c>
      <c r="L2300" s="108"/>
      <c r="M2300" s="108"/>
      <c r="N2300" s="108" t="str">
        <v>H255H568</v>
      </c>
      <c r="O2300" s="108">
        <f t="shared" si="37"/>
        <v>1</v>
      </c>
      <c r="P2300" s="108"/>
      <c r="Q2300"/>
    </row>
    <row r="2301" spans="1:17" x14ac:dyDescent="0.25">
      <c r="A2301" s="89" t="s">
        <v>6318</v>
      </c>
      <c r="B2301" s="87" t="s">
        <v>6319</v>
      </c>
      <c r="C2301" s="87" t="s">
        <v>15</v>
      </c>
      <c r="D2301" s="87" t="str">
        <f>VLOOKUP(Tabela1[[#This Row],[Origem]], 'Perguntas 1 a 24'!$J$28:$K$34, 2, 0)</f>
        <v>Sudeste</v>
      </c>
      <c r="E2301" s="87" t="str">
        <f>Tabela1[[#This Row],[Descrição]]&amp;"-"&amp;Tabela1[[#This Row],[Código]]&amp;"/"&amp;Tabela1[[#This Row],[Origem]]</f>
        <v>Lecalarace-H255H568/ES</v>
      </c>
      <c r="F2301" s="88">
        <v>46859</v>
      </c>
      <c r="G2301" s="88" t="str" cm="1">
        <f t="array" ref="G23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AND(F2301&gt;= DATE(2026,1,1), F2301&lt;= DATE(2028, 12, 31), J2301&gt;50000), "Pendente e Caro", AND(F2301&gt;= DATE(2026,1,1), F2301&lt;= DATE(2028, 12, 31), J2301&lt;=50000), "Pendente", F2301&gt;= DATE(2029,1,1), "Não prioeitário")</f>
        <v>Pendente</v>
      </c>
      <c r="H2301" s="89">
        <f>YEAR(Tabela1[[#This Row],[Data de Validade]])</f>
        <v>2028</v>
      </c>
      <c r="I2301" s="89">
        <f>MONTH(Tabela1[[#This Row],[Data de Validade]])</f>
        <v>4</v>
      </c>
      <c r="J2301" s="101">
        <v>48765</v>
      </c>
      <c r="K2301" s="87" t="s">
        <v>7</v>
      </c>
      <c r="L2301" s="108"/>
      <c r="M2301" s="108"/>
      <c r="N2301" s="108" t="str">
        <v>H953H947</v>
      </c>
      <c r="O2301" s="108">
        <f t="shared" si="37"/>
        <v>1</v>
      </c>
      <c r="P2301" s="108"/>
      <c r="Q2301"/>
    </row>
    <row r="2302" spans="1:17" x14ac:dyDescent="0.25">
      <c r="A2302" s="89" t="s">
        <v>10939</v>
      </c>
      <c r="B2302" s="87" t="s">
        <v>10940</v>
      </c>
      <c r="C2302" s="87" t="s">
        <v>15</v>
      </c>
      <c r="D2302" s="87" t="str">
        <f>VLOOKUP(Tabela1[[#This Row],[Origem]], 'Perguntas 1 a 24'!$J$28:$K$34, 2, 0)</f>
        <v>Sudeste</v>
      </c>
      <c r="E2302" s="87" t="str">
        <f>Tabela1[[#This Row],[Descrição]]&amp;"-"&amp;Tabela1[[#This Row],[Código]]&amp;"/"&amp;Tabela1[[#This Row],[Origem]]</f>
        <v>Pivugodutu-H953H947/ES</v>
      </c>
      <c r="F2302" s="88">
        <v>46860</v>
      </c>
      <c r="G2302" s="88" t="str" cm="1">
        <f t="array" ref="G23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AND(F2302&gt;= DATE(2026,1,1), F2302&lt;= DATE(2028, 12, 31), J2302&gt;50000), "Pendente e Caro", AND(F2302&gt;= DATE(2026,1,1), F2302&lt;= DATE(2028, 12, 31), J2302&lt;=50000), "Pendente", F2302&gt;= DATE(2029,1,1), "Não prioeitário")</f>
        <v>Pendente</v>
      </c>
      <c r="H2302" s="89">
        <f>YEAR(Tabela1[[#This Row],[Data de Validade]])</f>
        <v>2028</v>
      </c>
      <c r="I2302" s="89">
        <f>MONTH(Tabela1[[#This Row],[Data de Validade]])</f>
        <v>4</v>
      </c>
      <c r="J2302" s="101">
        <v>37923</v>
      </c>
      <c r="K2302" s="87" t="s">
        <v>14</v>
      </c>
      <c r="L2302" s="108"/>
      <c r="M2302" s="108"/>
      <c r="N2302" s="108" t="str">
        <v>P834P716</v>
      </c>
      <c r="O2302" s="108">
        <f t="shared" si="37"/>
        <v>1</v>
      </c>
      <c r="P2302" s="108"/>
      <c r="Q2302"/>
    </row>
    <row r="2303" spans="1:17" x14ac:dyDescent="0.25">
      <c r="A2303" s="89" t="s">
        <v>9005</v>
      </c>
      <c r="B2303" s="87" t="s">
        <v>9006</v>
      </c>
      <c r="C2303" s="87" t="s">
        <v>12</v>
      </c>
      <c r="D2303" s="87" t="str">
        <f>VLOOKUP(Tabela1[[#This Row],[Origem]], 'Perguntas 1 a 24'!$J$28:$K$34, 2, 0)</f>
        <v>Sudeste</v>
      </c>
      <c r="E2303" s="87" t="str">
        <f>Tabela1[[#This Row],[Descrição]]&amp;"-"&amp;Tabela1[[#This Row],[Código]]&amp;"/"&amp;Tabela1[[#This Row],[Origem]]</f>
        <v>Natiparuci-P834P716/RJ</v>
      </c>
      <c r="F2303" s="88">
        <v>46862</v>
      </c>
      <c r="G2303" s="88" t="str" cm="1">
        <f t="array" ref="G23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AND(F2303&gt;= DATE(2026,1,1), F2303&lt;= DATE(2028, 12, 31), J2303&gt;50000), "Pendente e Caro", AND(F2303&gt;= DATE(2026,1,1), F2303&lt;= DATE(2028, 12, 31), J2303&lt;=50000), "Pendente", F2303&gt;= DATE(2029,1,1), "Não prioeitário")</f>
        <v>Pendente e Caro</v>
      </c>
      <c r="H2303" s="89">
        <f>YEAR(Tabela1[[#This Row],[Data de Validade]])</f>
        <v>2028</v>
      </c>
      <c r="I2303" s="89">
        <f>MONTH(Tabela1[[#This Row],[Data de Validade]])</f>
        <v>4</v>
      </c>
      <c r="J2303" s="101">
        <v>73358</v>
      </c>
      <c r="K2303" s="87" t="s">
        <v>11</v>
      </c>
      <c r="L2303" s="108"/>
      <c r="M2303" s="108"/>
      <c r="N2303" s="108" t="str">
        <v>H895H343</v>
      </c>
      <c r="O2303" s="108">
        <f t="shared" si="37"/>
        <v>1</v>
      </c>
      <c r="P2303" s="108"/>
      <c r="Q2303"/>
    </row>
    <row r="2304" spans="1:17" x14ac:dyDescent="0.25">
      <c r="A2304" s="89" t="s">
        <v>6620</v>
      </c>
      <c r="B2304" s="87" t="s">
        <v>6621</v>
      </c>
      <c r="C2304" s="87" t="s">
        <v>15</v>
      </c>
      <c r="D2304" s="87" t="str">
        <f>VLOOKUP(Tabela1[[#This Row],[Origem]], 'Perguntas 1 a 24'!$J$28:$K$34, 2, 0)</f>
        <v>Sudeste</v>
      </c>
      <c r="E2304" s="87" t="str">
        <f>Tabela1[[#This Row],[Descrição]]&amp;"-"&amp;Tabela1[[#This Row],[Código]]&amp;"/"&amp;Tabela1[[#This Row],[Origem]]</f>
        <v>Mifica-H895H343/ES</v>
      </c>
      <c r="F2304" s="88">
        <v>46862</v>
      </c>
      <c r="G2304" s="88" t="str" cm="1">
        <f t="array" ref="G23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AND(F2304&gt;= DATE(2026,1,1), F2304&lt;= DATE(2028, 12, 31), J2304&gt;50000), "Pendente e Caro", AND(F2304&gt;= DATE(2026,1,1), F2304&lt;= DATE(2028, 12, 31), J2304&lt;=50000), "Pendente", F2304&gt;= DATE(2029,1,1), "Não prioeitário")</f>
        <v>Pendente e Caro</v>
      </c>
      <c r="H2304" s="89">
        <f>YEAR(Tabela1[[#This Row],[Data de Validade]])</f>
        <v>2028</v>
      </c>
      <c r="I2304" s="89">
        <f>MONTH(Tabela1[[#This Row],[Data de Validade]])</f>
        <v>4</v>
      </c>
      <c r="J2304" s="101">
        <v>63842</v>
      </c>
      <c r="K2304" s="87" t="s">
        <v>9</v>
      </c>
      <c r="L2304" s="108"/>
      <c r="M2304" s="108"/>
      <c r="N2304" s="108" t="str">
        <v>P821H841</v>
      </c>
      <c r="O2304" s="108">
        <f t="shared" si="37"/>
        <v>1</v>
      </c>
      <c r="P2304" s="108"/>
      <c r="Q2304"/>
    </row>
    <row r="2305" spans="1:17" x14ac:dyDescent="0.25">
      <c r="A2305" s="89" t="s">
        <v>7694</v>
      </c>
      <c r="B2305" s="87" t="s">
        <v>7695</v>
      </c>
      <c r="C2305" s="87" t="s">
        <v>8</v>
      </c>
      <c r="D2305" s="87" t="str">
        <f>VLOOKUP(Tabela1[[#This Row],[Origem]], 'Perguntas 1 a 24'!$J$28:$K$34, 2, 0)</f>
        <v>Nordeste</v>
      </c>
      <c r="E2305" s="87" t="str">
        <f>Tabela1[[#This Row],[Descrição]]&amp;"-"&amp;Tabela1[[#This Row],[Código]]&amp;"/"&amp;Tabela1[[#This Row],[Origem]]</f>
        <v>Vopave-P821H841/AL</v>
      </c>
      <c r="F2305" s="88">
        <v>46863</v>
      </c>
      <c r="G2305" s="88" t="str" cm="1">
        <f t="array" ref="G23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AND(F2305&gt;= DATE(2026,1,1), F2305&lt;= DATE(2028, 12, 31), J2305&gt;50000), "Pendente e Caro", AND(F2305&gt;= DATE(2026,1,1), F2305&lt;= DATE(2028, 12, 31), J2305&lt;=50000), "Pendente", F2305&gt;= DATE(2029,1,1), "Não prioeitário")</f>
        <v>Pendente e Caro</v>
      </c>
      <c r="H2305" s="89">
        <f>YEAR(Tabela1[[#This Row],[Data de Validade]])</f>
        <v>2028</v>
      </c>
      <c r="I2305" s="89">
        <f>MONTH(Tabela1[[#This Row],[Data de Validade]])</f>
        <v>4</v>
      </c>
      <c r="J2305" s="101">
        <v>101416</v>
      </c>
      <c r="K2305" s="87" t="s">
        <v>9</v>
      </c>
      <c r="L2305" s="108"/>
      <c r="M2305" s="108"/>
      <c r="N2305" s="108" t="str">
        <v>H591P122</v>
      </c>
      <c r="O2305" s="108">
        <f t="shared" si="37"/>
        <v>1</v>
      </c>
      <c r="P2305" s="108"/>
      <c r="Q2305"/>
    </row>
    <row r="2306" spans="1:17" x14ac:dyDescent="0.25">
      <c r="A2306" s="89" t="s">
        <v>8539</v>
      </c>
      <c r="B2306" s="87" t="s">
        <v>8540</v>
      </c>
      <c r="C2306" s="87" t="s">
        <v>16</v>
      </c>
      <c r="D2306" s="87" t="str">
        <f>VLOOKUP(Tabela1[[#This Row],[Origem]], 'Perguntas 1 a 24'!$J$28:$K$34, 2, 0)</f>
        <v>Sudeste</v>
      </c>
      <c r="E2306" s="87" t="str">
        <f>Tabela1[[#This Row],[Descrição]]&amp;"-"&amp;Tabela1[[#This Row],[Código]]&amp;"/"&amp;Tabela1[[#This Row],[Origem]]</f>
        <v>Viludode-H591P122/MG</v>
      </c>
      <c r="F2306" s="88">
        <v>46863</v>
      </c>
      <c r="G2306" s="88" t="str" cm="1">
        <f t="array" ref="G23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AND(F2306&gt;= DATE(2026,1,1), F2306&lt;= DATE(2028, 12, 31), J2306&gt;50000), "Pendente e Caro", AND(F2306&gt;= DATE(2026,1,1), F2306&lt;= DATE(2028, 12, 31), J2306&lt;=50000), "Pendente", F2306&gt;= DATE(2029,1,1), "Não prioeitário")</f>
        <v>Pendente e Caro</v>
      </c>
      <c r="H2306" s="89">
        <f>YEAR(Tabela1[[#This Row],[Data de Validade]])</f>
        <v>2028</v>
      </c>
      <c r="I2306" s="89">
        <f>MONTH(Tabela1[[#This Row],[Data de Validade]])</f>
        <v>4</v>
      </c>
      <c r="J2306" s="101">
        <v>51501</v>
      </c>
      <c r="K2306" s="87" t="s">
        <v>11</v>
      </c>
      <c r="L2306" s="108"/>
      <c r="M2306" s="108"/>
      <c r="N2306" s="108" t="str">
        <v>P224P377</v>
      </c>
      <c r="O2306" s="108">
        <f t="shared" si="37"/>
        <v>1</v>
      </c>
      <c r="P2306" s="108"/>
      <c r="Q2306"/>
    </row>
    <row r="2307" spans="1:17" x14ac:dyDescent="0.25">
      <c r="A2307" s="89" t="s">
        <v>9545</v>
      </c>
      <c r="B2307" s="87" t="s">
        <v>9546</v>
      </c>
      <c r="C2307" s="87" t="s">
        <v>8</v>
      </c>
      <c r="D2307" s="87" t="str">
        <f>VLOOKUP(Tabela1[[#This Row],[Origem]], 'Perguntas 1 a 24'!$J$28:$K$34, 2, 0)</f>
        <v>Nordeste</v>
      </c>
      <c r="E2307" s="87" t="str">
        <f>Tabela1[[#This Row],[Descrição]]&amp;"-"&amp;Tabela1[[#This Row],[Código]]&amp;"/"&amp;Tabela1[[#This Row],[Origem]]</f>
        <v>Mocopi-P224P377/AL</v>
      </c>
      <c r="F2307" s="88">
        <v>46866</v>
      </c>
      <c r="G2307" s="88" t="str" cm="1">
        <f t="array" ref="G23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AND(F2307&gt;= DATE(2026,1,1), F2307&lt;= DATE(2028, 12, 31), J2307&gt;50000), "Pendente e Caro", AND(F2307&gt;= DATE(2026,1,1), F2307&lt;= DATE(2028, 12, 31), J2307&lt;=50000), "Pendente", F2307&gt;= DATE(2029,1,1), "Não prioeitário")</f>
        <v>Pendente e Caro</v>
      </c>
      <c r="H2307" s="89">
        <f>YEAR(Tabela1[[#This Row],[Data de Validade]])</f>
        <v>2028</v>
      </c>
      <c r="I2307" s="89">
        <f>MONTH(Tabela1[[#This Row],[Data de Validade]])</f>
        <v>4</v>
      </c>
      <c r="J2307" s="101">
        <v>102403</v>
      </c>
      <c r="K2307" s="87" t="s">
        <v>14</v>
      </c>
      <c r="L2307" s="108"/>
      <c r="M2307" s="108"/>
      <c r="N2307" s="108" t="str">
        <v>H375H546</v>
      </c>
      <c r="O2307" s="108">
        <f t="shared" ref="O2307:O2370" si="38">COUNTIFS(B:B,N2307)</f>
        <v>1</v>
      </c>
      <c r="P2307" s="108"/>
      <c r="Q2307"/>
    </row>
    <row r="2308" spans="1:17" x14ac:dyDescent="0.25">
      <c r="A2308" s="89" t="s">
        <v>7156</v>
      </c>
      <c r="B2308" s="87" t="s">
        <v>7157</v>
      </c>
      <c r="C2308" s="87" t="s">
        <v>16</v>
      </c>
      <c r="D2308" s="87" t="str">
        <f>VLOOKUP(Tabela1[[#This Row],[Origem]], 'Perguntas 1 a 24'!$J$28:$K$34, 2, 0)</f>
        <v>Sudeste</v>
      </c>
      <c r="E2308" s="87" t="str">
        <f>Tabela1[[#This Row],[Descrição]]&amp;"-"&amp;Tabela1[[#This Row],[Código]]&amp;"/"&amp;Tabela1[[#This Row],[Origem]]</f>
        <v>Copepu-H375H546/MG</v>
      </c>
      <c r="F2308" s="88">
        <v>46867</v>
      </c>
      <c r="G2308" s="88" t="str" cm="1">
        <f t="array" ref="G23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AND(F2308&gt;= DATE(2026,1,1), F2308&lt;= DATE(2028, 12, 31), J2308&gt;50000), "Pendente e Caro", AND(F2308&gt;= DATE(2026,1,1), F2308&lt;= DATE(2028, 12, 31), J2308&lt;=50000), "Pendente", F2308&gt;= DATE(2029,1,1), "Não prioeitário")</f>
        <v>Pendente</v>
      </c>
      <c r="H2308" s="89">
        <f>YEAR(Tabela1[[#This Row],[Data de Validade]])</f>
        <v>2028</v>
      </c>
      <c r="I2308" s="89">
        <f>MONTH(Tabela1[[#This Row],[Data de Validade]])</f>
        <v>4</v>
      </c>
      <c r="J2308" s="101">
        <v>40141</v>
      </c>
      <c r="K2308" s="87" t="s">
        <v>9</v>
      </c>
      <c r="L2308" s="108"/>
      <c r="M2308" s="108"/>
      <c r="N2308" s="108" t="str">
        <v>H788H339</v>
      </c>
      <c r="O2308" s="108">
        <f t="shared" si="38"/>
        <v>1</v>
      </c>
      <c r="P2308" s="108"/>
      <c r="Q2308"/>
    </row>
    <row r="2309" spans="1:17" x14ac:dyDescent="0.25">
      <c r="A2309" s="89" t="s">
        <v>5740</v>
      </c>
      <c r="B2309" s="87" t="s">
        <v>5741</v>
      </c>
      <c r="C2309" s="87" t="s">
        <v>15</v>
      </c>
      <c r="D2309" s="87" t="str">
        <f>VLOOKUP(Tabela1[[#This Row],[Origem]], 'Perguntas 1 a 24'!$J$28:$K$34, 2, 0)</f>
        <v>Sudeste</v>
      </c>
      <c r="E2309" s="87" t="str">
        <f>Tabela1[[#This Row],[Descrição]]&amp;"-"&amp;Tabela1[[#This Row],[Código]]&amp;"/"&amp;Tabela1[[#This Row],[Origem]]</f>
        <v>Nifadelupi-H788H339/ES</v>
      </c>
      <c r="F2309" s="88">
        <v>46869</v>
      </c>
      <c r="G2309" s="88" t="str" cm="1">
        <f t="array" ref="G23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AND(F2309&gt;= DATE(2026,1,1), F2309&lt;= DATE(2028, 12, 31), J2309&gt;50000), "Pendente e Caro", AND(F2309&gt;= DATE(2026,1,1), F2309&lt;= DATE(2028, 12, 31), J2309&lt;=50000), "Pendente", F2309&gt;= DATE(2029,1,1), "Não prioeitário")</f>
        <v>Pendente e Caro</v>
      </c>
      <c r="H2309" s="89">
        <f>YEAR(Tabela1[[#This Row],[Data de Validade]])</f>
        <v>2028</v>
      </c>
      <c r="I2309" s="89">
        <f>MONTH(Tabela1[[#This Row],[Data de Validade]])</f>
        <v>4</v>
      </c>
      <c r="J2309" s="101">
        <v>115257</v>
      </c>
      <c r="K2309" s="87" t="s">
        <v>7</v>
      </c>
      <c r="L2309" s="108"/>
      <c r="M2309" s="108"/>
      <c r="N2309" s="108" t="str">
        <v>H278H465</v>
      </c>
      <c r="O2309" s="108">
        <f t="shared" si="38"/>
        <v>1</v>
      </c>
      <c r="P2309" s="108"/>
      <c r="Q2309"/>
    </row>
    <row r="2310" spans="1:17" x14ac:dyDescent="0.25">
      <c r="A2310" s="89" t="s">
        <v>8458</v>
      </c>
      <c r="B2310" s="87" t="s">
        <v>8459</v>
      </c>
      <c r="C2310" s="87" t="s">
        <v>10</v>
      </c>
      <c r="D2310" s="87" t="str">
        <f>VLOOKUP(Tabela1[[#This Row],[Origem]], 'Perguntas 1 a 24'!$J$28:$K$34, 2, 0)</f>
        <v>Centro-Oeste</v>
      </c>
      <c r="E2310" s="87" t="str">
        <f>Tabela1[[#This Row],[Descrição]]&amp;"-"&amp;Tabela1[[#This Row],[Código]]&amp;"/"&amp;Tabela1[[#This Row],[Origem]]</f>
        <v>Denufo-H278H465/GO</v>
      </c>
      <c r="F2310" s="88">
        <v>46869</v>
      </c>
      <c r="G2310" s="88" t="str" cm="1">
        <f t="array" ref="G23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AND(F2310&gt;= DATE(2026,1,1), F2310&lt;= DATE(2028, 12, 31), J2310&gt;50000), "Pendente e Caro", AND(F2310&gt;= DATE(2026,1,1), F2310&lt;= DATE(2028, 12, 31), J2310&lt;=50000), "Pendente", F2310&gt;= DATE(2029,1,1), "Não prioeitário")</f>
        <v>Pendente</v>
      </c>
      <c r="H2310" s="89">
        <f>YEAR(Tabela1[[#This Row],[Data de Validade]])</f>
        <v>2028</v>
      </c>
      <c r="I2310" s="89">
        <f>MONTH(Tabela1[[#This Row],[Data de Validade]])</f>
        <v>4</v>
      </c>
      <c r="J2310" s="101">
        <v>40369</v>
      </c>
      <c r="K2310" s="87" t="s">
        <v>9</v>
      </c>
      <c r="L2310" s="108"/>
      <c r="M2310" s="108"/>
      <c r="N2310" s="108" t="str">
        <v>H114P791</v>
      </c>
      <c r="O2310" s="108">
        <f t="shared" si="38"/>
        <v>1</v>
      </c>
      <c r="P2310" s="108"/>
      <c r="Q2310"/>
    </row>
    <row r="2311" spans="1:17" x14ac:dyDescent="0.25">
      <c r="A2311" s="89" t="s">
        <v>10403</v>
      </c>
      <c r="B2311" s="87" t="s">
        <v>10404</v>
      </c>
      <c r="C2311" s="87" t="s">
        <v>6</v>
      </c>
      <c r="D2311" s="87" t="str">
        <f>VLOOKUP(Tabela1[[#This Row],[Origem]], 'Perguntas 1 a 24'!$J$28:$K$34, 2, 0)</f>
        <v>Nordeste</v>
      </c>
      <c r="E2311" s="87" t="str">
        <f>Tabela1[[#This Row],[Descrição]]&amp;"-"&amp;Tabela1[[#This Row],[Código]]&amp;"/"&amp;Tabela1[[#This Row],[Origem]]</f>
        <v>Cirovo-H114P791/MA</v>
      </c>
      <c r="F2311" s="88">
        <v>46869</v>
      </c>
      <c r="G2311" s="88" t="str" cm="1">
        <f t="array" ref="G23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AND(F2311&gt;= DATE(2026,1,1), F2311&lt;= DATE(2028, 12, 31), J2311&gt;50000), "Pendente e Caro", AND(F2311&gt;= DATE(2026,1,1), F2311&lt;= DATE(2028, 12, 31), J2311&lt;=50000), "Pendente", F2311&gt;= DATE(2029,1,1), "Não prioeitário")</f>
        <v>Pendente</v>
      </c>
      <c r="H2311" s="89">
        <f>YEAR(Tabela1[[#This Row],[Data de Validade]])</f>
        <v>2028</v>
      </c>
      <c r="I2311" s="89">
        <f>MONTH(Tabela1[[#This Row],[Data de Validade]])</f>
        <v>4</v>
      </c>
      <c r="J2311" s="101">
        <v>33528</v>
      </c>
      <c r="K2311" s="87" t="s">
        <v>14</v>
      </c>
      <c r="L2311" s="108"/>
      <c r="M2311" s="108"/>
      <c r="N2311" s="108" t="str">
        <v>H177P477</v>
      </c>
      <c r="O2311" s="108">
        <f t="shared" si="38"/>
        <v>1</v>
      </c>
      <c r="P2311" s="108"/>
      <c r="Q2311"/>
    </row>
    <row r="2312" spans="1:17" x14ac:dyDescent="0.25">
      <c r="A2312" s="89" t="s">
        <v>10301</v>
      </c>
      <c r="B2312" s="87" t="s">
        <v>10302</v>
      </c>
      <c r="C2312" s="87" t="s">
        <v>6</v>
      </c>
      <c r="D2312" s="87" t="str">
        <f>VLOOKUP(Tabela1[[#This Row],[Origem]], 'Perguntas 1 a 24'!$J$28:$K$34, 2, 0)</f>
        <v>Nordeste</v>
      </c>
      <c r="E2312" s="87" t="str">
        <f>Tabela1[[#This Row],[Descrição]]&amp;"-"&amp;Tabela1[[#This Row],[Código]]&amp;"/"&amp;Tabela1[[#This Row],[Origem]]</f>
        <v>Regevori-H177P477/MA</v>
      </c>
      <c r="F2312" s="88">
        <v>46869</v>
      </c>
      <c r="G2312" s="88" t="str" cm="1">
        <f t="array" ref="G23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AND(F2312&gt;= DATE(2026,1,1), F2312&lt;= DATE(2028, 12, 31), J2312&gt;50000), "Pendente e Caro", AND(F2312&gt;= DATE(2026,1,1), F2312&lt;= DATE(2028, 12, 31), J2312&lt;=50000), "Pendente", F2312&gt;= DATE(2029,1,1), "Não prioeitário")</f>
        <v>Pendente</v>
      </c>
      <c r="H2312" s="89">
        <f>YEAR(Tabela1[[#This Row],[Data de Validade]])</f>
        <v>2028</v>
      </c>
      <c r="I2312" s="89">
        <f>MONTH(Tabela1[[#This Row],[Data de Validade]])</f>
        <v>4</v>
      </c>
      <c r="J2312" s="101">
        <v>25547</v>
      </c>
      <c r="K2312" s="87" t="s">
        <v>11</v>
      </c>
      <c r="L2312" s="108"/>
      <c r="M2312" s="108"/>
      <c r="N2312" s="108" t="str">
        <v>P869H991</v>
      </c>
      <c r="O2312" s="108">
        <f t="shared" si="38"/>
        <v>1</v>
      </c>
      <c r="P2312" s="108"/>
      <c r="Q2312"/>
    </row>
    <row r="2313" spans="1:17" x14ac:dyDescent="0.25">
      <c r="A2313" s="89" t="s">
        <v>5718</v>
      </c>
      <c r="B2313" s="87" t="s">
        <v>5719</v>
      </c>
      <c r="C2313" s="87" t="s">
        <v>10</v>
      </c>
      <c r="D2313" s="87" t="str">
        <f>VLOOKUP(Tabela1[[#This Row],[Origem]], 'Perguntas 1 a 24'!$J$28:$K$34, 2, 0)</f>
        <v>Centro-Oeste</v>
      </c>
      <c r="E2313" s="87" t="str">
        <f>Tabela1[[#This Row],[Descrição]]&amp;"-"&amp;Tabela1[[#This Row],[Código]]&amp;"/"&amp;Tabela1[[#This Row],[Origem]]</f>
        <v>Rofiludimo-P869H991/GO</v>
      </c>
      <c r="F2313" s="88">
        <v>46869</v>
      </c>
      <c r="G2313" s="88" t="str" cm="1">
        <f t="array" ref="G23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AND(F2313&gt;= DATE(2026,1,1), F2313&lt;= DATE(2028, 12, 31), J2313&gt;50000), "Pendente e Caro", AND(F2313&gt;= DATE(2026,1,1), F2313&lt;= DATE(2028, 12, 31), J2313&lt;=50000), "Pendente", F2313&gt;= DATE(2029,1,1), "Não prioeitário")</f>
        <v>Pendente</v>
      </c>
      <c r="H2313" s="89">
        <f>YEAR(Tabela1[[#This Row],[Data de Validade]])</f>
        <v>2028</v>
      </c>
      <c r="I2313" s="89">
        <f>MONTH(Tabela1[[#This Row],[Data de Validade]])</f>
        <v>4</v>
      </c>
      <c r="J2313" s="101">
        <v>24502</v>
      </c>
      <c r="K2313" s="87" t="s">
        <v>11</v>
      </c>
      <c r="L2313" s="108"/>
      <c r="M2313" s="108"/>
      <c r="N2313" s="108" t="str">
        <v>H792H998</v>
      </c>
      <c r="O2313" s="108">
        <f t="shared" si="38"/>
        <v>1</v>
      </c>
      <c r="P2313" s="108"/>
      <c r="Q2313"/>
    </row>
    <row r="2314" spans="1:17" x14ac:dyDescent="0.25">
      <c r="A2314" s="89" t="s">
        <v>8585</v>
      </c>
      <c r="B2314" s="87" t="s">
        <v>8586</v>
      </c>
      <c r="C2314" s="87" t="s">
        <v>10</v>
      </c>
      <c r="D2314" s="87" t="str">
        <f>VLOOKUP(Tabela1[[#This Row],[Origem]], 'Perguntas 1 a 24'!$J$28:$K$34, 2, 0)</f>
        <v>Centro-Oeste</v>
      </c>
      <c r="E2314" s="87" t="str">
        <f>Tabela1[[#This Row],[Descrição]]&amp;"-"&amp;Tabela1[[#This Row],[Código]]&amp;"/"&amp;Tabela1[[#This Row],[Origem]]</f>
        <v>Romogute-H792H998/GO</v>
      </c>
      <c r="F2314" s="88">
        <v>46871</v>
      </c>
      <c r="G2314" s="88" t="str" cm="1">
        <f t="array" ref="G23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AND(F2314&gt;= DATE(2026,1,1), F2314&lt;= DATE(2028, 12, 31), J2314&gt;50000), "Pendente e Caro", AND(F2314&gt;= DATE(2026,1,1), F2314&lt;= DATE(2028, 12, 31), J2314&lt;=50000), "Pendente", F2314&gt;= DATE(2029,1,1), "Não prioeitário")</f>
        <v>Pendente e Caro</v>
      </c>
      <c r="H2314" s="89">
        <f>YEAR(Tabela1[[#This Row],[Data de Validade]])</f>
        <v>2028</v>
      </c>
      <c r="I2314" s="89">
        <f>MONTH(Tabela1[[#This Row],[Data de Validade]])</f>
        <v>4</v>
      </c>
      <c r="J2314" s="101">
        <v>91751</v>
      </c>
      <c r="K2314" s="87" t="s">
        <v>7</v>
      </c>
      <c r="L2314" s="108"/>
      <c r="M2314" s="108"/>
      <c r="N2314" s="108" t="str">
        <v>H521H414</v>
      </c>
      <c r="O2314" s="108">
        <f t="shared" si="38"/>
        <v>1</v>
      </c>
      <c r="P2314" s="108"/>
      <c r="Q2314"/>
    </row>
    <row r="2315" spans="1:17" x14ac:dyDescent="0.25">
      <c r="A2315" s="89" t="s">
        <v>5052</v>
      </c>
      <c r="B2315" s="87" t="s">
        <v>5053</v>
      </c>
      <c r="C2315" s="87" t="s">
        <v>10</v>
      </c>
      <c r="D2315" s="87" t="str">
        <f>VLOOKUP(Tabela1[[#This Row],[Origem]], 'Perguntas 1 a 24'!$J$28:$K$34, 2, 0)</f>
        <v>Centro-Oeste</v>
      </c>
      <c r="E2315" s="87" t="str">
        <f>Tabela1[[#This Row],[Descrição]]&amp;"-"&amp;Tabela1[[#This Row],[Código]]&amp;"/"&amp;Tabela1[[#This Row],[Origem]]</f>
        <v>Raveti-H521H414/GO</v>
      </c>
      <c r="F2315" s="88">
        <v>46871</v>
      </c>
      <c r="G2315" s="88" t="str" cm="1">
        <f t="array" ref="G23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AND(F2315&gt;= DATE(2026,1,1), F2315&lt;= DATE(2028, 12, 31), J2315&gt;50000), "Pendente e Caro", AND(F2315&gt;= DATE(2026,1,1), F2315&lt;= DATE(2028, 12, 31), J2315&lt;=50000), "Pendente", F2315&gt;= DATE(2029,1,1), "Não prioeitário")</f>
        <v>Pendente e Caro</v>
      </c>
      <c r="H2315" s="89">
        <f>YEAR(Tabela1[[#This Row],[Data de Validade]])</f>
        <v>2028</v>
      </c>
      <c r="I2315" s="89">
        <f>MONTH(Tabela1[[#This Row],[Data de Validade]])</f>
        <v>4</v>
      </c>
      <c r="J2315" s="101">
        <v>76378</v>
      </c>
      <c r="K2315" s="87" t="s">
        <v>9</v>
      </c>
      <c r="L2315" s="108"/>
      <c r="M2315" s="108"/>
      <c r="N2315" s="108" t="str">
        <v>P991P887</v>
      </c>
      <c r="O2315" s="108">
        <f t="shared" si="38"/>
        <v>1</v>
      </c>
      <c r="P2315" s="108"/>
      <c r="Q2315"/>
    </row>
    <row r="2316" spans="1:17" x14ac:dyDescent="0.25">
      <c r="A2316" s="89" t="s">
        <v>10055</v>
      </c>
      <c r="B2316" s="87" t="s">
        <v>10056</v>
      </c>
      <c r="C2316" s="87" t="s">
        <v>16</v>
      </c>
      <c r="D2316" s="87" t="str">
        <f>VLOOKUP(Tabela1[[#This Row],[Origem]], 'Perguntas 1 a 24'!$J$28:$K$34, 2, 0)</f>
        <v>Sudeste</v>
      </c>
      <c r="E2316" s="87" t="str">
        <f>Tabela1[[#This Row],[Descrição]]&amp;"-"&amp;Tabela1[[#This Row],[Código]]&amp;"/"&amp;Tabela1[[#This Row],[Origem]]</f>
        <v>Lepicenida-P991P887/MG</v>
      </c>
      <c r="F2316" s="88">
        <v>46871</v>
      </c>
      <c r="G2316" s="88" t="str" cm="1">
        <f t="array" ref="G23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AND(F2316&gt;= DATE(2026,1,1), F2316&lt;= DATE(2028, 12, 31), J2316&gt;50000), "Pendente e Caro", AND(F2316&gt;= DATE(2026,1,1), F2316&lt;= DATE(2028, 12, 31), J2316&lt;=50000), "Pendente", F2316&gt;= DATE(2029,1,1), "Não prioeitário")</f>
        <v>Pendente</v>
      </c>
      <c r="H2316" s="89">
        <f>YEAR(Tabela1[[#This Row],[Data de Validade]])</f>
        <v>2028</v>
      </c>
      <c r="I2316" s="89">
        <f>MONTH(Tabela1[[#This Row],[Data de Validade]])</f>
        <v>4</v>
      </c>
      <c r="J2316" s="101">
        <v>39381</v>
      </c>
      <c r="K2316" s="87" t="s">
        <v>11</v>
      </c>
      <c r="L2316" s="108"/>
      <c r="M2316" s="108"/>
      <c r="N2316" s="108" t="str">
        <v>P215H928</v>
      </c>
      <c r="O2316" s="108">
        <f t="shared" si="38"/>
        <v>1</v>
      </c>
      <c r="P2316" s="108"/>
      <c r="Q2316"/>
    </row>
    <row r="2317" spans="1:17" x14ac:dyDescent="0.25">
      <c r="A2317" s="89" t="s">
        <v>5588</v>
      </c>
      <c r="B2317" s="87" t="s">
        <v>5589</v>
      </c>
      <c r="C2317" s="87" t="s">
        <v>12</v>
      </c>
      <c r="D2317" s="87" t="str">
        <f>VLOOKUP(Tabela1[[#This Row],[Origem]], 'Perguntas 1 a 24'!$J$28:$K$34, 2, 0)</f>
        <v>Sudeste</v>
      </c>
      <c r="E2317" s="87" t="str">
        <f>Tabela1[[#This Row],[Descrição]]&amp;"-"&amp;Tabela1[[#This Row],[Código]]&amp;"/"&amp;Tabela1[[#This Row],[Origem]]</f>
        <v>Relodudira-P215H928/RJ</v>
      </c>
      <c r="F2317" s="88">
        <v>46872</v>
      </c>
      <c r="G2317" s="88" t="str" cm="1">
        <f t="array" ref="G23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AND(F2317&gt;= DATE(2026,1,1), F2317&lt;= DATE(2028, 12, 31), J2317&gt;50000), "Pendente e Caro", AND(F2317&gt;= DATE(2026,1,1), F2317&lt;= DATE(2028, 12, 31), J2317&lt;=50000), "Pendente", F2317&gt;= DATE(2029,1,1), "Não prioeitário")</f>
        <v>Pendente</v>
      </c>
      <c r="H2317" s="89">
        <f>YEAR(Tabela1[[#This Row],[Data de Validade]])</f>
        <v>2028</v>
      </c>
      <c r="I2317" s="89">
        <f>MONTH(Tabela1[[#This Row],[Data de Validade]])</f>
        <v>4</v>
      </c>
      <c r="J2317" s="101">
        <v>31359</v>
      </c>
      <c r="K2317" s="87" t="s">
        <v>9</v>
      </c>
      <c r="L2317" s="108"/>
      <c r="M2317" s="108"/>
      <c r="N2317" s="108" t="str">
        <v>P181P198</v>
      </c>
      <c r="O2317" s="108">
        <f t="shared" si="38"/>
        <v>1</v>
      </c>
      <c r="P2317" s="108"/>
      <c r="Q2317"/>
    </row>
    <row r="2318" spans="1:17" x14ac:dyDescent="0.25">
      <c r="A2318" s="89" t="s">
        <v>11268</v>
      </c>
      <c r="B2318" s="87" t="s">
        <v>11269</v>
      </c>
      <c r="C2318" s="87" t="s">
        <v>6</v>
      </c>
      <c r="D2318" s="87" t="str">
        <f>VLOOKUP(Tabela1[[#This Row],[Origem]], 'Perguntas 1 a 24'!$J$28:$K$34, 2, 0)</f>
        <v>Nordeste</v>
      </c>
      <c r="E2318" s="87" t="str">
        <f>Tabela1[[#This Row],[Descrição]]&amp;"-"&amp;Tabela1[[#This Row],[Código]]&amp;"/"&amp;Tabela1[[#This Row],[Origem]]</f>
        <v>Pecicolovi-P181P198/MA</v>
      </c>
      <c r="F2318" s="88">
        <v>46874</v>
      </c>
      <c r="G2318" s="88" t="str" cm="1">
        <f t="array" ref="G23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AND(F2318&gt;= DATE(2026,1,1), F2318&lt;= DATE(2028, 12, 31), J2318&gt;50000), "Pendente e Caro", AND(F2318&gt;= DATE(2026,1,1), F2318&lt;= DATE(2028, 12, 31), J2318&lt;=50000), "Pendente", F2318&gt;= DATE(2029,1,1), "Não prioeitário")</f>
        <v>Pendente e Caro</v>
      </c>
      <c r="H2318" s="89">
        <f>YEAR(Tabela1[[#This Row],[Data de Validade]])</f>
        <v>2028</v>
      </c>
      <c r="I2318" s="89">
        <f>MONTH(Tabela1[[#This Row],[Data de Validade]])</f>
        <v>5</v>
      </c>
      <c r="J2318" s="101">
        <v>103915</v>
      </c>
      <c r="K2318" s="87" t="s">
        <v>9</v>
      </c>
      <c r="L2318" s="108"/>
      <c r="M2318" s="108"/>
      <c r="N2318" s="108" t="str">
        <v>H683P383</v>
      </c>
      <c r="O2318" s="108">
        <f t="shared" si="38"/>
        <v>1</v>
      </c>
      <c r="P2318" s="108"/>
      <c r="Q2318"/>
    </row>
    <row r="2319" spans="1:17" x14ac:dyDescent="0.25">
      <c r="A2319" s="89" t="s">
        <v>4990</v>
      </c>
      <c r="B2319" s="87" t="s">
        <v>4991</v>
      </c>
      <c r="C2319" s="87" t="s">
        <v>6</v>
      </c>
      <c r="D2319" s="87" t="str">
        <f>VLOOKUP(Tabela1[[#This Row],[Origem]], 'Perguntas 1 a 24'!$J$28:$K$34, 2, 0)</f>
        <v>Nordeste</v>
      </c>
      <c r="E2319" s="87" t="str">
        <f>Tabela1[[#This Row],[Descrição]]&amp;"-"&amp;Tabela1[[#This Row],[Código]]&amp;"/"&amp;Tabela1[[#This Row],[Origem]]</f>
        <v>Nalole-H683P383/MA</v>
      </c>
      <c r="F2319" s="88">
        <v>46875</v>
      </c>
      <c r="G2319" s="88" t="str" cm="1">
        <f t="array" ref="G23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AND(F2319&gt;= DATE(2026,1,1), F2319&lt;= DATE(2028, 12, 31), J2319&gt;50000), "Pendente e Caro", AND(F2319&gt;= DATE(2026,1,1), F2319&lt;= DATE(2028, 12, 31), J2319&lt;=50000), "Pendente", F2319&gt;= DATE(2029,1,1), "Não prioeitário")</f>
        <v>Pendente e Caro</v>
      </c>
      <c r="H2319" s="89">
        <f>YEAR(Tabela1[[#This Row],[Data de Validade]])</f>
        <v>2028</v>
      </c>
      <c r="I2319" s="89">
        <f>MONTH(Tabela1[[#This Row],[Data de Validade]])</f>
        <v>5</v>
      </c>
      <c r="J2319" s="101">
        <v>112404</v>
      </c>
      <c r="K2319" s="87" t="s">
        <v>14</v>
      </c>
      <c r="L2319" s="108"/>
      <c r="M2319" s="108"/>
      <c r="N2319" s="108" t="str">
        <v>P368H371</v>
      </c>
      <c r="O2319" s="108">
        <f t="shared" si="38"/>
        <v>1</v>
      </c>
      <c r="P2319" s="108"/>
      <c r="Q2319"/>
    </row>
    <row r="2320" spans="1:17" x14ac:dyDescent="0.25">
      <c r="A2320" s="89" t="s">
        <v>6584</v>
      </c>
      <c r="B2320" s="87" t="s">
        <v>6585</v>
      </c>
      <c r="C2320" s="87" t="s">
        <v>8</v>
      </c>
      <c r="D2320" s="87" t="str">
        <f>VLOOKUP(Tabela1[[#This Row],[Origem]], 'Perguntas 1 a 24'!$J$28:$K$34, 2, 0)</f>
        <v>Nordeste</v>
      </c>
      <c r="E2320" s="87" t="str">
        <f>Tabela1[[#This Row],[Descrição]]&amp;"-"&amp;Tabela1[[#This Row],[Código]]&amp;"/"&amp;Tabela1[[#This Row],[Origem]]</f>
        <v>Tavepuna-P368H371/AL</v>
      </c>
      <c r="F2320" s="88">
        <v>46875</v>
      </c>
      <c r="G2320" s="88" t="str" cm="1">
        <f t="array" ref="G23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AND(F2320&gt;= DATE(2026,1,1), F2320&lt;= DATE(2028, 12, 31), J2320&gt;50000), "Pendente e Caro", AND(F2320&gt;= DATE(2026,1,1), F2320&lt;= DATE(2028, 12, 31), J2320&lt;=50000), "Pendente", F2320&gt;= DATE(2029,1,1), "Não prioeitário")</f>
        <v>Pendente e Caro</v>
      </c>
      <c r="H2320" s="89">
        <f>YEAR(Tabela1[[#This Row],[Data de Validade]])</f>
        <v>2028</v>
      </c>
      <c r="I2320" s="89">
        <f>MONTH(Tabela1[[#This Row],[Data de Validade]])</f>
        <v>5</v>
      </c>
      <c r="J2320" s="101">
        <v>55011</v>
      </c>
      <c r="K2320" s="87" t="s">
        <v>14</v>
      </c>
      <c r="L2320" s="108"/>
      <c r="M2320" s="108"/>
      <c r="N2320" s="108" t="str">
        <v>P274H977</v>
      </c>
      <c r="O2320" s="108">
        <f t="shared" si="38"/>
        <v>1</v>
      </c>
      <c r="P2320" s="108"/>
      <c r="Q2320"/>
    </row>
    <row r="2321" spans="1:17" x14ac:dyDescent="0.25">
      <c r="A2321" s="89" t="s">
        <v>8835</v>
      </c>
      <c r="B2321" s="87" t="s">
        <v>8836</v>
      </c>
      <c r="C2321" s="87" t="s">
        <v>13</v>
      </c>
      <c r="D2321" s="87" t="str">
        <f>VLOOKUP(Tabela1[[#This Row],[Origem]], 'Perguntas 1 a 24'!$J$28:$K$34, 2, 0)</f>
        <v>Sudeste</v>
      </c>
      <c r="E2321" s="87" t="str">
        <f>Tabela1[[#This Row],[Descrição]]&amp;"-"&amp;Tabela1[[#This Row],[Código]]&amp;"/"&amp;Tabela1[[#This Row],[Origem]]</f>
        <v>Rorife-P274H977/SP</v>
      </c>
      <c r="F2321" s="88">
        <v>46877</v>
      </c>
      <c r="G2321" s="88" t="str" cm="1">
        <f t="array" ref="G23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AND(F2321&gt;= DATE(2026,1,1), F2321&lt;= DATE(2028, 12, 31), J2321&gt;50000), "Pendente e Caro", AND(F2321&gt;= DATE(2026,1,1), F2321&lt;= DATE(2028, 12, 31), J2321&lt;=50000), "Pendente", F2321&gt;= DATE(2029,1,1), "Não prioeitário")</f>
        <v>Pendente e Caro</v>
      </c>
      <c r="H2321" s="89">
        <f>YEAR(Tabela1[[#This Row],[Data de Validade]])</f>
        <v>2028</v>
      </c>
      <c r="I2321" s="89">
        <f>MONTH(Tabela1[[#This Row],[Data de Validade]])</f>
        <v>5</v>
      </c>
      <c r="J2321" s="101">
        <v>117636</v>
      </c>
      <c r="K2321" s="87" t="s">
        <v>11</v>
      </c>
      <c r="L2321" s="108"/>
      <c r="M2321" s="108"/>
      <c r="N2321" s="108" t="str">
        <v>H524H998</v>
      </c>
      <c r="O2321" s="108">
        <f t="shared" si="38"/>
        <v>1</v>
      </c>
      <c r="P2321" s="108"/>
      <c r="Q2321"/>
    </row>
    <row r="2322" spans="1:17" x14ac:dyDescent="0.25">
      <c r="A2322" s="89" t="s">
        <v>8422</v>
      </c>
      <c r="B2322" s="87" t="s">
        <v>8423</v>
      </c>
      <c r="C2322" s="87" t="s">
        <v>12</v>
      </c>
      <c r="D2322" s="87" t="str">
        <f>VLOOKUP(Tabela1[[#This Row],[Origem]], 'Perguntas 1 a 24'!$J$28:$K$34, 2, 0)</f>
        <v>Sudeste</v>
      </c>
      <c r="E2322" s="87" t="str">
        <f>Tabela1[[#This Row],[Descrição]]&amp;"-"&amp;Tabela1[[#This Row],[Código]]&amp;"/"&amp;Tabela1[[#This Row],[Origem]]</f>
        <v>Fupeva-H524H998/RJ</v>
      </c>
      <c r="F2322" s="88">
        <v>46877</v>
      </c>
      <c r="G2322" s="88" t="str" cm="1">
        <f t="array" ref="G23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AND(F2322&gt;= DATE(2026,1,1), F2322&lt;= DATE(2028, 12, 31), J2322&gt;50000), "Pendente e Caro", AND(F2322&gt;= DATE(2026,1,1), F2322&lt;= DATE(2028, 12, 31), J2322&lt;=50000), "Pendente", F2322&gt;= DATE(2029,1,1), "Não prioeitário")</f>
        <v>Pendente e Caro</v>
      </c>
      <c r="H2322" s="89">
        <f>YEAR(Tabela1[[#This Row],[Data de Validade]])</f>
        <v>2028</v>
      </c>
      <c r="I2322" s="89">
        <f>MONTH(Tabela1[[#This Row],[Data de Validade]])</f>
        <v>5</v>
      </c>
      <c r="J2322" s="101">
        <v>54886</v>
      </c>
      <c r="K2322" s="87" t="s">
        <v>9</v>
      </c>
      <c r="L2322" s="108"/>
      <c r="M2322" s="108"/>
      <c r="N2322" s="108" t="str">
        <v>H543P849</v>
      </c>
      <c r="O2322" s="108">
        <f t="shared" si="38"/>
        <v>1</v>
      </c>
      <c r="P2322" s="108"/>
      <c r="Q2322"/>
    </row>
    <row r="2323" spans="1:17" x14ac:dyDescent="0.25">
      <c r="A2323" s="89" t="s">
        <v>9271</v>
      </c>
      <c r="B2323" s="87" t="s">
        <v>9272</v>
      </c>
      <c r="C2323" s="87" t="s">
        <v>6</v>
      </c>
      <c r="D2323" s="87" t="str">
        <f>VLOOKUP(Tabela1[[#This Row],[Origem]], 'Perguntas 1 a 24'!$J$28:$K$34, 2, 0)</f>
        <v>Nordeste</v>
      </c>
      <c r="E2323" s="87" t="str">
        <f>Tabela1[[#This Row],[Descrição]]&amp;"-"&amp;Tabela1[[#This Row],[Código]]&amp;"/"&amp;Tabela1[[#This Row],[Origem]]</f>
        <v>Pupofemi-H543P849/MA</v>
      </c>
      <c r="F2323" s="88">
        <v>46877</v>
      </c>
      <c r="G2323" s="88" t="str" cm="1">
        <f t="array" ref="G23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AND(F2323&gt;= DATE(2026,1,1), F2323&lt;= DATE(2028, 12, 31), J2323&gt;50000), "Pendente e Caro", AND(F2323&gt;= DATE(2026,1,1), F2323&lt;= DATE(2028, 12, 31), J2323&lt;=50000), "Pendente", F2323&gt;= DATE(2029,1,1), "Não prioeitário")</f>
        <v>Pendente</v>
      </c>
      <c r="H2323" s="89">
        <f>YEAR(Tabela1[[#This Row],[Data de Validade]])</f>
        <v>2028</v>
      </c>
      <c r="I2323" s="89">
        <f>MONTH(Tabela1[[#This Row],[Data de Validade]])</f>
        <v>5</v>
      </c>
      <c r="J2323" s="101">
        <v>47364</v>
      </c>
      <c r="K2323" s="87" t="s">
        <v>14</v>
      </c>
      <c r="L2323" s="108"/>
      <c r="M2323" s="108"/>
      <c r="N2323" s="108" t="str">
        <v>H486H916</v>
      </c>
      <c r="O2323" s="108">
        <f t="shared" si="38"/>
        <v>1</v>
      </c>
      <c r="P2323" s="108"/>
      <c r="Q2323"/>
    </row>
    <row r="2324" spans="1:17" x14ac:dyDescent="0.25">
      <c r="A2324" s="89" t="s">
        <v>10235</v>
      </c>
      <c r="B2324" s="87" t="s">
        <v>10236</v>
      </c>
      <c r="C2324" s="87" t="s">
        <v>13</v>
      </c>
      <c r="D2324" s="87" t="str">
        <f>VLOOKUP(Tabela1[[#This Row],[Origem]], 'Perguntas 1 a 24'!$J$28:$K$34, 2, 0)</f>
        <v>Sudeste</v>
      </c>
      <c r="E2324" s="87" t="str">
        <f>Tabela1[[#This Row],[Descrição]]&amp;"-"&amp;Tabela1[[#This Row],[Código]]&amp;"/"&amp;Tabela1[[#This Row],[Origem]]</f>
        <v>Dipodaripe-H486H916/SP</v>
      </c>
      <c r="F2324" s="88">
        <v>46878</v>
      </c>
      <c r="G2324" s="88" t="str" cm="1">
        <f t="array" ref="G23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AND(F2324&gt;= DATE(2026,1,1), F2324&lt;= DATE(2028, 12, 31), J2324&gt;50000), "Pendente e Caro", AND(F2324&gt;= DATE(2026,1,1), F2324&lt;= DATE(2028, 12, 31), J2324&lt;=50000), "Pendente", F2324&gt;= DATE(2029,1,1), "Não prioeitário")</f>
        <v>Pendente e Caro</v>
      </c>
      <c r="H2324" s="89">
        <f>YEAR(Tabela1[[#This Row],[Data de Validade]])</f>
        <v>2028</v>
      </c>
      <c r="I2324" s="89">
        <f>MONTH(Tabela1[[#This Row],[Data de Validade]])</f>
        <v>5</v>
      </c>
      <c r="J2324" s="101">
        <v>65255</v>
      </c>
      <c r="K2324" s="87" t="s">
        <v>11</v>
      </c>
      <c r="L2324" s="108"/>
      <c r="M2324" s="108"/>
      <c r="N2324" s="108" t="str">
        <v>H261P128</v>
      </c>
      <c r="O2324" s="108">
        <f t="shared" si="38"/>
        <v>1</v>
      </c>
      <c r="P2324" s="108"/>
      <c r="Q2324"/>
    </row>
    <row r="2325" spans="1:17" x14ac:dyDescent="0.25">
      <c r="A2325" s="89" t="s">
        <v>4604</v>
      </c>
      <c r="B2325" s="87" t="s">
        <v>4605</v>
      </c>
      <c r="C2325" s="87" t="s">
        <v>15</v>
      </c>
      <c r="D2325" s="87" t="str">
        <f>VLOOKUP(Tabela1[[#This Row],[Origem]], 'Perguntas 1 a 24'!$J$28:$K$34, 2, 0)</f>
        <v>Sudeste</v>
      </c>
      <c r="E2325" s="87" t="str">
        <f>Tabela1[[#This Row],[Descrição]]&amp;"-"&amp;Tabela1[[#This Row],[Código]]&amp;"/"&amp;Tabela1[[#This Row],[Origem]]</f>
        <v>Mirapomati-H261P128/ES</v>
      </c>
      <c r="F2325" s="88">
        <v>46879</v>
      </c>
      <c r="G2325" s="88" t="str" cm="1">
        <f t="array" ref="G23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AND(F2325&gt;= DATE(2026,1,1), F2325&lt;= DATE(2028, 12, 31), J2325&gt;50000), "Pendente e Caro", AND(F2325&gt;= DATE(2026,1,1), F2325&lt;= DATE(2028, 12, 31), J2325&lt;=50000), "Pendente", F2325&gt;= DATE(2029,1,1), "Não prioeitário")</f>
        <v>Pendente e Caro</v>
      </c>
      <c r="H2325" s="89">
        <f>YEAR(Tabela1[[#This Row],[Data de Validade]])</f>
        <v>2028</v>
      </c>
      <c r="I2325" s="89">
        <f>MONTH(Tabela1[[#This Row],[Data de Validade]])</f>
        <v>5</v>
      </c>
      <c r="J2325" s="101">
        <v>59590</v>
      </c>
      <c r="K2325" s="87" t="s">
        <v>7</v>
      </c>
      <c r="L2325" s="108"/>
      <c r="M2325" s="108"/>
      <c r="N2325" s="108" t="str">
        <v>P352H777</v>
      </c>
      <c r="O2325" s="108">
        <f t="shared" si="38"/>
        <v>1</v>
      </c>
      <c r="P2325" s="108"/>
      <c r="Q2325"/>
    </row>
    <row r="2326" spans="1:17" x14ac:dyDescent="0.25">
      <c r="A2326" s="89" t="s">
        <v>10097</v>
      </c>
      <c r="B2326" s="87" t="s">
        <v>10098</v>
      </c>
      <c r="C2326" s="87" t="s">
        <v>16</v>
      </c>
      <c r="D2326" s="87" t="str">
        <f>VLOOKUP(Tabela1[[#This Row],[Origem]], 'Perguntas 1 a 24'!$J$28:$K$34, 2, 0)</f>
        <v>Sudeste</v>
      </c>
      <c r="E2326" s="87" t="str">
        <f>Tabela1[[#This Row],[Descrição]]&amp;"-"&amp;Tabela1[[#This Row],[Código]]&amp;"/"&amp;Tabela1[[#This Row],[Origem]]</f>
        <v>Cifude-P352H777/MG</v>
      </c>
      <c r="F2326" s="88">
        <v>46879</v>
      </c>
      <c r="G2326" s="88" t="str" cm="1">
        <f t="array" ref="G23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AND(F2326&gt;= DATE(2026,1,1), F2326&lt;= DATE(2028, 12, 31), J2326&gt;50000), "Pendente e Caro", AND(F2326&gt;= DATE(2026,1,1), F2326&lt;= DATE(2028, 12, 31), J2326&lt;=50000), "Pendente", F2326&gt;= DATE(2029,1,1), "Não prioeitário")</f>
        <v>Pendente</v>
      </c>
      <c r="H2326" s="89">
        <f>YEAR(Tabela1[[#This Row],[Data de Validade]])</f>
        <v>2028</v>
      </c>
      <c r="I2326" s="89">
        <f>MONTH(Tabela1[[#This Row],[Data de Validade]])</f>
        <v>5</v>
      </c>
      <c r="J2326" s="101">
        <v>23494</v>
      </c>
      <c r="K2326" s="87" t="s">
        <v>14</v>
      </c>
      <c r="L2326" s="108"/>
      <c r="M2326" s="108"/>
      <c r="N2326" s="108" t="str">
        <v>H253H598</v>
      </c>
      <c r="O2326" s="108">
        <f t="shared" si="38"/>
        <v>1</v>
      </c>
      <c r="P2326" s="108"/>
      <c r="Q2326"/>
    </row>
    <row r="2327" spans="1:17" x14ac:dyDescent="0.25">
      <c r="A2327" s="89" t="s">
        <v>7926</v>
      </c>
      <c r="B2327" s="87" t="s">
        <v>7927</v>
      </c>
      <c r="C2327" s="87" t="s">
        <v>12</v>
      </c>
      <c r="D2327" s="87" t="str">
        <f>VLOOKUP(Tabela1[[#This Row],[Origem]], 'Perguntas 1 a 24'!$J$28:$K$34, 2, 0)</f>
        <v>Sudeste</v>
      </c>
      <c r="E2327" s="87" t="str">
        <f>Tabela1[[#This Row],[Descrição]]&amp;"-"&amp;Tabela1[[#This Row],[Código]]&amp;"/"&amp;Tabela1[[#This Row],[Origem]]</f>
        <v>Cogate-H253H598/RJ</v>
      </c>
      <c r="F2327" s="88">
        <v>46880</v>
      </c>
      <c r="G2327" s="88" t="str" cm="1">
        <f t="array" ref="G23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AND(F2327&gt;= DATE(2026,1,1), F2327&lt;= DATE(2028, 12, 31), J2327&gt;50000), "Pendente e Caro", AND(F2327&gt;= DATE(2026,1,1), F2327&lt;= DATE(2028, 12, 31), J2327&lt;=50000), "Pendente", F2327&gt;= DATE(2029,1,1), "Não prioeitário")</f>
        <v>Pendente e Caro</v>
      </c>
      <c r="H2327" s="89">
        <f>YEAR(Tabela1[[#This Row],[Data de Validade]])</f>
        <v>2028</v>
      </c>
      <c r="I2327" s="89">
        <f>MONTH(Tabela1[[#This Row],[Data de Validade]])</f>
        <v>5</v>
      </c>
      <c r="J2327" s="101">
        <v>55182</v>
      </c>
      <c r="K2327" s="87" t="s">
        <v>11</v>
      </c>
      <c r="L2327" s="108"/>
      <c r="M2327" s="108"/>
      <c r="N2327" s="108" t="str">
        <v>P555H614</v>
      </c>
      <c r="O2327" s="108">
        <f t="shared" si="38"/>
        <v>1</v>
      </c>
      <c r="P2327" s="108"/>
      <c r="Q2327"/>
    </row>
    <row r="2328" spans="1:17" x14ac:dyDescent="0.25">
      <c r="A2328" s="89" t="s">
        <v>4407</v>
      </c>
      <c r="B2328" s="87" t="s">
        <v>4408</v>
      </c>
      <c r="C2328" s="87" t="s">
        <v>6</v>
      </c>
      <c r="D2328" s="87" t="str">
        <f>VLOOKUP(Tabela1[[#This Row],[Origem]], 'Perguntas 1 a 24'!$J$28:$K$34, 2, 0)</f>
        <v>Nordeste</v>
      </c>
      <c r="E2328" s="87" t="str">
        <f>Tabela1[[#This Row],[Descrição]]&amp;"-"&amp;Tabela1[[#This Row],[Código]]&amp;"/"&amp;Tabela1[[#This Row],[Origem]]</f>
        <v>Rutamafovi-P555H614/MA</v>
      </c>
      <c r="F2328" s="88">
        <v>46881</v>
      </c>
      <c r="G2328" s="88" t="str" cm="1">
        <f t="array" ref="G23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AND(F2328&gt;= DATE(2026,1,1), F2328&lt;= DATE(2028, 12, 31), J2328&gt;50000), "Pendente e Caro", AND(F2328&gt;= DATE(2026,1,1), F2328&lt;= DATE(2028, 12, 31), J2328&lt;=50000), "Pendente", F2328&gt;= DATE(2029,1,1), "Não prioeitário")</f>
        <v>Pendente e Caro</v>
      </c>
      <c r="H2328" s="89">
        <f>YEAR(Tabela1[[#This Row],[Data de Validade]])</f>
        <v>2028</v>
      </c>
      <c r="I2328" s="89">
        <f>MONTH(Tabela1[[#This Row],[Data de Validade]])</f>
        <v>5</v>
      </c>
      <c r="J2328" s="101">
        <v>75434</v>
      </c>
      <c r="K2328" s="87" t="s">
        <v>7</v>
      </c>
      <c r="L2328" s="108"/>
      <c r="M2328" s="108"/>
      <c r="N2328" s="108" t="str">
        <v>P995H423</v>
      </c>
      <c r="O2328" s="108">
        <f t="shared" si="38"/>
        <v>1</v>
      </c>
      <c r="P2328" s="108"/>
      <c r="Q2328"/>
    </row>
    <row r="2329" spans="1:17" x14ac:dyDescent="0.25">
      <c r="A2329" s="89" t="s">
        <v>4479</v>
      </c>
      <c r="B2329" s="87" t="s">
        <v>4480</v>
      </c>
      <c r="C2329" s="87" t="s">
        <v>8</v>
      </c>
      <c r="D2329" s="87" t="str">
        <f>VLOOKUP(Tabela1[[#This Row],[Origem]], 'Perguntas 1 a 24'!$J$28:$K$34, 2, 0)</f>
        <v>Nordeste</v>
      </c>
      <c r="E2329" s="87" t="str">
        <f>Tabela1[[#This Row],[Descrição]]&amp;"-"&amp;Tabela1[[#This Row],[Código]]&amp;"/"&amp;Tabela1[[#This Row],[Origem]]</f>
        <v>Pinada-P995H423/AL</v>
      </c>
      <c r="F2329" s="88">
        <v>46882</v>
      </c>
      <c r="G2329" s="88" t="str" cm="1">
        <f t="array" ref="G23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AND(F2329&gt;= DATE(2026,1,1), F2329&lt;= DATE(2028, 12, 31), J2329&gt;50000), "Pendente e Caro", AND(F2329&gt;= DATE(2026,1,1), F2329&lt;= DATE(2028, 12, 31), J2329&lt;=50000), "Pendente", F2329&gt;= DATE(2029,1,1), "Não prioeitário")</f>
        <v>Pendente e Caro</v>
      </c>
      <c r="H2329" s="89">
        <f>YEAR(Tabela1[[#This Row],[Data de Validade]])</f>
        <v>2028</v>
      </c>
      <c r="I2329" s="89">
        <f>MONTH(Tabela1[[#This Row],[Data de Validade]])</f>
        <v>5</v>
      </c>
      <c r="J2329" s="101">
        <v>94015</v>
      </c>
      <c r="K2329" s="87" t="s">
        <v>14</v>
      </c>
      <c r="L2329" s="108"/>
      <c r="M2329" s="108"/>
      <c r="N2329" s="108" t="str">
        <v>P147H481</v>
      </c>
      <c r="O2329" s="108">
        <f t="shared" si="38"/>
        <v>1</v>
      </c>
      <c r="P2329" s="108"/>
      <c r="Q2329"/>
    </row>
    <row r="2330" spans="1:17" x14ac:dyDescent="0.25">
      <c r="A2330" s="89" t="s">
        <v>5000</v>
      </c>
      <c r="B2330" s="87" t="s">
        <v>5001</v>
      </c>
      <c r="C2330" s="87" t="s">
        <v>6</v>
      </c>
      <c r="D2330" s="87" t="str">
        <f>VLOOKUP(Tabela1[[#This Row],[Origem]], 'Perguntas 1 a 24'!$J$28:$K$34, 2, 0)</f>
        <v>Nordeste</v>
      </c>
      <c r="E2330" s="87" t="str">
        <f>Tabela1[[#This Row],[Descrição]]&amp;"-"&amp;Tabela1[[#This Row],[Código]]&amp;"/"&amp;Tabela1[[#This Row],[Origem]]</f>
        <v>Pacamuce-P147H481/MA</v>
      </c>
      <c r="F2330" s="88">
        <v>46882</v>
      </c>
      <c r="G2330" s="88" t="str" cm="1">
        <f t="array" ref="G23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AND(F2330&gt;= DATE(2026,1,1), F2330&lt;= DATE(2028, 12, 31), J2330&gt;50000), "Pendente e Caro", AND(F2330&gt;= DATE(2026,1,1), F2330&lt;= DATE(2028, 12, 31), J2330&lt;=50000), "Pendente", F2330&gt;= DATE(2029,1,1), "Não prioeitário")</f>
        <v>Pendente e Caro</v>
      </c>
      <c r="H2330" s="89">
        <f>YEAR(Tabela1[[#This Row],[Data de Validade]])</f>
        <v>2028</v>
      </c>
      <c r="I2330" s="89">
        <f>MONTH(Tabela1[[#This Row],[Data de Validade]])</f>
        <v>5</v>
      </c>
      <c r="J2330" s="101">
        <v>80029</v>
      </c>
      <c r="K2330" s="87" t="s">
        <v>14</v>
      </c>
      <c r="L2330" s="108"/>
      <c r="M2330" s="108"/>
      <c r="N2330" s="108" t="str">
        <v>H667H962</v>
      </c>
      <c r="O2330" s="108">
        <f t="shared" si="38"/>
        <v>1</v>
      </c>
      <c r="P2330" s="108"/>
      <c r="Q2330"/>
    </row>
    <row r="2331" spans="1:17" x14ac:dyDescent="0.25">
      <c r="A2331" s="89" t="s">
        <v>7918</v>
      </c>
      <c r="B2331" s="87" t="s">
        <v>7919</v>
      </c>
      <c r="C2331" s="87" t="s">
        <v>6</v>
      </c>
      <c r="D2331" s="87" t="str">
        <f>VLOOKUP(Tabela1[[#This Row],[Origem]], 'Perguntas 1 a 24'!$J$28:$K$34, 2, 0)</f>
        <v>Nordeste</v>
      </c>
      <c r="E2331" s="87" t="str">
        <f>Tabela1[[#This Row],[Descrição]]&amp;"-"&amp;Tabela1[[#This Row],[Código]]&amp;"/"&amp;Tabela1[[#This Row],[Origem]]</f>
        <v>Vovopa-H667H962/MA</v>
      </c>
      <c r="F2331" s="88">
        <v>46882</v>
      </c>
      <c r="G2331" s="88" t="str" cm="1">
        <f t="array" ref="G23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AND(F2331&gt;= DATE(2026,1,1), F2331&lt;= DATE(2028, 12, 31), J2331&gt;50000), "Pendente e Caro", AND(F2331&gt;= DATE(2026,1,1), F2331&lt;= DATE(2028, 12, 31), J2331&lt;=50000), "Pendente", F2331&gt;= DATE(2029,1,1), "Não prioeitário")</f>
        <v>Pendente e Caro</v>
      </c>
      <c r="H2331" s="89">
        <f>YEAR(Tabela1[[#This Row],[Data de Validade]])</f>
        <v>2028</v>
      </c>
      <c r="I2331" s="89">
        <f>MONTH(Tabela1[[#This Row],[Data de Validade]])</f>
        <v>5</v>
      </c>
      <c r="J2331" s="101">
        <v>77121</v>
      </c>
      <c r="K2331" s="87" t="s">
        <v>9</v>
      </c>
      <c r="L2331" s="108"/>
      <c r="M2331" s="108"/>
      <c r="N2331" s="108" t="str">
        <v>P847P285</v>
      </c>
      <c r="O2331" s="108">
        <f t="shared" si="38"/>
        <v>1</v>
      </c>
      <c r="P2331" s="108"/>
      <c r="Q2331"/>
    </row>
    <row r="2332" spans="1:17" x14ac:dyDescent="0.25">
      <c r="A2332" s="89" t="s">
        <v>5700</v>
      </c>
      <c r="B2332" s="87" t="s">
        <v>5701</v>
      </c>
      <c r="C2332" s="87" t="s">
        <v>10</v>
      </c>
      <c r="D2332" s="87" t="str">
        <f>VLOOKUP(Tabela1[[#This Row],[Origem]], 'Perguntas 1 a 24'!$J$28:$K$34, 2, 0)</f>
        <v>Centro-Oeste</v>
      </c>
      <c r="E2332" s="87" t="str">
        <f>Tabela1[[#This Row],[Descrição]]&amp;"-"&amp;Tabela1[[#This Row],[Código]]&amp;"/"&amp;Tabela1[[#This Row],[Origem]]</f>
        <v>Vutuve-P847P285/GO</v>
      </c>
      <c r="F2332" s="88">
        <v>46883</v>
      </c>
      <c r="G2332" s="88" t="str" cm="1">
        <f t="array" ref="G23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AND(F2332&gt;= DATE(2026,1,1), F2332&lt;= DATE(2028, 12, 31), J2332&gt;50000), "Pendente e Caro", AND(F2332&gt;= DATE(2026,1,1), F2332&lt;= DATE(2028, 12, 31), J2332&lt;=50000), "Pendente", F2332&gt;= DATE(2029,1,1), "Não prioeitário")</f>
        <v>Pendente e Caro</v>
      </c>
      <c r="H2332" s="89">
        <f>YEAR(Tabela1[[#This Row],[Data de Validade]])</f>
        <v>2028</v>
      </c>
      <c r="I2332" s="89">
        <f>MONTH(Tabela1[[#This Row],[Data de Validade]])</f>
        <v>5</v>
      </c>
      <c r="J2332" s="101">
        <v>74226</v>
      </c>
      <c r="K2332" s="87" t="s">
        <v>14</v>
      </c>
      <c r="L2332" s="108"/>
      <c r="M2332" s="108"/>
      <c r="N2332" s="108" t="str">
        <v>P758P848</v>
      </c>
      <c r="O2332" s="108">
        <f t="shared" si="38"/>
        <v>1</v>
      </c>
      <c r="P2332" s="108"/>
      <c r="Q2332"/>
    </row>
    <row r="2333" spans="1:17" x14ac:dyDescent="0.25">
      <c r="A2333" s="89" t="s">
        <v>7878</v>
      </c>
      <c r="B2333" s="87" t="s">
        <v>7879</v>
      </c>
      <c r="C2333" s="87" t="s">
        <v>15</v>
      </c>
      <c r="D2333" s="87" t="str">
        <f>VLOOKUP(Tabela1[[#This Row],[Origem]], 'Perguntas 1 a 24'!$J$28:$K$34, 2, 0)</f>
        <v>Sudeste</v>
      </c>
      <c r="E2333" s="87" t="str">
        <f>Tabela1[[#This Row],[Descrição]]&amp;"-"&amp;Tabela1[[#This Row],[Código]]&amp;"/"&amp;Tabela1[[#This Row],[Origem]]</f>
        <v>Remavilame-P758P848/ES</v>
      </c>
      <c r="F2333" s="88">
        <v>46883</v>
      </c>
      <c r="G2333" s="88" t="str" cm="1">
        <f t="array" ref="G23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AND(F2333&gt;= DATE(2026,1,1), F2333&lt;= DATE(2028, 12, 31), J2333&gt;50000), "Pendente e Caro", AND(F2333&gt;= DATE(2026,1,1), F2333&lt;= DATE(2028, 12, 31), J2333&lt;=50000), "Pendente", F2333&gt;= DATE(2029,1,1), "Não prioeitário")</f>
        <v>Pendente e Caro</v>
      </c>
      <c r="H2333" s="89">
        <f>YEAR(Tabela1[[#This Row],[Data de Validade]])</f>
        <v>2028</v>
      </c>
      <c r="I2333" s="89">
        <f>MONTH(Tabela1[[#This Row],[Data de Validade]])</f>
        <v>5</v>
      </c>
      <c r="J2333" s="101">
        <v>70950</v>
      </c>
      <c r="K2333" s="87" t="s">
        <v>7</v>
      </c>
      <c r="L2333" s="108"/>
      <c r="M2333" s="108"/>
      <c r="N2333" s="108" t="str">
        <v>P522H295</v>
      </c>
      <c r="O2333" s="108">
        <f t="shared" si="38"/>
        <v>1</v>
      </c>
      <c r="P2333" s="108"/>
      <c r="Q2333"/>
    </row>
    <row r="2334" spans="1:17" x14ac:dyDescent="0.25">
      <c r="A2334" s="89" t="s">
        <v>9815</v>
      </c>
      <c r="B2334" s="87" t="s">
        <v>9816</v>
      </c>
      <c r="C2334" s="87" t="s">
        <v>15</v>
      </c>
      <c r="D2334" s="87" t="str">
        <f>VLOOKUP(Tabela1[[#This Row],[Origem]], 'Perguntas 1 a 24'!$J$28:$K$34, 2, 0)</f>
        <v>Sudeste</v>
      </c>
      <c r="E2334" s="87" t="str">
        <f>Tabela1[[#This Row],[Descrição]]&amp;"-"&amp;Tabela1[[#This Row],[Código]]&amp;"/"&amp;Tabela1[[#This Row],[Origem]]</f>
        <v>Giditepo-P522H295/ES</v>
      </c>
      <c r="F2334" s="88">
        <v>46885</v>
      </c>
      <c r="G2334" s="88" t="str" cm="1">
        <f t="array" ref="G23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AND(F2334&gt;= DATE(2026,1,1), F2334&lt;= DATE(2028, 12, 31), J2334&gt;50000), "Pendente e Caro", AND(F2334&gt;= DATE(2026,1,1), F2334&lt;= DATE(2028, 12, 31), J2334&lt;=50000), "Pendente", F2334&gt;= DATE(2029,1,1), "Não prioeitário")</f>
        <v>Pendente e Caro</v>
      </c>
      <c r="H2334" s="89">
        <f>YEAR(Tabela1[[#This Row],[Data de Validade]])</f>
        <v>2028</v>
      </c>
      <c r="I2334" s="89">
        <f>MONTH(Tabela1[[#This Row],[Data de Validade]])</f>
        <v>5</v>
      </c>
      <c r="J2334" s="101">
        <v>67055</v>
      </c>
      <c r="K2334" s="87" t="s">
        <v>9</v>
      </c>
      <c r="L2334" s="108"/>
      <c r="M2334" s="108"/>
      <c r="N2334" s="108" t="str">
        <v>H312P762</v>
      </c>
      <c r="O2334" s="108">
        <f t="shared" si="38"/>
        <v>1</v>
      </c>
      <c r="P2334" s="108"/>
      <c r="Q2334"/>
    </row>
    <row r="2335" spans="1:17" x14ac:dyDescent="0.25">
      <c r="A2335" s="89" t="s">
        <v>7508</v>
      </c>
      <c r="B2335" s="87" t="s">
        <v>7509</v>
      </c>
      <c r="C2335" s="87" t="s">
        <v>8</v>
      </c>
      <c r="D2335" s="87" t="str">
        <f>VLOOKUP(Tabela1[[#This Row],[Origem]], 'Perguntas 1 a 24'!$J$28:$K$34, 2, 0)</f>
        <v>Nordeste</v>
      </c>
      <c r="E2335" s="87" t="str">
        <f>Tabela1[[#This Row],[Descrição]]&amp;"-"&amp;Tabela1[[#This Row],[Código]]&amp;"/"&amp;Tabela1[[#This Row],[Origem]]</f>
        <v>Rotupa-H312P762/AL</v>
      </c>
      <c r="F2335" s="88">
        <v>46885</v>
      </c>
      <c r="G2335" s="88" t="str" cm="1">
        <f t="array" ref="G23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AND(F2335&gt;= DATE(2026,1,1), F2335&lt;= DATE(2028, 12, 31), J2335&gt;50000), "Pendente e Caro", AND(F2335&gt;= DATE(2026,1,1), F2335&lt;= DATE(2028, 12, 31), J2335&lt;=50000), "Pendente", F2335&gt;= DATE(2029,1,1), "Não prioeitário")</f>
        <v>Pendente</v>
      </c>
      <c r="H2335" s="89">
        <f>YEAR(Tabela1[[#This Row],[Data de Validade]])</f>
        <v>2028</v>
      </c>
      <c r="I2335" s="89">
        <f>MONTH(Tabela1[[#This Row],[Data de Validade]])</f>
        <v>5</v>
      </c>
      <c r="J2335" s="101">
        <v>25254</v>
      </c>
      <c r="K2335" s="87" t="s">
        <v>7</v>
      </c>
      <c r="L2335" s="108"/>
      <c r="M2335" s="108"/>
      <c r="N2335" s="108" t="str">
        <v>H232P355</v>
      </c>
      <c r="O2335" s="108">
        <f t="shared" si="38"/>
        <v>1</v>
      </c>
      <c r="P2335" s="108"/>
      <c r="Q2335"/>
    </row>
    <row r="2336" spans="1:17" x14ac:dyDescent="0.25">
      <c r="A2336" s="89" t="s">
        <v>8917</v>
      </c>
      <c r="B2336" s="87" t="s">
        <v>8918</v>
      </c>
      <c r="C2336" s="87" t="s">
        <v>12</v>
      </c>
      <c r="D2336" s="87" t="str">
        <f>VLOOKUP(Tabela1[[#This Row],[Origem]], 'Perguntas 1 a 24'!$J$28:$K$34, 2, 0)</f>
        <v>Sudeste</v>
      </c>
      <c r="E2336" s="87" t="str">
        <f>Tabela1[[#This Row],[Descrição]]&amp;"-"&amp;Tabela1[[#This Row],[Código]]&amp;"/"&amp;Tabela1[[#This Row],[Origem]]</f>
        <v>Tepimopoti-H232P355/RJ</v>
      </c>
      <c r="F2336" s="88">
        <v>46886</v>
      </c>
      <c r="G2336" s="88" t="str" cm="1">
        <f t="array" ref="G23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AND(F2336&gt;= DATE(2026,1,1), F2336&lt;= DATE(2028, 12, 31), J2336&gt;50000), "Pendente e Caro", AND(F2336&gt;= DATE(2026,1,1), F2336&lt;= DATE(2028, 12, 31), J2336&lt;=50000), "Pendente", F2336&gt;= DATE(2029,1,1), "Não prioeitário")</f>
        <v>Pendente e Caro</v>
      </c>
      <c r="H2336" s="89">
        <f>YEAR(Tabela1[[#This Row],[Data de Validade]])</f>
        <v>2028</v>
      </c>
      <c r="I2336" s="89">
        <f>MONTH(Tabela1[[#This Row],[Data de Validade]])</f>
        <v>5</v>
      </c>
      <c r="J2336" s="101">
        <v>98572</v>
      </c>
      <c r="K2336" s="87" t="s">
        <v>14</v>
      </c>
      <c r="L2336" s="108"/>
      <c r="M2336" s="108"/>
      <c r="N2336" s="108" t="str">
        <v>H616P493</v>
      </c>
      <c r="O2336" s="108">
        <f t="shared" si="38"/>
        <v>1</v>
      </c>
      <c r="P2336" s="108"/>
      <c r="Q2336"/>
    </row>
    <row r="2337" spans="1:17" x14ac:dyDescent="0.25">
      <c r="A2337" s="89" t="s">
        <v>5302</v>
      </c>
      <c r="B2337" s="87" t="s">
        <v>5303</v>
      </c>
      <c r="C2337" s="87" t="s">
        <v>6</v>
      </c>
      <c r="D2337" s="87" t="str">
        <f>VLOOKUP(Tabela1[[#This Row],[Origem]], 'Perguntas 1 a 24'!$J$28:$K$34, 2, 0)</f>
        <v>Nordeste</v>
      </c>
      <c r="E2337" s="87" t="str">
        <f>Tabela1[[#This Row],[Descrição]]&amp;"-"&amp;Tabela1[[#This Row],[Código]]&amp;"/"&amp;Tabela1[[#This Row],[Origem]]</f>
        <v>Fucocenuvo-H616P493/MA</v>
      </c>
      <c r="F2337" s="88">
        <v>46886</v>
      </c>
      <c r="G2337" s="88" t="str" cm="1">
        <f t="array" ref="G23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AND(F2337&gt;= DATE(2026,1,1), F2337&lt;= DATE(2028, 12, 31), J2337&gt;50000), "Pendente e Caro", AND(F2337&gt;= DATE(2026,1,1), F2337&lt;= DATE(2028, 12, 31), J2337&lt;=50000), "Pendente", F2337&gt;= DATE(2029,1,1), "Não prioeitário")</f>
        <v>Pendente e Caro</v>
      </c>
      <c r="H2337" s="89">
        <f>YEAR(Tabela1[[#This Row],[Data de Validade]])</f>
        <v>2028</v>
      </c>
      <c r="I2337" s="89">
        <f>MONTH(Tabela1[[#This Row],[Data de Validade]])</f>
        <v>5</v>
      </c>
      <c r="J2337" s="101">
        <v>65723</v>
      </c>
      <c r="K2337" s="87" t="s">
        <v>7</v>
      </c>
      <c r="L2337" s="108"/>
      <c r="M2337" s="108"/>
      <c r="N2337" s="108" t="str">
        <v>P599P292</v>
      </c>
      <c r="O2337" s="108">
        <f t="shared" si="38"/>
        <v>1</v>
      </c>
      <c r="P2337" s="108"/>
      <c r="Q2337"/>
    </row>
    <row r="2338" spans="1:17" x14ac:dyDescent="0.25">
      <c r="A2338" s="89" t="s">
        <v>10005</v>
      </c>
      <c r="B2338" s="87" t="s">
        <v>10006</v>
      </c>
      <c r="C2338" s="87" t="s">
        <v>8</v>
      </c>
      <c r="D2338" s="87" t="str">
        <f>VLOOKUP(Tabela1[[#This Row],[Origem]], 'Perguntas 1 a 24'!$J$28:$K$34, 2, 0)</f>
        <v>Nordeste</v>
      </c>
      <c r="E2338" s="87" t="str">
        <f>Tabela1[[#This Row],[Descrição]]&amp;"-"&amp;Tabela1[[#This Row],[Código]]&amp;"/"&amp;Tabela1[[#This Row],[Origem]]</f>
        <v>Letanaro-P599P292/AL</v>
      </c>
      <c r="F2338" s="88">
        <v>46886</v>
      </c>
      <c r="G2338" s="88" t="str" cm="1">
        <f t="array" ref="G23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AND(F2338&gt;= DATE(2026,1,1), F2338&lt;= DATE(2028, 12, 31), J2338&gt;50000), "Pendente e Caro", AND(F2338&gt;= DATE(2026,1,1), F2338&lt;= DATE(2028, 12, 31), J2338&lt;=50000), "Pendente", F2338&gt;= DATE(2029,1,1), "Não prioeitário")</f>
        <v>Pendente</v>
      </c>
      <c r="H2338" s="89">
        <f>YEAR(Tabela1[[#This Row],[Data de Validade]])</f>
        <v>2028</v>
      </c>
      <c r="I2338" s="89">
        <f>MONTH(Tabela1[[#This Row],[Data de Validade]])</f>
        <v>5</v>
      </c>
      <c r="J2338" s="101">
        <v>25940</v>
      </c>
      <c r="K2338" s="87" t="s">
        <v>7</v>
      </c>
      <c r="L2338" s="108"/>
      <c r="M2338" s="108"/>
      <c r="N2338" s="108" t="str">
        <v>P528H535</v>
      </c>
      <c r="O2338" s="108">
        <f t="shared" si="38"/>
        <v>1</v>
      </c>
      <c r="P2338" s="108"/>
      <c r="Q2338"/>
    </row>
    <row r="2339" spans="1:17" x14ac:dyDescent="0.25">
      <c r="A2339" s="89" t="s">
        <v>3716</v>
      </c>
      <c r="B2339" s="87" t="s">
        <v>3717</v>
      </c>
      <c r="C2339" s="87" t="s">
        <v>16</v>
      </c>
      <c r="D2339" s="87" t="str">
        <f>VLOOKUP(Tabela1[[#This Row],[Origem]], 'Perguntas 1 a 24'!$J$28:$K$34, 2, 0)</f>
        <v>Sudeste</v>
      </c>
      <c r="E2339" s="87" t="str">
        <f>Tabela1[[#This Row],[Descrição]]&amp;"-"&amp;Tabela1[[#This Row],[Código]]&amp;"/"&amp;Tabela1[[#This Row],[Origem]]</f>
        <v>Medanolu-P528H535/MG</v>
      </c>
      <c r="F2339" s="88">
        <v>46888</v>
      </c>
      <c r="G2339" s="88" t="str" cm="1">
        <f t="array" ref="G23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AND(F2339&gt;= DATE(2026,1,1), F2339&lt;= DATE(2028, 12, 31), J2339&gt;50000), "Pendente e Caro", AND(F2339&gt;= DATE(2026,1,1), F2339&lt;= DATE(2028, 12, 31), J2339&lt;=50000), "Pendente", F2339&gt;= DATE(2029,1,1), "Não prioeitário")</f>
        <v>Pendente e Caro</v>
      </c>
      <c r="H2339" s="89">
        <f>YEAR(Tabela1[[#This Row],[Data de Validade]])</f>
        <v>2028</v>
      </c>
      <c r="I2339" s="89">
        <f>MONTH(Tabela1[[#This Row],[Data de Validade]])</f>
        <v>5</v>
      </c>
      <c r="J2339" s="101">
        <v>100153</v>
      </c>
      <c r="K2339" s="87" t="s">
        <v>7</v>
      </c>
      <c r="L2339" s="108"/>
      <c r="M2339" s="108"/>
      <c r="N2339" s="108" t="str">
        <v>H856P624</v>
      </c>
      <c r="O2339" s="108">
        <f t="shared" si="38"/>
        <v>1</v>
      </c>
      <c r="P2339" s="108"/>
      <c r="Q2339"/>
    </row>
    <row r="2340" spans="1:17" x14ac:dyDescent="0.25">
      <c r="A2340" s="89" t="s">
        <v>3854</v>
      </c>
      <c r="B2340" s="87" t="s">
        <v>3855</v>
      </c>
      <c r="C2340" s="87" t="s">
        <v>13</v>
      </c>
      <c r="D2340" s="87" t="str">
        <f>VLOOKUP(Tabela1[[#This Row],[Origem]], 'Perguntas 1 a 24'!$J$28:$K$34, 2, 0)</f>
        <v>Sudeste</v>
      </c>
      <c r="E2340" s="87" t="str">
        <f>Tabela1[[#This Row],[Descrição]]&amp;"-"&amp;Tabela1[[#This Row],[Código]]&amp;"/"&amp;Tabela1[[#This Row],[Origem]]</f>
        <v>Lapuroci-H856P624/SP</v>
      </c>
      <c r="F2340" s="88">
        <v>46889</v>
      </c>
      <c r="G2340" s="88" t="str" cm="1">
        <f t="array" ref="G23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AND(F2340&gt;= DATE(2026,1,1), F2340&lt;= DATE(2028, 12, 31), J2340&gt;50000), "Pendente e Caro", AND(F2340&gt;= DATE(2026,1,1), F2340&lt;= DATE(2028, 12, 31), J2340&lt;=50000), "Pendente", F2340&gt;= DATE(2029,1,1), "Não prioeitário")</f>
        <v>Pendente e Caro</v>
      </c>
      <c r="H2340" s="89">
        <f>YEAR(Tabela1[[#This Row],[Data de Validade]])</f>
        <v>2028</v>
      </c>
      <c r="I2340" s="89">
        <f>MONTH(Tabela1[[#This Row],[Data de Validade]])</f>
        <v>5</v>
      </c>
      <c r="J2340" s="101">
        <v>109477</v>
      </c>
      <c r="K2340" s="87" t="s">
        <v>14</v>
      </c>
      <c r="L2340" s="108"/>
      <c r="M2340" s="108"/>
      <c r="N2340" s="108" t="str">
        <v>H486P656</v>
      </c>
      <c r="O2340" s="108">
        <f t="shared" si="38"/>
        <v>1</v>
      </c>
      <c r="P2340" s="108"/>
      <c r="Q2340"/>
    </row>
    <row r="2341" spans="1:17" x14ac:dyDescent="0.25">
      <c r="A2341" s="89" t="s">
        <v>8757</v>
      </c>
      <c r="B2341" s="87" t="s">
        <v>8758</v>
      </c>
      <c r="C2341" s="87" t="s">
        <v>10</v>
      </c>
      <c r="D2341" s="87" t="str">
        <f>VLOOKUP(Tabela1[[#This Row],[Origem]], 'Perguntas 1 a 24'!$J$28:$K$34, 2, 0)</f>
        <v>Centro-Oeste</v>
      </c>
      <c r="E2341" s="87" t="str">
        <f>Tabela1[[#This Row],[Descrição]]&amp;"-"&amp;Tabela1[[#This Row],[Código]]&amp;"/"&amp;Tabela1[[#This Row],[Origem]]</f>
        <v>Tefalo-H486P656/GO</v>
      </c>
      <c r="F2341" s="88">
        <v>46889</v>
      </c>
      <c r="G2341" s="88" t="str" cm="1">
        <f t="array" ref="G23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AND(F2341&gt;= DATE(2026,1,1), F2341&lt;= DATE(2028, 12, 31), J2341&gt;50000), "Pendente e Caro", AND(F2341&gt;= DATE(2026,1,1), F2341&lt;= DATE(2028, 12, 31), J2341&lt;=50000), "Pendente", F2341&gt;= DATE(2029,1,1), "Não prioeitário")</f>
        <v>Pendente e Caro</v>
      </c>
      <c r="H2341" s="89">
        <f>YEAR(Tabela1[[#This Row],[Data de Validade]])</f>
        <v>2028</v>
      </c>
      <c r="I2341" s="89">
        <f>MONTH(Tabela1[[#This Row],[Data de Validade]])</f>
        <v>5</v>
      </c>
      <c r="J2341" s="101">
        <v>93983</v>
      </c>
      <c r="K2341" s="87" t="s">
        <v>14</v>
      </c>
      <c r="L2341" s="108"/>
      <c r="M2341" s="108"/>
      <c r="N2341" s="108" t="str">
        <v>H823H685</v>
      </c>
      <c r="O2341" s="108">
        <f t="shared" si="38"/>
        <v>1</v>
      </c>
      <c r="P2341" s="108"/>
      <c r="Q2341"/>
    </row>
    <row r="2342" spans="1:17" x14ac:dyDescent="0.25">
      <c r="A2342" s="89" t="s">
        <v>4838</v>
      </c>
      <c r="B2342" s="87" t="s">
        <v>4839</v>
      </c>
      <c r="C2342" s="87" t="s">
        <v>13</v>
      </c>
      <c r="D2342" s="87" t="str">
        <f>VLOOKUP(Tabela1[[#This Row],[Origem]], 'Perguntas 1 a 24'!$J$28:$K$34, 2, 0)</f>
        <v>Sudeste</v>
      </c>
      <c r="E2342" s="87" t="str">
        <f>Tabela1[[#This Row],[Descrição]]&amp;"-"&amp;Tabela1[[#This Row],[Código]]&amp;"/"&amp;Tabela1[[#This Row],[Origem]]</f>
        <v>Pidoni-H823H685/SP</v>
      </c>
      <c r="F2342" s="88">
        <v>46890</v>
      </c>
      <c r="G2342" s="88" t="str" cm="1">
        <f t="array" ref="G23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AND(F2342&gt;= DATE(2026,1,1), F2342&lt;= DATE(2028, 12, 31), J2342&gt;50000), "Pendente e Caro", AND(F2342&gt;= DATE(2026,1,1), F2342&lt;= DATE(2028, 12, 31), J2342&lt;=50000), "Pendente", F2342&gt;= DATE(2029,1,1), "Não prioeitário")</f>
        <v>Pendente e Caro</v>
      </c>
      <c r="H2342" s="89">
        <f>YEAR(Tabela1[[#This Row],[Data de Validade]])</f>
        <v>2028</v>
      </c>
      <c r="I2342" s="89">
        <f>MONTH(Tabela1[[#This Row],[Data de Validade]])</f>
        <v>5</v>
      </c>
      <c r="J2342" s="101">
        <v>77194</v>
      </c>
      <c r="K2342" s="87" t="s">
        <v>9</v>
      </c>
      <c r="L2342" s="108"/>
      <c r="M2342" s="108"/>
      <c r="N2342" s="108" t="str">
        <v>P891H222</v>
      </c>
      <c r="O2342" s="108">
        <f t="shared" si="38"/>
        <v>1</v>
      </c>
      <c r="P2342" s="108"/>
      <c r="Q2342"/>
    </row>
    <row r="2343" spans="1:17" x14ac:dyDescent="0.25">
      <c r="A2343" s="89" t="s">
        <v>9911</v>
      </c>
      <c r="B2343" s="87" t="s">
        <v>9912</v>
      </c>
      <c r="C2343" s="87" t="s">
        <v>13</v>
      </c>
      <c r="D2343" s="87" t="str">
        <f>VLOOKUP(Tabela1[[#This Row],[Origem]], 'Perguntas 1 a 24'!$J$28:$K$34, 2, 0)</f>
        <v>Sudeste</v>
      </c>
      <c r="E2343" s="87" t="str">
        <f>Tabela1[[#This Row],[Descrição]]&amp;"-"&amp;Tabela1[[#This Row],[Código]]&amp;"/"&amp;Tabela1[[#This Row],[Origem]]</f>
        <v>Cademilita-P891H222/SP</v>
      </c>
      <c r="F2343" s="88">
        <v>46891</v>
      </c>
      <c r="G2343" s="88" t="str" cm="1">
        <f t="array" ref="G23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AND(F2343&gt;= DATE(2026,1,1), F2343&lt;= DATE(2028, 12, 31), J2343&gt;50000), "Pendente e Caro", AND(F2343&gt;= DATE(2026,1,1), F2343&lt;= DATE(2028, 12, 31), J2343&lt;=50000), "Pendente", F2343&gt;= DATE(2029,1,1), "Não prioeitário")</f>
        <v>Pendente e Caro</v>
      </c>
      <c r="H2343" s="89">
        <f>YEAR(Tabela1[[#This Row],[Data de Validade]])</f>
        <v>2028</v>
      </c>
      <c r="I2343" s="89">
        <f>MONTH(Tabela1[[#This Row],[Data de Validade]])</f>
        <v>5</v>
      </c>
      <c r="J2343" s="101">
        <v>77698</v>
      </c>
      <c r="K2343" s="87" t="s">
        <v>7</v>
      </c>
      <c r="L2343" s="108"/>
      <c r="M2343" s="108"/>
      <c r="N2343" s="108" t="str">
        <v>P442H659</v>
      </c>
      <c r="O2343" s="108">
        <f t="shared" si="38"/>
        <v>1</v>
      </c>
      <c r="P2343" s="108"/>
      <c r="Q2343"/>
    </row>
    <row r="2344" spans="1:17" x14ac:dyDescent="0.25">
      <c r="A2344" s="89" t="s">
        <v>8276</v>
      </c>
      <c r="B2344" s="87" t="s">
        <v>8277</v>
      </c>
      <c r="C2344" s="87" t="s">
        <v>8</v>
      </c>
      <c r="D2344" s="87" t="str">
        <f>VLOOKUP(Tabela1[[#This Row],[Origem]], 'Perguntas 1 a 24'!$J$28:$K$34, 2, 0)</f>
        <v>Nordeste</v>
      </c>
      <c r="E2344" s="87" t="str">
        <f>Tabela1[[#This Row],[Descrição]]&amp;"-"&amp;Tabela1[[#This Row],[Código]]&amp;"/"&amp;Tabela1[[#This Row],[Origem]]</f>
        <v>Darepitono-P442H659/AL</v>
      </c>
      <c r="F2344" s="88">
        <v>46891</v>
      </c>
      <c r="G2344" s="88" t="str" cm="1">
        <f t="array" ref="G23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AND(F2344&gt;= DATE(2026,1,1), F2344&lt;= DATE(2028, 12, 31), J2344&gt;50000), "Pendente e Caro", AND(F2344&gt;= DATE(2026,1,1), F2344&lt;= DATE(2028, 12, 31), J2344&lt;=50000), "Pendente", F2344&gt;= DATE(2029,1,1), "Não prioeitário")</f>
        <v>Pendente e Caro</v>
      </c>
      <c r="H2344" s="89">
        <f>YEAR(Tabela1[[#This Row],[Data de Validade]])</f>
        <v>2028</v>
      </c>
      <c r="I2344" s="89">
        <f>MONTH(Tabela1[[#This Row],[Data de Validade]])</f>
        <v>5</v>
      </c>
      <c r="J2344" s="101">
        <v>67541</v>
      </c>
      <c r="K2344" s="87" t="s">
        <v>11</v>
      </c>
      <c r="L2344" s="108"/>
      <c r="M2344" s="108"/>
      <c r="N2344" s="108" t="str">
        <v>H899H329</v>
      </c>
      <c r="O2344" s="108">
        <f t="shared" si="38"/>
        <v>1</v>
      </c>
      <c r="P2344" s="108"/>
      <c r="Q2344"/>
    </row>
    <row r="2345" spans="1:17" x14ac:dyDescent="0.25">
      <c r="A2345" s="89" t="s">
        <v>3964</v>
      </c>
      <c r="B2345" s="87" t="s">
        <v>3965</v>
      </c>
      <c r="C2345" s="87" t="s">
        <v>16</v>
      </c>
      <c r="D2345" s="87" t="str">
        <f>VLOOKUP(Tabela1[[#This Row],[Origem]], 'Perguntas 1 a 24'!$J$28:$K$34, 2, 0)</f>
        <v>Sudeste</v>
      </c>
      <c r="E2345" s="87" t="str">
        <f>Tabela1[[#This Row],[Descrição]]&amp;"-"&amp;Tabela1[[#This Row],[Código]]&amp;"/"&amp;Tabela1[[#This Row],[Origem]]</f>
        <v>Rodumi-H899H329/MG</v>
      </c>
      <c r="F2345" s="88">
        <v>46891</v>
      </c>
      <c r="G2345" s="88" t="str" cm="1">
        <f t="array" ref="G23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AND(F2345&gt;= DATE(2026,1,1), F2345&lt;= DATE(2028, 12, 31), J2345&gt;50000), "Pendente e Caro", AND(F2345&gt;= DATE(2026,1,1), F2345&lt;= DATE(2028, 12, 31), J2345&lt;=50000), "Pendente", F2345&gt;= DATE(2029,1,1), "Não prioeitário")</f>
        <v>Pendente e Caro</v>
      </c>
      <c r="H2345" s="89">
        <f>YEAR(Tabela1[[#This Row],[Data de Validade]])</f>
        <v>2028</v>
      </c>
      <c r="I2345" s="89">
        <f>MONTH(Tabela1[[#This Row],[Data de Validade]])</f>
        <v>5</v>
      </c>
      <c r="J2345" s="101">
        <v>65859</v>
      </c>
      <c r="K2345" s="87" t="s">
        <v>9</v>
      </c>
      <c r="L2345" s="108"/>
      <c r="M2345" s="108"/>
      <c r="N2345" s="108" t="str">
        <v>H952P575</v>
      </c>
      <c r="O2345" s="108">
        <f t="shared" si="38"/>
        <v>1</v>
      </c>
      <c r="P2345" s="108"/>
      <c r="Q2345"/>
    </row>
    <row r="2346" spans="1:17" x14ac:dyDescent="0.25">
      <c r="A2346" s="89" t="s">
        <v>5338</v>
      </c>
      <c r="B2346" s="87" t="s">
        <v>5339</v>
      </c>
      <c r="C2346" s="87" t="s">
        <v>13</v>
      </c>
      <c r="D2346" s="87" t="str">
        <f>VLOOKUP(Tabela1[[#This Row],[Origem]], 'Perguntas 1 a 24'!$J$28:$K$34, 2, 0)</f>
        <v>Sudeste</v>
      </c>
      <c r="E2346" s="87" t="str">
        <f>Tabela1[[#This Row],[Descrição]]&amp;"-"&amp;Tabela1[[#This Row],[Código]]&amp;"/"&amp;Tabela1[[#This Row],[Origem]]</f>
        <v>Dopapunu-H952P575/SP</v>
      </c>
      <c r="F2346" s="88">
        <v>46892</v>
      </c>
      <c r="G2346" s="88" t="str" cm="1">
        <f t="array" ref="G23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AND(F2346&gt;= DATE(2026,1,1), F2346&lt;= DATE(2028, 12, 31), J2346&gt;50000), "Pendente e Caro", AND(F2346&gt;= DATE(2026,1,1), F2346&lt;= DATE(2028, 12, 31), J2346&lt;=50000), "Pendente", F2346&gt;= DATE(2029,1,1), "Não prioeitário")</f>
        <v>Pendente e Caro</v>
      </c>
      <c r="H2346" s="89">
        <f>YEAR(Tabela1[[#This Row],[Data de Validade]])</f>
        <v>2028</v>
      </c>
      <c r="I2346" s="89">
        <f>MONTH(Tabela1[[#This Row],[Data de Validade]])</f>
        <v>5</v>
      </c>
      <c r="J2346" s="101">
        <v>62807</v>
      </c>
      <c r="K2346" s="87" t="s">
        <v>7</v>
      </c>
      <c r="L2346" s="108"/>
      <c r="M2346" s="108"/>
      <c r="N2346" s="108" t="str">
        <v>H634H743</v>
      </c>
      <c r="O2346" s="108">
        <f t="shared" si="38"/>
        <v>1</v>
      </c>
      <c r="P2346" s="108"/>
      <c r="Q2346"/>
    </row>
    <row r="2347" spans="1:17" x14ac:dyDescent="0.25">
      <c r="A2347" s="89" t="s">
        <v>9091</v>
      </c>
      <c r="B2347" s="87" t="s">
        <v>9092</v>
      </c>
      <c r="C2347" s="87" t="s">
        <v>13</v>
      </c>
      <c r="D2347" s="87" t="str">
        <f>VLOOKUP(Tabela1[[#This Row],[Origem]], 'Perguntas 1 a 24'!$J$28:$K$34, 2, 0)</f>
        <v>Sudeste</v>
      </c>
      <c r="E2347" s="87" t="str">
        <f>Tabela1[[#This Row],[Descrição]]&amp;"-"&amp;Tabela1[[#This Row],[Código]]&amp;"/"&amp;Tabela1[[#This Row],[Origem]]</f>
        <v>Pomipapitu-H634H743/SP</v>
      </c>
      <c r="F2347" s="88">
        <v>46892</v>
      </c>
      <c r="G2347" s="88" t="str" cm="1">
        <f t="array" ref="G23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AND(F2347&gt;= DATE(2026,1,1), F2347&lt;= DATE(2028, 12, 31), J2347&gt;50000), "Pendente e Caro", AND(F2347&gt;= DATE(2026,1,1), F2347&lt;= DATE(2028, 12, 31), J2347&lt;=50000), "Pendente", F2347&gt;= DATE(2029,1,1), "Não prioeitário")</f>
        <v>Pendente</v>
      </c>
      <c r="H2347" s="89">
        <f>YEAR(Tabela1[[#This Row],[Data de Validade]])</f>
        <v>2028</v>
      </c>
      <c r="I2347" s="89">
        <f>MONTH(Tabela1[[#This Row],[Data de Validade]])</f>
        <v>5</v>
      </c>
      <c r="J2347" s="101">
        <v>37806</v>
      </c>
      <c r="K2347" s="87" t="s">
        <v>14</v>
      </c>
      <c r="L2347" s="108"/>
      <c r="M2347" s="108"/>
      <c r="N2347" s="108" t="str">
        <v>H254H637</v>
      </c>
      <c r="O2347" s="108">
        <f t="shared" si="38"/>
        <v>1</v>
      </c>
      <c r="P2347" s="108"/>
      <c r="Q2347"/>
    </row>
    <row r="2348" spans="1:17" x14ac:dyDescent="0.25">
      <c r="A2348" s="89" t="s">
        <v>8062</v>
      </c>
      <c r="B2348" s="87" t="s">
        <v>8063</v>
      </c>
      <c r="C2348" s="87" t="s">
        <v>6</v>
      </c>
      <c r="D2348" s="87" t="str">
        <f>VLOOKUP(Tabela1[[#This Row],[Origem]], 'Perguntas 1 a 24'!$J$28:$K$34, 2, 0)</f>
        <v>Nordeste</v>
      </c>
      <c r="E2348" s="87" t="str">
        <f>Tabela1[[#This Row],[Descrição]]&amp;"-"&amp;Tabela1[[#This Row],[Código]]&amp;"/"&amp;Tabela1[[#This Row],[Origem]]</f>
        <v>Vocicuvo-H254H637/MA</v>
      </c>
      <c r="F2348" s="88">
        <v>46893</v>
      </c>
      <c r="G2348" s="88" t="str" cm="1">
        <f t="array" ref="G23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AND(F2348&gt;= DATE(2026,1,1), F2348&lt;= DATE(2028, 12, 31), J2348&gt;50000), "Pendente e Caro", AND(F2348&gt;= DATE(2026,1,1), F2348&lt;= DATE(2028, 12, 31), J2348&lt;=50000), "Pendente", F2348&gt;= DATE(2029,1,1), "Não prioeitário")</f>
        <v>Pendente</v>
      </c>
      <c r="H2348" s="89">
        <f>YEAR(Tabela1[[#This Row],[Data de Validade]])</f>
        <v>2028</v>
      </c>
      <c r="I2348" s="89">
        <f>MONTH(Tabela1[[#This Row],[Data de Validade]])</f>
        <v>5</v>
      </c>
      <c r="J2348" s="101">
        <v>22076</v>
      </c>
      <c r="K2348" s="87" t="s">
        <v>14</v>
      </c>
      <c r="L2348" s="108"/>
      <c r="M2348" s="108"/>
      <c r="N2348" s="108" t="str">
        <v>P128H953</v>
      </c>
      <c r="O2348" s="108">
        <f t="shared" si="38"/>
        <v>1</v>
      </c>
      <c r="P2348" s="108"/>
      <c r="Q2348"/>
    </row>
    <row r="2349" spans="1:17" x14ac:dyDescent="0.25">
      <c r="A2349" s="89" t="s">
        <v>3714</v>
      </c>
      <c r="B2349" s="87" t="s">
        <v>3715</v>
      </c>
      <c r="C2349" s="87" t="s">
        <v>6</v>
      </c>
      <c r="D2349" s="87" t="str">
        <f>VLOOKUP(Tabela1[[#This Row],[Origem]], 'Perguntas 1 a 24'!$J$28:$K$34, 2, 0)</f>
        <v>Nordeste</v>
      </c>
      <c r="E2349" s="87" t="str">
        <f>Tabela1[[#This Row],[Descrição]]&amp;"-"&amp;Tabela1[[#This Row],[Código]]&amp;"/"&amp;Tabela1[[#This Row],[Origem]]</f>
        <v>Dufudoru-P128H953/MA</v>
      </c>
      <c r="F2349" s="88">
        <v>46894</v>
      </c>
      <c r="G2349" s="88" t="str" cm="1">
        <f t="array" ref="G23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AND(F2349&gt;= DATE(2026,1,1), F2349&lt;= DATE(2028, 12, 31), J2349&gt;50000), "Pendente e Caro", AND(F2349&gt;= DATE(2026,1,1), F2349&lt;= DATE(2028, 12, 31), J2349&lt;=50000), "Pendente", F2349&gt;= DATE(2029,1,1), "Não prioeitário")</f>
        <v>Pendente e Caro</v>
      </c>
      <c r="H2349" s="89">
        <f>YEAR(Tabela1[[#This Row],[Data de Validade]])</f>
        <v>2028</v>
      </c>
      <c r="I2349" s="89">
        <f>MONTH(Tabela1[[#This Row],[Data de Validade]])</f>
        <v>5</v>
      </c>
      <c r="J2349" s="101">
        <v>77933</v>
      </c>
      <c r="K2349" s="87" t="s">
        <v>7</v>
      </c>
      <c r="L2349" s="108"/>
      <c r="M2349" s="108"/>
      <c r="N2349" s="108" t="str">
        <v>P297H563</v>
      </c>
      <c r="O2349" s="108">
        <f t="shared" si="38"/>
        <v>1</v>
      </c>
      <c r="P2349" s="108"/>
      <c r="Q2349"/>
    </row>
    <row r="2350" spans="1:17" x14ac:dyDescent="0.25">
      <c r="A2350" s="89" t="s">
        <v>6332</v>
      </c>
      <c r="B2350" s="87" t="s">
        <v>6333</v>
      </c>
      <c r="C2350" s="87" t="s">
        <v>15</v>
      </c>
      <c r="D2350" s="87" t="str">
        <f>VLOOKUP(Tabela1[[#This Row],[Origem]], 'Perguntas 1 a 24'!$J$28:$K$34, 2, 0)</f>
        <v>Sudeste</v>
      </c>
      <c r="E2350" s="87" t="str">
        <f>Tabela1[[#This Row],[Descrição]]&amp;"-"&amp;Tabela1[[#This Row],[Código]]&amp;"/"&amp;Tabela1[[#This Row],[Origem]]</f>
        <v>Fevipi-P297H563/ES</v>
      </c>
      <c r="F2350" s="88">
        <v>46895</v>
      </c>
      <c r="G2350" s="88" t="str" cm="1">
        <f t="array" ref="G23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AND(F2350&gt;= DATE(2026,1,1), F2350&lt;= DATE(2028, 12, 31), J2350&gt;50000), "Pendente e Caro", AND(F2350&gt;= DATE(2026,1,1), F2350&lt;= DATE(2028, 12, 31), J2350&lt;=50000), "Pendente", F2350&gt;= DATE(2029,1,1), "Não prioeitário")</f>
        <v>Pendente</v>
      </c>
      <c r="H2350" s="89">
        <f>YEAR(Tabela1[[#This Row],[Data de Validade]])</f>
        <v>2028</v>
      </c>
      <c r="I2350" s="89">
        <f>MONTH(Tabela1[[#This Row],[Data de Validade]])</f>
        <v>5</v>
      </c>
      <c r="J2350" s="101">
        <v>41836</v>
      </c>
      <c r="K2350" s="87" t="s">
        <v>7</v>
      </c>
      <c r="L2350" s="108"/>
      <c r="M2350" s="108"/>
      <c r="N2350" s="108" t="str">
        <v>H754H737</v>
      </c>
      <c r="O2350" s="108">
        <f t="shared" si="38"/>
        <v>1</v>
      </c>
      <c r="P2350" s="108"/>
      <c r="Q2350"/>
    </row>
    <row r="2351" spans="1:17" x14ac:dyDescent="0.25">
      <c r="A2351" s="89" t="s">
        <v>5642</v>
      </c>
      <c r="B2351" s="87" t="s">
        <v>5643</v>
      </c>
      <c r="C2351" s="87" t="s">
        <v>10</v>
      </c>
      <c r="D2351" s="87" t="str">
        <f>VLOOKUP(Tabela1[[#This Row],[Origem]], 'Perguntas 1 a 24'!$J$28:$K$34, 2, 0)</f>
        <v>Centro-Oeste</v>
      </c>
      <c r="E2351" s="87" t="str">
        <f>Tabela1[[#This Row],[Descrição]]&amp;"-"&amp;Tabela1[[#This Row],[Código]]&amp;"/"&amp;Tabela1[[#This Row],[Origem]]</f>
        <v>Tupupitu-H754H737/GO</v>
      </c>
      <c r="F2351" s="88">
        <v>46898</v>
      </c>
      <c r="G2351" s="88" t="str" cm="1">
        <f t="array" ref="G23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AND(F2351&gt;= DATE(2026,1,1), F2351&lt;= DATE(2028, 12, 31), J2351&gt;50000), "Pendente e Caro", AND(F2351&gt;= DATE(2026,1,1), F2351&lt;= DATE(2028, 12, 31), J2351&lt;=50000), "Pendente", F2351&gt;= DATE(2029,1,1), "Não prioeitário")</f>
        <v>Pendente e Caro</v>
      </c>
      <c r="H2351" s="89">
        <f>YEAR(Tabela1[[#This Row],[Data de Validade]])</f>
        <v>2028</v>
      </c>
      <c r="I2351" s="89">
        <f>MONTH(Tabela1[[#This Row],[Data de Validade]])</f>
        <v>5</v>
      </c>
      <c r="J2351" s="101">
        <v>85416</v>
      </c>
      <c r="K2351" s="87" t="s">
        <v>14</v>
      </c>
      <c r="L2351" s="108"/>
      <c r="M2351" s="108"/>
      <c r="N2351" s="108" t="str">
        <v>P835P236</v>
      </c>
      <c r="O2351" s="108">
        <f t="shared" si="38"/>
        <v>1</v>
      </c>
      <c r="P2351" s="108"/>
      <c r="Q2351"/>
    </row>
    <row r="2352" spans="1:17" x14ac:dyDescent="0.25">
      <c r="A2352" s="89" t="s">
        <v>8382</v>
      </c>
      <c r="B2352" s="87" t="s">
        <v>8383</v>
      </c>
      <c r="C2352" s="87" t="s">
        <v>16</v>
      </c>
      <c r="D2352" s="87" t="str">
        <f>VLOOKUP(Tabela1[[#This Row],[Origem]], 'Perguntas 1 a 24'!$J$28:$K$34, 2, 0)</f>
        <v>Sudeste</v>
      </c>
      <c r="E2352" s="87" t="str">
        <f>Tabela1[[#This Row],[Descrição]]&amp;"-"&amp;Tabela1[[#This Row],[Código]]&amp;"/"&amp;Tabela1[[#This Row],[Origem]]</f>
        <v>Donuvorite-P835P236/MG</v>
      </c>
      <c r="F2352" s="88">
        <v>46898</v>
      </c>
      <c r="G2352" s="88" t="str" cm="1">
        <f t="array" ref="G23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AND(F2352&gt;= DATE(2026,1,1), F2352&lt;= DATE(2028, 12, 31), J2352&gt;50000), "Pendente e Caro", AND(F2352&gt;= DATE(2026,1,1), F2352&lt;= DATE(2028, 12, 31), J2352&lt;=50000), "Pendente", F2352&gt;= DATE(2029,1,1), "Não prioeitário")</f>
        <v>Pendente</v>
      </c>
      <c r="H2352" s="89">
        <f>YEAR(Tabela1[[#This Row],[Data de Validade]])</f>
        <v>2028</v>
      </c>
      <c r="I2352" s="89">
        <f>MONTH(Tabela1[[#This Row],[Data de Validade]])</f>
        <v>5</v>
      </c>
      <c r="J2352" s="101">
        <v>21315</v>
      </c>
      <c r="K2352" s="87" t="s">
        <v>11</v>
      </c>
      <c r="L2352" s="108"/>
      <c r="M2352" s="108"/>
      <c r="N2352" s="108" t="str">
        <v>P214H687</v>
      </c>
      <c r="O2352" s="108">
        <f t="shared" si="38"/>
        <v>1</v>
      </c>
      <c r="P2352" s="108"/>
      <c r="Q2352"/>
    </row>
    <row r="2353" spans="1:17" x14ac:dyDescent="0.25">
      <c r="A2353" s="89" t="s">
        <v>8456</v>
      </c>
      <c r="B2353" s="87" t="s">
        <v>8457</v>
      </c>
      <c r="C2353" s="87" t="s">
        <v>13</v>
      </c>
      <c r="D2353" s="87" t="str">
        <f>VLOOKUP(Tabela1[[#This Row],[Origem]], 'Perguntas 1 a 24'!$J$28:$K$34, 2, 0)</f>
        <v>Sudeste</v>
      </c>
      <c r="E2353" s="87" t="str">
        <f>Tabela1[[#This Row],[Descrição]]&amp;"-"&amp;Tabela1[[#This Row],[Código]]&amp;"/"&amp;Tabela1[[#This Row],[Origem]]</f>
        <v>Turureguru-P214H687/SP</v>
      </c>
      <c r="F2353" s="88">
        <v>46899</v>
      </c>
      <c r="G2353" s="88" t="str" cm="1">
        <f t="array" ref="G23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AND(F2353&gt;= DATE(2026,1,1), F2353&lt;= DATE(2028, 12, 31), J2353&gt;50000), "Pendente e Caro", AND(F2353&gt;= DATE(2026,1,1), F2353&lt;= DATE(2028, 12, 31), J2353&lt;=50000), "Pendente", F2353&gt;= DATE(2029,1,1), "Não prioeitário")</f>
        <v>Pendente e Caro</v>
      </c>
      <c r="H2353" s="89">
        <f>YEAR(Tabela1[[#This Row],[Data de Validade]])</f>
        <v>2028</v>
      </c>
      <c r="I2353" s="89">
        <f>MONTH(Tabela1[[#This Row],[Data de Validade]])</f>
        <v>5</v>
      </c>
      <c r="J2353" s="101">
        <v>95523</v>
      </c>
      <c r="K2353" s="87" t="s">
        <v>7</v>
      </c>
      <c r="L2353" s="108"/>
      <c r="M2353" s="108"/>
      <c r="N2353" s="108" t="str">
        <v>P611P418</v>
      </c>
      <c r="O2353" s="108">
        <f t="shared" si="38"/>
        <v>1</v>
      </c>
      <c r="P2353" s="108"/>
      <c r="Q2353"/>
    </row>
    <row r="2354" spans="1:17" x14ac:dyDescent="0.25">
      <c r="A2354" s="89" t="s">
        <v>9611</v>
      </c>
      <c r="B2354" s="87" t="s">
        <v>9612</v>
      </c>
      <c r="C2354" s="87" t="s">
        <v>10</v>
      </c>
      <c r="D2354" s="87" t="str">
        <f>VLOOKUP(Tabela1[[#This Row],[Origem]], 'Perguntas 1 a 24'!$J$28:$K$34, 2, 0)</f>
        <v>Centro-Oeste</v>
      </c>
      <c r="E2354" s="87" t="str">
        <f>Tabela1[[#This Row],[Descrição]]&amp;"-"&amp;Tabela1[[#This Row],[Código]]&amp;"/"&amp;Tabela1[[#This Row],[Origem]]</f>
        <v>Nupireto-P611P418/GO</v>
      </c>
      <c r="F2354" s="88">
        <v>46899</v>
      </c>
      <c r="G2354" s="88" t="str" cm="1">
        <f t="array" ref="G23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AND(F2354&gt;= DATE(2026,1,1), F2354&lt;= DATE(2028, 12, 31), J2354&gt;50000), "Pendente e Caro", AND(F2354&gt;= DATE(2026,1,1), F2354&lt;= DATE(2028, 12, 31), J2354&lt;=50000), "Pendente", F2354&gt;= DATE(2029,1,1), "Não prioeitário")</f>
        <v>Pendente</v>
      </c>
      <c r="H2354" s="89">
        <f>YEAR(Tabela1[[#This Row],[Data de Validade]])</f>
        <v>2028</v>
      </c>
      <c r="I2354" s="89">
        <f>MONTH(Tabela1[[#This Row],[Data de Validade]])</f>
        <v>5</v>
      </c>
      <c r="J2354" s="101">
        <v>46039</v>
      </c>
      <c r="K2354" s="87" t="s">
        <v>9</v>
      </c>
      <c r="L2354" s="108"/>
      <c r="M2354" s="108"/>
      <c r="N2354" s="108" t="str">
        <v>P784H281</v>
      </c>
      <c r="O2354" s="108">
        <f t="shared" si="38"/>
        <v>1</v>
      </c>
      <c r="P2354" s="108"/>
      <c r="Q2354"/>
    </row>
    <row r="2355" spans="1:17" x14ac:dyDescent="0.25">
      <c r="A2355" s="89" t="s">
        <v>8919</v>
      </c>
      <c r="B2355" s="87" t="s">
        <v>8920</v>
      </c>
      <c r="C2355" s="87" t="s">
        <v>13</v>
      </c>
      <c r="D2355" s="87" t="str">
        <f>VLOOKUP(Tabela1[[#This Row],[Origem]], 'Perguntas 1 a 24'!$J$28:$K$34, 2, 0)</f>
        <v>Sudeste</v>
      </c>
      <c r="E2355" s="87" t="str">
        <f>Tabela1[[#This Row],[Descrição]]&amp;"-"&amp;Tabela1[[#This Row],[Código]]&amp;"/"&amp;Tabela1[[#This Row],[Origem]]</f>
        <v>Palelipa-P784H281/SP</v>
      </c>
      <c r="F2355" s="88">
        <v>46902</v>
      </c>
      <c r="G2355" s="88" t="str" cm="1">
        <f t="array" ref="G23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AND(F2355&gt;= DATE(2026,1,1), F2355&lt;= DATE(2028, 12, 31), J2355&gt;50000), "Pendente e Caro", AND(F2355&gt;= DATE(2026,1,1), F2355&lt;= DATE(2028, 12, 31), J2355&lt;=50000), "Pendente", F2355&gt;= DATE(2029,1,1), "Não prioeitário")</f>
        <v>Pendente e Caro</v>
      </c>
      <c r="H2355" s="89">
        <f>YEAR(Tabela1[[#This Row],[Data de Validade]])</f>
        <v>2028</v>
      </c>
      <c r="I2355" s="89">
        <f>MONTH(Tabela1[[#This Row],[Data de Validade]])</f>
        <v>5</v>
      </c>
      <c r="J2355" s="101">
        <v>108843</v>
      </c>
      <c r="K2355" s="87" t="s">
        <v>9</v>
      </c>
      <c r="L2355" s="108"/>
      <c r="M2355" s="108"/>
      <c r="N2355" s="108" t="str">
        <v>P315P332</v>
      </c>
      <c r="O2355" s="108">
        <f t="shared" si="38"/>
        <v>1</v>
      </c>
      <c r="P2355" s="108"/>
      <c r="Q2355"/>
    </row>
    <row r="2356" spans="1:17" x14ac:dyDescent="0.25">
      <c r="A2356" s="89" t="s">
        <v>6328</v>
      </c>
      <c r="B2356" s="87" t="s">
        <v>6329</v>
      </c>
      <c r="C2356" s="87" t="s">
        <v>10</v>
      </c>
      <c r="D2356" s="87" t="str">
        <f>VLOOKUP(Tabela1[[#This Row],[Origem]], 'Perguntas 1 a 24'!$J$28:$K$34, 2, 0)</f>
        <v>Centro-Oeste</v>
      </c>
      <c r="E2356" s="87" t="str">
        <f>Tabela1[[#This Row],[Descrição]]&amp;"-"&amp;Tabela1[[#This Row],[Código]]&amp;"/"&amp;Tabela1[[#This Row],[Origem]]</f>
        <v>Lurage-P315P332/GO</v>
      </c>
      <c r="F2356" s="88">
        <v>46902</v>
      </c>
      <c r="G2356" s="88" t="str" cm="1">
        <f t="array" ref="G23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AND(F2356&gt;= DATE(2026,1,1), F2356&lt;= DATE(2028, 12, 31), J2356&gt;50000), "Pendente e Caro", AND(F2356&gt;= DATE(2026,1,1), F2356&lt;= DATE(2028, 12, 31), J2356&lt;=50000), "Pendente", F2356&gt;= DATE(2029,1,1), "Não prioeitário")</f>
        <v>Pendente e Caro</v>
      </c>
      <c r="H2356" s="89">
        <f>YEAR(Tabela1[[#This Row],[Data de Validade]])</f>
        <v>2028</v>
      </c>
      <c r="I2356" s="89">
        <f>MONTH(Tabela1[[#This Row],[Data de Validade]])</f>
        <v>5</v>
      </c>
      <c r="J2356" s="101">
        <v>92895</v>
      </c>
      <c r="K2356" s="87" t="s">
        <v>9</v>
      </c>
      <c r="L2356" s="108"/>
      <c r="M2356" s="108"/>
      <c r="N2356" s="108" t="str">
        <v>P468P843</v>
      </c>
      <c r="O2356" s="108">
        <f t="shared" si="38"/>
        <v>1</v>
      </c>
      <c r="P2356" s="108"/>
      <c r="Q2356"/>
    </row>
    <row r="2357" spans="1:17" x14ac:dyDescent="0.25">
      <c r="A2357" s="89" t="s">
        <v>9341</v>
      </c>
      <c r="B2357" s="87" t="s">
        <v>9342</v>
      </c>
      <c r="C2357" s="87" t="s">
        <v>10</v>
      </c>
      <c r="D2357" s="87" t="str">
        <f>VLOOKUP(Tabela1[[#This Row],[Origem]], 'Perguntas 1 a 24'!$J$28:$K$34, 2, 0)</f>
        <v>Centro-Oeste</v>
      </c>
      <c r="E2357" s="87" t="str">
        <f>Tabela1[[#This Row],[Descrição]]&amp;"-"&amp;Tabela1[[#This Row],[Código]]&amp;"/"&amp;Tabela1[[#This Row],[Origem]]</f>
        <v>Fucopemo-P468P843/GO</v>
      </c>
      <c r="F2357" s="88">
        <v>46903</v>
      </c>
      <c r="G2357" s="88" t="str" cm="1">
        <f t="array" ref="G23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AND(F2357&gt;= DATE(2026,1,1), F2357&lt;= DATE(2028, 12, 31), J2357&gt;50000), "Pendente e Caro", AND(F2357&gt;= DATE(2026,1,1), F2357&lt;= DATE(2028, 12, 31), J2357&lt;=50000), "Pendente", F2357&gt;= DATE(2029,1,1), "Não prioeitário")</f>
        <v>Pendente e Caro</v>
      </c>
      <c r="H2357" s="89">
        <f>YEAR(Tabela1[[#This Row],[Data de Validade]])</f>
        <v>2028</v>
      </c>
      <c r="I2357" s="89">
        <f>MONTH(Tabela1[[#This Row],[Data de Validade]])</f>
        <v>5</v>
      </c>
      <c r="J2357" s="101">
        <v>117775</v>
      </c>
      <c r="K2357" s="87" t="s">
        <v>7</v>
      </c>
      <c r="L2357" s="108"/>
      <c r="M2357" s="108"/>
      <c r="N2357" s="108" t="str">
        <v>P597P595</v>
      </c>
      <c r="O2357" s="108">
        <f t="shared" si="38"/>
        <v>1</v>
      </c>
      <c r="P2357" s="108"/>
      <c r="Q2357"/>
    </row>
    <row r="2358" spans="1:17" x14ac:dyDescent="0.25">
      <c r="A2358" s="89" t="s">
        <v>5070</v>
      </c>
      <c r="B2358" s="87" t="s">
        <v>5071</v>
      </c>
      <c r="C2358" s="87" t="s">
        <v>15</v>
      </c>
      <c r="D2358" s="87" t="str">
        <f>VLOOKUP(Tabela1[[#This Row],[Origem]], 'Perguntas 1 a 24'!$J$28:$K$34, 2, 0)</f>
        <v>Sudeste</v>
      </c>
      <c r="E2358" s="87" t="str">
        <f>Tabela1[[#This Row],[Descrição]]&amp;"-"&amp;Tabela1[[#This Row],[Código]]&amp;"/"&amp;Tabela1[[#This Row],[Origem]]</f>
        <v>Todolirava-P597P595/ES</v>
      </c>
      <c r="F2358" s="88">
        <v>46903</v>
      </c>
      <c r="G2358" s="88" t="str" cm="1">
        <f t="array" ref="G23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AND(F2358&gt;= DATE(2026,1,1), F2358&lt;= DATE(2028, 12, 31), J2358&gt;50000), "Pendente e Caro", AND(F2358&gt;= DATE(2026,1,1), F2358&lt;= DATE(2028, 12, 31), J2358&lt;=50000), "Pendente", F2358&gt;= DATE(2029,1,1), "Não prioeitário")</f>
        <v>Pendente e Caro</v>
      </c>
      <c r="H2358" s="89">
        <f>YEAR(Tabela1[[#This Row],[Data de Validade]])</f>
        <v>2028</v>
      </c>
      <c r="I2358" s="89">
        <f>MONTH(Tabela1[[#This Row],[Data de Validade]])</f>
        <v>5</v>
      </c>
      <c r="J2358" s="101">
        <v>105157</v>
      </c>
      <c r="K2358" s="87" t="s">
        <v>14</v>
      </c>
      <c r="L2358" s="108"/>
      <c r="M2358" s="108"/>
      <c r="N2358" s="108" t="str">
        <v>H222H434</v>
      </c>
      <c r="O2358" s="108">
        <f t="shared" si="38"/>
        <v>1</v>
      </c>
      <c r="P2358" s="108"/>
      <c r="Q2358"/>
    </row>
    <row r="2359" spans="1:17" x14ac:dyDescent="0.25">
      <c r="A2359" s="89" t="s">
        <v>8322</v>
      </c>
      <c r="B2359" s="87" t="s">
        <v>8323</v>
      </c>
      <c r="C2359" s="87" t="s">
        <v>12</v>
      </c>
      <c r="D2359" s="87" t="str">
        <f>VLOOKUP(Tabela1[[#This Row],[Origem]], 'Perguntas 1 a 24'!$J$28:$K$34, 2, 0)</f>
        <v>Sudeste</v>
      </c>
      <c r="E2359" s="87" t="str">
        <f>Tabela1[[#This Row],[Descrição]]&amp;"-"&amp;Tabela1[[#This Row],[Código]]&amp;"/"&amp;Tabela1[[#This Row],[Origem]]</f>
        <v>Tacugepape-H222H434/RJ</v>
      </c>
      <c r="F2359" s="88">
        <v>46903</v>
      </c>
      <c r="G2359" s="88" t="str" cm="1">
        <f t="array" ref="G23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AND(F2359&gt;= DATE(2026,1,1), F2359&lt;= DATE(2028, 12, 31), J2359&gt;50000), "Pendente e Caro", AND(F2359&gt;= DATE(2026,1,1), F2359&lt;= DATE(2028, 12, 31), J2359&lt;=50000), "Pendente", F2359&gt;= DATE(2029,1,1), "Não prioeitário")</f>
        <v>Pendente e Caro</v>
      </c>
      <c r="H2359" s="89">
        <f>YEAR(Tabela1[[#This Row],[Data de Validade]])</f>
        <v>2028</v>
      </c>
      <c r="I2359" s="89">
        <f>MONTH(Tabela1[[#This Row],[Data de Validade]])</f>
        <v>5</v>
      </c>
      <c r="J2359" s="101">
        <v>89386</v>
      </c>
      <c r="K2359" s="87" t="s">
        <v>14</v>
      </c>
      <c r="L2359" s="108"/>
      <c r="M2359" s="108"/>
      <c r="N2359" s="108" t="str">
        <v>P786H652</v>
      </c>
      <c r="O2359" s="108">
        <f t="shared" si="38"/>
        <v>1</v>
      </c>
      <c r="P2359" s="108"/>
      <c r="Q2359"/>
    </row>
    <row r="2360" spans="1:17" x14ac:dyDescent="0.25">
      <c r="A2360" s="89" t="s">
        <v>7706</v>
      </c>
      <c r="B2360" s="87" t="s">
        <v>7707</v>
      </c>
      <c r="C2360" s="87" t="s">
        <v>10</v>
      </c>
      <c r="D2360" s="87" t="str">
        <f>VLOOKUP(Tabela1[[#This Row],[Origem]], 'Perguntas 1 a 24'!$J$28:$K$34, 2, 0)</f>
        <v>Centro-Oeste</v>
      </c>
      <c r="E2360" s="87" t="str">
        <f>Tabela1[[#This Row],[Descrição]]&amp;"-"&amp;Tabela1[[#This Row],[Código]]&amp;"/"&amp;Tabela1[[#This Row],[Origem]]</f>
        <v>Neninugo-P786H652/GO</v>
      </c>
      <c r="F2360" s="88">
        <v>46903</v>
      </c>
      <c r="G2360" s="88" t="str" cm="1">
        <f t="array" ref="G23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AND(F2360&gt;= DATE(2026,1,1), F2360&lt;= DATE(2028, 12, 31), J2360&gt;50000), "Pendente e Caro", AND(F2360&gt;= DATE(2026,1,1), F2360&lt;= DATE(2028, 12, 31), J2360&lt;=50000), "Pendente", F2360&gt;= DATE(2029,1,1), "Não prioeitário")</f>
        <v>Pendente</v>
      </c>
      <c r="H2360" s="89">
        <f>YEAR(Tabela1[[#This Row],[Data de Validade]])</f>
        <v>2028</v>
      </c>
      <c r="I2360" s="89">
        <f>MONTH(Tabela1[[#This Row],[Data de Validade]])</f>
        <v>5</v>
      </c>
      <c r="J2360" s="101">
        <v>36049</v>
      </c>
      <c r="K2360" s="87" t="s">
        <v>14</v>
      </c>
      <c r="L2360" s="108"/>
      <c r="M2360" s="108"/>
      <c r="N2360" s="108" t="str">
        <v>P447H269</v>
      </c>
      <c r="O2360" s="108">
        <f t="shared" si="38"/>
        <v>1</v>
      </c>
      <c r="P2360" s="108"/>
      <c r="Q2360"/>
    </row>
    <row r="2361" spans="1:17" x14ac:dyDescent="0.25">
      <c r="A2361" s="89" t="s">
        <v>9735</v>
      </c>
      <c r="B2361" s="87" t="s">
        <v>9736</v>
      </c>
      <c r="C2361" s="87" t="s">
        <v>15</v>
      </c>
      <c r="D2361" s="87" t="str">
        <f>VLOOKUP(Tabela1[[#This Row],[Origem]], 'Perguntas 1 a 24'!$J$28:$K$34, 2, 0)</f>
        <v>Sudeste</v>
      </c>
      <c r="E2361" s="87" t="str">
        <f>Tabela1[[#This Row],[Descrição]]&amp;"-"&amp;Tabela1[[#This Row],[Código]]&amp;"/"&amp;Tabela1[[#This Row],[Origem]]</f>
        <v>Fodomupoco-P447H269/ES</v>
      </c>
      <c r="F2361" s="88">
        <v>46904</v>
      </c>
      <c r="G2361" s="88" t="str" cm="1">
        <f t="array" ref="G23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AND(F2361&gt;= DATE(2026,1,1), F2361&lt;= DATE(2028, 12, 31), J2361&gt;50000), "Pendente e Caro", AND(F2361&gt;= DATE(2026,1,1), F2361&lt;= DATE(2028, 12, 31), J2361&lt;=50000), "Pendente", F2361&gt;= DATE(2029,1,1), "Não prioeitário")</f>
        <v>Pendente e Caro</v>
      </c>
      <c r="H2361" s="89">
        <f>YEAR(Tabela1[[#This Row],[Data de Validade]])</f>
        <v>2028</v>
      </c>
      <c r="I2361" s="89">
        <f>MONTH(Tabela1[[#This Row],[Data de Validade]])</f>
        <v>5</v>
      </c>
      <c r="J2361" s="101">
        <v>96218</v>
      </c>
      <c r="K2361" s="87" t="s">
        <v>11</v>
      </c>
      <c r="L2361" s="108"/>
      <c r="M2361" s="108"/>
      <c r="N2361" s="108" t="str">
        <v>H593P938</v>
      </c>
      <c r="O2361" s="108">
        <f t="shared" si="38"/>
        <v>1</v>
      </c>
      <c r="P2361" s="108"/>
      <c r="Q2361"/>
    </row>
    <row r="2362" spans="1:17" x14ac:dyDescent="0.25">
      <c r="A2362" s="89" t="s">
        <v>6056</v>
      </c>
      <c r="B2362" s="87" t="s">
        <v>6057</v>
      </c>
      <c r="C2362" s="87" t="s">
        <v>15</v>
      </c>
      <c r="D2362" s="87" t="str">
        <f>VLOOKUP(Tabela1[[#This Row],[Origem]], 'Perguntas 1 a 24'!$J$28:$K$34, 2, 0)</f>
        <v>Sudeste</v>
      </c>
      <c r="E2362" s="87" t="str">
        <f>Tabela1[[#This Row],[Descrição]]&amp;"-"&amp;Tabela1[[#This Row],[Código]]&amp;"/"&amp;Tabela1[[#This Row],[Origem]]</f>
        <v>Teletu-H593P938/ES</v>
      </c>
      <c r="F2362" s="88">
        <v>46904</v>
      </c>
      <c r="G2362" s="88" t="str" cm="1">
        <f t="array" ref="G23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AND(F2362&gt;= DATE(2026,1,1), F2362&lt;= DATE(2028, 12, 31), J2362&gt;50000), "Pendente e Caro", AND(F2362&gt;= DATE(2026,1,1), F2362&lt;= DATE(2028, 12, 31), J2362&lt;=50000), "Pendente", F2362&gt;= DATE(2029,1,1), "Não prioeitário")</f>
        <v>Pendente e Caro</v>
      </c>
      <c r="H2362" s="89">
        <f>YEAR(Tabela1[[#This Row],[Data de Validade]])</f>
        <v>2028</v>
      </c>
      <c r="I2362" s="89">
        <f>MONTH(Tabela1[[#This Row],[Data de Validade]])</f>
        <v>5</v>
      </c>
      <c r="J2362" s="101">
        <v>88673</v>
      </c>
      <c r="K2362" s="87" t="s">
        <v>11</v>
      </c>
      <c r="L2362" s="108"/>
      <c r="M2362" s="108"/>
      <c r="N2362" s="108" t="str">
        <v>H922P983</v>
      </c>
      <c r="O2362" s="108">
        <f t="shared" si="38"/>
        <v>1</v>
      </c>
      <c r="P2362" s="108"/>
      <c r="Q2362"/>
    </row>
    <row r="2363" spans="1:17" x14ac:dyDescent="0.25">
      <c r="A2363" s="89" t="s">
        <v>8300</v>
      </c>
      <c r="B2363" s="87" t="s">
        <v>8301</v>
      </c>
      <c r="C2363" s="87" t="s">
        <v>15</v>
      </c>
      <c r="D2363" s="87" t="str">
        <f>VLOOKUP(Tabela1[[#This Row],[Origem]], 'Perguntas 1 a 24'!$J$28:$K$34, 2, 0)</f>
        <v>Sudeste</v>
      </c>
      <c r="E2363" s="87" t="str">
        <f>Tabela1[[#This Row],[Descrição]]&amp;"-"&amp;Tabela1[[#This Row],[Código]]&amp;"/"&amp;Tabela1[[#This Row],[Origem]]</f>
        <v>Denapupu-H922P983/ES</v>
      </c>
      <c r="F2363" s="88">
        <v>46905</v>
      </c>
      <c r="G2363" s="88" t="str" cm="1">
        <f t="array" ref="G23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AND(F2363&gt;= DATE(2026,1,1), F2363&lt;= DATE(2028, 12, 31), J2363&gt;50000), "Pendente e Caro", AND(F2363&gt;= DATE(2026,1,1), F2363&lt;= DATE(2028, 12, 31), J2363&lt;=50000), "Pendente", F2363&gt;= DATE(2029,1,1), "Não prioeitário")</f>
        <v>Pendente</v>
      </c>
      <c r="H2363" s="89">
        <f>YEAR(Tabela1[[#This Row],[Data de Validade]])</f>
        <v>2028</v>
      </c>
      <c r="I2363" s="89">
        <f>MONTH(Tabela1[[#This Row],[Data de Validade]])</f>
        <v>6</v>
      </c>
      <c r="J2363" s="101">
        <v>31592</v>
      </c>
      <c r="K2363" s="87" t="s">
        <v>9</v>
      </c>
      <c r="L2363" s="108"/>
      <c r="M2363" s="108"/>
      <c r="N2363" s="108" t="str">
        <v>P895H745</v>
      </c>
      <c r="O2363" s="108">
        <f t="shared" si="38"/>
        <v>1</v>
      </c>
      <c r="P2363" s="108"/>
      <c r="Q2363"/>
    </row>
    <row r="2364" spans="1:17" x14ac:dyDescent="0.25">
      <c r="A2364" s="89" t="s">
        <v>9327</v>
      </c>
      <c r="B2364" s="87" t="s">
        <v>9328</v>
      </c>
      <c r="C2364" s="87" t="s">
        <v>13</v>
      </c>
      <c r="D2364" s="87" t="str">
        <f>VLOOKUP(Tabela1[[#This Row],[Origem]], 'Perguntas 1 a 24'!$J$28:$K$34, 2, 0)</f>
        <v>Sudeste</v>
      </c>
      <c r="E2364" s="87" t="str">
        <f>Tabela1[[#This Row],[Descrição]]&amp;"-"&amp;Tabela1[[#This Row],[Código]]&amp;"/"&amp;Tabela1[[#This Row],[Origem]]</f>
        <v>Pomanume-P895H745/SP</v>
      </c>
      <c r="F2364" s="88">
        <v>46906</v>
      </c>
      <c r="G2364" s="88" t="str" cm="1">
        <f t="array" ref="G23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AND(F2364&gt;= DATE(2026,1,1), F2364&lt;= DATE(2028, 12, 31), J2364&gt;50000), "Pendente e Caro", AND(F2364&gt;= DATE(2026,1,1), F2364&lt;= DATE(2028, 12, 31), J2364&lt;=50000), "Pendente", F2364&gt;= DATE(2029,1,1), "Não prioeitário")</f>
        <v>Pendente e Caro</v>
      </c>
      <c r="H2364" s="89">
        <f>YEAR(Tabela1[[#This Row],[Data de Validade]])</f>
        <v>2028</v>
      </c>
      <c r="I2364" s="89">
        <f>MONTH(Tabela1[[#This Row],[Data de Validade]])</f>
        <v>6</v>
      </c>
      <c r="J2364" s="101">
        <v>115820</v>
      </c>
      <c r="K2364" s="87" t="s">
        <v>14</v>
      </c>
      <c r="L2364" s="108"/>
      <c r="M2364" s="108"/>
      <c r="N2364" s="108" t="str">
        <v>P317P386</v>
      </c>
      <c r="O2364" s="108">
        <f t="shared" si="38"/>
        <v>1</v>
      </c>
      <c r="P2364" s="108"/>
      <c r="Q2364"/>
    </row>
    <row r="2365" spans="1:17" x14ac:dyDescent="0.25">
      <c r="A2365" s="89" t="s">
        <v>7614</v>
      </c>
      <c r="B2365" s="87" t="s">
        <v>7615</v>
      </c>
      <c r="C2365" s="87" t="s">
        <v>16</v>
      </c>
      <c r="D2365" s="87" t="str">
        <f>VLOOKUP(Tabela1[[#This Row],[Origem]], 'Perguntas 1 a 24'!$J$28:$K$34, 2, 0)</f>
        <v>Sudeste</v>
      </c>
      <c r="E2365" s="87" t="str">
        <f>Tabela1[[#This Row],[Descrição]]&amp;"-"&amp;Tabela1[[#This Row],[Código]]&amp;"/"&amp;Tabela1[[#This Row],[Origem]]</f>
        <v>Patunu-P317P386/MG</v>
      </c>
      <c r="F2365" s="88">
        <v>46907</v>
      </c>
      <c r="G2365" s="88" t="str" cm="1">
        <f t="array" ref="G23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AND(F2365&gt;= DATE(2026,1,1), F2365&lt;= DATE(2028, 12, 31), J2365&gt;50000), "Pendente e Caro", AND(F2365&gt;= DATE(2026,1,1), F2365&lt;= DATE(2028, 12, 31), J2365&lt;=50000), "Pendente", F2365&gt;= DATE(2029,1,1), "Não prioeitário")</f>
        <v>Pendente e Caro</v>
      </c>
      <c r="H2365" s="89">
        <f>YEAR(Tabela1[[#This Row],[Data de Validade]])</f>
        <v>2028</v>
      </c>
      <c r="I2365" s="89">
        <f>MONTH(Tabela1[[#This Row],[Data de Validade]])</f>
        <v>6</v>
      </c>
      <c r="J2365" s="101">
        <v>65968</v>
      </c>
      <c r="K2365" s="87" t="s">
        <v>14</v>
      </c>
      <c r="L2365" s="108"/>
      <c r="M2365" s="108"/>
      <c r="N2365" s="108" t="str">
        <v>H331H641</v>
      </c>
      <c r="O2365" s="108">
        <f t="shared" si="38"/>
        <v>1</v>
      </c>
      <c r="P2365" s="108"/>
      <c r="Q2365"/>
    </row>
    <row r="2366" spans="1:17" x14ac:dyDescent="0.25">
      <c r="A2366" s="89" t="s">
        <v>4556</v>
      </c>
      <c r="B2366" s="87" t="s">
        <v>4557</v>
      </c>
      <c r="C2366" s="87" t="s">
        <v>13</v>
      </c>
      <c r="D2366" s="87" t="str">
        <f>VLOOKUP(Tabela1[[#This Row],[Origem]], 'Perguntas 1 a 24'!$J$28:$K$34, 2, 0)</f>
        <v>Sudeste</v>
      </c>
      <c r="E2366" s="87" t="str">
        <f>Tabela1[[#This Row],[Descrição]]&amp;"-"&amp;Tabela1[[#This Row],[Código]]&amp;"/"&amp;Tabela1[[#This Row],[Origem]]</f>
        <v>Papegu-H331H641/SP</v>
      </c>
      <c r="F2366" s="88">
        <v>46907</v>
      </c>
      <c r="G2366" s="88" t="str" cm="1">
        <f t="array" ref="G23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AND(F2366&gt;= DATE(2026,1,1), F2366&lt;= DATE(2028, 12, 31), J2366&gt;50000), "Pendente e Caro", AND(F2366&gt;= DATE(2026,1,1), F2366&lt;= DATE(2028, 12, 31), J2366&lt;=50000), "Pendente", F2366&gt;= DATE(2029,1,1), "Não prioeitário")</f>
        <v>Pendente</v>
      </c>
      <c r="H2366" s="89">
        <f>YEAR(Tabela1[[#This Row],[Data de Validade]])</f>
        <v>2028</v>
      </c>
      <c r="I2366" s="89">
        <f>MONTH(Tabela1[[#This Row],[Data de Validade]])</f>
        <v>6</v>
      </c>
      <c r="J2366" s="101">
        <v>48387</v>
      </c>
      <c r="K2366" s="87" t="s">
        <v>11</v>
      </c>
      <c r="L2366" s="108"/>
      <c r="M2366" s="108"/>
      <c r="N2366" s="108" t="str">
        <v>H942P165</v>
      </c>
      <c r="O2366" s="108">
        <f t="shared" si="38"/>
        <v>1</v>
      </c>
      <c r="P2366" s="108"/>
      <c r="Q2366"/>
    </row>
    <row r="2367" spans="1:17" x14ac:dyDescent="0.25">
      <c r="A2367" s="89" t="s">
        <v>6190</v>
      </c>
      <c r="B2367" s="87" t="s">
        <v>6191</v>
      </c>
      <c r="C2367" s="87" t="s">
        <v>6</v>
      </c>
      <c r="D2367" s="87" t="str">
        <f>VLOOKUP(Tabela1[[#This Row],[Origem]], 'Perguntas 1 a 24'!$J$28:$K$34, 2, 0)</f>
        <v>Nordeste</v>
      </c>
      <c r="E2367" s="87" t="str">
        <f>Tabela1[[#This Row],[Descrição]]&amp;"-"&amp;Tabela1[[#This Row],[Código]]&amp;"/"&amp;Tabela1[[#This Row],[Origem]]</f>
        <v>Vutane-H942P165/MA</v>
      </c>
      <c r="F2367" s="88">
        <v>46907</v>
      </c>
      <c r="G2367" s="88" t="str" cm="1">
        <f t="array" ref="G23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AND(F2367&gt;= DATE(2026,1,1), F2367&lt;= DATE(2028, 12, 31), J2367&gt;50000), "Pendente e Caro", AND(F2367&gt;= DATE(2026,1,1), F2367&lt;= DATE(2028, 12, 31), J2367&lt;=50000), "Pendente", F2367&gt;= DATE(2029,1,1), "Não prioeitário")</f>
        <v>Pendente</v>
      </c>
      <c r="H2367" s="89">
        <f>YEAR(Tabela1[[#This Row],[Data de Validade]])</f>
        <v>2028</v>
      </c>
      <c r="I2367" s="89">
        <f>MONTH(Tabela1[[#This Row],[Data de Validade]])</f>
        <v>6</v>
      </c>
      <c r="J2367" s="101">
        <v>43875</v>
      </c>
      <c r="K2367" s="87" t="s">
        <v>11</v>
      </c>
      <c r="L2367" s="108"/>
      <c r="M2367" s="108"/>
      <c r="N2367" s="108" t="str">
        <v>H272H276</v>
      </c>
      <c r="O2367" s="108">
        <f t="shared" si="38"/>
        <v>1</v>
      </c>
      <c r="P2367" s="108"/>
      <c r="Q2367"/>
    </row>
    <row r="2368" spans="1:17" x14ac:dyDescent="0.25">
      <c r="A2368" s="89" t="s">
        <v>7366</v>
      </c>
      <c r="B2368" s="87" t="s">
        <v>7367</v>
      </c>
      <c r="C2368" s="87" t="s">
        <v>16</v>
      </c>
      <c r="D2368" s="87" t="str">
        <f>VLOOKUP(Tabela1[[#This Row],[Origem]], 'Perguntas 1 a 24'!$J$28:$K$34, 2, 0)</f>
        <v>Sudeste</v>
      </c>
      <c r="E2368" s="87" t="str">
        <f>Tabela1[[#This Row],[Descrição]]&amp;"-"&amp;Tabela1[[#This Row],[Código]]&amp;"/"&amp;Tabela1[[#This Row],[Origem]]</f>
        <v>Domudonu-H272H276/MG</v>
      </c>
      <c r="F2368" s="88">
        <v>46908</v>
      </c>
      <c r="G2368" s="88" t="str" cm="1">
        <f t="array" ref="G23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AND(F2368&gt;= DATE(2026,1,1), F2368&lt;= DATE(2028, 12, 31), J2368&gt;50000), "Pendente e Caro", AND(F2368&gt;= DATE(2026,1,1), F2368&lt;= DATE(2028, 12, 31), J2368&lt;=50000), "Pendente", F2368&gt;= DATE(2029,1,1), "Não prioeitário")</f>
        <v>Pendente e Caro</v>
      </c>
      <c r="H2368" s="89">
        <f>YEAR(Tabela1[[#This Row],[Data de Validade]])</f>
        <v>2028</v>
      </c>
      <c r="I2368" s="89">
        <f>MONTH(Tabela1[[#This Row],[Data de Validade]])</f>
        <v>6</v>
      </c>
      <c r="J2368" s="101">
        <v>99447</v>
      </c>
      <c r="K2368" s="87" t="s">
        <v>14</v>
      </c>
      <c r="L2368" s="108"/>
      <c r="M2368" s="108"/>
      <c r="N2368" s="108" t="str">
        <v>H727P446</v>
      </c>
      <c r="O2368" s="108">
        <f t="shared" si="38"/>
        <v>1</v>
      </c>
      <c r="P2368" s="108"/>
      <c r="Q2368"/>
    </row>
    <row r="2369" spans="1:17" x14ac:dyDescent="0.25">
      <c r="A2369" s="89" t="s">
        <v>9417</v>
      </c>
      <c r="B2369" s="87" t="s">
        <v>9418</v>
      </c>
      <c r="C2369" s="87" t="s">
        <v>6</v>
      </c>
      <c r="D2369" s="87" t="str">
        <f>VLOOKUP(Tabela1[[#This Row],[Origem]], 'Perguntas 1 a 24'!$J$28:$K$34, 2, 0)</f>
        <v>Nordeste</v>
      </c>
      <c r="E2369" s="87" t="str">
        <f>Tabela1[[#This Row],[Descrição]]&amp;"-"&amp;Tabela1[[#This Row],[Código]]&amp;"/"&amp;Tabela1[[#This Row],[Origem]]</f>
        <v>Rocudetigu-H727P446/MA</v>
      </c>
      <c r="F2369" s="88">
        <v>46909</v>
      </c>
      <c r="G2369" s="88" t="str" cm="1">
        <f t="array" ref="G23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AND(F2369&gt;= DATE(2026,1,1), F2369&lt;= DATE(2028, 12, 31), J2369&gt;50000), "Pendente e Caro", AND(F2369&gt;= DATE(2026,1,1), F2369&lt;= DATE(2028, 12, 31), J2369&lt;=50000), "Pendente", F2369&gt;= DATE(2029,1,1), "Não prioeitário")</f>
        <v>Pendente e Caro</v>
      </c>
      <c r="H2369" s="89">
        <f>YEAR(Tabela1[[#This Row],[Data de Validade]])</f>
        <v>2028</v>
      </c>
      <c r="I2369" s="89">
        <f>MONTH(Tabela1[[#This Row],[Data de Validade]])</f>
        <v>6</v>
      </c>
      <c r="J2369" s="101">
        <v>70644</v>
      </c>
      <c r="K2369" s="87" t="s">
        <v>14</v>
      </c>
      <c r="L2369" s="108"/>
      <c r="M2369" s="108"/>
      <c r="N2369" s="108" t="str">
        <v>P895P756</v>
      </c>
      <c r="O2369" s="108">
        <f t="shared" si="38"/>
        <v>1</v>
      </c>
      <c r="P2369" s="108"/>
      <c r="Q2369"/>
    </row>
    <row r="2370" spans="1:17" x14ac:dyDescent="0.25">
      <c r="A2370" s="89" t="s">
        <v>5860</v>
      </c>
      <c r="B2370" s="87" t="s">
        <v>5861</v>
      </c>
      <c r="C2370" s="87" t="s">
        <v>10</v>
      </c>
      <c r="D2370" s="87" t="str">
        <f>VLOOKUP(Tabela1[[#This Row],[Origem]], 'Perguntas 1 a 24'!$J$28:$K$34, 2, 0)</f>
        <v>Centro-Oeste</v>
      </c>
      <c r="E2370" s="87" t="str">
        <f>Tabela1[[#This Row],[Descrição]]&amp;"-"&amp;Tabela1[[#This Row],[Código]]&amp;"/"&amp;Tabela1[[#This Row],[Origem]]</f>
        <v>Fitodepoca-P895P756/GO</v>
      </c>
      <c r="F2370" s="88">
        <v>46909</v>
      </c>
      <c r="G2370" s="88" t="str" cm="1">
        <f t="array" ref="G23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AND(F2370&gt;= DATE(2026,1,1), F2370&lt;= DATE(2028, 12, 31), J2370&gt;50000), "Pendente e Caro", AND(F2370&gt;= DATE(2026,1,1), F2370&lt;= DATE(2028, 12, 31), J2370&lt;=50000), "Pendente", F2370&gt;= DATE(2029,1,1), "Não prioeitário")</f>
        <v>Pendente e Caro</v>
      </c>
      <c r="H2370" s="89">
        <f>YEAR(Tabela1[[#This Row],[Data de Validade]])</f>
        <v>2028</v>
      </c>
      <c r="I2370" s="89">
        <f>MONTH(Tabela1[[#This Row],[Data de Validade]])</f>
        <v>6</v>
      </c>
      <c r="J2370" s="101">
        <v>51016</v>
      </c>
      <c r="K2370" s="87" t="s">
        <v>14</v>
      </c>
      <c r="L2370" s="108"/>
      <c r="M2370" s="108"/>
      <c r="N2370" s="108" t="str">
        <v>P265H873</v>
      </c>
      <c r="O2370" s="108">
        <f t="shared" si="38"/>
        <v>1</v>
      </c>
      <c r="P2370" s="108"/>
      <c r="Q2370"/>
    </row>
    <row r="2371" spans="1:17" x14ac:dyDescent="0.25">
      <c r="A2371" s="89" t="s">
        <v>9925</v>
      </c>
      <c r="B2371" s="87" t="s">
        <v>9926</v>
      </c>
      <c r="C2371" s="87" t="s">
        <v>12</v>
      </c>
      <c r="D2371" s="87" t="str">
        <f>VLOOKUP(Tabela1[[#This Row],[Origem]], 'Perguntas 1 a 24'!$J$28:$K$34, 2, 0)</f>
        <v>Sudeste</v>
      </c>
      <c r="E2371" s="87" t="str">
        <f>Tabela1[[#This Row],[Descrição]]&amp;"-"&amp;Tabela1[[#This Row],[Código]]&amp;"/"&amp;Tabela1[[#This Row],[Origem]]</f>
        <v>Fefacepa-P265H873/RJ</v>
      </c>
      <c r="F2371" s="88">
        <v>46909</v>
      </c>
      <c r="G2371" s="88" t="str" cm="1">
        <f t="array" ref="G23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AND(F2371&gt;= DATE(2026,1,1), F2371&lt;= DATE(2028, 12, 31), J2371&gt;50000), "Pendente e Caro", AND(F2371&gt;= DATE(2026,1,1), F2371&lt;= DATE(2028, 12, 31), J2371&lt;=50000), "Pendente", F2371&gt;= DATE(2029,1,1), "Não prioeitário")</f>
        <v>Pendente</v>
      </c>
      <c r="H2371" s="89">
        <f>YEAR(Tabela1[[#This Row],[Data de Validade]])</f>
        <v>2028</v>
      </c>
      <c r="I2371" s="89">
        <f>MONTH(Tabela1[[#This Row],[Data de Validade]])</f>
        <v>6</v>
      </c>
      <c r="J2371" s="101">
        <v>46697</v>
      </c>
      <c r="K2371" s="87" t="s">
        <v>9</v>
      </c>
      <c r="L2371" s="108"/>
      <c r="M2371" s="108"/>
      <c r="N2371" s="108" t="str">
        <v>P992H374</v>
      </c>
      <c r="O2371" s="108">
        <f t="shared" ref="O2371:O2434" si="39">COUNTIFS(B:B,N2371)</f>
        <v>1</v>
      </c>
      <c r="P2371" s="108"/>
      <c r="Q2371"/>
    </row>
    <row r="2372" spans="1:17" x14ac:dyDescent="0.25">
      <c r="A2372" s="89" t="s">
        <v>7308</v>
      </c>
      <c r="B2372" s="87" t="s">
        <v>7309</v>
      </c>
      <c r="C2372" s="87" t="s">
        <v>15</v>
      </c>
      <c r="D2372" s="87" t="str">
        <f>VLOOKUP(Tabela1[[#This Row],[Origem]], 'Perguntas 1 a 24'!$J$28:$K$34, 2, 0)</f>
        <v>Sudeste</v>
      </c>
      <c r="E2372" s="87" t="str">
        <f>Tabela1[[#This Row],[Descrição]]&amp;"-"&amp;Tabela1[[#This Row],[Código]]&amp;"/"&amp;Tabela1[[#This Row],[Origem]]</f>
        <v>Fapemi-P992H374/ES</v>
      </c>
      <c r="F2372" s="88">
        <v>46910</v>
      </c>
      <c r="G2372" s="88" t="str" cm="1">
        <f t="array" ref="G23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AND(F2372&gt;= DATE(2026,1,1), F2372&lt;= DATE(2028, 12, 31), J2372&gt;50000), "Pendente e Caro", AND(F2372&gt;= DATE(2026,1,1), F2372&lt;= DATE(2028, 12, 31), J2372&lt;=50000), "Pendente", F2372&gt;= DATE(2029,1,1), "Não prioeitário")</f>
        <v>Pendente e Caro</v>
      </c>
      <c r="H2372" s="89">
        <f>YEAR(Tabela1[[#This Row],[Data de Validade]])</f>
        <v>2028</v>
      </c>
      <c r="I2372" s="89">
        <f>MONTH(Tabela1[[#This Row],[Data de Validade]])</f>
        <v>6</v>
      </c>
      <c r="J2372" s="101">
        <v>74925</v>
      </c>
      <c r="K2372" s="87" t="s">
        <v>14</v>
      </c>
      <c r="L2372" s="108"/>
      <c r="M2372" s="108"/>
      <c r="N2372" s="108" t="str">
        <v>H548P492</v>
      </c>
      <c r="O2372" s="108">
        <f t="shared" si="39"/>
        <v>1</v>
      </c>
      <c r="P2372" s="108"/>
      <c r="Q2372"/>
    </row>
    <row r="2373" spans="1:17" x14ac:dyDescent="0.25">
      <c r="A2373" s="89" t="s">
        <v>9651</v>
      </c>
      <c r="B2373" s="87" t="s">
        <v>9652</v>
      </c>
      <c r="C2373" s="87" t="s">
        <v>15</v>
      </c>
      <c r="D2373" s="87" t="str">
        <f>VLOOKUP(Tabela1[[#This Row],[Origem]], 'Perguntas 1 a 24'!$J$28:$K$34, 2, 0)</f>
        <v>Sudeste</v>
      </c>
      <c r="E2373" s="87" t="str">
        <f>Tabela1[[#This Row],[Descrição]]&amp;"-"&amp;Tabela1[[#This Row],[Código]]&amp;"/"&amp;Tabela1[[#This Row],[Origem]]</f>
        <v>Turote-H548P492/ES</v>
      </c>
      <c r="F2373" s="88">
        <v>46911</v>
      </c>
      <c r="G2373" s="88" t="str" cm="1">
        <f t="array" ref="G23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AND(F2373&gt;= DATE(2026,1,1), F2373&lt;= DATE(2028, 12, 31), J2373&gt;50000), "Pendente e Caro", AND(F2373&gt;= DATE(2026,1,1), F2373&lt;= DATE(2028, 12, 31), J2373&lt;=50000), "Pendente", F2373&gt;= DATE(2029,1,1), "Não prioeitário")</f>
        <v>Pendente e Caro</v>
      </c>
      <c r="H2373" s="89">
        <f>YEAR(Tabela1[[#This Row],[Data de Validade]])</f>
        <v>2028</v>
      </c>
      <c r="I2373" s="89">
        <f>MONTH(Tabela1[[#This Row],[Data de Validade]])</f>
        <v>6</v>
      </c>
      <c r="J2373" s="101">
        <v>104135</v>
      </c>
      <c r="K2373" s="87" t="s">
        <v>11</v>
      </c>
      <c r="L2373" s="108"/>
      <c r="M2373" s="108"/>
      <c r="N2373" s="108" t="str">
        <v>P675P712</v>
      </c>
      <c r="O2373" s="108">
        <f t="shared" si="39"/>
        <v>1</v>
      </c>
      <c r="P2373" s="108"/>
      <c r="Q2373"/>
    </row>
    <row r="2374" spans="1:17" x14ac:dyDescent="0.25">
      <c r="A2374" s="89" t="s">
        <v>8082</v>
      </c>
      <c r="B2374" s="87" t="s">
        <v>8083</v>
      </c>
      <c r="C2374" s="87" t="s">
        <v>15</v>
      </c>
      <c r="D2374" s="87" t="str">
        <f>VLOOKUP(Tabela1[[#This Row],[Origem]], 'Perguntas 1 a 24'!$J$28:$K$34, 2, 0)</f>
        <v>Sudeste</v>
      </c>
      <c r="E2374" s="87" t="str">
        <f>Tabela1[[#This Row],[Descrição]]&amp;"-"&amp;Tabela1[[#This Row],[Código]]&amp;"/"&amp;Tabela1[[#This Row],[Origem]]</f>
        <v>Coporotare-P675P712/ES</v>
      </c>
      <c r="F2374" s="88">
        <v>46911</v>
      </c>
      <c r="G2374" s="88" t="str" cm="1">
        <f t="array" ref="G23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AND(F2374&gt;= DATE(2026,1,1), F2374&lt;= DATE(2028, 12, 31), J2374&gt;50000), "Pendente e Caro", AND(F2374&gt;= DATE(2026,1,1), F2374&lt;= DATE(2028, 12, 31), J2374&lt;=50000), "Pendente", F2374&gt;= DATE(2029,1,1), "Não prioeitário")</f>
        <v>Pendente e Caro</v>
      </c>
      <c r="H2374" s="89">
        <f>YEAR(Tabela1[[#This Row],[Data de Validade]])</f>
        <v>2028</v>
      </c>
      <c r="I2374" s="89">
        <f>MONTH(Tabela1[[#This Row],[Data de Validade]])</f>
        <v>6</v>
      </c>
      <c r="J2374" s="101">
        <v>77082</v>
      </c>
      <c r="K2374" s="87" t="s">
        <v>9</v>
      </c>
      <c r="L2374" s="108"/>
      <c r="M2374" s="108"/>
      <c r="N2374" s="108" t="str">
        <v>H956H675</v>
      </c>
      <c r="O2374" s="108">
        <f t="shared" si="39"/>
        <v>1</v>
      </c>
      <c r="P2374" s="108"/>
      <c r="Q2374"/>
    </row>
    <row r="2375" spans="1:17" x14ac:dyDescent="0.25">
      <c r="A2375" s="89" t="s">
        <v>7406</v>
      </c>
      <c r="B2375" s="87" t="s">
        <v>7407</v>
      </c>
      <c r="C2375" s="87" t="s">
        <v>10</v>
      </c>
      <c r="D2375" s="87" t="str">
        <f>VLOOKUP(Tabela1[[#This Row],[Origem]], 'Perguntas 1 a 24'!$J$28:$K$34, 2, 0)</f>
        <v>Centro-Oeste</v>
      </c>
      <c r="E2375" s="87" t="str">
        <f>Tabela1[[#This Row],[Descrição]]&amp;"-"&amp;Tabela1[[#This Row],[Código]]&amp;"/"&amp;Tabela1[[#This Row],[Origem]]</f>
        <v>Rutocaguda-H956H675/GO</v>
      </c>
      <c r="F2375" s="88">
        <v>46912</v>
      </c>
      <c r="G2375" s="88" t="str" cm="1">
        <f t="array" ref="G23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AND(F2375&gt;= DATE(2026,1,1), F2375&lt;= DATE(2028, 12, 31), J2375&gt;50000), "Pendente e Caro", AND(F2375&gt;= DATE(2026,1,1), F2375&lt;= DATE(2028, 12, 31), J2375&lt;=50000), "Pendente", F2375&gt;= DATE(2029,1,1), "Não prioeitário")</f>
        <v>Pendente e Caro</v>
      </c>
      <c r="H2375" s="89">
        <f>YEAR(Tabela1[[#This Row],[Data de Validade]])</f>
        <v>2028</v>
      </c>
      <c r="I2375" s="89">
        <f>MONTH(Tabela1[[#This Row],[Data de Validade]])</f>
        <v>6</v>
      </c>
      <c r="J2375" s="101">
        <v>81121</v>
      </c>
      <c r="K2375" s="87" t="s">
        <v>14</v>
      </c>
      <c r="L2375" s="108"/>
      <c r="M2375" s="108"/>
      <c r="N2375" s="108" t="str">
        <v>H158P516</v>
      </c>
      <c r="O2375" s="108">
        <f t="shared" si="39"/>
        <v>1</v>
      </c>
      <c r="P2375" s="108"/>
      <c r="Q2375"/>
    </row>
    <row r="2376" spans="1:17" x14ac:dyDescent="0.25">
      <c r="A2376" s="89" t="s">
        <v>5502</v>
      </c>
      <c r="B2376" s="87" t="s">
        <v>5503</v>
      </c>
      <c r="C2376" s="87" t="s">
        <v>12</v>
      </c>
      <c r="D2376" s="87" t="str">
        <f>VLOOKUP(Tabela1[[#This Row],[Origem]], 'Perguntas 1 a 24'!$J$28:$K$34, 2, 0)</f>
        <v>Sudeste</v>
      </c>
      <c r="E2376" s="87" t="str">
        <f>Tabela1[[#This Row],[Descrição]]&amp;"-"&amp;Tabela1[[#This Row],[Código]]&amp;"/"&amp;Tabela1[[#This Row],[Origem]]</f>
        <v>Dolelepo-H158P516/RJ</v>
      </c>
      <c r="F2376" s="88">
        <v>46912</v>
      </c>
      <c r="G2376" s="88" t="str" cm="1">
        <f t="array" ref="G23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AND(F2376&gt;= DATE(2026,1,1), F2376&lt;= DATE(2028, 12, 31), J2376&gt;50000), "Pendente e Caro", AND(F2376&gt;= DATE(2026,1,1), F2376&lt;= DATE(2028, 12, 31), J2376&lt;=50000), "Pendente", F2376&gt;= DATE(2029,1,1), "Não prioeitário")</f>
        <v>Pendente e Caro</v>
      </c>
      <c r="H2376" s="89">
        <f>YEAR(Tabela1[[#This Row],[Data de Validade]])</f>
        <v>2028</v>
      </c>
      <c r="I2376" s="89">
        <f>MONTH(Tabela1[[#This Row],[Data de Validade]])</f>
        <v>6</v>
      </c>
      <c r="J2376" s="101">
        <v>59323</v>
      </c>
      <c r="K2376" s="87" t="s">
        <v>9</v>
      </c>
      <c r="L2376" s="108"/>
      <c r="M2376" s="108"/>
      <c r="N2376" s="108" t="str">
        <v>H774P565</v>
      </c>
      <c r="O2376" s="108">
        <f t="shared" si="39"/>
        <v>1</v>
      </c>
      <c r="P2376" s="108"/>
      <c r="Q2376"/>
    </row>
    <row r="2377" spans="1:17" x14ac:dyDescent="0.25">
      <c r="A2377" s="89" t="s">
        <v>9743</v>
      </c>
      <c r="B2377" s="87" t="s">
        <v>9744</v>
      </c>
      <c r="C2377" s="87" t="s">
        <v>6</v>
      </c>
      <c r="D2377" s="87" t="str">
        <f>VLOOKUP(Tabela1[[#This Row],[Origem]], 'Perguntas 1 a 24'!$J$28:$K$34, 2, 0)</f>
        <v>Nordeste</v>
      </c>
      <c r="E2377" s="87" t="str">
        <f>Tabela1[[#This Row],[Descrição]]&amp;"-"&amp;Tabela1[[#This Row],[Código]]&amp;"/"&amp;Tabela1[[#This Row],[Origem]]</f>
        <v>Togefopudi-H774P565/MA</v>
      </c>
      <c r="F2377" s="88">
        <v>46912</v>
      </c>
      <c r="G2377" s="88" t="str" cm="1">
        <f t="array" ref="G23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AND(F2377&gt;= DATE(2026,1,1), F2377&lt;= DATE(2028, 12, 31), J2377&gt;50000), "Pendente e Caro", AND(F2377&gt;= DATE(2026,1,1), F2377&lt;= DATE(2028, 12, 31), J2377&lt;=50000), "Pendente", F2377&gt;= DATE(2029,1,1), "Não prioeitário")</f>
        <v>Pendente e Caro</v>
      </c>
      <c r="H2377" s="89">
        <f>YEAR(Tabela1[[#This Row],[Data de Validade]])</f>
        <v>2028</v>
      </c>
      <c r="I2377" s="89">
        <f>MONTH(Tabela1[[#This Row],[Data de Validade]])</f>
        <v>6</v>
      </c>
      <c r="J2377" s="101">
        <v>58883</v>
      </c>
      <c r="K2377" s="87" t="s">
        <v>14</v>
      </c>
      <c r="L2377" s="108"/>
      <c r="M2377" s="108"/>
      <c r="N2377" s="108" t="str">
        <v>H771H734</v>
      </c>
      <c r="O2377" s="108">
        <f t="shared" si="39"/>
        <v>1</v>
      </c>
      <c r="P2377" s="108"/>
      <c r="Q2377"/>
    </row>
    <row r="2378" spans="1:17" x14ac:dyDescent="0.25">
      <c r="A2378" s="89" t="s">
        <v>5490</v>
      </c>
      <c r="B2378" s="87" t="s">
        <v>5491</v>
      </c>
      <c r="C2378" s="87" t="s">
        <v>12</v>
      </c>
      <c r="D2378" s="87" t="str">
        <f>VLOOKUP(Tabela1[[#This Row],[Origem]], 'Perguntas 1 a 24'!$J$28:$K$34, 2, 0)</f>
        <v>Sudeste</v>
      </c>
      <c r="E2378" s="87" t="str">
        <f>Tabela1[[#This Row],[Descrição]]&amp;"-"&amp;Tabela1[[#This Row],[Código]]&amp;"/"&amp;Tabela1[[#This Row],[Origem]]</f>
        <v>Ridodi-H771H734/RJ</v>
      </c>
      <c r="F2378" s="88">
        <v>46913</v>
      </c>
      <c r="G2378" s="88" t="str" cm="1">
        <f t="array" ref="G23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AND(F2378&gt;= DATE(2026,1,1), F2378&lt;= DATE(2028, 12, 31), J2378&gt;50000), "Pendente e Caro", AND(F2378&gt;= DATE(2026,1,1), F2378&lt;= DATE(2028, 12, 31), J2378&lt;=50000), "Pendente", F2378&gt;= DATE(2029,1,1), "Não prioeitário")</f>
        <v>Pendente e Caro</v>
      </c>
      <c r="H2378" s="89">
        <f>YEAR(Tabela1[[#This Row],[Data de Validade]])</f>
        <v>2028</v>
      </c>
      <c r="I2378" s="89">
        <f>MONTH(Tabela1[[#This Row],[Data de Validade]])</f>
        <v>6</v>
      </c>
      <c r="J2378" s="101">
        <v>54582</v>
      </c>
      <c r="K2378" s="87" t="s">
        <v>9</v>
      </c>
      <c r="L2378" s="108"/>
      <c r="M2378" s="108"/>
      <c r="N2378" s="108" t="str">
        <v>H925P723</v>
      </c>
      <c r="O2378" s="108">
        <f t="shared" si="39"/>
        <v>1</v>
      </c>
      <c r="P2378" s="108"/>
      <c r="Q2378"/>
    </row>
    <row r="2379" spans="1:17" x14ac:dyDescent="0.25">
      <c r="A2379" s="89" t="s">
        <v>5178</v>
      </c>
      <c r="B2379" s="87" t="s">
        <v>5179</v>
      </c>
      <c r="C2379" s="87" t="s">
        <v>16</v>
      </c>
      <c r="D2379" s="87" t="str">
        <f>VLOOKUP(Tabela1[[#This Row],[Origem]], 'Perguntas 1 a 24'!$J$28:$K$34, 2, 0)</f>
        <v>Sudeste</v>
      </c>
      <c r="E2379" s="87" t="str">
        <f>Tabela1[[#This Row],[Descrição]]&amp;"-"&amp;Tabela1[[#This Row],[Código]]&amp;"/"&amp;Tabela1[[#This Row],[Origem]]</f>
        <v>Geracegilu-H925P723/MG</v>
      </c>
      <c r="F2379" s="88">
        <v>46914</v>
      </c>
      <c r="G2379" s="88" t="str" cm="1">
        <f t="array" ref="G23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AND(F2379&gt;= DATE(2026,1,1), F2379&lt;= DATE(2028, 12, 31), J2379&gt;50000), "Pendente e Caro", AND(F2379&gt;= DATE(2026,1,1), F2379&lt;= DATE(2028, 12, 31), J2379&lt;=50000), "Pendente", F2379&gt;= DATE(2029,1,1), "Não prioeitário")</f>
        <v>Pendente e Caro</v>
      </c>
      <c r="H2379" s="89">
        <f>YEAR(Tabela1[[#This Row],[Data de Validade]])</f>
        <v>2028</v>
      </c>
      <c r="I2379" s="89">
        <f>MONTH(Tabela1[[#This Row],[Data de Validade]])</f>
        <v>6</v>
      </c>
      <c r="J2379" s="101">
        <v>85014</v>
      </c>
      <c r="K2379" s="87" t="s">
        <v>11</v>
      </c>
      <c r="L2379" s="108"/>
      <c r="M2379" s="108"/>
      <c r="N2379" s="108" t="str">
        <v>H725P374</v>
      </c>
      <c r="O2379" s="108">
        <f t="shared" si="39"/>
        <v>1</v>
      </c>
      <c r="P2379" s="108"/>
      <c r="Q2379"/>
    </row>
    <row r="2380" spans="1:17" x14ac:dyDescent="0.25">
      <c r="A2380" s="89" t="s">
        <v>5688</v>
      </c>
      <c r="B2380" s="87" t="s">
        <v>5689</v>
      </c>
      <c r="C2380" s="87" t="s">
        <v>13</v>
      </c>
      <c r="D2380" s="87" t="str">
        <f>VLOOKUP(Tabela1[[#This Row],[Origem]], 'Perguntas 1 a 24'!$J$28:$K$34, 2, 0)</f>
        <v>Sudeste</v>
      </c>
      <c r="E2380" s="87" t="str">
        <f>Tabela1[[#This Row],[Descrição]]&amp;"-"&amp;Tabela1[[#This Row],[Código]]&amp;"/"&amp;Tabela1[[#This Row],[Origem]]</f>
        <v>Totopo-H725P374/SP</v>
      </c>
      <c r="F2380" s="88">
        <v>46914</v>
      </c>
      <c r="G2380" s="88" t="str" cm="1">
        <f t="array" ref="G23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AND(F2380&gt;= DATE(2026,1,1), F2380&lt;= DATE(2028, 12, 31), J2380&gt;50000), "Pendente e Caro", AND(F2380&gt;= DATE(2026,1,1), F2380&lt;= DATE(2028, 12, 31), J2380&lt;=50000), "Pendente", F2380&gt;= DATE(2029,1,1), "Não prioeitário")</f>
        <v>Pendente</v>
      </c>
      <c r="H2380" s="89">
        <f>YEAR(Tabela1[[#This Row],[Data de Validade]])</f>
        <v>2028</v>
      </c>
      <c r="I2380" s="89">
        <f>MONTH(Tabela1[[#This Row],[Data de Validade]])</f>
        <v>6</v>
      </c>
      <c r="J2380" s="101">
        <v>44371</v>
      </c>
      <c r="K2380" s="87" t="s">
        <v>11</v>
      </c>
      <c r="L2380" s="108"/>
      <c r="M2380" s="108"/>
      <c r="N2380" s="108" t="str">
        <v>P351H458</v>
      </c>
      <c r="O2380" s="108">
        <f t="shared" si="39"/>
        <v>1</v>
      </c>
      <c r="P2380" s="108"/>
      <c r="Q2380"/>
    </row>
    <row r="2381" spans="1:17" x14ac:dyDescent="0.25">
      <c r="A2381" s="89" t="s">
        <v>8847</v>
      </c>
      <c r="B2381" s="87" t="s">
        <v>8848</v>
      </c>
      <c r="C2381" s="87" t="s">
        <v>15</v>
      </c>
      <c r="D2381" s="87" t="str">
        <f>VLOOKUP(Tabela1[[#This Row],[Origem]], 'Perguntas 1 a 24'!$J$28:$K$34, 2, 0)</f>
        <v>Sudeste</v>
      </c>
      <c r="E2381" s="87" t="str">
        <f>Tabela1[[#This Row],[Descrição]]&amp;"-"&amp;Tabela1[[#This Row],[Código]]&amp;"/"&amp;Tabela1[[#This Row],[Origem]]</f>
        <v>Dodulupi-P351H458/ES</v>
      </c>
      <c r="F2381" s="88">
        <v>46916</v>
      </c>
      <c r="G2381" s="88" t="str" cm="1">
        <f t="array" ref="G23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AND(F2381&gt;= DATE(2026,1,1), F2381&lt;= DATE(2028, 12, 31), J2381&gt;50000), "Pendente e Caro", AND(F2381&gt;= DATE(2026,1,1), F2381&lt;= DATE(2028, 12, 31), J2381&lt;=50000), "Pendente", F2381&gt;= DATE(2029,1,1), "Não prioeitário")</f>
        <v>Pendente e Caro</v>
      </c>
      <c r="H2381" s="89">
        <f>YEAR(Tabela1[[#This Row],[Data de Validade]])</f>
        <v>2028</v>
      </c>
      <c r="I2381" s="89">
        <f>MONTH(Tabela1[[#This Row],[Data de Validade]])</f>
        <v>6</v>
      </c>
      <c r="J2381" s="101">
        <v>109133</v>
      </c>
      <c r="K2381" s="87" t="s">
        <v>11</v>
      </c>
      <c r="L2381" s="108"/>
      <c r="M2381" s="108"/>
      <c r="N2381" s="108" t="str">
        <v>P238P124</v>
      </c>
      <c r="O2381" s="108">
        <f t="shared" si="39"/>
        <v>1</v>
      </c>
      <c r="P2381" s="108"/>
      <c r="Q2381"/>
    </row>
    <row r="2382" spans="1:17" x14ac:dyDescent="0.25">
      <c r="A2382" s="89" t="s">
        <v>4325</v>
      </c>
      <c r="B2382" s="87" t="s">
        <v>4326</v>
      </c>
      <c r="C2382" s="87" t="s">
        <v>8</v>
      </c>
      <c r="D2382" s="87" t="str">
        <f>VLOOKUP(Tabela1[[#This Row],[Origem]], 'Perguntas 1 a 24'!$J$28:$K$34, 2, 0)</f>
        <v>Nordeste</v>
      </c>
      <c r="E2382" s="87" t="str">
        <f>Tabela1[[#This Row],[Descrição]]&amp;"-"&amp;Tabela1[[#This Row],[Código]]&amp;"/"&amp;Tabela1[[#This Row],[Origem]]</f>
        <v>Lamimepu-P238P124/AL</v>
      </c>
      <c r="F2382" s="88">
        <v>46916</v>
      </c>
      <c r="G2382" s="88" t="str" cm="1">
        <f t="array" ref="G23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AND(F2382&gt;= DATE(2026,1,1), F2382&lt;= DATE(2028, 12, 31), J2382&gt;50000), "Pendente e Caro", AND(F2382&gt;= DATE(2026,1,1), F2382&lt;= DATE(2028, 12, 31), J2382&lt;=50000), "Pendente", F2382&gt;= DATE(2029,1,1), "Não prioeitário")</f>
        <v>Pendente e Caro</v>
      </c>
      <c r="H2382" s="89">
        <f>YEAR(Tabela1[[#This Row],[Data de Validade]])</f>
        <v>2028</v>
      </c>
      <c r="I2382" s="89">
        <f>MONTH(Tabela1[[#This Row],[Data de Validade]])</f>
        <v>6</v>
      </c>
      <c r="J2382" s="101">
        <v>73867</v>
      </c>
      <c r="K2382" s="87" t="s">
        <v>14</v>
      </c>
      <c r="L2382" s="108"/>
      <c r="M2382" s="108"/>
      <c r="N2382" s="108" t="str">
        <v>P745H219</v>
      </c>
      <c r="O2382" s="108">
        <f t="shared" si="39"/>
        <v>1</v>
      </c>
      <c r="P2382" s="108"/>
      <c r="Q2382"/>
    </row>
    <row r="2383" spans="1:17" x14ac:dyDescent="0.25">
      <c r="A2383" s="89" t="s">
        <v>8645</v>
      </c>
      <c r="B2383" s="87" t="s">
        <v>8646</v>
      </c>
      <c r="C2383" s="87" t="s">
        <v>8</v>
      </c>
      <c r="D2383" s="87" t="str">
        <f>VLOOKUP(Tabela1[[#This Row],[Origem]], 'Perguntas 1 a 24'!$J$28:$K$34, 2, 0)</f>
        <v>Nordeste</v>
      </c>
      <c r="E2383" s="87" t="str">
        <f>Tabela1[[#This Row],[Descrição]]&amp;"-"&amp;Tabela1[[#This Row],[Código]]&amp;"/"&amp;Tabela1[[#This Row],[Origem]]</f>
        <v>Papagefo-P745H219/AL</v>
      </c>
      <c r="F2383" s="88">
        <v>46918</v>
      </c>
      <c r="G2383" s="88" t="str" cm="1">
        <f t="array" ref="G23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AND(F2383&gt;= DATE(2026,1,1), F2383&lt;= DATE(2028, 12, 31), J2383&gt;50000), "Pendente e Caro", AND(F2383&gt;= DATE(2026,1,1), F2383&lt;= DATE(2028, 12, 31), J2383&lt;=50000), "Pendente", F2383&gt;= DATE(2029,1,1), "Não prioeitário")</f>
        <v>Pendente e Caro</v>
      </c>
      <c r="H2383" s="89">
        <f>YEAR(Tabela1[[#This Row],[Data de Validade]])</f>
        <v>2028</v>
      </c>
      <c r="I2383" s="89">
        <f>MONTH(Tabela1[[#This Row],[Data de Validade]])</f>
        <v>6</v>
      </c>
      <c r="J2383" s="101">
        <v>60176</v>
      </c>
      <c r="K2383" s="87" t="s">
        <v>11</v>
      </c>
      <c r="L2383" s="108"/>
      <c r="M2383" s="108"/>
      <c r="N2383" s="108" t="str">
        <v>P553H296</v>
      </c>
      <c r="O2383" s="108">
        <f t="shared" si="39"/>
        <v>1</v>
      </c>
      <c r="P2383" s="108"/>
      <c r="Q2383"/>
    </row>
    <row r="2384" spans="1:17" x14ac:dyDescent="0.25">
      <c r="A2384" s="89" t="s">
        <v>10517</v>
      </c>
      <c r="B2384" s="87" t="s">
        <v>10518</v>
      </c>
      <c r="C2384" s="87" t="s">
        <v>15</v>
      </c>
      <c r="D2384" s="87" t="str">
        <f>VLOOKUP(Tabela1[[#This Row],[Origem]], 'Perguntas 1 a 24'!$J$28:$K$34, 2, 0)</f>
        <v>Sudeste</v>
      </c>
      <c r="E2384" s="87" t="str">
        <f>Tabela1[[#This Row],[Descrição]]&amp;"-"&amp;Tabela1[[#This Row],[Código]]&amp;"/"&amp;Tabela1[[#This Row],[Origem]]</f>
        <v>Duremi-P553H296/ES</v>
      </c>
      <c r="F2384" s="88">
        <v>46918</v>
      </c>
      <c r="G2384" s="88" t="str" cm="1">
        <f t="array" ref="G23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AND(F2384&gt;= DATE(2026,1,1), F2384&lt;= DATE(2028, 12, 31), J2384&gt;50000), "Pendente e Caro", AND(F2384&gt;= DATE(2026,1,1), F2384&lt;= DATE(2028, 12, 31), J2384&lt;=50000), "Pendente", F2384&gt;= DATE(2029,1,1), "Não prioeitário")</f>
        <v>Pendente</v>
      </c>
      <c r="H2384" s="89">
        <f>YEAR(Tabela1[[#This Row],[Data de Validade]])</f>
        <v>2028</v>
      </c>
      <c r="I2384" s="89">
        <f>MONTH(Tabela1[[#This Row],[Data de Validade]])</f>
        <v>6</v>
      </c>
      <c r="J2384" s="101">
        <v>43766</v>
      </c>
      <c r="K2384" s="87" t="s">
        <v>9</v>
      </c>
      <c r="L2384" s="108"/>
      <c r="M2384" s="108"/>
      <c r="N2384" s="108" t="str">
        <v>P453H354</v>
      </c>
      <c r="O2384" s="108">
        <f t="shared" si="39"/>
        <v>1</v>
      </c>
      <c r="P2384" s="108"/>
      <c r="Q2384"/>
    </row>
    <row r="2385" spans="1:17" x14ac:dyDescent="0.25">
      <c r="A2385" s="89" t="s">
        <v>8579</v>
      </c>
      <c r="B2385" s="87" t="s">
        <v>8580</v>
      </c>
      <c r="C2385" s="87" t="s">
        <v>8</v>
      </c>
      <c r="D2385" s="87" t="str">
        <f>VLOOKUP(Tabela1[[#This Row],[Origem]], 'Perguntas 1 a 24'!$J$28:$K$34, 2, 0)</f>
        <v>Nordeste</v>
      </c>
      <c r="E2385" s="87" t="str">
        <f>Tabela1[[#This Row],[Descrição]]&amp;"-"&amp;Tabela1[[#This Row],[Código]]&amp;"/"&amp;Tabela1[[#This Row],[Origem]]</f>
        <v>Tovego-P453H354/AL</v>
      </c>
      <c r="F2385" s="88">
        <v>46918</v>
      </c>
      <c r="G2385" s="88" t="str" cm="1">
        <f t="array" ref="G23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AND(F2385&gt;= DATE(2026,1,1), F2385&lt;= DATE(2028, 12, 31), J2385&gt;50000), "Pendente e Caro", AND(F2385&gt;= DATE(2026,1,1), F2385&lt;= DATE(2028, 12, 31), J2385&lt;=50000), "Pendente", F2385&gt;= DATE(2029,1,1), "Não prioeitário")</f>
        <v>Pendente</v>
      </c>
      <c r="H2385" s="89">
        <f>YEAR(Tabela1[[#This Row],[Data de Validade]])</f>
        <v>2028</v>
      </c>
      <c r="I2385" s="89">
        <f>MONTH(Tabela1[[#This Row],[Data de Validade]])</f>
        <v>6</v>
      </c>
      <c r="J2385" s="101">
        <v>22970</v>
      </c>
      <c r="K2385" s="87" t="s">
        <v>9</v>
      </c>
      <c r="L2385" s="108"/>
      <c r="M2385" s="108"/>
      <c r="N2385" s="108" t="str">
        <v>H254H418</v>
      </c>
      <c r="O2385" s="108">
        <f t="shared" si="39"/>
        <v>1</v>
      </c>
      <c r="P2385" s="108"/>
      <c r="Q2385"/>
    </row>
    <row r="2386" spans="1:17" x14ac:dyDescent="0.25">
      <c r="A2386" s="89" t="s">
        <v>4856</v>
      </c>
      <c r="B2386" s="87" t="s">
        <v>4857</v>
      </c>
      <c r="C2386" s="87" t="s">
        <v>8</v>
      </c>
      <c r="D2386" s="87" t="str">
        <f>VLOOKUP(Tabela1[[#This Row],[Origem]], 'Perguntas 1 a 24'!$J$28:$K$34, 2, 0)</f>
        <v>Nordeste</v>
      </c>
      <c r="E2386" s="87" t="str">
        <f>Tabela1[[#This Row],[Descrição]]&amp;"-"&amp;Tabela1[[#This Row],[Código]]&amp;"/"&amp;Tabela1[[#This Row],[Origem]]</f>
        <v>Tolerepogu-H254H418/AL</v>
      </c>
      <c r="F2386" s="88">
        <v>46919</v>
      </c>
      <c r="G2386" s="88" t="str" cm="1">
        <f t="array" ref="G23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AND(F2386&gt;= DATE(2026,1,1), F2386&lt;= DATE(2028, 12, 31), J2386&gt;50000), "Pendente e Caro", AND(F2386&gt;= DATE(2026,1,1), F2386&lt;= DATE(2028, 12, 31), J2386&lt;=50000), "Pendente", F2386&gt;= DATE(2029,1,1), "Não prioeitário")</f>
        <v>Pendente e Caro</v>
      </c>
      <c r="H2386" s="89">
        <f>YEAR(Tabela1[[#This Row],[Data de Validade]])</f>
        <v>2028</v>
      </c>
      <c r="I2386" s="89">
        <f>MONTH(Tabela1[[#This Row],[Data de Validade]])</f>
        <v>6</v>
      </c>
      <c r="J2386" s="101">
        <v>93827</v>
      </c>
      <c r="K2386" s="87" t="s">
        <v>9</v>
      </c>
      <c r="L2386" s="108"/>
      <c r="M2386" s="108"/>
      <c r="N2386" s="108" t="str">
        <v>H793P999</v>
      </c>
      <c r="O2386" s="108">
        <f t="shared" si="39"/>
        <v>1</v>
      </c>
      <c r="P2386" s="108"/>
      <c r="Q2386"/>
    </row>
    <row r="2387" spans="1:17" x14ac:dyDescent="0.25">
      <c r="A2387" s="89" t="s">
        <v>7532</v>
      </c>
      <c r="B2387" s="87" t="s">
        <v>7533</v>
      </c>
      <c r="C2387" s="87" t="s">
        <v>8</v>
      </c>
      <c r="D2387" s="87" t="str">
        <f>VLOOKUP(Tabela1[[#This Row],[Origem]], 'Perguntas 1 a 24'!$J$28:$K$34, 2, 0)</f>
        <v>Nordeste</v>
      </c>
      <c r="E2387" s="87" t="str">
        <f>Tabela1[[#This Row],[Descrição]]&amp;"-"&amp;Tabela1[[#This Row],[Código]]&amp;"/"&amp;Tabela1[[#This Row],[Origem]]</f>
        <v>Pederulicu-H793P999/AL</v>
      </c>
      <c r="F2387" s="88">
        <v>46919</v>
      </c>
      <c r="G2387" s="88" t="str" cm="1">
        <f t="array" ref="G23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AND(F2387&gt;= DATE(2026,1,1), F2387&lt;= DATE(2028, 12, 31), J2387&gt;50000), "Pendente e Caro", AND(F2387&gt;= DATE(2026,1,1), F2387&lt;= DATE(2028, 12, 31), J2387&lt;=50000), "Pendente", F2387&gt;= DATE(2029,1,1), "Não prioeitário")</f>
        <v>Pendente</v>
      </c>
      <c r="H2387" s="89">
        <f>YEAR(Tabela1[[#This Row],[Data de Validade]])</f>
        <v>2028</v>
      </c>
      <c r="I2387" s="89">
        <f>MONTH(Tabela1[[#This Row],[Data de Validade]])</f>
        <v>6</v>
      </c>
      <c r="J2387" s="101">
        <v>39569</v>
      </c>
      <c r="K2387" s="87" t="s">
        <v>9</v>
      </c>
      <c r="L2387" s="108"/>
      <c r="M2387" s="108"/>
      <c r="N2387" s="108" t="str">
        <v>P898H726</v>
      </c>
      <c r="O2387" s="108">
        <f t="shared" si="39"/>
        <v>1</v>
      </c>
      <c r="P2387" s="108"/>
      <c r="Q2387"/>
    </row>
    <row r="2388" spans="1:17" x14ac:dyDescent="0.25">
      <c r="A2388" s="89" t="s">
        <v>6854</v>
      </c>
      <c r="B2388" s="87" t="s">
        <v>6855</v>
      </c>
      <c r="C2388" s="87" t="s">
        <v>8</v>
      </c>
      <c r="D2388" s="87" t="str">
        <f>VLOOKUP(Tabela1[[#This Row],[Origem]], 'Perguntas 1 a 24'!$J$28:$K$34, 2, 0)</f>
        <v>Nordeste</v>
      </c>
      <c r="E2388" s="87" t="str">
        <f>Tabela1[[#This Row],[Descrição]]&amp;"-"&amp;Tabela1[[#This Row],[Código]]&amp;"/"&amp;Tabela1[[#This Row],[Origem]]</f>
        <v>Repipepa-P898H726/AL</v>
      </c>
      <c r="F2388" s="88">
        <v>46920</v>
      </c>
      <c r="G2388" s="88" t="str" cm="1">
        <f t="array" ref="G23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AND(F2388&gt;= DATE(2026,1,1), F2388&lt;= DATE(2028, 12, 31), J2388&gt;50000), "Pendente e Caro", AND(F2388&gt;= DATE(2026,1,1), F2388&lt;= DATE(2028, 12, 31), J2388&lt;=50000), "Pendente", F2388&gt;= DATE(2029,1,1), "Não prioeitário")</f>
        <v>Pendente</v>
      </c>
      <c r="H2388" s="89">
        <f>YEAR(Tabela1[[#This Row],[Data de Validade]])</f>
        <v>2028</v>
      </c>
      <c r="I2388" s="89">
        <f>MONTH(Tabela1[[#This Row],[Data de Validade]])</f>
        <v>6</v>
      </c>
      <c r="J2388" s="101">
        <v>29994</v>
      </c>
      <c r="K2388" s="87" t="s">
        <v>14</v>
      </c>
      <c r="L2388" s="108"/>
      <c r="M2388" s="108"/>
      <c r="N2388" s="108" t="str">
        <v>P814P734</v>
      </c>
      <c r="O2388" s="108">
        <f t="shared" si="39"/>
        <v>1</v>
      </c>
      <c r="P2388" s="108"/>
      <c r="Q2388"/>
    </row>
    <row r="2389" spans="1:17" x14ac:dyDescent="0.25">
      <c r="A2389" s="89" t="s">
        <v>8933</v>
      </c>
      <c r="B2389" s="87" t="s">
        <v>8934</v>
      </c>
      <c r="C2389" s="87" t="s">
        <v>15</v>
      </c>
      <c r="D2389" s="87" t="str">
        <f>VLOOKUP(Tabela1[[#This Row],[Origem]], 'Perguntas 1 a 24'!$J$28:$K$34, 2, 0)</f>
        <v>Sudeste</v>
      </c>
      <c r="E2389" s="87" t="str">
        <f>Tabela1[[#This Row],[Descrição]]&amp;"-"&amp;Tabela1[[#This Row],[Código]]&amp;"/"&amp;Tabela1[[#This Row],[Origem]]</f>
        <v>Gatulami-P814P734/ES</v>
      </c>
      <c r="F2389" s="88">
        <v>46922</v>
      </c>
      <c r="G2389" s="88" t="str" cm="1">
        <f t="array" ref="G23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AND(F2389&gt;= DATE(2026,1,1), F2389&lt;= DATE(2028, 12, 31), J2389&gt;50000), "Pendente e Caro", AND(F2389&gt;= DATE(2026,1,1), F2389&lt;= DATE(2028, 12, 31), J2389&lt;=50000), "Pendente", F2389&gt;= DATE(2029,1,1), "Não prioeitário")</f>
        <v>Pendente e Caro</v>
      </c>
      <c r="H2389" s="89">
        <f>YEAR(Tabela1[[#This Row],[Data de Validade]])</f>
        <v>2028</v>
      </c>
      <c r="I2389" s="89">
        <f>MONTH(Tabela1[[#This Row],[Data de Validade]])</f>
        <v>6</v>
      </c>
      <c r="J2389" s="101">
        <v>107469</v>
      </c>
      <c r="K2389" s="87" t="s">
        <v>14</v>
      </c>
      <c r="L2389" s="108"/>
      <c r="M2389" s="108"/>
      <c r="N2389" s="108" t="str">
        <v>P969H488</v>
      </c>
      <c r="O2389" s="108">
        <f t="shared" si="39"/>
        <v>1</v>
      </c>
      <c r="P2389" s="108"/>
      <c r="Q2389"/>
    </row>
    <row r="2390" spans="1:17" x14ac:dyDescent="0.25">
      <c r="A2390" s="89" t="s">
        <v>8368</v>
      </c>
      <c r="B2390" s="87" t="s">
        <v>8369</v>
      </c>
      <c r="C2390" s="87" t="s">
        <v>16</v>
      </c>
      <c r="D2390" s="87" t="str">
        <f>VLOOKUP(Tabela1[[#This Row],[Origem]], 'Perguntas 1 a 24'!$J$28:$K$34, 2, 0)</f>
        <v>Sudeste</v>
      </c>
      <c r="E2390" s="87" t="str">
        <f>Tabela1[[#This Row],[Descrição]]&amp;"-"&amp;Tabela1[[#This Row],[Código]]&amp;"/"&amp;Tabela1[[#This Row],[Origem]]</f>
        <v>Legomonore-P969H488/MG</v>
      </c>
      <c r="F2390" s="88">
        <v>46922</v>
      </c>
      <c r="G2390" s="88" t="str" cm="1">
        <f t="array" ref="G23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AND(F2390&gt;= DATE(2026,1,1), F2390&lt;= DATE(2028, 12, 31), J2390&gt;50000), "Pendente e Caro", AND(F2390&gt;= DATE(2026,1,1), F2390&lt;= DATE(2028, 12, 31), J2390&lt;=50000), "Pendente", F2390&gt;= DATE(2029,1,1), "Não prioeitário")</f>
        <v>Pendente e Caro</v>
      </c>
      <c r="H2390" s="89">
        <f>YEAR(Tabela1[[#This Row],[Data de Validade]])</f>
        <v>2028</v>
      </c>
      <c r="I2390" s="89">
        <f>MONTH(Tabela1[[#This Row],[Data de Validade]])</f>
        <v>6</v>
      </c>
      <c r="J2390" s="101">
        <v>52095</v>
      </c>
      <c r="K2390" s="87" t="s">
        <v>9</v>
      </c>
      <c r="L2390" s="108"/>
      <c r="M2390" s="108"/>
      <c r="N2390" s="108" t="str">
        <v>H368H282</v>
      </c>
      <c r="O2390" s="108">
        <f t="shared" si="39"/>
        <v>1</v>
      </c>
      <c r="P2390" s="108"/>
      <c r="Q2390"/>
    </row>
    <row r="2391" spans="1:17" x14ac:dyDescent="0.25">
      <c r="A2391" s="89" t="s">
        <v>6576</v>
      </c>
      <c r="B2391" s="87" t="s">
        <v>6577</v>
      </c>
      <c r="C2391" s="87" t="s">
        <v>10</v>
      </c>
      <c r="D2391" s="87" t="str">
        <f>VLOOKUP(Tabela1[[#This Row],[Origem]], 'Perguntas 1 a 24'!$J$28:$K$34, 2, 0)</f>
        <v>Centro-Oeste</v>
      </c>
      <c r="E2391" s="87" t="str">
        <f>Tabela1[[#This Row],[Descrição]]&amp;"-"&amp;Tabela1[[#This Row],[Código]]&amp;"/"&amp;Tabela1[[#This Row],[Origem]]</f>
        <v>Pipafene-H368H282/GO</v>
      </c>
      <c r="F2391" s="88">
        <v>46923</v>
      </c>
      <c r="G2391" s="88" t="str" cm="1">
        <f t="array" ref="G23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AND(F2391&gt;= DATE(2026,1,1), F2391&lt;= DATE(2028, 12, 31), J2391&gt;50000), "Pendente e Caro", AND(F2391&gt;= DATE(2026,1,1), F2391&lt;= DATE(2028, 12, 31), J2391&lt;=50000), "Pendente", F2391&gt;= DATE(2029,1,1), "Não prioeitário")</f>
        <v>Pendente e Caro</v>
      </c>
      <c r="H2391" s="89">
        <f>YEAR(Tabela1[[#This Row],[Data de Validade]])</f>
        <v>2028</v>
      </c>
      <c r="I2391" s="89">
        <f>MONTH(Tabela1[[#This Row],[Data de Validade]])</f>
        <v>6</v>
      </c>
      <c r="J2391" s="101">
        <v>101257</v>
      </c>
      <c r="K2391" s="87" t="s">
        <v>9</v>
      </c>
      <c r="L2391" s="108"/>
      <c r="M2391" s="108"/>
      <c r="N2391" s="108" t="str">
        <v>H251H356</v>
      </c>
      <c r="O2391" s="108">
        <f t="shared" si="39"/>
        <v>1</v>
      </c>
      <c r="P2391" s="108"/>
      <c r="Q2391"/>
    </row>
    <row r="2392" spans="1:17" x14ac:dyDescent="0.25">
      <c r="A2392" s="89" t="s">
        <v>8260</v>
      </c>
      <c r="B2392" s="87" t="s">
        <v>8261</v>
      </c>
      <c r="C2392" s="87" t="s">
        <v>10</v>
      </c>
      <c r="D2392" s="87" t="str">
        <f>VLOOKUP(Tabela1[[#This Row],[Origem]], 'Perguntas 1 a 24'!$J$28:$K$34, 2, 0)</f>
        <v>Centro-Oeste</v>
      </c>
      <c r="E2392" s="87" t="str">
        <f>Tabela1[[#This Row],[Descrição]]&amp;"-"&amp;Tabela1[[#This Row],[Código]]&amp;"/"&amp;Tabela1[[#This Row],[Origem]]</f>
        <v>Rutote-H251H356/GO</v>
      </c>
      <c r="F2392" s="88">
        <v>46923</v>
      </c>
      <c r="G2392" s="88" t="str" cm="1">
        <f t="array" ref="G23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AND(F2392&gt;= DATE(2026,1,1), F2392&lt;= DATE(2028, 12, 31), J2392&gt;50000), "Pendente e Caro", AND(F2392&gt;= DATE(2026,1,1), F2392&lt;= DATE(2028, 12, 31), J2392&lt;=50000), "Pendente", F2392&gt;= DATE(2029,1,1), "Não prioeitário")</f>
        <v>Pendente e Caro</v>
      </c>
      <c r="H2392" s="89">
        <f>YEAR(Tabela1[[#This Row],[Data de Validade]])</f>
        <v>2028</v>
      </c>
      <c r="I2392" s="89">
        <f>MONTH(Tabela1[[#This Row],[Data de Validade]])</f>
        <v>6</v>
      </c>
      <c r="J2392" s="101">
        <v>93508</v>
      </c>
      <c r="K2392" s="87" t="s">
        <v>9</v>
      </c>
      <c r="L2392" s="108"/>
      <c r="M2392" s="108"/>
      <c r="N2392" s="108" t="str">
        <v>P822P131</v>
      </c>
      <c r="O2392" s="108">
        <f t="shared" si="39"/>
        <v>1</v>
      </c>
      <c r="P2392" s="108"/>
      <c r="Q2392"/>
    </row>
    <row r="2393" spans="1:17" x14ac:dyDescent="0.25">
      <c r="A2393" s="89" t="s">
        <v>4297</v>
      </c>
      <c r="B2393" s="87" t="s">
        <v>4298</v>
      </c>
      <c r="C2393" s="87" t="s">
        <v>16</v>
      </c>
      <c r="D2393" s="87" t="str">
        <f>VLOOKUP(Tabela1[[#This Row],[Origem]], 'Perguntas 1 a 24'!$J$28:$K$34, 2, 0)</f>
        <v>Sudeste</v>
      </c>
      <c r="E2393" s="87" t="str">
        <f>Tabela1[[#This Row],[Descrição]]&amp;"-"&amp;Tabela1[[#This Row],[Código]]&amp;"/"&amp;Tabela1[[#This Row],[Origem]]</f>
        <v>Tipivimu-P822P131/MG</v>
      </c>
      <c r="F2393" s="88">
        <v>46923</v>
      </c>
      <c r="G2393" s="88" t="str" cm="1">
        <f t="array" ref="G23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AND(F2393&gt;= DATE(2026,1,1), F2393&lt;= DATE(2028, 12, 31), J2393&gt;50000), "Pendente e Caro", AND(F2393&gt;= DATE(2026,1,1), F2393&lt;= DATE(2028, 12, 31), J2393&lt;=50000), "Pendente", F2393&gt;= DATE(2029,1,1), "Não prioeitário")</f>
        <v>Pendente e Caro</v>
      </c>
      <c r="H2393" s="89">
        <f>YEAR(Tabela1[[#This Row],[Data de Validade]])</f>
        <v>2028</v>
      </c>
      <c r="I2393" s="89">
        <f>MONTH(Tabela1[[#This Row],[Data de Validade]])</f>
        <v>6</v>
      </c>
      <c r="J2393" s="101">
        <v>84122</v>
      </c>
      <c r="K2393" s="87" t="s">
        <v>7</v>
      </c>
      <c r="L2393" s="108"/>
      <c r="M2393" s="108"/>
      <c r="N2393" s="108" t="str">
        <v>P964P744</v>
      </c>
      <c r="O2393" s="108">
        <f t="shared" si="39"/>
        <v>1</v>
      </c>
      <c r="P2393" s="108"/>
      <c r="Q2393"/>
    </row>
    <row r="2394" spans="1:17" x14ac:dyDescent="0.25">
      <c r="A2394" s="89" t="s">
        <v>10371</v>
      </c>
      <c r="B2394" s="87" t="s">
        <v>10372</v>
      </c>
      <c r="C2394" s="87" t="s">
        <v>13</v>
      </c>
      <c r="D2394" s="87" t="str">
        <f>VLOOKUP(Tabela1[[#This Row],[Origem]], 'Perguntas 1 a 24'!$J$28:$K$34, 2, 0)</f>
        <v>Sudeste</v>
      </c>
      <c r="E2394" s="87" t="str">
        <f>Tabela1[[#This Row],[Descrição]]&amp;"-"&amp;Tabela1[[#This Row],[Código]]&amp;"/"&amp;Tabela1[[#This Row],[Origem]]</f>
        <v>Tadefe-P964P744/SP</v>
      </c>
      <c r="F2394" s="88">
        <v>46924</v>
      </c>
      <c r="G2394" s="88" t="str" cm="1">
        <f t="array" ref="G23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AND(F2394&gt;= DATE(2026,1,1), F2394&lt;= DATE(2028, 12, 31), J2394&gt;50000), "Pendente e Caro", AND(F2394&gt;= DATE(2026,1,1), F2394&lt;= DATE(2028, 12, 31), J2394&lt;=50000), "Pendente", F2394&gt;= DATE(2029,1,1), "Não prioeitário")</f>
        <v>Pendente e Caro</v>
      </c>
      <c r="H2394" s="89">
        <f>YEAR(Tabela1[[#This Row],[Data de Validade]])</f>
        <v>2028</v>
      </c>
      <c r="I2394" s="89">
        <f>MONTH(Tabela1[[#This Row],[Data de Validade]])</f>
        <v>6</v>
      </c>
      <c r="J2394" s="101">
        <v>114720</v>
      </c>
      <c r="K2394" s="87" t="s">
        <v>14</v>
      </c>
      <c r="L2394" s="108"/>
      <c r="M2394" s="108"/>
      <c r="N2394" s="108" t="str">
        <v>P142H222</v>
      </c>
      <c r="O2394" s="108">
        <f t="shared" si="39"/>
        <v>1</v>
      </c>
      <c r="P2394" s="108"/>
      <c r="Q2394"/>
    </row>
    <row r="2395" spans="1:17" x14ac:dyDescent="0.25">
      <c r="A2395" s="89" t="s">
        <v>5274</v>
      </c>
      <c r="B2395" s="87" t="s">
        <v>5275</v>
      </c>
      <c r="C2395" s="87" t="s">
        <v>12</v>
      </c>
      <c r="D2395" s="87" t="str">
        <f>VLOOKUP(Tabela1[[#This Row],[Origem]], 'Perguntas 1 a 24'!$J$28:$K$34, 2, 0)</f>
        <v>Sudeste</v>
      </c>
      <c r="E2395" s="87" t="str">
        <f>Tabela1[[#This Row],[Descrição]]&amp;"-"&amp;Tabela1[[#This Row],[Código]]&amp;"/"&amp;Tabela1[[#This Row],[Origem]]</f>
        <v>Toluvavima-P142H222/RJ</v>
      </c>
      <c r="F2395" s="88">
        <v>46924</v>
      </c>
      <c r="G2395" s="88" t="str" cm="1">
        <f t="array" ref="G23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AND(F2395&gt;= DATE(2026,1,1), F2395&lt;= DATE(2028, 12, 31), J2395&gt;50000), "Pendente e Caro", AND(F2395&gt;= DATE(2026,1,1), F2395&lt;= DATE(2028, 12, 31), J2395&lt;=50000), "Pendente", F2395&gt;= DATE(2029,1,1), "Não prioeitário")</f>
        <v>Pendente</v>
      </c>
      <c r="H2395" s="89">
        <f>YEAR(Tabela1[[#This Row],[Data de Validade]])</f>
        <v>2028</v>
      </c>
      <c r="I2395" s="89">
        <f>MONTH(Tabela1[[#This Row],[Data de Validade]])</f>
        <v>6</v>
      </c>
      <c r="J2395" s="101">
        <v>43295</v>
      </c>
      <c r="K2395" s="87" t="s">
        <v>9</v>
      </c>
      <c r="L2395" s="108"/>
      <c r="M2395" s="108"/>
      <c r="N2395" s="108" t="str">
        <v>H189H749</v>
      </c>
      <c r="O2395" s="108">
        <f t="shared" si="39"/>
        <v>1</v>
      </c>
      <c r="P2395" s="108"/>
      <c r="Q2395"/>
    </row>
    <row r="2396" spans="1:17" x14ac:dyDescent="0.25">
      <c r="A2396" s="89" t="s">
        <v>9715</v>
      </c>
      <c r="B2396" s="87" t="s">
        <v>9716</v>
      </c>
      <c r="C2396" s="87" t="s">
        <v>6</v>
      </c>
      <c r="D2396" s="87" t="str">
        <f>VLOOKUP(Tabela1[[#This Row],[Origem]], 'Perguntas 1 a 24'!$J$28:$K$34, 2, 0)</f>
        <v>Nordeste</v>
      </c>
      <c r="E2396" s="87" t="str">
        <f>Tabela1[[#This Row],[Descrição]]&amp;"-"&amp;Tabela1[[#This Row],[Código]]&amp;"/"&amp;Tabela1[[#This Row],[Origem]]</f>
        <v>Pipupacipe-H189H749/MA</v>
      </c>
      <c r="F2396" s="88">
        <v>46924</v>
      </c>
      <c r="G2396" s="88" t="str" cm="1">
        <f t="array" ref="G23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AND(F2396&gt;= DATE(2026,1,1), F2396&lt;= DATE(2028, 12, 31), J2396&gt;50000), "Pendente e Caro", AND(F2396&gt;= DATE(2026,1,1), F2396&lt;= DATE(2028, 12, 31), J2396&lt;=50000), "Pendente", F2396&gt;= DATE(2029,1,1), "Não prioeitário")</f>
        <v>Pendente</v>
      </c>
      <c r="H2396" s="89">
        <f>YEAR(Tabela1[[#This Row],[Data de Validade]])</f>
        <v>2028</v>
      </c>
      <c r="I2396" s="89">
        <f>MONTH(Tabela1[[#This Row],[Data de Validade]])</f>
        <v>6</v>
      </c>
      <c r="J2396" s="101">
        <v>36907</v>
      </c>
      <c r="K2396" s="87" t="s">
        <v>7</v>
      </c>
      <c r="L2396" s="108"/>
      <c r="M2396" s="108"/>
      <c r="N2396" s="108" t="str">
        <v>H759H993</v>
      </c>
      <c r="O2396" s="108">
        <f t="shared" si="39"/>
        <v>1</v>
      </c>
      <c r="P2396" s="108"/>
      <c r="Q2396"/>
    </row>
    <row r="2397" spans="1:17" x14ac:dyDescent="0.25">
      <c r="A2397" s="89" t="s">
        <v>10183</v>
      </c>
      <c r="B2397" s="87" t="s">
        <v>10184</v>
      </c>
      <c r="C2397" s="87" t="s">
        <v>10</v>
      </c>
      <c r="D2397" s="87" t="str">
        <f>VLOOKUP(Tabela1[[#This Row],[Origem]], 'Perguntas 1 a 24'!$J$28:$K$34, 2, 0)</f>
        <v>Centro-Oeste</v>
      </c>
      <c r="E2397" s="87" t="str">
        <f>Tabela1[[#This Row],[Descrição]]&amp;"-"&amp;Tabela1[[#This Row],[Código]]&amp;"/"&amp;Tabela1[[#This Row],[Origem]]</f>
        <v>Gutema-H759H993/GO</v>
      </c>
      <c r="F2397" s="88">
        <v>46924</v>
      </c>
      <c r="G2397" s="88" t="str" cm="1">
        <f t="array" ref="G23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AND(F2397&gt;= DATE(2026,1,1), F2397&lt;= DATE(2028, 12, 31), J2397&gt;50000), "Pendente e Caro", AND(F2397&gt;= DATE(2026,1,1), F2397&lt;= DATE(2028, 12, 31), J2397&lt;=50000), "Pendente", F2397&gt;= DATE(2029,1,1), "Não prioeitário")</f>
        <v>Pendente</v>
      </c>
      <c r="H2397" s="89">
        <f>YEAR(Tabela1[[#This Row],[Data de Validade]])</f>
        <v>2028</v>
      </c>
      <c r="I2397" s="89">
        <f>MONTH(Tabela1[[#This Row],[Data de Validade]])</f>
        <v>6</v>
      </c>
      <c r="J2397" s="101">
        <v>34958</v>
      </c>
      <c r="K2397" s="87" t="s">
        <v>11</v>
      </c>
      <c r="L2397" s="108"/>
      <c r="M2397" s="108"/>
      <c r="N2397" s="108" t="str">
        <v>H983P292</v>
      </c>
      <c r="O2397" s="108">
        <f t="shared" si="39"/>
        <v>1</v>
      </c>
      <c r="P2397" s="108"/>
      <c r="Q2397"/>
    </row>
    <row r="2398" spans="1:17" x14ac:dyDescent="0.25">
      <c r="A2398" s="89" t="s">
        <v>4038</v>
      </c>
      <c r="B2398" s="87" t="s">
        <v>4039</v>
      </c>
      <c r="C2398" s="87" t="s">
        <v>16</v>
      </c>
      <c r="D2398" s="87" t="str">
        <f>VLOOKUP(Tabela1[[#This Row],[Origem]], 'Perguntas 1 a 24'!$J$28:$K$34, 2, 0)</f>
        <v>Sudeste</v>
      </c>
      <c r="E2398" s="87" t="str">
        <f>Tabela1[[#This Row],[Descrição]]&amp;"-"&amp;Tabela1[[#This Row],[Código]]&amp;"/"&amp;Tabela1[[#This Row],[Origem]]</f>
        <v>Doperugeca-H983P292/MG</v>
      </c>
      <c r="F2398" s="88">
        <v>46925</v>
      </c>
      <c r="G2398" s="88" t="str" cm="1">
        <f t="array" ref="G23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AND(F2398&gt;= DATE(2026,1,1), F2398&lt;= DATE(2028, 12, 31), J2398&gt;50000), "Pendente e Caro", AND(F2398&gt;= DATE(2026,1,1), F2398&lt;= DATE(2028, 12, 31), J2398&lt;=50000), "Pendente", F2398&gt;= DATE(2029,1,1), "Não prioeitário")</f>
        <v>Pendente e Caro</v>
      </c>
      <c r="H2398" s="89">
        <f>YEAR(Tabela1[[#This Row],[Data de Validade]])</f>
        <v>2028</v>
      </c>
      <c r="I2398" s="89">
        <f>MONTH(Tabela1[[#This Row],[Data de Validade]])</f>
        <v>6</v>
      </c>
      <c r="J2398" s="101">
        <v>73279</v>
      </c>
      <c r="K2398" s="87" t="s">
        <v>14</v>
      </c>
      <c r="L2398" s="108"/>
      <c r="M2398" s="108"/>
      <c r="N2398" s="108" t="str">
        <v>H566H456</v>
      </c>
      <c r="O2398" s="108">
        <f t="shared" si="39"/>
        <v>1</v>
      </c>
      <c r="P2398" s="108"/>
      <c r="Q2398"/>
    </row>
    <row r="2399" spans="1:17" x14ac:dyDescent="0.25">
      <c r="A2399" s="89" t="s">
        <v>5800</v>
      </c>
      <c r="B2399" s="87" t="s">
        <v>5801</v>
      </c>
      <c r="C2399" s="87" t="s">
        <v>10</v>
      </c>
      <c r="D2399" s="87" t="str">
        <f>VLOOKUP(Tabela1[[#This Row],[Origem]], 'Perguntas 1 a 24'!$J$28:$K$34, 2, 0)</f>
        <v>Centro-Oeste</v>
      </c>
      <c r="E2399" s="87" t="str">
        <f>Tabela1[[#This Row],[Descrição]]&amp;"-"&amp;Tabela1[[#This Row],[Código]]&amp;"/"&amp;Tabela1[[#This Row],[Origem]]</f>
        <v>Vitale-H566H456/GO</v>
      </c>
      <c r="F2399" s="88">
        <v>46926</v>
      </c>
      <c r="G2399" s="88" t="str" cm="1">
        <f t="array" ref="G23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AND(F2399&gt;= DATE(2026,1,1), F2399&lt;= DATE(2028, 12, 31), J2399&gt;50000), "Pendente e Caro", AND(F2399&gt;= DATE(2026,1,1), F2399&lt;= DATE(2028, 12, 31), J2399&lt;=50000), "Pendente", F2399&gt;= DATE(2029,1,1), "Não prioeitário")</f>
        <v>Pendente e Caro</v>
      </c>
      <c r="H2399" s="89">
        <f>YEAR(Tabela1[[#This Row],[Data de Validade]])</f>
        <v>2028</v>
      </c>
      <c r="I2399" s="89">
        <f>MONTH(Tabela1[[#This Row],[Data de Validade]])</f>
        <v>6</v>
      </c>
      <c r="J2399" s="101">
        <v>106788</v>
      </c>
      <c r="K2399" s="87" t="s">
        <v>9</v>
      </c>
      <c r="L2399" s="108"/>
      <c r="M2399" s="108"/>
      <c r="N2399" s="108" t="str">
        <v>H484H675</v>
      </c>
      <c r="O2399" s="108">
        <f t="shared" si="39"/>
        <v>1</v>
      </c>
      <c r="P2399" s="108"/>
      <c r="Q2399"/>
    </row>
    <row r="2400" spans="1:17" x14ac:dyDescent="0.25">
      <c r="A2400" s="89" t="s">
        <v>4487</v>
      </c>
      <c r="B2400" s="87" t="s">
        <v>18</v>
      </c>
      <c r="C2400" s="87" t="s">
        <v>10</v>
      </c>
      <c r="D2400" s="87" t="str">
        <f>VLOOKUP(Tabela1[[#This Row],[Origem]], 'Perguntas 1 a 24'!$J$28:$K$34, 2, 0)</f>
        <v>Centro-Oeste</v>
      </c>
      <c r="E2400" s="87" t="str">
        <f>Tabela1[[#This Row],[Descrição]]&amp;"-"&amp;Tabela1[[#This Row],[Código]]&amp;"/"&amp;Tabela1[[#This Row],[Origem]]</f>
        <v>Favidufere-H484H675/GO</v>
      </c>
      <c r="F2400" s="88">
        <v>46926</v>
      </c>
      <c r="G2400" s="88" t="str" cm="1">
        <f t="array" ref="G24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AND(F2400&gt;= DATE(2026,1,1), F2400&lt;= DATE(2028, 12, 31), J2400&gt;50000), "Pendente e Caro", AND(F2400&gt;= DATE(2026,1,1), F2400&lt;= DATE(2028, 12, 31), J2400&lt;=50000), "Pendente", F2400&gt;= DATE(2029,1,1), "Não prioeitário")</f>
        <v>Pendente</v>
      </c>
      <c r="H2400" s="89">
        <f>YEAR(Tabela1[[#This Row],[Data de Validade]])</f>
        <v>2028</v>
      </c>
      <c r="I2400" s="89">
        <f>MONTH(Tabela1[[#This Row],[Data de Validade]])</f>
        <v>6</v>
      </c>
      <c r="J2400" s="101">
        <v>47791</v>
      </c>
      <c r="K2400" s="87" t="s">
        <v>11</v>
      </c>
      <c r="L2400" s="108"/>
      <c r="M2400" s="108"/>
      <c r="N2400" s="108" t="str">
        <v>H826H549</v>
      </c>
      <c r="O2400" s="108">
        <f t="shared" si="39"/>
        <v>1</v>
      </c>
      <c r="P2400" s="108"/>
      <c r="Q2400"/>
    </row>
    <row r="2401" spans="1:17" x14ac:dyDescent="0.25">
      <c r="A2401" s="89" t="s">
        <v>5016</v>
      </c>
      <c r="B2401" s="87" t="s">
        <v>5017</v>
      </c>
      <c r="C2401" s="87" t="s">
        <v>8</v>
      </c>
      <c r="D2401" s="87" t="str">
        <f>VLOOKUP(Tabela1[[#This Row],[Origem]], 'Perguntas 1 a 24'!$J$28:$K$34, 2, 0)</f>
        <v>Nordeste</v>
      </c>
      <c r="E2401" s="87" t="str">
        <f>Tabela1[[#This Row],[Descrição]]&amp;"-"&amp;Tabela1[[#This Row],[Código]]&amp;"/"&amp;Tabela1[[#This Row],[Origem]]</f>
        <v>Gicata-H826H549/AL</v>
      </c>
      <c r="F2401" s="88">
        <v>46927</v>
      </c>
      <c r="G2401" s="88" t="str" cm="1">
        <f t="array" ref="G24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AND(F2401&gt;= DATE(2026,1,1), F2401&lt;= DATE(2028, 12, 31), J2401&gt;50000), "Pendente e Caro", AND(F2401&gt;= DATE(2026,1,1), F2401&lt;= DATE(2028, 12, 31), J2401&lt;=50000), "Pendente", F2401&gt;= DATE(2029,1,1), "Não prioeitário")</f>
        <v>Pendente e Caro</v>
      </c>
      <c r="H2401" s="89">
        <f>YEAR(Tabela1[[#This Row],[Data de Validade]])</f>
        <v>2028</v>
      </c>
      <c r="I2401" s="89">
        <f>MONTH(Tabela1[[#This Row],[Data de Validade]])</f>
        <v>6</v>
      </c>
      <c r="J2401" s="101">
        <v>108518</v>
      </c>
      <c r="K2401" s="87" t="s">
        <v>7</v>
      </c>
      <c r="L2401" s="108"/>
      <c r="M2401" s="108"/>
      <c r="N2401" s="108" t="str">
        <v>H286H897</v>
      </c>
      <c r="O2401" s="108">
        <f t="shared" si="39"/>
        <v>1</v>
      </c>
      <c r="P2401" s="108"/>
      <c r="Q2401"/>
    </row>
    <row r="2402" spans="1:17" x14ac:dyDescent="0.25">
      <c r="A2402" s="89" t="s">
        <v>3872</v>
      </c>
      <c r="B2402" s="87" t="s">
        <v>3873</v>
      </c>
      <c r="C2402" s="87" t="s">
        <v>16</v>
      </c>
      <c r="D2402" s="87" t="str">
        <f>VLOOKUP(Tabela1[[#This Row],[Origem]], 'Perguntas 1 a 24'!$J$28:$K$34, 2, 0)</f>
        <v>Sudeste</v>
      </c>
      <c r="E2402" s="87" t="str">
        <f>Tabela1[[#This Row],[Descrição]]&amp;"-"&amp;Tabela1[[#This Row],[Código]]&amp;"/"&amp;Tabela1[[#This Row],[Origem]]</f>
        <v>Pipapo-H286H897/MG</v>
      </c>
      <c r="F2402" s="88">
        <v>46927</v>
      </c>
      <c r="G2402" s="88" t="str" cm="1">
        <f t="array" ref="G24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AND(F2402&gt;= DATE(2026,1,1), F2402&lt;= DATE(2028, 12, 31), J2402&gt;50000), "Pendente e Caro", AND(F2402&gt;= DATE(2026,1,1), F2402&lt;= DATE(2028, 12, 31), J2402&lt;=50000), "Pendente", F2402&gt;= DATE(2029,1,1), "Não prioeitário")</f>
        <v>Pendente e Caro</v>
      </c>
      <c r="H2402" s="89">
        <f>YEAR(Tabela1[[#This Row],[Data de Validade]])</f>
        <v>2028</v>
      </c>
      <c r="I2402" s="89">
        <f>MONTH(Tabela1[[#This Row],[Data de Validade]])</f>
        <v>6</v>
      </c>
      <c r="J2402" s="101">
        <v>99466</v>
      </c>
      <c r="K2402" s="87" t="s">
        <v>11</v>
      </c>
      <c r="L2402" s="108"/>
      <c r="M2402" s="108"/>
      <c r="N2402" s="108" t="str">
        <v>P559H358</v>
      </c>
      <c r="O2402" s="108">
        <f t="shared" si="39"/>
        <v>1</v>
      </c>
      <c r="P2402" s="108"/>
      <c r="Q2402"/>
    </row>
    <row r="2403" spans="1:17" x14ac:dyDescent="0.25">
      <c r="A2403" s="89" t="s">
        <v>9571</v>
      </c>
      <c r="B2403" s="87" t="s">
        <v>9572</v>
      </c>
      <c r="C2403" s="87" t="s">
        <v>6</v>
      </c>
      <c r="D2403" s="87" t="str">
        <f>VLOOKUP(Tabela1[[#This Row],[Origem]], 'Perguntas 1 a 24'!$J$28:$K$34, 2, 0)</f>
        <v>Nordeste</v>
      </c>
      <c r="E2403" s="87" t="str">
        <f>Tabela1[[#This Row],[Descrição]]&amp;"-"&amp;Tabela1[[#This Row],[Código]]&amp;"/"&amp;Tabela1[[#This Row],[Origem]]</f>
        <v>Ramitume-P559H358/MA</v>
      </c>
      <c r="F2403" s="88">
        <v>46927</v>
      </c>
      <c r="G2403" s="88" t="str" cm="1">
        <f t="array" ref="G24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AND(F2403&gt;= DATE(2026,1,1), F2403&lt;= DATE(2028, 12, 31), J2403&gt;50000), "Pendente e Caro", AND(F2403&gt;= DATE(2026,1,1), F2403&lt;= DATE(2028, 12, 31), J2403&lt;=50000), "Pendente", F2403&gt;= DATE(2029,1,1), "Não prioeitário")</f>
        <v>Pendente e Caro</v>
      </c>
      <c r="H2403" s="89">
        <f>YEAR(Tabela1[[#This Row],[Data de Validade]])</f>
        <v>2028</v>
      </c>
      <c r="I2403" s="89">
        <f>MONTH(Tabela1[[#This Row],[Data de Validade]])</f>
        <v>6</v>
      </c>
      <c r="J2403" s="101">
        <v>83717</v>
      </c>
      <c r="K2403" s="87" t="s">
        <v>14</v>
      </c>
      <c r="L2403" s="108"/>
      <c r="M2403" s="108"/>
      <c r="N2403" s="108" t="str">
        <v>P141P554</v>
      </c>
      <c r="O2403" s="108">
        <f t="shared" si="39"/>
        <v>1</v>
      </c>
      <c r="P2403" s="108"/>
      <c r="Q2403"/>
    </row>
    <row r="2404" spans="1:17" x14ac:dyDescent="0.25">
      <c r="A2404" s="89" t="s">
        <v>10791</v>
      </c>
      <c r="B2404" s="87" t="s">
        <v>10792</v>
      </c>
      <c r="C2404" s="87" t="s">
        <v>10</v>
      </c>
      <c r="D2404" s="87" t="str">
        <f>VLOOKUP(Tabela1[[#This Row],[Origem]], 'Perguntas 1 a 24'!$J$28:$K$34, 2, 0)</f>
        <v>Centro-Oeste</v>
      </c>
      <c r="E2404" s="87" t="str">
        <f>Tabela1[[#This Row],[Descrição]]&amp;"-"&amp;Tabela1[[#This Row],[Código]]&amp;"/"&amp;Tabela1[[#This Row],[Origem]]</f>
        <v>Natutufote-P141P554/GO</v>
      </c>
      <c r="F2404" s="88">
        <v>46927</v>
      </c>
      <c r="G2404" s="88" t="str" cm="1">
        <f t="array" ref="G24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AND(F2404&gt;= DATE(2026,1,1), F2404&lt;= DATE(2028, 12, 31), J2404&gt;50000), "Pendente e Caro", AND(F2404&gt;= DATE(2026,1,1), F2404&lt;= DATE(2028, 12, 31), J2404&lt;=50000), "Pendente", F2404&gt;= DATE(2029,1,1), "Não prioeitário")</f>
        <v>Pendente e Caro</v>
      </c>
      <c r="H2404" s="89">
        <f>YEAR(Tabela1[[#This Row],[Data de Validade]])</f>
        <v>2028</v>
      </c>
      <c r="I2404" s="89">
        <f>MONTH(Tabela1[[#This Row],[Data de Validade]])</f>
        <v>6</v>
      </c>
      <c r="J2404" s="101">
        <v>83282</v>
      </c>
      <c r="K2404" s="87" t="s">
        <v>14</v>
      </c>
      <c r="L2404" s="108"/>
      <c r="M2404" s="108"/>
      <c r="N2404" s="108" t="str">
        <v>H348P175</v>
      </c>
      <c r="O2404" s="108">
        <f t="shared" si="39"/>
        <v>1</v>
      </c>
      <c r="P2404" s="108"/>
      <c r="Q2404"/>
    </row>
    <row r="2405" spans="1:17" x14ac:dyDescent="0.25">
      <c r="A2405" s="89" t="s">
        <v>6176</v>
      </c>
      <c r="B2405" s="87" t="s">
        <v>6177</v>
      </c>
      <c r="C2405" s="87" t="s">
        <v>16</v>
      </c>
      <c r="D2405" s="87" t="str">
        <f>VLOOKUP(Tabela1[[#This Row],[Origem]], 'Perguntas 1 a 24'!$J$28:$K$34, 2, 0)</f>
        <v>Sudeste</v>
      </c>
      <c r="E2405" s="87" t="str">
        <f>Tabela1[[#This Row],[Descrição]]&amp;"-"&amp;Tabela1[[#This Row],[Código]]&amp;"/"&amp;Tabela1[[#This Row],[Origem]]</f>
        <v>Gemomufuta-H348P175/MG</v>
      </c>
      <c r="F2405" s="88">
        <v>46928</v>
      </c>
      <c r="G2405" s="88" t="str" cm="1">
        <f t="array" ref="G24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AND(F2405&gt;= DATE(2026,1,1), F2405&lt;= DATE(2028, 12, 31), J2405&gt;50000), "Pendente e Caro", AND(F2405&gt;= DATE(2026,1,1), F2405&lt;= DATE(2028, 12, 31), J2405&lt;=50000), "Pendente", F2405&gt;= DATE(2029,1,1), "Não prioeitário")</f>
        <v>Pendente e Caro</v>
      </c>
      <c r="H2405" s="89">
        <f>YEAR(Tabela1[[#This Row],[Data de Validade]])</f>
        <v>2028</v>
      </c>
      <c r="I2405" s="89">
        <f>MONTH(Tabela1[[#This Row],[Data de Validade]])</f>
        <v>6</v>
      </c>
      <c r="J2405" s="101">
        <v>61608</v>
      </c>
      <c r="K2405" s="87" t="s">
        <v>7</v>
      </c>
      <c r="L2405" s="108"/>
      <c r="M2405" s="108"/>
      <c r="N2405" s="108" t="str">
        <v>P993P662</v>
      </c>
      <c r="O2405" s="108">
        <f t="shared" si="39"/>
        <v>1</v>
      </c>
      <c r="P2405" s="108"/>
      <c r="Q2405"/>
    </row>
    <row r="2406" spans="1:17" x14ac:dyDescent="0.25">
      <c r="A2406" s="89" t="s">
        <v>6456</v>
      </c>
      <c r="B2406" s="87" t="s">
        <v>6457</v>
      </c>
      <c r="C2406" s="87" t="s">
        <v>15</v>
      </c>
      <c r="D2406" s="87" t="str">
        <f>VLOOKUP(Tabela1[[#This Row],[Origem]], 'Perguntas 1 a 24'!$J$28:$K$34, 2, 0)</f>
        <v>Sudeste</v>
      </c>
      <c r="E2406" s="87" t="str">
        <f>Tabela1[[#This Row],[Descrição]]&amp;"-"&amp;Tabela1[[#This Row],[Código]]&amp;"/"&amp;Tabela1[[#This Row],[Origem]]</f>
        <v>Rofeda-P993P662/ES</v>
      </c>
      <c r="F2406" s="88">
        <v>46928</v>
      </c>
      <c r="G2406" s="88" t="str" cm="1">
        <f t="array" ref="G24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AND(F2406&gt;= DATE(2026,1,1), F2406&lt;= DATE(2028, 12, 31), J2406&gt;50000), "Pendente e Caro", AND(F2406&gt;= DATE(2026,1,1), F2406&lt;= DATE(2028, 12, 31), J2406&lt;=50000), "Pendente", F2406&gt;= DATE(2029,1,1), "Não prioeitário")</f>
        <v>Pendente e Caro</v>
      </c>
      <c r="H2406" s="89">
        <f>YEAR(Tabela1[[#This Row],[Data de Validade]])</f>
        <v>2028</v>
      </c>
      <c r="I2406" s="89">
        <f>MONTH(Tabela1[[#This Row],[Data de Validade]])</f>
        <v>6</v>
      </c>
      <c r="J2406" s="101">
        <v>56966</v>
      </c>
      <c r="K2406" s="87" t="s">
        <v>11</v>
      </c>
      <c r="L2406" s="108"/>
      <c r="M2406" s="108"/>
      <c r="N2406" s="108" t="str">
        <v>P865H953</v>
      </c>
      <c r="O2406" s="108">
        <f t="shared" si="39"/>
        <v>1</v>
      </c>
      <c r="P2406" s="108"/>
      <c r="Q2406"/>
    </row>
    <row r="2407" spans="1:17" x14ac:dyDescent="0.25">
      <c r="A2407" s="89" t="s">
        <v>10451</v>
      </c>
      <c r="B2407" s="87" t="s">
        <v>10452</v>
      </c>
      <c r="C2407" s="87" t="s">
        <v>13</v>
      </c>
      <c r="D2407" s="87" t="str">
        <f>VLOOKUP(Tabela1[[#This Row],[Origem]], 'Perguntas 1 a 24'!$J$28:$K$34, 2, 0)</f>
        <v>Sudeste</v>
      </c>
      <c r="E2407" s="87" t="str">
        <f>Tabela1[[#This Row],[Descrição]]&amp;"-"&amp;Tabela1[[#This Row],[Código]]&amp;"/"&amp;Tabela1[[#This Row],[Origem]]</f>
        <v>Deferino-P865H953/SP</v>
      </c>
      <c r="F2407" s="88">
        <v>46930</v>
      </c>
      <c r="G2407" s="88" t="str" cm="1">
        <f t="array" ref="G24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AND(F2407&gt;= DATE(2026,1,1), F2407&lt;= DATE(2028, 12, 31), J2407&gt;50000), "Pendente e Caro", AND(F2407&gt;= DATE(2026,1,1), F2407&lt;= DATE(2028, 12, 31), J2407&lt;=50000), "Pendente", F2407&gt;= DATE(2029,1,1), "Não prioeitário")</f>
        <v>Pendente e Caro</v>
      </c>
      <c r="H2407" s="89">
        <f>YEAR(Tabela1[[#This Row],[Data de Validade]])</f>
        <v>2028</v>
      </c>
      <c r="I2407" s="89">
        <f>MONTH(Tabela1[[#This Row],[Data de Validade]])</f>
        <v>6</v>
      </c>
      <c r="J2407" s="101">
        <v>107450</v>
      </c>
      <c r="K2407" s="87" t="s">
        <v>7</v>
      </c>
      <c r="L2407" s="108"/>
      <c r="M2407" s="108"/>
      <c r="N2407" s="108" t="str">
        <v>P721H698</v>
      </c>
      <c r="O2407" s="108">
        <f t="shared" si="39"/>
        <v>1</v>
      </c>
      <c r="P2407" s="108"/>
      <c r="Q2407"/>
    </row>
    <row r="2408" spans="1:17" x14ac:dyDescent="0.25">
      <c r="A2408" s="89" t="s">
        <v>4542</v>
      </c>
      <c r="B2408" s="87" t="s">
        <v>4543</v>
      </c>
      <c r="C2408" s="87" t="s">
        <v>15</v>
      </c>
      <c r="D2408" s="87" t="str">
        <f>VLOOKUP(Tabela1[[#This Row],[Origem]], 'Perguntas 1 a 24'!$J$28:$K$34, 2, 0)</f>
        <v>Sudeste</v>
      </c>
      <c r="E2408" s="87" t="str">
        <f>Tabela1[[#This Row],[Descrição]]&amp;"-"&amp;Tabela1[[#This Row],[Código]]&amp;"/"&amp;Tabela1[[#This Row],[Origem]]</f>
        <v>Tafoperu-P721H698/ES</v>
      </c>
      <c r="F2408" s="88">
        <v>46931</v>
      </c>
      <c r="G2408" s="88" t="str" cm="1">
        <f t="array" ref="G24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AND(F2408&gt;= DATE(2026,1,1), F2408&lt;= DATE(2028, 12, 31), J2408&gt;50000), "Pendente e Caro", AND(F2408&gt;= DATE(2026,1,1), F2408&lt;= DATE(2028, 12, 31), J2408&lt;=50000), "Pendente", F2408&gt;= DATE(2029,1,1), "Não prioeitário")</f>
        <v>Pendente e Caro</v>
      </c>
      <c r="H2408" s="89">
        <f>YEAR(Tabela1[[#This Row],[Data de Validade]])</f>
        <v>2028</v>
      </c>
      <c r="I2408" s="89">
        <f>MONTH(Tabela1[[#This Row],[Data de Validade]])</f>
        <v>6</v>
      </c>
      <c r="J2408" s="101">
        <v>65668</v>
      </c>
      <c r="K2408" s="87" t="s">
        <v>14</v>
      </c>
      <c r="L2408" s="108"/>
      <c r="M2408" s="108"/>
      <c r="N2408" s="108" t="str">
        <v>H369P383</v>
      </c>
      <c r="O2408" s="108">
        <f t="shared" si="39"/>
        <v>1</v>
      </c>
      <c r="P2408" s="108"/>
      <c r="Q2408"/>
    </row>
    <row r="2409" spans="1:17" x14ac:dyDescent="0.25">
      <c r="A2409" s="89" t="s">
        <v>6508</v>
      </c>
      <c r="B2409" s="87" t="s">
        <v>6509</v>
      </c>
      <c r="C2409" s="87" t="s">
        <v>12</v>
      </c>
      <c r="D2409" s="87" t="str">
        <f>VLOOKUP(Tabela1[[#This Row],[Origem]], 'Perguntas 1 a 24'!$J$28:$K$34, 2, 0)</f>
        <v>Sudeste</v>
      </c>
      <c r="E2409" s="87" t="str">
        <f>Tabela1[[#This Row],[Descrição]]&amp;"-"&amp;Tabela1[[#This Row],[Código]]&amp;"/"&amp;Tabela1[[#This Row],[Origem]]</f>
        <v>Dolepivero-H369P383/RJ</v>
      </c>
      <c r="F2409" s="88">
        <v>46932</v>
      </c>
      <c r="G2409" s="88" t="str" cm="1">
        <f t="array" ref="G24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AND(F2409&gt;= DATE(2026,1,1), F2409&lt;= DATE(2028, 12, 31), J2409&gt;50000), "Pendente e Caro", AND(F2409&gt;= DATE(2026,1,1), F2409&lt;= DATE(2028, 12, 31), J2409&lt;=50000), "Pendente", F2409&gt;= DATE(2029,1,1), "Não prioeitário")</f>
        <v>Pendente e Caro</v>
      </c>
      <c r="H2409" s="89">
        <f>YEAR(Tabela1[[#This Row],[Data de Validade]])</f>
        <v>2028</v>
      </c>
      <c r="I2409" s="89">
        <f>MONTH(Tabela1[[#This Row],[Data de Validade]])</f>
        <v>6</v>
      </c>
      <c r="J2409" s="101">
        <v>86019</v>
      </c>
      <c r="K2409" s="87" t="s">
        <v>7</v>
      </c>
      <c r="L2409" s="108"/>
      <c r="M2409" s="108"/>
      <c r="N2409" s="108" t="str">
        <v>H954P336</v>
      </c>
      <c r="O2409" s="108">
        <f t="shared" si="39"/>
        <v>1</v>
      </c>
      <c r="P2409" s="108"/>
      <c r="Q2409"/>
    </row>
    <row r="2410" spans="1:17" x14ac:dyDescent="0.25">
      <c r="A2410" s="89" t="s">
        <v>7874</v>
      </c>
      <c r="B2410" s="87" t="s">
        <v>7875</v>
      </c>
      <c r="C2410" s="87" t="s">
        <v>12</v>
      </c>
      <c r="D2410" s="87" t="str">
        <f>VLOOKUP(Tabela1[[#This Row],[Origem]], 'Perguntas 1 a 24'!$J$28:$K$34, 2, 0)</f>
        <v>Sudeste</v>
      </c>
      <c r="E2410" s="87" t="str">
        <f>Tabela1[[#This Row],[Descrição]]&amp;"-"&amp;Tabela1[[#This Row],[Código]]&amp;"/"&amp;Tabela1[[#This Row],[Origem]]</f>
        <v>Vogede-H954P336/RJ</v>
      </c>
      <c r="F2410" s="88">
        <v>46933</v>
      </c>
      <c r="G2410" s="88" t="str" cm="1">
        <f t="array" ref="G24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AND(F2410&gt;= DATE(2026,1,1), F2410&lt;= DATE(2028, 12, 31), J2410&gt;50000), "Pendente e Caro", AND(F2410&gt;= DATE(2026,1,1), F2410&lt;= DATE(2028, 12, 31), J2410&lt;=50000), "Pendente", F2410&gt;= DATE(2029,1,1), "Não prioeitário")</f>
        <v>Pendente e Caro</v>
      </c>
      <c r="H2410" s="89">
        <f>YEAR(Tabela1[[#This Row],[Data de Validade]])</f>
        <v>2028</v>
      </c>
      <c r="I2410" s="89">
        <f>MONTH(Tabela1[[#This Row],[Data de Validade]])</f>
        <v>6</v>
      </c>
      <c r="J2410" s="101">
        <v>88133</v>
      </c>
      <c r="K2410" s="87" t="s">
        <v>9</v>
      </c>
      <c r="L2410" s="108"/>
      <c r="M2410" s="108"/>
      <c r="N2410" s="108" t="str">
        <v>H944P794</v>
      </c>
      <c r="O2410" s="108">
        <f t="shared" si="39"/>
        <v>1</v>
      </c>
      <c r="P2410" s="108"/>
      <c r="Q2410"/>
    </row>
    <row r="2411" spans="1:17" x14ac:dyDescent="0.25">
      <c r="A2411" s="89" t="s">
        <v>6634</v>
      </c>
      <c r="B2411" s="87" t="s">
        <v>6635</v>
      </c>
      <c r="C2411" s="87" t="s">
        <v>13</v>
      </c>
      <c r="D2411" s="87" t="str">
        <f>VLOOKUP(Tabela1[[#This Row],[Origem]], 'Perguntas 1 a 24'!$J$28:$K$34, 2, 0)</f>
        <v>Sudeste</v>
      </c>
      <c r="E2411" s="87" t="str">
        <f>Tabela1[[#This Row],[Descrição]]&amp;"-"&amp;Tabela1[[#This Row],[Código]]&amp;"/"&amp;Tabela1[[#This Row],[Origem]]</f>
        <v>Topicepe-H944P794/SP</v>
      </c>
      <c r="F2411" s="88">
        <v>46933</v>
      </c>
      <c r="G2411" s="88" t="str" cm="1">
        <f t="array" ref="G24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AND(F2411&gt;= DATE(2026,1,1), F2411&lt;= DATE(2028, 12, 31), J2411&gt;50000), "Pendente e Caro", AND(F2411&gt;= DATE(2026,1,1), F2411&lt;= DATE(2028, 12, 31), J2411&lt;=50000), "Pendente", F2411&gt;= DATE(2029,1,1), "Não prioeitário")</f>
        <v>Pendente</v>
      </c>
      <c r="H2411" s="89">
        <f>YEAR(Tabela1[[#This Row],[Data de Validade]])</f>
        <v>2028</v>
      </c>
      <c r="I2411" s="89">
        <f>MONTH(Tabela1[[#This Row],[Data de Validade]])</f>
        <v>6</v>
      </c>
      <c r="J2411" s="101">
        <v>49470</v>
      </c>
      <c r="K2411" s="87" t="s">
        <v>11</v>
      </c>
      <c r="L2411" s="108"/>
      <c r="M2411" s="108"/>
      <c r="N2411" s="108" t="str">
        <v>H171H533</v>
      </c>
      <c r="O2411" s="108">
        <f t="shared" si="39"/>
        <v>1</v>
      </c>
      <c r="P2411" s="108"/>
      <c r="Q2411"/>
    </row>
    <row r="2412" spans="1:17" x14ac:dyDescent="0.25">
      <c r="A2412" s="89" t="s">
        <v>11050</v>
      </c>
      <c r="B2412" s="87" t="s">
        <v>11051</v>
      </c>
      <c r="C2412" s="87" t="s">
        <v>6</v>
      </c>
      <c r="D2412" s="87" t="str">
        <f>VLOOKUP(Tabela1[[#This Row],[Origem]], 'Perguntas 1 a 24'!$J$28:$K$34, 2, 0)</f>
        <v>Nordeste</v>
      </c>
      <c r="E2412" s="87" t="str">
        <f>Tabela1[[#This Row],[Descrição]]&amp;"-"&amp;Tabela1[[#This Row],[Código]]&amp;"/"&amp;Tabela1[[#This Row],[Origem]]</f>
        <v>Mavupegula-H171H533/MA</v>
      </c>
      <c r="F2412" s="88">
        <v>46933</v>
      </c>
      <c r="G2412" s="88" t="str" cm="1">
        <f t="array" ref="G24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AND(F2412&gt;= DATE(2026,1,1), F2412&lt;= DATE(2028, 12, 31), J2412&gt;50000), "Pendente e Caro", AND(F2412&gt;= DATE(2026,1,1), F2412&lt;= DATE(2028, 12, 31), J2412&lt;=50000), "Pendente", F2412&gt;= DATE(2029,1,1), "Não prioeitário")</f>
        <v>Pendente</v>
      </c>
      <c r="H2412" s="89">
        <f>YEAR(Tabela1[[#This Row],[Data de Validade]])</f>
        <v>2028</v>
      </c>
      <c r="I2412" s="89">
        <f>MONTH(Tabela1[[#This Row],[Data de Validade]])</f>
        <v>6</v>
      </c>
      <c r="J2412" s="101">
        <v>40971</v>
      </c>
      <c r="K2412" s="87" t="s">
        <v>7</v>
      </c>
      <c r="L2412" s="108"/>
      <c r="M2412" s="108"/>
      <c r="N2412" s="108" t="str">
        <v>H463H545</v>
      </c>
      <c r="O2412" s="108">
        <f t="shared" si="39"/>
        <v>1</v>
      </c>
      <c r="P2412" s="108"/>
      <c r="Q2412"/>
    </row>
    <row r="2413" spans="1:17" x14ac:dyDescent="0.25">
      <c r="A2413" s="89" t="s">
        <v>9507</v>
      </c>
      <c r="B2413" s="87" t="s">
        <v>9508</v>
      </c>
      <c r="C2413" s="87" t="s">
        <v>10</v>
      </c>
      <c r="D2413" s="87" t="str">
        <f>VLOOKUP(Tabela1[[#This Row],[Origem]], 'Perguntas 1 a 24'!$J$28:$K$34, 2, 0)</f>
        <v>Centro-Oeste</v>
      </c>
      <c r="E2413" s="87" t="str">
        <f>Tabela1[[#This Row],[Descrição]]&amp;"-"&amp;Tabela1[[#This Row],[Código]]&amp;"/"&amp;Tabela1[[#This Row],[Origem]]</f>
        <v>Paruci-H463H545/GO</v>
      </c>
      <c r="F2413" s="88">
        <v>46934</v>
      </c>
      <c r="G2413" s="88" t="str" cm="1">
        <f t="array" ref="G24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AND(F2413&gt;= DATE(2026,1,1), F2413&lt;= DATE(2028, 12, 31), J2413&gt;50000), "Pendente e Caro", AND(F2413&gt;= DATE(2026,1,1), F2413&lt;= DATE(2028, 12, 31), J2413&lt;=50000), "Pendente", F2413&gt;= DATE(2029,1,1), "Não prioeitário")</f>
        <v>Pendente e Caro</v>
      </c>
      <c r="H2413" s="89">
        <f>YEAR(Tabela1[[#This Row],[Data de Validade]])</f>
        <v>2028</v>
      </c>
      <c r="I2413" s="89">
        <f>MONTH(Tabela1[[#This Row],[Data de Validade]])</f>
        <v>6</v>
      </c>
      <c r="J2413" s="101">
        <v>98421</v>
      </c>
      <c r="K2413" s="87" t="s">
        <v>14</v>
      </c>
      <c r="L2413" s="108"/>
      <c r="M2413" s="108"/>
      <c r="N2413" s="108" t="str">
        <v>P227H823</v>
      </c>
      <c r="O2413" s="108">
        <f t="shared" si="39"/>
        <v>1</v>
      </c>
      <c r="P2413" s="108"/>
      <c r="Q2413"/>
    </row>
    <row r="2414" spans="1:17" x14ac:dyDescent="0.25">
      <c r="A2414" s="89" t="s">
        <v>6636</v>
      </c>
      <c r="B2414" s="87" t="s">
        <v>6637</v>
      </c>
      <c r="C2414" s="87" t="s">
        <v>15</v>
      </c>
      <c r="D2414" s="87" t="str">
        <f>VLOOKUP(Tabela1[[#This Row],[Origem]], 'Perguntas 1 a 24'!$J$28:$K$34, 2, 0)</f>
        <v>Sudeste</v>
      </c>
      <c r="E2414" s="87" t="str">
        <f>Tabela1[[#This Row],[Descrição]]&amp;"-"&amp;Tabela1[[#This Row],[Código]]&amp;"/"&amp;Tabela1[[#This Row],[Origem]]</f>
        <v>Fopipanupi-P227H823/ES</v>
      </c>
      <c r="F2414" s="88">
        <v>46935</v>
      </c>
      <c r="G2414" s="88" t="str" cm="1">
        <f t="array" ref="G24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AND(F2414&gt;= DATE(2026,1,1), F2414&lt;= DATE(2028, 12, 31), J2414&gt;50000), "Pendente e Caro", AND(F2414&gt;= DATE(2026,1,1), F2414&lt;= DATE(2028, 12, 31), J2414&lt;=50000), "Pendente", F2414&gt;= DATE(2029,1,1), "Não prioeitário")</f>
        <v>Pendente e Caro</v>
      </c>
      <c r="H2414" s="89">
        <f>YEAR(Tabela1[[#This Row],[Data de Validade]])</f>
        <v>2028</v>
      </c>
      <c r="I2414" s="89">
        <f>MONTH(Tabela1[[#This Row],[Data de Validade]])</f>
        <v>7</v>
      </c>
      <c r="J2414" s="101">
        <v>70713</v>
      </c>
      <c r="K2414" s="87" t="s">
        <v>7</v>
      </c>
      <c r="L2414" s="108"/>
      <c r="M2414" s="108"/>
      <c r="N2414" s="108" t="str">
        <v>H466H829</v>
      </c>
      <c r="O2414" s="108">
        <f t="shared" si="39"/>
        <v>1</v>
      </c>
      <c r="P2414" s="108"/>
      <c r="Q2414"/>
    </row>
    <row r="2415" spans="1:17" x14ac:dyDescent="0.25">
      <c r="A2415" s="89" t="s">
        <v>6382</v>
      </c>
      <c r="B2415" s="87" t="s">
        <v>6383</v>
      </c>
      <c r="C2415" s="87" t="s">
        <v>16</v>
      </c>
      <c r="D2415" s="87" t="str">
        <f>VLOOKUP(Tabela1[[#This Row],[Origem]], 'Perguntas 1 a 24'!$J$28:$K$34, 2, 0)</f>
        <v>Sudeste</v>
      </c>
      <c r="E2415" s="87" t="str">
        <f>Tabela1[[#This Row],[Descrição]]&amp;"-"&amp;Tabela1[[#This Row],[Código]]&amp;"/"&amp;Tabela1[[#This Row],[Origem]]</f>
        <v>Peruturo-H466H829/MG</v>
      </c>
      <c r="F2415" s="88">
        <v>46936</v>
      </c>
      <c r="G2415" s="88" t="str" cm="1">
        <f t="array" ref="G24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AND(F2415&gt;= DATE(2026,1,1), F2415&lt;= DATE(2028, 12, 31), J2415&gt;50000), "Pendente e Caro", AND(F2415&gt;= DATE(2026,1,1), F2415&lt;= DATE(2028, 12, 31), J2415&lt;=50000), "Pendente", F2415&gt;= DATE(2029,1,1), "Não prioeitário")</f>
        <v>Pendente e Caro</v>
      </c>
      <c r="H2415" s="89">
        <f>YEAR(Tabela1[[#This Row],[Data de Validade]])</f>
        <v>2028</v>
      </c>
      <c r="I2415" s="89">
        <f>MONTH(Tabela1[[#This Row],[Data de Validade]])</f>
        <v>7</v>
      </c>
      <c r="J2415" s="101">
        <v>59615</v>
      </c>
      <c r="K2415" s="87" t="s">
        <v>9</v>
      </c>
      <c r="L2415" s="108"/>
      <c r="M2415" s="108"/>
      <c r="N2415" s="108" t="str">
        <v>P992P286</v>
      </c>
      <c r="O2415" s="108">
        <f t="shared" si="39"/>
        <v>1</v>
      </c>
      <c r="P2415" s="108"/>
      <c r="Q2415"/>
    </row>
    <row r="2416" spans="1:17" x14ac:dyDescent="0.25">
      <c r="A2416" s="89" t="s">
        <v>9033</v>
      </c>
      <c r="B2416" s="87" t="s">
        <v>9034</v>
      </c>
      <c r="C2416" s="87" t="s">
        <v>10</v>
      </c>
      <c r="D2416" s="87" t="str">
        <f>VLOOKUP(Tabela1[[#This Row],[Origem]], 'Perguntas 1 a 24'!$J$28:$K$34, 2, 0)</f>
        <v>Centro-Oeste</v>
      </c>
      <c r="E2416" s="87" t="str">
        <f>Tabela1[[#This Row],[Descrição]]&amp;"-"&amp;Tabela1[[#This Row],[Código]]&amp;"/"&amp;Tabela1[[#This Row],[Origem]]</f>
        <v>Vedipufuci-P992P286/GO</v>
      </c>
      <c r="F2416" s="88">
        <v>46937</v>
      </c>
      <c r="G2416" s="88" t="str" cm="1">
        <f t="array" ref="G24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AND(F2416&gt;= DATE(2026,1,1), F2416&lt;= DATE(2028, 12, 31), J2416&gt;50000), "Pendente e Caro", AND(F2416&gt;= DATE(2026,1,1), F2416&lt;= DATE(2028, 12, 31), J2416&lt;=50000), "Pendente", F2416&gt;= DATE(2029,1,1), "Não prioeitário")</f>
        <v>Pendente e Caro</v>
      </c>
      <c r="H2416" s="89">
        <f>YEAR(Tabela1[[#This Row],[Data de Validade]])</f>
        <v>2028</v>
      </c>
      <c r="I2416" s="89">
        <f>MONTH(Tabela1[[#This Row],[Data de Validade]])</f>
        <v>7</v>
      </c>
      <c r="J2416" s="101">
        <v>77249</v>
      </c>
      <c r="K2416" s="87" t="s">
        <v>7</v>
      </c>
      <c r="L2416" s="108"/>
      <c r="M2416" s="108"/>
      <c r="N2416" s="108" t="str">
        <v>H464P262</v>
      </c>
      <c r="O2416" s="108">
        <f t="shared" si="39"/>
        <v>1</v>
      </c>
      <c r="P2416" s="108"/>
      <c r="Q2416"/>
    </row>
    <row r="2417" spans="1:17" x14ac:dyDescent="0.25">
      <c r="A2417" s="89" t="s">
        <v>8789</v>
      </c>
      <c r="B2417" s="87" t="s">
        <v>8790</v>
      </c>
      <c r="C2417" s="87" t="s">
        <v>6</v>
      </c>
      <c r="D2417" s="87" t="str">
        <f>VLOOKUP(Tabela1[[#This Row],[Origem]], 'Perguntas 1 a 24'!$J$28:$K$34, 2, 0)</f>
        <v>Nordeste</v>
      </c>
      <c r="E2417" s="87" t="str">
        <f>Tabela1[[#This Row],[Descrição]]&amp;"-"&amp;Tabela1[[#This Row],[Código]]&amp;"/"&amp;Tabela1[[#This Row],[Origem]]</f>
        <v>Tonafudodo-H464P262/MA</v>
      </c>
      <c r="F2417" s="88">
        <v>46937</v>
      </c>
      <c r="G2417" s="88" t="str" cm="1">
        <f t="array" ref="G24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AND(F2417&gt;= DATE(2026,1,1), F2417&lt;= DATE(2028, 12, 31), J2417&gt;50000), "Pendente e Caro", AND(F2417&gt;= DATE(2026,1,1), F2417&lt;= DATE(2028, 12, 31), J2417&lt;=50000), "Pendente", F2417&gt;= DATE(2029,1,1), "Não prioeitário")</f>
        <v>Pendente</v>
      </c>
      <c r="H2417" s="89">
        <f>YEAR(Tabela1[[#This Row],[Data de Validade]])</f>
        <v>2028</v>
      </c>
      <c r="I2417" s="89">
        <f>MONTH(Tabela1[[#This Row],[Data de Validade]])</f>
        <v>7</v>
      </c>
      <c r="J2417" s="101">
        <v>21108</v>
      </c>
      <c r="K2417" s="87" t="s">
        <v>9</v>
      </c>
      <c r="L2417" s="108"/>
      <c r="M2417" s="108"/>
      <c r="N2417" s="108" t="str">
        <v>P622H432</v>
      </c>
      <c r="O2417" s="108">
        <f t="shared" si="39"/>
        <v>1</v>
      </c>
      <c r="P2417" s="108"/>
      <c r="Q2417"/>
    </row>
    <row r="2418" spans="1:17" x14ac:dyDescent="0.25">
      <c r="A2418" s="89" t="s">
        <v>3816</v>
      </c>
      <c r="B2418" s="87" t="s">
        <v>3817</v>
      </c>
      <c r="C2418" s="87" t="s">
        <v>13</v>
      </c>
      <c r="D2418" s="87" t="str">
        <f>VLOOKUP(Tabela1[[#This Row],[Origem]], 'Perguntas 1 a 24'!$J$28:$K$34, 2, 0)</f>
        <v>Sudeste</v>
      </c>
      <c r="E2418" s="87" t="str">
        <f>Tabela1[[#This Row],[Descrição]]&amp;"-"&amp;Tabela1[[#This Row],[Código]]&amp;"/"&amp;Tabela1[[#This Row],[Origem]]</f>
        <v>Fogaroru-P622H432/SP</v>
      </c>
      <c r="F2418" s="88">
        <v>46938</v>
      </c>
      <c r="G2418" s="88" t="str" cm="1">
        <f t="array" ref="G24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AND(F2418&gt;= DATE(2026,1,1), F2418&lt;= DATE(2028, 12, 31), J2418&gt;50000), "Pendente e Caro", AND(F2418&gt;= DATE(2026,1,1), F2418&lt;= DATE(2028, 12, 31), J2418&lt;=50000), "Pendente", F2418&gt;= DATE(2029,1,1), "Não prioeitário")</f>
        <v>Pendente e Caro</v>
      </c>
      <c r="H2418" s="89">
        <f>YEAR(Tabela1[[#This Row],[Data de Validade]])</f>
        <v>2028</v>
      </c>
      <c r="I2418" s="89">
        <f>MONTH(Tabela1[[#This Row],[Data de Validade]])</f>
        <v>7</v>
      </c>
      <c r="J2418" s="101">
        <v>78852</v>
      </c>
      <c r="K2418" s="87" t="s">
        <v>14</v>
      </c>
      <c r="L2418" s="108"/>
      <c r="M2418" s="108"/>
      <c r="N2418" s="108" t="str">
        <v>P245H995</v>
      </c>
      <c r="O2418" s="108">
        <f t="shared" si="39"/>
        <v>1</v>
      </c>
      <c r="P2418" s="108"/>
      <c r="Q2418"/>
    </row>
    <row r="2419" spans="1:17" x14ac:dyDescent="0.25">
      <c r="A2419" s="89" t="s">
        <v>7560</v>
      </c>
      <c r="B2419" s="87" t="s">
        <v>7561</v>
      </c>
      <c r="C2419" s="87" t="s">
        <v>10</v>
      </c>
      <c r="D2419" s="87" t="str">
        <f>VLOOKUP(Tabela1[[#This Row],[Origem]], 'Perguntas 1 a 24'!$J$28:$K$34, 2, 0)</f>
        <v>Centro-Oeste</v>
      </c>
      <c r="E2419" s="87" t="str">
        <f>Tabela1[[#This Row],[Descrição]]&amp;"-"&amp;Tabela1[[#This Row],[Código]]&amp;"/"&amp;Tabela1[[#This Row],[Origem]]</f>
        <v>Tomulu-P245H995/GO</v>
      </c>
      <c r="F2419" s="88">
        <v>46939</v>
      </c>
      <c r="G2419" s="88" t="str" cm="1">
        <f t="array" ref="G24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AND(F2419&gt;= DATE(2026,1,1), F2419&lt;= DATE(2028, 12, 31), J2419&gt;50000), "Pendente e Caro", AND(F2419&gt;= DATE(2026,1,1), F2419&lt;= DATE(2028, 12, 31), J2419&lt;=50000), "Pendente", F2419&gt;= DATE(2029,1,1), "Não prioeitário")</f>
        <v>Pendente e Caro</v>
      </c>
      <c r="H2419" s="89">
        <f>YEAR(Tabela1[[#This Row],[Data de Validade]])</f>
        <v>2028</v>
      </c>
      <c r="I2419" s="89">
        <f>MONTH(Tabela1[[#This Row],[Data de Validade]])</f>
        <v>7</v>
      </c>
      <c r="J2419" s="101">
        <v>86397</v>
      </c>
      <c r="K2419" s="87" t="s">
        <v>7</v>
      </c>
      <c r="L2419" s="108"/>
      <c r="M2419" s="108"/>
      <c r="N2419" s="108" t="str">
        <v>P427H392</v>
      </c>
      <c r="O2419" s="108">
        <f t="shared" si="39"/>
        <v>1</v>
      </c>
      <c r="P2419" s="108"/>
      <c r="Q2419"/>
    </row>
    <row r="2420" spans="1:17" x14ac:dyDescent="0.25">
      <c r="A2420" s="89" t="s">
        <v>6064</v>
      </c>
      <c r="B2420" s="87" t="s">
        <v>6065</v>
      </c>
      <c r="C2420" s="87" t="s">
        <v>10</v>
      </c>
      <c r="D2420" s="87" t="str">
        <f>VLOOKUP(Tabela1[[#This Row],[Origem]], 'Perguntas 1 a 24'!$J$28:$K$34, 2, 0)</f>
        <v>Centro-Oeste</v>
      </c>
      <c r="E2420" s="87" t="str">
        <f>Tabela1[[#This Row],[Descrição]]&amp;"-"&amp;Tabela1[[#This Row],[Código]]&amp;"/"&amp;Tabela1[[#This Row],[Origem]]</f>
        <v>Tefepeta-P427H392/GO</v>
      </c>
      <c r="F2420" s="88">
        <v>46939</v>
      </c>
      <c r="G2420" s="88" t="str" cm="1">
        <f t="array" ref="G24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AND(F2420&gt;= DATE(2026,1,1), F2420&lt;= DATE(2028, 12, 31), J2420&gt;50000), "Pendente e Caro", AND(F2420&gt;= DATE(2026,1,1), F2420&lt;= DATE(2028, 12, 31), J2420&lt;=50000), "Pendente", F2420&gt;= DATE(2029,1,1), "Não prioeitário")</f>
        <v>Pendente e Caro</v>
      </c>
      <c r="H2420" s="89">
        <f>YEAR(Tabela1[[#This Row],[Data de Validade]])</f>
        <v>2028</v>
      </c>
      <c r="I2420" s="89">
        <f>MONTH(Tabela1[[#This Row],[Data de Validade]])</f>
        <v>7</v>
      </c>
      <c r="J2420" s="101">
        <v>53076</v>
      </c>
      <c r="K2420" s="87" t="s">
        <v>7</v>
      </c>
      <c r="L2420" s="108"/>
      <c r="M2420" s="108"/>
      <c r="N2420" s="108" t="str">
        <v>H381H542</v>
      </c>
      <c r="O2420" s="108">
        <f t="shared" si="39"/>
        <v>1</v>
      </c>
      <c r="P2420" s="108"/>
      <c r="Q2420"/>
    </row>
    <row r="2421" spans="1:17" x14ac:dyDescent="0.25">
      <c r="A2421" s="89" t="s">
        <v>4598</v>
      </c>
      <c r="B2421" s="87" t="s">
        <v>4599</v>
      </c>
      <c r="C2421" s="87" t="s">
        <v>12</v>
      </c>
      <c r="D2421" s="87" t="str">
        <f>VLOOKUP(Tabela1[[#This Row],[Origem]], 'Perguntas 1 a 24'!$J$28:$K$34, 2, 0)</f>
        <v>Sudeste</v>
      </c>
      <c r="E2421" s="87" t="str">
        <f>Tabela1[[#This Row],[Descrição]]&amp;"-"&amp;Tabela1[[#This Row],[Código]]&amp;"/"&amp;Tabela1[[#This Row],[Origem]]</f>
        <v>Pofene-H381H542/RJ</v>
      </c>
      <c r="F2421" s="88">
        <v>46940</v>
      </c>
      <c r="G2421" s="88" t="str" cm="1">
        <f t="array" ref="G24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AND(F2421&gt;= DATE(2026,1,1), F2421&lt;= DATE(2028, 12, 31), J2421&gt;50000), "Pendente e Caro", AND(F2421&gt;= DATE(2026,1,1), F2421&lt;= DATE(2028, 12, 31), J2421&lt;=50000), "Pendente", F2421&gt;= DATE(2029,1,1), "Não prioeitário")</f>
        <v>Pendente e Caro</v>
      </c>
      <c r="H2421" s="89">
        <f>YEAR(Tabela1[[#This Row],[Data de Validade]])</f>
        <v>2028</v>
      </c>
      <c r="I2421" s="89">
        <f>MONTH(Tabela1[[#This Row],[Data de Validade]])</f>
        <v>7</v>
      </c>
      <c r="J2421" s="101">
        <v>77213</v>
      </c>
      <c r="K2421" s="87" t="s">
        <v>7</v>
      </c>
      <c r="L2421" s="108"/>
      <c r="M2421" s="108"/>
      <c r="N2421" s="108" t="str">
        <v>P945P587</v>
      </c>
      <c r="O2421" s="108">
        <f t="shared" si="39"/>
        <v>1</v>
      </c>
      <c r="P2421" s="108"/>
      <c r="Q2421"/>
    </row>
    <row r="2422" spans="1:17" x14ac:dyDescent="0.25">
      <c r="A2422" s="89" t="s">
        <v>8168</v>
      </c>
      <c r="B2422" s="87" t="s">
        <v>8169</v>
      </c>
      <c r="C2422" s="87" t="s">
        <v>6</v>
      </c>
      <c r="D2422" s="87" t="str">
        <f>VLOOKUP(Tabela1[[#This Row],[Origem]], 'Perguntas 1 a 24'!$J$28:$K$34, 2, 0)</f>
        <v>Nordeste</v>
      </c>
      <c r="E2422" s="87" t="str">
        <f>Tabela1[[#This Row],[Descrição]]&amp;"-"&amp;Tabela1[[#This Row],[Código]]&amp;"/"&amp;Tabela1[[#This Row],[Origem]]</f>
        <v>Mafora-P945P587/MA</v>
      </c>
      <c r="F2422" s="88">
        <v>46940</v>
      </c>
      <c r="G2422" s="88" t="str" cm="1">
        <f t="array" ref="G24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AND(F2422&gt;= DATE(2026,1,1), F2422&lt;= DATE(2028, 12, 31), J2422&gt;50000), "Pendente e Caro", AND(F2422&gt;= DATE(2026,1,1), F2422&lt;= DATE(2028, 12, 31), J2422&lt;=50000), "Pendente", F2422&gt;= DATE(2029,1,1), "Não prioeitário")</f>
        <v>Pendente</v>
      </c>
      <c r="H2422" s="89">
        <f>YEAR(Tabela1[[#This Row],[Data de Validade]])</f>
        <v>2028</v>
      </c>
      <c r="I2422" s="89">
        <f>MONTH(Tabela1[[#This Row],[Data de Validade]])</f>
        <v>7</v>
      </c>
      <c r="J2422" s="101">
        <v>38442</v>
      </c>
      <c r="K2422" s="87" t="s">
        <v>9</v>
      </c>
      <c r="L2422" s="108"/>
      <c r="M2422" s="108"/>
      <c r="N2422" s="108" t="str">
        <v>H692H416</v>
      </c>
      <c r="O2422" s="108">
        <f t="shared" si="39"/>
        <v>1</v>
      </c>
      <c r="P2422" s="108"/>
      <c r="Q2422"/>
    </row>
    <row r="2423" spans="1:17" x14ac:dyDescent="0.25">
      <c r="A2423" s="89" t="s">
        <v>4271</v>
      </c>
      <c r="B2423" s="87" t="s">
        <v>4272</v>
      </c>
      <c r="C2423" s="87" t="s">
        <v>10</v>
      </c>
      <c r="D2423" s="87" t="str">
        <f>VLOOKUP(Tabela1[[#This Row],[Origem]], 'Perguntas 1 a 24'!$J$28:$K$34, 2, 0)</f>
        <v>Centro-Oeste</v>
      </c>
      <c r="E2423" s="87" t="str">
        <f>Tabela1[[#This Row],[Descrição]]&amp;"-"&amp;Tabela1[[#This Row],[Código]]&amp;"/"&amp;Tabela1[[#This Row],[Origem]]</f>
        <v>Cagipa-H692H416/GO</v>
      </c>
      <c r="F2423" s="88">
        <v>46941</v>
      </c>
      <c r="G2423" s="88" t="str" cm="1">
        <f t="array" ref="G24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AND(F2423&gt;= DATE(2026,1,1), F2423&lt;= DATE(2028, 12, 31), J2423&gt;50000), "Pendente e Caro", AND(F2423&gt;= DATE(2026,1,1), F2423&lt;= DATE(2028, 12, 31), J2423&lt;=50000), "Pendente", F2423&gt;= DATE(2029,1,1), "Não prioeitário")</f>
        <v>Pendente e Caro</v>
      </c>
      <c r="H2423" s="89">
        <f>YEAR(Tabela1[[#This Row],[Data de Validade]])</f>
        <v>2028</v>
      </c>
      <c r="I2423" s="89">
        <f>MONTH(Tabela1[[#This Row],[Data de Validade]])</f>
        <v>7</v>
      </c>
      <c r="J2423" s="101">
        <v>115549</v>
      </c>
      <c r="K2423" s="87" t="s">
        <v>9</v>
      </c>
      <c r="L2423" s="108"/>
      <c r="M2423" s="108"/>
      <c r="N2423" s="108" t="str">
        <v>H686H447</v>
      </c>
      <c r="O2423" s="108">
        <f t="shared" si="39"/>
        <v>1</v>
      </c>
      <c r="P2423" s="108"/>
      <c r="Q2423"/>
    </row>
    <row r="2424" spans="1:17" x14ac:dyDescent="0.25">
      <c r="A2424" s="89" t="s">
        <v>8350</v>
      </c>
      <c r="B2424" s="87" t="s">
        <v>8351</v>
      </c>
      <c r="C2424" s="87" t="s">
        <v>13</v>
      </c>
      <c r="D2424" s="87" t="str">
        <f>VLOOKUP(Tabela1[[#This Row],[Origem]], 'Perguntas 1 a 24'!$J$28:$K$34, 2, 0)</f>
        <v>Sudeste</v>
      </c>
      <c r="E2424" s="87" t="str">
        <f>Tabela1[[#This Row],[Descrição]]&amp;"-"&amp;Tabela1[[#This Row],[Código]]&amp;"/"&amp;Tabela1[[#This Row],[Origem]]</f>
        <v>Gemefa-H686H447/SP</v>
      </c>
      <c r="F2424" s="88">
        <v>46941</v>
      </c>
      <c r="G2424" s="88" t="str" cm="1">
        <f t="array" ref="G24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AND(F2424&gt;= DATE(2026,1,1), F2424&lt;= DATE(2028, 12, 31), J2424&gt;50000), "Pendente e Caro", AND(F2424&gt;= DATE(2026,1,1), F2424&lt;= DATE(2028, 12, 31), J2424&lt;=50000), "Pendente", F2424&gt;= DATE(2029,1,1), "Não prioeitário")</f>
        <v>Pendente e Caro</v>
      </c>
      <c r="H2424" s="89">
        <f>YEAR(Tabela1[[#This Row],[Data de Validade]])</f>
        <v>2028</v>
      </c>
      <c r="I2424" s="89">
        <f>MONTH(Tabela1[[#This Row],[Data de Validade]])</f>
        <v>7</v>
      </c>
      <c r="J2424" s="101">
        <v>111520</v>
      </c>
      <c r="K2424" s="87" t="s">
        <v>7</v>
      </c>
      <c r="L2424" s="108"/>
      <c r="M2424" s="108"/>
      <c r="N2424" s="108" t="str">
        <v>H439H611</v>
      </c>
      <c r="O2424" s="108">
        <f t="shared" si="39"/>
        <v>1</v>
      </c>
      <c r="P2424" s="108"/>
      <c r="Q2424"/>
    </row>
    <row r="2425" spans="1:17" x14ac:dyDescent="0.25">
      <c r="A2425" s="89" t="s">
        <v>7712</v>
      </c>
      <c r="B2425" s="87" t="s">
        <v>7713</v>
      </c>
      <c r="C2425" s="87" t="s">
        <v>6</v>
      </c>
      <c r="D2425" s="87" t="str">
        <f>VLOOKUP(Tabela1[[#This Row],[Origem]], 'Perguntas 1 a 24'!$J$28:$K$34, 2, 0)</f>
        <v>Nordeste</v>
      </c>
      <c r="E2425" s="87" t="str">
        <f>Tabela1[[#This Row],[Descrição]]&amp;"-"&amp;Tabela1[[#This Row],[Código]]&amp;"/"&amp;Tabela1[[#This Row],[Origem]]</f>
        <v>Rataripupu-H439H611/MA</v>
      </c>
      <c r="F2425" s="88">
        <v>46941</v>
      </c>
      <c r="G2425" s="88" t="str" cm="1">
        <f t="array" ref="G24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AND(F2425&gt;= DATE(2026,1,1), F2425&lt;= DATE(2028, 12, 31), J2425&gt;50000), "Pendente e Caro", AND(F2425&gt;= DATE(2026,1,1), F2425&lt;= DATE(2028, 12, 31), J2425&lt;=50000), "Pendente", F2425&gt;= DATE(2029,1,1), "Não prioeitário")</f>
        <v>Pendente e Caro</v>
      </c>
      <c r="H2425" s="89">
        <f>YEAR(Tabela1[[#This Row],[Data de Validade]])</f>
        <v>2028</v>
      </c>
      <c r="I2425" s="89">
        <f>MONTH(Tabela1[[#This Row],[Data de Validade]])</f>
        <v>7</v>
      </c>
      <c r="J2425" s="101">
        <v>110675</v>
      </c>
      <c r="K2425" s="87" t="s">
        <v>14</v>
      </c>
      <c r="L2425" s="108"/>
      <c r="M2425" s="108"/>
      <c r="N2425" s="108" t="str">
        <v>P384P394</v>
      </c>
      <c r="O2425" s="108">
        <f t="shared" si="39"/>
        <v>1</v>
      </c>
      <c r="P2425" s="108"/>
      <c r="Q2425"/>
    </row>
    <row r="2426" spans="1:17" x14ac:dyDescent="0.25">
      <c r="A2426" s="89" t="s">
        <v>10589</v>
      </c>
      <c r="B2426" s="87" t="s">
        <v>10590</v>
      </c>
      <c r="C2426" s="87" t="s">
        <v>12</v>
      </c>
      <c r="D2426" s="87" t="str">
        <f>VLOOKUP(Tabela1[[#This Row],[Origem]], 'Perguntas 1 a 24'!$J$28:$K$34, 2, 0)</f>
        <v>Sudeste</v>
      </c>
      <c r="E2426" s="87" t="str">
        <f>Tabela1[[#This Row],[Descrição]]&amp;"-"&amp;Tabela1[[#This Row],[Código]]&amp;"/"&amp;Tabela1[[#This Row],[Origem]]</f>
        <v>Paluruvepe-P384P394/RJ</v>
      </c>
      <c r="F2426" s="88">
        <v>46942</v>
      </c>
      <c r="G2426" s="88" t="str" cm="1">
        <f t="array" ref="G24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AND(F2426&gt;= DATE(2026,1,1), F2426&lt;= DATE(2028, 12, 31), J2426&gt;50000), "Pendente e Caro", AND(F2426&gt;= DATE(2026,1,1), F2426&lt;= DATE(2028, 12, 31), J2426&lt;=50000), "Pendente", F2426&gt;= DATE(2029,1,1), "Não prioeitário")</f>
        <v>Pendente</v>
      </c>
      <c r="H2426" s="89">
        <f>YEAR(Tabela1[[#This Row],[Data de Validade]])</f>
        <v>2028</v>
      </c>
      <c r="I2426" s="89">
        <f>MONTH(Tabela1[[#This Row],[Data de Validade]])</f>
        <v>7</v>
      </c>
      <c r="J2426" s="101">
        <v>31294</v>
      </c>
      <c r="K2426" s="87" t="s">
        <v>9</v>
      </c>
      <c r="L2426" s="108"/>
      <c r="M2426" s="108"/>
      <c r="N2426" s="108" t="str">
        <v>P111P392</v>
      </c>
      <c r="O2426" s="108">
        <f t="shared" si="39"/>
        <v>1</v>
      </c>
      <c r="P2426" s="108"/>
      <c r="Q2426"/>
    </row>
    <row r="2427" spans="1:17" x14ac:dyDescent="0.25">
      <c r="A2427" s="89" t="s">
        <v>3726</v>
      </c>
      <c r="B2427" s="87" t="s">
        <v>3727</v>
      </c>
      <c r="C2427" s="87" t="s">
        <v>15</v>
      </c>
      <c r="D2427" s="87" t="str">
        <f>VLOOKUP(Tabela1[[#This Row],[Origem]], 'Perguntas 1 a 24'!$J$28:$K$34, 2, 0)</f>
        <v>Sudeste</v>
      </c>
      <c r="E2427" s="87" t="str">
        <f>Tabela1[[#This Row],[Descrição]]&amp;"-"&amp;Tabela1[[#This Row],[Código]]&amp;"/"&amp;Tabela1[[#This Row],[Origem]]</f>
        <v>Mucivire-P111P392/ES</v>
      </c>
      <c r="F2427" s="88">
        <v>46943</v>
      </c>
      <c r="G2427" s="88" t="str" cm="1">
        <f t="array" ref="G24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AND(F2427&gt;= DATE(2026,1,1), F2427&lt;= DATE(2028, 12, 31), J2427&gt;50000), "Pendente e Caro", AND(F2427&gt;= DATE(2026,1,1), F2427&lt;= DATE(2028, 12, 31), J2427&lt;=50000), "Pendente", F2427&gt;= DATE(2029,1,1), "Não prioeitário")</f>
        <v>Pendente e Caro</v>
      </c>
      <c r="H2427" s="89">
        <f>YEAR(Tabela1[[#This Row],[Data de Validade]])</f>
        <v>2028</v>
      </c>
      <c r="I2427" s="89">
        <f>MONTH(Tabela1[[#This Row],[Data de Validade]])</f>
        <v>7</v>
      </c>
      <c r="J2427" s="101">
        <v>97343</v>
      </c>
      <c r="K2427" s="87" t="s">
        <v>14</v>
      </c>
      <c r="L2427" s="108"/>
      <c r="M2427" s="108"/>
      <c r="N2427" s="108" t="str">
        <v>H266P977</v>
      </c>
      <c r="O2427" s="108">
        <f t="shared" si="39"/>
        <v>1</v>
      </c>
      <c r="P2427" s="108"/>
      <c r="Q2427"/>
    </row>
    <row r="2428" spans="1:17" x14ac:dyDescent="0.25">
      <c r="A2428" s="89" t="s">
        <v>8248</v>
      </c>
      <c r="B2428" s="87" t="s">
        <v>8249</v>
      </c>
      <c r="C2428" s="87" t="s">
        <v>10</v>
      </c>
      <c r="D2428" s="87" t="str">
        <f>VLOOKUP(Tabela1[[#This Row],[Origem]], 'Perguntas 1 a 24'!$J$28:$K$34, 2, 0)</f>
        <v>Centro-Oeste</v>
      </c>
      <c r="E2428" s="87" t="str">
        <f>Tabela1[[#This Row],[Descrição]]&amp;"-"&amp;Tabela1[[#This Row],[Código]]&amp;"/"&amp;Tabela1[[#This Row],[Origem]]</f>
        <v>Turopufu-H266P977/GO</v>
      </c>
      <c r="F2428" s="88">
        <v>46943</v>
      </c>
      <c r="G2428" s="88" t="str" cm="1">
        <f t="array" ref="G24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AND(F2428&gt;= DATE(2026,1,1), F2428&lt;= DATE(2028, 12, 31), J2428&gt;50000), "Pendente e Caro", AND(F2428&gt;= DATE(2026,1,1), F2428&lt;= DATE(2028, 12, 31), J2428&lt;=50000), "Pendente", F2428&gt;= DATE(2029,1,1), "Não prioeitário")</f>
        <v>Pendente</v>
      </c>
      <c r="H2428" s="89">
        <f>YEAR(Tabela1[[#This Row],[Data de Validade]])</f>
        <v>2028</v>
      </c>
      <c r="I2428" s="89">
        <f>MONTH(Tabela1[[#This Row],[Data de Validade]])</f>
        <v>7</v>
      </c>
      <c r="J2428" s="101">
        <v>41387</v>
      </c>
      <c r="K2428" s="87" t="s">
        <v>14</v>
      </c>
      <c r="L2428" s="108"/>
      <c r="M2428" s="108"/>
      <c r="N2428" s="108" t="str">
        <v>H162P342</v>
      </c>
      <c r="O2428" s="108">
        <f t="shared" si="39"/>
        <v>1</v>
      </c>
      <c r="P2428" s="108"/>
      <c r="Q2428"/>
    </row>
    <row r="2429" spans="1:17" x14ac:dyDescent="0.25">
      <c r="A2429" s="89" t="s">
        <v>7218</v>
      </c>
      <c r="B2429" s="87" t="s">
        <v>7219</v>
      </c>
      <c r="C2429" s="87" t="s">
        <v>13</v>
      </c>
      <c r="D2429" s="87" t="str">
        <f>VLOOKUP(Tabela1[[#This Row],[Origem]], 'Perguntas 1 a 24'!$J$28:$K$34, 2, 0)</f>
        <v>Sudeste</v>
      </c>
      <c r="E2429" s="87" t="str">
        <f>Tabela1[[#This Row],[Descrição]]&amp;"-"&amp;Tabela1[[#This Row],[Código]]&amp;"/"&amp;Tabela1[[#This Row],[Origem]]</f>
        <v>Deranofipa-H162P342/SP</v>
      </c>
      <c r="F2429" s="88">
        <v>46945</v>
      </c>
      <c r="G2429" s="88" t="str" cm="1">
        <f t="array" ref="G24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AND(F2429&gt;= DATE(2026,1,1), F2429&lt;= DATE(2028, 12, 31), J2429&gt;50000), "Pendente e Caro", AND(F2429&gt;= DATE(2026,1,1), F2429&lt;= DATE(2028, 12, 31), J2429&lt;=50000), "Pendente", F2429&gt;= DATE(2029,1,1), "Não prioeitário")</f>
        <v>Pendente e Caro</v>
      </c>
      <c r="H2429" s="89">
        <f>YEAR(Tabela1[[#This Row],[Data de Validade]])</f>
        <v>2028</v>
      </c>
      <c r="I2429" s="89">
        <f>MONTH(Tabela1[[#This Row],[Data de Validade]])</f>
        <v>7</v>
      </c>
      <c r="J2429" s="101">
        <v>108905</v>
      </c>
      <c r="K2429" s="87" t="s">
        <v>11</v>
      </c>
      <c r="L2429" s="108"/>
      <c r="M2429" s="108"/>
      <c r="N2429" s="108" t="str">
        <v>P522H225</v>
      </c>
      <c r="O2429" s="108">
        <f t="shared" si="39"/>
        <v>1</v>
      </c>
      <c r="P2429" s="108"/>
      <c r="Q2429"/>
    </row>
    <row r="2430" spans="1:17" x14ac:dyDescent="0.25">
      <c r="A2430" s="89" t="s">
        <v>10553</v>
      </c>
      <c r="B2430" s="87" t="s">
        <v>10554</v>
      </c>
      <c r="C2430" s="87" t="s">
        <v>10</v>
      </c>
      <c r="D2430" s="87" t="str">
        <f>VLOOKUP(Tabela1[[#This Row],[Origem]], 'Perguntas 1 a 24'!$J$28:$K$34, 2, 0)</f>
        <v>Centro-Oeste</v>
      </c>
      <c r="E2430" s="87" t="str">
        <f>Tabela1[[#This Row],[Descrição]]&amp;"-"&amp;Tabela1[[#This Row],[Código]]&amp;"/"&amp;Tabela1[[#This Row],[Origem]]</f>
        <v>Pirupori-P522H225/GO</v>
      </c>
      <c r="F2430" s="88">
        <v>46945</v>
      </c>
      <c r="G2430" s="88" t="str" cm="1">
        <f t="array" ref="G24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AND(F2430&gt;= DATE(2026,1,1), F2430&lt;= DATE(2028, 12, 31), J2430&gt;50000), "Pendente e Caro", AND(F2430&gt;= DATE(2026,1,1), F2430&lt;= DATE(2028, 12, 31), J2430&lt;=50000), "Pendente", F2430&gt;= DATE(2029,1,1), "Não prioeitário")</f>
        <v>Pendente e Caro</v>
      </c>
      <c r="H2430" s="89">
        <f>YEAR(Tabela1[[#This Row],[Data de Validade]])</f>
        <v>2028</v>
      </c>
      <c r="I2430" s="89">
        <f>MONTH(Tabela1[[#This Row],[Data de Validade]])</f>
        <v>7</v>
      </c>
      <c r="J2430" s="101">
        <v>68791</v>
      </c>
      <c r="K2430" s="87" t="s">
        <v>9</v>
      </c>
      <c r="L2430" s="108"/>
      <c r="M2430" s="108"/>
      <c r="N2430" s="108" t="str">
        <v>P929H672</v>
      </c>
      <c r="O2430" s="108">
        <f t="shared" si="39"/>
        <v>1</v>
      </c>
      <c r="P2430" s="108"/>
      <c r="Q2430"/>
    </row>
    <row r="2431" spans="1:17" x14ac:dyDescent="0.25">
      <c r="A2431" s="89" t="s">
        <v>8981</v>
      </c>
      <c r="B2431" s="87" t="s">
        <v>8982</v>
      </c>
      <c r="C2431" s="87" t="s">
        <v>8</v>
      </c>
      <c r="D2431" s="87" t="str">
        <f>VLOOKUP(Tabela1[[#This Row],[Origem]], 'Perguntas 1 a 24'!$J$28:$K$34, 2, 0)</f>
        <v>Nordeste</v>
      </c>
      <c r="E2431" s="87" t="str">
        <f>Tabela1[[#This Row],[Descrição]]&amp;"-"&amp;Tabela1[[#This Row],[Código]]&amp;"/"&amp;Tabela1[[#This Row],[Origem]]</f>
        <v>Pofivipadi-P929H672/AL</v>
      </c>
      <c r="F2431" s="88">
        <v>46945</v>
      </c>
      <c r="G2431" s="88" t="str" cm="1">
        <f t="array" ref="G24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AND(F2431&gt;= DATE(2026,1,1), F2431&lt;= DATE(2028, 12, 31), J2431&gt;50000), "Pendente e Caro", AND(F2431&gt;= DATE(2026,1,1), F2431&lt;= DATE(2028, 12, 31), J2431&lt;=50000), "Pendente", F2431&gt;= DATE(2029,1,1), "Não prioeitário")</f>
        <v>Pendente</v>
      </c>
      <c r="H2431" s="89">
        <f>YEAR(Tabela1[[#This Row],[Data de Validade]])</f>
        <v>2028</v>
      </c>
      <c r="I2431" s="89">
        <f>MONTH(Tabela1[[#This Row],[Data de Validade]])</f>
        <v>7</v>
      </c>
      <c r="J2431" s="101">
        <v>39391</v>
      </c>
      <c r="K2431" s="87" t="s">
        <v>14</v>
      </c>
      <c r="L2431" s="108"/>
      <c r="M2431" s="108"/>
      <c r="N2431" s="108" t="str">
        <v>P723H496</v>
      </c>
      <c r="O2431" s="108">
        <f t="shared" si="39"/>
        <v>1</v>
      </c>
      <c r="P2431" s="108"/>
      <c r="Q2431"/>
    </row>
    <row r="2432" spans="1:17" x14ac:dyDescent="0.25">
      <c r="A2432" s="89" t="s">
        <v>5498</v>
      </c>
      <c r="B2432" s="87" t="s">
        <v>5499</v>
      </c>
      <c r="C2432" s="87" t="s">
        <v>12</v>
      </c>
      <c r="D2432" s="87" t="str">
        <f>VLOOKUP(Tabela1[[#This Row],[Origem]], 'Perguntas 1 a 24'!$J$28:$K$34, 2, 0)</f>
        <v>Sudeste</v>
      </c>
      <c r="E2432" s="87" t="str">
        <f>Tabela1[[#This Row],[Descrição]]&amp;"-"&amp;Tabela1[[#This Row],[Código]]&amp;"/"&amp;Tabela1[[#This Row],[Origem]]</f>
        <v>Guparove-P723H496/RJ</v>
      </c>
      <c r="F2432" s="88">
        <v>46946</v>
      </c>
      <c r="G2432" s="88" t="str" cm="1">
        <f t="array" ref="G24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AND(F2432&gt;= DATE(2026,1,1), F2432&lt;= DATE(2028, 12, 31), J2432&gt;50000), "Pendente e Caro", AND(F2432&gt;= DATE(2026,1,1), F2432&lt;= DATE(2028, 12, 31), J2432&lt;=50000), "Pendente", F2432&gt;= DATE(2029,1,1), "Não prioeitário")</f>
        <v>Pendente e Caro</v>
      </c>
      <c r="H2432" s="89">
        <f>YEAR(Tabela1[[#This Row],[Data de Validade]])</f>
        <v>2028</v>
      </c>
      <c r="I2432" s="89">
        <f>MONTH(Tabela1[[#This Row],[Data de Validade]])</f>
        <v>7</v>
      </c>
      <c r="J2432" s="101">
        <v>94860</v>
      </c>
      <c r="K2432" s="87" t="s">
        <v>11</v>
      </c>
      <c r="L2432" s="108"/>
      <c r="M2432" s="108"/>
      <c r="N2432" s="108" t="str">
        <v>H355H685</v>
      </c>
      <c r="O2432" s="108">
        <f t="shared" si="39"/>
        <v>1</v>
      </c>
      <c r="P2432" s="108"/>
      <c r="Q2432"/>
    </row>
    <row r="2433" spans="1:17" x14ac:dyDescent="0.25">
      <c r="A2433" s="89" t="s">
        <v>8669</v>
      </c>
      <c r="B2433" s="87" t="s">
        <v>8670</v>
      </c>
      <c r="C2433" s="87" t="s">
        <v>12</v>
      </c>
      <c r="D2433" s="87" t="str">
        <f>VLOOKUP(Tabela1[[#This Row],[Origem]], 'Perguntas 1 a 24'!$J$28:$K$34, 2, 0)</f>
        <v>Sudeste</v>
      </c>
      <c r="E2433" s="87" t="str">
        <f>Tabela1[[#This Row],[Descrição]]&amp;"-"&amp;Tabela1[[#This Row],[Código]]&amp;"/"&amp;Tabela1[[#This Row],[Origem]]</f>
        <v>Netugi-H355H685/RJ</v>
      </c>
      <c r="F2433" s="88">
        <v>46946</v>
      </c>
      <c r="G2433" s="88" t="str" cm="1">
        <f t="array" ref="G24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AND(F2433&gt;= DATE(2026,1,1), F2433&lt;= DATE(2028, 12, 31), J2433&gt;50000), "Pendente e Caro", AND(F2433&gt;= DATE(2026,1,1), F2433&lt;= DATE(2028, 12, 31), J2433&lt;=50000), "Pendente", F2433&gt;= DATE(2029,1,1), "Não prioeitário")</f>
        <v>Pendente</v>
      </c>
      <c r="H2433" s="89">
        <f>YEAR(Tabela1[[#This Row],[Data de Validade]])</f>
        <v>2028</v>
      </c>
      <c r="I2433" s="89">
        <f>MONTH(Tabela1[[#This Row],[Data de Validade]])</f>
        <v>7</v>
      </c>
      <c r="J2433" s="101">
        <v>20609</v>
      </c>
      <c r="K2433" s="87" t="s">
        <v>9</v>
      </c>
      <c r="L2433" s="108"/>
      <c r="M2433" s="108"/>
      <c r="N2433" s="108" t="str">
        <v>P625P987</v>
      </c>
      <c r="O2433" s="108">
        <f t="shared" si="39"/>
        <v>1</v>
      </c>
      <c r="P2433" s="108"/>
      <c r="Q2433"/>
    </row>
    <row r="2434" spans="1:17" x14ac:dyDescent="0.25">
      <c r="A2434" s="89" t="s">
        <v>7962</v>
      </c>
      <c r="B2434" s="87" t="s">
        <v>7963</v>
      </c>
      <c r="C2434" s="87" t="s">
        <v>15</v>
      </c>
      <c r="D2434" s="87" t="str">
        <f>VLOOKUP(Tabela1[[#This Row],[Origem]], 'Perguntas 1 a 24'!$J$28:$K$34, 2, 0)</f>
        <v>Sudeste</v>
      </c>
      <c r="E2434" s="87" t="str">
        <f>Tabela1[[#This Row],[Descrição]]&amp;"-"&amp;Tabela1[[#This Row],[Código]]&amp;"/"&amp;Tabela1[[#This Row],[Origem]]</f>
        <v>Divopufole-P625P987/ES</v>
      </c>
      <c r="F2434" s="88">
        <v>46948</v>
      </c>
      <c r="G2434" s="88" t="str" cm="1">
        <f t="array" ref="G24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AND(F2434&gt;= DATE(2026,1,1), F2434&lt;= DATE(2028, 12, 31), J2434&gt;50000), "Pendente e Caro", AND(F2434&gt;= DATE(2026,1,1), F2434&lt;= DATE(2028, 12, 31), J2434&lt;=50000), "Pendente", F2434&gt;= DATE(2029,1,1), "Não prioeitário")</f>
        <v>Pendente e Caro</v>
      </c>
      <c r="H2434" s="89">
        <f>YEAR(Tabela1[[#This Row],[Data de Validade]])</f>
        <v>2028</v>
      </c>
      <c r="I2434" s="89">
        <f>MONTH(Tabela1[[#This Row],[Data de Validade]])</f>
        <v>7</v>
      </c>
      <c r="J2434" s="101">
        <v>95390</v>
      </c>
      <c r="K2434" s="87" t="s">
        <v>9</v>
      </c>
      <c r="L2434" s="108"/>
      <c r="M2434" s="108"/>
      <c r="N2434" s="108" t="str">
        <v>P212H453</v>
      </c>
      <c r="O2434" s="108">
        <f t="shared" si="39"/>
        <v>1</v>
      </c>
      <c r="P2434" s="108"/>
      <c r="Q2434"/>
    </row>
    <row r="2435" spans="1:17" x14ac:dyDescent="0.25">
      <c r="A2435" s="89" t="s">
        <v>6500</v>
      </c>
      <c r="B2435" s="87" t="s">
        <v>6501</v>
      </c>
      <c r="C2435" s="87" t="s">
        <v>16</v>
      </c>
      <c r="D2435" s="87" t="str">
        <f>VLOOKUP(Tabela1[[#This Row],[Origem]], 'Perguntas 1 a 24'!$J$28:$K$34, 2, 0)</f>
        <v>Sudeste</v>
      </c>
      <c r="E2435" s="87" t="str">
        <f>Tabela1[[#This Row],[Descrição]]&amp;"-"&amp;Tabela1[[#This Row],[Código]]&amp;"/"&amp;Tabela1[[#This Row],[Origem]]</f>
        <v>Putepade-P212H453/MG</v>
      </c>
      <c r="F2435" s="88">
        <v>46948</v>
      </c>
      <c r="G2435" s="88" t="str" cm="1">
        <f t="array" ref="G24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AND(F2435&gt;= DATE(2026,1,1), F2435&lt;= DATE(2028, 12, 31), J2435&gt;50000), "Pendente e Caro", AND(F2435&gt;= DATE(2026,1,1), F2435&lt;= DATE(2028, 12, 31), J2435&lt;=50000), "Pendente", F2435&gt;= DATE(2029,1,1), "Não prioeitário")</f>
        <v>Pendente</v>
      </c>
      <c r="H2435" s="89">
        <f>YEAR(Tabela1[[#This Row],[Data de Validade]])</f>
        <v>2028</v>
      </c>
      <c r="I2435" s="89">
        <f>MONTH(Tabela1[[#This Row],[Data de Validade]])</f>
        <v>7</v>
      </c>
      <c r="J2435" s="101">
        <v>40801</v>
      </c>
      <c r="K2435" s="87" t="s">
        <v>7</v>
      </c>
      <c r="L2435" s="108"/>
      <c r="M2435" s="108"/>
      <c r="N2435" s="108" t="str">
        <v>H823H157</v>
      </c>
      <c r="O2435" s="108">
        <f t="shared" ref="O2435:O2498" si="40">COUNTIFS(B:B,N2435)</f>
        <v>1</v>
      </c>
      <c r="P2435" s="108"/>
      <c r="Q2435"/>
    </row>
    <row r="2436" spans="1:17" x14ac:dyDescent="0.25">
      <c r="A2436" s="89" t="s">
        <v>11078</v>
      </c>
      <c r="B2436" s="87" t="s">
        <v>11079</v>
      </c>
      <c r="C2436" s="87" t="s">
        <v>8</v>
      </c>
      <c r="D2436" s="87" t="str">
        <f>VLOOKUP(Tabela1[[#This Row],[Origem]], 'Perguntas 1 a 24'!$J$28:$K$34, 2, 0)</f>
        <v>Nordeste</v>
      </c>
      <c r="E2436" s="87" t="str">
        <f>Tabela1[[#This Row],[Descrição]]&amp;"-"&amp;Tabela1[[#This Row],[Código]]&amp;"/"&amp;Tabela1[[#This Row],[Origem]]</f>
        <v>Minino-H823H157/AL</v>
      </c>
      <c r="F2436" s="88">
        <v>46949</v>
      </c>
      <c r="G2436" s="88" t="str" cm="1">
        <f t="array" ref="G24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AND(F2436&gt;= DATE(2026,1,1), F2436&lt;= DATE(2028, 12, 31), J2436&gt;50000), "Pendente e Caro", AND(F2436&gt;= DATE(2026,1,1), F2436&lt;= DATE(2028, 12, 31), J2436&lt;=50000), "Pendente", F2436&gt;= DATE(2029,1,1), "Não prioeitário")</f>
        <v>Pendente e Caro</v>
      </c>
      <c r="H2436" s="89">
        <f>YEAR(Tabela1[[#This Row],[Data de Validade]])</f>
        <v>2028</v>
      </c>
      <c r="I2436" s="89">
        <f>MONTH(Tabela1[[#This Row],[Data de Validade]])</f>
        <v>7</v>
      </c>
      <c r="J2436" s="101">
        <v>93242</v>
      </c>
      <c r="K2436" s="87" t="s">
        <v>14</v>
      </c>
      <c r="L2436" s="108"/>
      <c r="M2436" s="108"/>
      <c r="N2436" s="108" t="str">
        <v>P149H657</v>
      </c>
      <c r="O2436" s="108">
        <f t="shared" si="40"/>
        <v>1</v>
      </c>
      <c r="P2436" s="108"/>
      <c r="Q2436"/>
    </row>
    <row r="2437" spans="1:17" x14ac:dyDescent="0.25">
      <c r="A2437" s="89" t="s">
        <v>8629</v>
      </c>
      <c r="B2437" s="87" t="s">
        <v>8630</v>
      </c>
      <c r="C2437" s="87" t="s">
        <v>10</v>
      </c>
      <c r="D2437" s="87" t="str">
        <f>VLOOKUP(Tabela1[[#This Row],[Origem]], 'Perguntas 1 a 24'!$J$28:$K$34, 2, 0)</f>
        <v>Centro-Oeste</v>
      </c>
      <c r="E2437" s="87" t="str">
        <f>Tabela1[[#This Row],[Descrição]]&amp;"-"&amp;Tabela1[[#This Row],[Código]]&amp;"/"&amp;Tabela1[[#This Row],[Origem]]</f>
        <v>Tiporitire-P149H657/GO</v>
      </c>
      <c r="F2437" s="88">
        <v>46949</v>
      </c>
      <c r="G2437" s="88" t="str" cm="1">
        <f t="array" ref="G24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AND(F2437&gt;= DATE(2026,1,1), F2437&lt;= DATE(2028, 12, 31), J2437&gt;50000), "Pendente e Caro", AND(F2437&gt;= DATE(2026,1,1), F2437&lt;= DATE(2028, 12, 31), J2437&lt;=50000), "Pendente", F2437&gt;= DATE(2029,1,1), "Não prioeitário")</f>
        <v>Pendente e Caro</v>
      </c>
      <c r="H2437" s="89">
        <f>YEAR(Tabela1[[#This Row],[Data de Validade]])</f>
        <v>2028</v>
      </c>
      <c r="I2437" s="89">
        <f>MONTH(Tabela1[[#This Row],[Data de Validade]])</f>
        <v>7</v>
      </c>
      <c r="J2437" s="101">
        <v>75605</v>
      </c>
      <c r="K2437" s="87" t="s">
        <v>11</v>
      </c>
      <c r="L2437" s="108"/>
      <c r="M2437" s="108"/>
      <c r="N2437" s="108" t="str">
        <v>P794P757</v>
      </c>
      <c r="O2437" s="108">
        <f t="shared" si="40"/>
        <v>1</v>
      </c>
      <c r="P2437" s="108"/>
      <c r="Q2437"/>
    </row>
    <row r="2438" spans="1:17" x14ac:dyDescent="0.25">
      <c r="A2438" s="89" t="s">
        <v>8230</v>
      </c>
      <c r="B2438" s="87" t="s">
        <v>8231</v>
      </c>
      <c r="C2438" s="87" t="s">
        <v>10</v>
      </c>
      <c r="D2438" s="87" t="str">
        <f>VLOOKUP(Tabela1[[#This Row],[Origem]], 'Perguntas 1 a 24'!$J$28:$K$34, 2, 0)</f>
        <v>Centro-Oeste</v>
      </c>
      <c r="E2438" s="87" t="str">
        <f>Tabela1[[#This Row],[Descrição]]&amp;"-"&amp;Tabela1[[#This Row],[Código]]&amp;"/"&amp;Tabela1[[#This Row],[Origem]]</f>
        <v>Rotipu-P794P757/GO</v>
      </c>
      <c r="F2438" s="88">
        <v>46950</v>
      </c>
      <c r="G2438" s="88" t="str" cm="1">
        <f t="array" ref="G24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AND(F2438&gt;= DATE(2026,1,1), F2438&lt;= DATE(2028, 12, 31), J2438&gt;50000), "Pendente e Caro", AND(F2438&gt;= DATE(2026,1,1), F2438&lt;= DATE(2028, 12, 31), J2438&lt;=50000), "Pendente", F2438&gt;= DATE(2029,1,1), "Não prioeitário")</f>
        <v>Pendente e Caro</v>
      </c>
      <c r="H2438" s="89">
        <f>YEAR(Tabela1[[#This Row],[Data de Validade]])</f>
        <v>2028</v>
      </c>
      <c r="I2438" s="89">
        <f>MONTH(Tabela1[[#This Row],[Data de Validade]])</f>
        <v>7</v>
      </c>
      <c r="J2438" s="101">
        <v>109952</v>
      </c>
      <c r="K2438" s="87" t="s">
        <v>11</v>
      </c>
      <c r="L2438" s="108"/>
      <c r="M2438" s="108"/>
      <c r="N2438" s="108" t="str">
        <v>H817P899</v>
      </c>
      <c r="O2438" s="108">
        <f t="shared" si="40"/>
        <v>1</v>
      </c>
      <c r="P2438" s="108"/>
      <c r="Q2438"/>
    </row>
    <row r="2439" spans="1:17" x14ac:dyDescent="0.25">
      <c r="A2439" s="89" t="s">
        <v>9867</v>
      </c>
      <c r="B2439" s="87" t="s">
        <v>9868</v>
      </c>
      <c r="C2439" s="87" t="s">
        <v>12</v>
      </c>
      <c r="D2439" s="87" t="str">
        <f>VLOOKUP(Tabela1[[#This Row],[Origem]], 'Perguntas 1 a 24'!$J$28:$K$34, 2, 0)</f>
        <v>Sudeste</v>
      </c>
      <c r="E2439" s="87" t="str">
        <f>Tabela1[[#This Row],[Descrição]]&amp;"-"&amp;Tabela1[[#This Row],[Código]]&amp;"/"&amp;Tabela1[[#This Row],[Origem]]</f>
        <v>Rigimota-H817P899/RJ</v>
      </c>
      <c r="F2439" s="88">
        <v>46950</v>
      </c>
      <c r="G2439" s="88" t="str" cm="1">
        <f t="array" ref="G24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AND(F2439&gt;= DATE(2026,1,1), F2439&lt;= DATE(2028, 12, 31), J2439&gt;50000), "Pendente e Caro", AND(F2439&gt;= DATE(2026,1,1), F2439&lt;= DATE(2028, 12, 31), J2439&lt;=50000), "Pendente", F2439&gt;= DATE(2029,1,1), "Não prioeitário")</f>
        <v>Pendente e Caro</v>
      </c>
      <c r="H2439" s="89">
        <f>YEAR(Tabela1[[#This Row],[Data de Validade]])</f>
        <v>2028</v>
      </c>
      <c r="I2439" s="89">
        <f>MONTH(Tabela1[[#This Row],[Data de Validade]])</f>
        <v>7</v>
      </c>
      <c r="J2439" s="101">
        <v>62323</v>
      </c>
      <c r="K2439" s="87" t="s">
        <v>11</v>
      </c>
      <c r="L2439" s="108"/>
      <c r="M2439" s="108"/>
      <c r="N2439" s="108" t="str">
        <v>H981H522</v>
      </c>
      <c r="O2439" s="108">
        <f t="shared" si="40"/>
        <v>1</v>
      </c>
      <c r="P2439" s="108"/>
      <c r="Q2439"/>
    </row>
    <row r="2440" spans="1:17" x14ac:dyDescent="0.25">
      <c r="A2440" s="89" t="s">
        <v>3681</v>
      </c>
      <c r="B2440" s="87" t="s">
        <v>3682</v>
      </c>
      <c r="C2440" s="87" t="s">
        <v>15</v>
      </c>
      <c r="D2440" s="87" t="str">
        <f>VLOOKUP(Tabela1[[#This Row],[Origem]], 'Perguntas 1 a 24'!$J$28:$K$34, 2, 0)</f>
        <v>Sudeste</v>
      </c>
      <c r="E2440" s="87" t="str">
        <f>Tabela1[[#This Row],[Descrição]]&amp;"-"&amp;Tabela1[[#This Row],[Código]]&amp;"/"&amp;Tabela1[[#This Row],[Origem]]</f>
        <v>Padane-H981H522/ES</v>
      </c>
      <c r="F2440" s="88">
        <v>46950</v>
      </c>
      <c r="G2440" s="88" t="str" cm="1">
        <f t="array" ref="G24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AND(F2440&gt;= DATE(2026,1,1), F2440&lt;= DATE(2028, 12, 31), J2440&gt;50000), "Pendente e Caro", AND(F2440&gt;= DATE(2026,1,1), F2440&lt;= DATE(2028, 12, 31), J2440&lt;=50000), "Pendente", F2440&gt;= DATE(2029,1,1), "Não prioeitário")</f>
        <v>Pendente e Caro</v>
      </c>
      <c r="H2440" s="89">
        <f>YEAR(Tabela1[[#This Row],[Data de Validade]])</f>
        <v>2028</v>
      </c>
      <c r="I2440" s="89">
        <f>MONTH(Tabela1[[#This Row],[Data de Validade]])</f>
        <v>7</v>
      </c>
      <c r="J2440" s="101">
        <v>60110</v>
      </c>
      <c r="K2440" s="87" t="s">
        <v>7</v>
      </c>
      <c r="L2440" s="108"/>
      <c r="M2440" s="108"/>
      <c r="N2440" s="108" t="str">
        <v>P637P949</v>
      </c>
      <c r="O2440" s="108">
        <f t="shared" si="40"/>
        <v>1</v>
      </c>
      <c r="P2440" s="108"/>
      <c r="Q2440"/>
    </row>
    <row r="2441" spans="1:17" x14ac:dyDescent="0.25">
      <c r="A2441" s="89" t="s">
        <v>9587</v>
      </c>
      <c r="B2441" s="87" t="s">
        <v>9588</v>
      </c>
      <c r="C2441" s="87" t="s">
        <v>8</v>
      </c>
      <c r="D2441" s="87" t="str">
        <f>VLOOKUP(Tabela1[[#This Row],[Origem]], 'Perguntas 1 a 24'!$J$28:$K$34, 2, 0)</f>
        <v>Nordeste</v>
      </c>
      <c r="E2441" s="87" t="str">
        <f>Tabela1[[#This Row],[Descrição]]&amp;"-"&amp;Tabela1[[#This Row],[Código]]&amp;"/"&amp;Tabela1[[#This Row],[Origem]]</f>
        <v>Tetademo-P637P949/AL</v>
      </c>
      <c r="F2441" s="88">
        <v>46950</v>
      </c>
      <c r="G2441" s="88" t="str" cm="1">
        <f t="array" ref="G24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AND(F2441&gt;= DATE(2026,1,1), F2441&lt;= DATE(2028, 12, 31), J2441&gt;50000), "Pendente e Caro", AND(F2441&gt;= DATE(2026,1,1), F2441&lt;= DATE(2028, 12, 31), J2441&lt;=50000), "Pendente", F2441&gt;= DATE(2029,1,1), "Não prioeitário")</f>
        <v>Pendente e Caro</v>
      </c>
      <c r="H2441" s="89">
        <f>YEAR(Tabela1[[#This Row],[Data de Validade]])</f>
        <v>2028</v>
      </c>
      <c r="I2441" s="89">
        <f>MONTH(Tabela1[[#This Row],[Data de Validade]])</f>
        <v>7</v>
      </c>
      <c r="J2441" s="101">
        <v>55405</v>
      </c>
      <c r="K2441" s="87" t="s">
        <v>7</v>
      </c>
      <c r="L2441" s="108"/>
      <c r="M2441" s="108"/>
      <c r="N2441" s="108" t="str">
        <v>H833P964</v>
      </c>
      <c r="O2441" s="108">
        <f t="shared" si="40"/>
        <v>1</v>
      </c>
      <c r="P2441" s="108"/>
      <c r="Q2441"/>
    </row>
    <row r="2442" spans="1:17" x14ac:dyDescent="0.25">
      <c r="A2442" s="89" t="s">
        <v>6446</v>
      </c>
      <c r="B2442" s="87" t="s">
        <v>6447</v>
      </c>
      <c r="C2442" s="87" t="s">
        <v>15</v>
      </c>
      <c r="D2442" s="87" t="str">
        <f>VLOOKUP(Tabela1[[#This Row],[Origem]], 'Perguntas 1 a 24'!$J$28:$K$34, 2, 0)</f>
        <v>Sudeste</v>
      </c>
      <c r="E2442" s="87" t="str">
        <f>Tabela1[[#This Row],[Descrição]]&amp;"-"&amp;Tabela1[[#This Row],[Código]]&amp;"/"&amp;Tabela1[[#This Row],[Origem]]</f>
        <v>Fetena-H833P964/ES</v>
      </c>
      <c r="F2442" s="88">
        <v>46951</v>
      </c>
      <c r="G2442" s="88" t="str" cm="1">
        <f t="array" ref="G24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AND(F2442&gt;= DATE(2026,1,1), F2442&lt;= DATE(2028, 12, 31), J2442&gt;50000), "Pendente e Caro", AND(F2442&gt;= DATE(2026,1,1), F2442&lt;= DATE(2028, 12, 31), J2442&lt;=50000), "Pendente", F2442&gt;= DATE(2029,1,1), "Não prioeitário")</f>
        <v>Pendente e Caro</v>
      </c>
      <c r="H2442" s="89">
        <f>YEAR(Tabela1[[#This Row],[Data de Validade]])</f>
        <v>2028</v>
      </c>
      <c r="I2442" s="89">
        <f>MONTH(Tabela1[[#This Row],[Data de Validade]])</f>
        <v>7</v>
      </c>
      <c r="J2442" s="101">
        <v>104539</v>
      </c>
      <c r="K2442" s="87" t="s">
        <v>7</v>
      </c>
      <c r="L2442" s="108"/>
      <c r="M2442" s="108"/>
      <c r="N2442" s="108" t="str">
        <v>P177H713</v>
      </c>
      <c r="O2442" s="108">
        <f t="shared" si="40"/>
        <v>1</v>
      </c>
      <c r="P2442" s="108"/>
      <c r="Q2442"/>
    </row>
    <row r="2443" spans="1:17" x14ac:dyDescent="0.25">
      <c r="A2443" s="89" t="s">
        <v>10177</v>
      </c>
      <c r="B2443" s="87" t="s">
        <v>10178</v>
      </c>
      <c r="C2443" s="87" t="s">
        <v>8</v>
      </c>
      <c r="D2443" s="87" t="str">
        <f>VLOOKUP(Tabela1[[#This Row],[Origem]], 'Perguntas 1 a 24'!$J$28:$K$34, 2, 0)</f>
        <v>Nordeste</v>
      </c>
      <c r="E2443" s="87" t="str">
        <f>Tabela1[[#This Row],[Descrição]]&amp;"-"&amp;Tabela1[[#This Row],[Código]]&amp;"/"&amp;Tabela1[[#This Row],[Origem]]</f>
        <v>Repada-P177H713/AL</v>
      </c>
      <c r="F2443" s="88">
        <v>46951</v>
      </c>
      <c r="G2443" s="88" t="str" cm="1">
        <f t="array" ref="G24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AND(F2443&gt;= DATE(2026,1,1), F2443&lt;= DATE(2028, 12, 31), J2443&gt;50000), "Pendente e Caro", AND(F2443&gt;= DATE(2026,1,1), F2443&lt;= DATE(2028, 12, 31), J2443&lt;=50000), "Pendente", F2443&gt;= DATE(2029,1,1), "Não prioeitário")</f>
        <v>Pendente e Caro</v>
      </c>
      <c r="H2443" s="89">
        <f>YEAR(Tabela1[[#This Row],[Data de Validade]])</f>
        <v>2028</v>
      </c>
      <c r="I2443" s="89">
        <f>MONTH(Tabela1[[#This Row],[Data de Validade]])</f>
        <v>7</v>
      </c>
      <c r="J2443" s="101">
        <v>78550</v>
      </c>
      <c r="K2443" s="87" t="s">
        <v>7</v>
      </c>
      <c r="L2443" s="108"/>
      <c r="M2443" s="108"/>
      <c r="N2443" s="108" t="str">
        <v>H125P715</v>
      </c>
      <c r="O2443" s="108">
        <f t="shared" si="40"/>
        <v>1</v>
      </c>
      <c r="P2443" s="108"/>
      <c r="Q2443"/>
    </row>
    <row r="2444" spans="1:17" x14ac:dyDescent="0.25">
      <c r="A2444" s="89" t="s">
        <v>5060</v>
      </c>
      <c r="B2444" s="87" t="s">
        <v>5061</v>
      </c>
      <c r="C2444" s="87" t="s">
        <v>16</v>
      </c>
      <c r="D2444" s="87" t="str">
        <f>VLOOKUP(Tabela1[[#This Row],[Origem]], 'Perguntas 1 a 24'!$J$28:$K$34, 2, 0)</f>
        <v>Sudeste</v>
      </c>
      <c r="E2444" s="87" t="str">
        <f>Tabela1[[#This Row],[Descrição]]&amp;"-"&amp;Tabela1[[#This Row],[Código]]&amp;"/"&amp;Tabela1[[#This Row],[Origem]]</f>
        <v>Gapocidedi-H125P715/MG</v>
      </c>
      <c r="F2444" s="88">
        <v>46951</v>
      </c>
      <c r="G2444" s="88" t="str" cm="1">
        <f t="array" ref="G24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AND(F2444&gt;= DATE(2026,1,1), F2444&lt;= DATE(2028, 12, 31), J2444&gt;50000), "Pendente e Caro", AND(F2444&gt;= DATE(2026,1,1), F2444&lt;= DATE(2028, 12, 31), J2444&lt;=50000), "Pendente", F2444&gt;= DATE(2029,1,1), "Não prioeitário")</f>
        <v>Pendente</v>
      </c>
      <c r="H2444" s="89">
        <f>YEAR(Tabela1[[#This Row],[Data de Validade]])</f>
        <v>2028</v>
      </c>
      <c r="I2444" s="89">
        <f>MONTH(Tabela1[[#This Row],[Data de Validade]])</f>
        <v>7</v>
      </c>
      <c r="J2444" s="101">
        <v>25983</v>
      </c>
      <c r="K2444" s="87" t="s">
        <v>7</v>
      </c>
      <c r="L2444" s="108"/>
      <c r="M2444" s="108"/>
      <c r="N2444" s="108" t="str">
        <v>H762P763</v>
      </c>
      <c r="O2444" s="108">
        <f t="shared" si="40"/>
        <v>1</v>
      </c>
      <c r="P2444" s="108"/>
      <c r="Q2444"/>
    </row>
    <row r="2445" spans="1:17" x14ac:dyDescent="0.25">
      <c r="A2445" s="89" t="s">
        <v>6336</v>
      </c>
      <c r="B2445" s="87" t="s">
        <v>6337</v>
      </c>
      <c r="C2445" s="87" t="s">
        <v>15</v>
      </c>
      <c r="D2445" s="87" t="str">
        <f>VLOOKUP(Tabela1[[#This Row],[Origem]], 'Perguntas 1 a 24'!$J$28:$K$34, 2, 0)</f>
        <v>Sudeste</v>
      </c>
      <c r="E2445" s="87" t="str">
        <f>Tabela1[[#This Row],[Descrição]]&amp;"-"&amp;Tabela1[[#This Row],[Código]]&amp;"/"&amp;Tabela1[[#This Row],[Origem]]</f>
        <v>Dicirera-H762P763/ES</v>
      </c>
      <c r="F2445" s="88">
        <v>46952</v>
      </c>
      <c r="G2445" s="88" t="str" cm="1">
        <f t="array" ref="G24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AND(F2445&gt;= DATE(2026,1,1), F2445&lt;= DATE(2028, 12, 31), J2445&gt;50000), "Pendente e Caro", AND(F2445&gt;= DATE(2026,1,1), F2445&lt;= DATE(2028, 12, 31), J2445&lt;=50000), "Pendente", F2445&gt;= DATE(2029,1,1), "Não prioeitário")</f>
        <v>Pendente e Caro</v>
      </c>
      <c r="H2445" s="89">
        <f>YEAR(Tabela1[[#This Row],[Data de Validade]])</f>
        <v>2028</v>
      </c>
      <c r="I2445" s="89">
        <f>MONTH(Tabela1[[#This Row],[Data de Validade]])</f>
        <v>7</v>
      </c>
      <c r="J2445" s="101">
        <v>104826</v>
      </c>
      <c r="K2445" s="87" t="s">
        <v>9</v>
      </c>
      <c r="L2445" s="108"/>
      <c r="M2445" s="108"/>
      <c r="N2445" s="108" t="str">
        <v>P791P946</v>
      </c>
      <c r="O2445" s="108">
        <f t="shared" si="40"/>
        <v>1</v>
      </c>
      <c r="P2445" s="108"/>
      <c r="Q2445"/>
    </row>
    <row r="2446" spans="1:17" x14ac:dyDescent="0.25">
      <c r="A2446" s="89" t="s">
        <v>6272</v>
      </c>
      <c r="B2446" s="87" t="s">
        <v>6273</v>
      </c>
      <c r="C2446" s="87" t="s">
        <v>10</v>
      </c>
      <c r="D2446" s="87" t="str">
        <f>VLOOKUP(Tabela1[[#This Row],[Origem]], 'Perguntas 1 a 24'!$J$28:$K$34, 2, 0)</f>
        <v>Centro-Oeste</v>
      </c>
      <c r="E2446" s="87" t="str">
        <f>Tabela1[[#This Row],[Descrição]]&amp;"-"&amp;Tabela1[[#This Row],[Código]]&amp;"/"&amp;Tabela1[[#This Row],[Origem]]</f>
        <v>Pitecu-P791P946/GO</v>
      </c>
      <c r="F2446" s="88">
        <v>46952</v>
      </c>
      <c r="G2446" s="88" t="str" cm="1">
        <f t="array" ref="G24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AND(F2446&gt;= DATE(2026,1,1), F2446&lt;= DATE(2028, 12, 31), J2446&gt;50000), "Pendente e Caro", AND(F2446&gt;= DATE(2026,1,1), F2446&lt;= DATE(2028, 12, 31), J2446&lt;=50000), "Pendente", F2446&gt;= DATE(2029,1,1), "Não prioeitário")</f>
        <v>Pendente</v>
      </c>
      <c r="H2446" s="89">
        <f>YEAR(Tabela1[[#This Row],[Data de Validade]])</f>
        <v>2028</v>
      </c>
      <c r="I2446" s="89">
        <f>MONTH(Tabela1[[#This Row],[Data de Validade]])</f>
        <v>7</v>
      </c>
      <c r="J2446" s="101">
        <v>23876</v>
      </c>
      <c r="K2446" s="87" t="s">
        <v>11</v>
      </c>
      <c r="L2446" s="108"/>
      <c r="M2446" s="108"/>
      <c r="N2446" s="108" t="str">
        <v>H749H519</v>
      </c>
      <c r="O2446" s="108">
        <f t="shared" si="40"/>
        <v>1</v>
      </c>
      <c r="P2446" s="108"/>
      <c r="Q2446"/>
    </row>
    <row r="2447" spans="1:17" x14ac:dyDescent="0.25">
      <c r="A2447" s="89" t="s">
        <v>5698</v>
      </c>
      <c r="B2447" s="87" t="s">
        <v>5699</v>
      </c>
      <c r="C2447" s="87" t="s">
        <v>16</v>
      </c>
      <c r="D2447" s="87" t="str">
        <f>VLOOKUP(Tabela1[[#This Row],[Origem]], 'Perguntas 1 a 24'!$J$28:$K$34, 2, 0)</f>
        <v>Sudeste</v>
      </c>
      <c r="E2447" s="87" t="str">
        <f>Tabela1[[#This Row],[Descrição]]&amp;"-"&amp;Tabela1[[#This Row],[Código]]&amp;"/"&amp;Tabela1[[#This Row],[Origem]]</f>
        <v>Tagutadi-H749H519/MG</v>
      </c>
      <c r="F2447" s="88">
        <v>46953</v>
      </c>
      <c r="G2447" s="88" t="str" cm="1">
        <f t="array" ref="G24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AND(F2447&gt;= DATE(2026,1,1), F2447&lt;= DATE(2028, 12, 31), J2447&gt;50000), "Pendente e Caro", AND(F2447&gt;= DATE(2026,1,1), F2447&lt;= DATE(2028, 12, 31), J2447&lt;=50000), "Pendente", F2447&gt;= DATE(2029,1,1), "Não prioeitário")</f>
        <v>Pendente e Caro</v>
      </c>
      <c r="H2447" s="89">
        <f>YEAR(Tabela1[[#This Row],[Data de Validade]])</f>
        <v>2028</v>
      </c>
      <c r="I2447" s="89">
        <f>MONTH(Tabela1[[#This Row],[Data de Validade]])</f>
        <v>7</v>
      </c>
      <c r="J2447" s="101">
        <v>118509</v>
      </c>
      <c r="K2447" s="87" t="s">
        <v>9</v>
      </c>
      <c r="L2447" s="108"/>
      <c r="M2447" s="108"/>
      <c r="N2447" s="108" t="str">
        <v>H447P838</v>
      </c>
      <c r="O2447" s="108">
        <f t="shared" si="40"/>
        <v>1</v>
      </c>
      <c r="P2447" s="108"/>
      <c r="Q2447"/>
    </row>
    <row r="2448" spans="1:17" x14ac:dyDescent="0.25">
      <c r="A2448" s="89" t="s">
        <v>7146</v>
      </c>
      <c r="B2448" s="87" t="s">
        <v>7147</v>
      </c>
      <c r="C2448" s="87" t="s">
        <v>15</v>
      </c>
      <c r="D2448" s="87" t="str">
        <f>VLOOKUP(Tabela1[[#This Row],[Origem]], 'Perguntas 1 a 24'!$J$28:$K$34, 2, 0)</f>
        <v>Sudeste</v>
      </c>
      <c r="E2448" s="87" t="str">
        <f>Tabela1[[#This Row],[Descrição]]&amp;"-"&amp;Tabela1[[#This Row],[Código]]&amp;"/"&amp;Tabela1[[#This Row],[Origem]]</f>
        <v>Cedorimana-H447P838/ES</v>
      </c>
      <c r="F2448" s="88">
        <v>46953</v>
      </c>
      <c r="G2448" s="88" t="str" cm="1">
        <f t="array" ref="G24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AND(F2448&gt;= DATE(2026,1,1), F2448&lt;= DATE(2028, 12, 31), J2448&gt;50000), "Pendente e Caro", AND(F2448&gt;= DATE(2026,1,1), F2448&lt;= DATE(2028, 12, 31), J2448&lt;=50000), "Pendente", F2448&gt;= DATE(2029,1,1), "Não prioeitário")</f>
        <v>Pendente e Caro</v>
      </c>
      <c r="H2448" s="89">
        <f>YEAR(Tabela1[[#This Row],[Data de Validade]])</f>
        <v>2028</v>
      </c>
      <c r="I2448" s="89">
        <f>MONTH(Tabela1[[#This Row],[Data de Validade]])</f>
        <v>7</v>
      </c>
      <c r="J2448" s="101">
        <v>92331</v>
      </c>
      <c r="K2448" s="87" t="s">
        <v>11</v>
      </c>
      <c r="L2448" s="108"/>
      <c r="M2448" s="108"/>
      <c r="N2448" s="108" t="str">
        <v>P435H541</v>
      </c>
      <c r="O2448" s="108">
        <f t="shared" si="40"/>
        <v>1</v>
      </c>
      <c r="P2448" s="108"/>
      <c r="Q2448"/>
    </row>
    <row r="2449" spans="1:17" x14ac:dyDescent="0.25">
      <c r="A2449" s="89" t="s">
        <v>11014</v>
      </c>
      <c r="B2449" s="87" t="s">
        <v>11015</v>
      </c>
      <c r="C2449" s="87" t="s">
        <v>15</v>
      </c>
      <c r="D2449" s="87" t="str">
        <f>VLOOKUP(Tabela1[[#This Row],[Origem]], 'Perguntas 1 a 24'!$J$28:$K$34, 2, 0)</f>
        <v>Sudeste</v>
      </c>
      <c r="E2449" s="87" t="str">
        <f>Tabela1[[#This Row],[Descrição]]&amp;"-"&amp;Tabela1[[#This Row],[Código]]&amp;"/"&amp;Tabela1[[#This Row],[Origem]]</f>
        <v>Volegu-P435H541/ES</v>
      </c>
      <c r="F2449" s="88">
        <v>46953</v>
      </c>
      <c r="G2449" s="88" t="str" cm="1">
        <f t="array" ref="G24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AND(F2449&gt;= DATE(2026,1,1), F2449&lt;= DATE(2028, 12, 31), J2449&gt;50000), "Pendente e Caro", AND(F2449&gt;= DATE(2026,1,1), F2449&lt;= DATE(2028, 12, 31), J2449&lt;=50000), "Pendente", F2449&gt;= DATE(2029,1,1), "Não prioeitário")</f>
        <v>Pendente e Caro</v>
      </c>
      <c r="H2449" s="89">
        <f>YEAR(Tabela1[[#This Row],[Data de Validade]])</f>
        <v>2028</v>
      </c>
      <c r="I2449" s="89">
        <f>MONTH(Tabela1[[#This Row],[Data de Validade]])</f>
        <v>7</v>
      </c>
      <c r="J2449" s="101">
        <v>76557</v>
      </c>
      <c r="K2449" s="87" t="s">
        <v>7</v>
      </c>
      <c r="L2449" s="108"/>
      <c r="M2449" s="108"/>
      <c r="N2449" s="108" t="str">
        <v>H837P467</v>
      </c>
      <c r="O2449" s="108">
        <f t="shared" si="40"/>
        <v>1</v>
      </c>
      <c r="P2449" s="108"/>
      <c r="Q2449"/>
    </row>
    <row r="2450" spans="1:17" x14ac:dyDescent="0.25">
      <c r="A2450" s="89" t="s">
        <v>9823</v>
      </c>
      <c r="B2450" s="87" t="s">
        <v>9824</v>
      </c>
      <c r="C2450" s="87" t="s">
        <v>13</v>
      </c>
      <c r="D2450" s="87" t="str">
        <f>VLOOKUP(Tabela1[[#This Row],[Origem]], 'Perguntas 1 a 24'!$J$28:$K$34, 2, 0)</f>
        <v>Sudeste</v>
      </c>
      <c r="E2450" s="87" t="str">
        <f>Tabela1[[#This Row],[Descrição]]&amp;"-"&amp;Tabela1[[#This Row],[Código]]&amp;"/"&amp;Tabela1[[#This Row],[Origem]]</f>
        <v>Dopirufanu-H837P467/SP</v>
      </c>
      <c r="F2450" s="88">
        <v>46953</v>
      </c>
      <c r="G2450" s="88" t="str" cm="1">
        <f t="array" ref="G24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AND(F2450&gt;= DATE(2026,1,1), F2450&lt;= DATE(2028, 12, 31), J2450&gt;50000), "Pendente e Caro", AND(F2450&gt;= DATE(2026,1,1), F2450&lt;= DATE(2028, 12, 31), J2450&lt;=50000), "Pendente", F2450&gt;= DATE(2029,1,1), "Não prioeitário")</f>
        <v>Pendente</v>
      </c>
      <c r="H2450" s="89">
        <f>YEAR(Tabela1[[#This Row],[Data de Validade]])</f>
        <v>2028</v>
      </c>
      <c r="I2450" s="89">
        <f>MONTH(Tabela1[[#This Row],[Data de Validade]])</f>
        <v>7</v>
      </c>
      <c r="J2450" s="101">
        <v>31618</v>
      </c>
      <c r="K2450" s="87" t="s">
        <v>14</v>
      </c>
      <c r="L2450" s="108"/>
      <c r="M2450" s="108"/>
      <c r="N2450" s="108" t="str">
        <v>H547H165</v>
      </c>
      <c r="O2450" s="108">
        <f t="shared" si="40"/>
        <v>1</v>
      </c>
      <c r="P2450" s="108"/>
      <c r="Q2450"/>
    </row>
    <row r="2451" spans="1:17" x14ac:dyDescent="0.25">
      <c r="A2451" s="89" t="s">
        <v>5596</v>
      </c>
      <c r="B2451" s="87" t="s">
        <v>5597</v>
      </c>
      <c r="C2451" s="87" t="s">
        <v>8</v>
      </c>
      <c r="D2451" s="87" t="str">
        <f>VLOOKUP(Tabela1[[#This Row],[Origem]], 'Perguntas 1 a 24'!$J$28:$K$34, 2, 0)</f>
        <v>Nordeste</v>
      </c>
      <c r="E2451" s="87" t="str">
        <f>Tabela1[[#This Row],[Descrição]]&amp;"-"&amp;Tabela1[[#This Row],[Código]]&amp;"/"&amp;Tabela1[[#This Row],[Origem]]</f>
        <v>Cigipecu-H547H165/AL</v>
      </c>
      <c r="F2451" s="88">
        <v>46954</v>
      </c>
      <c r="G2451" s="88" t="str" cm="1">
        <f t="array" ref="G24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AND(F2451&gt;= DATE(2026,1,1), F2451&lt;= DATE(2028, 12, 31), J2451&gt;50000), "Pendente e Caro", AND(F2451&gt;= DATE(2026,1,1), F2451&lt;= DATE(2028, 12, 31), J2451&lt;=50000), "Pendente", F2451&gt;= DATE(2029,1,1), "Não prioeitário")</f>
        <v>Pendente e Caro</v>
      </c>
      <c r="H2451" s="89">
        <f>YEAR(Tabela1[[#This Row],[Data de Validade]])</f>
        <v>2028</v>
      </c>
      <c r="I2451" s="89">
        <f>MONTH(Tabela1[[#This Row],[Data de Validade]])</f>
        <v>7</v>
      </c>
      <c r="J2451" s="101">
        <v>107771</v>
      </c>
      <c r="K2451" s="87" t="s">
        <v>7</v>
      </c>
      <c r="L2451" s="108"/>
      <c r="M2451" s="108"/>
      <c r="N2451" s="108" t="str">
        <v>H716P672</v>
      </c>
      <c r="O2451" s="108">
        <f t="shared" si="40"/>
        <v>1</v>
      </c>
      <c r="P2451" s="108"/>
      <c r="Q2451"/>
    </row>
    <row r="2452" spans="1:17" x14ac:dyDescent="0.25">
      <c r="A2452" s="89" t="s">
        <v>11326</v>
      </c>
      <c r="B2452" s="87" t="s">
        <v>11327</v>
      </c>
      <c r="C2452" s="87" t="s">
        <v>16</v>
      </c>
      <c r="D2452" s="87" t="str">
        <f>VLOOKUP(Tabela1[[#This Row],[Origem]], 'Perguntas 1 a 24'!$J$28:$K$34, 2, 0)</f>
        <v>Sudeste</v>
      </c>
      <c r="E2452" s="87" t="str">
        <f>Tabela1[[#This Row],[Descrição]]&amp;"-"&amp;Tabela1[[#This Row],[Código]]&amp;"/"&amp;Tabela1[[#This Row],[Origem]]</f>
        <v>Topatopu-H716P672/MG</v>
      </c>
      <c r="F2452" s="88">
        <v>46954</v>
      </c>
      <c r="G2452" s="88" t="str" cm="1">
        <f t="array" ref="G24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AND(F2452&gt;= DATE(2026,1,1), F2452&lt;= DATE(2028, 12, 31), J2452&gt;50000), "Pendente e Caro", AND(F2452&gt;= DATE(2026,1,1), F2452&lt;= DATE(2028, 12, 31), J2452&lt;=50000), "Pendente", F2452&gt;= DATE(2029,1,1), "Não prioeitário")</f>
        <v>Pendente e Caro</v>
      </c>
      <c r="H2452" s="89">
        <f>YEAR(Tabela1[[#This Row],[Data de Validade]])</f>
        <v>2028</v>
      </c>
      <c r="I2452" s="89">
        <f>MONTH(Tabela1[[#This Row],[Data de Validade]])</f>
        <v>7</v>
      </c>
      <c r="J2452" s="101">
        <v>73005</v>
      </c>
      <c r="K2452" s="87" t="s">
        <v>9</v>
      </c>
      <c r="L2452" s="108"/>
      <c r="M2452" s="108"/>
      <c r="N2452" s="108" t="str">
        <v>P531P354</v>
      </c>
      <c r="O2452" s="108">
        <f t="shared" si="40"/>
        <v>1</v>
      </c>
      <c r="P2452" s="108"/>
      <c r="Q2452"/>
    </row>
    <row r="2453" spans="1:17" x14ac:dyDescent="0.25">
      <c r="A2453" s="89" t="s">
        <v>6316</v>
      </c>
      <c r="B2453" s="87" t="s">
        <v>6317</v>
      </c>
      <c r="C2453" s="87" t="s">
        <v>15</v>
      </c>
      <c r="D2453" s="87" t="str">
        <f>VLOOKUP(Tabela1[[#This Row],[Origem]], 'Perguntas 1 a 24'!$J$28:$K$34, 2, 0)</f>
        <v>Sudeste</v>
      </c>
      <c r="E2453" s="87" t="str">
        <f>Tabela1[[#This Row],[Descrição]]&amp;"-"&amp;Tabela1[[#This Row],[Código]]&amp;"/"&amp;Tabela1[[#This Row],[Origem]]</f>
        <v>Cimetuli-P531P354/ES</v>
      </c>
      <c r="F2453" s="88">
        <v>46955</v>
      </c>
      <c r="G2453" s="88" t="str" cm="1">
        <f t="array" ref="G24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AND(F2453&gt;= DATE(2026,1,1), F2453&lt;= DATE(2028, 12, 31), J2453&gt;50000), "Pendente e Caro", AND(F2453&gt;= DATE(2026,1,1), F2453&lt;= DATE(2028, 12, 31), J2453&lt;=50000), "Pendente", F2453&gt;= DATE(2029,1,1), "Não prioeitário")</f>
        <v>Pendente e Caro</v>
      </c>
      <c r="H2453" s="89">
        <f>YEAR(Tabela1[[#This Row],[Data de Validade]])</f>
        <v>2028</v>
      </c>
      <c r="I2453" s="89">
        <f>MONTH(Tabela1[[#This Row],[Data de Validade]])</f>
        <v>7</v>
      </c>
      <c r="J2453" s="101">
        <v>105467</v>
      </c>
      <c r="K2453" s="87" t="s">
        <v>14</v>
      </c>
      <c r="L2453" s="108"/>
      <c r="M2453" s="108"/>
      <c r="N2453" s="108" t="str">
        <v>H475H829</v>
      </c>
      <c r="O2453" s="108">
        <f t="shared" si="40"/>
        <v>1</v>
      </c>
      <c r="P2453" s="108"/>
      <c r="Q2453"/>
    </row>
    <row r="2454" spans="1:17" x14ac:dyDescent="0.25">
      <c r="A2454" s="89" t="s">
        <v>11064</v>
      </c>
      <c r="B2454" s="87" t="s">
        <v>11065</v>
      </c>
      <c r="C2454" s="87" t="s">
        <v>6</v>
      </c>
      <c r="D2454" s="87" t="str">
        <f>VLOOKUP(Tabela1[[#This Row],[Origem]], 'Perguntas 1 a 24'!$J$28:$K$34, 2, 0)</f>
        <v>Nordeste</v>
      </c>
      <c r="E2454" s="87" t="str">
        <f>Tabela1[[#This Row],[Descrição]]&amp;"-"&amp;Tabela1[[#This Row],[Código]]&amp;"/"&amp;Tabela1[[#This Row],[Origem]]</f>
        <v>Vorava-H475H829/MA</v>
      </c>
      <c r="F2454" s="88">
        <v>46955</v>
      </c>
      <c r="G2454" s="88" t="str" cm="1">
        <f t="array" ref="G24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AND(F2454&gt;= DATE(2026,1,1), F2454&lt;= DATE(2028, 12, 31), J2454&gt;50000), "Pendente e Caro", AND(F2454&gt;= DATE(2026,1,1), F2454&lt;= DATE(2028, 12, 31), J2454&lt;=50000), "Pendente", F2454&gt;= DATE(2029,1,1), "Não prioeitário")</f>
        <v>Pendente e Caro</v>
      </c>
      <c r="H2454" s="89">
        <f>YEAR(Tabela1[[#This Row],[Data de Validade]])</f>
        <v>2028</v>
      </c>
      <c r="I2454" s="89">
        <f>MONTH(Tabela1[[#This Row],[Data de Validade]])</f>
        <v>7</v>
      </c>
      <c r="J2454" s="101">
        <v>93966</v>
      </c>
      <c r="K2454" s="87" t="s">
        <v>11</v>
      </c>
      <c r="L2454" s="108"/>
      <c r="M2454" s="108"/>
      <c r="N2454" s="108" t="str">
        <v>H662P914</v>
      </c>
      <c r="O2454" s="108">
        <f t="shared" si="40"/>
        <v>1</v>
      </c>
      <c r="P2454" s="108"/>
      <c r="Q2454"/>
    </row>
    <row r="2455" spans="1:17" x14ac:dyDescent="0.25">
      <c r="A2455" s="89" t="s">
        <v>6258</v>
      </c>
      <c r="B2455" s="87" t="s">
        <v>6259</v>
      </c>
      <c r="C2455" s="87" t="s">
        <v>13</v>
      </c>
      <c r="D2455" s="87" t="str">
        <f>VLOOKUP(Tabela1[[#This Row],[Origem]], 'Perguntas 1 a 24'!$J$28:$K$34, 2, 0)</f>
        <v>Sudeste</v>
      </c>
      <c r="E2455" s="87" t="str">
        <f>Tabela1[[#This Row],[Descrição]]&amp;"-"&amp;Tabela1[[#This Row],[Código]]&amp;"/"&amp;Tabela1[[#This Row],[Origem]]</f>
        <v>Vonipucu-H662P914/SP</v>
      </c>
      <c r="F2455" s="88">
        <v>46955</v>
      </c>
      <c r="G2455" s="88" t="str" cm="1">
        <f t="array" ref="G24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AND(F2455&gt;= DATE(2026,1,1), F2455&lt;= DATE(2028, 12, 31), J2455&gt;50000), "Pendente e Caro", AND(F2455&gt;= DATE(2026,1,1), F2455&lt;= DATE(2028, 12, 31), J2455&lt;=50000), "Pendente", F2455&gt;= DATE(2029,1,1), "Não prioeitário")</f>
        <v>Pendente e Caro</v>
      </c>
      <c r="H2455" s="89">
        <f>YEAR(Tabela1[[#This Row],[Data de Validade]])</f>
        <v>2028</v>
      </c>
      <c r="I2455" s="89">
        <f>MONTH(Tabela1[[#This Row],[Data de Validade]])</f>
        <v>7</v>
      </c>
      <c r="J2455" s="101">
        <v>68613</v>
      </c>
      <c r="K2455" s="87" t="s">
        <v>11</v>
      </c>
      <c r="L2455" s="108"/>
      <c r="M2455" s="108"/>
      <c r="N2455" s="108" t="str">
        <v>P328H217</v>
      </c>
      <c r="O2455" s="108">
        <f t="shared" si="40"/>
        <v>1</v>
      </c>
      <c r="P2455" s="108"/>
      <c r="Q2455"/>
    </row>
    <row r="2456" spans="1:17" x14ac:dyDescent="0.25">
      <c r="A2456" s="89" t="s">
        <v>9449</v>
      </c>
      <c r="B2456" s="87" t="s">
        <v>9450</v>
      </c>
      <c r="C2456" s="87" t="s">
        <v>16</v>
      </c>
      <c r="D2456" s="87" t="str">
        <f>VLOOKUP(Tabela1[[#This Row],[Origem]], 'Perguntas 1 a 24'!$J$28:$K$34, 2, 0)</f>
        <v>Sudeste</v>
      </c>
      <c r="E2456" s="87" t="str">
        <f>Tabela1[[#This Row],[Descrição]]&amp;"-"&amp;Tabela1[[#This Row],[Código]]&amp;"/"&amp;Tabela1[[#This Row],[Origem]]</f>
        <v>Tutepeni-P328H217/MG</v>
      </c>
      <c r="F2456" s="88">
        <v>46956</v>
      </c>
      <c r="G2456" s="88" t="str" cm="1">
        <f t="array" ref="G24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AND(F2456&gt;= DATE(2026,1,1), F2456&lt;= DATE(2028, 12, 31), J2456&gt;50000), "Pendente e Caro", AND(F2456&gt;= DATE(2026,1,1), F2456&lt;= DATE(2028, 12, 31), J2456&lt;=50000), "Pendente", F2456&gt;= DATE(2029,1,1), "Não prioeitário")</f>
        <v>Pendente e Caro</v>
      </c>
      <c r="H2456" s="89">
        <f>YEAR(Tabela1[[#This Row],[Data de Validade]])</f>
        <v>2028</v>
      </c>
      <c r="I2456" s="89">
        <f>MONTH(Tabela1[[#This Row],[Data de Validade]])</f>
        <v>7</v>
      </c>
      <c r="J2456" s="101">
        <v>76859</v>
      </c>
      <c r="K2456" s="87" t="s">
        <v>7</v>
      </c>
      <c r="L2456" s="108"/>
      <c r="M2456" s="108"/>
      <c r="N2456" s="108" t="str">
        <v>H219H128</v>
      </c>
      <c r="O2456" s="108">
        <f t="shared" si="40"/>
        <v>1</v>
      </c>
      <c r="P2456" s="108"/>
      <c r="Q2456"/>
    </row>
    <row r="2457" spans="1:17" x14ac:dyDescent="0.25">
      <c r="A2457" s="89" t="s">
        <v>9013</v>
      </c>
      <c r="B2457" s="87" t="s">
        <v>9014</v>
      </c>
      <c r="C2457" s="87" t="s">
        <v>15</v>
      </c>
      <c r="D2457" s="87" t="str">
        <f>VLOOKUP(Tabela1[[#This Row],[Origem]], 'Perguntas 1 a 24'!$J$28:$K$34, 2, 0)</f>
        <v>Sudeste</v>
      </c>
      <c r="E2457" s="87" t="str">
        <f>Tabela1[[#This Row],[Descrição]]&amp;"-"&amp;Tabela1[[#This Row],[Código]]&amp;"/"&amp;Tabela1[[#This Row],[Origem]]</f>
        <v>Vocotapera-H219H128/ES</v>
      </c>
      <c r="F2457" s="88">
        <v>46956</v>
      </c>
      <c r="G2457" s="88" t="str" cm="1">
        <f t="array" ref="G24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AND(F2457&gt;= DATE(2026,1,1), F2457&lt;= DATE(2028, 12, 31), J2457&gt;50000), "Pendente e Caro", AND(F2457&gt;= DATE(2026,1,1), F2457&lt;= DATE(2028, 12, 31), J2457&lt;=50000), "Pendente", F2457&gt;= DATE(2029,1,1), "Não prioeitário")</f>
        <v>Pendente</v>
      </c>
      <c r="H2457" s="89">
        <f>YEAR(Tabela1[[#This Row],[Data de Validade]])</f>
        <v>2028</v>
      </c>
      <c r="I2457" s="89">
        <f>MONTH(Tabela1[[#This Row],[Data de Validade]])</f>
        <v>7</v>
      </c>
      <c r="J2457" s="101">
        <v>33161</v>
      </c>
      <c r="K2457" s="87" t="s">
        <v>14</v>
      </c>
      <c r="L2457" s="108"/>
      <c r="M2457" s="108"/>
      <c r="N2457" s="108" t="str">
        <v>H233P441</v>
      </c>
      <c r="O2457" s="108">
        <f t="shared" si="40"/>
        <v>1</v>
      </c>
      <c r="P2457" s="108"/>
      <c r="Q2457"/>
    </row>
    <row r="2458" spans="1:17" x14ac:dyDescent="0.25">
      <c r="A2458" s="89" t="s">
        <v>4822</v>
      </c>
      <c r="B2458" s="87" t="s">
        <v>4823</v>
      </c>
      <c r="C2458" s="87" t="s">
        <v>15</v>
      </c>
      <c r="D2458" s="87" t="str">
        <f>VLOOKUP(Tabela1[[#This Row],[Origem]], 'Perguntas 1 a 24'!$J$28:$K$34, 2, 0)</f>
        <v>Sudeste</v>
      </c>
      <c r="E2458" s="87" t="str">
        <f>Tabela1[[#This Row],[Descrição]]&amp;"-"&amp;Tabela1[[#This Row],[Código]]&amp;"/"&amp;Tabela1[[#This Row],[Origem]]</f>
        <v>Dufefurapu-H233P441/ES</v>
      </c>
      <c r="F2458" s="88">
        <v>46957</v>
      </c>
      <c r="G2458" s="88" t="str" cm="1">
        <f t="array" ref="G24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AND(F2458&gt;= DATE(2026,1,1), F2458&lt;= DATE(2028, 12, 31), J2458&gt;50000), "Pendente e Caro", AND(F2458&gt;= DATE(2026,1,1), F2458&lt;= DATE(2028, 12, 31), J2458&lt;=50000), "Pendente", F2458&gt;= DATE(2029,1,1), "Não prioeitário")</f>
        <v>Pendente e Caro</v>
      </c>
      <c r="H2458" s="89">
        <f>YEAR(Tabela1[[#This Row],[Data de Validade]])</f>
        <v>2028</v>
      </c>
      <c r="I2458" s="89">
        <f>MONTH(Tabela1[[#This Row],[Data de Validade]])</f>
        <v>7</v>
      </c>
      <c r="J2458" s="101">
        <v>73011</v>
      </c>
      <c r="K2458" s="87" t="s">
        <v>9</v>
      </c>
      <c r="L2458" s="108"/>
      <c r="M2458" s="108"/>
      <c r="N2458" s="108" t="str">
        <v>P314H486</v>
      </c>
      <c r="O2458" s="108">
        <f t="shared" si="40"/>
        <v>1</v>
      </c>
      <c r="P2458" s="108"/>
      <c r="Q2458"/>
    </row>
    <row r="2459" spans="1:17" x14ac:dyDescent="0.25">
      <c r="A2459" s="89" t="s">
        <v>8761</v>
      </c>
      <c r="B2459" s="87" t="s">
        <v>8762</v>
      </c>
      <c r="C2459" s="87" t="s">
        <v>6</v>
      </c>
      <c r="D2459" s="87" t="str">
        <f>VLOOKUP(Tabela1[[#This Row],[Origem]], 'Perguntas 1 a 24'!$J$28:$K$34, 2, 0)</f>
        <v>Nordeste</v>
      </c>
      <c r="E2459" s="87" t="str">
        <f>Tabela1[[#This Row],[Descrição]]&amp;"-"&amp;Tabela1[[#This Row],[Código]]&amp;"/"&amp;Tabela1[[#This Row],[Origem]]</f>
        <v>Delinige-P314H486/MA</v>
      </c>
      <c r="F2459" s="88">
        <v>46958</v>
      </c>
      <c r="G2459" s="88" t="str" cm="1">
        <f t="array" ref="G24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AND(F2459&gt;= DATE(2026,1,1), F2459&lt;= DATE(2028, 12, 31), J2459&gt;50000), "Pendente e Caro", AND(F2459&gt;= DATE(2026,1,1), F2459&lt;= DATE(2028, 12, 31), J2459&lt;=50000), "Pendente", F2459&gt;= DATE(2029,1,1), "Não prioeitário")</f>
        <v>Pendente e Caro</v>
      </c>
      <c r="H2459" s="89">
        <f>YEAR(Tabela1[[#This Row],[Data de Validade]])</f>
        <v>2028</v>
      </c>
      <c r="I2459" s="89">
        <f>MONTH(Tabela1[[#This Row],[Data de Validade]])</f>
        <v>7</v>
      </c>
      <c r="J2459" s="101">
        <v>89114</v>
      </c>
      <c r="K2459" s="87" t="s">
        <v>14</v>
      </c>
      <c r="L2459" s="108"/>
      <c r="M2459" s="108"/>
      <c r="N2459" s="108" t="str">
        <v>P154H668</v>
      </c>
      <c r="O2459" s="108">
        <f t="shared" si="40"/>
        <v>1</v>
      </c>
      <c r="P2459" s="108"/>
      <c r="Q2459"/>
    </row>
    <row r="2460" spans="1:17" x14ac:dyDescent="0.25">
      <c r="A2460" s="89" t="s">
        <v>8524</v>
      </c>
      <c r="B2460" s="87" t="s">
        <v>8525</v>
      </c>
      <c r="C2460" s="87" t="s">
        <v>10</v>
      </c>
      <c r="D2460" s="87" t="str">
        <f>VLOOKUP(Tabela1[[#This Row],[Origem]], 'Perguntas 1 a 24'!$J$28:$K$34, 2, 0)</f>
        <v>Centro-Oeste</v>
      </c>
      <c r="E2460" s="87" t="str">
        <f>Tabela1[[#This Row],[Descrição]]&amp;"-"&amp;Tabela1[[#This Row],[Código]]&amp;"/"&amp;Tabela1[[#This Row],[Origem]]</f>
        <v>Gacopilodu-P154H668/GO</v>
      </c>
      <c r="F2460" s="88">
        <v>46959</v>
      </c>
      <c r="G2460" s="88" t="str" cm="1">
        <f t="array" ref="G24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AND(F2460&gt;= DATE(2026,1,1), F2460&lt;= DATE(2028, 12, 31), J2460&gt;50000), "Pendente e Caro", AND(F2460&gt;= DATE(2026,1,1), F2460&lt;= DATE(2028, 12, 31), J2460&lt;=50000), "Pendente", F2460&gt;= DATE(2029,1,1), "Não prioeitário")</f>
        <v>Pendente e Caro</v>
      </c>
      <c r="H2460" s="89">
        <f>YEAR(Tabela1[[#This Row],[Data de Validade]])</f>
        <v>2028</v>
      </c>
      <c r="I2460" s="89">
        <f>MONTH(Tabela1[[#This Row],[Data de Validade]])</f>
        <v>7</v>
      </c>
      <c r="J2460" s="101">
        <v>105149</v>
      </c>
      <c r="K2460" s="87" t="s">
        <v>14</v>
      </c>
      <c r="L2460" s="108"/>
      <c r="M2460" s="108"/>
      <c r="N2460" s="108" t="str">
        <v>P355P544</v>
      </c>
      <c r="O2460" s="108">
        <f t="shared" si="40"/>
        <v>1</v>
      </c>
      <c r="P2460" s="108"/>
      <c r="Q2460"/>
    </row>
    <row r="2461" spans="1:17" x14ac:dyDescent="0.25">
      <c r="A2461" s="89" t="s">
        <v>11272</v>
      </c>
      <c r="B2461" s="87" t="s">
        <v>11273</v>
      </c>
      <c r="C2461" s="87" t="s">
        <v>13</v>
      </c>
      <c r="D2461" s="87" t="str">
        <f>VLOOKUP(Tabela1[[#This Row],[Origem]], 'Perguntas 1 a 24'!$J$28:$K$34, 2, 0)</f>
        <v>Sudeste</v>
      </c>
      <c r="E2461" s="87" t="str">
        <f>Tabela1[[#This Row],[Descrição]]&amp;"-"&amp;Tabela1[[#This Row],[Código]]&amp;"/"&amp;Tabela1[[#This Row],[Origem]]</f>
        <v>Tafata-P355P544/SP</v>
      </c>
      <c r="F2461" s="88">
        <v>46959</v>
      </c>
      <c r="G2461" s="88" t="str" cm="1">
        <f t="array" ref="G24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AND(F2461&gt;= DATE(2026,1,1), F2461&lt;= DATE(2028, 12, 31), J2461&gt;50000), "Pendente e Caro", AND(F2461&gt;= DATE(2026,1,1), F2461&lt;= DATE(2028, 12, 31), J2461&lt;=50000), "Pendente", F2461&gt;= DATE(2029,1,1), "Não prioeitário")</f>
        <v>Pendente</v>
      </c>
      <c r="H2461" s="89">
        <f>YEAR(Tabela1[[#This Row],[Data de Validade]])</f>
        <v>2028</v>
      </c>
      <c r="I2461" s="89">
        <f>MONTH(Tabela1[[#This Row],[Data de Validade]])</f>
        <v>7</v>
      </c>
      <c r="J2461" s="101">
        <v>48663</v>
      </c>
      <c r="K2461" s="87" t="s">
        <v>14</v>
      </c>
      <c r="L2461" s="108"/>
      <c r="M2461" s="108"/>
      <c r="N2461" s="108" t="str">
        <v>H658P127</v>
      </c>
      <c r="O2461" s="108">
        <f t="shared" si="40"/>
        <v>1</v>
      </c>
      <c r="P2461" s="108"/>
      <c r="Q2461"/>
    </row>
    <row r="2462" spans="1:17" x14ac:dyDescent="0.25">
      <c r="A2462" s="89" t="s">
        <v>8410</v>
      </c>
      <c r="B2462" s="87" t="s">
        <v>8411</v>
      </c>
      <c r="C2462" s="87" t="s">
        <v>15</v>
      </c>
      <c r="D2462" s="87" t="str">
        <f>VLOOKUP(Tabela1[[#This Row],[Origem]], 'Perguntas 1 a 24'!$J$28:$K$34, 2, 0)</f>
        <v>Sudeste</v>
      </c>
      <c r="E2462" s="87" t="str">
        <f>Tabela1[[#This Row],[Descrição]]&amp;"-"&amp;Tabela1[[#This Row],[Código]]&amp;"/"&amp;Tabela1[[#This Row],[Origem]]</f>
        <v>Vapetu-H658P127/ES</v>
      </c>
      <c r="F2462" s="88">
        <v>46960</v>
      </c>
      <c r="G2462" s="88" t="str" cm="1">
        <f t="array" ref="G24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AND(F2462&gt;= DATE(2026,1,1), F2462&lt;= DATE(2028, 12, 31), J2462&gt;50000), "Pendente e Caro", AND(F2462&gt;= DATE(2026,1,1), F2462&lt;= DATE(2028, 12, 31), J2462&lt;=50000), "Pendente", F2462&gt;= DATE(2029,1,1), "Não prioeitário")</f>
        <v>Pendente e Caro</v>
      </c>
      <c r="H2462" s="89">
        <f>YEAR(Tabela1[[#This Row],[Data de Validade]])</f>
        <v>2028</v>
      </c>
      <c r="I2462" s="89">
        <f>MONTH(Tabela1[[#This Row],[Data de Validade]])</f>
        <v>7</v>
      </c>
      <c r="J2462" s="101">
        <v>104870</v>
      </c>
      <c r="K2462" s="87" t="s">
        <v>9</v>
      </c>
      <c r="L2462" s="108"/>
      <c r="M2462" s="108"/>
      <c r="N2462" s="108" t="str">
        <v>H422P166</v>
      </c>
      <c r="O2462" s="108">
        <f t="shared" si="40"/>
        <v>1</v>
      </c>
      <c r="P2462" s="108"/>
      <c r="Q2462"/>
    </row>
    <row r="2463" spans="1:17" x14ac:dyDescent="0.25">
      <c r="A2463" s="89" t="s">
        <v>3748</v>
      </c>
      <c r="B2463" s="87" t="s">
        <v>3749</v>
      </c>
      <c r="C2463" s="87" t="s">
        <v>12</v>
      </c>
      <c r="D2463" s="87" t="str">
        <f>VLOOKUP(Tabela1[[#This Row],[Origem]], 'Perguntas 1 a 24'!$J$28:$K$34, 2, 0)</f>
        <v>Sudeste</v>
      </c>
      <c r="E2463" s="87" t="str">
        <f>Tabela1[[#This Row],[Descrição]]&amp;"-"&amp;Tabela1[[#This Row],[Código]]&amp;"/"&amp;Tabela1[[#This Row],[Origem]]</f>
        <v>Nudanefeca-H422P166/RJ</v>
      </c>
      <c r="F2463" s="88">
        <v>46960</v>
      </c>
      <c r="G2463" s="88" t="str" cm="1">
        <f t="array" ref="G24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AND(F2463&gt;= DATE(2026,1,1), F2463&lt;= DATE(2028, 12, 31), J2463&gt;50000), "Pendente e Caro", AND(F2463&gt;= DATE(2026,1,1), F2463&lt;= DATE(2028, 12, 31), J2463&lt;=50000), "Pendente", F2463&gt;= DATE(2029,1,1), "Não prioeitário")</f>
        <v>Pendente e Caro</v>
      </c>
      <c r="H2463" s="89">
        <f>YEAR(Tabela1[[#This Row],[Data de Validade]])</f>
        <v>2028</v>
      </c>
      <c r="I2463" s="89">
        <f>MONTH(Tabela1[[#This Row],[Data de Validade]])</f>
        <v>7</v>
      </c>
      <c r="J2463" s="101">
        <v>71919</v>
      </c>
      <c r="K2463" s="87" t="s">
        <v>7</v>
      </c>
      <c r="L2463" s="108"/>
      <c r="M2463" s="108"/>
      <c r="N2463" s="108" t="str">
        <v>H382H246</v>
      </c>
      <c r="O2463" s="108">
        <f t="shared" si="40"/>
        <v>1</v>
      </c>
      <c r="P2463" s="108"/>
      <c r="Q2463"/>
    </row>
    <row r="2464" spans="1:17" x14ac:dyDescent="0.25">
      <c r="A2464" s="89" t="s">
        <v>9595</v>
      </c>
      <c r="B2464" s="87" t="s">
        <v>9596</v>
      </c>
      <c r="C2464" s="87" t="s">
        <v>10</v>
      </c>
      <c r="D2464" s="87" t="str">
        <f>VLOOKUP(Tabela1[[#This Row],[Origem]], 'Perguntas 1 a 24'!$J$28:$K$34, 2, 0)</f>
        <v>Centro-Oeste</v>
      </c>
      <c r="E2464" s="87" t="str">
        <f>Tabela1[[#This Row],[Descrição]]&amp;"-"&amp;Tabela1[[#This Row],[Código]]&amp;"/"&amp;Tabela1[[#This Row],[Origem]]</f>
        <v>Topuga-H382H246/GO</v>
      </c>
      <c r="F2464" s="88">
        <v>46961</v>
      </c>
      <c r="G2464" s="88" t="str" cm="1">
        <f t="array" ref="G24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AND(F2464&gt;= DATE(2026,1,1), F2464&lt;= DATE(2028, 12, 31), J2464&gt;50000), "Pendente e Caro", AND(F2464&gt;= DATE(2026,1,1), F2464&lt;= DATE(2028, 12, 31), J2464&lt;=50000), "Pendente", F2464&gt;= DATE(2029,1,1), "Não prioeitário")</f>
        <v>Pendente e Caro</v>
      </c>
      <c r="H2464" s="89">
        <f>YEAR(Tabela1[[#This Row],[Data de Validade]])</f>
        <v>2028</v>
      </c>
      <c r="I2464" s="89">
        <f>MONTH(Tabela1[[#This Row],[Data de Validade]])</f>
        <v>7</v>
      </c>
      <c r="J2464" s="101">
        <v>115479</v>
      </c>
      <c r="K2464" s="87" t="s">
        <v>11</v>
      </c>
      <c r="L2464" s="108"/>
      <c r="M2464" s="108"/>
      <c r="N2464" s="108" t="str">
        <v>H578H215</v>
      </c>
      <c r="O2464" s="108">
        <f t="shared" si="40"/>
        <v>1</v>
      </c>
      <c r="P2464" s="108"/>
      <c r="Q2464"/>
    </row>
    <row r="2465" spans="1:17" x14ac:dyDescent="0.25">
      <c r="A2465" s="89" t="s">
        <v>5464</v>
      </c>
      <c r="B2465" s="87" t="s">
        <v>5465</v>
      </c>
      <c r="C2465" s="87" t="s">
        <v>12</v>
      </c>
      <c r="D2465" s="87" t="str">
        <f>VLOOKUP(Tabela1[[#This Row],[Origem]], 'Perguntas 1 a 24'!$J$28:$K$34, 2, 0)</f>
        <v>Sudeste</v>
      </c>
      <c r="E2465" s="87" t="str">
        <f>Tabela1[[#This Row],[Descrição]]&amp;"-"&amp;Tabela1[[#This Row],[Código]]&amp;"/"&amp;Tabela1[[#This Row],[Origem]]</f>
        <v>Dolere-H578H215/RJ</v>
      </c>
      <c r="F2465" s="88">
        <v>46961</v>
      </c>
      <c r="G2465" s="88" t="str" cm="1">
        <f t="array" ref="G24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AND(F2465&gt;= DATE(2026,1,1), F2465&lt;= DATE(2028, 12, 31), J2465&gt;50000), "Pendente e Caro", AND(F2465&gt;= DATE(2026,1,1), F2465&lt;= DATE(2028, 12, 31), J2465&lt;=50000), "Pendente", F2465&gt;= DATE(2029,1,1), "Não prioeitário")</f>
        <v>Pendente e Caro</v>
      </c>
      <c r="H2465" s="89">
        <f>YEAR(Tabela1[[#This Row],[Data de Validade]])</f>
        <v>2028</v>
      </c>
      <c r="I2465" s="89">
        <f>MONTH(Tabela1[[#This Row],[Data de Validade]])</f>
        <v>7</v>
      </c>
      <c r="J2465" s="101">
        <v>86672</v>
      </c>
      <c r="K2465" s="87" t="s">
        <v>7</v>
      </c>
      <c r="L2465" s="108"/>
      <c r="M2465" s="108"/>
      <c r="N2465" s="108" t="str">
        <v>P871P946</v>
      </c>
      <c r="O2465" s="108">
        <f t="shared" si="40"/>
        <v>1</v>
      </c>
      <c r="P2465" s="108"/>
      <c r="Q2465"/>
    </row>
    <row r="2466" spans="1:17" x14ac:dyDescent="0.25">
      <c r="A2466" s="89" t="s">
        <v>4972</v>
      </c>
      <c r="B2466" s="87" t="s">
        <v>4973</v>
      </c>
      <c r="C2466" s="87" t="s">
        <v>6</v>
      </c>
      <c r="D2466" s="87" t="str">
        <f>VLOOKUP(Tabela1[[#This Row],[Origem]], 'Perguntas 1 a 24'!$J$28:$K$34, 2, 0)</f>
        <v>Nordeste</v>
      </c>
      <c r="E2466" s="87" t="str">
        <f>Tabela1[[#This Row],[Descrição]]&amp;"-"&amp;Tabela1[[#This Row],[Código]]&amp;"/"&amp;Tabela1[[#This Row],[Origem]]</f>
        <v>Rocivatume-P871P946/MA</v>
      </c>
      <c r="F2466" s="88">
        <v>46962</v>
      </c>
      <c r="G2466" s="88" t="str" cm="1">
        <f t="array" ref="G24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AND(F2466&gt;= DATE(2026,1,1), F2466&lt;= DATE(2028, 12, 31), J2466&gt;50000), "Pendente e Caro", AND(F2466&gt;= DATE(2026,1,1), F2466&lt;= DATE(2028, 12, 31), J2466&lt;=50000), "Pendente", F2466&gt;= DATE(2029,1,1), "Não prioeitário")</f>
        <v>Pendente</v>
      </c>
      <c r="H2466" s="89">
        <f>YEAR(Tabela1[[#This Row],[Data de Validade]])</f>
        <v>2028</v>
      </c>
      <c r="I2466" s="89">
        <f>MONTH(Tabela1[[#This Row],[Data de Validade]])</f>
        <v>7</v>
      </c>
      <c r="J2466" s="101">
        <v>41397</v>
      </c>
      <c r="K2466" s="87" t="s">
        <v>7</v>
      </c>
      <c r="L2466" s="108"/>
      <c r="M2466" s="108"/>
      <c r="N2466" s="108" t="str">
        <v>H473H788</v>
      </c>
      <c r="O2466" s="108">
        <f t="shared" si="40"/>
        <v>1</v>
      </c>
      <c r="P2466" s="108"/>
      <c r="Q2466"/>
    </row>
    <row r="2467" spans="1:17" x14ac:dyDescent="0.25">
      <c r="A2467" s="89" t="s">
        <v>8939</v>
      </c>
      <c r="B2467" s="87" t="s">
        <v>8940</v>
      </c>
      <c r="C2467" s="87" t="s">
        <v>15</v>
      </c>
      <c r="D2467" s="87" t="str">
        <f>VLOOKUP(Tabela1[[#This Row],[Origem]], 'Perguntas 1 a 24'!$J$28:$K$34, 2, 0)</f>
        <v>Sudeste</v>
      </c>
      <c r="E2467" s="87" t="str">
        <f>Tabela1[[#This Row],[Descrição]]&amp;"-"&amp;Tabela1[[#This Row],[Código]]&amp;"/"&amp;Tabela1[[#This Row],[Origem]]</f>
        <v>Depareno-H473H788/ES</v>
      </c>
      <c r="F2467" s="88">
        <v>46962</v>
      </c>
      <c r="G2467" s="88" t="str" cm="1">
        <f t="array" ref="G24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AND(F2467&gt;= DATE(2026,1,1), F2467&lt;= DATE(2028, 12, 31), J2467&gt;50000), "Pendente e Caro", AND(F2467&gt;= DATE(2026,1,1), F2467&lt;= DATE(2028, 12, 31), J2467&lt;=50000), "Pendente", F2467&gt;= DATE(2029,1,1), "Não prioeitário")</f>
        <v>Pendente</v>
      </c>
      <c r="H2467" s="89">
        <f>YEAR(Tabela1[[#This Row],[Data de Validade]])</f>
        <v>2028</v>
      </c>
      <c r="I2467" s="89">
        <f>MONTH(Tabela1[[#This Row],[Data de Validade]])</f>
        <v>7</v>
      </c>
      <c r="J2467" s="101">
        <v>40955</v>
      </c>
      <c r="K2467" s="87" t="s">
        <v>14</v>
      </c>
      <c r="L2467" s="108"/>
      <c r="M2467" s="108"/>
      <c r="N2467" s="108" t="str">
        <v>P749P821</v>
      </c>
      <c r="O2467" s="108">
        <f t="shared" si="40"/>
        <v>1</v>
      </c>
      <c r="P2467" s="108"/>
      <c r="Q2467"/>
    </row>
    <row r="2468" spans="1:17" x14ac:dyDescent="0.25">
      <c r="A2468" s="89" t="s">
        <v>10687</v>
      </c>
      <c r="B2468" s="87" t="s">
        <v>10688</v>
      </c>
      <c r="C2468" s="87" t="s">
        <v>15</v>
      </c>
      <c r="D2468" s="87" t="str">
        <f>VLOOKUP(Tabela1[[#This Row],[Origem]], 'Perguntas 1 a 24'!$J$28:$K$34, 2, 0)</f>
        <v>Sudeste</v>
      </c>
      <c r="E2468" s="87" t="str">
        <f>Tabela1[[#This Row],[Descrição]]&amp;"-"&amp;Tabela1[[#This Row],[Código]]&amp;"/"&amp;Tabela1[[#This Row],[Origem]]</f>
        <v>Padunu-P749P821/ES</v>
      </c>
      <c r="F2468" s="88">
        <v>46963</v>
      </c>
      <c r="G2468" s="88" t="str" cm="1">
        <f t="array" ref="G24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AND(F2468&gt;= DATE(2026,1,1), F2468&lt;= DATE(2028, 12, 31), J2468&gt;50000), "Pendente e Caro", AND(F2468&gt;= DATE(2026,1,1), F2468&lt;= DATE(2028, 12, 31), J2468&lt;=50000), "Pendente", F2468&gt;= DATE(2029,1,1), "Não prioeitário")</f>
        <v>Pendente e Caro</v>
      </c>
      <c r="H2468" s="89">
        <f>YEAR(Tabela1[[#This Row],[Data de Validade]])</f>
        <v>2028</v>
      </c>
      <c r="I2468" s="89">
        <f>MONTH(Tabela1[[#This Row],[Data de Validade]])</f>
        <v>7</v>
      </c>
      <c r="J2468" s="101">
        <v>108082</v>
      </c>
      <c r="K2468" s="87" t="s">
        <v>11</v>
      </c>
      <c r="L2468" s="108"/>
      <c r="M2468" s="108"/>
      <c r="N2468" s="108" t="str">
        <v>P964H636</v>
      </c>
      <c r="O2468" s="108">
        <f t="shared" si="40"/>
        <v>1</v>
      </c>
      <c r="P2468" s="108"/>
      <c r="Q2468"/>
    </row>
    <row r="2469" spans="1:17" x14ac:dyDescent="0.25">
      <c r="A2469" s="89" t="s">
        <v>7686</v>
      </c>
      <c r="B2469" s="87" t="s">
        <v>7687</v>
      </c>
      <c r="C2469" s="87" t="s">
        <v>16</v>
      </c>
      <c r="D2469" s="87" t="str">
        <f>VLOOKUP(Tabela1[[#This Row],[Origem]], 'Perguntas 1 a 24'!$J$28:$K$34, 2, 0)</f>
        <v>Sudeste</v>
      </c>
      <c r="E2469" s="87" t="str">
        <f>Tabela1[[#This Row],[Descrição]]&amp;"-"&amp;Tabela1[[#This Row],[Código]]&amp;"/"&amp;Tabela1[[#This Row],[Origem]]</f>
        <v>Romutiporu-P964H636/MG</v>
      </c>
      <c r="F2469" s="88">
        <v>46963</v>
      </c>
      <c r="G2469" s="88" t="str" cm="1">
        <f t="array" ref="G24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AND(F2469&gt;= DATE(2026,1,1), F2469&lt;= DATE(2028, 12, 31), J2469&gt;50000), "Pendente e Caro", AND(F2469&gt;= DATE(2026,1,1), F2469&lt;= DATE(2028, 12, 31), J2469&lt;=50000), "Pendente", F2469&gt;= DATE(2029,1,1), "Não prioeitário")</f>
        <v>Pendente e Caro</v>
      </c>
      <c r="H2469" s="89">
        <f>YEAR(Tabela1[[#This Row],[Data de Validade]])</f>
        <v>2028</v>
      </c>
      <c r="I2469" s="89">
        <f>MONTH(Tabela1[[#This Row],[Data de Validade]])</f>
        <v>7</v>
      </c>
      <c r="J2469" s="101">
        <v>79173</v>
      </c>
      <c r="K2469" s="87" t="s">
        <v>14</v>
      </c>
      <c r="L2469" s="108"/>
      <c r="M2469" s="108"/>
      <c r="N2469" s="108" t="str">
        <v>H663P764</v>
      </c>
      <c r="O2469" s="108">
        <f t="shared" si="40"/>
        <v>1</v>
      </c>
      <c r="P2469" s="108"/>
      <c r="Q2469"/>
    </row>
    <row r="2470" spans="1:17" x14ac:dyDescent="0.25">
      <c r="A2470" s="89" t="s">
        <v>7024</v>
      </c>
      <c r="B2470" s="87" t="s">
        <v>7025</v>
      </c>
      <c r="C2470" s="87" t="s">
        <v>8</v>
      </c>
      <c r="D2470" s="87" t="str">
        <f>VLOOKUP(Tabela1[[#This Row],[Origem]], 'Perguntas 1 a 24'!$J$28:$K$34, 2, 0)</f>
        <v>Nordeste</v>
      </c>
      <c r="E2470" s="87" t="str">
        <f>Tabela1[[#This Row],[Descrição]]&amp;"-"&amp;Tabela1[[#This Row],[Código]]&amp;"/"&amp;Tabela1[[#This Row],[Origem]]</f>
        <v>Luvutonefo-H663P764/AL</v>
      </c>
      <c r="F2470" s="88">
        <v>46965</v>
      </c>
      <c r="G2470" s="88" t="str" cm="1">
        <f t="array" ref="G24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AND(F2470&gt;= DATE(2026,1,1), F2470&lt;= DATE(2028, 12, 31), J2470&gt;50000), "Pendente e Caro", AND(F2470&gt;= DATE(2026,1,1), F2470&lt;= DATE(2028, 12, 31), J2470&lt;=50000), "Pendente", F2470&gt;= DATE(2029,1,1), "Não prioeitário")</f>
        <v>Pendente</v>
      </c>
      <c r="H2470" s="89">
        <f>YEAR(Tabela1[[#This Row],[Data de Validade]])</f>
        <v>2028</v>
      </c>
      <c r="I2470" s="89">
        <f>MONTH(Tabela1[[#This Row],[Data de Validade]])</f>
        <v>7</v>
      </c>
      <c r="J2470" s="101">
        <v>25607</v>
      </c>
      <c r="K2470" s="87" t="s">
        <v>9</v>
      </c>
      <c r="L2470" s="108"/>
      <c r="M2470" s="108"/>
      <c r="N2470" s="108" t="str">
        <v>H958H483</v>
      </c>
      <c r="O2470" s="108">
        <f t="shared" si="40"/>
        <v>1</v>
      </c>
      <c r="P2470" s="108"/>
      <c r="Q2470"/>
    </row>
    <row r="2471" spans="1:17" x14ac:dyDescent="0.25">
      <c r="A2471" s="89" t="s">
        <v>4403</v>
      </c>
      <c r="B2471" s="87" t="s">
        <v>4404</v>
      </c>
      <c r="C2471" s="87" t="s">
        <v>16</v>
      </c>
      <c r="D2471" s="87" t="str">
        <f>VLOOKUP(Tabela1[[#This Row],[Origem]], 'Perguntas 1 a 24'!$J$28:$K$34, 2, 0)</f>
        <v>Sudeste</v>
      </c>
      <c r="E2471" s="87" t="str">
        <f>Tabela1[[#This Row],[Descrição]]&amp;"-"&amp;Tabela1[[#This Row],[Código]]&amp;"/"&amp;Tabela1[[#This Row],[Origem]]</f>
        <v>Cugara-H958H483/MG</v>
      </c>
      <c r="F2471" s="88">
        <v>46968</v>
      </c>
      <c r="G2471" s="88" t="str" cm="1">
        <f t="array" ref="G24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AND(F2471&gt;= DATE(2026,1,1), F2471&lt;= DATE(2028, 12, 31), J2471&gt;50000), "Pendente e Caro", AND(F2471&gt;= DATE(2026,1,1), F2471&lt;= DATE(2028, 12, 31), J2471&lt;=50000), "Pendente", F2471&gt;= DATE(2029,1,1), "Não prioeitário")</f>
        <v>Pendente e Caro</v>
      </c>
      <c r="H2471" s="89">
        <f>YEAR(Tabela1[[#This Row],[Data de Validade]])</f>
        <v>2028</v>
      </c>
      <c r="I2471" s="89">
        <f>MONTH(Tabela1[[#This Row],[Data de Validade]])</f>
        <v>8</v>
      </c>
      <c r="J2471" s="101">
        <v>82801</v>
      </c>
      <c r="K2471" s="87" t="s">
        <v>7</v>
      </c>
      <c r="L2471" s="108"/>
      <c r="M2471" s="108"/>
      <c r="N2471" s="108" t="str">
        <v>H653H654</v>
      </c>
      <c r="O2471" s="108">
        <f t="shared" si="40"/>
        <v>1</v>
      </c>
      <c r="P2471" s="108"/>
      <c r="Q2471"/>
    </row>
    <row r="2472" spans="1:17" x14ac:dyDescent="0.25">
      <c r="A2472" s="89" t="s">
        <v>7650</v>
      </c>
      <c r="B2472" s="87" t="s">
        <v>7651</v>
      </c>
      <c r="C2472" s="87" t="s">
        <v>16</v>
      </c>
      <c r="D2472" s="87" t="str">
        <f>VLOOKUP(Tabela1[[#This Row],[Origem]], 'Perguntas 1 a 24'!$J$28:$K$34, 2, 0)</f>
        <v>Sudeste</v>
      </c>
      <c r="E2472" s="87" t="str">
        <f>Tabela1[[#This Row],[Descrição]]&amp;"-"&amp;Tabela1[[#This Row],[Código]]&amp;"/"&amp;Tabela1[[#This Row],[Origem]]</f>
        <v>Pevuva-H653H654/MG</v>
      </c>
      <c r="F2472" s="88">
        <v>46969</v>
      </c>
      <c r="G2472" s="88" t="str" cm="1">
        <f t="array" ref="G24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AND(F2472&gt;= DATE(2026,1,1), F2472&lt;= DATE(2028, 12, 31), J2472&gt;50000), "Pendente e Caro", AND(F2472&gt;= DATE(2026,1,1), F2472&lt;= DATE(2028, 12, 31), J2472&lt;=50000), "Pendente", F2472&gt;= DATE(2029,1,1), "Não prioeitário")</f>
        <v>Pendente e Caro</v>
      </c>
      <c r="H2472" s="89">
        <f>YEAR(Tabela1[[#This Row],[Data de Validade]])</f>
        <v>2028</v>
      </c>
      <c r="I2472" s="89">
        <f>MONTH(Tabela1[[#This Row],[Data de Validade]])</f>
        <v>8</v>
      </c>
      <c r="J2472" s="101">
        <v>55231</v>
      </c>
      <c r="K2472" s="87" t="s">
        <v>7</v>
      </c>
      <c r="L2472" s="108"/>
      <c r="M2472" s="108"/>
      <c r="N2472" s="108" t="str">
        <v>H352H248</v>
      </c>
      <c r="O2472" s="108">
        <f t="shared" si="40"/>
        <v>1</v>
      </c>
      <c r="P2472" s="108"/>
      <c r="Q2472"/>
    </row>
    <row r="2473" spans="1:17" x14ac:dyDescent="0.25">
      <c r="A2473" s="89" t="s">
        <v>7074</v>
      </c>
      <c r="B2473" s="87" t="s">
        <v>7075</v>
      </c>
      <c r="C2473" s="87" t="s">
        <v>13</v>
      </c>
      <c r="D2473" s="87" t="str">
        <f>VLOOKUP(Tabela1[[#This Row],[Origem]], 'Perguntas 1 a 24'!$J$28:$K$34, 2, 0)</f>
        <v>Sudeste</v>
      </c>
      <c r="E2473" s="87" t="str">
        <f>Tabela1[[#This Row],[Descrição]]&amp;"-"&amp;Tabela1[[#This Row],[Código]]&amp;"/"&amp;Tabela1[[#This Row],[Origem]]</f>
        <v>Fovuvepotu-H352H248/SP</v>
      </c>
      <c r="F2473" s="88">
        <v>46970</v>
      </c>
      <c r="G2473" s="88" t="str" cm="1">
        <f t="array" ref="G24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AND(F2473&gt;= DATE(2026,1,1), F2473&lt;= DATE(2028, 12, 31), J2473&gt;50000), "Pendente e Caro", AND(F2473&gt;= DATE(2026,1,1), F2473&lt;= DATE(2028, 12, 31), J2473&lt;=50000), "Pendente", F2473&gt;= DATE(2029,1,1), "Não prioeitário")</f>
        <v>Pendente e Caro</v>
      </c>
      <c r="H2473" s="89">
        <f>YEAR(Tabela1[[#This Row],[Data de Validade]])</f>
        <v>2028</v>
      </c>
      <c r="I2473" s="89">
        <f>MONTH(Tabela1[[#This Row],[Data de Validade]])</f>
        <v>8</v>
      </c>
      <c r="J2473" s="101">
        <v>112653</v>
      </c>
      <c r="K2473" s="87" t="s">
        <v>11</v>
      </c>
      <c r="L2473" s="108"/>
      <c r="M2473" s="108"/>
      <c r="N2473" s="108" t="str">
        <v>P591H316</v>
      </c>
      <c r="O2473" s="108">
        <f t="shared" si="40"/>
        <v>1</v>
      </c>
      <c r="P2473" s="108"/>
      <c r="Q2473"/>
    </row>
    <row r="2474" spans="1:17" x14ac:dyDescent="0.25">
      <c r="A2474" s="89" t="s">
        <v>6046</v>
      </c>
      <c r="B2474" s="87" t="s">
        <v>6047</v>
      </c>
      <c r="C2474" s="87" t="s">
        <v>13</v>
      </c>
      <c r="D2474" s="87" t="str">
        <f>VLOOKUP(Tabela1[[#This Row],[Origem]], 'Perguntas 1 a 24'!$J$28:$K$34, 2, 0)</f>
        <v>Sudeste</v>
      </c>
      <c r="E2474" s="87" t="str">
        <f>Tabela1[[#This Row],[Descrição]]&amp;"-"&amp;Tabela1[[#This Row],[Código]]&amp;"/"&amp;Tabela1[[#This Row],[Origem]]</f>
        <v>Ticelutafi-P591H316/SP</v>
      </c>
      <c r="F2474" s="88">
        <v>46971</v>
      </c>
      <c r="G2474" s="88" t="str" cm="1">
        <f t="array" ref="G24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AND(F2474&gt;= DATE(2026,1,1), F2474&lt;= DATE(2028, 12, 31), J2474&gt;50000), "Pendente e Caro", AND(F2474&gt;= DATE(2026,1,1), F2474&lt;= DATE(2028, 12, 31), J2474&lt;=50000), "Pendente", F2474&gt;= DATE(2029,1,1), "Não prioeitário")</f>
        <v>Pendente</v>
      </c>
      <c r="H2474" s="89">
        <f>YEAR(Tabela1[[#This Row],[Data de Validade]])</f>
        <v>2028</v>
      </c>
      <c r="I2474" s="89">
        <f>MONTH(Tabela1[[#This Row],[Data de Validade]])</f>
        <v>8</v>
      </c>
      <c r="J2474" s="101">
        <v>37838</v>
      </c>
      <c r="K2474" s="87" t="s">
        <v>9</v>
      </c>
      <c r="L2474" s="108"/>
      <c r="M2474" s="108"/>
      <c r="N2474" s="108" t="str">
        <v>P198P537</v>
      </c>
      <c r="O2474" s="108">
        <f t="shared" si="40"/>
        <v>1</v>
      </c>
      <c r="P2474" s="108"/>
      <c r="Q2474"/>
    </row>
    <row r="2475" spans="1:17" x14ac:dyDescent="0.25">
      <c r="A2475" s="89" t="s">
        <v>4437</v>
      </c>
      <c r="B2475" s="87" t="s">
        <v>4438</v>
      </c>
      <c r="C2475" s="87" t="s">
        <v>15</v>
      </c>
      <c r="D2475" s="87" t="str">
        <f>VLOOKUP(Tabela1[[#This Row],[Origem]], 'Perguntas 1 a 24'!$J$28:$K$34, 2, 0)</f>
        <v>Sudeste</v>
      </c>
      <c r="E2475" s="87" t="str">
        <f>Tabela1[[#This Row],[Descrição]]&amp;"-"&amp;Tabela1[[#This Row],[Código]]&amp;"/"&amp;Tabela1[[#This Row],[Origem]]</f>
        <v>Pifarimu-P198P537/ES</v>
      </c>
      <c r="F2475" s="88">
        <v>46973</v>
      </c>
      <c r="G2475" s="88" t="str" cm="1">
        <f t="array" ref="G24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AND(F2475&gt;= DATE(2026,1,1), F2475&lt;= DATE(2028, 12, 31), J2475&gt;50000), "Pendente e Caro", AND(F2475&gt;= DATE(2026,1,1), F2475&lt;= DATE(2028, 12, 31), J2475&lt;=50000), "Pendente", F2475&gt;= DATE(2029,1,1), "Não prioeitário")</f>
        <v>Pendente e Caro</v>
      </c>
      <c r="H2475" s="89">
        <f>YEAR(Tabela1[[#This Row],[Data de Validade]])</f>
        <v>2028</v>
      </c>
      <c r="I2475" s="89">
        <f>MONTH(Tabela1[[#This Row],[Data de Validade]])</f>
        <v>8</v>
      </c>
      <c r="J2475" s="101">
        <v>96721</v>
      </c>
      <c r="K2475" s="87" t="s">
        <v>11</v>
      </c>
      <c r="L2475" s="108"/>
      <c r="M2475" s="108"/>
      <c r="N2475" s="108" t="str">
        <v>P439H177</v>
      </c>
      <c r="O2475" s="108">
        <f t="shared" si="40"/>
        <v>1</v>
      </c>
      <c r="P2475" s="108"/>
      <c r="Q2475"/>
    </row>
    <row r="2476" spans="1:17" x14ac:dyDescent="0.25">
      <c r="A2476" s="89" t="s">
        <v>6160</v>
      </c>
      <c r="B2476" s="87" t="s">
        <v>6161</v>
      </c>
      <c r="C2476" s="87" t="s">
        <v>6</v>
      </c>
      <c r="D2476" s="87" t="str">
        <f>VLOOKUP(Tabela1[[#This Row],[Origem]], 'Perguntas 1 a 24'!$J$28:$K$34, 2, 0)</f>
        <v>Nordeste</v>
      </c>
      <c r="E2476" s="87" t="str">
        <f>Tabela1[[#This Row],[Descrição]]&amp;"-"&amp;Tabela1[[#This Row],[Código]]&amp;"/"&amp;Tabela1[[#This Row],[Origem]]</f>
        <v>Patarono-P439H177/MA</v>
      </c>
      <c r="F2476" s="88">
        <v>46973</v>
      </c>
      <c r="G2476" s="88" t="str" cm="1">
        <f t="array" ref="G24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AND(F2476&gt;= DATE(2026,1,1), F2476&lt;= DATE(2028, 12, 31), J2476&gt;50000), "Pendente e Caro", AND(F2476&gt;= DATE(2026,1,1), F2476&lt;= DATE(2028, 12, 31), J2476&lt;=50000), "Pendente", F2476&gt;= DATE(2029,1,1), "Não prioeitário")</f>
        <v>Pendente e Caro</v>
      </c>
      <c r="H2476" s="89">
        <f>YEAR(Tabela1[[#This Row],[Data de Validade]])</f>
        <v>2028</v>
      </c>
      <c r="I2476" s="89">
        <f>MONTH(Tabela1[[#This Row],[Data de Validade]])</f>
        <v>8</v>
      </c>
      <c r="J2476" s="101">
        <v>59338</v>
      </c>
      <c r="K2476" s="87" t="s">
        <v>7</v>
      </c>
      <c r="L2476" s="108"/>
      <c r="M2476" s="108"/>
      <c r="N2476" s="108" t="str">
        <v>P341P122</v>
      </c>
      <c r="O2476" s="108">
        <f t="shared" si="40"/>
        <v>1</v>
      </c>
      <c r="P2476" s="108"/>
      <c r="Q2476"/>
    </row>
    <row r="2477" spans="1:17" x14ac:dyDescent="0.25">
      <c r="A2477" s="89" t="s">
        <v>10709</v>
      </c>
      <c r="B2477" s="87" t="s">
        <v>10710</v>
      </c>
      <c r="C2477" s="87" t="s">
        <v>15</v>
      </c>
      <c r="D2477" s="87" t="str">
        <f>VLOOKUP(Tabela1[[#This Row],[Origem]], 'Perguntas 1 a 24'!$J$28:$K$34, 2, 0)</f>
        <v>Sudeste</v>
      </c>
      <c r="E2477" s="87" t="str">
        <f>Tabela1[[#This Row],[Descrição]]&amp;"-"&amp;Tabela1[[#This Row],[Código]]&amp;"/"&amp;Tabela1[[#This Row],[Origem]]</f>
        <v>Piperore-P341P122/ES</v>
      </c>
      <c r="F2477" s="88">
        <v>46973</v>
      </c>
      <c r="G2477" s="88" t="str" cm="1">
        <f t="array" ref="G24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AND(F2477&gt;= DATE(2026,1,1), F2477&lt;= DATE(2028, 12, 31), J2477&gt;50000), "Pendente e Caro", AND(F2477&gt;= DATE(2026,1,1), F2477&lt;= DATE(2028, 12, 31), J2477&lt;=50000), "Pendente", F2477&gt;= DATE(2029,1,1), "Não prioeitário")</f>
        <v>Pendente</v>
      </c>
      <c r="H2477" s="89">
        <f>YEAR(Tabela1[[#This Row],[Data de Validade]])</f>
        <v>2028</v>
      </c>
      <c r="I2477" s="89">
        <f>MONTH(Tabela1[[#This Row],[Data de Validade]])</f>
        <v>8</v>
      </c>
      <c r="J2477" s="101">
        <v>35777</v>
      </c>
      <c r="K2477" s="87" t="s">
        <v>11</v>
      </c>
      <c r="L2477" s="108"/>
      <c r="M2477" s="108"/>
      <c r="N2477" s="108" t="str">
        <v>H231H691</v>
      </c>
      <c r="O2477" s="108">
        <f t="shared" si="40"/>
        <v>1</v>
      </c>
      <c r="P2477" s="108"/>
      <c r="Q2477"/>
    </row>
    <row r="2478" spans="1:17" x14ac:dyDescent="0.25">
      <c r="A2478" s="89" t="s">
        <v>3830</v>
      </c>
      <c r="B2478" s="87" t="s">
        <v>3831</v>
      </c>
      <c r="C2478" s="87" t="s">
        <v>8</v>
      </c>
      <c r="D2478" s="87" t="str">
        <f>VLOOKUP(Tabela1[[#This Row],[Origem]], 'Perguntas 1 a 24'!$J$28:$K$34, 2, 0)</f>
        <v>Nordeste</v>
      </c>
      <c r="E2478" s="87" t="str">
        <f>Tabela1[[#This Row],[Descrição]]&amp;"-"&amp;Tabela1[[#This Row],[Código]]&amp;"/"&amp;Tabela1[[#This Row],[Origem]]</f>
        <v>Rivepatide-H231H691/AL</v>
      </c>
      <c r="F2478" s="88">
        <v>46975</v>
      </c>
      <c r="G2478" s="88" t="str" cm="1">
        <f t="array" ref="G24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AND(F2478&gt;= DATE(2026,1,1), F2478&lt;= DATE(2028, 12, 31), J2478&gt;50000), "Pendente e Caro", AND(F2478&gt;= DATE(2026,1,1), F2478&lt;= DATE(2028, 12, 31), J2478&lt;=50000), "Pendente", F2478&gt;= DATE(2029,1,1), "Não prioeitário")</f>
        <v>Pendente</v>
      </c>
      <c r="H2478" s="89">
        <f>YEAR(Tabela1[[#This Row],[Data de Validade]])</f>
        <v>2028</v>
      </c>
      <c r="I2478" s="89">
        <f>MONTH(Tabela1[[#This Row],[Data de Validade]])</f>
        <v>8</v>
      </c>
      <c r="J2478" s="101">
        <v>49882</v>
      </c>
      <c r="K2478" s="87" t="s">
        <v>7</v>
      </c>
      <c r="L2478" s="108"/>
      <c r="M2478" s="108"/>
      <c r="N2478" s="108" t="str">
        <v>H549H789</v>
      </c>
      <c r="O2478" s="108">
        <f t="shared" si="40"/>
        <v>1</v>
      </c>
      <c r="P2478" s="108"/>
      <c r="Q2478"/>
    </row>
    <row r="2479" spans="1:17" x14ac:dyDescent="0.25">
      <c r="A2479" s="89" t="s">
        <v>8438</v>
      </c>
      <c r="B2479" s="87" t="s">
        <v>8439</v>
      </c>
      <c r="C2479" s="87" t="s">
        <v>8</v>
      </c>
      <c r="D2479" s="87" t="str">
        <f>VLOOKUP(Tabela1[[#This Row],[Origem]], 'Perguntas 1 a 24'!$J$28:$K$34, 2, 0)</f>
        <v>Nordeste</v>
      </c>
      <c r="E2479" s="87" t="str">
        <f>Tabela1[[#This Row],[Descrição]]&amp;"-"&amp;Tabela1[[#This Row],[Código]]&amp;"/"&amp;Tabela1[[#This Row],[Origem]]</f>
        <v>Togari-H549H789/AL</v>
      </c>
      <c r="F2479" s="88">
        <v>46975</v>
      </c>
      <c r="G2479" s="88" t="str" cm="1">
        <f t="array" ref="G24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AND(F2479&gt;= DATE(2026,1,1), F2479&lt;= DATE(2028, 12, 31), J2479&gt;50000), "Pendente e Caro", AND(F2479&gt;= DATE(2026,1,1), F2479&lt;= DATE(2028, 12, 31), J2479&lt;=50000), "Pendente", F2479&gt;= DATE(2029,1,1), "Não prioeitário")</f>
        <v>Pendente</v>
      </c>
      <c r="H2479" s="89">
        <f>YEAR(Tabela1[[#This Row],[Data de Validade]])</f>
        <v>2028</v>
      </c>
      <c r="I2479" s="89">
        <f>MONTH(Tabela1[[#This Row],[Data de Validade]])</f>
        <v>8</v>
      </c>
      <c r="J2479" s="101">
        <v>47386</v>
      </c>
      <c r="K2479" s="87" t="s">
        <v>11</v>
      </c>
      <c r="L2479" s="108"/>
      <c r="M2479" s="108"/>
      <c r="N2479" s="108" t="str">
        <v>P162P898</v>
      </c>
      <c r="O2479" s="108">
        <f t="shared" si="40"/>
        <v>1</v>
      </c>
      <c r="P2479" s="108"/>
      <c r="Q2479"/>
    </row>
    <row r="2480" spans="1:17" x14ac:dyDescent="0.25">
      <c r="A2480" s="89" t="s">
        <v>5734</v>
      </c>
      <c r="B2480" s="87" t="s">
        <v>5735</v>
      </c>
      <c r="C2480" s="87" t="s">
        <v>8</v>
      </c>
      <c r="D2480" s="87" t="str">
        <f>VLOOKUP(Tabela1[[#This Row],[Origem]], 'Perguntas 1 a 24'!$J$28:$K$34, 2, 0)</f>
        <v>Nordeste</v>
      </c>
      <c r="E2480" s="87" t="str">
        <f>Tabela1[[#This Row],[Descrição]]&amp;"-"&amp;Tabela1[[#This Row],[Código]]&amp;"/"&amp;Tabela1[[#This Row],[Origem]]</f>
        <v>Porarilume-P162P898/AL</v>
      </c>
      <c r="F2480" s="88">
        <v>46975</v>
      </c>
      <c r="G2480" s="88" t="str" cm="1">
        <f t="array" ref="G24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AND(F2480&gt;= DATE(2026,1,1), F2480&lt;= DATE(2028, 12, 31), J2480&gt;50000), "Pendente e Caro", AND(F2480&gt;= DATE(2026,1,1), F2480&lt;= DATE(2028, 12, 31), J2480&lt;=50000), "Pendente", F2480&gt;= DATE(2029,1,1), "Não prioeitário")</f>
        <v>Pendente</v>
      </c>
      <c r="H2480" s="89">
        <f>YEAR(Tabela1[[#This Row],[Data de Validade]])</f>
        <v>2028</v>
      </c>
      <c r="I2480" s="89">
        <f>MONTH(Tabela1[[#This Row],[Data de Validade]])</f>
        <v>8</v>
      </c>
      <c r="J2480" s="101">
        <v>31954</v>
      </c>
      <c r="K2480" s="87" t="s">
        <v>11</v>
      </c>
      <c r="L2480" s="108"/>
      <c r="M2480" s="108"/>
      <c r="N2480" s="108" t="str">
        <v>P335P782</v>
      </c>
      <c r="O2480" s="108">
        <f t="shared" si="40"/>
        <v>1</v>
      </c>
      <c r="P2480" s="108"/>
      <c r="Q2480"/>
    </row>
    <row r="2481" spans="1:17" x14ac:dyDescent="0.25">
      <c r="A2481" s="89" t="s">
        <v>5088</v>
      </c>
      <c r="B2481" s="87" t="s">
        <v>5089</v>
      </c>
      <c r="C2481" s="87" t="s">
        <v>8</v>
      </c>
      <c r="D2481" s="87" t="str">
        <f>VLOOKUP(Tabela1[[#This Row],[Origem]], 'Perguntas 1 a 24'!$J$28:$K$34, 2, 0)</f>
        <v>Nordeste</v>
      </c>
      <c r="E2481" s="87" t="str">
        <f>Tabela1[[#This Row],[Descrição]]&amp;"-"&amp;Tabela1[[#This Row],[Código]]&amp;"/"&amp;Tabela1[[#This Row],[Origem]]</f>
        <v>Fumefo-P335P782/AL</v>
      </c>
      <c r="F2481" s="88">
        <v>46976</v>
      </c>
      <c r="G2481" s="88" t="str" cm="1">
        <f t="array" ref="G24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AND(F2481&gt;= DATE(2026,1,1), F2481&lt;= DATE(2028, 12, 31), J2481&gt;50000), "Pendente e Caro", AND(F2481&gt;= DATE(2026,1,1), F2481&lt;= DATE(2028, 12, 31), J2481&lt;=50000), "Pendente", F2481&gt;= DATE(2029,1,1), "Não prioeitário")</f>
        <v>Pendente</v>
      </c>
      <c r="H2481" s="89">
        <f>YEAR(Tabela1[[#This Row],[Data de Validade]])</f>
        <v>2028</v>
      </c>
      <c r="I2481" s="89">
        <f>MONTH(Tabela1[[#This Row],[Data de Validade]])</f>
        <v>8</v>
      </c>
      <c r="J2481" s="101">
        <v>35789</v>
      </c>
      <c r="K2481" s="87" t="s">
        <v>7</v>
      </c>
      <c r="L2481" s="108"/>
      <c r="M2481" s="108"/>
      <c r="N2481" s="108" t="str">
        <v>H645P484</v>
      </c>
      <c r="O2481" s="108">
        <f t="shared" si="40"/>
        <v>1</v>
      </c>
      <c r="P2481" s="108"/>
      <c r="Q2481"/>
    </row>
    <row r="2482" spans="1:17" x14ac:dyDescent="0.25">
      <c r="A2482" s="89" t="s">
        <v>4391</v>
      </c>
      <c r="B2482" s="87" t="s">
        <v>4392</v>
      </c>
      <c r="C2482" s="87" t="s">
        <v>13</v>
      </c>
      <c r="D2482" s="87" t="str">
        <f>VLOOKUP(Tabela1[[#This Row],[Origem]], 'Perguntas 1 a 24'!$J$28:$K$34, 2, 0)</f>
        <v>Sudeste</v>
      </c>
      <c r="E2482" s="87" t="str">
        <f>Tabela1[[#This Row],[Descrição]]&amp;"-"&amp;Tabela1[[#This Row],[Código]]&amp;"/"&amp;Tabela1[[#This Row],[Origem]]</f>
        <v>Pururipoto-H645P484/SP</v>
      </c>
      <c r="F2482" s="88">
        <v>46977</v>
      </c>
      <c r="G2482" s="88" t="str" cm="1">
        <f t="array" ref="G24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AND(F2482&gt;= DATE(2026,1,1), F2482&lt;= DATE(2028, 12, 31), J2482&gt;50000), "Pendente e Caro", AND(F2482&gt;= DATE(2026,1,1), F2482&lt;= DATE(2028, 12, 31), J2482&lt;=50000), "Pendente", F2482&gt;= DATE(2029,1,1), "Não prioeitário")</f>
        <v>Pendente e Caro</v>
      </c>
      <c r="H2482" s="89">
        <f>YEAR(Tabela1[[#This Row],[Data de Validade]])</f>
        <v>2028</v>
      </c>
      <c r="I2482" s="89">
        <f>MONTH(Tabela1[[#This Row],[Data de Validade]])</f>
        <v>8</v>
      </c>
      <c r="J2482" s="101">
        <v>78127</v>
      </c>
      <c r="K2482" s="87" t="s">
        <v>11</v>
      </c>
      <c r="L2482" s="108"/>
      <c r="M2482" s="108"/>
      <c r="N2482" s="108" t="str">
        <v>H855H456</v>
      </c>
      <c r="O2482" s="108">
        <f t="shared" si="40"/>
        <v>1</v>
      </c>
      <c r="P2482" s="108"/>
      <c r="Q2482"/>
    </row>
    <row r="2483" spans="1:17" x14ac:dyDescent="0.25">
      <c r="A2483" s="89" t="s">
        <v>8979</v>
      </c>
      <c r="B2483" s="87" t="s">
        <v>8980</v>
      </c>
      <c r="C2483" s="87" t="s">
        <v>10</v>
      </c>
      <c r="D2483" s="87" t="str">
        <f>VLOOKUP(Tabela1[[#This Row],[Origem]], 'Perguntas 1 a 24'!$J$28:$K$34, 2, 0)</f>
        <v>Centro-Oeste</v>
      </c>
      <c r="E2483" s="87" t="str">
        <f>Tabela1[[#This Row],[Descrição]]&amp;"-"&amp;Tabela1[[#This Row],[Código]]&amp;"/"&amp;Tabela1[[#This Row],[Origem]]</f>
        <v>Degavagi-H855H456/GO</v>
      </c>
      <c r="F2483" s="88">
        <v>46977</v>
      </c>
      <c r="G2483" s="88" t="str" cm="1">
        <f t="array" ref="G24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AND(F2483&gt;= DATE(2026,1,1), F2483&lt;= DATE(2028, 12, 31), J2483&gt;50000), "Pendente e Caro", AND(F2483&gt;= DATE(2026,1,1), F2483&lt;= DATE(2028, 12, 31), J2483&lt;=50000), "Pendente", F2483&gt;= DATE(2029,1,1), "Não prioeitário")</f>
        <v>Pendente e Caro</v>
      </c>
      <c r="H2483" s="89">
        <f>YEAR(Tabela1[[#This Row],[Data de Validade]])</f>
        <v>2028</v>
      </c>
      <c r="I2483" s="89">
        <f>MONTH(Tabela1[[#This Row],[Data de Validade]])</f>
        <v>8</v>
      </c>
      <c r="J2483" s="101">
        <v>77348</v>
      </c>
      <c r="K2483" s="87" t="s">
        <v>14</v>
      </c>
      <c r="L2483" s="108"/>
      <c r="M2483" s="108"/>
      <c r="N2483" s="108" t="str">
        <v>H126P674</v>
      </c>
      <c r="O2483" s="108">
        <f t="shared" si="40"/>
        <v>1</v>
      </c>
      <c r="P2483" s="108"/>
      <c r="Q2483"/>
    </row>
    <row r="2484" spans="1:17" x14ac:dyDescent="0.25">
      <c r="A2484" s="89" t="s">
        <v>4090</v>
      </c>
      <c r="B2484" s="87" t="s">
        <v>4091</v>
      </c>
      <c r="C2484" s="87" t="s">
        <v>6</v>
      </c>
      <c r="D2484" s="87" t="str">
        <f>VLOOKUP(Tabela1[[#This Row],[Origem]], 'Perguntas 1 a 24'!$J$28:$K$34, 2, 0)</f>
        <v>Nordeste</v>
      </c>
      <c r="E2484" s="87" t="str">
        <f>Tabela1[[#This Row],[Descrição]]&amp;"-"&amp;Tabela1[[#This Row],[Código]]&amp;"/"&amp;Tabela1[[#This Row],[Origem]]</f>
        <v>Conopenugo-H126P674/MA</v>
      </c>
      <c r="F2484" s="88">
        <v>46977</v>
      </c>
      <c r="G2484" s="88" t="str" cm="1">
        <f t="array" ref="G24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AND(F2484&gt;= DATE(2026,1,1), F2484&lt;= DATE(2028, 12, 31), J2484&gt;50000), "Pendente e Caro", AND(F2484&gt;= DATE(2026,1,1), F2484&lt;= DATE(2028, 12, 31), J2484&lt;=50000), "Pendente", F2484&gt;= DATE(2029,1,1), "Não prioeitário")</f>
        <v>Pendente e Caro</v>
      </c>
      <c r="H2484" s="89">
        <f>YEAR(Tabela1[[#This Row],[Data de Validade]])</f>
        <v>2028</v>
      </c>
      <c r="I2484" s="89">
        <f>MONTH(Tabela1[[#This Row],[Data de Validade]])</f>
        <v>8</v>
      </c>
      <c r="J2484" s="101">
        <v>55179</v>
      </c>
      <c r="K2484" s="87" t="s">
        <v>11</v>
      </c>
      <c r="L2484" s="108"/>
      <c r="M2484" s="108"/>
      <c r="N2484" s="108" t="str">
        <v>H563P651</v>
      </c>
      <c r="O2484" s="108">
        <f t="shared" si="40"/>
        <v>1</v>
      </c>
      <c r="P2484" s="108"/>
      <c r="Q2484"/>
    </row>
    <row r="2485" spans="1:17" x14ac:dyDescent="0.25">
      <c r="A2485" s="89" t="s">
        <v>5250</v>
      </c>
      <c r="B2485" s="87" t="s">
        <v>5251</v>
      </c>
      <c r="C2485" s="87" t="s">
        <v>8</v>
      </c>
      <c r="D2485" s="87" t="str">
        <f>VLOOKUP(Tabela1[[#This Row],[Origem]], 'Perguntas 1 a 24'!$J$28:$K$34, 2, 0)</f>
        <v>Nordeste</v>
      </c>
      <c r="E2485" s="87" t="str">
        <f>Tabela1[[#This Row],[Descrição]]&amp;"-"&amp;Tabela1[[#This Row],[Código]]&amp;"/"&amp;Tabela1[[#This Row],[Origem]]</f>
        <v>Tenecu-H563P651/AL</v>
      </c>
      <c r="F2485" s="88">
        <v>46977</v>
      </c>
      <c r="G2485" s="88" t="str" cm="1">
        <f t="array" ref="G24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AND(F2485&gt;= DATE(2026,1,1), F2485&lt;= DATE(2028, 12, 31), J2485&gt;50000), "Pendente e Caro", AND(F2485&gt;= DATE(2026,1,1), F2485&lt;= DATE(2028, 12, 31), J2485&lt;=50000), "Pendente", F2485&gt;= DATE(2029,1,1), "Não prioeitário")</f>
        <v>Pendente</v>
      </c>
      <c r="H2485" s="89">
        <f>YEAR(Tabela1[[#This Row],[Data de Validade]])</f>
        <v>2028</v>
      </c>
      <c r="I2485" s="89">
        <f>MONTH(Tabela1[[#This Row],[Data de Validade]])</f>
        <v>8</v>
      </c>
      <c r="J2485" s="101">
        <v>32100</v>
      </c>
      <c r="K2485" s="87" t="s">
        <v>7</v>
      </c>
      <c r="L2485" s="108"/>
      <c r="M2485" s="108"/>
      <c r="N2485" s="108" t="str">
        <v>P475H524</v>
      </c>
      <c r="O2485" s="108">
        <f t="shared" si="40"/>
        <v>1</v>
      </c>
      <c r="P2485" s="108"/>
      <c r="Q2485"/>
    </row>
    <row r="2486" spans="1:17" x14ac:dyDescent="0.25">
      <c r="A2486" s="89" t="s">
        <v>7046</v>
      </c>
      <c r="B2486" s="87" t="s">
        <v>7047</v>
      </c>
      <c r="C2486" s="87" t="s">
        <v>15</v>
      </c>
      <c r="D2486" s="87" t="str">
        <f>VLOOKUP(Tabela1[[#This Row],[Origem]], 'Perguntas 1 a 24'!$J$28:$K$34, 2, 0)</f>
        <v>Sudeste</v>
      </c>
      <c r="E2486" s="87" t="str">
        <f>Tabela1[[#This Row],[Descrição]]&amp;"-"&amp;Tabela1[[#This Row],[Código]]&amp;"/"&amp;Tabela1[[#This Row],[Origem]]</f>
        <v>Rocugipidi-P475H524/ES</v>
      </c>
      <c r="F2486" s="88">
        <v>46978</v>
      </c>
      <c r="G2486" s="88" t="str" cm="1">
        <f t="array" ref="G24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AND(F2486&gt;= DATE(2026,1,1), F2486&lt;= DATE(2028, 12, 31), J2486&gt;50000), "Pendente e Caro", AND(F2486&gt;= DATE(2026,1,1), F2486&lt;= DATE(2028, 12, 31), J2486&lt;=50000), "Pendente", F2486&gt;= DATE(2029,1,1), "Não prioeitário")</f>
        <v>Pendente e Caro</v>
      </c>
      <c r="H2486" s="89">
        <f>YEAR(Tabela1[[#This Row],[Data de Validade]])</f>
        <v>2028</v>
      </c>
      <c r="I2486" s="89">
        <f>MONTH(Tabela1[[#This Row],[Data de Validade]])</f>
        <v>8</v>
      </c>
      <c r="J2486" s="101">
        <v>89726</v>
      </c>
      <c r="K2486" s="87" t="s">
        <v>7</v>
      </c>
      <c r="L2486" s="108"/>
      <c r="M2486" s="108"/>
      <c r="N2486" s="108" t="str">
        <v>H373P684</v>
      </c>
      <c r="O2486" s="108">
        <f t="shared" si="40"/>
        <v>1</v>
      </c>
      <c r="P2486" s="108"/>
      <c r="Q2486"/>
    </row>
    <row r="2487" spans="1:17" x14ac:dyDescent="0.25">
      <c r="A2487" s="89" t="s">
        <v>7280</v>
      </c>
      <c r="B2487" s="87" t="s">
        <v>7281</v>
      </c>
      <c r="C2487" s="87" t="s">
        <v>15</v>
      </c>
      <c r="D2487" s="87" t="str">
        <f>VLOOKUP(Tabela1[[#This Row],[Origem]], 'Perguntas 1 a 24'!$J$28:$K$34, 2, 0)</f>
        <v>Sudeste</v>
      </c>
      <c r="E2487" s="87" t="str">
        <f>Tabela1[[#This Row],[Descrição]]&amp;"-"&amp;Tabela1[[#This Row],[Código]]&amp;"/"&amp;Tabela1[[#This Row],[Origem]]</f>
        <v>Puvigenovi-H373P684/ES</v>
      </c>
      <c r="F2487" s="88">
        <v>46981</v>
      </c>
      <c r="G2487" s="88" t="str" cm="1">
        <f t="array" ref="G24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AND(F2487&gt;= DATE(2026,1,1), F2487&lt;= DATE(2028, 12, 31), J2487&gt;50000), "Pendente e Caro", AND(F2487&gt;= DATE(2026,1,1), F2487&lt;= DATE(2028, 12, 31), J2487&lt;=50000), "Pendente", F2487&gt;= DATE(2029,1,1), "Não prioeitário")</f>
        <v>Pendente e Caro</v>
      </c>
      <c r="H2487" s="89">
        <f>YEAR(Tabela1[[#This Row],[Data de Validade]])</f>
        <v>2028</v>
      </c>
      <c r="I2487" s="89">
        <f>MONTH(Tabela1[[#This Row],[Data de Validade]])</f>
        <v>8</v>
      </c>
      <c r="J2487" s="101">
        <v>103723</v>
      </c>
      <c r="K2487" s="87" t="s">
        <v>11</v>
      </c>
      <c r="L2487" s="108"/>
      <c r="M2487" s="108"/>
      <c r="N2487" s="108" t="str">
        <v>H265P127</v>
      </c>
      <c r="O2487" s="108">
        <f t="shared" si="40"/>
        <v>1</v>
      </c>
      <c r="P2487" s="108"/>
      <c r="Q2487"/>
    </row>
    <row r="2488" spans="1:17" x14ac:dyDescent="0.25">
      <c r="A2488" s="89" t="s">
        <v>5604</v>
      </c>
      <c r="B2488" s="87" t="s">
        <v>5605</v>
      </c>
      <c r="C2488" s="87" t="s">
        <v>10</v>
      </c>
      <c r="D2488" s="87" t="str">
        <f>VLOOKUP(Tabela1[[#This Row],[Origem]], 'Perguntas 1 a 24'!$J$28:$K$34, 2, 0)</f>
        <v>Centro-Oeste</v>
      </c>
      <c r="E2488" s="87" t="str">
        <f>Tabela1[[#This Row],[Descrição]]&amp;"-"&amp;Tabela1[[#This Row],[Código]]&amp;"/"&amp;Tabela1[[#This Row],[Origem]]</f>
        <v>Nopateto-H265P127/GO</v>
      </c>
      <c r="F2488" s="88">
        <v>46981</v>
      </c>
      <c r="G2488" s="88" t="str" cm="1">
        <f t="array" ref="G24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AND(F2488&gt;= DATE(2026,1,1), F2488&lt;= DATE(2028, 12, 31), J2488&gt;50000), "Pendente e Caro", AND(F2488&gt;= DATE(2026,1,1), F2488&lt;= DATE(2028, 12, 31), J2488&lt;=50000), "Pendente", F2488&gt;= DATE(2029,1,1), "Não prioeitário")</f>
        <v>Pendente e Caro</v>
      </c>
      <c r="H2488" s="89">
        <f>YEAR(Tabela1[[#This Row],[Data de Validade]])</f>
        <v>2028</v>
      </c>
      <c r="I2488" s="89">
        <f>MONTH(Tabela1[[#This Row],[Data de Validade]])</f>
        <v>8</v>
      </c>
      <c r="J2488" s="101">
        <v>55582</v>
      </c>
      <c r="K2488" s="87" t="s">
        <v>14</v>
      </c>
      <c r="L2488" s="108"/>
      <c r="M2488" s="108"/>
      <c r="N2488" s="108" t="str">
        <v>H391P582</v>
      </c>
      <c r="O2488" s="108">
        <f t="shared" si="40"/>
        <v>1</v>
      </c>
      <c r="P2488" s="108"/>
      <c r="Q2488"/>
    </row>
    <row r="2489" spans="1:17" x14ac:dyDescent="0.25">
      <c r="A2489" s="89" t="s">
        <v>6170</v>
      </c>
      <c r="B2489" s="87" t="s">
        <v>6171</v>
      </c>
      <c r="C2489" s="87" t="s">
        <v>16</v>
      </c>
      <c r="D2489" s="87" t="str">
        <f>VLOOKUP(Tabela1[[#This Row],[Origem]], 'Perguntas 1 a 24'!$J$28:$K$34, 2, 0)</f>
        <v>Sudeste</v>
      </c>
      <c r="E2489" s="87" t="str">
        <f>Tabela1[[#This Row],[Descrição]]&amp;"-"&amp;Tabela1[[#This Row],[Código]]&amp;"/"&amp;Tabela1[[#This Row],[Origem]]</f>
        <v>Davepi-H391P582/MG</v>
      </c>
      <c r="F2489" s="88">
        <v>46981</v>
      </c>
      <c r="G2489" s="88" t="str" cm="1">
        <f t="array" ref="G24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AND(F2489&gt;= DATE(2026,1,1), F2489&lt;= DATE(2028, 12, 31), J2489&gt;50000), "Pendente e Caro", AND(F2489&gt;= DATE(2026,1,1), F2489&lt;= DATE(2028, 12, 31), J2489&lt;=50000), "Pendente", F2489&gt;= DATE(2029,1,1), "Não prioeitário")</f>
        <v>Pendente</v>
      </c>
      <c r="H2489" s="89">
        <f>YEAR(Tabela1[[#This Row],[Data de Validade]])</f>
        <v>2028</v>
      </c>
      <c r="I2489" s="89">
        <f>MONTH(Tabela1[[#This Row],[Data de Validade]])</f>
        <v>8</v>
      </c>
      <c r="J2489" s="101">
        <v>35585</v>
      </c>
      <c r="K2489" s="87" t="s">
        <v>9</v>
      </c>
      <c r="L2489" s="108"/>
      <c r="M2489" s="108"/>
      <c r="N2489" s="108" t="str">
        <v>H168H737</v>
      </c>
      <c r="O2489" s="108">
        <f t="shared" si="40"/>
        <v>1</v>
      </c>
      <c r="P2489" s="108"/>
      <c r="Q2489"/>
    </row>
    <row r="2490" spans="1:17" x14ac:dyDescent="0.25">
      <c r="A2490" s="89" t="s">
        <v>8681</v>
      </c>
      <c r="B2490" s="87" t="s">
        <v>8682</v>
      </c>
      <c r="C2490" s="87" t="s">
        <v>10</v>
      </c>
      <c r="D2490" s="87" t="str">
        <f>VLOOKUP(Tabela1[[#This Row],[Origem]], 'Perguntas 1 a 24'!$J$28:$K$34, 2, 0)</f>
        <v>Centro-Oeste</v>
      </c>
      <c r="E2490" s="87" t="str">
        <f>Tabela1[[#This Row],[Descrição]]&amp;"-"&amp;Tabela1[[#This Row],[Código]]&amp;"/"&amp;Tabela1[[#This Row],[Origem]]</f>
        <v>Dilurage-H168H737/GO</v>
      </c>
      <c r="F2490" s="88">
        <v>46982</v>
      </c>
      <c r="G2490" s="88" t="str" cm="1">
        <f t="array" ref="G24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AND(F2490&gt;= DATE(2026,1,1), F2490&lt;= DATE(2028, 12, 31), J2490&gt;50000), "Pendente e Caro", AND(F2490&gt;= DATE(2026,1,1), F2490&lt;= DATE(2028, 12, 31), J2490&lt;=50000), "Pendente", F2490&gt;= DATE(2029,1,1), "Não prioeitário")</f>
        <v>Pendente e Caro</v>
      </c>
      <c r="H2490" s="89">
        <f>YEAR(Tabela1[[#This Row],[Data de Validade]])</f>
        <v>2028</v>
      </c>
      <c r="I2490" s="89">
        <f>MONTH(Tabela1[[#This Row],[Data de Validade]])</f>
        <v>8</v>
      </c>
      <c r="J2490" s="101">
        <v>91919</v>
      </c>
      <c r="K2490" s="87" t="s">
        <v>7</v>
      </c>
      <c r="L2490" s="108"/>
      <c r="M2490" s="108"/>
      <c r="N2490" s="108" t="str">
        <v>P199H414</v>
      </c>
      <c r="O2490" s="108">
        <f t="shared" si="40"/>
        <v>1</v>
      </c>
      <c r="P2490" s="108"/>
      <c r="Q2490"/>
    </row>
    <row r="2491" spans="1:17" x14ac:dyDescent="0.25">
      <c r="A2491" s="89" t="s">
        <v>11018</v>
      </c>
      <c r="B2491" s="87" t="s">
        <v>11019</v>
      </c>
      <c r="C2491" s="87" t="s">
        <v>15</v>
      </c>
      <c r="D2491" s="87" t="str">
        <f>VLOOKUP(Tabela1[[#This Row],[Origem]], 'Perguntas 1 a 24'!$J$28:$K$34, 2, 0)</f>
        <v>Sudeste</v>
      </c>
      <c r="E2491" s="87" t="str">
        <f>Tabela1[[#This Row],[Descrição]]&amp;"-"&amp;Tabela1[[#This Row],[Código]]&amp;"/"&amp;Tabela1[[#This Row],[Origem]]</f>
        <v>Necuma-P199H414/ES</v>
      </c>
      <c r="F2491" s="88">
        <v>46984</v>
      </c>
      <c r="G2491" s="88" t="str" cm="1">
        <f t="array" ref="G24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AND(F2491&gt;= DATE(2026,1,1), F2491&lt;= DATE(2028, 12, 31), J2491&gt;50000), "Pendente e Caro", AND(F2491&gt;= DATE(2026,1,1), F2491&lt;= DATE(2028, 12, 31), J2491&lt;=50000), "Pendente", F2491&gt;= DATE(2029,1,1), "Não prioeitário")</f>
        <v>Pendente e Caro</v>
      </c>
      <c r="H2491" s="89">
        <f>YEAR(Tabela1[[#This Row],[Data de Validade]])</f>
        <v>2028</v>
      </c>
      <c r="I2491" s="89">
        <f>MONTH(Tabela1[[#This Row],[Data de Validade]])</f>
        <v>8</v>
      </c>
      <c r="J2491" s="101">
        <v>92131</v>
      </c>
      <c r="K2491" s="87" t="s">
        <v>7</v>
      </c>
      <c r="L2491" s="108"/>
      <c r="M2491" s="108"/>
      <c r="N2491" s="108" t="str">
        <v>H758H955</v>
      </c>
      <c r="O2491" s="108">
        <f t="shared" si="40"/>
        <v>1</v>
      </c>
      <c r="P2491" s="108"/>
      <c r="Q2491"/>
    </row>
    <row r="2492" spans="1:17" x14ac:dyDescent="0.25">
      <c r="A2492" s="89" t="s">
        <v>6728</v>
      </c>
      <c r="B2492" s="87" t="s">
        <v>6729</v>
      </c>
      <c r="C2492" s="87" t="s">
        <v>8</v>
      </c>
      <c r="D2492" s="87" t="str">
        <f>VLOOKUP(Tabela1[[#This Row],[Origem]], 'Perguntas 1 a 24'!$J$28:$K$34, 2, 0)</f>
        <v>Nordeste</v>
      </c>
      <c r="E2492" s="87" t="str">
        <f>Tabela1[[#This Row],[Descrição]]&amp;"-"&amp;Tabela1[[#This Row],[Código]]&amp;"/"&amp;Tabela1[[#This Row],[Origem]]</f>
        <v>Fomucatofi-H758H955/AL</v>
      </c>
      <c r="F2492" s="88">
        <v>46984</v>
      </c>
      <c r="G2492" s="88" t="str" cm="1">
        <f t="array" ref="G24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AND(F2492&gt;= DATE(2026,1,1), F2492&lt;= DATE(2028, 12, 31), J2492&gt;50000), "Pendente e Caro", AND(F2492&gt;= DATE(2026,1,1), F2492&lt;= DATE(2028, 12, 31), J2492&lt;=50000), "Pendente", F2492&gt;= DATE(2029,1,1), "Não prioeitário")</f>
        <v>Pendente e Caro</v>
      </c>
      <c r="H2492" s="89">
        <f>YEAR(Tabela1[[#This Row],[Data de Validade]])</f>
        <v>2028</v>
      </c>
      <c r="I2492" s="89">
        <f>MONTH(Tabela1[[#This Row],[Data de Validade]])</f>
        <v>8</v>
      </c>
      <c r="J2492" s="101">
        <v>79139</v>
      </c>
      <c r="K2492" s="87" t="s">
        <v>11</v>
      </c>
      <c r="L2492" s="108"/>
      <c r="M2492" s="108"/>
      <c r="N2492" s="108" t="str">
        <v>P962P938</v>
      </c>
      <c r="O2492" s="108">
        <f t="shared" si="40"/>
        <v>1</v>
      </c>
      <c r="P2492" s="108"/>
      <c r="Q2492"/>
    </row>
    <row r="2493" spans="1:17" x14ac:dyDescent="0.25">
      <c r="A2493" s="89" t="s">
        <v>4012</v>
      </c>
      <c r="B2493" s="87" t="s">
        <v>4013</v>
      </c>
      <c r="C2493" s="87" t="s">
        <v>8</v>
      </c>
      <c r="D2493" s="87" t="str">
        <f>VLOOKUP(Tabela1[[#This Row],[Origem]], 'Perguntas 1 a 24'!$J$28:$K$34, 2, 0)</f>
        <v>Nordeste</v>
      </c>
      <c r="E2493" s="87" t="str">
        <f>Tabela1[[#This Row],[Descrição]]&amp;"-"&amp;Tabela1[[#This Row],[Código]]&amp;"/"&amp;Tabela1[[#This Row],[Origem]]</f>
        <v>Ponegifape-P962P938/AL</v>
      </c>
      <c r="F2493" s="88">
        <v>46984</v>
      </c>
      <c r="G2493" s="88" t="str" cm="1">
        <f t="array" ref="G24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AND(F2493&gt;= DATE(2026,1,1), F2493&lt;= DATE(2028, 12, 31), J2493&gt;50000), "Pendente e Caro", AND(F2493&gt;= DATE(2026,1,1), F2493&lt;= DATE(2028, 12, 31), J2493&lt;=50000), "Pendente", F2493&gt;= DATE(2029,1,1), "Não prioeitário")</f>
        <v>Pendente</v>
      </c>
      <c r="H2493" s="89">
        <f>YEAR(Tabela1[[#This Row],[Data de Validade]])</f>
        <v>2028</v>
      </c>
      <c r="I2493" s="89">
        <f>MONTH(Tabela1[[#This Row],[Data de Validade]])</f>
        <v>8</v>
      </c>
      <c r="J2493" s="101">
        <v>30898</v>
      </c>
      <c r="K2493" s="87" t="s">
        <v>14</v>
      </c>
      <c r="L2493" s="108"/>
      <c r="M2493" s="108"/>
      <c r="N2493" s="108" t="str">
        <v>H276H225</v>
      </c>
      <c r="O2493" s="108">
        <f t="shared" si="40"/>
        <v>1</v>
      </c>
      <c r="P2493" s="108"/>
      <c r="Q2493"/>
    </row>
    <row r="2494" spans="1:17" x14ac:dyDescent="0.25">
      <c r="A2494" s="89" t="s">
        <v>5020</v>
      </c>
      <c r="B2494" s="87" t="s">
        <v>5021</v>
      </c>
      <c r="C2494" s="87" t="s">
        <v>15</v>
      </c>
      <c r="D2494" s="87" t="str">
        <f>VLOOKUP(Tabela1[[#This Row],[Origem]], 'Perguntas 1 a 24'!$J$28:$K$34, 2, 0)</f>
        <v>Sudeste</v>
      </c>
      <c r="E2494" s="87" t="str">
        <f>Tabela1[[#This Row],[Descrição]]&amp;"-"&amp;Tabela1[[#This Row],[Código]]&amp;"/"&amp;Tabela1[[#This Row],[Origem]]</f>
        <v>Gapapi-H276H225/ES</v>
      </c>
      <c r="F2494" s="88">
        <v>46985</v>
      </c>
      <c r="G2494" s="88" t="str" cm="1">
        <f t="array" ref="G24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AND(F2494&gt;= DATE(2026,1,1), F2494&lt;= DATE(2028, 12, 31), J2494&gt;50000), "Pendente e Caro", AND(F2494&gt;= DATE(2026,1,1), F2494&lt;= DATE(2028, 12, 31), J2494&lt;=50000), "Pendente", F2494&gt;= DATE(2029,1,1), "Não prioeitário")</f>
        <v>Pendente e Caro</v>
      </c>
      <c r="H2494" s="89">
        <f>YEAR(Tabela1[[#This Row],[Data de Validade]])</f>
        <v>2028</v>
      </c>
      <c r="I2494" s="89">
        <f>MONTH(Tabela1[[#This Row],[Data de Validade]])</f>
        <v>8</v>
      </c>
      <c r="J2494" s="101">
        <v>93267</v>
      </c>
      <c r="K2494" s="87" t="s">
        <v>14</v>
      </c>
      <c r="L2494" s="108"/>
      <c r="M2494" s="108"/>
      <c r="N2494" s="108" t="str">
        <v>P587H231</v>
      </c>
      <c r="O2494" s="108">
        <f t="shared" si="40"/>
        <v>1</v>
      </c>
      <c r="P2494" s="108"/>
      <c r="Q2494"/>
    </row>
    <row r="2495" spans="1:17" x14ac:dyDescent="0.25">
      <c r="A2495" s="89" t="s">
        <v>5192</v>
      </c>
      <c r="B2495" s="87" t="s">
        <v>5193</v>
      </c>
      <c r="C2495" s="87" t="s">
        <v>13</v>
      </c>
      <c r="D2495" s="87" t="str">
        <f>VLOOKUP(Tabela1[[#This Row],[Origem]], 'Perguntas 1 a 24'!$J$28:$K$34, 2, 0)</f>
        <v>Sudeste</v>
      </c>
      <c r="E2495" s="87" t="str">
        <f>Tabela1[[#This Row],[Descrição]]&amp;"-"&amp;Tabela1[[#This Row],[Código]]&amp;"/"&amp;Tabela1[[#This Row],[Origem]]</f>
        <v>Rigire-P587H231/SP</v>
      </c>
      <c r="F2495" s="88">
        <v>46985</v>
      </c>
      <c r="G2495" s="88" t="str" cm="1">
        <f t="array" ref="G24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AND(F2495&gt;= DATE(2026,1,1), F2495&lt;= DATE(2028, 12, 31), J2495&gt;50000), "Pendente e Caro", AND(F2495&gt;= DATE(2026,1,1), F2495&lt;= DATE(2028, 12, 31), J2495&lt;=50000), "Pendente", F2495&gt;= DATE(2029,1,1), "Não prioeitário")</f>
        <v>Pendente e Caro</v>
      </c>
      <c r="H2495" s="89">
        <f>YEAR(Tabela1[[#This Row],[Data de Validade]])</f>
        <v>2028</v>
      </c>
      <c r="I2495" s="89">
        <f>MONTH(Tabela1[[#This Row],[Data de Validade]])</f>
        <v>8</v>
      </c>
      <c r="J2495" s="101">
        <v>84059</v>
      </c>
      <c r="K2495" s="87" t="s">
        <v>7</v>
      </c>
      <c r="L2495" s="108"/>
      <c r="M2495" s="108"/>
      <c r="N2495" s="108" t="str">
        <v>H842P289</v>
      </c>
      <c r="O2495" s="108">
        <f t="shared" si="40"/>
        <v>1</v>
      </c>
      <c r="P2495" s="108"/>
      <c r="Q2495"/>
    </row>
    <row r="2496" spans="1:17" x14ac:dyDescent="0.25">
      <c r="A2496" s="89" t="s">
        <v>5030</v>
      </c>
      <c r="B2496" s="87" t="s">
        <v>5031</v>
      </c>
      <c r="C2496" s="87" t="s">
        <v>10</v>
      </c>
      <c r="D2496" s="87" t="str">
        <f>VLOOKUP(Tabela1[[#This Row],[Origem]], 'Perguntas 1 a 24'!$J$28:$K$34, 2, 0)</f>
        <v>Centro-Oeste</v>
      </c>
      <c r="E2496" s="87" t="str">
        <f>Tabela1[[#This Row],[Descrição]]&amp;"-"&amp;Tabela1[[#This Row],[Código]]&amp;"/"&amp;Tabela1[[#This Row],[Origem]]</f>
        <v>Vapopuvata-H842P289/GO</v>
      </c>
      <c r="F2496" s="88">
        <v>46985</v>
      </c>
      <c r="G2496" s="88" t="str" cm="1">
        <f t="array" ref="G24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AND(F2496&gt;= DATE(2026,1,1), F2496&lt;= DATE(2028, 12, 31), J2496&gt;50000), "Pendente e Caro", AND(F2496&gt;= DATE(2026,1,1), F2496&lt;= DATE(2028, 12, 31), J2496&lt;=50000), "Pendente", F2496&gt;= DATE(2029,1,1), "Não prioeitário")</f>
        <v>Pendente</v>
      </c>
      <c r="H2496" s="89">
        <f>YEAR(Tabela1[[#This Row],[Data de Validade]])</f>
        <v>2028</v>
      </c>
      <c r="I2496" s="89">
        <f>MONTH(Tabela1[[#This Row],[Data de Validade]])</f>
        <v>8</v>
      </c>
      <c r="J2496" s="101">
        <v>38771</v>
      </c>
      <c r="K2496" s="87" t="s">
        <v>11</v>
      </c>
      <c r="L2496" s="108"/>
      <c r="M2496" s="108"/>
      <c r="N2496" s="108" t="str">
        <v>H143H222</v>
      </c>
      <c r="O2496" s="108">
        <f t="shared" si="40"/>
        <v>1</v>
      </c>
      <c r="P2496" s="108"/>
      <c r="Q2496"/>
    </row>
    <row r="2497" spans="1:17" x14ac:dyDescent="0.25">
      <c r="A2497" s="89" t="s">
        <v>10851</v>
      </c>
      <c r="B2497" s="87" t="s">
        <v>10852</v>
      </c>
      <c r="C2497" s="87" t="s">
        <v>8</v>
      </c>
      <c r="D2497" s="87" t="str">
        <f>VLOOKUP(Tabela1[[#This Row],[Origem]], 'Perguntas 1 a 24'!$J$28:$K$34, 2, 0)</f>
        <v>Nordeste</v>
      </c>
      <c r="E2497" s="87" t="str">
        <f>Tabela1[[#This Row],[Descrição]]&amp;"-"&amp;Tabela1[[#This Row],[Código]]&amp;"/"&amp;Tabela1[[#This Row],[Origem]]</f>
        <v>Dunape-H143H222/AL</v>
      </c>
      <c r="F2497" s="88">
        <v>46986</v>
      </c>
      <c r="G2497" s="88" t="str" cm="1">
        <f t="array" ref="G24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AND(F2497&gt;= DATE(2026,1,1), F2497&lt;= DATE(2028, 12, 31), J2497&gt;50000), "Pendente e Caro", AND(F2497&gt;= DATE(2026,1,1), F2497&lt;= DATE(2028, 12, 31), J2497&lt;=50000), "Pendente", F2497&gt;= DATE(2029,1,1), "Não prioeitário")</f>
        <v>Pendente e Caro</v>
      </c>
      <c r="H2497" s="89">
        <f>YEAR(Tabela1[[#This Row],[Data de Validade]])</f>
        <v>2028</v>
      </c>
      <c r="I2497" s="89">
        <f>MONTH(Tabela1[[#This Row],[Data de Validade]])</f>
        <v>8</v>
      </c>
      <c r="J2497" s="101">
        <v>89673</v>
      </c>
      <c r="K2497" s="87" t="s">
        <v>14</v>
      </c>
      <c r="L2497" s="108"/>
      <c r="M2497" s="108"/>
      <c r="N2497" s="108" t="str">
        <v>H864H312</v>
      </c>
      <c r="O2497" s="108">
        <f t="shared" si="40"/>
        <v>1</v>
      </c>
      <c r="P2497" s="108"/>
      <c r="Q2497"/>
    </row>
    <row r="2498" spans="1:17" x14ac:dyDescent="0.25">
      <c r="A2498" s="89" t="s">
        <v>10941</v>
      </c>
      <c r="B2498" s="87" t="s">
        <v>10942</v>
      </c>
      <c r="C2498" s="87" t="s">
        <v>12</v>
      </c>
      <c r="D2498" s="87" t="str">
        <f>VLOOKUP(Tabela1[[#This Row],[Origem]], 'Perguntas 1 a 24'!$J$28:$K$34, 2, 0)</f>
        <v>Sudeste</v>
      </c>
      <c r="E2498" s="87" t="str">
        <f>Tabela1[[#This Row],[Descrição]]&amp;"-"&amp;Tabela1[[#This Row],[Código]]&amp;"/"&amp;Tabela1[[#This Row],[Origem]]</f>
        <v>Nuritolepo-H864H312/RJ</v>
      </c>
      <c r="F2498" s="88">
        <v>46986</v>
      </c>
      <c r="G2498" s="88" t="str" cm="1">
        <f t="array" ref="G24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AND(F2498&gt;= DATE(2026,1,1), F2498&lt;= DATE(2028, 12, 31), J2498&gt;50000), "Pendente e Caro", AND(F2498&gt;= DATE(2026,1,1), F2498&lt;= DATE(2028, 12, 31), J2498&lt;=50000), "Pendente", F2498&gt;= DATE(2029,1,1), "Não prioeitário")</f>
        <v>Pendente</v>
      </c>
      <c r="H2498" s="89">
        <f>YEAR(Tabela1[[#This Row],[Data de Validade]])</f>
        <v>2028</v>
      </c>
      <c r="I2498" s="89">
        <f>MONTH(Tabela1[[#This Row],[Data de Validade]])</f>
        <v>8</v>
      </c>
      <c r="J2498" s="101">
        <v>47579</v>
      </c>
      <c r="K2498" s="87" t="s">
        <v>14</v>
      </c>
      <c r="L2498" s="108"/>
      <c r="M2498" s="108"/>
      <c r="N2498" s="108" t="str">
        <v>P379H933</v>
      </c>
      <c r="O2498" s="108">
        <f t="shared" si="40"/>
        <v>1</v>
      </c>
      <c r="P2498" s="108"/>
      <c r="Q2498"/>
    </row>
    <row r="2499" spans="1:17" x14ac:dyDescent="0.25">
      <c r="A2499" s="89" t="s">
        <v>7828</v>
      </c>
      <c r="B2499" s="87" t="s">
        <v>7829</v>
      </c>
      <c r="C2499" s="87" t="s">
        <v>8</v>
      </c>
      <c r="D2499" s="87" t="str">
        <f>VLOOKUP(Tabela1[[#This Row],[Origem]], 'Perguntas 1 a 24'!$J$28:$K$34, 2, 0)</f>
        <v>Nordeste</v>
      </c>
      <c r="E2499" s="87" t="str">
        <f>Tabela1[[#This Row],[Descrição]]&amp;"-"&amp;Tabela1[[#This Row],[Código]]&amp;"/"&amp;Tabela1[[#This Row],[Origem]]</f>
        <v>Rupone-P379H933/AL</v>
      </c>
      <c r="F2499" s="88">
        <v>46988</v>
      </c>
      <c r="G2499" s="88" t="str" cm="1">
        <f t="array" ref="G24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AND(F2499&gt;= DATE(2026,1,1), F2499&lt;= DATE(2028, 12, 31), J2499&gt;50000), "Pendente e Caro", AND(F2499&gt;= DATE(2026,1,1), F2499&lt;= DATE(2028, 12, 31), J2499&lt;=50000), "Pendente", F2499&gt;= DATE(2029,1,1), "Não prioeitário")</f>
        <v>Pendente e Caro</v>
      </c>
      <c r="H2499" s="89">
        <f>YEAR(Tabela1[[#This Row],[Data de Validade]])</f>
        <v>2028</v>
      </c>
      <c r="I2499" s="89">
        <f>MONTH(Tabela1[[#This Row],[Data de Validade]])</f>
        <v>8</v>
      </c>
      <c r="J2499" s="101">
        <v>115984</v>
      </c>
      <c r="K2499" s="87" t="s">
        <v>7</v>
      </c>
      <c r="L2499" s="108"/>
      <c r="M2499" s="108"/>
      <c r="N2499" s="108" t="str">
        <v>P614H282</v>
      </c>
      <c r="O2499" s="108">
        <f t="shared" ref="O2499:O2562" si="41">COUNTIFS(B:B,N2499)</f>
        <v>1</v>
      </c>
      <c r="P2499" s="108"/>
      <c r="Q2499"/>
    </row>
    <row r="2500" spans="1:17" x14ac:dyDescent="0.25">
      <c r="A2500" s="89" t="s">
        <v>5720</v>
      </c>
      <c r="B2500" s="87" t="s">
        <v>5721</v>
      </c>
      <c r="C2500" s="87" t="s">
        <v>6</v>
      </c>
      <c r="D2500" s="87" t="str">
        <f>VLOOKUP(Tabela1[[#This Row],[Origem]], 'Perguntas 1 a 24'!$J$28:$K$34, 2, 0)</f>
        <v>Nordeste</v>
      </c>
      <c r="E2500" s="87" t="str">
        <f>Tabela1[[#This Row],[Descrição]]&amp;"-"&amp;Tabela1[[#This Row],[Código]]&amp;"/"&amp;Tabela1[[#This Row],[Origem]]</f>
        <v>Refopu-P614H282/MA</v>
      </c>
      <c r="F2500" s="88">
        <v>46988</v>
      </c>
      <c r="G2500" s="88" t="str" cm="1">
        <f t="array" ref="G25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AND(F2500&gt;= DATE(2026,1,1), F2500&lt;= DATE(2028, 12, 31), J2500&gt;50000), "Pendente e Caro", AND(F2500&gt;= DATE(2026,1,1), F2500&lt;= DATE(2028, 12, 31), J2500&lt;=50000), "Pendente", F2500&gt;= DATE(2029,1,1), "Não prioeitário")</f>
        <v>Pendente</v>
      </c>
      <c r="H2500" s="89">
        <f>YEAR(Tabela1[[#This Row],[Data de Validade]])</f>
        <v>2028</v>
      </c>
      <c r="I2500" s="89">
        <f>MONTH(Tabela1[[#This Row],[Data de Validade]])</f>
        <v>8</v>
      </c>
      <c r="J2500" s="101">
        <v>37711</v>
      </c>
      <c r="K2500" s="87" t="s">
        <v>11</v>
      </c>
      <c r="L2500" s="108"/>
      <c r="M2500" s="108"/>
      <c r="N2500" s="108" t="str">
        <v>H647P375</v>
      </c>
      <c r="O2500" s="108">
        <f t="shared" si="41"/>
        <v>1</v>
      </c>
      <c r="P2500" s="108"/>
      <c r="Q2500"/>
    </row>
    <row r="2501" spans="1:17" x14ac:dyDescent="0.25">
      <c r="A2501" s="89" t="s">
        <v>5010</v>
      </c>
      <c r="B2501" s="87" t="s">
        <v>5011</v>
      </c>
      <c r="C2501" s="87" t="s">
        <v>10</v>
      </c>
      <c r="D2501" s="87" t="str">
        <f>VLOOKUP(Tabela1[[#This Row],[Origem]], 'Perguntas 1 a 24'!$J$28:$K$34, 2, 0)</f>
        <v>Centro-Oeste</v>
      </c>
      <c r="E2501" s="87" t="str">
        <f>Tabela1[[#This Row],[Descrição]]&amp;"-"&amp;Tabela1[[#This Row],[Código]]&amp;"/"&amp;Tabela1[[#This Row],[Origem]]</f>
        <v>Nopumodago-H647P375/GO</v>
      </c>
      <c r="F2501" s="88">
        <v>46989</v>
      </c>
      <c r="G2501" s="88" t="str" cm="1">
        <f t="array" ref="G25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AND(F2501&gt;= DATE(2026,1,1), F2501&lt;= DATE(2028, 12, 31), J2501&gt;50000), "Pendente e Caro", AND(F2501&gt;= DATE(2026,1,1), F2501&lt;= DATE(2028, 12, 31), J2501&lt;=50000), "Pendente", F2501&gt;= DATE(2029,1,1), "Não prioeitário")</f>
        <v>Pendente</v>
      </c>
      <c r="H2501" s="89">
        <f>YEAR(Tabela1[[#This Row],[Data de Validade]])</f>
        <v>2028</v>
      </c>
      <c r="I2501" s="89">
        <f>MONTH(Tabela1[[#This Row],[Data de Validade]])</f>
        <v>8</v>
      </c>
      <c r="J2501" s="101">
        <v>31702</v>
      </c>
      <c r="K2501" s="87" t="s">
        <v>7</v>
      </c>
      <c r="L2501" s="108"/>
      <c r="M2501" s="108"/>
      <c r="N2501" s="108" t="str">
        <v>H634H756</v>
      </c>
      <c r="O2501" s="108">
        <f t="shared" si="41"/>
        <v>1</v>
      </c>
      <c r="P2501" s="108"/>
      <c r="Q2501"/>
    </row>
    <row r="2502" spans="1:17" x14ac:dyDescent="0.25">
      <c r="A2502" s="89" t="s">
        <v>3858</v>
      </c>
      <c r="B2502" s="87" t="s">
        <v>3859</v>
      </c>
      <c r="C2502" s="87" t="s">
        <v>12</v>
      </c>
      <c r="D2502" s="87" t="str">
        <f>VLOOKUP(Tabela1[[#This Row],[Origem]], 'Perguntas 1 a 24'!$J$28:$K$34, 2, 0)</f>
        <v>Sudeste</v>
      </c>
      <c r="E2502" s="87" t="str">
        <f>Tabela1[[#This Row],[Descrição]]&amp;"-"&amp;Tabela1[[#This Row],[Código]]&amp;"/"&amp;Tabela1[[#This Row],[Origem]]</f>
        <v>Tupiga-H634H756/RJ</v>
      </c>
      <c r="F2502" s="88">
        <v>46990</v>
      </c>
      <c r="G2502" s="88" t="str" cm="1">
        <f t="array" ref="G25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AND(F2502&gt;= DATE(2026,1,1), F2502&lt;= DATE(2028, 12, 31), J2502&gt;50000), "Pendente e Caro", AND(F2502&gt;= DATE(2026,1,1), F2502&lt;= DATE(2028, 12, 31), J2502&lt;=50000), "Pendente", F2502&gt;= DATE(2029,1,1), "Não prioeitário")</f>
        <v>Pendente e Caro</v>
      </c>
      <c r="H2502" s="89">
        <f>YEAR(Tabela1[[#This Row],[Data de Validade]])</f>
        <v>2028</v>
      </c>
      <c r="I2502" s="89">
        <f>MONTH(Tabela1[[#This Row],[Data de Validade]])</f>
        <v>8</v>
      </c>
      <c r="J2502" s="101">
        <v>114518</v>
      </c>
      <c r="K2502" s="87" t="s">
        <v>14</v>
      </c>
      <c r="L2502" s="108"/>
      <c r="M2502" s="108"/>
      <c r="N2502" s="108" t="str">
        <v>P832P234</v>
      </c>
      <c r="O2502" s="108">
        <f t="shared" si="41"/>
        <v>1</v>
      </c>
      <c r="P2502" s="108"/>
      <c r="Q2502"/>
    </row>
    <row r="2503" spans="1:17" x14ac:dyDescent="0.25">
      <c r="A2503" s="89" t="s">
        <v>8430</v>
      </c>
      <c r="B2503" s="87" t="s">
        <v>8431</v>
      </c>
      <c r="C2503" s="87" t="s">
        <v>10</v>
      </c>
      <c r="D2503" s="87" t="str">
        <f>VLOOKUP(Tabela1[[#This Row],[Origem]], 'Perguntas 1 a 24'!$J$28:$K$34, 2, 0)</f>
        <v>Centro-Oeste</v>
      </c>
      <c r="E2503" s="87" t="str">
        <f>Tabela1[[#This Row],[Descrição]]&amp;"-"&amp;Tabela1[[#This Row],[Código]]&amp;"/"&amp;Tabela1[[#This Row],[Origem]]</f>
        <v>Palelemo-P832P234/GO</v>
      </c>
      <c r="F2503" s="88">
        <v>46990</v>
      </c>
      <c r="G2503" s="88" t="str" cm="1">
        <f t="array" ref="G25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AND(F2503&gt;= DATE(2026,1,1), F2503&lt;= DATE(2028, 12, 31), J2503&gt;50000), "Pendente e Caro", AND(F2503&gt;= DATE(2026,1,1), F2503&lt;= DATE(2028, 12, 31), J2503&lt;=50000), "Pendente", F2503&gt;= DATE(2029,1,1), "Não prioeitário")</f>
        <v>Pendente e Caro</v>
      </c>
      <c r="H2503" s="89">
        <f>YEAR(Tabela1[[#This Row],[Data de Validade]])</f>
        <v>2028</v>
      </c>
      <c r="I2503" s="89">
        <f>MONTH(Tabela1[[#This Row],[Data de Validade]])</f>
        <v>8</v>
      </c>
      <c r="J2503" s="101">
        <v>94182</v>
      </c>
      <c r="K2503" s="87" t="s">
        <v>7</v>
      </c>
      <c r="L2503" s="108"/>
      <c r="M2503" s="108"/>
      <c r="N2503" s="108" t="str">
        <v>H972P965</v>
      </c>
      <c r="O2503" s="108">
        <f t="shared" si="41"/>
        <v>1</v>
      </c>
      <c r="P2503" s="108"/>
      <c r="Q2503"/>
    </row>
    <row r="2504" spans="1:17" x14ac:dyDescent="0.25">
      <c r="A2504" s="89" t="s">
        <v>8252</v>
      </c>
      <c r="B2504" s="87" t="s">
        <v>8253</v>
      </c>
      <c r="C2504" s="87" t="s">
        <v>16</v>
      </c>
      <c r="D2504" s="87" t="str">
        <f>VLOOKUP(Tabela1[[#This Row],[Origem]], 'Perguntas 1 a 24'!$J$28:$K$34, 2, 0)</f>
        <v>Sudeste</v>
      </c>
      <c r="E2504" s="87" t="str">
        <f>Tabela1[[#This Row],[Descrição]]&amp;"-"&amp;Tabela1[[#This Row],[Código]]&amp;"/"&amp;Tabela1[[#This Row],[Origem]]</f>
        <v>Tipepero-H972P965/MG</v>
      </c>
      <c r="F2504" s="88">
        <v>46991</v>
      </c>
      <c r="G2504" s="88" t="str" cm="1">
        <f t="array" ref="G25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AND(F2504&gt;= DATE(2026,1,1), F2504&lt;= DATE(2028, 12, 31), J2504&gt;50000), "Pendente e Caro", AND(F2504&gt;= DATE(2026,1,1), F2504&lt;= DATE(2028, 12, 31), J2504&lt;=50000), "Pendente", F2504&gt;= DATE(2029,1,1), "Não prioeitário")</f>
        <v>Pendente e Caro</v>
      </c>
      <c r="H2504" s="89">
        <f>YEAR(Tabela1[[#This Row],[Data de Validade]])</f>
        <v>2028</v>
      </c>
      <c r="I2504" s="89">
        <f>MONTH(Tabela1[[#This Row],[Data de Validade]])</f>
        <v>8</v>
      </c>
      <c r="J2504" s="101">
        <v>114908</v>
      </c>
      <c r="K2504" s="87" t="s">
        <v>7</v>
      </c>
      <c r="L2504" s="108"/>
      <c r="M2504" s="108"/>
      <c r="N2504" s="108" t="str">
        <v>P195H969</v>
      </c>
      <c r="O2504" s="108">
        <f t="shared" si="41"/>
        <v>1</v>
      </c>
      <c r="P2504" s="108"/>
      <c r="Q2504"/>
    </row>
    <row r="2505" spans="1:17" x14ac:dyDescent="0.25">
      <c r="A2505" s="89" t="s">
        <v>8843</v>
      </c>
      <c r="B2505" s="87" t="s">
        <v>8844</v>
      </c>
      <c r="C2505" s="87" t="s">
        <v>6</v>
      </c>
      <c r="D2505" s="87" t="str">
        <f>VLOOKUP(Tabela1[[#This Row],[Origem]], 'Perguntas 1 a 24'!$J$28:$K$34, 2, 0)</f>
        <v>Nordeste</v>
      </c>
      <c r="E2505" s="87" t="str">
        <f>Tabela1[[#This Row],[Descrição]]&amp;"-"&amp;Tabela1[[#This Row],[Código]]&amp;"/"&amp;Tabela1[[#This Row],[Origem]]</f>
        <v>Podomi-P195H969/MA</v>
      </c>
      <c r="F2505" s="88">
        <v>46991</v>
      </c>
      <c r="G2505" s="88" t="str" cm="1">
        <f t="array" ref="G25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AND(F2505&gt;= DATE(2026,1,1), F2505&lt;= DATE(2028, 12, 31), J2505&gt;50000), "Pendente e Caro", AND(F2505&gt;= DATE(2026,1,1), F2505&lt;= DATE(2028, 12, 31), J2505&lt;=50000), "Pendente", F2505&gt;= DATE(2029,1,1), "Não prioeitário")</f>
        <v>Pendente</v>
      </c>
      <c r="H2505" s="89">
        <f>YEAR(Tabela1[[#This Row],[Data de Validade]])</f>
        <v>2028</v>
      </c>
      <c r="I2505" s="89">
        <f>MONTH(Tabela1[[#This Row],[Data de Validade]])</f>
        <v>8</v>
      </c>
      <c r="J2505" s="101">
        <v>36000</v>
      </c>
      <c r="K2505" s="87" t="s">
        <v>9</v>
      </c>
      <c r="L2505" s="108"/>
      <c r="M2505" s="108"/>
      <c r="N2505" s="108" t="str">
        <v>P521H992</v>
      </c>
      <c r="O2505" s="108">
        <f t="shared" si="41"/>
        <v>1</v>
      </c>
      <c r="P2505" s="108"/>
      <c r="Q2505"/>
    </row>
    <row r="2506" spans="1:17" x14ac:dyDescent="0.25">
      <c r="A2506" s="89" t="s">
        <v>4136</v>
      </c>
      <c r="B2506" s="87" t="s">
        <v>4137</v>
      </c>
      <c r="C2506" s="87" t="s">
        <v>13</v>
      </c>
      <c r="D2506" s="87" t="str">
        <f>VLOOKUP(Tabela1[[#This Row],[Origem]], 'Perguntas 1 a 24'!$J$28:$K$34, 2, 0)</f>
        <v>Sudeste</v>
      </c>
      <c r="E2506" s="87" t="str">
        <f>Tabela1[[#This Row],[Descrição]]&amp;"-"&amp;Tabela1[[#This Row],[Código]]&amp;"/"&amp;Tabela1[[#This Row],[Origem]]</f>
        <v>Paneritaru-P521H992/SP</v>
      </c>
      <c r="F2506" s="88">
        <v>46992</v>
      </c>
      <c r="G2506" s="88" t="str" cm="1">
        <f t="array" ref="G25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AND(F2506&gt;= DATE(2026,1,1), F2506&lt;= DATE(2028, 12, 31), J2506&gt;50000), "Pendente e Caro", AND(F2506&gt;= DATE(2026,1,1), F2506&lt;= DATE(2028, 12, 31), J2506&lt;=50000), "Pendente", F2506&gt;= DATE(2029,1,1), "Não prioeitário")</f>
        <v>Pendente</v>
      </c>
      <c r="H2506" s="89">
        <f>YEAR(Tabela1[[#This Row],[Data de Validade]])</f>
        <v>2028</v>
      </c>
      <c r="I2506" s="89">
        <f>MONTH(Tabela1[[#This Row],[Data de Validade]])</f>
        <v>8</v>
      </c>
      <c r="J2506" s="101">
        <v>27526</v>
      </c>
      <c r="K2506" s="87" t="s">
        <v>11</v>
      </c>
      <c r="L2506" s="108"/>
      <c r="M2506" s="108"/>
      <c r="N2506" s="108" t="str">
        <v>H638P179</v>
      </c>
      <c r="O2506" s="108">
        <f t="shared" si="41"/>
        <v>1</v>
      </c>
      <c r="P2506" s="108"/>
      <c r="Q2506"/>
    </row>
    <row r="2507" spans="1:17" x14ac:dyDescent="0.25">
      <c r="A2507" s="89" t="s">
        <v>4634</v>
      </c>
      <c r="B2507" s="87" t="s">
        <v>4635</v>
      </c>
      <c r="C2507" s="87" t="s">
        <v>8</v>
      </c>
      <c r="D2507" s="87" t="str">
        <f>VLOOKUP(Tabela1[[#This Row],[Origem]], 'Perguntas 1 a 24'!$J$28:$K$34, 2, 0)</f>
        <v>Nordeste</v>
      </c>
      <c r="E2507" s="87" t="str">
        <f>Tabela1[[#This Row],[Descrição]]&amp;"-"&amp;Tabela1[[#This Row],[Código]]&amp;"/"&amp;Tabela1[[#This Row],[Origem]]</f>
        <v>Rimenu-H638P179/AL</v>
      </c>
      <c r="F2507" s="88">
        <v>46993</v>
      </c>
      <c r="G2507" s="88" t="str" cm="1">
        <f t="array" ref="G25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AND(F2507&gt;= DATE(2026,1,1), F2507&lt;= DATE(2028, 12, 31), J2507&gt;50000), "Pendente e Caro", AND(F2507&gt;= DATE(2026,1,1), F2507&lt;= DATE(2028, 12, 31), J2507&lt;=50000), "Pendente", F2507&gt;= DATE(2029,1,1), "Não prioeitário")</f>
        <v>Pendente e Caro</v>
      </c>
      <c r="H2507" s="89">
        <f>YEAR(Tabela1[[#This Row],[Data de Validade]])</f>
        <v>2028</v>
      </c>
      <c r="I2507" s="89">
        <f>MONTH(Tabela1[[#This Row],[Data de Validade]])</f>
        <v>8</v>
      </c>
      <c r="J2507" s="101">
        <v>114131</v>
      </c>
      <c r="K2507" s="87" t="s">
        <v>9</v>
      </c>
      <c r="L2507" s="108"/>
      <c r="M2507" s="108"/>
      <c r="N2507" s="108" t="str">
        <v>P829P491</v>
      </c>
      <c r="O2507" s="108">
        <f t="shared" si="41"/>
        <v>1</v>
      </c>
      <c r="P2507" s="108"/>
      <c r="Q2507"/>
    </row>
    <row r="2508" spans="1:17" x14ac:dyDescent="0.25">
      <c r="A2508" s="89" t="s">
        <v>9049</v>
      </c>
      <c r="B2508" s="87" t="s">
        <v>9050</v>
      </c>
      <c r="C2508" s="87" t="s">
        <v>16</v>
      </c>
      <c r="D2508" s="87" t="str">
        <f>VLOOKUP(Tabela1[[#This Row],[Origem]], 'Perguntas 1 a 24'!$J$28:$K$34, 2, 0)</f>
        <v>Sudeste</v>
      </c>
      <c r="E2508" s="87" t="str">
        <f>Tabela1[[#This Row],[Descrição]]&amp;"-"&amp;Tabela1[[#This Row],[Código]]&amp;"/"&amp;Tabela1[[#This Row],[Origem]]</f>
        <v>Fovemodite-P829P491/MG</v>
      </c>
      <c r="F2508" s="88">
        <v>46993</v>
      </c>
      <c r="G2508" s="88" t="str" cm="1">
        <f t="array" ref="G25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AND(F2508&gt;= DATE(2026,1,1), F2508&lt;= DATE(2028, 12, 31), J2508&gt;50000), "Pendente e Caro", AND(F2508&gt;= DATE(2026,1,1), F2508&lt;= DATE(2028, 12, 31), J2508&lt;=50000), "Pendente", F2508&gt;= DATE(2029,1,1), "Não prioeitário")</f>
        <v>Pendente e Caro</v>
      </c>
      <c r="H2508" s="89">
        <f>YEAR(Tabela1[[#This Row],[Data de Validade]])</f>
        <v>2028</v>
      </c>
      <c r="I2508" s="89">
        <f>MONTH(Tabela1[[#This Row],[Data de Validade]])</f>
        <v>8</v>
      </c>
      <c r="J2508" s="101">
        <v>101436</v>
      </c>
      <c r="K2508" s="87" t="s">
        <v>11</v>
      </c>
      <c r="L2508" s="108"/>
      <c r="M2508" s="108"/>
      <c r="N2508" s="108" t="str">
        <v>H449P926</v>
      </c>
      <c r="O2508" s="108">
        <f t="shared" si="41"/>
        <v>1</v>
      </c>
      <c r="P2508" s="108"/>
      <c r="Q2508"/>
    </row>
    <row r="2509" spans="1:17" x14ac:dyDescent="0.25">
      <c r="A2509" s="89" t="s">
        <v>10713</v>
      </c>
      <c r="B2509" s="87" t="s">
        <v>10714</v>
      </c>
      <c r="C2509" s="87" t="s">
        <v>6</v>
      </c>
      <c r="D2509" s="87" t="str">
        <f>VLOOKUP(Tabela1[[#This Row],[Origem]], 'Perguntas 1 a 24'!$J$28:$K$34, 2, 0)</f>
        <v>Nordeste</v>
      </c>
      <c r="E2509" s="87" t="str">
        <f>Tabela1[[#This Row],[Descrição]]&amp;"-"&amp;Tabela1[[#This Row],[Código]]&amp;"/"&amp;Tabela1[[#This Row],[Origem]]</f>
        <v>Mutede-H449P926/MA</v>
      </c>
      <c r="F2509" s="88">
        <v>46994</v>
      </c>
      <c r="G2509" s="88" t="str" cm="1">
        <f t="array" ref="G25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AND(F2509&gt;= DATE(2026,1,1), F2509&lt;= DATE(2028, 12, 31), J2509&gt;50000), "Pendente e Caro", AND(F2509&gt;= DATE(2026,1,1), F2509&lt;= DATE(2028, 12, 31), J2509&lt;=50000), "Pendente", F2509&gt;= DATE(2029,1,1), "Não prioeitário")</f>
        <v>Pendente e Caro</v>
      </c>
      <c r="H2509" s="89">
        <f>YEAR(Tabela1[[#This Row],[Data de Validade]])</f>
        <v>2028</v>
      </c>
      <c r="I2509" s="89">
        <f>MONTH(Tabela1[[#This Row],[Data de Validade]])</f>
        <v>8</v>
      </c>
      <c r="J2509" s="101">
        <v>108473</v>
      </c>
      <c r="K2509" s="87" t="s">
        <v>14</v>
      </c>
      <c r="L2509" s="108"/>
      <c r="M2509" s="108"/>
      <c r="N2509" s="108" t="str">
        <v>H745P114</v>
      </c>
      <c r="O2509" s="108">
        <f t="shared" si="41"/>
        <v>1</v>
      </c>
      <c r="P2509" s="108"/>
      <c r="Q2509"/>
    </row>
    <row r="2510" spans="1:17" x14ac:dyDescent="0.25">
      <c r="A2510" s="89" t="s">
        <v>4968</v>
      </c>
      <c r="B2510" s="87" t="s">
        <v>4969</v>
      </c>
      <c r="C2510" s="87" t="s">
        <v>6</v>
      </c>
      <c r="D2510" s="87" t="str">
        <f>VLOOKUP(Tabela1[[#This Row],[Origem]], 'Perguntas 1 a 24'!$J$28:$K$34, 2, 0)</f>
        <v>Nordeste</v>
      </c>
      <c r="E2510" s="87" t="str">
        <f>Tabela1[[#This Row],[Descrição]]&amp;"-"&amp;Tabela1[[#This Row],[Código]]&amp;"/"&amp;Tabela1[[#This Row],[Origem]]</f>
        <v>Tunetire-H745P114/MA</v>
      </c>
      <c r="F2510" s="88">
        <v>46994</v>
      </c>
      <c r="G2510" s="88" t="str" cm="1">
        <f t="array" ref="G25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AND(F2510&gt;= DATE(2026,1,1), F2510&lt;= DATE(2028, 12, 31), J2510&gt;50000), "Pendente e Caro", AND(F2510&gt;= DATE(2026,1,1), F2510&lt;= DATE(2028, 12, 31), J2510&lt;=50000), "Pendente", F2510&gt;= DATE(2029,1,1), "Não prioeitário")</f>
        <v>Pendente e Caro</v>
      </c>
      <c r="H2510" s="89">
        <f>YEAR(Tabela1[[#This Row],[Data de Validade]])</f>
        <v>2028</v>
      </c>
      <c r="I2510" s="89">
        <f>MONTH(Tabela1[[#This Row],[Data de Validade]])</f>
        <v>8</v>
      </c>
      <c r="J2510" s="101">
        <v>86813</v>
      </c>
      <c r="K2510" s="87" t="s">
        <v>11</v>
      </c>
      <c r="L2510" s="108"/>
      <c r="M2510" s="108"/>
      <c r="N2510" s="108" t="str">
        <v>H471H144</v>
      </c>
      <c r="O2510" s="108">
        <f t="shared" si="41"/>
        <v>1</v>
      </c>
      <c r="P2510" s="108"/>
      <c r="Q2510"/>
    </row>
    <row r="2511" spans="1:17" x14ac:dyDescent="0.25">
      <c r="A2511" s="89" t="s">
        <v>6228</v>
      </c>
      <c r="B2511" s="87" t="s">
        <v>6229</v>
      </c>
      <c r="C2511" s="87" t="s">
        <v>16</v>
      </c>
      <c r="D2511" s="87" t="str">
        <f>VLOOKUP(Tabela1[[#This Row],[Origem]], 'Perguntas 1 a 24'!$J$28:$K$34, 2, 0)</f>
        <v>Sudeste</v>
      </c>
      <c r="E2511" s="87" t="str">
        <f>Tabela1[[#This Row],[Descrição]]&amp;"-"&amp;Tabela1[[#This Row],[Código]]&amp;"/"&amp;Tabela1[[#This Row],[Origem]]</f>
        <v>Gilorevi-H471H144/MG</v>
      </c>
      <c r="F2511" s="88">
        <v>46995</v>
      </c>
      <c r="G2511" s="88" t="str" cm="1">
        <f t="array" ref="G25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AND(F2511&gt;= DATE(2026,1,1), F2511&lt;= DATE(2028, 12, 31), J2511&gt;50000), "Pendente e Caro", AND(F2511&gt;= DATE(2026,1,1), F2511&lt;= DATE(2028, 12, 31), J2511&lt;=50000), "Pendente", F2511&gt;= DATE(2029,1,1), "Não prioeitário")</f>
        <v>Pendente e Caro</v>
      </c>
      <c r="H2511" s="89">
        <f>YEAR(Tabela1[[#This Row],[Data de Validade]])</f>
        <v>2028</v>
      </c>
      <c r="I2511" s="89">
        <f>MONTH(Tabela1[[#This Row],[Data de Validade]])</f>
        <v>8</v>
      </c>
      <c r="J2511" s="101">
        <v>107468</v>
      </c>
      <c r="K2511" s="87" t="s">
        <v>11</v>
      </c>
      <c r="L2511" s="108"/>
      <c r="M2511" s="108"/>
      <c r="N2511" s="108" t="str">
        <v>P584H851</v>
      </c>
      <c r="O2511" s="108">
        <f t="shared" si="41"/>
        <v>1</v>
      </c>
      <c r="P2511" s="108"/>
      <c r="Q2511"/>
    </row>
    <row r="2512" spans="1:17" x14ac:dyDescent="0.25">
      <c r="A2512" s="89" t="s">
        <v>8963</v>
      </c>
      <c r="B2512" s="87" t="s">
        <v>8964</v>
      </c>
      <c r="C2512" s="87" t="s">
        <v>15</v>
      </c>
      <c r="D2512" s="87" t="str">
        <f>VLOOKUP(Tabela1[[#This Row],[Origem]], 'Perguntas 1 a 24'!$J$28:$K$34, 2, 0)</f>
        <v>Sudeste</v>
      </c>
      <c r="E2512" s="87" t="str">
        <f>Tabela1[[#This Row],[Descrição]]&amp;"-"&amp;Tabela1[[#This Row],[Código]]&amp;"/"&amp;Tabela1[[#This Row],[Origem]]</f>
        <v>Dodeme-P584H851/ES</v>
      </c>
      <c r="F2512" s="88">
        <v>46995</v>
      </c>
      <c r="G2512" s="88" t="str" cm="1">
        <f t="array" ref="G25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AND(F2512&gt;= DATE(2026,1,1), F2512&lt;= DATE(2028, 12, 31), J2512&gt;50000), "Pendente e Caro", AND(F2512&gt;= DATE(2026,1,1), F2512&lt;= DATE(2028, 12, 31), J2512&lt;=50000), "Pendente", F2512&gt;= DATE(2029,1,1), "Não prioeitário")</f>
        <v>Pendente e Caro</v>
      </c>
      <c r="H2512" s="89">
        <f>YEAR(Tabela1[[#This Row],[Data de Validade]])</f>
        <v>2028</v>
      </c>
      <c r="I2512" s="89">
        <f>MONTH(Tabela1[[#This Row],[Data de Validade]])</f>
        <v>8</v>
      </c>
      <c r="J2512" s="101">
        <v>71075</v>
      </c>
      <c r="K2512" s="87" t="s">
        <v>9</v>
      </c>
      <c r="L2512" s="108"/>
      <c r="M2512" s="108"/>
      <c r="N2512" s="108" t="str">
        <v>P644H816</v>
      </c>
      <c r="O2512" s="108">
        <f t="shared" si="41"/>
        <v>1</v>
      </c>
      <c r="P2512" s="108"/>
      <c r="Q2512"/>
    </row>
    <row r="2513" spans="1:17" x14ac:dyDescent="0.25">
      <c r="A2513" s="89" t="s">
        <v>6510</v>
      </c>
      <c r="B2513" s="87" t="s">
        <v>6511</v>
      </c>
      <c r="C2513" s="87" t="s">
        <v>15</v>
      </c>
      <c r="D2513" s="87" t="str">
        <f>VLOOKUP(Tabela1[[#This Row],[Origem]], 'Perguntas 1 a 24'!$J$28:$K$34, 2, 0)</f>
        <v>Sudeste</v>
      </c>
      <c r="E2513" s="87" t="str">
        <f>Tabela1[[#This Row],[Descrição]]&amp;"-"&amp;Tabela1[[#This Row],[Código]]&amp;"/"&amp;Tabela1[[#This Row],[Origem]]</f>
        <v>Tepocavipu-P644H816/ES</v>
      </c>
      <c r="F2513" s="88">
        <v>46995</v>
      </c>
      <c r="G2513" s="88" t="str" cm="1">
        <f t="array" ref="G25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AND(F2513&gt;= DATE(2026,1,1), F2513&lt;= DATE(2028, 12, 31), J2513&gt;50000), "Pendente e Caro", AND(F2513&gt;= DATE(2026,1,1), F2513&lt;= DATE(2028, 12, 31), J2513&lt;=50000), "Pendente", F2513&gt;= DATE(2029,1,1), "Não prioeitário")</f>
        <v>Pendente</v>
      </c>
      <c r="H2513" s="89">
        <f>YEAR(Tabela1[[#This Row],[Data de Validade]])</f>
        <v>2028</v>
      </c>
      <c r="I2513" s="89">
        <f>MONTH(Tabela1[[#This Row],[Data de Validade]])</f>
        <v>8</v>
      </c>
      <c r="J2513" s="101">
        <v>32370</v>
      </c>
      <c r="K2513" s="87" t="s">
        <v>11</v>
      </c>
      <c r="L2513" s="108"/>
      <c r="M2513" s="108"/>
      <c r="N2513" s="108" t="str">
        <v>P366H918</v>
      </c>
      <c r="O2513" s="108">
        <f t="shared" si="41"/>
        <v>1</v>
      </c>
      <c r="P2513" s="108"/>
      <c r="Q2513"/>
    </row>
    <row r="2514" spans="1:17" x14ac:dyDescent="0.25">
      <c r="A2514" s="89" t="s">
        <v>9723</v>
      </c>
      <c r="B2514" s="87" t="s">
        <v>9724</v>
      </c>
      <c r="C2514" s="87" t="s">
        <v>6</v>
      </c>
      <c r="D2514" s="87" t="str">
        <f>VLOOKUP(Tabela1[[#This Row],[Origem]], 'Perguntas 1 a 24'!$J$28:$K$34, 2, 0)</f>
        <v>Nordeste</v>
      </c>
      <c r="E2514" s="87" t="str">
        <f>Tabela1[[#This Row],[Descrição]]&amp;"-"&amp;Tabela1[[#This Row],[Código]]&amp;"/"&amp;Tabela1[[#This Row],[Origem]]</f>
        <v>Ginuloreto-P366H918/MA</v>
      </c>
      <c r="F2514" s="88">
        <v>46998</v>
      </c>
      <c r="G2514" s="88" t="str" cm="1">
        <f t="array" ref="G25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AND(F2514&gt;= DATE(2026,1,1), F2514&lt;= DATE(2028, 12, 31), J2514&gt;50000), "Pendente e Caro", AND(F2514&gt;= DATE(2026,1,1), F2514&lt;= DATE(2028, 12, 31), J2514&lt;=50000), "Pendente", F2514&gt;= DATE(2029,1,1), "Não prioeitário")</f>
        <v>Pendente e Caro</v>
      </c>
      <c r="H2514" s="89">
        <f>YEAR(Tabela1[[#This Row],[Data de Validade]])</f>
        <v>2028</v>
      </c>
      <c r="I2514" s="89">
        <f>MONTH(Tabela1[[#This Row],[Data de Validade]])</f>
        <v>9</v>
      </c>
      <c r="J2514" s="101">
        <v>100736</v>
      </c>
      <c r="K2514" s="87" t="s">
        <v>11</v>
      </c>
      <c r="L2514" s="108"/>
      <c r="M2514" s="108"/>
      <c r="N2514" s="108" t="str">
        <v>H248P425</v>
      </c>
      <c r="O2514" s="108">
        <f t="shared" si="41"/>
        <v>1</v>
      </c>
      <c r="P2514" s="108"/>
      <c r="Q2514"/>
    </row>
    <row r="2515" spans="1:17" x14ac:dyDescent="0.25">
      <c r="A2515" s="89" t="s">
        <v>9575</v>
      </c>
      <c r="B2515" s="87" t="s">
        <v>9576</v>
      </c>
      <c r="C2515" s="87" t="s">
        <v>15</v>
      </c>
      <c r="D2515" s="87" t="str">
        <f>VLOOKUP(Tabela1[[#This Row],[Origem]], 'Perguntas 1 a 24'!$J$28:$K$34, 2, 0)</f>
        <v>Sudeste</v>
      </c>
      <c r="E2515" s="87" t="str">
        <f>Tabela1[[#This Row],[Descrição]]&amp;"-"&amp;Tabela1[[#This Row],[Código]]&amp;"/"&amp;Tabela1[[#This Row],[Origem]]</f>
        <v>Rafotono-H248P425/ES</v>
      </c>
      <c r="F2515" s="88">
        <v>47000</v>
      </c>
      <c r="G2515" s="88" t="str" cm="1">
        <f t="array" ref="G25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AND(F2515&gt;= DATE(2026,1,1), F2515&lt;= DATE(2028, 12, 31), J2515&gt;50000), "Pendente e Caro", AND(F2515&gt;= DATE(2026,1,1), F2515&lt;= DATE(2028, 12, 31), J2515&lt;=50000), "Pendente", F2515&gt;= DATE(2029,1,1), "Não prioeitário")</f>
        <v>Pendente e Caro</v>
      </c>
      <c r="H2515" s="89">
        <f>YEAR(Tabela1[[#This Row],[Data de Validade]])</f>
        <v>2028</v>
      </c>
      <c r="I2515" s="89">
        <f>MONTH(Tabela1[[#This Row],[Data de Validade]])</f>
        <v>9</v>
      </c>
      <c r="J2515" s="101">
        <v>58583</v>
      </c>
      <c r="K2515" s="87" t="s">
        <v>11</v>
      </c>
      <c r="L2515" s="108"/>
      <c r="M2515" s="108"/>
      <c r="N2515" s="108" t="str">
        <v>P623P251</v>
      </c>
      <c r="O2515" s="108">
        <f t="shared" si="41"/>
        <v>1</v>
      </c>
      <c r="P2515" s="108"/>
      <c r="Q2515"/>
    </row>
    <row r="2516" spans="1:17" x14ac:dyDescent="0.25">
      <c r="A2516" s="89" t="s">
        <v>5986</v>
      </c>
      <c r="B2516" s="87" t="s">
        <v>5987</v>
      </c>
      <c r="C2516" s="87" t="s">
        <v>15</v>
      </c>
      <c r="D2516" s="87" t="str">
        <f>VLOOKUP(Tabela1[[#This Row],[Origem]], 'Perguntas 1 a 24'!$J$28:$K$34, 2, 0)</f>
        <v>Sudeste</v>
      </c>
      <c r="E2516" s="87" t="str">
        <f>Tabela1[[#This Row],[Descrição]]&amp;"-"&amp;Tabela1[[#This Row],[Código]]&amp;"/"&amp;Tabela1[[#This Row],[Origem]]</f>
        <v>Rilaputu-P623P251/ES</v>
      </c>
      <c r="F2516" s="88">
        <v>47001</v>
      </c>
      <c r="G2516" s="88" t="str" cm="1">
        <f t="array" ref="G25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AND(F2516&gt;= DATE(2026,1,1), F2516&lt;= DATE(2028, 12, 31), J2516&gt;50000), "Pendente e Caro", AND(F2516&gt;= DATE(2026,1,1), F2516&lt;= DATE(2028, 12, 31), J2516&lt;=50000), "Pendente", F2516&gt;= DATE(2029,1,1), "Não prioeitário")</f>
        <v>Pendente e Caro</v>
      </c>
      <c r="H2516" s="89">
        <f>YEAR(Tabela1[[#This Row],[Data de Validade]])</f>
        <v>2028</v>
      </c>
      <c r="I2516" s="89">
        <f>MONTH(Tabela1[[#This Row],[Data de Validade]])</f>
        <v>9</v>
      </c>
      <c r="J2516" s="101">
        <v>90518</v>
      </c>
      <c r="K2516" s="87" t="s">
        <v>9</v>
      </c>
      <c r="L2516" s="108"/>
      <c r="M2516" s="108"/>
      <c r="N2516" s="108" t="str">
        <v>H678H478</v>
      </c>
      <c r="O2516" s="108">
        <f t="shared" si="41"/>
        <v>1</v>
      </c>
      <c r="P2516" s="108"/>
      <c r="Q2516"/>
    </row>
    <row r="2517" spans="1:17" x14ac:dyDescent="0.25">
      <c r="A2517" s="89" t="s">
        <v>6128</v>
      </c>
      <c r="B2517" s="87" t="s">
        <v>6129</v>
      </c>
      <c r="C2517" s="87" t="s">
        <v>13</v>
      </c>
      <c r="D2517" s="87" t="str">
        <f>VLOOKUP(Tabela1[[#This Row],[Origem]], 'Perguntas 1 a 24'!$J$28:$K$34, 2, 0)</f>
        <v>Sudeste</v>
      </c>
      <c r="E2517" s="87" t="str">
        <f>Tabela1[[#This Row],[Descrição]]&amp;"-"&amp;Tabela1[[#This Row],[Código]]&amp;"/"&amp;Tabela1[[#This Row],[Origem]]</f>
        <v>Riretavuve-H678H478/SP</v>
      </c>
      <c r="F2517" s="88">
        <v>47002</v>
      </c>
      <c r="G2517" s="88" t="str" cm="1">
        <f t="array" ref="G25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AND(F2517&gt;= DATE(2026,1,1), F2517&lt;= DATE(2028, 12, 31), J2517&gt;50000), "Pendente e Caro", AND(F2517&gt;= DATE(2026,1,1), F2517&lt;= DATE(2028, 12, 31), J2517&lt;=50000), "Pendente", F2517&gt;= DATE(2029,1,1), "Não prioeitário")</f>
        <v>Pendente e Caro</v>
      </c>
      <c r="H2517" s="89">
        <f>YEAR(Tabela1[[#This Row],[Data de Validade]])</f>
        <v>2028</v>
      </c>
      <c r="I2517" s="89">
        <f>MONTH(Tabela1[[#This Row],[Data de Validade]])</f>
        <v>9</v>
      </c>
      <c r="J2517" s="101">
        <v>101000</v>
      </c>
      <c r="K2517" s="87" t="s">
        <v>11</v>
      </c>
      <c r="L2517" s="108"/>
      <c r="M2517" s="108"/>
      <c r="N2517" s="108" t="str">
        <v>H124P759</v>
      </c>
      <c r="O2517" s="108">
        <f t="shared" si="41"/>
        <v>1</v>
      </c>
      <c r="P2517" s="108"/>
      <c r="Q2517"/>
    </row>
    <row r="2518" spans="1:17" x14ac:dyDescent="0.25">
      <c r="A2518" s="89" t="s">
        <v>6564</v>
      </c>
      <c r="B2518" s="87" t="s">
        <v>6565</v>
      </c>
      <c r="C2518" s="87" t="s">
        <v>16</v>
      </c>
      <c r="D2518" s="87" t="str">
        <f>VLOOKUP(Tabela1[[#This Row],[Origem]], 'Perguntas 1 a 24'!$J$28:$K$34, 2, 0)</f>
        <v>Sudeste</v>
      </c>
      <c r="E2518" s="87" t="str">
        <f>Tabela1[[#This Row],[Descrição]]&amp;"-"&amp;Tabela1[[#This Row],[Código]]&amp;"/"&amp;Tabela1[[#This Row],[Origem]]</f>
        <v>Poderifa-H124P759/MG</v>
      </c>
      <c r="F2518" s="88">
        <v>47002</v>
      </c>
      <c r="G2518" s="88" t="str" cm="1">
        <f t="array" ref="G25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AND(F2518&gt;= DATE(2026,1,1), F2518&lt;= DATE(2028, 12, 31), J2518&gt;50000), "Pendente e Caro", AND(F2518&gt;= DATE(2026,1,1), F2518&lt;= DATE(2028, 12, 31), J2518&lt;=50000), "Pendente", F2518&gt;= DATE(2029,1,1), "Não prioeitário")</f>
        <v>Pendente e Caro</v>
      </c>
      <c r="H2518" s="89">
        <f>YEAR(Tabela1[[#This Row],[Data de Validade]])</f>
        <v>2028</v>
      </c>
      <c r="I2518" s="89">
        <f>MONTH(Tabela1[[#This Row],[Data de Validade]])</f>
        <v>9</v>
      </c>
      <c r="J2518" s="101">
        <v>78976</v>
      </c>
      <c r="K2518" s="87" t="s">
        <v>9</v>
      </c>
      <c r="L2518" s="108"/>
      <c r="M2518" s="108"/>
      <c r="N2518" s="108" t="str">
        <v>H172P866</v>
      </c>
      <c r="O2518" s="108">
        <f t="shared" si="41"/>
        <v>1</v>
      </c>
      <c r="P2518" s="108"/>
      <c r="Q2518"/>
    </row>
    <row r="2519" spans="1:17" x14ac:dyDescent="0.25">
      <c r="A2519" s="89" t="s">
        <v>6642</v>
      </c>
      <c r="B2519" s="87" t="s">
        <v>6643</v>
      </c>
      <c r="C2519" s="87" t="s">
        <v>8</v>
      </c>
      <c r="D2519" s="87" t="str">
        <f>VLOOKUP(Tabela1[[#This Row],[Origem]], 'Perguntas 1 a 24'!$J$28:$K$34, 2, 0)</f>
        <v>Nordeste</v>
      </c>
      <c r="E2519" s="87" t="str">
        <f>Tabela1[[#This Row],[Descrição]]&amp;"-"&amp;Tabela1[[#This Row],[Código]]&amp;"/"&amp;Tabela1[[#This Row],[Origem]]</f>
        <v>Rarinetoro-H172P866/AL</v>
      </c>
      <c r="F2519" s="88">
        <v>47002</v>
      </c>
      <c r="G2519" s="88" t="str" cm="1">
        <f t="array" ref="G25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AND(F2519&gt;= DATE(2026,1,1), F2519&lt;= DATE(2028, 12, 31), J2519&gt;50000), "Pendente e Caro", AND(F2519&gt;= DATE(2026,1,1), F2519&lt;= DATE(2028, 12, 31), J2519&lt;=50000), "Pendente", F2519&gt;= DATE(2029,1,1), "Não prioeitário")</f>
        <v>Pendente e Caro</v>
      </c>
      <c r="H2519" s="89">
        <f>YEAR(Tabela1[[#This Row],[Data de Validade]])</f>
        <v>2028</v>
      </c>
      <c r="I2519" s="89">
        <f>MONTH(Tabela1[[#This Row],[Data de Validade]])</f>
        <v>9</v>
      </c>
      <c r="J2519" s="101">
        <v>60595</v>
      </c>
      <c r="K2519" s="87" t="s">
        <v>11</v>
      </c>
      <c r="L2519" s="108"/>
      <c r="M2519" s="108"/>
      <c r="N2519" s="108" t="str">
        <v>H489H134</v>
      </c>
      <c r="O2519" s="108">
        <f t="shared" si="41"/>
        <v>1</v>
      </c>
      <c r="P2519" s="108"/>
      <c r="Q2519"/>
    </row>
    <row r="2520" spans="1:17" x14ac:dyDescent="0.25">
      <c r="A2520" s="89" t="s">
        <v>9963</v>
      </c>
      <c r="B2520" s="87" t="s">
        <v>9964</v>
      </c>
      <c r="C2520" s="87" t="s">
        <v>15</v>
      </c>
      <c r="D2520" s="87" t="str">
        <f>VLOOKUP(Tabela1[[#This Row],[Origem]], 'Perguntas 1 a 24'!$J$28:$K$34, 2, 0)</f>
        <v>Sudeste</v>
      </c>
      <c r="E2520" s="87" t="str">
        <f>Tabela1[[#This Row],[Descrição]]&amp;"-"&amp;Tabela1[[#This Row],[Código]]&amp;"/"&amp;Tabela1[[#This Row],[Origem]]</f>
        <v>Geputuga-H489H134/ES</v>
      </c>
      <c r="F2520" s="88">
        <v>47002</v>
      </c>
      <c r="G2520" s="88" t="str" cm="1">
        <f t="array" ref="G25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AND(F2520&gt;= DATE(2026,1,1), F2520&lt;= DATE(2028, 12, 31), J2520&gt;50000), "Pendente e Caro", AND(F2520&gt;= DATE(2026,1,1), F2520&lt;= DATE(2028, 12, 31), J2520&lt;=50000), "Pendente", F2520&gt;= DATE(2029,1,1), "Não prioeitário")</f>
        <v>Pendente</v>
      </c>
      <c r="H2520" s="89">
        <f>YEAR(Tabela1[[#This Row],[Data de Validade]])</f>
        <v>2028</v>
      </c>
      <c r="I2520" s="89">
        <f>MONTH(Tabela1[[#This Row],[Data de Validade]])</f>
        <v>9</v>
      </c>
      <c r="J2520" s="101">
        <v>35376</v>
      </c>
      <c r="K2520" s="87" t="s">
        <v>14</v>
      </c>
      <c r="L2520" s="108"/>
      <c r="M2520" s="108"/>
      <c r="N2520" s="108" t="str">
        <v>P278H964</v>
      </c>
      <c r="O2520" s="108">
        <f t="shared" si="41"/>
        <v>1</v>
      </c>
      <c r="P2520" s="108"/>
      <c r="Q2520"/>
    </row>
    <row r="2521" spans="1:17" x14ac:dyDescent="0.25">
      <c r="A2521" s="89" t="s">
        <v>4560</v>
      </c>
      <c r="B2521" s="87" t="s">
        <v>4561</v>
      </c>
      <c r="C2521" s="87" t="s">
        <v>13</v>
      </c>
      <c r="D2521" s="87" t="str">
        <f>VLOOKUP(Tabela1[[#This Row],[Origem]], 'Perguntas 1 a 24'!$J$28:$K$34, 2, 0)</f>
        <v>Sudeste</v>
      </c>
      <c r="E2521" s="87" t="str">
        <f>Tabela1[[#This Row],[Descrição]]&amp;"-"&amp;Tabela1[[#This Row],[Código]]&amp;"/"&amp;Tabela1[[#This Row],[Origem]]</f>
        <v>Rodononico-P278H964/SP</v>
      </c>
      <c r="F2521" s="88">
        <v>47003</v>
      </c>
      <c r="G2521" s="88" t="str" cm="1">
        <f t="array" ref="G25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AND(F2521&gt;= DATE(2026,1,1), F2521&lt;= DATE(2028, 12, 31), J2521&gt;50000), "Pendente e Caro", AND(F2521&gt;= DATE(2026,1,1), F2521&lt;= DATE(2028, 12, 31), J2521&lt;=50000), "Pendente", F2521&gt;= DATE(2029,1,1), "Não prioeitário")</f>
        <v>Pendente e Caro</v>
      </c>
      <c r="H2521" s="89">
        <f>YEAR(Tabela1[[#This Row],[Data de Validade]])</f>
        <v>2028</v>
      </c>
      <c r="I2521" s="89">
        <f>MONTH(Tabela1[[#This Row],[Data de Validade]])</f>
        <v>9</v>
      </c>
      <c r="J2521" s="101">
        <v>77030</v>
      </c>
      <c r="K2521" s="87" t="s">
        <v>9</v>
      </c>
      <c r="L2521" s="108"/>
      <c r="M2521" s="108"/>
      <c r="N2521" s="108" t="str">
        <v>H553P499</v>
      </c>
      <c r="O2521" s="108">
        <f t="shared" si="41"/>
        <v>1</v>
      </c>
      <c r="P2521" s="108"/>
      <c r="Q2521"/>
    </row>
    <row r="2522" spans="1:17" x14ac:dyDescent="0.25">
      <c r="A2522" s="89" t="s">
        <v>9839</v>
      </c>
      <c r="B2522" s="87" t="s">
        <v>9840</v>
      </c>
      <c r="C2522" s="87" t="s">
        <v>12</v>
      </c>
      <c r="D2522" s="87" t="str">
        <f>VLOOKUP(Tabela1[[#This Row],[Origem]], 'Perguntas 1 a 24'!$J$28:$K$34, 2, 0)</f>
        <v>Sudeste</v>
      </c>
      <c r="E2522" s="87" t="str">
        <f>Tabela1[[#This Row],[Descrição]]&amp;"-"&amp;Tabela1[[#This Row],[Código]]&amp;"/"&amp;Tabela1[[#This Row],[Origem]]</f>
        <v>Ciponuperi-H553P499/RJ</v>
      </c>
      <c r="F2522" s="88">
        <v>47003</v>
      </c>
      <c r="G2522" s="88" t="str" cm="1">
        <f t="array" ref="G25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AND(F2522&gt;= DATE(2026,1,1), F2522&lt;= DATE(2028, 12, 31), J2522&gt;50000), "Pendente e Caro", AND(F2522&gt;= DATE(2026,1,1), F2522&lt;= DATE(2028, 12, 31), J2522&lt;=50000), "Pendente", F2522&gt;= DATE(2029,1,1), "Não prioeitário")</f>
        <v>Pendente e Caro</v>
      </c>
      <c r="H2522" s="89">
        <f>YEAR(Tabela1[[#This Row],[Data de Validade]])</f>
        <v>2028</v>
      </c>
      <c r="I2522" s="89">
        <f>MONTH(Tabela1[[#This Row],[Data de Validade]])</f>
        <v>9</v>
      </c>
      <c r="J2522" s="101">
        <v>62702</v>
      </c>
      <c r="K2522" s="87" t="s">
        <v>9</v>
      </c>
      <c r="L2522" s="108"/>
      <c r="M2522" s="108"/>
      <c r="N2522" s="108" t="str">
        <v>H469P486</v>
      </c>
      <c r="O2522" s="108">
        <f t="shared" si="41"/>
        <v>1</v>
      </c>
      <c r="P2522" s="108"/>
      <c r="Q2522"/>
    </row>
    <row r="2523" spans="1:17" x14ac:dyDescent="0.25">
      <c r="A2523" s="89" t="s">
        <v>7224</v>
      </c>
      <c r="B2523" s="87" t="s">
        <v>7225</v>
      </c>
      <c r="C2523" s="87" t="s">
        <v>16</v>
      </c>
      <c r="D2523" s="87" t="str">
        <f>VLOOKUP(Tabela1[[#This Row],[Origem]], 'Perguntas 1 a 24'!$J$28:$K$34, 2, 0)</f>
        <v>Sudeste</v>
      </c>
      <c r="E2523" s="87" t="str">
        <f>Tabela1[[#This Row],[Descrição]]&amp;"-"&amp;Tabela1[[#This Row],[Código]]&amp;"/"&amp;Tabela1[[#This Row],[Origem]]</f>
        <v>Fopilama-H469P486/MG</v>
      </c>
      <c r="F2523" s="88">
        <v>47003</v>
      </c>
      <c r="G2523" s="88" t="str" cm="1">
        <f t="array" ref="G25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AND(F2523&gt;= DATE(2026,1,1), F2523&lt;= DATE(2028, 12, 31), J2523&gt;50000), "Pendente e Caro", AND(F2523&gt;= DATE(2026,1,1), F2523&lt;= DATE(2028, 12, 31), J2523&lt;=50000), "Pendente", F2523&gt;= DATE(2029,1,1), "Não prioeitário")</f>
        <v>Pendente e Caro</v>
      </c>
      <c r="H2523" s="89">
        <f>YEAR(Tabela1[[#This Row],[Data de Validade]])</f>
        <v>2028</v>
      </c>
      <c r="I2523" s="89">
        <f>MONTH(Tabela1[[#This Row],[Data de Validade]])</f>
        <v>9</v>
      </c>
      <c r="J2523" s="101">
        <v>52894</v>
      </c>
      <c r="K2523" s="87" t="s">
        <v>7</v>
      </c>
      <c r="L2523" s="108"/>
      <c r="M2523" s="108"/>
      <c r="N2523" s="108" t="str">
        <v>P451H347</v>
      </c>
      <c r="O2523" s="108">
        <f t="shared" si="41"/>
        <v>1</v>
      </c>
      <c r="P2523" s="108"/>
      <c r="Q2523"/>
    </row>
    <row r="2524" spans="1:17" x14ac:dyDescent="0.25">
      <c r="A2524" s="89" t="s">
        <v>8561</v>
      </c>
      <c r="B2524" s="87" t="s">
        <v>8562</v>
      </c>
      <c r="C2524" s="87" t="s">
        <v>6</v>
      </c>
      <c r="D2524" s="87" t="str">
        <f>VLOOKUP(Tabela1[[#This Row],[Origem]], 'Perguntas 1 a 24'!$J$28:$K$34, 2, 0)</f>
        <v>Nordeste</v>
      </c>
      <c r="E2524" s="87" t="str">
        <f>Tabela1[[#This Row],[Descrição]]&amp;"-"&amp;Tabela1[[#This Row],[Código]]&amp;"/"&amp;Tabela1[[#This Row],[Origem]]</f>
        <v>Rivonu-P451H347/MA</v>
      </c>
      <c r="F2524" s="88">
        <v>47005</v>
      </c>
      <c r="G2524" s="88" t="str" cm="1">
        <f t="array" ref="G25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AND(F2524&gt;= DATE(2026,1,1), F2524&lt;= DATE(2028, 12, 31), J2524&gt;50000), "Pendente e Caro", AND(F2524&gt;= DATE(2026,1,1), F2524&lt;= DATE(2028, 12, 31), J2524&lt;=50000), "Pendente", F2524&gt;= DATE(2029,1,1), "Não prioeitário")</f>
        <v>Pendente e Caro</v>
      </c>
      <c r="H2524" s="89">
        <f>YEAR(Tabela1[[#This Row],[Data de Validade]])</f>
        <v>2028</v>
      </c>
      <c r="I2524" s="89">
        <f>MONTH(Tabela1[[#This Row],[Data de Validade]])</f>
        <v>9</v>
      </c>
      <c r="J2524" s="101">
        <v>72576</v>
      </c>
      <c r="K2524" s="87" t="s">
        <v>9</v>
      </c>
      <c r="L2524" s="108"/>
      <c r="M2524" s="108"/>
      <c r="N2524" s="108" t="str">
        <v>H475P947</v>
      </c>
      <c r="O2524" s="108">
        <f t="shared" si="41"/>
        <v>1</v>
      </c>
      <c r="P2524" s="108"/>
      <c r="Q2524"/>
    </row>
    <row r="2525" spans="1:17" x14ac:dyDescent="0.25">
      <c r="A2525" s="89" t="s">
        <v>7346</v>
      </c>
      <c r="B2525" s="87" t="s">
        <v>7347</v>
      </c>
      <c r="C2525" s="87" t="s">
        <v>10</v>
      </c>
      <c r="D2525" s="87" t="str">
        <f>VLOOKUP(Tabela1[[#This Row],[Origem]], 'Perguntas 1 a 24'!$J$28:$K$34, 2, 0)</f>
        <v>Centro-Oeste</v>
      </c>
      <c r="E2525" s="87" t="str">
        <f>Tabela1[[#This Row],[Descrição]]&amp;"-"&amp;Tabela1[[#This Row],[Código]]&amp;"/"&amp;Tabela1[[#This Row],[Origem]]</f>
        <v>Nipapi-H475P947/GO</v>
      </c>
      <c r="F2525" s="88">
        <v>47006</v>
      </c>
      <c r="G2525" s="88" t="str" cm="1">
        <f t="array" ref="G25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AND(F2525&gt;= DATE(2026,1,1), F2525&lt;= DATE(2028, 12, 31), J2525&gt;50000), "Pendente e Caro", AND(F2525&gt;= DATE(2026,1,1), F2525&lt;= DATE(2028, 12, 31), J2525&lt;=50000), "Pendente", F2525&gt;= DATE(2029,1,1), "Não prioeitário")</f>
        <v>Pendente e Caro</v>
      </c>
      <c r="H2525" s="89">
        <f>YEAR(Tabela1[[#This Row],[Data de Validade]])</f>
        <v>2028</v>
      </c>
      <c r="I2525" s="89">
        <f>MONTH(Tabela1[[#This Row],[Data de Validade]])</f>
        <v>9</v>
      </c>
      <c r="J2525" s="101">
        <v>53462</v>
      </c>
      <c r="K2525" s="87" t="s">
        <v>14</v>
      </c>
      <c r="L2525" s="108"/>
      <c r="M2525" s="108"/>
      <c r="N2525" s="108" t="str">
        <v>H897H766</v>
      </c>
      <c r="O2525" s="108">
        <f t="shared" si="41"/>
        <v>1</v>
      </c>
      <c r="P2525" s="108"/>
      <c r="Q2525"/>
    </row>
    <row r="2526" spans="1:17" x14ac:dyDescent="0.25">
      <c r="A2526" s="89" t="s">
        <v>3774</v>
      </c>
      <c r="B2526" s="87" t="s">
        <v>3775</v>
      </c>
      <c r="C2526" s="87" t="s">
        <v>10</v>
      </c>
      <c r="D2526" s="87" t="str">
        <f>VLOOKUP(Tabela1[[#This Row],[Origem]], 'Perguntas 1 a 24'!$J$28:$K$34, 2, 0)</f>
        <v>Centro-Oeste</v>
      </c>
      <c r="E2526" s="87" t="str">
        <f>Tabela1[[#This Row],[Descrição]]&amp;"-"&amp;Tabela1[[#This Row],[Código]]&amp;"/"&amp;Tabela1[[#This Row],[Origem]]</f>
        <v>Dedarunage-H897H766/GO</v>
      </c>
      <c r="F2526" s="88">
        <v>47007</v>
      </c>
      <c r="G2526" s="88" t="str" cm="1">
        <f t="array" ref="G25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AND(F2526&gt;= DATE(2026,1,1), F2526&lt;= DATE(2028, 12, 31), J2526&gt;50000), "Pendente e Caro", AND(F2526&gt;= DATE(2026,1,1), F2526&lt;= DATE(2028, 12, 31), J2526&lt;=50000), "Pendente", F2526&gt;= DATE(2029,1,1), "Não prioeitário")</f>
        <v>Pendente e Caro</v>
      </c>
      <c r="H2526" s="89">
        <f>YEAR(Tabela1[[#This Row],[Data de Validade]])</f>
        <v>2028</v>
      </c>
      <c r="I2526" s="89">
        <f>MONTH(Tabela1[[#This Row],[Data de Validade]])</f>
        <v>9</v>
      </c>
      <c r="J2526" s="101">
        <v>112363</v>
      </c>
      <c r="K2526" s="87" t="s">
        <v>11</v>
      </c>
      <c r="L2526" s="108"/>
      <c r="M2526" s="108"/>
      <c r="N2526" s="108" t="str">
        <v>P447P415</v>
      </c>
      <c r="O2526" s="108">
        <f t="shared" si="41"/>
        <v>1</v>
      </c>
      <c r="P2526" s="108"/>
      <c r="Q2526"/>
    </row>
    <row r="2527" spans="1:17" x14ac:dyDescent="0.25">
      <c r="A2527" s="89" t="s">
        <v>10845</v>
      </c>
      <c r="B2527" s="87" t="s">
        <v>10846</v>
      </c>
      <c r="C2527" s="87" t="s">
        <v>8</v>
      </c>
      <c r="D2527" s="87" t="str">
        <f>VLOOKUP(Tabela1[[#This Row],[Origem]], 'Perguntas 1 a 24'!$J$28:$K$34, 2, 0)</f>
        <v>Nordeste</v>
      </c>
      <c r="E2527" s="87" t="str">
        <f>Tabela1[[#This Row],[Descrição]]&amp;"-"&amp;Tabela1[[#This Row],[Código]]&amp;"/"&amp;Tabela1[[#This Row],[Origem]]</f>
        <v>Fanadaticu-P447P415/AL</v>
      </c>
      <c r="F2527" s="88">
        <v>47007</v>
      </c>
      <c r="G2527" s="88" t="str" cm="1">
        <f t="array" ref="G25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AND(F2527&gt;= DATE(2026,1,1), F2527&lt;= DATE(2028, 12, 31), J2527&gt;50000), "Pendente e Caro", AND(F2527&gt;= DATE(2026,1,1), F2527&lt;= DATE(2028, 12, 31), J2527&lt;=50000), "Pendente", F2527&gt;= DATE(2029,1,1), "Não prioeitário")</f>
        <v>Pendente</v>
      </c>
      <c r="H2527" s="89">
        <f>YEAR(Tabela1[[#This Row],[Data de Validade]])</f>
        <v>2028</v>
      </c>
      <c r="I2527" s="89">
        <f>MONTH(Tabela1[[#This Row],[Data de Validade]])</f>
        <v>9</v>
      </c>
      <c r="J2527" s="101">
        <v>41331</v>
      </c>
      <c r="K2527" s="87" t="s">
        <v>11</v>
      </c>
      <c r="L2527" s="108"/>
      <c r="M2527" s="108"/>
      <c r="N2527" s="108" t="str">
        <v>H767H758</v>
      </c>
      <c r="O2527" s="108">
        <f t="shared" si="41"/>
        <v>1</v>
      </c>
      <c r="P2527" s="108"/>
      <c r="Q2527"/>
    </row>
    <row r="2528" spans="1:17" x14ac:dyDescent="0.25">
      <c r="A2528" s="89" t="s">
        <v>10377</v>
      </c>
      <c r="B2528" s="87" t="s">
        <v>10378</v>
      </c>
      <c r="C2528" s="87" t="s">
        <v>8</v>
      </c>
      <c r="D2528" s="87" t="str">
        <f>VLOOKUP(Tabela1[[#This Row],[Origem]], 'Perguntas 1 a 24'!$J$28:$K$34, 2, 0)</f>
        <v>Nordeste</v>
      </c>
      <c r="E2528" s="87" t="str">
        <f>Tabela1[[#This Row],[Descrição]]&amp;"-"&amp;Tabela1[[#This Row],[Código]]&amp;"/"&amp;Tabela1[[#This Row],[Origem]]</f>
        <v>Digatolupe-H767H758/AL</v>
      </c>
      <c r="F2528" s="88">
        <v>47007</v>
      </c>
      <c r="G2528" s="88" t="str" cm="1">
        <f t="array" ref="G25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AND(F2528&gt;= DATE(2026,1,1), F2528&lt;= DATE(2028, 12, 31), J2528&gt;50000), "Pendente e Caro", AND(F2528&gt;= DATE(2026,1,1), F2528&lt;= DATE(2028, 12, 31), J2528&lt;=50000), "Pendente", F2528&gt;= DATE(2029,1,1), "Não prioeitário")</f>
        <v>Pendente</v>
      </c>
      <c r="H2528" s="89">
        <f>YEAR(Tabela1[[#This Row],[Data de Validade]])</f>
        <v>2028</v>
      </c>
      <c r="I2528" s="89">
        <f>MONTH(Tabela1[[#This Row],[Data de Validade]])</f>
        <v>9</v>
      </c>
      <c r="J2528" s="101">
        <v>26127</v>
      </c>
      <c r="K2528" s="87" t="s">
        <v>11</v>
      </c>
      <c r="L2528" s="108"/>
      <c r="M2528" s="108"/>
      <c r="N2528" s="108" t="str">
        <v>H949P319</v>
      </c>
      <c r="O2528" s="108">
        <f t="shared" si="41"/>
        <v>1</v>
      </c>
      <c r="P2528" s="108"/>
      <c r="Q2528"/>
    </row>
    <row r="2529" spans="1:17" x14ac:dyDescent="0.25">
      <c r="A2529" s="89" t="s">
        <v>10671</v>
      </c>
      <c r="B2529" s="87" t="s">
        <v>10672</v>
      </c>
      <c r="C2529" s="87" t="s">
        <v>10</v>
      </c>
      <c r="D2529" s="87" t="str">
        <f>VLOOKUP(Tabela1[[#This Row],[Origem]], 'Perguntas 1 a 24'!$J$28:$K$34, 2, 0)</f>
        <v>Centro-Oeste</v>
      </c>
      <c r="E2529" s="87" t="str">
        <f>Tabela1[[#This Row],[Descrição]]&amp;"-"&amp;Tabela1[[#This Row],[Código]]&amp;"/"&amp;Tabela1[[#This Row],[Origem]]</f>
        <v>Ritaperuno-H949P319/GO</v>
      </c>
      <c r="F2529" s="88">
        <v>47008</v>
      </c>
      <c r="G2529" s="88" t="str" cm="1">
        <f t="array" ref="G25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AND(F2529&gt;= DATE(2026,1,1), F2529&lt;= DATE(2028, 12, 31), J2529&gt;50000), "Pendente e Caro", AND(F2529&gt;= DATE(2026,1,1), F2529&lt;= DATE(2028, 12, 31), J2529&lt;=50000), "Pendente", F2529&gt;= DATE(2029,1,1), "Não prioeitário")</f>
        <v>Pendente e Caro</v>
      </c>
      <c r="H2529" s="89">
        <f>YEAR(Tabela1[[#This Row],[Data de Validade]])</f>
        <v>2028</v>
      </c>
      <c r="I2529" s="89">
        <f>MONTH(Tabela1[[#This Row],[Data de Validade]])</f>
        <v>9</v>
      </c>
      <c r="J2529" s="101">
        <v>96730</v>
      </c>
      <c r="K2529" s="87" t="s">
        <v>7</v>
      </c>
      <c r="L2529" s="108"/>
      <c r="M2529" s="108"/>
      <c r="N2529" s="108" t="str">
        <v>P486P879</v>
      </c>
      <c r="O2529" s="108">
        <f t="shared" si="41"/>
        <v>1</v>
      </c>
      <c r="P2529" s="108"/>
      <c r="Q2529"/>
    </row>
    <row r="2530" spans="1:17" x14ac:dyDescent="0.25">
      <c r="A2530" s="89" t="s">
        <v>4429</v>
      </c>
      <c r="B2530" s="87" t="s">
        <v>4430</v>
      </c>
      <c r="C2530" s="87" t="s">
        <v>6</v>
      </c>
      <c r="D2530" s="87" t="str">
        <f>VLOOKUP(Tabela1[[#This Row],[Origem]], 'Perguntas 1 a 24'!$J$28:$K$34, 2, 0)</f>
        <v>Nordeste</v>
      </c>
      <c r="E2530" s="87" t="str">
        <f>Tabela1[[#This Row],[Descrição]]&amp;"-"&amp;Tabela1[[#This Row],[Código]]&amp;"/"&amp;Tabela1[[#This Row],[Origem]]</f>
        <v>Rilidafe-P486P879/MA</v>
      </c>
      <c r="F2530" s="88">
        <v>47008</v>
      </c>
      <c r="G2530" s="88" t="str" cm="1">
        <f t="array" ref="G25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AND(F2530&gt;= DATE(2026,1,1), F2530&lt;= DATE(2028, 12, 31), J2530&gt;50000), "Pendente e Caro", AND(F2530&gt;= DATE(2026,1,1), F2530&lt;= DATE(2028, 12, 31), J2530&lt;=50000), "Pendente", F2530&gt;= DATE(2029,1,1), "Não prioeitário")</f>
        <v>Pendente e Caro</v>
      </c>
      <c r="H2530" s="89">
        <f>YEAR(Tabela1[[#This Row],[Data de Validade]])</f>
        <v>2028</v>
      </c>
      <c r="I2530" s="89">
        <f>MONTH(Tabela1[[#This Row],[Data de Validade]])</f>
        <v>9</v>
      </c>
      <c r="J2530" s="101">
        <v>65661</v>
      </c>
      <c r="K2530" s="87" t="s">
        <v>11</v>
      </c>
      <c r="L2530" s="108"/>
      <c r="M2530" s="108"/>
      <c r="N2530" s="108" t="str">
        <v>P927H173</v>
      </c>
      <c r="O2530" s="108">
        <f t="shared" si="41"/>
        <v>1</v>
      </c>
      <c r="P2530" s="108"/>
      <c r="Q2530"/>
    </row>
    <row r="2531" spans="1:17" x14ac:dyDescent="0.25">
      <c r="A2531" s="89" t="s">
        <v>9693</v>
      </c>
      <c r="B2531" s="87" t="s">
        <v>9694</v>
      </c>
      <c r="C2531" s="87" t="s">
        <v>8</v>
      </c>
      <c r="D2531" s="87" t="str">
        <f>VLOOKUP(Tabela1[[#This Row],[Origem]], 'Perguntas 1 a 24'!$J$28:$K$34, 2, 0)</f>
        <v>Nordeste</v>
      </c>
      <c r="E2531" s="87" t="str">
        <f>Tabela1[[#This Row],[Descrição]]&amp;"-"&amp;Tabela1[[#This Row],[Código]]&amp;"/"&amp;Tabela1[[#This Row],[Origem]]</f>
        <v>Pifavu-P927H173/AL</v>
      </c>
      <c r="F2531" s="88">
        <v>47008</v>
      </c>
      <c r="G2531" s="88" t="str" cm="1">
        <f t="array" ref="G25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AND(F2531&gt;= DATE(2026,1,1), F2531&lt;= DATE(2028, 12, 31), J2531&gt;50000), "Pendente e Caro", AND(F2531&gt;= DATE(2026,1,1), F2531&lt;= DATE(2028, 12, 31), J2531&lt;=50000), "Pendente", F2531&gt;= DATE(2029,1,1), "Não prioeitário")</f>
        <v>Pendente</v>
      </c>
      <c r="H2531" s="89">
        <f>YEAR(Tabela1[[#This Row],[Data de Validade]])</f>
        <v>2028</v>
      </c>
      <c r="I2531" s="89">
        <f>MONTH(Tabela1[[#This Row],[Data de Validade]])</f>
        <v>9</v>
      </c>
      <c r="J2531" s="101">
        <v>32470</v>
      </c>
      <c r="K2531" s="87" t="s">
        <v>9</v>
      </c>
      <c r="L2531" s="108"/>
      <c r="M2531" s="108"/>
      <c r="N2531" s="108" t="str">
        <v>P888H478</v>
      </c>
      <c r="O2531" s="108">
        <f t="shared" si="41"/>
        <v>1</v>
      </c>
      <c r="P2531" s="108"/>
      <c r="Q2531"/>
    </row>
    <row r="2532" spans="1:17" x14ac:dyDescent="0.25">
      <c r="A2532" s="89" t="s">
        <v>7144</v>
      </c>
      <c r="B2532" s="87" t="s">
        <v>7145</v>
      </c>
      <c r="C2532" s="87" t="s">
        <v>16</v>
      </c>
      <c r="D2532" s="87" t="str">
        <f>VLOOKUP(Tabela1[[#This Row],[Origem]], 'Perguntas 1 a 24'!$J$28:$K$34, 2, 0)</f>
        <v>Sudeste</v>
      </c>
      <c r="E2532" s="87" t="str">
        <f>Tabela1[[#This Row],[Descrição]]&amp;"-"&amp;Tabela1[[#This Row],[Código]]&amp;"/"&amp;Tabela1[[#This Row],[Origem]]</f>
        <v>Nanalatu-P888H478/MG</v>
      </c>
      <c r="F2532" s="88">
        <v>47009</v>
      </c>
      <c r="G2532" s="88" t="str" cm="1">
        <f t="array" ref="G25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AND(F2532&gt;= DATE(2026,1,1), F2532&lt;= DATE(2028, 12, 31), J2532&gt;50000), "Pendente e Caro", AND(F2532&gt;= DATE(2026,1,1), F2532&lt;= DATE(2028, 12, 31), J2532&lt;=50000), "Pendente", F2532&gt;= DATE(2029,1,1), "Não prioeitário")</f>
        <v>Pendente e Caro</v>
      </c>
      <c r="H2532" s="89">
        <f>YEAR(Tabela1[[#This Row],[Data de Validade]])</f>
        <v>2028</v>
      </c>
      <c r="I2532" s="89">
        <f>MONTH(Tabela1[[#This Row],[Data de Validade]])</f>
        <v>9</v>
      </c>
      <c r="J2532" s="101">
        <v>110231</v>
      </c>
      <c r="K2532" s="87" t="s">
        <v>14</v>
      </c>
      <c r="L2532" s="108"/>
      <c r="M2532" s="108"/>
      <c r="N2532" s="108" t="str">
        <v>P188H516</v>
      </c>
      <c r="O2532" s="108">
        <f t="shared" si="41"/>
        <v>1</v>
      </c>
      <c r="P2532" s="108"/>
      <c r="Q2532"/>
    </row>
    <row r="2533" spans="1:17" x14ac:dyDescent="0.25">
      <c r="A2533" s="89" t="s">
        <v>8967</v>
      </c>
      <c r="B2533" s="87" t="s">
        <v>8968</v>
      </c>
      <c r="C2533" s="87" t="s">
        <v>15</v>
      </c>
      <c r="D2533" s="87" t="str">
        <f>VLOOKUP(Tabela1[[#This Row],[Origem]], 'Perguntas 1 a 24'!$J$28:$K$34, 2, 0)</f>
        <v>Sudeste</v>
      </c>
      <c r="E2533" s="87" t="str">
        <f>Tabela1[[#This Row],[Descrição]]&amp;"-"&amp;Tabela1[[#This Row],[Código]]&amp;"/"&amp;Tabela1[[#This Row],[Origem]]</f>
        <v>Diteteteto-P188H516/ES</v>
      </c>
      <c r="F2533" s="88">
        <v>47009</v>
      </c>
      <c r="G2533" s="88" t="str" cm="1">
        <f t="array" ref="G25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AND(F2533&gt;= DATE(2026,1,1), F2533&lt;= DATE(2028, 12, 31), J2533&gt;50000), "Pendente e Caro", AND(F2533&gt;= DATE(2026,1,1), F2533&lt;= DATE(2028, 12, 31), J2533&lt;=50000), "Pendente", F2533&gt;= DATE(2029,1,1), "Não prioeitário")</f>
        <v>Pendente e Caro</v>
      </c>
      <c r="H2533" s="89">
        <f>YEAR(Tabela1[[#This Row],[Data de Validade]])</f>
        <v>2028</v>
      </c>
      <c r="I2533" s="89">
        <f>MONTH(Tabela1[[#This Row],[Data de Validade]])</f>
        <v>9</v>
      </c>
      <c r="J2533" s="101">
        <v>71082</v>
      </c>
      <c r="K2533" s="87" t="s">
        <v>9</v>
      </c>
      <c r="L2533" s="108"/>
      <c r="M2533" s="108"/>
      <c r="N2533" s="108" t="str">
        <v>P544P677</v>
      </c>
      <c r="O2533" s="108">
        <f t="shared" si="41"/>
        <v>1</v>
      </c>
      <c r="P2533" s="108"/>
      <c r="Q2533"/>
    </row>
    <row r="2534" spans="1:17" x14ac:dyDescent="0.25">
      <c r="A2534" s="89" t="s">
        <v>9067</v>
      </c>
      <c r="B2534" s="87" t="s">
        <v>9068</v>
      </c>
      <c r="C2534" s="87" t="s">
        <v>13</v>
      </c>
      <c r="D2534" s="87" t="str">
        <f>VLOOKUP(Tabela1[[#This Row],[Origem]], 'Perguntas 1 a 24'!$J$28:$K$34, 2, 0)</f>
        <v>Sudeste</v>
      </c>
      <c r="E2534" s="87" t="str">
        <f>Tabela1[[#This Row],[Descrição]]&amp;"-"&amp;Tabela1[[#This Row],[Código]]&amp;"/"&amp;Tabela1[[#This Row],[Origem]]</f>
        <v>Tulirona-P544P677/SP</v>
      </c>
      <c r="F2534" s="88">
        <v>47009</v>
      </c>
      <c r="G2534" s="88" t="str" cm="1">
        <f t="array" ref="G25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AND(F2534&gt;= DATE(2026,1,1), F2534&lt;= DATE(2028, 12, 31), J2534&gt;50000), "Pendente e Caro", AND(F2534&gt;= DATE(2026,1,1), F2534&lt;= DATE(2028, 12, 31), J2534&lt;=50000), "Pendente", F2534&gt;= DATE(2029,1,1), "Não prioeitário")</f>
        <v>Pendente e Caro</v>
      </c>
      <c r="H2534" s="89">
        <f>YEAR(Tabela1[[#This Row],[Data de Validade]])</f>
        <v>2028</v>
      </c>
      <c r="I2534" s="89">
        <f>MONTH(Tabela1[[#This Row],[Data de Validade]])</f>
        <v>9</v>
      </c>
      <c r="J2534" s="101">
        <v>61478</v>
      </c>
      <c r="K2534" s="87" t="s">
        <v>9</v>
      </c>
      <c r="L2534" s="108"/>
      <c r="M2534" s="108"/>
      <c r="N2534" s="108" t="str">
        <v>H884H715</v>
      </c>
      <c r="O2534" s="108">
        <f t="shared" si="41"/>
        <v>1</v>
      </c>
      <c r="P2534" s="108"/>
      <c r="Q2534"/>
    </row>
    <row r="2535" spans="1:17" x14ac:dyDescent="0.25">
      <c r="A2535" s="89" t="s">
        <v>9343</v>
      </c>
      <c r="B2535" s="87" t="s">
        <v>9344</v>
      </c>
      <c r="C2535" s="87" t="s">
        <v>16</v>
      </c>
      <c r="D2535" s="87" t="str">
        <f>VLOOKUP(Tabela1[[#This Row],[Origem]], 'Perguntas 1 a 24'!$J$28:$K$34, 2, 0)</f>
        <v>Sudeste</v>
      </c>
      <c r="E2535" s="87" t="str">
        <f>Tabela1[[#This Row],[Descrição]]&amp;"-"&amp;Tabela1[[#This Row],[Código]]&amp;"/"&amp;Tabela1[[#This Row],[Origem]]</f>
        <v>Revugefemu-H884H715/MG</v>
      </c>
      <c r="F2535" s="88">
        <v>47009</v>
      </c>
      <c r="G2535" s="88" t="str" cm="1">
        <f t="array" ref="G25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AND(F2535&gt;= DATE(2026,1,1), F2535&lt;= DATE(2028, 12, 31), J2535&gt;50000), "Pendente e Caro", AND(F2535&gt;= DATE(2026,1,1), F2535&lt;= DATE(2028, 12, 31), J2535&lt;=50000), "Pendente", F2535&gt;= DATE(2029,1,1), "Não prioeitário")</f>
        <v>Pendente</v>
      </c>
      <c r="H2535" s="89">
        <f>YEAR(Tabela1[[#This Row],[Data de Validade]])</f>
        <v>2028</v>
      </c>
      <c r="I2535" s="89">
        <f>MONTH(Tabela1[[#This Row],[Data de Validade]])</f>
        <v>9</v>
      </c>
      <c r="J2535" s="101">
        <v>25857</v>
      </c>
      <c r="K2535" s="87" t="s">
        <v>9</v>
      </c>
      <c r="L2535" s="108"/>
      <c r="M2535" s="108"/>
      <c r="N2535" s="108" t="str">
        <v>H579H719</v>
      </c>
      <c r="O2535" s="108">
        <f t="shared" si="41"/>
        <v>1</v>
      </c>
      <c r="P2535" s="108"/>
      <c r="Q2535"/>
    </row>
    <row r="2536" spans="1:17" x14ac:dyDescent="0.25">
      <c r="A2536" s="89" t="s">
        <v>7886</v>
      </c>
      <c r="B2536" s="87" t="s">
        <v>7887</v>
      </c>
      <c r="C2536" s="87" t="s">
        <v>16</v>
      </c>
      <c r="D2536" s="87" t="str">
        <f>VLOOKUP(Tabela1[[#This Row],[Origem]], 'Perguntas 1 a 24'!$J$28:$K$34, 2, 0)</f>
        <v>Sudeste</v>
      </c>
      <c r="E2536" s="87" t="str">
        <f>Tabela1[[#This Row],[Descrição]]&amp;"-"&amp;Tabela1[[#This Row],[Código]]&amp;"/"&amp;Tabela1[[#This Row],[Origem]]</f>
        <v>Giroto-H579H719/MG</v>
      </c>
      <c r="F2536" s="88">
        <v>47010</v>
      </c>
      <c r="G2536" s="88" t="str" cm="1">
        <f t="array" ref="G25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AND(F2536&gt;= DATE(2026,1,1), F2536&lt;= DATE(2028, 12, 31), J2536&gt;50000), "Pendente e Caro", AND(F2536&gt;= DATE(2026,1,1), F2536&lt;= DATE(2028, 12, 31), J2536&lt;=50000), "Pendente", F2536&gt;= DATE(2029,1,1), "Não prioeitário")</f>
        <v>Pendente e Caro</v>
      </c>
      <c r="H2536" s="89">
        <f>YEAR(Tabela1[[#This Row],[Data de Validade]])</f>
        <v>2028</v>
      </c>
      <c r="I2536" s="89">
        <f>MONTH(Tabela1[[#This Row],[Data de Validade]])</f>
        <v>9</v>
      </c>
      <c r="J2536" s="101">
        <v>112695</v>
      </c>
      <c r="K2536" s="87" t="s">
        <v>7</v>
      </c>
      <c r="L2536" s="108"/>
      <c r="M2536" s="108"/>
      <c r="N2536" s="108" t="str">
        <v>P697H123</v>
      </c>
      <c r="O2536" s="108">
        <f t="shared" si="41"/>
        <v>1</v>
      </c>
      <c r="P2536" s="108"/>
      <c r="Q2536"/>
    </row>
    <row r="2537" spans="1:17" x14ac:dyDescent="0.25">
      <c r="A2537" s="89" t="s">
        <v>10529</v>
      </c>
      <c r="B2537" s="87" t="s">
        <v>10530</v>
      </c>
      <c r="C2537" s="87" t="s">
        <v>16</v>
      </c>
      <c r="D2537" s="87" t="str">
        <f>VLOOKUP(Tabela1[[#This Row],[Origem]], 'Perguntas 1 a 24'!$J$28:$K$34, 2, 0)</f>
        <v>Sudeste</v>
      </c>
      <c r="E2537" s="87" t="str">
        <f>Tabela1[[#This Row],[Descrição]]&amp;"-"&amp;Tabela1[[#This Row],[Código]]&amp;"/"&amp;Tabela1[[#This Row],[Origem]]</f>
        <v>Vunamote-P697H123/MG</v>
      </c>
      <c r="F2537" s="88">
        <v>47010</v>
      </c>
      <c r="G2537" s="88" t="str" cm="1">
        <f t="array" ref="G25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AND(F2537&gt;= DATE(2026,1,1), F2537&lt;= DATE(2028, 12, 31), J2537&gt;50000), "Pendente e Caro", AND(F2537&gt;= DATE(2026,1,1), F2537&lt;= DATE(2028, 12, 31), J2537&lt;=50000), "Pendente", F2537&gt;= DATE(2029,1,1), "Não prioeitário")</f>
        <v>Pendente e Caro</v>
      </c>
      <c r="H2537" s="89">
        <f>YEAR(Tabela1[[#This Row],[Data de Validade]])</f>
        <v>2028</v>
      </c>
      <c r="I2537" s="89">
        <f>MONTH(Tabela1[[#This Row],[Data de Validade]])</f>
        <v>9</v>
      </c>
      <c r="J2537" s="101">
        <v>58913</v>
      </c>
      <c r="K2537" s="87" t="s">
        <v>14</v>
      </c>
      <c r="L2537" s="108"/>
      <c r="M2537" s="108"/>
      <c r="N2537" s="108" t="str">
        <v>H626P628</v>
      </c>
      <c r="O2537" s="108">
        <f t="shared" si="41"/>
        <v>1</v>
      </c>
      <c r="P2537" s="108"/>
      <c r="Q2537"/>
    </row>
    <row r="2538" spans="1:17" x14ac:dyDescent="0.25">
      <c r="A2538" s="89" t="s">
        <v>9671</v>
      </c>
      <c r="B2538" s="87" t="s">
        <v>9672</v>
      </c>
      <c r="C2538" s="87" t="s">
        <v>10</v>
      </c>
      <c r="D2538" s="87" t="str">
        <f>VLOOKUP(Tabela1[[#This Row],[Origem]], 'Perguntas 1 a 24'!$J$28:$K$34, 2, 0)</f>
        <v>Centro-Oeste</v>
      </c>
      <c r="E2538" s="87" t="str">
        <f>Tabela1[[#This Row],[Descrição]]&amp;"-"&amp;Tabela1[[#This Row],[Código]]&amp;"/"&amp;Tabela1[[#This Row],[Origem]]</f>
        <v>Lotapece-H626P628/GO</v>
      </c>
      <c r="F2538" s="88">
        <v>47011</v>
      </c>
      <c r="G2538" s="88" t="str" cm="1">
        <f t="array" ref="G25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AND(F2538&gt;= DATE(2026,1,1), F2538&lt;= DATE(2028, 12, 31), J2538&gt;50000), "Pendente e Caro", AND(F2538&gt;= DATE(2026,1,1), F2538&lt;= DATE(2028, 12, 31), J2538&lt;=50000), "Pendente", F2538&gt;= DATE(2029,1,1), "Não prioeitário")</f>
        <v>Pendente e Caro</v>
      </c>
      <c r="H2538" s="89">
        <f>YEAR(Tabela1[[#This Row],[Data de Validade]])</f>
        <v>2028</v>
      </c>
      <c r="I2538" s="89">
        <f>MONTH(Tabela1[[#This Row],[Data de Validade]])</f>
        <v>9</v>
      </c>
      <c r="J2538" s="101">
        <v>96762</v>
      </c>
      <c r="K2538" s="87" t="s">
        <v>9</v>
      </c>
      <c r="L2538" s="108"/>
      <c r="M2538" s="108"/>
      <c r="N2538" s="108" t="str">
        <v>P336H243</v>
      </c>
      <c r="O2538" s="108">
        <f t="shared" si="41"/>
        <v>1</v>
      </c>
      <c r="P2538" s="108"/>
      <c r="Q2538"/>
    </row>
    <row r="2539" spans="1:17" x14ac:dyDescent="0.25">
      <c r="A2539" s="89" t="s">
        <v>7092</v>
      </c>
      <c r="B2539" s="87" t="s">
        <v>7093</v>
      </c>
      <c r="C2539" s="87" t="s">
        <v>12</v>
      </c>
      <c r="D2539" s="87" t="str">
        <f>VLOOKUP(Tabela1[[#This Row],[Origem]], 'Perguntas 1 a 24'!$J$28:$K$34, 2, 0)</f>
        <v>Sudeste</v>
      </c>
      <c r="E2539" s="87" t="str">
        <f>Tabela1[[#This Row],[Descrição]]&amp;"-"&amp;Tabela1[[#This Row],[Código]]&amp;"/"&amp;Tabela1[[#This Row],[Origem]]</f>
        <v>Rudiruna-P336H243/RJ</v>
      </c>
      <c r="F2539" s="88">
        <v>47011</v>
      </c>
      <c r="G2539" s="88" t="str" cm="1">
        <f t="array" ref="G25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AND(F2539&gt;= DATE(2026,1,1), F2539&lt;= DATE(2028, 12, 31), J2539&gt;50000), "Pendente e Caro", AND(F2539&gt;= DATE(2026,1,1), F2539&lt;= DATE(2028, 12, 31), J2539&lt;=50000), "Pendente", F2539&gt;= DATE(2029,1,1), "Não prioeitário")</f>
        <v>Pendente e Caro</v>
      </c>
      <c r="H2539" s="89">
        <f>YEAR(Tabela1[[#This Row],[Data de Validade]])</f>
        <v>2028</v>
      </c>
      <c r="I2539" s="89">
        <f>MONTH(Tabela1[[#This Row],[Data de Validade]])</f>
        <v>9</v>
      </c>
      <c r="J2539" s="101">
        <v>55519</v>
      </c>
      <c r="K2539" s="87" t="s">
        <v>7</v>
      </c>
      <c r="L2539" s="108"/>
      <c r="M2539" s="108"/>
      <c r="N2539" s="108" t="str">
        <v>H527P991</v>
      </c>
      <c r="O2539" s="108">
        <f t="shared" si="41"/>
        <v>1</v>
      </c>
      <c r="P2539" s="108"/>
      <c r="Q2539"/>
    </row>
    <row r="2540" spans="1:17" x14ac:dyDescent="0.25">
      <c r="A2540" s="89" t="s">
        <v>9691</v>
      </c>
      <c r="B2540" s="87" t="s">
        <v>9692</v>
      </c>
      <c r="C2540" s="87" t="s">
        <v>10</v>
      </c>
      <c r="D2540" s="87" t="str">
        <f>VLOOKUP(Tabela1[[#This Row],[Origem]], 'Perguntas 1 a 24'!$J$28:$K$34, 2, 0)</f>
        <v>Centro-Oeste</v>
      </c>
      <c r="E2540" s="87" t="str">
        <f>Tabela1[[#This Row],[Descrição]]&amp;"-"&amp;Tabela1[[#This Row],[Código]]&amp;"/"&amp;Tabela1[[#This Row],[Origem]]</f>
        <v>Rutore-H527P991/GO</v>
      </c>
      <c r="F2540" s="88">
        <v>47011</v>
      </c>
      <c r="G2540" s="88" t="str" cm="1">
        <f t="array" ref="G25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AND(F2540&gt;= DATE(2026,1,1), F2540&lt;= DATE(2028, 12, 31), J2540&gt;50000), "Pendente e Caro", AND(F2540&gt;= DATE(2026,1,1), F2540&lt;= DATE(2028, 12, 31), J2540&lt;=50000), "Pendente", F2540&gt;= DATE(2029,1,1), "Não prioeitário")</f>
        <v>Pendente</v>
      </c>
      <c r="H2540" s="89">
        <f>YEAR(Tabela1[[#This Row],[Data de Validade]])</f>
        <v>2028</v>
      </c>
      <c r="I2540" s="89">
        <f>MONTH(Tabela1[[#This Row],[Data de Validade]])</f>
        <v>9</v>
      </c>
      <c r="J2540" s="101">
        <v>38624</v>
      </c>
      <c r="K2540" s="87" t="s">
        <v>9</v>
      </c>
      <c r="L2540" s="108"/>
      <c r="M2540" s="108"/>
      <c r="N2540" s="108" t="str">
        <v>H139P678</v>
      </c>
      <c r="O2540" s="108">
        <f t="shared" si="41"/>
        <v>1</v>
      </c>
      <c r="P2540" s="108"/>
      <c r="Q2540"/>
    </row>
    <row r="2541" spans="1:17" x14ac:dyDescent="0.25">
      <c r="A2541" s="89" t="s">
        <v>6668</v>
      </c>
      <c r="B2541" s="87" t="s">
        <v>6669</v>
      </c>
      <c r="C2541" s="87" t="s">
        <v>8</v>
      </c>
      <c r="D2541" s="87" t="str">
        <f>VLOOKUP(Tabela1[[#This Row],[Origem]], 'Perguntas 1 a 24'!$J$28:$K$34, 2, 0)</f>
        <v>Nordeste</v>
      </c>
      <c r="E2541" s="87" t="str">
        <f>Tabela1[[#This Row],[Descrição]]&amp;"-"&amp;Tabela1[[#This Row],[Código]]&amp;"/"&amp;Tabela1[[#This Row],[Origem]]</f>
        <v>Feritito-H139P678/AL</v>
      </c>
      <c r="F2541" s="88">
        <v>47013</v>
      </c>
      <c r="G2541" s="88" t="str" cm="1">
        <f t="array" ref="G25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AND(F2541&gt;= DATE(2026,1,1), F2541&lt;= DATE(2028, 12, 31), J2541&gt;50000), "Pendente e Caro", AND(F2541&gt;= DATE(2026,1,1), F2541&lt;= DATE(2028, 12, 31), J2541&lt;=50000), "Pendente", F2541&gt;= DATE(2029,1,1), "Não prioeitário")</f>
        <v>Pendente e Caro</v>
      </c>
      <c r="H2541" s="89">
        <f>YEAR(Tabela1[[#This Row],[Data de Validade]])</f>
        <v>2028</v>
      </c>
      <c r="I2541" s="89">
        <f>MONTH(Tabela1[[#This Row],[Data de Validade]])</f>
        <v>9</v>
      </c>
      <c r="J2541" s="101">
        <v>69788</v>
      </c>
      <c r="K2541" s="87" t="s">
        <v>9</v>
      </c>
      <c r="L2541" s="108"/>
      <c r="M2541" s="108"/>
      <c r="N2541" s="108" t="str">
        <v>P231P927</v>
      </c>
      <c r="O2541" s="108">
        <f t="shared" si="41"/>
        <v>1</v>
      </c>
      <c r="P2541" s="108"/>
      <c r="Q2541"/>
    </row>
    <row r="2542" spans="1:17" x14ac:dyDescent="0.25">
      <c r="A2542" s="89" t="s">
        <v>7914</v>
      </c>
      <c r="B2542" s="87" t="s">
        <v>7915</v>
      </c>
      <c r="C2542" s="87" t="s">
        <v>12</v>
      </c>
      <c r="D2542" s="87" t="str">
        <f>VLOOKUP(Tabela1[[#This Row],[Origem]], 'Perguntas 1 a 24'!$J$28:$K$34, 2, 0)</f>
        <v>Sudeste</v>
      </c>
      <c r="E2542" s="87" t="str">
        <f>Tabela1[[#This Row],[Descrição]]&amp;"-"&amp;Tabela1[[#This Row],[Código]]&amp;"/"&amp;Tabela1[[#This Row],[Origem]]</f>
        <v>Vepaloro-P231P927/RJ</v>
      </c>
      <c r="F2542" s="88">
        <v>47014</v>
      </c>
      <c r="G2542" s="88" t="str" cm="1">
        <f t="array" ref="G25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AND(F2542&gt;= DATE(2026,1,1), F2542&lt;= DATE(2028, 12, 31), J2542&gt;50000), "Pendente e Caro", AND(F2542&gt;= DATE(2026,1,1), F2542&lt;= DATE(2028, 12, 31), J2542&lt;=50000), "Pendente", F2542&gt;= DATE(2029,1,1), "Não prioeitário")</f>
        <v>Pendente</v>
      </c>
      <c r="H2542" s="89">
        <f>YEAR(Tabela1[[#This Row],[Data de Validade]])</f>
        <v>2028</v>
      </c>
      <c r="I2542" s="89">
        <f>MONTH(Tabela1[[#This Row],[Data de Validade]])</f>
        <v>9</v>
      </c>
      <c r="J2542" s="101">
        <v>25140</v>
      </c>
      <c r="K2542" s="87" t="s">
        <v>9</v>
      </c>
      <c r="L2542" s="108"/>
      <c r="M2542" s="108"/>
      <c r="N2542" s="108" t="str">
        <v>P598H665</v>
      </c>
      <c r="O2542" s="108">
        <f t="shared" si="41"/>
        <v>1</v>
      </c>
      <c r="P2542" s="108"/>
      <c r="Q2542"/>
    </row>
    <row r="2543" spans="1:17" x14ac:dyDescent="0.25">
      <c r="A2543" s="89" t="s">
        <v>11274</v>
      </c>
      <c r="B2543" s="87" t="s">
        <v>11275</v>
      </c>
      <c r="C2543" s="87" t="s">
        <v>13</v>
      </c>
      <c r="D2543" s="87" t="str">
        <f>VLOOKUP(Tabela1[[#This Row],[Origem]], 'Perguntas 1 a 24'!$J$28:$K$34, 2, 0)</f>
        <v>Sudeste</v>
      </c>
      <c r="E2543" s="87" t="str">
        <f>Tabela1[[#This Row],[Descrição]]&amp;"-"&amp;Tabela1[[#This Row],[Código]]&amp;"/"&amp;Tabela1[[#This Row],[Origem]]</f>
        <v>Fopure-P598H665/SP</v>
      </c>
      <c r="F2543" s="88">
        <v>47015</v>
      </c>
      <c r="G2543" s="88" t="str" cm="1">
        <f t="array" ref="G25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AND(F2543&gt;= DATE(2026,1,1), F2543&lt;= DATE(2028, 12, 31), J2543&gt;50000), "Pendente e Caro", AND(F2543&gt;= DATE(2026,1,1), F2543&lt;= DATE(2028, 12, 31), J2543&lt;=50000), "Pendente", F2543&gt;= DATE(2029,1,1), "Não prioeitário")</f>
        <v>Pendente e Caro</v>
      </c>
      <c r="H2543" s="89">
        <f>YEAR(Tabela1[[#This Row],[Data de Validade]])</f>
        <v>2028</v>
      </c>
      <c r="I2543" s="89">
        <f>MONTH(Tabela1[[#This Row],[Data de Validade]])</f>
        <v>9</v>
      </c>
      <c r="J2543" s="101">
        <v>117108</v>
      </c>
      <c r="K2543" s="87" t="s">
        <v>9</v>
      </c>
      <c r="L2543" s="108"/>
      <c r="M2543" s="108"/>
      <c r="N2543" s="108" t="str">
        <v>P578P924</v>
      </c>
      <c r="O2543" s="108">
        <f t="shared" si="41"/>
        <v>1</v>
      </c>
      <c r="P2543" s="108"/>
      <c r="Q2543"/>
    </row>
    <row r="2544" spans="1:17" x14ac:dyDescent="0.25">
      <c r="A2544" s="89" t="s">
        <v>5762</v>
      </c>
      <c r="B2544" s="87" t="s">
        <v>5763</v>
      </c>
      <c r="C2544" s="87" t="s">
        <v>12</v>
      </c>
      <c r="D2544" s="87" t="str">
        <f>VLOOKUP(Tabela1[[#This Row],[Origem]], 'Perguntas 1 a 24'!$J$28:$K$34, 2, 0)</f>
        <v>Sudeste</v>
      </c>
      <c r="E2544" s="87" t="str">
        <f>Tabela1[[#This Row],[Descrição]]&amp;"-"&amp;Tabela1[[#This Row],[Código]]&amp;"/"&amp;Tabela1[[#This Row],[Origem]]</f>
        <v>Pavare-P578P924/RJ</v>
      </c>
      <c r="F2544" s="88">
        <v>47015</v>
      </c>
      <c r="G2544" s="88" t="str" cm="1">
        <f t="array" ref="G25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AND(F2544&gt;= DATE(2026,1,1), F2544&lt;= DATE(2028, 12, 31), J2544&gt;50000), "Pendente e Caro", AND(F2544&gt;= DATE(2026,1,1), F2544&lt;= DATE(2028, 12, 31), J2544&lt;=50000), "Pendente", F2544&gt;= DATE(2029,1,1), "Não prioeitário")</f>
        <v>Pendente e Caro</v>
      </c>
      <c r="H2544" s="89">
        <f>YEAR(Tabela1[[#This Row],[Data de Validade]])</f>
        <v>2028</v>
      </c>
      <c r="I2544" s="89">
        <f>MONTH(Tabela1[[#This Row],[Data de Validade]])</f>
        <v>9</v>
      </c>
      <c r="J2544" s="101">
        <v>97833</v>
      </c>
      <c r="K2544" s="87" t="s">
        <v>14</v>
      </c>
      <c r="L2544" s="108"/>
      <c r="M2544" s="108"/>
      <c r="N2544" s="108" t="str">
        <v>H679H378</v>
      </c>
      <c r="O2544" s="108">
        <f t="shared" si="41"/>
        <v>1</v>
      </c>
      <c r="P2544" s="108"/>
      <c r="Q2544"/>
    </row>
    <row r="2545" spans="1:17" x14ac:dyDescent="0.25">
      <c r="A2545" s="89" t="s">
        <v>4327</v>
      </c>
      <c r="B2545" s="87" t="s">
        <v>4328</v>
      </c>
      <c r="C2545" s="87" t="s">
        <v>12</v>
      </c>
      <c r="D2545" s="87" t="str">
        <f>VLOOKUP(Tabela1[[#This Row],[Origem]], 'Perguntas 1 a 24'!$J$28:$K$34, 2, 0)</f>
        <v>Sudeste</v>
      </c>
      <c r="E2545" s="87" t="str">
        <f>Tabela1[[#This Row],[Descrição]]&amp;"-"&amp;Tabela1[[#This Row],[Código]]&amp;"/"&amp;Tabela1[[#This Row],[Origem]]</f>
        <v>Pevola-H679H378/RJ</v>
      </c>
      <c r="F2545" s="88">
        <v>47017</v>
      </c>
      <c r="G2545" s="88" t="str" cm="1">
        <f t="array" ref="G25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AND(F2545&gt;= DATE(2026,1,1), F2545&lt;= DATE(2028, 12, 31), J2545&gt;50000), "Pendente e Caro", AND(F2545&gt;= DATE(2026,1,1), F2545&lt;= DATE(2028, 12, 31), J2545&lt;=50000), "Pendente", F2545&gt;= DATE(2029,1,1), "Não prioeitário")</f>
        <v>Pendente e Caro</v>
      </c>
      <c r="H2545" s="89">
        <f>YEAR(Tabela1[[#This Row],[Data de Validade]])</f>
        <v>2028</v>
      </c>
      <c r="I2545" s="89">
        <f>MONTH(Tabela1[[#This Row],[Data de Validade]])</f>
        <v>9</v>
      </c>
      <c r="J2545" s="101">
        <v>97900</v>
      </c>
      <c r="K2545" s="87" t="s">
        <v>7</v>
      </c>
      <c r="L2545" s="108"/>
      <c r="M2545" s="108"/>
      <c r="N2545" s="108" t="str">
        <v>H162P666</v>
      </c>
      <c r="O2545" s="108">
        <f t="shared" si="41"/>
        <v>1</v>
      </c>
      <c r="P2545" s="108"/>
      <c r="Q2545"/>
    </row>
    <row r="2546" spans="1:17" x14ac:dyDescent="0.25">
      <c r="A2546" s="89" t="s">
        <v>9051</v>
      </c>
      <c r="B2546" s="87" t="s">
        <v>9052</v>
      </c>
      <c r="C2546" s="87" t="s">
        <v>16</v>
      </c>
      <c r="D2546" s="87" t="str">
        <f>VLOOKUP(Tabela1[[#This Row],[Origem]], 'Perguntas 1 a 24'!$J$28:$K$34, 2, 0)</f>
        <v>Sudeste</v>
      </c>
      <c r="E2546" s="87" t="str">
        <f>Tabela1[[#This Row],[Descrição]]&amp;"-"&amp;Tabela1[[#This Row],[Código]]&amp;"/"&amp;Tabela1[[#This Row],[Origem]]</f>
        <v>Ravapote-H162P666/MG</v>
      </c>
      <c r="F2546" s="88">
        <v>47017</v>
      </c>
      <c r="G2546" s="88" t="str" cm="1">
        <f t="array" ref="G25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AND(F2546&gt;= DATE(2026,1,1), F2546&lt;= DATE(2028, 12, 31), J2546&gt;50000), "Pendente e Caro", AND(F2546&gt;= DATE(2026,1,1), F2546&lt;= DATE(2028, 12, 31), J2546&lt;=50000), "Pendente", F2546&gt;= DATE(2029,1,1), "Não prioeitário")</f>
        <v>Pendente e Caro</v>
      </c>
      <c r="H2546" s="89">
        <f>YEAR(Tabela1[[#This Row],[Data de Validade]])</f>
        <v>2028</v>
      </c>
      <c r="I2546" s="89">
        <f>MONTH(Tabela1[[#This Row],[Data de Validade]])</f>
        <v>9</v>
      </c>
      <c r="J2546" s="101">
        <v>62353</v>
      </c>
      <c r="K2546" s="87" t="s">
        <v>7</v>
      </c>
      <c r="L2546" s="108"/>
      <c r="M2546" s="108"/>
      <c r="N2546" s="108" t="str">
        <v>P229P732</v>
      </c>
      <c r="O2546" s="108">
        <f t="shared" si="41"/>
        <v>1</v>
      </c>
      <c r="P2546" s="108"/>
      <c r="Q2546"/>
    </row>
    <row r="2547" spans="1:17" x14ac:dyDescent="0.25">
      <c r="A2547" s="89" t="s">
        <v>11330</v>
      </c>
      <c r="B2547" s="87" t="s">
        <v>11331</v>
      </c>
      <c r="C2547" s="87" t="s">
        <v>8</v>
      </c>
      <c r="D2547" s="87" t="str">
        <f>VLOOKUP(Tabela1[[#This Row],[Origem]], 'Perguntas 1 a 24'!$J$28:$K$34, 2, 0)</f>
        <v>Nordeste</v>
      </c>
      <c r="E2547" s="87" t="str">
        <f>Tabela1[[#This Row],[Descrição]]&amp;"-"&amp;Tabela1[[#This Row],[Código]]&amp;"/"&amp;Tabela1[[#This Row],[Origem]]</f>
        <v>Ceduvetima-P229P732/AL</v>
      </c>
      <c r="F2547" s="88">
        <v>47018</v>
      </c>
      <c r="G2547" s="88" t="str" cm="1">
        <f t="array" ref="G25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AND(F2547&gt;= DATE(2026,1,1), F2547&lt;= DATE(2028, 12, 31), J2547&gt;50000), "Pendente e Caro", AND(F2547&gt;= DATE(2026,1,1), F2547&lt;= DATE(2028, 12, 31), J2547&lt;=50000), "Pendente", F2547&gt;= DATE(2029,1,1), "Não prioeitário")</f>
        <v>Pendente e Caro</v>
      </c>
      <c r="H2547" s="89">
        <f>YEAR(Tabela1[[#This Row],[Data de Validade]])</f>
        <v>2028</v>
      </c>
      <c r="I2547" s="89">
        <f>MONTH(Tabela1[[#This Row],[Data de Validade]])</f>
        <v>9</v>
      </c>
      <c r="J2547" s="101">
        <v>104604</v>
      </c>
      <c r="K2547" s="87" t="s">
        <v>9</v>
      </c>
      <c r="L2547" s="108"/>
      <c r="M2547" s="108"/>
      <c r="N2547" s="108" t="str">
        <v>P552P954</v>
      </c>
      <c r="O2547" s="108">
        <f t="shared" si="41"/>
        <v>1</v>
      </c>
      <c r="P2547" s="108"/>
      <c r="Q2547"/>
    </row>
    <row r="2548" spans="1:17" x14ac:dyDescent="0.25">
      <c r="A2548" s="89" t="s">
        <v>8042</v>
      </c>
      <c r="B2548" s="87" t="s">
        <v>8043</v>
      </c>
      <c r="C2548" s="87" t="s">
        <v>6</v>
      </c>
      <c r="D2548" s="87" t="str">
        <f>VLOOKUP(Tabela1[[#This Row],[Origem]], 'Perguntas 1 a 24'!$J$28:$K$34, 2, 0)</f>
        <v>Nordeste</v>
      </c>
      <c r="E2548" s="87" t="str">
        <f>Tabela1[[#This Row],[Descrição]]&amp;"-"&amp;Tabela1[[#This Row],[Código]]&amp;"/"&amp;Tabela1[[#This Row],[Origem]]</f>
        <v>Patupogi-P552P954/MA</v>
      </c>
      <c r="F2548" s="88">
        <v>47018</v>
      </c>
      <c r="G2548" s="88" t="str" cm="1">
        <f t="array" ref="G25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AND(F2548&gt;= DATE(2026,1,1), F2548&lt;= DATE(2028, 12, 31), J2548&gt;50000), "Pendente e Caro", AND(F2548&gt;= DATE(2026,1,1), F2548&lt;= DATE(2028, 12, 31), J2548&lt;=50000), "Pendente", F2548&gt;= DATE(2029,1,1), "Não prioeitário")</f>
        <v>Pendente e Caro</v>
      </c>
      <c r="H2548" s="89">
        <f>YEAR(Tabela1[[#This Row],[Data de Validade]])</f>
        <v>2028</v>
      </c>
      <c r="I2548" s="89">
        <f>MONTH(Tabela1[[#This Row],[Data de Validade]])</f>
        <v>9</v>
      </c>
      <c r="J2548" s="101">
        <v>81882</v>
      </c>
      <c r="K2548" s="87" t="s">
        <v>14</v>
      </c>
      <c r="L2548" s="108"/>
      <c r="M2548" s="108"/>
      <c r="N2548" s="108" t="str">
        <v>H627H271</v>
      </c>
      <c r="O2548" s="108">
        <f t="shared" si="41"/>
        <v>1</v>
      </c>
      <c r="P2548" s="108"/>
      <c r="Q2548"/>
    </row>
    <row r="2549" spans="1:17" x14ac:dyDescent="0.25">
      <c r="A2549" s="89" t="s">
        <v>5182</v>
      </c>
      <c r="B2549" s="87" t="s">
        <v>5183</v>
      </c>
      <c r="C2549" s="87" t="s">
        <v>16</v>
      </c>
      <c r="D2549" s="87" t="str">
        <f>VLOOKUP(Tabela1[[#This Row],[Origem]], 'Perguntas 1 a 24'!$J$28:$K$34, 2, 0)</f>
        <v>Sudeste</v>
      </c>
      <c r="E2549" s="87" t="str">
        <f>Tabela1[[#This Row],[Descrição]]&amp;"-"&amp;Tabela1[[#This Row],[Código]]&amp;"/"&amp;Tabela1[[#This Row],[Origem]]</f>
        <v>Metaganacu-H627H271/MG</v>
      </c>
      <c r="F2549" s="88">
        <v>47018</v>
      </c>
      <c r="G2549" s="88" t="str" cm="1">
        <f t="array" ref="G25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AND(F2549&gt;= DATE(2026,1,1), F2549&lt;= DATE(2028, 12, 31), J2549&gt;50000), "Pendente e Caro", AND(F2549&gt;= DATE(2026,1,1), F2549&lt;= DATE(2028, 12, 31), J2549&lt;=50000), "Pendente", F2549&gt;= DATE(2029,1,1), "Não prioeitário")</f>
        <v>Pendente e Caro</v>
      </c>
      <c r="H2549" s="89">
        <f>YEAR(Tabela1[[#This Row],[Data de Validade]])</f>
        <v>2028</v>
      </c>
      <c r="I2549" s="89">
        <f>MONTH(Tabela1[[#This Row],[Data de Validade]])</f>
        <v>9</v>
      </c>
      <c r="J2549" s="101">
        <v>75623</v>
      </c>
      <c r="K2549" s="87" t="s">
        <v>7</v>
      </c>
      <c r="L2549" s="108"/>
      <c r="M2549" s="108"/>
      <c r="N2549" s="108" t="str">
        <v>H299H486</v>
      </c>
      <c r="O2549" s="108">
        <f t="shared" si="41"/>
        <v>1</v>
      </c>
      <c r="P2549" s="108"/>
      <c r="Q2549"/>
    </row>
    <row r="2550" spans="1:17" x14ac:dyDescent="0.25">
      <c r="A2550" s="89" t="s">
        <v>10945</v>
      </c>
      <c r="B2550" s="87" t="s">
        <v>10946</v>
      </c>
      <c r="C2550" s="87" t="s">
        <v>6</v>
      </c>
      <c r="D2550" s="87" t="str">
        <f>VLOOKUP(Tabela1[[#This Row],[Origem]], 'Perguntas 1 a 24'!$J$28:$K$34, 2, 0)</f>
        <v>Nordeste</v>
      </c>
      <c r="E2550" s="87" t="str">
        <f>Tabela1[[#This Row],[Descrição]]&amp;"-"&amp;Tabela1[[#This Row],[Código]]&amp;"/"&amp;Tabela1[[#This Row],[Origem]]</f>
        <v>Ditipefade-H299H486/MA</v>
      </c>
      <c r="F2550" s="88">
        <v>47019</v>
      </c>
      <c r="G2550" s="88" t="str" cm="1">
        <f t="array" ref="G25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AND(F2550&gt;= DATE(2026,1,1), F2550&lt;= DATE(2028, 12, 31), J2550&gt;50000), "Pendente e Caro", AND(F2550&gt;= DATE(2026,1,1), F2550&lt;= DATE(2028, 12, 31), J2550&lt;=50000), "Pendente", F2550&gt;= DATE(2029,1,1), "Não prioeitário")</f>
        <v>Pendente e Caro</v>
      </c>
      <c r="H2550" s="89">
        <f>YEAR(Tabela1[[#This Row],[Data de Validade]])</f>
        <v>2028</v>
      </c>
      <c r="I2550" s="89">
        <f>MONTH(Tabela1[[#This Row],[Data de Validade]])</f>
        <v>9</v>
      </c>
      <c r="J2550" s="101">
        <v>113123</v>
      </c>
      <c r="K2550" s="87" t="s">
        <v>14</v>
      </c>
      <c r="L2550" s="108"/>
      <c r="M2550" s="108"/>
      <c r="N2550" s="108" t="str">
        <v>P731H916</v>
      </c>
      <c r="O2550" s="108">
        <f t="shared" si="41"/>
        <v>1</v>
      </c>
      <c r="P2550" s="108"/>
      <c r="Q2550"/>
    </row>
    <row r="2551" spans="1:17" x14ac:dyDescent="0.25">
      <c r="A2551" s="89" t="s">
        <v>5356</v>
      </c>
      <c r="B2551" s="87" t="s">
        <v>5357</v>
      </c>
      <c r="C2551" s="87" t="s">
        <v>10</v>
      </c>
      <c r="D2551" s="87" t="str">
        <f>VLOOKUP(Tabela1[[#This Row],[Origem]], 'Perguntas 1 a 24'!$J$28:$K$34, 2, 0)</f>
        <v>Centro-Oeste</v>
      </c>
      <c r="E2551" s="87" t="str">
        <f>Tabela1[[#This Row],[Descrição]]&amp;"-"&amp;Tabela1[[#This Row],[Código]]&amp;"/"&amp;Tabela1[[#This Row],[Origem]]</f>
        <v>Cifudupo-P731H916/GO</v>
      </c>
      <c r="F2551" s="88">
        <v>47019</v>
      </c>
      <c r="G2551" s="88" t="str" cm="1">
        <f t="array" ref="G25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AND(F2551&gt;= DATE(2026,1,1), F2551&lt;= DATE(2028, 12, 31), J2551&gt;50000), "Pendente e Caro", AND(F2551&gt;= DATE(2026,1,1), F2551&lt;= DATE(2028, 12, 31), J2551&lt;=50000), "Pendente", F2551&gt;= DATE(2029,1,1), "Não prioeitário")</f>
        <v>Pendente e Caro</v>
      </c>
      <c r="H2551" s="89">
        <f>YEAR(Tabela1[[#This Row],[Data de Validade]])</f>
        <v>2028</v>
      </c>
      <c r="I2551" s="89">
        <f>MONTH(Tabela1[[#This Row],[Data de Validade]])</f>
        <v>9</v>
      </c>
      <c r="J2551" s="101">
        <v>74281</v>
      </c>
      <c r="K2551" s="87" t="s">
        <v>7</v>
      </c>
      <c r="L2551" s="108"/>
      <c r="M2551" s="108"/>
      <c r="N2551" s="108" t="str">
        <v>H189H837</v>
      </c>
      <c r="O2551" s="108">
        <f t="shared" si="41"/>
        <v>1</v>
      </c>
      <c r="P2551" s="108"/>
      <c r="Q2551"/>
    </row>
    <row r="2552" spans="1:17" x14ac:dyDescent="0.25">
      <c r="A2552" s="89" t="s">
        <v>10047</v>
      </c>
      <c r="B2552" s="87" t="s">
        <v>10048</v>
      </c>
      <c r="C2552" s="87" t="s">
        <v>16</v>
      </c>
      <c r="D2552" s="87" t="str">
        <f>VLOOKUP(Tabela1[[#This Row],[Origem]], 'Perguntas 1 a 24'!$J$28:$K$34, 2, 0)</f>
        <v>Sudeste</v>
      </c>
      <c r="E2552" s="87" t="str">
        <f>Tabela1[[#This Row],[Descrição]]&amp;"-"&amp;Tabela1[[#This Row],[Código]]&amp;"/"&amp;Tabela1[[#This Row],[Origem]]</f>
        <v>Ficadidote-H189H837/MG</v>
      </c>
      <c r="F2552" s="88">
        <v>47019</v>
      </c>
      <c r="G2552" s="88" t="str" cm="1">
        <f t="array" ref="G25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AND(F2552&gt;= DATE(2026,1,1), F2552&lt;= DATE(2028, 12, 31), J2552&gt;50000), "Pendente e Caro", AND(F2552&gt;= DATE(2026,1,1), F2552&lt;= DATE(2028, 12, 31), J2552&lt;=50000), "Pendente", F2552&gt;= DATE(2029,1,1), "Não prioeitário")</f>
        <v>Pendente</v>
      </c>
      <c r="H2552" s="89">
        <f>YEAR(Tabela1[[#This Row],[Data de Validade]])</f>
        <v>2028</v>
      </c>
      <c r="I2552" s="89">
        <f>MONTH(Tabela1[[#This Row],[Data de Validade]])</f>
        <v>9</v>
      </c>
      <c r="J2552" s="101">
        <v>38955</v>
      </c>
      <c r="K2552" s="87" t="s">
        <v>14</v>
      </c>
      <c r="L2552" s="108"/>
      <c r="M2552" s="108"/>
      <c r="N2552" s="108" t="str">
        <v>P462P933</v>
      </c>
      <c r="O2552" s="108">
        <f t="shared" si="41"/>
        <v>1</v>
      </c>
      <c r="P2552" s="108"/>
      <c r="Q2552"/>
    </row>
    <row r="2553" spans="1:17" x14ac:dyDescent="0.25">
      <c r="A2553" s="89" t="s">
        <v>6438</v>
      </c>
      <c r="B2553" s="87" t="s">
        <v>6439</v>
      </c>
      <c r="C2553" s="87" t="s">
        <v>15</v>
      </c>
      <c r="D2553" s="87" t="str">
        <f>VLOOKUP(Tabela1[[#This Row],[Origem]], 'Perguntas 1 a 24'!$J$28:$K$34, 2, 0)</f>
        <v>Sudeste</v>
      </c>
      <c r="E2553" s="87" t="str">
        <f>Tabela1[[#This Row],[Descrição]]&amp;"-"&amp;Tabela1[[#This Row],[Código]]&amp;"/"&amp;Tabela1[[#This Row],[Origem]]</f>
        <v>Fudori-P462P933/ES</v>
      </c>
      <c r="F2553" s="88">
        <v>47020</v>
      </c>
      <c r="G2553" s="88" t="str" cm="1">
        <f t="array" ref="G25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AND(F2553&gt;= DATE(2026,1,1), F2553&lt;= DATE(2028, 12, 31), J2553&gt;50000), "Pendente e Caro", AND(F2553&gt;= DATE(2026,1,1), F2553&lt;= DATE(2028, 12, 31), J2553&lt;=50000), "Pendente", F2553&gt;= DATE(2029,1,1), "Não prioeitário")</f>
        <v>Pendente e Caro</v>
      </c>
      <c r="H2553" s="89">
        <f>YEAR(Tabela1[[#This Row],[Data de Validade]])</f>
        <v>2028</v>
      </c>
      <c r="I2553" s="89">
        <f>MONTH(Tabela1[[#This Row],[Data de Validade]])</f>
        <v>9</v>
      </c>
      <c r="J2553" s="101">
        <v>104802</v>
      </c>
      <c r="K2553" s="87" t="s">
        <v>11</v>
      </c>
      <c r="L2553" s="108"/>
      <c r="M2553" s="108"/>
      <c r="N2553" s="108" t="str">
        <v>H554H462</v>
      </c>
      <c r="O2553" s="108">
        <f t="shared" si="41"/>
        <v>1</v>
      </c>
      <c r="P2553" s="108"/>
      <c r="Q2553"/>
    </row>
    <row r="2554" spans="1:17" x14ac:dyDescent="0.25">
      <c r="A2554" s="89" t="s">
        <v>8020</v>
      </c>
      <c r="B2554" s="87" t="s">
        <v>8021</v>
      </c>
      <c r="C2554" s="87" t="s">
        <v>12</v>
      </c>
      <c r="D2554" s="87" t="str">
        <f>VLOOKUP(Tabela1[[#This Row],[Origem]], 'Perguntas 1 a 24'!$J$28:$K$34, 2, 0)</f>
        <v>Sudeste</v>
      </c>
      <c r="E2554" s="87" t="str">
        <f>Tabela1[[#This Row],[Descrição]]&amp;"-"&amp;Tabela1[[#This Row],[Código]]&amp;"/"&amp;Tabela1[[#This Row],[Origem]]</f>
        <v>Tipomifore-H554H462/RJ</v>
      </c>
      <c r="F2554" s="88">
        <v>47020</v>
      </c>
      <c r="G2554" s="88" t="str" cm="1">
        <f t="array" ref="G25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AND(F2554&gt;= DATE(2026,1,1), F2554&lt;= DATE(2028, 12, 31), J2554&gt;50000), "Pendente e Caro", AND(F2554&gt;= DATE(2026,1,1), F2554&lt;= DATE(2028, 12, 31), J2554&lt;=50000), "Pendente", F2554&gt;= DATE(2029,1,1), "Não prioeitário")</f>
        <v>Pendente e Caro</v>
      </c>
      <c r="H2554" s="89">
        <f>YEAR(Tabela1[[#This Row],[Data de Validade]])</f>
        <v>2028</v>
      </c>
      <c r="I2554" s="89">
        <f>MONTH(Tabela1[[#This Row],[Data de Validade]])</f>
        <v>9</v>
      </c>
      <c r="J2554" s="101">
        <v>91445</v>
      </c>
      <c r="K2554" s="87" t="s">
        <v>9</v>
      </c>
      <c r="L2554" s="108"/>
      <c r="M2554" s="108"/>
      <c r="N2554" s="108" t="str">
        <v>H288P451</v>
      </c>
      <c r="O2554" s="108">
        <f t="shared" si="41"/>
        <v>1</v>
      </c>
      <c r="P2554" s="108"/>
      <c r="Q2554"/>
    </row>
    <row r="2555" spans="1:17" x14ac:dyDescent="0.25">
      <c r="A2555" s="89" t="s">
        <v>8823</v>
      </c>
      <c r="B2555" s="87" t="s">
        <v>8824</v>
      </c>
      <c r="C2555" s="87" t="s">
        <v>12</v>
      </c>
      <c r="D2555" s="87" t="str">
        <f>VLOOKUP(Tabela1[[#This Row],[Origem]], 'Perguntas 1 a 24'!$J$28:$K$34, 2, 0)</f>
        <v>Sudeste</v>
      </c>
      <c r="E2555" s="87" t="str">
        <f>Tabela1[[#This Row],[Descrição]]&amp;"-"&amp;Tabela1[[#This Row],[Código]]&amp;"/"&amp;Tabela1[[#This Row],[Origem]]</f>
        <v>Talaro-H288P451/RJ</v>
      </c>
      <c r="F2555" s="88">
        <v>47020</v>
      </c>
      <c r="G2555" s="88" t="str" cm="1">
        <f t="array" ref="G25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AND(F2555&gt;= DATE(2026,1,1), F2555&lt;= DATE(2028, 12, 31), J2555&gt;50000), "Pendente e Caro", AND(F2555&gt;= DATE(2026,1,1), F2555&lt;= DATE(2028, 12, 31), J2555&lt;=50000), "Pendente", F2555&gt;= DATE(2029,1,1), "Não prioeitário")</f>
        <v>Pendente e Caro</v>
      </c>
      <c r="H2555" s="89">
        <f>YEAR(Tabela1[[#This Row],[Data de Validade]])</f>
        <v>2028</v>
      </c>
      <c r="I2555" s="89">
        <f>MONTH(Tabela1[[#This Row],[Data de Validade]])</f>
        <v>9</v>
      </c>
      <c r="J2555" s="101">
        <v>83407</v>
      </c>
      <c r="K2555" s="87" t="s">
        <v>14</v>
      </c>
      <c r="L2555" s="108"/>
      <c r="M2555" s="108"/>
      <c r="N2555" s="108" t="str">
        <v>P161P343</v>
      </c>
      <c r="O2555" s="108">
        <f t="shared" si="41"/>
        <v>1</v>
      </c>
      <c r="P2555" s="108"/>
      <c r="Q2555"/>
    </row>
    <row r="2556" spans="1:17" x14ac:dyDescent="0.25">
      <c r="A2556" s="89" t="s">
        <v>10435</v>
      </c>
      <c r="B2556" s="87" t="s">
        <v>10436</v>
      </c>
      <c r="C2556" s="87" t="s">
        <v>13</v>
      </c>
      <c r="D2556" s="87" t="str">
        <f>VLOOKUP(Tabela1[[#This Row],[Origem]], 'Perguntas 1 a 24'!$J$28:$K$34, 2, 0)</f>
        <v>Sudeste</v>
      </c>
      <c r="E2556" s="87" t="str">
        <f>Tabela1[[#This Row],[Descrição]]&amp;"-"&amp;Tabela1[[#This Row],[Código]]&amp;"/"&amp;Tabela1[[#This Row],[Origem]]</f>
        <v>Gupati-P161P343/SP</v>
      </c>
      <c r="F2556" s="88">
        <v>47023</v>
      </c>
      <c r="G2556" s="88" t="str" cm="1">
        <f t="array" ref="G25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AND(F2556&gt;= DATE(2026,1,1), F2556&lt;= DATE(2028, 12, 31), J2556&gt;50000), "Pendente e Caro", AND(F2556&gt;= DATE(2026,1,1), F2556&lt;= DATE(2028, 12, 31), J2556&lt;=50000), "Pendente", F2556&gt;= DATE(2029,1,1), "Não prioeitário")</f>
        <v>Pendente e Caro</v>
      </c>
      <c r="H2556" s="89">
        <f>YEAR(Tabela1[[#This Row],[Data de Validade]])</f>
        <v>2028</v>
      </c>
      <c r="I2556" s="89">
        <f>MONTH(Tabela1[[#This Row],[Data de Validade]])</f>
        <v>9</v>
      </c>
      <c r="J2556" s="101">
        <v>103731</v>
      </c>
      <c r="K2556" s="87" t="s">
        <v>9</v>
      </c>
      <c r="L2556" s="108"/>
      <c r="M2556" s="108"/>
      <c r="N2556" s="108" t="str">
        <v>P229H671</v>
      </c>
      <c r="O2556" s="108">
        <f t="shared" si="41"/>
        <v>1</v>
      </c>
      <c r="P2556" s="108"/>
      <c r="Q2556"/>
    </row>
    <row r="2557" spans="1:17" x14ac:dyDescent="0.25">
      <c r="A2557" s="89" t="s">
        <v>6188</v>
      </c>
      <c r="B2557" s="87" t="s">
        <v>6189</v>
      </c>
      <c r="C2557" s="87" t="s">
        <v>6</v>
      </c>
      <c r="D2557" s="87" t="str">
        <f>VLOOKUP(Tabela1[[#This Row],[Origem]], 'Perguntas 1 a 24'!$J$28:$K$34, 2, 0)</f>
        <v>Nordeste</v>
      </c>
      <c r="E2557" s="87" t="str">
        <f>Tabela1[[#This Row],[Descrição]]&amp;"-"&amp;Tabela1[[#This Row],[Código]]&amp;"/"&amp;Tabela1[[#This Row],[Origem]]</f>
        <v>Murelerupe-P229H671/MA</v>
      </c>
      <c r="F2557" s="88">
        <v>47023</v>
      </c>
      <c r="G2557" s="88" t="str" cm="1">
        <f t="array" ref="G25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AND(F2557&gt;= DATE(2026,1,1), F2557&lt;= DATE(2028, 12, 31), J2557&gt;50000), "Pendente e Caro", AND(F2557&gt;= DATE(2026,1,1), F2557&lt;= DATE(2028, 12, 31), J2557&lt;=50000), "Pendente", F2557&gt;= DATE(2029,1,1), "Não prioeitário")</f>
        <v>Pendente e Caro</v>
      </c>
      <c r="H2557" s="89">
        <f>YEAR(Tabela1[[#This Row],[Data de Validade]])</f>
        <v>2028</v>
      </c>
      <c r="I2557" s="89">
        <f>MONTH(Tabela1[[#This Row],[Data de Validade]])</f>
        <v>9</v>
      </c>
      <c r="J2557" s="101">
        <v>52872</v>
      </c>
      <c r="K2557" s="87" t="s">
        <v>7</v>
      </c>
      <c r="L2557" s="108"/>
      <c r="M2557" s="108"/>
      <c r="N2557" s="108" t="str">
        <v>H462H755</v>
      </c>
      <c r="O2557" s="108">
        <f t="shared" si="41"/>
        <v>1</v>
      </c>
      <c r="P2557" s="108"/>
      <c r="Q2557"/>
    </row>
    <row r="2558" spans="1:17" x14ac:dyDescent="0.25">
      <c r="A2558" s="89" t="s">
        <v>6982</v>
      </c>
      <c r="B2558" s="87" t="s">
        <v>6983</v>
      </c>
      <c r="C2558" s="87" t="s">
        <v>12</v>
      </c>
      <c r="D2558" s="87" t="str">
        <f>VLOOKUP(Tabela1[[#This Row],[Origem]], 'Perguntas 1 a 24'!$J$28:$K$34, 2, 0)</f>
        <v>Sudeste</v>
      </c>
      <c r="E2558" s="87" t="str">
        <f>Tabela1[[#This Row],[Descrição]]&amp;"-"&amp;Tabela1[[#This Row],[Código]]&amp;"/"&amp;Tabela1[[#This Row],[Origem]]</f>
        <v>Foradamu-H462H755/RJ</v>
      </c>
      <c r="F2558" s="88">
        <v>47023</v>
      </c>
      <c r="G2558" s="88" t="str" cm="1">
        <f t="array" ref="G25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AND(F2558&gt;= DATE(2026,1,1), F2558&lt;= DATE(2028, 12, 31), J2558&gt;50000), "Pendente e Caro", AND(F2558&gt;= DATE(2026,1,1), F2558&lt;= DATE(2028, 12, 31), J2558&lt;=50000), "Pendente", F2558&gt;= DATE(2029,1,1), "Não prioeitário")</f>
        <v>Pendente</v>
      </c>
      <c r="H2558" s="89">
        <f>YEAR(Tabela1[[#This Row],[Data de Validade]])</f>
        <v>2028</v>
      </c>
      <c r="I2558" s="89">
        <f>MONTH(Tabela1[[#This Row],[Data de Validade]])</f>
        <v>9</v>
      </c>
      <c r="J2558" s="101">
        <v>44746</v>
      </c>
      <c r="K2558" s="87" t="s">
        <v>9</v>
      </c>
      <c r="L2558" s="108"/>
      <c r="M2558" s="108"/>
      <c r="N2558" s="108" t="str">
        <v>P471P929</v>
      </c>
      <c r="O2558" s="108">
        <f t="shared" si="41"/>
        <v>1</v>
      </c>
      <c r="P2558" s="108"/>
      <c r="Q2558"/>
    </row>
    <row r="2559" spans="1:17" x14ac:dyDescent="0.25">
      <c r="A2559" s="89" t="s">
        <v>4411</v>
      </c>
      <c r="B2559" s="87" t="s">
        <v>4412</v>
      </c>
      <c r="C2559" s="87" t="s">
        <v>8</v>
      </c>
      <c r="D2559" s="87" t="str">
        <f>VLOOKUP(Tabela1[[#This Row],[Origem]], 'Perguntas 1 a 24'!$J$28:$K$34, 2, 0)</f>
        <v>Nordeste</v>
      </c>
      <c r="E2559" s="87" t="str">
        <f>Tabela1[[#This Row],[Descrição]]&amp;"-"&amp;Tabela1[[#This Row],[Código]]&amp;"/"&amp;Tabela1[[#This Row],[Origem]]</f>
        <v>Fetivetepa-P471P929/AL</v>
      </c>
      <c r="F2559" s="88">
        <v>47024</v>
      </c>
      <c r="G2559" s="88" t="str" cm="1">
        <f t="array" ref="G25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AND(F2559&gt;= DATE(2026,1,1), F2559&lt;= DATE(2028, 12, 31), J2559&gt;50000), "Pendente e Caro", AND(F2559&gt;= DATE(2026,1,1), F2559&lt;= DATE(2028, 12, 31), J2559&lt;=50000), "Pendente", F2559&gt;= DATE(2029,1,1), "Não prioeitário")</f>
        <v>Pendente e Caro</v>
      </c>
      <c r="H2559" s="89">
        <f>YEAR(Tabela1[[#This Row],[Data de Validade]])</f>
        <v>2028</v>
      </c>
      <c r="I2559" s="89">
        <f>MONTH(Tabela1[[#This Row],[Data de Validade]])</f>
        <v>9</v>
      </c>
      <c r="J2559" s="101">
        <v>101490</v>
      </c>
      <c r="K2559" s="87" t="s">
        <v>11</v>
      </c>
      <c r="L2559" s="108"/>
      <c r="M2559" s="108"/>
      <c r="N2559" s="108" t="str">
        <v>H946P454</v>
      </c>
      <c r="O2559" s="108">
        <f t="shared" si="41"/>
        <v>1</v>
      </c>
      <c r="P2559" s="108"/>
      <c r="Q2559"/>
    </row>
    <row r="2560" spans="1:17" x14ac:dyDescent="0.25">
      <c r="A2560" s="89" t="s">
        <v>5886</v>
      </c>
      <c r="B2560" s="87" t="s">
        <v>5887</v>
      </c>
      <c r="C2560" s="87" t="s">
        <v>12</v>
      </c>
      <c r="D2560" s="87" t="str">
        <f>VLOOKUP(Tabela1[[#This Row],[Origem]], 'Perguntas 1 a 24'!$J$28:$K$34, 2, 0)</f>
        <v>Sudeste</v>
      </c>
      <c r="E2560" s="87" t="str">
        <f>Tabela1[[#This Row],[Descrição]]&amp;"-"&amp;Tabela1[[#This Row],[Código]]&amp;"/"&amp;Tabela1[[#This Row],[Origem]]</f>
        <v>Lodafiti-H946P454/RJ</v>
      </c>
      <c r="F2560" s="88">
        <v>47024</v>
      </c>
      <c r="G2560" s="88" t="str" cm="1">
        <f t="array" ref="G25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AND(F2560&gt;= DATE(2026,1,1), F2560&lt;= DATE(2028, 12, 31), J2560&gt;50000), "Pendente e Caro", AND(F2560&gt;= DATE(2026,1,1), F2560&lt;= DATE(2028, 12, 31), J2560&lt;=50000), "Pendente", F2560&gt;= DATE(2029,1,1), "Não prioeitário")</f>
        <v>Pendente e Caro</v>
      </c>
      <c r="H2560" s="89">
        <f>YEAR(Tabela1[[#This Row],[Data de Validade]])</f>
        <v>2028</v>
      </c>
      <c r="I2560" s="89">
        <f>MONTH(Tabela1[[#This Row],[Data de Validade]])</f>
        <v>9</v>
      </c>
      <c r="J2560" s="101">
        <v>97415</v>
      </c>
      <c r="K2560" s="87" t="s">
        <v>9</v>
      </c>
      <c r="L2560" s="108"/>
      <c r="M2560" s="108"/>
      <c r="N2560" s="108" t="str">
        <v>H117P311</v>
      </c>
      <c r="O2560" s="108">
        <f t="shared" si="41"/>
        <v>1</v>
      </c>
      <c r="P2560" s="108"/>
      <c r="Q2560"/>
    </row>
    <row r="2561" spans="1:17" x14ac:dyDescent="0.25">
      <c r="A2561" s="89" t="s">
        <v>5480</v>
      </c>
      <c r="B2561" s="87" t="s">
        <v>5481</v>
      </c>
      <c r="C2561" s="87" t="s">
        <v>16</v>
      </c>
      <c r="D2561" s="87" t="str">
        <f>VLOOKUP(Tabela1[[#This Row],[Origem]], 'Perguntas 1 a 24'!$J$28:$K$34, 2, 0)</f>
        <v>Sudeste</v>
      </c>
      <c r="E2561" s="87" t="str">
        <f>Tabela1[[#This Row],[Descrição]]&amp;"-"&amp;Tabela1[[#This Row],[Código]]&amp;"/"&amp;Tabela1[[#This Row],[Origem]]</f>
        <v>Garape-H117P311/MG</v>
      </c>
      <c r="F2561" s="88">
        <v>47024</v>
      </c>
      <c r="G2561" s="88" t="str" cm="1">
        <f t="array" ref="G25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AND(F2561&gt;= DATE(2026,1,1), F2561&lt;= DATE(2028, 12, 31), J2561&gt;50000), "Pendente e Caro", AND(F2561&gt;= DATE(2026,1,1), F2561&lt;= DATE(2028, 12, 31), J2561&lt;=50000), "Pendente", F2561&gt;= DATE(2029,1,1), "Não prioeitário")</f>
        <v>Pendente e Caro</v>
      </c>
      <c r="H2561" s="89">
        <f>YEAR(Tabela1[[#This Row],[Data de Validade]])</f>
        <v>2028</v>
      </c>
      <c r="I2561" s="89">
        <f>MONTH(Tabela1[[#This Row],[Data de Validade]])</f>
        <v>9</v>
      </c>
      <c r="J2561" s="101">
        <v>96394</v>
      </c>
      <c r="K2561" s="87" t="s">
        <v>14</v>
      </c>
      <c r="L2561" s="108"/>
      <c r="M2561" s="108"/>
      <c r="N2561" s="108" t="str">
        <v>H862H654</v>
      </c>
      <c r="O2561" s="108">
        <f t="shared" si="41"/>
        <v>1</v>
      </c>
      <c r="P2561" s="108"/>
      <c r="Q2561"/>
    </row>
    <row r="2562" spans="1:17" x14ac:dyDescent="0.25">
      <c r="A2562" s="89" t="s">
        <v>8813</v>
      </c>
      <c r="B2562" s="87" t="s">
        <v>8814</v>
      </c>
      <c r="C2562" s="87" t="s">
        <v>13</v>
      </c>
      <c r="D2562" s="87" t="str">
        <f>VLOOKUP(Tabela1[[#This Row],[Origem]], 'Perguntas 1 a 24'!$J$28:$K$34, 2, 0)</f>
        <v>Sudeste</v>
      </c>
      <c r="E2562" s="87" t="str">
        <f>Tabela1[[#This Row],[Descrição]]&amp;"-"&amp;Tabela1[[#This Row],[Código]]&amp;"/"&amp;Tabela1[[#This Row],[Origem]]</f>
        <v>Fevedimeci-H862H654/SP</v>
      </c>
      <c r="F2562" s="88">
        <v>47025</v>
      </c>
      <c r="G2562" s="88" t="str" cm="1">
        <f t="array" ref="G25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AND(F2562&gt;= DATE(2026,1,1), F2562&lt;= DATE(2028, 12, 31), J2562&gt;50000), "Pendente e Caro", AND(F2562&gt;= DATE(2026,1,1), F2562&lt;= DATE(2028, 12, 31), J2562&lt;=50000), "Pendente", F2562&gt;= DATE(2029,1,1), "Não prioeitário")</f>
        <v>Pendente</v>
      </c>
      <c r="H2562" s="89">
        <f>YEAR(Tabela1[[#This Row],[Data de Validade]])</f>
        <v>2028</v>
      </c>
      <c r="I2562" s="89">
        <f>MONTH(Tabela1[[#This Row],[Data de Validade]])</f>
        <v>9</v>
      </c>
      <c r="J2562" s="101">
        <v>30889</v>
      </c>
      <c r="K2562" s="87" t="s">
        <v>9</v>
      </c>
      <c r="L2562" s="108"/>
      <c r="M2562" s="108"/>
      <c r="N2562" s="108" t="str">
        <v>P555P438</v>
      </c>
      <c r="O2562" s="108">
        <f t="shared" si="41"/>
        <v>1</v>
      </c>
      <c r="P2562" s="108"/>
      <c r="Q2562"/>
    </row>
    <row r="2563" spans="1:17" x14ac:dyDescent="0.25">
      <c r="A2563" s="89" t="s">
        <v>11149</v>
      </c>
      <c r="B2563" s="87" t="s">
        <v>11150</v>
      </c>
      <c r="C2563" s="87" t="s">
        <v>15</v>
      </c>
      <c r="D2563" s="87" t="str">
        <f>VLOOKUP(Tabela1[[#This Row],[Origem]], 'Perguntas 1 a 24'!$J$28:$K$34, 2, 0)</f>
        <v>Sudeste</v>
      </c>
      <c r="E2563" s="87" t="str">
        <f>Tabela1[[#This Row],[Descrição]]&amp;"-"&amp;Tabela1[[#This Row],[Código]]&amp;"/"&amp;Tabela1[[#This Row],[Origem]]</f>
        <v>Rimadupive-P555P438/ES</v>
      </c>
      <c r="F2563" s="88">
        <v>47026</v>
      </c>
      <c r="G2563" s="88" t="str" cm="1">
        <f t="array" ref="G25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AND(F2563&gt;= DATE(2026,1,1), F2563&lt;= DATE(2028, 12, 31), J2563&gt;50000), "Pendente e Caro", AND(F2563&gt;= DATE(2026,1,1), F2563&lt;= DATE(2028, 12, 31), J2563&lt;=50000), "Pendente", F2563&gt;= DATE(2029,1,1), "Não prioeitário")</f>
        <v>Pendente e Caro</v>
      </c>
      <c r="H2563" s="89">
        <f>YEAR(Tabela1[[#This Row],[Data de Validade]])</f>
        <v>2028</v>
      </c>
      <c r="I2563" s="89">
        <f>MONTH(Tabela1[[#This Row],[Data de Validade]])</f>
        <v>9</v>
      </c>
      <c r="J2563" s="101">
        <v>110245</v>
      </c>
      <c r="K2563" s="87" t="s">
        <v>9</v>
      </c>
      <c r="L2563" s="108"/>
      <c r="M2563" s="108"/>
      <c r="N2563" s="108" t="str">
        <v>P693P166</v>
      </c>
      <c r="O2563" s="108">
        <f t="shared" ref="O2563:O2626" si="42">COUNTIFS(B:B,N2563)</f>
        <v>1</v>
      </c>
      <c r="P2563" s="108"/>
      <c r="Q2563"/>
    </row>
    <row r="2564" spans="1:17" x14ac:dyDescent="0.25">
      <c r="A2564" s="89" t="s">
        <v>9363</v>
      </c>
      <c r="B2564" s="87" t="s">
        <v>9364</v>
      </c>
      <c r="C2564" s="87" t="s">
        <v>6</v>
      </c>
      <c r="D2564" s="87" t="str">
        <f>VLOOKUP(Tabela1[[#This Row],[Origem]], 'Perguntas 1 a 24'!$J$28:$K$34, 2, 0)</f>
        <v>Nordeste</v>
      </c>
      <c r="E2564" s="87" t="str">
        <f>Tabela1[[#This Row],[Descrição]]&amp;"-"&amp;Tabela1[[#This Row],[Código]]&amp;"/"&amp;Tabela1[[#This Row],[Origem]]</f>
        <v>Capepa-P693P166/MA</v>
      </c>
      <c r="F2564" s="88">
        <v>47026</v>
      </c>
      <c r="G2564" s="88" t="str" cm="1">
        <f t="array" ref="G25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AND(F2564&gt;= DATE(2026,1,1), F2564&lt;= DATE(2028, 12, 31), J2564&gt;50000), "Pendente e Caro", AND(F2564&gt;= DATE(2026,1,1), F2564&lt;= DATE(2028, 12, 31), J2564&lt;=50000), "Pendente", F2564&gt;= DATE(2029,1,1), "Não prioeitário")</f>
        <v>Pendente e Caro</v>
      </c>
      <c r="H2564" s="89">
        <f>YEAR(Tabela1[[#This Row],[Data de Validade]])</f>
        <v>2028</v>
      </c>
      <c r="I2564" s="89">
        <f>MONTH(Tabela1[[#This Row],[Data de Validade]])</f>
        <v>9</v>
      </c>
      <c r="J2564" s="101">
        <v>88158</v>
      </c>
      <c r="K2564" s="87" t="s">
        <v>9</v>
      </c>
      <c r="L2564" s="108"/>
      <c r="M2564" s="108"/>
      <c r="N2564" s="108" t="str">
        <v>P238H944</v>
      </c>
      <c r="O2564" s="108">
        <f t="shared" si="42"/>
        <v>1</v>
      </c>
      <c r="P2564" s="108"/>
      <c r="Q2564"/>
    </row>
    <row r="2565" spans="1:17" x14ac:dyDescent="0.25">
      <c r="A2565" s="89" t="s">
        <v>8619</v>
      </c>
      <c r="B2565" s="87" t="s">
        <v>8620</v>
      </c>
      <c r="C2565" s="87" t="s">
        <v>16</v>
      </c>
      <c r="D2565" s="87" t="str">
        <f>VLOOKUP(Tabela1[[#This Row],[Origem]], 'Perguntas 1 a 24'!$J$28:$K$34, 2, 0)</f>
        <v>Sudeste</v>
      </c>
      <c r="E2565" s="87" t="str">
        <f>Tabela1[[#This Row],[Descrição]]&amp;"-"&amp;Tabela1[[#This Row],[Código]]&amp;"/"&amp;Tabela1[[#This Row],[Origem]]</f>
        <v>Lepeci-P238H944/MG</v>
      </c>
      <c r="F2565" s="88">
        <v>47026</v>
      </c>
      <c r="G2565" s="88" t="str" cm="1">
        <f t="array" ref="G25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AND(F2565&gt;= DATE(2026,1,1), F2565&lt;= DATE(2028, 12, 31), J2565&gt;50000), "Pendente e Caro", AND(F2565&gt;= DATE(2026,1,1), F2565&lt;= DATE(2028, 12, 31), J2565&lt;=50000), "Pendente", F2565&gt;= DATE(2029,1,1), "Não prioeitário")</f>
        <v>Pendente e Caro</v>
      </c>
      <c r="H2565" s="89">
        <f>YEAR(Tabela1[[#This Row],[Data de Validade]])</f>
        <v>2028</v>
      </c>
      <c r="I2565" s="89">
        <f>MONTH(Tabela1[[#This Row],[Data de Validade]])</f>
        <v>9</v>
      </c>
      <c r="J2565" s="101">
        <v>72880</v>
      </c>
      <c r="K2565" s="87" t="s">
        <v>7</v>
      </c>
      <c r="L2565" s="108"/>
      <c r="M2565" s="108"/>
      <c r="N2565" s="108" t="str">
        <v>P436P729</v>
      </c>
      <c r="O2565" s="108">
        <f t="shared" si="42"/>
        <v>1</v>
      </c>
      <c r="P2565" s="108"/>
      <c r="Q2565"/>
    </row>
    <row r="2566" spans="1:17" x14ac:dyDescent="0.25">
      <c r="A2566" s="89" t="s">
        <v>5798</v>
      </c>
      <c r="B2566" s="87" t="s">
        <v>5799</v>
      </c>
      <c r="C2566" s="87" t="s">
        <v>8</v>
      </c>
      <c r="D2566" s="87" t="str">
        <f>VLOOKUP(Tabela1[[#This Row],[Origem]], 'Perguntas 1 a 24'!$J$28:$K$34, 2, 0)</f>
        <v>Nordeste</v>
      </c>
      <c r="E2566" s="87" t="str">
        <f>Tabela1[[#This Row],[Descrição]]&amp;"-"&amp;Tabela1[[#This Row],[Código]]&amp;"/"&amp;Tabela1[[#This Row],[Origem]]</f>
        <v>Vinivomeru-P436P729/AL</v>
      </c>
      <c r="F2566" s="88">
        <v>47027</v>
      </c>
      <c r="G2566" s="88" t="str" cm="1">
        <f t="array" ref="G25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AND(F2566&gt;= DATE(2026,1,1), F2566&lt;= DATE(2028, 12, 31), J2566&gt;50000), "Pendente e Caro", AND(F2566&gt;= DATE(2026,1,1), F2566&lt;= DATE(2028, 12, 31), J2566&lt;=50000), "Pendente", F2566&gt;= DATE(2029,1,1), "Não prioeitário")</f>
        <v>Pendente e Caro</v>
      </c>
      <c r="H2566" s="89">
        <f>YEAR(Tabela1[[#This Row],[Data de Validade]])</f>
        <v>2028</v>
      </c>
      <c r="I2566" s="89">
        <f>MONTH(Tabela1[[#This Row],[Data de Validade]])</f>
        <v>10</v>
      </c>
      <c r="J2566" s="101">
        <v>117068</v>
      </c>
      <c r="K2566" s="87" t="s">
        <v>7</v>
      </c>
      <c r="L2566" s="108"/>
      <c r="M2566" s="108"/>
      <c r="N2566" s="108" t="str">
        <v>H164P573</v>
      </c>
      <c r="O2566" s="108">
        <f t="shared" si="42"/>
        <v>1</v>
      </c>
      <c r="P2566" s="108"/>
      <c r="Q2566"/>
    </row>
    <row r="2567" spans="1:17" x14ac:dyDescent="0.25">
      <c r="A2567" s="89" t="s">
        <v>6254</v>
      </c>
      <c r="B2567" s="87" t="s">
        <v>6255</v>
      </c>
      <c r="C2567" s="87" t="s">
        <v>12</v>
      </c>
      <c r="D2567" s="87" t="str">
        <f>VLOOKUP(Tabela1[[#This Row],[Origem]], 'Perguntas 1 a 24'!$J$28:$K$34, 2, 0)</f>
        <v>Sudeste</v>
      </c>
      <c r="E2567" s="87" t="str">
        <f>Tabela1[[#This Row],[Descrição]]&amp;"-"&amp;Tabela1[[#This Row],[Código]]&amp;"/"&amp;Tabela1[[#This Row],[Origem]]</f>
        <v>Leramape-H164P573/RJ</v>
      </c>
      <c r="F2567" s="88">
        <v>47027</v>
      </c>
      <c r="G2567" s="88" t="str" cm="1">
        <f t="array" ref="G25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AND(F2567&gt;= DATE(2026,1,1), F2567&lt;= DATE(2028, 12, 31), J2567&gt;50000), "Pendente e Caro", AND(F2567&gt;= DATE(2026,1,1), F2567&lt;= DATE(2028, 12, 31), J2567&lt;=50000), "Pendente", F2567&gt;= DATE(2029,1,1), "Não prioeitário")</f>
        <v>Pendente e Caro</v>
      </c>
      <c r="H2567" s="89">
        <f>YEAR(Tabela1[[#This Row],[Data de Validade]])</f>
        <v>2028</v>
      </c>
      <c r="I2567" s="89">
        <f>MONTH(Tabela1[[#This Row],[Data de Validade]])</f>
        <v>10</v>
      </c>
      <c r="J2567" s="101">
        <v>67054</v>
      </c>
      <c r="K2567" s="87" t="s">
        <v>7</v>
      </c>
      <c r="L2567" s="108"/>
      <c r="M2567" s="108"/>
      <c r="N2567" s="108" t="str">
        <v>H725H432</v>
      </c>
      <c r="O2567" s="108">
        <f t="shared" si="42"/>
        <v>1</v>
      </c>
      <c r="P2567" s="108"/>
      <c r="Q2567"/>
    </row>
    <row r="2568" spans="1:17" x14ac:dyDescent="0.25">
      <c r="A2568" s="89" t="s">
        <v>10505</v>
      </c>
      <c r="B2568" s="87" t="s">
        <v>10506</v>
      </c>
      <c r="C2568" s="87" t="s">
        <v>8</v>
      </c>
      <c r="D2568" s="87" t="str">
        <f>VLOOKUP(Tabela1[[#This Row],[Origem]], 'Perguntas 1 a 24'!$J$28:$K$34, 2, 0)</f>
        <v>Nordeste</v>
      </c>
      <c r="E2568" s="87" t="str">
        <f>Tabela1[[#This Row],[Descrição]]&amp;"-"&amp;Tabela1[[#This Row],[Código]]&amp;"/"&amp;Tabela1[[#This Row],[Origem]]</f>
        <v>Tugifemepo-H725H432/AL</v>
      </c>
      <c r="F2568" s="88">
        <v>47027</v>
      </c>
      <c r="G2568" s="88" t="str" cm="1">
        <f t="array" ref="G25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AND(F2568&gt;= DATE(2026,1,1), F2568&lt;= DATE(2028, 12, 31), J2568&gt;50000), "Pendente e Caro", AND(F2568&gt;= DATE(2026,1,1), F2568&lt;= DATE(2028, 12, 31), J2568&lt;=50000), "Pendente", F2568&gt;= DATE(2029,1,1), "Não prioeitário")</f>
        <v>Pendente</v>
      </c>
      <c r="H2568" s="89">
        <f>YEAR(Tabela1[[#This Row],[Data de Validade]])</f>
        <v>2028</v>
      </c>
      <c r="I2568" s="89">
        <f>MONTH(Tabela1[[#This Row],[Data de Validade]])</f>
        <v>10</v>
      </c>
      <c r="J2568" s="101">
        <v>33808</v>
      </c>
      <c r="K2568" s="87" t="s">
        <v>7</v>
      </c>
      <c r="L2568" s="108"/>
      <c r="M2568" s="108"/>
      <c r="N2568" s="108" t="str">
        <v>P487P455</v>
      </c>
      <c r="O2568" s="108">
        <f t="shared" si="42"/>
        <v>1</v>
      </c>
      <c r="P2568" s="108"/>
      <c r="Q2568"/>
    </row>
    <row r="2569" spans="1:17" x14ac:dyDescent="0.25">
      <c r="A2569" s="89" t="s">
        <v>5006</v>
      </c>
      <c r="B2569" s="87" t="s">
        <v>5007</v>
      </c>
      <c r="C2569" s="87" t="s">
        <v>12</v>
      </c>
      <c r="D2569" s="87" t="str">
        <f>VLOOKUP(Tabela1[[#This Row],[Origem]], 'Perguntas 1 a 24'!$J$28:$K$34, 2, 0)</f>
        <v>Sudeste</v>
      </c>
      <c r="E2569" s="87" t="str">
        <f>Tabela1[[#This Row],[Descrição]]&amp;"-"&amp;Tabela1[[#This Row],[Código]]&amp;"/"&amp;Tabela1[[#This Row],[Origem]]</f>
        <v>Dopacupu-P487P455/RJ</v>
      </c>
      <c r="F2569" s="88">
        <v>47029</v>
      </c>
      <c r="G2569" s="88" t="str" cm="1">
        <f t="array" ref="G25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AND(F2569&gt;= DATE(2026,1,1), F2569&lt;= DATE(2028, 12, 31), J2569&gt;50000), "Pendente e Caro", AND(F2569&gt;= DATE(2026,1,1), F2569&lt;= DATE(2028, 12, 31), J2569&lt;=50000), "Pendente", F2569&gt;= DATE(2029,1,1), "Não prioeitário")</f>
        <v>Pendente e Caro</v>
      </c>
      <c r="H2569" s="89">
        <f>YEAR(Tabela1[[#This Row],[Data de Validade]])</f>
        <v>2028</v>
      </c>
      <c r="I2569" s="89">
        <f>MONTH(Tabela1[[#This Row],[Data de Validade]])</f>
        <v>10</v>
      </c>
      <c r="J2569" s="101">
        <v>87702</v>
      </c>
      <c r="K2569" s="87" t="s">
        <v>14</v>
      </c>
      <c r="L2569" s="108"/>
      <c r="M2569" s="108"/>
      <c r="N2569" s="108" t="str">
        <v>H821H871</v>
      </c>
      <c r="O2569" s="108">
        <f t="shared" si="42"/>
        <v>1</v>
      </c>
      <c r="P2569" s="108"/>
      <c r="Q2569"/>
    </row>
    <row r="2570" spans="1:17" x14ac:dyDescent="0.25">
      <c r="A2570" s="89" t="s">
        <v>4904</v>
      </c>
      <c r="B2570" s="87" t="s">
        <v>4905</v>
      </c>
      <c r="C2570" s="87" t="s">
        <v>13</v>
      </c>
      <c r="D2570" s="87" t="str">
        <f>VLOOKUP(Tabela1[[#This Row],[Origem]], 'Perguntas 1 a 24'!$J$28:$K$34, 2, 0)</f>
        <v>Sudeste</v>
      </c>
      <c r="E2570" s="87" t="str">
        <f>Tabela1[[#This Row],[Descrição]]&amp;"-"&amp;Tabela1[[#This Row],[Código]]&amp;"/"&amp;Tabela1[[#This Row],[Origem]]</f>
        <v>Dagara-H821H871/SP</v>
      </c>
      <c r="F2570" s="88">
        <v>47030</v>
      </c>
      <c r="G2570" s="88" t="str" cm="1">
        <f t="array" ref="G25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AND(F2570&gt;= DATE(2026,1,1), F2570&lt;= DATE(2028, 12, 31), J2570&gt;50000), "Pendente e Caro", AND(F2570&gt;= DATE(2026,1,1), F2570&lt;= DATE(2028, 12, 31), J2570&lt;=50000), "Pendente", F2570&gt;= DATE(2029,1,1), "Não prioeitário")</f>
        <v>Pendente e Caro</v>
      </c>
      <c r="H2570" s="89">
        <f>YEAR(Tabela1[[#This Row],[Data de Validade]])</f>
        <v>2028</v>
      </c>
      <c r="I2570" s="89">
        <f>MONTH(Tabela1[[#This Row],[Data de Validade]])</f>
        <v>10</v>
      </c>
      <c r="J2570" s="101">
        <v>50824</v>
      </c>
      <c r="K2570" s="87" t="s">
        <v>11</v>
      </c>
      <c r="L2570" s="108"/>
      <c r="M2570" s="108"/>
      <c r="N2570" s="108" t="str">
        <v>P224P535</v>
      </c>
      <c r="O2570" s="108">
        <f t="shared" si="42"/>
        <v>1</v>
      </c>
      <c r="P2570" s="108"/>
      <c r="Q2570"/>
    </row>
    <row r="2571" spans="1:17" x14ac:dyDescent="0.25">
      <c r="A2571" s="89" t="s">
        <v>5960</v>
      </c>
      <c r="B2571" s="87" t="s">
        <v>5961</v>
      </c>
      <c r="C2571" s="87" t="s">
        <v>15</v>
      </c>
      <c r="D2571" s="87" t="str">
        <f>VLOOKUP(Tabela1[[#This Row],[Origem]], 'Perguntas 1 a 24'!$J$28:$K$34, 2, 0)</f>
        <v>Sudeste</v>
      </c>
      <c r="E2571" s="87" t="str">
        <f>Tabela1[[#This Row],[Descrição]]&amp;"-"&amp;Tabela1[[#This Row],[Código]]&amp;"/"&amp;Tabela1[[#This Row],[Origem]]</f>
        <v>Nolerumere-P224P535/ES</v>
      </c>
      <c r="F2571" s="88">
        <v>47031</v>
      </c>
      <c r="G2571" s="88" t="str" cm="1">
        <f t="array" ref="G25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AND(F2571&gt;= DATE(2026,1,1), F2571&lt;= DATE(2028, 12, 31), J2571&gt;50000), "Pendente e Caro", AND(F2571&gt;= DATE(2026,1,1), F2571&lt;= DATE(2028, 12, 31), J2571&lt;=50000), "Pendente", F2571&gt;= DATE(2029,1,1), "Não prioeitário")</f>
        <v>Pendente</v>
      </c>
      <c r="H2571" s="89">
        <f>YEAR(Tabela1[[#This Row],[Data de Validade]])</f>
        <v>2028</v>
      </c>
      <c r="I2571" s="89">
        <f>MONTH(Tabela1[[#This Row],[Data de Validade]])</f>
        <v>10</v>
      </c>
      <c r="J2571" s="101">
        <v>48768</v>
      </c>
      <c r="K2571" s="87" t="s">
        <v>9</v>
      </c>
      <c r="L2571" s="108"/>
      <c r="M2571" s="108"/>
      <c r="N2571" s="108" t="str">
        <v>P296H645</v>
      </c>
      <c r="O2571" s="108">
        <f t="shared" si="42"/>
        <v>1</v>
      </c>
      <c r="P2571" s="108"/>
      <c r="Q2571"/>
    </row>
    <row r="2572" spans="1:17" x14ac:dyDescent="0.25">
      <c r="A2572" s="89" t="s">
        <v>4758</v>
      </c>
      <c r="B2572" s="87" t="s">
        <v>4759</v>
      </c>
      <c r="C2572" s="87" t="s">
        <v>6</v>
      </c>
      <c r="D2572" s="87" t="str">
        <f>VLOOKUP(Tabela1[[#This Row],[Origem]], 'Perguntas 1 a 24'!$J$28:$K$34, 2, 0)</f>
        <v>Nordeste</v>
      </c>
      <c r="E2572" s="87" t="str">
        <f>Tabela1[[#This Row],[Descrição]]&amp;"-"&amp;Tabela1[[#This Row],[Código]]&amp;"/"&amp;Tabela1[[#This Row],[Origem]]</f>
        <v>Gufopu-P296H645/MA</v>
      </c>
      <c r="F2572" s="88">
        <v>47031</v>
      </c>
      <c r="G2572" s="88" t="str" cm="1">
        <f t="array" ref="G25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AND(F2572&gt;= DATE(2026,1,1), F2572&lt;= DATE(2028, 12, 31), J2572&gt;50000), "Pendente e Caro", AND(F2572&gt;= DATE(2026,1,1), F2572&lt;= DATE(2028, 12, 31), J2572&lt;=50000), "Pendente", F2572&gt;= DATE(2029,1,1), "Não prioeitário")</f>
        <v>Pendente</v>
      </c>
      <c r="H2572" s="89">
        <f>YEAR(Tabela1[[#This Row],[Data de Validade]])</f>
        <v>2028</v>
      </c>
      <c r="I2572" s="89">
        <f>MONTH(Tabela1[[#This Row],[Data de Validade]])</f>
        <v>10</v>
      </c>
      <c r="J2572" s="101">
        <v>48583</v>
      </c>
      <c r="K2572" s="87" t="s">
        <v>9</v>
      </c>
      <c r="L2572" s="108"/>
      <c r="M2572" s="108"/>
      <c r="N2572" s="108" t="str">
        <v>H933H649</v>
      </c>
      <c r="O2572" s="108">
        <f t="shared" si="42"/>
        <v>1</v>
      </c>
      <c r="P2572" s="108"/>
      <c r="Q2572"/>
    </row>
    <row r="2573" spans="1:17" x14ac:dyDescent="0.25">
      <c r="A2573" s="89" t="s">
        <v>8563</v>
      </c>
      <c r="B2573" s="87" t="s">
        <v>8564</v>
      </c>
      <c r="C2573" s="87" t="s">
        <v>16</v>
      </c>
      <c r="D2573" s="87" t="str">
        <f>VLOOKUP(Tabela1[[#This Row],[Origem]], 'Perguntas 1 a 24'!$J$28:$K$34, 2, 0)</f>
        <v>Sudeste</v>
      </c>
      <c r="E2573" s="87" t="str">
        <f>Tabela1[[#This Row],[Descrição]]&amp;"-"&amp;Tabela1[[#This Row],[Código]]&amp;"/"&amp;Tabela1[[#This Row],[Origem]]</f>
        <v>Faparile-H933H649/MG</v>
      </c>
      <c r="F2573" s="88">
        <v>47031</v>
      </c>
      <c r="G2573" s="88" t="str" cm="1">
        <f t="array" ref="G25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AND(F2573&gt;= DATE(2026,1,1), F2573&lt;= DATE(2028, 12, 31), J2573&gt;50000), "Pendente e Caro", AND(F2573&gt;= DATE(2026,1,1), F2573&lt;= DATE(2028, 12, 31), J2573&lt;=50000), "Pendente", F2573&gt;= DATE(2029,1,1), "Não prioeitário")</f>
        <v>Pendente</v>
      </c>
      <c r="H2573" s="89">
        <f>YEAR(Tabela1[[#This Row],[Data de Validade]])</f>
        <v>2028</v>
      </c>
      <c r="I2573" s="89">
        <f>MONTH(Tabela1[[#This Row],[Data de Validade]])</f>
        <v>10</v>
      </c>
      <c r="J2573" s="101">
        <v>33757</v>
      </c>
      <c r="K2573" s="87" t="s">
        <v>11</v>
      </c>
      <c r="L2573" s="108"/>
      <c r="M2573" s="108"/>
      <c r="N2573" s="108" t="str">
        <v>P865P645</v>
      </c>
      <c r="O2573" s="108">
        <f t="shared" si="42"/>
        <v>1</v>
      </c>
      <c r="P2573" s="108"/>
      <c r="Q2573"/>
    </row>
    <row r="2574" spans="1:17" x14ac:dyDescent="0.25">
      <c r="A2574" s="89" t="s">
        <v>5252</v>
      </c>
      <c r="B2574" s="87" t="s">
        <v>5253</v>
      </c>
      <c r="C2574" s="87" t="s">
        <v>12</v>
      </c>
      <c r="D2574" s="87" t="str">
        <f>VLOOKUP(Tabela1[[#This Row],[Origem]], 'Perguntas 1 a 24'!$J$28:$K$34, 2, 0)</f>
        <v>Sudeste</v>
      </c>
      <c r="E2574" s="87" t="str">
        <f>Tabela1[[#This Row],[Descrição]]&amp;"-"&amp;Tabela1[[#This Row],[Código]]&amp;"/"&amp;Tabela1[[#This Row],[Origem]]</f>
        <v>Todarito-P865P645/RJ</v>
      </c>
      <c r="F2574" s="88">
        <v>47032</v>
      </c>
      <c r="G2574" s="88" t="str" cm="1">
        <f t="array" ref="G25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AND(F2574&gt;= DATE(2026,1,1), F2574&lt;= DATE(2028, 12, 31), J2574&gt;50000), "Pendente e Caro", AND(F2574&gt;= DATE(2026,1,1), F2574&lt;= DATE(2028, 12, 31), J2574&lt;=50000), "Pendente", F2574&gt;= DATE(2029,1,1), "Não prioeitário")</f>
        <v>Pendente</v>
      </c>
      <c r="H2574" s="89">
        <f>YEAR(Tabela1[[#This Row],[Data de Validade]])</f>
        <v>2028</v>
      </c>
      <c r="I2574" s="89">
        <f>MONTH(Tabela1[[#This Row],[Data de Validade]])</f>
        <v>10</v>
      </c>
      <c r="J2574" s="101">
        <v>21694</v>
      </c>
      <c r="K2574" s="87" t="s">
        <v>9</v>
      </c>
      <c r="L2574" s="108"/>
      <c r="M2574" s="108"/>
      <c r="N2574" s="108" t="str">
        <v>P364P669</v>
      </c>
      <c r="O2574" s="108">
        <f t="shared" si="42"/>
        <v>1</v>
      </c>
      <c r="P2574" s="108"/>
      <c r="Q2574"/>
    </row>
    <row r="2575" spans="1:17" x14ac:dyDescent="0.25">
      <c r="A2575" s="89" t="s">
        <v>5290</v>
      </c>
      <c r="B2575" s="87" t="s">
        <v>5291</v>
      </c>
      <c r="C2575" s="87" t="s">
        <v>12</v>
      </c>
      <c r="D2575" s="87" t="str">
        <f>VLOOKUP(Tabela1[[#This Row],[Origem]], 'Perguntas 1 a 24'!$J$28:$K$34, 2, 0)</f>
        <v>Sudeste</v>
      </c>
      <c r="E2575" s="87" t="str">
        <f>Tabela1[[#This Row],[Descrição]]&amp;"-"&amp;Tabela1[[#This Row],[Código]]&amp;"/"&amp;Tabela1[[#This Row],[Origem]]</f>
        <v>Vuvarorera-P364P669/RJ</v>
      </c>
      <c r="F2575" s="88">
        <v>47035</v>
      </c>
      <c r="G2575" s="88" t="str" cm="1">
        <f t="array" ref="G25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AND(F2575&gt;= DATE(2026,1,1), F2575&lt;= DATE(2028, 12, 31), J2575&gt;50000), "Pendente e Caro", AND(F2575&gt;= DATE(2026,1,1), F2575&lt;= DATE(2028, 12, 31), J2575&lt;=50000), "Pendente", F2575&gt;= DATE(2029,1,1), "Não prioeitário")</f>
        <v>Pendente e Caro</v>
      </c>
      <c r="H2575" s="89">
        <f>YEAR(Tabela1[[#This Row],[Data de Validade]])</f>
        <v>2028</v>
      </c>
      <c r="I2575" s="89">
        <f>MONTH(Tabela1[[#This Row],[Data de Validade]])</f>
        <v>10</v>
      </c>
      <c r="J2575" s="101">
        <v>86543</v>
      </c>
      <c r="K2575" s="87" t="s">
        <v>11</v>
      </c>
      <c r="L2575" s="108"/>
      <c r="M2575" s="108"/>
      <c r="N2575" s="108" t="str">
        <v>H946H846</v>
      </c>
      <c r="O2575" s="108">
        <f t="shared" si="42"/>
        <v>1</v>
      </c>
      <c r="P2575" s="108"/>
      <c r="Q2575"/>
    </row>
    <row r="2576" spans="1:17" x14ac:dyDescent="0.25">
      <c r="A2576" s="89" t="s">
        <v>5882</v>
      </c>
      <c r="B2576" s="87" t="s">
        <v>5883</v>
      </c>
      <c r="C2576" s="87" t="s">
        <v>6</v>
      </c>
      <c r="D2576" s="87" t="str">
        <f>VLOOKUP(Tabela1[[#This Row],[Origem]], 'Perguntas 1 a 24'!$J$28:$K$34, 2, 0)</f>
        <v>Nordeste</v>
      </c>
      <c r="E2576" s="87" t="str">
        <f>Tabela1[[#This Row],[Descrição]]&amp;"-"&amp;Tabela1[[#This Row],[Código]]&amp;"/"&amp;Tabela1[[#This Row],[Origem]]</f>
        <v>Decimugico-H946H846/MA</v>
      </c>
      <c r="F2576" s="88">
        <v>47035</v>
      </c>
      <c r="G2576" s="88" t="str" cm="1">
        <f t="array" ref="G25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AND(F2576&gt;= DATE(2026,1,1), F2576&lt;= DATE(2028, 12, 31), J2576&gt;50000), "Pendente e Caro", AND(F2576&gt;= DATE(2026,1,1), F2576&lt;= DATE(2028, 12, 31), J2576&lt;=50000), "Pendente", F2576&gt;= DATE(2029,1,1), "Não prioeitário")</f>
        <v>Pendente e Caro</v>
      </c>
      <c r="H2576" s="89">
        <f>YEAR(Tabela1[[#This Row],[Data de Validade]])</f>
        <v>2028</v>
      </c>
      <c r="I2576" s="89">
        <f>MONTH(Tabela1[[#This Row],[Data de Validade]])</f>
        <v>10</v>
      </c>
      <c r="J2576" s="101">
        <v>83073</v>
      </c>
      <c r="K2576" s="87" t="s">
        <v>11</v>
      </c>
      <c r="L2576" s="108"/>
      <c r="M2576" s="108"/>
      <c r="N2576" s="108" t="str">
        <v>P546H495</v>
      </c>
      <c r="O2576" s="108">
        <f t="shared" si="42"/>
        <v>1</v>
      </c>
      <c r="P2576" s="108"/>
      <c r="Q2576"/>
    </row>
    <row r="2577" spans="1:17" x14ac:dyDescent="0.25">
      <c r="A2577" s="89" t="s">
        <v>5068</v>
      </c>
      <c r="B2577" s="87" t="s">
        <v>5069</v>
      </c>
      <c r="C2577" s="87" t="s">
        <v>10</v>
      </c>
      <c r="D2577" s="87" t="str">
        <f>VLOOKUP(Tabela1[[#This Row],[Origem]], 'Perguntas 1 a 24'!$J$28:$K$34, 2, 0)</f>
        <v>Centro-Oeste</v>
      </c>
      <c r="E2577" s="87" t="str">
        <f>Tabela1[[#This Row],[Descrição]]&amp;"-"&amp;Tabela1[[#This Row],[Código]]&amp;"/"&amp;Tabela1[[#This Row],[Origem]]</f>
        <v>Dipapipige-P546H495/GO</v>
      </c>
      <c r="F2577" s="88">
        <v>47036</v>
      </c>
      <c r="G2577" s="88" t="str" cm="1">
        <f t="array" ref="G25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AND(F2577&gt;= DATE(2026,1,1), F2577&lt;= DATE(2028, 12, 31), J2577&gt;50000), "Pendente e Caro", AND(F2577&gt;= DATE(2026,1,1), F2577&lt;= DATE(2028, 12, 31), J2577&lt;=50000), "Pendente", F2577&gt;= DATE(2029,1,1), "Não prioeitário")</f>
        <v>Pendente</v>
      </c>
      <c r="H2577" s="89">
        <f>YEAR(Tabela1[[#This Row],[Data de Validade]])</f>
        <v>2028</v>
      </c>
      <c r="I2577" s="89">
        <f>MONTH(Tabela1[[#This Row],[Data de Validade]])</f>
        <v>10</v>
      </c>
      <c r="J2577" s="101">
        <v>48294</v>
      </c>
      <c r="K2577" s="87" t="s">
        <v>14</v>
      </c>
      <c r="L2577" s="108"/>
      <c r="M2577" s="108"/>
      <c r="N2577" s="108" t="str">
        <v>P887P587</v>
      </c>
      <c r="O2577" s="108">
        <f t="shared" si="42"/>
        <v>1</v>
      </c>
      <c r="P2577" s="108"/>
      <c r="Q2577"/>
    </row>
    <row r="2578" spans="1:17" x14ac:dyDescent="0.25">
      <c r="A2578" s="89" t="s">
        <v>8537</v>
      </c>
      <c r="B2578" s="87" t="s">
        <v>8538</v>
      </c>
      <c r="C2578" s="87" t="s">
        <v>16</v>
      </c>
      <c r="D2578" s="87" t="str">
        <f>VLOOKUP(Tabela1[[#This Row],[Origem]], 'Perguntas 1 a 24'!$J$28:$K$34, 2, 0)</f>
        <v>Sudeste</v>
      </c>
      <c r="E2578" s="87" t="str">
        <f>Tabela1[[#This Row],[Descrição]]&amp;"-"&amp;Tabela1[[#This Row],[Código]]&amp;"/"&amp;Tabela1[[#This Row],[Origem]]</f>
        <v>Togupitovo-P887P587/MG</v>
      </c>
      <c r="F2578" s="88">
        <v>47036</v>
      </c>
      <c r="G2578" s="88" t="str" cm="1">
        <f t="array" ref="G25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AND(F2578&gt;= DATE(2026,1,1), F2578&lt;= DATE(2028, 12, 31), J2578&gt;50000), "Pendente e Caro", AND(F2578&gt;= DATE(2026,1,1), F2578&lt;= DATE(2028, 12, 31), J2578&lt;=50000), "Pendente", F2578&gt;= DATE(2029,1,1), "Não prioeitário")</f>
        <v>Pendente</v>
      </c>
      <c r="H2578" s="89">
        <f>YEAR(Tabela1[[#This Row],[Data de Validade]])</f>
        <v>2028</v>
      </c>
      <c r="I2578" s="89">
        <f>MONTH(Tabela1[[#This Row],[Data de Validade]])</f>
        <v>10</v>
      </c>
      <c r="J2578" s="101">
        <v>32308</v>
      </c>
      <c r="K2578" s="87" t="s">
        <v>7</v>
      </c>
      <c r="L2578" s="108"/>
      <c r="M2578" s="108"/>
      <c r="N2578" s="108" t="str">
        <v>H571P511</v>
      </c>
      <c r="O2578" s="108">
        <f t="shared" si="42"/>
        <v>1</v>
      </c>
      <c r="P2578" s="108"/>
      <c r="Q2578"/>
    </row>
    <row r="2579" spans="1:17" x14ac:dyDescent="0.25">
      <c r="A2579" s="89" t="s">
        <v>7120</v>
      </c>
      <c r="B2579" s="87" t="s">
        <v>7121</v>
      </c>
      <c r="C2579" s="87" t="s">
        <v>10</v>
      </c>
      <c r="D2579" s="87" t="str">
        <f>VLOOKUP(Tabela1[[#This Row],[Origem]], 'Perguntas 1 a 24'!$J$28:$K$34, 2, 0)</f>
        <v>Centro-Oeste</v>
      </c>
      <c r="E2579" s="87" t="str">
        <f>Tabela1[[#This Row],[Descrição]]&amp;"-"&amp;Tabela1[[#This Row],[Código]]&amp;"/"&amp;Tabela1[[#This Row],[Origem]]</f>
        <v>Rapurade-H571P511/GO</v>
      </c>
      <c r="F2579" s="88">
        <v>47038</v>
      </c>
      <c r="G2579" s="88" t="str" cm="1">
        <f t="array" ref="G25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AND(F2579&gt;= DATE(2026,1,1), F2579&lt;= DATE(2028, 12, 31), J2579&gt;50000), "Pendente e Caro", AND(F2579&gt;= DATE(2026,1,1), F2579&lt;= DATE(2028, 12, 31), J2579&lt;=50000), "Pendente", F2579&gt;= DATE(2029,1,1), "Não prioeitário")</f>
        <v>Pendente</v>
      </c>
      <c r="H2579" s="89">
        <f>YEAR(Tabela1[[#This Row],[Data de Validade]])</f>
        <v>2028</v>
      </c>
      <c r="I2579" s="89">
        <f>MONTH(Tabela1[[#This Row],[Data de Validade]])</f>
        <v>10</v>
      </c>
      <c r="J2579" s="101">
        <v>36036</v>
      </c>
      <c r="K2579" s="87" t="s">
        <v>14</v>
      </c>
      <c r="L2579" s="108"/>
      <c r="M2579" s="108"/>
      <c r="N2579" s="108" t="str">
        <v>P185P343</v>
      </c>
      <c r="O2579" s="108">
        <f t="shared" si="42"/>
        <v>1</v>
      </c>
      <c r="P2579" s="108"/>
      <c r="Q2579"/>
    </row>
    <row r="2580" spans="1:17" x14ac:dyDescent="0.25">
      <c r="A2580" s="89" t="s">
        <v>10031</v>
      </c>
      <c r="B2580" s="87" t="s">
        <v>10032</v>
      </c>
      <c r="C2580" s="87" t="s">
        <v>6</v>
      </c>
      <c r="D2580" s="87" t="str">
        <f>VLOOKUP(Tabela1[[#This Row],[Origem]], 'Perguntas 1 a 24'!$J$28:$K$34, 2, 0)</f>
        <v>Nordeste</v>
      </c>
      <c r="E2580" s="87" t="str">
        <f>Tabela1[[#This Row],[Descrição]]&amp;"-"&amp;Tabela1[[#This Row],[Código]]&amp;"/"&amp;Tabela1[[#This Row],[Origem]]</f>
        <v>Defelogo-P185P343/MA</v>
      </c>
      <c r="F2580" s="88">
        <v>47040</v>
      </c>
      <c r="G2580" s="88" t="str" cm="1">
        <f t="array" ref="G25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AND(F2580&gt;= DATE(2026,1,1), F2580&lt;= DATE(2028, 12, 31), J2580&gt;50000), "Pendente e Caro", AND(F2580&gt;= DATE(2026,1,1), F2580&lt;= DATE(2028, 12, 31), J2580&lt;=50000), "Pendente", F2580&gt;= DATE(2029,1,1), "Não prioeitário")</f>
        <v>Pendente e Caro</v>
      </c>
      <c r="H2580" s="89">
        <f>YEAR(Tabela1[[#This Row],[Data de Validade]])</f>
        <v>2028</v>
      </c>
      <c r="I2580" s="89">
        <f>MONTH(Tabela1[[#This Row],[Data de Validade]])</f>
        <v>10</v>
      </c>
      <c r="J2580" s="101">
        <v>60569</v>
      </c>
      <c r="K2580" s="87" t="s">
        <v>14</v>
      </c>
      <c r="L2580" s="108"/>
      <c r="M2580" s="108"/>
      <c r="N2580" s="108" t="str">
        <v>H193H665</v>
      </c>
      <c r="O2580" s="108">
        <f t="shared" si="42"/>
        <v>1</v>
      </c>
      <c r="P2580" s="108"/>
      <c r="Q2580"/>
    </row>
    <row r="2581" spans="1:17" x14ac:dyDescent="0.25">
      <c r="A2581" s="89" t="s">
        <v>11032</v>
      </c>
      <c r="B2581" s="87" t="s">
        <v>11033</v>
      </c>
      <c r="C2581" s="87" t="s">
        <v>15</v>
      </c>
      <c r="D2581" s="87" t="str">
        <f>VLOOKUP(Tabela1[[#This Row],[Origem]], 'Perguntas 1 a 24'!$J$28:$K$34, 2, 0)</f>
        <v>Sudeste</v>
      </c>
      <c r="E2581" s="87" t="str">
        <f>Tabela1[[#This Row],[Descrição]]&amp;"-"&amp;Tabela1[[#This Row],[Código]]&amp;"/"&amp;Tabela1[[#This Row],[Origem]]</f>
        <v>Galarilo-H193H665/ES</v>
      </c>
      <c r="F2581" s="88">
        <v>47042</v>
      </c>
      <c r="G2581" s="88" t="str" cm="1">
        <f t="array" ref="G25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AND(F2581&gt;= DATE(2026,1,1), F2581&lt;= DATE(2028, 12, 31), J2581&gt;50000), "Pendente e Caro", AND(F2581&gt;= DATE(2026,1,1), F2581&lt;= DATE(2028, 12, 31), J2581&lt;=50000), "Pendente", F2581&gt;= DATE(2029,1,1), "Não prioeitário")</f>
        <v>Pendente e Caro</v>
      </c>
      <c r="H2581" s="89">
        <f>YEAR(Tabela1[[#This Row],[Data de Validade]])</f>
        <v>2028</v>
      </c>
      <c r="I2581" s="89">
        <f>MONTH(Tabela1[[#This Row],[Data de Validade]])</f>
        <v>10</v>
      </c>
      <c r="J2581" s="101">
        <v>114437</v>
      </c>
      <c r="K2581" s="87" t="s">
        <v>11</v>
      </c>
      <c r="L2581" s="108"/>
      <c r="M2581" s="108"/>
      <c r="N2581" s="108" t="str">
        <v>H523H796</v>
      </c>
      <c r="O2581" s="108">
        <f t="shared" si="42"/>
        <v>1</v>
      </c>
      <c r="P2581" s="108"/>
      <c r="Q2581"/>
    </row>
    <row r="2582" spans="1:17" x14ac:dyDescent="0.25">
      <c r="A2582" s="89" t="s">
        <v>7576</v>
      </c>
      <c r="B2582" s="87" t="s">
        <v>7577</v>
      </c>
      <c r="C2582" s="87" t="s">
        <v>12</v>
      </c>
      <c r="D2582" s="87" t="str">
        <f>VLOOKUP(Tabela1[[#This Row],[Origem]], 'Perguntas 1 a 24'!$J$28:$K$34, 2, 0)</f>
        <v>Sudeste</v>
      </c>
      <c r="E2582" s="87" t="str">
        <f>Tabela1[[#This Row],[Descrição]]&amp;"-"&amp;Tabela1[[#This Row],[Código]]&amp;"/"&amp;Tabela1[[#This Row],[Origem]]</f>
        <v>Panilo-H523H796/RJ</v>
      </c>
      <c r="F2582" s="88">
        <v>47043</v>
      </c>
      <c r="G2582" s="88" t="str" cm="1">
        <f t="array" ref="G25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AND(F2582&gt;= DATE(2026,1,1), F2582&lt;= DATE(2028, 12, 31), J2582&gt;50000), "Pendente e Caro", AND(F2582&gt;= DATE(2026,1,1), F2582&lt;= DATE(2028, 12, 31), J2582&lt;=50000), "Pendente", F2582&gt;= DATE(2029,1,1), "Não prioeitário")</f>
        <v>Pendente e Caro</v>
      </c>
      <c r="H2582" s="89">
        <f>YEAR(Tabela1[[#This Row],[Data de Validade]])</f>
        <v>2028</v>
      </c>
      <c r="I2582" s="89">
        <f>MONTH(Tabela1[[#This Row],[Data de Validade]])</f>
        <v>10</v>
      </c>
      <c r="J2582" s="101">
        <v>66772</v>
      </c>
      <c r="K2582" s="87" t="s">
        <v>7</v>
      </c>
      <c r="L2582" s="108"/>
      <c r="M2582" s="108"/>
      <c r="N2582" s="108" t="str">
        <v>H954H616</v>
      </c>
      <c r="O2582" s="108">
        <f t="shared" si="42"/>
        <v>1</v>
      </c>
      <c r="P2582" s="108"/>
      <c r="Q2582"/>
    </row>
    <row r="2583" spans="1:17" x14ac:dyDescent="0.25">
      <c r="A2583" s="89" t="s">
        <v>6280</v>
      </c>
      <c r="B2583" s="87" t="s">
        <v>6281</v>
      </c>
      <c r="C2583" s="87" t="s">
        <v>15</v>
      </c>
      <c r="D2583" s="87" t="str">
        <f>VLOOKUP(Tabela1[[#This Row],[Origem]], 'Perguntas 1 a 24'!$J$28:$K$34, 2, 0)</f>
        <v>Sudeste</v>
      </c>
      <c r="E2583" s="87" t="str">
        <f>Tabela1[[#This Row],[Descrição]]&amp;"-"&amp;Tabela1[[#This Row],[Código]]&amp;"/"&amp;Tabela1[[#This Row],[Origem]]</f>
        <v>Rafolapare-H954H616/ES</v>
      </c>
      <c r="F2583" s="88">
        <v>47044</v>
      </c>
      <c r="G2583" s="88" t="str" cm="1">
        <f t="array" ref="G25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AND(F2583&gt;= DATE(2026,1,1), F2583&lt;= DATE(2028, 12, 31), J2583&gt;50000), "Pendente e Caro", AND(F2583&gt;= DATE(2026,1,1), F2583&lt;= DATE(2028, 12, 31), J2583&lt;=50000), "Pendente", F2583&gt;= DATE(2029,1,1), "Não prioeitário")</f>
        <v>Pendente e Caro</v>
      </c>
      <c r="H2583" s="89">
        <f>YEAR(Tabela1[[#This Row],[Data de Validade]])</f>
        <v>2028</v>
      </c>
      <c r="I2583" s="89">
        <f>MONTH(Tabela1[[#This Row],[Data de Validade]])</f>
        <v>10</v>
      </c>
      <c r="J2583" s="101">
        <v>51157</v>
      </c>
      <c r="K2583" s="87" t="s">
        <v>14</v>
      </c>
      <c r="L2583" s="108"/>
      <c r="M2583" s="108"/>
      <c r="N2583" s="108" t="str">
        <v>P773H617</v>
      </c>
      <c r="O2583" s="108">
        <f t="shared" si="42"/>
        <v>1</v>
      </c>
      <c r="P2583" s="108"/>
      <c r="Q2583"/>
    </row>
    <row r="2584" spans="1:17" x14ac:dyDescent="0.25">
      <c r="A2584" s="89" t="s">
        <v>8278</v>
      </c>
      <c r="B2584" s="87" t="s">
        <v>8279</v>
      </c>
      <c r="C2584" s="87" t="s">
        <v>6</v>
      </c>
      <c r="D2584" s="87" t="str">
        <f>VLOOKUP(Tabela1[[#This Row],[Origem]], 'Perguntas 1 a 24'!$J$28:$K$34, 2, 0)</f>
        <v>Nordeste</v>
      </c>
      <c r="E2584" s="87" t="str">
        <f>Tabela1[[#This Row],[Descrição]]&amp;"-"&amp;Tabela1[[#This Row],[Código]]&amp;"/"&amp;Tabela1[[#This Row],[Origem]]</f>
        <v>Vepacopeco-P773H617/MA</v>
      </c>
      <c r="F2584" s="88">
        <v>47045</v>
      </c>
      <c r="G2584" s="88" t="str" cm="1">
        <f t="array" ref="G25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AND(F2584&gt;= DATE(2026,1,1), F2584&lt;= DATE(2028, 12, 31), J2584&gt;50000), "Pendente e Caro", AND(F2584&gt;= DATE(2026,1,1), F2584&lt;= DATE(2028, 12, 31), J2584&lt;=50000), "Pendente", F2584&gt;= DATE(2029,1,1), "Não prioeitário")</f>
        <v>Pendente</v>
      </c>
      <c r="H2584" s="89">
        <f>YEAR(Tabela1[[#This Row],[Data de Validade]])</f>
        <v>2028</v>
      </c>
      <c r="I2584" s="89">
        <f>MONTH(Tabela1[[#This Row],[Data de Validade]])</f>
        <v>10</v>
      </c>
      <c r="J2584" s="101">
        <v>23740</v>
      </c>
      <c r="K2584" s="87" t="s">
        <v>9</v>
      </c>
      <c r="L2584" s="108"/>
      <c r="M2584" s="108"/>
      <c r="N2584" s="108" t="str">
        <v>H116H685</v>
      </c>
      <c r="O2584" s="108">
        <f t="shared" si="42"/>
        <v>1</v>
      </c>
      <c r="P2584" s="108"/>
      <c r="Q2584"/>
    </row>
    <row r="2585" spans="1:17" x14ac:dyDescent="0.25">
      <c r="A2585" s="89" t="s">
        <v>6762</v>
      </c>
      <c r="B2585" s="87" t="s">
        <v>6763</v>
      </c>
      <c r="C2585" s="87" t="s">
        <v>6</v>
      </c>
      <c r="D2585" s="87" t="str">
        <f>VLOOKUP(Tabela1[[#This Row],[Origem]], 'Perguntas 1 a 24'!$J$28:$K$34, 2, 0)</f>
        <v>Nordeste</v>
      </c>
      <c r="E2585" s="87" t="str">
        <f>Tabela1[[#This Row],[Descrição]]&amp;"-"&amp;Tabela1[[#This Row],[Código]]&amp;"/"&amp;Tabela1[[#This Row],[Origem]]</f>
        <v>Caderipu-H116H685/MA</v>
      </c>
      <c r="F2585" s="88">
        <v>47046</v>
      </c>
      <c r="G2585" s="88" t="str" cm="1">
        <f t="array" ref="G25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AND(F2585&gt;= DATE(2026,1,1), F2585&lt;= DATE(2028, 12, 31), J2585&gt;50000), "Pendente e Caro", AND(F2585&gt;= DATE(2026,1,1), F2585&lt;= DATE(2028, 12, 31), J2585&lt;=50000), "Pendente", F2585&gt;= DATE(2029,1,1), "Não prioeitário")</f>
        <v>Pendente e Caro</v>
      </c>
      <c r="H2585" s="89">
        <f>YEAR(Tabela1[[#This Row],[Data de Validade]])</f>
        <v>2028</v>
      </c>
      <c r="I2585" s="89">
        <f>MONTH(Tabela1[[#This Row],[Data de Validade]])</f>
        <v>10</v>
      </c>
      <c r="J2585" s="101">
        <v>96751</v>
      </c>
      <c r="K2585" s="87" t="s">
        <v>11</v>
      </c>
      <c r="L2585" s="108"/>
      <c r="M2585" s="108"/>
      <c r="N2585" s="108" t="str">
        <v>H281H519</v>
      </c>
      <c r="O2585" s="108">
        <f t="shared" si="42"/>
        <v>1</v>
      </c>
      <c r="P2585" s="108"/>
      <c r="Q2585"/>
    </row>
    <row r="2586" spans="1:17" x14ac:dyDescent="0.25">
      <c r="A2586" s="89" t="s">
        <v>8224</v>
      </c>
      <c r="B2586" s="87" t="s">
        <v>8225</v>
      </c>
      <c r="C2586" s="87" t="s">
        <v>13</v>
      </c>
      <c r="D2586" s="87" t="str">
        <f>VLOOKUP(Tabela1[[#This Row],[Origem]], 'Perguntas 1 a 24'!$J$28:$K$34, 2, 0)</f>
        <v>Sudeste</v>
      </c>
      <c r="E2586" s="87" t="str">
        <f>Tabela1[[#This Row],[Descrição]]&amp;"-"&amp;Tabela1[[#This Row],[Código]]&amp;"/"&amp;Tabela1[[#This Row],[Origem]]</f>
        <v>Farilare-H281H519/SP</v>
      </c>
      <c r="F2586" s="88">
        <v>47047</v>
      </c>
      <c r="G2586" s="88" t="str" cm="1">
        <f t="array" ref="G25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AND(F2586&gt;= DATE(2026,1,1), F2586&lt;= DATE(2028, 12, 31), J2586&gt;50000), "Pendente e Caro", AND(F2586&gt;= DATE(2026,1,1), F2586&lt;= DATE(2028, 12, 31), J2586&lt;=50000), "Pendente", F2586&gt;= DATE(2029,1,1), "Não prioeitário")</f>
        <v>Pendente</v>
      </c>
      <c r="H2586" s="89">
        <f>YEAR(Tabela1[[#This Row],[Data de Validade]])</f>
        <v>2028</v>
      </c>
      <c r="I2586" s="89">
        <f>MONTH(Tabela1[[#This Row],[Data de Validade]])</f>
        <v>10</v>
      </c>
      <c r="J2586" s="101">
        <v>45735</v>
      </c>
      <c r="K2586" s="87" t="s">
        <v>7</v>
      </c>
      <c r="L2586" s="108"/>
      <c r="M2586" s="108"/>
      <c r="N2586" s="108" t="str">
        <v>H493H797</v>
      </c>
      <c r="O2586" s="108">
        <f t="shared" si="42"/>
        <v>1</v>
      </c>
      <c r="P2586" s="108"/>
      <c r="Q2586"/>
    </row>
    <row r="2587" spans="1:17" x14ac:dyDescent="0.25">
      <c r="A2587" s="89" t="s">
        <v>7552</v>
      </c>
      <c r="B2587" s="87" t="s">
        <v>7553</v>
      </c>
      <c r="C2587" s="87" t="s">
        <v>15</v>
      </c>
      <c r="D2587" s="87" t="str">
        <f>VLOOKUP(Tabela1[[#This Row],[Origem]], 'Perguntas 1 a 24'!$J$28:$K$34, 2, 0)</f>
        <v>Sudeste</v>
      </c>
      <c r="E2587" s="87" t="str">
        <f>Tabela1[[#This Row],[Descrição]]&amp;"-"&amp;Tabela1[[#This Row],[Código]]&amp;"/"&amp;Tabela1[[#This Row],[Origem]]</f>
        <v>Vipugepi-H493H797/ES</v>
      </c>
      <c r="F2587" s="88">
        <v>47048</v>
      </c>
      <c r="G2587" s="88" t="str" cm="1">
        <f t="array" ref="G25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AND(F2587&gt;= DATE(2026,1,1), F2587&lt;= DATE(2028, 12, 31), J2587&gt;50000), "Pendente e Caro", AND(F2587&gt;= DATE(2026,1,1), F2587&lt;= DATE(2028, 12, 31), J2587&lt;=50000), "Pendente", F2587&gt;= DATE(2029,1,1), "Não prioeitário")</f>
        <v>Pendente e Caro</v>
      </c>
      <c r="H2587" s="89">
        <f>YEAR(Tabela1[[#This Row],[Data de Validade]])</f>
        <v>2028</v>
      </c>
      <c r="I2587" s="89">
        <f>MONTH(Tabela1[[#This Row],[Data de Validade]])</f>
        <v>10</v>
      </c>
      <c r="J2587" s="101">
        <v>89104</v>
      </c>
      <c r="K2587" s="87" t="s">
        <v>7</v>
      </c>
      <c r="L2587" s="108"/>
      <c r="M2587" s="108"/>
      <c r="N2587" s="108" t="str">
        <v>H873H985</v>
      </c>
      <c r="O2587" s="108">
        <f t="shared" si="42"/>
        <v>1</v>
      </c>
      <c r="P2587" s="108"/>
      <c r="Q2587"/>
    </row>
    <row r="2588" spans="1:17" x14ac:dyDescent="0.25">
      <c r="A2588" s="89" t="s">
        <v>8444</v>
      </c>
      <c r="B2588" s="87" t="s">
        <v>8445</v>
      </c>
      <c r="C2588" s="87" t="s">
        <v>16</v>
      </c>
      <c r="D2588" s="87" t="str">
        <f>VLOOKUP(Tabela1[[#This Row],[Origem]], 'Perguntas 1 a 24'!$J$28:$K$34, 2, 0)</f>
        <v>Sudeste</v>
      </c>
      <c r="E2588" s="87" t="str">
        <f>Tabela1[[#This Row],[Descrição]]&amp;"-"&amp;Tabela1[[#This Row],[Código]]&amp;"/"&amp;Tabela1[[#This Row],[Origem]]</f>
        <v>Rurule-H873H985/MG</v>
      </c>
      <c r="F2588" s="88">
        <v>47048</v>
      </c>
      <c r="G2588" s="88" t="str" cm="1">
        <f t="array" ref="G25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AND(F2588&gt;= DATE(2026,1,1), F2588&lt;= DATE(2028, 12, 31), J2588&gt;50000), "Pendente e Caro", AND(F2588&gt;= DATE(2026,1,1), F2588&lt;= DATE(2028, 12, 31), J2588&lt;=50000), "Pendente", F2588&gt;= DATE(2029,1,1), "Não prioeitário")</f>
        <v>Pendente</v>
      </c>
      <c r="H2588" s="89">
        <f>YEAR(Tabela1[[#This Row],[Data de Validade]])</f>
        <v>2028</v>
      </c>
      <c r="I2588" s="89">
        <f>MONTH(Tabela1[[#This Row],[Data de Validade]])</f>
        <v>10</v>
      </c>
      <c r="J2588" s="101">
        <v>21178</v>
      </c>
      <c r="K2588" s="87" t="s">
        <v>9</v>
      </c>
      <c r="L2588" s="108"/>
      <c r="M2588" s="108"/>
      <c r="N2588" s="108" t="str">
        <v>P598H446</v>
      </c>
      <c r="O2588" s="108">
        <f t="shared" si="42"/>
        <v>1</v>
      </c>
      <c r="P2588" s="108"/>
      <c r="Q2588"/>
    </row>
    <row r="2589" spans="1:17" x14ac:dyDescent="0.25">
      <c r="A2589" s="89" t="s">
        <v>10535</v>
      </c>
      <c r="B2589" s="87" t="s">
        <v>10536</v>
      </c>
      <c r="C2589" s="87" t="s">
        <v>8</v>
      </c>
      <c r="D2589" s="87" t="str">
        <f>VLOOKUP(Tabela1[[#This Row],[Origem]], 'Perguntas 1 a 24'!$J$28:$K$34, 2, 0)</f>
        <v>Nordeste</v>
      </c>
      <c r="E2589" s="87" t="str">
        <f>Tabela1[[#This Row],[Descrição]]&amp;"-"&amp;Tabela1[[#This Row],[Código]]&amp;"/"&amp;Tabela1[[#This Row],[Origem]]</f>
        <v>Lopatife-P598H446/AL</v>
      </c>
      <c r="F2589" s="88">
        <v>47049</v>
      </c>
      <c r="G2589" s="88" t="str" cm="1">
        <f t="array" ref="G25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AND(F2589&gt;= DATE(2026,1,1), F2589&lt;= DATE(2028, 12, 31), J2589&gt;50000), "Pendente e Caro", AND(F2589&gt;= DATE(2026,1,1), F2589&lt;= DATE(2028, 12, 31), J2589&lt;=50000), "Pendente", F2589&gt;= DATE(2029,1,1), "Não prioeitário")</f>
        <v>Pendente</v>
      </c>
      <c r="H2589" s="89">
        <f>YEAR(Tabela1[[#This Row],[Data de Validade]])</f>
        <v>2028</v>
      </c>
      <c r="I2589" s="89">
        <f>MONTH(Tabela1[[#This Row],[Data de Validade]])</f>
        <v>10</v>
      </c>
      <c r="J2589" s="101">
        <v>23138</v>
      </c>
      <c r="K2589" s="87" t="s">
        <v>14</v>
      </c>
      <c r="L2589" s="108"/>
      <c r="M2589" s="108"/>
      <c r="N2589" s="108" t="str">
        <v>H541H673</v>
      </c>
      <c r="O2589" s="108">
        <f t="shared" si="42"/>
        <v>1</v>
      </c>
      <c r="P2589" s="108"/>
      <c r="Q2589"/>
    </row>
    <row r="2590" spans="1:17" x14ac:dyDescent="0.25">
      <c r="A2590" s="89" t="s">
        <v>7808</v>
      </c>
      <c r="B2590" s="87" t="s">
        <v>7809</v>
      </c>
      <c r="C2590" s="87" t="s">
        <v>10</v>
      </c>
      <c r="D2590" s="87" t="str">
        <f>VLOOKUP(Tabela1[[#This Row],[Origem]], 'Perguntas 1 a 24'!$J$28:$K$34, 2, 0)</f>
        <v>Centro-Oeste</v>
      </c>
      <c r="E2590" s="87" t="str">
        <f>Tabela1[[#This Row],[Descrição]]&amp;"-"&amp;Tabela1[[#This Row],[Código]]&amp;"/"&amp;Tabela1[[#This Row],[Origem]]</f>
        <v>Locupapari-H541H673/GO</v>
      </c>
      <c r="F2590" s="88">
        <v>47050</v>
      </c>
      <c r="G2590" s="88" t="str" cm="1">
        <f t="array" ref="G25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AND(F2590&gt;= DATE(2026,1,1), F2590&lt;= DATE(2028, 12, 31), J2590&gt;50000), "Pendente e Caro", AND(F2590&gt;= DATE(2026,1,1), F2590&lt;= DATE(2028, 12, 31), J2590&lt;=50000), "Pendente", F2590&gt;= DATE(2029,1,1), "Não prioeitário")</f>
        <v>Pendente e Caro</v>
      </c>
      <c r="H2590" s="89">
        <f>YEAR(Tabela1[[#This Row],[Data de Validade]])</f>
        <v>2028</v>
      </c>
      <c r="I2590" s="89">
        <f>MONTH(Tabela1[[#This Row],[Data de Validade]])</f>
        <v>10</v>
      </c>
      <c r="J2590" s="101">
        <v>57704</v>
      </c>
      <c r="K2590" s="87" t="s">
        <v>9</v>
      </c>
      <c r="L2590" s="108"/>
      <c r="M2590" s="108"/>
      <c r="N2590" s="108" t="str">
        <v>P556H428</v>
      </c>
      <c r="O2590" s="108">
        <f t="shared" si="42"/>
        <v>1</v>
      </c>
      <c r="P2590" s="108"/>
      <c r="Q2590"/>
    </row>
    <row r="2591" spans="1:17" x14ac:dyDescent="0.25">
      <c r="A2591" s="89" t="s">
        <v>11328</v>
      </c>
      <c r="B2591" s="87" t="s">
        <v>11329</v>
      </c>
      <c r="C2591" s="87" t="s">
        <v>6</v>
      </c>
      <c r="D2591" s="87" t="str">
        <f>VLOOKUP(Tabela1[[#This Row],[Origem]], 'Perguntas 1 a 24'!$J$28:$K$34, 2, 0)</f>
        <v>Nordeste</v>
      </c>
      <c r="E2591" s="87" t="str">
        <f>Tabela1[[#This Row],[Descrição]]&amp;"-"&amp;Tabela1[[#This Row],[Código]]&amp;"/"&amp;Tabela1[[#This Row],[Origem]]</f>
        <v>Muludo-P556H428/MA</v>
      </c>
      <c r="F2591" s="88">
        <v>47051</v>
      </c>
      <c r="G2591" s="88" t="str" cm="1">
        <f t="array" ref="G25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AND(F2591&gt;= DATE(2026,1,1), F2591&lt;= DATE(2028, 12, 31), J2591&gt;50000), "Pendente e Caro", AND(F2591&gt;= DATE(2026,1,1), F2591&lt;= DATE(2028, 12, 31), J2591&lt;=50000), "Pendente", F2591&gt;= DATE(2029,1,1), "Não prioeitário")</f>
        <v>Pendente</v>
      </c>
      <c r="H2591" s="89">
        <f>YEAR(Tabela1[[#This Row],[Data de Validade]])</f>
        <v>2028</v>
      </c>
      <c r="I2591" s="89">
        <f>MONTH(Tabela1[[#This Row],[Data de Validade]])</f>
        <v>10</v>
      </c>
      <c r="J2591" s="101">
        <v>44909</v>
      </c>
      <c r="K2591" s="87" t="s">
        <v>11</v>
      </c>
      <c r="L2591" s="108"/>
      <c r="M2591" s="108"/>
      <c r="N2591" s="108" t="str">
        <v>P815H636</v>
      </c>
      <c r="O2591" s="108">
        <f t="shared" si="42"/>
        <v>1</v>
      </c>
      <c r="P2591" s="108"/>
      <c r="Q2591"/>
    </row>
    <row r="2592" spans="1:17" x14ac:dyDescent="0.25">
      <c r="A2592" s="89" t="s">
        <v>7200</v>
      </c>
      <c r="B2592" s="87" t="s">
        <v>7201</v>
      </c>
      <c r="C2592" s="87" t="s">
        <v>10</v>
      </c>
      <c r="D2592" s="87" t="str">
        <f>VLOOKUP(Tabela1[[#This Row],[Origem]], 'Perguntas 1 a 24'!$J$28:$K$34, 2, 0)</f>
        <v>Centro-Oeste</v>
      </c>
      <c r="E2592" s="87" t="str">
        <f>Tabela1[[#This Row],[Descrição]]&amp;"-"&amp;Tabela1[[#This Row],[Código]]&amp;"/"&amp;Tabela1[[#This Row],[Origem]]</f>
        <v>Megogu-P815H636/GO</v>
      </c>
      <c r="F2592" s="88">
        <v>47052</v>
      </c>
      <c r="G2592" s="88" t="str" cm="1">
        <f t="array" ref="G25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AND(F2592&gt;= DATE(2026,1,1), F2592&lt;= DATE(2028, 12, 31), J2592&gt;50000), "Pendente e Caro", AND(F2592&gt;= DATE(2026,1,1), F2592&lt;= DATE(2028, 12, 31), J2592&lt;=50000), "Pendente", F2592&gt;= DATE(2029,1,1), "Não prioeitário")</f>
        <v>Pendente e Caro</v>
      </c>
      <c r="H2592" s="89">
        <f>YEAR(Tabela1[[#This Row],[Data de Validade]])</f>
        <v>2028</v>
      </c>
      <c r="I2592" s="89">
        <f>MONTH(Tabela1[[#This Row],[Data de Validade]])</f>
        <v>10</v>
      </c>
      <c r="J2592" s="101">
        <v>63452</v>
      </c>
      <c r="K2592" s="87" t="s">
        <v>11</v>
      </c>
      <c r="L2592" s="108"/>
      <c r="M2592" s="108"/>
      <c r="N2592" s="108" t="str">
        <v>P567H778</v>
      </c>
      <c r="O2592" s="108">
        <f t="shared" si="42"/>
        <v>1</v>
      </c>
      <c r="P2592" s="108"/>
      <c r="Q2592"/>
    </row>
    <row r="2593" spans="1:17" x14ac:dyDescent="0.25">
      <c r="A2593" s="89" t="s">
        <v>7922</v>
      </c>
      <c r="B2593" s="87" t="s">
        <v>7923</v>
      </c>
      <c r="C2593" s="87" t="s">
        <v>8</v>
      </c>
      <c r="D2593" s="87" t="str">
        <f>VLOOKUP(Tabela1[[#This Row],[Origem]], 'Perguntas 1 a 24'!$J$28:$K$34, 2, 0)</f>
        <v>Nordeste</v>
      </c>
      <c r="E2593" s="87" t="str">
        <f>Tabela1[[#This Row],[Descrição]]&amp;"-"&amp;Tabela1[[#This Row],[Código]]&amp;"/"&amp;Tabela1[[#This Row],[Origem]]</f>
        <v>Guratato-P567H778/AL</v>
      </c>
      <c r="F2593" s="88">
        <v>47054</v>
      </c>
      <c r="G2593" s="88" t="str" cm="1">
        <f t="array" ref="G25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AND(F2593&gt;= DATE(2026,1,1), F2593&lt;= DATE(2028, 12, 31), J2593&gt;50000), "Pendente e Caro", AND(F2593&gt;= DATE(2026,1,1), F2593&lt;= DATE(2028, 12, 31), J2593&lt;=50000), "Pendente", F2593&gt;= DATE(2029,1,1), "Não prioeitário")</f>
        <v>Pendente</v>
      </c>
      <c r="H2593" s="89">
        <f>YEAR(Tabela1[[#This Row],[Data de Validade]])</f>
        <v>2028</v>
      </c>
      <c r="I2593" s="89">
        <f>MONTH(Tabela1[[#This Row],[Data de Validade]])</f>
        <v>10</v>
      </c>
      <c r="J2593" s="101">
        <v>39724</v>
      </c>
      <c r="K2593" s="87" t="s">
        <v>14</v>
      </c>
      <c r="L2593" s="108"/>
      <c r="M2593" s="108"/>
      <c r="N2593" s="108" t="str">
        <v>P376H521</v>
      </c>
      <c r="O2593" s="108">
        <f t="shared" si="42"/>
        <v>1</v>
      </c>
      <c r="P2593" s="108"/>
      <c r="Q2593"/>
    </row>
    <row r="2594" spans="1:17" x14ac:dyDescent="0.25">
      <c r="A2594" s="89" t="s">
        <v>9169</v>
      </c>
      <c r="B2594" s="87" t="s">
        <v>9170</v>
      </c>
      <c r="C2594" s="87" t="s">
        <v>8</v>
      </c>
      <c r="D2594" s="87" t="str">
        <f>VLOOKUP(Tabela1[[#This Row],[Origem]], 'Perguntas 1 a 24'!$J$28:$K$34, 2, 0)</f>
        <v>Nordeste</v>
      </c>
      <c r="E2594" s="87" t="str">
        <f>Tabela1[[#This Row],[Descrição]]&amp;"-"&amp;Tabela1[[#This Row],[Código]]&amp;"/"&amp;Tabela1[[#This Row],[Origem]]</f>
        <v>Timodorovo-P376H521/AL</v>
      </c>
      <c r="F2594" s="88">
        <v>47054</v>
      </c>
      <c r="G2594" s="88" t="str" cm="1">
        <f t="array" ref="G25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AND(F2594&gt;= DATE(2026,1,1), F2594&lt;= DATE(2028, 12, 31), J2594&gt;50000), "Pendente e Caro", AND(F2594&gt;= DATE(2026,1,1), F2594&lt;= DATE(2028, 12, 31), J2594&lt;=50000), "Pendente", F2594&gt;= DATE(2029,1,1), "Não prioeitário")</f>
        <v>Pendente</v>
      </c>
      <c r="H2594" s="89">
        <f>YEAR(Tabela1[[#This Row],[Data de Validade]])</f>
        <v>2028</v>
      </c>
      <c r="I2594" s="89">
        <f>MONTH(Tabela1[[#This Row],[Data de Validade]])</f>
        <v>10</v>
      </c>
      <c r="J2594" s="101">
        <v>34465</v>
      </c>
      <c r="K2594" s="87" t="s">
        <v>9</v>
      </c>
      <c r="L2594" s="108"/>
      <c r="M2594" s="108"/>
      <c r="N2594" s="108" t="str">
        <v>H497H747</v>
      </c>
      <c r="O2594" s="108">
        <f t="shared" si="42"/>
        <v>1</v>
      </c>
      <c r="P2594" s="108"/>
      <c r="Q2594"/>
    </row>
    <row r="2595" spans="1:17" x14ac:dyDescent="0.25">
      <c r="A2595" s="89" t="s">
        <v>4112</v>
      </c>
      <c r="B2595" s="87" t="s">
        <v>4113</v>
      </c>
      <c r="C2595" s="87" t="s">
        <v>8</v>
      </c>
      <c r="D2595" s="87" t="str">
        <f>VLOOKUP(Tabela1[[#This Row],[Origem]], 'Perguntas 1 a 24'!$J$28:$K$34, 2, 0)</f>
        <v>Nordeste</v>
      </c>
      <c r="E2595" s="87" t="str">
        <f>Tabela1[[#This Row],[Descrição]]&amp;"-"&amp;Tabela1[[#This Row],[Código]]&amp;"/"&amp;Tabela1[[#This Row],[Origem]]</f>
        <v>Docudo-H497H747/AL</v>
      </c>
      <c r="F2595" s="88">
        <v>47056</v>
      </c>
      <c r="G2595" s="88" t="str" cm="1">
        <f t="array" ref="G25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AND(F2595&gt;= DATE(2026,1,1), F2595&lt;= DATE(2028, 12, 31), J2595&gt;50000), "Pendente e Caro", AND(F2595&gt;= DATE(2026,1,1), F2595&lt;= DATE(2028, 12, 31), J2595&lt;=50000), "Pendente", F2595&gt;= DATE(2029,1,1), "Não prioeitário")</f>
        <v>Pendente e Caro</v>
      </c>
      <c r="H2595" s="89">
        <f>YEAR(Tabela1[[#This Row],[Data de Validade]])</f>
        <v>2028</v>
      </c>
      <c r="I2595" s="89">
        <f>MONTH(Tabela1[[#This Row],[Data de Validade]])</f>
        <v>10</v>
      </c>
      <c r="J2595" s="101">
        <v>113563</v>
      </c>
      <c r="K2595" s="87" t="s">
        <v>14</v>
      </c>
      <c r="L2595" s="108"/>
      <c r="M2595" s="108"/>
      <c r="N2595" s="108" t="str">
        <v>H359P522</v>
      </c>
      <c r="O2595" s="108">
        <f t="shared" si="42"/>
        <v>1</v>
      </c>
      <c r="P2595" s="108"/>
      <c r="Q2595"/>
    </row>
    <row r="2596" spans="1:17" x14ac:dyDescent="0.25">
      <c r="A2596" s="89" t="s">
        <v>10547</v>
      </c>
      <c r="B2596" s="87" t="s">
        <v>10548</v>
      </c>
      <c r="C2596" s="87" t="s">
        <v>13</v>
      </c>
      <c r="D2596" s="87" t="str">
        <f>VLOOKUP(Tabela1[[#This Row],[Origem]], 'Perguntas 1 a 24'!$J$28:$K$34, 2, 0)</f>
        <v>Sudeste</v>
      </c>
      <c r="E2596" s="87" t="str">
        <f>Tabela1[[#This Row],[Descrição]]&amp;"-"&amp;Tabela1[[#This Row],[Código]]&amp;"/"&amp;Tabela1[[#This Row],[Origem]]</f>
        <v>Fapicodoro-H359P522/SP</v>
      </c>
      <c r="F2596" s="88">
        <v>47056</v>
      </c>
      <c r="G2596" s="88" t="str" cm="1">
        <f t="array" ref="G25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AND(F2596&gt;= DATE(2026,1,1), F2596&lt;= DATE(2028, 12, 31), J2596&gt;50000), "Pendente e Caro", AND(F2596&gt;= DATE(2026,1,1), F2596&lt;= DATE(2028, 12, 31), J2596&lt;=50000), "Pendente", F2596&gt;= DATE(2029,1,1), "Não prioeitário")</f>
        <v>Pendente e Caro</v>
      </c>
      <c r="H2596" s="89">
        <f>YEAR(Tabela1[[#This Row],[Data de Validade]])</f>
        <v>2028</v>
      </c>
      <c r="I2596" s="89">
        <f>MONTH(Tabela1[[#This Row],[Data de Validade]])</f>
        <v>10</v>
      </c>
      <c r="J2596" s="101">
        <v>105466</v>
      </c>
      <c r="K2596" s="87" t="s">
        <v>11</v>
      </c>
      <c r="L2596" s="108"/>
      <c r="M2596" s="108"/>
      <c r="N2596" s="108" t="str">
        <v>H881H181</v>
      </c>
      <c r="O2596" s="108">
        <f t="shared" si="42"/>
        <v>1</v>
      </c>
      <c r="P2596" s="108"/>
      <c r="Q2596"/>
    </row>
    <row r="2597" spans="1:17" x14ac:dyDescent="0.25">
      <c r="A2597" s="89" t="s">
        <v>4770</v>
      </c>
      <c r="B2597" s="87" t="s">
        <v>4771</v>
      </c>
      <c r="C2597" s="87" t="s">
        <v>13</v>
      </c>
      <c r="D2597" s="87" t="str">
        <f>VLOOKUP(Tabela1[[#This Row],[Origem]], 'Perguntas 1 a 24'!$J$28:$K$34, 2, 0)</f>
        <v>Sudeste</v>
      </c>
      <c r="E2597" s="87" t="str">
        <f>Tabela1[[#This Row],[Descrição]]&amp;"-"&amp;Tabela1[[#This Row],[Código]]&amp;"/"&amp;Tabela1[[#This Row],[Origem]]</f>
        <v>Denefivepi-H881H181/SP</v>
      </c>
      <c r="F2597" s="88">
        <v>47056</v>
      </c>
      <c r="G2597" s="88" t="str" cm="1">
        <f t="array" ref="G25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AND(F2597&gt;= DATE(2026,1,1), F2597&lt;= DATE(2028, 12, 31), J2597&gt;50000), "Pendente e Caro", AND(F2597&gt;= DATE(2026,1,1), F2597&lt;= DATE(2028, 12, 31), J2597&lt;=50000), "Pendente", F2597&gt;= DATE(2029,1,1), "Não prioeitário")</f>
        <v>Pendente e Caro</v>
      </c>
      <c r="H2597" s="89">
        <f>YEAR(Tabela1[[#This Row],[Data de Validade]])</f>
        <v>2028</v>
      </c>
      <c r="I2597" s="89">
        <f>MONTH(Tabela1[[#This Row],[Data de Validade]])</f>
        <v>10</v>
      </c>
      <c r="J2597" s="101">
        <v>98844</v>
      </c>
      <c r="K2597" s="87" t="s">
        <v>7</v>
      </c>
      <c r="L2597" s="108"/>
      <c r="M2597" s="108"/>
      <c r="N2597" s="108" t="str">
        <v>H979P465</v>
      </c>
      <c r="O2597" s="108">
        <f t="shared" si="42"/>
        <v>1</v>
      </c>
      <c r="P2597" s="108"/>
      <c r="Q2597"/>
    </row>
    <row r="2598" spans="1:17" x14ac:dyDescent="0.25">
      <c r="A2598" s="89" t="s">
        <v>8735</v>
      </c>
      <c r="B2598" s="87" t="s">
        <v>8736</v>
      </c>
      <c r="C2598" s="87" t="s">
        <v>13</v>
      </c>
      <c r="D2598" s="87" t="str">
        <f>VLOOKUP(Tabela1[[#This Row],[Origem]], 'Perguntas 1 a 24'!$J$28:$K$34, 2, 0)</f>
        <v>Sudeste</v>
      </c>
      <c r="E2598" s="87" t="str">
        <f>Tabela1[[#This Row],[Descrição]]&amp;"-"&amp;Tabela1[[#This Row],[Código]]&amp;"/"&amp;Tabela1[[#This Row],[Origem]]</f>
        <v>Vutepupipi-H979P465/SP</v>
      </c>
      <c r="F2598" s="88">
        <v>47058</v>
      </c>
      <c r="G2598" s="88" t="str" cm="1">
        <f t="array" ref="G25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AND(F2598&gt;= DATE(2026,1,1), F2598&lt;= DATE(2028, 12, 31), J2598&gt;50000), "Pendente e Caro", AND(F2598&gt;= DATE(2026,1,1), F2598&lt;= DATE(2028, 12, 31), J2598&lt;=50000), "Pendente", F2598&gt;= DATE(2029,1,1), "Não prioeitário")</f>
        <v>Pendente e Caro</v>
      </c>
      <c r="H2598" s="89">
        <f>YEAR(Tabela1[[#This Row],[Data de Validade]])</f>
        <v>2028</v>
      </c>
      <c r="I2598" s="89">
        <f>MONTH(Tabela1[[#This Row],[Data de Validade]])</f>
        <v>11</v>
      </c>
      <c r="J2598" s="101">
        <v>97216</v>
      </c>
      <c r="K2598" s="87" t="s">
        <v>14</v>
      </c>
      <c r="L2598" s="108"/>
      <c r="M2598" s="108"/>
      <c r="N2598" s="108" t="str">
        <v>H512H418</v>
      </c>
      <c r="O2598" s="108">
        <f t="shared" si="42"/>
        <v>1</v>
      </c>
      <c r="P2598" s="108"/>
      <c r="Q2598"/>
    </row>
    <row r="2599" spans="1:17" x14ac:dyDescent="0.25">
      <c r="A2599" s="89" t="s">
        <v>3844</v>
      </c>
      <c r="B2599" s="87" t="s">
        <v>3845</v>
      </c>
      <c r="C2599" s="87" t="s">
        <v>13</v>
      </c>
      <c r="D2599" s="87" t="str">
        <f>VLOOKUP(Tabela1[[#This Row],[Origem]], 'Perguntas 1 a 24'!$J$28:$K$34, 2, 0)</f>
        <v>Sudeste</v>
      </c>
      <c r="E2599" s="87" t="str">
        <f>Tabela1[[#This Row],[Descrição]]&amp;"-"&amp;Tabela1[[#This Row],[Código]]&amp;"/"&amp;Tabela1[[#This Row],[Origem]]</f>
        <v>Lotuni-H512H418/SP</v>
      </c>
      <c r="F2599" s="88">
        <v>47058</v>
      </c>
      <c r="G2599" s="88" t="str" cm="1">
        <f t="array" ref="G25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AND(F2599&gt;= DATE(2026,1,1), F2599&lt;= DATE(2028, 12, 31), J2599&gt;50000), "Pendente e Caro", AND(F2599&gt;= DATE(2026,1,1), F2599&lt;= DATE(2028, 12, 31), J2599&lt;=50000), "Pendente", F2599&gt;= DATE(2029,1,1), "Não prioeitário")</f>
        <v>Pendente e Caro</v>
      </c>
      <c r="H2599" s="89">
        <f>YEAR(Tabela1[[#This Row],[Data de Validade]])</f>
        <v>2028</v>
      </c>
      <c r="I2599" s="89">
        <f>MONTH(Tabela1[[#This Row],[Data de Validade]])</f>
        <v>11</v>
      </c>
      <c r="J2599" s="101">
        <v>94856</v>
      </c>
      <c r="K2599" s="87" t="s">
        <v>14</v>
      </c>
      <c r="L2599" s="108"/>
      <c r="M2599" s="108"/>
      <c r="N2599" s="108" t="str">
        <v>H566H376</v>
      </c>
      <c r="O2599" s="108">
        <f t="shared" si="42"/>
        <v>1</v>
      </c>
      <c r="P2599" s="108"/>
      <c r="Q2599"/>
    </row>
    <row r="2600" spans="1:17" x14ac:dyDescent="0.25">
      <c r="A2600" s="89" t="s">
        <v>5592</v>
      </c>
      <c r="B2600" s="87" t="s">
        <v>5593</v>
      </c>
      <c r="C2600" s="87" t="s">
        <v>16</v>
      </c>
      <c r="D2600" s="87" t="str">
        <f>VLOOKUP(Tabela1[[#This Row],[Origem]], 'Perguntas 1 a 24'!$J$28:$K$34, 2, 0)</f>
        <v>Sudeste</v>
      </c>
      <c r="E2600" s="87" t="str">
        <f>Tabela1[[#This Row],[Descrição]]&amp;"-"&amp;Tabela1[[#This Row],[Código]]&amp;"/"&amp;Tabela1[[#This Row],[Origem]]</f>
        <v>Gedatoviri-H566H376/MG</v>
      </c>
      <c r="F2600" s="88">
        <v>47058</v>
      </c>
      <c r="G2600" s="88" t="str" cm="1">
        <f t="array" ref="G26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AND(F2600&gt;= DATE(2026,1,1), F2600&lt;= DATE(2028, 12, 31), J2600&gt;50000), "Pendente e Caro", AND(F2600&gt;= DATE(2026,1,1), F2600&lt;= DATE(2028, 12, 31), J2600&lt;=50000), "Pendente", F2600&gt;= DATE(2029,1,1), "Não prioeitário")</f>
        <v>Pendente e Caro</v>
      </c>
      <c r="H2600" s="89">
        <f>YEAR(Tabela1[[#This Row],[Data de Validade]])</f>
        <v>2028</v>
      </c>
      <c r="I2600" s="89">
        <f>MONTH(Tabela1[[#This Row],[Data de Validade]])</f>
        <v>11</v>
      </c>
      <c r="J2600" s="101">
        <v>54377</v>
      </c>
      <c r="K2600" s="87" t="s">
        <v>7</v>
      </c>
      <c r="L2600" s="108"/>
      <c r="M2600" s="108"/>
      <c r="N2600" s="108" t="str">
        <v>H779H528</v>
      </c>
      <c r="O2600" s="108">
        <f t="shared" si="42"/>
        <v>1</v>
      </c>
      <c r="P2600" s="108"/>
      <c r="Q2600"/>
    </row>
    <row r="2601" spans="1:17" x14ac:dyDescent="0.25">
      <c r="A2601" s="89" t="s">
        <v>8534</v>
      </c>
      <c r="B2601" s="87" t="s">
        <v>8535</v>
      </c>
      <c r="C2601" s="87" t="s">
        <v>15</v>
      </c>
      <c r="D2601" s="87" t="str">
        <f>VLOOKUP(Tabela1[[#This Row],[Origem]], 'Perguntas 1 a 24'!$J$28:$K$34, 2, 0)</f>
        <v>Sudeste</v>
      </c>
      <c r="E2601" s="87" t="str">
        <f>Tabela1[[#This Row],[Descrição]]&amp;"-"&amp;Tabela1[[#This Row],[Código]]&amp;"/"&amp;Tabela1[[#This Row],[Origem]]</f>
        <v>Mivulopu-H779H528/ES</v>
      </c>
      <c r="F2601" s="88">
        <v>47058</v>
      </c>
      <c r="G2601" s="88" t="str" cm="1">
        <f t="array" ref="G26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AND(F2601&gt;= DATE(2026,1,1), F2601&lt;= DATE(2028, 12, 31), J2601&gt;50000), "Pendente e Caro", AND(F2601&gt;= DATE(2026,1,1), F2601&lt;= DATE(2028, 12, 31), J2601&lt;=50000), "Pendente", F2601&gt;= DATE(2029,1,1), "Não prioeitário")</f>
        <v>Pendente</v>
      </c>
      <c r="H2601" s="89">
        <f>YEAR(Tabela1[[#This Row],[Data de Validade]])</f>
        <v>2028</v>
      </c>
      <c r="I2601" s="89">
        <f>MONTH(Tabela1[[#This Row],[Data de Validade]])</f>
        <v>11</v>
      </c>
      <c r="J2601" s="101">
        <v>41544</v>
      </c>
      <c r="K2601" s="87" t="s">
        <v>7</v>
      </c>
      <c r="L2601" s="108"/>
      <c r="M2601" s="108"/>
      <c r="N2601" s="108" t="str">
        <v>P492H962</v>
      </c>
      <c r="O2601" s="108">
        <f t="shared" si="42"/>
        <v>1</v>
      </c>
      <c r="P2601" s="108"/>
      <c r="Q2601"/>
    </row>
    <row r="2602" spans="1:17" x14ac:dyDescent="0.25">
      <c r="A2602" s="89" t="s">
        <v>4532</v>
      </c>
      <c r="B2602" s="87" t="s">
        <v>4533</v>
      </c>
      <c r="C2602" s="87" t="s">
        <v>8</v>
      </c>
      <c r="D2602" s="87" t="str">
        <f>VLOOKUP(Tabela1[[#This Row],[Origem]], 'Perguntas 1 a 24'!$J$28:$K$34, 2, 0)</f>
        <v>Nordeste</v>
      </c>
      <c r="E2602" s="87" t="str">
        <f>Tabela1[[#This Row],[Descrição]]&amp;"-"&amp;Tabela1[[#This Row],[Código]]&amp;"/"&amp;Tabela1[[#This Row],[Origem]]</f>
        <v>Podudanuta-P492H962/AL</v>
      </c>
      <c r="F2602" s="88">
        <v>47060</v>
      </c>
      <c r="G2602" s="88" t="str" cm="1">
        <f t="array" ref="G26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AND(F2602&gt;= DATE(2026,1,1), F2602&lt;= DATE(2028, 12, 31), J2602&gt;50000), "Pendente e Caro", AND(F2602&gt;= DATE(2026,1,1), F2602&lt;= DATE(2028, 12, 31), J2602&lt;=50000), "Pendente", F2602&gt;= DATE(2029,1,1), "Não prioeitário")</f>
        <v>Pendente e Caro</v>
      </c>
      <c r="H2602" s="89">
        <f>YEAR(Tabela1[[#This Row],[Data de Validade]])</f>
        <v>2028</v>
      </c>
      <c r="I2602" s="89">
        <f>MONTH(Tabela1[[#This Row],[Data de Validade]])</f>
        <v>11</v>
      </c>
      <c r="J2602" s="101">
        <v>50248</v>
      </c>
      <c r="K2602" s="87" t="s">
        <v>11</v>
      </c>
      <c r="L2602" s="108"/>
      <c r="M2602" s="108"/>
      <c r="N2602" s="108" t="str">
        <v>H213H542</v>
      </c>
      <c r="O2602" s="108">
        <f t="shared" si="42"/>
        <v>1</v>
      </c>
      <c r="P2602" s="108"/>
      <c r="Q2602"/>
    </row>
    <row r="2603" spans="1:17" x14ac:dyDescent="0.25">
      <c r="A2603" s="89" t="s">
        <v>7514</v>
      </c>
      <c r="B2603" s="87" t="s">
        <v>7515</v>
      </c>
      <c r="C2603" s="87" t="s">
        <v>8</v>
      </c>
      <c r="D2603" s="87" t="str">
        <f>VLOOKUP(Tabela1[[#This Row],[Origem]], 'Perguntas 1 a 24'!$J$28:$K$34, 2, 0)</f>
        <v>Nordeste</v>
      </c>
      <c r="E2603" s="87" t="str">
        <f>Tabela1[[#This Row],[Descrição]]&amp;"-"&amp;Tabela1[[#This Row],[Código]]&amp;"/"&amp;Tabela1[[#This Row],[Origem]]</f>
        <v>Napolu-H213H542/AL</v>
      </c>
      <c r="F2603" s="88">
        <v>47060</v>
      </c>
      <c r="G2603" s="88" t="str" cm="1">
        <f t="array" ref="G26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AND(F2603&gt;= DATE(2026,1,1), F2603&lt;= DATE(2028, 12, 31), J2603&gt;50000), "Pendente e Caro", AND(F2603&gt;= DATE(2026,1,1), F2603&lt;= DATE(2028, 12, 31), J2603&lt;=50000), "Pendente", F2603&gt;= DATE(2029,1,1), "Não prioeitário")</f>
        <v>Pendente</v>
      </c>
      <c r="H2603" s="89">
        <f>YEAR(Tabela1[[#This Row],[Data de Validade]])</f>
        <v>2028</v>
      </c>
      <c r="I2603" s="89">
        <f>MONTH(Tabela1[[#This Row],[Data de Validade]])</f>
        <v>11</v>
      </c>
      <c r="J2603" s="101">
        <v>45490</v>
      </c>
      <c r="K2603" s="87" t="s">
        <v>14</v>
      </c>
      <c r="L2603" s="108"/>
      <c r="M2603" s="108"/>
      <c r="N2603" s="108" t="str">
        <v>P845H428</v>
      </c>
      <c r="O2603" s="108">
        <f t="shared" si="42"/>
        <v>1</v>
      </c>
      <c r="P2603" s="108"/>
      <c r="Q2603"/>
    </row>
    <row r="2604" spans="1:17" x14ac:dyDescent="0.25">
      <c r="A2604" s="89" t="s">
        <v>5332</v>
      </c>
      <c r="B2604" s="87" t="s">
        <v>5333</v>
      </c>
      <c r="C2604" s="87" t="s">
        <v>13</v>
      </c>
      <c r="D2604" s="87" t="str">
        <f>VLOOKUP(Tabela1[[#This Row],[Origem]], 'Perguntas 1 a 24'!$J$28:$K$34, 2, 0)</f>
        <v>Sudeste</v>
      </c>
      <c r="E2604" s="87" t="str">
        <f>Tabela1[[#This Row],[Descrição]]&amp;"-"&amp;Tabela1[[#This Row],[Código]]&amp;"/"&amp;Tabela1[[#This Row],[Origem]]</f>
        <v>Votici-P845H428/SP</v>
      </c>
      <c r="F2604" s="88">
        <v>47061</v>
      </c>
      <c r="G2604" s="88" t="str" cm="1">
        <f t="array" ref="G26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AND(F2604&gt;= DATE(2026,1,1), F2604&lt;= DATE(2028, 12, 31), J2604&gt;50000), "Pendente e Caro", AND(F2604&gt;= DATE(2026,1,1), F2604&lt;= DATE(2028, 12, 31), J2604&lt;=50000), "Pendente", F2604&gt;= DATE(2029,1,1), "Não prioeitário")</f>
        <v>Pendente e Caro</v>
      </c>
      <c r="H2604" s="89">
        <f>YEAR(Tabela1[[#This Row],[Data de Validade]])</f>
        <v>2028</v>
      </c>
      <c r="I2604" s="89">
        <f>MONTH(Tabela1[[#This Row],[Data de Validade]])</f>
        <v>11</v>
      </c>
      <c r="J2604" s="101">
        <v>88891</v>
      </c>
      <c r="K2604" s="87" t="s">
        <v>7</v>
      </c>
      <c r="L2604" s="108"/>
      <c r="M2604" s="108"/>
      <c r="N2604" s="108" t="str">
        <v>P917H585</v>
      </c>
      <c r="O2604" s="108">
        <f t="shared" si="42"/>
        <v>1</v>
      </c>
      <c r="P2604" s="108"/>
      <c r="Q2604"/>
    </row>
    <row r="2605" spans="1:17" x14ac:dyDescent="0.25">
      <c r="A2605" s="89" t="s">
        <v>9905</v>
      </c>
      <c r="B2605" s="87" t="s">
        <v>9906</v>
      </c>
      <c r="C2605" s="87" t="s">
        <v>12</v>
      </c>
      <c r="D2605" s="87" t="str">
        <f>VLOOKUP(Tabela1[[#This Row],[Origem]], 'Perguntas 1 a 24'!$J$28:$K$34, 2, 0)</f>
        <v>Sudeste</v>
      </c>
      <c r="E2605" s="87" t="str">
        <f>Tabela1[[#This Row],[Descrição]]&amp;"-"&amp;Tabela1[[#This Row],[Código]]&amp;"/"&amp;Tabela1[[#This Row],[Origem]]</f>
        <v>Rinuneceve-P917H585/RJ</v>
      </c>
      <c r="F2605" s="88">
        <v>47062</v>
      </c>
      <c r="G2605" s="88" t="str" cm="1">
        <f t="array" ref="G26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AND(F2605&gt;= DATE(2026,1,1), F2605&lt;= DATE(2028, 12, 31), J2605&gt;50000), "Pendente e Caro", AND(F2605&gt;= DATE(2026,1,1), F2605&lt;= DATE(2028, 12, 31), J2605&lt;=50000), "Pendente", F2605&gt;= DATE(2029,1,1), "Não prioeitário")</f>
        <v>Pendente e Caro</v>
      </c>
      <c r="H2605" s="89">
        <f>YEAR(Tabela1[[#This Row],[Data de Validade]])</f>
        <v>2028</v>
      </c>
      <c r="I2605" s="89">
        <f>MONTH(Tabela1[[#This Row],[Data de Validade]])</f>
        <v>11</v>
      </c>
      <c r="J2605" s="101">
        <v>114621</v>
      </c>
      <c r="K2605" s="87" t="s">
        <v>14</v>
      </c>
      <c r="L2605" s="108"/>
      <c r="M2605" s="108"/>
      <c r="N2605" s="108" t="str">
        <v>P824P879</v>
      </c>
      <c r="O2605" s="108">
        <f t="shared" si="42"/>
        <v>1</v>
      </c>
      <c r="P2605" s="108"/>
      <c r="Q2605"/>
    </row>
    <row r="2606" spans="1:17" x14ac:dyDescent="0.25">
      <c r="A2606" s="89" t="s">
        <v>4674</v>
      </c>
      <c r="B2606" s="87" t="s">
        <v>4675</v>
      </c>
      <c r="C2606" s="87" t="s">
        <v>10</v>
      </c>
      <c r="D2606" s="87" t="str">
        <f>VLOOKUP(Tabela1[[#This Row],[Origem]], 'Perguntas 1 a 24'!$J$28:$K$34, 2, 0)</f>
        <v>Centro-Oeste</v>
      </c>
      <c r="E2606" s="87" t="str">
        <f>Tabela1[[#This Row],[Descrição]]&amp;"-"&amp;Tabela1[[#This Row],[Código]]&amp;"/"&amp;Tabela1[[#This Row],[Origem]]</f>
        <v>Fifete-P824P879/GO</v>
      </c>
      <c r="F2606" s="88">
        <v>47062</v>
      </c>
      <c r="G2606" s="88" t="str" cm="1">
        <f t="array" ref="G26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AND(F2606&gt;= DATE(2026,1,1), F2606&lt;= DATE(2028, 12, 31), J2606&gt;50000), "Pendente e Caro", AND(F2606&gt;= DATE(2026,1,1), F2606&lt;= DATE(2028, 12, 31), J2606&lt;=50000), "Pendente", F2606&gt;= DATE(2029,1,1), "Não prioeitário")</f>
        <v>Pendente e Caro</v>
      </c>
      <c r="H2606" s="89">
        <f>YEAR(Tabela1[[#This Row],[Data de Validade]])</f>
        <v>2028</v>
      </c>
      <c r="I2606" s="89">
        <f>MONTH(Tabela1[[#This Row],[Data de Validade]])</f>
        <v>11</v>
      </c>
      <c r="J2606" s="101">
        <v>53064</v>
      </c>
      <c r="K2606" s="87" t="s">
        <v>7</v>
      </c>
      <c r="L2606" s="108"/>
      <c r="M2606" s="108"/>
      <c r="N2606" s="108" t="str">
        <v>P322H111</v>
      </c>
      <c r="O2606" s="108">
        <f t="shared" si="42"/>
        <v>1</v>
      </c>
      <c r="P2606" s="108"/>
      <c r="Q2606"/>
    </row>
    <row r="2607" spans="1:17" x14ac:dyDescent="0.25">
      <c r="A2607" s="89" t="s">
        <v>8334</v>
      </c>
      <c r="B2607" s="87" t="s">
        <v>8335</v>
      </c>
      <c r="C2607" s="87" t="s">
        <v>13</v>
      </c>
      <c r="D2607" s="87" t="str">
        <f>VLOOKUP(Tabela1[[#This Row],[Origem]], 'Perguntas 1 a 24'!$J$28:$K$34, 2, 0)</f>
        <v>Sudeste</v>
      </c>
      <c r="E2607" s="87" t="str">
        <f>Tabela1[[#This Row],[Descrição]]&amp;"-"&amp;Tabela1[[#This Row],[Código]]&amp;"/"&amp;Tabela1[[#This Row],[Origem]]</f>
        <v>Racunu-P322H111/SP</v>
      </c>
      <c r="F2607" s="88">
        <v>47063</v>
      </c>
      <c r="G2607" s="88" t="str" cm="1">
        <f t="array" ref="G26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AND(F2607&gt;= DATE(2026,1,1), F2607&lt;= DATE(2028, 12, 31), J2607&gt;50000), "Pendente e Caro", AND(F2607&gt;= DATE(2026,1,1), F2607&lt;= DATE(2028, 12, 31), J2607&lt;=50000), "Pendente", F2607&gt;= DATE(2029,1,1), "Não prioeitário")</f>
        <v>Pendente e Caro</v>
      </c>
      <c r="H2607" s="89">
        <f>YEAR(Tabela1[[#This Row],[Data de Validade]])</f>
        <v>2028</v>
      </c>
      <c r="I2607" s="89">
        <f>MONTH(Tabela1[[#This Row],[Data de Validade]])</f>
        <v>11</v>
      </c>
      <c r="J2607" s="101">
        <v>110663</v>
      </c>
      <c r="K2607" s="87" t="s">
        <v>14</v>
      </c>
      <c r="L2607" s="108"/>
      <c r="M2607" s="108"/>
      <c r="N2607" s="108" t="str">
        <v>H637H523</v>
      </c>
      <c r="O2607" s="108">
        <f t="shared" si="42"/>
        <v>1</v>
      </c>
      <c r="P2607" s="108"/>
      <c r="Q2607"/>
    </row>
    <row r="2608" spans="1:17" x14ac:dyDescent="0.25">
      <c r="A2608" s="89" t="s">
        <v>7414</v>
      </c>
      <c r="B2608" s="87" t="s">
        <v>7415</v>
      </c>
      <c r="C2608" s="87" t="s">
        <v>15</v>
      </c>
      <c r="D2608" s="87" t="str">
        <f>VLOOKUP(Tabela1[[#This Row],[Origem]], 'Perguntas 1 a 24'!$J$28:$K$34, 2, 0)</f>
        <v>Sudeste</v>
      </c>
      <c r="E2608" s="87" t="str">
        <f>Tabela1[[#This Row],[Descrição]]&amp;"-"&amp;Tabela1[[#This Row],[Código]]&amp;"/"&amp;Tabela1[[#This Row],[Origem]]</f>
        <v>Pafurefa-H637H523/ES</v>
      </c>
      <c r="F2608" s="88">
        <v>47063</v>
      </c>
      <c r="G2608" s="88" t="str" cm="1">
        <f t="array" ref="G26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AND(F2608&gt;= DATE(2026,1,1), F2608&lt;= DATE(2028, 12, 31), J2608&gt;50000), "Pendente e Caro", AND(F2608&gt;= DATE(2026,1,1), F2608&lt;= DATE(2028, 12, 31), J2608&lt;=50000), "Pendente", F2608&gt;= DATE(2029,1,1), "Não prioeitário")</f>
        <v>Pendente e Caro</v>
      </c>
      <c r="H2608" s="89">
        <f>YEAR(Tabela1[[#This Row],[Data de Validade]])</f>
        <v>2028</v>
      </c>
      <c r="I2608" s="89">
        <f>MONTH(Tabela1[[#This Row],[Data de Validade]])</f>
        <v>11</v>
      </c>
      <c r="J2608" s="101">
        <v>51909</v>
      </c>
      <c r="K2608" s="87" t="s">
        <v>14</v>
      </c>
      <c r="L2608" s="108"/>
      <c r="M2608" s="108"/>
      <c r="N2608" s="108" t="str">
        <v>H918H278</v>
      </c>
      <c r="O2608" s="108">
        <f t="shared" si="42"/>
        <v>1</v>
      </c>
      <c r="P2608" s="108"/>
      <c r="Q2608"/>
    </row>
    <row r="2609" spans="1:17" x14ac:dyDescent="0.25">
      <c r="A2609" s="89" t="s">
        <v>5586</v>
      </c>
      <c r="B2609" s="87" t="s">
        <v>5587</v>
      </c>
      <c r="C2609" s="87" t="s">
        <v>16</v>
      </c>
      <c r="D2609" s="87" t="str">
        <f>VLOOKUP(Tabela1[[#This Row],[Origem]], 'Perguntas 1 a 24'!$J$28:$K$34, 2, 0)</f>
        <v>Sudeste</v>
      </c>
      <c r="E2609" s="87" t="str">
        <f>Tabela1[[#This Row],[Descrição]]&amp;"-"&amp;Tabela1[[#This Row],[Código]]&amp;"/"&amp;Tabela1[[#This Row],[Origem]]</f>
        <v>Gucupidu-H918H278/MG</v>
      </c>
      <c r="F2609" s="88">
        <v>47064</v>
      </c>
      <c r="G2609" s="88" t="str" cm="1">
        <f t="array" ref="G26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AND(F2609&gt;= DATE(2026,1,1), F2609&lt;= DATE(2028, 12, 31), J2609&gt;50000), "Pendente e Caro", AND(F2609&gt;= DATE(2026,1,1), F2609&lt;= DATE(2028, 12, 31), J2609&lt;=50000), "Pendente", F2609&gt;= DATE(2029,1,1), "Não prioeitário")</f>
        <v>Pendente</v>
      </c>
      <c r="H2609" s="89">
        <f>YEAR(Tabela1[[#This Row],[Data de Validade]])</f>
        <v>2028</v>
      </c>
      <c r="I2609" s="89">
        <f>MONTH(Tabela1[[#This Row],[Data de Validade]])</f>
        <v>11</v>
      </c>
      <c r="J2609" s="101">
        <v>38243</v>
      </c>
      <c r="K2609" s="87" t="s">
        <v>14</v>
      </c>
      <c r="L2609" s="108"/>
      <c r="M2609" s="108"/>
      <c r="N2609" s="108" t="str">
        <v>H784P724</v>
      </c>
      <c r="O2609" s="108">
        <f t="shared" si="42"/>
        <v>1</v>
      </c>
      <c r="P2609" s="108"/>
      <c r="Q2609"/>
    </row>
    <row r="2610" spans="1:17" x14ac:dyDescent="0.25">
      <c r="A2610" s="89" t="s">
        <v>8280</v>
      </c>
      <c r="B2610" s="87" t="s">
        <v>8281</v>
      </c>
      <c r="C2610" s="87" t="s">
        <v>6</v>
      </c>
      <c r="D2610" s="87" t="str">
        <f>VLOOKUP(Tabela1[[#This Row],[Origem]], 'Perguntas 1 a 24'!$J$28:$K$34, 2, 0)</f>
        <v>Nordeste</v>
      </c>
      <c r="E2610" s="87" t="str">
        <f>Tabela1[[#This Row],[Descrição]]&amp;"-"&amp;Tabela1[[#This Row],[Código]]&amp;"/"&amp;Tabela1[[#This Row],[Origem]]</f>
        <v>Firarepe-H784P724/MA</v>
      </c>
      <c r="F2610" s="88">
        <v>47064</v>
      </c>
      <c r="G2610" s="88" t="str" cm="1">
        <f t="array" ref="G26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AND(F2610&gt;= DATE(2026,1,1), F2610&lt;= DATE(2028, 12, 31), J2610&gt;50000), "Pendente e Caro", AND(F2610&gt;= DATE(2026,1,1), F2610&lt;= DATE(2028, 12, 31), J2610&lt;=50000), "Pendente", F2610&gt;= DATE(2029,1,1), "Não prioeitário")</f>
        <v>Pendente</v>
      </c>
      <c r="H2610" s="89">
        <f>YEAR(Tabela1[[#This Row],[Data de Validade]])</f>
        <v>2028</v>
      </c>
      <c r="I2610" s="89">
        <f>MONTH(Tabela1[[#This Row],[Data de Validade]])</f>
        <v>11</v>
      </c>
      <c r="J2610" s="101">
        <v>31073</v>
      </c>
      <c r="K2610" s="87" t="s">
        <v>11</v>
      </c>
      <c r="L2610" s="108"/>
      <c r="M2610" s="108"/>
      <c r="N2610" s="108" t="str">
        <v>H911H317</v>
      </c>
      <c r="O2610" s="108">
        <f t="shared" si="42"/>
        <v>1</v>
      </c>
      <c r="P2610" s="108"/>
      <c r="Q2610"/>
    </row>
    <row r="2611" spans="1:17" x14ac:dyDescent="0.25">
      <c r="A2611" s="89" t="s">
        <v>5482</v>
      </c>
      <c r="B2611" s="87" t="s">
        <v>5483</v>
      </c>
      <c r="C2611" s="87" t="s">
        <v>12</v>
      </c>
      <c r="D2611" s="87" t="str">
        <f>VLOOKUP(Tabela1[[#This Row],[Origem]], 'Perguntas 1 a 24'!$J$28:$K$34, 2, 0)</f>
        <v>Sudeste</v>
      </c>
      <c r="E2611" s="87" t="str">
        <f>Tabela1[[#This Row],[Descrição]]&amp;"-"&amp;Tabela1[[#This Row],[Código]]&amp;"/"&amp;Tabela1[[#This Row],[Origem]]</f>
        <v>Miramunu-H911H317/RJ</v>
      </c>
      <c r="F2611" s="88">
        <v>47065</v>
      </c>
      <c r="G2611" s="88" t="str" cm="1">
        <f t="array" ref="G26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AND(F2611&gt;= DATE(2026,1,1), F2611&lt;= DATE(2028, 12, 31), J2611&gt;50000), "Pendente e Caro", AND(F2611&gt;= DATE(2026,1,1), F2611&lt;= DATE(2028, 12, 31), J2611&lt;=50000), "Pendente", F2611&gt;= DATE(2029,1,1), "Não prioeitário")</f>
        <v>Pendente e Caro</v>
      </c>
      <c r="H2611" s="89">
        <f>YEAR(Tabela1[[#This Row],[Data de Validade]])</f>
        <v>2028</v>
      </c>
      <c r="I2611" s="89">
        <f>MONTH(Tabela1[[#This Row],[Data de Validade]])</f>
        <v>11</v>
      </c>
      <c r="J2611" s="101">
        <v>109619</v>
      </c>
      <c r="K2611" s="87" t="s">
        <v>7</v>
      </c>
      <c r="L2611" s="108"/>
      <c r="M2611" s="108"/>
      <c r="N2611" s="108" t="str">
        <v>H191P264</v>
      </c>
      <c r="O2611" s="108">
        <f t="shared" si="42"/>
        <v>1</v>
      </c>
      <c r="P2611" s="108"/>
      <c r="Q2611"/>
    </row>
    <row r="2612" spans="1:17" x14ac:dyDescent="0.25">
      <c r="A2612" s="89" t="s">
        <v>9047</v>
      </c>
      <c r="B2612" s="87" t="s">
        <v>9048</v>
      </c>
      <c r="C2612" s="87" t="s">
        <v>10</v>
      </c>
      <c r="D2612" s="87" t="str">
        <f>VLOOKUP(Tabela1[[#This Row],[Origem]], 'Perguntas 1 a 24'!$J$28:$K$34, 2, 0)</f>
        <v>Centro-Oeste</v>
      </c>
      <c r="E2612" s="87" t="str">
        <f>Tabela1[[#This Row],[Descrição]]&amp;"-"&amp;Tabela1[[#This Row],[Código]]&amp;"/"&amp;Tabela1[[#This Row],[Origem]]</f>
        <v>Gopemudaru-H191P264/GO</v>
      </c>
      <c r="F2612" s="88">
        <v>47065</v>
      </c>
      <c r="G2612" s="88" t="str" cm="1">
        <f t="array" ref="G26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AND(F2612&gt;= DATE(2026,1,1), F2612&lt;= DATE(2028, 12, 31), J2612&gt;50000), "Pendente e Caro", AND(F2612&gt;= DATE(2026,1,1), F2612&lt;= DATE(2028, 12, 31), J2612&lt;=50000), "Pendente", F2612&gt;= DATE(2029,1,1), "Não prioeitário")</f>
        <v>Pendente e Caro</v>
      </c>
      <c r="H2612" s="89">
        <f>YEAR(Tabela1[[#This Row],[Data de Validade]])</f>
        <v>2028</v>
      </c>
      <c r="I2612" s="89">
        <f>MONTH(Tabela1[[#This Row],[Data de Validade]])</f>
        <v>11</v>
      </c>
      <c r="J2612" s="101">
        <v>104664</v>
      </c>
      <c r="K2612" s="87" t="s">
        <v>11</v>
      </c>
      <c r="L2612" s="108"/>
      <c r="M2612" s="108"/>
      <c r="N2612" s="108" t="str">
        <v>P412H776</v>
      </c>
      <c r="O2612" s="108">
        <f t="shared" si="42"/>
        <v>1</v>
      </c>
      <c r="P2612" s="108"/>
      <c r="Q2612"/>
    </row>
    <row r="2613" spans="1:17" x14ac:dyDescent="0.25">
      <c r="A2613" s="89" t="s">
        <v>7776</v>
      </c>
      <c r="B2613" s="87" t="s">
        <v>7777</v>
      </c>
      <c r="C2613" s="87" t="s">
        <v>10</v>
      </c>
      <c r="D2613" s="87" t="str">
        <f>VLOOKUP(Tabela1[[#This Row],[Origem]], 'Perguntas 1 a 24'!$J$28:$K$34, 2, 0)</f>
        <v>Centro-Oeste</v>
      </c>
      <c r="E2613" s="87" t="str">
        <f>Tabela1[[#This Row],[Descrição]]&amp;"-"&amp;Tabela1[[#This Row],[Código]]&amp;"/"&amp;Tabela1[[#This Row],[Origem]]</f>
        <v>Pinicafelu-P412H776/GO</v>
      </c>
      <c r="F2613" s="88">
        <v>47065</v>
      </c>
      <c r="G2613" s="88" t="str" cm="1">
        <f t="array" ref="G26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AND(F2613&gt;= DATE(2026,1,1), F2613&lt;= DATE(2028, 12, 31), J2613&gt;50000), "Pendente e Caro", AND(F2613&gt;= DATE(2026,1,1), F2613&lt;= DATE(2028, 12, 31), J2613&lt;=50000), "Pendente", F2613&gt;= DATE(2029,1,1), "Não prioeitário")</f>
        <v>Pendente e Caro</v>
      </c>
      <c r="H2613" s="89">
        <f>YEAR(Tabela1[[#This Row],[Data de Validade]])</f>
        <v>2028</v>
      </c>
      <c r="I2613" s="89">
        <f>MONTH(Tabela1[[#This Row],[Data de Validade]])</f>
        <v>11</v>
      </c>
      <c r="J2613" s="101">
        <v>98558</v>
      </c>
      <c r="K2613" s="87" t="s">
        <v>7</v>
      </c>
      <c r="L2613" s="108"/>
      <c r="M2613" s="108"/>
      <c r="N2613" s="108" t="str">
        <v>P891H829</v>
      </c>
      <c r="O2613" s="108">
        <f t="shared" si="42"/>
        <v>1</v>
      </c>
      <c r="P2613" s="108"/>
      <c r="Q2613"/>
    </row>
    <row r="2614" spans="1:17" x14ac:dyDescent="0.25">
      <c r="A2614" s="89" t="s">
        <v>6180</v>
      </c>
      <c r="B2614" s="87" t="s">
        <v>6181</v>
      </c>
      <c r="C2614" s="87" t="s">
        <v>10</v>
      </c>
      <c r="D2614" s="87" t="str">
        <f>VLOOKUP(Tabela1[[#This Row],[Origem]], 'Perguntas 1 a 24'!$J$28:$K$34, 2, 0)</f>
        <v>Centro-Oeste</v>
      </c>
      <c r="E2614" s="87" t="str">
        <f>Tabela1[[#This Row],[Descrição]]&amp;"-"&amp;Tabela1[[#This Row],[Código]]&amp;"/"&amp;Tabela1[[#This Row],[Origem]]</f>
        <v>Cerege-P891H829/GO</v>
      </c>
      <c r="F2614" s="88">
        <v>47065</v>
      </c>
      <c r="G2614" s="88" t="str" cm="1">
        <f t="array" ref="G26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AND(F2614&gt;= DATE(2026,1,1), F2614&lt;= DATE(2028, 12, 31), J2614&gt;50000), "Pendente e Caro", AND(F2614&gt;= DATE(2026,1,1), F2614&lt;= DATE(2028, 12, 31), J2614&lt;=50000), "Pendente", F2614&gt;= DATE(2029,1,1), "Não prioeitário")</f>
        <v>Pendente e Caro</v>
      </c>
      <c r="H2614" s="89">
        <f>YEAR(Tabela1[[#This Row],[Data de Validade]])</f>
        <v>2028</v>
      </c>
      <c r="I2614" s="89">
        <f>MONTH(Tabela1[[#This Row],[Data de Validade]])</f>
        <v>11</v>
      </c>
      <c r="J2614" s="101">
        <v>93379</v>
      </c>
      <c r="K2614" s="87" t="s">
        <v>9</v>
      </c>
      <c r="L2614" s="108"/>
      <c r="M2614" s="108"/>
      <c r="N2614" s="108" t="str">
        <v>H534P699</v>
      </c>
      <c r="O2614" s="108">
        <f t="shared" si="42"/>
        <v>1</v>
      </c>
      <c r="P2614" s="108"/>
      <c r="Q2614"/>
    </row>
    <row r="2615" spans="1:17" x14ac:dyDescent="0.25">
      <c r="A2615" s="89" t="s">
        <v>6688</v>
      </c>
      <c r="B2615" s="87" t="s">
        <v>6689</v>
      </c>
      <c r="C2615" s="87" t="s">
        <v>13</v>
      </c>
      <c r="D2615" s="87" t="str">
        <f>VLOOKUP(Tabela1[[#This Row],[Origem]], 'Perguntas 1 a 24'!$J$28:$K$34, 2, 0)</f>
        <v>Sudeste</v>
      </c>
      <c r="E2615" s="87" t="str">
        <f>Tabela1[[#This Row],[Descrição]]&amp;"-"&amp;Tabela1[[#This Row],[Código]]&amp;"/"&amp;Tabela1[[#This Row],[Origem]]</f>
        <v>Mopumigi-H534P699/SP</v>
      </c>
      <c r="F2615" s="88">
        <v>47066</v>
      </c>
      <c r="G2615" s="88" t="str" cm="1">
        <f t="array" ref="G26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AND(F2615&gt;= DATE(2026,1,1), F2615&lt;= DATE(2028, 12, 31), J2615&gt;50000), "Pendente e Caro", AND(F2615&gt;= DATE(2026,1,1), F2615&lt;= DATE(2028, 12, 31), J2615&lt;=50000), "Pendente", F2615&gt;= DATE(2029,1,1), "Não prioeitário")</f>
        <v>Pendente e Caro</v>
      </c>
      <c r="H2615" s="89">
        <f>YEAR(Tabela1[[#This Row],[Data de Validade]])</f>
        <v>2028</v>
      </c>
      <c r="I2615" s="89">
        <f>MONTH(Tabela1[[#This Row],[Data de Validade]])</f>
        <v>11</v>
      </c>
      <c r="J2615" s="101">
        <v>118683</v>
      </c>
      <c r="K2615" s="87" t="s">
        <v>14</v>
      </c>
      <c r="L2615" s="108"/>
      <c r="M2615" s="108"/>
      <c r="N2615" s="108" t="str">
        <v>P356P611</v>
      </c>
      <c r="O2615" s="108">
        <f t="shared" si="42"/>
        <v>1</v>
      </c>
      <c r="P2615" s="108"/>
      <c r="Q2615"/>
    </row>
    <row r="2616" spans="1:17" x14ac:dyDescent="0.25">
      <c r="A2616" s="89" t="s">
        <v>4730</v>
      </c>
      <c r="B2616" s="87" t="s">
        <v>4731</v>
      </c>
      <c r="C2616" s="87" t="s">
        <v>13</v>
      </c>
      <c r="D2616" s="87" t="str">
        <f>VLOOKUP(Tabela1[[#This Row],[Origem]], 'Perguntas 1 a 24'!$J$28:$K$34, 2, 0)</f>
        <v>Sudeste</v>
      </c>
      <c r="E2616" s="87" t="str">
        <f>Tabela1[[#This Row],[Descrição]]&amp;"-"&amp;Tabela1[[#This Row],[Código]]&amp;"/"&amp;Tabela1[[#This Row],[Origem]]</f>
        <v>Migitovole-P356P611/SP</v>
      </c>
      <c r="F2616" s="88">
        <v>47069</v>
      </c>
      <c r="G2616" s="88" t="str" cm="1">
        <f t="array" ref="G26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AND(F2616&gt;= DATE(2026,1,1), F2616&lt;= DATE(2028, 12, 31), J2616&gt;50000), "Pendente e Caro", AND(F2616&gt;= DATE(2026,1,1), F2616&lt;= DATE(2028, 12, 31), J2616&lt;=50000), "Pendente", F2616&gt;= DATE(2029,1,1), "Não prioeitário")</f>
        <v>Pendente e Caro</v>
      </c>
      <c r="H2616" s="89">
        <f>YEAR(Tabela1[[#This Row],[Data de Validade]])</f>
        <v>2028</v>
      </c>
      <c r="I2616" s="89">
        <f>MONTH(Tabela1[[#This Row],[Data de Validade]])</f>
        <v>11</v>
      </c>
      <c r="J2616" s="101">
        <v>68323</v>
      </c>
      <c r="K2616" s="87" t="s">
        <v>7</v>
      </c>
      <c r="L2616" s="108"/>
      <c r="M2616" s="108"/>
      <c r="N2616" s="108" t="str">
        <v>H817P737</v>
      </c>
      <c r="O2616" s="108">
        <f t="shared" si="42"/>
        <v>1</v>
      </c>
      <c r="P2616" s="108"/>
      <c r="Q2616"/>
    </row>
    <row r="2617" spans="1:17" x14ac:dyDescent="0.25">
      <c r="A2617" s="89" t="s">
        <v>4092</v>
      </c>
      <c r="B2617" s="87" t="s">
        <v>4093</v>
      </c>
      <c r="C2617" s="87" t="s">
        <v>12</v>
      </c>
      <c r="D2617" s="87" t="str">
        <f>VLOOKUP(Tabela1[[#This Row],[Origem]], 'Perguntas 1 a 24'!$J$28:$K$34, 2, 0)</f>
        <v>Sudeste</v>
      </c>
      <c r="E2617" s="87" t="str">
        <f>Tabela1[[#This Row],[Descrição]]&amp;"-"&amp;Tabela1[[#This Row],[Código]]&amp;"/"&amp;Tabela1[[#This Row],[Origem]]</f>
        <v>Pigedicapi-H817P737/RJ</v>
      </c>
      <c r="F2617" s="88">
        <v>47069</v>
      </c>
      <c r="G2617" s="88" t="str" cm="1">
        <f t="array" ref="G26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AND(F2617&gt;= DATE(2026,1,1), F2617&lt;= DATE(2028, 12, 31), J2617&gt;50000), "Pendente e Caro", AND(F2617&gt;= DATE(2026,1,1), F2617&lt;= DATE(2028, 12, 31), J2617&lt;=50000), "Pendente", F2617&gt;= DATE(2029,1,1), "Não prioeitário")</f>
        <v>Pendente e Caro</v>
      </c>
      <c r="H2617" s="89">
        <f>YEAR(Tabela1[[#This Row],[Data de Validade]])</f>
        <v>2028</v>
      </c>
      <c r="I2617" s="89">
        <f>MONTH(Tabela1[[#This Row],[Data de Validade]])</f>
        <v>11</v>
      </c>
      <c r="J2617" s="101">
        <v>54867</v>
      </c>
      <c r="K2617" s="87" t="s">
        <v>14</v>
      </c>
      <c r="L2617" s="108"/>
      <c r="M2617" s="108"/>
      <c r="N2617" s="108" t="str">
        <v>H323P486</v>
      </c>
      <c r="O2617" s="108">
        <f t="shared" si="42"/>
        <v>1</v>
      </c>
      <c r="P2617" s="108"/>
      <c r="Q2617"/>
    </row>
    <row r="2618" spans="1:17" x14ac:dyDescent="0.25">
      <c r="A2618" s="89" t="s">
        <v>11153</v>
      </c>
      <c r="B2618" s="87" t="s">
        <v>11154</v>
      </c>
      <c r="C2618" s="87" t="s">
        <v>8</v>
      </c>
      <c r="D2618" s="87" t="str">
        <f>VLOOKUP(Tabela1[[#This Row],[Origem]], 'Perguntas 1 a 24'!$J$28:$K$34, 2, 0)</f>
        <v>Nordeste</v>
      </c>
      <c r="E2618" s="87" t="str">
        <f>Tabela1[[#This Row],[Descrição]]&amp;"-"&amp;Tabela1[[#This Row],[Código]]&amp;"/"&amp;Tabela1[[#This Row],[Origem]]</f>
        <v>Vupupi-H323P486/AL</v>
      </c>
      <c r="F2618" s="88">
        <v>47072</v>
      </c>
      <c r="G2618" s="88" t="str" cm="1">
        <f t="array" ref="G26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AND(F2618&gt;= DATE(2026,1,1), F2618&lt;= DATE(2028, 12, 31), J2618&gt;50000), "Pendente e Caro", AND(F2618&gt;= DATE(2026,1,1), F2618&lt;= DATE(2028, 12, 31), J2618&lt;=50000), "Pendente", F2618&gt;= DATE(2029,1,1), "Não prioeitário")</f>
        <v>Pendente e Caro</v>
      </c>
      <c r="H2618" s="89">
        <f>YEAR(Tabela1[[#This Row],[Data de Validade]])</f>
        <v>2028</v>
      </c>
      <c r="I2618" s="89">
        <f>MONTH(Tabela1[[#This Row],[Data de Validade]])</f>
        <v>11</v>
      </c>
      <c r="J2618" s="101">
        <v>100906</v>
      </c>
      <c r="K2618" s="87" t="s">
        <v>9</v>
      </c>
      <c r="L2618" s="108"/>
      <c r="M2618" s="108"/>
      <c r="N2618" s="108" t="str">
        <v>P453H342</v>
      </c>
      <c r="O2618" s="108">
        <f t="shared" si="42"/>
        <v>1</v>
      </c>
      <c r="P2618" s="108"/>
      <c r="Q2618"/>
    </row>
    <row r="2619" spans="1:17" x14ac:dyDescent="0.25">
      <c r="A2619" s="89" t="s">
        <v>6526</v>
      </c>
      <c r="B2619" s="87" t="s">
        <v>6527</v>
      </c>
      <c r="C2619" s="87" t="s">
        <v>15</v>
      </c>
      <c r="D2619" s="87" t="str">
        <f>VLOOKUP(Tabela1[[#This Row],[Origem]], 'Perguntas 1 a 24'!$J$28:$K$34, 2, 0)</f>
        <v>Sudeste</v>
      </c>
      <c r="E2619" s="87" t="str">
        <f>Tabela1[[#This Row],[Descrição]]&amp;"-"&amp;Tabela1[[#This Row],[Código]]&amp;"/"&amp;Tabela1[[#This Row],[Origem]]</f>
        <v>Repolodoti-P453H342/ES</v>
      </c>
      <c r="F2619" s="88">
        <v>47074</v>
      </c>
      <c r="G2619" s="88" t="str" cm="1">
        <f t="array" ref="G26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AND(F2619&gt;= DATE(2026,1,1), F2619&lt;= DATE(2028, 12, 31), J2619&gt;50000), "Pendente e Caro", AND(F2619&gt;= DATE(2026,1,1), F2619&lt;= DATE(2028, 12, 31), J2619&lt;=50000), "Pendente", F2619&gt;= DATE(2029,1,1), "Não prioeitário")</f>
        <v>Pendente</v>
      </c>
      <c r="H2619" s="89">
        <f>YEAR(Tabela1[[#This Row],[Data de Validade]])</f>
        <v>2028</v>
      </c>
      <c r="I2619" s="89">
        <f>MONTH(Tabela1[[#This Row],[Data de Validade]])</f>
        <v>11</v>
      </c>
      <c r="J2619" s="101">
        <v>35835</v>
      </c>
      <c r="K2619" s="87" t="s">
        <v>9</v>
      </c>
      <c r="L2619" s="108"/>
      <c r="M2619" s="108"/>
      <c r="N2619" s="108" t="str">
        <v>P836H697</v>
      </c>
      <c r="O2619" s="108">
        <f t="shared" si="42"/>
        <v>1</v>
      </c>
      <c r="P2619" s="108"/>
      <c r="Q2619"/>
    </row>
    <row r="2620" spans="1:17" x14ac:dyDescent="0.25">
      <c r="A2620" s="89" t="s">
        <v>7100</v>
      </c>
      <c r="B2620" s="87" t="s">
        <v>7101</v>
      </c>
      <c r="C2620" s="87" t="s">
        <v>12</v>
      </c>
      <c r="D2620" s="87" t="str">
        <f>VLOOKUP(Tabela1[[#This Row],[Origem]], 'Perguntas 1 a 24'!$J$28:$K$34, 2, 0)</f>
        <v>Sudeste</v>
      </c>
      <c r="E2620" s="87" t="str">
        <f>Tabela1[[#This Row],[Descrição]]&amp;"-"&amp;Tabela1[[#This Row],[Código]]&amp;"/"&amp;Tabela1[[#This Row],[Origem]]</f>
        <v>Dutupifopo-P836H697/RJ</v>
      </c>
      <c r="F2620" s="88">
        <v>47075</v>
      </c>
      <c r="G2620" s="88" t="str" cm="1">
        <f t="array" ref="G26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AND(F2620&gt;= DATE(2026,1,1), F2620&lt;= DATE(2028, 12, 31), J2620&gt;50000), "Pendente e Caro", AND(F2620&gt;= DATE(2026,1,1), F2620&lt;= DATE(2028, 12, 31), J2620&lt;=50000), "Pendente", F2620&gt;= DATE(2029,1,1), "Não prioeitário")</f>
        <v>Pendente</v>
      </c>
      <c r="H2620" s="89">
        <f>YEAR(Tabela1[[#This Row],[Data de Validade]])</f>
        <v>2028</v>
      </c>
      <c r="I2620" s="89">
        <f>MONTH(Tabela1[[#This Row],[Data de Validade]])</f>
        <v>11</v>
      </c>
      <c r="J2620" s="101">
        <v>46347</v>
      </c>
      <c r="K2620" s="87" t="s">
        <v>11</v>
      </c>
      <c r="L2620" s="108"/>
      <c r="M2620" s="108"/>
      <c r="N2620" s="108" t="str">
        <v>P897H455</v>
      </c>
      <c r="O2620" s="108">
        <f t="shared" si="42"/>
        <v>1</v>
      </c>
      <c r="P2620" s="108"/>
      <c r="Q2620"/>
    </row>
    <row r="2621" spans="1:17" x14ac:dyDescent="0.25">
      <c r="A2621" s="89" t="s">
        <v>7934</v>
      </c>
      <c r="B2621" s="87" t="s">
        <v>7935</v>
      </c>
      <c r="C2621" s="87" t="s">
        <v>6</v>
      </c>
      <c r="D2621" s="87" t="str">
        <f>VLOOKUP(Tabela1[[#This Row],[Origem]], 'Perguntas 1 a 24'!$J$28:$K$34, 2, 0)</f>
        <v>Nordeste</v>
      </c>
      <c r="E2621" s="87" t="str">
        <f>Tabela1[[#This Row],[Descrição]]&amp;"-"&amp;Tabela1[[#This Row],[Código]]&amp;"/"&amp;Tabela1[[#This Row],[Origem]]</f>
        <v>Daloro-P897H455/MA</v>
      </c>
      <c r="F2621" s="88">
        <v>47076</v>
      </c>
      <c r="G2621" s="88" t="str" cm="1">
        <f t="array" ref="G26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AND(F2621&gt;= DATE(2026,1,1), F2621&lt;= DATE(2028, 12, 31), J2621&gt;50000), "Pendente e Caro", AND(F2621&gt;= DATE(2026,1,1), F2621&lt;= DATE(2028, 12, 31), J2621&lt;=50000), "Pendente", F2621&gt;= DATE(2029,1,1), "Não prioeitário")</f>
        <v>Pendente e Caro</v>
      </c>
      <c r="H2621" s="89">
        <f>YEAR(Tabela1[[#This Row],[Data de Validade]])</f>
        <v>2028</v>
      </c>
      <c r="I2621" s="89">
        <f>MONTH(Tabela1[[#This Row],[Data de Validade]])</f>
        <v>11</v>
      </c>
      <c r="J2621" s="101">
        <v>63385</v>
      </c>
      <c r="K2621" s="87" t="s">
        <v>7</v>
      </c>
      <c r="L2621" s="108"/>
      <c r="M2621" s="108"/>
      <c r="N2621" s="108" t="str">
        <v>P524P346</v>
      </c>
      <c r="O2621" s="108">
        <f t="shared" si="42"/>
        <v>1</v>
      </c>
      <c r="P2621" s="108"/>
      <c r="Q2621"/>
    </row>
    <row r="2622" spans="1:17" x14ac:dyDescent="0.25">
      <c r="A2622" s="89" t="s">
        <v>10957</v>
      </c>
      <c r="B2622" s="87" t="s">
        <v>10958</v>
      </c>
      <c r="C2622" s="87" t="s">
        <v>10</v>
      </c>
      <c r="D2622" s="87" t="str">
        <f>VLOOKUP(Tabela1[[#This Row],[Origem]], 'Perguntas 1 a 24'!$J$28:$K$34, 2, 0)</f>
        <v>Centro-Oeste</v>
      </c>
      <c r="E2622" s="87" t="str">
        <f>Tabela1[[#This Row],[Descrição]]&amp;"-"&amp;Tabela1[[#This Row],[Código]]&amp;"/"&amp;Tabela1[[#This Row],[Origem]]</f>
        <v>Gomopu-P524P346/GO</v>
      </c>
      <c r="F2622" s="88">
        <v>47076</v>
      </c>
      <c r="G2622" s="88" t="str" cm="1">
        <f t="array" ref="G26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AND(F2622&gt;= DATE(2026,1,1), F2622&lt;= DATE(2028, 12, 31), J2622&gt;50000), "Pendente e Caro", AND(F2622&gt;= DATE(2026,1,1), F2622&lt;= DATE(2028, 12, 31), J2622&lt;=50000), "Pendente", F2622&gt;= DATE(2029,1,1), "Não prioeitário")</f>
        <v>Pendente</v>
      </c>
      <c r="H2622" s="89">
        <f>YEAR(Tabela1[[#This Row],[Data de Validade]])</f>
        <v>2028</v>
      </c>
      <c r="I2622" s="89">
        <f>MONTH(Tabela1[[#This Row],[Data de Validade]])</f>
        <v>11</v>
      </c>
      <c r="J2622" s="101">
        <v>23065</v>
      </c>
      <c r="K2622" s="87" t="s">
        <v>14</v>
      </c>
      <c r="L2622" s="108"/>
      <c r="M2622" s="108"/>
      <c r="N2622" s="108" t="str">
        <v>H391H278</v>
      </c>
      <c r="O2622" s="108">
        <f t="shared" si="42"/>
        <v>1</v>
      </c>
      <c r="P2622" s="108"/>
      <c r="Q2622"/>
    </row>
    <row r="2623" spans="1:17" x14ac:dyDescent="0.25">
      <c r="A2623" s="89" t="s">
        <v>8008</v>
      </c>
      <c r="B2623" s="87" t="s">
        <v>8009</v>
      </c>
      <c r="C2623" s="87" t="s">
        <v>8</v>
      </c>
      <c r="D2623" s="87" t="str">
        <f>VLOOKUP(Tabela1[[#This Row],[Origem]], 'Perguntas 1 a 24'!$J$28:$K$34, 2, 0)</f>
        <v>Nordeste</v>
      </c>
      <c r="E2623" s="87" t="str">
        <f>Tabela1[[#This Row],[Descrição]]&amp;"-"&amp;Tabela1[[#This Row],[Código]]&amp;"/"&amp;Tabela1[[#This Row],[Origem]]</f>
        <v>Rutorudura-H391H278/AL</v>
      </c>
      <c r="F2623" s="88">
        <v>47077</v>
      </c>
      <c r="G2623" s="88" t="str" cm="1">
        <f t="array" ref="G26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AND(F2623&gt;= DATE(2026,1,1), F2623&lt;= DATE(2028, 12, 31), J2623&gt;50000), "Pendente e Caro", AND(F2623&gt;= DATE(2026,1,1), F2623&lt;= DATE(2028, 12, 31), J2623&lt;=50000), "Pendente", F2623&gt;= DATE(2029,1,1), "Não prioeitário")</f>
        <v>Pendente e Caro</v>
      </c>
      <c r="H2623" s="89">
        <f>YEAR(Tabela1[[#This Row],[Data de Validade]])</f>
        <v>2028</v>
      </c>
      <c r="I2623" s="89">
        <f>MONTH(Tabela1[[#This Row],[Data de Validade]])</f>
        <v>11</v>
      </c>
      <c r="J2623" s="101">
        <v>113246</v>
      </c>
      <c r="K2623" s="87" t="s">
        <v>7</v>
      </c>
      <c r="L2623" s="108"/>
      <c r="M2623" s="108"/>
      <c r="N2623" s="108" t="str">
        <v>H363H196</v>
      </c>
      <c r="O2623" s="108">
        <f t="shared" si="42"/>
        <v>1</v>
      </c>
      <c r="P2623" s="108"/>
      <c r="Q2623"/>
    </row>
    <row r="2624" spans="1:17" x14ac:dyDescent="0.25">
      <c r="A2624" s="89" t="s">
        <v>4578</v>
      </c>
      <c r="B2624" s="87" t="s">
        <v>4579</v>
      </c>
      <c r="C2624" s="87" t="s">
        <v>16</v>
      </c>
      <c r="D2624" s="87" t="str">
        <f>VLOOKUP(Tabela1[[#This Row],[Origem]], 'Perguntas 1 a 24'!$J$28:$K$34, 2, 0)</f>
        <v>Sudeste</v>
      </c>
      <c r="E2624" s="87" t="str">
        <f>Tabela1[[#This Row],[Descrição]]&amp;"-"&amp;Tabela1[[#This Row],[Código]]&amp;"/"&amp;Tabela1[[#This Row],[Origem]]</f>
        <v>Nipota-H363H196/MG</v>
      </c>
      <c r="F2624" s="88">
        <v>47077</v>
      </c>
      <c r="G2624" s="88" t="str" cm="1">
        <f t="array" ref="G26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AND(F2624&gt;= DATE(2026,1,1), F2624&lt;= DATE(2028, 12, 31), J2624&gt;50000), "Pendente e Caro", AND(F2624&gt;= DATE(2026,1,1), F2624&lt;= DATE(2028, 12, 31), J2624&lt;=50000), "Pendente", F2624&gt;= DATE(2029,1,1), "Não prioeitário")</f>
        <v>Pendente e Caro</v>
      </c>
      <c r="H2624" s="89">
        <f>YEAR(Tabela1[[#This Row],[Data de Validade]])</f>
        <v>2028</v>
      </c>
      <c r="I2624" s="89">
        <f>MONTH(Tabela1[[#This Row],[Data de Validade]])</f>
        <v>11</v>
      </c>
      <c r="J2624" s="101">
        <v>81495</v>
      </c>
      <c r="K2624" s="87" t="s">
        <v>14</v>
      </c>
      <c r="L2624" s="108"/>
      <c r="M2624" s="108"/>
      <c r="N2624" s="108" t="str">
        <v>P923H668</v>
      </c>
      <c r="O2624" s="108">
        <f t="shared" si="42"/>
        <v>1</v>
      </c>
      <c r="P2624" s="108"/>
      <c r="Q2624"/>
    </row>
    <row r="2625" spans="1:17" x14ac:dyDescent="0.25">
      <c r="A2625" s="89" t="s">
        <v>9205</v>
      </c>
      <c r="B2625" s="87" t="s">
        <v>9206</v>
      </c>
      <c r="C2625" s="87" t="s">
        <v>12</v>
      </c>
      <c r="D2625" s="87" t="str">
        <f>VLOOKUP(Tabela1[[#This Row],[Origem]], 'Perguntas 1 a 24'!$J$28:$K$34, 2, 0)</f>
        <v>Sudeste</v>
      </c>
      <c r="E2625" s="87" t="str">
        <f>Tabela1[[#This Row],[Descrição]]&amp;"-"&amp;Tabela1[[#This Row],[Código]]&amp;"/"&amp;Tabela1[[#This Row],[Origem]]</f>
        <v>Fegalaruti-P923H668/RJ</v>
      </c>
      <c r="F2625" s="88">
        <v>47077</v>
      </c>
      <c r="G2625" s="88" t="str" cm="1">
        <f t="array" ref="G26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AND(F2625&gt;= DATE(2026,1,1), F2625&lt;= DATE(2028, 12, 31), J2625&gt;50000), "Pendente e Caro", AND(F2625&gt;= DATE(2026,1,1), F2625&lt;= DATE(2028, 12, 31), J2625&lt;=50000), "Pendente", F2625&gt;= DATE(2029,1,1), "Não prioeitário")</f>
        <v>Pendente e Caro</v>
      </c>
      <c r="H2625" s="89">
        <f>YEAR(Tabela1[[#This Row],[Data de Validade]])</f>
        <v>2028</v>
      </c>
      <c r="I2625" s="89">
        <f>MONTH(Tabela1[[#This Row],[Data de Validade]])</f>
        <v>11</v>
      </c>
      <c r="J2625" s="101">
        <v>71731</v>
      </c>
      <c r="K2625" s="87" t="s">
        <v>11</v>
      </c>
      <c r="L2625" s="108"/>
      <c r="M2625" s="108"/>
      <c r="N2625" s="108" t="str">
        <v>P776P684</v>
      </c>
      <c r="O2625" s="108">
        <f t="shared" si="42"/>
        <v>1</v>
      </c>
      <c r="P2625" s="108"/>
      <c r="Q2625"/>
    </row>
    <row r="2626" spans="1:17" x14ac:dyDescent="0.25">
      <c r="A2626" s="89" t="s">
        <v>4020</v>
      </c>
      <c r="B2626" s="87" t="s">
        <v>4021</v>
      </c>
      <c r="C2626" s="87" t="s">
        <v>10</v>
      </c>
      <c r="D2626" s="87" t="str">
        <f>VLOOKUP(Tabela1[[#This Row],[Origem]], 'Perguntas 1 a 24'!$J$28:$K$34, 2, 0)</f>
        <v>Centro-Oeste</v>
      </c>
      <c r="E2626" s="87" t="str">
        <f>Tabela1[[#This Row],[Descrição]]&amp;"-"&amp;Tabela1[[#This Row],[Código]]&amp;"/"&amp;Tabela1[[#This Row],[Origem]]</f>
        <v>Metena-P776P684/GO</v>
      </c>
      <c r="F2626" s="88">
        <v>47077</v>
      </c>
      <c r="G2626" s="88" t="str" cm="1">
        <f t="array" ref="G26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AND(F2626&gt;= DATE(2026,1,1), F2626&lt;= DATE(2028, 12, 31), J2626&gt;50000), "Pendente e Caro", AND(F2626&gt;= DATE(2026,1,1), F2626&lt;= DATE(2028, 12, 31), J2626&lt;=50000), "Pendente", F2626&gt;= DATE(2029,1,1), "Não prioeitário")</f>
        <v>Pendente</v>
      </c>
      <c r="H2626" s="89">
        <f>YEAR(Tabela1[[#This Row],[Data de Validade]])</f>
        <v>2028</v>
      </c>
      <c r="I2626" s="89">
        <f>MONTH(Tabela1[[#This Row],[Data de Validade]])</f>
        <v>11</v>
      </c>
      <c r="J2626" s="101">
        <v>49919</v>
      </c>
      <c r="K2626" s="87" t="s">
        <v>7</v>
      </c>
      <c r="L2626" s="108"/>
      <c r="M2626" s="108"/>
      <c r="N2626" s="108" t="str">
        <v>H873P648</v>
      </c>
      <c r="O2626" s="108">
        <f t="shared" si="42"/>
        <v>1</v>
      </c>
      <c r="P2626" s="108"/>
      <c r="Q2626"/>
    </row>
    <row r="2627" spans="1:17" x14ac:dyDescent="0.25">
      <c r="A2627" s="89" t="s">
        <v>8344</v>
      </c>
      <c r="B2627" s="87" t="s">
        <v>8345</v>
      </c>
      <c r="C2627" s="87" t="s">
        <v>12</v>
      </c>
      <c r="D2627" s="87" t="str">
        <f>VLOOKUP(Tabela1[[#This Row],[Origem]], 'Perguntas 1 a 24'!$J$28:$K$34, 2, 0)</f>
        <v>Sudeste</v>
      </c>
      <c r="E2627" s="87" t="str">
        <f>Tabela1[[#This Row],[Descrição]]&amp;"-"&amp;Tabela1[[#This Row],[Código]]&amp;"/"&amp;Tabela1[[#This Row],[Origem]]</f>
        <v>Fupipara-H873P648/RJ</v>
      </c>
      <c r="F2627" s="88">
        <v>47077</v>
      </c>
      <c r="G2627" s="88" t="str" cm="1">
        <f t="array" ref="G26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AND(F2627&gt;= DATE(2026,1,1), F2627&lt;= DATE(2028, 12, 31), J2627&gt;50000), "Pendente e Caro", AND(F2627&gt;= DATE(2026,1,1), F2627&lt;= DATE(2028, 12, 31), J2627&lt;=50000), "Pendente", F2627&gt;= DATE(2029,1,1), "Não prioeitário")</f>
        <v>Pendente</v>
      </c>
      <c r="H2627" s="89">
        <f>YEAR(Tabela1[[#This Row],[Data de Validade]])</f>
        <v>2028</v>
      </c>
      <c r="I2627" s="89">
        <f>MONTH(Tabela1[[#This Row],[Data de Validade]])</f>
        <v>11</v>
      </c>
      <c r="J2627" s="101">
        <v>40403</v>
      </c>
      <c r="K2627" s="87" t="s">
        <v>9</v>
      </c>
      <c r="L2627" s="108"/>
      <c r="M2627" s="108"/>
      <c r="N2627" s="108" t="str">
        <v>P877P834</v>
      </c>
      <c r="O2627" s="108">
        <f t="shared" ref="O2627:O2690" si="43">COUNTIFS(B:B,N2627)</f>
        <v>1</v>
      </c>
      <c r="P2627" s="108"/>
      <c r="Q2627"/>
    </row>
    <row r="2628" spans="1:17" x14ac:dyDescent="0.25">
      <c r="A2628" s="89" t="s">
        <v>10861</v>
      </c>
      <c r="B2628" s="87" t="s">
        <v>10862</v>
      </c>
      <c r="C2628" s="87" t="s">
        <v>8</v>
      </c>
      <c r="D2628" s="87" t="str">
        <f>VLOOKUP(Tabela1[[#This Row],[Origem]], 'Perguntas 1 a 24'!$J$28:$K$34, 2, 0)</f>
        <v>Nordeste</v>
      </c>
      <c r="E2628" s="87" t="str">
        <f>Tabela1[[#This Row],[Descrição]]&amp;"-"&amp;Tabela1[[#This Row],[Código]]&amp;"/"&amp;Tabela1[[#This Row],[Origem]]</f>
        <v>Fotenofome-P877P834/AL</v>
      </c>
      <c r="F2628" s="88">
        <v>47078</v>
      </c>
      <c r="G2628" s="88" t="str" cm="1">
        <f t="array" ref="G26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AND(F2628&gt;= DATE(2026,1,1), F2628&lt;= DATE(2028, 12, 31), J2628&gt;50000), "Pendente e Caro", AND(F2628&gt;= DATE(2026,1,1), F2628&lt;= DATE(2028, 12, 31), J2628&lt;=50000), "Pendente", F2628&gt;= DATE(2029,1,1), "Não prioeitário")</f>
        <v>Pendente</v>
      </c>
      <c r="H2628" s="89">
        <f>YEAR(Tabela1[[#This Row],[Data de Validade]])</f>
        <v>2028</v>
      </c>
      <c r="I2628" s="89">
        <f>MONTH(Tabela1[[#This Row],[Data de Validade]])</f>
        <v>11</v>
      </c>
      <c r="J2628" s="101">
        <v>26234</v>
      </c>
      <c r="K2628" s="87" t="s">
        <v>14</v>
      </c>
      <c r="L2628" s="108"/>
      <c r="M2628" s="108"/>
      <c r="N2628" s="108" t="str">
        <v>P849H415</v>
      </c>
      <c r="O2628" s="108">
        <f t="shared" si="43"/>
        <v>1</v>
      </c>
      <c r="P2628" s="108"/>
      <c r="Q2628"/>
    </row>
    <row r="2629" spans="1:17" x14ac:dyDescent="0.25">
      <c r="A2629" s="89" t="s">
        <v>11102</v>
      </c>
      <c r="B2629" s="87" t="s">
        <v>11103</v>
      </c>
      <c r="C2629" s="87" t="s">
        <v>6</v>
      </c>
      <c r="D2629" s="87" t="str">
        <f>VLOOKUP(Tabela1[[#This Row],[Origem]], 'Perguntas 1 a 24'!$J$28:$K$34, 2, 0)</f>
        <v>Nordeste</v>
      </c>
      <c r="E2629" s="87" t="str">
        <f>Tabela1[[#This Row],[Descrição]]&amp;"-"&amp;Tabela1[[#This Row],[Código]]&amp;"/"&amp;Tabela1[[#This Row],[Origem]]</f>
        <v>Livovipoda-P849H415/MA</v>
      </c>
      <c r="F2629" s="88">
        <v>47078</v>
      </c>
      <c r="G2629" s="88" t="str" cm="1">
        <f t="array" ref="G26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AND(F2629&gt;= DATE(2026,1,1), F2629&lt;= DATE(2028, 12, 31), J2629&gt;50000), "Pendente e Caro", AND(F2629&gt;= DATE(2026,1,1), F2629&lt;= DATE(2028, 12, 31), J2629&lt;=50000), "Pendente", F2629&gt;= DATE(2029,1,1), "Não prioeitário")</f>
        <v>Pendente</v>
      </c>
      <c r="H2629" s="89">
        <f>YEAR(Tabela1[[#This Row],[Data de Validade]])</f>
        <v>2028</v>
      </c>
      <c r="I2629" s="89">
        <f>MONTH(Tabela1[[#This Row],[Data de Validade]])</f>
        <v>11</v>
      </c>
      <c r="J2629" s="101">
        <v>20223</v>
      </c>
      <c r="K2629" s="87" t="s">
        <v>9</v>
      </c>
      <c r="L2629" s="108"/>
      <c r="M2629" s="108"/>
      <c r="N2629" s="108" t="str">
        <v>P214P496</v>
      </c>
      <c r="O2629" s="108">
        <f t="shared" si="43"/>
        <v>1</v>
      </c>
      <c r="P2629" s="108"/>
      <c r="Q2629"/>
    </row>
    <row r="2630" spans="1:17" x14ac:dyDescent="0.25">
      <c r="A2630" s="89" t="s">
        <v>4540</v>
      </c>
      <c r="B2630" s="87" t="s">
        <v>4541</v>
      </c>
      <c r="C2630" s="87" t="s">
        <v>10</v>
      </c>
      <c r="D2630" s="87" t="str">
        <f>VLOOKUP(Tabela1[[#This Row],[Origem]], 'Perguntas 1 a 24'!$J$28:$K$34, 2, 0)</f>
        <v>Centro-Oeste</v>
      </c>
      <c r="E2630" s="87" t="str">
        <f>Tabela1[[#This Row],[Descrição]]&amp;"-"&amp;Tabela1[[#This Row],[Código]]&amp;"/"&amp;Tabela1[[#This Row],[Origem]]</f>
        <v>Girumitopo-P214P496/GO</v>
      </c>
      <c r="F2630" s="88">
        <v>47079</v>
      </c>
      <c r="G2630" s="88" t="str" cm="1">
        <f t="array" ref="G26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AND(F2630&gt;= DATE(2026,1,1), F2630&lt;= DATE(2028, 12, 31), J2630&gt;50000), "Pendente e Caro", AND(F2630&gt;= DATE(2026,1,1), F2630&lt;= DATE(2028, 12, 31), J2630&lt;=50000), "Pendente", F2630&gt;= DATE(2029,1,1), "Não prioeitário")</f>
        <v>Pendente e Caro</v>
      </c>
      <c r="H2630" s="89">
        <f>YEAR(Tabela1[[#This Row],[Data de Validade]])</f>
        <v>2028</v>
      </c>
      <c r="I2630" s="89">
        <f>MONTH(Tabela1[[#This Row],[Data de Validade]])</f>
        <v>11</v>
      </c>
      <c r="J2630" s="101">
        <v>55233</v>
      </c>
      <c r="K2630" s="87" t="s">
        <v>14</v>
      </c>
      <c r="L2630" s="108"/>
      <c r="M2630" s="108"/>
      <c r="N2630" s="108" t="str">
        <v>H633H453</v>
      </c>
      <c r="O2630" s="108">
        <f t="shared" si="43"/>
        <v>1</v>
      </c>
      <c r="P2630" s="108"/>
      <c r="Q2630"/>
    </row>
    <row r="2631" spans="1:17" x14ac:dyDescent="0.25">
      <c r="A2631" s="89" t="s">
        <v>3671</v>
      </c>
      <c r="B2631" s="87" t="s">
        <v>3672</v>
      </c>
      <c r="C2631" s="87" t="s">
        <v>13</v>
      </c>
      <c r="D2631" s="87" t="str">
        <f>VLOOKUP(Tabela1[[#This Row],[Origem]], 'Perguntas 1 a 24'!$J$28:$K$34, 2, 0)</f>
        <v>Sudeste</v>
      </c>
      <c r="E2631" s="87" t="str">
        <f>Tabela1[[#This Row],[Descrição]]&amp;"-"&amp;Tabela1[[#This Row],[Código]]&amp;"/"&amp;Tabela1[[#This Row],[Origem]]</f>
        <v>Mivoto-H633H453/SP</v>
      </c>
      <c r="F2631" s="88">
        <v>47079</v>
      </c>
      <c r="G2631" s="88" t="str" cm="1">
        <f t="array" ref="G26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AND(F2631&gt;= DATE(2026,1,1), F2631&lt;= DATE(2028, 12, 31), J2631&gt;50000), "Pendente e Caro", AND(F2631&gt;= DATE(2026,1,1), F2631&lt;= DATE(2028, 12, 31), J2631&lt;=50000), "Pendente", F2631&gt;= DATE(2029,1,1), "Não prioeitário")</f>
        <v>Pendente</v>
      </c>
      <c r="H2631" s="89">
        <f>YEAR(Tabela1[[#This Row],[Data de Validade]])</f>
        <v>2028</v>
      </c>
      <c r="I2631" s="89">
        <f>MONTH(Tabela1[[#This Row],[Data de Validade]])</f>
        <v>11</v>
      </c>
      <c r="J2631" s="101">
        <v>35103</v>
      </c>
      <c r="K2631" s="87" t="s">
        <v>14</v>
      </c>
      <c r="L2631" s="108"/>
      <c r="M2631" s="108"/>
      <c r="N2631" s="108" t="str">
        <v>H384H796</v>
      </c>
      <c r="O2631" s="108">
        <f t="shared" si="43"/>
        <v>1</v>
      </c>
      <c r="P2631" s="108"/>
      <c r="Q2631"/>
    </row>
    <row r="2632" spans="1:17" x14ac:dyDescent="0.25">
      <c r="A2632" s="89" t="s">
        <v>6384</v>
      </c>
      <c r="B2632" s="87" t="s">
        <v>6385</v>
      </c>
      <c r="C2632" s="87" t="s">
        <v>10</v>
      </c>
      <c r="D2632" s="87" t="str">
        <f>VLOOKUP(Tabela1[[#This Row],[Origem]], 'Perguntas 1 a 24'!$J$28:$K$34, 2, 0)</f>
        <v>Centro-Oeste</v>
      </c>
      <c r="E2632" s="87" t="str">
        <f>Tabela1[[#This Row],[Descrição]]&amp;"-"&amp;Tabela1[[#This Row],[Código]]&amp;"/"&amp;Tabela1[[#This Row],[Origem]]</f>
        <v>Tevetu-H384H796/GO</v>
      </c>
      <c r="F2632" s="88">
        <v>47080</v>
      </c>
      <c r="G2632" s="88" t="str" cm="1">
        <f t="array" ref="G26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AND(F2632&gt;= DATE(2026,1,1), F2632&lt;= DATE(2028, 12, 31), J2632&gt;50000), "Pendente e Caro", AND(F2632&gt;= DATE(2026,1,1), F2632&lt;= DATE(2028, 12, 31), J2632&lt;=50000), "Pendente", F2632&gt;= DATE(2029,1,1), "Não prioeitário")</f>
        <v>Pendente e Caro</v>
      </c>
      <c r="H2632" s="89">
        <f>YEAR(Tabela1[[#This Row],[Data de Validade]])</f>
        <v>2028</v>
      </c>
      <c r="I2632" s="89">
        <f>MONTH(Tabela1[[#This Row],[Data de Validade]])</f>
        <v>11</v>
      </c>
      <c r="J2632" s="101">
        <v>117170</v>
      </c>
      <c r="K2632" s="87" t="s">
        <v>9</v>
      </c>
      <c r="L2632" s="108"/>
      <c r="M2632" s="108"/>
      <c r="N2632" s="108" t="str">
        <v>H723H359</v>
      </c>
      <c r="O2632" s="108">
        <f t="shared" si="43"/>
        <v>1</v>
      </c>
      <c r="P2632" s="108"/>
      <c r="Q2632"/>
    </row>
    <row r="2633" spans="1:17" x14ac:dyDescent="0.25">
      <c r="A2633" s="89" t="s">
        <v>10483</v>
      </c>
      <c r="B2633" s="87" t="s">
        <v>10484</v>
      </c>
      <c r="C2633" s="87" t="s">
        <v>16</v>
      </c>
      <c r="D2633" s="87" t="str">
        <f>VLOOKUP(Tabela1[[#This Row],[Origem]], 'Perguntas 1 a 24'!$J$28:$K$34, 2, 0)</f>
        <v>Sudeste</v>
      </c>
      <c r="E2633" s="87" t="str">
        <f>Tabela1[[#This Row],[Descrição]]&amp;"-"&amp;Tabela1[[#This Row],[Código]]&amp;"/"&amp;Tabela1[[#This Row],[Origem]]</f>
        <v>Fetarica-H723H359/MG</v>
      </c>
      <c r="F2633" s="88">
        <v>47080</v>
      </c>
      <c r="G2633" s="88" t="str" cm="1">
        <f t="array" ref="G26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AND(F2633&gt;= DATE(2026,1,1), F2633&lt;= DATE(2028, 12, 31), J2633&gt;50000), "Pendente e Caro", AND(F2633&gt;= DATE(2026,1,1), F2633&lt;= DATE(2028, 12, 31), J2633&lt;=50000), "Pendente", F2633&gt;= DATE(2029,1,1), "Não prioeitário")</f>
        <v>Pendente e Caro</v>
      </c>
      <c r="H2633" s="89">
        <f>YEAR(Tabela1[[#This Row],[Data de Validade]])</f>
        <v>2028</v>
      </c>
      <c r="I2633" s="89">
        <f>MONTH(Tabela1[[#This Row],[Data de Validade]])</f>
        <v>11</v>
      </c>
      <c r="J2633" s="101">
        <v>59430</v>
      </c>
      <c r="K2633" s="87" t="s">
        <v>11</v>
      </c>
      <c r="L2633" s="108"/>
      <c r="M2633" s="108"/>
      <c r="N2633" s="108" t="str">
        <v>H755P675</v>
      </c>
      <c r="O2633" s="108">
        <f t="shared" si="43"/>
        <v>1</v>
      </c>
      <c r="P2633" s="108"/>
      <c r="Q2633"/>
    </row>
    <row r="2634" spans="1:17" x14ac:dyDescent="0.25">
      <c r="A2634" s="89" t="s">
        <v>3826</v>
      </c>
      <c r="B2634" s="87" t="s">
        <v>3827</v>
      </c>
      <c r="C2634" s="87" t="s">
        <v>8</v>
      </c>
      <c r="D2634" s="87" t="str">
        <f>VLOOKUP(Tabela1[[#This Row],[Origem]], 'Perguntas 1 a 24'!$J$28:$K$34, 2, 0)</f>
        <v>Nordeste</v>
      </c>
      <c r="E2634" s="87" t="str">
        <f>Tabela1[[#This Row],[Descrição]]&amp;"-"&amp;Tabela1[[#This Row],[Código]]&amp;"/"&amp;Tabela1[[#This Row],[Origem]]</f>
        <v>Rudupe-H755P675/AL</v>
      </c>
      <c r="F2634" s="88">
        <v>47081</v>
      </c>
      <c r="G2634" s="88" t="str" cm="1">
        <f t="array" ref="G26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AND(F2634&gt;= DATE(2026,1,1), F2634&lt;= DATE(2028, 12, 31), J2634&gt;50000), "Pendente e Caro", AND(F2634&gt;= DATE(2026,1,1), F2634&lt;= DATE(2028, 12, 31), J2634&lt;=50000), "Pendente", F2634&gt;= DATE(2029,1,1), "Não prioeitário")</f>
        <v>Pendente e Caro</v>
      </c>
      <c r="H2634" s="89">
        <f>YEAR(Tabela1[[#This Row],[Data de Validade]])</f>
        <v>2028</v>
      </c>
      <c r="I2634" s="89">
        <f>MONTH(Tabela1[[#This Row],[Data de Validade]])</f>
        <v>11</v>
      </c>
      <c r="J2634" s="101">
        <v>114993</v>
      </c>
      <c r="K2634" s="87" t="s">
        <v>9</v>
      </c>
      <c r="L2634" s="108"/>
      <c r="M2634" s="108"/>
      <c r="N2634" s="108" t="str">
        <v>H169H378</v>
      </c>
      <c r="O2634" s="108">
        <f t="shared" si="43"/>
        <v>1</v>
      </c>
      <c r="P2634" s="108"/>
      <c r="Q2634"/>
    </row>
    <row r="2635" spans="1:17" x14ac:dyDescent="0.25">
      <c r="A2635" s="89" t="s">
        <v>4592</v>
      </c>
      <c r="B2635" s="87" t="s">
        <v>4593</v>
      </c>
      <c r="C2635" s="87" t="s">
        <v>13</v>
      </c>
      <c r="D2635" s="87" t="str">
        <f>VLOOKUP(Tabela1[[#This Row],[Origem]], 'Perguntas 1 a 24'!$J$28:$K$34, 2, 0)</f>
        <v>Sudeste</v>
      </c>
      <c r="E2635" s="87" t="str">
        <f>Tabela1[[#This Row],[Descrição]]&amp;"-"&amp;Tabela1[[#This Row],[Código]]&amp;"/"&amp;Tabela1[[#This Row],[Origem]]</f>
        <v>Cirerono-H169H378/SP</v>
      </c>
      <c r="F2635" s="88">
        <v>47081</v>
      </c>
      <c r="G2635" s="88" t="str" cm="1">
        <f t="array" ref="G26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AND(F2635&gt;= DATE(2026,1,1), F2635&lt;= DATE(2028, 12, 31), J2635&gt;50000), "Pendente e Caro", AND(F2635&gt;= DATE(2026,1,1), F2635&lt;= DATE(2028, 12, 31), J2635&lt;=50000), "Pendente", F2635&gt;= DATE(2029,1,1), "Não prioeitário")</f>
        <v>Pendente e Caro</v>
      </c>
      <c r="H2635" s="89">
        <f>YEAR(Tabela1[[#This Row],[Data de Validade]])</f>
        <v>2028</v>
      </c>
      <c r="I2635" s="89">
        <f>MONTH(Tabela1[[#This Row],[Data de Validade]])</f>
        <v>11</v>
      </c>
      <c r="J2635" s="101">
        <v>91116</v>
      </c>
      <c r="K2635" s="87" t="s">
        <v>9</v>
      </c>
      <c r="L2635" s="108"/>
      <c r="M2635" s="108"/>
      <c r="N2635" s="108" t="str">
        <v>P442P263</v>
      </c>
      <c r="O2635" s="108">
        <f t="shared" si="43"/>
        <v>1</v>
      </c>
      <c r="P2635" s="108"/>
      <c r="Q2635"/>
    </row>
    <row r="2636" spans="1:17" x14ac:dyDescent="0.25">
      <c r="A2636" s="89" t="s">
        <v>9493</v>
      </c>
      <c r="B2636" s="87" t="s">
        <v>9494</v>
      </c>
      <c r="C2636" s="87" t="s">
        <v>10</v>
      </c>
      <c r="D2636" s="87" t="str">
        <f>VLOOKUP(Tabela1[[#This Row],[Origem]], 'Perguntas 1 a 24'!$J$28:$K$34, 2, 0)</f>
        <v>Centro-Oeste</v>
      </c>
      <c r="E2636" s="87" t="str">
        <f>Tabela1[[#This Row],[Descrição]]&amp;"-"&amp;Tabela1[[#This Row],[Código]]&amp;"/"&amp;Tabela1[[#This Row],[Origem]]</f>
        <v>Rovunapo-P442P263/GO</v>
      </c>
      <c r="F2636" s="88">
        <v>47082</v>
      </c>
      <c r="G2636" s="88" t="str" cm="1">
        <f t="array" ref="G26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AND(F2636&gt;= DATE(2026,1,1), F2636&lt;= DATE(2028, 12, 31), J2636&gt;50000), "Pendente e Caro", AND(F2636&gt;= DATE(2026,1,1), F2636&lt;= DATE(2028, 12, 31), J2636&lt;=50000), "Pendente", F2636&gt;= DATE(2029,1,1), "Não prioeitário")</f>
        <v>Pendente e Caro</v>
      </c>
      <c r="H2636" s="89">
        <f>YEAR(Tabela1[[#This Row],[Data de Validade]])</f>
        <v>2028</v>
      </c>
      <c r="I2636" s="89">
        <f>MONTH(Tabela1[[#This Row],[Data de Validade]])</f>
        <v>11</v>
      </c>
      <c r="J2636" s="101">
        <v>69064</v>
      </c>
      <c r="K2636" s="87" t="s">
        <v>11</v>
      </c>
      <c r="L2636" s="108"/>
      <c r="M2636" s="108"/>
      <c r="N2636" s="108" t="str">
        <v>P573H674</v>
      </c>
      <c r="O2636" s="108">
        <f t="shared" si="43"/>
        <v>1</v>
      </c>
      <c r="P2636" s="108"/>
      <c r="Q2636"/>
    </row>
    <row r="2637" spans="1:17" x14ac:dyDescent="0.25">
      <c r="A2637" s="89" t="s">
        <v>6908</v>
      </c>
      <c r="B2637" s="87" t="s">
        <v>6909</v>
      </c>
      <c r="C2637" s="87" t="s">
        <v>8</v>
      </c>
      <c r="D2637" s="87" t="str">
        <f>VLOOKUP(Tabela1[[#This Row],[Origem]], 'Perguntas 1 a 24'!$J$28:$K$34, 2, 0)</f>
        <v>Nordeste</v>
      </c>
      <c r="E2637" s="87" t="str">
        <f>Tabela1[[#This Row],[Descrição]]&amp;"-"&amp;Tabela1[[#This Row],[Código]]&amp;"/"&amp;Tabela1[[#This Row],[Origem]]</f>
        <v>Riteli-P573H674/AL</v>
      </c>
      <c r="F2637" s="88">
        <v>47082</v>
      </c>
      <c r="G2637" s="88" t="str" cm="1">
        <f t="array" ref="G26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AND(F2637&gt;= DATE(2026,1,1), F2637&lt;= DATE(2028, 12, 31), J2637&gt;50000), "Pendente e Caro", AND(F2637&gt;= DATE(2026,1,1), F2637&lt;= DATE(2028, 12, 31), J2637&lt;=50000), "Pendente", F2637&gt;= DATE(2029,1,1), "Não prioeitário")</f>
        <v>Pendente e Caro</v>
      </c>
      <c r="H2637" s="89">
        <f>YEAR(Tabela1[[#This Row],[Data de Validade]])</f>
        <v>2028</v>
      </c>
      <c r="I2637" s="89">
        <f>MONTH(Tabela1[[#This Row],[Data de Validade]])</f>
        <v>11</v>
      </c>
      <c r="J2637" s="101">
        <v>57056</v>
      </c>
      <c r="K2637" s="87" t="s">
        <v>9</v>
      </c>
      <c r="L2637" s="108"/>
      <c r="M2637" s="108"/>
      <c r="N2637" s="108" t="str">
        <v>H846P999</v>
      </c>
      <c r="O2637" s="108">
        <f t="shared" si="43"/>
        <v>1</v>
      </c>
      <c r="P2637" s="108"/>
      <c r="Q2637"/>
    </row>
    <row r="2638" spans="1:17" x14ac:dyDescent="0.25">
      <c r="A2638" s="89" t="s">
        <v>7050</v>
      </c>
      <c r="B2638" s="87" t="s">
        <v>7051</v>
      </c>
      <c r="C2638" s="87" t="s">
        <v>15</v>
      </c>
      <c r="D2638" s="87" t="str">
        <f>VLOOKUP(Tabela1[[#This Row],[Origem]], 'Perguntas 1 a 24'!$J$28:$K$34, 2, 0)</f>
        <v>Sudeste</v>
      </c>
      <c r="E2638" s="87" t="str">
        <f>Tabela1[[#This Row],[Descrição]]&amp;"-"&amp;Tabela1[[#This Row],[Código]]&amp;"/"&amp;Tabela1[[#This Row],[Origem]]</f>
        <v>Pevapa-H846P999/ES</v>
      </c>
      <c r="F2638" s="88">
        <v>47082</v>
      </c>
      <c r="G2638" s="88" t="str" cm="1">
        <f t="array" ref="G26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AND(F2638&gt;= DATE(2026,1,1), F2638&lt;= DATE(2028, 12, 31), J2638&gt;50000), "Pendente e Caro", AND(F2638&gt;= DATE(2026,1,1), F2638&lt;= DATE(2028, 12, 31), J2638&lt;=50000), "Pendente", F2638&gt;= DATE(2029,1,1), "Não prioeitário")</f>
        <v>Pendente</v>
      </c>
      <c r="H2638" s="89">
        <f>YEAR(Tabela1[[#This Row],[Data de Validade]])</f>
        <v>2028</v>
      </c>
      <c r="I2638" s="89">
        <f>MONTH(Tabela1[[#This Row],[Data de Validade]])</f>
        <v>11</v>
      </c>
      <c r="J2638" s="101">
        <v>27877</v>
      </c>
      <c r="K2638" s="87" t="s">
        <v>7</v>
      </c>
      <c r="L2638" s="108"/>
      <c r="M2638" s="108"/>
      <c r="N2638" s="108" t="str">
        <v>H567P719</v>
      </c>
      <c r="O2638" s="108">
        <f t="shared" si="43"/>
        <v>1</v>
      </c>
      <c r="P2638" s="108"/>
      <c r="Q2638"/>
    </row>
    <row r="2639" spans="1:17" x14ac:dyDescent="0.25">
      <c r="A2639" s="89" t="s">
        <v>6860</v>
      </c>
      <c r="B2639" s="87" t="s">
        <v>6861</v>
      </c>
      <c r="C2639" s="87" t="s">
        <v>8</v>
      </c>
      <c r="D2639" s="87" t="str">
        <f>VLOOKUP(Tabela1[[#This Row],[Origem]], 'Perguntas 1 a 24'!$J$28:$K$34, 2, 0)</f>
        <v>Nordeste</v>
      </c>
      <c r="E2639" s="87" t="str">
        <f>Tabela1[[#This Row],[Descrição]]&amp;"-"&amp;Tabela1[[#This Row],[Código]]&amp;"/"&amp;Tabela1[[#This Row],[Origem]]</f>
        <v>Rocedu-H567P719/AL</v>
      </c>
      <c r="F2639" s="88">
        <v>47083</v>
      </c>
      <c r="G2639" s="88" t="str" cm="1">
        <f t="array" ref="G26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AND(F2639&gt;= DATE(2026,1,1), F2639&lt;= DATE(2028, 12, 31), J2639&gt;50000), "Pendente e Caro", AND(F2639&gt;= DATE(2026,1,1), F2639&lt;= DATE(2028, 12, 31), J2639&lt;=50000), "Pendente", F2639&gt;= DATE(2029,1,1), "Não prioeitário")</f>
        <v>Pendente e Caro</v>
      </c>
      <c r="H2639" s="89">
        <f>YEAR(Tabela1[[#This Row],[Data de Validade]])</f>
        <v>2028</v>
      </c>
      <c r="I2639" s="89">
        <f>MONTH(Tabela1[[#This Row],[Data de Validade]])</f>
        <v>11</v>
      </c>
      <c r="J2639" s="101">
        <v>51872</v>
      </c>
      <c r="K2639" s="87" t="s">
        <v>7</v>
      </c>
      <c r="L2639" s="108"/>
      <c r="M2639" s="108"/>
      <c r="N2639" s="108" t="str">
        <v>P523H155</v>
      </c>
      <c r="O2639" s="108">
        <f t="shared" si="43"/>
        <v>1</v>
      </c>
      <c r="P2639" s="108"/>
      <c r="Q2639"/>
    </row>
    <row r="2640" spans="1:17" x14ac:dyDescent="0.25">
      <c r="A2640" s="89" t="s">
        <v>10647</v>
      </c>
      <c r="B2640" s="87" t="s">
        <v>10648</v>
      </c>
      <c r="C2640" s="87" t="s">
        <v>6</v>
      </c>
      <c r="D2640" s="87" t="str">
        <f>VLOOKUP(Tabela1[[#This Row],[Origem]], 'Perguntas 1 a 24'!$J$28:$K$34, 2, 0)</f>
        <v>Nordeste</v>
      </c>
      <c r="E2640" s="87" t="str">
        <f>Tabela1[[#This Row],[Descrição]]&amp;"-"&amp;Tabela1[[#This Row],[Código]]&amp;"/"&amp;Tabela1[[#This Row],[Origem]]</f>
        <v>Popufu-P523H155/MA</v>
      </c>
      <c r="F2640" s="88">
        <v>47084</v>
      </c>
      <c r="G2640" s="88" t="str" cm="1">
        <f t="array" ref="G26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AND(F2640&gt;= DATE(2026,1,1), F2640&lt;= DATE(2028, 12, 31), J2640&gt;50000), "Pendente e Caro", AND(F2640&gt;= DATE(2026,1,1), F2640&lt;= DATE(2028, 12, 31), J2640&lt;=50000), "Pendente", F2640&gt;= DATE(2029,1,1), "Não prioeitário")</f>
        <v>Pendente e Caro</v>
      </c>
      <c r="H2640" s="89">
        <f>YEAR(Tabela1[[#This Row],[Data de Validade]])</f>
        <v>2028</v>
      </c>
      <c r="I2640" s="89">
        <f>MONTH(Tabela1[[#This Row],[Data de Validade]])</f>
        <v>11</v>
      </c>
      <c r="J2640" s="101">
        <v>110874</v>
      </c>
      <c r="K2640" s="87" t="s">
        <v>14</v>
      </c>
      <c r="L2640" s="108"/>
      <c r="M2640" s="108"/>
      <c r="N2640" s="108" t="str">
        <v>H819P213</v>
      </c>
      <c r="O2640" s="108">
        <f t="shared" si="43"/>
        <v>1</v>
      </c>
      <c r="P2640" s="108"/>
      <c r="Q2640"/>
    </row>
    <row r="2641" spans="1:17" x14ac:dyDescent="0.25">
      <c r="A2641" s="89" t="s">
        <v>5620</v>
      </c>
      <c r="B2641" s="87" t="s">
        <v>5621</v>
      </c>
      <c r="C2641" s="87" t="s">
        <v>16</v>
      </c>
      <c r="D2641" s="87" t="str">
        <f>VLOOKUP(Tabela1[[#This Row],[Origem]], 'Perguntas 1 a 24'!$J$28:$K$34, 2, 0)</f>
        <v>Sudeste</v>
      </c>
      <c r="E2641" s="87" t="str">
        <f>Tabela1[[#This Row],[Descrição]]&amp;"-"&amp;Tabela1[[#This Row],[Código]]&amp;"/"&amp;Tabela1[[#This Row],[Origem]]</f>
        <v>Riliri-H819P213/MG</v>
      </c>
      <c r="F2641" s="88">
        <v>47084</v>
      </c>
      <c r="G2641" s="88" t="str" cm="1">
        <f t="array" ref="G26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AND(F2641&gt;= DATE(2026,1,1), F2641&lt;= DATE(2028, 12, 31), J2641&gt;50000), "Pendente e Caro", AND(F2641&gt;= DATE(2026,1,1), F2641&lt;= DATE(2028, 12, 31), J2641&lt;=50000), "Pendente", F2641&gt;= DATE(2029,1,1), "Não prioeitário")</f>
        <v>Pendente e Caro</v>
      </c>
      <c r="H2641" s="89">
        <f>YEAR(Tabela1[[#This Row],[Data de Validade]])</f>
        <v>2028</v>
      </c>
      <c r="I2641" s="89">
        <f>MONTH(Tabela1[[#This Row],[Data de Validade]])</f>
        <v>11</v>
      </c>
      <c r="J2641" s="101">
        <v>74515</v>
      </c>
      <c r="K2641" s="87" t="s">
        <v>14</v>
      </c>
      <c r="L2641" s="108"/>
      <c r="M2641" s="108"/>
      <c r="N2641" s="108" t="str">
        <v>P296P952</v>
      </c>
      <c r="O2641" s="108">
        <f t="shared" si="43"/>
        <v>1</v>
      </c>
      <c r="P2641" s="108"/>
      <c r="Q2641"/>
    </row>
    <row r="2642" spans="1:17" x14ac:dyDescent="0.25">
      <c r="A2642" s="89" t="s">
        <v>10233</v>
      </c>
      <c r="B2642" s="87" t="s">
        <v>10234</v>
      </c>
      <c r="C2642" s="87" t="s">
        <v>12</v>
      </c>
      <c r="D2642" s="87" t="str">
        <f>VLOOKUP(Tabela1[[#This Row],[Origem]], 'Perguntas 1 a 24'!$J$28:$K$34, 2, 0)</f>
        <v>Sudeste</v>
      </c>
      <c r="E2642" s="87" t="str">
        <f>Tabela1[[#This Row],[Descrição]]&amp;"-"&amp;Tabela1[[#This Row],[Código]]&amp;"/"&amp;Tabela1[[#This Row],[Origem]]</f>
        <v>Nefada-P296P952/RJ</v>
      </c>
      <c r="F2642" s="88">
        <v>47084</v>
      </c>
      <c r="G2642" s="88" t="str" cm="1">
        <f t="array" ref="G26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AND(F2642&gt;= DATE(2026,1,1), F2642&lt;= DATE(2028, 12, 31), J2642&gt;50000), "Pendente e Caro", AND(F2642&gt;= DATE(2026,1,1), F2642&lt;= DATE(2028, 12, 31), J2642&lt;=50000), "Pendente", F2642&gt;= DATE(2029,1,1), "Não prioeitário")</f>
        <v>Pendente</v>
      </c>
      <c r="H2642" s="89">
        <f>YEAR(Tabela1[[#This Row],[Data de Validade]])</f>
        <v>2028</v>
      </c>
      <c r="I2642" s="89">
        <f>MONTH(Tabela1[[#This Row],[Data de Validade]])</f>
        <v>11</v>
      </c>
      <c r="J2642" s="101">
        <v>20044</v>
      </c>
      <c r="K2642" s="87" t="s">
        <v>11</v>
      </c>
      <c r="L2642" s="108"/>
      <c r="M2642" s="108"/>
      <c r="N2642" s="108" t="str">
        <v>P855H895</v>
      </c>
      <c r="O2642" s="108">
        <f t="shared" si="43"/>
        <v>1</v>
      </c>
      <c r="P2642" s="108"/>
      <c r="Q2642"/>
    </row>
    <row r="2643" spans="1:17" x14ac:dyDescent="0.25">
      <c r="A2643" s="89" t="s">
        <v>8607</v>
      </c>
      <c r="B2643" s="87" t="s">
        <v>8608</v>
      </c>
      <c r="C2643" s="87" t="s">
        <v>12</v>
      </c>
      <c r="D2643" s="87" t="str">
        <f>VLOOKUP(Tabela1[[#This Row],[Origem]], 'Perguntas 1 a 24'!$J$28:$K$34, 2, 0)</f>
        <v>Sudeste</v>
      </c>
      <c r="E2643" s="87" t="str">
        <f>Tabela1[[#This Row],[Descrição]]&amp;"-"&amp;Tabela1[[#This Row],[Código]]&amp;"/"&amp;Tabela1[[#This Row],[Origem]]</f>
        <v>Didefapema-P855H895/RJ</v>
      </c>
      <c r="F2643" s="88">
        <v>47086</v>
      </c>
      <c r="G2643" s="88" t="str" cm="1">
        <f t="array" ref="G26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AND(F2643&gt;= DATE(2026,1,1), F2643&lt;= DATE(2028, 12, 31), J2643&gt;50000), "Pendente e Caro", AND(F2643&gt;= DATE(2026,1,1), F2643&lt;= DATE(2028, 12, 31), J2643&lt;=50000), "Pendente", F2643&gt;= DATE(2029,1,1), "Não prioeitário")</f>
        <v>Pendente</v>
      </c>
      <c r="H2643" s="89">
        <f>YEAR(Tabela1[[#This Row],[Data de Validade]])</f>
        <v>2028</v>
      </c>
      <c r="I2643" s="89">
        <f>MONTH(Tabela1[[#This Row],[Data de Validade]])</f>
        <v>11</v>
      </c>
      <c r="J2643" s="101">
        <v>25366</v>
      </c>
      <c r="K2643" s="87" t="s">
        <v>7</v>
      </c>
      <c r="L2643" s="108"/>
      <c r="M2643" s="108"/>
      <c r="N2643" s="108" t="str">
        <v>P115H295</v>
      </c>
      <c r="O2643" s="108">
        <f t="shared" si="43"/>
        <v>1</v>
      </c>
      <c r="P2643" s="108"/>
      <c r="Q2643"/>
    </row>
    <row r="2644" spans="1:17" x14ac:dyDescent="0.25">
      <c r="A2644" s="89" t="s">
        <v>4984</v>
      </c>
      <c r="B2644" s="87" t="s">
        <v>4985</v>
      </c>
      <c r="C2644" s="87" t="s">
        <v>15</v>
      </c>
      <c r="D2644" s="87" t="str">
        <f>VLOOKUP(Tabela1[[#This Row],[Origem]], 'Perguntas 1 a 24'!$J$28:$K$34, 2, 0)</f>
        <v>Sudeste</v>
      </c>
      <c r="E2644" s="87" t="str">
        <f>Tabela1[[#This Row],[Descrição]]&amp;"-"&amp;Tabela1[[#This Row],[Código]]&amp;"/"&amp;Tabela1[[#This Row],[Origem]]</f>
        <v>Rulute-P115H295/ES</v>
      </c>
      <c r="F2644" s="88">
        <v>47087</v>
      </c>
      <c r="G2644" s="88" t="str" cm="1">
        <f t="array" ref="G26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AND(F2644&gt;= DATE(2026,1,1), F2644&lt;= DATE(2028, 12, 31), J2644&gt;50000), "Pendente e Caro", AND(F2644&gt;= DATE(2026,1,1), F2644&lt;= DATE(2028, 12, 31), J2644&lt;=50000), "Pendente", F2644&gt;= DATE(2029,1,1), "Não prioeitário")</f>
        <v>Pendente e Caro</v>
      </c>
      <c r="H2644" s="89">
        <f>YEAR(Tabela1[[#This Row],[Data de Validade]])</f>
        <v>2028</v>
      </c>
      <c r="I2644" s="89">
        <f>MONTH(Tabela1[[#This Row],[Data de Validade]])</f>
        <v>11</v>
      </c>
      <c r="J2644" s="101">
        <v>77352</v>
      </c>
      <c r="K2644" s="87" t="s">
        <v>7</v>
      </c>
      <c r="L2644" s="108"/>
      <c r="M2644" s="108"/>
      <c r="N2644" s="108" t="str">
        <v>H663P541</v>
      </c>
      <c r="O2644" s="108">
        <f t="shared" si="43"/>
        <v>1</v>
      </c>
      <c r="P2644" s="108"/>
      <c r="Q2644"/>
    </row>
    <row r="2645" spans="1:17" x14ac:dyDescent="0.25">
      <c r="A2645" s="89" t="s">
        <v>7958</v>
      </c>
      <c r="B2645" s="87" t="s">
        <v>7959</v>
      </c>
      <c r="C2645" s="87" t="s">
        <v>12</v>
      </c>
      <c r="D2645" s="87" t="str">
        <f>VLOOKUP(Tabela1[[#This Row],[Origem]], 'Perguntas 1 a 24'!$J$28:$K$34, 2, 0)</f>
        <v>Sudeste</v>
      </c>
      <c r="E2645" s="87" t="str">
        <f>Tabela1[[#This Row],[Descrição]]&amp;"-"&amp;Tabela1[[#This Row],[Código]]&amp;"/"&amp;Tabela1[[#This Row],[Origem]]</f>
        <v>Nipegaruva-H663P541/RJ</v>
      </c>
      <c r="F2645" s="88">
        <v>47088</v>
      </c>
      <c r="G2645" s="88" t="str" cm="1">
        <f t="array" ref="G26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AND(F2645&gt;= DATE(2026,1,1), F2645&lt;= DATE(2028, 12, 31), J2645&gt;50000), "Pendente e Caro", AND(F2645&gt;= DATE(2026,1,1), F2645&lt;= DATE(2028, 12, 31), J2645&lt;=50000), "Pendente", F2645&gt;= DATE(2029,1,1), "Não prioeitário")</f>
        <v>Pendente e Caro</v>
      </c>
      <c r="H2645" s="89">
        <f>YEAR(Tabela1[[#This Row],[Data de Validade]])</f>
        <v>2028</v>
      </c>
      <c r="I2645" s="89">
        <f>MONTH(Tabela1[[#This Row],[Data de Validade]])</f>
        <v>12</v>
      </c>
      <c r="J2645" s="101">
        <v>61333</v>
      </c>
      <c r="K2645" s="87" t="s">
        <v>14</v>
      </c>
      <c r="L2645" s="108"/>
      <c r="M2645" s="108"/>
      <c r="N2645" s="108" t="str">
        <v>P994H295</v>
      </c>
      <c r="O2645" s="108">
        <f t="shared" si="43"/>
        <v>1</v>
      </c>
      <c r="P2645" s="108"/>
      <c r="Q2645"/>
    </row>
    <row r="2646" spans="1:17" x14ac:dyDescent="0.25">
      <c r="A2646" s="89" t="s">
        <v>3720</v>
      </c>
      <c r="B2646" s="87" t="s">
        <v>3721</v>
      </c>
      <c r="C2646" s="87" t="s">
        <v>10</v>
      </c>
      <c r="D2646" s="87" t="str">
        <f>VLOOKUP(Tabela1[[#This Row],[Origem]], 'Perguntas 1 a 24'!$J$28:$K$34, 2, 0)</f>
        <v>Centro-Oeste</v>
      </c>
      <c r="E2646" s="87" t="str">
        <f>Tabela1[[#This Row],[Descrição]]&amp;"-"&amp;Tabela1[[#This Row],[Código]]&amp;"/"&amp;Tabela1[[#This Row],[Origem]]</f>
        <v>Lofofupopa-P994H295/GO</v>
      </c>
      <c r="F2646" s="88">
        <v>47091</v>
      </c>
      <c r="G2646" s="88" t="str" cm="1">
        <f t="array" ref="G26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AND(F2646&gt;= DATE(2026,1,1), F2646&lt;= DATE(2028, 12, 31), J2646&gt;50000), "Pendente e Caro", AND(F2646&gt;= DATE(2026,1,1), F2646&lt;= DATE(2028, 12, 31), J2646&lt;=50000), "Pendente", F2646&gt;= DATE(2029,1,1), "Não prioeitário")</f>
        <v>Pendente e Caro</v>
      </c>
      <c r="H2646" s="89">
        <f>YEAR(Tabela1[[#This Row],[Data de Validade]])</f>
        <v>2028</v>
      </c>
      <c r="I2646" s="89">
        <f>MONTH(Tabela1[[#This Row],[Data de Validade]])</f>
        <v>12</v>
      </c>
      <c r="J2646" s="101">
        <v>110407</v>
      </c>
      <c r="K2646" s="87" t="s">
        <v>11</v>
      </c>
      <c r="L2646" s="108"/>
      <c r="M2646" s="108"/>
      <c r="N2646" s="108" t="str">
        <v>H469H479</v>
      </c>
      <c r="O2646" s="108">
        <f t="shared" si="43"/>
        <v>1</v>
      </c>
      <c r="P2646" s="108"/>
      <c r="Q2646"/>
    </row>
    <row r="2647" spans="1:17" x14ac:dyDescent="0.25">
      <c r="A2647" s="89" t="s">
        <v>11166</v>
      </c>
      <c r="B2647" s="87" t="s">
        <v>11167</v>
      </c>
      <c r="C2647" s="87" t="s">
        <v>8</v>
      </c>
      <c r="D2647" s="87" t="str">
        <f>VLOOKUP(Tabela1[[#This Row],[Origem]], 'Perguntas 1 a 24'!$J$28:$K$34, 2, 0)</f>
        <v>Nordeste</v>
      </c>
      <c r="E2647" s="87" t="str">
        <f>Tabela1[[#This Row],[Descrição]]&amp;"-"&amp;Tabela1[[#This Row],[Código]]&amp;"/"&amp;Tabela1[[#This Row],[Origem]]</f>
        <v>Nadeguteca-H469H479/AL</v>
      </c>
      <c r="F2647" s="88">
        <v>47091</v>
      </c>
      <c r="G2647" s="88" t="str" cm="1">
        <f t="array" ref="G26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AND(F2647&gt;= DATE(2026,1,1), F2647&lt;= DATE(2028, 12, 31), J2647&gt;50000), "Pendente e Caro", AND(F2647&gt;= DATE(2026,1,1), F2647&lt;= DATE(2028, 12, 31), J2647&lt;=50000), "Pendente", F2647&gt;= DATE(2029,1,1), "Não prioeitário")</f>
        <v>Pendente e Caro</v>
      </c>
      <c r="H2647" s="89">
        <f>YEAR(Tabela1[[#This Row],[Data de Validade]])</f>
        <v>2028</v>
      </c>
      <c r="I2647" s="89">
        <f>MONTH(Tabela1[[#This Row],[Data de Validade]])</f>
        <v>12</v>
      </c>
      <c r="J2647" s="101">
        <v>102201</v>
      </c>
      <c r="K2647" s="87" t="s">
        <v>14</v>
      </c>
      <c r="L2647" s="108"/>
      <c r="M2647" s="108"/>
      <c r="N2647" s="108" t="str">
        <v>P132H196</v>
      </c>
      <c r="O2647" s="108">
        <f t="shared" si="43"/>
        <v>1</v>
      </c>
      <c r="P2647" s="108"/>
      <c r="Q2647"/>
    </row>
    <row r="2648" spans="1:17" x14ac:dyDescent="0.25">
      <c r="A2648" s="89" t="s">
        <v>6246</v>
      </c>
      <c r="B2648" s="87" t="s">
        <v>6247</v>
      </c>
      <c r="C2648" s="87" t="s">
        <v>13</v>
      </c>
      <c r="D2648" s="87" t="str">
        <f>VLOOKUP(Tabela1[[#This Row],[Origem]], 'Perguntas 1 a 24'!$J$28:$K$34, 2, 0)</f>
        <v>Sudeste</v>
      </c>
      <c r="E2648" s="87" t="str">
        <f>Tabela1[[#This Row],[Descrição]]&amp;"-"&amp;Tabela1[[#This Row],[Código]]&amp;"/"&amp;Tabela1[[#This Row],[Origem]]</f>
        <v>Cocurafo-P132H196/SP</v>
      </c>
      <c r="F2648" s="88">
        <v>47094</v>
      </c>
      <c r="G2648" s="88" t="str" cm="1">
        <f t="array" ref="G26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AND(F2648&gt;= DATE(2026,1,1), F2648&lt;= DATE(2028, 12, 31), J2648&gt;50000), "Pendente e Caro", AND(F2648&gt;= DATE(2026,1,1), F2648&lt;= DATE(2028, 12, 31), J2648&lt;=50000), "Pendente", F2648&gt;= DATE(2029,1,1), "Não prioeitário")</f>
        <v>Pendente</v>
      </c>
      <c r="H2648" s="89">
        <f>YEAR(Tabela1[[#This Row],[Data de Validade]])</f>
        <v>2028</v>
      </c>
      <c r="I2648" s="89">
        <f>MONTH(Tabela1[[#This Row],[Data de Validade]])</f>
        <v>12</v>
      </c>
      <c r="J2648" s="101">
        <v>35763</v>
      </c>
      <c r="K2648" s="87" t="s">
        <v>11</v>
      </c>
      <c r="L2648" s="108"/>
      <c r="M2648" s="108"/>
      <c r="N2648" s="108" t="str">
        <v>H171H739</v>
      </c>
      <c r="O2648" s="108">
        <f t="shared" si="43"/>
        <v>1</v>
      </c>
      <c r="P2648" s="108"/>
      <c r="Q2648"/>
    </row>
    <row r="2649" spans="1:17" x14ac:dyDescent="0.25">
      <c r="A2649" s="89" t="s">
        <v>6538</v>
      </c>
      <c r="B2649" s="87" t="s">
        <v>6539</v>
      </c>
      <c r="C2649" s="87" t="s">
        <v>13</v>
      </c>
      <c r="D2649" s="87" t="str">
        <f>VLOOKUP(Tabela1[[#This Row],[Origem]], 'Perguntas 1 a 24'!$J$28:$K$34, 2, 0)</f>
        <v>Sudeste</v>
      </c>
      <c r="E2649" s="87" t="str">
        <f>Tabela1[[#This Row],[Descrição]]&amp;"-"&amp;Tabela1[[#This Row],[Código]]&amp;"/"&amp;Tabela1[[#This Row],[Origem]]</f>
        <v>Tidora-H171H739/SP</v>
      </c>
      <c r="F2649" s="88">
        <v>47095</v>
      </c>
      <c r="G2649" s="88" t="str" cm="1">
        <f t="array" ref="G26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AND(F2649&gt;= DATE(2026,1,1), F2649&lt;= DATE(2028, 12, 31), J2649&gt;50000), "Pendente e Caro", AND(F2649&gt;= DATE(2026,1,1), F2649&lt;= DATE(2028, 12, 31), J2649&lt;=50000), "Pendente", F2649&gt;= DATE(2029,1,1), "Não prioeitário")</f>
        <v>Pendente e Caro</v>
      </c>
      <c r="H2649" s="89">
        <f>YEAR(Tabela1[[#This Row],[Data de Validade]])</f>
        <v>2028</v>
      </c>
      <c r="I2649" s="89">
        <f>MONTH(Tabela1[[#This Row],[Data de Validade]])</f>
        <v>12</v>
      </c>
      <c r="J2649" s="101">
        <v>65844</v>
      </c>
      <c r="K2649" s="87" t="s">
        <v>14</v>
      </c>
      <c r="L2649" s="108"/>
      <c r="M2649" s="108"/>
      <c r="N2649" s="108" t="str">
        <v>H353P332</v>
      </c>
      <c r="O2649" s="108">
        <f t="shared" si="43"/>
        <v>1</v>
      </c>
      <c r="P2649" s="108"/>
      <c r="Q2649"/>
    </row>
    <row r="2650" spans="1:17" x14ac:dyDescent="0.25">
      <c r="A2650" s="89" t="s">
        <v>10659</v>
      </c>
      <c r="B2650" s="87" t="s">
        <v>10660</v>
      </c>
      <c r="C2650" s="87" t="s">
        <v>10</v>
      </c>
      <c r="D2650" s="87" t="str">
        <f>VLOOKUP(Tabela1[[#This Row],[Origem]], 'Perguntas 1 a 24'!$J$28:$K$34, 2, 0)</f>
        <v>Centro-Oeste</v>
      </c>
      <c r="E2650" s="87" t="str">
        <f>Tabela1[[#This Row],[Descrição]]&amp;"-"&amp;Tabela1[[#This Row],[Código]]&amp;"/"&amp;Tabela1[[#This Row],[Origem]]</f>
        <v>Digarolumi-H353P332/GO</v>
      </c>
      <c r="F2650" s="88">
        <v>47096</v>
      </c>
      <c r="G2650" s="88" t="str" cm="1">
        <f t="array" ref="G26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AND(F2650&gt;= DATE(2026,1,1), F2650&lt;= DATE(2028, 12, 31), J2650&gt;50000), "Pendente e Caro", AND(F2650&gt;= DATE(2026,1,1), F2650&lt;= DATE(2028, 12, 31), J2650&lt;=50000), "Pendente", F2650&gt;= DATE(2029,1,1), "Não prioeitário")</f>
        <v>Pendente e Caro</v>
      </c>
      <c r="H2650" s="89">
        <f>YEAR(Tabela1[[#This Row],[Data de Validade]])</f>
        <v>2028</v>
      </c>
      <c r="I2650" s="89">
        <f>MONTH(Tabela1[[#This Row],[Data de Validade]])</f>
        <v>12</v>
      </c>
      <c r="J2650" s="101">
        <v>107451</v>
      </c>
      <c r="K2650" s="87" t="s">
        <v>11</v>
      </c>
      <c r="L2650" s="108"/>
      <c r="M2650" s="108"/>
      <c r="N2650" s="108" t="str">
        <v>P931H285</v>
      </c>
      <c r="O2650" s="108">
        <f t="shared" si="43"/>
        <v>1</v>
      </c>
      <c r="P2650" s="108"/>
      <c r="Q2650"/>
    </row>
    <row r="2651" spans="1:17" x14ac:dyDescent="0.25">
      <c r="A2651" s="89" t="s">
        <v>3663</v>
      </c>
      <c r="B2651" s="87" t="s">
        <v>3664</v>
      </c>
      <c r="C2651" s="87" t="s">
        <v>6</v>
      </c>
      <c r="D2651" s="87" t="str">
        <f>VLOOKUP(Tabela1[[#This Row],[Origem]], 'Perguntas 1 a 24'!$J$28:$K$34, 2, 0)</f>
        <v>Nordeste</v>
      </c>
      <c r="E2651" s="87" t="str">
        <f>Tabela1[[#This Row],[Descrição]]&amp;"-"&amp;Tabela1[[#This Row],[Código]]&amp;"/"&amp;Tabela1[[#This Row],[Origem]]</f>
        <v>Nocogifo-P931H285/MA</v>
      </c>
      <c r="F2651" s="88">
        <v>47096</v>
      </c>
      <c r="G2651" s="88" t="str" cm="1">
        <f t="array" ref="G26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AND(F2651&gt;= DATE(2026,1,1), F2651&lt;= DATE(2028, 12, 31), J2651&gt;50000), "Pendente e Caro", AND(F2651&gt;= DATE(2026,1,1), F2651&lt;= DATE(2028, 12, 31), J2651&lt;=50000), "Pendente", F2651&gt;= DATE(2029,1,1), "Não prioeitário")</f>
        <v>Pendente e Caro</v>
      </c>
      <c r="H2651" s="89">
        <f>YEAR(Tabela1[[#This Row],[Data de Validade]])</f>
        <v>2028</v>
      </c>
      <c r="I2651" s="89">
        <f>MONTH(Tabela1[[#This Row],[Data de Validade]])</f>
        <v>12</v>
      </c>
      <c r="J2651" s="101">
        <v>83361</v>
      </c>
      <c r="K2651" s="87" t="s">
        <v>7</v>
      </c>
      <c r="L2651" s="108"/>
      <c r="M2651" s="108"/>
      <c r="N2651" s="108" t="str">
        <v>P934P146</v>
      </c>
      <c r="O2651" s="108">
        <f t="shared" si="43"/>
        <v>1</v>
      </c>
      <c r="P2651" s="108"/>
      <c r="Q2651"/>
    </row>
    <row r="2652" spans="1:17" x14ac:dyDescent="0.25">
      <c r="A2652" s="89" t="s">
        <v>8829</v>
      </c>
      <c r="B2652" s="87" t="s">
        <v>8830</v>
      </c>
      <c r="C2652" s="87" t="s">
        <v>8</v>
      </c>
      <c r="D2652" s="87" t="str">
        <f>VLOOKUP(Tabela1[[#This Row],[Origem]], 'Perguntas 1 a 24'!$J$28:$K$34, 2, 0)</f>
        <v>Nordeste</v>
      </c>
      <c r="E2652" s="87" t="str">
        <f>Tabela1[[#This Row],[Descrição]]&amp;"-"&amp;Tabela1[[#This Row],[Código]]&amp;"/"&amp;Tabela1[[#This Row],[Origem]]</f>
        <v>Ligepuvoro-P934P146/AL</v>
      </c>
      <c r="F2652" s="88">
        <v>47096</v>
      </c>
      <c r="G2652" s="88" t="str" cm="1">
        <f t="array" ref="G26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AND(F2652&gt;= DATE(2026,1,1), F2652&lt;= DATE(2028, 12, 31), J2652&gt;50000), "Pendente e Caro", AND(F2652&gt;= DATE(2026,1,1), F2652&lt;= DATE(2028, 12, 31), J2652&lt;=50000), "Pendente", F2652&gt;= DATE(2029,1,1), "Não prioeitário")</f>
        <v>Pendente</v>
      </c>
      <c r="H2652" s="89">
        <f>YEAR(Tabela1[[#This Row],[Data de Validade]])</f>
        <v>2028</v>
      </c>
      <c r="I2652" s="89">
        <f>MONTH(Tabela1[[#This Row],[Data de Validade]])</f>
        <v>12</v>
      </c>
      <c r="J2652" s="101">
        <v>45261</v>
      </c>
      <c r="K2652" s="87" t="s">
        <v>9</v>
      </c>
      <c r="L2652" s="108"/>
      <c r="M2652" s="108"/>
      <c r="N2652" s="108" t="str">
        <v>H849H162</v>
      </c>
      <c r="O2652" s="108">
        <f t="shared" si="43"/>
        <v>1</v>
      </c>
      <c r="P2652" s="108"/>
      <c r="Q2652"/>
    </row>
    <row r="2653" spans="1:17" x14ac:dyDescent="0.25">
      <c r="A2653" s="89" t="s">
        <v>4600</v>
      </c>
      <c r="B2653" s="87" t="s">
        <v>4601</v>
      </c>
      <c r="C2653" s="87" t="s">
        <v>10</v>
      </c>
      <c r="D2653" s="87" t="str">
        <f>VLOOKUP(Tabela1[[#This Row],[Origem]], 'Perguntas 1 a 24'!$J$28:$K$34, 2, 0)</f>
        <v>Centro-Oeste</v>
      </c>
      <c r="E2653" s="87" t="str">
        <f>Tabela1[[#This Row],[Descrição]]&amp;"-"&amp;Tabela1[[#This Row],[Código]]&amp;"/"&amp;Tabela1[[#This Row],[Origem]]</f>
        <v>Tinefimomi-H849H162/GO</v>
      </c>
      <c r="F2653" s="88">
        <v>47098</v>
      </c>
      <c r="G2653" s="88" t="str" cm="1">
        <f t="array" ref="G26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AND(F2653&gt;= DATE(2026,1,1), F2653&lt;= DATE(2028, 12, 31), J2653&gt;50000), "Pendente e Caro", AND(F2653&gt;= DATE(2026,1,1), F2653&lt;= DATE(2028, 12, 31), J2653&lt;=50000), "Pendente", F2653&gt;= DATE(2029,1,1), "Não prioeitário")</f>
        <v>Pendente</v>
      </c>
      <c r="H2653" s="89">
        <f>YEAR(Tabela1[[#This Row],[Data de Validade]])</f>
        <v>2028</v>
      </c>
      <c r="I2653" s="89">
        <f>MONTH(Tabela1[[#This Row],[Data de Validade]])</f>
        <v>12</v>
      </c>
      <c r="J2653" s="101">
        <v>44669</v>
      </c>
      <c r="K2653" s="87" t="s">
        <v>11</v>
      </c>
      <c r="L2653" s="108"/>
      <c r="M2653" s="108"/>
      <c r="N2653" s="108" t="str">
        <v>P374P216</v>
      </c>
      <c r="O2653" s="108">
        <f t="shared" si="43"/>
        <v>1</v>
      </c>
      <c r="P2653" s="108"/>
      <c r="Q2653"/>
    </row>
    <row r="2654" spans="1:17" x14ac:dyDescent="0.25">
      <c r="A2654" s="89" t="s">
        <v>4952</v>
      </c>
      <c r="B2654" s="87" t="s">
        <v>4953</v>
      </c>
      <c r="C2654" s="87" t="s">
        <v>6</v>
      </c>
      <c r="D2654" s="87" t="str">
        <f>VLOOKUP(Tabela1[[#This Row],[Origem]], 'Perguntas 1 a 24'!$J$28:$K$34, 2, 0)</f>
        <v>Nordeste</v>
      </c>
      <c r="E2654" s="87" t="str">
        <f>Tabela1[[#This Row],[Descrição]]&amp;"-"&amp;Tabela1[[#This Row],[Código]]&amp;"/"&amp;Tabela1[[#This Row],[Origem]]</f>
        <v>Tiratove-P374P216/MA</v>
      </c>
      <c r="F2654" s="88">
        <v>47099</v>
      </c>
      <c r="G2654" s="88" t="str" cm="1">
        <f t="array" ref="G26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AND(F2654&gt;= DATE(2026,1,1), F2654&lt;= DATE(2028, 12, 31), J2654&gt;50000), "Pendente e Caro", AND(F2654&gt;= DATE(2026,1,1), F2654&lt;= DATE(2028, 12, 31), J2654&lt;=50000), "Pendente", F2654&gt;= DATE(2029,1,1), "Não prioeitário")</f>
        <v>Pendente e Caro</v>
      </c>
      <c r="H2654" s="89">
        <f>YEAR(Tabela1[[#This Row],[Data de Validade]])</f>
        <v>2028</v>
      </c>
      <c r="I2654" s="89">
        <f>MONTH(Tabela1[[#This Row],[Data de Validade]])</f>
        <v>12</v>
      </c>
      <c r="J2654" s="101">
        <v>107690</v>
      </c>
      <c r="K2654" s="87" t="s">
        <v>9</v>
      </c>
      <c r="L2654" s="108"/>
      <c r="M2654" s="108"/>
      <c r="N2654" s="108" t="str">
        <v>P217H553</v>
      </c>
      <c r="O2654" s="108">
        <f t="shared" si="43"/>
        <v>1</v>
      </c>
      <c r="P2654" s="108"/>
      <c r="Q2654"/>
    </row>
    <row r="2655" spans="1:17" x14ac:dyDescent="0.25">
      <c r="A2655" s="89" t="s">
        <v>7954</v>
      </c>
      <c r="B2655" s="87" t="s">
        <v>7955</v>
      </c>
      <c r="C2655" s="87" t="s">
        <v>8</v>
      </c>
      <c r="D2655" s="87" t="str">
        <f>VLOOKUP(Tabela1[[#This Row],[Origem]], 'Perguntas 1 a 24'!$J$28:$K$34, 2, 0)</f>
        <v>Nordeste</v>
      </c>
      <c r="E2655" s="87" t="str">
        <f>Tabela1[[#This Row],[Descrição]]&amp;"-"&amp;Tabela1[[#This Row],[Código]]&amp;"/"&amp;Tabela1[[#This Row],[Origem]]</f>
        <v>Cimafivovi-P217H553/AL</v>
      </c>
      <c r="F2655" s="88">
        <v>47099</v>
      </c>
      <c r="G2655" s="88" t="str" cm="1">
        <f t="array" ref="G26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AND(F2655&gt;= DATE(2026,1,1), F2655&lt;= DATE(2028, 12, 31), J2655&gt;50000), "Pendente e Caro", AND(F2655&gt;= DATE(2026,1,1), F2655&lt;= DATE(2028, 12, 31), J2655&lt;=50000), "Pendente", F2655&gt;= DATE(2029,1,1), "Não prioeitário")</f>
        <v>Pendente e Caro</v>
      </c>
      <c r="H2655" s="89">
        <f>YEAR(Tabela1[[#This Row],[Data de Validade]])</f>
        <v>2028</v>
      </c>
      <c r="I2655" s="89">
        <f>MONTH(Tabela1[[#This Row],[Data de Validade]])</f>
        <v>12</v>
      </c>
      <c r="J2655" s="101">
        <v>58168</v>
      </c>
      <c r="K2655" s="87" t="s">
        <v>7</v>
      </c>
      <c r="L2655" s="108"/>
      <c r="M2655" s="108"/>
      <c r="N2655" s="108" t="str">
        <v>P954H251</v>
      </c>
      <c r="O2655" s="108">
        <f t="shared" si="43"/>
        <v>1</v>
      </c>
      <c r="P2655" s="108"/>
      <c r="Q2655"/>
    </row>
    <row r="2656" spans="1:17" x14ac:dyDescent="0.25">
      <c r="A2656" s="89" t="s">
        <v>5842</v>
      </c>
      <c r="B2656" s="87" t="s">
        <v>5843</v>
      </c>
      <c r="C2656" s="87" t="s">
        <v>8</v>
      </c>
      <c r="D2656" s="87" t="str">
        <f>VLOOKUP(Tabela1[[#This Row],[Origem]], 'Perguntas 1 a 24'!$J$28:$K$34, 2, 0)</f>
        <v>Nordeste</v>
      </c>
      <c r="E2656" s="87" t="str">
        <f>Tabela1[[#This Row],[Descrição]]&amp;"-"&amp;Tabela1[[#This Row],[Código]]&amp;"/"&amp;Tabela1[[#This Row],[Origem]]</f>
        <v>Togupanu-P954H251/AL</v>
      </c>
      <c r="F2656" s="88">
        <v>47099</v>
      </c>
      <c r="G2656" s="88" t="str" cm="1">
        <f t="array" ref="G26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AND(F2656&gt;= DATE(2026,1,1), F2656&lt;= DATE(2028, 12, 31), J2656&gt;50000), "Pendente e Caro", AND(F2656&gt;= DATE(2026,1,1), F2656&lt;= DATE(2028, 12, 31), J2656&lt;=50000), "Pendente", F2656&gt;= DATE(2029,1,1), "Não prioeitário")</f>
        <v>Pendente e Caro</v>
      </c>
      <c r="H2656" s="89">
        <f>YEAR(Tabela1[[#This Row],[Data de Validade]])</f>
        <v>2028</v>
      </c>
      <c r="I2656" s="89">
        <f>MONTH(Tabela1[[#This Row],[Data de Validade]])</f>
        <v>12</v>
      </c>
      <c r="J2656" s="101">
        <v>54270</v>
      </c>
      <c r="K2656" s="87" t="s">
        <v>11</v>
      </c>
      <c r="L2656" s="108"/>
      <c r="M2656" s="108"/>
      <c r="N2656" s="108" t="str">
        <v>P271H867</v>
      </c>
      <c r="O2656" s="108">
        <f t="shared" si="43"/>
        <v>1</v>
      </c>
      <c r="P2656" s="108"/>
      <c r="Q2656"/>
    </row>
    <row r="2657" spans="1:17" x14ac:dyDescent="0.25">
      <c r="A2657" s="89" t="s">
        <v>7778</v>
      </c>
      <c r="B2657" s="87" t="s">
        <v>7779</v>
      </c>
      <c r="C2657" s="87" t="s">
        <v>16</v>
      </c>
      <c r="D2657" s="87" t="str">
        <f>VLOOKUP(Tabela1[[#This Row],[Origem]], 'Perguntas 1 a 24'!$J$28:$K$34, 2, 0)</f>
        <v>Sudeste</v>
      </c>
      <c r="E2657" s="87" t="str">
        <f>Tabela1[[#This Row],[Descrição]]&amp;"-"&amp;Tabela1[[#This Row],[Código]]&amp;"/"&amp;Tabela1[[#This Row],[Origem]]</f>
        <v>Pemecu-P271H867/MG</v>
      </c>
      <c r="F2657" s="88">
        <v>47099</v>
      </c>
      <c r="G2657" s="88" t="str" cm="1">
        <f t="array" ref="G26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AND(F2657&gt;= DATE(2026,1,1), F2657&lt;= DATE(2028, 12, 31), J2657&gt;50000), "Pendente e Caro", AND(F2657&gt;= DATE(2026,1,1), F2657&lt;= DATE(2028, 12, 31), J2657&lt;=50000), "Pendente", F2657&gt;= DATE(2029,1,1), "Não prioeitário")</f>
        <v>Pendente</v>
      </c>
      <c r="H2657" s="89">
        <f>YEAR(Tabela1[[#This Row],[Data de Validade]])</f>
        <v>2028</v>
      </c>
      <c r="I2657" s="89">
        <f>MONTH(Tabela1[[#This Row],[Data de Validade]])</f>
        <v>12</v>
      </c>
      <c r="J2657" s="101">
        <v>40029</v>
      </c>
      <c r="K2657" s="87" t="s">
        <v>7</v>
      </c>
      <c r="L2657" s="108"/>
      <c r="M2657" s="108"/>
      <c r="N2657" s="108" t="str">
        <v>H754H727</v>
      </c>
      <c r="O2657" s="108">
        <f t="shared" si="43"/>
        <v>1</v>
      </c>
      <c r="P2657" s="108"/>
      <c r="Q2657"/>
    </row>
    <row r="2658" spans="1:17" x14ac:dyDescent="0.25">
      <c r="A2658" s="89" t="s">
        <v>10507</v>
      </c>
      <c r="B2658" s="87" t="s">
        <v>10508</v>
      </c>
      <c r="C2658" s="87" t="s">
        <v>16</v>
      </c>
      <c r="D2658" s="87" t="str">
        <f>VLOOKUP(Tabela1[[#This Row],[Origem]], 'Perguntas 1 a 24'!$J$28:$K$34, 2, 0)</f>
        <v>Sudeste</v>
      </c>
      <c r="E2658" s="87" t="str">
        <f>Tabela1[[#This Row],[Descrição]]&amp;"-"&amp;Tabela1[[#This Row],[Código]]&amp;"/"&amp;Tabela1[[#This Row],[Origem]]</f>
        <v>Poguverivi-H754H727/MG</v>
      </c>
      <c r="F2658" s="88">
        <v>47100</v>
      </c>
      <c r="G2658" s="88" t="str" cm="1">
        <f t="array" ref="G26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AND(F2658&gt;= DATE(2026,1,1), F2658&lt;= DATE(2028, 12, 31), J2658&gt;50000), "Pendente e Caro", AND(F2658&gt;= DATE(2026,1,1), F2658&lt;= DATE(2028, 12, 31), J2658&lt;=50000), "Pendente", F2658&gt;= DATE(2029,1,1), "Não prioeitário")</f>
        <v>Pendente</v>
      </c>
      <c r="H2658" s="89">
        <f>YEAR(Tabela1[[#This Row],[Data de Validade]])</f>
        <v>2028</v>
      </c>
      <c r="I2658" s="89">
        <f>MONTH(Tabela1[[#This Row],[Data de Validade]])</f>
        <v>12</v>
      </c>
      <c r="J2658" s="101">
        <v>27224</v>
      </c>
      <c r="K2658" s="87" t="s">
        <v>11</v>
      </c>
      <c r="L2658" s="108"/>
      <c r="M2658" s="108"/>
      <c r="N2658" s="108" t="str">
        <v>H566H869</v>
      </c>
      <c r="O2658" s="108">
        <f t="shared" si="43"/>
        <v>1</v>
      </c>
      <c r="P2658" s="108"/>
      <c r="Q2658"/>
    </row>
    <row r="2659" spans="1:17" x14ac:dyDescent="0.25">
      <c r="A2659" s="89" t="s">
        <v>3984</v>
      </c>
      <c r="B2659" s="87" t="s">
        <v>3985</v>
      </c>
      <c r="C2659" s="87" t="s">
        <v>13</v>
      </c>
      <c r="D2659" s="87" t="str">
        <f>VLOOKUP(Tabela1[[#This Row],[Origem]], 'Perguntas 1 a 24'!$J$28:$K$34, 2, 0)</f>
        <v>Sudeste</v>
      </c>
      <c r="E2659" s="87" t="str">
        <f>Tabela1[[#This Row],[Descrição]]&amp;"-"&amp;Tabela1[[#This Row],[Código]]&amp;"/"&amp;Tabela1[[#This Row],[Origem]]</f>
        <v>Logome-H566H869/SP</v>
      </c>
      <c r="F2659" s="88">
        <v>47101</v>
      </c>
      <c r="G2659" s="88" t="str" cm="1">
        <f t="array" ref="G26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AND(F2659&gt;= DATE(2026,1,1), F2659&lt;= DATE(2028, 12, 31), J2659&gt;50000), "Pendente e Caro", AND(F2659&gt;= DATE(2026,1,1), F2659&lt;= DATE(2028, 12, 31), J2659&lt;=50000), "Pendente", F2659&gt;= DATE(2029,1,1), "Não prioeitário")</f>
        <v>Pendente e Caro</v>
      </c>
      <c r="H2659" s="89">
        <f>YEAR(Tabela1[[#This Row],[Data de Validade]])</f>
        <v>2028</v>
      </c>
      <c r="I2659" s="89">
        <f>MONTH(Tabela1[[#This Row],[Data de Validade]])</f>
        <v>12</v>
      </c>
      <c r="J2659" s="101">
        <v>91778</v>
      </c>
      <c r="K2659" s="87" t="s">
        <v>7</v>
      </c>
      <c r="L2659" s="108"/>
      <c r="M2659" s="108"/>
      <c r="N2659" s="108" t="str">
        <v>H246H267</v>
      </c>
      <c r="O2659" s="108">
        <f t="shared" si="43"/>
        <v>1</v>
      </c>
      <c r="P2659" s="108"/>
      <c r="Q2659"/>
    </row>
    <row r="2660" spans="1:17" x14ac:dyDescent="0.25">
      <c r="A2660" s="89" t="s">
        <v>7462</v>
      </c>
      <c r="B2660" s="87" t="s">
        <v>7463</v>
      </c>
      <c r="C2660" s="87" t="s">
        <v>15</v>
      </c>
      <c r="D2660" s="87" t="str">
        <f>VLOOKUP(Tabela1[[#This Row],[Origem]], 'Perguntas 1 a 24'!$J$28:$K$34, 2, 0)</f>
        <v>Sudeste</v>
      </c>
      <c r="E2660" s="87" t="str">
        <f>Tabela1[[#This Row],[Descrição]]&amp;"-"&amp;Tabela1[[#This Row],[Código]]&amp;"/"&amp;Tabela1[[#This Row],[Origem]]</f>
        <v>Gulomofi-H246H267/ES</v>
      </c>
      <c r="F2660" s="88">
        <v>47101</v>
      </c>
      <c r="G2660" s="88" t="str" cm="1">
        <f t="array" ref="G26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AND(F2660&gt;= DATE(2026,1,1), F2660&lt;= DATE(2028, 12, 31), J2660&gt;50000), "Pendente e Caro", AND(F2660&gt;= DATE(2026,1,1), F2660&lt;= DATE(2028, 12, 31), J2660&lt;=50000), "Pendente", F2660&gt;= DATE(2029,1,1), "Não prioeitário")</f>
        <v>Pendente</v>
      </c>
      <c r="H2660" s="89">
        <f>YEAR(Tabela1[[#This Row],[Data de Validade]])</f>
        <v>2028</v>
      </c>
      <c r="I2660" s="89">
        <f>MONTH(Tabela1[[#This Row],[Data de Validade]])</f>
        <v>12</v>
      </c>
      <c r="J2660" s="101">
        <v>48783</v>
      </c>
      <c r="K2660" s="87" t="s">
        <v>7</v>
      </c>
      <c r="L2660" s="108"/>
      <c r="M2660" s="108"/>
      <c r="N2660" s="108" t="str">
        <v>H424P181</v>
      </c>
      <c r="O2660" s="108">
        <f t="shared" si="43"/>
        <v>1</v>
      </c>
      <c r="P2660" s="108"/>
      <c r="Q2660"/>
    </row>
    <row r="2661" spans="1:17" x14ac:dyDescent="0.25">
      <c r="A2661" s="89" t="s">
        <v>9995</v>
      </c>
      <c r="B2661" s="87" t="s">
        <v>9996</v>
      </c>
      <c r="C2661" s="87" t="s">
        <v>16</v>
      </c>
      <c r="D2661" s="87" t="str">
        <f>VLOOKUP(Tabela1[[#This Row],[Origem]], 'Perguntas 1 a 24'!$J$28:$K$34, 2, 0)</f>
        <v>Sudeste</v>
      </c>
      <c r="E2661" s="87" t="str">
        <f>Tabela1[[#This Row],[Descrição]]&amp;"-"&amp;Tabela1[[#This Row],[Código]]&amp;"/"&amp;Tabela1[[#This Row],[Origem]]</f>
        <v>Talota-H424P181/MG</v>
      </c>
      <c r="F2661" s="88">
        <v>47102</v>
      </c>
      <c r="G2661" s="88" t="str" cm="1">
        <f t="array" ref="G26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AND(F2661&gt;= DATE(2026,1,1), F2661&lt;= DATE(2028, 12, 31), J2661&gt;50000), "Pendente e Caro", AND(F2661&gt;= DATE(2026,1,1), F2661&lt;= DATE(2028, 12, 31), J2661&lt;=50000), "Pendente", F2661&gt;= DATE(2029,1,1), "Não prioeitário")</f>
        <v>Pendente e Caro</v>
      </c>
      <c r="H2661" s="89">
        <f>YEAR(Tabela1[[#This Row],[Data de Validade]])</f>
        <v>2028</v>
      </c>
      <c r="I2661" s="89">
        <f>MONTH(Tabela1[[#This Row],[Data de Validade]])</f>
        <v>12</v>
      </c>
      <c r="J2661" s="101">
        <v>101125</v>
      </c>
      <c r="K2661" s="87" t="s">
        <v>9</v>
      </c>
      <c r="L2661" s="108"/>
      <c r="M2661" s="108"/>
      <c r="N2661" s="108" t="str">
        <v>H964H642</v>
      </c>
      <c r="O2661" s="108">
        <f t="shared" si="43"/>
        <v>1</v>
      </c>
      <c r="P2661" s="108"/>
      <c r="Q2661"/>
    </row>
    <row r="2662" spans="1:17" x14ac:dyDescent="0.25">
      <c r="A2662" s="89" t="s">
        <v>10491</v>
      </c>
      <c r="B2662" s="87" t="s">
        <v>10492</v>
      </c>
      <c r="C2662" s="87" t="s">
        <v>16</v>
      </c>
      <c r="D2662" s="87" t="str">
        <f>VLOOKUP(Tabela1[[#This Row],[Origem]], 'Perguntas 1 a 24'!$J$28:$K$34, 2, 0)</f>
        <v>Sudeste</v>
      </c>
      <c r="E2662" s="87" t="str">
        <f>Tabela1[[#This Row],[Descrição]]&amp;"-"&amp;Tabela1[[#This Row],[Código]]&amp;"/"&amp;Tabela1[[#This Row],[Origem]]</f>
        <v>Toripugo-H964H642/MG</v>
      </c>
      <c r="F2662" s="88">
        <v>47102</v>
      </c>
      <c r="G2662" s="88" t="str" cm="1">
        <f t="array" ref="G26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AND(F2662&gt;= DATE(2026,1,1), F2662&lt;= DATE(2028, 12, 31), J2662&gt;50000), "Pendente e Caro", AND(F2662&gt;= DATE(2026,1,1), F2662&lt;= DATE(2028, 12, 31), J2662&lt;=50000), "Pendente", F2662&gt;= DATE(2029,1,1), "Não prioeitário")</f>
        <v>Pendente</v>
      </c>
      <c r="H2662" s="89">
        <f>YEAR(Tabela1[[#This Row],[Data de Validade]])</f>
        <v>2028</v>
      </c>
      <c r="I2662" s="89">
        <f>MONTH(Tabela1[[#This Row],[Data de Validade]])</f>
        <v>12</v>
      </c>
      <c r="J2662" s="101">
        <v>33731</v>
      </c>
      <c r="K2662" s="87" t="s">
        <v>7</v>
      </c>
      <c r="L2662" s="108"/>
      <c r="M2662" s="108"/>
      <c r="N2662" s="108" t="str">
        <v>H532P759</v>
      </c>
      <c r="O2662" s="108">
        <f t="shared" si="43"/>
        <v>1</v>
      </c>
      <c r="P2662" s="108"/>
      <c r="Q2662"/>
    </row>
    <row r="2663" spans="1:17" x14ac:dyDescent="0.25">
      <c r="A2663" s="89" t="s">
        <v>6458</v>
      </c>
      <c r="B2663" s="87" t="s">
        <v>6459</v>
      </c>
      <c r="C2663" s="87" t="s">
        <v>13</v>
      </c>
      <c r="D2663" s="87" t="str">
        <f>VLOOKUP(Tabela1[[#This Row],[Origem]], 'Perguntas 1 a 24'!$J$28:$K$34, 2, 0)</f>
        <v>Sudeste</v>
      </c>
      <c r="E2663" s="87" t="str">
        <f>Tabela1[[#This Row],[Descrição]]&amp;"-"&amp;Tabela1[[#This Row],[Código]]&amp;"/"&amp;Tabela1[[#This Row],[Origem]]</f>
        <v>Vacemi-H532P759/SP</v>
      </c>
      <c r="F2663" s="88">
        <v>47103</v>
      </c>
      <c r="G2663" s="88" t="str" cm="1">
        <f t="array" ref="G26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AND(F2663&gt;= DATE(2026,1,1), F2663&lt;= DATE(2028, 12, 31), J2663&gt;50000), "Pendente e Caro", AND(F2663&gt;= DATE(2026,1,1), F2663&lt;= DATE(2028, 12, 31), J2663&lt;=50000), "Pendente", F2663&gt;= DATE(2029,1,1), "Não prioeitário")</f>
        <v>Pendente e Caro</v>
      </c>
      <c r="H2663" s="89">
        <f>YEAR(Tabela1[[#This Row],[Data de Validade]])</f>
        <v>2028</v>
      </c>
      <c r="I2663" s="89">
        <f>MONTH(Tabela1[[#This Row],[Data de Validade]])</f>
        <v>12</v>
      </c>
      <c r="J2663" s="101">
        <v>106997</v>
      </c>
      <c r="K2663" s="87" t="s">
        <v>9</v>
      </c>
      <c r="L2663" s="108"/>
      <c r="M2663" s="108"/>
      <c r="N2663" s="108" t="str">
        <v>P669P573</v>
      </c>
      <c r="O2663" s="108">
        <f t="shared" si="43"/>
        <v>1</v>
      </c>
      <c r="P2663" s="108"/>
      <c r="Q2663"/>
    </row>
    <row r="2664" spans="1:17" x14ac:dyDescent="0.25">
      <c r="A2664" s="89" t="s">
        <v>10563</v>
      </c>
      <c r="B2664" s="87" t="s">
        <v>10564</v>
      </c>
      <c r="C2664" s="87" t="s">
        <v>6</v>
      </c>
      <c r="D2664" s="87" t="str">
        <f>VLOOKUP(Tabela1[[#This Row],[Origem]], 'Perguntas 1 a 24'!$J$28:$K$34, 2, 0)</f>
        <v>Nordeste</v>
      </c>
      <c r="E2664" s="87" t="str">
        <f>Tabela1[[#This Row],[Descrição]]&amp;"-"&amp;Tabela1[[#This Row],[Código]]&amp;"/"&amp;Tabela1[[#This Row],[Origem]]</f>
        <v>Pufipegaru-P669P573/MA</v>
      </c>
      <c r="F2664" s="88">
        <v>47103</v>
      </c>
      <c r="G2664" s="88" t="str" cm="1">
        <f t="array" ref="G26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AND(F2664&gt;= DATE(2026,1,1), F2664&lt;= DATE(2028, 12, 31), J2664&gt;50000), "Pendente e Caro", AND(F2664&gt;= DATE(2026,1,1), F2664&lt;= DATE(2028, 12, 31), J2664&lt;=50000), "Pendente", F2664&gt;= DATE(2029,1,1), "Não prioeitário")</f>
        <v>Pendente e Caro</v>
      </c>
      <c r="H2664" s="89">
        <f>YEAR(Tabela1[[#This Row],[Data de Validade]])</f>
        <v>2028</v>
      </c>
      <c r="I2664" s="89">
        <f>MONTH(Tabela1[[#This Row],[Data de Validade]])</f>
        <v>12</v>
      </c>
      <c r="J2664" s="101">
        <v>95416</v>
      </c>
      <c r="K2664" s="87" t="s">
        <v>9</v>
      </c>
      <c r="L2664" s="108"/>
      <c r="M2664" s="108"/>
      <c r="N2664" s="108" t="str">
        <v>P523H388</v>
      </c>
      <c r="O2664" s="108">
        <f t="shared" si="43"/>
        <v>1</v>
      </c>
      <c r="P2664" s="108"/>
      <c r="Q2664"/>
    </row>
    <row r="2665" spans="1:17" x14ac:dyDescent="0.25">
      <c r="A2665" s="89" t="s">
        <v>7262</v>
      </c>
      <c r="B2665" s="87" t="s">
        <v>7263</v>
      </c>
      <c r="C2665" s="87" t="s">
        <v>6</v>
      </c>
      <c r="D2665" s="87" t="str">
        <f>VLOOKUP(Tabela1[[#This Row],[Origem]], 'Perguntas 1 a 24'!$J$28:$K$34, 2, 0)</f>
        <v>Nordeste</v>
      </c>
      <c r="E2665" s="87" t="str">
        <f>Tabela1[[#This Row],[Descrição]]&amp;"-"&amp;Tabela1[[#This Row],[Código]]&amp;"/"&amp;Tabela1[[#This Row],[Origem]]</f>
        <v>Fogaduriti-P523H388/MA</v>
      </c>
      <c r="F2665" s="88">
        <v>47103</v>
      </c>
      <c r="G2665" s="88" t="str" cm="1">
        <f t="array" ref="G26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AND(F2665&gt;= DATE(2026,1,1), F2665&lt;= DATE(2028, 12, 31), J2665&gt;50000), "Pendente e Caro", AND(F2665&gt;= DATE(2026,1,1), F2665&lt;= DATE(2028, 12, 31), J2665&lt;=50000), "Pendente", F2665&gt;= DATE(2029,1,1), "Não prioeitário")</f>
        <v>Pendente e Caro</v>
      </c>
      <c r="H2665" s="89">
        <f>YEAR(Tabela1[[#This Row],[Data de Validade]])</f>
        <v>2028</v>
      </c>
      <c r="I2665" s="89">
        <f>MONTH(Tabela1[[#This Row],[Data de Validade]])</f>
        <v>12</v>
      </c>
      <c r="J2665" s="101">
        <v>86538</v>
      </c>
      <c r="K2665" s="87" t="s">
        <v>7</v>
      </c>
      <c r="L2665" s="108"/>
      <c r="M2665" s="108"/>
      <c r="N2665" s="108" t="str">
        <v>P966P221</v>
      </c>
      <c r="O2665" s="108">
        <f t="shared" si="43"/>
        <v>1</v>
      </c>
      <c r="P2665" s="108"/>
      <c r="Q2665"/>
    </row>
    <row r="2666" spans="1:17" x14ac:dyDescent="0.25">
      <c r="A2666" s="89" t="s">
        <v>6484</v>
      </c>
      <c r="B2666" s="87" t="s">
        <v>6485</v>
      </c>
      <c r="C2666" s="87" t="s">
        <v>12</v>
      </c>
      <c r="D2666" s="87" t="str">
        <f>VLOOKUP(Tabela1[[#This Row],[Origem]], 'Perguntas 1 a 24'!$J$28:$K$34, 2, 0)</f>
        <v>Sudeste</v>
      </c>
      <c r="E2666" s="87" t="str">
        <f>Tabela1[[#This Row],[Descrição]]&amp;"-"&amp;Tabela1[[#This Row],[Código]]&amp;"/"&amp;Tabela1[[#This Row],[Origem]]</f>
        <v>Garifa-P966P221/RJ</v>
      </c>
      <c r="F2666" s="88">
        <v>47103</v>
      </c>
      <c r="G2666" s="88" t="str" cm="1">
        <f t="array" ref="G26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AND(F2666&gt;= DATE(2026,1,1), F2666&lt;= DATE(2028, 12, 31), J2666&gt;50000), "Pendente e Caro", AND(F2666&gt;= DATE(2026,1,1), F2666&lt;= DATE(2028, 12, 31), J2666&lt;=50000), "Pendente", F2666&gt;= DATE(2029,1,1), "Não prioeitário")</f>
        <v>Pendente e Caro</v>
      </c>
      <c r="H2666" s="89">
        <f>YEAR(Tabela1[[#This Row],[Data de Validade]])</f>
        <v>2028</v>
      </c>
      <c r="I2666" s="89">
        <f>MONTH(Tabela1[[#This Row],[Data de Validade]])</f>
        <v>12</v>
      </c>
      <c r="J2666" s="101">
        <v>79659</v>
      </c>
      <c r="K2666" s="87" t="s">
        <v>9</v>
      </c>
      <c r="L2666" s="108"/>
      <c r="M2666" s="108"/>
      <c r="N2666" s="108" t="str">
        <v>H961P172</v>
      </c>
      <c r="O2666" s="108">
        <f t="shared" si="43"/>
        <v>1</v>
      </c>
      <c r="P2666" s="108"/>
      <c r="Q2666"/>
    </row>
    <row r="2667" spans="1:17" x14ac:dyDescent="0.25">
      <c r="A2667" s="89" t="s">
        <v>10986</v>
      </c>
      <c r="B2667" s="87" t="s">
        <v>10987</v>
      </c>
      <c r="C2667" s="87" t="s">
        <v>12</v>
      </c>
      <c r="D2667" s="87" t="str">
        <f>VLOOKUP(Tabela1[[#This Row],[Origem]], 'Perguntas 1 a 24'!$J$28:$K$34, 2, 0)</f>
        <v>Sudeste</v>
      </c>
      <c r="E2667" s="87" t="str">
        <f>Tabela1[[#This Row],[Descrição]]&amp;"-"&amp;Tabela1[[#This Row],[Código]]&amp;"/"&amp;Tabela1[[#This Row],[Origem]]</f>
        <v>Piratuno-H961P172/RJ</v>
      </c>
      <c r="F2667" s="88">
        <v>47104</v>
      </c>
      <c r="G2667" s="88" t="str" cm="1">
        <f t="array" ref="G26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AND(F2667&gt;= DATE(2026,1,1), F2667&lt;= DATE(2028, 12, 31), J2667&gt;50000), "Pendente e Caro", AND(F2667&gt;= DATE(2026,1,1), F2667&lt;= DATE(2028, 12, 31), J2667&lt;=50000), "Pendente", F2667&gt;= DATE(2029,1,1), "Não prioeitário")</f>
        <v>Pendente e Caro</v>
      </c>
      <c r="H2667" s="89">
        <f>YEAR(Tabela1[[#This Row],[Data de Validade]])</f>
        <v>2028</v>
      </c>
      <c r="I2667" s="89">
        <f>MONTH(Tabela1[[#This Row],[Data de Validade]])</f>
        <v>12</v>
      </c>
      <c r="J2667" s="101">
        <v>93912</v>
      </c>
      <c r="K2667" s="87" t="s">
        <v>9</v>
      </c>
      <c r="L2667" s="108"/>
      <c r="M2667" s="108"/>
      <c r="N2667" s="108" t="str">
        <v>H873H545</v>
      </c>
      <c r="O2667" s="108">
        <f t="shared" si="43"/>
        <v>1</v>
      </c>
      <c r="P2667" s="108"/>
      <c r="Q2667"/>
    </row>
    <row r="2668" spans="1:17" x14ac:dyDescent="0.25">
      <c r="A2668" s="89" t="s">
        <v>7652</v>
      </c>
      <c r="B2668" s="87" t="s">
        <v>7653</v>
      </c>
      <c r="C2668" s="87" t="s">
        <v>13</v>
      </c>
      <c r="D2668" s="87" t="str">
        <f>VLOOKUP(Tabela1[[#This Row],[Origem]], 'Perguntas 1 a 24'!$J$28:$K$34, 2, 0)</f>
        <v>Sudeste</v>
      </c>
      <c r="E2668" s="87" t="str">
        <f>Tabela1[[#This Row],[Descrição]]&amp;"-"&amp;Tabela1[[#This Row],[Código]]&amp;"/"&amp;Tabela1[[#This Row],[Origem]]</f>
        <v>Derotuve-H873H545/SP</v>
      </c>
      <c r="F2668" s="88">
        <v>47105</v>
      </c>
      <c r="G2668" s="88" t="str" cm="1">
        <f t="array" ref="G26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AND(F2668&gt;= DATE(2026,1,1), F2668&lt;= DATE(2028, 12, 31), J2668&gt;50000), "Pendente e Caro", AND(F2668&gt;= DATE(2026,1,1), F2668&lt;= DATE(2028, 12, 31), J2668&lt;=50000), "Pendente", F2668&gt;= DATE(2029,1,1), "Não prioeitário")</f>
        <v>Pendente e Caro</v>
      </c>
      <c r="H2668" s="89">
        <f>YEAR(Tabela1[[#This Row],[Data de Validade]])</f>
        <v>2028</v>
      </c>
      <c r="I2668" s="89">
        <f>MONTH(Tabela1[[#This Row],[Data de Validade]])</f>
        <v>12</v>
      </c>
      <c r="J2668" s="101">
        <v>74376</v>
      </c>
      <c r="K2668" s="87" t="s">
        <v>14</v>
      </c>
      <c r="L2668" s="108"/>
      <c r="M2668" s="108"/>
      <c r="N2668" s="108" t="str">
        <v>H852P462</v>
      </c>
      <c r="O2668" s="108">
        <f t="shared" si="43"/>
        <v>1</v>
      </c>
      <c r="P2668" s="108"/>
      <c r="Q2668"/>
    </row>
    <row r="2669" spans="1:17" x14ac:dyDescent="0.25">
      <c r="A2669" s="89" t="s">
        <v>8354</v>
      </c>
      <c r="B2669" s="87" t="s">
        <v>8355</v>
      </c>
      <c r="C2669" s="87" t="s">
        <v>16</v>
      </c>
      <c r="D2669" s="87" t="str">
        <f>VLOOKUP(Tabela1[[#This Row],[Origem]], 'Perguntas 1 a 24'!$J$28:$K$34, 2, 0)</f>
        <v>Sudeste</v>
      </c>
      <c r="E2669" s="87" t="str">
        <f>Tabela1[[#This Row],[Descrição]]&amp;"-"&amp;Tabela1[[#This Row],[Código]]&amp;"/"&amp;Tabela1[[#This Row],[Origem]]</f>
        <v>Vetoporotu-H852P462/MG</v>
      </c>
      <c r="F2669" s="88">
        <v>47106</v>
      </c>
      <c r="G2669" s="88" t="str" cm="1">
        <f t="array" ref="G26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AND(F2669&gt;= DATE(2026,1,1), F2669&lt;= DATE(2028, 12, 31), J2669&gt;50000), "Pendente e Caro", AND(F2669&gt;= DATE(2026,1,1), F2669&lt;= DATE(2028, 12, 31), J2669&lt;=50000), "Pendente", F2669&gt;= DATE(2029,1,1), "Não prioeitário")</f>
        <v>Pendente e Caro</v>
      </c>
      <c r="H2669" s="89">
        <f>YEAR(Tabela1[[#This Row],[Data de Validade]])</f>
        <v>2028</v>
      </c>
      <c r="I2669" s="89">
        <f>MONTH(Tabela1[[#This Row],[Data de Validade]])</f>
        <v>12</v>
      </c>
      <c r="J2669" s="101">
        <v>92167</v>
      </c>
      <c r="K2669" s="87" t="s">
        <v>14</v>
      </c>
      <c r="L2669" s="108"/>
      <c r="M2669" s="108"/>
      <c r="N2669" s="108" t="str">
        <v>H432P932</v>
      </c>
      <c r="O2669" s="108">
        <f t="shared" si="43"/>
        <v>1</v>
      </c>
      <c r="P2669" s="108"/>
      <c r="Q2669"/>
    </row>
    <row r="2670" spans="1:17" x14ac:dyDescent="0.25">
      <c r="A2670" s="89" t="s">
        <v>6074</v>
      </c>
      <c r="B2670" s="87" t="s">
        <v>6075</v>
      </c>
      <c r="C2670" s="87" t="s">
        <v>8</v>
      </c>
      <c r="D2670" s="87" t="str">
        <f>VLOOKUP(Tabela1[[#This Row],[Origem]], 'Perguntas 1 a 24'!$J$28:$K$34, 2, 0)</f>
        <v>Nordeste</v>
      </c>
      <c r="E2670" s="87" t="str">
        <f>Tabela1[[#This Row],[Descrição]]&amp;"-"&amp;Tabela1[[#This Row],[Código]]&amp;"/"&amp;Tabela1[[#This Row],[Origem]]</f>
        <v>Papolaco-H432P932/AL</v>
      </c>
      <c r="F2670" s="88">
        <v>47106</v>
      </c>
      <c r="G2670" s="88" t="str" cm="1">
        <f t="array" ref="G26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AND(F2670&gt;= DATE(2026,1,1), F2670&lt;= DATE(2028, 12, 31), J2670&gt;50000), "Pendente e Caro", AND(F2670&gt;= DATE(2026,1,1), F2670&lt;= DATE(2028, 12, 31), J2670&lt;=50000), "Pendente", F2670&gt;= DATE(2029,1,1), "Não prioeitário")</f>
        <v>Pendente e Caro</v>
      </c>
      <c r="H2670" s="89">
        <f>YEAR(Tabela1[[#This Row],[Data de Validade]])</f>
        <v>2028</v>
      </c>
      <c r="I2670" s="89">
        <f>MONTH(Tabela1[[#This Row],[Data de Validade]])</f>
        <v>12</v>
      </c>
      <c r="J2670" s="101">
        <v>85970</v>
      </c>
      <c r="K2670" s="87" t="s">
        <v>11</v>
      </c>
      <c r="L2670" s="108"/>
      <c r="M2670" s="108"/>
      <c r="N2670" s="108" t="str">
        <v>H651P278</v>
      </c>
      <c r="O2670" s="108">
        <f t="shared" si="43"/>
        <v>1</v>
      </c>
      <c r="P2670" s="108"/>
      <c r="Q2670"/>
    </row>
    <row r="2671" spans="1:17" x14ac:dyDescent="0.25">
      <c r="A2671" s="89" t="s">
        <v>7844</v>
      </c>
      <c r="B2671" s="87" t="s">
        <v>7845</v>
      </c>
      <c r="C2671" s="87" t="s">
        <v>10</v>
      </c>
      <c r="D2671" s="87" t="str">
        <f>VLOOKUP(Tabela1[[#This Row],[Origem]], 'Perguntas 1 a 24'!$J$28:$K$34, 2, 0)</f>
        <v>Centro-Oeste</v>
      </c>
      <c r="E2671" s="87" t="str">
        <f>Tabela1[[#This Row],[Descrição]]&amp;"-"&amp;Tabela1[[#This Row],[Código]]&amp;"/"&amp;Tabela1[[#This Row],[Origem]]</f>
        <v>Relepa-H651P278/GO</v>
      </c>
      <c r="F2671" s="88">
        <v>47106</v>
      </c>
      <c r="G2671" s="88" t="str" cm="1">
        <f t="array" ref="G26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AND(F2671&gt;= DATE(2026,1,1), F2671&lt;= DATE(2028, 12, 31), J2671&gt;50000), "Pendente e Caro", AND(F2671&gt;= DATE(2026,1,1), F2671&lt;= DATE(2028, 12, 31), J2671&lt;=50000), "Pendente", F2671&gt;= DATE(2029,1,1), "Não prioeitário")</f>
        <v>Pendente e Caro</v>
      </c>
      <c r="H2671" s="89">
        <f>YEAR(Tabela1[[#This Row],[Data de Validade]])</f>
        <v>2028</v>
      </c>
      <c r="I2671" s="89">
        <f>MONTH(Tabela1[[#This Row],[Data de Validade]])</f>
        <v>12</v>
      </c>
      <c r="J2671" s="101">
        <v>79789</v>
      </c>
      <c r="K2671" s="87" t="s">
        <v>9</v>
      </c>
      <c r="L2671" s="108"/>
      <c r="M2671" s="108"/>
      <c r="N2671" s="108" t="str">
        <v>P495H747</v>
      </c>
      <c r="O2671" s="108">
        <f t="shared" si="43"/>
        <v>1</v>
      </c>
      <c r="P2671" s="108"/>
      <c r="Q2671"/>
    </row>
    <row r="2672" spans="1:17" x14ac:dyDescent="0.25">
      <c r="A2672" s="89" t="s">
        <v>7216</v>
      </c>
      <c r="B2672" s="87" t="s">
        <v>7217</v>
      </c>
      <c r="C2672" s="87" t="s">
        <v>6</v>
      </c>
      <c r="D2672" s="87" t="str">
        <f>VLOOKUP(Tabela1[[#This Row],[Origem]], 'Perguntas 1 a 24'!$J$28:$K$34, 2, 0)</f>
        <v>Nordeste</v>
      </c>
      <c r="E2672" s="87" t="str">
        <f>Tabela1[[#This Row],[Descrição]]&amp;"-"&amp;Tabela1[[#This Row],[Código]]&amp;"/"&amp;Tabela1[[#This Row],[Origem]]</f>
        <v>Pogetepi-P495H747/MA</v>
      </c>
      <c r="F2672" s="88">
        <v>47106</v>
      </c>
      <c r="G2672" s="88" t="str" cm="1">
        <f t="array" ref="G26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AND(F2672&gt;= DATE(2026,1,1), F2672&lt;= DATE(2028, 12, 31), J2672&gt;50000), "Pendente e Caro", AND(F2672&gt;= DATE(2026,1,1), F2672&lt;= DATE(2028, 12, 31), J2672&lt;=50000), "Pendente", F2672&gt;= DATE(2029,1,1), "Não prioeitário")</f>
        <v>Pendente</v>
      </c>
      <c r="H2672" s="89">
        <f>YEAR(Tabela1[[#This Row],[Data de Validade]])</f>
        <v>2028</v>
      </c>
      <c r="I2672" s="89">
        <f>MONTH(Tabela1[[#This Row],[Data de Validade]])</f>
        <v>12</v>
      </c>
      <c r="J2672" s="101">
        <v>30484</v>
      </c>
      <c r="K2672" s="87" t="s">
        <v>14</v>
      </c>
      <c r="L2672" s="108"/>
      <c r="M2672" s="108"/>
      <c r="N2672" s="108" t="str">
        <v>H531H765</v>
      </c>
      <c r="O2672" s="108">
        <f t="shared" si="43"/>
        <v>1</v>
      </c>
      <c r="P2672" s="108"/>
      <c r="Q2672"/>
    </row>
    <row r="2673" spans="1:17" x14ac:dyDescent="0.25">
      <c r="A2673" s="89" t="s">
        <v>9991</v>
      </c>
      <c r="B2673" s="87" t="s">
        <v>9992</v>
      </c>
      <c r="C2673" s="87" t="s">
        <v>16</v>
      </c>
      <c r="D2673" s="87" t="str">
        <f>VLOOKUP(Tabela1[[#This Row],[Origem]], 'Perguntas 1 a 24'!$J$28:$K$34, 2, 0)</f>
        <v>Sudeste</v>
      </c>
      <c r="E2673" s="87" t="str">
        <f>Tabela1[[#This Row],[Descrição]]&amp;"-"&amp;Tabela1[[#This Row],[Código]]&amp;"/"&amp;Tabela1[[#This Row],[Origem]]</f>
        <v>Mivudapote-H531H765/MG</v>
      </c>
      <c r="F2673" s="88">
        <v>47107</v>
      </c>
      <c r="G2673" s="88" t="str" cm="1">
        <f t="array" ref="G26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AND(F2673&gt;= DATE(2026,1,1), F2673&lt;= DATE(2028, 12, 31), J2673&gt;50000), "Pendente e Caro", AND(F2673&gt;= DATE(2026,1,1), F2673&lt;= DATE(2028, 12, 31), J2673&lt;=50000), "Pendente", F2673&gt;= DATE(2029,1,1), "Não prioeitário")</f>
        <v>Pendente e Caro</v>
      </c>
      <c r="H2673" s="89">
        <f>YEAR(Tabela1[[#This Row],[Data de Validade]])</f>
        <v>2028</v>
      </c>
      <c r="I2673" s="89">
        <f>MONTH(Tabela1[[#This Row],[Data de Validade]])</f>
        <v>12</v>
      </c>
      <c r="J2673" s="101">
        <v>103956</v>
      </c>
      <c r="K2673" s="87" t="s">
        <v>14</v>
      </c>
      <c r="L2673" s="108"/>
      <c r="M2673" s="108"/>
      <c r="N2673" s="108" t="str">
        <v>P814P126</v>
      </c>
      <c r="O2673" s="108">
        <f t="shared" si="43"/>
        <v>1</v>
      </c>
      <c r="P2673" s="108"/>
      <c r="Q2673"/>
    </row>
    <row r="2674" spans="1:17" x14ac:dyDescent="0.25">
      <c r="A2674" s="89" t="s">
        <v>8795</v>
      </c>
      <c r="B2674" s="87" t="s">
        <v>8796</v>
      </c>
      <c r="C2674" s="87" t="s">
        <v>8</v>
      </c>
      <c r="D2674" s="87" t="str">
        <f>VLOOKUP(Tabela1[[#This Row],[Origem]], 'Perguntas 1 a 24'!$J$28:$K$34, 2, 0)</f>
        <v>Nordeste</v>
      </c>
      <c r="E2674" s="87" t="str">
        <f>Tabela1[[#This Row],[Descrição]]&amp;"-"&amp;Tabela1[[#This Row],[Código]]&amp;"/"&amp;Tabela1[[#This Row],[Origem]]</f>
        <v>Pepopinagu-P814P126/AL</v>
      </c>
      <c r="F2674" s="88">
        <v>47107</v>
      </c>
      <c r="G2674" s="88" t="str" cm="1">
        <f t="array" ref="G26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AND(F2674&gt;= DATE(2026,1,1), F2674&lt;= DATE(2028, 12, 31), J2674&gt;50000), "Pendente e Caro", AND(F2674&gt;= DATE(2026,1,1), F2674&lt;= DATE(2028, 12, 31), J2674&lt;=50000), "Pendente", F2674&gt;= DATE(2029,1,1), "Não prioeitário")</f>
        <v>Pendente</v>
      </c>
      <c r="H2674" s="89">
        <f>YEAR(Tabela1[[#This Row],[Data de Validade]])</f>
        <v>2028</v>
      </c>
      <c r="I2674" s="89">
        <f>MONTH(Tabela1[[#This Row],[Data de Validade]])</f>
        <v>12</v>
      </c>
      <c r="J2674" s="101">
        <v>25313</v>
      </c>
      <c r="K2674" s="87" t="s">
        <v>7</v>
      </c>
      <c r="L2674" s="108"/>
      <c r="M2674" s="108"/>
      <c r="N2674" s="108" t="str">
        <v>P896P765</v>
      </c>
      <c r="O2674" s="108">
        <f t="shared" si="43"/>
        <v>1</v>
      </c>
      <c r="P2674" s="108"/>
      <c r="Q2674"/>
    </row>
    <row r="2675" spans="1:17" x14ac:dyDescent="0.25">
      <c r="A2675" s="89" t="s">
        <v>10225</v>
      </c>
      <c r="B2675" s="87" t="s">
        <v>10226</v>
      </c>
      <c r="C2675" s="87" t="s">
        <v>16</v>
      </c>
      <c r="D2675" s="87" t="str">
        <f>VLOOKUP(Tabela1[[#This Row],[Origem]], 'Perguntas 1 a 24'!$J$28:$K$34, 2, 0)</f>
        <v>Sudeste</v>
      </c>
      <c r="E2675" s="87" t="str">
        <f>Tabela1[[#This Row],[Descrição]]&amp;"-"&amp;Tabela1[[#This Row],[Código]]&amp;"/"&amp;Tabela1[[#This Row],[Origem]]</f>
        <v>Lepumafe-P896P765/MG</v>
      </c>
      <c r="F2675" s="88">
        <v>47108</v>
      </c>
      <c r="G2675" s="88" t="str" cm="1">
        <f t="array" ref="G26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AND(F2675&gt;= DATE(2026,1,1), F2675&lt;= DATE(2028, 12, 31), J2675&gt;50000), "Pendente e Caro", AND(F2675&gt;= DATE(2026,1,1), F2675&lt;= DATE(2028, 12, 31), J2675&lt;=50000), "Pendente", F2675&gt;= DATE(2029,1,1), "Não prioeitário")</f>
        <v>Pendente e Caro</v>
      </c>
      <c r="H2675" s="89">
        <f>YEAR(Tabela1[[#This Row],[Data de Validade]])</f>
        <v>2028</v>
      </c>
      <c r="I2675" s="89">
        <f>MONTH(Tabela1[[#This Row],[Data de Validade]])</f>
        <v>12</v>
      </c>
      <c r="J2675" s="101">
        <v>73468</v>
      </c>
      <c r="K2675" s="87" t="s">
        <v>7</v>
      </c>
      <c r="L2675" s="108"/>
      <c r="M2675" s="108"/>
      <c r="N2675" s="108" t="str">
        <v>H578H868</v>
      </c>
      <c r="O2675" s="108">
        <f t="shared" si="43"/>
        <v>1</v>
      </c>
      <c r="P2675" s="108"/>
      <c r="Q2675"/>
    </row>
    <row r="2676" spans="1:17" x14ac:dyDescent="0.25">
      <c r="A2676" s="89" t="s">
        <v>10013</v>
      </c>
      <c r="B2676" s="87" t="s">
        <v>10014</v>
      </c>
      <c r="C2676" s="87" t="s">
        <v>13</v>
      </c>
      <c r="D2676" s="87" t="str">
        <f>VLOOKUP(Tabela1[[#This Row],[Origem]], 'Perguntas 1 a 24'!$J$28:$K$34, 2, 0)</f>
        <v>Sudeste</v>
      </c>
      <c r="E2676" s="87" t="str">
        <f>Tabela1[[#This Row],[Descrição]]&amp;"-"&amp;Tabela1[[#This Row],[Código]]&amp;"/"&amp;Tabela1[[#This Row],[Origem]]</f>
        <v>Tamurido-H578H868/SP</v>
      </c>
      <c r="F2676" s="88">
        <v>47110</v>
      </c>
      <c r="G2676" s="88" t="str" cm="1">
        <f t="array" ref="G26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AND(F2676&gt;= DATE(2026,1,1), F2676&lt;= DATE(2028, 12, 31), J2676&gt;50000), "Pendente e Caro", AND(F2676&gt;= DATE(2026,1,1), F2676&lt;= DATE(2028, 12, 31), J2676&lt;=50000), "Pendente", F2676&gt;= DATE(2029,1,1), "Não prioeitário")</f>
        <v>Pendente</v>
      </c>
      <c r="H2676" s="89">
        <f>YEAR(Tabela1[[#This Row],[Data de Validade]])</f>
        <v>2028</v>
      </c>
      <c r="I2676" s="89">
        <f>MONTH(Tabela1[[#This Row],[Data de Validade]])</f>
        <v>12</v>
      </c>
      <c r="J2676" s="101">
        <v>22829</v>
      </c>
      <c r="K2676" s="87" t="s">
        <v>7</v>
      </c>
      <c r="L2676" s="108"/>
      <c r="M2676" s="108"/>
      <c r="N2676" s="108" t="str">
        <v>H562P619</v>
      </c>
      <c r="O2676" s="108">
        <f t="shared" si="43"/>
        <v>1</v>
      </c>
      <c r="P2676" s="108"/>
      <c r="Q2676"/>
    </row>
    <row r="2677" spans="1:17" x14ac:dyDescent="0.25">
      <c r="A2677" s="89" t="s">
        <v>6052</v>
      </c>
      <c r="B2677" s="87" t="s">
        <v>6053</v>
      </c>
      <c r="C2677" s="87" t="s">
        <v>8</v>
      </c>
      <c r="D2677" s="87" t="str">
        <f>VLOOKUP(Tabela1[[#This Row],[Origem]], 'Perguntas 1 a 24'!$J$28:$K$34, 2, 0)</f>
        <v>Nordeste</v>
      </c>
      <c r="E2677" s="87" t="str">
        <f>Tabela1[[#This Row],[Descrição]]&amp;"-"&amp;Tabela1[[#This Row],[Código]]&amp;"/"&amp;Tabela1[[#This Row],[Origem]]</f>
        <v>Reletu-H562P619/AL</v>
      </c>
      <c r="F2677" s="88">
        <v>47112</v>
      </c>
      <c r="G2677" s="88" t="str" cm="1">
        <f t="array" ref="G26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AND(F2677&gt;= DATE(2026,1,1), F2677&lt;= DATE(2028, 12, 31), J2677&gt;50000), "Pendente e Caro", AND(F2677&gt;= DATE(2026,1,1), F2677&lt;= DATE(2028, 12, 31), J2677&lt;=50000), "Pendente", F2677&gt;= DATE(2029,1,1), "Não prioeitário")</f>
        <v>Pendente e Caro</v>
      </c>
      <c r="H2677" s="89">
        <f>YEAR(Tabela1[[#This Row],[Data de Validade]])</f>
        <v>2028</v>
      </c>
      <c r="I2677" s="89">
        <f>MONTH(Tabela1[[#This Row],[Data de Validade]])</f>
        <v>12</v>
      </c>
      <c r="J2677" s="101">
        <v>119417</v>
      </c>
      <c r="K2677" s="87" t="s">
        <v>9</v>
      </c>
      <c r="L2677" s="108"/>
      <c r="M2677" s="108"/>
      <c r="N2677" s="108" t="str">
        <v>P354H288</v>
      </c>
      <c r="O2677" s="108">
        <f t="shared" si="43"/>
        <v>1</v>
      </c>
      <c r="P2677" s="108"/>
      <c r="Q2677"/>
    </row>
    <row r="2678" spans="1:17" x14ac:dyDescent="0.25">
      <c r="A2678" s="89" t="s">
        <v>10781</v>
      </c>
      <c r="B2678" s="87" t="s">
        <v>10782</v>
      </c>
      <c r="C2678" s="87" t="s">
        <v>16</v>
      </c>
      <c r="D2678" s="87" t="str">
        <f>VLOOKUP(Tabela1[[#This Row],[Origem]], 'Perguntas 1 a 24'!$J$28:$K$34, 2, 0)</f>
        <v>Sudeste</v>
      </c>
      <c r="E2678" s="87" t="str">
        <f>Tabela1[[#This Row],[Descrição]]&amp;"-"&amp;Tabela1[[#This Row],[Código]]&amp;"/"&amp;Tabela1[[#This Row],[Origem]]</f>
        <v>Pupegone-P354H288/MG</v>
      </c>
      <c r="F2678" s="88">
        <v>47113</v>
      </c>
      <c r="G2678" s="88" t="str" cm="1">
        <f t="array" ref="G26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AND(F2678&gt;= DATE(2026,1,1), F2678&lt;= DATE(2028, 12, 31), J2678&gt;50000), "Pendente e Caro", AND(F2678&gt;= DATE(2026,1,1), F2678&lt;= DATE(2028, 12, 31), J2678&lt;=50000), "Pendente", F2678&gt;= DATE(2029,1,1), "Não prioeitário")</f>
        <v>Pendente e Caro</v>
      </c>
      <c r="H2678" s="89">
        <f>YEAR(Tabela1[[#This Row],[Data de Validade]])</f>
        <v>2028</v>
      </c>
      <c r="I2678" s="89">
        <f>MONTH(Tabela1[[#This Row],[Data de Validade]])</f>
        <v>12</v>
      </c>
      <c r="J2678" s="101">
        <v>73277</v>
      </c>
      <c r="K2678" s="87" t="s">
        <v>7</v>
      </c>
      <c r="L2678" s="108"/>
      <c r="M2678" s="108"/>
      <c r="N2678" s="108" t="str">
        <v>P877H866</v>
      </c>
      <c r="O2678" s="108">
        <f t="shared" si="43"/>
        <v>1</v>
      </c>
      <c r="P2678" s="108"/>
      <c r="Q2678"/>
    </row>
    <row r="2679" spans="1:17" x14ac:dyDescent="0.25">
      <c r="A2679" s="89" t="s">
        <v>7848</v>
      </c>
      <c r="B2679" s="87" t="s">
        <v>7849</v>
      </c>
      <c r="C2679" s="87" t="s">
        <v>10</v>
      </c>
      <c r="D2679" s="87" t="str">
        <f>VLOOKUP(Tabela1[[#This Row],[Origem]], 'Perguntas 1 a 24'!$J$28:$K$34, 2, 0)</f>
        <v>Centro-Oeste</v>
      </c>
      <c r="E2679" s="87" t="str">
        <f>Tabela1[[#This Row],[Descrição]]&amp;"-"&amp;Tabela1[[#This Row],[Código]]&amp;"/"&amp;Tabela1[[#This Row],[Origem]]</f>
        <v>Legera-P877H866/GO</v>
      </c>
      <c r="F2679" s="88">
        <v>47114</v>
      </c>
      <c r="G2679" s="88" t="str" cm="1">
        <f t="array" ref="G26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AND(F2679&gt;= DATE(2026,1,1), F2679&lt;= DATE(2028, 12, 31), J2679&gt;50000), "Pendente e Caro", AND(F2679&gt;= DATE(2026,1,1), F2679&lt;= DATE(2028, 12, 31), J2679&lt;=50000), "Pendente", F2679&gt;= DATE(2029,1,1), "Não prioeitário")</f>
        <v>Pendente e Caro</v>
      </c>
      <c r="H2679" s="89">
        <f>YEAR(Tabela1[[#This Row],[Data de Validade]])</f>
        <v>2028</v>
      </c>
      <c r="I2679" s="89">
        <f>MONTH(Tabela1[[#This Row],[Data de Validade]])</f>
        <v>12</v>
      </c>
      <c r="J2679" s="101">
        <v>97595</v>
      </c>
      <c r="K2679" s="87" t="s">
        <v>9</v>
      </c>
      <c r="L2679" s="108"/>
      <c r="M2679" s="108"/>
      <c r="N2679" s="108" t="str">
        <v>P679H939</v>
      </c>
      <c r="O2679" s="108">
        <f t="shared" si="43"/>
        <v>1</v>
      </c>
      <c r="P2679" s="108"/>
      <c r="Q2679"/>
    </row>
    <row r="2680" spans="1:17" x14ac:dyDescent="0.25">
      <c r="A2680" s="89" t="s">
        <v>8777</v>
      </c>
      <c r="B2680" s="87" t="s">
        <v>8778</v>
      </c>
      <c r="C2680" s="87" t="s">
        <v>6</v>
      </c>
      <c r="D2680" s="87" t="str">
        <f>VLOOKUP(Tabela1[[#This Row],[Origem]], 'Perguntas 1 a 24'!$J$28:$K$34, 2, 0)</f>
        <v>Nordeste</v>
      </c>
      <c r="E2680" s="87" t="str">
        <f>Tabela1[[#This Row],[Descrição]]&amp;"-"&amp;Tabela1[[#This Row],[Código]]&amp;"/"&amp;Tabela1[[#This Row],[Origem]]</f>
        <v>Gulegufa-P679H939/MA</v>
      </c>
      <c r="F2680" s="88">
        <v>47114</v>
      </c>
      <c r="G2680" s="88" t="str" cm="1">
        <f t="array" ref="G26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AND(F2680&gt;= DATE(2026,1,1), F2680&lt;= DATE(2028, 12, 31), J2680&gt;50000), "Pendente e Caro", AND(F2680&gt;= DATE(2026,1,1), F2680&lt;= DATE(2028, 12, 31), J2680&lt;=50000), "Pendente", F2680&gt;= DATE(2029,1,1), "Não prioeitário")</f>
        <v>Pendente</v>
      </c>
      <c r="H2680" s="89">
        <f>YEAR(Tabela1[[#This Row],[Data de Validade]])</f>
        <v>2028</v>
      </c>
      <c r="I2680" s="89">
        <f>MONTH(Tabela1[[#This Row],[Data de Validade]])</f>
        <v>12</v>
      </c>
      <c r="J2680" s="101">
        <v>38891</v>
      </c>
      <c r="K2680" s="87" t="s">
        <v>11</v>
      </c>
      <c r="L2680" s="108"/>
      <c r="M2680" s="108"/>
      <c r="N2680" s="108" t="str">
        <v>P117H715</v>
      </c>
      <c r="O2680" s="108">
        <f t="shared" si="43"/>
        <v>1</v>
      </c>
      <c r="P2680" s="108"/>
      <c r="Q2680"/>
    </row>
    <row r="2681" spans="1:17" x14ac:dyDescent="0.25">
      <c r="A2681" s="89" t="s">
        <v>6986</v>
      </c>
      <c r="B2681" s="87" t="s">
        <v>6987</v>
      </c>
      <c r="C2681" s="87" t="s">
        <v>15</v>
      </c>
      <c r="D2681" s="87" t="str">
        <f>VLOOKUP(Tabela1[[#This Row],[Origem]], 'Perguntas 1 a 24'!$J$28:$K$34, 2, 0)</f>
        <v>Sudeste</v>
      </c>
      <c r="E2681" s="87" t="str">
        <f>Tabela1[[#This Row],[Descrição]]&amp;"-"&amp;Tabela1[[#This Row],[Código]]&amp;"/"&amp;Tabela1[[#This Row],[Origem]]</f>
        <v>Cucitota-P117H715/ES</v>
      </c>
      <c r="F2681" s="88">
        <v>47115</v>
      </c>
      <c r="G2681" s="88" t="str" cm="1">
        <f t="array" ref="G26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AND(F2681&gt;= DATE(2026,1,1), F2681&lt;= DATE(2028, 12, 31), J2681&gt;50000), "Pendente e Caro", AND(F2681&gt;= DATE(2026,1,1), F2681&lt;= DATE(2028, 12, 31), J2681&lt;=50000), "Pendente", F2681&gt;= DATE(2029,1,1), "Não prioeitário")</f>
        <v>Pendente e Caro</v>
      </c>
      <c r="H2681" s="89">
        <f>YEAR(Tabela1[[#This Row],[Data de Validade]])</f>
        <v>2028</v>
      </c>
      <c r="I2681" s="89">
        <f>MONTH(Tabela1[[#This Row],[Data de Validade]])</f>
        <v>12</v>
      </c>
      <c r="J2681" s="101">
        <v>74184</v>
      </c>
      <c r="K2681" s="87" t="s">
        <v>11</v>
      </c>
      <c r="L2681" s="108"/>
      <c r="M2681" s="108"/>
      <c r="N2681" s="108" t="str">
        <v>H293P577</v>
      </c>
      <c r="O2681" s="108">
        <f t="shared" si="43"/>
        <v>1</v>
      </c>
      <c r="P2681" s="108"/>
      <c r="Q2681"/>
    </row>
    <row r="2682" spans="1:17" x14ac:dyDescent="0.25">
      <c r="A2682" s="89" t="s">
        <v>7368</v>
      </c>
      <c r="B2682" s="87" t="s">
        <v>7369</v>
      </c>
      <c r="C2682" s="87" t="s">
        <v>10</v>
      </c>
      <c r="D2682" s="87" t="str">
        <f>VLOOKUP(Tabela1[[#This Row],[Origem]], 'Perguntas 1 a 24'!$J$28:$K$34, 2, 0)</f>
        <v>Centro-Oeste</v>
      </c>
      <c r="E2682" s="87" t="str">
        <f>Tabela1[[#This Row],[Descrição]]&amp;"-"&amp;Tabela1[[#This Row],[Código]]&amp;"/"&amp;Tabela1[[#This Row],[Origem]]</f>
        <v>Nepamicipi-H293P577/GO</v>
      </c>
      <c r="F2682" s="88">
        <v>47115</v>
      </c>
      <c r="G2682" s="88" t="str" cm="1">
        <f t="array" ref="G26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AND(F2682&gt;= DATE(2026,1,1), F2682&lt;= DATE(2028, 12, 31), J2682&gt;50000), "Pendente e Caro", AND(F2682&gt;= DATE(2026,1,1), F2682&lt;= DATE(2028, 12, 31), J2682&lt;=50000), "Pendente", F2682&gt;= DATE(2029,1,1), "Não prioeitário")</f>
        <v>Pendente e Caro</v>
      </c>
      <c r="H2682" s="89">
        <f>YEAR(Tabela1[[#This Row],[Data de Validade]])</f>
        <v>2028</v>
      </c>
      <c r="I2682" s="89">
        <f>MONTH(Tabela1[[#This Row],[Data de Validade]])</f>
        <v>12</v>
      </c>
      <c r="J2682" s="101">
        <v>68426</v>
      </c>
      <c r="K2682" s="87" t="s">
        <v>11</v>
      </c>
      <c r="L2682" s="108"/>
      <c r="M2682" s="108"/>
      <c r="N2682" s="108" t="str">
        <v>P498H183</v>
      </c>
      <c r="O2682" s="108">
        <f t="shared" si="43"/>
        <v>1</v>
      </c>
      <c r="P2682" s="108"/>
      <c r="Q2682"/>
    </row>
    <row r="2683" spans="1:17" x14ac:dyDescent="0.25">
      <c r="A2683" s="89" t="s">
        <v>8028</v>
      </c>
      <c r="B2683" s="87" t="s">
        <v>8029</v>
      </c>
      <c r="C2683" s="87" t="s">
        <v>16</v>
      </c>
      <c r="D2683" s="87" t="str">
        <f>VLOOKUP(Tabela1[[#This Row],[Origem]], 'Perguntas 1 a 24'!$J$28:$K$34, 2, 0)</f>
        <v>Sudeste</v>
      </c>
      <c r="E2683" s="87" t="str">
        <f>Tabela1[[#This Row],[Descrição]]&amp;"-"&amp;Tabela1[[#This Row],[Código]]&amp;"/"&amp;Tabela1[[#This Row],[Origem]]</f>
        <v>Piparigiri-P498H183/MG</v>
      </c>
      <c r="F2683" s="88">
        <v>47115</v>
      </c>
      <c r="G2683" s="88" t="str" cm="1">
        <f t="array" ref="G26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AND(F2683&gt;= DATE(2026,1,1), F2683&lt;= DATE(2028, 12, 31), J2683&gt;50000), "Pendente e Caro", AND(F2683&gt;= DATE(2026,1,1), F2683&lt;= DATE(2028, 12, 31), J2683&lt;=50000), "Pendente", F2683&gt;= DATE(2029,1,1), "Não prioeitário")</f>
        <v>Pendente</v>
      </c>
      <c r="H2683" s="89">
        <f>YEAR(Tabela1[[#This Row],[Data de Validade]])</f>
        <v>2028</v>
      </c>
      <c r="I2683" s="89">
        <f>MONTH(Tabela1[[#This Row],[Data de Validade]])</f>
        <v>12</v>
      </c>
      <c r="J2683" s="101">
        <v>48258</v>
      </c>
      <c r="K2683" s="87" t="s">
        <v>14</v>
      </c>
      <c r="L2683" s="108"/>
      <c r="M2683" s="108"/>
      <c r="N2683" s="108" t="str">
        <v>P871H819</v>
      </c>
      <c r="O2683" s="108">
        <f t="shared" si="43"/>
        <v>1</v>
      </c>
      <c r="P2683" s="108"/>
      <c r="Q2683"/>
    </row>
    <row r="2684" spans="1:17" x14ac:dyDescent="0.25">
      <c r="A2684" s="89" t="s">
        <v>6664</v>
      </c>
      <c r="B2684" s="87" t="s">
        <v>6665</v>
      </c>
      <c r="C2684" s="87" t="s">
        <v>16</v>
      </c>
      <c r="D2684" s="87" t="str">
        <f>VLOOKUP(Tabela1[[#This Row],[Origem]], 'Perguntas 1 a 24'!$J$28:$K$34, 2, 0)</f>
        <v>Sudeste</v>
      </c>
      <c r="E2684" s="87" t="str">
        <f>Tabela1[[#This Row],[Descrição]]&amp;"-"&amp;Tabela1[[#This Row],[Código]]&amp;"/"&amp;Tabela1[[#This Row],[Origem]]</f>
        <v>Nimepu-P871H819/MG</v>
      </c>
      <c r="F2684" s="88">
        <v>47116</v>
      </c>
      <c r="G2684" s="88" t="str" cm="1">
        <f t="array" ref="G26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AND(F2684&gt;= DATE(2026,1,1), F2684&lt;= DATE(2028, 12, 31), J2684&gt;50000), "Pendente e Caro", AND(F2684&gt;= DATE(2026,1,1), F2684&lt;= DATE(2028, 12, 31), J2684&lt;=50000), "Pendente", F2684&gt;= DATE(2029,1,1), "Não prioeitário")</f>
        <v>Pendente e Caro</v>
      </c>
      <c r="H2684" s="89">
        <f>YEAR(Tabela1[[#This Row],[Data de Validade]])</f>
        <v>2028</v>
      </c>
      <c r="I2684" s="89">
        <f>MONTH(Tabela1[[#This Row],[Data de Validade]])</f>
        <v>12</v>
      </c>
      <c r="J2684" s="101">
        <v>116712</v>
      </c>
      <c r="K2684" s="87" t="s">
        <v>9</v>
      </c>
      <c r="L2684" s="108"/>
      <c r="M2684" s="108"/>
      <c r="N2684" s="108" t="str">
        <v>P152P294</v>
      </c>
      <c r="O2684" s="108">
        <f t="shared" si="43"/>
        <v>1</v>
      </c>
      <c r="P2684" s="108"/>
      <c r="Q2684"/>
    </row>
    <row r="2685" spans="1:17" x14ac:dyDescent="0.25">
      <c r="A2685" s="89" t="s">
        <v>3796</v>
      </c>
      <c r="B2685" s="87" t="s">
        <v>3797</v>
      </c>
      <c r="C2685" s="87" t="s">
        <v>6</v>
      </c>
      <c r="D2685" s="87" t="str">
        <f>VLOOKUP(Tabela1[[#This Row],[Origem]], 'Perguntas 1 a 24'!$J$28:$K$34, 2, 0)</f>
        <v>Nordeste</v>
      </c>
      <c r="E2685" s="87" t="str">
        <f>Tabela1[[#This Row],[Descrição]]&amp;"-"&amp;Tabela1[[#This Row],[Código]]&amp;"/"&amp;Tabela1[[#This Row],[Origem]]</f>
        <v>Pacute-P152P294/MA</v>
      </c>
      <c r="F2685" s="88">
        <v>47116</v>
      </c>
      <c r="G2685" s="88" t="str" cm="1">
        <f t="array" ref="G26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AND(F2685&gt;= DATE(2026,1,1), F2685&lt;= DATE(2028, 12, 31), J2685&gt;50000), "Pendente e Caro", AND(F2685&gt;= DATE(2026,1,1), F2685&lt;= DATE(2028, 12, 31), J2685&lt;=50000), "Pendente", F2685&gt;= DATE(2029,1,1), "Não prioeitário")</f>
        <v>Pendente</v>
      </c>
      <c r="H2685" s="89">
        <f>YEAR(Tabela1[[#This Row],[Data de Validade]])</f>
        <v>2028</v>
      </c>
      <c r="I2685" s="89">
        <f>MONTH(Tabela1[[#This Row],[Data de Validade]])</f>
        <v>12</v>
      </c>
      <c r="J2685" s="101">
        <v>49828</v>
      </c>
      <c r="K2685" s="87" t="s">
        <v>7</v>
      </c>
      <c r="L2685" s="108"/>
      <c r="M2685" s="108"/>
      <c r="N2685" s="108" t="str">
        <v>H876P881</v>
      </c>
      <c r="O2685" s="108">
        <f t="shared" si="43"/>
        <v>1</v>
      </c>
      <c r="P2685" s="108"/>
      <c r="Q2685"/>
    </row>
    <row r="2686" spans="1:17" x14ac:dyDescent="0.25">
      <c r="A2686" s="89" t="s">
        <v>5134</v>
      </c>
      <c r="B2686" s="87" t="s">
        <v>5135</v>
      </c>
      <c r="C2686" s="87" t="s">
        <v>15</v>
      </c>
      <c r="D2686" s="87" t="str">
        <f>VLOOKUP(Tabela1[[#This Row],[Origem]], 'Perguntas 1 a 24'!$J$28:$K$34, 2, 0)</f>
        <v>Sudeste</v>
      </c>
      <c r="E2686" s="87" t="str">
        <f>Tabela1[[#This Row],[Descrição]]&amp;"-"&amp;Tabela1[[#This Row],[Código]]&amp;"/"&amp;Tabela1[[#This Row],[Origem]]</f>
        <v>Rorute-H876P881/ES</v>
      </c>
      <c r="F2686" s="88">
        <v>47118</v>
      </c>
      <c r="G2686" s="88" t="str" cm="1">
        <f t="array" ref="G26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AND(F2686&gt;= DATE(2026,1,1), F2686&lt;= DATE(2028, 12, 31), J2686&gt;50000), "Pendente e Caro", AND(F2686&gt;= DATE(2026,1,1), F2686&lt;= DATE(2028, 12, 31), J2686&lt;=50000), "Pendente", F2686&gt;= DATE(2029,1,1), "Não prioeitário")</f>
        <v>Pendente e Caro</v>
      </c>
      <c r="H2686" s="89">
        <f>YEAR(Tabela1[[#This Row],[Data de Validade]])</f>
        <v>2028</v>
      </c>
      <c r="I2686" s="89">
        <f>MONTH(Tabela1[[#This Row],[Data de Validade]])</f>
        <v>12</v>
      </c>
      <c r="J2686" s="101">
        <v>72769</v>
      </c>
      <c r="K2686" s="87" t="s">
        <v>11</v>
      </c>
      <c r="L2686" s="108"/>
      <c r="M2686" s="108"/>
      <c r="N2686" s="108" t="str">
        <v>P823P294</v>
      </c>
      <c r="O2686" s="108">
        <f t="shared" si="43"/>
        <v>1</v>
      </c>
      <c r="P2686" s="108"/>
      <c r="Q2686"/>
    </row>
    <row r="2687" spans="1:17" x14ac:dyDescent="0.25">
      <c r="A2687" s="89" t="s">
        <v>4142</v>
      </c>
      <c r="B2687" s="87" t="s">
        <v>4143</v>
      </c>
      <c r="C2687" s="87" t="s">
        <v>6</v>
      </c>
      <c r="D2687" s="87" t="str">
        <f>VLOOKUP(Tabela1[[#This Row],[Origem]], 'Perguntas 1 a 24'!$J$28:$K$34, 2, 0)</f>
        <v>Nordeste</v>
      </c>
      <c r="E2687" s="87" t="str">
        <f>Tabela1[[#This Row],[Descrição]]&amp;"-"&amp;Tabela1[[#This Row],[Código]]&amp;"/"&amp;Tabela1[[#This Row],[Origem]]</f>
        <v>Ruputavefa-P823P294/MA</v>
      </c>
      <c r="F2687" s="88">
        <v>47118</v>
      </c>
      <c r="G2687" s="88" t="str" cm="1">
        <f t="array" ref="G26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AND(F2687&gt;= DATE(2026,1,1), F2687&lt;= DATE(2028, 12, 31), J2687&gt;50000), "Pendente e Caro", AND(F2687&gt;= DATE(2026,1,1), F2687&lt;= DATE(2028, 12, 31), J2687&lt;=50000), "Pendente", F2687&gt;= DATE(2029,1,1), "Não prioeitário")</f>
        <v>Pendente e Caro</v>
      </c>
      <c r="H2687" s="89">
        <f>YEAR(Tabela1[[#This Row],[Data de Validade]])</f>
        <v>2028</v>
      </c>
      <c r="I2687" s="89">
        <f>MONTH(Tabela1[[#This Row],[Data de Validade]])</f>
        <v>12</v>
      </c>
      <c r="J2687" s="101">
        <v>61010</v>
      </c>
      <c r="K2687" s="87" t="s">
        <v>7</v>
      </c>
      <c r="L2687" s="108"/>
      <c r="M2687" s="108"/>
      <c r="N2687" s="108" t="str">
        <v>P288H651</v>
      </c>
      <c r="O2687" s="108">
        <f t="shared" si="43"/>
        <v>1</v>
      </c>
      <c r="P2687" s="108"/>
      <c r="Q2687"/>
    </row>
    <row r="2688" spans="1:17" x14ac:dyDescent="0.25">
      <c r="A2688" s="89" t="s">
        <v>4814</v>
      </c>
      <c r="B2688" s="87" t="s">
        <v>4815</v>
      </c>
      <c r="C2688" s="87" t="s">
        <v>16</v>
      </c>
      <c r="D2688" s="87" t="str">
        <f>VLOOKUP(Tabela1[[#This Row],[Origem]], 'Perguntas 1 a 24'!$J$28:$K$34, 2, 0)</f>
        <v>Sudeste</v>
      </c>
      <c r="E2688" s="87" t="str">
        <f>Tabela1[[#This Row],[Descrição]]&amp;"-"&amp;Tabela1[[#This Row],[Código]]&amp;"/"&amp;Tabela1[[#This Row],[Origem]]</f>
        <v>Ladoganeto-P288H651/MG</v>
      </c>
      <c r="F2688" s="88">
        <v>47118</v>
      </c>
      <c r="G2688" s="88" t="str" cm="1">
        <f t="array" ref="G26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AND(F2688&gt;= DATE(2026,1,1), F2688&lt;= DATE(2028, 12, 31), J2688&gt;50000), "Pendente e Caro", AND(F2688&gt;= DATE(2026,1,1), F2688&lt;= DATE(2028, 12, 31), J2688&lt;=50000), "Pendente", F2688&gt;= DATE(2029,1,1), "Não prioeitário")</f>
        <v>Pendente e Caro</v>
      </c>
      <c r="H2688" s="89">
        <f>YEAR(Tabela1[[#This Row],[Data de Validade]])</f>
        <v>2028</v>
      </c>
      <c r="I2688" s="89">
        <f>MONTH(Tabela1[[#This Row],[Data de Validade]])</f>
        <v>12</v>
      </c>
      <c r="J2688" s="101">
        <v>51486</v>
      </c>
      <c r="K2688" s="87" t="s">
        <v>9</v>
      </c>
      <c r="L2688" s="108"/>
      <c r="M2688" s="108"/>
      <c r="N2688" s="108" t="str">
        <v>H663P962</v>
      </c>
      <c r="O2688" s="108">
        <f t="shared" si="43"/>
        <v>1</v>
      </c>
      <c r="P2688" s="108"/>
      <c r="Q2688"/>
    </row>
    <row r="2689" spans="1:17" x14ac:dyDescent="0.25">
      <c r="A2689" s="89" t="s">
        <v>11060</v>
      </c>
      <c r="B2689" s="87" t="s">
        <v>11061</v>
      </c>
      <c r="C2689" s="87" t="s">
        <v>10</v>
      </c>
      <c r="D2689" s="87" t="str">
        <f>VLOOKUP(Tabela1[[#This Row],[Origem]], 'Perguntas 1 a 24'!$J$28:$K$34, 2, 0)</f>
        <v>Centro-Oeste</v>
      </c>
      <c r="E2689" s="87" t="str">
        <f>Tabela1[[#This Row],[Descrição]]&amp;"-"&amp;Tabela1[[#This Row],[Código]]&amp;"/"&amp;Tabela1[[#This Row],[Origem]]</f>
        <v>Leceta-H663P962/GO</v>
      </c>
      <c r="F2689" s="88">
        <v>47119</v>
      </c>
      <c r="G2689" s="88" t="str" cm="1">
        <f t="array" ref="G26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AND(F2689&gt;= DATE(2026,1,1), F2689&lt;= DATE(2028, 12, 31), J2689&gt;50000), "Pendente e Caro", AND(F2689&gt;= DATE(2026,1,1), F2689&lt;= DATE(2028, 12, 31), J2689&lt;=50000), "Pendente", F2689&gt;= DATE(2029,1,1), "Não prioeitário")</f>
        <v>Não prioeitário</v>
      </c>
      <c r="H2689" s="89">
        <f>YEAR(Tabela1[[#This Row],[Data de Validade]])</f>
        <v>2029</v>
      </c>
      <c r="I2689" s="89">
        <f>MONTH(Tabela1[[#This Row],[Data de Validade]])</f>
        <v>1</v>
      </c>
      <c r="J2689" s="101">
        <v>117051</v>
      </c>
      <c r="K2689" s="87" t="s">
        <v>11</v>
      </c>
      <c r="L2689" s="108"/>
      <c r="M2689" s="108"/>
      <c r="N2689" s="108" t="str">
        <v>P938H881</v>
      </c>
      <c r="O2689" s="108">
        <f t="shared" si="43"/>
        <v>1</v>
      </c>
      <c r="P2689" s="108"/>
      <c r="Q2689"/>
    </row>
    <row r="2690" spans="1:17" x14ac:dyDescent="0.25">
      <c r="A2690" s="89" t="s">
        <v>7846</v>
      </c>
      <c r="B2690" s="87" t="s">
        <v>7847</v>
      </c>
      <c r="C2690" s="87" t="s">
        <v>13</v>
      </c>
      <c r="D2690" s="87" t="str">
        <f>VLOOKUP(Tabela1[[#This Row],[Origem]], 'Perguntas 1 a 24'!$J$28:$K$34, 2, 0)</f>
        <v>Sudeste</v>
      </c>
      <c r="E2690" s="87" t="str">
        <f>Tabela1[[#This Row],[Descrição]]&amp;"-"&amp;Tabela1[[#This Row],[Código]]&amp;"/"&amp;Tabela1[[#This Row],[Origem]]</f>
        <v>Ponute-P938H881/SP</v>
      </c>
      <c r="F2690" s="88">
        <v>47119</v>
      </c>
      <c r="G2690" s="88" t="str" cm="1">
        <f t="array" ref="G26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AND(F2690&gt;= DATE(2026,1,1), F2690&lt;= DATE(2028, 12, 31), J2690&gt;50000), "Pendente e Caro", AND(F2690&gt;= DATE(2026,1,1), F2690&lt;= DATE(2028, 12, 31), J2690&lt;=50000), "Pendente", F2690&gt;= DATE(2029,1,1), "Não prioeitário")</f>
        <v>Não prioeitário</v>
      </c>
      <c r="H2690" s="89">
        <f>YEAR(Tabela1[[#This Row],[Data de Validade]])</f>
        <v>2029</v>
      </c>
      <c r="I2690" s="89">
        <f>MONTH(Tabela1[[#This Row],[Data de Validade]])</f>
        <v>1</v>
      </c>
      <c r="J2690" s="101">
        <v>74451</v>
      </c>
      <c r="K2690" s="87" t="s">
        <v>11</v>
      </c>
      <c r="L2690" s="108"/>
      <c r="M2690" s="108"/>
      <c r="N2690" s="108" t="str">
        <v>P676H938</v>
      </c>
      <c r="O2690" s="108">
        <f t="shared" si="43"/>
        <v>1</v>
      </c>
      <c r="P2690" s="108"/>
      <c r="Q2690"/>
    </row>
    <row r="2691" spans="1:17" x14ac:dyDescent="0.25">
      <c r="A2691" s="89" t="s">
        <v>7986</v>
      </c>
      <c r="B2691" s="87" t="s">
        <v>7987</v>
      </c>
      <c r="C2691" s="87" t="s">
        <v>8</v>
      </c>
      <c r="D2691" s="87" t="str">
        <f>VLOOKUP(Tabela1[[#This Row],[Origem]], 'Perguntas 1 a 24'!$J$28:$K$34, 2, 0)</f>
        <v>Nordeste</v>
      </c>
      <c r="E2691" s="87" t="str">
        <f>Tabela1[[#This Row],[Descrição]]&amp;"-"&amp;Tabela1[[#This Row],[Código]]&amp;"/"&amp;Tabela1[[#This Row],[Origem]]</f>
        <v>Rigaromipo-P676H938/AL</v>
      </c>
      <c r="F2691" s="88">
        <v>47120</v>
      </c>
      <c r="G2691" s="88" t="str" cm="1">
        <f t="array" ref="G26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AND(F2691&gt;= DATE(2026,1,1), F2691&lt;= DATE(2028, 12, 31), J2691&gt;50000), "Pendente e Caro", AND(F2691&gt;= DATE(2026,1,1), F2691&lt;= DATE(2028, 12, 31), J2691&lt;=50000), "Pendente", F2691&gt;= DATE(2029,1,1), "Não prioeitário")</f>
        <v>Não prioeitário</v>
      </c>
      <c r="H2691" s="89">
        <f>YEAR(Tabela1[[#This Row],[Data de Validade]])</f>
        <v>2029</v>
      </c>
      <c r="I2691" s="89">
        <f>MONTH(Tabela1[[#This Row],[Data de Validade]])</f>
        <v>1</v>
      </c>
      <c r="J2691" s="101">
        <v>112168</v>
      </c>
      <c r="K2691" s="87" t="s">
        <v>14</v>
      </c>
      <c r="L2691" s="108"/>
      <c r="M2691" s="108"/>
      <c r="N2691" s="108" t="str">
        <v>H917P679</v>
      </c>
      <c r="O2691" s="108">
        <f t="shared" ref="O2691:O2754" si="44">COUNTIFS(B:B,N2691)</f>
        <v>1</v>
      </c>
      <c r="P2691" s="108"/>
      <c r="Q2691"/>
    </row>
    <row r="2692" spans="1:17" x14ac:dyDescent="0.25">
      <c r="A2692" s="89" t="s">
        <v>8719</v>
      </c>
      <c r="B2692" s="87" t="s">
        <v>8720</v>
      </c>
      <c r="C2692" s="87" t="s">
        <v>6</v>
      </c>
      <c r="D2692" s="87" t="str">
        <f>VLOOKUP(Tabela1[[#This Row],[Origem]], 'Perguntas 1 a 24'!$J$28:$K$34, 2, 0)</f>
        <v>Nordeste</v>
      </c>
      <c r="E2692" s="87" t="str">
        <f>Tabela1[[#This Row],[Descrição]]&amp;"-"&amp;Tabela1[[#This Row],[Código]]&amp;"/"&amp;Tabela1[[#This Row],[Origem]]</f>
        <v>Tecatavave-H917P679/MA</v>
      </c>
      <c r="F2692" s="88">
        <v>47120</v>
      </c>
      <c r="G2692" s="88" t="str" cm="1">
        <f t="array" ref="G26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AND(F2692&gt;= DATE(2026,1,1), F2692&lt;= DATE(2028, 12, 31), J2692&gt;50000), "Pendente e Caro", AND(F2692&gt;= DATE(2026,1,1), F2692&lt;= DATE(2028, 12, 31), J2692&lt;=50000), "Pendente", F2692&gt;= DATE(2029,1,1), "Não prioeitário")</f>
        <v>Não prioeitário</v>
      </c>
      <c r="H2692" s="89">
        <f>YEAR(Tabela1[[#This Row],[Data de Validade]])</f>
        <v>2029</v>
      </c>
      <c r="I2692" s="89">
        <f>MONTH(Tabela1[[#This Row],[Data de Validade]])</f>
        <v>1</v>
      </c>
      <c r="J2692" s="101">
        <v>90887</v>
      </c>
      <c r="K2692" s="87" t="s">
        <v>11</v>
      </c>
      <c r="L2692" s="108"/>
      <c r="M2692" s="108"/>
      <c r="N2692" s="108" t="str">
        <v>P883P412</v>
      </c>
      <c r="O2692" s="108">
        <f t="shared" si="44"/>
        <v>1</v>
      </c>
      <c r="P2692" s="108"/>
      <c r="Q2692"/>
    </row>
    <row r="2693" spans="1:17" x14ac:dyDescent="0.25">
      <c r="A2693" s="89" t="s">
        <v>9713</v>
      </c>
      <c r="B2693" s="87" t="s">
        <v>9714</v>
      </c>
      <c r="C2693" s="87" t="s">
        <v>10</v>
      </c>
      <c r="D2693" s="87" t="str">
        <f>VLOOKUP(Tabela1[[#This Row],[Origem]], 'Perguntas 1 a 24'!$J$28:$K$34, 2, 0)</f>
        <v>Centro-Oeste</v>
      </c>
      <c r="E2693" s="87" t="str">
        <f>Tabela1[[#This Row],[Descrição]]&amp;"-"&amp;Tabela1[[#This Row],[Código]]&amp;"/"&amp;Tabela1[[#This Row],[Origem]]</f>
        <v>Putucafaru-P883P412/GO</v>
      </c>
      <c r="F2693" s="88">
        <v>47120</v>
      </c>
      <c r="G2693" s="88" t="str" cm="1">
        <f t="array" ref="G26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AND(F2693&gt;= DATE(2026,1,1), F2693&lt;= DATE(2028, 12, 31), J2693&gt;50000), "Pendente e Caro", AND(F2693&gt;= DATE(2026,1,1), F2693&lt;= DATE(2028, 12, 31), J2693&lt;=50000), "Pendente", F2693&gt;= DATE(2029,1,1), "Não prioeitário")</f>
        <v>Não prioeitário</v>
      </c>
      <c r="H2693" s="89">
        <f>YEAR(Tabela1[[#This Row],[Data de Validade]])</f>
        <v>2029</v>
      </c>
      <c r="I2693" s="89">
        <f>MONTH(Tabela1[[#This Row],[Data de Validade]])</f>
        <v>1</v>
      </c>
      <c r="J2693" s="101">
        <v>60645</v>
      </c>
      <c r="K2693" s="87" t="s">
        <v>14</v>
      </c>
      <c r="L2693" s="108"/>
      <c r="M2693" s="108"/>
      <c r="N2693" s="108" t="str">
        <v>H266H736</v>
      </c>
      <c r="O2693" s="108">
        <f t="shared" si="44"/>
        <v>1</v>
      </c>
      <c r="P2693" s="108"/>
      <c r="Q2693"/>
    </row>
    <row r="2694" spans="1:17" x14ac:dyDescent="0.25">
      <c r="A2694" s="89" t="s">
        <v>6824</v>
      </c>
      <c r="B2694" s="87" t="s">
        <v>6825</v>
      </c>
      <c r="C2694" s="87" t="s">
        <v>10</v>
      </c>
      <c r="D2694" s="87" t="str">
        <f>VLOOKUP(Tabela1[[#This Row],[Origem]], 'Perguntas 1 a 24'!$J$28:$K$34, 2, 0)</f>
        <v>Centro-Oeste</v>
      </c>
      <c r="E2694" s="87" t="str">
        <f>Tabela1[[#This Row],[Descrição]]&amp;"-"&amp;Tabela1[[#This Row],[Código]]&amp;"/"&amp;Tabela1[[#This Row],[Origem]]</f>
        <v>Tulaperigu-H266H736/GO</v>
      </c>
      <c r="F2694" s="88">
        <v>47121</v>
      </c>
      <c r="G2694" s="88" t="str" cm="1">
        <f t="array" ref="G26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AND(F2694&gt;= DATE(2026,1,1), F2694&lt;= DATE(2028, 12, 31), J2694&gt;50000), "Pendente e Caro", AND(F2694&gt;= DATE(2026,1,1), F2694&lt;= DATE(2028, 12, 31), J2694&lt;=50000), "Pendente", F2694&gt;= DATE(2029,1,1), "Não prioeitário")</f>
        <v>Não prioeitário</v>
      </c>
      <c r="H2694" s="89">
        <f>YEAR(Tabela1[[#This Row],[Data de Validade]])</f>
        <v>2029</v>
      </c>
      <c r="I2694" s="89">
        <f>MONTH(Tabela1[[#This Row],[Data de Validade]])</f>
        <v>1</v>
      </c>
      <c r="J2694" s="101">
        <v>42463</v>
      </c>
      <c r="K2694" s="87" t="s">
        <v>11</v>
      </c>
      <c r="L2694" s="108"/>
      <c r="M2694" s="108"/>
      <c r="N2694" s="108" t="str">
        <v>H719P221</v>
      </c>
      <c r="O2694" s="108">
        <f t="shared" si="44"/>
        <v>1</v>
      </c>
      <c r="P2694" s="108"/>
      <c r="Q2694"/>
    </row>
    <row r="2695" spans="1:17" x14ac:dyDescent="0.25">
      <c r="A2695" s="89" t="s">
        <v>7602</v>
      </c>
      <c r="B2695" s="87" t="s">
        <v>7603</v>
      </c>
      <c r="C2695" s="87" t="s">
        <v>8</v>
      </c>
      <c r="D2695" s="87" t="str">
        <f>VLOOKUP(Tabela1[[#This Row],[Origem]], 'Perguntas 1 a 24'!$J$28:$K$34, 2, 0)</f>
        <v>Nordeste</v>
      </c>
      <c r="E2695" s="87" t="str">
        <f>Tabela1[[#This Row],[Descrição]]&amp;"-"&amp;Tabela1[[#This Row],[Código]]&amp;"/"&amp;Tabela1[[#This Row],[Origem]]</f>
        <v>Lugota-H719P221/AL</v>
      </c>
      <c r="F2695" s="88">
        <v>47121</v>
      </c>
      <c r="G2695" s="88" t="str" cm="1">
        <f t="array" ref="G26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AND(F2695&gt;= DATE(2026,1,1), F2695&lt;= DATE(2028, 12, 31), J2695&gt;50000), "Pendente e Caro", AND(F2695&gt;= DATE(2026,1,1), F2695&lt;= DATE(2028, 12, 31), J2695&lt;=50000), "Pendente", F2695&gt;= DATE(2029,1,1), "Não prioeitário")</f>
        <v>Não prioeitário</v>
      </c>
      <c r="H2695" s="89">
        <f>YEAR(Tabela1[[#This Row],[Data de Validade]])</f>
        <v>2029</v>
      </c>
      <c r="I2695" s="89">
        <f>MONTH(Tabela1[[#This Row],[Data de Validade]])</f>
        <v>1</v>
      </c>
      <c r="J2695" s="101">
        <v>38852</v>
      </c>
      <c r="K2695" s="87" t="s">
        <v>7</v>
      </c>
      <c r="L2695" s="108"/>
      <c r="M2695" s="108"/>
      <c r="N2695" s="108" t="str">
        <v>P496P617</v>
      </c>
      <c r="O2695" s="108">
        <f t="shared" si="44"/>
        <v>1</v>
      </c>
      <c r="P2695" s="108"/>
      <c r="Q2695"/>
    </row>
    <row r="2696" spans="1:17" x14ac:dyDescent="0.25">
      <c r="A2696" s="89" t="s">
        <v>10849</v>
      </c>
      <c r="B2696" s="87" t="s">
        <v>10850</v>
      </c>
      <c r="C2696" s="87" t="s">
        <v>12</v>
      </c>
      <c r="D2696" s="87" t="str">
        <f>VLOOKUP(Tabela1[[#This Row],[Origem]], 'Perguntas 1 a 24'!$J$28:$K$34, 2, 0)</f>
        <v>Sudeste</v>
      </c>
      <c r="E2696" s="87" t="str">
        <f>Tabela1[[#This Row],[Descrição]]&amp;"-"&amp;Tabela1[[#This Row],[Código]]&amp;"/"&amp;Tabela1[[#This Row],[Origem]]</f>
        <v>Rovamuto-P496P617/RJ</v>
      </c>
      <c r="F2696" s="88">
        <v>47121</v>
      </c>
      <c r="G2696" s="88" t="str" cm="1">
        <f t="array" ref="G26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AND(F2696&gt;= DATE(2026,1,1), F2696&lt;= DATE(2028, 12, 31), J2696&gt;50000), "Pendente e Caro", AND(F2696&gt;= DATE(2026,1,1), F2696&lt;= DATE(2028, 12, 31), J2696&lt;=50000), "Pendente", F2696&gt;= DATE(2029,1,1), "Não prioeitário")</f>
        <v>Não prioeitário</v>
      </c>
      <c r="H2696" s="89">
        <f>YEAR(Tabela1[[#This Row],[Data de Validade]])</f>
        <v>2029</v>
      </c>
      <c r="I2696" s="89">
        <f>MONTH(Tabela1[[#This Row],[Data de Validade]])</f>
        <v>1</v>
      </c>
      <c r="J2696" s="101">
        <v>24123</v>
      </c>
      <c r="K2696" s="87" t="s">
        <v>7</v>
      </c>
      <c r="L2696" s="108"/>
      <c r="M2696" s="108"/>
      <c r="N2696" s="108" t="str">
        <v>P531P826</v>
      </c>
      <c r="O2696" s="108">
        <f t="shared" si="44"/>
        <v>1</v>
      </c>
      <c r="P2696" s="108"/>
      <c r="Q2696"/>
    </row>
    <row r="2697" spans="1:17" x14ac:dyDescent="0.25">
      <c r="A2697" s="89" t="s">
        <v>6976</v>
      </c>
      <c r="B2697" s="87" t="s">
        <v>6977</v>
      </c>
      <c r="C2697" s="87" t="s">
        <v>13</v>
      </c>
      <c r="D2697" s="87" t="str">
        <f>VLOOKUP(Tabela1[[#This Row],[Origem]], 'Perguntas 1 a 24'!$J$28:$K$34, 2, 0)</f>
        <v>Sudeste</v>
      </c>
      <c r="E2697" s="87" t="str">
        <f>Tabela1[[#This Row],[Descrição]]&amp;"-"&amp;Tabela1[[#This Row],[Código]]&amp;"/"&amp;Tabela1[[#This Row],[Origem]]</f>
        <v>Gugipola-P531P826/SP</v>
      </c>
      <c r="F2697" s="88">
        <v>47122</v>
      </c>
      <c r="G2697" s="88" t="str" cm="1">
        <f t="array" ref="G26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AND(F2697&gt;= DATE(2026,1,1), F2697&lt;= DATE(2028, 12, 31), J2697&gt;50000), "Pendente e Caro", AND(F2697&gt;= DATE(2026,1,1), F2697&lt;= DATE(2028, 12, 31), J2697&lt;=50000), "Pendente", F2697&gt;= DATE(2029,1,1), "Não prioeitário")</f>
        <v>Não prioeitário</v>
      </c>
      <c r="H2697" s="89">
        <f>YEAR(Tabela1[[#This Row],[Data de Validade]])</f>
        <v>2029</v>
      </c>
      <c r="I2697" s="89">
        <f>MONTH(Tabela1[[#This Row],[Data de Validade]])</f>
        <v>1</v>
      </c>
      <c r="J2697" s="101">
        <v>90913</v>
      </c>
      <c r="K2697" s="87" t="s">
        <v>14</v>
      </c>
      <c r="L2697" s="108"/>
      <c r="M2697" s="108"/>
      <c r="N2697" s="108" t="str">
        <v>H866H567</v>
      </c>
      <c r="O2697" s="108">
        <f t="shared" si="44"/>
        <v>1</v>
      </c>
      <c r="P2697" s="108"/>
      <c r="Q2697"/>
    </row>
    <row r="2698" spans="1:17" x14ac:dyDescent="0.25">
      <c r="A2698" s="89" t="s">
        <v>10051</v>
      </c>
      <c r="B2698" s="87" t="s">
        <v>10052</v>
      </c>
      <c r="C2698" s="87" t="s">
        <v>15</v>
      </c>
      <c r="D2698" s="87" t="str">
        <f>VLOOKUP(Tabela1[[#This Row],[Origem]], 'Perguntas 1 a 24'!$J$28:$K$34, 2, 0)</f>
        <v>Sudeste</v>
      </c>
      <c r="E2698" s="87" t="str">
        <f>Tabela1[[#This Row],[Descrição]]&amp;"-"&amp;Tabela1[[#This Row],[Código]]&amp;"/"&amp;Tabela1[[#This Row],[Origem]]</f>
        <v>Tepumi-H866H567/ES</v>
      </c>
      <c r="F2698" s="88">
        <v>47122</v>
      </c>
      <c r="G2698" s="88" t="str" cm="1">
        <f t="array" ref="G26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AND(F2698&gt;= DATE(2026,1,1), F2698&lt;= DATE(2028, 12, 31), J2698&gt;50000), "Pendente e Caro", AND(F2698&gt;= DATE(2026,1,1), F2698&lt;= DATE(2028, 12, 31), J2698&lt;=50000), "Pendente", F2698&gt;= DATE(2029,1,1), "Não prioeitário")</f>
        <v>Não prioeitário</v>
      </c>
      <c r="H2698" s="89">
        <f>YEAR(Tabela1[[#This Row],[Data de Validade]])</f>
        <v>2029</v>
      </c>
      <c r="I2698" s="89">
        <f>MONTH(Tabela1[[#This Row],[Data de Validade]])</f>
        <v>1</v>
      </c>
      <c r="J2698" s="101">
        <v>80573</v>
      </c>
      <c r="K2698" s="87" t="s">
        <v>9</v>
      </c>
      <c r="L2698" s="108"/>
      <c r="M2698" s="108"/>
      <c r="N2698" s="108" t="str">
        <v>H788P955</v>
      </c>
      <c r="O2698" s="108">
        <f t="shared" si="44"/>
        <v>1</v>
      </c>
      <c r="P2698" s="108"/>
      <c r="Q2698"/>
    </row>
    <row r="2699" spans="1:17" x14ac:dyDescent="0.25">
      <c r="A2699" s="89" t="s">
        <v>8739</v>
      </c>
      <c r="B2699" s="87" t="s">
        <v>8740</v>
      </c>
      <c r="C2699" s="87" t="s">
        <v>12</v>
      </c>
      <c r="D2699" s="87" t="str">
        <f>VLOOKUP(Tabela1[[#This Row],[Origem]], 'Perguntas 1 a 24'!$J$28:$K$34, 2, 0)</f>
        <v>Sudeste</v>
      </c>
      <c r="E2699" s="87" t="str">
        <f>Tabela1[[#This Row],[Descrição]]&amp;"-"&amp;Tabela1[[#This Row],[Código]]&amp;"/"&amp;Tabela1[[#This Row],[Origem]]</f>
        <v>Tenoca-H788P955/RJ</v>
      </c>
      <c r="F2699" s="88">
        <v>47122</v>
      </c>
      <c r="G2699" s="88" t="str" cm="1">
        <f t="array" ref="G26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AND(F2699&gt;= DATE(2026,1,1), F2699&lt;= DATE(2028, 12, 31), J2699&gt;50000), "Pendente e Caro", AND(F2699&gt;= DATE(2026,1,1), F2699&lt;= DATE(2028, 12, 31), J2699&lt;=50000), "Pendente", F2699&gt;= DATE(2029,1,1), "Não prioeitário")</f>
        <v>Não prioeitário</v>
      </c>
      <c r="H2699" s="89">
        <f>YEAR(Tabela1[[#This Row],[Data de Validade]])</f>
        <v>2029</v>
      </c>
      <c r="I2699" s="89">
        <f>MONTH(Tabela1[[#This Row],[Data de Validade]])</f>
        <v>1</v>
      </c>
      <c r="J2699" s="101">
        <v>41518</v>
      </c>
      <c r="K2699" s="87" t="s">
        <v>9</v>
      </c>
      <c r="L2699" s="108"/>
      <c r="M2699" s="108"/>
      <c r="N2699" s="108" t="str">
        <v>P914P585</v>
      </c>
      <c r="O2699" s="108">
        <f t="shared" si="44"/>
        <v>1</v>
      </c>
      <c r="P2699" s="108"/>
      <c r="Q2699"/>
    </row>
    <row r="2700" spans="1:17" x14ac:dyDescent="0.25">
      <c r="A2700" s="89" t="s">
        <v>10903</v>
      </c>
      <c r="B2700" s="87" t="s">
        <v>10904</v>
      </c>
      <c r="C2700" s="87" t="s">
        <v>8</v>
      </c>
      <c r="D2700" s="87" t="str">
        <f>VLOOKUP(Tabela1[[#This Row],[Origem]], 'Perguntas 1 a 24'!$J$28:$K$34, 2, 0)</f>
        <v>Nordeste</v>
      </c>
      <c r="E2700" s="87" t="str">
        <f>Tabela1[[#This Row],[Descrição]]&amp;"-"&amp;Tabela1[[#This Row],[Código]]&amp;"/"&amp;Tabela1[[#This Row],[Origem]]</f>
        <v>Cefuci-P914P585/AL</v>
      </c>
      <c r="F2700" s="88">
        <v>47122</v>
      </c>
      <c r="G2700" s="88" t="str" cm="1">
        <f t="array" ref="G27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AND(F2700&gt;= DATE(2026,1,1), F2700&lt;= DATE(2028, 12, 31), J2700&gt;50000), "Pendente e Caro", AND(F2700&gt;= DATE(2026,1,1), F2700&lt;= DATE(2028, 12, 31), J2700&lt;=50000), "Pendente", F2700&gt;= DATE(2029,1,1), "Não prioeitário")</f>
        <v>Não prioeitário</v>
      </c>
      <c r="H2700" s="89">
        <f>YEAR(Tabela1[[#This Row],[Data de Validade]])</f>
        <v>2029</v>
      </c>
      <c r="I2700" s="89">
        <f>MONTH(Tabela1[[#This Row],[Data de Validade]])</f>
        <v>1</v>
      </c>
      <c r="J2700" s="101">
        <v>34180</v>
      </c>
      <c r="K2700" s="87" t="s">
        <v>9</v>
      </c>
      <c r="L2700" s="108"/>
      <c r="M2700" s="108"/>
      <c r="N2700" s="108" t="str">
        <v>P565P443</v>
      </c>
      <c r="O2700" s="108">
        <f t="shared" si="44"/>
        <v>1</v>
      </c>
      <c r="P2700" s="108"/>
      <c r="Q2700"/>
    </row>
    <row r="2701" spans="1:17" x14ac:dyDescent="0.25">
      <c r="A2701" s="89" t="s">
        <v>5530</v>
      </c>
      <c r="B2701" s="87" t="s">
        <v>5531</v>
      </c>
      <c r="C2701" s="87" t="s">
        <v>12</v>
      </c>
      <c r="D2701" s="87" t="str">
        <f>VLOOKUP(Tabela1[[#This Row],[Origem]], 'Perguntas 1 a 24'!$J$28:$K$34, 2, 0)</f>
        <v>Sudeste</v>
      </c>
      <c r="E2701" s="87" t="str">
        <f>Tabela1[[#This Row],[Descrição]]&amp;"-"&amp;Tabela1[[#This Row],[Código]]&amp;"/"&amp;Tabela1[[#This Row],[Origem]]</f>
        <v>Tetopatotu-P565P443/RJ</v>
      </c>
      <c r="F2701" s="88">
        <v>47123</v>
      </c>
      <c r="G2701" s="88" t="str" cm="1">
        <f t="array" ref="G27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AND(F2701&gt;= DATE(2026,1,1), F2701&lt;= DATE(2028, 12, 31), J2701&gt;50000), "Pendente e Caro", AND(F2701&gt;= DATE(2026,1,1), F2701&lt;= DATE(2028, 12, 31), J2701&lt;=50000), "Pendente", F2701&gt;= DATE(2029,1,1), "Não prioeitário")</f>
        <v>Não prioeitário</v>
      </c>
      <c r="H2701" s="89">
        <f>YEAR(Tabela1[[#This Row],[Data de Validade]])</f>
        <v>2029</v>
      </c>
      <c r="I2701" s="89">
        <f>MONTH(Tabela1[[#This Row],[Data de Validade]])</f>
        <v>1</v>
      </c>
      <c r="J2701" s="101">
        <v>79286</v>
      </c>
      <c r="K2701" s="87" t="s">
        <v>9</v>
      </c>
      <c r="L2701" s="108"/>
      <c r="M2701" s="108"/>
      <c r="N2701" s="108" t="str">
        <v>H269H697</v>
      </c>
      <c r="O2701" s="108">
        <f t="shared" si="44"/>
        <v>1</v>
      </c>
      <c r="P2701" s="108"/>
      <c r="Q2701"/>
    </row>
    <row r="2702" spans="1:17" x14ac:dyDescent="0.25">
      <c r="A2702" s="89" t="s">
        <v>8160</v>
      </c>
      <c r="B2702" s="87" t="s">
        <v>8161</v>
      </c>
      <c r="C2702" s="87" t="s">
        <v>16</v>
      </c>
      <c r="D2702" s="87" t="str">
        <f>VLOOKUP(Tabela1[[#This Row],[Origem]], 'Perguntas 1 a 24'!$J$28:$K$34, 2, 0)</f>
        <v>Sudeste</v>
      </c>
      <c r="E2702" s="87" t="str">
        <f>Tabela1[[#This Row],[Descrição]]&amp;"-"&amp;Tabela1[[#This Row],[Código]]&amp;"/"&amp;Tabela1[[#This Row],[Origem]]</f>
        <v>Lopicodi-H269H697/MG</v>
      </c>
      <c r="F2702" s="88">
        <v>47123</v>
      </c>
      <c r="G2702" s="88" t="str" cm="1">
        <f t="array" ref="G27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AND(F2702&gt;= DATE(2026,1,1), F2702&lt;= DATE(2028, 12, 31), J2702&gt;50000), "Pendente e Caro", AND(F2702&gt;= DATE(2026,1,1), F2702&lt;= DATE(2028, 12, 31), J2702&lt;=50000), "Pendente", F2702&gt;= DATE(2029,1,1), "Não prioeitário")</f>
        <v>Não prioeitário</v>
      </c>
      <c r="H2702" s="89">
        <f>YEAR(Tabela1[[#This Row],[Data de Validade]])</f>
        <v>2029</v>
      </c>
      <c r="I2702" s="89">
        <f>MONTH(Tabela1[[#This Row],[Data de Validade]])</f>
        <v>1</v>
      </c>
      <c r="J2702" s="101">
        <v>48845</v>
      </c>
      <c r="K2702" s="87" t="s">
        <v>11</v>
      </c>
      <c r="L2702" s="108"/>
      <c r="M2702" s="108"/>
      <c r="N2702" s="108" t="str">
        <v>H139P161</v>
      </c>
      <c r="O2702" s="108">
        <f t="shared" si="44"/>
        <v>1</v>
      </c>
      <c r="P2702" s="108"/>
      <c r="Q2702"/>
    </row>
    <row r="2703" spans="1:17" x14ac:dyDescent="0.25">
      <c r="A2703" s="89" t="s">
        <v>10927</v>
      </c>
      <c r="B2703" s="87" t="s">
        <v>10928</v>
      </c>
      <c r="C2703" s="87" t="s">
        <v>10</v>
      </c>
      <c r="D2703" s="87" t="str">
        <f>VLOOKUP(Tabela1[[#This Row],[Origem]], 'Perguntas 1 a 24'!$J$28:$K$34, 2, 0)</f>
        <v>Centro-Oeste</v>
      </c>
      <c r="E2703" s="87" t="str">
        <f>Tabela1[[#This Row],[Descrição]]&amp;"-"&amp;Tabela1[[#This Row],[Código]]&amp;"/"&amp;Tabela1[[#This Row],[Origem]]</f>
        <v>Loteto-H139P161/GO</v>
      </c>
      <c r="F2703" s="88">
        <v>47124</v>
      </c>
      <c r="G2703" s="88" t="str" cm="1">
        <f t="array" ref="G27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AND(F2703&gt;= DATE(2026,1,1), F2703&lt;= DATE(2028, 12, 31), J2703&gt;50000), "Pendente e Caro", AND(F2703&gt;= DATE(2026,1,1), F2703&lt;= DATE(2028, 12, 31), J2703&lt;=50000), "Pendente", F2703&gt;= DATE(2029,1,1), "Não prioeitário")</f>
        <v>Não prioeitário</v>
      </c>
      <c r="H2703" s="89">
        <f>YEAR(Tabela1[[#This Row],[Data de Validade]])</f>
        <v>2029</v>
      </c>
      <c r="I2703" s="89">
        <f>MONTH(Tabela1[[#This Row],[Data de Validade]])</f>
        <v>1</v>
      </c>
      <c r="J2703" s="101">
        <v>92564</v>
      </c>
      <c r="K2703" s="87" t="s">
        <v>11</v>
      </c>
      <c r="L2703" s="108"/>
      <c r="M2703" s="108"/>
      <c r="N2703" s="108" t="str">
        <v>P777H474</v>
      </c>
      <c r="O2703" s="108">
        <f t="shared" si="44"/>
        <v>1</v>
      </c>
      <c r="P2703" s="108"/>
      <c r="Q2703"/>
    </row>
    <row r="2704" spans="1:17" x14ac:dyDescent="0.25">
      <c r="A2704" s="89" t="s">
        <v>5710</v>
      </c>
      <c r="B2704" s="87" t="s">
        <v>5711</v>
      </c>
      <c r="C2704" s="87" t="s">
        <v>13</v>
      </c>
      <c r="D2704" s="87" t="str">
        <f>VLOOKUP(Tabela1[[#This Row],[Origem]], 'Perguntas 1 a 24'!$J$28:$K$34, 2, 0)</f>
        <v>Sudeste</v>
      </c>
      <c r="E2704" s="87" t="str">
        <f>Tabela1[[#This Row],[Descrição]]&amp;"-"&amp;Tabela1[[#This Row],[Código]]&amp;"/"&amp;Tabela1[[#This Row],[Origem]]</f>
        <v>Tocetanane-P777H474/SP</v>
      </c>
      <c r="F2704" s="88">
        <v>47124</v>
      </c>
      <c r="G2704" s="88" t="str" cm="1">
        <f t="array" ref="G27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AND(F2704&gt;= DATE(2026,1,1), F2704&lt;= DATE(2028, 12, 31), J2704&gt;50000), "Pendente e Caro", AND(F2704&gt;= DATE(2026,1,1), F2704&lt;= DATE(2028, 12, 31), J2704&lt;=50000), "Pendente", F2704&gt;= DATE(2029,1,1), "Não prioeitário")</f>
        <v>Não prioeitário</v>
      </c>
      <c r="H2704" s="89">
        <f>YEAR(Tabela1[[#This Row],[Data de Validade]])</f>
        <v>2029</v>
      </c>
      <c r="I2704" s="89">
        <f>MONTH(Tabela1[[#This Row],[Data de Validade]])</f>
        <v>1</v>
      </c>
      <c r="J2704" s="101">
        <v>88153</v>
      </c>
      <c r="K2704" s="87" t="s">
        <v>9</v>
      </c>
      <c r="L2704" s="108"/>
      <c r="M2704" s="108"/>
      <c r="N2704" s="108" t="str">
        <v>P893P114</v>
      </c>
      <c r="O2704" s="108">
        <f t="shared" si="44"/>
        <v>1</v>
      </c>
      <c r="P2704" s="108"/>
      <c r="Q2704"/>
    </row>
    <row r="2705" spans="1:17" x14ac:dyDescent="0.25">
      <c r="A2705" s="89" t="s">
        <v>6310</v>
      </c>
      <c r="B2705" s="87" t="s">
        <v>6311</v>
      </c>
      <c r="C2705" s="87" t="s">
        <v>16</v>
      </c>
      <c r="D2705" s="87" t="str">
        <f>VLOOKUP(Tabela1[[#This Row],[Origem]], 'Perguntas 1 a 24'!$J$28:$K$34, 2, 0)</f>
        <v>Sudeste</v>
      </c>
      <c r="E2705" s="87" t="str">
        <f>Tabela1[[#This Row],[Descrição]]&amp;"-"&amp;Tabela1[[#This Row],[Código]]&amp;"/"&amp;Tabela1[[#This Row],[Origem]]</f>
        <v>Porele-P893P114/MG</v>
      </c>
      <c r="F2705" s="88">
        <v>47124</v>
      </c>
      <c r="G2705" s="88" t="str" cm="1">
        <f t="array" ref="G27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AND(F2705&gt;= DATE(2026,1,1), F2705&lt;= DATE(2028, 12, 31), J2705&gt;50000), "Pendente e Caro", AND(F2705&gt;= DATE(2026,1,1), F2705&lt;= DATE(2028, 12, 31), J2705&lt;=50000), "Pendente", F2705&gt;= DATE(2029,1,1), "Não prioeitário")</f>
        <v>Não prioeitário</v>
      </c>
      <c r="H2705" s="89">
        <f>YEAR(Tabela1[[#This Row],[Data de Validade]])</f>
        <v>2029</v>
      </c>
      <c r="I2705" s="89">
        <f>MONTH(Tabela1[[#This Row],[Data de Validade]])</f>
        <v>1</v>
      </c>
      <c r="J2705" s="101">
        <v>60555</v>
      </c>
      <c r="K2705" s="87" t="s">
        <v>11</v>
      </c>
      <c r="L2705" s="108"/>
      <c r="M2705" s="108"/>
      <c r="N2705" s="108" t="str">
        <v>H916H348</v>
      </c>
      <c r="O2705" s="108">
        <f t="shared" si="44"/>
        <v>1</v>
      </c>
      <c r="P2705" s="108"/>
      <c r="Q2705"/>
    </row>
    <row r="2706" spans="1:17" x14ac:dyDescent="0.25">
      <c r="A2706" s="89" t="s">
        <v>9583</v>
      </c>
      <c r="B2706" s="87" t="s">
        <v>9584</v>
      </c>
      <c r="C2706" s="87" t="s">
        <v>8</v>
      </c>
      <c r="D2706" s="87" t="str">
        <f>VLOOKUP(Tabela1[[#This Row],[Origem]], 'Perguntas 1 a 24'!$J$28:$K$34, 2, 0)</f>
        <v>Nordeste</v>
      </c>
      <c r="E2706" s="87" t="str">
        <f>Tabela1[[#This Row],[Descrição]]&amp;"-"&amp;Tabela1[[#This Row],[Código]]&amp;"/"&amp;Tabela1[[#This Row],[Origem]]</f>
        <v>Rimotori-H916H348/AL</v>
      </c>
      <c r="F2706" s="88">
        <v>47124</v>
      </c>
      <c r="G2706" s="88" t="str" cm="1">
        <f t="array" ref="G27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AND(F2706&gt;= DATE(2026,1,1), F2706&lt;= DATE(2028, 12, 31), J2706&gt;50000), "Pendente e Caro", AND(F2706&gt;= DATE(2026,1,1), F2706&lt;= DATE(2028, 12, 31), J2706&lt;=50000), "Pendente", F2706&gt;= DATE(2029,1,1), "Não prioeitário")</f>
        <v>Não prioeitário</v>
      </c>
      <c r="H2706" s="89">
        <f>YEAR(Tabela1[[#This Row],[Data de Validade]])</f>
        <v>2029</v>
      </c>
      <c r="I2706" s="89">
        <f>MONTH(Tabela1[[#This Row],[Data de Validade]])</f>
        <v>1</v>
      </c>
      <c r="J2706" s="101">
        <v>56646</v>
      </c>
      <c r="K2706" s="87" t="s">
        <v>11</v>
      </c>
      <c r="L2706" s="108"/>
      <c r="M2706" s="108"/>
      <c r="N2706" s="108" t="str">
        <v>H869P952</v>
      </c>
      <c r="O2706" s="108">
        <f t="shared" si="44"/>
        <v>1</v>
      </c>
      <c r="P2706" s="108"/>
      <c r="Q2706"/>
    </row>
    <row r="2707" spans="1:17" x14ac:dyDescent="0.25">
      <c r="A2707" s="89" t="s">
        <v>5650</v>
      </c>
      <c r="B2707" s="87" t="s">
        <v>5651</v>
      </c>
      <c r="C2707" s="87" t="s">
        <v>13</v>
      </c>
      <c r="D2707" s="87" t="str">
        <f>VLOOKUP(Tabela1[[#This Row],[Origem]], 'Perguntas 1 a 24'!$J$28:$K$34, 2, 0)</f>
        <v>Sudeste</v>
      </c>
      <c r="E2707" s="87" t="str">
        <f>Tabela1[[#This Row],[Descrição]]&amp;"-"&amp;Tabela1[[#This Row],[Código]]&amp;"/"&amp;Tabela1[[#This Row],[Origem]]</f>
        <v>Matuvuve-H869P952/SP</v>
      </c>
      <c r="F2707" s="88">
        <v>47127</v>
      </c>
      <c r="G2707" s="88" t="str" cm="1">
        <f t="array" ref="G27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AND(F2707&gt;= DATE(2026,1,1), F2707&lt;= DATE(2028, 12, 31), J2707&gt;50000), "Pendente e Caro", AND(F2707&gt;= DATE(2026,1,1), F2707&lt;= DATE(2028, 12, 31), J2707&lt;=50000), "Pendente", F2707&gt;= DATE(2029,1,1), "Não prioeitário")</f>
        <v>Não prioeitário</v>
      </c>
      <c r="H2707" s="89">
        <f>YEAR(Tabela1[[#This Row],[Data de Validade]])</f>
        <v>2029</v>
      </c>
      <c r="I2707" s="89">
        <f>MONTH(Tabela1[[#This Row],[Data de Validade]])</f>
        <v>1</v>
      </c>
      <c r="J2707" s="101">
        <v>44383</v>
      </c>
      <c r="K2707" s="87" t="s">
        <v>9</v>
      </c>
      <c r="L2707" s="108"/>
      <c r="M2707" s="108"/>
      <c r="N2707" s="108" t="str">
        <v>H229P731</v>
      </c>
      <c r="O2707" s="108">
        <f t="shared" si="44"/>
        <v>1</v>
      </c>
      <c r="P2707" s="108"/>
      <c r="Q2707"/>
    </row>
    <row r="2708" spans="1:17" x14ac:dyDescent="0.25">
      <c r="A2708" s="89" t="s">
        <v>4940</v>
      </c>
      <c r="B2708" s="87" t="s">
        <v>4941</v>
      </c>
      <c r="C2708" s="87" t="s">
        <v>16</v>
      </c>
      <c r="D2708" s="87" t="str">
        <f>VLOOKUP(Tabela1[[#This Row],[Origem]], 'Perguntas 1 a 24'!$J$28:$K$34, 2, 0)</f>
        <v>Sudeste</v>
      </c>
      <c r="E2708" s="87" t="str">
        <f>Tabela1[[#This Row],[Descrição]]&amp;"-"&amp;Tabela1[[#This Row],[Código]]&amp;"/"&amp;Tabela1[[#This Row],[Origem]]</f>
        <v>Mopacufe-H229P731/MG</v>
      </c>
      <c r="F2708" s="88">
        <v>47128</v>
      </c>
      <c r="G2708" s="88" t="str" cm="1">
        <f t="array" ref="G27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AND(F2708&gt;= DATE(2026,1,1), F2708&lt;= DATE(2028, 12, 31), J2708&gt;50000), "Pendente e Caro", AND(F2708&gt;= DATE(2026,1,1), F2708&lt;= DATE(2028, 12, 31), J2708&lt;=50000), "Pendente", F2708&gt;= DATE(2029,1,1), "Não prioeitário")</f>
        <v>Não prioeitário</v>
      </c>
      <c r="H2708" s="89">
        <f>YEAR(Tabela1[[#This Row],[Data de Validade]])</f>
        <v>2029</v>
      </c>
      <c r="I2708" s="89">
        <f>MONTH(Tabela1[[#This Row],[Data de Validade]])</f>
        <v>1</v>
      </c>
      <c r="J2708" s="101">
        <v>85517</v>
      </c>
      <c r="K2708" s="87" t="s">
        <v>9</v>
      </c>
      <c r="L2708" s="108"/>
      <c r="M2708" s="108"/>
      <c r="N2708" s="108" t="str">
        <v>P451H522</v>
      </c>
      <c r="O2708" s="108">
        <f t="shared" si="44"/>
        <v>1</v>
      </c>
      <c r="P2708" s="108"/>
      <c r="Q2708"/>
    </row>
    <row r="2709" spans="1:17" x14ac:dyDescent="0.25">
      <c r="A2709" s="89" t="s">
        <v>4068</v>
      </c>
      <c r="B2709" s="87" t="s">
        <v>4069</v>
      </c>
      <c r="C2709" s="87" t="s">
        <v>6</v>
      </c>
      <c r="D2709" s="87" t="str">
        <f>VLOOKUP(Tabela1[[#This Row],[Origem]], 'Perguntas 1 a 24'!$J$28:$K$34, 2, 0)</f>
        <v>Nordeste</v>
      </c>
      <c r="E2709" s="87" t="str">
        <f>Tabela1[[#This Row],[Descrição]]&amp;"-"&amp;Tabela1[[#This Row],[Código]]&amp;"/"&amp;Tabela1[[#This Row],[Origem]]</f>
        <v>Pafomurule-P451H522/MA</v>
      </c>
      <c r="F2709" s="88">
        <v>47128</v>
      </c>
      <c r="G2709" s="88" t="str" cm="1">
        <f t="array" ref="G27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AND(F2709&gt;= DATE(2026,1,1), F2709&lt;= DATE(2028, 12, 31), J2709&gt;50000), "Pendente e Caro", AND(F2709&gt;= DATE(2026,1,1), F2709&lt;= DATE(2028, 12, 31), J2709&lt;=50000), "Pendente", F2709&gt;= DATE(2029,1,1), "Não prioeitário")</f>
        <v>Não prioeitário</v>
      </c>
      <c r="H2709" s="89">
        <f>YEAR(Tabela1[[#This Row],[Data de Validade]])</f>
        <v>2029</v>
      </c>
      <c r="I2709" s="89">
        <f>MONTH(Tabela1[[#This Row],[Data de Validade]])</f>
        <v>1</v>
      </c>
      <c r="J2709" s="101">
        <v>74946</v>
      </c>
      <c r="K2709" s="87" t="s">
        <v>14</v>
      </c>
      <c r="L2709" s="108"/>
      <c r="M2709" s="108"/>
      <c r="N2709" s="108" t="str">
        <v>P839H664</v>
      </c>
      <c r="O2709" s="108">
        <f t="shared" si="44"/>
        <v>1</v>
      </c>
      <c r="P2709" s="108"/>
      <c r="Q2709"/>
    </row>
    <row r="2710" spans="1:17" x14ac:dyDescent="0.25">
      <c r="A2710" s="89" t="s">
        <v>4473</v>
      </c>
      <c r="B2710" s="87" t="s">
        <v>4474</v>
      </c>
      <c r="C2710" s="87" t="s">
        <v>10</v>
      </c>
      <c r="D2710" s="87" t="str">
        <f>VLOOKUP(Tabela1[[#This Row],[Origem]], 'Perguntas 1 a 24'!$J$28:$K$34, 2, 0)</f>
        <v>Centro-Oeste</v>
      </c>
      <c r="E2710" s="87" t="str">
        <f>Tabela1[[#This Row],[Descrição]]&amp;"-"&amp;Tabela1[[#This Row],[Código]]&amp;"/"&amp;Tabela1[[#This Row],[Origem]]</f>
        <v>Pacepidu-P839H664/GO</v>
      </c>
      <c r="F2710" s="88">
        <v>47128</v>
      </c>
      <c r="G2710" s="88" t="str" cm="1">
        <f t="array" ref="G27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AND(F2710&gt;= DATE(2026,1,1), F2710&lt;= DATE(2028, 12, 31), J2710&gt;50000), "Pendente e Caro", AND(F2710&gt;= DATE(2026,1,1), F2710&lt;= DATE(2028, 12, 31), J2710&lt;=50000), "Pendente", F2710&gt;= DATE(2029,1,1), "Não prioeitário")</f>
        <v>Não prioeitário</v>
      </c>
      <c r="H2710" s="89">
        <f>YEAR(Tabela1[[#This Row],[Data de Validade]])</f>
        <v>2029</v>
      </c>
      <c r="I2710" s="89">
        <f>MONTH(Tabela1[[#This Row],[Data de Validade]])</f>
        <v>1</v>
      </c>
      <c r="J2710" s="101">
        <v>68057</v>
      </c>
      <c r="K2710" s="87" t="s">
        <v>14</v>
      </c>
      <c r="L2710" s="108"/>
      <c r="M2710" s="108"/>
      <c r="N2710" s="108" t="str">
        <v>P813H364</v>
      </c>
      <c r="O2710" s="108">
        <f t="shared" si="44"/>
        <v>1</v>
      </c>
      <c r="P2710" s="108"/>
      <c r="Q2710"/>
    </row>
    <row r="2711" spans="1:17" x14ac:dyDescent="0.25">
      <c r="A2711" s="89" t="s">
        <v>5262</v>
      </c>
      <c r="B2711" s="87" t="s">
        <v>5263</v>
      </c>
      <c r="C2711" s="87" t="s">
        <v>16</v>
      </c>
      <c r="D2711" s="87" t="str">
        <f>VLOOKUP(Tabela1[[#This Row],[Origem]], 'Perguntas 1 a 24'!$J$28:$K$34, 2, 0)</f>
        <v>Sudeste</v>
      </c>
      <c r="E2711" s="87" t="str">
        <f>Tabela1[[#This Row],[Descrição]]&amp;"-"&amp;Tabela1[[#This Row],[Código]]&amp;"/"&amp;Tabela1[[#This Row],[Origem]]</f>
        <v>Tulapi-P813H364/MG</v>
      </c>
      <c r="F2711" s="88">
        <v>47129</v>
      </c>
      <c r="G2711" s="88" t="str" cm="1">
        <f t="array" ref="G27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AND(F2711&gt;= DATE(2026,1,1), F2711&lt;= DATE(2028, 12, 31), J2711&gt;50000), "Pendente e Caro", AND(F2711&gt;= DATE(2026,1,1), F2711&lt;= DATE(2028, 12, 31), J2711&lt;=50000), "Pendente", F2711&gt;= DATE(2029,1,1), "Não prioeitário")</f>
        <v>Não prioeitário</v>
      </c>
      <c r="H2711" s="89">
        <f>YEAR(Tabela1[[#This Row],[Data de Validade]])</f>
        <v>2029</v>
      </c>
      <c r="I2711" s="89">
        <f>MONTH(Tabela1[[#This Row],[Data de Validade]])</f>
        <v>1</v>
      </c>
      <c r="J2711" s="101">
        <v>27482</v>
      </c>
      <c r="K2711" s="87" t="s">
        <v>9</v>
      </c>
      <c r="L2711" s="108"/>
      <c r="M2711" s="108"/>
      <c r="N2711" s="108" t="str">
        <v>H745P341</v>
      </c>
      <c r="O2711" s="108">
        <f t="shared" si="44"/>
        <v>1</v>
      </c>
      <c r="P2711" s="108"/>
      <c r="Q2711"/>
    </row>
    <row r="2712" spans="1:17" x14ac:dyDescent="0.25">
      <c r="A2712" s="89" t="s">
        <v>5062</v>
      </c>
      <c r="B2712" s="87" t="s">
        <v>5063</v>
      </c>
      <c r="C2712" s="87" t="s">
        <v>16</v>
      </c>
      <c r="D2712" s="87" t="str">
        <f>VLOOKUP(Tabela1[[#This Row],[Origem]], 'Perguntas 1 a 24'!$J$28:$K$34, 2, 0)</f>
        <v>Sudeste</v>
      </c>
      <c r="E2712" s="87" t="str">
        <f>Tabela1[[#This Row],[Descrição]]&amp;"-"&amp;Tabela1[[#This Row],[Código]]&amp;"/"&amp;Tabela1[[#This Row],[Origem]]</f>
        <v>Turanaciti-H745P341/MG</v>
      </c>
      <c r="F2712" s="88">
        <v>47130</v>
      </c>
      <c r="G2712" s="88" t="str" cm="1">
        <f t="array" ref="G27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AND(F2712&gt;= DATE(2026,1,1), F2712&lt;= DATE(2028, 12, 31), J2712&gt;50000), "Pendente e Caro", AND(F2712&gt;= DATE(2026,1,1), F2712&lt;= DATE(2028, 12, 31), J2712&lt;=50000), "Pendente", F2712&gt;= DATE(2029,1,1), "Não prioeitário")</f>
        <v>Não prioeitário</v>
      </c>
      <c r="H2712" s="89">
        <f>YEAR(Tabela1[[#This Row],[Data de Validade]])</f>
        <v>2029</v>
      </c>
      <c r="I2712" s="89">
        <f>MONTH(Tabela1[[#This Row],[Data de Validade]])</f>
        <v>1</v>
      </c>
      <c r="J2712" s="101">
        <v>86808</v>
      </c>
      <c r="K2712" s="87" t="s">
        <v>7</v>
      </c>
      <c r="L2712" s="108"/>
      <c r="M2712" s="108"/>
      <c r="N2712" s="108" t="str">
        <v>P565H873</v>
      </c>
      <c r="O2712" s="108">
        <f t="shared" si="44"/>
        <v>1</v>
      </c>
      <c r="P2712" s="108"/>
      <c r="Q2712"/>
    </row>
    <row r="2713" spans="1:17" x14ac:dyDescent="0.25">
      <c r="A2713" s="89" t="s">
        <v>9569</v>
      </c>
      <c r="B2713" s="87" t="s">
        <v>9570</v>
      </c>
      <c r="C2713" s="87" t="s">
        <v>15</v>
      </c>
      <c r="D2713" s="87" t="str">
        <f>VLOOKUP(Tabela1[[#This Row],[Origem]], 'Perguntas 1 a 24'!$J$28:$K$34, 2, 0)</f>
        <v>Sudeste</v>
      </c>
      <c r="E2713" s="87" t="str">
        <f>Tabela1[[#This Row],[Descrição]]&amp;"-"&amp;Tabela1[[#This Row],[Código]]&amp;"/"&amp;Tabela1[[#This Row],[Origem]]</f>
        <v>Rocude-P565H873/ES</v>
      </c>
      <c r="F2713" s="88">
        <v>47131</v>
      </c>
      <c r="G2713" s="88" t="str" cm="1">
        <f t="array" ref="G27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AND(F2713&gt;= DATE(2026,1,1), F2713&lt;= DATE(2028, 12, 31), J2713&gt;50000), "Pendente e Caro", AND(F2713&gt;= DATE(2026,1,1), F2713&lt;= DATE(2028, 12, 31), J2713&lt;=50000), "Pendente", F2713&gt;= DATE(2029,1,1), "Não prioeitário")</f>
        <v>Não prioeitário</v>
      </c>
      <c r="H2713" s="89">
        <f>YEAR(Tabela1[[#This Row],[Data de Validade]])</f>
        <v>2029</v>
      </c>
      <c r="I2713" s="89">
        <f>MONTH(Tabela1[[#This Row],[Data de Validade]])</f>
        <v>1</v>
      </c>
      <c r="J2713" s="101">
        <v>96494</v>
      </c>
      <c r="K2713" s="87" t="s">
        <v>14</v>
      </c>
      <c r="L2713" s="108"/>
      <c r="M2713" s="108"/>
      <c r="N2713" s="108" t="str">
        <v>P459P327</v>
      </c>
      <c r="O2713" s="108">
        <f t="shared" si="44"/>
        <v>1</v>
      </c>
      <c r="P2713" s="108"/>
      <c r="Q2713"/>
    </row>
    <row r="2714" spans="1:17" x14ac:dyDescent="0.25">
      <c r="A2714" s="89" t="s">
        <v>11286</v>
      </c>
      <c r="B2714" s="87" t="s">
        <v>11287</v>
      </c>
      <c r="C2714" s="87" t="s">
        <v>12</v>
      </c>
      <c r="D2714" s="87" t="str">
        <f>VLOOKUP(Tabela1[[#This Row],[Origem]], 'Perguntas 1 a 24'!$J$28:$K$34, 2, 0)</f>
        <v>Sudeste</v>
      </c>
      <c r="E2714" s="87" t="str">
        <f>Tabela1[[#This Row],[Descrição]]&amp;"-"&amp;Tabela1[[#This Row],[Código]]&amp;"/"&amp;Tabela1[[#This Row],[Origem]]</f>
        <v>Vifaduvire-P459P327/RJ</v>
      </c>
      <c r="F2714" s="88">
        <v>47131</v>
      </c>
      <c r="G2714" s="88" t="str" cm="1">
        <f t="array" ref="G27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AND(F2714&gt;= DATE(2026,1,1), F2714&lt;= DATE(2028, 12, 31), J2714&gt;50000), "Pendente e Caro", AND(F2714&gt;= DATE(2026,1,1), F2714&lt;= DATE(2028, 12, 31), J2714&lt;=50000), "Pendente", F2714&gt;= DATE(2029,1,1), "Não prioeitário")</f>
        <v>Não prioeitário</v>
      </c>
      <c r="H2714" s="89">
        <f>YEAR(Tabela1[[#This Row],[Data de Validade]])</f>
        <v>2029</v>
      </c>
      <c r="I2714" s="89">
        <f>MONTH(Tabela1[[#This Row],[Data de Validade]])</f>
        <v>1</v>
      </c>
      <c r="J2714" s="101">
        <v>85080</v>
      </c>
      <c r="K2714" s="87" t="s">
        <v>7</v>
      </c>
      <c r="L2714" s="108"/>
      <c r="M2714" s="108"/>
      <c r="N2714" s="108" t="str">
        <v>P488H981</v>
      </c>
      <c r="O2714" s="108">
        <f t="shared" si="44"/>
        <v>1</v>
      </c>
      <c r="P2714" s="108"/>
      <c r="Q2714"/>
    </row>
    <row r="2715" spans="1:17" x14ac:dyDescent="0.25">
      <c r="A2715" s="89" t="s">
        <v>5948</v>
      </c>
      <c r="B2715" s="87" t="s">
        <v>5949</v>
      </c>
      <c r="C2715" s="87" t="s">
        <v>8</v>
      </c>
      <c r="D2715" s="87" t="str">
        <f>VLOOKUP(Tabela1[[#This Row],[Origem]], 'Perguntas 1 a 24'!$J$28:$K$34, 2, 0)</f>
        <v>Nordeste</v>
      </c>
      <c r="E2715" s="87" t="str">
        <f>Tabela1[[#This Row],[Descrição]]&amp;"-"&amp;Tabela1[[#This Row],[Código]]&amp;"/"&amp;Tabela1[[#This Row],[Origem]]</f>
        <v>Pitupapape-P488H981/AL</v>
      </c>
      <c r="F2715" s="88">
        <v>47132</v>
      </c>
      <c r="G2715" s="88" t="str" cm="1">
        <f t="array" ref="G27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AND(F2715&gt;= DATE(2026,1,1), F2715&lt;= DATE(2028, 12, 31), J2715&gt;50000), "Pendente e Caro", AND(F2715&gt;= DATE(2026,1,1), F2715&lt;= DATE(2028, 12, 31), J2715&lt;=50000), "Pendente", F2715&gt;= DATE(2029,1,1), "Não prioeitário")</f>
        <v>Não prioeitário</v>
      </c>
      <c r="H2715" s="89">
        <f>YEAR(Tabela1[[#This Row],[Data de Validade]])</f>
        <v>2029</v>
      </c>
      <c r="I2715" s="89">
        <f>MONTH(Tabela1[[#This Row],[Data de Validade]])</f>
        <v>1</v>
      </c>
      <c r="J2715" s="101">
        <v>102662</v>
      </c>
      <c r="K2715" s="87" t="s">
        <v>7</v>
      </c>
      <c r="L2715" s="108"/>
      <c r="M2715" s="108"/>
      <c r="N2715" s="108" t="str">
        <v>H582H889</v>
      </c>
      <c r="O2715" s="108">
        <f t="shared" si="44"/>
        <v>1</v>
      </c>
      <c r="P2715" s="108"/>
      <c r="Q2715"/>
    </row>
    <row r="2716" spans="1:17" x14ac:dyDescent="0.25">
      <c r="A2716" s="89" t="s">
        <v>5390</v>
      </c>
      <c r="B2716" s="87" t="s">
        <v>5391</v>
      </c>
      <c r="C2716" s="87" t="s">
        <v>12</v>
      </c>
      <c r="D2716" s="87" t="str">
        <f>VLOOKUP(Tabela1[[#This Row],[Origem]], 'Perguntas 1 a 24'!$J$28:$K$34, 2, 0)</f>
        <v>Sudeste</v>
      </c>
      <c r="E2716" s="87" t="str">
        <f>Tabela1[[#This Row],[Descrição]]&amp;"-"&amp;Tabela1[[#This Row],[Código]]&amp;"/"&amp;Tabela1[[#This Row],[Origem]]</f>
        <v>Pirapige-H582H889/RJ</v>
      </c>
      <c r="F2716" s="88">
        <v>47132</v>
      </c>
      <c r="G2716" s="88" t="str" cm="1">
        <f t="array" ref="G27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AND(F2716&gt;= DATE(2026,1,1), F2716&lt;= DATE(2028, 12, 31), J2716&gt;50000), "Pendente e Caro", AND(F2716&gt;= DATE(2026,1,1), F2716&lt;= DATE(2028, 12, 31), J2716&lt;=50000), "Pendente", F2716&gt;= DATE(2029,1,1), "Não prioeitário")</f>
        <v>Não prioeitário</v>
      </c>
      <c r="H2716" s="89">
        <f>YEAR(Tabela1[[#This Row],[Data de Validade]])</f>
        <v>2029</v>
      </c>
      <c r="I2716" s="89">
        <f>MONTH(Tabela1[[#This Row],[Data de Validade]])</f>
        <v>1</v>
      </c>
      <c r="J2716" s="101">
        <v>86195</v>
      </c>
      <c r="K2716" s="87" t="s">
        <v>11</v>
      </c>
      <c r="L2716" s="108"/>
      <c r="M2716" s="108"/>
      <c r="N2716" s="108" t="str">
        <v>P639P528</v>
      </c>
      <c r="O2716" s="108">
        <f t="shared" si="44"/>
        <v>1</v>
      </c>
      <c r="P2716" s="108"/>
      <c r="Q2716"/>
    </row>
    <row r="2717" spans="1:17" x14ac:dyDescent="0.25">
      <c r="A2717" s="89" t="s">
        <v>8699</v>
      </c>
      <c r="B2717" s="87" t="s">
        <v>8700</v>
      </c>
      <c r="C2717" s="87" t="s">
        <v>13</v>
      </c>
      <c r="D2717" s="87" t="str">
        <f>VLOOKUP(Tabela1[[#This Row],[Origem]], 'Perguntas 1 a 24'!$J$28:$K$34, 2, 0)</f>
        <v>Sudeste</v>
      </c>
      <c r="E2717" s="87" t="str">
        <f>Tabela1[[#This Row],[Descrição]]&amp;"-"&amp;Tabela1[[#This Row],[Código]]&amp;"/"&amp;Tabela1[[#This Row],[Origem]]</f>
        <v>Tipili-P639P528/SP</v>
      </c>
      <c r="F2717" s="88">
        <v>47132</v>
      </c>
      <c r="G2717" s="88" t="str" cm="1">
        <f t="array" ref="G27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AND(F2717&gt;= DATE(2026,1,1), F2717&lt;= DATE(2028, 12, 31), J2717&gt;50000), "Pendente e Caro", AND(F2717&gt;= DATE(2026,1,1), F2717&lt;= DATE(2028, 12, 31), J2717&lt;=50000), "Pendente", F2717&gt;= DATE(2029,1,1), "Não prioeitário")</f>
        <v>Não prioeitário</v>
      </c>
      <c r="H2717" s="89">
        <f>YEAR(Tabela1[[#This Row],[Data de Validade]])</f>
        <v>2029</v>
      </c>
      <c r="I2717" s="89">
        <f>MONTH(Tabela1[[#This Row],[Data de Validade]])</f>
        <v>1</v>
      </c>
      <c r="J2717" s="101">
        <v>68522</v>
      </c>
      <c r="K2717" s="87" t="s">
        <v>7</v>
      </c>
      <c r="L2717" s="108"/>
      <c r="M2717" s="108"/>
      <c r="N2717" s="108" t="str">
        <v>H592P347</v>
      </c>
      <c r="O2717" s="108">
        <f t="shared" si="44"/>
        <v>1</v>
      </c>
      <c r="P2717" s="108"/>
      <c r="Q2717"/>
    </row>
    <row r="2718" spans="1:17" x14ac:dyDescent="0.25">
      <c r="A2718" s="89" t="s">
        <v>5634</v>
      </c>
      <c r="B2718" s="87" t="s">
        <v>5635</v>
      </c>
      <c r="C2718" s="87" t="s">
        <v>6</v>
      </c>
      <c r="D2718" s="87" t="str">
        <f>VLOOKUP(Tabela1[[#This Row],[Origem]], 'Perguntas 1 a 24'!$J$28:$K$34, 2, 0)</f>
        <v>Nordeste</v>
      </c>
      <c r="E2718" s="87" t="str">
        <f>Tabela1[[#This Row],[Descrição]]&amp;"-"&amp;Tabela1[[#This Row],[Código]]&amp;"/"&amp;Tabela1[[#This Row],[Origem]]</f>
        <v>Ruguvi-H592P347/MA</v>
      </c>
      <c r="F2718" s="88">
        <v>47132</v>
      </c>
      <c r="G2718" s="88" t="str" cm="1">
        <f t="array" ref="G27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AND(F2718&gt;= DATE(2026,1,1), F2718&lt;= DATE(2028, 12, 31), J2718&gt;50000), "Pendente e Caro", AND(F2718&gt;= DATE(2026,1,1), F2718&lt;= DATE(2028, 12, 31), J2718&lt;=50000), "Pendente", F2718&gt;= DATE(2029,1,1), "Não prioeitário")</f>
        <v>Não prioeitário</v>
      </c>
      <c r="H2718" s="89">
        <f>YEAR(Tabela1[[#This Row],[Data de Validade]])</f>
        <v>2029</v>
      </c>
      <c r="I2718" s="89">
        <f>MONTH(Tabela1[[#This Row],[Data de Validade]])</f>
        <v>1</v>
      </c>
      <c r="J2718" s="101">
        <v>42036</v>
      </c>
      <c r="K2718" s="87" t="s">
        <v>14</v>
      </c>
      <c r="L2718" s="108"/>
      <c r="M2718" s="108"/>
      <c r="N2718" s="108" t="str">
        <v>H275H981</v>
      </c>
      <c r="O2718" s="108">
        <f t="shared" si="44"/>
        <v>1</v>
      </c>
      <c r="P2718" s="108"/>
      <c r="Q2718"/>
    </row>
    <row r="2719" spans="1:17" x14ac:dyDescent="0.25">
      <c r="A2719" s="89" t="s">
        <v>3928</v>
      </c>
      <c r="B2719" s="87" t="s">
        <v>3929</v>
      </c>
      <c r="C2719" s="87" t="s">
        <v>16</v>
      </c>
      <c r="D2719" s="87" t="str">
        <f>VLOOKUP(Tabela1[[#This Row],[Origem]], 'Perguntas 1 a 24'!$J$28:$K$34, 2, 0)</f>
        <v>Sudeste</v>
      </c>
      <c r="E2719" s="87" t="str">
        <f>Tabela1[[#This Row],[Descrição]]&amp;"-"&amp;Tabela1[[#This Row],[Código]]&amp;"/"&amp;Tabela1[[#This Row],[Origem]]</f>
        <v>Ciroletapa-H275H981/MG</v>
      </c>
      <c r="F2719" s="88">
        <v>47132</v>
      </c>
      <c r="G2719" s="88" t="str" cm="1">
        <f t="array" ref="G27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AND(F2719&gt;= DATE(2026,1,1), F2719&lt;= DATE(2028, 12, 31), J2719&gt;50000), "Pendente e Caro", AND(F2719&gt;= DATE(2026,1,1), F2719&lt;= DATE(2028, 12, 31), J2719&lt;=50000), "Pendente", F2719&gt;= DATE(2029,1,1), "Não prioeitário")</f>
        <v>Não prioeitário</v>
      </c>
      <c r="H2719" s="89">
        <f>YEAR(Tabela1[[#This Row],[Data de Validade]])</f>
        <v>2029</v>
      </c>
      <c r="I2719" s="89">
        <f>MONTH(Tabela1[[#This Row],[Data de Validade]])</f>
        <v>1</v>
      </c>
      <c r="J2719" s="101">
        <v>34125</v>
      </c>
      <c r="K2719" s="87" t="s">
        <v>11</v>
      </c>
      <c r="L2719" s="108"/>
      <c r="M2719" s="108"/>
      <c r="N2719" s="108" t="str">
        <v>P538H334</v>
      </c>
      <c r="O2719" s="108">
        <f t="shared" si="44"/>
        <v>1</v>
      </c>
      <c r="P2719" s="108"/>
      <c r="Q2719"/>
    </row>
    <row r="2720" spans="1:17" x14ac:dyDescent="0.25">
      <c r="A2720" s="89" t="s">
        <v>9419</v>
      </c>
      <c r="B2720" s="87" t="s">
        <v>9420</v>
      </c>
      <c r="C2720" s="87" t="s">
        <v>12</v>
      </c>
      <c r="D2720" s="87" t="str">
        <f>VLOOKUP(Tabela1[[#This Row],[Origem]], 'Perguntas 1 a 24'!$J$28:$K$34, 2, 0)</f>
        <v>Sudeste</v>
      </c>
      <c r="E2720" s="87" t="str">
        <f>Tabela1[[#This Row],[Descrição]]&amp;"-"&amp;Tabela1[[#This Row],[Código]]&amp;"/"&amp;Tabela1[[#This Row],[Origem]]</f>
        <v>Regepo-P538H334/RJ</v>
      </c>
      <c r="F2720" s="88">
        <v>47133</v>
      </c>
      <c r="G2720" s="88" t="str" cm="1">
        <f t="array" ref="G27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AND(F2720&gt;= DATE(2026,1,1), F2720&lt;= DATE(2028, 12, 31), J2720&gt;50000), "Pendente e Caro", AND(F2720&gt;= DATE(2026,1,1), F2720&lt;= DATE(2028, 12, 31), J2720&lt;=50000), "Pendente", F2720&gt;= DATE(2029,1,1), "Não prioeitário")</f>
        <v>Não prioeitário</v>
      </c>
      <c r="H2720" s="89">
        <f>YEAR(Tabela1[[#This Row],[Data de Validade]])</f>
        <v>2029</v>
      </c>
      <c r="I2720" s="89">
        <f>MONTH(Tabela1[[#This Row],[Data de Validade]])</f>
        <v>1</v>
      </c>
      <c r="J2720" s="101">
        <v>75014</v>
      </c>
      <c r="K2720" s="87" t="s">
        <v>11</v>
      </c>
      <c r="L2720" s="108"/>
      <c r="M2720" s="108"/>
      <c r="N2720" s="108" t="str">
        <v>H436H287</v>
      </c>
      <c r="O2720" s="108">
        <f t="shared" si="44"/>
        <v>1</v>
      </c>
      <c r="P2720" s="108"/>
      <c r="Q2720"/>
    </row>
    <row r="2721" spans="1:17" x14ac:dyDescent="0.25">
      <c r="A2721" s="89" t="s">
        <v>7116</v>
      </c>
      <c r="B2721" s="87" t="s">
        <v>7117</v>
      </c>
      <c r="C2721" s="87" t="s">
        <v>10</v>
      </c>
      <c r="D2721" s="87" t="str">
        <f>VLOOKUP(Tabela1[[#This Row],[Origem]], 'Perguntas 1 a 24'!$J$28:$K$34, 2, 0)</f>
        <v>Centro-Oeste</v>
      </c>
      <c r="E2721" s="87" t="str">
        <f>Tabela1[[#This Row],[Descrição]]&amp;"-"&amp;Tabela1[[#This Row],[Código]]&amp;"/"&amp;Tabela1[[#This Row],[Origem]]</f>
        <v>Darapopi-H436H287/GO</v>
      </c>
      <c r="F2721" s="88">
        <v>47133</v>
      </c>
      <c r="G2721" s="88" t="str" cm="1">
        <f t="array" ref="G27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AND(F2721&gt;= DATE(2026,1,1), F2721&lt;= DATE(2028, 12, 31), J2721&gt;50000), "Pendente e Caro", AND(F2721&gt;= DATE(2026,1,1), F2721&lt;= DATE(2028, 12, 31), J2721&lt;=50000), "Pendente", F2721&gt;= DATE(2029,1,1), "Não prioeitário")</f>
        <v>Não prioeitário</v>
      </c>
      <c r="H2721" s="89">
        <f>YEAR(Tabela1[[#This Row],[Data de Validade]])</f>
        <v>2029</v>
      </c>
      <c r="I2721" s="89">
        <f>MONTH(Tabela1[[#This Row],[Data de Validade]])</f>
        <v>1</v>
      </c>
      <c r="J2721" s="101">
        <v>63273</v>
      </c>
      <c r="K2721" s="87" t="s">
        <v>7</v>
      </c>
      <c r="L2721" s="108"/>
      <c r="M2721" s="108"/>
      <c r="N2721" s="108" t="str">
        <v>H987H215</v>
      </c>
      <c r="O2721" s="108">
        <f t="shared" si="44"/>
        <v>1</v>
      </c>
      <c r="P2721" s="108"/>
      <c r="Q2721"/>
    </row>
    <row r="2722" spans="1:17" x14ac:dyDescent="0.25">
      <c r="A2722" s="89" t="s">
        <v>7526</v>
      </c>
      <c r="B2722" s="87" t="s">
        <v>7527</v>
      </c>
      <c r="C2722" s="87" t="s">
        <v>8</v>
      </c>
      <c r="D2722" s="87" t="str">
        <f>VLOOKUP(Tabela1[[#This Row],[Origem]], 'Perguntas 1 a 24'!$J$28:$K$34, 2, 0)</f>
        <v>Nordeste</v>
      </c>
      <c r="E2722" s="87" t="str">
        <f>Tabela1[[#This Row],[Descrição]]&amp;"-"&amp;Tabela1[[#This Row],[Código]]&amp;"/"&amp;Tabela1[[#This Row],[Origem]]</f>
        <v>Piponuta-H987H215/AL</v>
      </c>
      <c r="F2722" s="88">
        <v>47133</v>
      </c>
      <c r="G2722" s="88" t="str" cm="1">
        <f t="array" ref="G27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AND(F2722&gt;= DATE(2026,1,1), F2722&lt;= DATE(2028, 12, 31), J2722&gt;50000), "Pendente e Caro", AND(F2722&gt;= DATE(2026,1,1), F2722&lt;= DATE(2028, 12, 31), J2722&lt;=50000), "Pendente", F2722&gt;= DATE(2029,1,1), "Não prioeitário")</f>
        <v>Não prioeitário</v>
      </c>
      <c r="H2722" s="89">
        <f>YEAR(Tabela1[[#This Row],[Data de Validade]])</f>
        <v>2029</v>
      </c>
      <c r="I2722" s="89">
        <f>MONTH(Tabela1[[#This Row],[Data de Validade]])</f>
        <v>1</v>
      </c>
      <c r="J2722" s="101">
        <v>50600</v>
      </c>
      <c r="K2722" s="87" t="s">
        <v>7</v>
      </c>
      <c r="L2722" s="108"/>
      <c r="M2722" s="108"/>
      <c r="N2722" s="108" t="str">
        <v>H698H446</v>
      </c>
      <c r="O2722" s="108">
        <f t="shared" si="44"/>
        <v>1</v>
      </c>
      <c r="P2722" s="108"/>
      <c r="Q2722"/>
    </row>
    <row r="2723" spans="1:17" x14ac:dyDescent="0.25">
      <c r="A2723" s="89" t="s">
        <v>5074</v>
      </c>
      <c r="B2723" s="87" t="s">
        <v>5075</v>
      </c>
      <c r="C2723" s="87" t="s">
        <v>8</v>
      </c>
      <c r="D2723" s="87" t="str">
        <f>VLOOKUP(Tabela1[[#This Row],[Origem]], 'Perguntas 1 a 24'!$J$28:$K$34, 2, 0)</f>
        <v>Nordeste</v>
      </c>
      <c r="E2723" s="87" t="str">
        <f>Tabela1[[#This Row],[Descrição]]&amp;"-"&amp;Tabela1[[#This Row],[Código]]&amp;"/"&amp;Tabela1[[#This Row],[Origem]]</f>
        <v>Topodi-H698H446/AL</v>
      </c>
      <c r="F2723" s="88">
        <v>47134</v>
      </c>
      <c r="G2723" s="88" t="str" cm="1">
        <f t="array" ref="G27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AND(F2723&gt;= DATE(2026,1,1), F2723&lt;= DATE(2028, 12, 31), J2723&gt;50000), "Pendente e Caro", AND(F2723&gt;= DATE(2026,1,1), F2723&lt;= DATE(2028, 12, 31), J2723&lt;=50000), "Pendente", F2723&gt;= DATE(2029,1,1), "Não prioeitário")</f>
        <v>Não prioeitário</v>
      </c>
      <c r="H2723" s="89">
        <f>YEAR(Tabela1[[#This Row],[Data de Validade]])</f>
        <v>2029</v>
      </c>
      <c r="I2723" s="89">
        <f>MONTH(Tabela1[[#This Row],[Data de Validade]])</f>
        <v>1</v>
      </c>
      <c r="J2723" s="101">
        <v>100608</v>
      </c>
      <c r="K2723" s="87" t="s">
        <v>11</v>
      </c>
      <c r="L2723" s="108"/>
      <c r="M2723" s="108"/>
      <c r="N2723" s="108" t="str">
        <v>H424H622</v>
      </c>
      <c r="O2723" s="108">
        <f t="shared" si="44"/>
        <v>1</v>
      </c>
      <c r="P2723" s="108"/>
      <c r="Q2723"/>
    </row>
    <row r="2724" spans="1:17" x14ac:dyDescent="0.25">
      <c r="A2724" s="89" t="s">
        <v>10243</v>
      </c>
      <c r="B2724" s="87" t="s">
        <v>10244</v>
      </c>
      <c r="C2724" s="87" t="s">
        <v>12</v>
      </c>
      <c r="D2724" s="87" t="str">
        <f>VLOOKUP(Tabela1[[#This Row],[Origem]], 'Perguntas 1 a 24'!$J$28:$K$34, 2, 0)</f>
        <v>Sudeste</v>
      </c>
      <c r="E2724" s="87" t="str">
        <f>Tabela1[[#This Row],[Descrição]]&amp;"-"&amp;Tabela1[[#This Row],[Código]]&amp;"/"&amp;Tabela1[[#This Row],[Origem]]</f>
        <v>Patupecu-H424H622/RJ</v>
      </c>
      <c r="F2724" s="88">
        <v>47134</v>
      </c>
      <c r="G2724" s="88" t="str" cm="1">
        <f t="array" ref="G27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AND(F2724&gt;= DATE(2026,1,1), F2724&lt;= DATE(2028, 12, 31), J2724&gt;50000), "Pendente e Caro", AND(F2724&gt;= DATE(2026,1,1), F2724&lt;= DATE(2028, 12, 31), J2724&lt;=50000), "Pendente", F2724&gt;= DATE(2029,1,1), "Não prioeitário")</f>
        <v>Não prioeitário</v>
      </c>
      <c r="H2724" s="89">
        <f>YEAR(Tabela1[[#This Row],[Data de Validade]])</f>
        <v>2029</v>
      </c>
      <c r="I2724" s="89">
        <f>MONTH(Tabela1[[#This Row],[Data de Validade]])</f>
        <v>1</v>
      </c>
      <c r="J2724" s="101">
        <v>55101</v>
      </c>
      <c r="K2724" s="87" t="s">
        <v>9</v>
      </c>
      <c r="L2724" s="108"/>
      <c r="M2724" s="108"/>
      <c r="N2724" s="108" t="str">
        <v>H115P132</v>
      </c>
      <c r="O2724" s="108">
        <f t="shared" si="44"/>
        <v>1</v>
      </c>
      <c r="P2724" s="108"/>
      <c r="Q2724"/>
    </row>
    <row r="2725" spans="1:17" x14ac:dyDescent="0.25">
      <c r="A2725" s="89" t="s">
        <v>9909</v>
      </c>
      <c r="B2725" s="87" t="s">
        <v>9910</v>
      </c>
      <c r="C2725" s="87" t="s">
        <v>10</v>
      </c>
      <c r="D2725" s="87" t="str">
        <f>VLOOKUP(Tabela1[[#This Row],[Origem]], 'Perguntas 1 a 24'!$J$28:$K$34, 2, 0)</f>
        <v>Centro-Oeste</v>
      </c>
      <c r="E2725" s="87" t="str">
        <f>Tabela1[[#This Row],[Descrição]]&amp;"-"&amp;Tabela1[[#This Row],[Código]]&amp;"/"&amp;Tabela1[[#This Row],[Origem]]</f>
        <v>Veradateto-H115P132/GO</v>
      </c>
      <c r="F2725" s="88">
        <v>47135</v>
      </c>
      <c r="G2725" s="88" t="str" cm="1">
        <f t="array" ref="G27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AND(F2725&gt;= DATE(2026,1,1), F2725&lt;= DATE(2028, 12, 31), J2725&gt;50000), "Pendente e Caro", AND(F2725&gt;= DATE(2026,1,1), F2725&lt;= DATE(2028, 12, 31), J2725&lt;=50000), "Pendente", F2725&gt;= DATE(2029,1,1), "Não prioeitário")</f>
        <v>Não prioeitário</v>
      </c>
      <c r="H2725" s="89">
        <f>YEAR(Tabela1[[#This Row],[Data de Validade]])</f>
        <v>2029</v>
      </c>
      <c r="I2725" s="89">
        <f>MONTH(Tabela1[[#This Row],[Data de Validade]])</f>
        <v>1</v>
      </c>
      <c r="J2725" s="101">
        <v>88667</v>
      </c>
      <c r="K2725" s="87" t="s">
        <v>11</v>
      </c>
      <c r="L2725" s="108"/>
      <c r="M2725" s="108"/>
      <c r="N2725" s="108" t="str">
        <v>H525H335</v>
      </c>
      <c r="O2725" s="108">
        <f t="shared" si="44"/>
        <v>1</v>
      </c>
      <c r="P2725" s="108"/>
      <c r="Q2725"/>
    </row>
    <row r="2726" spans="1:17" x14ac:dyDescent="0.25">
      <c r="A2726" s="89" t="s">
        <v>6474</v>
      </c>
      <c r="B2726" s="87" t="s">
        <v>6475</v>
      </c>
      <c r="C2726" s="87" t="s">
        <v>16</v>
      </c>
      <c r="D2726" s="87" t="str">
        <f>VLOOKUP(Tabela1[[#This Row],[Origem]], 'Perguntas 1 a 24'!$J$28:$K$34, 2, 0)</f>
        <v>Sudeste</v>
      </c>
      <c r="E2726" s="87" t="str">
        <f>Tabela1[[#This Row],[Descrição]]&amp;"-"&amp;Tabela1[[#This Row],[Código]]&amp;"/"&amp;Tabela1[[#This Row],[Origem]]</f>
        <v>Duraparu-H525H335/MG</v>
      </c>
      <c r="F2726" s="88">
        <v>47135</v>
      </c>
      <c r="G2726" s="88" t="str" cm="1">
        <f t="array" ref="G27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AND(F2726&gt;= DATE(2026,1,1), F2726&lt;= DATE(2028, 12, 31), J2726&gt;50000), "Pendente e Caro", AND(F2726&gt;= DATE(2026,1,1), F2726&lt;= DATE(2028, 12, 31), J2726&lt;=50000), "Pendente", F2726&gt;= DATE(2029,1,1), "Não prioeitário")</f>
        <v>Não prioeitário</v>
      </c>
      <c r="H2726" s="89">
        <f>YEAR(Tabela1[[#This Row],[Data de Validade]])</f>
        <v>2029</v>
      </c>
      <c r="I2726" s="89">
        <f>MONTH(Tabela1[[#This Row],[Data de Validade]])</f>
        <v>1</v>
      </c>
      <c r="J2726" s="101">
        <v>74528</v>
      </c>
      <c r="K2726" s="87" t="s">
        <v>11</v>
      </c>
      <c r="L2726" s="108"/>
      <c r="M2726" s="108"/>
      <c r="N2726" s="108" t="str">
        <v>P529P447</v>
      </c>
      <c r="O2726" s="108">
        <f t="shared" si="44"/>
        <v>1</v>
      </c>
      <c r="P2726" s="108"/>
      <c r="Q2726"/>
    </row>
    <row r="2727" spans="1:17" x14ac:dyDescent="0.25">
      <c r="A2727" s="89" t="s">
        <v>10387</v>
      </c>
      <c r="B2727" s="87" t="s">
        <v>10388</v>
      </c>
      <c r="C2727" s="87" t="s">
        <v>8</v>
      </c>
      <c r="D2727" s="87" t="str">
        <f>VLOOKUP(Tabela1[[#This Row],[Origem]], 'Perguntas 1 a 24'!$J$28:$K$34, 2, 0)</f>
        <v>Nordeste</v>
      </c>
      <c r="E2727" s="87" t="str">
        <f>Tabela1[[#This Row],[Descrição]]&amp;"-"&amp;Tabela1[[#This Row],[Código]]&amp;"/"&amp;Tabela1[[#This Row],[Origem]]</f>
        <v>Varadorito-P529P447/AL</v>
      </c>
      <c r="F2727" s="88">
        <v>47136</v>
      </c>
      <c r="G2727" s="88" t="str" cm="1">
        <f t="array" ref="G27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AND(F2727&gt;= DATE(2026,1,1), F2727&lt;= DATE(2028, 12, 31), J2727&gt;50000), "Pendente e Caro", AND(F2727&gt;= DATE(2026,1,1), F2727&lt;= DATE(2028, 12, 31), J2727&lt;=50000), "Pendente", F2727&gt;= DATE(2029,1,1), "Não prioeitário")</f>
        <v>Não prioeitário</v>
      </c>
      <c r="H2727" s="89">
        <f>YEAR(Tabela1[[#This Row],[Data de Validade]])</f>
        <v>2029</v>
      </c>
      <c r="I2727" s="89">
        <f>MONTH(Tabela1[[#This Row],[Data de Validade]])</f>
        <v>1</v>
      </c>
      <c r="J2727" s="101">
        <v>102866</v>
      </c>
      <c r="K2727" s="87" t="s">
        <v>9</v>
      </c>
      <c r="L2727" s="108"/>
      <c r="M2727" s="108"/>
      <c r="N2727" s="108" t="str">
        <v>H246P898</v>
      </c>
      <c r="O2727" s="108">
        <f t="shared" si="44"/>
        <v>1</v>
      </c>
      <c r="P2727" s="108"/>
      <c r="Q2727"/>
    </row>
    <row r="2728" spans="1:17" x14ac:dyDescent="0.25">
      <c r="A2728" s="89" t="s">
        <v>5500</v>
      </c>
      <c r="B2728" s="87" t="s">
        <v>5501</v>
      </c>
      <c r="C2728" s="87" t="s">
        <v>13</v>
      </c>
      <c r="D2728" s="87" t="str">
        <f>VLOOKUP(Tabela1[[#This Row],[Origem]], 'Perguntas 1 a 24'!$J$28:$K$34, 2, 0)</f>
        <v>Sudeste</v>
      </c>
      <c r="E2728" s="87" t="str">
        <f>Tabela1[[#This Row],[Descrição]]&amp;"-"&amp;Tabela1[[#This Row],[Código]]&amp;"/"&amp;Tabela1[[#This Row],[Origem]]</f>
        <v>Ragoratepo-H246P898/SP</v>
      </c>
      <c r="F2728" s="88">
        <v>47136</v>
      </c>
      <c r="G2728" s="88" t="str" cm="1">
        <f t="array" ref="G27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AND(F2728&gt;= DATE(2026,1,1), F2728&lt;= DATE(2028, 12, 31), J2728&gt;50000), "Pendente e Caro", AND(F2728&gt;= DATE(2026,1,1), F2728&lt;= DATE(2028, 12, 31), J2728&lt;=50000), "Pendente", F2728&gt;= DATE(2029,1,1), "Não prioeitário")</f>
        <v>Não prioeitário</v>
      </c>
      <c r="H2728" s="89">
        <f>YEAR(Tabela1[[#This Row],[Data de Validade]])</f>
        <v>2029</v>
      </c>
      <c r="I2728" s="89">
        <f>MONTH(Tabela1[[#This Row],[Data de Validade]])</f>
        <v>1</v>
      </c>
      <c r="J2728" s="101">
        <v>74069</v>
      </c>
      <c r="K2728" s="87" t="s">
        <v>7</v>
      </c>
      <c r="L2728" s="108"/>
      <c r="M2728" s="108"/>
      <c r="N2728" s="108" t="str">
        <v>P134H393</v>
      </c>
      <c r="O2728" s="108">
        <f t="shared" si="44"/>
        <v>1</v>
      </c>
      <c r="P2728" s="108"/>
      <c r="Q2728"/>
    </row>
    <row r="2729" spans="1:17" x14ac:dyDescent="0.25">
      <c r="A2729" s="89" t="s">
        <v>9137</v>
      </c>
      <c r="B2729" s="87" t="s">
        <v>9138</v>
      </c>
      <c r="C2729" s="87" t="s">
        <v>12</v>
      </c>
      <c r="D2729" s="87" t="str">
        <f>VLOOKUP(Tabela1[[#This Row],[Origem]], 'Perguntas 1 a 24'!$J$28:$K$34, 2, 0)</f>
        <v>Sudeste</v>
      </c>
      <c r="E2729" s="87" t="str">
        <f>Tabela1[[#This Row],[Descrição]]&amp;"-"&amp;Tabela1[[#This Row],[Código]]&amp;"/"&amp;Tabela1[[#This Row],[Origem]]</f>
        <v>Forufemogo-P134H393/RJ</v>
      </c>
      <c r="F2729" s="88">
        <v>47138</v>
      </c>
      <c r="G2729" s="88" t="str" cm="1">
        <f t="array" ref="G27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AND(F2729&gt;= DATE(2026,1,1), F2729&lt;= DATE(2028, 12, 31), J2729&gt;50000), "Pendente e Caro", AND(F2729&gt;= DATE(2026,1,1), F2729&lt;= DATE(2028, 12, 31), J2729&lt;=50000), "Pendente", F2729&gt;= DATE(2029,1,1), "Não prioeitário")</f>
        <v>Não prioeitário</v>
      </c>
      <c r="H2729" s="89">
        <f>YEAR(Tabela1[[#This Row],[Data de Validade]])</f>
        <v>2029</v>
      </c>
      <c r="I2729" s="89">
        <f>MONTH(Tabela1[[#This Row],[Data de Validade]])</f>
        <v>1</v>
      </c>
      <c r="J2729" s="101">
        <v>104037</v>
      </c>
      <c r="K2729" s="87" t="s">
        <v>11</v>
      </c>
      <c r="L2729" s="108"/>
      <c r="M2729" s="108"/>
      <c r="N2729" s="108" t="str">
        <v>H812P349</v>
      </c>
      <c r="O2729" s="108">
        <f t="shared" si="44"/>
        <v>1</v>
      </c>
      <c r="P2729" s="108"/>
      <c r="Q2729"/>
    </row>
    <row r="2730" spans="1:17" x14ac:dyDescent="0.25">
      <c r="A2730" s="89" t="s">
        <v>9015</v>
      </c>
      <c r="B2730" s="87" t="s">
        <v>9016</v>
      </c>
      <c r="C2730" s="87" t="s">
        <v>10</v>
      </c>
      <c r="D2730" s="87" t="str">
        <f>VLOOKUP(Tabela1[[#This Row],[Origem]], 'Perguntas 1 a 24'!$J$28:$K$34, 2, 0)</f>
        <v>Centro-Oeste</v>
      </c>
      <c r="E2730" s="87" t="str">
        <f>Tabela1[[#This Row],[Descrição]]&amp;"-"&amp;Tabela1[[#This Row],[Código]]&amp;"/"&amp;Tabela1[[#This Row],[Origem]]</f>
        <v>Nirovodopi-H812P349/GO</v>
      </c>
      <c r="F2730" s="88">
        <v>47139</v>
      </c>
      <c r="G2730" s="88" t="str" cm="1">
        <f t="array" ref="G27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AND(F2730&gt;= DATE(2026,1,1), F2730&lt;= DATE(2028, 12, 31), J2730&gt;50000), "Pendente e Caro", AND(F2730&gt;= DATE(2026,1,1), F2730&lt;= DATE(2028, 12, 31), J2730&lt;=50000), "Pendente", F2730&gt;= DATE(2029,1,1), "Não prioeitário")</f>
        <v>Não prioeitário</v>
      </c>
      <c r="H2730" s="89">
        <f>YEAR(Tabela1[[#This Row],[Data de Validade]])</f>
        <v>2029</v>
      </c>
      <c r="I2730" s="89">
        <f>MONTH(Tabela1[[#This Row],[Data de Validade]])</f>
        <v>1</v>
      </c>
      <c r="J2730" s="101">
        <v>50498</v>
      </c>
      <c r="K2730" s="87" t="s">
        <v>9</v>
      </c>
      <c r="L2730" s="108"/>
      <c r="M2730" s="108"/>
      <c r="N2730" s="108" t="str">
        <v>H535P629</v>
      </c>
      <c r="O2730" s="108">
        <f t="shared" si="44"/>
        <v>1</v>
      </c>
      <c r="P2730" s="108"/>
      <c r="Q2730"/>
    </row>
    <row r="2731" spans="1:17" x14ac:dyDescent="0.25">
      <c r="A2731" s="89" t="s">
        <v>5524</v>
      </c>
      <c r="B2731" s="87" t="s">
        <v>5525</v>
      </c>
      <c r="C2731" s="87" t="s">
        <v>8</v>
      </c>
      <c r="D2731" s="87" t="str">
        <f>VLOOKUP(Tabela1[[#This Row],[Origem]], 'Perguntas 1 a 24'!$J$28:$K$34, 2, 0)</f>
        <v>Nordeste</v>
      </c>
      <c r="E2731" s="87" t="str">
        <f>Tabela1[[#This Row],[Descrição]]&amp;"-"&amp;Tabela1[[#This Row],[Código]]&amp;"/"&amp;Tabela1[[#This Row],[Origem]]</f>
        <v>Topupefi-H535P629/AL</v>
      </c>
      <c r="F2731" s="88">
        <v>47139</v>
      </c>
      <c r="G2731" s="88" t="str" cm="1">
        <f t="array" ref="G27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AND(F2731&gt;= DATE(2026,1,1), F2731&lt;= DATE(2028, 12, 31), J2731&gt;50000), "Pendente e Caro", AND(F2731&gt;= DATE(2026,1,1), F2731&lt;= DATE(2028, 12, 31), J2731&lt;=50000), "Pendente", F2731&gt;= DATE(2029,1,1), "Não prioeitário")</f>
        <v>Não prioeitário</v>
      </c>
      <c r="H2731" s="89">
        <f>YEAR(Tabela1[[#This Row],[Data de Validade]])</f>
        <v>2029</v>
      </c>
      <c r="I2731" s="89">
        <f>MONTH(Tabela1[[#This Row],[Data de Validade]])</f>
        <v>1</v>
      </c>
      <c r="J2731" s="101">
        <v>33916</v>
      </c>
      <c r="K2731" s="87" t="s">
        <v>11</v>
      </c>
      <c r="L2731" s="108"/>
      <c r="M2731" s="108"/>
      <c r="N2731" s="108" t="str">
        <v>P153H512</v>
      </c>
      <c r="O2731" s="108">
        <f t="shared" si="44"/>
        <v>1</v>
      </c>
      <c r="P2731" s="108"/>
      <c r="Q2731"/>
    </row>
    <row r="2732" spans="1:17" x14ac:dyDescent="0.25">
      <c r="A2732" s="89" t="s">
        <v>5776</v>
      </c>
      <c r="B2732" s="87" t="s">
        <v>5777</v>
      </c>
      <c r="C2732" s="87" t="s">
        <v>16</v>
      </c>
      <c r="D2732" s="87" t="str">
        <f>VLOOKUP(Tabela1[[#This Row],[Origem]], 'Perguntas 1 a 24'!$J$28:$K$34, 2, 0)</f>
        <v>Sudeste</v>
      </c>
      <c r="E2732" s="87" t="str">
        <f>Tabela1[[#This Row],[Descrição]]&amp;"-"&amp;Tabela1[[#This Row],[Código]]&amp;"/"&amp;Tabela1[[#This Row],[Origem]]</f>
        <v>Dipige-P153H512/MG</v>
      </c>
      <c r="F2732" s="88">
        <v>47139</v>
      </c>
      <c r="G2732" s="88" t="str" cm="1">
        <f t="array" ref="G27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AND(F2732&gt;= DATE(2026,1,1), F2732&lt;= DATE(2028, 12, 31), J2732&gt;50000), "Pendente e Caro", AND(F2732&gt;= DATE(2026,1,1), F2732&lt;= DATE(2028, 12, 31), J2732&lt;=50000), "Pendente", F2732&gt;= DATE(2029,1,1), "Não prioeitário")</f>
        <v>Não prioeitário</v>
      </c>
      <c r="H2732" s="89">
        <f>YEAR(Tabela1[[#This Row],[Data de Validade]])</f>
        <v>2029</v>
      </c>
      <c r="I2732" s="89">
        <f>MONTH(Tabela1[[#This Row],[Data de Validade]])</f>
        <v>1</v>
      </c>
      <c r="J2732" s="101">
        <v>23566</v>
      </c>
      <c r="K2732" s="87" t="s">
        <v>7</v>
      </c>
      <c r="L2732" s="108"/>
      <c r="M2732" s="108"/>
      <c r="N2732" s="108" t="str">
        <v>P682P314</v>
      </c>
      <c r="O2732" s="108">
        <f t="shared" si="44"/>
        <v>1</v>
      </c>
      <c r="P2732" s="108"/>
      <c r="Q2732"/>
    </row>
    <row r="2733" spans="1:17" x14ac:dyDescent="0.25">
      <c r="A2733" s="89" t="s">
        <v>10825</v>
      </c>
      <c r="B2733" s="87" t="s">
        <v>10826</v>
      </c>
      <c r="C2733" s="87" t="s">
        <v>8</v>
      </c>
      <c r="D2733" s="87" t="str">
        <f>VLOOKUP(Tabela1[[#This Row],[Origem]], 'Perguntas 1 a 24'!$J$28:$K$34, 2, 0)</f>
        <v>Nordeste</v>
      </c>
      <c r="E2733" s="87" t="str">
        <f>Tabela1[[#This Row],[Descrição]]&amp;"-"&amp;Tabela1[[#This Row],[Código]]&amp;"/"&amp;Tabela1[[#This Row],[Origem]]</f>
        <v>Paninepoto-P682P314/AL</v>
      </c>
      <c r="F2733" s="88">
        <v>47140</v>
      </c>
      <c r="G2733" s="88" t="str" cm="1">
        <f t="array" ref="G27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AND(F2733&gt;= DATE(2026,1,1), F2733&lt;= DATE(2028, 12, 31), J2733&gt;50000), "Pendente e Caro", AND(F2733&gt;= DATE(2026,1,1), F2733&lt;= DATE(2028, 12, 31), J2733&lt;=50000), "Pendente", F2733&gt;= DATE(2029,1,1), "Não prioeitário")</f>
        <v>Não prioeitário</v>
      </c>
      <c r="H2733" s="89">
        <f>YEAR(Tabela1[[#This Row],[Data de Validade]])</f>
        <v>2029</v>
      </c>
      <c r="I2733" s="89">
        <f>MONTH(Tabela1[[#This Row],[Data de Validade]])</f>
        <v>1</v>
      </c>
      <c r="J2733" s="101">
        <v>63730</v>
      </c>
      <c r="K2733" s="87" t="s">
        <v>11</v>
      </c>
      <c r="L2733" s="108"/>
      <c r="M2733" s="108"/>
      <c r="N2733" s="108" t="str">
        <v>P116H188</v>
      </c>
      <c r="O2733" s="108">
        <f t="shared" si="44"/>
        <v>1</v>
      </c>
      <c r="P2733" s="108"/>
      <c r="Q2733"/>
    </row>
    <row r="2734" spans="1:17" x14ac:dyDescent="0.25">
      <c r="A2734" s="89" t="s">
        <v>7930</v>
      </c>
      <c r="B2734" s="87" t="s">
        <v>7931</v>
      </c>
      <c r="C2734" s="87" t="s">
        <v>6</v>
      </c>
      <c r="D2734" s="87" t="str">
        <f>VLOOKUP(Tabela1[[#This Row],[Origem]], 'Perguntas 1 a 24'!$J$28:$K$34, 2, 0)</f>
        <v>Nordeste</v>
      </c>
      <c r="E2734" s="87" t="str">
        <f>Tabela1[[#This Row],[Descrição]]&amp;"-"&amp;Tabela1[[#This Row],[Código]]&amp;"/"&amp;Tabela1[[#This Row],[Origem]]</f>
        <v>Leriru-P116H188/MA</v>
      </c>
      <c r="F2734" s="88">
        <v>47140</v>
      </c>
      <c r="G2734" s="88" t="str" cm="1">
        <f t="array" ref="G27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AND(F2734&gt;= DATE(2026,1,1), F2734&lt;= DATE(2028, 12, 31), J2734&gt;50000), "Pendente e Caro", AND(F2734&gt;= DATE(2026,1,1), F2734&lt;= DATE(2028, 12, 31), J2734&lt;=50000), "Pendente", F2734&gt;= DATE(2029,1,1), "Não prioeitário")</f>
        <v>Não prioeitário</v>
      </c>
      <c r="H2734" s="89">
        <f>YEAR(Tabela1[[#This Row],[Data de Validade]])</f>
        <v>2029</v>
      </c>
      <c r="I2734" s="89">
        <f>MONTH(Tabela1[[#This Row],[Data de Validade]])</f>
        <v>1</v>
      </c>
      <c r="J2734" s="101">
        <v>49360</v>
      </c>
      <c r="K2734" s="87" t="s">
        <v>11</v>
      </c>
      <c r="L2734" s="108"/>
      <c r="M2734" s="108"/>
      <c r="N2734" s="108" t="str">
        <v>H332H988</v>
      </c>
      <c r="O2734" s="108">
        <f t="shared" si="44"/>
        <v>1</v>
      </c>
      <c r="P2734" s="108"/>
      <c r="Q2734"/>
    </row>
    <row r="2735" spans="1:17" x14ac:dyDescent="0.25">
      <c r="A2735" s="89" t="s">
        <v>7876</v>
      </c>
      <c r="B2735" s="87" t="s">
        <v>7877</v>
      </c>
      <c r="C2735" s="87" t="s">
        <v>15</v>
      </c>
      <c r="D2735" s="87" t="str">
        <f>VLOOKUP(Tabela1[[#This Row],[Origem]], 'Perguntas 1 a 24'!$J$28:$K$34, 2, 0)</f>
        <v>Sudeste</v>
      </c>
      <c r="E2735" s="87" t="str">
        <f>Tabela1[[#This Row],[Descrição]]&amp;"-"&amp;Tabela1[[#This Row],[Código]]&amp;"/"&amp;Tabela1[[#This Row],[Origem]]</f>
        <v>Legiti-H332H988/ES</v>
      </c>
      <c r="F2735" s="88">
        <v>47143</v>
      </c>
      <c r="G2735" s="88" t="str" cm="1">
        <f t="array" ref="G27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AND(F2735&gt;= DATE(2026,1,1), F2735&lt;= DATE(2028, 12, 31), J2735&gt;50000), "Pendente e Caro", AND(F2735&gt;= DATE(2026,1,1), F2735&lt;= DATE(2028, 12, 31), J2735&lt;=50000), "Pendente", F2735&gt;= DATE(2029,1,1), "Não prioeitário")</f>
        <v>Não prioeitário</v>
      </c>
      <c r="H2735" s="89">
        <f>YEAR(Tabela1[[#This Row],[Data de Validade]])</f>
        <v>2029</v>
      </c>
      <c r="I2735" s="89">
        <f>MONTH(Tabela1[[#This Row],[Data de Validade]])</f>
        <v>1</v>
      </c>
      <c r="J2735" s="101">
        <v>30588</v>
      </c>
      <c r="K2735" s="87" t="s">
        <v>14</v>
      </c>
      <c r="L2735" s="108"/>
      <c r="M2735" s="108"/>
      <c r="N2735" s="108" t="str">
        <v>H866H366</v>
      </c>
      <c r="O2735" s="108">
        <f t="shared" si="44"/>
        <v>1</v>
      </c>
      <c r="P2735" s="108"/>
      <c r="Q2735"/>
    </row>
    <row r="2736" spans="1:17" x14ac:dyDescent="0.25">
      <c r="A2736" s="89" t="s">
        <v>7036</v>
      </c>
      <c r="B2736" s="87" t="s">
        <v>7037</v>
      </c>
      <c r="C2736" s="87" t="s">
        <v>15</v>
      </c>
      <c r="D2736" s="87" t="str">
        <f>VLOOKUP(Tabela1[[#This Row],[Origem]], 'Perguntas 1 a 24'!$J$28:$K$34, 2, 0)</f>
        <v>Sudeste</v>
      </c>
      <c r="E2736" s="87" t="str">
        <f>Tabela1[[#This Row],[Descrição]]&amp;"-"&amp;Tabela1[[#This Row],[Código]]&amp;"/"&amp;Tabela1[[#This Row],[Origem]]</f>
        <v>Ragodalali-H866H366/ES</v>
      </c>
      <c r="F2736" s="88">
        <v>47143</v>
      </c>
      <c r="G2736" s="88" t="str" cm="1">
        <f t="array" ref="G27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AND(F2736&gt;= DATE(2026,1,1), F2736&lt;= DATE(2028, 12, 31), J2736&gt;50000), "Pendente e Caro", AND(F2736&gt;= DATE(2026,1,1), F2736&lt;= DATE(2028, 12, 31), J2736&lt;=50000), "Pendente", F2736&gt;= DATE(2029,1,1), "Não prioeitário")</f>
        <v>Não prioeitário</v>
      </c>
      <c r="H2736" s="89">
        <f>YEAR(Tabela1[[#This Row],[Data de Validade]])</f>
        <v>2029</v>
      </c>
      <c r="I2736" s="89">
        <f>MONTH(Tabela1[[#This Row],[Data de Validade]])</f>
        <v>1</v>
      </c>
      <c r="J2736" s="101">
        <v>24974</v>
      </c>
      <c r="K2736" s="87" t="s">
        <v>14</v>
      </c>
      <c r="L2736" s="108"/>
      <c r="M2736" s="108"/>
      <c r="N2736" s="108" t="str">
        <v>H824H114</v>
      </c>
      <c r="O2736" s="108">
        <f t="shared" si="44"/>
        <v>1</v>
      </c>
      <c r="P2736" s="108"/>
      <c r="Q2736"/>
    </row>
    <row r="2737" spans="1:17" x14ac:dyDescent="0.25">
      <c r="A2737" s="89" t="s">
        <v>10027</v>
      </c>
      <c r="B2737" s="87" t="s">
        <v>10028</v>
      </c>
      <c r="C2737" s="87" t="s">
        <v>13</v>
      </c>
      <c r="D2737" s="87" t="str">
        <f>VLOOKUP(Tabela1[[#This Row],[Origem]], 'Perguntas 1 a 24'!$J$28:$K$34, 2, 0)</f>
        <v>Sudeste</v>
      </c>
      <c r="E2737" s="87" t="str">
        <f>Tabela1[[#This Row],[Descrição]]&amp;"-"&amp;Tabela1[[#This Row],[Código]]&amp;"/"&amp;Tabela1[[#This Row],[Origem]]</f>
        <v>Pataco-H824H114/SP</v>
      </c>
      <c r="F2737" s="88">
        <v>47144</v>
      </c>
      <c r="G2737" s="88" t="str" cm="1">
        <f t="array" ref="G27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AND(F2737&gt;= DATE(2026,1,1), F2737&lt;= DATE(2028, 12, 31), J2737&gt;50000), "Pendente e Caro", AND(F2737&gt;= DATE(2026,1,1), F2737&lt;= DATE(2028, 12, 31), J2737&lt;=50000), "Pendente", F2737&gt;= DATE(2029,1,1), "Não prioeitário")</f>
        <v>Não prioeitário</v>
      </c>
      <c r="H2737" s="89">
        <f>YEAR(Tabela1[[#This Row],[Data de Validade]])</f>
        <v>2029</v>
      </c>
      <c r="I2737" s="89">
        <f>MONTH(Tabela1[[#This Row],[Data de Validade]])</f>
        <v>1</v>
      </c>
      <c r="J2737" s="101">
        <v>116565</v>
      </c>
      <c r="K2737" s="87" t="s">
        <v>11</v>
      </c>
      <c r="L2737" s="108"/>
      <c r="M2737" s="108"/>
      <c r="N2737" s="108" t="str">
        <v>P881H964</v>
      </c>
      <c r="O2737" s="108">
        <f t="shared" si="44"/>
        <v>1</v>
      </c>
      <c r="P2737" s="108"/>
      <c r="Q2737"/>
    </row>
    <row r="2738" spans="1:17" x14ac:dyDescent="0.25">
      <c r="A2738" s="89" t="s">
        <v>9125</v>
      </c>
      <c r="B2738" s="87" t="s">
        <v>9126</v>
      </c>
      <c r="C2738" s="87" t="s">
        <v>6</v>
      </c>
      <c r="D2738" s="87" t="str">
        <f>VLOOKUP(Tabela1[[#This Row],[Origem]], 'Perguntas 1 a 24'!$J$28:$K$34, 2, 0)</f>
        <v>Nordeste</v>
      </c>
      <c r="E2738" s="87" t="str">
        <f>Tabela1[[#This Row],[Descrição]]&amp;"-"&amp;Tabela1[[#This Row],[Código]]&amp;"/"&amp;Tabela1[[#This Row],[Origem]]</f>
        <v>Rutafa-P881H964/MA</v>
      </c>
      <c r="F2738" s="88">
        <v>47144</v>
      </c>
      <c r="G2738" s="88" t="str" cm="1">
        <f t="array" ref="G27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AND(F2738&gt;= DATE(2026,1,1), F2738&lt;= DATE(2028, 12, 31), J2738&gt;50000), "Pendente e Caro", AND(F2738&gt;= DATE(2026,1,1), F2738&lt;= DATE(2028, 12, 31), J2738&lt;=50000), "Pendente", F2738&gt;= DATE(2029,1,1), "Não prioeitário")</f>
        <v>Não prioeitário</v>
      </c>
      <c r="H2738" s="89">
        <f>YEAR(Tabela1[[#This Row],[Data de Validade]])</f>
        <v>2029</v>
      </c>
      <c r="I2738" s="89">
        <f>MONTH(Tabela1[[#This Row],[Data de Validade]])</f>
        <v>1</v>
      </c>
      <c r="J2738" s="101">
        <v>86789</v>
      </c>
      <c r="K2738" s="87" t="s">
        <v>11</v>
      </c>
      <c r="L2738" s="108"/>
      <c r="M2738" s="108"/>
      <c r="N2738" s="108" t="str">
        <v>P895P838</v>
      </c>
      <c r="O2738" s="108">
        <f t="shared" si="44"/>
        <v>1</v>
      </c>
      <c r="P2738" s="108"/>
      <c r="Q2738"/>
    </row>
    <row r="2739" spans="1:17" x14ac:dyDescent="0.25">
      <c r="A2739" s="89" t="s">
        <v>4786</v>
      </c>
      <c r="B2739" s="87" t="s">
        <v>4787</v>
      </c>
      <c r="C2739" s="87" t="s">
        <v>13</v>
      </c>
      <c r="D2739" s="87" t="str">
        <f>VLOOKUP(Tabela1[[#This Row],[Origem]], 'Perguntas 1 a 24'!$J$28:$K$34, 2, 0)</f>
        <v>Sudeste</v>
      </c>
      <c r="E2739" s="87" t="str">
        <f>Tabela1[[#This Row],[Descrição]]&amp;"-"&amp;Tabela1[[#This Row],[Código]]&amp;"/"&amp;Tabela1[[#This Row],[Origem]]</f>
        <v>Lopifi-P895P838/SP</v>
      </c>
      <c r="F2739" s="88">
        <v>47144</v>
      </c>
      <c r="G2739" s="88" t="str" cm="1">
        <f t="array" ref="G27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AND(F2739&gt;= DATE(2026,1,1), F2739&lt;= DATE(2028, 12, 31), J2739&gt;50000), "Pendente e Caro", AND(F2739&gt;= DATE(2026,1,1), F2739&lt;= DATE(2028, 12, 31), J2739&lt;=50000), "Pendente", F2739&gt;= DATE(2029,1,1), "Não prioeitário")</f>
        <v>Não prioeitário</v>
      </c>
      <c r="H2739" s="89">
        <f>YEAR(Tabela1[[#This Row],[Data de Validade]])</f>
        <v>2029</v>
      </c>
      <c r="I2739" s="89">
        <f>MONTH(Tabela1[[#This Row],[Data de Validade]])</f>
        <v>1</v>
      </c>
      <c r="J2739" s="101">
        <v>23416</v>
      </c>
      <c r="K2739" s="87" t="s">
        <v>14</v>
      </c>
      <c r="L2739" s="108"/>
      <c r="M2739" s="108"/>
      <c r="N2739" s="108" t="str">
        <v>H848H621</v>
      </c>
      <c r="O2739" s="108">
        <f t="shared" si="44"/>
        <v>1</v>
      </c>
      <c r="P2739" s="108"/>
      <c r="Q2739"/>
    </row>
    <row r="2740" spans="1:17" x14ac:dyDescent="0.25">
      <c r="A2740" s="89" t="s">
        <v>8831</v>
      </c>
      <c r="B2740" s="87" t="s">
        <v>8832</v>
      </c>
      <c r="C2740" s="87" t="s">
        <v>13</v>
      </c>
      <c r="D2740" s="87" t="str">
        <f>VLOOKUP(Tabela1[[#This Row],[Origem]], 'Perguntas 1 a 24'!$J$28:$K$34, 2, 0)</f>
        <v>Sudeste</v>
      </c>
      <c r="E2740" s="87" t="str">
        <f>Tabela1[[#This Row],[Descrição]]&amp;"-"&amp;Tabela1[[#This Row],[Código]]&amp;"/"&amp;Tabela1[[#This Row],[Origem]]</f>
        <v>Nupolavi-H848H621/SP</v>
      </c>
      <c r="F2740" s="88">
        <v>47146</v>
      </c>
      <c r="G2740" s="88" t="str" cm="1">
        <f t="array" ref="G27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AND(F2740&gt;= DATE(2026,1,1), F2740&lt;= DATE(2028, 12, 31), J2740&gt;50000), "Pendente e Caro", AND(F2740&gt;= DATE(2026,1,1), F2740&lt;= DATE(2028, 12, 31), J2740&lt;=50000), "Pendente", F2740&gt;= DATE(2029,1,1), "Não prioeitário")</f>
        <v>Não prioeitário</v>
      </c>
      <c r="H2740" s="89">
        <f>YEAR(Tabela1[[#This Row],[Data de Validade]])</f>
        <v>2029</v>
      </c>
      <c r="I2740" s="89">
        <f>MONTH(Tabela1[[#This Row],[Data de Validade]])</f>
        <v>1</v>
      </c>
      <c r="J2740" s="101">
        <v>115367</v>
      </c>
      <c r="K2740" s="87" t="s">
        <v>9</v>
      </c>
      <c r="L2740" s="108"/>
      <c r="M2740" s="108"/>
      <c r="N2740" s="108" t="str">
        <v>P242P376</v>
      </c>
      <c r="O2740" s="108">
        <f t="shared" si="44"/>
        <v>1</v>
      </c>
      <c r="P2740" s="108"/>
      <c r="Q2740"/>
    </row>
    <row r="2741" spans="1:17" x14ac:dyDescent="0.25">
      <c r="A2741" s="89" t="s">
        <v>10427</v>
      </c>
      <c r="B2741" s="87" t="s">
        <v>10428</v>
      </c>
      <c r="C2741" s="87" t="s">
        <v>16</v>
      </c>
      <c r="D2741" s="87" t="str">
        <f>VLOOKUP(Tabela1[[#This Row],[Origem]], 'Perguntas 1 a 24'!$J$28:$K$34, 2, 0)</f>
        <v>Sudeste</v>
      </c>
      <c r="E2741" s="87" t="str">
        <f>Tabela1[[#This Row],[Descrição]]&amp;"-"&amp;Tabela1[[#This Row],[Código]]&amp;"/"&amp;Tabela1[[#This Row],[Origem]]</f>
        <v>Varopupepo-P242P376/MG</v>
      </c>
      <c r="F2741" s="88">
        <v>47146</v>
      </c>
      <c r="G2741" s="88" t="str" cm="1">
        <f t="array" ref="G27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AND(F2741&gt;= DATE(2026,1,1), F2741&lt;= DATE(2028, 12, 31), J2741&gt;50000), "Pendente e Caro", AND(F2741&gt;= DATE(2026,1,1), F2741&lt;= DATE(2028, 12, 31), J2741&lt;=50000), "Pendente", F2741&gt;= DATE(2029,1,1), "Não prioeitário")</f>
        <v>Não prioeitário</v>
      </c>
      <c r="H2741" s="89">
        <f>YEAR(Tabela1[[#This Row],[Data de Validade]])</f>
        <v>2029</v>
      </c>
      <c r="I2741" s="89">
        <f>MONTH(Tabela1[[#This Row],[Data de Validade]])</f>
        <v>1</v>
      </c>
      <c r="J2741" s="101">
        <v>37417</v>
      </c>
      <c r="K2741" s="87" t="s">
        <v>14</v>
      </c>
      <c r="L2741" s="108"/>
      <c r="M2741" s="108"/>
      <c r="N2741" s="108" t="str">
        <v>P272P918</v>
      </c>
      <c r="O2741" s="108">
        <f t="shared" si="44"/>
        <v>1</v>
      </c>
      <c r="P2741" s="108"/>
      <c r="Q2741"/>
    </row>
    <row r="2742" spans="1:17" x14ac:dyDescent="0.25">
      <c r="A2742" s="89" t="s">
        <v>10893</v>
      </c>
      <c r="B2742" s="87" t="s">
        <v>10894</v>
      </c>
      <c r="C2742" s="87" t="s">
        <v>15</v>
      </c>
      <c r="D2742" s="87" t="str">
        <f>VLOOKUP(Tabela1[[#This Row],[Origem]], 'Perguntas 1 a 24'!$J$28:$K$34, 2, 0)</f>
        <v>Sudeste</v>
      </c>
      <c r="E2742" s="87" t="str">
        <f>Tabela1[[#This Row],[Descrição]]&amp;"-"&amp;Tabela1[[#This Row],[Código]]&amp;"/"&amp;Tabela1[[#This Row],[Origem]]</f>
        <v>Pipepo-P272P918/ES</v>
      </c>
      <c r="F2742" s="88">
        <v>47147</v>
      </c>
      <c r="G2742" s="88" t="str" cm="1">
        <f t="array" ref="G27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AND(F2742&gt;= DATE(2026,1,1), F2742&lt;= DATE(2028, 12, 31), J2742&gt;50000), "Pendente e Caro", AND(F2742&gt;= DATE(2026,1,1), F2742&lt;= DATE(2028, 12, 31), J2742&lt;=50000), "Pendente", F2742&gt;= DATE(2029,1,1), "Não prioeitário")</f>
        <v>Não prioeitário</v>
      </c>
      <c r="H2742" s="89">
        <f>YEAR(Tabela1[[#This Row],[Data de Validade]])</f>
        <v>2029</v>
      </c>
      <c r="I2742" s="89">
        <f>MONTH(Tabela1[[#This Row],[Data de Validade]])</f>
        <v>1</v>
      </c>
      <c r="J2742" s="101">
        <v>104825</v>
      </c>
      <c r="K2742" s="87" t="s">
        <v>11</v>
      </c>
      <c r="L2742" s="108"/>
      <c r="M2742" s="108"/>
      <c r="N2742" s="108" t="str">
        <v>H993H422</v>
      </c>
      <c r="O2742" s="108">
        <f t="shared" si="44"/>
        <v>1</v>
      </c>
      <c r="P2742" s="108"/>
      <c r="Q2742"/>
    </row>
    <row r="2743" spans="1:17" x14ac:dyDescent="0.25">
      <c r="A2743" s="89" t="s">
        <v>5928</v>
      </c>
      <c r="B2743" s="87" t="s">
        <v>5929</v>
      </c>
      <c r="C2743" s="87" t="s">
        <v>12</v>
      </c>
      <c r="D2743" s="87" t="str">
        <f>VLOOKUP(Tabela1[[#This Row],[Origem]], 'Perguntas 1 a 24'!$J$28:$K$34, 2, 0)</f>
        <v>Sudeste</v>
      </c>
      <c r="E2743" s="87" t="str">
        <f>Tabela1[[#This Row],[Descrição]]&amp;"-"&amp;Tabela1[[#This Row],[Código]]&amp;"/"&amp;Tabela1[[#This Row],[Origem]]</f>
        <v>Pifotuponi-H993H422/RJ</v>
      </c>
      <c r="F2743" s="88">
        <v>47147</v>
      </c>
      <c r="G2743" s="88" t="str" cm="1">
        <f t="array" ref="G27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AND(F2743&gt;= DATE(2026,1,1), F2743&lt;= DATE(2028, 12, 31), J2743&gt;50000), "Pendente e Caro", AND(F2743&gt;= DATE(2026,1,1), F2743&lt;= DATE(2028, 12, 31), J2743&lt;=50000), "Pendente", F2743&gt;= DATE(2029,1,1), "Não prioeitário")</f>
        <v>Não prioeitário</v>
      </c>
      <c r="H2743" s="89">
        <f>YEAR(Tabela1[[#This Row],[Data de Validade]])</f>
        <v>2029</v>
      </c>
      <c r="I2743" s="89">
        <f>MONTH(Tabela1[[#This Row],[Data de Validade]])</f>
        <v>1</v>
      </c>
      <c r="J2743" s="101">
        <v>29163</v>
      </c>
      <c r="K2743" s="87" t="s">
        <v>11</v>
      </c>
      <c r="L2743" s="108"/>
      <c r="M2743" s="108"/>
      <c r="N2743" s="108" t="str">
        <v>H621H217</v>
      </c>
      <c r="O2743" s="108">
        <f t="shared" si="44"/>
        <v>1</v>
      </c>
      <c r="P2743" s="108"/>
      <c r="Q2743"/>
    </row>
    <row r="2744" spans="1:17" x14ac:dyDescent="0.25">
      <c r="A2744" s="89" t="s">
        <v>4836</v>
      </c>
      <c r="B2744" s="87" t="s">
        <v>4837</v>
      </c>
      <c r="C2744" s="87" t="s">
        <v>8</v>
      </c>
      <c r="D2744" s="87" t="str">
        <f>VLOOKUP(Tabela1[[#This Row],[Origem]], 'Perguntas 1 a 24'!$J$28:$K$34, 2, 0)</f>
        <v>Nordeste</v>
      </c>
      <c r="E2744" s="87" t="str">
        <f>Tabela1[[#This Row],[Descrição]]&amp;"-"&amp;Tabela1[[#This Row],[Código]]&amp;"/"&amp;Tabela1[[#This Row],[Origem]]</f>
        <v>Pipuli-H621H217/AL</v>
      </c>
      <c r="F2744" s="88">
        <v>47149</v>
      </c>
      <c r="G2744" s="88" t="str" cm="1">
        <f t="array" ref="G27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AND(F2744&gt;= DATE(2026,1,1), F2744&lt;= DATE(2028, 12, 31), J2744&gt;50000), "Pendente e Caro", AND(F2744&gt;= DATE(2026,1,1), F2744&lt;= DATE(2028, 12, 31), J2744&lt;=50000), "Pendente", F2744&gt;= DATE(2029,1,1), "Não prioeitário")</f>
        <v>Não prioeitário</v>
      </c>
      <c r="H2744" s="89">
        <f>YEAR(Tabela1[[#This Row],[Data de Validade]])</f>
        <v>2029</v>
      </c>
      <c r="I2744" s="89">
        <f>MONTH(Tabela1[[#This Row],[Data de Validade]])</f>
        <v>1</v>
      </c>
      <c r="J2744" s="101">
        <v>100469</v>
      </c>
      <c r="K2744" s="87" t="s">
        <v>14</v>
      </c>
      <c r="L2744" s="108"/>
      <c r="M2744" s="108"/>
      <c r="N2744" s="108" t="str">
        <v>P839P648</v>
      </c>
      <c r="O2744" s="108">
        <f t="shared" si="44"/>
        <v>1</v>
      </c>
      <c r="P2744" s="108"/>
      <c r="Q2744"/>
    </row>
    <row r="2745" spans="1:17" x14ac:dyDescent="0.25">
      <c r="A2745" s="89" t="s">
        <v>10441</v>
      </c>
      <c r="B2745" s="87" t="s">
        <v>10442</v>
      </c>
      <c r="C2745" s="87" t="s">
        <v>12</v>
      </c>
      <c r="D2745" s="87" t="str">
        <f>VLOOKUP(Tabela1[[#This Row],[Origem]], 'Perguntas 1 a 24'!$J$28:$K$34, 2, 0)</f>
        <v>Sudeste</v>
      </c>
      <c r="E2745" s="87" t="str">
        <f>Tabela1[[#This Row],[Descrição]]&amp;"-"&amp;Tabela1[[#This Row],[Código]]&amp;"/"&amp;Tabela1[[#This Row],[Origem]]</f>
        <v>Miguvufopu-P839P648/RJ</v>
      </c>
      <c r="F2745" s="88">
        <v>47149</v>
      </c>
      <c r="G2745" s="88" t="str" cm="1">
        <f t="array" ref="G27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AND(F2745&gt;= DATE(2026,1,1), F2745&lt;= DATE(2028, 12, 31), J2745&gt;50000), "Pendente e Caro", AND(F2745&gt;= DATE(2026,1,1), F2745&lt;= DATE(2028, 12, 31), J2745&lt;=50000), "Pendente", F2745&gt;= DATE(2029,1,1), "Não prioeitário")</f>
        <v>Não prioeitário</v>
      </c>
      <c r="H2745" s="89">
        <f>YEAR(Tabela1[[#This Row],[Data de Validade]])</f>
        <v>2029</v>
      </c>
      <c r="I2745" s="89">
        <f>MONTH(Tabela1[[#This Row],[Data de Validade]])</f>
        <v>1</v>
      </c>
      <c r="J2745" s="101">
        <v>76396</v>
      </c>
      <c r="K2745" s="87" t="s">
        <v>11</v>
      </c>
      <c r="L2745" s="108"/>
      <c r="M2745" s="108"/>
      <c r="N2745" s="108" t="str">
        <v>P375P884</v>
      </c>
      <c r="O2745" s="108">
        <f t="shared" si="44"/>
        <v>1</v>
      </c>
      <c r="P2745" s="108"/>
      <c r="Q2745"/>
    </row>
    <row r="2746" spans="1:17" x14ac:dyDescent="0.25">
      <c r="A2746" s="89" t="s">
        <v>6556</v>
      </c>
      <c r="B2746" s="87" t="s">
        <v>6557</v>
      </c>
      <c r="C2746" s="87" t="s">
        <v>10</v>
      </c>
      <c r="D2746" s="87" t="str">
        <f>VLOOKUP(Tabela1[[#This Row],[Origem]], 'Perguntas 1 a 24'!$J$28:$K$34, 2, 0)</f>
        <v>Centro-Oeste</v>
      </c>
      <c r="E2746" s="87" t="str">
        <f>Tabela1[[#This Row],[Descrição]]&amp;"-"&amp;Tabela1[[#This Row],[Código]]&amp;"/"&amp;Tabela1[[#This Row],[Origem]]</f>
        <v>Rurutopi-P375P884/GO</v>
      </c>
      <c r="F2746" s="88">
        <v>47150</v>
      </c>
      <c r="G2746" s="88" t="str" cm="1">
        <f t="array" ref="G27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AND(F2746&gt;= DATE(2026,1,1), F2746&lt;= DATE(2028, 12, 31), J2746&gt;50000), "Pendente e Caro", AND(F2746&gt;= DATE(2026,1,1), F2746&lt;= DATE(2028, 12, 31), J2746&lt;=50000), "Pendente", F2746&gt;= DATE(2029,1,1), "Não prioeitário")</f>
        <v>Não prioeitário</v>
      </c>
      <c r="H2746" s="89">
        <f>YEAR(Tabela1[[#This Row],[Data de Validade]])</f>
        <v>2029</v>
      </c>
      <c r="I2746" s="89">
        <f>MONTH(Tabela1[[#This Row],[Data de Validade]])</f>
        <v>2</v>
      </c>
      <c r="J2746" s="101">
        <v>103289</v>
      </c>
      <c r="K2746" s="87" t="s">
        <v>14</v>
      </c>
      <c r="L2746" s="108"/>
      <c r="M2746" s="108"/>
      <c r="N2746" s="108" t="str">
        <v>H441H344</v>
      </c>
      <c r="O2746" s="108">
        <f t="shared" si="44"/>
        <v>1</v>
      </c>
      <c r="P2746" s="108"/>
      <c r="Q2746"/>
    </row>
    <row r="2747" spans="1:17" x14ac:dyDescent="0.25">
      <c r="A2747" s="89" t="s">
        <v>4223</v>
      </c>
      <c r="B2747" s="87" t="s">
        <v>4224</v>
      </c>
      <c r="C2747" s="87" t="s">
        <v>8</v>
      </c>
      <c r="D2747" s="87" t="str">
        <f>VLOOKUP(Tabela1[[#This Row],[Origem]], 'Perguntas 1 a 24'!$J$28:$K$34, 2, 0)</f>
        <v>Nordeste</v>
      </c>
      <c r="E2747" s="87" t="str">
        <f>Tabela1[[#This Row],[Descrição]]&amp;"-"&amp;Tabela1[[#This Row],[Código]]&amp;"/"&amp;Tabela1[[#This Row],[Origem]]</f>
        <v>Fafofefi-H441H344/AL</v>
      </c>
      <c r="F2747" s="88">
        <v>47151</v>
      </c>
      <c r="G2747" s="88" t="str" cm="1">
        <f t="array" ref="G27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AND(F2747&gt;= DATE(2026,1,1), F2747&lt;= DATE(2028, 12, 31), J2747&gt;50000), "Pendente e Caro", AND(F2747&gt;= DATE(2026,1,1), F2747&lt;= DATE(2028, 12, 31), J2747&lt;=50000), "Pendente", F2747&gt;= DATE(2029,1,1), "Não prioeitário")</f>
        <v>Não prioeitário</v>
      </c>
      <c r="H2747" s="89">
        <f>YEAR(Tabela1[[#This Row],[Data de Validade]])</f>
        <v>2029</v>
      </c>
      <c r="I2747" s="89">
        <f>MONTH(Tabela1[[#This Row],[Data de Validade]])</f>
        <v>2</v>
      </c>
      <c r="J2747" s="101">
        <v>107355</v>
      </c>
      <c r="K2747" s="87" t="s">
        <v>9</v>
      </c>
      <c r="L2747" s="108"/>
      <c r="M2747" s="108"/>
      <c r="N2747" s="108" t="str">
        <v>H681P566</v>
      </c>
      <c r="O2747" s="108">
        <f t="shared" si="44"/>
        <v>1</v>
      </c>
      <c r="P2747" s="108"/>
      <c r="Q2747"/>
    </row>
    <row r="2748" spans="1:17" x14ac:dyDescent="0.25">
      <c r="A2748" s="89" t="s">
        <v>4490</v>
      </c>
      <c r="B2748" s="87" t="s">
        <v>4491</v>
      </c>
      <c r="C2748" s="87" t="s">
        <v>16</v>
      </c>
      <c r="D2748" s="87" t="str">
        <f>VLOOKUP(Tabela1[[#This Row],[Origem]], 'Perguntas 1 a 24'!$J$28:$K$34, 2, 0)</f>
        <v>Sudeste</v>
      </c>
      <c r="E2748" s="87" t="str">
        <f>Tabela1[[#This Row],[Descrição]]&amp;"-"&amp;Tabela1[[#This Row],[Código]]&amp;"/"&amp;Tabela1[[#This Row],[Origem]]</f>
        <v>Lolamavi-H681P566/MG</v>
      </c>
      <c r="F2748" s="88">
        <v>47151</v>
      </c>
      <c r="G2748" s="88" t="str" cm="1">
        <f t="array" ref="G27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AND(F2748&gt;= DATE(2026,1,1), F2748&lt;= DATE(2028, 12, 31), J2748&gt;50000), "Pendente e Caro", AND(F2748&gt;= DATE(2026,1,1), F2748&lt;= DATE(2028, 12, 31), J2748&lt;=50000), "Pendente", F2748&gt;= DATE(2029,1,1), "Não prioeitário")</f>
        <v>Não prioeitário</v>
      </c>
      <c r="H2748" s="89">
        <f>YEAR(Tabela1[[#This Row],[Data de Validade]])</f>
        <v>2029</v>
      </c>
      <c r="I2748" s="89">
        <f>MONTH(Tabela1[[#This Row],[Data de Validade]])</f>
        <v>2</v>
      </c>
      <c r="J2748" s="101">
        <v>102082</v>
      </c>
      <c r="K2748" s="87" t="s">
        <v>11</v>
      </c>
      <c r="L2748" s="108"/>
      <c r="M2748" s="108"/>
      <c r="N2748" s="108" t="str">
        <v>H448P161</v>
      </c>
      <c r="O2748" s="108">
        <f t="shared" si="44"/>
        <v>1</v>
      </c>
      <c r="P2748" s="108"/>
      <c r="Q2748"/>
    </row>
    <row r="2749" spans="1:17" x14ac:dyDescent="0.25">
      <c r="A2749" s="89" t="s">
        <v>8480</v>
      </c>
      <c r="B2749" s="87" t="s">
        <v>8481</v>
      </c>
      <c r="C2749" s="87" t="s">
        <v>15</v>
      </c>
      <c r="D2749" s="87" t="str">
        <f>VLOOKUP(Tabela1[[#This Row],[Origem]], 'Perguntas 1 a 24'!$J$28:$K$34, 2, 0)</f>
        <v>Sudeste</v>
      </c>
      <c r="E2749" s="87" t="str">
        <f>Tabela1[[#This Row],[Descrição]]&amp;"-"&amp;Tabela1[[#This Row],[Código]]&amp;"/"&amp;Tabela1[[#This Row],[Origem]]</f>
        <v>Pufuce-H448P161/ES</v>
      </c>
      <c r="F2749" s="88">
        <v>47152</v>
      </c>
      <c r="G2749" s="88" t="str" cm="1">
        <f t="array" ref="G27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AND(F2749&gt;= DATE(2026,1,1), F2749&lt;= DATE(2028, 12, 31), J2749&gt;50000), "Pendente e Caro", AND(F2749&gt;= DATE(2026,1,1), F2749&lt;= DATE(2028, 12, 31), J2749&lt;=50000), "Pendente", F2749&gt;= DATE(2029,1,1), "Não prioeitário")</f>
        <v>Não prioeitário</v>
      </c>
      <c r="H2749" s="89">
        <f>YEAR(Tabela1[[#This Row],[Data de Validade]])</f>
        <v>2029</v>
      </c>
      <c r="I2749" s="89">
        <f>MONTH(Tabela1[[#This Row],[Data de Validade]])</f>
        <v>2</v>
      </c>
      <c r="J2749" s="101">
        <v>33253</v>
      </c>
      <c r="K2749" s="87" t="s">
        <v>14</v>
      </c>
      <c r="L2749" s="108"/>
      <c r="M2749" s="108"/>
      <c r="N2749" s="108" t="str">
        <v>P574P561</v>
      </c>
      <c r="O2749" s="108">
        <f t="shared" si="44"/>
        <v>1</v>
      </c>
      <c r="P2749" s="108"/>
      <c r="Q2749"/>
    </row>
    <row r="2750" spans="1:17" x14ac:dyDescent="0.25">
      <c r="A2750" s="89" t="s">
        <v>10227</v>
      </c>
      <c r="B2750" s="87" t="s">
        <v>10228</v>
      </c>
      <c r="C2750" s="87" t="s">
        <v>13</v>
      </c>
      <c r="D2750" s="87" t="str">
        <f>VLOOKUP(Tabela1[[#This Row],[Origem]], 'Perguntas 1 a 24'!$J$28:$K$34, 2, 0)</f>
        <v>Sudeste</v>
      </c>
      <c r="E2750" s="87" t="str">
        <f>Tabela1[[#This Row],[Descrição]]&amp;"-"&amp;Tabela1[[#This Row],[Código]]&amp;"/"&amp;Tabela1[[#This Row],[Origem]]</f>
        <v>Pulagefo-P574P561/SP</v>
      </c>
      <c r="F2750" s="88">
        <v>47153</v>
      </c>
      <c r="G2750" s="88" t="str" cm="1">
        <f t="array" ref="G27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AND(F2750&gt;= DATE(2026,1,1), F2750&lt;= DATE(2028, 12, 31), J2750&gt;50000), "Pendente e Caro", AND(F2750&gt;= DATE(2026,1,1), F2750&lt;= DATE(2028, 12, 31), J2750&lt;=50000), "Pendente", F2750&gt;= DATE(2029,1,1), "Não prioeitário")</f>
        <v>Não prioeitário</v>
      </c>
      <c r="H2750" s="89">
        <f>YEAR(Tabela1[[#This Row],[Data de Validade]])</f>
        <v>2029</v>
      </c>
      <c r="I2750" s="89">
        <f>MONTH(Tabela1[[#This Row],[Data de Validade]])</f>
        <v>2</v>
      </c>
      <c r="J2750" s="101">
        <v>76381</v>
      </c>
      <c r="K2750" s="87" t="s">
        <v>9</v>
      </c>
      <c r="L2750" s="108"/>
      <c r="M2750" s="108"/>
      <c r="N2750" s="108" t="str">
        <v>P385P845</v>
      </c>
      <c r="O2750" s="108">
        <f t="shared" si="44"/>
        <v>1</v>
      </c>
      <c r="P2750" s="108"/>
      <c r="Q2750"/>
    </row>
    <row r="2751" spans="1:17" x14ac:dyDescent="0.25">
      <c r="A2751" s="89" t="s">
        <v>6200</v>
      </c>
      <c r="B2751" s="87" t="s">
        <v>6201</v>
      </c>
      <c r="C2751" s="87" t="s">
        <v>13</v>
      </c>
      <c r="D2751" s="87" t="str">
        <f>VLOOKUP(Tabela1[[#This Row],[Origem]], 'Perguntas 1 a 24'!$J$28:$K$34, 2, 0)</f>
        <v>Sudeste</v>
      </c>
      <c r="E2751" s="87" t="str">
        <f>Tabela1[[#This Row],[Descrição]]&amp;"-"&amp;Tabela1[[#This Row],[Código]]&amp;"/"&amp;Tabela1[[#This Row],[Origem]]</f>
        <v>Tirupa-P385P845/SP</v>
      </c>
      <c r="F2751" s="88">
        <v>47153</v>
      </c>
      <c r="G2751" s="88" t="str" cm="1">
        <f t="array" ref="G27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AND(F2751&gt;= DATE(2026,1,1), F2751&lt;= DATE(2028, 12, 31), J2751&gt;50000), "Pendente e Caro", AND(F2751&gt;= DATE(2026,1,1), F2751&lt;= DATE(2028, 12, 31), J2751&lt;=50000), "Pendente", F2751&gt;= DATE(2029,1,1), "Não prioeitário")</f>
        <v>Não prioeitário</v>
      </c>
      <c r="H2751" s="89">
        <f>YEAR(Tabela1[[#This Row],[Data de Validade]])</f>
        <v>2029</v>
      </c>
      <c r="I2751" s="89">
        <f>MONTH(Tabela1[[#This Row],[Data de Validade]])</f>
        <v>2</v>
      </c>
      <c r="J2751" s="101">
        <v>53501</v>
      </c>
      <c r="K2751" s="87" t="s">
        <v>7</v>
      </c>
      <c r="L2751" s="108"/>
      <c r="M2751" s="108"/>
      <c r="N2751" s="108" t="str">
        <v>P495P433</v>
      </c>
      <c r="O2751" s="108">
        <f t="shared" si="44"/>
        <v>1</v>
      </c>
      <c r="P2751" s="108"/>
      <c r="Q2751"/>
    </row>
    <row r="2752" spans="1:17" x14ac:dyDescent="0.25">
      <c r="A2752" s="89" t="s">
        <v>4526</v>
      </c>
      <c r="B2752" s="87" t="s">
        <v>4527</v>
      </c>
      <c r="C2752" s="87" t="s">
        <v>13</v>
      </c>
      <c r="D2752" s="87" t="str">
        <f>VLOOKUP(Tabela1[[#This Row],[Origem]], 'Perguntas 1 a 24'!$J$28:$K$34, 2, 0)</f>
        <v>Sudeste</v>
      </c>
      <c r="E2752" s="87" t="str">
        <f>Tabela1[[#This Row],[Descrição]]&amp;"-"&amp;Tabela1[[#This Row],[Código]]&amp;"/"&amp;Tabela1[[#This Row],[Origem]]</f>
        <v>Mugami-P495P433/SP</v>
      </c>
      <c r="F2752" s="88">
        <v>47154</v>
      </c>
      <c r="G2752" s="88" t="str" cm="1">
        <f t="array" ref="G27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AND(F2752&gt;= DATE(2026,1,1), F2752&lt;= DATE(2028, 12, 31), J2752&gt;50000), "Pendente e Caro", AND(F2752&gt;= DATE(2026,1,1), F2752&lt;= DATE(2028, 12, 31), J2752&lt;=50000), "Pendente", F2752&gt;= DATE(2029,1,1), "Não prioeitário")</f>
        <v>Não prioeitário</v>
      </c>
      <c r="H2752" s="89">
        <f>YEAR(Tabela1[[#This Row],[Data de Validade]])</f>
        <v>2029</v>
      </c>
      <c r="I2752" s="89">
        <f>MONTH(Tabela1[[#This Row],[Data de Validade]])</f>
        <v>2</v>
      </c>
      <c r="J2752" s="101">
        <v>38958</v>
      </c>
      <c r="K2752" s="87" t="s">
        <v>11</v>
      </c>
      <c r="L2752" s="108"/>
      <c r="M2752" s="108"/>
      <c r="N2752" s="108" t="str">
        <v>P711H654</v>
      </c>
      <c r="O2752" s="108">
        <f t="shared" si="44"/>
        <v>1</v>
      </c>
      <c r="P2752" s="108"/>
      <c r="Q2752"/>
    </row>
    <row r="2753" spans="1:17" x14ac:dyDescent="0.25">
      <c r="A2753" s="89" t="s">
        <v>8859</v>
      </c>
      <c r="B2753" s="87" t="s">
        <v>8860</v>
      </c>
      <c r="C2753" s="87" t="s">
        <v>15</v>
      </c>
      <c r="D2753" s="87" t="str">
        <f>VLOOKUP(Tabela1[[#This Row],[Origem]], 'Perguntas 1 a 24'!$J$28:$K$34, 2, 0)</f>
        <v>Sudeste</v>
      </c>
      <c r="E2753" s="87" t="str">
        <f>Tabela1[[#This Row],[Descrição]]&amp;"-"&amp;Tabela1[[#This Row],[Código]]&amp;"/"&amp;Tabela1[[#This Row],[Origem]]</f>
        <v>Nipufacami-P711H654/ES</v>
      </c>
      <c r="F2753" s="88">
        <v>47155</v>
      </c>
      <c r="G2753" s="88" t="str" cm="1">
        <f t="array" ref="G27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AND(F2753&gt;= DATE(2026,1,1), F2753&lt;= DATE(2028, 12, 31), J2753&gt;50000), "Pendente e Caro", AND(F2753&gt;= DATE(2026,1,1), F2753&lt;= DATE(2028, 12, 31), J2753&lt;=50000), "Pendente", F2753&gt;= DATE(2029,1,1), "Não prioeitário")</f>
        <v>Não prioeitário</v>
      </c>
      <c r="H2753" s="89">
        <f>YEAR(Tabela1[[#This Row],[Data de Validade]])</f>
        <v>2029</v>
      </c>
      <c r="I2753" s="89">
        <f>MONTH(Tabela1[[#This Row],[Data de Validade]])</f>
        <v>2</v>
      </c>
      <c r="J2753" s="101">
        <v>81867</v>
      </c>
      <c r="K2753" s="87" t="s">
        <v>11</v>
      </c>
      <c r="L2753" s="108"/>
      <c r="M2753" s="108"/>
      <c r="N2753" s="108" t="str">
        <v>H144H234</v>
      </c>
      <c r="O2753" s="108">
        <f t="shared" si="44"/>
        <v>1</v>
      </c>
      <c r="P2753" s="108"/>
      <c r="Q2753"/>
    </row>
    <row r="2754" spans="1:17" x14ac:dyDescent="0.25">
      <c r="A2754" s="89" t="s">
        <v>8478</v>
      </c>
      <c r="B2754" s="87" t="s">
        <v>8479</v>
      </c>
      <c r="C2754" s="87" t="s">
        <v>16</v>
      </c>
      <c r="D2754" s="87" t="str">
        <f>VLOOKUP(Tabela1[[#This Row],[Origem]], 'Perguntas 1 a 24'!$J$28:$K$34, 2, 0)</f>
        <v>Sudeste</v>
      </c>
      <c r="E2754" s="87" t="str">
        <f>Tabela1[[#This Row],[Descrição]]&amp;"-"&amp;Tabela1[[#This Row],[Código]]&amp;"/"&amp;Tabela1[[#This Row],[Origem]]</f>
        <v>Potitana-H144H234/MG</v>
      </c>
      <c r="F2754" s="88">
        <v>47155</v>
      </c>
      <c r="G2754" s="88" t="str" cm="1">
        <f t="array" ref="G27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AND(F2754&gt;= DATE(2026,1,1), F2754&lt;= DATE(2028, 12, 31), J2754&gt;50000), "Pendente e Caro", AND(F2754&gt;= DATE(2026,1,1), F2754&lt;= DATE(2028, 12, 31), J2754&lt;=50000), "Pendente", F2754&gt;= DATE(2029,1,1), "Não prioeitário")</f>
        <v>Não prioeitário</v>
      </c>
      <c r="H2754" s="89">
        <f>YEAR(Tabela1[[#This Row],[Data de Validade]])</f>
        <v>2029</v>
      </c>
      <c r="I2754" s="89">
        <f>MONTH(Tabela1[[#This Row],[Data de Validade]])</f>
        <v>2</v>
      </c>
      <c r="J2754" s="101">
        <v>37379</v>
      </c>
      <c r="K2754" s="87" t="s">
        <v>14</v>
      </c>
      <c r="L2754" s="108"/>
      <c r="M2754" s="108"/>
      <c r="N2754" s="108" t="str">
        <v>H499P842</v>
      </c>
      <c r="O2754" s="108">
        <f t="shared" si="44"/>
        <v>1</v>
      </c>
      <c r="P2754" s="108"/>
      <c r="Q2754"/>
    </row>
    <row r="2755" spans="1:17" x14ac:dyDescent="0.25">
      <c r="A2755" s="89" t="s">
        <v>6430</v>
      </c>
      <c r="B2755" s="87" t="s">
        <v>6431</v>
      </c>
      <c r="C2755" s="87" t="s">
        <v>12</v>
      </c>
      <c r="D2755" s="87" t="str">
        <f>VLOOKUP(Tabela1[[#This Row],[Origem]], 'Perguntas 1 a 24'!$J$28:$K$34, 2, 0)</f>
        <v>Sudeste</v>
      </c>
      <c r="E2755" s="87" t="str">
        <f>Tabela1[[#This Row],[Descrição]]&amp;"-"&amp;Tabela1[[#This Row],[Código]]&amp;"/"&amp;Tabela1[[#This Row],[Origem]]</f>
        <v>Ricupe-H499P842/RJ</v>
      </c>
      <c r="F2755" s="88">
        <v>47155</v>
      </c>
      <c r="G2755" s="88" t="str" cm="1">
        <f t="array" ref="G27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AND(F2755&gt;= DATE(2026,1,1), F2755&lt;= DATE(2028, 12, 31), J2755&gt;50000), "Pendente e Caro", AND(F2755&gt;= DATE(2026,1,1), F2755&lt;= DATE(2028, 12, 31), J2755&lt;=50000), "Pendente", F2755&gt;= DATE(2029,1,1), "Não prioeitário")</f>
        <v>Não prioeitário</v>
      </c>
      <c r="H2755" s="89">
        <f>YEAR(Tabela1[[#This Row],[Data de Validade]])</f>
        <v>2029</v>
      </c>
      <c r="I2755" s="89">
        <f>MONTH(Tabela1[[#This Row],[Data de Validade]])</f>
        <v>2</v>
      </c>
      <c r="J2755" s="101">
        <v>21941</v>
      </c>
      <c r="K2755" s="87" t="s">
        <v>14</v>
      </c>
      <c r="L2755" s="108"/>
      <c r="M2755" s="108"/>
      <c r="N2755" s="108" t="str">
        <v>P381P288</v>
      </c>
      <c r="O2755" s="108">
        <f t="shared" ref="O2755:O2818" si="45">COUNTIFS(B:B,N2755)</f>
        <v>1</v>
      </c>
      <c r="P2755" s="108"/>
      <c r="Q2755"/>
    </row>
    <row r="2756" spans="1:17" x14ac:dyDescent="0.25">
      <c r="A2756" s="89" t="s">
        <v>7620</v>
      </c>
      <c r="B2756" s="87" t="s">
        <v>7621</v>
      </c>
      <c r="C2756" s="87" t="s">
        <v>15</v>
      </c>
      <c r="D2756" s="87" t="str">
        <f>VLOOKUP(Tabela1[[#This Row],[Origem]], 'Perguntas 1 a 24'!$J$28:$K$34, 2, 0)</f>
        <v>Sudeste</v>
      </c>
      <c r="E2756" s="87" t="str">
        <f>Tabela1[[#This Row],[Descrição]]&amp;"-"&amp;Tabela1[[#This Row],[Código]]&amp;"/"&amp;Tabela1[[#This Row],[Origem]]</f>
        <v>Rerudarufe-P381P288/ES</v>
      </c>
      <c r="F2756" s="88">
        <v>47156</v>
      </c>
      <c r="G2756" s="88" t="str" cm="1">
        <f t="array" ref="G27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AND(F2756&gt;= DATE(2026,1,1), F2756&lt;= DATE(2028, 12, 31), J2756&gt;50000), "Pendente e Caro", AND(F2756&gt;= DATE(2026,1,1), F2756&lt;= DATE(2028, 12, 31), J2756&lt;=50000), "Pendente", F2756&gt;= DATE(2029,1,1), "Não prioeitário")</f>
        <v>Não prioeitário</v>
      </c>
      <c r="H2756" s="89">
        <f>YEAR(Tabela1[[#This Row],[Data de Validade]])</f>
        <v>2029</v>
      </c>
      <c r="I2756" s="89">
        <f>MONTH(Tabela1[[#This Row],[Data de Validade]])</f>
        <v>2</v>
      </c>
      <c r="J2756" s="101">
        <v>95858</v>
      </c>
      <c r="K2756" s="87" t="s">
        <v>7</v>
      </c>
      <c r="L2756" s="108"/>
      <c r="M2756" s="108"/>
      <c r="N2756" s="108" t="str">
        <v>P221H333</v>
      </c>
      <c r="O2756" s="108">
        <f t="shared" si="45"/>
        <v>1</v>
      </c>
      <c r="P2756" s="108"/>
      <c r="Q2756"/>
    </row>
    <row r="2757" spans="1:17" x14ac:dyDescent="0.25">
      <c r="A2757" s="89" t="s">
        <v>7988</v>
      </c>
      <c r="B2757" s="87" t="s">
        <v>7989</v>
      </c>
      <c r="C2757" s="87" t="s">
        <v>12</v>
      </c>
      <c r="D2757" s="87" t="str">
        <f>VLOOKUP(Tabela1[[#This Row],[Origem]], 'Perguntas 1 a 24'!$J$28:$K$34, 2, 0)</f>
        <v>Sudeste</v>
      </c>
      <c r="E2757" s="87" t="str">
        <f>Tabela1[[#This Row],[Descrição]]&amp;"-"&amp;Tabela1[[#This Row],[Código]]&amp;"/"&amp;Tabela1[[#This Row],[Origem]]</f>
        <v>Furifeciti-P221H333/RJ</v>
      </c>
      <c r="F2757" s="88">
        <v>47156</v>
      </c>
      <c r="G2757" s="88" t="str" cm="1">
        <f t="array" ref="G27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AND(F2757&gt;= DATE(2026,1,1), F2757&lt;= DATE(2028, 12, 31), J2757&gt;50000), "Pendente e Caro", AND(F2757&gt;= DATE(2026,1,1), F2757&lt;= DATE(2028, 12, 31), J2757&lt;=50000), "Pendente", F2757&gt;= DATE(2029,1,1), "Não prioeitário")</f>
        <v>Não prioeitário</v>
      </c>
      <c r="H2757" s="89">
        <f>YEAR(Tabela1[[#This Row],[Data de Validade]])</f>
        <v>2029</v>
      </c>
      <c r="I2757" s="89">
        <f>MONTH(Tabela1[[#This Row],[Data de Validade]])</f>
        <v>2</v>
      </c>
      <c r="J2757" s="101">
        <v>93075</v>
      </c>
      <c r="K2757" s="87" t="s">
        <v>7</v>
      </c>
      <c r="L2757" s="108"/>
      <c r="M2757" s="108"/>
      <c r="N2757" s="108" t="str">
        <v>P136P676</v>
      </c>
      <c r="O2757" s="108">
        <f t="shared" si="45"/>
        <v>1</v>
      </c>
      <c r="P2757" s="108"/>
      <c r="Q2757"/>
    </row>
    <row r="2758" spans="1:17" x14ac:dyDescent="0.25">
      <c r="A2758" s="89" t="s">
        <v>8821</v>
      </c>
      <c r="B2758" s="87" t="s">
        <v>8822</v>
      </c>
      <c r="C2758" s="87" t="s">
        <v>16</v>
      </c>
      <c r="D2758" s="87" t="str">
        <f>VLOOKUP(Tabela1[[#This Row],[Origem]], 'Perguntas 1 a 24'!$J$28:$K$34, 2, 0)</f>
        <v>Sudeste</v>
      </c>
      <c r="E2758" s="87" t="str">
        <f>Tabela1[[#This Row],[Descrição]]&amp;"-"&amp;Tabela1[[#This Row],[Código]]&amp;"/"&amp;Tabela1[[#This Row],[Origem]]</f>
        <v>Godilerata-P136P676/MG</v>
      </c>
      <c r="F2758" s="88">
        <v>47158</v>
      </c>
      <c r="G2758" s="88" t="str" cm="1">
        <f t="array" ref="G27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AND(F2758&gt;= DATE(2026,1,1), F2758&lt;= DATE(2028, 12, 31), J2758&gt;50000), "Pendente e Caro", AND(F2758&gt;= DATE(2026,1,1), F2758&lt;= DATE(2028, 12, 31), J2758&lt;=50000), "Pendente", F2758&gt;= DATE(2029,1,1), "Não prioeitário")</f>
        <v>Não prioeitário</v>
      </c>
      <c r="H2758" s="89">
        <f>YEAR(Tabela1[[#This Row],[Data de Validade]])</f>
        <v>2029</v>
      </c>
      <c r="I2758" s="89">
        <f>MONTH(Tabela1[[#This Row],[Data de Validade]])</f>
        <v>2</v>
      </c>
      <c r="J2758" s="101">
        <v>115627</v>
      </c>
      <c r="K2758" s="87" t="s">
        <v>7</v>
      </c>
      <c r="L2758" s="108"/>
      <c r="M2758" s="108"/>
      <c r="N2758" s="108" t="str">
        <v>H114P455</v>
      </c>
      <c r="O2758" s="108">
        <f t="shared" si="45"/>
        <v>1</v>
      </c>
      <c r="P2758" s="108"/>
      <c r="Q2758"/>
    </row>
    <row r="2759" spans="1:17" x14ac:dyDescent="0.25">
      <c r="A2759" s="89" t="s">
        <v>9299</v>
      </c>
      <c r="B2759" s="87" t="s">
        <v>9300</v>
      </c>
      <c r="C2759" s="87" t="s">
        <v>16</v>
      </c>
      <c r="D2759" s="87" t="str">
        <f>VLOOKUP(Tabela1[[#This Row],[Origem]], 'Perguntas 1 a 24'!$J$28:$K$34, 2, 0)</f>
        <v>Sudeste</v>
      </c>
      <c r="E2759" s="87" t="str">
        <f>Tabela1[[#This Row],[Descrição]]&amp;"-"&amp;Tabela1[[#This Row],[Código]]&amp;"/"&amp;Tabela1[[#This Row],[Origem]]</f>
        <v>Gatuce-H114P455/MG</v>
      </c>
      <c r="F2759" s="88">
        <v>47158</v>
      </c>
      <c r="G2759" s="88" t="str" cm="1">
        <f t="array" ref="G27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AND(F2759&gt;= DATE(2026,1,1), F2759&lt;= DATE(2028, 12, 31), J2759&gt;50000), "Pendente e Caro", AND(F2759&gt;= DATE(2026,1,1), F2759&lt;= DATE(2028, 12, 31), J2759&lt;=50000), "Pendente", F2759&gt;= DATE(2029,1,1), "Não prioeitário")</f>
        <v>Não prioeitário</v>
      </c>
      <c r="H2759" s="89">
        <f>YEAR(Tabela1[[#This Row],[Data de Validade]])</f>
        <v>2029</v>
      </c>
      <c r="I2759" s="89">
        <f>MONTH(Tabela1[[#This Row],[Data de Validade]])</f>
        <v>2</v>
      </c>
      <c r="J2759" s="101">
        <v>114248</v>
      </c>
      <c r="K2759" s="87" t="s">
        <v>14</v>
      </c>
      <c r="L2759" s="108"/>
      <c r="M2759" s="108"/>
      <c r="N2759" s="108" t="str">
        <v>H187P622</v>
      </c>
      <c r="O2759" s="108">
        <f t="shared" si="45"/>
        <v>1</v>
      </c>
      <c r="P2759" s="108"/>
      <c r="Q2759"/>
    </row>
    <row r="2760" spans="1:17" x14ac:dyDescent="0.25">
      <c r="A2760" s="89" t="s">
        <v>11256</v>
      </c>
      <c r="B2760" s="87" t="s">
        <v>11257</v>
      </c>
      <c r="C2760" s="87" t="s">
        <v>15</v>
      </c>
      <c r="D2760" s="87" t="str">
        <f>VLOOKUP(Tabela1[[#This Row],[Origem]], 'Perguntas 1 a 24'!$J$28:$K$34, 2, 0)</f>
        <v>Sudeste</v>
      </c>
      <c r="E2760" s="87" t="str">
        <f>Tabela1[[#This Row],[Descrição]]&amp;"-"&amp;Tabela1[[#This Row],[Código]]&amp;"/"&amp;Tabela1[[#This Row],[Origem]]</f>
        <v>Riludava-H187P622/ES</v>
      </c>
      <c r="F2760" s="88">
        <v>47158</v>
      </c>
      <c r="G2760" s="88" t="str" cm="1">
        <f t="array" ref="G27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AND(F2760&gt;= DATE(2026,1,1), F2760&lt;= DATE(2028, 12, 31), J2760&gt;50000), "Pendente e Caro", AND(F2760&gt;= DATE(2026,1,1), F2760&lt;= DATE(2028, 12, 31), J2760&lt;=50000), "Pendente", F2760&gt;= DATE(2029,1,1), "Não prioeitário")</f>
        <v>Não prioeitário</v>
      </c>
      <c r="H2760" s="89">
        <f>YEAR(Tabela1[[#This Row],[Data de Validade]])</f>
        <v>2029</v>
      </c>
      <c r="I2760" s="89">
        <f>MONTH(Tabela1[[#This Row],[Data de Validade]])</f>
        <v>2</v>
      </c>
      <c r="J2760" s="101">
        <v>27025</v>
      </c>
      <c r="K2760" s="87" t="s">
        <v>11</v>
      </c>
      <c r="L2760" s="108"/>
      <c r="M2760" s="108"/>
      <c r="N2760" s="108" t="str">
        <v>H375P272</v>
      </c>
      <c r="O2760" s="108">
        <f t="shared" si="45"/>
        <v>1</v>
      </c>
      <c r="P2760" s="108"/>
      <c r="Q2760"/>
    </row>
    <row r="2761" spans="1:17" x14ac:dyDescent="0.25">
      <c r="A2761" s="89" t="s">
        <v>5768</v>
      </c>
      <c r="B2761" s="87" t="s">
        <v>5769</v>
      </c>
      <c r="C2761" s="87" t="s">
        <v>16</v>
      </c>
      <c r="D2761" s="87" t="str">
        <f>VLOOKUP(Tabela1[[#This Row],[Origem]], 'Perguntas 1 a 24'!$J$28:$K$34, 2, 0)</f>
        <v>Sudeste</v>
      </c>
      <c r="E2761" s="87" t="str">
        <f>Tabela1[[#This Row],[Descrição]]&amp;"-"&amp;Tabela1[[#This Row],[Código]]&amp;"/"&amp;Tabela1[[#This Row],[Origem]]</f>
        <v>Cocepa-H375P272/MG</v>
      </c>
      <c r="F2761" s="88">
        <v>47160</v>
      </c>
      <c r="G2761" s="88" t="str" cm="1">
        <f t="array" ref="G27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AND(F2761&gt;= DATE(2026,1,1), F2761&lt;= DATE(2028, 12, 31), J2761&gt;50000), "Pendente e Caro", AND(F2761&gt;= DATE(2026,1,1), F2761&lt;= DATE(2028, 12, 31), J2761&lt;=50000), "Pendente", F2761&gt;= DATE(2029,1,1), "Não prioeitário")</f>
        <v>Não prioeitário</v>
      </c>
      <c r="H2761" s="89">
        <f>YEAR(Tabela1[[#This Row],[Data de Validade]])</f>
        <v>2029</v>
      </c>
      <c r="I2761" s="89">
        <f>MONTH(Tabela1[[#This Row],[Data de Validade]])</f>
        <v>2</v>
      </c>
      <c r="J2761" s="101">
        <v>97576</v>
      </c>
      <c r="K2761" s="87" t="s">
        <v>14</v>
      </c>
      <c r="L2761" s="108"/>
      <c r="M2761" s="108"/>
      <c r="N2761" s="108" t="str">
        <v>P983H627</v>
      </c>
      <c r="O2761" s="108">
        <f t="shared" si="45"/>
        <v>1</v>
      </c>
      <c r="P2761" s="108"/>
      <c r="Q2761"/>
    </row>
    <row r="2762" spans="1:17" x14ac:dyDescent="0.25">
      <c r="A2762" s="89" t="s">
        <v>5448</v>
      </c>
      <c r="B2762" s="87" t="s">
        <v>5449</v>
      </c>
      <c r="C2762" s="87" t="s">
        <v>16</v>
      </c>
      <c r="D2762" s="87" t="str">
        <f>VLOOKUP(Tabela1[[#This Row],[Origem]], 'Perguntas 1 a 24'!$J$28:$K$34, 2, 0)</f>
        <v>Sudeste</v>
      </c>
      <c r="E2762" s="87" t="str">
        <f>Tabela1[[#This Row],[Descrição]]&amp;"-"&amp;Tabela1[[#This Row],[Código]]&amp;"/"&amp;Tabela1[[#This Row],[Origem]]</f>
        <v>Ritopufe-P983H627/MG</v>
      </c>
      <c r="F2762" s="88">
        <v>47160</v>
      </c>
      <c r="G2762" s="88" t="str" cm="1">
        <f t="array" ref="G27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AND(F2762&gt;= DATE(2026,1,1), F2762&lt;= DATE(2028, 12, 31), J2762&gt;50000), "Pendente e Caro", AND(F2762&gt;= DATE(2026,1,1), F2762&lt;= DATE(2028, 12, 31), J2762&lt;=50000), "Pendente", F2762&gt;= DATE(2029,1,1), "Não prioeitário")</f>
        <v>Não prioeitário</v>
      </c>
      <c r="H2762" s="89">
        <f>YEAR(Tabela1[[#This Row],[Data de Validade]])</f>
        <v>2029</v>
      </c>
      <c r="I2762" s="89">
        <f>MONTH(Tabela1[[#This Row],[Data de Validade]])</f>
        <v>2</v>
      </c>
      <c r="J2762" s="101">
        <v>61197</v>
      </c>
      <c r="K2762" s="87" t="s">
        <v>9</v>
      </c>
      <c r="L2762" s="108"/>
      <c r="M2762" s="108"/>
      <c r="N2762" s="108" t="str">
        <v>P812P374</v>
      </c>
      <c r="O2762" s="108">
        <f t="shared" si="45"/>
        <v>1</v>
      </c>
      <c r="P2762" s="108"/>
      <c r="Q2762"/>
    </row>
    <row r="2763" spans="1:17" x14ac:dyDescent="0.25">
      <c r="A2763" s="89" t="s">
        <v>4449</v>
      </c>
      <c r="B2763" s="87" t="s">
        <v>4450</v>
      </c>
      <c r="C2763" s="87" t="s">
        <v>15</v>
      </c>
      <c r="D2763" s="87" t="str">
        <f>VLOOKUP(Tabela1[[#This Row],[Origem]], 'Perguntas 1 a 24'!$J$28:$K$34, 2, 0)</f>
        <v>Sudeste</v>
      </c>
      <c r="E2763" s="87" t="str">
        <f>Tabela1[[#This Row],[Descrição]]&amp;"-"&amp;Tabela1[[#This Row],[Código]]&amp;"/"&amp;Tabela1[[#This Row],[Origem]]</f>
        <v>Mitupa-P812P374/ES</v>
      </c>
      <c r="F2763" s="88">
        <v>47160</v>
      </c>
      <c r="G2763" s="88" t="str" cm="1">
        <f t="array" ref="G27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AND(F2763&gt;= DATE(2026,1,1), F2763&lt;= DATE(2028, 12, 31), J2763&gt;50000), "Pendente e Caro", AND(F2763&gt;= DATE(2026,1,1), F2763&lt;= DATE(2028, 12, 31), J2763&lt;=50000), "Pendente", F2763&gt;= DATE(2029,1,1), "Não prioeitário")</f>
        <v>Não prioeitário</v>
      </c>
      <c r="H2763" s="89">
        <f>YEAR(Tabela1[[#This Row],[Data de Validade]])</f>
        <v>2029</v>
      </c>
      <c r="I2763" s="89">
        <f>MONTH(Tabela1[[#This Row],[Data de Validade]])</f>
        <v>2</v>
      </c>
      <c r="J2763" s="101">
        <v>32995</v>
      </c>
      <c r="K2763" s="87" t="s">
        <v>14</v>
      </c>
      <c r="L2763" s="108"/>
      <c r="M2763" s="108"/>
      <c r="N2763" s="108" t="str">
        <v>H494H688</v>
      </c>
      <c r="O2763" s="108">
        <f t="shared" si="45"/>
        <v>1</v>
      </c>
      <c r="P2763" s="108"/>
      <c r="Q2763"/>
    </row>
    <row r="2764" spans="1:17" x14ac:dyDescent="0.25">
      <c r="A2764" s="89" t="s">
        <v>5076</v>
      </c>
      <c r="B2764" s="87" t="s">
        <v>5077</v>
      </c>
      <c r="C2764" s="87" t="s">
        <v>15</v>
      </c>
      <c r="D2764" s="87" t="str">
        <f>VLOOKUP(Tabela1[[#This Row],[Origem]], 'Perguntas 1 a 24'!$J$28:$K$34, 2, 0)</f>
        <v>Sudeste</v>
      </c>
      <c r="E2764" s="87" t="str">
        <f>Tabela1[[#This Row],[Descrição]]&amp;"-"&amp;Tabela1[[#This Row],[Código]]&amp;"/"&amp;Tabela1[[#This Row],[Origem]]</f>
        <v>Gitoliveri-H494H688/ES</v>
      </c>
      <c r="F2764" s="88">
        <v>47161</v>
      </c>
      <c r="G2764" s="88" t="str" cm="1">
        <f t="array" ref="G27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AND(F2764&gt;= DATE(2026,1,1), F2764&lt;= DATE(2028, 12, 31), J2764&gt;50000), "Pendente e Caro", AND(F2764&gt;= DATE(2026,1,1), F2764&lt;= DATE(2028, 12, 31), J2764&lt;=50000), "Pendente", F2764&gt;= DATE(2029,1,1), "Não prioeitário")</f>
        <v>Não prioeitário</v>
      </c>
      <c r="H2764" s="89">
        <f>YEAR(Tabela1[[#This Row],[Data de Validade]])</f>
        <v>2029</v>
      </c>
      <c r="I2764" s="89">
        <f>MONTH(Tabela1[[#This Row],[Data de Validade]])</f>
        <v>2</v>
      </c>
      <c r="J2764" s="101">
        <v>67391</v>
      </c>
      <c r="K2764" s="87" t="s">
        <v>9</v>
      </c>
      <c r="L2764" s="108"/>
      <c r="M2764" s="108"/>
      <c r="N2764" s="108" t="str">
        <v>H429P374</v>
      </c>
      <c r="O2764" s="108">
        <f t="shared" si="45"/>
        <v>1</v>
      </c>
      <c r="P2764" s="108"/>
      <c r="Q2764"/>
    </row>
    <row r="2765" spans="1:17" x14ac:dyDescent="0.25">
      <c r="A2765" s="89" t="s">
        <v>6884</v>
      </c>
      <c r="B2765" s="87" t="s">
        <v>6885</v>
      </c>
      <c r="C2765" s="87" t="s">
        <v>13</v>
      </c>
      <c r="D2765" s="87" t="str">
        <f>VLOOKUP(Tabela1[[#This Row],[Origem]], 'Perguntas 1 a 24'!$J$28:$K$34, 2, 0)</f>
        <v>Sudeste</v>
      </c>
      <c r="E2765" s="87" t="str">
        <f>Tabela1[[#This Row],[Descrição]]&amp;"-"&amp;Tabela1[[#This Row],[Código]]&amp;"/"&amp;Tabela1[[#This Row],[Origem]]</f>
        <v>Marevopova-H429P374/SP</v>
      </c>
      <c r="F2765" s="88">
        <v>47161</v>
      </c>
      <c r="G2765" s="88" t="str" cm="1">
        <f t="array" ref="G27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AND(F2765&gt;= DATE(2026,1,1), F2765&lt;= DATE(2028, 12, 31), J2765&gt;50000), "Pendente e Caro", AND(F2765&gt;= DATE(2026,1,1), F2765&lt;= DATE(2028, 12, 31), J2765&lt;=50000), "Pendente", F2765&gt;= DATE(2029,1,1), "Não prioeitário")</f>
        <v>Não prioeitário</v>
      </c>
      <c r="H2765" s="89">
        <f>YEAR(Tabela1[[#This Row],[Data de Validade]])</f>
        <v>2029</v>
      </c>
      <c r="I2765" s="89">
        <f>MONTH(Tabela1[[#This Row],[Data de Validade]])</f>
        <v>2</v>
      </c>
      <c r="J2765" s="101">
        <v>62434</v>
      </c>
      <c r="K2765" s="87" t="s">
        <v>11</v>
      </c>
      <c r="L2765" s="108"/>
      <c r="M2765" s="108"/>
      <c r="N2765" s="108" t="str">
        <v>P971P553</v>
      </c>
      <c r="O2765" s="108">
        <f t="shared" si="45"/>
        <v>1</v>
      </c>
      <c r="P2765" s="108"/>
      <c r="Q2765"/>
    </row>
    <row r="2766" spans="1:17" x14ac:dyDescent="0.25">
      <c r="A2766" s="89" t="s">
        <v>10885</v>
      </c>
      <c r="B2766" s="87" t="s">
        <v>10886</v>
      </c>
      <c r="C2766" s="87" t="s">
        <v>13</v>
      </c>
      <c r="D2766" s="87" t="str">
        <f>VLOOKUP(Tabela1[[#This Row],[Origem]], 'Perguntas 1 a 24'!$J$28:$K$34, 2, 0)</f>
        <v>Sudeste</v>
      </c>
      <c r="E2766" s="87" t="str">
        <f>Tabela1[[#This Row],[Descrição]]&amp;"-"&amp;Tabela1[[#This Row],[Código]]&amp;"/"&amp;Tabela1[[#This Row],[Origem]]</f>
        <v>Retirufo-P971P553/SP</v>
      </c>
      <c r="F2766" s="88">
        <v>47161</v>
      </c>
      <c r="G2766" s="88" t="str" cm="1">
        <f t="array" ref="G27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AND(F2766&gt;= DATE(2026,1,1), F2766&lt;= DATE(2028, 12, 31), J2766&gt;50000), "Pendente e Caro", AND(F2766&gt;= DATE(2026,1,1), F2766&lt;= DATE(2028, 12, 31), J2766&lt;=50000), "Pendente", F2766&gt;= DATE(2029,1,1), "Não prioeitário")</f>
        <v>Não prioeitário</v>
      </c>
      <c r="H2766" s="89">
        <f>YEAR(Tabela1[[#This Row],[Data de Validade]])</f>
        <v>2029</v>
      </c>
      <c r="I2766" s="89">
        <f>MONTH(Tabela1[[#This Row],[Data de Validade]])</f>
        <v>2</v>
      </c>
      <c r="J2766" s="101">
        <v>59016</v>
      </c>
      <c r="K2766" s="87" t="s">
        <v>7</v>
      </c>
      <c r="L2766" s="108"/>
      <c r="M2766" s="108"/>
      <c r="N2766" s="108" t="str">
        <v>P762P821</v>
      </c>
      <c r="O2766" s="108">
        <f t="shared" si="45"/>
        <v>1</v>
      </c>
      <c r="P2766" s="108"/>
      <c r="Q2766"/>
    </row>
    <row r="2767" spans="1:17" x14ac:dyDescent="0.25">
      <c r="A2767" s="89" t="s">
        <v>6804</v>
      </c>
      <c r="B2767" s="87" t="s">
        <v>6805</v>
      </c>
      <c r="C2767" s="87" t="s">
        <v>16</v>
      </c>
      <c r="D2767" s="87" t="str">
        <f>VLOOKUP(Tabela1[[#This Row],[Origem]], 'Perguntas 1 a 24'!$J$28:$K$34, 2, 0)</f>
        <v>Sudeste</v>
      </c>
      <c r="E2767" s="87" t="str">
        <f>Tabela1[[#This Row],[Descrição]]&amp;"-"&amp;Tabela1[[#This Row],[Código]]&amp;"/"&amp;Tabela1[[#This Row],[Origem]]</f>
        <v>Pitaca-P762P821/MG</v>
      </c>
      <c r="F2767" s="88">
        <v>47161</v>
      </c>
      <c r="G2767" s="88" t="str" cm="1">
        <f t="array" ref="G27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AND(F2767&gt;= DATE(2026,1,1), F2767&lt;= DATE(2028, 12, 31), J2767&gt;50000), "Pendente e Caro", AND(F2767&gt;= DATE(2026,1,1), F2767&lt;= DATE(2028, 12, 31), J2767&lt;=50000), "Pendente", F2767&gt;= DATE(2029,1,1), "Não prioeitário")</f>
        <v>Não prioeitário</v>
      </c>
      <c r="H2767" s="89">
        <f>YEAR(Tabela1[[#This Row],[Data de Validade]])</f>
        <v>2029</v>
      </c>
      <c r="I2767" s="89">
        <f>MONTH(Tabela1[[#This Row],[Data de Validade]])</f>
        <v>2</v>
      </c>
      <c r="J2767" s="101">
        <v>34513</v>
      </c>
      <c r="K2767" s="87" t="s">
        <v>9</v>
      </c>
      <c r="L2767" s="108"/>
      <c r="M2767" s="108"/>
      <c r="N2767" s="108" t="str">
        <v>H793H366</v>
      </c>
      <c r="O2767" s="108">
        <f t="shared" si="45"/>
        <v>1</v>
      </c>
      <c r="P2767" s="108"/>
      <c r="Q2767"/>
    </row>
    <row r="2768" spans="1:17" x14ac:dyDescent="0.25">
      <c r="A2768" s="89" t="s">
        <v>3693</v>
      </c>
      <c r="B2768" s="87" t="s">
        <v>3694</v>
      </c>
      <c r="C2768" s="87" t="s">
        <v>6</v>
      </c>
      <c r="D2768" s="87" t="str">
        <f>VLOOKUP(Tabela1[[#This Row],[Origem]], 'Perguntas 1 a 24'!$J$28:$K$34, 2, 0)</f>
        <v>Nordeste</v>
      </c>
      <c r="E2768" s="87" t="str">
        <f>Tabela1[[#This Row],[Descrição]]&amp;"-"&amp;Tabela1[[#This Row],[Código]]&amp;"/"&amp;Tabela1[[#This Row],[Origem]]</f>
        <v>Dapipu-H793H366/MA</v>
      </c>
      <c r="F2768" s="88">
        <v>47162</v>
      </c>
      <c r="G2768" s="88" t="str" cm="1">
        <f t="array" ref="G27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AND(F2768&gt;= DATE(2026,1,1), F2768&lt;= DATE(2028, 12, 31), J2768&gt;50000), "Pendente e Caro", AND(F2768&gt;= DATE(2026,1,1), F2768&lt;= DATE(2028, 12, 31), J2768&lt;=50000), "Pendente", F2768&gt;= DATE(2029,1,1), "Não prioeitário")</f>
        <v>Não prioeitário</v>
      </c>
      <c r="H2768" s="89">
        <f>YEAR(Tabela1[[#This Row],[Data de Validade]])</f>
        <v>2029</v>
      </c>
      <c r="I2768" s="89">
        <f>MONTH(Tabela1[[#This Row],[Data de Validade]])</f>
        <v>2</v>
      </c>
      <c r="J2768" s="101">
        <v>112629</v>
      </c>
      <c r="K2768" s="87" t="s">
        <v>7</v>
      </c>
      <c r="L2768" s="108"/>
      <c r="M2768" s="108"/>
      <c r="N2768" s="108" t="str">
        <v>P458H421</v>
      </c>
      <c r="O2768" s="108">
        <f t="shared" si="45"/>
        <v>1</v>
      </c>
      <c r="P2768" s="108"/>
      <c r="Q2768"/>
    </row>
    <row r="2769" spans="1:17" x14ac:dyDescent="0.25">
      <c r="A2769" s="89" t="s">
        <v>10755</v>
      </c>
      <c r="B2769" s="87" t="s">
        <v>10756</v>
      </c>
      <c r="C2769" s="87" t="s">
        <v>16</v>
      </c>
      <c r="D2769" s="87" t="str">
        <f>VLOOKUP(Tabela1[[#This Row],[Origem]], 'Perguntas 1 a 24'!$J$28:$K$34, 2, 0)</f>
        <v>Sudeste</v>
      </c>
      <c r="E2769" s="87" t="str">
        <f>Tabela1[[#This Row],[Descrição]]&amp;"-"&amp;Tabela1[[#This Row],[Código]]&amp;"/"&amp;Tabela1[[#This Row],[Origem]]</f>
        <v>Cirigo-P458H421/MG</v>
      </c>
      <c r="F2769" s="88">
        <v>47163</v>
      </c>
      <c r="G2769" s="88" t="str" cm="1">
        <f t="array" ref="G27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AND(F2769&gt;= DATE(2026,1,1), F2769&lt;= DATE(2028, 12, 31), J2769&gt;50000), "Pendente e Caro", AND(F2769&gt;= DATE(2026,1,1), F2769&lt;= DATE(2028, 12, 31), J2769&lt;=50000), "Pendente", F2769&gt;= DATE(2029,1,1), "Não prioeitário")</f>
        <v>Não prioeitário</v>
      </c>
      <c r="H2769" s="89">
        <f>YEAR(Tabela1[[#This Row],[Data de Validade]])</f>
        <v>2029</v>
      </c>
      <c r="I2769" s="89">
        <f>MONTH(Tabela1[[#This Row],[Data de Validade]])</f>
        <v>2</v>
      </c>
      <c r="J2769" s="101">
        <v>46428</v>
      </c>
      <c r="K2769" s="87" t="s">
        <v>11</v>
      </c>
      <c r="L2769" s="108"/>
      <c r="M2769" s="108"/>
      <c r="N2769" s="108" t="str">
        <v>P692H753</v>
      </c>
      <c r="O2769" s="108">
        <f t="shared" si="45"/>
        <v>1</v>
      </c>
      <c r="P2769" s="108"/>
      <c r="Q2769"/>
    </row>
    <row r="2770" spans="1:17" x14ac:dyDescent="0.25">
      <c r="A2770" s="89" t="s">
        <v>11012</v>
      </c>
      <c r="B2770" s="87" t="s">
        <v>11013</v>
      </c>
      <c r="C2770" s="87" t="s">
        <v>6</v>
      </c>
      <c r="D2770" s="87" t="str">
        <f>VLOOKUP(Tabela1[[#This Row],[Origem]], 'Perguntas 1 a 24'!$J$28:$K$34, 2, 0)</f>
        <v>Nordeste</v>
      </c>
      <c r="E2770" s="87" t="str">
        <f>Tabela1[[#This Row],[Descrição]]&amp;"-"&amp;Tabela1[[#This Row],[Código]]&amp;"/"&amp;Tabela1[[#This Row],[Origem]]</f>
        <v>Popanapi-P692H753/MA</v>
      </c>
      <c r="F2770" s="88">
        <v>47164</v>
      </c>
      <c r="G2770" s="88" t="str" cm="1">
        <f t="array" ref="G27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AND(F2770&gt;= DATE(2026,1,1), F2770&lt;= DATE(2028, 12, 31), J2770&gt;50000), "Pendente e Caro", AND(F2770&gt;= DATE(2026,1,1), F2770&lt;= DATE(2028, 12, 31), J2770&lt;=50000), "Pendente", F2770&gt;= DATE(2029,1,1), "Não prioeitário")</f>
        <v>Não prioeitário</v>
      </c>
      <c r="H2770" s="89">
        <f>YEAR(Tabela1[[#This Row],[Data de Validade]])</f>
        <v>2029</v>
      </c>
      <c r="I2770" s="89">
        <f>MONTH(Tabela1[[#This Row],[Data de Validade]])</f>
        <v>2</v>
      </c>
      <c r="J2770" s="101">
        <v>58333</v>
      </c>
      <c r="K2770" s="87" t="s">
        <v>9</v>
      </c>
      <c r="L2770" s="108"/>
      <c r="M2770" s="108"/>
      <c r="N2770" s="108" t="str">
        <v>P849H556</v>
      </c>
      <c r="O2770" s="108">
        <f t="shared" si="45"/>
        <v>1</v>
      </c>
      <c r="P2770" s="108"/>
      <c r="Q2770"/>
    </row>
    <row r="2771" spans="1:17" x14ac:dyDescent="0.25">
      <c r="A2771" s="89" t="s">
        <v>7194</v>
      </c>
      <c r="B2771" s="87" t="s">
        <v>7195</v>
      </c>
      <c r="C2771" s="87" t="s">
        <v>6</v>
      </c>
      <c r="D2771" s="87" t="str">
        <f>VLOOKUP(Tabela1[[#This Row],[Origem]], 'Perguntas 1 a 24'!$J$28:$K$34, 2, 0)</f>
        <v>Nordeste</v>
      </c>
      <c r="E2771" s="87" t="str">
        <f>Tabela1[[#This Row],[Descrição]]&amp;"-"&amp;Tabela1[[#This Row],[Código]]&amp;"/"&amp;Tabela1[[#This Row],[Origem]]</f>
        <v>Renatupu-P849H556/MA</v>
      </c>
      <c r="F2771" s="88">
        <v>47164</v>
      </c>
      <c r="G2771" s="88" t="str" cm="1">
        <f t="array" ref="G27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AND(F2771&gt;= DATE(2026,1,1), F2771&lt;= DATE(2028, 12, 31), J2771&gt;50000), "Pendente e Caro", AND(F2771&gt;= DATE(2026,1,1), F2771&lt;= DATE(2028, 12, 31), J2771&lt;=50000), "Pendente", F2771&gt;= DATE(2029,1,1), "Não prioeitário")</f>
        <v>Não prioeitário</v>
      </c>
      <c r="H2771" s="89">
        <f>YEAR(Tabela1[[#This Row],[Data de Validade]])</f>
        <v>2029</v>
      </c>
      <c r="I2771" s="89">
        <f>MONTH(Tabela1[[#This Row],[Data de Validade]])</f>
        <v>2</v>
      </c>
      <c r="J2771" s="101">
        <v>42451</v>
      </c>
      <c r="K2771" s="87" t="s">
        <v>14</v>
      </c>
      <c r="L2771" s="108"/>
      <c r="M2771" s="108"/>
      <c r="N2771" s="108" t="str">
        <v>H112P979</v>
      </c>
      <c r="O2771" s="108">
        <f t="shared" si="45"/>
        <v>1</v>
      </c>
      <c r="P2771" s="108"/>
      <c r="Q2771"/>
    </row>
    <row r="2772" spans="1:17" x14ac:dyDescent="0.25">
      <c r="A2772" s="89" t="s">
        <v>8414</v>
      </c>
      <c r="B2772" s="87" t="s">
        <v>8415</v>
      </c>
      <c r="C2772" s="87" t="s">
        <v>8</v>
      </c>
      <c r="D2772" s="87" t="str">
        <f>VLOOKUP(Tabela1[[#This Row],[Origem]], 'Perguntas 1 a 24'!$J$28:$K$34, 2, 0)</f>
        <v>Nordeste</v>
      </c>
      <c r="E2772" s="87" t="str">
        <f>Tabela1[[#This Row],[Descrição]]&amp;"-"&amp;Tabela1[[#This Row],[Código]]&amp;"/"&amp;Tabela1[[#This Row],[Origem]]</f>
        <v>Domoropiru-H112P979/AL</v>
      </c>
      <c r="F2772" s="88">
        <v>47165</v>
      </c>
      <c r="G2772" s="88" t="str" cm="1">
        <f t="array" ref="G27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AND(F2772&gt;= DATE(2026,1,1), F2772&lt;= DATE(2028, 12, 31), J2772&gt;50000), "Pendente e Caro", AND(F2772&gt;= DATE(2026,1,1), F2772&lt;= DATE(2028, 12, 31), J2772&lt;=50000), "Pendente", F2772&gt;= DATE(2029,1,1), "Não prioeitário")</f>
        <v>Não prioeitário</v>
      </c>
      <c r="H2772" s="89">
        <f>YEAR(Tabela1[[#This Row],[Data de Validade]])</f>
        <v>2029</v>
      </c>
      <c r="I2772" s="89">
        <f>MONTH(Tabela1[[#This Row],[Data de Validade]])</f>
        <v>2</v>
      </c>
      <c r="J2772" s="101">
        <v>99526</v>
      </c>
      <c r="K2772" s="87" t="s">
        <v>11</v>
      </c>
      <c r="L2772" s="108"/>
      <c r="M2772" s="108"/>
      <c r="N2772" s="108" t="str">
        <v>P557P568</v>
      </c>
      <c r="O2772" s="108">
        <f t="shared" si="45"/>
        <v>1</v>
      </c>
      <c r="P2772" s="108"/>
      <c r="Q2772"/>
    </row>
    <row r="2773" spans="1:17" x14ac:dyDescent="0.25">
      <c r="A2773" s="89" t="s">
        <v>7454</v>
      </c>
      <c r="B2773" s="87" t="s">
        <v>7455</v>
      </c>
      <c r="C2773" s="87" t="s">
        <v>6</v>
      </c>
      <c r="D2773" s="87" t="str">
        <f>VLOOKUP(Tabela1[[#This Row],[Origem]], 'Perguntas 1 a 24'!$J$28:$K$34, 2, 0)</f>
        <v>Nordeste</v>
      </c>
      <c r="E2773" s="87" t="str">
        <f>Tabela1[[#This Row],[Descrição]]&amp;"-"&amp;Tabela1[[#This Row],[Código]]&amp;"/"&amp;Tabela1[[#This Row],[Origem]]</f>
        <v>Daretatupo-P557P568/MA</v>
      </c>
      <c r="F2773" s="88">
        <v>47165</v>
      </c>
      <c r="G2773" s="88" t="str" cm="1">
        <f t="array" ref="G27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AND(F2773&gt;= DATE(2026,1,1), F2773&lt;= DATE(2028, 12, 31), J2773&gt;50000), "Pendente e Caro", AND(F2773&gt;= DATE(2026,1,1), F2773&lt;= DATE(2028, 12, 31), J2773&lt;=50000), "Pendente", F2773&gt;= DATE(2029,1,1), "Não prioeitário")</f>
        <v>Não prioeitário</v>
      </c>
      <c r="H2773" s="89">
        <f>YEAR(Tabela1[[#This Row],[Data de Validade]])</f>
        <v>2029</v>
      </c>
      <c r="I2773" s="89">
        <f>MONTH(Tabela1[[#This Row],[Data de Validade]])</f>
        <v>2</v>
      </c>
      <c r="J2773" s="101">
        <v>78444</v>
      </c>
      <c r="K2773" s="87" t="s">
        <v>7</v>
      </c>
      <c r="L2773" s="108"/>
      <c r="M2773" s="108"/>
      <c r="N2773" s="108" t="str">
        <v>P536H767</v>
      </c>
      <c r="O2773" s="108">
        <f t="shared" si="45"/>
        <v>1</v>
      </c>
      <c r="P2773" s="108"/>
      <c r="Q2773"/>
    </row>
    <row r="2774" spans="1:17" x14ac:dyDescent="0.25">
      <c r="A2774" s="89" t="s">
        <v>8973</v>
      </c>
      <c r="B2774" s="87" t="s">
        <v>8974</v>
      </c>
      <c r="C2774" s="87" t="s">
        <v>13</v>
      </c>
      <c r="D2774" s="87" t="str">
        <f>VLOOKUP(Tabela1[[#This Row],[Origem]], 'Perguntas 1 a 24'!$J$28:$K$34, 2, 0)</f>
        <v>Sudeste</v>
      </c>
      <c r="E2774" s="87" t="str">
        <f>Tabela1[[#This Row],[Descrição]]&amp;"-"&amp;Tabela1[[#This Row],[Código]]&amp;"/"&amp;Tabela1[[#This Row],[Origem]]</f>
        <v>Porimu-P536H767/SP</v>
      </c>
      <c r="F2774" s="88">
        <v>47166</v>
      </c>
      <c r="G2774" s="88" t="str" cm="1">
        <f t="array" ref="G27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AND(F2774&gt;= DATE(2026,1,1), F2774&lt;= DATE(2028, 12, 31), J2774&gt;50000), "Pendente e Caro", AND(F2774&gt;= DATE(2026,1,1), F2774&lt;= DATE(2028, 12, 31), J2774&lt;=50000), "Pendente", F2774&gt;= DATE(2029,1,1), "Não prioeitário")</f>
        <v>Não prioeitário</v>
      </c>
      <c r="H2774" s="89">
        <f>YEAR(Tabela1[[#This Row],[Data de Validade]])</f>
        <v>2029</v>
      </c>
      <c r="I2774" s="89">
        <f>MONTH(Tabela1[[#This Row],[Data de Validade]])</f>
        <v>2</v>
      </c>
      <c r="J2774" s="101">
        <v>102372</v>
      </c>
      <c r="K2774" s="87" t="s">
        <v>11</v>
      </c>
      <c r="L2774" s="108"/>
      <c r="M2774" s="108"/>
      <c r="N2774" s="108" t="str">
        <v>P659H552</v>
      </c>
      <c r="O2774" s="108">
        <f t="shared" si="45"/>
        <v>1</v>
      </c>
      <c r="P2774" s="108"/>
      <c r="Q2774"/>
    </row>
    <row r="2775" spans="1:17" x14ac:dyDescent="0.25">
      <c r="A2775" s="89" t="s">
        <v>8577</v>
      </c>
      <c r="B2775" s="87" t="s">
        <v>8578</v>
      </c>
      <c r="C2775" s="87" t="s">
        <v>8</v>
      </c>
      <c r="D2775" s="87" t="str">
        <f>VLOOKUP(Tabela1[[#This Row],[Origem]], 'Perguntas 1 a 24'!$J$28:$K$34, 2, 0)</f>
        <v>Nordeste</v>
      </c>
      <c r="E2775" s="87" t="str">
        <f>Tabela1[[#This Row],[Descrição]]&amp;"-"&amp;Tabela1[[#This Row],[Código]]&amp;"/"&amp;Tabela1[[#This Row],[Origem]]</f>
        <v>Palipifa-P659H552/AL</v>
      </c>
      <c r="F2775" s="88">
        <v>47167</v>
      </c>
      <c r="G2775" s="88" t="str" cm="1">
        <f t="array" ref="G27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AND(F2775&gt;= DATE(2026,1,1), F2775&lt;= DATE(2028, 12, 31), J2775&gt;50000), "Pendente e Caro", AND(F2775&gt;= DATE(2026,1,1), F2775&lt;= DATE(2028, 12, 31), J2775&lt;=50000), "Pendente", F2775&gt;= DATE(2029,1,1), "Não prioeitário")</f>
        <v>Não prioeitário</v>
      </c>
      <c r="H2775" s="89">
        <f>YEAR(Tabela1[[#This Row],[Data de Validade]])</f>
        <v>2029</v>
      </c>
      <c r="I2775" s="89">
        <f>MONTH(Tabela1[[#This Row],[Data de Validade]])</f>
        <v>2</v>
      </c>
      <c r="J2775" s="101">
        <v>105810</v>
      </c>
      <c r="K2775" s="87" t="s">
        <v>9</v>
      </c>
      <c r="L2775" s="108"/>
      <c r="M2775" s="108"/>
      <c r="N2775" s="108" t="str">
        <v>H182H543</v>
      </c>
      <c r="O2775" s="108">
        <f t="shared" si="45"/>
        <v>1</v>
      </c>
      <c r="P2775" s="108"/>
      <c r="Q2775"/>
    </row>
    <row r="2776" spans="1:17" x14ac:dyDescent="0.25">
      <c r="A2776" s="89" t="s">
        <v>9985</v>
      </c>
      <c r="B2776" s="87" t="s">
        <v>9986</v>
      </c>
      <c r="C2776" s="87" t="s">
        <v>15</v>
      </c>
      <c r="D2776" s="87" t="str">
        <f>VLOOKUP(Tabela1[[#This Row],[Origem]], 'Perguntas 1 a 24'!$J$28:$K$34, 2, 0)</f>
        <v>Sudeste</v>
      </c>
      <c r="E2776" s="87" t="str">
        <f>Tabela1[[#This Row],[Descrição]]&amp;"-"&amp;Tabela1[[#This Row],[Código]]&amp;"/"&amp;Tabela1[[#This Row],[Origem]]</f>
        <v>Rirurifo-H182H543/ES</v>
      </c>
      <c r="F2776" s="88">
        <v>47167</v>
      </c>
      <c r="G2776" s="88" t="str" cm="1">
        <f t="array" ref="G27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AND(F2776&gt;= DATE(2026,1,1), F2776&lt;= DATE(2028, 12, 31), J2776&gt;50000), "Pendente e Caro", AND(F2776&gt;= DATE(2026,1,1), F2776&lt;= DATE(2028, 12, 31), J2776&lt;=50000), "Pendente", F2776&gt;= DATE(2029,1,1), "Não prioeitário")</f>
        <v>Não prioeitário</v>
      </c>
      <c r="H2776" s="89">
        <f>YEAR(Tabela1[[#This Row],[Data de Validade]])</f>
        <v>2029</v>
      </c>
      <c r="I2776" s="89">
        <f>MONTH(Tabela1[[#This Row],[Data de Validade]])</f>
        <v>2</v>
      </c>
      <c r="J2776" s="101">
        <v>86615</v>
      </c>
      <c r="K2776" s="87" t="s">
        <v>7</v>
      </c>
      <c r="L2776" s="108"/>
      <c r="M2776" s="108"/>
      <c r="N2776" s="108" t="str">
        <v>P242H384</v>
      </c>
      <c r="O2776" s="108">
        <f t="shared" si="45"/>
        <v>1</v>
      </c>
      <c r="P2776" s="108"/>
      <c r="Q2776"/>
    </row>
    <row r="2777" spans="1:17" x14ac:dyDescent="0.25">
      <c r="A2777" s="89" t="s">
        <v>10213</v>
      </c>
      <c r="B2777" s="87" t="s">
        <v>10214</v>
      </c>
      <c r="C2777" s="87" t="s">
        <v>8</v>
      </c>
      <c r="D2777" s="87" t="str">
        <f>VLOOKUP(Tabela1[[#This Row],[Origem]], 'Perguntas 1 a 24'!$J$28:$K$34, 2, 0)</f>
        <v>Nordeste</v>
      </c>
      <c r="E2777" s="87" t="str">
        <f>Tabela1[[#This Row],[Descrição]]&amp;"-"&amp;Tabela1[[#This Row],[Código]]&amp;"/"&amp;Tabela1[[#This Row],[Origem]]</f>
        <v>Marite-P242H384/AL</v>
      </c>
      <c r="F2777" s="88">
        <v>47167</v>
      </c>
      <c r="G2777" s="88" t="str" cm="1">
        <f t="array" ref="G27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AND(F2777&gt;= DATE(2026,1,1), F2777&lt;= DATE(2028, 12, 31), J2777&gt;50000), "Pendente e Caro", AND(F2777&gt;= DATE(2026,1,1), F2777&lt;= DATE(2028, 12, 31), J2777&lt;=50000), "Pendente", F2777&gt;= DATE(2029,1,1), "Não prioeitário")</f>
        <v>Não prioeitário</v>
      </c>
      <c r="H2777" s="89">
        <f>YEAR(Tabela1[[#This Row],[Data de Validade]])</f>
        <v>2029</v>
      </c>
      <c r="I2777" s="89">
        <f>MONTH(Tabela1[[#This Row],[Data de Validade]])</f>
        <v>2</v>
      </c>
      <c r="J2777" s="101">
        <v>65928</v>
      </c>
      <c r="K2777" s="87" t="s">
        <v>9</v>
      </c>
      <c r="L2777" s="108"/>
      <c r="M2777" s="108"/>
      <c r="N2777" s="108" t="str">
        <v>H156P773</v>
      </c>
      <c r="O2777" s="108">
        <f t="shared" si="45"/>
        <v>1</v>
      </c>
      <c r="P2777" s="108"/>
      <c r="Q2777"/>
    </row>
    <row r="2778" spans="1:17" x14ac:dyDescent="0.25">
      <c r="A2778" s="89" t="s">
        <v>8192</v>
      </c>
      <c r="B2778" s="87" t="s">
        <v>8193</v>
      </c>
      <c r="C2778" s="87" t="s">
        <v>16</v>
      </c>
      <c r="D2778" s="87" t="str">
        <f>VLOOKUP(Tabela1[[#This Row],[Origem]], 'Perguntas 1 a 24'!$J$28:$K$34, 2, 0)</f>
        <v>Sudeste</v>
      </c>
      <c r="E2778" s="87" t="str">
        <f>Tabela1[[#This Row],[Descrição]]&amp;"-"&amp;Tabela1[[#This Row],[Código]]&amp;"/"&amp;Tabela1[[#This Row],[Origem]]</f>
        <v>Pulipipo-H156P773/MG</v>
      </c>
      <c r="F2778" s="88">
        <v>47167</v>
      </c>
      <c r="G2778" s="88" t="str" cm="1">
        <f t="array" ref="G27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AND(F2778&gt;= DATE(2026,1,1), F2778&lt;= DATE(2028, 12, 31), J2778&gt;50000), "Pendente e Caro", AND(F2778&gt;= DATE(2026,1,1), F2778&lt;= DATE(2028, 12, 31), J2778&lt;=50000), "Pendente", F2778&gt;= DATE(2029,1,1), "Não prioeitário")</f>
        <v>Não prioeitário</v>
      </c>
      <c r="H2778" s="89">
        <f>YEAR(Tabela1[[#This Row],[Data de Validade]])</f>
        <v>2029</v>
      </c>
      <c r="I2778" s="89">
        <f>MONTH(Tabela1[[#This Row],[Data de Validade]])</f>
        <v>2</v>
      </c>
      <c r="J2778" s="101">
        <v>29172</v>
      </c>
      <c r="K2778" s="87" t="s">
        <v>9</v>
      </c>
      <c r="L2778" s="108"/>
      <c r="M2778" s="108"/>
      <c r="N2778" s="108" t="str">
        <v>H822H141</v>
      </c>
      <c r="O2778" s="108">
        <f t="shared" si="45"/>
        <v>1</v>
      </c>
      <c r="P2778" s="108"/>
      <c r="Q2778"/>
    </row>
    <row r="2779" spans="1:17" x14ac:dyDescent="0.25">
      <c r="A2779" s="89" t="s">
        <v>8923</v>
      </c>
      <c r="B2779" s="87" t="s">
        <v>8924</v>
      </c>
      <c r="C2779" s="87" t="s">
        <v>12</v>
      </c>
      <c r="D2779" s="87" t="str">
        <f>VLOOKUP(Tabela1[[#This Row],[Origem]], 'Perguntas 1 a 24'!$J$28:$K$34, 2, 0)</f>
        <v>Sudeste</v>
      </c>
      <c r="E2779" s="87" t="str">
        <f>Tabela1[[#This Row],[Descrição]]&amp;"-"&amp;Tabela1[[#This Row],[Código]]&amp;"/"&amp;Tabela1[[#This Row],[Origem]]</f>
        <v>Pimola-H822H141/RJ</v>
      </c>
      <c r="F2779" s="88">
        <v>47168</v>
      </c>
      <c r="G2779" s="88" t="str" cm="1">
        <f t="array" ref="G27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AND(F2779&gt;= DATE(2026,1,1), F2779&lt;= DATE(2028, 12, 31), J2779&gt;50000), "Pendente e Caro", AND(F2779&gt;= DATE(2026,1,1), F2779&lt;= DATE(2028, 12, 31), J2779&lt;=50000), "Pendente", F2779&gt;= DATE(2029,1,1), "Não prioeitário")</f>
        <v>Não prioeitário</v>
      </c>
      <c r="H2779" s="89">
        <f>YEAR(Tabela1[[#This Row],[Data de Validade]])</f>
        <v>2029</v>
      </c>
      <c r="I2779" s="89">
        <f>MONTH(Tabela1[[#This Row],[Data de Validade]])</f>
        <v>2</v>
      </c>
      <c r="J2779" s="101">
        <v>27664</v>
      </c>
      <c r="K2779" s="87" t="s">
        <v>11</v>
      </c>
      <c r="L2779" s="108"/>
      <c r="M2779" s="108"/>
      <c r="N2779" s="108" t="str">
        <v>P911H215</v>
      </c>
      <c r="O2779" s="108">
        <f t="shared" si="45"/>
        <v>1</v>
      </c>
      <c r="P2779" s="108"/>
      <c r="Q2779"/>
    </row>
    <row r="2780" spans="1:17" x14ac:dyDescent="0.25">
      <c r="A2780" s="89" t="s">
        <v>6574</v>
      </c>
      <c r="B2780" s="87" t="s">
        <v>6575</v>
      </c>
      <c r="C2780" s="87" t="s">
        <v>15</v>
      </c>
      <c r="D2780" s="87" t="str">
        <f>VLOOKUP(Tabela1[[#This Row],[Origem]], 'Perguntas 1 a 24'!$J$28:$K$34, 2, 0)</f>
        <v>Sudeste</v>
      </c>
      <c r="E2780" s="87" t="str">
        <f>Tabela1[[#This Row],[Descrição]]&amp;"-"&amp;Tabela1[[#This Row],[Código]]&amp;"/"&amp;Tabela1[[#This Row],[Origem]]</f>
        <v>Livomifapa-P911H215/ES</v>
      </c>
      <c r="F2780" s="88">
        <v>47169</v>
      </c>
      <c r="G2780" s="88" t="str" cm="1">
        <f t="array" ref="G27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AND(F2780&gt;= DATE(2026,1,1), F2780&lt;= DATE(2028, 12, 31), J2780&gt;50000), "Pendente e Caro", AND(F2780&gt;= DATE(2026,1,1), F2780&lt;= DATE(2028, 12, 31), J2780&lt;=50000), "Pendente", F2780&gt;= DATE(2029,1,1), "Não prioeitário")</f>
        <v>Não prioeitário</v>
      </c>
      <c r="H2780" s="89">
        <f>YEAR(Tabela1[[#This Row],[Data de Validade]])</f>
        <v>2029</v>
      </c>
      <c r="I2780" s="89">
        <f>MONTH(Tabela1[[#This Row],[Data de Validade]])</f>
        <v>2</v>
      </c>
      <c r="J2780" s="101">
        <v>42529</v>
      </c>
      <c r="K2780" s="87" t="s">
        <v>9</v>
      </c>
      <c r="L2780" s="108"/>
      <c r="M2780" s="108"/>
      <c r="N2780" s="108" t="str">
        <v>H277H676</v>
      </c>
      <c r="O2780" s="108">
        <f t="shared" si="45"/>
        <v>1</v>
      </c>
      <c r="P2780" s="108"/>
      <c r="Q2780"/>
    </row>
    <row r="2781" spans="1:17" x14ac:dyDescent="0.25">
      <c r="A2781" s="89" t="s">
        <v>6678</v>
      </c>
      <c r="B2781" s="87" t="s">
        <v>6679</v>
      </c>
      <c r="C2781" s="87" t="s">
        <v>8</v>
      </c>
      <c r="D2781" s="87" t="str">
        <f>VLOOKUP(Tabela1[[#This Row],[Origem]], 'Perguntas 1 a 24'!$J$28:$K$34, 2, 0)</f>
        <v>Nordeste</v>
      </c>
      <c r="E2781" s="87" t="str">
        <f>Tabela1[[#This Row],[Descrição]]&amp;"-"&amp;Tabela1[[#This Row],[Código]]&amp;"/"&amp;Tabela1[[#This Row],[Origem]]</f>
        <v>Tumupelo-H277H676/AL</v>
      </c>
      <c r="F2781" s="88">
        <v>47170</v>
      </c>
      <c r="G2781" s="88" t="str" cm="1">
        <f t="array" ref="G27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AND(F2781&gt;= DATE(2026,1,1), F2781&lt;= DATE(2028, 12, 31), J2781&gt;50000), "Pendente e Caro", AND(F2781&gt;= DATE(2026,1,1), F2781&lt;= DATE(2028, 12, 31), J2781&lt;=50000), "Pendente", F2781&gt;= DATE(2029,1,1), "Não prioeitário")</f>
        <v>Não prioeitário</v>
      </c>
      <c r="H2781" s="89">
        <f>YEAR(Tabela1[[#This Row],[Data de Validade]])</f>
        <v>2029</v>
      </c>
      <c r="I2781" s="89">
        <f>MONTH(Tabela1[[#This Row],[Data de Validade]])</f>
        <v>2</v>
      </c>
      <c r="J2781" s="101">
        <v>63397</v>
      </c>
      <c r="K2781" s="87" t="s">
        <v>9</v>
      </c>
      <c r="L2781" s="108"/>
      <c r="M2781" s="108"/>
      <c r="N2781" s="108" t="str">
        <v>H491P436</v>
      </c>
      <c r="O2781" s="108">
        <f t="shared" si="45"/>
        <v>1</v>
      </c>
      <c r="P2781" s="108"/>
      <c r="Q2781"/>
    </row>
    <row r="2782" spans="1:17" x14ac:dyDescent="0.25">
      <c r="A2782" s="89" t="s">
        <v>6700</v>
      </c>
      <c r="B2782" s="87" t="s">
        <v>6701</v>
      </c>
      <c r="C2782" s="87" t="s">
        <v>16</v>
      </c>
      <c r="D2782" s="87" t="str">
        <f>VLOOKUP(Tabela1[[#This Row],[Origem]], 'Perguntas 1 a 24'!$J$28:$K$34, 2, 0)</f>
        <v>Sudeste</v>
      </c>
      <c r="E2782" s="87" t="str">
        <f>Tabela1[[#This Row],[Descrição]]&amp;"-"&amp;Tabela1[[#This Row],[Código]]&amp;"/"&amp;Tabela1[[#This Row],[Origem]]</f>
        <v>Tetevovuda-H491P436/MG</v>
      </c>
      <c r="F2782" s="88">
        <v>47170</v>
      </c>
      <c r="G2782" s="88" t="str" cm="1">
        <f t="array" ref="G27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AND(F2782&gt;= DATE(2026,1,1), F2782&lt;= DATE(2028, 12, 31), J2782&gt;50000), "Pendente e Caro", AND(F2782&gt;= DATE(2026,1,1), F2782&lt;= DATE(2028, 12, 31), J2782&lt;=50000), "Pendente", F2782&gt;= DATE(2029,1,1), "Não prioeitário")</f>
        <v>Não prioeitário</v>
      </c>
      <c r="H2782" s="89">
        <f>YEAR(Tabela1[[#This Row],[Data de Validade]])</f>
        <v>2029</v>
      </c>
      <c r="I2782" s="89">
        <f>MONTH(Tabela1[[#This Row],[Data de Validade]])</f>
        <v>2</v>
      </c>
      <c r="J2782" s="101">
        <v>20212</v>
      </c>
      <c r="K2782" s="87" t="s">
        <v>14</v>
      </c>
      <c r="L2782" s="108"/>
      <c r="M2782" s="108"/>
      <c r="N2782" s="108" t="str">
        <v>H977H547</v>
      </c>
      <c r="O2782" s="108">
        <f t="shared" si="45"/>
        <v>1</v>
      </c>
      <c r="P2782" s="108"/>
      <c r="Q2782"/>
    </row>
    <row r="2783" spans="1:17" x14ac:dyDescent="0.25">
      <c r="A2783" s="89" t="s">
        <v>5184</v>
      </c>
      <c r="B2783" s="87" t="s">
        <v>5185</v>
      </c>
      <c r="C2783" s="87" t="s">
        <v>10</v>
      </c>
      <c r="D2783" s="87" t="str">
        <f>VLOOKUP(Tabela1[[#This Row],[Origem]], 'Perguntas 1 a 24'!$J$28:$K$34, 2, 0)</f>
        <v>Centro-Oeste</v>
      </c>
      <c r="E2783" s="87" t="str">
        <f>Tabela1[[#This Row],[Descrição]]&amp;"-"&amp;Tabela1[[#This Row],[Código]]&amp;"/"&amp;Tabela1[[#This Row],[Origem]]</f>
        <v>Tigudopuge-H977H547/GO</v>
      </c>
      <c r="F2783" s="88">
        <v>47171</v>
      </c>
      <c r="G2783" s="88" t="str" cm="1">
        <f t="array" ref="G27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AND(F2783&gt;= DATE(2026,1,1), F2783&lt;= DATE(2028, 12, 31), J2783&gt;50000), "Pendente e Caro", AND(F2783&gt;= DATE(2026,1,1), F2783&lt;= DATE(2028, 12, 31), J2783&lt;=50000), "Pendente", F2783&gt;= DATE(2029,1,1), "Não prioeitário")</f>
        <v>Não prioeitário</v>
      </c>
      <c r="H2783" s="89">
        <f>YEAR(Tabela1[[#This Row],[Data de Validade]])</f>
        <v>2029</v>
      </c>
      <c r="I2783" s="89">
        <f>MONTH(Tabela1[[#This Row],[Data de Validade]])</f>
        <v>2</v>
      </c>
      <c r="J2783" s="101">
        <v>93420</v>
      </c>
      <c r="K2783" s="87" t="s">
        <v>9</v>
      </c>
      <c r="L2783" s="108"/>
      <c r="M2783" s="108"/>
      <c r="N2783" s="108" t="str">
        <v>H683H225</v>
      </c>
      <c r="O2783" s="108">
        <f t="shared" si="45"/>
        <v>1</v>
      </c>
      <c r="P2783" s="108"/>
      <c r="Q2783"/>
    </row>
    <row r="2784" spans="1:17" x14ac:dyDescent="0.25">
      <c r="A2784" s="89" t="s">
        <v>10959</v>
      </c>
      <c r="B2784" s="87" t="s">
        <v>10960</v>
      </c>
      <c r="C2784" s="87" t="s">
        <v>13</v>
      </c>
      <c r="D2784" s="87" t="str">
        <f>VLOOKUP(Tabela1[[#This Row],[Origem]], 'Perguntas 1 a 24'!$J$28:$K$34, 2, 0)</f>
        <v>Sudeste</v>
      </c>
      <c r="E2784" s="87" t="str">
        <f>Tabela1[[#This Row],[Descrição]]&amp;"-"&amp;Tabela1[[#This Row],[Código]]&amp;"/"&amp;Tabela1[[#This Row],[Origem]]</f>
        <v>Dopagapu-H683H225/SP</v>
      </c>
      <c r="F2784" s="88">
        <v>47171</v>
      </c>
      <c r="G2784" s="88" t="str" cm="1">
        <f t="array" ref="G27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AND(F2784&gt;= DATE(2026,1,1), F2784&lt;= DATE(2028, 12, 31), J2784&gt;50000), "Pendente e Caro", AND(F2784&gt;= DATE(2026,1,1), F2784&lt;= DATE(2028, 12, 31), J2784&lt;=50000), "Pendente", F2784&gt;= DATE(2029,1,1), "Não prioeitário")</f>
        <v>Não prioeitário</v>
      </c>
      <c r="H2784" s="89">
        <f>YEAR(Tabela1[[#This Row],[Data de Validade]])</f>
        <v>2029</v>
      </c>
      <c r="I2784" s="89">
        <f>MONTH(Tabela1[[#This Row],[Data de Validade]])</f>
        <v>2</v>
      </c>
      <c r="J2784" s="101">
        <v>85663</v>
      </c>
      <c r="K2784" s="87" t="s">
        <v>11</v>
      </c>
      <c r="L2784" s="108"/>
      <c r="M2784" s="108"/>
      <c r="N2784" s="108" t="str">
        <v>P454H281</v>
      </c>
      <c r="O2784" s="108">
        <f t="shared" si="45"/>
        <v>1</v>
      </c>
      <c r="P2784" s="108"/>
      <c r="Q2784"/>
    </row>
    <row r="2785" spans="1:17" x14ac:dyDescent="0.25">
      <c r="A2785" s="89" t="s">
        <v>7298</v>
      </c>
      <c r="B2785" s="87" t="s">
        <v>7299</v>
      </c>
      <c r="C2785" s="87" t="s">
        <v>8</v>
      </c>
      <c r="D2785" s="87" t="str">
        <f>VLOOKUP(Tabela1[[#This Row],[Origem]], 'Perguntas 1 a 24'!$J$28:$K$34, 2, 0)</f>
        <v>Nordeste</v>
      </c>
      <c r="E2785" s="87" t="str">
        <f>Tabela1[[#This Row],[Descrição]]&amp;"-"&amp;Tabela1[[#This Row],[Código]]&amp;"/"&amp;Tabela1[[#This Row],[Origem]]</f>
        <v>Fefevepa-P454H281/AL</v>
      </c>
      <c r="F2785" s="88">
        <v>47171</v>
      </c>
      <c r="G2785" s="88" t="str" cm="1">
        <f t="array" ref="G27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AND(F2785&gt;= DATE(2026,1,1), F2785&lt;= DATE(2028, 12, 31), J2785&gt;50000), "Pendente e Caro", AND(F2785&gt;= DATE(2026,1,1), F2785&lt;= DATE(2028, 12, 31), J2785&lt;=50000), "Pendente", F2785&gt;= DATE(2029,1,1), "Não prioeitário")</f>
        <v>Não prioeitário</v>
      </c>
      <c r="H2785" s="89">
        <f>YEAR(Tabela1[[#This Row],[Data de Validade]])</f>
        <v>2029</v>
      </c>
      <c r="I2785" s="89">
        <f>MONTH(Tabela1[[#This Row],[Data de Validade]])</f>
        <v>2</v>
      </c>
      <c r="J2785" s="101">
        <v>30573</v>
      </c>
      <c r="K2785" s="87" t="s">
        <v>14</v>
      </c>
      <c r="L2785" s="108"/>
      <c r="M2785" s="108"/>
      <c r="N2785" s="108" t="str">
        <v>P887H631</v>
      </c>
      <c r="O2785" s="108">
        <f t="shared" si="45"/>
        <v>1</v>
      </c>
      <c r="P2785" s="108"/>
      <c r="Q2785"/>
    </row>
    <row r="2786" spans="1:17" x14ac:dyDescent="0.25">
      <c r="A2786" s="89" t="s">
        <v>4004</v>
      </c>
      <c r="B2786" s="87" t="s">
        <v>4005</v>
      </c>
      <c r="C2786" s="87" t="s">
        <v>10</v>
      </c>
      <c r="D2786" s="87" t="str">
        <f>VLOOKUP(Tabela1[[#This Row],[Origem]], 'Perguntas 1 a 24'!$J$28:$K$34, 2, 0)</f>
        <v>Centro-Oeste</v>
      </c>
      <c r="E2786" s="87" t="str">
        <f>Tabela1[[#This Row],[Descrição]]&amp;"-"&amp;Tabela1[[#This Row],[Código]]&amp;"/"&amp;Tabela1[[#This Row],[Origem]]</f>
        <v>Pirefa-P887H631/GO</v>
      </c>
      <c r="F2786" s="88">
        <v>47172</v>
      </c>
      <c r="G2786" s="88" t="str" cm="1">
        <f t="array" ref="G27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AND(F2786&gt;= DATE(2026,1,1), F2786&lt;= DATE(2028, 12, 31), J2786&gt;50000), "Pendente e Caro", AND(F2786&gt;= DATE(2026,1,1), F2786&lt;= DATE(2028, 12, 31), J2786&lt;=50000), "Pendente", F2786&gt;= DATE(2029,1,1), "Não prioeitário")</f>
        <v>Não prioeitário</v>
      </c>
      <c r="H2786" s="89">
        <f>YEAR(Tabela1[[#This Row],[Data de Validade]])</f>
        <v>2029</v>
      </c>
      <c r="I2786" s="89">
        <f>MONTH(Tabela1[[#This Row],[Data de Validade]])</f>
        <v>2</v>
      </c>
      <c r="J2786" s="101">
        <v>27702</v>
      </c>
      <c r="K2786" s="87" t="s">
        <v>7</v>
      </c>
      <c r="L2786" s="108"/>
      <c r="M2786" s="108"/>
      <c r="N2786" s="108" t="str">
        <v>H954P398</v>
      </c>
      <c r="O2786" s="108">
        <f t="shared" si="45"/>
        <v>1</v>
      </c>
      <c r="P2786" s="108"/>
      <c r="Q2786"/>
    </row>
    <row r="2787" spans="1:17" x14ac:dyDescent="0.25">
      <c r="A2787" s="89" t="s">
        <v>4357</v>
      </c>
      <c r="B2787" s="87" t="s">
        <v>4358</v>
      </c>
      <c r="C2787" s="87" t="s">
        <v>15</v>
      </c>
      <c r="D2787" s="87" t="str">
        <f>VLOOKUP(Tabela1[[#This Row],[Origem]], 'Perguntas 1 a 24'!$J$28:$K$34, 2, 0)</f>
        <v>Sudeste</v>
      </c>
      <c r="E2787" s="87" t="str">
        <f>Tabela1[[#This Row],[Descrição]]&amp;"-"&amp;Tabela1[[#This Row],[Código]]&amp;"/"&amp;Tabela1[[#This Row],[Origem]]</f>
        <v>Povitavomi-H954P398/ES</v>
      </c>
      <c r="F2787" s="88">
        <v>47172</v>
      </c>
      <c r="G2787" s="88" t="str" cm="1">
        <f t="array" ref="G27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AND(F2787&gt;= DATE(2026,1,1), F2787&lt;= DATE(2028, 12, 31), J2787&gt;50000), "Pendente e Caro", AND(F2787&gt;= DATE(2026,1,1), F2787&lt;= DATE(2028, 12, 31), J2787&lt;=50000), "Pendente", F2787&gt;= DATE(2029,1,1), "Não prioeitário")</f>
        <v>Não prioeitário</v>
      </c>
      <c r="H2787" s="89">
        <f>YEAR(Tabela1[[#This Row],[Data de Validade]])</f>
        <v>2029</v>
      </c>
      <c r="I2787" s="89">
        <f>MONTH(Tabela1[[#This Row],[Data de Validade]])</f>
        <v>2</v>
      </c>
      <c r="J2787" s="101">
        <v>21522</v>
      </c>
      <c r="K2787" s="87" t="s">
        <v>9</v>
      </c>
      <c r="L2787" s="108"/>
      <c r="M2787" s="108"/>
      <c r="N2787" s="108" t="str">
        <v>H423H652</v>
      </c>
      <c r="O2787" s="108">
        <f t="shared" si="45"/>
        <v>1</v>
      </c>
      <c r="P2787" s="108"/>
      <c r="Q2787"/>
    </row>
    <row r="2788" spans="1:17" x14ac:dyDescent="0.25">
      <c r="A2788" s="89" t="s">
        <v>9799</v>
      </c>
      <c r="B2788" s="87" t="s">
        <v>9800</v>
      </c>
      <c r="C2788" s="87" t="s">
        <v>16</v>
      </c>
      <c r="D2788" s="87" t="str">
        <f>VLOOKUP(Tabela1[[#This Row],[Origem]], 'Perguntas 1 a 24'!$J$28:$K$34, 2, 0)</f>
        <v>Sudeste</v>
      </c>
      <c r="E2788" s="87" t="str">
        <f>Tabela1[[#This Row],[Descrição]]&amp;"-"&amp;Tabela1[[#This Row],[Código]]&amp;"/"&amp;Tabela1[[#This Row],[Origem]]</f>
        <v>Norirudi-H423H652/MG</v>
      </c>
      <c r="F2788" s="88">
        <v>47173</v>
      </c>
      <c r="G2788" s="88" t="str" cm="1">
        <f t="array" ref="G27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AND(F2788&gt;= DATE(2026,1,1), F2788&lt;= DATE(2028, 12, 31), J2788&gt;50000), "Pendente e Caro", AND(F2788&gt;= DATE(2026,1,1), F2788&lt;= DATE(2028, 12, 31), J2788&lt;=50000), "Pendente", F2788&gt;= DATE(2029,1,1), "Não prioeitário")</f>
        <v>Não prioeitário</v>
      </c>
      <c r="H2788" s="89">
        <f>YEAR(Tabela1[[#This Row],[Data de Validade]])</f>
        <v>2029</v>
      </c>
      <c r="I2788" s="89">
        <f>MONTH(Tabela1[[#This Row],[Data de Validade]])</f>
        <v>2</v>
      </c>
      <c r="J2788" s="101">
        <v>72117</v>
      </c>
      <c r="K2788" s="87" t="s">
        <v>9</v>
      </c>
      <c r="L2788" s="108"/>
      <c r="M2788" s="108"/>
      <c r="N2788" s="108" t="str">
        <v>H353H759</v>
      </c>
      <c r="O2788" s="108">
        <f t="shared" si="45"/>
        <v>1</v>
      </c>
      <c r="P2788" s="108"/>
      <c r="Q2788"/>
    </row>
    <row r="2789" spans="1:17" x14ac:dyDescent="0.25">
      <c r="A2789" s="89" t="s">
        <v>9505</v>
      </c>
      <c r="B2789" s="87" t="s">
        <v>9506</v>
      </c>
      <c r="C2789" s="87" t="s">
        <v>12</v>
      </c>
      <c r="D2789" s="87" t="str">
        <f>VLOOKUP(Tabela1[[#This Row],[Origem]], 'Perguntas 1 a 24'!$J$28:$K$34, 2, 0)</f>
        <v>Sudeste</v>
      </c>
      <c r="E2789" s="87" t="str">
        <f>Tabela1[[#This Row],[Descrição]]&amp;"-"&amp;Tabela1[[#This Row],[Código]]&amp;"/"&amp;Tabela1[[#This Row],[Origem]]</f>
        <v>Civipe-H353H759/RJ</v>
      </c>
      <c r="F2789" s="88">
        <v>47174</v>
      </c>
      <c r="G2789" s="88" t="str" cm="1">
        <f t="array" ref="G27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AND(F2789&gt;= DATE(2026,1,1), F2789&lt;= DATE(2028, 12, 31), J2789&gt;50000), "Pendente e Caro", AND(F2789&gt;= DATE(2026,1,1), F2789&lt;= DATE(2028, 12, 31), J2789&lt;=50000), "Pendente", F2789&gt;= DATE(2029,1,1), "Não prioeitário")</f>
        <v>Não prioeitário</v>
      </c>
      <c r="H2789" s="89">
        <f>YEAR(Tabela1[[#This Row],[Data de Validade]])</f>
        <v>2029</v>
      </c>
      <c r="I2789" s="89">
        <f>MONTH(Tabela1[[#This Row],[Data de Validade]])</f>
        <v>2</v>
      </c>
      <c r="J2789" s="101">
        <v>110665</v>
      </c>
      <c r="K2789" s="87" t="s">
        <v>14</v>
      </c>
      <c r="L2789" s="108"/>
      <c r="M2789" s="108"/>
      <c r="N2789" s="108" t="str">
        <v>H822P962</v>
      </c>
      <c r="O2789" s="108">
        <f t="shared" si="45"/>
        <v>1</v>
      </c>
      <c r="P2789" s="108"/>
      <c r="Q2789"/>
    </row>
    <row r="2790" spans="1:17" x14ac:dyDescent="0.25">
      <c r="A2790" s="89" t="s">
        <v>8589</v>
      </c>
      <c r="B2790" s="87" t="s">
        <v>8590</v>
      </c>
      <c r="C2790" s="87" t="s">
        <v>12</v>
      </c>
      <c r="D2790" s="87" t="str">
        <f>VLOOKUP(Tabela1[[#This Row],[Origem]], 'Perguntas 1 a 24'!$J$28:$K$34, 2, 0)</f>
        <v>Sudeste</v>
      </c>
      <c r="E2790" s="87" t="str">
        <f>Tabela1[[#This Row],[Descrição]]&amp;"-"&amp;Tabela1[[#This Row],[Código]]&amp;"/"&amp;Tabela1[[#This Row],[Origem]]</f>
        <v>Vugeligoma-H822P962/RJ</v>
      </c>
      <c r="F2790" s="88">
        <v>47174</v>
      </c>
      <c r="G2790" s="88" t="str" cm="1">
        <f t="array" ref="G27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AND(F2790&gt;= DATE(2026,1,1), F2790&lt;= DATE(2028, 12, 31), J2790&gt;50000), "Pendente e Caro", AND(F2790&gt;= DATE(2026,1,1), F2790&lt;= DATE(2028, 12, 31), J2790&lt;=50000), "Pendente", F2790&gt;= DATE(2029,1,1), "Não prioeitário")</f>
        <v>Não prioeitário</v>
      </c>
      <c r="H2790" s="89">
        <f>YEAR(Tabela1[[#This Row],[Data de Validade]])</f>
        <v>2029</v>
      </c>
      <c r="I2790" s="89">
        <f>MONTH(Tabela1[[#This Row],[Data de Validade]])</f>
        <v>2</v>
      </c>
      <c r="J2790" s="101">
        <v>63000</v>
      </c>
      <c r="K2790" s="87" t="s">
        <v>9</v>
      </c>
      <c r="L2790" s="108"/>
      <c r="M2790" s="108"/>
      <c r="N2790" s="108" t="str">
        <v>P743H539</v>
      </c>
      <c r="O2790" s="108">
        <f t="shared" si="45"/>
        <v>1</v>
      </c>
      <c r="P2790" s="108"/>
      <c r="Q2790"/>
    </row>
    <row r="2791" spans="1:17" x14ac:dyDescent="0.25">
      <c r="A2791" s="89" t="s">
        <v>3978</v>
      </c>
      <c r="B2791" s="87" t="s">
        <v>3979</v>
      </c>
      <c r="C2791" s="87" t="s">
        <v>12</v>
      </c>
      <c r="D2791" s="87" t="str">
        <f>VLOOKUP(Tabela1[[#This Row],[Origem]], 'Perguntas 1 a 24'!$J$28:$K$34, 2, 0)</f>
        <v>Sudeste</v>
      </c>
      <c r="E2791" s="87" t="str">
        <f>Tabela1[[#This Row],[Descrição]]&amp;"-"&amp;Tabela1[[#This Row],[Código]]&amp;"/"&amp;Tabela1[[#This Row],[Origem]]</f>
        <v>Darulitu-P743H539/RJ</v>
      </c>
      <c r="F2791" s="88">
        <v>47174</v>
      </c>
      <c r="G2791" s="88" t="str" cm="1">
        <f t="array" ref="G27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AND(F2791&gt;= DATE(2026,1,1), F2791&lt;= DATE(2028, 12, 31), J2791&gt;50000), "Pendente e Caro", AND(F2791&gt;= DATE(2026,1,1), F2791&lt;= DATE(2028, 12, 31), J2791&lt;=50000), "Pendente", F2791&gt;= DATE(2029,1,1), "Não prioeitário")</f>
        <v>Não prioeitário</v>
      </c>
      <c r="H2791" s="89">
        <f>YEAR(Tabela1[[#This Row],[Data de Validade]])</f>
        <v>2029</v>
      </c>
      <c r="I2791" s="89">
        <f>MONTH(Tabela1[[#This Row],[Data de Validade]])</f>
        <v>2</v>
      </c>
      <c r="J2791" s="101">
        <v>38722</v>
      </c>
      <c r="K2791" s="87" t="s">
        <v>7</v>
      </c>
      <c r="L2791" s="108"/>
      <c r="M2791" s="108"/>
      <c r="N2791" s="108" t="str">
        <v>P255H339</v>
      </c>
      <c r="O2791" s="108">
        <f t="shared" si="45"/>
        <v>1</v>
      </c>
      <c r="P2791" s="108"/>
      <c r="Q2791"/>
    </row>
    <row r="2792" spans="1:17" x14ac:dyDescent="0.25">
      <c r="A2792" s="89" t="s">
        <v>6298</v>
      </c>
      <c r="B2792" s="87" t="s">
        <v>6299</v>
      </c>
      <c r="C2792" s="87" t="s">
        <v>12</v>
      </c>
      <c r="D2792" s="87" t="str">
        <f>VLOOKUP(Tabela1[[#This Row],[Origem]], 'Perguntas 1 a 24'!$J$28:$K$34, 2, 0)</f>
        <v>Sudeste</v>
      </c>
      <c r="E2792" s="87" t="str">
        <f>Tabela1[[#This Row],[Descrição]]&amp;"-"&amp;Tabela1[[#This Row],[Código]]&amp;"/"&amp;Tabela1[[#This Row],[Origem]]</f>
        <v>Tututacega-P255H339/RJ</v>
      </c>
      <c r="F2792" s="88">
        <v>47175</v>
      </c>
      <c r="G2792" s="88" t="str" cm="1">
        <f t="array" ref="G27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AND(F2792&gt;= DATE(2026,1,1), F2792&lt;= DATE(2028, 12, 31), J2792&gt;50000), "Pendente e Caro", AND(F2792&gt;= DATE(2026,1,1), F2792&lt;= DATE(2028, 12, 31), J2792&lt;=50000), "Pendente", F2792&gt;= DATE(2029,1,1), "Não prioeitário")</f>
        <v>Não prioeitário</v>
      </c>
      <c r="H2792" s="89">
        <f>YEAR(Tabela1[[#This Row],[Data de Validade]])</f>
        <v>2029</v>
      </c>
      <c r="I2792" s="89">
        <f>MONTH(Tabela1[[#This Row],[Data de Validade]])</f>
        <v>2</v>
      </c>
      <c r="J2792" s="101">
        <v>86371</v>
      </c>
      <c r="K2792" s="87" t="s">
        <v>7</v>
      </c>
      <c r="L2792" s="108"/>
      <c r="M2792" s="108"/>
      <c r="N2792" s="108" t="str">
        <v>P511H979</v>
      </c>
      <c r="O2792" s="108">
        <f t="shared" si="45"/>
        <v>1</v>
      </c>
      <c r="P2792" s="108"/>
      <c r="Q2792"/>
    </row>
    <row r="2793" spans="1:17" x14ac:dyDescent="0.25">
      <c r="A2793" s="89" t="s">
        <v>4383</v>
      </c>
      <c r="B2793" s="87" t="s">
        <v>4384</v>
      </c>
      <c r="C2793" s="87" t="s">
        <v>15</v>
      </c>
      <c r="D2793" s="87" t="str">
        <f>VLOOKUP(Tabela1[[#This Row],[Origem]], 'Perguntas 1 a 24'!$J$28:$K$34, 2, 0)</f>
        <v>Sudeste</v>
      </c>
      <c r="E2793" s="87" t="str">
        <f>Tabela1[[#This Row],[Descrição]]&amp;"-"&amp;Tabela1[[#This Row],[Código]]&amp;"/"&amp;Tabela1[[#This Row],[Origem]]</f>
        <v>Rupotiru-P511H979/ES</v>
      </c>
      <c r="F2793" s="88">
        <v>47175</v>
      </c>
      <c r="G2793" s="88" t="str" cm="1">
        <f t="array" ref="G27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AND(F2793&gt;= DATE(2026,1,1), F2793&lt;= DATE(2028, 12, 31), J2793&gt;50000), "Pendente e Caro", AND(F2793&gt;= DATE(2026,1,1), F2793&lt;= DATE(2028, 12, 31), J2793&lt;=50000), "Pendente", F2793&gt;= DATE(2029,1,1), "Não prioeitário")</f>
        <v>Não prioeitário</v>
      </c>
      <c r="H2793" s="89">
        <f>YEAR(Tabela1[[#This Row],[Data de Validade]])</f>
        <v>2029</v>
      </c>
      <c r="I2793" s="89">
        <f>MONTH(Tabela1[[#This Row],[Data de Validade]])</f>
        <v>2</v>
      </c>
      <c r="J2793" s="101">
        <v>24879</v>
      </c>
      <c r="K2793" s="87" t="s">
        <v>14</v>
      </c>
      <c r="L2793" s="108"/>
      <c r="M2793" s="108"/>
      <c r="N2793" s="108" t="str">
        <v>P223P139</v>
      </c>
      <c r="O2793" s="108">
        <f t="shared" si="45"/>
        <v>1</v>
      </c>
      <c r="P2793" s="108"/>
      <c r="Q2793"/>
    </row>
    <row r="2794" spans="1:17" x14ac:dyDescent="0.25">
      <c r="A2794" s="89" t="s">
        <v>10653</v>
      </c>
      <c r="B2794" s="87" t="s">
        <v>10654</v>
      </c>
      <c r="C2794" s="87" t="s">
        <v>16</v>
      </c>
      <c r="D2794" s="87" t="str">
        <f>VLOOKUP(Tabela1[[#This Row],[Origem]], 'Perguntas 1 a 24'!$J$28:$K$34, 2, 0)</f>
        <v>Sudeste</v>
      </c>
      <c r="E2794" s="87" t="str">
        <f>Tabela1[[#This Row],[Descrição]]&amp;"-"&amp;Tabela1[[#This Row],[Código]]&amp;"/"&amp;Tabela1[[#This Row],[Origem]]</f>
        <v>Delevo-P223P139/MG</v>
      </c>
      <c r="F2794" s="88">
        <v>47177</v>
      </c>
      <c r="G2794" s="88" t="str" cm="1">
        <f t="array" ref="G27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AND(F2794&gt;= DATE(2026,1,1), F2794&lt;= DATE(2028, 12, 31), J2794&gt;50000), "Pendente e Caro", AND(F2794&gt;= DATE(2026,1,1), F2794&lt;= DATE(2028, 12, 31), J2794&lt;=50000), "Pendente", F2794&gt;= DATE(2029,1,1), "Não prioeitário")</f>
        <v>Não prioeitário</v>
      </c>
      <c r="H2794" s="89">
        <f>YEAR(Tabela1[[#This Row],[Data de Validade]])</f>
        <v>2029</v>
      </c>
      <c r="I2794" s="89">
        <f>MONTH(Tabela1[[#This Row],[Data de Validade]])</f>
        <v>2</v>
      </c>
      <c r="J2794" s="101">
        <v>112728</v>
      </c>
      <c r="K2794" s="87" t="s">
        <v>7</v>
      </c>
      <c r="L2794" s="108"/>
      <c r="M2794" s="108"/>
      <c r="N2794" s="108" t="str">
        <v>P626P614</v>
      </c>
      <c r="O2794" s="108">
        <f t="shared" si="45"/>
        <v>1</v>
      </c>
      <c r="P2794" s="108"/>
      <c r="Q2794"/>
    </row>
    <row r="2795" spans="1:17" x14ac:dyDescent="0.25">
      <c r="A2795" s="89" t="s">
        <v>10361</v>
      </c>
      <c r="B2795" s="87" t="s">
        <v>10362</v>
      </c>
      <c r="C2795" s="87" t="s">
        <v>16</v>
      </c>
      <c r="D2795" s="87" t="str">
        <f>VLOOKUP(Tabela1[[#This Row],[Origem]], 'Perguntas 1 a 24'!$J$28:$K$34, 2, 0)</f>
        <v>Sudeste</v>
      </c>
      <c r="E2795" s="87" t="str">
        <f>Tabela1[[#This Row],[Descrição]]&amp;"-"&amp;Tabela1[[#This Row],[Código]]&amp;"/"&amp;Tabela1[[#This Row],[Origem]]</f>
        <v>Gutafufare-P626P614/MG</v>
      </c>
      <c r="F2795" s="88">
        <v>47177</v>
      </c>
      <c r="G2795" s="88" t="str" cm="1">
        <f t="array" ref="G27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AND(F2795&gt;= DATE(2026,1,1), F2795&lt;= DATE(2028, 12, 31), J2795&gt;50000), "Pendente e Caro", AND(F2795&gt;= DATE(2026,1,1), F2795&lt;= DATE(2028, 12, 31), J2795&lt;=50000), "Pendente", F2795&gt;= DATE(2029,1,1), "Não prioeitário")</f>
        <v>Não prioeitário</v>
      </c>
      <c r="H2795" s="89">
        <f>YEAR(Tabela1[[#This Row],[Data de Validade]])</f>
        <v>2029</v>
      </c>
      <c r="I2795" s="89">
        <f>MONTH(Tabela1[[#This Row],[Data de Validade]])</f>
        <v>2</v>
      </c>
      <c r="J2795" s="101">
        <v>104365</v>
      </c>
      <c r="K2795" s="87" t="s">
        <v>14</v>
      </c>
      <c r="L2795" s="108"/>
      <c r="M2795" s="108"/>
      <c r="N2795" s="108" t="str">
        <v>P613P712</v>
      </c>
      <c r="O2795" s="108">
        <f t="shared" si="45"/>
        <v>1</v>
      </c>
      <c r="P2795" s="108"/>
      <c r="Q2795"/>
    </row>
    <row r="2796" spans="1:17" x14ac:dyDescent="0.25">
      <c r="A2796" s="89" t="s">
        <v>3691</v>
      </c>
      <c r="B2796" s="87" t="s">
        <v>3692</v>
      </c>
      <c r="C2796" s="87" t="s">
        <v>12</v>
      </c>
      <c r="D2796" s="87" t="str">
        <f>VLOOKUP(Tabela1[[#This Row],[Origem]], 'Perguntas 1 a 24'!$J$28:$K$34, 2, 0)</f>
        <v>Sudeste</v>
      </c>
      <c r="E2796" s="87" t="str">
        <f>Tabela1[[#This Row],[Descrição]]&amp;"-"&amp;Tabela1[[#This Row],[Código]]&amp;"/"&amp;Tabela1[[#This Row],[Origem]]</f>
        <v>Refiguli-P613P712/RJ</v>
      </c>
      <c r="F2796" s="88">
        <v>47177</v>
      </c>
      <c r="G2796" s="88" t="str" cm="1">
        <f t="array" ref="G27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AND(F2796&gt;= DATE(2026,1,1), F2796&lt;= DATE(2028, 12, 31), J2796&gt;50000), "Pendente e Caro", AND(F2796&gt;= DATE(2026,1,1), F2796&lt;= DATE(2028, 12, 31), J2796&lt;=50000), "Pendente", F2796&gt;= DATE(2029,1,1), "Não prioeitário")</f>
        <v>Não prioeitário</v>
      </c>
      <c r="H2796" s="89">
        <f>YEAR(Tabela1[[#This Row],[Data de Validade]])</f>
        <v>2029</v>
      </c>
      <c r="I2796" s="89">
        <f>MONTH(Tabela1[[#This Row],[Data de Validade]])</f>
        <v>2</v>
      </c>
      <c r="J2796" s="101">
        <v>46946</v>
      </c>
      <c r="K2796" s="87" t="s">
        <v>9</v>
      </c>
      <c r="L2796" s="108"/>
      <c r="M2796" s="108"/>
      <c r="N2796" s="108" t="str">
        <v>H447P161</v>
      </c>
      <c r="O2796" s="108">
        <f t="shared" si="45"/>
        <v>1</v>
      </c>
      <c r="P2796" s="108"/>
      <c r="Q2796"/>
    </row>
    <row r="2797" spans="1:17" x14ac:dyDescent="0.25">
      <c r="A2797" s="89" t="s">
        <v>8697</v>
      </c>
      <c r="B2797" s="87" t="s">
        <v>8698</v>
      </c>
      <c r="C2797" s="87" t="s">
        <v>13</v>
      </c>
      <c r="D2797" s="87" t="str">
        <f>VLOOKUP(Tabela1[[#This Row],[Origem]], 'Perguntas 1 a 24'!$J$28:$K$34, 2, 0)</f>
        <v>Sudeste</v>
      </c>
      <c r="E2797" s="87" t="str">
        <f>Tabela1[[#This Row],[Descrição]]&amp;"-"&amp;Tabela1[[#This Row],[Código]]&amp;"/"&amp;Tabela1[[#This Row],[Origem]]</f>
        <v>Motala-H447P161/SP</v>
      </c>
      <c r="F2797" s="88">
        <v>47178</v>
      </c>
      <c r="G2797" s="88" t="str" cm="1">
        <f t="array" ref="G27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AND(F2797&gt;= DATE(2026,1,1), F2797&lt;= DATE(2028, 12, 31), J2797&gt;50000), "Pendente e Caro", AND(F2797&gt;= DATE(2026,1,1), F2797&lt;= DATE(2028, 12, 31), J2797&lt;=50000), "Pendente", F2797&gt;= DATE(2029,1,1), "Não prioeitário")</f>
        <v>Não prioeitário</v>
      </c>
      <c r="H2797" s="89">
        <f>YEAR(Tabela1[[#This Row],[Data de Validade]])</f>
        <v>2029</v>
      </c>
      <c r="I2797" s="89">
        <f>MONTH(Tabela1[[#This Row],[Data de Validade]])</f>
        <v>3</v>
      </c>
      <c r="J2797" s="101">
        <v>84979</v>
      </c>
      <c r="K2797" s="87" t="s">
        <v>9</v>
      </c>
      <c r="L2797" s="108"/>
      <c r="M2797" s="108"/>
      <c r="N2797" s="108" t="str">
        <v>H835P227</v>
      </c>
      <c r="O2797" s="108">
        <f t="shared" si="45"/>
        <v>1</v>
      </c>
      <c r="P2797" s="108"/>
      <c r="Q2797"/>
    </row>
    <row r="2798" spans="1:17" x14ac:dyDescent="0.25">
      <c r="A2798" s="89" t="s">
        <v>10525</v>
      </c>
      <c r="B2798" s="87" t="s">
        <v>10526</v>
      </c>
      <c r="C2798" s="87" t="s">
        <v>6</v>
      </c>
      <c r="D2798" s="87" t="str">
        <f>VLOOKUP(Tabela1[[#This Row],[Origem]], 'Perguntas 1 a 24'!$J$28:$K$34, 2, 0)</f>
        <v>Nordeste</v>
      </c>
      <c r="E2798" s="87" t="str">
        <f>Tabela1[[#This Row],[Descrição]]&amp;"-"&amp;Tabela1[[#This Row],[Código]]&amp;"/"&amp;Tabela1[[#This Row],[Origem]]</f>
        <v>Rupepineli-H835P227/MA</v>
      </c>
      <c r="F2798" s="88">
        <v>47179</v>
      </c>
      <c r="G2798" s="88" t="str" cm="1">
        <f t="array" ref="G27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AND(F2798&gt;= DATE(2026,1,1), F2798&lt;= DATE(2028, 12, 31), J2798&gt;50000), "Pendente e Caro", AND(F2798&gt;= DATE(2026,1,1), F2798&lt;= DATE(2028, 12, 31), J2798&lt;=50000), "Pendente", F2798&gt;= DATE(2029,1,1), "Não prioeitário")</f>
        <v>Não prioeitário</v>
      </c>
      <c r="H2798" s="89">
        <f>YEAR(Tabela1[[#This Row],[Data de Validade]])</f>
        <v>2029</v>
      </c>
      <c r="I2798" s="89">
        <f>MONTH(Tabela1[[#This Row],[Data de Validade]])</f>
        <v>3</v>
      </c>
      <c r="J2798" s="101">
        <v>80165</v>
      </c>
      <c r="K2798" s="87" t="s">
        <v>9</v>
      </c>
      <c r="L2798" s="108"/>
      <c r="M2798" s="108"/>
      <c r="N2798" s="108" t="str">
        <v>P311H434</v>
      </c>
      <c r="O2798" s="108">
        <f t="shared" si="45"/>
        <v>1</v>
      </c>
      <c r="P2798" s="108"/>
      <c r="Q2798"/>
    </row>
    <row r="2799" spans="1:17" x14ac:dyDescent="0.25">
      <c r="A2799" s="89" t="s">
        <v>5926</v>
      </c>
      <c r="B2799" s="87" t="s">
        <v>5927</v>
      </c>
      <c r="C2799" s="87" t="s">
        <v>10</v>
      </c>
      <c r="D2799" s="87" t="str">
        <f>VLOOKUP(Tabela1[[#This Row],[Origem]], 'Perguntas 1 a 24'!$J$28:$K$34, 2, 0)</f>
        <v>Centro-Oeste</v>
      </c>
      <c r="E2799" s="87" t="str">
        <f>Tabela1[[#This Row],[Descrição]]&amp;"-"&amp;Tabela1[[#This Row],[Código]]&amp;"/"&amp;Tabela1[[#This Row],[Origem]]</f>
        <v>Nutuvenu-P311H434/GO</v>
      </c>
      <c r="F2799" s="88">
        <v>47180</v>
      </c>
      <c r="G2799" s="88" t="str" cm="1">
        <f t="array" ref="G27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AND(F2799&gt;= DATE(2026,1,1), F2799&lt;= DATE(2028, 12, 31), J2799&gt;50000), "Pendente e Caro", AND(F2799&gt;= DATE(2026,1,1), F2799&lt;= DATE(2028, 12, 31), J2799&lt;=50000), "Pendente", F2799&gt;= DATE(2029,1,1), "Não prioeitário")</f>
        <v>Não prioeitário</v>
      </c>
      <c r="H2799" s="89">
        <f>YEAR(Tabela1[[#This Row],[Data de Validade]])</f>
        <v>2029</v>
      </c>
      <c r="I2799" s="89">
        <f>MONTH(Tabela1[[#This Row],[Data de Validade]])</f>
        <v>3</v>
      </c>
      <c r="J2799" s="101">
        <v>92691</v>
      </c>
      <c r="K2799" s="87" t="s">
        <v>11</v>
      </c>
      <c r="L2799" s="108"/>
      <c r="M2799" s="108"/>
      <c r="N2799" s="108" t="str">
        <v>P539H841</v>
      </c>
      <c r="O2799" s="108">
        <f t="shared" si="45"/>
        <v>1</v>
      </c>
      <c r="P2799" s="108"/>
      <c r="Q2799"/>
    </row>
    <row r="2800" spans="1:17" x14ac:dyDescent="0.25">
      <c r="A2800" s="89" t="s">
        <v>4764</v>
      </c>
      <c r="B2800" s="87" t="s">
        <v>4765</v>
      </c>
      <c r="C2800" s="87" t="s">
        <v>6</v>
      </c>
      <c r="D2800" s="87" t="str">
        <f>VLOOKUP(Tabela1[[#This Row],[Origem]], 'Perguntas 1 a 24'!$J$28:$K$34, 2, 0)</f>
        <v>Nordeste</v>
      </c>
      <c r="E2800" s="87" t="str">
        <f>Tabela1[[#This Row],[Descrição]]&amp;"-"&amp;Tabela1[[#This Row],[Código]]&amp;"/"&amp;Tabela1[[#This Row],[Origem]]</f>
        <v>Rivudelomu-P539H841/MA</v>
      </c>
      <c r="F2800" s="88">
        <v>47180</v>
      </c>
      <c r="G2800" s="88" t="str" cm="1">
        <f t="array" ref="G28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AND(F2800&gt;= DATE(2026,1,1), F2800&lt;= DATE(2028, 12, 31), J2800&gt;50000), "Pendente e Caro", AND(F2800&gt;= DATE(2026,1,1), F2800&lt;= DATE(2028, 12, 31), J2800&lt;=50000), "Pendente", F2800&gt;= DATE(2029,1,1), "Não prioeitário")</f>
        <v>Não prioeitário</v>
      </c>
      <c r="H2800" s="89">
        <f>YEAR(Tabela1[[#This Row],[Data de Validade]])</f>
        <v>2029</v>
      </c>
      <c r="I2800" s="89">
        <f>MONTH(Tabela1[[#This Row],[Data de Validade]])</f>
        <v>3</v>
      </c>
      <c r="J2800" s="101">
        <v>59223</v>
      </c>
      <c r="K2800" s="87" t="s">
        <v>7</v>
      </c>
      <c r="L2800" s="108"/>
      <c r="M2800" s="108"/>
      <c r="N2800" s="108" t="str">
        <v>H247H426</v>
      </c>
      <c r="O2800" s="108">
        <f t="shared" si="45"/>
        <v>1</v>
      </c>
      <c r="P2800" s="108"/>
      <c r="Q2800"/>
    </row>
    <row r="2801" spans="1:17" x14ac:dyDescent="0.25">
      <c r="A2801" s="89" t="s">
        <v>10333</v>
      </c>
      <c r="B2801" s="87" t="s">
        <v>10334</v>
      </c>
      <c r="C2801" s="87" t="s">
        <v>12</v>
      </c>
      <c r="D2801" s="87" t="str">
        <f>VLOOKUP(Tabela1[[#This Row],[Origem]], 'Perguntas 1 a 24'!$J$28:$K$34, 2, 0)</f>
        <v>Sudeste</v>
      </c>
      <c r="E2801" s="87" t="str">
        <f>Tabela1[[#This Row],[Descrição]]&amp;"-"&amp;Tabela1[[#This Row],[Código]]&amp;"/"&amp;Tabela1[[#This Row],[Origem]]</f>
        <v>Patepuni-H247H426/RJ</v>
      </c>
      <c r="F2801" s="88">
        <v>47181</v>
      </c>
      <c r="G2801" s="88" t="str" cm="1">
        <f t="array" ref="G28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AND(F2801&gt;= DATE(2026,1,1), F2801&lt;= DATE(2028, 12, 31), J2801&gt;50000), "Pendente e Caro", AND(F2801&gt;= DATE(2026,1,1), F2801&lt;= DATE(2028, 12, 31), J2801&lt;=50000), "Pendente", F2801&gt;= DATE(2029,1,1), "Não prioeitário")</f>
        <v>Não prioeitário</v>
      </c>
      <c r="H2801" s="89">
        <f>YEAR(Tabela1[[#This Row],[Data de Validade]])</f>
        <v>2029</v>
      </c>
      <c r="I2801" s="89">
        <f>MONTH(Tabela1[[#This Row],[Data de Validade]])</f>
        <v>3</v>
      </c>
      <c r="J2801" s="101">
        <v>104532</v>
      </c>
      <c r="K2801" s="87" t="s">
        <v>7</v>
      </c>
      <c r="L2801" s="108"/>
      <c r="M2801" s="108"/>
      <c r="N2801" s="108" t="str">
        <v>P138H156</v>
      </c>
      <c r="O2801" s="108">
        <f t="shared" si="45"/>
        <v>1</v>
      </c>
      <c r="P2801" s="108"/>
      <c r="Q2801"/>
    </row>
    <row r="2802" spans="1:17" x14ac:dyDescent="0.25">
      <c r="A2802" s="89" t="s">
        <v>8052</v>
      </c>
      <c r="B2802" s="87" t="s">
        <v>8053</v>
      </c>
      <c r="C2802" s="87" t="s">
        <v>10</v>
      </c>
      <c r="D2802" s="87" t="str">
        <f>VLOOKUP(Tabela1[[#This Row],[Origem]], 'Perguntas 1 a 24'!$J$28:$K$34, 2, 0)</f>
        <v>Centro-Oeste</v>
      </c>
      <c r="E2802" s="87" t="str">
        <f>Tabela1[[#This Row],[Descrição]]&amp;"-"&amp;Tabela1[[#This Row],[Código]]&amp;"/"&amp;Tabela1[[#This Row],[Origem]]</f>
        <v>Rutigepi-P138H156/GO</v>
      </c>
      <c r="F2802" s="88">
        <v>47181</v>
      </c>
      <c r="G2802" s="88" t="str" cm="1">
        <f t="array" ref="G28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AND(F2802&gt;= DATE(2026,1,1), F2802&lt;= DATE(2028, 12, 31), J2802&gt;50000), "Pendente e Caro", AND(F2802&gt;= DATE(2026,1,1), F2802&lt;= DATE(2028, 12, 31), J2802&lt;=50000), "Pendente", F2802&gt;= DATE(2029,1,1), "Não prioeitário")</f>
        <v>Não prioeitário</v>
      </c>
      <c r="H2802" s="89">
        <f>YEAR(Tabela1[[#This Row],[Data de Validade]])</f>
        <v>2029</v>
      </c>
      <c r="I2802" s="89">
        <f>MONTH(Tabela1[[#This Row],[Data de Validade]])</f>
        <v>3</v>
      </c>
      <c r="J2802" s="101">
        <v>59448</v>
      </c>
      <c r="K2802" s="87" t="s">
        <v>11</v>
      </c>
      <c r="L2802" s="108"/>
      <c r="M2802" s="108"/>
      <c r="N2802" s="108" t="str">
        <v>P273P288</v>
      </c>
      <c r="O2802" s="108">
        <f t="shared" si="45"/>
        <v>1</v>
      </c>
      <c r="P2802" s="108"/>
      <c r="Q2802"/>
    </row>
    <row r="2803" spans="1:17" x14ac:dyDescent="0.25">
      <c r="A2803" s="89" t="s">
        <v>7020</v>
      </c>
      <c r="B2803" s="87" t="s">
        <v>7021</v>
      </c>
      <c r="C2803" s="87" t="s">
        <v>12</v>
      </c>
      <c r="D2803" s="87" t="str">
        <f>VLOOKUP(Tabela1[[#This Row],[Origem]], 'Perguntas 1 a 24'!$J$28:$K$34, 2, 0)</f>
        <v>Sudeste</v>
      </c>
      <c r="E2803" s="87" t="str">
        <f>Tabela1[[#This Row],[Descrição]]&amp;"-"&amp;Tabela1[[#This Row],[Código]]&amp;"/"&amp;Tabela1[[#This Row],[Origem]]</f>
        <v>Riropupetu-P273P288/RJ</v>
      </c>
      <c r="F2803" s="88">
        <v>47182</v>
      </c>
      <c r="G2803" s="88" t="str" cm="1">
        <f t="array" ref="G28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AND(F2803&gt;= DATE(2026,1,1), F2803&lt;= DATE(2028, 12, 31), J2803&gt;50000), "Pendente e Caro", AND(F2803&gt;= DATE(2026,1,1), F2803&lt;= DATE(2028, 12, 31), J2803&lt;=50000), "Pendente", F2803&gt;= DATE(2029,1,1), "Não prioeitário")</f>
        <v>Não prioeitário</v>
      </c>
      <c r="H2803" s="89">
        <f>YEAR(Tabela1[[#This Row],[Data de Validade]])</f>
        <v>2029</v>
      </c>
      <c r="I2803" s="89">
        <f>MONTH(Tabela1[[#This Row],[Data de Validade]])</f>
        <v>3</v>
      </c>
      <c r="J2803" s="101">
        <v>64978</v>
      </c>
      <c r="K2803" s="87" t="s">
        <v>11</v>
      </c>
      <c r="L2803" s="108"/>
      <c r="M2803" s="108"/>
      <c r="N2803" s="108" t="str">
        <v>H479P492</v>
      </c>
      <c r="O2803" s="108">
        <f t="shared" si="45"/>
        <v>1</v>
      </c>
      <c r="P2803" s="108"/>
      <c r="Q2803"/>
    </row>
    <row r="2804" spans="1:17" x14ac:dyDescent="0.25">
      <c r="A2804" s="89" t="s">
        <v>7010</v>
      </c>
      <c r="B2804" s="87" t="s">
        <v>7011</v>
      </c>
      <c r="C2804" s="87" t="s">
        <v>8</v>
      </c>
      <c r="D2804" s="87" t="str">
        <f>VLOOKUP(Tabela1[[#This Row],[Origem]], 'Perguntas 1 a 24'!$J$28:$K$34, 2, 0)</f>
        <v>Nordeste</v>
      </c>
      <c r="E2804" s="87" t="str">
        <f>Tabela1[[#This Row],[Descrição]]&amp;"-"&amp;Tabela1[[#This Row],[Código]]&amp;"/"&amp;Tabela1[[#This Row],[Origem]]</f>
        <v>Larinecupa-H479P492/AL</v>
      </c>
      <c r="F2804" s="88">
        <v>47182</v>
      </c>
      <c r="G2804" s="88" t="str" cm="1">
        <f t="array" ref="G28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AND(F2804&gt;= DATE(2026,1,1), F2804&lt;= DATE(2028, 12, 31), J2804&gt;50000), "Pendente e Caro", AND(F2804&gt;= DATE(2026,1,1), F2804&lt;= DATE(2028, 12, 31), J2804&lt;=50000), "Pendente", F2804&gt;= DATE(2029,1,1), "Não prioeitário")</f>
        <v>Não prioeitário</v>
      </c>
      <c r="H2804" s="89">
        <f>YEAR(Tabela1[[#This Row],[Data de Validade]])</f>
        <v>2029</v>
      </c>
      <c r="I2804" s="89">
        <f>MONTH(Tabela1[[#This Row],[Data de Validade]])</f>
        <v>3</v>
      </c>
      <c r="J2804" s="101">
        <v>59506</v>
      </c>
      <c r="K2804" s="87" t="s">
        <v>11</v>
      </c>
      <c r="L2804" s="108"/>
      <c r="M2804" s="108"/>
      <c r="N2804" s="108" t="str">
        <v>H182H819</v>
      </c>
      <c r="O2804" s="108">
        <f t="shared" si="45"/>
        <v>1</v>
      </c>
      <c r="P2804" s="108"/>
      <c r="Q2804"/>
    </row>
    <row r="2805" spans="1:17" x14ac:dyDescent="0.25">
      <c r="A2805" s="89" t="s">
        <v>4736</v>
      </c>
      <c r="B2805" s="87" t="s">
        <v>4737</v>
      </c>
      <c r="C2805" s="87" t="s">
        <v>16</v>
      </c>
      <c r="D2805" s="87" t="str">
        <f>VLOOKUP(Tabela1[[#This Row],[Origem]], 'Perguntas 1 a 24'!$J$28:$K$34, 2, 0)</f>
        <v>Sudeste</v>
      </c>
      <c r="E2805" s="87" t="str">
        <f>Tabela1[[#This Row],[Descrição]]&amp;"-"&amp;Tabela1[[#This Row],[Código]]&amp;"/"&amp;Tabela1[[#This Row],[Origem]]</f>
        <v>Pofuterulo-H182H819/MG</v>
      </c>
      <c r="F2805" s="88">
        <v>47183</v>
      </c>
      <c r="G2805" s="88" t="str" cm="1">
        <f t="array" ref="G28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AND(F2805&gt;= DATE(2026,1,1), F2805&lt;= DATE(2028, 12, 31), J2805&gt;50000), "Pendente e Caro", AND(F2805&gt;= DATE(2026,1,1), F2805&lt;= DATE(2028, 12, 31), J2805&lt;=50000), "Pendente", F2805&gt;= DATE(2029,1,1), "Não prioeitário")</f>
        <v>Não prioeitário</v>
      </c>
      <c r="H2805" s="89">
        <f>YEAR(Tabela1[[#This Row],[Data de Validade]])</f>
        <v>2029</v>
      </c>
      <c r="I2805" s="89">
        <f>MONTH(Tabela1[[#This Row],[Data de Validade]])</f>
        <v>3</v>
      </c>
      <c r="J2805" s="101">
        <v>42402</v>
      </c>
      <c r="K2805" s="87" t="s">
        <v>11</v>
      </c>
      <c r="L2805" s="108"/>
      <c r="M2805" s="108"/>
      <c r="N2805" s="108" t="str">
        <v>P696P986</v>
      </c>
      <c r="O2805" s="108">
        <f t="shared" si="45"/>
        <v>1</v>
      </c>
      <c r="P2805" s="108"/>
      <c r="Q2805"/>
    </row>
    <row r="2806" spans="1:17" x14ac:dyDescent="0.25">
      <c r="A2806" s="89" t="s">
        <v>7998</v>
      </c>
      <c r="B2806" s="87" t="s">
        <v>7999</v>
      </c>
      <c r="C2806" s="87" t="s">
        <v>13</v>
      </c>
      <c r="D2806" s="87" t="str">
        <f>VLOOKUP(Tabela1[[#This Row],[Origem]], 'Perguntas 1 a 24'!$J$28:$K$34, 2, 0)</f>
        <v>Sudeste</v>
      </c>
      <c r="E2806" s="87" t="str">
        <f>Tabela1[[#This Row],[Descrição]]&amp;"-"&amp;Tabela1[[#This Row],[Código]]&amp;"/"&amp;Tabela1[[#This Row],[Origem]]</f>
        <v>Cenani-P696P986/SP</v>
      </c>
      <c r="F2806" s="88">
        <v>47184</v>
      </c>
      <c r="G2806" s="88" t="str" cm="1">
        <f t="array" ref="G28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AND(F2806&gt;= DATE(2026,1,1), F2806&lt;= DATE(2028, 12, 31), J2806&gt;50000), "Pendente e Caro", AND(F2806&gt;= DATE(2026,1,1), F2806&lt;= DATE(2028, 12, 31), J2806&lt;=50000), "Pendente", F2806&gt;= DATE(2029,1,1), "Não prioeitário")</f>
        <v>Não prioeitário</v>
      </c>
      <c r="H2806" s="89">
        <f>YEAR(Tabela1[[#This Row],[Data de Validade]])</f>
        <v>2029</v>
      </c>
      <c r="I2806" s="89">
        <f>MONTH(Tabela1[[#This Row],[Data de Validade]])</f>
        <v>3</v>
      </c>
      <c r="J2806" s="101">
        <v>82159</v>
      </c>
      <c r="K2806" s="87" t="s">
        <v>7</v>
      </c>
      <c r="L2806" s="108"/>
      <c r="M2806" s="108"/>
      <c r="N2806" s="108" t="str">
        <v>P488H272</v>
      </c>
      <c r="O2806" s="108">
        <f t="shared" si="45"/>
        <v>1</v>
      </c>
      <c r="P2806" s="108"/>
      <c r="Q2806"/>
    </row>
    <row r="2807" spans="1:17" x14ac:dyDescent="0.25">
      <c r="A2807" s="89" t="s">
        <v>9213</v>
      </c>
      <c r="B2807" s="87" t="s">
        <v>9214</v>
      </c>
      <c r="C2807" s="87" t="s">
        <v>8</v>
      </c>
      <c r="D2807" s="87" t="str">
        <f>VLOOKUP(Tabela1[[#This Row],[Origem]], 'Perguntas 1 a 24'!$J$28:$K$34, 2, 0)</f>
        <v>Nordeste</v>
      </c>
      <c r="E2807" s="87" t="str">
        <f>Tabela1[[#This Row],[Descrição]]&amp;"-"&amp;Tabela1[[#This Row],[Código]]&amp;"/"&amp;Tabela1[[#This Row],[Origem]]</f>
        <v>Falinevotu-P488H272/AL</v>
      </c>
      <c r="F2807" s="88">
        <v>47184</v>
      </c>
      <c r="G2807" s="88" t="str" cm="1">
        <f t="array" ref="G28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AND(F2807&gt;= DATE(2026,1,1), F2807&lt;= DATE(2028, 12, 31), J2807&gt;50000), "Pendente e Caro", AND(F2807&gt;= DATE(2026,1,1), F2807&lt;= DATE(2028, 12, 31), J2807&lt;=50000), "Pendente", F2807&gt;= DATE(2029,1,1), "Não prioeitário")</f>
        <v>Não prioeitário</v>
      </c>
      <c r="H2807" s="89">
        <f>YEAR(Tabela1[[#This Row],[Data de Validade]])</f>
        <v>2029</v>
      </c>
      <c r="I2807" s="89">
        <f>MONTH(Tabela1[[#This Row],[Data de Validade]])</f>
        <v>3</v>
      </c>
      <c r="J2807" s="101">
        <v>28853</v>
      </c>
      <c r="K2807" s="87" t="s">
        <v>9</v>
      </c>
      <c r="L2807" s="108"/>
      <c r="M2807" s="108"/>
      <c r="N2807" s="108" t="str">
        <v>P442H637</v>
      </c>
      <c r="O2807" s="108">
        <f t="shared" si="45"/>
        <v>1</v>
      </c>
      <c r="P2807" s="108"/>
      <c r="Q2807"/>
    </row>
    <row r="2808" spans="1:17" x14ac:dyDescent="0.25">
      <c r="A2808" s="89" t="s">
        <v>8174</v>
      </c>
      <c r="B2808" s="87" t="s">
        <v>8175</v>
      </c>
      <c r="C2808" s="87" t="s">
        <v>13</v>
      </c>
      <c r="D2808" s="87" t="str">
        <f>VLOOKUP(Tabela1[[#This Row],[Origem]], 'Perguntas 1 a 24'!$J$28:$K$34, 2, 0)</f>
        <v>Sudeste</v>
      </c>
      <c r="E2808" s="87" t="str">
        <f>Tabela1[[#This Row],[Descrição]]&amp;"-"&amp;Tabela1[[#This Row],[Código]]&amp;"/"&amp;Tabela1[[#This Row],[Origem]]</f>
        <v>Murapo-P442H637/SP</v>
      </c>
      <c r="F2808" s="88">
        <v>47186</v>
      </c>
      <c r="G2808" s="88" t="str" cm="1">
        <f t="array" ref="G28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AND(F2808&gt;= DATE(2026,1,1), F2808&lt;= DATE(2028, 12, 31), J2808&gt;50000), "Pendente e Caro", AND(F2808&gt;= DATE(2026,1,1), F2808&lt;= DATE(2028, 12, 31), J2808&lt;=50000), "Pendente", F2808&gt;= DATE(2029,1,1), "Não prioeitário")</f>
        <v>Não prioeitário</v>
      </c>
      <c r="H2808" s="89">
        <f>YEAR(Tabela1[[#This Row],[Data de Validade]])</f>
        <v>2029</v>
      </c>
      <c r="I2808" s="89">
        <f>MONTH(Tabela1[[#This Row],[Data de Validade]])</f>
        <v>3</v>
      </c>
      <c r="J2808" s="101">
        <v>107338</v>
      </c>
      <c r="K2808" s="87" t="s">
        <v>9</v>
      </c>
      <c r="L2808" s="108"/>
      <c r="M2808" s="108"/>
      <c r="N2808" s="108" t="str">
        <v>P568H864</v>
      </c>
      <c r="O2808" s="108">
        <f t="shared" si="45"/>
        <v>1</v>
      </c>
      <c r="P2808" s="108"/>
      <c r="Q2808"/>
    </row>
    <row r="2809" spans="1:17" x14ac:dyDescent="0.25">
      <c r="A2809" s="89" t="s">
        <v>5874</v>
      </c>
      <c r="B2809" s="87" t="s">
        <v>5875</v>
      </c>
      <c r="C2809" s="87" t="s">
        <v>13</v>
      </c>
      <c r="D2809" s="87" t="str">
        <f>VLOOKUP(Tabela1[[#This Row],[Origem]], 'Perguntas 1 a 24'!$J$28:$K$34, 2, 0)</f>
        <v>Sudeste</v>
      </c>
      <c r="E2809" s="87" t="str">
        <f>Tabela1[[#This Row],[Descrição]]&amp;"-"&amp;Tabela1[[#This Row],[Código]]&amp;"/"&amp;Tabela1[[#This Row],[Origem]]</f>
        <v>Peveroni-P568H864/SP</v>
      </c>
      <c r="F2809" s="88">
        <v>47186</v>
      </c>
      <c r="G2809" s="88" t="str" cm="1">
        <f t="array" ref="G28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AND(F2809&gt;= DATE(2026,1,1), F2809&lt;= DATE(2028, 12, 31), J2809&gt;50000), "Pendente e Caro", AND(F2809&gt;= DATE(2026,1,1), F2809&lt;= DATE(2028, 12, 31), J2809&lt;=50000), "Pendente", F2809&gt;= DATE(2029,1,1), "Não prioeitário")</f>
        <v>Não prioeitário</v>
      </c>
      <c r="H2809" s="89">
        <f>YEAR(Tabela1[[#This Row],[Data de Validade]])</f>
        <v>2029</v>
      </c>
      <c r="I2809" s="89">
        <f>MONTH(Tabela1[[#This Row],[Data de Validade]])</f>
        <v>3</v>
      </c>
      <c r="J2809" s="101">
        <v>71558</v>
      </c>
      <c r="K2809" s="87" t="s">
        <v>14</v>
      </c>
      <c r="L2809" s="108"/>
      <c r="M2809" s="108"/>
      <c r="N2809" s="108" t="str">
        <v>P887H497</v>
      </c>
      <c r="O2809" s="108">
        <f t="shared" si="45"/>
        <v>1</v>
      </c>
      <c r="P2809" s="108"/>
      <c r="Q2809"/>
    </row>
    <row r="2810" spans="1:17" x14ac:dyDescent="0.25">
      <c r="A2810" s="89" t="s">
        <v>10449</v>
      </c>
      <c r="B2810" s="87" t="s">
        <v>10450</v>
      </c>
      <c r="C2810" s="87" t="s">
        <v>13</v>
      </c>
      <c r="D2810" s="87" t="str">
        <f>VLOOKUP(Tabela1[[#This Row],[Origem]], 'Perguntas 1 a 24'!$J$28:$K$34, 2, 0)</f>
        <v>Sudeste</v>
      </c>
      <c r="E2810" s="87" t="str">
        <f>Tabela1[[#This Row],[Descrição]]&amp;"-"&amp;Tabela1[[#This Row],[Código]]&amp;"/"&amp;Tabela1[[#This Row],[Origem]]</f>
        <v>Vafilu-P887H497/SP</v>
      </c>
      <c r="F2810" s="88">
        <v>47186</v>
      </c>
      <c r="G2810" s="88" t="str" cm="1">
        <f t="array" ref="G28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AND(F2810&gt;= DATE(2026,1,1), F2810&lt;= DATE(2028, 12, 31), J2810&gt;50000), "Pendente e Caro", AND(F2810&gt;= DATE(2026,1,1), F2810&lt;= DATE(2028, 12, 31), J2810&lt;=50000), "Pendente", F2810&gt;= DATE(2029,1,1), "Não prioeitário")</f>
        <v>Não prioeitário</v>
      </c>
      <c r="H2810" s="89">
        <f>YEAR(Tabela1[[#This Row],[Data de Validade]])</f>
        <v>2029</v>
      </c>
      <c r="I2810" s="89">
        <f>MONTH(Tabela1[[#This Row],[Data de Validade]])</f>
        <v>3</v>
      </c>
      <c r="J2810" s="101">
        <v>52337</v>
      </c>
      <c r="K2810" s="87" t="s">
        <v>11</v>
      </c>
      <c r="L2810" s="108"/>
      <c r="M2810" s="108"/>
      <c r="N2810" s="108" t="str">
        <v>H172P272</v>
      </c>
      <c r="O2810" s="108">
        <f t="shared" si="45"/>
        <v>1</v>
      </c>
      <c r="P2810" s="108"/>
      <c r="Q2810"/>
    </row>
    <row r="2811" spans="1:17" x14ac:dyDescent="0.25">
      <c r="A2811" s="89" t="s">
        <v>6442</v>
      </c>
      <c r="B2811" s="87" t="s">
        <v>6443</v>
      </c>
      <c r="C2811" s="87" t="s">
        <v>13</v>
      </c>
      <c r="D2811" s="87" t="str">
        <f>VLOOKUP(Tabela1[[#This Row],[Origem]], 'Perguntas 1 a 24'!$J$28:$K$34, 2, 0)</f>
        <v>Sudeste</v>
      </c>
      <c r="E2811" s="87" t="str">
        <f>Tabela1[[#This Row],[Descrição]]&amp;"-"&amp;Tabela1[[#This Row],[Código]]&amp;"/"&amp;Tabela1[[#This Row],[Origem]]</f>
        <v>Tupega-H172P272/SP</v>
      </c>
      <c r="F2811" s="88">
        <v>47188</v>
      </c>
      <c r="G2811" s="88" t="str" cm="1">
        <f t="array" ref="G28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AND(F2811&gt;= DATE(2026,1,1), F2811&lt;= DATE(2028, 12, 31), J2811&gt;50000), "Pendente e Caro", AND(F2811&gt;= DATE(2026,1,1), F2811&lt;= DATE(2028, 12, 31), J2811&lt;=50000), "Pendente", F2811&gt;= DATE(2029,1,1), "Não prioeitário")</f>
        <v>Não prioeitário</v>
      </c>
      <c r="H2811" s="89">
        <f>YEAR(Tabela1[[#This Row],[Data de Validade]])</f>
        <v>2029</v>
      </c>
      <c r="I2811" s="89">
        <f>MONTH(Tabela1[[#This Row],[Data de Validade]])</f>
        <v>3</v>
      </c>
      <c r="J2811" s="101">
        <v>61096</v>
      </c>
      <c r="K2811" s="87" t="s">
        <v>14</v>
      </c>
      <c r="L2811" s="108"/>
      <c r="M2811" s="108"/>
      <c r="N2811" s="108" t="str">
        <v>H837H784</v>
      </c>
      <c r="O2811" s="108">
        <f t="shared" si="45"/>
        <v>1</v>
      </c>
      <c r="P2811" s="108"/>
      <c r="Q2811"/>
    </row>
    <row r="2812" spans="1:17" x14ac:dyDescent="0.25">
      <c r="A2812" s="89" t="s">
        <v>6796</v>
      </c>
      <c r="B2812" s="87" t="s">
        <v>6797</v>
      </c>
      <c r="C2812" s="87" t="s">
        <v>8</v>
      </c>
      <c r="D2812" s="87" t="str">
        <f>VLOOKUP(Tabela1[[#This Row],[Origem]], 'Perguntas 1 a 24'!$J$28:$K$34, 2, 0)</f>
        <v>Nordeste</v>
      </c>
      <c r="E2812" s="87" t="str">
        <f>Tabela1[[#This Row],[Descrição]]&amp;"-"&amp;Tabela1[[#This Row],[Código]]&amp;"/"&amp;Tabela1[[#This Row],[Origem]]</f>
        <v>Dotulu-H837H784/AL</v>
      </c>
      <c r="F2812" s="88">
        <v>47188</v>
      </c>
      <c r="G2812" s="88" t="str" cm="1">
        <f t="array" ref="G28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AND(F2812&gt;= DATE(2026,1,1), F2812&lt;= DATE(2028, 12, 31), J2812&gt;50000), "Pendente e Caro", AND(F2812&gt;= DATE(2026,1,1), F2812&lt;= DATE(2028, 12, 31), J2812&lt;=50000), "Pendente", F2812&gt;= DATE(2029,1,1), "Não prioeitário")</f>
        <v>Não prioeitário</v>
      </c>
      <c r="H2812" s="89">
        <f>YEAR(Tabela1[[#This Row],[Data de Validade]])</f>
        <v>2029</v>
      </c>
      <c r="I2812" s="89">
        <f>MONTH(Tabela1[[#This Row],[Data de Validade]])</f>
        <v>3</v>
      </c>
      <c r="J2812" s="101">
        <v>23360</v>
      </c>
      <c r="K2812" s="87" t="s">
        <v>7</v>
      </c>
      <c r="L2812" s="108"/>
      <c r="M2812" s="108"/>
      <c r="N2812" s="108" t="str">
        <v>H693P525</v>
      </c>
      <c r="O2812" s="108">
        <f t="shared" si="45"/>
        <v>1</v>
      </c>
      <c r="P2812" s="108"/>
      <c r="Q2812"/>
    </row>
    <row r="2813" spans="1:17" x14ac:dyDescent="0.25">
      <c r="A2813" s="89" t="s">
        <v>7858</v>
      </c>
      <c r="B2813" s="87" t="s">
        <v>7859</v>
      </c>
      <c r="C2813" s="87" t="s">
        <v>12</v>
      </c>
      <c r="D2813" s="87" t="str">
        <f>VLOOKUP(Tabela1[[#This Row],[Origem]], 'Perguntas 1 a 24'!$J$28:$K$34, 2, 0)</f>
        <v>Sudeste</v>
      </c>
      <c r="E2813" s="87" t="str">
        <f>Tabela1[[#This Row],[Descrição]]&amp;"-"&amp;Tabela1[[#This Row],[Código]]&amp;"/"&amp;Tabela1[[#This Row],[Origem]]</f>
        <v>Picolune-H693P525/RJ</v>
      </c>
      <c r="F2813" s="88">
        <v>47189</v>
      </c>
      <c r="G2813" s="88" t="str" cm="1">
        <f t="array" ref="G28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AND(F2813&gt;= DATE(2026,1,1), F2813&lt;= DATE(2028, 12, 31), J2813&gt;50000), "Pendente e Caro", AND(F2813&gt;= DATE(2026,1,1), F2813&lt;= DATE(2028, 12, 31), J2813&lt;=50000), "Pendente", F2813&gt;= DATE(2029,1,1), "Não prioeitário")</f>
        <v>Não prioeitário</v>
      </c>
      <c r="H2813" s="89">
        <f>YEAR(Tabela1[[#This Row],[Data de Validade]])</f>
        <v>2029</v>
      </c>
      <c r="I2813" s="89">
        <f>MONTH(Tabela1[[#This Row],[Data de Validade]])</f>
        <v>3</v>
      </c>
      <c r="J2813" s="101">
        <v>40120</v>
      </c>
      <c r="K2813" s="87" t="s">
        <v>9</v>
      </c>
      <c r="L2813" s="108"/>
      <c r="M2813" s="108"/>
      <c r="N2813" s="108" t="str">
        <v>H621P911</v>
      </c>
      <c r="O2813" s="108">
        <f t="shared" si="45"/>
        <v>1</v>
      </c>
      <c r="P2813" s="108"/>
      <c r="Q2813"/>
    </row>
    <row r="2814" spans="1:17" x14ac:dyDescent="0.25">
      <c r="A2814" s="89" t="s">
        <v>8897</v>
      </c>
      <c r="B2814" s="87" t="s">
        <v>8898</v>
      </c>
      <c r="C2814" s="87" t="s">
        <v>12</v>
      </c>
      <c r="D2814" s="87" t="str">
        <f>VLOOKUP(Tabela1[[#This Row],[Origem]], 'Perguntas 1 a 24'!$J$28:$K$34, 2, 0)</f>
        <v>Sudeste</v>
      </c>
      <c r="E2814" s="87" t="str">
        <f>Tabela1[[#This Row],[Descrição]]&amp;"-"&amp;Tabela1[[#This Row],[Código]]&amp;"/"&amp;Tabela1[[#This Row],[Origem]]</f>
        <v>Caretege-H621P911/RJ</v>
      </c>
      <c r="F2814" s="88">
        <v>47190</v>
      </c>
      <c r="G2814" s="88" t="str" cm="1">
        <f t="array" ref="G28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AND(F2814&gt;= DATE(2026,1,1), F2814&lt;= DATE(2028, 12, 31), J2814&gt;50000), "Pendente e Caro", AND(F2814&gt;= DATE(2026,1,1), F2814&lt;= DATE(2028, 12, 31), J2814&lt;=50000), "Pendente", F2814&gt;= DATE(2029,1,1), "Não prioeitário")</f>
        <v>Não prioeitário</v>
      </c>
      <c r="H2814" s="89">
        <f>YEAR(Tabela1[[#This Row],[Data de Validade]])</f>
        <v>2029</v>
      </c>
      <c r="I2814" s="89">
        <f>MONTH(Tabela1[[#This Row],[Data de Validade]])</f>
        <v>3</v>
      </c>
      <c r="J2814" s="101">
        <v>93824</v>
      </c>
      <c r="K2814" s="87" t="s">
        <v>9</v>
      </c>
      <c r="L2814" s="108"/>
      <c r="M2814" s="108"/>
      <c r="N2814" s="108" t="str">
        <v>H561P866</v>
      </c>
      <c r="O2814" s="108">
        <f t="shared" si="45"/>
        <v>1</v>
      </c>
      <c r="P2814" s="108"/>
      <c r="Q2814"/>
    </row>
    <row r="2815" spans="1:17" x14ac:dyDescent="0.25">
      <c r="A2815" s="89" t="s">
        <v>3930</v>
      </c>
      <c r="B2815" s="87" t="s">
        <v>3931</v>
      </c>
      <c r="C2815" s="87" t="s">
        <v>8</v>
      </c>
      <c r="D2815" s="87" t="str">
        <f>VLOOKUP(Tabela1[[#This Row],[Origem]], 'Perguntas 1 a 24'!$J$28:$K$34, 2, 0)</f>
        <v>Nordeste</v>
      </c>
      <c r="E2815" s="87" t="str">
        <f>Tabela1[[#This Row],[Descrição]]&amp;"-"&amp;Tabela1[[#This Row],[Código]]&amp;"/"&amp;Tabela1[[#This Row],[Origem]]</f>
        <v>Ritima-H561P866/AL</v>
      </c>
      <c r="F2815" s="88">
        <v>47190</v>
      </c>
      <c r="G2815" s="88" t="str" cm="1">
        <f t="array" ref="G28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AND(F2815&gt;= DATE(2026,1,1), F2815&lt;= DATE(2028, 12, 31), J2815&gt;50000), "Pendente e Caro", AND(F2815&gt;= DATE(2026,1,1), F2815&lt;= DATE(2028, 12, 31), J2815&lt;=50000), "Pendente", F2815&gt;= DATE(2029,1,1), "Não prioeitário")</f>
        <v>Não prioeitário</v>
      </c>
      <c r="H2815" s="89">
        <f>YEAR(Tabela1[[#This Row],[Data de Validade]])</f>
        <v>2029</v>
      </c>
      <c r="I2815" s="89">
        <f>MONTH(Tabela1[[#This Row],[Data de Validade]])</f>
        <v>3</v>
      </c>
      <c r="J2815" s="101">
        <v>81198</v>
      </c>
      <c r="K2815" s="87" t="s">
        <v>7</v>
      </c>
      <c r="L2815" s="108"/>
      <c r="M2815" s="108"/>
      <c r="N2815" s="108" t="str">
        <v>H254P176</v>
      </c>
      <c r="O2815" s="108">
        <f t="shared" si="45"/>
        <v>1</v>
      </c>
      <c r="P2815" s="108"/>
      <c r="Q2815"/>
    </row>
    <row r="2816" spans="1:17" x14ac:dyDescent="0.25">
      <c r="A2816" s="89" t="s">
        <v>6626</v>
      </c>
      <c r="B2816" s="87" t="s">
        <v>6627</v>
      </c>
      <c r="C2816" s="87" t="s">
        <v>15</v>
      </c>
      <c r="D2816" s="87" t="str">
        <f>VLOOKUP(Tabela1[[#This Row],[Origem]], 'Perguntas 1 a 24'!$J$28:$K$34, 2, 0)</f>
        <v>Sudeste</v>
      </c>
      <c r="E2816" s="87" t="str">
        <f>Tabela1[[#This Row],[Descrição]]&amp;"-"&amp;Tabela1[[#This Row],[Código]]&amp;"/"&amp;Tabela1[[#This Row],[Origem]]</f>
        <v>Lamugi-H254P176/ES</v>
      </c>
      <c r="F2816" s="88">
        <v>47191</v>
      </c>
      <c r="G2816" s="88" t="str" cm="1">
        <f t="array" ref="G28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AND(F2816&gt;= DATE(2026,1,1), F2816&lt;= DATE(2028, 12, 31), J2816&gt;50000), "Pendente e Caro", AND(F2816&gt;= DATE(2026,1,1), F2816&lt;= DATE(2028, 12, 31), J2816&lt;=50000), "Pendente", F2816&gt;= DATE(2029,1,1), "Não prioeitário")</f>
        <v>Não prioeitário</v>
      </c>
      <c r="H2816" s="89">
        <f>YEAR(Tabela1[[#This Row],[Data de Validade]])</f>
        <v>2029</v>
      </c>
      <c r="I2816" s="89">
        <f>MONTH(Tabela1[[#This Row],[Data de Validade]])</f>
        <v>3</v>
      </c>
      <c r="J2816" s="101">
        <v>87564</v>
      </c>
      <c r="K2816" s="87" t="s">
        <v>11</v>
      </c>
      <c r="L2816" s="108"/>
      <c r="M2816" s="108"/>
      <c r="N2816" s="108" t="str">
        <v>H131H298</v>
      </c>
      <c r="O2816" s="108">
        <f t="shared" si="45"/>
        <v>1</v>
      </c>
      <c r="P2816" s="108"/>
      <c r="Q2816"/>
    </row>
    <row r="2817" spans="1:17" x14ac:dyDescent="0.25">
      <c r="A2817" s="89" t="s">
        <v>9173</v>
      </c>
      <c r="B2817" s="87" t="s">
        <v>9174</v>
      </c>
      <c r="C2817" s="87" t="s">
        <v>6</v>
      </c>
      <c r="D2817" s="87" t="str">
        <f>VLOOKUP(Tabela1[[#This Row],[Origem]], 'Perguntas 1 a 24'!$J$28:$K$34, 2, 0)</f>
        <v>Nordeste</v>
      </c>
      <c r="E2817" s="87" t="str">
        <f>Tabela1[[#This Row],[Descrição]]&amp;"-"&amp;Tabela1[[#This Row],[Código]]&amp;"/"&amp;Tabela1[[#This Row],[Origem]]</f>
        <v>Tudunodo-H131H298/MA</v>
      </c>
      <c r="F2817" s="88">
        <v>47192</v>
      </c>
      <c r="G2817" s="88" t="str" cm="1">
        <f t="array" ref="G28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AND(F2817&gt;= DATE(2026,1,1), F2817&lt;= DATE(2028, 12, 31), J2817&gt;50000), "Pendente e Caro", AND(F2817&gt;= DATE(2026,1,1), F2817&lt;= DATE(2028, 12, 31), J2817&lt;=50000), "Pendente", F2817&gt;= DATE(2029,1,1), "Não prioeitário")</f>
        <v>Não prioeitário</v>
      </c>
      <c r="H2817" s="89">
        <f>YEAR(Tabela1[[#This Row],[Data de Validade]])</f>
        <v>2029</v>
      </c>
      <c r="I2817" s="89">
        <f>MONTH(Tabela1[[#This Row],[Data de Validade]])</f>
        <v>3</v>
      </c>
      <c r="J2817" s="101">
        <v>113377</v>
      </c>
      <c r="K2817" s="87" t="s">
        <v>11</v>
      </c>
      <c r="L2817" s="108"/>
      <c r="M2817" s="108"/>
      <c r="N2817" s="108" t="str">
        <v>P532H586</v>
      </c>
      <c r="O2817" s="108">
        <f t="shared" si="45"/>
        <v>1</v>
      </c>
      <c r="P2817" s="108"/>
      <c r="Q2817"/>
    </row>
    <row r="2818" spans="1:17" x14ac:dyDescent="0.25">
      <c r="A2818" s="89" t="s">
        <v>9159</v>
      </c>
      <c r="B2818" s="87" t="s">
        <v>9160</v>
      </c>
      <c r="C2818" s="87" t="s">
        <v>12</v>
      </c>
      <c r="D2818" s="87" t="str">
        <f>VLOOKUP(Tabela1[[#This Row],[Origem]], 'Perguntas 1 a 24'!$J$28:$K$34, 2, 0)</f>
        <v>Sudeste</v>
      </c>
      <c r="E2818" s="87" t="str">
        <f>Tabela1[[#This Row],[Descrição]]&amp;"-"&amp;Tabela1[[#This Row],[Código]]&amp;"/"&amp;Tabela1[[#This Row],[Origem]]</f>
        <v>Tiracedi-P532H586/RJ</v>
      </c>
      <c r="F2818" s="88">
        <v>47192</v>
      </c>
      <c r="G2818" s="88" t="str" cm="1">
        <f t="array" ref="G28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AND(F2818&gt;= DATE(2026,1,1), F2818&lt;= DATE(2028, 12, 31), J2818&gt;50000), "Pendente e Caro", AND(F2818&gt;= DATE(2026,1,1), F2818&lt;= DATE(2028, 12, 31), J2818&lt;=50000), "Pendente", F2818&gt;= DATE(2029,1,1), "Não prioeitário")</f>
        <v>Não prioeitário</v>
      </c>
      <c r="H2818" s="89">
        <f>YEAR(Tabela1[[#This Row],[Data de Validade]])</f>
        <v>2029</v>
      </c>
      <c r="I2818" s="89">
        <f>MONTH(Tabela1[[#This Row],[Data de Validade]])</f>
        <v>3</v>
      </c>
      <c r="J2818" s="101">
        <v>63432</v>
      </c>
      <c r="K2818" s="87" t="s">
        <v>9</v>
      </c>
      <c r="L2818" s="108"/>
      <c r="M2818" s="108"/>
      <c r="N2818" s="108" t="str">
        <v>H932H584</v>
      </c>
      <c r="O2818" s="108">
        <f t="shared" si="45"/>
        <v>1</v>
      </c>
      <c r="P2818" s="108"/>
      <c r="Q2818"/>
    </row>
    <row r="2819" spans="1:17" x14ac:dyDescent="0.25">
      <c r="A2819" s="89" t="s">
        <v>6342</v>
      </c>
      <c r="B2819" s="87" t="s">
        <v>6343</v>
      </c>
      <c r="C2819" s="87" t="s">
        <v>12</v>
      </c>
      <c r="D2819" s="87" t="str">
        <f>VLOOKUP(Tabela1[[#This Row],[Origem]], 'Perguntas 1 a 24'!$J$28:$K$34, 2, 0)</f>
        <v>Sudeste</v>
      </c>
      <c r="E2819" s="87" t="str">
        <f>Tabela1[[#This Row],[Descrição]]&amp;"-"&amp;Tabela1[[#This Row],[Código]]&amp;"/"&amp;Tabela1[[#This Row],[Origem]]</f>
        <v>Lurumicige-H932H584/RJ</v>
      </c>
      <c r="F2819" s="88">
        <v>47193</v>
      </c>
      <c r="G2819" s="88" t="str" cm="1">
        <f t="array" ref="G28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AND(F2819&gt;= DATE(2026,1,1), F2819&lt;= DATE(2028, 12, 31), J2819&gt;50000), "Pendente e Caro", AND(F2819&gt;= DATE(2026,1,1), F2819&lt;= DATE(2028, 12, 31), J2819&lt;=50000), "Pendente", F2819&gt;= DATE(2029,1,1), "Não prioeitário")</f>
        <v>Não prioeitário</v>
      </c>
      <c r="H2819" s="89">
        <f>YEAR(Tabela1[[#This Row],[Data de Validade]])</f>
        <v>2029</v>
      </c>
      <c r="I2819" s="89">
        <f>MONTH(Tabela1[[#This Row],[Data de Validade]])</f>
        <v>3</v>
      </c>
      <c r="J2819" s="101">
        <v>114581</v>
      </c>
      <c r="K2819" s="87" t="s">
        <v>11</v>
      </c>
      <c r="L2819" s="108"/>
      <c r="M2819" s="108"/>
      <c r="N2819" s="108" t="str">
        <v>H179P519</v>
      </c>
      <c r="O2819" s="108">
        <f t="shared" ref="O2819:O2882" si="46">COUNTIFS(B:B,N2819)</f>
        <v>1</v>
      </c>
      <c r="P2819" s="108"/>
      <c r="Q2819"/>
    </row>
    <row r="2820" spans="1:17" x14ac:dyDescent="0.25">
      <c r="A2820" s="89" t="s">
        <v>10701</v>
      </c>
      <c r="B2820" s="87" t="s">
        <v>10702</v>
      </c>
      <c r="C2820" s="87" t="s">
        <v>6</v>
      </c>
      <c r="D2820" s="87" t="str">
        <f>VLOOKUP(Tabela1[[#This Row],[Origem]], 'Perguntas 1 a 24'!$J$28:$K$34, 2, 0)</f>
        <v>Nordeste</v>
      </c>
      <c r="E2820" s="87" t="str">
        <f>Tabela1[[#This Row],[Descrição]]&amp;"-"&amp;Tabela1[[#This Row],[Código]]&amp;"/"&amp;Tabela1[[#This Row],[Origem]]</f>
        <v>Fugola-H179P519/MA</v>
      </c>
      <c r="F2820" s="88">
        <v>47193</v>
      </c>
      <c r="G2820" s="88" t="str" cm="1">
        <f t="array" ref="G28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AND(F2820&gt;= DATE(2026,1,1), F2820&lt;= DATE(2028, 12, 31), J2820&gt;50000), "Pendente e Caro", AND(F2820&gt;= DATE(2026,1,1), F2820&lt;= DATE(2028, 12, 31), J2820&lt;=50000), "Pendente", F2820&gt;= DATE(2029,1,1), "Não prioeitário")</f>
        <v>Não prioeitário</v>
      </c>
      <c r="H2820" s="89">
        <f>YEAR(Tabela1[[#This Row],[Data de Validade]])</f>
        <v>2029</v>
      </c>
      <c r="I2820" s="89">
        <f>MONTH(Tabela1[[#This Row],[Data de Validade]])</f>
        <v>3</v>
      </c>
      <c r="J2820" s="101">
        <v>55583</v>
      </c>
      <c r="K2820" s="87" t="s">
        <v>14</v>
      </c>
      <c r="L2820" s="108"/>
      <c r="M2820" s="108"/>
      <c r="N2820" s="108" t="str">
        <v>H531H724</v>
      </c>
      <c r="O2820" s="108">
        <f t="shared" si="46"/>
        <v>1</v>
      </c>
      <c r="P2820" s="108"/>
      <c r="Q2820"/>
    </row>
    <row r="2821" spans="1:17" x14ac:dyDescent="0.25">
      <c r="A2821" s="89" t="s">
        <v>5694</v>
      </c>
      <c r="B2821" s="87" t="s">
        <v>5695</v>
      </c>
      <c r="C2821" s="87" t="s">
        <v>16</v>
      </c>
      <c r="D2821" s="87" t="str">
        <f>VLOOKUP(Tabela1[[#This Row],[Origem]], 'Perguntas 1 a 24'!$J$28:$K$34, 2, 0)</f>
        <v>Sudeste</v>
      </c>
      <c r="E2821" s="87" t="str">
        <f>Tabela1[[#This Row],[Descrição]]&amp;"-"&amp;Tabela1[[#This Row],[Código]]&amp;"/"&amp;Tabela1[[#This Row],[Origem]]</f>
        <v>Vonoci-H531H724/MG</v>
      </c>
      <c r="F2821" s="88">
        <v>47194</v>
      </c>
      <c r="G2821" s="88" t="str" cm="1">
        <f t="array" ref="G28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AND(F2821&gt;= DATE(2026,1,1), F2821&lt;= DATE(2028, 12, 31), J2821&gt;50000), "Pendente e Caro", AND(F2821&gt;= DATE(2026,1,1), F2821&lt;= DATE(2028, 12, 31), J2821&lt;=50000), "Pendente", F2821&gt;= DATE(2029,1,1), "Não prioeitário")</f>
        <v>Não prioeitário</v>
      </c>
      <c r="H2821" s="89">
        <f>YEAR(Tabela1[[#This Row],[Data de Validade]])</f>
        <v>2029</v>
      </c>
      <c r="I2821" s="89">
        <f>MONTH(Tabela1[[#This Row],[Data de Validade]])</f>
        <v>3</v>
      </c>
      <c r="J2821" s="101">
        <v>67379</v>
      </c>
      <c r="K2821" s="87" t="s">
        <v>7</v>
      </c>
      <c r="L2821" s="108"/>
      <c r="M2821" s="108"/>
      <c r="N2821" s="108" t="str">
        <v>H458P866</v>
      </c>
      <c r="O2821" s="108">
        <f t="shared" si="46"/>
        <v>1</v>
      </c>
      <c r="P2821" s="108"/>
      <c r="Q2821"/>
    </row>
    <row r="2822" spans="1:17" x14ac:dyDescent="0.25">
      <c r="A2822" s="89" t="s">
        <v>10395</v>
      </c>
      <c r="B2822" s="87" t="s">
        <v>10396</v>
      </c>
      <c r="C2822" s="87" t="s">
        <v>12</v>
      </c>
      <c r="D2822" s="87" t="str">
        <f>VLOOKUP(Tabela1[[#This Row],[Origem]], 'Perguntas 1 a 24'!$J$28:$K$34, 2, 0)</f>
        <v>Sudeste</v>
      </c>
      <c r="E2822" s="87" t="str">
        <f>Tabela1[[#This Row],[Descrição]]&amp;"-"&amp;Tabela1[[#This Row],[Código]]&amp;"/"&amp;Tabela1[[#This Row],[Origem]]</f>
        <v>Rurigadopa-H458P866/RJ</v>
      </c>
      <c r="F2822" s="88">
        <v>47194</v>
      </c>
      <c r="G2822" s="88" t="str" cm="1">
        <f t="array" ref="G28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AND(F2822&gt;= DATE(2026,1,1), F2822&lt;= DATE(2028, 12, 31), J2822&gt;50000), "Pendente e Caro", AND(F2822&gt;= DATE(2026,1,1), F2822&lt;= DATE(2028, 12, 31), J2822&lt;=50000), "Pendente", F2822&gt;= DATE(2029,1,1), "Não prioeitário")</f>
        <v>Não prioeitário</v>
      </c>
      <c r="H2822" s="89">
        <f>YEAR(Tabela1[[#This Row],[Data de Validade]])</f>
        <v>2029</v>
      </c>
      <c r="I2822" s="89">
        <f>MONTH(Tabela1[[#This Row],[Data de Validade]])</f>
        <v>3</v>
      </c>
      <c r="J2822" s="101">
        <v>30532</v>
      </c>
      <c r="K2822" s="87" t="s">
        <v>9</v>
      </c>
      <c r="L2822" s="108"/>
      <c r="M2822" s="108"/>
      <c r="N2822" s="108" t="str">
        <v>H832P892</v>
      </c>
      <c r="O2822" s="108">
        <f t="shared" si="46"/>
        <v>1</v>
      </c>
      <c r="P2822" s="108"/>
      <c r="Q2822"/>
    </row>
    <row r="2823" spans="1:17" x14ac:dyDescent="0.25">
      <c r="A2823" s="89" t="s">
        <v>7048</v>
      </c>
      <c r="B2823" s="87" t="s">
        <v>7049</v>
      </c>
      <c r="C2823" s="87" t="s">
        <v>15</v>
      </c>
      <c r="D2823" s="87" t="str">
        <f>VLOOKUP(Tabela1[[#This Row],[Origem]], 'Perguntas 1 a 24'!$J$28:$K$34, 2, 0)</f>
        <v>Sudeste</v>
      </c>
      <c r="E2823" s="87" t="str">
        <f>Tabela1[[#This Row],[Descrição]]&amp;"-"&amp;Tabela1[[#This Row],[Código]]&amp;"/"&amp;Tabela1[[#This Row],[Origem]]</f>
        <v>Lumivi-H832P892/ES</v>
      </c>
      <c r="F2823" s="88">
        <v>47195</v>
      </c>
      <c r="G2823" s="88" t="str" cm="1">
        <f t="array" ref="G28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AND(F2823&gt;= DATE(2026,1,1), F2823&lt;= DATE(2028, 12, 31), J2823&gt;50000), "Pendente e Caro", AND(F2823&gt;= DATE(2026,1,1), F2823&lt;= DATE(2028, 12, 31), J2823&lt;=50000), "Pendente", F2823&gt;= DATE(2029,1,1), "Não prioeitário")</f>
        <v>Não prioeitário</v>
      </c>
      <c r="H2823" s="89">
        <f>YEAR(Tabela1[[#This Row],[Data de Validade]])</f>
        <v>2029</v>
      </c>
      <c r="I2823" s="89">
        <f>MONTH(Tabela1[[#This Row],[Data de Validade]])</f>
        <v>3</v>
      </c>
      <c r="J2823" s="101">
        <v>107744</v>
      </c>
      <c r="K2823" s="87" t="s">
        <v>11</v>
      </c>
      <c r="L2823" s="108"/>
      <c r="M2823" s="108"/>
      <c r="N2823" s="108" t="str">
        <v>P132P319</v>
      </c>
      <c r="O2823" s="108">
        <f t="shared" si="46"/>
        <v>1</v>
      </c>
      <c r="P2823" s="108"/>
      <c r="Q2823"/>
    </row>
    <row r="2824" spans="1:17" x14ac:dyDescent="0.25">
      <c r="A2824" s="89" t="s">
        <v>5296</v>
      </c>
      <c r="B2824" s="87" t="s">
        <v>5297</v>
      </c>
      <c r="C2824" s="87" t="s">
        <v>13</v>
      </c>
      <c r="D2824" s="87" t="str">
        <f>VLOOKUP(Tabela1[[#This Row],[Origem]], 'Perguntas 1 a 24'!$J$28:$K$34, 2, 0)</f>
        <v>Sudeste</v>
      </c>
      <c r="E2824" s="87" t="str">
        <f>Tabela1[[#This Row],[Descrição]]&amp;"-"&amp;Tabela1[[#This Row],[Código]]&amp;"/"&amp;Tabela1[[#This Row],[Origem]]</f>
        <v>Rafeta-P132P319/SP</v>
      </c>
      <c r="F2824" s="88">
        <v>47195</v>
      </c>
      <c r="G2824" s="88" t="str" cm="1">
        <f t="array" ref="G28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AND(F2824&gt;= DATE(2026,1,1), F2824&lt;= DATE(2028, 12, 31), J2824&gt;50000), "Pendente e Caro", AND(F2824&gt;= DATE(2026,1,1), F2824&lt;= DATE(2028, 12, 31), J2824&lt;=50000), "Pendente", F2824&gt;= DATE(2029,1,1), "Não prioeitário")</f>
        <v>Não prioeitário</v>
      </c>
      <c r="H2824" s="89">
        <f>YEAR(Tabela1[[#This Row],[Data de Validade]])</f>
        <v>2029</v>
      </c>
      <c r="I2824" s="89">
        <f>MONTH(Tabela1[[#This Row],[Data de Validade]])</f>
        <v>3</v>
      </c>
      <c r="J2824" s="101">
        <v>71881</v>
      </c>
      <c r="K2824" s="87" t="s">
        <v>14</v>
      </c>
      <c r="L2824" s="108"/>
      <c r="M2824" s="108"/>
      <c r="N2824" s="108" t="str">
        <v>P372P686</v>
      </c>
      <c r="O2824" s="108">
        <f t="shared" si="46"/>
        <v>1</v>
      </c>
      <c r="P2824" s="108"/>
      <c r="Q2824"/>
    </row>
    <row r="2825" spans="1:17" x14ac:dyDescent="0.25">
      <c r="A2825" s="89" t="s">
        <v>4241</v>
      </c>
      <c r="B2825" s="87" t="s">
        <v>4242</v>
      </c>
      <c r="C2825" s="87" t="s">
        <v>15</v>
      </c>
      <c r="D2825" s="87" t="str">
        <f>VLOOKUP(Tabela1[[#This Row],[Origem]], 'Perguntas 1 a 24'!$J$28:$K$34, 2, 0)</f>
        <v>Sudeste</v>
      </c>
      <c r="E2825" s="87" t="str">
        <f>Tabela1[[#This Row],[Descrição]]&amp;"-"&amp;Tabela1[[#This Row],[Código]]&amp;"/"&amp;Tabela1[[#This Row],[Origem]]</f>
        <v>Ripepu-P372P686/ES</v>
      </c>
      <c r="F2825" s="88">
        <v>47196</v>
      </c>
      <c r="G2825" s="88" t="str" cm="1">
        <f t="array" ref="G28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AND(F2825&gt;= DATE(2026,1,1), F2825&lt;= DATE(2028, 12, 31), J2825&gt;50000), "Pendente e Caro", AND(F2825&gt;= DATE(2026,1,1), F2825&lt;= DATE(2028, 12, 31), J2825&lt;=50000), "Pendente", F2825&gt;= DATE(2029,1,1), "Não prioeitário")</f>
        <v>Não prioeitário</v>
      </c>
      <c r="H2825" s="89">
        <f>YEAR(Tabela1[[#This Row],[Data de Validade]])</f>
        <v>2029</v>
      </c>
      <c r="I2825" s="89">
        <f>MONTH(Tabela1[[#This Row],[Data de Validade]])</f>
        <v>3</v>
      </c>
      <c r="J2825" s="101">
        <v>110366</v>
      </c>
      <c r="K2825" s="87" t="s">
        <v>11</v>
      </c>
      <c r="L2825" s="108"/>
      <c r="M2825" s="108"/>
      <c r="N2825" s="108" t="str">
        <v>P727H518</v>
      </c>
      <c r="O2825" s="108">
        <f t="shared" si="46"/>
        <v>1</v>
      </c>
      <c r="P2825" s="108"/>
      <c r="Q2825"/>
    </row>
    <row r="2826" spans="1:17" x14ac:dyDescent="0.25">
      <c r="A2826" s="89" t="s">
        <v>4345</v>
      </c>
      <c r="B2826" s="87" t="s">
        <v>4346</v>
      </c>
      <c r="C2826" s="87" t="s">
        <v>8</v>
      </c>
      <c r="D2826" s="87" t="str">
        <f>VLOOKUP(Tabela1[[#This Row],[Origem]], 'Perguntas 1 a 24'!$J$28:$K$34, 2, 0)</f>
        <v>Nordeste</v>
      </c>
      <c r="E2826" s="87" t="str">
        <f>Tabela1[[#This Row],[Descrição]]&amp;"-"&amp;Tabela1[[#This Row],[Código]]&amp;"/"&amp;Tabela1[[#This Row],[Origem]]</f>
        <v>Peredomo-P727H518/AL</v>
      </c>
      <c r="F2826" s="88">
        <v>47196</v>
      </c>
      <c r="G2826" s="88" t="str" cm="1">
        <f t="array" ref="G28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AND(F2826&gt;= DATE(2026,1,1), F2826&lt;= DATE(2028, 12, 31), J2826&gt;50000), "Pendente e Caro", AND(F2826&gt;= DATE(2026,1,1), F2826&lt;= DATE(2028, 12, 31), J2826&lt;=50000), "Pendente", F2826&gt;= DATE(2029,1,1), "Não prioeitário")</f>
        <v>Não prioeitário</v>
      </c>
      <c r="H2826" s="89">
        <f>YEAR(Tabela1[[#This Row],[Data de Validade]])</f>
        <v>2029</v>
      </c>
      <c r="I2826" s="89">
        <f>MONTH(Tabela1[[#This Row],[Data de Validade]])</f>
        <v>3</v>
      </c>
      <c r="J2826" s="101">
        <v>106182</v>
      </c>
      <c r="K2826" s="87" t="s">
        <v>7</v>
      </c>
      <c r="L2826" s="108"/>
      <c r="M2826" s="108"/>
      <c r="N2826" s="108" t="str">
        <v>P263H775</v>
      </c>
      <c r="O2826" s="108">
        <f t="shared" si="46"/>
        <v>1</v>
      </c>
      <c r="P2826" s="108"/>
      <c r="Q2826"/>
    </row>
    <row r="2827" spans="1:17" x14ac:dyDescent="0.25">
      <c r="A2827" s="89" t="s">
        <v>6938</v>
      </c>
      <c r="B2827" s="87" t="s">
        <v>6939</v>
      </c>
      <c r="C2827" s="87" t="s">
        <v>10</v>
      </c>
      <c r="D2827" s="87" t="str">
        <f>VLOOKUP(Tabela1[[#This Row],[Origem]], 'Perguntas 1 a 24'!$J$28:$K$34, 2, 0)</f>
        <v>Centro-Oeste</v>
      </c>
      <c r="E2827" s="87" t="str">
        <f>Tabela1[[#This Row],[Descrição]]&amp;"-"&amp;Tabela1[[#This Row],[Código]]&amp;"/"&amp;Tabela1[[#This Row],[Origem]]</f>
        <v>Lapipere-P263H775/GO</v>
      </c>
      <c r="F2827" s="88">
        <v>47197</v>
      </c>
      <c r="G2827" s="88" t="str" cm="1">
        <f t="array" ref="G28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AND(F2827&gt;= DATE(2026,1,1), F2827&lt;= DATE(2028, 12, 31), J2827&gt;50000), "Pendente e Caro", AND(F2827&gt;= DATE(2026,1,1), F2827&lt;= DATE(2028, 12, 31), J2827&lt;=50000), "Pendente", F2827&gt;= DATE(2029,1,1), "Não prioeitário")</f>
        <v>Não prioeitário</v>
      </c>
      <c r="H2827" s="89">
        <f>YEAR(Tabela1[[#This Row],[Data de Validade]])</f>
        <v>2029</v>
      </c>
      <c r="I2827" s="89">
        <f>MONTH(Tabela1[[#This Row],[Data de Validade]])</f>
        <v>3</v>
      </c>
      <c r="J2827" s="101">
        <v>73847</v>
      </c>
      <c r="K2827" s="87" t="s">
        <v>9</v>
      </c>
      <c r="L2827" s="108"/>
      <c r="M2827" s="108"/>
      <c r="N2827" s="108" t="str">
        <v>H337H237</v>
      </c>
      <c r="O2827" s="108">
        <f t="shared" si="46"/>
        <v>1</v>
      </c>
      <c r="P2827" s="108"/>
      <c r="Q2827"/>
    </row>
    <row r="2828" spans="1:17" x14ac:dyDescent="0.25">
      <c r="A2828" s="89" t="s">
        <v>7790</v>
      </c>
      <c r="B2828" s="87" t="s">
        <v>7791</v>
      </c>
      <c r="C2828" s="87" t="s">
        <v>13</v>
      </c>
      <c r="D2828" s="87" t="str">
        <f>VLOOKUP(Tabela1[[#This Row],[Origem]], 'Perguntas 1 a 24'!$J$28:$K$34, 2, 0)</f>
        <v>Sudeste</v>
      </c>
      <c r="E2828" s="87" t="str">
        <f>Tabela1[[#This Row],[Descrição]]&amp;"-"&amp;Tabela1[[#This Row],[Código]]&amp;"/"&amp;Tabela1[[#This Row],[Origem]]</f>
        <v>Doragoda-H337H237/SP</v>
      </c>
      <c r="F2828" s="88">
        <v>47198</v>
      </c>
      <c r="G2828" s="88" t="str" cm="1">
        <f t="array" ref="G28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AND(F2828&gt;= DATE(2026,1,1), F2828&lt;= DATE(2028, 12, 31), J2828&gt;50000), "Pendente e Caro", AND(F2828&gt;= DATE(2026,1,1), F2828&lt;= DATE(2028, 12, 31), J2828&lt;=50000), "Pendente", F2828&gt;= DATE(2029,1,1), "Não prioeitário")</f>
        <v>Não prioeitário</v>
      </c>
      <c r="H2828" s="89">
        <f>YEAR(Tabela1[[#This Row],[Data de Validade]])</f>
        <v>2029</v>
      </c>
      <c r="I2828" s="89">
        <f>MONTH(Tabela1[[#This Row],[Data de Validade]])</f>
        <v>3</v>
      </c>
      <c r="J2828" s="101">
        <v>49829</v>
      </c>
      <c r="K2828" s="87" t="s">
        <v>9</v>
      </c>
      <c r="L2828" s="108"/>
      <c r="M2828" s="108"/>
      <c r="N2828" s="108" t="str">
        <v>P381H549</v>
      </c>
      <c r="O2828" s="108">
        <f t="shared" si="46"/>
        <v>1</v>
      </c>
      <c r="P2828" s="108"/>
      <c r="Q2828"/>
    </row>
    <row r="2829" spans="1:17" x14ac:dyDescent="0.25">
      <c r="A2829" s="89" t="s">
        <v>5304</v>
      </c>
      <c r="B2829" s="87" t="s">
        <v>5305</v>
      </c>
      <c r="C2829" s="87" t="s">
        <v>6</v>
      </c>
      <c r="D2829" s="87" t="str">
        <f>VLOOKUP(Tabela1[[#This Row],[Origem]], 'Perguntas 1 a 24'!$J$28:$K$34, 2, 0)</f>
        <v>Nordeste</v>
      </c>
      <c r="E2829" s="87" t="str">
        <f>Tabela1[[#This Row],[Descrição]]&amp;"-"&amp;Tabela1[[#This Row],[Código]]&amp;"/"&amp;Tabela1[[#This Row],[Origem]]</f>
        <v>Pidurife-P381H549/MA</v>
      </c>
      <c r="F2829" s="88">
        <v>47198</v>
      </c>
      <c r="G2829" s="88" t="str" cm="1">
        <f t="array" ref="G28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AND(F2829&gt;= DATE(2026,1,1), F2829&lt;= DATE(2028, 12, 31), J2829&gt;50000), "Pendente e Caro", AND(F2829&gt;= DATE(2026,1,1), F2829&lt;= DATE(2028, 12, 31), J2829&lt;=50000), "Pendente", F2829&gt;= DATE(2029,1,1), "Não prioeitário")</f>
        <v>Não prioeitário</v>
      </c>
      <c r="H2829" s="89">
        <f>YEAR(Tabela1[[#This Row],[Data de Validade]])</f>
        <v>2029</v>
      </c>
      <c r="I2829" s="89">
        <f>MONTH(Tabela1[[#This Row],[Data de Validade]])</f>
        <v>3</v>
      </c>
      <c r="J2829" s="101">
        <v>27165</v>
      </c>
      <c r="K2829" s="87" t="s">
        <v>14</v>
      </c>
      <c r="L2829" s="108"/>
      <c r="M2829" s="108"/>
      <c r="N2829" s="108" t="str">
        <v>P492P955</v>
      </c>
      <c r="O2829" s="108">
        <f t="shared" si="46"/>
        <v>1</v>
      </c>
      <c r="P2829" s="108"/>
      <c r="Q2829"/>
    </row>
    <row r="2830" spans="1:17" x14ac:dyDescent="0.25">
      <c r="A2830" s="89" t="s">
        <v>10407</v>
      </c>
      <c r="B2830" s="87" t="s">
        <v>10408</v>
      </c>
      <c r="C2830" s="87" t="s">
        <v>15</v>
      </c>
      <c r="D2830" s="87" t="str">
        <f>VLOOKUP(Tabela1[[#This Row],[Origem]], 'Perguntas 1 a 24'!$J$28:$K$34, 2, 0)</f>
        <v>Sudeste</v>
      </c>
      <c r="E2830" s="87" t="str">
        <f>Tabela1[[#This Row],[Descrição]]&amp;"-"&amp;Tabela1[[#This Row],[Código]]&amp;"/"&amp;Tabela1[[#This Row],[Origem]]</f>
        <v>Dorate-P492P955/ES</v>
      </c>
      <c r="F2830" s="88">
        <v>47200</v>
      </c>
      <c r="G2830" s="88" t="str" cm="1">
        <f t="array" ref="G28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AND(F2830&gt;= DATE(2026,1,1), F2830&lt;= DATE(2028, 12, 31), J2830&gt;50000), "Pendente e Caro", AND(F2830&gt;= DATE(2026,1,1), F2830&lt;= DATE(2028, 12, 31), J2830&lt;=50000), "Pendente", F2830&gt;= DATE(2029,1,1), "Não prioeitário")</f>
        <v>Não prioeitário</v>
      </c>
      <c r="H2830" s="89">
        <f>YEAR(Tabela1[[#This Row],[Data de Validade]])</f>
        <v>2029</v>
      </c>
      <c r="I2830" s="89">
        <f>MONTH(Tabela1[[#This Row],[Data de Validade]])</f>
        <v>3</v>
      </c>
      <c r="J2830" s="101">
        <v>90926</v>
      </c>
      <c r="K2830" s="87" t="s">
        <v>11</v>
      </c>
      <c r="L2830" s="108"/>
      <c r="M2830" s="108"/>
      <c r="N2830" s="108" t="str">
        <v>P132P126</v>
      </c>
      <c r="O2830" s="108">
        <f t="shared" si="46"/>
        <v>1</v>
      </c>
      <c r="P2830" s="108"/>
      <c r="Q2830"/>
    </row>
    <row r="2831" spans="1:17" x14ac:dyDescent="0.25">
      <c r="A2831" s="89" t="s">
        <v>4044</v>
      </c>
      <c r="B2831" s="87" t="s">
        <v>4045</v>
      </c>
      <c r="C2831" s="87" t="s">
        <v>8</v>
      </c>
      <c r="D2831" s="87" t="str">
        <f>VLOOKUP(Tabela1[[#This Row],[Origem]], 'Perguntas 1 a 24'!$J$28:$K$34, 2, 0)</f>
        <v>Nordeste</v>
      </c>
      <c r="E2831" s="87" t="str">
        <f>Tabela1[[#This Row],[Descrição]]&amp;"-"&amp;Tabela1[[#This Row],[Código]]&amp;"/"&amp;Tabela1[[#This Row],[Origem]]</f>
        <v>Cirati-P132P126/AL</v>
      </c>
      <c r="F2831" s="88">
        <v>47201</v>
      </c>
      <c r="G2831" s="88" t="str" cm="1">
        <f t="array" ref="G28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AND(F2831&gt;= DATE(2026,1,1), F2831&lt;= DATE(2028, 12, 31), J2831&gt;50000), "Pendente e Caro", AND(F2831&gt;= DATE(2026,1,1), F2831&lt;= DATE(2028, 12, 31), J2831&lt;=50000), "Pendente", F2831&gt;= DATE(2029,1,1), "Não prioeitário")</f>
        <v>Não prioeitário</v>
      </c>
      <c r="H2831" s="89">
        <f>YEAR(Tabela1[[#This Row],[Data de Validade]])</f>
        <v>2029</v>
      </c>
      <c r="I2831" s="89">
        <f>MONTH(Tabela1[[#This Row],[Data de Validade]])</f>
        <v>3</v>
      </c>
      <c r="J2831" s="101">
        <v>30342</v>
      </c>
      <c r="K2831" s="87" t="s">
        <v>14</v>
      </c>
      <c r="L2831" s="108"/>
      <c r="M2831" s="108"/>
      <c r="N2831" s="108" t="str">
        <v>P951P967</v>
      </c>
      <c r="O2831" s="108">
        <f t="shared" si="46"/>
        <v>1</v>
      </c>
      <c r="P2831" s="108"/>
      <c r="Q2831"/>
    </row>
    <row r="2832" spans="1:17" x14ac:dyDescent="0.25">
      <c r="A2832" s="89" t="s">
        <v>7592</v>
      </c>
      <c r="B2832" s="87" t="s">
        <v>7593</v>
      </c>
      <c r="C2832" s="87" t="s">
        <v>13</v>
      </c>
      <c r="D2832" s="87" t="str">
        <f>VLOOKUP(Tabela1[[#This Row],[Origem]], 'Perguntas 1 a 24'!$J$28:$K$34, 2, 0)</f>
        <v>Sudeste</v>
      </c>
      <c r="E2832" s="87" t="str">
        <f>Tabela1[[#This Row],[Descrição]]&amp;"-"&amp;Tabela1[[#This Row],[Código]]&amp;"/"&amp;Tabela1[[#This Row],[Origem]]</f>
        <v>Tetire-P951P967/SP</v>
      </c>
      <c r="F2832" s="88">
        <v>47203</v>
      </c>
      <c r="G2832" s="88" t="str" cm="1">
        <f t="array" ref="G28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AND(F2832&gt;= DATE(2026,1,1), F2832&lt;= DATE(2028, 12, 31), J2832&gt;50000), "Pendente e Caro", AND(F2832&gt;= DATE(2026,1,1), F2832&lt;= DATE(2028, 12, 31), J2832&lt;=50000), "Pendente", F2832&gt;= DATE(2029,1,1), "Não prioeitário")</f>
        <v>Não prioeitário</v>
      </c>
      <c r="H2832" s="89">
        <f>YEAR(Tabela1[[#This Row],[Data de Validade]])</f>
        <v>2029</v>
      </c>
      <c r="I2832" s="89">
        <f>MONTH(Tabela1[[#This Row],[Data de Validade]])</f>
        <v>3</v>
      </c>
      <c r="J2832" s="101">
        <v>52750</v>
      </c>
      <c r="K2832" s="87" t="s">
        <v>7</v>
      </c>
      <c r="L2832" s="108"/>
      <c r="M2832" s="108"/>
      <c r="N2832" s="108" t="str">
        <v>H968H295</v>
      </c>
      <c r="O2832" s="108">
        <f t="shared" si="46"/>
        <v>1</v>
      </c>
      <c r="P2832" s="108"/>
      <c r="Q2832"/>
    </row>
    <row r="2833" spans="1:17" x14ac:dyDescent="0.25">
      <c r="A2833" s="89" t="s">
        <v>6724</v>
      </c>
      <c r="B2833" s="87" t="s">
        <v>6725</v>
      </c>
      <c r="C2833" s="87" t="s">
        <v>8</v>
      </c>
      <c r="D2833" s="87" t="str">
        <f>VLOOKUP(Tabela1[[#This Row],[Origem]], 'Perguntas 1 a 24'!$J$28:$K$34, 2, 0)</f>
        <v>Nordeste</v>
      </c>
      <c r="E2833" s="87" t="str">
        <f>Tabela1[[#This Row],[Descrição]]&amp;"-"&amp;Tabela1[[#This Row],[Código]]&amp;"/"&amp;Tabela1[[#This Row],[Origem]]</f>
        <v>Riteto-H968H295/AL</v>
      </c>
      <c r="F2833" s="88">
        <v>47204</v>
      </c>
      <c r="G2833" s="88" t="str" cm="1">
        <f t="array" ref="G28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AND(F2833&gt;= DATE(2026,1,1), F2833&lt;= DATE(2028, 12, 31), J2833&gt;50000), "Pendente e Caro", AND(F2833&gt;= DATE(2026,1,1), F2833&lt;= DATE(2028, 12, 31), J2833&lt;=50000), "Pendente", F2833&gt;= DATE(2029,1,1), "Não prioeitário")</f>
        <v>Não prioeitário</v>
      </c>
      <c r="H2833" s="89">
        <f>YEAR(Tabela1[[#This Row],[Data de Validade]])</f>
        <v>2029</v>
      </c>
      <c r="I2833" s="89">
        <f>MONTH(Tabela1[[#This Row],[Data de Validade]])</f>
        <v>3</v>
      </c>
      <c r="J2833" s="101">
        <v>66493</v>
      </c>
      <c r="K2833" s="87" t="s">
        <v>9</v>
      </c>
      <c r="L2833" s="108"/>
      <c r="M2833" s="108"/>
      <c r="N2833" s="108" t="str">
        <v>H766P313</v>
      </c>
      <c r="O2833" s="108">
        <f t="shared" si="46"/>
        <v>1</v>
      </c>
      <c r="P2833" s="108"/>
      <c r="Q2833"/>
    </row>
    <row r="2834" spans="1:17" x14ac:dyDescent="0.25">
      <c r="A2834" s="89" t="s">
        <v>9581</v>
      </c>
      <c r="B2834" s="87" t="s">
        <v>9582</v>
      </c>
      <c r="C2834" s="87" t="s">
        <v>16</v>
      </c>
      <c r="D2834" s="87" t="str">
        <f>VLOOKUP(Tabela1[[#This Row],[Origem]], 'Perguntas 1 a 24'!$J$28:$K$34, 2, 0)</f>
        <v>Sudeste</v>
      </c>
      <c r="E2834" s="87" t="str">
        <f>Tabela1[[#This Row],[Descrição]]&amp;"-"&amp;Tabela1[[#This Row],[Código]]&amp;"/"&amp;Tabela1[[#This Row],[Origem]]</f>
        <v>Pavipeco-H766P313/MG</v>
      </c>
      <c r="F2834" s="88">
        <v>47205</v>
      </c>
      <c r="G2834" s="88" t="str" cm="1">
        <f t="array" ref="G28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AND(F2834&gt;= DATE(2026,1,1), F2834&lt;= DATE(2028, 12, 31), J2834&gt;50000), "Pendente e Caro", AND(F2834&gt;= DATE(2026,1,1), F2834&lt;= DATE(2028, 12, 31), J2834&lt;=50000), "Pendente", F2834&gt;= DATE(2029,1,1), "Não prioeitário")</f>
        <v>Não prioeitário</v>
      </c>
      <c r="H2834" s="89">
        <f>YEAR(Tabela1[[#This Row],[Data de Validade]])</f>
        <v>2029</v>
      </c>
      <c r="I2834" s="89">
        <f>MONTH(Tabela1[[#This Row],[Data de Validade]])</f>
        <v>3</v>
      </c>
      <c r="J2834" s="101">
        <v>99582</v>
      </c>
      <c r="K2834" s="87" t="s">
        <v>14</v>
      </c>
      <c r="L2834" s="108"/>
      <c r="M2834" s="108"/>
      <c r="N2834" s="108" t="str">
        <v>H885P241</v>
      </c>
      <c r="O2834" s="108">
        <f t="shared" si="46"/>
        <v>1</v>
      </c>
      <c r="P2834" s="108"/>
      <c r="Q2834"/>
    </row>
    <row r="2835" spans="1:17" x14ac:dyDescent="0.25">
      <c r="A2835" s="89" t="s">
        <v>9369</v>
      </c>
      <c r="B2835" s="87" t="s">
        <v>9370</v>
      </c>
      <c r="C2835" s="87" t="s">
        <v>15</v>
      </c>
      <c r="D2835" s="87" t="str">
        <f>VLOOKUP(Tabela1[[#This Row],[Origem]], 'Perguntas 1 a 24'!$J$28:$K$34, 2, 0)</f>
        <v>Sudeste</v>
      </c>
      <c r="E2835" s="87" t="str">
        <f>Tabela1[[#This Row],[Descrição]]&amp;"-"&amp;Tabela1[[#This Row],[Código]]&amp;"/"&amp;Tabela1[[#This Row],[Origem]]</f>
        <v>Metapumepe-H885P241/ES</v>
      </c>
      <c r="F2835" s="88">
        <v>47206</v>
      </c>
      <c r="G2835" s="88" t="str" cm="1">
        <f t="array" ref="G28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AND(F2835&gt;= DATE(2026,1,1), F2835&lt;= DATE(2028, 12, 31), J2835&gt;50000), "Pendente e Caro", AND(F2835&gt;= DATE(2026,1,1), F2835&lt;= DATE(2028, 12, 31), J2835&lt;=50000), "Pendente", F2835&gt;= DATE(2029,1,1), "Não prioeitário")</f>
        <v>Não prioeitário</v>
      </c>
      <c r="H2835" s="89">
        <f>YEAR(Tabela1[[#This Row],[Data de Validade]])</f>
        <v>2029</v>
      </c>
      <c r="I2835" s="89">
        <f>MONTH(Tabela1[[#This Row],[Data de Validade]])</f>
        <v>3</v>
      </c>
      <c r="J2835" s="101">
        <v>76675</v>
      </c>
      <c r="K2835" s="87" t="s">
        <v>7</v>
      </c>
      <c r="L2835" s="108"/>
      <c r="M2835" s="108"/>
      <c r="N2835" s="108" t="str">
        <v>H397H882</v>
      </c>
      <c r="O2835" s="108">
        <f t="shared" si="46"/>
        <v>1</v>
      </c>
      <c r="P2835" s="108"/>
      <c r="Q2835"/>
    </row>
    <row r="2836" spans="1:17" x14ac:dyDescent="0.25">
      <c r="A2836" s="89" t="s">
        <v>11316</v>
      </c>
      <c r="B2836" s="87" t="s">
        <v>11317</v>
      </c>
      <c r="C2836" s="87" t="s">
        <v>10</v>
      </c>
      <c r="D2836" s="87" t="str">
        <f>VLOOKUP(Tabela1[[#This Row],[Origem]], 'Perguntas 1 a 24'!$J$28:$K$34, 2, 0)</f>
        <v>Centro-Oeste</v>
      </c>
      <c r="E2836" s="87" t="str">
        <f>Tabela1[[#This Row],[Descrição]]&amp;"-"&amp;Tabela1[[#This Row],[Código]]&amp;"/"&amp;Tabela1[[#This Row],[Origem]]</f>
        <v>Tirapo-H397H882/GO</v>
      </c>
      <c r="F2836" s="88">
        <v>47208</v>
      </c>
      <c r="G2836" s="88" t="str" cm="1">
        <f t="array" ref="G28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AND(F2836&gt;= DATE(2026,1,1), F2836&lt;= DATE(2028, 12, 31), J2836&gt;50000), "Pendente e Caro", AND(F2836&gt;= DATE(2026,1,1), F2836&lt;= DATE(2028, 12, 31), J2836&lt;=50000), "Pendente", F2836&gt;= DATE(2029,1,1), "Não prioeitário")</f>
        <v>Não prioeitário</v>
      </c>
      <c r="H2836" s="89">
        <f>YEAR(Tabela1[[#This Row],[Data de Validade]])</f>
        <v>2029</v>
      </c>
      <c r="I2836" s="89">
        <f>MONTH(Tabela1[[#This Row],[Data de Validade]])</f>
        <v>3</v>
      </c>
      <c r="J2836" s="101">
        <v>80575</v>
      </c>
      <c r="K2836" s="87" t="s">
        <v>9</v>
      </c>
      <c r="L2836" s="108"/>
      <c r="M2836" s="108"/>
      <c r="N2836" s="108" t="str">
        <v>P392P581</v>
      </c>
      <c r="O2836" s="108">
        <f t="shared" si="46"/>
        <v>1</v>
      </c>
      <c r="P2836" s="108"/>
      <c r="Q2836"/>
    </row>
    <row r="2837" spans="1:17" x14ac:dyDescent="0.25">
      <c r="A2837" s="89" t="s">
        <v>6758</v>
      </c>
      <c r="B2837" s="87" t="s">
        <v>6759</v>
      </c>
      <c r="C2837" s="87" t="s">
        <v>12</v>
      </c>
      <c r="D2837" s="87" t="str">
        <f>VLOOKUP(Tabela1[[#This Row],[Origem]], 'Perguntas 1 a 24'!$J$28:$K$34, 2, 0)</f>
        <v>Sudeste</v>
      </c>
      <c r="E2837" s="87" t="str">
        <f>Tabela1[[#This Row],[Descrição]]&amp;"-"&amp;Tabela1[[#This Row],[Código]]&amp;"/"&amp;Tabela1[[#This Row],[Origem]]</f>
        <v>Gunapu-P392P581/RJ</v>
      </c>
      <c r="F2837" s="88">
        <v>47208</v>
      </c>
      <c r="G2837" s="88" t="str" cm="1">
        <f t="array" ref="G28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AND(F2837&gt;= DATE(2026,1,1), F2837&lt;= DATE(2028, 12, 31), J2837&gt;50000), "Pendente e Caro", AND(F2837&gt;= DATE(2026,1,1), F2837&lt;= DATE(2028, 12, 31), J2837&lt;=50000), "Pendente", F2837&gt;= DATE(2029,1,1), "Não prioeitário")</f>
        <v>Não prioeitário</v>
      </c>
      <c r="H2837" s="89">
        <f>YEAR(Tabela1[[#This Row],[Data de Validade]])</f>
        <v>2029</v>
      </c>
      <c r="I2837" s="89">
        <f>MONTH(Tabela1[[#This Row],[Data de Validade]])</f>
        <v>3</v>
      </c>
      <c r="J2837" s="101">
        <v>44941</v>
      </c>
      <c r="K2837" s="87" t="s">
        <v>9</v>
      </c>
      <c r="L2837" s="108"/>
      <c r="M2837" s="108"/>
      <c r="N2837" s="108" t="str">
        <v>H225P516</v>
      </c>
      <c r="O2837" s="108">
        <f t="shared" si="46"/>
        <v>1</v>
      </c>
      <c r="P2837" s="108"/>
      <c r="Q2837"/>
    </row>
    <row r="2838" spans="1:17" x14ac:dyDescent="0.25">
      <c r="A2838" s="89" t="s">
        <v>6756</v>
      </c>
      <c r="B2838" s="87" t="s">
        <v>6757</v>
      </c>
      <c r="C2838" s="87" t="s">
        <v>12</v>
      </c>
      <c r="D2838" s="87" t="str">
        <f>VLOOKUP(Tabela1[[#This Row],[Origem]], 'Perguntas 1 a 24'!$J$28:$K$34, 2, 0)</f>
        <v>Sudeste</v>
      </c>
      <c r="E2838" s="87" t="str">
        <f>Tabela1[[#This Row],[Descrição]]&amp;"-"&amp;Tabela1[[#This Row],[Código]]&amp;"/"&amp;Tabela1[[#This Row],[Origem]]</f>
        <v>Codocitoce-H225P516/RJ</v>
      </c>
      <c r="F2838" s="88">
        <v>47209</v>
      </c>
      <c r="G2838" s="88" t="str" cm="1">
        <f t="array" ref="G28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AND(F2838&gt;= DATE(2026,1,1), F2838&lt;= DATE(2028, 12, 31), J2838&gt;50000), "Pendente e Caro", AND(F2838&gt;= DATE(2026,1,1), F2838&lt;= DATE(2028, 12, 31), J2838&lt;=50000), "Pendente", F2838&gt;= DATE(2029,1,1), "Não prioeitário")</f>
        <v>Não prioeitário</v>
      </c>
      <c r="H2838" s="89">
        <f>YEAR(Tabela1[[#This Row],[Data de Validade]])</f>
        <v>2029</v>
      </c>
      <c r="I2838" s="89">
        <f>MONTH(Tabela1[[#This Row],[Data de Validade]])</f>
        <v>4</v>
      </c>
      <c r="J2838" s="101">
        <v>100291</v>
      </c>
      <c r="K2838" s="87" t="s">
        <v>9</v>
      </c>
      <c r="L2838" s="108"/>
      <c r="M2838" s="108"/>
      <c r="N2838" s="108" t="str">
        <v>P965P169</v>
      </c>
      <c r="O2838" s="108">
        <f t="shared" si="46"/>
        <v>1</v>
      </c>
      <c r="P2838" s="108"/>
      <c r="Q2838"/>
    </row>
    <row r="2839" spans="1:17" x14ac:dyDescent="0.25">
      <c r="A2839" s="89" t="s">
        <v>9217</v>
      </c>
      <c r="B2839" s="87" t="s">
        <v>9218</v>
      </c>
      <c r="C2839" s="87" t="s">
        <v>15</v>
      </c>
      <c r="D2839" s="87" t="str">
        <f>VLOOKUP(Tabela1[[#This Row],[Origem]], 'Perguntas 1 a 24'!$J$28:$K$34, 2, 0)</f>
        <v>Sudeste</v>
      </c>
      <c r="E2839" s="87" t="str">
        <f>Tabela1[[#This Row],[Descrição]]&amp;"-"&amp;Tabela1[[#This Row],[Código]]&amp;"/"&amp;Tabela1[[#This Row],[Origem]]</f>
        <v>Netoto-P965P169/ES</v>
      </c>
      <c r="F2839" s="88">
        <v>47210</v>
      </c>
      <c r="G2839" s="88" t="str" cm="1">
        <f t="array" ref="G28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AND(F2839&gt;= DATE(2026,1,1), F2839&lt;= DATE(2028, 12, 31), J2839&gt;50000), "Pendente e Caro", AND(F2839&gt;= DATE(2026,1,1), F2839&lt;= DATE(2028, 12, 31), J2839&lt;=50000), "Pendente", F2839&gt;= DATE(2029,1,1), "Não prioeitário")</f>
        <v>Não prioeitário</v>
      </c>
      <c r="H2839" s="89">
        <f>YEAR(Tabela1[[#This Row],[Data de Validade]])</f>
        <v>2029</v>
      </c>
      <c r="I2839" s="89">
        <f>MONTH(Tabela1[[#This Row],[Data de Validade]])</f>
        <v>4</v>
      </c>
      <c r="J2839" s="101">
        <v>98640</v>
      </c>
      <c r="K2839" s="87" t="s">
        <v>9</v>
      </c>
      <c r="L2839" s="108"/>
      <c r="M2839" s="108"/>
      <c r="N2839" s="108" t="str">
        <v>P845P187</v>
      </c>
      <c r="O2839" s="108">
        <f t="shared" si="46"/>
        <v>1</v>
      </c>
      <c r="P2839" s="108"/>
      <c r="Q2839"/>
    </row>
    <row r="2840" spans="1:17" x14ac:dyDescent="0.25">
      <c r="A2840" s="89" t="s">
        <v>5260</v>
      </c>
      <c r="B2840" s="87" t="s">
        <v>5261</v>
      </c>
      <c r="C2840" s="87" t="s">
        <v>10</v>
      </c>
      <c r="D2840" s="87" t="str">
        <f>VLOOKUP(Tabela1[[#This Row],[Origem]], 'Perguntas 1 a 24'!$J$28:$K$34, 2, 0)</f>
        <v>Centro-Oeste</v>
      </c>
      <c r="E2840" s="87" t="str">
        <f>Tabela1[[#This Row],[Descrição]]&amp;"-"&amp;Tabela1[[#This Row],[Código]]&amp;"/"&amp;Tabela1[[#This Row],[Origem]]</f>
        <v>Mipame-P845P187/GO</v>
      </c>
      <c r="F2840" s="88">
        <v>47210</v>
      </c>
      <c r="G2840" s="88" t="str" cm="1">
        <f t="array" ref="G28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AND(F2840&gt;= DATE(2026,1,1), F2840&lt;= DATE(2028, 12, 31), J2840&gt;50000), "Pendente e Caro", AND(F2840&gt;= DATE(2026,1,1), F2840&lt;= DATE(2028, 12, 31), J2840&lt;=50000), "Pendente", F2840&gt;= DATE(2029,1,1), "Não prioeitário")</f>
        <v>Não prioeitário</v>
      </c>
      <c r="H2840" s="89">
        <f>YEAR(Tabela1[[#This Row],[Data de Validade]])</f>
        <v>2029</v>
      </c>
      <c r="I2840" s="89">
        <f>MONTH(Tabela1[[#This Row],[Data de Validade]])</f>
        <v>4</v>
      </c>
      <c r="J2840" s="101">
        <v>40712</v>
      </c>
      <c r="K2840" s="87" t="s">
        <v>11</v>
      </c>
      <c r="L2840" s="108"/>
      <c r="M2840" s="108"/>
      <c r="N2840" s="108" t="str">
        <v>P538P138</v>
      </c>
      <c r="O2840" s="108">
        <f t="shared" si="46"/>
        <v>1</v>
      </c>
      <c r="P2840" s="108"/>
      <c r="Q2840"/>
    </row>
    <row r="2841" spans="1:17" x14ac:dyDescent="0.25">
      <c r="A2841" s="89" t="s">
        <v>3962</v>
      </c>
      <c r="B2841" s="87" t="s">
        <v>3963</v>
      </c>
      <c r="C2841" s="87" t="s">
        <v>16</v>
      </c>
      <c r="D2841" s="87" t="str">
        <f>VLOOKUP(Tabela1[[#This Row],[Origem]], 'Perguntas 1 a 24'!$J$28:$K$34, 2, 0)</f>
        <v>Sudeste</v>
      </c>
      <c r="E2841" s="87" t="str">
        <f>Tabela1[[#This Row],[Descrição]]&amp;"-"&amp;Tabela1[[#This Row],[Código]]&amp;"/"&amp;Tabela1[[#This Row],[Origem]]</f>
        <v>Papera-P538P138/MG</v>
      </c>
      <c r="F2841" s="88">
        <v>47211</v>
      </c>
      <c r="G2841" s="88" t="str" cm="1">
        <f t="array" ref="G28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AND(F2841&gt;= DATE(2026,1,1), F2841&lt;= DATE(2028, 12, 31), J2841&gt;50000), "Pendente e Caro", AND(F2841&gt;= DATE(2026,1,1), F2841&lt;= DATE(2028, 12, 31), J2841&lt;=50000), "Pendente", F2841&gt;= DATE(2029,1,1), "Não prioeitário")</f>
        <v>Não prioeitário</v>
      </c>
      <c r="H2841" s="89">
        <f>YEAR(Tabela1[[#This Row],[Data de Validade]])</f>
        <v>2029</v>
      </c>
      <c r="I2841" s="89">
        <f>MONTH(Tabela1[[#This Row],[Data de Validade]])</f>
        <v>4</v>
      </c>
      <c r="J2841" s="101">
        <v>108201</v>
      </c>
      <c r="K2841" s="87" t="s">
        <v>11</v>
      </c>
      <c r="L2841" s="108"/>
      <c r="M2841" s="108"/>
      <c r="N2841" s="108" t="str">
        <v>P259H732</v>
      </c>
      <c r="O2841" s="108">
        <f t="shared" si="46"/>
        <v>1</v>
      </c>
      <c r="P2841" s="108"/>
      <c r="Q2841"/>
    </row>
    <row r="2842" spans="1:17" x14ac:dyDescent="0.25">
      <c r="A2842" s="89" t="s">
        <v>6874</v>
      </c>
      <c r="B2842" s="87" t="s">
        <v>6875</v>
      </c>
      <c r="C2842" s="87" t="s">
        <v>8</v>
      </c>
      <c r="D2842" s="87" t="str">
        <f>VLOOKUP(Tabela1[[#This Row],[Origem]], 'Perguntas 1 a 24'!$J$28:$K$34, 2, 0)</f>
        <v>Nordeste</v>
      </c>
      <c r="E2842" s="87" t="str">
        <f>Tabela1[[#This Row],[Descrição]]&amp;"-"&amp;Tabela1[[#This Row],[Código]]&amp;"/"&amp;Tabela1[[#This Row],[Origem]]</f>
        <v>Rapedipamo-P259H732/AL</v>
      </c>
      <c r="F2842" s="88">
        <v>47211</v>
      </c>
      <c r="G2842" s="88" t="str" cm="1">
        <f t="array" ref="G28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AND(F2842&gt;= DATE(2026,1,1), F2842&lt;= DATE(2028, 12, 31), J2842&gt;50000), "Pendente e Caro", AND(F2842&gt;= DATE(2026,1,1), F2842&lt;= DATE(2028, 12, 31), J2842&lt;=50000), "Pendente", F2842&gt;= DATE(2029,1,1), "Não prioeitário")</f>
        <v>Não prioeitário</v>
      </c>
      <c r="H2842" s="89">
        <f>YEAR(Tabela1[[#This Row],[Data de Validade]])</f>
        <v>2029</v>
      </c>
      <c r="I2842" s="89">
        <f>MONTH(Tabela1[[#This Row],[Data de Validade]])</f>
        <v>4</v>
      </c>
      <c r="J2842" s="101">
        <v>58380</v>
      </c>
      <c r="K2842" s="87" t="s">
        <v>9</v>
      </c>
      <c r="L2842" s="108"/>
      <c r="M2842" s="108"/>
      <c r="N2842" s="108" t="str">
        <v>H825P984</v>
      </c>
      <c r="O2842" s="108">
        <f t="shared" si="46"/>
        <v>1</v>
      </c>
      <c r="P2842" s="108"/>
      <c r="Q2842"/>
    </row>
    <row r="2843" spans="1:17" x14ac:dyDescent="0.25">
      <c r="A2843" s="89" t="s">
        <v>8182</v>
      </c>
      <c r="B2843" s="87" t="s">
        <v>8183</v>
      </c>
      <c r="C2843" s="87" t="s">
        <v>8</v>
      </c>
      <c r="D2843" s="87" t="str">
        <f>VLOOKUP(Tabela1[[#This Row],[Origem]], 'Perguntas 1 a 24'!$J$28:$K$34, 2, 0)</f>
        <v>Nordeste</v>
      </c>
      <c r="E2843" s="87" t="str">
        <f>Tabela1[[#This Row],[Descrição]]&amp;"-"&amp;Tabela1[[#This Row],[Código]]&amp;"/"&amp;Tabela1[[#This Row],[Origem]]</f>
        <v>Racoca-H825P984/AL</v>
      </c>
      <c r="F2843" s="88">
        <v>47211</v>
      </c>
      <c r="G2843" s="88" t="str" cm="1">
        <f t="array" ref="G28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AND(F2843&gt;= DATE(2026,1,1), F2843&lt;= DATE(2028, 12, 31), J2843&gt;50000), "Pendente e Caro", AND(F2843&gt;= DATE(2026,1,1), F2843&lt;= DATE(2028, 12, 31), J2843&lt;=50000), "Pendente", F2843&gt;= DATE(2029,1,1), "Não prioeitário")</f>
        <v>Não prioeitário</v>
      </c>
      <c r="H2843" s="89">
        <f>YEAR(Tabela1[[#This Row],[Data de Validade]])</f>
        <v>2029</v>
      </c>
      <c r="I2843" s="89">
        <f>MONTH(Tabela1[[#This Row],[Data de Validade]])</f>
        <v>4</v>
      </c>
      <c r="J2843" s="101">
        <v>24704</v>
      </c>
      <c r="K2843" s="87" t="s">
        <v>14</v>
      </c>
      <c r="L2843" s="108"/>
      <c r="M2843" s="108"/>
      <c r="N2843" s="108" t="str">
        <v>H923P488</v>
      </c>
      <c r="O2843" s="108">
        <f t="shared" si="46"/>
        <v>1</v>
      </c>
      <c r="P2843" s="108"/>
      <c r="Q2843"/>
    </row>
    <row r="2844" spans="1:17" x14ac:dyDescent="0.25">
      <c r="A2844" s="89" t="s">
        <v>7756</v>
      </c>
      <c r="B2844" s="87" t="s">
        <v>7757</v>
      </c>
      <c r="C2844" s="87" t="s">
        <v>6</v>
      </c>
      <c r="D2844" s="87" t="str">
        <f>VLOOKUP(Tabela1[[#This Row],[Origem]], 'Perguntas 1 a 24'!$J$28:$K$34, 2, 0)</f>
        <v>Nordeste</v>
      </c>
      <c r="E2844" s="87" t="str">
        <f>Tabela1[[#This Row],[Descrição]]&amp;"-"&amp;Tabela1[[#This Row],[Código]]&amp;"/"&amp;Tabela1[[#This Row],[Origem]]</f>
        <v>Gurugiri-H923P488/MA</v>
      </c>
      <c r="F2844" s="88">
        <v>47212</v>
      </c>
      <c r="G2844" s="88" t="str" cm="1">
        <f t="array" ref="G28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AND(F2844&gt;= DATE(2026,1,1), F2844&lt;= DATE(2028, 12, 31), J2844&gt;50000), "Pendente e Caro", AND(F2844&gt;= DATE(2026,1,1), F2844&lt;= DATE(2028, 12, 31), J2844&lt;=50000), "Pendente", F2844&gt;= DATE(2029,1,1), "Não prioeitário")</f>
        <v>Não prioeitário</v>
      </c>
      <c r="H2844" s="89">
        <f>YEAR(Tabela1[[#This Row],[Data de Validade]])</f>
        <v>2029</v>
      </c>
      <c r="I2844" s="89">
        <f>MONTH(Tabela1[[#This Row],[Data de Validade]])</f>
        <v>4</v>
      </c>
      <c r="J2844" s="101">
        <v>115734</v>
      </c>
      <c r="K2844" s="87" t="s">
        <v>7</v>
      </c>
      <c r="L2844" s="108"/>
      <c r="M2844" s="108"/>
      <c r="N2844" s="108" t="str">
        <v>H298H538</v>
      </c>
      <c r="O2844" s="108">
        <f t="shared" si="46"/>
        <v>1</v>
      </c>
      <c r="P2844" s="108"/>
      <c r="Q2844"/>
    </row>
    <row r="2845" spans="1:17" x14ac:dyDescent="0.25">
      <c r="A2845" s="89" t="s">
        <v>7002</v>
      </c>
      <c r="B2845" s="87" t="s">
        <v>7003</v>
      </c>
      <c r="C2845" s="87" t="s">
        <v>10</v>
      </c>
      <c r="D2845" s="87" t="str">
        <f>VLOOKUP(Tabela1[[#This Row],[Origem]], 'Perguntas 1 a 24'!$J$28:$K$34, 2, 0)</f>
        <v>Centro-Oeste</v>
      </c>
      <c r="E2845" s="87" t="str">
        <f>Tabela1[[#This Row],[Descrição]]&amp;"-"&amp;Tabela1[[#This Row],[Código]]&amp;"/"&amp;Tabela1[[#This Row],[Origem]]</f>
        <v>Tagila-H298H538/GO</v>
      </c>
      <c r="F2845" s="88">
        <v>47212</v>
      </c>
      <c r="G2845" s="88" t="str" cm="1">
        <f t="array" ref="G28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AND(F2845&gt;= DATE(2026,1,1), F2845&lt;= DATE(2028, 12, 31), J2845&gt;50000), "Pendente e Caro", AND(F2845&gt;= DATE(2026,1,1), F2845&lt;= DATE(2028, 12, 31), J2845&lt;=50000), "Pendente", F2845&gt;= DATE(2029,1,1), "Não prioeitário")</f>
        <v>Não prioeitário</v>
      </c>
      <c r="H2845" s="89">
        <f>YEAR(Tabela1[[#This Row],[Data de Validade]])</f>
        <v>2029</v>
      </c>
      <c r="I2845" s="89">
        <f>MONTH(Tabela1[[#This Row],[Data de Validade]])</f>
        <v>4</v>
      </c>
      <c r="J2845" s="101">
        <v>49587</v>
      </c>
      <c r="K2845" s="87" t="s">
        <v>14</v>
      </c>
      <c r="L2845" s="108"/>
      <c r="M2845" s="108"/>
      <c r="N2845" s="108" t="str">
        <v>H338P921</v>
      </c>
      <c r="O2845" s="108">
        <f t="shared" si="46"/>
        <v>1</v>
      </c>
      <c r="P2845" s="108"/>
      <c r="Q2845"/>
    </row>
    <row r="2846" spans="1:17" x14ac:dyDescent="0.25">
      <c r="A2846" s="89" t="s">
        <v>9979</v>
      </c>
      <c r="B2846" s="87" t="s">
        <v>9980</v>
      </c>
      <c r="C2846" s="87" t="s">
        <v>12</v>
      </c>
      <c r="D2846" s="87" t="str">
        <f>VLOOKUP(Tabela1[[#This Row],[Origem]], 'Perguntas 1 a 24'!$J$28:$K$34, 2, 0)</f>
        <v>Sudeste</v>
      </c>
      <c r="E2846" s="87" t="str">
        <f>Tabela1[[#This Row],[Descrição]]&amp;"-"&amp;Tabela1[[#This Row],[Código]]&amp;"/"&amp;Tabela1[[#This Row],[Origem]]</f>
        <v>Tafuperafi-H338P921/RJ</v>
      </c>
      <c r="F2846" s="88">
        <v>47212</v>
      </c>
      <c r="G2846" s="88" t="str" cm="1">
        <f t="array" ref="G28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AND(F2846&gt;= DATE(2026,1,1), F2846&lt;= DATE(2028, 12, 31), J2846&gt;50000), "Pendente e Caro", AND(F2846&gt;= DATE(2026,1,1), F2846&lt;= DATE(2028, 12, 31), J2846&lt;=50000), "Pendente", F2846&gt;= DATE(2029,1,1), "Não prioeitário")</f>
        <v>Não prioeitário</v>
      </c>
      <c r="H2846" s="89">
        <f>YEAR(Tabela1[[#This Row],[Data de Validade]])</f>
        <v>2029</v>
      </c>
      <c r="I2846" s="89">
        <f>MONTH(Tabela1[[#This Row],[Data de Validade]])</f>
        <v>4</v>
      </c>
      <c r="J2846" s="101">
        <v>42363</v>
      </c>
      <c r="K2846" s="87" t="s">
        <v>9</v>
      </c>
      <c r="L2846" s="108"/>
      <c r="M2846" s="108"/>
      <c r="N2846" s="108" t="str">
        <v>H645H558</v>
      </c>
      <c r="O2846" s="108">
        <f t="shared" si="46"/>
        <v>1</v>
      </c>
      <c r="P2846" s="108"/>
      <c r="Q2846"/>
    </row>
    <row r="2847" spans="1:17" x14ac:dyDescent="0.25">
      <c r="A2847" s="89" t="s">
        <v>7376</v>
      </c>
      <c r="B2847" s="87" t="s">
        <v>7377</v>
      </c>
      <c r="C2847" s="87" t="s">
        <v>6</v>
      </c>
      <c r="D2847" s="87" t="str">
        <f>VLOOKUP(Tabela1[[#This Row],[Origem]], 'Perguntas 1 a 24'!$J$28:$K$34, 2, 0)</f>
        <v>Nordeste</v>
      </c>
      <c r="E2847" s="87" t="str">
        <f>Tabela1[[#This Row],[Descrição]]&amp;"-"&amp;Tabela1[[#This Row],[Código]]&amp;"/"&amp;Tabela1[[#This Row],[Origem]]</f>
        <v>Picopura-H645H558/MA</v>
      </c>
      <c r="F2847" s="88">
        <v>47213</v>
      </c>
      <c r="G2847" s="88" t="str" cm="1">
        <f t="array" ref="G28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AND(F2847&gt;= DATE(2026,1,1), F2847&lt;= DATE(2028, 12, 31), J2847&gt;50000), "Pendente e Caro", AND(F2847&gt;= DATE(2026,1,1), F2847&lt;= DATE(2028, 12, 31), J2847&lt;=50000), "Pendente", F2847&gt;= DATE(2029,1,1), "Não prioeitário")</f>
        <v>Não prioeitário</v>
      </c>
      <c r="H2847" s="89">
        <f>YEAR(Tabela1[[#This Row],[Data de Validade]])</f>
        <v>2029</v>
      </c>
      <c r="I2847" s="89">
        <f>MONTH(Tabela1[[#This Row],[Data de Validade]])</f>
        <v>4</v>
      </c>
      <c r="J2847" s="101">
        <v>67239</v>
      </c>
      <c r="K2847" s="87" t="s">
        <v>14</v>
      </c>
      <c r="L2847" s="108"/>
      <c r="M2847" s="108"/>
      <c r="N2847" s="108" t="str">
        <v>H958P464</v>
      </c>
      <c r="O2847" s="108">
        <f t="shared" si="46"/>
        <v>1</v>
      </c>
      <c r="P2847" s="108"/>
      <c r="Q2847"/>
    </row>
    <row r="2848" spans="1:17" x14ac:dyDescent="0.25">
      <c r="A2848" s="89" t="s">
        <v>8306</v>
      </c>
      <c r="B2848" s="87" t="s">
        <v>8307</v>
      </c>
      <c r="C2848" s="87" t="s">
        <v>15</v>
      </c>
      <c r="D2848" s="87" t="str">
        <f>VLOOKUP(Tabela1[[#This Row],[Origem]], 'Perguntas 1 a 24'!$J$28:$K$34, 2, 0)</f>
        <v>Sudeste</v>
      </c>
      <c r="E2848" s="87" t="str">
        <f>Tabela1[[#This Row],[Descrição]]&amp;"-"&amp;Tabela1[[#This Row],[Código]]&amp;"/"&amp;Tabela1[[#This Row],[Origem]]</f>
        <v>Pulute-H958P464/ES</v>
      </c>
      <c r="F2848" s="88">
        <v>47214</v>
      </c>
      <c r="G2848" s="88" t="str" cm="1">
        <f t="array" ref="G28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AND(F2848&gt;= DATE(2026,1,1), F2848&lt;= DATE(2028, 12, 31), J2848&gt;50000), "Pendente e Caro", AND(F2848&gt;= DATE(2026,1,1), F2848&lt;= DATE(2028, 12, 31), J2848&lt;=50000), "Pendente", F2848&gt;= DATE(2029,1,1), "Não prioeitário")</f>
        <v>Não prioeitário</v>
      </c>
      <c r="H2848" s="89">
        <f>YEAR(Tabela1[[#This Row],[Data de Validade]])</f>
        <v>2029</v>
      </c>
      <c r="I2848" s="89">
        <f>MONTH(Tabela1[[#This Row],[Data de Validade]])</f>
        <v>4</v>
      </c>
      <c r="J2848" s="101">
        <v>102976</v>
      </c>
      <c r="K2848" s="87" t="s">
        <v>7</v>
      </c>
      <c r="L2848" s="108"/>
      <c r="M2848" s="108"/>
      <c r="N2848" s="108" t="str">
        <v>P246H473</v>
      </c>
      <c r="O2848" s="108">
        <f t="shared" si="46"/>
        <v>1</v>
      </c>
      <c r="P2848" s="108"/>
      <c r="Q2848"/>
    </row>
    <row r="2849" spans="1:17" x14ac:dyDescent="0.25">
      <c r="A2849" s="89" t="s">
        <v>7788</v>
      </c>
      <c r="B2849" s="87" t="s">
        <v>7789</v>
      </c>
      <c r="C2849" s="87" t="s">
        <v>16</v>
      </c>
      <c r="D2849" s="87" t="str">
        <f>VLOOKUP(Tabela1[[#This Row],[Origem]], 'Perguntas 1 a 24'!$J$28:$K$34, 2, 0)</f>
        <v>Sudeste</v>
      </c>
      <c r="E2849" s="87" t="str">
        <f>Tabela1[[#This Row],[Descrição]]&amp;"-"&amp;Tabela1[[#This Row],[Código]]&amp;"/"&amp;Tabela1[[#This Row],[Origem]]</f>
        <v>Didipipipa-P246H473/MG</v>
      </c>
      <c r="F2849" s="88">
        <v>47214</v>
      </c>
      <c r="G2849" s="88" t="str" cm="1">
        <f t="array" ref="G28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AND(F2849&gt;= DATE(2026,1,1), F2849&lt;= DATE(2028, 12, 31), J2849&gt;50000), "Pendente e Caro", AND(F2849&gt;= DATE(2026,1,1), F2849&lt;= DATE(2028, 12, 31), J2849&lt;=50000), "Pendente", F2849&gt;= DATE(2029,1,1), "Não prioeitário")</f>
        <v>Não prioeitário</v>
      </c>
      <c r="H2849" s="89">
        <f>YEAR(Tabela1[[#This Row],[Data de Validade]])</f>
        <v>2029</v>
      </c>
      <c r="I2849" s="89">
        <f>MONTH(Tabela1[[#This Row],[Data de Validade]])</f>
        <v>4</v>
      </c>
      <c r="J2849" s="101">
        <v>102839</v>
      </c>
      <c r="K2849" s="87" t="s">
        <v>9</v>
      </c>
      <c r="L2849" s="108"/>
      <c r="M2849" s="108"/>
      <c r="N2849" s="108" t="str">
        <v>H524H563</v>
      </c>
      <c r="O2849" s="108">
        <f t="shared" si="46"/>
        <v>1</v>
      </c>
      <c r="P2849" s="108"/>
      <c r="Q2849"/>
    </row>
    <row r="2850" spans="1:17" x14ac:dyDescent="0.25">
      <c r="A2850" s="89" t="s">
        <v>7978</v>
      </c>
      <c r="B2850" s="87" t="s">
        <v>7979</v>
      </c>
      <c r="C2850" s="87" t="s">
        <v>15</v>
      </c>
      <c r="D2850" s="87" t="str">
        <f>VLOOKUP(Tabela1[[#This Row],[Origem]], 'Perguntas 1 a 24'!$J$28:$K$34, 2, 0)</f>
        <v>Sudeste</v>
      </c>
      <c r="E2850" s="87" t="str">
        <f>Tabela1[[#This Row],[Descrição]]&amp;"-"&amp;Tabela1[[#This Row],[Código]]&amp;"/"&amp;Tabela1[[#This Row],[Origem]]</f>
        <v>Putataga-H524H563/ES</v>
      </c>
      <c r="F2850" s="88">
        <v>47215</v>
      </c>
      <c r="G2850" s="88" t="str" cm="1">
        <f t="array" ref="G28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AND(F2850&gt;= DATE(2026,1,1), F2850&lt;= DATE(2028, 12, 31), J2850&gt;50000), "Pendente e Caro", AND(F2850&gt;= DATE(2026,1,1), F2850&lt;= DATE(2028, 12, 31), J2850&lt;=50000), "Pendente", F2850&gt;= DATE(2029,1,1), "Não prioeitário")</f>
        <v>Não prioeitário</v>
      </c>
      <c r="H2850" s="89">
        <f>YEAR(Tabela1[[#This Row],[Data de Validade]])</f>
        <v>2029</v>
      </c>
      <c r="I2850" s="89">
        <f>MONTH(Tabela1[[#This Row],[Data de Validade]])</f>
        <v>4</v>
      </c>
      <c r="J2850" s="101">
        <v>59148</v>
      </c>
      <c r="K2850" s="87" t="s">
        <v>9</v>
      </c>
      <c r="L2850" s="108"/>
      <c r="M2850" s="108"/>
      <c r="N2850" s="108" t="str">
        <v>P573H923</v>
      </c>
      <c r="O2850" s="108">
        <f t="shared" si="46"/>
        <v>1</v>
      </c>
      <c r="P2850" s="108"/>
      <c r="Q2850"/>
    </row>
    <row r="2851" spans="1:17" x14ac:dyDescent="0.25">
      <c r="A2851" s="89" t="s">
        <v>9973</v>
      </c>
      <c r="B2851" s="87" t="s">
        <v>9974</v>
      </c>
      <c r="C2851" s="87" t="s">
        <v>16</v>
      </c>
      <c r="D2851" s="87" t="str">
        <f>VLOOKUP(Tabela1[[#This Row],[Origem]], 'Perguntas 1 a 24'!$J$28:$K$34, 2, 0)</f>
        <v>Sudeste</v>
      </c>
      <c r="E2851" s="87" t="str">
        <f>Tabela1[[#This Row],[Descrição]]&amp;"-"&amp;Tabela1[[#This Row],[Código]]&amp;"/"&amp;Tabela1[[#This Row],[Origem]]</f>
        <v>Piropupo-P573H923/MG</v>
      </c>
      <c r="F2851" s="88">
        <v>47216</v>
      </c>
      <c r="G2851" s="88" t="str" cm="1">
        <f t="array" ref="G28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AND(F2851&gt;= DATE(2026,1,1), F2851&lt;= DATE(2028, 12, 31), J2851&gt;50000), "Pendente e Caro", AND(F2851&gt;= DATE(2026,1,1), F2851&lt;= DATE(2028, 12, 31), J2851&lt;=50000), "Pendente", F2851&gt;= DATE(2029,1,1), "Não prioeitário")</f>
        <v>Não prioeitário</v>
      </c>
      <c r="H2851" s="89">
        <f>YEAR(Tabela1[[#This Row],[Data de Validade]])</f>
        <v>2029</v>
      </c>
      <c r="I2851" s="89">
        <f>MONTH(Tabela1[[#This Row],[Data de Validade]])</f>
        <v>4</v>
      </c>
      <c r="J2851" s="101">
        <v>46843</v>
      </c>
      <c r="K2851" s="87" t="s">
        <v>9</v>
      </c>
      <c r="L2851" s="108"/>
      <c r="M2851" s="108"/>
      <c r="N2851" s="108" t="str">
        <v>H398H846</v>
      </c>
      <c r="O2851" s="108">
        <f t="shared" si="46"/>
        <v>1</v>
      </c>
      <c r="P2851" s="108"/>
      <c r="Q2851"/>
    </row>
    <row r="2852" spans="1:17" x14ac:dyDescent="0.25">
      <c r="A2852" s="89" t="s">
        <v>9491</v>
      </c>
      <c r="B2852" s="87" t="s">
        <v>9492</v>
      </c>
      <c r="C2852" s="87" t="s">
        <v>12</v>
      </c>
      <c r="D2852" s="87" t="str">
        <f>VLOOKUP(Tabela1[[#This Row],[Origem]], 'Perguntas 1 a 24'!$J$28:$K$34, 2, 0)</f>
        <v>Sudeste</v>
      </c>
      <c r="E2852" s="87" t="str">
        <f>Tabela1[[#This Row],[Descrição]]&amp;"-"&amp;Tabela1[[#This Row],[Código]]&amp;"/"&amp;Tabela1[[#This Row],[Origem]]</f>
        <v>Patunipori-H398H846/RJ</v>
      </c>
      <c r="F2852" s="88">
        <v>47217</v>
      </c>
      <c r="G2852" s="88" t="str" cm="1">
        <f t="array" ref="G28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AND(F2852&gt;= DATE(2026,1,1), F2852&lt;= DATE(2028, 12, 31), J2852&gt;50000), "Pendente e Caro", AND(F2852&gt;= DATE(2026,1,1), F2852&lt;= DATE(2028, 12, 31), J2852&lt;=50000), "Pendente", F2852&gt;= DATE(2029,1,1), "Não prioeitário")</f>
        <v>Não prioeitário</v>
      </c>
      <c r="H2852" s="89">
        <f>YEAR(Tabela1[[#This Row],[Data de Validade]])</f>
        <v>2029</v>
      </c>
      <c r="I2852" s="89">
        <f>MONTH(Tabela1[[#This Row],[Data de Validade]])</f>
        <v>4</v>
      </c>
      <c r="J2852" s="101">
        <v>71971</v>
      </c>
      <c r="K2852" s="87" t="s">
        <v>11</v>
      </c>
      <c r="L2852" s="108"/>
      <c r="M2852" s="108"/>
      <c r="N2852" s="108" t="str">
        <v>H174P674</v>
      </c>
      <c r="O2852" s="108">
        <f t="shared" si="46"/>
        <v>1</v>
      </c>
      <c r="P2852" s="108"/>
      <c r="Q2852"/>
    </row>
    <row r="2853" spans="1:17" x14ac:dyDescent="0.25">
      <c r="A2853" s="89" t="s">
        <v>7852</v>
      </c>
      <c r="B2853" s="87" t="s">
        <v>7853</v>
      </c>
      <c r="C2853" s="87" t="s">
        <v>12</v>
      </c>
      <c r="D2853" s="87" t="str">
        <f>VLOOKUP(Tabela1[[#This Row],[Origem]], 'Perguntas 1 a 24'!$J$28:$K$34, 2, 0)</f>
        <v>Sudeste</v>
      </c>
      <c r="E2853" s="87" t="str">
        <f>Tabela1[[#This Row],[Descrição]]&amp;"-"&amp;Tabela1[[#This Row],[Código]]&amp;"/"&amp;Tabela1[[#This Row],[Origem]]</f>
        <v>Perapopo-H174P674/RJ</v>
      </c>
      <c r="F2853" s="88">
        <v>47218</v>
      </c>
      <c r="G2853" s="88" t="str" cm="1">
        <f t="array" ref="G28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AND(F2853&gt;= DATE(2026,1,1), F2853&lt;= DATE(2028, 12, 31), J2853&gt;50000), "Pendente e Caro", AND(F2853&gt;= DATE(2026,1,1), F2853&lt;= DATE(2028, 12, 31), J2853&lt;=50000), "Pendente", F2853&gt;= DATE(2029,1,1), "Não prioeitário")</f>
        <v>Não prioeitário</v>
      </c>
      <c r="H2853" s="89">
        <f>YEAR(Tabela1[[#This Row],[Data de Validade]])</f>
        <v>2029</v>
      </c>
      <c r="I2853" s="89">
        <f>MONTH(Tabela1[[#This Row],[Data de Validade]])</f>
        <v>4</v>
      </c>
      <c r="J2853" s="101">
        <v>80786</v>
      </c>
      <c r="K2853" s="87" t="s">
        <v>14</v>
      </c>
      <c r="L2853" s="108"/>
      <c r="M2853" s="108"/>
      <c r="N2853" s="108" t="str">
        <v>P716H289</v>
      </c>
      <c r="O2853" s="108">
        <f t="shared" si="46"/>
        <v>1</v>
      </c>
      <c r="P2853" s="108"/>
      <c r="Q2853"/>
    </row>
    <row r="2854" spans="1:17" x14ac:dyDescent="0.25">
      <c r="A2854" s="89" t="s">
        <v>3982</v>
      </c>
      <c r="B2854" s="87" t="s">
        <v>3983</v>
      </c>
      <c r="C2854" s="87" t="s">
        <v>6</v>
      </c>
      <c r="D2854" s="87" t="str">
        <f>VLOOKUP(Tabela1[[#This Row],[Origem]], 'Perguntas 1 a 24'!$J$28:$K$34, 2, 0)</f>
        <v>Nordeste</v>
      </c>
      <c r="E2854" s="87" t="str">
        <f>Tabela1[[#This Row],[Descrição]]&amp;"-"&amp;Tabela1[[#This Row],[Código]]&amp;"/"&amp;Tabela1[[#This Row],[Origem]]</f>
        <v>Pugagotira-P716H289/MA</v>
      </c>
      <c r="F2854" s="88">
        <v>47218</v>
      </c>
      <c r="G2854" s="88" t="str" cm="1">
        <f t="array" ref="G28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AND(F2854&gt;= DATE(2026,1,1), F2854&lt;= DATE(2028, 12, 31), J2854&gt;50000), "Pendente e Caro", AND(F2854&gt;= DATE(2026,1,1), F2854&lt;= DATE(2028, 12, 31), J2854&lt;=50000), "Pendente", F2854&gt;= DATE(2029,1,1), "Não prioeitário")</f>
        <v>Não prioeitário</v>
      </c>
      <c r="H2854" s="89">
        <f>YEAR(Tabela1[[#This Row],[Data de Validade]])</f>
        <v>2029</v>
      </c>
      <c r="I2854" s="89">
        <f>MONTH(Tabela1[[#This Row],[Data de Validade]])</f>
        <v>4</v>
      </c>
      <c r="J2854" s="101">
        <v>50394</v>
      </c>
      <c r="K2854" s="87" t="s">
        <v>7</v>
      </c>
      <c r="L2854" s="108"/>
      <c r="M2854" s="108"/>
      <c r="N2854" s="108" t="str">
        <v>H145P237</v>
      </c>
      <c r="O2854" s="108">
        <f t="shared" si="46"/>
        <v>1</v>
      </c>
      <c r="P2854" s="108"/>
      <c r="Q2854"/>
    </row>
    <row r="2855" spans="1:17" x14ac:dyDescent="0.25">
      <c r="A2855" s="89" t="s">
        <v>9367</v>
      </c>
      <c r="B2855" s="87" t="s">
        <v>9368</v>
      </c>
      <c r="C2855" s="87" t="s">
        <v>10</v>
      </c>
      <c r="D2855" s="87" t="str">
        <f>VLOOKUP(Tabela1[[#This Row],[Origem]], 'Perguntas 1 a 24'!$J$28:$K$34, 2, 0)</f>
        <v>Centro-Oeste</v>
      </c>
      <c r="E2855" s="87" t="str">
        <f>Tabela1[[#This Row],[Descrição]]&amp;"-"&amp;Tabela1[[#This Row],[Código]]&amp;"/"&amp;Tabela1[[#This Row],[Origem]]</f>
        <v>Gelitapudu-H145P237/GO</v>
      </c>
      <c r="F2855" s="88">
        <v>47219</v>
      </c>
      <c r="G2855" s="88" t="str" cm="1">
        <f t="array" ref="G28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AND(F2855&gt;= DATE(2026,1,1), F2855&lt;= DATE(2028, 12, 31), J2855&gt;50000), "Pendente e Caro", AND(F2855&gt;= DATE(2026,1,1), F2855&lt;= DATE(2028, 12, 31), J2855&lt;=50000), "Pendente", F2855&gt;= DATE(2029,1,1), "Não prioeitário")</f>
        <v>Não prioeitário</v>
      </c>
      <c r="H2855" s="89">
        <f>YEAR(Tabela1[[#This Row],[Data de Validade]])</f>
        <v>2029</v>
      </c>
      <c r="I2855" s="89">
        <f>MONTH(Tabela1[[#This Row],[Data de Validade]])</f>
        <v>4</v>
      </c>
      <c r="J2855" s="101">
        <v>73285</v>
      </c>
      <c r="K2855" s="87" t="s">
        <v>9</v>
      </c>
      <c r="L2855" s="108"/>
      <c r="M2855" s="108"/>
      <c r="N2855" s="108" t="str">
        <v>H917P645</v>
      </c>
      <c r="O2855" s="108">
        <f t="shared" si="46"/>
        <v>1</v>
      </c>
      <c r="P2855" s="108"/>
      <c r="Q2855"/>
    </row>
    <row r="2856" spans="1:17" x14ac:dyDescent="0.25">
      <c r="A2856" s="89" t="s">
        <v>10283</v>
      </c>
      <c r="B2856" s="87" t="s">
        <v>10284</v>
      </c>
      <c r="C2856" s="87" t="s">
        <v>8</v>
      </c>
      <c r="D2856" s="87" t="str">
        <f>VLOOKUP(Tabela1[[#This Row],[Origem]], 'Perguntas 1 a 24'!$J$28:$K$34, 2, 0)</f>
        <v>Nordeste</v>
      </c>
      <c r="E2856" s="87" t="str">
        <f>Tabela1[[#This Row],[Descrição]]&amp;"-"&amp;Tabela1[[#This Row],[Código]]&amp;"/"&amp;Tabela1[[#This Row],[Origem]]</f>
        <v>Netunapa-H917P645/AL</v>
      </c>
      <c r="F2856" s="88">
        <v>47219</v>
      </c>
      <c r="G2856" s="88" t="str" cm="1">
        <f t="array" ref="G28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AND(F2856&gt;= DATE(2026,1,1), F2856&lt;= DATE(2028, 12, 31), J2856&gt;50000), "Pendente e Caro", AND(F2856&gt;= DATE(2026,1,1), F2856&lt;= DATE(2028, 12, 31), J2856&lt;=50000), "Pendente", F2856&gt;= DATE(2029,1,1), "Não prioeitário")</f>
        <v>Não prioeitário</v>
      </c>
      <c r="H2856" s="89">
        <f>YEAR(Tabela1[[#This Row],[Data de Validade]])</f>
        <v>2029</v>
      </c>
      <c r="I2856" s="89">
        <f>MONTH(Tabela1[[#This Row],[Data de Validade]])</f>
        <v>4</v>
      </c>
      <c r="J2856" s="101">
        <v>44186</v>
      </c>
      <c r="K2856" s="87" t="s">
        <v>7</v>
      </c>
      <c r="L2856" s="108"/>
      <c r="M2856" s="108"/>
      <c r="N2856" s="108" t="str">
        <v>P775H845</v>
      </c>
      <c r="O2856" s="108">
        <f t="shared" si="46"/>
        <v>1</v>
      </c>
      <c r="P2856" s="108"/>
      <c r="Q2856"/>
    </row>
    <row r="2857" spans="1:17" x14ac:dyDescent="0.25">
      <c r="A2857" s="89" t="s">
        <v>10513</v>
      </c>
      <c r="B2857" s="87" t="s">
        <v>10514</v>
      </c>
      <c r="C2857" s="87" t="s">
        <v>16</v>
      </c>
      <c r="D2857" s="87" t="str">
        <f>VLOOKUP(Tabela1[[#This Row],[Origem]], 'Perguntas 1 a 24'!$J$28:$K$34, 2, 0)</f>
        <v>Sudeste</v>
      </c>
      <c r="E2857" s="87" t="str">
        <f>Tabela1[[#This Row],[Descrição]]&amp;"-"&amp;Tabela1[[#This Row],[Código]]&amp;"/"&amp;Tabela1[[#This Row],[Origem]]</f>
        <v>Vucegi-P775H845/MG</v>
      </c>
      <c r="F2857" s="88">
        <v>47221</v>
      </c>
      <c r="G2857" s="88" t="str" cm="1">
        <f t="array" ref="G28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AND(F2857&gt;= DATE(2026,1,1), F2857&lt;= DATE(2028, 12, 31), J2857&gt;50000), "Pendente e Caro", AND(F2857&gt;= DATE(2026,1,1), F2857&lt;= DATE(2028, 12, 31), J2857&lt;=50000), "Pendente", F2857&gt;= DATE(2029,1,1), "Não prioeitário")</f>
        <v>Não prioeitário</v>
      </c>
      <c r="H2857" s="89">
        <f>YEAR(Tabela1[[#This Row],[Data de Validade]])</f>
        <v>2029</v>
      </c>
      <c r="I2857" s="89">
        <f>MONTH(Tabela1[[#This Row],[Data de Validade]])</f>
        <v>4</v>
      </c>
      <c r="J2857" s="101">
        <v>110810</v>
      </c>
      <c r="K2857" s="87" t="s">
        <v>14</v>
      </c>
      <c r="L2857" s="108"/>
      <c r="M2857" s="108"/>
      <c r="N2857" s="108" t="str">
        <v>P182H935</v>
      </c>
      <c r="O2857" s="108">
        <f t="shared" si="46"/>
        <v>1</v>
      </c>
      <c r="P2857" s="108"/>
      <c r="Q2857"/>
    </row>
    <row r="2858" spans="1:17" x14ac:dyDescent="0.25">
      <c r="A2858" s="89" t="s">
        <v>5732</v>
      </c>
      <c r="B2858" s="87" t="s">
        <v>5733</v>
      </c>
      <c r="C2858" s="87" t="s">
        <v>6</v>
      </c>
      <c r="D2858" s="87" t="str">
        <f>VLOOKUP(Tabela1[[#This Row],[Origem]], 'Perguntas 1 a 24'!$J$28:$K$34, 2, 0)</f>
        <v>Nordeste</v>
      </c>
      <c r="E2858" s="87" t="str">
        <f>Tabela1[[#This Row],[Descrição]]&amp;"-"&amp;Tabela1[[#This Row],[Código]]&amp;"/"&amp;Tabela1[[#This Row],[Origem]]</f>
        <v>Pacovogacu-P182H935/MA</v>
      </c>
      <c r="F2858" s="88">
        <v>47222</v>
      </c>
      <c r="G2858" s="88" t="str" cm="1">
        <f t="array" ref="G28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AND(F2858&gt;= DATE(2026,1,1), F2858&lt;= DATE(2028, 12, 31), J2858&gt;50000), "Pendente e Caro", AND(F2858&gt;= DATE(2026,1,1), F2858&lt;= DATE(2028, 12, 31), J2858&lt;=50000), "Pendente", F2858&gt;= DATE(2029,1,1), "Não prioeitário")</f>
        <v>Não prioeitário</v>
      </c>
      <c r="H2858" s="89">
        <f>YEAR(Tabela1[[#This Row],[Data de Validade]])</f>
        <v>2029</v>
      </c>
      <c r="I2858" s="89">
        <f>MONTH(Tabela1[[#This Row],[Data de Validade]])</f>
        <v>4</v>
      </c>
      <c r="J2858" s="101">
        <v>73456</v>
      </c>
      <c r="K2858" s="87" t="s">
        <v>7</v>
      </c>
      <c r="L2858" s="108"/>
      <c r="M2858" s="108"/>
      <c r="N2858" s="108" t="str">
        <v>H986P575</v>
      </c>
      <c r="O2858" s="108">
        <f t="shared" si="46"/>
        <v>1</v>
      </c>
      <c r="P2858" s="108"/>
      <c r="Q2858"/>
    </row>
    <row r="2859" spans="1:17" x14ac:dyDescent="0.25">
      <c r="A2859" s="89" t="s">
        <v>7088</v>
      </c>
      <c r="B2859" s="87" t="s">
        <v>7089</v>
      </c>
      <c r="C2859" s="87" t="s">
        <v>12</v>
      </c>
      <c r="D2859" s="87" t="str">
        <f>VLOOKUP(Tabela1[[#This Row],[Origem]], 'Perguntas 1 a 24'!$J$28:$K$34, 2, 0)</f>
        <v>Sudeste</v>
      </c>
      <c r="E2859" s="87" t="str">
        <f>Tabela1[[#This Row],[Descrição]]&amp;"-"&amp;Tabela1[[#This Row],[Código]]&amp;"/"&amp;Tabela1[[#This Row],[Origem]]</f>
        <v>Poferame-H986P575/RJ</v>
      </c>
      <c r="F2859" s="88">
        <v>47222</v>
      </c>
      <c r="G2859" s="88" t="str" cm="1">
        <f t="array" ref="G28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AND(F2859&gt;= DATE(2026,1,1), F2859&lt;= DATE(2028, 12, 31), J2859&gt;50000), "Pendente e Caro", AND(F2859&gt;= DATE(2026,1,1), F2859&lt;= DATE(2028, 12, 31), J2859&lt;=50000), "Pendente", F2859&gt;= DATE(2029,1,1), "Não prioeitário")</f>
        <v>Não prioeitário</v>
      </c>
      <c r="H2859" s="89">
        <f>YEAR(Tabela1[[#This Row],[Data de Validade]])</f>
        <v>2029</v>
      </c>
      <c r="I2859" s="89">
        <f>MONTH(Tabela1[[#This Row],[Data de Validade]])</f>
        <v>4</v>
      </c>
      <c r="J2859" s="101">
        <v>40226</v>
      </c>
      <c r="K2859" s="87" t="s">
        <v>7</v>
      </c>
      <c r="L2859" s="108"/>
      <c r="M2859" s="108"/>
      <c r="N2859" s="108" t="str">
        <v>H332P157</v>
      </c>
      <c r="O2859" s="108">
        <f t="shared" si="46"/>
        <v>1</v>
      </c>
      <c r="P2859" s="108"/>
      <c r="Q2859"/>
    </row>
    <row r="2860" spans="1:17" x14ac:dyDescent="0.25">
      <c r="A2860" s="89" t="s">
        <v>8783</v>
      </c>
      <c r="B2860" s="87" t="s">
        <v>8784</v>
      </c>
      <c r="C2860" s="87" t="s">
        <v>8</v>
      </c>
      <c r="D2860" s="87" t="str">
        <f>VLOOKUP(Tabela1[[#This Row],[Origem]], 'Perguntas 1 a 24'!$J$28:$K$34, 2, 0)</f>
        <v>Nordeste</v>
      </c>
      <c r="E2860" s="87" t="str">
        <f>Tabela1[[#This Row],[Descrição]]&amp;"-"&amp;Tabela1[[#This Row],[Código]]&amp;"/"&amp;Tabela1[[#This Row],[Origem]]</f>
        <v>Nugoro-H332P157/AL</v>
      </c>
      <c r="F2860" s="88">
        <v>47223</v>
      </c>
      <c r="G2860" s="88" t="str" cm="1">
        <f t="array" ref="G28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AND(F2860&gt;= DATE(2026,1,1), F2860&lt;= DATE(2028, 12, 31), J2860&gt;50000), "Pendente e Caro", AND(F2860&gt;= DATE(2026,1,1), F2860&lt;= DATE(2028, 12, 31), J2860&lt;=50000), "Pendente", F2860&gt;= DATE(2029,1,1), "Não prioeitário")</f>
        <v>Não prioeitário</v>
      </c>
      <c r="H2860" s="89">
        <f>YEAR(Tabela1[[#This Row],[Data de Validade]])</f>
        <v>2029</v>
      </c>
      <c r="I2860" s="89">
        <f>MONTH(Tabela1[[#This Row],[Data de Validade]])</f>
        <v>4</v>
      </c>
      <c r="J2860" s="101">
        <v>72089</v>
      </c>
      <c r="K2860" s="87" t="s">
        <v>9</v>
      </c>
      <c r="L2860" s="108"/>
      <c r="M2860" s="108"/>
      <c r="N2860" s="108" t="str">
        <v>H489H297</v>
      </c>
      <c r="O2860" s="108">
        <f t="shared" si="46"/>
        <v>1</v>
      </c>
      <c r="P2860" s="108"/>
      <c r="Q2860"/>
    </row>
    <row r="2861" spans="1:17" x14ac:dyDescent="0.25">
      <c r="A2861" s="89" t="s">
        <v>5766</v>
      </c>
      <c r="B2861" s="87" t="s">
        <v>5767</v>
      </c>
      <c r="C2861" s="87" t="s">
        <v>15</v>
      </c>
      <c r="D2861" s="87" t="str">
        <f>VLOOKUP(Tabela1[[#This Row],[Origem]], 'Perguntas 1 a 24'!$J$28:$K$34, 2, 0)</f>
        <v>Sudeste</v>
      </c>
      <c r="E2861" s="87" t="str">
        <f>Tabela1[[#This Row],[Descrição]]&amp;"-"&amp;Tabela1[[#This Row],[Código]]&amp;"/"&amp;Tabela1[[#This Row],[Origem]]</f>
        <v>Gonuma-H489H297/ES</v>
      </c>
      <c r="F2861" s="88">
        <v>47223</v>
      </c>
      <c r="G2861" s="88" t="str" cm="1">
        <f t="array" ref="G28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AND(F2861&gt;= DATE(2026,1,1), F2861&lt;= DATE(2028, 12, 31), J2861&gt;50000), "Pendente e Caro", AND(F2861&gt;= DATE(2026,1,1), F2861&lt;= DATE(2028, 12, 31), J2861&lt;=50000), "Pendente", F2861&gt;= DATE(2029,1,1), "Não prioeitário")</f>
        <v>Não prioeitário</v>
      </c>
      <c r="H2861" s="89">
        <f>YEAR(Tabela1[[#This Row],[Data de Validade]])</f>
        <v>2029</v>
      </c>
      <c r="I2861" s="89">
        <f>MONTH(Tabela1[[#This Row],[Data de Validade]])</f>
        <v>4</v>
      </c>
      <c r="J2861" s="101">
        <v>51592</v>
      </c>
      <c r="K2861" s="87" t="s">
        <v>9</v>
      </c>
      <c r="L2861" s="108"/>
      <c r="M2861" s="108"/>
      <c r="N2861" s="108" t="str">
        <v>P941P286</v>
      </c>
      <c r="O2861" s="108">
        <f t="shared" si="46"/>
        <v>1</v>
      </c>
      <c r="P2861" s="108"/>
      <c r="Q2861"/>
    </row>
    <row r="2862" spans="1:17" x14ac:dyDescent="0.25">
      <c r="A2862" s="89" t="s">
        <v>9513</v>
      </c>
      <c r="B2862" s="87" t="s">
        <v>9514</v>
      </c>
      <c r="C2862" s="87" t="s">
        <v>8</v>
      </c>
      <c r="D2862" s="87" t="str">
        <f>VLOOKUP(Tabela1[[#This Row],[Origem]], 'Perguntas 1 a 24'!$J$28:$K$34, 2, 0)</f>
        <v>Nordeste</v>
      </c>
      <c r="E2862" s="87" t="str">
        <f>Tabela1[[#This Row],[Descrição]]&amp;"-"&amp;Tabela1[[#This Row],[Código]]&amp;"/"&amp;Tabela1[[#This Row],[Origem]]</f>
        <v>Todecure-P941P286/AL</v>
      </c>
      <c r="F2862" s="88">
        <v>47223</v>
      </c>
      <c r="G2862" s="88" t="str" cm="1">
        <f t="array" ref="G28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AND(F2862&gt;= DATE(2026,1,1), F2862&lt;= DATE(2028, 12, 31), J2862&gt;50000), "Pendente e Caro", AND(F2862&gt;= DATE(2026,1,1), F2862&lt;= DATE(2028, 12, 31), J2862&lt;=50000), "Pendente", F2862&gt;= DATE(2029,1,1), "Não prioeitário")</f>
        <v>Não prioeitário</v>
      </c>
      <c r="H2862" s="89">
        <f>YEAR(Tabela1[[#This Row],[Data de Validade]])</f>
        <v>2029</v>
      </c>
      <c r="I2862" s="89">
        <f>MONTH(Tabela1[[#This Row],[Data de Validade]])</f>
        <v>4</v>
      </c>
      <c r="J2862" s="101">
        <v>27303</v>
      </c>
      <c r="K2862" s="87" t="s">
        <v>11</v>
      </c>
      <c r="L2862" s="108"/>
      <c r="M2862" s="108"/>
      <c r="N2862" s="108" t="str">
        <v>P455H581</v>
      </c>
      <c r="O2862" s="108">
        <f t="shared" si="46"/>
        <v>1</v>
      </c>
      <c r="P2862" s="108"/>
      <c r="Q2862"/>
    </row>
    <row r="2863" spans="1:17" x14ac:dyDescent="0.25">
      <c r="A2863" s="89" t="s">
        <v>9209</v>
      </c>
      <c r="B2863" s="87" t="s">
        <v>9210</v>
      </c>
      <c r="C2863" s="87" t="s">
        <v>8</v>
      </c>
      <c r="D2863" s="87" t="str">
        <f>VLOOKUP(Tabela1[[#This Row],[Origem]], 'Perguntas 1 a 24'!$J$28:$K$34, 2, 0)</f>
        <v>Nordeste</v>
      </c>
      <c r="E2863" s="87" t="str">
        <f>Tabela1[[#This Row],[Descrição]]&amp;"-"&amp;Tabela1[[#This Row],[Código]]&amp;"/"&amp;Tabela1[[#This Row],[Origem]]</f>
        <v>Depucarili-P455H581/AL</v>
      </c>
      <c r="F2863" s="88">
        <v>47224</v>
      </c>
      <c r="G2863" s="88" t="str" cm="1">
        <f t="array" ref="G28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AND(F2863&gt;= DATE(2026,1,1), F2863&lt;= DATE(2028, 12, 31), J2863&gt;50000), "Pendente e Caro", AND(F2863&gt;= DATE(2026,1,1), F2863&lt;= DATE(2028, 12, 31), J2863&lt;=50000), "Pendente", F2863&gt;= DATE(2029,1,1), "Não prioeitário")</f>
        <v>Não prioeitário</v>
      </c>
      <c r="H2863" s="89">
        <f>YEAR(Tabela1[[#This Row],[Data de Validade]])</f>
        <v>2029</v>
      </c>
      <c r="I2863" s="89">
        <f>MONTH(Tabela1[[#This Row],[Data de Validade]])</f>
        <v>4</v>
      </c>
      <c r="J2863" s="101">
        <v>51517</v>
      </c>
      <c r="K2863" s="87" t="s">
        <v>7</v>
      </c>
      <c r="L2863" s="108"/>
      <c r="M2863" s="108"/>
      <c r="N2863" s="108" t="str">
        <v>P888P865</v>
      </c>
      <c r="O2863" s="108">
        <f t="shared" si="46"/>
        <v>1</v>
      </c>
      <c r="P2863" s="108"/>
      <c r="Q2863"/>
    </row>
    <row r="2864" spans="1:17" x14ac:dyDescent="0.25">
      <c r="A2864" s="89" t="s">
        <v>9831</v>
      </c>
      <c r="B2864" s="87" t="s">
        <v>9832</v>
      </c>
      <c r="C2864" s="87" t="s">
        <v>15</v>
      </c>
      <c r="D2864" s="87" t="str">
        <f>VLOOKUP(Tabela1[[#This Row],[Origem]], 'Perguntas 1 a 24'!$J$28:$K$34, 2, 0)</f>
        <v>Sudeste</v>
      </c>
      <c r="E2864" s="87" t="str">
        <f>Tabela1[[#This Row],[Descrição]]&amp;"-"&amp;Tabela1[[#This Row],[Código]]&amp;"/"&amp;Tabela1[[#This Row],[Origem]]</f>
        <v>Pemedapena-P888P865/ES</v>
      </c>
      <c r="F2864" s="88">
        <v>47224</v>
      </c>
      <c r="G2864" s="88" t="str" cm="1">
        <f t="array" ref="G28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AND(F2864&gt;= DATE(2026,1,1), F2864&lt;= DATE(2028, 12, 31), J2864&gt;50000), "Pendente e Caro", AND(F2864&gt;= DATE(2026,1,1), F2864&lt;= DATE(2028, 12, 31), J2864&lt;=50000), "Pendente", F2864&gt;= DATE(2029,1,1), "Não prioeitário")</f>
        <v>Não prioeitário</v>
      </c>
      <c r="H2864" s="89">
        <f>YEAR(Tabela1[[#This Row],[Data de Validade]])</f>
        <v>2029</v>
      </c>
      <c r="I2864" s="89">
        <f>MONTH(Tabela1[[#This Row],[Data de Validade]])</f>
        <v>4</v>
      </c>
      <c r="J2864" s="101">
        <v>28088</v>
      </c>
      <c r="K2864" s="87" t="s">
        <v>11</v>
      </c>
      <c r="L2864" s="108"/>
      <c r="M2864" s="108"/>
      <c r="N2864" s="108" t="str">
        <v>P788P179</v>
      </c>
      <c r="O2864" s="108">
        <f t="shared" si="46"/>
        <v>1</v>
      </c>
      <c r="P2864" s="108"/>
      <c r="Q2864"/>
    </row>
    <row r="2865" spans="1:17" x14ac:dyDescent="0.25">
      <c r="A2865" s="89" t="s">
        <v>4948</v>
      </c>
      <c r="B2865" s="87" t="s">
        <v>4949</v>
      </c>
      <c r="C2865" s="87" t="s">
        <v>8</v>
      </c>
      <c r="D2865" s="87" t="str">
        <f>VLOOKUP(Tabela1[[#This Row],[Origem]], 'Perguntas 1 a 24'!$J$28:$K$34, 2, 0)</f>
        <v>Nordeste</v>
      </c>
      <c r="E2865" s="87" t="str">
        <f>Tabela1[[#This Row],[Descrição]]&amp;"-"&amp;Tabela1[[#This Row],[Código]]&amp;"/"&amp;Tabela1[[#This Row],[Origem]]</f>
        <v>Ralanu-P788P179/AL</v>
      </c>
      <c r="F2865" s="88">
        <v>47225</v>
      </c>
      <c r="G2865" s="88" t="str" cm="1">
        <f t="array" ref="G28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AND(F2865&gt;= DATE(2026,1,1), F2865&lt;= DATE(2028, 12, 31), J2865&gt;50000), "Pendente e Caro", AND(F2865&gt;= DATE(2026,1,1), F2865&lt;= DATE(2028, 12, 31), J2865&lt;=50000), "Pendente", F2865&gt;= DATE(2029,1,1), "Não prioeitário")</f>
        <v>Não prioeitário</v>
      </c>
      <c r="H2865" s="89">
        <f>YEAR(Tabela1[[#This Row],[Data de Validade]])</f>
        <v>2029</v>
      </c>
      <c r="I2865" s="89">
        <f>MONTH(Tabela1[[#This Row],[Data de Validade]])</f>
        <v>4</v>
      </c>
      <c r="J2865" s="101">
        <v>90498</v>
      </c>
      <c r="K2865" s="87" t="s">
        <v>9</v>
      </c>
      <c r="L2865" s="108"/>
      <c r="M2865" s="108"/>
      <c r="N2865" s="108" t="str">
        <v>H956H243</v>
      </c>
      <c r="O2865" s="108">
        <f t="shared" si="46"/>
        <v>1</v>
      </c>
      <c r="P2865" s="108"/>
      <c r="Q2865"/>
    </row>
    <row r="2866" spans="1:17" x14ac:dyDescent="0.25">
      <c r="A2866" s="89" t="s">
        <v>6648</v>
      </c>
      <c r="B2866" s="87" t="s">
        <v>6649</v>
      </c>
      <c r="C2866" s="87" t="s">
        <v>15</v>
      </c>
      <c r="D2866" s="87" t="str">
        <f>VLOOKUP(Tabela1[[#This Row],[Origem]], 'Perguntas 1 a 24'!$J$28:$K$34, 2, 0)</f>
        <v>Sudeste</v>
      </c>
      <c r="E2866" s="87" t="str">
        <f>Tabela1[[#This Row],[Descrição]]&amp;"-"&amp;Tabela1[[#This Row],[Código]]&amp;"/"&amp;Tabela1[[#This Row],[Origem]]</f>
        <v>Focovino-H956H243/ES</v>
      </c>
      <c r="F2866" s="88">
        <v>47225</v>
      </c>
      <c r="G2866" s="88" t="str" cm="1">
        <f t="array" ref="G28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AND(F2866&gt;= DATE(2026,1,1), F2866&lt;= DATE(2028, 12, 31), J2866&gt;50000), "Pendente e Caro", AND(F2866&gt;= DATE(2026,1,1), F2866&lt;= DATE(2028, 12, 31), J2866&lt;=50000), "Pendente", F2866&gt;= DATE(2029,1,1), "Não prioeitário")</f>
        <v>Não prioeitário</v>
      </c>
      <c r="H2866" s="89">
        <f>YEAR(Tabela1[[#This Row],[Data de Validade]])</f>
        <v>2029</v>
      </c>
      <c r="I2866" s="89">
        <f>MONTH(Tabela1[[#This Row],[Data de Validade]])</f>
        <v>4</v>
      </c>
      <c r="J2866" s="101">
        <v>58288</v>
      </c>
      <c r="K2866" s="87" t="s">
        <v>14</v>
      </c>
      <c r="L2866" s="108"/>
      <c r="M2866" s="108"/>
      <c r="N2866" s="108" t="str">
        <v>P212P331</v>
      </c>
      <c r="O2866" s="108">
        <f t="shared" si="46"/>
        <v>1</v>
      </c>
      <c r="P2866" s="108"/>
      <c r="Q2866"/>
    </row>
    <row r="2867" spans="1:17" x14ac:dyDescent="0.25">
      <c r="A2867" s="89" t="s">
        <v>10367</v>
      </c>
      <c r="B2867" s="87" t="s">
        <v>10368</v>
      </c>
      <c r="C2867" s="87" t="s">
        <v>10</v>
      </c>
      <c r="D2867" s="87" t="str">
        <f>VLOOKUP(Tabela1[[#This Row],[Origem]], 'Perguntas 1 a 24'!$J$28:$K$34, 2, 0)</f>
        <v>Centro-Oeste</v>
      </c>
      <c r="E2867" s="87" t="str">
        <f>Tabela1[[#This Row],[Descrição]]&amp;"-"&amp;Tabela1[[#This Row],[Código]]&amp;"/"&amp;Tabela1[[#This Row],[Origem]]</f>
        <v>Tugutono-P212P331/GO</v>
      </c>
      <c r="F2867" s="88">
        <v>47226</v>
      </c>
      <c r="G2867" s="88" t="str" cm="1">
        <f t="array" ref="G28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AND(F2867&gt;= DATE(2026,1,1), F2867&lt;= DATE(2028, 12, 31), J2867&gt;50000), "Pendente e Caro", AND(F2867&gt;= DATE(2026,1,1), F2867&lt;= DATE(2028, 12, 31), J2867&lt;=50000), "Pendente", F2867&gt;= DATE(2029,1,1), "Não prioeitário")</f>
        <v>Não prioeitário</v>
      </c>
      <c r="H2867" s="89">
        <f>YEAR(Tabela1[[#This Row],[Data de Validade]])</f>
        <v>2029</v>
      </c>
      <c r="I2867" s="89">
        <f>MONTH(Tabela1[[#This Row],[Data de Validade]])</f>
        <v>4</v>
      </c>
      <c r="J2867" s="101">
        <v>78211</v>
      </c>
      <c r="K2867" s="87" t="s">
        <v>14</v>
      </c>
      <c r="L2867" s="108"/>
      <c r="M2867" s="108"/>
      <c r="N2867" s="108" t="str">
        <v>H597P374</v>
      </c>
      <c r="O2867" s="108">
        <f t="shared" si="46"/>
        <v>1</v>
      </c>
      <c r="P2867" s="108"/>
      <c r="Q2867"/>
    </row>
    <row r="2868" spans="1:17" x14ac:dyDescent="0.25">
      <c r="A2868" s="89" t="s">
        <v>6368</v>
      </c>
      <c r="B2868" s="87" t="s">
        <v>6369</v>
      </c>
      <c r="C2868" s="87" t="s">
        <v>6</v>
      </c>
      <c r="D2868" s="87" t="str">
        <f>VLOOKUP(Tabela1[[#This Row],[Origem]], 'Perguntas 1 a 24'!$J$28:$K$34, 2, 0)</f>
        <v>Nordeste</v>
      </c>
      <c r="E2868" s="87" t="str">
        <f>Tabela1[[#This Row],[Descrição]]&amp;"-"&amp;Tabela1[[#This Row],[Código]]&amp;"/"&amp;Tabela1[[#This Row],[Origem]]</f>
        <v>Mapidegilu-H597P374/MA</v>
      </c>
      <c r="F2868" s="88">
        <v>47226</v>
      </c>
      <c r="G2868" s="88" t="str" cm="1">
        <f t="array" ref="G28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AND(F2868&gt;= DATE(2026,1,1), F2868&lt;= DATE(2028, 12, 31), J2868&gt;50000), "Pendente e Caro", AND(F2868&gt;= DATE(2026,1,1), F2868&lt;= DATE(2028, 12, 31), J2868&lt;=50000), "Pendente", F2868&gt;= DATE(2029,1,1), "Não prioeitário")</f>
        <v>Não prioeitário</v>
      </c>
      <c r="H2868" s="89">
        <f>YEAR(Tabela1[[#This Row],[Data de Validade]])</f>
        <v>2029</v>
      </c>
      <c r="I2868" s="89">
        <f>MONTH(Tabela1[[#This Row],[Data de Validade]])</f>
        <v>4</v>
      </c>
      <c r="J2868" s="101">
        <v>42256</v>
      </c>
      <c r="K2868" s="87" t="s">
        <v>7</v>
      </c>
      <c r="L2868" s="108"/>
      <c r="M2868" s="108"/>
      <c r="N2868" s="108" t="str">
        <v>H511P689</v>
      </c>
      <c r="O2868" s="108">
        <f t="shared" si="46"/>
        <v>1</v>
      </c>
      <c r="P2868" s="108"/>
      <c r="Q2868"/>
    </row>
    <row r="2869" spans="1:17" x14ac:dyDescent="0.25">
      <c r="A2869" s="89" t="s">
        <v>7810</v>
      </c>
      <c r="B2869" s="87" t="s">
        <v>7811</v>
      </c>
      <c r="C2869" s="87" t="s">
        <v>12</v>
      </c>
      <c r="D2869" s="87" t="str">
        <f>VLOOKUP(Tabela1[[#This Row],[Origem]], 'Perguntas 1 a 24'!$J$28:$K$34, 2, 0)</f>
        <v>Sudeste</v>
      </c>
      <c r="E2869" s="87" t="str">
        <f>Tabela1[[#This Row],[Descrição]]&amp;"-"&amp;Tabela1[[#This Row],[Código]]&amp;"/"&amp;Tabela1[[#This Row],[Origem]]</f>
        <v>Norapini-H511P689/RJ</v>
      </c>
      <c r="F2869" s="88">
        <v>47226</v>
      </c>
      <c r="G2869" s="88" t="str" cm="1">
        <f t="array" ref="G28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AND(F2869&gt;= DATE(2026,1,1), F2869&lt;= DATE(2028, 12, 31), J2869&gt;50000), "Pendente e Caro", AND(F2869&gt;= DATE(2026,1,1), F2869&lt;= DATE(2028, 12, 31), J2869&lt;=50000), "Pendente", F2869&gt;= DATE(2029,1,1), "Não prioeitário")</f>
        <v>Não prioeitário</v>
      </c>
      <c r="H2869" s="89">
        <f>YEAR(Tabela1[[#This Row],[Data de Validade]])</f>
        <v>2029</v>
      </c>
      <c r="I2869" s="89">
        <f>MONTH(Tabela1[[#This Row],[Data de Validade]])</f>
        <v>4</v>
      </c>
      <c r="J2869" s="101">
        <v>40188</v>
      </c>
      <c r="K2869" s="87" t="s">
        <v>7</v>
      </c>
      <c r="L2869" s="108"/>
      <c r="M2869" s="108"/>
      <c r="N2869" s="108" t="str">
        <v>P787P899</v>
      </c>
      <c r="O2869" s="108">
        <f t="shared" si="46"/>
        <v>1</v>
      </c>
      <c r="P2869" s="108"/>
      <c r="Q2869"/>
    </row>
    <row r="2870" spans="1:17" x14ac:dyDescent="0.25">
      <c r="A2870" s="89" t="s">
        <v>8454</v>
      </c>
      <c r="B2870" s="87" t="s">
        <v>8455</v>
      </c>
      <c r="C2870" s="87" t="s">
        <v>8</v>
      </c>
      <c r="D2870" s="87" t="str">
        <f>VLOOKUP(Tabela1[[#This Row],[Origem]], 'Perguntas 1 a 24'!$J$28:$K$34, 2, 0)</f>
        <v>Nordeste</v>
      </c>
      <c r="E2870" s="87" t="str">
        <f>Tabela1[[#This Row],[Descrição]]&amp;"-"&amp;Tabela1[[#This Row],[Código]]&amp;"/"&amp;Tabela1[[#This Row],[Origem]]</f>
        <v>Dotufirono-P787P899/AL</v>
      </c>
      <c r="F2870" s="88">
        <v>47226</v>
      </c>
      <c r="G2870" s="88" t="str" cm="1">
        <f t="array" ref="G28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AND(F2870&gt;= DATE(2026,1,1), F2870&lt;= DATE(2028, 12, 31), J2870&gt;50000), "Pendente e Caro", AND(F2870&gt;= DATE(2026,1,1), F2870&lt;= DATE(2028, 12, 31), J2870&lt;=50000), "Pendente", F2870&gt;= DATE(2029,1,1), "Não prioeitário")</f>
        <v>Não prioeitário</v>
      </c>
      <c r="H2870" s="89">
        <f>YEAR(Tabela1[[#This Row],[Data de Validade]])</f>
        <v>2029</v>
      </c>
      <c r="I2870" s="89">
        <f>MONTH(Tabela1[[#This Row],[Data de Validade]])</f>
        <v>4</v>
      </c>
      <c r="J2870" s="101">
        <v>27144</v>
      </c>
      <c r="K2870" s="87" t="s">
        <v>7</v>
      </c>
      <c r="L2870" s="108"/>
      <c r="M2870" s="108"/>
      <c r="N2870" s="108" t="str">
        <v>P929P696</v>
      </c>
      <c r="O2870" s="108">
        <f t="shared" si="46"/>
        <v>1</v>
      </c>
      <c r="P2870" s="108"/>
      <c r="Q2870"/>
    </row>
    <row r="2871" spans="1:17" x14ac:dyDescent="0.25">
      <c r="A2871" s="89" t="s">
        <v>11284</v>
      </c>
      <c r="B2871" s="87" t="s">
        <v>11285</v>
      </c>
      <c r="C2871" s="87" t="s">
        <v>8</v>
      </c>
      <c r="D2871" s="87" t="str">
        <f>VLOOKUP(Tabela1[[#This Row],[Origem]], 'Perguntas 1 a 24'!$J$28:$K$34, 2, 0)</f>
        <v>Nordeste</v>
      </c>
      <c r="E2871" s="87" t="str">
        <f>Tabela1[[#This Row],[Descrição]]&amp;"-"&amp;Tabela1[[#This Row],[Código]]&amp;"/"&amp;Tabela1[[#This Row],[Origem]]</f>
        <v>Toticu-P929P696/AL</v>
      </c>
      <c r="F2871" s="88">
        <v>47227</v>
      </c>
      <c r="G2871" s="88" t="str" cm="1">
        <f t="array" ref="G28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AND(F2871&gt;= DATE(2026,1,1), F2871&lt;= DATE(2028, 12, 31), J2871&gt;50000), "Pendente e Caro", AND(F2871&gt;= DATE(2026,1,1), F2871&lt;= DATE(2028, 12, 31), J2871&lt;=50000), "Pendente", F2871&gt;= DATE(2029,1,1), "Não prioeitário")</f>
        <v>Não prioeitário</v>
      </c>
      <c r="H2871" s="89">
        <f>YEAR(Tabela1[[#This Row],[Data de Validade]])</f>
        <v>2029</v>
      </c>
      <c r="I2871" s="89">
        <f>MONTH(Tabela1[[#This Row],[Data de Validade]])</f>
        <v>4</v>
      </c>
      <c r="J2871" s="101">
        <v>111437</v>
      </c>
      <c r="K2871" s="87" t="s">
        <v>7</v>
      </c>
      <c r="L2871" s="108"/>
      <c r="M2871" s="108"/>
      <c r="N2871" s="108" t="str">
        <v>H891H834</v>
      </c>
      <c r="O2871" s="108">
        <f t="shared" si="46"/>
        <v>1</v>
      </c>
      <c r="P2871" s="108"/>
      <c r="Q2871"/>
    </row>
    <row r="2872" spans="1:17" x14ac:dyDescent="0.25">
      <c r="A2872" s="89" t="s">
        <v>4910</v>
      </c>
      <c r="B2872" s="87" t="s">
        <v>4911</v>
      </c>
      <c r="C2872" s="87" t="s">
        <v>15</v>
      </c>
      <c r="D2872" s="87" t="str">
        <f>VLOOKUP(Tabela1[[#This Row],[Origem]], 'Perguntas 1 a 24'!$J$28:$K$34, 2, 0)</f>
        <v>Sudeste</v>
      </c>
      <c r="E2872" s="87" t="str">
        <f>Tabela1[[#This Row],[Descrição]]&amp;"-"&amp;Tabela1[[#This Row],[Código]]&amp;"/"&amp;Tabela1[[#This Row],[Origem]]</f>
        <v>Gatanitu-H891H834/ES</v>
      </c>
      <c r="F2872" s="88">
        <v>47227</v>
      </c>
      <c r="G2872" s="88" t="str" cm="1">
        <f t="array" ref="G28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AND(F2872&gt;= DATE(2026,1,1), F2872&lt;= DATE(2028, 12, 31), J2872&gt;50000), "Pendente e Caro", AND(F2872&gt;= DATE(2026,1,1), F2872&lt;= DATE(2028, 12, 31), J2872&lt;=50000), "Pendente", F2872&gt;= DATE(2029,1,1), "Não prioeitário")</f>
        <v>Não prioeitário</v>
      </c>
      <c r="H2872" s="89">
        <f>YEAR(Tabela1[[#This Row],[Data de Validade]])</f>
        <v>2029</v>
      </c>
      <c r="I2872" s="89">
        <f>MONTH(Tabela1[[#This Row],[Data de Validade]])</f>
        <v>4</v>
      </c>
      <c r="J2872" s="101">
        <v>102032</v>
      </c>
      <c r="K2872" s="87" t="s">
        <v>14</v>
      </c>
      <c r="L2872" s="108"/>
      <c r="M2872" s="108"/>
      <c r="N2872" s="108" t="str">
        <v>P865H968</v>
      </c>
      <c r="O2872" s="108">
        <f t="shared" si="46"/>
        <v>1</v>
      </c>
      <c r="P2872" s="108"/>
      <c r="Q2872"/>
    </row>
    <row r="2873" spans="1:17" x14ac:dyDescent="0.25">
      <c r="A2873" s="89" t="s">
        <v>6630</v>
      </c>
      <c r="B2873" s="87" t="s">
        <v>6631</v>
      </c>
      <c r="C2873" s="87" t="s">
        <v>13</v>
      </c>
      <c r="D2873" s="87" t="str">
        <f>VLOOKUP(Tabela1[[#This Row],[Origem]], 'Perguntas 1 a 24'!$J$28:$K$34, 2, 0)</f>
        <v>Sudeste</v>
      </c>
      <c r="E2873" s="87" t="str">
        <f>Tabela1[[#This Row],[Descrição]]&amp;"-"&amp;Tabela1[[#This Row],[Código]]&amp;"/"&amp;Tabela1[[#This Row],[Origem]]</f>
        <v>Mecarigadi-P865H968/SP</v>
      </c>
      <c r="F2873" s="88">
        <v>47227</v>
      </c>
      <c r="G2873" s="88" t="str" cm="1">
        <f t="array" ref="G28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AND(F2873&gt;= DATE(2026,1,1), F2873&lt;= DATE(2028, 12, 31), J2873&gt;50000), "Pendente e Caro", AND(F2873&gt;= DATE(2026,1,1), F2873&lt;= DATE(2028, 12, 31), J2873&lt;=50000), "Pendente", F2873&gt;= DATE(2029,1,1), "Não prioeitário")</f>
        <v>Não prioeitário</v>
      </c>
      <c r="H2873" s="89">
        <f>YEAR(Tabela1[[#This Row],[Data de Validade]])</f>
        <v>2029</v>
      </c>
      <c r="I2873" s="89">
        <f>MONTH(Tabela1[[#This Row],[Data de Validade]])</f>
        <v>4</v>
      </c>
      <c r="J2873" s="101">
        <v>99793</v>
      </c>
      <c r="K2873" s="87" t="s">
        <v>14</v>
      </c>
      <c r="L2873" s="108"/>
      <c r="M2873" s="108"/>
      <c r="N2873" s="108" t="str">
        <v>P489H423</v>
      </c>
      <c r="O2873" s="108">
        <f t="shared" si="46"/>
        <v>1</v>
      </c>
      <c r="P2873" s="108"/>
      <c r="Q2873"/>
    </row>
    <row r="2874" spans="1:17" x14ac:dyDescent="0.25">
      <c r="A2874" s="89" t="s">
        <v>3836</v>
      </c>
      <c r="B2874" s="87" t="s">
        <v>3837</v>
      </c>
      <c r="C2874" s="87" t="s">
        <v>6</v>
      </c>
      <c r="D2874" s="87" t="str">
        <f>VLOOKUP(Tabela1[[#This Row],[Origem]], 'Perguntas 1 a 24'!$J$28:$K$34, 2, 0)</f>
        <v>Nordeste</v>
      </c>
      <c r="E2874" s="87" t="str">
        <f>Tabela1[[#This Row],[Descrição]]&amp;"-"&amp;Tabela1[[#This Row],[Código]]&amp;"/"&amp;Tabela1[[#This Row],[Origem]]</f>
        <v>Midafigu-P489H423/MA</v>
      </c>
      <c r="F2874" s="88">
        <v>47227</v>
      </c>
      <c r="G2874" s="88" t="str" cm="1">
        <f t="array" ref="G28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AND(F2874&gt;= DATE(2026,1,1), F2874&lt;= DATE(2028, 12, 31), J2874&gt;50000), "Pendente e Caro", AND(F2874&gt;= DATE(2026,1,1), F2874&lt;= DATE(2028, 12, 31), J2874&lt;=50000), "Pendente", F2874&gt;= DATE(2029,1,1), "Não prioeitário")</f>
        <v>Não prioeitário</v>
      </c>
      <c r="H2874" s="89">
        <f>YEAR(Tabela1[[#This Row],[Data de Validade]])</f>
        <v>2029</v>
      </c>
      <c r="I2874" s="89">
        <f>MONTH(Tabela1[[#This Row],[Data de Validade]])</f>
        <v>4</v>
      </c>
      <c r="J2874" s="101">
        <v>84236</v>
      </c>
      <c r="K2874" s="87" t="s">
        <v>14</v>
      </c>
      <c r="L2874" s="108"/>
      <c r="M2874" s="108"/>
      <c r="N2874" s="108" t="str">
        <v>H482P472</v>
      </c>
      <c r="O2874" s="108">
        <f t="shared" si="46"/>
        <v>1</v>
      </c>
      <c r="P2874" s="108"/>
      <c r="Q2874"/>
    </row>
    <row r="2875" spans="1:17" x14ac:dyDescent="0.25">
      <c r="A2875" s="89" t="s">
        <v>7648</v>
      </c>
      <c r="B2875" s="87" t="s">
        <v>7649</v>
      </c>
      <c r="C2875" s="87" t="s">
        <v>8</v>
      </c>
      <c r="D2875" s="87" t="str">
        <f>VLOOKUP(Tabela1[[#This Row],[Origem]], 'Perguntas 1 a 24'!$J$28:$K$34, 2, 0)</f>
        <v>Nordeste</v>
      </c>
      <c r="E2875" s="87" t="str">
        <f>Tabela1[[#This Row],[Descrição]]&amp;"-"&amp;Tabela1[[#This Row],[Código]]&amp;"/"&amp;Tabela1[[#This Row],[Origem]]</f>
        <v>Popumate-H482P472/AL</v>
      </c>
      <c r="F2875" s="88">
        <v>47228</v>
      </c>
      <c r="G2875" s="88" t="str" cm="1">
        <f t="array" ref="G28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AND(F2875&gt;= DATE(2026,1,1), F2875&lt;= DATE(2028, 12, 31), J2875&gt;50000), "Pendente e Caro", AND(F2875&gt;= DATE(2026,1,1), F2875&lt;= DATE(2028, 12, 31), J2875&lt;=50000), "Pendente", F2875&gt;= DATE(2029,1,1), "Não prioeitário")</f>
        <v>Não prioeitário</v>
      </c>
      <c r="H2875" s="89">
        <f>YEAR(Tabela1[[#This Row],[Data de Validade]])</f>
        <v>2029</v>
      </c>
      <c r="I2875" s="89">
        <f>MONTH(Tabela1[[#This Row],[Data de Validade]])</f>
        <v>4</v>
      </c>
      <c r="J2875" s="101">
        <v>101900</v>
      </c>
      <c r="K2875" s="87" t="s">
        <v>11</v>
      </c>
      <c r="L2875" s="108"/>
      <c r="M2875" s="108"/>
      <c r="N2875" s="108" t="str">
        <v>H385P191</v>
      </c>
      <c r="O2875" s="108">
        <f t="shared" si="46"/>
        <v>1</v>
      </c>
      <c r="P2875" s="108"/>
      <c r="Q2875"/>
    </row>
    <row r="2876" spans="1:17" x14ac:dyDescent="0.25">
      <c r="A2876" s="89" t="s">
        <v>4076</v>
      </c>
      <c r="B2876" s="87" t="s">
        <v>4077</v>
      </c>
      <c r="C2876" s="87" t="s">
        <v>10</v>
      </c>
      <c r="D2876" s="87" t="str">
        <f>VLOOKUP(Tabela1[[#This Row],[Origem]], 'Perguntas 1 a 24'!$J$28:$K$34, 2, 0)</f>
        <v>Centro-Oeste</v>
      </c>
      <c r="E2876" s="87" t="str">
        <f>Tabela1[[#This Row],[Descrição]]&amp;"-"&amp;Tabela1[[#This Row],[Código]]&amp;"/"&amp;Tabela1[[#This Row],[Origem]]</f>
        <v>Digato-H385P191/GO</v>
      </c>
      <c r="F2876" s="88">
        <v>47229</v>
      </c>
      <c r="G2876" s="88" t="str" cm="1">
        <f t="array" ref="G28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AND(F2876&gt;= DATE(2026,1,1), F2876&lt;= DATE(2028, 12, 31), J2876&gt;50000), "Pendente e Caro", AND(F2876&gt;= DATE(2026,1,1), F2876&lt;= DATE(2028, 12, 31), J2876&lt;=50000), "Pendente", F2876&gt;= DATE(2029,1,1), "Não prioeitário")</f>
        <v>Não prioeitário</v>
      </c>
      <c r="H2876" s="89">
        <f>YEAR(Tabela1[[#This Row],[Data de Validade]])</f>
        <v>2029</v>
      </c>
      <c r="I2876" s="89">
        <f>MONTH(Tabela1[[#This Row],[Data de Validade]])</f>
        <v>4</v>
      </c>
      <c r="J2876" s="101">
        <v>89794</v>
      </c>
      <c r="K2876" s="87" t="s">
        <v>11</v>
      </c>
      <c r="L2876" s="108"/>
      <c r="M2876" s="108"/>
      <c r="N2876" s="108" t="str">
        <v>H737P394</v>
      </c>
      <c r="O2876" s="108">
        <f t="shared" si="46"/>
        <v>1</v>
      </c>
      <c r="P2876" s="108"/>
      <c r="Q2876"/>
    </row>
    <row r="2877" spans="1:17" x14ac:dyDescent="0.25">
      <c r="A2877" s="89" t="s">
        <v>11306</v>
      </c>
      <c r="B2877" s="87" t="s">
        <v>11307</v>
      </c>
      <c r="C2877" s="87" t="s">
        <v>12</v>
      </c>
      <c r="D2877" s="87" t="str">
        <f>VLOOKUP(Tabela1[[#This Row],[Origem]], 'Perguntas 1 a 24'!$J$28:$K$34, 2, 0)</f>
        <v>Sudeste</v>
      </c>
      <c r="E2877" s="87" t="str">
        <f>Tabela1[[#This Row],[Descrição]]&amp;"-"&amp;Tabela1[[#This Row],[Código]]&amp;"/"&amp;Tabela1[[#This Row],[Origem]]</f>
        <v>Datoti-H737P394/RJ</v>
      </c>
      <c r="F2877" s="88">
        <v>47230</v>
      </c>
      <c r="G2877" s="88" t="str" cm="1">
        <f t="array" ref="G28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AND(F2877&gt;= DATE(2026,1,1), F2877&lt;= DATE(2028, 12, 31), J2877&gt;50000), "Pendente e Caro", AND(F2877&gt;= DATE(2026,1,1), F2877&lt;= DATE(2028, 12, 31), J2877&lt;=50000), "Pendente", F2877&gt;= DATE(2029,1,1), "Não prioeitário")</f>
        <v>Não prioeitário</v>
      </c>
      <c r="H2877" s="89">
        <f>YEAR(Tabela1[[#This Row],[Data de Validade]])</f>
        <v>2029</v>
      </c>
      <c r="I2877" s="89">
        <f>MONTH(Tabela1[[#This Row],[Data de Validade]])</f>
        <v>4</v>
      </c>
      <c r="J2877" s="101">
        <v>99936</v>
      </c>
      <c r="K2877" s="87" t="s">
        <v>9</v>
      </c>
      <c r="L2877" s="108"/>
      <c r="M2877" s="108"/>
      <c r="N2877" s="108" t="str">
        <v>H421H252</v>
      </c>
      <c r="O2877" s="108">
        <f t="shared" si="46"/>
        <v>1</v>
      </c>
      <c r="P2877" s="108"/>
      <c r="Q2877"/>
    </row>
    <row r="2878" spans="1:17" x14ac:dyDescent="0.25">
      <c r="A2878" s="89" t="s">
        <v>5414</v>
      </c>
      <c r="B2878" s="87" t="s">
        <v>5415</v>
      </c>
      <c r="C2878" s="87" t="s">
        <v>12</v>
      </c>
      <c r="D2878" s="87" t="str">
        <f>VLOOKUP(Tabela1[[#This Row],[Origem]], 'Perguntas 1 a 24'!$J$28:$K$34, 2, 0)</f>
        <v>Sudeste</v>
      </c>
      <c r="E2878" s="87" t="str">
        <f>Tabela1[[#This Row],[Descrição]]&amp;"-"&amp;Tabela1[[#This Row],[Código]]&amp;"/"&amp;Tabela1[[#This Row],[Origem]]</f>
        <v>Nufiledu-H421H252/RJ</v>
      </c>
      <c r="F2878" s="88">
        <v>47231</v>
      </c>
      <c r="G2878" s="88" t="str" cm="1">
        <f t="array" ref="G28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AND(F2878&gt;= DATE(2026,1,1), F2878&lt;= DATE(2028, 12, 31), J2878&gt;50000), "Pendente e Caro", AND(F2878&gt;= DATE(2026,1,1), F2878&lt;= DATE(2028, 12, 31), J2878&lt;=50000), "Pendente", F2878&gt;= DATE(2029,1,1), "Não prioeitário")</f>
        <v>Não prioeitário</v>
      </c>
      <c r="H2878" s="89">
        <f>YEAR(Tabela1[[#This Row],[Data de Validade]])</f>
        <v>2029</v>
      </c>
      <c r="I2878" s="89">
        <f>MONTH(Tabela1[[#This Row],[Data de Validade]])</f>
        <v>4</v>
      </c>
      <c r="J2878" s="101">
        <v>41027</v>
      </c>
      <c r="K2878" s="87" t="s">
        <v>7</v>
      </c>
      <c r="L2878" s="108"/>
      <c r="M2878" s="108"/>
      <c r="N2878" s="108" t="str">
        <v>H782P281</v>
      </c>
      <c r="O2878" s="108">
        <f t="shared" si="46"/>
        <v>1</v>
      </c>
      <c r="P2878" s="108"/>
      <c r="Q2878"/>
    </row>
    <row r="2879" spans="1:17" x14ac:dyDescent="0.25">
      <c r="A2879" s="89" t="s">
        <v>8294</v>
      </c>
      <c r="B2879" s="87" t="s">
        <v>8295</v>
      </c>
      <c r="C2879" s="87" t="s">
        <v>16</v>
      </c>
      <c r="D2879" s="87" t="str">
        <f>VLOOKUP(Tabela1[[#This Row],[Origem]], 'Perguntas 1 a 24'!$J$28:$K$34, 2, 0)</f>
        <v>Sudeste</v>
      </c>
      <c r="E2879" s="87" t="str">
        <f>Tabela1[[#This Row],[Descrição]]&amp;"-"&amp;Tabela1[[#This Row],[Código]]&amp;"/"&amp;Tabela1[[#This Row],[Origem]]</f>
        <v>Punarovivu-H782P281/MG</v>
      </c>
      <c r="F2879" s="88">
        <v>47232</v>
      </c>
      <c r="G2879" s="88" t="str" cm="1">
        <f t="array" ref="G28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AND(F2879&gt;= DATE(2026,1,1), F2879&lt;= DATE(2028, 12, 31), J2879&gt;50000), "Pendente e Caro", AND(F2879&gt;= DATE(2026,1,1), F2879&lt;= DATE(2028, 12, 31), J2879&lt;=50000), "Pendente", F2879&gt;= DATE(2029,1,1), "Não prioeitário")</f>
        <v>Não prioeitário</v>
      </c>
      <c r="H2879" s="89">
        <f>YEAR(Tabela1[[#This Row],[Data de Validade]])</f>
        <v>2029</v>
      </c>
      <c r="I2879" s="89">
        <f>MONTH(Tabela1[[#This Row],[Data de Validade]])</f>
        <v>4</v>
      </c>
      <c r="J2879" s="101">
        <v>87520</v>
      </c>
      <c r="K2879" s="87" t="s">
        <v>9</v>
      </c>
      <c r="L2879" s="108"/>
      <c r="M2879" s="108"/>
      <c r="N2879" s="108" t="str">
        <v>H528H364</v>
      </c>
      <c r="O2879" s="108">
        <f t="shared" si="46"/>
        <v>1</v>
      </c>
      <c r="P2879" s="108"/>
      <c r="Q2879"/>
    </row>
    <row r="2880" spans="1:17" x14ac:dyDescent="0.25">
      <c r="A2880" s="89" t="s">
        <v>9279</v>
      </c>
      <c r="B2880" s="87" t="s">
        <v>9280</v>
      </c>
      <c r="C2880" s="87" t="s">
        <v>6</v>
      </c>
      <c r="D2880" s="87" t="str">
        <f>VLOOKUP(Tabela1[[#This Row],[Origem]], 'Perguntas 1 a 24'!$J$28:$K$34, 2, 0)</f>
        <v>Nordeste</v>
      </c>
      <c r="E2880" s="87" t="str">
        <f>Tabela1[[#This Row],[Descrição]]&amp;"-"&amp;Tabela1[[#This Row],[Código]]&amp;"/"&amp;Tabela1[[#This Row],[Origem]]</f>
        <v>Racefapore-H528H364/MA</v>
      </c>
      <c r="F2880" s="88">
        <v>47232</v>
      </c>
      <c r="G2880" s="88" t="str" cm="1">
        <f t="array" ref="G28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AND(F2880&gt;= DATE(2026,1,1), F2880&lt;= DATE(2028, 12, 31), J2880&gt;50000), "Pendente e Caro", AND(F2880&gt;= DATE(2026,1,1), F2880&lt;= DATE(2028, 12, 31), J2880&lt;=50000), "Pendente", F2880&gt;= DATE(2029,1,1), "Não prioeitário")</f>
        <v>Não prioeitário</v>
      </c>
      <c r="H2880" s="89">
        <f>YEAR(Tabela1[[#This Row],[Data de Validade]])</f>
        <v>2029</v>
      </c>
      <c r="I2880" s="89">
        <f>MONTH(Tabela1[[#This Row],[Data de Validade]])</f>
        <v>4</v>
      </c>
      <c r="J2880" s="101">
        <v>54813</v>
      </c>
      <c r="K2880" s="87" t="s">
        <v>9</v>
      </c>
      <c r="L2880" s="108"/>
      <c r="M2880" s="108"/>
      <c r="N2880" s="108" t="str">
        <v>P747P276</v>
      </c>
      <c r="O2880" s="108">
        <f t="shared" si="46"/>
        <v>1</v>
      </c>
      <c r="P2880" s="108"/>
      <c r="Q2880"/>
    </row>
    <row r="2881" spans="1:17" x14ac:dyDescent="0.25">
      <c r="A2881" s="89" t="s">
        <v>9863</v>
      </c>
      <c r="B2881" s="87" t="s">
        <v>9864</v>
      </c>
      <c r="C2881" s="87" t="s">
        <v>13</v>
      </c>
      <c r="D2881" s="87" t="str">
        <f>VLOOKUP(Tabela1[[#This Row],[Origem]], 'Perguntas 1 a 24'!$J$28:$K$34, 2, 0)</f>
        <v>Sudeste</v>
      </c>
      <c r="E2881" s="87" t="str">
        <f>Tabela1[[#This Row],[Descrição]]&amp;"-"&amp;Tabela1[[#This Row],[Código]]&amp;"/"&amp;Tabela1[[#This Row],[Origem]]</f>
        <v>Ropopugofu-P747P276/SP</v>
      </c>
      <c r="F2881" s="88">
        <v>47232</v>
      </c>
      <c r="G2881" s="88" t="str" cm="1">
        <f t="array" ref="G28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AND(F2881&gt;= DATE(2026,1,1), F2881&lt;= DATE(2028, 12, 31), J2881&gt;50000), "Pendente e Caro", AND(F2881&gt;= DATE(2026,1,1), F2881&lt;= DATE(2028, 12, 31), J2881&lt;=50000), "Pendente", F2881&gt;= DATE(2029,1,1), "Não prioeitário")</f>
        <v>Não prioeitário</v>
      </c>
      <c r="H2881" s="89">
        <f>YEAR(Tabela1[[#This Row],[Data de Validade]])</f>
        <v>2029</v>
      </c>
      <c r="I2881" s="89">
        <f>MONTH(Tabela1[[#This Row],[Data de Validade]])</f>
        <v>4</v>
      </c>
      <c r="J2881" s="101">
        <v>28339</v>
      </c>
      <c r="K2881" s="87" t="s">
        <v>7</v>
      </c>
      <c r="L2881" s="108"/>
      <c r="M2881" s="108"/>
      <c r="N2881" s="108" t="str">
        <v>H335P457</v>
      </c>
      <c r="O2881" s="108">
        <f t="shared" si="46"/>
        <v>1</v>
      </c>
      <c r="P2881" s="108"/>
      <c r="Q2881"/>
    </row>
    <row r="2882" spans="1:17" x14ac:dyDescent="0.25">
      <c r="A2882" s="89" t="s">
        <v>9117</v>
      </c>
      <c r="B2882" s="87" t="s">
        <v>9118</v>
      </c>
      <c r="C2882" s="87" t="s">
        <v>10</v>
      </c>
      <c r="D2882" s="87" t="str">
        <f>VLOOKUP(Tabela1[[#This Row],[Origem]], 'Perguntas 1 a 24'!$J$28:$K$34, 2, 0)</f>
        <v>Centro-Oeste</v>
      </c>
      <c r="E2882" s="87" t="str">
        <f>Tabela1[[#This Row],[Descrição]]&amp;"-"&amp;Tabela1[[#This Row],[Código]]&amp;"/"&amp;Tabela1[[#This Row],[Origem]]</f>
        <v>Ferati-H335P457/GO</v>
      </c>
      <c r="F2882" s="88">
        <v>47233</v>
      </c>
      <c r="G2882" s="88" t="str" cm="1">
        <f t="array" ref="G28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AND(F2882&gt;= DATE(2026,1,1), F2882&lt;= DATE(2028, 12, 31), J2882&gt;50000), "Pendente e Caro", AND(F2882&gt;= DATE(2026,1,1), F2882&lt;= DATE(2028, 12, 31), J2882&lt;=50000), "Pendente", F2882&gt;= DATE(2029,1,1), "Não prioeitário")</f>
        <v>Não prioeitário</v>
      </c>
      <c r="H2882" s="89">
        <f>YEAR(Tabela1[[#This Row],[Data de Validade]])</f>
        <v>2029</v>
      </c>
      <c r="I2882" s="89">
        <f>MONTH(Tabela1[[#This Row],[Data de Validade]])</f>
        <v>4</v>
      </c>
      <c r="J2882" s="101">
        <v>100565</v>
      </c>
      <c r="K2882" s="87" t="s">
        <v>7</v>
      </c>
      <c r="L2882" s="108"/>
      <c r="M2882" s="108"/>
      <c r="N2882" s="108" t="str">
        <v>P693H671</v>
      </c>
      <c r="O2882" s="108">
        <f t="shared" si="46"/>
        <v>1</v>
      </c>
      <c r="P2882" s="108"/>
      <c r="Q2882"/>
    </row>
    <row r="2883" spans="1:17" x14ac:dyDescent="0.25">
      <c r="A2883" s="89" t="s">
        <v>8925</v>
      </c>
      <c r="B2883" s="87" t="s">
        <v>8926</v>
      </c>
      <c r="C2883" s="87" t="s">
        <v>6</v>
      </c>
      <c r="D2883" s="87" t="str">
        <f>VLOOKUP(Tabela1[[#This Row],[Origem]], 'Perguntas 1 a 24'!$J$28:$K$34, 2, 0)</f>
        <v>Nordeste</v>
      </c>
      <c r="E2883" s="87" t="str">
        <f>Tabela1[[#This Row],[Descrição]]&amp;"-"&amp;Tabela1[[#This Row],[Código]]&amp;"/"&amp;Tabela1[[#This Row],[Origem]]</f>
        <v>Pocagifuco-P693H671/MA</v>
      </c>
      <c r="F2883" s="88">
        <v>47233</v>
      </c>
      <c r="G2883" s="88" t="str" cm="1">
        <f t="array" ref="G28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AND(F2883&gt;= DATE(2026,1,1), F2883&lt;= DATE(2028, 12, 31), J2883&gt;50000), "Pendente e Caro", AND(F2883&gt;= DATE(2026,1,1), F2883&lt;= DATE(2028, 12, 31), J2883&lt;=50000), "Pendente", F2883&gt;= DATE(2029,1,1), "Não prioeitário")</f>
        <v>Não prioeitário</v>
      </c>
      <c r="H2883" s="89">
        <f>YEAR(Tabela1[[#This Row],[Data de Validade]])</f>
        <v>2029</v>
      </c>
      <c r="I2883" s="89">
        <f>MONTH(Tabela1[[#This Row],[Data de Validade]])</f>
        <v>4</v>
      </c>
      <c r="J2883" s="101">
        <v>95038</v>
      </c>
      <c r="K2883" s="87" t="s">
        <v>11</v>
      </c>
      <c r="L2883" s="108"/>
      <c r="M2883" s="108"/>
      <c r="N2883" s="108" t="str">
        <v>H978P411</v>
      </c>
      <c r="O2883" s="108">
        <f t="shared" ref="O2883:O2946" si="47">COUNTIFS(B:B,N2883)</f>
        <v>1</v>
      </c>
      <c r="P2883" s="108"/>
      <c r="Q2883"/>
    </row>
    <row r="2884" spans="1:17" x14ac:dyDescent="0.25">
      <c r="A2884" s="89" t="s">
        <v>5712</v>
      </c>
      <c r="B2884" s="87" t="s">
        <v>5713</v>
      </c>
      <c r="C2884" s="87" t="s">
        <v>10</v>
      </c>
      <c r="D2884" s="87" t="str">
        <f>VLOOKUP(Tabela1[[#This Row],[Origem]], 'Perguntas 1 a 24'!$J$28:$K$34, 2, 0)</f>
        <v>Centro-Oeste</v>
      </c>
      <c r="E2884" s="87" t="str">
        <f>Tabela1[[#This Row],[Descrição]]&amp;"-"&amp;Tabela1[[#This Row],[Código]]&amp;"/"&amp;Tabela1[[#This Row],[Origem]]</f>
        <v>Niretitefa-H978P411/GO</v>
      </c>
      <c r="F2884" s="88">
        <v>47233</v>
      </c>
      <c r="G2884" s="88" t="str" cm="1">
        <f t="array" ref="G28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AND(F2884&gt;= DATE(2026,1,1), F2884&lt;= DATE(2028, 12, 31), J2884&gt;50000), "Pendente e Caro", AND(F2884&gt;= DATE(2026,1,1), F2884&lt;= DATE(2028, 12, 31), J2884&lt;=50000), "Pendente", F2884&gt;= DATE(2029,1,1), "Não prioeitário")</f>
        <v>Não prioeitário</v>
      </c>
      <c r="H2884" s="89">
        <f>YEAR(Tabela1[[#This Row],[Data de Validade]])</f>
        <v>2029</v>
      </c>
      <c r="I2884" s="89">
        <f>MONTH(Tabela1[[#This Row],[Data de Validade]])</f>
        <v>4</v>
      </c>
      <c r="J2884" s="101">
        <v>62996</v>
      </c>
      <c r="K2884" s="87" t="s">
        <v>9</v>
      </c>
      <c r="L2884" s="108"/>
      <c r="M2884" s="108"/>
      <c r="N2884" s="108" t="str">
        <v>P726H898</v>
      </c>
      <c r="O2884" s="108">
        <f t="shared" si="47"/>
        <v>1</v>
      </c>
      <c r="P2884" s="108"/>
      <c r="Q2884"/>
    </row>
    <row r="2885" spans="1:17" x14ac:dyDescent="0.25">
      <c r="A2885" s="89" t="s">
        <v>5528</v>
      </c>
      <c r="B2885" s="87" t="s">
        <v>5529</v>
      </c>
      <c r="C2885" s="87" t="s">
        <v>10</v>
      </c>
      <c r="D2885" s="87" t="str">
        <f>VLOOKUP(Tabela1[[#This Row],[Origem]], 'Perguntas 1 a 24'!$J$28:$K$34, 2, 0)</f>
        <v>Centro-Oeste</v>
      </c>
      <c r="E2885" s="87" t="str">
        <f>Tabela1[[#This Row],[Descrição]]&amp;"-"&amp;Tabela1[[#This Row],[Código]]&amp;"/"&amp;Tabela1[[#This Row],[Origem]]</f>
        <v>Rupuvepipo-P726H898/GO</v>
      </c>
      <c r="F2885" s="88">
        <v>47234</v>
      </c>
      <c r="G2885" s="88" t="str" cm="1">
        <f t="array" ref="G28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AND(F2885&gt;= DATE(2026,1,1), F2885&lt;= DATE(2028, 12, 31), J2885&gt;50000), "Pendente e Caro", AND(F2885&gt;= DATE(2026,1,1), F2885&lt;= DATE(2028, 12, 31), J2885&lt;=50000), "Pendente", F2885&gt;= DATE(2029,1,1), "Não prioeitário")</f>
        <v>Não prioeitário</v>
      </c>
      <c r="H2885" s="89">
        <f>YEAR(Tabela1[[#This Row],[Data de Validade]])</f>
        <v>2029</v>
      </c>
      <c r="I2885" s="89">
        <f>MONTH(Tabela1[[#This Row],[Data de Validade]])</f>
        <v>4</v>
      </c>
      <c r="J2885" s="101">
        <v>79388</v>
      </c>
      <c r="K2885" s="87" t="s">
        <v>11</v>
      </c>
      <c r="L2885" s="108"/>
      <c r="M2885" s="108"/>
      <c r="N2885" s="108" t="str">
        <v>P918H577</v>
      </c>
      <c r="O2885" s="108">
        <f t="shared" si="47"/>
        <v>1</v>
      </c>
      <c r="P2885" s="108"/>
      <c r="Q2885"/>
    </row>
    <row r="2886" spans="1:17" x14ac:dyDescent="0.25">
      <c r="A2886" s="89" t="s">
        <v>3770</v>
      </c>
      <c r="B2886" s="87" t="s">
        <v>3771</v>
      </c>
      <c r="C2886" s="87" t="s">
        <v>10</v>
      </c>
      <c r="D2886" s="87" t="str">
        <f>VLOOKUP(Tabela1[[#This Row],[Origem]], 'Perguntas 1 a 24'!$J$28:$K$34, 2, 0)</f>
        <v>Centro-Oeste</v>
      </c>
      <c r="E2886" s="87" t="str">
        <f>Tabela1[[#This Row],[Descrição]]&amp;"-"&amp;Tabela1[[#This Row],[Código]]&amp;"/"&amp;Tabela1[[#This Row],[Origem]]</f>
        <v>Fagiru-P918H577/GO</v>
      </c>
      <c r="F2886" s="88">
        <v>47235</v>
      </c>
      <c r="G2886" s="88" t="str" cm="1">
        <f t="array" ref="G28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AND(F2886&gt;= DATE(2026,1,1), F2886&lt;= DATE(2028, 12, 31), J2886&gt;50000), "Pendente e Caro", AND(F2886&gt;= DATE(2026,1,1), F2886&lt;= DATE(2028, 12, 31), J2886&lt;=50000), "Pendente", F2886&gt;= DATE(2029,1,1), "Não prioeitário")</f>
        <v>Não prioeitário</v>
      </c>
      <c r="H2886" s="89">
        <f>YEAR(Tabela1[[#This Row],[Data de Validade]])</f>
        <v>2029</v>
      </c>
      <c r="I2886" s="89">
        <f>MONTH(Tabela1[[#This Row],[Data de Validade]])</f>
        <v>4</v>
      </c>
      <c r="J2886" s="101">
        <v>51841</v>
      </c>
      <c r="K2886" s="87" t="s">
        <v>9</v>
      </c>
      <c r="L2886" s="108"/>
      <c r="M2886" s="108"/>
      <c r="N2886" s="108" t="str">
        <v>P894P936</v>
      </c>
      <c r="O2886" s="108">
        <f t="shared" si="47"/>
        <v>1</v>
      </c>
      <c r="P2886" s="108"/>
      <c r="Q2886"/>
    </row>
    <row r="2887" spans="1:17" x14ac:dyDescent="0.25">
      <c r="A2887" s="89" t="s">
        <v>6070</v>
      </c>
      <c r="B2887" s="87" t="s">
        <v>6071</v>
      </c>
      <c r="C2887" s="87" t="s">
        <v>12</v>
      </c>
      <c r="D2887" s="87" t="str">
        <f>VLOOKUP(Tabela1[[#This Row],[Origem]], 'Perguntas 1 a 24'!$J$28:$K$34, 2, 0)</f>
        <v>Sudeste</v>
      </c>
      <c r="E2887" s="87" t="str">
        <f>Tabela1[[#This Row],[Descrição]]&amp;"-"&amp;Tabela1[[#This Row],[Código]]&amp;"/"&amp;Tabela1[[#This Row],[Origem]]</f>
        <v>Pivuvamo-P894P936/RJ</v>
      </c>
      <c r="F2887" s="88">
        <v>47235</v>
      </c>
      <c r="G2887" s="88" t="str" cm="1">
        <f t="array" ref="G28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AND(F2887&gt;= DATE(2026,1,1), F2887&lt;= DATE(2028, 12, 31), J2887&gt;50000), "Pendente e Caro", AND(F2887&gt;= DATE(2026,1,1), F2887&lt;= DATE(2028, 12, 31), J2887&lt;=50000), "Pendente", F2887&gt;= DATE(2029,1,1), "Não prioeitário")</f>
        <v>Não prioeitário</v>
      </c>
      <c r="H2887" s="89">
        <f>YEAR(Tabela1[[#This Row],[Data de Validade]])</f>
        <v>2029</v>
      </c>
      <c r="I2887" s="89">
        <f>MONTH(Tabela1[[#This Row],[Data de Validade]])</f>
        <v>4</v>
      </c>
      <c r="J2887" s="101">
        <v>49891</v>
      </c>
      <c r="K2887" s="87" t="s">
        <v>7</v>
      </c>
      <c r="L2887" s="108"/>
      <c r="M2887" s="108"/>
      <c r="N2887" s="108" t="str">
        <v>P496P353</v>
      </c>
      <c r="O2887" s="108">
        <f t="shared" si="47"/>
        <v>1</v>
      </c>
      <c r="P2887" s="108"/>
      <c r="Q2887"/>
    </row>
    <row r="2888" spans="1:17" x14ac:dyDescent="0.25">
      <c r="A2888" s="89" t="s">
        <v>6588</v>
      </c>
      <c r="B2888" s="87" t="s">
        <v>6589</v>
      </c>
      <c r="C2888" s="87" t="s">
        <v>13</v>
      </c>
      <c r="D2888" s="87" t="str">
        <f>VLOOKUP(Tabela1[[#This Row],[Origem]], 'Perguntas 1 a 24'!$J$28:$K$34, 2, 0)</f>
        <v>Sudeste</v>
      </c>
      <c r="E2888" s="87" t="str">
        <f>Tabela1[[#This Row],[Descrição]]&amp;"-"&amp;Tabela1[[#This Row],[Código]]&amp;"/"&amp;Tabela1[[#This Row],[Origem]]</f>
        <v>Roretefalo-P496P353/SP</v>
      </c>
      <c r="F2888" s="88">
        <v>47236</v>
      </c>
      <c r="G2888" s="88" t="str" cm="1">
        <f t="array" ref="G28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AND(F2888&gt;= DATE(2026,1,1), F2888&lt;= DATE(2028, 12, 31), J2888&gt;50000), "Pendente e Caro", AND(F2888&gt;= DATE(2026,1,1), F2888&lt;= DATE(2028, 12, 31), J2888&lt;=50000), "Pendente", F2888&gt;= DATE(2029,1,1), "Não prioeitário")</f>
        <v>Não prioeitário</v>
      </c>
      <c r="H2888" s="89">
        <f>YEAR(Tabela1[[#This Row],[Data de Validade]])</f>
        <v>2029</v>
      </c>
      <c r="I2888" s="89">
        <f>MONTH(Tabela1[[#This Row],[Data de Validade]])</f>
        <v>4</v>
      </c>
      <c r="J2888" s="101">
        <v>103946</v>
      </c>
      <c r="K2888" s="87" t="s">
        <v>14</v>
      </c>
      <c r="L2888" s="108"/>
      <c r="M2888" s="108"/>
      <c r="N2888" s="108" t="str">
        <v>P422P631</v>
      </c>
      <c r="O2888" s="108">
        <f t="shared" si="47"/>
        <v>1</v>
      </c>
      <c r="P2888" s="108"/>
      <c r="Q2888"/>
    </row>
    <row r="2889" spans="1:17" x14ac:dyDescent="0.25">
      <c r="A2889" s="89" t="s">
        <v>10029</v>
      </c>
      <c r="B2889" s="87" t="s">
        <v>10030</v>
      </c>
      <c r="C2889" s="87" t="s">
        <v>15</v>
      </c>
      <c r="D2889" s="87" t="str">
        <f>VLOOKUP(Tabela1[[#This Row],[Origem]], 'Perguntas 1 a 24'!$J$28:$K$34, 2, 0)</f>
        <v>Sudeste</v>
      </c>
      <c r="E2889" s="87" t="str">
        <f>Tabela1[[#This Row],[Descrição]]&amp;"-"&amp;Tabela1[[#This Row],[Código]]&amp;"/"&amp;Tabela1[[#This Row],[Origem]]</f>
        <v>Dadipupodi-P422P631/ES</v>
      </c>
      <c r="F2889" s="88">
        <v>47236</v>
      </c>
      <c r="G2889" s="88" t="str" cm="1">
        <f t="array" ref="G28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AND(F2889&gt;= DATE(2026,1,1), F2889&lt;= DATE(2028, 12, 31), J2889&gt;50000), "Pendente e Caro", AND(F2889&gt;= DATE(2026,1,1), F2889&lt;= DATE(2028, 12, 31), J2889&lt;=50000), "Pendente", F2889&gt;= DATE(2029,1,1), "Não prioeitário")</f>
        <v>Não prioeitário</v>
      </c>
      <c r="H2889" s="89">
        <f>YEAR(Tabela1[[#This Row],[Data de Validade]])</f>
        <v>2029</v>
      </c>
      <c r="I2889" s="89">
        <f>MONTH(Tabela1[[#This Row],[Data de Validade]])</f>
        <v>4</v>
      </c>
      <c r="J2889" s="101">
        <v>71316</v>
      </c>
      <c r="K2889" s="87" t="s">
        <v>11</v>
      </c>
      <c r="L2889" s="108"/>
      <c r="M2889" s="108"/>
      <c r="N2889" s="108" t="str">
        <v>H625P127</v>
      </c>
      <c r="O2889" s="108">
        <f t="shared" si="47"/>
        <v>1</v>
      </c>
      <c r="P2889" s="108"/>
      <c r="Q2889"/>
    </row>
    <row r="2890" spans="1:17" x14ac:dyDescent="0.25">
      <c r="A2890" s="89" t="s">
        <v>9907</v>
      </c>
      <c r="B2890" s="87" t="s">
        <v>9908</v>
      </c>
      <c r="C2890" s="87" t="s">
        <v>12</v>
      </c>
      <c r="D2890" s="87" t="str">
        <f>VLOOKUP(Tabela1[[#This Row],[Origem]], 'Perguntas 1 a 24'!$J$28:$K$34, 2, 0)</f>
        <v>Sudeste</v>
      </c>
      <c r="E2890" s="87" t="str">
        <f>Tabela1[[#This Row],[Descrição]]&amp;"-"&amp;Tabela1[[#This Row],[Código]]&amp;"/"&amp;Tabela1[[#This Row],[Origem]]</f>
        <v>Cedopupepi-H625P127/RJ</v>
      </c>
      <c r="F2890" s="88">
        <v>47236</v>
      </c>
      <c r="G2890" s="88" t="str" cm="1">
        <f t="array" ref="G28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AND(F2890&gt;= DATE(2026,1,1), F2890&lt;= DATE(2028, 12, 31), J2890&gt;50000), "Pendente e Caro", AND(F2890&gt;= DATE(2026,1,1), F2890&lt;= DATE(2028, 12, 31), J2890&lt;=50000), "Pendente", F2890&gt;= DATE(2029,1,1), "Não prioeitário")</f>
        <v>Não prioeitário</v>
      </c>
      <c r="H2890" s="89">
        <f>YEAR(Tabela1[[#This Row],[Data de Validade]])</f>
        <v>2029</v>
      </c>
      <c r="I2890" s="89">
        <f>MONTH(Tabela1[[#This Row],[Data de Validade]])</f>
        <v>4</v>
      </c>
      <c r="J2890" s="101">
        <v>68275</v>
      </c>
      <c r="K2890" s="87" t="s">
        <v>7</v>
      </c>
      <c r="L2890" s="108"/>
      <c r="M2890" s="108"/>
      <c r="N2890" s="108" t="str">
        <v>P716P782</v>
      </c>
      <c r="O2890" s="108">
        <f t="shared" si="47"/>
        <v>1</v>
      </c>
      <c r="P2890" s="108"/>
      <c r="Q2890"/>
    </row>
    <row r="2891" spans="1:17" x14ac:dyDescent="0.25">
      <c r="A2891" s="89" t="s">
        <v>6946</v>
      </c>
      <c r="B2891" s="87" t="s">
        <v>6947</v>
      </c>
      <c r="C2891" s="87" t="s">
        <v>16</v>
      </c>
      <c r="D2891" s="87" t="str">
        <f>VLOOKUP(Tabela1[[#This Row],[Origem]], 'Perguntas 1 a 24'!$J$28:$K$34, 2, 0)</f>
        <v>Sudeste</v>
      </c>
      <c r="E2891" s="87" t="str">
        <f>Tabela1[[#This Row],[Descrição]]&amp;"-"&amp;Tabela1[[#This Row],[Código]]&amp;"/"&amp;Tabela1[[#This Row],[Origem]]</f>
        <v>Medinumagi-P716P782/MG</v>
      </c>
      <c r="F2891" s="88">
        <v>47236</v>
      </c>
      <c r="G2891" s="88" t="str" cm="1">
        <f t="array" ref="G28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AND(F2891&gt;= DATE(2026,1,1), F2891&lt;= DATE(2028, 12, 31), J2891&gt;50000), "Pendente e Caro", AND(F2891&gt;= DATE(2026,1,1), F2891&lt;= DATE(2028, 12, 31), J2891&lt;=50000), "Pendente", F2891&gt;= DATE(2029,1,1), "Não prioeitário")</f>
        <v>Não prioeitário</v>
      </c>
      <c r="H2891" s="89">
        <f>YEAR(Tabela1[[#This Row],[Data de Validade]])</f>
        <v>2029</v>
      </c>
      <c r="I2891" s="89">
        <f>MONTH(Tabela1[[#This Row],[Data de Validade]])</f>
        <v>4</v>
      </c>
      <c r="J2891" s="101">
        <v>58624</v>
      </c>
      <c r="K2891" s="87" t="s">
        <v>14</v>
      </c>
      <c r="L2891" s="108"/>
      <c r="M2891" s="108"/>
      <c r="N2891" s="108" t="str">
        <v>P485P512</v>
      </c>
      <c r="O2891" s="108">
        <f t="shared" si="47"/>
        <v>1</v>
      </c>
      <c r="P2891" s="108"/>
      <c r="Q2891"/>
    </row>
    <row r="2892" spans="1:17" x14ac:dyDescent="0.25">
      <c r="A2892" s="89" t="s">
        <v>5218</v>
      </c>
      <c r="B2892" s="87" t="s">
        <v>5219</v>
      </c>
      <c r="C2892" s="87" t="s">
        <v>10</v>
      </c>
      <c r="D2892" s="87" t="str">
        <f>VLOOKUP(Tabela1[[#This Row],[Origem]], 'Perguntas 1 a 24'!$J$28:$K$34, 2, 0)</f>
        <v>Centro-Oeste</v>
      </c>
      <c r="E2892" s="87" t="str">
        <f>Tabela1[[#This Row],[Descrição]]&amp;"-"&amp;Tabela1[[#This Row],[Código]]&amp;"/"&amp;Tabela1[[#This Row],[Origem]]</f>
        <v>Cicelo-P485P512/GO</v>
      </c>
      <c r="F2892" s="88">
        <v>47236</v>
      </c>
      <c r="G2892" s="88" t="str" cm="1">
        <f t="array" ref="G28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AND(F2892&gt;= DATE(2026,1,1), F2892&lt;= DATE(2028, 12, 31), J2892&gt;50000), "Pendente e Caro", AND(F2892&gt;= DATE(2026,1,1), F2892&lt;= DATE(2028, 12, 31), J2892&lt;=50000), "Pendente", F2892&gt;= DATE(2029,1,1), "Não prioeitário")</f>
        <v>Não prioeitário</v>
      </c>
      <c r="H2892" s="89">
        <f>YEAR(Tabela1[[#This Row],[Data de Validade]])</f>
        <v>2029</v>
      </c>
      <c r="I2892" s="89">
        <f>MONTH(Tabela1[[#This Row],[Data de Validade]])</f>
        <v>4</v>
      </c>
      <c r="J2892" s="101">
        <v>41577</v>
      </c>
      <c r="K2892" s="87" t="s">
        <v>7</v>
      </c>
      <c r="L2892" s="108"/>
      <c r="M2892" s="108"/>
      <c r="N2892" s="108" t="str">
        <v>P587P256</v>
      </c>
      <c r="O2892" s="108">
        <f t="shared" si="47"/>
        <v>1</v>
      </c>
      <c r="P2892" s="108"/>
      <c r="Q2892"/>
    </row>
    <row r="2893" spans="1:17" x14ac:dyDescent="0.25">
      <c r="A2893" s="89" t="s">
        <v>7734</v>
      </c>
      <c r="B2893" s="87" t="s">
        <v>7735</v>
      </c>
      <c r="C2893" s="87" t="s">
        <v>10</v>
      </c>
      <c r="D2893" s="87" t="str">
        <f>VLOOKUP(Tabela1[[#This Row],[Origem]], 'Perguntas 1 a 24'!$J$28:$K$34, 2, 0)</f>
        <v>Centro-Oeste</v>
      </c>
      <c r="E2893" s="87" t="str">
        <f>Tabela1[[#This Row],[Descrição]]&amp;"-"&amp;Tabela1[[#This Row],[Código]]&amp;"/"&amp;Tabela1[[#This Row],[Origem]]</f>
        <v>Nipolaru-P587P256/GO</v>
      </c>
      <c r="F2893" s="88">
        <v>47237</v>
      </c>
      <c r="G2893" s="88" t="str" cm="1">
        <f t="array" ref="G28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AND(F2893&gt;= DATE(2026,1,1), F2893&lt;= DATE(2028, 12, 31), J2893&gt;50000), "Pendente e Caro", AND(F2893&gt;= DATE(2026,1,1), F2893&lt;= DATE(2028, 12, 31), J2893&lt;=50000), "Pendente", F2893&gt;= DATE(2029,1,1), "Não prioeitário")</f>
        <v>Não prioeitário</v>
      </c>
      <c r="H2893" s="89">
        <f>YEAR(Tabela1[[#This Row],[Data de Validade]])</f>
        <v>2029</v>
      </c>
      <c r="I2893" s="89">
        <f>MONTH(Tabela1[[#This Row],[Data de Validade]])</f>
        <v>4</v>
      </c>
      <c r="J2893" s="101">
        <v>39236</v>
      </c>
      <c r="K2893" s="87" t="s">
        <v>11</v>
      </c>
      <c r="L2893" s="108"/>
      <c r="M2893" s="108"/>
      <c r="N2893" s="108" t="str">
        <v>P838P467</v>
      </c>
      <c r="O2893" s="108">
        <f t="shared" si="47"/>
        <v>1</v>
      </c>
      <c r="P2893" s="108"/>
      <c r="Q2893"/>
    </row>
    <row r="2894" spans="1:17" x14ac:dyDescent="0.25">
      <c r="A2894" s="89" t="s">
        <v>5830</v>
      </c>
      <c r="B2894" s="87" t="s">
        <v>5831</v>
      </c>
      <c r="C2894" s="87" t="s">
        <v>15</v>
      </c>
      <c r="D2894" s="87" t="str">
        <f>VLOOKUP(Tabela1[[#This Row],[Origem]], 'Perguntas 1 a 24'!$J$28:$K$34, 2, 0)</f>
        <v>Sudeste</v>
      </c>
      <c r="E2894" s="87" t="str">
        <f>Tabela1[[#This Row],[Descrição]]&amp;"-"&amp;Tabela1[[#This Row],[Código]]&amp;"/"&amp;Tabela1[[#This Row],[Origem]]</f>
        <v>Vogefo-P838P467/ES</v>
      </c>
      <c r="F2894" s="88">
        <v>47237</v>
      </c>
      <c r="G2894" s="88" t="str" cm="1">
        <f t="array" ref="G28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AND(F2894&gt;= DATE(2026,1,1), F2894&lt;= DATE(2028, 12, 31), J2894&gt;50000), "Pendente e Caro", AND(F2894&gt;= DATE(2026,1,1), F2894&lt;= DATE(2028, 12, 31), J2894&lt;=50000), "Pendente", F2894&gt;= DATE(2029,1,1), "Não prioeitário")</f>
        <v>Não prioeitário</v>
      </c>
      <c r="H2894" s="89">
        <f>YEAR(Tabela1[[#This Row],[Data de Validade]])</f>
        <v>2029</v>
      </c>
      <c r="I2894" s="89">
        <f>MONTH(Tabela1[[#This Row],[Data de Validade]])</f>
        <v>4</v>
      </c>
      <c r="J2894" s="101">
        <v>24263</v>
      </c>
      <c r="K2894" s="87" t="s">
        <v>7</v>
      </c>
      <c r="L2894" s="108"/>
      <c r="M2894" s="108"/>
      <c r="N2894" s="108" t="str">
        <v>H735P463</v>
      </c>
      <c r="O2894" s="108">
        <f t="shared" si="47"/>
        <v>1</v>
      </c>
      <c r="P2894" s="108"/>
      <c r="Q2894"/>
    </row>
    <row r="2895" spans="1:17" x14ac:dyDescent="0.25">
      <c r="A2895" s="89" t="s">
        <v>7220</v>
      </c>
      <c r="B2895" s="87" t="s">
        <v>7221</v>
      </c>
      <c r="C2895" s="87" t="s">
        <v>13</v>
      </c>
      <c r="D2895" s="87" t="str">
        <f>VLOOKUP(Tabela1[[#This Row],[Origem]], 'Perguntas 1 a 24'!$J$28:$K$34, 2, 0)</f>
        <v>Sudeste</v>
      </c>
      <c r="E2895" s="87" t="str">
        <f>Tabela1[[#This Row],[Descrição]]&amp;"-"&amp;Tabela1[[#This Row],[Código]]&amp;"/"&amp;Tabela1[[#This Row],[Origem]]</f>
        <v>Tumepela-H735P463/SP</v>
      </c>
      <c r="F2895" s="88">
        <v>47238</v>
      </c>
      <c r="G2895" s="88" t="str" cm="1">
        <f t="array" ref="G28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AND(F2895&gt;= DATE(2026,1,1), F2895&lt;= DATE(2028, 12, 31), J2895&gt;50000), "Pendente e Caro", AND(F2895&gt;= DATE(2026,1,1), F2895&lt;= DATE(2028, 12, 31), J2895&lt;=50000), "Pendente", F2895&gt;= DATE(2029,1,1), "Não prioeitário")</f>
        <v>Não prioeitário</v>
      </c>
      <c r="H2895" s="89">
        <f>YEAR(Tabela1[[#This Row],[Data de Validade]])</f>
        <v>2029</v>
      </c>
      <c r="I2895" s="89">
        <f>MONTH(Tabela1[[#This Row],[Data de Validade]])</f>
        <v>4</v>
      </c>
      <c r="J2895" s="101">
        <v>107327</v>
      </c>
      <c r="K2895" s="87" t="s">
        <v>11</v>
      </c>
      <c r="L2895" s="108"/>
      <c r="M2895" s="108"/>
      <c r="N2895" s="108" t="str">
        <v>H528H674</v>
      </c>
      <c r="O2895" s="108">
        <f t="shared" si="47"/>
        <v>1</v>
      </c>
      <c r="P2895" s="108"/>
      <c r="Q2895"/>
    </row>
    <row r="2896" spans="1:17" x14ac:dyDescent="0.25">
      <c r="A2896" s="89" t="s">
        <v>9821</v>
      </c>
      <c r="B2896" s="87" t="s">
        <v>9822</v>
      </c>
      <c r="C2896" s="87" t="s">
        <v>16</v>
      </c>
      <c r="D2896" s="87" t="str">
        <f>VLOOKUP(Tabela1[[#This Row],[Origem]], 'Perguntas 1 a 24'!$J$28:$K$34, 2, 0)</f>
        <v>Sudeste</v>
      </c>
      <c r="E2896" s="87" t="str">
        <f>Tabela1[[#This Row],[Descrição]]&amp;"-"&amp;Tabela1[[#This Row],[Código]]&amp;"/"&amp;Tabela1[[#This Row],[Origem]]</f>
        <v>Getudedapu-H528H674/MG</v>
      </c>
      <c r="F2896" s="88">
        <v>47238</v>
      </c>
      <c r="G2896" s="88" t="str" cm="1">
        <f t="array" ref="G28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AND(F2896&gt;= DATE(2026,1,1), F2896&lt;= DATE(2028, 12, 31), J2896&gt;50000), "Pendente e Caro", AND(F2896&gt;= DATE(2026,1,1), F2896&lt;= DATE(2028, 12, 31), J2896&lt;=50000), "Pendente", F2896&gt;= DATE(2029,1,1), "Não prioeitário")</f>
        <v>Não prioeitário</v>
      </c>
      <c r="H2896" s="89">
        <f>YEAR(Tabela1[[#This Row],[Data de Validade]])</f>
        <v>2029</v>
      </c>
      <c r="I2896" s="89">
        <f>MONTH(Tabela1[[#This Row],[Data de Validade]])</f>
        <v>4</v>
      </c>
      <c r="J2896" s="101">
        <v>91571</v>
      </c>
      <c r="K2896" s="87" t="s">
        <v>7</v>
      </c>
      <c r="L2896" s="108"/>
      <c r="M2896" s="108"/>
      <c r="N2896" s="108" t="str">
        <v>P734P263</v>
      </c>
      <c r="O2896" s="108">
        <f t="shared" si="47"/>
        <v>1</v>
      </c>
      <c r="P2896" s="108"/>
      <c r="Q2896"/>
    </row>
    <row r="2897" spans="1:17" x14ac:dyDescent="0.25">
      <c r="A2897" s="89" t="s">
        <v>11022</v>
      </c>
      <c r="B2897" s="87" t="s">
        <v>11023</v>
      </c>
      <c r="C2897" s="87" t="s">
        <v>13</v>
      </c>
      <c r="D2897" s="87" t="str">
        <f>VLOOKUP(Tabela1[[#This Row],[Origem]], 'Perguntas 1 a 24'!$J$28:$K$34, 2, 0)</f>
        <v>Sudeste</v>
      </c>
      <c r="E2897" s="87" t="str">
        <f>Tabela1[[#This Row],[Descrição]]&amp;"-"&amp;Tabela1[[#This Row],[Código]]&amp;"/"&amp;Tabela1[[#This Row],[Origem]]</f>
        <v>Lidopotedo-P734P263/SP</v>
      </c>
      <c r="F2897" s="88">
        <v>47239</v>
      </c>
      <c r="G2897" s="88" t="str" cm="1">
        <f t="array" ref="G28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AND(F2897&gt;= DATE(2026,1,1), F2897&lt;= DATE(2028, 12, 31), J2897&gt;50000), "Pendente e Caro", AND(F2897&gt;= DATE(2026,1,1), F2897&lt;= DATE(2028, 12, 31), J2897&lt;=50000), "Pendente", F2897&gt;= DATE(2029,1,1), "Não prioeitário")</f>
        <v>Não prioeitário</v>
      </c>
      <c r="H2897" s="89">
        <f>YEAR(Tabela1[[#This Row],[Data de Validade]])</f>
        <v>2029</v>
      </c>
      <c r="I2897" s="89">
        <f>MONTH(Tabela1[[#This Row],[Data de Validade]])</f>
        <v>5</v>
      </c>
      <c r="J2897" s="101">
        <v>79684</v>
      </c>
      <c r="K2897" s="87" t="s">
        <v>14</v>
      </c>
      <c r="L2897" s="108"/>
      <c r="M2897" s="108"/>
      <c r="N2897" s="108" t="str">
        <v>H128P428</v>
      </c>
      <c r="O2897" s="108">
        <f t="shared" si="47"/>
        <v>1</v>
      </c>
      <c r="P2897" s="108"/>
      <c r="Q2897"/>
    </row>
    <row r="2898" spans="1:17" x14ac:dyDescent="0.25">
      <c r="A2898" s="89" t="s">
        <v>4920</v>
      </c>
      <c r="B2898" s="87" t="s">
        <v>4921</v>
      </c>
      <c r="C2898" s="87" t="s">
        <v>16</v>
      </c>
      <c r="D2898" s="87" t="str">
        <f>VLOOKUP(Tabela1[[#This Row],[Origem]], 'Perguntas 1 a 24'!$J$28:$K$34, 2, 0)</f>
        <v>Sudeste</v>
      </c>
      <c r="E2898" s="87" t="str">
        <f>Tabela1[[#This Row],[Descrição]]&amp;"-"&amp;Tabela1[[#This Row],[Código]]&amp;"/"&amp;Tabela1[[#This Row],[Origem]]</f>
        <v>Pecepome-H128P428/MG</v>
      </c>
      <c r="F2898" s="88">
        <v>47239</v>
      </c>
      <c r="G2898" s="88" t="str" cm="1">
        <f t="array" ref="G28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AND(F2898&gt;= DATE(2026,1,1), F2898&lt;= DATE(2028, 12, 31), J2898&gt;50000), "Pendente e Caro", AND(F2898&gt;= DATE(2026,1,1), F2898&lt;= DATE(2028, 12, 31), J2898&lt;=50000), "Pendente", F2898&gt;= DATE(2029,1,1), "Não prioeitário")</f>
        <v>Não prioeitário</v>
      </c>
      <c r="H2898" s="89">
        <f>YEAR(Tabela1[[#This Row],[Data de Validade]])</f>
        <v>2029</v>
      </c>
      <c r="I2898" s="89">
        <f>MONTH(Tabela1[[#This Row],[Data de Validade]])</f>
        <v>5</v>
      </c>
      <c r="J2898" s="101">
        <v>57604</v>
      </c>
      <c r="K2898" s="87" t="s">
        <v>11</v>
      </c>
      <c r="L2898" s="108"/>
      <c r="M2898" s="108"/>
      <c r="N2898" s="108" t="str">
        <v>H811H164</v>
      </c>
      <c r="O2898" s="108">
        <f t="shared" si="47"/>
        <v>1</v>
      </c>
      <c r="P2898" s="108"/>
      <c r="Q2898"/>
    </row>
    <row r="2899" spans="1:17" x14ac:dyDescent="0.25">
      <c r="A2899" s="89" t="s">
        <v>9435</v>
      </c>
      <c r="B2899" s="87" t="s">
        <v>9436</v>
      </c>
      <c r="C2899" s="87" t="s">
        <v>13</v>
      </c>
      <c r="D2899" s="87" t="str">
        <f>VLOOKUP(Tabela1[[#This Row],[Origem]], 'Perguntas 1 a 24'!$J$28:$K$34, 2, 0)</f>
        <v>Sudeste</v>
      </c>
      <c r="E2899" s="87" t="str">
        <f>Tabela1[[#This Row],[Descrição]]&amp;"-"&amp;Tabela1[[#This Row],[Código]]&amp;"/"&amp;Tabela1[[#This Row],[Origem]]</f>
        <v>Dudofemapu-H811H164/SP</v>
      </c>
      <c r="F2899" s="88">
        <v>47239</v>
      </c>
      <c r="G2899" s="88" t="str" cm="1">
        <f t="array" ref="G28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AND(F2899&gt;= DATE(2026,1,1), F2899&lt;= DATE(2028, 12, 31), J2899&gt;50000), "Pendente e Caro", AND(F2899&gt;= DATE(2026,1,1), F2899&lt;= DATE(2028, 12, 31), J2899&lt;=50000), "Pendente", F2899&gt;= DATE(2029,1,1), "Não prioeitário")</f>
        <v>Não prioeitário</v>
      </c>
      <c r="H2899" s="89">
        <f>YEAR(Tabela1[[#This Row],[Data de Validade]])</f>
        <v>2029</v>
      </c>
      <c r="I2899" s="89">
        <f>MONTH(Tabela1[[#This Row],[Data de Validade]])</f>
        <v>5</v>
      </c>
      <c r="J2899" s="101">
        <v>24796</v>
      </c>
      <c r="K2899" s="87" t="s">
        <v>9</v>
      </c>
      <c r="L2899" s="108"/>
      <c r="M2899" s="108"/>
      <c r="N2899" s="108" t="str">
        <v>P552H365</v>
      </c>
      <c r="O2899" s="108">
        <f t="shared" si="47"/>
        <v>1</v>
      </c>
      <c r="P2899" s="108"/>
      <c r="Q2899"/>
    </row>
    <row r="2900" spans="1:17" x14ac:dyDescent="0.25">
      <c r="A2900" s="89" t="s">
        <v>5898</v>
      </c>
      <c r="B2900" s="87" t="s">
        <v>5899</v>
      </c>
      <c r="C2900" s="87" t="s">
        <v>10</v>
      </c>
      <c r="D2900" s="87" t="str">
        <f>VLOOKUP(Tabela1[[#This Row],[Origem]], 'Perguntas 1 a 24'!$J$28:$K$34, 2, 0)</f>
        <v>Centro-Oeste</v>
      </c>
      <c r="E2900" s="87" t="str">
        <f>Tabela1[[#This Row],[Descrição]]&amp;"-"&amp;Tabela1[[#This Row],[Código]]&amp;"/"&amp;Tabela1[[#This Row],[Origem]]</f>
        <v>Vipefa-P552H365/GO</v>
      </c>
      <c r="F2900" s="88">
        <v>47240</v>
      </c>
      <c r="G2900" s="88" t="str" cm="1">
        <f t="array" ref="G29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AND(F2900&gt;= DATE(2026,1,1), F2900&lt;= DATE(2028, 12, 31), J2900&gt;50000), "Pendente e Caro", AND(F2900&gt;= DATE(2026,1,1), F2900&lt;= DATE(2028, 12, 31), J2900&lt;=50000), "Pendente", F2900&gt;= DATE(2029,1,1), "Não prioeitário")</f>
        <v>Não prioeitário</v>
      </c>
      <c r="H2900" s="89">
        <f>YEAR(Tabela1[[#This Row],[Data de Validade]])</f>
        <v>2029</v>
      </c>
      <c r="I2900" s="89">
        <f>MONTH(Tabela1[[#This Row],[Data de Validade]])</f>
        <v>5</v>
      </c>
      <c r="J2900" s="101">
        <v>92720</v>
      </c>
      <c r="K2900" s="87" t="s">
        <v>11</v>
      </c>
      <c r="L2900" s="108"/>
      <c r="M2900" s="108"/>
      <c r="N2900" s="108" t="str">
        <v>P366P378</v>
      </c>
      <c r="O2900" s="108">
        <f t="shared" si="47"/>
        <v>1</v>
      </c>
      <c r="P2900" s="108"/>
      <c r="Q2900"/>
    </row>
    <row r="2901" spans="1:17" x14ac:dyDescent="0.25">
      <c r="A2901" s="89" t="s">
        <v>10557</v>
      </c>
      <c r="B2901" s="87" t="s">
        <v>10558</v>
      </c>
      <c r="C2901" s="87" t="s">
        <v>6</v>
      </c>
      <c r="D2901" s="87" t="str">
        <f>VLOOKUP(Tabela1[[#This Row],[Origem]], 'Perguntas 1 a 24'!$J$28:$K$34, 2, 0)</f>
        <v>Nordeste</v>
      </c>
      <c r="E2901" s="87" t="str">
        <f>Tabela1[[#This Row],[Descrição]]&amp;"-"&amp;Tabela1[[#This Row],[Código]]&amp;"/"&amp;Tabela1[[#This Row],[Origem]]</f>
        <v>Rapivumu-P366P378/MA</v>
      </c>
      <c r="F2901" s="88">
        <v>47240</v>
      </c>
      <c r="G2901" s="88" t="str" cm="1">
        <f t="array" ref="G29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AND(F2901&gt;= DATE(2026,1,1), F2901&lt;= DATE(2028, 12, 31), J2901&gt;50000), "Pendente e Caro", AND(F2901&gt;= DATE(2026,1,1), F2901&lt;= DATE(2028, 12, 31), J2901&lt;=50000), "Pendente", F2901&gt;= DATE(2029,1,1), "Não prioeitário")</f>
        <v>Não prioeitário</v>
      </c>
      <c r="H2901" s="89">
        <f>YEAR(Tabela1[[#This Row],[Data de Validade]])</f>
        <v>2029</v>
      </c>
      <c r="I2901" s="89">
        <f>MONTH(Tabela1[[#This Row],[Data de Validade]])</f>
        <v>5</v>
      </c>
      <c r="J2901" s="101">
        <v>73659</v>
      </c>
      <c r="K2901" s="87" t="s">
        <v>14</v>
      </c>
      <c r="L2901" s="108"/>
      <c r="M2901" s="108"/>
      <c r="N2901" s="108" t="str">
        <v>P885P559</v>
      </c>
      <c r="O2901" s="108">
        <f t="shared" si="47"/>
        <v>1</v>
      </c>
      <c r="P2901" s="108"/>
      <c r="Q2901"/>
    </row>
    <row r="2902" spans="1:17" x14ac:dyDescent="0.25">
      <c r="A2902" s="89" t="s">
        <v>8993</v>
      </c>
      <c r="B2902" s="87" t="s">
        <v>8994</v>
      </c>
      <c r="C2902" s="87" t="s">
        <v>15</v>
      </c>
      <c r="D2902" s="87" t="str">
        <f>VLOOKUP(Tabela1[[#This Row],[Origem]], 'Perguntas 1 a 24'!$J$28:$K$34, 2, 0)</f>
        <v>Sudeste</v>
      </c>
      <c r="E2902" s="87" t="str">
        <f>Tabela1[[#This Row],[Descrição]]&amp;"-"&amp;Tabela1[[#This Row],[Código]]&amp;"/"&amp;Tabela1[[#This Row],[Origem]]</f>
        <v>Tevefalapi-P885P559/ES</v>
      </c>
      <c r="F2902" s="88">
        <v>47240</v>
      </c>
      <c r="G2902" s="88" t="str" cm="1">
        <f t="array" ref="G29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AND(F2902&gt;= DATE(2026,1,1), F2902&lt;= DATE(2028, 12, 31), J2902&gt;50000), "Pendente e Caro", AND(F2902&gt;= DATE(2026,1,1), F2902&lt;= DATE(2028, 12, 31), J2902&lt;=50000), "Pendente", F2902&gt;= DATE(2029,1,1), "Não prioeitário")</f>
        <v>Não prioeitário</v>
      </c>
      <c r="H2902" s="89">
        <f>YEAR(Tabela1[[#This Row],[Data de Validade]])</f>
        <v>2029</v>
      </c>
      <c r="I2902" s="89">
        <f>MONTH(Tabela1[[#This Row],[Data de Validade]])</f>
        <v>5</v>
      </c>
      <c r="J2902" s="101">
        <v>73030</v>
      </c>
      <c r="K2902" s="87" t="s">
        <v>9</v>
      </c>
      <c r="L2902" s="108"/>
      <c r="M2902" s="108"/>
      <c r="N2902" s="108" t="str">
        <v>H664H484</v>
      </c>
      <c r="O2902" s="108">
        <f t="shared" si="47"/>
        <v>1</v>
      </c>
      <c r="P2902" s="108"/>
      <c r="Q2902"/>
    </row>
    <row r="2903" spans="1:17" x14ac:dyDescent="0.25">
      <c r="A2903" s="89" t="s">
        <v>8559</v>
      </c>
      <c r="B2903" s="87" t="s">
        <v>8560</v>
      </c>
      <c r="C2903" s="87" t="s">
        <v>13</v>
      </c>
      <c r="D2903" s="87" t="str">
        <f>VLOOKUP(Tabela1[[#This Row],[Origem]], 'Perguntas 1 a 24'!$J$28:$K$34, 2, 0)</f>
        <v>Sudeste</v>
      </c>
      <c r="E2903" s="87" t="str">
        <f>Tabela1[[#This Row],[Descrição]]&amp;"-"&amp;Tabela1[[#This Row],[Código]]&amp;"/"&amp;Tabela1[[#This Row],[Origem]]</f>
        <v>Gutomo-H664H484/SP</v>
      </c>
      <c r="F2903" s="88">
        <v>47240</v>
      </c>
      <c r="G2903" s="88" t="str" cm="1">
        <f t="array" ref="G29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AND(F2903&gt;= DATE(2026,1,1), F2903&lt;= DATE(2028, 12, 31), J2903&gt;50000), "Pendente e Caro", AND(F2903&gt;= DATE(2026,1,1), F2903&lt;= DATE(2028, 12, 31), J2903&lt;=50000), "Pendente", F2903&gt;= DATE(2029,1,1), "Não prioeitário")</f>
        <v>Não prioeitário</v>
      </c>
      <c r="H2903" s="89">
        <f>YEAR(Tabela1[[#This Row],[Data de Validade]])</f>
        <v>2029</v>
      </c>
      <c r="I2903" s="89">
        <f>MONTH(Tabela1[[#This Row],[Data de Validade]])</f>
        <v>5</v>
      </c>
      <c r="J2903" s="101">
        <v>43349</v>
      </c>
      <c r="K2903" s="87" t="s">
        <v>14</v>
      </c>
      <c r="L2903" s="108"/>
      <c r="M2903" s="108"/>
      <c r="N2903" s="108" t="str">
        <v>P764P745</v>
      </c>
      <c r="O2903" s="108">
        <f t="shared" si="47"/>
        <v>1</v>
      </c>
      <c r="P2903" s="108"/>
      <c r="Q2903"/>
    </row>
    <row r="2904" spans="1:17" x14ac:dyDescent="0.25">
      <c r="A2904" s="89" t="s">
        <v>11006</v>
      </c>
      <c r="B2904" s="87" t="s">
        <v>11007</v>
      </c>
      <c r="C2904" s="87" t="s">
        <v>15</v>
      </c>
      <c r="D2904" s="87" t="str">
        <f>VLOOKUP(Tabela1[[#This Row],[Origem]], 'Perguntas 1 a 24'!$J$28:$K$34, 2, 0)</f>
        <v>Sudeste</v>
      </c>
      <c r="E2904" s="87" t="str">
        <f>Tabela1[[#This Row],[Descrição]]&amp;"-"&amp;Tabela1[[#This Row],[Código]]&amp;"/"&amp;Tabela1[[#This Row],[Origem]]</f>
        <v>Tetemi-P764P745/ES</v>
      </c>
      <c r="F2904" s="88">
        <v>47240</v>
      </c>
      <c r="G2904" s="88" t="str" cm="1">
        <f t="array" ref="G29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AND(F2904&gt;= DATE(2026,1,1), F2904&lt;= DATE(2028, 12, 31), J2904&gt;50000), "Pendente e Caro", AND(F2904&gt;= DATE(2026,1,1), F2904&lt;= DATE(2028, 12, 31), J2904&lt;=50000), "Pendente", F2904&gt;= DATE(2029,1,1), "Não prioeitário")</f>
        <v>Não prioeitário</v>
      </c>
      <c r="H2904" s="89">
        <f>YEAR(Tabela1[[#This Row],[Data de Validade]])</f>
        <v>2029</v>
      </c>
      <c r="I2904" s="89">
        <f>MONTH(Tabela1[[#This Row],[Data de Validade]])</f>
        <v>5</v>
      </c>
      <c r="J2904" s="101">
        <v>26619</v>
      </c>
      <c r="K2904" s="87" t="s">
        <v>9</v>
      </c>
      <c r="L2904" s="108"/>
      <c r="M2904" s="108"/>
      <c r="N2904" s="108" t="str">
        <v>H993P574</v>
      </c>
      <c r="O2904" s="108">
        <f t="shared" si="47"/>
        <v>1</v>
      </c>
      <c r="P2904" s="108"/>
      <c r="Q2904"/>
    </row>
    <row r="2905" spans="1:17" x14ac:dyDescent="0.25">
      <c r="A2905" s="89" t="s">
        <v>6152</v>
      </c>
      <c r="B2905" s="87" t="s">
        <v>6153</v>
      </c>
      <c r="C2905" s="87" t="s">
        <v>6</v>
      </c>
      <c r="D2905" s="87" t="str">
        <f>VLOOKUP(Tabela1[[#This Row],[Origem]], 'Perguntas 1 a 24'!$J$28:$K$34, 2, 0)</f>
        <v>Nordeste</v>
      </c>
      <c r="E2905" s="87" t="str">
        <f>Tabela1[[#This Row],[Descrição]]&amp;"-"&amp;Tabela1[[#This Row],[Código]]&amp;"/"&amp;Tabela1[[#This Row],[Origem]]</f>
        <v>Penalipupu-H993P574/MA</v>
      </c>
      <c r="F2905" s="88">
        <v>47240</v>
      </c>
      <c r="G2905" s="88" t="str" cm="1">
        <f t="array" ref="G29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AND(F2905&gt;= DATE(2026,1,1), F2905&lt;= DATE(2028, 12, 31), J2905&gt;50000), "Pendente e Caro", AND(F2905&gt;= DATE(2026,1,1), F2905&lt;= DATE(2028, 12, 31), J2905&lt;=50000), "Pendente", F2905&gt;= DATE(2029,1,1), "Não prioeitário")</f>
        <v>Não prioeitário</v>
      </c>
      <c r="H2905" s="89">
        <f>YEAR(Tabela1[[#This Row],[Data de Validade]])</f>
        <v>2029</v>
      </c>
      <c r="I2905" s="89">
        <f>MONTH(Tabela1[[#This Row],[Data de Validade]])</f>
        <v>5</v>
      </c>
      <c r="J2905" s="101">
        <v>21360</v>
      </c>
      <c r="K2905" s="87" t="s">
        <v>11</v>
      </c>
      <c r="L2905" s="108"/>
      <c r="M2905" s="108"/>
      <c r="N2905" s="108" t="str">
        <v>H763P383</v>
      </c>
      <c r="O2905" s="108">
        <f t="shared" si="47"/>
        <v>1</v>
      </c>
      <c r="P2905" s="108"/>
      <c r="Q2905"/>
    </row>
    <row r="2906" spans="1:17" x14ac:dyDescent="0.25">
      <c r="A2906" s="89" t="s">
        <v>6470</v>
      </c>
      <c r="B2906" s="87" t="s">
        <v>6471</v>
      </c>
      <c r="C2906" s="87" t="s">
        <v>13</v>
      </c>
      <c r="D2906" s="87" t="str">
        <f>VLOOKUP(Tabela1[[#This Row],[Origem]], 'Perguntas 1 a 24'!$J$28:$K$34, 2, 0)</f>
        <v>Sudeste</v>
      </c>
      <c r="E2906" s="87" t="str">
        <f>Tabela1[[#This Row],[Descrição]]&amp;"-"&amp;Tabela1[[#This Row],[Código]]&amp;"/"&amp;Tabela1[[#This Row],[Origem]]</f>
        <v>Pepegucono-H763P383/SP</v>
      </c>
      <c r="F2906" s="88">
        <v>47241</v>
      </c>
      <c r="G2906" s="88" t="str" cm="1">
        <f t="array" ref="G29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AND(F2906&gt;= DATE(2026,1,1), F2906&lt;= DATE(2028, 12, 31), J2906&gt;50000), "Pendente e Caro", AND(F2906&gt;= DATE(2026,1,1), F2906&lt;= DATE(2028, 12, 31), J2906&lt;=50000), "Pendente", F2906&gt;= DATE(2029,1,1), "Não prioeitário")</f>
        <v>Não prioeitário</v>
      </c>
      <c r="H2906" s="89">
        <f>YEAR(Tabela1[[#This Row],[Data de Validade]])</f>
        <v>2029</v>
      </c>
      <c r="I2906" s="89">
        <f>MONTH(Tabela1[[#This Row],[Data de Validade]])</f>
        <v>5</v>
      </c>
      <c r="J2906" s="101">
        <v>101015</v>
      </c>
      <c r="K2906" s="87" t="s">
        <v>14</v>
      </c>
      <c r="L2906" s="108"/>
      <c r="M2906" s="108"/>
      <c r="N2906" s="108" t="str">
        <v>P233P365</v>
      </c>
      <c r="O2906" s="108">
        <f t="shared" si="47"/>
        <v>1</v>
      </c>
      <c r="P2906" s="108"/>
      <c r="Q2906"/>
    </row>
    <row r="2907" spans="1:17" x14ac:dyDescent="0.25">
      <c r="A2907" s="89" t="s">
        <v>5434</v>
      </c>
      <c r="B2907" s="87" t="s">
        <v>5435</v>
      </c>
      <c r="C2907" s="87" t="s">
        <v>8</v>
      </c>
      <c r="D2907" s="87" t="str">
        <f>VLOOKUP(Tabela1[[#This Row],[Origem]], 'Perguntas 1 a 24'!$J$28:$K$34, 2, 0)</f>
        <v>Nordeste</v>
      </c>
      <c r="E2907" s="87" t="str">
        <f>Tabela1[[#This Row],[Descrição]]&amp;"-"&amp;Tabela1[[#This Row],[Código]]&amp;"/"&amp;Tabela1[[#This Row],[Origem]]</f>
        <v>Vineputu-P233P365/AL</v>
      </c>
      <c r="F2907" s="88">
        <v>47241</v>
      </c>
      <c r="G2907" s="88" t="str" cm="1">
        <f t="array" ref="G29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AND(F2907&gt;= DATE(2026,1,1), F2907&lt;= DATE(2028, 12, 31), J2907&gt;50000), "Pendente e Caro", AND(F2907&gt;= DATE(2026,1,1), F2907&lt;= DATE(2028, 12, 31), J2907&lt;=50000), "Pendente", F2907&gt;= DATE(2029,1,1), "Não prioeitário")</f>
        <v>Não prioeitário</v>
      </c>
      <c r="H2907" s="89">
        <f>YEAR(Tabela1[[#This Row],[Data de Validade]])</f>
        <v>2029</v>
      </c>
      <c r="I2907" s="89">
        <f>MONTH(Tabela1[[#This Row],[Data de Validade]])</f>
        <v>5</v>
      </c>
      <c r="J2907" s="101">
        <v>97358</v>
      </c>
      <c r="K2907" s="87" t="s">
        <v>9</v>
      </c>
      <c r="L2907" s="108"/>
      <c r="M2907" s="108"/>
      <c r="N2907" s="108" t="str">
        <v>P218H662</v>
      </c>
      <c r="O2907" s="108">
        <f t="shared" si="47"/>
        <v>1</v>
      </c>
      <c r="P2907" s="108"/>
      <c r="Q2907"/>
    </row>
    <row r="2908" spans="1:17" x14ac:dyDescent="0.25">
      <c r="A2908" s="89" t="s">
        <v>8468</v>
      </c>
      <c r="B2908" s="87" t="s">
        <v>8469</v>
      </c>
      <c r="C2908" s="87" t="s">
        <v>8</v>
      </c>
      <c r="D2908" s="87" t="str">
        <f>VLOOKUP(Tabela1[[#This Row],[Origem]], 'Perguntas 1 a 24'!$J$28:$K$34, 2, 0)</f>
        <v>Nordeste</v>
      </c>
      <c r="E2908" s="87" t="str">
        <f>Tabela1[[#This Row],[Descrição]]&amp;"-"&amp;Tabela1[[#This Row],[Código]]&amp;"/"&amp;Tabela1[[#This Row],[Origem]]</f>
        <v>Pagorapule-P218H662/AL</v>
      </c>
      <c r="F2908" s="88">
        <v>47241</v>
      </c>
      <c r="G2908" s="88" t="str" cm="1">
        <f t="array" ref="G29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AND(F2908&gt;= DATE(2026,1,1), F2908&lt;= DATE(2028, 12, 31), J2908&gt;50000), "Pendente e Caro", AND(F2908&gt;= DATE(2026,1,1), F2908&lt;= DATE(2028, 12, 31), J2908&lt;=50000), "Pendente", F2908&gt;= DATE(2029,1,1), "Não prioeitário")</f>
        <v>Não prioeitário</v>
      </c>
      <c r="H2908" s="89">
        <f>YEAR(Tabela1[[#This Row],[Data de Validade]])</f>
        <v>2029</v>
      </c>
      <c r="I2908" s="89">
        <f>MONTH(Tabela1[[#This Row],[Data de Validade]])</f>
        <v>5</v>
      </c>
      <c r="J2908" s="101">
        <v>84816</v>
      </c>
      <c r="K2908" s="87" t="s">
        <v>9</v>
      </c>
      <c r="L2908" s="108"/>
      <c r="M2908" s="108"/>
      <c r="N2908" s="108" t="str">
        <v>H945P721</v>
      </c>
      <c r="O2908" s="108">
        <f t="shared" si="47"/>
        <v>1</v>
      </c>
      <c r="P2908" s="108"/>
      <c r="Q2908"/>
    </row>
    <row r="2909" spans="1:17" x14ac:dyDescent="0.25">
      <c r="A2909" s="89" t="s">
        <v>5862</v>
      </c>
      <c r="B2909" s="87" t="s">
        <v>5863</v>
      </c>
      <c r="C2909" s="87" t="s">
        <v>16</v>
      </c>
      <c r="D2909" s="87" t="str">
        <f>VLOOKUP(Tabela1[[#This Row],[Origem]], 'Perguntas 1 a 24'!$J$28:$K$34, 2, 0)</f>
        <v>Sudeste</v>
      </c>
      <c r="E2909" s="87" t="str">
        <f>Tabela1[[#This Row],[Descrição]]&amp;"-"&amp;Tabela1[[#This Row],[Código]]&amp;"/"&amp;Tabela1[[#This Row],[Origem]]</f>
        <v>Toterova-H945P721/MG</v>
      </c>
      <c r="F2909" s="88">
        <v>47241</v>
      </c>
      <c r="G2909" s="88" t="str" cm="1">
        <f t="array" ref="G29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AND(F2909&gt;= DATE(2026,1,1), F2909&lt;= DATE(2028, 12, 31), J2909&gt;50000), "Pendente e Caro", AND(F2909&gt;= DATE(2026,1,1), F2909&lt;= DATE(2028, 12, 31), J2909&lt;=50000), "Pendente", F2909&gt;= DATE(2029,1,1), "Não prioeitário")</f>
        <v>Não prioeitário</v>
      </c>
      <c r="H2909" s="89">
        <f>YEAR(Tabela1[[#This Row],[Data de Validade]])</f>
        <v>2029</v>
      </c>
      <c r="I2909" s="89">
        <f>MONTH(Tabela1[[#This Row],[Data de Validade]])</f>
        <v>5</v>
      </c>
      <c r="J2909" s="101">
        <v>21810</v>
      </c>
      <c r="K2909" s="87" t="s">
        <v>11</v>
      </c>
      <c r="L2909" s="108"/>
      <c r="M2909" s="108"/>
      <c r="N2909" s="108" t="str">
        <v>P873H963</v>
      </c>
      <c r="O2909" s="108">
        <f t="shared" si="47"/>
        <v>1</v>
      </c>
      <c r="P2909" s="108"/>
      <c r="Q2909"/>
    </row>
    <row r="2910" spans="1:17" x14ac:dyDescent="0.25">
      <c r="A2910" s="89" t="s">
        <v>9733</v>
      </c>
      <c r="B2910" s="87" t="s">
        <v>9734</v>
      </c>
      <c r="C2910" s="87" t="s">
        <v>13</v>
      </c>
      <c r="D2910" s="87" t="str">
        <f>VLOOKUP(Tabela1[[#This Row],[Origem]], 'Perguntas 1 a 24'!$J$28:$K$34, 2, 0)</f>
        <v>Sudeste</v>
      </c>
      <c r="E2910" s="87" t="str">
        <f>Tabela1[[#This Row],[Descrição]]&amp;"-"&amp;Tabela1[[#This Row],[Código]]&amp;"/"&amp;Tabela1[[#This Row],[Origem]]</f>
        <v>Vutufe-P873H963/SP</v>
      </c>
      <c r="F2910" s="88">
        <v>47244</v>
      </c>
      <c r="G2910" s="88" t="str" cm="1">
        <f t="array" ref="G29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AND(F2910&gt;= DATE(2026,1,1), F2910&lt;= DATE(2028, 12, 31), J2910&gt;50000), "Pendente e Caro", AND(F2910&gt;= DATE(2026,1,1), F2910&lt;= DATE(2028, 12, 31), J2910&lt;=50000), "Pendente", F2910&gt;= DATE(2029,1,1), "Não prioeitário")</f>
        <v>Não prioeitário</v>
      </c>
      <c r="H2910" s="89">
        <f>YEAR(Tabela1[[#This Row],[Data de Validade]])</f>
        <v>2029</v>
      </c>
      <c r="I2910" s="89">
        <f>MONTH(Tabela1[[#This Row],[Data de Validade]])</f>
        <v>5</v>
      </c>
      <c r="J2910" s="101">
        <v>119945</v>
      </c>
      <c r="K2910" s="87" t="s">
        <v>11</v>
      </c>
      <c r="L2910" s="108"/>
      <c r="M2910" s="108"/>
      <c r="N2910" s="108" t="str">
        <v>H726H958</v>
      </c>
      <c r="O2910" s="108">
        <f t="shared" si="47"/>
        <v>1</v>
      </c>
      <c r="P2910" s="108"/>
      <c r="Q2910"/>
    </row>
    <row r="2911" spans="1:17" x14ac:dyDescent="0.25">
      <c r="A2911" s="89" t="s">
        <v>5406</v>
      </c>
      <c r="B2911" s="87" t="s">
        <v>5407</v>
      </c>
      <c r="C2911" s="87" t="s">
        <v>12</v>
      </c>
      <c r="D2911" s="87" t="str">
        <f>VLOOKUP(Tabela1[[#This Row],[Origem]], 'Perguntas 1 a 24'!$J$28:$K$34, 2, 0)</f>
        <v>Sudeste</v>
      </c>
      <c r="E2911" s="87" t="str">
        <f>Tabela1[[#This Row],[Descrição]]&amp;"-"&amp;Tabela1[[#This Row],[Código]]&amp;"/"&amp;Tabela1[[#This Row],[Origem]]</f>
        <v>Lapepatori-H726H958/RJ</v>
      </c>
      <c r="F2911" s="88">
        <v>47244</v>
      </c>
      <c r="G2911" s="88" t="str" cm="1">
        <f t="array" ref="G29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AND(F2911&gt;= DATE(2026,1,1), F2911&lt;= DATE(2028, 12, 31), J2911&gt;50000), "Pendente e Caro", AND(F2911&gt;= DATE(2026,1,1), F2911&lt;= DATE(2028, 12, 31), J2911&lt;=50000), "Pendente", F2911&gt;= DATE(2029,1,1), "Não prioeitário")</f>
        <v>Não prioeitário</v>
      </c>
      <c r="H2911" s="89">
        <f>YEAR(Tabela1[[#This Row],[Data de Validade]])</f>
        <v>2029</v>
      </c>
      <c r="I2911" s="89">
        <f>MONTH(Tabela1[[#This Row],[Data de Validade]])</f>
        <v>5</v>
      </c>
      <c r="J2911" s="101">
        <v>92301</v>
      </c>
      <c r="K2911" s="87" t="s">
        <v>11</v>
      </c>
      <c r="L2911" s="108"/>
      <c r="M2911" s="108"/>
      <c r="N2911" s="108" t="str">
        <v>H188P986</v>
      </c>
      <c r="O2911" s="108">
        <f t="shared" si="47"/>
        <v>1</v>
      </c>
      <c r="P2911" s="108"/>
      <c r="Q2911"/>
    </row>
    <row r="2912" spans="1:17" x14ac:dyDescent="0.25">
      <c r="A2912" s="89" t="s">
        <v>8549</v>
      </c>
      <c r="B2912" s="87" t="s">
        <v>8550</v>
      </c>
      <c r="C2912" s="87" t="s">
        <v>10</v>
      </c>
      <c r="D2912" s="87" t="str">
        <f>VLOOKUP(Tabela1[[#This Row],[Origem]], 'Perguntas 1 a 24'!$J$28:$K$34, 2, 0)</f>
        <v>Centro-Oeste</v>
      </c>
      <c r="E2912" s="87" t="str">
        <f>Tabela1[[#This Row],[Descrição]]&amp;"-"&amp;Tabela1[[#This Row],[Código]]&amp;"/"&amp;Tabela1[[#This Row],[Origem]]</f>
        <v>Feguro-H188P986/GO</v>
      </c>
      <c r="F2912" s="88">
        <v>47245</v>
      </c>
      <c r="G2912" s="88" t="str" cm="1">
        <f t="array" ref="G29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AND(F2912&gt;= DATE(2026,1,1), F2912&lt;= DATE(2028, 12, 31), J2912&gt;50000), "Pendente e Caro", AND(F2912&gt;= DATE(2026,1,1), F2912&lt;= DATE(2028, 12, 31), J2912&lt;=50000), "Pendente", F2912&gt;= DATE(2029,1,1), "Não prioeitário")</f>
        <v>Não prioeitário</v>
      </c>
      <c r="H2912" s="89">
        <f>YEAR(Tabela1[[#This Row],[Data de Validade]])</f>
        <v>2029</v>
      </c>
      <c r="I2912" s="89">
        <f>MONTH(Tabela1[[#This Row],[Data de Validade]])</f>
        <v>5</v>
      </c>
      <c r="J2912" s="101">
        <v>20952</v>
      </c>
      <c r="K2912" s="87" t="s">
        <v>9</v>
      </c>
      <c r="L2912" s="108"/>
      <c r="M2912" s="108"/>
      <c r="N2912" s="108" t="str">
        <v>H624P983</v>
      </c>
      <c r="O2912" s="108">
        <f t="shared" si="47"/>
        <v>1</v>
      </c>
      <c r="P2912" s="108"/>
      <c r="Q2912"/>
    </row>
    <row r="2913" spans="1:17" x14ac:dyDescent="0.25">
      <c r="A2913" s="89" t="s">
        <v>4728</v>
      </c>
      <c r="B2913" s="87" t="s">
        <v>4729</v>
      </c>
      <c r="C2913" s="87" t="s">
        <v>6</v>
      </c>
      <c r="D2913" s="87" t="str">
        <f>VLOOKUP(Tabela1[[#This Row],[Origem]], 'Perguntas 1 a 24'!$J$28:$K$34, 2, 0)</f>
        <v>Nordeste</v>
      </c>
      <c r="E2913" s="87" t="str">
        <f>Tabela1[[#This Row],[Descrição]]&amp;"-"&amp;Tabela1[[#This Row],[Código]]&amp;"/"&amp;Tabela1[[#This Row],[Origem]]</f>
        <v>Poropati-H624P983/MA</v>
      </c>
      <c r="F2913" s="88">
        <v>47247</v>
      </c>
      <c r="G2913" s="88" t="str" cm="1">
        <f t="array" ref="G29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AND(F2913&gt;= DATE(2026,1,1), F2913&lt;= DATE(2028, 12, 31), J2913&gt;50000), "Pendente e Caro", AND(F2913&gt;= DATE(2026,1,1), F2913&lt;= DATE(2028, 12, 31), J2913&lt;=50000), "Pendente", F2913&gt;= DATE(2029,1,1), "Não prioeitário")</f>
        <v>Não prioeitário</v>
      </c>
      <c r="H2913" s="89">
        <f>YEAR(Tabela1[[#This Row],[Data de Validade]])</f>
        <v>2029</v>
      </c>
      <c r="I2913" s="89">
        <f>MONTH(Tabela1[[#This Row],[Data de Validade]])</f>
        <v>5</v>
      </c>
      <c r="J2913" s="101">
        <v>102530</v>
      </c>
      <c r="K2913" s="87" t="s">
        <v>14</v>
      </c>
      <c r="L2913" s="108"/>
      <c r="M2913" s="108"/>
      <c r="N2913" s="108" t="str">
        <v>P317H591</v>
      </c>
      <c r="O2913" s="108">
        <f t="shared" si="47"/>
        <v>1</v>
      </c>
      <c r="P2913" s="108"/>
      <c r="Q2913"/>
    </row>
    <row r="2914" spans="1:17" x14ac:dyDescent="0.25">
      <c r="A2914" s="89" t="s">
        <v>9649</v>
      </c>
      <c r="B2914" s="87" t="s">
        <v>9650</v>
      </c>
      <c r="C2914" s="87" t="s">
        <v>13</v>
      </c>
      <c r="D2914" s="87" t="str">
        <f>VLOOKUP(Tabela1[[#This Row],[Origem]], 'Perguntas 1 a 24'!$J$28:$K$34, 2, 0)</f>
        <v>Sudeste</v>
      </c>
      <c r="E2914" s="87" t="str">
        <f>Tabela1[[#This Row],[Descrição]]&amp;"-"&amp;Tabela1[[#This Row],[Código]]&amp;"/"&amp;Tabela1[[#This Row],[Origem]]</f>
        <v>Rupime-P317H591/SP</v>
      </c>
      <c r="F2914" s="88">
        <v>47247</v>
      </c>
      <c r="G2914" s="88" t="str" cm="1">
        <f t="array" ref="G29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AND(F2914&gt;= DATE(2026,1,1), F2914&lt;= DATE(2028, 12, 31), J2914&gt;50000), "Pendente e Caro", AND(F2914&gt;= DATE(2026,1,1), F2914&lt;= DATE(2028, 12, 31), J2914&lt;=50000), "Pendente", F2914&gt;= DATE(2029,1,1), "Não prioeitário")</f>
        <v>Não prioeitário</v>
      </c>
      <c r="H2914" s="89">
        <f>YEAR(Tabela1[[#This Row],[Data de Validade]])</f>
        <v>2029</v>
      </c>
      <c r="I2914" s="89">
        <f>MONTH(Tabela1[[#This Row],[Data de Validade]])</f>
        <v>5</v>
      </c>
      <c r="J2914" s="101">
        <v>81412</v>
      </c>
      <c r="K2914" s="87" t="s">
        <v>11</v>
      </c>
      <c r="L2914" s="108"/>
      <c r="M2914" s="108"/>
      <c r="N2914" s="108" t="str">
        <v>P629P968</v>
      </c>
      <c r="O2914" s="108">
        <f t="shared" si="47"/>
        <v>1</v>
      </c>
      <c r="P2914" s="108"/>
      <c r="Q2914"/>
    </row>
    <row r="2915" spans="1:17" x14ac:dyDescent="0.25">
      <c r="A2915" s="89" t="s">
        <v>6092</v>
      </c>
      <c r="B2915" s="87" t="s">
        <v>6093</v>
      </c>
      <c r="C2915" s="87" t="s">
        <v>8</v>
      </c>
      <c r="D2915" s="87" t="str">
        <f>VLOOKUP(Tabela1[[#This Row],[Origem]], 'Perguntas 1 a 24'!$J$28:$K$34, 2, 0)</f>
        <v>Nordeste</v>
      </c>
      <c r="E2915" s="87" t="str">
        <f>Tabela1[[#This Row],[Descrição]]&amp;"-"&amp;Tabela1[[#This Row],[Código]]&amp;"/"&amp;Tabela1[[#This Row],[Origem]]</f>
        <v>Tometo-P629P968/AL</v>
      </c>
      <c r="F2915" s="88">
        <v>47247</v>
      </c>
      <c r="G2915" s="88" t="str" cm="1">
        <f t="array" ref="G29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AND(F2915&gt;= DATE(2026,1,1), F2915&lt;= DATE(2028, 12, 31), J2915&gt;50000), "Pendente e Caro", AND(F2915&gt;= DATE(2026,1,1), F2915&lt;= DATE(2028, 12, 31), J2915&lt;=50000), "Pendente", F2915&gt;= DATE(2029,1,1), "Não prioeitário")</f>
        <v>Não prioeitário</v>
      </c>
      <c r="H2915" s="89">
        <f>YEAR(Tabela1[[#This Row],[Data de Validade]])</f>
        <v>2029</v>
      </c>
      <c r="I2915" s="89">
        <f>MONTH(Tabela1[[#This Row],[Data de Validade]])</f>
        <v>5</v>
      </c>
      <c r="J2915" s="101">
        <v>53530</v>
      </c>
      <c r="K2915" s="87" t="s">
        <v>11</v>
      </c>
      <c r="L2915" s="108"/>
      <c r="M2915" s="108"/>
      <c r="N2915" s="108" t="str">
        <v>H791H168</v>
      </c>
      <c r="O2915" s="108">
        <f t="shared" si="47"/>
        <v>1</v>
      </c>
      <c r="P2915" s="108"/>
      <c r="Q2915"/>
    </row>
    <row r="2916" spans="1:17" x14ac:dyDescent="0.25">
      <c r="A2916" s="89" t="s">
        <v>5838</v>
      </c>
      <c r="B2916" s="87" t="s">
        <v>5839</v>
      </c>
      <c r="C2916" s="87" t="s">
        <v>12</v>
      </c>
      <c r="D2916" s="87" t="str">
        <f>VLOOKUP(Tabela1[[#This Row],[Origem]], 'Perguntas 1 a 24'!$J$28:$K$34, 2, 0)</f>
        <v>Sudeste</v>
      </c>
      <c r="E2916" s="87" t="str">
        <f>Tabela1[[#This Row],[Descrição]]&amp;"-"&amp;Tabela1[[#This Row],[Código]]&amp;"/"&amp;Tabela1[[#This Row],[Origem]]</f>
        <v>Nupudoca-H791H168/RJ</v>
      </c>
      <c r="F2916" s="88">
        <v>47248</v>
      </c>
      <c r="G2916" s="88" t="str" cm="1">
        <f t="array" ref="G29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AND(F2916&gt;= DATE(2026,1,1), F2916&lt;= DATE(2028, 12, 31), J2916&gt;50000), "Pendente e Caro", AND(F2916&gt;= DATE(2026,1,1), F2916&lt;= DATE(2028, 12, 31), J2916&lt;=50000), "Pendente", F2916&gt;= DATE(2029,1,1), "Não prioeitário")</f>
        <v>Não prioeitário</v>
      </c>
      <c r="H2916" s="89">
        <f>YEAR(Tabela1[[#This Row],[Data de Validade]])</f>
        <v>2029</v>
      </c>
      <c r="I2916" s="89">
        <f>MONTH(Tabela1[[#This Row],[Data de Validade]])</f>
        <v>5</v>
      </c>
      <c r="J2916" s="101">
        <v>63989</v>
      </c>
      <c r="K2916" s="87" t="s">
        <v>9</v>
      </c>
      <c r="L2916" s="108"/>
      <c r="M2916" s="108"/>
      <c r="N2916" s="108" t="str">
        <v>P825H773</v>
      </c>
      <c r="O2916" s="108">
        <f t="shared" si="47"/>
        <v>1</v>
      </c>
      <c r="P2916" s="108"/>
      <c r="Q2916"/>
    </row>
    <row r="2917" spans="1:17" x14ac:dyDescent="0.25">
      <c r="A2917" s="89" t="s">
        <v>6926</v>
      </c>
      <c r="B2917" s="87" t="s">
        <v>6927</v>
      </c>
      <c r="C2917" s="87" t="s">
        <v>16</v>
      </c>
      <c r="D2917" s="87" t="str">
        <f>VLOOKUP(Tabela1[[#This Row],[Origem]], 'Perguntas 1 a 24'!$J$28:$K$34, 2, 0)</f>
        <v>Sudeste</v>
      </c>
      <c r="E2917" s="87" t="str">
        <f>Tabela1[[#This Row],[Descrição]]&amp;"-"&amp;Tabela1[[#This Row],[Código]]&amp;"/"&amp;Tabela1[[#This Row],[Origem]]</f>
        <v>Terovegeta-P825H773/MG</v>
      </c>
      <c r="F2917" s="88">
        <v>47248</v>
      </c>
      <c r="G2917" s="88" t="str" cm="1">
        <f t="array" ref="G29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AND(F2917&gt;= DATE(2026,1,1), F2917&lt;= DATE(2028, 12, 31), J2917&gt;50000), "Pendente e Caro", AND(F2917&gt;= DATE(2026,1,1), F2917&lt;= DATE(2028, 12, 31), J2917&lt;=50000), "Pendente", F2917&gt;= DATE(2029,1,1), "Não prioeitário")</f>
        <v>Não prioeitário</v>
      </c>
      <c r="H2917" s="89">
        <f>YEAR(Tabela1[[#This Row],[Data de Validade]])</f>
        <v>2029</v>
      </c>
      <c r="I2917" s="89">
        <f>MONTH(Tabela1[[#This Row],[Data de Validade]])</f>
        <v>5</v>
      </c>
      <c r="J2917" s="101">
        <v>62410</v>
      </c>
      <c r="K2917" s="87" t="s">
        <v>9</v>
      </c>
      <c r="L2917" s="108"/>
      <c r="M2917" s="108"/>
      <c r="N2917" s="108" t="str">
        <v>H333P673</v>
      </c>
      <c r="O2917" s="108">
        <f t="shared" si="47"/>
        <v>1</v>
      </c>
      <c r="P2917" s="108"/>
      <c r="Q2917"/>
    </row>
    <row r="2918" spans="1:17" x14ac:dyDescent="0.25">
      <c r="A2918" s="89" t="s">
        <v>5200</v>
      </c>
      <c r="B2918" s="87" t="s">
        <v>5201</v>
      </c>
      <c r="C2918" s="87" t="s">
        <v>16</v>
      </c>
      <c r="D2918" s="87" t="str">
        <f>VLOOKUP(Tabela1[[#This Row],[Origem]], 'Perguntas 1 a 24'!$J$28:$K$34, 2, 0)</f>
        <v>Sudeste</v>
      </c>
      <c r="E2918" s="87" t="str">
        <f>Tabela1[[#This Row],[Descrição]]&amp;"-"&amp;Tabela1[[#This Row],[Código]]&amp;"/"&amp;Tabela1[[#This Row],[Origem]]</f>
        <v>Turevi-H333P673/MG</v>
      </c>
      <c r="F2918" s="88">
        <v>47250</v>
      </c>
      <c r="G2918" s="88" t="str" cm="1">
        <f t="array" ref="G29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AND(F2918&gt;= DATE(2026,1,1), F2918&lt;= DATE(2028, 12, 31), J2918&gt;50000), "Pendente e Caro", AND(F2918&gt;= DATE(2026,1,1), F2918&lt;= DATE(2028, 12, 31), J2918&lt;=50000), "Pendente", F2918&gt;= DATE(2029,1,1), "Não prioeitário")</f>
        <v>Não prioeitário</v>
      </c>
      <c r="H2918" s="89">
        <f>YEAR(Tabela1[[#This Row],[Data de Validade]])</f>
        <v>2029</v>
      </c>
      <c r="I2918" s="89">
        <f>MONTH(Tabela1[[#This Row],[Data de Validade]])</f>
        <v>5</v>
      </c>
      <c r="J2918" s="101">
        <v>104747</v>
      </c>
      <c r="K2918" s="87" t="s">
        <v>7</v>
      </c>
      <c r="L2918" s="108"/>
      <c r="M2918" s="108"/>
      <c r="N2918" s="108" t="str">
        <v>P961H568</v>
      </c>
      <c r="O2918" s="108">
        <f t="shared" si="47"/>
        <v>1</v>
      </c>
      <c r="P2918" s="108"/>
      <c r="Q2918"/>
    </row>
    <row r="2919" spans="1:17" x14ac:dyDescent="0.25">
      <c r="A2919" s="89" t="s">
        <v>11127</v>
      </c>
      <c r="B2919" s="87" t="s">
        <v>11128</v>
      </c>
      <c r="C2919" s="87" t="s">
        <v>6</v>
      </c>
      <c r="D2919" s="87" t="str">
        <f>VLOOKUP(Tabela1[[#This Row],[Origem]], 'Perguntas 1 a 24'!$J$28:$K$34, 2, 0)</f>
        <v>Nordeste</v>
      </c>
      <c r="E2919" s="87" t="str">
        <f>Tabela1[[#This Row],[Descrição]]&amp;"-"&amp;Tabela1[[#This Row],[Código]]&amp;"/"&amp;Tabela1[[#This Row],[Origem]]</f>
        <v>Tularufapi-P961H568/MA</v>
      </c>
      <c r="F2919" s="88">
        <v>47250</v>
      </c>
      <c r="G2919" s="88" t="str" cm="1">
        <f t="array" ref="G29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AND(F2919&gt;= DATE(2026,1,1), F2919&lt;= DATE(2028, 12, 31), J2919&gt;50000), "Pendente e Caro", AND(F2919&gt;= DATE(2026,1,1), F2919&lt;= DATE(2028, 12, 31), J2919&lt;=50000), "Pendente", F2919&gt;= DATE(2029,1,1), "Não prioeitário")</f>
        <v>Não prioeitário</v>
      </c>
      <c r="H2919" s="89">
        <f>YEAR(Tabela1[[#This Row],[Data de Validade]])</f>
        <v>2029</v>
      </c>
      <c r="I2919" s="89">
        <f>MONTH(Tabela1[[#This Row],[Data de Validade]])</f>
        <v>5</v>
      </c>
      <c r="J2919" s="101">
        <v>33256</v>
      </c>
      <c r="K2919" s="87" t="s">
        <v>11</v>
      </c>
      <c r="L2919" s="108"/>
      <c r="M2919" s="108"/>
      <c r="N2919" s="108" t="str">
        <v>H233H781</v>
      </c>
      <c r="O2919" s="108">
        <f t="shared" si="47"/>
        <v>1</v>
      </c>
      <c r="P2919" s="108"/>
      <c r="Q2919"/>
    </row>
    <row r="2920" spans="1:17" x14ac:dyDescent="0.25">
      <c r="A2920" s="89" t="s">
        <v>11262</v>
      </c>
      <c r="B2920" s="87" t="s">
        <v>11263</v>
      </c>
      <c r="C2920" s="87" t="s">
        <v>12</v>
      </c>
      <c r="D2920" s="87" t="str">
        <f>VLOOKUP(Tabela1[[#This Row],[Origem]], 'Perguntas 1 a 24'!$J$28:$K$34, 2, 0)</f>
        <v>Sudeste</v>
      </c>
      <c r="E2920" s="87" t="str">
        <f>Tabela1[[#This Row],[Descrição]]&amp;"-"&amp;Tabela1[[#This Row],[Código]]&amp;"/"&amp;Tabela1[[#This Row],[Origem]]</f>
        <v>Pilepuro-H233H781/RJ</v>
      </c>
      <c r="F2920" s="88">
        <v>47250</v>
      </c>
      <c r="G2920" s="88" t="str" cm="1">
        <f t="array" ref="G29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AND(F2920&gt;= DATE(2026,1,1), F2920&lt;= DATE(2028, 12, 31), J2920&gt;50000), "Pendente e Caro", AND(F2920&gt;= DATE(2026,1,1), F2920&lt;= DATE(2028, 12, 31), J2920&lt;=50000), "Pendente", F2920&gt;= DATE(2029,1,1), "Não prioeitário")</f>
        <v>Não prioeitário</v>
      </c>
      <c r="H2920" s="89">
        <f>YEAR(Tabela1[[#This Row],[Data de Validade]])</f>
        <v>2029</v>
      </c>
      <c r="I2920" s="89">
        <f>MONTH(Tabela1[[#This Row],[Data de Validade]])</f>
        <v>5</v>
      </c>
      <c r="J2920" s="101">
        <v>20763</v>
      </c>
      <c r="K2920" s="87" t="s">
        <v>11</v>
      </c>
      <c r="L2920" s="108"/>
      <c r="M2920" s="108"/>
      <c r="N2920" s="108" t="str">
        <v>P835H347</v>
      </c>
      <c r="O2920" s="108">
        <f t="shared" si="47"/>
        <v>1</v>
      </c>
      <c r="P2920" s="108"/>
      <c r="Q2920"/>
    </row>
    <row r="2921" spans="1:17" x14ac:dyDescent="0.25">
      <c r="A2921" s="89" t="s">
        <v>3790</v>
      </c>
      <c r="B2921" s="87" t="s">
        <v>3791</v>
      </c>
      <c r="C2921" s="87" t="s">
        <v>15</v>
      </c>
      <c r="D2921" s="87" t="str">
        <f>VLOOKUP(Tabela1[[#This Row],[Origem]], 'Perguntas 1 a 24'!$J$28:$K$34, 2, 0)</f>
        <v>Sudeste</v>
      </c>
      <c r="E2921" s="87" t="str">
        <f>Tabela1[[#This Row],[Descrição]]&amp;"-"&amp;Tabela1[[#This Row],[Código]]&amp;"/"&amp;Tabela1[[#This Row],[Origem]]</f>
        <v>Fogecemido-P835H347/ES</v>
      </c>
      <c r="F2921" s="88">
        <v>47251</v>
      </c>
      <c r="G2921" s="88" t="str" cm="1">
        <f t="array" ref="G29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AND(F2921&gt;= DATE(2026,1,1), F2921&lt;= DATE(2028, 12, 31), J2921&gt;50000), "Pendente e Caro", AND(F2921&gt;= DATE(2026,1,1), F2921&lt;= DATE(2028, 12, 31), J2921&lt;=50000), "Pendente", F2921&gt;= DATE(2029,1,1), "Não prioeitário")</f>
        <v>Não prioeitário</v>
      </c>
      <c r="H2921" s="89">
        <f>YEAR(Tabela1[[#This Row],[Data de Validade]])</f>
        <v>2029</v>
      </c>
      <c r="I2921" s="89">
        <f>MONTH(Tabela1[[#This Row],[Data de Validade]])</f>
        <v>5</v>
      </c>
      <c r="J2921" s="101">
        <v>114088</v>
      </c>
      <c r="K2921" s="87" t="s">
        <v>7</v>
      </c>
      <c r="L2921" s="108"/>
      <c r="M2921" s="108"/>
      <c r="N2921" s="108" t="str">
        <v>P847P993</v>
      </c>
      <c r="O2921" s="108">
        <f t="shared" si="47"/>
        <v>1</v>
      </c>
      <c r="P2921" s="108"/>
      <c r="Q2921"/>
    </row>
    <row r="2922" spans="1:17" x14ac:dyDescent="0.25">
      <c r="A2922" s="89" t="s">
        <v>7580</v>
      </c>
      <c r="B2922" s="87" t="s">
        <v>7581</v>
      </c>
      <c r="C2922" s="87" t="s">
        <v>10</v>
      </c>
      <c r="D2922" s="87" t="str">
        <f>VLOOKUP(Tabela1[[#This Row],[Origem]], 'Perguntas 1 a 24'!$J$28:$K$34, 2, 0)</f>
        <v>Centro-Oeste</v>
      </c>
      <c r="E2922" s="87" t="str">
        <f>Tabela1[[#This Row],[Descrição]]&amp;"-"&amp;Tabela1[[#This Row],[Código]]&amp;"/"&amp;Tabela1[[#This Row],[Origem]]</f>
        <v>Lalumapipe-P847P993/GO</v>
      </c>
      <c r="F2922" s="88">
        <v>47251</v>
      </c>
      <c r="G2922" s="88" t="str" cm="1">
        <f t="array" ref="G29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AND(F2922&gt;= DATE(2026,1,1), F2922&lt;= DATE(2028, 12, 31), J2922&gt;50000), "Pendente e Caro", AND(F2922&gt;= DATE(2026,1,1), F2922&lt;= DATE(2028, 12, 31), J2922&lt;=50000), "Pendente", F2922&gt;= DATE(2029,1,1), "Não prioeitário")</f>
        <v>Não prioeitário</v>
      </c>
      <c r="H2922" s="89">
        <f>YEAR(Tabela1[[#This Row],[Data de Validade]])</f>
        <v>2029</v>
      </c>
      <c r="I2922" s="89">
        <f>MONTH(Tabela1[[#This Row],[Data de Validade]])</f>
        <v>5</v>
      </c>
      <c r="J2922" s="101">
        <v>78031</v>
      </c>
      <c r="K2922" s="87" t="s">
        <v>14</v>
      </c>
      <c r="L2922" s="108"/>
      <c r="M2922" s="108"/>
      <c r="N2922" s="108" t="str">
        <v>H661P293</v>
      </c>
      <c r="O2922" s="108">
        <f t="shared" si="47"/>
        <v>1</v>
      </c>
      <c r="P2922" s="108"/>
      <c r="Q2922"/>
    </row>
    <row r="2923" spans="1:17" x14ac:dyDescent="0.25">
      <c r="A2923" s="89" t="s">
        <v>4658</v>
      </c>
      <c r="B2923" s="87" t="s">
        <v>4659</v>
      </c>
      <c r="C2923" s="87" t="s">
        <v>8</v>
      </c>
      <c r="D2923" s="87" t="str">
        <f>VLOOKUP(Tabela1[[#This Row],[Origem]], 'Perguntas 1 a 24'!$J$28:$K$34, 2, 0)</f>
        <v>Nordeste</v>
      </c>
      <c r="E2923" s="87" t="str">
        <f>Tabela1[[#This Row],[Descrição]]&amp;"-"&amp;Tabela1[[#This Row],[Código]]&amp;"/"&amp;Tabela1[[#This Row],[Origem]]</f>
        <v>Lutinemu-H661P293/AL</v>
      </c>
      <c r="F2923" s="88">
        <v>47251</v>
      </c>
      <c r="G2923" s="88" t="str" cm="1">
        <f t="array" ref="G29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AND(F2923&gt;= DATE(2026,1,1), F2923&lt;= DATE(2028, 12, 31), J2923&gt;50000), "Pendente e Caro", AND(F2923&gt;= DATE(2026,1,1), F2923&lt;= DATE(2028, 12, 31), J2923&lt;=50000), "Pendente", F2923&gt;= DATE(2029,1,1), "Não prioeitário")</f>
        <v>Não prioeitário</v>
      </c>
      <c r="H2923" s="89">
        <f>YEAR(Tabela1[[#This Row],[Data de Validade]])</f>
        <v>2029</v>
      </c>
      <c r="I2923" s="89">
        <f>MONTH(Tabela1[[#This Row],[Data de Validade]])</f>
        <v>5</v>
      </c>
      <c r="J2923" s="101">
        <v>40253</v>
      </c>
      <c r="K2923" s="87" t="s">
        <v>11</v>
      </c>
      <c r="L2923" s="108"/>
      <c r="M2923" s="108"/>
      <c r="N2923" s="108" t="str">
        <v>H163P391</v>
      </c>
      <c r="O2923" s="108">
        <f t="shared" si="47"/>
        <v>1</v>
      </c>
      <c r="P2923" s="108"/>
      <c r="Q2923"/>
    </row>
    <row r="2924" spans="1:17" x14ac:dyDescent="0.25">
      <c r="A2924" s="89" t="s">
        <v>8006</v>
      </c>
      <c r="B2924" s="87" t="s">
        <v>8007</v>
      </c>
      <c r="C2924" s="87" t="s">
        <v>15</v>
      </c>
      <c r="D2924" s="87" t="str">
        <f>VLOOKUP(Tabela1[[#This Row],[Origem]], 'Perguntas 1 a 24'!$J$28:$K$34, 2, 0)</f>
        <v>Sudeste</v>
      </c>
      <c r="E2924" s="87" t="str">
        <f>Tabela1[[#This Row],[Descrição]]&amp;"-"&amp;Tabela1[[#This Row],[Código]]&amp;"/"&amp;Tabela1[[#This Row],[Origem]]</f>
        <v>Todifi-H163P391/ES</v>
      </c>
      <c r="F2924" s="88">
        <v>47251</v>
      </c>
      <c r="G2924" s="88" t="str" cm="1">
        <f t="array" ref="G29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AND(F2924&gt;= DATE(2026,1,1), F2924&lt;= DATE(2028, 12, 31), J2924&gt;50000), "Pendente e Caro", AND(F2924&gt;= DATE(2026,1,1), F2924&lt;= DATE(2028, 12, 31), J2924&lt;=50000), "Pendente", F2924&gt;= DATE(2029,1,1), "Não prioeitário")</f>
        <v>Não prioeitário</v>
      </c>
      <c r="H2924" s="89">
        <f>YEAR(Tabela1[[#This Row],[Data de Validade]])</f>
        <v>2029</v>
      </c>
      <c r="I2924" s="89">
        <f>MONTH(Tabela1[[#This Row],[Data de Validade]])</f>
        <v>5</v>
      </c>
      <c r="J2924" s="101">
        <v>35105</v>
      </c>
      <c r="K2924" s="87" t="s">
        <v>14</v>
      </c>
      <c r="L2924" s="108"/>
      <c r="M2924" s="108"/>
      <c r="N2924" s="108" t="str">
        <v>P116H918</v>
      </c>
      <c r="O2924" s="108">
        <f t="shared" si="47"/>
        <v>1</v>
      </c>
      <c r="P2924" s="108"/>
      <c r="Q2924"/>
    </row>
    <row r="2925" spans="1:17" x14ac:dyDescent="0.25">
      <c r="A2925" s="89" t="s">
        <v>4008</v>
      </c>
      <c r="B2925" s="87" t="s">
        <v>4009</v>
      </c>
      <c r="C2925" s="87" t="s">
        <v>6</v>
      </c>
      <c r="D2925" s="87" t="str">
        <f>VLOOKUP(Tabela1[[#This Row],[Origem]], 'Perguntas 1 a 24'!$J$28:$K$34, 2, 0)</f>
        <v>Nordeste</v>
      </c>
      <c r="E2925" s="87" t="str">
        <f>Tabela1[[#This Row],[Descrição]]&amp;"-"&amp;Tabela1[[#This Row],[Código]]&amp;"/"&amp;Tabela1[[#This Row],[Origem]]</f>
        <v>Lefufu-P116H918/MA</v>
      </c>
      <c r="F2925" s="88">
        <v>47251</v>
      </c>
      <c r="G2925" s="88" t="str" cm="1">
        <f t="array" ref="G29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AND(F2925&gt;= DATE(2026,1,1), F2925&lt;= DATE(2028, 12, 31), J2925&gt;50000), "Pendente e Caro", AND(F2925&gt;= DATE(2026,1,1), F2925&lt;= DATE(2028, 12, 31), J2925&lt;=50000), "Pendente", F2925&gt;= DATE(2029,1,1), "Não prioeitário")</f>
        <v>Não prioeitário</v>
      </c>
      <c r="H2925" s="89">
        <f>YEAR(Tabela1[[#This Row],[Data de Validade]])</f>
        <v>2029</v>
      </c>
      <c r="I2925" s="89">
        <f>MONTH(Tabela1[[#This Row],[Data de Validade]])</f>
        <v>5</v>
      </c>
      <c r="J2925" s="101">
        <v>31762</v>
      </c>
      <c r="K2925" s="87" t="s">
        <v>11</v>
      </c>
      <c r="L2925" s="108"/>
      <c r="M2925" s="108"/>
      <c r="N2925" s="108" t="str">
        <v>P368H888</v>
      </c>
      <c r="O2925" s="108">
        <f t="shared" si="47"/>
        <v>1</v>
      </c>
      <c r="P2925" s="108"/>
      <c r="Q2925"/>
    </row>
    <row r="2926" spans="1:17" x14ac:dyDescent="0.25">
      <c r="A2926" s="89" t="s">
        <v>4854</v>
      </c>
      <c r="B2926" s="87" t="s">
        <v>4855</v>
      </c>
      <c r="C2926" s="87" t="s">
        <v>16</v>
      </c>
      <c r="D2926" s="87" t="str">
        <f>VLOOKUP(Tabela1[[#This Row],[Origem]], 'Perguntas 1 a 24'!$J$28:$K$34, 2, 0)</f>
        <v>Sudeste</v>
      </c>
      <c r="E2926" s="87" t="str">
        <f>Tabela1[[#This Row],[Descrição]]&amp;"-"&amp;Tabela1[[#This Row],[Código]]&amp;"/"&amp;Tabela1[[#This Row],[Origem]]</f>
        <v>Roperuti-P368H888/MG</v>
      </c>
      <c r="F2926" s="88">
        <v>47252</v>
      </c>
      <c r="G2926" s="88" t="str" cm="1">
        <f t="array" ref="G29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AND(F2926&gt;= DATE(2026,1,1), F2926&lt;= DATE(2028, 12, 31), J2926&gt;50000), "Pendente e Caro", AND(F2926&gt;= DATE(2026,1,1), F2926&lt;= DATE(2028, 12, 31), J2926&lt;=50000), "Pendente", F2926&gt;= DATE(2029,1,1), "Não prioeitário")</f>
        <v>Não prioeitário</v>
      </c>
      <c r="H2926" s="89">
        <f>YEAR(Tabela1[[#This Row],[Data de Validade]])</f>
        <v>2029</v>
      </c>
      <c r="I2926" s="89">
        <f>MONTH(Tabela1[[#This Row],[Data de Validade]])</f>
        <v>5</v>
      </c>
      <c r="J2926" s="101">
        <v>47270</v>
      </c>
      <c r="K2926" s="87" t="s">
        <v>7</v>
      </c>
      <c r="L2926" s="108"/>
      <c r="M2926" s="108"/>
      <c r="N2926" s="108" t="str">
        <v>H372H711</v>
      </c>
      <c r="O2926" s="108">
        <f t="shared" si="47"/>
        <v>1</v>
      </c>
      <c r="P2926" s="108"/>
      <c r="Q2926"/>
    </row>
    <row r="2927" spans="1:17" x14ac:dyDescent="0.25">
      <c r="A2927" s="89" t="s">
        <v>4998</v>
      </c>
      <c r="B2927" s="87" t="s">
        <v>4999</v>
      </c>
      <c r="C2927" s="87" t="s">
        <v>8</v>
      </c>
      <c r="D2927" s="87" t="str">
        <f>VLOOKUP(Tabela1[[#This Row],[Origem]], 'Perguntas 1 a 24'!$J$28:$K$34, 2, 0)</f>
        <v>Nordeste</v>
      </c>
      <c r="E2927" s="87" t="str">
        <f>Tabela1[[#This Row],[Descrição]]&amp;"-"&amp;Tabela1[[#This Row],[Código]]&amp;"/"&amp;Tabela1[[#This Row],[Origem]]</f>
        <v>Nafigu-H372H711/AL</v>
      </c>
      <c r="F2927" s="88">
        <v>47254</v>
      </c>
      <c r="G2927" s="88" t="str" cm="1">
        <f t="array" ref="G29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AND(F2927&gt;= DATE(2026,1,1), F2927&lt;= DATE(2028, 12, 31), J2927&gt;50000), "Pendente e Caro", AND(F2927&gt;= DATE(2026,1,1), F2927&lt;= DATE(2028, 12, 31), J2927&lt;=50000), "Pendente", F2927&gt;= DATE(2029,1,1), "Não prioeitário")</f>
        <v>Não prioeitário</v>
      </c>
      <c r="H2927" s="89">
        <f>YEAR(Tabela1[[#This Row],[Data de Validade]])</f>
        <v>2029</v>
      </c>
      <c r="I2927" s="89">
        <f>MONTH(Tabela1[[#This Row],[Data de Validade]])</f>
        <v>5</v>
      </c>
      <c r="J2927" s="101">
        <v>107413</v>
      </c>
      <c r="K2927" s="87" t="s">
        <v>14</v>
      </c>
      <c r="L2927" s="108"/>
      <c r="M2927" s="108"/>
      <c r="N2927" s="108" t="str">
        <v>P119H224</v>
      </c>
      <c r="O2927" s="108">
        <f t="shared" si="47"/>
        <v>1</v>
      </c>
      <c r="P2927" s="108"/>
      <c r="Q2927"/>
    </row>
    <row r="2928" spans="1:17" x14ac:dyDescent="0.25">
      <c r="A2928" s="89" t="s">
        <v>6838</v>
      </c>
      <c r="B2928" s="87" t="s">
        <v>6839</v>
      </c>
      <c r="C2928" s="87" t="s">
        <v>12</v>
      </c>
      <c r="D2928" s="87" t="str">
        <f>VLOOKUP(Tabela1[[#This Row],[Origem]], 'Perguntas 1 a 24'!$J$28:$K$34, 2, 0)</f>
        <v>Sudeste</v>
      </c>
      <c r="E2928" s="87" t="str">
        <f>Tabela1[[#This Row],[Descrição]]&amp;"-"&amp;Tabela1[[#This Row],[Código]]&amp;"/"&amp;Tabela1[[#This Row],[Origem]]</f>
        <v>Funufatopo-P119H224/RJ</v>
      </c>
      <c r="F2928" s="88">
        <v>47254</v>
      </c>
      <c r="G2928" s="88" t="str" cm="1">
        <f t="array" ref="G29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AND(F2928&gt;= DATE(2026,1,1), F2928&lt;= DATE(2028, 12, 31), J2928&gt;50000), "Pendente e Caro", AND(F2928&gt;= DATE(2026,1,1), F2928&lt;= DATE(2028, 12, 31), J2928&lt;=50000), "Pendente", F2928&gt;= DATE(2029,1,1), "Não prioeitário")</f>
        <v>Não prioeitário</v>
      </c>
      <c r="H2928" s="89">
        <f>YEAR(Tabela1[[#This Row],[Data de Validade]])</f>
        <v>2029</v>
      </c>
      <c r="I2928" s="89">
        <f>MONTH(Tabela1[[#This Row],[Data de Validade]])</f>
        <v>5</v>
      </c>
      <c r="J2928" s="101">
        <v>107071</v>
      </c>
      <c r="K2928" s="87" t="s">
        <v>14</v>
      </c>
      <c r="L2928" s="108"/>
      <c r="M2928" s="108"/>
      <c r="N2928" s="108" t="str">
        <v>P312H514</v>
      </c>
      <c r="O2928" s="108">
        <f t="shared" si="47"/>
        <v>1</v>
      </c>
      <c r="P2928" s="108"/>
      <c r="Q2928"/>
    </row>
    <row r="2929" spans="1:17" x14ac:dyDescent="0.25">
      <c r="A2929" s="89" t="s">
        <v>7244</v>
      </c>
      <c r="B2929" s="87" t="s">
        <v>7245</v>
      </c>
      <c r="C2929" s="87" t="s">
        <v>12</v>
      </c>
      <c r="D2929" s="87" t="str">
        <f>VLOOKUP(Tabela1[[#This Row],[Origem]], 'Perguntas 1 a 24'!$J$28:$K$34, 2, 0)</f>
        <v>Sudeste</v>
      </c>
      <c r="E2929" s="87" t="str">
        <f>Tabela1[[#This Row],[Descrição]]&amp;"-"&amp;Tabela1[[#This Row],[Código]]&amp;"/"&amp;Tabela1[[#This Row],[Origem]]</f>
        <v>Nenava-P312H514/RJ</v>
      </c>
      <c r="F2929" s="88">
        <v>47254</v>
      </c>
      <c r="G2929" s="88" t="str" cm="1">
        <f t="array" ref="G29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AND(F2929&gt;= DATE(2026,1,1), F2929&lt;= DATE(2028, 12, 31), J2929&gt;50000), "Pendente e Caro", AND(F2929&gt;= DATE(2026,1,1), F2929&lt;= DATE(2028, 12, 31), J2929&lt;=50000), "Pendente", F2929&gt;= DATE(2029,1,1), "Não prioeitário")</f>
        <v>Não prioeitário</v>
      </c>
      <c r="H2929" s="89">
        <f>YEAR(Tabela1[[#This Row],[Data de Validade]])</f>
        <v>2029</v>
      </c>
      <c r="I2929" s="89">
        <f>MONTH(Tabela1[[#This Row],[Data de Validade]])</f>
        <v>5</v>
      </c>
      <c r="J2929" s="101">
        <v>72340</v>
      </c>
      <c r="K2929" s="87" t="s">
        <v>9</v>
      </c>
      <c r="L2929" s="108"/>
      <c r="M2929" s="108"/>
      <c r="N2929" s="108" t="str">
        <v>P435P595</v>
      </c>
      <c r="O2929" s="108">
        <f t="shared" si="47"/>
        <v>1</v>
      </c>
      <c r="P2929" s="108"/>
      <c r="Q2929"/>
    </row>
    <row r="2930" spans="1:17" x14ac:dyDescent="0.25">
      <c r="A2930" s="89" t="s">
        <v>3942</v>
      </c>
      <c r="B2930" s="87" t="s">
        <v>3943</v>
      </c>
      <c r="C2930" s="87" t="s">
        <v>15</v>
      </c>
      <c r="D2930" s="87" t="str">
        <f>VLOOKUP(Tabela1[[#This Row],[Origem]], 'Perguntas 1 a 24'!$J$28:$K$34, 2, 0)</f>
        <v>Sudeste</v>
      </c>
      <c r="E2930" s="87" t="str">
        <f>Tabela1[[#This Row],[Descrição]]&amp;"-"&amp;Tabela1[[#This Row],[Código]]&amp;"/"&amp;Tabela1[[#This Row],[Origem]]</f>
        <v>Pepeti-P435P595/ES</v>
      </c>
      <c r="F2930" s="88">
        <v>47254</v>
      </c>
      <c r="G2930" s="88" t="str" cm="1">
        <f t="array" ref="G29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AND(F2930&gt;= DATE(2026,1,1), F2930&lt;= DATE(2028, 12, 31), J2930&gt;50000), "Pendente e Caro", AND(F2930&gt;= DATE(2026,1,1), F2930&lt;= DATE(2028, 12, 31), J2930&lt;=50000), "Pendente", F2930&gt;= DATE(2029,1,1), "Não prioeitário")</f>
        <v>Não prioeitário</v>
      </c>
      <c r="H2930" s="89">
        <f>YEAR(Tabela1[[#This Row],[Data de Validade]])</f>
        <v>2029</v>
      </c>
      <c r="I2930" s="89">
        <f>MONTH(Tabela1[[#This Row],[Data de Validade]])</f>
        <v>5</v>
      </c>
      <c r="J2930" s="101">
        <v>33396</v>
      </c>
      <c r="K2930" s="87" t="s">
        <v>9</v>
      </c>
      <c r="L2930" s="108"/>
      <c r="M2930" s="108"/>
      <c r="N2930" s="108" t="str">
        <v>H731P723</v>
      </c>
      <c r="O2930" s="108">
        <f t="shared" si="47"/>
        <v>1</v>
      </c>
      <c r="P2930" s="108"/>
      <c r="Q2930"/>
    </row>
    <row r="2931" spans="1:17" x14ac:dyDescent="0.25">
      <c r="A2931" s="89" t="s">
        <v>11074</v>
      </c>
      <c r="B2931" s="87" t="s">
        <v>11075</v>
      </c>
      <c r="C2931" s="87" t="s">
        <v>8</v>
      </c>
      <c r="D2931" s="87" t="str">
        <f>VLOOKUP(Tabela1[[#This Row],[Origem]], 'Perguntas 1 a 24'!$J$28:$K$34, 2, 0)</f>
        <v>Nordeste</v>
      </c>
      <c r="E2931" s="87" t="str">
        <f>Tabela1[[#This Row],[Descrição]]&amp;"-"&amp;Tabela1[[#This Row],[Código]]&amp;"/"&amp;Tabela1[[#This Row],[Origem]]</f>
        <v>Mapipu-H731P723/AL</v>
      </c>
      <c r="F2931" s="88">
        <v>47255</v>
      </c>
      <c r="G2931" s="88" t="str" cm="1">
        <f t="array" ref="G29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AND(F2931&gt;= DATE(2026,1,1), F2931&lt;= DATE(2028, 12, 31), J2931&gt;50000), "Pendente e Caro", AND(F2931&gt;= DATE(2026,1,1), F2931&lt;= DATE(2028, 12, 31), J2931&lt;=50000), "Pendente", F2931&gt;= DATE(2029,1,1), "Não prioeitário")</f>
        <v>Não prioeitário</v>
      </c>
      <c r="H2931" s="89">
        <f>YEAR(Tabela1[[#This Row],[Data de Validade]])</f>
        <v>2029</v>
      </c>
      <c r="I2931" s="89">
        <f>MONTH(Tabela1[[#This Row],[Data de Validade]])</f>
        <v>5</v>
      </c>
      <c r="J2931" s="101">
        <v>89253</v>
      </c>
      <c r="K2931" s="87" t="s">
        <v>7</v>
      </c>
      <c r="L2931" s="108"/>
      <c r="M2931" s="108"/>
      <c r="N2931" s="108" t="str">
        <v>H112H582</v>
      </c>
      <c r="O2931" s="108">
        <f t="shared" si="47"/>
        <v>1</v>
      </c>
      <c r="P2931" s="108"/>
      <c r="Q2931"/>
    </row>
    <row r="2932" spans="1:17" x14ac:dyDescent="0.25">
      <c r="A2932" s="89" t="s">
        <v>6274</v>
      </c>
      <c r="B2932" s="87" t="s">
        <v>6275</v>
      </c>
      <c r="C2932" s="87" t="s">
        <v>12</v>
      </c>
      <c r="D2932" s="87" t="str">
        <f>VLOOKUP(Tabela1[[#This Row],[Origem]], 'Perguntas 1 a 24'!$J$28:$K$34, 2, 0)</f>
        <v>Sudeste</v>
      </c>
      <c r="E2932" s="87" t="str">
        <f>Tabela1[[#This Row],[Descrição]]&amp;"-"&amp;Tabela1[[#This Row],[Código]]&amp;"/"&amp;Tabela1[[#This Row],[Origem]]</f>
        <v>Fucote-H112H582/RJ</v>
      </c>
      <c r="F2932" s="88">
        <v>47256</v>
      </c>
      <c r="G2932" s="88" t="str" cm="1">
        <f t="array" ref="G29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AND(F2932&gt;= DATE(2026,1,1), F2932&lt;= DATE(2028, 12, 31), J2932&gt;50000), "Pendente e Caro", AND(F2932&gt;= DATE(2026,1,1), F2932&lt;= DATE(2028, 12, 31), J2932&lt;=50000), "Pendente", F2932&gt;= DATE(2029,1,1), "Não prioeitário")</f>
        <v>Não prioeitário</v>
      </c>
      <c r="H2932" s="89">
        <f>YEAR(Tabela1[[#This Row],[Data de Validade]])</f>
        <v>2029</v>
      </c>
      <c r="I2932" s="89">
        <f>MONTH(Tabela1[[#This Row],[Data de Validade]])</f>
        <v>5</v>
      </c>
      <c r="J2932" s="101">
        <v>71075</v>
      </c>
      <c r="K2932" s="87" t="s">
        <v>7</v>
      </c>
      <c r="L2932" s="108"/>
      <c r="M2932" s="108"/>
      <c r="N2932" s="108" t="str">
        <v>P711H232</v>
      </c>
      <c r="O2932" s="108">
        <f t="shared" si="47"/>
        <v>1</v>
      </c>
      <c r="P2932" s="108"/>
      <c r="Q2932"/>
    </row>
    <row r="2933" spans="1:17" x14ac:dyDescent="0.25">
      <c r="A2933" s="89" t="s">
        <v>6644</v>
      </c>
      <c r="B2933" s="87" t="s">
        <v>6645</v>
      </c>
      <c r="C2933" s="87" t="s">
        <v>10</v>
      </c>
      <c r="D2933" s="87" t="str">
        <f>VLOOKUP(Tabela1[[#This Row],[Origem]], 'Perguntas 1 a 24'!$J$28:$K$34, 2, 0)</f>
        <v>Centro-Oeste</v>
      </c>
      <c r="E2933" s="87" t="str">
        <f>Tabela1[[#This Row],[Descrição]]&amp;"-"&amp;Tabela1[[#This Row],[Código]]&amp;"/"&amp;Tabela1[[#This Row],[Origem]]</f>
        <v>Nipopedufo-P711H232/GO</v>
      </c>
      <c r="F2933" s="88">
        <v>47256</v>
      </c>
      <c r="G2933" s="88" t="str" cm="1">
        <f t="array" ref="G29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AND(F2933&gt;= DATE(2026,1,1), F2933&lt;= DATE(2028, 12, 31), J2933&gt;50000), "Pendente e Caro", AND(F2933&gt;= DATE(2026,1,1), F2933&lt;= DATE(2028, 12, 31), J2933&lt;=50000), "Pendente", F2933&gt;= DATE(2029,1,1), "Não prioeitário")</f>
        <v>Não prioeitário</v>
      </c>
      <c r="H2933" s="89">
        <f>YEAR(Tabela1[[#This Row],[Data de Validade]])</f>
        <v>2029</v>
      </c>
      <c r="I2933" s="89">
        <f>MONTH(Tabela1[[#This Row],[Data de Validade]])</f>
        <v>5</v>
      </c>
      <c r="J2933" s="101">
        <v>28480</v>
      </c>
      <c r="K2933" s="87" t="s">
        <v>7</v>
      </c>
      <c r="L2933" s="108"/>
      <c r="M2933" s="108"/>
      <c r="N2933" s="108" t="str">
        <v>P688P189</v>
      </c>
      <c r="O2933" s="108">
        <f t="shared" si="47"/>
        <v>1</v>
      </c>
      <c r="P2933" s="108"/>
      <c r="Q2933"/>
    </row>
    <row r="2934" spans="1:17" x14ac:dyDescent="0.25">
      <c r="A2934" s="89" t="s">
        <v>5242</v>
      </c>
      <c r="B2934" s="87" t="s">
        <v>5243</v>
      </c>
      <c r="C2934" s="87" t="s">
        <v>13</v>
      </c>
      <c r="D2934" s="87" t="str">
        <f>VLOOKUP(Tabela1[[#This Row],[Origem]], 'Perguntas 1 a 24'!$J$28:$K$34, 2, 0)</f>
        <v>Sudeste</v>
      </c>
      <c r="E2934" s="87" t="str">
        <f>Tabela1[[#This Row],[Descrição]]&amp;"-"&amp;Tabela1[[#This Row],[Código]]&amp;"/"&amp;Tabela1[[#This Row],[Origem]]</f>
        <v>Mopapilovo-P688P189/SP</v>
      </c>
      <c r="F2934" s="88">
        <v>47257</v>
      </c>
      <c r="G2934" s="88" t="str" cm="1">
        <f t="array" ref="G29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AND(F2934&gt;= DATE(2026,1,1), F2934&lt;= DATE(2028, 12, 31), J2934&gt;50000), "Pendente e Caro", AND(F2934&gt;= DATE(2026,1,1), F2934&lt;= DATE(2028, 12, 31), J2934&lt;=50000), "Pendente", F2934&gt;= DATE(2029,1,1), "Não prioeitário")</f>
        <v>Não prioeitário</v>
      </c>
      <c r="H2934" s="89">
        <f>YEAR(Tabela1[[#This Row],[Data de Validade]])</f>
        <v>2029</v>
      </c>
      <c r="I2934" s="89">
        <f>MONTH(Tabela1[[#This Row],[Data de Validade]])</f>
        <v>5</v>
      </c>
      <c r="J2934" s="101">
        <v>87342</v>
      </c>
      <c r="K2934" s="87" t="s">
        <v>11</v>
      </c>
      <c r="L2934" s="108"/>
      <c r="M2934" s="108"/>
      <c r="N2934" s="108" t="str">
        <v>H614P988</v>
      </c>
      <c r="O2934" s="108">
        <f t="shared" si="47"/>
        <v>1</v>
      </c>
      <c r="P2934" s="108"/>
      <c r="Q2934"/>
    </row>
    <row r="2935" spans="1:17" x14ac:dyDescent="0.25">
      <c r="A2935" s="89" t="s">
        <v>6404</v>
      </c>
      <c r="B2935" s="87" t="s">
        <v>6405</v>
      </c>
      <c r="C2935" s="87" t="s">
        <v>15</v>
      </c>
      <c r="D2935" s="87" t="str">
        <f>VLOOKUP(Tabela1[[#This Row],[Origem]], 'Perguntas 1 a 24'!$J$28:$K$34, 2, 0)</f>
        <v>Sudeste</v>
      </c>
      <c r="E2935" s="87" t="str">
        <f>Tabela1[[#This Row],[Descrição]]&amp;"-"&amp;Tabela1[[#This Row],[Código]]&amp;"/"&amp;Tabela1[[#This Row],[Origem]]</f>
        <v>Dupeduva-H614P988/ES</v>
      </c>
      <c r="F2935" s="88">
        <v>47258</v>
      </c>
      <c r="G2935" s="88" t="str" cm="1">
        <f t="array" ref="G29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AND(F2935&gt;= DATE(2026,1,1), F2935&lt;= DATE(2028, 12, 31), J2935&gt;50000), "Pendente e Caro", AND(F2935&gt;= DATE(2026,1,1), F2935&lt;= DATE(2028, 12, 31), J2935&lt;=50000), "Pendente", F2935&gt;= DATE(2029,1,1), "Não prioeitário")</f>
        <v>Não prioeitário</v>
      </c>
      <c r="H2935" s="89">
        <f>YEAR(Tabela1[[#This Row],[Data de Validade]])</f>
        <v>2029</v>
      </c>
      <c r="I2935" s="89">
        <f>MONTH(Tabela1[[#This Row],[Data de Validade]])</f>
        <v>5</v>
      </c>
      <c r="J2935" s="101">
        <v>65674</v>
      </c>
      <c r="K2935" s="87" t="s">
        <v>9</v>
      </c>
      <c r="L2935" s="108"/>
      <c r="M2935" s="108"/>
      <c r="N2935" s="108" t="str">
        <v>P462P714</v>
      </c>
      <c r="O2935" s="108">
        <f t="shared" si="47"/>
        <v>1</v>
      </c>
      <c r="P2935" s="108"/>
      <c r="Q2935"/>
    </row>
    <row r="2936" spans="1:17" x14ac:dyDescent="0.25">
      <c r="A2936" s="89" t="s">
        <v>6362</v>
      </c>
      <c r="B2936" s="87" t="s">
        <v>6363</v>
      </c>
      <c r="C2936" s="87" t="s">
        <v>6</v>
      </c>
      <c r="D2936" s="87" t="str">
        <f>VLOOKUP(Tabela1[[#This Row],[Origem]], 'Perguntas 1 a 24'!$J$28:$K$34, 2, 0)</f>
        <v>Nordeste</v>
      </c>
      <c r="E2936" s="87" t="str">
        <f>Tabela1[[#This Row],[Descrição]]&amp;"-"&amp;Tabela1[[#This Row],[Código]]&amp;"/"&amp;Tabela1[[#This Row],[Origem]]</f>
        <v>Rorecotodo-P462P714/MA</v>
      </c>
      <c r="F2936" s="88">
        <v>47258</v>
      </c>
      <c r="G2936" s="88" t="str" cm="1">
        <f t="array" ref="G29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AND(F2936&gt;= DATE(2026,1,1), F2936&lt;= DATE(2028, 12, 31), J2936&gt;50000), "Pendente e Caro", AND(F2936&gt;= DATE(2026,1,1), F2936&lt;= DATE(2028, 12, 31), J2936&lt;=50000), "Pendente", F2936&gt;= DATE(2029,1,1), "Não prioeitário")</f>
        <v>Não prioeitário</v>
      </c>
      <c r="H2936" s="89">
        <f>YEAR(Tabela1[[#This Row],[Data de Validade]])</f>
        <v>2029</v>
      </c>
      <c r="I2936" s="89">
        <f>MONTH(Tabela1[[#This Row],[Data de Validade]])</f>
        <v>5</v>
      </c>
      <c r="J2936" s="101">
        <v>56381</v>
      </c>
      <c r="K2936" s="87" t="s">
        <v>11</v>
      </c>
      <c r="L2936" s="108"/>
      <c r="M2936" s="108"/>
      <c r="N2936" s="108" t="str">
        <v>P649P794</v>
      </c>
      <c r="O2936" s="108">
        <f t="shared" si="47"/>
        <v>1</v>
      </c>
      <c r="P2936" s="108"/>
      <c r="Q2936"/>
    </row>
    <row r="2937" spans="1:17" x14ac:dyDescent="0.25">
      <c r="A2937" s="89" t="s">
        <v>3718</v>
      </c>
      <c r="B2937" s="87" t="s">
        <v>3719</v>
      </c>
      <c r="C2937" s="87" t="s">
        <v>15</v>
      </c>
      <c r="D2937" s="87" t="str">
        <f>VLOOKUP(Tabela1[[#This Row],[Origem]], 'Perguntas 1 a 24'!$J$28:$K$34, 2, 0)</f>
        <v>Sudeste</v>
      </c>
      <c r="E2937" s="87" t="str">
        <f>Tabela1[[#This Row],[Descrição]]&amp;"-"&amp;Tabela1[[#This Row],[Código]]&amp;"/"&amp;Tabela1[[#This Row],[Origem]]</f>
        <v>Lofarupopo-P649P794/ES</v>
      </c>
      <c r="F2937" s="88">
        <v>47259</v>
      </c>
      <c r="G2937" s="88" t="str" cm="1">
        <f t="array" ref="G29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AND(F2937&gt;= DATE(2026,1,1), F2937&lt;= DATE(2028, 12, 31), J2937&gt;50000), "Pendente e Caro", AND(F2937&gt;= DATE(2026,1,1), F2937&lt;= DATE(2028, 12, 31), J2937&lt;=50000), "Pendente", F2937&gt;= DATE(2029,1,1), "Não prioeitário")</f>
        <v>Não prioeitário</v>
      </c>
      <c r="H2937" s="89">
        <f>YEAR(Tabela1[[#This Row],[Data de Validade]])</f>
        <v>2029</v>
      </c>
      <c r="I2937" s="89">
        <f>MONTH(Tabela1[[#This Row],[Data de Validade]])</f>
        <v>5</v>
      </c>
      <c r="J2937" s="101">
        <v>84349</v>
      </c>
      <c r="K2937" s="87" t="s">
        <v>7</v>
      </c>
      <c r="L2937" s="108"/>
      <c r="M2937" s="108"/>
      <c r="N2937" s="108" t="str">
        <v>H885H929</v>
      </c>
      <c r="O2937" s="108">
        <f t="shared" si="47"/>
        <v>1</v>
      </c>
      <c r="P2937" s="108"/>
      <c r="Q2937"/>
    </row>
    <row r="2938" spans="1:17" x14ac:dyDescent="0.25">
      <c r="A2938" s="89" t="s">
        <v>5196</v>
      </c>
      <c r="B2938" s="87" t="s">
        <v>5197</v>
      </c>
      <c r="C2938" s="87" t="s">
        <v>13</v>
      </c>
      <c r="D2938" s="87" t="str">
        <f>VLOOKUP(Tabela1[[#This Row],[Origem]], 'Perguntas 1 a 24'!$J$28:$K$34, 2, 0)</f>
        <v>Sudeste</v>
      </c>
      <c r="E2938" s="87" t="str">
        <f>Tabela1[[#This Row],[Descrição]]&amp;"-"&amp;Tabela1[[#This Row],[Código]]&amp;"/"&amp;Tabela1[[#This Row],[Origem]]</f>
        <v>Pinuvufigu-H885H929/SP</v>
      </c>
      <c r="F2938" s="88">
        <v>47259</v>
      </c>
      <c r="G2938" s="88" t="str" cm="1">
        <f t="array" ref="G29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AND(F2938&gt;= DATE(2026,1,1), F2938&lt;= DATE(2028, 12, 31), J2938&gt;50000), "Pendente e Caro", AND(F2938&gt;= DATE(2026,1,1), F2938&lt;= DATE(2028, 12, 31), J2938&lt;=50000), "Pendente", F2938&gt;= DATE(2029,1,1), "Não prioeitário")</f>
        <v>Não prioeitário</v>
      </c>
      <c r="H2938" s="89">
        <f>YEAR(Tabela1[[#This Row],[Data de Validade]])</f>
        <v>2029</v>
      </c>
      <c r="I2938" s="89">
        <f>MONTH(Tabela1[[#This Row],[Data de Validade]])</f>
        <v>5</v>
      </c>
      <c r="J2938" s="101">
        <v>67706</v>
      </c>
      <c r="K2938" s="87" t="s">
        <v>7</v>
      </c>
      <c r="L2938" s="108"/>
      <c r="M2938" s="108"/>
      <c r="N2938" s="108" t="str">
        <v>H653H173</v>
      </c>
      <c r="O2938" s="108">
        <f t="shared" si="47"/>
        <v>1</v>
      </c>
      <c r="P2938" s="108"/>
      <c r="Q2938"/>
    </row>
    <row r="2939" spans="1:17" x14ac:dyDescent="0.25">
      <c r="A2939" s="89" t="s">
        <v>5362</v>
      </c>
      <c r="B2939" s="87" t="s">
        <v>5363</v>
      </c>
      <c r="C2939" s="87" t="s">
        <v>10</v>
      </c>
      <c r="D2939" s="87" t="str">
        <f>VLOOKUP(Tabela1[[#This Row],[Origem]], 'Perguntas 1 a 24'!$J$28:$K$34, 2, 0)</f>
        <v>Centro-Oeste</v>
      </c>
      <c r="E2939" s="87" t="str">
        <f>Tabela1[[#This Row],[Descrição]]&amp;"-"&amp;Tabela1[[#This Row],[Código]]&amp;"/"&amp;Tabela1[[#This Row],[Origem]]</f>
        <v>Voturapi-H653H173/GO</v>
      </c>
      <c r="F2939" s="88">
        <v>47259</v>
      </c>
      <c r="G2939" s="88" t="str" cm="1">
        <f t="array" ref="G29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AND(F2939&gt;= DATE(2026,1,1), F2939&lt;= DATE(2028, 12, 31), J2939&gt;50000), "Pendente e Caro", AND(F2939&gt;= DATE(2026,1,1), F2939&lt;= DATE(2028, 12, 31), J2939&lt;=50000), "Pendente", F2939&gt;= DATE(2029,1,1), "Não prioeitário")</f>
        <v>Não prioeitário</v>
      </c>
      <c r="H2939" s="89">
        <f>YEAR(Tabela1[[#This Row],[Data de Validade]])</f>
        <v>2029</v>
      </c>
      <c r="I2939" s="89">
        <f>MONTH(Tabela1[[#This Row],[Data de Validade]])</f>
        <v>5</v>
      </c>
      <c r="J2939" s="101">
        <v>23907</v>
      </c>
      <c r="K2939" s="87" t="s">
        <v>9</v>
      </c>
      <c r="L2939" s="108"/>
      <c r="M2939" s="108"/>
      <c r="N2939" s="108" t="str">
        <v>H911H823</v>
      </c>
      <c r="O2939" s="108">
        <f t="shared" si="47"/>
        <v>1</v>
      </c>
      <c r="P2939" s="108"/>
      <c r="Q2939"/>
    </row>
    <row r="2940" spans="1:17" x14ac:dyDescent="0.25">
      <c r="A2940" s="89" t="s">
        <v>6312</v>
      </c>
      <c r="B2940" s="87" t="s">
        <v>6313</v>
      </c>
      <c r="C2940" s="87" t="s">
        <v>15</v>
      </c>
      <c r="D2940" s="87" t="str">
        <f>VLOOKUP(Tabela1[[#This Row],[Origem]], 'Perguntas 1 a 24'!$J$28:$K$34, 2, 0)</f>
        <v>Sudeste</v>
      </c>
      <c r="E2940" s="87" t="str">
        <f>Tabela1[[#This Row],[Descrição]]&amp;"-"&amp;Tabela1[[#This Row],[Código]]&amp;"/"&amp;Tabela1[[#This Row],[Origem]]</f>
        <v>Riramofave-H911H823/ES</v>
      </c>
      <c r="F2940" s="88">
        <v>47261</v>
      </c>
      <c r="G2940" s="88" t="str" cm="1">
        <f t="array" ref="G29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AND(F2940&gt;= DATE(2026,1,1), F2940&lt;= DATE(2028, 12, 31), J2940&gt;50000), "Pendente e Caro", AND(F2940&gt;= DATE(2026,1,1), F2940&lt;= DATE(2028, 12, 31), J2940&lt;=50000), "Pendente", F2940&gt;= DATE(2029,1,1), "Não prioeitário")</f>
        <v>Não prioeitário</v>
      </c>
      <c r="H2940" s="89">
        <f>YEAR(Tabela1[[#This Row],[Data de Validade]])</f>
        <v>2029</v>
      </c>
      <c r="I2940" s="89">
        <f>MONTH(Tabela1[[#This Row],[Data de Validade]])</f>
        <v>5</v>
      </c>
      <c r="J2940" s="101">
        <v>69010</v>
      </c>
      <c r="K2940" s="87" t="s">
        <v>9</v>
      </c>
      <c r="L2940" s="108"/>
      <c r="M2940" s="108"/>
      <c r="N2940" s="108" t="str">
        <v>P852H735</v>
      </c>
      <c r="O2940" s="108">
        <f t="shared" si="47"/>
        <v>1</v>
      </c>
      <c r="P2940" s="108"/>
      <c r="Q2940"/>
    </row>
    <row r="2941" spans="1:17" x14ac:dyDescent="0.25">
      <c r="A2941" s="89" t="s">
        <v>10685</v>
      </c>
      <c r="B2941" s="87" t="s">
        <v>10686</v>
      </c>
      <c r="C2941" s="87" t="s">
        <v>12</v>
      </c>
      <c r="D2941" s="87" t="str">
        <f>VLOOKUP(Tabela1[[#This Row],[Origem]], 'Perguntas 1 a 24'!$J$28:$K$34, 2, 0)</f>
        <v>Sudeste</v>
      </c>
      <c r="E2941" s="87" t="str">
        <f>Tabela1[[#This Row],[Descrição]]&amp;"-"&amp;Tabela1[[#This Row],[Código]]&amp;"/"&amp;Tabela1[[#This Row],[Origem]]</f>
        <v>Ritomilu-P852H735/RJ</v>
      </c>
      <c r="F2941" s="88">
        <v>47262</v>
      </c>
      <c r="G2941" s="88" t="str" cm="1">
        <f t="array" ref="G29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AND(F2941&gt;= DATE(2026,1,1), F2941&lt;= DATE(2028, 12, 31), J2941&gt;50000), "Pendente e Caro", AND(F2941&gt;= DATE(2026,1,1), F2941&lt;= DATE(2028, 12, 31), J2941&lt;=50000), "Pendente", F2941&gt;= DATE(2029,1,1), "Não prioeitário")</f>
        <v>Não prioeitário</v>
      </c>
      <c r="H2941" s="89">
        <f>YEAR(Tabela1[[#This Row],[Data de Validade]])</f>
        <v>2029</v>
      </c>
      <c r="I2941" s="89">
        <f>MONTH(Tabela1[[#This Row],[Data de Validade]])</f>
        <v>5</v>
      </c>
      <c r="J2941" s="101">
        <v>86874</v>
      </c>
      <c r="K2941" s="87" t="s">
        <v>14</v>
      </c>
      <c r="L2941" s="108"/>
      <c r="M2941" s="108"/>
      <c r="N2941" s="108" t="str">
        <v>P487P391</v>
      </c>
      <c r="O2941" s="108">
        <f t="shared" si="47"/>
        <v>1</v>
      </c>
      <c r="P2941" s="108"/>
      <c r="Q2941"/>
    </row>
    <row r="2942" spans="1:17" x14ac:dyDescent="0.25">
      <c r="A2942" s="89" t="s">
        <v>6124</v>
      </c>
      <c r="B2942" s="87" t="s">
        <v>6125</v>
      </c>
      <c r="C2942" s="87" t="s">
        <v>8</v>
      </c>
      <c r="D2942" s="87" t="str">
        <f>VLOOKUP(Tabela1[[#This Row],[Origem]], 'Perguntas 1 a 24'!$J$28:$K$34, 2, 0)</f>
        <v>Nordeste</v>
      </c>
      <c r="E2942" s="87" t="str">
        <f>Tabela1[[#This Row],[Descrição]]&amp;"-"&amp;Tabela1[[#This Row],[Código]]&amp;"/"&amp;Tabela1[[#This Row],[Origem]]</f>
        <v>Locaco-P487P391/AL</v>
      </c>
      <c r="F2942" s="88">
        <v>47262</v>
      </c>
      <c r="G2942" s="88" t="str" cm="1">
        <f t="array" ref="G29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AND(F2942&gt;= DATE(2026,1,1), F2942&lt;= DATE(2028, 12, 31), J2942&gt;50000), "Pendente e Caro", AND(F2942&gt;= DATE(2026,1,1), F2942&lt;= DATE(2028, 12, 31), J2942&lt;=50000), "Pendente", F2942&gt;= DATE(2029,1,1), "Não prioeitário")</f>
        <v>Não prioeitário</v>
      </c>
      <c r="H2942" s="89">
        <f>YEAR(Tabela1[[#This Row],[Data de Validade]])</f>
        <v>2029</v>
      </c>
      <c r="I2942" s="89">
        <f>MONTH(Tabela1[[#This Row],[Data de Validade]])</f>
        <v>5</v>
      </c>
      <c r="J2942" s="101">
        <v>81948</v>
      </c>
      <c r="K2942" s="87" t="s">
        <v>11</v>
      </c>
      <c r="L2942" s="108"/>
      <c r="M2942" s="108"/>
      <c r="N2942" s="108" t="str">
        <v>H367P647</v>
      </c>
      <c r="O2942" s="108">
        <f t="shared" si="47"/>
        <v>1</v>
      </c>
      <c r="P2942" s="108"/>
      <c r="Q2942"/>
    </row>
    <row r="2943" spans="1:17" x14ac:dyDescent="0.25">
      <c r="A2943" s="89" t="s">
        <v>4850</v>
      </c>
      <c r="B2943" s="87" t="s">
        <v>4851</v>
      </c>
      <c r="C2943" s="87" t="s">
        <v>16</v>
      </c>
      <c r="D2943" s="87" t="str">
        <f>VLOOKUP(Tabela1[[#This Row],[Origem]], 'Perguntas 1 a 24'!$J$28:$K$34, 2, 0)</f>
        <v>Sudeste</v>
      </c>
      <c r="E2943" s="87" t="str">
        <f>Tabela1[[#This Row],[Descrição]]&amp;"-"&amp;Tabela1[[#This Row],[Código]]&amp;"/"&amp;Tabela1[[#This Row],[Origem]]</f>
        <v>Papinotuvu-H367P647/MG</v>
      </c>
      <c r="F2943" s="88">
        <v>47262</v>
      </c>
      <c r="G2943" s="88" t="str" cm="1">
        <f t="array" ref="G29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AND(F2943&gt;= DATE(2026,1,1), F2943&lt;= DATE(2028, 12, 31), J2943&gt;50000), "Pendente e Caro", AND(F2943&gt;= DATE(2026,1,1), F2943&lt;= DATE(2028, 12, 31), J2943&lt;=50000), "Pendente", F2943&gt;= DATE(2029,1,1), "Não prioeitário")</f>
        <v>Não prioeitário</v>
      </c>
      <c r="H2943" s="89">
        <f>YEAR(Tabela1[[#This Row],[Data de Validade]])</f>
        <v>2029</v>
      </c>
      <c r="I2943" s="89">
        <f>MONTH(Tabela1[[#This Row],[Data de Validade]])</f>
        <v>5</v>
      </c>
      <c r="J2943" s="101">
        <v>71635</v>
      </c>
      <c r="K2943" s="87" t="s">
        <v>14</v>
      </c>
      <c r="L2943" s="108"/>
      <c r="M2943" s="108"/>
      <c r="N2943" s="108" t="str">
        <v>P584P635</v>
      </c>
      <c r="O2943" s="108">
        <f t="shared" si="47"/>
        <v>1</v>
      </c>
      <c r="P2943" s="108"/>
      <c r="Q2943"/>
    </row>
    <row r="2944" spans="1:17" x14ac:dyDescent="0.25">
      <c r="A2944" s="89" t="s">
        <v>9283</v>
      </c>
      <c r="B2944" s="87" t="s">
        <v>9284</v>
      </c>
      <c r="C2944" s="87" t="s">
        <v>12</v>
      </c>
      <c r="D2944" s="87" t="str">
        <f>VLOOKUP(Tabela1[[#This Row],[Origem]], 'Perguntas 1 a 24'!$J$28:$K$34, 2, 0)</f>
        <v>Sudeste</v>
      </c>
      <c r="E2944" s="87" t="str">
        <f>Tabela1[[#This Row],[Descrição]]&amp;"-"&amp;Tabela1[[#This Row],[Código]]&amp;"/"&amp;Tabela1[[#This Row],[Origem]]</f>
        <v>Pecoduni-P584P635/RJ</v>
      </c>
      <c r="F2944" s="88">
        <v>47262</v>
      </c>
      <c r="G2944" s="88" t="str" cm="1">
        <f t="array" ref="G29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AND(F2944&gt;= DATE(2026,1,1), F2944&lt;= DATE(2028, 12, 31), J2944&gt;50000), "Pendente e Caro", AND(F2944&gt;= DATE(2026,1,1), F2944&lt;= DATE(2028, 12, 31), J2944&lt;=50000), "Pendente", F2944&gt;= DATE(2029,1,1), "Não prioeitário")</f>
        <v>Não prioeitário</v>
      </c>
      <c r="H2944" s="89">
        <f>YEAR(Tabela1[[#This Row],[Data de Validade]])</f>
        <v>2029</v>
      </c>
      <c r="I2944" s="89">
        <f>MONTH(Tabela1[[#This Row],[Data de Validade]])</f>
        <v>5</v>
      </c>
      <c r="J2944" s="101">
        <v>56322</v>
      </c>
      <c r="K2944" s="87" t="s">
        <v>9</v>
      </c>
      <c r="L2944" s="108"/>
      <c r="M2944" s="108"/>
      <c r="N2944" s="108" t="str">
        <v>H738H722</v>
      </c>
      <c r="O2944" s="108">
        <f t="shared" si="47"/>
        <v>1</v>
      </c>
      <c r="P2944" s="108"/>
      <c r="Q2944"/>
    </row>
    <row r="2945" spans="1:17" x14ac:dyDescent="0.25">
      <c r="A2945" s="89" t="s">
        <v>7616</v>
      </c>
      <c r="B2945" s="87" t="s">
        <v>7617</v>
      </c>
      <c r="C2945" s="87" t="s">
        <v>16</v>
      </c>
      <c r="D2945" s="87" t="str">
        <f>VLOOKUP(Tabela1[[#This Row],[Origem]], 'Perguntas 1 a 24'!$J$28:$K$34, 2, 0)</f>
        <v>Sudeste</v>
      </c>
      <c r="E2945" s="87" t="str">
        <f>Tabela1[[#This Row],[Descrição]]&amp;"-"&amp;Tabela1[[#This Row],[Código]]&amp;"/"&amp;Tabela1[[#This Row],[Origem]]</f>
        <v>Pidipepa-H738H722/MG</v>
      </c>
      <c r="F2945" s="88">
        <v>47262</v>
      </c>
      <c r="G2945" s="88" t="str" cm="1">
        <f t="array" ref="G29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AND(F2945&gt;= DATE(2026,1,1), F2945&lt;= DATE(2028, 12, 31), J2945&gt;50000), "Pendente e Caro", AND(F2945&gt;= DATE(2026,1,1), F2945&lt;= DATE(2028, 12, 31), J2945&lt;=50000), "Pendente", F2945&gt;= DATE(2029,1,1), "Não prioeitário")</f>
        <v>Não prioeitário</v>
      </c>
      <c r="H2945" s="89">
        <f>YEAR(Tabela1[[#This Row],[Data de Validade]])</f>
        <v>2029</v>
      </c>
      <c r="I2945" s="89">
        <f>MONTH(Tabela1[[#This Row],[Data de Validade]])</f>
        <v>5</v>
      </c>
      <c r="J2945" s="101">
        <v>26238</v>
      </c>
      <c r="K2945" s="87" t="s">
        <v>7</v>
      </c>
      <c r="L2945" s="108"/>
      <c r="M2945" s="108"/>
      <c r="N2945" s="108" t="str">
        <v>H958P391</v>
      </c>
      <c r="O2945" s="108">
        <f t="shared" si="47"/>
        <v>1</v>
      </c>
      <c r="P2945" s="108"/>
      <c r="Q2945"/>
    </row>
    <row r="2946" spans="1:17" x14ac:dyDescent="0.25">
      <c r="A2946" s="89" t="s">
        <v>6396</v>
      </c>
      <c r="B2946" s="87" t="s">
        <v>6397</v>
      </c>
      <c r="C2946" s="87" t="s">
        <v>13</v>
      </c>
      <c r="D2946" s="87" t="str">
        <f>VLOOKUP(Tabela1[[#This Row],[Origem]], 'Perguntas 1 a 24'!$J$28:$K$34, 2, 0)</f>
        <v>Sudeste</v>
      </c>
      <c r="E2946" s="87" t="str">
        <f>Tabela1[[#This Row],[Descrição]]&amp;"-"&amp;Tabela1[[#This Row],[Código]]&amp;"/"&amp;Tabela1[[#This Row],[Origem]]</f>
        <v>Cepirumida-H958P391/SP</v>
      </c>
      <c r="F2946" s="88">
        <v>47264</v>
      </c>
      <c r="G2946" s="88" t="str" cm="1">
        <f t="array" ref="G29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AND(F2946&gt;= DATE(2026,1,1), F2946&lt;= DATE(2028, 12, 31), J2946&gt;50000), "Pendente e Caro", AND(F2946&gt;= DATE(2026,1,1), F2946&lt;= DATE(2028, 12, 31), J2946&lt;=50000), "Pendente", F2946&gt;= DATE(2029,1,1), "Não prioeitário")</f>
        <v>Não prioeitário</v>
      </c>
      <c r="H2946" s="89">
        <f>YEAR(Tabela1[[#This Row],[Data de Validade]])</f>
        <v>2029</v>
      </c>
      <c r="I2946" s="89">
        <f>MONTH(Tabela1[[#This Row],[Data de Validade]])</f>
        <v>5</v>
      </c>
      <c r="J2946" s="101">
        <v>102442</v>
      </c>
      <c r="K2946" s="87" t="s">
        <v>9</v>
      </c>
      <c r="L2946" s="108"/>
      <c r="M2946" s="108"/>
      <c r="N2946" s="108" t="str">
        <v>P886H168</v>
      </c>
      <c r="O2946" s="108">
        <f t="shared" si="47"/>
        <v>1</v>
      </c>
      <c r="P2946" s="108"/>
      <c r="Q2946"/>
    </row>
    <row r="2947" spans="1:17" x14ac:dyDescent="0.25">
      <c r="A2947" s="89" t="s">
        <v>7644</v>
      </c>
      <c r="B2947" s="87" t="s">
        <v>7645</v>
      </c>
      <c r="C2947" s="87" t="s">
        <v>16</v>
      </c>
      <c r="D2947" s="87" t="str">
        <f>VLOOKUP(Tabela1[[#This Row],[Origem]], 'Perguntas 1 a 24'!$J$28:$K$34, 2, 0)</f>
        <v>Sudeste</v>
      </c>
      <c r="E2947" s="87" t="str">
        <f>Tabela1[[#This Row],[Descrição]]&amp;"-"&amp;Tabela1[[#This Row],[Código]]&amp;"/"&amp;Tabela1[[#This Row],[Origem]]</f>
        <v>Purulepele-P886H168/MG</v>
      </c>
      <c r="F2947" s="88">
        <v>47264</v>
      </c>
      <c r="G2947" s="88" t="str" cm="1">
        <f t="array" ref="G29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AND(F2947&gt;= DATE(2026,1,1), F2947&lt;= DATE(2028, 12, 31), J2947&gt;50000), "Pendente e Caro", AND(F2947&gt;= DATE(2026,1,1), F2947&lt;= DATE(2028, 12, 31), J2947&lt;=50000), "Pendente", F2947&gt;= DATE(2029,1,1), "Não prioeitário")</f>
        <v>Não prioeitário</v>
      </c>
      <c r="H2947" s="89">
        <f>YEAR(Tabela1[[#This Row],[Data de Validade]])</f>
        <v>2029</v>
      </c>
      <c r="I2947" s="89">
        <f>MONTH(Tabela1[[#This Row],[Data de Validade]])</f>
        <v>5</v>
      </c>
      <c r="J2947" s="101">
        <v>77094</v>
      </c>
      <c r="K2947" s="87" t="s">
        <v>7</v>
      </c>
      <c r="L2947" s="108"/>
      <c r="M2947" s="108"/>
      <c r="N2947" s="108" t="str">
        <v>P546H542</v>
      </c>
      <c r="O2947" s="108">
        <f t="shared" ref="O2947:O3010" si="48">COUNTIFS(B:B,N2947)</f>
        <v>1</v>
      </c>
      <c r="P2947" s="108"/>
      <c r="Q2947"/>
    </row>
    <row r="2948" spans="1:17" x14ac:dyDescent="0.25">
      <c r="A2948" s="89" t="s">
        <v>5518</v>
      </c>
      <c r="B2948" s="87" t="s">
        <v>5519</v>
      </c>
      <c r="C2948" s="87" t="s">
        <v>12</v>
      </c>
      <c r="D2948" s="87" t="str">
        <f>VLOOKUP(Tabela1[[#This Row],[Origem]], 'Perguntas 1 a 24'!$J$28:$K$34, 2, 0)</f>
        <v>Sudeste</v>
      </c>
      <c r="E2948" s="87" t="str">
        <f>Tabela1[[#This Row],[Descrição]]&amp;"-"&amp;Tabela1[[#This Row],[Código]]&amp;"/"&amp;Tabela1[[#This Row],[Origem]]</f>
        <v>Temica-P546H542/RJ</v>
      </c>
      <c r="F2948" s="88">
        <v>47265</v>
      </c>
      <c r="G2948" s="88" t="str" cm="1">
        <f t="array" ref="G29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AND(F2948&gt;= DATE(2026,1,1), F2948&lt;= DATE(2028, 12, 31), J2948&gt;50000), "Pendente e Caro", AND(F2948&gt;= DATE(2026,1,1), F2948&lt;= DATE(2028, 12, 31), J2948&lt;=50000), "Pendente", F2948&gt;= DATE(2029,1,1), "Não prioeitário")</f>
        <v>Não prioeitário</v>
      </c>
      <c r="H2948" s="89">
        <f>YEAR(Tabela1[[#This Row],[Data de Validade]])</f>
        <v>2029</v>
      </c>
      <c r="I2948" s="89">
        <f>MONTH(Tabela1[[#This Row],[Data de Validade]])</f>
        <v>5</v>
      </c>
      <c r="J2948" s="101">
        <v>96859</v>
      </c>
      <c r="K2948" s="87" t="s">
        <v>9</v>
      </c>
      <c r="L2948" s="108"/>
      <c r="M2948" s="108"/>
      <c r="N2948" s="108" t="str">
        <v>P634H574</v>
      </c>
      <c r="O2948" s="108">
        <f t="shared" si="48"/>
        <v>1</v>
      </c>
      <c r="P2948" s="108"/>
      <c r="Q2948"/>
    </row>
    <row r="2949" spans="1:17" x14ac:dyDescent="0.25">
      <c r="A2949" s="89" t="s">
        <v>9989</v>
      </c>
      <c r="B2949" s="87" t="s">
        <v>9990</v>
      </c>
      <c r="C2949" s="87" t="s">
        <v>15</v>
      </c>
      <c r="D2949" s="87" t="str">
        <f>VLOOKUP(Tabela1[[#This Row],[Origem]], 'Perguntas 1 a 24'!$J$28:$K$34, 2, 0)</f>
        <v>Sudeste</v>
      </c>
      <c r="E2949" s="87" t="str">
        <f>Tabela1[[#This Row],[Descrição]]&amp;"-"&amp;Tabela1[[#This Row],[Código]]&amp;"/"&amp;Tabela1[[#This Row],[Origem]]</f>
        <v>Pegati-P634H574/ES</v>
      </c>
      <c r="F2949" s="88">
        <v>47265</v>
      </c>
      <c r="G2949" s="88" t="str" cm="1">
        <f t="array" ref="G29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AND(F2949&gt;= DATE(2026,1,1), F2949&lt;= DATE(2028, 12, 31), J2949&gt;50000), "Pendente e Caro", AND(F2949&gt;= DATE(2026,1,1), F2949&lt;= DATE(2028, 12, 31), J2949&lt;=50000), "Pendente", F2949&gt;= DATE(2029,1,1), "Não prioeitário")</f>
        <v>Não prioeitário</v>
      </c>
      <c r="H2949" s="89">
        <f>YEAR(Tabela1[[#This Row],[Data de Validade]])</f>
        <v>2029</v>
      </c>
      <c r="I2949" s="89">
        <f>MONTH(Tabela1[[#This Row],[Data de Validade]])</f>
        <v>5</v>
      </c>
      <c r="J2949" s="101">
        <v>77899</v>
      </c>
      <c r="K2949" s="87" t="s">
        <v>14</v>
      </c>
      <c r="L2949" s="108"/>
      <c r="M2949" s="108"/>
      <c r="N2949" s="108" t="str">
        <v>H831P148</v>
      </c>
      <c r="O2949" s="108">
        <f t="shared" si="48"/>
        <v>1</v>
      </c>
      <c r="P2949" s="108"/>
      <c r="Q2949"/>
    </row>
    <row r="2950" spans="1:17" x14ac:dyDescent="0.25">
      <c r="A2950" s="89" t="s">
        <v>10815</v>
      </c>
      <c r="B2950" s="87" t="s">
        <v>10816</v>
      </c>
      <c r="C2950" s="87" t="s">
        <v>13</v>
      </c>
      <c r="D2950" s="87" t="str">
        <f>VLOOKUP(Tabela1[[#This Row],[Origem]], 'Perguntas 1 a 24'!$J$28:$K$34, 2, 0)</f>
        <v>Sudeste</v>
      </c>
      <c r="E2950" s="87" t="str">
        <f>Tabela1[[#This Row],[Descrição]]&amp;"-"&amp;Tabela1[[#This Row],[Código]]&amp;"/"&amp;Tabela1[[#This Row],[Origem]]</f>
        <v>Dacoda-H831P148/SP</v>
      </c>
      <c r="F2950" s="88">
        <v>47266</v>
      </c>
      <c r="G2950" s="88" t="str" cm="1">
        <f t="array" ref="G29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AND(F2950&gt;= DATE(2026,1,1), F2950&lt;= DATE(2028, 12, 31), J2950&gt;50000), "Pendente e Caro", AND(F2950&gt;= DATE(2026,1,1), F2950&lt;= DATE(2028, 12, 31), J2950&lt;=50000), "Pendente", F2950&gt;= DATE(2029,1,1), "Não prioeitário")</f>
        <v>Não prioeitário</v>
      </c>
      <c r="H2950" s="89">
        <f>YEAR(Tabela1[[#This Row],[Data de Validade]])</f>
        <v>2029</v>
      </c>
      <c r="I2950" s="89">
        <f>MONTH(Tabela1[[#This Row],[Data de Validade]])</f>
        <v>5</v>
      </c>
      <c r="J2950" s="101">
        <v>102602</v>
      </c>
      <c r="K2950" s="87" t="s">
        <v>11</v>
      </c>
      <c r="L2950" s="108"/>
      <c r="M2950" s="108"/>
      <c r="N2950" s="108" t="str">
        <v>H826H491</v>
      </c>
      <c r="O2950" s="108">
        <f t="shared" si="48"/>
        <v>1</v>
      </c>
      <c r="P2950" s="108"/>
      <c r="Q2950"/>
    </row>
    <row r="2951" spans="1:17" x14ac:dyDescent="0.25">
      <c r="A2951" s="89" t="s">
        <v>8997</v>
      </c>
      <c r="B2951" s="87" t="s">
        <v>8998</v>
      </c>
      <c r="C2951" s="87" t="s">
        <v>10</v>
      </c>
      <c r="D2951" s="87" t="str">
        <f>VLOOKUP(Tabela1[[#This Row],[Origem]], 'Perguntas 1 a 24'!$J$28:$K$34, 2, 0)</f>
        <v>Centro-Oeste</v>
      </c>
      <c r="E2951" s="87" t="str">
        <f>Tabela1[[#This Row],[Descrição]]&amp;"-"&amp;Tabela1[[#This Row],[Código]]&amp;"/"&amp;Tabela1[[#This Row],[Origem]]</f>
        <v>Pupana-H826H491/GO</v>
      </c>
      <c r="F2951" s="88">
        <v>47266</v>
      </c>
      <c r="G2951" s="88" t="str" cm="1">
        <f t="array" ref="G29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AND(F2951&gt;= DATE(2026,1,1), F2951&lt;= DATE(2028, 12, 31), J2951&gt;50000), "Pendente e Caro", AND(F2951&gt;= DATE(2026,1,1), F2951&lt;= DATE(2028, 12, 31), J2951&lt;=50000), "Pendente", F2951&gt;= DATE(2029,1,1), "Não prioeitário")</f>
        <v>Não prioeitário</v>
      </c>
      <c r="H2951" s="89">
        <f>YEAR(Tabela1[[#This Row],[Data de Validade]])</f>
        <v>2029</v>
      </c>
      <c r="I2951" s="89">
        <f>MONTH(Tabela1[[#This Row],[Data de Validade]])</f>
        <v>5</v>
      </c>
      <c r="J2951" s="101">
        <v>43020</v>
      </c>
      <c r="K2951" s="87" t="s">
        <v>14</v>
      </c>
      <c r="L2951" s="108"/>
      <c r="M2951" s="108"/>
      <c r="N2951" s="108" t="str">
        <v>H122H165</v>
      </c>
      <c r="O2951" s="108">
        <f t="shared" si="48"/>
        <v>1</v>
      </c>
      <c r="P2951" s="108"/>
      <c r="Q2951"/>
    </row>
    <row r="2952" spans="1:17" x14ac:dyDescent="0.25">
      <c r="A2952" s="89" t="s">
        <v>7916</v>
      </c>
      <c r="B2952" s="87" t="s">
        <v>7917</v>
      </c>
      <c r="C2952" s="87" t="s">
        <v>15</v>
      </c>
      <c r="D2952" s="87" t="str">
        <f>VLOOKUP(Tabela1[[#This Row],[Origem]], 'Perguntas 1 a 24'!$J$28:$K$34, 2, 0)</f>
        <v>Sudeste</v>
      </c>
      <c r="E2952" s="87" t="str">
        <f>Tabela1[[#This Row],[Descrição]]&amp;"-"&amp;Tabela1[[#This Row],[Código]]&amp;"/"&amp;Tabela1[[#This Row],[Origem]]</f>
        <v>Vorafapora-H122H165/ES</v>
      </c>
      <c r="F2952" s="88">
        <v>47267</v>
      </c>
      <c r="G2952" s="88" t="str" cm="1">
        <f t="array" ref="G29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AND(F2952&gt;= DATE(2026,1,1), F2952&lt;= DATE(2028, 12, 31), J2952&gt;50000), "Pendente e Caro", AND(F2952&gt;= DATE(2026,1,1), F2952&lt;= DATE(2028, 12, 31), J2952&lt;=50000), "Pendente", F2952&gt;= DATE(2029,1,1), "Não prioeitário")</f>
        <v>Não prioeitário</v>
      </c>
      <c r="H2952" s="89">
        <f>YEAR(Tabela1[[#This Row],[Data de Validade]])</f>
        <v>2029</v>
      </c>
      <c r="I2952" s="89">
        <f>MONTH(Tabela1[[#This Row],[Data de Validade]])</f>
        <v>5</v>
      </c>
      <c r="J2952" s="101">
        <v>91322</v>
      </c>
      <c r="K2952" s="87" t="s">
        <v>9</v>
      </c>
      <c r="L2952" s="108"/>
      <c r="M2952" s="108"/>
      <c r="N2952" s="108" t="str">
        <v>P841P895</v>
      </c>
      <c r="O2952" s="108">
        <f t="shared" si="48"/>
        <v>1</v>
      </c>
      <c r="P2952" s="108"/>
      <c r="Q2952"/>
    </row>
    <row r="2953" spans="1:17" x14ac:dyDescent="0.25">
      <c r="A2953" s="89" t="s">
        <v>8158</v>
      </c>
      <c r="B2953" s="87" t="s">
        <v>8159</v>
      </c>
      <c r="C2953" s="87" t="s">
        <v>12</v>
      </c>
      <c r="D2953" s="87" t="str">
        <f>VLOOKUP(Tabela1[[#This Row],[Origem]], 'Perguntas 1 a 24'!$J$28:$K$34, 2, 0)</f>
        <v>Sudeste</v>
      </c>
      <c r="E2953" s="87" t="str">
        <f>Tabela1[[#This Row],[Descrição]]&amp;"-"&amp;Tabela1[[#This Row],[Código]]&amp;"/"&amp;Tabela1[[#This Row],[Origem]]</f>
        <v>Dicadipita-P841P895/RJ</v>
      </c>
      <c r="F2953" s="88">
        <v>47269</v>
      </c>
      <c r="G2953" s="88" t="str" cm="1">
        <f t="array" ref="G29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AND(F2953&gt;= DATE(2026,1,1), F2953&lt;= DATE(2028, 12, 31), J2953&gt;50000), "Pendente e Caro", AND(F2953&gt;= DATE(2026,1,1), F2953&lt;= DATE(2028, 12, 31), J2953&lt;=50000), "Pendente", F2953&gt;= DATE(2029,1,1), "Não prioeitário")</f>
        <v>Não prioeitário</v>
      </c>
      <c r="H2953" s="89">
        <f>YEAR(Tabela1[[#This Row],[Data de Validade]])</f>
        <v>2029</v>
      </c>
      <c r="I2953" s="89">
        <f>MONTH(Tabela1[[#This Row],[Data de Validade]])</f>
        <v>5</v>
      </c>
      <c r="J2953" s="101">
        <v>89130</v>
      </c>
      <c r="K2953" s="87" t="s">
        <v>11</v>
      </c>
      <c r="L2953" s="108"/>
      <c r="M2953" s="108"/>
      <c r="N2953" s="108" t="str">
        <v>P754H393</v>
      </c>
      <c r="O2953" s="108">
        <f t="shared" si="48"/>
        <v>1</v>
      </c>
      <c r="P2953" s="108"/>
      <c r="Q2953"/>
    </row>
    <row r="2954" spans="1:17" x14ac:dyDescent="0.25">
      <c r="A2954" s="89" t="s">
        <v>6082</v>
      </c>
      <c r="B2954" s="87" t="s">
        <v>6083</v>
      </c>
      <c r="C2954" s="87" t="s">
        <v>16</v>
      </c>
      <c r="D2954" s="87" t="str">
        <f>VLOOKUP(Tabela1[[#This Row],[Origem]], 'Perguntas 1 a 24'!$J$28:$K$34, 2, 0)</f>
        <v>Sudeste</v>
      </c>
      <c r="E2954" s="87" t="str">
        <f>Tabela1[[#This Row],[Descrição]]&amp;"-"&amp;Tabela1[[#This Row],[Código]]&amp;"/"&amp;Tabela1[[#This Row],[Origem]]</f>
        <v>Rageta-P754H393/MG</v>
      </c>
      <c r="F2954" s="88">
        <v>47270</v>
      </c>
      <c r="G2954" s="88" t="str" cm="1">
        <f t="array" ref="G29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AND(F2954&gt;= DATE(2026,1,1), F2954&lt;= DATE(2028, 12, 31), J2954&gt;50000), "Pendente e Caro", AND(F2954&gt;= DATE(2026,1,1), F2954&lt;= DATE(2028, 12, 31), J2954&lt;=50000), "Pendente", F2954&gt;= DATE(2029,1,1), "Não prioeitário")</f>
        <v>Não prioeitário</v>
      </c>
      <c r="H2954" s="89">
        <f>YEAR(Tabela1[[#This Row],[Data de Validade]])</f>
        <v>2029</v>
      </c>
      <c r="I2954" s="89">
        <f>MONTH(Tabela1[[#This Row],[Data de Validade]])</f>
        <v>6</v>
      </c>
      <c r="J2954" s="101">
        <v>32770</v>
      </c>
      <c r="K2954" s="87" t="s">
        <v>9</v>
      </c>
      <c r="L2954" s="108"/>
      <c r="M2954" s="108"/>
      <c r="N2954" s="108" t="str">
        <v>P889P674</v>
      </c>
      <c r="O2954" s="108">
        <f t="shared" si="48"/>
        <v>1</v>
      </c>
      <c r="P2954" s="108"/>
      <c r="Q2954"/>
    </row>
    <row r="2955" spans="1:17" x14ac:dyDescent="0.25">
      <c r="A2955" s="89" t="s">
        <v>8148</v>
      </c>
      <c r="B2955" s="87" t="s">
        <v>8149</v>
      </c>
      <c r="C2955" s="87" t="s">
        <v>16</v>
      </c>
      <c r="D2955" s="87" t="str">
        <f>VLOOKUP(Tabela1[[#This Row],[Origem]], 'Perguntas 1 a 24'!$J$28:$K$34, 2, 0)</f>
        <v>Sudeste</v>
      </c>
      <c r="E2955" s="87" t="str">
        <f>Tabela1[[#This Row],[Descrição]]&amp;"-"&amp;Tabela1[[#This Row],[Código]]&amp;"/"&amp;Tabela1[[#This Row],[Origem]]</f>
        <v>Pugulumovu-P889P674/MG</v>
      </c>
      <c r="F2955" s="88">
        <v>47271</v>
      </c>
      <c r="G2955" s="88" t="str" cm="1">
        <f t="array" ref="G29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AND(F2955&gt;= DATE(2026,1,1), F2955&lt;= DATE(2028, 12, 31), J2955&gt;50000), "Pendente e Caro", AND(F2955&gt;= DATE(2026,1,1), F2955&lt;= DATE(2028, 12, 31), J2955&lt;=50000), "Pendente", F2955&gt;= DATE(2029,1,1), "Não prioeitário")</f>
        <v>Não prioeitário</v>
      </c>
      <c r="H2955" s="89">
        <f>YEAR(Tabela1[[#This Row],[Data de Validade]])</f>
        <v>2029</v>
      </c>
      <c r="I2955" s="89">
        <f>MONTH(Tabela1[[#This Row],[Data de Validade]])</f>
        <v>6</v>
      </c>
      <c r="J2955" s="101">
        <v>95927</v>
      </c>
      <c r="K2955" s="87" t="s">
        <v>7</v>
      </c>
      <c r="L2955" s="108"/>
      <c r="M2955" s="108"/>
      <c r="N2955" s="108" t="str">
        <v>H927H182</v>
      </c>
      <c r="O2955" s="108">
        <f t="shared" si="48"/>
        <v>1</v>
      </c>
      <c r="P2955" s="108"/>
      <c r="Q2955"/>
    </row>
    <row r="2956" spans="1:17" x14ac:dyDescent="0.25">
      <c r="A2956" s="89" t="s">
        <v>10665</v>
      </c>
      <c r="B2956" s="87" t="s">
        <v>10666</v>
      </c>
      <c r="C2956" s="87" t="s">
        <v>6</v>
      </c>
      <c r="D2956" s="87" t="str">
        <f>VLOOKUP(Tabela1[[#This Row],[Origem]], 'Perguntas 1 a 24'!$J$28:$K$34, 2, 0)</f>
        <v>Nordeste</v>
      </c>
      <c r="E2956" s="87" t="str">
        <f>Tabela1[[#This Row],[Descrição]]&amp;"-"&amp;Tabela1[[#This Row],[Código]]&amp;"/"&amp;Tabela1[[#This Row],[Origem]]</f>
        <v>Topape-H927H182/MA</v>
      </c>
      <c r="F2956" s="88">
        <v>47272</v>
      </c>
      <c r="G2956" s="88" t="str" cm="1">
        <f t="array" ref="G29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AND(F2956&gt;= DATE(2026,1,1), F2956&lt;= DATE(2028, 12, 31), J2956&gt;50000), "Pendente e Caro", AND(F2956&gt;= DATE(2026,1,1), F2956&lt;= DATE(2028, 12, 31), J2956&lt;=50000), "Pendente", F2956&gt;= DATE(2029,1,1), "Não prioeitário")</f>
        <v>Não prioeitário</v>
      </c>
      <c r="H2956" s="89">
        <f>YEAR(Tabela1[[#This Row],[Data de Validade]])</f>
        <v>2029</v>
      </c>
      <c r="I2956" s="89">
        <f>MONTH(Tabela1[[#This Row],[Data de Validade]])</f>
        <v>6</v>
      </c>
      <c r="J2956" s="101">
        <v>101069</v>
      </c>
      <c r="K2956" s="87" t="s">
        <v>11</v>
      </c>
      <c r="L2956" s="108"/>
      <c r="M2956" s="108"/>
      <c r="N2956" s="108" t="str">
        <v>P295P974</v>
      </c>
      <c r="O2956" s="108">
        <f t="shared" si="48"/>
        <v>1</v>
      </c>
      <c r="P2956" s="108"/>
      <c r="Q2956"/>
    </row>
    <row r="2957" spans="1:17" x14ac:dyDescent="0.25">
      <c r="A2957" s="89" t="s">
        <v>8170</v>
      </c>
      <c r="B2957" s="87" t="s">
        <v>8171</v>
      </c>
      <c r="C2957" s="87" t="s">
        <v>13</v>
      </c>
      <c r="D2957" s="87" t="str">
        <f>VLOOKUP(Tabela1[[#This Row],[Origem]], 'Perguntas 1 a 24'!$J$28:$K$34, 2, 0)</f>
        <v>Sudeste</v>
      </c>
      <c r="E2957" s="87" t="str">
        <f>Tabela1[[#This Row],[Descrição]]&amp;"-"&amp;Tabela1[[#This Row],[Código]]&amp;"/"&amp;Tabela1[[#This Row],[Origem]]</f>
        <v>Titecevu-P295P974/SP</v>
      </c>
      <c r="F2957" s="88">
        <v>47272</v>
      </c>
      <c r="G2957" s="88" t="str" cm="1">
        <f t="array" ref="G29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AND(F2957&gt;= DATE(2026,1,1), F2957&lt;= DATE(2028, 12, 31), J2957&gt;50000), "Pendente e Caro", AND(F2957&gt;= DATE(2026,1,1), F2957&lt;= DATE(2028, 12, 31), J2957&lt;=50000), "Pendente", F2957&gt;= DATE(2029,1,1), "Não prioeitário")</f>
        <v>Não prioeitário</v>
      </c>
      <c r="H2957" s="89">
        <f>YEAR(Tabela1[[#This Row],[Data de Validade]])</f>
        <v>2029</v>
      </c>
      <c r="I2957" s="89">
        <f>MONTH(Tabela1[[#This Row],[Data de Validade]])</f>
        <v>6</v>
      </c>
      <c r="J2957" s="101">
        <v>80093</v>
      </c>
      <c r="K2957" s="87" t="s">
        <v>7</v>
      </c>
      <c r="L2957" s="108"/>
      <c r="M2957" s="108"/>
      <c r="N2957" s="108" t="str">
        <v>P656P161</v>
      </c>
      <c r="O2957" s="108">
        <f t="shared" si="48"/>
        <v>1</v>
      </c>
      <c r="P2957" s="108"/>
      <c r="Q2957"/>
    </row>
    <row r="2958" spans="1:17" x14ac:dyDescent="0.25">
      <c r="A2958" s="89" t="s">
        <v>8346</v>
      </c>
      <c r="B2958" s="87" t="s">
        <v>8347</v>
      </c>
      <c r="C2958" s="87" t="s">
        <v>10</v>
      </c>
      <c r="D2958" s="87" t="str">
        <f>VLOOKUP(Tabela1[[#This Row],[Origem]], 'Perguntas 1 a 24'!$J$28:$K$34, 2, 0)</f>
        <v>Centro-Oeste</v>
      </c>
      <c r="E2958" s="87" t="str">
        <f>Tabela1[[#This Row],[Descrição]]&amp;"-"&amp;Tabela1[[#This Row],[Código]]&amp;"/"&amp;Tabela1[[#This Row],[Origem]]</f>
        <v>Rapetata-P656P161/GO</v>
      </c>
      <c r="F2958" s="88">
        <v>47272</v>
      </c>
      <c r="G2958" s="88" t="str" cm="1">
        <f t="array" ref="G29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AND(F2958&gt;= DATE(2026,1,1), F2958&lt;= DATE(2028, 12, 31), J2958&gt;50000), "Pendente e Caro", AND(F2958&gt;= DATE(2026,1,1), F2958&lt;= DATE(2028, 12, 31), J2958&lt;=50000), "Pendente", F2958&gt;= DATE(2029,1,1), "Não prioeitário")</f>
        <v>Não prioeitário</v>
      </c>
      <c r="H2958" s="89">
        <f>YEAR(Tabela1[[#This Row],[Data de Validade]])</f>
        <v>2029</v>
      </c>
      <c r="I2958" s="89">
        <f>MONTH(Tabela1[[#This Row],[Data de Validade]])</f>
        <v>6</v>
      </c>
      <c r="J2958" s="101">
        <v>43989</v>
      </c>
      <c r="K2958" s="87" t="s">
        <v>9</v>
      </c>
      <c r="L2958" s="108"/>
      <c r="M2958" s="108"/>
      <c r="N2958" s="108" t="str">
        <v>H163H833</v>
      </c>
      <c r="O2958" s="108">
        <f t="shared" si="48"/>
        <v>1</v>
      </c>
      <c r="P2958" s="108"/>
      <c r="Q2958"/>
    </row>
    <row r="2959" spans="1:17" x14ac:dyDescent="0.25">
      <c r="A2959" s="89" t="s">
        <v>6214</v>
      </c>
      <c r="B2959" s="87" t="s">
        <v>6215</v>
      </c>
      <c r="C2959" s="87" t="s">
        <v>16</v>
      </c>
      <c r="D2959" s="87" t="str">
        <f>VLOOKUP(Tabela1[[#This Row],[Origem]], 'Perguntas 1 a 24'!$J$28:$K$34, 2, 0)</f>
        <v>Sudeste</v>
      </c>
      <c r="E2959" s="87" t="str">
        <f>Tabela1[[#This Row],[Descrição]]&amp;"-"&amp;Tabela1[[#This Row],[Código]]&amp;"/"&amp;Tabela1[[#This Row],[Origem]]</f>
        <v>Lopucu-H163H833/MG</v>
      </c>
      <c r="F2959" s="88">
        <v>47272</v>
      </c>
      <c r="G2959" s="88" t="str" cm="1">
        <f t="array" ref="G29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AND(F2959&gt;= DATE(2026,1,1), F2959&lt;= DATE(2028, 12, 31), J2959&gt;50000), "Pendente e Caro", AND(F2959&gt;= DATE(2026,1,1), F2959&lt;= DATE(2028, 12, 31), J2959&lt;=50000), "Pendente", F2959&gt;= DATE(2029,1,1), "Não prioeitário")</f>
        <v>Não prioeitário</v>
      </c>
      <c r="H2959" s="89">
        <f>YEAR(Tabela1[[#This Row],[Data de Validade]])</f>
        <v>2029</v>
      </c>
      <c r="I2959" s="89">
        <f>MONTH(Tabela1[[#This Row],[Data de Validade]])</f>
        <v>6</v>
      </c>
      <c r="J2959" s="101">
        <v>37622</v>
      </c>
      <c r="K2959" s="87" t="s">
        <v>9</v>
      </c>
      <c r="L2959" s="108"/>
      <c r="M2959" s="108"/>
      <c r="N2959" s="108" t="str">
        <v>P937P341</v>
      </c>
      <c r="O2959" s="108">
        <f t="shared" si="48"/>
        <v>1</v>
      </c>
      <c r="P2959" s="108"/>
      <c r="Q2959"/>
    </row>
    <row r="2960" spans="1:17" x14ac:dyDescent="0.25">
      <c r="A2960" s="89" t="s">
        <v>7338</v>
      </c>
      <c r="B2960" s="87" t="s">
        <v>7339</v>
      </c>
      <c r="C2960" s="87" t="s">
        <v>15</v>
      </c>
      <c r="D2960" s="87" t="str">
        <f>VLOOKUP(Tabela1[[#This Row],[Origem]], 'Perguntas 1 a 24'!$J$28:$K$34, 2, 0)</f>
        <v>Sudeste</v>
      </c>
      <c r="E2960" s="87" t="str">
        <f>Tabela1[[#This Row],[Descrição]]&amp;"-"&amp;Tabela1[[#This Row],[Código]]&amp;"/"&amp;Tabela1[[#This Row],[Origem]]</f>
        <v>Navotifo-P937P341/ES</v>
      </c>
      <c r="F2960" s="88">
        <v>47274</v>
      </c>
      <c r="G2960" s="88" t="str" cm="1">
        <f t="array" ref="G29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AND(F2960&gt;= DATE(2026,1,1), F2960&lt;= DATE(2028, 12, 31), J2960&gt;50000), "Pendente e Caro", AND(F2960&gt;= DATE(2026,1,1), F2960&lt;= DATE(2028, 12, 31), J2960&lt;=50000), "Pendente", F2960&gt;= DATE(2029,1,1), "Não prioeitário")</f>
        <v>Não prioeitário</v>
      </c>
      <c r="H2960" s="89">
        <f>YEAR(Tabela1[[#This Row],[Data de Validade]])</f>
        <v>2029</v>
      </c>
      <c r="I2960" s="89">
        <f>MONTH(Tabela1[[#This Row],[Data de Validade]])</f>
        <v>6</v>
      </c>
      <c r="J2960" s="101">
        <v>85190</v>
      </c>
      <c r="K2960" s="87" t="s">
        <v>7</v>
      </c>
      <c r="L2960" s="108"/>
      <c r="M2960" s="108"/>
      <c r="N2960" s="108" t="str">
        <v>H213P483</v>
      </c>
      <c r="O2960" s="108">
        <f t="shared" si="48"/>
        <v>1</v>
      </c>
      <c r="P2960" s="108"/>
      <c r="Q2960"/>
    </row>
    <row r="2961" spans="1:17" x14ac:dyDescent="0.25">
      <c r="A2961" s="89" t="s">
        <v>8791</v>
      </c>
      <c r="B2961" s="87" t="s">
        <v>8792</v>
      </c>
      <c r="C2961" s="87" t="s">
        <v>6</v>
      </c>
      <c r="D2961" s="87" t="str">
        <f>VLOOKUP(Tabela1[[#This Row],[Origem]], 'Perguntas 1 a 24'!$J$28:$K$34, 2, 0)</f>
        <v>Nordeste</v>
      </c>
      <c r="E2961" s="87" t="str">
        <f>Tabela1[[#This Row],[Descrição]]&amp;"-"&amp;Tabela1[[#This Row],[Código]]&amp;"/"&amp;Tabela1[[#This Row],[Origem]]</f>
        <v>Pilovoti-H213P483/MA</v>
      </c>
      <c r="F2961" s="88">
        <v>47276</v>
      </c>
      <c r="G2961" s="88" t="str" cm="1">
        <f t="array" ref="G29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AND(F2961&gt;= DATE(2026,1,1), F2961&lt;= DATE(2028, 12, 31), J2961&gt;50000), "Pendente e Caro", AND(F2961&gt;= DATE(2026,1,1), F2961&lt;= DATE(2028, 12, 31), J2961&lt;=50000), "Pendente", F2961&gt;= DATE(2029,1,1), "Não prioeitário")</f>
        <v>Não prioeitário</v>
      </c>
      <c r="H2961" s="89">
        <f>YEAR(Tabela1[[#This Row],[Data de Validade]])</f>
        <v>2029</v>
      </c>
      <c r="I2961" s="89">
        <f>MONTH(Tabela1[[#This Row],[Data de Validade]])</f>
        <v>6</v>
      </c>
      <c r="J2961" s="101">
        <v>39451</v>
      </c>
      <c r="K2961" s="87" t="s">
        <v>9</v>
      </c>
      <c r="L2961" s="108"/>
      <c r="M2961" s="108"/>
      <c r="N2961" s="108" t="str">
        <v>H644P192</v>
      </c>
      <c r="O2961" s="108">
        <f t="shared" si="48"/>
        <v>1</v>
      </c>
      <c r="P2961" s="108"/>
      <c r="Q2961"/>
    </row>
    <row r="2962" spans="1:17" x14ac:dyDescent="0.25">
      <c r="A2962" s="89" t="s">
        <v>9999</v>
      </c>
      <c r="B2962" s="87" t="s">
        <v>10000</v>
      </c>
      <c r="C2962" s="87" t="s">
        <v>6</v>
      </c>
      <c r="D2962" s="87" t="str">
        <f>VLOOKUP(Tabela1[[#This Row],[Origem]], 'Perguntas 1 a 24'!$J$28:$K$34, 2, 0)</f>
        <v>Nordeste</v>
      </c>
      <c r="E2962" s="87" t="str">
        <f>Tabela1[[#This Row],[Descrição]]&amp;"-"&amp;Tabela1[[#This Row],[Código]]&amp;"/"&amp;Tabela1[[#This Row],[Origem]]</f>
        <v>Gupafiroti-H644P192/MA</v>
      </c>
      <c r="F2962" s="88">
        <v>47276</v>
      </c>
      <c r="G2962" s="88" t="str" cm="1">
        <f t="array" ref="G29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AND(F2962&gt;= DATE(2026,1,1), F2962&lt;= DATE(2028, 12, 31), J2962&gt;50000), "Pendente e Caro", AND(F2962&gt;= DATE(2026,1,1), F2962&lt;= DATE(2028, 12, 31), J2962&lt;=50000), "Pendente", F2962&gt;= DATE(2029,1,1), "Não prioeitário")</f>
        <v>Não prioeitário</v>
      </c>
      <c r="H2962" s="89">
        <f>YEAR(Tabela1[[#This Row],[Data de Validade]])</f>
        <v>2029</v>
      </c>
      <c r="I2962" s="89">
        <f>MONTH(Tabela1[[#This Row],[Data de Validade]])</f>
        <v>6</v>
      </c>
      <c r="J2962" s="101">
        <v>32236</v>
      </c>
      <c r="K2962" s="87" t="s">
        <v>14</v>
      </c>
      <c r="L2962" s="108"/>
      <c r="M2962" s="108"/>
      <c r="N2962" s="108" t="str">
        <v>H678H429</v>
      </c>
      <c r="O2962" s="108">
        <f t="shared" si="48"/>
        <v>1</v>
      </c>
      <c r="P2962" s="108"/>
      <c r="Q2962"/>
    </row>
    <row r="2963" spans="1:17" x14ac:dyDescent="0.25">
      <c r="A2963" s="89" t="s">
        <v>4768</v>
      </c>
      <c r="B2963" s="87" t="s">
        <v>4769</v>
      </c>
      <c r="C2963" s="87" t="s">
        <v>6</v>
      </c>
      <c r="D2963" s="87" t="str">
        <f>VLOOKUP(Tabela1[[#This Row],[Origem]], 'Perguntas 1 a 24'!$J$28:$K$34, 2, 0)</f>
        <v>Nordeste</v>
      </c>
      <c r="E2963" s="87" t="str">
        <f>Tabela1[[#This Row],[Descrição]]&amp;"-"&amp;Tabela1[[#This Row],[Código]]&amp;"/"&amp;Tabela1[[#This Row],[Origem]]</f>
        <v>Cilupepudo-H678H429/MA</v>
      </c>
      <c r="F2963" s="88">
        <v>47278</v>
      </c>
      <c r="G2963" s="88" t="str" cm="1">
        <f t="array" ref="G29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AND(F2963&gt;= DATE(2026,1,1), F2963&lt;= DATE(2028, 12, 31), J2963&gt;50000), "Pendente e Caro", AND(F2963&gt;= DATE(2026,1,1), F2963&lt;= DATE(2028, 12, 31), J2963&lt;=50000), "Pendente", F2963&gt;= DATE(2029,1,1), "Não prioeitário")</f>
        <v>Não prioeitário</v>
      </c>
      <c r="H2963" s="89">
        <f>YEAR(Tabela1[[#This Row],[Data de Validade]])</f>
        <v>2029</v>
      </c>
      <c r="I2963" s="89">
        <f>MONTH(Tabela1[[#This Row],[Data de Validade]])</f>
        <v>6</v>
      </c>
      <c r="J2963" s="101">
        <v>103354</v>
      </c>
      <c r="K2963" s="87" t="s">
        <v>14</v>
      </c>
      <c r="L2963" s="108"/>
      <c r="M2963" s="108"/>
      <c r="N2963" s="108" t="str">
        <v>H298H352</v>
      </c>
      <c r="O2963" s="108">
        <f t="shared" si="48"/>
        <v>1</v>
      </c>
      <c r="P2963" s="108"/>
      <c r="Q2963"/>
    </row>
    <row r="2964" spans="1:17" x14ac:dyDescent="0.25">
      <c r="A2964" s="89" t="s">
        <v>8312</v>
      </c>
      <c r="B2964" s="87" t="s">
        <v>8313</v>
      </c>
      <c r="C2964" s="87" t="s">
        <v>8</v>
      </c>
      <c r="D2964" s="87" t="str">
        <f>VLOOKUP(Tabela1[[#This Row],[Origem]], 'Perguntas 1 a 24'!$J$28:$K$34, 2, 0)</f>
        <v>Nordeste</v>
      </c>
      <c r="E2964" s="87" t="str">
        <f>Tabela1[[#This Row],[Descrição]]&amp;"-"&amp;Tabela1[[#This Row],[Código]]&amp;"/"&amp;Tabela1[[#This Row],[Origem]]</f>
        <v>Ticifope-H298H352/AL</v>
      </c>
      <c r="F2964" s="88">
        <v>47278</v>
      </c>
      <c r="G2964" s="88" t="str" cm="1">
        <f t="array" ref="G29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AND(F2964&gt;= DATE(2026,1,1), F2964&lt;= DATE(2028, 12, 31), J2964&gt;50000), "Pendente e Caro", AND(F2964&gt;= DATE(2026,1,1), F2964&lt;= DATE(2028, 12, 31), J2964&lt;=50000), "Pendente", F2964&gt;= DATE(2029,1,1), "Não prioeitário")</f>
        <v>Não prioeitário</v>
      </c>
      <c r="H2964" s="89">
        <f>YEAR(Tabela1[[#This Row],[Data de Validade]])</f>
        <v>2029</v>
      </c>
      <c r="I2964" s="89">
        <f>MONTH(Tabela1[[#This Row],[Data de Validade]])</f>
        <v>6</v>
      </c>
      <c r="J2964" s="101">
        <v>92915</v>
      </c>
      <c r="K2964" s="87" t="s">
        <v>7</v>
      </c>
      <c r="L2964" s="108"/>
      <c r="M2964" s="108"/>
      <c r="N2964" s="108" t="str">
        <v>H382H178</v>
      </c>
      <c r="O2964" s="108">
        <f t="shared" si="48"/>
        <v>1</v>
      </c>
      <c r="P2964" s="108"/>
      <c r="Q2964"/>
    </row>
    <row r="2965" spans="1:17" x14ac:dyDescent="0.25">
      <c r="A2965" s="89" t="s">
        <v>8773</v>
      </c>
      <c r="B2965" s="87" t="s">
        <v>8774</v>
      </c>
      <c r="C2965" s="87" t="s">
        <v>15</v>
      </c>
      <c r="D2965" s="87" t="str">
        <f>VLOOKUP(Tabela1[[#This Row],[Origem]], 'Perguntas 1 a 24'!$J$28:$K$34, 2, 0)</f>
        <v>Sudeste</v>
      </c>
      <c r="E2965" s="87" t="str">
        <f>Tabela1[[#This Row],[Descrição]]&amp;"-"&amp;Tabela1[[#This Row],[Código]]&amp;"/"&amp;Tabela1[[#This Row],[Origem]]</f>
        <v>Radopedodi-H382H178/ES</v>
      </c>
      <c r="F2965" s="88">
        <v>47279</v>
      </c>
      <c r="G2965" s="88" t="str" cm="1">
        <f t="array" ref="G29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AND(F2965&gt;= DATE(2026,1,1), F2965&lt;= DATE(2028, 12, 31), J2965&gt;50000), "Pendente e Caro", AND(F2965&gt;= DATE(2026,1,1), F2965&lt;= DATE(2028, 12, 31), J2965&lt;=50000), "Pendente", F2965&gt;= DATE(2029,1,1), "Não prioeitário")</f>
        <v>Não prioeitário</v>
      </c>
      <c r="H2965" s="89">
        <f>YEAR(Tabela1[[#This Row],[Data de Validade]])</f>
        <v>2029</v>
      </c>
      <c r="I2965" s="89">
        <f>MONTH(Tabela1[[#This Row],[Data de Validade]])</f>
        <v>6</v>
      </c>
      <c r="J2965" s="101">
        <v>73583</v>
      </c>
      <c r="K2965" s="87" t="s">
        <v>11</v>
      </c>
      <c r="L2965" s="108"/>
      <c r="M2965" s="108"/>
      <c r="N2965" s="108" t="str">
        <v>H153H187</v>
      </c>
      <c r="O2965" s="108">
        <f t="shared" si="48"/>
        <v>1</v>
      </c>
      <c r="P2965" s="108"/>
      <c r="Q2965"/>
    </row>
    <row r="2966" spans="1:17" x14ac:dyDescent="0.25">
      <c r="A2966" s="89" t="s">
        <v>11176</v>
      </c>
      <c r="B2966" s="87" t="s">
        <v>11177</v>
      </c>
      <c r="C2966" s="87" t="s">
        <v>6</v>
      </c>
      <c r="D2966" s="87" t="str">
        <f>VLOOKUP(Tabela1[[#This Row],[Origem]], 'Perguntas 1 a 24'!$J$28:$K$34, 2, 0)</f>
        <v>Nordeste</v>
      </c>
      <c r="E2966" s="87" t="str">
        <f>Tabela1[[#This Row],[Descrição]]&amp;"-"&amp;Tabela1[[#This Row],[Código]]&amp;"/"&amp;Tabela1[[#This Row],[Origem]]</f>
        <v>Nanomanu-H153H187/MA</v>
      </c>
      <c r="F2966" s="88">
        <v>47279</v>
      </c>
      <c r="G2966" s="88" t="str" cm="1">
        <f t="array" ref="G29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AND(F2966&gt;= DATE(2026,1,1), F2966&lt;= DATE(2028, 12, 31), J2966&gt;50000), "Pendente e Caro", AND(F2966&gt;= DATE(2026,1,1), F2966&lt;= DATE(2028, 12, 31), J2966&lt;=50000), "Pendente", F2966&gt;= DATE(2029,1,1), "Não prioeitário")</f>
        <v>Não prioeitário</v>
      </c>
      <c r="H2966" s="89">
        <f>YEAR(Tabela1[[#This Row],[Data de Validade]])</f>
        <v>2029</v>
      </c>
      <c r="I2966" s="89">
        <f>MONTH(Tabela1[[#This Row],[Data de Validade]])</f>
        <v>6</v>
      </c>
      <c r="J2966" s="101">
        <v>62621</v>
      </c>
      <c r="K2966" s="87" t="s">
        <v>9</v>
      </c>
      <c r="L2966" s="108"/>
      <c r="M2966" s="108"/>
      <c r="N2966" s="108" t="str">
        <v>H738H111</v>
      </c>
      <c r="O2966" s="108">
        <f t="shared" si="48"/>
        <v>1</v>
      </c>
      <c r="P2966" s="108"/>
      <c r="Q2966"/>
    </row>
    <row r="2967" spans="1:17" x14ac:dyDescent="0.25">
      <c r="A2967" s="89" t="s">
        <v>10503</v>
      </c>
      <c r="B2967" s="87" t="s">
        <v>10504</v>
      </c>
      <c r="C2967" s="87" t="s">
        <v>10</v>
      </c>
      <c r="D2967" s="87" t="str">
        <f>VLOOKUP(Tabela1[[#This Row],[Origem]], 'Perguntas 1 a 24'!$J$28:$K$34, 2, 0)</f>
        <v>Centro-Oeste</v>
      </c>
      <c r="E2967" s="87" t="str">
        <f>Tabela1[[#This Row],[Descrição]]&amp;"-"&amp;Tabela1[[#This Row],[Código]]&amp;"/"&amp;Tabela1[[#This Row],[Origem]]</f>
        <v>Tedupe-H738H111/GO</v>
      </c>
      <c r="F2967" s="88">
        <v>47279</v>
      </c>
      <c r="G2967" s="88" t="str" cm="1">
        <f t="array" ref="G29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AND(F2967&gt;= DATE(2026,1,1), F2967&lt;= DATE(2028, 12, 31), J2967&gt;50000), "Pendente e Caro", AND(F2967&gt;= DATE(2026,1,1), F2967&lt;= DATE(2028, 12, 31), J2967&lt;=50000), "Pendente", F2967&gt;= DATE(2029,1,1), "Não prioeitário")</f>
        <v>Não prioeitário</v>
      </c>
      <c r="H2967" s="89">
        <f>YEAR(Tabela1[[#This Row],[Data de Validade]])</f>
        <v>2029</v>
      </c>
      <c r="I2967" s="89">
        <f>MONTH(Tabela1[[#This Row],[Data de Validade]])</f>
        <v>6</v>
      </c>
      <c r="J2967" s="101">
        <v>58296</v>
      </c>
      <c r="K2967" s="87" t="s">
        <v>14</v>
      </c>
      <c r="L2967" s="108"/>
      <c r="M2967" s="108"/>
      <c r="N2967" s="108" t="str">
        <v>H189P583</v>
      </c>
      <c r="O2967" s="108">
        <f t="shared" si="48"/>
        <v>1</v>
      </c>
      <c r="P2967" s="108"/>
      <c r="Q2967"/>
    </row>
    <row r="2968" spans="1:17" x14ac:dyDescent="0.25">
      <c r="A2968" s="89" t="s">
        <v>9351</v>
      </c>
      <c r="B2968" s="87" t="s">
        <v>9352</v>
      </c>
      <c r="C2968" s="87" t="s">
        <v>10</v>
      </c>
      <c r="D2968" s="87" t="str">
        <f>VLOOKUP(Tabela1[[#This Row],[Origem]], 'Perguntas 1 a 24'!$J$28:$K$34, 2, 0)</f>
        <v>Centro-Oeste</v>
      </c>
      <c r="E2968" s="87" t="str">
        <f>Tabela1[[#This Row],[Descrição]]&amp;"-"&amp;Tabela1[[#This Row],[Código]]&amp;"/"&amp;Tabela1[[#This Row],[Origem]]</f>
        <v>Giniraduti-H189P583/GO</v>
      </c>
      <c r="F2968" s="88">
        <v>47280</v>
      </c>
      <c r="G2968" s="88" t="str" cm="1">
        <f t="array" ref="G29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AND(F2968&gt;= DATE(2026,1,1), F2968&lt;= DATE(2028, 12, 31), J2968&gt;50000), "Pendente e Caro", AND(F2968&gt;= DATE(2026,1,1), F2968&lt;= DATE(2028, 12, 31), J2968&lt;=50000), "Pendente", F2968&gt;= DATE(2029,1,1), "Não prioeitário")</f>
        <v>Não prioeitário</v>
      </c>
      <c r="H2968" s="89">
        <f>YEAR(Tabela1[[#This Row],[Data de Validade]])</f>
        <v>2029</v>
      </c>
      <c r="I2968" s="89">
        <f>MONTH(Tabela1[[#This Row],[Data de Validade]])</f>
        <v>6</v>
      </c>
      <c r="J2968" s="101">
        <v>30772</v>
      </c>
      <c r="K2968" s="87" t="s">
        <v>7</v>
      </c>
      <c r="L2968" s="108"/>
      <c r="M2968" s="108"/>
      <c r="N2968" s="108" t="str">
        <v>H436P562</v>
      </c>
      <c r="O2968" s="108">
        <f t="shared" si="48"/>
        <v>1</v>
      </c>
      <c r="P2968" s="108"/>
      <c r="Q2968"/>
    </row>
    <row r="2969" spans="1:17" x14ac:dyDescent="0.25">
      <c r="A2969" s="89" t="s">
        <v>4826</v>
      </c>
      <c r="B2969" s="87" t="s">
        <v>4827</v>
      </c>
      <c r="C2969" s="87" t="s">
        <v>13</v>
      </c>
      <c r="D2969" s="87" t="str">
        <f>VLOOKUP(Tabela1[[#This Row],[Origem]], 'Perguntas 1 a 24'!$J$28:$K$34, 2, 0)</f>
        <v>Sudeste</v>
      </c>
      <c r="E2969" s="87" t="str">
        <f>Tabela1[[#This Row],[Descrição]]&amp;"-"&amp;Tabela1[[#This Row],[Código]]&amp;"/"&amp;Tabela1[[#This Row],[Origem]]</f>
        <v>Pomirugera-H436P562/SP</v>
      </c>
      <c r="F2969" s="88">
        <v>47281</v>
      </c>
      <c r="G2969" s="88" t="str" cm="1">
        <f t="array" ref="G29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AND(F2969&gt;= DATE(2026,1,1), F2969&lt;= DATE(2028, 12, 31), J2969&gt;50000), "Pendente e Caro", AND(F2969&gt;= DATE(2026,1,1), F2969&lt;= DATE(2028, 12, 31), J2969&lt;=50000), "Pendente", F2969&gt;= DATE(2029,1,1), "Não prioeitário")</f>
        <v>Não prioeitário</v>
      </c>
      <c r="H2969" s="89">
        <f>YEAR(Tabela1[[#This Row],[Data de Validade]])</f>
        <v>2029</v>
      </c>
      <c r="I2969" s="89">
        <f>MONTH(Tabela1[[#This Row],[Data de Validade]])</f>
        <v>6</v>
      </c>
      <c r="J2969" s="101">
        <v>93839</v>
      </c>
      <c r="K2969" s="87" t="s">
        <v>14</v>
      </c>
      <c r="L2969" s="108"/>
      <c r="M2969" s="108"/>
      <c r="N2969" s="108" t="str">
        <v>P285P231</v>
      </c>
      <c r="O2969" s="108">
        <f t="shared" si="48"/>
        <v>1</v>
      </c>
      <c r="P2969" s="108"/>
      <c r="Q2969"/>
    </row>
    <row r="2970" spans="1:17" x14ac:dyDescent="0.25">
      <c r="A2970" s="89" t="s">
        <v>5466</v>
      </c>
      <c r="B2970" s="87" t="s">
        <v>5467</v>
      </c>
      <c r="C2970" s="87" t="s">
        <v>8</v>
      </c>
      <c r="D2970" s="87" t="str">
        <f>VLOOKUP(Tabela1[[#This Row],[Origem]], 'Perguntas 1 a 24'!$J$28:$K$34, 2, 0)</f>
        <v>Nordeste</v>
      </c>
      <c r="E2970" s="87" t="str">
        <f>Tabela1[[#This Row],[Descrição]]&amp;"-"&amp;Tabela1[[#This Row],[Código]]&amp;"/"&amp;Tabela1[[#This Row],[Origem]]</f>
        <v>Nuvino-P285P231/AL</v>
      </c>
      <c r="F2970" s="88">
        <v>47281</v>
      </c>
      <c r="G2970" s="88" t="str" cm="1">
        <f t="array" ref="G29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AND(F2970&gt;= DATE(2026,1,1), F2970&lt;= DATE(2028, 12, 31), J2970&gt;50000), "Pendente e Caro", AND(F2970&gt;= DATE(2026,1,1), F2970&lt;= DATE(2028, 12, 31), J2970&lt;=50000), "Pendente", F2970&gt;= DATE(2029,1,1), "Não prioeitário")</f>
        <v>Não prioeitário</v>
      </c>
      <c r="H2970" s="89">
        <f>YEAR(Tabela1[[#This Row],[Data de Validade]])</f>
        <v>2029</v>
      </c>
      <c r="I2970" s="89">
        <f>MONTH(Tabela1[[#This Row],[Data de Validade]])</f>
        <v>6</v>
      </c>
      <c r="J2970" s="101">
        <v>60425</v>
      </c>
      <c r="K2970" s="87" t="s">
        <v>11</v>
      </c>
      <c r="L2970" s="108"/>
      <c r="M2970" s="108"/>
      <c r="N2970" s="108" t="str">
        <v>H456H882</v>
      </c>
      <c r="O2970" s="108">
        <f t="shared" si="48"/>
        <v>1</v>
      </c>
      <c r="P2970" s="108"/>
      <c r="Q2970"/>
    </row>
    <row r="2971" spans="1:17" x14ac:dyDescent="0.25">
      <c r="A2971" s="89" t="s">
        <v>5552</v>
      </c>
      <c r="B2971" s="87" t="s">
        <v>5553</v>
      </c>
      <c r="C2971" s="87" t="s">
        <v>6</v>
      </c>
      <c r="D2971" s="87" t="str">
        <f>VLOOKUP(Tabela1[[#This Row],[Origem]], 'Perguntas 1 a 24'!$J$28:$K$34, 2, 0)</f>
        <v>Nordeste</v>
      </c>
      <c r="E2971" s="87" t="str">
        <f>Tabela1[[#This Row],[Descrição]]&amp;"-"&amp;Tabela1[[#This Row],[Código]]&amp;"/"&amp;Tabela1[[#This Row],[Origem]]</f>
        <v>Mavodofa-H456H882/MA</v>
      </c>
      <c r="F2971" s="88">
        <v>47282</v>
      </c>
      <c r="G2971" s="88" t="str" cm="1">
        <f t="array" ref="G29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AND(F2971&gt;= DATE(2026,1,1), F2971&lt;= DATE(2028, 12, 31), J2971&gt;50000), "Pendente e Caro", AND(F2971&gt;= DATE(2026,1,1), F2971&lt;= DATE(2028, 12, 31), J2971&lt;=50000), "Pendente", F2971&gt;= DATE(2029,1,1), "Não prioeitário")</f>
        <v>Não prioeitário</v>
      </c>
      <c r="H2971" s="89">
        <f>YEAR(Tabela1[[#This Row],[Data de Validade]])</f>
        <v>2029</v>
      </c>
      <c r="I2971" s="89">
        <f>MONTH(Tabela1[[#This Row],[Data de Validade]])</f>
        <v>6</v>
      </c>
      <c r="J2971" s="101">
        <v>119325</v>
      </c>
      <c r="K2971" s="87" t="s">
        <v>9</v>
      </c>
      <c r="L2971" s="108"/>
      <c r="M2971" s="108"/>
      <c r="N2971" s="108" t="str">
        <v>P466P283</v>
      </c>
      <c r="O2971" s="108">
        <f t="shared" si="48"/>
        <v>1</v>
      </c>
      <c r="P2971" s="108"/>
      <c r="Q2971"/>
    </row>
    <row r="2972" spans="1:17" x14ac:dyDescent="0.25">
      <c r="A2972" s="89" t="s">
        <v>8072</v>
      </c>
      <c r="B2972" s="87" t="s">
        <v>8073</v>
      </c>
      <c r="C2972" s="87" t="s">
        <v>13</v>
      </c>
      <c r="D2972" s="87" t="str">
        <f>VLOOKUP(Tabela1[[#This Row],[Origem]], 'Perguntas 1 a 24'!$J$28:$K$34, 2, 0)</f>
        <v>Sudeste</v>
      </c>
      <c r="E2972" s="87" t="str">
        <f>Tabela1[[#This Row],[Descrição]]&amp;"-"&amp;Tabela1[[#This Row],[Código]]&amp;"/"&amp;Tabela1[[#This Row],[Origem]]</f>
        <v>Fifutu-P466P283/SP</v>
      </c>
      <c r="F2972" s="88">
        <v>47282</v>
      </c>
      <c r="G2972" s="88" t="str" cm="1">
        <f t="array" ref="G29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AND(F2972&gt;= DATE(2026,1,1), F2972&lt;= DATE(2028, 12, 31), J2972&gt;50000), "Pendente e Caro", AND(F2972&gt;= DATE(2026,1,1), F2972&lt;= DATE(2028, 12, 31), J2972&lt;=50000), "Pendente", F2972&gt;= DATE(2029,1,1), "Não prioeitário")</f>
        <v>Não prioeitário</v>
      </c>
      <c r="H2972" s="89">
        <f>YEAR(Tabela1[[#This Row],[Data de Validade]])</f>
        <v>2029</v>
      </c>
      <c r="I2972" s="89">
        <f>MONTH(Tabela1[[#This Row],[Data de Validade]])</f>
        <v>6</v>
      </c>
      <c r="J2972" s="101">
        <v>115800</v>
      </c>
      <c r="K2972" s="87" t="s">
        <v>7</v>
      </c>
      <c r="L2972" s="108"/>
      <c r="M2972" s="108"/>
      <c r="N2972" s="108" t="str">
        <v>P519H985</v>
      </c>
      <c r="O2972" s="108">
        <f t="shared" si="48"/>
        <v>1</v>
      </c>
      <c r="P2972" s="108"/>
      <c r="Q2972"/>
    </row>
    <row r="2973" spans="1:17" x14ac:dyDescent="0.25">
      <c r="A2973" s="89" t="s">
        <v>5176</v>
      </c>
      <c r="B2973" s="87" t="s">
        <v>5177</v>
      </c>
      <c r="C2973" s="87" t="s">
        <v>8</v>
      </c>
      <c r="D2973" s="87" t="str">
        <f>VLOOKUP(Tabela1[[#This Row],[Origem]], 'Perguntas 1 a 24'!$J$28:$K$34, 2, 0)</f>
        <v>Nordeste</v>
      </c>
      <c r="E2973" s="87" t="str">
        <f>Tabela1[[#This Row],[Descrição]]&amp;"-"&amp;Tabela1[[#This Row],[Código]]&amp;"/"&amp;Tabela1[[#This Row],[Origem]]</f>
        <v>Vapede-P519H985/AL</v>
      </c>
      <c r="F2973" s="88">
        <v>47282</v>
      </c>
      <c r="G2973" s="88" t="str" cm="1">
        <f t="array" ref="G29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AND(F2973&gt;= DATE(2026,1,1), F2973&lt;= DATE(2028, 12, 31), J2973&gt;50000), "Pendente e Caro", AND(F2973&gt;= DATE(2026,1,1), F2973&lt;= DATE(2028, 12, 31), J2973&lt;=50000), "Pendente", F2973&gt;= DATE(2029,1,1), "Não prioeitário")</f>
        <v>Não prioeitário</v>
      </c>
      <c r="H2973" s="89">
        <f>YEAR(Tabela1[[#This Row],[Data de Validade]])</f>
        <v>2029</v>
      </c>
      <c r="I2973" s="89">
        <f>MONTH(Tabela1[[#This Row],[Data de Validade]])</f>
        <v>6</v>
      </c>
      <c r="J2973" s="101">
        <v>105023</v>
      </c>
      <c r="K2973" s="87" t="s">
        <v>7</v>
      </c>
      <c r="L2973" s="108"/>
      <c r="M2973" s="108"/>
      <c r="N2973" s="108" t="str">
        <v>P341P938</v>
      </c>
      <c r="O2973" s="108">
        <f t="shared" si="48"/>
        <v>1</v>
      </c>
      <c r="P2973" s="108"/>
      <c r="Q2973"/>
    </row>
    <row r="2974" spans="1:17" x14ac:dyDescent="0.25">
      <c r="A2974" s="89" t="s">
        <v>9079</v>
      </c>
      <c r="B2974" s="87" t="s">
        <v>9080</v>
      </c>
      <c r="C2974" s="87" t="s">
        <v>12</v>
      </c>
      <c r="D2974" s="87" t="str">
        <f>VLOOKUP(Tabela1[[#This Row],[Origem]], 'Perguntas 1 a 24'!$J$28:$K$34, 2, 0)</f>
        <v>Sudeste</v>
      </c>
      <c r="E2974" s="87" t="str">
        <f>Tabela1[[#This Row],[Descrição]]&amp;"-"&amp;Tabela1[[#This Row],[Código]]&amp;"/"&amp;Tabela1[[#This Row],[Origem]]</f>
        <v>Pagirido-P341P938/RJ</v>
      </c>
      <c r="F2974" s="88">
        <v>47282</v>
      </c>
      <c r="G2974" s="88" t="str" cm="1">
        <f t="array" ref="G29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AND(F2974&gt;= DATE(2026,1,1), F2974&lt;= DATE(2028, 12, 31), J2974&gt;50000), "Pendente e Caro", AND(F2974&gt;= DATE(2026,1,1), F2974&lt;= DATE(2028, 12, 31), J2974&lt;=50000), "Pendente", F2974&gt;= DATE(2029,1,1), "Não prioeitário")</f>
        <v>Não prioeitário</v>
      </c>
      <c r="H2974" s="89">
        <f>YEAR(Tabela1[[#This Row],[Data de Validade]])</f>
        <v>2029</v>
      </c>
      <c r="I2974" s="89">
        <f>MONTH(Tabela1[[#This Row],[Data de Validade]])</f>
        <v>6</v>
      </c>
      <c r="J2974" s="101">
        <v>59816</v>
      </c>
      <c r="K2974" s="87" t="s">
        <v>11</v>
      </c>
      <c r="L2974" s="108"/>
      <c r="M2974" s="108"/>
      <c r="N2974" s="108" t="str">
        <v>H722H394</v>
      </c>
      <c r="O2974" s="108">
        <f t="shared" si="48"/>
        <v>1</v>
      </c>
      <c r="P2974" s="108"/>
      <c r="Q2974"/>
    </row>
    <row r="2975" spans="1:17" x14ac:dyDescent="0.25">
      <c r="A2975" s="89" t="s">
        <v>9381</v>
      </c>
      <c r="B2975" s="87" t="s">
        <v>9382</v>
      </c>
      <c r="C2975" s="87" t="s">
        <v>13</v>
      </c>
      <c r="D2975" s="87" t="str">
        <f>VLOOKUP(Tabela1[[#This Row],[Origem]], 'Perguntas 1 a 24'!$J$28:$K$34, 2, 0)</f>
        <v>Sudeste</v>
      </c>
      <c r="E2975" s="87" t="str">
        <f>Tabela1[[#This Row],[Descrição]]&amp;"-"&amp;Tabela1[[#This Row],[Código]]&amp;"/"&amp;Tabela1[[#This Row],[Origem]]</f>
        <v>Furite-H722H394/SP</v>
      </c>
      <c r="F2975" s="88">
        <v>47284</v>
      </c>
      <c r="G2975" s="88" t="str" cm="1">
        <f t="array" ref="G29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AND(F2975&gt;= DATE(2026,1,1), F2975&lt;= DATE(2028, 12, 31), J2975&gt;50000), "Pendente e Caro", AND(F2975&gt;= DATE(2026,1,1), F2975&lt;= DATE(2028, 12, 31), J2975&lt;=50000), "Pendente", F2975&gt;= DATE(2029,1,1), "Não prioeitário")</f>
        <v>Não prioeitário</v>
      </c>
      <c r="H2975" s="89">
        <f>YEAR(Tabela1[[#This Row],[Data de Validade]])</f>
        <v>2029</v>
      </c>
      <c r="I2975" s="89">
        <f>MONTH(Tabela1[[#This Row],[Data de Validade]])</f>
        <v>6</v>
      </c>
      <c r="J2975" s="101">
        <v>69495</v>
      </c>
      <c r="K2975" s="87" t="s">
        <v>9</v>
      </c>
      <c r="L2975" s="108"/>
      <c r="M2975" s="108"/>
      <c r="N2975" s="108" t="str">
        <v>H646H144</v>
      </c>
      <c r="O2975" s="108">
        <f t="shared" si="48"/>
        <v>1</v>
      </c>
      <c r="P2975" s="108"/>
      <c r="Q2975"/>
    </row>
    <row r="2976" spans="1:17" x14ac:dyDescent="0.25">
      <c r="A2976" s="89" t="s">
        <v>11230</v>
      </c>
      <c r="B2976" s="87" t="s">
        <v>11231</v>
      </c>
      <c r="C2976" s="87" t="s">
        <v>15</v>
      </c>
      <c r="D2976" s="87" t="str">
        <f>VLOOKUP(Tabela1[[#This Row],[Origem]], 'Perguntas 1 a 24'!$J$28:$K$34, 2, 0)</f>
        <v>Sudeste</v>
      </c>
      <c r="E2976" s="87" t="str">
        <f>Tabela1[[#This Row],[Descrição]]&amp;"-"&amp;Tabela1[[#This Row],[Código]]&amp;"/"&amp;Tabela1[[#This Row],[Origem]]</f>
        <v>Luronufo-H646H144/ES</v>
      </c>
      <c r="F2976" s="88">
        <v>47284</v>
      </c>
      <c r="G2976" s="88" t="str" cm="1">
        <f t="array" ref="G29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AND(F2976&gt;= DATE(2026,1,1), F2976&lt;= DATE(2028, 12, 31), J2976&gt;50000), "Pendente e Caro", AND(F2976&gt;= DATE(2026,1,1), F2976&lt;= DATE(2028, 12, 31), J2976&lt;=50000), "Pendente", F2976&gt;= DATE(2029,1,1), "Não prioeitário")</f>
        <v>Não prioeitário</v>
      </c>
      <c r="H2976" s="89">
        <f>YEAR(Tabela1[[#This Row],[Data de Validade]])</f>
        <v>2029</v>
      </c>
      <c r="I2976" s="89">
        <f>MONTH(Tabela1[[#This Row],[Data de Validade]])</f>
        <v>6</v>
      </c>
      <c r="J2976" s="101">
        <v>67969</v>
      </c>
      <c r="K2976" s="87" t="s">
        <v>9</v>
      </c>
      <c r="L2976" s="108"/>
      <c r="M2976" s="108"/>
      <c r="N2976" s="108" t="str">
        <v>P218H437</v>
      </c>
      <c r="O2976" s="108">
        <f t="shared" si="48"/>
        <v>1</v>
      </c>
      <c r="P2976" s="108"/>
      <c r="Q2976"/>
    </row>
    <row r="2977" spans="1:17" x14ac:dyDescent="0.25">
      <c r="A2977" s="89" t="s">
        <v>6868</v>
      </c>
      <c r="B2977" s="87" t="s">
        <v>6869</v>
      </c>
      <c r="C2977" s="87" t="s">
        <v>13</v>
      </c>
      <c r="D2977" s="87" t="str">
        <f>VLOOKUP(Tabela1[[#This Row],[Origem]], 'Perguntas 1 a 24'!$J$28:$K$34, 2, 0)</f>
        <v>Sudeste</v>
      </c>
      <c r="E2977" s="87" t="str">
        <f>Tabela1[[#This Row],[Descrição]]&amp;"-"&amp;Tabela1[[#This Row],[Código]]&amp;"/"&amp;Tabela1[[#This Row],[Origem]]</f>
        <v>Gufata-P218H437/SP</v>
      </c>
      <c r="F2977" s="88">
        <v>47284</v>
      </c>
      <c r="G2977" s="88" t="str" cm="1">
        <f t="array" ref="G29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AND(F2977&gt;= DATE(2026,1,1), F2977&lt;= DATE(2028, 12, 31), J2977&gt;50000), "Pendente e Caro", AND(F2977&gt;= DATE(2026,1,1), F2977&lt;= DATE(2028, 12, 31), J2977&lt;=50000), "Pendente", F2977&gt;= DATE(2029,1,1), "Não prioeitário")</f>
        <v>Não prioeitário</v>
      </c>
      <c r="H2977" s="89">
        <f>YEAR(Tabela1[[#This Row],[Data de Validade]])</f>
        <v>2029</v>
      </c>
      <c r="I2977" s="89">
        <f>MONTH(Tabela1[[#This Row],[Data de Validade]])</f>
        <v>6</v>
      </c>
      <c r="J2977" s="101">
        <v>58375</v>
      </c>
      <c r="K2977" s="87" t="s">
        <v>7</v>
      </c>
      <c r="L2977" s="108"/>
      <c r="M2977" s="108"/>
      <c r="N2977" s="108" t="str">
        <v>P228H167</v>
      </c>
      <c r="O2977" s="108">
        <f t="shared" si="48"/>
        <v>1</v>
      </c>
      <c r="P2977" s="108"/>
      <c r="Q2977"/>
    </row>
    <row r="2978" spans="1:17" x14ac:dyDescent="0.25">
      <c r="A2978" s="89" t="s">
        <v>7058</v>
      </c>
      <c r="B2978" s="87" t="s">
        <v>7059</v>
      </c>
      <c r="C2978" s="87" t="s">
        <v>8</v>
      </c>
      <c r="D2978" s="87" t="str">
        <f>VLOOKUP(Tabela1[[#This Row],[Origem]], 'Perguntas 1 a 24'!$J$28:$K$34, 2, 0)</f>
        <v>Nordeste</v>
      </c>
      <c r="E2978" s="87" t="str">
        <f>Tabela1[[#This Row],[Descrição]]&amp;"-"&amp;Tabela1[[#This Row],[Código]]&amp;"/"&amp;Tabela1[[#This Row],[Origem]]</f>
        <v>Rudepimi-P228H167/AL</v>
      </c>
      <c r="F2978" s="88">
        <v>47285</v>
      </c>
      <c r="G2978" s="88" t="str" cm="1">
        <f t="array" ref="G29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AND(F2978&gt;= DATE(2026,1,1), F2978&lt;= DATE(2028, 12, 31), J2978&gt;50000), "Pendente e Caro", AND(F2978&gt;= DATE(2026,1,1), F2978&lt;= DATE(2028, 12, 31), J2978&lt;=50000), "Pendente", F2978&gt;= DATE(2029,1,1), "Não prioeitário")</f>
        <v>Não prioeitário</v>
      </c>
      <c r="H2978" s="89">
        <f>YEAR(Tabela1[[#This Row],[Data de Validade]])</f>
        <v>2029</v>
      </c>
      <c r="I2978" s="89">
        <f>MONTH(Tabela1[[#This Row],[Data de Validade]])</f>
        <v>6</v>
      </c>
      <c r="J2978" s="101">
        <v>69586</v>
      </c>
      <c r="K2978" s="87" t="s">
        <v>14</v>
      </c>
      <c r="L2978" s="108"/>
      <c r="M2978" s="108"/>
      <c r="N2978" s="108" t="str">
        <v>P364P434</v>
      </c>
      <c r="O2978" s="108">
        <f t="shared" si="48"/>
        <v>1</v>
      </c>
      <c r="P2978" s="108"/>
      <c r="Q2978"/>
    </row>
    <row r="2979" spans="1:17" x14ac:dyDescent="0.25">
      <c r="A2979" s="89" t="s">
        <v>8244</v>
      </c>
      <c r="B2979" s="87" t="s">
        <v>8245</v>
      </c>
      <c r="C2979" s="87" t="s">
        <v>8</v>
      </c>
      <c r="D2979" s="87" t="str">
        <f>VLOOKUP(Tabela1[[#This Row],[Origem]], 'Perguntas 1 a 24'!$J$28:$K$34, 2, 0)</f>
        <v>Nordeste</v>
      </c>
      <c r="E2979" s="87" t="str">
        <f>Tabela1[[#This Row],[Descrição]]&amp;"-"&amp;Tabela1[[#This Row],[Código]]&amp;"/"&amp;Tabela1[[#This Row],[Origem]]</f>
        <v>Pepapulapi-P364P434/AL</v>
      </c>
      <c r="F2979" s="88">
        <v>47287</v>
      </c>
      <c r="G2979" s="88" t="str" cm="1">
        <f t="array" ref="G29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AND(F2979&gt;= DATE(2026,1,1), F2979&lt;= DATE(2028, 12, 31), J2979&gt;50000), "Pendente e Caro", AND(F2979&gt;= DATE(2026,1,1), F2979&lt;= DATE(2028, 12, 31), J2979&lt;=50000), "Pendente", F2979&gt;= DATE(2029,1,1), "Não prioeitário")</f>
        <v>Não prioeitário</v>
      </c>
      <c r="H2979" s="89">
        <f>YEAR(Tabela1[[#This Row],[Data de Validade]])</f>
        <v>2029</v>
      </c>
      <c r="I2979" s="89">
        <f>MONTH(Tabela1[[#This Row],[Data de Validade]])</f>
        <v>6</v>
      </c>
      <c r="J2979" s="101">
        <v>44031</v>
      </c>
      <c r="K2979" s="87" t="s">
        <v>9</v>
      </c>
      <c r="L2979" s="108"/>
      <c r="M2979" s="108"/>
      <c r="N2979" s="108" t="str">
        <v>P948H517</v>
      </c>
      <c r="O2979" s="108">
        <f t="shared" si="48"/>
        <v>1</v>
      </c>
      <c r="P2979" s="108"/>
      <c r="Q2979"/>
    </row>
    <row r="2980" spans="1:17" x14ac:dyDescent="0.25">
      <c r="A2980" s="89" t="s">
        <v>7212</v>
      </c>
      <c r="B2980" s="87" t="s">
        <v>7213</v>
      </c>
      <c r="C2980" s="87" t="s">
        <v>12</v>
      </c>
      <c r="D2980" s="87" t="str">
        <f>VLOOKUP(Tabela1[[#This Row],[Origem]], 'Perguntas 1 a 24'!$J$28:$K$34, 2, 0)</f>
        <v>Sudeste</v>
      </c>
      <c r="E2980" s="87" t="str">
        <f>Tabela1[[#This Row],[Descrição]]&amp;"-"&amp;Tabela1[[#This Row],[Código]]&amp;"/"&amp;Tabela1[[#This Row],[Origem]]</f>
        <v>Rolovifi-P948H517/RJ</v>
      </c>
      <c r="F2980" s="88">
        <v>47287</v>
      </c>
      <c r="G2980" s="88" t="str" cm="1">
        <f t="array" ref="G29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AND(F2980&gt;= DATE(2026,1,1), F2980&lt;= DATE(2028, 12, 31), J2980&gt;50000), "Pendente e Caro", AND(F2980&gt;= DATE(2026,1,1), F2980&lt;= DATE(2028, 12, 31), J2980&lt;=50000), "Pendente", F2980&gt;= DATE(2029,1,1), "Não prioeitário")</f>
        <v>Não prioeitário</v>
      </c>
      <c r="H2980" s="89">
        <f>YEAR(Tabela1[[#This Row],[Data de Validade]])</f>
        <v>2029</v>
      </c>
      <c r="I2980" s="89">
        <f>MONTH(Tabela1[[#This Row],[Data de Validade]])</f>
        <v>6</v>
      </c>
      <c r="J2980" s="101">
        <v>30695</v>
      </c>
      <c r="K2980" s="87" t="s">
        <v>14</v>
      </c>
      <c r="L2980" s="108"/>
      <c r="M2980" s="108"/>
      <c r="N2980" s="108" t="str">
        <v>H769H593</v>
      </c>
      <c r="O2980" s="108">
        <f t="shared" si="48"/>
        <v>1</v>
      </c>
      <c r="P2980" s="108"/>
      <c r="Q2980"/>
    </row>
    <row r="2981" spans="1:17" x14ac:dyDescent="0.25">
      <c r="A2981" s="89" t="s">
        <v>3772</v>
      </c>
      <c r="B2981" s="87" t="s">
        <v>3773</v>
      </c>
      <c r="C2981" s="87" t="s">
        <v>6</v>
      </c>
      <c r="D2981" s="87" t="str">
        <f>VLOOKUP(Tabela1[[#This Row],[Origem]], 'Perguntas 1 a 24'!$J$28:$K$34, 2, 0)</f>
        <v>Nordeste</v>
      </c>
      <c r="E2981" s="87" t="str">
        <f>Tabela1[[#This Row],[Descrição]]&amp;"-"&amp;Tabela1[[#This Row],[Código]]&amp;"/"&amp;Tabela1[[#This Row],[Origem]]</f>
        <v>Cucutimupa-H769H593/MA</v>
      </c>
      <c r="F2981" s="88">
        <v>47288</v>
      </c>
      <c r="G2981" s="88" t="str" cm="1">
        <f t="array" ref="G29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AND(F2981&gt;= DATE(2026,1,1), F2981&lt;= DATE(2028, 12, 31), J2981&gt;50000), "Pendente e Caro", AND(F2981&gt;= DATE(2026,1,1), F2981&lt;= DATE(2028, 12, 31), J2981&lt;=50000), "Pendente", F2981&gt;= DATE(2029,1,1), "Não prioeitário")</f>
        <v>Não prioeitário</v>
      </c>
      <c r="H2981" s="89">
        <f>YEAR(Tabela1[[#This Row],[Data de Validade]])</f>
        <v>2029</v>
      </c>
      <c r="I2981" s="89">
        <f>MONTH(Tabela1[[#This Row],[Data de Validade]])</f>
        <v>6</v>
      </c>
      <c r="J2981" s="101">
        <v>116653</v>
      </c>
      <c r="K2981" s="87" t="s">
        <v>7</v>
      </c>
      <c r="L2981" s="108"/>
      <c r="M2981" s="108"/>
      <c r="N2981" s="108" t="str">
        <v>H599H447</v>
      </c>
      <c r="O2981" s="108">
        <f t="shared" si="48"/>
        <v>1</v>
      </c>
      <c r="P2981" s="108"/>
      <c r="Q2981"/>
    </row>
    <row r="2982" spans="1:17" x14ac:dyDescent="0.25">
      <c r="A2982" s="89" t="s">
        <v>10089</v>
      </c>
      <c r="B2982" s="87" t="s">
        <v>10090</v>
      </c>
      <c r="C2982" s="87" t="s">
        <v>16</v>
      </c>
      <c r="D2982" s="87" t="str">
        <f>VLOOKUP(Tabela1[[#This Row],[Origem]], 'Perguntas 1 a 24'!$J$28:$K$34, 2, 0)</f>
        <v>Sudeste</v>
      </c>
      <c r="E2982" s="87" t="str">
        <f>Tabela1[[#This Row],[Descrição]]&amp;"-"&amp;Tabela1[[#This Row],[Código]]&amp;"/"&amp;Tabela1[[#This Row],[Origem]]</f>
        <v>Titepa-H599H447/MG</v>
      </c>
      <c r="F2982" s="88">
        <v>47289</v>
      </c>
      <c r="G2982" s="88" t="str" cm="1">
        <f t="array" ref="G29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AND(F2982&gt;= DATE(2026,1,1), F2982&lt;= DATE(2028, 12, 31), J2982&gt;50000), "Pendente e Caro", AND(F2982&gt;= DATE(2026,1,1), F2982&lt;= DATE(2028, 12, 31), J2982&lt;=50000), "Pendente", F2982&gt;= DATE(2029,1,1), "Não prioeitário")</f>
        <v>Não prioeitário</v>
      </c>
      <c r="H2982" s="89">
        <f>YEAR(Tabela1[[#This Row],[Data de Validade]])</f>
        <v>2029</v>
      </c>
      <c r="I2982" s="89">
        <f>MONTH(Tabela1[[#This Row],[Data de Validade]])</f>
        <v>6</v>
      </c>
      <c r="J2982" s="101">
        <v>70841</v>
      </c>
      <c r="K2982" s="87" t="s">
        <v>9</v>
      </c>
      <c r="L2982" s="108"/>
      <c r="M2982" s="108"/>
      <c r="N2982" s="108" t="str">
        <v>H189P164</v>
      </c>
      <c r="O2982" s="108">
        <f t="shared" si="48"/>
        <v>1</v>
      </c>
      <c r="P2982" s="108"/>
      <c r="Q2982"/>
    </row>
    <row r="2983" spans="1:17" x14ac:dyDescent="0.25">
      <c r="A2983" s="89" t="s">
        <v>8737</v>
      </c>
      <c r="B2983" s="87" t="s">
        <v>8738</v>
      </c>
      <c r="C2983" s="87" t="s">
        <v>10</v>
      </c>
      <c r="D2983" s="87" t="str">
        <f>VLOOKUP(Tabela1[[#This Row],[Origem]], 'Perguntas 1 a 24'!$J$28:$K$34, 2, 0)</f>
        <v>Centro-Oeste</v>
      </c>
      <c r="E2983" s="87" t="str">
        <f>Tabela1[[#This Row],[Descrição]]&amp;"-"&amp;Tabela1[[#This Row],[Código]]&amp;"/"&amp;Tabela1[[#This Row],[Origem]]</f>
        <v>Nudurupa-H189P164/GO</v>
      </c>
      <c r="F2983" s="88">
        <v>47289</v>
      </c>
      <c r="G2983" s="88" t="str" cm="1">
        <f t="array" ref="G29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AND(F2983&gt;= DATE(2026,1,1), F2983&lt;= DATE(2028, 12, 31), J2983&gt;50000), "Pendente e Caro", AND(F2983&gt;= DATE(2026,1,1), F2983&lt;= DATE(2028, 12, 31), J2983&lt;=50000), "Pendente", F2983&gt;= DATE(2029,1,1), "Não prioeitário")</f>
        <v>Não prioeitário</v>
      </c>
      <c r="H2983" s="89">
        <f>YEAR(Tabela1[[#This Row],[Data de Validade]])</f>
        <v>2029</v>
      </c>
      <c r="I2983" s="89">
        <f>MONTH(Tabela1[[#This Row],[Data de Validade]])</f>
        <v>6</v>
      </c>
      <c r="J2983" s="101">
        <v>53127</v>
      </c>
      <c r="K2983" s="87" t="s">
        <v>7</v>
      </c>
      <c r="L2983" s="108"/>
      <c r="M2983" s="108"/>
      <c r="N2983" s="108" t="str">
        <v>H552H997</v>
      </c>
      <c r="O2983" s="108">
        <f t="shared" si="48"/>
        <v>1</v>
      </c>
      <c r="P2983" s="108"/>
      <c r="Q2983"/>
    </row>
    <row r="2984" spans="1:17" x14ac:dyDescent="0.25">
      <c r="A2984" s="89" t="s">
        <v>3712</v>
      </c>
      <c r="B2984" s="87" t="s">
        <v>3713</v>
      </c>
      <c r="C2984" s="87" t="s">
        <v>13</v>
      </c>
      <c r="D2984" s="87" t="str">
        <f>VLOOKUP(Tabela1[[#This Row],[Origem]], 'Perguntas 1 a 24'!$J$28:$K$34, 2, 0)</f>
        <v>Sudeste</v>
      </c>
      <c r="E2984" s="87" t="str">
        <f>Tabela1[[#This Row],[Descrição]]&amp;"-"&amp;Tabela1[[#This Row],[Código]]&amp;"/"&amp;Tabela1[[#This Row],[Origem]]</f>
        <v>Pecepari-H552H997/SP</v>
      </c>
      <c r="F2984" s="88">
        <v>47290</v>
      </c>
      <c r="G2984" s="88" t="str" cm="1">
        <f t="array" ref="G29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AND(F2984&gt;= DATE(2026,1,1), F2984&lt;= DATE(2028, 12, 31), J2984&gt;50000), "Pendente e Caro", AND(F2984&gt;= DATE(2026,1,1), F2984&lt;= DATE(2028, 12, 31), J2984&lt;=50000), "Pendente", F2984&gt;= DATE(2029,1,1), "Não prioeitário")</f>
        <v>Não prioeitário</v>
      </c>
      <c r="H2984" s="89">
        <f>YEAR(Tabela1[[#This Row],[Data de Validade]])</f>
        <v>2029</v>
      </c>
      <c r="I2984" s="89">
        <f>MONTH(Tabela1[[#This Row],[Data de Validade]])</f>
        <v>6</v>
      </c>
      <c r="J2984" s="101">
        <v>67070</v>
      </c>
      <c r="K2984" s="87" t="s">
        <v>7</v>
      </c>
      <c r="L2984" s="108"/>
      <c r="M2984" s="108"/>
      <c r="N2984" s="108" t="str">
        <v>P267H259</v>
      </c>
      <c r="O2984" s="108">
        <f t="shared" si="48"/>
        <v>1</v>
      </c>
      <c r="P2984" s="108"/>
      <c r="Q2984"/>
    </row>
    <row r="2985" spans="1:17" x14ac:dyDescent="0.25">
      <c r="A2985" s="89" t="s">
        <v>5352</v>
      </c>
      <c r="B2985" s="87" t="s">
        <v>5353</v>
      </c>
      <c r="C2985" s="87" t="s">
        <v>16</v>
      </c>
      <c r="D2985" s="87" t="str">
        <f>VLOOKUP(Tabela1[[#This Row],[Origem]], 'Perguntas 1 a 24'!$J$28:$K$34, 2, 0)</f>
        <v>Sudeste</v>
      </c>
      <c r="E2985" s="87" t="str">
        <f>Tabela1[[#This Row],[Descrição]]&amp;"-"&amp;Tabela1[[#This Row],[Código]]&amp;"/"&amp;Tabela1[[#This Row],[Origem]]</f>
        <v>Tudore-P267H259/MG</v>
      </c>
      <c r="F2985" s="88">
        <v>47290</v>
      </c>
      <c r="G2985" s="88" t="str" cm="1">
        <f t="array" ref="G29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AND(F2985&gt;= DATE(2026,1,1), F2985&lt;= DATE(2028, 12, 31), J2985&gt;50000), "Pendente e Caro", AND(F2985&gt;= DATE(2026,1,1), F2985&lt;= DATE(2028, 12, 31), J2985&lt;=50000), "Pendente", F2985&gt;= DATE(2029,1,1), "Não prioeitário")</f>
        <v>Não prioeitário</v>
      </c>
      <c r="H2985" s="89">
        <f>YEAR(Tabela1[[#This Row],[Data de Validade]])</f>
        <v>2029</v>
      </c>
      <c r="I2985" s="89">
        <f>MONTH(Tabela1[[#This Row],[Data de Validade]])</f>
        <v>6</v>
      </c>
      <c r="J2985" s="101">
        <v>31947</v>
      </c>
      <c r="K2985" s="87" t="s">
        <v>14</v>
      </c>
      <c r="L2985" s="108"/>
      <c r="M2985" s="108"/>
      <c r="N2985" s="108" t="str">
        <v>P758P228</v>
      </c>
      <c r="O2985" s="108">
        <f t="shared" si="48"/>
        <v>1</v>
      </c>
      <c r="P2985" s="108"/>
      <c r="Q2985"/>
    </row>
    <row r="2986" spans="1:17" x14ac:dyDescent="0.25">
      <c r="A2986" s="89" t="s">
        <v>7626</v>
      </c>
      <c r="B2986" s="87" t="s">
        <v>7627</v>
      </c>
      <c r="C2986" s="87" t="s">
        <v>16</v>
      </c>
      <c r="D2986" s="87" t="str">
        <f>VLOOKUP(Tabela1[[#This Row],[Origem]], 'Perguntas 1 a 24'!$J$28:$K$34, 2, 0)</f>
        <v>Sudeste</v>
      </c>
      <c r="E2986" s="87" t="str">
        <f>Tabela1[[#This Row],[Descrição]]&amp;"-"&amp;Tabela1[[#This Row],[Código]]&amp;"/"&amp;Tabela1[[#This Row],[Origem]]</f>
        <v>Petolo-P758P228/MG</v>
      </c>
      <c r="F2986" s="88">
        <v>47291</v>
      </c>
      <c r="G2986" s="88" t="str" cm="1">
        <f t="array" ref="G29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AND(F2986&gt;= DATE(2026,1,1), F2986&lt;= DATE(2028, 12, 31), J2986&gt;50000), "Pendente e Caro", AND(F2986&gt;= DATE(2026,1,1), F2986&lt;= DATE(2028, 12, 31), J2986&lt;=50000), "Pendente", F2986&gt;= DATE(2029,1,1), "Não prioeitário")</f>
        <v>Não prioeitário</v>
      </c>
      <c r="H2986" s="89">
        <f>YEAR(Tabela1[[#This Row],[Data de Validade]])</f>
        <v>2029</v>
      </c>
      <c r="I2986" s="89">
        <f>MONTH(Tabela1[[#This Row],[Data de Validade]])</f>
        <v>6</v>
      </c>
      <c r="J2986" s="101">
        <v>88752</v>
      </c>
      <c r="K2986" s="87" t="s">
        <v>11</v>
      </c>
      <c r="L2986" s="108"/>
      <c r="M2986" s="108"/>
      <c r="N2986" s="108" t="str">
        <v>P334P239</v>
      </c>
      <c r="O2986" s="108">
        <f t="shared" si="48"/>
        <v>1</v>
      </c>
      <c r="P2986" s="108"/>
      <c r="Q2986"/>
    </row>
    <row r="2987" spans="1:17" x14ac:dyDescent="0.25">
      <c r="A2987" s="89" t="s">
        <v>4548</v>
      </c>
      <c r="B2987" s="87" t="s">
        <v>4549</v>
      </c>
      <c r="C2987" s="87" t="s">
        <v>13</v>
      </c>
      <c r="D2987" s="87" t="str">
        <f>VLOOKUP(Tabela1[[#This Row],[Origem]], 'Perguntas 1 a 24'!$J$28:$K$34, 2, 0)</f>
        <v>Sudeste</v>
      </c>
      <c r="E2987" s="87" t="str">
        <f>Tabela1[[#This Row],[Descrição]]&amp;"-"&amp;Tabela1[[#This Row],[Código]]&amp;"/"&amp;Tabela1[[#This Row],[Origem]]</f>
        <v>Gamolave-P334P239/SP</v>
      </c>
      <c r="F2987" s="88">
        <v>47292</v>
      </c>
      <c r="G2987" s="88" t="str" cm="1">
        <f t="array" ref="G29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AND(F2987&gt;= DATE(2026,1,1), F2987&lt;= DATE(2028, 12, 31), J2987&gt;50000), "Pendente e Caro", AND(F2987&gt;= DATE(2026,1,1), F2987&lt;= DATE(2028, 12, 31), J2987&lt;=50000), "Pendente", F2987&gt;= DATE(2029,1,1), "Não prioeitário")</f>
        <v>Não prioeitário</v>
      </c>
      <c r="H2987" s="89">
        <f>YEAR(Tabela1[[#This Row],[Data de Validade]])</f>
        <v>2029</v>
      </c>
      <c r="I2987" s="89">
        <f>MONTH(Tabela1[[#This Row],[Data de Validade]])</f>
        <v>6</v>
      </c>
      <c r="J2987" s="101">
        <v>75843</v>
      </c>
      <c r="K2987" s="87" t="s">
        <v>11</v>
      </c>
      <c r="L2987" s="108"/>
      <c r="M2987" s="108"/>
      <c r="N2987" s="108" t="str">
        <v>H991H184</v>
      </c>
      <c r="O2987" s="108">
        <f t="shared" si="48"/>
        <v>1</v>
      </c>
      <c r="P2987" s="108"/>
      <c r="Q2987"/>
    </row>
    <row r="2988" spans="1:17" x14ac:dyDescent="0.25">
      <c r="A2988" s="89" t="s">
        <v>3996</v>
      </c>
      <c r="B2988" s="87" t="s">
        <v>3997</v>
      </c>
      <c r="C2988" s="87" t="s">
        <v>15</v>
      </c>
      <c r="D2988" s="87" t="str">
        <f>VLOOKUP(Tabela1[[#This Row],[Origem]], 'Perguntas 1 a 24'!$J$28:$K$34, 2, 0)</f>
        <v>Sudeste</v>
      </c>
      <c r="E2988" s="87" t="str">
        <f>Tabela1[[#This Row],[Descrição]]&amp;"-"&amp;Tabela1[[#This Row],[Código]]&amp;"/"&amp;Tabela1[[#This Row],[Origem]]</f>
        <v>Mipivopofi-H991H184/ES</v>
      </c>
      <c r="F2988" s="88">
        <v>47292</v>
      </c>
      <c r="G2988" s="88" t="str" cm="1">
        <f t="array" ref="G29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AND(F2988&gt;= DATE(2026,1,1), F2988&lt;= DATE(2028, 12, 31), J2988&gt;50000), "Pendente e Caro", AND(F2988&gt;= DATE(2026,1,1), F2988&lt;= DATE(2028, 12, 31), J2988&lt;=50000), "Pendente", F2988&gt;= DATE(2029,1,1), "Não prioeitário")</f>
        <v>Não prioeitário</v>
      </c>
      <c r="H2988" s="89">
        <f>YEAR(Tabela1[[#This Row],[Data de Validade]])</f>
        <v>2029</v>
      </c>
      <c r="I2988" s="89">
        <f>MONTH(Tabela1[[#This Row],[Data de Validade]])</f>
        <v>6</v>
      </c>
      <c r="J2988" s="101">
        <v>68759</v>
      </c>
      <c r="K2988" s="87" t="s">
        <v>9</v>
      </c>
      <c r="L2988" s="108"/>
      <c r="M2988" s="108"/>
      <c r="N2988" s="108" t="str">
        <v>H555H872</v>
      </c>
      <c r="O2988" s="108">
        <f t="shared" si="48"/>
        <v>1</v>
      </c>
      <c r="P2988" s="108"/>
      <c r="Q2988"/>
    </row>
    <row r="2989" spans="1:17" x14ac:dyDescent="0.25">
      <c r="A2989" s="89" t="s">
        <v>11117</v>
      </c>
      <c r="B2989" s="87" t="s">
        <v>11118</v>
      </c>
      <c r="C2989" s="87" t="s">
        <v>10</v>
      </c>
      <c r="D2989" s="87" t="str">
        <f>VLOOKUP(Tabela1[[#This Row],[Origem]], 'Perguntas 1 a 24'!$J$28:$K$34, 2, 0)</f>
        <v>Centro-Oeste</v>
      </c>
      <c r="E2989" s="87" t="str">
        <f>Tabela1[[#This Row],[Descrição]]&amp;"-"&amp;Tabela1[[#This Row],[Código]]&amp;"/"&amp;Tabela1[[#This Row],[Origem]]</f>
        <v>Cupuro-H555H872/GO</v>
      </c>
      <c r="F2989" s="88">
        <v>47293</v>
      </c>
      <c r="G2989" s="88" t="str" cm="1">
        <f t="array" ref="G29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AND(F2989&gt;= DATE(2026,1,1), F2989&lt;= DATE(2028, 12, 31), J2989&gt;50000), "Pendente e Caro", AND(F2989&gt;= DATE(2026,1,1), F2989&lt;= DATE(2028, 12, 31), J2989&lt;=50000), "Pendente", F2989&gt;= DATE(2029,1,1), "Não prioeitário")</f>
        <v>Não prioeitário</v>
      </c>
      <c r="H2989" s="89">
        <f>YEAR(Tabela1[[#This Row],[Data de Validade]])</f>
        <v>2029</v>
      </c>
      <c r="I2989" s="89">
        <f>MONTH(Tabela1[[#This Row],[Data de Validade]])</f>
        <v>6</v>
      </c>
      <c r="J2989" s="101">
        <v>43446</v>
      </c>
      <c r="K2989" s="87" t="s">
        <v>7</v>
      </c>
      <c r="L2989" s="108"/>
      <c r="M2989" s="108"/>
      <c r="N2989" s="108" t="str">
        <v>H244H312</v>
      </c>
      <c r="O2989" s="108">
        <f t="shared" si="48"/>
        <v>1</v>
      </c>
      <c r="P2989" s="108"/>
      <c r="Q2989"/>
    </row>
    <row r="2990" spans="1:17" x14ac:dyDescent="0.25">
      <c r="A2990" s="89" t="s">
        <v>9921</v>
      </c>
      <c r="B2990" s="87" t="s">
        <v>9922</v>
      </c>
      <c r="C2990" s="87" t="s">
        <v>8</v>
      </c>
      <c r="D2990" s="87" t="str">
        <f>VLOOKUP(Tabela1[[#This Row],[Origem]], 'Perguntas 1 a 24'!$J$28:$K$34, 2, 0)</f>
        <v>Nordeste</v>
      </c>
      <c r="E2990" s="87" t="str">
        <f>Tabela1[[#This Row],[Descrição]]&amp;"-"&amp;Tabela1[[#This Row],[Código]]&amp;"/"&amp;Tabela1[[#This Row],[Origem]]</f>
        <v>Veriritetu-H244H312/AL</v>
      </c>
      <c r="F2990" s="88">
        <v>47293</v>
      </c>
      <c r="G2990" s="88" t="str" cm="1">
        <f t="array" ref="G29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AND(F2990&gt;= DATE(2026,1,1), F2990&lt;= DATE(2028, 12, 31), J2990&gt;50000), "Pendente e Caro", AND(F2990&gt;= DATE(2026,1,1), F2990&lt;= DATE(2028, 12, 31), J2990&lt;=50000), "Pendente", F2990&gt;= DATE(2029,1,1), "Não prioeitário")</f>
        <v>Não prioeitário</v>
      </c>
      <c r="H2990" s="89">
        <f>YEAR(Tabela1[[#This Row],[Data de Validade]])</f>
        <v>2029</v>
      </c>
      <c r="I2990" s="89">
        <f>MONTH(Tabela1[[#This Row],[Data de Validade]])</f>
        <v>6</v>
      </c>
      <c r="J2990" s="101">
        <v>43322</v>
      </c>
      <c r="K2990" s="87" t="s">
        <v>7</v>
      </c>
      <c r="L2990" s="108"/>
      <c r="M2990" s="108"/>
      <c r="N2990" s="108" t="str">
        <v>H576H713</v>
      </c>
      <c r="O2990" s="108">
        <f t="shared" si="48"/>
        <v>1</v>
      </c>
      <c r="P2990" s="108"/>
      <c r="Q2990"/>
    </row>
    <row r="2991" spans="1:17" x14ac:dyDescent="0.25">
      <c r="A2991" s="89" t="s">
        <v>8641</v>
      </c>
      <c r="B2991" s="87" t="s">
        <v>8642</v>
      </c>
      <c r="C2991" s="87" t="s">
        <v>10</v>
      </c>
      <c r="D2991" s="87" t="str">
        <f>VLOOKUP(Tabela1[[#This Row],[Origem]], 'Perguntas 1 a 24'!$J$28:$K$34, 2, 0)</f>
        <v>Centro-Oeste</v>
      </c>
      <c r="E2991" s="87" t="str">
        <f>Tabela1[[#This Row],[Descrição]]&amp;"-"&amp;Tabela1[[#This Row],[Código]]&amp;"/"&amp;Tabela1[[#This Row],[Origem]]</f>
        <v>Netapirofa-H576H713/GO</v>
      </c>
      <c r="F2991" s="88">
        <v>47293</v>
      </c>
      <c r="G2991" s="88" t="str" cm="1">
        <f t="array" ref="G29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AND(F2991&gt;= DATE(2026,1,1), F2991&lt;= DATE(2028, 12, 31), J2991&gt;50000), "Pendente e Caro", AND(F2991&gt;= DATE(2026,1,1), F2991&lt;= DATE(2028, 12, 31), J2991&lt;=50000), "Pendente", F2991&gt;= DATE(2029,1,1), "Não prioeitário")</f>
        <v>Não prioeitário</v>
      </c>
      <c r="H2991" s="89">
        <f>YEAR(Tabela1[[#This Row],[Data de Validade]])</f>
        <v>2029</v>
      </c>
      <c r="I2991" s="89">
        <f>MONTH(Tabela1[[#This Row],[Data de Validade]])</f>
        <v>6</v>
      </c>
      <c r="J2991" s="101">
        <v>34893</v>
      </c>
      <c r="K2991" s="87" t="s">
        <v>9</v>
      </c>
      <c r="L2991" s="108"/>
      <c r="M2991" s="108"/>
      <c r="N2991" s="108" t="str">
        <v>P971P246</v>
      </c>
      <c r="O2991" s="108">
        <f t="shared" si="48"/>
        <v>1</v>
      </c>
      <c r="P2991" s="108"/>
      <c r="Q2991"/>
    </row>
    <row r="2992" spans="1:17" x14ac:dyDescent="0.25">
      <c r="A2992" s="89" t="s">
        <v>5676</v>
      </c>
      <c r="B2992" s="87" t="s">
        <v>5677</v>
      </c>
      <c r="C2992" s="87" t="s">
        <v>12</v>
      </c>
      <c r="D2992" s="87" t="str">
        <f>VLOOKUP(Tabela1[[#This Row],[Origem]], 'Perguntas 1 a 24'!$J$28:$K$34, 2, 0)</f>
        <v>Sudeste</v>
      </c>
      <c r="E2992" s="87" t="str">
        <f>Tabela1[[#This Row],[Descrição]]&amp;"-"&amp;Tabela1[[#This Row],[Código]]&amp;"/"&amp;Tabela1[[#This Row],[Origem]]</f>
        <v>Pacepupi-P971P246/RJ</v>
      </c>
      <c r="F2992" s="88">
        <v>47294</v>
      </c>
      <c r="G2992" s="88" t="str" cm="1">
        <f t="array" ref="G29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AND(F2992&gt;= DATE(2026,1,1), F2992&lt;= DATE(2028, 12, 31), J2992&gt;50000), "Pendente e Caro", AND(F2992&gt;= DATE(2026,1,1), F2992&lt;= DATE(2028, 12, 31), J2992&lt;=50000), "Pendente", F2992&gt;= DATE(2029,1,1), "Não prioeitário")</f>
        <v>Não prioeitário</v>
      </c>
      <c r="H2992" s="89">
        <f>YEAR(Tabela1[[#This Row],[Data de Validade]])</f>
        <v>2029</v>
      </c>
      <c r="I2992" s="89">
        <f>MONTH(Tabela1[[#This Row],[Data de Validade]])</f>
        <v>6</v>
      </c>
      <c r="J2992" s="101">
        <v>73624</v>
      </c>
      <c r="K2992" s="87" t="s">
        <v>14</v>
      </c>
      <c r="L2992" s="108"/>
      <c r="M2992" s="108"/>
      <c r="N2992" s="108" t="str">
        <v>P194P449</v>
      </c>
      <c r="O2992" s="108">
        <f t="shared" si="48"/>
        <v>1</v>
      </c>
      <c r="P2992" s="108"/>
      <c r="Q2992"/>
    </row>
    <row r="2993" spans="1:17" x14ac:dyDescent="0.25">
      <c r="A2993" s="89" t="s">
        <v>6454</v>
      </c>
      <c r="B2993" s="87" t="s">
        <v>6455</v>
      </c>
      <c r="C2993" s="87" t="s">
        <v>16</v>
      </c>
      <c r="D2993" s="87" t="str">
        <f>VLOOKUP(Tabela1[[#This Row],[Origem]], 'Perguntas 1 a 24'!$J$28:$K$34, 2, 0)</f>
        <v>Sudeste</v>
      </c>
      <c r="E2993" s="87" t="str">
        <f>Tabela1[[#This Row],[Descrição]]&amp;"-"&amp;Tabela1[[#This Row],[Código]]&amp;"/"&amp;Tabela1[[#This Row],[Origem]]</f>
        <v>Nirudi-P194P449/MG</v>
      </c>
      <c r="F2993" s="88">
        <v>47294</v>
      </c>
      <c r="G2993" s="88" t="str" cm="1">
        <f t="array" ref="G29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AND(F2993&gt;= DATE(2026,1,1), F2993&lt;= DATE(2028, 12, 31), J2993&gt;50000), "Pendente e Caro", AND(F2993&gt;= DATE(2026,1,1), F2993&lt;= DATE(2028, 12, 31), J2993&lt;=50000), "Pendente", F2993&gt;= DATE(2029,1,1), "Não prioeitário")</f>
        <v>Não prioeitário</v>
      </c>
      <c r="H2993" s="89">
        <f>YEAR(Tabela1[[#This Row],[Data de Validade]])</f>
        <v>2029</v>
      </c>
      <c r="I2993" s="89">
        <f>MONTH(Tabela1[[#This Row],[Data de Validade]])</f>
        <v>6</v>
      </c>
      <c r="J2993" s="101">
        <v>47720</v>
      </c>
      <c r="K2993" s="87" t="s">
        <v>7</v>
      </c>
      <c r="L2993" s="108"/>
      <c r="M2993" s="108"/>
      <c r="N2993" s="108" t="str">
        <v>P537H387</v>
      </c>
      <c r="O2993" s="108">
        <f t="shared" si="48"/>
        <v>1</v>
      </c>
      <c r="P2993" s="108"/>
      <c r="Q2993"/>
    </row>
    <row r="2994" spans="1:17" x14ac:dyDescent="0.25">
      <c r="A2994" s="89" t="s">
        <v>9111</v>
      </c>
      <c r="B2994" s="87" t="s">
        <v>9112</v>
      </c>
      <c r="C2994" s="87" t="s">
        <v>12</v>
      </c>
      <c r="D2994" s="87" t="str">
        <f>VLOOKUP(Tabela1[[#This Row],[Origem]], 'Perguntas 1 a 24'!$J$28:$K$34, 2, 0)</f>
        <v>Sudeste</v>
      </c>
      <c r="E2994" s="87" t="str">
        <f>Tabela1[[#This Row],[Descrição]]&amp;"-"&amp;Tabela1[[#This Row],[Código]]&amp;"/"&amp;Tabela1[[#This Row],[Origem]]</f>
        <v>Neroti-P537H387/RJ</v>
      </c>
      <c r="F2994" s="88">
        <v>47295</v>
      </c>
      <c r="G2994" s="88" t="str" cm="1">
        <f t="array" ref="G29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AND(F2994&gt;= DATE(2026,1,1), F2994&lt;= DATE(2028, 12, 31), J2994&gt;50000), "Pendente e Caro", AND(F2994&gt;= DATE(2026,1,1), F2994&lt;= DATE(2028, 12, 31), J2994&lt;=50000), "Pendente", F2994&gt;= DATE(2029,1,1), "Não prioeitário")</f>
        <v>Não prioeitário</v>
      </c>
      <c r="H2994" s="89">
        <f>YEAR(Tabela1[[#This Row],[Data de Validade]])</f>
        <v>2029</v>
      </c>
      <c r="I2994" s="89">
        <f>MONTH(Tabela1[[#This Row],[Data de Validade]])</f>
        <v>6</v>
      </c>
      <c r="J2994" s="101">
        <v>74490</v>
      </c>
      <c r="K2994" s="87" t="s">
        <v>9</v>
      </c>
      <c r="L2994" s="108"/>
      <c r="M2994" s="108"/>
      <c r="N2994" s="108" t="str">
        <v>H552P426</v>
      </c>
      <c r="O2994" s="108">
        <f t="shared" si="48"/>
        <v>1</v>
      </c>
      <c r="P2994" s="108"/>
      <c r="Q2994"/>
    </row>
    <row r="2995" spans="1:17" x14ac:dyDescent="0.25">
      <c r="A2995" s="89" t="s">
        <v>10727</v>
      </c>
      <c r="B2995" s="87" t="s">
        <v>10728</v>
      </c>
      <c r="C2995" s="87" t="s">
        <v>12</v>
      </c>
      <c r="D2995" s="87" t="str">
        <f>VLOOKUP(Tabela1[[#This Row],[Origem]], 'Perguntas 1 a 24'!$J$28:$K$34, 2, 0)</f>
        <v>Sudeste</v>
      </c>
      <c r="E2995" s="87" t="str">
        <f>Tabela1[[#This Row],[Descrição]]&amp;"-"&amp;Tabela1[[#This Row],[Código]]&amp;"/"&amp;Tabela1[[#This Row],[Origem]]</f>
        <v>Vulepe-H552P426/RJ</v>
      </c>
      <c r="F2995" s="88">
        <v>47297</v>
      </c>
      <c r="G2995" s="88" t="str" cm="1">
        <f t="array" ref="G29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AND(F2995&gt;= DATE(2026,1,1), F2995&lt;= DATE(2028, 12, 31), J2995&gt;50000), "Pendente e Caro", AND(F2995&gt;= DATE(2026,1,1), F2995&lt;= DATE(2028, 12, 31), J2995&lt;=50000), "Pendente", F2995&gt;= DATE(2029,1,1), "Não prioeitário")</f>
        <v>Não prioeitário</v>
      </c>
      <c r="H2995" s="89">
        <f>YEAR(Tabela1[[#This Row],[Data de Validade]])</f>
        <v>2029</v>
      </c>
      <c r="I2995" s="89">
        <f>MONTH(Tabela1[[#This Row],[Data de Validade]])</f>
        <v>6</v>
      </c>
      <c r="J2995" s="101">
        <v>87788</v>
      </c>
      <c r="K2995" s="87" t="s">
        <v>11</v>
      </c>
      <c r="L2995" s="108"/>
      <c r="M2995" s="108"/>
      <c r="N2995" s="108" t="str">
        <v>P436H399</v>
      </c>
      <c r="O2995" s="108">
        <f t="shared" si="48"/>
        <v>1</v>
      </c>
      <c r="P2995" s="108"/>
      <c r="Q2995"/>
    </row>
    <row r="2996" spans="1:17" x14ac:dyDescent="0.25">
      <c r="A2996" s="89" t="s">
        <v>10049</v>
      </c>
      <c r="B2996" s="87" t="s">
        <v>10050</v>
      </c>
      <c r="C2996" s="87" t="s">
        <v>16</v>
      </c>
      <c r="D2996" s="87" t="str">
        <f>VLOOKUP(Tabela1[[#This Row],[Origem]], 'Perguntas 1 a 24'!$J$28:$K$34, 2, 0)</f>
        <v>Sudeste</v>
      </c>
      <c r="E2996" s="87" t="str">
        <f>Tabela1[[#This Row],[Descrição]]&amp;"-"&amp;Tabela1[[#This Row],[Código]]&amp;"/"&amp;Tabela1[[#This Row],[Origem]]</f>
        <v>Carome-P436H399/MG</v>
      </c>
      <c r="F2996" s="88">
        <v>47297</v>
      </c>
      <c r="G2996" s="88" t="str" cm="1">
        <f t="array" ref="G29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AND(F2996&gt;= DATE(2026,1,1), F2996&lt;= DATE(2028, 12, 31), J2996&gt;50000), "Pendente e Caro", AND(F2996&gt;= DATE(2026,1,1), F2996&lt;= DATE(2028, 12, 31), J2996&lt;=50000), "Pendente", F2996&gt;= DATE(2029,1,1), "Não prioeitário")</f>
        <v>Não prioeitário</v>
      </c>
      <c r="H2996" s="89">
        <f>YEAR(Tabela1[[#This Row],[Data de Validade]])</f>
        <v>2029</v>
      </c>
      <c r="I2996" s="89">
        <f>MONTH(Tabela1[[#This Row],[Data de Validade]])</f>
        <v>6</v>
      </c>
      <c r="J2996" s="101">
        <v>45050</v>
      </c>
      <c r="K2996" s="87" t="s">
        <v>11</v>
      </c>
      <c r="L2996" s="108"/>
      <c r="M2996" s="108"/>
      <c r="N2996" s="108" t="str">
        <v>H272P795</v>
      </c>
      <c r="O2996" s="108">
        <f t="shared" si="48"/>
        <v>1</v>
      </c>
      <c r="P2996" s="108"/>
      <c r="Q2996"/>
    </row>
    <row r="2997" spans="1:17" x14ac:dyDescent="0.25">
      <c r="A2997" s="89" t="s">
        <v>4251</v>
      </c>
      <c r="B2997" s="87" t="s">
        <v>4252</v>
      </c>
      <c r="C2997" s="87" t="s">
        <v>6</v>
      </c>
      <c r="D2997" s="87" t="str">
        <f>VLOOKUP(Tabela1[[#This Row],[Origem]], 'Perguntas 1 a 24'!$J$28:$K$34, 2, 0)</f>
        <v>Nordeste</v>
      </c>
      <c r="E2997" s="87" t="str">
        <f>Tabela1[[#This Row],[Descrição]]&amp;"-"&amp;Tabela1[[#This Row],[Código]]&amp;"/"&amp;Tabela1[[#This Row],[Origem]]</f>
        <v>Nicede-H272P795/MA</v>
      </c>
      <c r="F2997" s="88">
        <v>47297</v>
      </c>
      <c r="G2997" s="88" t="str" cm="1">
        <f t="array" ref="G29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AND(F2997&gt;= DATE(2026,1,1), F2997&lt;= DATE(2028, 12, 31), J2997&gt;50000), "Pendente e Caro", AND(F2997&gt;= DATE(2026,1,1), F2997&lt;= DATE(2028, 12, 31), J2997&lt;=50000), "Pendente", F2997&gt;= DATE(2029,1,1), "Não prioeitário")</f>
        <v>Não prioeitário</v>
      </c>
      <c r="H2997" s="89">
        <f>YEAR(Tabela1[[#This Row],[Data de Validade]])</f>
        <v>2029</v>
      </c>
      <c r="I2997" s="89">
        <f>MONTH(Tabela1[[#This Row],[Data de Validade]])</f>
        <v>6</v>
      </c>
      <c r="J2997" s="101">
        <v>24872</v>
      </c>
      <c r="K2997" s="87" t="s">
        <v>9</v>
      </c>
      <c r="L2997" s="108"/>
      <c r="M2997" s="108"/>
      <c r="N2997" s="108" t="str">
        <v>H397H472</v>
      </c>
      <c r="O2997" s="108">
        <f t="shared" si="48"/>
        <v>1</v>
      </c>
      <c r="P2997" s="108"/>
      <c r="Q2997"/>
    </row>
    <row r="2998" spans="1:17" x14ac:dyDescent="0.25">
      <c r="A2998" s="89" t="s">
        <v>5282</v>
      </c>
      <c r="B2998" s="87" t="s">
        <v>5283</v>
      </c>
      <c r="C2998" s="87" t="s">
        <v>10</v>
      </c>
      <c r="D2998" s="87" t="str">
        <f>VLOOKUP(Tabela1[[#This Row],[Origem]], 'Perguntas 1 a 24'!$J$28:$K$34, 2, 0)</f>
        <v>Centro-Oeste</v>
      </c>
      <c r="E2998" s="87" t="str">
        <f>Tabela1[[#This Row],[Descrição]]&amp;"-"&amp;Tabela1[[#This Row],[Código]]&amp;"/"&amp;Tabela1[[#This Row],[Origem]]</f>
        <v>Denapinu-H397H472/GO</v>
      </c>
      <c r="F2998" s="88">
        <v>47300</v>
      </c>
      <c r="G2998" s="88" t="str" cm="1">
        <f t="array" ref="G29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AND(F2998&gt;= DATE(2026,1,1), F2998&lt;= DATE(2028, 12, 31), J2998&gt;50000), "Pendente e Caro", AND(F2998&gt;= DATE(2026,1,1), F2998&lt;= DATE(2028, 12, 31), J2998&lt;=50000), "Pendente", F2998&gt;= DATE(2029,1,1), "Não prioeitário")</f>
        <v>Não prioeitário</v>
      </c>
      <c r="H2998" s="89">
        <f>YEAR(Tabela1[[#This Row],[Data de Validade]])</f>
        <v>2029</v>
      </c>
      <c r="I2998" s="89">
        <f>MONTH(Tabela1[[#This Row],[Data de Validade]])</f>
        <v>7</v>
      </c>
      <c r="J2998" s="101">
        <v>115321</v>
      </c>
      <c r="K2998" s="87" t="s">
        <v>9</v>
      </c>
      <c r="L2998" s="108"/>
      <c r="M2998" s="108"/>
      <c r="N2998" s="108" t="str">
        <v>P582P486</v>
      </c>
      <c r="O2998" s="108">
        <f t="shared" si="48"/>
        <v>1</v>
      </c>
      <c r="P2998" s="108"/>
      <c r="Q2998"/>
    </row>
    <row r="2999" spans="1:17" x14ac:dyDescent="0.25">
      <c r="A2999" s="89" t="s">
        <v>8080</v>
      </c>
      <c r="B2999" s="87" t="s">
        <v>8081</v>
      </c>
      <c r="C2999" s="87" t="s">
        <v>6</v>
      </c>
      <c r="D2999" s="87" t="str">
        <f>VLOOKUP(Tabela1[[#This Row],[Origem]], 'Perguntas 1 a 24'!$J$28:$K$34, 2, 0)</f>
        <v>Nordeste</v>
      </c>
      <c r="E2999" s="87" t="str">
        <f>Tabela1[[#This Row],[Descrição]]&amp;"-"&amp;Tabela1[[#This Row],[Código]]&amp;"/"&amp;Tabela1[[#This Row],[Origem]]</f>
        <v>Dapicutigi-P582P486/MA</v>
      </c>
      <c r="F2999" s="88">
        <v>47300</v>
      </c>
      <c r="G2999" s="88" t="str" cm="1">
        <f t="array" ref="G29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AND(F2999&gt;= DATE(2026,1,1), F2999&lt;= DATE(2028, 12, 31), J2999&gt;50000), "Pendente e Caro", AND(F2999&gt;= DATE(2026,1,1), F2999&lt;= DATE(2028, 12, 31), J2999&lt;=50000), "Pendente", F2999&gt;= DATE(2029,1,1), "Não prioeitário")</f>
        <v>Não prioeitário</v>
      </c>
      <c r="H2999" s="89">
        <f>YEAR(Tabela1[[#This Row],[Data de Validade]])</f>
        <v>2029</v>
      </c>
      <c r="I2999" s="89">
        <f>MONTH(Tabela1[[#This Row],[Data de Validade]])</f>
        <v>7</v>
      </c>
      <c r="J2999" s="101">
        <v>115053</v>
      </c>
      <c r="K2999" s="87" t="s">
        <v>11</v>
      </c>
      <c r="L2999" s="108"/>
      <c r="M2999" s="108"/>
      <c r="N2999" s="108" t="str">
        <v>H973H576</v>
      </c>
      <c r="O2999" s="108">
        <f t="shared" si="48"/>
        <v>1</v>
      </c>
      <c r="P2999" s="108"/>
      <c r="Q2999"/>
    </row>
    <row r="3000" spans="1:17" x14ac:dyDescent="0.25">
      <c r="A3000" s="89" t="s">
        <v>6720</v>
      </c>
      <c r="B3000" s="87" t="s">
        <v>6721</v>
      </c>
      <c r="C3000" s="87" t="s">
        <v>13</v>
      </c>
      <c r="D3000" s="87" t="str">
        <f>VLOOKUP(Tabela1[[#This Row],[Origem]], 'Perguntas 1 a 24'!$J$28:$K$34, 2, 0)</f>
        <v>Sudeste</v>
      </c>
      <c r="E3000" s="87" t="str">
        <f>Tabela1[[#This Row],[Descrição]]&amp;"-"&amp;Tabela1[[#This Row],[Código]]&amp;"/"&amp;Tabela1[[#This Row],[Origem]]</f>
        <v>Nenerucu-H973H576/SP</v>
      </c>
      <c r="F3000" s="88">
        <v>47301</v>
      </c>
      <c r="G3000" s="88" t="str" cm="1">
        <f t="array" ref="G30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AND(F3000&gt;= DATE(2026,1,1), F3000&lt;= DATE(2028, 12, 31), J3000&gt;50000), "Pendente e Caro", AND(F3000&gt;= DATE(2026,1,1), F3000&lt;= DATE(2028, 12, 31), J3000&lt;=50000), "Pendente", F3000&gt;= DATE(2029,1,1), "Não prioeitário")</f>
        <v>Não prioeitário</v>
      </c>
      <c r="H3000" s="89">
        <f>YEAR(Tabela1[[#This Row],[Data de Validade]])</f>
        <v>2029</v>
      </c>
      <c r="I3000" s="89">
        <f>MONTH(Tabela1[[#This Row],[Data de Validade]])</f>
        <v>7</v>
      </c>
      <c r="J3000" s="101">
        <v>112338</v>
      </c>
      <c r="K3000" s="87" t="s">
        <v>11</v>
      </c>
      <c r="L3000" s="108"/>
      <c r="M3000" s="108"/>
      <c r="N3000" s="108" t="str">
        <v>H726H447</v>
      </c>
      <c r="O3000" s="108">
        <f t="shared" si="48"/>
        <v>1</v>
      </c>
      <c r="P3000" s="108"/>
      <c r="Q3000"/>
    </row>
    <row r="3001" spans="1:17" x14ac:dyDescent="0.25">
      <c r="A3001" s="89" t="s">
        <v>9263</v>
      </c>
      <c r="B3001" s="87" t="s">
        <v>9264</v>
      </c>
      <c r="C3001" s="87" t="s">
        <v>8</v>
      </c>
      <c r="D3001" s="87" t="str">
        <f>VLOOKUP(Tabela1[[#This Row],[Origem]], 'Perguntas 1 a 24'!$J$28:$K$34, 2, 0)</f>
        <v>Nordeste</v>
      </c>
      <c r="E3001" s="87" t="str">
        <f>Tabela1[[#This Row],[Descrição]]&amp;"-"&amp;Tabela1[[#This Row],[Código]]&amp;"/"&amp;Tabela1[[#This Row],[Origem]]</f>
        <v>Cevucemo-H726H447/AL</v>
      </c>
      <c r="F3001" s="88">
        <v>47301</v>
      </c>
      <c r="G3001" s="88" t="str" cm="1">
        <f t="array" ref="G30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AND(F3001&gt;= DATE(2026,1,1), F3001&lt;= DATE(2028, 12, 31), J3001&gt;50000), "Pendente e Caro", AND(F3001&gt;= DATE(2026,1,1), F3001&lt;= DATE(2028, 12, 31), J3001&lt;=50000), "Pendente", F3001&gt;= DATE(2029,1,1), "Não prioeitário")</f>
        <v>Não prioeitário</v>
      </c>
      <c r="H3001" s="89">
        <f>YEAR(Tabela1[[#This Row],[Data de Validade]])</f>
        <v>2029</v>
      </c>
      <c r="I3001" s="89">
        <f>MONTH(Tabela1[[#This Row],[Data de Validade]])</f>
        <v>7</v>
      </c>
      <c r="J3001" s="101">
        <v>101661</v>
      </c>
      <c r="K3001" s="87" t="s">
        <v>14</v>
      </c>
      <c r="L3001" s="108"/>
      <c r="M3001" s="108"/>
      <c r="N3001" s="108" t="str">
        <v>P237P595</v>
      </c>
      <c r="O3001" s="108">
        <f t="shared" si="48"/>
        <v>1</v>
      </c>
      <c r="P3001" s="108"/>
      <c r="Q3001"/>
    </row>
    <row r="3002" spans="1:17" x14ac:dyDescent="0.25">
      <c r="A3002" s="89" t="s">
        <v>6684</v>
      </c>
      <c r="B3002" s="87" t="s">
        <v>6685</v>
      </c>
      <c r="C3002" s="87" t="s">
        <v>10</v>
      </c>
      <c r="D3002" s="87" t="str">
        <f>VLOOKUP(Tabela1[[#This Row],[Origem]], 'Perguntas 1 a 24'!$J$28:$K$34, 2, 0)</f>
        <v>Centro-Oeste</v>
      </c>
      <c r="E3002" s="87" t="str">
        <f>Tabela1[[#This Row],[Descrição]]&amp;"-"&amp;Tabela1[[#This Row],[Código]]&amp;"/"&amp;Tabela1[[#This Row],[Origem]]</f>
        <v>Cipinara-P237P595/GO</v>
      </c>
      <c r="F3002" s="88">
        <v>47302</v>
      </c>
      <c r="G3002" s="88" t="str" cm="1">
        <f t="array" ref="G30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AND(F3002&gt;= DATE(2026,1,1), F3002&lt;= DATE(2028, 12, 31), J3002&gt;50000), "Pendente e Caro", AND(F3002&gt;= DATE(2026,1,1), F3002&lt;= DATE(2028, 12, 31), J3002&lt;=50000), "Pendente", F3002&gt;= DATE(2029,1,1), "Não prioeitário")</f>
        <v>Não prioeitário</v>
      </c>
      <c r="H3002" s="89">
        <f>YEAR(Tabela1[[#This Row],[Data de Validade]])</f>
        <v>2029</v>
      </c>
      <c r="I3002" s="89">
        <f>MONTH(Tabela1[[#This Row],[Data de Validade]])</f>
        <v>7</v>
      </c>
      <c r="J3002" s="101">
        <v>76619</v>
      </c>
      <c r="K3002" s="87" t="s">
        <v>7</v>
      </c>
      <c r="L3002" s="108"/>
      <c r="M3002" s="108"/>
      <c r="N3002" s="108" t="str">
        <v>P935H547</v>
      </c>
      <c r="O3002" s="108">
        <f t="shared" si="48"/>
        <v>1</v>
      </c>
      <c r="P3002" s="108"/>
      <c r="Q3002"/>
    </row>
    <row r="3003" spans="1:17" x14ac:dyDescent="0.25">
      <c r="A3003" s="89" t="s">
        <v>6580</v>
      </c>
      <c r="B3003" s="87" t="s">
        <v>6581</v>
      </c>
      <c r="C3003" s="87" t="s">
        <v>15</v>
      </c>
      <c r="D3003" s="87" t="str">
        <f>VLOOKUP(Tabela1[[#This Row],[Origem]], 'Perguntas 1 a 24'!$J$28:$K$34, 2, 0)</f>
        <v>Sudeste</v>
      </c>
      <c r="E3003" s="87" t="str">
        <f>Tabela1[[#This Row],[Descrição]]&amp;"-"&amp;Tabela1[[#This Row],[Código]]&amp;"/"&amp;Tabela1[[#This Row],[Origem]]</f>
        <v>Cinecora-P935H547/ES</v>
      </c>
      <c r="F3003" s="88">
        <v>47302</v>
      </c>
      <c r="G3003" s="88" t="str" cm="1">
        <f t="array" ref="G30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AND(F3003&gt;= DATE(2026,1,1), F3003&lt;= DATE(2028, 12, 31), J3003&gt;50000), "Pendente e Caro", AND(F3003&gt;= DATE(2026,1,1), F3003&lt;= DATE(2028, 12, 31), J3003&lt;=50000), "Pendente", F3003&gt;= DATE(2029,1,1), "Não prioeitário")</f>
        <v>Não prioeitário</v>
      </c>
      <c r="H3003" s="89">
        <f>YEAR(Tabela1[[#This Row],[Data de Validade]])</f>
        <v>2029</v>
      </c>
      <c r="I3003" s="89">
        <f>MONTH(Tabela1[[#This Row],[Data de Validade]])</f>
        <v>7</v>
      </c>
      <c r="J3003" s="101">
        <v>74645</v>
      </c>
      <c r="K3003" s="87" t="s">
        <v>14</v>
      </c>
      <c r="L3003" s="108"/>
      <c r="M3003" s="108"/>
      <c r="N3003" s="108" t="str">
        <v>P187P311</v>
      </c>
      <c r="O3003" s="108">
        <f t="shared" si="48"/>
        <v>1</v>
      </c>
      <c r="P3003" s="108"/>
      <c r="Q3003"/>
    </row>
    <row r="3004" spans="1:17" x14ac:dyDescent="0.25">
      <c r="A3004" s="89" t="s">
        <v>4319</v>
      </c>
      <c r="B3004" s="87" t="s">
        <v>4320</v>
      </c>
      <c r="C3004" s="87" t="s">
        <v>16</v>
      </c>
      <c r="D3004" s="87" t="str">
        <f>VLOOKUP(Tabela1[[#This Row],[Origem]], 'Perguntas 1 a 24'!$J$28:$K$34, 2, 0)</f>
        <v>Sudeste</v>
      </c>
      <c r="E3004" s="87" t="str">
        <f>Tabela1[[#This Row],[Descrição]]&amp;"-"&amp;Tabela1[[#This Row],[Código]]&amp;"/"&amp;Tabela1[[#This Row],[Origem]]</f>
        <v>Cocevi-P187P311/MG</v>
      </c>
      <c r="F3004" s="88">
        <v>47302</v>
      </c>
      <c r="G3004" s="88" t="str" cm="1">
        <f t="array" ref="G30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AND(F3004&gt;= DATE(2026,1,1), F3004&lt;= DATE(2028, 12, 31), J3004&gt;50000), "Pendente e Caro", AND(F3004&gt;= DATE(2026,1,1), F3004&lt;= DATE(2028, 12, 31), J3004&lt;=50000), "Pendente", F3004&gt;= DATE(2029,1,1), "Não prioeitário")</f>
        <v>Não prioeitário</v>
      </c>
      <c r="H3004" s="89">
        <f>YEAR(Tabela1[[#This Row],[Data de Validade]])</f>
        <v>2029</v>
      </c>
      <c r="I3004" s="89">
        <f>MONTH(Tabela1[[#This Row],[Data de Validade]])</f>
        <v>7</v>
      </c>
      <c r="J3004" s="101">
        <v>42336</v>
      </c>
      <c r="K3004" s="87" t="s">
        <v>14</v>
      </c>
      <c r="L3004" s="108"/>
      <c r="M3004" s="108"/>
      <c r="N3004" s="108" t="str">
        <v>P652P664</v>
      </c>
      <c r="O3004" s="108">
        <f t="shared" si="48"/>
        <v>1</v>
      </c>
      <c r="P3004" s="108"/>
      <c r="Q3004"/>
    </row>
    <row r="3005" spans="1:17" x14ac:dyDescent="0.25">
      <c r="A3005" s="89" t="s">
        <v>6138</v>
      </c>
      <c r="B3005" s="87" t="s">
        <v>6139</v>
      </c>
      <c r="C3005" s="87" t="s">
        <v>13</v>
      </c>
      <c r="D3005" s="87" t="str">
        <f>VLOOKUP(Tabela1[[#This Row],[Origem]], 'Perguntas 1 a 24'!$J$28:$K$34, 2, 0)</f>
        <v>Sudeste</v>
      </c>
      <c r="E3005" s="87" t="str">
        <f>Tabela1[[#This Row],[Descrição]]&amp;"-"&amp;Tabela1[[#This Row],[Código]]&amp;"/"&amp;Tabela1[[#This Row],[Origem]]</f>
        <v>Cudeturotu-P652P664/SP</v>
      </c>
      <c r="F3005" s="88">
        <v>47303</v>
      </c>
      <c r="G3005" s="88" t="str" cm="1">
        <f t="array" ref="G30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AND(F3005&gt;= DATE(2026,1,1), F3005&lt;= DATE(2028, 12, 31), J3005&gt;50000), "Pendente e Caro", AND(F3005&gt;= DATE(2026,1,1), F3005&lt;= DATE(2028, 12, 31), J3005&lt;=50000), "Pendente", F3005&gt;= DATE(2029,1,1), "Não prioeitário")</f>
        <v>Não prioeitário</v>
      </c>
      <c r="H3005" s="89">
        <f>YEAR(Tabela1[[#This Row],[Data de Validade]])</f>
        <v>2029</v>
      </c>
      <c r="I3005" s="89">
        <f>MONTH(Tabela1[[#This Row],[Data de Validade]])</f>
        <v>7</v>
      </c>
      <c r="J3005" s="101">
        <v>34394</v>
      </c>
      <c r="K3005" s="87" t="s">
        <v>7</v>
      </c>
      <c r="L3005" s="108"/>
      <c r="M3005" s="108"/>
      <c r="N3005" s="108" t="str">
        <v>H612H211</v>
      </c>
      <c r="O3005" s="108">
        <f t="shared" si="48"/>
        <v>1</v>
      </c>
      <c r="P3005" s="108"/>
      <c r="Q3005"/>
    </row>
    <row r="3006" spans="1:17" x14ac:dyDescent="0.25">
      <c r="A3006" s="89" t="s">
        <v>6480</v>
      </c>
      <c r="B3006" s="87" t="s">
        <v>6481</v>
      </c>
      <c r="C3006" s="87" t="s">
        <v>10</v>
      </c>
      <c r="D3006" s="87" t="str">
        <f>VLOOKUP(Tabela1[[#This Row],[Origem]], 'Perguntas 1 a 24'!$J$28:$K$34, 2, 0)</f>
        <v>Centro-Oeste</v>
      </c>
      <c r="E3006" s="87" t="str">
        <f>Tabela1[[#This Row],[Descrição]]&amp;"-"&amp;Tabela1[[#This Row],[Código]]&amp;"/"&amp;Tabela1[[#This Row],[Origem]]</f>
        <v>Ludatu-H612H211/GO</v>
      </c>
      <c r="F3006" s="88">
        <v>47304</v>
      </c>
      <c r="G3006" s="88" t="str" cm="1">
        <f t="array" ref="G30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AND(F3006&gt;= DATE(2026,1,1), F3006&lt;= DATE(2028, 12, 31), J3006&gt;50000), "Pendente e Caro", AND(F3006&gt;= DATE(2026,1,1), F3006&lt;= DATE(2028, 12, 31), J3006&lt;=50000), "Pendente", F3006&gt;= DATE(2029,1,1), "Não prioeitário")</f>
        <v>Não prioeitário</v>
      </c>
      <c r="H3006" s="89">
        <f>YEAR(Tabela1[[#This Row],[Data de Validade]])</f>
        <v>2029</v>
      </c>
      <c r="I3006" s="89">
        <f>MONTH(Tabela1[[#This Row],[Data de Validade]])</f>
        <v>7</v>
      </c>
      <c r="J3006" s="101">
        <v>94060</v>
      </c>
      <c r="K3006" s="87" t="s">
        <v>14</v>
      </c>
      <c r="L3006" s="108"/>
      <c r="M3006" s="108"/>
      <c r="N3006" s="108" t="str">
        <v>P375H415</v>
      </c>
      <c r="O3006" s="108">
        <f t="shared" si="48"/>
        <v>1</v>
      </c>
      <c r="P3006" s="108"/>
      <c r="Q3006"/>
    </row>
    <row r="3007" spans="1:17" x14ac:dyDescent="0.25">
      <c r="A3007" s="89" t="s">
        <v>8304</v>
      </c>
      <c r="B3007" s="87" t="s">
        <v>8305</v>
      </c>
      <c r="C3007" s="87" t="s">
        <v>12</v>
      </c>
      <c r="D3007" s="87" t="str">
        <f>VLOOKUP(Tabela1[[#This Row],[Origem]], 'Perguntas 1 a 24'!$J$28:$K$34, 2, 0)</f>
        <v>Sudeste</v>
      </c>
      <c r="E3007" s="87" t="str">
        <f>Tabela1[[#This Row],[Descrição]]&amp;"-"&amp;Tabela1[[#This Row],[Código]]&amp;"/"&amp;Tabela1[[#This Row],[Origem]]</f>
        <v>Pipumipera-P375H415/RJ</v>
      </c>
      <c r="F3007" s="88">
        <v>47304</v>
      </c>
      <c r="G3007" s="88" t="str" cm="1">
        <f t="array" ref="G30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AND(F3007&gt;= DATE(2026,1,1), F3007&lt;= DATE(2028, 12, 31), J3007&gt;50000), "Pendente e Caro", AND(F3007&gt;= DATE(2026,1,1), F3007&lt;= DATE(2028, 12, 31), J3007&lt;=50000), "Pendente", F3007&gt;= DATE(2029,1,1), "Não prioeitário")</f>
        <v>Não prioeitário</v>
      </c>
      <c r="H3007" s="89">
        <f>YEAR(Tabela1[[#This Row],[Data de Validade]])</f>
        <v>2029</v>
      </c>
      <c r="I3007" s="89">
        <f>MONTH(Tabela1[[#This Row],[Data de Validade]])</f>
        <v>7</v>
      </c>
      <c r="J3007" s="101">
        <v>77857</v>
      </c>
      <c r="K3007" s="87" t="s">
        <v>14</v>
      </c>
      <c r="L3007" s="108"/>
      <c r="M3007" s="108"/>
      <c r="N3007" s="108" t="str">
        <v>P821P796</v>
      </c>
      <c r="O3007" s="108">
        <f t="shared" si="48"/>
        <v>1</v>
      </c>
      <c r="P3007" s="108"/>
      <c r="Q3007"/>
    </row>
    <row r="3008" spans="1:17" x14ac:dyDescent="0.25">
      <c r="A3008" s="89" t="s">
        <v>9273</v>
      </c>
      <c r="B3008" s="87" t="s">
        <v>9274</v>
      </c>
      <c r="C3008" s="87" t="s">
        <v>6</v>
      </c>
      <c r="D3008" s="87" t="str">
        <f>VLOOKUP(Tabela1[[#This Row],[Origem]], 'Perguntas 1 a 24'!$J$28:$K$34, 2, 0)</f>
        <v>Nordeste</v>
      </c>
      <c r="E3008" s="87" t="str">
        <f>Tabela1[[#This Row],[Descrição]]&amp;"-"&amp;Tabela1[[#This Row],[Código]]&amp;"/"&amp;Tabela1[[#This Row],[Origem]]</f>
        <v>Tacaricugu-P821P796/MA</v>
      </c>
      <c r="F3008" s="88">
        <v>47304</v>
      </c>
      <c r="G3008" s="88" t="str" cm="1">
        <f t="array" ref="G30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AND(F3008&gt;= DATE(2026,1,1), F3008&lt;= DATE(2028, 12, 31), J3008&gt;50000), "Pendente e Caro", AND(F3008&gt;= DATE(2026,1,1), F3008&lt;= DATE(2028, 12, 31), J3008&lt;=50000), "Pendente", F3008&gt;= DATE(2029,1,1), "Não prioeitário")</f>
        <v>Não prioeitário</v>
      </c>
      <c r="H3008" s="89">
        <f>YEAR(Tabela1[[#This Row],[Data de Validade]])</f>
        <v>2029</v>
      </c>
      <c r="I3008" s="89">
        <f>MONTH(Tabela1[[#This Row],[Data de Validade]])</f>
        <v>7</v>
      </c>
      <c r="J3008" s="101">
        <v>68637</v>
      </c>
      <c r="K3008" s="87" t="s">
        <v>9</v>
      </c>
      <c r="L3008" s="108"/>
      <c r="M3008" s="108"/>
      <c r="N3008" s="108" t="str">
        <v>P553P592</v>
      </c>
      <c r="O3008" s="108">
        <f t="shared" si="48"/>
        <v>1</v>
      </c>
      <c r="P3008" s="108"/>
      <c r="Q3008"/>
    </row>
    <row r="3009" spans="1:17" x14ac:dyDescent="0.25">
      <c r="A3009" s="89" t="s">
        <v>6178</v>
      </c>
      <c r="B3009" s="87" t="s">
        <v>6179</v>
      </c>
      <c r="C3009" s="87" t="s">
        <v>12</v>
      </c>
      <c r="D3009" s="87" t="str">
        <f>VLOOKUP(Tabela1[[#This Row],[Origem]], 'Perguntas 1 a 24'!$J$28:$K$34, 2, 0)</f>
        <v>Sudeste</v>
      </c>
      <c r="E3009" s="87" t="str">
        <f>Tabela1[[#This Row],[Descrição]]&amp;"-"&amp;Tabela1[[#This Row],[Código]]&amp;"/"&amp;Tabela1[[#This Row],[Origem]]</f>
        <v>Nupinida-P553P592/RJ</v>
      </c>
      <c r="F3009" s="88">
        <v>47304</v>
      </c>
      <c r="G3009" s="88" t="str" cm="1">
        <f t="array" ref="G30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AND(F3009&gt;= DATE(2026,1,1), F3009&lt;= DATE(2028, 12, 31), J3009&gt;50000), "Pendente e Caro", AND(F3009&gt;= DATE(2026,1,1), F3009&lt;= DATE(2028, 12, 31), J3009&lt;=50000), "Pendente", F3009&gt;= DATE(2029,1,1), "Não prioeitário")</f>
        <v>Não prioeitário</v>
      </c>
      <c r="H3009" s="89">
        <f>YEAR(Tabela1[[#This Row],[Data de Validade]])</f>
        <v>2029</v>
      </c>
      <c r="I3009" s="89">
        <f>MONTH(Tabela1[[#This Row],[Data de Validade]])</f>
        <v>7</v>
      </c>
      <c r="J3009" s="101">
        <v>27244</v>
      </c>
      <c r="K3009" s="87" t="s">
        <v>7</v>
      </c>
      <c r="L3009" s="108"/>
      <c r="M3009" s="108"/>
      <c r="N3009" s="108" t="str">
        <v>H496P879</v>
      </c>
      <c r="O3009" s="108">
        <f t="shared" si="48"/>
        <v>1</v>
      </c>
      <c r="P3009" s="108"/>
      <c r="Q3009"/>
    </row>
    <row r="3010" spans="1:17" x14ac:dyDescent="0.25">
      <c r="A3010" s="89" t="s">
        <v>10261</v>
      </c>
      <c r="B3010" s="87" t="s">
        <v>10262</v>
      </c>
      <c r="C3010" s="87" t="s">
        <v>16</v>
      </c>
      <c r="D3010" s="87" t="str">
        <f>VLOOKUP(Tabela1[[#This Row],[Origem]], 'Perguntas 1 a 24'!$J$28:$K$34, 2, 0)</f>
        <v>Sudeste</v>
      </c>
      <c r="E3010" s="87" t="str">
        <f>Tabela1[[#This Row],[Descrição]]&amp;"-"&amp;Tabela1[[#This Row],[Código]]&amp;"/"&amp;Tabela1[[#This Row],[Origem]]</f>
        <v>Pulatili-H496P879/MG</v>
      </c>
      <c r="F3010" s="88">
        <v>47306</v>
      </c>
      <c r="G3010" s="88" t="str" cm="1">
        <f t="array" ref="G30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AND(F3010&gt;= DATE(2026,1,1), F3010&lt;= DATE(2028, 12, 31), J3010&gt;50000), "Pendente e Caro", AND(F3010&gt;= DATE(2026,1,1), F3010&lt;= DATE(2028, 12, 31), J3010&lt;=50000), "Pendente", F3010&gt;= DATE(2029,1,1), "Não prioeitário")</f>
        <v>Não prioeitário</v>
      </c>
      <c r="H3010" s="89">
        <f>YEAR(Tabela1[[#This Row],[Data de Validade]])</f>
        <v>2029</v>
      </c>
      <c r="I3010" s="89">
        <f>MONTH(Tabela1[[#This Row],[Data de Validade]])</f>
        <v>7</v>
      </c>
      <c r="J3010" s="101">
        <v>111764</v>
      </c>
      <c r="K3010" s="87" t="s">
        <v>11</v>
      </c>
      <c r="L3010" s="108"/>
      <c r="M3010" s="108"/>
      <c r="N3010" s="108" t="str">
        <v>H373H317</v>
      </c>
      <c r="O3010" s="108">
        <f t="shared" si="48"/>
        <v>1</v>
      </c>
      <c r="P3010" s="108"/>
      <c r="Q3010"/>
    </row>
    <row r="3011" spans="1:17" x14ac:dyDescent="0.25">
      <c r="A3011" s="89" t="s">
        <v>7834</v>
      </c>
      <c r="B3011" s="87" t="s">
        <v>7835</v>
      </c>
      <c r="C3011" s="87" t="s">
        <v>6</v>
      </c>
      <c r="D3011" s="87" t="str">
        <f>VLOOKUP(Tabela1[[#This Row],[Origem]], 'Perguntas 1 a 24'!$J$28:$K$34, 2, 0)</f>
        <v>Nordeste</v>
      </c>
      <c r="E3011" s="87" t="str">
        <f>Tabela1[[#This Row],[Descrição]]&amp;"-"&amp;Tabela1[[#This Row],[Código]]&amp;"/"&amp;Tabela1[[#This Row],[Origem]]</f>
        <v>Pifonilocu-H373H317/MA</v>
      </c>
      <c r="F3011" s="88">
        <v>47306</v>
      </c>
      <c r="G3011" s="88" t="str" cm="1">
        <f t="array" ref="G30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AND(F3011&gt;= DATE(2026,1,1), F3011&lt;= DATE(2028, 12, 31), J3011&gt;50000), "Pendente e Caro", AND(F3011&gt;= DATE(2026,1,1), F3011&lt;= DATE(2028, 12, 31), J3011&lt;=50000), "Pendente", F3011&gt;= DATE(2029,1,1), "Não prioeitário")</f>
        <v>Não prioeitário</v>
      </c>
      <c r="H3011" s="89">
        <f>YEAR(Tabela1[[#This Row],[Data de Validade]])</f>
        <v>2029</v>
      </c>
      <c r="I3011" s="89">
        <f>MONTH(Tabela1[[#This Row],[Data de Validade]])</f>
        <v>7</v>
      </c>
      <c r="J3011" s="101">
        <v>55386</v>
      </c>
      <c r="K3011" s="87" t="s">
        <v>14</v>
      </c>
      <c r="L3011" s="108"/>
      <c r="M3011" s="108"/>
      <c r="N3011" s="108" t="str">
        <v>P116P543</v>
      </c>
      <c r="O3011" s="108">
        <f t="shared" ref="O3011:O3074" si="49">COUNTIFS(B:B,N3011)</f>
        <v>1</v>
      </c>
      <c r="P3011" s="108"/>
      <c r="Q3011"/>
    </row>
    <row r="3012" spans="1:17" x14ac:dyDescent="0.25">
      <c r="A3012" s="89" t="s">
        <v>8362</v>
      </c>
      <c r="B3012" s="87" t="s">
        <v>8363</v>
      </c>
      <c r="C3012" s="87" t="s">
        <v>6</v>
      </c>
      <c r="D3012" s="87" t="str">
        <f>VLOOKUP(Tabela1[[#This Row],[Origem]], 'Perguntas 1 a 24'!$J$28:$K$34, 2, 0)</f>
        <v>Nordeste</v>
      </c>
      <c r="E3012" s="87" t="str">
        <f>Tabela1[[#This Row],[Descrição]]&amp;"-"&amp;Tabela1[[#This Row],[Código]]&amp;"/"&amp;Tabela1[[#This Row],[Origem]]</f>
        <v>Tupevi-P116P543/MA</v>
      </c>
      <c r="F3012" s="88">
        <v>47306</v>
      </c>
      <c r="G3012" s="88" t="str" cm="1">
        <f t="array" ref="G30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AND(F3012&gt;= DATE(2026,1,1), F3012&lt;= DATE(2028, 12, 31), J3012&gt;50000), "Pendente e Caro", AND(F3012&gt;= DATE(2026,1,1), F3012&lt;= DATE(2028, 12, 31), J3012&lt;=50000), "Pendente", F3012&gt;= DATE(2029,1,1), "Não prioeitário")</f>
        <v>Não prioeitário</v>
      </c>
      <c r="H3012" s="89">
        <f>YEAR(Tabela1[[#This Row],[Data de Validade]])</f>
        <v>2029</v>
      </c>
      <c r="I3012" s="89">
        <f>MONTH(Tabela1[[#This Row],[Data de Validade]])</f>
        <v>7</v>
      </c>
      <c r="J3012" s="101">
        <v>40206</v>
      </c>
      <c r="K3012" s="87" t="s">
        <v>9</v>
      </c>
      <c r="L3012" s="108"/>
      <c r="M3012" s="108"/>
      <c r="N3012" s="108" t="str">
        <v>P549P422</v>
      </c>
      <c r="O3012" s="108">
        <f t="shared" si="49"/>
        <v>1</v>
      </c>
      <c r="P3012" s="108"/>
      <c r="Q3012"/>
    </row>
    <row r="3013" spans="1:17" x14ac:dyDescent="0.25">
      <c r="A3013" s="89" t="s">
        <v>8026</v>
      </c>
      <c r="B3013" s="87" t="s">
        <v>8027</v>
      </c>
      <c r="C3013" s="87" t="s">
        <v>8</v>
      </c>
      <c r="D3013" s="87" t="str">
        <f>VLOOKUP(Tabela1[[#This Row],[Origem]], 'Perguntas 1 a 24'!$J$28:$K$34, 2, 0)</f>
        <v>Nordeste</v>
      </c>
      <c r="E3013" s="87" t="str">
        <f>Tabela1[[#This Row],[Descrição]]&amp;"-"&amp;Tabela1[[#This Row],[Código]]&amp;"/"&amp;Tabela1[[#This Row],[Origem]]</f>
        <v>Virilu-P549P422/AL</v>
      </c>
      <c r="F3013" s="88">
        <v>47308</v>
      </c>
      <c r="G3013" s="88" t="str" cm="1">
        <f t="array" ref="G30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AND(F3013&gt;= DATE(2026,1,1), F3013&lt;= DATE(2028, 12, 31), J3013&gt;50000), "Pendente e Caro", AND(F3013&gt;= DATE(2026,1,1), F3013&lt;= DATE(2028, 12, 31), J3013&lt;=50000), "Pendente", F3013&gt;= DATE(2029,1,1), "Não prioeitário")</f>
        <v>Não prioeitário</v>
      </c>
      <c r="H3013" s="89">
        <f>YEAR(Tabela1[[#This Row],[Data de Validade]])</f>
        <v>2029</v>
      </c>
      <c r="I3013" s="89">
        <f>MONTH(Tabela1[[#This Row],[Data de Validade]])</f>
        <v>7</v>
      </c>
      <c r="J3013" s="101">
        <v>20175</v>
      </c>
      <c r="K3013" s="87" t="s">
        <v>9</v>
      </c>
      <c r="L3013" s="108"/>
      <c r="M3013" s="108"/>
      <c r="N3013" s="108" t="str">
        <v>P859P955</v>
      </c>
      <c r="O3013" s="108">
        <f t="shared" si="49"/>
        <v>1</v>
      </c>
      <c r="P3013" s="108"/>
      <c r="Q3013"/>
    </row>
    <row r="3014" spans="1:17" x14ac:dyDescent="0.25">
      <c r="A3014" s="89" t="s">
        <v>5998</v>
      </c>
      <c r="B3014" s="87" t="s">
        <v>5999</v>
      </c>
      <c r="C3014" s="87" t="s">
        <v>8</v>
      </c>
      <c r="D3014" s="87" t="str">
        <f>VLOOKUP(Tabela1[[#This Row],[Origem]], 'Perguntas 1 a 24'!$J$28:$K$34, 2, 0)</f>
        <v>Nordeste</v>
      </c>
      <c r="E3014" s="87" t="str">
        <f>Tabela1[[#This Row],[Descrição]]&amp;"-"&amp;Tabela1[[#This Row],[Código]]&amp;"/"&amp;Tabela1[[#This Row],[Origem]]</f>
        <v>Cotupu-P859P955/AL</v>
      </c>
      <c r="F3014" s="88">
        <v>47309</v>
      </c>
      <c r="G3014" s="88" t="str" cm="1">
        <f t="array" ref="G30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AND(F3014&gt;= DATE(2026,1,1), F3014&lt;= DATE(2028, 12, 31), J3014&gt;50000), "Pendente e Caro", AND(F3014&gt;= DATE(2026,1,1), F3014&lt;= DATE(2028, 12, 31), J3014&lt;=50000), "Pendente", F3014&gt;= DATE(2029,1,1), "Não prioeitário")</f>
        <v>Não prioeitário</v>
      </c>
      <c r="H3014" s="89">
        <f>YEAR(Tabela1[[#This Row],[Data de Validade]])</f>
        <v>2029</v>
      </c>
      <c r="I3014" s="89">
        <f>MONTH(Tabela1[[#This Row],[Data de Validade]])</f>
        <v>7</v>
      </c>
      <c r="J3014" s="101">
        <v>107913</v>
      </c>
      <c r="K3014" s="87" t="s">
        <v>14</v>
      </c>
      <c r="L3014" s="108"/>
      <c r="M3014" s="108"/>
      <c r="N3014" s="108" t="str">
        <v>H176P464</v>
      </c>
      <c r="O3014" s="108">
        <f t="shared" si="49"/>
        <v>1</v>
      </c>
      <c r="P3014" s="108"/>
      <c r="Q3014"/>
    </row>
    <row r="3015" spans="1:17" x14ac:dyDescent="0.25">
      <c r="A3015" s="89" t="s">
        <v>6036</v>
      </c>
      <c r="B3015" s="87" t="s">
        <v>6037</v>
      </c>
      <c r="C3015" s="87" t="s">
        <v>10</v>
      </c>
      <c r="D3015" s="87" t="str">
        <f>VLOOKUP(Tabela1[[#This Row],[Origem]], 'Perguntas 1 a 24'!$J$28:$K$34, 2, 0)</f>
        <v>Centro-Oeste</v>
      </c>
      <c r="E3015" s="87" t="str">
        <f>Tabela1[[#This Row],[Descrição]]&amp;"-"&amp;Tabela1[[#This Row],[Código]]&amp;"/"&amp;Tabela1[[#This Row],[Origem]]</f>
        <v>Dapapa-H176P464/GO</v>
      </c>
      <c r="F3015" s="88">
        <v>47309</v>
      </c>
      <c r="G3015" s="88" t="str" cm="1">
        <f t="array" ref="G30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AND(F3015&gt;= DATE(2026,1,1), F3015&lt;= DATE(2028, 12, 31), J3015&gt;50000), "Pendente e Caro", AND(F3015&gt;= DATE(2026,1,1), F3015&lt;= DATE(2028, 12, 31), J3015&lt;=50000), "Pendente", F3015&gt;= DATE(2029,1,1), "Não prioeitário")</f>
        <v>Não prioeitário</v>
      </c>
      <c r="H3015" s="89">
        <f>YEAR(Tabela1[[#This Row],[Data de Validade]])</f>
        <v>2029</v>
      </c>
      <c r="I3015" s="89">
        <f>MONTH(Tabela1[[#This Row],[Data de Validade]])</f>
        <v>7</v>
      </c>
      <c r="J3015" s="101">
        <v>72959</v>
      </c>
      <c r="K3015" s="87" t="s">
        <v>9</v>
      </c>
      <c r="L3015" s="108"/>
      <c r="M3015" s="108"/>
      <c r="N3015" s="108" t="str">
        <v>P587H779</v>
      </c>
      <c r="O3015" s="108">
        <f t="shared" si="49"/>
        <v>1</v>
      </c>
      <c r="P3015" s="108"/>
      <c r="Q3015"/>
    </row>
    <row r="3016" spans="1:17" x14ac:dyDescent="0.25">
      <c r="A3016" s="89" t="s">
        <v>9525</v>
      </c>
      <c r="B3016" s="87" t="s">
        <v>9526</v>
      </c>
      <c r="C3016" s="87" t="s">
        <v>6</v>
      </c>
      <c r="D3016" s="87" t="str">
        <f>VLOOKUP(Tabela1[[#This Row],[Origem]], 'Perguntas 1 a 24'!$J$28:$K$34, 2, 0)</f>
        <v>Nordeste</v>
      </c>
      <c r="E3016" s="87" t="str">
        <f>Tabela1[[#This Row],[Descrição]]&amp;"-"&amp;Tabela1[[#This Row],[Código]]&amp;"/"&amp;Tabela1[[#This Row],[Origem]]</f>
        <v>Narumenepi-P587H779/MA</v>
      </c>
      <c r="F3016" s="88">
        <v>47309</v>
      </c>
      <c r="G3016" s="88" t="str" cm="1">
        <f t="array" ref="G30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AND(F3016&gt;= DATE(2026,1,1), F3016&lt;= DATE(2028, 12, 31), J3016&gt;50000), "Pendente e Caro", AND(F3016&gt;= DATE(2026,1,1), F3016&lt;= DATE(2028, 12, 31), J3016&lt;=50000), "Pendente", F3016&gt;= DATE(2029,1,1), "Não prioeitário")</f>
        <v>Não prioeitário</v>
      </c>
      <c r="H3016" s="89">
        <f>YEAR(Tabela1[[#This Row],[Data de Validade]])</f>
        <v>2029</v>
      </c>
      <c r="I3016" s="89">
        <f>MONTH(Tabela1[[#This Row],[Data de Validade]])</f>
        <v>7</v>
      </c>
      <c r="J3016" s="101">
        <v>26985</v>
      </c>
      <c r="K3016" s="87" t="s">
        <v>9</v>
      </c>
      <c r="L3016" s="108"/>
      <c r="M3016" s="108"/>
      <c r="N3016" s="108" t="str">
        <v>H659H972</v>
      </c>
      <c r="O3016" s="108">
        <f t="shared" si="49"/>
        <v>1</v>
      </c>
      <c r="P3016" s="108"/>
      <c r="Q3016"/>
    </row>
    <row r="3017" spans="1:17" x14ac:dyDescent="0.25">
      <c r="A3017" s="89" t="s">
        <v>6000</v>
      </c>
      <c r="B3017" s="87" t="s">
        <v>6001</v>
      </c>
      <c r="C3017" s="87" t="s">
        <v>16</v>
      </c>
      <c r="D3017" s="87" t="str">
        <f>VLOOKUP(Tabela1[[#This Row],[Origem]], 'Perguntas 1 a 24'!$J$28:$K$34, 2, 0)</f>
        <v>Sudeste</v>
      </c>
      <c r="E3017" s="87" t="str">
        <f>Tabela1[[#This Row],[Descrição]]&amp;"-"&amp;Tabela1[[#This Row],[Código]]&amp;"/"&amp;Tabela1[[#This Row],[Origem]]</f>
        <v>Rerepenupi-H659H972/MG</v>
      </c>
      <c r="F3017" s="88">
        <v>47310</v>
      </c>
      <c r="G3017" s="88" t="str" cm="1">
        <f t="array" ref="G30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AND(F3017&gt;= DATE(2026,1,1), F3017&lt;= DATE(2028, 12, 31), J3017&gt;50000), "Pendente e Caro", AND(F3017&gt;= DATE(2026,1,1), F3017&lt;= DATE(2028, 12, 31), J3017&lt;=50000), "Pendente", F3017&gt;= DATE(2029,1,1), "Não prioeitário")</f>
        <v>Não prioeitário</v>
      </c>
      <c r="H3017" s="89">
        <f>YEAR(Tabela1[[#This Row],[Data de Validade]])</f>
        <v>2029</v>
      </c>
      <c r="I3017" s="89">
        <f>MONTH(Tabela1[[#This Row],[Data de Validade]])</f>
        <v>7</v>
      </c>
      <c r="J3017" s="101">
        <v>111119</v>
      </c>
      <c r="K3017" s="87" t="s">
        <v>9</v>
      </c>
      <c r="L3017" s="108"/>
      <c r="M3017" s="108"/>
      <c r="N3017" s="108" t="str">
        <v>P557H447</v>
      </c>
      <c r="O3017" s="108">
        <f t="shared" si="49"/>
        <v>1</v>
      </c>
      <c r="P3017" s="108"/>
      <c r="Q3017"/>
    </row>
    <row r="3018" spans="1:17" x14ac:dyDescent="0.25">
      <c r="A3018" s="89" t="s">
        <v>4662</v>
      </c>
      <c r="B3018" s="87" t="s">
        <v>4663</v>
      </c>
      <c r="C3018" s="87" t="s">
        <v>10</v>
      </c>
      <c r="D3018" s="87" t="str">
        <f>VLOOKUP(Tabela1[[#This Row],[Origem]], 'Perguntas 1 a 24'!$J$28:$K$34, 2, 0)</f>
        <v>Centro-Oeste</v>
      </c>
      <c r="E3018" s="87" t="str">
        <f>Tabela1[[#This Row],[Descrição]]&amp;"-"&amp;Tabela1[[#This Row],[Código]]&amp;"/"&amp;Tabela1[[#This Row],[Origem]]</f>
        <v>Donifefo-P557H447/GO</v>
      </c>
      <c r="F3018" s="88">
        <v>47310</v>
      </c>
      <c r="G3018" s="88" t="str" cm="1">
        <f t="array" ref="G30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AND(F3018&gt;= DATE(2026,1,1), F3018&lt;= DATE(2028, 12, 31), J3018&gt;50000), "Pendente e Caro", AND(F3018&gt;= DATE(2026,1,1), F3018&lt;= DATE(2028, 12, 31), J3018&lt;=50000), "Pendente", F3018&gt;= DATE(2029,1,1), "Não prioeitário")</f>
        <v>Não prioeitário</v>
      </c>
      <c r="H3018" s="89">
        <f>YEAR(Tabela1[[#This Row],[Data de Validade]])</f>
        <v>2029</v>
      </c>
      <c r="I3018" s="89">
        <f>MONTH(Tabela1[[#This Row],[Data de Validade]])</f>
        <v>7</v>
      </c>
      <c r="J3018" s="101">
        <v>100251</v>
      </c>
      <c r="K3018" s="87" t="s">
        <v>7</v>
      </c>
      <c r="L3018" s="108"/>
      <c r="M3018" s="108"/>
      <c r="N3018" s="108" t="str">
        <v>P726H926</v>
      </c>
      <c r="O3018" s="108">
        <f t="shared" si="49"/>
        <v>1</v>
      </c>
      <c r="P3018" s="108"/>
      <c r="Q3018"/>
    </row>
    <row r="3019" spans="1:17" x14ac:dyDescent="0.25">
      <c r="A3019" s="89" t="s">
        <v>8156</v>
      </c>
      <c r="B3019" s="87" t="s">
        <v>8157</v>
      </c>
      <c r="C3019" s="87" t="s">
        <v>16</v>
      </c>
      <c r="D3019" s="87" t="str">
        <f>VLOOKUP(Tabela1[[#This Row],[Origem]], 'Perguntas 1 a 24'!$J$28:$K$34, 2, 0)</f>
        <v>Sudeste</v>
      </c>
      <c r="E3019" s="87" t="str">
        <f>Tabela1[[#This Row],[Descrição]]&amp;"-"&amp;Tabela1[[#This Row],[Código]]&amp;"/"&amp;Tabela1[[#This Row],[Origem]]</f>
        <v>Tecapanita-P726H926/MG</v>
      </c>
      <c r="F3019" s="88">
        <v>47310</v>
      </c>
      <c r="G3019" s="88" t="str" cm="1">
        <f t="array" ref="G30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AND(F3019&gt;= DATE(2026,1,1), F3019&lt;= DATE(2028, 12, 31), J3019&gt;50000), "Pendente e Caro", AND(F3019&gt;= DATE(2026,1,1), F3019&lt;= DATE(2028, 12, 31), J3019&lt;=50000), "Pendente", F3019&gt;= DATE(2029,1,1), "Não prioeitário")</f>
        <v>Não prioeitário</v>
      </c>
      <c r="H3019" s="89">
        <f>YEAR(Tabela1[[#This Row],[Data de Validade]])</f>
        <v>2029</v>
      </c>
      <c r="I3019" s="89">
        <f>MONTH(Tabela1[[#This Row],[Data de Validade]])</f>
        <v>7</v>
      </c>
      <c r="J3019" s="101">
        <v>68907</v>
      </c>
      <c r="K3019" s="87" t="s">
        <v>7</v>
      </c>
      <c r="L3019" s="108"/>
      <c r="M3019" s="108"/>
      <c r="N3019" s="108" t="str">
        <v>P451H951</v>
      </c>
      <c r="O3019" s="108">
        <f t="shared" si="49"/>
        <v>1</v>
      </c>
      <c r="P3019" s="108"/>
      <c r="Q3019"/>
    </row>
    <row r="3020" spans="1:17" x14ac:dyDescent="0.25">
      <c r="A3020" s="89" t="s">
        <v>8226</v>
      </c>
      <c r="B3020" s="87" t="s">
        <v>8227</v>
      </c>
      <c r="C3020" s="87" t="s">
        <v>12</v>
      </c>
      <c r="D3020" s="87" t="str">
        <f>VLOOKUP(Tabela1[[#This Row],[Origem]], 'Perguntas 1 a 24'!$J$28:$K$34, 2, 0)</f>
        <v>Sudeste</v>
      </c>
      <c r="E3020" s="87" t="str">
        <f>Tabela1[[#This Row],[Descrição]]&amp;"-"&amp;Tabela1[[#This Row],[Código]]&amp;"/"&amp;Tabela1[[#This Row],[Origem]]</f>
        <v>Vututa-P451H951/RJ</v>
      </c>
      <c r="F3020" s="88">
        <v>47310</v>
      </c>
      <c r="G3020" s="88" t="str" cm="1">
        <f t="array" ref="G30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AND(F3020&gt;= DATE(2026,1,1), F3020&lt;= DATE(2028, 12, 31), J3020&gt;50000), "Pendente e Caro", AND(F3020&gt;= DATE(2026,1,1), F3020&lt;= DATE(2028, 12, 31), J3020&lt;=50000), "Pendente", F3020&gt;= DATE(2029,1,1), "Não prioeitário")</f>
        <v>Não prioeitário</v>
      </c>
      <c r="H3020" s="89">
        <f>YEAR(Tabela1[[#This Row],[Data de Validade]])</f>
        <v>2029</v>
      </c>
      <c r="I3020" s="89">
        <f>MONTH(Tabela1[[#This Row],[Data de Validade]])</f>
        <v>7</v>
      </c>
      <c r="J3020" s="101">
        <v>62254</v>
      </c>
      <c r="K3020" s="87" t="s">
        <v>14</v>
      </c>
      <c r="L3020" s="108"/>
      <c r="M3020" s="108"/>
      <c r="N3020" s="108" t="str">
        <v>H365H648</v>
      </c>
      <c r="O3020" s="108">
        <f t="shared" si="49"/>
        <v>1</v>
      </c>
      <c r="P3020" s="108"/>
      <c r="Q3020"/>
    </row>
    <row r="3021" spans="1:17" x14ac:dyDescent="0.25">
      <c r="A3021" s="89" t="s">
        <v>7902</v>
      </c>
      <c r="B3021" s="87" t="s">
        <v>7903</v>
      </c>
      <c r="C3021" s="87" t="s">
        <v>13</v>
      </c>
      <c r="D3021" s="87" t="str">
        <f>VLOOKUP(Tabela1[[#This Row],[Origem]], 'Perguntas 1 a 24'!$J$28:$K$34, 2, 0)</f>
        <v>Sudeste</v>
      </c>
      <c r="E3021" s="87" t="str">
        <f>Tabela1[[#This Row],[Descrição]]&amp;"-"&amp;Tabela1[[#This Row],[Código]]&amp;"/"&amp;Tabela1[[#This Row],[Origem]]</f>
        <v>Tipufira-H365H648/SP</v>
      </c>
      <c r="F3021" s="88">
        <v>47311</v>
      </c>
      <c r="G3021" s="88" t="str" cm="1">
        <f t="array" ref="G30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AND(F3021&gt;= DATE(2026,1,1), F3021&lt;= DATE(2028, 12, 31), J3021&gt;50000), "Pendente e Caro", AND(F3021&gt;= DATE(2026,1,1), F3021&lt;= DATE(2028, 12, 31), J3021&lt;=50000), "Pendente", F3021&gt;= DATE(2029,1,1), "Não prioeitário")</f>
        <v>Não prioeitário</v>
      </c>
      <c r="H3021" s="89">
        <f>YEAR(Tabela1[[#This Row],[Data de Validade]])</f>
        <v>2029</v>
      </c>
      <c r="I3021" s="89">
        <f>MONTH(Tabela1[[#This Row],[Data de Validade]])</f>
        <v>7</v>
      </c>
      <c r="J3021" s="101">
        <v>78073</v>
      </c>
      <c r="K3021" s="87" t="s">
        <v>14</v>
      </c>
      <c r="L3021" s="108"/>
      <c r="M3021" s="108"/>
      <c r="N3021" s="108" t="str">
        <v>H834H891</v>
      </c>
      <c r="O3021" s="108">
        <f t="shared" si="49"/>
        <v>1</v>
      </c>
      <c r="P3021" s="108"/>
      <c r="Q3021"/>
    </row>
    <row r="3022" spans="1:17" x14ac:dyDescent="0.25">
      <c r="A3022" s="89" t="s">
        <v>8246</v>
      </c>
      <c r="B3022" s="87" t="s">
        <v>8247</v>
      </c>
      <c r="C3022" s="87" t="s">
        <v>13</v>
      </c>
      <c r="D3022" s="87" t="str">
        <f>VLOOKUP(Tabela1[[#This Row],[Origem]], 'Perguntas 1 a 24'!$J$28:$K$34, 2, 0)</f>
        <v>Sudeste</v>
      </c>
      <c r="E3022" s="87" t="str">
        <f>Tabela1[[#This Row],[Descrição]]&amp;"-"&amp;Tabela1[[#This Row],[Código]]&amp;"/"&amp;Tabela1[[#This Row],[Origem]]</f>
        <v>Vepova-H834H891/SP</v>
      </c>
      <c r="F3022" s="88">
        <v>47311</v>
      </c>
      <c r="G3022" s="88" t="str" cm="1">
        <f t="array" ref="G30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AND(F3022&gt;= DATE(2026,1,1), F3022&lt;= DATE(2028, 12, 31), J3022&gt;50000), "Pendente e Caro", AND(F3022&gt;= DATE(2026,1,1), F3022&lt;= DATE(2028, 12, 31), J3022&lt;=50000), "Pendente", F3022&gt;= DATE(2029,1,1), "Não prioeitário")</f>
        <v>Não prioeitário</v>
      </c>
      <c r="H3022" s="89">
        <f>YEAR(Tabela1[[#This Row],[Data de Validade]])</f>
        <v>2029</v>
      </c>
      <c r="I3022" s="89">
        <f>MONTH(Tabela1[[#This Row],[Data de Validade]])</f>
        <v>7</v>
      </c>
      <c r="J3022" s="101">
        <v>31745</v>
      </c>
      <c r="K3022" s="87" t="s">
        <v>7</v>
      </c>
      <c r="L3022" s="108"/>
      <c r="M3022" s="108"/>
      <c r="N3022" s="108" t="str">
        <v>P828P174</v>
      </c>
      <c r="O3022" s="108">
        <f t="shared" si="49"/>
        <v>1</v>
      </c>
      <c r="P3022" s="108"/>
      <c r="Q3022"/>
    </row>
    <row r="3023" spans="1:17" x14ac:dyDescent="0.25">
      <c r="A3023" s="89" t="s">
        <v>6134</v>
      </c>
      <c r="B3023" s="87" t="s">
        <v>6135</v>
      </c>
      <c r="C3023" s="87" t="s">
        <v>15</v>
      </c>
      <c r="D3023" s="87" t="str">
        <f>VLOOKUP(Tabela1[[#This Row],[Origem]], 'Perguntas 1 a 24'!$J$28:$K$34, 2, 0)</f>
        <v>Sudeste</v>
      </c>
      <c r="E3023" s="87" t="str">
        <f>Tabela1[[#This Row],[Descrição]]&amp;"-"&amp;Tabela1[[#This Row],[Código]]&amp;"/"&amp;Tabela1[[#This Row],[Origem]]</f>
        <v>Malica-P828P174/ES</v>
      </c>
      <c r="F3023" s="88">
        <v>47312</v>
      </c>
      <c r="G3023" s="88" t="str" cm="1">
        <f t="array" ref="G30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AND(F3023&gt;= DATE(2026,1,1), F3023&lt;= DATE(2028, 12, 31), J3023&gt;50000), "Pendente e Caro", AND(F3023&gt;= DATE(2026,1,1), F3023&lt;= DATE(2028, 12, 31), J3023&lt;=50000), "Pendente", F3023&gt;= DATE(2029,1,1), "Não prioeitário")</f>
        <v>Não prioeitário</v>
      </c>
      <c r="H3023" s="89">
        <f>YEAR(Tabela1[[#This Row],[Data de Validade]])</f>
        <v>2029</v>
      </c>
      <c r="I3023" s="89">
        <f>MONTH(Tabela1[[#This Row],[Data de Validade]])</f>
        <v>7</v>
      </c>
      <c r="J3023" s="101">
        <v>23247</v>
      </c>
      <c r="K3023" s="87" t="s">
        <v>14</v>
      </c>
      <c r="L3023" s="108"/>
      <c r="M3023" s="108"/>
      <c r="N3023" s="108" t="str">
        <v>H331H546</v>
      </c>
      <c r="O3023" s="108">
        <f t="shared" si="49"/>
        <v>1</v>
      </c>
      <c r="P3023" s="108"/>
      <c r="Q3023"/>
    </row>
    <row r="3024" spans="1:17" x14ac:dyDescent="0.25">
      <c r="A3024" s="89" t="s">
        <v>6972</v>
      </c>
      <c r="B3024" s="87" t="s">
        <v>6973</v>
      </c>
      <c r="C3024" s="87" t="s">
        <v>8</v>
      </c>
      <c r="D3024" s="87" t="str">
        <f>VLOOKUP(Tabela1[[#This Row],[Origem]], 'Perguntas 1 a 24'!$J$28:$K$34, 2, 0)</f>
        <v>Nordeste</v>
      </c>
      <c r="E3024" s="87" t="str">
        <f>Tabela1[[#This Row],[Descrição]]&amp;"-"&amp;Tabela1[[#This Row],[Código]]&amp;"/"&amp;Tabela1[[#This Row],[Origem]]</f>
        <v>Nogidelu-H331H546/AL</v>
      </c>
      <c r="F3024" s="88">
        <v>47313</v>
      </c>
      <c r="G3024" s="88" t="str" cm="1">
        <f t="array" ref="G30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AND(F3024&gt;= DATE(2026,1,1), F3024&lt;= DATE(2028, 12, 31), J3024&gt;50000), "Pendente e Caro", AND(F3024&gt;= DATE(2026,1,1), F3024&lt;= DATE(2028, 12, 31), J3024&lt;=50000), "Pendente", F3024&gt;= DATE(2029,1,1), "Não prioeitário")</f>
        <v>Não prioeitário</v>
      </c>
      <c r="H3024" s="89">
        <f>YEAR(Tabela1[[#This Row],[Data de Validade]])</f>
        <v>2029</v>
      </c>
      <c r="I3024" s="89">
        <f>MONTH(Tabela1[[#This Row],[Data de Validade]])</f>
        <v>7</v>
      </c>
      <c r="J3024" s="101">
        <v>108881</v>
      </c>
      <c r="K3024" s="87" t="s">
        <v>14</v>
      </c>
      <c r="L3024" s="108"/>
      <c r="M3024" s="108"/>
      <c r="N3024" s="108" t="str">
        <v>H355P394</v>
      </c>
      <c r="O3024" s="108">
        <f t="shared" si="49"/>
        <v>1</v>
      </c>
      <c r="P3024" s="108"/>
      <c r="Q3024"/>
    </row>
    <row r="3025" spans="1:17" x14ac:dyDescent="0.25">
      <c r="A3025" s="89" t="s">
        <v>3762</v>
      </c>
      <c r="B3025" s="87" t="s">
        <v>3763</v>
      </c>
      <c r="C3025" s="87" t="s">
        <v>8</v>
      </c>
      <c r="D3025" s="87" t="str">
        <f>VLOOKUP(Tabela1[[#This Row],[Origem]], 'Perguntas 1 a 24'!$J$28:$K$34, 2, 0)</f>
        <v>Nordeste</v>
      </c>
      <c r="E3025" s="87" t="str">
        <f>Tabela1[[#This Row],[Descrição]]&amp;"-"&amp;Tabela1[[#This Row],[Código]]&amp;"/"&amp;Tabela1[[#This Row],[Origem]]</f>
        <v>Tuputupupa-H355P394/AL</v>
      </c>
      <c r="F3025" s="88">
        <v>47313</v>
      </c>
      <c r="G3025" s="88" t="str" cm="1">
        <f t="array" ref="G30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AND(F3025&gt;= DATE(2026,1,1), F3025&lt;= DATE(2028, 12, 31), J3025&gt;50000), "Pendente e Caro", AND(F3025&gt;= DATE(2026,1,1), F3025&lt;= DATE(2028, 12, 31), J3025&lt;=50000), "Pendente", F3025&gt;= DATE(2029,1,1), "Não prioeitário")</f>
        <v>Não prioeitário</v>
      </c>
      <c r="H3025" s="89">
        <f>YEAR(Tabela1[[#This Row],[Data de Validade]])</f>
        <v>2029</v>
      </c>
      <c r="I3025" s="89">
        <f>MONTH(Tabela1[[#This Row],[Data de Validade]])</f>
        <v>7</v>
      </c>
      <c r="J3025" s="101">
        <v>107124</v>
      </c>
      <c r="K3025" s="87" t="s">
        <v>9</v>
      </c>
      <c r="L3025" s="108"/>
      <c r="M3025" s="108"/>
      <c r="N3025" s="108" t="str">
        <v>H547P384</v>
      </c>
      <c r="O3025" s="108">
        <f t="shared" si="49"/>
        <v>1</v>
      </c>
      <c r="P3025" s="108"/>
      <c r="Q3025"/>
    </row>
    <row r="3026" spans="1:17" x14ac:dyDescent="0.25">
      <c r="A3026" s="89" t="s">
        <v>6632</v>
      </c>
      <c r="B3026" s="87" t="s">
        <v>6633</v>
      </c>
      <c r="C3026" s="87" t="s">
        <v>16</v>
      </c>
      <c r="D3026" s="87" t="str">
        <f>VLOOKUP(Tabela1[[#This Row],[Origem]], 'Perguntas 1 a 24'!$J$28:$K$34, 2, 0)</f>
        <v>Sudeste</v>
      </c>
      <c r="E3026" s="87" t="str">
        <f>Tabela1[[#This Row],[Descrição]]&amp;"-"&amp;Tabela1[[#This Row],[Código]]&amp;"/"&amp;Tabela1[[#This Row],[Origem]]</f>
        <v>Panocuvifo-H547P384/MG</v>
      </c>
      <c r="F3026" s="88">
        <v>47313</v>
      </c>
      <c r="G3026" s="88" t="str" cm="1">
        <f t="array" ref="G30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AND(F3026&gt;= DATE(2026,1,1), F3026&lt;= DATE(2028, 12, 31), J3026&gt;50000), "Pendente e Caro", AND(F3026&gt;= DATE(2026,1,1), F3026&lt;= DATE(2028, 12, 31), J3026&lt;=50000), "Pendente", F3026&gt;= DATE(2029,1,1), "Não prioeitário")</f>
        <v>Não prioeitário</v>
      </c>
      <c r="H3026" s="89">
        <f>YEAR(Tabela1[[#This Row],[Data de Validade]])</f>
        <v>2029</v>
      </c>
      <c r="I3026" s="89">
        <f>MONTH(Tabela1[[#This Row],[Data de Validade]])</f>
        <v>7</v>
      </c>
      <c r="J3026" s="101">
        <v>71010</v>
      </c>
      <c r="K3026" s="87" t="s">
        <v>11</v>
      </c>
      <c r="L3026" s="108"/>
      <c r="M3026" s="108"/>
      <c r="N3026" s="108" t="str">
        <v>P259H563</v>
      </c>
      <c r="O3026" s="108">
        <f t="shared" si="49"/>
        <v>4</v>
      </c>
      <c r="P3026" s="108"/>
      <c r="Q3026"/>
    </row>
    <row r="3027" spans="1:17" x14ac:dyDescent="0.25">
      <c r="A3027" s="89" t="s">
        <v>3665</v>
      </c>
      <c r="B3027" s="87" t="s">
        <v>3666</v>
      </c>
      <c r="C3027" s="87" t="s">
        <v>8</v>
      </c>
      <c r="D3027" s="87" t="str">
        <f>VLOOKUP(Tabela1[[#This Row],[Origem]], 'Perguntas 1 a 24'!$J$28:$K$34, 2, 0)</f>
        <v>Nordeste</v>
      </c>
      <c r="E3027" s="87" t="str">
        <f>Tabela1[[#This Row],[Descrição]]&amp;"-"&amp;Tabela1[[#This Row],[Código]]&amp;"/"&amp;Tabela1[[#This Row],[Origem]]</f>
        <v>Vufimago-P259H563/AL</v>
      </c>
      <c r="F3027" s="88">
        <v>47315</v>
      </c>
      <c r="G3027" s="88" t="str" cm="1">
        <f t="array" ref="G30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AND(F3027&gt;= DATE(2026,1,1), F3027&lt;= DATE(2028, 12, 31), J3027&gt;50000), "Pendente e Caro", AND(F3027&gt;= DATE(2026,1,1), F3027&lt;= DATE(2028, 12, 31), J3027&lt;=50000), "Pendente", F3027&gt;= DATE(2029,1,1), "Não prioeitário")</f>
        <v>Não prioeitário</v>
      </c>
      <c r="H3027" s="89">
        <f>YEAR(Tabela1[[#This Row],[Data de Validade]])</f>
        <v>2029</v>
      </c>
      <c r="I3027" s="89">
        <f>MONTH(Tabela1[[#This Row],[Data de Validade]])</f>
        <v>7</v>
      </c>
      <c r="J3027" s="101">
        <v>79199</v>
      </c>
      <c r="K3027" s="87" t="s">
        <v>9</v>
      </c>
      <c r="L3027" s="108"/>
      <c r="M3027" s="108"/>
      <c r="N3027" s="108" t="str">
        <v>P655H175</v>
      </c>
      <c r="O3027" s="108">
        <f t="shared" si="49"/>
        <v>1</v>
      </c>
      <c r="P3027" s="108"/>
      <c r="Q3027"/>
    </row>
    <row r="3028" spans="1:17" x14ac:dyDescent="0.25">
      <c r="A3028" s="89" t="s">
        <v>3665</v>
      </c>
      <c r="B3028" s="87" t="s">
        <v>3666</v>
      </c>
      <c r="C3028" s="87" t="s">
        <v>8</v>
      </c>
      <c r="D3028" s="87" t="str">
        <f>VLOOKUP(Tabela1[[#This Row],[Origem]], 'Perguntas 1 a 24'!$J$28:$K$34, 2, 0)</f>
        <v>Nordeste</v>
      </c>
      <c r="E3028" s="87" t="str">
        <f>Tabela1[[#This Row],[Descrição]]&amp;"-"&amp;Tabela1[[#This Row],[Código]]&amp;"/"&amp;Tabela1[[#This Row],[Origem]]</f>
        <v>Vufimago-P259H563/AL</v>
      </c>
      <c r="F3028" s="88">
        <v>47315</v>
      </c>
      <c r="G3028" s="88" t="str" cm="1">
        <f t="array" ref="G30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AND(F3028&gt;= DATE(2026,1,1), F3028&lt;= DATE(2028, 12, 31), J3028&gt;50000), "Pendente e Caro", AND(F3028&gt;= DATE(2026,1,1), F3028&lt;= DATE(2028, 12, 31), J3028&lt;=50000), "Pendente", F3028&gt;= DATE(2029,1,1), "Não prioeitário")</f>
        <v>Não prioeitário</v>
      </c>
      <c r="H3028" s="89">
        <f>YEAR(Tabela1[[#This Row],[Data de Validade]])</f>
        <v>2029</v>
      </c>
      <c r="I3028" s="89">
        <f>MONTH(Tabela1[[#This Row],[Data de Validade]])</f>
        <v>7</v>
      </c>
      <c r="J3028" s="101">
        <v>79199</v>
      </c>
      <c r="K3028" s="87" t="s">
        <v>9</v>
      </c>
      <c r="L3028" s="108"/>
      <c r="M3028" s="108"/>
      <c r="N3028" s="108" t="str">
        <v>H647P999</v>
      </c>
      <c r="O3028" s="108">
        <f t="shared" si="49"/>
        <v>1</v>
      </c>
      <c r="P3028" s="108"/>
      <c r="Q3028"/>
    </row>
    <row r="3029" spans="1:17" x14ac:dyDescent="0.25">
      <c r="A3029" s="89" t="s">
        <v>3665</v>
      </c>
      <c r="B3029" s="87" t="s">
        <v>3666</v>
      </c>
      <c r="C3029" s="87" t="s">
        <v>8</v>
      </c>
      <c r="D3029" s="87" t="str">
        <f>VLOOKUP(Tabela1[[#This Row],[Origem]], 'Perguntas 1 a 24'!$J$28:$K$34, 2, 0)</f>
        <v>Nordeste</v>
      </c>
      <c r="E3029" s="87" t="str">
        <f>Tabela1[[#This Row],[Descrição]]&amp;"-"&amp;Tabela1[[#This Row],[Código]]&amp;"/"&amp;Tabela1[[#This Row],[Origem]]</f>
        <v>Vufimago-P259H563/AL</v>
      </c>
      <c r="F3029" s="88">
        <v>47315</v>
      </c>
      <c r="G3029" s="88" t="str" cm="1">
        <f t="array" ref="G30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AND(F3029&gt;= DATE(2026,1,1), F3029&lt;= DATE(2028, 12, 31), J3029&gt;50000), "Pendente e Caro", AND(F3029&gt;= DATE(2026,1,1), F3029&lt;= DATE(2028, 12, 31), J3029&lt;=50000), "Pendente", F3029&gt;= DATE(2029,1,1), "Não prioeitário")</f>
        <v>Não prioeitário</v>
      </c>
      <c r="H3029" s="89">
        <f>YEAR(Tabela1[[#This Row],[Data de Validade]])</f>
        <v>2029</v>
      </c>
      <c r="I3029" s="89">
        <f>MONTH(Tabela1[[#This Row],[Data de Validade]])</f>
        <v>7</v>
      </c>
      <c r="J3029" s="101">
        <v>79199</v>
      </c>
      <c r="K3029" s="87" t="s">
        <v>9</v>
      </c>
      <c r="L3029" s="108"/>
      <c r="M3029" s="108"/>
      <c r="N3029" s="108" t="str">
        <v>H897P637</v>
      </c>
      <c r="O3029" s="108">
        <f t="shared" si="49"/>
        <v>1</v>
      </c>
      <c r="P3029" s="108"/>
      <c r="Q3029"/>
    </row>
    <row r="3030" spans="1:17" x14ac:dyDescent="0.25">
      <c r="A3030" s="89" t="s">
        <v>3665</v>
      </c>
      <c r="B3030" s="87" t="s">
        <v>3666</v>
      </c>
      <c r="C3030" s="87" t="s">
        <v>8</v>
      </c>
      <c r="D3030" s="87" t="str">
        <f>VLOOKUP(Tabela1[[#This Row],[Origem]], 'Perguntas 1 a 24'!$J$28:$K$34, 2, 0)</f>
        <v>Nordeste</v>
      </c>
      <c r="E3030" s="87" t="str">
        <f>Tabela1[[#This Row],[Descrição]]&amp;"-"&amp;Tabela1[[#This Row],[Código]]&amp;"/"&amp;Tabela1[[#This Row],[Origem]]</f>
        <v>Vufimago-P259H563/AL</v>
      </c>
      <c r="F3030" s="88">
        <v>47315</v>
      </c>
      <c r="G3030" s="88" t="str" cm="1">
        <f t="array" ref="G30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AND(F3030&gt;= DATE(2026,1,1), F3030&lt;= DATE(2028, 12, 31), J3030&gt;50000), "Pendente e Caro", AND(F3030&gt;= DATE(2026,1,1), F3030&lt;= DATE(2028, 12, 31), J3030&lt;=50000), "Pendente", F3030&gt;= DATE(2029,1,1), "Não prioeitário")</f>
        <v>Não prioeitário</v>
      </c>
      <c r="H3030" s="89">
        <f>YEAR(Tabela1[[#This Row],[Data de Validade]])</f>
        <v>2029</v>
      </c>
      <c r="I3030" s="89">
        <f>MONTH(Tabela1[[#This Row],[Data de Validade]])</f>
        <v>7</v>
      </c>
      <c r="J3030" s="101">
        <v>79199</v>
      </c>
      <c r="K3030" s="87" t="s">
        <v>9</v>
      </c>
      <c r="L3030" s="108"/>
      <c r="M3030" s="108"/>
      <c r="N3030" s="108" t="str">
        <v>P448H637</v>
      </c>
      <c r="O3030" s="108">
        <f t="shared" si="49"/>
        <v>1</v>
      </c>
      <c r="P3030" s="108"/>
      <c r="Q3030"/>
    </row>
    <row r="3031" spans="1:17" x14ac:dyDescent="0.25">
      <c r="A3031" s="89" t="s">
        <v>4118</v>
      </c>
      <c r="B3031" s="87" t="s">
        <v>4119</v>
      </c>
      <c r="C3031" s="87" t="s">
        <v>12</v>
      </c>
      <c r="D3031" s="87" t="str">
        <f>VLOOKUP(Tabela1[[#This Row],[Origem]], 'Perguntas 1 a 24'!$J$28:$K$34, 2, 0)</f>
        <v>Sudeste</v>
      </c>
      <c r="E3031" s="87" t="str">
        <f>Tabela1[[#This Row],[Descrição]]&amp;"-"&amp;Tabela1[[#This Row],[Código]]&amp;"/"&amp;Tabela1[[#This Row],[Origem]]</f>
        <v>Tecegamoti-P655H175/RJ</v>
      </c>
      <c r="F3031" s="88">
        <v>47317</v>
      </c>
      <c r="G3031" s="88" t="str" cm="1">
        <f t="array" ref="G30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AND(F3031&gt;= DATE(2026,1,1), F3031&lt;= DATE(2028, 12, 31), J3031&gt;50000), "Pendente e Caro", AND(F3031&gt;= DATE(2026,1,1), F3031&lt;= DATE(2028, 12, 31), J3031&lt;=50000), "Pendente", F3031&gt;= DATE(2029,1,1), "Não prioeitário")</f>
        <v>Não prioeitário</v>
      </c>
      <c r="H3031" s="89">
        <f>YEAR(Tabela1[[#This Row],[Data de Validade]])</f>
        <v>2029</v>
      </c>
      <c r="I3031" s="89">
        <f>MONTH(Tabela1[[#This Row],[Data de Validade]])</f>
        <v>7</v>
      </c>
      <c r="J3031" s="101">
        <v>116755</v>
      </c>
      <c r="K3031" s="87" t="s">
        <v>14</v>
      </c>
      <c r="L3031" s="108"/>
      <c r="M3031" s="108"/>
      <c r="N3031" s="108" t="str">
        <v>H323P276</v>
      </c>
      <c r="O3031" s="108">
        <f t="shared" si="49"/>
        <v>1</v>
      </c>
      <c r="P3031" s="108"/>
      <c r="Q3031"/>
    </row>
    <row r="3032" spans="1:17" x14ac:dyDescent="0.25">
      <c r="A3032" s="89" t="s">
        <v>10643</v>
      </c>
      <c r="B3032" s="87" t="s">
        <v>10644</v>
      </c>
      <c r="C3032" s="87" t="s">
        <v>15</v>
      </c>
      <c r="D3032" s="87" t="str">
        <f>VLOOKUP(Tabela1[[#This Row],[Origem]], 'Perguntas 1 a 24'!$J$28:$K$34, 2, 0)</f>
        <v>Sudeste</v>
      </c>
      <c r="E3032" s="87" t="str">
        <f>Tabela1[[#This Row],[Descrição]]&amp;"-"&amp;Tabela1[[#This Row],[Código]]&amp;"/"&amp;Tabela1[[#This Row],[Origem]]</f>
        <v>Totuninotu-H647P999/ES</v>
      </c>
      <c r="F3032" s="88">
        <v>47317</v>
      </c>
      <c r="G3032" s="88" t="str" cm="1">
        <f t="array" ref="G30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AND(F3032&gt;= DATE(2026,1,1), F3032&lt;= DATE(2028, 12, 31), J3032&gt;50000), "Pendente e Caro", AND(F3032&gt;= DATE(2026,1,1), F3032&lt;= DATE(2028, 12, 31), J3032&lt;=50000), "Pendente", F3032&gt;= DATE(2029,1,1), "Não prioeitário")</f>
        <v>Não prioeitário</v>
      </c>
      <c r="H3032" s="89">
        <f>YEAR(Tabela1[[#This Row],[Data de Validade]])</f>
        <v>2029</v>
      </c>
      <c r="I3032" s="89">
        <f>MONTH(Tabela1[[#This Row],[Data de Validade]])</f>
        <v>7</v>
      </c>
      <c r="J3032" s="101">
        <v>116303</v>
      </c>
      <c r="K3032" s="87" t="s">
        <v>14</v>
      </c>
      <c r="L3032" s="108"/>
      <c r="M3032" s="108"/>
      <c r="N3032" s="108" t="str">
        <v>H444H723</v>
      </c>
      <c r="O3032" s="108">
        <f t="shared" si="49"/>
        <v>1</v>
      </c>
      <c r="P3032" s="108"/>
      <c r="Q3032"/>
    </row>
    <row r="3033" spans="1:17" x14ac:dyDescent="0.25">
      <c r="A3033" s="89" t="s">
        <v>3824</v>
      </c>
      <c r="B3033" s="87" t="s">
        <v>3825</v>
      </c>
      <c r="C3033" s="87" t="s">
        <v>10</v>
      </c>
      <c r="D3033" s="87" t="str">
        <f>VLOOKUP(Tabela1[[#This Row],[Origem]], 'Perguntas 1 a 24'!$J$28:$K$34, 2, 0)</f>
        <v>Centro-Oeste</v>
      </c>
      <c r="E3033" s="87" t="str">
        <f>Tabela1[[#This Row],[Descrição]]&amp;"-"&amp;Tabela1[[#This Row],[Código]]&amp;"/"&amp;Tabela1[[#This Row],[Origem]]</f>
        <v>Tedaledogi-H897P637/GO</v>
      </c>
      <c r="F3033" s="88">
        <v>47317</v>
      </c>
      <c r="G3033" s="88" t="str" cm="1">
        <f t="array" ref="G30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AND(F3033&gt;= DATE(2026,1,1), F3033&lt;= DATE(2028, 12, 31), J3033&gt;50000), "Pendente e Caro", AND(F3033&gt;= DATE(2026,1,1), F3033&lt;= DATE(2028, 12, 31), J3033&lt;=50000), "Pendente", F3033&gt;= DATE(2029,1,1), "Não prioeitário")</f>
        <v>Não prioeitário</v>
      </c>
      <c r="H3033" s="89">
        <f>YEAR(Tabela1[[#This Row],[Data de Validade]])</f>
        <v>2029</v>
      </c>
      <c r="I3033" s="89">
        <f>MONTH(Tabela1[[#This Row],[Data de Validade]])</f>
        <v>7</v>
      </c>
      <c r="J3033" s="101">
        <v>113998</v>
      </c>
      <c r="K3033" s="87" t="s">
        <v>14</v>
      </c>
      <c r="L3033" s="108"/>
      <c r="M3033" s="108"/>
      <c r="N3033" s="108" t="str">
        <v>H856P352</v>
      </c>
      <c r="O3033" s="108">
        <f t="shared" si="49"/>
        <v>1</v>
      </c>
      <c r="P3033" s="108"/>
      <c r="Q3033"/>
    </row>
    <row r="3034" spans="1:17" x14ac:dyDescent="0.25">
      <c r="A3034" s="89" t="s">
        <v>4902</v>
      </c>
      <c r="B3034" s="87" t="s">
        <v>4903</v>
      </c>
      <c r="C3034" s="87" t="s">
        <v>8</v>
      </c>
      <c r="D3034" s="87" t="str">
        <f>VLOOKUP(Tabela1[[#This Row],[Origem]], 'Perguntas 1 a 24'!$J$28:$K$34, 2, 0)</f>
        <v>Nordeste</v>
      </c>
      <c r="E3034" s="87" t="str">
        <f>Tabela1[[#This Row],[Descrição]]&amp;"-"&amp;Tabela1[[#This Row],[Código]]&amp;"/"&amp;Tabela1[[#This Row],[Origem]]</f>
        <v>Pufape-P448H637/AL</v>
      </c>
      <c r="F3034" s="88">
        <v>47317</v>
      </c>
      <c r="G3034" s="88" t="str" cm="1">
        <f t="array" ref="G30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AND(F3034&gt;= DATE(2026,1,1), F3034&lt;= DATE(2028, 12, 31), J3034&gt;50000), "Pendente e Caro", AND(F3034&gt;= DATE(2026,1,1), F3034&lt;= DATE(2028, 12, 31), J3034&lt;=50000), "Pendente", F3034&gt;= DATE(2029,1,1), "Não prioeitário")</f>
        <v>Não prioeitário</v>
      </c>
      <c r="H3034" s="89">
        <f>YEAR(Tabela1[[#This Row],[Data de Validade]])</f>
        <v>2029</v>
      </c>
      <c r="I3034" s="89">
        <f>MONTH(Tabela1[[#This Row],[Data de Validade]])</f>
        <v>7</v>
      </c>
      <c r="J3034" s="101">
        <v>75475</v>
      </c>
      <c r="K3034" s="87" t="s">
        <v>14</v>
      </c>
      <c r="L3034" s="108"/>
      <c r="M3034" s="108"/>
      <c r="N3034" s="108" t="str">
        <v>P821H472</v>
      </c>
      <c r="O3034" s="108">
        <f t="shared" si="49"/>
        <v>1</v>
      </c>
      <c r="P3034" s="108"/>
      <c r="Q3034"/>
    </row>
    <row r="3035" spans="1:17" x14ac:dyDescent="0.25">
      <c r="A3035" s="89" t="s">
        <v>7752</v>
      </c>
      <c r="B3035" s="87" t="s">
        <v>7753</v>
      </c>
      <c r="C3035" s="87" t="s">
        <v>6</v>
      </c>
      <c r="D3035" s="87" t="str">
        <f>VLOOKUP(Tabela1[[#This Row],[Origem]], 'Perguntas 1 a 24'!$J$28:$K$34, 2, 0)</f>
        <v>Nordeste</v>
      </c>
      <c r="E3035" s="87" t="str">
        <f>Tabela1[[#This Row],[Descrição]]&amp;"-"&amp;Tabela1[[#This Row],[Código]]&amp;"/"&amp;Tabela1[[#This Row],[Origem]]</f>
        <v>Potifigo-H323P276/MA</v>
      </c>
      <c r="F3035" s="88">
        <v>47317</v>
      </c>
      <c r="G3035" s="88" t="str" cm="1">
        <f t="array" ref="G30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AND(F3035&gt;= DATE(2026,1,1), F3035&lt;= DATE(2028, 12, 31), J3035&gt;50000), "Pendente e Caro", AND(F3035&gt;= DATE(2026,1,1), F3035&lt;= DATE(2028, 12, 31), J3035&lt;=50000), "Pendente", F3035&gt;= DATE(2029,1,1), "Não prioeitário")</f>
        <v>Não prioeitário</v>
      </c>
      <c r="H3035" s="89">
        <f>YEAR(Tabela1[[#This Row],[Data de Validade]])</f>
        <v>2029</v>
      </c>
      <c r="I3035" s="89">
        <f>MONTH(Tabela1[[#This Row],[Data de Validade]])</f>
        <v>7</v>
      </c>
      <c r="J3035" s="101">
        <v>55685</v>
      </c>
      <c r="K3035" s="87" t="s">
        <v>9</v>
      </c>
      <c r="L3035" s="108"/>
      <c r="M3035" s="108"/>
      <c r="N3035" s="108" t="str">
        <v>P237P392</v>
      </c>
      <c r="O3035" s="108">
        <f t="shared" si="49"/>
        <v>1</v>
      </c>
      <c r="P3035" s="108"/>
      <c r="Q3035"/>
    </row>
    <row r="3036" spans="1:17" x14ac:dyDescent="0.25">
      <c r="A3036" s="89" t="s">
        <v>7574</v>
      </c>
      <c r="B3036" s="87" t="s">
        <v>7575</v>
      </c>
      <c r="C3036" s="87" t="s">
        <v>8</v>
      </c>
      <c r="D3036" s="87" t="str">
        <f>VLOOKUP(Tabela1[[#This Row],[Origem]], 'Perguntas 1 a 24'!$J$28:$K$34, 2, 0)</f>
        <v>Nordeste</v>
      </c>
      <c r="E3036" s="87" t="str">
        <f>Tabela1[[#This Row],[Descrição]]&amp;"-"&amp;Tabela1[[#This Row],[Código]]&amp;"/"&amp;Tabela1[[#This Row],[Origem]]</f>
        <v>Dupado-H444H723/AL</v>
      </c>
      <c r="F3036" s="88">
        <v>47318</v>
      </c>
      <c r="G3036" s="88" t="str" cm="1">
        <f t="array" ref="G30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AND(F3036&gt;= DATE(2026,1,1), F3036&lt;= DATE(2028, 12, 31), J3036&gt;50000), "Pendente e Caro", AND(F3036&gt;= DATE(2026,1,1), F3036&lt;= DATE(2028, 12, 31), J3036&lt;=50000), "Pendente", F3036&gt;= DATE(2029,1,1), "Não prioeitário")</f>
        <v>Não prioeitário</v>
      </c>
      <c r="H3036" s="89">
        <f>YEAR(Tabela1[[#This Row],[Data de Validade]])</f>
        <v>2029</v>
      </c>
      <c r="I3036" s="89">
        <f>MONTH(Tabela1[[#This Row],[Data de Validade]])</f>
        <v>7</v>
      </c>
      <c r="J3036" s="101">
        <v>90471</v>
      </c>
      <c r="K3036" s="87" t="s">
        <v>11</v>
      </c>
      <c r="L3036" s="108"/>
      <c r="M3036" s="108"/>
      <c r="N3036" s="108" t="str">
        <v>H818H797</v>
      </c>
      <c r="O3036" s="108">
        <f t="shared" si="49"/>
        <v>1</v>
      </c>
      <c r="P3036" s="108"/>
      <c r="Q3036"/>
    </row>
    <row r="3037" spans="1:17" x14ac:dyDescent="0.25">
      <c r="A3037" s="89" t="s">
        <v>5090</v>
      </c>
      <c r="B3037" s="87" t="s">
        <v>5091</v>
      </c>
      <c r="C3037" s="87" t="s">
        <v>15</v>
      </c>
      <c r="D3037" s="87" t="str">
        <f>VLOOKUP(Tabela1[[#This Row],[Origem]], 'Perguntas 1 a 24'!$J$28:$K$34, 2, 0)</f>
        <v>Sudeste</v>
      </c>
      <c r="E3037" s="87" t="str">
        <f>Tabela1[[#This Row],[Descrição]]&amp;"-"&amp;Tabela1[[#This Row],[Código]]&amp;"/"&amp;Tabela1[[#This Row],[Origem]]</f>
        <v>Cuneru-H856P352/ES</v>
      </c>
      <c r="F3037" s="88">
        <v>47318</v>
      </c>
      <c r="G3037" s="88" t="str" cm="1">
        <f t="array" ref="G30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AND(F3037&gt;= DATE(2026,1,1), F3037&lt;= DATE(2028, 12, 31), J3037&gt;50000), "Pendente e Caro", AND(F3037&gt;= DATE(2026,1,1), F3037&lt;= DATE(2028, 12, 31), J3037&lt;=50000), "Pendente", F3037&gt;= DATE(2029,1,1), "Não prioeitário")</f>
        <v>Não prioeitário</v>
      </c>
      <c r="H3037" s="89">
        <f>YEAR(Tabela1[[#This Row],[Data de Validade]])</f>
        <v>2029</v>
      </c>
      <c r="I3037" s="89">
        <f>MONTH(Tabela1[[#This Row],[Data de Validade]])</f>
        <v>7</v>
      </c>
      <c r="J3037" s="101">
        <v>34502</v>
      </c>
      <c r="K3037" s="87" t="s">
        <v>11</v>
      </c>
      <c r="L3037" s="108"/>
      <c r="M3037" s="108"/>
      <c r="N3037" s="108" t="str">
        <v>P968H689</v>
      </c>
      <c r="O3037" s="108">
        <f t="shared" si="49"/>
        <v>1</v>
      </c>
      <c r="P3037" s="108"/>
      <c r="Q3037"/>
    </row>
    <row r="3038" spans="1:17" x14ac:dyDescent="0.25">
      <c r="A3038" s="89" t="s">
        <v>7278</v>
      </c>
      <c r="B3038" s="87" t="s">
        <v>7279</v>
      </c>
      <c r="C3038" s="87" t="s">
        <v>15</v>
      </c>
      <c r="D3038" s="87" t="str">
        <f>VLOOKUP(Tabela1[[#This Row],[Origem]], 'Perguntas 1 a 24'!$J$28:$K$34, 2, 0)</f>
        <v>Sudeste</v>
      </c>
      <c r="E3038" s="87" t="str">
        <f>Tabela1[[#This Row],[Descrição]]&amp;"-"&amp;Tabela1[[#This Row],[Código]]&amp;"/"&amp;Tabela1[[#This Row],[Origem]]</f>
        <v>Rupiro-P821H472/ES</v>
      </c>
      <c r="F3038" s="88">
        <v>47319</v>
      </c>
      <c r="G3038" s="88" t="str" cm="1">
        <f t="array" ref="G30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AND(F3038&gt;= DATE(2026,1,1), F3038&lt;= DATE(2028, 12, 31), J3038&gt;50000), "Pendente e Caro", AND(F3038&gt;= DATE(2026,1,1), F3038&lt;= DATE(2028, 12, 31), J3038&lt;=50000), "Pendente", F3038&gt;= DATE(2029,1,1), "Não prioeitário")</f>
        <v>Não prioeitário</v>
      </c>
      <c r="H3038" s="89">
        <f>YEAR(Tabela1[[#This Row],[Data de Validade]])</f>
        <v>2029</v>
      </c>
      <c r="I3038" s="89">
        <f>MONTH(Tabela1[[#This Row],[Data de Validade]])</f>
        <v>7</v>
      </c>
      <c r="J3038" s="101">
        <v>101355</v>
      </c>
      <c r="K3038" s="87" t="s">
        <v>11</v>
      </c>
      <c r="L3038" s="108"/>
      <c r="M3038" s="108"/>
      <c r="N3038" s="108" t="str">
        <v>P954H173</v>
      </c>
      <c r="O3038" s="108">
        <f t="shared" si="49"/>
        <v>1</v>
      </c>
      <c r="P3038" s="108"/>
      <c r="Q3038"/>
    </row>
    <row r="3039" spans="1:17" x14ac:dyDescent="0.25">
      <c r="A3039" s="89" t="s">
        <v>8911</v>
      </c>
      <c r="B3039" s="87" t="s">
        <v>8912</v>
      </c>
      <c r="C3039" s="87" t="s">
        <v>16</v>
      </c>
      <c r="D3039" s="87" t="str">
        <f>VLOOKUP(Tabela1[[#This Row],[Origem]], 'Perguntas 1 a 24'!$J$28:$K$34, 2, 0)</f>
        <v>Sudeste</v>
      </c>
      <c r="E3039" s="87" t="str">
        <f>Tabela1[[#This Row],[Descrição]]&amp;"-"&amp;Tabela1[[#This Row],[Código]]&amp;"/"&amp;Tabela1[[#This Row],[Origem]]</f>
        <v>Mopige-P237P392/MG</v>
      </c>
      <c r="F3039" s="88">
        <v>47319</v>
      </c>
      <c r="G3039" s="88" t="str" cm="1">
        <f t="array" ref="G30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AND(F3039&gt;= DATE(2026,1,1), F3039&lt;= DATE(2028, 12, 31), J3039&gt;50000), "Pendente e Caro", AND(F3039&gt;= DATE(2026,1,1), F3039&lt;= DATE(2028, 12, 31), J3039&lt;=50000), "Pendente", F3039&gt;= DATE(2029,1,1), "Não prioeitário")</f>
        <v>Não prioeitário</v>
      </c>
      <c r="H3039" s="89">
        <f>YEAR(Tabela1[[#This Row],[Data de Validade]])</f>
        <v>2029</v>
      </c>
      <c r="I3039" s="89">
        <f>MONTH(Tabela1[[#This Row],[Data de Validade]])</f>
        <v>7</v>
      </c>
      <c r="J3039" s="101">
        <v>74170</v>
      </c>
      <c r="K3039" s="87" t="s">
        <v>9</v>
      </c>
      <c r="L3039" s="108"/>
      <c r="M3039" s="108"/>
      <c r="N3039" s="108" t="str">
        <v>H154H499</v>
      </c>
      <c r="O3039" s="108">
        <f t="shared" si="49"/>
        <v>1</v>
      </c>
      <c r="P3039" s="108"/>
      <c r="Q3039"/>
    </row>
    <row r="3040" spans="1:17" x14ac:dyDescent="0.25">
      <c r="A3040" s="89" t="s">
        <v>11034</v>
      </c>
      <c r="B3040" s="87" t="s">
        <v>11035</v>
      </c>
      <c r="C3040" s="87" t="s">
        <v>16</v>
      </c>
      <c r="D3040" s="87" t="str">
        <f>VLOOKUP(Tabela1[[#This Row],[Origem]], 'Perguntas 1 a 24'!$J$28:$K$34, 2, 0)</f>
        <v>Sudeste</v>
      </c>
      <c r="E3040" s="87" t="str">
        <f>Tabela1[[#This Row],[Descrição]]&amp;"-"&amp;Tabela1[[#This Row],[Código]]&amp;"/"&amp;Tabela1[[#This Row],[Origem]]</f>
        <v>Vitafa-H818H797/MG</v>
      </c>
      <c r="F3040" s="88">
        <v>47319</v>
      </c>
      <c r="G3040" s="88" t="str" cm="1">
        <f t="array" ref="G30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AND(F3040&gt;= DATE(2026,1,1), F3040&lt;= DATE(2028, 12, 31), J3040&gt;50000), "Pendente e Caro", AND(F3040&gt;= DATE(2026,1,1), F3040&lt;= DATE(2028, 12, 31), J3040&lt;=50000), "Pendente", F3040&gt;= DATE(2029,1,1), "Não prioeitário")</f>
        <v>Não prioeitário</v>
      </c>
      <c r="H3040" s="89">
        <f>YEAR(Tabela1[[#This Row],[Data de Validade]])</f>
        <v>2029</v>
      </c>
      <c r="I3040" s="89">
        <f>MONTH(Tabela1[[#This Row],[Data de Validade]])</f>
        <v>7</v>
      </c>
      <c r="J3040" s="101">
        <v>20421</v>
      </c>
      <c r="K3040" s="87" t="s">
        <v>14</v>
      </c>
      <c r="L3040" s="108"/>
      <c r="M3040" s="108"/>
      <c r="N3040" s="108" t="str">
        <v>P335H145</v>
      </c>
      <c r="O3040" s="108">
        <f t="shared" si="49"/>
        <v>1</v>
      </c>
      <c r="P3040" s="108"/>
      <c r="Q3040"/>
    </row>
    <row r="3041" spans="1:17" x14ac:dyDescent="0.25">
      <c r="A3041" s="89" t="s">
        <v>3856</v>
      </c>
      <c r="B3041" s="87" t="s">
        <v>3857</v>
      </c>
      <c r="C3041" s="87" t="s">
        <v>6</v>
      </c>
      <c r="D3041" s="87" t="str">
        <f>VLOOKUP(Tabela1[[#This Row],[Origem]], 'Perguntas 1 a 24'!$J$28:$K$34, 2, 0)</f>
        <v>Nordeste</v>
      </c>
      <c r="E3041" s="87" t="str">
        <f>Tabela1[[#This Row],[Descrição]]&amp;"-"&amp;Tabela1[[#This Row],[Código]]&amp;"/"&amp;Tabela1[[#This Row],[Origem]]</f>
        <v>Donefa-P968H689/MA</v>
      </c>
      <c r="F3041" s="88">
        <v>47321</v>
      </c>
      <c r="G3041" s="88" t="str" cm="1">
        <f t="array" ref="G30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AND(F3041&gt;= DATE(2026,1,1), F3041&lt;= DATE(2028, 12, 31), J3041&gt;50000), "Pendente e Caro", AND(F3041&gt;= DATE(2026,1,1), F3041&lt;= DATE(2028, 12, 31), J3041&lt;=50000), "Pendente", F3041&gt;= DATE(2029,1,1), "Não prioeitário")</f>
        <v>Não prioeitário</v>
      </c>
      <c r="H3041" s="89">
        <f>YEAR(Tabela1[[#This Row],[Data de Validade]])</f>
        <v>2029</v>
      </c>
      <c r="I3041" s="89">
        <f>MONTH(Tabela1[[#This Row],[Data de Validade]])</f>
        <v>7</v>
      </c>
      <c r="J3041" s="101">
        <v>105052</v>
      </c>
      <c r="K3041" s="87" t="s">
        <v>9</v>
      </c>
      <c r="L3041" s="108"/>
      <c r="M3041" s="108"/>
      <c r="N3041" s="108" t="str">
        <v>P261H522</v>
      </c>
      <c r="O3041" s="108">
        <f t="shared" si="49"/>
        <v>1</v>
      </c>
      <c r="P3041" s="108"/>
      <c r="Q3041"/>
    </row>
    <row r="3042" spans="1:17" x14ac:dyDescent="0.25">
      <c r="A3042" s="89" t="s">
        <v>9057</v>
      </c>
      <c r="B3042" s="87" t="s">
        <v>9058</v>
      </c>
      <c r="C3042" s="87" t="s">
        <v>16</v>
      </c>
      <c r="D3042" s="87" t="str">
        <f>VLOOKUP(Tabela1[[#This Row],[Origem]], 'Perguntas 1 a 24'!$J$28:$K$34, 2, 0)</f>
        <v>Sudeste</v>
      </c>
      <c r="E3042" s="87" t="str">
        <f>Tabela1[[#This Row],[Descrição]]&amp;"-"&amp;Tabela1[[#This Row],[Código]]&amp;"/"&amp;Tabela1[[#This Row],[Origem]]</f>
        <v>Pulune-P954H173/MG</v>
      </c>
      <c r="F3042" s="88">
        <v>47322</v>
      </c>
      <c r="G3042" s="88" t="str" cm="1">
        <f t="array" ref="G30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AND(F3042&gt;= DATE(2026,1,1), F3042&lt;= DATE(2028, 12, 31), J3042&gt;50000), "Pendente e Caro", AND(F3042&gt;= DATE(2026,1,1), F3042&lt;= DATE(2028, 12, 31), J3042&lt;=50000), "Pendente", F3042&gt;= DATE(2029,1,1), "Não prioeitário")</f>
        <v>Não prioeitário</v>
      </c>
      <c r="H3042" s="89">
        <f>YEAR(Tabela1[[#This Row],[Data de Validade]])</f>
        <v>2029</v>
      </c>
      <c r="I3042" s="89">
        <f>MONTH(Tabela1[[#This Row],[Data de Validade]])</f>
        <v>7</v>
      </c>
      <c r="J3042" s="101">
        <v>29356</v>
      </c>
      <c r="K3042" s="87" t="s">
        <v>9</v>
      </c>
      <c r="L3042" s="108"/>
      <c r="M3042" s="108"/>
      <c r="N3042" s="108" t="str">
        <v>P623P391</v>
      </c>
      <c r="O3042" s="108">
        <f t="shared" si="49"/>
        <v>1</v>
      </c>
      <c r="P3042" s="108"/>
      <c r="Q3042"/>
    </row>
    <row r="3043" spans="1:17" x14ac:dyDescent="0.25">
      <c r="A3043" s="89" t="s">
        <v>4694</v>
      </c>
      <c r="B3043" s="87" t="s">
        <v>4695</v>
      </c>
      <c r="C3043" s="87" t="s">
        <v>10</v>
      </c>
      <c r="D3043" s="87" t="str">
        <f>VLOOKUP(Tabela1[[#This Row],[Origem]], 'Perguntas 1 a 24'!$J$28:$K$34, 2, 0)</f>
        <v>Centro-Oeste</v>
      </c>
      <c r="E3043" s="87" t="str">
        <f>Tabela1[[#This Row],[Descrição]]&amp;"-"&amp;Tabela1[[#This Row],[Código]]&amp;"/"&amp;Tabela1[[#This Row],[Origem]]</f>
        <v>Nonuno-H154H499/GO</v>
      </c>
      <c r="F3043" s="88">
        <v>47323</v>
      </c>
      <c r="G3043" s="88" t="str" cm="1">
        <f t="array" ref="G30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AND(F3043&gt;= DATE(2026,1,1), F3043&lt;= DATE(2028, 12, 31), J3043&gt;50000), "Pendente e Caro", AND(F3043&gt;= DATE(2026,1,1), F3043&lt;= DATE(2028, 12, 31), J3043&lt;=50000), "Pendente", F3043&gt;= DATE(2029,1,1), "Não prioeitário")</f>
        <v>Não prioeitário</v>
      </c>
      <c r="H3043" s="89">
        <f>YEAR(Tabela1[[#This Row],[Data de Validade]])</f>
        <v>2029</v>
      </c>
      <c r="I3043" s="89">
        <f>MONTH(Tabela1[[#This Row],[Data de Validade]])</f>
        <v>7</v>
      </c>
      <c r="J3043" s="101">
        <v>100710</v>
      </c>
      <c r="K3043" s="87" t="s">
        <v>7</v>
      </c>
      <c r="L3043" s="108"/>
      <c r="M3043" s="108"/>
      <c r="N3043" s="108" t="str">
        <v>P144H353</v>
      </c>
      <c r="O3043" s="108">
        <f t="shared" si="49"/>
        <v>1</v>
      </c>
      <c r="P3043" s="108"/>
      <c r="Q3043"/>
    </row>
    <row r="3044" spans="1:17" x14ac:dyDescent="0.25">
      <c r="A3044" s="89" t="s">
        <v>8755</v>
      </c>
      <c r="B3044" s="87" t="s">
        <v>8756</v>
      </c>
      <c r="C3044" s="87" t="s">
        <v>15</v>
      </c>
      <c r="D3044" s="87" t="str">
        <f>VLOOKUP(Tabela1[[#This Row],[Origem]], 'Perguntas 1 a 24'!$J$28:$K$34, 2, 0)</f>
        <v>Sudeste</v>
      </c>
      <c r="E3044" s="87" t="str">
        <f>Tabela1[[#This Row],[Descrição]]&amp;"-"&amp;Tabela1[[#This Row],[Código]]&amp;"/"&amp;Tabela1[[#This Row],[Origem]]</f>
        <v>Nirero-P335H145/ES</v>
      </c>
      <c r="F3044" s="88">
        <v>47324</v>
      </c>
      <c r="G3044" s="88" t="str" cm="1">
        <f t="array" ref="G30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AND(F3044&gt;= DATE(2026,1,1), F3044&lt;= DATE(2028, 12, 31), J3044&gt;50000), "Pendente e Caro", AND(F3044&gt;= DATE(2026,1,1), F3044&lt;= DATE(2028, 12, 31), J3044&lt;=50000), "Pendente", F3044&gt;= DATE(2029,1,1), "Não prioeitário")</f>
        <v>Não prioeitário</v>
      </c>
      <c r="H3044" s="89">
        <f>YEAR(Tabela1[[#This Row],[Data de Validade]])</f>
        <v>2029</v>
      </c>
      <c r="I3044" s="89">
        <f>MONTH(Tabela1[[#This Row],[Data de Validade]])</f>
        <v>7</v>
      </c>
      <c r="J3044" s="101">
        <v>28316</v>
      </c>
      <c r="K3044" s="87" t="s">
        <v>14</v>
      </c>
      <c r="L3044" s="108"/>
      <c r="M3044" s="108"/>
      <c r="N3044" s="108" t="str">
        <v>P596H712</v>
      </c>
      <c r="O3044" s="108">
        <f t="shared" si="49"/>
        <v>1</v>
      </c>
      <c r="P3044" s="108"/>
      <c r="Q3044"/>
    </row>
    <row r="3045" spans="1:17" x14ac:dyDescent="0.25">
      <c r="A3045" s="89" t="s">
        <v>9109</v>
      </c>
      <c r="B3045" s="87" t="s">
        <v>9110</v>
      </c>
      <c r="C3045" s="87" t="s">
        <v>10</v>
      </c>
      <c r="D3045" s="87" t="str">
        <f>VLOOKUP(Tabela1[[#This Row],[Origem]], 'Perguntas 1 a 24'!$J$28:$K$34, 2, 0)</f>
        <v>Centro-Oeste</v>
      </c>
      <c r="E3045" s="87" t="str">
        <f>Tabela1[[#This Row],[Descrição]]&amp;"-"&amp;Tabela1[[#This Row],[Código]]&amp;"/"&amp;Tabela1[[#This Row],[Origem]]</f>
        <v>Gicome-P261H522/GO</v>
      </c>
      <c r="F3045" s="88">
        <v>47325</v>
      </c>
      <c r="G3045" s="88" t="str" cm="1">
        <f t="array" ref="G30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AND(F3045&gt;= DATE(2026,1,1), F3045&lt;= DATE(2028, 12, 31), J3045&gt;50000), "Pendente e Caro", AND(F3045&gt;= DATE(2026,1,1), F3045&lt;= DATE(2028, 12, 31), J3045&lt;=50000), "Pendente", F3045&gt;= DATE(2029,1,1), "Não prioeitário")</f>
        <v>Não prioeitário</v>
      </c>
      <c r="H3045" s="89">
        <f>YEAR(Tabela1[[#This Row],[Data de Validade]])</f>
        <v>2029</v>
      </c>
      <c r="I3045" s="89">
        <f>MONTH(Tabela1[[#This Row],[Data de Validade]])</f>
        <v>7</v>
      </c>
      <c r="J3045" s="101">
        <v>85669</v>
      </c>
      <c r="K3045" s="87" t="s">
        <v>9</v>
      </c>
      <c r="L3045" s="108"/>
      <c r="M3045" s="108"/>
      <c r="N3045" s="108" t="str">
        <v>P845P627</v>
      </c>
      <c r="O3045" s="108">
        <f t="shared" si="49"/>
        <v>1</v>
      </c>
      <c r="P3045" s="108"/>
      <c r="Q3045"/>
    </row>
    <row r="3046" spans="1:17" x14ac:dyDescent="0.25">
      <c r="A3046" s="89" t="s">
        <v>6390</v>
      </c>
      <c r="B3046" s="87" t="s">
        <v>6391</v>
      </c>
      <c r="C3046" s="87" t="s">
        <v>12</v>
      </c>
      <c r="D3046" s="87" t="str">
        <f>VLOOKUP(Tabela1[[#This Row],[Origem]], 'Perguntas 1 a 24'!$J$28:$K$34, 2, 0)</f>
        <v>Sudeste</v>
      </c>
      <c r="E3046" s="87" t="str">
        <f>Tabela1[[#This Row],[Descrição]]&amp;"-"&amp;Tabela1[[#This Row],[Código]]&amp;"/"&amp;Tabela1[[#This Row],[Origem]]</f>
        <v>Garapemu-P623P391/RJ</v>
      </c>
      <c r="F3046" s="88">
        <v>47326</v>
      </c>
      <c r="G3046" s="88" t="str" cm="1">
        <f t="array" ref="G30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AND(F3046&gt;= DATE(2026,1,1), F3046&lt;= DATE(2028, 12, 31), J3046&gt;50000), "Pendente e Caro", AND(F3046&gt;= DATE(2026,1,1), F3046&lt;= DATE(2028, 12, 31), J3046&lt;=50000), "Pendente", F3046&gt;= DATE(2029,1,1), "Não prioeitário")</f>
        <v>Não prioeitário</v>
      </c>
      <c r="H3046" s="89">
        <f>YEAR(Tabela1[[#This Row],[Data de Validade]])</f>
        <v>2029</v>
      </c>
      <c r="I3046" s="89">
        <f>MONTH(Tabela1[[#This Row],[Data de Validade]])</f>
        <v>7</v>
      </c>
      <c r="J3046" s="101">
        <v>96811</v>
      </c>
      <c r="K3046" s="87" t="s">
        <v>7</v>
      </c>
      <c r="L3046" s="108"/>
      <c r="M3046" s="108"/>
      <c r="N3046" s="108" t="str">
        <v>P795P163</v>
      </c>
      <c r="O3046" s="108">
        <f t="shared" si="49"/>
        <v>1</v>
      </c>
      <c r="P3046" s="108"/>
      <c r="Q3046"/>
    </row>
    <row r="3047" spans="1:17" x14ac:dyDescent="0.25">
      <c r="A3047" s="89" t="s">
        <v>10887</v>
      </c>
      <c r="B3047" s="87" t="s">
        <v>10888</v>
      </c>
      <c r="C3047" s="87" t="s">
        <v>8</v>
      </c>
      <c r="D3047" s="87" t="str">
        <f>VLOOKUP(Tabela1[[#This Row],[Origem]], 'Perguntas 1 a 24'!$J$28:$K$34, 2, 0)</f>
        <v>Nordeste</v>
      </c>
      <c r="E3047" s="87" t="str">
        <f>Tabela1[[#This Row],[Descrição]]&amp;"-"&amp;Tabela1[[#This Row],[Código]]&amp;"/"&amp;Tabela1[[#This Row],[Origem]]</f>
        <v>Nalirarola-P144H353/AL</v>
      </c>
      <c r="F3047" s="88">
        <v>47326</v>
      </c>
      <c r="G3047" s="88" t="str" cm="1">
        <f t="array" ref="G30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AND(F3047&gt;= DATE(2026,1,1), F3047&lt;= DATE(2028, 12, 31), J3047&gt;50000), "Pendente e Caro", AND(F3047&gt;= DATE(2026,1,1), F3047&lt;= DATE(2028, 12, 31), J3047&lt;=50000), "Pendente", F3047&gt;= DATE(2029,1,1), "Não prioeitário")</f>
        <v>Não prioeitário</v>
      </c>
      <c r="H3047" s="89">
        <f>YEAR(Tabela1[[#This Row],[Data de Validade]])</f>
        <v>2029</v>
      </c>
      <c r="I3047" s="89">
        <f>MONTH(Tabela1[[#This Row],[Data de Validade]])</f>
        <v>7</v>
      </c>
      <c r="J3047" s="101">
        <v>95262</v>
      </c>
      <c r="K3047" s="87" t="s">
        <v>14</v>
      </c>
      <c r="L3047" s="108"/>
      <c r="M3047" s="108"/>
      <c r="N3047" s="108" t="str">
        <v>P985P749</v>
      </c>
      <c r="O3047" s="108">
        <f t="shared" si="49"/>
        <v>1</v>
      </c>
      <c r="P3047" s="108"/>
      <c r="Q3047"/>
    </row>
    <row r="3048" spans="1:17" x14ac:dyDescent="0.25">
      <c r="A3048" s="89" t="s">
        <v>4154</v>
      </c>
      <c r="B3048" s="87" t="s">
        <v>4155</v>
      </c>
      <c r="C3048" s="87" t="s">
        <v>15</v>
      </c>
      <c r="D3048" s="87" t="str">
        <f>VLOOKUP(Tabela1[[#This Row],[Origem]], 'Perguntas 1 a 24'!$J$28:$K$34, 2, 0)</f>
        <v>Sudeste</v>
      </c>
      <c r="E3048" s="87" t="str">
        <f>Tabela1[[#This Row],[Descrição]]&amp;"-"&amp;Tabela1[[#This Row],[Código]]&amp;"/"&amp;Tabela1[[#This Row],[Origem]]</f>
        <v>Lifipavedi-P596H712/ES</v>
      </c>
      <c r="F3048" s="88">
        <v>47326</v>
      </c>
      <c r="G3048" s="88" t="str" cm="1">
        <f t="array" ref="G30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AND(F3048&gt;= DATE(2026,1,1), F3048&lt;= DATE(2028, 12, 31), J3048&gt;50000), "Pendente e Caro", AND(F3048&gt;= DATE(2026,1,1), F3048&lt;= DATE(2028, 12, 31), J3048&lt;=50000), "Pendente", F3048&gt;= DATE(2029,1,1), "Não prioeitário")</f>
        <v>Não prioeitário</v>
      </c>
      <c r="H3048" s="89">
        <f>YEAR(Tabela1[[#This Row],[Data de Validade]])</f>
        <v>2029</v>
      </c>
      <c r="I3048" s="89">
        <f>MONTH(Tabela1[[#This Row],[Data de Validade]])</f>
        <v>7</v>
      </c>
      <c r="J3048" s="101">
        <v>72146</v>
      </c>
      <c r="K3048" s="87" t="s">
        <v>7</v>
      </c>
      <c r="L3048" s="108"/>
      <c r="M3048" s="108"/>
      <c r="N3048" s="108" t="str">
        <v>H866P879</v>
      </c>
      <c r="O3048" s="108">
        <f t="shared" si="49"/>
        <v>1</v>
      </c>
      <c r="P3048" s="108"/>
      <c r="Q3048"/>
    </row>
    <row r="3049" spans="1:17" x14ac:dyDescent="0.25">
      <c r="A3049" s="89" t="s">
        <v>5344</v>
      </c>
      <c r="B3049" s="87" t="s">
        <v>5345</v>
      </c>
      <c r="C3049" s="87" t="s">
        <v>6</v>
      </c>
      <c r="D3049" s="87" t="str">
        <f>VLOOKUP(Tabela1[[#This Row],[Origem]], 'Perguntas 1 a 24'!$J$28:$K$34, 2, 0)</f>
        <v>Nordeste</v>
      </c>
      <c r="E3049" s="87" t="str">
        <f>Tabela1[[#This Row],[Descrição]]&amp;"-"&amp;Tabela1[[#This Row],[Código]]&amp;"/"&amp;Tabela1[[#This Row],[Origem]]</f>
        <v>Nugiti-P845P627/MA</v>
      </c>
      <c r="F3049" s="88">
        <v>47327</v>
      </c>
      <c r="G3049" s="88" t="str" cm="1">
        <f t="array" ref="G30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AND(F3049&gt;= DATE(2026,1,1), F3049&lt;= DATE(2028, 12, 31), J3049&gt;50000), "Pendente e Caro", AND(F3049&gt;= DATE(2026,1,1), F3049&lt;= DATE(2028, 12, 31), J3049&lt;=50000), "Pendente", F3049&gt;= DATE(2029,1,1), "Não prioeitário")</f>
        <v>Não prioeitário</v>
      </c>
      <c r="H3049" s="89">
        <f>YEAR(Tabela1[[#This Row],[Data de Validade]])</f>
        <v>2029</v>
      </c>
      <c r="I3049" s="89">
        <f>MONTH(Tabela1[[#This Row],[Data de Validade]])</f>
        <v>7</v>
      </c>
      <c r="J3049" s="101">
        <v>82916</v>
      </c>
      <c r="K3049" s="87" t="s">
        <v>7</v>
      </c>
      <c r="L3049" s="108"/>
      <c r="M3049" s="108"/>
      <c r="N3049" s="108" t="str">
        <v>H848P594</v>
      </c>
      <c r="O3049" s="108">
        <f t="shared" si="49"/>
        <v>1</v>
      </c>
      <c r="P3049" s="108"/>
      <c r="Q3049"/>
    </row>
    <row r="3050" spans="1:17" x14ac:dyDescent="0.25">
      <c r="A3050" s="89" t="s">
        <v>10465</v>
      </c>
      <c r="B3050" s="87" t="s">
        <v>10466</v>
      </c>
      <c r="C3050" s="87" t="s">
        <v>16</v>
      </c>
      <c r="D3050" s="87" t="str">
        <f>VLOOKUP(Tabela1[[#This Row],[Origem]], 'Perguntas 1 a 24'!$J$28:$K$34, 2, 0)</f>
        <v>Sudeste</v>
      </c>
      <c r="E3050" s="87" t="str">
        <f>Tabela1[[#This Row],[Descrição]]&amp;"-"&amp;Tabela1[[#This Row],[Código]]&amp;"/"&amp;Tabela1[[#This Row],[Origem]]</f>
        <v>Popumupe-P795P163/MG</v>
      </c>
      <c r="F3050" s="88">
        <v>47328</v>
      </c>
      <c r="G3050" s="88" t="str" cm="1">
        <f t="array" ref="G30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AND(F3050&gt;= DATE(2026,1,1), F3050&lt;= DATE(2028, 12, 31), J3050&gt;50000), "Pendente e Caro", AND(F3050&gt;= DATE(2026,1,1), F3050&lt;= DATE(2028, 12, 31), J3050&lt;=50000), "Pendente", F3050&gt;= DATE(2029,1,1), "Não prioeitário")</f>
        <v>Não prioeitário</v>
      </c>
      <c r="H3050" s="89">
        <f>YEAR(Tabela1[[#This Row],[Data de Validade]])</f>
        <v>2029</v>
      </c>
      <c r="I3050" s="89">
        <f>MONTH(Tabela1[[#This Row],[Data de Validade]])</f>
        <v>7</v>
      </c>
      <c r="J3050" s="101">
        <v>42294</v>
      </c>
      <c r="K3050" s="87" t="s">
        <v>11</v>
      </c>
      <c r="L3050" s="108"/>
      <c r="M3050" s="108"/>
      <c r="N3050" s="108" t="str">
        <v>P711H778</v>
      </c>
      <c r="O3050" s="108">
        <f t="shared" si="49"/>
        <v>1</v>
      </c>
      <c r="P3050" s="108"/>
      <c r="Q3050"/>
    </row>
    <row r="3051" spans="1:17" x14ac:dyDescent="0.25">
      <c r="A3051" s="89" t="s">
        <v>9945</v>
      </c>
      <c r="B3051" s="87" t="s">
        <v>9946</v>
      </c>
      <c r="C3051" s="87" t="s">
        <v>8</v>
      </c>
      <c r="D3051" s="87" t="str">
        <f>VLOOKUP(Tabela1[[#This Row],[Origem]], 'Perguntas 1 a 24'!$J$28:$K$34, 2, 0)</f>
        <v>Nordeste</v>
      </c>
      <c r="E3051" s="87" t="str">
        <f>Tabela1[[#This Row],[Descrição]]&amp;"-"&amp;Tabela1[[#This Row],[Código]]&amp;"/"&amp;Tabela1[[#This Row],[Origem]]</f>
        <v>Maparate-P985P749/AL</v>
      </c>
      <c r="F3051" s="88">
        <v>47329</v>
      </c>
      <c r="G3051" s="88" t="str" cm="1">
        <f t="array" ref="G30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AND(F3051&gt;= DATE(2026,1,1), F3051&lt;= DATE(2028, 12, 31), J3051&gt;50000), "Pendente e Caro", AND(F3051&gt;= DATE(2026,1,1), F3051&lt;= DATE(2028, 12, 31), J3051&lt;=50000), "Pendente", F3051&gt;= DATE(2029,1,1), "Não prioeitário")</f>
        <v>Não prioeitário</v>
      </c>
      <c r="H3051" s="89">
        <f>YEAR(Tabela1[[#This Row],[Data de Validade]])</f>
        <v>2029</v>
      </c>
      <c r="I3051" s="89">
        <f>MONTH(Tabela1[[#This Row],[Data de Validade]])</f>
        <v>7</v>
      </c>
      <c r="J3051" s="101">
        <v>113971</v>
      </c>
      <c r="K3051" s="87" t="s">
        <v>7</v>
      </c>
      <c r="L3051" s="108"/>
      <c r="M3051" s="108"/>
      <c r="N3051" s="108" t="str">
        <v>P167H491</v>
      </c>
      <c r="O3051" s="108">
        <f t="shared" si="49"/>
        <v>1</v>
      </c>
      <c r="P3051" s="108"/>
      <c r="Q3051"/>
    </row>
    <row r="3052" spans="1:17" x14ac:dyDescent="0.25">
      <c r="A3052" s="89" t="s">
        <v>7738</v>
      </c>
      <c r="B3052" s="87" t="s">
        <v>7739</v>
      </c>
      <c r="C3052" s="87" t="s">
        <v>6</v>
      </c>
      <c r="D3052" s="87" t="str">
        <f>VLOOKUP(Tabela1[[#This Row],[Origem]], 'Perguntas 1 a 24'!$J$28:$K$34, 2, 0)</f>
        <v>Nordeste</v>
      </c>
      <c r="E3052" s="87" t="str">
        <f>Tabela1[[#This Row],[Descrição]]&amp;"-"&amp;Tabela1[[#This Row],[Código]]&amp;"/"&amp;Tabela1[[#This Row],[Origem]]</f>
        <v>Digugidi-H866P879/MA</v>
      </c>
      <c r="F3052" s="88">
        <v>47330</v>
      </c>
      <c r="G3052" s="88" t="str" cm="1">
        <f t="array" ref="G30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AND(F3052&gt;= DATE(2026,1,1), F3052&lt;= DATE(2028, 12, 31), J3052&gt;50000), "Pendente e Caro", AND(F3052&gt;= DATE(2026,1,1), F3052&lt;= DATE(2028, 12, 31), J3052&lt;=50000), "Pendente", F3052&gt;= DATE(2029,1,1), "Não prioeitário")</f>
        <v>Não prioeitário</v>
      </c>
      <c r="H3052" s="89">
        <f>YEAR(Tabela1[[#This Row],[Data de Validade]])</f>
        <v>2029</v>
      </c>
      <c r="I3052" s="89">
        <f>MONTH(Tabela1[[#This Row],[Data de Validade]])</f>
        <v>7</v>
      </c>
      <c r="J3052" s="101">
        <v>114255</v>
      </c>
      <c r="K3052" s="87" t="s">
        <v>14</v>
      </c>
      <c r="L3052" s="108"/>
      <c r="M3052" s="108"/>
      <c r="N3052" s="108" t="str">
        <v>P187P913</v>
      </c>
      <c r="O3052" s="108">
        <f t="shared" si="49"/>
        <v>1</v>
      </c>
      <c r="P3052" s="108"/>
      <c r="Q3052"/>
    </row>
    <row r="3053" spans="1:17" x14ac:dyDescent="0.25">
      <c r="A3053" s="89" t="s">
        <v>8621</v>
      </c>
      <c r="B3053" s="87" t="s">
        <v>8622</v>
      </c>
      <c r="C3053" s="87" t="s">
        <v>16</v>
      </c>
      <c r="D3053" s="87" t="str">
        <f>VLOOKUP(Tabela1[[#This Row],[Origem]], 'Perguntas 1 a 24'!$J$28:$K$34, 2, 0)</f>
        <v>Sudeste</v>
      </c>
      <c r="E3053" s="87" t="str">
        <f>Tabela1[[#This Row],[Descrição]]&amp;"-"&amp;Tabela1[[#This Row],[Código]]&amp;"/"&amp;Tabela1[[#This Row],[Origem]]</f>
        <v>Dupevo-H848P594/MG</v>
      </c>
      <c r="F3053" s="88">
        <v>47331</v>
      </c>
      <c r="G3053" s="88" t="str" cm="1">
        <f t="array" ref="G30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AND(F3053&gt;= DATE(2026,1,1), F3053&lt;= DATE(2028, 12, 31), J3053&gt;50000), "Pendente e Caro", AND(F3053&gt;= DATE(2026,1,1), F3053&lt;= DATE(2028, 12, 31), J3053&lt;=50000), "Pendente", F3053&gt;= DATE(2029,1,1), "Não prioeitário")</f>
        <v>Não prioeitário</v>
      </c>
      <c r="H3053" s="89">
        <f>YEAR(Tabela1[[#This Row],[Data de Validade]])</f>
        <v>2029</v>
      </c>
      <c r="I3053" s="89">
        <f>MONTH(Tabela1[[#This Row],[Data de Validade]])</f>
        <v>8</v>
      </c>
      <c r="J3053" s="101">
        <v>100034</v>
      </c>
      <c r="K3053" s="87" t="s">
        <v>7</v>
      </c>
      <c r="L3053" s="108"/>
      <c r="M3053" s="108"/>
      <c r="N3053" s="108" t="str">
        <v>H156H295</v>
      </c>
      <c r="O3053" s="108">
        <f t="shared" si="49"/>
        <v>1</v>
      </c>
      <c r="P3053" s="108"/>
      <c r="Q3053"/>
    </row>
    <row r="3054" spans="1:17" x14ac:dyDescent="0.25">
      <c r="A3054" s="89" t="s">
        <v>4339</v>
      </c>
      <c r="B3054" s="87" t="s">
        <v>4340</v>
      </c>
      <c r="C3054" s="87" t="s">
        <v>10</v>
      </c>
      <c r="D3054" s="87" t="str">
        <f>VLOOKUP(Tabela1[[#This Row],[Origem]], 'Perguntas 1 a 24'!$J$28:$K$34, 2, 0)</f>
        <v>Centro-Oeste</v>
      </c>
      <c r="E3054" s="87" t="str">
        <f>Tabela1[[#This Row],[Descrição]]&amp;"-"&amp;Tabela1[[#This Row],[Código]]&amp;"/"&amp;Tabela1[[#This Row],[Origem]]</f>
        <v>Dirina-P711H778/GO</v>
      </c>
      <c r="F3054" s="88">
        <v>47331</v>
      </c>
      <c r="G3054" s="88" t="str" cm="1">
        <f t="array" ref="G30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AND(F3054&gt;= DATE(2026,1,1), F3054&lt;= DATE(2028, 12, 31), J3054&gt;50000), "Pendente e Caro", AND(F3054&gt;= DATE(2026,1,1), F3054&lt;= DATE(2028, 12, 31), J3054&lt;=50000), "Pendente", F3054&gt;= DATE(2029,1,1), "Não prioeitário")</f>
        <v>Não prioeitário</v>
      </c>
      <c r="H3054" s="89">
        <f>YEAR(Tabela1[[#This Row],[Data de Validade]])</f>
        <v>2029</v>
      </c>
      <c r="I3054" s="89">
        <f>MONTH(Tabela1[[#This Row],[Data de Validade]])</f>
        <v>8</v>
      </c>
      <c r="J3054" s="101">
        <v>99633</v>
      </c>
      <c r="K3054" s="87" t="s">
        <v>9</v>
      </c>
      <c r="L3054" s="108"/>
      <c r="M3054" s="108"/>
      <c r="N3054" s="108" t="str">
        <v>H345H352</v>
      </c>
      <c r="O3054" s="108">
        <f t="shared" si="49"/>
        <v>1</v>
      </c>
      <c r="P3054" s="108"/>
      <c r="Q3054"/>
    </row>
    <row r="3055" spans="1:17" x14ac:dyDescent="0.25">
      <c r="A3055" s="89" t="s">
        <v>4247</v>
      </c>
      <c r="B3055" s="87" t="s">
        <v>4248</v>
      </c>
      <c r="C3055" s="87" t="s">
        <v>8</v>
      </c>
      <c r="D3055" s="87" t="str">
        <f>VLOOKUP(Tabela1[[#This Row],[Origem]], 'Perguntas 1 a 24'!$J$28:$K$34, 2, 0)</f>
        <v>Nordeste</v>
      </c>
      <c r="E3055" s="87" t="str">
        <f>Tabela1[[#This Row],[Descrição]]&amp;"-"&amp;Tabela1[[#This Row],[Código]]&amp;"/"&amp;Tabela1[[#This Row],[Origem]]</f>
        <v>Togunada-P167H491/AL</v>
      </c>
      <c r="F3055" s="88">
        <v>47332</v>
      </c>
      <c r="G3055" s="88" t="str" cm="1">
        <f t="array" ref="G30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AND(F3055&gt;= DATE(2026,1,1), F3055&lt;= DATE(2028, 12, 31), J3055&gt;50000), "Pendente e Caro", AND(F3055&gt;= DATE(2026,1,1), F3055&lt;= DATE(2028, 12, 31), J3055&lt;=50000), "Pendente", F3055&gt;= DATE(2029,1,1), "Não prioeitário")</f>
        <v>Não prioeitário</v>
      </c>
      <c r="H3055" s="89">
        <f>YEAR(Tabela1[[#This Row],[Data de Validade]])</f>
        <v>2029</v>
      </c>
      <c r="I3055" s="89">
        <f>MONTH(Tabela1[[#This Row],[Data de Validade]])</f>
        <v>8</v>
      </c>
      <c r="J3055" s="101">
        <v>55561</v>
      </c>
      <c r="K3055" s="87" t="s">
        <v>14</v>
      </c>
      <c r="L3055" s="108"/>
      <c r="M3055" s="108"/>
      <c r="N3055" s="108" t="str">
        <v>H171H699</v>
      </c>
      <c r="O3055" s="108">
        <f t="shared" si="49"/>
        <v>1</v>
      </c>
      <c r="P3055" s="108"/>
      <c r="Q3055"/>
    </row>
    <row r="3056" spans="1:17" x14ac:dyDescent="0.25">
      <c r="A3056" s="89" t="s">
        <v>7138</v>
      </c>
      <c r="B3056" s="87" t="s">
        <v>7139</v>
      </c>
      <c r="C3056" s="87" t="s">
        <v>13</v>
      </c>
      <c r="D3056" s="87" t="str">
        <f>VLOOKUP(Tabela1[[#This Row],[Origem]], 'Perguntas 1 a 24'!$J$28:$K$34, 2, 0)</f>
        <v>Sudeste</v>
      </c>
      <c r="E3056" s="87" t="str">
        <f>Tabela1[[#This Row],[Descrição]]&amp;"-"&amp;Tabela1[[#This Row],[Código]]&amp;"/"&amp;Tabela1[[#This Row],[Origem]]</f>
        <v>Modopefotu-P187P913/SP</v>
      </c>
      <c r="F3056" s="88">
        <v>47332</v>
      </c>
      <c r="G3056" s="88" t="str" cm="1">
        <f t="array" ref="G30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AND(F3056&gt;= DATE(2026,1,1), F3056&lt;= DATE(2028, 12, 31), J3056&gt;50000), "Pendente e Caro", AND(F3056&gt;= DATE(2026,1,1), F3056&lt;= DATE(2028, 12, 31), J3056&lt;=50000), "Pendente", F3056&gt;= DATE(2029,1,1), "Não prioeitário")</f>
        <v>Não prioeitário</v>
      </c>
      <c r="H3056" s="89">
        <f>YEAR(Tabela1[[#This Row],[Data de Validade]])</f>
        <v>2029</v>
      </c>
      <c r="I3056" s="89">
        <f>MONTH(Tabela1[[#This Row],[Data de Validade]])</f>
        <v>8</v>
      </c>
      <c r="J3056" s="101">
        <v>36705</v>
      </c>
      <c r="K3056" s="87" t="s">
        <v>7</v>
      </c>
      <c r="L3056" s="108"/>
      <c r="M3056" s="108"/>
      <c r="N3056" s="108" t="str">
        <v>H625P419</v>
      </c>
      <c r="O3056" s="108">
        <f t="shared" si="49"/>
        <v>1</v>
      </c>
      <c r="P3056" s="108"/>
      <c r="Q3056"/>
    </row>
    <row r="3057" spans="1:17" x14ac:dyDescent="0.25">
      <c r="A3057" s="89" t="s">
        <v>9655</v>
      </c>
      <c r="B3057" s="87" t="s">
        <v>9656</v>
      </c>
      <c r="C3057" s="87" t="s">
        <v>16</v>
      </c>
      <c r="D3057" s="87" t="str">
        <f>VLOOKUP(Tabela1[[#This Row],[Origem]], 'Perguntas 1 a 24'!$J$28:$K$34, 2, 0)</f>
        <v>Sudeste</v>
      </c>
      <c r="E3057" s="87" t="str">
        <f>Tabela1[[#This Row],[Descrição]]&amp;"-"&amp;Tabela1[[#This Row],[Código]]&amp;"/"&amp;Tabela1[[#This Row],[Origem]]</f>
        <v>Ropela-H156H295/MG</v>
      </c>
      <c r="F3057" s="88">
        <v>47333</v>
      </c>
      <c r="G3057" s="88" t="str" cm="1">
        <f t="array" ref="G30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AND(F3057&gt;= DATE(2026,1,1), F3057&lt;= DATE(2028, 12, 31), J3057&gt;50000), "Pendente e Caro", AND(F3057&gt;= DATE(2026,1,1), F3057&lt;= DATE(2028, 12, 31), J3057&lt;=50000), "Pendente", F3057&gt;= DATE(2029,1,1), "Não prioeitário")</f>
        <v>Não prioeitário</v>
      </c>
      <c r="H3057" s="89">
        <f>YEAR(Tabela1[[#This Row],[Data de Validade]])</f>
        <v>2029</v>
      </c>
      <c r="I3057" s="89">
        <f>MONTH(Tabela1[[#This Row],[Data de Validade]])</f>
        <v>8</v>
      </c>
      <c r="J3057" s="101">
        <v>93829</v>
      </c>
      <c r="K3057" s="87" t="s">
        <v>7</v>
      </c>
      <c r="L3057" s="108"/>
      <c r="M3057" s="108"/>
      <c r="N3057" s="108" t="str">
        <v>H764P675</v>
      </c>
      <c r="O3057" s="108">
        <f t="shared" si="49"/>
        <v>1</v>
      </c>
      <c r="P3057" s="108"/>
      <c r="Q3057"/>
    </row>
    <row r="3058" spans="1:17" x14ac:dyDescent="0.25">
      <c r="A3058" s="89" t="s">
        <v>7322</v>
      </c>
      <c r="B3058" s="87" t="s">
        <v>7323</v>
      </c>
      <c r="C3058" s="87" t="s">
        <v>10</v>
      </c>
      <c r="D3058" s="87" t="str">
        <f>VLOOKUP(Tabela1[[#This Row],[Origem]], 'Perguntas 1 a 24'!$J$28:$K$34, 2, 0)</f>
        <v>Centro-Oeste</v>
      </c>
      <c r="E3058" s="87" t="str">
        <f>Tabela1[[#This Row],[Descrição]]&amp;"-"&amp;Tabela1[[#This Row],[Código]]&amp;"/"&amp;Tabela1[[#This Row],[Origem]]</f>
        <v>Fuperu-H345H352/GO</v>
      </c>
      <c r="F3058" s="88">
        <v>47334</v>
      </c>
      <c r="G3058" s="88" t="str" cm="1">
        <f t="array" ref="G30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AND(F3058&gt;= DATE(2026,1,1), F3058&lt;= DATE(2028, 12, 31), J3058&gt;50000), "Pendente e Caro", AND(F3058&gt;= DATE(2026,1,1), F3058&lt;= DATE(2028, 12, 31), J3058&lt;=50000), "Pendente", F3058&gt;= DATE(2029,1,1), "Não prioeitário")</f>
        <v>Não prioeitário</v>
      </c>
      <c r="H3058" s="89">
        <f>YEAR(Tabela1[[#This Row],[Data de Validade]])</f>
        <v>2029</v>
      </c>
      <c r="I3058" s="89">
        <f>MONTH(Tabela1[[#This Row],[Data de Validade]])</f>
        <v>8</v>
      </c>
      <c r="J3058" s="101">
        <v>57097</v>
      </c>
      <c r="K3058" s="87" t="s">
        <v>14</v>
      </c>
      <c r="L3058" s="108"/>
      <c r="M3058" s="108"/>
      <c r="N3058" s="108" t="str">
        <v>H848P855</v>
      </c>
      <c r="O3058" s="108">
        <f t="shared" si="49"/>
        <v>1</v>
      </c>
      <c r="P3058" s="108"/>
      <c r="Q3058"/>
    </row>
    <row r="3059" spans="1:17" x14ac:dyDescent="0.25">
      <c r="A3059" s="89" t="s">
        <v>7676</v>
      </c>
      <c r="B3059" s="87" t="s">
        <v>7677</v>
      </c>
      <c r="C3059" s="87" t="s">
        <v>6</v>
      </c>
      <c r="D3059" s="87" t="str">
        <f>VLOOKUP(Tabela1[[#This Row],[Origem]], 'Perguntas 1 a 24'!$J$28:$K$34, 2, 0)</f>
        <v>Nordeste</v>
      </c>
      <c r="E3059" s="87" t="str">
        <f>Tabela1[[#This Row],[Descrição]]&amp;"-"&amp;Tabela1[[#This Row],[Código]]&amp;"/"&amp;Tabela1[[#This Row],[Origem]]</f>
        <v>Lonepoti-H171H699/MA</v>
      </c>
      <c r="F3059" s="88">
        <v>47334</v>
      </c>
      <c r="G3059" s="88" t="str" cm="1">
        <f t="array" ref="G30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AND(F3059&gt;= DATE(2026,1,1), F3059&lt;= DATE(2028, 12, 31), J3059&gt;50000), "Pendente e Caro", AND(F3059&gt;= DATE(2026,1,1), F3059&lt;= DATE(2028, 12, 31), J3059&lt;=50000), "Pendente", F3059&gt;= DATE(2029,1,1), "Não prioeitário")</f>
        <v>Não prioeitário</v>
      </c>
      <c r="H3059" s="89">
        <f>YEAR(Tabela1[[#This Row],[Data de Validade]])</f>
        <v>2029</v>
      </c>
      <c r="I3059" s="89">
        <f>MONTH(Tabela1[[#This Row],[Data de Validade]])</f>
        <v>8</v>
      </c>
      <c r="J3059" s="101">
        <v>46694</v>
      </c>
      <c r="K3059" s="87" t="s">
        <v>9</v>
      </c>
      <c r="L3059" s="108"/>
      <c r="M3059" s="108"/>
      <c r="N3059" s="108" t="str">
        <v>P111P925</v>
      </c>
      <c r="O3059" s="108">
        <f t="shared" si="49"/>
        <v>1</v>
      </c>
      <c r="P3059" s="108"/>
      <c r="Q3059"/>
    </row>
    <row r="3060" spans="1:17" x14ac:dyDescent="0.25">
      <c r="A3060" s="89" t="s">
        <v>7168</v>
      </c>
      <c r="B3060" s="87" t="s">
        <v>7169</v>
      </c>
      <c r="C3060" s="87" t="s">
        <v>16</v>
      </c>
      <c r="D3060" s="87" t="str">
        <f>VLOOKUP(Tabela1[[#This Row],[Origem]], 'Perguntas 1 a 24'!$J$28:$K$34, 2, 0)</f>
        <v>Sudeste</v>
      </c>
      <c r="E3060" s="87" t="str">
        <f>Tabela1[[#This Row],[Descrição]]&amp;"-"&amp;Tabela1[[#This Row],[Código]]&amp;"/"&amp;Tabela1[[#This Row],[Origem]]</f>
        <v>Lipecurare-H625P419/MG</v>
      </c>
      <c r="F3060" s="88">
        <v>47335</v>
      </c>
      <c r="G3060" s="88" t="str" cm="1">
        <f t="array" ref="G30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AND(F3060&gt;= DATE(2026,1,1), F3060&lt;= DATE(2028, 12, 31), J3060&gt;50000), "Pendente e Caro", AND(F3060&gt;= DATE(2026,1,1), F3060&lt;= DATE(2028, 12, 31), J3060&lt;=50000), "Pendente", F3060&gt;= DATE(2029,1,1), "Não prioeitário")</f>
        <v>Não prioeitário</v>
      </c>
      <c r="H3060" s="89">
        <f>YEAR(Tabela1[[#This Row],[Data de Validade]])</f>
        <v>2029</v>
      </c>
      <c r="I3060" s="89">
        <f>MONTH(Tabela1[[#This Row],[Data de Validade]])</f>
        <v>8</v>
      </c>
      <c r="J3060" s="101">
        <v>73679</v>
      </c>
      <c r="K3060" s="87" t="s">
        <v>14</v>
      </c>
      <c r="L3060" s="108"/>
      <c r="M3060" s="108"/>
      <c r="N3060" s="108" t="str">
        <v>P797P969</v>
      </c>
      <c r="O3060" s="108">
        <f t="shared" si="49"/>
        <v>1</v>
      </c>
      <c r="P3060" s="108"/>
      <c r="Q3060"/>
    </row>
    <row r="3061" spans="1:17" x14ac:dyDescent="0.25">
      <c r="A3061" s="89" t="s">
        <v>9717</v>
      </c>
      <c r="B3061" s="87" t="s">
        <v>9718</v>
      </c>
      <c r="C3061" s="87" t="s">
        <v>10</v>
      </c>
      <c r="D3061" s="87" t="str">
        <f>VLOOKUP(Tabela1[[#This Row],[Origem]], 'Perguntas 1 a 24'!$J$28:$K$34, 2, 0)</f>
        <v>Centro-Oeste</v>
      </c>
      <c r="E3061" s="87" t="str">
        <f>Tabela1[[#This Row],[Descrição]]&amp;"-"&amp;Tabela1[[#This Row],[Código]]&amp;"/"&amp;Tabela1[[#This Row],[Origem]]</f>
        <v>Luferova-H764P675/GO</v>
      </c>
      <c r="F3061" s="88">
        <v>47335</v>
      </c>
      <c r="G3061" s="88" t="str" cm="1">
        <f t="array" ref="G30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AND(F3061&gt;= DATE(2026,1,1), F3061&lt;= DATE(2028, 12, 31), J3061&gt;50000), "Pendente e Caro", AND(F3061&gt;= DATE(2026,1,1), F3061&lt;= DATE(2028, 12, 31), J3061&lt;=50000), "Pendente", F3061&gt;= DATE(2029,1,1), "Não prioeitário")</f>
        <v>Não prioeitário</v>
      </c>
      <c r="H3061" s="89">
        <f>YEAR(Tabela1[[#This Row],[Data de Validade]])</f>
        <v>2029</v>
      </c>
      <c r="I3061" s="89">
        <f>MONTH(Tabela1[[#This Row],[Data de Validade]])</f>
        <v>8</v>
      </c>
      <c r="J3061" s="101">
        <v>63769</v>
      </c>
      <c r="K3061" s="87" t="s">
        <v>7</v>
      </c>
      <c r="L3061" s="108"/>
      <c r="M3061" s="108"/>
      <c r="N3061" s="108" t="str">
        <v>P167H831</v>
      </c>
      <c r="O3061" s="108">
        <f t="shared" si="49"/>
        <v>1</v>
      </c>
      <c r="P3061" s="108"/>
      <c r="Q3061"/>
    </row>
    <row r="3062" spans="1:17" x14ac:dyDescent="0.25">
      <c r="A3062" s="89" t="s">
        <v>6022</v>
      </c>
      <c r="B3062" s="87" t="s">
        <v>6023</v>
      </c>
      <c r="C3062" s="87" t="s">
        <v>6</v>
      </c>
      <c r="D3062" s="87" t="str">
        <f>VLOOKUP(Tabela1[[#This Row],[Origem]], 'Perguntas 1 a 24'!$J$28:$K$34, 2, 0)</f>
        <v>Nordeste</v>
      </c>
      <c r="E3062" s="87" t="str">
        <f>Tabela1[[#This Row],[Descrição]]&amp;"-"&amp;Tabela1[[#This Row],[Código]]&amp;"/"&amp;Tabela1[[#This Row],[Origem]]</f>
        <v>Potulope-H848P855/MA</v>
      </c>
      <c r="F3062" s="88">
        <v>47336</v>
      </c>
      <c r="G3062" s="88" t="str" cm="1">
        <f t="array" ref="G30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AND(F3062&gt;= DATE(2026,1,1), F3062&lt;= DATE(2028, 12, 31), J3062&gt;50000), "Pendente e Caro", AND(F3062&gt;= DATE(2026,1,1), F3062&lt;= DATE(2028, 12, 31), J3062&lt;=50000), "Pendente", F3062&gt;= DATE(2029,1,1), "Não prioeitário")</f>
        <v>Não prioeitário</v>
      </c>
      <c r="H3062" s="89">
        <f>YEAR(Tabela1[[#This Row],[Data de Validade]])</f>
        <v>2029</v>
      </c>
      <c r="I3062" s="89">
        <f>MONTH(Tabela1[[#This Row],[Data de Validade]])</f>
        <v>8</v>
      </c>
      <c r="J3062" s="101">
        <v>72685</v>
      </c>
      <c r="K3062" s="87" t="s">
        <v>11</v>
      </c>
      <c r="L3062" s="108"/>
      <c r="M3062" s="108"/>
      <c r="N3062" s="108" t="str">
        <v>H834H776</v>
      </c>
      <c r="O3062" s="108">
        <f t="shared" si="49"/>
        <v>1</v>
      </c>
      <c r="P3062" s="108"/>
      <c r="Q3062"/>
    </row>
    <row r="3063" spans="1:17" x14ac:dyDescent="0.25">
      <c r="A3063" s="89" t="s">
        <v>3974</v>
      </c>
      <c r="B3063" s="87" t="s">
        <v>3975</v>
      </c>
      <c r="C3063" s="87" t="s">
        <v>10</v>
      </c>
      <c r="D3063" s="87" t="str">
        <f>VLOOKUP(Tabela1[[#This Row],[Origem]], 'Perguntas 1 a 24'!$J$28:$K$34, 2, 0)</f>
        <v>Centro-Oeste</v>
      </c>
      <c r="E3063" s="87" t="str">
        <f>Tabela1[[#This Row],[Descrição]]&amp;"-"&amp;Tabela1[[#This Row],[Código]]&amp;"/"&amp;Tabela1[[#This Row],[Origem]]</f>
        <v>Vevefi-P111P925/GO</v>
      </c>
      <c r="F3063" s="88">
        <v>47336</v>
      </c>
      <c r="G3063" s="88" t="str" cm="1">
        <f t="array" ref="G30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AND(F3063&gt;= DATE(2026,1,1), F3063&lt;= DATE(2028, 12, 31), J3063&gt;50000), "Pendente e Caro", AND(F3063&gt;= DATE(2026,1,1), F3063&lt;= DATE(2028, 12, 31), J3063&lt;=50000), "Pendente", F3063&gt;= DATE(2029,1,1), "Não prioeitário")</f>
        <v>Não prioeitário</v>
      </c>
      <c r="H3063" s="89">
        <f>YEAR(Tabela1[[#This Row],[Data de Validade]])</f>
        <v>2029</v>
      </c>
      <c r="I3063" s="89">
        <f>MONTH(Tabela1[[#This Row],[Data de Validade]])</f>
        <v>8</v>
      </c>
      <c r="J3063" s="101">
        <v>46465</v>
      </c>
      <c r="K3063" s="87" t="s">
        <v>7</v>
      </c>
      <c r="L3063" s="108"/>
      <c r="M3063" s="108"/>
      <c r="N3063" s="108" t="str">
        <v>P644H668</v>
      </c>
      <c r="O3063" s="108">
        <f t="shared" si="49"/>
        <v>1</v>
      </c>
      <c r="P3063" s="108"/>
      <c r="Q3063"/>
    </row>
    <row r="3064" spans="1:17" x14ac:dyDescent="0.25">
      <c r="A3064" s="89" t="s">
        <v>9927</v>
      </c>
      <c r="B3064" s="87" t="s">
        <v>9928</v>
      </c>
      <c r="C3064" s="87" t="s">
        <v>6</v>
      </c>
      <c r="D3064" s="87" t="str">
        <f>VLOOKUP(Tabela1[[#This Row],[Origem]], 'Perguntas 1 a 24'!$J$28:$K$34, 2, 0)</f>
        <v>Nordeste</v>
      </c>
      <c r="E3064" s="87" t="str">
        <f>Tabela1[[#This Row],[Descrição]]&amp;"-"&amp;Tabela1[[#This Row],[Código]]&amp;"/"&amp;Tabela1[[#This Row],[Origem]]</f>
        <v>Revapugite-P797P969/MA</v>
      </c>
      <c r="F3064" s="88">
        <v>47338</v>
      </c>
      <c r="G3064" s="88" t="str" cm="1">
        <f t="array" ref="G30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AND(F3064&gt;= DATE(2026,1,1), F3064&lt;= DATE(2028, 12, 31), J3064&gt;50000), "Pendente e Caro", AND(F3064&gt;= DATE(2026,1,1), F3064&lt;= DATE(2028, 12, 31), J3064&lt;=50000), "Pendente", F3064&gt;= DATE(2029,1,1), "Não prioeitário")</f>
        <v>Não prioeitário</v>
      </c>
      <c r="H3064" s="89">
        <f>YEAR(Tabela1[[#This Row],[Data de Validade]])</f>
        <v>2029</v>
      </c>
      <c r="I3064" s="89">
        <f>MONTH(Tabela1[[#This Row],[Data de Validade]])</f>
        <v>8</v>
      </c>
      <c r="J3064" s="101">
        <v>55920</v>
      </c>
      <c r="K3064" s="87" t="s">
        <v>11</v>
      </c>
      <c r="L3064" s="108"/>
      <c r="M3064" s="108"/>
      <c r="N3064" s="108" t="str">
        <v>P579P116</v>
      </c>
      <c r="O3064" s="108">
        <f t="shared" si="49"/>
        <v>1</v>
      </c>
      <c r="P3064" s="108"/>
      <c r="Q3064"/>
    </row>
    <row r="3065" spans="1:17" x14ac:dyDescent="0.25">
      <c r="A3065" s="89" t="s">
        <v>10509</v>
      </c>
      <c r="B3065" s="87" t="s">
        <v>10510</v>
      </c>
      <c r="C3065" s="87" t="s">
        <v>8</v>
      </c>
      <c r="D3065" s="87" t="str">
        <f>VLOOKUP(Tabela1[[#This Row],[Origem]], 'Perguntas 1 a 24'!$J$28:$K$34, 2, 0)</f>
        <v>Nordeste</v>
      </c>
      <c r="E3065" s="87" t="str">
        <f>Tabela1[[#This Row],[Descrição]]&amp;"-"&amp;Tabela1[[#This Row],[Código]]&amp;"/"&amp;Tabela1[[#This Row],[Origem]]</f>
        <v>Tatitu-P167H831/AL</v>
      </c>
      <c r="F3065" s="88">
        <v>47339</v>
      </c>
      <c r="G3065" s="88" t="str" cm="1">
        <f t="array" ref="G30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AND(F3065&gt;= DATE(2026,1,1), F3065&lt;= DATE(2028, 12, 31), J3065&gt;50000), "Pendente e Caro", AND(F3065&gt;= DATE(2026,1,1), F3065&lt;= DATE(2028, 12, 31), J3065&lt;=50000), "Pendente", F3065&gt;= DATE(2029,1,1), "Não prioeitário")</f>
        <v>Não prioeitário</v>
      </c>
      <c r="H3065" s="89">
        <f>YEAR(Tabela1[[#This Row],[Data de Validade]])</f>
        <v>2029</v>
      </c>
      <c r="I3065" s="89">
        <f>MONTH(Tabela1[[#This Row],[Data de Validade]])</f>
        <v>8</v>
      </c>
      <c r="J3065" s="101">
        <v>83147</v>
      </c>
      <c r="K3065" s="87" t="s">
        <v>7</v>
      </c>
      <c r="L3065" s="108"/>
      <c r="M3065" s="108"/>
      <c r="N3065" s="108" t="str">
        <v>H577H754</v>
      </c>
      <c r="O3065" s="108">
        <f t="shared" si="49"/>
        <v>1</v>
      </c>
      <c r="P3065" s="108"/>
      <c r="Q3065"/>
    </row>
    <row r="3066" spans="1:17" x14ac:dyDescent="0.25">
      <c r="A3066" s="89" t="s">
        <v>4317</v>
      </c>
      <c r="B3066" s="87" t="s">
        <v>4318</v>
      </c>
      <c r="C3066" s="87" t="s">
        <v>12</v>
      </c>
      <c r="D3066" s="87" t="str">
        <f>VLOOKUP(Tabela1[[#This Row],[Origem]], 'Perguntas 1 a 24'!$J$28:$K$34, 2, 0)</f>
        <v>Sudeste</v>
      </c>
      <c r="E3066" s="87" t="str">
        <f>Tabela1[[#This Row],[Descrição]]&amp;"-"&amp;Tabela1[[#This Row],[Código]]&amp;"/"&amp;Tabela1[[#This Row],[Origem]]</f>
        <v>Goredi-H834H776/RJ</v>
      </c>
      <c r="F3066" s="88">
        <v>47339</v>
      </c>
      <c r="G3066" s="88" t="str" cm="1">
        <f t="array" ref="G30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AND(F3066&gt;= DATE(2026,1,1), F3066&lt;= DATE(2028, 12, 31), J3066&gt;50000), "Pendente e Caro", AND(F3066&gt;= DATE(2026,1,1), F3066&lt;= DATE(2028, 12, 31), J3066&lt;=50000), "Pendente", F3066&gt;= DATE(2029,1,1), "Não prioeitário")</f>
        <v>Não prioeitário</v>
      </c>
      <c r="H3066" s="89">
        <f>YEAR(Tabela1[[#This Row],[Data de Validade]])</f>
        <v>2029</v>
      </c>
      <c r="I3066" s="89">
        <f>MONTH(Tabela1[[#This Row],[Data de Validade]])</f>
        <v>8</v>
      </c>
      <c r="J3066" s="101">
        <v>54074</v>
      </c>
      <c r="K3066" s="87" t="s">
        <v>11</v>
      </c>
      <c r="L3066" s="108"/>
      <c r="M3066" s="108"/>
      <c r="N3066" s="108" t="str">
        <v>H854P477</v>
      </c>
      <c r="O3066" s="108">
        <f t="shared" si="49"/>
        <v>1</v>
      </c>
      <c r="P3066" s="108"/>
      <c r="Q3066"/>
    </row>
    <row r="3067" spans="1:17" x14ac:dyDescent="0.25">
      <c r="A3067" s="89" t="s">
        <v>8555</v>
      </c>
      <c r="B3067" s="87" t="s">
        <v>8556</v>
      </c>
      <c r="C3067" s="87" t="s">
        <v>8</v>
      </c>
      <c r="D3067" s="87" t="str">
        <f>VLOOKUP(Tabela1[[#This Row],[Origem]], 'Perguntas 1 a 24'!$J$28:$K$34, 2, 0)</f>
        <v>Nordeste</v>
      </c>
      <c r="E3067" s="87" t="str">
        <f>Tabela1[[#This Row],[Descrição]]&amp;"-"&amp;Tabela1[[#This Row],[Código]]&amp;"/"&amp;Tabela1[[#This Row],[Origem]]</f>
        <v>Redula-P644H668/AL</v>
      </c>
      <c r="F3067" s="88">
        <v>47340</v>
      </c>
      <c r="G3067" s="88" t="str" cm="1">
        <f t="array" ref="G30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AND(F3067&gt;= DATE(2026,1,1), F3067&lt;= DATE(2028, 12, 31), J3067&gt;50000), "Pendente e Caro", AND(F3067&gt;= DATE(2026,1,1), F3067&lt;= DATE(2028, 12, 31), J3067&lt;=50000), "Pendente", F3067&gt;= DATE(2029,1,1), "Não prioeitário")</f>
        <v>Não prioeitário</v>
      </c>
      <c r="H3067" s="89">
        <f>YEAR(Tabela1[[#This Row],[Data de Validade]])</f>
        <v>2029</v>
      </c>
      <c r="I3067" s="89">
        <f>MONTH(Tabela1[[#This Row],[Data de Validade]])</f>
        <v>8</v>
      </c>
      <c r="J3067" s="101">
        <v>69254</v>
      </c>
      <c r="K3067" s="87" t="s">
        <v>14</v>
      </c>
      <c r="L3067" s="108"/>
      <c r="M3067" s="108"/>
      <c r="N3067" s="108" t="str">
        <v>H732P396</v>
      </c>
      <c r="O3067" s="108">
        <f t="shared" si="49"/>
        <v>1</v>
      </c>
      <c r="P3067" s="108"/>
      <c r="Q3067"/>
    </row>
    <row r="3068" spans="1:17" x14ac:dyDescent="0.25">
      <c r="A3068" s="89" t="s">
        <v>7300</v>
      </c>
      <c r="B3068" s="87" t="s">
        <v>7301</v>
      </c>
      <c r="C3068" s="87" t="s">
        <v>8</v>
      </c>
      <c r="D3068" s="87" t="str">
        <f>VLOOKUP(Tabela1[[#This Row],[Origem]], 'Perguntas 1 a 24'!$J$28:$K$34, 2, 0)</f>
        <v>Nordeste</v>
      </c>
      <c r="E3068" s="87" t="str">
        <f>Tabela1[[#This Row],[Descrição]]&amp;"-"&amp;Tabela1[[#This Row],[Código]]&amp;"/"&amp;Tabela1[[#This Row],[Origem]]</f>
        <v>Piconadalu-P579P116/AL</v>
      </c>
      <c r="F3068" s="88">
        <v>47340</v>
      </c>
      <c r="G3068" s="88" t="str" cm="1">
        <f t="array" ref="G30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AND(F3068&gt;= DATE(2026,1,1), F3068&lt;= DATE(2028, 12, 31), J3068&gt;50000), "Pendente e Caro", AND(F3068&gt;= DATE(2026,1,1), F3068&lt;= DATE(2028, 12, 31), J3068&lt;=50000), "Pendente", F3068&gt;= DATE(2029,1,1), "Não prioeitário")</f>
        <v>Não prioeitário</v>
      </c>
      <c r="H3068" s="89">
        <f>YEAR(Tabela1[[#This Row],[Data de Validade]])</f>
        <v>2029</v>
      </c>
      <c r="I3068" s="89">
        <f>MONTH(Tabela1[[#This Row],[Data de Validade]])</f>
        <v>8</v>
      </c>
      <c r="J3068" s="101">
        <v>54865</v>
      </c>
      <c r="K3068" s="87" t="s">
        <v>7</v>
      </c>
      <c r="L3068" s="108"/>
      <c r="M3068" s="108"/>
      <c r="N3068" s="108" t="str">
        <v>P983P624</v>
      </c>
      <c r="O3068" s="108">
        <f t="shared" si="49"/>
        <v>1</v>
      </c>
      <c r="P3068" s="108"/>
      <c r="Q3068"/>
    </row>
    <row r="3069" spans="1:17" x14ac:dyDescent="0.25">
      <c r="A3069" s="89" t="s">
        <v>10619</v>
      </c>
      <c r="B3069" s="87" t="s">
        <v>10620</v>
      </c>
      <c r="C3069" s="87" t="s">
        <v>10</v>
      </c>
      <c r="D3069" s="87" t="str">
        <f>VLOOKUP(Tabela1[[#This Row],[Origem]], 'Perguntas 1 a 24'!$J$28:$K$34, 2, 0)</f>
        <v>Centro-Oeste</v>
      </c>
      <c r="E3069" s="87" t="str">
        <f>Tabela1[[#This Row],[Descrição]]&amp;"-"&amp;Tabela1[[#This Row],[Código]]&amp;"/"&amp;Tabela1[[#This Row],[Origem]]</f>
        <v>Devulinami-H577H754/GO</v>
      </c>
      <c r="F3069" s="88">
        <v>47340</v>
      </c>
      <c r="G3069" s="88" t="str" cm="1">
        <f t="array" ref="G30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AND(F3069&gt;= DATE(2026,1,1), F3069&lt;= DATE(2028, 12, 31), J3069&gt;50000), "Pendente e Caro", AND(F3069&gt;= DATE(2026,1,1), F3069&lt;= DATE(2028, 12, 31), J3069&lt;=50000), "Pendente", F3069&gt;= DATE(2029,1,1), "Não prioeitário")</f>
        <v>Não prioeitário</v>
      </c>
      <c r="H3069" s="89">
        <f>YEAR(Tabela1[[#This Row],[Data de Validade]])</f>
        <v>2029</v>
      </c>
      <c r="I3069" s="89">
        <f>MONTH(Tabela1[[#This Row],[Data de Validade]])</f>
        <v>8</v>
      </c>
      <c r="J3069" s="101">
        <v>24094</v>
      </c>
      <c r="K3069" s="87" t="s">
        <v>7</v>
      </c>
      <c r="L3069" s="108"/>
      <c r="M3069" s="108"/>
      <c r="N3069" s="108" t="str">
        <v>H866P847</v>
      </c>
      <c r="O3069" s="108">
        <f t="shared" si="49"/>
        <v>1</v>
      </c>
      <c r="P3069" s="108"/>
      <c r="Q3069"/>
    </row>
    <row r="3070" spans="1:17" x14ac:dyDescent="0.25">
      <c r="A3070" s="89" t="s">
        <v>4796</v>
      </c>
      <c r="B3070" s="87" t="s">
        <v>4797</v>
      </c>
      <c r="C3070" s="87" t="s">
        <v>10</v>
      </c>
      <c r="D3070" s="87" t="str">
        <f>VLOOKUP(Tabela1[[#This Row],[Origem]], 'Perguntas 1 a 24'!$J$28:$K$34, 2, 0)</f>
        <v>Centro-Oeste</v>
      </c>
      <c r="E3070" s="87" t="str">
        <f>Tabela1[[#This Row],[Descrição]]&amp;"-"&amp;Tabela1[[#This Row],[Código]]&amp;"/"&amp;Tabela1[[#This Row],[Origem]]</f>
        <v>Fotipitinu-H854P477/GO</v>
      </c>
      <c r="F3070" s="88">
        <v>47341</v>
      </c>
      <c r="G3070" s="88" t="str" cm="1">
        <f t="array" ref="G30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AND(F3070&gt;= DATE(2026,1,1), F3070&lt;= DATE(2028, 12, 31), J3070&gt;50000), "Pendente e Caro", AND(F3070&gt;= DATE(2026,1,1), F3070&lt;= DATE(2028, 12, 31), J3070&lt;=50000), "Pendente", F3070&gt;= DATE(2029,1,1), "Não prioeitário")</f>
        <v>Não prioeitário</v>
      </c>
      <c r="H3070" s="89">
        <f>YEAR(Tabela1[[#This Row],[Data de Validade]])</f>
        <v>2029</v>
      </c>
      <c r="I3070" s="89">
        <f>MONTH(Tabela1[[#This Row],[Data de Validade]])</f>
        <v>8</v>
      </c>
      <c r="J3070" s="101">
        <v>112810</v>
      </c>
      <c r="K3070" s="87" t="s">
        <v>9</v>
      </c>
      <c r="L3070" s="108"/>
      <c r="M3070" s="108"/>
      <c r="N3070" s="108" t="str">
        <v>P856H646</v>
      </c>
      <c r="O3070" s="108">
        <f t="shared" si="49"/>
        <v>1</v>
      </c>
      <c r="P3070" s="108"/>
      <c r="Q3070"/>
    </row>
    <row r="3071" spans="1:17" x14ac:dyDescent="0.25">
      <c r="A3071" s="89" t="s">
        <v>7424</v>
      </c>
      <c r="B3071" s="87" t="s">
        <v>7425</v>
      </c>
      <c r="C3071" s="87" t="s">
        <v>8</v>
      </c>
      <c r="D3071" s="87" t="str">
        <f>VLOOKUP(Tabela1[[#This Row],[Origem]], 'Perguntas 1 a 24'!$J$28:$K$34, 2, 0)</f>
        <v>Nordeste</v>
      </c>
      <c r="E3071" s="87" t="str">
        <f>Tabela1[[#This Row],[Descrição]]&amp;"-"&amp;Tabela1[[#This Row],[Código]]&amp;"/"&amp;Tabela1[[#This Row],[Origem]]</f>
        <v>Rorovita-H732P396/AL</v>
      </c>
      <c r="F3071" s="88">
        <v>47341</v>
      </c>
      <c r="G3071" s="88" t="str" cm="1">
        <f t="array" ref="G30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AND(F3071&gt;= DATE(2026,1,1), F3071&lt;= DATE(2028, 12, 31), J3071&gt;50000), "Pendente e Caro", AND(F3071&gt;= DATE(2026,1,1), F3071&lt;= DATE(2028, 12, 31), J3071&lt;=50000), "Pendente", F3071&gt;= DATE(2029,1,1), "Não prioeitário")</f>
        <v>Não prioeitário</v>
      </c>
      <c r="H3071" s="89">
        <f>YEAR(Tabela1[[#This Row],[Data de Validade]])</f>
        <v>2029</v>
      </c>
      <c r="I3071" s="89">
        <f>MONTH(Tabela1[[#This Row],[Data de Validade]])</f>
        <v>8</v>
      </c>
      <c r="J3071" s="101">
        <v>33784</v>
      </c>
      <c r="K3071" s="87" t="s">
        <v>7</v>
      </c>
      <c r="L3071" s="108"/>
      <c r="M3071" s="108"/>
      <c r="N3071" s="108" t="str">
        <v>P646P316</v>
      </c>
      <c r="O3071" s="108">
        <f t="shared" si="49"/>
        <v>1</v>
      </c>
      <c r="P3071" s="108"/>
      <c r="Q3071"/>
    </row>
    <row r="3072" spans="1:17" x14ac:dyDescent="0.25">
      <c r="A3072" s="89" t="s">
        <v>11080</v>
      </c>
      <c r="B3072" s="87" t="s">
        <v>11081</v>
      </c>
      <c r="C3072" s="87" t="s">
        <v>13</v>
      </c>
      <c r="D3072" s="87" t="str">
        <f>VLOOKUP(Tabela1[[#This Row],[Origem]], 'Perguntas 1 a 24'!$J$28:$K$34, 2, 0)</f>
        <v>Sudeste</v>
      </c>
      <c r="E3072" s="87" t="str">
        <f>Tabela1[[#This Row],[Descrição]]&amp;"-"&amp;Tabela1[[#This Row],[Código]]&amp;"/"&amp;Tabela1[[#This Row],[Origem]]</f>
        <v>Docape-P983P624/SP</v>
      </c>
      <c r="F3072" s="88">
        <v>47342</v>
      </c>
      <c r="G3072" s="88" t="str" cm="1">
        <f t="array" ref="G30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AND(F3072&gt;= DATE(2026,1,1), F3072&lt;= DATE(2028, 12, 31), J3072&gt;50000), "Pendente e Caro", AND(F3072&gt;= DATE(2026,1,1), F3072&lt;= DATE(2028, 12, 31), J3072&lt;=50000), "Pendente", F3072&gt;= DATE(2029,1,1), "Não prioeitário")</f>
        <v>Não prioeitário</v>
      </c>
      <c r="H3072" s="89">
        <f>YEAR(Tabela1[[#This Row],[Data de Validade]])</f>
        <v>2029</v>
      </c>
      <c r="I3072" s="89">
        <f>MONTH(Tabela1[[#This Row],[Data de Validade]])</f>
        <v>8</v>
      </c>
      <c r="J3072" s="101">
        <v>86772</v>
      </c>
      <c r="K3072" s="87" t="s">
        <v>9</v>
      </c>
      <c r="L3072" s="108"/>
      <c r="M3072" s="108"/>
      <c r="N3072" s="108" t="str">
        <v>H946H181</v>
      </c>
      <c r="O3072" s="108">
        <f t="shared" si="49"/>
        <v>1</v>
      </c>
      <c r="P3072" s="108"/>
      <c r="Q3072"/>
    </row>
    <row r="3073" spans="1:17" x14ac:dyDescent="0.25">
      <c r="A3073" s="89" t="s">
        <v>7276</v>
      </c>
      <c r="B3073" s="87" t="s">
        <v>7277</v>
      </c>
      <c r="C3073" s="87" t="s">
        <v>10</v>
      </c>
      <c r="D3073" s="87" t="str">
        <f>VLOOKUP(Tabela1[[#This Row],[Origem]], 'Perguntas 1 a 24'!$J$28:$K$34, 2, 0)</f>
        <v>Centro-Oeste</v>
      </c>
      <c r="E3073" s="87" t="str">
        <f>Tabela1[[#This Row],[Descrição]]&amp;"-"&amp;Tabela1[[#This Row],[Código]]&amp;"/"&amp;Tabela1[[#This Row],[Origem]]</f>
        <v>Cufapotami-H866P847/GO</v>
      </c>
      <c r="F3073" s="88">
        <v>47342</v>
      </c>
      <c r="G3073" s="88" t="str" cm="1">
        <f t="array" ref="G30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AND(F3073&gt;= DATE(2026,1,1), F3073&lt;= DATE(2028, 12, 31), J3073&gt;50000), "Pendente e Caro", AND(F3073&gt;= DATE(2026,1,1), F3073&lt;= DATE(2028, 12, 31), J3073&lt;=50000), "Pendente", F3073&gt;= DATE(2029,1,1), "Não prioeitário")</f>
        <v>Não prioeitário</v>
      </c>
      <c r="H3073" s="89">
        <f>YEAR(Tabela1[[#This Row],[Data de Validade]])</f>
        <v>2029</v>
      </c>
      <c r="I3073" s="89">
        <f>MONTH(Tabela1[[#This Row],[Data de Validade]])</f>
        <v>8</v>
      </c>
      <c r="J3073" s="101">
        <v>27603</v>
      </c>
      <c r="K3073" s="87" t="s">
        <v>14</v>
      </c>
      <c r="L3073" s="108"/>
      <c r="M3073" s="108"/>
      <c r="N3073" s="108" t="str">
        <v>H177H693</v>
      </c>
      <c r="O3073" s="108">
        <f t="shared" si="49"/>
        <v>1</v>
      </c>
      <c r="P3073" s="108"/>
      <c r="Q3073"/>
    </row>
    <row r="3074" spans="1:17" x14ac:dyDescent="0.25">
      <c r="A3074" s="89" t="s">
        <v>7330</v>
      </c>
      <c r="B3074" s="87" t="s">
        <v>7331</v>
      </c>
      <c r="C3074" s="87" t="s">
        <v>15</v>
      </c>
      <c r="D3074" s="87" t="str">
        <f>VLOOKUP(Tabela1[[#This Row],[Origem]], 'Perguntas 1 a 24'!$J$28:$K$34, 2, 0)</f>
        <v>Sudeste</v>
      </c>
      <c r="E3074" s="87" t="str">
        <f>Tabela1[[#This Row],[Descrição]]&amp;"-"&amp;Tabela1[[#This Row],[Código]]&amp;"/"&amp;Tabela1[[#This Row],[Origem]]</f>
        <v>Vupove-P856H646/ES</v>
      </c>
      <c r="F3074" s="88">
        <v>47344</v>
      </c>
      <c r="G3074" s="88" t="str" cm="1">
        <f t="array" ref="G30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AND(F3074&gt;= DATE(2026,1,1), F3074&lt;= DATE(2028, 12, 31), J3074&gt;50000), "Pendente e Caro", AND(F3074&gt;= DATE(2026,1,1), F3074&lt;= DATE(2028, 12, 31), J3074&lt;=50000), "Pendente", F3074&gt;= DATE(2029,1,1), "Não prioeitário")</f>
        <v>Não prioeitário</v>
      </c>
      <c r="H3074" s="89">
        <f>YEAR(Tabela1[[#This Row],[Data de Validade]])</f>
        <v>2029</v>
      </c>
      <c r="I3074" s="89">
        <f>MONTH(Tabela1[[#This Row],[Data de Validade]])</f>
        <v>8</v>
      </c>
      <c r="J3074" s="101">
        <v>52412</v>
      </c>
      <c r="K3074" s="87" t="s">
        <v>11</v>
      </c>
      <c r="L3074" s="108"/>
      <c r="M3074" s="108"/>
      <c r="N3074" s="108" t="str">
        <v>P186H675</v>
      </c>
      <c r="O3074" s="108">
        <f t="shared" si="49"/>
        <v>1</v>
      </c>
      <c r="P3074" s="108"/>
      <c r="Q3074"/>
    </row>
    <row r="3075" spans="1:17" x14ac:dyDescent="0.25">
      <c r="A3075" s="89" t="s">
        <v>5944</v>
      </c>
      <c r="B3075" s="87" t="s">
        <v>5945</v>
      </c>
      <c r="C3075" s="87" t="s">
        <v>15</v>
      </c>
      <c r="D3075" s="87" t="str">
        <f>VLOOKUP(Tabela1[[#This Row],[Origem]], 'Perguntas 1 a 24'!$J$28:$K$34, 2, 0)</f>
        <v>Sudeste</v>
      </c>
      <c r="E3075" s="87" t="str">
        <f>Tabela1[[#This Row],[Descrição]]&amp;"-"&amp;Tabela1[[#This Row],[Código]]&amp;"/"&amp;Tabela1[[#This Row],[Origem]]</f>
        <v>Nupifuri-P646P316/ES</v>
      </c>
      <c r="F3075" s="88">
        <v>47344</v>
      </c>
      <c r="G3075" s="88" t="str" cm="1">
        <f t="array" ref="G30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AND(F3075&gt;= DATE(2026,1,1), F3075&lt;= DATE(2028, 12, 31), J3075&gt;50000), "Pendente e Caro", AND(F3075&gt;= DATE(2026,1,1), F3075&lt;= DATE(2028, 12, 31), J3075&lt;=50000), "Pendente", F3075&gt;= DATE(2029,1,1), "Não prioeitário")</f>
        <v>Não prioeitário</v>
      </c>
      <c r="H3075" s="89">
        <f>YEAR(Tabela1[[#This Row],[Data de Validade]])</f>
        <v>2029</v>
      </c>
      <c r="I3075" s="89">
        <f>MONTH(Tabela1[[#This Row],[Data de Validade]])</f>
        <v>8</v>
      </c>
      <c r="J3075" s="101">
        <v>23933</v>
      </c>
      <c r="K3075" s="87" t="s">
        <v>14</v>
      </c>
      <c r="L3075" s="108"/>
      <c r="M3075" s="108"/>
      <c r="N3075" s="108" t="str">
        <v>P539H548</v>
      </c>
      <c r="O3075" s="108">
        <f t="shared" ref="O3075:O3138" si="50">COUNTIFS(B:B,N3075)</f>
        <v>1</v>
      </c>
      <c r="P3075" s="108"/>
      <c r="Q3075"/>
    </row>
    <row r="3076" spans="1:17" x14ac:dyDescent="0.25">
      <c r="A3076" s="89" t="s">
        <v>10093</v>
      </c>
      <c r="B3076" s="87" t="s">
        <v>10094</v>
      </c>
      <c r="C3076" s="87" t="s">
        <v>16</v>
      </c>
      <c r="D3076" s="87" t="str">
        <f>VLOOKUP(Tabela1[[#This Row],[Origem]], 'Perguntas 1 a 24'!$J$28:$K$34, 2, 0)</f>
        <v>Sudeste</v>
      </c>
      <c r="E3076" s="87" t="str">
        <f>Tabela1[[#This Row],[Descrição]]&amp;"-"&amp;Tabela1[[#This Row],[Código]]&amp;"/"&amp;Tabela1[[#This Row],[Origem]]</f>
        <v>Ludafitu-H946H181/MG</v>
      </c>
      <c r="F3076" s="88">
        <v>47344</v>
      </c>
      <c r="G3076" s="88" t="str" cm="1">
        <f t="array" ref="G30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AND(F3076&gt;= DATE(2026,1,1), F3076&lt;= DATE(2028, 12, 31), J3076&gt;50000), "Pendente e Caro", AND(F3076&gt;= DATE(2026,1,1), F3076&lt;= DATE(2028, 12, 31), J3076&lt;=50000), "Pendente", F3076&gt;= DATE(2029,1,1), "Não prioeitário")</f>
        <v>Não prioeitário</v>
      </c>
      <c r="H3076" s="89">
        <f>YEAR(Tabela1[[#This Row],[Data de Validade]])</f>
        <v>2029</v>
      </c>
      <c r="I3076" s="89">
        <f>MONTH(Tabela1[[#This Row],[Data de Validade]])</f>
        <v>8</v>
      </c>
      <c r="J3076" s="101">
        <v>22239</v>
      </c>
      <c r="K3076" s="87" t="s">
        <v>11</v>
      </c>
      <c r="L3076" s="108"/>
      <c r="M3076" s="108"/>
      <c r="N3076" s="108" t="str">
        <v>P471H553</v>
      </c>
      <c r="O3076" s="108">
        <f t="shared" si="50"/>
        <v>1</v>
      </c>
      <c r="P3076" s="108"/>
      <c r="Q3076"/>
    </row>
    <row r="3077" spans="1:17" x14ac:dyDescent="0.25">
      <c r="A3077" s="89" t="s">
        <v>8635</v>
      </c>
      <c r="B3077" s="87" t="s">
        <v>8636</v>
      </c>
      <c r="C3077" s="87" t="s">
        <v>15</v>
      </c>
      <c r="D3077" s="87" t="str">
        <f>VLOOKUP(Tabela1[[#This Row],[Origem]], 'Perguntas 1 a 24'!$J$28:$K$34, 2, 0)</f>
        <v>Sudeste</v>
      </c>
      <c r="E3077" s="87" t="str">
        <f>Tabela1[[#This Row],[Descrição]]&amp;"-"&amp;Tabela1[[#This Row],[Código]]&amp;"/"&amp;Tabela1[[#This Row],[Origem]]</f>
        <v>Pomupera-H177H693/ES</v>
      </c>
      <c r="F3077" s="88">
        <v>47346</v>
      </c>
      <c r="G3077" s="88" t="str" cm="1">
        <f t="array" ref="G30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AND(F3077&gt;= DATE(2026,1,1), F3077&lt;= DATE(2028, 12, 31), J3077&gt;50000), "Pendente e Caro", AND(F3077&gt;= DATE(2026,1,1), F3077&lt;= DATE(2028, 12, 31), J3077&lt;=50000), "Pendente", F3077&gt;= DATE(2029,1,1), "Não prioeitário")</f>
        <v>Não prioeitário</v>
      </c>
      <c r="H3077" s="89">
        <f>YEAR(Tabela1[[#This Row],[Data de Validade]])</f>
        <v>2029</v>
      </c>
      <c r="I3077" s="89">
        <f>MONTH(Tabela1[[#This Row],[Data de Validade]])</f>
        <v>8</v>
      </c>
      <c r="J3077" s="101">
        <v>44449</v>
      </c>
      <c r="K3077" s="87" t="s">
        <v>7</v>
      </c>
      <c r="L3077" s="108"/>
      <c r="M3077" s="108"/>
      <c r="N3077" s="108" t="str">
        <v>P594P578</v>
      </c>
      <c r="O3077" s="108">
        <f t="shared" si="50"/>
        <v>1</v>
      </c>
      <c r="P3077" s="108"/>
      <c r="Q3077"/>
    </row>
    <row r="3078" spans="1:17" x14ac:dyDescent="0.25">
      <c r="A3078" s="89" t="s">
        <v>4040</v>
      </c>
      <c r="B3078" s="87" t="s">
        <v>4041</v>
      </c>
      <c r="C3078" s="87" t="s">
        <v>13</v>
      </c>
      <c r="D3078" s="87" t="str">
        <f>VLOOKUP(Tabela1[[#This Row],[Origem]], 'Perguntas 1 a 24'!$J$28:$K$34, 2, 0)</f>
        <v>Sudeste</v>
      </c>
      <c r="E3078" s="87" t="str">
        <f>Tabela1[[#This Row],[Descrição]]&amp;"-"&amp;Tabela1[[#This Row],[Código]]&amp;"/"&amp;Tabela1[[#This Row],[Origem]]</f>
        <v>Roguvutaro-P186H675/SP</v>
      </c>
      <c r="F3078" s="88">
        <v>47348</v>
      </c>
      <c r="G3078" s="88" t="str" cm="1">
        <f t="array" ref="G30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AND(F3078&gt;= DATE(2026,1,1), F3078&lt;= DATE(2028, 12, 31), J3078&gt;50000), "Pendente e Caro", AND(F3078&gt;= DATE(2026,1,1), F3078&lt;= DATE(2028, 12, 31), J3078&lt;=50000), "Pendente", F3078&gt;= DATE(2029,1,1), "Não prioeitário")</f>
        <v>Não prioeitário</v>
      </c>
      <c r="H3078" s="89">
        <f>YEAR(Tabela1[[#This Row],[Data de Validade]])</f>
        <v>2029</v>
      </c>
      <c r="I3078" s="89">
        <f>MONTH(Tabela1[[#This Row],[Data de Validade]])</f>
        <v>8</v>
      </c>
      <c r="J3078" s="101">
        <v>76728</v>
      </c>
      <c r="K3078" s="87" t="s">
        <v>14</v>
      </c>
      <c r="L3078" s="108"/>
      <c r="M3078" s="108"/>
      <c r="N3078" s="108" t="str">
        <v>P298P281</v>
      </c>
      <c r="O3078" s="108">
        <f t="shared" si="50"/>
        <v>1</v>
      </c>
      <c r="P3078" s="108"/>
      <c r="Q3078"/>
    </row>
    <row r="3079" spans="1:17" x14ac:dyDescent="0.25">
      <c r="A3079" s="89" t="s">
        <v>6010</v>
      </c>
      <c r="B3079" s="87" t="s">
        <v>6011</v>
      </c>
      <c r="C3079" s="87" t="s">
        <v>16</v>
      </c>
      <c r="D3079" s="87" t="str">
        <f>VLOOKUP(Tabela1[[#This Row],[Origem]], 'Perguntas 1 a 24'!$J$28:$K$34, 2, 0)</f>
        <v>Sudeste</v>
      </c>
      <c r="E3079" s="87" t="str">
        <f>Tabela1[[#This Row],[Descrição]]&amp;"-"&amp;Tabela1[[#This Row],[Código]]&amp;"/"&amp;Tabela1[[#This Row],[Origem]]</f>
        <v>Gotagu-P539H548/MG</v>
      </c>
      <c r="F3079" s="88">
        <v>47348</v>
      </c>
      <c r="G3079" s="88" t="str" cm="1">
        <f t="array" ref="G30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AND(F3079&gt;= DATE(2026,1,1), F3079&lt;= DATE(2028, 12, 31), J3079&gt;50000), "Pendente e Caro", AND(F3079&gt;= DATE(2026,1,1), F3079&lt;= DATE(2028, 12, 31), J3079&lt;=50000), "Pendente", F3079&gt;= DATE(2029,1,1), "Não prioeitário")</f>
        <v>Não prioeitário</v>
      </c>
      <c r="H3079" s="89">
        <f>YEAR(Tabela1[[#This Row],[Data de Validade]])</f>
        <v>2029</v>
      </c>
      <c r="I3079" s="89">
        <f>MONTH(Tabela1[[#This Row],[Data de Validade]])</f>
        <v>8</v>
      </c>
      <c r="J3079" s="101">
        <v>55574</v>
      </c>
      <c r="K3079" s="87" t="s">
        <v>14</v>
      </c>
      <c r="L3079" s="108"/>
      <c r="M3079" s="108"/>
      <c r="N3079" s="108" t="str">
        <v>P221H966</v>
      </c>
      <c r="O3079" s="108">
        <f t="shared" si="50"/>
        <v>1</v>
      </c>
      <c r="P3079" s="108"/>
      <c r="Q3079"/>
    </row>
    <row r="3080" spans="1:17" x14ac:dyDescent="0.25">
      <c r="A3080" s="89" t="s">
        <v>9701</v>
      </c>
      <c r="B3080" s="87" t="s">
        <v>9702</v>
      </c>
      <c r="C3080" s="87" t="s">
        <v>15</v>
      </c>
      <c r="D3080" s="87" t="str">
        <f>VLOOKUP(Tabela1[[#This Row],[Origem]], 'Perguntas 1 a 24'!$J$28:$K$34, 2, 0)</f>
        <v>Sudeste</v>
      </c>
      <c r="E3080" s="87" t="str">
        <f>Tabela1[[#This Row],[Descrição]]&amp;"-"&amp;Tabela1[[#This Row],[Código]]&amp;"/"&amp;Tabela1[[#This Row],[Origem]]</f>
        <v>Tepumuri-P471H553/ES</v>
      </c>
      <c r="F3080" s="88">
        <v>47348</v>
      </c>
      <c r="G3080" s="88" t="str" cm="1">
        <f t="array" ref="G30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AND(F3080&gt;= DATE(2026,1,1), F3080&lt;= DATE(2028, 12, 31), J3080&gt;50000), "Pendente e Caro", AND(F3080&gt;= DATE(2026,1,1), F3080&lt;= DATE(2028, 12, 31), J3080&lt;=50000), "Pendente", F3080&gt;= DATE(2029,1,1), "Não prioeitário")</f>
        <v>Não prioeitário</v>
      </c>
      <c r="H3080" s="89">
        <f>YEAR(Tabela1[[#This Row],[Data de Validade]])</f>
        <v>2029</v>
      </c>
      <c r="I3080" s="89">
        <f>MONTH(Tabela1[[#This Row],[Data de Validade]])</f>
        <v>8</v>
      </c>
      <c r="J3080" s="101">
        <v>53940</v>
      </c>
      <c r="K3080" s="87" t="s">
        <v>9</v>
      </c>
      <c r="L3080" s="108"/>
      <c r="M3080" s="108"/>
      <c r="N3080" s="108" t="str">
        <v>H116P327</v>
      </c>
      <c r="O3080" s="108">
        <f t="shared" si="50"/>
        <v>1</v>
      </c>
      <c r="P3080" s="108"/>
      <c r="Q3080"/>
    </row>
    <row r="3081" spans="1:17" x14ac:dyDescent="0.25">
      <c r="A3081" s="89" t="s">
        <v>5704</v>
      </c>
      <c r="B3081" s="87" t="s">
        <v>5705</v>
      </c>
      <c r="C3081" s="87" t="s">
        <v>12</v>
      </c>
      <c r="D3081" s="87" t="str">
        <f>VLOOKUP(Tabela1[[#This Row],[Origem]], 'Perguntas 1 a 24'!$J$28:$K$34, 2, 0)</f>
        <v>Sudeste</v>
      </c>
      <c r="E3081" s="87" t="str">
        <f>Tabela1[[#This Row],[Descrição]]&amp;"-"&amp;Tabela1[[#This Row],[Código]]&amp;"/"&amp;Tabela1[[#This Row],[Origem]]</f>
        <v>Vuceto-P594P578/RJ</v>
      </c>
      <c r="F3081" s="88">
        <v>47349</v>
      </c>
      <c r="G3081" s="88" t="str" cm="1">
        <f t="array" ref="G30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AND(F3081&gt;= DATE(2026,1,1), F3081&lt;= DATE(2028, 12, 31), J3081&gt;50000), "Pendente e Caro", AND(F3081&gt;= DATE(2026,1,1), F3081&lt;= DATE(2028, 12, 31), J3081&lt;=50000), "Pendente", F3081&gt;= DATE(2029,1,1), "Não prioeitário")</f>
        <v>Não prioeitário</v>
      </c>
      <c r="H3081" s="89">
        <f>YEAR(Tabela1[[#This Row],[Data de Validade]])</f>
        <v>2029</v>
      </c>
      <c r="I3081" s="89">
        <f>MONTH(Tabela1[[#This Row],[Data de Validade]])</f>
        <v>8</v>
      </c>
      <c r="J3081" s="101">
        <v>64780</v>
      </c>
      <c r="K3081" s="87" t="s">
        <v>7</v>
      </c>
      <c r="L3081" s="108"/>
      <c r="M3081" s="108"/>
      <c r="N3081" s="108" t="str">
        <v>H125P478</v>
      </c>
      <c r="O3081" s="108">
        <f t="shared" si="50"/>
        <v>1</v>
      </c>
      <c r="P3081" s="108"/>
      <c r="Q3081"/>
    </row>
    <row r="3082" spans="1:17" x14ac:dyDescent="0.25">
      <c r="A3082" s="89" t="s">
        <v>5638</v>
      </c>
      <c r="B3082" s="87" t="s">
        <v>5639</v>
      </c>
      <c r="C3082" s="87" t="s">
        <v>10</v>
      </c>
      <c r="D3082" s="87" t="str">
        <f>VLOOKUP(Tabela1[[#This Row],[Origem]], 'Perguntas 1 a 24'!$J$28:$K$34, 2, 0)</f>
        <v>Centro-Oeste</v>
      </c>
      <c r="E3082" s="87" t="str">
        <f>Tabela1[[#This Row],[Descrição]]&amp;"-"&amp;Tabela1[[#This Row],[Código]]&amp;"/"&amp;Tabela1[[#This Row],[Origem]]</f>
        <v>Pitogucera-P298P281/GO</v>
      </c>
      <c r="F3082" s="88">
        <v>47349</v>
      </c>
      <c r="G3082" s="88" t="str" cm="1">
        <f t="array" ref="G30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AND(F3082&gt;= DATE(2026,1,1), F3082&lt;= DATE(2028, 12, 31), J3082&gt;50000), "Pendente e Caro", AND(F3082&gt;= DATE(2026,1,1), F3082&lt;= DATE(2028, 12, 31), J3082&lt;=50000), "Pendente", F3082&gt;= DATE(2029,1,1), "Não prioeitário")</f>
        <v>Não prioeitário</v>
      </c>
      <c r="H3082" s="89">
        <f>YEAR(Tabela1[[#This Row],[Data de Validade]])</f>
        <v>2029</v>
      </c>
      <c r="I3082" s="89">
        <f>MONTH(Tabela1[[#This Row],[Data de Validade]])</f>
        <v>8</v>
      </c>
      <c r="J3082" s="101">
        <v>55065</v>
      </c>
      <c r="K3082" s="87" t="s">
        <v>14</v>
      </c>
      <c r="L3082" s="108"/>
      <c r="M3082" s="108"/>
      <c r="N3082" s="108" t="str">
        <v>P977H273</v>
      </c>
      <c r="O3082" s="108">
        <f t="shared" si="50"/>
        <v>1</v>
      </c>
      <c r="P3082" s="108"/>
      <c r="Q3082"/>
    </row>
    <row r="3083" spans="1:17" x14ac:dyDescent="0.25">
      <c r="A3083" s="89" t="s">
        <v>7412</v>
      </c>
      <c r="B3083" s="87" t="s">
        <v>7413</v>
      </c>
      <c r="C3083" s="87" t="s">
        <v>15</v>
      </c>
      <c r="D3083" s="87" t="str">
        <f>VLOOKUP(Tabela1[[#This Row],[Origem]], 'Perguntas 1 a 24'!$J$28:$K$34, 2, 0)</f>
        <v>Sudeste</v>
      </c>
      <c r="E3083" s="87" t="str">
        <f>Tabela1[[#This Row],[Descrição]]&amp;"-"&amp;Tabela1[[#This Row],[Código]]&amp;"/"&amp;Tabela1[[#This Row],[Origem]]</f>
        <v>Torage-P221H966/ES</v>
      </c>
      <c r="F3083" s="88">
        <v>47349</v>
      </c>
      <c r="G3083" s="88" t="str" cm="1">
        <f t="array" ref="G30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AND(F3083&gt;= DATE(2026,1,1), F3083&lt;= DATE(2028, 12, 31), J3083&gt;50000), "Pendente e Caro", AND(F3083&gt;= DATE(2026,1,1), F3083&lt;= DATE(2028, 12, 31), J3083&lt;=50000), "Pendente", F3083&gt;= DATE(2029,1,1), "Não prioeitário")</f>
        <v>Não prioeitário</v>
      </c>
      <c r="H3083" s="89">
        <f>YEAR(Tabela1[[#This Row],[Data de Validade]])</f>
        <v>2029</v>
      </c>
      <c r="I3083" s="89">
        <f>MONTH(Tabela1[[#This Row],[Data de Validade]])</f>
        <v>8</v>
      </c>
      <c r="J3083" s="101">
        <v>35887</v>
      </c>
      <c r="K3083" s="87" t="s">
        <v>7</v>
      </c>
      <c r="L3083" s="108"/>
      <c r="M3083" s="108"/>
      <c r="N3083" s="108" t="str">
        <v>H314H979</v>
      </c>
      <c r="O3083" s="108">
        <f t="shared" si="50"/>
        <v>1</v>
      </c>
      <c r="P3083" s="108"/>
      <c r="Q3083"/>
    </row>
    <row r="3084" spans="1:17" x14ac:dyDescent="0.25">
      <c r="A3084" s="89" t="s">
        <v>4094</v>
      </c>
      <c r="B3084" s="87" t="s">
        <v>4095</v>
      </c>
      <c r="C3084" s="87" t="s">
        <v>13</v>
      </c>
      <c r="D3084" s="87" t="str">
        <f>VLOOKUP(Tabela1[[#This Row],[Origem]], 'Perguntas 1 a 24'!$J$28:$K$34, 2, 0)</f>
        <v>Sudeste</v>
      </c>
      <c r="E3084" s="87" t="str">
        <f>Tabela1[[#This Row],[Descrição]]&amp;"-"&amp;Tabela1[[#This Row],[Código]]&amp;"/"&amp;Tabela1[[#This Row],[Origem]]</f>
        <v>Puranacu-H116P327/SP</v>
      </c>
      <c r="F3084" s="88">
        <v>47351</v>
      </c>
      <c r="G3084" s="88" t="str" cm="1">
        <f t="array" ref="G30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AND(F3084&gt;= DATE(2026,1,1), F3084&lt;= DATE(2028, 12, 31), J3084&gt;50000), "Pendente e Caro", AND(F3084&gt;= DATE(2026,1,1), F3084&lt;= DATE(2028, 12, 31), J3084&lt;=50000), "Pendente", F3084&gt;= DATE(2029,1,1), "Não prioeitário")</f>
        <v>Não prioeitário</v>
      </c>
      <c r="H3084" s="89">
        <f>YEAR(Tabela1[[#This Row],[Data de Validade]])</f>
        <v>2029</v>
      </c>
      <c r="I3084" s="89">
        <f>MONTH(Tabela1[[#This Row],[Data de Validade]])</f>
        <v>8</v>
      </c>
      <c r="J3084" s="101">
        <v>44466</v>
      </c>
      <c r="K3084" s="87" t="s">
        <v>11</v>
      </c>
      <c r="L3084" s="108"/>
      <c r="M3084" s="108"/>
      <c r="N3084" s="108" t="str">
        <v>H986H959</v>
      </c>
      <c r="O3084" s="108">
        <f t="shared" si="50"/>
        <v>1</v>
      </c>
      <c r="P3084" s="108"/>
      <c r="Q3084"/>
    </row>
    <row r="3085" spans="1:17" x14ac:dyDescent="0.25">
      <c r="A3085" s="89" t="s">
        <v>9395</v>
      </c>
      <c r="B3085" s="87" t="s">
        <v>9396</v>
      </c>
      <c r="C3085" s="87" t="s">
        <v>15</v>
      </c>
      <c r="D3085" s="87" t="str">
        <f>VLOOKUP(Tabela1[[#This Row],[Origem]], 'Perguntas 1 a 24'!$J$28:$K$34, 2, 0)</f>
        <v>Sudeste</v>
      </c>
      <c r="E3085" s="87" t="str">
        <f>Tabela1[[#This Row],[Descrição]]&amp;"-"&amp;Tabela1[[#This Row],[Código]]&amp;"/"&amp;Tabela1[[#This Row],[Origem]]</f>
        <v>Mefimu-H125P478/ES</v>
      </c>
      <c r="F3085" s="88">
        <v>47352</v>
      </c>
      <c r="G3085" s="88" t="str" cm="1">
        <f t="array" ref="G30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AND(F3085&gt;= DATE(2026,1,1), F3085&lt;= DATE(2028, 12, 31), J3085&gt;50000), "Pendente e Caro", AND(F3085&gt;= DATE(2026,1,1), F3085&lt;= DATE(2028, 12, 31), J3085&lt;=50000), "Pendente", F3085&gt;= DATE(2029,1,1), "Não prioeitário")</f>
        <v>Não prioeitário</v>
      </c>
      <c r="H3085" s="89">
        <f>YEAR(Tabela1[[#This Row],[Data de Validade]])</f>
        <v>2029</v>
      </c>
      <c r="I3085" s="89">
        <f>MONTH(Tabela1[[#This Row],[Data de Validade]])</f>
        <v>8</v>
      </c>
      <c r="J3085" s="101">
        <v>82101</v>
      </c>
      <c r="K3085" s="87" t="s">
        <v>11</v>
      </c>
      <c r="L3085" s="108"/>
      <c r="M3085" s="108"/>
      <c r="N3085" s="108" t="str">
        <v>P727H979</v>
      </c>
      <c r="O3085" s="108">
        <f t="shared" si="50"/>
        <v>1</v>
      </c>
      <c r="P3085" s="108"/>
      <c r="Q3085"/>
    </row>
    <row r="3086" spans="1:17" x14ac:dyDescent="0.25">
      <c r="A3086" s="89" t="s">
        <v>7070</v>
      </c>
      <c r="B3086" s="87" t="s">
        <v>7071</v>
      </c>
      <c r="C3086" s="87" t="s">
        <v>15</v>
      </c>
      <c r="D3086" s="87" t="str">
        <f>VLOOKUP(Tabela1[[#This Row],[Origem]], 'Perguntas 1 a 24'!$J$28:$K$34, 2, 0)</f>
        <v>Sudeste</v>
      </c>
      <c r="E3086" s="87" t="str">
        <f>Tabela1[[#This Row],[Descrição]]&amp;"-"&amp;Tabela1[[#This Row],[Código]]&amp;"/"&amp;Tabela1[[#This Row],[Origem]]</f>
        <v>Raronu-P977H273/ES</v>
      </c>
      <c r="F3086" s="88">
        <v>47353</v>
      </c>
      <c r="G3086" s="88" t="str" cm="1">
        <f t="array" ref="G30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AND(F3086&gt;= DATE(2026,1,1), F3086&lt;= DATE(2028, 12, 31), J3086&gt;50000), "Pendente e Caro", AND(F3086&gt;= DATE(2026,1,1), F3086&lt;= DATE(2028, 12, 31), J3086&lt;=50000), "Pendente", F3086&gt;= DATE(2029,1,1), "Não prioeitário")</f>
        <v>Não prioeitário</v>
      </c>
      <c r="H3086" s="89">
        <f>YEAR(Tabela1[[#This Row],[Data de Validade]])</f>
        <v>2029</v>
      </c>
      <c r="I3086" s="89">
        <f>MONTH(Tabela1[[#This Row],[Data de Validade]])</f>
        <v>8</v>
      </c>
      <c r="J3086" s="101">
        <v>59476</v>
      </c>
      <c r="K3086" s="87" t="s">
        <v>9</v>
      </c>
      <c r="L3086" s="108"/>
      <c r="M3086" s="108"/>
      <c r="N3086" s="108" t="str">
        <v>H888P892</v>
      </c>
      <c r="O3086" s="108">
        <f t="shared" si="50"/>
        <v>1</v>
      </c>
      <c r="P3086" s="108"/>
      <c r="Q3086"/>
    </row>
    <row r="3087" spans="1:17" x14ac:dyDescent="0.25">
      <c r="A3087" s="89" t="s">
        <v>8657</v>
      </c>
      <c r="B3087" s="87" t="s">
        <v>8658</v>
      </c>
      <c r="C3087" s="87" t="s">
        <v>6</v>
      </c>
      <c r="D3087" s="87" t="str">
        <f>VLOOKUP(Tabela1[[#This Row],[Origem]], 'Perguntas 1 a 24'!$J$28:$K$34, 2, 0)</f>
        <v>Nordeste</v>
      </c>
      <c r="E3087" s="87" t="str">
        <f>Tabela1[[#This Row],[Descrição]]&amp;"-"&amp;Tabela1[[#This Row],[Código]]&amp;"/"&amp;Tabela1[[#This Row],[Origem]]</f>
        <v>Funalaviti-H314H979/MA</v>
      </c>
      <c r="F3087" s="88">
        <v>47354</v>
      </c>
      <c r="G3087" s="88" t="str" cm="1">
        <f t="array" ref="G30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AND(F3087&gt;= DATE(2026,1,1), F3087&lt;= DATE(2028, 12, 31), J3087&gt;50000), "Pendente e Caro", AND(F3087&gt;= DATE(2026,1,1), F3087&lt;= DATE(2028, 12, 31), J3087&lt;=50000), "Pendente", F3087&gt;= DATE(2029,1,1), "Não prioeitário")</f>
        <v>Não prioeitário</v>
      </c>
      <c r="H3087" s="89">
        <f>YEAR(Tabela1[[#This Row],[Data de Validade]])</f>
        <v>2029</v>
      </c>
      <c r="I3087" s="89">
        <f>MONTH(Tabela1[[#This Row],[Data de Validade]])</f>
        <v>8</v>
      </c>
      <c r="J3087" s="101">
        <v>58133</v>
      </c>
      <c r="K3087" s="87" t="s">
        <v>7</v>
      </c>
      <c r="L3087" s="108"/>
      <c r="M3087" s="108"/>
      <c r="N3087" s="108" t="str">
        <v>P561P366</v>
      </c>
      <c r="O3087" s="108">
        <f t="shared" si="50"/>
        <v>1</v>
      </c>
      <c r="P3087" s="108"/>
      <c r="Q3087"/>
    </row>
    <row r="3088" spans="1:17" x14ac:dyDescent="0.25">
      <c r="A3088" s="89" t="s">
        <v>11174</v>
      </c>
      <c r="B3088" s="87" t="s">
        <v>11175</v>
      </c>
      <c r="C3088" s="87" t="s">
        <v>8</v>
      </c>
      <c r="D3088" s="87" t="str">
        <f>VLOOKUP(Tabela1[[#This Row],[Origem]], 'Perguntas 1 a 24'!$J$28:$K$34, 2, 0)</f>
        <v>Nordeste</v>
      </c>
      <c r="E3088" s="87" t="str">
        <f>Tabela1[[#This Row],[Descrição]]&amp;"-"&amp;Tabela1[[#This Row],[Código]]&amp;"/"&amp;Tabela1[[#This Row],[Origem]]</f>
        <v>Tulecapu-H986H959/AL</v>
      </c>
      <c r="F3088" s="88">
        <v>47356</v>
      </c>
      <c r="G3088" s="88" t="str" cm="1">
        <f t="array" ref="G30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AND(F3088&gt;= DATE(2026,1,1), F3088&lt;= DATE(2028, 12, 31), J3088&gt;50000), "Pendente e Caro", AND(F3088&gt;= DATE(2026,1,1), F3088&lt;= DATE(2028, 12, 31), J3088&lt;=50000), "Pendente", F3088&gt;= DATE(2029,1,1), "Não prioeitário")</f>
        <v>Não prioeitário</v>
      </c>
      <c r="H3088" s="89">
        <f>YEAR(Tabela1[[#This Row],[Data de Validade]])</f>
        <v>2029</v>
      </c>
      <c r="I3088" s="89">
        <f>MONTH(Tabela1[[#This Row],[Data de Validade]])</f>
        <v>8</v>
      </c>
      <c r="J3088" s="101">
        <v>97887</v>
      </c>
      <c r="K3088" s="87" t="s">
        <v>9</v>
      </c>
      <c r="L3088" s="108"/>
      <c r="M3088" s="108"/>
      <c r="N3088" s="108" t="str">
        <v>H152H576</v>
      </c>
      <c r="O3088" s="108">
        <f t="shared" si="50"/>
        <v>1</v>
      </c>
      <c r="P3088" s="108"/>
      <c r="Q3088"/>
    </row>
    <row r="3089" spans="1:17" x14ac:dyDescent="0.25">
      <c r="A3089" s="89" t="s">
        <v>5208</v>
      </c>
      <c r="B3089" s="87" t="s">
        <v>5209</v>
      </c>
      <c r="C3089" s="87" t="s">
        <v>15</v>
      </c>
      <c r="D3089" s="87" t="str">
        <f>VLOOKUP(Tabela1[[#This Row],[Origem]], 'Perguntas 1 a 24'!$J$28:$K$34, 2, 0)</f>
        <v>Sudeste</v>
      </c>
      <c r="E3089" s="87" t="str">
        <f>Tabela1[[#This Row],[Descrição]]&amp;"-"&amp;Tabela1[[#This Row],[Código]]&amp;"/"&amp;Tabela1[[#This Row],[Origem]]</f>
        <v>Pefefe-P727H979/ES</v>
      </c>
      <c r="F3089" s="88">
        <v>47356</v>
      </c>
      <c r="G3089" s="88" t="str" cm="1">
        <f t="array" ref="G30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AND(F3089&gt;= DATE(2026,1,1), F3089&lt;= DATE(2028, 12, 31), J3089&gt;50000), "Pendente e Caro", AND(F3089&gt;= DATE(2026,1,1), F3089&lt;= DATE(2028, 12, 31), J3089&lt;=50000), "Pendente", F3089&gt;= DATE(2029,1,1), "Não prioeitário")</f>
        <v>Não prioeitário</v>
      </c>
      <c r="H3089" s="89">
        <f>YEAR(Tabela1[[#This Row],[Data de Validade]])</f>
        <v>2029</v>
      </c>
      <c r="I3089" s="89">
        <f>MONTH(Tabela1[[#This Row],[Data de Validade]])</f>
        <v>8</v>
      </c>
      <c r="J3089" s="101">
        <v>42515</v>
      </c>
      <c r="K3089" s="87" t="s">
        <v>11</v>
      </c>
      <c r="L3089" s="108"/>
      <c r="M3089" s="108"/>
      <c r="N3089" s="108" t="str">
        <v>H536P915</v>
      </c>
      <c r="O3089" s="108">
        <f t="shared" si="50"/>
        <v>1</v>
      </c>
      <c r="P3089" s="108"/>
      <c r="Q3089"/>
    </row>
    <row r="3090" spans="1:17" x14ac:dyDescent="0.25">
      <c r="A3090" s="89" t="s">
        <v>8765</v>
      </c>
      <c r="B3090" s="87" t="s">
        <v>8766</v>
      </c>
      <c r="C3090" s="87" t="s">
        <v>10</v>
      </c>
      <c r="D3090" s="87" t="str">
        <f>VLOOKUP(Tabela1[[#This Row],[Origem]], 'Perguntas 1 a 24'!$J$28:$K$34, 2, 0)</f>
        <v>Centro-Oeste</v>
      </c>
      <c r="E3090" s="87" t="str">
        <f>Tabela1[[#This Row],[Descrição]]&amp;"-"&amp;Tabela1[[#This Row],[Código]]&amp;"/"&amp;Tabela1[[#This Row],[Origem]]</f>
        <v>Gagemovu-H888P892/GO</v>
      </c>
      <c r="F3090" s="88">
        <v>47356</v>
      </c>
      <c r="G3090" s="88" t="str" cm="1">
        <f t="array" ref="G30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AND(F3090&gt;= DATE(2026,1,1), F3090&lt;= DATE(2028, 12, 31), J3090&gt;50000), "Pendente e Caro", AND(F3090&gt;= DATE(2026,1,1), F3090&lt;= DATE(2028, 12, 31), J3090&lt;=50000), "Pendente", F3090&gt;= DATE(2029,1,1), "Não prioeitário")</f>
        <v>Não prioeitário</v>
      </c>
      <c r="H3090" s="89">
        <f>YEAR(Tabela1[[#This Row],[Data de Validade]])</f>
        <v>2029</v>
      </c>
      <c r="I3090" s="89">
        <f>MONTH(Tabela1[[#This Row],[Data de Validade]])</f>
        <v>8</v>
      </c>
      <c r="J3090" s="101">
        <v>31845</v>
      </c>
      <c r="K3090" s="87" t="s">
        <v>14</v>
      </c>
      <c r="L3090" s="108"/>
      <c r="M3090" s="108"/>
      <c r="N3090" s="108" t="str">
        <v>P228P629</v>
      </c>
      <c r="O3090" s="108">
        <f t="shared" si="50"/>
        <v>1</v>
      </c>
      <c r="P3090" s="108"/>
      <c r="Q3090"/>
    </row>
    <row r="3091" spans="1:17" x14ac:dyDescent="0.25">
      <c r="A3091" s="89" t="s">
        <v>10571</v>
      </c>
      <c r="B3091" s="87" t="s">
        <v>10572</v>
      </c>
      <c r="C3091" s="87" t="s">
        <v>6</v>
      </c>
      <c r="D3091" s="87" t="str">
        <f>VLOOKUP(Tabela1[[#This Row],[Origem]], 'Perguntas 1 a 24'!$J$28:$K$34, 2, 0)</f>
        <v>Nordeste</v>
      </c>
      <c r="E3091" s="87" t="str">
        <f>Tabela1[[#This Row],[Descrição]]&amp;"-"&amp;Tabela1[[#This Row],[Código]]&amp;"/"&amp;Tabela1[[#This Row],[Origem]]</f>
        <v>Tameno-P561P366/MA</v>
      </c>
      <c r="F3091" s="88">
        <v>47357</v>
      </c>
      <c r="G3091" s="88" t="str" cm="1">
        <f t="array" ref="G30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AND(F3091&gt;= DATE(2026,1,1), F3091&lt;= DATE(2028, 12, 31), J3091&gt;50000), "Pendente e Caro", AND(F3091&gt;= DATE(2026,1,1), F3091&lt;= DATE(2028, 12, 31), J3091&lt;=50000), "Pendente", F3091&gt;= DATE(2029,1,1), "Não prioeitário")</f>
        <v>Não prioeitário</v>
      </c>
      <c r="H3091" s="89">
        <f>YEAR(Tabela1[[#This Row],[Data de Validade]])</f>
        <v>2029</v>
      </c>
      <c r="I3091" s="89">
        <f>MONTH(Tabela1[[#This Row],[Data de Validade]])</f>
        <v>8</v>
      </c>
      <c r="J3091" s="101">
        <v>112278</v>
      </c>
      <c r="K3091" s="87" t="s">
        <v>11</v>
      </c>
      <c r="L3091" s="108"/>
      <c r="M3091" s="108"/>
      <c r="N3091" s="108" t="str">
        <v>H979P382</v>
      </c>
      <c r="O3091" s="108">
        <f t="shared" si="50"/>
        <v>1</v>
      </c>
      <c r="P3091" s="108"/>
      <c r="Q3091"/>
    </row>
    <row r="3092" spans="1:17" x14ac:dyDescent="0.25">
      <c r="A3092" s="89" t="s">
        <v>9253</v>
      </c>
      <c r="B3092" s="87" t="s">
        <v>9254</v>
      </c>
      <c r="C3092" s="87" t="s">
        <v>12</v>
      </c>
      <c r="D3092" s="87" t="str">
        <f>VLOOKUP(Tabela1[[#This Row],[Origem]], 'Perguntas 1 a 24'!$J$28:$K$34, 2, 0)</f>
        <v>Sudeste</v>
      </c>
      <c r="E3092" s="87" t="str">
        <f>Tabela1[[#This Row],[Descrição]]&amp;"-"&amp;Tabela1[[#This Row],[Código]]&amp;"/"&amp;Tabela1[[#This Row],[Origem]]</f>
        <v>Muteregina-H152H576/RJ</v>
      </c>
      <c r="F3092" s="88">
        <v>47357</v>
      </c>
      <c r="G3092" s="88" t="str" cm="1">
        <f t="array" ref="G30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AND(F3092&gt;= DATE(2026,1,1), F3092&lt;= DATE(2028, 12, 31), J3092&gt;50000), "Pendente e Caro", AND(F3092&gt;= DATE(2026,1,1), F3092&lt;= DATE(2028, 12, 31), J3092&lt;=50000), "Pendente", F3092&gt;= DATE(2029,1,1), "Não prioeitário")</f>
        <v>Não prioeitário</v>
      </c>
      <c r="H3092" s="89">
        <f>YEAR(Tabela1[[#This Row],[Data de Validade]])</f>
        <v>2029</v>
      </c>
      <c r="I3092" s="89">
        <f>MONTH(Tabela1[[#This Row],[Data de Validade]])</f>
        <v>8</v>
      </c>
      <c r="J3092" s="101">
        <v>64710</v>
      </c>
      <c r="K3092" s="87" t="s">
        <v>7</v>
      </c>
      <c r="L3092" s="108"/>
      <c r="M3092" s="108"/>
      <c r="N3092" s="108" t="str">
        <v>P376P441</v>
      </c>
      <c r="O3092" s="108">
        <f t="shared" si="50"/>
        <v>1</v>
      </c>
      <c r="P3092" s="108"/>
      <c r="Q3092"/>
    </row>
    <row r="3093" spans="1:17" x14ac:dyDescent="0.25">
      <c r="A3093" s="89" t="s">
        <v>8557</v>
      </c>
      <c r="B3093" s="87" t="s">
        <v>8558</v>
      </c>
      <c r="C3093" s="87" t="s">
        <v>15</v>
      </c>
      <c r="D3093" s="87" t="str">
        <f>VLOOKUP(Tabela1[[#This Row],[Origem]], 'Perguntas 1 a 24'!$J$28:$K$34, 2, 0)</f>
        <v>Sudeste</v>
      </c>
      <c r="E3093" s="87" t="str">
        <f>Tabela1[[#This Row],[Descrição]]&amp;"-"&amp;Tabela1[[#This Row],[Código]]&amp;"/"&amp;Tabela1[[#This Row],[Origem]]</f>
        <v>Tafuvale-H536P915/ES</v>
      </c>
      <c r="F3093" s="88">
        <v>47357</v>
      </c>
      <c r="G3093" s="88" t="str" cm="1">
        <f t="array" ref="G30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AND(F3093&gt;= DATE(2026,1,1), F3093&lt;= DATE(2028, 12, 31), J3093&gt;50000), "Pendente e Caro", AND(F3093&gt;= DATE(2026,1,1), F3093&lt;= DATE(2028, 12, 31), J3093&lt;=50000), "Pendente", F3093&gt;= DATE(2029,1,1), "Não prioeitário")</f>
        <v>Não prioeitário</v>
      </c>
      <c r="H3093" s="89">
        <f>YEAR(Tabela1[[#This Row],[Data de Validade]])</f>
        <v>2029</v>
      </c>
      <c r="I3093" s="89">
        <f>MONTH(Tabela1[[#This Row],[Data de Validade]])</f>
        <v>8</v>
      </c>
      <c r="J3093" s="101">
        <v>25791</v>
      </c>
      <c r="K3093" s="87" t="s">
        <v>11</v>
      </c>
      <c r="L3093" s="108"/>
      <c r="M3093" s="108"/>
      <c r="N3093" s="108" t="str">
        <v>H326H898</v>
      </c>
      <c r="O3093" s="108">
        <f t="shared" si="50"/>
        <v>1</v>
      </c>
      <c r="P3093" s="108"/>
      <c r="Q3093"/>
    </row>
    <row r="3094" spans="1:17" x14ac:dyDescent="0.25">
      <c r="A3094" s="89" t="s">
        <v>8140</v>
      </c>
      <c r="B3094" s="87" t="s">
        <v>8141</v>
      </c>
      <c r="C3094" s="87" t="s">
        <v>16</v>
      </c>
      <c r="D3094" s="87" t="str">
        <f>VLOOKUP(Tabela1[[#This Row],[Origem]], 'Perguntas 1 a 24'!$J$28:$K$34, 2, 0)</f>
        <v>Sudeste</v>
      </c>
      <c r="E3094" s="87" t="str">
        <f>Tabela1[[#This Row],[Descrição]]&amp;"-"&amp;Tabela1[[#This Row],[Código]]&amp;"/"&amp;Tabela1[[#This Row],[Origem]]</f>
        <v>Picupideta-P228P629/MG</v>
      </c>
      <c r="F3094" s="88">
        <v>47358</v>
      </c>
      <c r="G3094" s="88" t="str" cm="1">
        <f t="array" ref="G30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AND(F3094&gt;= DATE(2026,1,1), F3094&lt;= DATE(2028, 12, 31), J3094&gt;50000), "Pendente e Caro", AND(F3094&gt;= DATE(2026,1,1), F3094&lt;= DATE(2028, 12, 31), J3094&lt;=50000), "Pendente", F3094&gt;= DATE(2029,1,1), "Não prioeitário")</f>
        <v>Não prioeitário</v>
      </c>
      <c r="H3094" s="89">
        <f>YEAR(Tabela1[[#This Row],[Data de Validade]])</f>
        <v>2029</v>
      </c>
      <c r="I3094" s="89">
        <f>MONTH(Tabela1[[#This Row],[Data de Validade]])</f>
        <v>8</v>
      </c>
      <c r="J3094" s="101">
        <v>87722</v>
      </c>
      <c r="K3094" s="87" t="s">
        <v>9</v>
      </c>
      <c r="L3094" s="108"/>
      <c r="M3094" s="108"/>
      <c r="N3094" s="108" t="str">
        <v>H724H675</v>
      </c>
      <c r="O3094" s="108">
        <f t="shared" si="50"/>
        <v>1</v>
      </c>
      <c r="P3094" s="108"/>
      <c r="Q3094"/>
    </row>
    <row r="3095" spans="1:17" x14ac:dyDescent="0.25">
      <c r="A3095" s="89" t="s">
        <v>8472</v>
      </c>
      <c r="B3095" s="87" t="s">
        <v>8473</v>
      </c>
      <c r="C3095" s="87" t="s">
        <v>16</v>
      </c>
      <c r="D3095" s="87" t="str">
        <f>VLOOKUP(Tabela1[[#This Row],[Origem]], 'Perguntas 1 a 24'!$J$28:$K$34, 2, 0)</f>
        <v>Sudeste</v>
      </c>
      <c r="E3095" s="87" t="str">
        <f>Tabela1[[#This Row],[Descrição]]&amp;"-"&amp;Tabela1[[#This Row],[Código]]&amp;"/"&amp;Tabela1[[#This Row],[Origem]]</f>
        <v>Nogure-H979P382/MG</v>
      </c>
      <c r="F3095" s="88">
        <v>47358</v>
      </c>
      <c r="G3095" s="88" t="str" cm="1">
        <f t="array" ref="G30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AND(F3095&gt;= DATE(2026,1,1), F3095&lt;= DATE(2028, 12, 31), J3095&gt;50000), "Pendente e Caro", AND(F3095&gt;= DATE(2026,1,1), F3095&lt;= DATE(2028, 12, 31), J3095&lt;=50000), "Pendente", F3095&gt;= DATE(2029,1,1), "Não prioeitário")</f>
        <v>Não prioeitário</v>
      </c>
      <c r="H3095" s="89">
        <f>YEAR(Tabela1[[#This Row],[Data de Validade]])</f>
        <v>2029</v>
      </c>
      <c r="I3095" s="89">
        <f>MONTH(Tabela1[[#This Row],[Data de Validade]])</f>
        <v>8</v>
      </c>
      <c r="J3095" s="101">
        <v>61388</v>
      </c>
      <c r="K3095" s="87" t="s">
        <v>9</v>
      </c>
      <c r="L3095" s="108"/>
      <c r="M3095" s="108"/>
      <c r="N3095" s="108" t="str">
        <v>P865H759</v>
      </c>
      <c r="O3095" s="108">
        <f t="shared" si="50"/>
        <v>1</v>
      </c>
      <c r="P3095" s="108"/>
      <c r="Q3095"/>
    </row>
    <row r="3096" spans="1:17" x14ac:dyDescent="0.25">
      <c r="A3096" s="89" t="s">
        <v>10131</v>
      </c>
      <c r="B3096" s="87" t="s">
        <v>10132</v>
      </c>
      <c r="C3096" s="87" t="s">
        <v>15</v>
      </c>
      <c r="D3096" s="87" t="str">
        <f>VLOOKUP(Tabela1[[#This Row],[Origem]], 'Perguntas 1 a 24'!$J$28:$K$34, 2, 0)</f>
        <v>Sudeste</v>
      </c>
      <c r="E3096" s="87" t="str">
        <f>Tabela1[[#This Row],[Descrição]]&amp;"-"&amp;Tabela1[[#This Row],[Código]]&amp;"/"&amp;Tabela1[[#This Row],[Origem]]</f>
        <v>Fuporegico-P376P441/ES</v>
      </c>
      <c r="F3096" s="88">
        <v>47359</v>
      </c>
      <c r="G3096" s="88" t="str" cm="1">
        <f t="array" ref="G30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AND(F3096&gt;= DATE(2026,1,1), F3096&lt;= DATE(2028, 12, 31), J3096&gt;50000), "Pendente e Caro", AND(F3096&gt;= DATE(2026,1,1), F3096&lt;= DATE(2028, 12, 31), J3096&lt;=50000), "Pendente", F3096&gt;= DATE(2029,1,1), "Não prioeitário")</f>
        <v>Não prioeitário</v>
      </c>
      <c r="H3096" s="89">
        <f>YEAR(Tabela1[[#This Row],[Data de Validade]])</f>
        <v>2029</v>
      </c>
      <c r="I3096" s="89">
        <f>MONTH(Tabela1[[#This Row],[Data de Validade]])</f>
        <v>8</v>
      </c>
      <c r="J3096" s="101">
        <v>42952</v>
      </c>
      <c r="K3096" s="87" t="s">
        <v>7</v>
      </c>
      <c r="L3096" s="108"/>
      <c r="M3096" s="108"/>
      <c r="N3096" s="108" t="str">
        <v>P653H788</v>
      </c>
      <c r="O3096" s="108">
        <f t="shared" si="50"/>
        <v>1</v>
      </c>
      <c r="P3096" s="108"/>
      <c r="Q3096"/>
    </row>
    <row r="3097" spans="1:17" x14ac:dyDescent="0.25">
      <c r="A3097" s="89" t="s">
        <v>10011</v>
      </c>
      <c r="B3097" s="87" t="s">
        <v>10012</v>
      </c>
      <c r="C3097" s="87" t="s">
        <v>10</v>
      </c>
      <c r="D3097" s="87" t="str">
        <f>VLOOKUP(Tabela1[[#This Row],[Origem]], 'Perguntas 1 a 24'!$J$28:$K$34, 2, 0)</f>
        <v>Centro-Oeste</v>
      </c>
      <c r="E3097" s="87" t="str">
        <f>Tabela1[[#This Row],[Descrição]]&amp;"-"&amp;Tabela1[[#This Row],[Código]]&amp;"/"&amp;Tabela1[[#This Row],[Origem]]</f>
        <v>Panepupi-H326H898/GO</v>
      </c>
      <c r="F3097" s="88">
        <v>47361</v>
      </c>
      <c r="G3097" s="88" t="str" cm="1">
        <f t="array" ref="G30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AND(F3097&gt;= DATE(2026,1,1), F3097&lt;= DATE(2028, 12, 31), J3097&gt;50000), "Pendente e Caro", AND(F3097&gt;= DATE(2026,1,1), F3097&lt;= DATE(2028, 12, 31), J3097&lt;=50000), "Pendente", F3097&gt;= DATE(2029,1,1), "Não prioeitário")</f>
        <v>Não prioeitário</v>
      </c>
      <c r="H3097" s="89">
        <f>YEAR(Tabela1[[#This Row],[Data de Validade]])</f>
        <v>2029</v>
      </c>
      <c r="I3097" s="89">
        <f>MONTH(Tabela1[[#This Row],[Data de Validade]])</f>
        <v>8</v>
      </c>
      <c r="J3097" s="101">
        <v>100603</v>
      </c>
      <c r="K3097" s="87" t="s">
        <v>9</v>
      </c>
      <c r="L3097" s="108"/>
      <c r="M3097" s="108"/>
      <c r="N3097" s="108" t="str">
        <v>P799H963</v>
      </c>
      <c r="O3097" s="108">
        <f t="shared" si="50"/>
        <v>1</v>
      </c>
      <c r="P3097" s="108"/>
      <c r="Q3097"/>
    </row>
    <row r="3098" spans="1:17" x14ac:dyDescent="0.25">
      <c r="A3098" s="89" t="s">
        <v>7416</v>
      </c>
      <c r="B3098" s="87" t="s">
        <v>7417</v>
      </c>
      <c r="C3098" s="87" t="s">
        <v>8</v>
      </c>
      <c r="D3098" s="87" t="str">
        <f>VLOOKUP(Tabela1[[#This Row],[Origem]], 'Perguntas 1 a 24'!$J$28:$K$34, 2, 0)</f>
        <v>Nordeste</v>
      </c>
      <c r="E3098" s="87" t="str">
        <f>Tabela1[[#This Row],[Descrição]]&amp;"-"&amp;Tabela1[[#This Row],[Código]]&amp;"/"&amp;Tabela1[[#This Row],[Origem]]</f>
        <v>Popuditoto-H724H675/AL</v>
      </c>
      <c r="F3098" s="88">
        <v>47361</v>
      </c>
      <c r="G3098" s="88" t="str" cm="1">
        <f t="array" ref="G30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AND(F3098&gt;= DATE(2026,1,1), F3098&lt;= DATE(2028, 12, 31), J3098&gt;50000), "Pendente e Caro", AND(F3098&gt;= DATE(2026,1,1), F3098&lt;= DATE(2028, 12, 31), J3098&lt;=50000), "Pendente", F3098&gt;= DATE(2029,1,1), "Não prioeitário")</f>
        <v>Não prioeitário</v>
      </c>
      <c r="H3098" s="89">
        <f>YEAR(Tabela1[[#This Row],[Data de Validade]])</f>
        <v>2029</v>
      </c>
      <c r="I3098" s="89">
        <f>MONTH(Tabela1[[#This Row],[Data de Validade]])</f>
        <v>8</v>
      </c>
      <c r="J3098" s="101">
        <v>97992</v>
      </c>
      <c r="K3098" s="87" t="s">
        <v>14</v>
      </c>
      <c r="L3098" s="108"/>
      <c r="M3098" s="108"/>
      <c r="N3098" s="108" t="str">
        <v>P864H892</v>
      </c>
      <c r="O3098" s="108">
        <f t="shared" si="50"/>
        <v>1</v>
      </c>
      <c r="P3098" s="108"/>
      <c r="Q3098"/>
    </row>
    <row r="3099" spans="1:17" x14ac:dyDescent="0.25">
      <c r="A3099" s="89" t="s">
        <v>7554</v>
      </c>
      <c r="B3099" s="87" t="s">
        <v>7555</v>
      </c>
      <c r="C3099" s="87" t="s">
        <v>15</v>
      </c>
      <c r="D3099" s="87" t="str">
        <f>VLOOKUP(Tabela1[[#This Row],[Origem]], 'Perguntas 1 a 24'!$J$28:$K$34, 2, 0)</f>
        <v>Sudeste</v>
      </c>
      <c r="E3099" s="87" t="str">
        <f>Tabela1[[#This Row],[Descrição]]&amp;"-"&amp;Tabela1[[#This Row],[Código]]&amp;"/"&amp;Tabela1[[#This Row],[Origem]]</f>
        <v>Pururuce-P865H759/ES</v>
      </c>
      <c r="F3099" s="88">
        <v>47361</v>
      </c>
      <c r="G3099" s="88" t="str" cm="1">
        <f t="array" ref="G30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AND(F3099&gt;= DATE(2026,1,1), F3099&lt;= DATE(2028, 12, 31), J3099&gt;50000), "Pendente e Caro", AND(F3099&gt;= DATE(2026,1,1), F3099&lt;= DATE(2028, 12, 31), J3099&lt;=50000), "Pendente", F3099&gt;= DATE(2029,1,1), "Não prioeitário")</f>
        <v>Não prioeitário</v>
      </c>
      <c r="H3099" s="89">
        <f>YEAR(Tabela1[[#This Row],[Data de Validade]])</f>
        <v>2029</v>
      </c>
      <c r="I3099" s="89">
        <f>MONTH(Tabela1[[#This Row],[Data de Validade]])</f>
        <v>8</v>
      </c>
      <c r="J3099" s="101">
        <v>60456</v>
      </c>
      <c r="K3099" s="87" t="s">
        <v>11</v>
      </c>
      <c r="L3099" s="108"/>
      <c r="M3099" s="108"/>
      <c r="N3099" s="108" t="str">
        <v>H166H448</v>
      </c>
      <c r="O3099" s="108">
        <f t="shared" si="50"/>
        <v>1</v>
      </c>
      <c r="P3099" s="108"/>
      <c r="Q3099"/>
    </row>
    <row r="3100" spans="1:17" x14ac:dyDescent="0.25">
      <c r="A3100" s="89" t="s">
        <v>3710</v>
      </c>
      <c r="B3100" s="87" t="s">
        <v>3711</v>
      </c>
      <c r="C3100" s="87" t="s">
        <v>6</v>
      </c>
      <c r="D3100" s="87" t="str">
        <f>VLOOKUP(Tabela1[[#This Row],[Origem]], 'Perguntas 1 a 24'!$J$28:$K$34, 2, 0)</f>
        <v>Nordeste</v>
      </c>
      <c r="E3100" s="87" t="str">
        <f>Tabela1[[#This Row],[Descrição]]&amp;"-"&amp;Tabela1[[#This Row],[Código]]&amp;"/"&amp;Tabela1[[#This Row],[Origem]]</f>
        <v>Pocuro-P653H788/MA</v>
      </c>
      <c r="F3100" s="88">
        <v>47361</v>
      </c>
      <c r="G3100" s="88" t="str" cm="1">
        <f t="array" ref="G31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AND(F3100&gt;= DATE(2026,1,1), F3100&lt;= DATE(2028, 12, 31), J3100&gt;50000), "Pendente e Caro", AND(F3100&gt;= DATE(2026,1,1), F3100&lt;= DATE(2028, 12, 31), J3100&lt;=50000), "Pendente", F3100&gt;= DATE(2029,1,1), "Não prioeitário")</f>
        <v>Não prioeitário</v>
      </c>
      <c r="H3100" s="89">
        <f>YEAR(Tabela1[[#This Row],[Data de Validade]])</f>
        <v>2029</v>
      </c>
      <c r="I3100" s="89">
        <f>MONTH(Tabela1[[#This Row],[Data de Validade]])</f>
        <v>8</v>
      </c>
      <c r="J3100" s="101">
        <v>56019</v>
      </c>
      <c r="K3100" s="87" t="s">
        <v>11</v>
      </c>
      <c r="L3100" s="108"/>
      <c r="M3100" s="108"/>
      <c r="N3100" s="108" t="str">
        <v>P665H764</v>
      </c>
      <c r="O3100" s="108">
        <f t="shared" si="50"/>
        <v>1</v>
      </c>
      <c r="P3100" s="108"/>
      <c r="Q3100"/>
    </row>
    <row r="3101" spans="1:17" x14ac:dyDescent="0.25">
      <c r="A3101" s="89" t="s">
        <v>3754</v>
      </c>
      <c r="B3101" s="87" t="s">
        <v>3755</v>
      </c>
      <c r="C3101" s="87" t="s">
        <v>15</v>
      </c>
      <c r="D3101" s="87" t="str">
        <f>VLOOKUP(Tabela1[[#This Row],[Origem]], 'Perguntas 1 a 24'!$J$28:$K$34, 2, 0)</f>
        <v>Sudeste</v>
      </c>
      <c r="E3101" s="87" t="str">
        <f>Tabela1[[#This Row],[Descrição]]&amp;"-"&amp;Tabela1[[#This Row],[Código]]&amp;"/"&amp;Tabela1[[#This Row],[Origem]]</f>
        <v>Tivorope-P799H963/ES</v>
      </c>
      <c r="F3101" s="88">
        <v>47362</v>
      </c>
      <c r="G3101" s="88" t="str" cm="1">
        <f t="array" ref="G31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AND(F3101&gt;= DATE(2026,1,1), F3101&lt;= DATE(2028, 12, 31), J3101&gt;50000), "Pendente e Caro", AND(F3101&gt;= DATE(2026,1,1), F3101&lt;= DATE(2028, 12, 31), J3101&lt;=50000), "Pendente", F3101&gt;= DATE(2029,1,1), "Não prioeitário")</f>
        <v>Não prioeitário</v>
      </c>
      <c r="H3101" s="89">
        <f>YEAR(Tabela1[[#This Row],[Data de Validade]])</f>
        <v>2029</v>
      </c>
      <c r="I3101" s="89">
        <f>MONTH(Tabela1[[#This Row],[Data de Validade]])</f>
        <v>9</v>
      </c>
      <c r="J3101" s="101">
        <v>82039</v>
      </c>
      <c r="K3101" s="87" t="s">
        <v>14</v>
      </c>
      <c r="L3101" s="108"/>
      <c r="M3101" s="108"/>
      <c r="N3101" s="108" t="str">
        <v>P897P248</v>
      </c>
      <c r="O3101" s="108">
        <f t="shared" si="50"/>
        <v>1</v>
      </c>
      <c r="P3101" s="108"/>
      <c r="Q3101"/>
    </row>
    <row r="3102" spans="1:17" x14ac:dyDescent="0.25">
      <c r="A3102" s="89" t="s">
        <v>10397</v>
      </c>
      <c r="B3102" s="87" t="s">
        <v>10398</v>
      </c>
      <c r="C3102" s="87" t="s">
        <v>8</v>
      </c>
      <c r="D3102" s="87" t="str">
        <f>VLOOKUP(Tabela1[[#This Row],[Origem]], 'Perguntas 1 a 24'!$J$28:$K$34, 2, 0)</f>
        <v>Nordeste</v>
      </c>
      <c r="E3102" s="87" t="str">
        <f>Tabela1[[#This Row],[Descrição]]&amp;"-"&amp;Tabela1[[#This Row],[Código]]&amp;"/"&amp;Tabela1[[#This Row],[Origem]]</f>
        <v>Ciloropo-P864H892/AL</v>
      </c>
      <c r="F3102" s="88">
        <v>47363</v>
      </c>
      <c r="G3102" s="88" t="str" cm="1">
        <f t="array" ref="G31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AND(F3102&gt;= DATE(2026,1,1), F3102&lt;= DATE(2028, 12, 31), J3102&gt;50000), "Pendente e Caro", AND(F3102&gt;= DATE(2026,1,1), F3102&lt;= DATE(2028, 12, 31), J3102&lt;=50000), "Pendente", F3102&gt;= DATE(2029,1,1), "Não prioeitário")</f>
        <v>Não prioeitário</v>
      </c>
      <c r="H3102" s="89">
        <f>YEAR(Tabela1[[#This Row],[Data de Validade]])</f>
        <v>2029</v>
      </c>
      <c r="I3102" s="89">
        <f>MONTH(Tabela1[[#This Row],[Data de Validade]])</f>
        <v>9</v>
      </c>
      <c r="J3102" s="101">
        <v>85662</v>
      </c>
      <c r="K3102" s="87" t="s">
        <v>7</v>
      </c>
      <c r="L3102" s="108"/>
      <c r="M3102" s="108"/>
      <c r="N3102" s="108" t="str">
        <v>H588H233</v>
      </c>
      <c r="O3102" s="108">
        <f t="shared" si="50"/>
        <v>1</v>
      </c>
      <c r="P3102" s="108"/>
      <c r="Q3102"/>
    </row>
    <row r="3103" spans="1:17" x14ac:dyDescent="0.25">
      <c r="A3103" s="89" t="s">
        <v>7118</v>
      </c>
      <c r="B3103" s="87" t="s">
        <v>7119</v>
      </c>
      <c r="C3103" s="87" t="s">
        <v>16</v>
      </c>
      <c r="D3103" s="87" t="str">
        <f>VLOOKUP(Tabela1[[#This Row],[Origem]], 'Perguntas 1 a 24'!$J$28:$K$34, 2, 0)</f>
        <v>Sudeste</v>
      </c>
      <c r="E3103" s="87" t="str">
        <f>Tabela1[[#This Row],[Descrição]]&amp;"-"&amp;Tabela1[[#This Row],[Código]]&amp;"/"&amp;Tabela1[[#This Row],[Origem]]</f>
        <v>Podirore-H166H448/MG</v>
      </c>
      <c r="F3103" s="88">
        <v>47365</v>
      </c>
      <c r="G3103" s="88" t="str" cm="1">
        <f t="array" ref="G31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AND(F3103&gt;= DATE(2026,1,1), F3103&lt;= DATE(2028, 12, 31), J3103&gt;50000), "Pendente e Caro", AND(F3103&gt;= DATE(2026,1,1), F3103&lt;= DATE(2028, 12, 31), J3103&lt;=50000), "Pendente", F3103&gt;= DATE(2029,1,1), "Não prioeitário")</f>
        <v>Não prioeitário</v>
      </c>
      <c r="H3103" s="89">
        <f>YEAR(Tabela1[[#This Row],[Data de Validade]])</f>
        <v>2029</v>
      </c>
      <c r="I3103" s="89">
        <f>MONTH(Tabela1[[#This Row],[Data de Validade]])</f>
        <v>9</v>
      </c>
      <c r="J3103" s="101">
        <v>111369</v>
      </c>
      <c r="K3103" s="87" t="s">
        <v>11</v>
      </c>
      <c r="L3103" s="108"/>
      <c r="M3103" s="108"/>
      <c r="N3103" s="108" t="str">
        <v>H792P743</v>
      </c>
      <c r="O3103" s="108">
        <f t="shared" si="50"/>
        <v>1</v>
      </c>
      <c r="P3103" s="108"/>
      <c r="Q3103"/>
    </row>
    <row r="3104" spans="1:17" x14ac:dyDescent="0.25">
      <c r="A3104" s="89" t="s">
        <v>4313</v>
      </c>
      <c r="B3104" s="87" t="s">
        <v>4314</v>
      </c>
      <c r="C3104" s="87" t="s">
        <v>8</v>
      </c>
      <c r="D3104" s="87" t="str">
        <f>VLOOKUP(Tabela1[[#This Row],[Origem]], 'Perguntas 1 a 24'!$J$28:$K$34, 2, 0)</f>
        <v>Nordeste</v>
      </c>
      <c r="E3104" s="87" t="str">
        <f>Tabela1[[#This Row],[Descrição]]&amp;"-"&amp;Tabela1[[#This Row],[Código]]&amp;"/"&amp;Tabela1[[#This Row],[Origem]]</f>
        <v>Dididufopo-P665H764/AL</v>
      </c>
      <c r="F3104" s="88">
        <v>47365</v>
      </c>
      <c r="G3104" s="88" t="str" cm="1">
        <f t="array" ref="G31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AND(F3104&gt;= DATE(2026,1,1), F3104&lt;= DATE(2028, 12, 31), J3104&gt;50000), "Pendente e Caro", AND(F3104&gt;= DATE(2026,1,1), F3104&lt;= DATE(2028, 12, 31), J3104&lt;=50000), "Pendente", F3104&gt;= DATE(2029,1,1), "Não prioeitário")</f>
        <v>Não prioeitário</v>
      </c>
      <c r="H3104" s="89">
        <f>YEAR(Tabela1[[#This Row],[Data de Validade]])</f>
        <v>2029</v>
      </c>
      <c r="I3104" s="89">
        <f>MONTH(Tabela1[[#This Row],[Data de Validade]])</f>
        <v>9</v>
      </c>
      <c r="J3104" s="101">
        <v>79138</v>
      </c>
      <c r="K3104" s="87" t="s">
        <v>14</v>
      </c>
      <c r="L3104" s="108"/>
      <c r="M3104" s="108"/>
      <c r="N3104" s="108" t="str">
        <v>P636H897</v>
      </c>
      <c r="O3104" s="108">
        <f t="shared" si="50"/>
        <v>1</v>
      </c>
      <c r="P3104" s="108"/>
      <c r="Q3104"/>
    </row>
    <row r="3105" spans="1:17" x14ac:dyDescent="0.25">
      <c r="A3105" s="89" t="s">
        <v>5778</v>
      </c>
      <c r="B3105" s="87" t="s">
        <v>5779</v>
      </c>
      <c r="C3105" s="87" t="s">
        <v>16</v>
      </c>
      <c r="D3105" s="87" t="str">
        <f>VLOOKUP(Tabela1[[#This Row],[Origem]], 'Perguntas 1 a 24'!$J$28:$K$34, 2, 0)</f>
        <v>Sudeste</v>
      </c>
      <c r="E3105" s="87" t="str">
        <f>Tabela1[[#This Row],[Descrição]]&amp;"-"&amp;Tabela1[[#This Row],[Código]]&amp;"/"&amp;Tabela1[[#This Row],[Origem]]</f>
        <v>Tevata-P897P248/MG</v>
      </c>
      <c r="F3105" s="88">
        <v>47365</v>
      </c>
      <c r="G3105" s="88" t="str" cm="1">
        <f t="array" ref="G31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AND(F3105&gt;= DATE(2026,1,1), F3105&lt;= DATE(2028, 12, 31), J3105&gt;50000), "Pendente e Caro", AND(F3105&gt;= DATE(2026,1,1), F3105&lt;= DATE(2028, 12, 31), J3105&lt;=50000), "Pendente", F3105&gt;= DATE(2029,1,1), "Não prioeitário")</f>
        <v>Não prioeitário</v>
      </c>
      <c r="H3105" s="89">
        <f>YEAR(Tabela1[[#This Row],[Data de Validade]])</f>
        <v>2029</v>
      </c>
      <c r="I3105" s="89">
        <f>MONTH(Tabela1[[#This Row],[Data de Validade]])</f>
        <v>9</v>
      </c>
      <c r="J3105" s="101">
        <v>27629</v>
      </c>
      <c r="K3105" s="87" t="s">
        <v>7</v>
      </c>
      <c r="L3105" s="108"/>
      <c r="M3105" s="108"/>
      <c r="N3105" s="108" t="str">
        <v>H669P474</v>
      </c>
      <c r="O3105" s="108">
        <f t="shared" si="50"/>
        <v>1</v>
      </c>
      <c r="P3105" s="108"/>
      <c r="Q3105"/>
    </row>
    <row r="3106" spans="1:17" x14ac:dyDescent="0.25">
      <c r="A3106" s="89" t="s">
        <v>5834</v>
      </c>
      <c r="B3106" s="87" t="s">
        <v>5835</v>
      </c>
      <c r="C3106" s="87" t="s">
        <v>8</v>
      </c>
      <c r="D3106" s="87" t="str">
        <f>VLOOKUP(Tabela1[[#This Row],[Origem]], 'Perguntas 1 a 24'!$J$28:$K$34, 2, 0)</f>
        <v>Nordeste</v>
      </c>
      <c r="E3106" s="87" t="str">
        <f>Tabela1[[#This Row],[Descrição]]&amp;"-"&amp;Tabela1[[#This Row],[Código]]&amp;"/"&amp;Tabela1[[#This Row],[Origem]]</f>
        <v>Locaguviro-H588H233/AL</v>
      </c>
      <c r="F3106" s="88">
        <v>47366</v>
      </c>
      <c r="G3106" s="88" t="str" cm="1">
        <f t="array" ref="G31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AND(F3106&gt;= DATE(2026,1,1), F3106&lt;= DATE(2028, 12, 31), J3106&gt;50000), "Pendente e Caro", AND(F3106&gt;= DATE(2026,1,1), F3106&lt;= DATE(2028, 12, 31), J3106&lt;=50000), "Pendente", F3106&gt;= DATE(2029,1,1), "Não prioeitário")</f>
        <v>Não prioeitário</v>
      </c>
      <c r="H3106" s="89">
        <f>YEAR(Tabela1[[#This Row],[Data de Validade]])</f>
        <v>2029</v>
      </c>
      <c r="I3106" s="89">
        <f>MONTH(Tabela1[[#This Row],[Data de Validade]])</f>
        <v>9</v>
      </c>
      <c r="J3106" s="101">
        <v>96852</v>
      </c>
      <c r="K3106" s="87" t="s">
        <v>14</v>
      </c>
      <c r="L3106" s="108"/>
      <c r="M3106" s="108"/>
      <c r="N3106" s="108" t="str">
        <v>H224H544</v>
      </c>
      <c r="O3106" s="108">
        <f t="shared" si="50"/>
        <v>1</v>
      </c>
      <c r="P3106" s="108"/>
      <c r="Q3106"/>
    </row>
    <row r="3107" spans="1:17" x14ac:dyDescent="0.25">
      <c r="A3107" s="89" t="s">
        <v>4522</v>
      </c>
      <c r="B3107" s="87" t="s">
        <v>4523</v>
      </c>
      <c r="C3107" s="87" t="s">
        <v>6</v>
      </c>
      <c r="D3107" s="87" t="str">
        <f>VLOOKUP(Tabela1[[#This Row],[Origem]], 'Perguntas 1 a 24'!$J$28:$K$34, 2, 0)</f>
        <v>Nordeste</v>
      </c>
      <c r="E3107" s="87" t="str">
        <f>Tabela1[[#This Row],[Descrição]]&amp;"-"&amp;Tabela1[[#This Row],[Código]]&amp;"/"&amp;Tabela1[[#This Row],[Origem]]</f>
        <v>Lotepetoce-H792P743/MA</v>
      </c>
      <c r="F3107" s="88">
        <v>47366</v>
      </c>
      <c r="G3107" s="88" t="str" cm="1">
        <f t="array" ref="G31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AND(F3107&gt;= DATE(2026,1,1), F3107&lt;= DATE(2028, 12, 31), J3107&gt;50000), "Pendente e Caro", AND(F3107&gt;= DATE(2026,1,1), F3107&lt;= DATE(2028, 12, 31), J3107&lt;=50000), "Pendente", F3107&gt;= DATE(2029,1,1), "Não prioeitário")</f>
        <v>Não prioeitário</v>
      </c>
      <c r="H3107" s="89">
        <f>YEAR(Tabela1[[#This Row],[Data de Validade]])</f>
        <v>2029</v>
      </c>
      <c r="I3107" s="89">
        <f>MONTH(Tabela1[[#This Row],[Data de Validade]])</f>
        <v>9</v>
      </c>
      <c r="J3107" s="101">
        <v>38810</v>
      </c>
      <c r="K3107" s="87" t="s">
        <v>11</v>
      </c>
      <c r="L3107" s="108"/>
      <c r="M3107" s="108"/>
      <c r="N3107" s="108" t="str">
        <v>P611H548</v>
      </c>
      <c r="O3107" s="108">
        <f t="shared" si="50"/>
        <v>1</v>
      </c>
      <c r="P3107" s="108"/>
      <c r="Q3107"/>
    </row>
    <row r="3108" spans="1:17" x14ac:dyDescent="0.25">
      <c r="A3108" s="89" t="s">
        <v>8180</v>
      </c>
      <c r="B3108" s="87" t="s">
        <v>8181</v>
      </c>
      <c r="C3108" s="87" t="s">
        <v>13</v>
      </c>
      <c r="D3108" s="87" t="str">
        <f>VLOOKUP(Tabela1[[#This Row],[Origem]], 'Perguntas 1 a 24'!$J$28:$K$34, 2, 0)</f>
        <v>Sudeste</v>
      </c>
      <c r="E3108" s="87" t="str">
        <f>Tabela1[[#This Row],[Descrição]]&amp;"-"&amp;Tabela1[[#This Row],[Código]]&amp;"/"&amp;Tabela1[[#This Row],[Origem]]</f>
        <v>Moravaratu-P636H897/SP</v>
      </c>
      <c r="F3108" s="88">
        <v>47366</v>
      </c>
      <c r="G3108" s="88" t="str" cm="1">
        <f t="array" ref="G31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AND(F3108&gt;= DATE(2026,1,1), F3108&lt;= DATE(2028, 12, 31), J3108&gt;50000), "Pendente e Caro", AND(F3108&gt;= DATE(2026,1,1), F3108&lt;= DATE(2028, 12, 31), J3108&lt;=50000), "Pendente", F3108&gt;= DATE(2029,1,1), "Não prioeitário")</f>
        <v>Não prioeitário</v>
      </c>
      <c r="H3108" s="89">
        <f>YEAR(Tabela1[[#This Row],[Data de Validade]])</f>
        <v>2029</v>
      </c>
      <c r="I3108" s="89">
        <f>MONTH(Tabela1[[#This Row],[Data de Validade]])</f>
        <v>9</v>
      </c>
      <c r="J3108" s="101">
        <v>32654</v>
      </c>
      <c r="K3108" s="87" t="s">
        <v>11</v>
      </c>
      <c r="L3108" s="108"/>
      <c r="M3108" s="108"/>
      <c r="N3108" s="108" t="str">
        <v>P299H714</v>
      </c>
      <c r="O3108" s="108">
        <f t="shared" si="50"/>
        <v>1</v>
      </c>
      <c r="P3108" s="108"/>
      <c r="Q3108"/>
    </row>
    <row r="3109" spans="1:17" x14ac:dyDescent="0.25">
      <c r="A3109" s="89" t="s">
        <v>3926</v>
      </c>
      <c r="B3109" s="87" t="s">
        <v>3927</v>
      </c>
      <c r="C3109" s="87" t="s">
        <v>12</v>
      </c>
      <c r="D3109" s="87" t="str">
        <f>VLOOKUP(Tabela1[[#This Row],[Origem]], 'Perguntas 1 a 24'!$J$28:$K$34, 2, 0)</f>
        <v>Sudeste</v>
      </c>
      <c r="E3109" s="87" t="str">
        <f>Tabela1[[#This Row],[Descrição]]&amp;"-"&amp;Tabela1[[#This Row],[Código]]&amp;"/"&amp;Tabela1[[#This Row],[Origem]]</f>
        <v>Vaciduvotu-H669P474/RJ</v>
      </c>
      <c r="F3109" s="88">
        <v>47367</v>
      </c>
      <c r="G3109" s="88" t="str" cm="1">
        <f t="array" ref="G31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AND(F3109&gt;= DATE(2026,1,1), F3109&lt;= DATE(2028, 12, 31), J3109&gt;50000), "Pendente e Caro", AND(F3109&gt;= DATE(2026,1,1), F3109&lt;= DATE(2028, 12, 31), J3109&lt;=50000), "Pendente", F3109&gt;= DATE(2029,1,1), "Não prioeitário")</f>
        <v>Não prioeitário</v>
      </c>
      <c r="H3109" s="89">
        <f>YEAR(Tabela1[[#This Row],[Data de Validade]])</f>
        <v>2029</v>
      </c>
      <c r="I3109" s="89">
        <f>MONTH(Tabela1[[#This Row],[Data de Validade]])</f>
        <v>9</v>
      </c>
      <c r="J3109" s="101">
        <v>98973</v>
      </c>
      <c r="K3109" s="87" t="s">
        <v>9</v>
      </c>
      <c r="L3109" s="108"/>
      <c r="M3109" s="108"/>
      <c r="N3109" s="108" t="str">
        <v>H763P574</v>
      </c>
      <c r="O3109" s="108">
        <f t="shared" si="50"/>
        <v>1</v>
      </c>
      <c r="P3109" s="108"/>
      <c r="Q3109"/>
    </row>
    <row r="3110" spans="1:17" x14ac:dyDescent="0.25">
      <c r="A3110" s="89" t="s">
        <v>7764</v>
      </c>
      <c r="B3110" s="87" t="s">
        <v>7765</v>
      </c>
      <c r="C3110" s="87" t="s">
        <v>13</v>
      </c>
      <c r="D3110" s="87" t="str">
        <f>VLOOKUP(Tabela1[[#This Row],[Origem]], 'Perguntas 1 a 24'!$J$28:$K$34, 2, 0)</f>
        <v>Sudeste</v>
      </c>
      <c r="E3110" s="87" t="str">
        <f>Tabela1[[#This Row],[Descrição]]&amp;"-"&amp;Tabela1[[#This Row],[Código]]&amp;"/"&amp;Tabela1[[#This Row],[Origem]]</f>
        <v>Folifuno-H224H544/SP</v>
      </c>
      <c r="F3110" s="88">
        <v>47367</v>
      </c>
      <c r="G3110" s="88" t="str" cm="1">
        <f t="array" ref="G31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AND(F3110&gt;= DATE(2026,1,1), F3110&lt;= DATE(2028, 12, 31), J3110&gt;50000), "Pendente e Caro", AND(F3110&gt;= DATE(2026,1,1), F3110&lt;= DATE(2028, 12, 31), J3110&lt;=50000), "Pendente", F3110&gt;= DATE(2029,1,1), "Não prioeitário")</f>
        <v>Não prioeitário</v>
      </c>
      <c r="H3110" s="89">
        <f>YEAR(Tabela1[[#This Row],[Data de Validade]])</f>
        <v>2029</v>
      </c>
      <c r="I3110" s="89">
        <f>MONTH(Tabela1[[#This Row],[Data de Validade]])</f>
        <v>9</v>
      </c>
      <c r="J3110" s="101">
        <v>57762</v>
      </c>
      <c r="K3110" s="87" t="s">
        <v>7</v>
      </c>
      <c r="L3110" s="108"/>
      <c r="M3110" s="108"/>
      <c r="N3110" s="108" t="str">
        <v>H194H546</v>
      </c>
      <c r="O3110" s="108">
        <f t="shared" si="50"/>
        <v>1</v>
      </c>
      <c r="P3110" s="108"/>
      <c r="Q3110"/>
    </row>
    <row r="3111" spans="1:17" x14ac:dyDescent="0.25">
      <c r="A3111" s="89" t="s">
        <v>4164</v>
      </c>
      <c r="B3111" s="87" t="s">
        <v>4165</v>
      </c>
      <c r="C3111" s="87" t="s">
        <v>12</v>
      </c>
      <c r="D3111" s="87" t="str">
        <f>VLOOKUP(Tabela1[[#This Row],[Origem]], 'Perguntas 1 a 24'!$J$28:$K$34, 2, 0)</f>
        <v>Sudeste</v>
      </c>
      <c r="E3111" s="87" t="str">
        <f>Tabela1[[#This Row],[Descrição]]&amp;"-"&amp;Tabela1[[#This Row],[Código]]&amp;"/"&amp;Tabela1[[#This Row],[Origem]]</f>
        <v>Gimarelefi-P611H548/RJ</v>
      </c>
      <c r="F3111" s="88">
        <v>47367</v>
      </c>
      <c r="G3111" s="88" t="str" cm="1">
        <f t="array" ref="G31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AND(F3111&gt;= DATE(2026,1,1), F3111&lt;= DATE(2028, 12, 31), J3111&gt;50000), "Pendente e Caro", AND(F3111&gt;= DATE(2026,1,1), F3111&lt;= DATE(2028, 12, 31), J3111&lt;=50000), "Pendente", F3111&gt;= DATE(2029,1,1), "Não prioeitário")</f>
        <v>Não prioeitário</v>
      </c>
      <c r="H3111" s="89">
        <f>YEAR(Tabela1[[#This Row],[Data de Validade]])</f>
        <v>2029</v>
      </c>
      <c r="I3111" s="89">
        <f>MONTH(Tabela1[[#This Row],[Data de Validade]])</f>
        <v>9</v>
      </c>
      <c r="J3111" s="101">
        <v>35088</v>
      </c>
      <c r="K3111" s="87" t="s">
        <v>14</v>
      </c>
      <c r="L3111" s="108"/>
      <c r="M3111" s="108"/>
      <c r="N3111" s="108" t="str">
        <v>P516P836</v>
      </c>
      <c r="O3111" s="108">
        <f t="shared" si="50"/>
        <v>1</v>
      </c>
      <c r="P3111" s="108"/>
      <c r="Q3111"/>
    </row>
    <row r="3112" spans="1:17" x14ac:dyDescent="0.25">
      <c r="A3112" s="89" t="s">
        <v>4042</v>
      </c>
      <c r="B3112" s="87" t="s">
        <v>4043</v>
      </c>
      <c r="C3112" s="87" t="s">
        <v>16</v>
      </c>
      <c r="D3112" s="87" t="str">
        <f>VLOOKUP(Tabela1[[#This Row],[Origem]], 'Perguntas 1 a 24'!$J$28:$K$34, 2, 0)</f>
        <v>Sudeste</v>
      </c>
      <c r="E3112" s="87" t="str">
        <f>Tabela1[[#This Row],[Descrição]]&amp;"-"&amp;Tabela1[[#This Row],[Código]]&amp;"/"&amp;Tabela1[[#This Row],[Origem]]</f>
        <v>Pepinepu-P299H714/MG</v>
      </c>
      <c r="F3112" s="88">
        <v>47368</v>
      </c>
      <c r="G3112" s="88" t="str" cm="1">
        <f t="array" ref="G31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AND(F3112&gt;= DATE(2026,1,1), F3112&lt;= DATE(2028, 12, 31), J3112&gt;50000), "Pendente e Caro", AND(F3112&gt;= DATE(2026,1,1), F3112&lt;= DATE(2028, 12, 31), J3112&lt;=50000), "Pendente", F3112&gt;= DATE(2029,1,1), "Não prioeitário")</f>
        <v>Não prioeitário</v>
      </c>
      <c r="H3112" s="89">
        <f>YEAR(Tabela1[[#This Row],[Data de Validade]])</f>
        <v>2029</v>
      </c>
      <c r="I3112" s="89">
        <f>MONTH(Tabela1[[#This Row],[Data de Validade]])</f>
        <v>9</v>
      </c>
      <c r="J3112" s="101">
        <v>74223</v>
      </c>
      <c r="K3112" s="87" t="s">
        <v>9</v>
      </c>
      <c r="L3112" s="108"/>
      <c r="M3112" s="108"/>
      <c r="N3112" s="108" t="str">
        <v>P919H177</v>
      </c>
      <c r="O3112" s="108">
        <f t="shared" si="50"/>
        <v>1</v>
      </c>
      <c r="P3112" s="108"/>
      <c r="Q3112"/>
    </row>
    <row r="3113" spans="1:17" x14ac:dyDescent="0.25">
      <c r="A3113" s="89" t="s">
        <v>9439</v>
      </c>
      <c r="B3113" s="87" t="s">
        <v>9440</v>
      </c>
      <c r="C3113" s="87" t="s">
        <v>15</v>
      </c>
      <c r="D3113" s="87" t="str">
        <f>VLOOKUP(Tabela1[[#This Row],[Origem]], 'Perguntas 1 a 24'!$J$28:$K$34, 2, 0)</f>
        <v>Sudeste</v>
      </c>
      <c r="E3113" s="87" t="str">
        <f>Tabela1[[#This Row],[Descrição]]&amp;"-"&amp;Tabela1[[#This Row],[Código]]&amp;"/"&amp;Tabela1[[#This Row],[Origem]]</f>
        <v>Pevimiru-H763P574/ES</v>
      </c>
      <c r="F3113" s="88">
        <v>47368</v>
      </c>
      <c r="G3113" s="88" t="str" cm="1">
        <f t="array" ref="G31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AND(F3113&gt;= DATE(2026,1,1), F3113&lt;= DATE(2028, 12, 31), J3113&gt;50000), "Pendente e Caro", AND(F3113&gt;= DATE(2026,1,1), F3113&lt;= DATE(2028, 12, 31), J3113&lt;=50000), "Pendente", F3113&gt;= DATE(2029,1,1), "Não prioeitário")</f>
        <v>Não prioeitário</v>
      </c>
      <c r="H3113" s="89">
        <f>YEAR(Tabela1[[#This Row],[Data de Validade]])</f>
        <v>2029</v>
      </c>
      <c r="I3113" s="89">
        <f>MONTH(Tabela1[[#This Row],[Data de Validade]])</f>
        <v>9</v>
      </c>
      <c r="J3113" s="101">
        <v>71934</v>
      </c>
      <c r="K3113" s="87" t="s">
        <v>9</v>
      </c>
      <c r="L3113" s="108"/>
      <c r="M3113" s="108"/>
      <c r="N3113" s="108" t="str">
        <v>P534P653</v>
      </c>
      <c r="O3113" s="108">
        <f t="shared" si="50"/>
        <v>1</v>
      </c>
      <c r="P3113" s="108"/>
      <c r="Q3113"/>
    </row>
    <row r="3114" spans="1:17" x14ac:dyDescent="0.25">
      <c r="A3114" s="89" t="s">
        <v>8232</v>
      </c>
      <c r="B3114" s="87" t="s">
        <v>8233</v>
      </c>
      <c r="C3114" s="87" t="s">
        <v>10</v>
      </c>
      <c r="D3114" s="87" t="str">
        <f>VLOOKUP(Tabela1[[#This Row],[Origem]], 'Perguntas 1 a 24'!$J$28:$K$34, 2, 0)</f>
        <v>Centro-Oeste</v>
      </c>
      <c r="E3114" s="87" t="str">
        <f>Tabela1[[#This Row],[Descrição]]&amp;"-"&amp;Tabela1[[#This Row],[Código]]&amp;"/"&amp;Tabela1[[#This Row],[Origem]]</f>
        <v>Virupo-H194H546/GO</v>
      </c>
      <c r="F3114" s="88">
        <v>47369</v>
      </c>
      <c r="G3114" s="88" t="str" cm="1">
        <f t="array" ref="G31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AND(F3114&gt;= DATE(2026,1,1), F3114&lt;= DATE(2028, 12, 31), J3114&gt;50000), "Pendente e Caro", AND(F3114&gt;= DATE(2026,1,1), F3114&lt;= DATE(2028, 12, 31), J3114&lt;=50000), "Pendente", F3114&gt;= DATE(2029,1,1), "Não prioeitário")</f>
        <v>Não prioeitário</v>
      </c>
      <c r="H3114" s="89">
        <f>YEAR(Tabela1[[#This Row],[Data de Validade]])</f>
        <v>2029</v>
      </c>
      <c r="I3114" s="89">
        <f>MONTH(Tabela1[[#This Row],[Data de Validade]])</f>
        <v>9</v>
      </c>
      <c r="J3114" s="101">
        <v>28300</v>
      </c>
      <c r="K3114" s="87" t="s">
        <v>9</v>
      </c>
      <c r="L3114" s="108"/>
      <c r="M3114" s="108"/>
      <c r="N3114" s="108" t="str">
        <v>H636H697</v>
      </c>
      <c r="O3114" s="108">
        <f t="shared" si="50"/>
        <v>1</v>
      </c>
      <c r="P3114" s="108"/>
      <c r="Q3114"/>
    </row>
    <row r="3115" spans="1:17" x14ac:dyDescent="0.25">
      <c r="A3115" s="89" t="s">
        <v>5454</v>
      </c>
      <c r="B3115" s="87" t="s">
        <v>5455</v>
      </c>
      <c r="C3115" s="87" t="s">
        <v>15</v>
      </c>
      <c r="D3115" s="87" t="str">
        <f>VLOOKUP(Tabela1[[#This Row],[Origem]], 'Perguntas 1 a 24'!$J$28:$K$34, 2, 0)</f>
        <v>Sudeste</v>
      </c>
      <c r="E3115" s="87" t="str">
        <f>Tabela1[[#This Row],[Descrição]]&amp;"-"&amp;Tabela1[[#This Row],[Código]]&amp;"/"&amp;Tabela1[[#This Row],[Origem]]</f>
        <v>Raciremi-P516P836/ES</v>
      </c>
      <c r="F3115" s="88">
        <v>47370</v>
      </c>
      <c r="G3115" s="88" t="str" cm="1">
        <f t="array" ref="G31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AND(F3115&gt;= DATE(2026,1,1), F3115&lt;= DATE(2028, 12, 31), J3115&gt;50000), "Pendente e Caro", AND(F3115&gt;= DATE(2026,1,1), F3115&lt;= DATE(2028, 12, 31), J3115&lt;=50000), "Pendente", F3115&gt;= DATE(2029,1,1), "Não prioeitário")</f>
        <v>Não prioeitário</v>
      </c>
      <c r="H3115" s="89">
        <f>YEAR(Tabela1[[#This Row],[Data de Validade]])</f>
        <v>2029</v>
      </c>
      <c r="I3115" s="89">
        <f>MONTH(Tabela1[[#This Row],[Data de Validade]])</f>
        <v>9</v>
      </c>
      <c r="J3115" s="101">
        <v>26654</v>
      </c>
      <c r="K3115" s="87" t="s">
        <v>7</v>
      </c>
      <c r="L3115" s="108"/>
      <c r="M3115" s="108"/>
      <c r="N3115" s="108" t="str">
        <v>H851H995</v>
      </c>
      <c r="O3115" s="108">
        <f t="shared" si="50"/>
        <v>1</v>
      </c>
      <c r="P3115" s="108"/>
      <c r="Q3115"/>
    </row>
    <row r="3116" spans="1:17" x14ac:dyDescent="0.25">
      <c r="A3116" s="89" t="s">
        <v>5248</v>
      </c>
      <c r="B3116" s="87" t="s">
        <v>5249</v>
      </c>
      <c r="C3116" s="87" t="s">
        <v>16</v>
      </c>
      <c r="D3116" s="87" t="str">
        <f>VLOOKUP(Tabela1[[#This Row],[Origem]], 'Perguntas 1 a 24'!$J$28:$K$34, 2, 0)</f>
        <v>Sudeste</v>
      </c>
      <c r="E3116" s="87" t="str">
        <f>Tabela1[[#This Row],[Descrição]]&amp;"-"&amp;Tabela1[[#This Row],[Código]]&amp;"/"&amp;Tabela1[[#This Row],[Origem]]</f>
        <v>Nuvumuli-P919H177/MG</v>
      </c>
      <c r="F3116" s="88">
        <v>47372</v>
      </c>
      <c r="G3116" s="88" t="str" cm="1">
        <f t="array" ref="G31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AND(F3116&gt;= DATE(2026,1,1), F3116&lt;= DATE(2028, 12, 31), J3116&gt;50000), "Pendente e Caro", AND(F3116&gt;= DATE(2026,1,1), F3116&lt;= DATE(2028, 12, 31), J3116&lt;=50000), "Pendente", F3116&gt;= DATE(2029,1,1), "Não prioeitário")</f>
        <v>Não prioeitário</v>
      </c>
      <c r="H3116" s="89">
        <f>YEAR(Tabela1[[#This Row],[Data de Validade]])</f>
        <v>2029</v>
      </c>
      <c r="I3116" s="89">
        <f>MONTH(Tabela1[[#This Row],[Data de Validade]])</f>
        <v>9</v>
      </c>
      <c r="J3116" s="101">
        <v>80253</v>
      </c>
      <c r="K3116" s="87" t="s">
        <v>7</v>
      </c>
      <c r="L3116" s="108"/>
      <c r="M3116" s="108"/>
      <c r="N3116" s="108" t="str">
        <v>H995P136</v>
      </c>
      <c r="O3116" s="108">
        <f t="shared" si="50"/>
        <v>1</v>
      </c>
      <c r="P3116" s="108"/>
      <c r="Q3116"/>
    </row>
    <row r="3117" spans="1:17" x14ac:dyDescent="0.25">
      <c r="A3117" s="89" t="s">
        <v>10523</v>
      </c>
      <c r="B3117" s="87" t="s">
        <v>10524</v>
      </c>
      <c r="C3117" s="87" t="s">
        <v>10</v>
      </c>
      <c r="D3117" s="87" t="str">
        <f>VLOOKUP(Tabela1[[#This Row],[Origem]], 'Perguntas 1 a 24'!$J$28:$K$34, 2, 0)</f>
        <v>Centro-Oeste</v>
      </c>
      <c r="E3117" s="87" t="str">
        <f>Tabela1[[#This Row],[Descrição]]&amp;"-"&amp;Tabela1[[#This Row],[Código]]&amp;"/"&amp;Tabela1[[#This Row],[Origem]]</f>
        <v>Nimopone-P534P653/GO</v>
      </c>
      <c r="F3117" s="88">
        <v>47372</v>
      </c>
      <c r="G3117" s="88" t="str" cm="1">
        <f t="array" ref="G31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AND(F3117&gt;= DATE(2026,1,1), F3117&lt;= DATE(2028, 12, 31), J3117&gt;50000), "Pendente e Caro", AND(F3117&gt;= DATE(2026,1,1), F3117&lt;= DATE(2028, 12, 31), J3117&lt;=50000), "Pendente", F3117&gt;= DATE(2029,1,1), "Não prioeitário")</f>
        <v>Não prioeitário</v>
      </c>
      <c r="H3117" s="89">
        <f>YEAR(Tabela1[[#This Row],[Data de Validade]])</f>
        <v>2029</v>
      </c>
      <c r="I3117" s="89">
        <f>MONTH(Tabela1[[#This Row],[Data de Validade]])</f>
        <v>9</v>
      </c>
      <c r="J3117" s="101">
        <v>75904</v>
      </c>
      <c r="K3117" s="87" t="s">
        <v>7</v>
      </c>
      <c r="L3117" s="108"/>
      <c r="M3117" s="108"/>
      <c r="N3117" s="108" t="str">
        <v>P435H431</v>
      </c>
      <c r="O3117" s="108">
        <f t="shared" si="50"/>
        <v>1</v>
      </c>
      <c r="P3117" s="108"/>
      <c r="Q3117"/>
    </row>
    <row r="3118" spans="1:17" x14ac:dyDescent="0.25">
      <c r="A3118" s="89" t="s">
        <v>9141</v>
      </c>
      <c r="B3118" s="87" t="s">
        <v>9142</v>
      </c>
      <c r="C3118" s="87" t="s">
        <v>10</v>
      </c>
      <c r="D3118" s="87" t="str">
        <f>VLOOKUP(Tabela1[[#This Row],[Origem]], 'Perguntas 1 a 24'!$J$28:$K$34, 2, 0)</f>
        <v>Centro-Oeste</v>
      </c>
      <c r="E3118" s="87" t="str">
        <f>Tabela1[[#This Row],[Descrição]]&amp;"-"&amp;Tabela1[[#This Row],[Código]]&amp;"/"&amp;Tabela1[[#This Row],[Origem]]</f>
        <v>Rucupofafi-H636H697/GO</v>
      </c>
      <c r="F3118" s="88">
        <v>47373</v>
      </c>
      <c r="G3118" s="88" t="str" cm="1">
        <f t="array" ref="G31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AND(F3118&gt;= DATE(2026,1,1), F3118&lt;= DATE(2028, 12, 31), J3118&gt;50000), "Pendente e Caro", AND(F3118&gt;= DATE(2026,1,1), F3118&lt;= DATE(2028, 12, 31), J3118&lt;=50000), "Pendente", F3118&gt;= DATE(2029,1,1), "Não prioeitário")</f>
        <v>Não prioeitário</v>
      </c>
      <c r="H3118" s="89">
        <f>YEAR(Tabela1[[#This Row],[Data de Validade]])</f>
        <v>2029</v>
      </c>
      <c r="I3118" s="89">
        <f>MONTH(Tabela1[[#This Row],[Data de Validade]])</f>
        <v>9</v>
      </c>
      <c r="J3118" s="101">
        <v>109100</v>
      </c>
      <c r="K3118" s="87" t="s">
        <v>9</v>
      </c>
      <c r="L3118" s="108"/>
      <c r="M3118" s="108"/>
      <c r="N3118" s="108" t="str">
        <v>H533P471</v>
      </c>
      <c r="O3118" s="108">
        <f t="shared" si="50"/>
        <v>1</v>
      </c>
      <c r="P3118" s="108"/>
      <c r="Q3118"/>
    </row>
    <row r="3119" spans="1:17" x14ac:dyDescent="0.25">
      <c r="A3119" s="89" t="s">
        <v>9127</v>
      </c>
      <c r="B3119" s="87" t="s">
        <v>9128</v>
      </c>
      <c r="C3119" s="87" t="s">
        <v>8</v>
      </c>
      <c r="D3119" s="87" t="str">
        <f>VLOOKUP(Tabela1[[#This Row],[Origem]], 'Perguntas 1 a 24'!$J$28:$K$34, 2, 0)</f>
        <v>Nordeste</v>
      </c>
      <c r="E3119" s="87" t="str">
        <f>Tabela1[[#This Row],[Descrição]]&amp;"-"&amp;Tabela1[[#This Row],[Código]]&amp;"/"&amp;Tabela1[[#This Row],[Origem]]</f>
        <v>Cugunu-H851H995/AL</v>
      </c>
      <c r="F3119" s="88">
        <v>47373</v>
      </c>
      <c r="G3119" s="88" t="str" cm="1">
        <f t="array" ref="G31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AND(F3119&gt;= DATE(2026,1,1), F3119&lt;= DATE(2028, 12, 31), J3119&gt;50000), "Pendente e Caro", AND(F3119&gt;= DATE(2026,1,1), F3119&lt;= DATE(2028, 12, 31), J3119&lt;=50000), "Pendente", F3119&gt;= DATE(2029,1,1), "Não prioeitário")</f>
        <v>Não prioeitário</v>
      </c>
      <c r="H3119" s="89">
        <f>YEAR(Tabela1[[#This Row],[Data de Validade]])</f>
        <v>2029</v>
      </c>
      <c r="I3119" s="89">
        <f>MONTH(Tabela1[[#This Row],[Data de Validade]])</f>
        <v>9</v>
      </c>
      <c r="J3119" s="101">
        <v>85527</v>
      </c>
      <c r="K3119" s="87" t="s">
        <v>7</v>
      </c>
      <c r="L3119" s="108"/>
      <c r="M3119" s="108"/>
      <c r="N3119" s="108" t="str">
        <v>P639H841</v>
      </c>
      <c r="O3119" s="108">
        <f t="shared" si="50"/>
        <v>1</v>
      </c>
      <c r="P3119" s="108"/>
      <c r="Q3119"/>
    </row>
    <row r="3120" spans="1:17" x14ac:dyDescent="0.25">
      <c r="A3120" s="89" t="s">
        <v>6834</v>
      </c>
      <c r="B3120" s="87" t="s">
        <v>6835</v>
      </c>
      <c r="C3120" s="87" t="s">
        <v>8</v>
      </c>
      <c r="D3120" s="87" t="str">
        <f>VLOOKUP(Tabela1[[#This Row],[Origem]], 'Perguntas 1 a 24'!$J$28:$K$34, 2, 0)</f>
        <v>Nordeste</v>
      </c>
      <c r="E3120" s="87" t="str">
        <f>Tabela1[[#This Row],[Descrição]]&amp;"-"&amp;Tabela1[[#This Row],[Código]]&amp;"/"&amp;Tabela1[[#This Row],[Origem]]</f>
        <v>Romireri-H995P136/AL</v>
      </c>
      <c r="F3120" s="88">
        <v>47375</v>
      </c>
      <c r="G3120" s="88" t="str" cm="1">
        <f t="array" ref="G31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AND(F3120&gt;= DATE(2026,1,1), F3120&lt;= DATE(2028, 12, 31), J3120&gt;50000), "Pendente e Caro", AND(F3120&gt;= DATE(2026,1,1), F3120&lt;= DATE(2028, 12, 31), J3120&lt;=50000), "Pendente", F3120&gt;= DATE(2029,1,1), "Não prioeitário")</f>
        <v>Não prioeitário</v>
      </c>
      <c r="H3120" s="89">
        <f>YEAR(Tabela1[[#This Row],[Data de Validade]])</f>
        <v>2029</v>
      </c>
      <c r="I3120" s="89">
        <f>MONTH(Tabela1[[#This Row],[Data de Validade]])</f>
        <v>9</v>
      </c>
      <c r="J3120" s="101">
        <v>57673</v>
      </c>
      <c r="K3120" s="87" t="s">
        <v>14</v>
      </c>
      <c r="L3120" s="108"/>
      <c r="M3120" s="108"/>
      <c r="N3120" s="108" t="str">
        <v>H284H638</v>
      </c>
      <c r="O3120" s="108">
        <f t="shared" si="50"/>
        <v>1</v>
      </c>
      <c r="P3120" s="108"/>
      <c r="Q3120"/>
    </row>
    <row r="3121" spans="1:17" x14ac:dyDescent="0.25">
      <c r="A3121" s="89" t="s">
        <v>9955</v>
      </c>
      <c r="B3121" s="87" t="s">
        <v>9956</v>
      </c>
      <c r="C3121" s="87" t="s">
        <v>10</v>
      </c>
      <c r="D3121" s="87" t="str">
        <f>VLOOKUP(Tabela1[[#This Row],[Origem]], 'Perguntas 1 a 24'!$J$28:$K$34, 2, 0)</f>
        <v>Centro-Oeste</v>
      </c>
      <c r="E3121" s="87" t="str">
        <f>Tabela1[[#This Row],[Descrição]]&amp;"-"&amp;Tabela1[[#This Row],[Código]]&amp;"/"&amp;Tabela1[[#This Row],[Origem]]</f>
        <v>Tiracira-P435H431/GO</v>
      </c>
      <c r="F3121" s="88">
        <v>47376</v>
      </c>
      <c r="G3121" s="88" t="str" cm="1">
        <f t="array" ref="G31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AND(F3121&gt;= DATE(2026,1,1), F3121&lt;= DATE(2028, 12, 31), J3121&gt;50000), "Pendente e Caro", AND(F3121&gt;= DATE(2026,1,1), F3121&lt;= DATE(2028, 12, 31), J3121&lt;=50000), "Pendente", F3121&gt;= DATE(2029,1,1), "Não prioeitário")</f>
        <v>Não prioeitário</v>
      </c>
      <c r="H3121" s="89">
        <f>YEAR(Tabela1[[#This Row],[Data de Validade]])</f>
        <v>2029</v>
      </c>
      <c r="I3121" s="89">
        <f>MONTH(Tabela1[[#This Row],[Data de Validade]])</f>
        <v>9</v>
      </c>
      <c r="J3121" s="101">
        <v>77789</v>
      </c>
      <c r="K3121" s="87" t="s">
        <v>14</v>
      </c>
      <c r="L3121" s="108"/>
      <c r="M3121" s="108"/>
      <c r="N3121" s="108" t="str">
        <v>H623P532</v>
      </c>
      <c r="O3121" s="108">
        <f t="shared" si="50"/>
        <v>1</v>
      </c>
      <c r="P3121" s="108"/>
      <c r="Q3121"/>
    </row>
    <row r="3122" spans="1:17" x14ac:dyDescent="0.25">
      <c r="A3122" s="89" t="s">
        <v>11280</v>
      </c>
      <c r="B3122" s="87" t="s">
        <v>11281</v>
      </c>
      <c r="C3122" s="87" t="s">
        <v>6</v>
      </c>
      <c r="D3122" s="87" t="str">
        <f>VLOOKUP(Tabela1[[#This Row],[Origem]], 'Perguntas 1 a 24'!$J$28:$K$34, 2, 0)</f>
        <v>Nordeste</v>
      </c>
      <c r="E3122" s="87" t="str">
        <f>Tabela1[[#This Row],[Descrição]]&amp;"-"&amp;Tabela1[[#This Row],[Código]]&amp;"/"&amp;Tabela1[[#This Row],[Origem]]</f>
        <v>Nerupapa-H533P471/MA</v>
      </c>
      <c r="F3122" s="88">
        <v>47376</v>
      </c>
      <c r="G3122" s="88" t="str" cm="1">
        <f t="array" ref="G31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AND(F3122&gt;= DATE(2026,1,1), F3122&lt;= DATE(2028, 12, 31), J3122&gt;50000), "Pendente e Caro", AND(F3122&gt;= DATE(2026,1,1), F3122&lt;= DATE(2028, 12, 31), J3122&lt;=50000), "Pendente", F3122&gt;= DATE(2029,1,1), "Não prioeitário")</f>
        <v>Não prioeitário</v>
      </c>
      <c r="H3122" s="89">
        <f>YEAR(Tabela1[[#This Row],[Data de Validade]])</f>
        <v>2029</v>
      </c>
      <c r="I3122" s="89">
        <f>MONTH(Tabela1[[#This Row],[Data de Validade]])</f>
        <v>9</v>
      </c>
      <c r="J3122" s="101">
        <v>31422</v>
      </c>
      <c r="K3122" s="87" t="s">
        <v>14</v>
      </c>
      <c r="L3122" s="108"/>
      <c r="M3122" s="108"/>
      <c r="N3122" s="108" t="str">
        <v>P251H191</v>
      </c>
      <c r="O3122" s="108">
        <f t="shared" si="50"/>
        <v>1</v>
      </c>
      <c r="P3122" s="108"/>
      <c r="Q3122"/>
    </row>
    <row r="3123" spans="1:17" x14ac:dyDescent="0.25">
      <c r="A3123" s="89" t="s">
        <v>6714</v>
      </c>
      <c r="B3123" s="87" t="s">
        <v>6715</v>
      </c>
      <c r="C3123" s="87" t="s">
        <v>15</v>
      </c>
      <c r="D3123" s="87" t="str">
        <f>VLOOKUP(Tabela1[[#This Row],[Origem]], 'Perguntas 1 a 24'!$J$28:$K$34, 2, 0)</f>
        <v>Sudeste</v>
      </c>
      <c r="E3123" s="87" t="str">
        <f>Tabela1[[#This Row],[Descrição]]&amp;"-"&amp;Tabela1[[#This Row],[Código]]&amp;"/"&amp;Tabela1[[#This Row],[Origem]]</f>
        <v>Puditunaci-P639H841/ES</v>
      </c>
      <c r="F3123" s="88">
        <v>47377</v>
      </c>
      <c r="G3123" s="88" t="str" cm="1">
        <f t="array" ref="G31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AND(F3123&gt;= DATE(2026,1,1), F3123&lt;= DATE(2028, 12, 31), J3123&gt;50000), "Pendente e Caro", AND(F3123&gt;= DATE(2026,1,1), F3123&lt;= DATE(2028, 12, 31), J3123&lt;=50000), "Pendente", F3123&gt;= DATE(2029,1,1), "Não prioeitário")</f>
        <v>Não prioeitário</v>
      </c>
      <c r="H3123" s="89">
        <f>YEAR(Tabela1[[#This Row],[Data de Validade]])</f>
        <v>2029</v>
      </c>
      <c r="I3123" s="89">
        <f>MONTH(Tabela1[[#This Row],[Data de Validade]])</f>
        <v>9</v>
      </c>
      <c r="J3123" s="101">
        <v>115535</v>
      </c>
      <c r="K3123" s="87" t="s">
        <v>14</v>
      </c>
      <c r="L3123" s="108"/>
      <c r="M3123" s="108"/>
      <c r="N3123" s="108" t="str">
        <v>H143P243</v>
      </c>
      <c r="O3123" s="108">
        <f t="shared" si="50"/>
        <v>1</v>
      </c>
      <c r="P3123" s="108"/>
      <c r="Q3123"/>
    </row>
    <row r="3124" spans="1:17" x14ac:dyDescent="0.25">
      <c r="A3124" s="89" t="s">
        <v>10389</v>
      </c>
      <c r="B3124" s="87" t="s">
        <v>10390</v>
      </c>
      <c r="C3124" s="87" t="s">
        <v>13</v>
      </c>
      <c r="D3124" s="87" t="str">
        <f>VLOOKUP(Tabela1[[#This Row],[Origem]], 'Perguntas 1 a 24'!$J$28:$K$34, 2, 0)</f>
        <v>Sudeste</v>
      </c>
      <c r="E3124" s="87" t="str">
        <f>Tabela1[[#This Row],[Descrição]]&amp;"-"&amp;Tabela1[[#This Row],[Código]]&amp;"/"&amp;Tabela1[[#This Row],[Origem]]</f>
        <v>Verivonefo-H284H638/SP</v>
      </c>
      <c r="F3124" s="88">
        <v>47377</v>
      </c>
      <c r="G3124" s="88" t="str" cm="1">
        <f t="array" ref="G31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AND(F3124&gt;= DATE(2026,1,1), F3124&lt;= DATE(2028, 12, 31), J3124&gt;50000), "Pendente e Caro", AND(F3124&gt;= DATE(2026,1,1), F3124&lt;= DATE(2028, 12, 31), J3124&lt;=50000), "Pendente", F3124&gt;= DATE(2029,1,1), "Não prioeitário")</f>
        <v>Não prioeitário</v>
      </c>
      <c r="H3124" s="89">
        <f>YEAR(Tabela1[[#This Row],[Data de Validade]])</f>
        <v>2029</v>
      </c>
      <c r="I3124" s="89">
        <f>MONTH(Tabela1[[#This Row],[Data de Validade]])</f>
        <v>9</v>
      </c>
      <c r="J3124" s="101">
        <v>101618</v>
      </c>
      <c r="K3124" s="87" t="s">
        <v>9</v>
      </c>
      <c r="L3124" s="108"/>
      <c r="M3124" s="108"/>
      <c r="N3124" s="108" t="str">
        <v>P415H914</v>
      </c>
      <c r="O3124" s="108">
        <f t="shared" si="50"/>
        <v>1</v>
      </c>
      <c r="P3124" s="108"/>
      <c r="Q3124"/>
    </row>
    <row r="3125" spans="1:17" x14ac:dyDescent="0.25">
      <c r="A3125" s="89" t="s">
        <v>9889</v>
      </c>
      <c r="B3125" s="87" t="s">
        <v>9890</v>
      </c>
      <c r="C3125" s="87" t="s">
        <v>13</v>
      </c>
      <c r="D3125" s="87" t="str">
        <f>VLOOKUP(Tabela1[[#This Row],[Origem]], 'Perguntas 1 a 24'!$J$28:$K$34, 2, 0)</f>
        <v>Sudeste</v>
      </c>
      <c r="E3125" s="87" t="str">
        <f>Tabela1[[#This Row],[Descrição]]&amp;"-"&amp;Tabela1[[#This Row],[Código]]&amp;"/"&amp;Tabela1[[#This Row],[Origem]]</f>
        <v>Totoga-H623P532/SP</v>
      </c>
      <c r="F3125" s="88">
        <v>47378</v>
      </c>
      <c r="G3125" s="88" t="str" cm="1">
        <f t="array" ref="G31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AND(F3125&gt;= DATE(2026,1,1), F3125&lt;= DATE(2028, 12, 31), J3125&gt;50000), "Pendente e Caro", AND(F3125&gt;= DATE(2026,1,1), F3125&lt;= DATE(2028, 12, 31), J3125&lt;=50000), "Pendente", F3125&gt;= DATE(2029,1,1), "Não prioeitário")</f>
        <v>Não prioeitário</v>
      </c>
      <c r="H3125" s="89">
        <f>YEAR(Tabela1[[#This Row],[Data de Validade]])</f>
        <v>2029</v>
      </c>
      <c r="I3125" s="89">
        <f>MONTH(Tabela1[[#This Row],[Data de Validade]])</f>
        <v>9</v>
      </c>
      <c r="J3125" s="101">
        <v>78245</v>
      </c>
      <c r="K3125" s="87" t="s">
        <v>14</v>
      </c>
      <c r="L3125" s="108"/>
      <c r="M3125" s="108"/>
      <c r="N3125" s="108" t="str">
        <v>H572P647</v>
      </c>
      <c r="O3125" s="108">
        <f t="shared" si="50"/>
        <v>1</v>
      </c>
      <c r="P3125" s="108"/>
      <c r="Q3125"/>
    </row>
    <row r="3126" spans="1:17" x14ac:dyDescent="0.25">
      <c r="A3126" s="89" t="s">
        <v>4010</v>
      </c>
      <c r="B3126" s="87" t="s">
        <v>4011</v>
      </c>
      <c r="C3126" s="87" t="s">
        <v>10</v>
      </c>
      <c r="D3126" s="87" t="str">
        <f>VLOOKUP(Tabela1[[#This Row],[Origem]], 'Perguntas 1 a 24'!$J$28:$K$34, 2, 0)</f>
        <v>Centro-Oeste</v>
      </c>
      <c r="E3126" s="87" t="str">
        <f>Tabela1[[#This Row],[Descrição]]&amp;"-"&amp;Tabela1[[#This Row],[Código]]&amp;"/"&amp;Tabela1[[#This Row],[Origem]]</f>
        <v>Vumicida-P251H191/GO</v>
      </c>
      <c r="F3126" s="88">
        <v>47378</v>
      </c>
      <c r="G3126" s="88" t="str" cm="1">
        <f t="array" ref="G31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AND(F3126&gt;= DATE(2026,1,1), F3126&lt;= DATE(2028, 12, 31), J3126&gt;50000), "Pendente e Caro", AND(F3126&gt;= DATE(2026,1,1), F3126&lt;= DATE(2028, 12, 31), J3126&lt;=50000), "Pendente", F3126&gt;= DATE(2029,1,1), "Não prioeitário")</f>
        <v>Não prioeitário</v>
      </c>
      <c r="H3126" s="89">
        <f>YEAR(Tabela1[[#This Row],[Data de Validade]])</f>
        <v>2029</v>
      </c>
      <c r="I3126" s="89">
        <f>MONTH(Tabela1[[#This Row],[Data de Validade]])</f>
        <v>9</v>
      </c>
      <c r="J3126" s="101">
        <v>63006</v>
      </c>
      <c r="K3126" s="87" t="s">
        <v>11</v>
      </c>
      <c r="L3126" s="108"/>
      <c r="M3126" s="108"/>
      <c r="N3126" s="108" t="str">
        <v>P259H267</v>
      </c>
      <c r="O3126" s="108">
        <f t="shared" si="50"/>
        <v>1</v>
      </c>
      <c r="P3126" s="108"/>
      <c r="Q3126"/>
    </row>
    <row r="3127" spans="1:17" x14ac:dyDescent="0.25">
      <c r="A3127" s="89" t="s">
        <v>9711</v>
      </c>
      <c r="B3127" s="87" t="s">
        <v>9712</v>
      </c>
      <c r="C3127" s="87" t="s">
        <v>16</v>
      </c>
      <c r="D3127" s="87" t="str">
        <f>VLOOKUP(Tabela1[[#This Row],[Origem]], 'Perguntas 1 a 24'!$J$28:$K$34, 2, 0)</f>
        <v>Sudeste</v>
      </c>
      <c r="E3127" s="87" t="str">
        <f>Tabela1[[#This Row],[Descrição]]&amp;"-"&amp;Tabela1[[#This Row],[Código]]&amp;"/"&amp;Tabela1[[#This Row],[Origem]]</f>
        <v>Pecopifatu-H143P243/MG</v>
      </c>
      <c r="F3127" s="88">
        <v>47378</v>
      </c>
      <c r="G3127" s="88" t="str" cm="1">
        <f t="array" ref="G31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AND(F3127&gt;= DATE(2026,1,1), F3127&lt;= DATE(2028, 12, 31), J3127&gt;50000), "Pendente e Caro", AND(F3127&gt;= DATE(2026,1,1), F3127&lt;= DATE(2028, 12, 31), J3127&lt;=50000), "Pendente", F3127&gt;= DATE(2029,1,1), "Não prioeitário")</f>
        <v>Não prioeitário</v>
      </c>
      <c r="H3127" s="89">
        <f>YEAR(Tabela1[[#This Row],[Data de Validade]])</f>
        <v>2029</v>
      </c>
      <c r="I3127" s="89">
        <f>MONTH(Tabela1[[#This Row],[Data de Validade]])</f>
        <v>9</v>
      </c>
      <c r="J3127" s="101">
        <v>47459</v>
      </c>
      <c r="K3127" s="87" t="s">
        <v>7</v>
      </c>
      <c r="L3127" s="108"/>
      <c r="M3127" s="108"/>
      <c r="N3127" s="108" t="str">
        <v>P484P612</v>
      </c>
      <c r="O3127" s="108">
        <f t="shared" si="50"/>
        <v>1</v>
      </c>
      <c r="P3127" s="108"/>
      <c r="Q3127"/>
    </row>
    <row r="3128" spans="1:17" x14ac:dyDescent="0.25">
      <c r="A3128" s="89" t="s">
        <v>10463</v>
      </c>
      <c r="B3128" s="87" t="s">
        <v>10464</v>
      </c>
      <c r="C3128" s="87" t="s">
        <v>8</v>
      </c>
      <c r="D3128" s="87" t="str">
        <f>VLOOKUP(Tabela1[[#This Row],[Origem]], 'Perguntas 1 a 24'!$J$28:$K$34, 2, 0)</f>
        <v>Nordeste</v>
      </c>
      <c r="E3128" s="87" t="str">
        <f>Tabela1[[#This Row],[Descrição]]&amp;"-"&amp;Tabela1[[#This Row],[Código]]&amp;"/"&amp;Tabela1[[#This Row],[Origem]]</f>
        <v>Doretoto-P415H914/AL</v>
      </c>
      <c r="F3128" s="88">
        <v>47379</v>
      </c>
      <c r="G3128" s="88" t="str" cm="1">
        <f t="array" ref="G31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AND(F3128&gt;= DATE(2026,1,1), F3128&lt;= DATE(2028, 12, 31), J3128&gt;50000), "Pendente e Caro", AND(F3128&gt;= DATE(2026,1,1), F3128&lt;= DATE(2028, 12, 31), J3128&lt;=50000), "Pendente", F3128&gt;= DATE(2029,1,1), "Não prioeitário")</f>
        <v>Não prioeitário</v>
      </c>
      <c r="H3128" s="89">
        <f>YEAR(Tabela1[[#This Row],[Data de Validade]])</f>
        <v>2029</v>
      </c>
      <c r="I3128" s="89">
        <f>MONTH(Tabela1[[#This Row],[Data de Validade]])</f>
        <v>9</v>
      </c>
      <c r="J3128" s="101">
        <v>37742</v>
      </c>
      <c r="K3128" s="87" t="s">
        <v>7</v>
      </c>
      <c r="L3128" s="108"/>
      <c r="M3128" s="108"/>
      <c r="N3128" s="108" t="str">
        <v>P351P519</v>
      </c>
      <c r="O3128" s="108">
        <f t="shared" si="50"/>
        <v>1</v>
      </c>
      <c r="P3128" s="108"/>
      <c r="Q3128"/>
    </row>
    <row r="3129" spans="1:17" x14ac:dyDescent="0.25">
      <c r="A3129" s="89" t="s">
        <v>9277</v>
      </c>
      <c r="B3129" s="87" t="s">
        <v>9278</v>
      </c>
      <c r="C3129" s="87" t="s">
        <v>13</v>
      </c>
      <c r="D3129" s="87" t="str">
        <f>VLOOKUP(Tabela1[[#This Row],[Origem]], 'Perguntas 1 a 24'!$J$28:$K$34, 2, 0)</f>
        <v>Sudeste</v>
      </c>
      <c r="E3129" s="87" t="str">
        <f>Tabela1[[#This Row],[Descrição]]&amp;"-"&amp;Tabela1[[#This Row],[Código]]&amp;"/"&amp;Tabela1[[#This Row],[Origem]]</f>
        <v>Garataco-H572P647/SP</v>
      </c>
      <c r="F3129" s="88">
        <v>47380</v>
      </c>
      <c r="G3129" s="88" t="str" cm="1">
        <f t="array" ref="G31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AND(F3129&gt;= DATE(2026,1,1), F3129&lt;= DATE(2028, 12, 31), J3129&gt;50000), "Pendente e Caro", AND(F3129&gt;= DATE(2026,1,1), F3129&lt;= DATE(2028, 12, 31), J3129&lt;=50000), "Pendente", F3129&gt;= DATE(2029,1,1), "Não prioeitário")</f>
        <v>Não prioeitário</v>
      </c>
      <c r="H3129" s="89">
        <f>YEAR(Tabela1[[#This Row],[Data de Validade]])</f>
        <v>2029</v>
      </c>
      <c r="I3129" s="89">
        <f>MONTH(Tabela1[[#This Row],[Data de Validade]])</f>
        <v>9</v>
      </c>
      <c r="J3129" s="101">
        <v>40351</v>
      </c>
      <c r="K3129" s="87" t="s">
        <v>11</v>
      </c>
      <c r="L3129" s="108"/>
      <c r="M3129" s="108"/>
      <c r="N3129" s="108" t="str">
        <v>P198H521</v>
      </c>
      <c r="O3129" s="108">
        <f t="shared" si="50"/>
        <v>1</v>
      </c>
      <c r="P3129" s="108"/>
      <c r="Q3129"/>
    </row>
    <row r="3130" spans="1:17" x14ac:dyDescent="0.25">
      <c r="A3130" s="89" t="s">
        <v>9647</v>
      </c>
      <c r="B3130" s="87" t="s">
        <v>9648</v>
      </c>
      <c r="C3130" s="87" t="s">
        <v>8</v>
      </c>
      <c r="D3130" s="87" t="str">
        <f>VLOOKUP(Tabela1[[#This Row],[Origem]], 'Perguntas 1 a 24'!$J$28:$K$34, 2, 0)</f>
        <v>Nordeste</v>
      </c>
      <c r="E3130" s="87" t="str">
        <f>Tabela1[[#This Row],[Descrição]]&amp;"-"&amp;Tabela1[[#This Row],[Código]]&amp;"/"&amp;Tabela1[[#This Row],[Origem]]</f>
        <v>Durafa-P259H267/AL</v>
      </c>
      <c r="F3130" s="88">
        <v>47381</v>
      </c>
      <c r="G3130" s="88" t="str" cm="1">
        <f t="array" ref="G31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AND(F3130&gt;= DATE(2026,1,1), F3130&lt;= DATE(2028, 12, 31), J3130&gt;50000), "Pendente e Caro", AND(F3130&gt;= DATE(2026,1,1), F3130&lt;= DATE(2028, 12, 31), J3130&lt;=50000), "Pendente", F3130&gt;= DATE(2029,1,1), "Não prioeitário")</f>
        <v>Não prioeitário</v>
      </c>
      <c r="H3130" s="89">
        <f>YEAR(Tabela1[[#This Row],[Data de Validade]])</f>
        <v>2029</v>
      </c>
      <c r="I3130" s="89">
        <f>MONTH(Tabela1[[#This Row],[Data de Validade]])</f>
        <v>9</v>
      </c>
      <c r="J3130" s="101">
        <v>111161</v>
      </c>
      <c r="K3130" s="87" t="s">
        <v>7</v>
      </c>
      <c r="L3130" s="108"/>
      <c r="M3130" s="108"/>
      <c r="N3130" s="108" t="str">
        <v>H822H482</v>
      </c>
      <c r="O3130" s="108">
        <f t="shared" si="50"/>
        <v>1</v>
      </c>
      <c r="P3130" s="108"/>
      <c r="Q3130"/>
    </row>
    <row r="3131" spans="1:17" x14ac:dyDescent="0.25">
      <c r="A3131" s="89" t="s">
        <v>10963</v>
      </c>
      <c r="B3131" s="87" t="s">
        <v>10964</v>
      </c>
      <c r="C3131" s="87" t="s">
        <v>6</v>
      </c>
      <c r="D3131" s="87" t="str">
        <f>VLOOKUP(Tabela1[[#This Row],[Origem]], 'Perguntas 1 a 24'!$J$28:$K$34, 2, 0)</f>
        <v>Nordeste</v>
      </c>
      <c r="E3131" s="87" t="str">
        <f>Tabela1[[#This Row],[Descrição]]&amp;"-"&amp;Tabela1[[#This Row],[Código]]&amp;"/"&amp;Tabela1[[#This Row],[Origem]]</f>
        <v>Gopepope-P484P612/MA</v>
      </c>
      <c r="F3131" s="88">
        <v>47384</v>
      </c>
      <c r="G3131" s="88" t="str" cm="1">
        <f t="array" ref="G31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AND(F3131&gt;= DATE(2026,1,1), F3131&lt;= DATE(2028, 12, 31), J3131&gt;50000), "Pendente e Caro", AND(F3131&gt;= DATE(2026,1,1), F3131&lt;= DATE(2028, 12, 31), J3131&lt;=50000), "Pendente", F3131&gt;= DATE(2029,1,1), "Não prioeitário")</f>
        <v>Não prioeitário</v>
      </c>
      <c r="H3131" s="89">
        <f>YEAR(Tabela1[[#This Row],[Data de Validade]])</f>
        <v>2029</v>
      </c>
      <c r="I3131" s="89">
        <f>MONTH(Tabela1[[#This Row],[Data de Validade]])</f>
        <v>9</v>
      </c>
      <c r="J3131" s="101">
        <v>77471</v>
      </c>
      <c r="K3131" s="87" t="s">
        <v>11</v>
      </c>
      <c r="L3131" s="108"/>
      <c r="M3131" s="108"/>
      <c r="N3131" s="108" t="str">
        <v>H627P753</v>
      </c>
      <c r="O3131" s="108">
        <f t="shared" si="50"/>
        <v>1</v>
      </c>
      <c r="P3131" s="108"/>
      <c r="Q3131"/>
    </row>
    <row r="3132" spans="1:17" x14ac:dyDescent="0.25">
      <c r="A3132" s="89" t="s">
        <v>5042</v>
      </c>
      <c r="B3132" s="87" t="s">
        <v>5043</v>
      </c>
      <c r="C3132" s="87" t="s">
        <v>15</v>
      </c>
      <c r="D3132" s="87" t="str">
        <f>VLOOKUP(Tabela1[[#This Row],[Origem]], 'Perguntas 1 a 24'!$J$28:$K$34, 2, 0)</f>
        <v>Sudeste</v>
      </c>
      <c r="E3132" s="87" t="str">
        <f>Tabela1[[#This Row],[Descrição]]&amp;"-"&amp;Tabela1[[#This Row],[Código]]&amp;"/"&amp;Tabela1[[#This Row],[Origem]]</f>
        <v>Racipo-P351P519/ES</v>
      </c>
      <c r="F3132" s="88">
        <v>47385</v>
      </c>
      <c r="G3132" s="88" t="str" cm="1">
        <f t="array" ref="G31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AND(F3132&gt;= DATE(2026,1,1), F3132&lt;= DATE(2028, 12, 31), J3132&gt;50000), "Pendente e Caro", AND(F3132&gt;= DATE(2026,1,1), F3132&lt;= DATE(2028, 12, 31), J3132&lt;=50000), "Pendente", F3132&gt;= DATE(2029,1,1), "Não prioeitário")</f>
        <v>Não prioeitário</v>
      </c>
      <c r="H3132" s="89">
        <f>YEAR(Tabela1[[#This Row],[Data de Validade]])</f>
        <v>2029</v>
      </c>
      <c r="I3132" s="89">
        <f>MONTH(Tabela1[[#This Row],[Data de Validade]])</f>
        <v>9</v>
      </c>
      <c r="J3132" s="101">
        <v>89505</v>
      </c>
      <c r="K3132" s="87" t="s">
        <v>11</v>
      </c>
      <c r="L3132" s="108"/>
      <c r="M3132" s="108"/>
      <c r="N3132" s="108" t="str">
        <v>P781H979</v>
      </c>
      <c r="O3132" s="108">
        <f t="shared" si="50"/>
        <v>1</v>
      </c>
      <c r="P3132" s="108"/>
      <c r="Q3132"/>
    </row>
    <row r="3133" spans="1:17" x14ac:dyDescent="0.25">
      <c r="A3133" s="89" t="s">
        <v>7736</v>
      </c>
      <c r="B3133" s="87" t="s">
        <v>7737</v>
      </c>
      <c r="C3133" s="87" t="s">
        <v>13</v>
      </c>
      <c r="D3133" s="87" t="str">
        <f>VLOOKUP(Tabela1[[#This Row],[Origem]], 'Perguntas 1 a 24'!$J$28:$K$34, 2, 0)</f>
        <v>Sudeste</v>
      </c>
      <c r="E3133" s="87" t="str">
        <f>Tabela1[[#This Row],[Descrição]]&amp;"-"&amp;Tabela1[[#This Row],[Código]]&amp;"/"&amp;Tabela1[[#This Row],[Origem]]</f>
        <v>Periludage-P198H521/SP</v>
      </c>
      <c r="F3133" s="88">
        <v>47386</v>
      </c>
      <c r="G3133" s="88" t="str" cm="1">
        <f t="array" ref="G31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AND(F3133&gt;= DATE(2026,1,1), F3133&lt;= DATE(2028, 12, 31), J3133&gt;50000), "Pendente e Caro", AND(F3133&gt;= DATE(2026,1,1), F3133&lt;= DATE(2028, 12, 31), J3133&lt;=50000), "Pendente", F3133&gt;= DATE(2029,1,1), "Não prioeitário")</f>
        <v>Não prioeitário</v>
      </c>
      <c r="H3133" s="89">
        <f>YEAR(Tabela1[[#This Row],[Data de Validade]])</f>
        <v>2029</v>
      </c>
      <c r="I3133" s="89">
        <f>MONTH(Tabela1[[#This Row],[Data de Validade]])</f>
        <v>9</v>
      </c>
      <c r="J3133" s="101">
        <v>48263</v>
      </c>
      <c r="K3133" s="87" t="s">
        <v>11</v>
      </c>
      <c r="L3133" s="108"/>
      <c r="M3133" s="108"/>
      <c r="N3133" s="108" t="str">
        <v>H393P794</v>
      </c>
      <c r="O3133" s="108">
        <f t="shared" si="50"/>
        <v>1</v>
      </c>
      <c r="P3133" s="108"/>
      <c r="Q3133"/>
    </row>
    <row r="3134" spans="1:17" x14ac:dyDescent="0.25">
      <c r="A3134" s="89" t="s">
        <v>4471</v>
      </c>
      <c r="B3134" s="87" t="s">
        <v>4472</v>
      </c>
      <c r="C3134" s="87" t="s">
        <v>10</v>
      </c>
      <c r="D3134" s="87" t="str">
        <f>VLOOKUP(Tabela1[[#This Row],[Origem]], 'Perguntas 1 a 24'!$J$28:$K$34, 2, 0)</f>
        <v>Centro-Oeste</v>
      </c>
      <c r="E3134" s="87" t="str">
        <f>Tabela1[[#This Row],[Descrição]]&amp;"-"&amp;Tabela1[[#This Row],[Código]]&amp;"/"&amp;Tabela1[[#This Row],[Origem]]</f>
        <v>Petudu-H822H482/GO</v>
      </c>
      <c r="F3134" s="88">
        <v>47386</v>
      </c>
      <c r="G3134" s="88" t="str" cm="1">
        <f t="array" ref="G31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AND(F3134&gt;= DATE(2026,1,1), F3134&lt;= DATE(2028, 12, 31), J3134&gt;50000), "Pendente e Caro", AND(F3134&gt;= DATE(2026,1,1), F3134&lt;= DATE(2028, 12, 31), J3134&lt;=50000), "Pendente", F3134&gt;= DATE(2029,1,1), "Não prioeitário")</f>
        <v>Não prioeitário</v>
      </c>
      <c r="H3134" s="89">
        <f>YEAR(Tabela1[[#This Row],[Data de Validade]])</f>
        <v>2029</v>
      </c>
      <c r="I3134" s="89">
        <f>MONTH(Tabela1[[#This Row],[Data de Validade]])</f>
        <v>9</v>
      </c>
      <c r="J3134" s="101">
        <v>24067</v>
      </c>
      <c r="K3134" s="87" t="s">
        <v>11</v>
      </c>
      <c r="L3134" s="108"/>
      <c r="M3134" s="108"/>
      <c r="N3134" s="108" t="str">
        <v>P674P715</v>
      </c>
      <c r="O3134" s="108">
        <f t="shared" si="50"/>
        <v>1</v>
      </c>
      <c r="P3134" s="108"/>
      <c r="Q3134"/>
    </row>
    <row r="3135" spans="1:17" x14ac:dyDescent="0.25">
      <c r="A3135" s="89" t="s">
        <v>11244</v>
      </c>
      <c r="B3135" s="87" t="s">
        <v>11245</v>
      </c>
      <c r="C3135" s="87" t="s">
        <v>10</v>
      </c>
      <c r="D3135" s="87" t="str">
        <f>VLOOKUP(Tabela1[[#This Row],[Origem]], 'Perguntas 1 a 24'!$J$28:$K$34, 2, 0)</f>
        <v>Centro-Oeste</v>
      </c>
      <c r="E3135" s="87" t="str">
        <f>Tabela1[[#This Row],[Descrição]]&amp;"-"&amp;Tabela1[[#This Row],[Código]]&amp;"/"&amp;Tabela1[[#This Row],[Origem]]</f>
        <v>Tapecotani-H627P753/GO</v>
      </c>
      <c r="F3135" s="88">
        <v>47387</v>
      </c>
      <c r="G3135" s="88" t="str" cm="1">
        <f t="array" ref="G31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AND(F3135&gt;= DATE(2026,1,1), F3135&lt;= DATE(2028, 12, 31), J3135&gt;50000), "Pendente e Caro", AND(F3135&gt;= DATE(2026,1,1), F3135&lt;= DATE(2028, 12, 31), J3135&lt;=50000), "Pendente", F3135&gt;= DATE(2029,1,1), "Não prioeitário")</f>
        <v>Não prioeitário</v>
      </c>
      <c r="H3135" s="89">
        <f>YEAR(Tabela1[[#This Row],[Data de Validade]])</f>
        <v>2029</v>
      </c>
      <c r="I3135" s="89">
        <f>MONTH(Tabela1[[#This Row],[Data de Validade]])</f>
        <v>9</v>
      </c>
      <c r="J3135" s="101">
        <v>94828</v>
      </c>
      <c r="K3135" s="87" t="s">
        <v>9</v>
      </c>
      <c r="L3135" s="108"/>
      <c r="M3135" s="108"/>
      <c r="N3135" s="108" t="str">
        <v>H517P894</v>
      </c>
      <c r="O3135" s="108">
        <f t="shared" si="50"/>
        <v>1</v>
      </c>
      <c r="P3135" s="108"/>
      <c r="Q3135"/>
    </row>
    <row r="3136" spans="1:17" x14ac:dyDescent="0.25">
      <c r="A3136" s="89" t="s">
        <v>9703</v>
      </c>
      <c r="B3136" s="87" t="s">
        <v>9704</v>
      </c>
      <c r="C3136" s="87" t="s">
        <v>16</v>
      </c>
      <c r="D3136" s="87" t="str">
        <f>VLOOKUP(Tabela1[[#This Row],[Origem]], 'Perguntas 1 a 24'!$J$28:$K$34, 2, 0)</f>
        <v>Sudeste</v>
      </c>
      <c r="E3136" s="87" t="str">
        <f>Tabela1[[#This Row],[Descrição]]&amp;"-"&amp;Tabela1[[#This Row],[Código]]&amp;"/"&amp;Tabela1[[#This Row],[Origem]]</f>
        <v>Lelotonivi-P781H979/MG</v>
      </c>
      <c r="F3136" s="88">
        <v>47387</v>
      </c>
      <c r="G3136" s="88" t="str" cm="1">
        <f t="array" ref="G31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AND(F3136&gt;= DATE(2026,1,1), F3136&lt;= DATE(2028, 12, 31), J3136&gt;50000), "Pendente e Caro", AND(F3136&gt;= DATE(2026,1,1), F3136&lt;= DATE(2028, 12, 31), J3136&lt;=50000), "Pendente", F3136&gt;= DATE(2029,1,1), "Não prioeitário")</f>
        <v>Não prioeitário</v>
      </c>
      <c r="H3136" s="89">
        <f>YEAR(Tabela1[[#This Row],[Data de Validade]])</f>
        <v>2029</v>
      </c>
      <c r="I3136" s="89">
        <f>MONTH(Tabela1[[#This Row],[Data de Validade]])</f>
        <v>9</v>
      </c>
      <c r="J3136" s="101">
        <v>53285</v>
      </c>
      <c r="K3136" s="87" t="s">
        <v>11</v>
      </c>
      <c r="L3136" s="108"/>
      <c r="M3136" s="108"/>
      <c r="N3136" s="108" t="str">
        <v>H386P757</v>
      </c>
      <c r="O3136" s="108">
        <f t="shared" si="50"/>
        <v>1</v>
      </c>
      <c r="P3136" s="108"/>
      <c r="Q3136"/>
    </row>
    <row r="3137" spans="1:17" x14ac:dyDescent="0.25">
      <c r="A3137" s="89" t="s">
        <v>9877</v>
      </c>
      <c r="B3137" s="87" t="s">
        <v>9878</v>
      </c>
      <c r="C3137" s="87" t="s">
        <v>13</v>
      </c>
      <c r="D3137" s="87" t="str">
        <f>VLOOKUP(Tabela1[[#This Row],[Origem]], 'Perguntas 1 a 24'!$J$28:$K$34, 2, 0)</f>
        <v>Sudeste</v>
      </c>
      <c r="E3137" s="87" t="str">
        <f>Tabela1[[#This Row],[Descrição]]&amp;"-"&amp;Tabela1[[#This Row],[Código]]&amp;"/"&amp;Tabela1[[#This Row],[Origem]]</f>
        <v>Velivaci-H393P794/SP</v>
      </c>
      <c r="F3137" s="88">
        <v>47388</v>
      </c>
      <c r="G3137" s="88" t="str" cm="1">
        <f t="array" ref="G31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AND(F3137&gt;= DATE(2026,1,1), F3137&lt;= DATE(2028, 12, 31), J3137&gt;50000), "Pendente e Caro", AND(F3137&gt;= DATE(2026,1,1), F3137&lt;= DATE(2028, 12, 31), J3137&lt;=50000), "Pendente", F3137&gt;= DATE(2029,1,1), "Não prioeitário")</f>
        <v>Não prioeitário</v>
      </c>
      <c r="H3137" s="89">
        <f>YEAR(Tabela1[[#This Row],[Data de Validade]])</f>
        <v>2029</v>
      </c>
      <c r="I3137" s="89">
        <f>MONTH(Tabela1[[#This Row],[Data de Validade]])</f>
        <v>9</v>
      </c>
      <c r="J3137" s="101">
        <v>111652</v>
      </c>
      <c r="K3137" s="87" t="s">
        <v>14</v>
      </c>
      <c r="L3137" s="108"/>
      <c r="M3137" s="108"/>
      <c r="N3137" s="108" t="str">
        <v>P715H741</v>
      </c>
      <c r="O3137" s="108">
        <f t="shared" si="50"/>
        <v>1</v>
      </c>
      <c r="P3137" s="108"/>
      <c r="Q3137"/>
    </row>
    <row r="3138" spans="1:17" x14ac:dyDescent="0.25">
      <c r="A3138" s="89" t="s">
        <v>8711</v>
      </c>
      <c r="B3138" s="87" t="s">
        <v>8712</v>
      </c>
      <c r="C3138" s="87" t="s">
        <v>13</v>
      </c>
      <c r="D3138" s="87" t="str">
        <f>VLOOKUP(Tabela1[[#This Row],[Origem]], 'Perguntas 1 a 24'!$J$28:$K$34, 2, 0)</f>
        <v>Sudeste</v>
      </c>
      <c r="E3138" s="87" t="str">
        <f>Tabela1[[#This Row],[Descrição]]&amp;"-"&amp;Tabela1[[#This Row],[Código]]&amp;"/"&amp;Tabela1[[#This Row],[Origem]]</f>
        <v>Dotireru-P674P715/SP</v>
      </c>
      <c r="F3138" s="88">
        <v>47389</v>
      </c>
      <c r="G3138" s="88" t="str" cm="1">
        <f t="array" ref="G31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AND(F3138&gt;= DATE(2026,1,1), F3138&lt;= DATE(2028, 12, 31), J3138&gt;50000), "Pendente e Caro", AND(F3138&gt;= DATE(2026,1,1), F3138&lt;= DATE(2028, 12, 31), J3138&lt;=50000), "Pendente", F3138&gt;= DATE(2029,1,1), "Não prioeitário")</f>
        <v>Não prioeitário</v>
      </c>
      <c r="H3138" s="89">
        <f>YEAR(Tabela1[[#This Row],[Data de Validade]])</f>
        <v>2029</v>
      </c>
      <c r="I3138" s="89">
        <f>MONTH(Tabela1[[#This Row],[Data de Validade]])</f>
        <v>9</v>
      </c>
      <c r="J3138" s="101">
        <v>96337</v>
      </c>
      <c r="K3138" s="87" t="s">
        <v>14</v>
      </c>
      <c r="L3138" s="108"/>
      <c r="M3138" s="108"/>
      <c r="N3138" s="108" t="str">
        <v>H742H813</v>
      </c>
      <c r="O3138" s="108">
        <f t="shared" si="50"/>
        <v>1</v>
      </c>
      <c r="P3138" s="108"/>
      <c r="Q3138"/>
    </row>
    <row r="3139" spans="1:17" x14ac:dyDescent="0.25">
      <c r="A3139" s="89" t="s">
        <v>8987</v>
      </c>
      <c r="B3139" s="87" t="s">
        <v>8988</v>
      </c>
      <c r="C3139" s="87" t="s">
        <v>6</v>
      </c>
      <c r="D3139" s="87" t="str">
        <f>VLOOKUP(Tabela1[[#This Row],[Origem]], 'Perguntas 1 a 24'!$J$28:$K$34, 2, 0)</f>
        <v>Nordeste</v>
      </c>
      <c r="E3139" s="87" t="str">
        <f>Tabela1[[#This Row],[Descrição]]&amp;"-"&amp;Tabela1[[#This Row],[Código]]&amp;"/"&amp;Tabela1[[#This Row],[Origem]]</f>
        <v>Cilepenile-H517P894/MA</v>
      </c>
      <c r="F3139" s="88">
        <v>47390</v>
      </c>
      <c r="G3139" s="88" t="str" cm="1">
        <f t="array" ref="G31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AND(F3139&gt;= DATE(2026,1,1), F3139&lt;= DATE(2028, 12, 31), J3139&gt;50000), "Pendente e Caro", AND(F3139&gt;= DATE(2026,1,1), F3139&lt;= DATE(2028, 12, 31), J3139&lt;=50000), "Pendente", F3139&gt;= DATE(2029,1,1), "Não prioeitário")</f>
        <v>Não prioeitário</v>
      </c>
      <c r="H3139" s="89">
        <f>YEAR(Tabela1[[#This Row],[Data de Validade]])</f>
        <v>2029</v>
      </c>
      <c r="I3139" s="89">
        <f>MONTH(Tabela1[[#This Row],[Data de Validade]])</f>
        <v>9</v>
      </c>
      <c r="J3139" s="101">
        <v>115889</v>
      </c>
      <c r="K3139" s="87" t="s">
        <v>7</v>
      </c>
      <c r="L3139" s="108"/>
      <c r="M3139" s="108"/>
      <c r="N3139" s="108" t="str">
        <v>P387H988</v>
      </c>
      <c r="O3139" s="108">
        <f t="shared" ref="O3139:O3202" si="51">COUNTIFS(B:B,N3139)</f>
        <v>1</v>
      </c>
      <c r="P3139" s="108"/>
      <c r="Q3139"/>
    </row>
    <row r="3140" spans="1:17" x14ac:dyDescent="0.25">
      <c r="A3140" s="89" t="s">
        <v>10931</v>
      </c>
      <c r="B3140" s="87" t="s">
        <v>10932</v>
      </c>
      <c r="C3140" s="87" t="s">
        <v>13</v>
      </c>
      <c r="D3140" s="87" t="str">
        <f>VLOOKUP(Tabela1[[#This Row],[Origem]], 'Perguntas 1 a 24'!$J$28:$K$34, 2, 0)</f>
        <v>Sudeste</v>
      </c>
      <c r="E3140" s="87" t="str">
        <f>Tabela1[[#This Row],[Descrição]]&amp;"-"&amp;Tabela1[[#This Row],[Código]]&amp;"/"&amp;Tabela1[[#This Row],[Origem]]</f>
        <v>Mimotu-H386P757/SP</v>
      </c>
      <c r="F3140" s="88">
        <v>47390</v>
      </c>
      <c r="G3140" s="88" t="str" cm="1">
        <f t="array" ref="G31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AND(F3140&gt;= DATE(2026,1,1), F3140&lt;= DATE(2028, 12, 31), J3140&gt;50000), "Pendente e Caro", AND(F3140&gt;= DATE(2026,1,1), F3140&lt;= DATE(2028, 12, 31), J3140&lt;=50000), "Pendente", F3140&gt;= DATE(2029,1,1), "Não prioeitário")</f>
        <v>Não prioeitário</v>
      </c>
      <c r="H3140" s="89">
        <f>YEAR(Tabela1[[#This Row],[Data de Validade]])</f>
        <v>2029</v>
      </c>
      <c r="I3140" s="89">
        <f>MONTH(Tabela1[[#This Row],[Data de Validade]])</f>
        <v>9</v>
      </c>
      <c r="J3140" s="101">
        <v>72258</v>
      </c>
      <c r="K3140" s="87" t="s">
        <v>9</v>
      </c>
      <c r="L3140" s="108"/>
      <c r="M3140" s="108"/>
      <c r="N3140" s="108" t="str">
        <v>H689P722</v>
      </c>
      <c r="O3140" s="108">
        <f t="shared" si="51"/>
        <v>1</v>
      </c>
      <c r="P3140" s="108"/>
      <c r="Q3140"/>
    </row>
    <row r="3141" spans="1:17" x14ac:dyDescent="0.25">
      <c r="A3141" s="89" t="s">
        <v>9447</v>
      </c>
      <c r="B3141" s="87" t="s">
        <v>9448</v>
      </c>
      <c r="C3141" s="87" t="s">
        <v>13</v>
      </c>
      <c r="D3141" s="87" t="str">
        <f>VLOOKUP(Tabela1[[#This Row],[Origem]], 'Perguntas 1 a 24'!$J$28:$K$34, 2, 0)</f>
        <v>Sudeste</v>
      </c>
      <c r="E3141" s="87" t="str">
        <f>Tabela1[[#This Row],[Descrição]]&amp;"-"&amp;Tabela1[[#This Row],[Código]]&amp;"/"&amp;Tabela1[[#This Row],[Origem]]</f>
        <v>Ditumotuci-P715H741/SP</v>
      </c>
      <c r="F3141" s="88">
        <v>47390</v>
      </c>
      <c r="G3141" s="88" t="str" cm="1">
        <f t="array" ref="G31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AND(F3141&gt;= DATE(2026,1,1), F3141&lt;= DATE(2028, 12, 31), J3141&gt;50000), "Pendente e Caro", AND(F3141&gt;= DATE(2026,1,1), F3141&lt;= DATE(2028, 12, 31), J3141&lt;=50000), "Pendente", F3141&gt;= DATE(2029,1,1), "Não prioeitário")</f>
        <v>Não prioeitário</v>
      </c>
      <c r="H3141" s="89">
        <f>YEAR(Tabela1[[#This Row],[Data de Validade]])</f>
        <v>2029</v>
      </c>
      <c r="I3141" s="89">
        <f>MONTH(Tabela1[[#This Row],[Data de Validade]])</f>
        <v>9</v>
      </c>
      <c r="J3141" s="101">
        <v>41230</v>
      </c>
      <c r="K3141" s="87" t="s">
        <v>9</v>
      </c>
      <c r="L3141" s="108"/>
      <c r="M3141" s="108"/>
      <c r="N3141" s="108" t="str">
        <v>P331H934</v>
      </c>
      <c r="O3141" s="108">
        <f t="shared" si="51"/>
        <v>1</v>
      </c>
      <c r="P3141" s="108"/>
      <c r="Q3141"/>
    </row>
    <row r="3142" spans="1:17" x14ac:dyDescent="0.25">
      <c r="A3142" s="89" t="s">
        <v>5906</v>
      </c>
      <c r="B3142" s="87" t="s">
        <v>5907</v>
      </c>
      <c r="C3142" s="87" t="s">
        <v>12</v>
      </c>
      <c r="D3142" s="87" t="str">
        <f>VLOOKUP(Tabela1[[#This Row],[Origem]], 'Perguntas 1 a 24'!$J$28:$K$34, 2, 0)</f>
        <v>Sudeste</v>
      </c>
      <c r="E3142" s="87" t="str">
        <f>Tabela1[[#This Row],[Descrição]]&amp;"-"&amp;Tabela1[[#This Row],[Código]]&amp;"/"&amp;Tabela1[[#This Row],[Origem]]</f>
        <v>Riguruvani-H742H813/RJ</v>
      </c>
      <c r="F3142" s="88">
        <v>47391</v>
      </c>
      <c r="G3142" s="88" t="str" cm="1">
        <f t="array" ref="G31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AND(F3142&gt;= DATE(2026,1,1), F3142&lt;= DATE(2028, 12, 31), J3142&gt;50000), "Pendente e Caro", AND(F3142&gt;= DATE(2026,1,1), F3142&lt;= DATE(2028, 12, 31), J3142&lt;=50000), "Pendente", F3142&gt;= DATE(2029,1,1), "Não prioeitário")</f>
        <v>Não prioeitário</v>
      </c>
      <c r="H3142" s="89">
        <f>YEAR(Tabela1[[#This Row],[Data de Validade]])</f>
        <v>2029</v>
      </c>
      <c r="I3142" s="89">
        <f>MONTH(Tabela1[[#This Row],[Data de Validade]])</f>
        <v>9</v>
      </c>
      <c r="J3142" s="101">
        <v>114862</v>
      </c>
      <c r="K3142" s="87" t="s">
        <v>7</v>
      </c>
      <c r="L3142" s="108"/>
      <c r="M3142" s="108"/>
      <c r="N3142" s="108" t="str">
        <v>H598H565</v>
      </c>
      <c r="O3142" s="108">
        <f t="shared" si="51"/>
        <v>1</v>
      </c>
      <c r="P3142" s="108"/>
      <c r="Q3142"/>
    </row>
    <row r="3143" spans="1:17" x14ac:dyDescent="0.25">
      <c r="A3143" s="89" t="s">
        <v>9917</v>
      </c>
      <c r="B3143" s="87" t="s">
        <v>9918</v>
      </c>
      <c r="C3143" s="87" t="s">
        <v>16</v>
      </c>
      <c r="D3143" s="87" t="str">
        <f>VLOOKUP(Tabela1[[#This Row],[Origem]], 'Perguntas 1 a 24'!$J$28:$K$34, 2, 0)</f>
        <v>Sudeste</v>
      </c>
      <c r="E3143" s="87" t="str">
        <f>Tabela1[[#This Row],[Descrição]]&amp;"-"&amp;Tabela1[[#This Row],[Código]]&amp;"/"&amp;Tabela1[[#This Row],[Origem]]</f>
        <v>Pipatipi-P387H988/MG</v>
      </c>
      <c r="F3143" s="88">
        <v>47391</v>
      </c>
      <c r="G3143" s="88" t="str" cm="1">
        <f t="array" ref="G31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AND(F3143&gt;= DATE(2026,1,1), F3143&lt;= DATE(2028, 12, 31), J3143&gt;50000), "Pendente e Caro", AND(F3143&gt;= DATE(2026,1,1), F3143&lt;= DATE(2028, 12, 31), J3143&lt;=50000), "Pendente", F3143&gt;= DATE(2029,1,1), "Não prioeitário")</f>
        <v>Não prioeitário</v>
      </c>
      <c r="H3143" s="89">
        <f>YEAR(Tabela1[[#This Row],[Data de Validade]])</f>
        <v>2029</v>
      </c>
      <c r="I3143" s="89">
        <f>MONTH(Tabela1[[#This Row],[Data de Validade]])</f>
        <v>9</v>
      </c>
      <c r="J3143" s="101">
        <v>103544</v>
      </c>
      <c r="K3143" s="87" t="s">
        <v>7</v>
      </c>
      <c r="L3143" s="108"/>
      <c r="M3143" s="108"/>
      <c r="N3143" s="108" t="str">
        <v>P289P436</v>
      </c>
      <c r="O3143" s="108">
        <f t="shared" si="51"/>
        <v>1</v>
      </c>
      <c r="P3143" s="108"/>
      <c r="Q3143"/>
    </row>
    <row r="3144" spans="1:17" x14ac:dyDescent="0.25">
      <c r="A3144" s="89" t="s">
        <v>5436</v>
      </c>
      <c r="B3144" s="87" t="s">
        <v>5437</v>
      </c>
      <c r="C3144" s="87" t="s">
        <v>12</v>
      </c>
      <c r="D3144" s="87" t="str">
        <f>VLOOKUP(Tabela1[[#This Row],[Origem]], 'Perguntas 1 a 24'!$J$28:$K$34, 2, 0)</f>
        <v>Sudeste</v>
      </c>
      <c r="E3144" s="87" t="str">
        <f>Tabela1[[#This Row],[Descrição]]&amp;"-"&amp;Tabela1[[#This Row],[Código]]&amp;"/"&amp;Tabela1[[#This Row],[Origem]]</f>
        <v>Derufu-H689P722/RJ</v>
      </c>
      <c r="F3144" s="88">
        <v>47391</v>
      </c>
      <c r="G3144" s="88" t="str" cm="1">
        <f t="array" ref="G31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AND(F3144&gt;= DATE(2026,1,1), F3144&lt;= DATE(2028, 12, 31), J3144&gt;50000), "Pendente e Caro", AND(F3144&gt;= DATE(2026,1,1), F3144&lt;= DATE(2028, 12, 31), J3144&lt;=50000), "Pendente", F3144&gt;= DATE(2029,1,1), "Não prioeitário")</f>
        <v>Não prioeitário</v>
      </c>
      <c r="H3144" s="89">
        <f>YEAR(Tabela1[[#This Row],[Data de Validade]])</f>
        <v>2029</v>
      </c>
      <c r="I3144" s="89">
        <f>MONTH(Tabela1[[#This Row],[Data de Validade]])</f>
        <v>9</v>
      </c>
      <c r="J3144" s="101">
        <v>80428</v>
      </c>
      <c r="K3144" s="87" t="s">
        <v>7</v>
      </c>
      <c r="L3144" s="108"/>
      <c r="M3144" s="108"/>
      <c r="N3144" s="108" t="str">
        <v>H486P153</v>
      </c>
      <c r="O3144" s="108">
        <f t="shared" si="51"/>
        <v>1</v>
      </c>
      <c r="P3144" s="108"/>
      <c r="Q3144"/>
    </row>
    <row r="3145" spans="1:17" x14ac:dyDescent="0.25">
      <c r="A3145" s="89" t="s">
        <v>8759</v>
      </c>
      <c r="B3145" s="87" t="s">
        <v>8760</v>
      </c>
      <c r="C3145" s="87" t="s">
        <v>13</v>
      </c>
      <c r="D3145" s="87" t="str">
        <f>VLOOKUP(Tabela1[[#This Row],[Origem]], 'Perguntas 1 a 24'!$J$28:$K$34, 2, 0)</f>
        <v>Sudeste</v>
      </c>
      <c r="E3145" s="87" t="str">
        <f>Tabela1[[#This Row],[Descrição]]&amp;"-"&amp;Tabela1[[#This Row],[Código]]&amp;"/"&amp;Tabela1[[#This Row],[Origem]]</f>
        <v>Vopudopupi-P331H934/SP</v>
      </c>
      <c r="F3145" s="88">
        <v>47391</v>
      </c>
      <c r="G3145" s="88" t="str" cm="1">
        <f t="array" ref="G31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AND(F3145&gt;= DATE(2026,1,1), F3145&lt;= DATE(2028, 12, 31), J3145&gt;50000), "Pendente e Caro", AND(F3145&gt;= DATE(2026,1,1), F3145&lt;= DATE(2028, 12, 31), J3145&lt;=50000), "Pendente", F3145&gt;= DATE(2029,1,1), "Não prioeitário")</f>
        <v>Não prioeitário</v>
      </c>
      <c r="H3145" s="89">
        <f>YEAR(Tabela1[[#This Row],[Data de Validade]])</f>
        <v>2029</v>
      </c>
      <c r="I3145" s="89">
        <f>MONTH(Tabela1[[#This Row],[Data de Validade]])</f>
        <v>9</v>
      </c>
      <c r="J3145" s="101">
        <v>53055</v>
      </c>
      <c r="K3145" s="87" t="s">
        <v>14</v>
      </c>
      <c r="L3145" s="108"/>
      <c r="M3145" s="108"/>
      <c r="N3145" s="108" t="str">
        <v>P373P771</v>
      </c>
      <c r="O3145" s="108">
        <f t="shared" si="51"/>
        <v>1</v>
      </c>
      <c r="P3145" s="108"/>
      <c r="Q3145"/>
    </row>
    <row r="3146" spans="1:17" x14ac:dyDescent="0.25">
      <c r="A3146" s="89" t="s">
        <v>8190</v>
      </c>
      <c r="B3146" s="87" t="s">
        <v>8191</v>
      </c>
      <c r="C3146" s="87" t="s">
        <v>15</v>
      </c>
      <c r="D3146" s="87" t="str">
        <f>VLOOKUP(Tabela1[[#This Row],[Origem]], 'Perguntas 1 a 24'!$J$28:$K$34, 2, 0)</f>
        <v>Sudeste</v>
      </c>
      <c r="E3146" s="87" t="str">
        <f>Tabela1[[#This Row],[Descrição]]&amp;"-"&amp;Tabela1[[#This Row],[Código]]&amp;"/"&amp;Tabela1[[#This Row],[Origem]]</f>
        <v>Pavapo-H598H565/ES</v>
      </c>
      <c r="F3146" s="88">
        <v>47392</v>
      </c>
      <c r="G3146" s="88" t="str" cm="1">
        <f t="array" ref="G31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AND(F3146&gt;= DATE(2026,1,1), F3146&lt;= DATE(2028, 12, 31), J3146&gt;50000), "Pendente e Caro", AND(F3146&gt;= DATE(2026,1,1), F3146&lt;= DATE(2028, 12, 31), J3146&lt;=50000), "Pendente", F3146&gt;= DATE(2029,1,1), "Não prioeitário")</f>
        <v>Não prioeitário</v>
      </c>
      <c r="H3146" s="89">
        <f>YEAR(Tabela1[[#This Row],[Data de Validade]])</f>
        <v>2029</v>
      </c>
      <c r="I3146" s="89">
        <f>MONTH(Tabela1[[#This Row],[Data de Validade]])</f>
        <v>10</v>
      </c>
      <c r="J3146" s="101">
        <v>101983</v>
      </c>
      <c r="K3146" s="87" t="s">
        <v>7</v>
      </c>
      <c r="L3146" s="108"/>
      <c r="M3146" s="108"/>
      <c r="N3146" s="108" t="str">
        <v>P944H569</v>
      </c>
      <c r="O3146" s="108">
        <f t="shared" si="51"/>
        <v>1</v>
      </c>
      <c r="P3146" s="108"/>
      <c r="Q3146"/>
    </row>
    <row r="3147" spans="1:17" x14ac:dyDescent="0.25">
      <c r="A3147" s="89" t="s">
        <v>10259</v>
      </c>
      <c r="B3147" s="87" t="s">
        <v>10260</v>
      </c>
      <c r="C3147" s="87" t="s">
        <v>16</v>
      </c>
      <c r="D3147" s="87" t="str">
        <f>VLOOKUP(Tabela1[[#This Row],[Origem]], 'Perguntas 1 a 24'!$J$28:$K$34, 2, 0)</f>
        <v>Sudeste</v>
      </c>
      <c r="E3147" s="87" t="str">
        <f>Tabela1[[#This Row],[Descrição]]&amp;"-"&amp;Tabela1[[#This Row],[Código]]&amp;"/"&amp;Tabela1[[#This Row],[Origem]]</f>
        <v>Gatife-P289P436/MG</v>
      </c>
      <c r="F3147" s="88">
        <v>47392</v>
      </c>
      <c r="G3147" s="88" t="str" cm="1">
        <f t="array" ref="G31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AND(F3147&gt;= DATE(2026,1,1), F3147&lt;= DATE(2028, 12, 31), J3147&gt;50000), "Pendente e Caro", AND(F3147&gt;= DATE(2026,1,1), F3147&lt;= DATE(2028, 12, 31), J3147&lt;=50000), "Pendente", F3147&gt;= DATE(2029,1,1), "Não prioeitário")</f>
        <v>Não prioeitário</v>
      </c>
      <c r="H3147" s="89">
        <f>YEAR(Tabela1[[#This Row],[Data de Validade]])</f>
        <v>2029</v>
      </c>
      <c r="I3147" s="89">
        <f>MONTH(Tabela1[[#This Row],[Data de Validade]])</f>
        <v>10</v>
      </c>
      <c r="J3147" s="101">
        <v>32838</v>
      </c>
      <c r="K3147" s="87" t="s">
        <v>7</v>
      </c>
      <c r="L3147" s="108"/>
      <c r="M3147" s="108"/>
      <c r="N3147" s="108" t="str">
        <v>P684P885</v>
      </c>
      <c r="O3147" s="108">
        <f t="shared" si="51"/>
        <v>1</v>
      </c>
      <c r="P3147" s="108"/>
      <c r="Q3147"/>
    </row>
    <row r="3148" spans="1:17" x14ac:dyDescent="0.25">
      <c r="A3148" s="89" t="s">
        <v>9383</v>
      </c>
      <c r="B3148" s="87" t="s">
        <v>9384</v>
      </c>
      <c r="C3148" s="87" t="s">
        <v>13</v>
      </c>
      <c r="D3148" s="87" t="str">
        <f>VLOOKUP(Tabela1[[#This Row],[Origem]], 'Perguntas 1 a 24'!$J$28:$K$34, 2, 0)</f>
        <v>Sudeste</v>
      </c>
      <c r="E3148" s="87" t="str">
        <f>Tabela1[[#This Row],[Descrição]]&amp;"-"&amp;Tabela1[[#This Row],[Código]]&amp;"/"&amp;Tabela1[[#This Row],[Origem]]</f>
        <v>Lugeredala-H486P153/SP</v>
      </c>
      <c r="F3148" s="88">
        <v>47395</v>
      </c>
      <c r="G3148" s="88" t="str" cm="1">
        <f t="array" ref="G31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AND(F3148&gt;= DATE(2026,1,1), F3148&lt;= DATE(2028, 12, 31), J3148&gt;50000), "Pendente e Caro", AND(F3148&gt;= DATE(2026,1,1), F3148&lt;= DATE(2028, 12, 31), J3148&lt;=50000), "Pendente", F3148&gt;= DATE(2029,1,1), "Não prioeitário")</f>
        <v>Não prioeitário</v>
      </c>
      <c r="H3148" s="89">
        <f>YEAR(Tabela1[[#This Row],[Data de Validade]])</f>
        <v>2029</v>
      </c>
      <c r="I3148" s="89">
        <f>MONTH(Tabela1[[#This Row],[Data de Validade]])</f>
        <v>10</v>
      </c>
      <c r="J3148" s="101">
        <v>88189</v>
      </c>
      <c r="K3148" s="87" t="s">
        <v>7</v>
      </c>
      <c r="L3148" s="108"/>
      <c r="M3148" s="108"/>
      <c r="N3148" s="108" t="str">
        <v>P535P445</v>
      </c>
      <c r="O3148" s="108">
        <f t="shared" si="51"/>
        <v>1</v>
      </c>
      <c r="P3148" s="108"/>
      <c r="Q3148"/>
    </row>
    <row r="3149" spans="1:17" x14ac:dyDescent="0.25">
      <c r="A3149" s="89" t="s">
        <v>5662</v>
      </c>
      <c r="B3149" s="87" t="s">
        <v>5663</v>
      </c>
      <c r="C3149" s="87" t="s">
        <v>8</v>
      </c>
      <c r="D3149" s="87" t="str">
        <f>VLOOKUP(Tabela1[[#This Row],[Origem]], 'Perguntas 1 a 24'!$J$28:$K$34, 2, 0)</f>
        <v>Nordeste</v>
      </c>
      <c r="E3149" s="87" t="str">
        <f>Tabela1[[#This Row],[Descrição]]&amp;"-"&amp;Tabela1[[#This Row],[Código]]&amp;"/"&amp;Tabela1[[#This Row],[Origem]]</f>
        <v>Fipilodero-P373P771/AL</v>
      </c>
      <c r="F3149" s="88">
        <v>47395</v>
      </c>
      <c r="G3149" s="88" t="str" cm="1">
        <f t="array" ref="G31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AND(F3149&gt;= DATE(2026,1,1), F3149&lt;= DATE(2028, 12, 31), J3149&gt;50000), "Pendente e Caro", AND(F3149&gt;= DATE(2026,1,1), F3149&lt;= DATE(2028, 12, 31), J3149&lt;=50000), "Pendente", F3149&gt;= DATE(2029,1,1), "Não prioeitário")</f>
        <v>Não prioeitário</v>
      </c>
      <c r="H3149" s="89">
        <f>YEAR(Tabela1[[#This Row],[Data de Validade]])</f>
        <v>2029</v>
      </c>
      <c r="I3149" s="89">
        <f>MONTH(Tabela1[[#This Row],[Data de Validade]])</f>
        <v>10</v>
      </c>
      <c r="J3149" s="101">
        <v>72787</v>
      </c>
      <c r="K3149" s="87" t="s">
        <v>11</v>
      </c>
      <c r="L3149" s="108"/>
      <c r="M3149" s="108"/>
      <c r="N3149" s="108" t="str">
        <v>P594H813</v>
      </c>
      <c r="O3149" s="108">
        <f t="shared" si="51"/>
        <v>1</v>
      </c>
      <c r="P3149" s="108"/>
      <c r="Q3149"/>
    </row>
    <row r="3150" spans="1:17" x14ac:dyDescent="0.25">
      <c r="A3150" s="89" t="s">
        <v>8102</v>
      </c>
      <c r="B3150" s="87" t="s">
        <v>8103</v>
      </c>
      <c r="C3150" s="87" t="s">
        <v>13</v>
      </c>
      <c r="D3150" s="87" t="str">
        <f>VLOOKUP(Tabela1[[#This Row],[Origem]], 'Perguntas 1 a 24'!$J$28:$K$34, 2, 0)</f>
        <v>Sudeste</v>
      </c>
      <c r="E3150" s="87" t="str">
        <f>Tabela1[[#This Row],[Descrição]]&amp;"-"&amp;Tabela1[[#This Row],[Código]]&amp;"/"&amp;Tabela1[[#This Row],[Origem]]</f>
        <v>Davapudemi-P944H569/SP</v>
      </c>
      <c r="F3150" s="88">
        <v>47396</v>
      </c>
      <c r="G3150" s="88" t="str" cm="1">
        <f t="array" ref="G31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AND(F3150&gt;= DATE(2026,1,1), F3150&lt;= DATE(2028, 12, 31), J3150&gt;50000), "Pendente e Caro", AND(F3150&gt;= DATE(2026,1,1), F3150&lt;= DATE(2028, 12, 31), J3150&lt;=50000), "Pendente", F3150&gt;= DATE(2029,1,1), "Não prioeitário")</f>
        <v>Não prioeitário</v>
      </c>
      <c r="H3150" s="89">
        <f>YEAR(Tabela1[[#This Row],[Data de Validade]])</f>
        <v>2029</v>
      </c>
      <c r="I3150" s="89">
        <f>MONTH(Tabela1[[#This Row],[Data de Validade]])</f>
        <v>10</v>
      </c>
      <c r="J3150" s="101">
        <v>29736</v>
      </c>
      <c r="K3150" s="87" t="s">
        <v>11</v>
      </c>
      <c r="L3150" s="108"/>
      <c r="M3150" s="108"/>
      <c r="N3150" s="108" t="str">
        <v>P935P785</v>
      </c>
      <c r="O3150" s="108">
        <f t="shared" si="51"/>
        <v>1</v>
      </c>
      <c r="P3150" s="108"/>
      <c r="Q3150"/>
    </row>
    <row r="3151" spans="1:17" x14ac:dyDescent="0.25">
      <c r="A3151" s="89" t="s">
        <v>7976</v>
      </c>
      <c r="B3151" s="87" t="s">
        <v>7977</v>
      </c>
      <c r="C3151" s="87" t="s">
        <v>12</v>
      </c>
      <c r="D3151" s="87" t="str">
        <f>VLOOKUP(Tabela1[[#This Row],[Origem]], 'Perguntas 1 a 24'!$J$28:$K$34, 2, 0)</f>
        <v>Sudeste</v>
      </c>
      <c r="E3151" s="87" t="str">
        <f>Tabela1[[#This Row],[Descrição]]&amp;"-"&amp;Tabela1[[#This Row],[Código]]&amp;"/"&amp;Tabela1[[#This Row],[Origem]]</f>
        <v>Picuta-P684P885/RJ</v>
      </c>
      <c r="F3151" s="88">
        <v>47397</v>
      </c>
      <c r="G3151" s="88" t="str" cm="1">
        <f t="array" ref="G31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AND(F3151&gt;= DATE(2026,1,1), F3151&lt;= DATE(2028, 12, 31), J3151&gt;50000), "Pendente e Caro", AND(F3151&gt;= DATE(2026,1,1), F3151&lt;= DATE(2028, 12, 31), J3151&lt;=50000), "Pendente", F3151&gt;= DATE(2029,1,1), "Não prioeitário")</f>
        <v>Não prioeitário</v>
      </c>
      <c r="H3151" s="89">
        <f>YEAR(Tabela1[[#This Row],[Data de Validade]])</f>
        <v>2029</v>
      </c>
      <c r="I3151" s="89">
        <f>MONTH(Tabela1[[#This Row],[Data de Validade]])</f>
        <v>10</v>
      </c>
      <c r="J3151" s="101">
        <v>46196</v>
      </c>
      <c r="K3151" s="87" t="s">
        <v>7</v>
      </c>
      <c r="L3151" s="108"/>
      <c r="M3151" s="108"/>
      <c r="N3151" s="108" t="str">
        <v>P366H596</v>
      </c>
      <c r="O3151" s="108">
        <f t="shared" si="51"/>
        <v>1</v>
      </c>
      <c r="P3151" s="108"/>
      <c r="Q3151"/>
    </row>
    <row r="3152" spans="1:17" x14ac:dyDescent="0.25">
      <c r="A3152" s="89" t="s">
        <v>3912</v>
      </c>
      <c r="B3152" s="87" t="s">
        <v>3913</v>
      </c>
      <c r="C3152" s="87" t="s">
        <v>6</v>
      </c>
      <c r="D3152" s="87" t="str">
        <f>VLOOKUP(Tabela1[[#This Row],[Origem]], 'Perguntas 1 a 24'!$J$28:$K$34, 2, 0)</f>
        <v>Nordeste</v>
      </c>
      <c r="E3152" s="87" t="str">
        <f>Tabela1[[#This Row],[Descrição]]&amp;"-"&amp;Tabela1[[#This Row],[Código]]&amp;"/"&amp;Tabela1[[#This Row],[Origem]]</f>
        <v>Pepilanuga-P535P445/MA</v>
      </c>
      <c r="F3152" s="88">
        <v>47398</v>
      </c>
      <c r="G3152" s="88" t="str" cm="1">
        <f t="array" ref="G31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AND(F3152&gt;= DATE(2026,1,1), F3152&lt;= DATE(2028, 12, 31), J3152&gt;50000), "Pendente e Caro", AND(F3152&gt;= DATE(2026,1,1), F3152&lt;= DATE(2028, 12, 31), J3152&lt;=50000), "Pendente", F3152&gt;= DATE(2029,1,1), "Não prioeitário")</f>
        <v>Não prioeitário</v>
      </c>
      <c r="H3152" s="89">
        <f>YEAR(Tabela1[[#This Row],[Data de Validade]])</f>
        <v>2029</v>
      </c>
      <c r="I3152" s="89">
        <f>MONTH(Tabela1[[#This Row],[Data de Validade]])</f>
        <v>10</v>
      </c>
      <c r="J3152" s="101">
        <v>114117</v>
      </c>
      <c r="K3152" s="87" t="s">
        <v>14</v>
      </c>
      <c r="L3152" s="108"/>
      <c r="M3152" s="108"/>
      <c r="N3152" s="108" t="str">
        <v>P238H297</v>
      </c>
      <c r="O3152" s="108">
        <f t="shared" si="51"/>
        <v>1</v>
      </c>
      <c r="P3152" s="108"/>
      <c r="Q3152"/>
    </row>
    <row r="3153" spans="1:17" x14ac:dyDescent="0.25">
      <c r="A3153" s="89" t="s">
        <v>6208</v>
      </c>
      <c r="B3153" s="87" t="s">
        <v>6209</v>
      </c>
      <c r="C3153" s="87" t="s">
        <v>10</v>
      </c>
      <c r="D3153" s="87" t="str">
        <f>VLOOKUP(Tabela1[[#This Row],[Origem]], 'Perguntas 1 a 24'!$J$28:$K$34, 2, 0)</f>
        <v>Centro-Oeste</v>
      </c>
      <c r="E3153" s="87" t="str">
        <f>Tabela1[[#This Row],[Descrição]]&amp;"-"&amp;Tabela1[[#This Row],[Código]]&amp;"/"&amp;Tabela1[[#This Row],[Origem]]</f>
        <v>Lepugace-P594H813/GO</v>
      </c>
      <c r="F3153" s="88">
        <v>47398</v>
      </c>
      <c r="G3153" s="88" t="str" cm="1">
        <f t="array" ref="G31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AND(F3153&gt;= DATE(2026,1,1), F3153&lt;= DATE(2028, 12, 31), J3153&gt;50000), "Pendente e Caro", AND(F3153&gt;= DATE(2026,1,1), F3153&lt;= DATE(2028, 12, 31), J3153&lt;=50000), "Pendente", F3153&gt;= DATE(2029,1,1), "Não prioeitário")</f>
        <v>Não prioeitário</v>
      </c>
      <c r="H3153" s="89">
        <f>YEAR(Tabela1[[#This Row],[Data de Validade]])</f>
        <v>2029</v>
      </c>
      <c r="I3153" s="89">
        <f>MONTH(Tabela1[[#This Row],[Data de Validade]])</f>
        <v>10</v>
      </c>
      <c r="J3153" s="101">
        <v>42636</v>
      </c>
      <c r="K3153" s="87" t="s">
        <v>7</v>
      </c>
      <c r="L3153" s="108"/>
      <c r="M3153" s="108"/>
      <c r="N3153" s="108" t="str">
        <v>H314P492</v>
      </c>
      <c r="O3153" s="108">
        <f t="shared" si="51"/>
        <v>1</v>
      </c>
      <c r="P3153" s="108"/>
      <c r="Q3153"/>
    </row>
    <row r="3154" spans="1:17" x14ac:dyDescent="0.25">
      <c r="A3154" s="89" t="s">
        <v>10081</v>
      </c>
      <c r="B3154" s="87" t="s">
        <v>10082</v>
      </c>
      <c r="C3154" s="87" t="s">
        <v>12</v>
      </c>
      <c r="D3154" s="87" t="str">
        <f>VLOOKUP(Tabela1[[#This Row],[Origem]], 'Perguntas 1 a 24'!$J$28:$K$34, 2, 0)</f>
        <v>Sudeste</v>
      </c>
      <c r="E3154" s="87" t="str">
        <f>Tabela1[[#This Row],[Descrição]]&amp;"-"&amp;Tabela1[[#This Row],[Código]]&amp;"/"&amp;Tabela1[[#This Row],[Origem]]</f>
        <v>Peledugene-P935P785/RJ</v>
      </c>
      <c r="F3154" s="88">
        <v>47399</v>
      </c>
      <c r="G3154" s="88" t="str" cm="1">
        <f t="array" ref="G31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AND(F3154&gt;= DATE(2026,1,1), F3154&lt;= DATE(2028, 12, 31), J3154&gt;50000), "Pendente e Caro", AND(F3154&gt;= DATE(2026,1,1), F3154&lt;= DATE(2028, 12, 31), J3154&lt;=50000), "Pendente", F3154&gt;= DATE(2029,1,1), "Não prioeitário")</f>
        <v>Não prioeitário</v>
      </c>
      <c r="H3154" s="89">
        <f>YEAR(Tabela1[[#This Row],[Data de Validade]])</f>
        <v>2029</v>
      </c>
      <c r="I3154" s="89">
        <f>MONTH(Tabela1[[#This Row],[Data de Validade]])</f>
        <v>10</v>
      </c>
      <c r="J3154" s="101">
        <v>55894</v>
      </c>
      <c r="K3154" s="87" t="s">
        <v>7</v>
      </c>
      <c r="L3154" s="108"/>
      <c r="M3154" s="108"/>
      <c r="N3154" s="108" t="str">
        <v>P345P868</v>
      </c>
      <c r="O3154" s="108">
        <f t="shared" si="51"/>
        <v>1</v>
      </c>
      <c r="P3154" s="108"/>
      <c r="Q3154"/>
    </row>
    <row r="3155" spans="1:17" x14ac:dyDescent="0.25">
      <c r="A3155" s="89" t="s">
        <v>7078</v>
      </c>
      <c r="B3155" s="87" t="s">
        <v>7079</v>
      </c>
      <c r="C3155" s="87" t="s">
        <v>6</v>
      </c>
      <c r="D3155" s="87" t="str">
        <f>VLOOKUP(Tabela1[[#This Row],[Origem]], 'Perguntas 1 a 24'!$J$28:$K$34, 2, 0)</f>
        <v>Nordeste</v>
      </c>
      <c r="E3155" s="87" t="str">
        <f>Tabela1[[#This Row],[Descrição]]&amp;"-"&amp;Tabela1[[#This Row],[Código]]&amp;"/"&amp;Tabela1[[#This Row],[Origem]]</f>
        <v>Ganetedoni-P366H596/MA</v>
      </c>
      <c r="F3155" s="88">
        <v>47400</v>
      </c>
      <c r="G3155" s="88" t="str" cm="1">
        <f t="array" ref="G31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AND(F3155&gt;= DATE(2026,1,1), F3155&lt;= DATE(2028, 12, 31), J3155&gt;50000), "Pendente e Caro", AND(F3155&gt;= DATE(2026,1,1), F3155&lt;= DATE(2028, 12, 31), J3155&lt;=50000), "Pendente", F3155&gt;= DATE(2029,1,1), "Não prioeitário")</f>
        <v>Não prioeitário</v>
      </c>
      <c r="H3155" s="89">
        <f>YEAR(Tabela1[[#This Row],[Data de Validade]])</f>
        <v>2029</v>
      </c>
      <c r="I3155" s="89">
        <f>MONTH(Tabela1[[#This Row],[Data de Validade]])</f>
        <v>10</v>
      </c>
      <c r="J3155" s="101">
        <v>20344</v>
      </c>
      <c r="K3155" s="87" t="s">
        <v>7</v>
      </c>
      <c r="L3155" s="108"/>
      <c r="M3155" s="108"/>
      <c r="N3155" s="108" t="str">
        <v>H359H732</v>
      </c>
      <c r="O3155" s="108">
        <f t="shared" si="51"/>
        <v>1</v>
      </c>
      <c r="P3155" s="108"/>
      <c r="Q3155"/>
    </row>
    <row r="3156" spans="1:17" x14ac:dyDescent="0.25">
      <c r="A3156" s="89" t="s">
        <v>7684</v>
      </c>
      <c r="B3156" s="87" t="s">
        <v>7685</v>
      </c>
      <c r="C3156" s="87" t="s">
        <v>12</v>
      </c>
      <c r="D3156" s="87" t="str">
        <f>VLOOKUP(Tabela1[[#This Row],[Origem]], 'Perguntas 1 a 24'!$J$28:$K$34, 2, 0)</f>
        <v>Sudeste</v>
      </c>
      <c r="E3156" s="87" t="str">
        <f>Tabela1[[#This Row],[Descrição]]&amp;"-"&amp;Tabela1[[#This Row],[Código]]&amp;"/"&amp;Tabela1[[#This Row],[Origem]]</f>
        <v>Panedotofe-P238H297/RJ</v>
      </c>
      <c r="F3156" s="88">
        <v>47401</v>
      </c>
      <c r="G3156" s="88" t="str" cm="1">
        <f t="array" ref="G31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AND(F3156&gt;= DATE(2026,1,1), F3156&lt;= DATE(2028, 12, 31), J3156&gt;50000), "Pendente e Caro", AND(F3156&gt;= DATE(2026,1,1), F3156&lt;= DATE(2028, 12, 31), J3156&lt;=50000), "Pendente", F3156&gt;= DATE(2029,1,1), "Não prioeitário")</f>
        <v>Não prioeitário</v>
      </c>
      <c r="H3156" s="89">
        <f>YEAR(Tabela1[[#This Row],[Data de Validade]])</f>
        <v>2029</v>
      </c>
      <c r="I3156" s="89">
        <f>MONTH(Tabela1[[#This Row],[Data de Validade]])</f>
        <v>10</v>
      </c>
      <c r="J3156" s="101">
        <v>107838</v>
      </c>
      <c r="K3156" s="87" t="s">
        <v>9</v>
      </c>
      <c r="L3156" s="108"/>
      <c r="M3156" s="108"/>
      <c r="N3156" s="108" t="str">
        <v>H955P122</v>
      </c>
      <c r="O3156" s="108">
        <f t="shared" si="51"/>
        <v>1</v>
      </c>
      <c r="P3156" s="108"/>
      <c r="Q3156"/>
    </row>
    <row r="3157" spans="1:17" x14ac:dyDescent="0.25">
      <c r="A3157" s="89" t="s">
        <v>5488</v>
      </c>
      <c r="B3157" s="87" t="s">
        <v>5489</v>
      </c>
      <c r="C3157" s="87" t="s">
        <v>10</v>
      </c>
      <c r="D3157" s="87" t="str">
        <f>VLOOKUP(Tabela1[[#This Row],[Origem]], 'Perguntas 1 a 24'!$J$28:$K$34, 2, 0)</f>
        <v>Centro-Oeste</v>
      </c>
      <c r="E3157" s="87" t="str">
        <f>Tabela1[[#This Row],[Descrição]]&amp;"-"&amp;Tabela1[[#This Row],[Código]]&amp;"/"&amp;Tabela1[[#This Row],[Origem]]</f>
        <v>Votevago-H314P492/GO</v>
      </c>
      <c r="F3157" s="88">
        <v>47402</v>
      </c>
      <c r="G3157" s="88" t="str" cm="1">
        <f t="array" ref="G31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AND(F3157&gt;= DATE(2026,1,1), F3157&lt;= DATE(2028, 12, 31), J3157&gt;50000), "Pendente e Caro", AND(F3157&gt;= DATE(2026,1,1), F3157&lt;= DATE(2028, 12, 31), J3157&lt;=50000), "Pendente", F3157&gt;= DATE(2029,1,1), "Não prioeitário")</f>
        <v>Não prioeitário</v>
      </c>
      <c r="H3157" s="89">
        <f>YEAR(Tabela1[[#This Row],[Data de Validade]])</f>
        <v>2029</v>
      </c>
      <c r="I3157" s="89">
        <f>MONTH(Tabela1[[#This Row],[Data de Validade]])</f>
        <v>10</v>
      </c>
      <c r="J3157" s="101">
        <v>105563</v>
      </c>
      <c r="K3157" s="87" t="s">
        <v>11</v>
      </c>
      <c r="L3157" s="108"/>
      <c r="M3157" s="108"/>
      <c r="N3157" s="108" t="str">
        <v>H581H451</v>
      </c>
      <c r="O3157" s="108">
        <f t="shared" si="51"/>
        <v>1</v>
      </c>
      <c r="P3157" s="108"/>
      <c r="Q3157"/>
    </row>
    <row r="3158" spans="1:17" x14ac:dyDescent="0.25">
      <c r="A3158" s="89" t="s">
        <v>7632</v>
      </c>
      <c r="B3158" s="87" t="s">
        <v>7633</v>
      </c>
      <c r="C3158" s="87" t="s">
        <v>15</v>
      </c>
      <c r="D3158" s="87" t="str">
        <f>VLOOKUP(Tabela1[[#This Row],[Origem]], 'Perguntas 1 a 24'!$J$28:$K$34, 2, 0)</f>
        <v>Sudeste</v>
      </c>
      <c r="E3158" s="87" t="str">
        <f>Tabela1[[#This Row],[Descrição]]&amp;"-"&amp;Tabela1[[#This Row],[Código]]&amp;"/"&amp;Tabela1[[#This Row],[Origem]]</f>
        <v>Virepilapo-P345P868/ES</v>
      </c>
      <c r="F3158" s="88">
        <v>47403</v>
      </c>
      <c r="G3158" s="88" t="str" cm="1">
        <f t="array" ref="G31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AND(F3158&gt;= DATE(2026,1,1), F3158&lt;= DATE(2028, 12, 31), J3158&gt;50000), "Pendente e Caro", AND(F3158&gt;= DATE(2026,1,1), F3158&lt;= DATE(2028, 12, 31), J3158&lt;=50000), "Pendente", F3158&gt;= DATE(2029,1,1), "Não prioeitário")</f>
        <v>Não prioeitário</v>
      </c>
      <c r="H3158" s="89">
        <f>YEAR(Tabela1[[#This Row],[Data de Validade]])</f>
        <v>2029</v>
      </c>
      <c r="I3158" s="89">
        <f>MONTH(Tabela1[[#This Row],[Data de Validade]])</f>
        <v>10</v>
      </c>
      <c r="J3158" s="101">
        <v>115027</v>
      </c>
      <c r="K3158" s="87" t="s">
        <v>11</v>
      </c>
      <c r="L3158" s="108"/>
      <c r="M3158" s="108"/>
      <c r="N3158" s="108" t="str">
        <v>H575P788</v>
      </c>
      <c r="O3158" s="108">
        <f t="shared" si="51"/>
        <v>1</v>
      </c>
      <c r="P3158" s="108"/>
      <c r="Q3158"/>
    </row>
    <row r="3159" spans="1:17" x14ac:dyDescent="0.25">
      <c r="A3159" s="89" t="s">
        <v>11151</v>
      </c>
      <c r="B3159" s="87" t="s">
        <v>11152</v>
      </c>
      <c r="C3159" s="87" t="s">
        <v>6</v>
      </c>
      <c r="D3159" s="87" t="str">
        <f>VLOOKUP(Tabela1[[#This Row],[Origem]], 'Perguntas 1 a 24'!$J$28:$K$34, 2, 0)</f>
        <v>Nordeste</v>
      </c>
      <c r="E3159" s="87" t="str">
        <f>Tabela1[[#This Row],[Descrição]]&amp;"-"&amp;Tabela1[[#This Row],[Código]]&amp;"/"&amp;Tabela1[[#This Row],[Origem]]</f>
        <v>Lopevodava-H359H732/MA</v>
      </c>
      <c r="F3159" s="88">
        <v>47403</v>
      </c>
      <c r="G3159" s="88" t="str" cm="1">
        <f t="array" ref="G31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AND(F3159&gt;= DATE(2026,1,1), F3159&lt;= DATE(2028, 12, 31), J3159&gt;50000), "Pendente e Caro", AND(F3159&gt;= DATE(2026,1,1), F3159&lt;= DATE(2028, 12, 31), J3159&lt;=50000), "Pendente", F3159&gt;= DATE(2029,1,1), "Não prioeitário")</f>
        <v>Não prioeitário</v>
      </c>
      <c r="H3159" s="89">
        <f>YEAR(Tabela1[[#This Row],[Data de Validade]])</f>
        <v>2029</v>
      </c>
      <c r="I3159" s="89">
        <f>MONTH(Tabela1[[#This Row],[Data de Validade]])</f>
        <v>10</v>
      </c>
      <c r="J3159" s="101">
        <v>101730</v>
      </c>
      <c r="K3159" s="87" t="s">
        <v>14</v>
      </c>
      <c r="L3159" s="108"/>
      <c r="M3159" s="108"/>
      <c r="N3159" s="108" t="str">
        <v>P974P941</v>
      </c>
      <c r="O3159" s="108">
        <f t="shared" si="51"/>
        <v>1</v>
      </c>
      <c r="P3159" s="108"/>
      <c r="Q3159"/>
    </row>
    <row r="3160" spans="1:17" x14ac:dyDescent="0.25">
      <c r="A3160" s="89" t="s">
        <v>7320</v>
      </c>
      <c r="B3160" s="87" t="s">
        <v>7321</v>
      </c>
      <c r="C3160" s="87" t="s">
        <v>6</v>
      </c>
      <c r="D3160" s="87" t="str">
        <f>VLOOKUP(Tabela1[[#This Row],[Origem]], 'Perguntas 1 a 24'!$J$28:$K$34, 2, 0)</f>
        <v>Nordeste</v>
      </c>
      <c r="E3160" s="87" t="str">
        <f>Tabela1[[#This Row],[Descrição]]&amp;"-"&amp;Tabela1[[#This Row],[Código]]&amp;"/"&amp;Tabela1[[#This Row],[Origem]]</f>
        <v>Fenatirimu-H955P122/MA</v>
      </c>
      <c r="F3160" s="88">
        <v>47403</v>
      </c>
      <c r="G3160" s="88" t="str" cm="1">
        <f t="array" ref="G31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AND(F3160&gt;= DATE(2026,1,1), F3160&lt;= DATE(2028, 12, 31), J3160&gt;50000), "Pendente e Caro", AND(F3160&gt;= DATE(2026,1,1), F3160&lt;= DATE(2028, 12, 31), J3160&lt;=50000), "Pendente", F3160&gt;= DATE(2029,1,1), "Não prioeitário")</f>
        <v>Não prioeitário</v>
      </c>
      <c r="H3160" s="89">
        <f>YEAR(Tabela1[[#This Row],[Data de Validade]])</f>
        <v>2029</v>
      </c>
      <c r="I3160" s="89">
        <f>MONTH(Tabela1[[#This Row],[Data de Validade]])</f>
        <v>10</v>
      </c>
      <c r="J3160" s="101">
        <v>79139</v>
      </c>
      <c r="K3160" s="87" t="s">
        <v>11</v>
      </c>
      <c r="L3160" s="108"/>
      <c r="M3160" s="108"/>
      <c r="N3160" s="108" t="str">
        <v>H681H378</v>
      </c>
      <c r="O3160" s="108">
        <f t="shared" si="51"/>
        <v>1</v>
      </c>
      <c r="P3160" s="108"/>
      <c r="Q3160"/>
    </row>
    <row r="3161" spans="1:17" x14ac:dyDescent="0.25">
      <c r="A3161" s="89" t="s">
        <v>7536</v>
      </c>
      <c r="B3161" s="87" t="s">
        <v>7537</v>
      </c>
      <c r="C3161" s="87" t="s">
        <v>16</v>
      </c>
      <c r="D3161" s="87" t="str">
        <f>VLOOKUP(Tabela1[[#This Row],[Origem]], 'Perguntas 1 a 24'!$J$28:$K$34, 2, 0)</f>
        <v>Sudeste</v>
      </c>
      <c r="E3161" s="87" t="str">
        <f>Tabela1[[#This Row],[Descrição]]&amp;"-"&amp;Tabela1[[#This Row],[Código]]&amp;"/"&amp;Tabela1[[#This Row],[Origem]]</f>
        <v>Gucula-H581H451/MG</v>
      </c>
      <c r="F3161" s="88">
        <v>47403</v>
      </c>
      <c r="G3161" s="88" t="str" cm="1">
        <f t="array" ref="G31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AND(F3161&gt;= DATE(2026,1,1), F3161&lt;= DATE(2028, 12, 31), J3161&gt;50000), "Pendente e Caro", AND(F3161&gt;= DATE(2026,1,1), F3161&lt;= DATE(2028, 12, 31), J3161&lt;=50000), "Pendente", F3161&gt;= DATE(2029,1,1), "Não prioeitário")</f>
        <v>Não prioeitário</v>
      </c>
      <c r="H3161" s="89">
        <f>YEAR(Tabela1[[#This Row],[Data de Validade]])</f>
        <v>2029</v>
      </c>
      <c r="I3161" s="89">
        <f>MONTH(Tabela1[[#This Row],[Data de Validade]])</f>
        <v>10</v>
      </c>
      <c r="J3161" s="101">
        <v>65023</v>
      </c>
      <c r="K3161" s="87" t="s">
        <v>14</v>
      </c>
      <c r="L3161" s="108"/>
      <c r="M3161" s="108"/>
      <c r="N3161" s="108" t="str">
        <v>H473P115</v>
      </c>
      <c r="O3161" s="108">
        <f t="shared" si="51"/>
        <v>1</v>
      </c>
      <c r="P3161" s="108"/>
      <c r="Q3161"/>
    </row>
    <row r="3162" spans="1:17" x14ac:dyDescent="0.25">
      <c r="A3162" s="89" t="s">
        <v>5542</v>
      </c>
      <c r="B3162" s="87" t="s">
        <v>5543</v>
      </c>
      <c r="C3162" s="87" t="s">
        <v>8</v>
      </c>
      <c r="D3162" s="87" t="str">
        <f>VLOOKUP(Tabela1[[#This Row],[Origem]], 'Perguntas 1 a 24'!$J$28:$K$34, 2, 0)</f>
        <v>Nordeste</v>
      </c>
      <c r="E3162" s="87" t="str">
        <f>Tabela1[[#This Row],[Descrição]]&amp;"-"&amp;Tabela1[[#This Row],[Código]]&amp;"/"&amp;Tabela1[[#This Row],[Origem]]</f>
        <v>Nudido-H575P788/AL</v>
      </c>
      <c r="F3162" s="88">
        <v>47403</v>
      </c>
      <c r="G3162" s="88" t="str" cm="1">
        <f t="array" ref="G31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AND(F3162&gt;= DATE(2026,1,1), F3162&lt;= DATE(2028, 12, 31), J3162&gt;50000), "Pendente e Caro", AND(F3162&gt;= DATE(2026,1,1), F3162&lt;= DATE(2028, 12, 31), J3162&lt;=50000), "Pendente", F3162&gt;= DATE(2029,1,1), "Não prioeitário")</f>
        <v>Não prioeitário</v>
      </c>
      <c r="H3162" s="89">
        <f>YEAR(Tabela1[[#This Row],[Data de Validade]])</f>
        <v>2029</v>
      </c>
      <c r="I3162" s="89">
        <f>MONTH(Tabela1[[#This Row],[Data de Validade]])</f>
        <v>10</v>
      </c>
      <c r="J3162" s="101">
        <v>29794</v>
      </c>
      <c r="K3162" s="87" t="s">
        <v>7</v>
      </c>
      <c r="L3162" s="108"/>
      <c r="M3162" s="108"/>
      <c r="N3162" s="108" t="str">
        <v>H399P915</v>
      </c>
      <c r="O3162" s="108">
        <f t="shared" si="51"/>
        <v>1</v>
      </c>
      <c r="P3162" s="108"/>
      <c r="Q3162"/>
    </row>
    <row r="3163" spans="1:17" x14ac:dyDescent="0.25">
      <c r="A3163" s="89" t="s">
        <v>7350</v>
      </c>
      <c r="B3163" s="87" t="s">
        <v>7351</v>
      </c>
      <c r="C3163" s="87" t="s">
        <v>10</v>
      </c>
      <c r="D3163" s="87" t="str">
        <f>VLOOKUP(Tabela1[[#This Row],[Origem]], 'Perguntas 1 a 24'!$J$28:$K$34, 2, 0)</f>
        <v>Centro-Oeste</v>
      </c>
      <c r="E3163" s="87" t="str">
        <f>Tabela1[[#This Row],[Descrição]]&amp;"-"&amp;Tabela1[[#This Row],[Código]]&amp;"/"&amp;Tabela1[[#This Row],[Origem]]</f>
        <v>Temapo-P974P941/GO</v>
      </c>
      <c r="F3163" s="88">
        <v>47405</v>
      </c>
      <c r="G3163" s="88" t="str" cm="1">
        <f t="array" ref="G31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AND(F3163&gt;= DATE(2026,1,1), F3163&lt;= DATE(2028, 12, 31), J3163&gt;50000), "Pendente e Caro", AND(F3163&gt;= DATE(2026,1,1), F3163&lt;= DATE(2028, 12, 31), J3163&lt;=50000), "Pendente", F3163&gt;= DATE(2029,1,1), "Não prioeitário")</f>
        <v>Não prioeitário</v>
      </c>
      <c r="H3163" s="89">
        <f>YEAR(Tabela1[[#This Row],[Data de Validade]])</f>
        <v>2029</v>
      </c>
      <c r="I3163" s="89">
        <f>MONTH(Tabela1[[#This Row],[Data de Validade]])</f>
        <v>10</v>
      </c>
      <c r="J3163" s="101">
        <v>57265</v>
      </c>
      <c r="K3163" s="87" t="s">
        <v>11</v>
      </c>
      <c r="L3163" s="108"/>
      <c r="M3163" s="108"/>
      <c r="N3163" s="108" t="str">
        <v>H839P325</v>
      </c>
      <c r="O3163" s="108">
        <f t="shared" si="51"/>
        <v>1</v>
      </c>
      <c r="P3163" s="108"/>
      <c r="Q3163"/>
    </row>
    <row r="3164" spans="1:17" x14ac:dyDescent="0.25">
      <c r="A3164" s="89" t="s">
        <v>4207</v>
      </c>
      <c r="B3164" s="87" t="s">
        <v>4208</v>
      </c>
      <c r="C3164" s="87" t="s">
        <v>8</v>
      </c>
      <c r="D3164" s="87" t="str">
        <f>VLOOKUP(Tabela1[[#This Row],[Origem]], 'Perguntas 1 a 24'!$J$28:$K$34, 2, 0)</f>
        <v>Nordeste</v>
      </c>
      <c r="E3164" s="87" t="str">
        <f>Tabela1[[#This Row],[Descrição]]&amp;"-"&amp;Tabela1[[#This Row],[Código]]&amp;"/"&amp;Tabela1[[#This Row],[Origem]]</f>
        <v>Pidopo-H681H378/AL</v>
      </c>
      <c r="F3164" s="88">
        <v>47405</v>
      </c>
      <c r="G3164" s="88" t="str" cm="1">
        <f t="array" ref="G31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AND(F3164&gt;= DATE(2026,1,1), F3164&lt;= DATE(2028, 12, 31), J3164&gt;50000), "Pendente e Caro", AND(F3164&gt;= DATE(2026,1,1), F3164&lt;= DATE(2028, 12, 31), J3164&lt;=50000), "Pendente", F3164&gt;= DATE(2029,1,1), "Não prioeitário")</f>
        <v>Não prioeitário</v>
      </c>
      <c r="H3164" s="89">
        <f>YEAR(Tabela1[[#This Row],[Data de Validade]])</f>
        <v>2029</v>
      </c>
      <c r="I3164" s="89">
        <f>MONTH(Tabela1[[#This Row],[Data de Validade]])</f>
        <v>10</v>
      </c>
      <c r="J3164" s="101">
        <v>20514</v>
      </c>
      <c r="K3164" s="87" t="s">
        <v>7</v>
      </c>
      <c r="L3164" s="108"/>
      <c r="M3164" s="108"/>
      <c r="N3164" s="108" t="str">
        <v>H452P481</v>
      </c>
      <c r="O3164" s="108">
        <f t="shared" si="51"/>
        <v>1</v>
      </c>
      <c r="P3164" s="108"/>
      <c r="Q3164"/>
    </row>
    <row r="3165" spans="1:17" x14ac:dyDescent="0.25">
      <c r="A3165" s="89" t="s">
        <v>6710</v>
      </c>
      <c r="B3165" s="87" t="s">
        <v>6711</v>
      </c>
      <c r="C3165" s="87" t="s">
        <v>8</v>
      </c>
      <c r="D3165" s="87" t="str">
        <f>VLOOKUP(Tabela1[[#This Row],[Origem]], 'Perguntas 1 a 24'!$J$28:$K$34, 2, 0)</f>
        <v>Nordeste</v>
      </c>
      <c r="E3165" s="87" t="str">
        <f>Tabela1[[#This Row],[Descrição]]&amp;"-"&amp;Tabela1[[#This Row],[Código]]&amp;"/"&amp;Tabela1[[#This Row],[Origem]]</f>
        <v>Peguturece-H473P115/AL</v>
      </c>
      <c r="F3165" s="88">
        <v>47406</v>
      </c>
      <c r="G3165" s="88" t="str" cm="1">
        <f t="array" ref="G31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AND(F3165&gt;= DATE(2026,1,1), F3165&lt;= DATE(2028, 12, 31), J3165&gt;50000), "Pendente e Caro", AND(F3165&gt;= DATE(2026,1,1), F3165&lt;= DATE(2028, 12, 31), J3165&lt;=50000), "Pendente", F3165&gt;= DATE(2029,1,1), "Não prioeitário")</f>
        <v>Não prioeitário</v>
      </c>
      <c r="H3165" s="89">
        <f>YEAR(Tabela1[[#This Row],[Data de Validade]])</f>
        <v>2029</v>
      </c>
      <c r="I3165" s="89">
        <f>MONTH(Tabela1[[#This Row],[Data de Validade]])</f>
        <v>10</v>
      </c>
      <c r="J3165" s="101">
        <v>98199</v>
      </c>
      <c r="K3165" s="87" t="s">
        <v>9</v>
      </c>
      <c r="L3165" s="108"/>
      <c r="M3165" s="108"/>
      <c r="N3165" s="108" t="str">
        <v>H133H373</v>
      </c>
      <c r="O3165" s="108">
        <f t="shared" si="51"/>
        <v>1</v>
      </c>
      <c r="P3165" s="108"/>
      <c r="Q3165"/>
    </row>
    <row r="3166" spans="1:17" x14ac:dyDescent="0.25">
      <c r="A3166" s="89" t="s">
        <v>7388</v>
      </c>
      <c r="B3166" s="87" t="s">
        <v>7389</v>
      </c>
      <c r="C3166" s="87" t="s">
        <v>16</v>
      </c>
      <c r="D3166" s="87" t="str">
        <f>VLOOKUP(Tabela1[[#This Row],[Origem]], 'Perguntas 1 a 24'!$J$28:$K$34, 2, 0)</f>
        <v>Sudeste</v>
      </c>
      <c r="E3166" s="87" t="str">
        <f>Tabela1[[#This Row],[Descrição]]&amp;"-"&amp;Tabela1[[#This Row],[Código]]&amp;"/"&amp;Tabela1[[#This Row],[Origem]]</f>
        <v>Duteco-H399P915/MG</v>
      </c>
      <c r="F3166" s="88">
        <v>47406</v>
      </c>
      <c r="G3166" s="88" t="str" cm="1">
        <f t="array" ref="G31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AND(F3166&gt;= DATE(2026,1,1), F3166&lt;= DATE(2028, 12, 31), J3166&gt;50000), "Pendente e Caro", AND(F3166&gt;= DATE(2026,1,1), F3166&lt;= DATE(2028, 12, 31), J3166&lt;=50000), "Pendente", F3166&gt;= DATE(2029,1,1), "Não prioeitário")</f>
        <v>Não prioeitário</v>
      </c>
      <c r="H3166" s="89">
        <f>YEAR(Tabela1[[#This Row],[Data de Validade]])</f>
        <v>2029</v>
      </c>
      <c r="I3166" s="89">
        <f>MONTH(Tabela1[[#This Row],[Data de Validade]])</f>
        <v>10</v>
      </c>
      <c r="J3166" s="101">
        <v>96341</v>
      </c>
      <c r="K3166" s="87" t="s">
        <v>7</v>
      </c>
      <c r="L3166" s="108"/>
      <c r="M3166" s="108"/>
      <c r="N3166" s="108" t="str">
        <v>P695H499</v>
      </c>
      <c r="O3166" s="108">
        <f t="shared" si="51"/>
        <v>1</v>
      </c>
      <c r="P3166" s="108"/>
      <c r="Q3166"/>
    </row>
    <row r="3167" spans="1:17" x14ac:dyDescent="0.25">
      <c r="A3167" s="89" t="s">
        <v>6278</v>
      </c>
      <c r="B3167" s="87" t="s">
        <v>6279</v>
      </c>
      <c r="C3167" s="87" t="s">
        <v>10</v>
      </c>
      <c r="D3167" s="87" t="str">
        <f>VLOOKUP(Tabela1[[#This Row],[Origem]], 'Perguntas 1 a 24'!$J$28:$K$34, 2, 0)</f>
        <v>Centro-Oeste</v>
      </c>
      <c r="E3167" s="87" t="str">
        <f>Tabela1[[#This Row],[Descrição]]&amp;"-"&amp;Tabela1[[#This Row],[Código]]&amp;"/"&amp;Tabela1[[#This Row],[Origem]]</f>
        <v>Pepopi-H839P325/GO</v>
      </c>
      <c r="F3167" s="88">
        <v>47406</v>
      </c>
      <c r="G3167" s="88" t="str" cm="1">
        <f t="array" ref="G31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AND(F3167&gt;= DATE(2026,1,1), F3167&lt;= DATE(2028, 12, 31), J3167&gt;50000), "Pendente e Caro", AND(F3167&gt;= DATE(2026,1,1), F3167&lt;= DATE(2028, 12, 31), J3167&lt;=50000), "Pendente", F3167&gt;= DATE(2029,1,1), "Não prioeitário")</f>
        <v>Não prioeitário</v>
      </c>
      <c r="H3167" s="89">
        <f>YEAR(Tabela1[[#This Row],[Data de Validade]])</f>
        <v>2029</v>
      </c>
      <c r="I3167" s="89">
        <f>MONTH(Tabela1[[#This Row],[Data de Validade]])</f>
        <v>10</v>
      </c>
      <c r="J3167" s="101">
        <v>32054</v>
      </c>
      <c r="K3167" s="87" t="s">
        <v>14</v>
      </c>
      <c r="L3167" s="108"/>
      <c r="M3167" s="108"/>
      <c r="N3167" s="108" t="str">
        <v>P543H182</v>
      </c>
      <c r="O3167" s="108">
        <f t="shared" si="51"/>
        <v>1</v>
      </c>
      <c r="P3167" s="108"/>
      <c r="Q3167"/>
    </row>
    <row r="3168" spans="1:17" x14ac:dyDescent="0.25">
      <c r="A3168" s="89" t="s">
        <v>10001</v>
      </c>
      <c r="B3168" s="87" t="s">
        <v>10002</v>
      </c>
      <c r="C3168" s="87" t="s">
        <v>15</v>
      </c>
      <c r="D3168" s="87" t="str">
        <f>VLOOKUP(Tabela1[[#This Row],[Origem]], 'Perguntas 1 a 24'!$J$28:$K$34, 2, 0)</f>
        <v>Sudeste</v>
      </c>
      <c r="E3168" s="87" t="str">
        <f>Tabela1[[#This Row],[Descrição]]&amp;"-"&amp;Tabela1[[#This Row],[Código]]&amp;"/"&amp;Tabela1[[#This Row],[Origem]]</f>
        <v>Diganepede-H452P481/ES</v>
      </c>
      <c r="F3168" s="88">
        <v>47407</v>
      </c>
      <c r="G3168" s="88" t="str" cm="1">
        <f t="array" ref="G31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AND(F3168&gt;= DATE(2026,1,1), F3168&lt;= DATE(2028, 12, 31), J3168&gt;50000), "Pendente e Caro", AND(F3168&gt;= DATE(2026,1,1), F3168&lt;= DATE(2028, 12, 31), J3168&lt;=50000), "Pendente", F3168&gt;= DATE(2029,1,1), "Não prioeitário")</f>
        <v>Não prioeitário</v>
      </c>
      <c r="H3168" s="89">
        <f>YEAR(Tabela1[[#This Row],[Data de Validade]])</f>
        <v>2029</v>
      </c>
      <c r="I3168" s="89">
        <f>MONTH(Tabela1[[#This Row],[Data de Validade]])</f>
        <v>10</v>
      </c>
      <c r="J3168" s="101">
        <v>111429</v>
      </c>
      <c r="K3168" s="87" t="s">
        <v>7</v>
      </c>
      <c r="L3168" s="108"/>
      <c r="M3168" s="108"/>
      <c r="N3168" s="108" t="str">
        <v>H341H173</v>
      </c>
      <c r="O3168" s="108">
        <f t="shared" si="51"/>
        <v>1</v>
      </c>
      <c r="P3168" s="108"/>
      <c r="Q3168"/>
    </row>
    <row r="3169" spans="1:17" x14ac:dyDescent="0.25">
      <c r="A3169" s="89" t="s">
        <v>9211</v>
      </c>
      <c r="B3169" s="87" t="s">
        <v>9212</v>
      </c>
      <c r="C3169" s="87" t="s">
        <v>16</v>
      </c>
      <c r="D3169" s="87" t="str">
        <f>VLOOKUP(Tabela1[[#This Row],[Origem]], 'Perguntas 1 a 24'!$J$28:$K$34, 2, 0)</f>
        <v>Sudeste</v>
      </c>
      <c r="E3169" s="87" t="str">
        <f>Tabela1[[#This Row],[Descrição]]&amp;"-"&amp;Tabela1[[#This Row],[Código]]&amp;"/"&amp;Tabela1[[#This Row],[Origem]]</f>
        <v>Pegalala-H133H373/MG</v>
      </c>
      <c r="F3169" s="88">
        <v>47407</v>
      </c>
      <c r="G3169" s="88" t="str" cm="1">
        <f t="array" ref="G31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AND(F3169&gt;= DATE(2026,1,1), F3169&lt;= DATE(2028, 12, 31), J3169&gt;50000), "Pendente e Caro", AND(F3169&gt;= DATE(2026,1,1), F3169&lt;= DATE(2028, 12, 31), J3169&lt;=50000), "Pendente", F3169&gt;= DATE(2029,1,1), "Não prioeitário")</f>
        <v>Não prioeitário</v>
      </c>
      <c r="H3169" s="89">
        <f>YEAR(Tabela1[[#This Row],[Data de Validade]])</f>
        <v>2029</v>
      </c>
      <c r="I3169" s="89">
        <f>MONTH(Tabela1[[#This Row],[Data de Validade]])</f>
        <v>10</v>
      </c>
      <c r="J3169" s="101">
        <v>21406</v>
      </c>
      <c r="K3169" s="87" t="s">
        <v>14</v>
      </c>
      <c r="L3169" s="108"/>
      <c r="M3169" s="108"/>
      <c r="N3169" s="108" t="str">
        <v>H345P239</v>
      </c>
      <c r="O3169" s="108">
        <f t="shared" si="51"/>
        <v>1</v>
      </c>
      <c r="P3169" s="108"/>
      <c r="Q3169"/>
    </row>
    <row r="3170" spans="1:17" x14ac:dyDescent="0.25">
      <c r="A3170" s="89" t="s">
        <v>8508</v>
      </c>
      <c r="B3170" s="87" t="s">
        <v>8509</v>
      </c>
      <c r="C3170" s="87" t="s">
        <v>13</v>
      </c>
      <c r="D3170" s="87" t="str">
        <f>VLOOKUP(Tabela1[[#This Row],[Origem]], 'Perguntas 1 a 24'!$J$28:$K$34, 2, 0)</f>
        <v>Sudeste</v>
      </c>
      <c r="E3170" s="87" t="str">
        <f>Tabela1[[#This Row],[Descrição]]&amp;"-"&amp;Tabela1[[#This Row],[Código]]&amp;"/"&amp;Tabela1[[#This Row],[Origem]]</f>
        <v>Venigo-P695H499/SP</v>
      </c>
      <c r="F3170" s="88">
        <v>47408</v>
      </c>
      <c r="G3170" s="88" t="str" cm="1">
        <f t="array" ref="G31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AND(F3170&gt;= DATE(2026,1,1), F3170&lt;= DATE(2028, 12, 31), J3170&gt;50000), "Pendente e Caro", AND(F3170&gt;= DATE(2026,1,1), F3170&lt;= DATE(2028, 12, 31), J3170&lt;=50000), "Pendente", F3170&gt;= DATE(2029,1,1), "Não prioeitário")</f>
        <v>Não prioeitário</v>
      </c>
      <c r="H3170" s="89">
        <f>YEAR(Tabela1[[#This Row],[Data de Validade]])</f>
        <v>2029</v>
      </c>
      <c r="I3170" s="89">
        <f>MONTH(Tabela1[[#This Row],[Data de Validade]])</f>
        <v>10</v>
      </c>
      <c r="J3170" s="101">
        <v>72764</v>
      </c>
      <c r="K3170" s="87" t="s">
        <v>14</v>
      </c>
      <c r="L3170" s="108"/>
      <c r="M3170" s="108"/>
      <c r="N3170" s="108" t="str">
        <v>H939P167</v>
      </c>
      <c r="O3170" s="108">
        <f t="shared" si="51"/>
        <v>1</v>
      </c>
      <c r="P3170" s="108"/>
      <c r="Q3170"/>
    </row>
    <row r="3171" spans="1:17" x14ac:dyDescent="0.25">
      <c r="A3171" s="89" t="s">
        <v>4387</v>
      </c>
      <c r="B3171" s="87" t="s">
        <v>4388</v>
      </c>
      <c r="C3171" s="87" t="s">
        <v>16</v>
      </c>
      <c r="D3171" s="87" t="str">
        <f>VLOOKUP(Tabela1[[#This Row],[Origem]], 'Perguntas 1 a 24'!$J$28:$K$34, 2, 0)</f>
        <v>Sudeste</v>
      </c>
      <c r="E3171" s="87" t="str">
        <f>Tabela1[[#This Row],[Descrição]]&amp;"-"&amp;Tabela1[[#This Row],[Código]]&amp;"/"&amp;Tabela1[[#This Row],[Origem]]</f>
        <v>Daneroma-P543H182/MG</v>
      </c>
      <c r="F3171" s="88">
        <v>47409</v>
      </c>
      <c r="G3171" s="88" t="str" cm="1">
        <f t="array" ref="G31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AND(F3171&gt;= DATE(2026,1,1), F3171&lt;= DATE(2028, 12, 31), J3171&gt;50000), "Pendente e Caro", AND(F3171&gt;= DATE(2026,1,1), F3171&lt;= DATE(2028, 12, 31), J3171&lt;=50000), "Pendente", F3171&gt;= DATE(2029,1,1), "Não prioeitário")</f>
        <v>Não prioeitário</v>
      </c>
      <c r="H3171" s="89">
        <f>YEAR(Tabela1[[#This Row],[Data de Validade]])</f>
        <v>2029</v>
      </c>
      <c r="I3171" s="89">
        <f>MONTH(Tabela1[[#This Row],[Data de Validade]])</f>
        <v>10</v>
      </c>
      <c r="J3171" s="101">
        <v>62086</v>
      </c>
      <c r="K3171" s="87" t="s">
        <v>9</v>
      </c>
      <c r="L3171" s="108"/>
      <c r="M3171" s="108"/>
      <c r="N3171" s="108" t="str">
        <v>H668P632</v>
      </c>
      <c r="O3171" s="108">
        <f t="shared" si="51"/>
        <v>1</v>
      </c>
      <c r="P3171" s="108"/>
      <c r="Q3171"/>
    </row>
    <row r="3172" spans="1:17" x14ac:dyDescent="0.25">
      <c r="A3172" s="89" t="s">
        <v>7072</v>
      </c>
      <c r="B3172" s="87" t="s">
        <v>7073</v>
      </c>
      <c r="C3172" s="87" t="s">
        <v>10</v>
      </c>
      <c r="D3172" s="87" t="str">
        <f>VLOOKUP(Tabela1[[#This Row],[Origem]], 'Perguntas 1 a 24'!$J$28:$K$34, 2, 0)</f>
        <v>Centro-Oeste</v>
      </c>
      <c r="E3172" s="87" t="str">
        <f>Tabela1[[#This Row],[Descrição]]&amp;"-"&amp;Tabela1[[#This Row],[Código]]&amp;"/"&amp;Tabela1[[#This Row],[Origem]]</f>
        <v>Piruci-H341H173/GO</v>
      </c>
      <c r="F3172" s="88">
        <v>47409</v>
      </c>
      <c r="G3172" s="88" t="str" cm="1">
        <f t="array" ref="G31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AND(F3172&gt;= DATE(2026,1,1), F3172&lt;= DATE(2028, 12, 31), J3172&gt;50000), "Pendente e Caro", AND(F3172&gt;= DATE(2026,1,1), F3172&lt;= DATE(2028, 12, 31), J3172&lt;=50000), "Pendente", F3172&gt;= DATE(2029,1,1), "Não prioeitário")</f>
        <v>Não prioeitário</v>
      </c>
      <c r="H3172" s="89">
        <f>YEAR(Tabela1[[#This Row],[Data de Validade]])</f>
        <v>2029</v>
      </c>
      <c r="I3172" s="89">
        <f>MONTH(Tabela1[[#This Row],[Data de Validade]])</f>
        <v>10</v>
      </c>
      <c r="J3172" s="101">
        <v>44175</v>
      </c>
      <c r="K3172" s="87" t="s">
        <v>14</v>
      </c>
      <c r="L3172" s="108"/>
      <c r="M3172" s="108"/>
      <c r="N3172" s="108" t="str">
        <v>P687P272</v>
      </c>
      <c r="O3172" s="108">
        <f t="shared" si="51"/>
        <v>1</v>
      </c>
      <c r="P3172" s="108"/>
      <c r="Q3172"/>
    </row>
    <row r="3173" spans="1:17" x14ac:dyDescent="0.25">
      <c r="A3173" s="89" t="s">
        <v>10759</v>
      </c>
      <c r="B3173" s="87" t="s">
        <v>10760</v>
      </c>
      <c r="C3173" s="87" t="s">
        <v>10</v>
      </c>
      <c r="D3173" s="87" t="str">
        <f>VLOOKUP(Tabela1[[#This Row],[Origem]], 'Perguntas 1 a 24'!$J$28:$K$34, 2, 0)</f>
        <v>Centro-Oeste</v>
      </c>
      <c r="E3173" s="87" t="str">
        <f>Tabela1[[#This Row],[Descrição]]&amp;"-"&amp;Tabela1[[#This Row],[Código]]&amp;"/"&amp;Tabela1[[#This Row],[Origem]]</f>
        <v>Licopo-H345P239/GO</v>
      </c>
      <c r="F3173" s="88">
        <v>47410</v>
      </c>
      <c r="G3173" s="88" t="str" cm="1">
        <f t="array" ref="G31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AND(F3173&gt;= DATE(2026,1,1), F3173&lt;= DATE(2028, 12, 31), J3173&gt;50000), "Pendente e Caro", AND(F3173&gt;= DATE(2026,1,1), F3173&lt;= DATE(2028, 12, 31), J3173&lt;=50000), "Pendente", F3173&gt;= DATE(2029,1,1), "Não prioeitário")</f>
        <v>Não prioeitário</v>
      </c>
      <c r="H3173" s="89">
        <f>YEAR(Tabela1[[#This Row],[Data de Validade]])</f>
        <v>2029</v>
      </c>
      <c r="I3173" s="89">
        <f>MONTH(Tabela1[[#This Row],[Data de Validade]])</f>
        <v>10</v>
      </c>
      <c r="J3173" s="101">
        <v>110861</v>
      </c>
      <c r="K3173" s="87" t="s">
        <v>9</v>
      </c>
      <c r="L3173" s="108"/>
      <c r="M3173" s="108"/>
      <c r="N3173" s="108" t="str">
        <v>P633P433</v>
      </c>
      <c r="O3173" s="108">
        <f t="shared" si="51"/>
        <v>1</v>
      </c>
      <c r="P3173" s="108"/>
      <c r="Q3173"/>
    </row>
    <row r="3174" spans="1:17" x14ac:dyDescent="0.25">
      <c r="A3174" s="89" t="s">
        <v>10413</v>
      </c>
      <c r="B3174" s="87" t="s">
        <v>10414</v>
      </c>
      <c r="C3174" s="87" t="s">
        <v>12</v>
      </c>
      <c r="D3174" s="87" t="str">
        <f>VLOOKUP(Tabela1[[#This Row],[Origem]], 'Perguntas 1 a 24'!$J$28:$K$34, 2, 0)</f>
        <v>Sudeste</v>
      </c>
      <c r="E3174" s="87" t="str">
        <f>Tabela1[[#This Row],[Descrição]]&amp;"-"&amp;Tabela1[[#This Row],[Código]]&amp;"/"&amp;Tabela1[[#This Row],[Origem]]</f>
        <v>Vuvadapi-H939P167/RJ</v>
      </c>
      <c r="F3174" s="88">
        <v>47411</v>
      </c>
      <c r="G3174" s="88" t="str" cm="1">
        <f t="array" ref="G31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AND(F3174&gt;= DATE(2026,1,1), F3174&lt;= DATE(2028, 12, 31), J3174&gt;50000), "Pendente e Caro", AND(F3174&gt;= DATE(2026,1,1), F3174&lt;= DATE(2028, 12, 31), J3174&lt;=50000), "Pendente", F3174&gt;= DATE(2029,1,1), "Não prioeitário")</f>
        <v>Não prioeitário</v>
      </c>
      <c r="H3174" s="89">
        <f>YEAR(Tabela1[[#This Row],[Data de Validade]])</f>
        <v>2029</v>
      </c>
      <c r="I3174" s="89">
        <f>MONTH(Tabela1[[#This Row],[Data de Validade]])</f>
        <v>10</v>
      </c>
      <c r="J3174" s="101">
        <v>111545</v>
      </c>
      <c r="K3174" s="87" t="s">
        <v>7</v>
      </c>
      <c r="L3174" s="108"/>
      <c r="M3174" s="108"/>
      <c r="N3174" s="108" t="str">
        <v>H411P767</v>
      </c>
      <c r="O3174" s="108">
        <f t="shared" si="51"/>
        <v>1</v>
      </c>
      <c r="P3174" s="108"/>
      <c r="Q3174"/>
    </row>
    <row r="3175" spans="1:17" x14ac:dyDescent="0.25">
      <c r="A3175" s="89" t="s">
        <v>4576</v>
      </c>
      <c r="B3175" s="87" t="s">
        <v>4577</v>
      </c>
      <c r="C3175" s="87" t="s">
        <v>10</v>
      </c>
      <c r="D3175" s="87" t="str">
        <f>VLOOKUP(Tabela1[[#This Row],[Origem]], 'Perguntas 1 a 24'!$J$28:$K$34, 2, 0)</f>
        <v>Centro-Oeste</v>
      </c>
      <c r="E3175" s="87" t="str">
        <f>Tabela1[[#This Row],[Descrição]]&amp;"-"&amp;Tabela1[[#This Row],[Código]]&amp;"/"&amp;Tabela1[[#This Row],[Origem]]</f>
        <v>Fidipemene-H668P632/GO</v>
      </c>
      <c r="F3175" s="88">
        <v>47411</v>
      </c>
      <c r="G3175" s="88" t="str" cm="1">
        <f t="array" ref="G31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AND(F3175&gt;= DATE(2026,1,1), F3175&lt;= DATE(2028, 12, 31), J3175&gt;50000), "Pendente e Caro", AND(F3175&gt;= DATE(2026,1,1), F3175&lt;= DATE(2028, 12, 31), J3175&lt;=50000), "Pendente", F3175&gt;= DATE(2029,1,1), "Não prioeitário")</f>
        <v>Não prioeitário</v>
      </c>
      <c r="H3175" s="89">
        <f>YEAR(Tabela1[[#This Row],[Data de Validade]])</f>
        <v>2029</v>
      </c>
      <c r="I3175" s="89">
        <f>MONTH(Tabela1[[#This Row],[Data de Validade]])</f>
        <v>10</v>
      </c>
      <c r="J3175" s="101">
        <v>59288</v>
      </c>
      <c r="K3175" s="87" t="s">
        <v>7</v>
      </c>
      <c r="L3175" s="108"/>
      <c r="M3175" s="108"/>
      <c r="N3175" s="108" t="str">
        <v>P579H785</v>
      </c>
      <c r="O3175" s="108">
        <f t="shared" si="51"/>
        <v>1</v>
      </c>
      <c r="P3175" s="108"/>
      <c r="Q3175"/>
    </row>
    <row r="3176" spans="1:17" x14ac:dyDescent="0.25">
      <c r="A3176" s="89" t="s">
        <v>4343</v>
      </c>
      <c r="B3176" s="87" t="s">
        <v>4344</v>
      </c>
      <c r="C3176" s="87" t="s">
        <v>12</v>
      </c>
      <c r="D3176" s="87" t="str">
        <f>VLOOKUP(Tabela1[[#This Row],[Origem]], 'Perguntas 1 a 24'!$J$28:$K$34, 2, 0)</f>
        <v>Sudeste</v>
      </c>
      <c r="E3176" s="87" t="str">
        <f>Tabela1[[#This Row],[Descrição]]&amp;"-"&amp;Tabela1[[#This Row],[Código]]&amp;"/"&amp;Tabela1[[#This Row],[Origem]]</f>
        <v>Pocifale-P687P272/RJ</v>
      </c>
      <c r="F3176" s="88">
        <v>47411</v>
      </c>
      <c r="G3176" s="88" t="str" cm="1">
        <f t="array" ref="G31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AND(F3176&gt;= DATE(2026,1,1), F3176&lt;= DATE(2028, 12, 31), J3176&gt;50000), "Pendente e Caro", AND(F3176&gt;= DATE(2026,1,1), F3176&lt;= DATE(2028, 12, 31), J3176&lt;=50000), "Pendente", F3176&gt;= DATE(2029,1,1), "Não prioeitário")</f>
        <v>Não prioeitário</v>
      </c>
      <c r="H3176" s="89">
        <f>YEAR(Tabela1[[#This Row],[Data de Validade]])</f>
        <v>2029</v>
      </c>
      <c r="I3176" s="89">
        <f>MONTH(Tabela1[[#This Row],[Data de Validade]])</f>
        <v>10</v>
      </c>
      <c r="J3176" s="101">
        <v>30855</v>
      </c>
      <c r="K3176" s="87" t="s">
        <v>11</v>
      </c>
      <c r="L3176" s="108"/>
      <c r="M3176" s="108"/>
      <c r="N3176" s="108" t="str">
        <v>H943P482</v>
      </c>
      <c r="O3176" s="108">
        <f t="shared" si="51"/>
        <v>1</v>
      </c>
      <c r="P3176" s="108"/>
      <c r="Q3176"/>
    </row>
    <row r="3177" spans="1:17" x14ac:dyDescent="0.25">
      <c r="A3177" s="89" t="s">
        <v>6378</v>
      </c>
      <c r="B3177" s="87" t="s">
        <v>6379</v>
      </c>
      <c r="C3177" s="87" t="s">
        <v>16</v>
      </c>
      <c r="D3177" s="87" t="str">
        <f>VLOOKUP(Tabela1[[#This Row],[Origem]], 'Perguntas 1 a 24'!$J$28:$K$34, 2, 0)</f>
        <v>Sudeste</v>
      </c>
      <c r="E3177" s="87" t="str">
        <f>Tabela1[[#This Row],[Descrição]]&amp;"-"&amp;Tabela1[[#This Row],[Código]]&amp;"/"&amp;Tabela1[[#This Row],[Origem]]</f>
        <v>Ropofufo-P633P433/MG</v>
      </c>
      <c r="F3177" s="88">
        <v>47412</v>
      </c>
      <c r="G3177" s="88" t="str" cm="1">
        <f t="array" ref="G31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AND(F3177&gt;= DATE(2026,1,1), F3177&lt;= DATE(2028, 12, 31), J3177&gt;50000), "Pendente e Caro", AND(F3177&gt;= DATE(2026,1,1), F3177&lt;= DATE(2028, 12, 31), J3177&lt;=50000), "Pendente", F3177&gt;= DATE(2029,1,1), "Não prioeitário")</f>
        <v>Não prioeitário</v>
      </c>
      <c r="H3177" s="89">
        <f>YEAR(Tabela1[[#This Row],[Data de Validade]])</f>
        <v>2029</v>
      </c>
      <c r="I3177" s="89">
        <f>MONTH(Tabela1[[#This Row],[Data de Validade]])</f>
        <v>10</v>
      </c>
      <c r="J3177" s="101">
        <v>113254</v>
      </c>
      <c r="K3177" s="87" t="s">
        <v>11</v>
      </c>
      <c r="L3177" s="108"/>
      <c r="M3177" s="108"/>
      <c r="N3177" s="108" t="str">
        <v>P474P843</v>
      </c>
      <c r="O3177" s="108">
        <f t="shared" si="51"/>
        <v>1</v>
      </c>
      <c r="P3177" s="108"/>
      <c r="Q3177"/>
    </row>
    <row r="3178" spans="1:17" x14ac:dyDescent="0.25">
      <c r="A3178" s="89" t="s">
        <v>5522</v>
      </c>
      <c r="B3178" s="87" t="s">
        <v>5523</v>
      </c>
      <c r="C3178" s="87" t="s">
        <v>16</v>
      </c>
      <c r="D3178" s="87" t="str">
        <f>VLOOKUP(Tabela1[[#This Row],[Origem]], 'Perguntas 1 a 24'!$J$28:$K$34, 2, 0)</f>
        <v>Sudeste</v>
      </c>
      <c r="E3178" s="87" t="str">
        <f>Tabela1[[#This Row],[Descrição]]&amp;"-"&amp;Tabela1[[#This Row],[Código]]&amp;"/"&amp;Tabela1[[#This Row],[Origem]]</f>
        <v>Tudocoruta-H411P767/MG</v>
      </c>
      <c r="F3178" s="88">
        <v>47412</v>
      </c>
      <c r="G3178" s="88" t="str" cm="1">
        <f t="array" ref="G31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AND(F3178&gt;= DATE(2026,1,1), F3178&lt;= DATE(2028, 12, 31), J3178&gt;50000), "Pendente e Caro", AND(F3178&gt;= DATE(2026,1,1), F3178&lt;= DATE(2028, 12, 31), J3178&lt;=50000), "Pendente", F3178&gt;= DATE(2029,1,1), "Não prioeitário")</f>
        <v>Não prioeitário</v>
      </c>
      <c r="H3178" s="89">
        <f>YEAR(Tabela1[[#This Row],[Data de Validade]])</f>
        <v>2029</v>
      </c>
      <c r="I3178" s="89">
        <f>MONTH(Tabela1[[#This Row],[Data de Validade]])</f>
        <v>10</v>
      </c>
      <c r="J3178" s="101">
        <v>74062</v>
      </c>
      <c r="K3178" s="87" t="s">
        <v>14</v>
      </c>
      <c r="L3178" s="108"/>
      <c r="M3178" s="108"/>
      <c r="N3178" s="108" t="str">
        <v>H513H946</v>
      </c>
      <c r="O3178" s="108">
        <f t="shared" si="51"/>
        <v>1</v>
      </c>
      <c r="P3178" s="108"/>
      <c r="Q3178"/>
    </row>
    <row r="3179" spans="1:17" x14ac:dyDescent="0.25">
      <c r="A3179" s="89" t="s">
        <v>4144</v>
      </c>
      <c r="B3179" s="87" t="s">
        <v>4145</v>
      </c>
      <c r="C3179" s="87" t="s">
        <v>6</v>
      </c>
      <c r="D3179" s="87" t="str">
        <f>VLOOKUP(Tabela1[[#This Row],[Origem]], 'Perguntas 1 a 24'!$J$28:$K$34, 2, 0)</f>
        <v>Nordeste</v>
      </c>
      <c r="E3179" s="87" t="str">
        <f>Tabela1[[#This Row],[Descrição]]&amp;"-"&amp;Tabela1[[#This Row],[Código]]&amp;"/"&amp;Tabela1[[#This Row],[Origem]]</f>
        <v>Pipuro-P579H785/MA</v>
      </c>
      <c r="F3179" s="88">
        <v>47413</v>
      </c>
      <c r="G3179" s="88" t="str" cm="1">
        <f t="array" ref="G31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AND(F3179&gt;= DATE(2026,1,1), F3179&lt;= DATE(2028, 12, 31), J3179&gt;50000), "Pendente e Caro", AND(F3179&gt;= DATE(2026,1,1), F3179&lt;= DATE(2028, 12, 31), J3179&lt;=50000), "Pendente", F3179&gt;= DATE(2029,1,1), "Não prioeitário")</f>
        <v>Não prioeitário</v>
      </c>
      <c r="H3179" s="89">
        <f>YEAR(Tabela1[[#This Row],[Data de Validade]])</f>
        <v>2029</v>
      </c>
      <c r="I3179" s="89">
        <f>MONTH(Tabela1[[#This Row],[Data de Validade]])</f>
        <v>10</v>
      </c>
      <c r="J3179" s="101">
        <v>102490</v>
      </c>
      <c r="K3179" s="87" t="s">
        <v>14</v>
      </c>
      <c r="L3179" s="108"/>
      <c r="M3179" s="108"/>
      <c r="N3179" s="108" t="str">
        <v>H439P356</v>
      </c>
      <c r="O3179" s="108">
        <f t="shared" si="51"/>
        <v>1</v>
      </c>
      <c r="P3179" s="108"/>
      <c r="Q3179"/>
    </row>
    <row r="3180" spans="1:17" x14ac:dyDescent="0.25">
      <c r="A3180" s="89" t="s">
        <v>5628</v>
      </c>
      <c r="B3180" s="87" t="s">
        <v>5629</v>
      </c>
      <c r="C3180" s="87" t="s">
        <v>15</v>
      </c>
      <c r="D3180" s="87" t="str">
        <f>VLOOKUP(Tabela1[[#This Row],[Origem]], 'Perguntas 1 a 24'!$J$28:$K$34, 2, 0)</f>
        <v>Sudeste</v>
      </c>
      <c r="E3180" s="87" t="str">
        <f>Tabela1[[#This Row],[Descrição]]&amp;"-"&amp;Tabela1[[#This Row],[Código]]&amp;"/"&amp;Tabela1[[#This Row],[Origem]]</f>
        <v>Mupopuva-H943P482/ES</v>
      </c>
      <c r="F3180" s="88">
        <v>47413</v>
      </c>
      <c r="G3180" s="88" t="str" cm="1">
        <f t="array" ref="G31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AND(F3180&gt;= DATE(2026,1,1), F3180&lt;= DATE(2028, 12, 31), J3180&gt;50000), "Pendente e Caro", AND(F3180&gt;= DATE(2026,1,1), F3180&lt;= DATE(2028, 12, 31), J3180&lt;=50000), "Pendente", F3180&gt;= DATE(2029,1,1), "Não prioeitário")</f>
        <v>Não prioeitário</v>
      </c>
      <c r="H3180" s="89">
        <f>YEAR(Tabela1[[#This Row],[Data de Validade]])</f>
        <v>2029</v>
      </c>
      <c r="I3180" s="89">
        <f>MONTH(Tabela1[[#This Row],[Data de Validade]])</f>
        <v>10</v>
      </c>
      <c r="J3180" s="101">
        <v>44646</v>
      </c>
      <c r="K3180" s="87" t="s">
        <v>9</v>
      </c>
      <c r="L3180" s="108"/>
      <c r="M3180" s="108"/>
      <c r="N3180" s="108" t="str">
        <v>P428P436</v>
      </c>
      <c r="O3180" s="108">
        <f t="shared" si="51"/>
        <v>1</v>
      </c>
      <c r="P3180" s="108"/>
      <c r="Q3180"/>
    </row>
    <row r="3181" spans="1:17" x14ac:dyDescent="0.25">
      <c r="A3181" s="89" t="s">
        <v>6996</v>
      </c>
      <c r="B3181" s="87" t="s">
        <v>6997</v>
      </c>
      <c r="C3181" s="87" t="s">
        <v>15</v>
      </c>
      <c r="D3181" s="87" t="str">
        <f>VLOOKUP(Tabela1[[#This Row],[Origem]], 'Perguntas 1 a 24'!$J$28:$K$34, 2, 0)</f>
        <v>Sudeste</v>
      </c>
      <c r="E3181" s="87" t="str">
        <f>Tabela1[[#This Row],[Descrição]]&amp;"-"&amp;Tabela1[[#This Row],[Código]]&amp;"/"&amp;Tabela1[[#This Row],[Origem]]</f>
        <v>Patifapoga-P474P843/ES</v>
      </c>
      <c r="F3181" s="88">
        <v>47413</v>
      </c>
      <c r="G3181" s="88" t="str" cm="1">
        <f t="array" ref="G31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AND(F3181&gt;= DATE(2026,1,1), F3181&lt;= DATE(2028, 12, 31), J3181&gt;50000), "Pendente e Caro", AND(F3181&gt;= DATE(2026,1,1), F3181&lt;= DATE(2028, 12, 31), J3181&lt;=50000), "Pendente", F3181&gt;= DATE(2029,1,1), "Não prioeitário")</f>
        <v>Não prioeitário</v>
      </c>
      <c r="H3181" s="89">
        <f>YEAR(Tabela1[[#This Row],[Data de Validade]])</f>
        <v>2029</v>
      </c>
      <c r="I3181" s="89">
        <f>MONTH(Tabela1[[#This Row],[Data de Validade]])</f>
        <v>10</v>
      </c>
      <c r="J3181" s="101">
        <v>39442</v>
      </c>
      <c r="K3181" s="87" t="s">
        <v>14</v>
      </c>
      <c r="L3181" s="108"/>
      <c r="M3181" s="108"/>
      <c r="N3181" s="108" t="str">
        <v>H534P262</v>
      </c>
      <c r="O3181" s="108">
        <f t="shared" si="51"/>
        <v>1</v>
      </c>
      <c r="P3181" s="108"/>
      <c r="Q3181"/>
    </row>
    <row r="3182" spans="1:17" x14ac:dyDescent="0.25">
      <c r="A3182" s="89" t="s">
        <v>7842</v>
      </c>
      <c r="B3182" s="87" t="s">
        <v>7843</v>
      </c>
      <c r="C3182" s="87" t="s">
        <v>15</v>
      </c>
      <c r="D3182" s="87" t="str">
        <f>VLOOKUP(Tabela1[[#This Row],[Origem]], 'Perguntas 1 a 24'!$J$28:$K$34, 2, 0)</f>
        <v>Sudeste</v>
      </c>
      <c r="E3182" s="87" t="str">
        <f>Tabela1[[#This Row],[Descrição]]&amp;"-"&amp;Tabela1[[#This Row],[Código]]&amp;"/"&amp;Tabela1[[#This Row],[Origem]]</f>
        <v>Motivevuli-H513H946/ES</v>
      </c>
      <c r="F3182" s="88">
        <v>47413</v>
      </c>
      <c r="G3182" s="88" t="str" cm="1">
        <f t="array" ref="G31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AND(F3182&gt;= DATE(2026,1,1), F3182&lt;= DATE(2028, 12, 31), J3182&gt;50000), "Pendente e Caro", AND(F3182&gt;= DATE(2026,1,1), F3182&lt;= DATE(2028, 12, 31), J3182&lt;=50000), "Pendente", F3182&gt;= DATE(2029,1,1), "Não prioeitário")</f>
        <v>Não prioeitário</v>
      </c>
      <c r="H3182" s="89">
        <f>YEAR(Tabela1[[#This Row],[Data de Validade]])</f>
        <v>2029</v>
      </c>
      <c r="I3182" s="89">
        <f>MONTH(Tabela1[[#This Row],[Data de Validade]])</f>
        <v>10</v>
      </c>
      <c r="J3182" s="101">
        <v>34999</v>
      </c>
      <c r="K3182" s="87" t="s">
        <v>9</v>
      </c>
      <c r="L3182" s="108"/>
      <c r="M3182" s="108"/>
      <c r="N3182" s="108" t="str">
        <v>H772H122</v>
      </c>
      <c r="O3182" s="108">
        <f t="shared" si="51"/>
        <v>1</v>
      </c>
      <c r="P3182" s="108"/>
      <c r="Q3182"/>
    </row>
    <row r="3183" spans="1:17" x14ac:dyDescent="0.25">
      <c r="A3183" s="89" t="s">
        <v>8649</v>
      </c>
      <c r="B3183" s="87" t="s">
        <v>8650</v>
      </c>
      <c r="C3183" s="87" t="s">
        <v>10</v>
      </c>
      <c r="D3183" s="87" t="str">
        <f>VLOOKUP(Tabela1[[#This Row],[Origem]], 'Perguntas 1 a 24'!$J$28:$K$34, 2, 0)</f>
        <v>Centro-Oeste</v>
      </c>
      <c r="E3183" s="87" t="str">
        <f>Tabela1[[#This Row],[Descrição]]&amp;"-"&amp;Tabela1[[#This Row],[Código]]&amp;"/"&amp;Tabela1[[#This Row],[Origem]]</f>
        <v>Tudofale-H439P356/GO</v>
      </c>
      <c r="F3183" s="88">
        <v>47414</v>
      </c>
      <c r="G3183" s="88" t="str" cm="1">
        <f t="array" ref="G31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AND(F3183&gt;= DATE(2026,1,1), F3183&lt;= DATE(2028, 12, 31), J3183&gt;50000), "Pendente e Caro", AND(F3183&gt;= DATE(2026,1,1), F3183&lt;= DATE(2028, 12, 31), J3183&lt;=50000), "Pendente", F3183&gt;= DATE(2029,1,1), "Não prioeitário")</f>
        <v>Não prioeitário</v>
      </c>
      <c r="H3183" s="89">
        <f>YEAR(Tabela1[[#This Row],[Data de Validade]])</f>
        <v>2029</v>
      </c>
      <c r="I3183" s="89">
        <f>MONTH(Tabela1[[#This Row],[Data de Validade]])</f>
        <v>10</v>
      </c>
      <c r="J3183" s="101">
        <v>118119</v>
      </c>
      <c r="K3183" s="87" t="s">
        <v>9</v>
      </c>
      <c r="L3183" s="108"/>
      <c r="M3183" s="108"/>
      <c r="N3183" s="108" t="str">
        <v>H264P881</v>
      </c>
      <c r="O3183" s="108">
        <f t="shared" si="51"/>
        <v>1</v>
      </c>
      <c r="P3183" s="108"/>
      <c r="Q3183"/>
    </row>
    <row r="3184" spans="1:17" x14ac:dyDescent="0.25">
      <c r="A3184" s="89" t="s">
        <v>7470</v>
      </c>
      <c r="B3184" s="87" t="s">
        <v>7471</v>
      </c>
      <c r="C3184" s="87" t="s">
        <v>10</v>
      </c>
      <c r="D3184" s="87" t="str">
        <f>VLOOKUP(Tabela1[[#This Row],[Origem]], 'Perguntas 1 a 24'!$J$28:$K$34, 2, 0)</f>
        <v>Centro-Oeste</v>
      </c>
      <c r="E3184" s="87" t="str">
        <f>Tabela1[[#This Row],[Descrição]]&amp;"-"&amp;Tabela1[[#This Row],[Código]]&amp;"/"&amp;Tabela1[[#This Row],[Origem]]</f>
        <v>Pagomevitu-P428P436/GO</v>
      </c>
      <c r="F3184" s="88">
        <v>47414</v>
      </c>
      <c r="G3184" s="88" t="str" cm="1">
        <f t="array" ref="G31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AND(F3184&gt;= DATE(2026,1,1), F3184&lt;= DATE(2028, 12, 31), J3184&gt;50000), "Pendente e Caro", AND(F3184&gt;= DATE(2026,1,1), F3184&lt;= DATE(2028, 12, 31), J3184&lt;=50000), "Pendente", F3184&gt;= DATE(2029,1,1), "Não prioeitário")</f>
        <v>Não prioeitário</v>
      </c>
      <c r="H3184" s="89">
        <f>YEAR(Tabela1[[#This Row],[Data de Validade]])</f>
        <v>2029</v>
      </c>
      <c r="I3184" s="89">
        <f>MONTH(Tabela1[[#This Row],[Data de Validade]])</f>
        <v>10</v>
      </c>
      <c r="J3184" s="101">
        <v>62676</v>
      </c>
      <c r="K3184" s="87" t="s">
        <v>9</v>
      </c>
      <c r="L3184" s="108"/>
      <c r="M3184" s="108"/>
      <c r="N3184" s="108" t="str">
        <v>P255H476</v>
      </c>
      <c r="O3184" s="108">
        <f t="shared" si="51"/>
        <v>1</v>
      </c>
      <c r="P3184" s="108"/>
      <c r="Q3184"/>
    </row>
    <row r="3185" spans="1:17" x14ac:dyDescent="0.25">
      <c r="A3185" s="89" t="s">
        <v>6544</v>
      </c>
      <c r="B3185" s="87" t="s">
        <v>6545</v>
      </c>
      <c r="C3185" s="87" t="s">
        <v>13</v>
      </c>
      <c r="D3185" s="87" t="str">
        <f>VLOOKUP(Tabela1[[#This Row],[Origem]], 'Perguntas 1 a 24'!$J$28:$K$34, 2, 0)</f>
        <v>Sudeste</v>
      </c>
      <c r="E3185" s="87" t="str">
        <f>Tabela1[[#This Row],[Descrição]]&amp;"-"&amp;Tabela1[[#This Row],[Código]]&amp;"/"&amp;Tabela1[[#This Row],[Origem]]</f>
        <v>Pemodu-H534P262/SP</v>
      </c>
      <c r="F3185" s="88">
        <v>47414</v>
      </c>
      <c r="G3185" s="88" t="str" cm="1">
        <f t="array" ref="G31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AND(F3185&gt;= DATE(2026,1,1), F3185&lt;= DATE(2028, 12, 31), J3185&gt;50000), "Pendente e Caro", AND(F3185&gt;= DATE(2026,1,1), F3185&lt;= DATE(2028, 12, 31), J3185&lt;=50000), "Pendente", F3185&gt;= DATE(2029,1,1), "Não prioeitário")</f>
        <v>Não prioeitário</v>
      </c>
      <c r="H3185" s="89">
        <f>YEAR(Tabela1[[#This Row],[Data de Validade]])</f>
        <v>2029</v>
      </c>
      <c r="I3185" s="89">
        <f>MONTH(Tabela1[[#This Row],[Data de Validade]])</f>
        <v>10</v>
      </c>
      <c r="J3185" s="101">
        <v>52607</v>
      </c>
      <c r="K3185" s="87" t="s">
        <v>9</v>
      </c>
      <c r="L3185" s="108"/>
      <c r="M3185" s="108"/>
      <c r="N3185" s="108" t="str">
        <v>H745P554</v>
      </c>
      <c r="O3185" s="108">
        <f t="shared" si="51"/>
        <v>1</v>
      </c>
      <c r="P3185" s="108"/>
      <c r="Q3185"/>
    </row>
    <row r="3186" spans="1:17" x14ac:dyDescent="0.25">
      <c r="A3186" s="89" t="s">
        <v>8599</v>
      </c>
      <c r="B3186" s="87" t="s">
        <v>8600</v>
      </c>
      <c r="C3186" s="87" t="s">
        <v>10</v>
      </c>
      <c r="D3186" s="87" t="str">
        <f>VLOOKUP(Tabela1[[#This Row],[Origem]], 'Perguntas 1 a 24'!$J$28:$K$34, 2, 0)</f>
        <v>Centro-Oeste</v>
      </c>
      <c r="E3186" s="87" t="str">
        <f>Tabela1[[#This Row],[Descrição]]&amp;"-"&amp;Tabela1[[#This Row],[Código]]&amp;"/"&amp;Tabela1[[#This Row],[Origem]]</f>
        <v>Tipute-H772H122/GO</v>
      </c>
      <c r="F3186" s="88">
        <v>47415</v>
      </c>
      <c r="G3186" s="88" t="str" cm="1">
        <f t="array" ref="G31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AND(F3186&gt;= DATE(2026,1,1), F3186&lt;= DATE(2028, 12, 31), J3186&gt;50000), "Pendente e Caro", AND(F3186&gt;= DATE(2026,1,1), F3186&lt;= DATE(2028, 12, 31), J3186&lt;=50000), "Pendente", F3186&gt;= DATE(2029,1,1), "Não prioeitário")</f>
        <v>Não prioeitário</v>
      </c>
      <c r="H3186" s="89">
        <f>YEAR(Tabela1[[#This Row],[Data de Validade]])</f>
        <v>2029</v>
      </c>
      <c r="I3186" s="89">
        <f>MONTH(Tabela1[[#This Row],[Data de Validade]])</f>
        <v>10</v>
      </c>
      <c r="J3186" s="101">
        <v>110795</v>
      </c>
      <c r="K3186" s="87" t="s">
        <v>7</v>
      </c>
      <c r="L3186" s="108"/>
      <c r="M3186" s="108"/>
      <c r="N3186" s="108" t="str">
        <v>P833P343</v>
      </c>
      <c r="O3186" s="108">
        <f t="shared" si="51"/>
        <v>1</v>
      </c>
      <c r="P3186" s="108"/>
      <c r="Q3186"/>
    </row>
    <row r="3187" spans="1:17" x14ac:dyDescent="0.25">
      <c r="A3187" s="89" t="s">
        <v>10399</v>
      </c>
      <c r="B3187" s="87" t="s">
        <v>10400</v>
      </c>
      <c r="C3187" s="87" t="s">
        <v>13</v>
      </c>
      <c r="D3187" s="87" t="str">
        <f>VLOOKUP(Tabela1[[#This Row],[Origem]], 'Perguntas 1 a 24'!$J$28:$K$34, 2, 0)</f>
        <v>Sudeste</v>
      </c>
      <c r="E3187" s="87" t="str">
        <f>Tabela1[[#This Row],[Descrição]]&amp;"-"&amp;Tabela1[[#This Row],[Código]]&amp;"/"&amp;Tabela1[[#This Row],[Origem]]</f>
        <v>Duneralupa-H264P881/SP</v>
      </c>
      <c r="F3187" s="88">
        <v>47415</v>
      </c>
      <c r="G3187" s="88" t="str" cm="1">
        <f t="array" ref="G31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AND(F3187&gt;= DATE(2026,1,1), F3187&lt;= DATE(2028, 12, 31), J3187&gt;50000), "Pendente e Caro", AND(F3187&gt;= DATE(2026,1,1), F3187&lt;= DATE(2028, 12, 31), J3187&lt;=50000), "Pendente", F3187&gt;= DATE(2029,1,1), "Não prioeitário")</f>
        <v>Não prioeitário</v>
      </c>
      <c r="H3187" s="89">
        <f>YEAR(Tabela1[[#This Row],[Data de Validade]])</f>
        <v>2029</v>
      </c>
      <c r="I3187" s="89">
        <f>MONTH(Tabela1[[#This Row],[Data de Validade]])</f>
        <v>10</v>
      </c>
      <c r="J3187" s="101">
        <v>82013</v>
      </c>
      <c r="K3187" s="87" t="s">
        <v>9</v>
      </c>
      <c r="L3187" s="108"/>
      <c r="M3187" s="108"/>
      <c r="N3187" s="108" t="str">
        <v>H544P891</v>
      </c>
      <c r="O3187" s="108">
        <f t="shared" si="51"/>
        <v>1</v>
      </c>
      <c r="P3187" s="108"/>
      <c r="Q3187"/>
    </row>
    <row r="3188" spans="1:17" x14ac:dyDescent="0.25">
      <c r="A3188" s="89" t="s">
        <v>6412</v>
      </c>
      <c r="B3188" s="87" t="s">
        <v>6413</v>
      </c>
      <c r="C3188" s="87" t="s">
        <v>10</v>
      </c>
      <c r="D3188" s="87" t="str">
        <f>VLOOKUP(Tabela1[[#This Row],[Origem]], 'Perguntas 1 a 24'!$J$28:$K$34, 2, 0)</f>
        <v>Centro-Oeste</v>
      </c>
      <c r="E3188" s="87" t="str">
        <f>Tabela1[[#This Row],[Descrição]]&amp;"-"&amp;Tabela1[[#This Row],[Código]]&amp;"/"&amp;Tabela1[[#This Row],[Origem]]</f>
        <v>Megafovitu-P255H476/GO</v>
      </c>
      <c r="F3188" s="88">
        <v>47415</v>
      </c>
      <c r="G3188" s="88" t="str" cm="1">
        <f t="array" ref="G31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AND(F3188&gt;= DATE(2026,1,1), F3188&lt;= DATE(2028, 12, 31), J3188&gt;50000), "Pendente e Caro", AND(F3188&gt;= DATE(2026,1,1), F3188&lt;= DATE(2028, 12, 31), J3188&lt;=50000), "Pendente", F3188&gt;= DATE(2029,1,1), "Não prioeitário")</f>
        <v>Não prioeitário</v>
      </c>
      <c r="H3188" s="89">
        <f>YEAR(Tabela1[[#This Row],[Data de Validade]])</f>
        <v>2029</v>
      </c>
      <c r="I3188" s="89">
        <f>MONTH(Tabela1[[#This Row],[Data de Validade]])</f>
        <v>10</v>
      </c>
      <c r="J3188" s="101">
        <v>80580</v>
      </c>
      <c r="K3188" s="87" t="s">
        <v>14</v>
      </c>
      <c r="L3188" s="108"/>
      <c r="M3188" s="108"/>
      <c r="N3188" s="108" t="str">
        <v>H373P755</v>
      </c>
      <c r="O3188" s="108">
        <f t="shared" si="51"/>
        <v>1</v>
      </c>
      <c r="P3188" s="108"/>
      <c r="Q3188"/>
    </row>
    <row r="3189" spans="1:17" x14ac:dyDescent="0.25">
      <c r="A3189" s="89" t="s">
        <v>7332</v>
      </c>
      <c r="B3189" s="87" t="s">
        <v>7333</v>
      </c>
      <c r="C3189" s="87" t="s">
        <v>16</v>
      </c>
      <c r="D3189" s="87" t="str">
        <f>VLOOKUP(Tabela1[[#This Row],[Origem]], 'Perguntas 1 a 24'!$J$28:$K$34, 2, 0)</f>
        <v>Sudeste</v>
      </c>
      <c r="E3189" s="87" t="str">
        <f>Tabela1[[#This Row],[Descrição]]&amp;"-"&amp;Tabela1[[#This Row],[Código]]&amp;"/"&amp;Tabela1[[#This Row],[Origem]]</f>
        <v>Rarevofano-H745P554/MG</v>
      </c>
      <c r="F3189" s="88">
        <v>47415</v>
      </c>
      <c r="G3189" s="88" t="str" cm="1">
        <f t="array" ref="G31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AND(F3189&gt;= DATE(2026,1,1), F3189&lt;= DATE(2028, 12, 31), J3189&gt;50000), "Pendente e Caro", AND(F3189&gt;= DATE(2026,1,1), F3189&lt;= DATE(2028, 12, 31), J3189&lt;=50000), "Pendente", F3189&gt;= DATE(2029,1,1), "Não prioeitário")</f>
        <v>Não prioeitário</v>
      </c>
      <c r="H3189" s="89">
        <f>YEAR(Tabela1[[#This Row],[Data de Validade]])</f>
        <v>2029</v>
      </c>
      <c r="I3189" s="89">
        <f>MONTH(Tabela1[[#This Row],[Data de Validade]])</f>
        <v>10</v>
      </c>
      <c r="J3189" s="101">
        <v>47154</v>
      </c>
      <c r="K3189" s="87" t="s">
        <v>11</v>
      </c>
      <c r="L3189" s="108"/>
      <c r="M3189" s="108"/>
      <c r="N3189" s="108" t="str">
        <v>P347H187</v>
      </c>
      <c r="O3189" s="108">
        <f t="shared" si="51"/>
        <v>1</v>
      </c>
      <c r="P3189" s="108"/>
      <c r="Q3189"/>
    </row>
    <row r="3190" spans="1:17" x14ac:dyDescent="0.25">
      <c r="A3190" s="89" t="s">
        <v>10101</v>
      </c>
      <c r="B3190" s="87" t="s">
        <v>10102</v>
      </c>
      <c r="C3190" s="87" t="s">
        <v>15</v>
      </c>
      <c r="D3190" s="87" t="str">
        <f>VLOOKUP(Tabela1[[#This Row],[Origem]], 'Perguntas 1 a 24'!$J$28:$K$34, 2, 0)</f>
        <v>Sudeste</v>
      </c>
      <c r="E3190" s="87" t="str">
        <f>Tabela1[[#This Row],[Descrição]]&amp;"-"&amp;Tabela1[[#This Row],[Código]]&amp;"/"&amp;Tabela1[[#This Row],[Origem]]</f>
        <v>Cotulareta-P833P343/ES</v>
      </c>
      <c r="F3190" s="88">
        <v>47417</v>
      </c>
      <c r="G3190" s="88" t="str" cm="1">
        <f t="array" ref="G31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AND(F3190&gt;= DATE(2026,1,1), F3190&lt;= DATE(2028, 12, 31), J3190&gt;50000), "Pendente e Caro", AND(F3190&gt;= DATE(2026,1,1), F3190&lt;= DATE(2028, 12, 31), J3190&lt;=50000), "Pendente", F3190&gt;= DATE(2029,1,1), "Não prioeitário")</f>
        <v>Não prioeitário</v>
      </c>
      <c r="H3190" s="89">
        <f>YEAR(Tabela1[[#This Row],[Data de Validade]])</f>
        <v>2029</v>
      </c>
      <c r="I3190" s="89">
        <f>MONTH(Tabela1[[#This Row],[Data de Validade]])</f>
        <v>10</v>
      </c>
      <c r="J3190" s="101">
        <v>81033</v>
      </c>
      <c r="K3190" s="87" t="s">
        <v>7</v>
      </c>
      <c r="L3190" s="108"/>
      <c r="M3190" s="108"/>
      <c r="N3190" s="108" t="str">
        <v>P464H619</v>
      </c>
      <c r="O3190" s="108">
        <f t="shared" si="51"/>
        <v>1</v>
      </c>
      <c r="P3190" s="108"/>
      <c r="Q3190"/>
    </row>
    <row r="3191" spans="1:17" x14ac:dyDescent="0.25">
      <c r="A3191" s="89" t="s">
        <v>10567</v>
      </c>
      <c r="B3191" s="87" t="s">
        <v>10568</v>
      </c>
      <c r="C3191" s="87" t="s">
        <v>12</v>
      </c>
      <c r="D3191" s="87" t="str">
        <f>VLOOKUP(Tabela1[[#This Row],[Origem]], 'Perguntas 1 a 24'!$J$28:$K$34, 2, 0)</f>
        <v>Sudeste</v>
      </c>
      <c r="E3191" s="87" t="str">
        <f>Tabela1[[#This Row],[Descrição]]&amp;"-"&amp;Tabela1[[#This Row],[Código]]&amp;"/"&amp;Tabela1[[#This Row],[Origem]]</f>
        <v>Nuridolulu-H544P891/RJ</v>
      </c>
      <c r="F3191" s="88">
        <v>47417</v>
      </c>
      <c r="G3191" s="88" t="str" cm="1">
        <f t="array" ref="G31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AND(F3191&gt;= DATE(2026,1,1), F3191&lt;= DATE(2028, 12, 31), J3191&gt;50000), "Pendente e Caro", AND(F3191&gt;= DATE(2026,1,1), F3191&lt;= DATE(2028, 12, 31), J3191&lt;=50000), "Pendente", F3191&gt;= DATE(2029,1,1), "Não prioeitário")</f>
        <v>Não prioeitário</v>
      </c>
      <c r="H3191" s="89">
        <f>YEAR(Tabela1[[#This Row],[Data de Validade]])</f>
        <v>2029</v>
      </c>
      <c r="I3191" s="89">
        <f>MONTH(Tabela1[[#This Row],[Data de Validade]])</f>
        <v>10</v>
      </c>
      <c r="J3191" s="101">
        <v>43819</v>
      </c>
      <c r="K3191" s="87" t="s">
        <v>7</v>
      </c>
      <c r="L3191" s="108"/>
      <c r="M3191" s="108"/>
      <c r="N3191" s="108" t="str">
        <v>P286P527</v>
      </c>
      <c r="O3191" s="108">
        <f t="shared" si="51"/>
        <v>1</v>
      </c>
      <c r="P3191" s="108"/>
      <c r="Q3191"/>
    </row>
    <row r="3192" spans="1:17" x14ac:dyDescent="0.25">
      <c r="A3192" s="89" t="s">
        <v>6548</v>
      </c>
      <c r="B3192" s="87" t="s">
        <v>6549</v>
      </c>
      <c r="C3192" s="87" t="s">
        <v>16</v>
      </c>
      <c r="D3192" s="87" t="str">
        <f>VLOOKUP(Tabela1[[#This Row],[Origem]], 'Perguntas 1 a 24'!$J$28:$K$34, 2, 0)</f>
        <v>Sudeste</v>
      </c>
      <c r="E3192" s="87" t="str">
        <f>Tabela1[[#This Row],[Descrição]]&amp;"-"&amp;Tabela1[[#This Row],[Código]]&amp;"/"&amp;Tabela1[[#This Row],[Origem]]</f>
        <v>Vadepana-H373P755/MG</v>
      </c>
      <c r="F3192" s="88">
        <v>47419</v>
      </c>
      <c r="G3192" s="88" t="str" cm="1">
        <f t="array" ref="G31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AND(F3192&gt;= DATE(2026,1,1), F3192&lt;= DATE(2028, 12, 31), J3192&gt;50000), "Pendente e Caro", AND(F3192&gt;= DATE(2026,1,1), F3192&lt;= DATE(2028, 12, 31), J3192&lt;=50000), "Pendente", F3192&gt;= DATE(2029,1,1), "Não prioeitário")</f>
        <v>Não prioeitário</v>
      </c>
      <c r="H3192" s="89">
        <f>YEAR(Tabela1[[#This Row],[Data de Validade]])</f>
        <v>2029</v>
      </c>
      <c r="I3192" s="89">
        <f>MONTH(Tabela1[[#This Row],[Data de Validade]])</f>
        <v>10</v>
      </c>
      <c r="J3192" s="101">
        <v>118518</v>
      </c>
      <c r="K3192" s="87" t="s">
        <v>14</v>
      </c>
      <c r="L3192" s="108"/>
      <c r="M3192" s="108"/>
      <c r="N3192" s="108" t="str">
        <v>P929H489</v>
      </c>
      <c r="O3192" s="108">
        <f t="shared" si="51"/>
        <v>1</v>
      </c>
      <c r="P3192" s="108"/>
      <c r="Q3192"/>
    </row>
    <row r="3193" spans="1:17" x14ac:dyDescent="0.25">
      <c r="A3193" s="89" t="s">
        <v>7232</v>
      </c>
      <c r="B3193" s="87" t="s">
        <v>7233</v>
      </c>
      <c r="C3193" s="87" t="s">
        <v>15</v>
      </c>
      <c r="D3193" s="87" t="str">
        <f>VLOOKUP(Tabela1[[#This Row],[Origem]], 'Perguntas 1 a 24'!$J$28:$K$34, 2, 0)</f>
        <v>Sudeste</v>
      </c>
      <c r="E3193" s="87" t="str">
        <f>Tabela1[[#This Row],[Descrição]]&amp;"-"&amp;Tabela1[[#This Row],[Código]]&amp;"/"&amp;Tabela1[[#This Row],[Origem]]</f>
        <v>Patuga-P347H187/ES</v>
      </c>
      <c r="F3193" s="88">
        <v>47419</v>
      </c>
      <c r="G3193" s="88" t="str" cm="1">
        <f t="array" ref="G31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AND(F3193&gt;= DATE(2026,1,1), F3193&lt;= DATE(2028, 12, 31), J3193&gt;50000), "Pendente e Caro", AND(F3193&gt;= DATE(2026,1,1), F3193&lt;= DATE(2028, 12, 31), J3193&lt;=50000), "Pendente", F3193&gt;= DATE(2029,1,1), "Não prioeitário")</f>
        <v>Não prioeitário</v>
      </c>
      <c r="H3193" s="89">
        <f>YEAR(Tabela1[[#This Row],[Data de Validade]])</f>
        <v>2029</v>
      </c>
      <c r="I3193" s="89">
        <f>MONTH(Tabela1[[#This Row],[Data de Validade]])</f>
        <v>10</v>
      </c>
      <c r="J3193" s="101">
        <v>112945</v>
      </c>
      <c r="K3193" s="87" t="s">
        <v>7</v>
      </c>
      <c r="L3193" s="108"/>
      <c r="M3193" s="108"/>
      <c r="N3193" s="108" t="str">
        <v>P516P953</v>
      </c>
      <c r="O3193" s="108">
        <f t="shared" si="51"/>
        <v>1</v>
      </c>
      <c r="P3193" s="108"/>
      <c r="Q3193"/>
    </row>
    <row r="3194" spans="1:17" x14ac:dyDescent="0.25">
      <c r="A3194" s="89" t="s">
        <v>8198</v>
      </c>
      <c r="B3194" s="87" t="s">
        <v>8199</v>
      </c>
      <c r="C3194" s="87" t="s">
        <v>15</v>
      </c>
      <c r="D3194" s="87" t="str">
        <f>VLOOKUP(Tabela1[[#This Row],[Origem]], 'Perguntas 1 a 24'!$J$28:$K$34, 2, 0)</f>
        <v>Sudeste</v>
      </c>
      <c r="E3194" s="87" t="str">
        <f>Tabela1[[#This Row],[Descrição]]&amp;"-"&amp;Tabela1[[#This Row],[Código]]&amp;"/"&amp;Tabela1[[#This Row],[Origem]]</f>
        <v>Remalupopi-P464H619/ES</v>
      </c>
      <c r="F3194" s="88">
        <v>47419</v>
      </c>
      <c r="G3194" s="88" t="str" cm="1">
        <f t="array" ref="G31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AND(F3194&gt;= DATE(2026,1,1), F3194&lt;= DATE(2028, 12, 31), J3194&gt;50000), "Pendente e Caro", AND(F3194&gt;= DATE(2026,1,1), F3194&lt;= DATE(2028, 12, 31), J3194&lt;=50000), "Pendente", F3194&gt;= DATE(2029,1,1), "Não prioeitário")</f>
        <v>Não prioeitário</v>
      </c>
      <c r="H3194" s="89">
        <f>YEAR(Tabela1[[#This Row],[Data de Validade]])</f>
        <v>2029</v>
      </c>
      <c r="I3194" s="89">
        <f>MONTH(Tabela1[[#This Row],[Data de Validade]])</f>
        <v>10</v>
      </c>
      <c r="J3194" s="101">
        <v>107102</v>
      </c>
      <c r="K3194" s="87" t="s">
        <v>11</v>
      </c>
      <c r="L3194" s="108"/>
      <c r="M3194" s="108"/>
      <c r="N3194" s="108" t="str">
        <v>H627P294</v>
      </c>
      <c r="O3194" s="108">
        <f t="shared" si="51"/>
        <v>1</v>
      </c>
      <c r="P3194" s="108"/>
      <c r="Q3194"/>
    </row>
    <row r="3195" spans="1:17" x14ac:dyDescent="0.25">
      <c r="A3195" s="89" t="s">
        <v>6816</v>
      </c>
      <c r="B3195" s="87" t="s">
        <v>6817</v>
      </c>
      <c r="C3195" s="87" t="s">
        <v>6</v>
      </c>
      <c r="D3195" s="87" t="str">
        <f>VLOOKUP(Tabela1[[#This Row],[Origem]], 'Perguntas 1 a 24'!$J$28:$K$34, 2, 0)</f>
        <v>Nordeste</v>
      </c>
      <c r="E3195" s="87" t="str">
        <f>Tabela1[[#This Row],[Descrição]]&amp;"-"&amp;Tabela1[[#This Row],[Código]]&amp;"/"&amp;Tabela1[[#This Row],[Origem]]</f>
        <v>Menuropate-P286P527/MA</v>
      </c>
      <c r="F3195" s="88">
        <v>47419</v>
      </c>
      <c r="G3195" s="88" t="str" cm="1">
        <f t="array" ref="G31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AND(F3195&gt;= DATE(2026,1,1), F3195&lt;= DATE(2028, 12, 31), J3195&gt;50000), "Pendente e Caro", AND(F3195&gt;= DATE(2026,1,1), F3195&lt;= DATE(2028, 12, 31), J3195&lt;=50000), "Pendente", F3195&gt;= DATE(2029,1,1), "Não prioeitário")</f>
        <v>Não prioeitário</v>
      </c>
      <c r="H3195" s="89">
        <f>YEAR(Tabela1[[#This Row],[Data de Validade]])</f>
        <v>2029</v>
      </c>
      <c r="I3195" s="89">
        <f>MONTH(Tabela1[[#This Row],[Data de Validade]])</f>
        <v>10</v>
      </c>
      <c r="J3195" s="101">
        <v>76259</v>
      </c>
      <c r="K3195" s="87" t="s">
        <v>11</v>
      </c>
      <c r="L3195" s="108"/>
      <c r="M3195" s="108"/>
      <c r="N3195" s="108" t="str">
        <v>P221H748</v>
      </c>
      <c r="O3195" s="108">
        <f t="shared" si="51"/>
        <v>1</v>
      </c>
      <c r="P3195" s="108"/>
      <c r="Q3195"/>
    </row>
    <row r="3196" spans="1:17" x14ac:dyDescent="0.25">
      <c r="A3196" s="89" t="s">
        <v>4726</v>
      </c>
      <c r="B3196" s="87" t="s">
        <v>4727</v>
      </c>
      <c r="C3196" s="87" t="s">
        <v>15</v>
      </c>
      <c r="D3196" s="87" t="str">
        <f>VLOOKUP(Tabela1[[#This Row],[Origem]], 'Perguntas 1 a 24'!$J$28:$K$34, 2, 0)</f>
        <v>Sudeste</v>
      </c>
      <c r="E3196" s="87" t="str">
        <f>Tabela1[[#This Row],[Descrição]]&amp;"-"&amp;Tabela1[[#This Row],[Código]]&amp;"/"&amp;Tabela1[[#This Row],[Origem]]</f>
        <v>Faroda-P929H489/ES</v>
      </c>
      <c r="F3196" s="88">
        <v>47419</v>
      </c>
      <c r="G3196" s="88" t="str" cm="1">
        <f t="array" ref="G31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AND(F3196&gt;= DATE(2026,1,1), F3196&lt;= DATE(2028, 12, 31), J3196&gt;50000), "Pendente e Caro", AND(F3196&gt;= DATE(2026,1,1), F3196&lt;= DATE(2028, 12, 31), J3196&lt;=50000), "Pendente", F3196&gt;= DATE(2029,1,1), "Não prioeitário")</f>
        <v>Não prioeitário</v>
      </c>
      <c r="H3196" s="89">
        <f>YEAR(Tabela1[[#This Row],[Data de Validade]])</f>
        <v>2029</v>
      </c>
      <c r="I3196" s="89">
        <f>MONTH(Tabela1[[#This Row],[Data de Validade]])</f>
        <v>10</v>
      </c>
      <c r="J3196" s="101">
        <v>34804</v>
      </c>
      <c r="K3196" s="87" t="s">
        <v>11</v>
      </c>
      <c r="L3196" s="108"/>
      <c r="M3196" s="108"/>
      <c r="N3196" s="108" t="str">
        <v>H933H626</v>
      </c>
      <c r="O3196" s="108">
        <f t="shared" si="51"/>
        <v>1</v>
      </c>
      <c r="P3196" s="108"/>
      <c r="Q3196"/>
    </row>
    <row r="3197" spans="1:17" x14ac:dyDescent="0.25">
      <c r="A3197" s="89" t="s">
        <v>4546</v>
      </c>
      <c r="B3197" s="87" t="s">
        <v>4547</v>
      </c>
      <c r="C3197" s="87" t="s">
        <v>10</v>
      </c>
      <c r="D3197" s="87" t="str">
        <f>VLOOKUP(Tabela1[[#This Row],[Origem]], 'Perguntas 1 a 24'!$J$28:$K$34, 2, 0)</f>
        <v>Centro-Oeste</v>
      </c>
      <c r="E3197" s="87" t="str">
        <f>Tabela1[[#This Row],[Descrição]]&amp;"-"&amp;Tabela1[[#This Row],[Código]]&amp;"/"&amp;Tabela1[[#This Row],[Origem]]</f>
        <v>Dupotivopi-P516P953/GO</v>
      </c>
      <c r="F3197" s="88">
        <v>47420</v>
      </c>
      <c r="G3197" s="88" t="str" cm="1">
        <f t="array" ref="G31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AND(F3197&gt;= DATE(2026,1,1), F3197&lt;= DATE(2028, 12, 31), J3197&gt;50000), "Pendente e Caro", AND(F3197&gt;= DATE(2026,1,1), F3197&lt;= DATE(2028, 12, 31), J3197&lt;=50000), "Pendente", F3197&gt;= DATE(2029,1,1), "Não prioeitário")</f>
        <v>Não prioeitário</v>
      </c>
      <c r="H3197" s="89">
        <f>YEAR(Tabela1[[#This Row],[Data de Validade]])</f>
        <v>2029</v>
      </c>
      <c r="I3197" s="89">
        <f>MONTH(Tabela1[[#This Row],[Data de Validade]])</f>
        <v>10</v>
      </c>
      <c r="J3197" s="101">
        <v>38948</v>
      </c>
      <c r="K3197" s="87" t="s">
        <v>9</v>
      </c>
      <c r="L3197" s="108"/>
      <c r="M3197" s="108"/>
      <c r="N3197" s="108" t="str">
        <v>P619H657</v>
      </c>
      <c r="O3197" s="108">
        <f t="shared" si="51"/>
        <v>1</v>
      </c>
      <c r="P3197" s="108"/>
      <c r="Q3197"/>
    </row>
    <row r="3198" spans="1:17" x14ac:dyDescent="0.25">
      <c r="A3198" s="89" t="s">
        <v>5566</v>
      </c>
      <c r="B3198" s="87" t="s">
        <v>5567</v>
      </c>
      <c r="C3198" s="87" t="s">
        <v>15</v>
      </c>
      <c r="D3198" s="87" t="str">
        <f>VLOOKUP(Tabela1[[#This Row],[Origem]], 'Perguntas 1 a 24'!$J$28:$K$34, 2, 0)</f>
        <v>Sudeste</v>
      </c>
      <c r="E3198" s="87" t="str">
        <f>Tabela1[[#This Row],[Descrição]]&amp;"-"&amp;Tabela1[[#This Row],[Código]]&amp;"/"&amp;Tabela1[[#This Row],[Origem]]</f>
        <v>Tumedinu-H627P294/ES</v>
      </c>
      <c r="F3198" s="88">
        <v>47420</v>
      </c>
      <c r="G3198" s="88" t="str" cm="1">
        <f t="array" ref="G31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AND(F3198&gt;= DATE(2026,1,1), F3198&lt;= DATE(2028, 12, 31), J3198&gt;50000), "Pendente e Caro", AND(F3198&gt;= DATE(2026,1,1), F3198&lt;= DATE(2028, 12, 31), J3198&lt;=50000), "Pendente", F3198&gt;= DATE(2029,1,1), "Não prioeitário")</f>
        <v>Não prioeitário</v>
      </c>
      <c r="H3198" s="89">
        <f>YEAR(Tabela1[[#This Row],[Data de Validade]])</f>
        <v>2029</v>
      </c>
      <c r="I3198" s="89">
        <f>MONTH(Tabela1[[#This Row],[Data de Validade]])</f>
        <v>10</v>
      </c>
      <c r="J3198" s="101">
        <v>34892</v>
      </c>
      <c r="K3198" s="87" t="s">
        <v>7</v>
      </c>
      <c r="L3198" s="108"/>
      <c r="M3198" s="108"/>
      <c r="N3198" s="108" t="str">
        <v>H934H922</v>
      </c>
      <c r="O3198" s="108">
        <f t="shared" si="51"/>
        <v>1</v>
      </c>
      <c r="P3198" s="108"/>
      <c r="Q3198"/>
    </row>
    <row r="3199" spans="1:17" x14ac:dyDescent="0.25">
      <c r="A3199" s="89" t="s">
        <v>8675</v>
      </c>
      <c r="B3199" s="87" t="s">
        <v>8676</v>
      </c>
      <c r="C3199" s="87" t="s">
        <v>12</v>
      </c>
      <c r="D3199" s="87" t="str">
        <f>VLOOKUP(Tabela1[[#This Row],[Origem]], 'Perguntas 1 a 24'!$J$28:$K$34, 2, 0)</f>
        <v>Sudeste</v>
      </c>
      <c r="E3199" s="87" t="str">
        <f>Tabela1[[#This Row],[Descrição]]&amp;"-"&amp;Tabela1[[#This Row],[Código]]&amp;"/"&amp;Tabela1[[#This Row],[Origem]]</f>
        <v>Moraramore-P221H748/RJ</v>
      </c>
      <c r="F3199" s="88">
        <v>47421</v>
      </c>
      <c r="G3199" s="88" t="str" cm="1">
        <f t="array" ref="G31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AND(F3199&gt;= DATE(2026,1,1), F3199&lt;= DATE(2028, 12, 31), J3199&gt;50000), "Pendente e Caro", AND(F3199&gt;= DATE(2026,1,1), F3199&lt;= DATE(2028, 12, 31), J3199&lt;=50000), "Pendente", F3199&gt;= DATE(2029,1,1), "Não prioeitário")</f>
        <v>Não prioeitário</v>
      </c>
      <c r="H3199" s="89">
        <f>YEAR(Tabela1[[#This Row],[Data de Validade]])</f>
        <v>2029</v>
      </c>
      <c r="I3199" s="89">
        <f>MONTH(Tabela1[[#This Row],[Data de Validade]])</f>
        <v>10</v>
      </c>
      <c r="J3199" s="101">
        <v>111725</v>
      </c>
      <c r="K3199" s="87" t="s">
        <v>11</v>
      </c>
      <c r="L3199" s="108"/>
      <c r="M3199" s="108"/>
      <c r="N3199" s="108" t="str">
        <v>P228H795</v>
      </c>
      <c r="O3199" s="108">
        <f t="shared" si="51"/>
        <v>1</v>
      </c>
      <c r="P3199" s="108"/>
      <c r="Q3199"/>
    </row>
    <row r="3200" spans="1:17" x14ac:dyDescent="0.25">
      <c r="A3200" s="89" t="s">
        <v>6164</v>
      </c>
      <c r="B3200" s="87" t="s">
        <v>6165</v>
      </c>
      <c r="C3200" s="87" t="s">
        <v>13</v>
      </c>
      <c r="D3200" s="87" t="str">
        <f>VLOOKUP(Tabela1[[#This Row],[Origem]], 'Perguntas 1 a 24'!$J$28:$K$34, 2, 0)</f>
        <v>Sudeste</v>
      </c>
      <c r="E3200" s="87" t="str">
        <f>Tabela1[[#This Row],[Descrição]]&amp;"-"&amp;Tabela1[[#This Row],[Código]]&amp;"/"&amp;Tabela1[[#This Row],[Origem]]</f>
        <v>Licepato-H933H626/SP</v>
      </c>
      <c r="F3200" s="88">
        <v>47421</v>
      </c>
      <c r="G3200" s="88" t="str" cm="1">
        <f t="array" ref="G32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AND(F3200&gt;= DATE(2026,1,1), F3200&lt;= DATE(2028, 12, 31), J3200&gt;50000), "Pendente e Caro", AND(F3200&gt;= DATE(2026,1,1), F3200&lt;= DATE(2028, 12, 31), J3200&lt;=50000), "Pendente", F3200&gt;= DATE(2029,1,1), "Não prioeitário")</f>
        <v>Não prioeitário</v>
      </c>
      <c r="H3200" s="89">
        <f>YEAR(Tabela1[[#This Row],[Data de Validade]])</f>
        <v>2029</v>
      </c>
      <c r="I3200" s="89">
        <f>MONTH(Tabela1[[#This Row],[Data de Validade]])</f>
        <v>10</v>
      </c>
      <c r="J3200" s="101">
        <v>106336</v>
      </c>
      <c r="K3200" s="87" t="s">
        <v>7</v>
      </c>
      <c r="L3200" s="108"/>
      <c r="M3200" s="108"/>
      <c r="N3200" s="108" t="str">
        <v>H936P939</v>
      </c>
      <c r="O3200" s="108">
        <f t="shared" si="51"/>
        <v>1</v>
      </c>
      <c r="P3200" s="108"/>
      <c r="Q3200"/>
    </row>
    <row r="3201" spans="1:17" x14ac:dyDescent="0.25">
      <c r="A3201" s="89" t="s">
        <v>11208</v>
      </c>
      <c r="B3201" s="87" t="s">
        <v>11209</v>
      </c>
      <c r="C3201" s="87" t="s">
        <v>16</v>
      </c>
      <c r="D3201" s="87" t="str">
        <f>VLOOKUP(Tabela1[[#This Row],[Origem]], 'Perguntas 1 a 24'!$J$28:$K$34, 2, 0)</f>
        <v>Sudeste</v>
      </c>
      <c r="E3201" s="87" t="str">
        <f>Tabela1[[#This Row],[Descrição]]&amp;"-"&amp;Tabela1[[#This Row],[Código]]&amp;"/"&amp;Tabela1[[#This Row],[Origem]]</f>
        <v>Tanipo-P619H657/MG</v>
      </c>
      <c r="F3201" s="88">
        <v>47421</v>
      </c>
      <c r="G3201" s="88" t="str" cm="1">
        <f t="array" ref="G32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AND(F3201&gt;= DATE(2026,1,1), F3201&lt;= DATE(2028, 12, 31), J3201&gt;50000), "Pendente e Caro", AND(F3201&gt;= DATE(2026,1,1), F3201&lt;= DATE(2028, 12, 31), J3201&lt;=50000), "Pendente", F3201&gt;= DATE(2029,1,1), "Não prioeitário")</f>
        <v>Não prioeitário</v>
      </c>
      <c r="H3201" s="89">
        <f>YEAR(Tabela1[[#This Row],[Data de Validade]])</f>
        <v>2029</v>
      </c>
      <c r="I3201" s="89">
        <f>MONTH(Tabela1[[#This Row],[Data de Validade]])</f>
        <v>10</v>
      </c>
      <c r="J3201" s="101">
        <v>83968</v>
      </c>
      <c r="K3201" s="87" t="s">
        <v>11</v>
      </c>
      <c r="L3201" s="108"/>
      <c r="M3201" s="108"/>
      <c r="N3201" s="108" t="str">
        <v>P487P759</v>
      </c>
      <c r="O3201" s="108">
        <f t="shared" si="51"/>
        <v>1</v>
      </c>
      <c r="P3201" s="108"/>
      <c r="Q3201"/>
    </row>
    <row r="3202" spans="1:17" x14ac:dyDescent="0.25">
      <c r="A3202" s="89" t="s">
        <v>10679</v>
      </c>
      <c r="B3202" s="87" t="s">
        <v>10680</v>
      </c>
      <c r="C3202" s="87" t="s">
        <v>10</v>
      </c>
      <c r="D3202" s="87" t="str">
        <f>VLOOKUP(Tabela1[[#This Row],[Origem]], 'Perguntas 1 a 24'!$J$28:$K$34, 2, 0)</f>
        <v>Centro-Oeste</v>
      </c>
      <c r="E3202" s="87" t="str">
        <f>Tabela1[[#This Row],[Descrição]]&amp;"-"&amp;Tabela1[[#This Row],[Código]]&amp;"/"&amp;Tabela1[[#This Row],[Origem]]</f>
        <v>Lapuruma-H934H922/GO</v>
      </c>
      <c r="F3202" s="88">
        <v>47421</v>
      </c>
      <c r="G3202" s="88" t="str" cm="1">
        <f t="array" ref="G32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AND(F3202&gt;= DATE(2026,1,1), F3202&lt;= DATE(2028, 12, 31), J3202&gt;50000), "Pendente e Caro", AND(F3202&gt;= DATE(2026,1,1), F3202&lt;= DATE(2028, 12, 31), J3202&lt;=50000), "Pendente", F3202&gt;= DATE(2029,1,1), "Não prioeitário")</f>
        <v>Não prioeitário</v>
      </c>
      <c r="H3202" s="89">
        <f>YEAR(Tabela1[[#This Row],[Data de Validade]])</f>
        <v>2029</v>
      </c>
      <c r="I3202" s="89">
        <f>MONTH(Tabela1[[#This Row],[Data de Validade]])</f>
        <v>10</v>
      </c>
      <c r="J3202" s="101">
        <v>60770</v>
      </c>
      <c r="K3202" s="87" t="s">
        <v>11</v>
      </c>
      <c r="L3202" s="108"/>
      <c r="M3202" s="108"/>
      <c r="N3202" s="108" t="str">
        <v>P629H799</v>
      </c>
      <c r="O3202" s="108">
        <f t="shared" si="51"/>
        <v>1</v>
      </c>
      <c r="P3202" s="108"/>
      <c r="Q3202"/>
    </row>
    <row r="3203" spans="1:17" x14ac:dyDescent="0.25">
      <c r="A3203" s="89" t="s">
        <v>3834</v>
      </c>
      <c r="B3203" s="87" t="s">
        <v>3835</v>
      </c>
      <c r="C3203" s="87" t="s">
        <v>13</v>
      </c>
      <c r="D3203" s="87" t="str">
        <f>VLOOKUP(Tabela1[[#This Row],[Origem]], 'Perguntas 1 a 24'!$J$28:$K$34, 2, 0)</f>
        <v>Sudeste</v>
      </c>
      <c r="E3203" s="87" t="str">
        <f>Tabela1[[#This Row],[Descrição]]&amp;"-"&amp;Tabela1[[#This Row],[Código]]&amp;"/"&amp;Tabela1[[#This Row],[Origem]]</f>
        <v>Gotota-P228H795/SP</v>
      </c>
      <c r="F3203" s="88">
        <v>47421</v>
      </c>
      <c r="G3203" s="88" t="str" cm="1">
        <f t="array" ref="G32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AND(F3203&gt;= DATE(2026,1,1), F3203&lt;= DATE(2028, 12, 31), J3203&gt;50000), "Pendente e Caro", AND(F3203&gt;= DATE(2026,1,1), F3203&lt;= DATE(2028, 12, 31), J3203&lt;=50000), "Pendente", F3203&gt;= DATE(2029,1,1), "Não prioeitário")</f>
        <v>Não prioeitário</v>
      </c>
      <c r="H3203" s="89">
        <f>YEAR(Tabela1[[#This Row],[Data de Validade]])</f>
        <v>2029</v>
      </c>
      <c r="I3203" s="89">
        <f>MONTH(Tabela1[[#This Row],[Data de Validade]])</f>
        <v>10</v>
      </c>
      <c r="J3203" s="101">
        <v>20586</v>
      </c>
      <c r="K3203" s="87" t="s">
        <v>7</v>
      </c>
      <c r="L3203" s="108"/>
      <c r="M3203" s="108"/>
      <c r="N3203" s="108" t="str">
        <v>H231P437</v>
      </c>
      <c r="O3203" s="108">
        <f t="shared" ref="O3203:O3266" si="52">COUNTIFS(B:B,N3203)</f>
        <v>1</v>
      </c>
      <c r="P3203" s="108"/>
      <c r="Q3203"/>
    </row>
    <row r="3204" spans="1:17" x14ac:dyDescent="0.25">
      <c r="A3204" s="89" t="s">
        <v>5294</v>
      </c>
      <c r="B3204" s="87" t="s">
        <v>5295</v>
      </c>
      <c r="C3204" s="87" t="s">
        <v>15</v>
      </c>
      <c r="D3204" s="87" t="str">
        <f>VLOOKUP(Tabela1[[#This Row],[Origem]], 'Perguntas 1 a 24'!$J$28:$K$34, 2, 0)</f>
        <v>Sudeste</v>
      </c>
      <c r="E3204" s="87" t="str">
        <f>Tabela1[[#This Row],[Descrição]]&amp;"-"&amp;Tabela1[[#This Row],[Código]]&amp;"/"&amp;Tabela1[[#This Row],[Origem]]</f>
        <v>Peponipo-H936P939/ES</v>
      </c>
      <c r="F3204" s="88">
        <v>47422</v>
      </c>
      <c r="G3204" s="88" t="str" cm="1">
        <f t="array" ref="G32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AND(F3204&gt;= DATE(2026,1,1), F3204&lt;= DATE(2028, 12, 31), J3204&gt;50000), "Pendente e Caro", AND(F3204&gt;= DATE(2026,1,1), F3204&lt;= DATE(2028, 12, 31), J3204&lt;=50000), "Pendente", F3204&gt;= DATE(2029,1,1), "Não prioeitário")</f>
        <v>Não prioeitário</v>
      </c>
      <c r="H3204" s="89">
        <f>YEAR(Tabela1[[#This Row],[Data de Validade]])</f>
        <v>2029</v>
      </c>
      <c r="I3204" s="89">
        <f>MONTH(Tabela1[[#This Row],[Data de Validade]])</f>
        <v>10</v>
      </c>
      <c r="J3204" s="101">
        <v>119866</v>
      </c>
      <c r="K3204" s="87" t="s">
        <v>14</v>
      </c>
      <c r="L3204" s="108"/>
      <c r="M3204" s="108"/>
      <c r="N3204" s="108" t="str">
        <v>P181H631</v>
      </c>
      <c r="O3204" s="108">
        <f t="shared" si="52"/>
        <v>1</v>
      </c>
      <c r="P3204" s="108"/>
      <c r="Q3204"/>
    </row>
    <row r="3205" spans="1:17" x14ac:dyDescent="0.25">
      <c r="A3205" s="89" t="s">
        <v>10501</v>
      </c>
      <c r="B3205" s="87" t="s">
        <v>10502</v>
      </c>
      <c r="C3205" s="87" t="s">
        <v>15</v>
      </c>
      <c r="D3205" s="87" t="str">
        <f>VLOOKUP(Tabela1[[#This Row],[Origem]], 'Perguntas 1 a 24'!$J$28:$K$34, 2, 0)</f>
        <v>Sudeste</v>
      </c>
      <c r="E3205" s="87" t="str">
        <f>Tabela1[[#This Row],[Descrição]]&amp;"-"&amp;Tabela1[[#This Row],[Código]]&amp;"/"&amp;Tabela1[[#This Row],[Origem]]</f>
        <v>Pupegofuti-P487P759/ES</v>
      </c>
      <c r="F3205" s="88">
        <v>47422</v>
      </c>
      <c r="G3205" s="88" t="str" cm="1">
        <f t="array" ref="G32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AND(F3205&gt;= DATE(2026,1,1), F3205&lt;= DATE(2028, 12, 31), J3205&gt;50000), "Pendente e Caro", AND(F3205&gt;= DATE(2026,1,1), F3205&lt;= DATE(2028, 12, 31), J3205&lt;=50000), "Pendente", F3205&gt;= DATE(2029,1,1), "Não prioeitário")</f>
        <v>Não prioeitário</v>
      </c>
      <c r="H3205" s="89">
        <f>YEAR(Tabela1[[#This Row],[Data de Validade]])</f>
        <v>2029</v>
      </c>
      <c r="I3205" s="89">
        <f>MONTH(Tabela1[[#This Row],[Data de Validade]])</f>
        <v>10</v>
      </c>
      <c r="J3205" s="101">
        <v>108847</v>
      </c>
      <c r="K3205" s="87" t="s">
        <v>11</v>
      </c>
      <c r="L3205" s="108"/>
      <c r="M3205" s="108"/>
      <c r="N3205" s="108" t="str">
        <v>H213P551</v>
      </c>
      <c r="O3205" s="108">
        <f t="shared" si="52"/>
        <v>1</v>
      </c>
      <c r="P3205" s="108"/>
      <c r="Q3205"/>
    </row>
    <row r="3206" spans="1:17" x14ac:dyDescent="0.25">
      <c r="A3206" s="89" t="s">
        <v>8510</v>
      </c>
      <c r="B3206" s="87" t="s">
        <v>8511</v>
      </c>
      <c r="C3206" s="87" t="s">
        <v>13</v>
      </c>
      <c r="D3206" s="87" t="str">
        <f>VLOOKUP(Tabela1[[#This Row],[Origem]], 'Perguntas 1 a 24'!$J$28:$K$34, 2, 0)</f>
        <v>Sudeste</v>
      </c>
      <c r="E3206" s="87" t="str">
        <f>Tabela1[[#This Row],[Descrição]]&amp;"-"&amp;Tabela1[[#This Row],[Código]]&amp;"/"&amp;Tabela1[[#This Row],[Origem]]</f>
        <v>Vanatimudi-P629H799/SP</v>
      </c>
      <c r="F3206" s="88">
        <v>47422</v>
      </c>
      <c r="G3206" s="88" t="str" cm="1">
        <f t="array" ref="G32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AND(F3206&gt;= DATE(2026,1,1), F3206&lt;= DATE(2028, 12, 31), J3206&gt;50000), "Pendente e Caro", AND(F3206&gt;= DATE(2026,1,1), F3206&lt;= DATE(2028, 12, 31), J3206&lt;=50000), "Pendente", F3206&gt;= DATE(2029,1,1), "Não prioeitário")</f>
        <v>Não prioeitário</v>
      </c>
      <c r="H3206" s="89">
        <f>YEAR(Tabela1[[#This Row],[Data de Validade]])</f>
        <v>2029</v>
      </c>
      <c r="I3206" s="89">
        <f>MONTH(Tabela1[[#This Row],[Data de Validade]])</f>
        <v>10</v>
      </c>
      <c r="J3206" s="101">
        <v>84615</v>
      </c>
      <c r="K3206" s="87" t="s">
        <v>11</v>
      </c>
      <c r="L3206" s="108"/>
      <c r="M3206" s="108"/>
      <c r="N3206" s="108" t="str">
        <v>H411H479</v>
      </c>
      <c r="O3206" s="108">
        <f t="shared" si="52"/>
        <v>1</v>
      </c>
      <c r="P3206" s="108"/>
      <c r="Q3206"/>
    </row>
    <row r="3207" spans="1:17" x14ac:dyDescent="0.25">
      <c r="A3207" s="89" t="s">
        <v>10573</v>
      </c>
      <c r="B3207" s="87" t="s">
        <v>10574</v>
      </c>
      <c r="C3207" s="87" t="s">
        <v>6</v>
      </c>
      <c r="D3207" s="87" t="str">
        <f>VLOOKUP(Tabela1[[#This Row],[Origem]], 'Perguntas 1 a 24'!$J$28:$K$34, 2, 0)</f>
        <v>Nordeste</v>
      </c>
      <c r="E3207" s="87" t="str">
        <f>Tabela1[[#This Row],[Descrição]]&amp;"-"&amp;Tabela1[[#This Row],[Código]]&amp;"/"&amp;Tabela1[[#This Row],[Origem]]</f>
        <v>Tapovefe-H231P437/MA</v>
      </c>
      <c r="F3207" s="88">
        <v>47423</v>
      </c>
      <c r="G3207" s="88" t="str" cm="1">
        <f t="array" ref="G32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AND(F3207&gt;= DATE(2026,1,1), F3207&lt;= DATE(2028, 12, 31), J3207&gt;50000), "Pendente e Caro", AND(F3207&gt;= DATE(2026,1,1), F3207&lt;= DATE(2028, 12, 31), J3207&lt;=50000), "Pendente", F3207&gt;= DATE(2029,1,1), "Não prioeitário")</f>
        <v>Não prioeitário</v>
      </c>
      <c r="H3207" s="89">
        <f>YEAR(Tabela1[[#This Row],[Data de Validade]])</f>
        <v>2029</v>
      </c>
      <c r="I3207" s="89">
        <f>MONTH(Tabela1[[#This Row],[Data de Validade]])</f>
        <v>11</v>
      </c>
      <c r="J3207" s="101">
        <v>101863</v>
      </c>
      <c r="K3207" s="87" t="s">
        <v>9</v>
      </c>
      <c r="L3207" s="108"/>
      <c r="M3207" s="108"/>
      <c r="N3207" s="108" t="str">
        <v>P462H975</v>
      </c>
      <c r="O3207" s="108">
        <f t="shared" si="52"/>
        <v>1</v>
      </c>
      <c r="P3207" s="108"/>
      <c r="Q3207"/>
    </row>
    <row r="3208" spans="1:17" x14ac:dyDescent="0.25">
      <c r="A3208" s="89" t="s">
        <v>5284</v>
      </c>
      <c r="B3208" s="87" t="s">
        <v>5285</v>
      </c>
      <c r="C3208" s="87" t="s">
        <v>12</v>
      </c>
      <c r="D3208" s="87" t="str">
        <f>VLOOKUP(Tabela1[[#This Row],[Origem]], 'Perguntas 1 a 24'!$J$28:$K$34, 2, 0)</f>
        <v>Sudeste</v>
      </c>
      <c r="E3208" s="87" t="str">
        <f>Tabela1[[#This Row],[Descrição]]&amp;"-"&amp;Tabela1[[#This Row],[Código]]&amp;"/"&amp;Tabela1[[#This Row],[Origem]]</f>
        <v>Vitigilifi-P181H631/RJ</v>
      </c>
      <c r="F3208" s="88">
        <v>47423</v>
      </c>
      <c r="G3208" s="88" t="str" cm="1">
        <f t="array" ref="G32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AND(F3208&gt;= DATE(2026,1,1), F3208&lt;= DATE(2028, 12, 31), J3208&gt;50000), "Pendente e Caro", AND(F3208&gt;= DATE(2026,1,1), F3208&lt;= DATE(2028, 12, 31), J3208&lt;=50000), "Pendente", F3208&gt;= DATE(2029,1,1), "Não prioeitário")</f>
        <v>Não prioeitário</v>
      </c>
      <c r="H3208" s="89">
        <f>YEAR(Tabela1[[#This Row],[Data de Validade]])</f>
        <v>2029</v>
      </c>
      <c r="I3208" s="89">
        <f>MONTH(Tabela1[[#This Row],[Data de Validade]])</f>
        <v>11</v>
      </c>
      <c r="J3208" s="101">
        <v>88107</v>
      </c>
      <c r="K3208" s="87" t="s">
        <v>7</v>
      </c>
      <c r="L3208" s="108"/>
      <c r="M3208" s="108"/>
      <c r="N3208" s="108" t="str">
        <v>H771H377</v>
      </c>
      <c r="O3208" s="108">
        <f t="shared" si="52"/>
        <v>1</v>
      </c>
      <c r="P3208" s="108"/>
      <c r="Q3208"/>
    </row>
    <row r="3209" spans="1:17" x14ac:dyDescent="0.25">
      <c r="A3209" s="89" t="s">
        <v>6026</v>
      </c>
      <c r="B3209" s="87" t="s">
        <v>6027</v>
      </c>
      <c r="C3209" s="87" t="s">
        <v>12</v>
      </c>
      <c r="D3209" s="87" t="str">
        <f>VLOOKUP(Tabela1[[#This Row],[Origem]], 'Perguntas 1 a 24'!$J$28:$K$34, 2, 0)</f>
        <v>Sudeste</v>
      </c>
      <c r="E3209" s="87" t="str">
        <f>Tabela1[[#This Row],[Descrição]]&amp;"-"&amp;Tabela1[[#This Row],[Código]]&amp;"/"&amp;Tabela1[[#This Row],[Origem]]</f>
        <v>Dopirutevu-H213P551/RJ</v>
      </c>
      <c r="F3209" s="88">
        <v>47423</v>
      </c>
      <c r="G3209" s="88" t="str" cm="1">
        <f t="array" ref="G32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AND(F3209&gt;= DATE(2026,1,1), F3209&lt;= DATE(2028, 12, 31), J3209&gt;50000), "Pendente e Caro", AND(F3209&gt;= DATE(2026,1,1), F3209&lt;= DATE(2028, 12, 31), J3209&lt;=50000), "Pendente", F3209&gt;= DATE(2029,1,1), "Não prioeitário")</f>
        <v>Não prioeitário</v>
      </c>
      <c r="H3209" s="89">
        <f>YEAR(Tabela1[[#This Row],[Data de Validade]])</f>
        <v>2029</v>
      </c>
      <c r="I3209" s="89">
        <f>MONTH(Tabela1[[#This Row],[Data de Validade]])</f>
        <v>11</v>
      </c>
      <c r="J3209" s="101">
        <v>54140</v>
      </c>
      <c r="K3209" s="87" t="s">
        <v>9</v>
      </c>
      <c r="L3209" s="108"/>
      <c r="M3209" s="108"/>
      <c r="N3209" s="108" t="str">
        <v>P557P284</v>
      </c>
      <c r="O3209" s="108">
        <f t="shared" si="52"/>
        <v>1</v>
      </c>
      <c r="P3209" s="108"/>
      <c r="Q3209"/>
    </row>
    <row r="3210" spans="1:17" x14ac:dyDescent="0.25">
      <c r="A3210" s="89" t="s">
        <v>7166</v>
      </c>
      <c r="B3210" s="87" t="s">
        <v>7167</v>
      </c>
      <c r="C3210" s="87" t="s">
        <v>8</v>
      </c>
      <c r="D3210" s="87" t="str">
        <f>VLOOKUP(Tabela1[[#This Row],[Origem]], 'Perguntas 1 a 24'!$J$28:$K$34, 2, 0)</f>
        <v>Nordeste</v>
      </c>
      <c r="E3210" s="87" t="str">
        <f>Tabela1[[#This Row],[Descrição]]&amp;"-"&amp;Tabela1[[#This Row],[Código]]&amp;"/"&amp;Tabela1[[#This Row],[Origem]]</f>
        <v>Fucole-H411H479/AL</v>
      </c>
      <c r="F3210" s="88">
        <v>47423</v>
      </c>
      <c r="G3210" s="88" t="str" cm="1">
        <f t="array" ref="G32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AND(F3210&gt;= DATE(2026,1,1), F3210&lt;= DATE(2028, 12, 31), J3210&gt;50000), "Pendente e Caro", AND(F3210&gt;= DATE(2026,1,1), F3210&lt;= DATE(2028, 12, 31), J3210&lt;=50000), "Pendente", F3210&gt;= DATE(2029,1,1), "Não prioeitário")</f>
        <v>Não prioeitário</v>
      </c>
      <c r="H3210" s="89">
        <f>YEAR(Tabela1[[#This Row],[Data de Validade]])</f>
        <v>2029</v>
      </c>
      <c r="I3210" s="89">
        <f>MONTH(Tabela1[[#This Row],[Data de Validade]])</f>
        <v>11</v>
      </c>
      <c r="J3210" s="101">
        <v>50489</v>
      </c>
      <c r="K3210" s="87" t="s">
        <v>7</v>
      </c>
      <c r="L3210" s="108"/>
      <c r="M3210" s="108"/>
      <c r="N3210" s="108" t="str">
        <v>P397P155</v>
      </c>
      <c r="O3210" s="108">
        <f t="shared" si="52"/>
        <v>1</v>
      </c>
      <c r="P3210" s="108"/>
      <c r="Q3210"/>
    </row>
    <row r="3211" spans="1:17" x14ac:dyDescent="0.25">
      <c r="A3211" s="89" t="s">
        <v>6466</v>
      </c>
      <c r="B3211" s="87" t="s">
        <v>6467</v>
      </c>
      <c r="C3211" s="87" t="s">
        <v>12</v>
      </c>
      <c r="D3211" s="87" t="str">
        <f>VLOOKUP(Tabela1[[#This Row],[Origem]], 'Perguntas 1 a 24'!$J$28:$K$34, 2, 0)</f>
        <v>Sudeste</v>
      </c>
      <c r="E3211" s="87" t="str">
        <f>Tabela1[[#This Row],[Descrição]]&amp;"-"&amp;Tabela1[[#This Row],[Código]]&amp;"/"&amp;Tabela1[[#This Row],[Origem]]</f>
        <v>Gatapi-P462H975/RJ</v>
      </c>
      <c r="F3211" s="88">
        <v>47423</v>
      </c>
      <c r="G3211" s="88" t="str" cm="1">
        <f t="array" ref="G32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AND(F3211&gt;= DATE(2026,1,1), F3211&lt;= DATE(2028, 12, 31), J3211&gt;50000), "Pendente e Caro", AND(F3211&gt;= DATE(2026,1,1), F3211&lt;= DATE(2028, 12, 31), J3211&lt;=50000), "Pendente", F3211&gt;= DATE(2029,1,1), "Não prioeitário")</f>
        <v>Não prioeitário</v>
      </c>
      <c r="H3211" s="89">
        <f>YEAR(Tabela1[[#This Row],[Data de Validade]])</f>
        <v>2029</v>
      </c>
      <c r="I3211" s="89">
        <f>MONTH(Tabela1[[#This Row],[Data de Validade]])</f>
        <v>11</v>
      </c>
      <c r="J3211" s="101">
        <v>35623</v>
      </c>
      <c r="K3211" s="87" t="s">
        <v>11</v>
      </c>
      <c r="L3211" s="108"/>
      <c r="M3211" s="108"/>
      <c r="N3211" s="108" t="str">
        <v>H624H857</v>
      </c>
      <c r="O3211" s="108">
        <f t="shared" si="52"/>
        <v>1</v>
      </c>
      <c r="P3211" s="108"/>
      <c r="Q3211"/>
    </row>
    <row r="3212" spans="1:17" x14ac:dyDescent="0.25">
      <c r="A3212" s="89" t="s">
        <v>6776</v>
      </c>
      <c r="B3212" s="87" t="s">
        <v>6777</v>
      </c>
      <c r="C3212" s="87" t="s">
        <v>16</v>
      </c>
      <c r="D3212" s="87" t="str">
        <f>VLOOKUP(Tabela1[[#This Row],[Origem]], 'Perguntas 1 a 24'!$J$28:$K$34, 2, 0)</f>
        <v>Sudeste</v>
      </c>
      <c r="E3212" s="87" t="str">
        <f>Tabela1[[#This Row],[Descrição]]&amp;"-"&amp;Tabela1[[#This Row],[Código]]&amp;"/"&amp;Tabela1[[#This Row],[Origem]]</f>
        <v>Rirapola-H771H377/MG</v>
      </c>
      <c r="F3212" s="88">
        <v>47424</v>
      </c>
      <c r="G3212" s="88" t="str" cm="1">
        <f t="array" ref="G32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AND(F3212&gt;= DATE(2026,1,1), F3212&lt;= DATE(2028, 12, 31), J3212&gt;50000), "Pendente e Caro", AND(F3212&gt;= DATE(2026,1,1), F3212&lt;= DATE(2028, 12, 31), J3212&lt;=50000), "Pendente", F3212&gt;= DATE(2029,1,1), "Não prioeitário")</f>
        <v>Não prioeitário</v>
      </c>
      <c r="H3212" s="89">
        <f>YEAR(Tabela1[[#This Row],[Data de Validade]])</f>
        <v>2029</v>
      </c>
      <c r="I3212" s="89">
        <f>MONTH(Tabela1[[#This Row],[Data de Validade]])</f>
        <v>11</v>
      </c>
      <c r="J3212" s="101">
        <v>67250</v>
      </c>
      <c r="K3212" s="87" t="s">
        <v>9</v>
      </c>
      <c r="L3212" s="108"/>
      <c r="M3212" s="108"/>
      <c r="N3212" s="108" t="str">
        <v>P143P382</v>
      </c>
      <c r="O3212" s="108">
        <f t="shared" si="52"/>
        <v>1</v>
      </c>
      <c r="P3212" s="108"/>
      <c r="Q3212"/>
    </row>
    <row r="3213" spans="1:17" x14ac:dyDescent="0.25">
      <c r="A3213" s="89" t="s">
        <v>6088</v>
      </c>
      <c r="B3213" s="87" t="s">
        <v>6089</v>
      </c>
      <c r="C3213" s="87" t="s">
        <v>10</v>
      </c>
      <c r="D3213" s="87" t="str">
        <f>VLOOKUP(Tabela1[[#This Row],[Origem]], 'Perguntas 1 a 24'!$J$28:$K$34, 2, 0)</f>
        <v>Centro-Oeste</v>
      </c>
      <c r="E3213" s="87" t="str">
        <f>Tabela1[[#This Row],[Descrição]]&amp;"-"&amp;Tabela1[[#This Row],[Código]]&amp;"/"&amp;Tabela1[[#This Row],[Origem]]</f>
        <v>Pupupo-P557P284/GO</v>
      </c>
      <c r="F3213" s="88">
        <v>47424</v>
      </c>
      <c r="G3213" s="88" t="str" cm="1">
        <f t="array" ref="G32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AND(F3213&gt;= DATE(2026,1,1), F3213&lt;= DATE(2028, 12, 31), J3213&gt;50000), "Pendente e Caro", AND(F3213&gt;= DATE(2026,1,1), F3213&lt;= DATE(2028, 12, 31), J3213&lt;=50000), "Pendente", F3213&gt;= DATE(2029,1,1), "Não prioeitário")</f>
        <v>Não prioeitário</v>
      </c>
      <c r="H3213" s="89">
        <f>YEAR(Tabela1[[#This Row],[Data de Validade]])</f>
        <v>2029</v>
      </c>
      <c r="I3213" s="89">
        <f>MONTH(Tabela1[[#This Row],[Data de Validade]])</f>
        <v>11</v>
      </c>
      <c r="J3213" s="101">
        <v>39642</v>
      </c>
      <c r="K3213" s="87" t="s">
        <v>11</v>
      </c>
      <c r="L3213" s="108"/>
      <c r="M3213" s="108"/>
      <c r="N3213" s="108" t="str">
        <v>H354P369</v>
      </c>
      <c r="O3213" s="108">
        <f t="shared" si="52"/>
        <v>1</v>
      </c>
      <c r="P3213" s="108"/>
      <c r="Q3213"/>
    </row>
    <row r="3214" spans="1:17" x14ac:dyDescent="0.25">
      <c r="A3214" s="89" t="s">
        <v>9261</v>
      </c>
      <c r="B3214" s="87" t="s">
        <v>9262</v>
      </c>
      <c r="C3214" s="87" t="s">
        <v>6</v>
      </c>
      <c r="D3214" s="87" t="str">
        <f>VLOOKUP(Tabela1[[#This Row],[Origem]], 'Perguntas 1 a 24'!$J$28:$K$34, 2, 0)</f>
        <v>Nordeste</v>
      </c>
      <c r="E3214" s="87" t="str">
        <f>Tabela1[[#This Row],[Descrição]]&amp;"-"&amp;Tabela1[[#This Row],[Código]]&amp;"/"&amp;Tabela1[[#This Row],[Origem]]</f>
        <v>Vodepe-P397P155/MA</v>
      </c>
      <c r="F3214" s="88">
        <v>47426</v>
      </c>
      <c r="G3214" s="88" t="str" cm="1">
        <f t="array" ref="G32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AND(F3214&gt;= DATE(2026,1,1), F3214&lt;= DATE(2028, 12, 31), J3214&gt;50000), "Pendente e Caro", AND(F3214&gt;= DATE(2026,1,1), F3214&lt;= DATE(2028, 12, 31), J3214&lt;=50000), "Pendente", F3214&gt;= DATE(2029,1,1), "Não prioeitário")</f>
        <v>Não prioeitário</v>
      </c>
      <c r="H3214" s="89">
        <f>YEAR(Tabela1[[#This Row],[Data de Validade]])</f>
        <v>2029</v>
      </c>
      <c r="I3214" s="89">
        <f>MONTH(Tabela1[[#This Row],[Data de Validade]])</f>
        <v>11</v>
      </c>
      <c r="J3214" s="101">
        <v>53925</v>
      </c>
      <c r="K3214" s="87" t="s">
        <v>7</v>
      </c>
      <c r="L3214" s="108"/>
      <c r="M3214" s="108"/>
      <c r="N3214" s="108" t="str">
        <v>P652P514</v>
      </c>
      <c r="O3214" s="108">
        <f t="shared" si="52"/>
        <v>1</v>
      </c>
      <c r="P3214" s="108"/>
      <c r="Q3214"/>
    </row>
    <row r="3215" spans="1:17" x14ac:dyDescent="0.25">
      <c r="A3215" s="89" t="s">
        <v>9629</v>
      </c>
      <c r="B3215" s="87" t="s">
        <v>9630</v>
      </c>
      <c r="C3215" s="87" t="s">
        <v>6</v>
      </c>
      <c r="D3215" s="87" t="str">
        <f>VLOOKUP(Tabela1[[#This Row],[Origem]], 'Perguntas 1 a 24'!$J$28:$K$34, 2, 0)</f>
        <v>Nordeste</v>
      </c>
      <c r="E3215" s="87" t="str">
        <f>Tabela1[[#This Row],[Descrição]]&amp;"-"&amp;Tabela1[[#This Row],[Código]]&amp;"/"&amp;Tabela1[[#This Row],[Origem]]</f>
        <v>Tivenigeta-H624H857/MA</v>
      </c>
      <c r="F3215" s="88">
        <v>47428</v>
      </c>
      <c r="G3215" s="88" t="str" cm="1">
        <f t="array" ref="G32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AND(F3215&gt;= DATE(2026,1,1), F3215&lt;= DATE(2028, 12, 31), J3215&gt;50000), "Pendente e Caro", AND(F3215&gt;= DATE(2026,1,1), F3215&lt;= DATE(2028, 12, 31), J3215&lt;=50000), "Pendente", F3215&gt;= DATE(2029,1,1), "Não prioeitário")</f>
        <v>Não prioeitário</v>
      </c>
      <c r="H3215" s="89">
        <f>YEAR(Tabela1[[#This Row],[Data de Validade]])</f>
        <v>2029</v>
      </c>
      <c r="I3215" s="89">
        <f>MONTH(Tabela1[[#This Row],[Data de Validade]])</f>
        <v>11</v>
      </c>
      <c r="J3215" s="101">
        <v>119802</v>
      </c>
      <c r="K3215" s="87" t="s">
        <v>11</v>
      </c>
      <c r="L3215" s="108"/>
      <c r="M3215" s="108"/>
      <c r="N3215" s="108" t="str">
        <v>H575H646</v>
      </c>
      <c r="O3215" s="108">
        <f t="shared" si="52"/>
        <v>1</v>
      </c>
      <c r="P3215" s="108"/>
      <c r="Q3215"/>
    </row>
    <row r="3216" spans="1:17" x14ac:dyDescent="0.25">
      <c r="A3216" s="89" t="s">
        <v>8679</v>
      </c>
      <c r="B3216" s="87" t="s">
        <v>8680</v>
      </c>
      <c r="C3216" s="87" t="s">
        <v>10</v>
      </c>
      <c r="D3216" s="87" t="str">
        <f>VLOOKUP(Tabela1[[#This Row],[Origem]], 'Perguntas 1 a 24'!$J$28:$K$34, 2, 0)</f>
        <v>Centro-Oeste</v>
      </c>
      <c r="E3216" s="87" t="str">
        <f>Tabela1[[#This Row],[Descrição]]&amp;"-"&amp;Tabela1[[#This Row],[Código]]&amp;"/"&amp;Tabela1[[#This Row],[Origem]]</f>
        <v>Nutagoromu-P143P382/GO</v>
      </c>
      <c r="F3216" s="88">
        <v>47428</v>
      </c>
      <c r="G3216" s="88" t="str" cm="1">
        <f t="array" ref="G32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AND(F3216&gt;= DATE(2026,1,1), F3216&lt;= DATE(2028, 12, 31), J3216&gt;50000), "Pendente e Caro", AND(F3216&gt;= DATE(2026,1,1), F3216&lt;= DATE(2028, 12, 31), J3216&lt;=50000), "Pendente", F3216&gt;= DATE(2029,1,1), "Não prioeitário")</f>
        <v>Não prioeitário</v>
      </c>
      <c r="H3216" s="89">
        <f>YEAR(Tabela1[[#This Row],[Data de Validade]])</f>
        <v>2029</v>
      </c>
      <c r="I3216" s="89">
        <f>MONTH(Tabela1[[#This Row],[Data de Validade]])</f>
        <v>11</v>
      </c>
      <c r="J3216" s="101">
        <v>37888</v>
      </c>
      <c r="K3216" s="87" t="s">
        <v>9</v>
      </c>
      <c r="L3216" s="108"/>
      <c r="M3216" s="108"/>
      <c r="N3216" s="108" t="str">
        <v>P259H391</v>
      </c>
      <c r="O3216" s="108">
        <f t="shared" si="52"/>
        <v>1</v>
      </c>
      <c r="P3216" s="108"/>
      <c r="Q3216"/>
    </row>
    <row r="3217" spans="1:17" x14ac:dyDescent="0.25">
      <c r="A3217" s="89" t="s">
        <v>4512</v>
      </c>
      <c r="B3217" s="87" t="s">
        <v>4513</v>
      </c>
      <c r="C3217" s="87" t="s">
        <v>12</v>
      </c>
      <c r="D3217" s="87" t="str">
        <f>VLOOKUP(Tabela1[[#This Row],[Origem]], 'Perguntas 1 a 24'!$J$28:$K$34, 2, 0)</f>
        <v>Sudeste</v>
      </c>
      <c r="E3217" s="87" t="str">
        <f>Tabela1[[#This Row],[Descrição]]&amp;"-"&amp;Tabela1[[#This Row],[Código]]&amp;"/"&amp;Tabela1[[#This Row],[Origem]]</f>
        <v>Rucipitutu-H354P369/RJ</v>
      </c>
      <c r="F3217" s="88">
        <v>47429</v>
      </c>
      <c r="G3217" s="88" t="str" cm="1">
        <f t="array" ref="G32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AND(F3217&gt;= DATE(2026,1,1), F3217&lt;= DATE(2028, 12, 31), J3217&gt;50000), "Pendente e Caro", AND(F3217&gt;= DATE(2026,1,1), F3217&lt;= DATE(2028, 12, 31), J3217&lt;=50000), "Pendente", F3217&gt;= DATE(2029,1,1), "Não prioeitário")</f>
        <v>Não prioeitário</v>
      </c>
      <c r="H3217" s="89">
        <f>YEAR(Tabela1[[#This Row],[Data de Validade]])</f>
        <v>2029</v>
      </c>
      <c r="I3217" s="89">
        <f>MONTH(Tabela1[[#This Row],[Data de Validade]])</f>
        <v>11</v>
      </c>
      <c r="J3217" s="101">
        <v>89656</v>
      </c>
      <c r="K3217" s="87" t="s">
        <v>7</v>
      </c>
      <c r="L3217" s="108"/>
      <c r="M3217" s="108"/>
      <c r="N3217" s="108" t="str">
        <v>P265H699</v>
      </c>
      <c r="O3217" s="108">
        <f t="shared" si="52"/>
        <v>1</v>
      </c>
      <c r="P3217" s="108"/>
      <c r="Q3217"/>
    </row>
    <row r="3218" spans="1:17" x14ac:dyDescent="0.25">
      <c r="A3218" s="89" t="s">
        <v>4664</v>
      </c>
      <c r="B3218" s="87" t="s">
        <v>4665</v>
      </c>
      <c r="C3218" s="87" t="s">
        <v>10</v>
      </c>
      <c r="D3218" s="87" t="str">
        <f>VLOOKUP(Tabela1[[#This Row],[Origem]], 'Perguntas 1 a 24'!$J$28:$K$34, 2, 0)</f>
        <v>Centro-Oeste</v>
      </c>
      <c r="E3218" s="87" t="str">
        <f>Tabela1[[#This Row],[Descrição]]&amp;"-"&amp;Tabela1[[#This Row],[Código]]&amp;"/"&amp;Tabela1[[#This Row],[Origem]]</f>
        <v>Pugepa-P652P514/GO</v>
      </c>
      <c r="F3218" s="88">
        <v>47430</v>
      </c>
      <c r="G3218" s="88" t="str" cm="1">
        <f t="array" ref="G32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AND(F3218&gt;= DATE(2026,1,1), F3218&lt;= DATE(2028, 12, 31), J3218&gt;50000), "Pendente e Caro", AND(F3218&gt;= DATE(2026,1,1), F3218&lt;= DATE(2028, 12, 31), J3218&lt;=50000), "Pendente", F3218&gt;= DATE(2029,1,1), "Não prioeitário")</f>
        <v>Não prioeitário</v>
      </c>
      <c r="H3218" s="89">
        <f>YEAR(Tabela1[[#This Row],[Data de Validade]])</f>
        <v>2029</v>
      </c>
      <c r="I3218" s="89">
        <f>MONTH(Tabela1[[#This Row],[Data de Validade]])</f>
        <v>11</v>
      </c>
      <c r="J3218" s="101">
        <v>114919</v>
      </c>
      <c r="K3218" s="87" t="s">
        <v>11</v>
      </c>
      <c r="L3218" s="108"/>
      <c r="M3218" s="108"/>
      <c r="N3218" s="108" t="str">
        <v>H861H979</v>
      </c>
      <c r="O3218" s="108">
        <f t="shared" si="52"/>
        <v>1</v>
      </c>
      <c r="P3218" s="108"/>
      <c r="Q3218"/>
    </row>
    <row r="3219" spans="1:17" x14ac:dyDescent="0.25">
      <c r="A3219" s="89" t="s">
        <v>7294</v>
      </c>
      <c r="B3219" s="87" t="s">
        <v>7295</v>
      </c>
      <c r="C3219" s="87" t="s">
        <v>16</v>
      </c>
      <c r="D3219" s="87" t="str">
        <f>VLOOKUP(Tabela1[[#This Row],[Origem]], 'Perguntas 1 a 24'!$J$28:$K$34, 2, 0)</f>
        <v>Sudeste</v>
      </c>
      <c r="E3219" s="87" t="str">
        <f>Tabela1[[#This Row],[Descrição]]&amp;"-"&amp;Tabela1[[#This Row],[Código]]&amp;"/"&amp;Tabela1[[#This Row],[Origem]]</f>
        <v>Roluvo-H575H646/MG</v>
      </c>
      <c r="F3219" s="88">
        <v>47430</v>
      </c>
      <c r="G3219" s="88" t="str" cm="1">
        <f t="array" ref="G32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AND(F3219&gt;= DATE(2026,1,1), F3219&lt;= DATE(2028, 12, 31), J3219&gt;50000), "Pendente e Caro", AND(F3219&gt;= DATE(2026,1,1), F3219&lt;= DATE(2028, 12, 31), J3219&lt;=50000), "Pendente", F3219&gt;= DATE(2029,1,1), "Não prioeitário")</f>
        <v>Não prioeitário</v>
      </c>
      <c r="H3219" s="89">
        <f>YEAR(Tabela1[[#This Row],[Data de Validade]])</f>
        <v>2029</v>
      </c>
      <c r="I3219" s="89">
        <f>MONTH(Tabela1[[#This Row],[Data de Validade]])</f>
        <v>11</v>
      </c>
      <c r="J3219" s="101">
        <v>98489</v>
      </c>
      <c r="K3219" s="87" t="s">
        <v>9</v>
      </c>
      <c r="L3219" s="108"/>
      <c r="M3219" s="108"/>
      <c r="N3219" s="108" t="str">
        <v>H912H359</v>
      </c>
      <c r="O3219" s="108">
        <f t="shared" si="52"/>
        <v>1</v>
      </c>
      <c r="P3219" s="108"/>
      <c r="Q3219"/>
    </row>
    <row r="3220" spans="1:17" x14ac:dyDescent="0.25">
      <c r="A3220" s="89" t="s">
        <v>6978</v>
      </c>
      <c r="B3220" s="87" t="s">
        <v>6979</v>
      </c>
      <c r="C3220" s="87" t="s">
        <v>16</v>
      </c>
      <c r="D3220" s="87" t="str">
        <f>VLOOKUP(Tabela1[[#This Row],[Origem]], 'Perguntas 1 a 24'!$J$28:$K$34, 2, 0)</f>
        <v>Sudeste</v>
      </c>
      <c r="E3220" s="87" t="str">
        <f>Tabela1[[#This Row],[Descrição]]&amp;"-"&amp;Tabela1[[#This Row],[Código]]&amp;"/"&amp;Tabela1[[#This Row],[Origem]]</f>
        <v>Mimuno-P259H391/MG</v>
      </c>
      <c r="F3220" s="88">
        <v>47430</v>
      </c>
      <c r="G3220" s="88" t="str" cm="1">
        <f t="array" ref="G32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AND(F3220&gt;= DATE(2026,1,1), F3220&lt;= DATE(2028, 12, 31), J3220&gt;50000), "Pendente e Caro", AND(F3220&gt;= DATE(2026,1,1), F3220&lt;= DATE(2028, 12, 31), J3220&lt;=50000), "Pendente", F3220&gt;= DATE(2029,1,1), "Não prioeitário")</f>
        <v>Não prioeitário</v>
      </c>
      <c r="H3220" s="89">
        <f>YEAR(Tabela1[[#This Row],[Data de Validade]])</f>
        <v>2029</v>
      </c>
      <c r="I3220" s="89">
        <f>MONTH(Tabela1[[#This Row],[Data de Validade]])</f>
        <v>11</v>
      </c>
      <c r="J3220" s="101">
        <v>50531</v>
      </c>
      <c r="K3220" s="87" t="s">
        <v>7</v>
      </c>
      <c r="L3220" s="108"/>
      <c r="M3220" s="108"/>
      <c r="N3220" s="108" t="str">
        <v>H491P115</v>
      </c>
      <c r="O3220" s="108">
        <f t="shared" si="52"/>
        <v>1</v>
      </c>
      <c r="P3220" s="108"/>
      <c r="Q3220"/>
    </row>
    <row r="3221" spans="1:17" x14ac:dyDescent="0.25">
      <c r="A3221" s="89" t="s">
        <v>3758</v>
      </c>
      <c r="B3221" s="87" t="s">
        <v>3759</v>
      </c>
      <c r="C3221" s="87" t="s">
        <v>13</v>
      </c>
      <c r="D3221" s="87" t="str">
        <f>VLOOKUP(Tabela1[[#This Row],[Origem]], 'Perguntas 1 a 24'!$J$28:$K$34, 2, 0)</f>
        <v>Sudeste</v>
      </c>
      <c r="E3221" s="87" t="str">
        <f>Tabela1[[#This Row],[Descrição]]&amp;"-"&amp;Tabela1[[#This Row],[Código]]&amp;"/"&amp;Tabela1[[#This Row],[Origem]]</f>
        <v>Topefaru-P265H699/SP</v>
      </c>
      <c r="F3221" s="88">
        <v>47430</v>
      </c>
      <c r="G3221" s="88" t="str" cm="1">
        <f t="array" ref="G32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AND(F3221&gt;= DATE(2026,1,1), F3221&lt;= DATE(2028, 12, 31), J3221&gt;50000), "Pendente e Caro", AND(F3221&gt;= DATE(2026,1,1), F3221&lt;= DATE(2028, 12, 31), J3221&lt;=50000), "Pendente", F3221&gt;= DATE(2029,1,1), "Não prioeitário")</f>
        <v>Não prioeitário</v>
      </c>
      <c r="H3221" s="89">
        <f>YEAR(Tabela1[[#This Row],[Data de Validade]])</f>
        <v>2029</v>
      </c>
      <c r="I3221" s="89">
        <f>MONTH(Tabela1[[#This Row],[Data de Validade]])</f>
        <v>11</v>
      </c>
      <c r="J3221" s="101">
        <v>37991</v>
      </c>
      <c r="K3221" s="87" t="s">
        <v>11</v>
      </c>
      <c r="L3221" s="108"/>
      <c r="M3221" s="108"/>
      <c r="N3221" s="108" t="str">
        <v>H624P368</v>
      </c>
      <c r="O3221" s="108">
        <f t="shared" si="52"/>
        <v>1</v>
      </c>
      <c r="P3221" s="108"/>
      <c r="Q3221"/>
    </row>
    <row r="3222" spans="1:17" x14ac:dyDescent="0.25">
      <c r="A3222" s="89" t="s">
        <v>4028</v>
      </c>
      <c r="B3222" s="87" t="s">
        <v>4029</v>
      </c>
      <c r="C3222" s="87" t="s">
        <v>6</v>
      </c>
      <c r="D3222" s="87" t="str">
        <f>VLOOKUP(Tabela1[[#This Row],[Origem]], 'Perguntas 1 a 24'!$J$28:$K$34, 2, 0)</f>
        <v>Nordeste</v>
      </c>
      <c r="E3222" s="87" t="str">
        <f>Tabela1[[#This Row],[Descrição]]&amp;"-"&amp;Tabela1[[#This Row],[Código]]&amp;"/"&amp;Tabela1[[#This Row],[Origem]]</f>
        <v>Pepigefuro-H861H979/MA</v>
      </c>
      <c r="F3222" s="88">
        <v>47431</v>
      </c>
      <c r="G3222" s="88" t="str" cm="1">
        <f t="array" ref="G32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AND(F3222&gt;= DATE(2026,1,1), F3222&lt;= DATE(2028, 12, 31), J3222&gt;50000), "Pendente e Caro", AND(F3222&gt;= DATE(2026,1,1), F3222&lt;= DATE(2028, 12, 31), J3222&lt;=50000), "Pendente", F3222&gt;= DATE(2029,1,1), "Não prioeitário")</f>
        <v>Não prioeitário</v>
      </c>
      <c r="H3222" s="89">
        <f>YEAR(Tabela1[[#This Row],[Data de Validade]])</f>
        <v>2029</v>
      </c>
      <c r="I3222" s="89">
        <f>MONTH(Tabela1[[#This Row],[Data de Validade]])</f>
        <v>11</v>
      </c>
      <c r="J3222" s="101">
        <v>112749</v>
      </c>
      <c r="K3222" s="87" t="s">
        <v>7</v>
      </c>
      <c r="L3222" s="108"/>
      <c r="M3222" s="108"/>
      <c r="N3222" s="108" t="str">
        <v>P916H726</v>
      </c>
      <c r="O3222" s="108">
        <f t="shared" si="52"/>
        <v>1</v>
      </c>
      <c r="P3222" s="108"/>
      <c r="Q3222"/>
    </row>
    <row r="3223" spans="1:17" x14ac:dyDescent="0.25">
      <c r="A3223" s="89" t="s">
        <v>4620</v>
      </c>
      <c r="B3223" s="87" t="s">
        <v>4621</v>
      </c>
      <c r="C3223" s="87" t="s">
        <v>10</v>
      </c>
      <c r="D3223" s="87" t="str">
        <f>VLOOKUP(Tabela1[[#This Row],[Origem]], 'Perguntas 1 a 24'!$J$28:$K$34, 2, 0)</f>
        <v>Centro-Oeste</v>
      </c>
      <c r="E3223" s="87" t="str">
        <f>Tabela1[[#This Row],[Descrição]]&amp;"-"&amp;Tabela1[[#This Row],[Código]]&amp;"/"&amp;Tabela1[[#This Row],[Origem]]</f>
        <v>Pifiri-H912H359/GO</v>
      </c>
      <c r="F3223" s="88">
        <v>47431</v>
      </c>
      <c r="G3223" s="88" t="str" cm="1">
        <f t="array" ref="G32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AND(F3223&gt;= DATE(2026,1,1), F3223&lt;= DATE(2028, 12, 31), J3223&gt;50000), "Pendente e Caro", AND(F3223&gt;= DATE(2026,1,1), F3223&lt;= DATE(2028, 12, 31), J3223&lt;=50000), "Pendente", F3223&gt;= DATE(2029,1,1), "Não prioeitário")</f>
        <v>Não prioeitário</v>
      </c>
      <c r="H3223" s="89">
        <f>YEAR(Tabela1[[#This Row],[Data de Validade]])</f>
        <v>2029</v>
      </c>
      <c r="I3223" s="89">
        <f>MONTH(Tabela1[[#This Row],[Data de Validade]])</f>
        <v>11</v>
      </c>
      <c r="J3223" s="101">
        <v>63719</v>
      </c>
      <c r="K3223" s="87" t="s">
        <v>11</v>
      </c>
      <c r="L3223" s="108"/>
      <c r="M3223" s="108"/>
      <c r="N3223" s="108" t="str">
        <v>H954P439</v>
      </c>
      <c r="O3223" s="108">
        <f t="shared" si="52"/>
        <v>1</v>
      </c>
      <c r="P3223" s="108"/>
      <c r="Q3223"/>
    </row>
    <row r="3224" spans="1:17" x14ac:dyDescent="0.25">
      <c r="A3224" s="89" t="s">
        <v>11111</v>
      </c>
      <c r="B3224" s="87" t="s">
        <v>11112</v>
      </c>
      <c r="C3224" s="87" t="s">
        <v>13</v>
      </c>
      <c r="D3224" s="87" t="str">
        <f>VLOOKUP(Tabela1[[#This Row],[Origem]], 'Perguntas 1 a 24'!$J$28:$K$34, 2, 0)</f>
        <v>Sudeste</v>
      </c>
      <c r="E3224" s="87" t="str">
        <f>Tabela1[[#This Row],[Descrição]]&amp;"-"&amp;Tabela1[[#This Row],[Código]]&amp;"/"&amp;Tabela1[[#This Row],[Origem]]</f>
        <v>Tareva-H491P115/SP</v>
      </c>
      <c r="F3224" s="88">
        <v>47431</v>
      </c>
      <c r="G3224" s="88" t="str" cm="1">
        <f t="array" ref="G32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AND(F3224&gt;= DATE(2026,1,1), F3224&lt;= DATE(2028, 12, 31), J3224&gt;50000), "Pendente e Caro", AND(F3224&gt;= DATE(2026,1,1), F3224&lt;= DATE(2028, 12, 31), J3224&lt;=50000), "Pendente", F3224&gt;= DATE(2029,1,1), "Não prioeitário")</f>
        <v>Não prioeitário</v>
      </c>
      <c r="H3224" s="89">
        <f>YEAR(Tabela1[[#This Row],[Data de Validade]])</f>
        <v>2029</v>
      </c>
      <c r="I3224" s="89">
        <f>MONTH(Tabela1[[#This Row],[Data de Validade]])</f>
        <v>11</v>
      </c>
      <c r="J3224" s="101">
        <v>63442</v>
      </c>
      <c r="K3224" s="87" t="s">
        <v>7</v>
      </c>
      <c r="L3224" s="108"/>
      <c r="M3224" s="108"/>
      <c r="N3224" s="108" t="str">
        <v>P778H189</v>
      </c>
      <c r="O3224" s="108">
        <f t="shared" si="52"/>
        <v>1</v>
      </c>
      <c r="P3224" s="108"/>
      <c r="Q3224"/>
    </row>
    <row r="3225" spans="1:17" x14ac:dyDescent="0.25">
      <c r="A3225" s="89" t="s">
        <v>6166</v>
      </c>
      <c r="B3225" s="87" t="s">
        <v>6167</v>
      </c>
      <c r="C3225" s="87" t="s">
        <v>16</v>
      </c>
      <c r="D3225" s="87" t="str">
        <f>VLOOKUP(Tabela1[[#This Row],[Origem]], 'Perguntas 1 a 24'!$J$28:$K$34, 2, 0)</f>
        <v>Sudeste</v>
      </c>
      <c r="E3225" s="87" t="str">
        <f>Tabela1[[#This Row],[Descrição]]&amp;"-"&amp;Tabela1[[#This Row],[Código]]&amp;"/"&amp;Tabela1[[#This Row],[Origem]]</f>
        <v>Gicatida-H624P368/MG</v>
      </c>
      <c r="F3225" s="88">
        <v>47432</v>
      </c>
      <c r="G3225" s="88" t="str" cm="1">
        <f t="array" ref="G32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AND(F3225&gt;= DATE(2026,1,1), F3225&lt;= DATE(2028, 12, 31), J3225&gt;50000), "Pendente e Caro", AND(F3225&gt;= DATE(2026,1,1), F3225&lt;= DATE(2028, 12, 31), J3225&lt;=50000), "Pendente", F3225&gt;= DATE(2029,1,1), "Não prioeitário")</f>
        <v>Não prioeitário</v>
      </c>
      <c r="H3225" s="89">
        <f>YEAR(Tabela1[[#This Row],[Data de Validade]])</f>
        <v>2029</v>
      </c>
      <c r="I3225" s="89">
        <f>MONTH(Tabela1[[#This Row],[Data de Validade]])</f>
        <v>11</v>
      </c>
      <c r="J3225" s="101">
        <v>66396</v>
      </c>
      <c r="K3225" s="87" t="s">
        <v>14</v>
      </c>
      <c r="L3225" s="108"/>
      <c r="M3225" s="108"/>
      <c r="N3225" s="108" t="str">
        <v>P477H432</v>
      </c>
      <c r="O3225" s="108">
        <f t="shared" si="52"/>
        <v>1</v>
      </c>
      <c r="P3225" s="108"/>
      <c r="Q3225"/>
    </row>
    <row r="3226" spans="1:17" x14ac:dyDescent="0.25">
      <c r="A3226" s="89" t="s">
        <v>7524</v>
      </c>
      <c r="B3226" s="87" t="s">
        <v>7525</v>
      </c>
      <c r="C3226" s="87" t="s">
        <v>16</v>
      </c>
      <c r="D3226" s="87" t="str">
        <f>VLOOKUP(Tabela1[[#This Row],[Origem]], 'Perguntas 1 a 24'!$J$28:$K$34, 2, 0)</f>
        <v>Sudeste</v>
      </c>
      <c r="E3226" s="87" t="str">
        <f>Tabela1[[#This Row],[Descrição]]&amp;"-"&amp;Tabela1[[#This Row],[Código]]&amp;"/"&amp;Tabela1[[#This Row],[Origem]]</f>
        <v>Petudutipu-P916H726/MG</v>
      </c>
      <c r="F3226" s="88">
        <v>47433</v>
      </c>
      <c r="G3226" s="88" t="str" cm="1">
        <f t="array" ref="G32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AND(F3226&gt;= DATE(2026,1,1), F3226&lt;= DATE(2028, 12, 31), J3226&gt;50000), "Pendente e Caro", AND(F3226&gt;= DATE(2026,1,1), F3226&lt;= DATE(2028, 12, 31), J3226&lt;=50000), "Pendente", F3226&gt;= DATE(2029,1,1), "Não prioeitário")</f>
        <v>Não prioeitário</v>
      </c>
      <c r="H3226" s="89">
        <f>YEAR(Tabela1[[#This Row],[Data de Validade]])</f>
        <v>2029</v>
      </c>
      <c r="I3226" s="89">
        <f>MONTH(Tabela1[[#This Row],[Data de Validade]])</f>
        <v>11</v>
      </c>
      <c r="J3226" s="101">
        <v>95492</v>
      </c>
      <c r="K3226" s="87" t="s">
        <v>7</v>
      </c>
      <c r="L3226" s="108"/>
      <c r="M3226" s="108"/>
      <c r="N3226" s="108" t="str">
        <v>P829H596</v>
      </c>
      <c r="O3226" s="108">
        <f t="shared" si="52"/>
        <v>1</v>
      </c>
      <c r="P3226" s="108"/>
      <c r="Q3226"/>
    </row>
    <row r="3227" spans="1:17" x14ac:dyDescent="0.25">
      <c r="A3227" s="89" t="s">
        <v>9081</v>
      </c>
      <c r="B3227" s="87" t="s">
        <v>9082</v>
      </c>
      <c r="C3227" s="87" t="s">
        <v>16</v>
      </c>
      <c r="D3227" s="87" t="str">
        <f>VLOOKUP(Tabela1[[#This Row],[Origem]], 'Perguntas 1 a 24'!$J$28:$K$34, 2, 0)</f>
        <v>Sudeste</v>
      </c>
      <c r="E3227" s="87" t="str">
        <f>Tabela1[[#This Row],[Descrição]]&amp;"-"&amp;Tabela1[[#This Row],[Código]]&amp;"/"&amp;Tabela1[[#This Row],[Origem]]</f>
        <v>Citeneda-H954P439/MG</v>
      </c>
      <c r="F3227" s="88">
        <v>47433</v>
      </c>
      <c r="G3227" s="88" t="str" cm="1">
        <f t="array" ref="G32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AND(F3227&gt;= DATE(2026,1,1), F3227&lt;= DATE(2028, 12, 31), J3227&gt;50000), "Pendente e Caro", AND(F3227&gt;= DATE(2026,1,1), F3227&lt;= DATE(2028, 12, 31), J3227&lt;=50000), "Pendente", F3227&gt;= DATE(2029,1,1), "Não prioeitário")</f>
        <v>Não prioeitário</v>
      </c>
      <c r="H3227" s="89">
        <f>YEAR(Tabela1[[#This Row],[Data de Validade]])</f>
        <v>2029</v>
      </c>
      <c r="I3227" s="89">
        <f>MONTH(Tabela1[[#This Row],[Data de Validade]])</f>
        <v>11</v>
      </c>
      <c r="J3227" s="101">
        <v>64674</v>
      </c>
      <c r="K3227" s="87" t="s">
        <v>9</v>
      </c>
      <c r="L3227" s="108"/>
      <c r="M3227" s="108"/>
      <c r="N3227" s="108" t="str">
        <v>H833P265</v>
      </c>
      <c r="O3227" s="108">
        <f t="shared" si="52"/>
        <v>1</v>
      </c>
      <c r="P3227" s="108"/>
      <c r="Q3227"/>
    </row>
    <row r="3228" spans="1:17" x14ac:dyDescent="0.25">
      <c r="A3228" s="89" t="s">
        <v>5696</v>
      </c>
      <c r="B3228" s="87" t="s">
        <v>5697</v>
      </c>
      <c r="C3228" s="87" t="s">
        <v>10</v>
      </c>
      <c r="D3228" s="87" t="str">
        <f>VLOOKUP(Tabela1[[#This Row],[Origem]], 'Perguntas 1 a 24'!$J$28:$K$34, 2, 0)</f>
        <v>Centro-Oeste</v>
      </c>
      <c r="E3228" s="87" t="str">
        <f>Tabela1[[#This Row],[Descrição]]&amp;"-"&amp;Tabela1[[#This Row],[Código]]&amp;"/"&amp;Tabela1[[#This Row],[Origem]]</f>
        <v>Lunilovu-P778H189/GO</v>
      </c>
      <c r="F3228" s="88">
        <v>47433</v>
      </c>
      <c r="G3228" s="88" t="str" cm="1">
        <f t="array" ref="G32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AND(F3228&gt;= DATE(2026,1,1), F3228&lt;= DATE(2028, 12, 31), J3228&gt;50000), "Pendente e Caro", AND(F3228&gt;= DATE(2026,1,1), F3228&lt;= DATE(2028, 12, 31), J3228&lt;=50000), "Pendente", F3228&gt;= DATE(2029,1,1), "Não prioeitário")</f>
        <v>Não prioeitário</v>
      </c>
      <c r="H3228" s="89">
        <f>YEAR(Tabela1[[#This Row],[Data de Validade]])</f>
        <v>2029</v>
      </c>
      <c r="I3228" s="89">
        <f>MONTH(Tabela1[[#This Row],[Data de Validade]])</f>
        <v>11</v>
      </c>
      <c r="J3228" s="101">
        <v>37268</v>
      </c>
      <c r="K3228" s="87" t="s">
        <v>11</v>
      </c>
      <c r="L3228" s="108"/>
      <c r="M3228" s="108"/>
      <c r="N3228" s="108" t="str">
        <v>P439H825</v>
      </c>
      <c r="O3228" s="108">
        <f t="shared" si="52"/>
        <v>1</v>
      </c>
      <c r="P3228" s="108"/>
      <c r="Q3228"/>
    </row>
    <row r="3229" spans="1:17" x14ac:dyDescent="0.25">
      <c r="A3229" s="89" t="s">
        <v>3689</v>
      </c>
      <c r="B3229" s="87" t="s">
        <v>3690</v>
      </c>
      <c r="C3229" s="87" t="s">
        <v>16</v>
      </c>
      <c r="D3229" s="87" t="str">
        <f>VLOOKUP(Tabela1[[#This Row],[Origem]], 'Perguntas 1 a 24'!$J$28:$K$34, 2, 0)</f>
        <v>Sudeste</v>
      </c>
      <c r="E3229" s="87" t="str">
        <f>Tabela1[[#This Row],[Descrição]]&amp;"-"&amp;Tabela1[[#This Row],[Código]]&amp;"/"&amp;Tabela1[[#This Row],[Origem]]</f>
        <v>Naromu-P477H432/MG</v>
      </c>
      <c r="F3229" s="88">
        <v>47433</v>
      </c>
      <c r="G3229" s="88" t="str" cm="1">
        <f t="array" ref="G32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AND(F3229&gt;= DATE(2026,1,1), F3229&lt;= DATE(2028, 12, 31), J3229&gt;50000), "Pendente e Caro", AND(F3229&gt;= DATE(2026,1,1), F3229&lt;= DATE(2028, 12, 31), J3229&lt;=50000), "Pendente", F3229&gt;= DATE(2029,1,1), "Não prioeitário")</f>
        <v>Não prioeitário</v>
      </c>
      <c r="H3229" s="89">
        <f>YEAR(Tabela1[[#This Row],[Data de Validade]])</f>
        <v>2029</v>
      </c>
      <c r="I3229" s="89">
        <f>MONTH(Tabela1[[#This Row],[Data de Validade]])</f>
        <v>11</v>
      </c>
      <c r="J3229" s="101">
        <v>26424</v>
      </c>
      <c r="K3229" s="87" t="s">
        <v>9</v>
      </c>
      <c r="L3229" s="108"/>
      <c r="M3229" s="108"/>
      <c r="N3229" s="108" t="str">
        <v>H672P343</v>
      </c>
      <c r="O3229" s="108">
        <f t="shared" si="52"/>
        <v>1</v>
      </c>
      <c r="P3229" s="108"/>
      <c r="Q3229"/>
    </row>
    <row r="3230" spans="1:17" x14ac:dyDescent="0.25">
      <c r="A3230" s="89" t="s">
        <v>9275</v>
      </c>
      <c r="B3230" s="87" t="s">
        <v>9276</v>
      </c>
      <c r="C3230" s="87" t="s">
        <v>6</v>
      </c>
      <c r="D3230" s="87" t="str">
        <f>VLOOKUP(Tabela1[[#This Row],[Origem]], 'Perguntas 1 a 24'!$J$28:$K$34, 2, 0)</f>
        <v>Nordeste</v>
      </c>
      <c r="E3230" s="87" t="str">
        <f>Tabela1[[#This Row],[Descrição]]&amp;"-"&amp;Tabela1[[#This Row],[Código]]&amp;"/"&amp;Tabela1[[#This Row],[Origem]]</f>
        <v>Podiva-P829H596/MA</v>
      </c>
      <c r="F3230" s="88">
        <v>47434</v>
      </c>
      <c r="G3230" s="88" t="str" cm="1">
        <f t="array" ref="G32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AND(F3230&gt;= DATE(2026,1,1), F3230&lt;= DATE(2028, 12, 31), J3230&gt;50000), "Pendente e Caro", AND(F3230&gt;= DATE(2026,1,1), F3230&lt;= DATE(2028, 12, 31), J3230&lt;=50000), "Pendente", F3230&gt;= DATE(2029,1,1), "Não prioeitário")</f>
        <v>Não prioeitário</v>
      </c>
      <c r="H3230" s="89">
        <f>YEAR(Tabela1[[#This Row],[Data de Validade]])</f>
        <v>2029</v>
      </c>
      <c r="I3230" s="89">
        <f>MONTH(Tabela1[[#This Row],[Data de Validade]])</f>
        <v>11</v>
      </c>
      <c r="J3230" s="101">
        <v>116084</v>
      </c>
      <c r="K3230" s="87" t="s">
        <v>14</v>
      </c>
      <c r="L3230" s="108"/>
      <c r="M3230" s="108"/>
      <c r="N3230" s="108" t="str">
        <v>P539H397</v>
      </c>
      <c r="O3230" s="108">
        <f t="shared" si="52"/>
        <v>1</v>
      </c>
      <c r="P3230" s="108"/>
      <c r="Q3230"/>
    </row>
    <row r="3231" spans="1:17" x14ac:dyDescent="0.25">
      <c r="A3231" s="89" t="s">
        <v>11107</v>
      </c>
      <c r="B3231" s="87" t="s">
        <v>11108</v>
      </c>
      <c r="C3231" s="87" t="s">
        <v>8</v>
      </c>
      <c r="D3231" s="87" t="str">
        <f>VLOOKUP(Tabela1[[#This Row],[Origem]], 'Perguntas 1 a 24'!$J$28:$K$34, 2, 0)</f>
        <v>Nordeste</v>
      </c>
      <c r="E3231" s="87" t="str">
        <f>Tabela1[[#This Row],[Descrição]]&amp;"-"&amp;Tabela1[[#This Row],[Código]]&amp;"/"&amp;Tabela1[[#This Row],[Origem]]</f>
        <v>Ronapopilu-H833P265/AL</v>
      </c>
      <c r="F3231" s="88">
        <v>47435</v>
      </c>
      <c r="G3231" s="88" t="str" cm="1">
        <f t="array" ref="G32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AND(F3231&gt;= DATE(2026,1,1), F3231&lt;= DATE(2028, 12, 31), J3231&gt;50000), "Pendente e Caro", AND(F3231&gt;= DATE(2026,1,1), F3231&lt;= DATE(2028, 12, 31), J3231&lt;=50000), "Pendente", F3231&gt;= DATE(2029,1,1), "Não prioeitário")</f>
        <v>Não prioeitário</v>
      </c>
      <c r="H3231" s="89">
        <f>YEAR(Tabela1[[#This Row],[Data de Validade]])</f>
        <v>2029</v>
      </c>
      <c r="I3231" s="89">
        <f>MONTH(Tabela1[[#This Row],[Data de Validade]])</f>
        <v>11</v>
      </c>
      <c r="J3231" s="101">
        <v>102065</v>
      </c>
      <c r="K3231" s="87" t="s">
        <v>11</v>
      </c>
      <c r="L3231" s="108"/>
      <c r="M3231" s="108"/>
      <c r="N3231" s="108" t="str">
        <v>H397P411</v>
      </c>
      <c r="O3231" s="108">
        <f t="shared" si="52"/>
        <v>1</v>
      </c>
      <c r="P3231" s="108"/>
      <c r="Q3231"/>
    </row>
    <row r="3232" spans="1:17" x14ac:dyDescent="0.25">
      <c r="A3232" s="89" t="s">
        <v>10751</v>
      </c>
      <c r="B3232" s="87" t="s">
        <v>10752</v>
      </c>
      <c r="C3232" s="87" t="s">
        <v>8</v>
      </c>
      <c r="D3232" s="87" t="str">
        <f>VLOOKUP(Tabela1[[#This Row],[Origem]], 'Perguntas 1 a 24'!$J$28:$K$34, 2, 0)</f>
        <v>Nordeste</v>
      </c>
      <c r="E3232" s="87" t="str">
        <f>Tabela1[[#This Row],[Descrição]]&amp;"-"&amp;Tabela1[[#This Row],[Código]]&amp;"/"&amp;Tabela1[[#This Row],[Origem]]</f>
        <v>Depecetatu-P439H825/AL</v>
      </c>
      <c r="F3232" s="88">
        <v>47435</v>
      </c>
      <c r="G3232" s="88" t="str" cm="1">
        <f t="array" ref="G32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AND(F3232&gt;= DATE(2026,1,1), F3232&lt;= DATE(2028, 12, 31), J3232&gt;50000), "Pendente e Caro", AND(F3232&gt;= DATE(2026,1,1), F3232&lt;= DATE(2028, 12, 31), J3232&lt;=50000), "Pendente", F3232&gt;= DATE(2029,1,1), "Não prioeitário")</f>
        <v>Não prioeitário</v>
      </c>
      <c r="H3232" s="89">
        <f>YEAR(Tabela1[[#This Row],[Data de Validade]])</f>
        <v>2029</v>
      </c>
      <c r="I3232" s="89">
        <f>MONTH(Tabela1[[#This Row],[Data de Validade]])</f>
        <v>11</v>
      </c>
      <c r="J3232" s="101">
        <v>39692</v>
      </c>
      <c r="K3232" s="87" t="s">
        <v>9</v>
      </c>
      <c r="L3232" s="108"/>
      <c r="M3232" s="108"/>
      <c r="N3232" s="108" t="str">
        <v>P764H371</v>
      </c>
      <c r="O3232" s="108">
        <f t="shared" si="52"/>
        <v>1</v>
      </c>
      <c r="P3232" s="108"/>
      <c r="Q3232"/>
    </row>
    <row r="3233" spans="1:17" x14ac:dyDescent="0.25">
      <c r="A3233" s="89" t="s">
        <v>7404</v>
      </c>
      <c r="B3233" s="87" t="s">
        <v>7405</v>
      </c>
      <c r="C3233" s="87" t="s">
        <v>6</v>
      </c>
      <c r="D3233" s="87" t="str">
        <f>VLOOKUP(Tabela1[[#This Row],[Origem]], 'Perguntas 1 a 24'!$J$28:$K$34, 2, 0)</f>
        <v>Nordeste</v>
      </c>
      <c r="E3233" s="87" t="str">
        <f>Tabela1[[#This Row],[Descrição]]&amp;"-"&amp;Tabela1[[#This Row],[Código]]&amp;"/"&amp;Tabela1[[#This Row],[Origem]]</f>
        <v>Tidupu-H672P343/MA</v>
      </c>
      <c r="F3233" s="88">
        <v>47435</v>
      </c>
      <c r="G3233" s="88" t="str" cm="1">
        <f t="array" ref="G32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AND(F3233&gt;= DATE(2026,1,1), F3233&lt;= DATE(2028, 12, 31), J3233&gt;50000), "Pendente e Caro", AND(F3233&gt;= DATE(2026,1,1), F3233&lt;= DATE(2028, 12, 31), J3233&lt;=50000), "Pendente", F3233&gt;= DATE(2029,1,1), "Não prioeitário")</f>
        <v>Não prioeitário</v>
      </c>
      <c r="H3233" s="89">
        <f>YEAR(Tabela1[[#This Row],[Data de Validade]])</f>
        <v>2029</v>
      </c>
      <c r="I3233" s="89">
        <f>MONTH(Tabela1[[#This Row],[Data de Validade]])</f>
        <v>11</v>
      </c>
      <c r="J3233" s="101">
        <v>28807</v>
      </c>
      <c r="K3233" s="87" t="s">
        <v>14</v>
      </c>
      <c r="L3233" s="108"/>
      <c r="M3233" s="108"/>
      <c r="N3233" s="108" t="str">
        <v>P982H262</v>
      </c>
      <c r="O3233" s="108">
        <f t="shared" si="52"/>
        <v>1</v>
      </c>
      <c r="P3233" s="108"/>
      <c r="Q3233"/>
    </row>
    <row r="3234" spans="1:17" x14ac:dyDescent="0.25">
      <c r="A3234" s="89" t="s">
        <v>10475</v>
      </c>
      <c r="B3234" s="87" t="s">
        <v>10476</v>
      </c>
      <c r="C3234" s="87" t="s">
        <v>10</v>
      </c>
      <c r="D3234" s="87" t="str">
        <f>VLOOKUP(Tabela1[[#This Row],[Origem]], 'Perguntas 1 a 24'!$J$28:$K$34, 2, 0)</f>
        <v>Centro-Oeste</v>
      </c>
      <c r="E3234" s="87" t="str">
        <f>Tabela1[[#This Row],[Descrição]]&amp;"-"&amp;Tabela1[[#This Row],[Código]]&amp;"/"&amp;Tabela1[[#This Row],[Origem]]</f>
        <v>Tanolafu-P539H397/GO</v>
      </c>
      <c r="F3234" s="88">
        <v>47436</v>
      </c>
      <c r="G3234" s="88" t="str" cm="1">
        <f t="array" ref="G32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AND(F3234&gt;= DATE(2026,1,1), F3234&lt;= DATE(2028, 12, 31), J3234&gt;50000), "Pendente e Caro", AND(F3234&gt;= DATE(2026,1,1), F3234&lt;= DATE(2028, 12, 31), J3234&lt;=50000), "Pendente", F3234&gt;= DATE(2029,1,1), "Não prioeitário")</f>
        <v>Não prioeitário</v>
      </c>
      <c r="H3234" s="89">
        <f>YEAR(Tabela1[[#This Row],[Data de Validade]])</f>
        <v>2029</v>
      </c>
      <c r="I3234" s="89">
        <f>MONTH(Tabela1[[#This Row],[Data de Validade]])</f>
        <v>11</v>
      </c>
      <c r="J3234" s="101">
        <v>58422</v>
      </c>
      <c r="K3234" s="87" t="s">
        <v>9</v>
      </c>
      <c r="L3234" s="108"/>
      <c r="M3234" s="108"/>
      <c r="N3234" s="108" t="str">
        <v>P417P232</v>
      </c>
      <c r="O3234" s="108">
        <f t="shared" si="52"/>
        <v>1</v>
      </c>
      <c r="P3234" s="108"/>
      <c r="Q3234"/>
    </row>
    <row r="3235" spans="1:17" x14ac:dyDescent="0.25">
      <c r="A3235" s="89" t="s">
        <v>7352</v>
      </c>
      <c r="B3235" s="87" t="s">
        <v>7353</v>
      </c>
      <c r="C3235" s="87" t="s">
        <v>16</v>
      </c>
      <c r="D3235" s="87" t="str">
        <f>VLOOKUP(Tabela1[[#This Row],[Origem]], 'Perguntas 1 a 24'!$J$28:$K$34, 2, 0)</f>
        <v>Sudeste</v>
      </c>
      <c r="E3235" s="87" t="str">
        <f>Tabela1[[#This Row],[Descrição]]&amp;"-"&amp;Tabela1[[#This Row],[Código]]&amp;"/"&amp;Tabela1[[#This Row],[Origem]]</f>
        <v>Pugice-H397P411/MG</v>
      </c>
      <c r="F3235" s="88">
        <v>47437</v>
      </c>
      <c r="G3235" s="88" t="str" cm="1">
        <f t="array" ref="G32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AND(F3235&gt;= DATE(2026,1,1), F3235&lt;= DATE(2028, 12, 31), J3235&gt;50000), "Pendente e Caro", AND(F3235&gt;= DATE(2026,1,1), F3235&lt;= DATE(2028, 12, 31), J3235&lt;=50000), "Pendente", F3235&gt;= DATE(2029,1,1), "Não prioeitário")</f>
        <v>Não prioeitário</v>
      </c>
      <c r="H3235" s="89">
        <f>YEAR(Tabela1[[#This Row],[Data de Validade]])</f>
        <v>2029</v>
      </c>
      <c r="I3235" s="89">
        <f>MONTH(Tabela1[[#This Row],[Data de Validade]])</f>
        <v>11</v>
      </c>
      <c r="J3235" s="101">
        <v>114669</v>
      </c>
      <c r="K3235" s="87" t="s">
        <v>7</v>
      </c>
      <c r="L3235" s="108"/>
      <c r="M3235" s="108"/>
      <c r="N3235" s="108" t="str">
        <v>P684H793</v>
      </c>
      <c r="O3235" s="108">
        <f t="shared" si="52"/>
        <v>1</v>
      </c>
      <c r="P3235" s="108"/>
      <c r="Q3235"/>
    </row>
    <row r="3236" spans="1:17" x14ac:dyDescent="0.25">
      <c r="A3236" s="89" t="s">
        <v>9037</v>
      </c>
      <c r="B3236" s="87" t="s">
        <v>9038</v>
      </c>
      <c r="C3236" s="87" t="s">
        <v>12</v>
      </c>
      <c r="D3236" s="87" t="str">
        <f>VLOOKUP(Tabela1[[#This Row],[Origem]], 'Perguntas 1 a 24'!$J$28:$K$34, 2, 0)</f>
        <v>Sudeste</v>
      </c>
      <c r="E3236" s="87" t="str">
        <f>Tabela1[[#This Row],[Descrição]]&amp;"-"&amp;Tabela1[[#This Row],[Código]]&amp;"/"&amp;Tabela1[[#This Row],[Origem]]</f>
        <v>Covapipu-P764H371/RJ</v>
      </c>
      <c r="F3236" s="88">
        <v>47439</v>
      </c>
      <c r="G3236" s="88" t="str" cm="1">
        <f t="array" ref="G32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AND(F3236&gt;= DATE(2026,1,1), F3236&lt;= DATE(2028, 12, 31), J3236&gt;50000), "Pendente e Caro", AND(F3236&gt;= DATE(2026,1,1), F3236&lt;= DATE(2028, 12, 31), J3236&lt;=50000), "Pendente", F3236&gt;= DATE(2029,1,1), "Não prioeitário")</f>
        <v>Não prioeitário</v>
      </c>
      <c r="H3236" s="89">
        <f>YEAR(Tabela1[[#This Row],[Data de Validade]])</f>
        <v>2029</v>
      </c>
      <c r="I3236" s="89">
        <f>MONTH(Tabela1[[#This Row],[Data de Validade]])</f>
        <v>11</v>
      </c>
      <c r="J3236" s="101">
        <v>103892</v>
      </c>
      <c r="K3236" s="87" t="s">
        <v>7</v>
      </c>
      <c r="L3236" s="108"/>
      <c r="M3236" s="108"/>
      <c r="N3236" s="108" t="str">
        <v>P667H286</v>
      </c>
      <c r="O3236" s="108">
        <f t="shared" si="52"/>
        <v>1</v>
      </c>
      <c r="P3236" s="108"/>
      <c r="Q3236"/>
    </row>
    <row r="3237" spans="1:17" x14ac:dyDescent="0.25">
      <c r="A3237" s="89" t="s">
        <v>10837</v>
      </c>
      <c r="B3237" s="87" t="s">
        <v>10838</v>
      </c>
      <c r="C3237" s="87" t="s">
        <v>15</v>
      </c>
      <c r="D3237" s="87" t="str">
        <f>VLOOKUP(Tabela1[[#This Row],[Origem]], 'Perguntas 1 a 24'!$J$28:$K$34, 2, 0)</f>
        <v>Sudeste</v>
      </c>
      <c r="E3237" s="87" t="str">
        <f>Tabela1[[#This Row],[Descrição]]&amp;"-"&amp;Tabela1[[#This Row],[Código]]&amp;"/"&amp;Tabela1[[#This Row],[Origem]]</f>
        <v>Gatati-P982H262/ES</v>
      </c>
      <c r="F3237" s="88">
        <v>47439</v>
      </c>
      <c r="G3237" s="88" t="str" cm="1">
        <f t="array" ref="G32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AND(F3237&gt;= DATE(2026,1,1), F3237&lt;= DATE(2028, 12, 31), J3237&gt;50000), "Pendente e Caro", AND(F3237&gt;= DATE(2026,1,1), F3237&lt;= DATE(2028, 12, 31), J3237&lt;=50000), "Pendente", F3237&gt;= DATE(2029,1,1), "Não prioeitário")</f>
        <v>Não prioeitário</v>
      </c>
      <c r="H3237" s="89">
        <f>YEAR(Tabela1[[#This Row],[Data de Validade]])</f>
        <v>2029</v>
      </c>
      <c r="I3237" s="89">
        <f>MONTH(Tabela1[[#This Row],[Data de Validade]])</f>
        <v>11</v>
      </c>
      <c r="J3237" s="101">
        <v>84885</v>
      </c>
      <c r="K3237" s="87" t="s">
        <v>7</v>
      </c>
      <c r="L3237" s="108"/>
      <c r="M3237" s="108"/>
      <c r="N3237" s="108" t="str">
        <v>H958H171</v>
      </c>
      <c r="O3237" s="108">
        <f t="shared" si="52"/>
        <v>1</v>
      </c>
      <c r="P3237" s="108"/>
      <c r="Q3237"/>
    </row>
    <row r="3238" spans="1:17" x14ac:dyDescent="0.25">
      <c r="A3238" s="89" t="s">
        <v>7610</v>
      </c>
      <c r="B3238" s="87" t="s">
        <v>7611</v>
      </c>
      <c r="C3238" s="87" t="s">
        <v>10</v>
      </c>
      <c r="D3238" s="87" t="str">
        <f>VLOOKUP(Tabela1[[#This Row],[Origem]], 'Perguntas 1 a 24'!$J$28:$K$34, 2, 0)</f>
        <v>Centro-Oeste</v>
      </c>
      <c r="E3238" s="87" t="str">
        <f>Tabela1[[#This Row],[Descrição]]&amp;"-"&amp;Tabela1[[#This Row],[Código]]&amp;"/"&amp;Tabela1[[#This Row],[Origem]]</f>
        <v>Povuta-P417P232/GO</v>
      </c>
      <c r="F3238" s="88">
        <v>47439</v>
      </c>
      <c r="G3238" s="88" t="str" cm="1">
        <f t="array" ref="G32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AND(F3238&gt;= DATE(2026,1,1), F3238&lt;= DATE(2028, 12, 31), J3238&gt;50000), "Pendente e Caro", AND(F3238&gt;= DATE(2026,1,1), F3238&lt;= DATE(2028, 12, 31), J3238&lt;=50000), "Pendente", F3238&gt;= DATE(2029,1,1), "Não prioeitário")</f>
        <v>Não prioeitário</v>
      </c>
      <c r="H3238" s="89">
        <f>YEAR(Tabela1[[#This Row],[Data de Validade]])</f>
        <v>2029</v>
      </c>
      <c r="I3238" s="89">
        <f>MONTH(Tabela1[[#This Row],[Data de Validade]])</f>
        <v>11</v>
      </c>
      <c r="J3238" s="101">
        <v>56096</v>
      </c>
      <c r="K3238" s="87" t="s">
        <v>7</v>
      </c>
      <c r="L3238" s="108"/>
      <c r="M3238" s="108"/>
      <c r="N3238" s="108" t="str">
        <v>P847P267</v>
      </c>
      <c r="O3238" s="108">
        <f t="shared" si="52"/>
        <v>1</v>
      </c>
      <c r="P3238" s="108"/>
      <c r="Q3238"/>
    </row>
    <row r="3239" spans="1:17" x14ac:dyDescent="0.25">
      <c r="A3239" s="89" t="s">
        <v>9461</v>
      </c>
      <c r="B3239" s="87" t="s">
        <v>9462</v>
      </c>
      <c r="C3239" s="87" t="s">
        <v>10</v>
      </c>
      <c r="D3239" s="87" t="str">
        <f>VLOOKUP(Tabela1[[#This Row],[Origem]], 'Perguntas 1 a 24'!$J$28:$K$34, 2, 0)</f>
        <v>Centro-Oeste</v>
      </c>
      <c r="E3239" s="87" t="str">
        <f>Tabela1[[#This Row],[Descrição]]&amp;"-"&amp;Tabela1[[#This Row],[Código]]&amp;"/"&amp;Tabela1[[#This Row],[Origem]]</f>
        <v>Pivenilene-P684H793/GO</v>
      </c>
      <c r="F3239" s="88">
        <v>47440</v>
      </c>
      <c r="G3239" s="88" t="str" cm="1">
        <f t="array" ref="G32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AND(F3239&gt;= DATE(2026,1,1), F3239&lt;= DATE(2028, 12, 31), J3239&gt;50000), "Pendente e Caro", AND(F3239&gt;= DATE(2026,1,1), F3239&lt;= DATE(2028, 12, 31), J3239&lt;=50000), "Pendente", F3239&gt;= DATE(2029,1,1), "Não prioeitário")</f>
        <v>Não prioeitário</v>
      </c>
      <c r="H3239" s="89">
        <f>YEAR(Tabela1[[#This Row],[Data de Validade]])</f>
        <v>2029</v>
      </c>
      <c r="I3239" s="89">
        <f>MONTH(Tabela1[[#This Row],[Data de Validade]])</f>
        <v>11</v>
      </c>
      <c r="J3239" s="101">
        <v>116416</v>
      </c>
      <c r="K3239" s="87" t="s">
        <v>11</v>
      </c>
      <c r="L3239" s="108"/>
      <c r="M3239" s="108"/>
      <c r="N3239" s="108" t="str">
        <v>P824H962</v>
      </c>
      <c r="O3239" s="108">
        <f t="shared" si="52"/>
        <v>1</v>
      </c>
      <c r="P3239" s="108"/>
      <c r="Q3239"/>
    </row>
    <row r="3240" spans="1:17" x14ac:dyDescent="0.25">
      <c r="A3240" s="89" t="s">
        <v>7104</v>
      </c>
      <c r="B3240" s="87" t="s">
        <v>7105</v>
      </c>
      <c r="C3240" s="87" t="s">
        <v>15</v>
      </c>
      <c r="D3240" s="87" t="str">
        <f>VLOOKUP(Tabela1[[#This Row],[Origem]], 'Perguntas 1 a 24'!$J$28:$K$34, 2, 0)</f>
        <v>Sudeste</v>
      </c>
      <c r="E3240" s="87" t="str">
        <f>Tabela1[[#This Row],[Descrição]]&amp;"-"&amp;Tabela1[[#This Row],[Código]]&amp;"/"&amp;Tabela1[[#This Row],[Origem]]</f>
        <v>Pocaritite-P667H286/ES</v>
      </c>
      <c r="F3240" s="88">
        <v>47441</v>
      </c>
      <c r="G3240" s="88" t="str" cm="1">
        <f t="array" ref="G32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AND(F3240&gt;= DATE(2026,1,1), F3240&lt;= DATE(2028, 12, 31), J3240&gt;50000), "Pendente e Caro", AND(F3240&gt;= DATE(2026,1,1), F3240&lt;= DATE(2028, 12, 31), J3240&lt;=50000), "Pendente", F3240&gt;= DATE(2029,1,1), "Não prioeitário")</f>
        <v>Não prioeitário</v>
      </c>
      <c r="H3240" s="89">
        <f>YEAR(Tabela1[[#This Row],[Data de Validade]])</f>
        <v>2029</v>
      </c>
      <c r="I3240" s="89">
        <f>MONTH(Tabela1[[#This Row],[Data de Validade]])</f>
        <v>11</v>
      </c>
      <c r="J3240" s="101">
        <v>23049</v>
      </c>
      <c r="K3240" s="87" t="s">
        <v>9</v>
      </c>
      <c r="L3240" s="108"/>
      <c r="M3240" s="108"/>
      <c r="N3240" s="108" t="str">
        <v>P452P523</v>
      </c>
      <c r="O3240" s="108">
        <f t="shared" si="52"/>
        <v>1</v>
      </c>
      <c r="P3240" s="108"/>
      <c r="Q3240"/>
    </row>
    <row r="3241" spans="1:17" x14ac:dyDescent="0.25">
      <c r="A3241" s="89" t="s">
        <v>8520</v>
      </c>
      <c r="B3241" s="87" t="s">
        <v>8521</v>
      </c>
      <c r="C3241" s="87" t="s">
        <v>10</v>
      </c>
      <c r="D3241" s="87" t="str">
        <f>VLOOKUP(Tabela1[[#This Row],[Origem]], 'Perguntas 1 a 24'!$J$28:$K$34, 2, 0)</f>
        <v>Centro-Oeste</v>
      </c>
      <c r="E3241" s="87" t="str">
        <f>Tabela1[[#This Row],[Descrição]]&amp;"-"&amp;Tabela1[[#This Row],[Código]]&amp;"/"&amp;Tabela1[[#This Row],[Origem]]</f>
        <v>Mopavo-H958H171/GO</v>
      </c>
      <c r="F3241" s="88">
        <v>47442</v>
      </c>
      <c r="G3241" s="88" t="str" cm="1">
        <f t="array" ref="G32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AND(F3241&gt;= DATE(2026,1,1), F3241&lt;= DATE(2028, 12, 31), J3241&gt;50000), "Pendente e Caro", AND(F3241&gt;= DATE(2026,1,1), F3241&lt;= DATE(2028, 12, 31), J3241&lt;=50000), "Pendente", F3241&gt;= DATE(2029,1,1), "Não prioeitário")</f>
        <v>Não prioeitário</v>
      </c>
      <c r="H3241" s="89">
        <f>YEAR(Tabela1[[#This Row],[Data de Validade]])</f>
        <v>2029</v>
      </c>
      <c r="I3241" s="89">
        <f>MONTH(Tabela1[[#This Row],[Data de Validade]])</f>
        <v>11</v>
      </c>
      <c r="J3241" s="101">
        <v>83127</v>
      </c>
      <c r="K3241" s="87" t="s">
        <v>11</v>
      </c>
      <c r="L3241" s="108"/>
      <c r="M3241" s="108"/>
      <c r="N3241" s="108" t="str">
        <v>H914P311</v>
      </c>
      <c r="O3241" s="108">
        <f t="shared" si="52"/>
        <v>1</v>
      </c>
      <c r="P3241" s="108"/>
      <c r="Q3241"/>
    </row>
    <row r="3242" spans="1:17" x14ac:dyDescent="0.25">
      <c r="A3242" s="89" t="s">
        <v>4078</v>
      </c>
      <c r="B3242" s="87" t="s">
        <v>4079</v>
      </c>
      <c r="C3242" s="87" t="s">
        <v>13</v>
      </c>
      <c r="D3242" s="87" t="str">
        <f>VLOOKUP(Tabela1[[#This Row],[Origem]], 'Perguntas 1 a 24'!$J$28:$K$34, 2, 0)</f>
        <v>Sudeste</v>
      </c>
      <c r="E3242" s="87" t="str">
        <f>Tabela1[[#This Row],[Descrição]]&amp;"-"&amp;Tabela1[[#This Row],[Código]]&amp;"/"&amp;Tabela1[[#This Row],[Origem]]</f>
        <v>Rapurefopu-P847P267/SP</v>
      </c>
      <c r="F3242" s="88">
        <v>47442</v>
      </c>
      <c r="G3242" s="88" t="str" cm="1">
        <f t="array" ref="G32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AND(F3242&gt;= DATE(2026,1,1), F3242&lt;= DATE(2028, 12, 31), J3242&gt;50000), "Pendente e Caro", AND(F3242&gt;= DATE(2026,1,1), F3242&lt;= DATE(2028, 12, 31), J3242&lt;=50000), "Pendente", F3242&gt;= DATE(2029,1,1), "Não prioeitário")</f>
        <v>Não prioeitário</v>
      </c>
      <c r="H3242" s="89">
        <f>YEAR(Tabela1[[#This Row],[Data de Validade]])</f>
        <v>2029</v>
      </c>
      <c r="I3242" s="89">
        <f>MONTH(Tabela1[[#This Row],[Data de Validade]])</f>
        <v>11</v>
      </c>
      <c r="J3242" s="101">
        <v>74603</v>
      </c>
      <c r="K3242" s="87" t="s">
        <v>7</v>
      </c>
      <c r="L3242" s="108"/>
      <c r="M3242" s="108"/>
      <c r="N3242" s="108" t="str">
        <v>P515P279</v>
      </c>
      <c r="O3242" s="108">
        <f t="shared" si="52"/>
        <v>1</v>
      </c>
      <c r="P3242" s="108"/>
      <c r="Q3242"/>
    </row>
    <row r="3243" spans="1:17" x14ac:dyDescent="0.25">
      <c r="A3243" s="89" t="s">
        <v>8797</v>
      </c>
      <c r="B3243" s="87" t="s">
        <v>8798</v>
      </c>
      <c r="C3243" s="87" t="s">
        <v>6</v>
      </c>
      <c r="D3243" s="87" t="str">
        <f>VLOOKUP(Tabela1[[#This Row],[Origem]], 'Perguntas 1 a 24'!$J$28:$K$34, 2, 0)</f>
        <v>Nordeste</v>
      </c>
      <c r="E3243" s="87" t="str">
        <f>Tabela1[[#This Row],[Descrição]]&amp;"-"&amp;Tabela1[[#This Row],[Código]]&amp;"/"&amp;Tabela1[[#This Row],[Origem]]</f>
        <v>Nogetotepe-P824H962/MA</v>
      </c>
      <c r="F3243" s="88">
        <v>47443</v>
      </c>
      <c r="G3243" s="88" t="str" cm="1">
        <f t="array" ref="G32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AND(F3243&gt;= DATE(2026,1,1), F3243&lt;= DATE(2028, 12, 31), J3243&gt;50000), "Pendente e Caro", AND(F3243&gt;= DATE(2026,1,1), F3243&lt;= DATE(2028, 12, 31), J3243&lt;=50000), "Pendente", F3243&gt;= DATE(2029,1,1), "Não prioeitário")</f>
        <v>Não prioeitário</v>
      </c>
      <c r="H3243" s="89">
        <f>YEAR(Tabela1[[#This Row],[Data de Validade]])</f>
        <v>2029</v>
      </c>
      <c r="I3243" s="89">
        <f>MONTH(Tabela1[[#This Row],[Data de Validade]])</f>
        <v>11</v>
      </c>
      <c r="J3243" s="101">
        <v>20115</v>
      </c>
      <c r="K3243" s="87" t="s">
        <v>14</v>
      </c>
      <c r="L3243" s="108"/>
      <c r="M3243" s="108"/>
      <c r="N3243" s="108" t="str">
        <v>H785P437</v>
      </c>
      <c r="O3243" s="108">
        <f t="shared" si="52"/>
        <v>1</v>
      </c>
      <c r="P3243" s="108"/>
      <c r="Q3243"/>
    </row>
    <row r="3244" spans="1:17" x14ac:dyDescent="0.25">
      <c r="A3244" s="89" t="s">
        <v>6822</v>
      </c>
      <c r="B3244" s="87" t="s">
        <v>6823</v>
      </c>
      <c r="C3244" s="87" t="s">
        <v>15</v>
      </c>
      <c r="D3244" s="87" t="str">
        <f>VLOOKUP(Tabela1[[#This Row],[Origem]], 'Perguntas 1 a 24'!$J$28:$K$34, 2, 0)</f>
        <v>Sudeste</v>
      </c>
      <c r="E3244" s="87" t="str">
        <f>Tabela1[[#This Row],[Descrição]]&amp;"-"&amp;Tabela1[[#This Row],[Código]]&amp;"/"&amp;Tabela1[[#This Row],[Origem]]</f>
        <v>Vofemufoco-P452P523/ES</v>
      </c>
      <c r="F3244" s="88">
        <v>47445</v>
      </c>
      <c r="G3244" s="88" t="str" cm="1">
        <f t="array" ref="G32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AND(F3244&gt;= DATE(2026,1,1), F3244&lt;= DATE(2028, 12, 31), J3244&gt;50000), "Pendente e Caro", AND(F3244&gt;= DATE(2026,1,1), F3244&lt;= DATE(2028, 12, 31), J3244&lt;=50000), "Pendente", F3244&gt;= DATE(2029,1,1), "Não prioeitário")</f>
        <v>Não prioeitário</v>
      </c>
      <c r="H3244" s="89">
        <f>YEAR(Tabela1[[#This Row],[Data de Validade]])</f>
        <v>2029</v>
      </c>
      <c r="I3244" s="89">
        <f>MONTH(Tabela1[[#This Row],[Data de Validade]])</f>
        <v>11</v>
      </c>
      <c r="J3244" s="101">
        <v>73649</v>
      </c>
      <c r="K3244" s="87" t="s">
        <v>9</v>
      </c>
      <c r="L3244" s="108"/>
      <c r="M3244" s="108"/>
      <c r="N3244" s="108" t="str">
        <v>P412P626</v>
      </c>
      <c r="O3244" s="108">
        <f t="shared" si="52"/>
        <v>1</v>
      </c>
      <c r="P3244" s="108"/>
      <c r="Q3244"/>
    </row>
    <row r="3245" spans="1:17" x14ac:dyDescent="0.25">
      <c r="A3245" s="89" t="s">
        <v>6730</v>
      </c>
      <c r="B3245" s="87" t="s">
        <v>6731</v>
      </c>
      <c r="C3245" s="87" t="s">
        <v>13</v>
      </c>
      <c r="D3245" s="87" t="str">
        <f>VLOOKUP(Tabela1[[#This Row],[Origem]], 'Perguntas 1 a 24'!$J$28:$K$34, 2, 0)</f>
        <v>Sudeste</v>
      </c>
      <c r="E3245" s="87" t="str">
        <f>Tabela1[[#This Row],[Descrição]]&amp;"-"&amp;Tabela1[[#This Row],[Código]]&amp;"/"&amp;Tabela1[[#This Row],[Origem]]</f>
        <v>Micupu-H914P311/SP</v>
      </c>
      <c r="F3245" s="88">
        <v>47446</v>
      </c>
      <c r="G3245" s="88" t="str" cm="1">
        <f t="array" ref="G32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AND(F3245&gt;= DATE(2026,1,1), F3245&lt;= DATE(2028, 12, 31), J3245&gt;50000), "Pendente e Caro", AND(F3245&gt;= DATE(2026,1,1), F3245&lt;= DATE(2028, 12, 31), J3245&lt;=50000), "Pendente", F3245&gt;= DATE(2029,1,1), "Não prioeitário")</f>
        <v>Não prioeitário</v>
      </c>
      <c r="H3245" s="89">
        <f>YEAR(Tabela1[[#This Row],[Data de Validade]])</f>
        <v>2029</v>
      </c>
      <c r="I3245" s="89">
        <f>MONTH(Tabela1[[#This Row],[Data de Validade]])</f>
        <v>11</v>
      </c>
      <c r="J3245" s="101">
        <v>113616</v>
      </c>
      <c r="K3245" s="87" t="s">
        <v>14</v>
      </c>
      <c r="L3245" s="108"/>
      <c r="M3245" s="108"/>
      <c r="N3245" s="108" t="str">
        <v>P374H844</v>
      </c>
      <c r="O3245" s="108">
        <f t="shared" si="52"/>
        <v>1</v>
      </c>
      <c r="P3245" s="108"/>
      <c r="Q3245"/>
    </row>
    <row r="3246" spans="1:17" x14ac:dyDescent="0.25">
      <c r="A3246" s="89" t="s">
        <v>8504</v>
      </c>
      <c r="B3246" s="87" t="s">
        <v>8505</v>
      </c>
      <c r="C3246" s="87" t="s">
        <v>13</v>
      </c>
      <c r="D3246" s="87" t="str">
        <f>VLOOKUP(Tabela1[[#This Row],[Origem]], 'Perguntas 1 a 24'!$J$28:$K$34, 2, 0)</f>
        <v>Sudeste</v>
      </c>
      <c r="E3246" s="87" t="str">
        <f>Tabela1[[#This Row],[Descrição]]&amp;"-"&amp;Tabela1[[#This Row],[Código]]&amp;"/"&amp;Tabela1[[#This Row],[Origem]]</f>
        <v>Nemamaro-P515P279/SP</v>
      </c>
      <c r="F3246" s="88">
        <v>47446</v>
      </c>
      <c r="G3246" s="88" t="str" cm="1">
        <f t="array" ref="G32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AND(F3246&gt;= DATE(2026,1,1), F3246&lt;= DATE(2028, 12, 31), J3246&gt;50000), "Pendente e Caro", AND(F3246&gt;= DATE(2026,1,1), F3246&lt;= DATE(2028, 12, 31), J3246&lt;=50000), "Pendente", F3246&gt;= DATE(2029,1,1), "Não prioeitário")</f>
        <v>Não prioeitário</v>
      </c>
      <c r="H3246" s="89">
        <f>YEAR(Tabela1[[#This Row],[Data de Validade]])</f>
        <v>2029</v>
      </c>
      <c r="I3246" s="89">
        <f>MONTH(Tabela1[[#This Row],[Data de Validade]])</f>
        <v>11</v>
      </c>
      <c r="J3246" s="101">
        <v>39988</v>
      </c>
      <c r="K3246" s="87" t="s">
        <v>14</v>
      </c>
      <c r="L3246" s="108"/>
      <c r="M3246" s="108"/>
      <c r="N3246" s="108" t="str">
        <v>P265P414</v>
      </c>
      <c r="O3246" s="108">
        <f t="shared" si="52"/>
        <v>1</v>
      </c>
      <c r="P3246" s="108"/>
      <c r="Q3246"/>
    </row>
    <row r="3247" spans="1:17" x14ac:dyDescent="0.25">
      <c r="A3247" s="89" t="s">
        <v>6968</v>
      </c>
      <c r="B3247" s="87" t="s">
        <v>6969</v>
      </c>
      <c r="C3247" s="87" t="s">
        <v>13</v>
      </c>
      <c r="D3247" s="87" t="str">
        <f>VLOOKUP(Tabela1[[#This Row],[Origem]], 'Perguntas 1 a 24'!$J$28:$K$34, 2, 0)</f>
        <v>Sudeste</v>
      </c>
      <c r="E3247" s="87" t="str">
        <f>Tabela1[[#This Row],[Descrição]]&amp;"-"&amp;Tabela1[[#This Row],[Código]]&amp;"/"&amp;Tabela1[[#This Row],[Origem]]</f>
        <v>Lumarure-H785P437/SP</v>
      </c>
      <c r="F3247" s="88">
        <v>47447</v>
      </c>
      <c r="G3247" s="88" t="str" cm="1">
        <f t="array" ref="G32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AND(F3247&gt;= DATE(2026,1,1), F3247&lt;= DATE(2028, 12, 31), J3247&gt;50000), "Pendente e Caro", AND(F3247&gt;= DATE(2026,1,1), F3247&lt;= DATE(2028, 12, 31), J3247&lt;=50000), "Pendente", F3247&gt;= DATE(2029,1,1), "Não prioeitário")</f>
        <v>Não prioeitário</v>
      </c>
      <c r="H3247" s="89">
        <f>YEAR(Tabela1[[#This Row],[Data de Validade]])</f>
        <v>2029</v>
      </c>
      <c r="I3247" s="89">
        <f>MONTH(Tabela1[[#This Row],[Data de Validade]])</f>
        <v>11</v>
      </c>
      <c r="J3247" s="101">
        <v>115981</v>
      </c>
      <c r="K3247" s="87" t="s">
        <v>7</v>
      </c>
      <c r="L3247" s="108"/>
      <c r="M3247" s="108"/>
      <c r="N3247" s="108" t="str">
        <v>H644H253</v>
      </c>
      <c r="O3247" s="108">
        <f t="shared" si="52"/>
        <v>1</v>
      </c>
      <c r="P3247" s="108"/>
      <c r="Q3247"/>
    </row>
    <row r="3248" spans="1:17" x14ac:dyDescent="0.25">
      <c r="A3248" s="89" t="s">
        <v>10069</v>
      </c>
      <c r="B3248" s="87" t="s">
        <v>10070</v>
      </c>
      <c r="C3248" s="87" t="s">
        <v>8</v>
      </c>
      <c r="D3248" s="87" t="str">
        <f>VLOOKUP(Tabela1[[#This Row],[Origem]], 'Perguntas 1 a 24'!$J$28:$K$34, 2, 0)</f>
        <v>Nordeste</v>
      </c>
      <c r="E3248" s="87" t="str">
        <f>Tabela1[[#This Row],[Descrição]]&amp;"-"&amp;Tabela1[[#This Row],[Código]]&amp;"/"&amp;Tabela1[[#This Row],[Origem]]</f>
        <v>Rofava-P412P626/AL</v>
      </c>
      <c r="F3248" s="88">
        <v>47447</v>
      </c>
      <c r="G3248" s="88" t="str" cm="1">
        <f t="array" ref="G32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AND(F3248&gt;= DATE(2026,1,1), F3248&lt;= DATE(2028, 12, 31), J3248&gt;50000), "Pendente e Caro", AND(F3248&gt;= DATE(2026,1,1), F3248&lt;= DATE(2028, 12, 31), J3248&lt;=50000), "Pendente", F3248&gt;= DATE(2029,1,1), "Não prioeitário")</f>
        <v>Não prioeitário</v>
      </c>
      <c r="H3248" s="89">
        <f>YEAR(Tabela1[[#This Row],[Data de Validade]])</f>
        <v>2029</v>
      </c>
      <c r="I3248" s="89">
        <f>MONTH(Tabela1[[#This Row],[Data de Validade]])</f>
        <v>11</v>
      </c>
      <c r="J3248" s="101">
        <v>82245</v>
      </c>
      <c r="K3248" s="87" t="s">
        <v>9</v>
      </c>
      <c r="L3248" s="108"/>
      <c r="M3248" s="108"/>
      <c r="N3248" s="108" t="str">
        <v>H467H284</v>
      </c>
      <c r="O3248" s="108">
        <f t="shared" si="52"/>
        <v>1</v>
      </c>
      <c r="P3248" s="108"/>
      <c r="Q3248"/>
    </row>
    <row r="3249" spans="1:17" x14ac:dyDescent="0.25">
      <c r="A3249" s="89" t="s">
        <v>6348</v>
      </c>
      <c r="B3249" s="87" t="s">
        <v>6349</v>
      </c>
      <c r="C3249" s="87" t="s">
        <v>12</v>
      </c>
      <c r="D3249" s="87" t="str">
        <f>VLOOKUP(Tabela1[[#This Row],[Origem]], 'Perguntas 1 a 24'!$J$28:$K$34, 2, 0)</f>
        <v>Sudeste</v>
      </c>
      <c r="E3249" s="87" t="str">
        <f>Tabela1[[#This Row],[Descrição]]&amp;"-"&amp;Tabela1[[#This Row],[Código]]&amp;"/"&amp;Tabela1[[#This Row],[Origem]]</f>
        <v>Rapuda-P374H844/RJ</v>
      </c>
      <c r="F3249" s="88">
        <v>47448</v>
      </c>
      <c r="G3249" s="88" t="str" cm="1">
        <f t="array" ref="G32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AND(F3249&gt;= DATE(2026,1,1), F3249&lt;= DATE(2028, 12, 31), J3249&gt;50000), "Pendente e Caro", AND(F3249&gt;= DATE(2026,1,1), F3249&lt;= DATE(2028, 12, 31), J3249&lt;=50000), "Pendente", F3249&gt;= DATE(2029,1,1), "Não prioeitário")</f>
        <v>Não prioeitário</v>
      </c>
      <c r="H3249" s="89">
        <f>YEAR(Tabela1[[#This Row],[Data de Validade]])</f>
        <v>2029</v>
      </c>
      <c r="I3249" s="89">
        <f>MONTH(Tabela1[[#This Row],[Data de Validade]])</f>
        <v>11</v>
      </c>
      <c r="J3249" s="101">
        <v>114946</v>
      </c>
      <c r="K3249" s="87" t="s">
        <v>7</v>
      </c>
      <c r="L3249" s="108"/>
      <c r="M3249" s="108"/>
      <c r="N3249" s="108" t="str">
        <v>H769H757</v>
      </c>
      <c r="O3249" s="108">
        <f t="shared" si="52"/>
        <v>1</v>
      </c>
      <c r="P3249" s="108"/>
      <c r="Q3249"/>
    </row>
    <row r="3250" spans="1:17" x14ac:dyDescent="0.25">
      <c r="A3250" s="89" t="s">
        <v>8827</v>
      </c>
      <c r="B3250" s="87" t="s">
        <v>8828</v>
      </c>
      <c r="C3250" s="87" t="s">
        <v>8</v>
      </c>
      <c r="D3250" s="87" t="str">
        <f>VLOOKUP(Tabela1[[#This Row],[Origem]], 'Perguntas 1 a 24'!$J$28:$K$34, 2, 0)</f>
        <v>Nordeste</v>
      </c>
      <c r="E3250" s="87" t="str">
        <f>Tabela1[[#This Row],[Descrição]]&amp;"-"&amp;Tabela1[[#This Row],[Código]]&amp;"/"&amp;Tabela1[[#This Row],[Origem]]</f>
        <v>Racopitata-P265P414/AL</v>
      </c>
      <c r="F3250" s="88">
        <v>47448</v>
      </c>
      <c r="G3250" s="88" t="str" cm="1">
        <f t="array" ref="G32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AND(F3250&gt;= DATE(2026,1,1), F3250&lt;= DATE(2028, 12, 31), J3250&gt;50000), "Pendente e Caro", AND(F3250&gt;= DATE(2026,1,1), F3250&lt;= DATE(2028, 12, 31), J3250&lt;=50000), "Pendente", F3250&gt;= DATE(2029,1,1), "Não prioeitário")</f>
        <v>Não prioeitário</v>
      </c>
      <c r="H3250" s="89">
        <f>YEAR(Tabela1[[#This Row],[Data de Validade]])</f>
        <v>2029</v>
      </c>
      <c r="I3250" s="89">
        <f>MONTH(Tabela1[[#This Row],[Data de Validade]])</f>
        <v>11</v>
      </c>
      <c r="J3250" s="101">
        <v>80273</v>
      </c>
      <c r="K3250" s="87" t="s">
        <v>7</v>
      </c>
      <c r="L3250" s="108"/>
      <c r="M3250" s="108"/>
      <c r="N3250" s="108" t="str">
        <v>P863P162</v>
      </c>
      <c r="O3250" s="108">
        <f t="shared" si="52"/>
        <v>1</v>
      </c>
      <c r="P3250" s="108"/>
      <c r="Q3250"/>
    </row>
    <row r="3251" spans="1:17" x14ac:dyDescent="0.25">
      <c r="A3251" s="89" t="s">
        <v>6994</v>
      </c>
      <c r="B3251" s="87" t="s">
        <v>6995</v>
      </c>
      <c r="C3251" s="87" t="s">
        <v>10</v>
      </c>
      <c r="D3251" s="87" t="str">
        <f>VLOOKUP(Tabela1[[#This Row],[Origem]], 'Perguntas 1 a 24'!$J$28:$K$34, 2, 0)</f>
        <v>Centro-Oeste</v>
      </c>
      <c r="E3251" s="87" t="str">
        <f>Tabela1[[#This Row],[Descrição]]&amp;"-"&amp;Tabela1[[#This Row],[Código]]&amp;"/"&amp;Tabela1[[#This Row],[Origem]]</f>
        <v>Nevufi-H644H253/GO</v>
      </c>
      <c r="F3251" s="88">
        <v>47449</v>
      </c>
      <c r="G3251" s="88" t="str" cm="1">
        <f t="array" ref="G32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AND(F3251&gt;= DATE(2026,1,1), F3251&lt;= DATE(2028, 12, 31), J3251&gt;50000), "Pendente e Caro", AND(F3251&gt;= DATE(2026,1,1), F3251&lt;= DATE(2028, 12, 31), J3251&lt;=50000), "Pendente", F3251&gt;= DATE(2029,1,1), "Não prioeitário")</f>
        <v>Não prioeitário</v>
      </c>
      <c r="H3251" s="89">
        <f>YEAR(Tabela1[[#This Row],[Data de Validade]])</f>
        <v>2029</v>
      </c>
      <c r="I3251" s="89">
        <f>MONTH(Tabela1[[#This Row],[Data de Validade]])</f>
        <v>11</v>
      </c>
      <c r="J3251" s="101">
        <v>116501</v>
      </c>
      <c r="K3251" s="87" t="s">
        <v>14</v>
      </c>
      <c r="L3251" s="108"/>
      <c r="M3251" s="108"/>
      <c r="N3251" s="108" t="str">
        <v>P437P991</v>
      </c>
      <c r="O3251" s="108">
        <f t="shared" si="52"/>
        <v>1</v>
      </c>
      <c r="P3251" s="108"/>
      <c r="Q3251"/>
    </row>
    <row r="3252" spans="1:17" x14ac:dyDescent="0.25">
      <c r="A3252" s="89" t="s">
        <v>7008</v>
      </c>
      <c r="B3252" s="87" t="s">
        <v>7009</v>
      </c>
      <c r="C3252" s="87" t="s">
        <v>10</v>
      </c>
      <c r="D3252" s="87" t="str">
        <f>VLOOKUP(Tabela1[[#This Row],[Origem]], 'Perguntas 1 a 24'!$J$28:$K$34, 2, 0)</f>
        <v>Centro-Oeste</v>
      </c>
      <c r="E3252" s="87" t="str">
        <f>Tabela1[[#This Row],[Descrição]]&amp;"-"&amp;Tabela1[[#This Row],[Código]]&amp;"/"&amp;Tabela1[[#This Row],[Origem]]</f>
        <v>Peralo-H467H284/GO</v>
      </c>
      <c r="F3252" s="88">
        <v>47449</v>
      </c>
      <c r="G3252" s="88" t="str" cm="1">
        <f t="array" ref="G32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AND(F3252&gt;= DATE(2026,1,1), F3252&lt;= DATE(2028, 12, 31), J3252&gt;50000), "Pendente e Caro", AND(F3252&gt;= DATE(2026,1,1), F3252&lt;= DATE(2028, 12, 31), J3252&lt;=50000), "Pendente", F3252&gt;= DATE(2029,1,1), "Não prioeitário")</f>
        <v>Não prioeitário</v>
      </c>
      <c r="H3252" s="89">
        <f>YEAR(Tabela1[[#This Row],[Data de Validade]])</f>
        <v>2029</v>
      </c>
      <c r="I3252" s="89">
        <f>MONTH(Tabela1[[#This Row],[Data de Validade]])</f>
        <v>11</v>
      </c>
      <c r="J3252" s="101">
        <v>22496</v>
      </c>
      <c r="K3252" s="87" t="s">
        <v>11</v>
      </c>
      <c r="L3252" s="108"/>
      <c r="M3252" s="108"/>
      <c r="N3252" s="108" t="str">
        <v>H561H255</v>
      </c>
      <c r="O3252" s="108">
        <f t="shared" si="52"/>
        <v>1</v>
      </c>
      <c r="P3252" s="108"/>
      <c r="Q3252"/>
    </row>
    <row r="3253" spans="1:17" x14ac:dyDescent="0.25">
      <c r="A3253" s="89" t="s">
        <v>8833</v>
      </c>
      <c r="B3253" s="87" t="s">
        <v>8834</v>
      </c>
      <c r="C3253" s="87" t="s">
        <v>16</v>
      </c>
      <c r="D3253" s="87" t="str">
        <f>VLOOKUP(Tabela1[[#This Row],[Origem]], 'Perguntas 1 a 24'!$J$28:$K$34, 2, 0)</f>
        <v>Sudeste</v>
      </c>
      <c r="E3253" s="87" t="str">
        <f>Tabela1[[#This Row],[Descrição]]&amp;"-"&amp;Tabela1[[#This Row],[Código]]&amp;"/"&amp;Tabela1[[#This Row],[Origem]]</f>
        <v>Rifopitelo-H769H757/MG</v>
      </c>
      <c r="F3253" s="88">
        <v>47450</v>
      </c>
      <c r="G3253" s="88" t="str" cm="1">
        <f t="array" ref="G32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AND(F3253&gt;= DATE(2026,1,1), F3253&lt;= DATE(2028, 12, 31), J3253&gt;50000), "Pendente e Caro", AND(F3253&gt;= DATE(2026,1,1), F3253&lt;= DATE(2028, 12, 31), J3253&lt;=50000), "Pendente", F3253&gt;= DATE(2029,1,1), "Não prioeitário")</f>
        <v>Não prioeitário</v>
      </c>
      <c r="H3253" s="89">
        <f>YEAR(Tabela1[[#This Row],[Data de Validade]])</f>
        <v>2029</v>
      </c>
      <c r="I3253" s="89">
        <f>MONTH(Tabela1[[#This Row],[Data de Validade]])</f>
        <v>11</v>
      </c>
      <c r="J3253" s="101">
        <v>107702</v>
      </c>
      <c r="K3253" s="87" t="s">
        <v>11</v>
      </c>
      <c r="L3253" s="108"/>
      <c r="M3253" s="108"/>
      <c r="N3253" s="108" t="str">
        <v>H699P176</v>
      </c>
      <c r="O3253" s="108">
        <f t="shared" si="52"/>
        <v>1</v>
      </c>
      <c r="P3253" s="108"/>
      <c r="Q3253"/>
    </row>
    <row r="3254" spans="1:17" x14ac:dyDescent="0.25">
      <c r="A3254" s="89" t="s">
        <v>9961</v>
      </c>
      <c r="B3254" s="87" t="s">
        <v>9962</v>
      </c>
      <c r="C3254" s="87" t="s">
        <v>12</v>
      </c>
      <c r="D3254" s="87" t="str">
        <f>VLOOKUP(Tabela1[[#This Row],[Origem]], 'Perguntas 1 a 24'!$J$28:$K$34, 2, 0)</f>
        <v>Sudeste</v>
      </c>
      <c r="E3254" s="87" t="str">
        <f>Tabela1[[#This Row],[Descrição]]&amp;"-"&amp;Tabela1[[#This Row],[Código]]&amp;"/"&amp;Tabela1[[#This Row],[Origem]]</f>
        <v>Fiteta-P863P162/RJ</v>
      </c>
      <c r="F3254" s="88">
        <v>47450</v>
      </c>
      <c r="G3254" s="88" t="str" cm="1">
        <f t="array" ref="G32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AND(F3254&gt;= DATE(2026,1,1), F3254&lt;= DATE(2028, 12, 31), J3254&gt;50000), "Pendente e Caro", AND(F3254&gt;= DATE(2026,1,1), F3254&lt;= DATE(2028, 12, 31), J3254&lt;=50000), "Pendente", F3254&gt;= DATE(2029,1,1), "Não prioeitário")</f>
        <v>Não prioeitário</v>
      </c>
      <c r="H3254" s="89">
        <f>YEAR(Tabela1[[#This Row],[Data de Validade]])</f>
        <v>2029</v>
      </c>
      <c r="I3254" s="89">
        <f>MONTH(Tabela1[[#This Row],[Data de Validade]])</f>
        <v>11</v>
      </c>
      <c r="J3254" s="101">
        <v>68751</v>
      </c>
      <c r="K3254" s="87" t="s">
        <v>14</v>
      </c>
      <c r="L3254" s="108"/>
      <c r="M3254" s="108"/>
      <c r="N3254" s="108" t="str">
        <v>P992H261</v>
      </c>
      <c r="O3254" s="108">
        <f t="shared" si="52"/>
        <v>1</v>
      </c>
      <c r="P3254" s="108"/>
      <c r="Q3254"/>
    </row>
    <row r="3255" spans="1:17" x14ac:dyDescent="0.25">
      <c r="A3255" s="89" t="s">
        <v>4485</v>
      </c>
      <c r="B3255" s="87" t="s">
        <v>4486</v>
      </c>
      <c r="C3255" s="87" t="s">
        <v>6</v>
      </c>
      <c r="D3255" s="87" t="str">
        <f>VLOOKUP(Tabela1[[#This Row],[Origem]], 'Perguntas 1 a 24'!$J$28:$K$34, 2, 0)</f>
        <v>Nordeste</v>
      </c>
      <c r="E3255" s="87" t="str">
        <f>Tabela1[[#This Row],[Descrição]]&amp;"-"&amp;Tabela1[[#This Row],[Código]]&amp;"/"&amp;Tabela1[[#This Row],[Origem]]</f>
        <v>Rerogolere-P437P991/MA</v>
      </c>
      <c r="F3255" s="88">
        <v>47453</v>
      </c>
      <c r="G3255" s="88" t="str" cm="1">
        <f t="array" ref="G32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AND(F3255&gt;= DATE(2026,1,1), F3255&lt;= DATE(2028, 12, 31), J3255&gt;50000), "Pendente e Caro", AND(F3255&gt;= DATE(2026,1,1), F3255&lt;= DATE(2028, 12, 31), J3255&lt;=50000), "Pendente", F3255&gt;= DATE(2029,1,1), "Não prioeitário")</f>
        <v>Não prioeitário</v>
      </c>
      <c r="H3255" s="89">
        <f>YEAR(Tabela1[[#This Row],[Data de Validade]])</f>
        <v>2029</v>
      </c>
      <c r="I3255" s="89">
        <f>MONTH(Tabela1[[#This Row],[Data de Validade]])</f>
        <v>12</v>
      </c>
      <c r="J3255" s="101">
        <v>116585</v>
      </c>
      <c r="K3255" s="87" t="s">
        <v>9</v>
      </c>
      <c r="L3255" s="108"/>
      <c r="M3255" s="108"/>
      <c r="N3255" s="108" t="str">
        <v>P683P192</v>
      </c>
      <c r="O3255" s="108">
        <f t="shared" si="52"/>
        <v>1</v>
      </c>
      <c r="P3255" s="108"/>
      <c r="Q3255"/>
    </row>
    <row r="3256" spans="1:17" x14ac:dyDescent="0.25">
      <c r="A3256" s="89" t="s">
        <v>10151</v>
      </c>
      <c r="B3256" s="87" t="s">
        <v>10152</v>
      </c>
      <c r="C3256" s="87" t="s">
        <v>15</v>
      </c>
      <c r="D3256" s="87" t="str">
        <f>VLOOKUP(Tabela1[[#This Row],[Origem]], 'Perguntas 1 a 24'!$J$28:$K$34, 2, 0)</f>
        <v>Sudeste</v>
      </c>
      <c r="E3256" s="87" t="str">
        <f>Tabela1[[#This Row],[Descrição]]&amp;"-"&amp;Tabela1[[#This Row],[Código]]&amp;"/"&amp;Tabela1[[#This Row],[Origem]]</f>
        <v>Forupodu-H561H255/ES</v>
      </c>
      <c r="F3256" s="88">
        <v>47453</v>
      </c>
      <c r="G3256" s="88" t="str" cm="1">
        <f t="array" ref="G32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AND(F3256&gt;= DATE(2026,1,1), F3256&lt;= DATE(2028, 12, 31), J3256&gt;50000), "Pendente e Caro", AND(F3256&gt;= DATE(2026,1,1), F3256&lt;= DATE(2028, 12, 31), J3256&lt;=50000), "Pendente", F3256&gt;= DATE(2029,1,1), "Não prioeitário")</f>
        <v>Não prioeitário</v>
      </c>
      <c r="H3256" s="89">
        <f>YEAR(Tabela1[[#This Row],[Data de Validade]])</f>
        <v>2029</v>
      </c>
      <c r="I3256" s="89">
        <f>MONTH(Tabela1[[#This Row],[Data de Validade]])</f>
        <v>12</v>
      </c>
      <c r="J3256" s="101">
        <v>58235</v>
      </c>
      <c r="K3256" s="87" t="s">
        <v>11</v>
      </c>
      <c r="L3256" s="108"/>
      <c r="M3256" s="108"/>
      <c r="N3256" s="108" t="str">
        <v>H633H839</v>
      </c>
      <c r="O3256" s="108">
        <f t="shared" si="52"/>
        <v>1</v>
      </c>
      <c r="P3256" s="108"/>
      <c r="Q3256"/>
    </row>
    <row r="3257" spans="1:17" x14ac:dyDescent="0.25">
      <c r="A3257" s="89" t="s">
        <v>8142</v>
      </c>
      <c r="B3257" s="87" t="s">
        <v>8143</v>
      </c>
      <c r="C3257" s="87" t="s">
        <v>15</v>
      </c>
      <c r="D3257" s="87" t="str">
        <f>VLOOKUP(Tabela1[[#This Row],[Origem]], 'Perguntas 1 a 24'!$J$28:$K$34, 2, 0)</f>
        <v>Sudeste</v>
      </c>
      <c r="E3257" s="87" t="str">
        <f>Tabela1[[#This Row],[Descrição]]&amp;"-"&amp;Tabela1[[#This Row],[Código]]&amp;"/"&amp;Tabela1[[#This Row],[Origem]]</f>
        <v>Vagagape-H699P176/ES</v>
      </c>
      <c r="F3257" s="88">
        <v>47453</v>
      </c>
      <c r="G3257" s="88" t="str" cm="1">
        <f t="array" ref="G32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AND(F3257&gt;= DATE(2026,1,1), F3257&lt;= DATE(2028, 12, 31), J3257&gt;50000), "Pendente e Caro", AND(F3257&gt;= DATE(2026,1,1), F3257&lt;= DATE(2028, 12, 31), J3257&lt;=50000), "Pendente", F3257&gt;= DATE(2029,1,1), "Não prioeitário")</f>
        <v>Não prioeitário</v>
      </c>
      <c r="H3257" s="89">
        <f>YEAR(Tabela1[[#This Row],[Data de Validade]])</f>
        <v>2029</v>
      </c>
      <c r="I3257" s="89">
        <f>MONTH(Tabela1[[#This Row],[Data de Validade]])</f>
        <v>12</v>
      </c>
      <c r="J3257" s="101">
        <v>56747</v>
      </c>
      <c r="K3257" s="87" t="s">
        <v>14</v>
      </c>
      <c r="L3257" s="108"/>
      <c r="M3257" s="108"/>
      <c r="N3257" s="108" t="str">
        <v>P944P193</v>
      </c>
      <c r="O3257" s="108">
        <f t="shared" si="52"/>
        <v>1</v>
      </c>
      <c r="P3257" s="108"/>
      <c r="Q3257"/>
    </row>
    <row r="3258" spans="1:17" x14ac:dyDescent="0.25">
      <c r="A3258" s="89" t="s">
        <v>10469</v>
      </c>
      <c r="B3258" s="87" t="s">
        <v>10470</v>
      </c>
      <c r="C3258" s="87" t="s">
        <v>6</v>
      </c>
      <c r="D3258" s="87" t="str">
        <f>VLOOKUP(Tabela1[[#This Row],[Origem]], 'Perguntas 1 a 24'!$J$28:$K$34, 2, 0)</f>
        <v>Nordeste</v>
      </c>
      <c r="E3258" s="87" t="str">
        <f>Tabela1[[#This Row],[Descrição]]&amp;"-"&amp;Tabela1[[#This Row],[Código]]&amp;"/"&amp;Tabela1[[#This Row],[Origem]]</f>
        <v>Fufipu-P992H261/MA</v>
      </c>
      <c r="F3258" s="88">
        <v>47454</v>
      </c>
      <c r="G3258" s="88" t="str" cm="1">
        <f t="array" ref="G32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AND(F3258&gt;= DATE(2026,1,1), F3258&lt;= DATE(2028, 12, 31), J3258&gt;50000), "Pendente e Caro", AND(F3258&gt;= DATE(2026,1,1), F3258&lt;= DATE(2028, 12, 31), J3258&lt;=50000), "Pendente", F3258&gt;= DATE(2029,1,1), "Não prioeitário")</f>
        <v>Não prioeitário</v>
      </c>
      <c r="H3258" s="89">
        <f>YEAR(Tabela1[[#This Row],[Data de Validade]])</f>
        <v>2029</v>
      </c>
      <c r="I3258" s="89">
        <f>MONTH(Tabela1[[#This Row],[Data de Validade]])</f>
        <v>12</v>
      </c>
      <c r="J3258" s="101">
        <v>74390</v>
      </c>
      <c r="K3258" s="87" t="s">
        <v>14</v>
      </c>
      <c r="L3258" s="108"/>
      <c r="M3258" s="108"/>
      <c r="N3258" s="108" t="str">
        <v>H187H893</v>
      </c>
      <c r="O3258" s="108">
        <f t="shared" si="52"/>
        <v>1</v>
      </c>
      <c r="P3258" s="108"/>
      <c r="Q3258"/>
    </row>
    <row r="3259" spans="1:17" x14ac:dyDescent="0.25">
      <c r="A3259" s="89" t="s">
        <v>6288</v>
      </c>
      <c r="B3259" s="87" t="s">
        <v>6289</v>
      </c>
      <c r="C3259" s="87" t="s">
        <v>15</v>
      </c>
      <c r="D3259" s="87" t="str">
        <f>VLOOKUP(Tabela1[[#This Row],[Origem]], 'Perguntas 1 a 24'!$J$28:$K$34, 2, 0)</f>
        <v>Sudeste</v>
      </c>
      <c r="E3259" s="87" t="str">
        <f>Tabela1[[#This Row],[Descrição]]&amp;"-"&amp;Tabela1[[#This Row],[Código]]&amp;"/"&amp;Tabela1[[#This Row],[Origem]]</f>
        <v>Rititi-P683P192/ES</v>
      </c>
      <c r="F3259" s="88">
        <v>47455</v>
      </c>
      <c r="G3259" s="88" t="str" cm="1">
        <f t="array" ref="G32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AND(F3259&gt;= DATE(2026,1,1), F3259&lt;= DATE(2028, 12, 31), J3259&gt;50000), "Pendente e Caro", AND(F3259&gt;= DATE(2026,1,1), F3259&lt;= DATE(2028, 12, 31), J3259&lt;=50000), "Pendente", F3259&gt;= DATE(2029,1,1), "Não prioeitário")</f>
        <v>Não prioeitário</v>
      </c>
      <c r="H3259" s="89">
        <f>YEAR(Tabela1[[#This Row],[Data de Validade]])</f>
        <v>2029</v>
      </c>
      <c r="I3259" s="89">
        <f>MONTH(Tabela1[[#This Row],[Data de Validade]])</f>
        <v>12</v>
      </c>
      <c r="J3259" s="101">
        <v>92331</v>
      </c>
      <c r="K3259" s="87" t="s">
        <v>14</v>
      </c>
      <c r="L3259" s="108"/>
      <c r="M3259" s="108"/>
      <c r="N3259" s="108" t="str">
        <v>P662H236</v>
      </c>
      <c r="O3259" s="108">
        <f t="shared" si="52"/>
        <v>1</v>
      </c>
      <c r="P3259" s="108"/>
      <c r="Q3259"/>
    </row>
    <row r="3260" spans="1:17" x14ac:dyDescent="0.25">
      <c r="A3260" s="89" t="s">
        <v>6672</v>
      </c>
      <c r="B3260" s="87" t="s">
        <v>6673</v>
      </c>
      <c r="C3260" s="87" t="s">
        <v>13</v>
      </c>
      <c r="D3260" s="87" t="str">
        <f>VLOOKUP(Tabela1[[#This Row],[Origem]], 'Perguntas 1 a 24'!$J$28:$K$34, 2, 0)</f>
        <v>Sudeste</v>
      </c>
      <c r="E3260" s="87" t="str">
        <f>Tabela1[[#This Row],[Descrição]]&amp;"-"&amp;Tabela1[[#This Row],[Código]]&amp;"/"&amp;Tabela1[[#This Row],[Origem]]</f>
        <v>Rocapu-H633H839/SP</v>
      </c>
      <c r="F3260" s="88">
        <v>47455</v>
      </c>
      <c r="G3260" s="88" t="str" cm="1">
        <f t="array" ref="G32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AND(F3260&gt;= DATE(2026,1,1), F3260&lt;= DATE(2028, 12, 31), J3260&gt;50000), "Pendente e Caro", AND(F3260&gt;= DATE(2026,1,1), F3260&lt;= DATE(2028, 12, 31), J3260&lt;=50000), "Pendente", F3260&gt;= DATE(2029,1,1), "Não prioeitário")</f>
        <v>Não prioeitário</v>
      </c>
      <c r="H3260" s="89">
        <f>YEAR(Tabela1[[#This Row],[Data de Validade]])</f>
        <v>2029</v>
      </c>
      <c r="I3260" s="89">
        <f>MONTH(Tabela1[[#This Row],[Data de Validade]])</f>
        <v>12</v>
      </c>
      <c r="J3260" s="101">
        <v>85670</v>
      </c>
      <c r="K3260" s="87" t="s">
        <v>11</v>
      </c>
      <c r="L3260" s="108"/>
      <c r="M3260" s="108"/>
      <c r="N3260" s="108" t="str">
        <v>P335H422</v>
      </c>
      <c r="O3260" s="108">
        <f t="shared" si="52"/>
        <v>1</v>
      </c>
      <c r="P3260" s="108"/>
      <c r="Q3260"/>
    </row>
    <row r="3261" spans="1:17" x14ac:dyDescent="0.25">
      <c r="A3261" s="89" t="s">
        <v>6738</v>
      </c>
      <c r="B3261" s="87" t="s">
        <v>6739</v>
      </c>
      <c r="C3261" s="87" t="s">
        <v>16</v>
      </c>
      <c r="D3261" s="87" t="str">
        <f>VLOOKUP(Tabela1[[#This Row],[Origem]], 'Perguntas 1 a 24'!$J$28:$K$34, 2, 0)</f>
        <v>Sudeste</v>
      </c>
      <c r="E3261" s="87" t="str">
        <f>Tabela1[[#This Row],[Descrição]]&amp;"-"&amp;Tabela1[[#This Row],[Código]]&amp;"/"&amp;Tabela1[[#This Row],[Origem]]</f>
        <v>Nivonodu-P944P193/MG</v>
      </c>
      <c r="F3261" s="88">
        <v>47456</v>
      </c>
      <c r="G3261" s="88" t="str" cm="1">
        <f t="array" ref="G32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AND(F3261&gt;= DATE(2026,1,1), F3261&lt;= DATE(2028, 12, 31), J3261&gt;50000), "Pendente e Caro", AND(F3261&gt;= DATE(2026,1,1), F3261&lt;= DATE(2028, 12, 31), J3261&lt;=50000), "Pendente", F3261&gt;= DATE(2029,1,1), "Não prioeitário")</f>
        <v>Não prioeitário</v>
      </c>
      <c r="H3261" s="89">
        <f>YEAR(Tabela1[[#This Row],[Data de Validade]])</f>
        <v>2029</v>
      </c>
      <c r="I3261" s="89">
        <f>MONTH(Tabela1[[#This Row],[Data de Validade]])</f>
        <v>12</v>
      </c>
      <c r="J3261" s="101">
        <v>60083</v>
      </c>
      <c r="K3261" s="87" t="s">
        <v>9</v>
      </c>
      <c r="L3261" s="108"/>
      <c r="M3261" s="108"/>
      <c r="N3261" s="108" t="str">
        <v>P913H436</v>
      </c>
      <c r="O3261" s="108">
        <f t="shared" si="52"/>
        <v>1</v>
      </c>
      <c r="P3261" s="108"/>
      <c r="Q3261"/>
    </row>
    <row r="3262" spans="1:17" x14ac:dyDescent="0.25">
      <c r="A3262" s="89" t="s">
        <v>8999</v>
      </c>
      <c r="B3262" s="87" t="s">
        <v>9000</v>
      </c>
      <c r="C3262" s="87" t="s">
        <v>15</v>
      </c>
      <c r="D3262" s="87" t="str">
        <f>VLOOKUP(Tabela1[[#This Row],[Origem]], 'Perguntas 1 a 24'!$J$28:$K$34, 2, 0)</f>
        <v>Sudeste</v>
      </c>
      <c r="E3262" s="87" t="str">
        <f>Tabela1[[#This Row],[Descrição]]&amp;"-"&amp;Tabela1[[#This Row],[Código]]&amp;"/"&amp;Tabela1[[#This Row],[Origem]]</f>
        <v>Poparunepi-H187H893/ES</v>
      </c>
      <c r="F3262" s="88">
        <v>47458</v>
      </c>
      <c r="G3262" s="88" t="str" cm="1">
        <f t="array" ref="G32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AND(F3262&gt;= DATE(2026,1,1), F3262&lt;= DATE(2028, 12, 31), J3262&gt;50000), "Pendente e Caro", AND(F3262&gt;= DATE(2026,1,1), F3262&lt;= DATE(2028, 12, 31), J3262&lt;=50000), "Pendente", F3262&gt;= DATE(2029,1,1), "Não prioeitário")</f>
        <v>Não prioeitário</v>
      </c>
      <c r="H3262" s="89">
        <f>YEAR(Tabela1[[#This Row],[Data de Validade]])</f>
        <v>2029</v>
      </c>
      <c r="I3262" s="89">
        <f>MONTH(Tabela1[[#This Row],[Data de Validade]])</f>
        <v>12</v>
      </c>
      <c r="J3262" s="101">
        <v>119354</v>
      </c>
      <c r="K3262" s="87" t="s">
        <v>9</v>
      </c>
      <c r="L3262" s="108"/>
      <c r="M3262" s="108"/>
      <c r="N3262" s="108" t="str">
        <v>P544P296</v>
      </c>
      <c r="O3262" s="108">
        <f t="shared" si="52"/>
        <v>1</v>
      </c>
      <c r="P3262" s="108"/>
      <c r="Q3262"/>
    </row>
    <row r="3263" spans="1:17" x14ac:dyDescent="0.25">
      <c r="A3263" s="89" t="s">
        <v>8126</v>
      </c>
      <c r="B3263" s="87" t="s">
        <v>8127</v>
      </c>
      <c r="C3263" s="87" t="s">
        <v>10</v>
      </c>
      <c r="D3263" s="87" t="str">
        <f>VLOOKUP(Tabela1[[#This Row],[Origem]], 'Perguntas 1 a 24'!$J$28:$K$34, 2, 0)</f>
        <v>Centro-Oeste</v>
      </c>
      <c r="E3263" s="87" t="str">
        <f>Tabela1[[#This Row],[Descrição]]&amp;"-"&amp;Tabela1[[#This Row],[Código]]&amp;"/"&amp;Tabela1[[#This Row],[Origem]]</f>
        <v>Gototopi-P662H236/GO</v>
      </c>
      <c r="F3263" s="88">
        <v>47458</v>
      </c>
      <c r="G3263" s="88" t="str" cm="1">
        <f t="array" ref="G32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AND(F3263&gt;= DATE(2026,1,1), F3263&lt;= DATE(2028, 12, 31), J3263&gt;50000), "Pendente e Caro", AND(F3263&gt;= DATE(2026,1,1), F3263&lt;= DATE(2028, 12, 31), J3263&lt;=50000), "Pendente", F3263&gt;= DATE(2029,1,1), "Não prioeitário")</f>
        <v>Não prioeitário</v>
      </c>
      <c r="H3263" s="89">
        <f>YEAR(Tabela1[[#This Row],[Data de Validade]])</f>
        <v>2029</v>
      </c>
      <c r="I3263" s="89">
        <f>MONTH(Tabela1[[#This Row],[Data de Validade]])</f>
        <v>12</v>
      </c>
      <c r="J3263" s="101">
        <v>40331</v>
      </c>
      <c r="K3263" s="87" t="s">
        <v>11</v>
      </c>
      <c r="L3263" s="108"/>
      <c r="M3263" s="108"/>
      <c r="N3263" s="108" t="str">
        <v>H289H859</v>
      </c>
      <c r="O3263" s="108">
        <f t="shared" si="52"/>
        <v>1</v>
      </c>
      <c r="P3263" s="108"/>
      <c r="Q3263"/>
    </row>
    <row r="3264" spans="1:17" x14ac:dyDescent="0.25">
      <c r="A3264" s="89" t="s">
        <v>7190</v>
      </c>
      <c r="B3264" s="87" t="s">
        <v>7191</v>
      </c>
      <c r="C3264" s="87" t="s">
        <v>10</v>
      </c>
      <c r="D3264" s="87" t="str">
        <f>VLOOKUP(Tabela1[[#This Row],[Origem]], 'Perguntas 1 a 24'!$J$28:$K$34, 2, 0)</f>
        <v>Centro-Oeste</v>
      </c>
      <c r="E3264" s="87" t="str">
        <f>Tabela1[[#This Row],[Descrição]]&amp;"-"&amp;Tabela1[[#This Row],[Código]]&amp;"/"&amp;Tabela1[[#This Row],[Origem]]</f>
        <v>Daguradani-P335H422/GO</v>
      </c>
      <c r="F3264" s="88">
        <v>47459</v>
      </c>
      <c r="G3264" s="88" t="str" cm="1">
        <f t="array" ref="G32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AND(F3264&gt;= DATE(2026,1,1), F3264&lt;= DATE(2028, 12, 31), J3264&gt;50000), "Pendente e Caro", AND(F3264&gt;= DATE(2026,1,1), F3264&lt;= DATE(2028, 12, 31), J3264&lt;=50000), "Pendente", F3264&gt;= DATE(2029,1,1), "Não prioeitário")</f>
        <v>Não prioeitário</v>
      </c>
      <c r="H3264" s="89">
        <f>YEAR(Tabela1[[#This Row],[Data de Validade]])</f>
        <v>2029</v>
      </c>
      <c r="I3264" s="89">
        <f>MONTH(Tabela1[[#This Row],[Data de Validade]])</f>
        <v>12</v>
      </c>
      <c r="J3264" s="101">
        <v>117644</v>
      </c>
      <c r="K3264" s="87" t="s">
        <v>7</v>
      </c>
      <c r="L3264" s="108"/>
      <c r="M3264" s="108"/>
      <c r="N3264" s="108" t="str">
        <v>P823H623</v>
      </c>
      <c r="O3264" s="108">
        <f t="shared" si="52"/>
        <v>1</v>
      </c>
      <c r="P3264" s="108"/>
      <c r="Q3264"/>
    </row>
    <row r="3265" spans="1:17" x14ac:dyDescent="0.25">
      <c r="A3265" s="89" t="s">
        <v>11072</v>
      </c>
      <c r="B3265" s="87" t="s">
        <v>11073</v>
      </c>
      <c r="C3265" s="87" t="s">
        <v>15</v>
      </c>
      <c r="D3265" s="87" t="str">
        <f>VLOOKUP(Tabela1[[#This Row],[Origem]], 'Perguntas 1 a 24'!$J$28:$K$34, 2, 0)</f>
        <v>Sudeste</v>
      </c>
      <c r="E3265" s="87" t="str">
        <f>Tabela1[[#This Row],[Descrição]]&amp;"-"&amp;Tabela1[[#This Row],[Código]]&amp;"/"&amp;Tabela1[[#This Row],[Origem]]</f>
        <v>Famapetugo-P913H436/ES</v>
      </c>
      <c r="F3265" s="88">
        <v>47459</v>
      </c>
      <c r="G3265" s="88" t="str" cm="1">
        <f t="array" ref="G32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AND(F3265&gt;= DATE(2026,1,1), F3265&lt;= DATE(2028, 12, 31), J3265&gt;50000), "Pendente e Caro", AND(F3265&gt;= DATE(2026,1,1), F3265&lt;= DATE(2028, 12, 31), J3265&lt;=50000), "Pendente", F3265&gt;= DATE(2029,1,1), "Não prioeitário")</f>
        <v>Não prioeitário</v>
      </c>
      <c r="H3265" s="89">
        <f>YEAR(Tabela1[[#This Row],[Data de Validade]])</f>
        <v>2029</v>
      </c>
      <c r="I3265" s="89">
        <f>MONTH(Tabela1[[#This Row],[Data de Validade]])</f>
        <v>12</v>
      </c>
      <c r="J3265" s="101">
        <v>80817</v>
      </c>
      <c r="K3265" s="87" t="s">
        <v>9</v>
      </c>
      <c r="L3265" s="108"/>
      <c r="M3265" s="108"/>
      <c r="N3265" s="108" t="str">
        <v>P839H576</v>
      </c>
      <c r="O3265" s="108">
        <f t="shared" si="52"/>
        <v>1</v>
      </c>
      <c r="P3265" s="108"/>
      <c r="Q3265"/>
    </row>
    <row r="3266" spans="1:17" x14ac:dyDescent="0.25">
      <c r="A3266" s="89" t="s">
        <v>4494</v>
      </c>
      <c r="B3266" s="87" t="s">
        <v>4495</v>
      </c>
      <c r="C3266" s="87" t="s">
        <v>15</v>
      </c>
      <c r="D3266" s="87" t="str">
        <f>VLOOKUP(Tabela1[[#This Row],[Origem]], 'Perguntas 1 a 24'!$J$28:$K$34, 2, 0)</f>
        <v>Sudeste</v>
      </c>
      <c r="E3266" s="87" t="str">
        <f>Tabela1[[#This Row],[Descrição]]&amp;"-"&amp;Tabela1[[#This Row],[Código]]&amp;"/"&amp;Tabela1[[#This Row],[Origem]]</f>
        <v>Peporopa-P544P296/ES</v>
      </c>
      <c r="F3266" s="88">
        <v>47460</v>
      </c>
      <c r="G3266" s="88" t="str" cm="1">
        <f t="array" ref="G32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AND(F3266&gt;= DATE(2026,1,1), F3266&lt;= DATE(2028, 12, 31), J3266&gt;50000), "Pendente e Caro", AND(F3266&gt;= DATE(2026,1,1), F3266&lt;= DATE(2028, 12, 31), J3266&lt;=50000), "Pendente", F3266&gt;= DATE(2029,1,1), "Não prioeitário")</f>
        <v>Não prioeitário</v>
      </c>
      <c r="H3266" s="89">
        <f>YEAR(Tabela1[[#This Row],[Data de Validade]])</f>
        <v>2029</v>
      </c>
      <c r="I3266" s="89">
        <f>MONTH(Tabela1[[#This Row],[Data de Validade]])</f>
        <v>12</v>
      </c>
      <c r="J3266" s="101">
        <v>112171</v>
      </c>
      <c r="K3266" s="87" t="s">
        <v>7</v>
      </c>
      <c r="L3266" s="108"/>
      <c r="M3266" s="108"/>
      <c r="N3266" s="108" t="str">
        <v>P499H897</v>
      </c>
      <c r="O3266" s="108">
        <f t="shared" si="52"/>
        <v>1</v>
      </c>
      <c r="P3266" s="108"/>
      <c r="Q3266"/>
    </row>
    <row r="3267" spans="1:17" x14ac:dyDescent="0.25">
      <c r="A3267" s="89" t="s">
        <v>7774</v>
      </c>
      <c r="B3267" s="87" t="s">
        <v>7775</v>
      </c>
      <c r="C3267" s="87" t="s">
        <v>13</v>
      </c>
      <c r="D3267" s="87" t="str">
        <f>VLOOKUP(Tabela1[[#This Row],[Origem]], 'Perguntas 1 a 24'!$J$28:$K$34, 2, 0)</f>
        <v>Sudeste</v>
      </c>
      <c r="E3267" s="87" t="str">
        <f>Tabela1[[#This Row],[Descrição]]&amp;"-"&amp;Tabela1[[#This Row],[Código]]&amp;"/"&amp;Tabela1[[#This Row],[Origem]]</f>
        <v>Tapono-H289H859/SP</v>
      </c>
      <c r="F3267" s="88">
        <v>47460</v>
      </c>
      <c r="G3267" s="88" t="str" cm="1">
        <f t="array" ref="G32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AND(F3267&gt;= DATE(2026,1,1), F3267&lt;= DATE(2028, 12, 31), J3267&gt;50000), "Pendente e Caro", AND(F3267&gt;= DATE(2026,1,1), F3267&lt;= DATE(2028, 12, 31), J3267&lt;=50000), "Pendente", F3267&gt;= DATE(2029,1,1), "Não prioeitário")</f>
        <v>Não prioeitário</v>
      </c>
      <c r="H3267" s="89">
        <f>YEAR(Tabela1[[#This Row],[Data de Validade]])</f>
        <v>2029</v>
      </c>
      <c r="I3267" s="89">
        <f>MONTH(Tabela1[[#This Row],[Data de Validade]])</f>
        <v>12</v>
      </c>
      <c r="J3267" s="101">
        <v>52063</v>
      </c>
      <c r="K3267" s="87" t="s">
        <v>9</v>
      </c>
      <c r="L3267" s="108"/>
      <c r="M3267" s="108"/>
      <c r="N3267" s="108" t="str">
        <v>P158P842</v>
      </c>
      <c r="O3267" s="108">
        <f t="shared" ref="O3267:O3330" si="53">COUNTIFS(B:B,N3267)</f>
        <v>1</v>
      </c>
      <c r="P3267" s="108"/>
      <c r="Q3267"/>
    </row>
    <row r="3268" spans="1:17" x14ac:dyDescent="0.25">
      <c r="A3268" s="89" t="s">
        <v>4152</v>
      </c>
      <c r="B3268" s="87" t="s">
        <v>4153</v>
      </c>
      <c r="C3268" s="87" t="s">
        <v>6</v>
      </c>
      <c r="D3268" s="87" t="str">
        <f>VLOOKUP(Tabela1[[#This Row],[Origem]], 'Perguntas 1 a 24'!$J$28:$K$34, 2, 0)</f>
        <v>Nordeste</v>
      </c>
      <c r="E3268" s="87" t="str">
        <f>Tabela1[[#This Row],[Descrição]]&amp;"-"&amp;Tabela1[[#This Row],[Código]]&amp;"/"&amp;Tabela1[[#This Row],[Origem]]</f>
        <v>Tefimenuvi-P823H623/MA</v>
      </c>
      <c r="F3268" s="88">
        <v>47460</v>
      </c>
      <c r="G3268" s="88" t="str" cm="1">
        <f t="array" ref="G32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AND(F3268&gt;= DATE(2026,1,1), F3268&lt;= DATE(2028, 12, 31), J3268&gt;50000), "Pendente e Caro", AND(F3268&gt;= DATE(2026,1,1), F3268&lt;= DATE(2028, 12, 31), J3268&lt;=50000), "Pendente", F3268&gt;= DATE(2029,1,1), "Não prioeitário")</f>
        <v>Não prioeitário</v>
      </c>
      <c r="H3268" s="89">
        <f>YEAR(Tabela1[[#This Row],[Data de Validade]])</f>
        <v>2029</v>
      </c>
      <c r="I3268" s="89">
        <f>MONTH(Tabela1[[#This Row],[Data de Validade]])</f>
        <v>12</v>
      </c>
      <c r="J3268" s="101">
        <v>32684</v>
      </c>
      <c r="K3268" s="87" t="s">
        <v>7</v>
      </c>
      <c r="L3268" s="108"/>
      <c r="M3268" s="108"/>
      <c r="N3268" s="108" t="str">
        <v>H731P955</v>
      </c>
      <c r="O3268" s="108">
        <f t="shared" si="53"/>
        <v>1</v>
      </c>
      <c r="P3268" s="108"/>
      <c r="Q3268"/>
    </row>
    <row r="3269" spans="1:17" x14ac:dyDescent="0.25">
      <c r="A3269" s="89" t="s">
        <v>9903</v>
      </c>
      <c r="B3269" s="87" t="s">
        <v>9904</v>
      </c>
      <c r="C3269" s="87" t="s">
        <v>16</v>
      </c>
      <c r="D3269" s="87" t="str">
        <f>VLOOKUP(Tabela1[[#This Row],[Origem]], 'Perguntas 1 a 24'!$J$28:$K$34, 2, 0)</f>
        <v>Sudeste</v>
      </c>
      <c r="E3269" s="87" t="str">
        <f>Tabela1[[#This Row],[Descrição]]&amp;"-"&amp;Tabela1[[#This Row],[Código]]&amp;"/"&amp;Tabela1[[#This Row],[Origem]]</f>
        <v>Pufupu-P839H576/MG</v>
      </c>
      <c r="F3269" s="88">
        <v>47461</v>
      </c>
      <c r="G3269" s="88" t="str" cm="1">
        <f t="array" ref="G32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AND(F3269&gt;= DATE(2026,1,1), F3269&lt;= DATE(2028, 12, 31), J3269&gt;50000), "Pendente e Caro", AND(F3269&gt;= DATE(2026,1,1), F3269&lt;= DATE(2028, 12, 31), J3269&lt;=50000), "Pendente", F3269&gt;= DATE(2029,1,1), "Não prioeitário")</f>
        <v>Não prioeitário</v>
      </c>
      <c r="H3269" s="89">
        <f>YEAR(Tabela1[[#This Row],[Data de Validade]])</f>
        <v>2029</v>
      </c>
      <c r="I3269" s="89">
        <f>MONTH(Tabela1[[#This Row],[Data de Validade]])</f>
        <v>12</v>
      </c>
      <c r="J3269" s="101">
        <v>36159</v>
      </c>
      <c r="K3269" s="87" t="s">
        <v>7</v>
      </c>
      <c r="L3269" s="108"/>
      <c r="M3269" s="108"/>
      <c r="N3269" s="108" t="str">
        <v>H241P728</v>
      </c>
      <c r="O3269" s="108">
        <f t="shared" si="53"/>
        <v>1</v>
      </c>
      <c r="P3269" s="108"/>
      <c r="Q3269"/>
    </row>
    <row r="3270" spans="1:17" x14ac:dyDescent="0.25">
      <c r="A3270" s="89" t="s">
        <v>5032</v>
      </c>
      <c r="B3270" s="87" t="s">
        <v>5033</v>
      </c>
      <c r="C3270" s="87" t="s">
        <v>10</v>
      </c>
      <c r="D3270" s="87" t="str">
        <f>VLOOKUP(Tabela1[[#This Row],[Origem]], 'Perguntas 1 a 24'!$J$28:$K$34, 2, 0)</f>
        <v>Centro-Oeste</v>
      </c>
      <c r="E3270" s="87" t="str">
        <f>Tabela1[[#This Row],[Descrição]]&amp;"-"&amp;Tabela1[[#This Row],[Código]]&amp;"/"&amp;Tabela1[[#This Row],[Origem]]</f>
        <v>Reropovota-P499H897/GO</v>
      </c>
      <c r="F3270" s="88">
        <v>47461</v>
      </c>
      <c r="G3270" s="88" t="str" cm="1">
        <f t="array" ref="G32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AND(F3270&gt;= DATE(2026,1,1), F3270&lt;= DATE(2028, 12, 31), J3270&gt;50000), "Pendente e Caro", AND(F3270&gt;= DATE(2026,1,1), F3270&lt;= DATE(2028, 12, 31), J3270&lt;=50000), "Pendente", F3270&gt;= DATE(2029,1,1), "Não prioeitário")</f>
        <v>Não prioeitário</v>
      </c>
      <c r="H3270" s="89">
        <f>YEAR(Tabela1[[#This Row],[Data de Validade]])</f>
        <v>2029</v>
      </c>
      <c r="I3270" s="89">
        <f>MONTH(Tabela1[[#This Row],[Data de Validade]])</f>
        <v>12</v>
      </c>
      <c r="J3270" s="101">
        <v>22283</v>
      </c>
      <c r="K3270" s="87" t="s">
        <v>7</v>
      </c>
      <c r="L3270" s="108"/>
      <c r="M3270" s="108"/>
      <c r="N3270" s="108" t="str">
        <v>P351H257</v>
      </c>
      <c r="O3270" s="108">
        <f t="shared" si="53"/>
        <v>1</v>
      </c>
      <c r="P3270" s="108"/>
      <c r="Q3270"/>
    </row>
    <row r="3271" spans="1:17" x14ac:dyDescent="0.25">
      <c r="A3271" s="89" t="s">
        <v>8022</v>
      </c>
      <c r="B3271" s="87" t="s">
        <v>8023</v>
      </c>
      <c r="C3271" s="87" t="s">
        <v>10</v>
      </c>
      <c r="D3271" s="87" t="str">
        <f>VLOOKUP(Tabela1[[#This Row],[Origem]], 'Perguntas 1 a 24'!$J$28:$K$34, 2, 0)</f>
        <v>Centro-Oeste</v>
      </c>
      <c r="E3271" s="87" t="str">
        <f>Tabela1[[#This Row],[Descrição]]&amp;"-"&amp;Tabela1[[#This Row],[Código]]&amp;"/"&amp;Tabela1[[#This Row],[Origem]]</f>
        <v>Peripu-P158P842/GO</v>
      </c>
      <c r="F3271" s="88">
        <v>47462</v>
      </c>
      <c r="G3271" s="88" t="str" cm="1">
        <f t="array" ref="G32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AND(F3271&gt;= DATE(2026,1,1), F3271&lt;= DATE(2028, 12, 31), J3271&gt;50000), "Pendente e Caro", AND(F3271&gt;= DATE(2026,1,1), F3271&lt;= DATE(2028, 12, 31), J3271&lt;=50000), "Pendente", F3271&gt;= DATE(2029,1,1), "Não prioeitário")</f>
        <v>Não prioeitário</v>
      </c>
      <c r="H3271" s="89">
        <f>YEAR(Tabela1[[#This Row],[Data de Validade]])</f>
        <v>2029</v>
      </c>
      <c r="I3271" s="89">
        <f>MONTH(Tabela1[[#This Row],[Data de Validade]])</f>
        <v>12</v>
      </c>
      <c r="J3271" s="101">
        <v>100793</v>
      </c>
      <c r="K3271" s="87" t="s">
        <v>7</v>
      </c>
      <c r="L3271" s="108"/>
      <c r="M3271" s="108"/>
      <c r="N3271" s="108" t="str">
        <v>P452H497</v>
      </c>
      <c r="O3271" s="108">
        <f t="shared" si="53"/>
        <v>1</v>
      </c>
      <c r="P3271" s="108"/>
      <c r="Q3271"/>
    </row>
    <row r="3272" spans="1:17" x14ac:dyDescent="0.25">
      <c r="A3272" s="89" t="s">
        <v>9301</v>
      </c>
      <c r="B3272" s="87" t="s">
        <v>9302</v>
      </c>
      <c r="C3272" s="87" t="s">
        <v>6</v>
      </c>
      <c r="D3272" s="87" t="str">
        <f>VLOOKUP(Tabela1[[#This Row],[Origem]], 'Perguntas 1 a 24'!$J$28:$K$34, 2, 0)</f>
        <v>Nordeste</v>
      </c>
      <c r="E3272" s="87" t="str">
        <f>Tabela1[[#This Row],[Descrição]]&amp;"-"&amp;Tabela1[[#This Row],[Código]]&amp;"/"&amp;Tabela1[[#This Row],[Origem]]</f>
        <v>Ramigepepe-H731P955/MA</v>
      </c>
      <c r="F3272" s="88">
        <v>47462</v>
      </c>
      <c r="G3272" s="88" t="str" cm="1">
        <f t="array" ref="G32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AND(F3272&gt;= DATE(2026,1,1), F3272&lt;= DATE(2028, 12, 31), J3272&gt;50000), "Pendente e Caro", AND(F3272&gt;= DATE(2026,1,1), F3272&lt;= DATE(2028, 12, 31), J3272&lt;=50000), "Pendente", F3272&gt;= DATE(2029,1,1), "Não prioeitário")</f>
        <v>Não prioeitário</v>
      </c>
      <c r="H3272" s="89">
        <f>YEAR(Tabela1[[#This Row],[Data de Validade]])</f>
        <v>2029</v>
      </c>
      <c r="I3272" s="89">
        <f>MONTH(Tabela1[[#This Row],[Data de Validade]])</f>
        <v>12</v>
      </c>
      <c r="J3272" s="101">
        <v>44629</v>
      </c>
      <c r="K3272" s="87" t="s">
        <v>11</v>
      </c>
      <c r="L3272" s="108"/>
      <c r="M3272" s="108"/>
      <c r="N3272" s="108" t="str">
        <v>P914H298</v>
      </c>
      <c r="O3272" s="108">
        <f t="shared" si="53"/>
        <v>1</v>
      </c>
      <c r="P3272" s="108"/>
      <c r="Q3272"/>
    </row>
    <row r="3273" spans="1:17" x14ac:dyDescent="0.25">
      <c r="A3273" s="89" t="s">
        <v>5478</v>
      </c>
      <c r="B3273" s="87" t="s">
        <v>5479</v>
      </c>
      <c r="C3273" s="87" t="s">
        <v>15</v>
      </c>
      <c r="D3273" s="87" t="str">
        <f>VLOOKUP(Tabela1[[#This Row],[Origem]], 'Perguntas 1 a 24'!$J$28:$K$34, 2, 0)</f>
        <v>Sudeste</v>
      </c>
      <c r="E3273" s="87" t="str">
        <f>Tabela1[[#This Row],[Descrição]]&amp;"-"&amp;Tabela1[[#This Row],[Código]]&amp;"/"&amp;Tabela1[[#This Row],[Origem]]</f>
        <v>Vuropi-H241P728/ES</v>
      </c>
      <c r="F3273" s="88">
        <v>47462</v>
      </c>
      <c r="G3273" s="88" t="str" cm="1">
        <f t="array" ref="G32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AND(F3273&gt;= DATE(2026,1,1), F3273&lt;= DATE(2028, 12, 31), J3273&gt;50000), "Pendente e Caro", AND(F3273&gt;= DATE(2026,1,1), F3273&lt;= DATE(2028, 12, 31), J3273&lt;=50000), "Pendente", F3273&gt;= DATE(2029,1,1), "Não prioeitário")</f>
        <v>Não prioeitário</v>
      </c>
      <c r="H3273" s="89">
        <f>YEAR(Tabela1[[#This Row],[Data de Validade]])</f>
        <v>2029</v>
      </c>
      <c r="I3273" s="89">
        <f>MONTH(Tabela1[[#This Row],[Data de Validade]])</f>
        <v>12</v>
      </c>
      <c r="J3273" s="101">
        <v>42410</v>
      </c>
      <c r="K3273" s="87" t="s">
        <v>14</v>
      </c>
      <c r="L3273" s="108"/>
      <c r="M3273" s="108"/>
      <c r="N3273" s="108" t="str">
        <v>P194H617</v>
      </c>
      <c r="O3273" s="108">
        <f t="shared" si="53"/>
        <v>1</v>
      </c>
      <c r="P3273" s="108"/>
      <c r="Q3273"/>
    </row>
    <row r="3274" spans="1:17" x14ac:dyDescent="0.25">
      <c r="A3274" s="89" t="s">
        <v>7812</v>
      </c>
      <c r="B3274" s="87" t="s">
        <v>7813</v>
      </c>
      <c r="C3274" s="87" t="s">
        <v>15</v>
      </c>
      <c r="D3274" s="87" t="str">
        <f>VLOOKUP(Tabela1[[#This Row],[Origem]], 'Perguntas 1 a 24'!$J$28:$K$34, 2, 0)</f>
        <v>Sudeste</v>
      </c>
      <c r="E3274" s="87" t="str">
        <f>Tabela1[[#This Row],[Descrição]]&amp;"-"&amp;Tabela1[[#This Row],[Código]]&amp;"/"&amp;Tabela1[[#This Row],[Origem]]</f>
        <v>Natocopeto-P351H257/ES</v>
      </c>
      <c r="F3274" s="88">
        <v>47462</v>
      </c>
      <c r="G3274" s="88" t="str" cm="1">
        <f t="array" ref="G32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AND(F3274&gt;= DATE(2026,1,1), F3274&lt;= DATE(2028, 12, 31), J3274&gt;50000), "Pendente e Caro", AND(F3274&gt;= DATE(2026,1,1), F3274&lt;= DATE(2028, 12, 31), J3274&lt;=50000), "Pendente", F3274&gt;= DATE(2029,1,1), "Não prioeitário")</f>
        <v>Não prioeitário</v>
      </c>
      <c r="H3274" s="89">
        <f>YEAR(Tabela1[[#This Row],[Data de Validade]])</f>
        <v>2029</v>
      </c>
      <c r="I3274" s="89">
        <f>MONTH(Tabela1[[#This Row],[Data de Validade]])</f>
        <v>12</v>
      </c>
      <c r="J3274" s="101">
        <v>36718</v>
      </c>
      <c r="K3274" s="87" t="s">
        <v>14</v>
      </c>
      <c r="L3274" s="108"/>
      <c r="M3274" s="108"/>
      <c r="N3274" s="108" t="str">
        <v>H232P999</v>
      </c>
      <c r="O3274" s="108">
        <f t="shared" si="53"/>
        <v>1</v>
      </c>
      <c r="P3274" s="108"/>
      <c r="Q3274"/>
    </row>
    <row r="3275" spans="1:17" x14ac:dyDescent="0.25">
      <c r="A3275" s="89" t="s">
        <v>4293</v>
      </c>
      <c r="B3275" s="87" t="s">
        <v>4294</v>
      </c>
      <c r="C3275" s="87" t="s">
        <v>10</v>
      </c>
      <c r="D3275" s="87" t="str">
        <f>VLOOKUP(Tabela1[[#This Row],[Origem]], 'Perguntas 1 a 24'!$J$28:$K$34, 2, 0)</f>
        <v>Centro-Oeste</v>
      </c>
      <c r="E3275" s="87" t="str">
        <f>Tabela1[[#This Row],[Descrição]]&amp;"-"&amp;Tabela1[[#This Row],[Código]]&amp;"/"&amp;Tabela1[[#This Row],[Origem]]</f>
        <v>Pitalo-P452H497/GO</v>
      </c>
      <c r="F3275" s="88">
        <v>47462</v>
      </c>
      <c r="G3275" s="88" t="str" cm="1">
        <f t="array" ref="G32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AND(F3275&gt;= DATE(2026,1,1), F3275&lt;= DATE(2028, 12, 31), J3275&gt;50000), "Pendente e Caro", AND(F3275&gt;= DATE(2026,1,1), F3275&lt;= DATE(2028, 12, 31), J3275&lt;=50000), "Pendente", F3275&gt;= DATE(2029,1,1), "Não prioeitário")</f>
        <v>Não prioeitário</v>
      </c>
      <c r="H3275" s="89">
        <f>YEAR(Tabela1[[#This Row],[Data de Validade]])</f>
        <v>2029</v>
      </c>
      <c r="I3275" s="89">
        <f>MONTH(Tabela1[[#This Row],[Data de Validade]])</f>
        <v>12</v>
      </c>
      <c r="J3275" s="101">
        <v>33948</v>
      </c>
      <c r="K3275" s="87" t="s">
        <v>14</v>
      </c>
      <c r="L3275" s="108"/>
      <c r="M3275" s="108"/>
      <c r="N3275" s="108" t="str">
        <v>H416P574</v>
      </c>
      <c r="O3275" s="108">
        <f t="shared" si="53"/>
        <v>1</v>
      </c>
      <c r="P3275" s="108"/>
      <c r="Q3275"/>
    </row>
    <row r="3276" spans="1:17" x14ac:dyDescent="0.25">
      <c r="A3276" s="89" t="s">
        <v>5610</v>
      </c>
      <c r="B3276" s="87" t="s">
        <v>5611</v>
      </c>
      <c r="C3276" s="87" t="s">
        <v>8</v>
      </c>
      <c r="D3276" s="87" t="str">
        <f>VLOOKUP(Tabela1[[#This Row],[Origem]], 'Perguntas 1 a 24'!$J$28:$K$34, 2, 0)</f>
        <v>Nordeste</v>
      </c>
      <c r="E3276" s="87" t="str">
        <f>Tabela1[[#This Row],[Descrição]]&amp;"-"&amp;Tabela1[[#This Row],[Código]]&amp;"/"&amp;Tabela1[[#This Row],[Origem]]</f>
        <v>Demapi-P914H298/AL</v>
      </c>
      <c r="F3276" s="88">
        <v>47462</v>
      </c>
      <c r="G3276" s="88" t="str" cm="1">
        <f t="array" ref="G32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AND(F3276&gt;= DATE(2026,1,1), F3276&lt;= DATE(2028, 12, 31), J3276&gt;50000), "Pendente e Caro", AND(F3276&gt;= DATE(2026,1,1), F3276&lt;= DATE(2028, 12, 31), J3276&lt;=50000), "Pendente", F3276&gt;= DATE(2029,1,1), "Não prioeitário")</f>
        <v>Não prioeitário</v>
      </c>
      <c r="H3276" s="89">
        <f>YEAR(Tabela1[[#This Row],[Data de Validade]])</f>
        <v>2029</v>
      </c>
      <c r="I3276" s="89">
        <f>MONTH(Tabela1[[#This Row],[Data de Validade]])</f>
        <v>12</v>
      </c>
      <c r="J3276" s="101">
        <v>23046</v>
      </c>
      <c r="K3276" s="87" t="s">
        <v>11</v>
      </c>
      <c r="L3276" s="108"/>
      <c r="M3276" s="108"/>
      <c r="N3276" s="108" t="str">
        <v>H526H545</v>
      </c>
      <c r="O3276" s="108">
        <f t="shared" si="53"/>
        <v>1</v>
      </c>
      <c r="P3276" s="108"/>
      <c r="Q3276"/>
    </row>
    <row r="3277" spans="1:17" x14ac:dyDescent="0.25">
      <c r="A3277" s="89" t="s">
        <v>6912</v>
      </c>
      <c r="B3277" s="87" t="s">
        <v>6913</v>
      </c>
      <c r="C3277" s="87" t="s">
        <v>8</v>
      </c>
      <c r="D3277" s="87" t="str">
        <f>VLOOKUP(Tabela1[[#This Row],[Origem]], 'Perguntas 1 a 24'!$J$28:$K$34, 2, 0)</f>
        <v>Nordeste</v>
      </c>
      <c r="E3277" s="87" t="str">
        <f>Tabela1[[#This Row],[Descrição]]&amp;"-"&amp;Tabela1[[#This Row],[Código]]&amp;"/"&amp;Tabela1[[#This Row],[Origem]]</f>
        <v>Gepodopo-P194H617/AL</v>
      </c>
      <c r="F3277" s="88">
        <v>47463</v>
      </c>
      <c r="G3277" s="88" t="str" cm="1">
        <f t="array" ref="G32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AND(F3277&gt;= DATE(2026,1,1), F3277&lt;= DATE(2028, 12, 31), J3277&gt;50000), "Pendente e Caro", AND(F3277&gt;= DATE(2026,1,1), F3277&lt;= DATE(2028, 12, 31), J3277&lt;=50000), "Pendente", F3277&gt;= DATE(2029,1,1), "Não prioeitário")</f>
        <v>Não prioeitário</v>
      </c>
      <c r="H3277" s="89">
        <f>YEAR(Tabela1[[#This Row],[Data de Validade]])</f>
        <v>2029</v>
      </c>
      <c r="I3277" s="89">
        <f>MONTH(Tabela1[[#This Row],[Data de Validade]])</f>
        <v>12</v>
      </c>
      <c r="J3277" s="101">
        <v>64900</v>
      </c>
      <c r="K3277" s="87" t="s">
        <v>9</v>
      </c>
      <c r="L3277" s="108"/>
      <c r="M3277" s="108"/>
      <c r="N3277" s="108" t="str">
        <v>H571H567</v>
      </c>
      <c r="O3277" s="108">
        <f t="shared" si="53"/>
        <v>1</v>
      </c>
      <c r="P3277" s="108"/>
      <c r="Q3277"/>
    </row>
    <row r="3278" spans="1:17" x14ac:dyDescent="0.25">
      <c r="A3278" s="89" t="s">
        <v>9585</v>
      </c>
      <c r="B3278" s="87" t="s">
        <v>9586</v>
      </c>
      <c r="C3278" s="87" t="s">
        <v>8</v>
      </c>
      <c r="D3278" s="87" t="str">
        <f>VLOOKUP(Tabela1[[#This Row],[Origem]], 'Perguntas 1 a 24'!$J$28:$K$34, 2, 0)</f>
        <v>Nordeste</v>
      </c>
      <c r="E3278" s="87" t="str">
        <f>Tabela1[[#This Row],[Descrição]]&amp;"-"&amp;Tabela1[[#This Row],[Código]]&amp;"/"&amp;Tabela1[[#This Row],[Origem]]</f>
        <v>Duramuruto-H232P999/AL</v>
      </c>
      <c r="F3278" s="88">
        <v>47464</v>
      </c>
      <c r="G3278" s="88" t="str" cm="1">
        <f t="array" ref="G32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AND(F3278&gt;= DATE(2026,1,1), F3278&lt;= DATE(2028, 12, 31), J3278&gt;50000), "Pendente e Caro", AND(F3278&gt;= DATE(2026,1,1), F3278&lt;= DATE(2028, 12, 31), J3278&lt;=50000), "Pendente", F3278&gt;= DATE(2029,1,1), "Não prioeitário")</f>
        <v>Não prioeitário</v>
      </c>
      <c r="H3278" s="89">
        <f>YEAR(Tabela1[[#This Row],[Data de Validade]])</f>
        <v>2029</v>
      </c>
      <c r="I3278" s="89">
        <f>MONTH(Tabela1[[#This Row],[Data de Validade]])</f>
        <v>12</v>
      </c>
      <c r="J3278" s="101">
        <v>100210</v>
      </c>
      <c r="K3278" s="87" t="s">
        <v>7</v>
      </c>
      <c r="L3278" s="108"/>
      <c r="M3278" s="108"/>
      <c r="N3278" s="108" t="str">
        <v>H857H232</v>
      </c>
      <c r="O3278" s="108">
        <f t="shared" si="53"/>
        <v>1</v>
      </c>
      <c r="P3278" s="108"/>
      <c r="Q3278"/>
    </row>
    <row r="3279" spans="1:17" x14ac:dyDescent="0.25">
      <c r="A3279" s="89" t="s">
        <v>6948</v>
      </c>
      <c r="B3279" s="87" t="s">
        <v>6949</v>
      </c>
      <c r="C3279" s="87" t="s">
        <v>15</v>
      </c>
      <c r="D3279" s="87" t="str">
        <f>VLOOKUP(Tabela1[[#This Row],[Origem]], 'Perguntas 1 a 24'!$J$28:$K$34, 2, 0)</f>
        <v>Sudeste</v>
      </c>
      <c r="E3279" s="87" t="str">
        <f>Tabela1[[#This Row],[Descrição]]&amp;"-"&amp;Tabela1[[#This Row],[Código]]&amp;"/"&amp;Tabela1[[#This Row],[Origem]]</f>
        <v>Parure-H416P574/ES</v>
      </c>
      <c r="F3279" s="88">
        <v>47464</v>
      </c>
      <c r="G3279" s="88" t="str" cm="1">
        <f t="array" ref="G32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AND(F3279&gt;= DATE(2026,1,1), F3279&lt;= DATE(2028, 12, 31), J3279&gt;50000), "Pendente e Caro", AND(F3279&gt;= DATE(2026,1,1), F3279&lt;= DATE(2028, 12, 31), J3279&lt;=50000), "Pendente", F3279&gt;= DATE(2029,1,1), "Não prioeitário")</f>
        <v>Não prioeitário</v>
      </c>
      <c r="H3279" s="89">
        <f>YEAR(Tabela1[[#This Row],[Data de Validade]])</f>
        <v>2029</v>
      </c>
      <c r="I3279" s="89">
        <f>MONTH(Tabela1[[#This Row],[Data de Validade]])</f>
        <v>12</v>
      </c>
      <c r="J3279" s="101">
        <v>55249</v>
      </c>
      <c r="K3279" s="87" t="s">
        <v>11</v>
      </c>
      <c r="L3279" s="108"/>
      <c r="M3279" s="108"/>
      <c r="N3279" s="108" t="str">
        <v>H667H614</v>
      </c>
      <c r="O3279" s="108">
        <f t="shared" si="53"/>
        <v>1</v>
      </c>
      <c r="P3279" s="108"/>
      <c r="Q3279"/>
    </row>
    <row r="3280" spans="1:17" x14ac:dyDescent="0.25">
      <c r="A3280" s="89" t="s">
        <v>6196</v>
      </c>
      <c r="B3280" s="87" t="s">
        <v>6197</v>
      </c>
      <c r="C3280" s="87" t="s">
        <v>13</v>
      </c>
      <c r="D3280" s="87" t="str">
        <f>VLOOKUP(Tabela1[[#This Row],[Origem]], 'Perguntas 1 a 24'!$J$28:$K$34, 2, 0)</f>
        <v>Sudeste</v>
      </c>
      <c r="E3280" s="87" t="str">
        <f>Tabela1[[#This Row],[Descrição]]&amp;"-"&amp;Tabela1[[#This Row],[Código]]&amp;"/"&amp;Tabela1[[#This Row],[Origem]]</f>
        <v>Rigugofa-H526H545/SP</v>
      </c>
      <c r="F3280" s="88">
        <v>47465</v>
      </c>
      <c r="G3280" s="88" t="str" cm="1">
        <f t="array" ref="G32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AND(F3280&gt;= DATE(2026,1,1), F3280&lt;= DATE(2028, 12, 31), J3280&gt;50000), "Pendente e Caro", AND(F3280&gt;= DATE(2026,1,1), F3280&lt;= DATE(2028, 12, 31), J3280&lt;=50000), "Pendente", F3280&gt;= DATE(2029,1,1), "Não prioeitário")</f>
        <v>Não prioeitário</v>
      </c>
      <c r="H3280" s="89">
        <f>YEAR(Tabela1[[#This Row],[Data de Validade]])</f>
        <v>2029</v>
      </c>
      <c r="I3280" s="89">
        <f>MONTH(Tabela1[[#This Row],[Data de Validade]])</f>
        <v>12</v>
      </c>
      <c r="J3280" s="101">
        <v>117144</v>
      </c>
      <c r="K3280" s="87" t="s">
        <v>14</v>
      </c>
      <c r="L3280" s="108"/>
      <c r="M3280" s="108"/>
      <c r="N3280" s="108" t="str">
        <v>H549P744</v>
      </c>
      <c r="O3280" s="108">
        <f t="shared" si="53"/>
        <v>1</v>
      </c>
      <c r="P3280" s="108"/>
      <c r="Q3280"/>
    </row>
    <row r="3281" spans="1:17" x14ac:dyDescent="0.25">
      <c r="A3281" s="89" t="s">
        <v>11168</v>
      </c>
      <c r="B3281" s="87" t="s">
        <v>11169</v>
      </c>
      <c r="C3281" s="87" t="s">
        <v>13</v>
      </c>
      <c r="D3281" s="87" t="str">
        <f>VLOOKUP(Tabela1[[#This Row],[Origem]], 'Perguntas 1 a 24'!$J$28:$K$34, 2, 0)</f>
        <v>Sudeste</v>
      </c>
      <c r="E3281" s="87" t="str">
        <f>Tabela1[[#This Row],[Descrição]]&amp;"-"&amp;Tabela1[[#This Row],[Código]]&amp;"/"&amp;Tabela1[[#This Row],[Origem]]</f>
        <v>Moralupate-H571H567/SP</v>
      </c>
      <c r="F3281" s="88">
        <v>47465</v>
      </c>
      <c r="G3281" s="88" t="str" cm="1">
        <f t="array" ref="G32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AND(F3281&gt;= DATE(2026,1,1), F3281&lt;= DATE(2028, 12, 31), J3281&gt;50000), "Pendente e Caro", AND(F3281&gt;= DATE(2026,1,1), F3281&lt;= DATE(2028, 12, 31), J3281&lt;=50000), "Pendente", F3281&gt;= DATE(2029,1,1), "Não prioeitário")</f>
        <v>Não prioeitário</v>
      </c>
      <c r="H3281" s="89">
        <f>YEAR(Tabela1[[#This Row],[Data de Validade]])</f>
        <v>2029</v>
      </c>
      <c r="I3281" s="89">
        <f>MONTH(Tabela1[[#This Row],[Data de Validade]])</f>
        <v>12</v>
      </c>
      <c r="J3281" s="101">
        <v>114545</v>
      </c>
      <c r="K3281" s="87" t="s">
        <v>7</v>
      </c>
      <c r="L3281" s="108"/>
      <c r="M3281" s="108"/>
      <c r="N3281" s="108" t="str">
        <v>H616P889</v>
      </c>
      <c r="O3281" s="108">
        <f t="shared" si="53"/>
        <v>1</v>
      </c>
      <c r="P3281" s="108"/>
      <c r="Q3281"/>
    </row>
    <row r="3282" spans="1:17" x14ac:dyDescent="0.25">
      <c r="A3282" s="89" t="s">
        <v>7082</v>
      </c>
      <c r="B3282" s="87" t="s">
        <v>7083</v>
      </c>
      <c r="C3282" s="87" t="s">
        <v>8</v>
      </c>
      <c r="D3282" s="87" t="str">
        <f>VLOOKUP(Tabela1[[#This Row],[Origem]], 'Perguntas 1 a 24'!$J$28:$K$34, 2, 0)</f>
        <v>Nordeste</v>
      </c>
      <c r="E3282" s="87" t="str">
        <f>Tabela1[[#This Row],[Descrição]]&amp;"-"&amp;Tabela1[[#This Row],[Código]]&amp;"/"&amp;Tabela1[[#This Row],[Origem]]</f>
        <v>Fopituto-H857H232/AL</v>
      </c>
      <c r="F3282" s="88">
        <v>47465</v>
      </c>
      <c r="G3282" s="88" t="str" cm="1">
        <f t="array" ref="G32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AND(F3282&gt;= DATE(2026,1,1), F3282&lt;= DATE(2028, 12, 31), J3282&gt;50000), "Pendente e Caro", AND(F3282&gt;= DATE(2026,1,1), F3282&lt;= DATE(2028, 12, 31), J3282&lt;=50000), "Pendente", F3282&gt;= DATE(2029,1,1), "Não prioeitário")</f>
        <v>Não prioeitário</v>
      </c>
      <c r="H3282" s="89">
        <f>YEAR(Tabela1[[#This Row],[Data de Validade]])</f>
        <v>2029</v>
      </c>
      <c r="I3282" s="89">
        <f>MONTH(Tabela1[[#This Row],[Data de Validade]])</f>
        <v>12</v>
      </c>
      <c r="J3282" s="101">
        <v>102582</v>
      </c>
      <c r="K3282" s="87" t="s">
        <v>11</v>
      </c>
      <c r="L3282" s="108"/>
      <c r="M3282" s="108"/>
      <c r="N3282" s="108" t="str">
        <v>H618P848</v>
      </c>
      <c r="O3282" s="108">
        <f t="shared" si="53"/>
        <v>1</v>
      </c>
      <c r="P3282" s="108"/>
      <c r="Q3282"/>
    </row>
    <row r="3283" spans="1:17" x14ac:dyDescent="0.25">
      <c r="A3283" s="89" t="s">
        <v>8803</v>
      </c>
      <c r="B3283" s="87" t="s">
        <v>8804</v>
      </c>
      <c r="C3283" s="87" t="s">
        <v>10</v>
      </c>
      <c r="D3283" s="87" t="str">
        <f>VLOOKUP(Tabela1[[#This Row],[Origem]], 'Perguntas 1 a 24'!$J$28:$K$34, 2, 0)</f>
        <v>Centro-Oeste</v>
      </c>
      <c r="E3283" s="87" t="str">
        <f>Tabela1[[#This Row],[Descrição]]&amp;"-"&amp;Tabela1[[#This Row],[Código]]&amp;"/"&amp;Tabela1[[#This Row],[Origem]]</f>
        <v>Cupudepupa-H667H614/GO</v>
      </c>
      <c r="F3283" s="88">
        <v>47465</v>
      </c>
      <c r="G3283" s="88" t="str" cm="1">
        <f t="array" ref="G32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AND(F3283&gt;= DATE(2026,1,1), F3283&lt;= DATE(2028, 12, 31), J3283&gt;50000), "Pendente e Caro", AND(F3283&gt;= DATE(2026,1,1), F3283&lt;= DATE(2028, 12, 31), J3283&lt;=50000), "Pendente", F3283&gt;= DATE(2029,1,1), "Não prioeitário")</f>
        <v>Não prioeitário</v>
      </c>
      <c r="H3283" s="89">
        <f>YEAR(Tabela1[[#This Row],[Data de Validade]])</f>
        <v>2029</v>
      </c>
      <c r="I3283" s="89">
        <f>MONTH(Tabela1[[#This Row],[Data de Validade]])</f>
        <v>12</v>
      </c>
      <c r="J3283" s="101">
        <v>90728</v>
      </c>
      <c r="K3283" s="87" t="s">
        <v>11</v>
      </c>
      <c r="L3283" s="108"/>
      <c r="M3283" s="108"/>
      <c r="N3283" s="108" t="str">
        <v>H834P537</v>
      </c>
      <c r="O3283" s="108">
        <f t="shared" si="53"/>
        <v>1</v>
      </c>
      <c r="P3283" s="108"/>
      <c r="Q3283"/>
    </row>
    <row r="3284" spans="1:17" x14ac:dyDescent="0.25">
      <c r="A3284" s="89" t="s">
        <v>9679</v>
      </c>
      <c r="B3284" s="87" t="s">
        <v>9680</v>
      </c>
      <c r="C3284" s="87" t="s">
        <v>8</v>
      </c>
      <c r="D3284" s="87" t="str">
        <f>VLOOKUP(Tabela1[[#This Row],[Origem]], 'Perguntas 1 a 24'!$J$28:$K$34, 2, 0)</f>
        <v>Nordeste</v>
      </c>
      <c r="E3284" s="87" t="str">
        <f>Tabela1[[#This Row],[Descrição]]&amp;"-"&amp;Tabela1[[#This Row],[Código]]&amp;"/"&amp;Tabela1[[#This Row],[Origem]]</f>
        <v>Pifiduri-H549P744/AL</v>
      </c>
      <c r="F3284" s="88">
        <v>47465</v>
      </c>
      <c r="G3284" s="88" t="str" cm="1">
        <f t="array" ref="G32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AND(F3284&gt;= DATE(2026,1,1), F3284&lt;= DATE(2028, 12, 31), J3284&gt;50000), "Pendente e Caro", AND(F3284&gt;= DATE(2026,1,1), F3284&lt;= DATE(2028, 12, 31), J3284&lt;=50000), "Pendente", F3284&gt;= DATE(2029,1,1), "Não prioeitário")</f>
        <v>Não prioeitário</v>
      </c>
      <c r="H3284" s="89">
        <f>YEAR(Tabela1[[#This Row],[Data de Validade]])</f>
        <v>2029</v>
      </c>
      <c r="I3284" s="89">
        <f>MONTH(Tabela1[[#This Row],[Data de Validade]])</f>
        <v>12</v>
      </c>
      <c r="J3284" s="101">
        <v>30562</v>
      </c>
      <c r="K3284" s="87" t="s">
        <v>14</v>
      </c>
      <c r="L3284" s="108"/>
      <c r="M3284" s="108"/>
      <c r="N3284" s="108" t="str">
        <v>H462H814</v>
      </c>
      <c r="O3284" s="108">
        <f t="shared" si="53"/>
        <v>1</v>
      </c>
      <c r="P3284" s="108"/>
      <c r="Q3284"/>
    </row>
    <row r="3285" spans="1:17" x14ac:dyDescent="0.25">
      <c r="A3285" s="89" t="s">
        <v>4858</v>
      </c>
      <c r="B3285" s="87" t="s">
        <v>4859</v>
      </c>
      <c r="C3285" s="87" t="s">
        <v>6</v>
      </c>
      <c r="D3285" s="87" t="str">
        <f>VLOOKUP(Tabela1[[#This Row],[Origem]], 'Perguntas 1 a 24'!$J$28:$K$34, 2, 0)</f>
        <v>Nordeste</v>
      </c>
      <c r="E3285" s="87" t="str">
        <f>Tabela1[[#This Row],[Descrição]]&amp;"-"&amp;Tabela1[[#This Row],[Código]]&amp;"/"&amp;Tabela1[[#This Row],[Origem]]</f>
        <v>Futetame-H616P889/MA</v>
      </c>
      <c r="F3285" s="88">
        <v>47466</v>
      </c>
      <c r="G3285" s="88" t="str" cm="1">
        <f t="array" ref="G32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AND(F3285&gt;= DATE(2026,1,1), F3285&lt;= DATE(2028, 12, 31), J3285&gt;50000), "Pendente e Caro", AND(F3285&gt;= DATE(2026,1,1), F3285&lt;= DATE(2028, 12, 31), J3285&lt;=50000), "Pendente", F3285&gt;= DATE(2029,1,1), "Não prioeitário")</f>
        <v>Não prioeitário</v>
      </c>
      <c r="H3285" s="89">
        <f>YEAR(Tabela1[[#This Row],[Data de Validade]])</f>
        <v>2029</v>
      </c>
      <c r="I3285" s="89">
        <f>MONTH(Tabela1[[#This Row],[Data de Validade]])</f>
        <v>12</v>
      </c>
      <c r="J3285" s="101">
        <v>92445</v>
      </c>
      <c r="K3285" s="87" t="s">
        <v>9</v>
      </c>
      <c r="L3285" s="108"/>
      <c r="M3285" s="108"/>
      <c r="N3285" s="108" t="str">
        <v>P977H712</v>
      </c>
      <c r="O3285" s="108">
        <f t="shared" si="53"/>
        <v>1</v>
      </c>
      <c r="P3285" s="108"/>
      <c r="Q3285"/>
    </row>
    <row r="3286" spans="1:17" x14ac:dyDescent="0.25">
      <c r="A3286" s="89" t="s">
        <v>9167</v>
      </c>
      <c r="B3286" s="87" t="s">
        <v>9168</v>
      </c>
      <c r="C3286" s="87" t="s">
        <v>12</v>
      </c>
      <c r="D3286" s="87" t="str">
        <f>VLOOKUP(Tabela1[[#This Row],[Origem]], 'Perguntas 1 a 24'!$J$28:$K$34, 2, 0)</f>
        <v>Sudeste</v>
      </c>
      <c r="E3286" s="87" t="str">
        <f>Tabela1[[#This Row],[Descrição]]&amp;"-"&amp;Tabela1[[#This Row],[Código]]&amp;"/"&amp;Tabela1[[#This Row],[Origem]]</f>
        <v>Letofonu-H618P848/RJ</v>
      </c>
      <c r="F3286" s="88">
        <v>47466</v>
      </c>
      <c r="G3286" s="88" t="str" cm="1">
        <f t="array" ref="G32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AND(F3286&gt;= DATE(2026,1,1), F3286&lt;= DATE(2028, 12, 31), J3286&gt;50000), "Pendente e Caro", AND(F3286&gt;= DATE(2026,1,1), F3286&lt;= DATE(2028, 12, 31), J3286&lt;=50000), "Pendente", F3286&gt;= DATE(2029,1,1), "Não prioeitário")</f>
        <v>Não prioeitário</v>
      </c>
      <c r="H3286" s="89">
        <f>YEAR(Tabela1[[#This Row],[Data de Validade]])</f>
        <v>2029</v>
      </c>
      <c r="I3286" s="89">
        <f>MONTH(Tabela1[[#This Row],[Data de Validade]])</f>
        <v>12</v>
      </c>
      <c r="J3286" s="101">
        <v>28737</v>
      </c>
      <c r="K3286" s="87" t="s">
        <v>11</v>
      </c>
      <c r="L3286" s="108"/>
      <c r="M3286" s="108"/>
      <c r="N3286" s="108" t="str">
        <v>P926H369</v>
      </c>
      <c r="O3286" s="108">
        <f t="shared" si="53"/>
        <v>1</v>
      </c>
      <c r="P3286" s="108"/>
      <c r="Q3286"/>
    </row>
    <row r="3287" spans="1:17" x14ac:dyDescent="0.25">
      <c r="A3287" s="89" t="s">
        <v>4213</v>
      </c>
      <c r="B3287" s="87" t="s">
        <v>4214</v>
      </c>
      <c r="C3287" s="87" t="s">
        <v>8</v>
      </c>
      <c r="D3287" s="87" t="str">
        <f>VLOOKUP(Tabela1[[#This Row],[Origem]], 'Perguntas 1 a 24'!$J$28:$K$34, 2, 0)</f>
        <v>Nordeste</v>
      </c>
      <c r="E3287" s="87" t="str">
        <f>Tabela1[[#This Row],[Descrição]]&amp;"-"&amp;Tabela1[[#This Row],[Código]]&amp;"/"&amp;Tabela1[[#This Row],[Origem]]</f>
        <v>Tilapodara-H834P537/AL</v>
      </c>
      <c r="F3287" s="88">
        <v>47469</v>
      </c>
      <c r="G3287" s="88" t="str" cm="1">
        <f t="array" ref="G32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AND(F3287&gt;= DATE(2026,1,1), F3287&lt;= DATE(2028, 12, 31), J3287&gt;50000), "Pendente e Caro", AND(F3287&gt;= DATE(2026,1,1), F3287&lt;= DATE(2028, 12, 31), J3287&lt;=50000), "Pendente", F3287&gt;= DATE(2029,1,1), "Não prioeitário")</f>
        <v>Não prioeitário</v>
      </c>
      <c r="H3287" s="89">
        <f>YEAR(Tabela1[[#This Row],[Data de Validade]])</f>
        <v>2029</v>
      </c>
      <c r="I3287" s="89">
        <f>MONTH(Tabela1[[#This Row],[Data de Validade]])</f>
        <v>12</v>
      </c>
      <c r="J3287" s="101">
        <v>73258</v>
      </c>
      <c r="K3287" s="87" t="s">
        <v>9</v>
      </c>
      <c r="L3287" s="108"/>
      <c r="M3287" s="108"/>
      <c r="N3287" s="108" t="str">
        <v>H594H363</v>
      </c>
      <c r="O3287" s="108">
        <f t="shared" si="53"/>
        <v>1</v>
      </c>
      <c r="P3287" s="108"/>
      <c r="Q3287"/>
    </row>
    <row r="3288" spans="1:17" x14ac:dyDescent="0.25">
      <c r="A3288" s="89" t="s">
        <v>6206</v>
      </c>
      <c r="B3288" s="87" t="s">
        <v>6207</v>
      </c>
      <c r="C3288" s="87" t="s">
        <v>16</v>
      </c>
      <c r="D3288" s="87" t="str">
        <f>VLOOKUP(Tabela1[[#This Row],[Origem]], 'Perguntas 1 a 24'!$J$28:$K$34, 2, 0)</f>
        <v>Sudeste</v>
      </c>
      <c r="E3288" s="87" t="str">
        <f>Tabela1[[#This Row],[Descrição]]&amp;"-"&amp;Tabela1[[#This Row],[Código]]&amp;"/"&amp;Tabela1[[#This Row],[Origem]]</f>
        <v>Cetavuci-H462H814/MG</v>
      </c>
      <c r="F3288" s="88">
        <v>47469</v>
      </c>
      <c r="G3288" s="88" t="str" cm="1">
        <f t="array" ref="G32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AND(F3288&gt;= DATE(2026,1,1), F3288&lt;= DATE(2028, 12, 31), J3288&gt;50000), "Pendente e Caro", AND(F3288&gt;= DATE(2026,1,1), F3288&lt;= DATE(2028, 12, 31), J3288&lt;=50000), "Pendente", F3288&gt;= DATE(2029,1,1), "Não prioeitário")</f>
        <v>Não prioeitário</v>
      </c>
      <c r="H3288" s="89">
        <f>YEAR(Tabela1[[#This Row],[Data de Validade]])</f>
        <v>2029</v>
      </c>
      <c r="I3288" s="89">
        <f>MONTH(Tabela1[[#This Row],[Data de Validade]])</f>
        <v>12</v>
      </c>
      <c r="J3288" s="101">
        <v>68672</v>
      </c>
      <c r="K3288" s="87" t="s">
        <v>14</v>
      </c>
      <c r="L3288" s="108"/>
      <c r="M3288" s="108"/>
      <c r="N3288" s="108" t="str">
        <v>P768P564</v>
      </c>
      <c r="O3288" s="108">
        <f t="shared" si="53"/>
        <v>1</v>
      </c>
      <c r="P3288" s="108"/>
      <c r="Q3288"/>
    </row>
    <row r="3289" spans="1:17" x14ac:dyDescent="0.25">
      <c r="A3289" s="89" t="s">
        <v>7336</v>
      </c>
      <c r="B3289" s="87" t="s">
        <v>7337</v>
      </c>
      <c r="C3289" s="87" t="s">
        <v>16</v>
      </c>
      <c r="D3289" s="87" t="str">
        <f>VLOOKUP(Tabela1[[#This Row],[Origem]], 'Perguntas 1 a 24'!$J$28:$K$34, 2, 0)</f>
        <v>Sudeste</v>
      </c>
      <c r="E3289" s="87" t="str">
        <f>Tabela1[[#This Row],[Descrição]]&amp;"-"&amp;Tabela1[[#This Row],[Código]]&amp;"/"&amp;Tabela1[[#This Row],[Origem]]</f>
        <v>Vapitu-P977H712/MG</v>
      </c>
      <c r="F3289" s="88">
        <v>47471</v>
      </c>
      <c r="G3289" s="88" t="str" cm="1">
        <f t="array" ref="G32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AND(F3289&gt;= DATE(2026,1,1), F3289&lt;= DATE(2028, 12, 31), J3289&gt;50000), "Pendente e Caro", AND(F3289&gt;= DATE(2026,1,1), F3289&lt;= DATE(2028, 12, 31), J3289&lt;=50000), "Pendente", F3289&gt;= DATE(2029,1,1), "Não prioeitário")</f>
        <v>Não prioeitário</v>
      </c>
      <c r="H3289" s="89">
        <f>YEAR(Tabela1[[#This Row],[Data de Validade]])</f>
        <v>2029</v>
      </c>
      <c r="I3289" s="89">
        <f>MONTH(Tabela1[[#This Row],[Data de Validade]])</f>
        <v>12</v>
      </c>
      <c r="J3289" s="101">
        <v>60204</v>
      </c>
      <c r="K3289" s="87" t="s">
        <v>9</v>
      </c>
      <c r="L3289" s="108"/>
      <c r="M3289" s="108"/>
      <c r="N3289" s="108" t="str">
        <v>P893P848</v>
      </c>
      <c r="O3289" s="108">
        <f t="shared" si="53"/>
        <v>1</v>
      </c>
      <c r="P3289" s="108"/>
      <c r="Q3289"/>
    </row>
    <row r="3290" spans="1:17" x14ac:dyDescent="0.25">
      <c r="A3290" s="89" t="s">
        <v>9147</v>
      </c>
      <c r="B3290" s="87" t="s">
        <v>9148</v>
      </c>
      <c r="C3290" s="87" t="s">
        <v>10</v>
      </c>
      <c r="D3290" s="87" t="str">
        <f>VLOOKUP(Tabela1[[#This Row],[Origem]], 'Perguntas 1 a 24'!$J$28:$K$34, 2, 0)</f>
        <v>Centro-Oeste</v>
      </c>
      <c r="E3290" s="87" t="str">
        <f>Tabela1[[#This Row],[Descrição]]&amp;"-"&amp;Tabela1[[#This Row],[Código]]&amp;"/"&amp;Tabela1[[#This Row],[Origem]]</f>
        <v>Rupiniga-P926H369/GO</v>
      </c>
      <c r="F3290" s="88">
        <v>47471</v>
      </c>
      <c r="G3290" s="88" t="str" cm="1">
        <f t="array" ref="G32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AND(F3290&gt;= DATE(2026,1,1), F3290&lt;= DATE(2028, 12, 31), J3290&gt;50000), "Pendente e Caro", AND(F3290&gt;= DATE(2026,1,1), F3290&lt;= DATE(2028, 12, 31), J3290&lt;=50000), "Pendente", F3290&gt;= DATE(2029,1,1), "Não prioeitário")</f>
        <v>Não prioeitário</v>
      </c>
      <c r="H3290" s="89">
        <f>YEAR(Tabela1[[#This Row],[Data de Validade]])</f>
        <v>2029</v>
      </c>
      <c r="I3290" s="89">
        <f>MONTH(Tabela1[[#This Row],[Data de Validade]])</f>
        <v>12</v>
      </c>
      <c r="J3290" s="101">
        <v>27579</v>
      </c>
      <c r="K3290" s="87" t="s">
        <v>9</v>
      </c>
      <c r="L3290" s="108"/>
      <c r="M3290" s="108"/>
      <c r="N3290" s="108" t="str">
        <v>H576P423</v>
      </c>
      <c r="O3290" s="108">
        <f t="shared" si="53"/>
        <v>1</v>
      </c>
      <c r="P3290" s="108"/>
      <c r="Q3290"/>
    </row>
    <row r="3291" spans="1:17" x14ac:dyDescent="0.25">
      <c r="A3291" s="89" t="s">
        <v>6472</v>
      </c>
      <c r="B3291" s="87" t="s">
        <v>6473</v>
      </c>
      <c r="C3291" s="87" t="s">
        <v>8</v>
      </c>
      <c r="D3291" s="87" t="str">
        <f>VLOOKUP(Tabela1[[#This Row],[Origem]], 'Perguntas 1 a 24'!$J$28:$K$34, 2, 0)</f>
        <v>Nordeste</v>
      </c>
      <c r="E3291" s="87" t="str">
        <f>Tabela1[[#This Row],[Descrição]]&amp;"-"&amp;Tabela1[[#This Row],[Código]]&amp;"/"&amp;Tabela1[[#This Row],[Origem]]</f>
        <v>Nituto-H594H363/AL</v>
      </c>
      <c r="F3291" s="88">
        <v>47472</v>
      </c>
      <c r="G3291" s="88" t="str" cm="1">
        <f t="array" ref="G32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AND(F3291&gt;= DATE(2026,1,1), F3291&lt;= DATE(2028, 12, 31), J3291&gt;50000), "Pendente e Caro", AND(F3291&gt;= DATE(2026,1,1), F3291&lt;= DATE(2028, 12, 31), J3291&lt;=50000), "Pendente", F3291&gt;= DATE(2029,1,1), "Não prioeitário")</f>
        <v>Não prioeitário</v>
      </c>
      <c r="H3291" s="89">
        <f>YEAR(Tabela1[[#This Row],[Data de Validade]])</f>
        <v>2029</v>
      </c>
      <c r="I3291" s="89">
        <f>MONTH(Tabela1[[#This Row],[Data de Validade]])</f>
        <v>12</v>
      </c>
      <c r="J3291" s="101">
        <v>42095</v>
      </c>
      <c r="K3291" s="87" t="s">
        <v>14</v>
      </c>
      <c r="L3291" s="108"/>
      <c r="M3291" s="108"/>
      <c r="N3291" s="108" t="str">
        <v>P872P642</v>
      </c>
      <c r="O3291" s="108">
        <f t="shared" si="53"/>
        <v>1</v>
      </c>
      <c r="P3291" s="108"/>
      <c r="Q3291"/>
    </row>
    <row r="3292" spans="1:17" x14ac:dyDescent="0.25">
      <c r="A3292" s="89" t="s">
        <v>4828</v>
      </c>
      <c r="B3292" s="87" t="s">
        <v>4829</v>
      </c>
      <c r="C3292" s="87" t="s">
        <v>16</v>
      </c>
      <c r="D3292" s="87" t="str">
        <f>VLOOKUP(Tabela1[[#This Row],[Origem]], 'Perguntas 1 a 24'!$J$28:$K$34, 2, 0)</f>
        <v>Sudeste</v>
      </c>
      <c r="E3292" s="87" t="str">
        <f>Tabela1[[#This Row],[Descrição]]&amp;"-"&amp;Tabela1[[#This Row],[Código]]&amp;"/"&amp;Tabela1[[#This Row],[Origem]]</f>
        <v>Rapofigaru-P768P564/MG</v>
      </c>
      <c r="F3292" s="88">
        <v>47473</v>
      </c>
      <c r="G3292" s="88" t="str" cm="1">
        <f t="array" ref="G32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AND(F3292&gt;= DATE(2026,1,1), F3292&lt;= DATE(2028, 12, 31), J3292&gt;50000), "Pendente e Caro", AND(F3292&gt;= DATE(2026,1,1), F3292&lt;= DATE(2028, 12, 31), J3292&lt;=50000), "Pendente", F3292&gt;= DATE(2029,1,1), "Não prioeitário")</f>
        <v>Não prioeitário</v>
      </c>
      <c r="H3292" s="89">
        <f>YEAR(Tabela1[[#This Row],[Data de Validade]])</f>
        <v>2029</v>
      </c>
      <c r="I3292" s="89">
        <f>MONTH(Tabela1[[#This Row],[Data de Validade]])</f>
        <v>12</v>
      </c>
      <c r="J3292" s="101">
        <v>113960</v>
      </c>
      <c r="K3292" s="87" t="s">
        <v>14</v>
      </c>
      <c r="L3292" s="108"/>
      <c r="M3292" s="108"/>
      <c r="N3292" s="108" t="str">
        <v>H811P698</v>
      </c>
      <c r="O3292" s="108">
        <f t="shared" si="53"/>
        <v>1</v>
      </c>
      <c r="P3292" s="108"/>
      <c r="Q3292"/>
    </row>
    <row r="3293" spans="1:17" x14ac:dyDescent="0.25">
      <c r="A3293" s="89" t="s">
        <v>5572</v>
      </c>
      <c r="B3293" s="87" t="s">
        <v>5573</v>
      </c>
      <c r="C3293" s="87" t="s">
        <v>12</v>
      </c>
      <c r="D3293" s="87" t="str">
        <f>VLOOKUP(Tabela1[[#This Row],[Origem]], 'Perguntas 1 a 24'!$J$28:$K$34, 2, 0)</f>
        <v>Sudeste</v>
      </c>
      <c r="E3293" s="87" t="str">
        <f>Tabela1[[#This Row],[Descrição]]&amp;"-"&amp;Tabela1[[#This Row],[Código]]&amp;"/"&amp;Tabela1[[#This Row],[Origem]]</f>
        <v>Totiranepi-P893P848/RJ</v>
      </c>
      <c r="F3293" s="88">
        <v>47473</v>
      </c>
      <c r="G3293" s="88" t="str" cm="1">
        <f t="array" ref="G32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AND(F3293&gt;= DATE(2026,1,1), F3293&lt;= DATE(2028, 12, 31), J3293&gt;50000), "Pendente e Caro", AND(F3293&gt;= DATE(2026,1,1), F3293&lt;= DATE(2028, 12, 31), J3293&lt;=50000), "Pendente", F3293&gt;= DATE(2029,1,1), "Não prioeitário")</f>
        <v>Não prioeitário</v>
      </c>
      <c r="H3293" s="89">
        <f>YEAR(Tabela1[[#This Row],[Data de Validade]])</f>
        <v>2029</v>
      </c>
      <c r="I3293" s="89">
        <f>MONTH(Tabela1[[#This Row],[Data de Validade]])</f>
        <v>12</v>
      </c>
      <c r="J3293" s="101">
        <v>81516</v>
      </c>
      <c r="K3293" s="87" t="s">
        <v>9</v>
      </c>
      <c r="L3293" s="108"/>
      <c r="M3293" s="108"/>
      <c r="N3293" s="108" t="str">
        <v>H137P867</v>
      </c>
      <c r="O3293" s="108">
        <f t="shared" si="53"/>
        <v>1</v>
      </c>
      <c r="P3293" s="108"/>
      <c r="Q3293"/>
    </row>
    <row r="3294" spans="1:17" x14ac:dyDescent="0.25">
      <c r="A3294" s="89" t="s">
        <v>4126</v>
      </c>
      <c r="B3294" s="87" t="s">
        <v>4127</v>
      </c>
      <c r="C3294" s="87" t="s">
        <v>13</v>
      </c>
      <c r="D3294" s="87" t="str">
        <f>VLOOKUP(Tabela1[[#This Row],[Origem]], 'Perguntas 1 a 24'!$J$28:$K$34, 2, 0)</f>
        <v>Sudeste</v>
      </c>
      <c r="E3294" s="87" t="str">
        <f>Tabela1[[#This Row],[Descrição]]&amp;"-"&amp;Tabela1[[#This Row],[Código]]&amp;"/"&amp;Tabela1[[#This Row],[Origem]]</f>
        <v>Goretigu-H576P423/SP</v>
      </c>
      <c r="F3294" s="88">
        <v>47474</v>
      </c>
      <c r="G3294" s="88" t="str" cm="1">
        <f t="array" ref="G32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AND(F3294&gt;= DATE(2026,1,1), F3294&lt;= DATE(2028, 12, 31), J3294&gt;50000), "Pendente e Caro", AND(F3294&gt;= DATE(2026,1,1), F3294&lt;= DATE(2028, 12, 31), J3294&lt;=50000), "Pendente", F3294&gt;= DATE(2029,1,1), "Não prioeitário")</f>
        <v>Não prioeitário</v>
      </c>
      <c r="H3294" s="89">
        <f>YEAR(Tabela1[[#This Row],[Data de Validade]])</f>
        <v>2029</v>
      </c>
      <c r="I3294" s="89">
        <f>MONTH(Tabela1[[#This Row],[Data de Validade]])</f>
        <v>12</v>
      </c>
      <c r="J3294" s="101">
        <v>78890</v>
      </c>
      <c r="K3294" s="87" t="s">
        <v>11</v>
      </c>
      <c r="L3294" s="108"/>
      <c r="M3294" s="108"/>
      <c r="N3294" s="108" t="str">
        <v>H365P118</v>
      </c>
      <c r="O3294" s="108">
        <f t="shared" si="53"/>
        <v>1</v>
      </c>
      <c r="P3294" s="108"/>
      <c r="Q3294"/>
    </row>
    <row r="3295" spans="1:17" x14ac:dyDescent="0.25">
      <c r="A3295" s="89" t="s">
        <v>8975</v>
      </c>
      <c r="B3295" s="87" t="s">
        <v>8976</v>
      </c>
      <c r="C3295" s="87" t="s">
        <v>6</v>
      </c>
      <c r="D3295" s="87" t="str">
        <f>VLOOKUP(Tabela1[[#This Row],[Origem]], 'Perguntas 1 a 24'!$J$28:$K$34, 2, 0)</f>
        <v>Nordeste</v>
      </c>
      <c r="E3295" s="87" t="str">
        <f>Tabela1[[#This Row],[Descrição]]&amp;"-"&amp;Tabela1[[#This Row],[Código]]&amp;"/"&amp;Tabela1[[#This Row],[Origem]]</f>
        <v>Pitopopago-P872P642/MA</v>
      </c>
      <c r="F3295" s="88">
        <v>47474</v>
      </c>
      <c r="G3295" s="88" t="str" cm="1">
        <f t="array" ref="G32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AND(F3295&gt;= DATE(2026,1,1), F3295&lt;= DATE(2028, 12, 31), J3295&gt;50000), "Pendente e Caro", AND(F3295&gt;= DATE(2026,1,1), F3295&lt;= DATE(2028, 12, 31), J3295&lt;=50000), "Pendente", F3295&gt;= DATE(2029,1,1), "Não prioeitário")</f>
        <v>Não prioeitário</v>
      </c>
      <c r="H3295" s="89">
        <f>YEAR(Tabela1[[#This Row],[Data de Validade]])</f>
        <v>2029</v>
      </c>
      <c r="I3295" s="89">
        <f>MONTH(Tabela1[[#This Row],[Data de Validade]])</f>
        <v>12</v>
      </c>
      <c r="J3295" s="101">
        <v>77096</v>
      </c>
      <c r="K3295" s="87" t="s">
        <v>9</v>
      </c>
      <c r="L3295" s="108"/>
      <c r="M3295" s="108"/>
      <c r="N3295" s="108" t="str">
        <v>P572P459</v>
      </c>
      <c r="O3295" s="108">
        <f t="shared" si="53"/>
        <v>1</v>
      </c>
      <c r="P3295" s="108"/>
      <c r="Q3295"/>
    </row>
    <row r="3296" spans="1:17" x14ac:dyDescent="0.25">
      <c r="A3296" s="89" t="s">
        <v>9139</v>
      </c>
      <c r="B3296" s="87" t="s">
        <v>9140</v>
      </c>
      <c r="C3296" s="87" t="s">
        <v>6</v>
      </c>
      <c r="D3296" s="87" t="str">
        <f>VLOOKUP(Tabela1[[#This Row],[Origem]], 'Perguntas 1 a 24'!$J$28:$K$34, 2, 0)</f>
        <v>Nordeste</v>
      </c>
      <c r="E3296" s="87" t="str">
        <f>Tabela1[[#This Row],[Descrição]]&amp;"-"&amp;Tabela1[[#This Row],[Código]]&amp;"/"&amp;Tabela1[[#This Row],[Origem]]</f>
        <v>Ficavi-H811P698/MA</v>
      </c>
      <c r="F3296" s="88">
        <v>47474</v>
      </c>
      <c r="G3296" s="88" t="str" cm="1">
        <f t="array" ref="G32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AND(F3296&gt;= DATE(2026,1,1), F3296&lt;= DATE(2028, 12, 31), J3296&gt;50000), "Pendente e Caro", AND(F3296&gt;= DATE(2026,1,1), F3296&lt;= DATE(2028, 12, 31), J3296&lt;=50000), "Pendente", F3296&gt;= DATE(2029,1,1), "Não prioeitário")</f>
        <v>Não prioeitário</v>
      </c>
      <c r="H3296" s="89">
        <f>YEAR(Tabela1[[#This Row],[Data de Validade]])</f>
        <v>2029</v>
      </c>
      <c r="I3296" s="89">
        <f>MONTH(Tabela1[[#This Row],[Data de Validade]])</f>
        <v>12</v>
      </c>
      <c r="J3296" s="101">
        <v>65218</v>
      </c>
      <c r="K3296" s="87" t="s">
        <v>14</v>
      </c>
      <c r="L3296" s="108"/>
      <c r="M3296" s="108"/>
      <c r="N3296" s="108" t="str">
        <v>P964P741</v>
      </c>
      <c r="O3296" s="108">
        <f t="shared" si="53"/>
        <v>1</v>
      </c>
      <c r="P3296" s="108"/>
      <c r="Q3296"/>
    </row>
    <row r="3297" spans="1:17" x14ac:dyDescent="0.25">
      <c r="A3297" s="89" t="s">
        <v>4488</v>
      </c>
      <c r="B3297" s="87" t="s">
        <v>4489</v>
      </c>
      <c r="C3297" s="87" t="s">
        <v>13</v>
      </c>
      <c r="D3297" s="87" t="str">
        <f>VLOOKUP(Tabela1[[#This Row],[Origem]], 'Perguntas 1 a 24'!$J$28:$K$34, 2, 0)</f>
        <v>Sudeste</v>
      </c>
      <c r="E3297" s="87" t="str">
        <f>Tabela1[[#This Row],[Descrição]]&amp;"-"&amp;Tabela1[[#This Row],[Código]]&amp;"/"&amp;Tabela1[[#This Row],[Origem]]</f>
        <v>Gipemive-H137P867/SP</v>
      </c>
      <c r="F3297" s="88">
        <v>47475</v>
      </c>
      <c r="G3297" s="88" t="str" cm="1">
        <f t="array" ref="G32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AND(F3297&gt;= DATE(2026,1,1), F3297&lt;= DATE(2028, 12, 31), J3297&gt;50000), "Pendente e Caro", AND(F3297&gt;= DATE(2026,1,1), F3297&lt;= DATE(2028, 12, 31), J3297&lt;=50000), "Pendente", F3297&gt;= DATE(2029,1,1), "Não prioeitário")</f>
        <v>Não prioeitário</v>
      </c>
      <c r="H3297" s="89">
        <f>YEAR(Tabela1[[#This Row],[Data de Validade]])</f>
        <v>2029</v>
      </c>
      <c r="I3297" s="89">
        <f>MONTH(Tabela1[[#This Row],[Data de Validade]])</f>
        <v>12</v>
      </c>
      <c r="J3297" s="101">
        <v>100626</v>
      </c>
      <c r="K3297" s="87" t="s">
        <v>14</v>
      </c>
      <c r="L3297" s="108"/>
      <c r="M3297" s="108"/>
      <c r="N3297" s="108" t="str">
        <v>P838P854</v>
      </c>
      <c r="O3297" s="108">
        <f t="shared" si="53"/>
        <v>1</v>
      </c>
      <c r="P3297" s="108"/>
      <c r="Q3297"/>
    </row>
    <row r="3298" spans="1:17" x14ac:dyDescent="0.25">
      <c r="A3298" s="89" t="s">
        <v>7972</v>
      </c>
      <c r="B3298" s="87" t="s">
        <v>7973</v>
      </c>
      <c r="C3298" s="87" t="s">
        <v>8</v>
      </c>
      <c r="D3298" s="87" t="str">
        <f>VLOOKUP(Tabela1[[#This Row],[Origem]], 'Perguntas 1 a 24'!$J$28:$K$34, 2, 0)</f>
        <v>Nordeste</v>
      </c>
      <c r="E3298" s="87" t="str">
        <f>Tabela1[[#This Row],[Descrição]]&amp;"-"&amp;Tabela1[[#This Row],[Código]]&amp;"/"&amp;Tabela1[[#This Row],[Origem]]</f>
        <v>Notaniramo-H365P118/AL</v>
      </c>
      <c r="F3298" s="88">
        <v>47475</v>
      </c>
      <c r="G3298" s="88" t="str" cm="1">
        <f t="array" ref="G32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AND(F3298&gt;= DATE(2026,1,1), F3298&lt;= DATE(2028, 12, 31), J3298&gt;50000), "Pendente e Caro", AND(F3298&gt;= DATE(2026,1,1), F3298&lt;= DATE(2028, 12, 31), J3298&lt;=50000), "Pendente", F3298&gt;= DATE(2029,1,1), "Não prioeitário")</f>
        <v>Não prioeitário</v>
      </c>
      <c r="H3298" s="89">
        <f>YEAR(Tabela1[[#This Row],[Data de Validade]])</f>
        <v>2029</v>
      </c>
      <c r="I3298" s="89">
        <f>MONTH(Tabela1[[#This Row],[Data de Validade]])</f>
        <v>12</v>
      </c>
      <c r="J3298" s="101">
        <v>76908</v>
      </c>
      <c r="K3298" s="87" t="s">
        <v>11</v>
      </c>
      <c r="L3298" s="108"/>
      <c r="M3298" s="108"/>
      <c r="N3298" s="108" t="str">
        <v>P469P428</v>
      </c>
      <c r="O3298" s="108">
        <f t="shared" si="53"/>
        <v>1</v>
      </c>
      <c r="P3298" s="108"/>
      <c r="Q3298"/>
    </row>
    <row r="3299" spans="1:17" x14ac:dyDescent="0.25">
      <c r="A3299" s="89" t="s">
        <v>3738</v>
      </c>
      <c r="B3299" s="87" t="s">
        <v>3739</v>
      </c>
      <c r="C3299" s="87" t="s">
        <v>12</v>
      </c>
      <c r="D3299" s="87" t="str">
        <f>VLOOKUP(Tabela1[[#This Row],[Origem]], 'Perguntas 1 a 24'!$J$28:$K$34, 2, 0)</f>
        <v>Sudeste</v>
      </c>
      <c r="E3299" s="87" t="str">
        <f>Tabela1[[#This Row],[Descrição]]&amp;"-"&amp;Tabela1[[#This Row],[Código]]&amp;"/"&amp;Tabela1[[#This Row],[Origem]]</f>
        <v>Pafume-P572P459/RJ</v>
      </c>
      <c r="F3299" s="88">
        <v>47475</v>
      </c>
      <c r="G3299" s="88" t="str" cm="1">
        <f t="array" ref="G32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AND(F3299&gt;= DATE(2026,1,1), F3299&lt;= DATE(2028, 12, 31), J3299&gt;50000), "Pendente e Caro", AND(F3299&gt;= DATE(2026,1,1), F3299&lt;= DATE(2028, 12, 31), J3299&lt;=50000), "Pendente", F3299&gt;= DATE(2029,1,1), "Não prioeitário")</f>
        <v>Não prioeitário</v>
      </c>
      <c r="H3299" s="89">
        <f>YEAR(Tabela1[[#This Row],[Data de Validade]])</f>
        <v>2029</v>
      </c>
      <c r="I3299" s="89">
        <f>MONTH(Tabela1[[#This Row],[Data de Validade]])</f>
        <v>12</v>
      </c>
      <c r="J3299" s="101">
        <v>37506</v>
      </c>
      <c r="K3299" s="87" t="s">
        <v>9</v>
      </c>
      <c r="L3299" s="108"/>
      <c r="M3299" s="108"/>
      <c r="N3299" s="108" t="str">
        <v>P354H565</v>
      </c>
      <c r="O3299" s="108">
        <f t="shared" si="53"/>
        <v>1</v>
      </c>
      <c r="P3299" s="108"/>
      <c r="Q3299"/>
    </row>
    <row r="3300" spans="1:17" x14ac:dyDescent="0.25">
      <c r="A3300" s="89" t="s">
        <v>11113</v>
      </c>
      <c r="B3300" s="87" t="s">
        <v>11114</v>
      </c>
      <c r="C3300" s="87" t="s">
        <v>10</v>
      </c>
      <c r="D3300" s="87" t="str">
        <f>VLOOKUP(Tabela1[[#This Row],[Origem]], 'Perguntas 1 a 24'!$J$28:$K$34, 2, 0)</f>
        <v>Centro-Oeste</v>
      </c>
      <c r="E3300" s="87" t="str">
        <f>Tabela1[[#This Row],[Descrição]]&amp;"-"&amp;Tabela1[[#This Row],[Código]]&amp;"/"&amp;Tabela1[[#This Row],[Origem]]</f>
        <v>Tagutogi-P964P741/GO</v>
      </c>
      <c r="F3300" s="88">
        <v>47475</v>
      </c>
      <c r="G3300" s="88" t="str" cm="1">
        <f t="array" ref="G33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AND(F3300&gt;= DATE(2026,1,1), F3300&lt;= DATE(2028, 12, 31), J3300&gt;50000), "Pendente e Caro", AND(F3300&gt;= DATE(2026,1,1), F3300&lt;= DATE(2028, 12, 31), J3300&lt;=50000), "Pendente", F3300&gt;= DATE(2029,1,1), "Não prioeitário")</f>
        <v>Não prioeitário</v>
      </c>
      <c r="H3300" s="89">
        <f>YEAR(Tabela1[[#This Row],[Data de Validade]])</f>
        <v>2029</v>
      </c>
      <c r="I3300" s="89">
        <f>MONTH(Tabela1[[#This Row],[Data de Validade]])</f>
        <v>12</v>
      </c>
      <c r="J3300" s="101">
        <v>34298</v>
      </c>
      <c r="K3300" s="87" t="s">
        <v>9</v>
      </c>
      <c r="L3300" s="108"/>
      <c r="M3300" s="108"/>
      <c r="N3300" s="108" t="str">
        <v>P981H185</v>
      </c>
      <c r="O3300" s="108">
        <f t="shared" si="53"/>
        <v>1</v>
      </c>
      <c r="P3300" s="108"/>
      <c r="Q3300"/>
    </row>
    <row r="3301" spans="1:17" x14ac:dyDescent="0.25">
      <c r="A3301" s="89" t="s">
        <v>3954</v>
      </c>
      <c r="B3301" s="87" t="s">
        <v>3955</v>
      </c>
      <c r="C3301" s="87" t="s">
        <v>15</v>
      </c>
      <c r="D3301" s="87" t="str">
        <f>VLOOKUP(Tabela1[[#This Row],[Origem]], 'Perguntas 1 a 24'!$J$28:$K$34, 2, 0)</f>
        <v>Sudeste</v>
      </c>
      <c r="E3301" s="87" t="str">
        <f>Tabela1[[#This Row],[Descrição]]&amp;"-"&amp;Tabela1[[#This Row],[Código]]&amp;"/"&amp;Tabela1[[#This Row],[Origem]]</f>
        <v>Gofolo-P838P854/ES</v>
      </c>
      <c r="F3301" s="88">
        <v>47476</v>
      </c>
      <c r="G3301" s="88" t="str" cm="1">
        <f t="array" ref="G33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AND(F3301&gt;= DATE(2026,1,1), F3301&lt;= DATE(2028, 12, 31), J3301&gt;50000), "Pendente e Caro", AND(F3301&gt;= DATE(2026,1,1), F3301&lt;= DATE(2028, 12, 31), J3301&lt;=50000), "Pendente", F3301&gt;= DATE(2029,1,1), "Não prioeitário")</f>
        <v>Não prioeitário</v>
      </c>
      <c r="H3301" s="89">
        <f>YEAR(Tabela1[[#This Row],[Data de Validade]])</f>
        <v>2029</v>
      </c>
      <c r="I3301" s="89">
        <f>MONTH(Tabela1[[#This Row],[Data de Validade]])</f>
        <v>12</v>
      </c>
      <c r="J3301" s="101">
        <v>39632</v>
      </c>
      <c r="K3301" s="87" t="s">
        <v>14</v>
      </c>
      <c r="L3301" s="108"/>
      <c r="M3301" s="108"/>
      <c r="N3301" s="108" t="str">
        <v>H229H785</v>
      </c>
      <c r="O3301" s="108">
        <f t="shared" si="53"/>
        <v>1</v>
      </c>
      <c r="P3301" s="108"/>
      <c r="Q3301"/>
    </row>
    <row r="3302" spans="1:17" x14ac:dyDescent="0.25">
      <c r="A3302" s="89" t="s">
        <v>11334</v>
      </c>
      <c r="B3302" s="87" t="s">
        <v>22</v>
      </c>
      <c r="C3302" s="87" t="s">
        <v>12</v>
      </c>
      <c r="D3302" s="87" t="str">
        <f>VLOOKUP(Tabela1[[#This Row],[Origem]], 'Perguntas 1 a 24'!$J$28:$K$34, 2, 0)</f>
        <v>Sudeste</v>
      </c>
      <c r="E3302" s="87" t="str">
        <f>Tabela1[[#This Row],[Descrição]]&amp;"-"&amp;Tabela1[[#This Row],[Código]]&amp;"/"&amp;Tabela1[[#This Row],[Origem]]</f>
        <v>Tipafa-P469P428/RJ</v>
      </c>
      <c r="F3302" s="88">
        <v>47476</v>
      </c>
      <c r="G3302" s="88" t="str" cm="1">
        <f t="array" ref="G33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AND(F3302&gt;= DATE(2026,1,1), F3302&lt;= DATE(2028, 12, 31), J3302&gt;50000), "Pendente e Caro", AND(F3302&gt;= DATE(2026,1,1), F3302&lt;= DATE(2028, 12, 31), J3302&lt;=50000), "Pendente", F3302&gt;= DATE(2029,1,1), "Não prioeitário")</f>
        <v>Não prioeitário</v>
      </c>
      <c r="H3302" s="89">
        <f>YEAR(Tabela1[[#This Row],[Data de Validade]])</f>
        <v>2029</v>
      </c>
      <c r="I3302" s="89">
        <f>MONTH(Tabela1[[#This Row],[Data de Validade]])</f>
        <v>12</v>
      </c>
      <c r="J3302" s="101">
        <v>34974</v>
      </c>
      <c r="K3302" s="87" t="s">
        <v>7</v>
      </c>
      <c r="L3302" s="108"/>
      <c r="M3302" s="108"/>
      <c r="N3302" s="108" t="str">
        <v>P884H564</v>
      </c>
      <c r="O3302" s="108">
        <f t="shared" si="53"/>
        <v>1</v>
      </c>
      <c r="P3302" s="108"/>
      <c r="Q3302"/>
    </row>
    <row r="3303" spans="1:17" x14ac:dyDescent="0.25">
      <c r="A3303" s="89" t="s">
        <v>10353</v>
      </c>
      <c r="B3303" s="87" t="s">
        <v>10354</v>
      </c>
      <c r="C3303" s="87" t="s">
        <v>15</v>
      </c>
      <c r="D3303" s="87" t="str">
        <f>VLOOKUP(Tabela1[[#This Row],[Origem]], 'Perguntas 1 a 24'!$J$28:$K$34, 2, 0)</f>
        <v>Sudeste</v>
      </c>
      <c r="E3303" s="87" t="str">
        <f>Tabela1[[#This Row],[Descrição]]&amp;"-"&amp;Tabela1[[#This Row],[Código]]&amp;"/"&amp;Tabela1[[#This Row],[Origem]]</f>
        <v>Vuvinego-P354H565/ES</v>
      </c>
      <c r="F3303" s="88">
        <v>47477</v>
      </c>
      <c r="G3303" s="88" t="str" cm="1">
        <f t="array" ref="G33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AND(F3303&gt;= DATE(2026,1,1), F3303&lt;= DATE(2028, 12, 31), J3303&gt;50000), "Pendente e Caro", AND(F3303&gt;= DATE(2026,1,1), F3303&lt;= DATE(2028, 12, 31), J3303&lt;=50000), "Pendente", F3303&gt;= DATE(2029,1,1), "Não prioeitário")</f>
        <v>Não prioeitário</v>
      </c>
      <c r="H3303" s="89">
        <f>YEAR(Tabela1[[#This Row],[Data de Validade]])</f>
        <v>2029</v>
      </c>
      <c r="I3303" s="89">
        <f>MONTH(Tabela1[[#This Row],[Data de Validade]])</f>
        <v>12</v>
      </c>
      <c r="J3303" s="101">
        <v>106357</v>
      </c>
      <c r="K3303" s="87" t="s">
        <v>9</v>
      </c>
      <c r="L3303" s="108"/>
      <c r="M3303" s="108"/>
      <c r="N3303" s="108" t="str">
        <v>H724P455</v>
      </c>
      <c r="O3303" s="108">
        <f t="shared" si="53"/>
        <v>1</v>
      </c>
      <c r="P3303" s="108"/>
      <c r="Q3303"/>
    </row>
    <row r="3304" spans="1:17" x14ac:dyDescent="0.25">
      <c r="A3304" s="89" t="s">
        <v>11304</v>
      </c>
      <c r="B3304" s="87" t="s">
        <v>11305</v>
      </c>
      <c r="C3304" s="87" t="s">
        <v>15</v>
      </c>
      <c r="D3304" s="87" t="str">
        <f>VLOOKUP(Tabela1[[#This Row],[Origem]], 'Perguntas 1 a 24'!$J$28:$K$34, 2, 0)</f>
        <v>Sudeste</v>
      </c>
      <c r="E3304" s="87" t="str">
        <f>Tabela1[[#This Row],[Descrição]]&amp;"-"&amp;Tabela1[[#This Row],[Código]]&amp;"/"&amp;Tabela1[[#This Row],[Origem]]</f>
        <v>Piranupu-P981H185/ES</v>
      </c>
      <c r="F3304" s="88">
        <v>47477</v>
      </c>
      <c r="G3304" s="88" t="str" cm="1">
        <f t="array" ref="G33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AND(F3304&gt;= DATE(2026,1,1), F3304&lt;= DATE(2028, 12, 31), J3304&gt;50000), "Pendente e Caro", AND(F3304&gt;= DATE(2026,1,1), F3304&lt;= DATE(2028, 12, 31), J3304&lt;=50000), "Pendente", F3304&gt;= DATE(2029,1,1), "Não prioeitário")</f>
        <v>Não prioeitário</v>
      </c>
      <c r="H3304" s="89">
        <f>YEAR(Tabela1[[#This Row],[Data de Validade]])</f>
        <v>2029</v>
      </c>
      <c r="I3304" s="89">
        <f>MONTH(Tabela1[[#This Row],[Data de Validade]])</f>
        <v>12</v>
      </c>
      <c r="J3304" s="101">
        <v>55280</v>
      </c>
      <c r="K3304" s="87" t="s">
        <v>9</v>
      </c>
      <c r="L3304" s="108"/>
      <c r="M3304" s="108"/>
      <c r="N3304" s="108" t="str">
        <v>H985P337</v>
      </c>
      <c r="O3304" s="108">
        <f t="shared" si="53"/>
        <v>1</v>
      </c>
      <c r="P3304" s="108"/>
      <c r="Q3304"/>
    </row>
    <row r="3305" spans="1:17" x14ac:dyDescent="0.25">
      <c r="A3305" s="89" t="s">
        <v>5322</v>
      </c>
      <c r="B3305" s="87" t="s">
        <v>5323</v>
      </c>
      <c r="C3305" s="87" t="s">
        <v>16</v>
      </c>
      <c r="D3305" s="87" t="str">
        <f>VLOOKUP(Tabela1[[#This Row],[Origem]], 'Perguntas 1 a 24'!$J$28:$K$34, 2, 0)</f>
        <v>Sudeste</v>
      </c>
      <c r="E3305" s="87" t="str">
        <f>Tabela1[[#This Row],[Descrição]]&amp;"-"&amp;Tabela1[[#This Row],[Código]]&amp;"/"&amp;Tabela1[[#This Row],[Origem]]</f>
        <v>Gecopepige-H229H785/MG</v>
      </c>
      <c r="F3305" s="88">
        <v>47477</v>
      </c>
      <c r="G3305" s="88" t="str" cm="1">
        <f t="array" ref="G33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AND(F3305&gt;= DATE(2026,1,1), F3305&lt;= DATE(2028, 12, 31), J3305&gt;50000), "Pendente e Caro", AND(F3305&gt;= DATE(2026,1,1), F3305&lt;= DATE(2028, 12, 31), J3305&lt;=50000), "Pendente", F3305&gt;= DATE(2029,1,1), "Não prioeitário")</f>
        <v>Não prioeitário</v>
      </c>
      <c r="H3305" s="89">
        <f>YEAR(Tabela1[[#This Row],[Data de Validade]])</f>
        <v>2029</v>
      </c>
      <c r="I3305" s="89">
        <f>MONTH(Tabela1[[#This Row],[Data de Validade]])</f>
        <v>12</v>
      </c>
      <c r="J3305" s="101">
        <v>22183</v>
      </c>
      <c r="K3305" s="87" t="s">
        <v>14</v>
      </c>
      <c r="L3305" s="108"/>
      <c r="M3305" s="108"/>
      <c r="N3305" s="108" t="str">
        <v>H847P629</v>
      </c>
      <c r="O3305" s="108">
        <f t="shared" si="53"/>
        <v>1</v>
      </c>
      <c r="P3305" s="108"/>
      <c r="Q3305"/>
    </row>
    <row r="3306" spans="1:17" x14ac:dyDescent="0.25">
      <c r="A3306" s="89" t="s">
        <v>8274</v>
      </c>
      <c r="B3306" s="87" t="s">
        <v>8275</v>
      </c>
      <c r="C3306" s="87" t="s">
        <v>6</v>
      </c>
      <c r="D3306" s="87" t="str">
        <f>VLOOKUP(Tabela1[[#This Row],[Origem]], 'Perguntas 1 a 24'!$J$28:$K$34, 2, 0)</f>
        <v>Nordeste</v>
      </c>
      <c r="E3306" s="87" t="str">
        <f>Tabela1[[#This Row],[Descrição]]&amp;"-"&amp;Tabela1[[#This Row],[Código]]&amp;"/"&amp;Tabela1[[#This Row],[Origem]]</f>
        <v>Lurucera-P884H564/MA</v>
      </c>
      <c r="F3306" s="88">
        <v>47481</v>
      </c>
      <c r="G3306" s="88" t="str" cm="1">
        <f t="array" ref="G33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AND(F3306&gt;= DATE(2026,1,1), F3306&lt;= DATE(2028, 12, 31), J3306&gt;50000), "Pendente e Caro", AND(F3306&gt;= DATE(2026,1,1), F3306&lt;= DATE(2028, 12, 31), J3306&lt;=50000), "Pendente", F3306&gt;= DATE(2029,1,1), "Não prioeitário")</f>
        <v>Não prioeitário</v>
      </c>
      <c r="H3306" s="89">
        <f>YEAR(Tabela1[[#This Row],[Data de Validade]])</f>
        <v>2029</v>
      </c>
      <c r="I3306" s="89">
        <f>MONTH(Tabela1[[#This Row],[Data de Validade]])</f>
        <v>12</v>
      </c>
      <c r="J3306" s="101">
        <v>104797</v>
      </c>
      <c r="K3306" s="87" t="s">
        <v>7</v>
      </c>
      <c r="L3306" s="108"/>
      <c r="M3306" s="108"/>
      <c r="N3306" s="108" t="str">
        <v>P311H427</v>
      </c>
      <c r="O3306" s="108">
        <f t="shared" si="53"/>
        <v>1</v>
      </c>
      <c r="P3306" s="108"/>
      <c r="Q3306"/>
    </row>
    <row r="3307" spans="1:17" x14ac:dyDescent="0.25">
      <c r="A3307" s="89" t="s">
        <v>4467</v>
      </c>
      <c r="B3307" s="87" t="s">
        <v>4468</v>
      </c>
      <c r="C3307" s="87" t="s">
        <v>12</v>
      </c>
      <c r="D3307" s="87" t="str">
        <f>VLOOKUP(Tabela1[[#This Row],[Origem]], 'Perguntas 1 a 24'!$J$28:$K$34, 2, 0)</f>
        <v>Sudeste</v>
      </c>
      <c r="E3307" s="87" t="str">
        <f>Tabela1[[#This Row],[Descrição]]&amp;"-"&amp;Tabela1[[#This Row],[Código]]&amp;"/"&amp;Tabela1[[#This Row],[Origem]]</f>
        <v>Muconedi-H724P455/RJ</v>
      </c>
      <c r="F3307" s="88">
        <v>47481</v>
      </c>
      <c r="G3307" s="88" t="str" cm="1">
        <f t="array" ref="G33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AND(F3307&gt;= DATE(2026,1,1), F3307&lt;= DATE(2028, 12, 31), J3307&gt;50000), "Pendente e Caro", AND(F3307&gt;= DATE(2026,1,1), F3307&lt;= DATE(2028, 12, 31), J3307&lt;=50000), "Pendente", F3307&gt;= DATE(2029,1,1), "Não prioeitário")</f>
        <v>Não prioeitário</v>
      </c>
      <c r="H3307" s="89">
        <f>YEAR(Tabela1[[#This Row],[Data de Validade]])</f>
        <v>2029</v>
      </c>
      <c r="I3307" s="89">
        <f>MONTH(Tabela1[[#This Row],[Data de Validade]])</f>
        <v>12</v>
      </c>
      <c r="J3307" s="101">
        <v>94939</v>
      </c>
      <c r="K3307" s="87" t="s">
        <v>7</v>
      </c>
      <c r="L3307" s="108"/>
      <c r="M3307" s="108"/>
      <c r="N3307" s="108" t="str">
        <v>H864H998</v>
      </c>
      <c r="O3307" s="108">
        <f t="shared" si="53"/>
        <v>1</v>
      </c>
      <c r="P3307" s="108"/>
      <c r="Q3307"/>
    </row>
    <row r="3308" spans="1:17" x14ac:dyDescent="0.25">
      <c r="A3308" s="89" t="s">
        <v>9511</v>
      </c>
      <c r="B3308" s="87" t="s">
        <v>9512</v>
      </c>
      <c r="C3308" s="87" t="s">
        <v>15</v>
      </c>
      <c r="D3308" s="87" t="str">
        <f>VLOOKUP(Tabela1[[#This Row],[Origem]], 'Perguntas 1 a 24'!$J$28:$K$34, 2, 0)</f>
        <v>Sudeste</v>
      </c>
      <c r="E3308" s="87" t="str">
        <f>Tabela1[[#This Row],[Descrição]]&amp;"-"&amp;Tabela1[[#This Row],[Código]]&amp;"/"&amp;Tabela1[[#This Row],[Origem]]</f>
        <v>Pipatela-H985P337/ES</v>
      </c>
      <c r="F3308" s="88">
        <v>47481</v>
      </c>
      <c r="G3308" s="88" t="str" cm="1">
        <f t="array" ref="G33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AND(F3308&gt;= DATE(2026,1,1), F3308&lt;= DATE(2028, 12, 31), J3308&gt;50000), "Pendente e Caro", AND(F3308&gt;= DATE(2026,1,1), F3308&lt;= DATE(2028, 12, 31), J3308&lt;=50000), "Pendente", F3308&gt;= DATE(2029,1,1), "Não prioeitário")</f>
        <v>Não prioeitário</v>
      </c>
      <c r="H3308" s="89">
        <f>YEAR(Tabela1[[#This Row],[Data de Validade]])</f>
        <v>2029</v>
      </c>
      <c r="I3308" s="89">
        <f>MONTH(Tabela1[[#This Row],[Data de Validade]])</f>
        <v>12</v>
      </c>
      <c r="J3308" s="101">
        <v>55493</v>
      </c>
      <c r="K3308" s="87" t="s">
        <v>7</v>
      </c>
      <c r="L3308" s="108"/>
      <c r="M3308" s="108"/>
      <c r="N3308" s="108" t="str">
        <v>H294P857</v>
      </c>
      <c r="O3308" s="108">
        <f t="shared" si="53"/>
        <v>1</v>
      </c>
      <c r="P3308" s="108"/>
      <c r="Q3308"/>
    </row>
    <row r="3309" spans="1:17" x14ac:dyDescent="0.25">
      <c r="A3309" s="89" t="s">
        <v>10805</v>
      </c>
      <c r="B3309" s="87" t="s">
        <v>10806</v>
      </c>
      <c r="C3309" s="87" t="s">
        <v>16</v>
      </c>
      <c r="D3309" s="87" t="str">
        <f>VLOOKUP(Tabela1[[#This Row],[Origem]], 'Perguntas 1 a 24'!$J$28:$K$34, 2, 0)</f>
        <v>Sudeste</v>
      </c>
      <c r="E3309" s="87" t="str">
        <f>Tabela1[[#This Row],[Descrição]]&amp;"-"&amp;Tabela1[[#This Row],[Código]]&amp;"/"&amp;Tabela1[[#This Row],[Origem]]</f>
        <v>Pepileru-H847P629/MG</v>
      </c>
      <c r="F3309" s="88">
        <v>47482</v>
      </c>
      <c r="G3309" s="88" t="str" cm="1">
        <f t="array" ref="G33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AND(F3309&gt;= DATE(2026,1,1), F3309&lt;= DATE(2028, 12, 31), J3309&gt;50000), "Pendente e Caro", AND(F3309&gt;= DATE(2026,1,1), F3309&lt;= DATE(2028, 12, 31), J3309&lt;=50000), "Pendente", F3309&gt;= DATE(2029,1,1), "Não prioeitário")</f>
        <v>Não prioeitário</v>
      </c>
      <c r="H3309" s="89">
        <f>YEAR(Tabela1[[#This Row],[Data de Validade]])</f>
        <v>2029</v>
      </c>
      <c r="I3309" s="89">
        <f>MONTH(Tabela1[[#This Row],[Data de Validade]])</f>
        <v>12</v>
      </c>
      <c r="J3309" s="101">
        <v>114834</v>
      </c>
      <c r="K3309" s="87" t="s">
        <v>14</v>
      </c>
      <c r="L3309" s="108"/>
      <c r="M3309" s="108"/>
      <c r="N3309" s="108" t="str">
        <v>P579P532</v>
      </c>
      <c r="O3309" s="108">
        <f t="shared" si="53"/>
        <v>1</v>
      </c>
      <c r="P3309" s="108"/>
      <c r="Q3309"/>
    </row>
    <row r="3310" spans="1:17" x14ac:dyDescent="0.25">
      <c r="A3310" s="89" t="s">
        <v>6290</v>
      </c>
      <c r="B3310" s="87" t="s">
        <v>6291</v>
      </c>
      <c r="C3310" s="87" t="s">
        <v>8</v>
      </c>
      <c r="D3310" s="87" t="str">
        <f>VLOOKUP(Tabela1[[#This Row],[Origem]], 'Perguntas 1 a 24'!$J$28:$K$34, 2, 0)</f>
        <v>Nordeste</v>
      </c>
      <c r="E3310" s="87" t="str">
        <f>Tabela1[[#This Row],[Descrição]]&amp;"-"&amp;Tabela1[[#This Row],[Código]]&amp;"/"&amp;Tabela1[[#This Row],[Origem]]</f>
        <v>Murenu-P311H427/AL</v>
      </c>
      <c r="F3310" s="88">
        <v>47482</v>
      </c>
      <c r="G3310" s="88" t="str" cm="1">
        <f t="array" ref="G33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AND(F3310&gt;= DATE(2026,1,1), F3310&lt;= DATE(2028, 12, 31), J3310&gt;50000), "Pendente e Caro", AND(F3310&gt;= DATE(2026,1,1), F3310&lt;= DATE(2028, 12, 31), J3310&lt;=50000), "Pendente", F3310&gt;= DATE(2029,1,1), "Não prioeitário")</f>
        <v>Não prioeitário</v>
      </c>
      <c r="H3310" s="89">
        <f>YEAR(Tabela1[[#This Row],[Data de Validade]])</f>
        <v>2029</v>
      </c>
      <c r="I3310" s="89">
        <f>MONTH(Tabela1[[#This Row],[Data de Validade]])</f>
        <v>12</v>
      </c>
      <c r="J3310" s="101">
        <v>87536</v>
      </c>
      <c r="K3310" s="87" t="s">
        <v>11</v>
      </c>
      <c r="L3310" s="108"/>
      <c r="M3310" s="108"/>
      <c r="N3310" s="108" t="str">
        <v>P122P373</v>
      </c>
      <c r="O3310" s="108">
        <f t="shared" si="53"/>
        <v>1</v>
      </c>
      <c r="P3310" s="108"/>
      <c r="Q3310"/>
    </row>
    <row r="3311" spans="1:17" x14ac:dyDescent="0.25">
      <c r="A3311" s="89" t="s">
        <v>11260</v>
      </c>
      <c r="B3311" s="87" t="s">
        <v>11261</v>
      </c>
      <c r="C3311" s="87" t="s">
        <v>12</v>
      </c>
      <c r="D3311" s="87" t="str">
        <f>VLOOKUP(Tabela1[[#This Row],[Origem]], 'Perguntas 1 a 24'!$J$28:$K$34, 2, 0)</f>
        <v>Sudeste</v>
      </c>
      <c r="E3311" s="87" t="str">
        <f>Tabela1[[#This Row],[Descrição]]&amp;"-"&amp;Tabela1[[#This Row],[Código]]&amp;"/"&amp;Tabela1[[#This Row],[Origem]]</f>
        <v>Ruvipi-H864H998/RJ</v>
      </c>
      <c r="F3311" s="88">
        <v>47483</v>
      </c>
      <c r="G3311" s="88" t="str" cm="1">
        <f t="array" ref="G33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AND(F3311&gt;= DATE(2026,1,1), F3311&lt;= DATE(2028, 12, 31), J3311&gt;50000), "Pendente e Caro", AND(F3311&gt;= DATE(2026,1,1), F3311&lt;= DATE(2028, 12, 31), J3311&lt;=50000), "Pendente", F3311&gt;= DATE(2029,1,1), "Não prioeitário")</f>
        <v>Não prioeitário</v>
      </c>
      <c r="H3311" s="89">
        <f>YEAR(Tabela1[[#This Row],[Data de Validade]])</f>
        <v>2029</v>
      </c>
      <c r="I3311" s="89">
        <f>MONTH(Tabela1[[#This Row],[Data de Validade]])</f>
        <v>12</v>
      </c>
      <c r="J3311" s="101">
        <v>64996</v>
      </c>
      <c r="K3311" s="87" t="s">
        <v>7</v>
      </c>
      <c r="L3311" s="108"/>
      <c r="M3311" s="108"/>
      <c r="N3311" s="108" t="str">
        <v>P887P472</v>
      </c>
      <c r="O3311" s="108">
        <f t="shared" si="53"/>
        <v>1</v>
      </c>
      <c r="P3311" s="108"/>
      <c r="Q3311"/>
    </row>
    <row r="3312" spans="1:17" x14ac:dyDescent="0.25">
      <c r="A3312" s="89" t="s">
        <v>10753</v>
      </c>
      <c r="B3312" s="87" t="s">
        <v>10754</v>
      </c>
      <c r="C3312" s="87" t="s">
        <v>12</v>
      </c>
      <c r="D3312" s="87" t="str">
        <f>VLOOKUP(Tabela1[[#This Row],[Origem]], 'Perguntas 1 a 24'!$J$28:$K$34, 2, 0)</f>
        <v>Sudeste</v>
      </c>
      <c r="E3312" s="87" t="str">
        <f>Tabela1[[#This Row],[Descrição]]&amp;"-"&amp;Tabela1[[#This Row],[Código]]&amp;"/"&amp;Tabela1[[#This Row],[Origem]]</f>
        <v>Mupavicu-H294P857/RJ</v>
      </c>
      <c r="F3312" s="88">
        <v>47485</v>
      </c>
      <c r="G3312" s="88" t="str" cm="1">
        <f t="array" ref="G33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AND(F3312&gt;= DATE(2026,1,1), F3312&lt;= DATE(2028, 12, 31), J3312&gt;50000), "Pendente e Caro", AND(F3312&gt;= DATE(2026,1,1), F3312&lt;= DATE(2028, 12, 31), J3312&lt;=50000), "Pendente", F3312&gt;= DATE(2029,1,1), "Não prioeitário")</f>
        <v>Não prioeitário</v>
      </c>
      <c r="H3312" s="89">
        <f>YEAR(Tabela1[[#This Row],[Data de Validade]])</f>
        <v>2030</v>
      </c>
      <c r="I3312" s="89">
        <f>MONTH(Tabela1[[#This Row],[Data de Validade]])</f>
        <v>1</v>
      </c>
      <c r="J3312" s="101">
        <v>65769</v>
      </c>
      <c r="K3312" s="87" t="s">
        <v>11</v>
      </c>
      <c r="L3312" s="108"/>
      <c r="M3312" s="108"/>
      <c r="N3312" s="108" t="str">
        <v>H266H778</v>
      </c>
      <c r="O3312" s="108">
        <f t="shared" si="53"/>
        <v>1</v>
      </c>
      <c r="P3312" s="108"/>
      <c r="Q3312"/>
    </row>
    <row r="3313" spans="1:17" x14ac:dyDescent="0.25">
      <c r="A3313" s="89" t="s">
        <v>8691</v>
      </c>
      <c r="B3313" s="87" t="s">
        <v>8692</v>
      </c>
      <c r="C3313" s="87" t="s">
        <v>6</v>
      </c>
      <c r="D3313" s="87" t="str">
        <f>VLOOKUP(Tabela1[[#This Row],[Origem]], 'Perguntas 1 a 24'!$J$28:$K$34, 2, 0)</f>
        <v>Nordeste</v>
      </c>
      <c r="E3313" s="87" t="str">
        <f>Tabela1[[#This Row],[Descrição]]&amp;"-"&amp;Tabela1[[#This Row],[Código]]&amp;"/"&amp;Tabela1[[#This Row],[Origem]]</f>
        <v>Nerupiga-P579P532/MA</v>
      </c>
      <c r="F3313" s="88">
        <v>47486</v>
      </c>
      <c r="G3313" s="88" t="str" cm="1">
        <f t="array" ref="G33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AND(F3313&gt;= DATE(2026,1,1), F3313&lt;= DATE(2028, 12, 31), J3313&gt;50000), "Pendente e Caro", AND(F3313&gt;= DATE(2026,1,1), F3313&lt;= DATE(2028, 12, 31), J3313&lt;=50000), "Pendente", F3313&gt;= DATE(2029,1,1), "Não prioeitário")</f>
        <v>Não prioeitário</v>
      </c>
      <c r="H3313" s="89">
        <f>YEAR(Tabela1[[#This Row],[Data de Validade]])</f>
        <v>2030</v>
      </c>
      <c r="I3313" s="89">
        <f>MONTH(Tabela1[[#This Row],[Data de Validade]])</f>
        <v>1</v>
      </c>
      <c r="J3313" s="101">
        <v>60962</v>
      </c>
      <c r="K3313" s="87" t="s">
        <v>14</v>
      </c>
      <c r="L3313" s="108"/>
      <c r="M3313" s="108"/>
      <c r="N3313" s="108" t="str">
        <v>H879P718</v>
      </c>
      <c r="O3313" s="108">
        <f t="shared" si="53"/>
        <v>1</v>
      </c>
      <c r="P3313" s="108"/>
      <c r="Q3313"/>
    </row>
    <row r="3314" spans="1:17" x14ac:dyDescent="0.25">
      <c r="A3314" s="89" t="s">
        <v>4435</v>
      </c>
      <c r="B3314" s="87" t="s">
        <v>4436</v>
      </c>
      <c r="C3314" s="87" t="s">
        <v>10</v>
      </c>
      <c r="D3314" s="87" t="str">
        <f>VLOOKUP(Tabela1[[#This Row],[Origem]], 'Perguntas 1 a 24'!$J$28:$K$34, 2, 0)</f>
        <v>Centro-Oeste</v>
      </c>
      <c r="E3314" s="87" t="str">
        <f>Tabela1[[#This Row],[Descrição]]&amp;"-"&amp;Tabela1[[#This Row],[Código]]&amp;"/"&amp;Tabela1[[#This Row],[Origem]]</f>
        <v>Vigeneru-P122P373/GO</v>
      </c>
      <c r="F3314" s="88">
        <v>47487</v>
      </c>
      <c r="G3314" s="88" t="str" cm="1">
        <f t="array" ref="G33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AND(F3314&gt;= DATE(2026,1,1), F3314&lt;= DATE(2028, 12, 31), J3314&gt;50000), "Pendente e Caro", AND(F3314&gt;= DATE(2026,1,1), F3314&lt;= DATE(2028, 12, 31), J3314&lt;=50000), "Pendente", F3314&gt;= DATE(2029,1,1), "Não prioeitário")</f>
        <v>Não prioeitário</v>
      </c>
      <c r="H3314" s="89">
        <f>YEAR(Tabela1[[#This Row],[Data de Validade]])</f>
        <v>2030</v>
      </c>
      <c r="I3314" s="89">
        <f>MONTH(Tabela1[[#This Row],[Data de Validade]])</f>
        <v>1</v>
      </c>
      <c r="J3314" s="101">
        <v>111502</v>
      </c>
      <c r="K3314" s="87" t="s">
        <v>7</v>
      </c>
      <c r="L3314" s="108"/>
      <c r="M3314" s="108"/>
      <c r="N3314" s="108" t="str">
        <v>H727H199</v>
      </c>
      <c r="O3314" s="108">
        <f t="shared" si="53"/>
        <v>1</v>
      </c>
      <c r="P3314" s="108"/>
      <c r="Q3314"/>
    </row>
    <row r="3315" spans="1:17" x14ac:dyDescent="0.25">
      <c r="A3315" s="89" t="s">
        <v>5896</v>
      </c>
      <c r="B3315" s="87" t="s">
        <v>5897</v>
      </c>
      <c r="C3315" s="87" t="s">
        <v>8</v>
      </c>
      <c r="D3315" s="87" t="str">
        <f>VLOOKUP(Tabela1[[#This Row],[Origem]], 'Perguntas 1 a 24'!$J$28:$K$34, 2, 0)</f>
        <v>Nordeste</v>
      </c>
      <c r="E3315" s="87" t="str">
        <f>Tabela1[[#This Row],[Descrição]]&amp;"-"&amp;Tabela1[[#This Row],[Código]]&amp;"/"&amp;Tabela1[[#This Row],[Origem]]</f>
        <v>Marigu-P887P472/AL</v>
      </c>
      <c r="F3315" s="88">
        <v>47487</v>
      </c>
      <c r="G3315" s="88" t="str" cm="1">
        <f t="array" ref="G33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AND(F3315&gt;= DATE(2026,1,1), F3315&lt;= DATE(2028, 12, 31), J3315&gt;50000), "Pendente e Caro", AND(F3315&gt;= DATE(2026,1,1), F3315&lt;= DATE(2028, 12, 31), J3315&lt;=50000), "Pendente", F3315&gt;= DATE(2029,1,1), "Não prioeitário")</f>
        <v>Não prioeitário</v>
      </c>
      <c r="H3315" s="89">
        <f>YEAR(Tabela1[[#This Row],[Data de Validade]])</f>
        <v>2030</v>
      </c>
      <c r="I3315" s="89">
        <f>MONTH(Tabela1[[#This Row],[Data de Validade]])</f>
        <v>1</v>
      </c>
      <c r="J3315" s="101">
        <v>29104</v>
      </c>
      <c r="K3315" s="87" t="s">
        <v>7</v>
      </c>
      <c r="L3315" s="108"/>
      <c r="M3315" s="108"/>
      <c r="N3315" s="108" t="str">
        <v>P631P365</v>
      </c>
      <c r="O3315" s="108">
        <f t="shared" si="53"/>
        <v>1</v>
      </c>
      <c r="P3315" s="108"/>
      <c r="Q3315"/>
    </row>
    <row r="3316" spans="1:17" x14ac:dyDescent="0.25">
      <c r="A3316" s="89" t="s">
        <v>10855</v>
      </c>
      <c r="B3316" s="87" t="s">
        <v>10856</v>
      </c>
      <c r="C3316" s="87" t="s">
        <v>13</v>
      </c>
      <c r="D3316" s="87" t="str">
        <f>VLOOKUP(Tabela1[[#This Row],[Origem]], 'Perguntas 1 a 24'!$J$28:$K$34, 2, 0)</f>
        <v>Sudeste</v>
      </c>
      <c r="E3316" s="87" t="str">
        <f>Tabela1[[#This Row],[Descrição]]&amp;"-"&amp;Tabela1[[#This Row],[Código]]&amp;"/"&amp;Tabela1[[#This Row],[Origem]]</f>
        <v>Lunetotica-H266H778/SP</v>
      </c>
      <c r="F3316" s="88">
        <v>47488</v>
      </c>
      <c r="G3316" s="88" t="str" cm="1">
        <f t="array" ref="G33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AND(F3316&gt;= DATE(2026,1,1), F3316&lt;= DATE(2028, 12, 31), J3316&gt;50000), "Pendente e Caro", AND(F3316&gt;= DATE(2026,1,1), F3316&lt;= DATE(2028, 12, 31), J3316&lt;=50000), "Pendente", F3316&gt;= DATE(2029,1,1), "Não prioeitário")</f>
        <v>Não prioeitário</v>
      </c>
      <c r="H3316" s="89">
        <f>YEAR(Tabela1[[#This Row],[Data de Validade]])</f>
        <v>2030</v>
      </c>
      <c r="I3316" s="89">
        <f>MONTH(Tabela1[[#This Row],[Data de Validade]])</f>
        <v>1</v>
      </c>
      <c r="J3316" s="101">
        <v>111312</v>
      </c>
      <c r="K3316" s="87" t="s">
        <v>14</v>
      </c>
      <c r="L3316" s="108"/>
      <c r="M3316" s="108"/>
      <c r="N3316" s="108" t="str">
        <v>H912P614</v>
      </c>
      <c r="O3316" s="108">
        <f t="shared" si="53"/>
        <v>1</v>
      </c>
      <c r="P3316" s="108"/>
      <c r="Q3316"/>
    </row>
    <row r="3317" spans="1:17" x14ac:dyDescent="0.25">
      <c r="A3317" s="89" t="s">
        <v>5348</v>
      </c>
      <c r="B3317" s="87" t="s">
        <v>5349</v>
      </c>
      <c r="C3317" s="87" t="s">
        <v>6</v>
      </c>
      <c r="D3317" s="87" t="str">
        <f>VLOOKUP(Tabela1[[#This Row],[Origem]], 'Perguntas 1 a 24'!$J$28:$K$34, 2, 0)</f>
        <v>Nordeste</v>
      </c>
      <c r="E3317" s="87" t="str">
        <f>Tabela1[[#This Row],[Descrição]]&amp;"-"&amp;Tabela1[[#This Row],[Código]]&amp;"/"&amp;Tabela1[[#This Row],[Origem]]</f>
        <v>Gopororuco-H879P718/MA</v>
      </c>
      <c r="F3317" s="88">
        <v>47489</v>
      </c>
      <c r="G3317" s="88" t="str" cm="1">
        <f t="array" ref="G33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AND(F3317&gt;= DATE(2026,1,1), F3317&lt;= DATE(2028, 12, 31), J3317&gt;50000), "Pendente e Caro", AND(F3317&gt;= DATE(2026,1,1), F3317&lt;= DATE(2028, 12, 31), J3317&lt;=50000), "Pendente", F3317&gt;= DATE(2029,1,1), "Não prioeitário")</f>
        <v>Não prioeitário</v>
      </c>
      <c r="H3317" s="89">
        <f>YEAR(Tabela1[[#This Row],[Data de Validade]])</f>
        <v>2030</v>
      </c>
      <c r="I3317" s="89">
        <f>MONTH(Tabela1[[#This Row],[Data de Validade]])</f>
        <v>1</v>
      </c>
      <c r="J3317" s="101">
        <v>27232</v>
      </c>
      <c r="K3317" s="87" t="s">
        <v>7</v>
      </c>
      <c r="L3317" s="108"/>
      <c r="M3317" s="108"/>
      <c r="N3317" s="108" t="str">
        <v>P972H556</v>
      </c>
      <c r="O3317" s="108">
        <f t="shared" si="53"/>
        <v>1</v>
      </c>
      <c r="P3317" s="108"/>
      <c r="Q3317"/>
    </row>
    <row r="3318" spans="1:17" x14ac:dyDescent="0.25">
      <c r="A3318" s="89" t="s">
        <v>6888</v>
      </c>
      <c r="B3318" s="87" t="s">
        <v>6889</v>
      </c>
      <c r="C3318" s="87" t="s">
        <v>13</v>
      </c>
      <c r="D3318" s="87" t="str">
        <f>VLOOKUP(Tabela1[[#This Row],[Origem]], 'Perguntas 1 a 24'!$J$28:$K$34, 2, 0)</f>
        <v>Sudeste</v>
      </c>
      <c r="E3318" s="87" t="str">
        <f>Tabela1[[#This Row],[Descrição]]&amp;"-"&amp;Tabela1[[#This Row],[Código]]&amp;"/"&amp;Tabela1[[#This Row],[Origem]]</f>
        <v>Penepate-H727H199/SP</v>
      </c>
      <c r="F3318" s="88">
        <v>47490</v>
      </c>
      <c r="G3318" s="88" t="str" cm="1">
        <f t="array" ref="G33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AND(F3318&gt;= DATE(2026,1,1), F3318&lt;= DATE(2028, 12, 31), J3318&gt;50000), "Pendente e Caro", AND(F3318&gt;= DATE(2026,1,1), F3318&lt;= DATE(2028, 12, 31), J3318&lt;=50000), "Pendente", F3318&gt;= DATE(2029,1,1), "Não prioeitário")</f>
        <v>Não prioeitário</v>
      </c>
      <c r="H3318" s="89">
        <f>YEAR(Tabela1[[#This Row],[Data de Validade]])</f>
        <v>2030</v>
      </c>
      <c r="I3318" s="89">
        <f>MONTH(Tabela1[[#This Row],[Data de Validade]])</f>
        <v>1</v>
      </c>
      <c r="J3318" s="101">
        <v>54749</v>
      </c>
      <c r="K3318" s="87" t="s">
        <v>9</v>
      </c>
      <c r="L3318" s="108"/>
      <c r="M3318" s="108"/>
      <c r="N3318" s="108" t="str">
        <v>H798P598</v>
      </c>
      <c r="O3318" s="108">
        <f t="shared" si="53"/>
        <v>1</v>
      </c>
      <c r="P3318" s="108"/>
      <c r="Q3318"/>
    </row>
    <row r="3319" spans="1:17" x14ac:dyDescent="0.25">
      <c r="A3319" s="89" t="s">
        <v>9787</v>
      </c>
      <c r="B3319" s="87" t="s">
        <v>9788</v>
      </c>
      <c r="C3319" s="87" t="s">
        <v>8</v>
      </c>
      <c r="D3319" s="87" t="str">
        <f>VLOOKUP(Tabela1[[#This Row],[Origem]], 'Perguntas 1 a 24'!$J$28:$K$34, 2, 0)</f>
        <v>Nordeste</v>
      </c>
      <c r="E3319" s="87" t="str">
        <f>Tabela1[[#This Row],[Descrição]]&amp;"-"&amp;Tabela1[[#This Row],[Código]]&amp;"/"&amp;Tabela1[[#This Row],[Origem]]</f>
        <v>Nirarepi-P631P365/AL</v>
      </c>
      <c r="F3319" s="88">
        <v>47491</v>
      </c>
      <c r="G3319" s="88" t="str" cm="1">
        <f t="array" ref="G33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AND(F3319&gt;= DATE(2026,1,1), F3319&lt;= DATE(2028, 12, 31), J3319&gt;50000), "Pendente e Caro", AND(F3319&gt;= DATE(2026,1,1), F3319&lt;= DATE(2028, 12, 31), J3319&lt;=50000), "Pendente", F3319&gt;= DATE(2029,1,1), "Não prioeitário")</f>
        <v>Não prioeitário</v>
      </c>
      <c r="H3319" s="89">
        <f>YEAR(Tabela1[[#This Row],[Data de Validade]])</f>
        <v>2030</v>
      </c>
      <c r="I3319" s="89">
        <f>MONTH(Tabela1[[#This Row],[Data de Validade]])</f>
        <v>1</v>
      </c>
      <c r="J3319" s="101">
        <v>77205</v>
      </c>
      <c r="K3319" s="87" t="s">
        <v>11</v>
      </c>
      <c r="L3319" s="108"/>
      <c r="M3319" s="108"/>
      <c r="N3319" s="108" t="str">
        <v>P475P597</v>
      </c>
      <c r="O3319" s="108">
        <f t="shared" si="53"/>
        <v>1</v>
      </c>
      <c r="P3319" s="108"/>
      <c r="Q3319"/>
    </row>
    <row r="3320" spans="1:17" x14ac:dyDescent="0.25">
      <c r="A3320" s="89" t="s">
        <v>4195</v>
      </c>
      <c r="B3320" s="87" t="s">
        <v>4196</v>
      </c>
      <c r="C3320" s="87" t="s">
        <v>6</v>
      </c>
      <c r="D3320" s="87" t="str">
        <f>VLOOKUP(Tabela1[[#This Row],[Origem]], 'Perguntas 1 a 24'!$J$28:$K$34, 2, 0)</f>
        <v>Nordeste</v>
      </c>
      <c r="E3320" s="87" t="str">
        <f>Tabela1[[#This Row],[Descrição]]&amp;"-"&amp;Tabela1[[#This Row],[Código]]&amp;"/"&amp;Tabela1[[#This Row],[Origem]]</f>
        <v>Tepamo-H912P614/MA</v>
      </c>
      <c r="F3320" s="88">
        <v>47492</v>
      </c>
      <c r="G3320" s="88" t="str" cm="1">
        <f t="array" ref="G33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AND(F3320&gt;= DATE(2026,1,1), F3320&lt;= DATE(2028, 12, 31), J3320&gt;50000), "Pendente e Caro", AND(F3320&gt;= DATE(2026,1,1), F3320&lt;= DATE(2028, 12, 31), J3320&lt;=50000), "Pendente", F3320&gt;= DATE(2029,1,1), "Não prioeitário")</f>
        <v>Não prioeitário</v>
      </c>
      <c r="H3320" s="89">
        <f>YEAR(Tabela1[[#This Row],[Data de Validade]])</f>
        <v>2030</v>
      </c>
      <c r="I3320" s="89">
        <f>MONTH(Tabela1[[#This Row],[Data de Validade]])</f>
        <v>1</v>
      </c>
      <c r="J3320" s="101">
        <v>116283</v>
      </c>
      <c r="K3320" s="87" t="s">
        <v>14</v>
      </c>
      <c r="L3320" s="108"/>
      <c r="M3320" s="108"/>
      <c r="N3320" s="108" t="str">
        <v>P114P424</v>
      </c>
      <c r="O3320" s="108">
        <f t="shared" si="53"/>
        <v>1</v>
      </c>
      <c r="P3320" s="108"/>
      <c r="Q3320"/>
    </row>
    <row r="3321" spans="1:17" x14ac:dyDescent="0.25">
      <c r="A3321" s="89" t="s">
        <v>6238</v>
      </c>
      <c r="B3321" s="87" t="s">
        <v>6239</v>
      </c>
      <c r="C3321" s="87" t="s">
        <v>6</v>
      </c>
      <c r="D3321" s="87" t="str">
        <f>VLOOKUP(Tabela1[[#This Row],[Origem]], 'Perguntas 1 a 24'!$J$28:$K$34, 2, 0)</f>
        <v>Nordeste</v>
      </c>
      <c r="E3321" s="87" t="str">
        <f>Tabela1[[#This Row],[Descrição]]&amp;"-"&amp;Tabela1[[#This Row],[Código]]&amp;"/"&amp;Tabela1[[#This Row],[Origem]]</f>
        <v>Vicolaraga-P972H556/MA</v>
      </c>
      <c r="F3321" s="88">
        <v>47493</v>
      </c>
      <c r="G3321" s="88" t="str" cm="1">
        <f t="array" ref="G33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AND(F3321&gt;= DATE(2026,1,1), F3321&lt;= DATE(2028, 12, 31), J3321&gt;50000), "Pendente e Caro", AND(F3321&gt;= DATE(2026,1,1), F3321&lt;= DATE(2028, 12, 31), J3321&lt;=50000), "Pendente", F3321&gt;= DATE(2029,1,1), "Não prioeitário")</f>
        <v>Não prioeitário</v>
      </c>
      <c r="H3321" s="89">
        <f>YEAR(Tabela1[[#This Row],[Data de Validade]])</f>
        <v>2030</v>
      </c>
      <c r="I3321" s="89">
        <f>MONTH(Tabela1[[#This Row],[Data de Validade]])</f>
        <v>1</v>
      </c>
      <c r="J3321" s="101">
        <v>26245</v>
      </c>
      <c r="K3321" s="87" t="s">
        <v>11</v>
      </c>
      <c r="L3321" s="108"/>
      <c r="M3321" s="108"/>
      <c r="N3321" s="108" t="str">
        <v>H762P297</v>
      </c>
      <c r="O3321" s="108">
        <f t="shared" si="53"/>
        <v>1</v>
      </c>
      <c r="P3321" s="108"/>
      <c r="Q3321"/>
    </row>
    <row r="3322" spans="1:17" x14ac:dyDescent="0.25">
      <c r="A3322" s="89" t="s">
        <v>3792</v>
      </c>
      <c r="B3322" s="87" t="s">
        <v>3793</v>
      </c>
      <c r="C3322" s="87" t="s">
        <v>10</v>
      </c>
      <c r="D3322" s="87" t="str">
        <f>VLOOKUP(Tabela1[[#This Row],[Origem]], 'Perguntas 1 a 24'!$J$28:$K$34, 2, 0)</f>
        <v>Centro-Oeste</v>
      </c>
      <c r="E3322" s="87" t="str">
        <f>Tabela1[[#This Row],[Descrição]]&amp;"-"&amp;Tabela1[[#This Row],[Código]]&amp;"/"&amp;Tabela1[[#This Row],[Origem]]</f>
        <v>Vopufotopa-H798P598/GO</v>
      </c>
      <c r="F3322" s="88">
        <v>47494</v>
      </c>
      <c r="G3322" s="88" t="str" cm="1">
        <f t="array" ref="G33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AND(F3322&gt;= DATE(2026,1,1), F3322&lt;= DATE(2028, 12, 31), J3322&gt;50000), "Pendente e Caro", AND(F3322&gt;= DATE(2026,1,1), F3322&lt;= DATE(2028, 12, 31), J3322&lt;=50000), "Pendente", F3322&gt;= DATE(2029,1,1), "Não prioeitário")</f>
        <v>Não prioeitário</v>
      </c>
      <c r="H3322" s="89">
        <f>YEAR(Tabela1[[#This Row],[Data de Validade]])</f>
        <v>2030</v>
      </c>
      <c r="I3322" s="89">
        <f>MONTH(Tabela1[[#This Row],[Data de Validade]])</f>
        <v>1</v>
      </c>
      <c r="J3322" s="101">
        <v>67650</v>
      </c>
      <c r="K3322" s="87" t="s">
        <v>11</v>
      </c>
      <c r="L3322" s="108"/>
      <c r="M3322" s="108"/>
      <c r="N3322" s="108" t="str">
        <v>H921P173</v>
      </c>
      <c r="O3322" s="108">
        <f t="shared" si="53"/>
        <v>1</v>
      </c>
      <c r="P3322" s="108"/>
      <c r="Q3322"/>
    </row>
    <row r="3323" spans="1:17" x14ac:dyDescent="0.25">
      <c r="A3323" s="89" t="s">
        <v>5918</v>
      </c>
      <c r="B3323" s="87" t="s">
        <v>5919</v>
      </c>
      <c r="C3323" s="87" t="s">
        <v>8</v>
      </c>
      <c r="D3323" s="87" t="str">
        <f>VLOOKUP(Tabela1[[#This Row],[Origem]], 'Perguntas 1 a 24'!$J$28:$K$34, 2, 0)</f>
        <v>Nordeste</v>
      </c>
      <c r="E3323" s="87" t="str">
        <f>Tabela1[[#This Row],[Descrição]]&amp;"-"&amp;Tabela1[[#This Row],[Código]]&amp;"/"&amp;Tabela1[[#This Row],[Origem]]</f>
        <v>Retorareri-P475P597/AL</v>
      </c>
      <c r="F3323" s="88">
        <v>47494</v>
      </c>
      <c r="G3323" s="88" t="str" cm="1">
        <f t="array" ref="G33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AND(F3323&gt;= DATE(2026,1,1), F3323&lt;= DATE(2028, 12, 31), J3323&gt;50000), "Pendente e Caro", AND(F3323&gt;= DATE(2026,1,1), F3323&lt;= DATE(2028, 12, 31), J3323&lt;=50000), "Pendente", F3323&gt;= DATE(2029,1,1), "Não prioeitário")</f>
        <v>Não prioeitário</v>
      </c>
      <c r="H3323" s="89">
        <f>YEAR(Tabela1[[#This Row],[Data de Validade]])</f>
        <v>2030</v>
      </c>
      <c r="I3323" s="89">
        <f>MONTH(Tabela1[[#This Row],[Data de Validade]])</f>
        <v>1</v>
      </c>
      <c r="J3323" s="101">
        <v>34256</v>
      </c>
      <c r="K3323" s="87" t="s">
        <v>11</v>
      </c>
      <c r="L3323" s="108"/>
      <c r="M3323" s="108"/>
      <c r="N3323" s="108" t="str">
        <v>H769P359</v>
      </c>
      <c r="O3323" s="108">
        <f t="shared" si="53"/>
        <v>1</v>
      </c>
      <c r="P3323" s="108"/>
      <c r="Q3323"/>
    </row>
    <row r="3324" spans="1:17" x14ac:dyDescent="0.25">
      <c r="A3324" s="89" t="s">
        <v>11044</v>
      </c>
      <c r="B3324" s="87" t="s">
        <v>11045</v>
      </c>
      <c r="C3324" s="87" t="s">
        <v>16</v>
      </c>
      <c r="D3324" s="87" t="str">
        <f>VLOOKUP(Tabela1[[#This Row],[Origem]], 'Perguntas 1 a 24'!$J$28:$K$34, 2, 0)</f>
        <v>Sudeste</v>
      </c>
      <c r="E3324" s="87" t="str">
        <f>Tabela1[[#This Row],[Descrição]]&amp;"-"&amp;Tabela1[[#This Row],[Código]]&amp;"/"&amp;Tabela1[[#This Row],[Origem]]</f>
        <v>Pedeca-P114P424/MG</v>
      </c>
      <c r="F3324" s="88">
        <v>47495</v>
      </c>
      <c r="G3324" s="88" t="str" cm="1">
        <f t="array" ref="G33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AND(F3324&gt;= DATE(2026,1,1), F3324&lt;= DATE(2028, 12, 31), J3324&gt;50000), "Pendente e Caro", AND(F3324&gt;= DATE(2026,1,1), F3324&lt;= DATE(2028, 12, 31), J3324&lt;=50000), "Pendente", F3324&gt;= DATE(2029,1,1), "Não prioeitário")</f>
        <v>Não prioeitário</v>
      </c>
      <c r="H3324" s="89">
        <f>YEAR(Tabela1[[#This Row],[Data de Validade]])</f>
        <v>2030</v>
      </c>
      <c r="I3324" s="89">
        <f>MONTH(Tabela1[[#This Row],[Data de Validade]])</f>
        <v>1</v>
      </c>
      <c r="J3324" s="101">
        <v>20585</v>
      </c>
      <c r="K3324" s="87" t="s">
        <v>11</v>
      </c>
      <c r="L3324" s="108"/>
      <c r="M3324" s="108"/>
      <c r="N3324" s="108" t="str">
        <v>H136P618</v>
      </c>
      <c r="O3324" s="108">
        <f t="shared" si="53"/>
        <v>1</v>
      </c>
      <c r="P3324" s="108"/>
      <c r="Q3324"/>
    </row>
    <row r="3325" spans="1:17" x14ac:dyDescent="0.25">
      <c r="A3325" s="89" t="s">
        <v>8935</v>
      </c>
      <c r="B3325" s="87" t="s">
        <v>8936</v>
      </c>
      <c r="C3325" s="87" t="s">
        <v>10</v>
      </c>
      <c r="D3325" s="87" t="str">
        <f>VLOOKUP(Tabela1[[#This Row],[Origem]], 'Perguntas 1 a 24'!$J$28:$K$34, 2, 0)</f>
        <v>Centro-Oeste</v>
      </c>
      <c r="E3325" s="87" t="str">
        <f>Tabela1[[#This Row],[Descrição]]&amp;"-"&amp;Tabela1[[#This Row],[Código]]&amp;"/"&amp;Tabela1[[#This Row],[Origem]]</f>
        <v>Nicateca-H762P297/GO</v>
      </c>
      <c r="F3325" s="88">
        <v>47496</v>
      </c>
      <c r="G3325" s="88" t="str" cm="1">
        <f t="array" ref="G33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AND(F3325&gt;= DATE(2026,1,1), F3325&lt;= DATE(2028, 12, 31), J3325&gt;50000), "Pendente e Caro", AND(F3325&gt;= DATE(2026,1,1), F3325&lt;= DATE(2028, 12, 31), J3325&lt;=50000), "Pendente", F3325&gt;= DATE(2029,1,1), "Não prioeitário")</f>
        <v>Não prioeitário</v>
      </c>
      <c r="H3325" s="89">
        <f>YEAR(Tabela1[[#This Row],[Data de Validade]])</f>
        <v>2030</v>
      </c>
      <c r="I3325" s="89">
        <f>MONTH(Tabela1[[#This Row],[Data de Validade]])</f>
        <v>1</v>
      </c>
      <c r="J3325" s="101">
        <v>47276</v>
      </c>
      <c r="K3325" s="87" t="s">
        <v>7</v>
      </c>
      <c r="L3325" s="108"/>
      <c r="M3325" s="108"/>
      <c r="N3325" s="108" t="str">
        <v>P922H577</v>
      </c>
      <c r="O3325" s="108">
        <f t="shared" si="53"/>
        <v>1</v>
      </c>
      <c r="P3325" s="108"/>
      <c r="Q3325"/>
    </row>
    <row r="3326" spans="1:17" x14ac:dyDescent="0.25">
      <c r="A3326" s="89" t="s">
        <v>9333</v>
      </c>
      <c r="B3326" s="87" t="s">
        <v>9334</v>
      </c>
      <c r="C3326" s="87" t="s">
        <v>6</v>
      </c>
      <c r="D3326" s="87" t="str">
        <f>VLOOKUP(Tabela1[[#This Row],[Origem]], 'Perguntas 1 a 24'!$J$28:$K$34, 2, 0)</f>
        <v>Nordeste</v>
      </c>
      <c r="E3326" s="87" t="str">
        <f>Tabela1[[#This Row],[Descrição]]&amp;"-"&amp;Tabela1[[#This Row],[Código]]&amp;"/"&amp;Tabela1[[#This Row],[Origem]]</f>
        <v>Lipidadene-H921P173/MA</v>
      </c>
      <c r="F3326" s="88">
        <v>47497</v>
      </c>
      <c r="G3326" s="88" t="str" cm="1">
        <f t="array" ref="G33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AND(F3326&gt;= DATE(2026,1,1), F3326&lt;= DATE(2028, 12, 31), J3326&gt;50000), "Pendente e Caro", AND(F3326&gt;= DATE(2026,1,1), F3326&lt;= DATE(2028, 12, 31), J3326&lt;=50000), "Pendente", F3326&gt;= DATE(2029,1,1), "Não prioeitário")</f>
        <v>Não prioeitário</v>
      </c>
      <c r="H3326" s="89">
        <f>YEAR(Tabela1[[#This Row],[Data de Validade]])</f>
        <v>2030</v>
      </c>
      <c r="I3326" s="89">
        <f>MONTH(Tabela1[[#This Row],[Data de Validade]])</f>
        <v>1</v>
      </c>
      <c r="J3326" s="101">
        <v>66088</v>
      </c>
      <c r="K3326" s="87" t="s">
        <v>11</v>
      </c>
      <c r="L3326" s="108"/>
      <c r="M3326" s="108"/>
      <c r="N3326" s="108" t="str">
        <v>P727P385</v>
      </c>
      <c r="O3326" s="108">
        <f t="shared" si="53"/>
        <v>1</v>
      </c>
      <c r="P3326" s="108"/>
      <c r="Q3326"/>
    </row>
    <row r="3327" spans="1:17" x14ac:dyDescent="0.25">
      <c r="A3327" s="89" t="s">
        <v>5656</v>
      </c>
      <c r="B3327" s="87" t="s">
        <v>5657</v>
      </c>
      <c r="C3327" s="87" t="s">
        <v>12</v>
      </c>
      <c r="D3327" s="87" t="str">
        <f>VLOOKUP(Tabela1[[#This Row],[Origem]], 'Perguntas 1 a 24'!$J$28:$K$34, 2, 0)</f>
        <v>Sudeste</v>
      </c>
      <c r="E3327" s="87" t="str">
        <f>Tabela1[[#This Row],[Descrição]]&amp;"-"&amp;Tabela1[[#This Row],[Código]]&amp;"/"&amp;Tabela1[[#This Row],[Origem]]</f>
        <v>Parofo-H769P359/RJ</v>
      </c>
      <c r="F3327" s="88">
        <v>47498</v>
      </c>
      <c r="G3327" s="88" t="str" cm="1">
        <f t="array" ref="G33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AND(F3327&gt;= DATE(2026,1,1), F3327&lt;= DATE(2028, 12, 31), J3327&gt;50000), "Pendente e Caro", AND(F3327&gt;= DATE(2026,1,1), F3327&lt;= DATE(2028, 12, 31), J3327&lt;=50000), "Pendente", F3327&gt;= DATE(2029,1,1), "Não prioeitário")</f>
        <v>Não prioeitário</v>
      </c>
      <c r="H3327" s="89">
        <f>YEAR(Tabela1[[#This Row],[Data de Validade]])</f>
        <v>2030</v>
      </c>
      <c r="I3327" s="89">
        <f>MONTH(Tabela1[[#This Row],[Data de Validade]])</f>
        <v>1</v>
      </c>
      <c r="J3327" s="101">
        <v>114311</v>
      </c>
      <c r="K3327" s="87" t="s">
        <v>14</v>
      </c>
      <c r="L3327" s="108"/>
      <c r="M3327" s="108"/>
      <c r="N3327" s="108" t="str">
        <v>H243H153</v>
      </c>
      <c r="O3327" s="108">
        <f t="shared" si="53"/>
        <v>1</v>
      </c>
      <c r="P3327" s="108"/>
      <c r="Q3327"/>
    </row>
    <row r="3328" spans="1:17" x14ac:dyDescent="0.25">
      <c r="A3328" s="89" t="s">
        <v>5064</v>
      </c>
      <c r="B3328" s="87" t="s">
        <v>5065</v>
      </c>
      <c r="C3328" s="87" t="s">
        <v>10</v>
      </c>
      <c r="D3328" s="87" t="str">
        <f>VLOOKUP(Tabela1[[#This Row],[Origem]], 'Perguntas 1 a 24'!$J$28:$K$34, 2, 0)</f>
        <v>Centro-Oeste</v>
      </c>
      <c r="E3328" s="87" t="str">
        <f>Tabela1[[#This Row],[Descrição]]&amp;"-"&amp;Tabela1[[#This Row],[Código]]&amp;"/"&amp;Tabela1[[#This Row],[Origem]]</f>
        <v>Repupedoce-H136P618/GO</v>
      </c>
      <c r="F3328" s="88">
        <v>47499</v>
      </c>
      <c r="G3328" s="88" t="str" cm="1">
        <f t="array" ref="G33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AND(F3328&gt;= DATE(2026,1,1), F3328&lt;= DATE(2028, 12, 31), J3328&gt;50000), "Pendente e Caro", AND(F3328&gt;= DATE(2026,1,1), F3328&lt;= DATE(2028, 12, 31), J3328&lt;=50000), "Pendente", F3328&gt;= DATE(2029,1,1), "Não prioeitário")</f>
        <v>Não prioeitário</v>
      </c>
      <c r="H3328" s="89">
        <f>YEAR(Tabela1[[#This Row],[Data de Validade]])</f>
        <v>2030</v>
      </c>
      <c r="I3328" s="89">
        <f>MONTH(Tabela1[[#This Row],[Data de Validade]])</f>
        <v>1</v>
      </c>
      <c r="J3328" s="101">
        <v>71486</v>
      </c>
      <c r="K3328" s="87" t="s">
        <v>14</v>
      </c>
      <c r="L3328" s="108"/>
      <c r="M3328" s="108"/>
      <c r="N3328" s="108" t="str">
        <v>P585H694</v>
      </c>
      <c r="O3328" s="108">
        <f t="shared" si="53"/>
        <v>1</v>
      </c>
      <c r="P3328" s="108"/>
      <c r="Q3328"/>
    </row>
    <row r="3329" spans="1:17" x14ac:dyDescent="0.25">
      <c r="A3329" s="89" t="s">
        <v>4868</v>
      </c>
      <c r="B3329" s="87" t="s">
        <v>4869</v>
      </c>
      <c r="C3329" s="87" t="s">
        <v>13</v>
      </c>
      <c r="D3329" s="87" t="str">
        <f>VLOOKUP(Tabela1[[#This Row],[Origem]], 'Perguntas 1 a 24'!$J$28:$K$34, 2, 0)</f>
        <v>Sudeste</v>
      </c>
      <c r="E3329" s="87" t="str">
        <f>Tabela1[[#This Row],[Descrição]]&amp;"-"&amp;Tabela1[[#This Row],[Código]]&amp;"/"&amp;Tabela1[[#This Row],[Origem]]</f>
        <v>Metamipo-P922H577/SP</v>
      </c>
      <c r="F3329" s="88">
        <v>47500</v>
      </c>
      <c r="G3329" s="88" t="str" cm="1">
        <f t="array" ref="G33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AND(F3329&gt;= DATE(2026,1,1), F3329&lt;= DATE(2028, 12, 31), J3329&gt;50000), "Pendente e Caro", AND(F3329&gt;= DATE(2026,1,1), F3329&lt;= DATE(2028, 12, 31), J3329&lt;=50000), "Pendente", F3329&gt;= DATE(2029,1,1), "Não prioeitário")</f>
        <v>Não prioeitário</v>
      </c>
      <c r="H3329" s="89">
        <f>YEAR(Tabela1[[#This Row],[Data de Validade]])</f>
        <v>2030</v>
      </c>
      <c r="I3329" s="89">
        <f>MONTH(Tabela1[[#This Row],[Data de Validade]])</f>
        <v>1</v>
      </c>
      <c r="J3329" s="101">
        <v>100547</v>
      </c>
      <c r="K3329" s="87" t="s">
        <v>11</v>
      </c>
      <c r="L3329" s="108"/>
      <c r="M3329" s="108"/>
      <c r="N3329" s="108" t="str">
        <v>H826P368</v>
      </c>
      <c r="O3329" s="108">
        <f t="shared" si="53"/>
        <v>1</v>
      </c>
      <c r="P3329" s="108"/>
      <c r="Q3329"/>
    </row>
    <row r="3330" spans="1:17" x14ac:dyDescent="0.25">
      <c r="A3330" s="89" t="s">
        <v>5216</v>
      </c>
      <c r="B3330" s="87" t="s">
        <v>5217</v>
      </c>
      <c r="C3330" s="87" t="s">
        <v>13</v>
      </c>
      <c r="D3330" s="87" t="str">
        <f>VLOOKUP(Tabela1[[#This Row],[Origem]], 'Perguntas 1 a 24'!$J$28:$K$34, 2, 0)</f>
        <v>Sudeste</v>
      </c>
      <c r="E3330" s="87" t="str">
        <f>Tabela1[[#This Row],[Descrição]]&amp;"-"&amp;Tabela1[[#This Row],[Código]]&amp;"/"&amp;Tabela1[[#This Row],[Origem]]</f>
        <v>Tivopopo-P727P385/SP</v>
      </c>
      <c r="F3330" s="88">
        <v>47500</v>
      </c>
      <c r="G3330" s="88" t="str" cm="1">
        <f t="array" ref="G33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AND(F3330&gt;= DATE(2026,1,1), F3330&lt;= DATE(2028, 12, 31), J3330&gt;50000), "Pendente e Caro", AND(F3330&gt;= DATE(2026,1,1), F3330&lt;= DATE(2028, 12, 31), J3330&lt;=50000), "Pendente", F3330&gt;= DATE(2029,1,1), "Não prioeitário")</f>
        <v>Não prioeitário</v>
      </c>
      <c r="H3330" s="89">
        <f>YEAR(Tabela1[[#This Row],[Data de Validade]])</f>
        <v>2030</v>
      </c>
      <c r="I3330" s="89">
        <f>MONTH(Tabela1[[#This Row],[Data de Validade]])</f>
        <v>1</v>
      </c>
      <c r="J3330" s="101">
        <v>89502</v>
      </c>
      <c r="K3330" s="87" t="s">
        <v>14</v>
      </c>
      <c r="L3330" s="108"/>
      <c r="M3330" s="108"/>
      <c r="N3330" s="108" t="str">
        <v>H224P217</v>
      </c>
      <c r="O3330" s="108">
        <f t="shared" si="53"/>
        <v>1</v>
      </c>
      <c r="P3330" s="108"/>
      <c r="Q3330"/>
    </row>
    <row r="3331" spans="1:17" x14ac:dyDescent="0.25">
      <c r="A3331" s="89" t="s">
        <v>11030</v>
      </c>
      <c r="B3331" s="87" t="s">
        <v>11031</v>
      </c>
      <c r="C3331" s="87" t="s">
        <v>10</v>
      </c>
      <c r="D3331" s="87" t="str">
        <f>VLOOKUP(Tabela1[[#This Row],[Origem]], 'Perguntas 1 a 24'!$J$28:$K$34, 2, 0)</f>
        <v>Centro-Oeste</v>
      </c>
      <c r="E3331" s="87" t="str">
        <f>Tabela1[[#This Row],[Descrição]]&amp;"-"&amp;Tabela1[[#This Row],[Código]]&amp;"/"&amp;Tabela1[[#This Row],[Origem]]</f>
        <v>Forepu-H243H153/GO</v>
      </c>
      <c r="F3331" s="88">
        <v>47500</v>
      </c>
      <c r="G3331" s="88" t="str" cm="1">
        <f t="array" ref="G33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AND(F3331&gt;= DATE(2026,1,1), F3331&lt;= DATE(2028, 12, 31), J3331&gt;50000), "Pendente e Caro", AND(F3331&gt;= DATE(2026,1,1), F3331&lt;= DATE(2028, 12, 31), J3331&lt;=50000), "Pendente", F3331&gt;= DATE(2029,1,1), "Não prioeitário")</f>
        <v>Não prioeitário</v>
      </c>
      <c r="H3331" s="89">
        <f>YEAR(Tabela1[[#This Row],[Data de Validade]])</f>
        <v>2030</v>
      </c>
      <c r="I3331" s="89">
        <f>MONTH(Tabela1[[#This Row],[Data de Validade]])</f>
        <v>1</v>
      </c>
      <c r="J3331" s="101">
        <v>75219</v>
      </c>
      <c r="K3331" s="87" t="s">
        <v>11</v>
      </c>
      <c r="L3331" s="108"/>
      <c r="M3331" s="108"/>
      <c r="N3331" s="108" t="str">
        <v>H667H838</v>
      </c>
      <c r="O3331" s="108">
        <f t="shared" ref="O3331:O3394" si="54">COUNTIFS(B:B,N3331)</f>
        <v>1</v>
      </c>
      <c r="P3331" s="108"/>
      <c r="Q3331"/>
    </row>
    <row r="3332" spans="1:17" x14ac:dyDescent="0.25">
      <c r="A3332" s="89" t="s">
        <v>9285</v>
      </c>
      <c r="B3332" s="87" t="s">
        <v>9286</v>
      </c>
      <c r="C3332" s="87" t="s">
        <v>15</v>
      </c>
      <c r="D3332" s="87" t="str">
        <f>VLOOKUP(Tabela1[[#This Row],[Origem]], 'Perguntas 1 a 24'!$J$28:$K$34, 2, 0)</f>
        <v>Sudeste</v>
      </c>
      <c r="E3332" s="87" t="str">
        <f>Tabela1[[#This Row],[Descrição]]&amp;"-"&amp;Tabela1[[#This Row],[Código]]&amp;"/"&amp;Tabela1[[#This Row],[Origem]]</f>
        <v>Puricomuno-P585H694/ES</v>
      </c>
      <c r="F3332" s="88">
        <v>47500</v>
      </c>
      <c r="G3332" s="88" t="str" cm="1">
        <f t="array" ref="G33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AND(F3332&gt;= DATE(2026,1,1), F3332&lt;= DATE(2028, 12, 31), J3332&gt;50000), "Pendente e Caro", AND(F3332&gt;= DATE(2026,1,1), F3332&lt;= DATE(2028, 12, 31), J3332&lt;=50000), "Pendente", F3332&gt;= DATE(2029,1,1), "Não prioeitário")</f>
        <v>Não prioeitário</v>
      </c>
      <c r="H3332" s="89">
        <f>YEAR(Tabela1[[#This Row],[Data de Validade]])</f>
        <v>2030</v>
      </c>
      <c r="I3332" s="89">
        <f>MONTH(Tabela1[[#This Row],[Data de Validade]])</f>
        <v>1</v>
      </c>
      <c r="J3332" s="101">
        <v>43157</v>
      </c>
      <c r="K3332" s="87" t="s">
        <v>14</v>
      </c>
      <c r="L3332" s="108"/>
      <c r="M3332" s="108"/>
      <c r="N3332" s="108" t="str">
        <v>P836H527</v>
      </c>
      <c r="O3332" s="108">
        <f t="shared" si="54"/>
        <v>1</v>
      </c>
      <c r="P3332" s="108"/>
      <c r="Q3332"/>
    </row>
    <row r="3333" spans="1:17" x14ac:dyDescent="0.25">
      <c r="A3333" s="89" t="s">
        <v>4259</v>
      </c>
      <c r="B3333" s="87" t="s">
        <v>4260</v>
      </c>
      <c r="C3333" s="87" t="s">
        <v>13</v>
      </c>
      <c r="D3333" s="87" t="str">
        <f>VLOOKUP(Tabela1[[#This Row],[Origem]], 'Perguntas 1 a 24'!$J$28:$K$34, 2, 0)</f>
        <v>Sudeste</v>
      </c>
      <c r="E3333" s="87" t="str">
        <f>Tabela1[[#This Row],[Descrição]]&amp;"-"&amp;Tabela1[[#This Row],[Código]]&amp;"/"&amp;Tabela1[[#This Row],[Origem]]</f>
        <v>Mutapi-H826P368/SP</v>
      </c>
      <c r="F3333" s="88">
        <v>47501</v>
      </c>
      <c r="G3333" s="88" t="str" cm="1">
        <f t="array" ref="G33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AND(F3333&gt;= DATE(2026,1,1), F3333&lt;= DATE(2028, 12, 31), J3333&gt;50000), "Pendente e Caro", AND(F3333&gt;= DATE(2026,1,1), F3333&lt;= DATE(2028, 12, 31), J3333&lt;=50000), "Pendente", F3333&gt;= DATE(2029,1,1), "Não prioeitário")</f>
        <v>Não prioeitário</v>
      </c>
      <c r="H3333" s="89">
        <f>YEAR(Tabela1[[#This Row],[Data de Validade]])</f>
        <v>2030</v>
      </c>
      <c r="I3333" s="89">
        <f>MONTH(Tabela1[[#This Row],[Data de Validade]])</f>
        <v>1</v>
      </c>
      <c r="J3333" s="101">
        <v>75711</v>
      </c>
      <c r="K3333" s="87" t="s">
        <v>11</v>
      </c>
      <c r="L3333" s="108"/>
      <c r="M3333" s="108"/>
      <c r="N3333" s="108" t="str">
        <v>P181H582</v>
      </c>
      <c r="O3333" s="108">
        <f t="shared" si="54"/>
        <v>1</v>
      </c>
      <c r="P3333" s="108"/>
      <c r="Q3333"/>
    </row>
    <row r="3334" spans="1:17" x14ac:dyDescent="0.25">
      <c r="A3334" s="89" t="s">
        <v>8100</v>
      </c>
      <c r="B3334" s="87" t="s">
        <v>8101</v>
      </c>
      <c r="C3334" s="87" t="s">
        <v>10</v>
      </c>
      <c r="D3334" s="87" t="str">
        <f>VLOOKUP(Tabela1[[#This Row],[Origem]], 'Perguntas 1 a 24'!$J$28:$K$34, 2, 0)</f>
        <v>Centro-Oeste</v>
      </c>
      <c r="E3334" s="87" t="str">
        <f>Tabela1[[#This Row],[Descrição]]&amp;"-"&amp;Tabela1[[#This Row],[Código]]&amp;"/"&amp;Tabela1[[#This Row],[Origem]]</f>
        <v>Giritipi-H224P217/GO</v>
      </c>
      <c r="F3334" s="88">
        <v>47501</v>
      </c>
      <c r="G3334" s="88" t="str" cm="1">
        <f t="array" ref="G33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AND(F3334&gt;= DATE(2026,1,1), F3334&lt;= DATE(2028, 12, 31), J3334&gt;50000), "Pendente e Caro", AND(F3334&gt;= DATE(2026,1,1), F3334&lt;= DATE(2028, 12, 31), J3334&lt;=50000), "Pendente", F3334&gt;= DATE(2029,1,1), "Não prioeitário")</f>
        <v>Não prioeitário</v>
      </c>
      <c r="H3334" s="89">
        <f>YEAR(Tabela1[[#This Row],[Data de Validade]])</f>
        <v>2030</v>
      </c>
      <c r="I3334" s="89">
        <f>MONTH(Tabela1[[#This Row],[Data de Validade]])</f>
        <v>1</v>
      </c>
      <c r="J3334" s="101">
        <v>70395</v>
      </c>
      <c r="K3334" s="87" t="s">
        <v>7</v>
      </c>
      <c r="L3334" s="108"/>
      <c r="M3334" s="108"/>
      <c r="N3334" s="108" t="str">
        <v>P114H888</v>
      </c>
      <c r="O3334" s="108">
        <f t="shared" si="54"/>
        <v>1</v>
      </c>
      <c r="P3334" s="108"/>
      <c r="Q3334"/>
    </row>
    <row r="3335" spans="1:17" x14ac:dyDescent="0.25">
      <c r="A3335" s="89" t="s">
        <v>6402</v>
      </c>
      <c r="B3335" s="87" t="s">
        <v>6403</v>
      </c>
      <c r="C3335" s="87" t="s">
        <v>12</v>
      </c>
      <c r="D3335" s="87" t="str">
        <f>VLOOKUP(Tabela1[[#This Row],[Origem]], 'Perguntas 1 a 24'!$J$28:$K$34, 2, 0)</f>
        <v>Sudeste</v>
      </c>
      <c r="E3335" s="87" t="str">
        <f>Tabela1[[#This Row],[Descrição]]&amp;"-"&amp;Tabela1[[#This Row],[Código]]&amp;"/"&amp;Tabela1[[#This Row],[Origem]]</f>
        <v>Rucivira-H667H838/RJ</v>
      </c>
      <c r="F3335" s="88">
        <v>47501</v>
      </c>
      <c r="G3335" s="88" t="str" cm="1">
        <f t="array" ref="G33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AND(F3335&gt;= DATE(2026,1,1), F3335&lt;= DATE(2028, 12, 31), J3335&gt;50000), "Pendente e Caro", AND(F3335&gt;= DATE(2026,1,1), F3335&lt;= DATE(2028, 12, 31), J3335&lt;=50000), "Pendente", F3335&gt;= DATE(2029,1,1), "Não prioeitário")</f>
        <v>Não prioeitário</v>
      </c>
      <c r="H3335" s="89">
        <f>YEAR(Tabela1[[#This Row],[Data de Validade]])</f>
        <v>2030</v>
      </c>
      <c r="I3335" s="89">
        <f>MONTH(Tabela1[[#This Row],[Data de Validade]])</f>
        <v>1</v>
      </c>
      <c r="J3335" s="101">
        <v>32928</v>
      </c>
      <c r="K3335" s="87" t="s">
        <v>14</v>
      </c>
      <c r="L3335" s="108"/>
      <c r="M3335" s="108"/>
      <c r="N3335" s="108" t="str">
        <v>H816H723</v>
      </c>
      <c r="O3335" s="108">
        <f t="shared" si="54"/>
        <v>1</v>
      </c>
      <c r="P3335" s="108"/>
      <c r="Q3335"/>
    </row>
    <row r="3336" spans="1:17" x14ac:dyDescent="0.25">
      <c r="A3336" s="89" t="s">
        <v>8038</v>
      </c>
      <c r="B3336" s="87" t="s">
        <v>8039</v>
      </c>
      <c r="C3336" s="87" t="s">
        <v>13</v>
      </c>
      <c r="D3336" s="87" t="str">
        <f>VLOOKUP(Tabela1[[#This Row],[Origem]], 'Perguntas 1 a 24'!$J$28:$K$34, 2, 0)</f>
        <v>Sudeste</v>
      </c>
      <c r="E3336" s="87" t="str">
        <f>Tabela1[[#This Row],[Descrição]]&amp;"-"&amp;Tabela1[[#This Row],[Código]]&amp;"/"&amp;Tabela1[[#This Row],[Origem]]</f>
        <v>Riduri-P836H527/SP</v>
      </c>
      <c r="F3336" s="88">
        <v>47502</v>
      </c>
      <c r="G3336" s="88" t="str" cm="1">
        <f t="array" ref="G33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AND(F3336&gt;= DATE(2026,1,1), F3336&lt;= DATE(2028, 12, 31), J3336&gt;50000), "Pendente e Caro", AND(F3336&gt;= DATE(2026,1,1), F3336&lt;= DATE(2028, 12, 31), J3336&lt;=50000), "Pendente", F3336&gt;= DATE(2029,1,1), "Não prioeitário")</f>
        <v>Não prioeitário</v>
      </c>
      <c r="H3336" s="89">
        <f>YEAR(Tabela1[[#This Row],[Data de Validade]])</f>
        <v>2030</v>
      </c>
      <c r="I3336" s="89">
        <f>MONTH(Tabela1[[#This Row],[Data de Validade]])</f>
        <v>1</v>
      </c>
      <c r="J3336" s="101">
        <v>112947</v>
      </c>
      <c r="K3336" s="87" t="s">
        <v>9</v>
      </c>
      <c r="L3336" s="108"/>
      <c r="M3336" s="108"/>
      <c r="N3336" s="108" t="str">
        <v>P768P732</v>
      </c>
      <c r="O3336" s="108">
        <f t="shared" si="54"/>
        <v>1</v>
      </c>
      <c r="P3336" s="108"/>
      <c r="Q3336"/>
    </row>
    <row r="3337" spans="1:17" x14ac:dyDescent="0.25">
      <c r="A3337" s="89" t="s">
        <v>7724</v>
      </c>
      <c r="B3337" s="87" t="s">
        <v>7725</v>
      </c>
      <c r="C3337" s="87" t="s">
        <v>15</v>
      </c>
      <c r="D3337" s="87" t="str">
        <f>VLOOKUP(Tabela1[[#This Row],[Origem]], 'Perguntas 1 a 24'!$J$28:$K$34, 2, 0)</f>
        <v>Sudeste</v>
      </c>
      <c r="E3337" s="87" t="str">
        <f>Tabela1[[#This Row],[Descrição]]&amp;"-"&amp;Tabela1[[#This Row],[Código]]&amp;"/"&amp;Tabela1[[#This Row],[Origem]]</f>
        <v>Lameto-P181H582/ES</v>
      </c>
      <c r="F3337" s="88">
        <v>47502</v>
      </c>
      <c r="G3337" s="88" t="str" cm="1">
        <f t="array" ref="G33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AND(F3337&gt;= DATE(2026,1,1), F3337&lt;= DATE(2028, 12, 31), J3337&gt;50000), "Pendente e Caro", AND(F3337&gt;= DATE(2026,1,1), F3337&lt;= DATE(2028, 12, 31), J3337&lt;=50000), "Pendente", F3337&gt;= DATE(2029,1,1), "Não prioeitário")</f>
        <v>Não prioeitário</v>
      </c>
      <c r="H3337" s="89">
        <f>YEAR(Tabela1[[#This Row],[Data de Validade]])</f>
        <v>2030</v>
      </c>
      <c r="I3337" s="89">
        <f>MONTH(Tabela1[[#This Row],[Data de Validade]])</f>
        <v>1</v>
      </c>
      <c r="J3337" s="101">
        <v>97169</v>
      </c>
      <c r="K3337" s="87" t="s">
        <v>9</v>
      </c>
      <c r="L3337" s="108"/>
      <c r="M3337" s="108"/>
      <c r="N3337" s="108" t="str">
        <v>P311H214</v>
      </c>
      <c r="O3337" s="108">
        <f t="shared" si="54"/>
        <v>1</v>
      </c>
      <c r="P3337" s="108"/>
      <c r="Q3337"/>
    </row>
    <row r="3338" spans="1:17" x14ac:dyDescent="0.25">
      <c r="A3338" s="89" t="s">
        <v>6766</v>
      </c>
      <c r="B3338" s="87" t="s">
        <v>6767</v>
      </c>
      <c r="C3338" s="87" t="s">
        <v>13</v>
      </c>
      <c r="D3338" s="87" t="str">
        <f>VLOOKUP(Tabela1[[#This Row],[Origem]], 'Perguntas 1 a 24'!$J$28:$K$34, 2, 0)</f>
        <v>Sudeste</v>
      </c>
      <c r="E3338" s="87" t="str">
        <f>Tabela1[[#This Row],[Descrição]]&amp;"-"&amp;Tabela1[[#This Row],[Código]]&amp;"/"&amp;Tabela1[[#This Row],[Origem]]</f>
        <v>Turedina-P114H888/SP</v>
      </c>
      <c r="F3338" s="88">
        <v>47502</v>
      </c>
      <c r="G3338" s="88" t="str" cm="1">
        <f t="array" ref="G33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AND(F3338&gt;= DATE(2026,1,1), F3338&lt;= DATE(2028, 12, 31), J3338&gt;50000), "Pendente e Caro", AND(F3338&gt;= DATE(2026,1,1), F3338&lt;= DATE(2028, 12, 31), J3338&lt;=50000), "Pendente", F3338&gt;= DATE(2029,1,1), "Não prioeitário")</f>
        <v>Não prioeitário</v>
      </c>
      <c r="H3338" s="89">
        <f>YEAR(Tabela1[[#This Row],[Data de Validade]])</f>
        <v>2030</v>
      </c>
      <c r="I3338" s="89">
        <f>MONTH(Tabela1[[#This Row],[Data de Validade]])</f>
        <v>1</v>
      </c>
      <c r="J3338" s="101">
        <v>93711</v>
      </c>
      <c r="K3338" s="87" t="s">
        <v>14</v>
      </c>
      <c r="L3338" s="108"/>
      <c r="M3338" s="108"/>
      <c r="N3338" s="108" t="str">
        <v>H953P941</v>
      </c>
      <c r="O3338" s="108">
        <f t="shared" si="54"/>
        <v>1</v>
      </c>
      <c r="P3338" s="108"/>
      <c r="Q3338"/>
    </row>
    <row r="3339" spans="1:17" x14ac:dyDescent="0.25">
      <c r="A3339" s="89" t="s">
        <v>9135</v>
      </c>
      <c r="B3339" s="87" t="s">
        <v>9136</v>
      </c>
      <c r="C3339" s="87" t="s">
        <v>13</v>
      </c>
      <c r="D3339" s="87" t="str">
        <f>VLOOKUP(Tabela1[[#This Row],[Origem]], 'Perguntas 1 a 24'!$J$28:$K$34, 2, 0)</f>
        <v>Sudeste</v>
      </c>
      <c r="E3339" s="87" t="str">
        <f>Tabela1[[#This Row],[Descrição]]&amp;"-"&amp;Tabela1[[#This Row],[Código]]&amp;"/"&amp;Tabela1[[#This Row],[Origem]]</f>
        <v>Nurilipute-H816H723/SP</v>
      </c>
      <c r="F3339" s="88">
        <v>47502</v>
      </c>
      <c r="G3339" s="88" t="str" cm="1">
        <f t="array" ref="G33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AND(F3339&gt;= DATE(2026,1,1), F3339&lt;= DATE(2028, 12, 31), J3339&gt;50000), "Pendente e Caro", AND(F3339&gt;= DATE(2026,1,1), F3339&lt;= DATE(2028, 12, 31), J3339&lt;=50000), "Pendente", F3339&gt;= DATE(2029,1,1), "Não prioeitário")</f>
        <v>Não prioeitário</v>
      </c>
      <c r="H3339" s="89">
        <f>YEAR(Tabela1[[#This Row],[Data de Validade]])</f>
        <v>2030</v>
      </c>
      <c r="I3339" s="89">
        <f>MONTH(Tabela1[[#This Row],[Data de Validade]])</f>
        <v>1</v>
      </c>
      <c r="J3339" s="101">
        <v>35854</v>
      </c>
      <c r="K3339" s="87" t="s">
        <v>7</v>
      </c>
      <c r="L3339" s="108"/>
      <c r="M3339" s="108"/>
      <c r="N3339" s="108" t="str">
        <v>H731H373</v>
      </c>
      <c r="O3339" s="108">
        <f t="shared" si="54"/>
        <v>1</v>
      </c>
      <c r="P3339" s="108"/>
      <c r="Q3339"/>
    </row>
    <row r="3340" spans="1:17" x14ac:dyDescent="0.25">
      <c r="A3340" s="89" t="s">
        <v>4108</v>
      </c>
      <c r="B3340" s="87" t="s">
        <v>4109</v>
      </c>
      <c r="C3340" s="87" t="s">
        <v>6</v>
      </c>
      <c r="D3340" s="87" t="str">
        <f>VLOOKUP(Tabela1[[#This Row],[Origem]], 'Perguntas 1 a 24'!$J$28:$K$34, 2, 0)</f>
        <v>Nordeste</v>
      </c>
      <c r="E3340" s="87" t="str">
        <f>Tabela1[[#This Row],[Descrição]]&amp;"-"&amp;Tabela1[[#This Row],[Código]]&amp;"/"&amp;Tabela1[[#This Row],[Origem]]</f>
        <v>Tecotitire-P768P732/MA</v>
      </c>
      <c r="F3340" s="88">
        <v>47502</v>
      </c>
      <c r="G3340" s="88" t="str" cm="1">
        <f t="array" ref="G33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AND(F3340&gt;= DATE(2026,1,1), F3340&lt;= DATE(2028, 12, 31), J3340&gt;50000), "Pendente e Caro", AND(F3340&gt;= DATE(2026,1,1), F3340&lt;= DATE(2028, 12, 31), J3340&lt;=50000), "Pendente", F3340&gt;= DATE(2029,1,1), "Não prioeitário")</f>
        <v>Não prioeitário</v>
      </c>
      <c r="H3340" s="89">
        <f>YEAR(Tabela1[[#This Row],[Data de Validade]])</f>
        <v>2030</v>
      </c>
      <c r="I3340" s="89">
        <f>MONTH(Tabela1[[#This Row],[Data de Validade]])</f>
        <v>1</v>
      </c>
      <c r="J3340" s="101">
        <v>21655</v>
      </c>
      <c r="K3340" s="87" t="s">
        <v>9</v>
      </c>
      <c r="L3340" s="108"/>
      <c r="M3340" s="108"/>
      <c r="N3340" s="108" t="str">
        <v>P197H737</v>
      </c>
      <c r="O3340" s="108">
        <f t="shared" si="54"/>
        <v>1</v>
      </c>
      <c r="P3340" s="108"/>
      <c r="Q3340"/>
    </row>
    <row r="3341" spans="1:17" x14ac:dyDescent="0.25">
      <c r="A3341" s="89" t="s">
        <v>9249</v>
      </c>
      <c r="B3341" s="87" t="s">
        <v>9250</v>
      </c>
      <c r="C3341" s="87" t="s">
        <v>15</v>
      </c>
      <c r="D3341" s="87" t="str">
        <f>VLOOKUP(Tabela1[[#This Row],[Origem]], 'Perguntas 1 a 24'!$J$28:$K$34, 2, 0)</f>
        <v>Sudeste</v>
      </c>
      <c r="E3341" s="87" t="str">
        <f>Tabela1[[#This Row],[Descrição]]&amp;"-"&amp;Tabela1[[#This Row],[Código]]&amp;"/"&amp;Tabela1[[#This Row],[Origem]]</f>
        <v>Vupicu-P311H214/ES</v>
      </c>
      <c r="F3341" s="88">
        <v>47503</v>
      </c>
      <c r="G3341" s="88" t="str" cm="1">
        <f t="array" ref="G33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AND(F3341&gt;= DATE(2026,1,1), F3341&lt;= DATE(2028, 12, 31), J3341&gt;50000), "Pendente e Caro", AND(F3341&gt;= DATE(2026,1,1), F3341&lt;= DATE(2028, 12, 31), J3341&lt;=50000), "Pendente", F3341&gt;= DATE(2029,1,1), "Não prioeitário")</f>
        <v>Não prioeitário</v>
      </c>
      <c r="H3341" s="89">
        <f>YEAR(Tabela1[[#This Row],[Data de Validade]])</f>
        <v>2030</v>
      </c>
      <c r="I3341" s="89">
        <f>MONTH(Tabela1[[#This Row],[Data de Validade]])</f>
        <v>1</v>
      </c>
      <c r="J3341" s="101">
        <v>70732</v>
      </c>
      <c r="K3341" s="87" t="s">
        <v>9</v>
      </c>
      <c r="L3341" s="108"/>
      <c r="M3341" s="108"/>
      <c r="N3341" s="108" t="str">
        <v>H826P234</v>
      </c>
      <c r="O3341" s="108">
        <f t="shared" si="54"/>
        <v>1</v>
      </c>
      <c r="P3341" s="108"/>
      <c r="Q3341"/>
    </row>
    <row r="3342" spans="1:17" x14ac:dyDescent="0.25">
      <c r="A3342" s="89" t="s">
        <v>3794</v>
      </c>
      <c r="B3342" s="87" t="s">
        <v>3795</v>
      </c>
      <c r="C3342" s="87" t="s">
        <v>15</v>
      </c>
      <c r="D3342" s="87" t="str">
        <f>VLOOKUP(Tabela1[[#This Row],[Origem]], 'Perguntas 1 a 24'!$J$28:$K$34, 2, 0)</f>
        <v>Sudeste</v>
      </c>
      <c r="E3342" s="87" t="str">
        <f>Tabela1[[#This Row],[Descrição]]&amp;"-"&amp;Tabela1[[#This Row],[Código]]&amp;"/"&amp;Tabela1[[#This Row],[Origem]]</f>
        <v>Rituta-H953P941/ES</v>
      </c>
      <c r="F3342" s="88">
        <v>47504</v>
      </c>
      <c r="G3342" s="88" t="str" cm="1">
        <f t="array" ref="G33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AND(F3342&gt;= DATE(2026,1,1), F3342&lt;= DATE(2028, 12, 31), J3342&gt;50000), "Pendente e Caro", AND(F3342&gt;= DATE(2026,1,1), F3342&lt;= DATE(2028, 12, 31), J3342&lt;=50000), "Pendente", F3342&gt;= DATE(2029,1,1), "Não prioeitário")</f>
        <v>Não prioeitário</v>
      </c>
      <c r="H3342" s="89">
        <f>YEAR(Tabela1[[#This Row],[Data de Validade]])</f>
        <v>2030</v>
      </c>
      <c r="I3342" s="89">
        <f>MONTH(Tabela1[[#This Row],[Data de Validade]])</f>
        <v>1</v>
      </c>
      <c r="J3342" s="101">
        <v>103021</v>
      </c>
      <c r="K3342" s="87" t="s">
        <v>14</v>
      </c>
      <c r="L3342" s="108"/>
      <c r="M3342" s="108"/>
      <c r="N3342" s="108" t="str">
        <v>H171P491</v>
      </c>
      <c r="O3342" s="108">
        <f t="shared" si="54"/>
        <v>1</v>
      </c>
      <c r="P3342" s="108"/>
      <c r="Q3342"/>
    </row>
    <row r="3343" spans="1:17" x14ac:dyDescent="0.25">
      <c r="A3343" s="89" t="s">
        <v>10871</v>
      </c>
      <c r="B3343" s="87" t="s">
        <v>10872</v>
      </c>
      <c r="C3343" s="87" t="s">
        <v>16</v>
      </c>
      <c r="D3343" s="87" t="str">
        <f>VLOOKUP(Tabela1[[#This Row],[Origem]], 'Perguntas 1 a 24'!$J$28:$K$34, 2, 0)</f>
        <v>Sudeste</v>
      </c>
      <c r="E3343" s="87" t="str">
        <f>Tabela1[[#This Row],[Descrição]]&amp;"-"&amp;Tabela1[[#This Row],[Código]]&amp;"/"&amp;Tabela1[[#This Row],[Origem]]</f>
        <v>Torifoniru-H731H373/MG</v>
      </c>
      <c r="F3343" s="88">
        <v>47504</v>
      </c>
      <c r="G3343" s="88" t="str" cm="1">
        <f t="array" ref="G33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AND(F3343&gt;= DATE(2026,1,1), F3343&lt;= DATE(2028, 12, 31), J3343&gt;50000), "Pendente e Caro", AND(F3343&gt;= DATE(2026,1,1), F3343&lt;= DATE(2028, 12, 31), J3343&lt;=50000), "Pendente", F3343&gt;= DATE(2029,1,1), "Não prioeitário")</f>
        <v>Não prioeitário</v>
      </c>
      <c r="H3343" s="89">
        <f>YEAR(Tabela1[[#This Row],[Data de Validade]])</f>
        <v>2030</v>
      </c>
      <c r="I3343" s="89">
        <f>MONTH(Tabela1[[#This Row],[Data de Validade]])</f>
        <v>1</v>
      </c>
      <c r="J3343" s="101">
        <v>101909</v>
      </c>
      <c r="K3343" s="87" t="s">
        <v>7</v>
      </c>
      <c r="L3343" s="108"/>
      <c r="M3343" s="108"/>
      <c r="N3343" s="108" t="str">
        <v>H175H963</v>
      </c>
      <c r="O3343" s="108">
        <f t="shared" si="54"/>
        <v>1</v>
      </c>
      <c r="P3343" s="108"/>
      <c r="Q3343"/>
    </row>
    <row r="3344" spans="1:17" x14ac:dyDescent="0.25">
      <c r="A3344" s="89" t="s">
        <v>5976</v>
      </c>
      <c r="B3344" s="87" t="s">
        <v>5977</v>
      </c>
      <c r="C3344" s="87" t="s">
        <v>6</v>
      </c>
      <c r="D3344" s="87" t="str">
        <f>VLOOKUP(Tabela1[[#This Row],[Origem]], 'Perguntas 1 a 24'!$J$28:$K$34, 2, 0)</f>
        <v>Nordeste</v>
      </c>
      <c r="E3344" s="87" t="str">
        <f>Tabela1[[#This Row],[Descrição]]&amp;"-"&amp;Tabela1[[#This Row],[Código]]&amp;"/"&amp;Tabela1[[#This Row],[Origem]]</f>
        <v>Pifivine-P197H737/MA</v>
      </c>
      <c r="F3344" s="88">
        <v>47505</v>
      </c>
      <c r="G3344" s="88" t="str" cm="1">
        <f t="array" ref="G33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AND(F3344&gt;= DATE(2026,1,1), F3344&lt;= DATE(2028, 12, 31), J3344&gt;50000), "Pendente e Caro", AND(F3344&gt;= DATE(2026,1,1), F3344&lt;= DATE(2028, 12, 31), J3344&lt;=50000), "Pendente", F3344&gt;= DATE(2029,1,1), "Não prioeitário")</f>
        <v>Não prioeitário</v>
      </c>
      <c r="H3344" s="89">
        <f>YEAR(Tabela1[[#This Row],[Data de Validade]])</f>
        <v>2030</v>
      </c>
      <c r="I3344" s="89">
        <f>MONTH(Tabela1[[#This Row],[Data de Validade]])</f>
        <v>1</v>
      </c>
      <c r="J3344" s="101">
        <v>89807</v>
      </c>
      <c r="K3344" s="87" t="s">
        <v>11</v>
      </c>
      <c r="L3344" s="108"/>
      <c r="M3344" s="108"/>
      <c r="N3344" s="108" t="str">
        <v>H177P482</v>
      </c>
      <c r="O3344" s="108">
        <f t="shared" si="54"/>
        <v>1</v>
      </c>
      <c r="P3344" s="108"/>
      <c r="Q3344"/>
    </row>
    <row r="3345" spans="1:17" x14ac:dyDescent="0.25">
      <c r="A3345" s="89" t="s">
        <v>10611</v>
      </c>
      <c r="B3345" s="87" t="s">
        <v>10612</v>
      </c>
      <c r="C3345" s="87" t="s">
        <v>16</v>
      </c>
      <c r="D3345" s="87" t="str">
        <f>VLOOKUP(Tabela1[[#This Row],[Origem]], 'Perguntas 1 a 24'!$J$28:$K$34, 2, 0)</f>
        <v>Sudeste</v>
      </c>
      <c r="E3345" s="87" t="str">
        <f>Tabela1[[#This Row],[Descrição]]&amp;"-"&amp;Tabela1[[#This Row],[Código]]&amp;"/"&amp;Tabela1[[#This Row],[Origem]]</f>
        <v>Pamanalacu-H826P234/MG</v>
      </c>
      <c r="F3345" s="88">
        <v>47505</v>
      </c>
      <c r="G3345" s="88" t="str" cm="1">
        <f t="array" ref="G33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AND(F3345&gt;= DATE(2026,1,1), F3345&lt;= DATE(2028, 12, 31), J3345&gt;50000), "Pendente e Caro", AND(F3345&gt;= DATE(2026,1,1), F3345&lt;= DATE(2028, 12, 31), J3345&lt;=50000), "Pendente", F3345&gt;= DATE(2029,1,1), "Não prioeitário")</f>
        <v>Não prioeitário</v>
      </c>
      <c r="H3345" s="89">
        <f>YEAR(Tabela1[[#This Row],[Data de Validade]])</f>
        <v>2030</v>
      </c>
      <c r="I3345" s="89">
        <f>MONTH(Tabela1[[#This Row],[Data de Validade]])</f>
        <v>1</v>
      </c>
      <c r="J3345" s="101">
        <v>54566</v>
      </c>
      <c r="K3345" s="87" t="s">
        <v>11</v>
      </c>
      <c r="L3345" s="108"/>
      <c r="M3345" s="108"/>
      <c r="N3345" s="108" t="str">
        <v>P399H546</v>
      </c>
      <c r="O3345" s="108">
        <f t="shared" si="54"/>
        <v>1</v>
      </c>
      <c r="P3345" s="108"/>
      <c r="Q3345"/>
    </row>
    <row r="3346" spans="1:17" x14ac:dyDescent="0.25">
      <c r="A3346" s="89" t="s">
        <v>6062</v>
      </c>
      <c r="B3346" s="87" t="s">
        <v>6063</v>
      </c>
      <c r="C3346" s="87" t="s">
        <v>15</v>
      </c>
      <c r="D3346" s="87" t="str">
        <f>VLOOKUP(Tabela1[[#This Row],[Origem]], 'Perguntas 1 a 24'!$J$28:$K$34, 2, 0)</f>
        <v>Sudeste</v>
      </c>
      <c r="E3346" s="87" t="str">
        <f>Tabela1[[#This Row],[Descrição]]&amp;"-"&amp;Tabela1[[#This Row],[Código]]&amp;"/"&amp;Tabela1[[#This Row],[Origem]]</f>
        <v>Gopapopi-H171P491/ES</v>
      </c>
      <c r="F3346" s="88">
        <v>47507</v>
      </c>
      <c r="G3346" s="88" t="str" cm="1">
        <f t="array" ref="G33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AND(F3346&gt;= DATE(2026,1,1), F3346&lt;= DATE(2028, 12, 31), J3346&gt;50000), "Pendente e Caro", AND(F3346&gt;= DATE(2026,1,1), F3346&lt;= DATE(2028, 12, 31), J3346&lt;=50000), "Pendente", F3346&gt;= DATE(2029,1,1), "Não prioeitário")</f>
        <v>Não prioeitário</v>
      </c>
      <c r="H3346" s="89">
        <f>YEAR(Tabela1[[#This Row],[Data de Validade]])</f>
        <v>2030</v>
      </c>
      <c r="I3346" s="89">
        <f>MONTH(Tabela1[[#This Row],[Data de Validade]])</f>
        <v>1</v>
      </c>
      <c r="J3346" s="101">
        <v>119120</v>
      </c>
      <c r="K3346" s="87" t="s">
        <v>11</v>
      </c>
      <c r="L3346" s="108"/>
      <c r="M3346" s="108"/>
      <c r="N3346" s="108" t="str">
        <v>P895P847</v>
      </c>
      <c r="O3346" s="108">
        <f t="shared" si="54"/>
        <v>1</v>
      </c>
      <c r="P3346" s="108"/>
      <c r="Q3346"/>
    </row>
    <row r="3347" spans="1:17" x14ac:dyDescent="0.25">
      <c r="A3347" s="89" t="s">
        <v>8701</v>
      </c>
      <c r="B3347" s="87" t="s">
        <v>8702</v>
      </c>
      <c r="C3347" s="87" t="s">
        <v>12</v>
      </c>
      <c r="D3347" s="87" t="str">
        <f>VLOOKUP(Tabela1[[#This Row],[Origem]], 'Perguntas 1 a 24'!$J$28:$K$34, 2, 0)</f>
        <v>Sudeste</v>
      </c>
      <c r="E3347" s="87" t="str">
        <f>Tabela1[[#This Row],[Descrição]]&amp;"-"&amp;Tabela1[[#This Row],[Código]]&amp;"/"&amp;Tabela1[[#This Row],[Origem]]</f>
        <v>Tapepo-H175H963/RJ</v>
      </c>
      <c r="F3347" s="88">
        <v>47507</v>
      </c>
      <c r="G3347" s="88" t="str" cm="1">
        <f t="array" ref="G33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AND(F3347&gt;= DATE(2026,1,1), F3347&lt;= DATE(2028, 12, 31), J3347&gt;50000), "Pendente e Caro", AND(F3347&gt;= DATE(2026,1,1), F3347&lt;= DATE(2028, 12, 31), J3347&lt;=50000), "Pendente", F3347&gt;= DATE(2029,1,1), "Não prioeitário")</f>
        <v>Não prioeitário</v>
      </c>
      <c r="H3347" s="89">
        <f>YEAR(Tabela1[[#This Row],[Data de Validade]])</f>
        <v>2030</v>
      </c>
      <c r="I3347" s="89">
        <f>MONTH(Tabela1[[#This Row],[Data de Validade]])</f>
        <v>1</v>
      </c>
      <c r="J3347" s="101">
        <v>102621</v>
      </c>
      <c r="K3347" s="87" t="s">
        <v>14</v>
      </c>
      <c r="L3347" s="108"/>
      <c r="M3347" s="108"/>
      <c r="N3347" s="108" t="str">
        <v>H727P522</v>
      </c>
      <c r="O3347" s="108">
        <f t="shared" si="54"/>
        <v>1</v>
      </c>
      <c r="P3347" s="108"/>
      <c r="Q3347"/>
    </row>
    <row r="3348" spans="1:17" x14ac:dyDescent="0.25">
      <c r="A3348" s="89" t="s">
        <v>5246</v>
      </c>
      <c r="B3348" s="87" t="s">
        <v>5247</v>
      </c>
      <c r="C3348" s="87" t="s">
        <v>16</v>
      </c>
      <c r="D3348" s="87" t="str">
        <f>VLOOKUP(Tabela1[[#This Row],[Origem]], 'Perguntas 1 a 24'!$J$28:$K$34, 2, 0)</f>
        <v>Sudeste</v>
      </c>
      <c r="E3348" s="87" t="str">
        <f>Tabela1[[#This Row],[Descrição]]&amp;"-"&amp;Tabela1[[#This Row],[Código]]&amp;"/"&amp;Tabela1[[#This Row],[Origem]]</f>
        <v>Nopunemopi-H177P482/MG</v>
      </c>
      <c r="F3348" s="88">
        <v>47507</v>
      </c>
      <c r="G3348" s="88" t="str" cm="1">
        <f t="array" ref="G33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AND(F3348&gt;= DATE(2026,1,1), F3348&lt;= DATE(2028, 12, 31), J3348&gt;50000), "Pendente e Caro", AND(F3348&gt;= DATE(2026,1,1), F3348&lt;= DATE(2028, 12, 31), J3348&lt;=50000), "Pendente", F3348&gt;= DATE(2029,1,1), "Não prioeitário")</f>
        <v>Não prioeitário</v>
      </c>
      <c r="H3348" s="89">
        <f>YEAR(Tabela1[[#This Row],[Data de Validade]])</f>
        <v>2030</v>
      </c>
      <c r="I3348" s="89">
        <f>MONTH(Tabela1[[#This Row],[Data de Validade]])</f>
        <v>1</v>
      </c>
      <c r="J3348" s="101">
        <v>93226</v>
      </c>
      <c r="K3348" s="87" t="s">
        <v>9</v>
      </c>
      <c r="L3348" s="108"/>
      <c r="M3348" s="108"/>
      <c r="N3348" s="108" t="str">
        <v>P953H255</v>
      </c>
      <c r="O3348" s="108">
        <f t="shared" si="54"/>
        <v>1</v>
      </c>
      <c r="P3348" s="108"/>
      <c r="Q3348"/>
    </row>
    <row r="3349" spans="1:17" x14ac:dyDescent="0.25">
      <c r="A3349" s="89" t="s">
        <v>7306</v>
      </c>
      <c r="B3349" s="87" t="s">
        <v>7307</v>
      </c>
      <c r="C3349" s="87" t="s">
        <v>12</v>
      </c>
      <c r="D3349" s="87" t="str">
        <f>VLOOKUP(Tabela1[[#This Row],[Origem]], 'Perguntas 1 a 24'!$J$28:$K$34, 2, 0)</f>
        <v>Sudeste</v>
      </c>
      <c r="E3349" s="87" t="str">
        <f>Tabela1[[#This Row],[Descrição]]&amp;"-"&amp;Tabela1[[#This Row],[Código]]&amp;"/"&amp;Tabela1[[#This Row],[Origem]]</f>
        <v>Marocupu-P399H546/RJ</v>
      </c>
      <c r="F3349" s="88">
        <v>47507</v>
      </c>
      <c r="G3349" s="88" t="str" cm="1">
        <f t="array" ref="G33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AND(F3349&gt;= DATE(2026,1,1), F3349&lt;= DATE(2028, 12, 31), J3349&gt;50000), "Pendente e Caro", AND(F3349&gt;= DATE(2026,1,1), F3349&lt;= DATE(2028, 12, 31), J3349&lt;=50000), "Pendente", F3349&gt;= DATE(2029,1,1), "Não prioeitário")</f>
        <v>Não prioeitário</v>
      </c>
      <c r="H3349" s="89">
        <f>YEAR(Tabela1[[#This Row],[Data de Validade]])</f>
        <v>2030</v>
      </c>
      <c r="I3349" s="89">
        <f>MONTH(Tabela1[[#This Row],[Data de Validade]])</f>
        <v>1</v>
      </c>
      <c r="J3349" s="101">
        <v>82054</v>
      </c>
      <c r="K3349" s="87" t="s">
        <v>14</v>
      </c>
      <c r="L3349" s="108"/>
      <c r="M3349" s="108"/>
      <c r="N3349" s="108" t="str">
        <v>P861H917</v>
      </c>
      <c r="O3349" s="108">
        <f t="shared" si="54"/>
        <v>1</v>
      </c>
      <c r="P3349" s="108"/>
      <c r="Q3349"/>
    </row>
    <row r="3350" spans="1:17" x14ac:dyDescent="0.25">
      <c r="A3350" s="89" t="s">
        <v>4172</v>
      </c>
      <c r="B3350" s="87" t="s">
        <v>4173</v>
      </c>
      <c r="C3350" s="87" t="s">
        <v>8</v>
      </c>
      <c r="D3350" s="87" t="str">
        <f>VLOOKUP(Tabela1[[#This Row],[Origem]], 'Perguntas 1 a 24'!$J$28:$K$34, 2, 0)</f>
        <v>Nordeste</v>
      </c>
      <c r="E3350" s="87" t="str">
        <f>Tabela1[[#This Row],[Descrição]]&amp;"-"&amp;Tabela1[[#This Row],[Código]]&amp;"/"&amp;Tabela1[[#This Row],[Origem]]</f>
        <v>Ledipada-P895P847/AL</v>
      </c>
      <c r="F3350" s="88">
        <v>47507</v>
      </c>
      <c r="G3350" s="88" t="str" cm="1">
        <f t="array" ref="G33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AND(F3350&gt;= DATE(2026,1,1), F3350&lt;= DATE(2028, 12, 31), J3350&gt;50000), "Pendente e Caro", AND(F3350&gt;= DATE(2026,1,1), F3350&lt;= DATE(2028, 12, 31), J3350&lt;=50000), "Pendente", F3350&gt;= DATE(2029,1,1), "Não prioeitário")</f>
        <v>Não prioeitário</v>
      </c>
      <c r="H3350" s="89">
        <f>YEAR(Tabela1[[#This Row],[Data de Validade]])</f>
        <v>2030</v>
      </c>
      <c r="I3350" s="89">
        <f>MONTH(Tabela1[[#This Row],[Data de Validade]])</f>
        <v>1</v>
      </c>
      <c r="J3350" s="101">
        <v>81853</v>
      </c>
      <c r="K3350" s="87" t="s">
        <v>14</v>
      </c>
      <c r="L3350" s="108"/>
      <c r="M3350" s="108"/>
      <c r="N3350" s="108" t="str">
        <v>P187H411</v>
      </c>
      <c r="O3350" s="108">
        <f t="shared" si="54"/>
        <v>1</v>
      </c>
      <c r="P3350" s="108"/>
      <c r="Q3350"/>
    </row>
    <row r="3351" spans="1:17" x14ac:dyDescent="0.25">
      <c r="A3351" s="89" t="s">
        <v>5232</v>
      </c>
      <c r="B3351" s="87" t="s">
        <v>5233</v>
      </c>
      <c r="C3351" s="87" t="s">
        <v>12</v>
      </c>
      <c r="D3351" s="87" t="str">
        <f>VLOOKUP(Tabela1[[#This Row],[Origem]], 'Perguntas 1 a 24'!$J$28:$K$34, 2, 0)</f>
        <v>Sudeste</v>
      </c>
      <c r="E3351" s="87" t="str">
        <f>Tabela1[[#This Row],[Descrição]]&amp;"-"&amp;Tabela1[[#This Row],[Código]]&amp;"/"&amp;Tabela1[[#This Row],[Origem]]</f>
        <v>Lopiroro-H727P522/RJ</v>
      </c>
      <c r="F3351" s="88">
        <v>47508</v>
      </c>
      <c r="G3351" s="88" t="str" cm="1">
        <f t="array" ref="G33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AND(F3351&gt;= DATE(2026,1,1), F3351&lt;= DATE(2028, 12, 31), J3351&gt;50000), "Pendente e Caro", AND(F3351&gt;= DATE(2026,1,1), F3351&lt;= DATE(2028, 12, 31), J3351&lt;=50000), "Pendente", F3351&gt;= DATE(2029,1,1), "Não prioeitário")</f>
        <v>Não prioeitário</v>
      </c>
      <c r="H3351" s="89">
        <f>YEAR(Tabela1[[#This Row],[Data de Validade]])</f>
        <v>2030</v>
      </c>
      <c r="I3351" s="89">
        <f>MONTH(Tabela1[[#This Row],[Data de Validade]])</f>
        <v>1</v>
      </c>
      <c r="J3351" s="101">
        <v>119698</v>
      </c>
      <c r="K3351" s="87" t="s">
        <v>9</v>
      </c>
      <c r="L3351" s="108"/>
      <c r="M3351" s="108"/>
      <c r="N3351" s="108" t="str">
        <v>H592P976</v>
      </c>
      <c r="O3351" s="108">
        <f t="shared" si="54"/>
        <v>1</v>
      </c>
      <c r="P3351" s="108"/>
      <c r="Q3351"/>
    </row>
    <row r="3352" spans="1:17" x14ac:dyDescent="0.25">
      <c r="A3352" s="89" t="s">
        <v>10255</v>
      </c>
      <c r="B3352" s="87" t="s">
        <v>10256</v>
      </c>
      <c r="C3352" s="87" t="s">
        <v>8</v>
      </c>
      <c r="D3352" s="87" t="str">
        <f>VLOOKUP(Tabela1[[#This Row],[Origem]], 'Perguntas 1 a 24'!$J$28:$K$34, 2, 0)</f>
        <v>Nordeste</v>
      </c>
      <c r="E3352" s="87" t="str">
        <f>Tabela1[[#This Row],[Descrição]]&amp;"-"&amp;Tabela1[[#This Row],[Código]]&amp;"/"&amp;Tabela1[[#This Row],[Origem]]</f>
        <v>Roponotu-P953H255/AL</v>
      </c>
      <c r="F3352" s="88">
        <v>47508</v>
      </c>
      <c r="G3352" s="88" t="str" cm="1">
        <f t="array" ref="G33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AND(F3352&gt;= DATE(2026,1,1), F3352&lt;= DATE(2028, 12, 31), J3352&gt;50000), "Pendente e Caro", AND(F3352&gt;= DATE(2026,1,1), F3352&lt;= DATE(2028, 12, 31), J3352&lt;=50000), "Pendente", F3352&gt;= DATE(2029,1,1), "Não prioeitário")</f>
        <v>Não prioeitário</v>
      </c>
      <c r="H3352" s="89">
        <f>YEAR(Tabela1[[#This Row],[Data de Validade]])</f>
        <v>2030</v>
      </c>
      <c r="I3352" s="89">
        <f>MONTH(Tabela1[[#This Row],[Data de Validade]])</f>
        <v>1</v>
      </c>
      <c r="J3352" s="101">
        <v>114819</v>
      </c>
      <c r="K3352" s="87" t="s">
        <v>9</v>
      </c>
      <c r="L3352" s="108"/>
      <c r="M3352" s="108"/>
      <c r="N3352" s="108" t="str">
        <v>H613H354</v>
      </c>
      <c r="O3352" s="108">
        <f t="shared" si="54"/>
        <v>1</v>
      </c>
      <c r="P3352" s="108"/>
      <c r="Q3352"/>
    </row>
    <row r="3353" spans="1:17" x14ac:dyDescent="0.25">
      <c r="A3353" s="89" t="s">
        <v>7236</v>
      </c>
      <c r="B3353" s="87" t="s">
        <v>7237</v>
      </c>
      <c r="C3353" s="87" t="s">
        <v>8</v>
      </c>
      <c r="D3353" s="87" t="str">
        <f>VLOOKUP(Tabela1[[#This Row],[Origem]], 'Perguntas 1 a 24'!$J$28:$K$34, 2, 0)</f>
        <v>Nordeste</v>
      </c>
      <c r="E3353" s="87" t="str">
        <f>Tabela1[[#This Row],[Descrição]]&amp;"-"&amp;Tabela1[[#This Row],[Código]]&amp;"/"&amp;Tabela1[[#This Row],[Origem]]</f>
        <v>Napace-P861H917/AL</v>
      </c>
      <c r="F3353" s="88">
        <v>47508</v>
      </c>
      <c r="G3353" s="88" t="str" cm="1">
        <f t="array" ref="G33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AND(F3353&gt;= DATE(2026,1,1), F3353&lt;= DATE(2028, 12, 31), J3353&gt;50000), "Pendente e Caro", AND(F3353&gt;= DATE(2026,1,1), F3353&lt;= DATE(2028, 12, 31), J3353&lt;=50000), "Pendente", F3353&gt;= DATE(2029,1,1), "Não prioeitário")</f>
        <v>Não prioeitário</v>
      </c>
      <c r="H3353" s="89">
        <f>YEAR(Tabela1[[#This Row],[Data de Validade]])</f>
        <v>2030</v>
      </c>
      <c r="I3353" s="89">
        <f>MONTH(Tabela1[[#This Row],[Data de Validade]])</f>
        <v>1</v>
      </c>
      <c r="J3353" s="101">
        <v>61688</v>
      </c>
      <c r="K3353" s="87" t="s">
        <v>7</v>
      </c>
      <c r="L3353" s="108"/>
      <c r="M3353" s="108"/>
      <c r="N3353" s="108" t="str">
        <v>P484H532</v>
      </c>
      <c r="O3353" s="108">
        <f t="shared" si="54"/>
        <v>1</v>
      </c>
      <c r="P3353" s="108"/>
      <c r="Q3353"/>
    </row>
    <row r="3354" spans="1:17" x14ac:dyDescent="0.25">
      <c r="A3354" s="89" t="s">
        <v>5752</v>
      </c>
      <c r="B3354" s="87" t="s">
        <v>5753</v>
      </c>
      <c r="C3354" s="87" t="s">
        <v>16</v>
      </c>
      <c r="D3354" s="87" t="str">
        <f>VLOOKUP(Tabela1[[#This Row],[Origem]], 'Perguntas 1 a 24'!$J$28:$K$34, 2, 0)</f>
        <v>Sudeste</v>
      </c>
      <c r="E3354" s="87" t="str">
        <f>Tabela1[[#This Row],[Descrição]]&amp;"-"&amp;Tabela1[[#This Row],[Código]]&amp;"/"&amp;Tabela1[[#This Row],[Origem]]</f>
        <v>Vodige-P187H411/MG</v>
      </c>
      <c r="F3354" s="88">
        <v>47509</v>
      </c>
      <c r="G3354" s="88" t="str" cm="1">
        <f t="array" ref="G33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AND(F3354&gt;= DATE(2026,1,1), F3354&lt;= DATE(2028, 12, 31), J3354&gt;50000), "Pendente e Caro", AND(F3354&gt;= DATE(2026,1,1), F3354&lt;= DATE(2028, 12, 31), J3354&lt;=50000), "Pendente", F3354&gt;= DATE(2029,1,1), "Não prioeitário")</f>
        <v>Não prioeitário</v>
      </c>
      <c r="H3354" s="89">
        <f>YEAR(Tabela1[[#This Row],[Data de Validade]])</f>
        <v>2030</v>
      </c>
      <c r="I3354" s="89">
        <f>MONTH(Tabela1[[#This Row],[Data de Validade]])</f>
        <v>1</v>
      </c>
      <c r="J3354" s="101">
        <v>60695</v>
      </c>
      <c r="K3354" s="87" t="s">
        <v>14</v>
      </c>
      <c r="L3354" s="108"/>
      <c r="M3354" s="108"/>
      <c r="N3354" s="108" t="str">
        <v>H649P381</v>
      </c>
      <c r="O3354" s="108">
        <f t="shared" si="54"/>
        <v>1</v>
      </c>
      <c r="P3354" s="108"/>
      <c r="Q3354"/>
    </row>
    <row r="3355" spans="1:17" x14ac:dyDescent="0.25">
      <c r="A3355" s="89" t="s">
        <v>4215</v>
      </c>
      <c r="B3355" s="87" t="s">
        <v>4216</v>
      </c>
      <c r="C3355" s="87" t="s">
        <v>8</v>
      </c>
      <c r="D3355" s="87" t="str">
        <f>VLOOKUP(Tabela1[[#This Row],[Origem]], 'Perguntas 1 a 24'!$J$28:$K$34, 2, 0)</f>
        <v>Nordeste</v>
      </c>
      <c r="E3355" s="87" t="str">
        <f>Tabela1[[#This Row],[Descrição]]&amp;"-"&amp;Tabela1[[#This Row],[Código]]&amp;"/"&amp;Tabela1[[#This Row],[Origem]]</f>
        <v>Panifo-H592P976/AL</v>
      </c>
      <c r="F3355" s="88">
        <v>47509</v>
      </c>
      <c r="G3355" s="88" t="str" cm="1">
        <f t="array" ref="G33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AND(F3355&gt;= DATE(2026,1,1), F3355&lt;= DATE(2028, 12, 31), J3355&gt;50000), "Pendente e Caro", AND(F3355&gt;= DATE(2026,1,1), F3355&lt;= DATE(2028, 12, 31), J3355&lt;=50000), "Pendente", F3355&gt;= DATE(2029,1,1), "Não prioeitário")</f>
        <v>Não prioeitário</v>
      </c>
      <c r="H3355" s="89">
        <f>YEAR(Tabela1[[#This Row],[Data de Validade]])</f>
        <v>2030</v>
      </c>
      <c r="I3355" s="89">
        <f>MONTH(Tabela1[[#This Row],[Data de Validade]])</f>
        <v>1</v>
      </c>
      <c r="J3355" s="101">
        <v>37347</v>
      </c>
      <c r="K3355" s="87" t="s">
        <v>9</v>
      </c>
      <c r="L3355" s="108"/>
      <c r="M3355" s="108"/>
      <c r="N3355" s="108" t="str">
        <v>P464H243</v>
      </c>
      <c r="O3355" s="108">
        <f t="shared" si="54"/>
        <v>1</v>
      </c>
      <c r="P3355" s="108"/>
      <c r="Q3355"/>
    </row>
    <row r="3356" spans="1:17" x14ac:dyDescent="0.25">
      <c r="A3356" s="89" t="s">
        <v>5670</v>
      </c>
      <c r="B3356" s="87" t="s">
        <v>5671</v>
      </c>
      <c r="C3356" s="87" t="s">
        <v>8</v>
      </c>
      <c r="D3356" s="87" t="str">
        <f>VLOOKUP(Tabela1[[#This Row],[Origem]], 'Perguntas 1 a 24'!$J$28:$K$34, 2, 0)</f>
        <v>Nordeste</v>
      </c>
      <c r="E3356" s="87" t="str">
        <f>Tabela1[[#This Row],[Descrição]]&amp;"-"&amp;Tabela1[[#This Row],[Código]]&amp;"/"&amp;Tabela1[[#This Row],[Origem]]</f>
        <v>Renada-H613H354/AL</v>
      </c>
      <c r="F3356" s="88">
        <v>47510</v>
      </c>
      <c r="G3356" s="88" t="str" cm="1">
        <f t="array" ref="G33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AND(F3356&gt;= DATE(2026,1,1), F3356&lt;= DATE(2028, 12, 31), J3356&gt;50000), "Pendente e Caro", AND(F3356&gt;= DATE(2026,1,1), F3356&lt;= DATE(2028, 12, 31), J3356&lt;=50000), "Pendente", F3356&gt;= DATE(2029,1,1), "Não prioeitário")</f>
        <v>Não prioeitário</v>
      </c>
      <c r="H3356" s="89">
        <f>YEAR(Tabela1[[#This Row],[Data de Validade]])</f>
        <v>2030</v>
      </c>
      <c r="I3356" s="89">
        <f>MONTH(Tabela1[[#This Row],[Data de Validade]])</f>
        <v>1</v>
      </c>
      <c r="J3356" s="101">
        <v>116127</v>
      </c>
      <c r="K3356" s="87" t="s">
        <v>11</v>
      </c>
      <c r="L3356" s="108"/>
      <c r="M3356" s="108"/>
      <c r="N3356" s="108" t="str">
        <v>H481H884</v>
      </c>
      <c r="O3356" s="108">
        <f t="shared" si="54"/>
        <v>1</v>
      </c>
      <c r="P3356" s="108"/>
      <c r="Q3356"/>
    </row>
    <row r="3357" spans="1:17" x14ac:dyDescent="0.25">
      <c r="A3357" s="89" t="s">
        <v>8068</v>
      </c>
      <c r="B3357" s="87" t="s">
        <v>8069</v>
      </c>
      <c r="C3357" s="87" t="s">
        <v>8</v>
      </c>
      <c r="D3357" s="87" t="str">
        <f>VLOOKUP(Tabela1[[#This Row],[Origem]], 'Perguntas 1 a 24'!$J$28:$K$34, 2, 0)</f>
        <v>Nordeste</v>
      </c>
      <c r="E3357" s="87" t="str">
        <f>Tabela1[[#This Row],[Descrição]]&amp;"-"&amp;Tabela1[[#This Row],[Código]]&amp;"/"&amp;Tabela1[[#This Row],[Origem]]</f>
        <v>Ticofavuru-P484H532/AL</v>
      </c>
      <c r="F3357" s="88">
        <v>47510</v>
      </c>
      <c r="G3357" s="88" t="str" cm="1">
        <f t="array" ref="G33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AND(F3357&gt;= DATE(2026,1,1), F3357&lt;= DATE(2028, 12, 31), J3357&gt;50000), "Pendente e Caro", AND(F3357&gt;= DATE(2026,1,1), F3357&lt;= DATE(2028, 12, 31), J3357&lt;=50000), "Pendente", F3357&gt;= DATE(2029,1,1), "Não prioeitário")</f>
        <v>Não prioeitário</v>
      </c>
      <c r="H3357" s="89">
        <f>YEAR(Tabela1[[#This Row],[Data de Validade]])</f>
        <v>2030</v>
      </c>
      <c r="I3357" s="89">
        <f>MONTH(Tabela1[[#This Row],[Data de Validade]])</f>
        <v>1</v>
      </c>
      <c r="J3357" s="101">
        <v>82964</v>
      </c>
      <c r="K3357" s="87" t="s">
        <v>9</v>
      </c>
      <c r="L3357" s="108"/>
      <c r="M3357" s="108"/>
      <c r="N3357" s="108" t="str">
        <v>P753H347</v>
      </c>
      <c r="O3357" s="108">
        <f t="shared" si="54"/>
        <v>1</v>
      </c>
      <c r="P3357" s="108"/>
      <c r="Q3357"/>
    </row>
    <row r="3358" spans="1:17" x14ac:dyDescent="0.25">
      <c r="A3358" s="89" t="s">
        <v>8514</v>
      </c>
      <c r="B3358" s="87" t="s">
        <v>8515</v>
      </c>
      <c r="C3358" s="87" t="s">
        <v>13</v>
      </c>
      <c r="D3358" s="87" t="str">
        <f>VLOOKUP(Tabela1[[#This Row],[Origem]], 'Perguntas 1 a 24'!$J$28:$K$34, 2, 0)</f>
        <v>Sudeste</v>
      </c>
      <c r="E3358" s="87" t="str">
        <f>Tabela1[[#This Row],[Descrição]]&amp;"-"&amp;Tabela1[[#This Row],[Código]]&amp;"/"&amp;Tabela1[[#This Row],[Origem]]</f>
        <v>Tuvonomu-H649P381/SP</v>
      </c>
      <c r="F3358" s="88">
        <v>47510</v>
      </c>
      <c r="G3358" s="88" t="str" cm="1">
        <f t="array" ref="G33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AND(F3358&gt;= DATE(2026,1,1), F3358&lt;= DATE(2028, 12, 31), J3358&gt;50000), "Pendente e Caro", AND(F3358&gt;= DATE(2026,1,1), F3358&lt;= DATE(2028, 12, 31), J3358&lt;=50000), "Pendente", F3358&gt;= DATE(2029,1,1), "Não prioeitário")</f>
        <v>Não prioeitário</v>
      </c>
      <c r="H3358" s="89">
        <f>YEAR(Tabela1[[#This Row],[Data de Validade]])</f>
        <v>2030</v>
      </c>
      <c r="I3358" s="89">
        <f>MONTH(Tabela1[[#This Row],[Data de Validade]])</f>
        <v>1</v>
      </c>
      <c r="J3358" s="101">
        <v>38967</v>
      </c>
      <c r="K3358" s="87" t="s">
        <v>9</v>
      </c>
      <c r="L3358" s="108"/>
      <c r="M3358" s="108"/>
      <c r="N3358" s="108" t="str">
        <v>H432H482</v>
      </c>
      <c r="O3358" s="108">
        <f t="shared" si="54"/>
        <v>1</v>
      </c>
      <c r="P3358" s="108"/>
      <c r="Q3358"/>
    </row>
    <row r="3359" spans="1:17" x14ac:dyDescent="0.25">
      <c r="A3359" s="89" t="s">
        <v>5802</v>
      </c>
      <c r="B3359" s="87" t="s">
        <v>5803</v>
      </c>
      <c r="C3359" s="87" t="s">
        <v>10</v>
      </c>
      <c r="D3359" s="87" t="str">
        <f>VLOOKUP(Tabela1[[#This Row],[Origem]], 'Perguntas 1 a 24'!$J$28:$K$34, 2, 0)</f>
        <v>Centro-Oeste</v>
      </c>
      <c r="E3359" s="87" t="str">
        <f>Tabela1[[#This Row],[Descrição]]&amp;"-"&amp;Tabela1[[#This Row],[Código]]&amp;"/"&amp;Tabela1[[#This Row],[Origem]]</f>
        <v>Vepinipude-P464H243/GO</v>
      </c>
      <c r="F3359" s="88">
        <v>47511</v>
      </c>
      <c r="G3359" s="88" t="str" cm="1">
        <f t="array" ref="G33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AND(F3359&gt;= DATE(2026,1,1), F3359&lt;= DATE(2028, 12, 31), J3359&gt;50000), "Pendente e Caro", AND(F3359&gt;= DATE(2026,1,1), F3359&lt;= DATE(2028, 12, 31), J3359&lt;=50000), "Pendente", F3359&gt;= DATE(2029,1,1), "Não prioeitário")</f>
        <v>Não prioeitário</v>
      </c>
      <c r="H3359" s="89">
        <f>YEAR(Tabela1[[#This Row],[Data de Validade]])</f>
        <v>2030</v>
      </c>
      <c r="I3359" s="89">
        <f>MONTH(Tabela1[[#This Row],[Data de Validade]])</f>
        <v>1</v>
      </c>
      <c r="J3359" s="101">
        <v>112425</v>
      </c>
      <c r="K3359" s="87" t="s">
        <v>11</v>
      </c>
      <c r="L3359" s="108"/>
      <c r="M3359" s="108"/>
      <c r="N3359" s="108" t="str">
        <v>H457P386</v>
      </c>
      <c r="O3359" s="108">
        <f t="shared" si="54"/>
        <v>5</v>
      </c>
      <c r="P3359" s="108"/>
      <c r="Q3359"/>
    </row>
    <row r="3360" spans="1:17" x14ac:dyDescent="0.25">
      <c r="A3360" s="89" t="s">
        <v>3970</v>
      </c>
      <c r="B3360" s="87" t="s">
        <v>3971</v>
      </c>
      <c r="C3360" s="87" t="s">
        <v>10</v>
      </c>
      <c r="D3360" s="87" t="str">
        <f>VLOOKUP(Tabela1[[#This Row],[Origem]], 'Perguntas 1 a 24'!$J$28:$K$34, 2, 0)</f>
        <v>Centro-Oeste</v>
      </c>
      <c r="E3360" s="87" t="str">
        <f>Tabela1[[#This Row],[Descrição]]&amp;"-"&amp;Tabela1[[#This Row],[Código]]&amp;"/"&amp;Tabela1[[#This Row],[Origem]]</f>
        <v>Minuvete-H481H884/GO</v>
      </c>
      <c r="F3360" s="88">
        <v>47511</v>
      </c>
      <c r="G3360" s="88" t="str" cm="1">
        <f t="array" ref="G33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AND(F3360&gt;= DATE(2026,1,1), F3360&lt;= DATE(2028, 12, 31), J3360&gt;50000), "Pendente e Caro", AND(F3360&gt;= DATE(2026,1,1), F3360&lt;= DATE(2028, 12, 31), J3360&lt;=50000), "Pendente", F3360&gt;= DATE(2029,1,1), "Não prioeitário")</f>
        <v>Não prioeitário</v>
      </c>
      <c r="H3360" s="89">
        <f>YEAR(Tabela1[[#This Row],[Data de Validade]])</f>
        <v>2030</v>
      </c>
      <c r="I3360" s="89">
        <f>MONTH(Tabela1[[#This Row],[Data de Validade]])</f>
        <v>1</v>
      </c>
      <c r="J3360" s="101">
        <v>36593</v>
      </c>
      <c r="K3360" s="87" t="s">
        <v>14</v>
      </c>
      <c r="L3360" s="108"/>
      <c r="M3360" s="108"/>
      <c r="N3360" s="108" t="str">
        <v>P627P465</v>
      </c>
      <c r="O3360" s="108">
        <f t="shared" si="54"/>
        <v>1</v>
      </c>
      <c r="P3360" s="108"/>
      <c r="Q3360"/>
    </row>
    <row r="3361" spans="1:17" x14ac:dyDescent="0.25">
      <c r="A3361" s="89" t="s">
        <v>3900</v>
      </c>
      <c r="B3361" s="87" t="s">
        <v>3901</v>
      </c>
      <c r="C3361" s="87" t="s">
        <v>13</v>
      </c>
      <c r="D3361" s="87" t="str">
        <f>VLOOKUP(Tabela1[[#This Row],[Origem]], 'Perguntas 1 a 24'!$J$28:$K$34, 2, 0)</f>
        <v>Sudeste</v>
      </c>
      <c r="E3361" s="87" t="str">
        <f>Tabela1[[#This Row],[Descrição]]&amp;"-"&amp;Tabela1[[#This Row],[Código]]&amp;"/"&amp;Tabela1[[#This Row],[Origem]]</f>
        <v>Lodiradopo-P753H347/SP</v>
      </c>
      <c r="F3361" s="88">
        <v>47512</v>
      </c>
      <c r="G3361" s="88" t="str" cm="1">
        <f t="array" ref="G33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AND(F3361&gt;= DATE(2026,1,1), F3361&lt;= DATE(2028, 12, 31), J3361&gt;50000), "Pendente e Caro", AND(F3361&gt;= DATE(2026,1,1), F3361&lt;= DATE(2028, 12, 31), J3361&lt;=50000), "Pendente", F3361&gt;= DATE(2029,1,1), "Não prioeitário")</f>
        <v>Não prioeitário</v>
      </c>
      <c r="H3361" s="89">
        <f>YEAR(Tabela1[[#This Row],[Data de Validade]])</f>
        <v>2030</v>
      </c>
      <c r="I3361" s="89">
        <f>MONTH(Tabela1[[#This Row],[Data de Validade]])</f>
        <v>1</v>
      </c>
      <c r="J3361" s="101">
        <v>88359</v>
      </c>
      <c r="K3361" s="87" t="s">
        <v>7</v>
      </c>
      <c r="L3361" s="108"/>
      <c r="M3361" s="108"/>
      <c r="N3361" s="108" t="str">
        <v>P871P913</v>
      </c>
      <c r="O3361" s="108">
        <f t="shared" si="54"/>
        <v>1</v>
      </c>
      <c r="P3361" s="108"/>
      <c r="Q3361"/>
    </row>
    <row r="3362" spans="1:17" x14ac:dyDescent="0.25">
      <c r="A3362" s="89" t="s">
        <v>8569</v>
      </c>
      <c r="B3362" s="87" t="s">
        <v>8570</v>
      </c>
      <c r="C3362" s="87" t="s">
        <v>6</v>
      </c>
      <c r="D3362" s="87" t="str">
        <f>VLOOKUP(Tabela1[[#This Row],[Origem]], 'Perguntas 1 a 24'!$J$28:$K$34, 2, 0)</f>
        <v>Nordeste</v>
      </c>
      <c r="E3362" s="87" t="str">
        <f>Tabela1[[#This Row],[Descrição]]&amp;"-"&amp;Tabela1[[#This Row],[Código]]&amp;"/"&amp;Tabela1[[#This Row],[Origem]]</f>
        <v>Gurire-H432H482/MA</v>
      </c>
      <c r="F3362" s="88">
        <v>47513</v>
      </c>
      <c r="G3362" s="88" t="str" cm="1">
        <f t="array" ref="G33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AND(F3362&gt;= DATE(2026,1,1), F3362&lt;= DATE(2028, 12, 31), J3362&gt;50000), "Pendente e Caro", AND(F3362&gt;= DATE(2026,1,1), F3362&lt;= DATE(2028, 12, 31), J3362&lt;=50000), "Pendente", F3362&gt;= DATE(2029,1,1), "Não prioeitário")</f>
        <v>Não prioeitário</v>
      </c>
      <c r="H3362" s="89">
        <f>YEAR(Tabela1[[#This Row],[Data de Validade]])</f>
        <v>2030</v>
      </c>
      <c r="I3362" s="89">
        <f>MONTH(Tabela1[[#This Row],[Data de Validade]])</f>
        <v>1</v>
      </c>
      <c r="J3362" s="101">
        <v>119766</v>
      </c>
      <c r="K3362" s="87" t="s">
        <v>9</v>
      </c>
      <c r="L3362" s="108"/>
      <c r="M3362" s="108"/>
      <c r="N3362" s="108" t="str">
        <v>H853P655</v>
      </c>
      <c r="O3362" s="108">
        <f t="shared" si="54"/>
        <v>1</v>
      </c>
      <c r="P3362" s="108"/>
      <c r="Q3362"/>
    </row>
    <row r="3363" spans="1:17" x14ac:dyDescent="0.25">
      <c r="A3363" s="89" t="s">
        <v>3760</v>
      </c>
      <c r="B3363" s="87" t="s">
        <v>3761</v>
      </c>
      <c r="C3363" s="87" t="s">
        <v>8</v>
      </c>
      <c r="D3363" s="87" t="str">
        <f>VLOOKUP(Tabela1[[#This Row],[Origem]], 'Perguntas 1 a 24'!$J$28:$K$34, 2, 0)</f>
        <v>Nordeste</v>
      </c>
      <c r="E3363" s="87" t="str">
        <f>Tabela1[[#This Row],[Descrição]]&amp;"-"&amp;Tabela1[[#This Row],[Código]]&amp;"/"&amp;Tabela1[[#This Row],[Origem]]</f>
        <v>Futurupa-H457P386/AL</v>
      </c>
      <c r="F3363" s="88">
        <v>47513</v>
      </c>
      <c r="G3363" s="88" t="str" cm="1">
        <f t="array" ref="G33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AND(F3363&gt;= DATE(2026,1,1), F3363&lt;= DATE(2028, 12, 31), J3363&gt;50000), "Pendente e Caro", AND(F3363&gt;= DATE(2026,1,1), F3363&lt;= DATE(2028, 12, 31), J3363&lt;=50000), "Pendente", F3363&gt;= DATE(2029,1,1), "Não prioeitário")</f>
        <v>Não prioeitário</v>
      </c>
      <c r="H3363" s="89">
        <f>YEAR(Tabela1[[#This Row],[Data de Validade]])</f>
        <v>2030</v>
      </c>
      <c r="I3363" s="89">
        <f>MONTH(Tabela1[[#This Row],[Data de Validade]])</f>
        <v>1</v>
      </c>
      <c r="J3363" s="101">
        <v>75897</v>
      </c>
      <c r="K3363" s="87" t="s">
        <v>11</v>
      </c>
      <c r="L3363" s="108"/>
      <c r="M3363" s="108"/>
      <c r="N3363" s="108" t="str">
        <v>H689P673</v>
      </c>
      <c r="O3363" s="108">
        <f t="shared" si="54"/>
        <v>1</v>
      </c>
      <c r="P3363" s="108"/>
      <c r="Q3363"/>
    </row>
    <row r="3364" spans="1:17" x14ac:dyDescent="0.25">
      <c r="A3364" s="89" t="s">
        <v>3760</v>
      </c>
      <c r="B3364" s="87" t="s">
        <v>3761</v>
      </c>
      <c r="C3364" s="87" t="s">
        <v>8</v>
      </c>
      <c r="D3364" s="87" t="str">
        <f>VLOOKUP(Tabela1[[#This Row],[Origem]], 'Perguntas 1 a 24'!$J$28:$K$34, 2, 0)</f>
        <v>Nordeste</v>
      </c>
      <c r="E3364" s="87" t="str">
        <f>Tabela1[[#This Row],[Descrição]]&amp;"-"&amp;Tabela1[[#This Row],[Código]]&amp;"/"&amp;Tabela1[[#This Row],[Origem]]</f>
        <v>Futurupa-H457P386/AL</v>
      </c>
      <c r="F3364" s="88">
        <v>47513</v>
      </c>
      <c r="G3364" s="88" t="str" cm="1">
        <f t="array" ref="G33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AND(F3364&gt;= DATE(2026,1,1), F3364&lt;= DATE(2028, 12, 31), J3364&gt;50000), "Pendente e Caro", AND(F3364&gt;= DATE(2026,1,1), F3364&lt;= DATE(2028, 12, 31), J3364&lt;=50000), "Pendente", F3364&gt;= DATE(2029,1,1), "Não prioeitário")</f>
        <v>Não prioeitário</v>
      </c>
      <c r="H3364" s="89">
        <f>YEAR(Tabela1[[#This Row],[Data de Validade]])</f>
        <v>2030</v>
      </c>
      <c r="I3364" s="89">
        <f>MONTH(Tabela1[[#This Row],[Data de Validade]])</f>
        <v>1</v>
      </c>
      <c r="J3364" s="101">
        <v>75897</v>
      </c>
      <c r="K3364" s="87" t="s">
        <v>11</v>
      </c>
      <c r="L3364" s="108"/>
      <c r="M3364" s="108"/>
      <c r="N3364" s="108" t="str">
        <v>P698H851</v>
      </c>
      <c r="O3364" s="108">
        <f t="shared" si="54"/>
        <v>1</v>
      </c>
      <c r="P3364" s="108"/>
      <c r="Q3364"/>
    </row>
    <row r="3365" spans="1:17" x14ac:dyDescent="0.25">
      <c r="A3365" s="89" t="s">
        <v>3760</v>
      </c>
      <c r="B3365" s="87" t="s">
        <v>3761</v>
      </c>
      <c r="C3365" s="87" t="s">
        <v>8</v>
      </c>
      <c r="D3365" s="87" t="str">
        <f>VLOOKUP(Tabela1[[#This Row],[Origem]], 'Perguntas 1 a 24'!$J$28:$K$34, 2, 0)</f>
        <v>Nordeste</v>
      </c>
      <c r="E3365" s="87" t="str">
        <f>Tabela1[[#This Row],[Descrição]]&amp;"-"&amp;Tabela1[[#This Row],[Código]]&amp;"/"&amp;Tabela1[[#This Row],[Origem]]</f>
        <v>Futurupa-H457P386/AL</v>
      </c>
      <c r="F3365" s="88">
        <v>47513</v>
      </c>
      <c r="G3365" s="88" t="str" cm="1">
        <f t="array" ref="G33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AND(F3365&gt;= DATE(2026,1,1), F3365&lt;= DATE(2028, 12, 31), J3365&gt;50000), "Pendente e Caro", AND(F3365&gt;= DATE(2026,1,1), F3365&lt;= DATE(2028, 12, 31), J3365&lt;=50000), "Pendente", F3365&gt;= DATE(2029,1,1), "Não prioeitário")</f>
        <v>Não prioeitário</v>
      </c>
      <c r="H3365" s="89">
        <f>YEAR(Tabela1[[#This Row],[Data de Validade]])</f>
        <v>2030</v>
      </c>
      <c r="I3365" s="89">
        <f>MONTH(Tabela1[[#This Row],[Data de Validade]])</f>
        <v>1</v>
      </c>
      <c r="J3365" s="101">
        <v>75897</v>
      </c>
      <c r="K3365" s="87" t="s">
        <v>11</v>
      </c>
      <c r="L3365" s="108"/>
      <c r="M3365" s="108"/>
      <c r="N3365" s="108" t="str">
        <v>P178H222</v>
      </c>
      <c r="O3365" s="108">
        <f t="shared" si="54"/>
        <v>1</v>
      </c>
      <c r="P3365" s="108"/>
      <c r="Q3365"/>
    </row>
    <row r="3366" spans="1:17" x14ac:dyDescent="0.25">
      <c r="A3366" s="89" t="s">
        <v>3760</v>
      </c>
      <c r="B3366" s="87" t="s">
        <v>3761</v>
      </c>
      <c r="C3366" s="87" t="s">
        <v>8</v>
      </c>
      <c r="D3366" s="87" t="str">
        <f>VLOOKUP(Tabela1[[#This Row],[Origem]], 'Perguntas 1 a 24'!$J$28:$K$34, 2, 0)</f>
        <v>Nordeste</v>
      </c>
      <c r="E3366" s="87" t="str">
        <f>Tabela1[[#This Row],[Descrição]]&amp;"-"&amp;Tabela1[[#This Row],[Código]]&amp;"/"&amp;Tabela1[[#This Row],[Origem]]</f>
        <v>Futurupa-H457P386/AL</v>
      </c>
      <c r="F3366" s="88">
        <v>47513</v>
      </c>
      <c r="G3366" s="88" t="str" cm="1">
        <f t="array" ref="G33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AND(F3366&gt;= DATE(2026,1,1), F3366&lt;= DATE(2028, 12, 31), J3366&gt;50000), "Pendente e Caro", AND(F3366&gt;= DATE(2026,1,1), F3366&lt;= DATE(2028, 12, 31), J3366&lt;=50000), "Pendente", F3366&gt;= DATE(2029,1,1), "Não prioeitário")</f>
        <v>Não prioeitário</v>
      </c>
      <c r="H3366" s="89">
        <f>YEAR(Tabela1[[#This Row],[Data de Validade]])</f>
        <v>2030</v>
      </c>
      <c r="I3366" s="89">
        <f>MONTH(Tabela1[[#This Row],[Data de Validade]])</f>
        <v>1</v>
      </c>
      <c r="J3366" s="101">
        <v>75897</v>
      </c>
      <c r="K3366" s="87" t="s">
        <v>11</v>
      </c>
      <c r="L3366" s="108"/>
      <c r="M3366" s="108"/>
      <c r="N3366" s="108" t="str">
        <v>H196P245</v>
      </c>
      <c r="O3366" s="108">
        <f t="shared" si="54"/>
        <v>1</v>
      </c>
      <c r="P3366" s="108"/>
      <c r="Q3366"/>
    </row>
    <row r="3367" spans="1:17" x14ac:dyDescent="0.25">
      <c r="A3367" s="89" t="s">
        <v>3760</v>
      </c>
      <c r="B3367" s="87" t="s">
        <v>3761</v>
      </c>
      <c r="C3367" s="87" t="s">
        <v>8</v>
      </c>
      <c r="D3367" s="87" t="str">
        <f>VLOOKUP(Tabela1[[#This Row],[Origem]], 'Perguntas 1 a 24'!$J$28:$K$34, 2, 0)</f>
        <v>Nordeste</v>
      </c>
      <c r="E3367" s="87" t="str">
        <f>Tabela1[[#This Row],[Descrição]]&amp;"-"&amp;Tabela1[[#This Row],[Código]]&amp;"/"&amp;Tabela1[[#This Row],[Origem]]</f>
        <v>Futurupa-H457P386/AL</v>
      </c>
      <c r="F3367" s="88">
        <v>47513</v>
      </c>
      <c r="G3367" s="88" t="str" cm="1">
        <f t="array" ref="G33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AND(F3367&gt;= DATE(2026,1,1), F3367&lt;= DATE(2028, 12, 31), J3367&gt;50000), "Pendente e Caro", AND(F3367&gt;= DATE(2026,1,1), F3367&lt;= DATE(2028, 12, 31), J3367&lt;=50000), "Pendente", F3367&gt;= DATE(2029,1,1), "Não prioeitário")</f>
        <v>Não prioeitário</v>
      </c>
      <c r="H3367" s="89">
        <f>YEAR(Tabela1[[#This Row],[Data de Validade]])</f>
        <v>2030</v>
      </c>
      <c r="I3367" s="89">
        <f>MONTH(Tabela1[[#This Row],[Data de Validade]])</f>
        <v>1</v>
      </c>
      <c r="J3367" s="101">
        <v>75897</v>
      </c>
      <c r="K3367" s="87" t="s">
        <v>11</v>
      </c>
      <c r="L3367" s="108"/>
      <c r="M3367" s="108"/>
      <c r="N3367" s="108" t="str">
        <v>P524H257</v>
      </c>
      <c r="O3367" s="108">
        <f t="shared" si="54"/>
        <v>1</v>
      </c>
      <c r="P3367" s="108"/>
      <c r="Q3367"/>
    </row>
    <row r="3368" spans="1:17" x14ac:dyDescent="0.25">
      <c r="A3368" s="89" t="s">
        <v>8741</v>
      </c>
      <c r="B3368" s="87" t="s">
        <v>8742</v>
      </c>
      <c r="C3368" s="87" t="s">
        <v>6</v>
      </c>
      <c r="D3368" s="87" t="str">
        <f>VLOOKUP(Tabela1[[#This Row],[Origem]], 'Perguntas 1 a 24'!$J$28:$K$34, 2, 0)</f>
        <v>Nordeste</v>
      </c>
      <c r="E3368" s="87" t="str">
        <f>Tabela1[[#This Row],[Descrição]]&amp;"-"&amp;Tabela1[[#This Row],[Código]]&amp;"/"&amp;Tabela1[[#This Row],[Origem]]</f>
        <v>Figinale-P627P465/MA</v>
      </c>
      <c r="F3368" s="88">
        <v>47513</v>
      </c>
      <c r="G3368" s="88" t="str" cm="1">
        <f t="array" ref="G33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AND(F3368&gt;= DATE(2026,1,1), F3368&lt;= DATE(2028, 12, 31), J3368&gt;50000), "Pendente e Caro", AND(F3368&gt;= DATE(2026,1,1), F3368&lt;= DATE(2028, 12, 31), J3368&lt;=50000), "Pendente", F3368&gt;= DATE(2029,1,1), "Não prioeitário")</f>
        <v>Não prioeitário</v>
      </c>
      <c r="H3368" s="89">
        <f>YEAR(Tabela1[[#This Row],[Data de Validade]])</f>
        <v>2030</v>
      </c>
      <c r="I3368" s="89">
        <f>MONTH(Tabela1[[#This Row],[Data de Validade]])</f>
        <v>1</v>
      </c>
      <c r="J3368" s="101">
        <v>63322</v>
      </c>
      <c r="K3368" s="87" t="s">
        <v>9</v>
      </c>
      <c r="L3368" s="108"/>
      <c r="M3368" s="108"/>
      <c r="N3368" s="108" t="str">
        <v>H816P917</v>
      </c>
      <c r="O3368" s="108">
        <f t="shared" si="54"/>
        <v>1</v>
      </c>
      <c r="P3368" s="108"/>
      <c r="Q3368"/>
    </row>
    <row r="3369" spans="1:17" x14ac:dyDescent="0.25">
      <c r="A3369" s="89" t="s">
        <v>5366</v>
      </c>
      <c r="B3369" s="87" t="s">
        <v>5367</v>
      </c>
      <c r="C3369" s="87" t="s">
        <v>15</v>
      </c>
      <c r="D3369" s="87" t="str">
        <f>VLOOKUP(Tabela1[[#This Row],[Origem]], 'Perguntas 1 a 24'!$J$28:$K$34, 2, 0)</f>
        <v>Sudeste</v>
      </c>
      <c r="E3369" s="87" t="str">
        <f>Tabela1[[#This Row],[Descrição]]&amp;"-"&amp;Tabela1[[#This Row],[Código]]&amp;"/"&amp;Tabela1[[#This Row],[Origem]]</f>
        <v>Cipipo-P871P913/ES</v>
      </c>
      <c r="F3369" s="88">
        <v>47517</v>
      </c>
      <c r="G3369" s="88" t="str" cm="1">
        <f t="array" ref="G33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AND(F3369&gt;= DATE(2026,1,1), F3369&lt;= DATE(2028, 12, 31), J3369&gt;50000), "Pendente e Caro", AND(F3369&gt;= DATE(2026,1,1), F3369&lt;= DATE(2028, 12, 31), J3369&lt;=50000), "Pendente", F3369&gt;= DATE(2029,1,1), "Não prioeitário")</f>
        <v>Não prioeitário</v>
      </c>
      <c r="H3369" s="89">
        <f>YEAR(Tabela1[[#This Row],[Data de Validade]])</f>
        <v>2030</v>
      </c>
      <c r="I3369" s="89">
        <f>MONTH(Tabela1[[#This Row],[Data de Validade]])</f>
        <v>2</v>
      </c>
      <c r="J3369" s="101">
        <v>25119</v>
      </c>
      <c r="K3369" s="87" t="s">
        <v>7</v>
      </c>
      <c r="L3369" s="108"/>
      <c r="M3369" s="108"/>
      <c r="N3369" s="108" t="str">
        <v>H454H735</v>
      </c>
      <c r="O3369" s="108">
        <f t="shared" si="54"/>
        <v>1</v>
      </c>
      <c r="P3369" s="108"/>
      <c r="Q3369"/>
    </row>
    <row r="3370" spans="1:17" x14ac:dyDescent="0.25">
      <c r="A3370" s="89" t="s">
        <v>7550</v>
      </c>
      <c r="B3370" s="87" t="s">
        <v>7551</v>
      </c>
      <c r="C3370" s="87" t="s">
        <v>13</v>
      </c>
      <c r="D3370" s="87" t="str">
        <f>VLOOKUP(Tabela1[[#This Row],[Origem]], 'Perguntas 1 a 24'!$J$28:$K$34, 2, 0)</f>
        <v>Sudeste</v>
      </c>
      <c r="E3370" s="87" t="str">
        <f>Tabela1[[#This Row],[Descrição]]&amp;"-"&amp;Tabela1[[#This Row],[Código]]&amp;"/"&amp;Tabela1[[#This Row],[Origem]]</f>
        <v>Rimupapi-H853P655/SP</v>
      </c>
      <c r="F3370" s="88">
        <v>47518</v>
      </c>
      <c r="G3370" s="88" t="str" cm="1">
        <f t="array" ref="G33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AND(F3370&gt;= DATE(2026,1,1), F3370&lt;= DATE(2028, 12, 31), J3370&gt;50000), "Pendente e Caro", AND(F3370&gt;= DATE(2026,1,1), F3370&lt;= DATE(2028, 12, 31), J3370&lt;=50000), "Pendente", F3370&gt;= DATE(2029,1,1), "Não prioeitário")</f>
        <v>Não prioeitário</v>
      </c>
      <c r="H3370" s="89">
        <f>YEAR(Tabela1[[#This Row],[Data de Validade]])</f>
        <v>2030</v>
      </c>
      <c r="I3370" s="89">
        <f>MONTH(Tabela1[[#This Row],[Data de Validade]])</f>
        <v>2</v>
      </c>
      <c r="J3370" s="101">
        <v>119664</v>
      </c>
      <c r="K3370" s="87" t="s">
        <v>14</v>
      </c>
      <c r="L3370" s="108"/>
      <c r="M3370" s="108"/>
      <c r="N3370" s="108" t="str">
        <v>H694H512</v>
      </c>
      <c r="O3370" s="108">
        <f t="shared" si="54"/>
        <v>1</v>
      </c>
      <c r="P3370" s="108"/>
      <c r="Q3370"/>
    </row>
    <row r="3371" spans="1:17" x14ac:dyDescent="0.25">
      <c r="A3371" s="89" t="s">
        <v>4710</v>
      </c>
      <c r="B3371" s="87" t="s">
        <v>4711</v>
      </c>
      <c r="C3371" s="87" t="s">
        <v>13</v>
      </c>
      <c r="D3371" s="87" t="str">
        <f>VLOOKUP(Tabela1[[#This Row],[Origem]], 'Perguntas 1 a 24'!$J$28:$K$34, 2, 0)</f>
        <v>Sudeste</v>
      </c>
      <c r="E3371" s="87" t="str">
        <f>Tabela1[[#This Row],[Descrição]]&amp;"-"&amp;Tabela1[[#This Row],[Código]]&amp;"/"&amp;Tabela1[[#This Row],[Origem]]</f>
        <v>Tipipavepu-H689P673/SP</v>
      </c>
      <c r="F3371" s="88">
        <v>47520</v>
      </c>
      <c r="G3371" s="88" t="str" cm="1">
        <f t="array" ref="G33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AND(F3371&gt;= DATE(2026,1,1), F3371&lt;= DATE(2028, 12, 31), J3371&gt;50000), "Pendente e Caro", AND(F3371&gt;= DATE(2026,1,1), F3371&lt;= DATE(2028, 12, 31), J3371&lt;=50000), "Pendente", F3371&gt;= DATE(2029,1,1), "Não prioeitário")</f>
        <v>Não prioeitário</v>
      </c>
      <c r="H3371" s="89">
        <f>YEAR(Tabela1[[#This Row],[Data de Validade]])</f>
        <v>2030</v>
      </c>
      <c r="I3371" s="89">
        <f>MONTH(Tabela1[[#This Row],[Data de Validade]])</f>
        <v>2</v>
      </c>
      <c r="J3371" s="101">
        <v>85943</v>
      </c>
      <c r="K3371" s="87" t="s">
        <v>9</v>
      </c>
      <c r="L3371" s="108"/>
      <c r="M3371" s="108"/>
      <c r="N3371" s="108" t="str">
        <v>P651H985</v>
      </c>
      <c r="O3371" s="108">
        <f t="shared" si="54"/>
        <v>1</v>
      </c>
      <c r="P3371" s="108"/>
      <c r="Q3371"/>
    </row>
    <row r="3372" spans="1:17" x14ac:dyDescent="0.25">
      <c r="A3372" s="89" t="s">
        <v>9023</v>
      </c>
      <c r="B3372" s="87" t="s">
        <v>9024</v>
      </c>
      <c r="C3372" s="87" t="s">
        <v>8</v>
      </c>
      <c r="D3372" s="87" t="str">
        <f>VLOOKUP(Tabela1[[#This Row],[Origem]], 'Perguntas 1 a 24'!$J$28:$K$34, 2, 0)</f>
        <v>Nordeste</v>
      </c>
      <c r="E3372" s="87" t="str">
        <f>Tabela1[[#This Row],[Descrição]]&amp;"-"&amp;Tabela1[[#This Row],[Código]]&amp;"/"&amp;Tabela1[[#This Row],[Origem]]</f>
        <v>Golomanute-P698H851/AL</v>
      </c>
      <c r="F3372" s="88">
        <v>47520</v>
      </c>
      <c r="G3372" s="88" t="str" cm="1">
        <f t="array" ref="G33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AND(F3372&gt;= DATE(2026,1,1), F3372&lt;= DATE(2028, 12, 31), J3372&gt;50000), "Pendente e Caro", AND(F3372&gt;= DATE(2026,1,1), F3372&lt;= DATE(2028, 12, 31), J3372&lt;=50000), "Pendente", F3372&gt;= DATE(2029,1,1), "Não prioeitário")</f>
        <v>Não prioeitário</v>
      </c>
      <c r="H3372" s="89">
        <f>YEAR(Tabela1[[#This Row],[Data de Validade]])</f>
        <v>2030</v>
      </c>
      <c r="I3372" s="89">
        <f>MONTH(Tabela1[[#This Row],[Data de Validade]])</f>
        <v>2</v>
      </c>
      <c r="J3372" s="101">
        <v>35634</v>
      </c>
      <c r="K3372" s="87" t="s">
        <v>11</v>
      </c>
      <c r="L3372" s="108"/>
      <c r="M3372" s="108"/>
      <c r="N3372" s="108" t="str">
        <v>P975H296</v>
      </c>
      <c r="O3372" s="108">
        <f t="shared" si="54"/>
        <v>1</v>
      </c>
      <c r="P3372" s="108"/>
      <c r="Q3372"/>
    </row>
    <row r="3373" spans="1:17" x14ac:dyDescent="0.25">
      <c r="A3373" s="89" t="s">
        <v>5562</v>
      </c>
      <c r="B3373" s="87" t="s">
        <v>5563</v>
      </c>
      <c r="C3373" s="87" t="s">
        <v>16</v>
      </c>
      <c r="D3373" s="87" t="str">
        <f>VLOOKUP(Tabela1[[#This Row],[Origem]], 'Perguntas 1 a 24'!$J$28:$K$34, 2, 0)</f>
        <v>Sudeste</v>
      </c>
      <c r="E3373" s="87" t="str">
        <f>Tabela1[[#This Row],[Descrição]]&amp;"-"&amp;Tabela1[[#This Row],[Código]]&amp;"/"&amp;Tabela1[[#This Row],[Origem]]</f>
        <v>Fidefutumo-P178H222/MG</v>
      </c>
      <c r="F3373" s="88">
        <v>47521</v>
      </c>
      <c r="G3373" s="88" t="str" cm="1">
        <f t="array" ref="G33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AND(F3373&gt;= DATE(2026,1,1), F3373&lt;= DATE(2028, 12, 31), J3373&gt;50000), "Pendente e Caro", AND(F3373&gt;= DATE(2026,1,1), F3373&lt;= DATE(2028, 12, 31), J3373&lt;=50000), "Pendente", F3373&gt;= DATE(2029,1,1), "Não prioeitário")</f>
        <v>Não prioeitário</v>
      </c>
      <c r="H3373" s="89">
        <f>YEAR(Tabela1[[#This Row],[Data de Validade]])</f>
        <v>2030</v>
      </c>
      <c r="I3373" s="89">
        <f>MONTH(Tabela1[[#This Row],[Data de Validade]])</f>
        <v>2</v>
      </c>
      <c r="J3373" s="101">
        <v>96805</v>
      </c>
      <c r="K3373" s="87" t="s">
        <v>7</v>
      </c>
      <c r="L3373" s="108"/>
      <c r="M3373" s="108"/>
      <c r="N3373" s="108" t="str">
        <v>P371P564</v>
      </c>
      <c r="O3373" s="108">
        <f t="shared" si="54"/>
        <v>1</v>
      </c>
      <c r="P3373" s="108"/>
      <c r="Q3373"/>
    </row>
    <row r="3374" spans="1:17" x14ac:dyDescent="0.25">
      <c r="A3374" s="89" t="s">
        <v>9817</v>
      </c>
      <c r="B3374" s="87" t="s">
        <v>9818</v>
      </c>
      <c r="C3374" s="87" t="s">
        <v>15</v>
      </c>
      <c r="D3374" s="87" t="str">
        <f>VLOOKUP(Tabela1[[#This Row],[Origem]], 'Perguntas 1 a 24'!$J$28:$K$34, 2, 0)</f>
        <v>Sudeste</v>
      </c>
      <c r="E3374" s="87" t="str">
        <f>Tabela1[[#This Row],[Descrição]]&amp;"-"&amp;Tabela1[[#This Row],[Código]]&amp;"/"&amp;Tabela1[[#This Row],[Origem]]</f>
        <v>Pagupa-H196P245/ES</v>
      </c>
      <c r="F3374" s="88">
        <v>47522</v>
      </c>
      <c r="G3374" s="88" t="str" cm="1">
        <f t="array" ref="G33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AND(F3374&gt;= DATE(2026,1,1), F3374&lt;= DATE(2028, 12, 31), J3374&gt;50000), "Pendente e Caro", AND(F3374&gt;= DATE(2026,1,1), F3374&lt;= DATE(2028, 12, 31), J3374&lt;=50000), "Pendente", F3374&gt;= DATE(2029,1,1), "Não prioeitário")</f>
        <v>Não prioeitário</v>
      </c>
      <c r="H3374" s="89">
        <f>YEAR(Tabela1[[#This Row],[Data de Validade]])</f>
        <v>2030</v>
      </c>
      <c r="I3374" s="89">
        <f>MONTH(Tabela1[[#This Row],[Data de Validade]])</f>
        <v>2</v>
      </c>
      <c r="J3374" s="101">
        <v>93428</v>
      </c>
      <c r="K3374" s="87" t="s">
        <v>11</v>
      </c>
      <c r="L3374" s="108"/>
      <c r="M3374" s="108"/>
      <c r="N3374" s="108" t="str">
        <v>P544H776</v>
      </c>
      <c r="O3374" s="108">
        <f t="shared" si="54"/>
        <v>1</v>
      </c>
      <c r="P3374" s="108"/>
      <c r="Q3374"/>
    </row>
    <row r="3375" spans="1:17" x14ac:dyDescent="0.25">
      <c r="A3375" s="89" t="s">
        <v>10307</v>
      </c>
      <c r="B3375" s="87" t="s">
        <v>10308</v>
      </c>
      <c r="C3375" s="87" t="s">
        <v>16</v>
      </c>
      <c r="D3375" s="87" t="str">
        <f>VLOOKUP(Tabela1[[#This Row],[Origem]], 'Perguntas 1 a 24'!$J$28:$K$34, 2, 0)</f>
        <v>Sudeste</v>
      </c>
      <c r="E3375" s="87" t="str">
        <f>Tabela1[[#This Row],[Descrição]]&amp;"-"&amp;Tabela1[[#This Row],[Código]]&amp;"/"&amp;Tabela1[[#This Row],[Origem]]</f>
        <v>Liripapopo-P524H257/MG</v>
      </c>
      <c r="F3375" s="88">
        <v>47522</v>
      </c>
      <c r="G3375" s="88" t="str" cm="1">
        <f t="array" ref="G33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AND(F3375&gt;= DATE(2026,1,1), F3375&lt;= DATE(2028, 12, 31), J3375&gt;50000), "Pendente e Caro", AND(F3375&gt;= DATE(2026,1,1), F3375&lt;= DATE(2028, 12, 31), J3375&lt;=50000), "Pendente", F3375&gt;= DATE(2029,1,1), "Não prioeitário")</f>
        <v>Não prioeitário</v>
      </c>
      <c r="H3375" s="89">
        <f>YEAR(Tabela1[[#This Row],[Data de Validade]])</f>
        <v>2030</v>
      </c>
      <c r="I3375" s="89">
        <f>MONTH(Tabela1[[#This Row],[Data de Validade]])</f>
        <v>2</v>
      </c>
      <c r="J3375" s="101">
        <v>35860</v>
      </c>
      <c r="K3375" s="87" t="s">
        <v>14</v>
      </c>
      <c r="L3375" s="108"/>
      <c r="M3375" s="108"/>
      <c r="N3375" s="108" t="str">
        <v>P895H443</v>
      </c>
      <c r="O3375" s="108">
        <f t="shared" si="54"/>
        <v>1</v>
      </c>
      <c r="P3375" s="108"/>
      <c r="Q3375"/>
    </row>
    <row r="3376" spans="1:17" x14ac:dyDescent="0.25">
      <c r="A3376" s="89" t="s">
        <v>7820</v>
      </c>
      <c r="B3376" s="87" t="s">
        <v>7821</v>
      </c>
      <c r="C3376" s="87" t="s">
        <v>12</v>
      </c>
      <c r="D3376" s="87" t="str">
        <f>VLOOKUP(Tabela1[[#This Row],[Origem]], 'Perguntas 1 a 24'!$J$28:$K$34, 2, 0)</f>
        <v>Sudeste</v>
      </c>
      <c r="E3376" s="87" t="str">
        <f>Tabela1[[#This Row],[Descrição]]&amp;"-"&amp;Tabela1[[#This Row],[Código]]&amp;"/"&amp;Tabela1[[#This Row],[Origem]]</f>
        <v>Panulu-H816P917/RJ</v>
      </c>
      <c r="F3376" s="88">
        <v>47523</v>
      </c>
      <c r="G3376" s="88" t="str" cm="1">
        <f t="array" ref="G33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AND(F3376&gt;= DATE(2026,1,1), F3376&lt;= DATE(2028, 12, 31), J3376&gt;50000), "Pendente e Caro", AND(F3376&gt;= DATE(2026,1,1), F3376&lt;= DATE(2028, 12, 31), J3376&lt;=50000), "Pendente", F3376&gt;= DATE(2029,1,1), "Não prioeitário")</f>
        <v>Não prioeitário</v>
      </c>
      <c r="H3376" s="89">
        <f>YEAR(Tabela1[[#This Row],[Data de Validade]])</f>
        <v>2030</v>
      </c>
      <c r="I3376" s="89">
        <f>MONTH(Tabela1[[#This Row],[Data de Validade]])</f>
        <v>2</v>
      </c>
      <c r="J3376" s="101">
        <v>101070</v>
      </c>
      <c r="K3376" s="87" t="s">
        <v>11</v>
      </c>
      <c r="L3376" s="108"/>
      <c r="M3376" s="108"/>
      <c r="N3376" s="108" t="str">
        <v>P347P286</v>
      </c>
      <c r="O3376" s="108">
        <f t="shared" si="54"/>
        <v>1</v>
      </c>
      <c r="P3376" s="108"/>
      <c r="Q3376"/>
    </row>
    <row r="3377" spans="1:17" x14ac:dyDescent="0.25">
      <c r="A3377" s="89" t="s">
        <v>5272</v>
      </c>
      <c r="B3377" s="87" t="s">
        <v>5273</v>
      </c>
      <c r="C3377" s="87" t="s">
        <v>12</v>
      </c>
      <c r="D3377" s="87" t="str">
        <f>VLOOKUP(Tabela1[[#This Row],[Origem]], 'Perguntas 1 a 24'!$J$28:$K$34, 2, 0)</f>
        <v>Sudeste</v>
      </c>
      <c r="E3377" s="87" t="str">
        <f>Tabela1[[#This Row],[Descrição]]&amp;"-"&amp;Tabela1[[#This Row],[Código]]&amp;"/"&amp;Tabela1[[#This Row],[Origem]]</f>
        <v>Vapotidu-H454H735/RJ</v>
      </c>
      <c r="F3377" s="88">
        <v>47524</v>
      </c>
      <c r="G3377" s="88" t="str" cm="1">
        <f t="array" ref="G33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AND(F3377&gt;= DATE(2026,1,1), F3377&lt;= DATE(2028, 12, 31), J3377&gt;50000), "Pendente e Caro", AND(F3377&gt;= DATE(2026,1,1), F3377&lt;= DATE(2028, 12, 31), J3377&lt;=50000), "Pendente", F3377&gt;= DATE(2029,1,1), "Não prioeitário")</f>
        <v>Não prioeitário</v>
      </c>
      <c r="H3377" s="89">
        <f>YEAR(Tabela1[[#This Row],[Data de Validade]])</f>
        <v>2030</v>
      </c>
      <c r="I3377" s="89">
        <f>MONTH(Tabela1[[#This Row],[Data de Validade]])</f>
        <v>2</v>
      </c>
      <c r="J3377" s="101">
        <v>96496</v>
      </c>
      <c r="K3377" s="87" t="s">
        <v>14</v>
      </c>
      <c r="L3377" s="108"/>
      <c r="M3377" s="108"/>
      <c r="N3377" s="108" t="str">
        <v>H596P813</v>
      </c>
      <c r="O3377" s="108">
        <f t="shared" si="54"/>
        <v>1</v>
      </c>
      <c r="P3377" s="108"/>
      <c r="Q3377"/>
    </row>
    <row r="3378" spans="1:17" x14ac:dyDescent="0.25">
      <c r="A3378" s="89" t="s">
        <v>5774</v>
      </c>
      <c r="B3378" s="87" t="s">
        <v>5775</v>
      </c>
      <c r="C3378" s="87" t="s">
        <v>16</v>
      </c>
      <c r="D3378" s="87" t="str">
        <f>VLOOKUP(Tabela1[[#This Row],[Origem]], 'Perguntas 1 a 24'!$J$28:$K$34, 2, 0)</f>
        <v>Sudeste</v>
      </c>
      <c r="E3378" s="87" t="str">
        <f>Tabela1[[#This Row],[Descrição]]&amp;"-"&amp;Tabela1[[#This Row],[Código]]&amp;"/"&amp;Tabela1[[#This Row],[Origem]]</f>
        <v>Filave-H694H512/MG</v>
      </c>
      <c r="F3378" s="88">
        <v>47525</v>
      </c>
      <c r="G3378" s="88" t="str" cm="1">
        <f t="array" ref="G33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AND(F3378&gt;= DATE(2026,1,1), F3378&lt;= DATE(2028, 12, 31), J3378&gt;50000), "Pendente e Caro", AND(F3378&gt;= DATE(2026,1,1), F3378&lt;= DATE(2028, 12, 31), J3378&lt;=50000), "Pendente", F3378&gt;= DATE(2029,1,1), "Não prioeitário")</f>
        <v>Não prioeitário</v>
      </c>
      <c r="H3378" s="89">
        <f>YEAR(Tabela1[[#This Row],[Data de Validade]])</f>
        <v>2030</v>
      </c>
      <c r="I3378" s="89">
        <f>MONTH(Tabela1[[#This Row],[Data de Validade]])</f>
        <v>2</v>
      </c>
      <c r="J3378" s="101">
        <v>74473</v>
      </c>
      <c r="K3378" s="87" t="s">
        <v>14</v>
      </c>
      <c r="L3378" s="108"/>
      <c r="M3378" s="108"/>
      <c r="N3378" s="108" t="str">
        <v>H751H866</v>
      </c>
      <c r="O3378" s="108">
        <f t="shared" si="54"/>
        <v>1</v>
      </c>
      <c r="P3378" s="108"/>
      <c r="Q3378"/>
    </row>
    <row r="3379" spans="1:17" x14ac:dyDescent="0.25">
      <c r="A3379" s="89" t="s">
        <v>5748</v>
      </c>
      <c r="B3379" s="87" t="s">
        <v>5749</v>
      </c>
      <c r="C3379" s="87" t="s">
        <v>16</v>
      </c>
      <c r="D3379" s="87" t="str">
        <f>VLOOKUP(Tabela1[[#This Row],[Origem]], 'Perguntas 1 a 24'!$J$28:$K$34, 2, 0)</f>
        <v>Sudeste</v>
      </c>
      <c r="E3379" s="87" t="str">
        <f>Tabela1[[#This Row],[Descrição]]&amp;"-"&amp;Tabela1[[#This Row],[Código]]&amp;"/"&amp;Tabela1[[#This Row],[Origem]]</f>
        <v>Cetaderari-P651H985/MG</v>
      </c>
      <c r="F3379" s="88">
        <v>47526</v>
      </c>
      <c r="G3379" s="88" t="str" cm="1">
        <f t="array" ref="G33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AND(F3379&gt;= DATE(2026,1,1), F3379&lt;= DATE(2028, 12, 31), J3379&gt;50000), "Pendente e Caro", AND(F3379&gt;= DATE(2026,1,1), F3379&lt;= DATE(2028, 12, 31), J3379&lt;=50000), "Pendente", F3379&gt;= DATE(2029,1,1), "Não prioeitário")</f>
        <v>Não prioeitário</v>
      </c>
      <c r="H3379" s="89">
        <f>YEAR(Tabela1[[#This Row],[Data de Validade]])</f>
        <v>2030</v>
      </c>
      <c r="I3379" s="89">
        <f>MONTH(Tabela1[[#This Row],[Data de Validade]])</f>
        <v>2</v>
      </c>
      <c r="J3379" s="101">
        <v>42005</v>
      </c>
      <c r="K3379" s="87" t="s">
        <v>7</v>
      </c>
      <c r="L3379" s="108"/>
      <c r="M3379" s="108"/>
      <c r="N3379" s="108" t="str">
        <v>P753P644</v>
      </c>
      <c r="O3379" s="108">
        <f t="shared" si="54"/>
        <v>1</v>
      </c>
      <c r="P3379" s="108"/>
      <c r="Q3379"/>
    </row>
    <row r="3380" spans="1:17" x14ac:dyDescent="0.25">
      <c r="A3380" s="89" t="s">
        <v>4894</v>
      </c>
      <c r="B3380" s="87" t="s">
        <v>4895</v>
      </c>
      <c r="C3380" s="87" t="s">
        <v>12</v>
      </c>
      <c r="D3380" s="87" t="str">
        <f>VLOOKUP(Tabela1[[#This Row],[Origem]], 'Perguntas 1 a 24'!$J$28:$K$34, 2, 0)</f>
        <v>Sudeste</v>
      </c>
      <c r="E3380" s="87" t="str">
        <f>Tabela1[[#This Row],[Descrição]]&amp;"-"&amp;Tabela1[[#This Row],[Código]]&amp;"/"&amp;Tabela1[[#This Row],[Origem]]</f>
        <v>Vetenore-P975H296/RJ</v>
      </c>
      <c r="F3380" s="88">
        <v>47527</v>
      </c>
      <c r="G3380" s="88" t="str" cm="1">
        <f t="array" ref="G33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AND(F3380&gt;= DATE(2026,1,1), F3380&lt;= DATE(2028, 12, 31), J3380&gt;50000), "Pendente e Caro", AND(F3380&gt;= DATE(2026,1,1), F3380&lt;= DATE(2028, 12, 31), J3380&lt;=50000), "Pendente", F3380&gt;= DATE(2029,1,1), "Não prioeitário")</f>
        <v>Não prioeitário</v>
      </c>
      <c r="H3380" s="89">
        <f>YEAR(Tabela1[[#This Row],[Data de Validade]])</f>
        <v>2030</v>
      </c>
      <c r="I3380" s="89">
        <f>MONTH(Tabela1[[#This Row],[Data de Validade]])</f>
        <v>2</v>
      </c>
      <c r="J3380" s="101">
        <v>117337</v>
      </c>
      <c r="K3380" s="87" t="s">
        <v>14</v>
      </c>
      <c r="L3380" s="108"/>
      <c r="M3380" s="108"/>
      <c r="N3380" s="108" t="str">
        <v>P912H546</v>
      </c>
      <c r="O3380" s="108">
        <f t="shared" si="54"/>
        <v>1</v>
      </c>
      <c r="P3380" s="108"/>
      <c r="Q3380"/>
    </row>
    <row r="3381" spans="1:17" x14ac:dyDescent="0.25">
      <c r="A3381" s="89" t="s">
        <v>7064</v>
      </c>
      <c r="B3381" s="87" t="s">
        <v>7065</v>
      </c>
      <c r="C3381" s="87" t="s">
        <v>6</v>
      </c>
      <c r="D3381" s="87" t="str">
        <f>VLOOKUP(Tabela1[[#This Row],[Origem]], 'Perguntas 1 a 24'!$J$28:$K$34, 2, 0)</f>
        <v>Nordeste</v>
      </c>
      <c r="E3381" s="87" t="str">
        <f>Tabela1[[#This Row],[Descrição]]&amp;"-"&amp;Tabela1[[#This Row],[Código]]&amp;"/"&amp;Tabela1[[#This Row],[Origem]]</f>
        <v>Vamoladapu-P371P564/MA</v>
      </c>
      <c r="F3381" s="88">
        <v>47527</v>
      </c>
      <c r="G3381" s="88" t="str" cm="1">
        <f t="array" ref="G33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AND(F3381&gt;= DATE(2026,1,1), F3381&lt;= DATE(2028, 12, 31), J3381&gt;50000), "Pendente e Caro", AND(F3381&gt;= DATE(2026,1,1), F3381&lt;= DATE(2028, 12, 31), J3381&lt;=50000), "Pendente", F3381&gt;= DATE(2029,1,1), "Não prioeitário")</f>
        <v>Não prioeitário</v>
      </c>
      <c r="H3381" s="89">
        <f>YEAR(Tabela1[[#This Row],[Data de Validade]])</f>
        <v>2030</v>
      </c>
      <c r="I3381" s="89">
        <f>MONTH(Tabela1[[#This Row],[Data de Validade]])</f>
        <v>2</v>
      </c>
      <c r="J3381" s="101">
        <v>64288</v>
      </c>
      <c r="K3381" s="87" t="s">
        <v>9</v>
      </c>
      <c r="L3381" s="108"/>
      <c r="M3381" s="108"/>
      <c r="N3381" s="108" t="str">
        <v>H441P452</v>
      </c>
      <c r="O3381" s="108">
        <f t="shared" si="54"/>
        <v>1</v>
      </c>
      <c r="P3381" s="108"/>
      <c r="Q3381"/>
    </row>
    <row r="3382" spans="1:17" x14ac:dyDescent="0.25">
      <c r="A3382" s="89" t="s">
        <v>8995</v>
      </c>
      <c r="B3382" s="87" t="s">
        <v>8996</v>
      </c>
      <c r="C3382" s="87" t="s">
        <v>12</v>
      </c>
      <c r="D3382" s="87" t="str">
        <f>VLOOKUP(Tabela1[[#This Row],[Origem]], 'Perguntas 1 a 24'!$J$28:$K$34, 2, 0)</f>
        <v>Sudeste</v>
      </c>
      <c r="E3382" s="87" t="str">
        <f>Tabela1[[#This Row],[Descrição]]&amp;"-"&amp;Tabela1[[#This Row],[Código]]&amp;"/"&amp;Tabela1[[#This Row],[Origem]]</f>
        <v>Paricavuvo-P544H776/RJ</v>
      </c>
      <c r="F3382" s="88">
        <v>47527</v>
      </c>
      <c r="G3382" s="88" t="str" cm="1">
        <f t="array" ref="G33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AND(F3382&gt;= DATE(2026,1,1), F3382&lt;= DATE(2028, 12, 31), J3382&gt;50000), "Pendente e Caro", AND(F3382&gt;= DATE(2026,1,1), F3382&lt;= DATE(2028, 12, 31), J3382&lt;=50000), "Pendente", F3382&gt;= DATE(2029,1,1), "Não prioeitário")</f>
        <v>Não prioeitário</v>
      </c>
      <c r="H3382" s="89">
        <f>YEAR(Tabela1[[#This Row],[Data de Validade]])</f>
        <v>2030</v>
      </c>
      <c r="I3382" s="89">
        <f>MONTH(Tabela1[[#This Row],[Data de Validade]])</f>
        <v>2</v>
      </c>
      <c r="J3382" s="101">
        <v>60040</v>
      </c>
      <c r="K3382" s="87" t="s">
        <v>7</v>
      </c>
      <c r="L3382" s="108"/>
      <c r="M3382" s="108"/>
      <c r="N3382" s="108" t="str">
        <v>H582H999</v>
      </c>
      <c r="O3382" s="108">
        <f t="shared" si="54"/>
        <v>1</v>
      </c>
      <c r="P3382" s="108"/>
      <c r="Q3382"/>
    </row>
    <row r="3383" spans="1:17" x14ac:dyDescent="0.25">
      <c r="A3383" s="89" t="s">
        <v>9445</v>
      </c>
      <c r="B3383" s="87" t="s">
        <v>9446</v>
      </c>
      <c r="C3383" s="87" t="s">
        <v>6</v>
      </c>
      <c r="D3383" s="87" t="str">
        <f>VLOOKUP(Tabela1[[#This Row],[Origem]], 'Perguntas 1 a 24'!$J$28:$K$34, 2, 0)</f>
        <v>Nordeste</v>
      </c>
      <c r="E3383" s="87" t="str">
        <f>Tabela1[[#This Row],[Descrição]]&amp;"-"&amp;Tabela1[[#This Row],[Código]]&amp;"/"&amp;Tabela1[[#This Row],[Origem]]</f>
        <v>Fetipape-P895H443/MA</v>
      </c>
      <c r="F3383" s="88">
        <v>47527</v>
      </c>
      <c r="G3383" s="88" t="str" cm="1">
        <f t="array" ref="G33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AND(F3383&gt;= DATE(2026,1,1), F3383&lt;= DATE(2028, 12, 31), J3383&gt;50000), "Pendente e Caro", AND(F3383&gt;= DATE(2026,1,1), F3383&lt;= DATE(2028, 12, 31), J3383&lt;=50000), "Pendente", F3383&gt;= DATE(2029,1,1), "Não prioeitário")</f>
        <v>Não prioeitário</v>
      </c>
      <c r="H3383" s="89">
        <f>YEAR(Tabela1[[#This Row],[Data de Validade]])</f>
        <v>2030</v>
      </c>
      <c r="I3383" s="89">
        <f>MONTH(Tabela1[[#This Row],[Data de Validade]])</f>
        <v>2</v>
      </c>
      <c r="J3383" s="101">
        <v>40678</v>
      </c>
      <c r="K3383" s="87" t="s">
        <v>11</v>
      </c>
      <c r="L3383" s="108"/>
      <c r="M3383" s="108"/>
      <c r="N3383" s="108" t="str">
        <v>H664H593</v>
      </c>
      <c r="O3383" s="108">
        <f t="shared" si="54"/>
        <v>1</v>
      </c>
      <c r="P3383" s="108"/>
      <c r="Q3383"/>
    </row>
    <row r="3384" spans="1:17" x14ac:dyDescent="0.25">
      <c r="A3384" s="89" t="s">
        <v>3840</v>
      </c>
      <c r="B3384" s="87" t="s">
        <v>3841</v>
      </c>
      <c r="C3384" s="87" t="s">
        <v>10</v>
      </c>
      <c r="D3384" s="87" t="str">
        <f>VLOOKUP(Tabela1[[#This Row],[Origem]], 'Perguntas 1 a 24'!$J$28:$K$34, 2, 0)</f>
        <v>Centro-Oeste</v>
      </c>
      <c r="E3384" s="87" t="str">
        <f>Tabela1[[#This Row],[Descrição]]&amp;"-"&amp;Tabela1[[#This Row],[Código]]&amp;"/"&amp;Tabela1[[#This Row],[Origem]]</f>
        <v>Gafaculela-P347P286/GO</v>
      </c>
      <c r="F3384" s="88">
        <v>47527</v>
      </c>
      <c r="G3384" s="88" t="str" cm="1">
        <f t="array" ref="G33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AND(F3384&gt;= DATE(2026,1,1), F3384&lt;= DATE(2028, 12, 31), J3384&gt;50000), "Pendente e Caro", AND(F3384&gt;= DATE(2026,1,1), F3384&lt;= DATE(2028, 12, 31), J3384&lt;=50000), "Pendente", F3384&gt;= DATE(2029,1,1), "Não prioeitário")</f>
        <v>Não prioeitário</v>
      </c>
      <c r="H3384" s="89">
        <f>YEAR(Tabela1[[#This Row],[Data de Validade]])</f>
        <v>2030</v>
      </c>
      <c r="I3384" s="89">
        <f>MONTH(Tabela1[[#This Row],[Data de Validade]])</f>
        <v>2</v>
      </c>
      <c r="J3384" s="101">
        <v>38926</v>
      </c>
      <c r="K3384" s="87" t="s">
        <v>9</v>
      </c>
      <c r="L3384" s="108"/>
      <c r="M3384" s="108"/>
      <c r="N3384" s="108" t="str">
        <v>P699P785</v>
      </c>
      <c r="O3384" s="108">
        <f t="shared" si="54"/>
        <v>1</v>
      </c>
      <c r="P3384" s="108"/>
      <c r="Q3384"/>
    </row>
    <row r="3385" spans="1:17" x14ac:dyDescent="0.25">
      <c r="A3385" s="89" t="s">
        <v>7286</v>
      </c>
      <c r="B3385" s="87" t="s">
        <v>7287</v>
      </c>
      <c r="C3385" s="87" t="s">
        <v>15</v>
      </c>
      <c r="D3385" s="87" t="str">
        <f>VLOOKUP(Tabela1[[#This Row],[Origem]], 'Perguntas 1 a 24'!$J$28:$K$34, 2, 0)</f>
        <v>Sudeste</v>
      </c>
      <c r="E3385" s="87" t="str">
        <f>Tabela1[[#This Row],[Descrição]]&amp;"-"&amp;Tabela1[[#This Row],[Código]]&amp;"/"&amp;Tabela1[[#This Row],[Origem]]</f>
        <v>Tutereliro-H596P813/ES</v>
      </c>
      <c r="F3385" s="88">
        <v>47529</v>
      </c>
      <c r="G3385" s="88" t="str" cm="1">
        <f t="array" ref="G33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AND(F3385&gt;= DATE(2026,1,1), F3385&lt;= DATE(2028, 12, 31), J3385&gt;50000), "Pendente e Caro", AND(F3385&gt;= DATE(2026,1,1), F3385&lt;= DATE(2028, 12, 31), J3385&lt;=50000), "Pendente", F3385&gt;= DATE(2029,1,1), "Não prioeitário")</f>
        <v>Não prioeitário</v>
      </c>
      <c r="H3385" s="89">
        <f>YEAR(Tabela1[[#This Row],[Data de Validade]])</f>
        <v>2030</v>
      </c>
      <c r="I3385" s="89">
        <f>MONTH(Tabela1[[#This Row],[Data de Validade]])</f>
        <v>2</v>
      </c>
      <c r="J3385" s="101">
        <v>117988</v>
      </c>
      <c r="K3385" s="87" t="s">
        <v>9</v>
      </c>
      <c r="L3385" s="108"/>
      <c r="M3385" s="108"/>
      <c r="N3385" s="108" t="str">
        <v>P189P127</v>
      </c>
      <c r="O3385" s="108">
        <f t="shared" si="54"/>
        <v>1</v>
      </c>
      <c r="P3385" s="108"/>
      <c r="Q3385"/>
    </row>
    <row r="3386" spans="1:17" x14ac:dyDescent="0.25">
      <c r="A3386" s="89" t="s">
        <v>4848</v>
      </c>
      <c r="B3386" s="87" t="s">
        <v>4849</v>
      </c>
      <c r="C3386" s="87" t="s">
        <v>10</v>
      </c>
      <c r="D3386" s="87" t="str">
        <f>VLOOKUP(Tabela1[[#This Row],[Origem]], 'Perguntas 1 a 24'!$J$28:$K$34, 2, 0)</f>
        <v>Centro-Oeste</v>
      </c>
      <c r="E3386" s="87" t="str">
        <f>Tabela1[[#This Row],[Descrição]]&amp;"-"&amp;Tabela1[[#This Row],[Código]]&amp;"/"&amp;Tabela1[[#This Row],[Origem]]</f>
        <v>Rutipitati-H751H866/GO</v>
      </c>
      <c r="F3386" s="88">
        <v>47529</v>
      </c>
      <c r="G3386" s="88" t="str" cm="1">
        <f t="array" ref="G33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AND(F3386&gt;= DATE(2026,1,1), F3386&lt;= DATE(2028, 12, 31), J3386&gt;50000), "Pendente e Caro", AND(F3386&gt;= DATE(2026,1,1), F3386&lt;= DATE(2028, 12, 31), J3386&lt;=50000), "Pendente", F3386&gt;= DATE(2029,1,1), "Não prioeitário")</f>
        <v>Não prioeitário</v>
      </c>
      <c r="H3386" s="89">
        <f>YEAR(Tabela1[[#This Row],[Data de Validade]])</f>
        <v>2030</v>
      </c>
      <c r="I3386" s="89">
        <f>MONTH(Tabela1[[#This Row],[Data de Validade]])</f>
        <v>2</v>
      </c>
      <c r="J3386" s="101">
        <v>74290</v>
      </c>
      <c r="K3386" s="87" t="s">
        <v>7</v>
      </c>
      <c r="L3386" s="108"/>
      <c r="M3386" s="108"/>
      <c r="N3386" s="108" t="str">
        <v>P387P985</v>
      </c>
      <c r="O3386" s="108">
        <f t="shared" si="54"/>
        <v>1</v>
      </c>
      <c r="P3386" s="108"/>
      <c r="Q3386"/>
    </row>
    <row r="3387" spans="1:17" x14ac:dyDescent="0.25">
      <c r="A3387" s="89" t="s">
        <v>4666</v>
      </c>
      <c r="B3387" s="87" t="s">
        <v>4667</v>
      </c>
      <c r="C3387" s="87" t="s">
        <v>16</v>
      </c>
      <c r="D3387" s="87" t="str">
        <f>VLOOKUP(Tabela1[[#This Row],[Origem]], 'Perguntas 1 a 24'!$J$28:$K$34, 2, 0)</f>
        <v>Sudeste</v>
      </c>
      <c r="E3387" s="87" t="str">
        <f>Tabela1[[#This Row],[Descrição]]&amp;"-"&amp;Tabela1[[#This Row],[Código]]&amp;"/"&amp;Tabela1[[#This Row],[Origem]]</f>
        <v>Cunitetevi-P753P644/MG</v>
      </c>
      <c r="F3387" s="88">
        <v>47529</v>
      </c>
      <c r="G3387" s="88" t="str" cm="1">
        <f t="array" ref="G33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AND(F3387&gt;= DATE(2026,1,1), F3387&lt;= DATE(2028, 12, 31), J3387&gt;50000), "Pendente e Caro", AND(F3387&gt;= DATE(2026,1,1), F3387&lt;= DATE(2028, 12, 31), J3387&lt;=50000), "Pendente", F3387&gt;= DATE(2029,1,1), "Não prioeitário")</f>
        <v>Não prioeitário</v>
      </c>
      <c r="H3387" s="89">
        <f>YEAR(Tabela1[[#This Row],[Data de Validade]])</f>
        <v>2030</v>
      </c>
      <c r="I3387" s="89">
        <f>MONTH(Tabela1[[#This Row],[Data de Validade]])</f>
        <v>2</v>
      </c>
      <c r="J3387" s="101">
        <v>49139</v>
      </c>
      <c r="K3387" s="87" t="s">
        <v>14</v>
      </c>
      <c r="L3387" s="108"/>
      <c r="M3387" s="108"/>
      <c r="N3387" s="108" t="str">
        <v>P237H835</v>
      </c>
      <c r="O3387" s="108">
        <f t="shared" si="54"/>
        <v>1</v>
      </c>
      <c r="P3387" s="108"/>
      <c r="Q3387"/>
    </row>
    <row r="3388" spans="1:17" x14ac:dyDescent="0.25">
      <c r="A3388" s="89" t="s">
        <v>10605</v>
      </c>
      <c r="B3388" s="87" t="s">
        <v>10606</v>
      </c>
      <c r="C3388" s="87" t="s">
        <v>16</v>
      </c>
      <c r="D3388" s="87" t="str">
        <f>VLOOKUP(Tabela1[[#This Row],[Origem]], 'Perguntas 1 a 24'!$J$28:$K$34, 2, 0)</f>
        <v>Sudeste</v>
      </c>
      <c r="E3388" s="87" t="str">
        <f>Tabela1[[#This Row],[Descrição]]&amp;"-"&amp;Tabela1[[#This Row],[Código]]&amp;"/"&amp;Tabela1[[#This Row],[Origem]]</f>
        <v>Puponapo-P912H546/MG</v>
      </c>
      <c r="F3388" s="88">
        <v>47529</v>
      </c>
      <c r="G3388" s="88" t="str" cm="1">
        <f t="array" ref="G33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AND(F3388&gt;= DATE(2026,1,1), F3388&lt;= DATE(2028, 12, 31), J3388&gt;50000), "Pendente e Caro", AND(F3388&gt;= DATE(2026,1,1), F3388&lt;= DATE(2028, 12, 31), J3388&lt;=50000), "Pendente", F3388&gt;= DATE(2029,1,1), "Não prioeitário")</f>
        <v>Não prioeitário</v>
      </c>
      <c r="H3388" s="89">
        <f>YEAR(Tabela1[[#This Row],[Data de Validade]])</f>
        <v>2030</v>
      </c>
      <c r="I3388" s="89">
        <f>MONTH(Tabela1[[#This Row],[Data de Validade]])</f>
        <v>2</v>
      </c>
      <c r="J3388" s="101">
        <v>48145</v>
      </c>
      <c r="K3388" s="87" t="s">
        <v>14</v>
      </c>
      <c r="L3388" s="108"/>
      <c r="M3388" s="108"/>
      <c r="N3388" s="108" t="str">
        <v>P261P484</v>
      </c>
      <c r="O3388" s="108">
        <f t="shared" si="54"/>
        <v>1</v>
      </c>
      <c r="P3388" s="108"/>
      <c r="Q3388"/>
    </row>
    <row r="3389" spans="1:17" x14ac:dyDescent="0.25">
      <c r="A3389" s="89" t="s">
        <v>6150</v>
      </c>
      <c r="B3389" s="87" t="s">
        <v>6151</v>
      </c>
      <c r="C3389" s="87" t="s">
        <v>15</v>
      </c>
      <c r="D3389" s="87" t="str">
        <f>VLOOKUP(Tabela1[[#This Row],[Origem]], 'Perguntas 1 a 24'!$J$28:$K$34, 2, 0)</f>
        <v>Sudeste</v>
      </c>
      <c r="E3389" s="87" t="str">
        <f>Tabela1[[#This Row],[Descrição]]&amp;"-"&amp;Tabela1[[#This Row],[Código]]&amp;"/"&amp;Tabela1[[#This Row],[Origem]]</f>
        <v>Tolamupo-H441P452/ES</v>
      </c>
      <c r="F3389" s="88">
        <v>47530</v>
      </c>
      <c r="G3389" s="88" t="str" cm="1">
        <f t="array" ref="G33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AND(F3389&gt;= DATE(2026,1,1), F3389&lt;= DATE(2028, 12, 31), J3389&gt;50000), "Pendente e Caro", AND(F3389&gt;= DATE(2026,1,1), F3389&lt;= DATE(2028, 12, 31), J3389&lt;=50000), "Pendente", F3389&gt;= DATE(2029,1,1), "Não prioeitário")</f>
        <v>Não prioeitário</v>
      </c>
      <c r="H3389" s="89">
        <f>YEAR(Tabela1[[#This Row],[Data de Validade]])</f>
        <v>2030</v>
      </c>
      <c r="I3389" s="89">
        <f>MONTH(Tabela1[[#This Row],[Data de Validade]])</f>
        <v>2</v>
      </c>
      <c r="J3389" s="101">
        <v>37881</v>
      </c>
      <c r="K3389" s="87" t="s">
        <v>11</v>
      </c>
      <c r="L3389" s="108"/>
      <c r="M3389" s="108"/>
      <c r="N3389" s="108" t="str">
        <v>H393H831</v>
      </c>
      <c r="O3389" s="108">
        <f t="shared" si="54"/>
        <v>1</v>
      </c>
      <c r="P3389" s="108"/>
      <c r="Q3389"/>
    </row>
    <row r="3390" spans="1:17" x14ac:dyDescent="0.25">
      <c r="A3390" s="89" t="s">
        <v>4784</v>
      </c>
      <c r="B3390" s="87" t="s">
        <v>4785</v>
      </c>
      <c r="C3390" s="87" t="s">
        <v>6</v>
      </c>
      <c r="D3390" s="87" t="str">
        <f>VLOOKUP(Tabela1[[#This Row],[Origem]], 'Perguntas 1 a 24'!$J$28:$K$34, 2, 0)</f>
        <v>Nordeste</v>
      </c>
      <c r="E3390" s="87" t="str">
        <f>Tabela1[[#This Row],[Descrição]]&amp;"-"&amp;Tabela1[[#This Row],[Código]]&amp;"/"&amp;Tabela1[[#This Row],[Origem]]</f>
        <v>Tedaro-H582H999/MA</v>
      </c>
      <c r="F3390" s="88">
        <v>47530</v>
      </c>
      <c r="G3390" s="88" t="str" cm="1">
        <f t="array" ref="G33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AND(F3390&gt;= DATE(2026,1,1), F3390&lt;= DATE(2028, 12, 31), J3390&gt;50000), "Pendente e Caro", AND(F3390&gt;= DATE(2026,1,1), F3390&lt;= DATE(2028, 12, 31), J3390&lt;=50000), "Pendente", F3390&gt;= DATE(2029,1,1), "Não prioeitário")</f>
        <v>Não prioeitário</v>
      </c>
      <c r="H3390" s="89">
        <f>YEAR(Tabela1[[#This Row],[Data de Validade]])</f>
        <v>2030</v>
      </c>
      <c r="I3390" s="89">
        <f>MONTH(Tabela1[[#This Row],[Data de Validade]])</f>
        <v>2</v>
      </c>
      <c r="J3390" s="101">
        <v>30276</v>
      </c>
      <c r="K3390" s="87" t="s">
        <v>7</v>
      </c>
      <c r="L3390" s="108"/>
      <c r="M3390" s="108"/>
      <c r="N3390" s="108" t="str">
        <v>H671P576</v>
      </c>
      <c r="O3390" s="108">
        <f t="shared" si="54"/>
        <v>1</v>
      </c>
      <c r="P3390" s="108"/>
      <c r="Q3390"/>
    </row>
    <row r="3391" spans="1:17" x14ac:dyDescent="0.25">
      <c r="A3391" s="89" t="s">
        <v>5968</v>
      </c>
      <c r="B3391" s="87" t="s">
        <v>5969</v>
      </c>
      <c r="C3391" s="87" t="s">
        <v>13</v>
      </c>
      <c r="D3391" s="87" t="str">
        <f>VLOOKUP(Tabela1[[#This Row],[Origem]], 'Perguntas 1 a 24'!$J$28:$K$34, 2, 0)</f>
        <v>Sudeste</v>
      </c>
      <c r="E3391" s="87" t="str">
        <f>Tabela1[[#This Row],[Descrição]]&amp;"-"&amp;Tabela1[[#This Row],[Código]]&amp;"/"&amp;Tabela1[[#This Row],[Origem]]</f>
        <v>Totugeri-H664H593/SP</v>
      </c>
      <c r="F3391" s="88">
        <v>47531</v>
      </c>
      <c r="G3391" s="88" t="str" cm="1">
        <f t="array" ref="G33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AND(F3391&gt;= DATE(2026,1,1), F3391&lt;= DATE(2028, 12, 31), J3391&gt;50000), "Pendente e Caro", AND(F3391&gt;= DATE(2026,1,1), F3391&lt;= DATE(2028, 12, 31), J3391&lt;=50000), "Pendente", F3391&gt;= DATE(2029,1,1), "Não prioeitário")</f>
        <v>Não prioeitário</v>
      </c>
      <c r="H3391" s="89">
        <f>YEAR(Tabela1[[#This Row],[Data de Validade]])</f>
        <v>2030</v>
      </c>
      <c r="I3391" s="89">
        <f>MONTH(Tabela1[[#This Row],[Data de Validade]])</f>
        <v>2</v>
      </c>
      <c r="J3391" s="101">
        <v>87969</v>
      </c>
      <c r="K3391" s="87" t="s">
        <v>14</v>
      </c>
      <c r="L3391" s="108"/>
      <c r="M3391" s="108"/>
      <c r="N3391" s="108" t="str">
        <v>H138P582</v>
      </c>
      <c r="O3391" s="108">
        <f t="shared" si="54"/>
        <v>1</v>
      </c>
      <c r="P3391" s="108"/>
      <c r="Q3391"/>
    </row>
    <row r="3392" spans="1:17" x14ac:dyDescent="0.25">
      <c r="A3392" s="89" t="s">
        <v>4668</v>
      </c>
      <c r="B3392" s="87" t="s">
        <v>4669</v>
      </c>
      <c r="C3392" s="87" t="s">
        <v>13</v>
      </c>
      <c r="D3392" s="87" t="str">
        <f>VLOOKUP(Tabela1[[#This Row],[Origem]], 'Perguntas 1 a 24'!$J$28:$K$34, 2, 0)</f>
        <v>Sudeste</v>
      </c>
      <c r="E3392" s="87" t="str">
        <f>Tabela1[[#This Row],[Descrição]]&amp;"-"&amp;Tabela1[[#This Row],[Código]]&amp;"/"&amp;Tabela1[[#This Row],[Origem]]</f>
        <v>Popifodepa-P699P785/SP</v>
      </c>
      <c r="F3392" s="88">
        <v>47531</v>
      </c>
      <c r="G3392" s="88" t="str" cm="1">
        <f t="array" ref="G33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AND(F3392&gt;= DATE(2026,1,1), F3392&lt;= DATE(2028, 12, 31), J3392&gt;50000), "Pendente e Caro", AND(F3392&gt;= DATE(2026,1,1), F3392&lt;= DATE(2028, 12, 31), J3392&lt;=50000), "Pendente", F3392&gt;= DATE(2029,1,1), "Não prioeitário")</f>
        <v>Não prioeitário</v>
      </c>
      <c r="H3392" s="89">
        <f>YEAR(Tabela1[[#This Row],[Data de Validade]])</f>
        <v>2030</v>
      </c>
      <c r="I3392" s="89">
        <f>MONTH(Tabela1[[#This Row],[Data de Validade]])</f>
        <v>2</v>
      </c>
      <c r="J3392" s="101">
        <v>63927</v>
      </c>
      <c r="K3392" s="87" t="s">
        <v>11</v>
      </c>
      <c r="L3392" s="108"/>
      <c r="M3392" s="108"/>
      <c r="N3392" s="108" t="str">
        <v>H894P985</v>
      </c>
      <c r="O3392" s="108">
        <f t="shared" si="54"/>
        <v>1</v>
      </c>
      <c r="P3392" s="108"/>
      <c r="Q3392"/>
    </row>
    <row r="3393" spans="1:17" x14ac:dyDescent="0.25">
      <c r="A3393" s="89" t="s">
        <v>6768</v>
      </c>
      <c r="B3393" s="87" t="s">
        <v>6769</v>
      </c>
      <c r="C3393" s="87" t="s">
        <v>10</v>
      </c>
      <c r="D3393" s="87" t="str">
        <f>VLOOKUP(Tabela1[[#This Row],[Origem]], 'Perguntas 1 a 24'!$J$28:$K$34, 2, 0)</f>
        <v>Centro-Oeste</v>
      </c>
      <c r="E3393" s="87" t="str">
        <f>Tabela1[[#This Row],[Descrição]]&amp;"-"&amp;Tabela1[[#This Row],[Código]]&amp;"/"&amp;Tabela1[[#This Row],[Origem]]</f>
        <v>Poruvoma-P189P127/GO</v>
      </c>
      <c r="F3393" s="88">
        <v>47531</v>
      </c>
      <c r="G3393" s="88" t="str" cm="1">
        <f t="array" ref="G33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AND(F3393&gt;= DATE(2026,1,1), F3393&lt;= DATE(2028, 12, 31), J3393&gt;50000), "Pendente e Caro", AND(F3393&gt;= DATE(2026,1,1), F3393&lt;= DATE(2028, 12, 31), J3393&lt;=50000), "Pendente", F3393&gt;= DATE(2029,1,1), "Não prioeitário")</f>
        <v>Não prioeitário</v>
      </c>
      <c r="H3393" s="89">
        <f>YEAR(Tabela1[[#This Row],[Data de Validade]])</f>
        <v>2030</v>
      </c>
      <c r="I3393" s="89">
        <f>MONTH(Tabela1[[#This Row],[Data de Validade]])</f>
        <v>2</v>
      </c>
      <c r="J3393" s="101">
        <v>46490</v>
      </c>
      <c r="K3393" s="87" t="s">
        <v>14</v>
      </c>
      <c r="L3393" s="108"/>
      <c r="M3393" s="108"/>
      <c r="N3393" s="108" t="str">
        <v>P813P966</v>
      </c>
      <c r="O3393" s="108">
        <f t="shared" si="54"/>
        <v>1</v>
      </c>
      <c r="P3393" s="108"/>
      <c r="Q3393"/>
    </row>
    <row r="3394" spans="1:17" x14ac:dyDescent="0.25">
      <c r="A3394" s="89" t="s">
        <v>10743</v>
      </c>
      <c r="B3394" s="87" t="s">
        <v>10744</v>
      </c>
      <c r="C3394" s="87" t="s">
        <v>16</v>
      </c>
      <c r="D3394" s="87" t="str">
        <f>VLOOKUP(Tabela1[[#This Row],[Origem]], 'Perguntas 1 a 24'!$J$28:$K$34, 2, 0)</f>
        <v>Sudeste</v>
      </c>
      <c r="E3394" s="87" t="str">
        <f>Tabela1[[#This Row],[Descrição]]&amp;"-"&amp;Tabela1[[#This Row],[Código]]&amp;"/"&amp;Tabela1[[#This Row],[Origem]]</f>
        <v>Gocura-P387P985/MG</v>
      </c>
      <c r="F3394" s="88">
        <v>47532</v>
      </c>
      <c r="G3394" s="88" t="str" cm="1">
        <f t="array" ref="G33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AND(F3394&gt;= DATE(2026,1,1), F3394&lt;= DATE(2028, 12, 31), J3394&gt;50000), "Pendente e Caro", AND(F3394&gt;= DATE(2026,1,1), F3394&lt;= DATE(2028, 12, 31), J3394&lt;=50000), "Pendente", F3394&gt;= DATE(2029,1,1), "Não prioeitário")</f>
        <v>Não prioeitário</v>
      </c>
      <c r="H3394" s="89">
        <f>YEAR(Tabela1[[#This Row],[Data de Validade]])</f>
        <v>2030</v>
      </c>
      <c r="I3394" s="89">
        <f>MONTH(Tabela1[[#This Row],[Data de Validade]])</f>
        <v>2</v>
      </c>
      <c r="J3394" s="101">
        <v>105466</v>
      </c>
      <c r="K3394" s="87" t="s">
        <v>7</v>
      </c>
      <c r="L3394" s="108"/>
      <c r="M3394" s="108"/>
      <c r="N3394" s="108" t="str">
        <v>H992H137</v>
      </c>
      <c r="O3394" s="108">
        <f t="shared" si="54"/>
        <v>1</v>
      </c>
      <c r="P3394" s="108"/>
      <c r="Q3394"/>
    </row>
    <row r="3395" spans="1:17" x14ac:dyDescent="0.25">
      <c r="A3395" s="89" t="s">
        <v>5780</v>
      </c>
      <c r="B3395" s="87" t="s">
        <v>5781</v>
      </c>
      <c r="C3395" s="87" t="s">
        <v>10</v>
      </c>
      <c r="D3395" s="87" t="str">
        <f>VLOOKUP(Tabela1[[#This Row],[Origem]], 'Perguntas 1 a 24'!$J$28:$K$34, 2, 0)</f>
        <v>Centro-Oeste</v>
      </c>
      <c r="E3395" s="87" t="str">
        <f>Tabela1[[#This Row],[Descrição]]&amp;"-"&amp;Tabela1[[#This Row],[Código]]&amp;"/"&amp;Tabela1[[#This Row],[Origem]]</f>
        <v>Pagepu-P237H835/GO</v>
      </c>
      <c r="F3395" s="88">
        <v>47532</v>
      </c>
      <c r="G3395" s="88" t="str" cm="1">
        <f t="array" ref="G33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AND(F3395&gt;= DATE(2026,1,1), F3395&lt;= DATE(2028, 12, 31), J3395&gt;50000), "Pendente e Caro", AND(F3395&gt;= DATE(2026,1,1), F3395&lt;= DATE(2028, 12, 31), J3395&lt;=50000), "Pendente", F3395&gt;= DATE(2029,1,1), "Não prioeitário")</f>
        <v>Não prioeitário</v>
      </c>
      <c r="H3395" s="89">
        <f>YEAR(Tabela1[[#This Row],[Data de Validade]])</f>
        <v>2030</v>
      </c>
      <c r="I3395" s="89">
        <f>MONTH(Tabela1[[#This Row],[Data de Validade]])</f>
        <v>2</v>
      </c>
      <c r="J3395" s="101">
        <v>59206</v>
      </c>
      <c r="K3395" s="87" t="s">
        <v>9</v>
      </c>
      <c r="L3395" s="108"/>
      <c r="M3395" s="108"/>
      <c r="N3395" s="108" t="str">
        <v>H253P245</v>
      </c>
      <c r="O3395" s="108">
        <f t="shared" ref="O3395:O3458" si="55">COUNTIFS(B:B,N3395)</f>
        <v>1</v>
      </c>
      <c r="P3395" s="108"/>
      <c r="Q3395"/>
    </row>
    <row r="3396" spans="1:17" x14ac:dyDescent="0.25">
      <c r="A3396" s="89" t="s">
        <v>3934</v>
      </c>
      <c r="B3396" s="87" t="s">
        <v>3935</v>
      </c>
      <c r="C3396" s="87" t="s">
        <v>8</v>
      </c>
      <c r="D3396" s="87" t="str">
        <f>VLOOKUP(Tabela1[[#This Row],[Origem]], 'Perguntas 1 a 24'!$J$28:$K$34, 2, 0)</f>
        <v>Nordeste</v>
      </c>
      <c r="E3396" s="87" t="str">
        <f>Tabela1[[#This Row],[Descrição]]&amp;"-"&amp;Tabela1[[#This Row],[Código]]&amp;"/"&amp;Tabela1[[#This Row],[Origem]]</f>
        <v>Poruritile-P261P484/AL</v>
      </c>
      <c r="F3396" s="88">
        <v>47532</v>
      </c>
      <c r="G3396" s="88" t="str" cm="1">
        <f t="array" ref="G33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AND(F3396&gt;= DATE(2026,1,1), F3396&lt;= DATE(2028, 12, 31), J3396&gt;50000), "Pendente e Caro", AND(F3396&gt;= DATE(2026,1,1), F3396&lt;= DATE(2028, 12, 31), J3396&lt;=50000), "Pendente", F3396&gt;= DATE(2029,1,1), "Não prioeitário")</f>
        <v>Não prioeitário</v>
      </c>
      <c r="H3396" s="89">
        <f>YEAR(Tabela1[[#This Row],[Data de Validade]])</f>
        <v>2030</v>
      </c>
      <c r="I3396" s="89">
        <f>MONTH(Tabela1[[#This Row],[Data de Validade]])</f>
        <v>2</v>
      </c>
      <c r="J3396" s="101">
        <v>29954</v>
      </c>
      <c r="K3396" s="87" t="s">
        <v>11</v>
      </c>
      <c r="L3396" s="108"/>
      <c r="M3396" s="108"/>
      <c r="N3396" s="108" t="str">
        <v>P479P431</v>
      </c>
      <c r="O3396" s="108">
        <f t="shared" si="55"/>
        <v>1</v>
      </c>
      <c r="P3396" s="108"/>
      <c r="Q3396"/>
    </row>
    <row r="3397" spans="1:17" x14ac:dyDescent="0.25">
      <c r="A3397" s="89" t="s">
        <v>6638</v>
      </c>
      <c r="B3397" s="87" t="s">
        <v>6639</v>
      </c>
      <c r="C3397" s="87" t="s">
        <v>16</v>
      </c>
      <c r="D3397" s="87" t="str">
        <f>VLOOKUP(Tabela1[[#This Row],[Origem]], 'Perguntas 1 a 24'!$J$28:$K$34, 2, 0)</f>
        <v>Sudeste</v>
      </c>
      <c r="E3397" s="87" t="str">
        <f>Tabela1[[#This Row],[Descrição]]&amp;"-"&amp;Tabela1[[#This Row],[Código]]&amp;"/"&amp;Tabela1[[#This Row],[Origem]]</f>
        <v>Cadonimuda-H393H831/MG</v>
      </c>
      <c r="F3397" s="88">
        <v>47533</v>
      </c>
      <c r="G3397" s="88" t="str" cm="1">
        <f t="array" ref="G33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AND(F3397&gt;= DATE(2026,1,1), F3397&lt;= DATE(2028, 12, 31), J3397&gt;50000), "Pendente e Caro", AND(F3397&gt;= DATE(2026,1,1), F3397&lt;= DATE(2028, 12, 31), J3397&lt;=50000), "Pendente", F3397&gt;= DATE(2029,1,1), "Não prioeitário")</f>
        <v>Não prioeitário</v>
      </c>
      <c r="H3397" s="89">
        <f>YEAR(Tabela1[[#This Row],[Data de Validade]])</f>
        <v>2030</v>
      </c>
      <c r="I3397" s="89">
        <f>MONTH(Tabela1[[#This Row],[Data de Validade]])</f>
        <v>2</v>
      </c>
      <c r="J3397" s="101">
        <v>36797</v>
      </c>
      <c r="K3397" s="87" t="s">
        <v>11</v>
      </c>
      <c r="L3397" s="108"/>
      <c r="M3397" s="108"/>
      <c r="N3397" s="108" t="str">
        <v>P236P458</v>
      </c>
      <c r="O3397" s="108">
        <f t="shared" si="55"/>
        <v>1</v>
      </c>
      <c r="P3397" s="108"/>
      <c r="Q3397"/>
    </row>
    <row r="3398" spans="1:17" x14ac:dyDescent="0.25">
      <c r="A3398" s="89" t="s">
        <v>9549</v>
      </c>
      <c r="B3398" s="87" t="s">
        <v>9550</v>
      </c>
      <c r="C3398" s="87" t="s">
        <v>8</v>
      </c>
      <c r="D3398" s="87" t="str">
        <f>VLOOKUP(Tabela1[[#This Row],[Origem]], 'Perguntas 1 a 24'!$J$28:$K$34, 2, 0)</f>
        <v>Nordeste</v>
      </c>
      <c r="E3398" s="87" t="str">
        <f>Tabela1[[#This Row],[Descrição]]&amp;"-"&amp;Tabela1[[#This Row],[Código]]&amp;"/"&amp;Tabela1[[#This Row],[Origem]]</f>
        <v>Donarerure-H671P576/AL</v>
      </c>
      <c r="F3398" s="88">
        <v>47534</v>
      </c>
      <c r="G3398" s="88" t="str" cm="1">
        <f t="array" ref="G33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AND(F3398&gt;= DATE(2026,1,1), F3398&lt;= DATE(2028, 12, 31), J3398&gt;50000), "Pendente e Caro", AND(F3398&gt;= DATE(2026,1,1), F3398&lt;= DATE(2028, 12, 31), J3398&lt;=50000), "Pendente", F3398&gt;= DATE(2029,1,1), "Não prioeitário")</f>
        <v>Não prioeitário</v>
      </c>
      <c r="H3398" s="89">
        <f>YEAR(Tabela1[[#This Row],[Data de Validade]])</f>
        <v>2030</v>
      </c>
      <c r="I3398" s="89">
        <f>MONTH(Tabela1[[#This Row],[Data de Validade]])</f>
        <v>2</v>
      </c>
      <c r="J3398" s="101">
        <v>86138</v>
      </c>
      <c r="K3398" s="87" t="s">
        <v>9</v>
      </c>
      <c r="L3398" s="108"/>
      <c r="M3398" s="108"/>
      <c r="N3398" s="108" t="str">
        <v>H183P962</v>
      </c>
      <c r="O3398" s="108">
        <f t="shared" si="55"/>
        <v>1</v>
      </c>
      <c r="P3398" s="108"/>
      <c r="Q3398"/>
    </row>
    <row r="3399" spans="1:17" x14ac:dyDescent="0.25">
      <c r="A3399" s="89" t="s">
        <v>7518</v>
      </c>
      <c r="B3399" s="87" t="s">
        <v>7519</v>
      </c>
      <c r="C3399" s="87" t="s">
        <v>6</v>
      </c>
      <c r="D3399" s="87" t="str">
        <f>VLOOKUP(Tabela1[[#This Row],[Origem]], 'Perguntas 1 a 24'!$J$28:$K$34, 2, 0)</f>
        <v>Nordeste</v>
      </c>
      <c r="E3399" s="87" t="str">
        <f>Tabela1[[#This Row],[Descrição]]&amp;"-"&amp;Tabela1[[#This Row],[Código]]&amp;"/"&amp;Tabela1[[#This Row],[Origem]]</f>
        <v>Pamoce-H138P582/MA</v>
      </c>
      <c r="F3399" s="88">
        <v>47534</v>
      </c>
      <c r="G3399" s="88" t="str" cm="1">
        <f t="array" ref="G33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AND(F3399&gt;= DATE(2026,1,1), F3399&lt;= DATE(2028, 12, 31), J3399&gt;50000), "Pendente e Caro", AND(F3399&gt;= DATE(2026,1,1), F3399&lt;= DATE(2028, 12, 31), J3399&lt;=50000), "Pendente", F3399&gt;= DATE(2029,1,1), "Não prioeitário")</f>
        <v>Não prioeitário</v>
      </c>
      <c r="H3399" s="89">
        <f>YEAR(Tabela1[[#This Row],[Data de Validade]])</f>
        <v>2030</v>
      </c>
      <c r="I3399" s="89">
        <f>MONTH(Tabela1[[#This Row],[Data de Validade]])</f>
        <v>2</v>
      </c>
      <c r="J3399" s="101">
        <v>83224</v>
      </c>
      <c r="K3399" s="87" t="s">
        <v>14</v>
      </c>
      <c r="L3399" s="108"/>
      <c r="M3399" s="108"/>
      <c r="N3399" s="108" t="str">
        <v>H239H272</v>
      </c>
      <c r="O3399" s="108">
        <f t="shared" si="55"/>
        <v>1</v>
      </c>
      <c r="P3399" s="108"/>
      <c r="Q3399"/>
    </row>
    <row r="3400" spans="1:17" x14ac:dyDescent="0.25">
      <c r="A3400" s="89" t="s">
        <v>4946</v>
      </c>
      <c r="B3400" s="87" t="s">
        <v>4947</v>
      </c>
      <c r="C3400" s="87" t="s">
        <v>10</v>
      </c>
      <c r="D3400" s="87" t="str">
        <f>VLOOKUP(Tabela1[[#This Row],[Origem]], 'Perguntas 1 a 24'!$J$28:$K$34, 2, 0)</f>
        <v>Centro-Oeste</v>
      </c>
      <c r="E3400" s="87" t="str">
        <f>Tabela1[[#This Row],[Descrição]]&amp;"-"&amp;Tabela1[[#This Row],[Código]]&amp;"/"&amp;Tabela1[[#This Row],[Origem]]</f>
        <v>Corodori-H894P985/GO</v>
      </c>
      <c r="F3400" s="88">
        <v>47534</v>
      </c>
      <c r="G3400" s="88" t="str" cm="1">
        <f t="array" ref="G34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AND(F3400&gt;= DATE(2026,1,1), F3400&lt;= DATE(2028, 12, 31), J3400&gt;50000), "Pendente e Caro", AND(F3400&gt;= DATE(2026,1,1), F3400&lt;= DATE(2028, 12, 31), J3400&lt;=50000), "Pendente", F3400&gt;= DATE(2029,1,1), "Não prioeitário")</f>
        <v>Não prioeitário</v>
      </c>
      <c r="H3400" s="89">
        <f>YEAR(Tabela1[[#This Row],[Data de Validade]])</f>
        <v>2030</v>
      </c>
      <c r="I3400" s="89">
        <f>MONTH(Tabela1[[#This Row],[Data de Validade]])</f>
        <v>2</v>
      </c>
      <c r="J3400" s="101">
        <v>69891</v>
      </c>
      <c r="K3400" s="87" t="s">
        <v>7</v>
      </c>
      <c r="L3400" s="108"/>
      <c r="M3400" s="108"/>
      <c r="N3400" s="108" t="str">
        <v>P718P482</v>
      </c>
      <c r="O3400" s="108">
        <f t="shared" si="55"/>
        <v>1</v>
      </c>
      <c r="P3400" s="108"/>
      <c r="Q3400"/>
    </row>
    <row r="3401" spans="1:17" x14ac:dyDescent="0.25">
      <c r="A3401" s="89" t="s">
        <v>7992</v>
      </c>
      <c r="B3401" s="87" t="s">
        <v>7993</v>
      </c>
      <c r="C3401" s="87" t="s">
        <v>6</v>
      </c>
      <c r="D3401" s="87" t="str">
        <f>VLOOKUP(Tabela1[[#This Row],[Origem]], 'Perguntas 1 a 24'!$J$28:$K$34, 2, 0)</f>
        <v>Nordeste</v>
      </c>
      <c r="E3401" s="87" t="str">
        <f>Tabela1[[#This Row],[Descrição]]&amp;"-"&amp;Tabela1[[#This Row],[Código]]&amp;"/"&amp;Tabela1[[#This Row],[Origem]]</f>
        <v>Rutaga-P813P966/MA</v>
      </c>
      <c r="F3401" s="88">
        <v>47534</v>
      </c>
      <c r="G3401" s="88" t="str" cm="1">
        <f t="array" ref="G34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AND(F3401&gt;= DATE(2026,1,1), F3401&lt;= DATE(2028, 12, 31), J3401&gt;50000), "Pendente e Caro", AND(F3401&gt;= DATE(2026,1,1), F3401&lt;= DATE(2028, 12, 31), J3401&lt;=50000), "Pendente", F3401&gt;= DATE(2029,1,1), "Não prioeitário")</f>
        <v>Não prioeitário</v>
      </c>
      <c r="H3401" s="89">
        <f>YEAR(Tabela1[[#This Row],[Data de Validade]])</f>
        <v>2030</v>
      </c>
      <c r="I3401" s="89">
        <f>MONTH(Tabela1[[#This Row],[Data de Validade]])</f>
        <v>2</v>
      </c>
      <c r="J3401" s="101">
        <v>37551</v>
      </c>
      <c r="K3401" s="87" t="s">
        <v>11</v>
      </c>
      <c r="L3401" s="108"/>
      <c r="M3401" s="108"/>
      <c r="N3401" s="108" t="str">
        <v>H771P546</v>
      </c>
      <c r="O3401" s="108">
        <f t="shared" si="55"/>
        <v>1</v>
      </c>
      <c r="P3401" s="108"/>
      <c r="Q3401"/>
    </row>
    <row r="3402" spans="1:17" x14ac:dyDescent="0.25">
      <c r="A3402" s="89" t="s">
        <v>9041</v>
      </c>
      <c r="B3402" s="87" t="s">
        <v>9042</v>
      </c>
      <c r="C3402" s="87" t="s">
        <v>13</v>
      </c>
      <c r="D3402" s="87" t="str">
        <f>VLOOKUP(Tabela1[[#This Row],[Origem]], 'Perguntas 1 a 24'!$J$28:$K$34, 2, 0)</f>
        <v>Sudeste</v>
      </c>
      <c r="E3402" s="87" t="str">
        <f>Tabela1[[#This Row],[Descrição]]&amp;"-"&amp;Tabela1[[#This Row],[Código]]&amp;"/"&amp;Tabela1[[#This Row],[Origem]]</f>
        <v>Cetepo-H992H137/SP</v>
      </c>
      <c r="F3402" s="88">
        <v>47535</v>
      </c>
      <c r="G3402" s="88" t="str" cm="1">
        <f t="array" ref="G34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AND(F3402&gt;= DATE(2026,1,1), F3402&lt;= DATE(2028, 12, 31), J3402&gt;50000), "Pendente e Caro", AND(F3402&gt;= DATE(2026,1,1), F3402&lt;= DATE(2028, 12, 31), J3402&lt;=50000), "Pendente", F3402&gt;= DATE(2029,1,1), "Não prioeitário")</f>
        <v>Não prioeitário</v>
      </c>
      <c r="H3402" s="89">
        <f>YEAR(Tabela1[[#This Row],[Data de Validade]])</f>
        <v>2030</v>
      </c>
      <c r="I3402" s="89">
        <f>MONTH(Tabela1[[#This Row],[Data de Validade]])</f>
        <v>2</v>
      </c>
      <c r="J3402" s="101">
        <v>89580</v>
      </c>
      <c r="K3402" s="87" t="s">
        <v>9</v>
      </c>
      <c r="L3402" s="108"/>
      <c r="M3402" s="108"/>
      <c r="N3402" s="108" t="str">
        <v>H686P199</v>
      </c>
      <c r="O3402" s="108">
        <f t="shared" si="55"/>
        <v>1</v>
      </c>
      <c r="P3402" s="108"/>
      <c r="Q3402"/>
    </row>
    <row r="3403" spans="1:17" x14ac:dyDescent="0.25">
      <c r="A3403" s="89" t="s">
        <v>8573</v>
      </c>
      <c r="B3403" s="87" t="s">
        <v>8574</v>
      </c>
      <c r="C3403" s="87" t="s">
        <v>12</v>
      </c>
      <c r="D3403" s="87" t="str">
        <f>VLOOKUP(Tabela1[[#This Row],[Origem]], 'Perguntas 1 a 24'!$J$28:$K$34, 2, 0)</f>
        <v>Sudeste</v>
      </c>
      <c r="E3403" s="87" t="str">
        <f>Tabela1[[#This Row],[Descrição]]&amp;"-"&amp;Tabela1[[#This Row],[Código]]&amp;"/"&amp;Tabela1[[#This Row],[Origem]]</f>
        <v>Ledaru-H253P245/RJ</v>
      </c>
      <c r="F3403" s="88">
        <v>47536</v>
      </c>
      <c r="G3403" s="88" t="str" cm="1">
        <f t="array" ref="G34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AND(F3403&gt;= DATE(2026,1,1), F3403&lt;= DATE(2028, 12, 31), J3403&gt;50000), "Pendente e Caro", AND(F3403&gt;= DATE(2026,1,1), F3403&lt;= DATE(2028, 12, 31), J3403&lt;=50000), "Pendente", F3403&gt;= DATE(2029,1,1), "Não prioeitário")</f>
        <v>Não prioeitário</v>
      </c>
      <c r="H3403" s="89">
        <f>YEAR(Tabela1[[#This Row],[Data de Validade]])</f>
        <v>2030</v>
      </c>
      <c r="I3403" s="89">
        <f>MONTH(Tabela1[[#This Row],[Data de Validade]])</f>
        <v>2</v>
      </c>
      <c r="J3403" s="101">
        <v>73488</v>
      </c>
      <c r="K3403" s="87" t="s">
        <v>9</v>
      </c>
      <c r="L3403" s="108"/>
      <c r="M3403" s="108"/>
      <c r="N3403" s="108" t="str">
        <v>H645P288</v>
      </c>
      <c r="O3403" s="108">
        <f t="shared" si="55"/>
        <v>1</v>
      </c>
      <c r="P3403" s="108"/>
      <c r="Q3403"/>
    </row>
    <row r="3404" spans="1:17" x14ac:dyDescent="0.25">
      <c r="A3404" s="89" t="s">
        <v>4209</v>
      </c>
      <c r="B3404" s="87" t="s">
        <v>4210</v>
      </c>
      <c r="C3404" s="87" t="s">
        <v>16</v>
      </c>
      <c r="D3404" s="87" t="str">
        <f>VLOOKUP(Tabela1[[#This Row],[Origem]], 'Perguntas 1 a 24'!$J$28:$K$34, 2, 0)</f>
        <v>Sudeste</v>
      </c>
      <c r="E3404" s="87" t="str">
        <f>Tabela1[[#This Row],[Descrição]]&amp;"-"&amp;Tabela1[[#This Row],[Código]]&amp;"/"&amp;Tabela1[[#This Row],[Origem]]</f>
        <v>Muvuro-P479P431/MG</v>
      </c>
      <c r="F3404" s="88">
        <v>47536</v>
      </c>
      <c r="G3404" s="88" t="str" cm="1">
        <f t="array" ref="G34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AND(F3404&gt;= DATE(2026,1,1), F3404&lt;= DATE(2028, 12, 31), J3404&gt;50000), "Pendente e Caro", AND(F3404&gt;= DATE(2026,1,1), F3404&lt;= DATE(2028, 12, 31), J3404&lt;=50000), "Pendente", F3404&gt;= DATE(2029,1,1), "Não prioeitário")</f>
        <v>Não prioeitário</v>
      </c>
      <c r="H3404" s="89">
        <f>YEAR(Tabela1[[#This Row],[Data de Validade]])</f>
        <v>2030</v>
      </c>
      <c r="I3404" s="89">
        <f>MONTH(Tabela1[[#This Row],[Data de Validade]])</f>
        <v>2</v>
      </c>
      <c r="J3404" s="101">
        <v>62745</v>
      </c>
      <c r="K3404" s="87" t="s">
        <v>11</v>
      </c>
      <c r="L3404" s="108"/>
      <c r="M3404" s="108"/>
      <c r="N3404" s="108" t="str">
        <v>P648P217</v>
      </c>
      <c r="O3404" s="108">
        <f t="shared" si="55"/>
        <v>1</v>
      </c>
      <c r="P3404" s="108"/>
      <c r="Q3404"/>
    </row>
    <row r="3405" spans="1:17" x14ac:dyDescent="0.25">
      <c r="A3405" s="89" t="s">
        <v>7970</v>
      </c>
      <c r="B3405" s="87" t="s">
        <v>7971</v>
      </c>
      <c r="C3405" s="87" t="s">
        <v>10</v>
      </c>
      <c r="D3405" s="87" t="str">
        <f>VLOOKUP(Tabela1[[#This Row],[Origem]], 'Perguntas 1 a 24'!$J$28:$K$34, 2, 0)</f>
        <v>Centro-Oeste</v>
      </c>
      <c r="E3405" s="87" t="str">
        <f>Tabela1[[#This Row],[Descrição]]&amp;"-"&amp;Tabela1[[#This Row],[Código]]&amp;"/"&amp;Tabela1[[#This Row],[Origem]]</f>
        <v>Panefetoro-P236P458/GO</v>
      </c>
      <c r="F3405" s="88">
        <v>47536</v>
      </c>
      <c r="G3405" s="88" t="str" cm="1">
        <f t="array" ref="G34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AND(F3405&gt;= DATE(2026,1,1), F3405&lt;= DATE(2028, 12, 31), J3405&gt;50000), "Pendente e Caro", AND(F3405&gt;= DATE(2026,1,1), F3405&lt;= DATE(2028, 12, 31), J3405&lt;=50000), "Pendente", F3405&gt;= DATE(2029,1,1), "Não prioeitário")</f>
        <v>Não prioeitário</v>
      </c>
      <c r="H3405" s="89">
        <f>YEAR(Tabela1[[#This Row],[Data de Validade]])</f>
        <v>2030</v>
      </c>
      <c r="I3405" s="89">
        <f>MONTH(Tabela1[[#This Row],[Data de Validade]])</f>
        <v>2</v>
      </c>
      <c r="J3405" s="101">
        <v>40809</v>
      </c>
      <c r="K3405" s="87" t="s">
        <v>9</v>
      </c>
      <c r="L3405" s="108"/>
      <c r="M3405" s="108"/>
      <c r="N3405" s="108" t="str">
        <v>P272P373</v>
      </c>
      <c r="O3405" s="108">
        <f t="shared" si="55"/>
        <v>1</v>
      </c>
      <c r="P3405" s="108"/>
      <c r="Q3405"/>
    </row>
    <row r="3406" spans="1:17" x14ac:dyDescent="0.25">
      <c r="A3406" s="89" t="s">
        <v>7792</v>
      </c>
      <c r="B3406" s="87" t="s">
        <v>7793</v>
      </c>
      <c r="C3406" s="87" t="s">
        <v>13</v>
      </c>
      <c r="D3406" s="87" t="str">
        <f>VLOOKUP(Tabela1[[#This Row],[Origem]], 'Perguntas 1 a 24'!$J$28:$K$34, 2, 0)</f>
        <v>Sudeste</v>
      </c>
      <c r="E3406" s="87" t="str">
        <f>Tabela1[[#This Row],[Descrição]]&amp;"-"&amp;Tabela1[[#This Row],[Código]]&amp;"/"&amp;Tabela1[[#This Row],[Origem]]</f>
        <v>Talumevi-H183P962/SP</v>
      </c>
      <c r="F3406" s="88">
        <v>47537</v>
      </c>
      <c r="G3406" s="88" t="str" cm="1">
        <f t="array" ref="G34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AND(F3406&gt;= DATE(2026,1,1), F3406&lt;= DATE(2028, 12, 31), J3406&gt;50000), "Pendente e Caro", AND(F3406&gt;= DATE(2026,1,1), F3406&lt;= DATE(2028, 12, 31), J3406&lt;=50000), "Pendente", F3406&gt;= DATE(2029,1,1), "Não prioeitário")</f>
        <v>Não prioeitário</v>
      </c>
      <c r="H3406" s="89">
        <f>YEAR(Tabela1[[#This Row],[Data de Validade]])</f>
        <v>2030</v>
      </c>
      <c r="I3406" s="89">
        <f>MONTH(Tabela1[[#This Row],[Data de Validade]])</f>
        <v>2</v>
      </c>
      <c r="J3406" s="101">
        <v>41746</v>
      </c>
      <c r="K3406" s="87" t="s">
        <v>11</v>
      </c>
      <c r="L3406" s="108"/>
      <c r="M3406" s="108"/>
      <c r="N3406" s="108" t="str">
        <v>P814P135</v>
      </c>
      <c r="O3406" s="108">
        <f t="shared" si="55"/>
        <v>1</v>
      </c>
      <c r="P3406" s="108"/>
      <c r="Q3406"/>
    </row>
    <row r="3407" spans="1:17" x14ac:dyDescent="0.25">
      <c r="A3407" s="89" t="s">
        <v>9625</v>
      </c>
      <c r="B3407" s="87" t="s">
        <v>9626</v>
      </c>
      <c r="C3407" s="87" t="s">
        <v>10</v>
      </c>
      <c r="D3407" s="87" t="str">
        <f>VLOOKUP(Tabela1[[#This Row],[Origem]], 'Perguntas 1 a 24'!$J$28:$K$34, 2, 0)</f>
        <v>Centro-Oeste</v>
      </c>
      <c r="E3407" s="87" t="str">
        <f>Tabela1[[#This Row],[Descrição]]&amp;"-"&amp;Tabela1[[#This Row],[Código]]&amp;"/"&amp;Tabela1[[#This Row],[Origem]]</f>
        <v>Ripafo-H239H272/GO</v>
      </c>
      <c r="F3407" s="88">
        <v>47539</v>
      </c>
      <c r="G3407" s="88" t="str" cm="1">
        <f t="array" ref="G34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AND(F3407&gt;= DATE(2026,1,1), F3407&lt;= DATE(2028, 12, 31), J3407&gt;50000), "Pendente e Caro", AND(F3407&gt;= DATE(2026,1,1), F3407&lt;= DATE(2028, 12, 31), J3407&lt;=50000), "Pendente", F3407&gt;= DATE(2029,1,1), "Não prioeitário")</f>
        <v>Não prioeitário</v>
      </c>
      <c r="H3407" s="89">
        <f>YEAR(Tabela1[[#This Row],[Data de Validade]])</f>
        <v>2030</v>
      </c>
      <c r="I3407" s="89">
        <f>MONTH(Tabela1[[#This Row],[Data de Validade]])</f>
        <v>2</v>
      </c>
      <c r="J3407" s="101">
        <v>87317</v>
      </c>
      <c r="K3407" s="87" t="s">
        <v>9</v>
      </c>
      <c r="L3407" s="108"/>
      <c r="M3407" s="108"/>
      <c r="N3407" s="108" t="str">
        <v>H425P114</v>
      </c>
      <c r="O3407" s="108">
        <f t="shared" si="55"/>
        <v>1</v>
      </c>
      <c r="P3407" s="108"/>
      <c r="Q3407"/>
    </row>
    <row r="3408" spans="1:17" x14ac:dyDescent="0.25">
      <c r="A3408" s="89" t="s">
        <v>9935</v>
      </c>
      <c r="B3408" s="87" t="s">
        <v>9936</v>
      </c>
      <c r="C3408" s="87" t="s">
        <v>12</v>
      </c>
      <c r="D3408" s="87" t="str">
        <f>VLOOKUP(Tabela1[[#This Row],[Origem]], 'Perguntas 1 a 24'!$J$28:$K$34, 2, 0)</f>
        <v>Sudeste</v>
      </c>
      <c r="E3408" s="87" t="str">
        <f>Tabela1[[#This Row],[Descrição]]&amp;"-"&amp;Tabela1[[#This Row],[Código]]&amp;"/"&amp;Tabela1[[#This Row],[Origem]]</f>
        <v>Getepife-P718P482/RJ</v>
      </c>
      <c r="F3408" s="88">
        <v>47539</v>
      </c>
      <c r="G3408" s="88" t="str" cm="1">
        <f t="array" ref="G34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AND(F3408&gt;= DATE(2026,1,1), F3408&lt;= DATE(2028, 12, 31), J3408&gt;50000), "Pendente e Caro", AND(F3408&gt;= DATE(2026,1,1), F3408&lt;= DATE(2028, 12, 31), J3408&lt;=50000), "Pendente", F3408&gt;= DATE(2029,1,1), "Não prioeitário")</f>
        <v>Não prioeitário</v>
      </c>
      <c r="H3408" s="89">
        <f>YEAR(Tabela1[[#This Row],[Data de Validade]])</f>
        <v>2030</v>
      </c>
      <c r="I3408" s="89">
        <f>MONTH(Tabela1[[#This Row],[Data de Validade]])</f>
        <v>2</v>
      </c>
      <c r="J3408" s="101">
        <v>74252</v>
      </c>
      <c r="K3408" s="87" t="s">
        <v>11</v>
      </c>
      <c r="L3408" s="108"/>
      <c r="M3408" s="108"/>
      <c r="N3408" s="108" t="str">
        <v>P922H591</v>
      </c>
      <c r="O3408" s="108">
        <f t="shared" si="55"/>
        <v>1</v>
      </c>
      <c r="P3408" s="108"/>
      <c r="Q3408"/>
    </row>
    <row r="3409" spans="1:17" x14ac:dyDescent="0.25">
      <c r="A3409" s="89" t="s">
        <v>8651</v>
      </c>
      <c r="B3409" s="87" t="s">
        <v>8652</v>
      </c>
      <c r="C3409" s="87" t="s">
        <v>8</v>
      </c>
      <c r="D3409" s="87" t="str">
        <f>VLOOKUP(Tabela1[[#This Row],[Origem]], 'Perguntas 1 a 24'!$J$28:$K$34, 2, 0)</f>
        <v>Nordeste</v>
      </c>
      <c r="E3409" s="87" t="str">
        <f>Tabela1[[#This Row],[Descrição]]&amp;"-"&amp;Tabela1[[#This Row],[Código]]&amp;"/"&amp;Tabela1[[#This Row],[Origem]]</f>
        <v>Taduti-H771P546/AL</v>
      </c>
      <c r="F3409" s="88">
        <v>47541</v>
      </c>
      <c r="G3409" s="88" t="str" cm="1">
        <f t="array" ref="G34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AND(F3409&gt;= DATE(2026,1,1), F3409&lt;= DATE(2028, 12, 31), J3409&gt;50000), "Pendente e Caro", AND(F3409&gt;= DATE(2026,1,1), F3409&lt;= DATE(2028, 12, 31), J3409&lt;=50000), "Pendente", F3409&gt;= DATE(2029,1,1), "Não prioeitário")</f>
        <v>Não prioeitário</v>
      </c>
      <c r="H3409" s="89">
        <f>YEAR(Tabela1[[#This Row],[Data de Validade]])</f>
        <v>2030</v>
      </c>
      <c r="I3409" s="89">
        <f>MONTH(Tabela1[[#This Row],[Data de Validade]])</f>
        <v>2</v>
      </c>
      <c r="J3409" s="101">
        <v>103022</v>
      </c>
      <c r="K3409" s="87" t="s">
        <v>9</v>
      </c>
      <c r="L3409" s="108"/>
      <c r="M3409" s="108"/>
      <c r="N3409" s="108" t="str">
        <v>H888H688</v>
      </c>
      <c r="O3409" s="108">
        <f t="shared" si="55"/>
        <v>1</v>
      </c>
      <c r="P3409" s="108"/>
      <c r="Q3409"/>
    </row>
    <row r="3410" spans="1:17" x14ac:dyDescent="0.25">
      <c r="A3410" s="89" t="s">
        <v>10831</v>
      </c>
      <c r="B3410" s="87" t="s">
        <v>10832</v>
      </c>
      <c r="C3410" s="87" t="s">
        <v>16</v>
      </c>
      <c r="D3410" s="87" t="str">
        <f>VLOOKUP(Tabela1[[#This Row],[Origem]], 'Perguntas 1 a 24'!$J$28:$K$34, 2, 0)</f>
        <v>Sudeste</v>
      </c>
      <c r="E3410" s="87" t="str">
        <f>Tabela1[[#This Row],[Descrição]]&amp;"-"&amp;Tabela1[[#This Row],[Código]]&amp;"/"&amp;Tabela1[[#This Row],[Origem]]</f>
        <v>Muvogi-H686P199/MG</v>
      </c>
      <c r="F3410" s="88">
        <v>47541</v>
      </c>
      <c r="G3410" s="88" t="str" cm="1">
        <f t="array" ref="G34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AND(F3410&gt;= DATE(2026,1,1), F3410&lt;= DATE(2028, 12, 31), J3410&gt;50000), "Pendente e Caro", AND(F3410&gt;= DATE(2026,1,1), F3410&lt;= DATE(2028, 12, 31), J3410&lt;=50000), "Pendente", F3410&gt;= DATE(2029,1,1), "Não prioeitário")</f>
        <v>Não prioeitário</v>
      </c>
      <c r="H3410" s="89">
        <f>YEAR(Tabela1[[#This Row],[Data de Validade]])</f>
        <v>2030</v>
      </c>
      <c r="I3410" s="89">
        <f>MONTH(Tabela1[[#This Row],[Data de Validade]])</f>
        <v>2</v>
      </c>
      <c r="J3410" s="101">
        <v>44605</v>
      </c>
      <c r="K3410" s="87" t="s">
        <v>11</v>
      </c>
      <c r="L3410" s="108"/>
      <c r="M3410" s="108"/>
      <c r="N3410" s="108" t="str">
        <v>P729H799</v>
      </c>
      <c r="O3410" s="108">
        <f t="shared" si="55"/>
        <v>1</v>
      </c>
      <c r="P3410" s="108"/>
      <c r="Q3410"/>
    </row>
    <row r="3411" spans="1:17" x14ac:dyDescent="0.25">
      <c r="A3411" s="89" t="s">
        <v>4824</v>
      </c>
      <c r="B3411" s="87" t="s">
        <v>4825</v>
      </c>
      <c r="C3411" s="87" t="s">
        <v>13</v>
      </c>
      <c r="D3411" s="87" t="str">
        <f>VLOOKUP(Tabela1[[#This Row],[Origem]], 'Perguntas 1 a 24'!$J$28:$K$34, 2, 0)</f>
        <v>Sudeste</v>
      </c>
      <c r="E3411" s="87" t="str">
        <f>Tabela1[[#This Row],[Descrição]]&amp;"-"&amp;Tabela1[[#This Row],[Código]]&amp;"/"&amp;Tabela1[[#This Row],[Origem]]</f>
        <v>Gigani-H645P288/SP</v>
      </c>
      <c r="F3411" s="88">
        <v>47541</v>
      </c>
      <c r="G3411" s="88" t="str" cm="1">
        <f t="array" ref="G34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AND(F3411&gt;= DATE(2026,1,1), F3411&lt;= DATE(2028, 12, 31), J3411&gt;50000), "Pendente e Caro", AND(F3411&gt;= DATE(2026,1,1), F3411&lt;= DATE(2028, 12, 31), J3411&lt;=50000), "Pendente", F3411&gt;= DATE(2029,1,1), "Não prioeitário")</f>
        <v>Não prioeitário</v>
      </c>
      <c r="H3411" s="89">
        <f>YEAR(Tabela1[[#This Row],[Data de Validade]])</f>
        <v>2030</v>
      </c>
      <c r="I3411" s="89">
        <f>MONTH(Tabela1[[#This Row],[Data de Validade]])</f>
        <v>2</v>
      </c>
      <c r="J3411" s="101">
        <v>40125</v>
      </c>
      <c r="K3411" s="87" t="s">
        <v>11</v>
      </c>
      <c r="L3411" s="108"/>
      <c r="M3411" s="108"/>
      <c r="N3411" s="108" t="str">
        <v>H471H659</v>
      </c>
      <c r="O3411" s="108">
        <f t="shared" si="55"/>
        <v>1</v>
      </c>
      <c r="P3411" s="108"/>
      <c r="Q3411"/>
    </row>
    <row r="3412" spans="1:17" x14ac:dyDescent="0.25">
      <c r="A3412" s="89" t="s">
        <v>10021</v>
      </c>
      <c r="B3412" s="87" t="s">
        <v>10022</v>
      </c>
      <c r="C3412" s="87" t="s">
        <v>15</v>
      </c>
      <c r="D3412" s="87" t="str">
        <f>VLOOKUP(Tabela1[[#This Row],[Origem]], 'Perguntas 1 a 24'!$J$28:$K$34, 2, 0)</f>
        <v>Sudeste</v>
      </c>
      <c r="E3412" s="87" t="str">
        <f>Tabela1[[#This Row],[Descrição]]&amp;"-"&amp;Tabela1[[#This Row],[Código]]&amp;"/"&amp;Tabela1[[#This Row],[Origem]]</f>
        <v>Tidoma-P648P217/ES</v>
      </c>
      <c r="F3412" s="88">
        <v>47542</v>
      </c>
      <c r="G3412" s="88" t="str" cm="1">
        <f t="array" ref="G34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AND(F3412&gt;= DATE(2026,1,1), F3412&lt;= DATE(2028, 12, 31), J3412&gt;50000), "Pendente e Caro", AND(F3412&gt;= DATE(2026,1,1), F3412&lt;= DATE(2028, 12, 31), J3412&lt;=50000), "Pendente", F3412&gt;= DATE(2029,1,1), "Não prioeitário")</f>
        <v>Não prioeitário</v>
      </c>
      <c r="H3412" s="89">
        <f>YEAR(Tabela1[[#This Row],[Data de Validade]])</f>
        <v>2030</v>
      </c>
      <c r="I3412" s="89">
        <f>MONTH(Tabela1[[#This Row],[Data de Validade]])</f>
        <v>2</v>
      </c>
      <c r="J3412" s="101">
        <v>77257</v>
      </c>
      <c r="K3412" s="87" t="s">
        <v>11</v>
      </c>
      <c r="L3412" s="108"/>
      <c r="M3412" s="108"/>
      <c r="N3412" s="108" t="str">
        <v>H827H718</v>
      </c>
      <c r="O3412" s="108">
        <f t="shared" si="55"/>
        <v>1</v>
      </c>
      <c r="P3412" s="108"/>
      <c r="Q3412"/>
    </row>
    <row r="3413" spans="1:17" x14ac:dyDescent="0.25">
      <c r="A3413" s="89" t="s">
        <v>8184</v>
      </c>
      <c r="B3413" s="87" t="s">
        <v>8185</v>
      </c>
      <c r="C3413" s="87" t="s">
        <v>16</v>
      </c>
      <c r="D3413" s="87" t="str">
        <f>VLOOKUP(Tabela1[[#This Row],[Origem]], 'Perguntas 1 a 24'!$J$28:$K$34, 2, 0)</f>
        <v>Sudeste</v>
      </c>
      <c r="E3413" s="87" t="str">
        <f>Tabela1[[#This Row],[Descrição]]&amp;"-"&amp;Tabela1[[#This Row],[Código]]&amp;"/"&amp;Tabela1[[#This Row],[Origem]]</f>
        <v>Roponunude-P272P373/MG</v>
      </c>
      <c r="F3413" s="88">
        <v>47542</v>
      </c>
      <c r="G3413" s="88" t="str" cm="1">
        <f t="array" ref="G34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AND(F3413&gt;= DATE(2026,1,1), F3413&lt;= DATE(2028, 12, 31), J3413&gt;50000), "Pendente e Caro", AND(F3413&gt;= DATE(2026,1,1), F3413&lt;= DATE(2028, 12, 31), J3413&lt;=50000), "Pendente", F3413&gt;= DATE(2029,1,1), "Não prioeitário")</f>
        <v>Não prioeitário</v>
      </c>
      <c r="H3413" s="89">
        <f>YEAR(Tabela1[[#This Row],[Data de Validade]])</f>
        <v>2030</v>
      </c>
      <c r="I3413" s="89">
        <f>MONTH(Tabela1[[#This Row],[Data de Validade]])</f>
        <v>2</v>
      </c>
      <c r="J3413" s="101">
        <v>41413</v>
      </c>
      <c r="K3413" s="87" t="s">
        <v>9</v>
      </c>
      <c r="L3413" s="108"/>
      <c r="M3413" s="108"/>
      <c r="N3413" s="108" t="str">
        <v>H693H393</v>
      </c>
      <c r="O3413" s="108">
        <f t="shared" si="55"/>
        <v>1</v>
      </c>
      <c r="P3413" s="108"/>
      <c r="Q3413"/>
    </row>
    <row r="3414" spans="1:17" x14ac:dyDescent="0.25">
      <c r="A3414" s="89" t="s">
        <v>4928</v>
      </c>
      <c r="B3414" s="87" t="s">
        <v>4929</v>
      </c>
      <c r="C3414" s="87" t="s">
        <v>8</v>
      </c>
      <c r="D3414" s="87" t="str">
        <f>VLOOKUP(Tabela1[[#This Row],[Origem]], 'Perguntas 1 a 24'!$J$28:$K$34, 2, 0)</f>
        <v>Nordeste</v>
      </c>
      <c r="E3414" s="87" t="str">
        <f>Tabela1[[#This Row],[Descrição]]&amp;"-"&amp;Tabela1[[#This Row],[Código]]&amp;"/"&amp;Tabela1[[#This Row],[Origem]]</f>
        <v>Ratepepo-P814P135/AL</v>
      </c>
      <c r="F3414" s="88">
        <v>47542</v>
      </c>
      <c r="G3414" s="88" t="str" cm="1">
        <f t="array" ref="G34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AND(F3414&gt;= DATE(2026,1,1), F3414&lt;= DATE(2028, 12, 31), J3414&gt;50000), "Pendente e Caro", AND(F3414&gt;= DATE(2026,1,1), F3414&lt;= DATE(2028, 12, 31), J3414&lt;=50000), "Pendente", F3414&gt;= DATE(2029,1,1), "Não prioeitário")</f>
        <v>Não prioeitário</v>
      </c>
      <c r="H3414" s="89">
        <f>YEAR(Tabela1[[#This Row],[Data de Validade]])</f>
        <v>2030</v>
      </c>
      <c r="I3414" s="89">
        <f>MONTH(Tabela1[[#This Row],[Data de Validade]])</f>
        <v>2</v>
      </c>
      <c r="J3414" s="101">
        <v>39345</v>
      </c>
      <c r="K3414" s="87" t="s">
        <v>9</v>
      </c>
      <c r="L3414" s="108"/>
      <c r="M3414" s="108"/>
      <c r="N3414" s="108" t="str">
        <v>H993P899</v>
      </c>
      <c r="O3414" s="108">
        <f t="shared" si="55"/>
        <v>1</v>
      </c>
      <c r="P3414" s="108"/>
      <c r="Q3414"/>
    </row>
    <row r="3415" spans="1:17" x14ac:dyDescent="0.25">
      <c r="A3415" s="89" t="s">
        <v>9401</v>
      </c>
      <c r="B3415" s="87" t="s">
        <v>9402</v>
      </c>
      <c r="C3415" s="87" t="s">
        <v>12</v>
      </c>
      <c r="D3415" s="87" t="str">
        <f>VLOOKUP(Tabela1[[#This Row],[Origem]], 'Perguntas 1 a 24'!$J$28:$K$34, 2, 0)</f>
        <v>Sudeste</v>
      </c>
      <c r="E3415" s="87" t="str">
        <f>Tabela1[[#This Row],[Descrição]]&amp;"-"&amp;Tabela1[[#This Row],[Código]]&amp;"/"&amp;Tabela1[[#This Row],[Origem]]</f>
        <v>Rupilucaru-H425P114/RJ</v>
      </c>
      <c r="F3415" s="88">
        <v>47543</v>
      </c>
      <c r="G3415" s="88" t="str" cm="1">
        <f t="array" ref="G34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AND(F3415&gt;= DATE(2026,1,1), F3415&lt;= DATE(2028, 12, 31), J3415&gt;50000), "Pendente e Caro", AND(F3415&gt;= DATE(2026,1,1), F3415&lt;= DATE(2028, 12, 31), J3415&lt;=50000), "Pendente", F3415&gt;= DATE(2029,1,1), "Não prioeitário")</f>
        <v>Não prioeitário</v>
      </c>
      <c r="H3415" s="89">
        <f>YEAR(Tabela1[[#This Row],[Data de Validade]])</f>
        <v>2030</v>
      </c>
      <c r="I3415" s="89">
        <f>MONTH(Tabela1[[#This Row],[Data de Validade]])</f>
        <v>3</v>
      </c>
      <c r="J3415" s="101">
        <v>32684</v>
      </c>
      <c r="K3415" s="87" t="s">
        <v>11</v>
      </c>
      <c r="L3415" s="108"/>
      <c r="M3415" s="108"/>
      <c r="N3415" s="108" t="str">
        <v>H437H944</v>
      </c>
      <c r="O3415" s="108">
        <f t="shared" si="55"/>
        <v>1</v>
      </c>
      <c r="P3415" s="108"/>
      <c r="Q3415"/>
    </row>
    <row r="3416" spans="1:17" x14ac:dyDescent="0.25">
      <c r="A3416" s="89" t="s">
        <v>11092</v>
      </c>
      <c r="B3416" s="87" t="s">
        <v>11093</v>
      </c>
      <c r="C3416" s="87" t="s">
        <v>12</v>
      </c>
      <c r="D3416" s="87" t="str">
        <f>VLOOKUP(Tabela1[[#This Row],[Origem]], 'Perguntas 1 a 24'!$J$28:$K$34, 2, 0)</f>
        <v>Sudeste</v>
      </c>
      <c r="E3416" s="87" t="str">
        <f>Tabela1[[#This Row],[Descrição]]&amp;"-"&amp;Tabela1[[#This Row],[Código]]&amp;"/"&amp;Tabela1[[#This Row],[Origem]]</f>
        <v>Gilirepena-P922H591/RJ</v>
      </c>
      <c r="F3416" s="88">
        <v>47544</v>
      </c>
      <c r="G3416" s="88" t="str" cm="1">
        <f t="array" ref="G34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AND(F3416&gt;= DATE(2026,1,1), F3416&lt;= DATE(2028, 12, 31), J3416&gt;50000), "Pendente e Caro", AND(F3416&gt;= DATE(2026,1,1), F3416&lt;= DATE(2028, 12, 31), J3416&lt;=50000), "Pendente", F3416&gt;= DATE(2029,1,1), "Não prioeitário")</f>
        <v>Não prioeitário</v>
      </c>
      <c r="H3416" s="89">
        <f>YEAR(Tabela1[[#This Row],[Data de Validade]])</f>
        <v>2030</v>
      </c>
      <c r="I3416" s="89">
        <f>MONTH(Tabela1[[#This Row],[Data de Validade]])</f>
        <v>3</v>
      </c>
      <c r="J3416" s="101">
        <v>114363</v>
      </c>
      <c r="K3416" s="87" t="s">
        <v>14</v>
      </c>
      <c r="L3416" s="108"/>
      <c r="M3416" s="108"/>
      <c r="N3416" s="108" t="str">
        <v>P752H842</v>
      </c>
      <c r="O3416" s="108">
        <f t="shared" si="55"/>
        <v>1</v>
      </c>
      <c r="P3416" s="108"/>
      <c r="Q3416"/>
    </row>
    <row r="3417" spans="1:17" x14ac:dyDescent="0.25">
      <c r="A3417" s="89" t="s">
        <v>5038</v>
      </c>
      <c r="B3417" s="87" t="s">
        <v>5039</v>
      </c>
      <c r="C3417" s="87" t="s">
        <v>8</v>
      </c>
      <c r="D3417" s="87" t="str">
        <f>VLOOKUP(Tabela1[[#This Row],[Origem]], 'Perguntas 1 a 24'!$J$28:$K$34, 2, 0)</f>
        <v>Nordeste</v>
      </c>
      <c r="E3417" s="87" t="str">
        <f>Tabela1[[#This Row],[Descrição]]&amp;"-"&amp;Tabela1[[#This Row],[Código]]&amp;"/"&amp;Tabela1[[#This Row],[Origem]]</f>
        <v>Pogatire-H888H688/AL</v>
      </c>
      <c r="F3417" s="88">
        <v>47544</v>
      </c>
      <c r="G3417" s="88" t="str" cm="1">
        <f t="array" ref="G34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AND(F3417&gt;= DATE(2026,1,1), F3417&lt;= DATE(2028, 12, 31), J3417&gt;50000), "Pendente e Caro", AND(F3417&gt;= DATE(2026,1,1), F3417&lt;= DATE(2028, 12, 31), J3417&lt;=50000), "Pendente", F3417&gt;= DATE(2029,1,1), "Não prioeitário")</f>
        <v>Não prioeitário</v>
      </c>
      <c r="H3417" s="89">
        <f>YEAR(Tabela1[[#This Row],[Data de Validade]])</f>
        <v>2030</v>
      </c>
      <c r="I3417" s="89">
        <f>MONTH(Tabela1[[#This Row],[Data de Validade]])</f>
        <v>3</v>
      </c>
      <c r="J3417" s="101">
        <v>26577</v>
      </c>
      <c r="K3417" s="87" t="s">
        <v>11</v>
      </c>
      <c r="L3417" s="108"/>
      <c r="M3417" s="108"/>
      <c r="N3417" s="108" t="str">
        <v>P829P357</v>
      </c>
      <c r="O3417" s="108">
        <f t="shared" si="55"/>
        <v>1</v>
      </c>
      <c r="P3417" s="108"/>
      <c r="Q3417"/>
    </row>
    <row r="3418" spans="1:17" x14ac:dyDescent="0.25">
      <c r="A3418" s="89" t="s">
        <v>4882</v>
      </c>
      <c r="B3418" s="87" t="s">
        <v>4883</v>
      </c>
      <c r="C3418" s="87" t="s">
        <v>13</v>
      </c>
      <c r="D3418" s="87" t="str">
        <f>VLOOKUP(Tabela1[[#This Row],[Origem]], 'Perguntas 1 a 24'!$J$28:$K$34, 2, 0)</f>
        <v>Sudeste</v>
      </c>
      <c r="E3418" s="87" t="str">
        <f>Tabela1[[#This Row],[Descrição]]&amp;"-"&amp;Tabela1[[#This Row],[Código]]&amp;"/"&amp;Tabela1[[#This Row],[Origem]]</f>
        <v>Nudero-P729H799/SP</v>
      </c>
      <c r="F3418" s="88">
        <v>47545</v>
      </c>
      <c r="G3418" s="88" t="str" cm="1">
        <f t="array" ref="G34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AND(F3418&gt;= DATE(2026,1,1), F3418&lt;= DATE(2028, 12, 31), J3418&gt;50000), "Pendente e Caro", AND(F3418&gt;= DATE(2026,1,1), F3418&lt;= DATE(2028, 12, 31), J3418&lt;=50000), "Pendente", F3418&gt;= DATE(2029,1,1), "Não prioeitário")</f>
        <v>Não prioeitário</v>
      </c>
      <c r="H3418" s="89">
        <f>YEAR(Tabela1[[#This Row],[Data de Validade]])</f>
        <v>2030</v>
      </c>
      <c r="I3418" s="89">
        <f>MONTH(Tabela1[[#This Row],[Data de Validade]])</f>
        <v>3</v>
      </c>
      <c r="J3418" s="101">
        <v>109816</v>
      </c>
      <c r="K3418" s="87" t="s">
        <v>14</v>
      </c>
      <c r="L3418" s="108"/>
      <c r="M3418" s="108"/>
      <c r="N3418" s="108" t="str">
        <v>P722H554</v>
      </c>
      <c r="O3418" s="108">
        <f t="shared" si="55"/>
        <v>1</v>
      </c>
      <c r="P3418" s="108"/>
      <c r="Q3418"/>
    </row>
    <row r="3419" spans="1:17" x14ac:dyDescent="0.25">
      <c r="A3419" s="89" t="s">
        <v>7506</v>
      </c>
      <c r="B3419" s="87" t="s">
        <v>7507</v>
      </c>
      <c r="C3419" s="87" t="s">
        <v>12</v>
      </c>
      <c r="D3419" s="87" t="str">
        <f>VLOOKUP(Tabela1[[#This Row],[Origem]], 'Perguntas 1 a 24'!$J$28:$K$34, 2, 0)</f>
        <v>Sudeste</v>
      </c>
      <c r="E3419" s="87" t="str">
        <f>Tabela1[[#This Row],[Descrição]]&amp;"-"&amp;Tabela1[[#This Row],[Código]]&amp;"/"&amp;Tabela1[[#This Row],[Origem]]</f>
        <v>Lutepuci-H471H659/RJ</v>
      </c>
      <c r="F3419" s="88">
        <v>47545</v>
      </c>
      <c r="G3419" s="88" t="str" cm="1">
        <f t="array" ref="G34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AND(F3419&gt;= DATE(2026,1,1), F3419&lt;= DATE(2028, 12, 31), J3419&gt;50000), "Pendente e Caro", AND(F3419&gt;= DATE(2026,1,1), F3419&lt;= DATE(2028, 12, 31), J3419&lt;=50000), "Pendente", F3419&gt;= DATE(2029,1,1), "Não prioeitário")</f>
        <v>Não prioeitário</v>
      </c>
      <c r="H3419" s="89">
        <f>YEAR(Tabela1[[#This Row],[Data de Validade]])</f>
        <v>2030</v>
      </c>
      <c r="I3419" s="89">
        <f>MONTH(Tabela1[[#This Row],[Data de Validade]])</f>
        <v>3</v>
      </c>
      <c r="J3419" s="101">
        <v>94180</v>
      </c>
      <c r="K3419" s="87" t="s">
        <v>7</v>
      </c>
      <c r="L3419" s="108"/>
      <c r="M3419" s="108"/>
      <c r="N3419" s="108" t="str">
        <v>P679P787</v>
      </c>
      <c r="O3419" s="108">
        <f t="shared" si="55"/>
        <v>1</v>
      </c>
      <c r="P3419" s="108"/>
      <c r="Q3419"/>
    </row>
    <row r="3420" spans="1:17" x14ac:dyDescent="0.25">
      <c r="A3420" s="89" t="s">
        <v>10519</v>
      </c>
      <c r="B3420" s="87" t="s">
        <v>10520</v>
      </c>
      <c r="C3420" s="87" t="s">
        <v>16</v>
      </c>
      <c r="D3420" s="87" t="str">
        <f>VLOOKUP(Tabela1[[#This Row],[Origem]], 'Perguntas 1 a 24'!$J$28:$K$34, 2, 0)</f>
        <v>Sudeste</v>
      </c>
      <c r="E3420" s="87" t="str">
        <f>Tabela1[[#This Row],[Descrição]]&amp;"-"&amp;Tabela1[[#This Row],[Código]]&amp;"/"&amp;Tabela1[[#This Row],[Origem]]</f>
        <v>Tepifelefi-H827H718/MG</v>
      </c>
      <c r="F3420" s="88">
        <v>47545</v>
      </c>
      <c r="G3420" s="88" t="str" cm="1">
        <f t="array" ref="G34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AND(F3420&gt;= DATE(2026,1,1), F3420&lt;= DATE(2028, 12, 31), J3420&gt;50000), "Pendente e Caro", AND(F3420&gt;= DATE(2026,1,1), F3420&lt;= DATE(2028, 12, 31), J3420&lt;=50000), "Pendente", F3420&gt;= DATE(2029,1,1), "Não prioeitário")</f>
        <v>Não prioeitário</v>
      </c>
      <c r="H3420" s="89">
        <f>YEAR(Tabela1[[#This Row],[Data de Validade]])</f>
        <v>2030</v>
      </c>
      <c r="I3420" s="89">
        <f>MONTH(Tabela1[[#This Row],[Data de Validade]])</f>
        <v>3</v>
      </c>
      <c r="J3420" s="101">
        <v>32830</v>
      </c>
      <c r="K3420" s="87" t="s">
        <v>14</v>
      </c>
      <c r="L3420" s="108"/>
      <c r="M3420" s="108"/>
      <c r="N3420" s="108" t="str">
        <v>H218P333</v>
      </c>
      <c r="O3420" s="108">
        <f t="shared" si="55"/>
        <v>1</v>
      </c>
      <c r="P3420" s="108"/>
      <c r="Q3420"/>
    </row>
    <row r="3421" spans="1:17" x14ac:dyDescent="0.25">
      <c r="A3421" s="89" t="s">
        <v>4185</v>
      </c>
      <c r="B3421" s="87" t="s">
        <v>4186</v>
      </c>
      <c r="C3421" s="87" t="s">
        <v>6</v>
      </c>
      <c r="D3421" s="87" t="str">
        <f>VLOOKUP(Tabela1[[#This Row],[Origem]], 'Perguntas 1 a 24'!$J$28:$K$34, 2, 0)</f>
        <v>Nordeste</v>
      </c>
      <c r="E3421" s="87" t="str">
        <f>Tabela1[[#This Row],[Descrição]]&amp;"-"&amp;Tabela1[[#This Row],[Código]]&amp;"/"&amp;Tabela1[[#This Row],[Origem]]</f>
        <v>Pepipafide-H693H393/MA</v>
      </c>
      <c r="F3421" s="88">
        <v>47546</v>
      </c>
      <c r="G3421" s="88" t="str" cm="1">
        <f t="array" ref="G34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AND(F3421&gt;= DATE(2026,1,1), F3421&lt;= DATE(2028, 12, 31), J3421&gt;50000), "Pendente e Caro", AND(F3421&gt;= DATE(2026,1,1), F3421&lt;= DATE(2028, 12, 31), J3421&lt;=50000), "Pendente", F3421&gt;= DATE(2029,1,1), "Não prioeitário")</f>
        <v>Não prioeitário</v>
      </c>
      <c r="H3421" s="89">
        <f>YEAR(Tabela1[[#This Row],[Data de Validade]])</f>
        <v>2030</v>
      </c>
      <c r="I3421" s="89">
        <f>MONTH(Tabela1[[#This Row],[Data de Validade]])</f>
        <v>3</v>
      </c>
      <c r="J3421" s="101">
        <v>79467</v>
      </c>
      <c r="K3421" s="87" t="s">
        <v>9</v>
      </c>
      <c r="L3421" s="108"/>
      <c r="M3421" s="108"/>
      <c r="N3421" s="108" t="str">
        <v>P664P639</v>
      </c>
      <c r="O3421" s="108">
        <f t="shared" si="55"/>
        <v>1</v>
      </c>
      <c r="P3421" s="108"/>
      <c r="Q3421"/>
    </row>
    <row r="3422" spans="1:17" x14ac:dyDescent="0.25">
      <c r="A3422" s="89" t="s">
        <v>3828</v>
      </c>
      <c r="B3422" s="87" t="s">
        <v>3829</v>
      </c>
      <c r="C3422" s="87" t="s">
        <v>10</v>
      </c>
      <c r="D3422" s="87" t="str">
        <f>VLOOKUP(Tabela1[[#This Row],[Origem]], 'Perguntas 1 a 24'!$J$28:$K$34, 2, 0)</f>
        <v>Centro-Oeste</v>
      </c>
      <c r="E3422" s="87" t="str">
        <f>Tabela1[[#This Row],[Descrição]]&amp;"-"&amp;Tabela1[[#This Row],[Código]]&amp;"/"&amp;Tabela1[[#This Row],[Origem]]</f>
        <v>Ruraro-H993P899/GO</v>
      </c>
      <c r="F3422" s="88">
        <v>47546</v>
      </c>
      <c r="G3422" s="88" t="str" cm="1">
        <f t="array" ref="G34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AND(F3422&gt;= DATE(2026,1,1), F3422&lt;= DATE(2028, 12, 31), J3422&gt;50000), "Pendente e Caro", AND(F3422&gt;= DATE(2026,1,1), F3422&lt;= DATE(2028, 12, 31), J3422&lt;=50000), "Pendente", F3422&gt;= DATE(2029,1,1), "Não prioeitário")</f>
        <v>Não prioeitário</v>
      </c>
      <c r="H3422" s="89">
        <f>YEAR(Tabela1[[#This Row],[Data de Validade]])</f>
        <v>2030</v>
      </c>
      <c r="I3422" s="89">
        <f>MONTH(Tabela1[[#This Row],[Data de Validade]])</f>
        <v>3</v>
      </c>
      <c r="J3422" s="101">
        <v>25364</v>
      </c>
      <c r="K3422" s="87" t="s">
        <v>11</v>
      </c>
      <c r="L3422" s="108"/>
      <c r="M3422" s="108"/>
      <c r="N3422" s="108" t="str">
        <v>H718H765</v>
      </c>
      <c r="O3422" s="108">
        <f t="shared" si="55"/>
        <v>1</v>
      </c>
      <c r="P3422" s="108"/>
      <c r="Q3422"/>
    </row>
    <row r="3423" spans="1:17" x14ac:dyDescent="0.25">
      <c r="A3423" s="89" t="s">
        <v>6168</v>
      </c>
      <c r="B3423" s="87" t="s">
        <v>6169</v>
      </c>
      <c r="C3423" s="87" t="s">
        <v>15</v>
      </c>
      <c r="D3423" s="87" t="str">
        <f>VLOOKUP(Tabela1[[#This Row],[Origem]], 'Perguntas 1 a 24'!$J$28:$K$34, 2, 0)</f>
        <v>Sudeste</v>
      </c>
      <c r="E3423" s="87" t="str">
        <f>Tabela1[[#This Row],[Descrição]]&amp;"-"&amp;Tabela1[[#This Row],[Código]]&amp;"/"&amp;Tabela1[[#This Row],[Origem]]</f>
        <v>Pigulicu-H437H944/ES</v>
      </c>
      <c r="F3423" s="88">
        <v>47546</v>
      </c>
      <c r="G3423" s="88" t="str" cm="1">
        <f t="array" ref="G34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AND(F3423&gt;= DATE(2026,1,1), F3423&lt;= DATE(2028, 12, 31), J3423&gt;50000), "Pendente e Caro", AND(F3423&gt;= DATE(2026,1,1), F3423&lt;= DATE(2028, 12, 31), J3423&lt;=50000), "Pendente", F3423&gt;= DATE(2029,1,1), "Não prioeitário")</f>
        <v>Não prioeitário</v>
      </c>
      <c r="H3423" s="89">
        <f>YEAR(Tabela1[[#This Row],[Data de Validade]])</f>
        <v>2030</v>
      </c>
      <c r="I3423" s="89">
        <f>MONTH(Tabela1[[#This Row],[Data de Validade]])</f>
        <v>3</v>
      </c>
      <c r="J3423" s="101">
        <v>23671</v>
      </c>
      <c r="K3423" s="87" t="s">
        <v>14</v>
      </c>
      <c r="L3423" s="108"/>
      <c r="M3423" s="108"/>
      <c r="N3423" s="108" t="str">
        <v>P623P243</v>
      </c>
      <c r="O3423" s="108">
        <f t="shared" si="55"/>
        <v>1</v>
      </c>
      <c r="P3423" s="108"/>
      <c r="Q3423"/>
    </row>
    <row r="3424" spans="1:17" x14ac:dyDescent="0.25">
      <c r="A3424" s="89" t="s">
        <v>5516</v>
      </c>
      <c r="B3424" s="87" t="s">
        <v>5517</v>
      </c>
      <c r="C3424" s="87" t="s">
        <v>6</v>
      </c>
      <c r="D3424" s="87" t="str">
        <f>VLOOKUP(Tabela1[[#This Row],[Origem]], 'Perguntas 1 a 24'!$J$28:$K$34, 2, 0)</f>
        <v>Nordeste</v>
      </c>
      <c r="E3424" s="87" t="str">
        <f>Tabela1[[#This Row],[Descrição]]&amp;"-"&amp;Tabela1[[#This Row],[Código]]&amp;"/"&amp;Tabela1[[#This Row],[Origem]]</f>
        <v>Nerunatace-P752H842/MA</v>
      </c>
      <c r="F3424" s="88">
        <v>47547</v>
      </c>
      <c r="G3424" s="88" t="str" cm="1">
        <f t="array" ref="G34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AND(F3424&gt;= DATE(2026,1,1), F3424&lt;= DATE(2028, 12, 31), J3424&gt;50000), "Pendente e Caro", AND(F3424&gt;= DATE(2026,1,1), F3424&lt;= DATE(2028, 12, 31), J3424&lt;=50000), "Pendente", F3424&gt;= DATE(2029,1,1), "Não prioeitário")</f>
        <v>Não prioeitário</v>
      </c>
      <c r="H3424" s="89">
        <f>YEAR(Tabela1[[#This Row],[Data de Validade]])</f>
        <v>2030</v>
      </c>
      <c r="I3424" s="89">
        <f>MONTH(Tabela1[[#This Row],[Data de Validade]])</f>
        <v>3</v>
      </c>
      <c r="J3424" s="101">
        <v>117248</v>
      </c>
      <c r="K3424" s="87" t="s">
        <v>14</v>
      </c>
      <c r="L3424" s="108"/>
      <c r="M3424" s="108"/>
      <c r="N3424" s="108" t="str">
        <v>H742H257</v>
      </c>
      <c r="O3424" s="108">
        <f t="shared" si="55"/>
        <v>1</v>
      </c>
      <c r="P3424" s="108"/>
      <c r="Q3424"/>
    </row>
    <row r="3425" spans="1:17" x14ac:dyDescent="0.25">
      <c r="A3425" s="89" t="s">
        <v>10925</v>
      </c>
      <c r="B3425" s="87" t="s">
        <v>10926</v>
      </c>
      <c r="C3425" s="87" t="s">
        <v>15</v>
      </c>
      <c r="D3425" s="87" t="str">
        <f>VLOOKUP(Tabela1[[#This Row],[Origem]], 'Perguntas 1 a 24'!$J$28:$K$34, 2, 0)</f>
        <v>Sudeste</v>
      </c>
      <c r="E3425" s="87" t="str">
        <f>Tabela1[[#This Row],[Descrição]]&amp;"-"&amp;Tabela1[[#This Row],[Código]]&amp;"/"&amp;Tabela1[[#This Row],[Origem]]</f>
        <v>Lorapelevo-P829P357/ES</v>
      </c>
      <c r="F3425" s="88">
        <v>47547</v>
      </c>
      <c r="G3425" s="88" t="str" cm="1">
        <f t="array" ref="G34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AND(F3425&gt;= DATE(2026,1,1), F3425&lt;= DATE(2028, 12, 31), J3425&gt;50000), "Pendente e Caro", AND(F3425&gt;= DATE(2026,1,1), F3425&lt;= DATE(2028, 12, 31), J3425&lt;=50000), "Pendente", F3425&gt;= DATE(2029,1,1), "Não prioeitário")</f>
        <v>Não prioeitário</v>
      </c>
      <c r="H3425" s="89">
        <f>YEAR(Tabela1[[#This Row],[Data de Validade]])</f>
        <v>2030</v>
      </c>
      <c r="I3425" s="89">
        <f>MONTH(Tabela1[[#This Row],[Data de Validade]])</f>
        <v>3</v>
      </c>
      <c r="J3425" s="101">
        <v>67047</v>
      </c>
      <c r="K3425" s="87" t="s">
        <v>11</v>
      </c>
      <c r="L3425" s="108"/>
      <c r="M3425" s="108"/>
      <c r="N3425" s="108" t="str">
        <v>H212H328</v>
      </c>
      <c r="O3425" s="108">
        <f t="shared" si="55"/>
        <v>1</v>
      </c>
      <c r="P3425" s="108"/>
      <c r="Q3425"/>
    </row>
    <row r="3426" spans="1:17" x14ac:dyDescent="0.25">
      <c r="A3426" s="89" t="s">
        <v>8258</v>
      </c>
      <c r="B3426" s="87" t="s">
        <v>8259</v>
      </c>
      <c r="C3426" s="87" t="s">
        <v>13</v>
      </c>
      <c r="D3426" s="87" t="str">
        <f>VLOOKUP(Tabela1[[#This Row],[Origem]], 'Perguntas 1 a 24'!$J$28:$K$34, 2, 0)</f>
        <v>Sudeste</v>
      </c>
      <c r="E3426" s="87" t="str">
        <f>Tabela1[[#This Row],[Descrição]]&amp;"-"&amp;Tabela1[[#This Row],[Código]]&amp;"/"&amp;Tabela1[[#This Row],[Origem]]</f>
        <v>Palamutupu-P722H554/SP</v>
      </c>
      <c r="F3426" s="88">
        <v>47547</v>
      </c>
      <c r="G3426" s="88" t="str" cm="1">
        <f t="array" ref="G34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AND(F3426&gt;= DATE(2026,1,1), F3426&lt;= DATE(2028, 12, 31), J3426&gt;50000), "Pendente e Caro", AND(F3426&gt;= DATE(2026,1,1), F3426&lt;= DATE(2028, 12, 31), J3426&lt;=50000), "Pendente", F3426&gt;= DATE(2029,1,1), "Não prioeitário")</f>
        <v>Não prioeitário</v>
      </c>
      <c r="H3426" s="89">
        <f>YEAR(Tabela1[[#This Row],[Data de Validade]])</f>
        <v>2030</v>
      </c>
      <c r="I3426" s="89">
        <f>MONTH(Tabela1[[#This Row],[Data de Validade]])</f>
        <v>3</v>
      </c>
      <c r="J3426" s="101">
        <v>32241</v>
      </c>
      <c r="K3426" s="87" t="s">
        <v>14</v>
      </c>
      <c r="L3426" s="108"/>
      <c r="M3426" s="108"/>
      <c r="N3426" s="108" t="str">
        <v>H728P923</v>
      </c>
      <c r="O3426" s="108">
        <f t="shared" si="55"/>
        <v>1</v>
      </c>
      <c r="P3426" s="108"/>
      <c r="Q3426"/>
    </row>
    <row r="3427" spans="1:17" x14ac:dyDescent="0.25">
      <c r="A3427" s="89" t="s">
        <v>8318</v>
      </c>
      <c r="B3427" s="87" t="s">
        <v>8319</v>
      </c>
      <c r="C3427" s="87" t="s">
        <v>16</v>
      </c>
      <c r="D3427" s="87" t="str">
        <f>VLOOKUP(Tabela1[[#This Row],[Origem]], 'Perguntas 1 a 24'!$J$28:$K$34, 2, 0)</f>
        <v>Sudeste</v>
      </c>
      <c r="E3427" s="87" t="str">
        <f>Tabela1[[#This Row],[Descrição]]&amp;"-"&amp;Tabela1[[#This Row],[Código]]&amp;"/"&amp;Tabela1[[#This Row],[Origem]]</f>
        <v>Fuvetuna-P679P787/MG</v>
      </c>
      <c r="F3427" s="88">
        <v>47548</v>
      </c>
      <c r="G3427" s="88" t="str" cm="1">
        <f t="array" ref="G34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AND(F3427&gt;= DATE(2026,1,1), F3427&lt;= DATE(2028, 12, 31), J3427&gt;50000), "Pendente e Caro", AND(F3427&gt;= DATE(2026,1,1), F3427&lt;= DATE(2028, 12, 31), J3427&lt;=50000), "Pendente", F3427&gt;= DATE(2029,1,1), "Não prioeitário")</f>
        <v>Não prioeitário</v>
      </c>
      <c r="H3427" s="89">
        <f>YEAR(Tabela1[[#This Row],[Data de Validade]])</f>
        <v>2030</v>
      </c>
      <c r="I3427" s="89">
        <f>MONTH(Tabela1[[#This Row],[Data de Validade]])</f>
        <v>3</v>
      </c>
      <c r="J3427" s="101">
        <v>114275</v>
      </c>
      <c r="K3427" s="87" t="s">
        <v>11</v>
      </c>
      <c r="L3427" s="108"/>
      <c r="M3427" s="108"/>
      <c r="N3427" s="108" t="str">
        <v>P749H635</v>
      </c>
      <c r="O3427" s="108">
        <f t="shared" si="55"/>
        <v>1</v>
      </c>
      <c r="P3427" s="108"/>
      <c r="Q3427"/>
    </row>
    <row r="3428" spans="1:17" x14ac:dyDescent="0.25">
      <c r="A3428" s="89" t="s">
        <v>4050</v>
      </c>
      <c r="B3428" s="87" t="s">
        <v>4051</v>
      </c>
      <c r="C3428" s="87" t="s">
        <v>13</v>
      </c>
      <c r="D3428" s="87" t="str">
        <f>VLOOKUP(Tabela1[[#This Row],[Origem]], 'Perguntas 1 a 24'!$J$28:$K$34, 2, 0)</f>
        <v>Sudeste</v>
      </c>
      <c r="E3428" s="87" t="str">
        <f>Tabela1[[#This Row],[Descrição]]&amp;"-"&amp;Tabela1[[#This Row],[Código]]&amp;"/"&amp;Tabela1[[#This Row],[Origem]]</f>
        <v>Feturo-H218P333/SP</v>
      </c>
      <c r="F3428" s="88">
        <v>47549</v>
      </c>
      <c r="G3428" s="88" t="str" cm="1">
        <f t="array" ref="G34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AND(F3428&gt;= DATE(2026,1,1), F3428&lt;= DATE(2028, 12, 31), J3428&gt;50000), "Pendente e Caro", AND(F3428&gt;= DATE(2026,1,1), F3428&lt;= DATE(2028, 12, 31), J3428&lt;=50000), "Pendente", F3428&gt;= DATE(2029,1,1), "Não prioeitário")</f>
        <v>Não prioeitário</v>
      </c>
      <c r="H3428" s="89">
        <f>YEAR(Tabela1[[#This Row],[Data de Validade]])</f>
        <v>2030</v>
      </c>
      <c r="I3428" s="89">
        <f>MONTH(Tabela1[[#This Row],[Data de Validade]])</f>
        <v>3</v>
      </c>
      <c r="J3428" s="101">
        <v>70533</v>
      </c>
      <c r="K3428" s="87" t="s">
        <v>14</v>
      </c>
      <c r="L3428" s="108"/>
      <c r="M3428" s="108"/>
      <c r="N3428" s="108" t="str">
        <v>P411P497</v>
      </c>
      <c r="O3428" s="108">
        <f t="shared" si="55"/>
        <v>1</v>
      </c>
      <c r="P3428" s="108"/>
      <c r="Q3428"/>
    </row>
    <row r="3429" spans="1:17" x14ac:dyDescent="0.25">
      <c r="A3429" s="89" t="s">
        <v>5202</v>
      </c>
      <c r="B3429" s="87" t="s">
        <v>5203</v>
      </c>
      <c r="C3429" s="87" t="s">
        <v>13</v>
      </c>
      <c r="D3429" s="87" t="str">
        <f>VLOOKUP(Tabela1[[#This Row],[Origem]], 'Perguntas 1 a 24'!$J$28:$K$34, 2, 0)</f>
        <v>Sudeste</v>
      </c>
      <c r="E3429" s="87" t="str">
        <f>Tabela1[[#This Row],[Descrição]]&amp;"-"&amp;Tabela1[[#This Row],[Código]]&amp;"/"&amp;Tabela1[[#This Row],[Origem]]</f>
        <v>Conuvito-P664P639/SP</v>
      </c>
      <c r="F3429" s="88">
        <v>47549</v>
      </c>
      <c r="G3429" s="88" t="str" cm="1">
        <f t="array" ref="G34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AND(F3429&gt;= DATE(2026,1,1), F3429&lt;= DATE(2028, 12, 31), J3429&gt;50000), "Pendente e Caro", AND(F3429&gt;= DATE(2026,1,1), F3429&lt;= DATE(2028, 12, 31), J3429&lt;=50000), "Pendente", F3429&gt;= DATE(2029,1,1), "Não prioeitário")</f>
        <v>Não prioeitário</v>
      </c>
      <c r="H3429" s="89">
        <f>YEAR(Tabela1[[#This Row],[Data de Validade]])</f>
        <v>2030</v>
      </c>
      <c r="I3429" s="89">
        <f>MONTH(Tabela1[[#This Row],[Data de Validade]])</f>
        <v>3</v>
      </c>
      <c r="J3429" s="101">
        <v>37114</v>
      </c>
      <c r="K3429" s="87" t="s">
        <v>14</v>
      </c>
      <c r="L3429" s="108"/>
      <c r="M3429" s="108"/>
      <c r="N3429" s="108" t="str">
        <v>H651H568</v>
      </c>
      <c r="O3429" s="108">
        <f t="shared" si="55"/>
        <v>1</v>
      </c>
      <c r="P3429" s="108"/>
      <c r="Q3429"/>
    </row>
    <row r="3430" spans="1:17" x14ac:dyDescent="0.25">
      <c r="A3430" s="89" t="s">
        <v>9563</v>
      </c>
      <c r="B3430" s="87" t="s">
        <v>9564</v>
      </c>
      <c r="C3430" s="87" t="s">
        <v>10</v>
      </c>
      <c r="D3430" s="87" t="str">
        <f>VLOOKUP(Tabela1[[#This Row],[Origem]], 'Perguntas 1 a 24'!$J$28:$K$34, 2, 0)</f>
        <v>Centro-Oeste</v>
      </c>
      <c r="E3430" s="87" t="str">
        <f>Tabela1[[#This Row],[Descrição]]&amp;"-"&amp;Tabela1[[#This Row],[Código]]&amp;"/"&amp;Tabela1[[#This Row],[Origem]]</f>
        <v>Tirute-H718H765/GO</v>
      </c>
      <c r="F3430" s="88">
        <v>47550</v>
      </c>
      <c r="G3430" s="88" t="str" cm="1">
        <f t="array" ref="G34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AND(F3430&gt;= DATE(2026,1,1), F3430&lt;= DATE(2028, 12, 31), J3430&gt;50000), "Pendente e Caro", AND(F3430&gt;= DATE(2026,1,1), F3430&lt;= DATE(2028, 12, 31), J3430&lt;=50000), "Pendente", F3430&gt;= DATE(2029,1,1), "Não prioeitário")</f>
        <v>Não prioeitário</v>
      </c>
      <c r="H3430" s="89">
        <f>YEAR(Tabela1[[#This Row],[Data de Validade]])</f>
        <v>2030</v>
      </c>
      <c r="I3430" s="89">
        <f>MONTH(Tabela1[[#This Row],[Data de Validade]])</f>
        <v>3</v>
      </c>
      <c r="J3430" s="101">
        <v>98445</v>
      </c>
      <c r="K3430" s="87" t="s">
        <v>11</v>
      </c>
      <c r="L3430" s="108"/>
      <c r="M3430" s="108"/>
      <c r="N3430" s="108" t="str">
        <v>P484H971</v>
      </c>
      <c r="O3430" s="108">
        <f t="shared" si="55"/>
        <v>1</v>
      </c>
      <c r="P3430" s="108"/>
      <c r="Q3430"/>
    </row>
    <row r="3431" spans="1:17" x14ac:dyDescent="0.25">
      <c r="A3431" s="89" t="s">
        <v>8146</v>
      </c>
      <c r="B3431" s="87" t="s">
        <v>8147</v>
      </c>
      <c r="C3431" s="87" t="s">
        <v>6</v>
      </c>
      <c r="D3431" s="87" t="str">
        <f>VLOOKUP(Tabela1[[#This Row],[Origem]], 'Perguntas 1 a 24'!$J$28:$K$34, 2, 0)</f>
        <v>Nordeste</v>
      </c>
      <c r="E3431" s="87" t="str">
        <f>Tabela1[[#This Row],[Descrição]]&amp;"-"&amp;Tabela1[[#This Row],[Código]]&amp;"/"&amp;Tabela1[[#This Row],[Origem]]</f>
        <v>Darofe-P623P243/MA</v>
      </c>
      <c r="F3431" s="88">
        <v>47551</v>
      </c>
      <c r="G3431" s="88" t="str" cm="1">
        <f t="array" ref="G34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AND(F3431&gt;= DATE(2026,1,1), F3431&lt;= DATE(2028, 12, 31), J3431&gt;50000), "Pendente e Caro", AND(F3431&gt;= DATE(2026,1,1), F3431&lt;= DATE(2028, 12, 31), J3431&lt;=50000), "Pendente", F3431&gt;= DATE(2029,1,1), "Não prioeitário")</f>
        <v>Não prioeitário</v>
      </c>
      <c r="H3431" s="89">
        <f>YEAR(Tabela1[[#This Row],[Data de Validade]])</f>
        <v>2030</v>
      </c>
      <c r="I3431" s="89">
        <f>MONTH(Tabela1[[#This Row],[Data de Validade]])</f>
        <v>3</v>
      </c>
      <c r="J3431" s="101">
        <v>74484</v>
      </c>
      <c r="K3431" s="87" t="s">
        <v>11</v>
      </c>
      <c r="L3431" s="108"/>
      <c r="M3431" s="108"/>
      <c r="N3431" s="108" t="str">
        <v>H384P466</v>
      </c>
      <c r="O3431" s="108">
        <f t="shared" si="55"/>
        <v>1</v>
      </c>
      <c r="P3431" s="108"/>
      <c r="Q3431"/>
    </row>
    <row r="3432" spans="1:17" x14ac:dyDescent="0.25">
      <c r="A3432" s="89" t="s">
        <v>9311</v>
      </c>
      <c r="B3432" s="87" t="s">
        <v>9312</v>
      </c>
      <c r="C3432" s="87" t="s">
        <v>6</v>
      </c>
      <c r="D3432" s="87" t="str">
        <f>VLOOKUP(Tabela1[[#This Row],[Origem]], 'Perguntas 1 a 24'!$J$28:$K$34, 2, 0)</f>
        <v>Nordeste</v>
      </c>
      <c r="E3432" s="87" t="str">
        <f>Tabela1[[#This Row],[Descrição]]&amp;"-"&amp;Tabela1[[#This Row],[Código]]&amp;"/"&amp;Tabela1[[#This Row],[Origem]]</f>
        <v>Celila-H742H257/MA</v>
      </c>
      <c r="F3432" s="88">
        <v>47551</v>
      </c>
      <c r="G3432" s="88" t="str" cm="1">
        <f t="array" ref="G34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AND(F3432&gt;= DATE(2026,1,1), F3432&lt;= DATE(2028, 12, 31), J3432&gt;50000), "Pendente e Caro", AND(F3432&gt;= DATE(2026,1,1), F3432&lt;= DATE(2028, 12, 31), J3432&lt;=50000), "Pendente", F3432&gt;= DATE(2029,1,1), "Não prioeitário")</f>
        <v>Não prioeitário</v>
      </c>
      <c r="H3432" s="89">
        <f>YEAR(Tabela1[[#This Row],[Data de Validade]])</f>
        <v>2030</v>
      </c>
      <c r="I3432" s="89">
        <f>MONTH(Tabela1[[#This Row],[Data de Validade]])</f>
        <v>3</v>
      </c>
      <c r="J3432" s="101">
        <v>56582</v>
      </c>
      <c r="K3432" s="87" t="s">
        <v>7</v>
      </c>
      <c r="L3432" s="108"/>
      <c r="M3432" s="108"/>
      <c r="N3432" s="108" t="str">
        <v>P964H413</v>
      </c>
      <c r="O3432" s="108">
        <f t="shared" si="55"/>
        <v>1</v>
      </c>
      <c r="P3432" s="108"/>
      <c r="Q3432"/>
    </row>
    <row r="3433" spans="1:17" x14ac:dyDescent="0.25">
      <c r="A3433" s="89" t="s">
        <v>5346</v>
      </c>
      <c r="B3433" s="87" t="s">
        <v>5347</v>
      </c>
      <c r="C3433" s="87" t="s">
        <v>6</v>
      </c>
      <c r="D3433" s="87" t="str">
        <f>VLOOKUP(Tabela1[[#This Row],[Origem]], 'Perguntas 1 a 24'!$J$28:$K$34, 2, 0)</f>
        <v>Nordeste</v>
      </c>
      <c r="E3433" s="87" t="str">
        <f>Tabela1[[#This Row],[Descrição]]&amp;"-"&amp;Tabela1[[#This Row],[Código]]&amp;"/"&amp;Tabela1[[#This Row],[Origem]]</f>
        <v>Gelilolo-H212H328/MA</v>
      </c>
      <c r="F3433" s="88">
        <v>47552</v>
      </c>
      <c r="G3433" s="88" t="str" cm="1">
        <f t="array" ref="G34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AND(F3433&gt;= DATE(2026,1,1), F3433&lt;= DATE(2028, 12, 31), J3433&gt;50000), "Pendente e Caro", AND(F3433&gt;= DATE(2026,1,1), F3433&lt;= DATE(2028, 12, 31), J3433&lt;=50000), "Pendente", F3433&gt;= DATE(2029,1,1), "Não prioeitário")</f>
        <v>Não prioeitário</v>
      </c>
      <c r="H3433" s="89">
        <f>YEAR(Tabela1[[#This Row],[Data de Validade]])</f>
        <v>2030</v>
      </c>
      <c r="I3433" s="89">
        <f>MONTH(Tabela1[[#This Row],[Data de Validade]])</f>
        <v>3</v>
      </c>
      <c r="J3433" s="101">
        <v>118484</v>
      </c>
      <c r="K3433" s="87" t="s">
        <v>14</v>
      </c>
      <c r="L3433" s="108"/>
      <c r="M3433" s="108"/>
      <c r="N3433" s="108" t="str">
        <v>P622P683</v>
      </c>
      <c r="O3433" s="108">
        <f t="shared" si="55"/>
        <v>1</v>
      </c>
      <c r="P3433" s="108"/>
      <c r="Q3433"/>
    </row>
    <row r="3434" spans="1:17" x14ac:dyDescent="0.25">
      <c r="A3434" s="89" t="s">
        <v>5078</v>
      </c>
      <c r="B3434" s="87" t="s">
        <v>5079</v>
      </c>
      <c r="C3434" s="87" t="s">
        <v>13</v>
      </c>
      <c r="D3434" s="87" t="str">
        <f>VLOOKUP(Tabela1[[#This Row],[Origem]], 'Perguntas 1 a 24'!$J$28:$K$34, 2, 0)</f>
        <v>Sudeste</v>
      </c>
      <c r="E3434" s="87" t="str">
        <f>Tabela1[[#This Row],[Descrição]]&amp;"-"&amp;Tabela1[[#This Row],[Código]]&amp;"/"&amp;Tabela1[[#This Row],[Origem]]</f>
        <v>Refatoru-H728P923/SP</v>
      </c>
      <c r="F3434" s="88">
        <v>47552</v>
      </c>
      <c r="G3434" s="88" t="str" cm="1">
        <f t="array" ref="G34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AND(F3434&gt;= DATE(2026,1,1), F3434&lt;= DATE(2028, 12, 31), J3434&gt;50000), "Pendente e Caro", AND(F3434&gt;= DATE(2026,1,1), F3434&lt;= DATE(2028, 12, 31), J3434&lt;=50000), "Pendente", F3434&gt;= DATE(2029,1,1), "Não prioeitário")</f>
        <v>Não prioeitário</v>
      </c>
      <c r="H3434" s="89">
        <f>YEAR(Tabela1[[#This Row],[Data de Validade]])</f>
        <v>2030</v>
      </c>
      <c r="I3434" s="89">
        <f>MONTH(Tabela1[[#This Row],[Data de Validade]])</f>
        <v>3</v>
      </c>
      <c r="J3434" s="101">
        <v>87184</v>
      </c>
      <c r="K3434" s="87" t="s">
        <v>14</v>
      </c>
      <c r="L3434" s="108"/>
      <c r="M3434" s="108"/>
      <c r="N3434" s="108" t="str">
        <v>H813H644</v>
      </c>
      <c r="O3434" s="108">
        <f t="shared" si="55"/>
        <v>1</v>
      </c>
      <c r="P3434" s="108"/>
      <c r="Q3434"/>
    </row>
    <row r="3435" spans="1:17" x14ac:dyDescent="0.25">
      <c r="A3435" s="89" t="s">
        <v>3786</v>
      </c>
      <c r="B3435" s="87" t="s">
        <v>3787</v>
      </c>
      <c r="C3435" s="87" t="s">
        <v>16</v>
      </c>
      <c r="D3435" s="87" t="str">
        <f>VLOOKUP(Tabela1[[#This Row],[Origem]], 'Perguntas 1 a 24'!$J$28:$K$34, 2, 0)</f>
        <v>Sudeste</v>
      </c>
      <c r="E3435" s="87" t="str">
        <f>Tabela1[[#This Row],[Descrição]]&amp;"-"&amp;Tabela1[[#This Row],[Código]]&amp;"/"&amp;Tabela1[[#This Row],[Origem]]</f>
        <v>Tivupi-P749H635/MG</v>
      </c>
      <c r="F3435" s="88">
        <v>47553</v>
      </c>
      <c r="G3435" s="88" t="str" cm="1">
        <f t="array" ref="G34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AND(F3435&gt;= DATE(2026,1,1), F3435&lt;= DATE(2028, 12, 31), J3435&gt;50000), "Pendente e Caro", AND(F3435&gt;= DATE(2026,1,1), F3435&lt;= DATE(2028, 12, 31), J3435&lt;=50000), "Pendente", F3435&gt;= DATE(2029,1,1), "Não prioeitário")</f>
        <v>Não prioeitário</v>
      </c>
      <c r="H3435" s="89">
        <f>YEAR(Tabela1[[#This Row],[Data de Validade]])</f>
        <v>2030</v>
      </c>
      <c r="I3435" s="89">
        <f>MONTH(Tabela1[[#This Row],[Data de Validade]])</f>
        <v>3</v>
      </c>
      <c r="J3435" s="101">
        <v>81573</v>
      </c>
      <c r="K3435" s="87" t="s">
        <v>7</v>
      </c>
      <c r="L3435" s="108"/>
      <c r="M3435" s="108"/>
      <c r="N3435" s="108" t="str">
        <v>H925P759</v>
      </c>
      <c r="O3435" s="108">
        <f t="shared" si="55"/>
        <v>1</v>
      </c>
      <c r="P3435" s="108"/>
      <c r="Q3435"/>
    </row>
    <row r="3436" spans="1:17" x14ac:dyDescent="0.25">
      <c r="A3436" s="89" t="s">
        <v>9853</v>
      </c>
      <c r="B3436" s="87" t="s">
        <v>9854</v>
      </c>
      <c r="C3436" s="87" t="s">
        <v>16</v>
      </c>
      <c r="D3436" s="87" t="str">
        <f>VLOOKUP(Tabela1[[#This Row],[Origem]], 'Perguntas 1 a 24'!$J$28:$K$34, 2, 0)</f>
        <v>Sudeste</v>
      </c>
      <c r="E3436" s="87" t="str">
        <f>Tabela1[[#This Row],[Descrição]]&amp;"-"&amp;Tabela1[[#This Row],[Código]]&amp;"/"&amp;Tabela1[[#This Row],[Origem]]</f>
        <v>Tofufalo-P411P497/MG</v>
      </c>
      <c r="F3436" s="88">
        <v>47554</v>
      </c>
      <c r="G3436" s="88" t="str" cm="1">
        <f t="array" ref="G34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AND(F3436&gt;= DATE(2026,1,1), F3436&lt;= DATE(2028, 12, 31), J3436&gt;50000), "Pendente e Caro", AND(F3436&gt;= DATE(2026,1,1), F3436&lt;= DATE(2028, 12, 31), J3436&lt;=50000), "Pendente", F3436&gt;= DATE(2029,1,1), "Não prioeitário")</f>
        <v>Não prioeitário</v>
      </c>
      <c r="H3436" s="89">
        <f>YEAR(Tabela1[[#This Row],[Data de Validade]])</f>
        <v>2030</v>
      </c>
      <c r="I3436" s="89">
        <f>MONTH(Tabela1[[#This Row],[Data de Validade]])</f>
        <v>3</v>
      </c>
      <c r="J3436" s="101">
        <v>76013</v>
      </c>
      <c r="K3436" s="87" t="s">
        <v>11</v>
      </c>
      <c r="L3436" s="108"/>
      <c r="M3436" s="108"/>
      <c r="N3436" s="108" t="str">
        <v>P734P414</v>
      </c>
      <c r="O3436" s="108">
        <f t="shared" si="55"/>
        <v>1</v>
      </c>
      <c r="P3436" s="108"/>
      <c r="Q3436"/>
    </row>
    <row r="3437" spans="1:17" x14ac:dyDescent="0.25">
      <c r="A3437" s="89" t="s">
        <v>4166</v>
      </c>
      <c r="B3437" s="87" t="s">
        <v>4167</v>
      </c>
      <c r="C3437" s="87" t="s">
        <v>16</v>
      </c>
      <c r="D3437" s="87" t="str">
        <f>VLOOKUP(Tabela1[[#This Row],[Origem]], 'Perguntas 1 a 24'!$J$28:$K$34, 2, 0)</f>
        <v>Sudeste</v>
      </c>
      <c r="E3437" s="87" t="str">
        <f>Tabela1[[#This Row],[Descrição]]&amp;"-"&amp;Tabela1[[#This Row],[Código]]&amp;"/"&amp;Tabela1[[#This Row],[Origem]]</f>
        <v>Tepufe-H651H568/MG</v>
      </c>
      <c r="F3437" s="88">
        <v>47554</v>
      </c>
      <c r="G3437" s="88" t="str" cm="1">
        <f t="array" ref="G34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AND(F3437&gt;= DATE(2026,1,1), F3437&lt;= DATE(2028, 12, 31), J3437&gt;50000), "Pendente e Caro", AND(F3437&gt;= DATE(2026,1,1), F3437&lt;= DATE(2028, 12, 31), J3437&lt;=50000), "Pendente", F3437&gt;= DATE(2029,1,1), "Não prioeitário")</f>
        <v>Não prioeitário</v>
      </c>
      <c r="H3437" s="89">
        <f>YEAR(Tabela1[[#This Row],[Data de Validade]])</f>
        <v>2030</v>
      </c>
      <c r="I3437" s="89">
        <f>MONTH(Tabela1[[#This Row],[Data de Validade]])</f>
        <v>3</v>
      </c>
      <c r="J3437" s="101">
        <v>30433</v>
      </c>
      <c r="K3437" s="87" t="s">
        <v>11</v>
      </c>
      <c r="L3437" s="108"/>
      <c r="M3437" s="108"/>
      <c r="N3437" s="108" t="str">
        <v>H641H177</v>
      </c>
      <c r="O3437" s="108">
        <f t="shared" si="55"/>
        <v>1</v>
      </c>
      <c r="P3437" s="108"/>
      <c r="Q3437"/>
    </row>
    <row r="3438" spans="1:17" x14ac:dyDescent="0.25">
      <c r="A3438" s="89" t="s">
        <v>4054</v>
      </c>
      <c r="B3438" s="87" t="s">
        <v>4055</v>
      </c>
      <c r="C3438" s="87" t="s">
        <v>12</v>
      </c>
      <c r="D3438" s="87" t="str">
        <f>VLOOKUP(Tabela1[[#This Row],[Origem]], 'Perguntas 1 a 24'!$J$28:$K$34, 2, 0)</f>
        <v>Sudeste</v>
      </c>
      <c r="E3438" s="87" t="str">
        <f>Tabela1[[#This Row],[Descrição]]&amp;"-"&amp;Tabela1[[#This Row],[Código]]&amp;"/"&amp;Tabela1[[#This Row],[Origem]]</f>
        <v>Rarulutapu-P484H971/RJ</v>
      </c>
      <c r="F3438" s="88">
        <v>47555</v>
      </c>
      <c r="G3438" s="88" t="str" cm="1">
        <f t="array" ref="G34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AND(F3438&gt;= DATE(2026,1,1), F3438&lt;= DATE(2028, 12, 31), J3438&gt;50000), "Pendente e Caro", AND(F3438&gt;= DATE(2026,1,1), F3438&lt;= DATE(2028, 12, 31), J3438&lt;=50000), "Pendente", F3438&gt;= DATE(2029,1,1), "Não prioeitário")</f>
        <v>Não prioeitário</v>
      </c>
      <c r="H3438" s="89">
        <f>YEAR(Tabela1[[#This Row],[Data de Validade]])</f>
        <v>2030</v>
      </c>
      <c r="I3438" s="89">
        <f>MONTH(Tabela1[[#This Row],[Data de Validade]])</f>
        <v>3</v>
      </c>
      <c r="J3438" s="101">
        <v>88055</v>
      </c>
      <c r="K3438" s="87" t="s">
        <v>7</v>
      </c>
      <c r="L3438" s="108"/>
      <c r="M3438" s="108"/>
      <c r="N3438" s="108" t="str">
        <v>H522P259</v>
      </c>
      <c r="O3438" s="108">
        <f t="shared" si="55"/>
        <v>1</v>
      </c>
      <c r="P3438" s="108"/>
      <c r="Q3438"/>
    </row>
    <row r="3439" spans="1:17" x14ac:dyDescent="0.25">
      <c r="A3439" s="89" t="s">
        <v>4299</v>
      </c>
      <c r="B3439" s="87" t="s">
        <v>4300</v>
      </c>
      <c r="C3439" s="87" t="s">
        <v>16</v>
      </c>
      <c r="D3439" s="87" t="str">
        <f>VLOOKUP(Tabela1[[#This Row],[Origem]], 'Perguntas 1 a 24'!$J$28:$K$34, 2, 0)</f>
        <v>Sudeste</v>
      </c>
      <c r="E3439" s="87" t="str">
        <f>Tabela1[[#This Row],[Descrição]]&amp;"-"&amp;Tabela1[[#This Row],[Código]]&amp;"/"&amp;Tabela1[[#This Row],[Origem]]</f>
        <v>Dilole-H384P466/MG</v>
      </c>
      <c r="F3439" s="88">
        <v>47557</v>
      </c>
      <c r="G3439" s="88" t="str" cm="1">
        <f t="array" ref="G34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AND(F3439&gt;= DATE(2026,1,1), F3439&lt;= DATE(2028, 12, 31), J3439&gt;50000), "Pendente e Caro", AND(F3439&gt;= DATE(2026,1,1), F3439&lt;= DATE(2028, 12, 31), J3439&lt;=50000), "Pendente", F3439&gt;= DATE(2029,1,1), "Não prioeitário")</f>
        <v>Não prioeitário</v>
      </c>
      <c r="H3439" s="89">
        <f>YEAR(Tabela1[[#This Row],[Data de Validade]])</f>
        <v>2030</v>
      </c>
      <c r="I3439" s="89">
        <f>MONTH(Tabela1[[#This Row],[Data de Validade]])</f>
        <v>3</v>
      </c>
      <c r="J3439" s="101">
        <v>69611</v>
      </c>
      <c r="K3439" s="87" t="s">
        <v>7</v>
      </c>
      <c r="L3439" s="108"/>
      <c r="M3439" s="108"/>
      <c r="N3439" s="108" t="str">
        <v>P927P731</v>
      </c>
      <c r="O3439" s="108">
        <f t="shared" si="55"/>
        <v>1</v>
      </c>
      <c r="P3439" s="108"/>
      <c r="Q3439"/>
    </row>
    <row r="3440" spans="1:17" x14ac:dyDescent="0.25">
      <c r="A3440" s="89" t="s">
        <v>3868</v>
      </c>
      <c r="B3440" s="87" t="s">
        <v>3869</v>
      </c>
      <c r="C3440" s="87" t="s">
        <v>15</v>
      </c>
      <c r="D3440" s="87" t="str">
        <f>VLOOKUP(Tabela1[[#This Row],[Origem]], 'Perguntas 1 a 24'!$J$28:$K$34, 2, 0)</f>
        <v>Sudeste</v>
      </c>
      <c r="E3440" s="87" t="str">
        <f>Tabela1[[#This Row],[Descrição]]&amp;"-"&amp;Tabela1[[#This Row],[Código]]&amp;"/"&amp;Tabela1[[#This Row],[Origem]]</f>
        <v>Duputi-P964H413/ES</v>
      </c>
      <c r="F3440" s="88">
        <v>47558</v>
      </c>
      <c r="G3440" s="88" t="str" cm="1">
        <f t="array" ref="G34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AND(F3440&gt;= DATE(2026,1,1), F3440&lt;= DATE(2028, 12, 31), J3440&gt;50000), "Pendente e Caro", AND(F3440&gt;= DATE(2026,1,1), F3440&lt;= DATE(2028, 12, 31), J3440&lt;=50000), "Pendente", F3440&gt;= DATE(2029,1,1), "Não prioeitário")</f>
        <v>Não prioeitário</v>
      </c>
      <c r="H3440" s="89">
        <f>YEAR(Tabela1[[#This Row],[Data de Validade]])</f>
        <v>2030</v>
      </c>
      <c r="I3440" s="89">
        <f>MONTH(Tabela1[[#This Row],[Data de Validade]])</f>
        <v>3</v>
      </c>
      <c r="J3440" s="101">
        <v>87220</v>
      </c>
      <c r="K3440" s="87" t="s">
        <v>9</v>
      </c>
      <c r="L3440" s="108"/>
      <c r="M3440" s="108"/>
      <c r="N3440" s="108" t="str">
        <v>P228H944</v>
      </c>
      <c r="O3440" s="108">
        <f t="shared" si="55"/>
        <v>1</v>
      </c>
      <c r="P3440" s="108"/>
      <c r="Q3440"/>
    </row>
    <row r="3441" spans="1:17" x14ac:dyDescent="0.25">
      <c r="A3441" s="89" t="s">
        <v>5974</v>
      </c>
      <c r="B3441" s="87" t="s">
        <v>5975</v>
      </c>
      <c r="C3441" s="87" t="s">
        <v>10</v>
      </c>
      <c r="D3441" s="87" t="str">
        <f>VLOOKUP(Tabela1[[#This Row],[Origem]], 'Perguntas 1 a 24'!$J$28:$K$34, 2, 0)</f>
        <v>Centro-Oeste</v>
      </c>
      <c r="E3441" s="87" t="str">
        <f>Tabela1[[#This Row],[Descrição]]&amp;"-"&amp;Tabela1[[#This Row],[Código]]&amp;"/"&amp;Tabela1[[#This Row],[Origem]]</f>
        <v>Tudatile-P622P683/GO</v>
      </c>
      <c r="F3441" s="88">
        <v>47559</v>
      </c>
      <c r="G3441" s="88" t="str" cm="1">
        <f t="array" ref="G34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AND(F3441&gt;= DATE(2026,1,1), F3441&lt;= DATE(2028, 12, 31), J3441&gt;50000), "Pendente e Caro", AND(F3441&gt;= DATE(2026,1,1), F3441&lt;= DATE(2028, 12, 31), J3441&lt;=50000), "Pendente", F3441&gt;= DATE(2029,1,1), "Não prioeitário")</f>
        <v>Não prioeitário</v>
      </c>
      <c r="H3441" s="89">
        <f>YEAR(Tabela1[[#This Row],[Data de Validade]])</f>
        <v>2030</v>
      </c>
      <c r="I3441" s="89">
        <f>MONTH(Tabela1[[#This Row],[Data de Validade]])</f>
        <v>3</v>
      </c>
      <c r="J3441" s="101">
        <v>114576</v>
      </c>
      <c r="K3441" s="87" t="s">
        <v>9</v>
      </c>
      <c r="L3441" s="108"/>
      <c r="M3441" s="108"/>
      <c r="N3441" s="108" t="str">
        <v>P146P219</v>
      </c>
      <c r="O3441" s="108">
        <f t="shared" si="55"/>
        <v>1</v>
      </c>
      <c r="P3441" s="108"/>
      <c r="Q3441"/>
    </row>
    <row r="3442" spans="1:17" x14ac:dyDescent="0.25">
      <c r="A3442" s="89" t="s">
        <v>8873</v>
      </c>
      <c r="B3442" s="87" t="s">
        <v>8874</v>
      </c>
      <c r="C3442" s="87" t="s">
        <v>10</v>
      </c>
      <c r="D3442" s="87" t="str">
        <f>VLOOKUP(Tabela1[[#This Row],[Origem]], 'Perguntas 1 a 24'!$J$28:$K$34, 2, 0)</f>
        <v>Centro-Oeste</v>
      </c>
      <c r="E3442" s="87" t="str">
        <f>Tabela1[[#This Row],[Descrição]]&amp;"-"&amp;Tabela1[[#This Row],[Código]]&amp;"/"&amp;Tabela1[[#This Row],[Origem]]</f>
        <v>Tivipo-H813H644/GO</v>
      </c>
      <c r="F3442" s="88">
        <v>47560</v>
      </c>
      <c r="G3442" s="88" t="str" cm="1">
        <f t="array" ref="G34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AND(F3442&gt;= DATE(2026,1,1), F3442&lt;= DATE(2028, 12, 31), J3442&gt;50000), "Pendente e Caro", AND(F3442&gt;= DATE(2026,1,1), F3442&lt;= DATE(2028, 12, 31), J3442&lt;=50000), "Pendente", F3442&gt;= DATE(2029,1,1), "Não prioeitário")</f>
        <v>Não prioeitário</v>
      </c>
      <c r="H3442" s="89">
        <f>YEAR(Tabela1[[#This Row],[Data de Validade]])</f>
        <v>2030</v>
      </c>
      <c r="I3442" s="89">
        <f>MONTH(Tabela1[[#This Row],[Data de Validade]])</f>
        <v>3</v>
      </c>
      <c r="J3442" s="101">
        <v>95676</v>
      </c>
      <c r="K3442" s="87" t="s">
        <v>9</v>
      </c>
      <c r="L3442" s="108"/>
      <c r="M3442" s="108"/>
      <c r="N3442" s="108" t="str">
        <v>H831P729</v>
      </c>
      <c r="O3442" s="108">
        <f t="shared" si="55"/>
        <v>1</v>
      </c>
      <c r="P3442" s="108"/>
      <c r="Q3442"/>
    </row>
    <row r="3443" spans="1:17" x14ac:dyDescent="0.25">
      <c r="A3443" s="89" t="s">
        <v>4138</v>
      </c>
      <c r="B3443" s="87" t="s">
        <v>4139</v>
      </c>
      <c r="C3443" s="87" t="s">
        <v>13</v>
      </c>
      <c r="D3443" s="87" t="str">
        <f>VLOOKUP(Tabela1[[#This Row],[Origem]], 'Perguntas 1 a 24'!$J$28:$K$34, 2, 0)</f>
        <v>Sudeste</v>
      </c>
      <c r="E3443" s="87" t="str">
        <f>Tabela1[[#This Row],[Descrição]]&amp;"-"&amp;Tabela1[[#This Row],[Código]]&amp;"/"&amp;Tabela1[[#This Row],[Origem]]</f>
        <v>Dufure-H925P759/SP</v>
      </c>
      <c r="F3443" s="88">
        <v>47562</v>
      </c>
      <c r="G3443" s="88" t="str" cm="1">
        <f t="array" ref="G34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AND(F3443&gt;= DATE(2026,1,1), F3443&lt;= DATE(2028, 12, 31), J3443&gt;50000), "Pendente e Caro", AND(F3443&gt;= DATE(2026,1,1), F3443&lt;= DATE(2028, 12, 31), J3443&lt;=50000), "Pendente", F3443&gt;= DATE(2029,1,1), "Não prioeitário")</f>
        <v>Não prioeitário</v>
      </c>
      <c r="H3443" s="89">
        <f>YEAR(Tabela1[[#This Row],[Data de Validade]])</f>
        <v>2030</v>
      </c>
      <c r="I3443" s="89">
        <f>MONTH(Tabela1[[#This Row],[Data de Validade]])</f>
        <v>3</v>
      </c>
      <c r="J3443" s="101">
        <v>117018</v>
      </c>
      <c r="K3443" s="87" t="s">
        <v>14</v>
      </c>
      <c r="L3443" s="108"/>
      <c r="M3443" s="108"/>
      <c r="N3443" s="108" t="str">
        <v>H387P541</v>
      </c>
      <c r="O3443" s="108">
        <f t="shared" si="55"/>
        <v>1</v>
      </c>
      <c r="P3443" s="108"/>
      <c r="Q3443"/>
    </row>
    <row r="3444" spans="1:17" x14ac:dyDescent="0.25">
      <c r="A3444" s="89" t="s">
        <v>11068</v>
      </c>
      <c r="B3444" s="87" t="s">
        <v>11069</v>
      </c>
      <c r="C3444" s="87" t="s">
        <v>12</v>
      </c>
      <c r="D3444" s="87" t="str">
        <f>VLOOKUP(Tabela1[[#This Row],[Origem]], 'Perguntas 1 a 24'!$J$28:$K$34, 2, 0)</f>
        <v>Sudeste</v>
      </c>
      <c r="E3444" s="87" t="str">
        <f>Tabela1[[#This Row],[Descrição]]&amp;"-"&amp;Tabela1[[#This Row],[Código]]&amp;"/"&amp;Tabela1[[#This Row],[Origem]]</f>
        <v>Talupiriva-P734P414/RJ</v>
      </c>
      <c r="F3444" s="88">
        <v>47563</v>
      </c>
      <c r="G3444" s="88" t="str" cm="1">
        <f t="array" ref="G34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AND(F3444&gt;= DATE(2026,1,1), F3444&lt;= DATE(2028, 12, 31), J3444&gt;50000), "Pendente e Caro", AND(F3444&gt;= DATE(2026,1,1), F3444&lt;= DATE(2028, 12, 31), J3444&lt;=50000), "Pendente", F3444&gt;= DATE(2029,1,1), "Não prioeitário")</f>
        <v>Não prioeitário</v>
      </c>
      <c r="H3444" s="89">
        <f>YEAR(Tabela1[[#This Row],[Data de Validade]])</f>
        <v>2030</v>
      </c>
      <c r="I3444" s="89">
        <f>MONTH(Tabela1[[#This Row],[Data de Validade]])</f>
        <v>3</v>
      </c>
      <c r="J3444" s="101">
        <v>100008</v>
      </c>
      <c r="K3444" s="87" t="s">
        <v>11</v>
      </c>
      <c r="L3444" s="108"/>
      <c r="M3444" s="108"/>
      <c r="N3444" s="108" t="str">
        <v>H558P144</v>
      </c>
      <c r="O3444" s="108">
        <f t="shared" si="55"/>
        <v>1</v>
      </c>
      <c r="P3444" s="108"/>
      <c r="Q3444"/>
    </row>
    <row r="3445" spans="1:17" x14ac:dyDescent="0.25">
      <c r="A3445" s="89" t="s">
        <v>9143</v>
      </c>
      <c r="B3445" s="87" t="s">
        <v>9144</v>
      </c>
      <c r="C3445" s="87" t="s">
        <v>8</v>
      </c>
      <c r="D3445" s="87" t="str">
        <f>VLOOKUP(Tabela1[[#This Row],[Origem]], 'Perguntas 1 a 24'!$J$28:$K$34, 2, 0)</f>
        <v>Nordeste</v>
      </c>
      <c r="E3445" s="87" t="str">
        <f>Tabela1[[#This Row],[Descrição]]&amp;"-"&amp;Tabela1[[#This Row],[Código]]&amp;"/"&amp;Tabela1[[#This Row],[Origem]]</f>
        <v>Nirepipi-H641H177/AL</v>
      </c>
      <c r="F3445" s="88">
        <v>47563</v>
      </c>
      <c r="G3445" s="88" t="str" cm="1">
        <f t="array" ref="G34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AND(F3445&gt;= DATE(2026,1,1), F3445&lt;= DATE(2028, 12, 31), J3445&gt;50000), "Pendente e Caro", AND(F3445&gt;= DATE(2026,1,1), F3445&lt;= DATE(2028, 12, 31), J3445&lt;=50000), "Pendente", F3445&gt;= DATE(2029,1,1), "Não prioeitário")</f>
        <v>Não prioeitário</v>
      </c>
      <c r="H3445" s="89">
        <f>YEAR(Tabela1[[#This Row],[Data de Validade]])</f>
        <v>2030</v>
      </c>
      <c r="I3445" s="89">
        <f>MONTH(Tabela1[[#This Row],[Data de Validade]])</f>
        <v>3</v>
      </c>
      <c r="J3445" s="101">
        <v>66969</v>
      </c>
      <c r="K3445" s="87" t="s">
        <v>11</v>
      </c>
      <c r="L3445" s="108"/>
      <c r="M3445" s="108"/>
      <c r="N3445" s="108" t="str">
        <v>H775P462</v>
      </c>
      <c r="O3445" s="108">
        <f t="shared" si="55"/>
        <v>1</v>
      </c>
      <c r="P3445" s="108"/>
      <c r="Q3445"/>
    </row>
    <row r="3446" spans="1:17" x14ac:dyDescent="0.25">
      <c r="A3446" s="89" t="s">
        <v>6502</v>
      </c>
      <c r="B3446" s="87" t="s">
        <v>6503</v>
      </c>
      <c r="C3446" s="87" t="s">
        <v>16</v>
      </c>
      <c r="D3446" s="87" t="str">
        <f>VLOOKUP(Tabela1[[#This Row],[Origem]], 'Perguntas 1 a 24'!$J$28:$K$34, 2, 0)</f>
        <v>Sudeste</v>
      </c>
      <c r="E3446" s="87" t="str">
        <f>Tabela1[[#This Row],[Descrição]]&amp;"-"&amp;Tabela1[[#This Row],[Código]]&amp;"/"&amp;Tabela1[[#This Row],[Origem]]</f>
        <v>Vutipo-H522P259/MG</v>
      </c>
      <c r="F3446" s="88">
        <v>47564</v>
      </c>
      <c r="G3446" s="88" t="str" cm="1">
        <f t="array" ref="G34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AND(F3446&gt;= DATE(2026,1,1), F3446&lt;= DATE(2028, 12, 31), J3446&gt;50000), "Pendente e Caro", AND(F3446&gt;= DATE(2026,1,1), F3446&lt;= DATE(2028, 12, 31), J3446&lt;=50000), "Pendente", F3446&gt;= DATE(2029,1,1), "Não prioeitário")</f>
        <v>Não prioeitário</v>
      </c>
      <c r="H3446" s="89">
        <f>YEAR(Tabela1[[#This Row],[Data de Validade]])</f>
        <v>2030</v>
      </c>
      <c r="I3446" s="89">
        <f>MONTH(Tabela1[[#This Row],[Data de Validade]])</f>
        <v>3</v>
      </c>
      <c r="J3446" s="101">
        <v>69999</v>
      </c>
      <c r="K3446" s="87" t="s">
        <v>9</v>
      </c>
      <c r="L3446" s="108"/>
      <c r="M3446" s="108"/>
      <c r="N3446" s="108" t="str">
        <v>H733P883</v>
      </c>
      <c r="O3446" s="108">
        <f t="shared" si="55"/>
        <v>1</v>
      </c>
      <c r="P3446" s="108"/>
      <c r="Q3446"/>
    </row>
    <row r="3447" spans="1:17" x14ac:dyDescent="0.25">
      <c r="A3447" s="89" t="s">
        <v>4648</v>
      </c>
      <c r="B3447" s="87" t="s">
        <v>4649</v>
      </c>
      <c r="C3447" s="87" t="s">
        <v>13</v>
      </c>
      <c r="D3447" s="87" t="str">
        <f>VLOOKUP(Tabela1[[#This Row],[Origem]], 'Perguntas 1 a 24'!$J$28:$K$34, 2, 0)</f>
        <v>Sudeste</v>
      </c>
      <c r="E3447" s="87" t="str">
        <f>Tabela1[[#This Row],[Descrição]]&amp;"-"&amp;Tabela1[[#This Row],[Código]]&amp;"/"&amp;Tabela1[[#This Row],[Origem]]</f>
        <v>Ripovo-P927P731/SP</v>
      </c>
      <c r="F3447" s="88">
        <v>47565</v>
      </c>
      <c r="G3447" s="88" t="str" cm="1">
        <f t="array" ref="G34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AND(F3447&gt;= DATE(2026,1,1), F3447&lt;= DATE(2028, 12, 31), J3447&gt;50000), "Pendente e Caro", AND(F3447&gt;= DATE(2026,1,1), F3447&lt;= DATE(2028, 12, 31), J3447&lt;=50000), "Pendente", F3447&gt;= DATE(2029,1,1), "Não prioeitário")</f>
        <v>Não prioeitário</v>
      </c>
      <c r="H3447" s="89">
        <f>YEAR(Tabela1[[#This Row],[Data de Validade]])</f>
        <v>2030</v>
      </c>
      <c r="I3447" s="89">
        <f>MONTH(Tabela1[[#This Row],[Data de Validade]])</f>
        <v>3</v>
      </c>
      <c r="J3447" s="101">
        <v>44349</v>
      </c>
      <c r="K3447" s="87" t="s">
        <v>7</v>
      </c>
      <c r="L3447" s="108"/>
      <c r="M3447" s="108"/>
      <c r="N3447" s="108" t="str">
        <v>H822H885</v>
      </c>
      <c r="O3447" s="108">
        <f t="shared" si="55"/>
        <v>1</v>
      </c>
      <c r="P3447" s="108"/>
      <c r="Q3447"/>
    </row>
    <row r="3448" spans="1:17" x14ac:dyDescent="0.25">
      <c r="A3448" s="89" t="s">
        <v>5730</v>
      </c>
      <c r="B3448" s="87" t="s">
        <v>5731</v>
      </c>
      <c r="C3448" s="87" t="s">
        <v>10</v>
      </c>
      <c r="D3448" s="87" t="str">
        <f>VLOOKUP(Tabela1[[#This Row],[Origem]], 'Perguntas 1 a 24'!$J$28:$K$34, 2, 0)</f>
        <v>Centro-Oeste</v>
      </c>
      <c r="E3448" s="87" t="str">
        <f>Tabela1[[#This Row],[Descrição]]&amp;"-"&amp;Tabela1[[#This Row],[Código]]&amp;"/"&amp;Tabela1[[#This Row],[Origem]]</f>
        <v>Ririnape-P228H944/GO</v>
      </c>
      <c r="F3448" s="88">
        <v>47566</v>
      </c>
      <c r="G3448" s="88" t="str" cm="1">
        <f t="array" ref="G34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AND(F3448&gt;= DATE(2026,1,1), F3448&lt;= DATE(2028, 12, 31), J3448&gt;50000), "Pendente e Caro", AND(F3448&gt;= DATE(2026,1,1), F3448&lt;= DATE(2028, 12, 31), J3448&lt;=50000), "Pendente", F3448&gt;= DATE(2029,1,1), "Não prioeitário")</f>
        <v>Não prioeitário</v>
      </c>
      <c r="H3448" s="89">
        <f>YEAR(Tabela1[[#This Row],[Data de Validade]])</f>
        <v>2030</v>
      </c>
      <c r="I3448" s="89">
        <f>MONTH(Tabela1[[#This Row],[Data de Validade]])</f>
        <v>3</v>
      </c>
      <c r="J3448" s="101">
        <v>47818</v>
      </c>
      <c r="K3448" s="87" t="s">
        <v>9</v>
      </c>
      <c r="L3448" s="108"/>
      <c r="M3448" s="108"/>
      <c r="N3448" s="108" t="str">
        <v>P174H159</v>
      </c>
      <c r="O3448" s="108">
        <f t="shared" si="55"/>
        <v>1</v>
      </c>
      <c r="P3448" s="108"/>
      <c r="Q3448"/>
    </row>
    <row r="3449" spans="1:17" x14ac:dyDescent="0.25">
      <c r="A3449" s="89" t="s">
        <v>5864</v>
      </c>
      <c r="B3449" s="87" t="s">
        <v>5865</v>
      </c>
      <c r="C3449" s="87" t="s">
        <v>13</v>
      </c>
      <c r="D3449" s="87" t="str">
        <f>VLOOKUP(Tabela1[[#This Row],[Origem]], 'Perguntas 1 a 24'!$J$28:$K$34, 2, 0)</f>
        <v>Sudeste</v>
      </c>
      <c r="E3449" s="87" t="str">
        <f>Tabela1[[#This Row],[Descrição]]&amp;"-"&amp;Tabela1[[#This Row],[Código]]&amp;"/"&amp;Tabela1[[#This Row],[Origem]]</f>
        <v>Rupedi-P146P219/SP</v>
      </c>
      <c r="F3449" s="88">
        <v>47566</v>
      </c>
      <c r="G3449" s="88" t="str" cm="1">
        <f t="array" ref="G34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AND(F3449&gt;= DATE(2026,1,1), F3449&lt;= DATE(2028, 12, 31), J3449&gt;50000), "Pendente e Caro", AND(F3449&gt;= DATE(2026,1,1), F3449&lt;= DATE(2028, 12, 31), J3449&lt;=50000), "Pendente", F3449&gt;= DATE(2029,1,1), "Não prioeitário")</f>
        <v>Não prioeitário</v>
      </c>
      <c r="H3449" s="89">
        <f>YEAR(Tabela1[[#This Row],[Data de Validade]])</f>
        <v>2030</v>
      </c>
      <c r="I3449" s="89">
        <f>MONTH(Tabela1[[#This Row],[Data de Validade]])</f>
        <v>3</v>
      </c>
      <c r="J3449" s="101">
        <v>47042</v>
      </c>
      <c r="K3449" s="87" t="s">
        <v>7</v>
      </c>
      <c r="L3449" s="108"/>
      <c r="M3449" s="108"/>
      <c r="N3449" s="108" t="str">
        <v>H664P645</v>
      </c>
      <c r="O3449" s="108">
        <f t="shared" si="55"/>
        <v>1</v>
      </c>
      <c r="P3449" s="108"/>
      <c r="Q3449"/>
    </row>
    <row r="3450" spans="1:17" x14ac:dyDescent="0.25">
      <c r="A3450" s="89" t="s">
        <v>11100</v>
      </c>
      <c r="B3450" s="87" t="s">
        <v>11101</v>
      </c>
      <c r="C3450" s="87" t="s">
        <v>15</v>
      </c>
      <c r="D3450" s="87" t="str">
        <f>VLOOKUP(Tabela1[[#This Row],[Origem]], 'Perguntas 1 a 24'!$J$28:$K$34, 2, 0)</f>
        <v>Sudeste</v>
      </c>
      <c r="E3450" s="87" t="str">
        <f>Tabela1[[#This Row],[Descrição]]&amp;"-"&amp;Tabela1[[#This Row],[Código]]&amp;"/"&amp;Tabela1[[#This Row],[Origem]]</f>
        <v>Tunivipuni-H831P729/ES</v>
      </c>
      <c r="F3450" s="88">
        <v>47566</v>
      </c>
      <c r="G3450" s="88" t="str" cm="1">
        <f t="array" ref="G34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AND(F3450&gt;= DATE(2026,1,1), F3450&lt;= DATE(2028, 12, 31), J3450&gt;50000), "Pendente e Caro", AND(F3450&gt;= DATE(2026,1,1), F3450&lt;= DATE(2028, 12, 31), J3450&lt;=50000), "Pendente", F3450&gt;= DATE(2029,1,1), "Não prioeitário")</f>
        <v>Não prioeitário</v>
      </c>
      <c r="H3450" s="89">
        <f>YEAR(Tabela1[[#This Row],[Data de Validade]])</f>
        <v>2030</v>
      </c>
      <c r="I3450" s="89">
        <f>MONTH(Tabela1[[#This Row],[Data de Validade]])</f>
        <v>3</v>
      </c>
      <c r="J3450" s="101">
        <v>46569</v>
      </c>
      <c r="K3450" s="87" t="s">
        <v>14</v>
      </c>
      <c r="L3450" s="108"/>
      <c r="M3450" s="108"/>
      <c r="N3450" s="108" t="str">
        <v>P839H947</v>
      </c>
      <c r="O3450" s="108">
        <f t="shared" si="55"/>
        <v>1</v>
      </c>
      <c r="P3450" s="108"/>
      <c r="Q3450"/>
    </row>
    <row r="3451" spans="1:17" x14ac:dyDescent="0.25">
      <c r="A3451" s="89" t="s">
        <v>8603</v>
      </c>
      <c r="B3451" s="87" t="s">
        <v>8604</v>
      </c>
      <c r="C3451" s="87" t="s">
        <v>16</v>
      </c>
      <c r="D3451" s="87" t="str">
        <f>VLOOKUP(Tabela1[[#This Row],[Origem]], 'Perguntas 1 a 24'!$J$28:$K$34, 2, 0)</f>
        <v>Sudeste</v>
      </c>
      <c r="E3451" s="87" t="str">
        <f>Tabela1[[#This Row],[Descrição]]&amp;"-"&amp;Tabela1[[#This Row],[Código]]&amp;"/"&amp;Tabela1[[#This Row],[Origem]]</f>
        <v>Pucetipi-H387P541/MG</v>
      </c>
      <c r="F3451" s="88">
        <v>47567</v>
      </c>
      <c r="G3451" s="88" t="str" cm="1">
        <f t="array" ref="G34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AND(F3451&gt;= DATE(2026,1,1), F3451&lt;= DATE(2028, 12, 31), J3451&gt;50000), "Pendente e Caro", AND(F3451&gt;= DATE(2026,1,1), F3451&lt;= DATE(2028, 12, 31), J3451&lt;=50000), "Pendente", F3451&gt;= DATE(2029,1,1), "Não prioeitário")</f>
        <v>Não prioeitário</v>
      </c>
      <c r="H3451" s="89">
        <f>YEAR(Tabela1[[#This Row],[Data de Validade]])</f>
        <v>2030</v>
      </c>
      <c r="I3451" s="89">
        <f>MONTH(Tabela1[[#This Row],[Data de Validade]])</f>
        <v>3</v>
      </c>
      <c r="J3451" s="101">
        <v>113965</v>
      </c>
      <c r="K3451" s="87" t="s">
        <v>11</v>
      </c>
      <c r="L3451" s="108"/>
      <c r="M3451" s="108"/>
      <c r="N3451" s="108" t="str">
        <v>H937P845</v>
      </c>
      <c r="O3451" s="108">
        <f t="shared" si="55"/>
        <v>1</v>
      </c>
      <c r="P3451" s="108"/>
      <c r="Q3451"/>
    </row>
    <row r="3452" spans="1:17" x14ac:dyDescent="0.25">
      <c r="A3452" s="89" t="s">
        <v>4500</v>
      </c>
      <c r="B3452" s="87" t="s">
        <v>4501</v>
      </c>
      <c r="C3452" s="87" t="s">
        <v>10</v>
      </c>
      <c r="D3452" s="87" t="str">
        <f>VLOOKUP(Tabela1[[#This Row],[Origem]], 'Perguntas 1 a 24'!$J$28:$K$34, 2, 0)</f>
        <v>Centro-Oeste</v>
      </c>
      <c r="E3452" s="87" t="str">
        <f>Tabela1[[#This Row],[Descrição]]&amp;"-"&amp;Tabela1[[#This Row],[Código]]&amp;"/"&amp;Tabela1[[#This Row],[Origem]]</f>
        <v>Lidicetuni-H558P144/GO</v>
      </c>
      <c r="F3452" s="88">
        <v>47568</v>
      </c>
      <c r="G3452" s="88" t="str" cm="1">
        <f t="array" ref="G34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AND(F3452&gt;= DATE(2026,1,1), F3452&lt;= DATE(2028, 12, 31), J3452&gt;50000), "Pendente e Caro", AND(F3452&gt;= DATE(2026,1,1), F3452&lt;= DATE(2028, 12, 31), J3452&lt;=50000), "Pendente", F3452&gt;= DATE(2029,1,1), "Não prioeitário")</f>
        <v>Não prioeitário</v>
      </c>
      <c r="H3452" s="89">
        <f>YEAR(Tabela1[[#This Row],[Data de Validade]])</f>
        <v>2030</v>
      </c>
      <c r="I3452" s="89">
        <f>MONTH(Tabela1[[#This Row],[Data de Validade]])</f>
        <v>3</v>
      </c>
      <c r="J3452" s="101">
        <v>74659</v>
      </c>
      <c r="K3452" s="87" t="s">
        <v>11</v>
      </c>
      <c r="L3452" s="108"/>
      <c r="M3452" s="108"/>
      <c r="N3452" s="108" t="str">
        <v>P124H952</v>
      </c>
      <c r="O3452" s="108">
        <f t="shared" si="55"/>
        <v>1</v>
      </c>
      <c r="P3452" s="108"/>
      <c r="Q3452"/>
    </row>
    <row r="3453" spans="1:17" x14ac:dyDescent="0.25">
      <c r="A3453" s="89" t="s">
        <v>8494</v>
      </c>
      <c r="B3453" s="87" t="s">
        <v>8495</v>
      </c>
      <c r="C3453" s="87" t="s">
        <v>16</v>
      </c>
      <c r="D3453" s="87" t="str">
        <f>VLOOKUP(Tabela1[[#This Row],[Origem]], 'Perguntas 1 a 24'!$J$28:$K$34, 2, 0)</f>
        <v>Sudeste</v>
      </c>
      <c r="E3453" s="87" t="str">
        <f>Tabela1[[#This Row],[Descrição]]&amp;"-"&amp;Tabela1[[#This Row],[Código]]&amp;"/"&amp;Tabela1[[#This Row],[Origem]]</f>
        <v>Mivutura-H775P462/MG</v>
      </c>
      <c r="F3453" s="88">
        <v>47569</v>
      </c>
      <c r="G3453" s="88" t="str" cm="1">
        <f t="array" ref="G34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AND(F3453&gt;= DATE(2026,1,1), F3453&lt;= DATE(2028, 12, 31), J3453&gt;50000), "Pendente e Caro", AND(F3453&gt;= DATE(2026,1,1), F3453&lt;= DATE(2028, 12, 31), J3453&lt;=50000), "Pendente", F3453&gt;= DATE(2029,1,1), "Não prioeitário")</f>
        <v>Não prioeitário</v>
      </c>
      <c r="H3453" s="89">
        <f>YEAR(Tabela1[[#This Row],[Data de Validade]])</f>
        <v>2030</v>
      </c>
      <c r="I3453" s="89">
        <f>MONTH(Tabela1[[#This Row],[Data de Validade]])</f>
        <v>3</v>
      </c>
      <c r="J3453" s="101">
        <v>87055</v>
      </c>
      <c r="K3453" s="87" t="s">
        <v>9</v>
      </c>
      <c r="L3453" s="108"/>
      <c r="M3453" s="108"/>
      <c r="N3453" s="108" t="str">
        <v>H165H999</v>
      </c>
      <c r="O3453" s="108">
        <f t="shared" si="55"/>
        <v>1</v>
      </c>
      <c r="P3453" s="108"/>
      <c r="Q3453"/>
    </row>
    <row r="3454" spans="1:17" x14ac:dyDescent="0.25">
      <c r="A3454" s="89" t="s">
        <v>7956</v>
      </c>
      <c r="B3454" s="87" t="s">
        <v>7957</v>
      </c>
      <c r="C3454" s="87" t="s">
        <v>12</v>
      </c>
      <c r="D3454" s="87" t="str">
        <f>VLOOKUP(Tabela1[[#This Row],[Origem]], 'Perguntas 1 a 24'!$J$28:$K$34, 2, 0)</f>
        <v>Sudeste</v>
      </c>
      <c r="E3454" s="87" t="str">
        <f>Tabela1[[#This Row],[Descrição]]&amp;"-"&amp;Tabela1[[#This Row],[Código]]&amp;"/"&amp;Tabela1[[#This Row],[Origem]]</f>
        <v>Rididu-H733P883/RJ</v>
      </c>
      <c r="F3454" s="88">
        <v>47569</v>
      </c>
      <c r="G3454" s="88" t="str" cm="1">
        <f t="array" ref="G34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AND(F3454&gt;= DATE(2026,1,1), F3454&lt;= DATE(2028, 12, 31), J3454&gt;50000), "Pendente e Caro", AND(F3454&gt;= DATE(2026,1,1), F3454&lt;= DATE(2028, 12, 31), J3454&lt;=50000), "Pendente", F3454&gt;= DATE(2029,1,1), "Não prioeitário")</f>
        <v>Não prioeitário</v>
      </c>
      <c r="H3454" s="89">
        <f>YEAR(Tabela1[[#This Row],[Data de Validade]])</f>
        <v>2030</v>
      </c>
      <c r="I3454" s="89">
        <f>MONTH(Tabela1[[#This Row],[Data de Validade]])</f>
        <v>3</v>
      </c>
      <c r="J3454" s="101">
        <v>79306</v>
      </c>
      <c r="K3454" s="87" t="s">
        <v>9</v>
      </c>
      <c r="L3454" s="108"/>
      <c r="M3454" s="108"/>
      <c r="N3454" s="108" t="str">
        <v>P384H653</v>
      </c>
      <c r="O3454" s="108">
        <f t="shared" si="55"/>
        <v>1</v>
      </c>
      <c r="P3454" s="108"/>
      <c r="Q3454"/>
    </row>
    <row r="3455" spans="1:17" x14ac:dyDescent="0.25">
      <c r="A3455" s="89" t="s">
        <v>7382</v>
      </c>
      <c r="B3455" s="87" t="s">
        <v>7383</v>
      </c>
      <c r="C3455" s="87" t="s">
        <v>6</v>
      </c>
      <c r="D3455" s="87" t="str">
        <f>VLOOKUP(Tabela1[[#This Row],[Origem]], 'Perguntas 1 a 24'!$J$28:$K$34, 2, 0)</f>
        <v>Nordeste</v>
      </c>
      <c r="E3455" s="87" t="str">
        <f>Tabela1[[#This Row],[Descrição]]&amp;"-"&amp;Tabela1[[#This Row],[Código]]&amp;"/"&amp;Tabela1[[#This Row],[Origem]]</f>
        <v>Laridupaca-H822H885/MA</v>
      </c>
      <c r="F3455" s="88">
        <v>47569</v>
      </c>
      <c r="G3455" s="88" t="str" cm="1">
        <f t="array" ref="G34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AND(F3455&gt;= DATE(2026,1,1), F3455&lt;= DATE(2028, 12, 31), J3455&gt;50000), "Pendente e Caro", AND(F3455&gt;= DATE(2026,1,1), F3455&lt;= DATE(2028, 12, 31), J3455&lt;=50000), "Pendente", F3455&gt;= DATE(2029,1,1), "Não prioeitário")</f>
        <v>Não prioeitário</v>
      </c>
      <c r="H3455" s="89">
        <f>YEAR(Tabela1[[#This Row],[Data de Validade]])</f>
        <v>2030</v>
      </c>
      <c r="I3455" s="89">
        <f>MONTH(Tabela1[[#This Row],[Data de Validade]])</f>
        <v>3</v>
      </c>
      <c r="J3455" s="101">
        <v>66353</v>
      </c>
      <c r="K3455" s="87" t="s">
        <v>14</v>
      </c>
      <c r="L3455" s="108"/>
      <c r="M3455" s="108"/>
      <c r="N3455" s="108" t="str">
        <v>H325P954</v>
      </c>
      <c r="O3455" s="108">
        <f t="shared" si="55"/>
        <v>1</v>
      </c>
      <c r="P3455" s="108"/>
      <c r="Q3455"/>
    </row>
    <row r="3456" spans="1:17" x14ac:dyDescent="0.25">
      <c r="A3456" s="89" t="s">
        <v>9171</v>
      </c>
      <c r="B3456" s="87" t="s">
        <v>9172</v>
      </c>
      <c r="C3456" s="87" t="s">
        <v>12</v>
      </c>
      <c r="D3456" s="87" t="str">
        <f>VLOOKUP(Tabela1[[#This Row],[Origem]], 'Perguntas 1 a 24'!$J$28:$K$34, 2, 0)</f>
        <v>Sudeste</v>
      </c>
      <c r="E3456" s="87" t="str">
        <f>Tabela1[[#This Row],[Descrição]]&amp;"-"&amp;Tabela1[[#This Row],[Código]]&amp;"/"&amp;Tabela1[[#This Row],[Origem]]</f>
        <v>Rupafa-P174H159/RJ</v>
      </c>
      <c r="F3456" s="88">
        <v>47571</v>
      </c>
      <c r="G3456" s="88" t="str" cm="1">
        <f t="array" ref="G34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AND(F3456&gt;= DATE(2026,1,1), F3456&lt;= DATE(2028, 12, 31), J3456&gt;50000), "Pendente e Caro", AND(F3456&gt;= DATE(2026,1,1), F3456&lt;= DATE(2028, 12, 31), J3456&lt;=50000), "Pendente", F3456&gt;= DATE(2029,1,1), "Não prioeitário")</f>
        <v>Não prioeitário</v>
      </c>
      <c r="H3456" s="89">
        <f>YEAR(Tabela1[[#This Row],[Data de Validade]])</f>
        <v>2030</v>
      </c>
      <c r="I3456" s="89">
        <f>MONTH(Tabela1[[#This Row],[Data de Validade]])</f>
        <v>3</v>
      </c>
      <c r="J3456" s="101">
        <v>118595</v>
      </c>
      <c r="K3456" s="87" t="s">
        <v>11</v>
      </c>
      <c r="L3456" s="108"/>
      <c r="M3456" s="108"/>
      <c r="N3456" s="108" t="str">
        <v>H279H277</v>
      </c>
      <c r="O3456" s="108">
        <f t="shared" si="55"/>
        <v>1</v>
      </c>
      <c r="P3456" s="108"/>
      <c r="Q3456"/>
    </row>
    <row r="3457" spans="1:17" x14ac:dyDescent="0.25">
      <c r="A3457" s="89" t="s">
        <v>5992</v>
      </c>
      <c r="B3457" s="87" t="s">
        <v>5993</v>
      </c>
      <c r="C3457" s="87" t="s">
        <v>12</v>
      </c>
      <c r="D3457" s="87" t="str">
        <f>VLOOKUP(Tabela1[[#This Row],[Origem]], 'Perguntas 1 a 24'!$J$28:$K$34, 2, 0)</f>
        <v>Sudeste</v>
      </c>
      <c r="E3457" s="87" t="str">
        <f>Tabela1[[#This Row],[Descrição]]&amp;"-"&amp;Tabela1[[#This Row],[Código]]&amp;"/"&amp;Tabela1[[#This Row],[Origem]]</f>
        <v>Nopirupeca-H664P645/RJ</v>
      </c>
      <c r="F3457" s="88">
        <v>47571</v>
      </c>
      <c r="G3457" s="88" t="str" cm="1">
        <f t="array" ref="G34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AND(F3457&gt;= DATE(2026,1,1), F3457&lt;= DATE(2028, 12, 31), J3457&gt;50000), "Pendente e Caro", AND(F3457&gt;= DATE(2026,1,1), F3457&lt;= DATE(2028, 12, 31), J3457&lt;=50000), "Pendente", F3457&gt;= DATE(2029,1,1), "Não prioeitário")</f>
        <v>Não prioeitário</v>
      </c>
      <c r="H3457" s="89">
        <f>YEAR(Tabela1[[#This Row],[Data de Validade]])</f>
        <v>2030</v>
      </c>
      <c r="I3457" s="89">
        <f>MONTH(Tabela1[[#This Row],[Data de Validade]])</f>
        <v>3</v>
      </c>
      <c r="J3457" s="101">
        <v>35981</v>
      </c>
      <c r="K3457" s="87" t="s">
        <v>11</v>
      </c>
      <c r="L3457" s="108"/>
      <c r="M3457" s="108"/>
      <c r="N3457" s="108" t="str">
        <v>P427H781</v>
      </c>
      <c r="O3457" s="108">
        <f t="shared" si="55"/>
        <v>1</v>
      </c>
      <c r="P3457" s="108"/>
      <c r="Q3457"/>
    </row>
    <row r="3458" spans="1:17" x14ac:dyDescent="0.25">
      <c r="A3458" s="89" t="s">
        <v>9775</v>
      </c>
      <c r="B3458" s="87" t="s">
        <v>9776</v>
      </c>
      <c r="C3458" s="87" t="s">
        <v>10</v>
      </c>
      <c r="D3458" s="87" t="str">
        <f>VLOOKUP(Tabela1[[#This Row],[Origem]], 'Perguntas 1 a 24'!$J$28:$K$34, 2, 0)</f>
        <v>Centro-Oeste</v>
      </c>
      <c r="E3458" s="87" t="str">
        <f>Tabela1[[#This Row],[Descrição]]&amp;"-"&amp;Tabela1[[#This Row],[Código]]&amp;"/"&amp;Tabela1[[#This Row],[Origem]]</f>
        <v>Cotuvopite-P839H947/GO</v>
      </c>
      <c r="F3458" s="88">
        <v>47573</v>
      </c>
      <c r="G3458" s="88" t="str" cm="1">
        <f t="array" ref="G34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AND(F3458&gt;= DATE(2026,1,1), F3458&lt;= DATE(2028, 12, 31), J3458&gt;50000), "Pendente e Caro", AND(F3458&gt;= DATE(2026,1,1), F3458&lt;= DATE(2028, 12, 31), J3458&lt;=50000), "Pendente", F3458&gt;= DATE(2029,1,1), "Não prioeitário")</f>
        <v>Não prioeitário</v>
      </c>
      <c r="H3458" s="89">
        <f>YEAR(Tabela1[[#This Row],[Data de Validade]])</f>
        <v>2030</v>
      </c>
      <c r="I3458" s="89">
        <f>MONTH(Tabela1[[#This Row],[Data de Validade]])</f>
        <v>3</v>
      </c>
      <c r="J3458" s="101">
        <v>115626</v>
      </c>
      <c r="K3458" s="87" t="s">
        <v>11</v>
      </c>
      <c r="L3458" s="108"/>
      <c r="M3458" s="108"/>
      <c r="N3458" s="108" t="str">
        <v>P847H232</v>
      </c>
      <c r="O3458" s="108">
        <f t="shared" si="55"/>
        <v>1</v>
      </c>
      <c r="P3458" s="108"/>
      <c r="Q3458"/>
    </row>
    <row r="3459" spans="1:17" x14ac:dyDescent="0.25">
      <c r="A3459" s="89" t="s">
        <v>7544</v>
      </c>
      <c r="B3459" s="87" t="s">
        <v>7545</v>
      </c>
      <c r="C3459" s="87" t="s">
        <v>12</v>
      </c>
      <c r="D3459" s="87" t="str">
        <f>VLOOKUP(Tabela1[[#This Row],[Origem]], 'Perguntas 1 a 24'!$J$28:$K$34, 2, 0)</f>
        <v>Sudeste</v>
      </c>
      <c r="E3459" s="87" t="str">
        <f>Tabela1[[#This Row],[Descrição]]&amp;"-"&amp;Tabela1[[#This Row],[Código]]&amp;"/"&amp;Tabela1[[#This Row],[Origem]]</f>
        <v>Galucota-H937P845/RJ</v>
      </c>
      <c r="F3459" s="88">
        <v>47574</v>
      </c>
      <c r="G3459" s="88" t="str" cm="1">
        <f t="array" ref="G34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AND(F3459&gt;= DATE(2026,1,1), F3459&lt;= DATE(2028, 12, 31), J3459&gt;50000), "Pendente e Caro", AND(F3459&gt;= DATE(2026,1,1), F3459&lt;= DATE(2028, 12, 31), J3459&lt;=50000), "Pendente", F3459&gt;= DATE(2029,1,1), "Não prioeitário")</f>
        <v>Não prioeitário</v>
      </c>
      <c r="H3459" s="89">
        <f>YEAR(Tabela1[[#This Row],[Data de Validade]])</f>
        <v>2030</v>
      </c>
      <c r="I3459" s="89">
        <f>MONTH(Tabela1[[#This Row],[Data de Validade]])</f>
        <v>4</v>
      </c>
      <c r="J3459" s="101">
        <v>57342</v>
      </c>
      <c r="K3459" s="87" t="s">
        <v>14</v>
      </c>
      <c r="L3459" s="108"/>
      <c r="M3459" s="108"/>
      <c r="N3459" s="108" t="str">
        <v>H138H218</v>
      </c>
      <c r="O3459" s="108">
        <f t="shared" ref="O3459:O3522" si="56">COUNTIFS(B:B,N3459)</f>
        <v>1</v>
      </c>
      <c r="P3459" s="108"/>
      <c r="Q3459"/>
    </row>
    <row r="3460" spans="1:17" x14ac:dyDescent="0.25">
      <c r="A3460" s="89" t="s">
        <v>5806</v>
      </c>
      <c r="B3460" s="87" t="s">
        <v>5807</v>
      </c>
      <c r="C3460" s="87" t="s">
        <v>10</v>
      </c>
      <c r="D3460" s="87" t="str">
        <f>VLOOKUP(Tabela1[[#This Row],[Origem]], 'Perguntas 1 a 24'!$J$28:$K$34, 2, 0)</f>
        <v>Centro-Oeste</v>
      </c>
      <c r="E3460" s="87" t="str">
        <f>Tabela1[[#This Row],[Descrição]]&amp;"-"&amp;Tabela1[[#This Row],[Código]]&amp;"/"&amp;Tabela1[[#This Row],[Origem]]</f>
        <v>Virini-P124H952/GO</v>
      </c>
      <c r="F3460" s="88">
        <v>47574</v>
      </c>
      <c r="G3460" s="88" t="str" cm="1">
        <f t="array" ref="G34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AND(F3460&gt;= DATE(2026,1,1), F3460&lt;= DATE(2028, 12, 31), J3460&gt;50000), "Pendente e Caro", AND(F3460&gt;= DATE(2026,1,1), F3460&lt;= DATE(2028, 12, 31), J3460&lt;=50000), "Pendente", F3460&gt;= DATE(2029,1,1), "Não prioeitário")</f>
        <v>Não prioeitário</v>
      </c>
      <c r="H3460" s="89">
        <f>YEAR(Tabela1[[#This Row],[Data de Validade]])</f>
        <v>2030</v>
      </c>
      <c r="I3460" s="89">
        <f>MONTH(Tabela1[[#This Row],[Data de Validade]])</f>
        <v>4</v>
      </c>
      <c r="J3460" s="101">
        <v>42078</v>
      </c>
      <c r="K3460" s="87" t="s">
        <v>9</v>
      </c>
      <c r="L3460" s="108"/>
      <c r="M3460" s="108"/>
      <c r="N3460" s="108" t="str">
        <v>P627P474</v>
      </c>
      <c r="O3460" s="108">
        <f t="shared" si="56"/>
        <v>1</v>
      </c>
      <c r="P3460" s="108"/>
      <c r="Q3460"/>
    </row>
    <row r="3461" spans="1:17" x14ac:dyDescent="0.25">
      <c r="A3461" s="89" t="s">
        <v>5594</v>
      </c>
      <c r="B3461" s="87" t="s">
        <v>5595</v>
      </c>
      <c r="C3461" s="87" t="s">
        <v>6</v>
      </c>
      <c r="D3461" s="87" t="str">
        <f>VLOOKUP(Tabela1[[#This Row],[Origem]], 'Perguntas 1 a 24'!$J$28:$K$34, 2, 0)</f>
        <v>Nordeste</v>
      </c>
      <c r="E3461" s="87" t="str">
        <f>Tabela1[[#This Row],[Descrição]]&amp;"-"&amp;Tabela1[[#This Row],[Código]]&amp;"/"&amp;Tabela1[[#This Row],[Origem]]</f>
        <v>Caveva-H165H999/MA</v>
      </c>
      <c r="F3461" s="88">
        <v>47574</v>
      </c>
      <c r="G3461" s="88" t="str" cm="1">
        <f t="array" ref="G34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AND(F3461&gt;= DATE(2026,1,1), F3461&lt;= DATE(2028, 12, 31), J3461&gt;50000), "Pendente e Caro", AND(F3461&gt;= DATE(2026,1,1), F3461&lt;= DATE(2028, 12, 31), J3461&lt;=50000), "Pendente", F3461&gt;= DATE(2029,1,1), "Não prioeitário")</f>
        <v>Não prioeitário</v>
      </c>
      <c r="H3461" s="89">
        <f>YEAR(Tabela1[[#This Row],[Data de Validade]])</f>
        <v>2030</v>
      </c>
      <c r="I3461" s="89">
        <f>MONTH(Tabela1[[#This Row],[Data de Validade]])</f>
        <v>4</v>
      </c>
      <c r="J3461" s="101">
        <v>40199</v>
      </c>
      <c r="K3461" s="87" t="s">
        <v>9</v>
      </c>
      <c r="L3461" s="108"/>
      <c r="M3461" s="108"/>
      <c r="N3461" s="108" t="str">
        <v>H948H918</v>
      </c>
      <c r="O3461" s="108">
        <f t="shared" si="56"/>
        <v>1</v>
      </c>
      <c r="P3461" s="108"/>
      <c r="Q3461"/>
    </row>
    <row r="3462" spans="1:17" x14ac:dyDescent="0.25">
      <c r="A3462" s="89" t="s">
        <v>6226</v>
      </c>
      <c r="B3462" s="87" t="s">
        <v>6227</v>
      </c>
      <c r="C3462" s="87" t="s">
        <v>15</v>
      </c>
      <c r="D3462" s="87" t="str">
        <f>VLOOKUP(Tabela1[[#This Row],[Origem]], 'Perguntas 1 a 24'!$J$28:$K$34, 2, 0)</f>
        <v>Sudeste</v>
      </c>
      <c r="E3462" s="87" t="str">
        <f>Tabela1[[#This Row],[Descrição]]&amp;"-"&amp;Tabela1[[#This Row],[Código]]&amp;"/"&amp;Tabela1[[#This Row],[Origem]]</f>
        <v>Tugotumote-P384H653/ES</v>
      </c>
      <c r="F3462" s="88">
        <v>47575</v>
      </c>
      <c r="G3462" s="88" t="str" cm="1">
        <f t="array" ref="G34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AND(F3462&gt;= DATE(2026,1,1), F3462&lt;= DATE(2028, 12, 31), J3462&gt;50000), "Pendente e Caro", AND(F3462&gt;= DATE(2026,1,1), F3462&lt;= DATE(2028, 12, 31), J3462&lt;=50000), "Pendente", F3462&gt;= DATE(2029,1,1), "Não prioeitário")</f>
        <v>Não prioeitário</v>
      </c>
      <c r="H3462" s="89">
        <f>YEAR(Tabela1[[#This Row],[Data de Validade]])</f>
        <v>2030</v>
      </c>
      <c r="I3462" s="89">
        <f>MONTH(Tabela1[[#This Row],[Data de Validade]])</f>
        <v>4</v>
      </c>
      <c r="J3462" s="101">
        <v>92578</v>
      </c>
      <c r="K3462" s="87" t="s">
        <v>11</v>
      </c>
      <c r="L3462" s="108"/>
      <c r="M3462" s="108"/>
      <c r="N3462" s="108" t="str">
        <v>H892P944</v>
      </c>
      <c r="O3462" s="108">
        <f t="shared" si="56"/>
        <v>1</v>
      </c>
      <c r="P3462" s="108"/>
      <c r="Q3462"/>
    </row>
    <row r="3463" spans="1:17" x14ac:dyDescent="0.25">
      <c r="A3463" s="89" t="s">
        <v>9031</v>
      </c>
      <c r="B3463" s="87" t="s">
        <v>9032</v>
      </c>
      <c r="C3463" s="87" t="s">
        <v>6</v>
      </c>
      <c r="D3463" s="87" t="str">
        <f>VLOOKUP(Tabela1[[#This Row],[Origem]], 'Perguntas 1 a 24'!$J$28:$K$34, 2, 0)</f>
        <v>Nordeste</v>
      </c>
      <c r="E3463" s="87" t="str">
        <f>Tabela1[[#This Row],[Descrição]]&amp;"-"&amp;Tabela1[[#This Row],[Código]]&amp;"/"&amp;Tabela1[[#This Row],[Origem]]</f>
        <v>Tadacalu-H325P954/MA</v>
      </c>
      <c r="F3463" s="88">
        <v>47575</v>
      </c>
      <c r="G3463" s="88" t="str" cm="1">
        <f t="array" ref="G34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AND(F3463&gt;= DATE(2026,1,1), F3463&lt;= DATE(2028, 12, 31), J3463&gt;50000), "Pendente e Caro", AND(F3463&gt;= DATE(2026,1,1), F3463&lt;= DATE(2028, 12, 31), J3463&lt;=50000), "Pendente", F3463&gt;= DATE(2029,1,1), "Não prioeitário")</f>
        <v>Não prioeitário</v>
      </c>
      <c r="H3463" s="89">
        <f>YEAR(Tabela1[[#This Row],[Data de Validade]])</f>
        <v>2030</v>
      </c>
      <c r="I3463" s="89">
        <f>MONTH(Tabela1[[#This Row],[Data de Validade]])</f>
        <v>4</v>
      </c>
      <c r="J3463" s="101">
        <v>91308</v>
      </c>
      <c r="K3463" s="87" t="s">
        <v>9</v>
      </c>
      <c r="L3463" s="108"/>
      <c r="M3463" s="108"/>
      <c r="N3463" s="108" t="str">
        <v>P444P639</v>
      </c>
      <c r="O3463" s="108">
        <f t="shared" si="56"/>
        <v>6</v>
      </c>
      <c r="P3463" s="108"/>
      <c r="Q3463"/>
    </row>
    <row r="3464" spans="1:17" x14ac:dyDescent="0.25">
      <c r="A3464" s="89" t="s">
        <v>5808</v>
      </c>
      <c r="B3464" s="87" t="s">
        <v>5809</v>
      </c>
      <c r="C3464" s="87" t="s">
        <v>16</v>
      </c>
      <c r="D3464" s="87" t="str">
        <f>VLOOKUP(Tabela1[[#This Row],[Origem]], 'Perguntas 1 a 24'!$J$28:$K$34, 2, 0)</f>
        <v>Sudeste</v>
      </c>
      <c r="E3464" s="87" t="str">
        <f>Tabela1[[#This Row],[Descrição]]&amp;"-"&amp;Tabela1[[#This Row],[Código]]&amp;"/"&amp;Tabela1[[#This Row],[Origem]]</f>
        <v>Titote-H279H277/MG</v>
      </c>
      <c r="F3464" s="88">
        <v>47575</v>
      </c>
      <c r="G3464" s="88" t="str" cm="1">
        <f t="array" ref="G34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AND(F3464&gt;= DATE(2026,1,1), F3464&lt;= DATE(2028, 12, 31), J3464&gt;50000), "Pendente e Caro", AND(F3464&gt;= DATE(2026,1,1), F3464&lt;= DATE(2028, 12, 31), J3464&lt;=50000), "Pendente", F3464&gt;= DATE(2029,1,1), "Não prioeitário")</f>
        <v>Não prioeitário</v>
      </c>
      <c r="H3464" s="89">
        <f>YEAR(Tabela1[[#This Row],[Data de Validade]])</f>
        <v>2030</v>
      </c>
      <c r="I3464" s="89">
        <f>MONTH(Tabela1[[#This Row],[Data de Validade]])</f>
        <v>4</v>
      </c>
      <c r="J3464" s="101">
        <v>90581</v>
      </c>
      <c r="K3464" s="87" t="s">
        <v>14</v>
      </c>
      <c r="L3464" s="108"/>
      <c r="M3464" s="108"/>
      <c r="N3464" s="108" t="str">
        <v>H354P711</v>
      </c>
      <c r="O3464" s="108">
        <f t="shared" si="56"/>
        <v>1</v>
      </c>
      <c r="P3464" s="108"/>
      <c r="Q3464"/>
    </row>
    <row r="3465" spans="1:17" x14ac:dyDescent="0.25">
      <c r="A3465" s="89" t="s">
        <v>8867</v>
      </c>
      <c r="B3465" s="87" t="s">
        <v>8868</v>
      </c>
      <c r="C3465" s="87" t="s">
        <v>16</v>
      </c>
      <c r="D3465" s="87" t="str">
        <f>VLOOKUP(Tabela1[[#This Row],[Origem]], 'Perguntas 1 a 24'!$J$28:$K$34, 2, 0)</f>
        <v>Sudeste</v>
      </c>
      <c r="E3465" s="87" t="str">
        <f>Tabela1[[#This Row],[Descrição]]&amp;"-"&amp;Tabela1[[#This Row],[Código]]&amp;"/"&amp;Tabela1[[#This Row],[Origem]]</f>
        <v>Tadumopa-P427H781/MG</v>
      </c>
      <c r="F3465" s="88">
        <v>47575</v>
      </c>
      <c r="G3465" s="88" t="str" cm="1">
        <f t="array" ref="G34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AND(F3465&gt;= DATE(2026,1,1), F3465&lt;= DATE(2028, 12, 31), J3465&gt;50000), "Pendente e Caro", AND(F3465&gt;= DATE(2026,1,1), F3465&lt;= DATE(2028, 12, 31), J3465&lt;=50000), "Pendente", F3465&gt;= DATE(2029,1,1), "Não prioeitário")</f>
        <v>Não prioeitário</v>
      </c>
      <c r="H3465" s="89">
        <f>YEAR(Tabela1[[#This Row],[Data de Validade]])</f>
        <v>2030</v>
      </c>
      <c r="I3465" s="89">
        <f>MONTH(Tabela1[[#This Row],[Data de Validade]])</f>
        <v>4</v>
      </c>
      <c r="J3465" s="101">
        <v>74853</v>
      </c>
      <c r="K3465" s="87" t="s">
        <v>11</v>
      </c>
      <c r="L3465" s="108"/>
      <c r="M3465" s="108"/>
      <c r="N3465" s="108" t="str">
        <v>P716P743</v>
      </c>
      <c r="O3465" s="108">
        <f t="shared" si="56"/>
        <v>1</v>
      </c>
      <c r="P3465" s="108"/>
      <c r="Q3465"/>
    </row>
    <row r="3466" spans="1:17" x14ac:dyDescent="0.25">
      <c r="A3466" s="89" t="s">
        <v>5560</v>
      </c>
      <c r="B3466" s="87" t="s">
        <v>5561</v>
      </c>
      <c r="C3466" s="87" t="s">
        <v>8</v>
      </c>
      <c r="D3466" s="87" t="str">
        <f>VLOOKUP(Tabela1[[#This Row],[Origem]], 'Perguntas 1 a 24'!$J$28:$K$34, 2, 0)</f>
        <v>Nordeste</v>
      </c>
      <c r="E3466" s="87" t="str">
        <f>Tabela1[[#This Row],[Descrição]]&amp;"-"&amp;Tabela1[[#This Row],[Código]]&amp;"/"&amp;Tabela1[[#This Row],[Origem]]</f>
        <v>Ramupeca-P847H232/AL</v>
      </c>
      <c r="F3466" s="88">
        <v>47577</v>
      </c>
      <c r="G3466" s="88" t="str" cm="1">
        <f t="array" ref="G34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AND(F3466&gt;= DATE(2026,1,1), F3466&lt;= DATE(2028, 12, 31), J3466&gt;50000), "Pendente e Caro", AND(F3466&gt;= DATE(2026,1,1), F3466&lt;= DATE(2028, 12, 31), J3466&lt;=50000), "Pendente", F3466&gt;= DATE(2029,1,1), "Não prioeitário")</f>
        <v>Não prioeitário</v>
      </c>
      <c r="H3466" s="89">
        <f>YEAR(Tabela1[[#This Row],[Data de Validade]])</f>
        <v>2030</v>
      </c>
      <c r="I3466" s="89">
        <f>MONTH(Tabela1[[#This Row],[Data de Validade]])</f>
        <v>4</v>
      </c>
      <c r="J3466" s="101">
        <v>47190</v>
      </c>
      <c r="K3466" s="87" t="s">
        <v>7</v>
      </c>
      <c r="L3466" s="108"/>
      <c r="M3466" s="108"/>
      <c r="N3466" s="108" t="str">
        <v>H364P979</v>
      </c>
      <c r="O3466" s="108">
        <f t="shared" si="56"/>
        <v>1</v>
      </c>
      <c r="P3466" s="108"/>
      <c r="Q3466"/>
    </row>
    <row r="3467" spans="1:17" x14ac:dyDescent="0.25">
      <c r="A3467" s="89" t="s">
        <v>11123</v>
      </c>
      <c r="B3467" s="87" t="s">
        <v>11124</v>
      </c>
      <c r="C3467" s="87" t="s">
        <v>13</v>
      </c>
      <c r="D3467" s="87" t="str">
        <f>VLOOKUP(Tabela1[[#This Row],[Origem]], 'Perguntas 1 a 24'!$J$28:$K$34, 2, 0)</f>
        <v>Sudeste</v>
      </c>
      <c r="E3467" s="87" t="str">
        <f>Tabela1[[#This Row],[Descrição]]&amp;"-"&amp;Tabela1[[#This Row],[Código]]&amp;"/"&amp;Tabela1[[#This Row],[Origem]]</f>
        <v>Dadifiru-H138H218/SP</v>
      </c>
      <c r="F3467" s="88">
        <v>47578</v>
      </c>
      <c r="G3467" s="88" t="str" cm="1">
        <f t="array" ref="G34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AND(F3467&gt;= DATE(2026,1,1), F3467&lt;= DATE(2028, 12, 31), J3467&gt;50000), "Pendente e Caro", AND(F3467&gt;= DATE(2026,1,1), F3467&lt;= DATE(2028, 12, 31), J3467&lt;=50000), "Pendente", F3467&gt;= DATE(2029,1,1), "Não prioeitário")</f>
        <v>Não prioeitário</v>
      </c>
      <c r="H3467" s="89">
        <f>YEAR(Tabela1[[#This Row],[Data de Validade]])</f>
        <v>2030</v>
      </c>
      <c r="I3467" s="89">
        <f>MONTH(Tabela1[[#This Row],[Data de Validade]])</f>
        <v>4</v>
      </c>
      <c r="J3467" s="101">
        <v>97505</v>
      </c>
      <c r="K3467" s="87" t="s">
        <v>14</v>
      </c>
      <c r="L3467" s="108"/>
      <c r="M3467" s="108"/>
      <c r="N3467" s="108" t="str">
        <v>P121H423</v>
      </c>
      <c r="O3467" s="108">
        <f t="shared" si="56"/>
        <v>1</v>
      </c>
      <c r="P3467" s="108"/>
      <c r="Q3467"/>
    </row>
    <row r="3468" spans="1:17" x14ac:dyDescent="0.25">
      <c r="A3468" s="89" t="s">
        <v>4219</v>
      </c>
      <c r="B3468" s="87" t="s">
        <v>4220</v>
      </c>
      <c r="C3468" s="87" t="s">
        <v>16</v>
      </c>
      <c r="D3468" s="87" t="str">
        <f>VLOOKUP(Tabela1[[#This Row],[Origem]], 'Perguntas 1 a 24'!$J$28:$K$34, 2, 0)</f>
        <v>Sudeste</v>
      </c>
      <c r="E3468" s="87" t="str">
        <f>Tabela1[[#This Row],[Descrição]]&amp;"-"&amp;Tabela1[[#This Row],[Código]]&amp;"/"&amp;Tabela1[[#This Row],[Origem]]</f>
        <v>Pufategi-P627P474/MG</v>
      </c>
      <c r="F3468" s="88">
        <v>47578</v>
      </c>
      <c r="G3468" s="88" t="str" cm="1">
        <f t="array" ref="G34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AND(F3468&gt;= DATE(2026,1,1), F3468&lt;= DATE(2028, 12, 31), J3468&gt;50000), "Pendente e Caro", AND(F3468&gt;= DATE(2026,1,1), F3468&lt;= DATE(2028, 12, 31), J3468&lt;=50000), "Pendente", F3468&gt;= DATE(2029,1,1), "Não prioeitário")</f>
        <v>Não prioeitário</v>
      </c>
      <c r="H3468" s="89">
        <f>YEAR(Tabela1[[#This Row],[Data de Validade]])</f>
        <v>2030</v>
      </c>
      <c r="I3468" s="89">
        <f>MONTH(Tabela1[[#This Row],[Data de Validade]])</f>
        <v>4</v>
      </c>
      <c r="J3468" s="101">
        <v>40228</v>
      </c>
      <c r="K3468" s="87" t="s">
        <v>7</v>
      </c>
      <c r="L3468" s="108"/>
      <c r="M3468" s="108"/>
      <c r="N3468" s="108" t="str">
        <v>P622H678</v>
      </c>
      <c r="O3468" s="108">
        <f t="shared" si="56"/>
        <v>1</v>
      </c>
      <c r="P3468" s="108"/>
      <c r="Q3468"/>
    </row>
    <row r="3469" spans="1:17" x14ac:dyDescent="0.25">
      <c r="A3469" s="89" t="s">
        <v>10253</v>
      </c>
      <c r="B3469" s="87" t="s">
        <v>10254</v>
      </c>
      <c r="C3469" s="87" t="s">
        <v>16</v>
      </c>
      <c r="D3469" s="87" t="str">
        <f>VLOOKUP(Tabela1[[#This Row],[Origem]], 'Perguntas 1 a 24'!$J$28:$K$34, 2, 0)</f>
        <v>Sudeste</v>
      </c>
      <c r="E3469" s="87" t="str">
        <f>Tabela1[[#This Row],[Descrição]]&amp;"-"&amp;Tabela1[[#This Row],[Código]]&amp;"/"&amp;Tabela1[[#This Row],[Origem]]</f>
        <v>Nopirofu-H948H918/MG</v>
      </c>
      <c r="F3469" s="88">
        <v>47579</v>
      </c>
      <c r="G3469" s="88" t="str" cm="1">
        <f t="array" ref="G34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AND(F3469&gt;= DATE(2026,1,1), F3469&lt;= DATE(2028, 12, 31), J3469&gt;50000), "Pendente e Caro", AND(F3469&gt;= DATE(2026,1,1), F3469&lt;= DATE(2028, 12, 31), J3469&lt;=50000), "Pendente", F3469&gt;= DATE(2029,1,1), "Não prioeitário")</f>
        <v>Não prioeitário</v>
      </c>
      <c r="H3469" s="89">
        <f>YEAR(Tabela1[[#This Row],[Data de Validade]])</f>
        <v>2030</v>
      </c>
      <c r="I3469" s="89">
        <f>MONTH(Tabela1[[#This Row],[Data de Validade]])</f>
        <v>4</v>
      </c>
      <c r="J3469" s="101">
        <v>117229</v>
      </c>
      <c r="K3469" s="87" t="s">
        <v>11</v>
      </c>
      <c r="L3469" s="108"/>
      <c r="M3469" s="108"/>
      <c r="N3469" s="108" t="str">
        <v>H126P766</v>
      </c>
      <c r="O3469" s="108">
        <f t="shared" si="56"/>
        <v>1</v>
      </c>
      <c r="P3469" s="108"/>
      <c r="Q3469"/>
    </row>
    <row r="3470" spans="1:17" x14ac:dyDescent="0.25">
      <c r="A3470" s="89" t="s">
        <v>7270</v>
      </c>
      <c r="B3470" s="87" t="s">
        <v>7271</v>
      </c>
      <c r="C3470" s="87" t="s">
        <v>13</v>
      </c>
      <c r="D3470" s="87" t="str">
        <f>VLOOKUP(Tabela1[[#This Row],[Origem]], 'Perguntas 1 a 24'!$J$28:$K$34, 2, 0)</f>
        <v>Sudeste</v>
      </c>
      <c r="E3470" s="87" t="str">
        <f>Tabela1[[#This Row],[Descrição]]&amp;"-"&amp;Tabela1[[#This Row],[Código]]&amp;"/"&amp;Tabela1[[#This Row],[Origem]]</f>
        <v>Galanuvufi-H892P944/SP</v>
      </c>
      <c r="F3470" s="88">
        <v>47579</v>
      </c>
      <c r="G3470" s="88" t="str" cm="1">
        <f t="array" ref="G34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AND(F3470&gt;= DATE(2026,1,1), F3470&lt;= DATE(2028, 12, 31), J3470&gt;50000), "Pendente e Caro", AND(F3470&gt;= DATE(2026,1,1), F3470&lt;= DATE(2028, 12, 31), J3470&lt;=50000), "Pendente", F3470&gt;= DATE(2029,1,1), "Não prioeitário")</f>
        <v>Não prioeitário</v>
      </c>
      <c r="H3470" s="89">
        <f>YEAR(Tabela1[[#This Row],[Data de Validade]])</f>
        <v>2030</v>
      </c>
      <c r="I3470" s="89">
        <f>MONTH(Tabela1[[#This Row],[Data de Validade]])</f>
        <v>4</v>
      </c>
      <c r="J3470" s="101">
        <v>23995</v>
      </c>
      <c r="K3470" s="87" t="s">
        <v>11</v>
      </c>
      <c r="L3470" s="108"/>
      <c r="M3470" s="108"/>
      <c r="N3470" s="108" t="str">
        <v>P658H527</v>
      </c>
      <c r="O3470" s="108">
        <f t="shared" si="56"/>
        <v>1</v>
      </c>
      <c r="P3470" s="108"/>
      <c r="Q3470"/>
    </row>
    <row r="3471" spans="1:17" x14ac:dyDescent="0.25">
      <c r="A3471" s="89" t="s">
        <v>3722</v>
      </c>
      <c r="B3471" s="87" t="s">
        <v>3723</v>
      </c>
      <c r="C3471" s="87" t="s">
        <v>6</v>
      </c>
      <c r="D3471" s="87" t="str">
        <f>VLOOKUP(Tabela1[[#This Row],[Origem]], 'Perguntas 1 a 24'!$J$28:$K$34, 2, 0)</f>
        <v>Nordeste</v>
      </c>
      <c r="E3471" s="87" t="str">
        <f>Tabela1[[#This Row],[Descrição]]&amp;"-"&amp;Tabela1[[#This Row],[Código]]&amp;"/"&amp;Tabela1[[#This Row],[Origem]]</f>
        <v>Pogemuca-P444P639/MA</v>
      </c>
      <c r="F3471" s="88">
        <v>47580</v>
      </c>
      <c r="G3471" s="88" t="str" cm="1">
        <f t="array" ref="G34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AND(F3471&gt;= DATE(2026,1,1), F3471&lt;= DATE(2028, 12, 31), J3471&gt;50000), "Pendente e Caro", AND(F3471&gt;= DATE(2026,1,1), F3471&lt;= DATE(2028, 12, 31), J3471&lt;=50000), "Pendente", F3471&gt;= DATE(2029,1,1), "Não prioeitário")</f>
        <v>Não prioeitário</v>
      </c>
      <c r="H3471" s="89">
        <f>YEAR(Tabela1[[#This Row],[Data de Validade]])</f>
        <v>2030</v>
      </c>
      <c r="I3471" s="89">
        <f>MONTH(Tabela1[[#This Row],[Data de Validade]])</f>
        <v>4</v>
      </c>
      <c r="J3471" s="101">
        <v>59586</v>
      </c>
      <c r="K3471" s="87" t="s">
        <v>7</v>
      </c>
      <c r="L3471" s="108"/>
      <c r="M3471" s="108"/>
      <c r="N3471" s="108" t="str">
        <v>P844H378</v>
      </c>
      <c r="O3471" s="108">
        <f t="shared" si="56"/>
        <v>1</v>
      </c>
      <c r="P3471" s="108"/>
      <c r="Q3471"/>
    </row>
    <row r="3472" spans="1:17" x14ac:dyDescent="0.25">
      <c r="A3472" s="89" t="s">
        <v>3722</v>
      </c>
      <c r="B3472" s="87" t="s">
        <v>3723</v>
      </c>
      <c r="C3472" s="87" t="s">
        <v>6</v>
      </c>
      <c r="D3472" s="87" t="str">
        <f>VLOOKUP(Tabela1[[#This Row],[Origem]], 'Perguntas 1 a 24'!$J$28:$K$34, 2, 0)</f>
        <v>Nordeste</v>
      </c>
      <c r="E3472" s="87" t="str">
        <f>Tabela1[[#This Row],[Descrição]]&amp;"-"&amp;Tabela1[[#This Row],[Código]]&amp;"/"&amp;Tabela1[[#This Row],[Origem]]</f>
        <v>Pogemuca-P444P639/MA</v>
      </c>
      <c r="F3472" s="88">
        <v>47580</v>
      </c>
      <c r="G3472" s="88" t="str" cm="1">
        <f t="array" ref="G34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AND(F3472&gt;= DATE(2026,1,1), F3472&lt;= DATE(2028, 12, 31), J3472&gt;50000), "Pendente e Caro", AND(F3472&gt;= DATE(2026,1,1), F3472&lt;= DATE(2028, 12, 31), J3472&lt;=50000), "Pendente", F3472&gt;= DATE(2029,1,1), "Não prioeitário")</f>
        <v>Não prioeitário</v>
      </c>
      <c r="H3472" s="89">
        <f>YEAR(Tabela1[[#This Row],[Data de Validade]])</f>
        <v>2030</v>
      </c>
      <c r="I3472" s="89">
        <f>MONTH(Tabela1[[#This Row],[Data de Validade]])</f>
        <v>4</v>
      </c>
      <c r="J3472" s="101">
        <v>59586</v>
      </c>
      <c r="K3472" s="87" t="s">
        <v>7</v>
      </c>
      <c r="L3472" s="108"/>
      <c r="M3472" s="108"/>
      <c r="N3472" s="108" t="str">
        <v>P692P413</v>
      </c>
      <c r="O3472" s="108">
        <f t="shared" si="56"/>
        <v>1</v>
      </c>
      <c r="P3472" s="108"/>
      <c r="Q3472"/>
    </row>
    <row r="3473" spans="1:17" x14ac:dyDescent="0.25">
      <c r="A3473" s="89" t="s">
        <v>3722</v>
      </c>
      <c r="B3473" s="87" t="s">
        <v>3723</v>
      </c>
      <c r="C3473" s="87" t="s">
        <v>6</v>
      </c>
      <c r="D3473" s="87" t="str">
        <f>VLOOKUP(Tabela1[[#This Row],[Origem]], 'Perguntas 1 a 24'!$J$28:$K$34, 2, 0)</f>
        <v>Nordeste</v>
      </c>
      <c r="E3473" s="87" t="str">
        <f>Tabela1[[#This Row],[Descrição]]&amp;"-"&amp;Tabela1[[#This Row],[Código]]&amp;"/"&amp;Tabela1[[#This Row],[Origem]]</f>
        <v>Pogemuca-P444P639/MA</v>
      </c>
      <c r="F3473" s="88">
        <v>47580</v>
      </c>
      <c r="G3473" s="88" t="str" cm="1">
        <f t="array" ref="G34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AND(F3473&gt;= DATE(2026,1,1), F3473&lt;= DATE(2028, 12, 31), J3473&gt;50000), "Pendente e Caro", AND(F3473&gt;= DATE(2026,1,1), F3473&lt;= DATE(2028, 12, 31), J3473&lt;=50000), "Pendente", F3473&gt;= DATE(2029,1,1), "Não prioeitário")</f>
        <v>Não prioeitário</v>
      </c>
      <c r="H3473" s="89">
        <f>YEAR(Tabela1[[#This Row],[Data de Validade]])</f>
        <v>2030</v>
      </c>
      <c r="I3473" s="89">
        <f>MONTH(Tabela1[[#This Row],[Data de Validade]])</f>
        <v>4</v>
      </c>
      <c r="J3473" s="101">
        <v>59586</v>
      </c>
      <c r="K3473" s="87" t="s">
        <v>7</v>
      </c>
      <c r="L3473" s="108"/>
      <c r="M3473" s="108"/>
      <c r="N3473" s="108" t="str">
        <v>P633H927</v>
      </c>
      <c r="O3473" s="108">
        <f t="shared" si="56"/>
        <v>1</v>
      </c>
      <c r="P3473" s="108"/>
      <c r="Q3473"/>
    </row>
    <row r="3474" spans="1:17" x14ac:dyDescent="0.25">
      <c r="A3474" s="89" t="s">
        <v>3722</v>
      </c>
      <c r="B3474" s="87" t="s">
        <v>3723</v>
      </c>
      <c r="C3474" s="87" t="s">
        <v>6</v>
      </c>
      <c r="D3474" s="87" t="str">
        <f>VLOOKUP(Tabela1[[#This Row],[Origem]], 'Perguntas 1 a 24'!$J$28:$K$34, 2, 0)</f>
        <v>Nordeste</v>
      </c>
      <c r="E3474" s="87" t="str">
        <f>Tabela1[[#This Row],[Descrição]]&amp;"-"&amp;Tabela1[[#This Row],[Código]]&amp;"/"&amp;Tabela1[[#This Row],[Origem]]</f>
        <v>Pogemuca-P444P639/MA</v>
      </c>
      <c r="F3474" s="88">
        <v>47580</v>
      </c>
      <c r="G3474" s="88" t="str" cm="1">
        <f t="array" ref="G34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AND(F3474&gt;= DATE(2026,1,1), F3474&lt;= DATE(2028, 12, 31), J3474&gt;50000), "Pendente e Caro", AND(F3474&gt;= DATE(2026,1,1), F3474&lt;= DATE(2028, 12, 31), J3474&lt;=50000), "Pendente", F3474&gt;= DATE(2029,1,1), "Não prioeitário")</f>
        <v>Não prioeitário</v>
      </c>
      <c r="H3474" s="89">
        <f>YEAR(Tabela1[[#This Row],[Data de Validade]])</f>
        <v>2030</v>
      </c>
      <c r="I3474" s="89">
        <f>MONTH(Tabela1[[#This Row],[Data de Validade]])</f>
        <v>4</v>
      </c>
      <c r="J3474" s="101">
        <v>59586</v>
      </c>
      <c r="K3474" s="87" t="s">
        <v>7</v>
      </c>
      <c r="L3474" s="108"/>
      <c r="M3474" s="108"/>
      <c r="N3474" s="108" t="str">
        <v>P929H144</v>
      </c>
      <c r="O3474" s="108">
        <f t="shared" si="56"/>
        <v>1</v>
      </c>
      <c r="P3474" s="108"/>
      <c r="Q3474"/>
    </row>
    <row r="3475" spans="1:17" x14ac:dyDescent="0.25">
      <c r="A3475" s="89" t="s">
        <v>3722</v>
      </c>
      <c r="B3475" s="87" t="s">
        <v>3723</v>
      </c>
      <c r="C3475" s="87" t="s">
        <v>6</v>
      </c>
      <c r="D3475" s="87" t="str">
        <f>VLOOKUP(Tabela1[[#This Row],[Origem]], 'Perguntas 1 a 24'!$J$28:$K$34, 2, 0)</f>
        <v>Nordeste</v>
      </c>
      <c r="E3475" s="87" t="str">
        <f>Tabela1[[#This Row],[Descrição]]&amp;"-"&amp;Tabela1[[#This Row],[Código]]&amp;"/"&amp;Tabela1[[#This Row],[Origem]]</f>
        <v>Pogemuca-P444P639/MA</v>
      </c>
      <c r="F3475" s="88">
        <v>47580</v>
      </c>
      <c r="G3475" s="88" t="str" cm="1">
        <f t="array" ref="G34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AND(F3475&gt;= DATE(2026,1,1), F3475&lt;= DATE(2028, 12, 31), J3475&gt;50000), "Pendente e Caro", AND(F3475&gt;= DATE(2026,1,1), F3475&lt;= DATE(2028, 12, 31), J3475&lt;=50000), "Pendente", F3475&gt;= DATE(2029,1,1), "Não prioeitário")</f>
        <v>Não prioeitário</v>
      </c>
      <c r="H3475" s="89">
        <f>YEAR(Tabela1[[#This Row],[Data de Validade]])</f>
        <v>2030</v>
      </c>
      <c r="I3475" s="89">
        <f>MONTH(Tabela1[[#This Row],[Data de Validade]])</f>
        <v>4</v>
      </c>
      <c r="J3475" s="101">
        <v>59586</v>
      </c>
      <c r="K3475" s="87" t="s">
        <v>7</v>
      </c>
      <c r="L3475" s="108"/>
      <c r="M3475" s="108"/>
      <c r="N3475" s="108" t="str">
        <v>P254P562</v>
      </c>
      <c r="O3475" s="108">
        <f t="shared" si="56"/>
        <v>1</v>
      </c>
      <c r="P3475" s="108"/>
      <c r="Q3475"/>
    </row>
    <row r="3476" spans="1:17" x14ac:dyDescent="0.25">
      <c r="A3476" s="89" t="s">
        <v>3722</v>
      </c>
      <c r="B3476" s="87" t="s">
        <v>3723</v>
      </c>
      <c r="C3476" s="87" t="s">
        <v>6</v>
      </c>
      <c r="D3476" s="87" t="str">
        <f>VLOOKUP(Tabela1[[#This Row],[Origem]], 'Perguntas 1 a 24'!$J$28:$K$34, 2, 0)</f>
        <v>Nordeste</v>
      </c>
      <c r="E3476" s="87" t="str">
        <f>Tabela1[[#This Row],[Descrição]]&amp;"-"&amp;Tabela1[[#This Row],[Código]]&amp;"/"&amp;Tabela1[[#This Row],[Origem]]</f>
        <v>Pogemuca-P444P639/MA</v>
      </c>
      <c r="F3476" s="88">
        <v>47580</v>
      </c>
      <c r="G3476" s="88" t="str" cm="1">
        <f t="array" ref="G34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AND(F3476&gt;= DATE(2026,1,1), F3476&lt;= DATE(2028, 12, 31), J3476&gt;50000), "Pendente e Caro", AND(F3476&gt;= DATE(2026,1,1), F3476&lt;= DATE(2028, 12, 31), J3476&lt;=50000), "Pendente", F3476&gt;= DATE(2029,1,1), "Não prioeitário")</f>
        <v>Não prioeitário</v>
      </c>
      <c r="H3476" s="89">
        <f>YEAR(Tabela1[[#This Row],[Data de Validade]])</f>
        <v>2030</v>
      </c>
      <c r="I3476" s="89">
        <f>MONTH(Tabela1[[#This Row],[Data de Validade]])</f>
        <v>4</v>
      </c>
      <c r="J3476" s="101">
        <v>59586</v>
      </c>
      <c r="K3476" s="87" t="s">
        <v>7</v>
      </c>
      <c r="L3476" s="108"/>
      <c r="M3476" s="108"/>
      <c r="N3476" s="108" t="str">
        <v>P498H685</v>
      </c>
      <c r="O3476" s="108">
        <f t="shared" si="56"/>
        <v>1</v>
      </c>
      <c r="P3476" s="108"/>
      <c r="Q3476"/>
    </row>
    <row r="3477" spans="1:17" x14ac:dyDescent="0.25">
      <c r="A3477" s="89" t="s">
        <v>4443</v>
      </c>
      <c r="B3477" s="87" t="s">
        <v>4444</v>
      </c>
      <c r="C3477" s="87" t="s">
        <v>15</v>
      </c>
      <c r="D3477" s="87" t="str">
        <f>VLOOKUP(Tabela1[[#This Row],[Origem]], 'Perguntas 1 a 24'!$J$28:$K$34, 2, 0)</f>
        <v>Sudeste</v>
      </c>
      <c r="E3477" s="87" t="str">
        <f>Tabela1[[#This Row],[Descrição]]&amp;"-"&amp;Tabela1[[#This Row],[Código]]&amp;"/"&amp;Tabela1[[#This Row],[Origem]]</f>
        <v>Purevu-H354P711/ES</v>
      </c>
      <c r="F3477" s="88">
        <v>47582</v>
      </c>
      <c r="G3477" s="88" t="str" cm="1">
        <f t="array" ref="G34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AND(F3477&gt;= DATE(2026,1,1), F3477&lt;= DATE(2028, 12, 31), J3477&gt;50000), "Pendente e Caro", AND(F3477&gt;= DATE(2026,1,1), F3477&lt;= DATE(2028, 12, 31), J3477&lt;=50000), "Pendente", F3477&gt;= DATE(2029,1,1), "Não prioeitário")</f>
        <v>Não prioeitário</v>
      </c>
      <c r="H3477" s="89">
        <f>YEAR(Tabela1[[#This Row],[Data de Validade]])</f>
        <v>2030</v>
      </c>
      <c r="I3477" s="89">
        <f>MONTH(Tabela1[[#This Row],[Data de Validade]])</f>
        <v>4</v>
      </c>
      <c r="J3477" s="101">
        <v>115843</v>
      </c>
      <c r="K3477" s="87" t="s">
        <v>11</v>
      </c>
      <c r="L3477" s="108"/>
      <c r="M3477" s="108"/>
      <c r="N3477" s="108" t="str">
        <v>P372H953</v>
      </c>
      <c r="O3477" s="108">
        <f t="shared" si="56"/>
        <v>1</v>
      </c>
      <c r="P3477" s="108"/>
      <c r="Q3477"/>
    </row>
    <row r="3478" spans="1:17" x14ac:dyDescent="0.25">
      <c r="A3478" s="89" t="s">
        <v>6444</v>
      </c>
      <c r="B3478" s="87" t="s">
        <v>6445</v>
      </c>
      <c r="C3478" s="87" t="s">
        <v>8</v>
      </c>
      <c r="D3478" s="87" t="str">
        <f>VLOOKUP(Tabela1[[#This Row],[Origem]], 'Perguntas 1 a 24'!$J$28:$K$34, 2, 0)</f>
        <v>Nordeste</v>
      </c>
      <c r="E3478" s="87" t="str">
        <f>Tabela1[[#This Row],[Descrição]]&amp;"-"&amp;Tabela1[[#This Row],[Código]]&amp;"/"&amp;Tabela1[[#This Row],[Origem]]</f>
        <v>Paputiga-P716P743/AL</v>
      </c>
      <c r="F3478" s="88">
        <v>47582</v>
      </c>
      <c r="G3478" s="88" t="str" cm="1">
        <f t="array" ref="G34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AND(F3478&gt;= DATE(2026,1,1), F3478&lt;= DATE(2028, 12, 31), J3478&gt;50000), "Pendente e Caro", AND(F3478&gt;= DATE(2026,1,1), F3478&lt;= DATE(2028, 12, 31), J3478&lt;=50000), "Pendente", F3478&gt;= DATE(2029,1,1), "Não prioeitário")</f>
        <v>Não prioeitário</v>
      </c>
      <c r="H3478" s="89">
        <f>YEAR(Tabela1[[#This Row],[Data de Validade]])</f>
        <v>2030</v>
      </c>
      <c r="I3478" s="89">
        <f>MONTH(Tabela1[[#This Row],[Data de Validade]])</f>
        <v>4</v>
      </c>
      <c r="J3478" s="101">
        <v>106425</v>
      </c>
      <c r="K3478" s="87" t="s">
        <v>7</v>
      </c>
      <c r="L3478" s="108"/>
      <c r="M3478" s="108"/>
      <c r="N3478" s="108" t="str">
        <v>P384H318</v>
      </c>
      <c r="O3478" s="108">
        <f t="shared" si="56"/>
        <v>1</v>
      </c>
      <c r="P3478" s="108"/>
      <c r="Q3478"/>
    </row>
    <row r="3479" spans="1:17" x14ac:dyDescent="0.25">
      <c r="A3479" s="89" t="s">
        <v>7960</v>
      </c>
      <c r="B3479" s="87" t="s">
        <v>7961</v>
      </c>
      <c r="C3479" s="87" t="s">
        <v>13</v>
      </c>
      <c r="D3479" s="87" t="str">
        <f>VLOOKUP(Tabela1[[#This Row],[Origem]], 'Perguntas 1 a 24'!$J$28:$K$34, 2, 0)</f>
        <v>Sudeste</v>
      </c>
      <c r="E3479" s="87" t="str">
        <f>Tabela1[[#This Row],[Descrição]]&amp;"-"&amp;Tabela1[[#This Row],[Código]]&amp;"/"&amp;Tabela1[[#This Row],[Origem]]</f>
        <v>Geravapi-H364P979/SP</v>
      </c>
      <c r="F3479" s="88">
        <v>47582</v>
      </c>
      <c r="G3479" s="88" t="str" cm="1">
        <f t="array" ref="G34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AND(F3479&gt;= DATE(2026,1,1), F3479&lt;= DATE(2028, 12, 31), J3479&gt;50000), "Pendente e Caro", AND(F3479&gt;= DATE(2026,1,1), F3479&lt;= DATE(2028, 12, 31), J3479&lt;=50000), "Pendente", F3479&gt;= DATE(2029,1,1), "Não prioeitário")</f>
        <v>Não prioeitário</v>
      </c>
      <c r="H3479" s="89">
        <f>YEAR(Tabela1[[#This Row],[Data de Validade]])</f>
        <v>2030</v>
      </c>
      <c r="I3479" s="89">
        <f>MONTH(Tabela1[[#This Row],[Data de Validade]])</f>
        <v>4</v>
      </c>
      <c r="J3479" s="101">
        <v>100353</v>
      </c>
      <c r="K3479" s="87" t="s">
        <v>9</v>
      </c>
      <c r="L3479" s="108"/>
      <c r="M3479" s="108"/>
      <c r="N3479" s="108" t="str">
        <v>H788P869</v>
      </c>
      <c r="O3479" s="108">
        <f t="shared" si="56"/>
        <v>1</v>
      </c>
      <c r="P3479" s="108"/>
      <c r="Q3479"/>
    </row>
    <row r="3480" spans="1:17" x14ac:dyDescent="0.25">
      <c r="A3480" s="89" t="s">
        <v>5444</v>
      </c>
      <c r="B3480" s="87" t="s">
        <v>5445</v>
      </c>
      <c r="C3480" s="87" t="s">
        <v>8</v>
      </c>
      <c r="D3480" s="87" t="str">
        <f>VLOOKUP(Tabela1[[#This Row],[Origem]], 'Perguntas 1 a 24'!$J$28:$K$34, 2, 0)</f>
        <v>Nordeste</v>
      </c>
      <c r="E3480" s="87" t="str">
        <f>Tabela1[[#This Row],[Descrição]]&amp;"-"&amp;Tabela1[[#This Row],[Código]]&amp;"/"&amp;Tabela1[[#This Row],[Origem]]</f>
        <v>Peruface-P121H423/AL</v>
      </c>
      <c r="F3480" s="88">
        <v>47582</v>
      </c>
      <c r="G3480" s="88" t="str" cm="1">
        <f t="array" ref="G34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AND(F3480&gt;= DATE(2026,1,1), F3480&lt;= DATE(2028, 12, 31), J3480&gt;50000), "Pendente e Caro", AND(F3480&gt;= DATE(2026,1,1), F3480&lt;= DATE(2028, 12, 31), J3480&lt;=50000), "Pendente", F3480&gt;= DATE(2029,1,1), "Não prioeitário")</f>
        <v>Não prioeitário</v>
      </c>
      <c r="H3480" s="89">
        <f>YEAR(Tabela1[[#This Row],[Data de Validade]])</f>
        <v>2030</v>
      </c>
      <c r="I3480" s="89">
        <f>MONTH(Tabela1[[#This Row],[Data de Validade]])</f>
        <v>4</v>
      </c>
      <c r="J3480" s="101">
        <v>82871</v>
      </c>
      <c r="K3480" s="87" t="s">
        <v>14</v>
      </c>
      <c r="L3480" s="108"/>
      <c r="M3480" s="108"/>
      <c r="N3480" s="108" t="str">
        <v>P397P877</v>
      </c>
      <c r="O3480" s="108">
        <f t="shared" si="56"/>
        <v>1</v>
      </c>
      <c r="P3480" s="108"/>
      <c r="Q3480"/>
    </row>
    <row r="3481" spans="1:17" x14ac:dyDescent="0.25">
      <c r="A3481" s="89" t="s">
        <v>8526</v>
      </c>
      <c r="B3481" s="87" t="s">
        <v>8527</v>
      </c>
      <c r="C3481" s="87" t="s">
        <v>6</v>
      </c>
      <c r="D3481" s="87" t="str">
        <f>VLOOKUP(Tabela1[[#This Row],[Origem]], 'Perguntas 1 a 24'!$J$28:$K$34, 2, 0)</f>
        <v>Nordeste</v>
      </c>
      <c r="E3481" s="87" t="str">
        <f>Tabela1[[#This Row],[Descrição]]&amp;"-"&amp;Tabela1[[#This Row],[Código]]&amp;"/"&amp;Tabela1[[#This Row],[Origem]]</f>
        <v>Vetacocemi-P622H678/MA</v>
      </c>
      <c r="F3481" s="88">
        <v>47583</v>
      </c>
      <c r="G3481" s="88" t="str" cm="1">
        <f t="array" ref="G34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AND(F3481&gt;= DATE(2026,1,1), F3481&lt;= DATE(2028, 12, 31), J3481&gt;50000), "Pendente e Caro", AND(F3481&gt;= DATE(2026,1,1), F3481&lt;= DATE(2028, 12, 31), J3481&lt;=50000), "Pendente", F3481&gt;= DATE(2029,1,1), "Não prioeitário")</f>
        <v>Não prioeitário</v>
      </c>
      <c r="H3481" s="89">
        <f>YEAR(Tabela1[[#This Row],[Data de Validade]])</f>
        <v>2030</v>
      </c>
      <c r="I3481" s="89">
        <f>MONTH(Tabela1[[#This Row],[Data de Validade]])</f>
        <v>4</v>
      </c>
      <c r="J3481" s="101">
        <v>76219</v>
      </c>
      <c r="K3481" s="87" t="s">
        <v>9</v>
      </c>
      <c r="L3481" s="108"/>
      <c r="M3481" s="108"/>
      <c r="N3481" s="108" t="str">
        <v>P685H225</v>
      </c>
      <c r="O3481" s="108">
        <f t="shared" si="56"/>
        <v>1</v>
      </c>
      <c r="P3481" s="108"/>
      <c r="Q3481"/>
    </row>
    <row r="3482" spans="1:17" x14ac:dyDescent="0.25">
      <c r="A3482" s="89" t="s">
        <v>7098</v>
      </c>
      <c r="B3482" s="87" t="s">
        <v>7099</v>
      </c>
      <c r="C3482" s="87" t="s">
        <v>15</v>
      </c>
      <c r="D3482" s="87" t="str">
        <f>VLOOKUP(Tabela1[[#This Row],[Origem]], 'Perguntas 1 a 24'!$J$28:$K$34, 2, 0)</f>
        <v>Sudeste</v>
      </c>
      <c r="E3482" s="87" t="str">
        <f>Tabela1[[#This Row],[Descrição]]&amp;"-"&amp;Tabela1[[#This Row],[Código]]&amp;"/"&amp;Tabela1[[#This Row],[Origem]]</f>
        <v>Gafico-H126P766/ES</v>
      </c>
      <c r="F3482" s="88">
        <v>47584</v>
      </c>
      <c r="G3482" s="88" t="str" cm="1">
        <f t="array" ref="G34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AND(F3482&gt;= DATE(2026,1,1), F3482&lt;= DATE(2028, 12, 31), J3482&gt;50000), "Pendente e Caro", AND(F3482&gt;= DATE(2026,1,1), F3482&lt;= DATE(2028, 12, 31), J3482&lt;=50000), "Pendente", F3482&gt;= DATE(2029,1,1), "Não prioeitário")</f>
        <v>Não prioeitário</v>
      </c>
      <c r="H3482" s="89">
        <f>YEAR(Tabela1[[#This Row],[Data de Validade]])</f>
        <v>2030</v>
      </c>
      <c r="I3482" s="89">
        <f>MONTH(Tabela1[[#This Row],[Data de Validade]])</f>
        <v>4</v>
      </c>
      <c r="J3482" s="101">
        <v>118431</v>
      </c>
      <c r="K3482" s="87" t="s">
        <v>7</v>
      </c>
      <c r="L3482" s="108"/>
      <c r="M3482" s="108"/>
      <c r="N3482" s="108" t="str">
        <v>H282H737</v>
      </c>
      <c r="O3482" s="108">
        <f t="shared" si="56"/>
        <v>1</v>
      </c>
      <c r="P3482" s="108"/>
      <c r="Q3482"/>
    </row>
    <row r="3483" spans="1:17" x14ac:dyDescent="0.25">
      <c r="A3483" s="89" t="s">
        <v>8236</v>
      </c>
      <c r="B3483" s="87" t="s">
        <v>8237</v>
      </c>
      <c r="C3483" s="87" t="s">
        <v>6</v>
      </c>
      <c r="D3483" s="87" t="str">
        <f>VLOOKUP(Tabela1[[#This Row],[Origem]], 'Perguntas 1 a 24'!$J$28:$K$34, 2, 0)</f>
        <v>Nordeste</v>
      </c>
      <c r="E3483" s="87" t="str">
        <f>Tabela1[[#This Row],[Descrição]]&amp;"-"&amp;Tabela1[[#This Row],[Código]]&amp;"/"&amp;Tabela1[[#This Row],[Origem]]</f>
        <v>Ramiro-P658H527/MA</v>
      </c>
      <c r="F3483" s="88">
        <v>47586</v>
      </c>
      <c r="G3483" s="88" t="str" cm="1">
        <f t="array" ref="G34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AND(F3483&gt;= DATE(2026,1,1), F3483&lt;= DATE(2028, 12, 31), J3483&gt;50000), "Pendente e Caro", AND(F3483&gt;= DATE(2026,1,1), F3483&lt;= DATE(2028, 12, 31), J3483&lt;=50000), "Pendente", F3483&gt;= DATE(2029,1,1), "Não prioeitário")</f>
        <v>Não prioeitário</v>
      </c>
      <c r="H3483" s="89">
        <f>YEAR(Tabela1[[#This Row],[Data de Validade]])</f>
        <v>2030</v>
      </c>
      <c r="I3483" s="89">
        <f>MONTH(Tabela1[[#This Row],[Data de Validade]])</f>
        <v>4</v>
      </c>
      <c r="J3483" s="101">
        <v>104391</v>
      </c>
      <c r="K3483" s="87" t="s">
        <v>7</v>
      </c>
      <c r="L3483" s="108"/>
      <c r="M3483" s="108"/>
      <c r="N3483" s="108" t="str">
        <v>P496H156</v>
      </c>
      <c r="O3483" s="108">
        <f t="shared" si="56"/>
        <v>1</v>
      </c>
      <c r="P3483" s="108"/>
      <c r="Q3483"/>
    </row>
    <row r="3484" spans="1:17" x14ac:dyDescent="0.25">
      <c r="A3484" s="89" t="s">
        <v>7710</v>
      </c>
      <c r="B3484" s="87" t="s">
        <v>7711</v>
      </c>
      <c r="C3484" s="87" t="s">
        <v>10</v>
      </c>
      <c r="D3484" s="87" t="str">
        <f>VLOOKUP(Tabela1[[#This Row],[Origem]], 'Perguntas 1 a 24'!$J$28:$K$34, 2, 0)</f>
        <v>Centro-Oeste</v>
      </c>
      <c r="E3484" s="87" t="str">
        <f>Tabela1[[#This Row],[Descrição]]&amp;"-"&amp;Tabela1[[#This Row],[Código]]&amp;"/"&amp;Tabela1[[#This Row],[Origem]]</f>
        <v>Nocuto-P844H378/GO</v>
      </c>
      <c r="F3484" s="88">
        <v>47587</v>
      </c>
      <c r="G3484" s="88" t="str" cm="1">
        <f t="array" ref="G34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AND(F3484&gt;= DATE(2026,1,1), F3484&lt;= DATE(2028, 12, 31), J3484&gt;50000), "Pendente e Caro", AND(F3484&gt;= DATE(2026,1,1), F3484&lt;= DATE(2028, 12, 31), J3484&lt;=50000), "Pendente", F3484&gt;= DATE(2029,1,1), "Não prioeitário")</f>
        <v>Não prioeitário</v>
      </c>
      <c r="H3484" s="89">
        <f>YEAR(Tabela1[[#This Row],[Data de Validade]])</f>
        <v>2030</v>
      </c>
      <c r="I3484" s="89">
        <f>MONTH(Tabela1[[#This Row],[Data de Validade]])</f>
        <v>4</v>
      </c>
      <c r="J3484" s="101">
        <v>80779</v>
      </c>
      <c r="K3484" s="87" t="s">
        <v>9</v>
      </c>
      <c r="L3484" s="108"/>
      <c r="M3484" s="108"/>
      <c r="N3484" s="108" t="str">
        <v>P944H434</v>
      </c>
      <c r="O3484" s="108">
        <f t="shared" si="56"/>
        <v>1</v>
      </c>
      <c r="P3484" s="108"/>
      <c r="Q3484"/>
    </row>
    <row r="3485" spans="1:17" x14ac:dyDescent="0.25">
      <c r="A3485" s="89" t="s">
        <v>8074</v>
      </c>
      <c r="B3485" s="87" t="s">
        <v>8075</v>
      </c>
      <c r="C3485" s="87" t="s">
        <v>12</v>
      </c>
      <c r="D3485" s="87" t="str">
        <f>VLOOKUP(Tabela1[[#This Row],[Origem]], 'Perguntas 1 a 24'!$J$28:$K$34, 2, 0)</f>
        <v>Sudeste</v>
      </c>
      <c r="E3485" s="87" t="str">
        <f>Tabela1[[#This Row],[Descrição]]&amp;"-"&amp;Tabela1[[#This Row],[Código]]&amp;"/"&amp;Tabela1[[#This Row],[Origem]]</f>
        <v>Cerecede-P692P413/RJ</v>
      </c>
      <c r="F3485" s="88">
        <v>47587</v>
      </c>
      <c r="G3485" s="88" t="str" cm="1">
        <f t="array" ref="G34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AND(F3485&gt;= DATE(2026,1,1), F3485&lt;= DATE(2028, 12, 31), J3485&gt;50000), "Pendente e Caro", AND(F3485&gt;= DATE(2026,1,1), F3485&lt;= DATE(2028, 12, 31), J3485&lt;=50000), "Pendente", F3485&gt;= DATE(2029,1,1), "Não prioeitário")</f>
        <v>Não prioeitário</v>
      </c>
      <c r="H3485" s="89">
        <f>YEAR(Tabela1[[#This Row],[Data de Validade]])</f>
        <v>2030</v>
      </c>
      <c r="I3485" s="89">
        <f>MONTH(Tabela1[[#This Row],[Data de Validade]])</f>
        <v>4</v>
      </c>
      <c r="J3485" s="101">
        <v>27290</v>
      </c>
      <c r="K3485" s="87" t="s">
        <v>14</v>
      </c>
      <c r="L3485" s="108"/>
      <c r="M3485" s="108"/>
      <c r="N3485" s="108" t="str">
        <v>H518H966</v>
      </c>
      <c r="O3485" s="108">
        <f t="shared" si="56"/>
        <v>1</v>
      </c>
      <c r="P3485" s="108"/>
      <c r="Q3485"/>
    </row>
    <row r="3486" spans="1:17" x14ac:dyDescent="0.25">
      <c r="A3486" s="89" t="s">
        <v>4459</v>
      </c>
      <c r="B3486" s="87" t="s">
        <v>4460</v>
      </c>
      <c r="C3486" s="87" t="s">
        <v>12</v>
      </c>
      <c r="D3486" s="87" t="str">
        <f>VLOOKUP(Tabela1[[#This Row],[Origem]], 'Perguntas 1 a 24'!$J$28:$K$34, 2, 0)</f>
        <v>Sudeste</v>
      </c>
      <c r="E3486" s="87" t="str">
        <f>Tabela1[[#This Row],[Descrição]]&amp;"-"&amp;Tabela1[[#This Row],[Código]]&amp;"/"&amp;Tabela1[[#This Row],[Origem]]</f>
        <v>Metapagara-P633H927/RJ</v>
      </c>
      <c r="F3486" s="88">
        <v>47588</v>
      </c>
      <c r="G3486" s="88" t="str" cm="1">
        <f t="array" ref="G34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AND(F3486&gt;= DATE(2026,1,1), F3486&lt;= DATE(2028, 12, 31), J3486&gt;50000), "Pendente e Caro", AND(F3486&gt;= DATE(2026,1,1), F3486&lt;= DATE(2028, 12, 31), J3486&lt;=50000), "Pendente", F3486&gt;= DATE(2029,1,1), "Não prioeitário")</f>
        <v>Não prioeitário</v>
      </c>
      <c r="H3486" s="89">
        <f>YEAR(Tabela1[[#This Row],[Data de Validade]])</f>
        <v>2030</v>
      </c>
      <c r="I3486" s="89">
        <f>MONTH(Tabela1[[#This Row],[Data de Validade]])</f>
        <v>4</v>
      </c>
      <c r="J3486" s="101">
        <v>71810</v>
      </c>
      <c r="K3486" s="87" t="s">
        <v>14</v>
      </c>
      <c r="L3486" s="108"/>
      <c r="M3486" s="108"/>
      <c r="N3486" s="108" t="str">
        <v>H445H819</v>
      </c>
      <c r="O3486" s="108">
        <f t="shared" si="56"/>
        <v>1</v>
      </c>
      <c r="P3486" s="108"/>
      <c r="Q3486"/>
    </row>
    <row r="3487" spans="1:17" x14ac:dyDescent="0.25">
      <c r="A3487" s="89" t="s">
        <v>7158</v>
      </c>
      <c r="B3487" s="87" t="s">
        <v>7159</v>
      </c>
      <c r="C3487" s="87" t="s">
        <v>15</v>
      </c>
      <c r="D3487" s="87" t="str">
        <f>VLOOKUP(Tabela1[[#This Row],[Origem]], 'Perguntas 1 a 24'!$J$28:$K$34, 2, 0)</f>
        <v>Sudeste</v>
      </c>
      <c r="E3487" s="87" t="str">
        <f>Tabela1[[#This Row],[Descrição]]&amp;"-"&amp;Tabela1[[#This Row],[Código]]&amp;"/"&amp;Tabela1[[#This Row],[Origem]]</f>
        <v>Petecipu-P929H144/ES</v>
      </c>
      <c r="F3487" s="88">
        <v>47589</v>
      </c>
      <c r="G3487" s="88" t="str" cm="1">
        <f t="array" ref="G34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AND(F3487&gt;= DATE(2026,1,1), F3487&lt;= DATE(2028, 12, 31), J3487&gt;50000), "Pendente e Caro", AND(F3487&gt;= DATE(2026,1,1), F3487&lt;= DATE(2028, 12, 31), J3487&lt;=50000), "Pendente", F3487&gt;= DATE(2029,1,1), "Não prioeitário")</f>
        <v>Não prioeitário</v>
      </c>
      <c r="H3487" s="89">
        <f>YEAR(Tabela1[[#This Row],[Data de Validade]])</f>
        <v>2030</v>
      </c>
      <c r="I3487" s="89">
        <f>MONTH(Tabela1[[#This Row],[Data de Validade]])</f>
        <v>4</v>
      </c>
      <c r="J3487" s="101">
        <v>21273</v>
      </c>
      <c r="K3487" s="87" t="s">
        <v>7</v>
      </c>
      <c r="L3487" s="108"/>
      <c r="M3487" s="108"/>
      <c r="N3487" s="108" t="str">
        <v>P859P477</v>
      </c>
      <c r="O3487" s="108">
        <f t="shared" si="56"/>
        <v>1</v>
      </c>
      <c r="P3487" s="108"/>
      <c r="Q3487"/>
    </row>
    <row r="3488" spans="1:17" x14ac:dyDescent="0.25">
      <c r="A3488" s="89" t="s">
        <v>9895</v>
      </c>
      <c r="B3488" s="87" t="s">
        <v>9896</v>
      </c>
      <c r="C3488" s="87" t="s">
        <v>10</v>
      </c>
      <c r="D3488" s="87" t="str">
        <f>VLOOKUP(Tabela1[[#This Row],[Origem]], 'Perguntas 1 a 24'!$J$28:$K$34, 2, 0)</f>
        <v>Centro-Oeste</v>
      </c>
      <c r="E3488" s="87" t="str">
        <f>Tabela1[[#This Row],[Descrição]]&amp;"-"&amp;Tabela1[[#This Row],[Código]]&amp;"/"&amp;Tabela1[[#This Row],[Origem]]</f>
        <v>Napotade-P254P562/GO</v>
      </c>
      <c r="F3488" s="88">
        <v>47590</v>
      </c>
      <c r="G3488" s="88" t="str" cm="1">
        <f t="array" ref="G34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AND(F3488&gt;= DATE(2026,1,1), F3488&lt;= DATE(2028, 12, 31), J3488&gt;50000), "Pendente e Caro", AND(F3488&gt;= DATE(2026,1,1), F3488&lt;= DATE(2028, 12, 31), J3488&lt;=50000), "Pendente", F3488&gt;= DATE(2029,1,1), "Não prioeitário")</f>
        <v>Não prioeitário</v>
      </c>
      <c r="H3488" s="89">
        <f>YEAR(Tabela1[[#This Row],[Data de Validade]])</f>
        <v>2030</v>
      </c>
      <c r="I3488" s="89">
        <f>MONTH(Tabela1[[#This Row],[Data de Validade]])</f>
        <v>4</v>
      </c>
      <c r="J3488" s="101">
        <v>100724</v>
      </c>
      <c r="K3488" s="87" t="s">
        <v>7</v>
      </c>
      <c r="L3488" s="108"/>
      <c r="M3488" s="108"/>
      <c r="N3488" s="108" t="str">
        <v>H893P286</v>
      </c>
      <c r="O3488" s="108">
        <f t="shared" si="56"/>
        <v>1</v>
      </c>
      <c r="P3488" s="108"/>
      <c r="Q3488"/>
    </row>
    <row r="3489" spans="1:17" x14ac:dyDescent="0.25">
      <c r="A3489" s="89" t="s">
        <v>4800</v>
      </c>
      <c r="B3489" s="87" t="s">
        <v>4801</v>
      </c>
      <c r="C3489" s="87" t="s">
        <v>16</v>
      </c>
      <c r="D3489" s="87" t="str">
        <f>VLOOKUP(Tabela1[[#This Row],[Origem]], 'Perguntas 1 a 24'!$J$28:$K$34, 2, 0)</f>
        <v>Sudeste</v>
      </c>
      <c r="E3489" s="87" t="str">
        <f>Tabela1[[#This Row],[Descrição]]&amp;"-"&amp;Tabela1[[#This Row],[Código]]&amp;"/"&amp;Tabela1[[#This Row],[Origem]]</f>
        <v>Ripeporepu-P498H685/MG</v>
      </c>
      <c r="F3489" s="88">
        <v>47591</v>
      </c>
      <c r="G3489" s="88" t="str" cm="1">
        <f t="array" ref="G34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AND(F3489&gt;= DATE(2026,1,1), F3489&lt;= DATE(2028, 12, 31), J3489&gt;50000), "Pendente e Caro", AND(F3489&gt;= DATE(2026,1,1), F3489&lt;= DATE(2028, 12, 31), J3489&lt;=50000), "Pendente", F3489&gt;= DATE(2029,1,1), "Não prioeitário")</f>
        <v>Não prioeitário</v>
      </c>
      <c r="H3489" s="89">
        <f>YEAR(Tabela1[[#This Row],[Data de Validade]])</f>
        <v>2030</v>
      </c>
      <c r="I3489" s="89">
        <f>MONTH(Tabela1[[#This Row],[Data de Validade]])</f>
        <v>4</v>
      </c>
      <c r="J3489" s="101">
        <v>96662</v>
      </c>
      <c r="K3489" s="87" t="s">
        <v>7</v>
      </c>
      <c r="L3489" s="108"/>
      <c r="M3489" s="108"/>
      <c r="N3489" s="108" t="str">
        <v>P439P921</v>
      </c>
      <c r="O3489" s="108">
        <f t="shared" si="56"/>
        <v>1</v>
      </c>
      <c r="P3489" s="108"/>
      <c r="Q3489"/>
    </row>
    <row r="3490" spans="1:17" x14ac:dyDescent="0.25">
      <c r="A3490" s="89" t="s">
        <v>5328</v>
      </c>
      <c r="B3490" s="87" t="s">
        <v>5329</v>
      </c>
      <c r="C3490" s="87" t="s">
        <v>6</v>
      </c>
      <c r="D3490" s="87" t="str">
        <f>VLOOKUP(Tabela1[[#This Row],[Origem]], 'Perguntas 1 a 24'!$J$28:$K$34, 2, 0)</f>
        <v>Nordeste</v>
      </c>
      <c r="E3490" s="87" t="str">
        <f>Tabela1[[#This Row],[Descrição]]&amp;"-"&amp;Tabela1[[#This Row],[Código]]&amp;"/"&amp;Tabela1[[#This Row],[Origem]]</f>
        <v>Cepogevado-P372H953/MA</v>
      </c>
      <c r="F3490" s="88">
        <v>47592</v>
      </c>
      <c r="G3490" s="88" t="str" cm="1">
        <f t="array" ref="G34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AND(F3490&gt;= DATE(2026,1,1), F3490&lt;= DATE(2028, 12, 31), J3490&gt;50000), "Pendente e Caro", AND(F3490&gt;= DATE(2026,1,1), F3490&lt;= DATE(2028, 12, 31), J3490&lt;=50000), "Pendente", F3490&gt;= DATE(2029,1,1), "Não prioeitário")</f>
        <v>Não prioeitário</v>
      </c>
      <c r="H3490" s="89">
        <f>YEAR(Tabela1[[#This Row],[Data de Validade]])</f>
        <v>2030</v>
      </c>
      <c r="I3490" s="89">
        <f>MONTH(Tabela1[[#This Row],[Data de Validade]])</f>
        <v>4</v>
      </c>
      <c r="J3490" s="101">
        <v>111778</v>
      </c>
      <c r="K3490" s="87" t="s">
        <v>11</v>
      </c>
      <c r="L3490" s="108"/>
      <c r="M3490" s="108"/>
      <c r="N3490" s="108" t="str">
        <v>P444H756</v>
      </c>
      <c r="O3490" s="108">
        <f t="shared" si="56"/>
        <v>1</v>
      </c>
      <c r="P3490" s="108"/>
      <c r="Q3490"/>
    </row>
    <row r="3491" spans="1:17" x14ac:dyDescent="0.25">
      <c r="A3491" s="89" t="s">
        <v>5512</v>
      </c>
      <c r="B3491" s="87" t="s">
        <v>5513</v>
      </c>
      <c r="C3491" s="87" t="s">
        <v>10</v>
      </c>
      <c r="D3491" s="87" t="str">
        <f>VLOOKUP(Tabela1[[#This Row],[Origem]], 'Perguntas 1 a 24'!$J$28:$K$34, 2, 0)</f>
        <v>Centro-Oeste</v>
      </c>
      <c r="E3491" s="87" t="str">
        <f>Tabela1[[#This Row],[Descrição]]&amp;"-"&amp;Tabela1[[#This Row],[Código]]&amp;"/"&amp;Tabela1[[#This Row],[Origem]]</f>
        <v>Gilitimepe-P384H318/GO</v>
      </c>
      <c r="F3491" s="88">
        <v>47592</v>
      </c>
      <c r="G3491" s="88" t="str" cm="1">
        <f t="array" ref="G34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AND(F3491&gt;= DATE(2026,1,1), F3491&lt;= DATE(2028, 12, 31), J3491&gt;50000), "Pendente e Caro", AND(F3491&gt;= DATE(2026,1,1), F3491&lt;= DATE(2028, 12, 31), J3491&lt;=50000), "Pendente", F3491&gt;= DATE(2029,1,1), "Não prioeitário")</f>
        <v>Não prioeitário</v>
      </c>
      <c r="H3491" s="89">
        <f>YEAR(Tabela1[[#This Row],[Data de Validade]])</f>
        <v>2030</v>
      </c>
      <c r="I3491" s="89">
        <f>MONTH(Tabela1[[#This Row],[Data de Validade]])</f>
        <v>4</v>
      </c>
      <c r="J3491" s="101">
        <v>53393</v>
      </c>
      <c r="K3491" s="87" t="s">
        <v>9</v>
      </c>
      <c r="L3491" s="108"/>
      <c r="M3491" s="108"/>
      <c r="N3491" s="108" t="str">
        <v>P723H231</v>
      </c>
      <c r="O3491" s="108">
        <f t="shared" si="56"/>
        <v>1</v>
      </c>
      <c r="P3491" s="108"/>
      <c r="Q3491"/>
    </row>
    <row r="3492" spans="1:17" x14ac:dyDescent="0.25">
      <c r="A3492" s="89" t="s">
        <v>4718</v>
      </c>
      <c r="B3492" s="87" t="s">
        <v>4719</v>
      </c>
      <c r="C3492" s="87" t="s">
        <v>15</v>
      </c>
      <c r="D3492" s="87" t="str">
        <f>VLOOKUP(Tabela1[[#This Row],[Origem]], 'Perguntas 1 a 24'!$J$28:$K$34, 2, 0)</f>
        <v>Sudeste</v>
      </c>
      <c r="E3492" s="87" t="str">
        <f>Tabela1[[#This Row],[Descrição]]&amp;"-"&amp;Tabela1[[#This Row],[Código]]&amp;"/"&amp;Tabela1[[#This Row],[Origem]]</f>
        <v>Valoretegu-H788P869/ES</v>
      </c>
      <c r="F3492" s="88">
        <v>47592</v>
      </c>
      <c r="G3492" s="88" t="str" cm="1">
        <f t="array" ref="G34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AND(F3492&gt;= DATE(2026,1,1), F3492&lt;= DATE(2028, 12, 31), J3492&gt;50000), "Pendente e Caro", AND(F3492&gt;= DATE(2026,1,1), F3492&lt;= DATE(2028, 12, 31), J3492&lt;=50000), "Pendente", F3492&gt;= DATE(2029,1,1), "Não prioeitário")</f>
        <v>Não prioeitário</v>
      </c>
      <c r="H3492" s="89">
        <f>YEAR(Tabela1[[#This Row],[Data de Validade]])</f>
        <v>2030</v>
      </c>
      <c r="I3492" s="89">
        <f>MONTH(Tabela1[[#This Row],[Data de Validade]])</f>
        <v>4</v>
      </c>
      <c r="J3492" s="101">
        <v>33106</v>
      </c>
      <c r="K3492" s="87" t="s">
        <v>11</v>
      </c>
      <c r="L3492" s="108"/>
      <c r="M3492" s="108"/>
      <c r="N3492" s="108" t="str">
        <v>P172P334</v>
      </c>
      <c r="O3492" s="108">
        <f t="shared" si="56"/>
        <v>1</v>
      </c>
      <c r="P3492" s="108"/>
      <c r="Q3492"/>
    </row>
    <row r="3493" spans="1:17" x14ac:dyDescent="0.25">
      <c r="A3493" s="89" t="s">
        <v>7654</v>
      </c>
      <c r="B3493" s="87" t="s">
        <v>7655</v>
      </c>
      <c r="C3493" s="87" t="s">
        <v>6</v>
      </c>
      <c r="D3493" s="87" t="str">
        <f>VLOOKUP(Tabela1[[#This Row],[Origem]], 'Perguntas 1 a 24'!$J$28:$K$34, 2, 0)</f>
        <v>Nordeste</v>
      </c>
      <c r="E3493" s="87" t="str">
        <f>Tabela1[[#This Row],[Descrição]]&amp;"-"&amp;Tabela1[[#This Row],[Código]]&amp;"/"&amp;Tabela1[[#This Row],[Origem]]</f>
        <v>Culide-P397P877/MA</v>
      </c>
      <c r="F3493" s="88">
        <v>47592</v>
      </c>
      <c r="G3493" s="88" t="str" cm="1">
        <f t="array" ref="G34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AND(F3493&gt;= DATE(2026,1,1), F3493&lt;= DATE(2028, 12, 31), J3493&gt;50000), "Pendente e Caro", AND(F3493&gt;= DATE(2026,1,1), F3493&lt;= DATE(2028, 12, 31), J3493&lt;=50000), "Pendente", F3493&gt;= DATE(2029,1,1), "Não prioeitário")</f>
        <v>Não prioeitário</v>
      </c>
      <c r="H3493" s="89">
        <f>YEAR(Tabela1[[#This Row],[Data de Validade]])</f>
        <v>2030</v>
      </c>
      <c r="I3493" s="89">
        <f>MONTH(Tabela1[[#This Row],[Data de Validade]])</f>
        <v>4</v>
      </c>
      <c r="J3493" s="101">
        <v>27411</v>
      </c>
      <c r="K3493" s="87" t="s">
        <v>9</v>
      </c>
      <c r="L3493" s="108"/>
      <c r="M3493" s="108"/>
      <c r="N3493" s="108" t="str">
        <v>P867H739</v>
      </c>
      <c r="O3493" s="108">
        <f t="shared" si="56"/>
        <v>1</v>
      </c>
      <c r="P3493" s="108"/>
      <c r="Q3493"/>
    </row>
    <row r="3494" spans="1:17" x14ac:dyDescent="0.25">
      <c r="A3494" s="89" t="s">
        <v>7866</v>
      </c>
      <c r="B3494" s="87" t="s">
        <v>7867</v>
      </c>
      <c r="C3494" s="87" t="s">
        <v>8</v>
      </c>
      <c r="D3494" s="87" t="str">
        <f>VLOOKUP(Tabela1[[#This Row],[Origem]], 'Perguntas 1 a 24'!$J$28:$K$34, 2, 0)</f>
        <v>Nordeste</v>
      </c>
      <c r="E3494" s="87" t="str">
        <f>Tabela1[[#This Row],[Descrição]]&amp;"-"&amp;Tabela1[[#This Row],[Código]]&amp;"/"&amp;Tabela1[[#This Row],[Origem]]</f>
        <v>Maretidi-P685H225/AL</v>
      </c>
      <c r="F3494" s="88">
        <v>47594</v>
      </c>
      <c r="G3494" s="88" t="str" cm="1">
        <f t="array" ref="G34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AND(F3494&gt;= DATE(2026,1,1), F3494&lt;= DATE(2028, 12, 31), J3494&gt;50000), "Pendente e Caro", AND(F3494&gt;= DATE(2026,1,1), F3494&lt;= DATE(2028, 12, 31), J3494&lt;=50000), "Pendente", F3494&gt;= DATE(2029,1,1), "Não prioeitário")</f>
        <v>Não prioeitário</v>
      </c>
      <c r="H3494" s="89">
        <f>YEAR(Tabela1[[#This Row],[Data de Validade]])</f>
        <v>2030</v>
      </c>
      <c r="I3494" s="89">
        <f>MONTH(Tabela1[[#This Row],[Data de Validade]])</f>
        <v>4</v>
      </c>
      <c r="J3494" s="101">
        <v>56918</v>
      </c>
      <c r="K3494" s="87" t="s">
        <v>9</v>
      </c>
      <c r="L3494" s="108"/>
      <c r="M3494" s="108"/>
      <c r="N3494" s="108" t="str">
        <v>P146H467</v>
      </c>
      <c r="O3494" s="108">
        <f t="shared" si="56"/>
        <v>1</v>
      </c>
      <c r="P3494" s="108"/>
      <c r="Q3494"/>
    </row>
    <row r="3495" spans="1:17" x14ac:dyDescent="0.25">
      <c r="A3495" s="89" t="s">
        <v>11194</v>
      </c>
      <c r="B3495" s="87" t="s">
        <v>11195</v>
      </c>
      <c r="C3495" s="87" t="s">
        <v>12</v>
      </c>
      <c r="D3495" s="87" t="str">
        <f>VLOOKUP(Tabela1[[#This Row],[Origem]], 'Perguntas 1 a 24'!$J$28:$K$34, 2, 0)</f>
        <v>Sudeste</v>
      </c>
      <c r="E3495" s="87" t="str">
        <f>Tabela1[[#This Row],[Descrição]]&amp;"-"&amp;Tabela1[[#This Row],[Código]]&amp;"/"&amp;Tabela1[[#This Row],[Origem]]</f>
        <v>Porofe-H282H737/RJ</v>
      </c>
      <c r="F3495" s="88">
        <v>47595</v>
      </c>
      <c r="G3495" s="88" t="str" cm="1">
        <f t="array" ref="G34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AND(F3495&gt;= DATE(2026,1,1), F3495&lt;= DATE(2028, 12, 31), J3495&gt;50000), "Pendente e Caro", AND(F3495&gt;= DATE(2026,1,1), F3495&lt;= DATE(2028, 12, 31), J3495&lt;=50000), "Pendente", F3495&gt;= DATE(2029,1,1), "Não prioeitário")</f>
        <v>Não prioeitário</v>
      </c>
      <c r="H3495" s="89">
        <f>YEAR(Tabela1[[#This Row],[Data de Validade]])</f>
        <v>2030</v>
      </c>
      <c r="I3495" s="89">
        <f>MONTH(Tabela1[[#This Row],[Data de Validade]])</f>
        <v>4</v>
      </c>
      <c r="J3495" s="101">
        <v>41411</v>
      </c>
      <c r="K3495" s="87" t="s">
        <v>9</v>
      </c>
      <c r="L3495" s="108"/>
      <c r="M3495" s="108"/>
      <c r="N3495" s="108" t="str">
        <v>H646H892</v>
      </c>
      <c r="O3495" s="108">
        <f t="shared" si="56"/>
        <v>1</v>
      </c>
      <c r="P3495" s="108"/>
      <c r="Q3495"/>
    </row>
    <row r="3496" spans="1:17" x14ac:dyDescent="0.25">
      <c r="A3496" s="89" t="s">
        <v>4329</v>
      </c>
      <c r="B3496" s="87" t="s">
        <v>4330</v>
      </c>
      <c r="C3496" s="87" t="s">
        <v>10</v>
      </c>
      <c r="D3496" s="87" t="str">
        <f>VLOOKUP(Tabela1[[#This Row],[Origem]], 'Perguntas 1 a 24'!$J$28:$K$34, 2, 0)</f>
        <v>Centro-Oeste</v>
      </c>
      <c r="E3496" s="87" t="str">
        <f>Tabela1[[#This Row],[Descrição]]&amp;"-"&amp;Tabela1[[#This Row],[Código]]&amp;"/"&amp;Tabela1[[#This Row],[Origem]]</f>
        <v>Piluci-P496H156/GO</v>
      </c>
      <c r="F3496" s="88">
        <v>47596</v>
      </c>
      <c r="G3496" s="88" t="str" cm="1">
        <f t="array" ref="G34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AND(F3496&gt;= DATE(2026,1,1), F3496&lt;= DATE(2028, 12, 31), J3496&gt;50000), "Pendente e Caro", AND(F3496&gt;= DATE(2026,1,1), F3496&lt;= DATE(2028, 12, 31), J3496&lt;=50000), "Pendente", F3496&gt;= DATE(2029,1,1), "Não prioeitário")</f>
        <v>Não prioeitário</v>
      </c>
      <c r="H3496" s="89">
        <f>YEAR(Tabela1[[#This Row],[Data de Validade]])</f>
        <v>2030</v>
      </c>
      <c r="I3496" s="89">
        <f>MONTH(Tabela1[[#This Row],[Data de Validade]])</f>
        <v>4</v>
      </c>
      <c r="J3496" s="101">
        <v>111343</v>
      </c>
      <c r="K3496" s="87" t="s">
        <v>14</v>
      </c>
      <c r="L3496" s="108"/>
      <c r="M3496" s="108"/>
      <c r="N3496" s="108" t="str">
        <v>P627P564</v>
      </c>
      <c r="O3496" s="108">
        <f t="shared" si="56"/>
        <v>1</v>
      </c>
      <c r="P3496" s="108"/>
      <c r="Q3496"/>
    </row>
    <row r="3497" spans="1:17" x14ac:dyDescent="0.25">
      <c r="A3497" s="89" t="s">
        <v>5186</v>
      </c>
      <c r="B3497" s="87" t="s">
        <v>5187</v>
      </c>
      <c r="C3497" s="87" t="s">
        <v>12</v>
      </c>
      <c r="D3497" s="87" t="str">
        <f>VLOOKUP(Tabela1[[#This Row],[Origem]], 'Perguntas 1 a 24'!$J$28:$K$34, 2, 0)</f>
        <v>Sudeste</v>
      </c>
      <c r="E3497" s="87" t="str">
        <f>Tabela1[[#This Row],[Descrição]]&amp;"-"&amp;Tabela1[[#This Row],[Código]]&amp;"/"&amp;Tabela1[[#This Row],[Origem]]</f>
        <v>Rititogo-P944H434/RJ</v>
      </c>
      <c r="F3497" s="88">
        <v>47596</v>
      </c>
      <c r="G3497" s="88" t="str" cm="1">
        <f t="array" ref="G34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AND(F3497&gt;= DATE(2026,1,1), F3497&lt;= DATE(2028, 12, 31), J3497&gt;50000), "Pendente e Caro", AND(F3497&gt;= DATE(2026,1,1), F3497&lt;= DATE(2028, 12, 31), J3497&lt;=50000), "Pendente", F3497&gt;= DATE(2029,1,1), "Não prioeitário")</f>
        <v>Não prioeitário</v>
      </c>
      <c r="H3497" s="89">
        <f>YEAR(Tabela1[[#This Row],[Data de Validade]])</f>
        <v>2030</v>
      </c>
      <c r="I3497" s="89">
        <f>MONTH(Tabela1[[#This Row],[Data de Validade]])</f>
        <v>4</v>
      </c>
      <c r="J3497" s="101">
        <v>69877</v>
      </c>
      <c r="K3497" s="87" t="s">
        <v>11</v>
      </c>
      <c r="L3497" s="108"/>
      <c r="M3497" s="108"/>
      <c r="N3497" s="108" t="str">
        <v>H481H849</v>
      </c>
      <c r="O3497" s="108">
        <f t="shared" si="56"/>
        <v>1</v>
      </c>
      <c r="P3497" s="108"/>
      <c r="Q3497"/>
    </row>
    <row r="3498" spans="1:17" x14ac:dyDescent="0.25">
      <c r="A3498" s="89" t="s">
        <v>5866</v>
      </c>
      <c r="B3498" s="87" t="s">
        <v>5867</v>
      </c>
      <c r="C3498" s="87" t="s">
        <v>6</v>
      </c>
      <c r="D3498" s="87" t="str">
        <f>VLOOKUP(Tabela1[[#This Row],[Origem]], 'Perguntas 1 a 24'!$J$28:$K$34, 2, 0)</f>
        <v>Nordeste</v>
      </c>
      <c r="E3498" s="87" t="str">
        <f>Tabela1[[#This Row],[Descrição]]&amp;"-"&amp;Tabela1[[#This Row],[Código]]&amp;"/"&amp;Tabela1[[#This Row],[Origem]]</f>
        <v>Pupopo-H518H966/MA</v>
      </c>
      <c r="F3498" s="88">
        <v>47598</v>
      </c>
      <c r="G3498" s="88" t="str" cm="1">
        <f t="array" ref="G34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AND(F3498&gt;= DATE(2026,1,1), F3498&lt;= DATE(2028, 12, 31), J3498&gt;50000), "Pendente e Caro", AND(F3498&gt;= DATE(2026,1,1), F3498&lt;= DATE(2028, 12, 31), J3498&lt;=50000), "Pendente", F3498&gt;= DATE(2029,1,1), "Não prioeitário")</f>
        <v>Não prioeitário</v>
      </c>
      <c r="H3498" s="89">
        <f>YEAR(Tabela1[[#This Row],[Data de Validade]])</f>
        <v>2030</v>
      </c>
      <c r="I3498" s="89">
        <f>MONTH(Tabela1[[#This Row],[Data de Validade]])</f>
        <v>4</v>
      </c>
      <c r="J3498" s="101">
        <v>111826</v>
      </c>
      <c r="K3498" s="87" t="s">
        <v>9</v>
      </c>
      <c r="L3498" s="108"/>
      <c r="M3498" s="108"/>
      <c r="N3498" s="108" t="str">
        <v>H639P853</v>
      </c>
      <c r="O3498" s="108">
        <f t="shared" si="56"/>
        <v>1</v>
      </c>
      <c r="P3498" s="108"/>
      <c r="Q3498"/>
    </row>
    <row r="3499" spans="1:17" x14ac:dyDescent="0.25">
      <c r="A3499" s="89" t="s">
        <v>7340</v>
      </c>
      <c r="B3499" s="87" t="s">
        <v>7341</v>
      </c>
      <c r="C3499" s="87" t="s">
        <v>6</v>
      </c>
      <c r="D3499" s="87" t="str">
        <f>VLOOKUP(Tabela1[[#This Row],[Origem]], 'Perguntas 1 a 24'!$J$28:$K$34, 2, 0)</f>
        <v>Nordeste</v>
      </c>
      <c r="E3499" s="87" t="str">
        <f>Tabela1[[#This Row],[Descrição]]&amp;"-"&amp;Tabela1[[#This Row],[Código]]&amp;"/"&amp;Tabela1[[#This Row],[Origem]]</f>
        <v>Guluru-H445H819/MA</v>
      </c>
      <c r="F3499" s="88">
        <v>47598</v>
      </c>
      <c r="G3499" s="88" t="str" cm="1">
        <f t="array" ref="G34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AND(F3499&gt;= DATE(2026,1,1), F3499&lt;= DATE(2028, 12, 31), J3499&gt;50000), "Pendente e Caro", AND(F3499&gt;= DATE(2026,1,1), F3499&lt;= DATE(2028, 12, 31), J3499&lt;=50000), "Pendente", F3499&gt;= DATE(2029,1,1), "Não prioeitário")</f>
        <v>Não prioeitário</v>
      </c>
      <c r="H3499" s="89">
        <f>YEAR(Tabela1[[#This Row],[Data de Validade]])</f>
        <v>2030</v>
      </c>
      <c r="I3499" s="89">
        <f>MONTH(Tabela1[[#This Row],[Data de Validade]])</f>
        <v>4</v>
      </c>
      <c r="J3499" s="101">
        <v>59836</v>
      </c>
      <c r="K3499" s="87" t="s">
        <v>14</v>
      </c>
      <c r="L3499" s="108"/>
      <c r="M3499" s="108"/>
      <c r="N3499" s="108" t="str">
        <v>P747P954</v>
      </c>
      <c r="O3499" s="108">
        <f t="shared" si="56"/>
        <v>1</v>
      </c>
      <c r="P3499" s="108"/>
      <c r="Q3499"/>
    </row>
    <row r="3500" spans="1:17" x14ac:dyDescent="0.25">
      <c r="A3500" s="89" t="s">
        <v>6114</v>
      </c>
      <c r="B3500" s="87" t="s">
        <v>6115</v>
      </c>
      <c r="C3500" s="87" t="s">
        <v>15</v>
      </c>
      <c r="D3500" s="87" t="str">
        <f>VLOOKUP(Tabela1[[#This Row],[Origem]], 'Perguntas 1 a 24'!$J$28:$K$34, 2, 0)</f>
        <v>Sudeste</v>
      </c>
      <c r="E3500" s="87" t="str">
        <f>Tabela1[[#This Row],[Descrição]]&amp;"-"&amp;Tabela1[[#This Row],[Código]]&amp;"/"&amp;Tabela1[[#This Row],[Origem]]</f>
        <v>Virope-P859P477/ES</v>
      </c>
      <c r="F3500" s="88">
        <v>47598</v>
      </c>
      <c r="G3500" s="88" t="str" cm="1">
        <f t="array" ref="G35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AND(F3500&gt;= DATE(2026,1,1), F3500&lt;= DATE(2028, 12, 31), J3500&gt;50000), "Pendente e Caro", AND(F3500&gt;= DATE(2026,1,1), F3500&lt;= DATE(2028, 12, 31), J3500&lt;=50000), "Pendente", F3500&gt;= DATE(2029,1,1), "Não prioeitário")</f>
        <v>Não prioeitário</v>
      </c>
      <c r="H3500" s="89">
        <f>YEAR(Tabela1[[#This Row],[Data de Validade]])</f>
        <v>2030</v>
      </c>
      <c r="I3500" s="89">
        <f>MONTH(Tabela1[[#This Row],[Data de Validade]])</f>
        <v>4</v>
      </c>
      <c r="J3500" s="101">
        <v>42831</v>
      </c>
      <c r="K3500" s="87" t="s">
        <v>14</v>
      </c>
      <c r="L3500" s="108"/>
      <c r="M3500" s="108"/>
      <c r="N3500" s="108" t="str">
        <v>P479P914</v>
      </c>
      <c r="O3500" s="108">
        <f t="shared" si="56"/>
        <v>1</v>
      </c>
      <c r="P3500" s="108"/>
      <c r="Q3500"/>
    </row>
    <row r="3501" spans="1:17" x14ac:dyDescent="0.25">
      <c r="A3501" s="89" t="s">
        <v>10923</v>
      </c>
      <c r="B3501" s="87" t="s">
        <v>10924</v>
      </c>
      <c r="C3501" s="87" t="s">
        <v>13</v>
      </c>
      <c r="D3501" s="87" t="str">
        <f>VLOOKUP(Tabela1[[#This Row],[Origem]], 'Perguntas 1 a 24'!$J$28:$K$34, 2, 0)</f>
        <v>Sudeste</v>
      </c>
      <c r="E3501" s="87" t="str">
        <f>Tabela1[[#This Row],[Descrição]]&amp;"-"&amp;Tabela1[[#This Row],[Código]]&amp;"/"&amp;Tabela1[[#This Row],[Origem]]</f>
        <v>Cimudalipi-H893P286/SP</v>
      </c>
      <c r="F3501" s="88">
        <v>47600</v>
      </c>
      <c r="G3501" s="88" t="str" cm="1">
        <f t="array" ref="G35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AND(F3501&gt;= DATE(2026,1,1), F3501&lt;= DATE(2028, 12, 31), J3501&gt;50000), "Pendente e Caro", AND(F3501&gt;= DATE(2026,1,1), F3501&lt;= DATE(2028, 12, 31), J3501&lt;=50000), "Pendente", F3501&gt;= DATE(2029,1,1), "Não prioeitário")</f>
        <v>Não prioeitário</v>
      </c>
      <c r="H3501" s="89">
        <f>YEAR(Tabela1[[#This Row],[Data de Validade]])</f>
        <v>2030</v>
      </c>
      <c r="I3501" s="89">
        <f>MONTH(Tabela1[[#This Row],[Data de Validade]])</f>
        <v>4</v>
      </c>
      <c r="J3501" s="101">
        <v>106388</v>
      </c>
      <c r="K3501" s="87" t="s">
        <v>11</v>
      </c>
      <c r="L3501" s="108"/>
      <c r="M3501" s="108"/>
      <c r="N3501" s="108" t="str">
        <v>H326H342</v>
      </c>
      <c r="O3501" s="108">
        <f t="shared" si="56"/>
        <v>1</v>
      </c>
      <c r="P3501" s="108"/>
      <c r="Q3501"/>
    </row>
    <row r="3502" spans="1:17" x14ac:dyDescent="0.25">
      <c r="A3502" s="89" t="s">
        <v>9101</v>
      </c>
      <c r="B3502" s="87" t="s">
        <v>9102</v>
      </c>
      <c r="C3502" s="87" t="s">
        <v>10</v>
      </c>
      <c r="D3502" s="87" t="str">
        <f>VLOOKUP(Tabela1[[#This Row],[Origem]], 'Perguntas 1 a 24'!$J$28:$K$34, 2, 0)</f>
        <v>Centro-Oeste</v>
      </c>
      <c r="E3502" s="87" t="str">
        <f>Tabela1[[#This Row],[Descrição]]&amp;"-"&amp;Tabela1[[#This Row],[Código]]&amp;"/"&amp;Tabela1[[#This Row],[Origem]]</f>
        <v>Mogurupure-P439P921/GO</v>
      </c>
      <c r="F3502" s="88">
        <v>47600</v>
      </c>
      <c r="G3502" s="88" t="str" cm="1">
        <f t="array" ref="G35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AND(F3502&gt;= DATE(2026,1,1), F3502&lt;= DATE(2028, 12, 31), J3502&gt;50000), "Pendente e Caro", AND(F3502&gt;= DATE(2026,1,1), F3502&lt;= DATE(2028, 12, 31), J3502&lt;=50000), "Pendente", F3502&gt;= DATE(2029,1,1), "Não prioeitário")</f>
        <v>Não prioeitário</v>
      </c>
      <c r="H3502" s="89">
        <f>YEAR(Tabela1[[#This Row],[Data de Validade]])</f>
        <v>2030</v>
      </c>
      <c r="I3502" s="89">
        <f>MONTH(Tabela1[[#This Row],[Data de Validade]])</f>
        <v>4</v>
      </c>
      <c r="J3502" s="101">
        <v>105322</v>
      </c>
      <c r="K3502" s="87" t="s">
        <v>7</v>
      </c>
      <c r="L3502" s="108"/>
      <c r="M3502" s="108"/>
      <c r="N3502" s="108" t="str">
        <v>P347P258</v>
      </c>
      <c r="O3502" s="108">
        <f t="shared" si="56"/>
        <v>1</v>
      </c>
      <c r="P3502" s="108"/>
      <c r="Q3502"/>
    </row>
    <row r="3503" spans="1:17" x14ac:dyDescent="0.25">
      <c r="A3503" s="89" t="s">
        <v>8250</v>
      </c>
      <c r="B3503" s="87" t="s">
        <v>8251</v>
      </c>
      <c r="C3503" s="87" t="s">
        <v>16</v>
      </c>
      <c r="D3503" s="87" t="str">
        <f>VLOOKUP(Tabela1[[#This Row],[Origem]], 'Perguntas 1 a 24'!$J$28:$K$34, 2, 0)</f>
        <v>Sudeste</v>
      </c>
      <c r="E3503" s="87" t="str">
        <f>Tabela1[[#This Row],[Descrição]]&amp;"-"&amp;Tabela1[[#This Row],[Código]]&amp;"/"&amp;Tabela1[[#This Row],[Origem]]</f>
        <v>Nufotitage-P444H756/MG</v>
      </c>
      <c r="F3503" s="88">
        <v>47600</v>
      </c>
      <c r="G3503" s="88" t="str" cm="1">
        <f t="array" ref="G35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AND(F3503&gt;= DATE(2026,1,1), F3503&lt;= DATE(2028, 12, 31), J3503&gt;50000), "Pendente e Caro", AND(F3503&gt;= DATE(2026,1,1), F3503&lt;= DATE(2028, 12, 31), J3503&lt;=50000), "Pendente", F3503&gt;= DATE(2029,1,1), "Não prioeitário")</f>
        <v>Não prioeitário</v>
      </c>
      <c r="H3503" s="89">
        <f>YEAR(Tabela1[[#This Row],[Data de Validade]])</f>
        <v>2030</v>
      </c>
      <c r="I3503" s="89">
        <f>MONTH(Tabela1[[#This Row],[Data de Validade]])</f>
        <v>4</v>
      </c>
      <c r="J3503" s="101">
        <v>95102</v>
      </c>
      <c r="K3503" s="87" t="s">
        <v>11</v>
      </c>
      <c r="L3503" s="108"/>
      <c r="M3503" s="108"/>
      <c r="N3503" s="108" t="str">
        <v>H951H579</v>
      </c>
      <c r="O3503" s="108">
        <f t="shared" si="56"/>
        <v>1</v>
      </c>
      <c r="P3503" s="108"/>
      <c r="Q3503"/>
    </row>
    <row r="3504" spans="1:17" x14ac:dyDescent="0.25">
      <c r="A3504" s="89" t="s">
        <v>4916</v>
      </c>
      <c r="B3504" s="87" t="s">
        <v>4917</v>
      </c>
      <c r="C3504" s="87" t="s">
        <v>12</v>
      </c>
      <c r="D3504" s="87" t="str">
        <f>VLOOKUP(Tabela1[[#This Row],[Origem]], 'Perguntas 1 a 24'!$J$28:$K$34, 2, 0)</f>
        <v>Sudeste</v>
      </c>
      <c r="E3504" s="87" t="str">
        <f>Tabela1[[#This Row],[Descrição]]&amp;"-"&amp;Tabela1[[#This Row],[Código]]&amp;"/"&amp;Tabela1[[#This Row],[Origem]]</f>
        <v>Givido-P723H231/RJ</v>
      </c>
      <c r="F3504" s="88">
        <v>47600</v>
      </c>
      <c r="G3504" s="88" t="str" cm="1">
        <f t="array" ref="G35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AND(F3504&gt;= DATE(2026,1,1), F3504&lt;= DATE(2028, 12, 31), J3504&gt;50000), "Pendente e Caro", AND(F3504&gt;= DATE(2026,1,1), F3504&lt;= DATE(2028, 12, 31), J3504&lt;=50000), "Pendente", F3504&gt;= DATE(2029,1,1), "Não prioeitário")</f>
        <v>Não prioeitário</v>
      </c>
      <c r="H3504" s="89">
        <f>YEAR(Tabela1[[#This Row],[Data de Validade]])</f>
        <v>2030</v>
      </c>
      <c r="I3504" s="89">
        <f>MONTH(Tabela1[[#This Row],[Data de Validade]])</f>
        <v>4</v>
      </c>
      <c r="J3504" s="101">
        <v>94459</v>
      </c>
      <c r="K3504" s="87" t="s">
        <v>11</v>
      </c>
      <c r="L3504" s="108"/>
      <c r="M3504" s="108"/>
      <c r="N3504" s="108" t="str">
        <v>H433H553</v>
      </c>
      <c r="O3504" s="108">
        <f t="shared" si="56"/>
        <v>1</v>
      </c>
      <c r="P3504" s="108"/>
      <c r="Q3504"/>
    </row>
    <row r="3505" spans="1:17" x14ac:dyDescent="0.25">
      <c r="A3505" s="89" t="s">
        <v>9281</v>
      </c>
      <c r="B3505" s="87" t="s">
        <v>9282</v>
      </c>
      <c r="C3505" s="87" t="s">
        <v>6</v>
      </c>
      <c r="D3505" s="87" t="str">
        <f>VLOOKUP(Tabela1[[#This Row],[Origem]], 'Perguntas 1 a 24'!$J$28:$K$34, 2, 0)</f>
        <v>Nordeste</v>
      </c>
      <c r="E3505" s="87" t="str">
        <f>Tabela1[[#This Row],[Descrição]]&amp;"-"&amp;Tabela1[[#This Row],[Código]]&amp;"/"&amp;Tabela1[[#This Row],[Origem]]</f>
        <v>Punigotafu-P172P334/MA</v>
      </c>
      <c r="F3505" s="88">
        <v>47600</v>
      </c>
      <c r="G3505" s="88" t="str" cm="1">
        <f t="array" ref="G35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AND(F3505&gt;= DATE(2026,1,1), F3505&lt;= DATE(2028, 12, 31), J3505&gt;50000), "Pendente e Caro", AND(F3505&gt;= DATE(2026,1,1), F3505&lt;= DATE(2028, 12, 31), J3505&lt;=50000), "Pendente", F3505&gt;= DATE(2029,1,1), "Não prioeitário")</f>
        <v>Não prioeitário</v>
      </c>
      <c r="H3505" s="89">
        <f>YEAR(Tabela1[[#This Row],[Data de Validade]])</f>
        <v>2030</v>
      </c>
      <c r="I3505" s="89">
        <f>MONTH(Tabela1[[#This Row],[Data de Validade]])</f>
        <v>4</v>
      </c>
      <c r="J3505" s="101">
        <v>81641</v>
      </c>
      <c r="K3505" s="87" t="s">
        <v>7</v>
      </c>
      <c r="L3505" s="108"/>
      <c r="M3505" s="108"/>
      <c r="N3505" s="108" t="str">
        <v>H452H859</v>
      </c>
      <c r="O3505" s="108">
        <f t="shared" si="56"/>
        <v>1</v>
      </c>
      <c r="P3505" s="108"/>
      <c r="Q3505"/>
    </row>
    <row r="3506" spans="1:17" x14ac:dyDescent="0.25">
      <c r="A3506" s="89" t="s">
        <v>7912</v>
      </c>
      <c r="B3506" s="87" t="s">
        <v>7913</v>
      </c>
      <c r="C3506" s="87" t="s">
        <v>15</v>
      </c>
      <c r="D3506" s="87" t="str">
        <f>VLOOKUP(Tabela1[[#This Row],[Origem]], 'Perguntas 1 a 24'!$J$28:$K$34, 2, 0)</f>
        <v>Sudeste</v>
      </c>
      <c r="E3506" s="87" t="str">
        <f>Tabela1[[#This Row],[Descrição]]&amp;"-"&amp;Tabela1[[#This Row],[Código]]&amp;"/"&amp;Tabela1[[#This Row],[Origem]]</f>
        <v>Pinutotu-P867H739/ES</v>
      </c>
      <c r="F3506" s="88">
        <v>47602</v>
      </c>
      <c r="G3506" s="88" t="str" cm="1">
        <f t="array" ref="G35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AND(F3506&gt;= DATE(2026,1,1), F3506&lt;= DATE(2028, 12, 31), J3506&gt;50000), "Pendente e Caro", AND(F3506&gt;= DATE(2026,1,1), F3506&lt;= DATE(2028, 12, 31), J3506&lt;=50000), "Pendente", F3506&gt;= DATE(2029,1,1), "Não prioeitário")</f>
        <v>Não prioeitário</v>
      </c>
      <c r="H3506" s="89">
        <f>YEAR(Tabela1[[#This Row],[Data de Validade]])</f>
        <v>2030</v>
      </c>
      <c r="I3506" s="89">
        <f>MONTH(Tabela1[[#This Row],[Data de Validade]])</f>
        <v>4</v>
      </c>
      <c r="J3506" s="101">
        <v>63935</v>
      </c>
      <c r="K3506" s="87" t="s">
        <v>11</v>
      </c>
      <c r="L3506" s="108"/>
      <c r="M3506" s="108"/>
      <c r="N3506" s="108" t="str">
        <v>H789P133</v>
      </c>
      <c r="O3506" s="108">
        <f t="shared" si="56"/>
        <v>1</v>
      </c>
      <c r="P3506" s="108"/>
      <c r="Q3506"/>
    </row>
    <row r="3507" spans="1:17" x14ac:dyDescent="0.25">
      <c r="A3507" s="89" t="s">
        <v>7582</v>
      </c>
      <c r="B3507" s="87" t="s">
        <v>7583</v>
      </c>
      <c r="C3507" s="87" t="s">
        <v>16</v>
      </c>
      <c r="D3507" s="87" t="str">
        <f>VLOOKUP(Tabela1[[#This Row],[Origem]], 'Perguntas 1 a 24'!$J$28:$K$34, 2, 0)</f>
        <v>Sudeste</v>
      </c>
      <c r="E3507" s="87" t="str">
        <f>Tabela1[[#This Row],[Descrição]]&amp;"-"&amp;Tabela1[[#This Row],[Código]]&amp;"/"&amp;Tabela1[[#This Row],[Origem]]</f>
        <v>Patufucici-P146H467/MG</v>
      </c>
      <c r="F3507" s="88">
        <v>47603</v>
      </c>
      <c r="G3507" s="88" t="str" cm="1">
        <f t="array" ref="G35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AND(F3507&gt;= DATE(2026,1,1), F3507&lt;= DATE(2028, 12, 31), J3507&gt;50000), "Pendente e Caro", AND(F3507&gt;= DATE(2026,1,1), F3507&lt;= DATE(2028, 12, 31), J3507&lt;=50000), "Pendente", F3507&gt;= DATE(2029,1,1), "Não prioeitário")</f>
        <v>Não prioeitário</v>
      </c>
      <c r="H3507" s="89">
        <f>YEAR(Tabela1[[#This Row],[Data de Validade]])</f>
        <v>2030</v>
      </c>
      <c r="I3507" s="89">
        <f>MONTH(Tabela1[[#This Row],[Data de Validade]])</f>
        <v>4</v>
      </c>
      <c r="J3507" s="101">
        <v>106566</v>
      </c>
      <c r="K3507" s="87" t="s">
        <v>9</v>
      </c>
      <c r="L3507" s="108"/>
      <c r="M3507" s="108"/>
      <c r="N3507" s="108" t="str">
        <v>H149P651</v>
      </c>
      <c r="O3507" s="108">
        <f t="shared" si="56"/>
        <v>1</v>
      </c>
      <c r="P3507" s="108"/>
      <c r="Q3507"/>
    </row>
    <row r="3508" spans="1:17" x14ac:dyDescent="0.25">
      <c r="A3508" s="89" t="s">
        <v>10515</v>
      </c>
      <c r="B3508" s="87" t="s">
        <v>10516</v>
      </c>
      <c r="C3508" s="87" t="s">
        <v>6</v>
      </c>
      <c r="D3508" s="87" t="str">
        <f>VLOOKUP(Tabela1[[#This Row],[Origem]], 'Perguntas 1 a 24'!$J$28:$K$34, 2, 0)</f>
        <v>Nordeste</v>
      </c>
      <c r="E3508" s="87" t="str">
        <f>Tabela1[[#This Row],[Descrição]]&amp;"-"&amp;Tabela1[[#This Row],[Código]]&amp;"/"&amp;Tabela1[[#This Row],[Origem]]</f>
        <v>Temumufa-H646H892/MA</v>
      </c>
      <c r="F3508" s="88">
        <v>47603</v>
      </c>
      <c r="G3508" s="88" t="str" cm="1">
        <f t="array" ref="G35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AND(F3508&gt;= DATE(2026,1,1), F3508&lt;= DATE(2028, 12, 31), J3508&gt;50000), "Pendente e Caro", AND(F3508&gt;= DATE(2026,1,1), F3508&lt;= DATE(2028, 12, 31), J3508&lt;=50000), "Pendente", F3508&gt;= DATE(2029,1,1), "Não prioeitário")</f>
        <v>Não prioeitário</v>
      </c>
      <c r="H3508" s="89">
        <f>YEAR(Tabela1[[#This Row],[Data de Validade]])</f>
        <v>2030</v>
      </c>
      <c r="I3508" s="89">
        <f>MONTH(Tabela1[[#This Row],[Data de Validade]])</f>
        <v>4</v>
      </c>
      <c r="J3508" s="101">
        <v>74071</v>
      </c>
      <c r="K3508" s="87" t="s">
        <v>7</v>
      </c>
      <c r="L3508" s="108"/>
      <c r="M3508" s="108"/>
      <c r="N3508" s="108" t="str">
        <v>P734H823</v>
      </c>
      <c r="O3508" s="108">
        <f t="shared" si="56"/>
        <v>1</v>
      </c>
      <c r="P3508" s="108"/>
      <c r="Q3508"/>
    </row>
    <row r="3509" spans="1:17" x14ac:dyDescent="0.25">
      <c r="A3509" s="89" t="s">
        <v>4191</v>
      </c>
      <c r="B3509" s="87" t="s">
        <v>4192</v>
      </c>
      <c r="C3509" s="87" t="s">
        <v>13</v>
      </c>
      <c r="D3509" s="87" t="str">
        <f>VLOOKUP(Tabela1[[#This Row],[Origem]], 'Perguntas 1 a 24'!$J$28:$K$34, 2, 0)</f>
        <v>Sudeste</v>
      </c>
      <c r="E3509" s="87" t="str">
        <f>Tabela1[[#This Row],[Descrição]]&amp;"-"&amp;Tabela1[[#This Row],[Código]]&amp;"/"&amp;Tabela1[[#This Row],[Origem]]</f>
        <v>Pideputopu-P627P564/SP</v>
      </c>
      <c r="F3509" s="88">
        <v>47603</v>
      </c>
      <c r="G3509" s="88" t="str" cm="1">
        <f t="array" ref="G35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AND(F3509&gt;= DATE(2026,1,1), F3509&lt;= DATE(2028, 12, 31), J3509&gt;50000), "Pendente e Caro", AND(F3509&gt;= DATE(2026,1,1), F3509&lt;= DATE(2028, 12, 31), J3509&lt;=50000), "Pendente", F3509&gt;= DATE(2029,1,1), "Não prioeitário")</f>
        <v>Não prioeitário</v>
      </c>
      <c r="H3509" s="89">
        <f>YEAR(Tabela1[[#This Row],[Data de Validade]])</f>
        <v>2030</v>
      </c>
      <c r="I3509" s="89">
        <f>MONTH(Tabela1[[#This Row],[Data de Validade]])</f>
        <v>4</v>
      </c>
      <c r="J3509" s="101">
        <v>61502</v>
      </c>
      <c r="K3509" s="87" t="s">
        <v>14</v>
      </c>
      <c r="L3509" s="108"/>
      <c r="M3509" s="108"/>
      <c r="N3509" s="108" t="str">
        <v>P113P453</v>
      </c>
      <c r="O3509" s="108">
        <f t="shared" si="56"/>
        <v>1</v>
      </c>
      <c r="P3509" s="108"/>
      <c r="Q3509"/>
    </row>
    <row r="3510" spans="1:17" x14ac:dyDescent="0.25">
      <c r="A3510" s="89" t="s">
        <v>7396</v>
      </c>
      <c r="B3510" s="87" t="s">
        <v>7397</v>
      </c>
      <c r="C3510" s="87" t="s">
        <v>6</v>
      </c>
      <c r="D3510" s="87" t="str">
        <f>VLOOKUP(Tabela1[[#This Row],[Origem]], 'Perguntas 1 a 24'!$J$28:$K$34, 2, 0)</f>
        <v>Nordeste</v>
      </c>
      <c r="E3510" s="87" t="str">
        <f>Tabela1[[#This Row],[Descrição]]&amp;"-"&amp;Tabela1[[#This Row],[Código]]&amp;"/"&amp;Tabela1[[#This Row],[Origem]]</f>
        <v>Furupeto-H481H849/MA</v>
      </c>
      <c r="F3510" s="88">
        <v>47604</v>
      </c>
      <c r="G3510" s="88" t="str" cm="1">
        <f t="array" ref="G35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AND(F3510&gt;= DATE(2026,1,1), F3510&lt;= DATE(2028, 12, 31), J3510&gt;50000), "Pendente e Caro", AND(F3510&gt;= DATE(2026,1,1), F3510&lt;= DATE(2028, 12, 31), J3510&lt;=50000), "Pendente", F3510&gt;= DATE(2029,1,1), "Não prioeitário")</f>
        <v>Não prioeitário</v>
      </c>
      <c r="H3510" s="89">
        <f>YEAR(Tabela1[[#This Row],[Data de Validade]])</f>
        <v>2030</v>
      </c>
      <c r="I3510" s="89">
        <f>MONTH(Tabela1[[#This Row],[Data de Validade]])</f>
        <v>5</v>
      </c>
      <c r="J3510" s="101">
        <v>48539</v>
      </c>
      <c r="K3510" s="87" t="s">
        <v>7</v>
      </c>
      <c r="L3510" s="108"/>
      <c r="M3510" s="108"/>
      <c r="N3510" s="108" t="str">
        <v>H531P357</v>
      </c>
      <c r="O3510" s="108">
        <f t="shared" si="56"/>
        <v>1</v>
      </c>
      <c r="P3510" s="108"/>
      <c r="Q3510"/>
    </row>
    <row r="3511" spans="1:17" x14ac:dyDescent="0.25">
      <c r="A3511" s="89" t="s">
        <v>6870</v>
      </c>
      <c r="B3511" s="87" t="s">
        <v>6871</v>
      </c>
      <c r="C3511" s="87" t="s">
        <v>6</v>
      </c>
      <c r="D3511" s="87" t="str">
        <f>VLOOKUP(Tabela1[[#This Row],[Origem]], 'Perguntas 1 a 24'!$J$28:$K$34, 2, 0)</f>
        <v>Nordeste</v>
      </c>
      <c r="E3511" s="87" t="str">
        <f>Tabela1[[#This Row],[Descrição]]&amp;"-"&amp;Tabela1[[#This Row],[Código]]&amp;"/"&amp;Tabela1[[#This Row],[Origem]]</f>
        <v>Vutedi-H639P853/MA</v>
      </c>
      <c r="F3511" s="88">
        <v>47604</v>
      </c>
      <c r="G3511" s="88" t="str" cm="1">
        <f t="array" ref="G35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AND(F3511&gt;= DATE(2026,1,1), F3511&lt;= DATE(2028, 12, 31), J3511&gt;50000), "Pendente e Caro", AND(F3511&gt;= DATE(2026,1,1), F3511&lt;= DATE(2028, 12, 31), J3511&lt;=50000), "Pendente", F3511&gt;= DATE(2029,1,1), "Não prioeitário")</f>
        <v>Não prioeitário</v>
      </c>
      <c r="H3511" s="89">
        <f>YEAR(Tabela1[[#This Row],[Data de Validade]])</f>
        <v>2030</v>
      </c>
      <c r="I3511" s="89">
        <f>MONTH(Tabela1[[#This Row],[Data de Validade]])</f>
        <v>5</v>
      </c>
      <c r="J3511" s="101">
        <v>28073</v>
      </c>
      <c r="K3511" s="87" t="s">
        <v>9</v>
      </c>
      <c r="L3511" s="108"/>
      <c r="M3511" s="108"/>
      <c r="N3511" s="108" t="str">
        <v>P755P381</v>
      </c>
      <c r="O3511" s="108">
        <f t="shared" si="56"/>
        <v>1</v>
      </c>
      <c r="P3511" s="108"/>
      <c r="Q3511"/>
    </row>
    <row r="3512" spans="1:17" x14ac:dyDescent="0.25">
      <c r="A3512" s="89" t="s">
        <v>10163</v>
      </c>
      <c r="B3512" s="87" t="s">
        <v>10164</v>
      </c>
      <c r="C3512" s="87" t="s">
        <v>15</v>
      </c>
      <c r="D3512" s="87" t="str">
        <f>VLOOKUP(Tabela1[[#This Row],[Origem]], 'Perguntas 1 a 24'!$J$28:$K$34, 2, 0)</f>
        <v>Sudeste</v>
      </c>
      <c r="E3512" s="87" t="str">
        <f>Tabela1[[#This Row],[Descrição]]&amp;"-"&amp;Tabela1[[#This Row],[Código]]&amp;"/"&amp;Tabela1[[#This Row],[Origem]]</f>
        <v>Povalo-P747P954/ES</v>
      </c>
      <c r="F3512" s="88">
        <v>47605</v>
      </c>
      <c r="G3512" s="88" t="str" cm="1">
        <f t="array" ref="G35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AND(F3512&gt;= DATE(2026,1,1), F3512&lt;= DATE(2028, 12, 31), J3512&gt;50000), "Pendente e Caro", AND(F3512&gt;= DATE(2026,1,1), F3512&lt;= DATE(2028, 12, 31), J3512&lt;=50000), "Pendente", F3512&gt;= DATE(2029,1,1), "Não prioeitário")</f>
        <v>Não prioeitário</v>
      </c>
      <c r="H3512" s="89">
        <f>YEAR(Tabela1[[#This Row],[Data de Validade]])</f>
        <v>2030</v>
      </c>
      <c r="I3512" s="89">
        <f>MONTH(Tabela1[[#This Row],[Data de Validade]])</f>
        <v>5</v>
      </c>
      <c r="J3512" s="101">
        <v>89300</v>
      </c>
      <c r="K3512" s="87" t="s">
        <v>11</v>
      </c>
      <c r="L3512" s="108"/>
      <c r="M3512" s="108"/>
      <c r="N3512" s="108" t="str">
        <v>P159H732</v>
      </c>
      <c r="O3512" s="108">
        <f t="shared" si="56"/>
        <v>1</v>
      </c>
      <c r="P3512" s="108"/>
      <c r="Q3512"/>
    </row>
    <row r="3513" spans="1:17" x14ac:dyDescent="0.25">
      <c r="A3513" s="89" t="s">
        <v>10267</v>
      </c>
      <c r="B3513" s="87" t="s">
        <v>10268</v>
      </c>
      <c r="C3513" s="87" t="s">
        <v>10</v>
      </c>
      <c r="D3513" s="87" t="str">
        <f>VLOOKUP(Tabela1[[#This Row],[Origem]], 'Perguntas 1 a 24'!$J$28:$K$34, 2, 0)</f>
        <v>Centro-Oeste</v>
      </c>
      <c r="E3513" s="87" t="str">
        <f>Tabela1[[#This Row],[Descrição]]&amp;"-"&amp;Tabela1[[#This Row],[Código]]&amp;"/"&amp;Tabela1[[#This Row],[Origem]]</f>
        <v>Rurutipe-P479P914/GO</v>
      </c>
      <c r="F3513" s="88">
        <v>47606</v>
      </c>
      <c r="G3513" s="88" t="str" cm="1">
        <f t="array" ref="G35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AND(F3513&gt;= DATE(2026,1,1), F3513&lt;= DATE(2028, 12, 31), J3513&gt;50000), "Pendente e Caro", AND(F3513&gt;= DATE(2026,1,1), F3513&lt;= DATE(2028, 12, 31), J3513&lt;=50000), "Pendente", F3513&gt;= DATE(2029,1,1), "Não prioeitário")</f>
        <v>Não prioeitário</v>
      </c>
      <c r="H3513" s="89">
        <f>YEAR(Tabela1[[#This Row],[Data de Validade]])</f>
        <v>2030</v>
      </c>
      <c r="I3513" s="89">
        <f>MONTH(Tabela1[[#This Row],[Data de Validade]])</f>
        <v>5</v>
      </c>
      <c r="J3513" s="101">
        <v>92776</v>
      </c>
      <c r="K3513" s="87" t="s">
        <v>7</v>
      </c>
      <c r="L3513" s="108"/>
      <c r="M3513" s="108"/>
      <c r="N3513" s="108" t="str">
        <v>H473H163</v>
      </c>
      <c r="O3513" s="108">
        <f t="shared" si="56"/>
        <v>1</v>
      </c>
      <c r="P3513" s="108"/>
      <c r="Q3513"/>
    </row>
    <row r="3514" spans="1:17" x14ac:dyDescent="0.25">
      <c r="A3514" s="89" t="s">
        <v>6072</v>
      </c>
      <c r="B3514" s="87" t="s">
        <v>6073</v>
      </c>
      <c r="C3514" s="87" t="s">
        <v>13</v>
      </c>
      <c r="D3514" s="87" t="str">
        <f>VLOOKUP(Tabela1[[#This Row],[Origem]], 'Perguntas 1 a 24'!$J$28:$K$34, 2, 0)</f>
        <v>Sudeste</v>
      </c>
      <c r="E3514" s="87" t="str">
        <f>Tabela1[[#This Row],[Descrição]]&amp;"-"&amp;Tabela1[[#This Row],[Código]]&amp;"/"&amp;Tabela1[[#This Row],[Origem]]</f>
        <v>Lapogupo-H326H342/SP</v>
      </c>
      <c r="F3514" s="88">
        <v>47606</v>
      </c>
      <c r="G3514" s="88" t="str" cm="1">
        <f t="array" ref="G35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AND(F3514&gt;= DATE(2026,1,1), F3514&lt;= DATE(2028, 12, 31), J3514&gt;50000), "Pendente e Caro", AND(F3514&gt;= DATE(2026,1,1), F3514&lt;= DATE(2028, 12, 31), J3514&lt;=50000), "Pendente", F3514&gt;= DATE(2029,1,1), "Não prioeitário")</f>
        <v>Não prioeitário</v>
      </c>
      <c r="H3514" s="89">
        <f>YEAR(Tabela1[[#This Row],[Data de Validade]])</f>
        <v>2030</v>
      </c>
      <c r="I3514" s="89">
        <f>MONTH(Tabela1[[#This Row],[Data de Validade]])</f>
        <v>5</v>
      </c>
      <c r="J3514" s="101">
        <v>56891</v>
      </c>
      <c r="K3514" s="87" t="s">
        <v>7</v>
      </c>
      <c r="L3514" s="108"/>
      <c r="M3514" s="108"/>
      <c r="N3514" s="108" t="str">
        <v>H874P366</v>
      </c>
      <c r="O3514" s="108">
        <f t="shared" si="56"/>
        <v>1</v>
      </c>
      <c r="P3514" s="108"/>
      <c r="Q3514"/>
    </row>
    <row r="3515" spans="1:17" x14ac:dyDescent="0.25">
      <c r="A3515" s="89" t="s">
        <v>5736</v>
      </c>
      <c r="B3515" s="87" t="s">
        <v>5737</v>
      </c>
      <c r="C3515" s="87" t="s">
        <v>16</v>
      </c>
      <c r="D3515" s="87" t="str">
        <f>VLOOKUP(Tabela1[[#This Row],[Origem]], 'Perguntas 1 a 24'!$J$28:$K$34, 2, 0)</f>
        <v>Sudeste</v>
      </c>
      <c r="E3515" s="87" t="str">
        <f>Tabela1[[#This Row],[Descrição]]&amp;"-"&amp;Tabela1[[#This Row],[Código]]&amp;"/"&amp;Tabela1[[#This Row],[Origem]]</f>
        <v>Tipeco-P347P258/MG</v>
      </c>
      <c r="F3515" s="88">
        <v>47607</v>
      </c>
      <c r="G3515" s="88" t="str" cm="1">
        <f t="array" ref="G35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AND(F3515&gt;= DATE(2026,1,1), F3515&lt;= DATE(2028, 12, 31), J3515&gt;50000), "Pendente e Caro", AND(F3515&gt;= DATE(2026,1,1), F3515&lt;= DATE(2028, 12, 31), J3515&lt;=50000), "Pendente", F3515&gt;= DATE(2029,1,1), "Não prioeitário")</f>
        <v>Não prioeitário</v>
      </c>
      <c r="H3515" s="89">
        <f>YEAR(Tabela1[[#This Row],[Data de Validade]])</f>
        <v>2030</v>
      </c>
      <c r="I3515" s="89">
        <f>MONTH(Tabela1[[#This Row],[Data de Validade]])</f>
        <v>5</v>
      </c>
      <c r="J3515" s="101">
        <v>72304</v>
      </c>
      <c r="K3515" s="87" t="s">
        <v>7</v>
      </c>
      <c r="L3515" s="108"/>
      <c r="M3515" s="108"/>
      <c r="N3515" s="108" t="str">
        <v>H543H627</v>
      </c>
      <c r="O3515" s="108">
        <f t="shared" si="56"/>
        <v>1</v>
      </c>
      <c r="P3515" s="108"/>
      <c r="Q3515"/>
    </row>
    <row r="3516" spans="1:17" x14ac:dyDescent="0.25">
      <c r="A3516" s="89" t="s">
        <v>10111</v>
      </c>
      <c r="B3516" s="87" t="s">
        <v>10112</v>
      </c>
      <c r="C3516" s="87" t="s">
        <v>13</v>
      </c>
      <c r="D3516" s="87" t="str">
        <f>VLOOKUP(Tabela1[[#This Row],[Origem]], 'Perguntas 1 a 24'!$J$28:$K$34, 2, 0)</f>
        <v>Sudeste</v>
      </c>
      <c r="E3516" s="87" t="str">
        <f>Tabela1[[#This Row],[Descrição]]&amp;"-"&amp;Tabela1[[#This Row],[Código]]&amp;"/"&amp;Tabela1[[#This Row],[Origem]]</f>
        <v>Lironi-H951H579/SP</v>
      </c>
      <c r="F3516" s="88">
        <v>47608</v>
      </c>
      <c r="G3516" s="88" t="str" cm="1">
        <f t="array" ref="G35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AND(F3516&gt;= DATE(2026,1,1), F3516&lt;= DATE(2028, 12, 31), J3516&gt;50000), "Pendente e Caro", AND(F3516&gt;= DATE(2026,1,1), F3516&lt;= DATE(2028, 12, 31), J3516&lt;=50000), "Pendente", F3516&gt;= DATE(2029,1,1), "Não prioeitário")</f>
        <v>Não prioeitário</v>
      </c>
      <c r="H3516" s="89">
        <f>YEAR(Tabela1[[#This Row],[Data de Validade]])</f>
        <v>2030</v>
      </c>
      <c r="I3516" s="89">
        <f>MONTH(Tabela1[[#This Row],[Data de Validade]])</f>
        <v>5</v>
      </c>
      <c r="J3516" s="101">
        <v>109382</v>
      </c>
      <c r="K3516" s="87" t="s">
        <v>9</v>
      </c>
      <c r="L3516" s="108"/>
      <c r="M3516" s="108"/>
      <c r="N3516" s="108" t="str">
        <v>H146H944</v>
      </c>
      <c r="O3516" s="108">
        <f t="shared" si="56"/>
        <v>1</v>
      </c>
      <c r="P3516" s="108"/>
      <c r="Q3516"/>
    </row>
    <row r="3517" spans="1:17" x14ac:dyDescent="0.25">
      <c r="A3517" s="89" t="s">
        <v>6962</v>
      </c>
      <c r="B3517" s="87" t="s">
        <v>6963</v>
      </c>
      <c r="C3517" s="87" t="s">
        <v>8</v>
      </c>
      <c r="D3517" s="87" t="str">
        <f>VLOOKUP(Tabela1[[#This Row],[Origem]], 'Perguntas 1 a 24'!$J$28:$K$34, 2, 0)</f>
        <v>Nordeste</v>
      </c>
      <c r="E3517" s="87" t="str">
        <f>Tabela1[[#This Row],[Descrição]]&amp;"-"&amp;Tabela1[[#This Row],[Código]]&amp;"/"&amp;Tabela1[[#This Row],[Origem]]</f>
        <v>Panatiti-H433H553/AL</v>
      </c>
      <c r="F3517" s="88">
        <v>47608</v>
      </c>
      <c r="G3517" s="88" t="str" cm="1">
        <f t="array" ref="G35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AND(F3517&gt;= DATE(2026,1,1), F3517&lt;= DATE(2028, 12, 31), J3517&gt;50000), "Pendente e Caro", AND(F3517&gt;= DATE(2026,1,1), F3517&lt;= DATE(2028, 12, 31), J3517&lt;=50000), "Pendente", F3517&gt;= DATE(2029,1,1), "Não prioeitário")</f>
        <v>Não prioeitário</v>
      </c>
      <c r="H3517" s="89">
        <f>YEAR(Tabela1[[#This Row],[Data de Validade]])</f>
        <v>2030</v>
      </c>
      <c r="I3517" s="89">
        <f>MONTH(Tabela1[[#This Row],[Data de Validade]])</f>
        <v>5</v>
      </c>
      <c r="J3517" s="101">
        <v>24415</v>
      </c>
      <c r="K3517" s="87" t="s">
        <v>11</v>
      </c>
      <c r="L3517" s="108"/>
      <c r="M3517" s="108"/>
      <c r="N3517" s="108" t="str">
        <v>H533P362</v>
      </c>
      <c r="O3517" s="108">
        <f t="shared" si="56"/>
        <v>1</v>
      </c>
      <c r="P3517" s="108"/>
      <c r="Q3517"/>
    </row>
    <row r="3518" spans="1:17" x14ac:dyDescent="0.25">
      <c r="A3518" s="89" t="s">
        <v>4844</v>
      </c>
      <c r="B3518" s="87" t="s">
        <v>4845</v>
      </c>
      <c r="C3518" s="87" t="s">
        <v>8</v>
      </c>
      <c r="D3518" s="87" t="str">
        <f>VLOOKUP(Tabela1[[#This Row],[Origem]], 'Perguntas 1 a 24'!$J$28:$K$34, 2, 0)</f>
        <v>Nordeste</v>
      </c>
      <c r="E3518" s="87" t="str">
        <f>Tabela1[[#This Row],[Descrição]]&amp;"-"&amp;Tabela1[[#This Row],[Código]]&amp;"/"&amp;Tabela1[[#This Row],[Origem]]</f>
        <v>Vifitora-H452H859/AL</v>
      </c>
      <c r="F3518" s="88">
        <v>47609</v>
      </c>
      <c r="G3518" s="88" t="str" cm="1">
        <f t="array" ref="G35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AND(F3518&gt;= DATE(2026,1,1), F3518&lt;= DATE(2028, 12, 31), J3518&gt;50000), "Pendente e Caro", AND(F3518&gt;= DATE(2026,1,1), F3518&lt;= DATE(2028, 12, 31), J3518&lt;=50000), "Pendente", F3518&gt;= DATE(2029,1,1), "Não prioeitário")</f>
        <v>Não prioeitário</v>
      </c>
      <c r="H3518" s="89">
        <f>YEAR(Tabela1[[#This Row],[Data de Validade]])</f>
        <v>2030</v>
      </c>
      <c r="I3518" s="89">
        <f>MONTH(Tabela1[[#This Row],[Data de Validade]])</f>
        <v>5</v>
      </c>
      <c r="J3518" s="101">
        <v>105774</v>
      </c>
      <c r="K3518" s="87" t="s">
        <v>11</v>
      </c>
      <c r="L3518" s="108"/>
      <c r="M3518" s="108"/>
      <c r="N3518" s="108" t="str">
        <v>P599H157</v>
      </c>
      <c r="O3518" s="108">
        <f t="shared" si="56"/>
        <v>1</v>
      </c>
      <c r="P3518" s="108"/>
      <c r="Q3518"/>
    </row>
    <row r="3519" spans="1:17" x14ac:dyDescent="0.25">
      <c r="A3519" s="89" t="s">
        <v>6790</v>
      </c>
      <c r="B3519" s="87" t="s">
        <v>6791</v>
      </c>
      <c r="C3519" s="87" t="s">
        <v>12</v>
      </c>
      <c r="D3519" s="87" t="str">
        <f>VLOOKUP(Tabela1[[#This Row],[Origem]], 'Perguntas 1 a 24'!$J$28:$K$34, 2, 0)</f>
        <v>Sudeste</v>
      </c>
      <c r="E3519" s="87" t="str">
        <f>Tabela1[[#This Row],[Descrição]]&amp;"-"&amp;Tabela1[[#This Row],[Código]]&amp;"/"&amp;Tabela1[[#This Row],[Origem]]</f>
        <v>Gumula-H789P133/RJ</v>
      </c>
      <c r="F3519" s="88">
        <v>47609</v>
      </c>
      <c r="G3519" s="88" t="str" cm="1">
        <f t="array" ref="G35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AND(F3519&gt;= DATE(2026,1,1), F3519&lt;= DATE(2028, 12, 31), J3519&gt;50000), "Pendente e Caro", AND(F3519&gt;= DATE(2026,1,1), F3519&lt;= DATE(2028, 12, 31), J3519&lt;=50000), "Pendente", F3519&gt;= DATE(2029,1,1), "Não prioeitário")</f>
        <v>Não prioeitário</v>
      </c>
      <c r="H3519" s="89">
        <f>YEAR(Tabela1[[#This Row],[Data de Validade]])</f>
        <v>2030</v>
      </c>
      <c r="I3519" s="89">
        <f>MONTH(Tabela1[[#This Row],[Data de Validade]])</f>
        <v>5</v>
      </c>
      <c r="J3519" s="101">
        <v>87789</v>
      </c>
      <c r="K3519" s="87" t="s">
        <v>14</v>
      </c>
      <c r="L3519" s="108"/>
      <c r="M3519" s="108"/>
      <c r="N3519" s="108" t="str">
        <v>P375P217</v>
      </c>
      <c r="O3519" s="108">
        <f t="shared" si="56"/>
        <v>1</v>
      </c>
      <c r="P3519" s="108"/>
      <c r="Q3519"/>
    </row>
    <row r="3520" spans="1:17" x14ac:dyDescent="0.25">
      <c r="A3520" s="89" t="s">
        <v>5646</v>
      </c>
      <c r="B3520" s="87" t="s">
        <v>5647</v>
      </c>
      <c r="C3520" s="87" t="s">
        <v>15</v>
      </c>
      <c r="D3520" s="87" t="str">
        <f>VLOOKUP(Tabela1[[#This Row],[Origem]], 'Perguntas 1 a 24'!$J$28:$K$34, 2, 0)</f>
        <v>Sudeste</v>
      </c>
      <c r="E3520" s="87" t="str">
        <f>Tabela1[[#This Row],[Descrição]]&amp;"-"&amp;Tabela1[[#This Row],[Código]]&amp;"/"&amp;Tabela1[[#This Row],[Origem]]</f>
        <v>Togofo-H149P651/ES</v>
      </c>
      <c r="F3520" s="88">
        <v>47609</v>
      </c>
      <c r="G3520" s="88" t="str" cm="1">
        <f t="array" ref="G35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AND(F3520&gt;= DATE(2026,1,1), F3520&lt;= DATE(2028, 12, 31), J3520&gt;50000), "Pendente e Caro", AND(F3520&gt;= DATE(2026,1,1), F3520&lt;= DATE(2028, 12, 31), J3520&lt;=50000), "Pendente", F3520&gt;= DATE(2029,1,1), "Não prioeitário")</f>
        <v>Não prioeitário</v>
      </c>
      <c r="H3520" s="89">
        <f>YEAR(Tabela1[[#This Row],[Data de Validade]])</f>
        <v>2030</v>
      </c>
      <c r="I3520" s="89">
        <f>MONTH(Tabela1[[#This Row],[Data de Validade]])</f>
        <v>5</v>
      </c>
      <c r="J3520" s="101">
        <v>35980</v>
      </c>
      <c r="K3520" s="87" t="s">
        <v>14</v>
      </c>
      <c r="L3520" s="108"/>
      <c r="M3520" s="108"/>
      <c r="N3520" s="108" t="str">
        <v>H826H694</v>
      </c>
      <c r="O3520" s="108">
        <f t="shared" si="56"/>
        <v>1</v>
      </c>
      <c r="P3520" s="108"/>
      <c r="Q3520"/>
    </row>
    <row r="3521" spans="1:17" x14ac:dyDescent="0.25">
      <c r="A3521" s="89" t="s">
        <v>7432</v>
      </c>
      <c r="B3521" s="87" t="s">
        <v>7433</v>
      </c>
      <c r="C3521" s="87" t="s">
        <v>8</v>
      </c>
      <c r="D3521" s="87" t="str">
        <f>VLOOKUP(Tabela1[[#This Row],[Origem]], 'Perguntas 1 a 24'!$J$28:$K$34, 2, 0)</f>
        <v>Nordeste</v>
      </c>
      <c r="E3521" s="87" t="str">
        <f>Tabela1[[#This Row],[Descrição]]&amp;"-"&amp;Tabela1[[#This Row],[Código]]&amp;"/"&amp;Tabela1[[#This Row],[Origem]]</f>
        <v>Damira-P734H823/AL</v>
      </c>
      <c r="F3521" s="88">
        <v>47610</v>
      </c>
      <c r="G3521" s="88" t="str" cm="1">
        <f t="array" ref="G35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AND(F3521&gt;= DATE(2026,1,1), F3521&lt;= DATE(2028, 12, 31), J3521&gt;50000), "Pendente e Caro", AND(F3521&gt;= DATE(2026,1,1), F3521&lt;= DATE(2028, 12, 31), J3521&lt;=50000), "Pendente", F3521&gt;= DATE(2029,1,1), "Não prioeitário")</f>
        <v>Não prioeitário</v>
      </c>
      <c r="H3521" s="89">
        <f>YEAR(Tabela1[[#This Row],[Data de Validade]])</f>
        <v>2030</v>
      </c>
      <c r="I3521" s="89">
        <f>MONTH(Tabela1[[#This Row],[Data de Validade]])</f>
        <v>5</v>
      </c>
      <c r="J3521" s="101">
        <v>88379</v>
      </c>
      <c r="K3521" s="87" t="s">
        <v>7</v>
      </c>
      <c r="L3521" s="108"/>
      <c r="M3521" s="108"/>
      <c r="N3521" s="108" t="str">
        <v>P888H921</v>
      </c>
      <c r="O3521" s="108">
        <f t="shared" si="56"/>
        <v>1</v>
      </c>
      <c r="P3521" s="108"/>
      <c r="Q3521"/>
    </row>
    <row r="3522" spans="1:17" x14ac:dyDescent="0.25">
      <c r="A3522" s="89" t="s">
        <v>7822</v>
      </c>
      <c r="B3522" s="87" t="s">
        <v>7823</v>
      </c>
      <c r="C3522" s="87" t="s">
        <v>15</v>
      </c>
      <c r="D3522" s="87" t="str">
        <f>VLOOKUP(Tabela1[[#This Row],[Origem]], 'Perguntas 1 a 24'!$J$28:$K$34, 2, 0)</f>
        <v>Sudeste</v>
      </c>
      <c r="E3522" s="87" t="str">
        <f>Tabela1[[#This Row],[Descrição]]&amp;"-"&amp;Tabela1[[#This Row],[Código]]&amp;"/"&amp;Tabela1[[#This Row],[Origem]]</f>
        <v>Panatite-P113P453/ES</v>
      </c>
      <c r="F3522" s="88">
        <v>47610</v>
      </c>
      <c r="G3522" s="88" t="str" cm="1">
        <f t="array" ref="G35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AND(F3522&gt;= DATE(2026,1,1), F3522&lt;= DATE(2028, 12, 31), J3522&gt;50000), "Pendente e Caro", AND(F3522&gt;= DATE(2026,1,1), F3522&lt;= DATE(2028, 12, 31), J3522&lt;=50000), "Pendente", F3522&gt;= DATE(2029,1,1), "Não prioeitário")</f>
        <v>Não prioeitário</v>
      </c>
      <c r="H3522" s="89">
        <f>YEAR(Tabela1[[#This Row],[Data de Validade]])</f>
        <v>2030</v>
      </c>
      <c r="I3522" s="89">
        <f>MONTH(Tabela1[[#This Row],[Data de Validade]])</f>
        <v>5</v>
      </c>
      <c r="J3522" s="101">
        <v>76985</v>
      </c>
      <c r="K3522" s="87" t="s">
        <v>14</v>
      </c>
      <c r="L3522" s="108"/>
      <c r="M3522" s="108"/>
      <c r="N3522" s="108" t="str">
        <v>P483P793</v>
      </c>
      <c r="O3522" s="108">
        <f t="shared" si="56"/>
        <v>1</v>
      </c>
      <c r="P3522" s="108"/>
      <c r="Q3522"/>
    </row>
    <row r="3523" spans="1:17" x14ac:dyDescent="0.25">
      <c r="A3523" s="89" t="s">
        <v>4870</v>
      </c>
      <c r="B3523" s="87" t="s">
        <v>4871</v>
      </c>
      <c r="C3523" s="87" t="s">
        <v>16</v>
      </c>
      <c r="D3523" s="87" t="str">
        <f>VLOOKUP(Tabela1[[#This Row],[Origem]], 'Perguntas 1 a 24'!$J$28:$K$34, 2, 0)</f>
        <v>Sudeste</v>
      </c>
      <c r="E3523" s="87" t="str">
        <f>Tabela1[[#This Row],[Descrição]]&amp;"-"&amp;Tabela1[[#This Row],[Código]]&amp;"/"&amp;Tabela1[[#This Row],[Origem]]</f>
        <v>Rilatepi-H531P357/MG</v>
      </c>
      <c r="F3523" s="88">
        <v>47610</v>
      </c>
      <c r="G3523" s="88" t="str" cm="1">
        <f t="array" ref="G35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AND(F3523&gt;= DATE(2026,1,1), F3523&lt;= DATE(2028, 12, 31), J3523&gt;50000), "Pendente e Caro", AND(F3523&gt;= DATE(2026,1,1), F3523&lt;= DATE(2028, 12, 31), J3523&lt;=50000), "Pendente", F3523&gt;= DATE(2029,1,1), "Não prioeitário")</f>
        <v>Não prioeitário</v>
      </c>
      <c r="H3523" s="89">
        <f>YEAR(Tabela1[[#This Row],[Data de Validade]])</f>
        <v>2030</v>
      </c>
      <c r="I3523" s="89">
        <f>MONTH(Tabela1[[#This Row],[Data de Validade]])</f>
        <v>5</v>
      </c>
      <c r="J3523" s="101">
        <v>54961</v>
      </c>
      <c r="K3523" s="87" t="s">
        <v>14</v>
      </c>
      <c r="L3523" s="108"/>
      <c r="M3523" s="108"/>
      <c r="N3523" s="108" t="str">
        <v>H859P649</v>
      </c>
      <c r="O3523" s="108">
        <f t="shared" ref="O3523:O3586" si="57">COUNTIFS(B:B,N3523)</f>
        <v>1</v>
      </c>
      <c r="P3523" s="108"/>
      <c r="Q3523"/>
    </row>
    <row r="3524" spans="1:17" x14ac:dyDescent="0.25">
      <c r="A3524" s="89" t="s">
        <v>6856</v>
      </c>
      <c r="B3524" s="87" t="s">
        <v>6857</v>
      </c>
      <c r="C3524" s="87" t="s">
        <v>10</v>
      </c>
      <c r="D3524" s="87" t="str">
        <f>VLOOKUP(Tabela1[[#This Row],[Origem]], 'Perguntas 1 a 24'!$J$28:$K$34, 2, 0)</f>
        <v>Centro-Oeste</v>
      </c>
      <c r="E3524" s="87" t="str">
        <f>Tabela1[[#This Row],[Descrição]]&amp;"-"&amp;Tabela1[[#This Row],[Código]]&amp;"/"&amp;Tabela1[[#This Row],[Origem]]</f>
        <v>Vumotuma-P755P381/GO</v>
      </c>
      <c r="F3524" s="88">
        <v>47611</v>
      </c>
      <c r="G3524" s="88" t="str" cm="1">
        <f t="array" ref="G35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AND(F3524&gt;= DATE(2026,1,1), F3524&lt;= DATE(2028, 12, 31), J3524&gt;50000), "Pendente e Caro", AND(F3524&gt;= DATE(2026,1,1), F3524&lt;= DATE(2028, 12, 31), J3524&lt;=50000), "Pendente", F3524&gt;= DATE(2029,1,1), "Não prioeitário")</f>
        <v>Não prioeitário</v>
      </c>
      <c r="H3524" s="89">
        <f>YEAR(Tabela1[[#This Row],[Data de Validade]])</f>
        <v>2030</v>
      </c>
      <c r="I3524" s="89">
        <f>MONTH(Tabela1[[#This Row],[Data de Validade]])</f>
        <v>5</v>
      </c>
      <c r="J3524" s="101">
        <v>106170</v>
      </c>
      <c r="K3524" s="87" t="s">
        <v>11</v>
      </c>
      <c r="L3524" s="108"/>
      <c r="M3524" s="108"/>
      <c r="N3524" s="108" t="str">
        <v>P674P773</v>
      </c>
      <c r="O3524" s="108">
        <f t="shared" si="57"/>
        <v>1</v>
      </c>
      <c r="P3524" s="108"/>
      <c r="Q3524"/>
    </row>
    <row r="3525" spans="1:17" x14ac:dyDescent="0.25">
      <c r="A3525" s="89" t="s">
        <v>5764</v>
      </c>
      <c r="B3525" s="87" t="s">
        <v>5765</v>
      </c>
      <c r="C3525" s="87" t="s">
        <v>8</v>
      </c>
      <c r="D3525" s="87" t="str">
        <f>VLOOKUP(Tabela1[[#This Row],[Origem]], 'Perguntas 1 a 24'!$J$28:$K$34, 2, 0)</f>
        <v>Nordeste</v>
      </c>
      <c r="E3525" s="87" t="str">
        <f>Tabela1[[#This Row],[Descrição]]&amp;"-"&amp;Tabela1[[#This Row],[Código]]&amp;"/"&amp;Tabela1[[#This Row],[Origem]]</f>
        <v>Vavofalapu-P159H732/AL</v>
      </c>
      <c r="F3525" s="88">
        <v>47611</v>
      </c>
      <c r="G3525" s="88" t="str" cm="1">
        <f t="array" ref="G35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AND(F3525&gt;= DATE(2026,1,1), F3525&lt;= DATE(2028, 12, 31), J3525&gt;50000), "Pendente e Caro", AND(F3525&gt;= DATE(2026,1,1), F3525&lt;= DATE(2028, 12, 31), J3525&lt;=50000), "Pendente", F3525&gt;= DATE(2029,1,1), "Não prioeitário")</f>
        <v>Não prioeitário</v>
      </c>
      <c r="H3525" s="89">
        <f>YEAR(Tabela1[[#This Row],[Data de Validade]])</f>
        <v>2030</v>
      </c>
      <c r="I3525" s="89">
        <f>MONTH(Tabela1[[#This Row],[Data de Validade]])</f>
        <v>5</v>
      </c>
      <c r="J3525" s="101">
        <v>92001</v>
      </c>
      <c r="K3525" s="87" t="s">
        <v>14</v>
      </c>
      <c r="L3525" s="108"/>
      <c r="M3525" s="108"/>
      <c r="N3525" s="108" t="str">
        <v>P578P573</v>
      </c>
      <c r="O3525" s="108">
        <f t="shared" si="57"/>
        <v>1</v>
      </c>
      <c r="P3525" s="108"/>
      <c r="Q3525"/>
    </row>
    <row r="3526" spans="1:17" x14ac:dyDescent="0.25">
      <c r="A3526" s="89" t="s">
        <v>10867</v>
      </c>
      <c r="B3526" s="87" t="s">
        <v>10868</v>
      </c>
      <c r="C3526" s="87" t="s">
        <v>6</v>
      </c>
      <c r="D3526" s="87" t="str">
        <f>VLOOKUP(Tabela1[[#This Row],[Origem]], 'Perguntas 1 a 24'!$J$28:$K$34, 2, 0)</f>
        <v>Nordeste</v>
      </c>
      <c r="E3526" s="87" t="str">
        <f>Tabela1[[#This Row],[Descrição]]&amp;"-"&amp;Tabela1[[#This Row],[Código]]&amp;"/"&amp;Tabela1[[#This Row],[Origem]]</f>
        <v>Purupona-H473H163/MA</v>
      </c>
      <c r="F3526" s="88">
        <v>47611</v>
      </c>
      <c r="G3526" s="88" t="str" cm="1">
        <f t="array" ref="G35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AND(F3526&gt;= DATE(2026,1,1), F3526&lt;= DATE(2028, 12, 31), J3526&gt;50000), "Pendente e Caro", AND(F3526&gt;= DATE(2026,1,1), F3526&lt;= DATE(2028, 12, 31), J3526&lt;=50000), "Pendente", F3526&gt;= DATE(2029,1,1), "Não prioeitário")</f>
        <v>Não prioeitário</v>
      </c>
      <c r="H3526" s="89">
        <f>YEAR(Tabela1[[#This Row],[Data de Validade]])</f>
        <v>2030</v>
      </c>
      <c r="I3526" s="89">
        <f>MONTH(Tabela1[[#This Row],[Data de Validade]])</f>
        <v>5</v>
      </c>
      <c r="J3526" s="101">
        <v>49459</v>
      </c>
      <c r="K3526" s="87" t="s">
        <v>7</v>
      </c>
      <c r="L3526" s="108"/>
      <c r="M3526" s="108"/>
      <c r="N3526" s="108" t="str">
        <v>P116H392</v>
      </c>
      <c r="O3526" s="108">
        <f t="shared" si="57"/>
        <v>1</v>
      </c>
      <c r="P3526" s="108"/>
      <c r="Q3526"/>
    </row>
    <row r="3527" spans="1:17" x14ac:dyDescent="0.25">
      <c r="A3527" s="89" t="s">
        <v>9061</v>
      </c>
      <c r="B3527" s="87" t="s">
        <v>9062</v>
      </c>
      <c r="C3527" s="87" t="s">
        <v>15</v>
      </c>
      <c r="D3527" s="87" t="str">
        <f>VLOOKUP(Tabela1[[#This Row],[Origem]], 'Perguntas 1 a 24'!$J$28:$K$34, 2, 0)</f>
        <v>Sudeste</v>
      </c>
      <c r="E3527" s="87" t="str">
        <f>Tabela1[[#This Row],[Descrição]]&amp;"-"&amp;Tabela1[[#This Row],[Código]]&amp;"/"&amp;Tabela1[[#This Row],[Origem]]</f>
        <v>Codivape-H874P366/ES</v>
      </c>
      <c r="F3527" s="88">
        <v>47611</v>
      </c>
      <c r="G3527" s="88" t="str" cm="1">
        <f t="array" ref="G35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AND(F3527&gt;= DATE(2026,1,1), F3527&lt;= DATE(2028, 12, 31), J3527&gt;50000), "Pendente e Caro", AND(F3527&gt;= DATE(2026,1,1), F3527&lt;= DATE(2028, 12, 31), J3527&lt;=50000), "Pendente", F3527&gt;= DATE(2029,1,1), "Não prioeitário")</f>
        <v>Não prioeitário</v>
      </c>
      <c r="H3527" s="89">
        <f>YEAR(Tabela1[[#This Row],[Data de Validade]])</f>
        <v>2030</v>
      </c>
      <c r="I3527" s="89">
        <f>MONTH(Tabela1[[#This Row],[Data de Validade]])</f>
        <v>5</v>
      </c>
      <c r="J3527" s="101">
        <v>35191</v>
      </c>
      <c r="K3527" s="87" t="s">
        <v>9</v>
      </c>
      <c r="L3527" s="108"/>
      <c r="M3527" s="108"/>
      <c r="N3527" s="108" t="str">
        <v>P662P242</v>
      </c>
      <c r="O3527" s="108">
        <f t="shared" si="57"/>
        <v>1</v>
      </c>
      <c r="P3527" s="108"/>
      <c r="Q3527"/>
    </row>
    <row r="3528" spans="1:17" x14ac:dyDescent="0.25">
      <c r="A3528" s="89" t="s">
        <v>5392</v>
      </c>
      <c r="B3528" s="87" t="s">
        <v>5393</v>
      </c>
      <c r="C3528" s="87" t="s">
        <v>16</v>
      </c>
      <c r="D3528" s="87" t="str">
        <f>VLOOKUP(Tabela1[[#This Row],[Origem]], 'Perguntas 1 a 24'!$J$28:$K$34, 2, 0)</f>
        <v>Sudeste</v>
      </c>
      <c r="E3528" s="87" t="str">
        <f>Tabela1[[#This Row],[Descrição]]&amp;"-"&amp;Tabela1[[#This Row],[Código]]&amp;"/"&amp;Tabela1[[#This Row],[Origem]]</f>
        <v>Gupilu-H543H627/MG</v>
      </c>
      <c r="F3528" s="88">
        <v>47612</v>
      </c>
      <c r="G3528" s="88" t="str" cm="1">
        <f t="array" ref="G35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AND(F3528&gt;= DATE(2026,1,1), F3528&lt;= DATE(2028, 12, 31), J3528&gt;50000), "Pendente e Caro", AND(F3528&gt;= DATE(2026,1,1), F3528&lt;= DATE(2028, 12, 31), J3528&lt;=50000), "Pendente", F3528&gt;= DATE(2029,1,1), "Não prioeitário")</f>
        <v>Não prioeitário</v>
      </c>
      <c r="H3528" s="89">
        <f>YEAR(Tabela1[[#This Row],[Data de Validade]])</f>
        <v>2030</v>
      </c>
      <c r="I3528" s="89">
        <f>MONTH(Tabela1[[#This Row],[Data de Validade]])</f>
        <v>5</v>
      </c>
      <c r="J3528" s="101">
        <v>65919</v>
      </c>
      <c r="K3528" s="87" t="s">
        <v>14</v>
      </c>
      <c r="L3528" s="108"/>
      <c r="M3528" s="108"/>
      <c r="N3528" s="108" t="str">
        <v>P838P613</v>
      </c>
      <c r="O3528" s="108">
        <f t="shared" si="57"/>
        <v>1</v>
      </c>
      <c r="P3528" s="108"/>
      <c r="Q3528"/>
    </row>
    <row r="3529" spans="1:17" x14ac:dyDescent="0.25">
      <c r="A3529" s="89" t="s">
        <v>7242</v>
      </c>
      <c r="B3529" s="87" t="s">
        <v>7243</v>
      </c>
      <c r="C3529" s="87" t="s">
        <v>13</v>
      </c>
      <c r="D3529" s="87" t="str">
        <f>VLOOKUP(Tabela1[[#This Row],[Origem]], 'Perguntas 1 a 24'!$J$28:$K$34, 2, 0)</f>
        <v>Sudeste</v>
      </c>
      <c r="E3529" s="87" t="str">
        <f>Tabela1[[#This Row],[Descrição]]&amp;"-"&amp;Tabela1[[#This Row],[Código]]&amp;"/"&amp;Tabela1[[#This Row],[Origem]]</f>
        <v>Pituri-H146H944/SP</v>
      </c>
      <c r="F3529" s="88">
        <v>47613</v>
      </c>
      <c r="G3529" s="88" t="str" cm="1">
        <f t="array" ref="G35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AND(F3529&gt;= DATE(2026,1,1), F3529&lt;= DATE(2028, 12, 31), J3529&gt;50000), "Pendente e Caro", AND(F3529&gt;= DATE(2026,1,1), F3529&lt;= DATE(2028, 12, 31), J3529&lt;=50000), "Pendente", F3529&gt;= DATE(2029,1,1), "Não prioeitário")</f>
        <v>Não prioeitário</v>
      </c>
      <c r="H3529" s="89">
        <f>YEAR(Tabela1[[#This Row],[Data de Validade]])</f>
        <v>2030</v>
      </c>
      <c r="I3529" s="89">
        <f>MONTH(Tabela1[[#This Row],[Data de Validade]])</f>
        <v>5</v>
      </c>
      <c r="J3529" s="101">
        <v>58035</v>
      </c>
      <c r="K3529" s="87" t="s">
        <v>14</v>
      </c>
      <c r="L3529" s="108"/>
      <c r="M3529" s="108"/>
      <c r="N3529" s="108" t="str">
        <v>H377P638</v>
      </c>
      <c r="O3529" s="108">
        <f t="shared" si="57"/>
        <v>1</v>
      </c>
      <c r="P3529" s="108"/>
      <c r="Q3529"/>
    </row>
    <row r="3530" spans="1:17" x14ac:dyDescent="0.25">
      <c r="A3530" s="89" t="s">
        <v>5306</v>
      </c>
      <c r="B3530" s="87" t="s">
        <v>5307</v>
      </c>
      <c r="C3530" s="87" t="s">
        <v>10</v>
      </c>
      <c r="D3530" s="87" t="str">
        <f>VLOOKUP(Tabela1[[#This Row],[Origem]], 'Perguntas 1 a 24'!$J$28:$K$34, 2, 0)</f>
        <v>Centro-Oeste</v>
      </c>
      <c r="E3530" s="87" t="str">
        <f>Tabela1[[#This Row],[Descrição]]&amp;"-"&amp;Tabela1[[#This Row],[Código]]&amp;"/"&amp;Tabela1[[#This Row],[Origem]]</f>
        <v>Pitolupu-H533P362/GO</v>
      </c>
      <c r="F3530" s="88">
        <v>47614</v>
      </c>
      <c r="G3530" s="88" t="str" cm="1">
        <f t="array" ref="G35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AND(F3530&gt;= DATE(2026,1,1), F3530&lt;= DATE(2028, 12, 31), J3530&gt;50000), "Pendente e Caro", AND(F3530&gt;= DATE(2026,1,1), F3530&lt;= DATE(2028, 12, 31), J3530&lt;=50000), "Pendente", F3530&gt;= DATE(2029,1,1), "Não prioeitário")</f>
        <v>Não prioeitário</v>
      </c>
      <c r="H3530" s="89">
        <f>YEAR(Tabela1[[#This Row],[Data de Validade]])</f>
        <v>2030</v>
      </c>
      <c r="I3530" s="89">
        <f>MONTH(Tabela1[[#This Row],[Data de Validade]])</f>
        <v>5</v>
      </c>
      <c r="J3530" s="101">
        <v>31420</v>
      </c>
      <c r="K3530" s="87" t="s">
        <v>7</v>
      </c>
      <c r="L3530" s="108"/>
      <c r="M3530" s="108"/>
      <c r="N3530" s="108" t="str">
        <v>H514H316</v>
      </c>
      <c r="O3530" s="108">
        <f t="shared" si="57"/>
        <v>1</v>
      </c>
      <c r="P3530" s="108"/>
      <c r="Q3530"/>
    </row>
    <row r="3531" spans="1:17" x14ac:dyDescent="0.25">
      <c r="A3531" s="89" t="s">
        <v>11139</v>
      </c>
      <c r="B3531" s="87" t="s">
        <v>11140</v>
      </c>
      <c r="C3531" s="87" t="s">
        <v>13</v>
      </c>
      <c r="D3531" s="87" t="str">
        <f>VLOOKUP(Tabela1[[#This Row],[Origem]], 'Perguntas 1 a 24'!$J$28:$K$34, 2, 0)</f>
        <v>Sudeste</v>
      </c>
      <c r="E3531" s="87" t="str">
        <f>Tabela1[[#This Row],[Descrição]]&amp;"-"&amp;Tabela1[[#This Row],[Código]]&amp;"/"&amp;Tabela1[[#This Row],[Origem]]</f>
        <v>Firapecu-P599H157/SP</v>
      </c>
      <c r="F3531" s="88">
        <v>47615</v>
      </c>
      <c r="G3531" s="88" t="str" cm="1">
        <f t="array" ref="G35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AND(F3531&gt;= DATE(2026,1,1), F3531&lt;= DATE(2028, 12, 31), J3531&gt;50000), "Pendente e Caro", AND(F3531&gt;= DATE(2026,1,1), F3531&lt;= DATE(2028, 12, 31), J3531&lt;=50000), "Pendente", F3531&gt;= DATE(2029,1,1), "Não prioeitário")</f>
        <v>Não prioeitário</v>
      </c>
      <c r="H3531" s="89">
        <f>YEAR(Tabela1[[#This Row],[Data de Validade]])</f>
        <v>2030</v>
      </c>
      <c r="I3531" s="89">
        <f>MONTH(Tabela1[[#This Row],[Data de Validade]])</f>
        <v>5</v>
      </c>
      <c r="J3531" s="101">
        <v>102415</v>
      </c>
      <c r="K3531" s="87" t="s">
        <v>14</v>
      </c>
      <c r="L3531" s="108"/>
      <c r="M3531" s="108"/>
      <c r="N3531" s="108" t="str">
        <v>P971H945</v>
      </c>
      <c r="O3531" s="108">
        <f t="shared" si="57"/>
        <v>1</v>
      </c>
      <c r="P3531" s="108"/>
      <c r="Q3531"/>
    </row>
    <row r="3532" spans="1:17" x14ac:dyDescent="0.25">
      <c r="A3532" s="89" t="s">
        <v>11036</v>
      </c>
      <c r="B3532" s="87" t="s">
        <v>11037</v>
      </c>
      <c r="C3532" s="87" t="s">
        <v>13</v>
      </c>
      <c r="D3532" s="87" t="str">
        <f>VLOOKUP(Tabela1[[#This Row],[Origem]], 'Perguntas 1 a 24'!$J$28:$K$34, 2, 0)</f>
        <v>Sudeste</v>
      </c>
      <c r="E3532" s="87" t="str">
        <f>Tabela1[[#This Row],[Descrição]]&amp;"-"&amp;Tabela1[[#This Row],[Código]]&amp;"/"&amp;Tabela1[[#This Row],[Origem]]</f>
        <v>Vufumano-P375P217/SP</v>
      </c>
      <c r="F3532" s="88">
        <v>47615</v>
      </c>
      <c r="G3532" s="88" t="str" cm="1">
        <f t="array" ref="G35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AND(F3532&gt;= DATE(2026,1,1), F3532&lt;= DATE(2028, 12, 31), J3532&gt;50000), "Pendente e Caro", AND(F3532&gt;= DATE(2026,1,1), F3532&lt;= DATE(2028, 12, 31), J3532&lt;=50000), "Pendente", F3532&gt;= DATE(2029,1,1), "Não prioeitário")</f>
        <v>Não prioeitário</v>
      </c>
      <c r="H3532" s="89">
        <f>YEAR(Tabela1[[#This Row],[Data de Validade]])</f>
        <v>2030</v>
      </c>
      <c r="I3532" s="89">
        <f>MONTH(Tabela1[[#This Row],[Data de Validade]])</f>
        <v>5</v>
      </c>
      <c r="J3532" s="101">
        <v>68479</v>
      </c>
      <c r="K3532" s="87" t="s">
        <v>14</v>
      </c>
      <c r="L3532" s="108"/>
      <c r="M3532" s="108"/>
      <c r="N3532" s="108" t="str">
        <v>P318P746</v>
      </c>
      <c r="O3532" s="108">
        <f t="shared" si="57"/>
        <v>1</v>
      </c>
      <c r="P3532" s="108"/>
      <c r="Q3532"/>
    </row>
    <row r="3533" spans="1:17" x14ac:dyDescent="0.25">
      <c r="A3533" s="89" t="s">
        <v>3695</v>
      </c>
      <c r="B3533" s="87" t="s">
        <v>3696</v>
      </c>
      <c r="C3533" s="87" t="s">
        <v>16</v>
      </c>
      <c r="D3533" s="87" t="str">
        <f>VLOOKUP(Tabela1[[#This Row],[Origem]], 'Perguntas 1 a 24'!$J$28:$K$34, 2, 0)</f>
        <v>Sudeste</v>
      </c>
      <c r="E3533" s="87" t="str">
        <f>Tabela1[[#This Row],[Descrição]]&amp;"-"&amp;Tabela1[[#This Row],[Código]]&amp;"/"&amp;Tabela1[[#This Row],[Origem]]</f>
        <v>Cagetido-H826H694/MG</v>
      </c>
      <c r="F3533" s="88">
        <v>47616</v>
      </c>
      <c r="G3533" s="88" t="str" cm="1">
        <f t="array" ref="G35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AND(F3533&gt;= DATE(2026,1,1), F3533&lt;= DATE(2028, 12, 31), J3533&gt;50000), "Pendente e Caro", AND(F3533&gt;= DATE(2026,1,1), F3533&lt;= DATE(2028, 12, 31), J3533&lt;=50000), "Pendente", F3533&gt;= DATE(2029,1,1), "Não prioeitário")</f>
        <v>Não prioeitário</v>
      </c>
      <c r="H3533" s="89">
        <f>YEAR(Tabela1[[#This Row],[Data de Validade]])</f>
        <v>2030</v>
      </c>
      <c r="I3533" s="89">
        <f>MONTH(Tabela1[[#This Row],[Data de Validade]])</f>
        <v>5</v>
      </c>
      <c r="J3533" s="101">
        <v>64518</v>
      </c>
      <c r="K3533" s="87" t="s">
        <v>9</v>
      </c>
      <c r="L3533" s="108"/>
      <c r="M3533" s="108"/>
      <c r="N3533" s="108" t="str">
        <v>P829H916</v>
      </c>
      <c r="O3533" s="108">
        <f t="shared" si="57"/>
        <v>1</v>
      </c>
      <c r="P3533" s="108"/>
      <c r="Q3533"/>
    </row>
    <row r="3534" spans="1:17" x14ac:dyDescent="0.25">
      <c r="A3534" s="89" t="s">
        <v>9219</v>
      </c>
      <c r="B3534" s="87" t="s">
        <v>9220</v>
      </c>
      <c r="C3534" s="87" t="s">
        <v>10</v>
      </c>
      <c r="D3534" s="87" t="str">
        <f>VLOOKUP(Tabela1[[#This Row],[Origem]], 'Perguntas 1 a 24'!$J$28:$K$34, 2, 0)</f>
        <v>Centro-Oeste</v>
      </c>
      <c r="E3534" s="87" t="str">
        <f>Tabela1[[#This Row],[Descrição]]&amp;"-"&amp;Tabela1[[#This Row],[Código]]&amp;"/"&amp;Tabela1[[#This Row],[Origem]]</f>
        <v>Pareto-P888H921/GO</v>
      </c>
      <c r="F3534" s="88">
        <v>47616</v>
      </c>
      <c r="G3534" s="88" t="str" cm="1">
        <f t="array" ref="G35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AND(F3534&gt;= DATE(2026,1,1), F3534&lt;= DATE(2028, 12, 31), J3534&gt;50000), "Pendente e Caro", AND(F3534&gt;= DATE(2026,1,1), F3534&lt;= DATE(2028, 12, 31), J3534&lt;=50000), "Pendente", F3534&gt;= DATE(2029,1,1), "Não prioeitário")</f>
        <v>Não prioeitário</v>
      </c>
      <c r="H3534" s="89">
        <f>YEAR(Tabela1[[#This Row],[Data de Validade]])</f>
        <v>2030</v>
      </c>
      <c r="I3534" s="89">
        <f>MONTH(Tabela1[[#This Row],[Data de Validade]])</f>
        <v>5</v>
      </c>
      <c r="J3534" s="101">
        <v>60036</v>
      </c>
      <c r="K3534" s="87" t="s">
        <v>11</v>
      </c>
      <c r="L3534" s="108"/>
      <c r="M3534" s="108"/>
      <c r="N3534" s="108" t="str">
        <v>P217H495</v>
      </c>
      <c r="O3534" s="108">
        <f t="shared" si="57"/>
        <v>1</v>
      </c>
      <c r="P3534" s="108"/>
      <c r="Q3534"/>
    </row>
    <row r="3535" spans="1:17" x14ac:dyDescent="0.25">
      <c r="A3535" s="89" t="s">
        <v>5154</v>
      </c>
      <c r="B3535" s="87" t="s">
        <v>5155</v>
      </c>
      <c r="C3535" s="87" t="s">
        <v>12</v>
      </c>
      <c r="D3535" s="87" t="str">
        <f>VLOOKUP(Tabela1[[#This Row],[Origem]], 'Perguntas 1 a 24'!$J$28:$K$34, 2, 0)</f>
        <v>Sudeste</v>
      </c>
      <c r="E3535" s="87" t="str">
        <f>Tabela1[[#This Row],[Descrição]]&amp;"-"&amp;Tabela1[[#This Row],[Código]]&amp;"/"&amp;Tabela1[[#This Row],[Origem]]</f>
        <v>Potopi-P483P793/RJ</v>
      </c>
      <c r="F3535" s="88">
        <v>47616</v>
      </c>
      <c r="G3535" s="88" t="str" cm="1">
        <f t="array" ref="G35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AND(F3535&gt;= DATE(2026,1,1), F3535&lt;= DATE(2028, 12, 31), J3535&gt;50000), "Pendente e Caro", AND(F3535&gt;= DATE(2026,1,1), F3535&lt;= DATE(2028, 12, 31), J3535&lt;=50000), "Pendente", F3535&gt;= DATE(2029,1,1), "Não prioeitário")</f>
        <v>Não prioeitário</v>
      </c>
      <c r="H3535" s="89">
        <f>YEAR(Tabela1[[#This Row],[Data de Validade]])</f>
        <v>2030</v>
      </c>
      <c r="I3535" s="89">
        <f>MONTH(Tabela1[[#This Row],[Data de Validade]])</f>
        <v>5</v>
      </c>
      <c r="J3535" s="101">
        <v>25846</v>
      </c>
      <c r="K3535" s="87" t="s">
        <v>9</v>
      </c>
      <c r="L3535" s="108"/>
      <c r="M3535" s="108"/>
      <c r="N3535" s="108" t="str">
        <v>P863H331</v>
      </c>
      <c r="O3535" s="108">
        <f t="shared" si="57"/>
        <v>1</v>
      </c>
      <c r="P3535" s="108"/>
      <c r="Q3535"/>
    </row>
    <row r="3536" spans="1:17" x14ac:dyDescent="0.25">
      <c r="A3536" s="89" t="s">
        <v>8474</v>
      </c>
      <c r="B3536" s="87" t="s">
        <v>8475</v>
      </c>
      <c r="C3536" s="87" t="s">
        <v>8</v>
      </c>
      <c r="D3536" s="87" t="str">
        <f>VLOOKUP(Tabela1[[#This Row],[Origem]], 'Perguntas 1 a 24'!$J$28:$K$34, 2, 0)</f>
        <v>Nordeste</v>
      </c>
      <c r="E3536" s="87" t="str">
        <f>Tabela1[[#This Row],[Descrição]]&amp;"-"&amp;Tabela1[[#This Row],[Código]]&amp;"/"&amp;Tabela1[[#This Row],[Origem]]</f>
        <v>Narovelo-H859P649/AL</v>
      </c>
      <c r="F3536" s="88">
        <v>47617</v>
      </c>
      <c r="G3536" s="88" t="str" cm="1">
        <f t="array" ref="G35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AND(F3536&gt;= DATE(2026,1,1), F3536&lt;= DATE(2028, 12, 31), J3536&gt;50000), "Pendente e Caro", AND(F3536&gt;= DATE(2026,1,1), F3536&lt;= DATE(2028, 12, 31), J3536&lt;=50000), "Pendente", F3536&gt;= DATE(2029,1,1), "Não prioeitário")</f>
        <v>Não prioeitário</v>
      </c>
      <c r="H3536" s="89">
        <f>YEAR(Tabela1[[#This Row],[Data de Validade]])</f>
        <v>2030</v>
      </c>
      <c r="I3536" s="89">
        <f>MONTH(Tabela1[[#This Row],[Data de Validade]])</f>
        <v>5</v>
      </c>
      <c r="J3536" s="101">
        <v>111785</v>
      </c>
      <c r="K3536" s="87" t="s">
        <v>11</v>
      </c>
      <c r="L3536" s="108"/>
      <c r="M3536" s="108"/>
      <c r="N3536" s="108" t="str">
        <v>P552P143</v>
      </c>
      <c r="O3536" s="108">
        <f t="shared" si="57"/>
        <v>1</v>
      </c>
      <c r="P3536" s="108"/>
      <c r="Q3536"/>
    </row>
    <row r="3537" spans="1:17" x14ac:dyDescent="0.25">
      <c r="A3537" s="89" t="s">
        <v>11204</v>
      </c>
      <c r="B3537" s="87" t="s">
        <v>11205</v>
      </c>
      <c r="C3537" s="87" t="s">
        <v>8</v>
      </c>
      <c r="D3537" s="87" t="str">
        <f>VLOOKUP(Tabela1[[#This Row],[Origem]], 'Perguntas 1 a 24'!$J$28:$K$34, 2, 0)</f>
        <v>Nordeste</v>
      </c>
      <c r="E3537" s="87" t="str">
        <f>Tabela1[[#This Row],[Descrição]]&amp;"-"&amp;Tabela1[[#This Row],[Código]]&amp;"/"&amp;Tabela1[[#This Row],[Origem]]</f>
        <v>Tapiniro-P674P773/AL</v>
      </c>
      <c r="F3537" s="88">
        <v>47617</v>
      </c>
      <c r="G3537" s="88" t="str" cm="1">
        <f t="array" ref="G35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AND(F3537&gt;= DATE(2026,1,1), F3537&lt;= DATE(2028, 12, 31), J3537&gt;50000), "Pendente e Caro", AND(F3537&gt;= DATE(2026,1,1), F3537&lt;= DATE(2028, 12, 31), J3537&lt;=50000), "Pendente", F3537&gt;= DATE(2029,1,1), "Não prioeitário")</f>
        <v>Não prioeitário</v>
      </c>
      <c r="H3537" s="89">
        <f>YEAR(Tabela1[[#This Row],[Data de Validade]])</f>
        <v>2030</v>
      </c>
      <c r="I3537" s="89">
        <f>MONTH(Tabela1[[#This Row],[Data de Validade]])</f>
        <v>5</v>
      </c>
      <c r="J3537" s="101">
        <v>76653</v>
      </c>
      <c r="K3537" s="87" t="s">
        <v>14</v>
      </c>
      <c r="L3537" s="108"/>
      <c r="M3537" s="108"/>
      <c r="N3537" s="108" t="str">
        <v>H996P989</v>
      </c>
      <c r="O3537" s="108">
        <f t="shared" si="57"/>
        <v>1</v>
      </c>
      <c r="P3537" s="108"/>
      <c r="Q3537"/>
    </row>
    <row r="3538" spans="1:17" x14ac:dyDescent="0.25">
      <c r="A3538" s="89" t="s">
        <v>6060</v>
      </c>
      <c r="B3538" s="87" t="s">
        <v>6061</v>
      </c>
      <c r="C3538" s="87" t="s">
        <v>15</v>
      </c>
      <c r="D3538" s="87" t="str">
        <f>VLOOKUP(Tabela1[[#This Row],[Origem]], 'Perguntas 1 a 24'!$J$28:$K$34, 2, 0)</f>
        <v>Sudeste</v>
      </c>
      <c r="E3538" s="87" t="str">
        <f>Tabela1[[#This Row],[Descrição]]&amp;"-"&amp;Tabela1[[#This Row],[Código]]&amp;"/"&amp;Tabela1[[#This Row],[Origem]]</f>
        <v>Gavonovu-P578P573/ES</v>
      </c>
      <c r="F3538" s="88">
        <v>47617</v>
      </c>
      <c r="G3538" s="88" t="str" cm="1">
        <f t="array" ref="G35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AND(F3538&gt;= DATE(2026,1,1), F3538&lt;= DATE(2028, 12, 31), J3538&gt;50000), "Pendente e Caro", AND(F3538&gt;= DATE(2026,1,1), F3538&lt;= DATE(2028, 12, 31), J3538&lt;=50000), "Pendente", F3538&gt;= DATE(2029,1,1), "Não prioeitário")</f>
        <v>Não prioeitário</v>
      </c>
      <c r="H3538" s="89">
        <f>YEAR(Tabela1[[#This Row],[Data de Validade]])</f>
        <v>2030</v>
      </c>
      <c r="I3538" s="89">
        <f>MONTH(Tabela1[[#This Row],[Data de Validade]])</f>
        <v>5</v>
      </c>
      <c r="J3538" s="101">
        <v>39628</v>
      </c>
      <c r="K3538" s="87" t="s">
        <v>7</v>
      </c>
      <c r="L3538" s="108"/>
      <c r="M3538" s="108"/>
      <c r="N3538" s="108" t="str">
        <v>P962H554</v>
      </c>
      <c r="O3538" s="108">
        <f t="shared" si="57"/>
        <v>1</v>
      </c>
      <c r="P3538" s="108"/>
      <c r="Q3538"/>
    </row>
    <row r="3539" spans="1:17" x14ac:dyDescent="0.25">
      <c r="A3539" s="89" t="s">
        <v>6604</v>
      </c>
      <c r="B3539" s="87" t="s">
        <v>6605</v>
      </c>
      <c r="C3539" s="87" t="s">
        <v>10</v>
      </c>
      <c r="D3539" s="87" t="str">
        <f>VLOOKUP(Tabela1[[#This Row],[Origem]], 'Perguntas 1 a 24'!$J$28:$K$34, 2, 0)</f>
        <v>Centro-Oeste</v>
      </c>
      <c r="E3539" s="87" t="str">
        <f>Tabela1[[#This Row],[Descrição]]&amp;"-"&amp;Tabela1[[#This Row],[Código]]&amp;"/"&amp;Tabela1[[#This Row],[Origem]]</f>
        <v>Rumito-P116H392/GO</v>
      </c>
      <c r="F3539" s="88">
        <v>47619</v>
      </c>
      <c r="G3539" s="88" t="str" cm="1">
        <f t="array" ref="G35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AND(F3539&gt;= DATE(2026,1,1), F3539&lt;= DATE(2028, 12, 31), J3539&gt;50000), "Pendente e Caro", AND(F3539&gt;= DATE(2026,1,1), F3539&lt;= DATE(2028, 12, 31), J3539&lt;=50000), "Pendente", F3539&gt;= DATE(2029,1,1), "Não prioeitário")</f>
        <v>Não prioeitário</v>
      </c>
      <c r="H3539" s="89">
        <f>YEAR(Tabela1[[#This Row],[Data de Validade]])</f>
        <v>2030</v>
      </c>
      <c r="I3539" s="89">
        <f>MONTH(Tabela1[[#This Row],[Data de Validade]])</f>
        <v>5</v>
      </c>
      <c r="J3539" s="101">
        <v>102032</v>
      </c>
      <c r="K3539" s="87" t="s">
        <v>9</v>
      </c>
      <c r="L3539" s="108"/>
      <c r="M3539" s="108"/>
      <c r="N3539" s="108" t="str">
        <v>H748H739</v>
      </c>
      <c r="O3539" s="108">
        <f t="shared" si="57"/>
        <v>1</v>
      </c>
      <c r="P3539" s="108"/>
      <c r="Q3539"/>
    </row>
    <row r="3540" spans="1:17" x14ac:dyDescent="0.25">
      <c r="A3540" s="89" t="s">
        <v>6660</v>
      </c>
      <c r="B3540" s="87" t="s">
        <v>6661</v>
      </c>
      <c r="C3540" s="87" t="s">
        <v>16</v>
      </c>
      <c r="D3540" s="87" t="str">
        <f>VLOOKUP(Tabela1[[#This Row],[Origem]], 'Perguntas 1 a 24'!$J$28:$K$34, 2, 0)</f>
        <v>Sudeste</v>
      </c>
      <c r="E3540" s="87" t="str">
        <f>Tabela1[[#This Row],[Descrição]]&amp;"-"&amp;Tabela1[[#This Row],[Código]]&amp;"/"&amp;Tabela1[[#This Row],[Origem]]</f>
        <v>Tilupuga-P662P242/MG</v>
      </c>
      <c r="F3540" s="88">
        <v>47619</v>
      </c>
      <c r="G3540" s="88" t="str" cm="1">
        <f t="array" ref="G35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AND(F3540&gt;= DATE(2026,1,1), F3540&lt;= DATE(2028, 12, 31), J3540&gt;50000), "Pendente e Caro", AND(F3540&gt;= DATE(2026,1,1), F3540&lt;= DATE(2028, 12, 31), J3540&lt;=50000), "Pendente", F3540&gt;= DATE(2029,1,1), "Não prioeitário")</f>
        <v>Não prioeitário</v>
      </c>
      <c r="H3540" s="89">
        <f>YEAR(Tabela1[[#This Row],[Data de Validade]])</f>
        <v>2030</v>
      </c>
      <c r="I3540" s="89">
        <f>MONTH(Tabela1[[#This Row],[Data de Validade]])</f>
        <v>5</v>
      </c>
      <c r="J3540" s="101">
        <v>83686</v>
      </c>
      <c r="K3540" s="87" t="s">
        <v>7</v>
      </c>
      <c r="L3540" s="108"/>
      <c r="M3540" s="108"/>
      <c r="N3540" s="108" t="str">
        <v>H367P627</v>
      </c>
      <c r="O3540" s="108">
        <f t="shared" si="57"/>
        <v>1</v>
      </c>
      <c r="P3540" s="108"/>
      <c r="Q3540"/>
    </row>
    <row r="3541" spans="1:17" x14ac:dyDescent="0.25">
      <c r="A3541" s="89" t="s">
        <v>6662</v>
      </c>
      <c r="B3541" s="87" t="s">
        <v>6663</v>
      </c>
      <c r="C3541" s="87" t="s">
        <v>10</v>
      </c>
      <c r="D3541" s="87" t="str">
        <f>VLOOKUP(Tabela1[[#This Row],[Origem]], 'Perguntas 1 a 24'!$J$28:$K$34, 2, 0)</f>
        <v>Centro-Oeste</v>
      </c>
      <c r="E3541" s="87" t="str">
        <f>Tabela1[[#This Row],[Descrição]]&amp;"-"&amp;Tabela1[[#This Row],[Código]]&amp;"/"&amp;Tabela1[[#This Row],[Origem]]</f>
        <v>Taputo-P838P613/GO</v>
      </c>
      <c r="F3541" s="88">
        <v>47619</v>
      </c>
      <c r="G3541" s="88" t="str" cm="1">
        <f t="array" ref="G35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AND(F3541&gt;= DATE(2026,1,1), F3541&lt;= DATE(2028, 12, 31), J3541&gt;50000), "Pendente e Caro", AND(F3541&gt;= DATE(2026,1,1), F3541&lt;= DATE(2028, 12, 31), J3541&lt;=50000), "Pendente", F3541&gt;= DATE(2029,1,1), "Não prioeitário")</f>
        <v>Não prioeitário</v>
      </c>
      <c r="H3541" s="89">
        <f>YEAR(Tabela1[[#This Row],[Data de Validade]])</f>
        <v>2030</v>
      </c>
      <c r="I3541" s="89">
        <f>MONTH(Tabela1[[#This Row],[Data de Validade]])</f>
        <v>5</v>
      </c>
      <c r="J3541" s="101">
        <v>59243</v>
      </c>
      <c r="K3541" s="87" t="s">
        <v>7</v>
      </c>
      <c r="L3541" s="108"/>
      <c r="M3541" s="108"/>
      <c r="N3541" s="108" t="str">
        <v>P959P223</v>
      </c>
      <c r="O3541" s="108">
        <f t="shared" si="57"/>
        <v>1</v>
      </c>
      <c r="P3541" s="108"/>
      <c r="Q3541"/>
    </row>
    <row r="3542" spans="1:17" x14ac:dyDescent="0.25">
      <c r="A3542" s="89" t="s">
        <v>8112</v>
      </c>
      <c r="B3542" s="87" t="s">
        <v>8113</v>
      </c>
      <c r="C3542" s="87" t="s">
        <v>12</v>
      </c>
      <c r="D3542" s="87" t="str">
        <f>VLOOKUP(Tabela1[[#This Row],[Origem]], 'Perguntas 1 a 24'!$J$28:$K$34, 2, 0)</f>
        <v>Sudeste</v>
      </c>
      <c r="E3542" s="87" t="str">
        <f>Tabela1[[#This Row],[Descrição]]&amp;"-"&amp;Tabela1[[#This Row],[Código]]&amp;"/"&amp;Tabela1[[#This Row],[Origem]]</f>
        <v>Gipapefo-H377P638/RJ</v>
      </c>
      <c r="F3542" s="88">
        <v>47620</v>
      </c>
      <c r="G3542" s="88" t="str" cm="1">
        <f t="array" ref="G35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AND(F3542&gt;= DATE(2026,1,1), F3542&lt;= DATE(2028, 12, 31), J3542&gt;50000), "Pendente e Caro", AND(F3542&gt;= DATE(2026,1,1), F3542&lt;= DATE(2028, 12, 31), J3542&lt;=50000), "Pendente", F3542&gt;= DATE(2029,1,1), "Não prioeitário")</f>
        <v>Não prioeitário</v>
      </c>
      <c r="H3542" s="89">
        <f>YEAR(Tabela1[[#This Row],[Data de Validade]])</f>
        <v>2030</v>
      </c>
      <c r="I3542" s="89">
        <f>MONTH(Tabela1[[#This Row],[Data de Validade]])</f>
        <v>5</v>
      </c>
      <c r="J3542" s="101">
        <v>108569</v>
      </c>
      <c r="K3542" s="87" t="s">
        <v>7</v>
      </c>
      <c r="L3542" s="108"/>
      <c r="M3542" s="108"/>
      <c r="N3542" s="108" t="str">
        <v>H667H866</v>
      </c>
      <c r="O3542" s="108">
        <f t="shared" si="57"/>
        <v>1</v>
      </c>
      <c r="P3542" s="108"/>
      <c r="Q3542"/>
    </row>
    <row r="3543" spans="1:17" x14ac:dyDescent="0.25">
      <c r="A3543" s="89" t="s">
        <v>8905</v>
      </c>
      <c r="B3543" s="87" t="s">
        <v>8906</v>
      </c>
      <c r="C3543" s="87" t="s">
        <v>6</v>
      </c>
      <c r="D3543" s="87" t="str">
        <f>VLOOKUP(Tabela1[[#This Row],[Origem]], 'Perguntas 1 a 24'!$J$28:$K$34, 2, 0)</f>
        <v>Nordeste</v>
      </c>
      <c r="E3543" s="87" t="str">
        <f>Tabela1[[#This Row],[Descrição]]&amp;"-"&amp;Tabela1[[#This Row],[Código]]&amp;"/"&amp;Tabela1[[#This Row],[Origem]]</f>
        <v>Capupape-H514H316/MA</v>
      </c>
      <c r="F3543" s="88">
        <v>47620</v>
      </c>
      <c r="G3543" s="88" t="str" cm="1">
        <f t="array" ref="G35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AND(F3543&gt;= DATE(2026,1,1), F3543&lt;= DATE(2028, 12, 31), J3543&gt;50000), "Pendente e Caro", AND(F3543&gt;= DATE(2026,1,1), F3543&lt;= DATE(2028, 12, 31), J3543&lt;=50000), "Pendente", F3543&gt;= DATE(2029,1,1), "Não prioeitário")</f>
        <v>Não prioeitário</v>
      </c>
      <c r="H3543" s="89">
        <f>YEAR(Tabela1[[#This Row],[Data de Validade]])</f>
        <v>2030</v>
      </c>
      <c r="I3543" s="89">
        <f>MONTH(Tabela1[[#This Row],[Data de Validade]])</f>
        <v>5</v>
      </c>
      <c r="J3543" s="101">
        <v>46732</v>
      </c>
      <c r="K3543" s="87" t="s">
        <v>11</v>
      </c>
      <c r="L3543" s="108"/>
      <c r="M3543" s="108"/>
      <c r="N3543" s="108" t="str">
        <v>P662P591</v>
      </c>
      <c r="O3543" s="108">
        <f t="shared" si="57"/>
        <v>1</v>
      </c>
      <c r="P3543" s="108"/>
      <c r="Q3543"/>
    </row>
    <row r="3544" spans="1:17" x14ac:dyDescent="0.25">
      <c r="A3544" s="89" t="s">
        <v>5124</v>
      </c>
      <c r="B3544" s="87" t="s">
        <v>5125</v>
      </c>
      <c r="C3544" s="87" t="s">
        <v>15</v>
      </c>
      <c r="D3544" s="87" t="str">
        <f>VLOOKUP(Tabela1[[#This Row],[Origem]], 'Perguntas 1 a 24'!$J$28:$K$34, 2, 0)</f>
        <v>Sudeste</v>
      </c>
      <c r="E3544" s="87" t="str">
        <f>Tabela1[[#This Row],[Descrição]]&amp;"-"&amp;Tabela1[[#This Row],[Código]]&amp;"/"&amp;Tabela1[[#This Row],[Origem]]</f>
        <v>Deregugu-P971H945/ES</v>
      </c>
      <c r="F3544" s="88">
        <v>47622</v>
      </c>
      <c r="G3544" s="88" t="str" cm="1">
        <f t="array" ref="G35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AND(F3544&gt;= DATE(2026,1,1), F3544&lt;= DATE(2028, 12, 31), J3544&gt;50000), "Pendente e Caro", AND(F3544&gt;= DATE(2026,1,1), F3544&lt;= DATE(2028, 12, 31), J3544&lt;=50000), "Pendente", F3544&gt;= DATE(2029,1,1), "Não prioeitário")</f>
        <v>Não prioeitário</v>
      </c>
      <c r="H3544" s="89">
        <f>YEAR(Tabela1[[#This Row],[Data de Validade]])</f>
        <v>2030</v>
      </c>
      <c r="I3544" s="89">
        <f>MONTH(Tabela1[[#This Row],[Data de Validade]])</f>
        <v>5</v>
      </c>
      <c r="J3544" s="101">
        <v>64069</v>
      </c>
      <c r="K3544" s="87" t="s">
        <v>7</v>
      </c>
      <c r="L3544" s="108"/>
      <c r="M3544" s="108"/>
      <c r="N3544" s="108" t="str">
        <v>H612P644</v>
      </c>
      <c r="O3544" s="108">
        <f t="shared" si="57"/>
        <v>1</v>
      </c>
      <c r="P3544" s="108"/>
      <c r="Q3544"/>
    </row>
    <row r="3545" spans="1:17" x14ac:dyDescent="0.25">
      <c r="A3545" s="89" t="s">
        <v>10471</v>
      </c>
      <c r="B3545" s="87" t="s">
        <v>10472</v>
      </c>
      <c r="C3545" s="87" t="s">
        <v>15</v>
      </c>
      <c r="D3545" s="87" t="str">
        <f>VLOOKUP(Tabela1[[#This Row],[Origem]], 'Perguntas 1 a 24'!$J$28:$K$34, 2, 0)</f>
        <v>Sudeste</v>
      </c>
      <c r="E3545" s="87" t="str">
        <f>Tabela1[[#This Row],[Descrição]]&amp;"-"&amp;Tabela1[[#This Row],[Código]]&amp;"/"&amp;Tabela1[[#This Row],[Origem]]</f>
        <v>Cepapipitu-P318P746/ES</v>
      </c>
      <c r="F3545" s="88">
        <v>47623</v>
      </c>
      <c r="G3545" s="88" t="str" cm="1">
        <f t="array" ref="G35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AND(F3545&gt;= DATE(2026,1,1), F3545&lt;= DATE(2028, 12, 31), J3545&gt;50000), "Pendente e Caro", AND(F3545&gt;= DATE(2026,1,1), F3545&lt;= DATE(2028, 12, 31), J3545&lt;=50000), "Pendente", F3545&gt;= DATE(2029,1,1), "Não prioeitário")</f>
        <v>Não prioeitário</v>
      </c>
      <c r="H3545" s="89">
        <f>YEAR(Tabela1[[#This Row],[Data de Validade]])</f>
        <v>2030</v>
      </c>
      <c r="I3545" s="89">
        <f>MONTH(Tabela1[[#This Row],[Data de Validade]])</f>
        <v>5</v>
      </c>
      <c r="J3545" s="101">
        <v>74147</v>
      </c>
      <c r="K3545" s="87" t="s">
        <v>9</v>
      </c>
      <c r="L3545" s="108"/>
      <c r="M3545" s="108"/>
      <c r="N3545" s="108" t="str">
        <v>P763H429</v>
      </c>
      <c r="O3545" s="108">
        <f t="shared" si="57"/>
        <v>1</v>
      </c>
      <c r="P3545" s="108"/>
      <c r="Q3545"/>
    </row>
    <row r="3546" spans="1:17" x14ac:dyDescent="0.25">
      <c r="A3546" s="89" t="s">
        <v>6722</v>
      </c>
      <c r="B3546" s="87" t="s">
        <v>6723</v>
      </c>
      <c r="C3546" s="87" t="s">
        <v>6</v>
      </c>
      <c r="D3546" s="87" t="str">
        <f>VLOOKUP(Tabela1[[#This Row],[Origem]], 'Perguntas 1 a 24'!$J$28:$K$34, 2, 0)</f>
        <v>Nordeste</v>
      </c>
      <c r="E3546" s="87" t="str">
        <f>Tabela1[[#This Row],[Descrição]]&amp;"-"&amp;Tabela1[[#This Row],[Código]]&amp;"/"&amp;Tabela1[[#This Row],[Origem]]</f>
        <v>Rulotoro-P829H916/MA</v>
      </c>
      <c r="F3546" s="88">
        <v>47623</v>
      </c>
      <c r="G3546" s="88" t="str" cm="1">
        <f t="array" ref="G35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AND(F3546&gt;= DATE(2026,1,1), F3546&lt;= DATE(2028, 12, 31), J3546&gt;50000), "Pendente e Caro", AND(F3546&gt;= DATE(2026,1,1), F3546&lt;= DATE(2028, 12, 31), J3546&lt;=50000), "Pendente", F3546&gt;= DATE(2029,1,1), "Não prioeitário")</f>
        <v>Não prioeitário</v>
      </c>
      <c r="H3546" s="89">
        <f>YEAR(Tabela1[[#This Row],[Data de Validade]])</f>
        <v>2030</v>
      </c>
      <c r="I3546" s="89">
        <f>MONTH(Tabela1[[#This Row],[Data de Validade]])</f>
        <v>5</v>
      </c>
      <c r="J3546" s="101">
        <v>42341</v>
      </c>
      <c r="K3546" s="87" t="s">
        <v>14</v>
      </c>
      <c r="L3546" s="108"/>
      <c r="M3546" s="108"/>
      <c r="N3546" s="108" t="str">
        <v>H131P267</v>
      </c>
      <c r="O3546" s="108">
        <f t="shared" si="57"/>
        <v>1</v>
      </c>
      <c r="P3546" s="108"/>
      <c r="Q3546"/>
    </row>
    <row r="3547" spans="1:17" x14ac:dyDescent="0.25">
      <c r="A3547" s="89" t="s">
        <v>8034</v>
      </c>
      <c r="B3547" s="87" t="s">
        <v>8035</v>
      </c>
      <c r="C3547" s="87" t="s">
        <v>13</v>
      </c>
      <c r="D3547" s="87" t="str">
        <f>VLOOKUP(Tabela1[[#This Row],[Origem]], 'Perguntas 1 a 24'!$J$28:$K$34, 2, 0)</f>
        <v>Sudeste</v>
      </c>
      <c r="E3547" s="87" t="str">
        <f>Tabela1[[#This Row],[Descrição]]&amp;"-"&amp;Tabela1[[#This Row],[Código]]&amp;"/"&amp;Tabela1[[#This Row],[Origem]]</f>
        <v>Ticatu-P217H495/SP</v>
      </c>
      <c r="F3547" s="88">
        <v>47623</v>
      </c>
      <c r="G3547" s="88" t="str" cm="1">
        <f t="array" ref="G35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AND(F3547&gt;= DATE(2026,1,1), F3547&lt;= DATE(2028, 12, 31), J3547&gt;50000), "Pendente e Caro", AND(F3547&gt;= DATE(2026,1,1), F3547&lt;= DATE(2028, 12, 31), J3547&lt;=50000), "Pendente", F3547&gt;= DATE(2029,1,1), "Não prioeitário")</f>
        <v>Não prioeitário</v>
      </c>
      <c r="H3547" s="89">
        <f>YEAR(Tabela1[[#This Row],[Data de Validade]])</f>
        <v>2030</v>
      </c>
      <c r="I3547" s="89">
        <f>MONTH(Tabela1[[#This Row],[Data de Validade]])</f>
        <v>5</v>
      </c>
      <c r="J3547" s="101">
        <v>37913</v>
      </c>
      <c r="K3547" s="87" t="s">
        <v>7</v>
      </c>
      <c r="L3547" s="108"/>
      <c r="M3547" s="108"/>
      <c r="N3547" s="108" t="str">
        <v>P228P946</v>
      </c>
      <c r="O3547" s="108">
        <f t="shared" si="57"/>
        <v>1</v>
      </c>
      <c r="P3547" s="108"/>
      <c r="Q3547"/>
    </row>
    <row r="3548" spans="1:17" x14ac:dyDescent="0.25">
      <c r="A3548" s="89" t="s">
        <v>11242</v>
      </c>
      <c r="B3548" s="87" t="s">
        <v>11243</v>
      </c>
      <c r="C3548" s="87" t="s">
        <v>13</v>
      </c>
      <c r="D3548" s="87" t="str">
        <f>VLOOKUP(Tabela1[[#This Row],[Origem]], 'Perguntas 1 a 24'!$J$28:$K$34, 2, 0)</f>
        <v>Sudeste</v>
      </c>
      <c r="E3548" s="87" t="str">
        <f>Tabela1[[#This Row],[Descrição]]&amp;"-"&amp;Tabela1[[#This Row],[Código]]&amp;"/"&amp;Tabela1[[#This Row],[Origem]]</f>
        <v>Pipefofala-P863H331/SP</v>
      </c>
      <c r="F3548" s="88">
        <v>47625</v>
      </c>
      <c r="G3548" s="88" t="str" cm="1">
        <f t="array" ref="G35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AND(F3548&gt;= DATE(2026,1,1), F3548&lt;= DATE(2028, 12, 31), J3548&gt;50000), "Pendente e Caro", AND(F3548&gt;= DATE(2026,1,1), F3548&lt;= DATE(2028, 12, 31), J3548&lt;=50000), "Pendente", F3548&gt;= DATE(2029,1,1), "Não prioeitário")</f>
        <v>Não prioeitário</v>
      </c>
      <c r="H3548" s="89">
        <f>YEAR(Tabela1[[#This Row],[Data de Validade]])</f>
        <v>2030</v>
      </c>
      <c r="I3548" s="89">
        <f>MONTH(Tabela1[[#This Row],[Data de Validade]])</f>
        <v>5</v>
      </c>
      <c r="J3548" s="101">
        <v>93768</v>
      </c>
      <c r="K3548" s="87" t="s">
        <v>7</v>
      </c>
      <c r="L3548" s="108"/>
      <c r="M3548" s="108"/>
      <c r="N3548" s="108" t="str">
        <v>H348H166</v>
      </c>
      <c r="O3548" s="108">
        <f t="shared" si="57"/>
        <v>1</v>
      </c>
      <c r="P3548" s="108"/>
      <c r="Q3548"/>
    </row>
    <row r="3549" spans="1:17" x14ac:dyDescent="0.25">
      <c r="A3549" s="89" t="s">
        <v>5150</v>
      </c>
      <c r="B3549" s="87" t="s">
        <v>5151</v>
      </c>
      <c r="C3549" s="87" t="s">
        <v>6</v>
      </c>
      <c r="D3549" s="87" t="str">
        <f>VLOOKUP(Tabela1[[#This Row],[Origem]], 'Perguntas 1 a 24'!$J$28:$K$34, 2, 0)</f>
        <v>Nordeste</v>
      </c>
      <c r="E3549" s="87" t="str">
        <f>Tabela1[[#This Row],[Descrição]]&amp;"-"&amp;Tabela1[[#This Row],[Código]]&amp;"/"&amp;Tabela1[[#This Row],[Origem]]</f>
        <v>Vupolevecu-P552P143/MA</v>
      </c>
      <c r="F3549" s="88">
        <v>47625</v>
      </c>
      <c r="G3549" s="88" t="str" cm="1">
        <f t="array" ref="G35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AND(F3549&gt;= DATE(2026,1,1), F3549&lt;= DATE(2028, 12, 31), J3549&gt;50000), "Pendente e Caro", AND(F3549&gt;= DATE(2026,1,1), F3549&lt;= DATE(2028, 12, 31), J3549&lt;=50000), "Pendente", F3549&gt;= DATE(2029,1,1), "Não prioeitário")</f>
        <v>Não prioeitário</v>
      </c>
      <c r="H3549" s="89">
        <f>YEAR(Tabela1[[#This Row],[Data de Validade]])</f>
        <v>2030</v>
      </c>
      <c r="I3549" s="89">
        <f>MONTH(Tabela1[[#This Row],[Data de Validade]])</f>
        <v>5</v>
      </c>
      <c r="J3549" s="101">
        <v>60566</v>
      </c>
      <c r="K3549" s="87" t="s">
        <v>7</v>
      </c>
      <c r="L3549" s="108"/>
      <c r="M3549" s="108"/>
      <c r="N3549" s="108" t="str">
        <v>P966H767</v>
      </c>
      <c r="O3549" s="108">
        <f t="shared" si="57"/>
        <v>1</v>
      </c>
      <c r="P3549" s="108"/>
      <c r="Q3549"/>
    </row>
    <row r="3550" spans="1:17" x14ac:dyDescent="0.25">
      <c r="A3550" s="89" t="s">
        <v>5146</v>
      </c>
      <c r="B3550" s="87" t="s">
        <v>5147</v>
      </c>
      <c r="C3550" s="87" t="s">
        <v>8</v>
      </c>
      <c r="D3550" s="87" t="str">
        <f>VLOOKUP(Tabela1[[#This Row],[Origem]], 'Perguntas 1 a 24'!$J$28:$K$34, 2, 0)</f>
        <v>Nordeste</v>
      </c>
      <c r="E3550" s="87" t="str">
        <f>Tabela1[[#This Row],[Descrição]]&amp;"-"&amp;Tabela1[[#This Row],[Código]]&amp;"/"&amp;Tabela1[[#This Row],[Origem]]</f>
        <v>Larofama-H996P989/AL</v>
      </c>
      <c r="F3550" s="88">
        <v>47626</v>
      </c>
      <c r="G3550" s="88" t="str" cm="1">
        <f t="array" ref="G35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AND(F3550&gt;= DATE(2026,1,1), F3550&lt;= DATE(2028, 12, 31), J3550&gt;50000), "Pendente e Caro", AND(F3550&gt;= DATE(2026,1,1), F3550&lt;= DATE(2028, 12, 31), J3550&lt;=50000), "Pendente", F3550&gt;= DATE(2029,1,1), "Não prioeitário")</f>
        <v>Não prioeitário</v>
      </c>
      <c r="H3550" s="89">
        <f>YEAR(Tabela1[[#This Row],[Data de Validade]])</f>
        <v>2030</v>
      </c>
      <c r="I3550" s="89">
        <f>MONTH(Tabela1[[#This Row],[Data de Validade]])</f>
        <v>5</v>
      </c>
      <c r="J3550" s="101">
        <v>111610</v>
      </c>
      <c r="K3550" s="87" t="s">
        <v>7</v>
      </c>
      <c r="L3550" s="108"/>
      <c r="M3550" s="108"/>
      <c r="N3550" s="108" t="str">
        <v>P525P882</v>
      </c>
      <c r="O3550" s="108">
        <f t="shared" si="57"/>
        <v>1</v>
      </c>
      <c r="P3550" s="108"/>
      <c r="Q3550"/>
    </row>
    <row r="3551" spans="1:17" x14ac:dyDescent="0.25">
      <c r="A3551" s="89" t="s">
        <v>8032</v>
      </c>
      <c r="B3551" s="87" t="s">
        <v>8033</v>
      </c>
      <c r="C3551" s="87" t="s">
        <v>16</v>
      </c>
      <c r="D3551" s="87" t="str">
        <f>VLOOKUP(Tabela1[[#This Row],[Origem]], 'Perguntas 1 a 24'!$J$28:$K$34, 2, 0)</f>
        <v>Sudeste</v>
      </c>
      <c r="E3551" s="87" t="str">
        <f>Tabela1[[#This Row],[Descrição]]&amp;"-"&amp;Tabela1[[#This Row],[Código]]&amp;"/"&amp;Tabela1[[#This Row],[Origem]]</f>
        <v>Laralelu-P962H554/MG</v>
      </c>
      <c r="F3551" s="88">
        <v>47626</v>
      </c>
      <c r="G3551" s="88" t="str" cm="1">
        <f t="array" ref="G35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AND(F3551&gt;= DATE(2026,1,1), F3551&lt;= DATE(2028, 12, 31), J3551&gt;50000), "Pendente e Caro", AND(F3551&gt;= DATE(2026,1,1), F3551&lt;= DATE(2028, 12, 31), J3551&lt;=50000), "Pendente", F3551&gt;= DATE(2029,1,1), "Não prioeitário")</f>
        <v>Não prioeitário</v>
      </c>
      <c r="H3551" s="89">
        <f>YEAR(Tabela1[[#This Row],[Data de Validade]])</f>
        <v>2030</v>
      </c>
      <c r="I3551" s="89">
        <f>MONTH(Tabela1[[#This Row],[Data de Validade]])</f>
        <v>5</v>
      </c>
      <c r="J3551" s="101">
        <v>92062</v>
      </c>
      <c r="K3551" s="87" t="s">
        <v>7</v>
      </c>
      <c r="L3551" s="108"/>
      <c r="M3551" s="108"/>
      <c r="N3551" s="108" t="str">
        <v>H122P979</v>
      </c>
      <c r="O3551" s="108">
        <f t="shared" si="57"/>
        <v>1</v>
      </c>
      <c r="P3551" s="108"/>
      <c r="Q3551"/>
    </row>
    <row r="3552" spans="1:17" x14ac:dyDescent="0.25">
      <c r="A3552" s="89" t="s">
        <v>6592</v>
      </c>
      <c r="B3552" s="87" t="s">
        <v>6593</v>
      </c>
      <c r="C3552" s="87" t="s">
        <v>13</v>
      </c>
      <c r="D3552" s="87" t="str">
        <f>VLOOKUP(Tabela1[[#This Row],[Origem]], 'Perguntas 1 a 24'!$J$28:$K$34, 2, 0)</f>
        <v>Sudeste</v>
      </c>
      <c r="E3552" s="87" t="str">
        <f>Tabela1[[#This Row],[Descrição]]&amp;"-"&amp;Tabela1[[#This Row],[Código]]&amp;"/"&amp;Tabela1[[#This Row],[Origem]]</f>
        <v>Menomi-H748H739/SP</v>
      </c>
      <c r="F3552" s="88">
        <v>47627</v>
      </c>
      <c r="G3552" s="88" t="str" cm="1">
        <f t="array" ref="G35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AND(F3552&gt;= DATE(2026,1,1), F3552&lt;= DATE(2028, 12, 31), J3552&gt;50000), "Pendente e Caro", AND(F3552&gt;= DATE(2026,1,1), F3552&lt;= DATE(2028, 12, 31), J3552&lt;=50000), "Pendente", F3552&gt;= DATE(2029,1,1), "Não prioeitário")</f>
        <v>Não prioeitário</v>
      </c>
      <c r="H3552" s="89">
        <f>YEAR(Tabela1[[#This Row],[Data de Validade]])</f>
        <v>2030</v>
      </c>
      <c r="I3552" s="89">
        <f>MONTH(Tabela1[[#This Row],[Data de Validade]])</f>
        <v>5</v>
      </c>
      <c r="J3552" s="101">
        <v>102561</v>
      </c>
      <c r="K3552" s="87" t="s">
        <v>14</v>
      </c>
      <c r="L3552" s="108"/>
      <c r="M3552" s="108"/>
      <c r="N3552" s="108" t="str">
        <v>H847H416</v>
      </c>
      <c r="O3552" s="108">
        <f t="shared" si="57"/>
        <v>1</v>
      </c>
      <c r="P3552" s="108"/>
      <c r="Q3552"/>
    </row>
    <row r="3553" spans="1:17" x14ac:dyDescent="0.25">
      <c r="A3553" s="89" t="s">
        <v>11234</v>
      </c>
      <c r="B3553" s="87" t="s">
        <v>11235</v>
      </c>
      <c r="C3553" s="87" t="s">
        <v>12</v>
      </c>
      <c r="D3553" s="87" t="str">
        <f>VLOOKUP(Tabela1[[#This Row],[Origem]], 'Perguntas 1 a 24'!$J$28:$K$34, 2, 0)</f>
        <v>Sudeste</v>
      </c>
      <c r="E3553" s="87" t="str">
        <f>Tabela1[[#This Row],[Descrição]]&amp;"-"&amp;Tabela1[[#This Row],[Código]]&amp;"/"&amp;Tabela1[[#This Row],[Origem]]</f>
        <v>Capugote-H367P627/RJ</v>
      </c>
      <c r="F3553" s="88">
        <v>47627</v>
      </c>
      <c r="G3553" s="88" t="str" cm="1">
        <f t="array" ref="G35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AND(F3553&gt;= DATE(2026,1,1), F3553&lt;= DATE(2028, 12, 31), J3553&gt;50000), "Pendente e Caro", AND(F3553&gt;= DATE(2026,1,1), F3553&lt;= DATE(2028, 12, 31), J3553&lt;=50000), "Pendente", F3553&gt;= DATE(2029,1,1), "Não prioeitário")</f>
        <v>Não prioeitário</v>
      </c>
      <c r="H3553" s="89">
        <f>YEAR(Tabela1[[#This Row],[Data de Validade]])</f>
        <v>2030</v>
      </c>
      <c r="I3553" s="89">
        <f>MONTH(Tabela1[[#This Row],[Data de Validade]])</f>
        <v>5</v>
      </c>
      <c r="J3553" s="101">
        <v>97813</v>
      </c>
      <c r="K3553" s="87" t="s">
        <v>14</v>
      </c>
      <c r="L3553" s="108"/>
      <c r="M3553" s="108"/>
      <c r="N3553" s="108" t="str">
        <v>P984H886</v>
      </c>
      <c r="O3553" s="108">
        <f t="shared" si="57"/>
        <v>1</v>
      </c>
      <c r="P3553" s="108"/>
      <c r="Q3553"/>
    </row>
    <row r="3554" spans="1:17" x14ac:dyDescent="0.25">
      <c r="A3554" s="89" t="s">
        <v>10083</v>
      </c>
      <c r="B3554" s="87" t="s">
        <v>10084</v>
      </c>
      <c r="C3554" s="87" t="s">
        <v>10</v>
      </c>
      <c r="D3554" s="87" t="str">
        <f>VLOOKUP(Tabela1[[#This Row],[Origem]], 'Perguntas 1 a 24'!$J$28:$K$34, 2, 0)</f>
        <v>Centro-Oeste</v>
      </c>
      <c r="E3554" s="87" t="str">
        <f>Tabela1[[#This Row],[Descrição]]&amp;"-"&amp;Tabela1[[#This Row],[Código]]&amp;"/"&amp;Tabela1[[#This Row],[Origem]]</f>
        <v>Pileto-P959P223/GO</v>
      </c>
      <c r="F3554" s="88">
        <v>47627</v>
      </c>
      <c r="G3554" s="88" t="str" cm="1">
        <f t="array" ref="G35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AND(F3554&gt;= DATE(2026,1,1), F3554&lt;= DATE(2028, 12, 31), J3554&gt;50000), "Pendente e Caro", AND(F3554&gt;= DATE(2026,1,1), F3554&lt;= DATE(2028, 12, 31), J3554&lt;=50000), "Pendente", F3554&gt;= DATE(2029,1,1), "Não prioeitário")</f>
        <v>Não prioeitário</v>
      </c>
      <c r="H3554" s="89">
        <f>YEAR(Tabela1[[#This Row],[Data de Validade]])</f>
        <v>2030</v>
      </c>
      <c r="I3554" s="89">
        <f>MONTH(Tabela1[[#This Row],[Data de Validade]])</f>
        <v>5</v>
      </c>
      <c r="J3554" s="101">
        <v>20109</v>
      </c>
      <c r="K3554" s="87" t="s">
        <v>7</v>
      </c>
      <c r="L3554" s="108"/>
      <c r="M3554" s="108"/>
      <c r="N3554" s="108" t="str">
        <v>P794P623</v>
      </c>
      <c r="O3554" s="108">
        <f t="shared" si="57"/>
        <v>1</v>
      </c>
      <c r="P3554" s="108"/>
      <c r="Q3554"/>
    </row>
    <row r="3555" spans="1:17" x14ac:dyDescent="0.25">
      <c r="A3555" s="89" t="s">
        <v>9825</v>
      </c>
      <c r="B3555" s="87" t="s">
        <v>9826</v>
      </c>
      <c r="C3555" s="87" t="s">
        <v>8</v>
      </c>
      <c r="D3555" s="87" t="str">
        <f>VLOOKUP(Tabela1[[#This Row],[Origem]], 'Perguntas 1 a 24'!$J$28:$K$34, 2, 0)</f>
        <v>Nordeste</v>
      </c>
      <c r="E3555" s="87" t="str">
        <f>Tabela1[[#This Row],[Descrição]]&amp;"-"&amp;Tabela1[[#This Row],[Código]]&amp;"/"&amp;Tabela1[[#This Row],[Origem]]</f>
        <v>Dunipu-H667H866/AL</v>
      </c>
      <c r="F3555" s="88">
        <v>47628</v>
      </c>
      <c r="G3555" s="88" t="str" cm="1">
        <f t="array" ref="G35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AND(F3555&gt;= DATE(2026,1,1), F3555&lt;= DATE(2028, 12, 31), J3555&gt;50000), "Pendente e Caro", AND(F3555&gt;= DATE(2026,1,1), F3555&lt;= DATE(2028, 12, 31), J3555&lt;=50000), "Pendente", F3555&gt;= DATE(2029,1,1), "Não prioeitário")</f>
        <v>Não prioeitário</v>
      </c>
      <c r="H3555" s="89">
        <f>YEAR(Tabela1[[#This Row],[Data de Validade]])</f>
        <v>2030</v>
      </c>
      <c r="I3555" s="89">
        <f>MONTH(Tabela1[[#This Row],[Data de Validade]])</f>
        <v>5</v>
      </c>
      <c r="J3555" s="101">
        <v>40410</v>
      </c>
      <c r="K3555" s="87" t="s">
        <v>11</v>
      </c>
      <c r="L3555" s="108"/>
      <c r="M3555" s="108"/>
      <c r="N3555" s="108" t="str">
        <v>P298H622</v>
      </c>
      <c r="O3555" s="108">
        <f t="shared" si="57"/>
        <v>1</v>
      </c>
      <c r="P3555" s="108"/>
      <c r="Q3555"/>
    </row>
    <row r="3556" spans="1:17" x14ac:dyDescent="0.25">
      <c r="A3556" s="89" t="s">
        <v>8532</v>
      </c>
      <c r="B3556" s="87" t="s">
        <v>8533</v>
      </c>
      <c r="C3556" s="87" t="s">
        <v>16</v>
      </c>
      <c r="D3556" s="87" t="str">
        <f>VLOOKUP(Tabela1[[#This Row],[Origem]], 'Perguntas 1 a 24'!$J$28:$K$34, 2, 0)</f>
        <v>Sudeste</v>
      </c>
      <c r="E3556" s="87" t="str">
        <f>Tabela1[[#This Row],[Descrição]]&amp;"-"&amp;Tabela1[[#This Row],[Código]]&amp;"/"&amp;Tabela1[[#This Row],[Origem]]</f>
        <v>Lilupu-P662P591/MG</v>
      </c>
      <c r="F3556" s="88">
        <v>47628</v>
      </c>
      <c r="G3556" s="88" t="str" cm="1">
        <f t="array" ref="G35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AND(F3556&gt;= DATE(2026,1,1), F3556&lt;= DATE(2028, 12, 31), J3556&gt;50000), "Pendente e Caro", AND(F3556&gt;= DATE(2026,1,1), F3556&lt;= DATE(2028, 12, 31), J3556&lt;=50000), "Pendente", F3556&gt;= DATE(2029,1,1), "Não prioeitário")</f>
        <v>Não prioeitário</v>
      </c>
      <c r="H3556" s="89">
        <f>YEAR(Tabela1[[#This Row],[Data de Validade]])</f>
        <v>2030</v>
      </c>
      <c r="I3556" s="89">
        <f>MONTH(Tabela1[[#This Row],[Data de Validade]])</f>
        <v>5</v>
      </c>
      <c r="J3556" s="101">
        <v>38651</v>
      </c>
      <c r="K3556" s="87" t="s">
        <v>11</v>
      </c>
      <c r="L3556" s="108"/>
      <c r="M3556" s="108"/>
      <c r="N3556" s="108" t="str">
        <v>H262P723</v>
      </c>
      <c r="O3556" s="108">
        <f t="shared" si="57"/>
        <v>1</v>
      </c>
      <c r="P3556" s="108"/>
      <c r="Q3556"/>
    </row>
    <row r="3557" spans="1:17" x14ac:dyDescent="0.25">
      <c r="A3557" s="89" t="s">
        <v>7904</v>
      </c>
      <c r="B3557" s="87" t="s">
        <v>7905</v>
      </c>
      <c r="C3557" s="87" t="s">
        <v>13</v>
      </c>
      <c r="D3557" s="87" t="str">
        <f>VLOOKUP(Tabela1[[#This Row],[Origem]], 'Perguntas 1 a 24'!$J$28:$K$34, 2, 0)</f>
        <v>Sudeste</v>
      </c>
      <c r="E3557" s="87" t="str">
        <f>Tabela1[[#This Row],[Descrição]]&amp;"-"&amp;Tabela1[[#This Row],[Código]]&amp;"/"&amp;Tabela1[[#This Row],[Origem]]</f>
        <v>Rupotarofo-H612P644/SP</v>
      </c>
      <c r="F3557" s="88">
        <v>47631</v>
      </c>
      <c r="G3557" s="88" t="str" cm="1">
        <f t="array" ref="G35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AND(F3557&gt;= DATE(2026,1,1), F3557&lt;= DATE(2028, 12, 31), J3557&gt;50000), "Pendente e Caro", AND(F3557&gt;= DATE(2026,1,1), F3557&lt;= DATE(2028, 12, 31), J3557&lt;=50000), "Pendente", F3557&gt;= DATE(2029,1,1), "Não prioeitário")</f>
        <v>Não prioeitário</v>
      </c>
      <c r="H3557" s="89">
        <f>YEAR(Tabela1[[#This Row],[Data de Validade]])</f>
        <v>2030</v>
      </c>
      <c r="I3557" s="89">
        <f>MONTH(Tabela1[[#This Row],[Data de Validade]])</f>
        <v>5</v>
      </c>
      <c r="J3557" s="101">
        <v>96353</v>
      </c>
      <c r="K3557" s="87" t="s">
        <v>7</v>
      </c>
      <c r="L3557" s="108"/>
      <c r="M3557" s="108"/>
      <c r="N3557" s="108" t="str">
        <v>H243P969</v>
      </c>
      <c r="O3557" s="108">
        <f t="shared" si="57"/>
        <v>1</v>
      </c>
      <c r="P3557" s="108"/>
      <c r="Q3557"/>
    </row>
    <row r="3558" spans="1:17" x14ac:dyDescent="0.25">
      <c r="A3558" s="89" t="s">
        <v>7662</v>
      </c>
      <c r="B3558" s="87" t="s">
        <v>7663</v>
      </c>
      <c r="C3558" s="87" t="s">
        <v>16</v>
      </c>
      <c r="D3558" s="87" t="str">
        <f>VLOOKUP(Tabela1[[#This Row],[Origem]], 'Perguntas 1 a 24'!$J$28:$K$34, 2, 0)</f>
        <v>Sudeste</v>
      </c>
      <c r="E3558" s="87" t="str">
        <f>Tabela1[[#This Row],[Descrição]]&amp;"-"&amp;Tabela1[[#This Row],[Código]]&amp;"/"&amp;Tabela1[[#This Row],[Origem]]</f>
        <v>Tifatu-P763H429/MG</v>
      </c>
      <c r="F3558" s="88">
        <v>47631</v>
      </c>
      <c r="G3558" s="88" t="str" cm="1">
        <f t="array" ref="G35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AND(F3558&gt;= DATE(2026,1,1), F3558&lt;= DATE(2028, 12, 31), J3558&gt;50000), "Pendente e Caro", AND(F3558&gt;= DATE(2026,1,1), F3558&lt;= DATE(2028, 12, 31), J3558&lt;=50000), "Pendente", F3558&gt;= DATE(2029,1,1), "Não prioeitário")</f>
        <v>Não prioeitário</v>
      </c>
      <c r="H3558" s="89">
        <f>YEAR(Tabela1[[#This Row],[Data de Validade]])</f>
        <v>2030</v>
      </c>
      <c r="I3558" s="89">
        <f>MONTH(Tabela1[[#This Row],[Data de Validade]])</f>
        <v>5</v>
      </c>
      <c r="J3558" s="101">
        <v>64580</v>
      </c>
      <c r="K3558" s="87" t="s">
        <v>7</v>
      </c>
      <c r="L3558" s="108"/>
      <c r="M3558" s="108"/>
      <c r="N3558" s="108" t="str">
        <v>H722H911</v>
      </c>
      <c r="O3558" s="108">
        <f t="shared" si="57"/>
        <v>1</v>
      </c>
      <c r="P3558" s="108"/>
      <c r="Q3558"/>
    </row>
    <row r="3559" spans="1:17" x14ac:dyDescent="0.25">
      <c r="A3559" s="89" t="s">
        <v>5486</v>
      </c>
      <c r="B3559" s="87" t="s">
        <v>5487</v>
      </c>
      <c r="C3559" s="87" t="s">
        <v>12</v>
      </c>
      <c r="D3559" s="87" t="str">
        <f>VLOOKUP(Tabela1[[#This Row],[Origem]], 'Perguntas 1 a 24'!$J$28:$K$34, 2, 0)</f>
        <v>Sudeste</v>
      </c>
      <c r="E3559" s="87" t="str">
        <f>Tabela1[[#This Row],[Descrição]]&amp;"-"&amp;Tabela1[[#This Row],[Código]]&amp;"/"&amp;Tabela1[[#This Row],[Origem]]</f>
        <v>Padipo-H131P267/RJ</v>
      </c>
      <c r="F3559" s="88">
        <v>47632</v>
      </c>
      <c r="G3559" s="88" t="str" cm="1">
        <f t="array" ref="G35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AND(F3559&gt;= DATE(2026,1,1), F3559&lt;= DATE(2028, 12, 31), J3559&gt;50000), "Pendente e Caro", AND(F3559&gt;= DATE(2026,1,1), F3559&lt;= DATE(2028, 12, 31), J3559&lt;=50000), "Pendente", F3559&gt;= DATE(2029,1,1), "Não prioeitário")</f>
        <v>Não prioeitário</v>
      </c>
      <c r="H3559" s="89">
        <f>YEAR(Tabela1[[#This Row],[Data de Validade]])</f>
        <v>2030</v>
      </c>
      <c r="I3559" s="89">
        <f>MONTH(Tabela1[[#This Row],[Data de Validade]])</f>
        <v>5</v>
      </c>
      <c r="J3559" s="101">
        <v>85648</v>
      </c>
      <c r="K3559" s="87" t="s">
        <v>11</v>
      </c>
      <c r="L3559" s="108"/>
      <c r="M3559" s="108"/>
      <c r="N3559" s="108" t="str">
        <v>H865P536</v>
      </c>
      <c r="O3559" s="108">
        <f t="shared" si="57"/>
        <v>1</v>
      </c>
      <c r="P3559" s="108"/>
      <c r="Q3559"/>
    </row>
    <row r="3560" spans="1:17" x14ac:dyDescent="0.25">
      <c r="A3560" s="89" t="s">
        <v>8138</v>
      </c>
      <c r="B3560" s="87" t="s">
        <v>8139</v>
      </c>
      <c r="C3560" s="87" t="s">
        <v>12</v>
      </c>
      <c r="D3560" s="87" t="str">
        <f>VLOOKUP(Tabela1[[#This Row],[Origem]], 'Perguntas 1 a 24'!$J$28:$K$34, 2, 0)</f>
        <v>Sudeste</v>
      </c>
      <c r="E3560" s="87" t="str">
        <f>Tabela1[[#This Row],[Descrição]]&amp;"-"&amp;Tabela1[[#This Row],[Código]]&amp;"/"&amp;Tabela1[[#This Row],[Origem]]</f>
        <v>Vinamomepu-P228P946/RJ</v>
      </c>
      <c r="F3560" s="88">
        <v>47632</v>
      </c>
      <c r="G3560" s="88" t="str" cm="1">
        <f t="array" ref="G35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AND(F3560&gt;= DATE(2026,1,1), F3560&lt;= DATE(2028, 12, 31), J3560&gt;50000), "Pendente e Caro", AND(F3560&gt;= DATE(2026,1,1), F3560&lt;= DATE(2028, 12, 31), J3560&lt;=50000), "Pendente", F3560&gt;= DATE(2029,1,1), "Não prioeitário")</f>
        <v>Não prioeitário</v>
      </c>
      <c r="H3560" s="89">
        <f>YEAR(Tabela1[[#This Row],[Data de Validade]])</f>
        <v>2030</v>
      </c>
      <c r="I3560" s="89">
        <f>MONTH(Tabela1[[#This Row],[Data de Validade]])</f>
        <v>5</v>
      </c>
      <c r="J3560" s="101">
        <v>31168</v>
      </c>
      <c r="K3560" s="87" t="s">
        <v>7</v>
      </c>
      <c r="L3560" s="108"/>
      <c r="M3560" s="108"/>
      <c r="N3560" s="108" t="str">
        <v>H657P843</v>
      </c>
      <c r="O3560" s="108">
        <f t="shared" si="57"/>
        <v>1</v>
      </c>
      <c r="P3560" s="108"/>
      <c r="Q3560"/>
    </row>
    <row r="3561" spans="1:17" x14ac:dyDescent="0.25">
      <c r="A3561" s="89" t="s">
        <v>7360</v>
      </c>
      <c r="B3561" s="87" t="s">
        <v>7361</v>
      </c>
      <c r="C3561" s="87" t="s">
        <v>12</v>
      </c>
      <c r="D3561" s="87" t="str">
        <f>VLOOKUP(Tabela1[[#This Row],[Origem]], 'Perguntas 1 a 24'!$J$28:$K$34, 2, 0)</f>
        <v>Sudeste</v>
      </c>
      <c r="E3561" s="87" t="str">
        <f>Tabela1[[#This Row],[Descrição]]&amp;"-"&amp;Tabela1[[#This Row],[Código]]&amp;"/"&amp;Tabela1[[#This Row],[Origem]]</f>
        <v>Nulifinogu-H348H166/RJ</v>
      </c>
      <c r="F3561" s="88">
        <v>47634</v>
      </c>
      <c r="G3561" s="88" t="str" cm="1">
        <f t="array" ref="G35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AND(F3561&gt;= DATE(2026,1,1), F3561&lt;= DATE(2028, 12, 31), J3561&gt;50000), "Pendente e Caro", AND(F3561&gt;= DATE(2026,1,1), F3561&lt;= DATE(2028, 12, 31), J3561&lt;=50000), "Pendente", F3561&gt;= DATE(2029,1,1), "Não prioeitário")</f>
        <v>Não prioeitário</v>
      </c>
      <c r="H3561" s="89">
        <f>YEAR(Tabela1[[#This Row],[Data de Validade]])</f>
        <v>2030</v>
      </c>
      <c r="I3561" s="89">
        <f>MONTH(Tabela1[[#This Row],[Data de Validade]])</f>
        <v>5</v>
      </c>
      <c r="J3561" s="101">
        <v>113418</v>
      </c>
      <c r="K3561" s="87" t="s">
        <v>9</v>
      </c>
      <c r="L3561" s="108"/>
      <c r="M3561" s="108"/>
      <c r="N3561" s="108" t="str">
        <v>H315P661</v>
      </c>
      <c r="O3561" s="108">
        <f t="shared" si="57"/>
        <v>1</v>
      </c>
      <c r="P3561" s="108"/>
      <c r="Q3561"/>
    </row>
    <row r="3562" spans="1:17" x14ac:dyDescent="0.25">
      <c r="A3562" s="89" t="s">
        <v>7772</v>
      </c>
      <c r="B3562" s="87" t="s">
        <v>7773</v>
      </c>
      <c r="C3562" s="87" t="s">
        <v>8</v>
      </c>
      <c r="D3562" s="87" t="str">
        <f>VLOOKUP(Tabela1[[#This Row],[Origem]], 'Perguntas 1 a 24'!$J$28:$K$34, 2, 0)</f>
        <v>Nordeste</v>
      </c>
      <c r="E3562" s="87" t="str">
        <f>Tabela1[[#This Row],[Descrição]]&amp;"-"&amp;Tabela1[[#This Row],[Código]]&amp;"/"&amp;Tabela1[[#This Row],[Origem]]</f>
        <v>Teremo-P966H767/AL</v>
      </c>
      <c r="F3562" s="88">
        <v>47636</v>
      </c>
      <c r="G3562" s="88" t="str" cm="1">
        <f t="array" ref="G35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AND(F3562&gt;= DATE(2026,1,1), F3562&lt;= DATE(2028, 12, 31), J3562&gt;50000), "Pendente e Caro", AND(F3562&gt;= DATE(2026,1,1), F3562&lt;= DATE(2028, 12, 31), J3562&lt;=50000), "Pendente", F3562&gt;= DATE(2029,1,1), "Não prioeitário")</f>
        <v>Não prioeitário</v>
      </c>
      <c r="H3562" s="89">
        <f>YEAR(Tabela1[[#This Row],[Data de Validade]])</f>
        <v>2030</v>
      </c>
      <c r="I3562" s="89">
        <f>MONTH(Tabela1[[#This Row],[Data de Validade]])</f>
        <v>6</v>
      </c>
      <c r="J3562" s="101">
        <v>69920</v>
      </c>
      <c r="K3562" s="87" t="s">
        <v>14</v>
      </c>
      <c r="L3562" s="108"/>
      <c r="M3562" s="108"/>
      <c r="N3562" s="108" t="str">
        <v>P937H452</v>
      </c>
      <c r="O3562" s="108">
        <f t="shared" si="57"/>
        <v>1</v>
      </c>
      <c r="P3562" s="108"/>
      <c r="Q3562"/>
    </row>
    <row r="3563" spans="1:17" x14ac:dyDescent="0.25">
      <c r="A3563" s="89" t="s">
        <v>10897</v>
      </c>
      <c r="B3563" s="87" t="s">
        <v>10898</v>
      </c>
      <c r="C3563" s="87" t="s">
        <v>6</v>
      </c>
      <c r="D3563" s="87" t="str">
        <f>VLOOKUP(Tabela1[[#This Row],[Origem]], 'Perguntas 1 a 24'!$J$28:$K$34, 2, 0)</f>
        <v>Nordeste</v>
      </c>
      <c r="E3563" s="87" t="str">
        <f>Tabela1[[#This Row],[Descrição]]&amp;"-"&amp;Tabela1[[#This Row],[Código]]&amp;"/"&amp;Tabela1[[#This Row],[Origem]]</f>
        <v>Pitoru-P525P882/MA</v>
      </c>
      <c r="F3563" s="88">
        <v>47637</v>
      </c>
      <c r="G3563" s="88" t="str" cm="1">
        <f t="array" ref="G35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AND(F3563&gt;= DATE(2026,1,1), F3563&lt;= DATE(2028, 12, 31), J3563&gt;50000), "Pendente e Caro", AND(F3563&gt;= DATE(2026,1,1), F3563&lt;= DATE(2028, 12, 31), J3563&lt;=50000), "Pendente", F3563&gt;= DATE(2029,1,1), "Não prioeitário")</f>
        <v>Não prioeitário</v>
      </c>
      <c r="H3563" s="89">
        <f>YEAR(Tabela1[[#This Row],[Data de Validade]])</f>
        <v>2030</v>
      </c>
      <c r="I3563" s="89">
        <f>MONTH(Tabela1[[#This Row],[Data de Validade]])</f>
        <v>6</v>
      </c>
      <c r="J3563" s="101">
        <v>46702</v>
      </c>
      <c r="K3563" s="87" t="s">
        <v>14</v>
      </c>
      <c r="L3563" s="108"/>
      <c r="M3563" s="108"/>
      <c r="N3563" s="108" t="str">
        <v>P969P983</v>
      </c>
      <c r="O3563" s="108">
        <f t="shared" si="57"/>
        <v>1</v>
      </c>
      <c r="P3563" s="108"/>
      <c r="Q3563"/>
    </row>
    <row r="3564" spans="1:17" x14ac:dyDescent="0.25">
      <c r="A3564" s="89" t="s">
        <v>9509</v>
      </c>
      <c r="B3564" s="87" t="s">
        <v>9510</v>
      </c>
      <c r="C3564" s="87" t="s">
        <v>6</v>
      </c>
      <c r="D3564" s="87" t="str">
        <f>VLOOKUP(Tabela1[[#This Row],[Origem]], 'Perguntas 1 a 24'!$J$28:$K$34, 2, 0)</f>
        <v>Nordeste</v>
      </c>
      <c r="E3564" s="87" t="str">
        <f>Tabela1[[#This Row],[Descrição]]&amp;"-"&amp;Tabela1[[#This Row],[Código]]&amp;"/"&amp;Tabela1[[#This Row],[Origem]]</f>
        <v>Gemeva-H122P979/MA</v>
      </c>
      <c r="F3564" s="88">
        <v>47638</v>
      </c>
      <c r="G3564" s="88" t="str" cm="1">
        <f t="array" ref="G35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AND(F3564&gt;= DATE(2026,1,1), F3564&lt;= DATE(2028, 12, 31), J3564&gt;50000), "Pendente e Caro", AND(F3564&gt;= DATE(2026,1,1), F3564&lt;= DATE(2028, 12, 31), J3564&lt;=50000), "Pendente", F3564&gt;= DATE(2029,1,1), "Não prioeitário")</f>
        <v>Não prioeitário</v>
      </c>
      <c r="H3564" s="89">
        <f>YEAR(Tabela1[[#This Row],[Data de Validade]])</f>
        <v>2030</v>
      </c>
      <c r="I3564" s="89">
        <f>MONTH(Tabela1[[#This Row],[Data de Validade]])</f>
        <v>6</v>
      </c>
      <c r="J3564" s="101">
        <v>98173</v>
      </c>
      <c r="K3564" s="87" t="s">
        <v>9</v>
      </c>
      <c r="L3564" s="108"/>
      <c r="M3564" s="108"/>
      <c r="N3564" s="108" t="str">
        <v>P418H364</v>
      </c>
      <c r="O3564" s="108">
        <f t="shared" si="57"/>
        <v>1</v>
      </c>
      <c r="P3564" s="108"/>
      <c r="Q3564"/>
    </row>
    <row r="3565" spans="1:17" x14ac:dyDescent="0.25">
      <c r="A3565" s="89" t="s">
        <v>4441</v>
      </c>
      <c r="B3565" s="87" t="s">
        <v>4442</v>
      </c>
      <c r="C3565" s="87" t="s">
        <v>6</v>
      </c>
      <c r="D3565" s="87" t="str">
        <f>VLOOKUP(Tabela1[[#This Row],[Origem]], 'Perguntas 1 a 24'!$J$28:$K$34, 2, 0)</f>
        <v>Nordeste</v>
      </c>
      <c r="E3565" s="87" t="str">
        <f>Tabela1[[#This Row],[Descrição]]&amp;"-"&amp;Tabela1[[#This Row],[Código]]&amp;"/"&amp;Tabela1[[#This Row],[Origem]]</f>
        <v>Minupidifi-H847H416/MA</v>
      </c>
      <c r="F3565" s="88">
        <v>47638</v>
      </c>
      <c r="G3565" s="88" t="str" cm="1">
        <f t="array" ref="G35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AND(F3565&gt;= DATE(2026,1,1), F3565&lt;= DATE(2028, 12, 31), J3565&gt;50000), "Pendente e Caro", AND(F3565&gt;= DATE(2026,1,1), F3565&lt;= DATE(2028, 12, 31), J3565&lt;=50000), "Pendente", F3565&gt;= DATE(2029,1,1), "Não prioeitário")</f>
        <v>Não prioeitário</v>
      </c>
      <c r="H3565" s="89">
        <f>YEAR(Tabela1[[#This Row],[Data de Validade]])</f>
        <v>2030</v>
      </c>
      <c r="I3565" s="89">
        <f>MONTH(Tabela1[[#This Row],[Data de Validade]])</f>
        <v>6</v>
      </c>
      <c r="J3565" s="101">
        <v>51738</v>
      </c>
      <c r="K3565" s="87" t="s">
        <v>9</v>
      </c>
      <c r="L3565" s="108"/>
      <c r="M3565" s="108"/>
      <c r="N3565" s="108" t="str">
        <v>H664P994</v>
      </c>
      <c r="O3565" s="108">
        <f t="shared" si="57"/>
        <v>1</v>
      </c>
      <c r="P3565" s="108"/>
      <c r="Q3565"/>
    </row>
    <row r="3566" spans="1:17" x14ac:dyDescent="0.25">
      <c r="A3566" s="89" t="s">
        <v>4624</v>
      </c>
      <c r="B3566" s="87" t="s">
        <v>4625</v>
      </c>
      <c r="C3566" s="87" t="s">
        <v>16</v>
      </c>
      <c r="D3566" s="87" t="str">
        <f>VLOOKUP(Tabela1[[#This Row],[Origem]], 'Perguntas 1 a 24'!$J$28:$K$34, 2, 0)</f>
        <v>Sudeste</v>
      </c>
      <c r="E3566" s="87" t="str">
        <f>Tabela1[[#This Row],[Descrição]]&amp;"-"&amp;Tabela1[[#This Row],[Código]]&amp;"/"&amp;Tabela1[[#This Row],[Origem]]</f>
        <v>Nocapa-P984H886/MG</v>
      </c>
      <c r="F3566" s="88">
        <v>47639</v>
      </c>
      <c r="G3566" s="88" t="str" cm="1">
        <f t="array" ref="G35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AND(F3566&gt;= DATE(2026,1,1), F3566&lt;= DATE(2028, 12, 31), J3566&gt;50000), "Pendente e Caro", AND(F3566&gt;= DATE(2026,1,1), F3566&lt;= DATE(2028, 12, 31), J3566&lt;=50000), "Pendente", F3566&gt;= DATE(2029,1,1), "Não prioeitário")</f>
        <v>Não prioeitário</v>
      </c>
      <c r="H3566" s="89">
        <f>YEAR(Tabela1[[#This Row],[Data de Validade]])</f>
        <v>2030</v>
      </c>
      <c r="I3566" s="89">
        <f>MONTH(Tabela1[[#This Row],[Data de Validade]])</f>
        <v>6</v>
      </c>
      <c r="J3566" s="101">
        <v>114980</v>
      </c>
      <c r="K3566" s="87" t="s">
        <v>7</v>
      </c>
      <c r="L3566" s="108"/>
      <c r="M3566" s="108"/>
      <c r="N3566" s="108" t="str">
        <v>H184H544</v>
      </c>
      <c r="O3566" s="108">
        <f t="shared" si="57"/>
        <v>1</v>
      </c>
      <c r="P3566" s="108"/>
      <c r="Q3566"/>
    </row>
    <row r="3567" spans="1:17" x14ac:dyDescent="0.25">
      <c r="A3567" s="89" t="s">
        <v>9667</v>
      </c>
      <c r="B3567" s="87" t="s">
        <v>9668</v>
      </c>
      <c r="C3567" s="87" t="s">
        <v>16</v>
      </c>
      <c r="D3567" s="87" t="str">
        <f>VLOOKUP(Tabela1[[#This Row],[Origem]], 'Perguntas 1 a 24'!$J$28:$K$34, 2, 0)</f>
        <v>Sudeste</v>
      </c>
      <c r="E3567" s="87" t="str">
        <f>Tabela1[[#This Row],[Descrição]]&amp;"-"&amp;Tabela1[[#This Row],[Código]]&amp;"/"&amp;Tabela1[[#This Row],[Origem]]</f>
        <v>Ropepavu-P794P623/MG</v>
      </c>
      <c r="F3567" s="88">
        <v>47640</v>
      </c>
      <c r="G3567" s="88" t="str" cm="1">
        <f t="array" ref="G35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AND(F3567&gt;= DATE(2026,1,1), F3567&lt;= DATE(2028, 12, 31), J3567&gt;50000), "Pendente e Caro", AND(F3567&gt;= DATE(2026,1,1), F3567&lt;= DATE(2028, 12, 31), J3567&lt;=50000), "Pendente", F3567&gt;= DATE(2029,1,1), "Não prioeitário")</f>
        <v>Não prioeitário</v>
      </c>
      <c r="H3567" s="89">
        <f>YEAR(Tabela1[[#This Row],[Data de Validade]])</f>
        <v>2030</v>
      </c>
      <c r="I3567" s="89">
        <f>MONTH(Tabela1[[#This Row],[Data de Validade]])</f>
        <v>6</v>
      </c>
      <c r="J3567" s="101">
        <v>89278</v>
      </c>
      <c r="K3567" s="87" t="s">
        <v>11</v>
      </c>
      <c r="L3567" s="108"/>
      <c r="M3567" s="108"/>
      <c r="N3567" s="108" t="str">
        <v>P965H281</v>
      </c>
      <c r="O3567" s="108">
        <f t="shared" si="57"/>
        <v>1</v>
      </c>
      <c r="P3567" s="108"/>
      <c r="Q3567"/>
    </row>
    <row r="3568" spans="1:17" x14ac:dyDescent="0.25">
      <c r="A3568" s="89" t="s">
        <v>4279</v>
      </c>
      <c r="B3568" s="87" t="s">
        <v>4280</v>
      </c>
      <c r="C3568" s="87" t="s">
        <v>6</v>
      </c>
      <c r="D3568" s="87" t="str">
        <f>VLOOKUP(Tabela1[[#This Row],[Origem]], 'Perguntas 1 a 24'!$J$28:$K$34, 2, 0)</f>
        <v>Nordeste</v>
      </c>
      <c r="E3568" s="87" t="str">
        <f>Tabela1[[#This Row],[Descrição]]&amp;"-"&amp;Tabela1[[#This Row],[Código]]&amp;"/"&amp;Tabela1[[#This Row],[Origem]]</f>
        <v>Girevo-P298H622/MA</v>
      </c>
      <c r="F3568" s="88">
        <v>47640</v>
      </c>
      <c r="G3568" s="88" t="str" cm="1">
        <f t="array" ref="G35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AND(F3568&gt;= DATE(2026,1,1), F3568&lt;= DATE(2028, 12, 31), J3568&gt;50000), "Pendente e Caro", AND(F3568&gt;= DATE(2026,1,1), F3568&lt;= DATE(2028, 12, 31), J3568&lt;=50000), "Pendente", F3568&gt;= DATE(2029,1,1), "Não prioeitário")</f>
        <v>Não prioeitário</v>
      </c>
      <c r="H3568" s="89">
        <f>YEAR(Tabela1[[#This Row],[Data de Validade]])</f>
        <v>2030</v>
      </c>
      <c r="I3568" s="89">
        <f>MONTH(Tabela1[[#This Row],[Data de Validade]])</f>
        <v>6</v>
      </c>
      <c r="J3568" s="101">
        <v>87317</v>
      </c>
      <c r="K3568" s="87" t="s">
        <v>9</v>
      </c>
      <c r="L3568" s="108"/>
      <c r="M3568" s="108"/>
      <c r="N3568" s="108" t="str">
        <v>H922P488</v>
      </c>
      <c r="O3568" s="108">
        <f t="shared" si="57"/>
        <v>1</v>
      </c>
      <c r="P3568" s="108"/>
      <c r="Q3568"/>
    </row>
    <row r="3569" spans="1:17" x14ac:dyDescent="0.25">
      <c r="A3569" s="89" t="s">
        <v>7674</v>
      </c>
      <c r="B3569" s="87" t="s">
        <v>7675</v>
      </c>
      <c r="C3569" s="87" t="s">
        <v>10</v>
      </c>
      <c r="D3569" s="87" t="str">
        <f>VLOOKUP(Tabela1[[#This Row],[Origem]], 'Perguntas 1 a 24'!$J$28:$K$34, 2, 0)</f>
        <v>Centro-Oeste</v>
      </c>
      <c r="E3569" s="87" t="str">
        <f>Tabela1[[#This Row],[Descrição]]&amp;"-"&amp;Tabela1[[#This Row],[Código]]&amp;"/"&amp;Tabela1[[#This Row],[Origem]]</f>
        <v>Nitovi-H262P723/GO</v>
      </c>
      <c r="F3569" s="88">
        <v>47640</v>
      </c>
      <c r="G3569" s="88" t="str" cm="1">
        <f t="array" ref="G35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AND(F3569&gt;= DATE(2026,1,1), F3569&lt;= DATE(2028, 12, 31), J3569&gt;50000), "Pendente e Caro", AND(F3569&gt;= DATE(2026,1,1), F3569&lt;= DATE(2028, 12, 31), J3569&lt;=50000), "Pendente", F3569&gt;= DATE(2029,1,1), "Não prioeitário")</f>
        <v>Não prioeitário</v>
      </c>
      <c r="H3569" s="89">
        <f>YEAR(Tabela1[[#This Row],[Data de Validade]])</f>
        <v>2030</v>
      </c>
      <c r="I3569" s="89">
        <f>MONTH(Tabela1[[#This Row],[Data de Validade]])</f>
        <v>6</v>
      </c>
      <c r="J3569" s="101">
        <v>51592</v>
      </c>
      <c r="K3569" s="87" t="s">
        <v>7</v>
      </c>
      <c r="L3569" s="108"/>
      <c r="M3569" s="108"/>
      <c r="N3569" s="108" t="str">
        <v>P523P849</v>
      </c>
      <c r="O3569" s="108">
        <f t="shared" si="57"/>
        <v>1</v>
      </c>
      <c r="P3569" s="108"/>
      <c r="Q3569"/>
    </row>
    <row r="3570" spans="1:17" x14ac:dyDescent="0.25">
      <c r="A3570" s="89" t="s">
        <v>10291</v>
      </c>
      <c r="B3570" s="87" t="s">
        <v>10292</v>
      </c>
      <c r="C3570" s="87" t="s">
        <v>13</v>
      </c>
      <c r="D3570" s="87" t="str">
        <f>VLOOKUP(Tabela1[[#This Row],[Origem]], 'Perguntas 1 a 24'!$J$28:$K$34, 2, 0)</f>
        <v>Sudeste</v>
      </c>
      <c r="E3570" s="87" t="str">
        <f>Tabela1[[#This Row],[Descrição]]&amp;"-"&amp;Tabela1[[#This Row],[Código]]&amp;"/"&amp;Tabela1[[#This Row],[Origem]]</f>
        <v>Rulivepe-H243P969/SP</v>
      </c>
      <c r="F3570" s="88">
        <v>47640</v>
      </c>
      <c r="G3570" s="88" t="str" cm="1">
        <f t="array" ref="G35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AND(F3570&gt;= DATE(2026,1,1), F3570&lt;= DATE(2028, 12, 31), J3570&gt;50000), "Pendente e Caro", AND(F3570&gt;= DATE(2026,1,1), F3570&lt;= DATE(2028, 12, 31), J3570&lt;=50000), "Pendente", F3570&gt;= DATE(2029,1,1), "Não prioeitário")</f>
        <v>Não prioeitário</v>
      </c>
      <c r="H3570" s="89">
        <f>YEAR(Tabela1[[#This Row],[Data de Validade]])</f>
        <v>2030</v>
      </c>
      <c r="I3570" s="89">
        <f>MONTH(Tabela1[[#This Row],[Data de Validade]])</f>
        <v>6</v>
      </c>
      <c r="J3570" s="101">
        <v>39767</v>
      </c>
      <c r="K3570" s="87" t="s">
        <v>9</v>
      </c>
      <c r="L3570" s="108"/>
      <c r="M3570" s="108"/>
      <c r="N3570" s="108" t="str">
        <v>H571H791</v>
      </c>
      <c r="O3570" s="108">
        <f t="shared" si="57"/>
        <v>1</v>
      </c>
      <c r="P3570" s="108"/>
      <c r="Q3570"/>
    </row>
    <row r="3571" spans="1:17" x14ac:dyDescent="0.25">
      <c r="A3571" s="89" t="s">
        <v>4413</v>
      </c>
      <c r="B3571" s="87" t="s">
        <v>4414</v>
      </c>
      <c r="C3571" s="87" t="s">
        <v>15</v>
      </c>
      <c r="D3571" s="87" t="str">
        <f>VLOOKUP(Tabela1[[#This Row],[Origem]], 'Perguntas 1 a 24'!$J$28:$K$34, 2, 0)</f>
        <v>Sudeste</v>
      </c>
      <c r="E3571" s="87" t="str">
        <f>Tabela1[[#This Row],[Descrição]]&amp;"-"&amp;Tabela1[[#This Row],[Código]]&amp;"/"&amp;Tabela1[[#This Row],[Origem]]</f>
        <v>Vipotele-H722H911/ES</v>
      </c>
      <c r="F3571" s="88">
        <v>47641</v>
      </c>
      <c r="G3571" s="88" t="str" cm="1">
        <f t="array" ref="G35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AND(F3571&gt;= DATE(2026,1,1), F3571&lt;= DATE(2028, 12, 31), J3571&gt;50000), "Pendente e Caro", AND(F3571&gt;= DATE(2026,1,1), F3571&lt;= DATE(2028, 12, 31), J3571&lt;=50000), "Pendente", F3571&gt;= DATE(2029,1,1), "Não prioeitário")</f>
        <v>Não prioeitário</v>
      </c>
      <c r="H3571" s="89">
        <f>YEAR(Tabela1[[#This Row],[Data de Validade]])</f>
        <v>2030</v>
      </c>
      <c r="I3571" s="89">
        <f>MONTH(Tabela1[[#This Row],[Data de Validade]])</f>
        <v>6</v>
      </c>
      <c r="J3571" s="101">
        <v>101009</v>
      </c>
      <c r="K3571" s="87" t="s">
        <v>11</v>
      </c>
      <c r="L3571" s="108"/>
      <c r="M3571" s="108"/>
      <c r="N3571" s="108" t="str">
        <v>H469H292</v>
      </c>
      <c r="O3571" s="108">
        <f t="shared" si="57"/>
        <v>1</v>
      </c>
      <c r="P3571" s="108"/>
      <c r="Q3571"/>
    </row>
    <row r="3572" spans="1:17" x14ac:dyDescent="0.25">
      <c r="A3572" s="89" t="s">
        <v>8352</v>
      </c>
      <c r="B3572" s="87" t="s">
        <v>8353</v>
      </c>
      <c r="C3572" s="87" t="s">
        <v>8</v>
      </c>
      <c r="D3572" s="87" t="str">
        <f>VLOOKUP(Tabela1[[#This Row],[Origem]], 'Perguntas 1 a 24'!$J$28:$K$34, 2, 0)</f>
        <v>Nordeste</v>
      </c>
      <c r="E3572" s="87" t="str">
        <f>Tabela1[[#This Row],[Descrição]]&amp;"-"&amp;Tabela1[[#This Row],[Código]]&amp;"/"&amp;Tabela1[[#This Row],[Origem]]</f>
        <v>Dipotifure-H865P536/AL</v>
      </c>
      <c r="F3572" s="88">
        <v>47641</v>
      </c>
      <c r="G3572" s="88" t="str" cm="1">
        <f t="array" ref="G35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AND(F3572&gt;= DATE(2026,1,1), F3572&lt;= DATE(2028, 12, 31), J3572&gt;50000), "Pendente e Caro", AND(F3572&gt;= DATE(2026,1,1), F3572&lt;= DATE(2028, 12, 31), J3572&lt;=50000), "Pendente", F3572&gt;= DATE(2029,1,1), "Não prioeitário")</f>
        <v>Não prioeitário</v>
      </c>
      <c r="H3572" s="89">
        <f>YEAR(Tabela1[[#This Row],[Data de Validade]])</f>
        <v>2030</v>
      </c>
      <c r="I3572" s="89">
        <f>MONTH(Tabela1[[#This Row],[Data de Validade]])</f>
        <v>6</v>
      </c>
      <c r="J3572" s="101">
        <v>42883</v>
      </c>
      <c r="K3572" s="87" t="s">
        <v>14</v>
      </c>
      <c r="L3572" s="108"/>
      <c r="M3572" s="108"/>
      <c r="N3572" s="108" t="str">
        <v>H996H768</v>
      </c>
      <c r="O3572" s="108">
        <f t="shared" si="57"/>
        <v>1</v>
      </c>
      <c r="P3572" s="108"/>
      <c r="Q3572"/>
    </row>
    <row r="3573" spans="1:17" x14ac:dyDescent="0.25">
      <c r="A3573" s="89" t="s">
        <v>5022</v>
      </c>
      <c r="B3573" s="87" t="s">
        <v>5023</v>
      </c>
      <c r="C3573" s="87" t="s">
        <v>8</v>
      </c>
      <c r="D3573" s="87" t="str">
        <f>VLOOKUP(Tabela1[[#This Row],[Origem]], 'Perguntas 1 a 24'!$J$28:$K$34, 2, 0)</f>
        <v>Nordeste</v>
      </c>
      <c r="E3573" s="87" t="str">
        <f>Tabela1[[#This Row],[Descrição]]&amp;"-"&amp;Tabela1[[#This Row],[Código]]&amp;"/"&amp;Tabela1[[#This Row],[Origem]]</f>
        <v>Gideporedi-H657P843/AL</v>
      </c>
      <c r="F3573" s="88">
        <v>47641</v>
      </c>
      <c r="G3573" s="88" t="str" cm="1">
        <f t="array" ref="G35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AND(F3573&gt;= DATE(2026,1,1), F3573&lt;= DATE(2028, 12, 31), J3573&gt;50000), "Pendente e Caro", AND(F3573&gt;= DATE(2026,1,1), F3573&lt;= DATE(2028, 12, 31), J3573&lt;=50000), "Pendente", F3573&gt;= DATE(2029,1,1), "Não prioeitário")</f>
        <v>Não prioeitário</v>
      </c>
      <c r="H3573" s="89">
        <f>YEAR(Tabela1[[#This Row],[Data de Validade]])</f>
        <v>2030</v>
      </c>
      <c r="I3573" s="89">
        <f>MONTH(Tabela1[[#This Row],[Data de Validade]])</f>
        <v>6</v>
      </c>
      <c r="J3573" s="101">
        <v>34276</v>
      </c>
      <c r="K3573" s="87" t="s">
        <v>9</v>
      </c>
      <c r="L3573" s="108"/>
      <c r="M3573" s="108"/>
      <c r="N3573" s="108" t="str">
        <v>H796H216</v>
      </c>
      <c r="O3573" s="108">
        <f t="shared" si="57"/>
        <v>1</v>
      </c>
      <c r="P3573" s="108"/>
      <c r="Q3573"/>
    </row>
    <row r="3574" spans="1:17" x14ac:dyDescent="0.25">
      <c r="A3574" s="89" t="s">
        <v>4834</v>
      </c>
      <c r="B3574" s="87" t="s">
        <v>4835</v>
      </c>
      <c r="C3574" s="87" t="s">
        <v>6</v>
      </c>
      <c r="D3574" s="87" t="str">
        <f>VLOOKUP(Tabela1[[#This Row],[Origem]], 'Perguntas 1 a 24'!$J$28:$K$34, 2, 0)</f>
        <v>Nordeste</v>
      </c>
      <c r="E3574" s="87" t="str">
        <f>Tabela1[[#This Row],[Descrição]]&amp;"-"&amp;Tabela1[[#This Row],[Código]]&amp;"/"&amp;Tabela1[[#This Row],[Origem]]</f>
        <v>Tinovera-H315P661/MA</v>
      </c>
      <c r="F3574" s="88">
        <v>47641</v>
      </c>
      <c r="G3574" s="88" t="str" cm="1">
        <f t="array" ref="G35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AND(F3574&gt;= DATE(2026,1,1), F3574&lt;= DATE(2028, 12, 31), J3574&gt;50000), "Pendente e Caro", AND(F3574&gt;= DATE(2026,1,1), F3574&lt;= DATE(2028, 12, 31), J3574&lt;=50000), "Pendente", F3574&gt;= DATE(2029,1,1), "Não prioeitário")</f>
        <v>Não prioeitário</v>
      </c>
      <c r="H3574" s="89">
        <f>YEAR(Tabela1[[#This Row],[Data de Validade]])</f>
        <v>2030</v>
      </c>
      <c r="I3574" s="89">
        <f>MONTH(Tabela1[[#This Row],[Data de Validade]])</f>
        <v>6</v>
      </c>
      <c r="J3574" s="101">
        <v>22668</v>
      </c>
      <c r="K3574" s="87" t="s">
        <v>14</v>
      </c>
      <c r="L3574" s="108"/>
      <c r="M3574" s="108"/>
      <c r="N3574" s="108" t="str">
        <v>P442H885</v>
      </c>
      <c r="O3574" s="108">
        <f t="shared" si="57"/>
        <v>1</v>
      </c>
      <c r="P3574" s="108"/>
      <c r="Q3574"/>
    </row>
    <row r="3575" spans="1:17" x14ac:dyDescent="0.25">
      <c r="A3575" s="89" t="s">
        <v>11141</v>
      </c>
      <c r="B3575" s="87" t="s">
        <v>11142</v>
      </c>
      <c r="C3575" s="87" t="s">
        <v>10</v>
      </c>
      <c r="D3575" s="87" t="str">
        <f>VLOOKUP(Tabela1[[#This Row],[Origem]], 'Perguntas 1 a 24'!$J$28:$K$34, 2, 0)</f>
        <v>Centro-Oeste</v>
      </c>
      <c r="E3575" s="87" t="str">
        <f>Tabela1[[#This Row],[Descrição]]&amp;"-"&amp;Tabela1[[#This Row],[Código]]&amp;"/"&amp;Tabela1[[#This Row],[Origem]]</f>
        <v>Dupopafe-P937H452/GO</v>
      </c>
      <c r="F3575" s="88">
        <v>47642</v>
      </c>
      <c r="G3575" s="88" t="str" cm="1">
        <f t="array" ref="G35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AND(F3575&gt;= DATE(2026,1,1), F3575&lt;= DATE(2028, 12, 31), J3575&gt;50000), "Pendente e Caro", AND(F3575&gt;= DATE(2026,1,1), F3575&lt;= DATE(2028, 12, 31), J3575&lt;=50000), "Pendente", F3575&gt;= DATE(2029,1,1), "Não prioeitário")</f>
        <v>Não prioeitário</v>
      </c>
      <c r="H3575" s="89">
        <f>YEAR(Tabela1[[#This Row],[Data de Validade]])</f>
        <v>2030</v>
      </c>
      <c r="I3575" s="89">
        <f>MONTH(Tabela1[[#This Row],[Data de Validade]])</f>
        <v>6</v>
      </c>
      <c r="J3575" s="101">
        <v>117846</v>
      </c>
      <c r="K3575" s="87" t="s">
        <v>11</v>
      </c>
      <c r="L3575" s="108"/>
      <c r="M3575" s="108"/>
      <c r="N3575" s="108" t="str">
        <v>H577P729</v>
      </c>
      <c r="O3575" s="108">
        <f t="shared" si="57"/>
        <v>1</v>
      </c>
      <c r="P3575" s="108"/>
      <c r="Q3575"/>
    </row>
    <row r="3576" spans="1:17" x14ac:dyDescent="0.25">
      <c r="A3576" s="89" t="s">
        <v>10935</v>
      </c>
      <c r="B3576" s="87" t="s">
        <v>10936</v>
      </c>
      <c r="C3576" s="87" t="s">
        <v>10</v>
      </c>
      <c r="D3576" s="87" t="str">
        <f>VLOOKUP(Tabela1[[#This Row],[Origem]], 'Perguntas 1 a 24'!$J$28:$K$34, 2, 0)</f>
        <v>Centro-Oeste</v>
      </c>
      <c r="E3576" s="87" t="str">
        <f>Tabela1[[#This Row],[Descrição]]&amp;"-"&amp;Tabela1[[#This Row],[Código]]&amp;"/"&amp;Tabela1[[#This Row],[Origem]]</f>
        <v>Milatipa-P969P983/GO</v>
      </c>
      <c r="F3576" s="88">
        <v>47643</v>
      </c>
      <c r="G3576" s="88" t="str" cm="1">
        <f t="array" ref="G35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AND(F3576&gt;= DATE(2026,1,1), F3576&lt;= DATE(2028, 12, 31), J3576&gt;50000), "Pendente e Caro", AND(F3576&gt;= DATE(2026,1,1), F3576&lt;= DATE(2028, 12, 31), J3576&lt;=50000), "Pendente", F3576&gt;= DATE(2029,1,1), "Não prioeitário")</f>
        <v>Não prioeitário</v>
      </c>
      <c r="H3576" s="89">
        <f>YEAR(Tabela1[[#This Row],[Data de Validade]])</f>
        <v>2030</v>
      </c>
      <c r="I3576" s="89">
        <f>MONTH(Tabela1[[#This Row],[Data de Validade]])</f>
        <v>6</v>
      </c>
      <c r="J3576" s="101">
        <v>60810</v>
      </c>
      <c r="K3576" s="87" t="s">
        <v>14</v>
      </c>
      <c r="L3576" s="108"/>
      <c r="M3576" s="108"/>
      <c r="N3576" s="108" t="str">
        <v>P332P758</v>
      </c>
      <c r="O3576" s="108">
        <f t="shared" si="57"/>
        <v>1</v>
      </c>
      <c r="P3576" s="108"/>
      <c r="Q3576"/>
    </row>
    <row r="3577" spans="1:17" x14ac:dyDescent="0.25">
      <c r="A3577" s="89" t="s">
        <v>8643</v>
      </c>
      <c r="B3577" s="87" t="s">
        <v>8644</v>
      </c>
      <c r="C3577" s="87" t="s">
        <v>16</v>
      </c>
      <c r="D3577" s="87" t="str">
        <f>VLOOKUP(Tabela1[[#This Row],[Origem]], 'Perguntas 1 a 24'!$J$28:$K$34, 2, 0)</f>
        <v>Sudeste</v>
      </c>
      <c r="E3577" s="87" t="str">
        <f>Tabela1[[#This Row],[Descrição]]&amp;"-"&amp;Tabela1[[#This Row],[Código]]&amp;"/"&amp;Tabela1[[#This Row],[Origem]]</f>
        <v>Pupegi-P418H364/MG</v>
      </c>
      <c r="F3577" s="88">
        <v>47644</v>
      </c>
      <c r="G3577" s="88" t="str" cm="1">
        <f t="array" ref="G35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AND(F3577&gt;= DATE(2026,1,1), F3577&lt;= DATE(2028, 12, 31), J3577&gt;50000), "Pendente e Caro", AND(F3577&gt;= DATE(2026,1,1), F3577&lt;= DATE(2028, 12, 31), J3577&lt;=50000), "Pendente", F3577&gt;= DATE(2029,1,1), "Não prioeitário")</f>
        <v>Não prioeitário</v>
      </c>
      <c r="H3577" s="89">
        <f>YEAR(Tabela1[[#This Row],[Data de Validade]])</f>
        <v>2030</v>
      </c>
      <c r="I3577" s="89">
        <f>MONTH(Tabela1[[#This Row],[Data de Validade]])</f>
        <v>6</v>
      </c>
      <c r="J3577" s="101">
        <v>42781</v>
      </c>
      <c r="K3577" s="87" t="s">
        <v>9</v>
      </c>
      <c r="L3577" s="108"/>
      <c r="M3577" s="108"/>
      <c r="N3577" s="108" t="str">
        <v>P212H846</v>
      </c>
      <c r="O3577" s="108">
        <f t="shared" si="57"/>
        <v>1</v>
      </c>
      <c r="P3577" s="108"/>
      <c r="Q3577"/>
    </row>
    <row r="3578" spans="1:17" x14ac:dyDescent="0.25">
      <c r="A3578" s="89" t="s">
        <v>9387</v>
      </c>
      <c r="B3578" s="87" t="s">
        <v>9388</v>
      </c>
      <c r="C3578" s="87" t="s">
        <v>12</v>
      </c>
      <c r="D3578" s="87" t="str">
        <f>VLOOKUP(Tabela1[[#This Row],[Origem]], 'Perguntas 1 a 24'!$J$28:$K$34, 2, 0)</f>
        <v>Sudeste</v>
      </c>
      <c r="E3578" s="87" t="str">
        <f>Tabela1[[#This Row],[Descrição]]&amp;"-"&amp;Tabela1[[#This Row],[Código]]&amp;"/"&amp;Tabela1[[#This Row],[Origem]]</f>
        <v>Lafafa-H664P994/RJ</v>
      </c>
      <c r="F3578" s="88">
        <v>47645</v>
      </c>
      <c r="G3578" s="88" t="str" cm="1">
        <f t="array" ref="G35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AND(F3578&gt;= DATE(2026,1,1), F3578&lt;= DATE(2028, 12, 31), J3578&gt;50000), "Pendente e Caro", AND(F3578&gt;= DATE(2026,1,1), F3578&lt;= DATE(2028, 12, 31), J3578&lt;=50000), "Pendente", F3578&gt;= DATE(2029,1,1), "Não prioeitário")</f>
        <v>Não prioeitário</v>
      </c>
      <c r="H3578" s="89">
        <f>YEAR(Tabela1[[#This Row],[Data de Validade]])</f>
        <v>2030</v>
      </c>
      <c r="I3578" s="89">
        <f>MONTH(Tabela1[[#This Row],[Data de Validade]])</f>
        <v>6</v>
      </c>
      <c r="J3578" s="101">
        <v>106679</v>
      </c>
      <c r="K3578" s="87" t="s">
        <v>7</v>
      </c>
      <c r="L3578" s="108"/>
      <c r="M3578" s="108"/>
      <c r="N3578" s="108" t="str">
        <v>H314P939</v>
      </c>
      <c r="O3578" s="108">
        <f t="shared" si="57"/>
        <v>1</v>
      </c>
      <c r="P3578" s="108"/>
      <c r="Q3578"/>
    </row>
    <row r="3579" spans="1:17" x14ac:dyDescent="0.25">
      <c r="A3579" s="89" t="s">
        <v>5098</v>
      </c>
      <c r="B3579" s="87" t="s">
        <v>5099</v>
      </c>
      <c r="C3579" s="87" t="s">
        <v>10</v>
      </c>
      <c r="D3579" s="87" t="str">
        <f>VLOOKUP(Tabela1[[#This Row],[Origem]], 'Perguntas 1 a 24'!$J$28:$K$34, 2, 0)</f>
        <v>Centro-Oeste</v>
      </c>
      <c r="E3579" s="87" t="str">
        <f>Tabela1[[#This Row],[Descrição]]&amp;"-"&amp;Tabela1[[#This Row],[Código]]&amp;"/"&amp;Tabela1[[#This Row],[Origem]]</f>
        <v>Taputeta-H184H544/GO</v>
      </c>
      <c r="F3579" s="88">
        <v>47646</v>
      </c>
      <c r="G3579" s="88" t="str" cm="1">
        <f t="array" ref="G35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AND(F3579&gt;= DATE(2026,1,1), F3579&lt;= DATE(2028, 12, 31), J3579&gt;50000), "Pendente e Caro", AND(F3579&gt;= DATE(2026,1,1), F3579&lt;= DATE(2028, 12, 31), J3579&lt;=50000), "Pendente", F3579&gt;= DATE(2029,1,1), "Não prioeitário")</f>
        <v>Não prioeitário</v>
      </c>
      <c r="H3579" s="89">
        <f>YEAR(Tabela1[[#This Row],[Data de Validade]])</f>
        <v>2030</v>
      </c>
      <c r="I3579" s="89">
        <f>MONTH(Tabela1[[#This Row],[Data de Validade]])</f>
        <v>6</v>
      </c>
      <c r="J3579" s="101">
        <v>104970</v>
      </c>
      <c r="K3579" s="87" t="s">
        <v>11</v>
      </c>
      <c r="L3579" s="108"/>
      <c r="M3579" s="108"/>
      <c r="N3579" s="108" t="str">
        <v>H887P318</v>
      </c>
      <c r="O3579" s="108">
        <f t="shared" si="57"/>
        <v>1</v>
      </c>
      <c r="P3579" s="108"/>
      <c r="Q3579"/>
    </row>
    <row r="3580" spans="1:17" x14ac:dyDescent="0.25">
      <c r="A3580" s="89" t="s">
        <v>5550</v>
      </c>
      <c r="B3580" s="87" t="s">
        <v>5551</v>
      </c>
      <c r="C3580" s="87" t="s">
        <v>6</v>
      </c>
      <c r="D3580" s="87" t="str">
        <f>VLOOKUP(Tabela1[[#This Row],[Origem]], 'Perguntas 1 a 24'!$J$28:$K$34, 2, 0)</f>
        <v>Nordeste</v>
      </c>
      <c r="E3580" s="87" t="str">
        <f>Tabela1[[#This Row],[Descrição]]&amp;"-"&amp;Tabela1[[#This Row],[Código]]&amp;"/"&amp;Tabela1[[#This Row],[Origem]]</f>
        <v>Lapigonidi-P965H281/MA</v>
      </c>
      <c r="F3580" s="88">
        <v>47648</v>
      </c>
      <c r="G3580" s="88" t="str" cm="1">
        <f t="array" ref="G35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AND(F3580&gt;= DATE(2026,1,1), F3580&lt;= DATE(2028, 12, 31), J3580&gt;50000), "Pendente e Caro", AND(F3580&gt;= DATE(2026,1,1), F3580&lt;= DATE(2028, 12, 31), J3580&lt;=50000), "Pendente", F3580&gt;= DATE(2029,1,1), "Não prioeitário")</f>
        <v>Não prioeitário</v>
      </c>
      <c r="H3580" s="89">
        <f>YEAR(Tabela1[[#This Row],[Data de Validade]])</f>
        <v>2030</v>
      </c>
      <c r="I3580" s="89">
        <f>MONTH(Tabela1[[#This Row],[Data de Validade]])</f>
        <v>6</v>
      </c>
      <c r="J3580" s="101">
        <v>108631</v>
      </c>
      <c r="K3580" s="87" t="s">
        <v>11</v>
      </c>
      <c r="L3580" s="108"/>
      <c r="M3580" s="108"/>
      <c r="N3580" s="108" t="str">
        <v>H979H673</v>
      </c>
      <c r="O3580" s="108">
        <f t="shared" si="57"/>
        <v>1</v>
      </c>
      <c r="P3580" s="108"/>
      <c r="Q3580"/>
    </row>
    <row r="3581" spans="1:17" x14ac:dyDescent="0.25">
      <c r="A3581" s="89" t="s">
        <v>6462</v>
      </c>
      <c r="B3581" s="87" t="s">
        <v>6463</v>
      </c>
      <c r="C3581" s="87" t="s">
        <v>13</v>
      </c>
      <c r="D3581" s="87" t="str">
        <f>VLOOKUP(Tabela1[[#This Row],[Origem]], 'Perguntas 1 a 24'!$J$28:$K$34, 2, 0)</f>
        <v>Sudeste</v>
      </c>
      <c r="E3581" s="87" t="str">
        <f>Tabela1[[#This Row],[Descrição]]&amp;"-"&amp;Tabela1[[#This Row],[Código]]&amp;"/"&amp;Tabela1[[#This Row],[Origem]]</f>
        <v>Narufima-H922P488/SP</v>
      </c>
      <c r="F3581" s="88">
        <v>47648</v>
      </c>
      <c r="G3581" s="88" t="str" cm="1">
        <f t="array" ref="G35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AND(F3581&gt;= DATE(2026,1,1), F3581&lt;= DATE(2028, 12, 31), J3581&gt;50000), "Pendente e Caro", AND(F3581&gt;= DATE(2026,1,1), F3581&lt;= DATE(2028, 12, 31), J3581&lt;=50000), "Pendente", F3581&gt;= DATE(2029,1,1), "Não prioeitário")</f>
        <v>Não prioeitário</v>
      </c>
      <c r="H3581" s="89">
        <f>YEAR(Tabela1[[#This Row],[Data de Validade]])</f>
        <v>2030</v>
      </c>
      <c r="I3581" s="89">
        <f>MONTH(Tabela1[[#This Row],[Data de Validade]])</f>
        <v>6</v>
      </c>
      <c r="J3581" s="101">
        <v>47178</v>
      </c>
      <c r="K3581" s="87" t="s">
        <v>9</v>
      </c>
      <c r="L3581" s="108"/>
      <c r="M3581" s="108"/>
      <c r="N3581" s="108" t="str">
        <v>P878H426</v>
      </c>
      <c r="O3581" s="108">
        <f t="shared" si="57"/>
        <v>1</v>
      </c>
      <c r="P3581" s="108"/>
      <c r="Q3581"/>
    </row>
    <row r="3582" spans="1:17" x14ac:dyDescent="0.25">
      <c r="A3582" s="89" t="s">
        <v>10115</v>
      </c>
      <c r="B3582" s="87" t="s">
        <v>10116</v>
      </c>
      <c r="C3582" s="87" t="s">
        <v>10</v>
      </c>
      <c r="D3582" s="87" t="str">
        <f>VLOOKUP(Tabela1[[#This Row],[Origem]], 'Perguntas 1 a 24'!$J$28:$K$34, 2, 0)</f>
        <v>Centro-Oeste</v>
      </c>
      <c r="E3582" s="87" t="str">
        <f>Tabela1[[#This Row],[Descrição]]&amp;"-"&amp;Tabela1[[#This Row],[Código]]&amp;"/"&amp;Tabela1[[#This Row],[Origem]]</f>
        <v>Pelitugo-P523P849/GO</v>
      </c>
      <c r="F3582" s="88">
        <v>47649</v>
      </c>
      <c r="G3582" s="88" t="str" cm="1">
        <f t="array" ref="G35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AND(F3582&gt;= DATE(2026,1,1), F3582&lt;= DATE(2028, 12, 31), J3582&gt;50000), "Pendente e Caro", AND(F3582&gt;= DATE(2026,1,1), F3582&lt;= DATE(2028, 12, 31), J3582&lt;=50000), "Pendente", F3582&gt;= DATE(2029,1,1), "Não prioeitário")</f>
        <v>Não prioeitário</v>
      </c>
      <c r="H3582" s="89">
        <f>YEAR(Tabela1[[#This Row],[Data de Validade]])</f>
        <v>2030</v>
      </c>
      <c r="I3582" s="89">
        <f>MONTH(Tabela1[[#This Row],[Data de Validade]])</f>
        <v>6</v>
      </c>
      <c r="J3582" s="101">
        <v>114178</v>
      </c>
      <c r="K3582" s="87" t="s">
        <v>14</v>
      </c>
      <c r="L3582" s="108"/>
      <c r="M3582" s="108"/>
      <c r="N3582" s="108" t="str">
        <v>P793H761</v>
      </c>
      <c r="O3582" s="108">
        <f t="shared" si="57"/>
        <v>1</v>
      </c>
      <c r="P3582" s="108"/>
      <c r="Q3582"/>
    </row>
    <row r="3583" spans="1:17" x14ac:dyDescent="0.25">
      <c r="A3583" s="89" t="s">
        <v>5910</v>
      </c>
      <c r="B3583" s="87" t="s">
        <v>5911</v>
      </c>
      <c r="C3583" s="87" t="s">
        <v>13</v>
      </c>
      <c r="D3583" s="87" t="str">
        <f>VLOOKUP(Tabela1[[#This Row],[Origem]], 'Perguntas 1 a 24'!$J$28:$K$34, 2, 0)</f>
        <v>Sudeste</v>
      </c>
      <c r="E3583" s="87" t="str">
        <f>Tabela1[[#This Row],[Descrição]]&amp;"-"&amp;Tabela1[[#This Row],[Código]]&amp;"/"&amp;Tabela1[[#This Row],[Origem]]</f>
        <v>Gimuvilane-H571H791/SP</v>
      </c>
      <c r="F3583" s="88">
        <v>47649</v>
      </c>
      <c r="G3583" s="88" t="str" cm="1">
        <f t="array" ref="G35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AND(F3583&gt;= DATE(2026,1,1), F3583&lt;= DATE(2028, 12, 31), J3583&gt;50000), "Pendente e Caro", AND(F3583&gt;= DATE(2026,1,1), F3583&lt;= DATE(2028, 12, 31), J3583&lt;=50000), "Pendente", F3583&gt;= DATE(2029,1,1), "Não prioeitário")</f>
        <v>Não prioeitário</v>
      </c>
      <c r="H3583" s="89">
        <f>YEAR(Tabela1[[#This Row],[Data de Validade]])</f>
        <v>2030</v>
      </c>
      <c r="I3583" s="89">
        <f>MONTH(Tabela1[[#This Row],[Data de Validade]])</f>
        <v>6</v>
      </c>
      <c r="J3583" s="101">
        <v>34863</v>
      </c>
      <c r="K3583" s="87" t="s">
        <v>14</v>
      </c>
      <c r="L3583" s="108"/>
      <c r="M3583" s="108"/>
      <c r="N3583" s="108" t="str">
        <v>P672P785</v>
      </c>
      <c r="O3583" s="108">
        <f t="shared" si="57"/>
        <v>1</v>
      </c>
      <c r="P3583" s="108"/>
      <c r="Q3583"/>
    </row>
    <row r="3584" spans="1:17" x14ac:dyDescent="0.25">
      <c r="A3584" s="89" t="s">
        <v>6878</v>
      </c>
      <c r="B3584" s="87" t="s">
        <v>6879</v>
      </c>
      <c r="C3584" s="87" t="s">
        <v>8</v>
      </c>
      <c r="D3584" s="87" t="str">
        <f>VLOOKUP(Tabela1[[#This Row],[Origem]], 'Perguntas 1 a 24'!$J$28:$K$34, 2, 0)</f>
        <v>Nordeste</v>
      </c>
      <c r="E3584" s="87" t="str">
        <f>Tabela1[[#This Row],[Descrição]]&amp;"-"&amp;Tabela1[[#This Row],[Código]]&amp;"/"&amp;Tabela1[[#This Row],[Origem]]</f>
        <v>Tatevopoti-H469H292/AL</v>
      </c>
      <c r="F3584" s="88">
        <v>47649</v>
      </c>
      <c r="G3584" s="88" t="str" cm="1">
        <f t="array" ref="G35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AND(F3584&gt;= DATE(2026,1,1), F3584&lt;= DATE(2028, 12, 31), J3584&gt;50000), "Pendente e Caro", AND(F3584&gt;= DATE(2026,1,1), F3584&lt;= DATE(2028, 12, 31), J3584&lt;=50000), "Pendente", F3584&gt;= DATE(2029,1,1), "Não prioeitário")</f>
        <v>Não prioeitário</v>
      </c>
      <c r="H3584" s="89">
        <f>YEAR(Tabela1[[#This Row],[Data de Validade]])</f>
        <v>2030</v>
      </c>
      <c r="I3584" s="89">
        <f>MONTH(Tabela1[[#This Row],[Data de Validade]])</f>
        <v>6</v>
      </c>
      <c r="J3584" s="101">
        <v>28340</v>
      </c>
      <c r="K3584" s="87" t="s">
        <v>9</v>
      </c>
      <c r="L3584" s="108"/>
      <c r="M3584" s="108"/>
      <c r="N3584" s="108" t="str">
        <v>H625H239</v>
      </c>
      <c r="O3584" s="108">
        <f t="shared" si="57"/>
        <v>1</v>
      </c>
      <c r="P3584" s="108"/>
      <c r="Q3584"/>
    </row>
    <row r="3585" spans="1:17" x14ac:dyDescent="0.25">
      <c r="A3585" s="89" t="s">
        <v>9107</v>
      </c>
      <c r="B3585" s="87" t="s">
        <v>9108</v>
      </c>
      <c r="C3585" s="87" t="s">
        <v>8</v>
      </c>
      <c r="D3585" s="87" t="str">
        <f>VLOOKUP(Tabela1[[#This Row],[Origem]], 'Perguntas 1 a 24'!$J$28:$K$34, 2, 0)</f>
        <v>Nordeste</v>
      </c>
      <c r="E3585" s="87" t="str">
        <f>Tabela1[[#This Row],[Descrição]]&amp;"-"&amp;Tabela1[[#This Row],[Código]]&amp;"/"&amp;Tabela1[[#This Row],[Origem]]</f>
        <v>Pifetopu-H996H768/AL</v>
      </c>
      <c r="F3585" s="88">
        <v>47650</v>
      </c>
      <c r="G3585" s="88" t="str" cm="1">
        <f t="array" ref="G35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AND(F3585&gt;= DATE(2026,1,1), F3585&lt;= DATE(2028, 12, 31), J3585&gt;50000), "Pendente e Caro", AND(F3585&gt;= DATE(2026,1,1), F3585&lt;= DATE(2028, 12, 31), J3585&lt;=50000), "Pendente", F3585&gt;= DATE(2029,1,1), "Não prioeitário")</f>
        <v>Não prioeitário</v>
      </c>
      <c r="H3585" s="89">
        <f>YEAR(Tabela1[[#This Row],[Data de Validade]])</f>
        <v>2030</v>
      </c>
      <c r="I3585" s="89">
        <f>MONTH(Tabela1[[#This Row],[Data de Validade]])</f>
        <v>6</v>
      </c>
      <c r="J3585" s="101">
        <v>58206</v>
      </c>
      <c r="K3585" s="87" t="s">
        <v>11</v>
      </c>
      <c r="L3585" s="108"/>
      <c r="M3585" s="108"/>
      <c r="N3585" s="108" t="str">
        <v>H652H135</v>
      </c>
      <c r="O3585" s="108">
        <f t="shared" si="57"/>
        <v>1</v>
      </c>
      <c r="P3585" s="108"/>
      <c r="Q3585"/>
    </row>
    <row r="3586" spans="1:17" x14ac:dyDescent="0.25">
      <c r="A3586" s="89" t="s">
        <v>7880</v>
      </c>
      <c r="B3586" s="87" t="s">
        <v>7881</v>
      </c>
      <c r="C3586" s="87" t="s">
        <v>8</v>
      </c>
      <c r="D3586" s="87" t="str">
        <f>VLOOKUP(Tabela1[[#This Row],[Origem]], 'Perguntas 1 a 24'!$J$28:$K$34, 2, 0)</f>
        <v>Nordeste</v>
      </c>
      <c r="E3586" s="87" t="str">
        <f>Tabela1[[#This Row],[Descrição]]&amp;"-"&amp;Tabela1[[#This Row],[Código]]&amp;"/"&amp;Tabela1[[#This Row],[Origem]]</f>
        <v>Rolovugalo-H796H216/AL</v>
      </c>
      <c r="F3586" s="88">
        <v>47651</v>
      </c>
      <c r="G3586" s="88" t="str" cm="1">
        <f t="array" ref="G35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AND(F3586&gt;= DATE(2026,1,1), F3586&lt;= DATE(2028, 12, 31), J3586&gt;50000), "Pendente e Caro", AND(F3586&gt;= DATE(2026,1,1), F3586&lt;= DATE(2028, 12, 31), J3586&lt;=50000), "Pendente", F3586&gt;= DATE(2029,1,1), "Não prioeitário")</f>
        <v>Não prioeitário</v>
      </c>
      <c r="H3586" s="89">
        <f>YEAR(Tabela1[[#This Row],[Data de Validade]])</f>
        <v>2030</v>
      </c>
      <c r="I3586" s="89">
        <f>MONTH(Tabela1[[#This Row],[Data de Validade]])</f>
        <v>6</v>
      </c>
      <c r="J3586" s="101">
        <v>100094</v>
      </c>
      <c r="K3586" s="87" t="s">
        <v>14</v>
      </c>
      <c r="L3586" s="108"/>
      <c r="M3586" s="108"/>
      <c r="N3586" s="108" t="str">
        <v>H764P199</v>
      </c>
      <c r="O3586" s="108">
        <f t="shared" si="57"/>
        <v>1</v>
      </c>
      <c r="P3586" s="108"/>
      <c r="Q3586"/>
    </row>
    <row r="3587" spans="1:17" x14ac:dyDescent="0.25">
      <c r="A3587" s="89" t="s">
        <v>10003</v>
      </c>
      <c r="B3587" s="87" t="s">
        <v>10004</v>
      </c>
      <c r="C3587" s="87" t="s">
        <v>6</v>
      </c>
      <c r="D3587" s="87" t="str">
        <f>VLOOKUP(Tabela1[[#This Row],[Origem]], 'Perguntas 1 a 24'!$J$28:$K$34, 2, 0)</f>
        <v>Nordeste</v>
      </c>
      <c r="E3587" s="87" t="str">
        <f>Tabela1[[#This Row],[Descrição]]&amp;"-"&amp;Tabela1[[#This Row],[Código]]&amp;"/"&amp;Tabela1[[#This Row],[Origem]]</f>
        <v>Papepote-P442H885/MA</v>
      </c>
      <c r="F3587" s="88">
        <v>47651</v>
      </c>
      <c r="G3587" s="88" t="str" cm="1">
        <f t="array" ref="G35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AND(F3587&gt;= DATE(2026,1,1), F3587&lt;= DATE(2028, 12, 31), J3587&gt;50000), "Pendente e Caro", AND(F3587&gt;= DATE(2026,1,1), F3587&lt;= DATE(2028, 12, 31), J3587&lt;=50000), "Pendente", F3587&gt;= DATE(2029,1,1), "Não prioeitário")</f>
        <v>Não prioeitário</v>
      </c>
      <c r="H3587" s="89">
        <f>YEAR(Tabela1[[#This Row],[Data de Validade]])</f>
        <v>2030</v>
      </c>
      <c r="I3587" s="89">
        <f>MONTH(Tabela1[[#This Row],[Data de Validade]])</f>
        <v>6</v>
      </c>
      <c r="J3587" s="101">
        <v>86980</v>
      </c>
      <c r="K3587" s="87" t="s">
        <v>14</v>
      </c>
      <c r="L3587" s="108"/>
      <c r="M3587" s="108"/>
      <c r="N3587" s="108" t="str">
        <v>P746P796</v>
      </c>
      <c r="O3587" s="108">
        <f t="shared" ref="O3587:O3650" si="58">COUNTIFS(B:B,N3587)</f>
        <v>1</v>
      </c>
      <c r="P3587" s="108"/>
      <c r="Q3587"/>
    </row>
    <row r="3588" spans="1:17" x14ac:dyDescent="0.25">
      <c r="A3588" s="89" t="s">
        <v>8705</v>
      </c>
      <c r="B3588" s="87" t="s">
        <v>8706</v>
      </c>
      <c r="C3588" s="87" t="s">
        <v>13</v>
      </c>
      <c r="D3588" s="87" t="str">
        <f>VLOOKUP(Tabela1[[#This Row],[Origem]], 'Perguntas 1 a 24'!$J$28:$K$34, 2, 0)</f>
        <v>Sudeste</v>
      </c>
      <c r="E3588" s="87" t="str">
        <f>Tabela1[[#This Row],[Descrição]]&amp;"-"&amp;Tabela1[[#This Row],[Código]]&amp;"/"&amp;Tabela1[[#This Row],[Origem]]</f>
        <v>Nevala-H577P729/SP</v>
      </c>
      <c r="F3588" s="88">
        <v>47651</v>
      </c>
      <c r="G3588" s="88" t="str" cm="1">
        <f t="array" ref="G35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AND(F3588&gt;= DATE(2026,1,1), F3588&lt;= DATE(2028, 12, 31), J3588&gt;50000), "Pendente e Caro", AND(F3588&gt;= DATE(2026,1,1), F3588&lt;= DATE(2028, 12, 31), J3588&lt;=50000), "Pendente", F3588&gt;= DATE(2029,1,1), "Não prioeitário")</f>
        <v>Não prioeitário</v>
      </c>
      <c r="H3588" s="89">
        <f>YEAR(Tabela1[[#This Row],[Data de Validade]])</f>
        <v>2030</v>
      </c>
      <c r="I3588" s="89">
        <f>MONTH(Tabela1[[#This Row],[Data de Validade]])</f>
        <v>6</v>
      </c>
      <c r="J3588" s="101">
        <v>37246</v>
      </c>
      <c r="K3588" s="87" t="s">
        <v>9</v>
      </c>
      <c r="L3588" s="108"/>
      <c r="M3588" s="108"/>
      <c r="N3588" s="108" t="str">
        <v>P665H696</v>
      </c>
      <c r="O3588" s="108">
        <f t="shared" si="58"/>
        <v>1</v>
      </c>
      <c r="P3588" s="108"/>
      <c r="Q3588"/>
    </row>
    <row r="3589" spans="1:17" x14ac:dyDescent="0.25">
      <c r="A3589" s="89" t="s">
        <v>3784</v>
      </c>
      <c r="B3589" s="87" t="s">
        <v>3785</v>
      </c>
      <c r="C3589" s="87" t="s">
        <v>15</v>
      </c>
      <c r="D3589" s="87" t="str">
        <f>VLOOKUP(Tabela1[[#This Row],[Origem]], 'Perguntas 1 a 24'!$J$28:$K$34, 2, 0)</f>
        <v>Sudeste</v>
      </c>
      <c r="E3589" s="87" t="str">
        <f>Tabela1[[#This Row],[Descrição]]&amp;"-"&amp;Tabela1[[#This Row],[Código]]&amp;"/"&amp;Tabela1[[#This Row],[Origem]]</f>
        <v>Pacufodu-P332P758/ES</v>
      </c>
      <c r="F3589" s="88">
        <v>47655</v>
      </c>
      <c r="G3589" s="88" t="str" cm="1">
        <f t="array" ref="G35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AND(F3589&gt;= DATE(2026,1,1), F3589&lt;= DATE(2028, 12, 31), J3589&gt;50000), "Pendente e Caro", AND(F3589&gt;= DATE(2026,1,1), F3589&lt;= DATE(2028, 12, 31), J3589&lt;=50000), "Pendente", F3589&gt;= DATE(2029,1,1), "Não prioeitário")</f>
        <v>Não prioeitário</v>
      </c>
      <c r="H3589" s="89">
        <f>YEAR(Tabela1[[#This Row],[Data de Validade]])</f>
        <v>2030</v>
      </c>
      <c r="I3589" s="89">
        <f>MONTH(Tabela1[[#This Row],[Data de Validade]])</f>
        <v>6</v>
      </c>
      <c r="J3589" s="101">
        <v>113134</v>
      </c>
      <c r="K3589" s="87" t="s">
        <v>11</v>
      </c>
      <c r="L3589" s="108"/>
      <c r="M3589" s="108"/>
      <c r="N3589" s="108" t="str">
        <v>P663H246</v>
      </c>
      <c r="O3589" s="108">
        <f t="shared" si="58"/>
        <v>1</v>
      </c>
      <c r="P3589" s="108"/>
      <c r="Q3589"/>
    </row>
    <row r="3590" spans="1:17" x14ac:dyDescent="0.25">
      <c r="A3590" s="89" t="s">
        <v>10695</v>
      </c>
      <c r="B3590" s="87" t="s">
        <v>10696</v>
      </c>
      <c r="C3590" s="87" t="s">
        <v>12</v>
      </c>
      <c r="D3590" s="87" t="str">
        <f>VLOOKUP(Tabela1[[#This Row],[Origem]], 'Perguntas 1 a 24'!$J$28:$K$34, 2, 0)</f>
        <v>Sudeste</v>
      </c>
      <c r="E3590" s="87" t="str">
        <f>Tabela1[[#This Row],[Descrição]]&amp;"-"&amp;Tabela1[[#This Row],[Código]]&amp;"/"&amp;Tabela1[[#This Row],[Origem]]</f>
        <v>Daguputore-P212H846/RJ</v>
      </c>
      <c r="F3590" s="88">
        <v>47655</v>
      </c>
      <c r="G3590" s="88" t="str" cm="1">
        <f t="array" ref="G35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AND(F3590&gt;= DATE(2026,1,1), F3590&lt;= DATE(2028, 12, 31), J3590&gt;50000), "Pendente e Caro", AND(F3590&gt;= DATE(2026,1,1), F3590&lt;= DATE(2028, 12, 31), J3590&lt;=50000), "Pendente", F3590&gt;= DATE(2029,1,1), "Não prioeitário")</f>
        <v>Não prioeitário</v>
      </c>
      <c r="H3590" s="89">
        <f>YEAR(Tabela1[[#This Row],[Data de Validade]])</f>
        <v>2030</v>
      </c>
      <c r="I3590" s="89">
        <f>MONTH(Tabela1[[#This Row],[Data de Validade]])</f>
        <v>6</v>
      </c>
      <c r="J3590" s="101">
        <v>60415</v>
      </c>
      <c r="K3590" s="87" t="s">
        <v>9</v>
      </c>
      <c r="L3590" s="108"/>
      <c r="M3590" s="108"/>
      <c r="N3590" s="108" t="str">
        <v>H497P254</v>
      </c>
      <c r="O3590" s="108">
        <f t="shared" si="58"/>
        <v>1</v>
      </c>
      <c r="P3590" s="108"/>
      <c r="Q3590"/>
    </row>
    <row r="3591" spans="1:17" x14ac:dyDescent="0.25">
      <c r="A3591" s="89" t="s">
        <v>4790</v>
      </c>
      <c r="B3591" s="87" t="s">
        <v>4791</v>
      </c>
      <c r="C3591" s="87" t="s">
        <v>10</v>
      </c>
      <c r="D3591" s="87" t="str">
        <f>VLOOKUP(Tabela1[[#This Row],[Origem]], 'Perguntas 1 a 24'!$J$28:$K$34, 2, 0)</f>
        <v>Centro-Oeste</v>
      </c>
      <c r="E3591" s="87" t="str">
        <f>Tabela1[[#This Row],[Descrição]]&amp;"-"&amp;Tabela1[[#This Row],[Código]]&amp;"/"&amp;Tabela1[[#This Row],[Origem]]</f>
        <v>Nocopupemu-H314P939/GO</v>
      </c>
      <c r="F3591" s="88">
        <v>47656</v>
      </c>
      <c r="G3591" s="88" t="str" cm="1">
        <f t="array" ref="G35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AND(F3591&gt;= DATE(2026,1,1), F3591&lt;= DATE(2028, 12, 31), J3591&gt;50000), "Pendente e Caro", AND(F3591&gt;= DATE(2026,1,1), F3591&lt;= DATE(2028, 12, 31), J3591&lt;=50000), "Pendente", F3591&gt;= DATE(2029,1,1), "Não prioeitário")</f>
        <v>Não prioeitário</v>
      </c>
      <c r="H3591" s="89">
        <f>YEAR(Tabela1[[#This Row],[Data de Validade]])</f>
        <v>2030</v>
      </c>
      <c r="I3591" s="89">
        <f>MONTH(Tabela1[[#This Row],[Data de Validade]])</f>
        <v>6</v>
      </c>
      <c r="J3591" s="101">
        <v>91158</v>
      </c>
      <c r="K3591" s="87" t="s">
        <v>9</v>
      </c>
      <c r="L3591" s="108"/>
      <c r="M3591" s="108"/>
      <c r="N3591" s="108" t="str">
        <v>H285H135</v>
      </c>
      <c r="O3591" s="108">
        <f t="shared" si="58"/>
        <v>1</v>
      </c>
      <c r="P3591" s="108"/>
      <c r="Q3591"/>
    </row>
    <row r="3592" spans="1:17" x14ac:dyDescent="0.25">
      <c r="A3592" s="89" t="s">
        <v>3808</v>
      </c>
      <c r="B3592" s="87" t="s">
        <v>3809</v>
      </c>
      <c r="C3592" s="87" t="s">
        <v>10</v>
      </c>
      <c r="D3592" s="87" t="str">
        <f>VLOOKUP(Tabela1[[#This Row],[Origem]], 'Perguntas 1 a 24'!$J$28:$K$34, 2, 0)</f>
        <v>Centro-Oeste</v>
      </c>
      <c r="E3592" s="87" t="str">
        <f>Tabela1[[#This Row],[Descrição]]&amp;"-"&amp;Tabela1[[#This Row],[Código]]&amp;"/"&amp;Tabela1[[#This Row],[Origem]]</f>
        <v>Mecedu-H887P318/GO</v>
      </c>
      <c r="F3592" s="88">
        <v>47657</v>
      </c>
      <c r="G3592" s="88" t="str" cm="1">
        <f t="array" ref="G35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AND(F3592&gt;= DATE(2026,1,1), F3592&lt;= DATE(2028, 12, 31), J3592&gt;50000), "Pendente e Caro", AND(F3592&gt;= DATE(2026,1,1), F3592&lt;= DATE(2028, 12, 31), J3592&lt;=50000), "Pendente", F3592&gt;= DATE(2029,1,1), "Não prioeitário")</f>
        <v>Não prioeitário</v>
      </c>
      <c r="H3592" s="89">
        <f>YEAR(Tabela1[[#This Row],[Data de Validade]])</f>
        <v>2030</v>
      </c>
      <c r="I3592" s="89">
        <f>MONTH(Tabela1[[#This Row],[Data de Validade]])</f>
        <v>6</v>
      </c>
      <c r="J3592" s="101">
        <v>65303</v>
      </c>
      <c r="K3592" s="87" t="s">
        <v>11</v>
      </c>
      <c r="L3592" s="108"/>
      <c r="M3592" s="108"/>
      <c r="N3592" s="108" t="str">
        <v>H948H323</v>
      </c>
      <c r="O3592" s="108">
        <f t="shared" si="58"/>
        <v>1</v>
      </c>
      <c r="P3592" s="108"/>
      <c r="Q3592"/>
    </row>
    <row r="3593" spans="1:17" x14ac:dyDescent="0.25">
      <c r="A3593" s="89" t="s">
        <v>10543</v>
      </c>
      <c r="B3593" s="87" t="s">
        <v>10544</v>
      </c>
      <c r="C3593" s="87" t="s">
        <v>13</v>
      </c>
      <c r="D3593" s="87" t="str">
        <f>VLOOKUP(Tabela1[[#This Row],[Origem]], 'Perguntas 1 a 24'!$J$28:$K$34, 2, 0)</f>
        <v>Sudeste</v>
      </c>
      <c r="E3593" s="87" t="str">
        <f>Tabela1[[#This Row],[Descrição]]&amp;"-"&amp;Tabela1[[#This Row],[Código]]&amp;"/"&amp;Tabela1[[#This Row],[Origem]]</f>
        <v>Mumila-H979H673/SP</v>
      </c>
      <c r="F3593" s="88">
        <v>47657</v>
      </c>
      <c r="G3593" s="88" t="str" cm="1">
        <f t="array" ref="G35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AND(F3593&gt;= DATE(2026,1,1), F3593&lt;= DATE(2028, 12, 31), J3593&gt;50000), "Pendente e Caro", AND(F3593&gt;= DATE(2026,1,1), F3593&lt;= DATE(2028, 12, 31), J3593&lt;=50000), "Pendente", F3593&gt;= DATE(2029,1,1), "Não prioeitário")</f>
        <v>Não prioeitário</v>
      </c>
      <c r="H3593" s="89">
        <f>YEAR(Tabela1[[#This Row],[Data de Validade]])</f>
        <v>2030</v>
      </c>
      <c r="I3593" s="89">
        <f>MONTH(Tabela1[[#This Row],[Data de Validade]])</f>
        <v>6</v>
      </c>
      <c r="J3593" s="101">
        <v>57663</v>
      </c>
      <c r="K3593" s="87" t="s">
        <v>11</v>
      </c>
      <c r="L3593" s="108"/>
      <c r="M3593" s="108"/>
      <c r="N3593" s="108" t="str">
        <v>P563H755</v>
      </c>
      <c r="O3593" s="108">
        <f t="shared" si="58"/>
        <v>1</v>
      </c>
      <c r="P3593" s="108"/>
      <c r="Q3593"/>
    </row>
    <row r="3594" spans="1:17" x14ac:dyDescent="0.25">
      <c r="A3594" s="89" t="s">
        <v>7740</v>
      </c>
      <c r="B3594" s="87" t="s">
        <v>7741</v>
      </c>
      <c r="C3594" s="87" t="s">
        <v>10</v>
      </c>
      <c r="D3594" s="87" t="str">
        <f>VLOOKUP(Tabela1[[#This Row],[Origem]], 'Perguntas 1 a 24'!$J$28:$K$34, 2, 0)</f>
        <v>Centro-Oeste</v>
      </c>
      <c r="E3594" s="87" t="str">
        <f>Tabela1[[#This Row],[Descrição]]&amp;"-"&amp;Tabela1[[#This Row],[Código]]&amp;"/"&amp;Tabela1[[#This Row],[Origem]]</f>
        <v>Dunelunu-P878H426/GO</v>
      </c>
      <c r="F3594" s="88">
        <v>47657</v>
      </c>
      <c r="G3594" s="88" t="str" cm="1">
        <f t="array" ref="G35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AND(F3594&gt;= DATE(2026,1,1), F3594&lt;= DATE(2028, 12, 31), J3594&gt;50000), "Pendente e Caro", AND(F3594&gt;= DATE(2026,1,1), F3594&lt;= DATE(2028, 12, 31), J3594&lt;=50000), "Pendente", F3594&gt;= DATE(2029,1,1), "Não prioeitário")</f>
        <v>Não prioeitário</v>
      </c>
      <c r="H3594" s="89">
        <f>YEAR(Tabela1[[#This Row],[Data de Validade]])</f>
        <v>2030</v>
      </c>
      <c r="I3594" s="89">
        <f>MONTH(Tabela1[[#This Row],[Data de Validade]])</f>
        <v>6</v>
      </c>
      <c r="J3594" s="101">
        <v>40098</v>
      </c>
      <c r="K3594" s="87" t="s">
        <v>9</v>
      </c>
      <c r="L3594" s="108"/>
      <c r="M3594" s="108"/>
      <c r="N3594" s="108" t="str">
        <v>P797H316</v>
      </c>
      <c r="O3594" s="108">
        <f t="shared" si="58"/>
        <v>1</v>
      </c>
      <c r="P3594" s="108"/>
      <c r="Q3594"/>
    </row>
    <row r="3595" spans="1:17" x14ac:dyDescent="0.25">
      <c r="A3595" s="89" t="s">
        <v>8801</v>
      </c>
      <c r="B3595" s="87" t="s">
        <v>8802</v>
      </c>
      <c r="C3595" s="87" t="s">
        <v>12</v>
      </c>
      <c r="D3595" s="87" t="str">
        <f>VLOOKUP(Tabela1[[#This Row],[Origem]], 'Perguntas 1 a 24'!$J$28:$K$34, 2, 0)</f>
        <v>Sudeste</v>
      </c>
      <c r="E3595" s="87" t="str">
        <f>Tabela1[[#This Row],[Descrição]]&amp;"-"&amp;Tabela1[[#This Row],[Código]]&amp;"/"&amp;Tabela1[[#This Row],[Origem]]</f>
        <v>Peratacapo-P793H761/RJ</v>
      </c>
      <c r="F3595" s="88">
        <v>47659</v>
      </c>
      <c r="G3595" s="88" t="str" cm="1">
        <f t="array" ref="G35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AND(F3595&gt;= DATE(2026,1,1), F3595&lt;= DATE(2028, 12, 31), J3595&gt;50000), "Pendente e Caro", AND(F3595&gt;= DATE(2026,1,1), F3595&lt;= DATE(2028, 12, 31), J3595&lt;=50000), "Pendente", F3595&gt;= DATE(2029,1,1), "Não prioeitário")</f>
        <v>Não prioeitário</v>
      </c>
      <c r="H3595" s="89">
        <f>YEAR(Tabela1[[#This Row],[Data de Validade]])</f>
        <v>2030</v>
      </c>
      <c r="I3595" s="89">
        <f>MONTH(Tabela1[[#This Row],[Data de Validade]])</f>
        <v>6</v>
      </c>
      <c r="J3595" s="101">
        <v>94293</v>
      </c>
      <c r="K3595" s="87" t="s">
        <v>7</v>
      </c>
      <c r="L3595" s="108"/>
      <c r="M3595" s="108"/>
      <c r="N3595" s="108" t="str">
        <v>P233H124</v>
      </c>
      <c r="O3595" s="108">
        <f t="shared" si="58"/>
        <v>1</v>
      </c>
      <c r="P3595" s="108"/>
      <c r="Q3595"/>
    </row>
    <row r="3596" spans="1:17" x14ac:dyDescent="0.25">
      <c r="A3596" s="89" t="s">
        <v>10197</v>
      </c>
      <c r="B3596" s="87" t="s">
        <v>10198</v>
      </c>
      <c r="C3596" s="87" t="s">
        <v>13</v>
      </c>
      <c r="D3596" s="87" t="str">
        <f>VLOOKUP(Tabela1[[#This Row],[Origem]], 'Perguntas 1 a 24'!$J$28:$K$34, 2, 0)</f>
        <v>Sudeste</v>
      </c>
      <c r="E3596" s="87" t="str">
        <f>Tabela1[[#This Row],[Descrição]]&amp;"-"&amp;Tabela1[[#This Row],[Código]]&amp;"/"&amp;Tabela1[[#This Row],[Origem]]</f>
        <v>Vicanapo-P672P785/SP</v>
      </c>
      <c r="F3596" s="88">
        <v>47660</v>
      </c>
      <c r="G3596" s="88" t="str" cm="1">
        <f t="array" ref="G35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AND(F3596&gt;= DATE(2026,1,1), F3596&lt;= DATE(2028, 12, 31), J3596&gt;50000), "Pendente e Caro", AND(F3596&gt;= DATE(2026,1,1), F3596&lt;= DATE(2028, 12, 31), J3596&lt;=50000), "Pendente", F3596&gt;= DATE(2029,1,1), "Não prioeitário")</f>
        <v>Não prioeitário</v>
      </c>
      <c r="H3596" s="89">
        <f>YEAR(Tabela1[[#This Row],[Data de Validade]])</f>
        <v>2030</v>
      </c>
      <c r="I3596" s="89">
        <f>MONTH(Tabela1[[#This Row],[Data de Validade]])</f>
        <v>6</v>
      </c>
      <c r="J3596" s="101">
        <v>108055</v>
      </c>
      <c r="K3596" s="87" t="s">
        <v>14</v>
      </c>
      <c r="L3596" s="108"/>
      <c r="M3596" s="108"/>
      <c r="N3596" s="108" t="str">
        <v>H489P126</v>
      </c>
      <c r="O3596" s="108">
        <f t="shared" si="58"/>
        <v>1</v>
      </c>
      <c r="P3596" s="108"/>
      <c r="Q3596"/>
    </row>
    <row r="3597" spans="1:17" x14ac:dyDescent="0.25">
      <c r="A3597" s="89" t="s">
        <v>6230</v>
      </c>
      <c r="B3597" s="87" t="s">
        <v>6231</v>
      </c>
      <c r="C3597" s="87" t="s">
        <v>10</v>
      </c>
      <c r="D3597" s="87" t="str">
        <f>VLOOKUP(Tabela1[[#This Row],[Origem]], 'Perguntas 1 a 24'!$J$28:$K$34, 2, 0)</f>
        <v>Centro-Oeste</v>
      </c>
      <c r="E3597" s="87" t="str">
        <f>Tabela1[[#This Row],[Descrição]]&amp;"-"&amp;Tabela1[[#This Row],[Código]]&amp;"/"&amp;Tabela1[[#This Row],[Origem]]</f>
        <v>Raremo-H625H239/GO</v>
      </c>
      <c r="F3597" s="88">
        <v>47661</v>
      </c>
      <c r="G3597" s="88" t="str" cm="1">
        <f t="array" ref="G35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AND(F3597&gt;= DATE(2026,1,1), F3597&lt;= DATE(2028, 12, 31), J3597&gt;50000), "Pendente e Caro", AND(F3597&gt;= DATE(2026,1,1), F3597&lt;= DATE(2028, 12, 31), J3597&lt;=50000), "Pendente", F3597&gt;= DATE(2029,1,1), "Não prioeitário")</f>
        <v>Não prioeitário</v>
      </c>
      <c r="H3597" s="89">
        <f>YEAR(Tabela1[[#This Row],[Data de Validade]])</f>
        <v>2030</v>
      </c>
      <c r="I3597" s="89">
        <f>MONTH(Tabela1[[#This Row],[Data de Validade]])</f>
        <v>6</v>
      </c>
      <c r="J3597" s="101">
        <v>96383</v>
      </c>
      <c r="K3597" s="87" t="s">
        <v>7</v>
      </c>
      <c r="L3597" s="108"/>
      <c r="M3597" s="108"/>
      <c r="N3597" s="108" t="str">
        <v>P415P692</v>
      </c>
      <c r="O3597" s="108">
        <f t="shared" si="58"/>
        <v>1</v>
      </c>
      <c r="P3597" s="108"/>
      <c r="Q3597"/>
    </row>
    <row r="3598" spans="1:17" x14ac:dyDescent="0.25">
      <c r="A3598" s="89" t="s">
        <v>6264</v>
      </c>
      <c r="B3598" s="87" t="s">
        <v>6265</v>
      </c>
      <c r="C3598" s="87" t="s">
        <v>16</v>
      </c>
      <c r="D3598" s="87" t="str">
        <f>VLOOKUP(Tabela1[[#This Row],[Origem]], 'Perguntas 1 a 24'!$J$28:$K$34, 2, 0)</f>
        <v>Sudeste</v>
      </c>
      <c r="E3598" s="87" t="str">
        <f>Tabela1[[#This Row],[Descrição]]&amp;"-"&amp;Tabela1[[#This Row],[Código]]&amp;"/"&amp;Tabela1[[#This Row],[Origem]]</f>
        <v>Pumegota-H652H135/MG</v>
      </c>
      <c r="F3598" s="88">
        <v>47661</v>
      </c>
      <c r="G3598" s="88" t="str" cm="1">
        <f t="array" ref="G35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AND(F3598&gt;= DATE(2026,1,1), F3598&lt;= DATE(2028, 12, 31), J3598&gt;50000), "Pendente e Caro", AND(F3598&gt;= DATE(2026,1,1), F3598&lt;= DATE(2028, 12, 31), J3598&lt;=50000), "Pendente", F3598&gt;= DATE(2029,1,1), "Não prioeitário")</f>
        <v>Não prioeitário</v>
      </c>
      <c r="H3598" s="89">
        <f>YEAR(Tabela1[[#This Row],[Data de Validade]])</f>
        <v>2030</v>
      </c>
      <c r="I3598" s="89">
        <f>MONTH(Tabela1[[#This Row],[Data de Validade]])</f>
        <v>6</v>
      </c>
      <c r="J3598" s="101">
        <v>42487</v>
      </c>
      <c r="K3598" s="87" t="s">
        <v>7</v>
      </c>
      <c r="L3598" s="108"/>
      <c r="M3598" s="108"/>
      <c r="N3598" s="108" t="str">
        <v>P661P972</v>
      </c>
      <c r="O3598" s="108">
        <f t="shared" si="58"/>
        <v>1</v>
      </c>
      <c r="P3598" s="108"/>
      <c r="Q3598"/>
    </row>
    <row r="3599" spans="1:17" x14ac:dyDescent="0.25">
      <c r="A3599" s="89" t="s">
        <v>6886</v>
      </c>
      <c r="B3599" s="87" t="s">
        <v>6887</v>
      </c>
      <c r="C3599" s="87" t="s">
        <v>16</v>
      </c>
      <c r="D3599" s="87" t="str">
        <f>VLOOKUP(Tabela1[[#This Row],[Origem]], 'Perguntas 1 a 24'!$J$28:$K$34, 2, 0)</f>
        <v>Sudeste</v>
      </c>
      <c r="E3599" s="87" t="str">
        <f>Tabela1[[#This Row],[Descrição]]&amp;"-"&amp;Tabela1[[#This Row],[Código]]&amp;"/"&amp;Tabela1[[#This Row],[Origem]]</f>
        <v>Voturo-H764P199/MG</v>
      </c>
      <c r="F3599" s="88">
        <v>47662</v>
      </c>
      <c r="G3599" s="88" t="str" cm="1">
        <f t="array" ref="G35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AND(F3599&gt;= DATE(2026,1,1), F3599&lt;= DATE(2028, 12, 31), J3599&gt;50000), "Pendente e Caro", AND(F3599&gt;= DATE(2026,1,1), F3599&lt;= DATE(2028, 12, 31), J3599&lt;=50000), "Pendente", F3599&gt;= DATE(2029,1,1), "Não prioeitário")</f>
        <v>Não prioeitário</v>
      </c>
      <c r="H3599" s="89">
        <f>YEAR(Tabela1[[#This Row],[Data de Validade]])</f>
        <v>2030</v>
      </c>
      <c r="I3599" s="89">
        <f>MONTH(Tabela1[[#This Row],[Data de Validade]])</f>
        <v>6</v>
      </c>
      <c r="J3599" s="101">
        <v>113030</v>
      </c>
      <c r="K3599" s="87" t="s">
        <v>11</v>
      </c>
      <c r="L3599" s="108"/>
      <c r="M3599" s="108"/>
      <c r="N3599" s="108" t="str">
        <v>P386P897</v>
      </c>
      <c r="O3599" s="108">
        <f t="shared" si="58"/>
        <v>1</v>
      </c>
      <c r="P3599" s="108"/>
      <c r="Q3599"/>
    </row>
    <row r="3600" spans="1:17" x14ac:dyDescent="0.25">
      <c r="A3600" s="89" t="s">
        <v>6450</v>
      </c>
      <c r="B3600" s="87" t="s">
        <v>6451</v>
      </c>
      <c r="C3600" s="87" t="s">
        <v>8</v>
      </c>
      <c r="D3600" s="87" t="str">
        <f>VLOOKUP(Tabela1[[#This Row],[Origem]], 'Perguntas 1 a 24'!$J$28:$K$34, 2, 0)</f>
        <v>Nordeste</v>
      </c>
      <c r="E3600" s="87" t="str">
        <f>Tabela1[[#This Row],[Descrição]]&amp;"-"&amp;Tabela1[[#This Row],[Código]]&amp;"/"&amp;Tabela1[[#This Row],[Origem]]</f>
        <v>Fetano-P746P796/AL</v>
      </c>
      <c r="F3600" s="88">
        <v>47662</v>
      </c>
      <c r="G3600" s="88" t="str" cm="1">
        <f t="array" ref="G36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AND(F3600&gt;= DATE(2026,1,1), F3600&lt;= DATE(2028, 12, 31), J3600&gt;50000), "Pendente e Caro", AND(F3600&gt;= DATE(2026,1,1), F3600&lt;= DATE(2028, 12, 31), J3600&lt;=50000), "Pendente", F3600&gt;= DATE(2029,1,1), "Não prioeitário")</f>
        <v>Não prioeitário</v>
      </c>
      <c r="H3600" s="89">
        <f>YEAR(Tabela1[[#This Row],[Data de Validade]])</f>
        <v>2030</v>
      </c>
      <c r="I3600" s="89">
        <f>MONTH(Tabela1[[#This Row],[Data de Validade]])</f>
        <v>6</v>
      </c>
      <c r="J3600" s="101">
        <v>39158</v>
      </c>
      <c r="K3600" s="87" t="s">
        <v>14</v>
      </c>
      <c r="L3600" s="108"/>
      <c r="M3600" s="108"/>
      <c r="N3600" s="108" t="str">
        <v>H834P831</v>
      </c>
      <c r="O3600" s="108">
        <f t="shared" si="58"/>
        <v>1</v>
      </c>
      <c r="P3600" s="108"/>
      <c r="Q3600"/>
    </row>
    <row r="3601" spans="1:17" x14ac:dyDescent="0.25">
      <c r="A3601" s="89" t="s">
        <v>6840</v>
      </c>
      <c r="B3601" s="87" t="s">
        <v>6841</v>
      </c>
      <c r="C3601" s="87" t="s">
        <v>8</v>
      </c>
      <c r="D3601" s="87" t="str">
        <f>VLOOKUP(Tabela1[[#This Row],[Origem]], 'Perguntas 1 a 24'!$J$28:$K$34, 2, 0)</f>
        <v>Nordeste</v>
      </c>
      <c r="E3601" s="87" t="str">
        <f>Tabela1[[#This Row],[Descrição]]&amp;"-"&amp;Tabela1[[#This Row],[Código]]&amp;"/"&amp;Tabela1[[#This Row],[Origem]]</f>
        <v>Ratarupute-P665H696/AL</v>
      </c>
      <c r="F3601" s="88">
        <v>47662</v>
      </c>
      <c r="G3601" s="88" t="str" cm="1">
        <f t="array" ref="G36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AND(F3601&gt;= DATE(2026,1,1), F3601&lt;= DATE(2028, 12, 31), J3601&gt;50000), "Pendente e Caro", AND(F3601&gt;= DATE(2026,1,1), F3601&lt;= DATE(2028, 12, 31), J3601&lt;=50000), "Pendente", F3601&gt;= DATE(2029,1,1), "Não prioeitário")</f>
        <v>Não prioeitário</v>
      </c>
      <c r="H3601" s="89">
        <f>YEAR(Tabela1[[#This Row],[Data de Validade]])</f>
        <v>2030</v>
      </c>
      <c r="I3601" s="89">
        <f>MONTH(Tabela1[[#This Row],[Data de Validade]])</f>
        <v>6</v>
      </c>
      <c r="J3601" s="101">
        <v>24610</v>
      </c>
      <c r="K3601" s="87" t="s">
        <v>7</v>
      </c>
      <c r="L3601" s="108"/>
      <c r="M3601" s="108"/>
      <c r="N3601" s="108" t="str">
        <v>H388H285</v>
      </c>
      <c r="O3601" s="108">
        <f t="shared" si="58"/>
        <v>1</v>
      </c>
      <c r="P3601" s="108"/>
      <c r="Q3601"/>
    </row>
    <row r="3602" spans="1:17" x14ac:dyDescent="0.25">
      <c r="A3602" s="89" t="s">
        <v>10181</v>
      </c>
      <c r="B3602" s="87" t="s">
        <v>10182</v>
      </c>
      <c r="C3602" s="87" t="s">
        <v>8</v>
      </c>
      <c r="D3602" s="87" t="str">
        <f>VLOOKUP(Tabela1[[#This Row],[Origem]], 'Perguntas 1 a 24'!$J$28:$K$34, 2, 0)</f>
        <v>Nordeste</v>
      </c>
      <c r="E3602" s="87" t="str">
        <f>Tabela1[[#This Row],[Descrição]]&amp;"-"&amp;Tabela1[[#This Row],[Código]]&amp;"/"&amp;Tabela1[[#This Row],[Origem]]</f>
        <v>Pulepu-P663H246/AL</v>
      </c>
      <c r="F3602" s="88">
        <v>47663</v>
      </c>
      <c r="G3602" s="88" t="str" cm="1">
        <f t="array" ref="G36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AND(F3602&gt;= DATE(2026,1,1), F3602&lt;= DATE(2028, 12, 31), J3602&gt;50000), "Pendente e Caro", AND(F3602&gt;= DATE(2026,1,1), F3602&lt;= DATE(2028, 12, 31), J3602&lt;=50000), "Pendente", F3602&gt;= DATE(2029,1,1), "Não prioeitário")</f>
        <v>Não prioeitário</v>
      </c>
      <c r="H3602" s="89">
        <f>YEAR(Tabela1[[#This Row],[Data de Validade]])</f>
        <v>2030</v>
      </c>
      <c r="I3602" s="89">
        <f>MONTH(Tabela1[[#This Row],[Data de Validade]])</f>
        <v>6</v>
      </c>
      <c r="J3602" s="101">
        <v>81341</v>
      </c>
      <c r="K3602" s="87" t="s">
        <v>9</v>
      </c>
      <c r="L3602" s="108"/>
      <c r="M3602" s="108"/>
      <c r="N3602" s="108" t="str">
        <v>H191H874</v>
      </c>
      <c r="O3602" s="108">
        <f t="shared" si="58"/>
        <v>1</v>
      </c>
      <c r="P3602" s="108"/>
      <c r="Q3602"/>
    </row>
    <row r="3603" spans="1:17" x14ac:dyDescent="0.25">
      <c r="A3603" s="89" t="s">
        <v>10215</v>
      </c>
      <c r="B3603" s="87" t="s">
        <v>10216</v>
      </c>
      <c r="C3603" s="87" t="s">
        <v>16</v>
      </c>
      <c r="D3603" s="87" t="str">
        <f>VLOOKUP(Tabela1[[#This Row],[Origem]], 'Perguntas 1 a 24'!$J$28:$K$34, 2, 0)</f>
        <v>Sudeste</v>
      </c>
      <c r="E3603" s="87" t="str">
        <f>Tabela1[[#This Row],[Descrição]]&amp;"-"&amp;Tabela1[[#This Row],[Código]]&amp;"/"&amp;Tabela1[[#This Row],[Origem]]</f>
        <v>Napuleci-H497P254/MG</v>
      </c>
      <c r="F3603" s="88">
        <v>47663</v>
      </c>
      <c r="G3603" s="88" t="str" cm="1">
        <f t="array" ref="G36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AND(F3603&gt;= DATE(2026,1,1), F3603&lt;= DATE(2028, 12, 31), J3603&gt;50000), "Pendente e Caro", AND(F3603&gt;= DATE(2026,1,1), F3603&lt;= DATE(2028, 12, 31), J3603&lt;=50000), "Pendente", F3603&gt;= DATE(2029,1,1), "Não prioeitário")</f>
        <v>Não prioeitário</v>
      </c>
      <c r="H3603" s="89">
        <f>YEAR(Tabela1[[#This Row],[Data de Validade]])</f>
        <v>2030</v>
      </c>
      <c r="I3603" s="89">
        <f>MONTH(Tabela1[[#This Row],[Data de Validade]])</f>
        <v>6</v>
      </c>
      <c r="J3603" s="101">
        <v>53066</v>
      </c>
      <c r="K3603" s="87" t="s">
        <v>7</v>
      </c>
      <c r="L3603" s="108"/>
      <c r="M3603" s="108"/>
      <c r="N3603" s="108" t="str">
        <v>P323H956</v>
      </c>
      <c r="O3603" s="108">
        <f t="shared" si="58"/>
        <v>1</v>
      </c>
      <c r="P3603" s="108"/>
      <c r="Q3603"/>
    </row>
    <row r="3604" spans="1:17" x14ac:dyDescent="0.25">
      <c r="A3604" s="89" t="s">
        <v>7572</v>
      </c>
      <c r="B3604" s="87" t="s">
        <v>7573</v>
      </c>
      <c r="C3604" s="87" t="s">
        <v>8</v>
      </c>
      <c r="D3604" s="87" t="str">
        <f>VLOOKUP(Tabela1[[#This Row],[Origem]], 'Perguntas 1 a 24'!$J$28:$K$34, 2, 0)</f>
        <v>Nordeste</v>
      </c>
      <c r="E3604" s="87" t="str">
        <f>Tabela1[[#This Row],[Descrição]]&amp;"-"&amp;Tabela1[[#This Row],[Código]]&amp;"/"&amp;Tabela1[[#This Row],[Origem]]</f>
        <v>Pudagiruto-H285H135/AL</v>
      </c>
      <c r="F3604" s="88">
        <v>47664</v>
      </c>
      <c r="G3604" s="88" t="str" cm="1">
        <f t="array" ref="G36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AND(F3604&gt;= DATE(2026,1,1), F3604&lt;= DATE(2028, 12, 31), J3604&gt;50000), "Pendente e Caro", AND(F3604&gt;= DATE(2026,1,1), F3604&lt;= DATE(2028, 12, 31), J3604&lt;=50000), "Pendente", F3604&gt;= DATE(2029,1,1), "Não prioeitário")</f>
        <v>Não prioeitário</v>
      </c>
      <c r="H3604" s="89">
        <f>YEAR(Tabela1[[#This Row],[Data de Validade]])</f>
        <v>2030</v>
      </c>
      <c r="I3604" s="89">
        <f>MONTH(Tabela1[[#This Row],[Data de Validade]])</f>
        <v>6</v>
      </c>
      <c r="J3604" s="101">
        <v>65901</v>
      </c>
      <c r="K3604" s="87" t="s">
        <v>7</v>
      </c>
      <c r="L3604" s="108"/>
      <c r="M3604" s="108"/>
      <c r="N3604" s="108" t="str">
        <v>P847P469</v>
      </c>
      <c r="O3604" s="108">
        <f t="shared" si="58"/>
        <v>1</v>
      </c>
      <c r="P3604" s="108"/>
      <c r="Q3604"/>
    </row>
    <row r="3605" spans="1:17" x14ac:dyDescent="0.25">
      <c r="A3605" s="89" t="s">
        <v>10349</v>
      </c>
      <c r="B3605" s="87" t="s">
        <v>10350</v>
      </c>
      <c r="C3605" s="87" t="s">
        <v>6</v>
      </c>
      <c r="D3605" s="87" t="str">
        <f>VLOOKUP(Tabela1[[#This Row],[Origem]], 'Perguntas 1 a 24'!$J$28:$K$34, 2, 0)</f>
        <v>Nordeste</v>
      </c>
      <c r="E3605" s="87" t="str">
        <f>Tabela1[[#This Row],[Descrição]]&amp;"-"&amp;Tabela1[[#This Row],[Código]]&amp;"/"&amp;Tabela1[[#This Row],[Origem]]</f>
        <v>Licapiro-H948H323/MA</v>
      </c>
      <c r="F3605" s="88">
        <v>47665</v>
      </c>
      <c r="G3605" s="88" t="str" cm="1">
        <f t="array" ref="G36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AND(F3605&gt;= DATE(2026,1,1), F3605&lt;= DATE(2028, 12, 31), J3605&gt;50000), "Pendente e Caro", AND(F3605&gt;= DATE(2026,1,1), F3605&lt;= DATE(2028, 12, 31), J3605&lt;=50000), "Pendente", F3605&gt;= DATE(2029,1,1), "Não prioeitário")</f>
        <v>Não prioeitário</v>
      </c>
      <c r="H3605" s="89">
        <f>YEAR(Tabela1[[#This Row],[Data de Validade]])</f>
        <v>2030</v>
      </c>
      <c r="I3605" s="89">
        <f>MONTH(Tabela1[[#This Row],[Data de Validade]])</f>
        <v>7</v>
      </c>
      <c r="J3605" s="101">
        <v>119933</v>
      </c>
      <c r="K3605" s="87" t="s">
        <v>9</v>
      </c>
      <c r="L3605" s="108"/>
      <c r="M3605" s="108"/>
      <c r="N3605" s="108" t="str">
        <v>P456H529</v>
      </c>
      <c r="O3605" s="108">
        <f t="shared" si="58"/>
        <v>1</v>
      </c>
      <c r="P3605" s="108"/>
      <c r="Q3605"/>
    </row>
    <row r="3606" spans="1:17" x14ac:dyDescent="0.25">
      <c r="A3606" s="89" t="s">
        <v>6782</v>
      </c>
      <c r="B3606" s="87" t="s">
        <v>6783</v>
      </c>
      <c r="C3606" s="87" t="s">
        <v>8</v>
      </c>
      <c r="D3606" s="87" t="str">
        <f>VLOOKUP(Tabela1[[#This Row],[Origem]], 'Perguntas 1 a 24'!$J$28:$K$34, 2, 0)</f>
        <v>Nordeste</v>
      </c>
      <c r="E3606" s="87" t="str">
        <f>Tabela1[[#This Row],[Descrição]]&amp;"-"&amp;Tabela1[[#This Row],[Código]]&amp;"/"&amp;Tabela1[[#This Row],[Origem]]</f>
        <v>Navimu-P563H755/AL</v>
      </c>
      <c r="F3606" s="88">
        <v>47665</v>
      </c>
      <c r="G3606" s="88" t="str" cm="1">
        <f t="array" ref="G36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AND(F3606&gt;= DATE(2026,1,1), F3606&lt;= DATE(2028, 12, 31), J3606&gt;50000), "Pendente e Caro", AND(F3606&gt;= DATE(2026,1,1), F3606&lt;= DATE(2028, 12, 31), J3606&lt;=50000), "Pendente", F3606&gt;= DATE(2029,1,1), "Não prioeitário")</f>
        <v>Não prioeitário</v>
      </c>
      <c r="H3606" s="89">
        <f>YEAR(Tabela1[[#This Row],[Data de Validade]])</f>
        <v>2030</v>
      </c>
      <c r="I3606" s="89">
        <f>MONTH(Tabela1[[#This Row],[Data de Validade]])</f>
        <v>7</v>
      </c>
      <c r="J3606" s="101">
        <v>71071</v>
      </c>
      <c r="K3606" s="87" t="s">
        <v>7</v>
      </c>
      <c r="L3606" s="108"/>
      <c r="M3606" s="108"/>
      <c r="N3606" s="108" t="str">
        <v>H126H571</v>
      </c>
      <c r="O3606" s="108">
        <f t="shared" si="58"/>
        <v>1</v>
      </c>
      <c r="P3606" s="108"/>
      <c r="Q3606"/>
    </row>
    <row r="3607" spans="1:17" x14ac:dyDescent="0.25">
      <c r="A3607" s="89" t="s">
        <v>5166</v>
      </c>
      <c r="B3607" s="87" t="s">
        <v>5167</v>
      </c>
      <c r="C3607" s="87" t="s">
        <v>8</v>
      </c>
      <c r="D3607" s="87" t="str">
        <f>VLOOKUP(Tabela1[[#This Row],[Origem]], 'Perguntas 1 a 24'!$J$28:$K$34, 2, 0)</f>
        <v>Nordeste</v>
      </c>
      <c r="E3607" s="87" t="str">
        <f>Tabela1[[#This Row],[Descrição]]&amp;"-"&amp;Tabela1[[#This Row],[Código]]&amp;"/"&amp;Tabela1[[#This Row],[Origem]]</f>
        <v>Pumetu-P797H316/AL</v>
      </c>
      <c r="F3607" s="88">
        <v>47665</v>
      </c>
      <c r="G3607" s="88" t="str" cm="1">
        <f t="array" ref="G36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AND(F3607&gt;= DATE(2026,1,1), F3607&lt;= DATE(2028, 12, 31), J3607&gt;50000), "Pendente e Caro", AND(F3607&gt;= DATE(2026,1,1), F3607&lt;= DATE(2028, 12, 31), J3607&lt;=50000), "Pendente", F3607&gt;= DATE(2029,1,1), "Não prioeitário")</f>
        <v>Não prioeitário</v>
      </c>
      <c r="H3607" s="89">
        <f>YEAR(Tabela1[[#This Row],[Data de Validade]])</f>
        <v>2030</v>
      </c>
      <c r="I3607" s="89">
        <f>MONTH(Tabela1[[#This Row],[Data de Validade]])</f>
        <v>7</v>
      </c>
      <c r="J3607" s="101">
        <v>31694</v>
      </c>
      <c r="K3607" s="87" t="s">
        <v>9</v>
      </c>
      <c r="L3607" s="108"/>
      <c r="M3607" s="108"/>
      <c r="N3607" s="108" t="str">
        <v>P956P793</v>
      </c>
      <c r="O3607" s="108">
        <f t="shared" si="58"/>
        <v>1</v>
      </c>
      <c r="P3607" s="108"/>
      <c r="Q3607"/>
    </row>
    <row r="3608" spans="1:17" x14ac:dyDescent="0.25">
      <c r="A3608" s="89" t="s">
        <v>3916</v>
      </c>
      <c r="B3608" s="87" t="s">
        <v>3917</v>
      </c>
      <c r="C3608" s="87" t="s">
        <v>12</v>
      </c>
      <c r="D3608" s="87" t="str">
        <f>VLOOKUP(Tabela1[[#This Row],[Origem]], 'Perguntas 1 a 24'!$J$28:$K$34, 2, 0)</f>
        <v>Sudeste</v>
      </c>
      <c r="E3608" s="87" t="str">
        <f>Tabela1[[#This Row],[Descrição]]&amp;"-"&amp;Tabela1[[#This Row],[Código]]&amp;"/"&amp;Tabela1[[#This Row],[Origem]]</f>
        <v>Rudapope-P233H124/RJ</v>
      </c>
      <c r="F3608" s="88">
        <v>47666</v>
      </c>
      <c r="G3608" s="88" t="str" cm="1">
        <f t="array" ref="G36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AND(F3608&gt;= DATE(2026,1,1), F3608&lt;= DATE(2028, 12, 31), J3608&gt;50000), "Pendente e Caro", AND(F3608&gt;= DATE(2026,1,1), F3608&lt;= DATE(2028, 12, 31), J3608&lt;=50000), "Pendente", F3608&gt;= DATE(2029,1,1), "Não prioeitário")</f>
        <v>Não prioeitário</v>
      </c>
      <c r="H3608" s="89">
        <f>YEAR(Tabela1[[#This Row],[Data de Validade]])</f>
        <v>2030</v>
      </c>
      <c r="I3608" s="89">
        <f>MONTH(Tabela1[[#This Row],[Data de Validade]])</f>
        <v>7</v>
      </c>
      <c r="J3608" s="101">
        <v>63715</v>
      </c>
      <c r="K3608" s="87" t="s">
        <v>11</v>
      </c>
      <c r="L3608" s="108"/>
      <c r="M3608" s="108"/>
      <c r="N3608" s="108" t="str">
        <v>P997P968</v>
      </c>
      <c r="O3608" s="108">
        <f t="shared" si="58"/>
        <v>1</v>
      </c>
      <c r="P3608" s="108"/>
      <c r="Q3608"/>
    </row>
    <row r="3609" spans="1:17" x14ac:dyDescent="0.25">
      <c r="A3609" s="89" t="s">
        <v>3814</v>
      </c>
      <c r="B3609" s="87" t="s">
        <v>3815</v>
      </c>
      <c r="C3609" s="87" t="s">
        <v>8</v>
      </c>
      <c r="D3609" s="87" t="str">
        <f>VLOOKUP(Tabela1[[#This Row],[Origem]], 'Perguntas 1 a 24'!$J$28:$K$34, 2, 0)</f>
        <v>Nordeste</v>
      </c>
      <c r="E3609" s="87" t="str">
        <f>Tabela1[[#This Row],[Descrição]]&amp;"-"&amp;Tabela1[[#This Row],[Código]]&amp;"/"&amp;Tabela1[[#This Row],[Origem]]</f>
        <v>Roracugi-H489P126/AL</v>
      </c>
      <c r="F3609" s="88">
        <v>47666</v>
      </c>
      <c r="G3609" s="88" t="str" cm="1">
        <f t="array" ref="G36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AND(F3609&gt;= DATE(2026,1,1), F3609&lt;= DATE(2028, 12, 31), J3609&gt;50000), "Pendente e Caro", AND(F3609&gt;= DATE(2026,1,1), F3609&lt;= DATE(2028, 12, 31), J3609&lt;=50000), "Pendente", F3609&gt;= DATE(2029,1,1), "Não prioeitário")</f>
        <v>Não prioeitário</v>
      </c>
      <c r="H3609" s="89">
        <f>YEAR(Tabela1[[#This Row],[Data de Validade]])</f>
        <v>2030</v>
      </c>
      <c r="I3609" s="89">
        <f>MONTH(Tabela1[[#This Row],[Data de Validade]])</f>
        <v>7</v>
      </c>
      <c r="J3609" s="101">
        <v>36950</v>
      </c>
      <c r="K3609" s="87" t="s">
        <v>14</v>
      </c>
      <c r="L3609" s="108"/>
      <c r="M3609" s="108"/>
      <c r="N3609" s="108" t="str">
        <v>H732P563</v>
      </c>
      <c r="O3609" s="108">
        <f t="shared" si="58"/>
        <v>1</v>
      </c>
      <c r="P3609" s="108"/>
      <c r="Q3609"/>
    </row>
    <row r="3610" spans="1:17" x14ac:dyDescent="0.25">
      <c r="A3610" s="89" t="s">
        <v>8106</v>
      </c>
      <c r="B3610" s="87" t="s">
        <v>8107</v>
      </c>
      <c r="C3610" s="87" t="s">
        <v>13</v>
      </c>
      <c r="D3610" s="87" t="str">
        <f>VLOOKUP(Tabela1[[#This Row],[Origem]], 'Perguntas 1 a 24'!$J$28:$K$34, 2, 0)</f>
        <v>Sudeste</v>
      </c>
      <c r="E3610" s="87" t="str">
        <f>Tabela1[[#This Row],[Descrição]]&amp;"-"&amp;Tabela1[[#This Row],[Código]]&amp;"/"&amp;Tabela1[[#This Row],[Origem]]</f>
        <v>Gutepocema-P415P692/SP</v>
      </c>
      <c r="F3610" s="88">
        <v>47668</v>
      </c>
      <c r="G3610" s="88" t="str" cm="1">
        <f t="array" ref="G36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AND(F3610&gt;= DATE(2026,1,1), F3610&lt;= DATE(2028, 12, 31), J3610&gt;50000), "Pendente e Caro", AND(F3610&gt;= DATE(2026,1,1), F3610&lt;= DATE(2028, 12, 31), J3610&lt;=50000), "Pendente", F3610&gt;= DATE(2029,1,1), "Não prioeitário")</f>
        <v>Não prioeitário</v>
      </c>
      <c r="H3610" s="89">
        <f>YEAR(Tabela1[[#This Row],[Data de Validade]])</f>
        <v>2030</v>
      </c>
      <c r="I3610" s="89">
        <f>MONTH(Tabela1[[#This Row],[Data de Validade]])</f>
        <v>7</v>
      </c>
      <c r="J3610" s="101">
        <v>65053</v>
      </c>
      <c r="K3610" s="87" t="s">
        <v>14</v>
      </c>
      <c r="L3610" s="108"/>
      <c r="M3610" s="108"/>
      <c r="N3610" s="108" t="str">
        <v>P449H836</v>
      </c>
      <c r="O3610" s="108">
        <f t="shared" si="58"/>
        <v>1</v>
      </c>
      <c r="P3610" s="108"/>
      <c r="Q3610"/>
    </row>
    <row r="3611" spans="1:17" x14ac:dyDescent="0.25">
      <c r="A3611" s="89" t="s">
        <v>7646</v>
      </c>
      <c r="B3611" s="87" t="s">
        <v>7647</v>
      </c>
      <c r="C3611" s="87" t="s">
        <v>8</v>
      </c>
      <c r="D3611" s="87" t="str">
        <f>VLOOKUP(Tabela1[[#This Row],[Origem]], 'Perguntas 1 a 24'!$J$28:$K$34, 2, 0)</f>
        <v>Nordeste</v>
      </c>
      <c r="E3611" s="87" t="str">
        <f>Tabela1[[#This Row],[Descrição]]&amp;"-"&amp;Tabela1[[#This Row],[Código]]&amp;"/"&amp;Tabela1[[#This Row],[Origem]]</f>
        <v>Tevalucicu-P661P972/AL</v>
      </c>
      <c r="F3611" s="88">
        <v>47669</v>
      </c>
      <c r="G3611" s="88" t="str" cm="1">
        <f t="array" ref="G36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AND(F3611&gt;= DATE(2026,1,1), F3611&lt;= DATE(2028, 12, 31), J3611&gt;50000), "Pendente e Caro", AND(F3611&gt;= DATE(2026,1,1), F3611&lt;= DATE(2028, 12, 31), J3611&lt;=50000), "Pendente", F3611&gt;= DATE(2029,1,1), "Não prioeitário")</f>
        <v>Não prioeitário</v>
      </c>
      <c r="H3611" s="89">
        <f>YEAR(Tabela1[[#This Row],[Data de Validade]])</f>
        <v>2030</v>
      </c>
      <c r="I3611" s="89">
        <f>MONTH(Tabela1[[#This Row],[Data de Validade]])</f>
        <v>7</v>
      </c>
      <c r="J3611" s="101">
        <v>114786</v>
      </c>
      <c r="K3611" s="87" t="s">
        <v>9</v>
      </c>
      <c r="L3611" s="108"/>
      <c r="M3611" s="108"/>
      <c r="N3611" s="108" t="str">
        <v>P644H759</v>
      </c>
      <c r="O3611" s="108">
        <f t="shared" si="58"/>
        <v>1</v>
      </c>
      <c r="P3611" s="108"/>
      <c r="Q3611"/>
    </row>
    <row r="3612" spans="1:17" x14ac:dyDescent="0.25">
      <c r="A3612" s="89" t="s">
        <v>5156</v>
      </c>
      <c r="B3612" s="87" t="s">
        <v>5157</v>
      </c>
      <c r="C3612" s="87" t="s">
        <v>15</v>
      </c>
      <c r="D3612" s="87" t="str">
        <f>VLOOKUP(Tabela1[[#This Row],[Origem]], 'Perguntas 1 a 24'!$J$28:$K$34, 2, 0)</f>
        <v>Sudeste</v>
      </c>
      <c r="E3612" s="87" t="str">
        <f>Tabela1[[#This Row],[Descrição]]&amp;"-"&amp;Tabela1[[#This Row],[Código]]&amp;"/"&amp;Tabela1[[#This Row],[Origem]]</f>
        <v>Garigove-P386P897/ES</v>
      </c>
      <c r="F3612" s="88">
        <v>47669</v>
      </c>
      <c r="G3612" s="88" t="str" cm="1">
        <f t="array" ref="G36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AND(F3612&gt;= DATE(2026,1,1), F3612&lt;= DATE(2028, 12, 31), J3612&gt;50000), "Pendente e Caro", AND(F3612&gt;= DATE(2026,1,1), F3612&lt;= DATE(2028, 12, 31), J3612&lt;=50000), "Pendente", F3612&gt;= DATE(2029,1,1), "Não prioeitário")</f>
        <v>Não prioeitário</v>
      </c>
      <c r="H3612" s="89">
        <f>YEAR(Tabela1[[#This Row],[Data de Validade]])</f>
        <v>2030</v>
      </c>
      <c r="I3612" s="89">
        <f>MONTH(Tabela1[[#This Row],[Data de Validade]])</f>
        <v>7</v>
      </c>
      <c r="J3612" s="101">
        <v>53065</v>
      </c>
      <c r="K3612" s="87" t="s">
        <v>14</v>
      </c>
      <c r="L3612" s="108"/>
      <c r="M3612" s="108"/>
      <c r="N3612" s="108" t="str">
        <v>P167H591</v>
      </c>
      <c r="O3612" s="108">
        <f t="shared" si="58"/>
        <v>1</v>
      </c>
      <c r="P3612" s="108"/>
      <c r="Q3612"/>
    </row>
    <row r="3613" spans="1:17" x14ac:dyDescent="0.25">
      <c r="A3613" s="89" t="s">
        <v>10347</v>
      </c>
      <c r="B3613" s="87" t="s">
        <v>10348</v>
      </c>
      <c r="C3613" s="87" t="s">
        <v>8</v>
      </c>
      <c r="D3613" s="87" t="str">
        <f>VLOOKUP(Tabela1[[#This Row],[Origem]], 'Perguntas 1 a 24'!$J$28:$K$34, 2, 0)</f>
        <v>Nordeste</v>
      </c>
      <c r="E3613" s="87" t="str">
        <f>Tabela1[[#This Row],[Descrição]]&amp;"-"&amp;Tabela1[[#This Row],[Código]]&amp;"/"&amp;Tabela1[[#This Row],[Origem]]</f>
        <v>Camonofa-H834P831/AL</v>
      </c>
      <c r="F3613" s="88">
        <v>47670</v>
      </c>
      <c r="G3613" s="88" t="str" cm="1">
        <f t="array" ref="G36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AND(F3613&gt;= DATE(2026,1,1), F3613&lt;= DATE(2028, 12, 31), J3613&gt;50000), "Pendente e Caro", AND(F3613&gt;= DATE(2026,1,1), F3613&lt;= DATE(2028, 12, 31), J3613&lt;=50000), "Pendente", F3613&gt;= DATE(2029,1,1), "Não prioeitário")</f>
        <v>Não prioeitário</v>
      </c>
      <c r="H3613" s="89">
        <f>YEAR(Tabela1[[#This Row],[Data de Validade]])</f>
        <v>2030</v>
      </c>
      <c r="I3613" s="89">
        <f>MONTH(Tabela1[[#This Row],[Data de Validade]])</f>
        <v>7</v>
      </c>
      <c r="J3613" s="101">
        <v>104550</v>
      </c>
      <c r="K3613" s="87" t="s">
        <v>14</v>
      </c>
      <c r="L3613" s="108"/>
      <c r="M3613" s="108"/>
      <c r="N3613" s="108" t="str">
        <v>H536H244</v>
      </c>
      <c r="O3613" s="108">
        <f t="shared" si="58"/>
        <v>1</v>
      </c>
      <c r="P3613" s="108"/>
      <c r="Q3613"/>
    </row>
    <row r="3614" spans="1:17" x14ac:dyDescent="0.25">
      <c r="A3614" s="89" t="s">
        <v>6110</v>
      </c>
      <c r="B3614" s="87" t="s">
        <v>6111</v>
      </c>
      <c r="C3614" s="87" t="s">
        <v>6</v>
      </c>
      <c r="D3614" s="87" t="str">
        <f>VLOOKUP(Tabela1[[#This Row],[Origem]], 'Perguntas 1 a 24'!$J$28:$K$34, 2, 0)</f>
        <v>Nordeste</v>
      </c>
      <c r="E3614" s="87" t="str">
        <f>Tabela1[[#This Row],[Descrição]]&amp;"-"&amp;Tabela1[[#This Row],[Código]]&amp;"/"&amp;Tabela1[[#This Row],[Origem]]</f>
        <v>Cuveve-H388H285/MA</v>
      </c>
      <c r="F3614" s="88">
        <v>47671</v>
      </c>
      <c r="G3614" s="88" t="str" cm="1">
        <f t="array" ref="G36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AND(F3614&gt;= DATE(2026,1,1), F3614&lt;= DATE(2028, 12, 31), J3614&gt;50000), "Pendente e Caro", AND(F3614&gt;= DATE(2026,1,1), F3614&lt;= DATE(2028, 12, 31), J3614&lt;=50000), "Pendente", F3614&gt;= DATE(2029,1,1), "Não prioeitário")</f>
        <v>Não prioeitário</v>
      </c>
      <c r="H3614" s="89">
        <f>YEAR(Tabela1[[#This Row],[Data de Validade]])</f>
        <v>2030</v>
      </c>
      <c r="I3614" s="89">
        <f>MONTH(Tabela1[[#This Row],[Data de Validade]])</f>
        <v>7</v>
      </c>
      <c r="J3614" s="101">
        <v>108446</v>
      </c>
      <c r="K3614" s="87" t="s">
        <v>11</v>
      </c>
      <c r="L3614" s="108"/>
      <c r="M3614" s="108"/>
      <c r="N3614" s="108" t="str">
        <v>P374H313</v>
      </c>
      <c r="O3614" s="108">
        <f t="shared" si="58"/>
        <v>1</v>
      </c>
      <c r="P3614" s="108"/>
      <c r="Q3614"/>
    </row>
    <row r="3615" spans="1:17" x14ac:dyDescent="0.25">
      <c r="A3615" s="89" t="s">
        <v>10539</v>
      </c>
      <c r="B3615" s="87" t="s">
        <v>10540</v>
      </c>
      <c r="C3615" s="87" t="s">
        <v>16</v>
      </c>
      <c r="D3615" s="87" t="str">
        <f>VLOOKUP(Tabela1[[#This Row],[Origem]], 'Perguntas 1 a 24'!$J$28:$K$34, 2, 0)</f>
        <v>Sudeste</v>
      </c>
      <c r="E3615" s="87" t="str">
        <f>Tabela1[[#This Row],[Descrição]]&amp;"-"&amp;Tabela1[[#This Row],[Código]]&amp;"/"&amp;Tabela1[[#This Row],[Origem]]</f>
        <v>Lococufime-H191H874/MG</v>
      </c>
      <c r="F3615" s="88">
        <v>47671</v>
      </c>
      <c r="G3615" s="88" t="str" cm="1">
        <f t="array" ref="G36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AND(F3615&gt;= DATE(2026,1,1), F3615&lt;= DATE(2028, 12, 31), J3615&gt;50000), "Pendente e Caro", AND(F3615&gt;= DATE(2026,1,1), F3615&lt;= DATE(2028, 12, 31), J3615&lt;=50000), "Pendente", F3615&gt;= DATE(2029,1,1), "Não prioeitário")</f>
        <v>Não prioeitário</v>
      </c>
      <c r="H3615" s="89">
        <f>YEAR(Tabela1[[#This Row],[Data de Validade]])</f>
        <v>2030</v>
      </c>
      <c r="I3615" s="89">
        <f>MONTH(Tabela1[[#This Row],[Data de Validade]])</f>
        <v>7</v>
      </c>
      <c r="J3615" s="101">
        <v>83241</v>
      </c>
      <c r="K3615" s="87" t="s">
        <v>14</v>
      </c>
      <c r="L3615" s="108"/>
      <c r="M3615" s="108"/>
      <c r="N3615" s="108" t="str">
        <v>P541P445</v>
      </c>
      <c r="O3615" s="108">
        <f t="shared" si="58"/>
        <v>1</v>
      </c>
      <c r="P3615" s="108"/>
      <c r="Q3615"/>
    </row>
    <row r="3616" spans="1:17" x14ac:dyDescent="0.25">
      <c r="A3616" s="89" t="s">
        <v>11224</v>
      </c>
      <c r="B3616" s="87" t="s">
        <v>11225</v>
      </c>
      <c r="C3616" s="87" t="s">
        <v>16</v>
      </c>
      <c r="D3616" s="87" t="str">
        <f>VLOOKUP(Tabela1[[#This Row],[Origem]], 'Perguntas 1 a 24'!$J$28:$K$34, 2, 0)</f>
        <v>Sudeste</v>
      </c>
      <c r="E3616" s="87" t="str">
        <f>Tabela1[[#This Row],[Descrição]]&amp;"-"&amp;Tabela1[[#This Row],[Código]]&amp;"/"&amp;Tabela1[[#This Row],[Origem]]</f>
        <v>Raruco-P323H956/MG</v>
      </c>
      <c r="F3616" s="88">
        <v>47671</v>
      </c>
      <c r="G3616" s="88" t="str" cm="1">
        <f t="array" ref="G36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AND(F3616&gt;= DATE(2026,1,1), F3616&lt;= DATE(2028, 12, 31), J3616&gt;50000), "Pendente e Caro", AND(F3616&gt;= DATE(2026,1,1), F3616&lt;= DATE(2028, 12, 31), J3616&lt;=50000), "Pendente", F3616&gt;= DATE(2029,1,1), "Não prioeitário")</f>
        <v>Não prioeitário</v>
      </c>
      <c r="H3616" s="89">
        <f>YEAR(Tabela1[[#This Row],[Data de Validade]])</f>
        <v>2030</v>
      </c>
      <c r="I3616" s="89">
        <f>MONTH(Tabela1[[#This Row],[Data de Validade]])</f>
        <v>7</v>
      </c>
      <c r="J3616" s="101">
        <v>77510</v>
      </c>
      <c r="K3616" s="87" t="s">
        <v>14</v>
      </c>
      <c r="L3616" s="108"/>
      <c r="M3616" s="108"/>
      <c r="N3616" s="108" t="str">
        <v>H456H418</v>
      </c>
      <c r="O3616" s="108">
        <f t="shared" si="58"/>
        <v>1</v>
      </c>
      <c r="P3616" s="108"/>
      <c r="Q3616"/>
    </row>
    <row r="3617" spans="1:17" x14ac:dyDescent="0.25">
      <c r="A3617" s="89" t="s">
        <v>9495</v>
      </c>
      <c r="B3617" s="87" t="s">
        <v>9496</v>
      </c>
      <c r="C3617" s="87" t="s">
        <v>8</v>
      </c>
      <c r="D3617" s="87" t="str">
        <f>VLOOKUP(Tabela1[[#This Row],[Origem]], 'Perguntas 1 a 24'!$J$28:$K$34, 2, 0)</f>
        <v>Nordeste</v>
      </c>
      <c r="E3617" s="87" t="str">
        <f>Tabela1[[#This Row],[Descrição]]&amp;"-"&amp;Tabela1[[#This Row],[Código]]&amp;"/"&amp;Tabela1[[#This Row],[Origem]]</f>
        <v>Muripufure-P847P469/AL</v>
      </c>
      <c r="F3617" s="88">
        <v>47671</v>
      </c>
      <c r="G3617" s="88" t="str" cm="1">
        <f t="array" ref="G36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AND(F3617&gt;= DATE(2026,1,1), F3617&lt;= DATE(2028, 12, 31), J3617&gt;50000), "Pendente e Caro", AND(F3617&gt;= DATE(2026,1,1), F3617&lt;= DATE(2028, 12, 31), J3617&lt;=50000), "Pendente", F3617&gt;= DATE(2029,1,1), "Não prioeitário")</f>
        <v>Não prioeitário</v>
      </c>
      <c r="H3617" s="89">
        <f>YEAR(Tabela1[[#This Row],[Data de Validade]])</f>
        <v>2030</v>
      </c>
      <c r="I3617" s="89">
        <f>MONTH(Tabela1[[#This Row],[Data de Validade]])</f>
        <v>7</v>
      </c>
      <c r="J3617" s="101">
        <v>70722</v>
      </c>
      <c r="K3617" s="87" t="s">
        <v>11</v>
      </c>
      <c r="L3617" s="108"/>
      <c r="M3617" s="108"/>
      <c r="N3617" s="108" t="str">
        <v>H883P899</v>
      </c>
      <c r="O3617" s="108">
        <f t="shared" si="58"/>
        <v>1</v>
      </c>
      <c r="P3617" s="108"/>
      <c r="Q3617"/>
    </row>
    <row r="3618" spans="1:17" x14ac:dyDescent="0.25">
      <c r="A3618" s="89" t="s">
        <v>11180</v>
      </c>
      <c r="B3618" s="87" t="s">
        <v>11181</v>
      </c>
      <c r="C3618" s="87" t="s">
        <v>13</v>
      </c>
      <c r="D3618" s="87" t="str">
        <f>VLOOKUP(Tabela1[[#This Row],[Origem]], 'Perguntas 1 a 24'!$J$28:$K$34, 2, 0)</f>
        <v>Sudeste</v>
      </c>
      <c r="E3618" s="87" t="str">
        <f>Tabela1[[#This Row],[Descrição]]&amp;"-"&amp;Tabela1[[#This Row],[Código]]&amp;"/"&amp;Tabela1[[#This Row],[Origem]]</f>
        <v>Ramifavedu-P456H529/SP</v>
      </c>
      <c r="F3618" s="88">
        <v>47672</v>
      </c>
      <c r="G3618" s="88" t="str" cm="1">
        <f t="array" ref="G36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AND(F3618&gt;= DATE(2026,1,1), F3618&lt;= DATE(2028, 12, 31), J3618&gt;50000), "Pendente e Caro", AND(F3618&gt;= DATE(2026,1,1), F3618&lt;= DATE(2028, 12, 31), J3618&lt;=50000), "Pendente", F3618&gt;= DATE(2029,1,1), "Não prioeitário")</f>
        <v>Não prioeitário</v>
      </c>
      <c r="H3618" s="89">
        <f>YEAR(Tabela1[[#This Row],[Data de Validade]])</f>
        <v>2030</v>
      </c>
      <c r="I3618" s="89">
        <f>MONTH(Tabela1[[#This Row],[Data de Validade]])</f>
        <v>7</v>
      </c>
      <c r="J3618" s="101">
        <v>23602</v>
      </c>
      <c r="K3618" s="87" t="s">
        <v>14</v>
      </c>
      <c r="L3618" s="108"/>
      <c r="M3618" s="108"/>
      <c r="N3618" s="108" t="str">
        <v>H214P711</v>
      </c>
      <c r="O3618" s="108">
        <f t="shared" si="58"/>
        <v>1</v>
      </c>
      <c r="P3618" s="108"/>
      <c r="Q3618"/>
    </row>
    <row r="3619" spans="1:17" x14ac:dyDescent="0.25">
      <c r="A3619" s="89" t="s">
        <v>9939</v>
      </c>
      <c r="B3619" s="87" t="s">
        <v>9940</v>
      </c>
      <c r="C3619" s="87" t="s">
        <v>15</v>
      </c>
      <c r="D3619" s="87" t="str">
        <f>VLOOKUP(Tabela1[[#This Row],[Origem]], 'Perguntas 1 a 24'!$J$28:$K$34, 2, 0)</f>
        <v>Sudeste</v>
      </c>
      <c r="E3619" s="87" t="str">
        <f>Tabela1[[#This Row],[Descrição]]&amp;"-"&amp;Tabela1[[#This Row],[Código]]&amp;"/"&amp;Tabela1[[#This Row],[Origem]]</f>
        <v>Molome-H126H571/ES</v>
      </c>
      <c r="F3619" s="88">
        <v>47673</v>
      </c>
      <c r="G3619" s="88" t="str" cm="1">
        <f t="array" ref="G36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AND(F3619&gt;= DATE(2026,1,1), F3619&lt;= DATE(2028, 12, 31), J3619&gt;50000), "Pendente e Caro", AND(F3619&gt;= DATE(2026,1,1), F3619&lt;= DATE(2028, 12, 31), J3619&lt;=50000), "Pendente", F3619&gt;= DATE(2029,1,1), "Não prioeitário")</f>
        <v>Não prioeitário</v>
      </c>
      <c r="H3619" s="89">
        <f>YEAR(Tabela1[[#This Row],[Data de Validade]])</f>
        <v>2030</v>
      </c>
      <c r="I3619" s="89">
        <f>MONTH(Tabela1[[#This Row],[Data de Validade]])</f>
        <v>7</v>
      </c>
      <c r="J3619" s="101">
        <v>98921</v>
      </c>
      <c r="K3619" s="87" t="s">
        <v>7</v>
      </c>
      <c r="L3619" s="108"/>
      <c r="M3619" s="108"/>
      <c r="N3619" s="108" t="str">
        <v>P711H943</v>
      </c>
      <c r="O3619" s="108">
        <f t="shared" si="58"/>
        <v>1</v>
      </c>
      <c r="P3619" s="108"/>
      <c r="Q3619"/>
    </row>
    <row r="3620" spans="1:17" x14ac:dyDescent="0.25">
      <c r="A3620" s="89" t="s">
        <v>3782</v>
      </c>
      <c r="B3620" s="87" t="s">
        <v>3783</v>
      </c>
      <c r="C3620" s="87" t="s">
        <v>10</v>
      </c>
      <c r="D3620" s="87" t="str">
        <f>VLOOKUP(Tabela1[[#This Row],[Origem]], 'Perguntas 1 a 24'!$J$28:$K$34, 2, 0)</f>
        <v>Centro-Oeste</v>
      </c>
      <c r="E3620" s="87" t="str">
        <f>Tabela1[[#This Row],[Descrição]]&amp;"-"&amp;Tabela1[[#This Row],[Código]]&amp;"/"&amp;Tabela1[[#This Row],[Origem]]</f>
        <v>Temufiru-P956P793/GO</v>
      </c>
      <c r="F3620" s="88">
        <v>47673</v>
      </c>
      <c r="G3620" s="88" t="str" cm="1">
        <f t="array" ref="G36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AND(F3620&gt;= DATE(2026,1,1), F3620&lt;= DATE(2028, 12, 31), J3620&gt;50000), "Pendente e Caro", AND(F3620&gt;= DATE(2026,1,1), F3620&lt;= DATE(2028, 12, 31), J3620&lt;=50000), "Pendente", F3620&gt;= DATE(2029,1,1), "Não prioeitário")</f>
        <v>Não prioeitário</v>
      </c>
      <c r="H3620" s="89">
        <f>YEAR(Tabela1[[#This Row],[Data de Validade]])</f>
        <v>2030</v>
      </c>
      <c r="I3620" s="89">
        <f>MONTH(Tabela1[[#This Row],[Data de Validade]])</f>
        <v>7</v>
      </c>
      <c r="J3620" s="101">
        <v>85021</v>
      </c>
      <c r="K3620" s="87" t="s">
        <v>7</v>
      </c>
      <c r="L3620" s="108"/>
      <c r="M3620" s="108"/>
      <c r="N3620" s="108" t="str">
        <v>P139P865</v>
      </c>
      <c r="O3620" s="108">
        <f t="shared" si="58"/>
        <v>1</v>
      </c>
      <c r="P3620" s="108"/>
      <c r="Q3620"/>
    </row>
    <row r="3621" spans="1:17" x14ac:dyDescent="0.25">
      <c r="A3621" s="89" t="s">
        <v>4962</v>
      </c>
      <c r="B3621" s="87" t="s">
        <v>4963</v>
      </c>
      <c r="C3621" s="87" t="s">
        <v>16</v>
      </c>
      <c r="D3621" s="87" t="str">
        <f>VLOOKUP(Tabela1[[#This Row],[Origem]], 'Perguntas 1 a 24'!$J$28:$K$34, 2, 0)</f>
        <v>Sudeste</v>
      </c>
      <c r="E3621" s="87" t="str">
        <f>Tabela1[[#This Row],[Descrição]]&amp;"-"&amp;Tabela1[[#This Row],[Código]]&amp;"/"&amp;Tabela1[[#This Row],[Origem]]</f>
        <v>Generu-P997P968/MG</v>
      </c>
      <c r="F3621" s="88">
        <v>47673</v>
      </c>
      <c r="G3621" s="88" t="str" cm="1">
        <f t="array" ref="G36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AND(F3621&gt;= DATE(2026,1,1), F3621&lt;= DATE(2028, 12, 31), J3621&gt;50000), "Pendente e Caro", AND(F3621&gt;= DATE(2026,1,1), F3621&lt;= DATE(2028, 12, 31), J3621&lt;=50000), "Pendente", F3621&gt;= DATE(2029,1,1), "Não prioeitário")</f>
        <v>Não prioeitário</v>
      </c>
      <c r="H3621" s="89">
        <f>YEAR(Tabela1[[#This Row],[Data de Validade]])</f>
        <v>2030</v>
      </c>
      <c r="I3621" s="89">
        <f>MONTH(Tabela1[[#This Row],[Data de Validade]])</f>
        <v>7</v>
      </c>
      <c r="J3621" s="101">
        <v>55260</v>
      </c>
      <c r="K3621" s="87" t="s">
        <v>14</v>
      </c>
      <c r="L3621" s="108"/>
      <c r="M3621" s="108"/>
      <c r="N3621" s="108" t="str">
        <v>P923H698</v>
      </c>
      <c r="O3621" s="108">
        <f t="shared" si="58"/>
        <v>1</v>
      </c>
      <c r="P3621" s="108"/>
      <c r="Q3621"/>
    </row>
    <row r="3622" spans="1:17" x14ac:dyDescent="0.25">
      <c r="A3622" s="89" t="s">
        <v>8502</v>
      </c>
      <c r="B3622" s="87" t="s">
        <v>8503</v>
      </c>
      <c r="C3622" s="87" t="s">
        <v>10</v>
      </c>
      <c r="D3622" s="87" t="str">
        <f>VLOOKUP(Tabela1[[#This Row],[Origem]], 'Perguntas 1 a 24'!$J$28:$K$34, 2, 0)</f>
        <v>Centro-Oeste</v>
      </c>
      <c r="E3622" s="87" t="str">
        <f>Tabela1[[#This Row],[Descrição]]&amp;"-"&amp;Tabela1[[#This Row],[Código]]&amp;"/"&amp;Tabela1[[#This Row],[Origem]]</f>
        <v>Tapuvogoni-H732P563/GO</v>
      </c>
      <c r="F3622" s="88">
        <v>47674</v>
      </c>
      <c r="G3622" s="88" t="str" cm="1">
        <f t="array" ref="G36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AND(F3622&gt;= DATE(2026,1,1), F3622&lt;= DATE(2028, 12, 31), J3622&gt;50000), "Pendente e Caro", AND(F3622&gt;= DATE(2026,1,1), F3622&lt;= DATE(2028, 12, 31), J3622&lt;=50000), "Pendente", F3622&gt;= DATE(2029,1,1), "Não prioeitário")</f>
        <v>Não prioeitário</v>
      </c>
      <c r="H3622" s="89">
        <f>YEAR(Tabela1[[#This Row],[Data de Validade]])</f>
        <v>2030</v>
      </c>
      <c r="I3622" s="89">
        <f>MONTH(Tabela1[[#This Row],[Data de Validade]])</f>
        <v>7</v>
      </c>
      <c r="J3622" s="101">
        <v>87252</v>
      </c>
      <c r="K3622" s="87" t="s">
        <v>9</v>
      </c>
      <c r="L3622" s="108"/>
      <c r="M3622" s="108"/>
      <c r="N3622" s="108" t="str">
        <v>H725P599</v>
      </c>
      <c r="O3622" s="108">
        <f t="shared" si="58"/>
        <v>1</v>
      </c>
      <c r="P3622" s="108"/>
      <c r="Q3622"/>
    </row>
    <row r="3623" spans="1:17" x14ac:dyDescent="0.25">
      <c r="A3623" s="89" t="s">
        <v>8869</v>
      </c>
      <c r="B3623" s="87" t="s">
        <v>8870</v>
      </c>
      <c r="C3623" s="87" t="s">
        <v>8</v>
      </c>
      <c r="D3623" s="87" t="str">
        <f>VLOOKUP(Tabela1[[#This Row],[Origem]], 'Perguntas 1 a 24'!$J$28:$K$34, 2, 0)</f>
        <v>Nordeste</v>
      </c>
      <c r="E3623" s="87" t="str">
        <f>Tabela1[[#This Row],[Descrição]]&amp;"-"&amp;Tabela1[[#This Row],[Código]]&amp;"/"&amp;Tabela1[[#This Row],[Origem]]</f>
        <v>Neticala-P449H836/AL</v>
      </c>
      <c r="F3623" s="88">
        <v>47674</v>
      </c>
      <c r="G3623" s="88" t="str" cm="1">
        <f t="array" ref="G36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AND(F3623&gt;= DATE(2026,1,1), F3623&lt;= DATE(2028, 12, 31), J3623&gt;50000), "Pendente e Caro", AND(F3623&gt;= DATE(2026,1,1), F3623&lt;= DATE(2028, 12, 31), J3623&lt;=50000), "Pendente", F3623&gt;= DATE(2029,1,1), "Não prioeitário")</f>
        <v>Não prioeitário</v>
      </c>
      <c r="H3623" s="89">
        <f>YEAR(Tabela1[[#This Row],[Data de Validade]])</f>
        <v>2030</v>
      </c>
      <c r="I3623" s="89">
        <f>MONTH(Tabela1[[#This Row],[Data de Validade]])</f>
        <v>7</v>
      </c>
      <c r="J3623" s="101">
        <v>84604</v>
      </c>
      <c r="K3623" s="87" t="s">
        <v>9</v>
      </c>
      <c r="L3623" s="108"/>
      <c r="M3623" s="108"/>
      <c r="N3623" s="108" t="str">
        <v>P459H176</v>
      </c>
      <c r="O3623" s="108">
        <f t="shared" si="58"/>
        <v>1</v>
      </c>
      <c r="P3623" s="108"/>
      <c r="Q3623"/>
    </row>
    <row r="3624" spans="1:17" x14ac:dyDescent="0.25">
      <c r="A3624" s="89" t="s">
        <v>4864</v>
      </c>
      <c r="B3624" s="87" t="s">
        <v>4865</v>
      </c>
      <c r="C3624" s="87" t="s">
        <v>16</v>
      </c>
      <c r="D3624" s="87" t="str">
        <f>VLOOKUP(Tabela1[[#This Row],[Origem]], 'Perguntas 1 a 24'!$J$28:$K$34, 2, 0)</f>
        <v>Sudeste</v>
      </c>
      <c r="E3624" s="87" t="str">
        <f>Tabela1[[#This Row],[Descrição]]&amp;"-"&amp;Tabela1[[#This Row],[Código]]&amp;"/"&amp;Tabela1[[#This Row],[Origem]]</f>
        <v>Tedovelado-P644H759/MG</v>
      </c>
      <c r="F3624" s="88">
        <v>47674</v>
      </c>
      <c r="G3624" s="88" t="str" cm="1">
        <f t="array" ref="G36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AND(F3624&gt;= DATE(2026,1,1), F3624&lt;= DATE(2028, 12, 31), J3624&gt;50000), "Pendente e Caro", AND(F3624&gt;= DATE(2026,1,1), F3624&lt;= DATE(2028, 12, 31), J3624&lt;=50000), "Pendente", F3624&gt;= DATE(2029,1,1), "Não prioeitário")</f>
        <v>Não prioeitário</v>
      </c>
      <c r="H3624" s="89">
        <f>YEAR(Tabela1[[#This Row],[Data de Validade]])</f>
        <v>2030</v>
      </c>
      <c r="I3624" s="89">
        <f>MONTH(Tabela1[[#This Row],[Data de Validade]])</f>
        <v>7</v>
      </c>
      <c r="J3624" s="101">
        <v>59286</v>
      </c>
      <c r="K3624" s="87" t="s">
        <v>9</v>
      </c>
      <c r="L3624" s="108"/>
      <c r="M3624" s="108"/>
      <c r="N3624" s="108" t="str">
        <v>H167H181</v>
      </c>
      <c r="O3624" s="108">
        <f t="shared" si="58"/>
        <v>1</v>
      </c>
      <c r="P3624" s="108"/>
      <c r="Q3624"/>
    </row>
    <row r="3625" spans="1:17" x14ac:dyDescent="0.25">
      <c r="A3625" s="89" t="s">
        <v>9469</v>
      </c>
      <c r="B3625" s="87" t="s">
        <v>9470</v>
      </c>
      <c r="C3625" s="87" t="s">
        <v>13</v>
      </c>
      <c r="D3625" s="87" t="str">
        <f>VLOOKUP(Tabela1[[#This Row],[Origem]], 'Perguntas 1 a 24'!$J$28:$K$34, 2, 0)</f>
        <v>Sudeste</v>
      </c>
      <c r="E3625" s="87" t="str">
        <f>Tabela1[[#This Row],[Descrição]]&amp;"-"&amp;Tabela1[[#This Row],[Código]]&amp;"/"&amp;Tabela1[[#This Row],[Origem]]</f>
        <v>Pitofudo-P167H591/SP</v>
      </c>
      <c r="F3625" s="88">
        <v>47674</v>
      </c>
      <c r="G3625" s="88" t="str" cm="1">
        <f t="array" ref="G36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AND(F3625&gt;= DATE(2026,1,1), F3625&lt;= DATE(2028, 12, 31), J3625&gt;50000), "Pendente e Caro", AND(F3625&gt;= DATE(2026,1,1), F3625&lt;= DATE(2028, 12, 31), J3625&lt;=50000), "Pendente", F3625&gt;= DATE(2029,1,1), "Não prioeitário")</f>
        <v>Não prioeitário</v>
      </c>
      <c r="H3625" s="89">
        <f>YEAR(Tabela1[[#This Row],[Data de Validade]])</f>
        <v>2030</v>
      </c>
      <c r="I3625" s="89">
        <f>MONTH(Tabela1[[#This Row],[Data de Validade]])</f>
        <v>7</v>
      </c>
      <c r="J3625" s="101">
        <v>55329</v>
      </c>
      <c r="K3625" s="87" t="s">
        <v>9</v>
      </c>
      <c r="L3625" s="108"/>
      <c r="M3625" s="108"/>
      <c r="N3625" s="108" t="str">
        <v>H999H727</v>
      </c>
      <c r="O3625" s="108">
        <f t="shared" si="58"/>
        <v>1</v>
      </c>
      <c r="P3625" s="108"/>
      <c r="Q3625"/>
    </row>
    <row r="3626" spans="1:17" x14ac:dyDescent="0.25">
      <c r="A3626" s="89" t="s">
        <v>3994</v>
      </c>
      <c r="B3626" s="87" t="s">
        <v>3995</v>
      </c>
      <c r="C3626" s="87" t="s">
        <v>6</v>
      </c>
      <c r="D3626" s="87" t="str">
        <f>VLOOKUP(Tabela1[[#This Row],[Origem]], 'Perguntas 1 a 24'!$J$28:$K$34, 2, 0)</f>
        <v>Nordeste</v>
      </c>
      <c r="E3626" s="87" t="str">
        <f>Tabela1[[#This Row],[Descrição]]&amp;"-"&amp;Tabela1[[#This Row],[Código]]&amp;"/"&amp;Tabela1[[#This Row],[Origem]]</f>
        <v>Picamu-H536H244/MA</v>
      </c>
      <c r="F3626" s="88">
        <v>47675</v>
      </c>
      <c r="G3626" s="88" t="str" cm="1">
        <f t="array" ref="G36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AND(F3626&gt;= DATE(2026,1,1), F3626&lt;= DATE(2028, 12, 31), J3626&gt;50000), "Pendente e Caro", AND(F3626&gt;= DATE(2026,1,1), F3626&lt;= DATE(2028, 12, 31), J3626&lt;=50000), "Pendente", F3626&gt;= DATE(2029,1,1), "Não prioeitário")</f>
        <v>Não prioeitário</v>
      </c>
      <c r="H3626" s="89">
        <f>YEAR(Tabela1[[#This Row],[Data de Validade]])</f>
        <v>2030</v>
      </c>
      <c r="I3626" s="89">
        <f>MONTH(Tabela1[[#This Row],[Data de Validade]])</f>
        <v>7</v>
      </c>
      <c r="J3626" s="101">
        <v>103971</v>
      </c>
      <c r="K3626" s="87" t="s">
        <v>7</v>
      </c>
      <c r="L3626" s="108"/>
      <c r="M3626" s="108"/>
      <c r="N3626" s="108" t="str">
        <v>P352H717</v>
      </c>
      <c r="O3626" s="108">
        <f t="shared" si="58"/>
        <v>1</v>
      </c>
      <c r="P3626" s="108"/>
      <c r="Q3626"/>
    </row>
    <row r="3627" spans="1:17" x14ac:dyDescent="0.25">
      <c r="A3627" s="89" t="s">
        <v>7870</v>
      </c>
      <c r="B3627" s="87" t="s">
        <v>7871</v>
      </c>
      <c r="C3627" s="87" t="s">
        <v>6</v>
      </c>
      <c r="D3627" s="87" t="str">
        <f>VLOOKUP(Tabela1[[#This Row],[Origem]], 'Perguntas 1 a 24'!$J$28:$K$34, 2, 0)</f>
        <v>Nordeste</v>
      </c>
      <c r="E3627" s="87" t="str">
        <f>Tabela1[[#This Row],[Descrição]]&amp;"-"&amp;Tabela1[[#This Row],[Código]]&amp;"/"&amp;Tabela1[[#This Row],[Origem]]</f>
        <v>Vaconace-P374H313/MA</v>
      </c>
      <c r="F3627" s="88">
        <v>47675</v>
      </c>
      <c r="G3627" s="88" t="str" cm="1">
        <f t="array" ref="G36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AND(F3627&gt;= DATE(2026,1,1), F3627&lt;= DATE(2028, 12, 31), J3627&gt;50000), "Pendente e Caro", AND(F3627&gt;= DATE(2026,1,1), F3627&lt;= DATE(2028, 12, 31), J3627&lt;=50000), "Pendente", F3627&gt;= DATE(2029,1,1), "Não prioeitário")</f>
        <v>Não prioeitário</v>
      </c>
      <c r="H3627" s="89">
        <f>YEAR(Tabela1[[#This Row],[Data de Validade]])</f>
        <v>2030</v>
      </c>
      <c r="I3627" s="89">
        <f>MONTH(Tabela1[[#This Row],[Data de Validade]])</f>
        <v>7</v>
      </c>
      <c r="J3627" s="101">
        <v>69775</v>
      </c>
      <c r="K3627" s="87" t="s">
        <v>11</v>
      </c>
      <c r="L3627" s="108"/>
      <c r="M3627" s="108"/>
      <c r="N3627" s="108" t="str">
        <v>H532H745</v>
      </c>
      <c r="O3627" s="108">
        <f t="shared" si="58"/>
        <v>1</v>
      </c>
      <c r="P3627" s="108"/>
      <c r="Q3627"/>
    </row>
    <row r="3628" spans="1:17" x14ac:dyDescent="0.25">
      <c r="A3628" s="89" t="s">
        <v>8054</v>
      </c>
      <c r="B3628" s="87" t="s">
        <v>8055</v>
      </c>
      <c r="C3628" s="87" t="s">
        <v>15</v>
      </c>
      <c r="D3628" s="87" t="str">
        <f>VLOOKUP(Tabela1[[#This Row],[Origem]], 'Perguntas 1 a 24'!$J$28:$K$34, 2, 0)</f>
        <v>Sudeste</v>
      </c>
      <c r="E3628" s="87" t="str">
        <f>Tabela1[[#This Row],[Descrição]]&amp;"-"&amp;Tabela1[[#This Row],[Código]]&amp;"/"&amp;Tabela1[[#This Row],[Origem]]</f>
        <v>Vanifo-P541P445/ES</v>
      </c>
      <c r="F3628" s="88">
        <v>47675</v>
      </c>
      <c r="G3628" s="88" t="str" cm="1">
        <f t="array" ref="G36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AND(F3628&gt;= DATE(2026,1,1), F3628&lt;= DATE(2028, 12, 31), J3628&gt;50000), "Pendente e Caro", AND(F3628&gt;= DATE(2026,1,1), F3628&lt;= DATE(2028, 12, 31), J3628&lt;=50000), "Pendente", F3628&gt;= DATE(2029,1,1), "Não prioeitário")</f>
        <v>Não prioeitário</v>
      </c>
      <c r="H3628" s="89">
        <f>YEAR(Tabela1[[#This Row],[Data de Validade]])</f>
        <v>2030</v>
      </c>
      <c r="I3628" s="89">
        <f>MONTH(Tabela1[[#This Row],[Data de Validade]])</f>
        <v>7</v>
      </c>
      <c r="J3628" s="101">
        <v>34639</v>
      </c>
      <c r="K3628" s="87" t="s">
        <v>14</v>
      </c>
      <c r="L3628" s="108"/>
      <c r="M3628" s="108"/>
      <c r="N3628" s="108" t="str">
        <v>H693P326</v>
      </c>
      <c r="O3628" s="108">
        <f t="shared" si="58"/>
        <v>1</v>
      </c>
      <c r="P3628" s="108"/>
      <c r="Q3628"/>
    </row>
    <row r="3629" spans="1:17" x14ac:dyDescent="0.25">
      <c r="A3629" s="89" t="s">
        <v>4630</v>
      </c>
      <c r="B3629" s="87" t="s">
        <v>4631</v>
      </c>
      <c r="C3629" s="87" t="s">
        <v>10</v>
      </c>
      <c r="D3629" s="87" t="str">
        <f>VLOOKUP(Tabela1[[#This Row],[Origem]], 'Perguntas 1 a 24'!$J$28:$K$34, 2, 0)</f>
        <v>Centro-Oeste</v>
      </c>
      <c r="E3629" s="87" t="str">
        <f>Tabela1[[#This Row],[Descrição]]&amp;"-"&amp;Tabela1[[#This Row],[Código]]&amp;"/"&amp;Tabela1[[#This Row],[Origem]]</f>
        <v>Punaroguti-H456H418/GO</v>
      </c>
      <c r="F3629" s="88">
        <v>47676</v>
      </c>
      <c r="G3629" s="88" t="str" cm="1">
        <f t="array" ref="G36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AND(F3629&gt;= DATE(2026,1,1), F3629&lt;= DATE(2028, 12, 31), J3629&gt;50000), "Pendente e Caro", AND(F3629&gt;= DATE(2026,1,1), F3629&lt;= DATE(2028, 12, 31), J3629&lt;=50000), "Pendente", F3629&gt;= DATE(2029,1,1), "Não prioeitário")</f>
        <v>Não prioeitário</v>
      </c>
      <c r="H3629" s="89">
        <f>YEAR(Tabela1[[#This Row],[Data de Validade]])</f>
        <v>2030</v>
      </c>
      <c r="I3629" s="89">
        <f>MONTH(Tabela1[[#This Row],[Data de Validade]])</f>
        <v>7</v>
      </c>
      <c r="J3629" s="101">
        <v>69004</v>
      </c>
      <c r="K3629" s="87" t="s">
        <v>11</v>
      </c>
      <c r="L3629" s="108"/>
      <c r="M3629" s="108"/>
      <c r="N3629" s="108" t="str">
        <v>P787H173</v>
      </c>
      <c r="O3629" s="108">
        <f t="shared" si="58"/>
        <v>1</v>
      </c>
      <c r="P3629" s="108"/>
      <c r="Q3629"/>
    </row>
    <row r="3630" spans="1:17" x14ac:dyDescent="0.25">
      <c r="A3630" s="89" t="s">
        <v>5308</v>
      </c>
      <c r="B3630" s="87" t="s">
        <v>5309</v>
      </c>
      <c r="C3630" s="87" t="s">
        <v>16</v>
      </c>
      <c r="D3630" s="87" t="str">
        <f>VLOOKUP(Tabela1[[#This Row],[Origem]], 'Perguntas 1 a 24'!$J$28:$K$34, 2, 0)</f>
        <v>Sudeste</v>
      </c>
      <c r="E3630" s="87" t="str">
        <f>Tabela1[[#This Row],[Descrição]]&amp;"-"&amp;Tabela1[[#This Row],[Código]]&amp;"/"&amp;Tabela1[[#This Row],[Origem]]</f>
        <v>Timeru-H883P899/MG</v>
      </c>
      <c r="F3630" s="88">
        <v>47676</v>
      </c>
      <c r="G3630" s="88" t="str" cm="1">
        <f t="array" ref="G36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AND(F3630&gt;= DATE(2026,1,1), F3630&lt;= DATE(2028, 12, 31), J3630&gt;50000), "Pendente e Caro", AND(F3630&gt;= DATE(2026,1,1), F3630&lt;= DATE(2028, 12, 31), J3630&lt;=50000), "Pendente", F3630&gt;= DATE(2029,1,1), "Não prioeitário")</f>
        <v>Não prioeitário</v>
      </c>
      <c r="H3630" s="89">
        <f>YEAR(Tabela1[[#This Row],[Data de Validade]])</f>
        <v>2030</v>
      </c>
      <c r="I3630" s="89">
        <f>MONTH(Tabela1[[#This Row],[Data de Validade]])</f>
        <v>7</v>
      </c>
      <c r="J3630" s="101">
        <v>44819</v>
      </c>
      <c r="K3630" s="87" t="s">
        <v>14</v>
      </c>
      <c r="L3630" s="108"/>
      <c r="M3630" s="108"/>
      <c r="N3630" s="108" t="str">
        <v>H766H676</v>
      </c>
      <c r="O3630" s="108">
        <f t="shared" si="58"/>
        <v>1</v>
      </c>
      <c r="P3630" s="108"/>
      <c r="Q3630"/>
    </row>
    <row r="3631" spans="1:17" x14ac:dyDescent="0.25">
      <c r="A3631" s="89" t="s">
        <v>9875</v>
      </c>
      <c r="B3631" s="87" t="s">
        <v>9876</v>
      </c>
      <c r="C3631" s="87" t="s">
        <v>12</v>
      </c>
      <c r="D3631" s="87" t="str">
        <f>VLOOKUP(Tabela1[[#This Row],[Origem]], 'Perguntas 1 a 24'!$J$28:$K$34, 2, 0)</f>
        <v>Sudeste</v>
      </c>
      <c r="E3631" s="87" t="str">
        <f>Tabela1[[#This Row],[Descrição]]&amp;"-"&amp;Tabela1[[#This Row],[Código]]&amp;"/"&amp;Tabela1[[#This Row],[Origem]]</f>
        <v>Putona-H214P711/RJ</v>
      </c>
      <c r="F3631" s="88">
        <v>47676</v>
      </c>
      <c r="G3631" s="88" t="str" cm="1">
        <f t="array" ref="G36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AND(F3631&gt;= DATE(2026,1,1), F3631&lt;= DATE(2028, 12, 31), J3631&gt;50000), "Pendente e Caro", AND(F3631&gt;= DATE(2026,1,1), F3631&lt;= DATE(2028, 12, 31), J3631&lt;=50000), "Pendente", F3631&gt;= DATE(2029,1,1), "Não prioeitário")</f>
        <v>Não prioeitário</v>
      </c>
      <c r="H3631" s="89">
        <f>YEAR(Tabela1[[#This Row],[Data de Validade]])</f>
        <v>2030</v>
      </c>
      <c r="I3631" s="89">
        <f>MONTH(Tabela1[[#This Row],[Data de Validade]])</f>
        <v>7</v>
      </c>
      <c r="J3631" s="101">
        <v>29186</v>
      </c>
      <c r="K3631" s="87" t="s">
        <v>11</v>
      </c>
      <c r="L3631" s="108"/>
      <c r="M3631" s="108"/>
      <c r="N3631" s="108" t="str">
        <v>H183H659</v>
      </c>
      <c r="O3631" s="108">
        <f t="shared" si="58"/>
        <v>1</v>
      </c>
      <c r="P3631" s="108"/>
      <c r="Q3631"/>
    </row>
    <row r="3632" spans="1:17" x14ac:dyDescent="0.25">
      <c r="A3632" s="89" t="s">
        <v>6582</v>
      </c>
      <c r="B3632" s="87" t="s">
        <v>6583</v>
      </c>
      <c r="C3632" s="87" t="s">
        <v>12</v>
      </c>
      <c r="D3632" s="87" t="str">
        <f>VLOOKUP(Tabela1[[#This Row],[Origem]], 'Perguntas 1 a 24'!$J$28:$K$34, 2, 0)</f>
        <v>Sudeste</v>
      </c>
      <c r="E3632" s="87" t="str">
        <f>Tabela1[[#This Row],[Descrição]]&amp;"-"&amp;Tabela1[[#This Row],[Código]]&amp;"/"&amp;Tabela1[[#This Row],[Origem]]</f>
        <v>Mimura-P711H943/RJ</v>
      </c>
      <c r="F3632" s="88">
        <v>47677</v>
      </c>
      <c r="G3632" s="88" t="str" cm="1">
        <f t="array" ref="G36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AND(F3632&gt;= DATE(2026,1,1), F3632&lt;= DATE(2028, 12, 31), J3632&gt;50000), "Pendente e Caro", AND(F3632&gt;= DATE(2026,1,1), F3632&lt;= DATE(2028, 12, 31), J3632&lt;=50000), "Pendente", F3632&gt;= DATE(2029,1,1), "Não prioeitário")</f>
        <v>Não prioeitário</v>
      </c>
      <c r="H3632" s="89">
        <f>YEAR(Tabela1[[#This Row],[Data de Validade]])</f>
        <v>2030</v>
      </c>
      <c r="I3632" s="89">
        <f>MONTH(Tabela1[[#This Row],[Data de Validade]])</f>
        <v>7</v>
      </c>
      <c r="J3632" s="101">
        <v>29774</v>
      </c>
      <c r="K3632" s="87" t="s">
        <v>7</v>
      </c>
      <c r="L3632" s="108"/>
      <c r="M3632" s="108"/>
      <c r="N3632" s="108" t="str">
        <v>P722H897</v>
      </c>
      <c r="O3632" s="108">
        <f t="shared" si="58"/>
        <v>1</v>
      </c>
      <c r="P3632" s="108"/>
      <c r="Q3632"/>
    </row>
    <row r="3633" spans="1:17" x14ac:dyDescent="0.25">
      <c r="A3633" s="89" t="s">
        <v>10793</v>
      </c>
      <c r="B3633" s="87" t="s">
        <v>10794</v>
      </c>
      <c r="C3633" s="87" t="s">
        <v>6</v>
      </c>
      <c r="D3633" s="87" t="str">
        <f>VLOOKUP(Tabela1[[#This Row],[Origem]], 'Perguntas 1 a 24'!$J$28:$K$34, 2, 0)</f>
        <v>Nordeste</v>
      </c>
      <c r="E3633" s="87" t="str">
        <f>Tabela1[[#This Row],[Descrição]]&amp;"-"&amp;Tabela1[[#This Row],[Código]]&amp;"/"&amp;Tabela1[[#This Row],[Origem]]</f>
        <v>Ditodu-P139P865/MA</v>
      </c>
      <c r="F3633" s="88">
        <v>47678</v>
      </c>
      <c r="G3633" s="88" t="str" cm="1">
        <f t="array" ref="G36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AND(F3633&gt;= DATE(2026,1,1), F3633&lt;= DATE(2028, 12, 31), J3633&gt;50000), "Pendente e Caro", AND(F3633&gt;= DATE(2026,1,1), F3633&lt;= DATE(2028, 12, 31), J3633&lt;=50000), "Pendente", F3633&gt;= DATE(2029,1,1), "Não prioeitário")</f>
        <v>Não prioeitário</v>
      </c>
      <c r="H3633" s="89">
        <f>YEAR(Tabela1[[#This Row],[Data de Validade]])</f>
        <v>2030</v>
      </c>
      <c r="I3633" s="89">
        <f>MONTH(Tabela1[[#This Row],[Data de Validade]])</f>
        <v>7</v>
      </c>
      <c r="J3633" s="101">
        <v>101864</v>
      </c>
      <c r="K3633" s="87" t="s">
        <v>11</v>
      </c>
      <c r="L3633" s="108"/>
      <c r="M3633" s="108"/>
      <c r="N3633" s="108" t="str">
        <v>P629P957</v>
      </c>
      <c r="O3633" s="108">
        <f t="shared" si="58"/>
        <v>1</v>
      </c>
      <c r="P3633" s="108"/>
      <c r="Q3633"/>
    </row>
    <row r="3634" spans="1:17" x14ac:dyDescent="0.25">
      <c r="A3634" s="89" t="s">
        <v>9069</v>
      </c>
      <c r="B3634" s="87" t="s">
        <v>9070</v>
      </c>
      <c r="C3634" s="87" t="s">
        <v>16</v>
      </c>
      <c r="D3634" s="87" t="str">
        <f>VLOOKUP(Tabela1[[#This Row],[Origem]], 'Perguntas 1 a 24'!$J$28:$K$34, 2, 0)</f>
        <v>Sudeste</v>
      </c>
      <c r="E3634" s="87" t="str">
        <f>Tabela1[[#This Row],[Descrição]]&amp;"-"&amp;Tabela1[[#This Row],[Código]]&amp;"/"&amp;Tabela1[[#This Row],[Origem]]</f>
        <v>Mifuto-P923H698/MG</v>
      </c>
      <c r="F3634" s="88">
        <v>47679</v>
      </c>
      <c r="G3634" s="88" t="str" cm="1">
        <f t="array" ref="G36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AND(F3634&gt;= DATE(2026,1,1), F3634&lt;= DATE(2028, 12, 31), J3634&gt;50000), "Pendente e Caro", AND(F3634&gt;= DATE(2026,1,1), F3634&lt;= DATE(2028, 12, 31), J3634&lt;=50000), "Pendente", F3634&gt;= DATE(2029,1,1), "Não prioeitário")</f>
        <v>Não prioeitário</v>
      </c>
      <c r="H3634" s="89">
        <f>YEAR(Tabela1[[#This Row],[Data de Validade]])</f>
        <v>2030</v>
      </c>
      <c r="I3634" s="89">
        <f>MONTH(Tabela1[[#This Row],[Data de Validade]])</f>
        <v>7</v>
      </c>
      <c r="J3634" s="101">
        <v>64284</v>
      </c>
      <c r="K3634" s="87" t="s">
        <v>9</v>
      </c>
      <c r="L3634" s="108"/>
      <c r="M3634" s="108"/>
      <c r="N3634" s="108" t="str">
        <v>H437H273</v>
      </c>
      <c r="O3634" s="108">
        <f t="shared" si="58"/>
        <v>1</v>
      </c>
      <c r="P3634" s="108"/>
      <c r="Q3634"/>
    </row>
    <row r="3635" spans="1:17" x14ac:dyDescent="0.25">
      <c r="A3635" s="89" t="s">
        <v>10171</v>
      </c>
      <c r="B3635" s="87" t="s">
        <v>10172</v>
      </c>
      <c r="C3635" s="87" t="s">
        <v>10</v>
      </c>
      <c r="D3635" s="87" t="str">
        <f>VLOOKUP(Tabela1[[#This Row],[Origem]], 'Perguntas 1 a 24'!$J$28:$K$34, 2, 0)</f>
        <v>Centro-Oeste</v>
      </c>
      <c r="E3635" s="87" t="str">
        <f>Tabela1[[#This Row],[Descrição]]&amp;"-"&amp;Tabela1[[#This Row],[Código]]&amp;"/"&amp;Tabela1[[#This Row],[Origem]]</f>
        <v>Tafiladave-H725P599/GO</v>
      </c>
      <c r="F3635" s="88">
        <v>47680</v>
      </c>
      <c r="G3635" s="88" t="str" cm="1">
        <f t="array" ref="G36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AND(F3635&gt;= DATE(2026,1,1), F3635&lt;= DATE(2028, 12, 31), J3635&gt;50000), "Pendente e Caro", AND(F3635&gt;= DATE(2026,1,1), F3635&lt;= DATE(2028, 12, 31), J3635&lt;=50000), "Pendente", F3635&gt;= DATE(2029,1,1), "Não prioeitário")</f>
        <v>Não prioeitário</v>
      </c>
      <c r="H3635" s="89">
        <f>YEAR(Tabela1[[#This Row],[Data de Validade]])</f>
        <v>2030</v>
      </c>
      <c r="I3635" s="89">
        <f>MONTH(Tabela1[[#This Row],[Data de Validade]])</f>
        <v>7</v>
      </c>
      <c r="J3635" s="101">
        <v>75237</v>
      </c>
      <c r="K3635" s="87" t="s">
        <v>14</v>
      </c>
      <c r="L3635" s="108"/>
      <c r="M3635" s="108"/>
      <c r="N3635" s="108" t="str">
        <v>P264H276</v>
      </c>
      <c r="O3635" s="108">
        <f t="shared" si="58"/>
        <v>1</v>
      </c>
      <c r="P3635" s="108"/>
      <c r="Q3635"/>
    </row>
    <row r="3636" spans="1:17" x14ac:dyDescent="0.25">
      <c r="A3636" s="89" t="s">
        <v>6554</v>
      </c>
      <c r="B3636" s="87" t="s">
        <v>6555</v>
      </c>
      <c r="C3636" s="87" t="s">
        <v>16</v>
      </c>
      <c r="D3636" s="87" t="str">
        <f>VLOOKUP(Tabela1[[#This Row],[Origem]], 'Perguntas 1 a 24'!$J$28:$K$34, 2, 0)</f>
        <v>Sudeste</v>
      </c>
      <c r="E3636" s="87" t="str">
        <f>Tabela1[[#This Row],[Descrição]]&amp;"-"&amp;Tabela1[[#This Row],[Código]]&amp;"/"&amp;Tabela1[[#This Row],[Origem]]</f>
        <v>Popepu-P459H176/MG</v>
      </c>
      <c r="F3636" s="88">
        <v>47681</v>
      </c>
      <c r="G3636" s="88" t="str" cm="1">
        <f t="array" ref="G36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AND(F3636&gt;= DATE(2026,1,1), F3636&lt;= DATE(2028, 12, 31), J3636&gt;50000), "Pendente e Caro", AND(F3636&gt;= DATE(2026,1,1), F3636&lt;= DATE(2028, 12, 31), J3636&lt;=50000), "Pendente", F3636&gt;= DATE(2029,1,1), "Não prioeitário")</f>
        <v>Não prioeitário</v>
      </c>
      <c r="H3636" s="89">
        <f>YEAR(Tabela1[[#This Row],[Data de Validade]])</f>
        <v>2030</v>
      </c>
      <c r="I3636" s="89">
        <f>MONTH(Tabela1[[#This Row],[Data de Validade]])</f>
        <v>7</v>
      </c>
      <c r="J3636" s="101">
        <v>98389</v>
      </c>
      <c r="K3636" s="87" t="s">
        <v>9</v>
      </c>
      <c r="L3636" s="108"/>
      <c r="M3636" s="108"/>
      <c r="N3636" s="108" t="str">
        <v>P617P337</v>
      </c>
      <c r="O3636" s="108">
        <f t="shared" si="58"/>
        <v>1</v>
      </c>
      <c r="P3636" s="108"/>
      <c r="Q3636"/>
    </row>
    <row r="3637" spans="1:17" x14ac:dyDescent="0.25">
      <c r="A3637" s="89" t="s">
        <v>3894</v>
      </c>
      <c r="B3637" s="87" t="s">
        <v>3895</v>
      </c>
      <c r="C3637" s="87" t="s">
        <v>8</v>
      </c>
      <c r="D3637" s="87" t="str">
        <f>VLOOKUP(Tabela1[[#This Row],[Origem]], 'Perguntas 1 a 24'!$J$28:$K$34, 2, 0)</f>
        <v>Nordeste</v>
      </c>
      <c r="E3637" s="87" t="str">
        <f>Tabela1[[#This Row],[Descrição]]&amp;"-"&amp;Tabela1[[#This Row],[Código]]&amp;"/"&amp;Tabela1[[#This Row],[Origem]]</f>
        <v>Copope-H167H181/AL</v>
      </c>
      <c r="F3637" s="88">
        <v>47681</v>
      </c>
      <c r="G3637" s="88" t="str" cm="1">
        <f t="array" ref="G36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AND(F3637&gt;= DATE(2026,1,1), F3637&lt;= DATE(2028, 12, 31), J3637&gt;50000), "Pendente e Caro", AND(F3637&gt;= DATE(2026,1,1), F3637&lt;= DATE(2028, 12, 31), J3637&lt;=50000), "Pendente", F3637&gt;= DATE(2029,1,1), "Não prioeitário")</f>
        <v>Não prioeitário</v>
      </c>
      <c r="H3637" s="89">
        <f>YEAR(Tabela1[[#This Row],[Data de Validade]])</f>
        <v>2030</v>
      </c>
      <c r="I3637" s="89">
        <f>MONTH(Tabela1[[#This Row],[Data de Validade]])</f>
        <v>7</v>
      </c>
      <c r="J3637" s="101">
        <v>77620</v>
      </c>
      <c r="K3637" s="87" t="s">
        <v>7</v>
      </c>
      <c r="L3637" s="108"/>
      <c r="M3637" s="108"/>
      <c r="N3637" s="108" t="str">
        <v>P596H154</v>
      </c>
      <c r="O3637" s="108">
        <f t="shared" si="58"/>
        <v>1</v>
      </c>
      <c r="P3637" s="108"/>
      <c r="Q3637"/>
    </row>
    <row r="3638" spans="1:17" x14ac:dyDescent="0.25">
      <c r="A3638" s="89" t="s">
        <v>8040</v>
      </c>
      <c r="B3638" s="87" t="s">
        <v>8041</v>
      </c>
      <c r="C3638" s="87" t="s">
        <v>12</v>
      </c>
      <c r="D3638" s="87" t="str">
        <f>VLOOKUP(Tabela1[[#This Row],[Origem]], 'Perguntas 1 a 24'!$J$28:$K$34, 2, 0)</f>
        <v>Sudeste</v>
      </c>
      <c r="E3638" s="87" t="str">
        <f>Tabela1[[#This Row],[Descrição]]&amp;"-"&amp;Tabela1[[#This Row],[Código]]&amp;"/"&amp;Tabela1[[#This Row],[Origem]]</f>
        <v>Rolaru-H999H727/RJ</v>
      </c>
      <c r="F3638" s="88">
        <v>47681</v>
      </c>
      <c r="G3638" s="88" t="str" cm="1">
        <f t="array" ref="G36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AND(F3638&gt;= DATE(2026,1,1), F3638&lt;= DATE(2028, 12, 31), J3638&gt;50000), "Pendente e Caro", AND(F3638&gt;= DATE(2026,1,1), F3638&lt;= DATE(2028, 12, 31), J3638&lt;=50000), "Pendente", F3638&gt;= DATE(2029,1,1), "Não prioeitário")</f>
        <v>Não prioeitário</v>
      </c>
      <c r="H3638" s="89">
        <f>YEAR(Tabela1[[#This Row],[Data de Validade]])</f>
        <v>2030</v>
      </c>
      <c r="I3638" s="89">
        <f>MONTH(Tabela1[[#This Row],[Data de Validade]])</f>
        <v>7</v>
      </c>
      <c r="J3638" s="101">
        <v>27988</v>
      </c>
      <c r="K3638" s="87" t="s">
        <v>11</v>
      </c>
      <c r="L3638" s="108"/>
      <c r="M3638" s="108"/>
      <c r="N3638" s="108" t="str">
        <v>H854H739</v>
      </c>
      <c r="O3638" s="108">
        <f t="shared" si="58"/>
        <v>1</v>
      </c>
      <c r="P3638" s="108"/>
      <c r="Q3638"/>
    </row>
    <row r="3639" spans="1:17" x14ac:dyDescent="0.25">
      <c r="A3639" s="89" t="s">
        <v>3920</v>
      </c>
      <c r="B3639" s="87" t="s">
        <v>3921</v>
      </c>
      <c r="C3639" s="87" t="s">
        <v>6</v>
      </c>
      <c r="D3639" s="87" t="str">
        <f>VLOOKUP(Tabela1[[#This Row],[Origem]], 'Perguntas 1 a 24'!$J$28:$K$34, 2, 0)</f>
        <v>Nordeste</v>
      </c>
      <c r="E3639" s="87" t="str">
        <f>Tabela1[[#This Row],[Descrição]]&amp;"-"&amp;Tabela1[[#This Row],[Código]]&amp;"/"&amp;Tabela1[[#This Row],[Origem]]</f>
        <v>Pararupu-P352H717/MA</v>
      </c>
      <c r="F3639" s="88">
        <v>47682</v>
      </c>
      <c r="G3639" s="88" t="str" cm="1">
        <f t="array" ref="G36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AND(F3639&gt;= DATE(2026,1,1), F3639&lt;= DATE(2028, 12, 31), J3639&gt;50000), "Pendente e Caro", AND(F3639&gt;= DATE(2026,1,1), F3639&lt;= DATE(2028, 12, 31), J3639&lt;=50000), "Pendente", F3639&gt;= DATE(2029,1,1), "Não prioeitário")</f>
        <v>Não prioeitário</v>
      </c>
      <c r="H3639" s="89">
        <f>YEAR(Tabela1[[#This Row],[Data de Validade]])</f>
        <v>2030</v>
      </c>
      <c r="I3639" s="89">
        <f>MONTH(Tabela1[[#This Row],[Data de Validade]])</f>
        <v>7</v>
      </c>
      <c r="J3639" s="101">
        <v>46210</v>
      </c>
      <c r="K3639" s="87" t="s">
        <v>7</v>
      </c>
      <c r="L3639" s="108"/>
      <c r="M3639" s="108"/>
      <c r="N3639" s="108" t="str">
        <v>P583P428</v>
      </c>
      <c r="O3639" s="108">
        <f t="shared" si="58"/>
        <v>1</v>
      </c>
      <c r="P3639" s="108"/>
      <c r="Q3639"/>
    </row>
    <row r="3640" spans="1:17" x14ac:dyDescent="0.25">
      <c r="A3640" s="89" t="s">
        <v>9329</v>
      </c>
      <c r="B3640" s="87" t="s">
        <v>9330</v>
      </c>
      <c r="C3640" s="87" t="s">
        <v>8</v>
      </c>
      <c r="D3640" s="87" t="str">
        <f>VLOOKUP(Tabela1[[#This Row],[Origem]], 'Perguntas 1 a 24'!$J$28:$K$34, 2, 0)</f>
        <v>Nordeste</v>
      </c>
      <c r="E3640" s="87" t="str">
        <f>Tabela1[[#This Row],[Descrição]]&amp;"-"&amp;Tabela1[[#This Row],[Código]]&amp;"/"&amp;Tabela1[[#This Row],[Origem]]</f>
        <v>Rolapepuda-H532H745/AL</v>
      </c>
      <c r="F3640" s="88">
        <v>47683</v>
      </c>
      <c r="G3640" s="88" t="str" cm="1">
        <f t="array" ref="G36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AND(F3640&gt;= DATE(2026,1,1), F3640&lt;= DATE(2028, 12, 31), J3640&gt;50000), "Pendente e Caro", AND(F3640&gt;= DATE(2026,1,1), F3640&lt;= DATE(2028, 12, 31), J3640&lt;=50000), "Pendente", F3640&gt;= DATE(2029,1,1), "Não prioeitário")</f>
        <v>Não prioeitário</v>
      </c>
      <c r="H3640" s="89">
        <f>YEAR(Tabela1[[#This Row],[Data de Validade]])</f>
        <v>2030</v>
      </c>
      <c r="I3640" s="89">
        <f>MONTH(Tabela1[[#This Row],[Data de Validade]])</f>
        <v>7</v>
      </c>
      <c r="J3640" s="101">
        <v>95493</v>
      </c>
      <c r="K3640" s="87" t="s">
        <v>11</v>
      </c>
      <c r="L3640" s="108"/>
      <c r="M3640" s="108"/>
      <c r="N3640" s="108" t="str">
        <v>H975P179</v>
      </c>
      <c r="O3640" s="108">
        <f t="shared" si="58"/>
        <v>1</v>
      </c>
      <c r="P3640" s="108"/>
      <c r="Q3640"/>
    </row>
    <row r="3641" spans="1:17" x14ac:dyDescent="0.25">
      <c r="A3641" s="89" t="s">
        <v>8528</v>
      </c>
      <c r="B3641" s="87" t="s">
        <v>8529</v>
      </c>
      <c r="C3641" s="87" t="s">
        <v>12</v>
      </c>
      <c r="D3641" s="87" t="str">
        <f>VLOOKUP(Tabela1[[#This Row],[Origem]], 'Perguntas 1 a 24'!$J$28:$K$34, 2, 0)</f>
        <v>Sudeste</v>
      </c>
      <c r="E3641" s="87" t="str">
        <f>Tabela1[[#This Row],[Descrição]]&amp;"-"&amp;Tabela1[[#This Row],[Código]]&amp;"/"&amp;Tabela1[[#This Row],[Origem]]</f>
        <v>Civodu-H693P326/RJ</v>
      </c>
      <c r="F3641" s="88">
        <v>47683</v>
      </c>
      <c r="G3641" s="88" t="str" cm="1">
        <f t="array" ref="G36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AND(F3641&gt;= DATE(2026,1,1), F3641&lt;= DATE(2028, 12, 31), J3641&gt;50000), "Pendente e Caro", AND(F3641&gt;= DATE(2026,1,1), F3641&lt;= DATE(2028, 12, 31), J3641&lt;=50000), "Pendente", F3641&gt;= DATE(2029,1,1), "Não prioeitário")</f>
        <v>Não prioeitário</v>
      </c>
      <c r="H3641" s="89">
        <f>YEAR(Tabela1[[#This Row],[Data de Validade]])</f>
        <v>2030</v>
      </c>
      <c r="I3641" s="89">
        <f>MONTH(Tabela1[[#This Row],[Data de Validade]])</f>
        <v>7</v>
      </c>
      <c r="J3641" s="101">
        <v>86043</v>
      </c>
      <c r="K3641" s="87" t="s">
        <v>7</v>
      </c>
      <c r="L3641" s="108"/>
      <c r="M3641" s="108"/>
      <c r="N3641" s="108" t="str">
        <v>H549H312</v>
      </c>
      <c r="O3641" s="108">
        <f t="shared" si="58"/>
        <v>1</v>
      </c>
      <c r="P3641" s="108"/>
      <c r="Q3641"/>
    </row>
    <row r="3642" spans="1:17" x14ac:dyDescent="0.25">
      <c r="A3642" s="89" t="s">
        <v>9753</v>
      </c>
      <c r="B3642" s="87" t="s">
        <v>9754</v>
      </c>
      <c r="C3642" s="87" t="s">
        <v>15</v>
      </c>
      <c r="D3642" s="87" t="str">
        <f>VLOOKUP(Tabela1[[#This Row],[Origem]], 'Perguntas 1 a 24'!$J$28:$K$34, 2, 0)</f>
        <v>Sudeste</v>
      </c>
      <c r="E3642" s="87" t="str">
        <f>Tabela1[[#This Row],[Descrição]]&amp;"-"&amp;Tabela1[[#This Row],[Código]]&amp;"/"&amp;Tabela1[[#This Row],[Origem]]</f>
        <v>Tatanu-P787H173/ES</v>
      </c>
      <c r="F3642" s="88">
        <v>47683</v>
      </c>
      <c r="G3642" s="88" t="str" cm="1">
        <f t="array" ref="G36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AND(F3642&gt;= DATE(2026,1,1), F3642&lt;= DATE(2028, 12, 31), J3642&gt;50000), "Pendente e Caro", AND(F3642&gt;= DATE(2026,1,1), F3642&lt;= DATE(2028, 12, 31), J3642&lt;=50000), "Pendente", F3642&gt;= DATE(2029,1,1), "Não prioeitário")</f>
        <v>Não prioeitário</v>
      </c>
      <c r="H3642" s="89">
        <f>YEAR(Tabela1[[#This Row],[Data de Validade]])</f>
        <v>2030</v>
      </c>
      <c r="I3642" s="89">
        <f>MONTH(Tabela1[[#This Row],[Data de Validade]])</f>
        <v>7</v>
      </c>
      <c r="J3642" s="101">
        <v>80621</v>
      </c>
      <c r="K3642" s="87" t="s">
        <v>11</v>
      </c>
      <c r="L3642" s="108"/>
      <c r="M3642" s="108"/>
      <c r="N3642" s="108" t="str">
        <v>P299P134</v>
      </c>
      <c r="O3642" s="108">
        <f t="shared" si="58"/>
        <v>1</v>
      </c>
      <c r="P3642" s="108"/>
      <c r="Q3642"/>
    </row>
    <row r="3643" spans="1:17" x14ac:dyDescent="0.25">
      <c r="A3643" s="89" t="s">
        <v>4239</v>
      </c>
      <c r="B3643" s="87" t="s">
        <v>4240</v>
      </c>
      <c r="C3643" s="87" t="s">
        <v>8</v>
      </c>
      <c r="D3643" s="87" t="str">
        <f>VLOOKUP(Tabela1[[#This Row],[Origem]], 'Perguntas 1 a 24'!$J$28:$K$34, 2, 0)</f>
        <v>Nordeste</v>
      </c>
      <c r="E3643" s="87" t="str">
        <f>Tabela1[[#This Row],[Descrição]]&amp;"-"&amp;Tabela1[[#This Row],[Código]]&amp;"/"&amp;Tabela1[[#This Row],[Origem]]</f>
        <v>Ruregici-H766H676/AL</v>
      </c>
      <c r="F3643" s="88">
        <v>47685</v>
      </c>
      <c r="G3643" s="88" t="str" cm="1">
        <f t="array" ref="G36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AND(F3643&gt;= DATE(2026,1,1), F3643&lt;= DATE(2028, 12, 31), J3643&gt;50000), "Pendente e Caro", AND(F3643&gt;= DATE(2026,1,1), F3643&lt;= DATE(2028, 12, 31), J3643&lt;=50000), "Pendente", F3643&gt;= DATE(2029,1,1), "Não prioeitário")</f>
        <v>Não prioeitário</v>
      </c>
      <c r="H3643" s="89">
        <f>YEAR(Tabela1[[#This Row],[Data de Validade]])</f>
        <v>2030</v>
      </c>
      <c r="I3643" s="89">
        <f>MONTH(Tabela1[[#This Row],[Data de Validade]])</f>
        <v>7</v>
      </c>
      <c r="J3643" s="101">
        <v>115073</v>
      </c>
      <c r="K3643" s="87" t="s">
        <v>9</v>
      </c>
      <c r="L3643" s="108"/>
      <c r="M3643" s="108"/>
      <c r="N3643" s="108" t="str">
        <v>P437H667</v>
      </c>
      <c r="O3643" s="108">
        <f t="shared" si="58"/>
        <v>1</v>
      </c>
      <c r="P3643" s="108"/>
      <c r="Q3643"/>
    </row>
    <row r="3644" spans="1:17" x14ac:dyDescent="0.25">
      <c r="A3644" s="89" t="s">
        <v>11246</v>
      </c>
      <c r="B3644" s="87" t="s">
        <v>11247</v>
      </c>
      <c r="C3644" s="87" t="s">
        <v>16</v>
      </c>
      <c r="D3644" s="87" t="str">
        <f>VLOOKUP(Tabela1[[#This Row],[Origem]], 'Perguntas 1 a 24'!$J$28:$K$34, 2, 0)</f>
        <v>Sudeste</v>
      </c>
      <c r="E3644" s="87" t="str">
        <f>Tabela1[[#This Row],[Descrição]]&amp;"-"&amp;Tabela1[[#This Row],[Código]]&amp;"/"&amp;Tabela1[[#This Row],[Origem]]</f>
        <v>Govodata-H183H659/MG</v>
      </c>
      <c r="F3644" s="88">
        <v>47685</v>
      </c>
      <c r="G3644" s="88" t="str" cm="1">
        <f t="array" ref="G36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AND(F3644&gt;= DATE(2026,1,1), F3644&lt;= DATE(2028, 12, 31), J3644&gt;50000), "Pendente e Caro", AND(F3644&gt;= DATE(2026,1,1), F3644&lt;= DATE(2028, 12, 31), J3644&lt;=50000), "Pendente", F3644&gt;= DATE(2029,1,1), "Não prioeitário")</f>
        <v>Não prioeitário</v>
      </c>
      <c r="H3644" s="89">
        <f>YEAR(Tabela1[[#This Row],[Data de Validade]])</f>
        <v>2030</v>
      </c>
      <c r="I3644" s="89">
        <f>MONTH(Tabela1[[#This Row],[Data de Validade]])</f>
        <v>7</v>
      </c>
      <c r="J3644" s="101">
        <v>114936</v>
      </c>
      <c r="K3644" s="87" t="s">
        <v>11</v>
      </c>
      <c r="L3644" s="108"/>
      <c r="M3644" s="108"/>
      <c r="N3644" s="108" t="str">
        <v>H694P481</v>
      </c>
      <c r="O3644" s="108">
        <f t="shared" si="58"/>
        <v>1</v>
      </c>
      <c r="P3644" s="108"/>
      <c r="Q3644"/>
    </row>
    <row r="3645" spans="1:17" x14ac:dyDescent="0.25">
      <c r="A3645" s="89" t="s">
        <v>7466</v>
      </c>
      <c r="B3645" s="87" t="s">
        <v>7467</v>
      </c>
      <c r="C3645" s="87" t="s">
        <v>15</v>
      </c>
      <c r="D3645" s="87" t="str">
        <f>VLOOKUP(Tabela1[[#This Row],[Origem]], 'Perguntas 1 a 24'!$J$28:$K$34, 2, 0)</f>
        <v>Sudeste</v>
      </c>
      <c r="E3645" s="87" t="str">
        <f>Tabela1[[#This Row],[Descrição]]&amp;"-"&amp;Tabela1[[#This Row],[Código]]&amp;"/"&amp;Tabela1[[#This Row],[Origem]]</f>
        <v>Tipono-P722H897/ES</v>
      </c>
      <c r="F3645" s="88">
        <v>47685</v>
      </c>
      <c r="G3645" s="88" t="str" cm="1">
        <f t="array" ref="G36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AND(F3645&gt;= DATE(2026,1,1), F3645&lt;= DATE(2028, 12, 31), J3645&gt;50000), "Pendente e Caro", AND(F3645&gt;= DATE(2026,1,1), F3645&lt;= DATE(2028, 12, 31), J3645&lt;=50000), "Pendente", F3645&gt;= DATE(2029,1,1), "Não prioeitário")</f>
        <v>Não prioeitário</v>
      </c>
      <c r="H3645" s="89">
        <f>YEAR(Tabela1[[#This Row],[Data de Validade]])</f>
        <v>2030</v>
      </c>
      <c r="I3645" s="89">
        <f>MONTH(Tabela1[[#This Row],[Data de Validade]])</f>
        <v>7</v>
      </c>
      <c r="J3645" s="101">
        <v>80825</v>
      </c>
      <c r="K3645" s="87" t="s">
        <v>11</v>
      </c>
      <c r="L3645" s="108"/>
      <c r="M3645" s="108"/>
      <c r="N3645" s="108" t="str">
        <v>H346P161</v>
      </c>
      <c r="O3645" s="108">
        <f t="shared" si="58"/>
        <v>1</v>
      </c>
      <c r="P3645" s="108"/>
      <c r="Q3645"/>
    </row>
    <row r="3646" spans="1:17" x14ac:dyDescent="0.25">
      <c r="A3646" s="89" t="s">
        <v>9177</v>
      </c>
      <c r="B3646" s="87" t="s">
        <v>9178</v>
      </c>
      <c r="C3646" s="87" t="s">
        <v>16</v>
      </c>
      <c r="D3646" s="87" t="str">
        <f>VLOOKUP(Tabela1[[#This Row],[Origem]], 'Perguntas 1 a 24'!$J$28:$K$34, 2, 0)</f>
        <v>Sudeste</v>
      </c>
      <c r="E3646" s="87" t="str">
        <f>Tabela1[[#This Row],[Descrição]]&amp;"-"&amp;Tabela1[[#This Row],[Código]]&amp;"/"&amp;Tabela1[[#This Row],[Origem]]</f>
        <v>Rolifide-P629P957/MG</v>
      </c>
      <c r="F3646" s="88">
        <v>47685</v>
      </c>
      <c r="G3646" s="88" t="str" cm="1">
        <f t="array" ref="G36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AND(F3646&gt;= DATE(2026,1,1), F3646&lt;= DATE(2028, 12, 31), J3646&gt;50000), "Pendente e Caro", AND(F3646&gt;= DATE(2026,1,1), F3646&lt;= DATE(2028, 12, 31), J3646&lt;=50000), "Pendente", F3646&gt;= DATE(2029,1,1), "Não prioeitário")</f>
        <v>Não prioeitário</v>
      </c>
      <c r="H3646" s="89">
        <f>YEAR(Tabela1[[#This Row],[Data de Validade]])</f>
        <v>2030</v>
      </c>
      <c r="I3646" s="89">
        <f>MONTH(Tabela1[[#This Row],[Data de Validade]])</f>
        <v>7</v>
      </c>
      <c r="J3646" s="101">
        <v>80541</v>
      </c>
      <c r="K3646" s="87" t="s">
        <v>14</v>
      </c>
      <c r="L3646" s="108"/>
      <c r="M3646" s="108"/>
      <c r="N3646" s="108" t="str">
        <v>P944P685</v>
      </c>
      <c r="O3646" s="108">
        <f t="shared" si="58"/>
        <v>1</v>
      </c>
      <c r="P3646" s="108"/>
      <c r="Q3646"/>
    </row>
    <row r="3647" spans="1:17" x14ac:dyDescent="0.25">
      <c r="A3647" s="89" t="s">
        <v>4333</v>
      </c>
      <c r="B3647" s="87" t="s">
        <v>4334</v>
      </c>
      <c r="C3647" s="87" t="s">
        <v>13</v>
      </c>
      <c r="D3647" s="87" t="str">
        <f>VLOOKUP(Tabela1[[#This Row],[Origem]], 'Perguntas 1 a 24'!$J$28:$K$34, 2, 0)</f>
        <v>Sudeste</v>
      </c>
      <c r="E3647" s="87" t="str">
        <f>Tabela1[[#This Row],[Descrição]]&amp;"-"&amp;Tabela1[[#This Row],[Código]]&amp;"/"&amp;Tabela1[[#This Row],[Origem]]</f>
        <v>Goranenire-H437H273/SP</v>
      </c>
      <c r="F3647" s="88">
        <v>47686</v>
      </c>
      <c r="G3647" s="88" t="str" cm="1">
        <f t="array" ref="G36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AND(F3647&gt;= DATE(2026,1,1), F3647&lt;= DATE(2028, 12, 31), J3647&gt;50000), "Pendente e Caro", AND(F3647&gt;= DATE(2026,1,1), F3647&lt;= DATE(2028, 12, 31), J3647&lt;=50000), "Pendente", F3647&gt;= DATE(2029,1,1), "Não prioeitário")</f>
        <v>Não prioeitário</v>
      </c>
      <c r="H3647" s="89">
        <f>YEAR(Tabela1[[#This Row],[Data de Validade]])</f>
        <v>2030</v>
      </c>
      <c r="I3647" s="89">
        <f>MONTH(Tabela1[[#This Row],[Data de Validade]])</f>
        <v>7</v>
      </c>
      <c r="J3647" s="101">
        <v>109254</v>
      </c>
      <c r="K3647" s="87" t="s">
        <v>7</v>
      </c>
      <c r="L3647" s="108"/>
      <c r="M3647" s="108"/>
      <c r="N3647" s="108" t="str">
        <v>P913H289</v>
      </c>
      <c r="O3647" s="108">
        <f t="shared" si="58"/>
        <v>1</v>
      </c>
      <c r="P3647" s="108"/>
      <c r="Q3647"/>
    </row>
    <row r="3648" spans="1:17" x14ac:dyDescent="0.25">
      <c r="A3648" s="89" t="s">
        <v>5932</v>
      </c>
      <c r="B3648" s="87" t="s">
        <v>5933</v>
      </c>
      <c r="C3648" s="87" t="s">
        <v>8</v>
      </c>
      <c r="D3648" s="87" t="str">
        <f>VLOOKUP(Tabela1[[#This Row],[Origem]], 'Perguntas 1 a 24'!$J$28:$K$34, 2, 0)</f>
        <v>Nordeste</v>
      </c>
      <c r="E3648" s="87" t="str">
        <f>Tabela1[[#This Row],[Descrição]]&amp;"-"&amp;Tabela1[[#This Row],[Código]]&amp;"/"&amp;Tabela1[[#This Row],[Origem]]</f>
        <v>Lovola-P264H276/AL</v>
      </c>
      <c r="F3648" s="88">
        <v>47686</v>
      </c>
      <c r="G3648" s="88" t="str" cm="1">
        <f t="array" ref="G36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AND(F3648&gt;= DATE(2026,1,1), F3648&lt;= DATE(2028, 12, 31), J3648&gt;50000), "Pendente e Caro", AND(F3648&gt;= DATE(2026,1,1), F3648&lt;= DATE(2028, 12, 31), J3648&lt;=50000), "Pendente", F3648&gt;= DATE(2029,1,1), "Não prioeitário")</f>
        <v>Não prioeitário</v>
      </c>
      <c r="H3648" s="89">
        <f>YEAR(Tabela1[[#This Row],[Data de Validade]])</f>
        <v>2030</v>
      </c>
      <c r="I3648" s="89">
        <f>MONTH(Tabela1[[#This Row],[Data de Validade]])</f>
        <v>7</v>
      </c>
      <c r="J3648" s="101">
        <v>102134</v>
      </c>
      <c r="K3648" s="87" t="s">
        <v>9</v>
      </c>
      <c r="L3648" s="108"/>
      <c r="M3648" s="108"/>
      <c r="N3648" s="108" t="str">
        <v>H753H743</v>
      </c>
      <c r="O3648" s="108">
        <f t="shared" si="58"/>
        <v>1</v>
      </c>
      <c r="P3648" s="108"/>
      <c r="Q3648"/>
    </row>
    <row r="3649" spans="1:17" x14ac:dyDescent="0.25">
      <c r="A3649" s="89" t="s">
        <v>3798</v>
      </c>
      <c r="B3649" s="87" t="s">
        <v>3799</v>
      </c>
      <c r="C3649" s="87" t="s">
        <v>16</v>
      </c>
      <c r="D3649" s="87" t="str">
        <f>VLOOKUP(Tabela1[[#This Row],[Origem]], 'Perguntas 1 a 24'!$J$28:$K$34, 2, 0)</f>
        <v>Sudeste</v>
      </c>
      <c r="E3649" s="87" t="str">
        <f>Tabela1[[#This Row],[Descrição]]&amp;"-"&amp;Tabela1[[#This Row],[Código]]&amp;"/"&amp;Tabela1[[#This Row],[Origem]]</f>
        <v>Muriroti-P617P337/MG</v>
      </c>
      <c r="F3649" s="88">
        <v>47686</v>
      </c>
      <c r="G3649" s="88" t="str" cm="1">
        <f t="array" ref="G36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AND(F3649&gt;= DATE(2026,1,1), F3649&lt;= DATE(2028, 12, 31), J3649&gt;50000), "Pendente e Caro", AND(F3649&gt;= DATE(2026,1,1), F3649&lt;= DATE(2028, 12, 31), J3649&lt;=50000), "Pendente", F3649&gt;= DATE(2029,1,1), "Não prioeitário")</f>
        <v>Não prioeitário</v>
      </c>
      <c r="H3649" s="89">
        <f>YEAR(Tabela1[[#This Row],[Data de Validade]])</f>
        <v>2030</v>
      </c>
      <c r="I3649" s="89">
        <f>MONTH(Tabela1[[#This Row],[Data de Validade]])</f>
        <v>7</v>
      </c>
      <c r="J3649" s="101">
        <v>34486</v>
      </c>
      <c r="K3649" s="87" t="s">
        <v>7</v>
      </c>
      <c r="L3649" s="108"/>
      <c r="M3649" s="108"/>
      <c r="N3649" s="108" t="str">
        <v>P849P773</v>
      </c>
      <c r="O3649" s="108">
        <f t="shared" si="58"/>
        <v>1</v>
      </c>
      <c r="P3649" s="108"/>
      <c r="Q3649"/>
    </row>
    <row r="3650" spans="1:17" x14ac:dyDescent="0.25">
      <c r="A3650" s="89" t="s">
        <v>4201</v>
      </c>
      <c r="B3650" s="87" t="s">
        <v>4202</v>
      </c>
      <c r="C3650" s="87" t="s">
        <v>16</v>
      </c>
      <c r="D3650" s="87" t="str">
        <f>VLOOKUP(Tabela1[[#This Row],[Origem]], 'Perguntas 1 a 24'!$J$28:$K$34, 2, 0)</f>
        <v>Sudeste</v>
      </c>
      <c r="E3650" s="87" t="str">
        <f>Tabela1[[#This Row],[Descrição]]&amp;"-"&amp;Tabela1[[#This Row],[Código]]&amp;"/"&amp;Tabela1[[#This Row],[Origem]]</f>
        <v>Padacanuvo-P596H154/MG</v>
      </c>
      <c r="F3650" s="88">
        <v>47687</v>
      </c>
      <c r="G3650" s="88" t="str" cm="1">
        <f t="array" ref="G36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AND(F3650&gt;= DATE(2026,1,1), F3650&lt;= DATE(2028, 12, 31), J3650&gt;50000), "Pendente e Caro", AND(F3650&gt;= DATE(2026,1,1), F3650&lt;= DATE(2028, 12, 31), J3650&lt;=50000), "Pendente", F3650&gt;= DATE(2029,1,1), "Não prioeitário")</f>
        <v>Não prioeitário</v>
      </c>
      <c r="H3650" s="89">
        <f>YEAR(Tabela1[[#This Row],[Data de Validade]])</f>
        <v>2030</v>
      </c>
      <c r="I3650" s="89">
        <f>MONTH(Tabela1[[#This Row],[Data de Validade]])</f>
        <v>7</v>
      </c>
      <c r="J3650" s="101">
        <v>116924</v>
      </c>
      <c r="K3650" s="87" t="s">
        <v>14</v>
      </c>
      <c r="L3650" s="108"/>
      <c r="M3650" s="108"/>
      <c r="N3650" s="108" t="str">
        <v>H512P662</v>
      </c>
      <c r="O3650" s="108">
        <f t="shared" si="58"/>
        <v>1</v>
      </c>
      <c r="P3650" s="108"/>
      <c r="Q3650"/>
    </row>
    <row r="3651" spans="1:17" x14ac:dyDescent="0.25">
      <c r="A3651" s="89" t="s">
        <v>10007</v>
      </c>
      <c r="B3651" s="87" t="s">
        <v>10008</v>
      </c>
      <c r="C3651" s="87" t="s">
        <v>6</v>
      </c>
      <c r="D3651" s="87" t="str">
        <f>VLOOKUP(Tabela1[[#This Row],[Origem]], 'Perguntas 1 a 24'!$J$28:$K$34, 2, 0)</f>
        <v>Nordeste</v>
      </c>
      <c r="E3651" s="87" t="str">
        <f>Tabela1[[#This Row],[Descrição]]&amp;"-"&amp;Tabela1[[#This Row],[Código]]&amp;"/"&amp;Tabela1[[#This Row],[Origem]]</f>
        <v>Reripu-H854H739/MA</v>
      </c>
      <c r="F3651" s="88">
        <v>47687</v>
      </c>
      <c r="G3651" s="88" t="str" cm="1">
        <f t="array" ref="G36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AND(F3651&gt;= DATE(2026,1,1), F3651&lt;= DATE(2028, 12, 31), J3651&gt;50000), "Pendente e Caro", AND(F3651&gt;= DATE(2026,1,1), F3651&lt;= DATE(2028, 12, 31), J3651&lt;=50000), "Pendente", F3651&gt;= DATE(2029,1,1), "Não prioeitário")</f>
        <v>Não prioeitário</v>
      </c>
      <c r="H3651" s="89">
        <f>YEAR(Tabela1[[#This Row],[Data de Validade]])</f>
        <v>2030</v>
      </c>
      <c r="I3651" s="89">
        <f>MONTH(Tabela1[[#This Row],[Data de Validade]])</f>
        <v>7</v>
      </c>
      <c r="J3651" s="101">
        <v>116057</v>
      </c>
      <c r="K3651" s="87" t="s">
        <v>9</v>
      </c>
      <c r="L3651" s="108"/>
      <c r="M3651" s="108"/>
      <c r="N3651" s="108" t="str">
        <v>H412P837</v>
      </c>
      <c r="O3651" s="108">
        <f t="shared" ref="O3651:O3714" si="59">COUNTIFS(B:B,N3651)</f>
        <v>1</v>
      </c>
      <c r="P3651" s="108"/>
      <c r="Q3651"/>
    </row>
    <row r="3652" spans="1:17" x14ac:dyDescent="0.25">
      <c r="A3652" s="89" t="s">
        <v>5672</v>
      </c>
      <c r="B3652" s="87" t="s">
        <v>5673</v>
      </c>
      <c r="C3652" s="87" t="s">
        <v>10</v>
      </c>
      <c r="D3652" s="87" t="str">
        <f>VLOOKUP(Tabela1[[#This Row],[Origem]], 'Perguntas 1 a 24'!$J$28:$K$34, 2, 0)</f>
        <v>Centro-Oeste</v>
      </c>
      <c r="E3652" s="87" t="str">
        <f>Tabela1[[#This Row],[Descrição]]&amp;"-"&amp;Tabela1[[#This Row],[Código]]&amp;"/"&amp;Tabela1[[#This Row],[Origem]]</f>
        <v>Tatepoti-P583P428/GO</v>
      </c>
      <c r="F3652" s="88">
        <v>47687</v>
      </c>
      <c r="G3652" s="88" t="str" cm="1">
        <f t="array" ref="G36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AND(F3652&gt;= DATE(2026,1,1), F3652&lt;= DATE(2028, 12, 31), J3652&gt;50000), "Pendente e Caro", AND(F3652&gt;= DATE(2026,1,1), F3652&lt;= DATE(2028, 12, 31), J3652&lt;=50000), "Pendente", F3652&gt;= DATE(2029,1,1), "Não prioeitário")</f>
        <v>Não prioeitário</v>
      </c>
      <c r="H3652" s="89">
        <f>YEAR(Tabela1[[#This Row],[Data de Validade]])</f>
        <v>2030</v>
      </c>
      <c r="I3652" s="89">
        <f>MONTH(Tabela1[[#This Row],[Data de Validade]])</f>
        <v>7</v>
      </c>
      <c r="J3652" s="101">
        <v>48462</v>
      </c>
      <c r="K3652" s="87" t="s">
        <v>14</v>
      </c>
      <c r="L3652" s="108"/>
      <c r="M3652" s="108"/>
      <c r="N3652" s="108" t="str">
        <v>P494H558</v>
      </c>
      <c r="O3652" s="108">
        <f t="shared" si="59"/>
        <v>1</v>
      </c>
      <c r="P3652" s="108"/>
      <c r="Q3652"/>
    </row>
    <row r="3653" spans="1:17" x14ac:dyDescent="0.25">
      <c r="A3653" s="89" t="s">
        <v>5624</v>
      </c>
      <c r="B3653" s="87" t="s">
        <v>5625</v>
      </c>
      <c r="C3653" s="87" t="s">
        <v>16</v>
      </c>
      <c r="D3653" s="87" t="str">
        <f>VLOOKUP(Tabela1[[#This Row],[Origem]], 'Perguntas 1 a 24'!$J$28:$K$34, 2, 0)</f>
        <v>Sudeste</v>
      </c>
      <c r="E3653" s="87" t="str">
        <f>Tabela1[[#This Row],[Descrição]]&amp;"-"&amp;Tabela1[[#This Row],[Código]]&amp;"/"&amp;Tabela1[[#This Row],[Origem]]</f>
        <v>Pifonomegi-H975P179/MG</v>
      </c>
      <c r="F3653" s="88">
        <v>47687</v>
      </c>
      <c r="G3653" s="88" t="str" cm="1">
        <f t="array" ref="G36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AND(F3653&gt;= DATE(2026,1,1), F3653&lt;= DATE(2028, 12, 31), J3653&gt;50000), "Pendente e Caro", AND(F3653&gt;= DATE(2026,1,1), F3653&lt;= DATE(2028, 12, 31), J3653&lt;=50000), "Pendente", F3653&gt;= DATE(2029,1,1), "Não prioeitário")</f>
        <v>Não prioeitário</v>
      </c>
      <c r="H3653" s="89">
        <f>YEAR(Tabela1[[#This Row],[Data de Validade]])</f>
        <v>2030</v>
      </c>
      <c r="I3653" s="89">
        <f>MONTH(Tabela1[[#This Row],[Data de Validade]])</f>
        <v>7</v>
      </c>
      <c r="J3653" s="101">
        <v>29961</v>
      </c>
      <c r="K3653" s="87" t="s">
        <v>11</v>
      </c>
      <c r="L3653" s="108"/>
      <c r="M3653" s="108"/>
      <c r="N3653" s="108" t="str">
        <v>P571P527</v>
      </c>
      <c r="O3653" s="108">
        <f t="shared" si="59"/>
        <v>1</v>
      </c>
      <c r="P3653" s="108"/>
      <c r="Q3653"/>
    </row>
    <row r="3654" spans="1:17" x14ac:dyDescent="0.25">
      <c r="A3654" s="89" t="s">
        <v>9467</v>
      </c>
      <c r="B3654" s="87" t="s">
        <v>9468</v>
      </c>
      <c r="C3654" s="87" t="s">
        <v>13</v>
      </c>
      <c r="D3654" s="87" t="str">
        <f>VLOOKUP(Tabela1[[#This Row],[Origem]], 'Perguntas 1 a 24'!$J$28:$K$34, 2, 0)</f>
        <v>Sudeste</v>
      </c>
      <c r="E3654" s="87" t="str">
        <f>Tabela1[[#This Row],[Descrição]]&amp;"-"&amp;Tabela1[[#This Row],[Código]]&amp;"/"&amp;Tabela1[[#This Row],[Origem]]</f>
        <v>Niceto-H549H312/SP</v>
      </c>
      <c r="F3654" s="88">
        <v>47688</v>
      </c>
      <c r="G3654" s="88" t="str" cm="1">
        <f t="array" ref="G36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AND(F3654&gt;= DATE(2026,1,1), F3654&lt;= DATE(2028, 12, 31), J3654&gt;50000), "Pendente e Caro", AND(F3654&gt;= DATE(2026,1,1), F3654&lt;= DATE(2028, 12, 31), J3654&lt;=50000), "Pendente", F3654&gt;= DATE(2029,1,1), "Não prioeitário")</f>
        <v>Não prioeitário</v>
      </c>
      <c r="H3654" s="89">
        <f>YEAR(Tabela1[[#This Row],[Data de Validade]])</f>
        <v>2030</v>
      </c>
      <c r="I3654" s="89">
        <f>MONTH(Tabela1[[#This Row],[Data de Validade]])</f>
        <v>7</v>
      </c>
      <c r="J3654" s="101">
        <v>68899</v>
      </c>
      <c r="K3654" s="87" t="s">
        <v>14</v>
      </c>
      <c r="L3654" s="108"/>
      <c r="M3654" s="108"/>
      <c r="N3654" s="108" t="str">
        <v>H224P229</v>
      </c>
      <c r="O3654" s="108">
        <f t="shared" si="59"/>
        <v>1</v>
      </c>
      <c r="P3654" s="108"/>
      <c r="Q3654"/>
    </row>
    <row r="3655" spans="1:17" x14ac:dyDescent="0.25">
      <c r="A3655" s="89" t="s">
        <v>10159</v>
      </c>
      <c r="B3655" s="87" t="s">
        <v>10160</v>
      </c>
      <c r="C3655" s="87" t="s">
        <v>10</v>
      </c>
      <c r="D3655" s="87" t="str">
        <f>VLOOKUP(Tabela1[[#This Row],[Origem]], 'Perguntas 1 a 24'!$J$28:$K$34, 2, 0)</f>
        <v>Centro-Oeste</v>
      </c>
      <c r="E3655" s="87" t="str">
        <f>Tabela1[[#This Row],[Descrição]]&amp;"-"&amp;Tabela1[[#This Row],[Código]]&amp;"/"&amp;Tabela1[[#This Row],[Origem]]</f>
        <v>Tonapava-P299P134/GO</v>
      </c>
      <c r="F3655" s="88">
        <v>47688</v>
      </c>
      <c r="G3655" s="88" t="str" cm="1">
        <f t="array" ref="G36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AND(F3655&gt;= DATE(2026,1,1), F3655&lt;= DATE(2028, 12, 31), J3655&gt;50000), "Pendente e Caro", AND(F3655&gt;= DATE(2026,1,1), F3655&lt;= DATE(2028, 12, 31), J3655&lt;=50000), "Pendente", F3655&gt;= DATE(2029,1,1), "Não prioeitário")</f>
        <v>Não prioeitário</v>
      </c>
      <c r="H3655" s="89">
        <f>YEAR(Tabela1[[#This Row],[Data de Validade]])</f>
        <v>2030</v>
      </c>
      <c r="I3655" s="89">
        <f>MONTH(Tabela1[[#This Row],[Data de Validade]])</f>
        <v>7</v>
      </c>
      <c r="J3655" s="101">
        <v>51071</v>
      </c>
      <c r="K3655" s="87" t="s">
        <v>14</v>
      </c>
      <c r="L3655" s="108"/>
      <c r="M3655" s="108"/>
      <c r="N3655" s="108" t="str">
        <v>H459H423</v>
      </c>
      <c r="O3655" s="108">
        <f t="shared" si="59"/>
        <v>1</v>
      </c>
      <c r="P3655" s="108"/>
      <c r="Q3655"/>
    </row>
    <row r="3656" spans="1:17" x14ac:dyDescent="0.25">
      <c r="A3656" s="89" t="s">
        <v>9375</v>
      </c>
      <c r="B3656" s="87" t="s">
        <v>9376</v>
      </c>
      <c r="C3656" s="87" t="s">
        <v>8</v>
      </c>
      <c r="D3656" s="87" t="str">
        <f>VLOOKUP(Tabela1[[#This Row],[Origem]], 'Perguntas 1 a 24'!$J$28:$K$34, 2, 0)</f>
        <v>Nordeste</v>
      </c>
      <c r="E3656" s="87" t="str">
        <f>Tabela1[[#This Row],[Descrição]]&amp;"-"&amp;Tabela1[[#This Row],[Código]]&amp;"/"&amp;Tabela1[[#This Row],[Origem]]</f>
        <v>Tetumi-P437H667/AL</v>
      </c>
      <c r="F3656" s="88">
        <v>47689</v>
      </c>
      <c r="G3656" s="88" t="str" cm="1">
        <f t="array" ref="G36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AND(F3656&gt;= DATE(2026,1,1), F3656&lt;= DATE(2028, 12, 31), J3656&gt;50000), "Pendente e Caro", AND(F3656&gt;= DATE(2026,1,1), F3656&lt;= DATE(2028, 12, 31), J3656&lt;=50000), "Pendente", F3656&gt;= DATE(2029,1,1), "Não prioeitário")</f>
        <v>Não prioeitário</v>
      </c>
      <c r="H3656" s="89">
        <f>YEAR(Tabela1[[#This Row],[Data de Validade]])</f>
        <v>2030</v>
      </c>
      <c r="I3656" s="89">
        <f>MONTH(Tabela1[[#This Row],[Data de Validade]])</f>
        <v>7</v>
      </c>
      <c r="J3656" s="101">
        <v>56523</v>
      </c>
      <c r="K3656" s="87" t="s">
        <v>7</v>
      </c>
      <c r="L3656" s="108"/>
      <c r="M3656" s="108"/>
      <c r="N3656" s="108" t="str">
        <v>P697P922</v>
      </c>
      <c r="O3656" s="108">
        <f t="shared" si="59"/>
        <v>1</v>
      </c>
      <c r="P3656" s="108"/>
      <c r="Q3656"/>
    </row>
    <row r="3657" spans="1:17" x14ac:dyDescent="0.25">
      <c r="A3657" s="89" t="s">
        <v>6956</v>
      </c>
      <c r="B3657" s="87" t="s">
        <v>6957</v>
      </c>
      <c r="C3657" s="87" t="s">
        <v>6</v>
      </c>
      <c r="D3657" s="87" t="str">
        <f>VLOOKUP(Tabela1[[#This Row],[Origem]], 'Perguntas 1 a 24'!$J$28:$K$34, 2, 0)</f>
        <v>Nordeste</v>
      </c>
      <c r="E3657" s="87" t="str">
        <f>Tabela1[[#This Row],[Descrição]]&amp;"-"&amp;Tabela1[[#This Row],[Código]]&amp;"/"&amp;Tabela1[[#This Row],[Origem]]</f>
        <v>Torino-H694P481/MA</v>
      </c>
      <c r="F3657" s="88">
        <v>47689</v>
      </c>
      <c r="G3657" s="88" t="str" cm="1">
        <f t="array" ref="G36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AND(F3657&gt;= DATE(2026,1,1), F3657&lt;= DATE(2028, 12, 31), J3657&gt;50000), "Pendente e Caro", AND(F3657&gt;= DATE(2026,1,1), F3657&lt;= DATE(2028, 12, 31), J3657&lt;=50000), "Pendente", F3657&gt;= DATE(2029,1,1), "Não prioeitário")</f>
        <v>Não prioeitário</v>
      </c>
      <c r="H3657" s="89">
        <f>YEAR(Tabela1[[#This Row],[Data de Validade]])</f>
        <v>2030</v>
      </c>
      <c r="I3657" s="89">
        <f>MONTH(Tabela1[[#This Row],[Data de Validade]])</f>
        <v>7</v>
      </c>
      <c r="J3657" s="101">
        <v>42969</v>
      </c>
      <c r="K3657" s="87" t="s">
        <v>7</v>
      </c>
      <c r="L3657" s="108"/>
      <c r="M3657" s="108"/>
      <c r="N3657" s="108" t="str">
        <v>H776P365</v>
      </c>
      <c r="O3657" s="108">
        <f t="shared" si="59"/>
        <v>1</v>
      </c>
      <c r="P3657" s="108"/>
      <c r="Q3657"/>
    </row>
    <row r="3658" spans="1:17" x14ac:dyDescent="0.25">
      <c r="A3658" s="89" t="s">
        <v>4524</v>
      </c>
      <c r="B3658" s="87" t="s">
        <v>4525</v>
      </c>
      <c r="C3658" s="87" t="s">
        <v>13</v>
      </c>
      <c r="D3658" s="87" t="str">
        <f>VLOOKUP(Tabela1[[#This Row],[Origem]], 'Perguntas 1 a 24'!$J$28:$K$34, 2, 0)</f>
        <v>Sudeste</v>
      </c>
      <c r="E3658" s="87" t="str">
        <f>Tabela1[[#This Row],[Descrição]]&amp;"-"&amp;Tabela1[[#This Row],[Código]]&amp;"/"&amp;Tabela1[[#This Row],[Origem]]</f>
        <v>Tutitulile-H346P161/SP</v>
      </c>
      <c r="F3658" s="88">
        <v>47690</v>
      </c>
      <c r="G3658" s="88" t="str" cm="1">
        <f t="array" ref="G36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AND(F3658&gt;= DATE(2026,1,1), F3658&lt;= DATE(2028, 12, 31), J3658&gt;50000), "Pendente e Caro", AND(F3658&gt;= DATE(2026,1,1), F3658&lt;= DATE(2028, 12, 31), J3658&lt;=50000), "Pendente", F3658&gt;= DATE(2029,1,1), "Não prioeitário")</f>
        <v>Não prioeitário</v>
      </c>
      <c r="H3658" s="89">
        <f>YEAR(Tabela1[[#This Row],[Data de Validade]])</f>
        <v>2030</v>
      </c>
      <c r="I3658" s="89">
        <f>MONTH(Tabela1[[#This Row],[Data de Validade]])</f>
        <v>7</v>
      </c>
      <c r="J3658" s="101">
        <v>70386</v>
      </c>
      <c r="K3658" s="87" t="s">
        <v>7</v>
      </c>
      <c r="L3658" s="108"/>
      <c r="M3658" s="108"/>
      <c r="N3658" s="108" t="str">
        <v>P467P841</v>
      </c>
      <c r="O3658" s="108">
        <f t="shared" si="59"/>
        <v>1</v>
      </c>
      <c r="P3658" s="108"/>
      <c r="Q3658"/>
    </row>
    <row r="3659" spans="1:17" x14ac:dyDescent="0.25">
      <c r="A3659" s="89" t="s">
        <v>7142</v>
      </c>
      <c r="B3659" s="87" t="s">
        <v>7143</v>
      </c>
      <c r="C3659" s="87" t="s">
        <v>10</v>
      </c>
      <c r="D3659" s="87" t="str">
        <f>VLOOKUP(Tabela1[[#This Row],[Origem]], 'Perguntas 1 a 24'!$J$28:$K$34, 2, 0)</f>
        <v>Centro-Oeste</v>
      </c>
      <c r="E3659" s="87" t="str">
        <f>Tabela1[[#This Row],[Descrição]]&amp;"-"&amp;Tabela1[[#This Row],[Código]]&amp;"/"&amp;Tabela1[[#This Row],[Origem]]</f>
        <v>Dopadamelu-P944P685/GO</v>
      </c>
      <c r="F3659" s="88">
        <v>47690</v>
      </c>
      <c r="G3659" s="88" t="str" cm="1">
        <f t="array" ref="G36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AND(F3659&gt;= DATE(2026,1,1), F3659&lt;= DATE(2028, 12, 31), J3659&gt;50000), "Pendente e Caro", AND(F3659&gt;= DATE(2026,1,1), F3659&lt;= DATE(2028, 12, 31), J3659&lt;=50000), "Pendente", F3659&gt;= DATE(2029,1,1), "Não prioeitário")</f>
        <v>Não prioeitário</v>
      </c>
      <c r="H3659" s="89">
        <f>YEAR(Tabela1[[#This Row],[Data de Validade]])</f>
        <v>2030</v>
      </c>
      <c r="I3659" s="89">
        <f>MONTH(Tabela1[[#This Row],[Data de Validade]])</f>
        <v>7</v>
      </c>
      <c r="J3659" s="101">
        <v>38832</v>
      </c>
      <c r="K3659" s="87" t="s">
        <v>11</v>
      </c>
      <c r="L3659" s="108"/>
      <c r="M3659" s="108"/>
      <c r="N3659" s="108" t="str">
        <v>H371P855</v>
      </c>
      <c r="O3659" s="108">
        <f t="shared" si="59"/>
        <v>1</v>
      </c>
      <c r="P3659" s="108"/>
      <c r="Q3659"/>
    </row>
    <row r="3660" spans="1:17" x14ac:dyDescent="0.25">
      <c r="A3660" s="89" t="s">
        <v>9521</v>
      </c>
      <c r="B3660" s="87" t="s">
        <v>9522</v>
      </c>
      <c r="C3660" s="87" t="s">
        <v>10</v>
      </c>
      <c r="D3660" s="87" t="str">
        <f>VLOOKUP(Tabela1[[#This Row],[Origem]], 'Perguntas 1 a 24'!$J$28:$K$34, 2, 0)</f>
        <v>Centro-Oeste</v>
      </c>
      <c r="E3660" s="87" t="str">
        <f>Tabela1[[#This Row],[Descrição]]&amp;"-"&amp;Tabela1[[#This Row],[Código]]&amp;"/"&amp;Tabela1[[#This Row],[Origem]]</f>
        <v>Ropaperatu-P913H289/GO</v>
      </c>
      <c r="F3660" s="88">
        <v>47692</v>
      </c>
      <c r="G3660" s="88" t="str" cm="1">
        <f t="array" ref="G36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AND(F3660&gt;= DATE(2026,1,1), F3660&lt;= DATE(2028, 12, 31), J3660&gt;50000), "Pendente e Caro", AND(F3660&gt;= DATE(2026,1,1), F3660&lt;= DATE(2028, 12, 31), J3660&lt;=50000), "Pendente", F3660&gt;= DATE(2029,1,1), "Não prioeitário")</f>
        <v>Não prioeitário</v>
      </c>
      <c r="H3660" s="89">
        <f>YEAR(Tabela1[[#This Row],[Data de Validade]])</f>
        <v>2030</v>
      </c>
      <c r="I3660" s="89">
        <f>MONTH(Tabela1[[#This Row],[Data de Validade]])</f>
        <v>7</v>
      </c>
      <c r="J3660" s="101">
        <v>114239</v>
      </c>
      <c r="K3660" s="87" t="s">
        <v>9</v>
      </c>
      <c r="L3660" s="108"/>
      <c r="M3660" s="108"/>
      <c r="N3660" s="108" t="str">
        <v>H498H238</v>
      </c>
      <c r="O3660" s="108">
        <f t="shared" si="59"/>
        <v>1</v>
      </c>
      <c r="P3660" s="108"/>
      <c r="Q3660"/>
    </row>
    <row r="3661" spans="1:17" x14ac:dyDescent="0.25">
      <c r="A3661" s="89" t="s">
        <v>5336</v>
      </c>
      <c r="B3661" s="87" t="s">
        <v>5337</v>
      </c>
      <c r="C3661" s="87" t="s">
        <v>13</v>
      </c>
      <c r="D3661" s="87" t="str">
        <f>VLOOKUP(Tabela1[[#This Row],[Origem]], 'Perguntas 1 a 24'!$J$28:$K$34, 2, 0)</f>
        <v>Sudeste</v>
      </c>
      <c r="E3661" s="87" t="str">
        <f>Tabela1[[#This Row],[Descrição]]&amp;"-"&amp;Tabela1[[#This Row],[Código]]&amp;"/"&amp;Tabela1[[#This Row],[Origem]]</f>
        <v>Mutaropa-H753H743/SP</v>
      </c>
      <c r="F3661" s="88">
        <v>47692</v>
      </c>
      <c r="G3661" s="88" t="str" cm="1">
        <f t="array" ref="G36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AND(F3661&gt;= DATE(2026,1,1), F3661&lt;= DATE(2028, 12, 31), J3661&gt;50000), "Pendente e Caro", AND(F3661&gt;= DATE(2026,1,1), F3661&lt;= DATE(2028, 12, 31), J3661&lt;=50000), "Pendente", F3661&gt;= DATE(2029,1,1), "Não prioeitário")</f>
        <v>Não prioeitário</v>
      </c>
      <c r="H3661" s="89">
        <f>YEAR(Tabela1[[#This Row],[Data de Validade]])</f>
        <v>2030</v>
      </c>
      <c r="I3661" s="89">
        <f>MONTH(Tabela1[[#This Row],[Data de Validade]])</f>
        <v>7</v>
      </c>
      <c r="J3661" s="101">
        <v>45657</v>
      </c>
      <c r="K3661" s="87" t="s">
        <v>9</v>
      </c>
      <c r="L3661" s="108"/>
      <c r="M3661" s="108"/>
      <c r="N3661" s="108" t="str">
        <v>H689P945</v>
      </c>
      <c r="O3661" s="108">
        <f t="shared" si="59"/>
        <v>1</v>
      </c>
      <c r="P3661" s="108"/>
      <c r="Q3661"/>
    </row>
    <row r="3662" spans="1:17" x14ac:dyDescent="0.25">
      <c r="A3662" s="89" t="s">
        <v>4417</v>
      </c>
      <c r="B3662" s="87" t="s">
        <v>4418</v>
      </c>
      <c r="C3662" s="87" t="s">
        <v>16</v>
      </c>
      <c r="D3662" s="87" t="str">
        <f>VLOOKUP(Tabela1[[#This Row],[Origem]], 'Perguntas 1 a 24'!$J$28:$K$34, 2, 0)</f>
        <v>Sudeste</v>
      </c>
      <c r="E3662" s="87" t="str">
        <f>Tabela1[[#This Row],[Descrição]]&amp;"-"&amp;Tabela1[[#This Row],[Código]]&amp;"/"&amp;Tabela1[[#This Row],[Origem]]</f>
        <v>Rinuninupo-P849P773/MG</v>
      </c>
      <c r="F3662" s="88">
        <v>47692</v>
      </c>
      <c r="G3662" s="88" t="str" cm="1">
        <f t="array" ref="G36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AND(F3662&gt;= DATE(2026,1,1), F3662&lt;= DATE(2028, 12, 31), J3662&gt;50000), "Pendente e Caro", AND(F3662&gt;= DATE(2026,1,1), F3662&lt;= DATE(2028, 12, 31), J3662&lt;=50000), "Pendente", F3662&gt;= DATE(2029,1,1), "Não prioeitário")</f>
        <v>Não prioeitário</v>
      </c>
      <c r="H3662" s="89">
        <f>YEAR(Tabela1[[#This Row],[Data de Validade]])</f>
        <v>2030</v>
      </c>
      <c r="I3662" s="89">
        <f>MONTH(Tabela1[[#This Row],[Data de Validade]])</f>
        <v>7</v>
      </c>
      <c r="J3662" s="101">
        <v>22162</v>
      </c>
      <c r="K3662" s="87" t="s">
        <v>11</v>
      </c>
      <c r="L3662" s="108"/>
      <c r="M3662" s="108"/>
      <c r="N3662" s="108" t="str">
        <v>H726H325</v>
      </c>
      <c r="O3662" s="108">
        <f t="shared" si="59"/>
        <v>1</v>
      </c>
      <c r="P3662" s="108"/>
      <c r="Q3662"/>
    </row>
    <row r="3663" spans="1:17" x14ac:dyDescent="0.25">
      <c r="A3663" s="89" t="s">
        <v>6828</v>
      </c>
      <c r="B3663" s="87" t="s">
        <v>6829</v>
      </c>
      <c r="C3663" s="87" t="s">
        <v>16</v>
      </c>
      <c r="D3663" s="87" t="str">
        <f>VLOOKUP(Tabela1[[#This Row],[Origem]], 'Perguntas 1 a 24'!$J$28:$K$34, 2, 0)</f>
        <v>Sudeste</v>
      </c>
      <c r="E3663" s="87" t="str">
        <f>Tabela1[[#This Row],[Descrição]]&amp;"-"&amp;Tabela1[[#This Row],[Código]]&amp;"/"&amp;Tabela1[[#This Row],[Origem]]</f>
        <v>Docapo-H512P662/MG</v>
      </c>
      <c r="F3663" s="88">
        <v>47693</v>
      </c>
      <c r="G3663" s="88" t="str" cm="1">
        <f t="array" ref="G36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AND(F3663&gt;= DATE(2026,1,1), F3663&lt;= DATE(2028, 12, 31), J3663&gt;50000), "Pendente e Caro", AND(F3663&gt;= DATE(2026,1,1), F3663&lt;= DATE(2028, 12, 31), J3663&lt;=50000), "Pendente", F3663&gt;= DATE(2029,1,1), "Não prioeitário")</f>
        <v>Não prioeitário</v>
      </c>
      <c r="H3663" s="89">
        <f>YEAR(Tabela1[[#This Row],[Data de Validade]])</f>
        <v>2030</v>
      </c>
      <c r="I3663" s="89">
        <f>MONTH(Tabela1[[#This Row],[Data de Validade]])</f>
        <v>7</v>
      </c>
      <c r="J3663" s="101">
        <v>113305</v>
      </c>
      <c r="K3663" s="87" t="s">
        <v>9</v>
      </c>
      <c r="L3663" s="108"/>
      <c r="M3663" s="108"/>
      <c r="N3663" s="108" t="str">
        <v>P936H911</v>
      </c>
      <c r="O3663" s="108">
        <f t="shared" si="59"/>
        <v>1</v>
      </c>
      <c r="P3663" s="108"/>
      <c r="Q3663"/>
    </row>
    <row r="3664" spans="1:17" x14ac:dyDescent="0.25">
      <c r="A3664" s="89" t="s">
        <v>4922</v>
      </c>
      <c r="B3664" s="87" t="s">
        <v>4923</v>
      </c>
      <c r="C3664" s="87" t="s">
        <v>6</v>
      </c>
      <c r="D3664" s="87" t="str">
        <f>VLOOKUP(Tabela1[[#This Row],[Origem]], 'Perguntas 1 a 24'!$J$28:$K$34, 2, 0)</f>
        <v>Nordeste</v>
      </c>
      <c r="E3664" s="87" t="str">
        <f>Tabela1[[#This Row],[Descrição]]&amp;"-"&amp;Tabela1[[#This Row],[Código]]&amp;"/"&amp;Tabela1[[#This Row],[Origem]]</f>
        <v>Tolatifope-H412P837/MA</v>
      </c>
      <c r="F3664" s="88">
        <v>47694</v>
      </c>
      <c r="G3664" s="88" t="str" cm="1">
        <f t="array" ref="G36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AND(F3664&gt;= DATE(2026,1,1), F3664&lt;= DATE(2028, 12, 31), J3664&gt;50000), "Pendente e Caro", AND(F3664&gt;= DATE(2026,1,1), F3664&lt;= DATE(2028, 12, 31), J3664&lt;=50000), "Pendente", F3664&gt;= DATE(2029,1,1), "Não prioeitário")</f>
        <v>Não prioeitário</v>
      </c>
      <c r="H3664" s="89">
        <f>YEAR(Tabela1[[#This Row],[Data de Validade]])</f>
        <v>2030</v>
      </c>
      <c r="I3664" s="89">
        <f>MONTH(Tabela1[[#This Row],[Data de Validade]])</f>
        <v>7</v>
      </c>
      <c r="J3664" s="101">
        <v>81060</v>
      </c>
      <c r="K3664" s="87" t="s">
        <v>14</v>
      </c>
      <c r="L3664" s="108"/>
      <c r="M3664" s="108"/>
      <c r="N3664" s="108" t="str">
        <v>H236H877</v>
      </c>
      <c r="O3664" s="108">
        <f t="shared" si="59"/>
        <v>1</v>
      </c>
      <c r="P3664" s="108"/>
      <c r="Q3664"/>
    </row>
    <row r="3665" spans="1:17" x14ac:dyDescent="0.25">
      <c r="A3665" s="89" t="s">
        <v>9969</v>
      </c>
      <c r="B3665" s="87" t="s">
        <v>9970</v>
      </c>
      <c r="C3665" s="87" t="s">
        <v>6</v>
      </c>
      <c r="D3665" s="87" t="str">
        <f>VLOOKUP(Tabela1[[#This Row],[Origem]], 'Perguntas 1 a 24'!$J$28:$K$34, 2, 0)</f>
        <v>Nordeste</v>
      </c>
      <c r="E3665" s="87" t="str">
        <f>Tabela1[[#This Row],[Descrição]]&amp;"-"&amp;Tabela1[[#This Row],[Código]]&amp;"/"&amp;Tabela1[[#This Row],[Origem]]</f>
        <v>Lifutogime-P494H558/MA</v>
      </c>
      <c r="F3665" s="88">
        <v>47694</v>
      </c>
      <c r="G3665" s="88" t="str" cm="1">
        <f t="array" ref="G36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AND(F3665&gt;= DATE(2026,1,1), F3665&lt;= DATE(2028, 12, 31), J3665&gt;50000), "Pendente e Caro", AND(F3665&gt;= DATE(2026,1,1), F3665&lt;= DATE(2028, 12, 31), J3665&lt;=50000), "Pendente", F3665&gt;= DATE(2029,1,1), "Não prioeitário")</f>
        <v>Não prioeitário</v>
      </c>
      <c r="H3665" s="89">
        <f>YEAR(Tabela1[[#This Row],[Data de Validade]])</f>
        <v>2030</v>
      </c>
      <c r="I3665" s="89">
        <f>MONTH(Tabela1[[#This Row],[Data de Validade]])</f>
        <v>7</v>
      </c>
      <c r="J3665" s="101">
        <v>80381</v>
      </c>
      <c r="K3665" s="87" t="s">
        <v>14</v>
      </c>
      <c r="L3665" s="108"/>
      <c r="M3665" s="108"/>
      <c r="N3665" s="108" t="str">
        <v>H371P465</v>
      </c>
      <c r="O3665" s="108">
        <f t="shared" si="59"/>
        <v>1</v>
      </c>
      <c r="P3665" s="108"/>
      <c r="Q3665"/>
    </row>
    <row r="3666" spans="1:17" x14ac:dyDescent="0.25">
      <c r="A3666" s="89" t="s">
        <v>4886</v>
      </c>
      <c r="B3666" s="87" t="s">
        <v>4887</v>
      </c>
      <c r="C3666" s="87" t="s">
        <v>8</v>
      </c>
      <c r="D3666" s="87" t="str">
        <f>VLOOKUP(Tabela1[[#This Row],[Origem]], 'Perguntas 1 a 24'!$J$28:$K$34, 2, 0)</f>
        <v>Nordeste</v>
      </c>
      <c r="E3666" s="87" t="str">
        <f>Tabela1[[#This Row],[Descrição]]&amp;"-"&amp;Tabela1[[#This Row],[Código]]&amp;"/"&amp;Tabela1[[#This Row],[Origem]]</f>
        <v>Famufe-P571P527/AL</v>
      </c>
      <c r="F3666" s="88">
        <v>47694</v>
      </c>
      <c r="G3666" s="88" t="str" cm="1">
        <f t="array" ref="G36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AND(F3666&gt;= DATE(2026,1,1), F3666&lt;= DATE(2028, 12, 31), J3666&gt;50000), "Pendente e Caro", AND(F3666&gt;= DATE(2026,1,1), F3666&lt;= DATE(2028, 12, 31), J3666&lt;=50000), "Pendente", F3666&gt;= DATE(2029,1,1), "Não prioeitário")</f>
        <v>Não prioeitário</v>
      </c>
      <c r="H3666" s="89">
        <f>YEAR(Tabela1[[#This Row],[Data de Validade]])</f>
        <v>2030</v>
      </c>
      <c r="I3666" s="89">
        <f>MONTH(Tabela1[[#This Row],[Data de Validade]])</f>
        <v>7</v>
      </c>
      <c r="J3666" s="101">
        <v>79397</v>
      </c>
      <c r="K3666" s="87" t="s">
        <v>7</v>
      </c>
      <c r="L3666" s="108"/>
      <c r="M3666" s="108"/>
      <c r="N3666" s="108" t="str">
        <v>P572H758</v>
      </c>
      <c r="O3666" s="108">
        <f t="shared" si="59"/>
        <v>1</v>
      </c>
      <c r="P3666" s="108"/>
      <c r="Q3666"/>
    </row>
    <row r="3667" spans="1:17" x14ac:dyDescent="0.25">
      <c r="A3667" s="89" t="s">
        <v>11226</v>
      </c>
      <c r="B3667" s="87" t="s">
        <v>11227</v>
      </c>
      <c r="C3667" s="87" t="s">
        <v>10</v>
      </c>
      <c r="D3667" s="87" t="str">
        <f>VLOOKUP(Tabela1[[#This Row],[Origem]], 'Perguntas 1 a 24'!$J$28:$K$34, 2, 0)</f>
        <v>Centro-Oeste</v>
      </c>
      <c r="E3667" s="87" t="str">
        <f>Tabela1[[#This Row],[Descrição]]&amp;"-"&amp;Tabela1[[#This Row],[Código]]&amp;"/"&amp;Tabela1[[#This Row],[Origem]]</f>
        <v>Cipomo-H224P229/GO</v>
      </c>
      <c r="F3667" s="88">
        <v>47694</v>
      </c>
      <c r="G3667" s="88" t="str" cm="1">
        <f t="array" ref="G36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AND(F3667&gt;= DATE(2026,1,1), F3667&lt;= DATE(2028, 12, 31), J3667&gt;50000), "Pendente e Caro", AND(F3667&gt;= DATE(2026,1,1), F3667&lt;= DATE(2028, 12, 31), J3667&lt;=50000), "Pendente", F3667&gt;= DATE(2029,1,1), "Não prioeitário")</f>
        <v>Não prioeitário</v>
      </c>
      <c r="H3667" s="89">
        <f>YEAR(Tabela1[[#This Row],[Data de Validade]])</f>
        <v>2030</v>
      </c>
      <c r="I3667" s="89">
        <f>MONTH(Tabela1[[#This Row],[Data de Validade]])</f>
        <v>7</v>
      </c>
      <c r="J3667" s="101">
        <v>79192</v>
      </c>
      <c r="K3667" s="87" t="s">
        <v>9</v>
      </c>
      <c r="L3667" s="108"/>
      <c r="M3667" s="108"/>
      <c r="N3667" s="108" t="str">
        <v>H813H463</v>
      </c>
      <c r="O3667" s="108">
        <f t="shared" si="59"/>
        <v>1</v>
      </c>
      <c r="P3667" s="108"/>
      <c r="Q3667"/>
    </row>
    <row r="3668" spans="1:17" x14ac:dyDescent="0.25">
      <c r="A3668" s="89" t="s">
        <v>8779</v>
      </c>
      <c r="B3668" s="87" t="s">
        <v>8780</v>
      </c>
      <c r="C3668" s="87" t="s">
        <v>12</v>
      </c>
      <c r="D3668" s="87" t="str">
        <f>VLOOKUP(Tabela1[[#This Row],[Origem]], 'Perguntas 1 a 24'!$J$28:$K$34, 2, 0)</f>
        <v>Sudeste</v>
      </c>
      <c r="E3668" s="87" t="str">
        <f>Tabela1[[#This Row],[Descrição]]&amp;"-"&amp;Tabela1[[#This Row],[Código]]&amp;"/"&amp;Tabela1[[#This Row],[Origem]]</f>
        <v>Rironegi-H459H423/RJ</v>
      </c>
      <c r="F3668" s="88">
        <v>47694</v>
      </c>
      <c r="G3668" s="88" t="str" cm="1">
        <f t="array" ref="G36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AND(F3668&gt;= DATE(2026,1,1), F3668&lt;= DATE(2028, 12, 31), J3668&gt;50000), "Pendente e Caro", AND(F3668&gt;= DATE(2026,1,1), F3668&lt;= DATE(2028, 12, 31), J3668&lt;=50000), "Pendente", F3668&gt;= DATE(2029,1,1), "Não prioeitário")</f>
        <v>Não prioeitário</v>
      </c>
      <c r="H3668" s="89">
        <f>YEAR(Tabela1[[#This Row],[Data de Validade]])</f>
        <v>2030</v>
      </c>
      <c r="I3668" s="89">
        <f>MONTH(Tabela1[[#This Row],[Data de Validade]])</f>
        <v>7</v>
      </c>
      <c r="J3668" s="101">
        <v>76842</v>
      </c>
      <c r="K3668" s="87" t="s">
        <v>14</v>
      </c>
      <c r="L3668" s="108"/>
      <c r="M3668" s="108"/>
      <c r="N3668" s="108" t="str">
        <v>H355H819</v>
      </c>
      <c r="O3668" s="108">
        <f t="shared" si="59"/>
        <v>1</v>
      </c>
      <c r="P3668" s="108"/>
      <c r="Q3668"/>
    </row>
    <row r="3669" spans="1:17" x14ac:dyDescent="0.25">
      <c r="A3669" s="89" t="s">
        <v>7474</v>
      </c>
      <c r="B3669" s="87" t="s">
        <v>7475</v>
      </c>
      <c r="C3669" s="87" t="s">
        <v>8</v>
      </c>
      <c r="D3669" s="87" t="str">
        <f>VLOOKUP(Tabela1[[#This Row],[Origem]], 'Perguntas 1 a 24'!$J$28:$K$34, 2, 0)</f>
        <v>Nordeste</v>
      </c>
      <c r="E3669" s="87" t="str">
        <f>Tabela1[[#This Row],[Descrição]]&amp;"-"&amp;Tabela1[[#This Row],[Código]]&amp;"/"&amp;Tabela1[[#This Row],[Origem]]</f>
        <v>Vepupapa-P697P922/AL</v>
      </c>
      <c r="F3669" s="88">
        <v>47694</v>
      </c>
      <c r="G3669" s="88" t="str" cm="1">
        <f t="array" ref="G36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AND(F3669&gt;= DATE(2026,1,1), F3669&lt;= DATE(2028, 12, 31), J3669&gt;50000), "Pendente e Caro", AND(F3669&gt;= DATE(2026,1,1), F3669&lt;= DATE(2028, 12, 31), J3669&lt;=50000), "Pendente", F3669&gt;= DATE(2029,1,1), "Não prioeitário")</f>
        <v>Não prioeitário</v>
      </c>
      <c r="H3669" s="89">
        <f>YEAR(Tabela1[[#This Row],[Data de Validade]])</f>
        <v>2030</v>
      </c>
      <c r="I3669" s="89">
        <f>MONTH(Tabela1[[#This Row],[Data de Validade]])</f>
        <v>7</v>
      </c>
      <c r="J3669" s="101">
        <v>34442</v>
      </c>
      <c r="K3669" s="87" t="s">
        <v>9</v>
      </c>
      <c r="L3669" s="108"/>
      <c r="M3669" s="108"/>
      <c r="N3669" s="108" t="str">
        <v>H668H498</v>
      </c>
      <c r="O3669" s="108">
        <f t="shared" si="59"/>
        <v>1</v>
      </c>
      <c r="P3669" s="108"/>
      <c r="Q3669"/>
    </row>
    <row r="3670" spans="1:17" x14ac:dyDescent="0.25">
      <c r="A3670" s="89" t="s">
        <v>5460</v>
      </c>
      <c r="B3670" s="87" t="s">
        <v>5461</v>
      </c>
      <c r="C3670" s="87" t="s">
        <v>6</v>
      </c>
      <c r="D3670" s="87" t="str">
        <f>VLOOKUP(Tabela1[[#This Row],[Origem]], 'Perguntas 1 a 24'!$J$28:$K$34, 2, 0)</f>
        <v>Nordeste</v>
      </c>
      <c r="E3670" s="87" t="str">
        <f>Tabela1[[#This Row],[Descrição]]&amp;"-"&amp;Tabela1[[#This Row],[Código]]&amp;"/"&amp;Tabela1[[#This Row],[Origem]]</f>
        <v>Vigopurutu-H776P365/MA</v>
      </c>
      <c r="F3670" s="88">
        <v>47695</v>
      </c>
      <c r="G3670" s="88" t="str" cm="1">
        <f t="array" ref="G36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AND(F3670&gt;= DATE(2026,1,1), F3670&lt;= DATE(2028, 12, 31), J3670&gt;50000), "Pendente e Caro", AND(F3670&gt;= DATE(2026,1,1), F3670&lt;= DATE(2028, 12, 31), J3670&lt;=50000), "Pendente", F3670&gt;= DATE(2029,1,1), "Não prioeitário")</f>
        <v>Não prioeitário</v>
      </c>
      <c r="H3670" s="89">
        <f>YEAR(Tabela1[[#This Row],[Data de Validade]])</f>
        <v>2030</v>
      </c>
      <c r="I3670" s="89">
        <f>MONTH(Tabela1[[#This Row],[Data de Validade]])</f>
        <v>7</v>
      </c>
      <c r="J3670" s="101">
        <v>119889</v>
      </c>
      <c r="K3670" s="87" t="s">
        <v>11</v>
      </c>
      <c r="L3670" s="108"/>
      <c r="M3670" s="108"/>
      <c r="N3670" s="108" t="str">
        <v>H578H392</v>
      </c>
      <c r="O3670" s="108">
        <f t="shared" si="59"/>
        <v>1</v>
      </c>
      <c r="P3670" s="108"/>
      <c r="Q3670"/>
    </row>
    <row r="3671" spans="1:17" x14ac:dyDescent="0.25">
      <c r="A3671" s="89" t="s">
        <v>8971</v>
      </c>
      <c r="B3671" s="87" t="s">
        <v>8972</v>
      </c>
      <c r="C3671" s="87" t="s">
        <v>15</v>
      </c>
      <c r="D3671" s="87" t="str">
        <f>VLOOKUP(Tabela1[[#This Row],[Origem]], 'Perguntas 1 a 24'!$J$28:$K$34, 2, 0)</f>
        <v>Sudeste</v>
      </c>
      <c r="E3671" s="87" t="str">
        <f>Tabela1[[#This Row],[Descrição]]&amp;"-"&amp;Tabela1[[#This Row],[Código]]&amp;"/"&amp;Tabela1[[#This Row],[Origem]]</f>
        <v>Pelunicupu-P467P841/ES</v>
      </c>
      <c r="F3671" s="88">
        <v>47695</v>
      </c>
      <c r="G3671" s="88" t="str" cm="1">
        <f t="array" ref="G36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AND(F3671&gt;= DATE(2026,1,1), F3671&lt;= DATE(2028, 12, 31), J3671&gt;50000), "Pendente e Caro", AND(F3671&gt;= DATE(2026,1,1), F3671&lt;= DATE(2028, 12, 31), J3671&lt;=50000), "Pendente", F3671&gt;= DATE(2029,1,1), "Não prioeitário")</f>
        <v>Não prioeitário</v>
      </c>
      <c r="H3671" s="89">
        <f>YEAR(Tabela1[[#This Row],[Data de Validade]])</f>
        <v>2030</v>
      </c>
      <c r="I3671" s="89">
        <f>MONTH(Tabela1[[#This Row],[Data de Validade]])</f>
        <v>7</v>
      </c>
      <c r="J3671" s="101">
        <v>43016</v>
      </c>
      <c r="K3671" s="87" t="s">
        <v>11</v>
      </c>
      <c r="L3671" s="108"/>
      <c r="M3671" s="108"/>
      <c r="N3671" s="108" t="str">
        <v>P918H812</v>
      </c>
      <c r="O3671" s="108">
        <f t="shared" si="59"/>
        <v>1</v>
      </c>
      <c r="P3671" s="108"/>
      <c r="Q3671"/>
    </row>
    <row r="3672" spans="1:17" x14ac:dyDescent="0.25">
      <c r="A3672" s="89" t="s">
        <v>10473</v>
      </c>
      <c r="B3672" s="87" t="s">
        <v>10474</v>
      </c>
      <c r="C3672" s="87" t="s">
        <v>10</v>
      </c>
      <c r="D3672" s="87" t="str">
        <f>VLOOKUP(Tabela1[[#This Row],[Origem]], 'Perguntas 1 a 24'!$J$28:$K$34, 2, 0)</f>
        <v>Centro-Oeste</v>
      </c>
      <c r="E3672" s="87" t="str">
        <f>Tabela1[[#This Row],[Descrição]]&amp;"-"&amp;Tabela1[[#This Row],[Código]]&amp;"/"&amp;Tabela1[[#This Row],[Origem]]</f>
        <v>Ripuru-H371P855/GO</v>
      </c>
      <c r="F3672" s="88">
        <v>47695</v>
      </c>
      <c r="G3672" s="88" t="str" cm="1">
        <f t="array" ref="G36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AND(F3672&gt;= DATE(2026,1,1), F3672&lt;= DATE(2028, 12, 31), J3672&gt;50000), "Pendente e Caro", AND(F3672&gt;= DATE(2026,1,1), F3672&lt;= DATE(2028, 12, 31), J3672&lt;=50000), "Pendente", F3672&gt;= DATE(2029,1,1), "Não prioeitário")</f>
        <v>Não prioeitário</v>
      </c>
      <c r="H3672" s="89">
        <f>YEAR(Tabela1[[#This Row],[Data de Validade]])</f>
        <v>2030</v>
      </c>
      <c r="I3672" s="89">
        <f>MONTH(Tabela1[[#This Row],[Data de Validade]])</f>
        <v>7</v>
      </c>
      <c r="J3672" s="101">
        <v>31930</v>
      </c>
      <c r="K3672" s="87" t="s">
        <v>14</v>
      </c>
      <c r="L3672" s="108"/>
      <c r="M3672" s="108"/>
      <c r="N3672" s="108" t="str">
        <v>H412H122</v>
      </c>
      <c r="O3672" s="108">
        <f t="shared" si="59"/>
        <v>1</v>
      </c>
      <c r="P3672" s="108"/>
      <c r="Q3672"/>
    </row>
    <row r="3673" spans="1:17" x14ac:dyDescent="0.25">
      <c r="A3673" s="89" t="s">
        <v>7468</v>
      </c>
      <c r="B3673" s="87" t="s">
        <v>7469</v>
      </c>
      <c r="C3673" s="87" t="s">
        <v>8</v>
      </c>
      <c r="D3673" s="87" t="str">
        <f>VLOOKUP(Tabela1[[#This Row],[Origem]], 'Perguntas 1 a 24'!$J$28:$K$34, 2, 0)</f>
        <v>Nordeste</v>
      </c>
      <c r="E3673" s="87" t="str">
        <f>Tabela1[[#This Row],[Descrição]]&amp;"-"&amp;Tabela1[[#This Row],[Código]]&amp;"/"&amp;Tabela1[[#This Row],[Origem]]</f>
        <v>Mucilitire-H498H238/AL</v>
      </c>
      <c r="F3673" s="88">
        <v>47696</v>
      </c>
      <c r="G3673" s="88" t="str" cm="1">
        <f t="array" ref="G36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AND(F3673&gt;= DATE(2026,1,1), F3673&lt;= DATE(2028, 12, 31), J3673&gt;50000), "Pendente e Caro", AND(F3673&gt;= DATE(2026,1,1), F3673&lt;= DATE(2028, 12, 31), J3673&lt;=50000), "Pendente", F3673&gt;= DATE(2029,1,1), "Não prioeitário")</f>
        <v>Não prioeitário</v>
      </c>
      <c r="H3673" s="89">
        <f>YEAR(Tabela1[[#This Row],[Data de Validade]])</f>
        <v>2030</v>
      </c>
      <c r="I3673" s="89">
        <f>MONTH(Tabela1[[#This Row],[Data de Validade]])</f>
        <v>8</v>
      </c>
      <c r="J3673" s="101">
        <v>110259</v>
      </c>
      <c r="K3673" s="87" t="s">
        <v>7</v>
      </c>
      <c r="L3673" s="108"/>
      <c r="M3673" s="108"/>
      <c r="N3673" s="108" t="str">
        <v>P471P397</v>
      </c>
      <c r="O3673" s="108">
        <f t="shared" si="59"/>
        <v>1</v>
      </c>
      <c r="P3673" s="108"/>
      <c r="Q3673"/>
    </row>
    <row r="3674" spans="1:17" x14ac:dyDescent="0.25">
      <c r="A3674" s="89" t="s">
        <v>9025</v>
      </c>
      <c r="B3674" s="87" t="s">
        <v>9026</v>
      </c>
      <c r="C3674" s="87" t="s">
        <v>12</v>
      </c>
      <c r="D3674" s="87" t="str">
        <f>VLOOKUP(Tabela1[[#This Row],[Origem]], 'Perguntas 1 a 24'!$J$28:$K$34, 2, 0)</f>
        <v>Sudeste</v>
      </c>
      <c r="E3674" s="87" t="str">
        <f>Tabela1[[#This Row],[Descrição]]&amp;"-"&amp;Tabela1[[#This Row],[Código]]&amp;"/"&amp;Tabela1[[#This Row],[Origem]]</f>
        <v>Rapotopi-H689P945/RJ</v>
      </c>
      <c r="F3674" s="88">
        <v>47696</v>
      </c>
      <c r="G3674" s="88" t="str" cm="1">
        <f t="array" ref="G36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AND(F3674&gt;= DATE(2026,1,1), F3674&lt;= DATE(2028, 12, 31), J3674&gt;50000), "Pendente e Caro", AND(F3674&gt;= DATE(2026,1,1), F3674&lt;= DATE(2028, 12, 31), J3674&lt;=50000), "Pendente", F3674&gt;= DATE(2029,1,1), "Não prioeitário")</f>
        <v>Não prioeitário</v>
      </c>
      <c r="H3674" s="89">
        <f>YEAR(Tabela1[[#This Row],[Data de Validade]])</f>
        <v>2030</v>
      </c>
      <c r="I3674" s="89">
        <f>MONTH(Tabela1[[#This Row],[Data de Validade]])</f>
        <v>8</v>
      </c>
      <c r="J3674" s="101">
        <v>21008</v>
      </c>
      <c r="K3674" s="87" t="s">
        <v>7</v>
      </c>
      <c r="L3674" s="108"/>
      <c r="M3674" s="108"/>
      <c r="N3674" s="108" t="str">
        <v>H945P214</v>
      </c>
      <c r="O3674" s="108">
        <f t="shared" si="59"/>
        <v>1</v>
      </c>
      <c r="P3674" s="108"/>
      <c r="Q3674"/>
    </row>
    <row r="3675" spans="1:17" x14ac:dyDescent="0.25">
      <c r="A3675" s="89" t="s">
        <v>5784</v>
      </c>
      <c r="B3675" s="87" t="s">
        <v>5785</v>
      </c>
      <c r="C3675" s="87" t="s">
        <v>13</v>
      </c>
      <c r="D3675" s="87" t="str">
        <f>VLOOKUP(Tabela1[[#This Row],[Origem]], 'Perguntas 1 a 24'!$J$28:$K$34, 2, 0)</f>
        <v>Sudeste</v>
      </c>
      <c r="E3675" s="87" t="str">
        <f>Tabela1[[#This Row],[Descrição]]&amp;"-"&amp;Tabela1[[#This Row],[Código]]&amp;"/"&amp;Tabela1[[#This Row],[Origem]]</f>
        <v>Tuvife-H726H325/SP</v>
      </c>
      <c r="F3675" s="88">
        <v>47698</v>
      </c>
      <c r="G3675" s="88" t="str" cm="1">
        <f t="array" ref="G36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AND(F3675&gt;= DATE(2026,1,1), F3675&lt;= DATE(2028, 12, 31), J3675&gt;50000), "Pendente e Caro", AND(F3675&gt;= DATE(2026,1,1), F3675&lt;= DATE(2028, 12, 31), J3675&lt;=50000), "Pendente", F3675&gt;= DATE(2029,1,1), "Não prioeitário")</f>
        <v>Não prioeitário</v>
      </c>
      <c r="H3675" s="89">
        <f>YEAR(Tabela1[[#This Row],[Data de Validade]])</f>
        <v>2030</v>
      </c>
      <c r="I3675" s="89">
        <f>MONTH(Tabela1[[#This Row],[Data de Validade]])</f>
        <v>8</v>
      </c>
      <c r="J3675" s="101">
        <v>55495</v>
      </c>
      <c r="K3675" s="87" t="s">
        <v>11</v>
      </c>
      <c r="L3675" s="108"/>
      <c r="M3675" s="108"/>
      <c r="N3675" s="108" t="str">
        <v>H118P468</v>
      </c>
      <c r="O3675" s="108">
        <f t="shared" si="59"/>
        <v>1</v>
      </c>
      <c r="P3675" s="108"/>
      <c r="Q3675"/>
    </row>
    <row r="3676" spans="1:17" x14ac:dyDescent="0.25">
      <c r="A3676" s="89" t="s">
        <v>7038</v>
      </c>
      <c r="B3676" s="87" t="s">
        <v>7039</v>
      </c>
      <c r="C3676" s="87" t="s">
        <v>8</v>
      </c>
      <c r="D3676" s="87" t="str">
        <f>VLOOKUP(Tabela1[[#This Row],[Origem]], 'Perguntas 1 a 24'!$J$28:$K$34, 2, 0)</f>
        <v>Nordeste</v>
      </c>
      <c r="E3676" s="87" t="str">
        <f>Tabela1[[#This Row],[Descrição]]&amp;"-"&amp;Tabela1[[#This Row],[Código]]&amp;"/"&amp;Tabela1[[#This Row],[Origem]]</f>
        <v>Rufotumapi-P936H911/AL</v>
      </c>
      <c r="F3676" s="88">
        <v>47699</v>
      </c>
      <c r="G3676" s="88" t="str" cm="1">
        <f t="array" ref="G36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AND(F3676&gt;= DATE(2026,1,1), F3676&lt;= DATE(2028, 12, 31), J3676&gt;50000), "Pendente e Caro", AND(F3676&gt;= DATE(2026,1,1), F3676&lt;= DATE(2028, 12, 31), J3676&lt;=50000), "Pendente", F3676&gt;= DATE(2029,1,1), "Não prioeitário")</f>
        <v>Não prioeitário</v>
      </c>
      <c r="H3676" s="89">
        <f>YEAR(Tabela1[[#This Row],[Data de Validade]])</f>
        <v>2030</v>
      </c>
      <c r="I3676" s="89">
        <f>MONTH(Tabela1[[#This Row],[Data de Validade]])</f>
        <v>8</v>
      </c>
      <c r="J3676" s="101">
        <v>94136</v>
      </c>
      <c r="K3676" s="87" t="s">
        <v>7</v>
      </c>
      <c r="L3676" s="108"/>
      <c r="M3676" s="108"/>
      <c r="N3676" s="108" t="str">
        <v>H966P977</v>
      </c>
      <c r="O3676" s="108">
        <f t="shared" si="59"/>
        <v>1</v>
      </c>
      <c r="P3676" s="108"/>
      <c r="Q3676"/>
    </row>
    <row r="3677" spans="1:17" x14ac:dyDescent="0.25">
      <c r="A3677" s="89" t="s">
        <v>8446</v>
      </c>
      <c r="B3677" s="87" t="s">
        <v>8447</v>
      </c>
      <c r="C3677" s="87" t="s">
        <v>16</v>
      </c>
      <c r="D3677" s="87" t="str">
        <f>VLOOKUP(Tabela1[[#This Row],[Origem]], 'Perguntas 1 a 24'!$J$28:$K$34, 2, 0)</f>
        <v>Sudeste</v>
      </c>
      <c r="E3677" s="87" t="str">
        <f>Tabela1[[#This Row],[Descrição]]&amp;"-"&amp;Tabela1[[#This Row],[Código]]&amp;"/"&amp;Tabela1[[#This Row],[Origem]]</f>
        <v>Pecuropelu-H236H877/MG</v>
      </c>
      <c r="F3677" s="88">
        <v>47699</v>
      </c>
      <c r="G3677" s="88" t="str" cm="1">
        <f t="array" ref="G36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AND(F3677&gt;= DATE(2026,1,1), F3677&lt;= DATE(2028, 12, 31), J3677&gt;50000), "Pendente e Caro", AND(F3677&gt;= DATE(2026,1,1), F3677&lt;= DATE(2028, 12, 31), J3677&lt;=50000), "Pendente", F3677&gt;= DATE(2029,1,1), "Não prioeitário")</f>
        <v>Não prioeitário</v>
      </c>
      <c r="H3677" s="89">
        <f>YEAR(Tabela1[[#This Row],[Data de Validade]])</f>
        <v>2030</v>
      </c>
      <c r="I3677" s="89">
        <f>MONTH(Tabela1[[#This Row],[Data de Validade]])</f>
        <v>8</v>
      </c>
      <c r="J3677" s="101">
        <v>86849</v>
      </c>
      <c r="K3677" s="87" t="s">
        <v>14</v>
      </c>
      <c r="L3677" s="108"/>
      <c r="M3677" s="108"/>
      <c r="N3677" s="108" t="str">
        <v>H865H735</v>
      </c>
      <c r="O3677" s="108">
        <f t="shared" si="59"/>
        <v>1</v>
      </c>
      <c r="P3677" s="108"/>
      <c r="Q3677"/>
    </row>
    <row r="3678" spans="1:17" x14ac:dyDescent="0.25">
      <c r="A3678" s="89" t="s">
        <v>10783</v>
      </c>
      <c r="B3678" s="87" t="s">
        <v>10784</v>
      </c>
      <c r="C3678" s="87" t="s">
        <v>8</v>
      </c>
      <c r="D3678" s="87" t="str">
        <f>VLOOKUP(Tabela1[[#This Row],[Origem]], 'Perguntas 1 a 24'!$J$28:$K$34, 2, 0)</f>
        <v>Nordeste</v>
      </c>
      <c r="E3678" s="87" t="str">
        <f>Tabela1[[#This Row],[Descrição]]&amp;"-"&amp;Tabela1[[#This Row],[Código]]&amp;"/"&amp;Tabela1[[#This Row],[Origem]]</f>
        <v>Teregi-H371P465/AL</v>
      </c>
      <c r="F3678" s="88">
        <v>47699</v>
      </c>
      <c r="G3678" s="88" t="str" cm="1">
        <f t="array" ref="G36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AND(F3678&gt;= DATE(2026,1,1), F3678&lt;= DATE(2028, 12, 31), J3678&gt;50000), "Pendente e Caro", AND(F3678&gt;= DATE(2026,1,1), F3678&lt;= DATE(2028, 12, 31), J3678&lt;=50000), "Pendente", F3678&gt;= DATE(2029,1,1), "Não prioeitário")</f>
        <v>Não prioeitário</v>
      </c>
      <c r="H3678" s="89">
        <f>YEAR(Tabela1[[#This Row],[Data de Validade]])</f>
        <v>2030</v>
      </c>
      <c r="I3678" s="89">
        <f>MONTH(Tabela1[[#This Row],[Data de Validade]])</f>
        <v>8</v>
      </c>
      <c r="J3678" s="101">
        <v>64347</v>
      </c>
      <c r="K3678" s="87" t="s">
        <v>11</v>
      </c>
      <c r="L3678" s="108"/>
      <c r="M3678" s="108"/>
      <c r="N3678" s="108" t="str">
        <v>H274H582</v>
      </c>
      <c r="O3678" s="108">
        <f t="shared" si="59"/>
        <v>1</v>
      </c>
      <c r="P3678" s="108"/>
      <c r="Q3678"/>
    </row>
    <row r="3679" spans="1:17" x14ac:dyDescent="0.25">
      <c r="A3679" s="89" t="s">
        <v>11016</v>
      </c>
      <c r="B3679" s="87" t="s">
        <v>11017</v>
      </c>
      <c r="C3679" s="87" t="s">
        <v>16</v>
      </c>
      <c r="D3679" s="87" t="str">
        <f>VLOOKUP(Tabela1[[#This Row],[Origem]], 'Perguntas 1 a 24'!$J$28:$K$34, 2, 0)</f>
        <v>Sudeste</v>
      </c>
      <c r="E3679" s="87" t="str">
        <f>Tabela1[[#This Row],[Descrição]]&amp;"-"&amp;Tabela1[[#This Row],[Código]]&amp;"/"&amp;Tabela1[[#This Row],[Origem]]</f>
        <v>Gocale-P572H758/MG</v>
      </c>
      <c r="F3679" s="88">
        <v>47700</v>
      </c>
      <c r="G3679" s="88" t="str" cm="1">
        <f t="array" ref="G36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AND(F3679&gt;= DATE(2026,1,1), F3679&lt;= DATE(2028, 12, 31), J3679&gt;50000), "Pendente e Caro", AND(F3679&gt;= DATE(2026,1,1), F3679&lt;= DATE(2028, 12, 31), J3679&lt;=50000), "Pendente", F3679&gt;= DATE(2029,1,1), "Não prioeitário")</f>
        <v>Não prioeitário</v>
      </c>
      <c r="H3679" s="89">
        <f>YEAR(Tabela1[[#This Row],[Data de Validade]])</f>
        <v>2030</v>
      </c>
      <c r="I3679" s="89">
        <f>MONTH(Tabela1[[#This Row],[Data de Validade]])</f>
        <v>8</v>
      </c>
      <c r="J3679" s="101">
        <v>71081</v>
      </c>
      <c r="K3679" s="87" t="s">
        <v>11</v>
      </c>
      <c r="L3679" s="108"/>
      <c r="M3679" s="108"/>
      <c r="N3679" s="108" t="str">
        <v>H835P991</v>
      </c>
      <c r="O3679" s="108">
        <f t="shared" si="59"/>
        <v>1</v>
      </c>
      <c r="P3679" s="108"/>
      <c r="Q3679"/>
    </row>
    <row r="3680" spans="1:17" x14ac:dyDescent="0.25">
      <c r="A3680" s="89" t="s">
        <v>4070</v>
      </c>
      <c r="B3680" s="87" t="s">
        <v>4071</v>
      </c>
      <c r="C3680" s="87" t="s">
        <v>6</v>
      </c>
      <c r="D3680" s="87" t="str">
        <f>VLOOKUP(Tabela1[[#This Row],[Origem]], 'Perguntas 1 a 24'!$J$28:$K$34, 2, 0)</f>
        <v>Nordeste</v>
      </c>
      <c r="E3680" s="87" t="str">
        <f>Tabela1[[#This Row],[Descrição]]&amp;"-"&amp;Tabela1[[#This Row],[Código]]&amp;"/"&amp;Tabela1[[#This Row],[Origem]]</f>
        <v>Marofacavo-H813H463/MA</v>
      </c>
      <c r="F3680" s="88">
        <v>47700</v>
      </c>
      <c r="G3680" s="88" t="str" cm="1">
        <f t="array" ref="G36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AND(F3680&gt;= DATE(2026,1,1), F3680&lt;= DATE(2028, 12, 31), J3680&gt;50000), "Pendente e Caro", AND(F3680&gt;= DATE(2026,1,1), F3680&lt;= DATE(2028, 12, 31), J3680&lt;=50000), "Pendente", F3680&gt;= DATE(2029,1,1), "Não prioeitário")</f>
        <v>Não prioeitário</v>
      </c>
      <c r="H3680" s="89">
        <f>YEAR(Tabela1[[#This Row],[Data de Validade]])</f>
        <v>2030</v>
      </c>
      <c r="I3680" s="89">
        <f>MONTH(Tabela1[[#This Row],[Data de Validade]])</f>
        <v>8</v>
      </c>
      <c r="J3680" s="101">
        <v>56824</v>
      </c>
      <c r="K3680" s="87" t="s">
        <v>9</v>
      </c>
      <c r="L3680" s="108"/>
      <c r="M3680" s="108"/>
      <c r="N3680" s="108" t="str">
        <v>P692P356</v>
      </c>
      <c r="O3680" s="108">
        <f t="shared" si="59"/>
        <v>1</v>
      </c>
      <c r="P3680" s="108"/>
      <c r="Q3680"/>
    </row>
    <row r="3681" spans="1:17" x14ac:dyDescent="0.25">
      <c r="A3681" s="89" t="s">
        <v>11214</v>
      </c>
      <c r="B3681" s="87" t="s">
        <v>11215</v>
      </c>
      <c r="C3681" s="87" t="s">
        <v>8</v>
      </c>
      <c r="D3681" s="87" t="str">
        <f>VLOOKUP(Tabela1[[#This Row],[Origem]], 'Perguntas 1 a 24'!$J$28:$K$34, 2, 0)</f>
        <v>Nordeste</v>
      </c>
      <c r="E3681" s="87" t="str">
        <f>Tabela1[[#This Row],[Descrição]]&amp;"-"&amp;Tabela1[[#This Row],[Código]]&amp;"/"&amp;Tabela1[[#This Row],[Origem]]</f>
        <v>Galunapu-H355H819/AL</v>
      </c>
      <c r="F3681" s="88">
        <v>47700</v>
      </c>
      <c r="G3681" s="88" t="str" cm="1">
        <f t="array" ref="G36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AND(F3681&gt;= DATE(2026,1,1), F3681&lt;= DATE(2028, 12, 31), J3681&gt;50000), "Pendente e Caro", AND(F3681&gt;= DATE(2026,1,1), F3681&lt;= DATE(2028, 12, 31), J3681&lt;=50000), "Pendente", F3681&gt;= DATE(2029,1,1), "Não prioeitário")</f>
        <v>Não prioeitário</v>
      </c>
      <c r="H3681" s="89">
        <f>YEAR(Tabela1[[#This Row],[Data de Validade]])</f>
        <v>2030</v>
      </c>
      <c r="I3681" s="89">
        <f>MONTH(Tabela1[[#This Row],[Data de Validade]])</f>
        <v>8</v>
      </c>
      <c r="J3681" s="101">
        <v>39451</v>
      </c>
      <c r="K3681" s="87" t="s">
        <v>7</v>
      </c>
      <c r="L3681" s="108"/>
      <c r="M3681" s="108"/>
      <c r="N3681" s="108" t="str">
        <v>H836P281</v>
      </c>
      <c r="O3681" s="108">
        <f t="shared" si="59"/>
        <v>1</v>
      </c>
      <c r="P3681" s="108"/>
      <c r="Q3681"/>
    </row>
    <row r="3682" spans="1:17" x14ac:dyDescent="0.25">
      <c r="A3682" s="89" t="s">
        <v>7946</v>
      </c>
      <c r="B3682" s="87" t="s">
        <v>7947</v>
      </c>
      <c r="C3682" s="87" t="s">
        <v>15</v>
      </c>
      <c r="D3682" s="87" t="str">
        <f>VLOOKUP(Tabela1[[#This Row],[Origem]], 'Perguntas 1 a 24'!$J$28:$K$34, 2, 0)</f>
        <v>Sudeste</v>
      </c>
      <c r="E3682" s="87" t="str">
        <f>Tabela1[[#This Row],[Descrição]]&amp;"-"&amp;Tabela1[[#This Row],[Código]]&amp;"/"&amp;Tabela1[[#This Row],[Origem]]</f>
        <v>Rupamomepo-H668H498/ES</v>
      </c>
      <c r="F3682" s="88">
        <v>47700</v>
      </c>
      <c r="G3682" s="88" t="str" cm="1">
        <f t="array" ref="G36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AND(F3682&gt;= DATE(2026,1,1), F3682&lt;= DATE(2028, 12, 31), J3682&gt;50000), "Pendente e Caro", AND(F3682&gt;= DATE(2026,1,1), F3682&lt;= DATE(2028, 12, 31), J3682&lt;=50000), "Pendente", F3682&gt;= DATE(2029,1,1), "Não prioeitário")</f>
        <v>Não prioeitário</v>
      </c>
      <c r="H3682" s="89">
        <f>YEAR(Tabela1[[#This Row],[Data de Validade]])</f>
        <v>2030</v>
      </c>
      <c r="I3682" s="89">
        <f>MONTH(Tabela1[[#This Row],[Data de Validade]])</f>
        <v>8</v>
      </c>
      <c r="J3682" s="101">
        <v>35391</v>
      </c>
      <c r="K3682" s="87" t="s">
        <v>9</v>
      </c>
      <c r="L3682" s="108"/>
      <c r="M3682" s="108"/>
      <c r="N3682" s="108" t="str">
        <v>H994P121</v>
      </c>
      <c r="O3682" s="108">
        <f t="shared" si="59"/>
        <v>1</v>
      </c>
      <c r="P3682" s="108"/>
      <c r="Q3682"/>
    </row>
    <row r="3683" spans="1:17" x14ac:dyDescent="0.25">
      <c r="A3683" s="89" t="s">
        <v>4389</v>
      </c>
      <c r="B3683" s="87" t="s">
        <v>4390</v>
      </c>
      <c r="C3683" s="87" t="s">
        <v>10</v>
      </c>
      <c r="D3683" s="87" t="str">
        <f>VLOOKUP(Tabela1[[#This Row],[Origem]], 'Perguntas 1 a 24'!$J$28:$K$34, 2, 0)</f>
        <v>Centro-Oeste</v>
      </c>
      <c r="E3683" s="87" t="str">
        <f>Tabela1[[#This Row],[Descrição]]&amp;"-"&amp;Tabela1[[#This Row],[Código]]&amp;"/"&amp;Tabela1[[#This Row],[Origem]]</f>
        <v>Potutamece-H578H392/GO</v>
      </c>
      <c r="F3683" s="88">
        <v>47701</v>
      </c>
      <c r="G3683" s="88" t="str" cm="1">
        <f t="array" ref="G36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AND(F3683&gt;= DATE(2026,1,1), F3683&lt;= DATE(2028, 12, 31), J3683&gt;50000), "Pendente e Caro", AND(F3683&gt;= DATE(2026,1,1), F3683&lt;= DATE(2028, 12, 31), J3683&lt;=50000), "Pendente", F3683&gt;= DATE(2029,1,1), "Não prioeitário")</f>
        <v>Não prioeitário</v>
      </c>
      <c r="H3683" s="89">
        <f>YEAR(Tabela1[[#This Row],[Data de Validade]])</f>
        <v>2030</v>
      </c>
      <c r="I3683" s="89">
        <f>MONTH(Tabela1[[#This Row],[Data de Validade]])</f>
        <v>8</v>
      </c>
      <c r="J3683" s="101">
        <v>98879</v>
      </c>
      <c r="K3683" s="87" t="s">
        <v>7</v>
      </c>
      <c r="L3683" s="108"/>
      <c r="M3683" s="108"/>
      <c r="N3683" s="108" t="str">
        <v>P836P985</v>
      </c>
      <c r="O3683" s="108">
        <f t="shared" si="59"/>
        <v>1</v>
      </c>
      <c r="P3683" s="108"/>
      <c r="Q3683"/>
    </row>
    <row r="3684" spans="1:17" x14ac:dyDescent="0.25">
      <c r="A3684" s="89" t="s">
        <v>6372</v>
      </c>
      <c r="B3684" s="87" t="s">
        <v>6373</v>
      </c>
      <c r="C3684" s="87" t="s">
        <v>6</v>
      </c>
      <c r="D3684" s="87" t="str">
        <f>VLOOKUP(Tabela1[[#This Row],[Origem]], 'Perguntas 1 a 24'!$J$28:$K$34, 2, 0)</f>
        <v>Nordeste</v>
      </c>
      <c r="E3684" s="87" t="str">
        <f>Tabela1[[#This Row],[Descrição]]&amp;"-"&amp;Tabela1[[#This Row],[Código]]&amp;"/"&amp;Tabela1[[#This Row],[Origem]]</f>
        <v>Rovori-P918H812/MA</v>
      </c>
      <c r="F3684" s="88">
        <v>47701</v>
      </c>
      <c r="G3684" s="88" t="str" cm="1">
        <f t="array" ref="G36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AND(F3684&gt;= DATE(2026,1,1), F3684&lt;= DATE(2028, 12, 31), J3684&gt;50000), "Pendente e Caro", AND(F3684&gt;= DATE(2026,1,1), F3684&lt;= DATE(2028, 12, 31), J3684&lt;=50000), "Pendente", F3684&gt;= DATE(2029,1,1), "Não prioeitário")</f>
        <v>Não prioeitário</v>
      </c>
      <c r="H3684" s="89">
        <f>YEAR(Tabela1[[#This Row],[Data de Validade]])</f>
        <v>2030</v>
      </c>
      <c r="I3684" s="89">
        <f>MONTH(Tabela1[[#This Row],[Data de Validade]])</f>
        <v>8</v>
      </c>
      <c r="J3684" s="101">
        <v>91131</v>
      </c>
      <c r="K3684" s="87" t="s">
        <v>9</v>
      </c>
      <c r="L3684" s="108"/>
      <c r="M3684" s="108"/>
      <c r="N3684" s="108" t="str">
        <v>H183P481</v>
      </c>
      <c r="O3684" s="108">
        <f t="shared" si="59"/>
        <v>1</v>
      </c>
      <c r="P3684" s="108"/>
      <c r="Q3684"/>
    </row>
    <row r="3685" spans="1:17" x14ac:dyDescent="0.25">
      <c r="A3685" s="89" t="s">
        <v>6640</v>
      </c>
      <c r="B3685" s="87" t="s">
        <v>6641</v>
      </c>
      <c r="C3685" s="87" t="s">
        <v>12</v>
      </c>
      <c r="D3685" s="87" t="str">
        <f>VLOOKUP(Tabela1[[#This Row],[Origem]], 'Perguntas 1 a 24'!$J$28:$K$34, 2, 0)</f>
        <v>Sudeste</v>
      </c>
      <c r="E3685" s="87" t="str">
        <f>Tabela1[[#This Row],[Descrição]]&amp;"-"&amp;Tabela1[[#This Row],[Código]]&amp;"/"&amp;Tabela1[[#This Row],[Origem]]</f>
        <v>Fipulepapa-H412H122/RJ</v>
      </c>
      <c r="F3685" s="88">
        <v>47701</v>
      </c>
      <c r="G3685" s="88" t="str" cm="1">
        <f t="array" ref="G36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AND(F3685&gt;= DATE(2026,1,1), F3685&lt;= DATE(2028, 12, 31), J3685&gt;50000), "Pendente e Caro", AND(F3685&gt;= DATE(2026,1,1), F3685&lt;= DATE(2028, 12, 31), J3685&lt;=50000), "Pendente", F3685&gt;= DATE(2029,1,1), "Não prioeitário")</f>
        <v>Não prioeitário</v>
      </c>
      <c r="H3685" s="89">
        <f>YEAR(Tabela1[[#This Row],[Data de Validade]])</f>
        <v>2030</v>
      </c>
      <c r="I3685" s="89">
        <f>MONTH(Tabela1[[#This Row],[Data de Validade]])</f>
        <v>8</v>
      </c>
      <c r="J3685" s="101">
        <v>75656</v>
      </c>
      <c r="K3685" s="87" t="s">
        <v>14</v>
      </c>
      <c r="L3685" s="108"/>
      <c r="M3685" s="108"/>
      <c r="N3685" s="108" t="str">
        <v>H329P744</v>
      </c>
      <c r="O3685" s="108">
        <f t="shared" si="59"/>
        <v>1</v>
      </c>
      <c r="P3685" s="108"/>
      <c r="Q3685"/>
    </row>
    <row r="3686" spans="1:17" x14ac:dyDescent="0.25">
      <c r="A3686" s="89" t="s">
        <v>9689</v>
      </c>
      <c r="B3686" s="87" t="s">
        <v>9690</v>
      </c>
      <c r="C3686" s="87" t="s">
        <v>12</v>
      </c>
      <c r="D3686" s="87" t="str">
        <f>VLOOKUP(Tabela1[[#This Row],[Origem]], 'Perguntas 1 a 24'!$J$28:$K$34, 2, 0)</f>
        <v>Sudeste</v>
      </c>
      <c r="E3686" s="87" t="str">
        <f>Tabela1[[#This Row],[Descrição]]&amp;"-"&amp;Tabela1[[#This Row],[Código]]&amp;"/"&amp;Tabela1[[#This Row],[Origem]]</f>
        <v>Tovicipe-P471P397/RJ</v>
      </c>
      <c r="F3686" s="88">
        <v>47701</v>
      </c>
      <c r="G3686" s="88" t="str" cm="1">
        <f t="array" ref="G36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AND(F3686&gt;= DATE(2026,1,1), F3686&lt;= DATE(2028, 12, 31), J3686&gt;50000), "Pendente e Caro", AND(F3686&gt;= DATE(2026,1,1), F3686&lt;= DATE(2028, 12, 31), J3686&lt;=50000), "Pendente", F3686&gt;= DATE(2029,1,1), "Não prioeitário")</f>
        <v>Não prioeitário</v>
      </c>
      <c r="H3686" s="89">
        <f>YEAR(Tabela1[[#This Row],[Data de Validade]])</f>
        <v>2030</v>
      </c>
      <c r="I3686" s="89">
        <f>MONTH(Tabela1[[#This Row],[Data de Validade]])</f>
        <v>8</v>
      </c>
      <c r="J3686" s="101">
        <v>56799</v>
      </c>
      <c r="K3686" s="87" t="s">
        <v>11</v>
      </c>
      <c r="L3686" s="108"/>
      <c r="M3686" s="108"/>
      <c r="N3686" s="108" t="str">
        <v>P646H464</v>
      </c>
      <c r="O3686" s="108">
        <f t="shared" si="59"/>
        <v>1</v>
      </c>
      <c r="P3686" s="108"/>
      <c r="Q3686"/>
    </row>
    <row r="3687" spans="1:17" x14ac:dyDescent="0.25">
      <c r="A3687" s="89" t="s">
        <v>4447</v>
      </c>
      <c r="B3687" s="87" t="s">
        <v>4448</v>
      </c>
      <c r="C3687" s="87" t="s">
        <v>16</v>
      </c>
      <c r="D3687" s="87" t="str">
        <f>VLOOKUP(Tabela1[[#This Row],[Origem]], 'Perguntas 1 a 24'!$J$28:$K$34, 2, 0)</f>
        <v>Sudeste</v>
      </c>
      <c r="E3687" s="87" t="str">
        <f>Tabela1[[#This Row],[Descrição]]&amp;"-"&amp;Tabela1[[#This Row],[Código]]&amp;"/"&amp;Tabela1[[#This Row],[Origem]]</f>
        <v>Cerare-H945P214/MG</v>
      </c>
      <c r="F3687" s="88">
        <v>47702</v>
      </c>
      <c r="G3687" s="88" t="str" cm="1">
        <f t="array" ref="G36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AND(F3687&gt;= DATE(2026,1,1), F3687&lt;= DATE(2028, 12, 31), J3687&gt;50000), "Pendente e Caro", AND(F3687&gt;= DATE(2026,1,1), F3687&lt;= DATE(2028, 12, 31), J3687&lt;=50000), "Pendente", F3687&gt;= DATE(2029,1,1), "Não prioeitário")</f>
        <v>Não prioeitário</v>
      </c>
      <c r="H3687" s="89">
        <f>YEAR(Tabela1[[#This Row],[Data de Validade]])</f>
        <v>2030</v>
      </c>
      <c r="I3687" s="89">
        <f>MONTH(Tabela1[[#This Row],[Data de Validade]])</f>
        <v>8</v>
      </c>
      <c r="J3687" s="101">
        <v>94425</v>
      </c>
      <c r="K3687" s="87" t="s">
        <v>9</v>
      </c>
      <c r="L3687" s="108"/>
      <c r="M3687" s="108"/>
      <c r="N3687" s="108" t="str">
        <v>P498P933</v>
      </c>
      <c r="O3687" s="108">
        <f t="shared" si="59"/>
        <v>1</v>
      </c>
      <c r="P3687" s="108"/>
      <c r="Q3687"/>
    </row>
    <row r="3688" spans="1:17" x14ac:dyDescent="0.25">
      <c r="A3688" s="89" t="s">
        <v>10043</v>
      </c>
      <c r="B3688" s="87" t="s">
        <v>10044</v>
      </c>
      <c r="C3688" s="87" t="s">
        <v>10</v>
      </c>
      <c r="D3688" s="87" t="str">
        <f>VLOOKUP(Tabela1[[#This Row],[Origem]], 'Perguntas 1 a 24'!$J$28:$K$34, 2, 0)</f>
        <v>Centro-Oeste</v>
      </c>
      <c r="E3688" s="87" t="str">
        <f>Tabela1[[#This Row],[Descrição]]&amp;"-"&amp;Tabela1[[#This Row],[Código]]&amp;"/"&amp;Tabela1[[#This Row],[Origem]]</f>
        <v>Pegama-H118P468/GO</v>
      </c>
      <c r="F3688" s="88">
        <v>47702</v>
      </c>
      <c r="G3688" s="88" t="str" cm="1">
        <f t="array" ref="G36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AND(F3688&gt;= DATE(2026,1,1), F3688&lt;= DATE(2028, 12, 31), J3688&gt;50000), "Pendente e Caro", AND(F3688&gt;= DATE(2026,1,1), F3688&lt;= DATE(2028, 12, 31), J3688&lt;=50000), "Pendente", F3688&gt;= DATE(2029,1,1), "Não prioeitário")</f>
        <v>Não prioeitário</v>
      </c>
      <c r="H3688" s="89">
        <f>YEAR(Tabela1[[#This Row],[Data de Validade]])</f>
        <v>2030</v>
      </c>
      <c r="I3688" s="89">
        <f>MONTH(Tabela1[[#This Row],[Data de Validade]])</f>
        <v>8</v>
      </c>
      <c r="J3688" s="101">
        <v>80580</v>
      </c>
      <c r="K3688" s="87" t="s">
        <v>14</v>
      </c>
      <c r="L3688" s="108"/>
      <c r="M3688" s="108"/>
      <c r="N3688" s="108" t="str">
        <v>H446P233</v>
      </c>
      <c r="O3688" s="108">
        <f t="shared" si="59"/>
        <v>1</v>
      </c>
      <c r="P3688" s="108"/>
      <c r="Q3688"/>
    </row>
    <row r="3689" spans="1:17" x14ac:dyDescent="0.25">
      <c r="A3689" s="89" t="s">
        <v>10551</v>
      </c>
      <c r="B3689" s="87" t="s">
        <v>10552</v>
      </c>
      <c r="C3689" s="87" t="s">
        <v>15</v>
      </c>
      <c r="D3689" s="87" t="str">
        <f>VLOOKUP(Tabela1[[#This Row],[Origem]], 'Perguntas 1 a 24'!$J$28:$K$34, 2, 0)</f>
        <v>Sudeste</v>
      </c>
      <c r="E3689" s="87" t="str">
        <f>Tabela1[[#This Row],[Descrição]]&amp;"-"&amp;Tabela1[[#This Row],[Código]]&amp;"/"&amp;Tabela1[[#This Row],[Origem]]</f>
        <v>Tovipu-H966P977/ES</v>
      </c>
      <c r="F3689" s="88">
        <v>47702</v>
      </c>
      <c r="G3689" s="88" t="str" cm="1">
        <f t="array" ref="G36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AND(F3689&gt;= DATE(2026,1,1), F3689&lt;= DATE(2028, 12, 31), J3689&gt;50000), "Pendente e Caro", AND(F3689&gt;= DATE(2026,1,1), F3689&lt;= DATE(2028, 12, 31), J3689&lt;=50000), "Pendente", F3689&gt;= DATE(2029,1,1), "Não prioeitário")</f>
        <v>Não prioeitário</v>
      </c>
      <c r="H3689" s="89">
        <f>YEAR(Tabela1[[#This Row],[Data de Validade]])</f>
        <v>2030</v>
      </c>
      <c r="I3689" s="89">
        <f>MONTH(Tabela1[[#This Row],[Data de Validade]])</f>
        <v>8</v>
      </c>
      <c r="J3689" s="101">
        <v>72323</v>
      </c>
      <c r="K3689" s="87" t="s">
        <v>14</v>
      </c>
      <c r="L3689" s="108"/>
      <c r="M3689" s="108"/>
      <c r="N3689" s="108" t="str">
        <v>P191P291</v>
      </c>
      <c r="O3689" s="108">
        <f t="shared" si="59"/>
        <v>1</v>
      </c>
      <c r="P3689" s="108"/>
      <c r="Q3689"/>
    </row>
    <row r="3690" spans="1:17" x14ac:dyDescent="0.25">
      <c r="A3690" s="89" t="s">
        <v>9241</v>
      </c>
      <c r="B3690" s="87" t="s">
        <v>9242</v>
      </c>
      <c r="C3690" s="87" t="s">
        <v>6</v>
      </c>
      <c r="D3690" s="87" t="str">
        <f>VLOOKUP(Tabela1[[#This Row],[Origem]], 'Perguntas 1 a 24'!$J$28:$K$34, 2, 0)</f>
        <v>Nordeste</v>
      </c>
      <c r="E3690" s="87" t="str">
        <f>Tabela1[[#This Row],[Descrição]]&amp;"-"&amp;Tabela1[[#This Row],[Código]]&amp;"/"&amp;Tabela1[[#This Row],[Origem]]</f>
        <v>Tepira-H865H735/MA</v>
      </c>
      <c r="F3690" s="88">
        <v>47705</v>
      </c>
      <c r="G3690" s="88" t="str" cm="1">
        <f t="array" ref="G36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AND(F3690&gt;= DATE(2026,1,1), F3690&lt;= DATE(2028, 12, 31), J3690&gt;50000), "Pendente e Caro", AND(F3690&gt;= DATE(2026,1,1), F3690&lt;= DATE(2028, 12, 31), J3690&lt;=50000), "Pendente", F3690&gt;= DATE(2029,1,1), "Não prioeitário")</f>
        <v>Não prioeitário</v>
      </c>
      <c r="H3690" s="89">
        <f>YEAR(Tabela1[[#This Row],[Data de Validade]])</f>
        <v>2030</v>
      </c>
      <c r="I3690" s="89">
        <f>MONTH(Tabela1[[#This Row],[Data de Validade]])</f>
        <v>8</v>
      </c>
      <c r="J3690" s="101">
        <v>108919</v>
      </c>
      <c r="K3690" s="87" t="s">
        <v>9</v>
      </c>
      <c r="L3690" s="108"/>
      <c r="M3690" s="108"/>
      <c r="N3690" s="108" t="str">
        <v>P966H113</v>
      </c>
      <c r="O3690" s="108">
        <f t="shared" si="59"/>
        <v>1</v>
      </c>
      <c r="P3690" s="108"/>
      <c r="Q3690"/>
    </row>
    <row r="3691" spans="1:17" x14ac:dyDescent="0.25">
      <c r="A3691" s="89" t="s">
        <v>6716</v>
      </c>
      <c r="B3691" s="87" t="s">
        <v>6717</v>
      </c>
      <c r="C3691" s="87" t="s">
        <v>15</v>
      </c>
      <c r="D3691" s="87" t="str">
        <f>VLOOKUP(Tabela1[[#This Row],[Origem]], 'Perguntas 1 a 24'!$J$28:$K$34, 2, 0)</f>
        <v>Sudeste</v>
      </c>
      <c r="E3691" s="87" t="str">
        <f>Tabela1[[#This Row],[Descrição]]&amp;"-"&amp;Tabela1[[#This Row],[Código]]&amp;"/"&amp;Tabela1[[#This Row],[Origem]]</f>
        <v>Cepopume-H274H582/ES</v>
      </c>
      <c r="F3691" s="88">
        <v>47705</v>
      </c>
      <c r="G3691" s="88" t="str" cm="1">
        <f t="array" ref="G36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AND(F3691&gt;= DATE(2026,1,1), F3691&lt;= DATE(2028, 12, 31), J3691&gt;50000), "Pendente e Caro", AND(F3691&gt;= DATE(2026,1,1), F3691&lt;= DATE(2028, 12, 31), J3691&lt;=50000), "Pendente", F3691&gt;= DATE(2029,1,1), "Não prioeitário")</f>
        <v>Não prioeitário</v>
      </c>
      <c r="H3691" s="89">
        <f>YEAR(Tabela1[[#This Row],[Data de Validade]])</f>
        <v>2030</v>
      </c>
      <c r="I3691" s="89">
        <f>MONTH(Tabela1[[#This Row],[Data de Validade]])</f>
        <v>8</v>
      </c>
      <c r="J3691" s="101">
        <v>76523</v>
      </c>
      <c r="K3691" s="87" t="s">
        <v>7</v>
      </c>
      <c r="L3691" s="108"/>
      <c r="M3691" s="108"/>
      <c r="N3691" s="108" t="str">
        <v>H483P515</v>
      </c>
      <c r="O3691" s="108">
        <f t="shared" si="59"/>
        <v>1</v>
      </c>
      <c r="P3691" s="108"/>
      <c r="Q3691"/>
    </row>
    <row r="3692" spans="1:17" x14ac:dyDescent="0.25">
      <c r="A3692" s="89" t="s">
        <v>5212</v>
      </c>
      <c r="B3692" s="87" t="s">
        <v>5213</v>
      </c>
      <c r="C3692" s="87" t="s">
        <v>10</v>
      </c>
      <c r="D3692" s="87" t="str">
        <f>VLOOKUP(Tabela1[[#This Row],[Origem]], 'Perguntas 1 a 24'!$J$28:$K$34, 2, 0)</f>
        <v>Centro-Oeste</v>
      </c>
      <c r="E3692" s="87" t="str">
        <f>Tabela1[[#This Row],[Descrição]]&amp;"-"&amp;Tabela1[[#This Row],[Código]]&amp;"/"&amp;Tabela1[[#This Row],[Origem]]</f>
        <v>Nopono-H835P991/GO</v>
      </c>
      <c r="F3692" s="88">
        <v>47705</v>
      </c>
      <c r="G3692" s="88" t="str" cm="1">
        <f t="array" ref="G36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AND(F3692&gt;= DATE(2026,1,1), F3692&lt;= DATE(2028, 12, 31), J3692&gt;50000), "Pendente e Caro", AND(F3692&gt;= DATE(2026,1,1), F3692&lt;= DATE(2028, 12, 31), J3692&lt;=50000), "Pendente", F3692&gt;= DATE(2029,1,1), "Não prioeitário")</f>
        <v>Não prioeitário</v>
      </c>
      <c r="H3692" s="89">
        <f>YEAR(Tabela1[[#This Row],[Data de Validade]])</f>
        <v>2030</v>
      </c>
      <c r="I3692" s="89">
        <f>MONTH(Tabela1[[#This Row],[Data de Validade]])</f>
        <v>8</v>
      </c>
      <c r="J3692" s="101">
        <v>41636</v>
      </c>
      <c r="K3692" s="87" t="s">
        <v>14</v>
      </c>
      <c r="L3692" s="108"/>
      <c r="M3692" s="108"/>
      <c r="N3692" s="108" t="str">
        <v>H268H158</v>
      </c>
      <c r="O3692" s="108">
        <f t="shared" si="59"/>
        <v>1</v>
      </c>
      <c r="P3692" s="108"/>
      <c r="Q3692"/>
    </row>
    <row r="3693" spans="1:17" x14ac:dyDescent="0.25">
      <c r="A3693" s="89" t="s">
        <v>11162</v>
      </c>
      <c r="B3693" s="87" t="s">
        <v>11163</v>
      </c>
      <c r="C3693" s="87" t="s">
        <v>16</v>
      </c>
      <c r="D3693" s="87" t="str">
        <f>VLOOKUP(Tabela1[[#This Row],[Origem]], 'Perguntas 1 a 24'!$J$28:$K$34, 2, 0)</f>
        <v>Sudeste</v>
      </c>
      <c r="E3693" s="87" t="str">
        <f>Tabela1[[#This Row],[Descrição]]&amp;"-"&amp;Tabela1[[#This Row],[Código]]&amp;"/"&amp;Tabela1[[#This Row],[Origem]]</f>
        <v>Gotipomute-P692P356/MG</v>
      </c>
      <c r="F3693" s="88">
        <v>47706</v>
      </c>
      <c r="G3693" s="88" t="str" cm="1">
        <f t="array" ref="G36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AND(F3693&gt;= DATE(2026,1,1), F3693&lt;= DATE(2028, 12, 31), J3693&gt;50000), "Pendente e Caro", AND(F3693&gt;= DATE(2026,1,1), F3693&lt;= DATE(2028, 12, 31), J3693&lt;=50000), "Pendente", F3693&gt;= DATE(2029,1,1), "Não prioeitário")</f>
        <v>Não prioeitário</v>
      </c>
      <c r="H3693" s="89">
        <f>YEAR(Tabela1[[#This Row],[Data de Validade]])</f>
        <v>2030</v>
      </c>
      <c r="I3693" s="89">
        <f>MONTH(Tabela1[[#This Row],[Data de Validade]])</f>
        <v>8</v>
      </c>
      <c r="J3693" s="101">
        <v>39208</v>
      </c>
      <c r="K3693" s="87" t="s">
        <v>9</v>
      </c>
      <c r="L3693" s="108"/>
      <c r="M3693" s="108"/>
      <c r="N3693" s="108" t="str">
        <v>H688P476</v>
      </c>
      <c r="O3693" s="108">
        <f t="shared" si="59"/>
        <v>1</v>
      </c>
      <c r="P3693" s="108"/>
      <c r="Q3693"/>
    </row>
    <row r="3694" spans="1:17" x14ac:dyDescent="0.25">
      <c r="A3694" s="89" t="s">
        <v>5180</v>
      </c>
      <c r="B3694" s="87" t="s">
        <v>5181</v>
      </c>
      <c r="C3694" s="87" t="s">
        <v>8</v>
      </c>
      <c r="D3694" s="87" t="str">
        <f>VLOOKUP(Tabela1[[#This Row],[Origem]], 'Perguntas 1 a 24'!$J$28:$K$34, 2, 0)</f>
        <v>Nordeste</v>
      </c>
      <c r="E3694" s="87" t="str">
        <f>Tabela1[[#This Row],[Descrição]]&amp;"-"&amp;Tabela1[[#This Row],[Código]]&amp;"/"&amp;Tabela1[[#This Row],[Origem]]</f>
        <v>Cofope-H836P281/AL</v>
      </c>
      <c r="F3694" s="88">
        <v>47707</v>
      </c>
      <c r="G3694" s="88" t="str" cm="1">
        <f t="array" ref="G36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AND(F3694&gt;= DATE(2026,1,1), F3694&lt;= DATE(2028, 12, 31), J3694&gt;50000), "Pendente e Caro", AND(F3694&gt;= DATE(2026,1,1), F3694&lt;= DATE(2028, 12, 31), J3694&lt;=50000), "Pendente", F3694&gt;= DATE(2029,1,1), "Não prioeitário")</f>
        <v>Não prioeitário</v>
      </c>
      <c r="H3694" s="89">
        <f>YEAR(Tabela1[[#This Row],[Data de Validade]])</f>
        <v>2030</v>
      </c>
      <c r="I3694" s="89">
        <f>MONTH(Tabela1[[#This Row],[Data de Validade]])</f>
        <v>8</v>
      </c>
      <c r="J3694" s="101">
        <v>110960</v>
      </c>
      <c r="K3694" s="87" t="s">
        <v>14</v>
      </c>
      <c r="L3694" s="108"/>
      <c r="M3694" s="108"/>
      <c r="N3694" s="108" t="str">
        <v>H388H986</v>
      </c>
      <c r="O3694" s="108">
        <f t="shared" si="59"/>
        <v>1</v>
      </c>
      <c r="P3694" s="108"/>
      <c r="Q3694"/>
    </row>
    <row r="3695" spans="1:17" x14ac:dyDescent="0.25">
      <c r="A3695" s="89" t="s">
        <v>8364</v>
      </c>
      <c r="B3695" s="87" t="s">
        <v>8365</v>
      </c>
      <c r="C3695" s="87" t="s">
        <v>8</v>
      </c>
      <c r="D3695" s="87" t="str">
        <f>VLOOKUP(Tabela1[[#This Row],[Origem]], 'Perguntas 1 a 24'!$J$28:$K$34, 2, 0)</f>
        <v>Nordeste</v>
      </c>
      <c r="E3695" s="87" t="str">
        <f>Tabela1[[#This Row],[Descrição]]&amp;"-"&amp;Tabela1[[#This Row],[Código]]&amp;"/"&amp;Tabela1[[#This Row],[Origem]]</f>
        <v>Parilevu-H994P121/AL</v>
      </c>
      <c r="F3695" s="88">
        <v>47707</v>
      </c>
      <c r="G3695" s="88" t="str" cm="1">
        <f t="array" ref="G36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AND(F3695&gt;= DATE(2026,1,1), F3695&lt;= DATE(2028, 12, 31), J3695&gt;50000), "Pendente e Caro", AND(F3695&gt;= DATE(2026,1,1), F3695&lt;= DATE(2028, 12, 31), J3695&lt;=50000), "Pendente", F3695&gt;= DATE(2029,1,1), "Não prioeitário")</f>
        <v>Não prioeitário</v>
      </c>
      <c r="H3695" s="89">
        <f>YEAR(Tabela1[[#This Row],[Data de Validade]])</f>
        <v>2030</v>
      </c>
      <c r="I3695" s="89">
        <f>MONTH(Tabela1[[#This Row],[Data de Validade]])</f>
        <v>8</v>
      </c>
      <c r="J3695" s="101">
        <v>21014</v>
      </c>
      <c r="K3695" s="87" t="s">
        <v>11</v>
      </c>
      <c r="L3695" s="108"/>
      <c r="M3695" s="108"/>
      <c r="N3695" s="108" t="str">
        <v>H366P418</v>
      </c>
      <c r="O3695" s="108">
        <f t="shared" si="59"/>
        <v>1</v>
      </c>
      <c r="P3695" s="108"/>
      <c r="Q3695"/>
    </row>
    <row r="3696" spans="1:17" x14ac:dyDescent="0.25">
      <c r="A3696" s="89" t="s">
        <v>7656</v>
      </c>
      <c r="B3696" s="87" t="s">
        <v>7657</v>
      </c>
      <c r="C3696" s="87" t="s">
        <v>8</v>
      </c>
      <c r="D3696" s="87" t="str">
        <f>VLOOKUP(Tabela1[[#This Row],[Origem]], 'Perguntas 1 a 24'!$J$28:$K$34, 2, 0)</f>
        <v>Nordeste</v>
      </c>
      <c r="E3696" s="87" t="str">
        <f>Tabela1[[#This Row],[Descrição]]&amp;"-"&amp;Tabela1[[#This Row],[Código]]&amp;"/"&amp;Tabela1[[#This Row],[Origem]]</f>
        <v>Pupoto-P836P985/AL</v>
      </c>
      <c r="F3696" s="88">
        <v>47709</v>
      </c>
      <c r="G3696" s="88" t="str" cm="1">
        <f t="array" ref="G36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AND(F3696&gt;= DATE(2026,1,1), F3696&lt;= DATE(2028, 12, 31), J3696&gt;50000), "Pendente e Caro", AND(F3696&gt;= DATE(2026,1,1), F3696&lt;= DATE(2028, 12, 31), J3696&lt;=50000), "Pendente", F3696&gt;= DATE(2029,1,1), "Não prioeitário")</f>
        <v>Não prioeitário</v>
      </c>
      <c r="H3696" s="89">
        <f>YEAR(Tabela1[[#This Row],[Data de Validade]])</f>
        <v>2030</v>
      </c>
      <c r="I3696" s="89">
        <f>MONTH(Tabela1[[#This Row],[Data de Validade]])</f>
        <v>8</v>
      </c>
      <c r="J3696" s="101">
        <v>94454</v>
      </c>
      <c r="K3696" s="87" t="s">
        <v>11</v>
      </c>
      <c r="L3696" s="108"/>
      <c r="M3696" s="108"/>
      <c r="N3696" s="108" t="str">
        <v>H887P957</v>
      </c>
      <c r="O3696" s="108">
        <f t="shared" si="59"/>
        <v>1</v>
      </c>
      <c r="P3696" s="108"/>
      <c r="Q3696"/>
    </row>
    <row r="3697" spans="1:17" x14ac:dyDescent="0.25">
      <c r="A3697" s="89" t="s">
        <v>9045</v>
      </c>
      <c r="B3697" s="87" t="s">
        <v>9046</v>
      </c>
      <c r="C3697" s="87" t="s">
        <v>15</v>
      </c>
      <c r="D3697" s="87" t="str">
        <f>VLOOKUP(Tabela1[[#This Row],[Origem]], 'Perguntas 1 a 24'!$J$28:$K$34, 2, 0)</f>
        <v>Sudeste</v>
      </c>
      <c r="E3697" s="87" t="str">
        <f>Tabela1[[#This Row],[Descrição]]&amp;"-"&amp;Tabela1[[#This Row],[Código]]&amp;"/"&amp;Tabela1[[#This Row],[Origem]]</f>
        <v>Tatopafu-H183P481/ES</v>
      </c>
      <c r="F3697" s="88">
        <v>47710</v>
      </c>
      <c r="G3697" s="88" t="str" cm="1">
        <f t="array" ref="G36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AND(F3697&gt;= DATE(2026,1,1), F3697&lt;= DATE(2028, 12, 31), J3697&gt;50000), "Pendente e Caro", AND(F3697&gt;= DATE(2026,1,1), F3697&lt;= DATE(2028, 12, 31), J3697&lt;=50000), "Pendente", F3697&gt;= DATE(2029,1,1), "Não prioeitário")</f>
        <v>Não prioeitário</v>
      </c>
      <c r="H3697" s="89">
        <f>YEAR(Tabela1[[#This Row],[Data de Validade]])</f>
        <v>2030</v>
      </c>
      <c r="I3697" s="89">
        <f>MONTH(Tabela1[[#This Row],[Data de Validade]])</f>
        <v>8</v>
      </c>
      <c r="J3697" s="101">
        <v>68468</v>
      </c>
      <c r="K3697" s="87" t="s">
        <v>7</v>
      </c>
      <c r="L3697" s="108"/>
      <c r="M3697" s="108"/>
      <c r="N3697" s="108" t="str">
        <v>H952H325</v>
      </c>
      <c r="O3697" s="108">
        <f t="shared" si="59"/>
        <v>1</v>
      </c>
      <c r="P3697" s="108"/>
      <c r="Q3697"/>
    </row>
    <row r="3698" spans="1:17" x14ac:dyDescent="0.25">
      <c r="A3698" s="89" t="s">
        <v>5116</v>
      </c>
      <c r="B3698" s="87" t="s">
        <v>5117</v>
      </c>
      <c r="C3698" s="87" t="s">
        <v>16</v>
      </c>
      <c r="D3698" s="87" t="str">
        <f>VLOOKUP(Tabela1[[#This Row],[Origem]], 'Perguntas 1 a 24'!$J$28:$K$34, 2, 0)</f>
        <v>Sudeste</v>
      </c>
      <c r="E3698" s="87" t="str">
        <f>Tabela1[[#This Row],[Descrição]]&amp;"-"&amp;Tabela1[[#This Row],[Código]]&amp;"/"&amp;Tabela1[[#This Row],[Origem]]</f>
        <v>Pometo-H329P744/MG</v>
      </c>
      <c r="F3698" s="88">
        <v>47710</v>
      </c>
      <c r="G3698" s="88" t="str" cm="1">
        <f t="array" ref="G36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AND(F3698&gt;= DATE(2026,1,1), F3698&lt;= DATE(2028, 12, 31), J3698&gt;50000), "Pendente e Caro", AND(F3698&gt;= DATE(2026,1,1), F3698&lt;= DATE(2028, 12, 31), J3698&lt;=50000), "Pendente", F3698&gt;= DATE(2029,1,1), "Não prioeitário")</f>
        <v>Não prioeitário</v>
      </c>
      <c r="H3698" s="89">
        <f>YEAR(Tabela1[[#This Row],[Data de Validade]])</f>
        <v>2030</v>
      </c>
      <c r="I3698" s="89">
        <f>MONTH(Tabela1[[#This Row],[Data de Validade]])</f>
        <v>8</v>
      </c>
      <c r="J3698" s="101">
        <v>56857</v>
      </c>
      <c r="K3698" s="87" t="s">
        <v>9</v>
      </c>
      <c r="L3698" s="108"/>
      <c r="M3698" s="108"/>
      <c r="N3698" s="108" t="str">
        <v>H882H156</v>
      </c>
      <c r="O3698" s="108">
        <f t="shared" si="59"/>
        <v>1</v>
      </c>
      <c r="P3698" s="108"/>
      <c r="Q3698"/>
    </row>
    <row r="3699" spans="1:17" x14ac:dyDescent="0.25">
      <c r="A3699" s="89" t="s">
        <v>3948</v>
      </c>
      <c r="B3699" s="87" t="s">
        <v>3949</v>
      </c>
      <c r="C3699" s="87" t="s">
        <v>16</v>
      </c>
      <c r="D3699" s="87" t="str">
        <f>VLOOKUP(Tabela1[[#This Row],[Origem]], 'Perguntas 1 a 24'!$J$28:$K$34, 2, 0)</f>
        <v>Sudeste</v>
      </c>
      <c r="E3699" s="87" t="str">
        <f>Tabela1[[#This Row],[Descrição]]&amp;"-"&amp;Tabela1[[#This Row],[Código]]&amp;"/"&amp;Tabela1[[#This Row],[Origem]]</f>
        <v>Mocuvu-P646H464/MG</v>
      </c>
      <c r="F3699" s="88">
        <v>47710</v>
      </c>
      <c r="G3699" s="88" t="str" cm="1">
        <f t="array" ref="G36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AND(F3699&gt;= DATE(2026,1,1), F3699&lt;= DATE(2028, 12, 31), J3699&gt;50000), "Pendente e Caro", AND(F3699&gt;= DATE(2026,1,1), F3699&lt;= DATE(2028, 12, 31), J3699&lt;=50000), "Pendente", F3699&gt;= DATE(2029,1,1), "Não prioeitário")</f>
        <v>Não prioeitário</v>
      </c>
      <c r="H3699" s="89">
        <f>YEAR(Tabela1[[#This Row],[Data de Validade]])</f>
        <v>2030</v>
      </c>
      <c r="I3699" s="89">
        <f>MONTH(Tabela1[[#This Row],[Data de Validade]])</f>
        <v>8</v>
      </c>
      <c r="J3699" s="101">
        <v>25065</v>
      </c>
      <c r="K3699" s="87" t="s">
        <v>9</v>
      </c>
      <c r="L3699" s="108"/>
      <c r="M3699" s="108"/>
      <c r="N3699" s="108" t="str">
        <v>H775P123</v>
      </c>
      <c r="O3699" s="108">
        <f t="shared" si="59"/>
        <v>1</v>
      </c>
      <c r="P3699" s="108"/>
      <c r="Q3699"/>
    </row>
    <row r="3700" spans="1:17" x14ac:dyDescent="0.25">
      <c r="A3700" s="89" t="s">
        <v>10747</v>
      </c>
      <c r="B3700" s="87" t="s">
        <v>10748</v>
      </c>
      <c r="C3700" s="87" t="s">
        <v>10</v>
      </c>
      <c r="D3700" s="87" t="str">
        <f>VLOOKUP(Tabela1[[#This Row],[Origem]], 'Perguntas 1 a 24'!$J$28:$K$34, 2, 0)</f>
        <v>Centro-Oeste</v>
      </c>
      <c r="E3700" s="87" t="str">
        <f>Tabela1[[#This Row],[Descrição]]&amp;"-"&amp;Tabela1[[#This Row],[Código]]&amp;"/"&amp;Tabela1[[#This Row],[Origem]]</f>
        <v>Temidi-P498P933/GO</v>
      </c>
      <c r="F3700" s="88">
        <v>47712</v>
      </c>
      <c r="G3700" s="88" t="str" cm="1">
        <f t="array" ref="G37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AND(F3700&gt;= DATE(2026,1,1), F3700&lt;= DATE(2028, 12, 31), J3700&gt;50000), "Pendente e Caro", AND(F3700&gt;= DATE(2026,1,1), F3700&lt;= DATE(2028, 12, 31), J3700&lt;=50000), "Pendente", F3700&gt;= DATE(2029,1,1), "Não prioeitário")</f>
        <v>Não prioeitário</v>
      </c>
      <c r="H3700" s="89">
        <f>YEAR(Tabela1[[#This Row],[Data de Validade]])</f>
        <v>2030</v>
      </c>
      <c r="I3700" s="89">
        <f>MONTH(Tabela1[[#This Row],[Data de Validade]])</f>
        <v>8</v>
      </c>
      <c r="J3700" s="101">
        <v>43929</v>
      </c>
      <c r="K3700" s="87" t="s">
        <v>14</v>
      </c>
      <c r="L3700" s="108"/>
      <c r="M3700" s="108"/>
      <c r="N3700" s="108" t="str">
        <v>P376H483</v>
      </c>
      <c r="O3700" s="108">
        <f t="shared" si="59"/>
        <v>1</v>
      </c>
      <c r="P3700" s="108"/>
      <c r="Q3700"/>
    </row>
    <row r="3701" spans="1:17" x14ac:dyDescent="0.25">
      <c r="A3701" s="89" t="s">
        <v>4102</v>
      </c>
      <c r="B3701" s="87" t="s">
        <v>4103</v>
      </c>
      <c r="C3701" s="87" t="s">
        <v>15</v>
      </c>
      <c r="D3701" s="87" t="str">
        <f>VLOOKUP(Tabela1[[#This Row],[Origem]], 'Perguntas 1 a 24'!$J$28:$K$34, 2, 0)</f>
        <v>Sudeste</v>
      </c>
      <c r="E3701" s="87" t="str">
        <f>Tabela1[[#This Row],[Descrição]]&amp;"-"&amp;Tabela1[[#This Row],[Código]]&amp;"/"&amp;Tabela1[[#This Row],[Origem]]</f>
        <v>Racefevi-H446P233/ES</v>
      </c>
      <c r="F3701" s="88">
        <v>47712</v>
      </c>
      <c r="G3701" s="88" t="str" cm="1">
        <f t="array" ref="G37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AND(F3701&gt;= DATE(2026,1,1), F3701&lt;= DATE(2028, 12, 31), J3701&gt;50000), "Pendente e Caro", AND(F3701&gt;= DATE(2026,1,1), F3701&lt;= DATE(2028, 12, 31), J3701&lt;=50000), "Pendente", F3701&gt;= DATE(2029,1,1), "Não prioeitário")</f>
        <v>Não prioeitário</v>
      </c>
      <c r="H3701" s="89">
        <f>YEAR(Tabela1[[#This Row],[Data de Validade]])</f>
        <v>2030</v>
      </c>
      <c r="I3701" s="89">
        <f>MONTH(Tabela1[[#This Row],[Data de Validade]])</f>
        <v>8</v>
      </c>
      <c r="J3701" s="101">
        <v>29840</v>
      </c>
      <c r="K3701" s="87" t="s">
        <v>14</v>
      </c>
      <c r="L3701" s="108"/>
      <c r="M3701" s="108"/>
      <c r="N3701" s="108" t="str">
        <v>H644P723</v>
      </c>
      <c r="O3701" s="108">
        <f t="shared" si="59"/>
        <v>1</v>
      </c>
      <c r="P3701" s="108"/>
      <c r="Q3701"/>
    </row>
    <row r="3702" spans="1:17" x14ac:dyDescent="0.25">
      <c r="A3702" s="89" t="s">
        <v>6040</v>
      </c>
      <c r="B3702" s="87" t="s">
        <v>6041</v>
      </c>
      <c r="C3702" s="87" t="s">
        <v>6</v>
      </c>
      <c r="D3702" s="87" t="str">
        <f>VLOOKUP(Tabela1[[#This Row],[Origem]], 'Perguntas 1 a 24'!$J$28:$K$34, 2, 0)</f>
        <v>Nordeste</v>
      </c>
      <c r="E3702" s="87" t="str">
        <f>Tabela1[[#This Row],[Descrição]]&amp;"-"&amp;Tabela1[[#This Row],[Código]]&amp;"/"&amp;Tabela1[[#This Row],[Origem]]</f>
        <v>Rocuceruci-P191P291/MA</v>
      </c>
      <c r="F3702" s="88">
        <v>47713</v>
      </c>
      <c r="G3702" s="88" t="str" cm="1">
        <f t="array" ref="G37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AND(F3702&gt;= DATE(2026,1,1), F3702&lt;= DATE(2028, 12, 31), J3702&gt;50000), "Pendente e Caro", AND(F3702&gt;= DATE(2026,1,1), F3702&lt;= DATE(2028, 12, 31), J3702&lt;=50000), "Pendente", F3702&gt;= DATE(2029,1,1), "Não prioeitário")</f>
        <v>Não prioeitário</v>
      </c>
      <c r="H3702" s="89">
        <f>YEAR(Tabela1[[#This Row],[Data de Validade]])</f>
        <v>2030</v>
      </c>
      <c r="I3702" s="89">
        <f>MONTH(Tabela1[[#This Row],[Data de Validade]])</f>
        <v>8</v>
      </c>
      <c r="J3702" s="101">
        <v>103796</v>
      </c>
      <c r="K3702" s="87" t="s">
        <v>9</v>
      </c>
      <c r="L3702" s="108"/>
      <c r="M3702" s="108"/>
      <c r="N3702" s="108" t="str">
        <v>P157H499</v>
      </c>
      <c r="O3702" s="108">
        <f t="shared" si="59"/>
        <v>1</v>
      </c>
      <c r="P3702" s="108"/>
      <c r="Q3702"/>
    </row>
    <row r="3703" spans="1:17" x14ac:dyDescent="0.25">
      <c r="A3703" s="89" t="s">
        <v>8392</v>
      </c>
      <c r="B3703" s="87" t="s">
        <v>8393</v>
      </c>
      <c r="C3703" s="87" t="s">
        <v>15</v>
      </c>
      <c r="D3703" s="87" t="str">
        <f>VLOOKUP(Tabela1[[#This Row],[Origem]], 'Perguntas 1 a 24'!$J$28:$K$34, 2, 0)</f>
        <v>Sudeste</v>
      </c>
      <c r="E3703" s="87" t="str">
        <f>Tabela1[[#This Row],[Descrição]]&amp;"-"&amp;Tabela1[[#This Row],[Código]]&amp;"/"&amp;Tabela1[[#This Row],[Origem]]</f>
        <v>Dipovativo-P966H113/ES</v>
      </c>
      <c r="F3703" s="88">
        <v>47714</v>
      </c>
      <c r="G3703" s="88" t="str" cm="1">
        <f t="array" ref="G37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AND(F3703&gt;= DATE(2026,1,1), F3703&lt;= DATE(2028, 12, 31), J3703&gt;50000), "Pendente e Caro", AND(F3703&gt;= DATE(2026,1,1), F3703&lt;= DATE(2028, 12, 31), J3703&lt;=50000), "Pendente", F3703&gt;= DATE(2029,1,1), "Não prioeitário")</f>
        <v>Não prioeitário</v>
      </c>
      <c r="H3703" s="89">
        <f>YEAR(Tabela1[[#This Row],[Data de Validade]])</f>
        <v>2030</v>
      </c>
      <c r="I3703" s="89">
        <f>MONTH(Tabela1[[#This Row],[Data de Validade]])</f>
        <v>8</v>
      </c>
      <c r="J3703" s="101">
        <v>107139</v>
      </c>
      <c r="K3703" s="87" t="s">
        <v>7</v>
      </c>
      <c r="L3703" s="108"/>
      <c r="M3703" s="108"/>
      <c r="N3703" s="108" t="str">
        <v>H885H563</v>
      </c>
      <c r="O3703" s="108">
        <f t="shared" si="59"/>
        <v>1</v>
      </c>
      <c r="P3703" s="108"/>
      <c r="Q3703"/>
    </row>
    <row r="3704" spans="1:17" x14ac:dyDescent="0.25">
      <c r="A3704" s="89" t="s">
        <v>5048</v>
      </c>
      <c r="B3704" s="87" t="s">
        <v>5049</v>
      </c>
      <c r="C3704" s="87" t="s">
        <v>16</v>
      </c>
      <c r="D3704" s="87" t="str">
        <f>VLOOKUP(Tabela1[[#This Row],[Origem]], 'Perguntas 1 a 24'!$J$28:$K$34, 2, 0)</f>
        <v>Sudeste</v>
      </c>
      <c r="E3704" s="87" t="str">
        <f>Tabela1[[#This Row],[Descrição]]&amp;"-"&amp;Tabela1[[#This Row],[Código]]&amp;"/"&amp;Tabela1[[#This Row],[Origem]]</f>
        <v>Pofome-H483P515/MG</v>
      </c>
      <c r="F3704" s="88">
        <v>47714</v>
      </c>
      <c r="G3704" s="88" t="str" cm="1">
        <f t="array" ref="G37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AND(F3704&gt;= DATE(2026,1,1), F3704&lt;= DATE(2028, 12, 31), J3704&gt;50000), "Pendente e Caro", AND(F3704&gt;= DATE(2026,1,1), F3704&lt;= DATE(2028, 12, 31), J3704&lt;=50000), "Pendente", F3704&gt;= DATE(2029,1,1), "Não prioeitário")</f>
        <v>Não prioeitário</v>
      </c>
      <c r="H3704" s="89">
        <f>YEAR(Tabela1[[#This Row],[Data de Validade]])</f>
        <v>2030</v>
      </c>
      <c r="I3704" s="89">
        <f>MONTH(Tabela1[[#This Row],[Data de Validade]])</f>
        <v>8</v>
      </c>
      <c r="J3704" s="101">
        <v>73552</v>
      </c>
      <c r="K3704" s="87" t="s">
        <v>7</v>
      </c>
      <c r="L3704" s="108"/>
      <c r="M3704" s="108"/>
      <c r="N3704" s="108" t="str">
        <v>H918P616</v>
      </c>
      <c r="O3704" s="108">
        <f t="shared" si="59"/>
        <v>1</v>
      </c>
      <c r="P3704" s="108"/>
      <c r="Q3704"/>
    </row>
    <row r="3705" spans="1:17" x14ac:dyDescent="0.25">
      <c r="A3705" s="89" t="s">
        <v>6282</v>
      </c>
      <c r="B3705" s="87" t="s">
        <v>6283</v>
      </c>
      <c r="C3705" s="87" t="s">
        <v>8</v>
      </c>
      <c r="D3705" s="87" t="str">
        <f>VLOOKUP(Tabela1[[#This Row],[Origem]], 'Perguntas 1 a 24'!$J$28:$K$34, 2, 0)</f>
        <v>Nordeste</v>
      </c>
      <c r="E3705" s="87" t="str">
        <f>Tabela1[[#This Row],[Descrição]]&amp;"-"&amp;Tabela1[[#This Row],[Código]]&amp;"/"&amp;Tabela1[[#This Row],[Origem]]</f>
        <v>Mopolime-H268H158/AL</v>
      </c>
      <c r="F3705" s="88">
        <v>47714</v>
      </c>
      <c r="G3705" s="88" t="str" cm="1">
        <f t="array" ref="G37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AND(F3705&gt;= DATE(2026,1,1), F3705&lt;= DATE(2028, 12, 31), J3705&gt;50000), "Pendente e Caro", AND(F3705&gt;= DATE(2026,1,1), F3705&lt;= DATE(2028, 12, 31), J3705&lt;=50000), "Pendente", F3705&gt;= DATE(2029,1,1), "Não prioeitário")</f>
        <v>Não prioeitário</v>
      </c>
      <c r="H3705" s="89">
        <f>YEAR(Tabela1[[#This Row],[Data de Validade]])</f>
        <v>2030</v>
      </c>
      <c r="I3705" s="89">
        <f>MONTH(Tabela1[[#This Row],[Data de Validade]])</f>
        <v>8</v>
      </c>
      <c r="J3705" s="101">
        <v>72836</v>
      </c>
      <c r="K3705" s="87" t="s">
        <v>11</v>
      </c>
      <c r="L3705" s="108"/>
      <c r="M3705" s="108"/>
      <c r="N3705" s="108" t="str">
        <v>P754H458</v>
      </c>
      <c r="O3705" s="108">
        <f t="shared" si="59"/>
        <v>1</v>
      </c>
      <c r="P3705" s="108"/>
      <c r="Q3705"/>
    </row>
    <row r="3706" spans="1:17" x14ac:dyDescent="0.25">
      <c r="A3706" s="89" t="s">
        <v>7274</v>
      </c>
      <c r="B3706" s="87" t="s">
        <v>7275</v>
      </c>
      <c r="C3706" s="87" t="s">
        <v>6</v>
      </c>
      <c r="D3706" s="87" t="str">
        <f>VLOOKUP(Tabela1[[#This Row],[Origem]], 'Perguntas 1 a 24'!$J$28:$K$34, 2, 0)</f>
        <v>Nordeste</v>
      </c>
      <c r="E3706" s="87" t="str">
        <f>Tabela1[[#This Row],[Descrição]]&amp;"-"&amp;Tabela1[[#This Row],[Código]]&amp;"/"&amp;Tabela1[[#This Row],[Origem]]</f>
        <v>Taropada-H688P476/MA</v>
      </c>
      <c r="F3706" s="88">
        <v>47714</v>
      </c>
      <c r="G3706" s="88" t="str" cm="1">
        <f t="array" ref="G37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AND(F3706&gt;= DATE(2026,1,1), F3706&lt;= DATE(2028, 12, 31), J3706&gt;50000), "Pendente e Caro", AND(F3706&gt;= DATE(2026,1,1), F3706&lt;= DATE(2028, 12, 31), J3706&lt;=50000), "Pendente", F3706&gt;= DATE(2029,1,1), "Não prioeitário")</f>
        <v>Não prioeitário</v>
      </c>
      <c r="H3706" s="89">
        <f>YEAR(Tabela1[[#This Row],[Data de Validade]])</f>
        <v>2030</v>
      </c>
      <c r="I3706" s="89">
        <f>MONTH(Tabela1[[#This Row],[Data de Validade]])</f>
        <v>8</v>
      </c>
      <c r="J3706" s="101">
        <v>60861</v>
      </c>
      <c r="K3706" s="87" t="s">
        <v>7</v>
      </c>
      <c r="L3706" s="108"/>
      <c r="M3706" s="108"/>
      <c r="N3706" s="108" t="str">
        <v>H892P386</v>
      </c>
      <c r="O3706" s="108">
        <f t="shared" si="59"/>
        <v>1</v>
      </c>
      <c r="P3706" s="108"/>
      <c r="Q3706"/>
    </row>
    <row r="3707" spans="1:17" x14ac:dyDescent="0.25">
      <c r="A3707" s="89" t="s">
        <v>4483</v>
      </c>
      <c r="B3707" s="87" t="s">
        <v>4484</v>
      </c>
      <c r="C3707" s="87" t="s">
        <v>13</v>
      </c>
      <c r="D3707" s="87" t="str">
        <f>VLOOKUP(Tabela1[[#This Row],[Origem]], 'Perguntas 1 a 24'!$J$28:$K$34, 2, 0)</f>
        <v>Sudeste</v>
      </c>
      <c r="E3707" s="87" t="str">
        <f>Tabela1[[#This Row],[Descrição]]&amp;"-"&amp;Tabela1[[#This Row],[Código]]&amp;"/"&amp;Tabela1[[#This Row],[Origem]]</f>
        <v>Temotonone-H388H986/SP</v>
      </c>
      <c r="F3707" s="88">
        <v>47714</v>
      </c>
      <c r="G3707" s="88" t="str" cm="1">
        <f t="array" ref="G37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AND(F3707&gt;= DATE(2026,1,1), F3707&lt;= DATE(2028, 12, 31), J3707&gt;50000), "Pendente e Caro", AND(F3707&gt;= DATE(2026,1,1), F3707&lt;= DATE(2028, 12, 31), J3707&lt;=50000), "Pendente", F3707&gt;= DATE(2029,1,1), "Não prioeitário")</f>
        <v>Não prioeitário</v>
      </c>
      <c r="H3707" s="89">
        <f>YEAR(Tabela1[[#This Row],[Data de Validade]])</f>
        <v>2030</v>
      </c>
      <c r="I3707" s="89">
        <f>MONTH(Tabela1[[#This Row],[Data de Validade]])</f>
        <v>8</v>
      </c>
      <c r="J3707" s="101">
        <v>44597</v>
      </c>
      <c r="K3707" s="87" t="s">
        <v>11</v>
      </c>
      <c r="L3707" s="108"/>
      <c r="M3707" s="108"/>
      <c r="N3707" s="108" t="str">
        <v>H166P663</v>
      </c>
      <c r="O3707" s="108">
        <f t="shared" si="59"/>
        <v>1</v>
      </c>
      <c r="P3707" s="108"/>
      <c r="Q3707"/>
    </row>
    <row r="3708" spans="1:17" x14ac:dyDescent="0.25">
      <c r="A3708" s="89" t="s">
        <v>5626</v>
      </c>
      <c r="B3708" s="87" t="s">
        <v>5627</v>
      </c>
      <c r="C3708" s="87" t="s">
        <v>12</v>
      </c>
      <c r="D3708" s="87" t="str">
        <f>VLOOKUP(Tabela1[[#This Row],[Origem]], 'Perguntas 1 a 24'!$J$28:$K$34, 2, 0)</f>
        <v>Sudeste</v>
      </c>
      <c r="E3708" s="87" t="str">
        <f>Tabela1[[#This Row],[Descrição]]&amp;"-"&amp;Tabela1[[#This Row],[Código]]&amp;"/"&amp;Tabela1[[#This Row],[Origem]]</f>
        <v>Felaceno-H366P418/RJ</v>
      </c>
      <c r="F3708" s="88">
        <v>47715</v>
      </c>
      <c r="G3708" s="88" t="str" cm="1">
        <f t="array" ref="G37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AND(F3708&gt;= DATE(2026,1,1), F3708&lt;= DATE(2028, 12, 31), J3708&gt;50000), "Pendente e Caro", AND(F3708&gt;= DATE(2026,1,1), F3708&lt;= DATE(2028, 12, 31), J3708&lt;=50000), "Pendente", F3708&gt;= DATE(2029,1,1), "Não prioeitário")</f>
        <v>Não prioeitário</v>
      </c>
      <c r="H3708" s="89">
        <f>YEAR(Tabela1[[#This Row],[Data de Validade]])</f>
        <v>2030</v>
      </c>
      <c r="I3708" s="89">
        <f>MONTH(Tabela1[[#This Row],[Data de Validade]])</f>
        <v>8</v>
      </c>
      <c r="J3708" s="101">
        <v>105763</v>
      </c>
      <c r="K3708" s="87" t="s">
        <v>11</v>
      </c>
      <c r="L3708" s="108"/>
      <c r="M3708" s="108"/>
      <c r="N3708" s="108" t="str">
        <v>P277P698</v>
      </c>
      <c r="O3708" s="108">
        <f t="shared" si="59"/>
        <v>1</v>
      </c>
      <c r="P3708" s="108"/>
      <c r="Q3708"/>
    </row>
    <row r="3709" spans="1:17" x14ac:dyDescent="0.25">
      <c r="A3709" s="89" t="s">
        <v>5378</v>
      </c>
      <c r="B3709" s="87" t="s">
        <v>5379</v>
      </c>
      <c r="C3709" s="87" t="s">
        <v>8</v>
      </c>
      <c r="D3709" s="87" t="str">
        <f>VLOOKUP(Tabela1[[#This Row],[Origem]], 'Perguntas 1 a 24'!$J$28:$K$34, 2, 0)</f>
        <v>Nordeste</v>
      </c>
      <c r="E3709" s="87" t="str">
        <f>Tabela1[[#This Row],[Descrição]]&amp;"-"&amp;Tabela1[[#This Row],[Código]]&amp;"/"&amp;Tabela1[[#This Row],[Origem]]</f>
        <v>Nepira-H887P957/AL</v>
      </c>
      <c r="F3709" s="88">
        <v>47715</v>
      </c>
      <c r="G3709" s="88" t="str" cm="1">
        <f t="array" ref="G37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AND(F3709&gt;= DATE(2026,1,1), F3709&lt;= DATE(2028, 12, 31), J3709&gt;50000), "Pendente e Caro", AND(F3709&gt;= DATE(2026,1,1), F3709&lt;= DATE(2028, 12, 31), J3709&lt;=50000), "Pendente", F3709&gt;= DATE(2029,1,1), "Não prioeitário")</f>
        <v>Não prioeitário</v>
      </c>
      <c r="H3709" s="89">
        <f>YEAR(Tabela1[[#This Row],[Data de Validade]])</f>
        <v>2030</v>
      </c>
      <c r="I3709" s="89">
        <f>MONTH(Tabela1[[#This Row],[Data de Validade]])</f>
        <v>8</v>
      </c>
      <c r="J3709" s="101">
        <v>82522</v>
      </c>
      <c r="K3709" s="87" t="s">
        <v>7</v>
      </c>
      <c r="L3709" s="108"/>
      <c r="M3709" s="108"/>
      <c r="N3709" s="108" t="str">
        <v>H937H135</v>
      </c>
      <c r="O3709" s="108">
        <f t="shared" si="59"/>
        <v>1</v>
      </c>
      <c r="P3709" s="108"/>
      <c r="Q3709"/>
    </row>
    <row r="3710" spans="1:17" x14ac:dyDescent="0.25">
      <c r="A3710" s="89" t="s">
        <v>8476</v>
      </c>
      <c r="B3710" s="87" t="s">
        <v>8477</v>
      </c>
      <c r="C3710" s="87" t="s">
        <v>12</v>
      </c>
      <c r="D3710" s="87" t="str">
        <f>VLOOKUP(Tabela1[[#This Row],[Origem]], 'Perguntas 1 a 24'!$J$28:$K$34, 2, 0)</f>
        <v>Sudeste</v>
      </c>
      <c r="E3710" s="87" t="str">
        <f>Tabela1[[#This Row],[Descrição]]&amp;"-"&amp;Tabela1[[#This Row],[Código]]&amp;"/"&amp;Tabela1[[#This Row],[Origem]]</f>
        <v>Gutelofoto-H952H325/RJ</v>
      </c>
      <c r="F3710" s="88">
        <v>47716</v>
      </c>
      <c r="G3710" s="88" t="str" cm="1">
        <f t="array" ref="G37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AND(F3710&gt;= DATE(2026,1,1), F3710&lt;= DATE(2028, 12, 31), J3710&gt;50000), "Pendente e Caro", AND(F3710&gt;= DATE(2026,1,1), F3710&lt;= DATE(2028, 12, 31), J3710&lt;=50000), "Pendente", F3710&gt;= DATE(2029,1,1), "Não prioeitário")</f>
        <v>Não prioeitário</v>
      </c>
      <c r="H3710" s="89">
        <f>YEAR(Tabela1[[#This Row],[Data de Validade]])</f>
        <v>2030</v>
      </c>
      <c r="I3710" s="89">
        <f>MONTH(Tabela1[[#This Row],[Data de Validade]])</f>
        <v>8</v>
      </c>
      <c r="J3710" s="101">
        <v>109443</v>
      </c>
      <c r="K3710" s="87" t="s">
        <v>14</v>
      </c>
      <c r="L3710" s="108"/>
      <c r="M3710" s="108"/>
      <c r="N3710" s="108" t="str">
        <v>P876P591</v>
      </c>
      <c r="O3710" s="108">
        <f t="shared" si="59"/>
        <v>1</v>
      </c>
      <c r="P3710" s="108"/>
      <c r="Q3710"/>
    </row>
    <row r="3711" spans="1:17" x14ac:dyDescent="0.25">
      <c r="A3711" s="89" t="s">
        <v>6806</v>
      </c>
      <c r="B3711" s="87" t="s">
        <v>6807</v>
      </c>
      <c r="C3711" s="87" t="s">
        <v>6</v>
      </c>
      <c r="D3711" s="87" t="str">
        <f>VLOOKUP(Tabela1[[#This Row],[Origem]], 'Perguntas 1 a 24'!$J$28:$K$34, 2, 0)</f>
        <v>Nordeste</v>
      </c>
      <c r="E3711" s="87" t="str">
        <f>Tabela1[[#This Row],[Descrição]]&amp;"-"&amp;Tabela1[[#This Row],[Código]]&amp;"/"&amp;Tabela1[[#This Row],[Origem]]</f>
        <v>Mavovici-H882H156/MA</v>
      </c>
      <c r="F3711" s="88">
        <v>47716</v>
      </c>
      <c r="G3711" s="88" t="str" cm="1">
        <f t="array" ref="G37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AND(F3711&gt;= DATE(2026,1,1), F3711&lt;= DATE(2028, 12, 31), J3711&gt;50000), "Pendente e Caro", AND(F3711&gt;= DATE(2026,1,1), F3711&lt;= DATE(2028, 12, 31), J3711&lt;=50000), "Pendente", F3711&gt;= DATE(2029,1,1), "Não prioeitário")</f>
        <v>Não prioeitário</v>
      </c>
      <c r="H3711" s="89">
        <f>YEAR(Tabela1[[#This Row],[Data de Validade]])</f>
        <v>2030</v>
      </c>
      <c r="I3711" s="89">
        <f>MONTH(Tabela1[[#This Row],[Data de Validade]])</f>
        <v>8</v>
      </c>
      <c r="J3711" s="101">
        <v>55121</v>
      </c>
      <c r="K3711" s="87" t="s">
        <v>7</v>
      </c>
      <c r="L3711" s="108"/>
      <c r="M3711" s="108"/>
      <c r="N3711" s="108" t="str">
        <v>H391H958</v>
      </c>
      <c r="O3711" s="108">
        <f t="shared" si="59"/>
        <v>1</v>
      </c>
      <c r="P3711" s="108"/>
      <c r="Q3711"/>
    </row>
    <row r="3712" spans="1:17" x14ac:dyDescent="0.25">
      <c r="A3712" s="89" t="s">
        <v>10063</v>
      </c>
      <c r="B3712" s="87" t="s">
        <v>10064</v>
      </c>
      <c r="C3712" s="87" t="s">
        <v>8</v>
      </c>
      <c r="D3712" s="87" t="str">
        <f>VLOOKUP(Tabela1[[#This Row],[Origem]], 'Perguntas 1 a 24'!$J$28:$K$34, 2, 0)</f>
        <v>Nordeste</v>
      </c>
      <c r="E3712" s="87" t="str">
        <f>Tabela1[[#This Row],[Descrição]]&amp;"-"&amp;Tabela1[[#This Row],[Código]]&amp;"/"&amp;Tabela1[[#This Row],[Origem]]</f>
        <v>Famufupe-H775P123/AL</v>
      </c>
      <c r="F3712" s="88">
        <v>47717</v>
      </c>
      <c r="G3712" s="88" t="str" cm="1">
        <f t="array" ref="G37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AND(F3712&gt;= DATE(2026,1,1), F3712&lt;= DATE(2028, 12, 31), J3712&gt;50000), "Pendente e Caro", AND(F3712&gt;= DATE(2026,1,1), F3712&lt;= DATE(2028, 12, 31), J3712&lt;=50000), "Pendente", F3712&gt;= DATE(2029,1,1), "Não prioeitário")</f>
        <v>Não prioeitário</v>
      </c>
      <c r="H3712" s="89">
        <f>YEAR(Tabela1[[#This Row],[Data de Validade]])</f>
        <v>2030</v>
      </c>
      <c r="I3712" s="89">
        <f>MONTH(Tabela1[[#This Row],[Data de Validade]])</f>
        <v>8</v>
      </c>
      <c r="J3712" s="101">
        <v>112717</v>
      </c>
      <c r="K3712" s="87" t="s">
        <v>14</v>
      </c>
      <c r="L3712" s="108"/>
      <c r="M3712" s="108"/>
      <c r="N3712" s="108" t="str">
        <v>P213H321</v>
      </c>
      <c r="O3712" s="108">
        <f t="shared" si="59"/>
        <v>1</v>
      </c>
      <c r="P3712" s="108"/>
      <c r="Q3712"/>
    </row>
    <row r="3713" spans="1:17" x14ac:dyDescent="0.25">
      <c r="A3713" s="89" t="s">
        <v>9099</v>
      </c>
      <c r="B3713" s="87" t="s">
        <v>9100</v>
      </c>
      <c r="C3713" s="87" t="s">
        <v>10</v>
      </c>
      <c r="D3713" s="87" t="str">
        <f>VLOOKUP(Tabela1[[#This Row],[Origem]], 'Perguntas 1 a 24'!$J$28:$K$34, 2, 0)</f>
        <v>Centro-Oeste</v>
      </c>
      <c r="E3713" s="87" t="str">
        <f>Tabela1[[#This Row],[Descrição]]&amp;"-"&amp;Tabela1[[#This Row],[Código]]&amp;"/"&amp;Tabela1[[#This Row],[Origem]]</f>
        <v>Dipodo-P376H483/GO</v>
      </c>
      <c r="F3713" s="88">
        <v>47717</v>
      </c>
      <c r="G3713" s="88" t="str" cm="1">
        <f t="array" ref="G37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AND(F3713&gt;= DATE(2026,1,1), F3713&lt;= DATE(2028, 12, 31), J3713&gt;50000), "Pendente e Caro", AND(F3713&gt;= DATE(2026,1,1), F3713&lt;= DATE(2028, 12, 31), J3713&lt;=50000), "Pendente", F3713&gt;= DATE(2029,1,1), "Não prioeitário")</f>
        <v>Não prioeitário</v>
      </c>
      <c r="H3713" s="89">
        <f>YEAR(Tabela1[[#This Row],[Data de Validade]])</f>
        <v>2030</v>
      </c>
      <c r="I3713" s="89">
        <f>MONTH(Tabela1[[#This Row],[Data de Validade]])</f>
        <v>8</v>
      </c>
      <c r="J3713" s="101">
        <v>102095</v>
      </c>
      <c r="K3713" s="87" t="s">
        <v>14</v>
      </c>
      <c r="L3713" s="108"/>
      <c r="M3713" s="108"/>
      <c r="N3713" s="108" t="str">
        <v>P979H356</v>
      </c>
      <c r="O3713" s="108">
        <f t="shared" si="59"/>
        <v>1</v>
      </c>
      <c r="P3713" s="108"/>
      <c r="Q3713"/>
    </row>
    <row r="3714" spans="1:17" x14ac:dyDescent="0.25">
      <c r="A3714" s="89" t="s">
        <v>5598</v>
      </c>
      <c r="B3714" s="87" t="s">
        <v>5599</v>
      </c>
      <c r="C3714" s="87" t="s">
        <v>16</v>
      </c>
      <c r="D3714" s="87" t="str">
        <f>VLOOKUP(Tabela1[[#This Row],[Origem]], 'Perguntas 1 a 24'!$J$28:$K$34, 2, 0)</f>
        <v>Sudeste</v>
      </c>
      <c r="E3714" s="87" t="str">
        <f>Tabela1[[#This Row],[Descrição]]&amp;"-"&amp;Tabela1[[#This Row],[Código]]&amp;"/"&amp;Tabela1[[#This Row],[Origem]]</f>
        <v>Dupodopu-H644P723/MG</v>
      </c>
      <c r="F3714" s="88">
        <v>47718</v>
      </c>
      <c r="G3714" s="88" t="str" cm="1">
        <f t="array" ref="G37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AND(F3714&gt;= DATE(2026,1,1), F3714&lt;= DATE(2028, 12, 31), J3714&gt;50000), "Pendente e Caro", AND(F3714&gt;= DATE(2026,1,1), F3714&lt;= DATE(2028, 12, 31), J3714&lt;=50000), "Pendente", F3714&gt;= DATE(2029,1,1), "Não prioeitário")</f>
        <v>Não prioeitário</v>
      </c>
      <c r="H3714" s="89">
        <f>YEAR(Tabela1[[#This Row],[Data de Validade]])</f>
        <v>2030</v>
      </c>
      <c r="I3714" s="89">
        <f>MONTH(Tabela1[[#This Row],[Data de Validade]])</f>
        <v>8</v>
      </c>
      <c r="J3714" s="101">
        <v>107980</v>
      </c>
      <c r="K3714" s="87" t="s">
        <v>9</v>
      </c>
      <c r="L3714" s="108"/>
      <c r="M3714" s="108"/>
      <c r="N3714" s="108" t="str">
        <v>P194P584</v>
      </c>
      <c r="O3714" s="108">
        <f t="shared" si="59"/>
        <v>1</v>
      </c>
      <c r="P3714" s="108"/>
      <c r="Q3714"/>
    </row>
    <row r="3715" spans="1:17" x14ac:dyDescent="0.25">
      <c r="A3715" s="89" t="s">
        <v>9065</v>
      </c>
      <c r="B3715" s="87" t="s">
        <v>9066</v>
      </c>
      <c r="C3715" s="87" t="s">
        <v>6</v>
      </c>
      <c r="D3715" s="87" t="str">
        <f>VLOOKUP(Tabela1[[#This Row],[Origem]], 'Perguntas 1 a 24'!$J$28:$K$34, 2, 0)</f>
        <v>Nordeste</v>
      </c>
      <c r="E3715" s="87" t="str">
        <f>Tabela1[[#This Row],[Descrição]]&amp;"-"&amp;Tabela1[[#This Row],[Código]]&amp;"/"&amp;Tabela1[[#This Row],[Origem]]</f>
        <v>Ridalavove-P157H499/MA</v>
      </c>
      <c r="F3715" s="88">
        <v>47719</v>
      </c>
      <c r="G3715" s="88" t="str" cm="1">
        <f t="array" ref="G37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AND(F3715&gt;= DATE(2026,1,1), F3715&lt;= DATE(2028, 12, 31), J3715&gt;50000), "Pendente e Caro", AND(F3715&gt;= DATE(2026,1,1), F3715&lt;= DATE(2028, 12, 31), J3715&lt;=50000), "Pendente", F3715&gt;= DATE(2029,1,1), "Não prioeitário")</f>
        <v>Não prioeitário</v>
      </c>
      <c r="H3715" s="89">
        <f>YEAR(Tabela1[[#This Row],[Data de Validade]])</f>
        <v>2030</v>
      </c>
      <c r="I3715" s="89">
        <f>MONTH(Tabela1[[#This Row],[Data de Validade]])</f>
        <v>8</v>
      </c>
      <c r="J3715" s="101">
        <v>76310</v>
      </c>
      <c r="K3715" s="87" t="s">
        <v>14</v>
      </c>
      <c r="L3715" s="108"/>
      <c r="M3715" s="108"/>
      <c r="N3715" s="108" t="str">
        <v>H546P146</v>
      </c>
      <c r="O3715" s="108">
        <f t="shared" ref="O3715:O3778" si="60">COUNTIFS(B:B,N3715)</f>
        <v>1</v>
      </c>
      <c r="P3715" s="108"/>
      <c r="Q3715"/>
    </row>
    <row r="3716" spans="1:17" x14ac:dyDescent="0.25">
      <c r="A3716" s="89" t="s">
        <v>5514</v>
      </c>
      <c r="B3716" s="87" t="s">
        <v>5515</v>
      </c>
      <c r="C3716" s="87" t="s">
        <v>8</v>
      </c>
      <c r="D3716" s="87" t="str">
        <f>VLOOKUP(Tabela1[[#This Row],[Origem]], 'Perguntas 1 a 24'!$J$28:$K$34, 2, 0)</f>
        <v>Nordeste</v>
      </c>
      <c r="E3716" s="87" t="str">
        <f>Tabela1[[#This Row],[Descrição]]&amp;"-"&amp;Tabela1[[#This Row],[Código]]&amp;"/"&amp;Tabela1[[#This Row],[Origem]]</f>
        <v>Palicu-H885H563/AL</v>
      </c>
      <c r="F3716" s="88">
        <v>47721</v>
      </c>
      <c r="G3716" s="88" t="str" cm="1">
        <f t="array" ref="G37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AND(F3716&gt;= DATE(2026,1,1), F3716&lt;= DATE(2028, 12, 31), J3716&gt;50000), "Pendente e Caro", AND(F3716&gt;= DATE(2026,1,1), F3716&lt;= DATE(2028, 12, 31), J3716&lt;=50000), "Pendente", F3716&gt;= DATE(2029,1,1), "Não prioeitário")</f>
        <v>Não prioeitário</v>
      </c>
      <c r="H3716" s="89">
        <f>YEAR(Tabela1[[#This Row],[Data de Validade]])</f>
        <v>2030</v>
      </c>
      <c r="I3716" s="89">
        <f>MONTH(Tabela1[[#This Row],[Data de Validade]])</f>
        <v>8</v>
      </c>
      <c r="J3716" s="101">
        <v>79795</v>
      </c>
      <c r="K3716" s="87" t="s">
        <v>7</v>
      </c>
      <c r="L3716" s="108"/>
      <c r="M3716" s="108"/>
      <c r="N3716" s="108" t="str">
        <v>P817P636</v>
      </c>
      <c r="O3716" s="108">
        <f t="shared" si="60"/>
        <v>1</v>
      </c>
      <c r="P3716" s="108"/>
      <c r="Q3716"/>
    </row>
    <row r="3717" spans="1:17" x14ac:dyDescent="0.25">
      <c r="A3717" s="89" t="s">
        <v>9541</v>
      </c>
      <c r="B3717" s="87" t="s">
        <v>9542</v>
      </c>
      <c r="C3717" s="87" t="s">
        <v>6</v>
      </c>
      <c r="D3717" s="87" t="str">
        <f>VLOOKUP(Tabela1[[#This Row],[Origem]], 'Perguntas 1 a 24'!$J$28:$K$34, 2, 0)</f>
        <v>Nordeste</v>
      </c>
      <c r="E3717" s="87" t="str">
        <f>Tabela1[[#This Row],[Descrição]]&amp;"-"&amp;Tabela1[[#This Row],[Código]]&amp;"/"&amp;Tabela1[[#This Row],[Origem]]</f>
        <v>Valime-H918P616/MA</v>
      </c>
      <c r="F3717" s="88">
        <v>47723</v>
      </c>
      <c r="G3717" s="88" t="str" cm="1">
        <f t="array" ref="G37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AND(F3717&gt;= DATE(2026,1,1), F3717&lt;= DATE(2028, 12, 31), J3717&gt;50000), "Pendente e Caro", AND(F3717&gt;= DATE(2026,1,1), F3717&lt;= DATE(2028, 12, 31), J3717&lt;=50000), "Pendente", F3717&gt;= DATE(2029,1,1), "Não prioeitário")</f>
        <v>Não prioeitário</v>
      </c>
      <c r="H3717" s="89">
        <f>YEAR(Tabela1[[#This Row],[Data de Validade]])</f>
        <v>2030</v>
      </c>
      <c r="I3717" s="89">
        <f>MONTH(Tabela1[[#This Row],[Data de Validade]])</f>
        <v>8</v>
      </c>
      <c r="J3717" s="101">
        <v>73498</v>
      </c>
      <c r="K3717" s="87" t="s">
        <v>7</v>
      </c>
      <c r="L3717" s="108"/>
      <c r="M3717" s="108"/>
      <c r="N3717" s="108" t="str">
        <v>H262P333</v>
      </c>
      <c r="O3717" s="108">
        <f t="shared" si="60"/>
        <v>1</v>
      </c>
      <c r="P3717" s="108"/>
      <c r="Q3717"/>
    </row>
    <row r="3718" spans="1:17" x14ac:dyDescent="0.25">
      <c r="A3718" s="89" t="s">
        <v>10823</v>
      </c>
      <c r="B3718" s="87" t="s">
        <v>10824</v>
      </c>
      <c r="C3718" s="87" t="s">
        <v>8</v>
      </c>
      <c r="D3718" s="87" t="str">
        <f>VLOOKUP(Tabela1[[#This Row],[Origem]], 'Perguntas 1 a 24'!$J$28:$K$34, 2, 0)</f>
        <v>Nordeste</v>
      </c>
      <c r="E3718" s="87" t="str">
        <f>Tabela1[[#This Row],[Descrição]]&amp;"-"&amp;Tabela1[[#This Row],[Código]]&amp;"/"&amp;Tabela1[[#This Row],[Origem]]</f>
        <v>Cofogetato-P754H458/AL</v>
      </c>
      <c r="F3718" s="88">
        <v>47724</v>
      </c>
      <c r="G3718" s="88" t="str" cm="1">
        <f t="array" ref="G37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AND(F3718&gt;= DATE(2026,1,1), F3718&lt;= DATE(2028, 12, 31), J3718&gt;50000), "Pendente e Caro", AND(F3718&gt;= DATE(2026,1,1), F3718&lt;= DATE(2028, 12, 31), J3718&lt;=50000), "Pendente", F3718&gt;= DATE(2029,1,1), "Não prioeitário")</f>
        <v>Não prioeitário</v>
      </c>
      <c r="H3718" s="89">
        <f>YEAR(Tabela1[[#This Row],[Data de Validade]])</f>
        <v>2030</v>
      </c>
      <c r="I3718" s="89">
        <f>MONTH(Tabela1[[#This Row],[Data de Validade]])</f>
        <v>8</v>
      </c>
      <c r="J3718" s="101">
        <v>64099</v>
      </c>
      <c r="K3718" s="87" t="s">
        <v>7</v>
      </c>
      <c r="L3718" s="108"/>
      <c r="M3718" s="108"/>
      <c r="N3718" s="108" t="str">
        <v>H853P914</v>
      </c>
      <c r="O3718" s="108">
        <f t="shared" si="60"/>
        <v>1</v>
      </c>
      <c r="P3718" s="108"/>
      <c r="Q3718"/>
    </row>
    <row r="3719" spans="1:17" x14ac:dyDescent="0.25">
      <c r="A3719" s="89" t="s">
        <v>7924</v>
      </c>
      <c r="B3719" s="87" t="s">
        <v>7925</v>
      </c>
      <c r="C3719" s="87" t="s">
        <v>10</v>
      </c>
      <c r="D3719" s="87" t="str">
        <f>VLOOKUP(Tabela1[[#This Row],[Origem]], 'Perguntas 1 a 24'!$J$28:$K$34, 2, 0)</f>
        <v>Centro-Oeste</v>
      </c>
      <c r="E3719" s="87" t="str">
        <f>Tabela1[[#This Row],[Descrição]]&amp;"-"&amp;Tabela1[[#This Row],[Código]]&amp;"/"&amp;Tabela1[[#This Row],[Origem]]</f>
        <v>Fopugufidi-H892P386/GO</v>
      </c>
      <c r="F3719" s="88">
        <v>47726</v>
      </c>
      <c r="G3719" s="88" t="str" cm="1">
        <f t="array" ref="G37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AND(F3719&gt;= DATE(2026,1,1), F3719&lt;= DATE(2028, 12, 31), J3719&gt;50000), "Pendente e Caro", AND(F3719&gt;= DATE(2026,1,1), F3719&lt;= DATE(2028, 12, 31), J3719&lt;=50000), "Pendente", F3719&gt;= DATE(2029,1,1), "Não prioeitário")</f>
        <v>Não prioeitário</v>
      </c>
      <c r="H3719" s="89">
        <f>YEAR(Tabela1[[#This Row],[Data de Validade]])</f>
        <v>2030</v>
      </c>
      <c r="I3719" s="89">
        <f>MONTH(Tabela1[[#This Row],[Data de Validade]])</f>
        <v>8</v>
      </c>
      <c r="J3719" s="101">
        <v>104682</v>
      </c>
      <c r="K3719" s="87" t="s">
        <v>7</v>
      </c>
      <c r="L3719" s="108"/>
      <c r="M3719" s="108"/>
      <c r="N3719" s="108" t="str">
        <v>P855P273</v>
      </c>
      <c r="O3719" s="108">
        <f t="shared" si="60"/>
        <v>1</v>
      </c>
      <c r="P3719" s="108"/>
      <c r="Q3719"/>
    </row>
    <row r="3720" spans="1:17" x14ac:dyDescent="0.25">
      <c r="A3720" s="89" t="s">
        <v>9011</v>
      </c>
      <c r="B3720" s="87" t="s">
        <v>9012</v>
      </c>
      <c r="C3720" s="87" t="s">
        <v>15</v>
      </c>
      <c r="D3720" s="87" t="str">
        <f>VLOOKUP(Tabela1[[#This Row],[Origem]], 'Perguntas 1 a 24'!$J$28:$K$34, 2, 0)</f>
        <v>Sudeste</v>
      </c>
      <c r="E3720" s="87" t="str">
        <f>Tabela1[[#This Row],[Descrição]]&amp;"-"&amp;Tabela1[[#This Row],[Código]]&amp;"/"&amp;Tabela1[[#This Row],[Origem]]</f>
        <v>Dupunutu-H166P663/ES</v>
      </c>
      <c r="F3720" s="88">
        <v>47728</v>
      </c>
      <c r="G3720" s="88" t="str" cm="1">
        <f t="array" ref="G37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AND(F3720&gt;= DATE(2026,1,1), F3720&lt;= DATE(2028, 12, 31), J3720&gt;50000), "Pendente e Caro", AND(F3720&gt;= DATE(2026,1,1), F3720&lt;= DATE(2028, 12, 31), J3720&lt;=50000), "Pendente", F3720&gt;= DATE(2029,1,1), "Não prioeitário")</f>
        <v>Não prioeitário</v>
      </c>
      <c r="H3720" s="89">
        <f>YEAR(Tabela1[[#This Row],[Data de Validade]])</f>
        <v>2030</v>
      </c>
      <c r="I3720" s="89">
        <f>MONTH(Tabela1[[#This Row],[Data de Validade]])</f>
        <v>9</v>
      </c>
      <c r="J3720" s="101">
        <v>57630</v>
      </c>
      <c r="K3720" s="87" t="s">
        <v>14</v>
      </c>
      <c r="L3720" s="108"/>
      <c r="M3720" s="108"/>
      <c r="N3720" s="108" t="str">
        <v>P331H938</v>
      </c>
      <c r="O3720" s="108">
        <f t="shared" si="60"/>
        <v>1</v>
      </c>
      <c r="P3720" s="108"/>
      <c r="Q3720"/>
    </row>
    <row r="3721" spans="1:17" x14ac:dyDescent="0.25">
      <c r="A3721" s="89" t="s">
        <v>3667</v>
      </c>
      <c r="B3721" s="87" t="s">
        <v>3668</v>
      </c>
      <c r="C3721" s="87" t="s">
        <v>10</v>
      </c>
      <c r="D3721" s="87" t="str">
        <f>VLOOKUP(Tabela1[[#This Row],[Origem]], 'Perguntas 1 a 24'!$J$28:$K$34, 2, 0)</f>
        <v>Centro-Oeste</v>
      </c>
      <c r="E3721" s="87" t="str">
        <f>Tabela1[[#This Row],[Descrição]]&amp;"-"&amp;Tabela1[[#This Row],[Código]]&amp;"/"&amp;Tabela1[[#This Row],[Origem]]</f>
        <v>Pufitutidu-P277P698/GO</v>
      </c>
      <c r="F3721" s="88">
        <v>47729</v>
      </c>
      <c r="G3721" s="88" t="str" cm="1">
        <f t="array" ref="G37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AND(F3721&gt;= DATE(2026,1,1), F3721&lt;= DATE(2028, 12, 31), J3721&gt;50000), "Pendente e Caro", AND(F3721&gt;= DATE(2026,1,1), F3721&lt;= DATE(2028, 12, 31), J3721&lt;=50000), "Pendente", F3721&gt;= DATE(2029,1,1), "Não prioeitário")</f>
        <v>Não prioeitário</v>
      </c>
      <c r="H3721" s="89">
        <f>YEAR(Tabela1[[#This Row],[Data de Validade]])</f>
        <v>2030</v>
      </c>
      <c r="I3721" s="89">
        <f>MONTH(Tabela1[[#This Row],[Data de Validade]])</f>
        <v>9</v>
      </c>
      <c r="J3721" s="101">
        <v>109438</v>
      </c>
      <c r="K3721" s="87" t="s">
        <v>11</v>
      </c>
      <c r="L3721" s="108"/>
      <c r="M3721" s="108"/>
      <c r="N3721" s="108" t="str">
        <v>P439H526</v>
      </c>
      <c r="O3721" s="108">
        <f t="shared" si="60"/>
        <v>1</v>
      </c>
      <c r="P3721" s="108"/>
      <c r="Q3721"/>
    </row>
    <row r="3722" spans="1:17" x14ac:dyDescent="0.25">
      <c r="A3722" s="89" t="s">
        <v>8633</v>
      </c>
      <c r="B3722" s="87" t="s">
        <v>8634</v>
      </c>
      <c r="C3722" s="87" t="s">
        <v>15</v>
      </c>
      <c r="D3722" s="87" t="str">
        <f>VLOOKUP(Tabela1[[#This Row],[Origem]], 'Perguntas 1 a 24'!$J$28:$K$34, 2, 0)</f>
        <v>Sudeste</v>
      </c>
      <c r="E3722" s="87" t="str">
        <f>Tabela1[[#This Row],[Descrição]]&amp;"-"&amp;Tabela1[[#This Row],[Código]]&amp;"/"&amp;Tabela1[[#This Row],[Origem]]</f>
        <v>Lupeli-H937H135/ES</v>
      </c>
      <c r="F3722" s="88">
        <v>47731</v>
      </c>
      <c r="G3722" s="88" t="str" cm="1">
        <f t="array" ref="G37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AND(F3722&gt;= DATE(2026,1,1), F3722&lt;= DATE(2028, 12, 31), J3722&gt;50000), "Pendente e Caro", AND(F3722&gt;= DATE(2026,1,1), F3722&lt;= DATE(2028, 12, 31), J3722&lt;=50000), "Pendente", F3722&gt;= DATE(2029,1,1), "Não prioeitário")</f>
        <v>Não prioeitário</v>
      </c>
      <c r="H3722" s="89">
        <f>YEAR(Tabela1[[#This Row],[Data de Validade]])</f>
        <v>2030</v>
      </c>
      <c r="I3722" s="89">
        <f>MONTH(Tabela1[[#This Row],[Data de Validade]])</f>
        <v>9</v>
      </c>
      <c r="J3722" s="101">
        <v>114874</v>
      </c>
      <c r="K3722" s="87" t="s">
        <v>9</v>
      </c>
      <c r="L3722" s="108"/>
      <c r="M3722" s="108"/>
      <c r="N3722" s="108" t="str">
        <v>H688P619</v>
      </c>
      <c r="O3722" s="108">
        <f t="shared" si="60"/>
        <v>1</v>
      </c>
      <c r="P3722" s="108"/>
      <c r="Q3722"/>
    </row>
    <row r="3723" spans="1:17" x14ac:dyDescent="0.25">
      <c r="A3723" s="89" t="s">
        <v>9455</v>
      </c>
      <c r="B3723" s="87" t="s">
        <v>9456</v>
      </c>
      <c r="C3723" s="87" t="s">
        <v>12</v>
      </c>
      <c r="D3723" s="87" t="str">
        <f>VLOOKUP(Tabela1[[#This Row],[Origem]], 'Perguntas 1 a 24'!$J$28:$K$34, 2, 0)</f>
        <v>Sudeste</v>
      </c>
      <c r="E3723" s="87" t="str">
        <f>Tabela1[[#This Row],[Descrição]]&amp;"-"&amp;Tabela1[[#This Row],[Código]]&amp;"/"&amp;Tabela1[[#This Row],[Origem]]</f>
        <v>Toradapu-P876P591/RJ</v>
      </c>
      <c r="F3723" s="88">
        <v>47731</v>
      </c>
      <c r="G3723" s="88" t="str" cm="1">
        <f t="array" ref="G37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AND(F3723&gt;= DATE(2026,1,1), F3723&lt;= DATE(2028, 12, 31), J3723&gt;50000), "Pendente e Caro", AND(F3723&gt;= DATE(2026,1,1), F3723&lt;= DATE(2028, 12, 31), J3723&lt;=50000), "Pendente", F3723&gt;= DATE(2029,1,1), "Não prioeitário")</f>
        <v>Não prioeitário</v>
      </c>
      <c r="H3723" s="89">
        <f>YEAR(Tabela1[[#This Row],[Data de Validade]])</f>
        <v>2030</v>
      </c>
      <c r="I3723" s="89">
        <f>MONTH(Tabela1[[#This Row],[Data de Validade]])</f>
        <v>9</v>
      </c>
      <c r="J3723" s="101">
        <v>63770</v>
      </c>
      <c r="K3723" s="87" t="s">
        <v>9</v>
      </c>
      <c r="L3723" s="108"/>
      <c r="M3723" s="108"/>
      <c r="N3723" s="108" t="str">
        <v>H194P712</v>
      </c>
      <c r="O3723" s="108">
        <f t="shared" si="60"/>
        <v>1</v>
      </c>
      <c r="P3723" s="108"/>
      <c r="Q3723"/>
    </row>
    <row r="3724" spans="1:17" x14ac:dyDescent="0.25">
      <c r="A3724" s="89" t="s">
        <v>8805</v>
      </c>
      <c r="B3724" s="87" t="s">
        <v>8806</v>
      </c>
      <c r="C3724" s="87" t="s">
        <v>8</v>
      </c>
      <c r="D3724" s="87" t="str">
        <f>VLOOKUP(Tabela1[[#This Row],[Origem]], 'Perguntas 1 a 24'!$J$28:$K$34, 2, 0)</f>
        <v>Nordeste</v>
      </c>
      <c r="E3724" s="87" t="str">
        <f>Tabela1[[#This Row],[Descrição]]&amp;"-"&amp;Tabela1[[#This Row],[Código]]&amp;"/"&amp;Tabela1[[#This Row],[Origem]]</f>
        <v>Gacode-H391H958/AL</v>
      </c>
      <c r="F3724" s="88">
        <v>47732</v>
      </c>
      <c r="G3724" s="88" t="str" cm="1">
        <f t="array" ref="G37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AND(F3724&gt;= DATE(2026,1,1), F3724&lt;= DATE(2028, 12, 31), J3724&gt;50000), "Pendente e Caro", AND(F3724&gt;= DATE(2026,1,1), F3724&lt;= DATE(2028, 12, 31), J3724&lt;=50000), "Pendente", F3724&gt;= DATE(2029,1,1), "Não prioeitário")</f>
        <v>Não prioeitário</v>
      </c>
      <c r="H3724" s="89">
        <f>YEAR(Tabela1[[#This Row],[Data de Validade]])</f>
        <v>2030</v>
      </c>
      <c r="I3724" s="89">
        <f>MONTH(Tabela1[[#This Row],[Data de Validade]])</f>
        <v>9</v>
      </c>
      <c r="J3724" s="101">
        <v>118343</v>
      </c>
      <c r="K3724" s="87" t="s">
        <v>14</v>
      </c>
      <c r="L3724" s="108"/>
      <c r="M3724" s="108"/>
      <c r="N3724" s="108" t="str">
        <v>P373P773</v>
      </c>
      <c r="O3724" s="108">
        <f t="shared" si="60"/>
        <v>1</v>
      </c>
      <c r="P3724" s="108"/>
      <c r="Q3724"/>
    </row>
    <row r="3725" spans="1:17" x14ac:dyDescent="0.25">
      <c r="A3725" s="89" t="s">
        <v>4568</v>
      </c>
      <c r="B3725" s="87" t="s">
        <v>4569</v>
      </c>
      <c r="C3725" s="87" t="s">
        <v>16</v>
      </c>
      <c r="D3725" s="87" t="str">
        <f>VLOOKUP(Tabela1[[#This Row],[Origem]], 'Perguntas 1 a 24'!$J$28:$K$34, 2, 0)</f>
        <v>Sudeste</v>
      </c>
      <c r="E3725" s="87" t="str">
        <f>Tabela1[[#This Row],[Descrição]]&amp;"-"&amp;Tabela1[[#This Row],[Código]]&amp;"/"&amp;Tabela1[[#This Row],[Origem]]</f>
        <v>Dufemidego-P213H321/MG</v>
      </c>
      <c r="F3725" s="88">
        <v>47732</v>
      </c>
      <c r="G3725" s="88" t="str" cm="1">
        <f t="array" ref="G37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AND(F3725&gt;= DATE(2026,1,1), F3725&lt;= DATE(2028, 12, 31), J3725&gt;50000), "Pendente e Caro", AND(F3725&gt;= DATE(2026,1,1), F3725&lt;= DATE(2028, 12, 31), J3725&lt;=50000), "Pendente", F3725&gt;= DATE(2029,1,1), "Não prioeitário")</f>
        <v>Não prioeitário</v>
      </c>
      <c r="H3725" s="89">
        <f>YEAR(Tabela1[[#This Row],[Data de Validade]])</f>
        <v>2030</v>
      </c>
      <c r="I3725" s="89">
        <f>MONTH(Tabela1[[#This Row],[Data de Validade]])</f>
        <v>9</v>
      </c>
      <c r="J3725" s="101">
        <v>114761</v>
      </c>
      <c r="K3725" s="87" t="s">
        <v>11</v>
      </c>
      <c r="L3725" s="108"/>
      <c r="M3725" s="108"/>
      <c r="N3725" s="108" t="str">
        <v>H363H285</v>
      </c>
      <c r="O3725" s="108">
        <f t="shared" si="60"/>
        <v>1</v>
      </c>
      <c r="P3725" s="108"/>
      <c r="Q3725"/>
    </row>
    <row r="3726" spans="1:17" x14ac:dyDescent="0.25">
      <c r="A3726" s="89" t="s">
        <v>4806</v>
      </c>
      <c r="B3726" s="87" t="s">
        <v>4807</v>
      </c>
      <c r="C3726" s="87" t="s">
        <v>12</v>
      </c>
      <c r="D3726" s="87" t="str">
        <f>VLOOKUP(Tabela1[[#This Row],[Origem]], 'Perguntas 1 a 24'!$J$28:$K$34, 2, 0)</f>
        <v>Sudeste</v>
      </c>
      <c r="E3726" s="87" t="str">
        <f>Tabela1[[#This Row],[Descrição]]&amp;"-"&amp;Tabela1[[#This Row],[Código]]&amp;"/"&amp;Tabela1[[#This Row],[Origem]]</f>
        <v>Motonati-P979H356/RJ</v>
      </c>
      <c r="F3726" s="88">
        <v>47732</v>
      </c>
      <c r="G3726" s="88" t="str" cm="1">
        <f t="array" ref="G37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AND(F3726&gt;= DATE(2026,1,1), F3726&lt;= DATE(2028, 12, 31), J3726&gt;50000), "Pendente e Caro", AND(F3726&gt;= DATE(2026,1,1), F3726&lt;= DATE(2028, 12, 31), J3726&lt;=50000), "Pendente", F3726&gt;= DATE(2029,1,1), "Não prioeitário")</f>
        <v>Não prioeitário</v>
      </c>
      <c r="H3726" s="89">
        <f>YEAR(Tabela1[[#This Row],[Data de Validade]])</f>
        <v>2030</v>
      </c>
      <c r="I3726" s="89">
        <f>MONTH(Tabela1[[#This Row],[Data de Validade]])</f>
        <v>9</v>
      </c>
      <c r="J3726" s="101">
        <v>71534</v>
      </c>
      <c r="K3726" s="87" t="s">
        <v>9</v>
      </c>
      <c r="L3726" s="108"/>
      <c r="M3726" s="108"/>
      <c r="N3726" s="108" t="str">
        <v>P782H188</v>
      </c>
      <c r="O3726" s="108">
        <f t="shared" si="60"/>
        <v>1</v>
      </c>
      <c r="P3726" s="108"/>
      <c r="Q3726"/>
    </row>
    <row r="3727" spans="1:17" x14ac:dyDescent="0.25">
      <c r="A3727" s="89" t="s">
        <v>4700</v>
      </c>
      <c r="B3727" s="87" t="s">
        <v>4701</v>
      </c>
      <c r="C3727" s="87" t="s">
        <v>12</v>
      </c>
      <c r="D3727" s="87" t="str">
        <f>VLOOKUP(Tabela1[[#This Row],[Origem]], 'Perguntas 1 a 24'!$J$28:$K$34, 2, 0)</f>
        <v>Sudeste</v>
      </c>
      <c r="E3727" s="87" t="str">
        <f>Tabela1[[#This Row],[Descrição]]&amp;"-"&amp;Tabela1[[#This Row],[Código]]&amp;"/"&amp;Tabela1[[#This Row],[Origem]]</f>
        <v>Pitufotoga-P194P584/RJ</v>
      </c>
      <c r="F3727" s="88">
        <v>47734</v>
      </c>
      <c r="G3727" s="88" t="str" cm="1">
        <f t="array" ref="G37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AND(F3727&gt;= DATE(2026,1,1), F3727&lt;= DATE(2028, 12, 31), J3727&gt;50000), "Pendente e Caro", AND(F3727&gt;= DATE(2026,1,1), F3727&lt;= DATE(2028, 12, 31), J3727&lt;=50000), "Pendente", F3727&gt;= DATE(2029,1,1), "Não prioeitário")</f>
        <v>Não prioeitário</v>
      </c>
      <c r="H3727" s="89">
        <f>YEAR(Tabela1[[#This Row],[Data de Validade]])</f>
        <v>2030</v>
      </c>
      <c r="I3727" s="89">
        <f>MONTH(Tabela1[[#This Row],[Data de Validade]])</f>
        <v>9</v>
      </c>
      <c r="J3727" s="101">
        <v>97333</v>
      </c>
      <c r="K3727" s="87" t="s">
        <v>14</v>
      </c>
      <c r="L3727" s="108"/>
      <c r="M3727" s="108"/>
      <c r="N3727" s="108" t="str">
        <v>H948H984</v>
      </c>
      <c r="O3727" s="108">
        <f t="shared" si="60"/>
        <v>1</v>
      </c>
      <c r="P3727" s="108"/>
      <c r="Q3727"/>
    </row>
    <row r="3728" spans="1:17" x14ac:dyDescent="0.25">
      <c r="A3728" s="89" t="s">
        <v>4742</v>
      </c>
      <c r="B3728" s="87" t="s">
        <v>4743</v>
      </c>
      <c r="C3728" s="87" t="s">
        <v>10</v>
      </c>
      <c r="D3728" s="87" t="str">
        <f>VLOOKUP(Tabela1[[#This Row],[Origem]], 'Perguntas 1 a 24'!$J$28:$K$34, 2, 0)</f>
        <v>Centro-Oeste</v>
      </c>
      <c r="E3728" s="87" t="str">
        <f>Tabela1[[#This Row],[Descrição]]&amp;"-"&amp;Tabela1[[#This Row],[Código]]&amp;"/"&amp;Tabela1[[#This Row],[Origem]]</f>
        <v>Tigepomupe-H546P146/GO</v>
      </c>
      <c r="F3728" s="88">
        <v>47736</v>
      </c>
      <c r="G3728" s="88" t="str" cm="1">
        <f t="array" ref="G37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AND(F3728&gt;= DATE(2026,1,1), F3728&lt;= DATE(2028, 12, 31), J3728&gt;50000), "Pendente e Caro", AND(F3728&gt;= DATE(2026,1,1), F3728&lt;= DATE(2028, 12, 31), J3728&lt;=50000), "Pendente", F3728&gt;= DATE(2029,1,1), "Não prioeitário")</f>
        <v>Não prioeitário</v>
      </c>
      <c r="H3728" s="89">
        <f>YEAR(Tabela1[[#This Row],[Data de Validade]])</f>
        <v>2030</v>
      </c>
      <c r="I3728" s="89">
        <f>MONTH(Tabela1[[#This Row],[Data de Validade]])</f>
        <v>9</v>
      </c>
      <c r="J3728" s="101">
        <v>30377</v>
      </c>
      <c r="K3728" s="87" t="s">
        <v>9</v>
      </c>
      <c r="L3728" s="108"/>
      <c r="M3728" s="108"/>
      <c r="N3728" s="108" t="str">
        <v>H979P574</v>
      </c>
      <c r="O3728" s="108">
        <f t="shared" si="60"/>
        <v>1</v>
      </c>
      <c r="P3728" s="108"/>
      <c r="Q3728"/>
    </row>
    <row r="3729" spans="1:17" x14ac:dyDescent="0.25">
      <c r="A3729" s="89" t="s">
        <v>10287</v>
      </c>
      <c r="B3729" s="87" t="s">
        <v>10288</v>
      </c>
      <c r="C3729" s="87" t="s">
        <v>15</v>
      </c>
      <c r="D3729" s="87" t="str">
        <f>VLOOKUP(Tabela1[[#This Row],[Origem]], 'Perguntas 1 a 24'!$J$28:$K$34, 2, 0)</f>
        <v>Sudeste</v>
      </c>
      <c r="E3729" s="87" t="str">
        <f>Tabela1[[#This Row],[Descrição]]&amp;"-"&amp;Tabela1[[#This Row],[Código]]&amp;"/"&amp;Tabela1[[#This Row],[Origem]]</f>
        <v>Lecime-P817P636/ES</v>
      </c>
      <c r="F3729" s="88">
        <v>47738</v>
      </c>
      <c r="G3729" s="88" t="str" cm="1">
        <f t="array" ref="G37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AND(F3729&gt;= DATE(2026,1,1), F3729&lt;= DATE(2028, 12, 31), J3729&gt;50000), "Pendente e Caro", AND(F3729&gt;= DATE(2026,1,1), F3729&lt;= DATE(2028, 12, 31), J3729&lt;=50000), "Pendente", F3729&gt;= DATE(2029,1,1), "Não prioeitário")</f>
        <v>Não prioeitário</v>
      </c>
      <c r="H3729" s="89">
        <f>YEAR(Tabela1[[#This Row],[Data de Validade]])</f>
        <v>2030</v>
      </c>
      <c r="I3729" s="89">
        <f>MONTH(Tabela1[[#This Row],[Data de Validade]])</f>
        <v>9</v>
      </c>
      <c r="J3729" s="101">
        <v>58741</v>
      </c>
      <c r="K3729" s="87" t="s">
        <v>7</v>
      </c>
      <c r="L3729" s="108"/>
      <c r="M3729" s="108"/>
      <c r="N3729" s="108" t="str">
        <v>P186H447</v>
      </c>
      <c r="O3729" s="108">
        <f t="shared" si="60"/>
        <v>1</v>
      </c>
      <c r="P3729" s="108"/>
      <c r="Q3729"/>
    </row>
    <row r="3730" spans="1:17" x14ac:dyDescent="0.25">
      <c r="A3730" s="89" t="s">
        <v>10039</v>
      </c>
      <c r="B3730" s="87" t="s">
        <v>10040</v>
      </c>
      <c r="C3730" s="87" t="s">
        <v>10</v>
      </c>
      <c r="D3730" s="87" t="str">
        <f>VLOOKUP(Tabela1[[#This Row],[Origem]], 'Perguntas 1 a 24'!$J$28:$K$34, 2, 0)</f>
        <v>Centro-Oeste</v>
      </c>
      <c r="E3730" s="87" t="str">
        <f>Tabela1[[#This Row],[Descrição]]&amp;"-"&amp;Tabela1[[#This Row],[Código]]&amp;"/"&amp;Tabela1[[#This Row],[Origem]]</f>
        <v>Napefalucu-H262P333/GO</v>
      </c>
      <c r="F3730" s="88">
        <v>47738</v>
      </c>
      <c r="G3730" s="88" t="str" cm="1">
        <f t="array" ref="G37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AND(F3730&gt;= DATE(2026,1,1), F3730&lt;= DATE(2028, 12, 31), J3730&gt;50000), "Pendente e Caro", AND(F3730&gt;= DATE(2026,1,1), F3730&lt;= DATE(2028, 12, 31), J3730&lt;=50000), "Pendente", F3730&gt;= DATE(2029,1,1), "Não prioeitário")</f>
        <v>Não prioeitário</v>
      </c>
      <c r="H3730" s="89">
        <f>YEAR(Tabela1[[#This Row],[Data de Validade]])</f>
        <v>2030</v>
      </c>
      <c r="I3730" s="89">
        <f>MONTH(Tabela1[[#This Row],[Data de Validade]])</f>
        <v>9</v>
      </c>
      <c r="J3730" s="101">
        <v>48794</v>
      </c>
      <c r="K3730" s="87" t="s">
        <v>7</v>
      </c>
      <c r="L3730" s="108"/>
      <c r="M3730" s="108"/>
      <c r="N3730" s="108" t="str">
        <v>H253P598</v>
      </c>
      <c r="O3730" s="108">
        <f t="shared" si="60"/>
        <v>1</v>
      </c>
      <c r="P3730" s="108"/>
      <c r="Q3730"/>
    </row>
    <row r="3731" spans="1:17" x14ac:dyDescent="0.25">
      <c r="A3731" s="89" t="s">
        <v>9201</v>
      </c>
      <c r="B3731" s="87" t="s">
        <v>9202</v>
      </c>
      <c r="C3731" s="87" t="s">
        <v>6</v>
      </c>
      <c r="D3731" s="87" t="str">
        <f>VLOOKUP(Tabela1[[#This Row],[Origem]], 'Perguntas 1 a 24'!$J$28:$K$34, 2, 0)</f>
        <v>Nordeste</v>
      </c>
      <c r="E3731" s="87" t="str">
        <f>Tabela1[[#This Row],[Descrição]]&amp;"-"&amp;Tabela1[[#This Row],[Código]]&amp;"/"&amp;Tabela1[[#This Row],[Origem]]</f>
        <v>Pimivefipa-H853P914/MA</v>
      </c>
      <c r="F3731" s="88">
        <v>47738</v>
      </c>
      <c r="G3731" s="88" t="str" cm="1">
        <f t="array" ref="G37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AND(F3731&gt;= DATE(2026,1,1), F3731&lt;= DATE(2028, 12, 31), J3731&gt;50000), "Pendente e Caro", AND(F3731&gt;= DATE(2026,1,1), F3731&lt;= DATE(2028, 12, 31), J3731&lt;=50000), "Pendente", F3731&gt;= DATE(2029,1,1), "Não prioeitário")</f>
        <v>Não prioeitário</v>
      </c>
      <c r="H3731" s="89">
        <f>YEAR(Tabela1[[#This Row],[Data de Validade]])</f>
        <v>2030</v>
      </c>
      <c r="I3731" s="89">
        <f>MONTH(Tabela1[[#This Row],[Data de Validade]])</f>
        <v>9</v>
      </c>
      <c r="J3731" s="101">
        <v>21494</v>
      </c>
      <c r="K3731" s="87" t="s">
        <v>7</v>
      </c>
      <c r="L3731" s="108"/>
      <c r="M3731" s="108"/>
      <c r="N3731" s="108" t="str">
        <v>H759H792</v>
      </c>
      <c r="O3731" s="108">
        <f t="shared" si="60"/>
        <v>1</v>
      </c>
      <c r="P3731" s="108"/>
      <c r="Q3731"/>
    </row>
    <row r="3732" spans="1:17" x14ac:dyDescent="0.25">
      <c r="A3732" s="89" t="s">
        <v>7210</v>
      </c>
      <c r="B3732" s="87" t="s">
        <v>7211</v>
      </c>
      <c r="C3732" s="87" t="s">
        <v>12</v>
      </c>
      <c r="D3732" s="87" t="str">
        <f>VLOOKUP(Tabela1[[#This Row],[Origem]], 'Perguntas 1 a 24'!$J$28:$K$34, 2, 0)</f>
        <v>Sudeste</v>
      </c>
      <c r="E3732" s="87" t="str">
        <f>Tabela1[[#This Row],[Descrição]]&amp;"-"&amp;Tabela1[[#This Row],[Código]]&amp;"/"&amp;Tabela1[[#This Row],[Origem]]</f>
        <v>Ponava-P855P273/RJ</v>
      </c>
      <c r="F3732" s="88">
        <v>47739</v>
      </c>
      <c r="G3732" s="88" t="str" cm="1">
        <f t="array" ref="G37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AND(F3732&gt;= DATE(2026,1,1), F3732&lt;= DATE(2028, 12, 31), J3732&gt;50000), "Pendente e Caro", AND(F3732&gt;= DATE(2026,1,1), F3732&lt;= DATE(2028, 12, 31), J3732&lt;=50000), "Pendente", F3732&gt;= DATE(2029,1,1), "Não prioeitário")</f>
        <v>Não prioeitário</v>
      </c>
      <c r="H3732" s="89">
        <f>YEAR(Tabela1[[#This Row],[Data de Validade]])</f>
        <v>2030</v>
      </c>
      <c r="I3732" s="89">
        <f>MONTH(Tabela1[[#This Row],[Data de Validade]])</f>
        <v>9</v>
      </c>
      <c r="J3732" s="101">
        <v>105018</v>
      </c>
      <c r="K3732" s="87" t="s">
        <v>11</v>
      </c>
      <c r="L3732" s="108"/>
      <c r="M3732" s="108"/>
      <c r="N3732" s="108" t="str">
        <v>H614H456</v>
      </c>
      <c r="O3732" s="108">
        <f t="shared" si="60"/>
        <v>1</v>
      </c>
      <c r="P3732" s="108"/>
      <c r="Q3732"/>
    </row>
    <row r="3733" spans="1:17" x14ac:dyDescent="0.25">
      <c r="A3733" s="89" t="s">
        <v>7136</v>
      </c>
      <c r="B3733" s="87" t="s">
        <v>7137</v>
      </c>
      <c r="C3733" s="87" t="s">
        <v>16</v>
      </c>
      <c r="D3733" s="87" t="str">
        <f>VLOOKUP(Tabela1[[#This Row],[Origem]], 'Perguntas 1 a 24'!$J$28:$K$34, 2, 0)</f>
        <v>Sudeste</v>
      </c>
      <c r="E3733" s="87" t="str">
        <f>Tabela1[[#This Row],[Descrição]]&amp;"-"&amp;Tabela1[[#This Row],[Código]]&amp;"/"&amp;Tabela1[[#This Row],[Origem]]</f>
        <v>Gorani-P331H938/MG</v>
      </c>
      <c r="F3733" s="88">
        <v>47739</v>
      </c>
      <c r="G3733" s="88" t="str" cm="1">
        <f t="array" ref="G37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AND(F3733&gt;= DATE(2026,1,1), F3733&lt;= DATE(2028, 12, 31), J3733&gt;50000), "Pendente e Caro", AND(F3733&gt;= DATE(2026,1,1), F3733&lt;= DATE(2028, 12, 31), J3733&lt;=50000), "Pendente", F3733&gt;= DATE(2029,1,1), "Não prioeitário")</f>
        <v>Não prioeitário</v>
      </c>
      <c r="H3733" s="89">
        <f>YEAR(Tabela1[[#This Row],[Data de Validade]])</f>
        <v>2030</v>
      </c>
      <c r="I3733" s="89">
        <f>MONTH(Tabela1[[#This Row],[Data de Validade]])</f>
        <v>9</v>
      </c>
      <c r="J3733" s="101">
        <v>24078</v>
      </c>
      <c r="K3733" s="87" t="s">
        <v>11</v>
      </c>
      <c r="L3733" s="108"/>
      <c r="M3733" s="108"/>
      <c r="N3733" s="108" t="str">
        <v>P762P889</v>
      </c>
      <c r="O3733" s="108">
        <f t="shared" si="60"/>
        <v>1</v>
      </c>
      <c r="P3733" s="108"/>
      <c r="Q3733"/>
    </row>
    <row r="3734" spans="1:17" x14ac:dyDescent="0.25">
      <c r="A3734" s="89" t="s">
        <v>11212</v>
      </c>
      <c r="B3734" s="87" t="s">
        <v>11213</v>
      </c>
      <c r="C3734" s="87" t="s">
        <v>15</v>
      </c>
      <c r="D3734" s="87" t="str">
        <f>VLOOKUP(Tabela1[[#This Row],[Origem]], 'Perguntas 1 a 24'!$J$28:$K$34, 2, 0)</f>
        <v>Sudeste</v>
      </c>
      <c r="E3734" s="87" t="str">
        <f>Tabela1[[#This Row],[Descrição]]&amp;"-"&amp;Tabela1[[#This Row],[Código]]&amp;"/"&amp;Tabela1[[#This Row],[Origem]]</f>
        <v>Fepapiteci-P439H526/ES</v>
      </c>
      <c r="F3734" s="88">
        <v>47741</v>
      </c>
      <c r="G3734" s="88" t="str" cm="1">
        <f t="array" ref="G37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AND(F3734&gt;= DATE(2026,1,1), F3734&lt;= DATE(2028, 12, 31), J3734&gt;50000), "Pendente e Caro", AND(F3734&gt;= DATE(2026,1,1), F3734&lt;= DATE(2028, 12, 31), J3734&lt;=50000), "Pendente", F3734&gt;= DATE(2029,1,1), "Não prioeitário")</f>
        <v>Não prioeitário</v>
      </c>
      <c r="H3734" s="89">
        <f>YEAR(Tabela1[[#This Row],[Data de Validade]])</f>
        <v>2030</v>
      </c>
      <c r="I3734" s="89">
        <f>MONTH(Tabela1[[#This Row],[Data de Validade]])</f>
        <v>9</v>
      </c>
      <c r="J3734" s="101">
        <v>83636</v>
      </c>
      <c r="K3734" s="87" t="s">
        <v>7</v>
      </c>
      <c r="L3734" s="108"/>
      <c r="M3734" s="108"/>
      <c r="N3734" s="108" t="str">
        <v>P742H183</v>
      </c>
      <c r="O3734" s="108">
        <f t="shared" si="60"/>
        <v>1</v>
      </c>
      <c r="P3734" s="108"/>
      <c r="Q3734"/>
    </row>
    <row r="3735" spans="1:17" x14ac:dyDescent="0.25">
      <c r="A3735" s="89" t="s">
        <v>6784</v>
      </c>
      <c r="B3735" s="87" t="s">
        <v>6785</v>
      </c>
      <c r="C3735" s="87" t="s">
        <v>6</v>
      </c>
      <c r="D3735" s="87" t="str">
        <f>VLOOKUP(Tabela1[[#This Row],[Origem]], 'Perguntas 1 a 24'!$J$28:$K$34, 2, 0)</f>
        <v>Nordeste</v>
      </c>
      <c r="E3735" s="87" t="str">
        <f>Tabela1[[#This Row],[Descrição]]&amp;"-"&amp;Tabela1[[#This Row],[Código]]&amp;"/"&amp;Tabela1[[#This Row],[Origem]]</f>
        <v>Tivaru-H688P619/MA</v>
      </c>
      <c r="F3735" s="88">
        <v>47742</v>
      </c>
      <c r="G3735" s="88" t="str" cm="1">
        <f t="array" ref="G37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AND(F3735&gt;= DATE(2026,1,1), F3735&lt;= DATE(2028, 12, 31), J3735&gt;50000), "Pendente e Caro", AND(F3735&gt;= DATE(2026,1,1), F3735&lt;= DATE(2028, 12, 31), J3735&lt;=50000), "Pendente", F3735&gt;= DATE(2029,1,1), "Não prioeitário")</f>
        <v>Não prioeitário</v>
      </c>
      <c r="H3735" s="89">
        <f>YEAR(Tabela1[[#This Row],[Data de Validade]])</f>
        <v>2030</v>
      </c>
      <c r="I3735" s="89">
        <f>MONTH(Tabela1[[#This Row],[Data de Validade]])</f>
        <v>9</v>
      </c>
      <c r="J3735" s="101">
        <v>119562</v>
      </c>
      <c r="K3735" s="87" t="s">
        <v>11</v>
      </c>
      <c r="L3735" s="108"/>
      <c r="M3735" s="108"/>
      <c r="N3735" s="108" t="str">
        <v>P251P444</v>
      </c>
      <c r="O3735" s="108">
        <f t="shared" si="60"/>
        <v>1</v>
      </c>
      <c r="P3735" s="108"/>
      <c r="Q3735"/>
    </row>
    <row r="3736" spans="1:17" x14ac:dyDescent="0.25">
      <c r="A3736" s="89" t="s">
        <v>8769</v>
      </c>
      <c r="B3736" s="87" t="s">
        <v>8770</v>
      </c>
      <c r="C3736" s="87" t="s">
        <v>12</v>
      </c>
      <c r="D3736" s="87" t="str">
        <f>VLOOKUP(Tabela1[[#This Row],[Origem]], 'Perguntas 1 a 24'!$J$28:$K$34, 2, 0)</f>
        <v>Sudeste</v>
      </c>
      <c r="E3736" s="87" t="str">
        <f>Tabela1[[#This Row],[Descrição]]&amp;"-"&amp;Tabela1[[#This Row],[Código]]&amp;"/"&amp;Tabela1[[#This Row],[Origem]]</f>
        <v>Tanica-H194P712/RJ</v>
      </c>
      <c r="F3736" s="88">
        <v>47742</v>
      </c>
      <c r="G3736" s="88" t="str" cm="1">
        <f t="array" ref="G37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AND(F3736&gt;= DATE(2026,1,1), F3736&lt;= DATE(2028, 12, 31), J3736&gt;50000), "Pendente e Caro", AND(F3736&gt;= DATE(2026,1,1), F3736&lt;= DATE(2028, 12, 31), J3736&lt;=50000), "Pendente", F3736&gt;= DATE(2029,1,1), "Não prioeitário")</f>
        <v>Não prioeitário</v>
      </c>
      <c r="H3736" s="89">
        <f>YEAR(Tabela1[[#This Row],[Data de Validade]])</f>
        <v>2030</v>
      </c>
      <c r="I3736" s="89">
        <f>MONTH(Tabela1[[#This Row],[Data de Validade]])</f>
        <v>9</v>
      </c>
      <c r="J3736" s="101">
        <v>31024</v>
      </c>
      <c r="K3736" s="87" t="s">
        <v>7</v>
      </c>
      <c r="L3736" s="108"/>
      <c r="M3736" s="108"/>
      <c r="N3736" s="108" t="str">
        <v>P526P552</v>
      </c>
      <c r="O3736" s="108">
        <f t="shared" si="60"/>
        <v>1</v>
      </c>
      <c r="P3736" s="108"/>
      <c r="Q3736"/>
    </row>
    <row r="3737" spans="1:17" x14ac:dyDescent="0.25">
      <c r="A3737" s="89" t="s">
        <v>10391</v>
      </c>
      <c r="B3737" s="87" t="s">
        <v>10392</v>
      </c>
      <c r="C3737" s="87" t="s">
        <v>10</v>
      </c>
      <c r="D3737" s="87" t="str">
        <f>VLOOKUP(Tabela1[[#This Row],[Origem]], 'Perguntas 1 a 24'!$J$28:$K$34, 2, 0)</f>
        <v>Centro-Oeste</v>
      </c>
      <c r="E3737" s="87" t="str">
        <f>Tabela1[[#This Row],[Descrição]]&amp;"-"&amp;Tabela1[[#This Row],[Código]]&amp;"/"&amp;Tabela1[[#This Row],[Origem]]</f>
        <v>Tarura-P373P773/GO</v>
      </c>
      <c r="F3737" s="88">
        <v>47743</v>
      </c>
      <c r="G3737" s="88" t="str" cm="1">
        <f t="array" ref="G37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AND(F3737&gt;= DATE(2026,1,1), F3737&lt;= DATE(2028, 12, 31), J3737&gt;50000), "Pendente e Caro", AND(F3737&gt;= DATE(2026,1,1), F3737&lt;= DATE(2028, 12, 31), J3737&lt;=50000), "Pendente", F3737&gt;= DATE(2029,1,1), "Não prioeitário")</f>
        <v>Não prioeitário</v>
      </c>
      <c r="H3737" s="89">
        <f>YEAR(Tabela1[[#This Row],[Data de Validade]])</f>
        <v>2030</v>
      </c>
      <c r="I3737" s="89">
        <f>MONTH(Tabela1[[#This Row],[Data de Validade]])</f>
        <v>9</v>
      </c>
      <c r="J3737" s="101">
        <v>92283</v>
      </c>
      <c r="K3737" s="87" t="s">
        <v>9</v>
      </c>
      <c r="L3737" s="108"/>
      <c r="M3737" s="108"/>
      <c r="N3737" s="108" t="str">
        <v>H366H154</v>
      </c>
      <c r="O3737" s="108">
        <f t="shared" si="60"/>
        <v>1</v>
      </c>
      <c r="P3737" s="108"/>
      <c r="Q3737"/>
    </row>
    <row r="3738" spans="1:17" x14ac:dyDescent="0.25">
      <c r="A3738" s="89" t="s">
        <v>11250</v>
      </c>
      <c r="B3738" s="87" t="s">
        <v>11251</v>
      </c>
      <c r="C3738" s="87" t="s">
        <v>8</v>
      </c>
      <c r="D3738" s="87" t="str">
        <f>VLOOKUP(Tabela1[[#This Row],[Origem]], 'Perguntas 1 a 24'!$J$28:$K$34, 2, 0)</f>
        <v>Nordeste</v>
      </c>
      <c r="E3738" s="87" t="str">
        <f>Tabela1[[#This Row],[Descrição]]&amp;"-"&amp;Tabela1[[#This Row],[Código]]&amp;"/"&amp;Tabela1[[#This Row],[Origem]]</f>
        <v>Manonerepo-H363H285/AL</v>
      </c>
      <c r="F3738" s="88">
        <v>47744</v>
      </c>
      <c r="G3738" s="88" t="str" cm="1">
        <f t="array" ref="G37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AND(F3738&gt;= DATE(2026,1,1), F3738&lt;= DATE(2028, 12, 31), J3738&gt;50000), "Pendente e Caro", AND(F3738&gt;= DATE(2026,1,1), F3738&lt;= DATE(2028, 12, 31), J3738&lt;=50000), "Pendente", F3738&gt;= DATE(2029,1,1), "Não prioeitário")</f>
        <v>Não prioeitário</v>
      </c>
      <c r="H3738" s="89">
        <f>YEAR(Tabela1[[#This Row],[Data de Validade]])</f>
        <v>2030</v>
      </c>
      <c r="I3738" s="89">
        <f>MONTH(Tabela1[[#This Row],[Data de Validade]])</f>
        <v>9</v>
      </c>
      <c r="J3738" s="101">
        <v>89178</v>
      </c>
      <c r="K3738" s="87" t="s">
        <v>9</v>
      </c>
      <c r="L3738" s="108"/>
      <c r="M3738" s="108"/>
      <c r="N3738" s="108" t="str">
        <v>H929P936</v>
      </c>
      <c r="O3738" s="108">
        <f t="shared" si="60"/>
        <v>1</v>
      </c>
      <c r="P3738" s="108"/>
      <c r="Q3738"/>
    </row>
    <row r="3739" spans="1:17" x14ac:dyDescent="0.25">
      <c r="A3739" s="89" t="s">
        <v>6726</v>
      </c>
      <c r="B3739" s="87" t="s">
        <v>6727</v>
      </c>
      <c r="C3739" s="87" t="s">
        <v>13</v>
      </c>
      <c r="D3739" s="87" t="str">
        <f>VLOOKUP(Tabela1[[#This Row],[Origem]], 'Perguntas 1 a 24'!$J$28:$K$34, 2, 0)</f>
        <v>Sudeste</v>
      </c>
      <c r="E3739" s="87" t="str">
        <f>Tabela1[[#This Row],[Descrição]]&amp;"-"&amp;Tabela1[[#This Row],[Código]]&amp;"/"&amp;Tabela1[[#This Row],[Origem]]</f>
        <v>Tapipa-P782H188/SP</v>
      </c>
      <c r="F3739" s="88">
        <v>47744</v>
      </c>
      <c r="G3739" s="88" t="str" cm="1">
        <f t="array" ref="G37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AND(F3739&gt;= DATE(2026,1,1), F3739&lt;= DATE(2028, 12, 31), J3739&gt;50000), "Pendente e Caro", AND(F3739&gt;= DATE(2026,1,1), F3739&lt;= DATE(2028, 12, 31), J3739&lt;=50000), "Pendente", F3739&gt;= DATE(2029,1,1), "Não prioeitário")</f>
        <v>Não prioeitário</v>
      </c>
      <c r="H3739" s="89">
        <f>YEAR(Tabela1[[#This Row],[Data de Validade]])</f>
        <v>2030</v>
      </c>
      <c r="I3739" s="89">
        <f>MONTH(Tabela1[[#This Row],[Data de Validade]])</f>
        <v>9</v>
      </c>
      <c r="J3739" s="101">
        <v>87101</v>
      </c>
      <c r="K3739" s="87" t="s">
        <v>14</v>
      </c>
      <c r="L3739" s="108"/>
      <c r="M3739" s="108"/>
      <c r="N3739" s="108" t="str">
        <v>P447P367</v>
      </c>
      <c r="O3739" s="108">
        <f t="shared" si="60"/>
        <v>1</v>
      </c>
      <c r="P3739" s="108"/>
      <c r="Q3739"/>
    </row>
    <row r="3740" spans="1:17" x14ac:dyDescent="0.25">
      <c r="A3740" s="89" t="s">
        <v>8851</v>
      </c>
      <c r="B3740" s="87" t="s">
        <v>8852</v>
      </c>
      <c r="C3740" s="87" t="s">
        <v>15</v>
      </c>
      <c r="D3740" s="87" t="str">
        <f>VLOOKUP(Tabela1[[#This Row],[Origem]], 'Perguntas 1 a 24'!$J$28:$K$34, 2, 0)</f>
        <v>Sudeste</v>
      </c>
      <c r="E3740" s="87" t="str">
        <f>Tabela1[[#This Row],[Descrição]]&amp;"-"&amp;Tabela1[[#This Row],[Código]]&amp;"/"&amp;Tabela1[[#This Row],[Origem]]</f>
        <v>Pirepa-H948H984/ES</v>
      </c>
      <c r="F3740" s="88">
        <v>47744</v>
      </c>
      <c r="G3740" s="88" t="str" cm="1">
        <f t="array" ref="G37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AND(F3740&gt;= DATE(2026,1,1), F3740&lt;= DATE(2028, 12, 31), J3740&gt;50000), "Pendente e Caro", AND(F3740&gt;= DATE(2026,1,1), F3740&lt;= DATE(2028, 12, 31), J3740&lt;=50000), "Pendente", F3740&gt;= DATE(2029,1,1), "Não prioeitário")</f>
        <v>Não prioeitário</v>
      </c>
      <c r="H3740" s="89">
        <f>YEAR(Tabela1[[#This Row],[Data de Validade]])</f>
        <v>2030</v>
      </c>
      <c r="I3740" s="89">
        <f>MONTH(Tabela1[[#This Row],[Data de Validade]])</f>
        <v>9</v>
      </c>
      <c r="J3740" s="101">
        <v>79984</v>
      </c>
      <c r="K3740" s="87" t="s">
        <v>11</v>
      </c>
      <c r="L3740" s="108"/>
      <c r="M3740" s="108"/>
      <c r="N3740" s="108" t="str">
        <v>H127H198</v>
      </c>
      <c r="O3740" s="108">
        <f t="shared" si="60"/>
        <v>1</v>
      </c>
      <c r="P3740" s="108"/>
      <c r="Q3740"/>
    </row>
    <row r="3741" spans="1:17" x14ac:dyDescent="0.25">
      <c r="A3741" s="89" t="s">
        <v>5746</v>
      </c>
      <c r="B3741" s="87" t="s">
        <v>5747</v>
      </c>
      <c r="C3741" s="87" t="s">
        <v>13</v>
      </c>
      <c r="D3741" s="87" t="str">
        <f>VLOOKUP(Tabela1[[#This Row],[Origem]], 'Perguntas 1 a 24'!$J$28:$K$34, 2, 0)</f>
        <v>Sudeste</v>
      </c>
      <c r="E3741" s="87" t="str">
        <f>Tabela1[[#This Row],[Descrição]]&amp;"-"&amp;Tabela1[[#This Row],[Código]]&amp;"/"&amp;Tabela1[[#This Row],[Origem]]</f>
        <v>Fatuponafa-H979P574/SP</v>
      </c>
      <c r="F3741" s="88">
        <v>47744</v>
      </c>
      <c r="G3741" s="88" t="str" cm="1">
        <f t="array" ref="G37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AND(F3741&gt;= DATE(2026,1,1), F3741&lt;= DATE(2028, 12, 31), J3741&gt;50000), "Pendente e Caro", AND(F3741&gt;= DATE(2026,1,1), F3741&lt;= DATE(2028, 12, 31), J3741&lt;=50000), "Pendente", F3741&gt;= DATE(2029,1,1), "Não prioeitário")</f>
        <v>Não prioeitário</v>
      </c>
      <c r="H3741" s="89">
        <f>YEAR(Tabela1[[#This Row],[Data de Validade]])</f>
        <v>2030</v>
      </c>
      <c r="I3741" s="89">
        <f>MONTH(Tabela1[[#This Row],[Data de Validade]])</f>
        <v>9</v>
      </c>
      <c r="J3741" s="101">
        <v>63703</v>
      </c>
      <c r="K3741" s="87" t="s">
        <v>7</v>
      </c>
      <c r="L3741" s="108"/>
      <c r="M3741" s="108"/>
      <c r="N3741" s="108" t="str">
        <v>H419H366</v>
      </c>
      <c r="O3741" s="108">
        <f t="shared" si="60"/>
        <v>1</v>
      </c>
      <c r="P3741" s="108"/>
      <c r="Q3741"/>
    </row>
    <row r="3742" spans="1:17" x14ac:dyDescent="0.25">
      <c r="A3742" s="89" t="s">
        <v>9475</v>
      </c>
      <c r="B3742" s="87" t="s">
        <v>9476</v>
      </c>
      <c r="C3742" s="87" t="s">
        <v>13</v>
      </c>
      <c r="D3742" s="87" t="str">
        <f>VLOOKUP(Tabela1[[#This Row],[Origem]], 'Perguntas 1 a 24'!$J$28:$K$34, 2, 0)</f>
        <v>Sudeste</v>
      </c>
      <c r="E3742" s="87" t="str">
        <f>Tabela1[[#This Row],[Descrição]]&amp;"-"&amp;Tabela1[[#This Row],[Código]]&amp;"/"&amp;Tabela1[[#This Row],[Origem]]</f>
        <v>Vunutovo-P186H447/SP</v>
      </c>
      <c r="F3742" s="88">
        <v>47745</v>
      </c>
      <c r="G3742" s="88" t="str" cm="1">
        <f t="array" ref="G37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AND(F3742&gt;= DATE(2026,1,1), F3742&lt;= DATE(2028, 12, 31), J3742&gt;50000), "Pendente e Caro", AND(F3742&gt;= DATE(2026,1,1), F3742&lt;= DATE(2028, 12, 31), J3742&lt;=50000), "Pendente", F3742&gt;= DATE(2029,1,1), "Não prioeitário")</f>
        <v>Não prioeitário</v>
      </c>
      <c r="H3742" s="89">
        <f>YEAR(Tabela1[[#This Row],[Data de Validade]])</f>
        <v>2030</v>
      </c>
      <c r="I3742" s="89">
        <f>MONTH(Tabela1[[#This Row],[Data de Validade]])</f>
        <v>9</v>
      </c>
      <c r="J3742" s="101">
        <v>54873</v>
      </c>
      <c r="K3742" s="87" t="s">
        <v>9</v>
      </c>
      <c r="L3742" s="108"/>
      <c r="M3742" s="108"/>
      <c r="N3742" s="108" t="str">
        <v>P136H643</v>
      </c>
      <c r="O3742" s="108">
        <f t="shared" si="60"/>
        <v>1</v>
      </c>
      <c r="P3742" s="108"/>
      <c r="Q3742"/>
    </row>
    <row r="3743" spans="1:17" x14ac:dyDescent="0.25">
      <c r="A3743" s="89" t="s">
        <v>10585</v>
      </c>
      <c r="B3743" s="87" t="s">
        <v>10586</v>
      </c>
      <c r="C3743" s="87" t="s">
        <v>15</v>
      </c>
      <c r="D3743" s="87" t="str">
        <f>VLOOKUP(Tabela1[[#This Row],[Origem]], 'Perguntas 1 a 24'!$J$28:$K$34, 2, 0)</f>
        <v>Sudeste</v>
      </c>
      <c r="E3743" s="87" t="str">
        <f>Tabela1[[#This Row],[Descrição]]&amp;"-"&amp;Tabela1[[#This Row],[Código]]&amp;"/"&amp;Tabela1[[#This Row],[Origem]]</f>
        <v>Lucogipi-H253P598/ES</v>
      </c>
      <c r="F3743" s="88">
        <v>47745</v>
      </c>
      <c r="G3743" s="88" t="str" cm="1">
        <f t="array" ref="G37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AND(F3743&gt;= DATE(2026,1,1), F3743&lt;= DATE(2028, 12, 31), J3743&gt;50000), "Pendente e Caro", AND(F3743&gt;= DATE(2026,1,1), F3743&lt;= DATE(2028, 12, 31), J3743&lt;=50000), "Pendente", F3743&gt;= DATE(2029,1,1), "Não prioeitário")</f>
        <v>Não prioeitário</v>
      </c>
      <c r="H3743" s="89">
        <f>YEAR(Tabela1[[#This Row],[Data de Validade]])</f>
        <v>2030</v>
      </c>
      <c r="I3743" s="89">
        <f>MONTH(Tabela1[[#This Row],[Data de Validade]])</f>
        <v>9</v>
      </c>
      <c r="J3743" s="101">
        <v>24292</v>
      </c>
      <c r="K3743" s="87" t="s">
        <v>9</v>
      </c>
      <c r="L3743" s="108"/>
      <c r="M3743" s="108"/>
      <c r="N3743" s="108" t="str">
        <v>H168P867</v>
      </c>
      <c r="O3743" s="108">
        <f t="shared" si="60"/>
        <v>1</v>
      </c>
      <c r="P3743" s="108"/>
      <c r="Q3743"/>
    </row>
    <row r="3744" spans="1:17" x14ac:dyDescent="0.25">
      <c r="A3744" s="89" t="s">
        <v>6054</v>
      </c>
      <c r="B3744" s="87" t="s">
        <v>6055</v>
      </c>
      <c r="C3744" s="87" t="s">
        <v>10</v>
      </c>
      <c r="D3744" s="87" t="str">
        <f>VLOOKUP(Tabela1[[#This Row],[Origem]], 'Perguntas 1 a 24'!$J$28:$K$34, 2, 0)</f>
        <v>Centro-Oeste</v>
      </c>
      <c r="E3744" s="87" t="str">
        <f>Tabela1[[#This Row],[Descrição]]&amp;"-"&amp;Tabela1[[#This Row],[Código]]&amp;"/"&amp;Tabela1[[#This Row],[Origem]]</f>
        <v>Pilorune-H759H792/GO</v>
      </c>
      <c r="F3744" s="88">
        <v>47747</v>
      </c>
      <c r="G3744" s="88" t="str" cm="1">
        <f t="array" ref="G37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AND(F3744&gt;= DATE(2026,1,1), F3744&lt;= DATE(2028, 12, 31), J3744&gt;50000), "Pendente e Caro", AND(F3744&gt;= DATE(2026,1,1), F3744&lt;= DATE(2028, 12, 31), J3744&lt;=50000), "Pendente", F3744&gt;= DATE(2029,1,1), "Não prioeitário")</f>
        <v>Não prioeitário</v>
      </c>
      <c r="H3744" s="89">
        <f>YEAR(Tabela1[[#This Row],[Data de Validade]])</f>
        <v>2030</v>
      </c>
      <c r="I3744" s="89">
        <f>MONTH(Tabela1[[#This Row],[Data de Validade]])</f>
        <v>9</v>
      </c>
      <c r="J3744" s="101">
        <v>87467</v>
      </c>
      <c r="K3744" s="87" t="s">
        <v>9</v>
      </c>
      <c r="L3744" s="108"/>
      <c r="M3744" s="108"/>
      <c r="N3744" s="108" t="str">
        <v>P991P641</v>
      </c>
      <c r="O3744" s="108">
        <f t="shared" si="60"/>
        <v>1</v>
      </c>
      <c r="P3744" s="108"/>
      <c r="Q3744"/>
    </row>
    <row r="3745" spans="1:17" x14ac:dyDescent="0.25">
      <c r="A3745" s="89" t="s">
        <v>7208</v>
      </c>
      <c r="B3745" s="87" t="s">
        <v>7209</v>
      </c>
      <c r="C3745" s="87" t="s">
        <v>12</v>
      </c>
      <c r="D3745" s="87" t="str">
        <f>VLOOKUP(Tabela1[[#This Row],[Origem]], 'Perguntas 1 a 24'!$J$28:$K$34, 2, 0)</f>
        <v>Sudeste</v>
      </c>
      <c r="E3745" s="87" t="str">
        <f>Tabela1[[#This Row],[Descrição]]&amp;"-"&amp;Tabela1[[#This Row],[Código]]&amp;"/"&amp;Tabela1[[#This Row],[Origem]]</f>
        <v>Piralu-H614H456/RJ</v>
      </c>
      <c r="F3745" s="88">
        <v>47747</v>
      </c>
      <c r="G3745" s="88" t="str" cm="1">
        <f t="array" ref="G37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AND(F3745&gt;= DATE(2026,1,1), F3745&lt;= DATE(2028, 12, 31), J3745&gt;50000), "Pendente e Caro", AND(F3745&gt;= DATE(2026,1,1), F3745&lt;= DATE(2028, 12, 31), J3745&lt;=50000), "Pendente", F3745&gt;= DATE(2029,1,1), "Não prioeitário")</f>
        <v>Não prioeitário</v>
      </c>
      <c r="H3745" s="89">
        <f>YEAR(Tabela1[[#This Row],[Data de Validade]])</f>
        <v>2030</v>
      </c>
      <c r="I3745" s="89">
        <f>MONTH(Tabela1[[#This Row],[Data de Validade]])</f>
        <v>9</v>
      </c>
      <c r="J3745" s="101">
        <v>79570</v>
      </c>
      <c r="K3745" s="87" t="s">
        <v>7</v>
      </c>
      <c r="L3745" s="108"/>
      <c r="M3745" s="108"/>
      <c r="N3745" s="108" t="str">
        <v>P555P166</v>
      </c>
      <c r="O3745" s="108">
        <f t="shared" si="60"/>
        <v>1</v>
      </c>
      <c r="P3745" s="108"/>
      <c r="Q3745"/>
    </row>
    <row r="3746" spans="1:17" x14ac:dyDescent="0.25">
      <c r="A3746" s="89" t="s">
        <v>11296</v>
      </c>
      <c r="B3746" s="87" t="s">
        <v>11297</v>
      </c>
      <c r="C3746" s="87" t="s">
        <v>16</v>
      </c>
      <c r="D3746" s="87" t="str">
        <f>VLOOKUP(Tabela1[[#This Row],[Origem]], 'Perguntas 1 a 24'!$J$28:$K$34, 2, 0)</f>
        <v>Sudeste</v>
      </c>
      <c r="E3746" s="87" t="str">
        <f>Tabela1[[#This Row],[Descrição]]&amp;"-"&amp;Tabela1[[#This Row],[Código]]&amp;"/"&amp;Tabela1[[#This Row],[Origem]]</f>
        <v>Palucipu-P762P889/MG</v>
      </c>
      <c r="F3746" s="88">
        <v>47748</v>
      </c>
      <c r="G3746" s="88" t="str" cm="1">
        <f t="array" ref="G37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AND(F3746&gt;= DATE(2026,1,1), F3746&lt;= DATE(2028, 12, 31), J3746&gt;50000), "Pendente e Caro", AND(F3746&gt;= DATE(2026,1,1), F3746&lt;= DATE(2028, 12, 31), J3746&lt;=50000), "Pendente", F3746&gt;= DATE(2029,1,1), "Não prioeitário")</f>
        <v>Não prioeitário</v>
      </c>
      <c r="H3746" s="89">
        <f>YEAR(Tabela1[[#This Row],[Data de Validade]])</f>
        <v>2030</v>
      </c>
      <c r="I3746" s="89">
        <f>MONTH(Tabela1[[#This Row],[Data de Validade]])</f>
        <v>9</v>
      </c>
      <c r="J3746" s="101">
        <v>26308</v>
      </c>
      <c r="K3746" s="87" t="s">
        <v>7</v>
      </c>
      <c r="L3746" s="108"/>
      <c r="M3746" s="108"/>
      <c r="N3746" s="108" t="str">
        <v>P341P655</v>
      </c>
      <c r="O3746" s="108">
        <f t="shared" si="60"/>
        <v>1</v>
      </c>
      <c r="P3746" s="108"/>
      <c r="Q3746"/>
    </row>
    <row r="3747" spans="1:17" x14ac:dyDescent="0.25">
      <c r="A3747" s="89" t="s">
        <v>10707</v>
      </c>
      <c r="B3747" s="87" t="s">
        <v>10708</v>
      </c>
      <c r="C3747" s="87" t="s">
        <v>13</v>
      </c>
      <c r="D3747" s="87" t="str">
        <f>VLOOKUP(Tabela1[[#This Row],[Origem]], 'Perguntas 1 a 24'!$J$28:$K$34, 2, 0)</f>
        <v>Sudeste</v>
      </c>
      <c r="E3747" s="87" t="str">
        <f>Tabela1[[#This Row],[Descrição]]&amp;"-"&amp;Tabela1[[#This Row],[Código]]&amp;"/"&amp;Tabela1[[#This Row],[Origem]]</f>
        <v>Dunilotica-P742H183/SP</v>
      </c>
      <c r="F3747" s="88">
        <v>47749</v>
      </c>
      <c r="G3747" s="88" t="str" cm="1">
        <f t="array" ref="G37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AND(F3747&gt;= DATE(2026,1,1), F3747&lt;= DATE(2028, 12, 31), J3747&gt;50000), "Pendente e Caro", AND(F3747&gt;= DATE(2026,1,1), F3747&lt;= DATE(2028, 12, 31), J3747&lt;=50000), "Pendente", F3747&gt;= DATE(2029,1,1), "Não prioeitário")</f>
        <v>Não prioeitário</v>
      </c>
      <c r="H3747" s="89">
        <f>YEAR(Tabela1[[#This Row],[Data de Validade]])</f>
        <v>2030</v>
      </c>
      <c r="I3747" s="89">
        <f>MONTH(Tabela1[[#This Row],[Data de Validade]])</f>
        <v>9</v>
      </c>
      <c r="J3747" s="101">
        <v>75763</v>
      </c>
      <c r="K3747" s="87" t="s">
        <v>9</v>
      </c>
      <c r="L3747" s="108"/>
      <c r="M3747" s="108"/>
      <c r="N3747" s="108" t="str">
        <v>H255H335</v>
      </c>
      <c r="O3747" s="108">
        <f t="shared" si="60"/>
        <v>1</v>
      </c>
      <c r="P3747" s="108"/>
      <c r="Q3747"/>
    </row>
    <row r="3748" spans="1:17" x14ac:dyDescent="0.25">
      <c r="A3748" s="89" t="s">
        <v>9683</v>
      </c>
      <c r="B3748" s="87" t="s">
        <v>9684</v>
      </c>
      <c r="C3748" s="87" t="s">
        <v>10</v>
      </c>
      <c r="D3748" s="87" t="str">
        <f>VLOOKUP(Tabela1[[#This Row],[Origem]], 'Perguntas 1 a 24'!$J$28:$K$34, 2, 0)</f>
        <v>Centro-Oeste</v>
      </c>
      <c r="E3748" s="87" t="str">
        <f>Tabela1[[#This Row],[Descrição]]&amp;"-"&amp;Tabela1[[#This Row],[Código]]&amp;"/"&amp;Tabela1[[#This Row],[Origem]]</f>
        <v>Vulera-P251P444/GO</v>
      </c>
      <c r="F3748" s="88">
        <v>47749</v>
      </c>
      <c r="G3748" s="88" t="str" cm="1">
        <f t="array" ref="G37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AND(F3748&gt;= DATE(2026,1,1), F3748&lt;= DATE(2028, 12, 31), J3748&gt;50000), "Pendente e Caro", AND(F3748&gt;= DATE(2026,1,1), F3748&lt;= DATE(2028, 12, 31), J3748&lt;=50000), "Pendente", F3748&gt;= DATE(2029,1,1), "Não prioeitário")</f>
        <v>Não prioeitário</v>
      </c>
      <c r="H3748" s="89">
        <f>YEAR(Tabela1[[#This Row],[Data de Validade]])</f>
        <v>2030</v>
      </c>
      <c r="I3748" s="89">
        <f>MONTH(Tabela1[[#This Row],[Data de Validade]])</f>
        <v>9</v>
      </c>
      <c r="J3748" s="101">
        <v>59305</v>
      </c>
      <c r="K3748" s="87" t="s">
        <v>7</v>
      </c>
      <c r="L3748" s="108"/>
      <c r="M3748" s="108"/>
      <c r="N3748" s="108" t="str">
        <v>P877P284</v>
      </c>
      <c r="O3748" s="108">
        <f t="shared" si="60"/>
        <v>1</v>
      </c>
      <c r="P3748" s="108"/>
      <c r="Q3748"/>
    </row>
    <row r="3749" spans="1:17" x14ac:dyDescent="0.25">
      <c r="A3749" s="89" t="s">
        <v>10313</v>
      </c>
      <c r="B3749" s="87" t="s">
        <v>10314</v>
      </c>
      <c r="C3749" s="87" t="s">
        <v>15</v>
      </c>
      <c r="D3749" s="87" t="str">
        <f>VLOOKUP(Tabela1[[#This Row],[Origem]], 'Perguntas 1 a 24'!$J$28:$K$34, 2, 0)</f>
        <v>Sudeste</v>
      </c>
      <c r="E3749" s="87" t="str">
        <f>Tabela1[[#This Row],[Descrição]]&amp;"-"&amp;Tabela1[[#This Row],[Código]]&amp;"/"&amp;Tabela1[[#This Row],[Origem]]</f>
        <v>Mitipere-P526P552/ES</v>
      </c>
      <c r="F3749" s="88">
        <v>47751</v>
      </c>
      <c r="G3749" s="88" t="str" cm="1">
        <f t="array" ref="G37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AND(F3749&gt;= DATE(2026,1,1), F3749&lt;= DATE(2028, 12, 31), J3749&gt;50000), "Pendente e Caro", AND(F3749&gt;= DATE(2026,1,1), F3749&lt;= DATE(2028, 12, 31), J3749&lt;=50000), "Pendente", F3749&gt;= DATE(2029,1,1), "Não prioeitário")</f>
        <v>Não prioeitário</v>
      </c>
      <c r="H3749" s="89">
        <f>YEAR(Tabela1[[#This Row],[Data de Validade]])</f>
        <v>2030</v>
      </c>
      <c r="I3749" s="89">
        <f>MONTH(Tabela1[[#This Row],[Data de Validade]])</f>
        <v>9</v>
      </c>
      <c r="J3749" s="101">
        <v>95118</v>
      </c>
      <c r="K3749" s="87" t="s">
        <v>9</v>
      </c>
      <c r="L3749" s="108"/>
      <c r="M3749" s="108"/>
      <c r="N3749" s="108" t="str">
        <v>P344P218</v>
      </c>
      <c r="O3749" s="108">
        <f t="shared" si="60"/>
        <v>1</v>
      </c>
      <c r="P3749" s="108"/>
      <c r="Q3749"/>
    </row>
    <row r="3750" spans="1:17" x14ac:dyDescent="0.25">
      <c r="A3750" s="89" t="s">
        <v>9537</v>
      </c>
      <c r="B3750" s="87" t="s">
        <v>9538</v>
      </c>
      <c r="C3750" s="87" t="s">
        <v>16</v>
      </c>
      <c r="D3750" s="87" t="str">
        <f>VLOOKUP(Tabela1[[#This Row],[Origem]], 'Perguntas 1 a 24'!$J$28:$K$34, 2, 0)</f>
        <v>Sudeste</v>
      </c>
      <c r="E3750" s="87" t="str">
        <f>Tabela1[[#This Row],[Descrição]]&amp;"-"&amp;Tabela1[[#This Row],[Código]]&amp;"/"&amp;Tabela1[[#This Row],[Origem]]</f>
        <v>Ropiramero-H366H154/MG</v>
      </c>
      <c r="F3750" s="88">
        <v>47752</v>
      </c>
      <c r="G3750" s="88" t="str" cm="1">
        <f t="array" ref="G37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AND(F3750&gt;= DATE(2026,1,1), F3750&lt;= DATE(2028, 12, 31), J3750&gt;50000), "Pendente e Caro", AND(F3750&gt;= DATE(2026,1,1), F3750&lt;= DATE(2028, 12, 31), J3750&lt;=50000), "Pendente", F3750&gt;= DATE(2029,1,1), "Não prioeitário")</f>
        <v>Não prioeitário</v>
      </c>
      <c r="H3750" s="89">
        <f>YEAR(Tabela1[[#This Row],[Data de Validade]])</f>
        <v>2030</v>
      </c>
      <c r="I3750" s="89">
        <f>MONTH(Tabela1[[#This Row],[Data de Validade]])</f>
        <v>9</v>
      </c>
      <c r="J3750" s="101">
        <v>116182</v>
      </c>
      <c r="K3750" s="87" t="s">
        <v>11</v>
      </c>
      <c r="L3750" s="108"/>
      <c r="M3750" s="108"/>
      <c r="N3750" s="108" t="str">
        <v>P126H935</v>
      </c>
      <c r="O3750" s="108">
        <f t="shared" si="60"/>
        <v>1</v>
      </c>
      <c r="P3750" s="108"/>
      <c r="Q3750"/>
    </row>
    <row r="3751" spans="1:17" x14ac:dyDescent="0.25">
      <c r="A3751" s="89" t="s">
        <v>4652</v>
      </c>
      <c r="B3751" s="87" t="s">
        <v>4653</v>
      </c>
      <c r="C3751" s="87" t="s">
        <v>6</v>
      </c>
      <c r="D3751" s="87" t="str">
        <f>VLOOKUP(Tabela1[[#This Row],[Origem]], 'Perguntas 1 a 24'!$J$28:$K$34, 2, 0)</f>
        <v>Nordeste</v>
      </c>
      <c r="E3751" s="87" t="str">
        <f>Tabela1[[#This Row],[Descrição]]&amp;"-"&amp;Tabela1[[#This Row],[Código]]&amp;"/"&amp;Tabela1[[#This Row],[Origem]]</f>
        <v>Rogemogere-H929P936/MA</v>
      </c>
      <c r="F3751" s="88">
        <v>47752</v>
      </c>
      <c r="G3751" s="88" t="str" cm="1">
        <f t="array" ref="G37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AND(F3751&gt;= DATE(2026,1,1), F3751&lt;= DATE(2028, 12, 31), J3751&gt;50000), "Pendente e Caro", AND(F3751&gt;= DATE(2026,1,1), F3751&lt;= DATE(2028, 12, 31), J3751&lt;=50000), "Pendente", F3751&gt;= DATE(2029,1,1), "Não prioeitário")</f>
        <v>Não prioeitário</v>
      </c>
      <c r="H3751" s="89">
        <f>YEAR(Tabela1[[#This Row],[Data de Validade]])</f>
        <v>2030</v>
      </c>
      <c r="I3751" s="89">
        <f>MONTH(Tabela1[[#This Row],[Data de Validade]])</f>
        <v>9</v>
      </c>
      <c r="J3751" s="101">
        <v>98382</v>
      </c>
      <c r="K3751" s="87" t="s">
        <v>11</v>
      </c>
      <c r="L3751" s="108"/>
      <c r="M3751" s="108"/>
      <c r="N3751" s="108" t="str">
        <v>H711P875</v>
      </c>
      <c r="O3751" s="108">
        <f t="shared" si="60"/>
        <v>1</v>
      </c>
      <c r="P3751" s="108"/>
      <c r="Q3751"/>
    </row>
    <row r="3752" spans="1:17" x14ac:dyDescent="0.25">
      <c r="A3752" s="89" t="s">
        <v>4205</v>
      </c>
      <c r="B3752" s="87" t="s">
        <v>4206</v>
      </c>
      <c r="C3752" s="87" t="s">
        <v>12</v>
      </c>
      <c r="D3752" s="87" t="str">
        <f>VLOOKUP(Tabela1[[#This Row],[Origem]], 'Perguntas 1 a 24'!$J$28:$K$34, 2, 0)</f>
        <v>Sudeste</v>
      </c>
      <c r="E3752" s="87" t="str">
        <f>Tabela1[[#This Row],[Descrição]]&amp;"-"&amp;Tabela1[[#This Row],[Código]]&amp;"/"&amp;Tabela1[[#This Row],[Origem]]</f>
        <v>Titumuno-P447P367/RJ</v>
      </c>
      <c r="F3752" s="88">
        <v>47752</v>
      </c>
      <c r="G3752" s="88" t="str" cm="1">
        <f t="array" ref="G37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AND(F3752&gt;= DATE(2026,1,1), F3752&lt;= DATE(2028, 12, 31), J3752&gt;50000), "Pendente e Caro", AND(F3752&gt;= DATE(2026,1,1), F3752&lt;= DATE(2028, 12, 31), J3752&lt;=50000), "Pendente", F3752&gt;= DATE(2029,1,1), "Não prioeitário")</f>
        <v>Não prioeitário</v>
      </c>
      <c r="H3752" s="89">
        <f>YEAR(Tabela1[[#This Row],[Data de Validade]])</f>
        <v>2030</v>
      </c>
      <c r="I3752" s="89">
        <f>MONTH(Tabela1[[#This Row],[Data de Validade]])</f>
        <v>9</v>
      </c>
      <c r="J3752" s="101">
        <v>22598</v>
      </c>
      <c r="K3752" s="87" t="s">
        <v>7</v>
      </c>
      <c r="L3752" s="108"/>
      <c r="M3752" s="108"/>
      <c r="N3752" s="108" t="str">
        <v>H984P282</v>
      </c>
      <c r="O3752" s="108">
        <f t="shared" si="60"/>
        <v>1</v>
      </c>
      <c r="P3752" s="108"/>
      <c r="Q3752"/>
    </row>
    <row r="3753" spans="1:17" x14ac:dyDescent="0.25">
      <c r="A3753" s="89" t="s">
        <v>6614</v>
      </c>
      <c r="B3753" s="87" t="s">
        <v>6615</v>
      </c>
      <c r="C3753" s="87" t="s">
        <v>10</v>
      </c>
      <c r="D3753" s="87" t="str">
        <f>VLOOKUP(Tabela1[[#This Row],[Origem]], 'Perguntas 1 a 24'!$J$28:$K$34, 2, 0)</f>
        <v>Centro-Oeste</v>
      </c>
      <c r="E3753" s="87" t="str">
        <f>Tabela1[[#This Row],[Descrição]]&amp;"-"&amp;Tabela1[[#This Row],[Código]]&amp;"/"&amp;Tabela1[[#This Row],[Origem]]</f>
        <v>Varanoga-H127H198/GO</v>
      </c>
      <c r="F3753" s="88">
        <v>47753</v>
      </c>
      <c r="G3753" s="88" t="str" cm="1">
        <f t="array" ref="G37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AND(F3753&gt;= DATE(2026,1,1), F3753&lt;= DATE(2028, 12, 31), J3753&gt;50000), "Pendente e Caro", AND(F3753&gt;= DATE(2026,1,1), F3753&lt;= DATE(2028, 12, 31), J3753&lt;=50000), "Pendente", F3753&gt;= DATE(2029,1,1), "Não prioeitário")</f>
        <v>Não prioeitário</v>
      </c>
      <c r="H3753" s="89">
        <f>YEAR(Tabela1[[#This Row],[Data de Validade]])</f>
        <v>2030</v>
      </c>
      <c r="I3753" s="89">
        <f>MONTH(Tabela1[[#This Row],[Data de Validade]])</f>
        <v>9</v>
      </c>
      <c r="J3753" s="101">
        <v>91538</v>
      </c>
      <c r="K3753" s="87" t="s">
        <v>9</v>
      </c>
      <c r="L3753" s="108"/>
      <c r="M3753" s="108"/>
      <c r="N3753" s="108" t="str">
        <v>P323P522</v>
      </c>
      <c r="O3753" s="108">
        <f t="shared" si="60"/>
        <v>1</v>
      </c>
      <c r="P3753" s="108"/>
      <c r="Q3753"/>
    </row>
    <row r="3754" spans="1:17" x14ac:dyDescent="0.25">
      <c r="A3754" s="89" t="s">
        <v>10365</v>
      </c>
      <c r="B3754" s="87" t="s">
        <v>10366</v>
      </c>
      <c r="C3754" s="87" t="s">
        <v>16</v>
      </c>
      <c r="D3754" s="87" t="str">
        <f>VLOOKUP(Tabela1[[#This Row],[Origem]], 'Perguntas 1 a 24'!$J$28:$K$34, 2, 0)</f>
        <v>Sudeste</v>
      </c>
      <c r="E3754" s="87" t="str">
        <f>Tabela1[[#This Row],[Descrição]]&amp;"-"&amp;Tabela1[[#This Row],[Código]]&amp;"/"&amp;Tabela1[[#This Row],[Origem]]</f>
        <v>Pocevaru-H419H366/MG</v>
      </c>
      <c r="F3754" s="88">
        <v>47754</v>
      </c>
      <c r="G3754" s="88" t="str" cm="1">
        <f t="array" ref="G37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AND(F3754&gt;= DATE(2026,1,1), F3754&lt;= DATE(2028, 12, 31), J3754&gt;50000), "Pendente e Caro", AND(F3754&gt;= DATE(2026,1,1), F3754&lt;= DATE(2028, 12, 31), J3754&lt;=50000), "Pendente", F3754&gt;= DATE(2029,1,1), "Não prioeitário")</f>
        <v>Não prioeitário</v>
      </c>
      <c r="H3754" s="89">
        <f>YEAR(Tabela1[[#This Row],[Data de Validade]])</f>
        <v>2030</v>
      </c>
      <c r="I3754" s="89">
        <f>MONTH(Tabela1[[#This Row],[Data de Validade]])</f>
        <v>9</v>
      </c>
      <c r="J3754" s="101">
        <v>110233</v>
      </c>
      <c r="K3754" s="87" t="s">
        <v>7</v>
      </c>
      <c r="L3754" s="108"/>
      <c r="M3754" s="108"/>
      <c r="N3754" s="108" t="str">
        <v>P848P285</v>
      </c>
      <c r="O3754" s="108">
        <f t="shared" si="60"/>
        <v>1</v>
      </c>
      <c r="P3754" s="108"/>
      <c r="Q3754"/>
    </row>
    <row r="3755" spans="1:17" x14ac:dyDescent="0.25">
      <c r="A3755" s="89" t="s">
        <v>4423</v>
      </c>
      <c r="B3755" s="87" t="s">
        <v>4424</v>
      </c>
      <c r="C3755" s="87" t="s">
        <v>15</v>
      </c>
      <c r="D3755" s="87" t="str">
        <f>VLOOKUP(Tabela1[[#This Row],[Origem]], 'Perguntas 1 a 24'!$J$28:$K$34, 2, 0)</f>
        <v>Sudeste</v>
      </c>
      <c r="E3755" s="87" t="str">
        <f>Tabela1[[#This Row],[Descrição]]&amp;"-"&amp;Tabela1[[#This Row],[Código]]&amp;"/"&amp;Tabela1[[#This Row],[Origem]]</f>
        <v>Fipocofo-P136H643/ES</v>
      </c>
      <c r="F3755" s="88">
        <v>47754</v>
      </c>
      <c r="G3755" s="88" t="str" cm="1">
        <f t="array" ref="G37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AND(F3755&gt;= DATE(2026,1,1), F3755&lt;= DATE(2028, 12, 31), J3755&gt;50000), "Pendente e Caro", AND(F3755&gt;= DATE(2026,1,1), F3755&lt;= DATE(2028, 12, 31), J3755&lt;=50000), "Pendente", F3755&gt;= DATE(2029,1,1), "Não prioeitário")</f>
        <v>Não prioeitário</v>
      </c>
      <c r="H3755" s="89">
        <f>YEAR(Tabela1[[#This Row],[Data de Validade]])</f>
        <v>2030</v>
      </c>
      <c r="I3755" s="89">
        <f>MONTH(Tabela1[[#This Row],[Data de Validade]])</f>
        <v>9</v>
      </c>
      <c r="J3755" s="101">
        <v>90110</v>
      </c>
      <c r="K3755" s="87" t="s">
        <v>9</v>
      </c>
      <c r="L3755" s="108"/>
      <c r="M3755" s="108"/>
      <c r="N3755" s="108" t="str">
        <v>H928P582</v>
      </c>
      <c r="O3755" s="108">
        <f t="shared" si="60"/>
        <v>1</v>
      </c>
      <c r="P3755" s="108"/>
      <c r="Q3755"/>
    </row>
    <row r="3756" spans="1:17" x14ac:dyDescent="0.25">
      <c r="A3756" s="89" t="s">
        <v>3699</v>
      </c>
      <c r="B3756" s="87" t="s">
        <v>3700</v>
      </c>
      <c r="C3756" s="87" t="s">
        <v>12</v>
      </c>
      <c r="D3756" s="87" t="str">
        <f>VLOOKUP(Tabela1[[#This Row],[Origem]], 'Perguntas 1 a 24'!$J$28:$K$34, 2, 0)</f>
        <v>Sudeste</v>
      </c>
      <c r="E3756" s="87" t="str">
        <f>Tabela1[[#This Row],[Descrição]]&amp;"-"&amp;Tabela1[[#This Row],[Código]]&amp;"/"&amp;Tabela1[[#This Row],[Origem]]</f>
        <v>Pitupo-H168P867/RJ</v>
      </c>
      <c r="F3756" s="88">
        <v>47757</v>
      </c>
      <c r="G3756" s="88" t="str" cm="1">
        <f t="array" ref="G37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AND(F3756&gt;= DATE(2026,1,1), F3756&lt;= DATE(2028, 12, 31), J3756&gt;50000), "Pendente e Caro", AND(F3756&gt;= DATE(2026,1,1), F3756&lt;= DATE(2028, 12, 31), J3756&lt;=50000), "Pendente", F3756&gt;= DATE(2029,1,1), "Não prioeitário")</f>
        <v>Não prioeitário</v>
      </c>
      <c r="H3756" s="89">
        <f>YEAR(Tabela1[[#This Row],[Data de Validade]])</f>
        <v>2030</v>
      </c>
      <c r="I3756" s="89">
        <f>MONTH(Tabela1[[#This Row],[Data de Validade]])</f>
        <v>10</v>
      </c>
      <c r="J3756" s="101">
        <v>87404</v>
      </c>
      <c r="K3756" s="87" t="s">
        <v>9</v>
      </c>
      <c r="L3756" s="108"/>
      <c r="M3756" s="108"/>
      <c r="N3756" s="108" t="str">
        <v>H929P163</v>
      </c>
      <c r="O3756" s="108">
        <f t="shared" si="60"/>
        <v>1</v>
      </c>
      <c r="P3756" s="108"/>
      <c r="Q3756"/>
    </row>
    <row r="3757" spans="1:17" x14ac:dyDescent="0.25">
      <c r="A3757" s="89" t="s">
        <v>10799</v>
      </c>
      <c r="B3757" s="87" t="s">
        <v>10800</v>
      </c>
      <c r="C3757" s="87" t="s">
        <v>10</v>
      </c>
      <c r="D3757" s="87" t="str">
        <f>VLOOKUP(Tabela1[[#This Row],[Origem]], 'Perguntas 1 a 24'!$J$28:$K$34, 2, 0)</f>
        <v>Centro-Oeste</v>
      </c>
      <c r="E3757" s="87" t="str">
        <f>Tabela1[[#This Row],[Descrição]]&amp;"-"&amp;Tabela1[[#This Row],[Código]]&amp;"/"&amp;Tabela1[[#This Row],[Origem]]</f>
        <v>Norurali-P991P641/GO</v>
      </c>
      <c r="F3757" s="88">
        <v>47758</v>
      </c>
      <c r="G3757" s="88" t="str" cm="1">
        <f t="array" ref="G375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AND(F3757&gt;= DATE(2026,1,1), F3757&lt;= DATE(2028, 12, 31), J3757&gt;50000), "Pendente e Caro", AND(F3757&gt;= DATE(2026,1,1), F3757&lt;= DATE(2028, 12, 31), J3757&lt;=50000), "Pendente", F3757&gt;= DATE(2029,1,1), "Não prioeitário")</f>
        <v>Não prioeitário</v>
      </c>
      <c r="H3757" s="89">
        <f>YEAR(Tabela1[[#This Row],[Data de Validade]])</f>
        <v>2030</v>
      </c>
      <c r="I3757" s="89">
        <f>MONTH(Tabela1[[#This Row],[Data de Validade]])</f>
        <v>10</v>
      </c>
      <c r="J3757" s="101">
        <v>39071</v>
      </c>
      <c r="K3757" s="87" t="s">
        <v>7</v>
      </c>
      <c r="L3757" s="108"/>
      <c r="M3757" s="108"/>
      <c r="N3757" s="108" t="str">
        <v>P645P764</v>
      </c>
      <c r="O3757" s="108">
        <f t="shared" si="60"/>
        <v>1</v>
      </c>
      <c r="P3757" s="108"/>
      <c r="Q3757"/>
    </row>
    <row r="3758" spans="1:17" x14ac:dyDescent="0.25">
      <c r="A3758" s="89" t="s">
        <v>7016</v>
      </c>
      <c r="B3758" s="87" t="s">
        <v>7017</v>
      </c>
      <c r="C3758" s="87" t="s">
        <v>15</v>
      </c>
      <c r="D3758" s="87" t="str">
        <f>VLOOKUP(Tabela1[[#This Row],[Origem]], 'Perguntas 1 a 24'!$J$28:$K$34, 2, 0)</f>
        <v>Sudeste</v>
      </c>
      <c r="E3758" s="87" t="str">
        <f>Tabela1[[#This Row],[Descrição]]&amp;"-"&amp;Tabela1[[#This Row],[Código]]&amp;"/"&amp;Tabela1[[#This Row],[Origem]]</f>
        <v>Denatopudi-P555P166/ES</v>
      </c>
      <c r="F3758" s="88">
        <v>47758</v>
      </c>
      <c r="G3758" s="88" t="str" cm="1">
        <f t="array" ref="G375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AND(F3758&gt;= DATE(2026,1,1), F3758&lt;= DATE(2028, 12, 31), J3758&gt;50000), "Pendente e Caro", AND(F3758&gt;= DATE(2026,1,1), F3758&lt;= DATE(2028, 12, 31), J3758&lt;=50000), "Pendente", F3758&gt;= DATE(2029,1,1), "Não prioeitário")</f>
        <v>Não prioeitário</v>
      </c>
      <c r="H3758" s="89">
        <f>YEAR(Tabela1[[#This Row],[Data de Validade]])</f>
        <v>2030</v>
      </c>
      <c r="I3758" s="89">
        <f>MONTH(Tabela1[[#This Row],[Data de Validade]])</f>
        <v>10</v>
      </c>
      <c r="J3758" s="101">
        <v>22855</v>
      </c>
      <c r="K3758" s="87" t="s">
        <v>9</v>
      </c>
      <c r="L3758" s="108"/>
      <c r="M3758" s="108"/>
      <c r="N3758" s="108" t="str">
        <v>P185H769</v>
      </c>
      <c r="O3758" s="108">
        <f t="shared" si="60"/>
        <v>1</v>
      </c>
      <c r="P3758" s="108"/>
      <c r="Q3758"/>
    </row>
    <row r="3759" spans="1:17" x14ac:dyDescent="0.25">
      <c r="A3759" s="89" t="s">
        <v>6606</v>
      </c>
      <c r="B3759" s="87" t="s">
        <v>6607</v>
      </c>
      <c r="C3759" s="87" t="s">
        <v>13</v>
      </c>
      <c r="D3759" s="87" t="str">
        <f>VLOOKUP(Tabela1[[#This Row],[Origem]], 'Perguntas 1 a 24'!$J$28:$K$34, 2, 0)</f>
        <v>Sudeste</v>
      </c>
      <c r="E3759" s="87" t="str">
        <f>Tabela1[[#This Row],[Descrição]]&amp;"-"&amp;Tabela1[[#This Row],[Código]]&amp;"/"&amp;Tabela1[[#This Row],[Origem]]</f>
        <v>Ravodopalo-P341P655/SP</v>
      </c>
      <c r="F3759" s="88">
        <v>47759</v>
      </c>
      <c r="G3759" s="88" t="str" cm="1">
        <f t="array" ref="G375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AND(F3759&gt;= DATE(2026,1,1), F3759&lt;= DATE(2028, 12, 31), J3759&gt;50000), "Pendente e Caro", AND(F3759&gt;= DATE(2026,1,1), F3759&lt;= DATE(2028, 12, 31), J3759&lt;=50000), "Pendente", F3759&gt;= DATE(2029,1,1), "Não prioeitário")</f>
        <v>Não prioeitário</v>
      </c>
      <c r="H3759" s="89">
        <f>YEAR(Tabela1[[#This Row],[Data de Validade]])</f>
        <v>2030</v>
      </c>
      <c r="I3759" s="89">
        <f>MONTH(Tabela1[[#This Row],[Data de Validade]])</f>
        <v>10</v>
      </c>
      <c r="J3759" s="101">
        <v>108008</v>
      </c>
      <c r="K3759" s="87" t="s">
        <v>9</v>
      </c>
      <c r="L3759" s="108"/>
      <c r="M3759" s="108"/>
      <c r="N3759" s="108" t="str">
        <v>P942H837</v>
      </c>
      <c r="O3759" s="108">
        <f t="shared" si="60"/>
        <v>1</v>
      </c>
      <c r="P3759" s="108"/>
      <c r="Q3759"/>
    </row>
    <row r="3760" spans="1:17" x14ac:dyDescent="0.25">
      <c r="A3760" s="89" t="s">
        <v>10107</v>
      </c>
      <c r="B3760" s="87" t="s">
        <v>10108</v>
      </c>
      <c r="C3760" s="87" t="s">
        <v>6</v>
      </c>
      <c r="D3760" s="87" t="str">
        <f>VLOOKUP(Tabela1[[#This Row],[Origem]], 'Perguntas 1 a 24'!$J$28:$K$34, 2, 0)</f>
        <v>Nordeste</v>
      </c>
      <c r="E3760" s="87" t="str">
        <f>Tabela1[[#This Row],[Descrição]]&amp;"-"&amp;Tabela1[[#This Row],[Código]]&amp;"/"&amp;Tabela1[[#This Row],[Origem]]</f>
        <v>Pocaperape-H255H335/MA</v>
      </c>
      <c r="F3760" s="88">
        <v>47760</v>
      </c>
      <c r="G3760" s="88" t="str" cm="1">
        <f t="array" ref="G376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AND(F3760&gt;= DATE(2026,1,1), F3760&lt;= DATE(2028, 12, 31), J3760&gt;50000), "Pendente e Caro", AND(F3760&gt;= DATE(2026,1,1), F3760&lt;= DATE(2028, 12, 31), J3760&lt;=50000), "Pendente", F3760&gt;= DATE(2029,1,1), "Não prioeitário")</f>
        <v>Não prioeitário</v>
      </c>
      <c r="H3760" s="89">
        <f>YEAR(Tabela1[[#This Row],[Data de Validade]])</f>
        <v>2030</v>
      </c>
      <c r="I3760" s="89">
        <f>MONTH(Tabela1[[#This Row],[Data de Validade]])</f>
        <v>10</v>
      </c>
      <c r="J3760" s="101">
        <v>59265</v>
      </c>
      <c r="K3760" s="87" t="s">
        <v>7</v>
      </c>
      <c r="L3760" s="108"/>
      <c r="M3760" s="108"/>
      <c r="N3760" s="108" t="str">
        <v>P261P539</v>
      </c>
      <c r="O3760" s="108">
        <f t="shared" si="60"/>
        <v>1</v>
      </c>
      <c r="P3760" s="108"/>
      <c r="Q3760"/>
    </row>
    <row r="3761" spans="1:17" x14ac:dyDescent="0.25">
      <c r="A3761" s="89" t="s">
        <v>10201</v>
      </c>
      <c r="B3761" s="87" t="s">
        <v>10202</v>
      </c>
      <c r="C3761" s="87" t="s">
        <v>13</v>
      </c>
      <c r="D3761" s="87" t="str">
        <f>VLOOKUP(Tabela1[[#This Row],[Origem]], 'Perguntas 1 a 24'!$J$28:$K$34, 2, 0)</f>
        <v>Sudeste</v>
      </c>
      <c r="E3761" s="87" t="str">
        <f>Tabela1[[#This Row],[Descrição]]&amp;"-"&amp;Tabela1[[#This Row],[Código]]&amp;"/"&amp;Tabela1[[#This Row],[Origem]]</f>
        <v>Mefuvi-P877P284/SP</v>
      </c>
      <c r="F3761" s="88">
        <v>47760</v>
      </c>
      <c r="G3761" s="88" t="str" cm="1">
        <f t="array" ref="G376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AND(F3761&gt;= DATE(2026,1,1), F3761&lt;= DATE(2028, 12, 31), J3761&gt;50000), "Pendente e Caro", AND(F3761&gt;= DATE(2026,1,1), F3761&lt;= DATE(2028, 12, 31), J3761&lt;=50000), "Pendente", F3761&gt;= DATE(2029,1,1), "Não prioeitário")</f>
        <v>Não prioeitário</v>
      </c>
      <c r="H3761" s="89">
        <f>YEAR(Tabela1[[#This Row],[Data de Validade]])</f>
        <v>2030</v>
      </c>
      <c r="I3761" s="89">
        <f>MONTH(Tabela1[[#This Row],[Data de Validade]])</f>
        <v>10</v>
      </c>
      <c r="J3761" s="101">
        <v>38805</v>
      </c>
      <c r="K3761" s="87" t="s">
        <v>14</v>
      </c>
      <c r="L3761" s="108"/>
      <c r="M3761" s="108"/>
      <c r="N3761" s="108" t="str">
        <v>H656H135</v>
      </c>
      <c r="O3761" s="108">
        <f t="shared" si="60"/>
        <v>1</v>
      </c>
      <c r="P3761" s="108"/>
      <c r="Q3761"/>
    </row>
    <row r="3762" spans="1:17" x14ac:dyDescent="0.25">
      <c r="A3762" s="89" t="s">
        <v>10067</v>
      </c>
      <c r="B3762" s="87" t="s">
        <v>10068</v>
      </c>
      <c r="C3762" s="87" t="s">
        <v>12</v>
      </c>
      <c r="D3762" s="87" t="str">
        <f>VLOOKUP(Tabela1[[#This Row],[Origem]], 'Perguntas 1 a 24'!$J$28:$K$34, 2, 0)</f>
        <v>Sudeste</v>
      </c>
      <c r="E3762" s="87" t="str">
        <f>Tabela1[[#This Row],[Descrição]]&amp;"-"&amp;Tabela1[[#This Row],[Código]]&amp;"/"&amp;Tabela1[[#This Row],[Origem]]</f>
        <v>Patipofe-P344P218/RJ</v>
      </c>
      <c r="F3762" s="88">
        <v>47760</v>
      </c>
      <c r="G3762" s="88" t="str" cm="1">
        <f t="array" ref="G376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AND(F3762&gt;= DATE(2026,1,1), F3762&lt;= DATE(2028, 12, 31), J3762&gt;50000), "Pendente e Caro", AND(F3762&gt;= DATE(2026,1,1), F3762&lt;= DATE(2028, 12, 31), J3762&lt;=50000), "Pendente", F3762&gt;= DATE(2029,1,1), "Não prioeitário")</f>
        <v>Não prioeitário</v>
      </c>
      <c r="H3762" s="89">
        <f>YEAR(Tabela1[[#This Row],[Data de Validade]])</f>
        <v>2030</v>
      </c>
      <c r="I3762" s="89">
        <f>MONTH(Tabela1[[#This Row],[Data de Validade]])</f>
        <v>10</v>
      </c>
      <c r="J3762" s="101">
        <v>36071</v>
      </c>
      <c r="K3762" s="87" t="s">
        <v>14</v>
      </c>
      <c r="L3762" s="108"/>
      <c r="M3762" s="108"/>
      <c r="N3762" s="108" t="str">
        <v>H944H462</v>
      </c>
      <c r="O3762" s="108">
        <f t="shared" si="60"/>
        <v>1</v>
      </c>
      <c r="P3762" s="108"/>
      <c r="Q3762"/>
    </row>
    <row r="3763" spans="1:17" x14ac:dyDescent="0.25">
      <c r="A3763" s="89" t="s">
        <v>3958</v>
      </c>
      <c r="B3763" s="87" t="s">
        <v>3959</v>
      </c>
      <c r="C3763" s="87" t="s">
        <v>6</v>
      </c>
      <c r="D3763" s="87" t="str">
        <f>VLOOKUP(Tabela1[[#This Row],[Origem]], 'Perguntas 1 a 24'!$J$28:$K$34, 2, 0)</f>
        <v>Nordeste</v>
      </c>
      <c r="E3763" s="87" t="str">
        <f>Tabela1[[#This Row],[Descrição]]&amp;"-"&amp;Tabela1[[#This Row],[Código]]&amp;"/"&amp;Tabela1[[#This Row],[Origem]]</f>
        <v>Gofela-P126H935/MA</v>
      </c>
      <c r="F3763" s="88">
        <v>47760</v>
      </c>
      <c r="G3763" s="88" t="str" cm="1">
        <f t="array" ref="G376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AND(F3763&gt;= DATE(2026,1,1), F3763&lt;= DATE(2028, 12, 31), J3763&gt;50000), "Pendente e Caro", AND(F3763&gt;= DATE(2026,1,1), F3763&lt;= DATE(2028, 12, 31), J3763&lt;=50000), "Pendente", F3763&gt;= DATE(2029,1,1), "Não prioeitário")</f>
        <v>Não prioeitário</v>
      </c>
      <c r="H3763" s="89">
        <f>YEAR(Tabela1[[#This Row],[Data de Validade]])</f>
        <v>2030</v>
      </c>
      <c r="I3763" s="89">
        <f>MONTH(Tabela1[[#This Row],[Data de Validade]])</f>
        <v>10</v>
      </c>
      <c r="J3763" s="101">
        <v>34657</v>
      </c>
      <c r="K3763" s="87" t="s">
        <v>14</v>
      </c>
      <c r="L3763" s="108"/>
      <c r="M3763" s="108"/>
      <c r="N3763" s="108" t="str">
        <v>P144P463</v>
      </c>
      <c r="O3763" s="108">
        <f t="shared" si="60"/>
        <v>1</v>
      </c>
      <c r="P3763" s="108"/>
      <c r="Q3763"/>
    </row>
    <row r="3764" spans="1:17" x14ac:dyDescent="0.25">
      <c r="A3764" s="89" t="s">
        <v>5790</v>
      </c>
      <c r="B3764" s="87" t="s">
        <v>5791</v>
      </c>
      <c r="C3764" s="87" t="s">
        <v>8</v>
      </c>
      <c r="D3764" s="87" t="str">
        <f>VLOOKUP(Tabela1[[#This Row],[Origem]], 'Perguntas 1 a 24'!$J$28:$K$34, 2, 0)</f>
        <v>Nordeste</v>
      </c>
      <c r="E3764" s="87" t="str">
        <f>Tabela1[[#This Row],[Descrição]]&amp;"-"&amp;Tabela1[[#This Row],[Código]]&amp;"/"&amp;Tabela1[[#This Row],[Origem]]</f>
        <v>Napuferolo-H711P875/AL</v>
      </c>
      <c r="F3764" s="88">
        <v>47761</v>
      </c>
      <c r="G3764" s="88" t="str" cm="1">
        <f t="array" ref="G376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AND(F3764&gt;= DATE(2026,1,1), F3764&lt;= DATE(2028, 12, 31), J3764&gt;50000), "Pendente e Caro", AND(F3764&gt;= DATE(2026,1,1), F3764&lt;= DATE(2028, 12, 31), J3764&lt;=50000), "Pendente", F3764&gt;= DATE(2029,1,1), "Não prioeitário")</f>
        <v>Não prioeitário</v>
      </c>
      <c r="H3764" s="89">
        <f>YEAR(Tabela1[[#This Row],[Data de Validade]])</f>
        <v>2030</v>
      </c>
      <c r="I3764" s="89">
        <f>MONTH(Tabela1[[#This Row],[Data de Validade]])</f>
        <v>10</v>
      </c>
      <c r="J3764" s="101">
        <v>56007</v>
      </c>
      <c r="K3764" s="87" t="s">
        <v>14</v>
      </c>
      <c r="L3764" s="108"/>
      <c r="M3764" s="108"/>
      <c r="N3764" s="108" t="str">
        <v>H372P868</v>
      </c>
      <c r="O3764" s="108">
        <f t="shared" si="60"/>
        <v>1</v>
      </c>
      <c r="P3764" s="108"/>
      <c r="Q3764"/>
    </row>
    <row r="3765" spans="1:17" x14ac:dyDescent="0.25">
      <c r="A3765" s="89" t="s">
        <v>4792</v>
      </c>
      <c r="B3765" s="87" t="s">
        <v>4793</v>
      </c>
      <c r="C3765" s="87" t="s">
        <v>16</v>
      </c>
      <c r="D3765" s="87" t="str">
        <f>VLOOKUP(Tabela1[[#This Row],[Origem]], 'Perguntas 1 a 24'!$J$28:$K$34, 2, 0)</f>
        <v>Sudeste</v>
      </c>
      <c r="E3765" s="87" t="str">
        <f>Tabela1[[#This Row],[Descrição]]&amp;"-"&amp;Tabela1[[#This Row],[Código]]&amp;"/"&amp;Tabela1[[#This Row],[Origem]]</f>
        <v>Relacatame-H984P282/MG</v>
      </c>
      <c r="F3765" s="88">
        <v>47762</v>
      </c>
      <c r="G3765" s="88" t="str" cm="1">
        <f t="array" ref="G376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AND(F3765&gt;= DATE(2026,1,1), F3765&lt;= DATE(2028, 12, 31), J3765&gt;50000), "Pendente e Caro", AND(F3765&gt;= DATE(2026,1,1), F3765&lt;= DATE(2028, 12, 31), J3765&lt;=50000), "Pendente", F3765&gt;= DATE(2029,1,1), "Não prioeitário")</f>
        <v>Não prioeitário</v>
      </c>
      <c r="H3765" s="89">
        <f>YEAR(Tabela1[[#This Row],[Data de Validade]])</f>
        <v>2030</v>
      </c>
      <c r="I3765" s="89">
        <f>MONTH(Tabela1[[#This Row],[Data de Validade]])</f>
        <v>10</v>
      </c>
      <c r="J3765" s="101">
        <v>53702</v>
      </c>
      <c r="K3765" s="87" t="s">
        <v>14</v>
      </c>
      <c r="L3765" s="108"/>
      <c r="M3765" s="108"/>
      <c r="N3765" s="108" t="str">
        <v>H432H579</v>
      </c>
      <c r="O3765" s="108">
        <f t="shared" si="60"/>
        <v>1</v>
      </c>
      <c r="P3765" s="108"/>
      <c r="Q3765"/>
    </row>
    <row r="3766" spans="1:17" x14ac:dyDescent="0.25">
      <c r="A3766" s="89" t="s">
        <v>8893</v>
      </c>
      <c r="B3766" s="87" t="s">
        <v>8894</v>
      </c>
      <c r="C3766" s="87" t="s">
        <v>16</v>
      </c>
      <c r="D3766" s="87" t="str">
        <f>VLOOKUP(Tabela1[[#This Row],[Origem]], 'Perguntas 1 a 24'!$J$28:$K$34, 2, 0)</f>
        <v>Sudeste</v>
      </c>
      <c r="E3766" s="87" t="str">
        <f>Tabela1[[#This Row],[Descrição]]&amp;"-"&amp;Tabela1[[#This Row],[Código]]&amp;"/"&amp;Tabela1[[#This Row],[Origem]]</f>
        <v>Fefelicadu-P323P522/MG</v>
      </c>
      <c r="F3766" s="88">
        <v>47762</v>
      </c>
      <c r="G3766" s="88" t="str" cm="1">
        <f t="array" ref="G376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AND(F3766&gt;= DATE(2026,1,1), F3766&lt;= DATE(2028, 12, 31), J3766&gt;50000), "Pendente e Caro", AND(F3766&gt;= DATE(2026,1,1), F3766&lt;= DATE(2028, 12, 31), J3766&lt;=50000), "Pendente", F3766&gt;= DATE(2029,1,1), "Não prioeitário")</f>
        <v>Não prioeitário</v>
      </c>
      <c r="H3766" s="89">
        <f>YEAR(Tabela1[[#This Row],[Data de Validade]])</f>
        <v>2030</v>
      </c>
      <c r="I3766" s="89">
        <f>MONTH(Tabela1[[#This Row],[Data de Validade]])</f>
        <v>10</v>
      </c>
      <c r="J3766" s="101">
        <v>27563</v>
      </c>
      <c r="K3766" s="87" t="s">
        <v>9</v>
      </c>
      <c r="L3766" s="108"/>
      <c r="M3766" s="108"/>
      <c r="N3766" s="108" t="str">
        <v>H633H141</v>
      </c>
      <c r="O3766" s="108">
        <f t="shared" si="60"/>
        <v>1</v>
      </c>
      <c r="P3766" s="108"/>
      <c r="Q3766"/>
    </row>
    <row r="3767" spans="1:17" x14ac:dyDescent="0.25">
      <c r="A3767" s="89" t="s">
        <v>3740</v>
      </c>
      <c r="B3767" s="87" t="s">
        <v>3741</v>
      </c>
      <c r="C3767" s="87" t="s">
        <v>15</v>
      </c>
      <c r="D3767" s="87" t="str">
        <f>VLOOKUP(Tabela1[[#This Row],[Origem]], 'Perguntas 1 a 24'!$J$28:$K$34, 2, 0)</f>
        <v>Sudeste</v>
      </c>
      <c r="E3767" s="87" t="str">
        <f>Tabela1[[#This Row],[Descrição]]&amp;"-"&amp;Tabela1[[#This Row],[Código]]&amp;"/"&amp;Tabela1[[#This Row],[Origem]]</f>
        <v>Rupuvapatu-P848P285/ES</v>
      </c>
      <c r="F3767" s="88">
        <v>47763</v>
      </c>
      <c r="G3767" s="88" t="str" cm="1">
        <f t="array" ref="G376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AND(F3767&gt;= DATE(2026,1,1), F3767&lt;= DATE(2028, 12, 31), J3767&gt;50000), "Pendente e Caro", AND(F3767&gt;= DATE(2026,1,1), F3767&lt;= DATE(2028, 12, 31), J3767&lt;=50000), "Pendente", F3767&gt;= DATE(2029,1,1), "Não prioeitário")</f>
        <v>Não prioeitário</v>
      </c>
      <c r="H3767" s="89">
        <f>YEAR(Tabela1[[#This Row],[Data de Validade]])</f>
        <v>2030</v>
      </c>
      <c r="I3767" s="89">
        <f>MONTH(Tabela1[[#This Row],[Data de Validade]])</f>
        <v>10</v>
      </c>
      <c r="J3767" s="101">
        <v>118176</v>
      </c>
      <c r="K3767" s="87" t="s">
        <v>14</v>
      </c>
      <c r="L3767" s="108"/>
      <c r="M3767" s="108"/>
      <c r="N3767" s="108" t="str">
        <v>P483P726</v>
      </c>
      <c r="O3767" s="108">
        <f t="shared" si="60"/>
        <v>1</v>
      </c>
      <c r="P3767" s="108"/>
      <c r="Q3767"/>
    </row>
    <row r="3768" spans="1:17" x14ac:dyDescent="0.25">
      <c r="A3768" s="89" t="s">
        <v>10095</v>
      </c>
      <c r="B3768" s="87" t="s">
        <v>10096</v>
      </c>
      <c r="C3768" s="87" t="s">
        <v>12</v>
      </c>
      <c r="D3768" s="87" t="str">
        <f>VLOOKUP(Tabela1[[#This Row],[Origem]], 'Perguntas 1 a 24'!$J$28:$K$34, 2, 0)</f>
        <v>Sudeste</v>
      </c>
      <c r="E3768" s="87" t="str">
        <f>Tabela1[[#This Row],[Descrição]]&amp;"-"&amp;Tabela1[[#This Row],[Código]]&amp;"/"&amp;Tabela1[[#This Row],[Origem]]</f>
        <v>Titiponacu-H928P582/RJ</v>
      </c>
      <c r="F3768" s="88">
        <v>47764</v>
      </c>
      <c r="G3768" s="88" t="str" cm="1">
        <f t="array" ref="G376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AND(F3768&gt;= DATE(2026,1,1), F3768&lt;= DATE(2028, 12, 31), J3768&gt;50000), "Pendente e Caro", AND(F3768&gt;= DATE(2026,1,1), F3768&lt;= DATE(2028, 12, 31), J3768&lt;=50000), "Pendente", F3768&gt;= DATE(2029,1,1), "Não prioeitário")</f>
        <v>Não prioeitário</v>
      </c>
      <c r="H3768" s="89">
        <f>YEAR(Tabela1[[#This Row],[Data de Validade]])</f>
        <v>2030</v>
      </c>
      <c r="I3768" s="89">
        <f>MONTH(Tabela1[[#This Row],[Data de Validade]])</f>
        <v>10</v>
      </c>
      <c r="J3768" s="101">
        <v>93906</v>
      </c>
      <c r="K3768" s="87" t="s">
        <v>14</v>
      </c>
      <c r="L3768" s="108"/>
      <c r="M3768" s="108"/>
      <c r="N3768" s="108" t="str">
        <v>P918P663</v>
      </c>
      <c r="O3768" s="108">
        <f t="shared" si="60"/>
        <v>1</v>
      </c>
      <c r="P3768" s="108"/>
      <c r="Q3768"/>
    </row>
    <row r="3769" spans="1:17" x14ac:dyDescent="0.25">
      <c r="A3769" s="89" t="s">
        <v>4084</v>
      </c>
      <c r="B3769" s="87" t="s">
        <v>4085</v>
      </c>
      <c r="C3769" s="87" t="s">
        <v>8</v>
      </c>
      <c r="D3769" s="87" t="str">
        <f>VLOOKUP(Tabela1[[#This Row],[Origem]], 'Perguntas 1 a 24'!$J$28:$K$34, 2, 0)</f>
        <v>Nordeste</v>
      </c>
      <c r="E3769" s="87" t="str">
        <f>Tabela1[[#This Row],[Descrição]]&amp;"-"&amp;Tabela1[[#This Row],[Código]]&amp;"/"&amp;Tabela1[[#This Row],[Origem]]</f>
        <v>Remafafopo-H929P163/AL</v>
      </c>
      <c r="F3769" s="88">
        <v>47765</v>
      </c>
      <c r="G3769" s="88" t="str" cm="1">
        <f t="array" ref="G376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AND(F3769&gt;= DATE(2026,1,1), F3769&lt;= DATE(2028, 12, 31), J3769&gt;50000), "Pendente e Caro", AND(F3769&gt;= DATE(2026,1,1), F3769&lt;= DATE(2028, 12, 31), J3769&lt;=50000), "Pendente", F3769&gt;= DATE(2029,1,1), "Não prioeitário")</f>
        <v>Não prioeitário</v>
      </c>
      <c r="H3769" s="89">
        <f>YEAR(Tabela1[[#This Row],[Data de Validade]])</f>
        <v>2030</v>
      </c>
      <c r="I3769" s="89">
        <f>MONTH(Tabela1[[#This Row],[Data de Validade]])</f>
        <v>10</v>
      </c>
      <c r="J3769" s="101">
        <v>66459</v>
      </c>
      <c r="K3769" s="87" t="s">
        <v>7</v>
      </c>
      <c r="L3769" s="108"/>
      <c r="M3769" s="108"/>
      <c r="N3769" s="108" t="str">
        <v>H891P434</v>
      </c>
      <c r="O3769" s="108">
        <f t="shared" si="60"/>
        <v>1</v>
      </c>
      <c r="P3769" s="108"/>
      <c r="Q3769"/>
    </row>
    <row r="3770" spans="1:17" x14ac:dyDescent="0.25">
      <c r="A3770" s="89" t="s">
        <v>11292</v>
      </c>
      <c r="B3770" s="87" t="s">
        <v>11293</v>
      </c>
      <c r="C3770" s="87" t="s">
        <v>8</v>
      </c>
      <c r="D3770" s="87" t="str">
        <f>VLOOKUP(Tabela1[[#This Row],[Origem]], 'Perguntas 1 a 24'!$J$28:$K$34, 2, 0)</f>
        <v>Nordeste</v>
      </c>
      <c r="E3770" s="87" t="str">
        <f>Tabela1[[#This Row],[Descrição]]&amp;"-"&amp;Tabela1[[#This Row],[Código]]&amp;"/"&amp;Tabela1[[#This Row],[Origem]]</f>
        <v>Meludetati-P645P764/AL</v>
      </c>
      <c r="F3770" s="88">
        <v>47765</v>
      </c>
      <c r="G3770" s="88" t="str" cm="1">
        <f t="array" ref="G377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AND(F3770&gt;= DATE(2026,1,1), F3770&lt;= DATE(2028, 12, 31), J3770&gt;50000), "Pendente e Caro", AND(F3770&gt;= DATE(2026,1,1), F3770&lt;= DATE(2028, 12, 31), J3770&lt;=50000), "Pendente", F3770&gt;= DATE(2029,1,1), "Não prioeitário")</f>
        <v>Não prioeitário</v>
      </c>
      <c r="H3770" s="89">
        <f>YEAR(Tabela1[[#This Row],[Data de Validade]])</f>
        <v>2030</v>
      </c>
      <c r="I3770" s="89">
        <f>MONTH(Tabela1[[#This Row],[Data de Validade]])</f>
        <v>10</v>
      </c>
      <c r="J3770" s="101">
        <v>42309</v>
      </c>
      <c r="K3770" s="87" t="s">
        <v>11</v>
      </c>
      <c r="L3770" s="108"/>
      <c r="M3770" s="108"/>
      <c r="N3770" s="108" t="str">
        <v>H456P244</v>
      </c>
      <c r="O3770" s="108">
        <f t="shared" si="60"/>
        <v>1</v>
      </c>
      <c r="P3770" s="108"/>
      <c r="Q3770"/>
    </row>
    <row r="3771" spans="1:17" x14ac:dyDescent="0.25">
      <c r="A3771" s="89" t="s">
        <v>5558</v>
      </c>
      <c r="B3771" s="87" t="s">
        <v>5559</v>
      </c>
      <c r="C3771" s="87" t="s">
        <v>12</v>
      </c>
      <c r="D3771" s="87" t="str">
        <f>VLOOKUP(Tabela1[[#This Row],[Origem]], 'Perguntas 1 a 24'!$J$28:$K$34, 2, 0)</f>
        <v>Sudeste</v>
      </c>
      <c r="E3771" s="87" t="str">
        <f>Tabela1[[#This Row],[Descrição]]&amp;"-"&amp;Tabela1[[#This Row],[Código]]&amp;"/"&amp;Tabela1[[#This Row],[Origem]]</f>
        <v>Vigipepave-P185H769/RJ</v>
      </c>
      <c r="F3771" s="88">
        <v>47766</v>
      </c>
      <c r="G3771" s="88" t="str" cm="1">
        <f t="array" ref="G377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AND(F3771&gt;= DATE(2026,1,1), F3771&lt;= DATE(2028, 12, 31), J3771&gt;50000), "Pendente e Caro", AND(F3771&gt;= DATE(2026,1,1), F3771&lt;= DATE(2028, 12, 31), J3771&lt;=50000), "Pendente", F3771&gt;= DATE(2029,1,1), "Não prioeitário")</f>
        <v>Não prioeitário</v>
      </c>
      <c r="H3771" s="89">
        <f>YEAR(Tabela1[[#This Row],[Data de Validade]])</f>
        <v>2030</v>
      </c>
      <c r="I3771" s="89">
        <f>MONTH(Tabela1[[#This Row],[Data de Validade]])</f>
        <v>10</v>
      </c>
      <c r="J3771" s="101">
        <v>103582</v>
      </c>
      <c r="K3771" s="87" t="s">
        <v>14</v>
      </c>
      <c r="L3771" s="108"/>
      <c r="M3771" s="108"/>
      <c r="N3771" s="108" t="str">
        <v>P635H755</v>
      </c>
      <c r="O3771" s="108">
        <f t="shared" si="60"/>
        <v>1</v>
      </c>
      <c r="P3771" s="108"/>
      <c r="Q3771"/>
    </row>
    <row r="3772" spans="1:17" x14ac:dyDescent="0.25">
      <c r="A3772" s="89" t="s">
        <v>5118</v>
      </c>
      <c r="B3772" s="87" t="s">
        <v>5119</v>
      </c>
      <c r="C3772" s="87" t="s">
        <v>6</v>
      </c>
      <c r="D3772" s="87" t="str">
        <f>VLOOKUP(Tabela1[[#This Row],[Origem]], 'Perguntas 1 a 24'!$J$28:$K$34, 2, 0)</f>
        <v>Nordeste</v>
      </c>
      <c r="E3772" s="87" t="str">
        <f>Tabela1[[#This Row],[Descrição]]&amp;"-"&amp;Tabela1[[#This Row],[Código]]&amp;"/"&amp;Tabela1[[#This Row],[Origem]]</f>
        <v>Tutodigeca-P942H837/MA</v>
      </c>
      <c r="F3772" s="88">
        <v>47766</v>
      </c>
      <c r="G3772" s="88" t="str" cm="1">
        <f t="array" ref="G377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AND(F3772&gt;= DATE(2026,1,1), F3772&lt;= DATE(2028, 12, 31), J3772&gt;50000), "Pendente e Caro", AND(F3772&gt;= DATE(2026,1,1), F3772&lt;= DATE(2028, 12, 31), J3772&lt;=50000), "Pendente", F3772&gt;= DATE(2029,1,1), "Não prioeitário")</f>
        <v>Não prioeitário</v>
      </c>
      <c r="H3772" s="89">
        <f>YEAR(Tabela1[[#This Row],[Data de Validade]])</f>
        <v>2030</v>
      </c>
      <c r="I3772" s="89">
        <f>MONTH(Tabela1[[#This Row],[Data de Validade]])</f>
        <v>10</v>
      </c>
      <c r="J3772" s="101">
        <v>62647</v>
      </c>
      <c r="K3772" s="87" t="s">
        <v>9</v>
      </c>
      <c r="L3772" s="108"/>
      <c r="M3772" s="108"/>
      <c r="N3772" s="108" t="str">
        <v>H728P726</v>
      </c>
      <c r="O3772" s="108">
        <f t="shared" si="60"/>
        <v>1</v>
      </c>
      <c r="P3772" s="108"/>
      <c r="Q3772"/>
    </row>
    <row r="3773" spans="1:17" x14ac:dyDescent="0.25">
      <c r="A3773" s="89" t="s">
        <v>9561</v>
      </c>
      <c r="B3773" s="87" t="s">
        <v>9562</v>
      </c>
      <c r="C3773" s="87" t="s">
        <v>8</v>
      </c>
      <c r="D3773" s="87" t="str">
        <f>VLOOKUP(Tabela1[[#This Row],[Origem]], 'Perguntas 1 a 24'!$J$28:$K$34, 2, 0)</f>
        <v>Nordeste</v>
      </c>
      <c r="E3773" s="87" t="str">
        <f>Tabela1[[#This Row],[Descrição]]&amp;"-"&amp;Tabela1[[#This Row],[Código]]&amp;"/"&amp;Tabela1[[#This Row],[Origem]]</f>
        <v>Pugarire-P261P539/AL</v>
      </c>
      <c r="F3773" s="88">
        <v>47767</v>
      </c>
      <c r="G3773" s="88" t="str" cm="1">
        <f t="array" ref="G377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AND(F3773&gt;= DATE(2026,1,1), F3773&lt;= DATE(2028, 12, 31), J3773&gt;50000), "Pendente e Caro", AND(F3773&gt;= DATE(2026,1,1), F3773&lt;= DATE(2028, 12, 31), J3773&lt;=50000), "Pendente", F3773&gt;= DATE(2029,1,1), "Não prioeitário")</f>
        <v>Não prioeitário</v>
      </c>
      <c r="H3773" s="89">
        <f>YEAR(Tabela1[[#This Row],[Data de Validade]])</f>
        <v>2030</v>
      </c>
      <c r="I3773" s="89">
        <f>MONTH(Tabela1[[#This Row],[Data de Validade]])</f>
        <v>10</v>
      </c>
      <c r="J3773" s="101">
        <v>89849</v>
      </c>
      <c r="K3773" s="87" t="s">
        <v>7</v>
      </c>
      <c r="L3773" s="108"/>
      <c r="M3773" s="108"/>
      <c r="N3773" s="108" t="str">
        <v>P463H252</v>
      </c>
      <c r="O3773" s="108">
        <f t="shared" si="60"/>
        <v>1</v>
      </c>
      <c r="P3773" s="108"/>
      <c r="Q3773"/>
    </row>
    <row r="3774" spans="1:17" x14ac:dyDescent="0.25">
      <c r="A3774" s="89" t="s">
        <v>5228</v>
      </c>
      <c r="B3774" s="87" t="s">
        <v>5229</v>
      </c>
      <c r="C3774" s="87" t="s">
        <v>13</v>
      </c>
      <c r="D3774" s="87" t="str">
        <f>VLOOKUP(Tabela1[[#This Row],[Origem]], 'Perguntas 1 a 24'!$J$28:$K$34, 2, 0)</f>
        <v>Sudeste</v>
      </c>
      <c r="E3774" s="87" t="str">
        <f>Tabela1[[#This Row],[Descrição]]&amp;"-"&amp;Tabela1[[#This Row],[Código]]&amp;"/"&amp;Tabela1[[#This Row],[Origem]]</f>
        <v>Tapomu-H656H135/SP</v>
      </c>
      <c r="F3774" s="88">
        <v>47767</v>
      </c>
      <c r="G3774" s="88" t="str" cm="1">
        <f t="array" ref="G377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AND(F3774&gt;= DATE(2026,1,1), F3774&lt;= DATE(2028, 12, 31), J3774&gt;50000), "Pendente e Caro", AND(F3774&gt;= DATE(2026,1,1), F3774&lt;= DATE(2028, 12, 31), J3774&lt;=50000), "Pendente", F3774&gt;= DATE(2029,1,1), "Não prioeitário")</f>
        <v>Não prioeitário</v>
      </c>
      <c r="H3774" s="89">
        <f>YEAR(Tabela1[[#This Row],[Data de Validade]])</f>
        <v>2030</v>
      </c>
      <c r="I3774" s="89">
        <f>MONTH(Tabela1[[#This Row],[Data de Validade]])</f>
        <v>10</v>
      </c>
      <c r="J3774" s="101">
        <v>32321</v>
      </c>
      <c r="K3774" s="87" t="s">
        <v>11</v>
      </c>
      <c r="L3774" s="108"/>
      <c r="M3774" s="108"/>
      <c r="N3774" s="108" t="str">
        <v>P948H843</v>
      </c>
      <c r="O3774" s="108">
        <f t="shared" si="60"/>
        <v>1</v>
      </c>
      <c r="P3774" s="108"/>
      <c r="Q3774"/>
    </row>
    <row r="3775" spans="1:17" x14ac:dyDescent="0.25">
      <c r="A3775" s="89" t="s">
        <v>8865</v>
      </c>
      <c r="B3775" s="87" t="s">
        <v>8866</v>
      </c>
      <c r="C3775" s="87" t="s">
        <v>16</v>
      </c>
      <c r="D3775" s="87" t="str">
        <f>VLOOKUP(Tabela1[[#This Row],[Origem]], 'Perguntas 1 a 24'!$J$28:$K$34, 2, 0)</f>
        <v>Sudeste</v>
      </c>
      <c r="E3775" s="87" t="str">
        <f>Tabela1[[#This Row],[Descrição]]&amp;"-"&amp;Tabela1[[#This Row],[Código]]&amp;"/"&amp;Tabela1[[#This Row],[Origem]]</f>
        <v>Rupaforuga-H944H462/MG</v>
      </c>
      <c r="F3775" s="88">
        <v>47768</v>
      </c>
      <c r="G3775" s="88" t="str" cm="1">
        <f t="array" ref="G377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AND(F3775&gt;= DATE(2026,1,1), F3775&lt;= DATE(2028, 12, 31), J3775&gt;50000), "Pendente e Caro", AND(F3775&gt;= DATE(2026,1,1), F3775&lt;= DATE(2028, 12, 31), J3775&lt;=50000), "Pendente", F3775&gt;= DATE(2029,1,1), "Não prioeitário")</f>
        <v>Não prioeitário</v>
      </c>
      <c r="H3775" s="89">
        <f>YEAR(Tabela1[[#This Row],[Data de Validade]])</f>
        <v>2030</v>
      </c>
      <c r="I3775" s="89">
        <f>MONTH(Tabela1[[#This Row],[Data de Validade]])</f>
        <v>10</v>
      </c>
      <c r="J3775" s="101">
        <v>116935</v>
      </c>
      <c r="K3775" s="87" t="s">
        <v>7</v>
      </c>
      <c r="L3775" s="108"/>
      <c r="M3775" s="108"/>
      <c r="N3775" s="108" t="str">
        <v>P923P688</v>
      </c>
      <c r="O3775" s="108">
        <f t="shared" si="60"/>
        <v>1</v>
      </c>
      <c r="P3775" s="108"/>
      <c r="Q3775"/>
    </row>
    <row r="3776" spans="1:17" x14ac:dyDescent="0.25">
      <c r="A3776" s="89" t="s">
        <v>7974</v>
      </c>
      <c r="B3776" s="87" t="s">
        <v>7975</v>
      </c>
      <c r="C3776" s="87" t="s">
        <v>6</v>
      </c>
      <c r="D3776" s="87" t="str">
        <f>VLOOKUP(Tabela1[[#This Row],[Origem]], 'Perguntas 1 a 24'!$J$28:$K$34, 2, 0)</f>
        <v>Nordeste</v>
      </c>
      <c r="E3776" s="87" t="str">
        <f>Tabela1[[#This Row],[Descrição]]&amp;"-"&amp;Tabela1[[#This Row],[Código]]&amp;"/"&amp;Tabela1[[#This Row],[Origem]]</f>
        <v>Tufepamo-P144P463/MA</v>
      </c>
      <c r="F3776" s="88">
        <v>47769</v>
      </c>
      <c r="G3776" s="88" t="str" cm="1">
        <f t="array" ref="G377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AND(F3776&gt;= DATE(2026,1,1), F3776&lt;= DATE(2028, 12, 31), J3776&gt;50000), "Pendente e Caro", AND(F3776&gt;= DATE(2026,1,1), F3776&lt;= DATE(2028, 12, 31), J3776&lt;=50000), "Pendente", F3776&gt;= DATE(2029,1,1), "Não prioeitário")</f>
        <v>Não prioeitário</v>
      </c>
      <c r="H3776" s="89">
        <f>YEAR(Tabela1[[#This Row],[Data de Validade]])</f>
        <v>2030</v>
      </c>
      <c r="I3776" s="89">
        <f>MONTH(Tabela1[[#This Row],[Data de Validade]])</f>
        <v>10</v>
      </c>
      <c r="J3776" s="101">
        <v>48511</v>
      </c>
      <c r="K3776" s="87" t="s">
        <v>9</v>
      </c>
      <c r="L3776" s="108"/>
      <c r="M3776" s="108"/>
      <c r="N3776" s="108" t="str">
        <v>H254H999</v>
      </c>
      <c r="O3776" s="108">
        <f t="shared" si="60"/>
        <v>1</v>
      </c>
      <c r="P3776" s="108"/>
      <c r="Q3776"/>
    </row>
    <row r="3777" spans="1:17" x14ac:dyDescent="0.25">
      <c r="A3777" s="89" t="s">
        <v>9845</v>
      </c>
      <c r="B3777" s="87" t="s">
        <v>9846</v>
      </c>
      <c r="C3777" s="87" t="s">
        <v>10</v>
      </c>
      <c r="D3777" s="87" t="str">
        <f>VLOOKUP(Tabela1[[#This Row],[Origem]], 'Perguntas 1 a 24'!$J$28:$K$34, 2, 0)</f>
        <v>Centro-Oeste</v>
      </c>
      <c r="E3777" s="87" t="str">
        <f>Tabela1[[#This Row],[Descrição]]&amp;"-"&amp;Tabela1[[#This Row],[Código]]&amp;"/"&amp;Tabela1[[#This Row],[Origem]]</f>
        <v>Cotineva-H372P868/GO</v>
      </c>
      <c r="F3777" s="88">
        <v>47770</v>
      </c>
      <c r="G3777" s="88" t="str" cm="1">
        <f t="array" ref="G377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AND(F3777&gt;= DATE(2026,1,1), F3777&lt;= DATE(2028, 12, 31), J3777&gt;50000), "Pendente e Caro", AND(F3777&gt;= DATE(2026,1,1), F3777&lt;= DATE(2028, 12, 31), J3777&lt;=50000), "Pendente", F3777&gt;= DATE(2029,1,1), "Não prioeitário")</f>
        <v>Não prioeitário</v>
      </c>
      <c r="H3777" s="89">
        <f>YEAR(Tabela1[[#This Row],[Data de Validade]])</f>
        <v>2030</v>
      </c>
      <c r="I3777" s="89">
        <f>MONTH(Tabela1[[#This Row],[Data de Validade]])</f>
        <v>10</v>
      </c>
      <c r="J3777" s="101">
        <v>104608</v>
      </c>
      <c r="K3777" s="87" t="s">
        <v>14</v>
      </c>
      <c r="L3777" s="108"/>
      <c r="M3777" s="108"/>
      <c r="N3777" s="108" t="str">
        <v>H955P819</v>
      </c>
      <c r="O3777" s="108">
        <f t="shared" si="60"/>
        <v>1</v>
      </c>
      <c r="P3777" s="108"/>
      <c r="Q3777"/>
    </row>
    <row r="3778" spans="1:17" x14ac:dyDescent="0.25">
      <c r="A3778" s="89" t="s">
        <v>8150</v>
      </c>
      <c r="B3778" s="87" t="s">
        <v>8151</v>
      </c>
      <c r="C3778" s="87" t="s">
        <v>13</v>
      </c>
      <c r="D3778" s="87" t="str">
        <f>VLOOKUP(Tabela1[[#This Row],[Origem]], 'Perguntas 1 a 24'!$J$28:$K$34, 2, 0)</f>
        <v>Sudeste</v>
      </c>
      <c r="E3778" s="87" t="str">
        <f>Tabela1[[#This Row],[Descrição]]&amp;"-"&amp;Tabela1[[#This Row],[Código]]&amp;"/"&amp;Tabela1[[#This Row],[Origem]]</f>
        <v>Totupiduvo-H432H579/SP</v>
      </c>
      <c r="F3778" s="88">
        <v>47771</v>
      </c>
      <c r="G3778" s="88" t="str" cm="1">
        <f t="array" ref="G377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AND(F3778&gt;= DATE(2026,1,1), F3778&lt;= DATE(2028, 12, 31), J3778&gt;50000), "Pendente e Caro", AND(F3778&gt;= DATE(2026,1,1), F3778&lt;= DATE(2028, 12, 31), J3778&lt;=50000), "Pendente", F3778&gt;= DATE(2029,1,1), "Não prioeitário")</f>
        <v>Não prioeitário</v>
      </c>
      <c r="H3778" s="89">
        <f>YEAR(Tabela1[[#This Row],[Data de Validade]])</f>
        <v>2030</v>
      </c>
      <c r="I3778" s="89">
        <f>MONTH(Tabela1[[#This Row],[Data de Validade]])</f>
        <v>10</v>
      </c>
      <c r="J3778" s="101">
        <v>119819</v>
      </c>
      <c r="K3778" s="87" t="s">
        <v>9</v>
      </c>
      <c r="L3778" s="108"/>
      <c r="M3778" s="108"/>
      <c r="N3778" s="108" t="str">
        <v>H462H564</v>
      </c>
      <c r="O3778" s="108">
        <f t="shared" si="60"/>
        <v>1</v>
      </c>
      <c r="P3778" s="108"/>
      <c r="Q3778"/>
    </row>
    <row r="3779" spans="1:17" x14ac:dyDescent="0.25">
      <c r="A3779" s="89" t="s">
        <v>9481</v>
      </c>
      <c r="B3779" s="87" t="s">
        <v>9482</v>
      </c>
      <c r="C3779" s="87" t="s">
        <v>13</v>
      </c>
      <c r="D3779" s="87" t="str">
        <f>VLOOKUP(Tabela1[[#This Row],[Origem]], 'Perguntas 1 a 24'!$J$28:$K$34, 2, 0)</f>
        <v>Sudeste</v>
      </c>
      <c r="E3779" s="87" t="str">
        <f>Tabela1[[#This Row],[Descrição]]&amp;"-"&amp;Tabela1[[#This Row],[Código]]&amp;"/"&amp;Tabela1[[#This Row],[Origem]]</f>
        <v>Puretecu-H633H141/SP</v>
      </c>
      <c r="F3779" s="88">
        <v>47772</v>
      </c>
      <c r="G3779" s="88" t="str" cm="1">
        <f t="array" ref="G377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AND(F3779&gt;= DATE(2026,1,1), F3779&lt;= DATE(2028, 12, 31), J3779&gt;50000), "Pendente e Caro", AND(F3779&gt;= DATE(2026,1,1), F3779&lt;= DATE(2028, 12, 31), J3779&lt;=50000), "Pendente", F3779&gt;= DATE(2029,1,1), "Não prioeitário")</f>
        <v>Não prioeitário</v>
      </c>
      <c r="H3779" s="89">
        <f>YEAR(Tabela1[[#This Row],[Data de Validade]])</f>
        <v>2030</v>
      </c>
      <c r="I3779" s="89">
        <f>MONTH(Tabela1[[#This Row],[Data de Validade]])</f>
        <v>10</v>
      </c>
      <c r="J3779" s="101">
        <v>100684</v>
      </c>
      <c r="K3779" s="87" t="s">
        <v>9</v>
      </c>
      <c r="L3779" s="108"/>
      <c r="M3779" s="108"/>
      <c r="N3779" s="108" t="str">
        <v>H774P356</v>
      </c>
      <c r="O3779" s="108">
        <f t="shared" ref="O3779:O3842" si="61">COUNTIFS(B:B,N3779)</f>
        <v>1</v>
      </c>
      <c r="P3779" s="108"/>
      <c r="Q3779"/>
    </row>
    <row r="3780" spans="1:17" x14ac:dyDescent="0.25">
      <c r="A3780" s="89" t="s">
        <v>5420</v>
      </c>
      <c r="B3780" s="87" t="s">
        <v>5421</v>
      </c>
      <c r="C3780" s="87" t="s">
        <v>8</v>
      </c>
      <c r="D3780" s="87" t="str">
        <f>VLOOKUP(Tabela1[[#This Row],[Origem]], 'Perguntas 1 a 24'!$J$28:$K$34, 2, 0)</f>
        <v>Nordeste</v>
      </c>
      <c r="E3780" s="87" t="str">
        <f>Tabela1[[#This Row],[Descrição]]&amp;"-"&amp;Tabela1[[#This Row],[Código]]&amp;"/"&amp;Tabela1[[#This Row],[Origem]]</f>
        <v>Tufupote-P483P726/AL</v>
      </c>
      <c r="F3780" s="88">
        <v>47773</v>
      </c>
      <c r="G3780" s="88" t="str" cm="1">
        <f t="array" ref="G378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AND(F3780&gt;= DATE(2026,1,1), F3780&lt;= DATE(2028, 12, 31), J3780&gt;50000), "Pendente e Caro", AND(F3780&gt;= DATE(2026,1,1), F3780&lt;= DATE(2028, 12, 31), J3780&lt;=50000), "Pendente", F3780&gt;= DATE(2029,1,1), "Não prioeitário")</f>
        <v>Não prioeitário</v>
      </c>
      <c r="H3780" s="89">
        <f>YEAR(Tabela1[[#This Row],[Data de Validade]])</f>
        <v>2030</v>
      </c>
      <c r="I3780" s="89">
        <f>MONTH(Tabela1[[#This Row],[Data de Validade]])</f>
        <v>10</v>
      </c>
      <c r="J3780" s="101">
        <v>39123</v>
      </c>
      <c r="K3780" s="87" t="s">
        <v>14</v>
      </c>
      <c r="L3780" s="108"/>
      <c r="M3780" s="108"/>
      <c r="N3780" s="108" t="str">
        <v>H472H571</v>
      </c>
      <c r="O3780" s="108">
        <f t="shared" si="61"/>
        <v>1</v>
      </c>
      <c r="P3780" s="108"/>
      <c r="Q3780"/>
    </row>
    <row r="3781" spans="1:17" x14ac:dyDescent="0.25">
      <c r="A3781" s="89" t="s">
        <v>6506</v>
      </c>
      <c r="B3781" s="87" t="s">
        <v>6507</v>
      </c>
      <c r="C3781" s="87" t="s">
        <v>16</v>
      </c>
      <c r="D3781" s="87" t="str">
        <f>VLOOKUP(Tabela1[[#This Row],[Origem]], 'Perguntas 1 a 24'!$J$28:$K$34, 2, 0)</f>
        <v>Sudeste</v>
      </c>
      <c r="E3781" s="87" t="str">
        <f>Tabela1[[#This Row],[Descrição]]&amp;"-"&amp;Tabela1[[#This Row],[Código]]&amp;"/"&amp;Tabela1[[#This Row],[Origem]]</f>
        <v>Patelopumi-P918P663/MG</v>
      </c>
      <c r="F3781" s="88">
        <v>47774</v>
      </c>
      <c r="G3781" s="88" t="str" cm="1">
        <f t="array" ref="G378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AND(F3781&gt;= DATE(2026,1,1), F3781&lt;= DATE(2028, 12, 31), J3781&gt;50000), "Pendente e Caro", AND(F3781&gt;= DATE(2026,1,1), F3781&lt;= DATE(2028, 12, 31), J3781&lt;=50000), "Pendente", F3781&gt;= DATE(2029,1,1), "Não prioeitário")</f>
        <v>Não prioeitário</v>
      </c>
      <c r="H3781" s="89">
        <f>YEAR(Tabela1[[#This Row],[Data de Validade]])</f>
        <v>2030</v>
      </c>
      <c r="I3781" s="89">
        <f>MONTH(Tabela1[[#This Row],[Data de Validade]])</f>
        <v>10</v>
      </c>
      <c r="J3781" s="101">
        <v>87706</v>
      </c>
      <c r="K3781" s="87" t="s">
        <v>14</v>
      </c>
      <c r="L3781" s="108"/>
      <c r="M3781" s="108"/>
      <c r="N3781" s="108" t="str">
        <v>P227H224</v>
      </c>
      <c r="O3781" s="108">
        <f t="shared" si="61"/>
        <v>1</v>
      </c>
      <c r="P3781" s="108"/>
      <c r="Q3781"/>
    </row>
    <row r="3782" spans="1:17" x14ac:dyDescent="0.25">
      <c r="A3782" s="89" t="s">
        <v>10447</v>
      </c>
      <c r="B3782" s="87" t="s">
        <v>10448</v>
      </c>
      <c r="C3782" s="87" t="s">
        <v>16</v>
      </c>
      <c r="D3782" s="87" t="str">
        <f>VLOOKUP(Tabela1[[#This Row],[Origem]], 'Perguntas 1 a 24'!$J$28:$K$34, 2, 0)</f>
        <v>Sudeste</v>
      </c>
      <c r="E3782" s="87" t="str">
        <f>Tabela1[[#This Row],[Descrição]]&amp;"-"&amp;Tabela1[[#This Row],[Código]]&amp;"/"&amp;Tabela1[[#This Row],[Origem]]</f>
        <v>Tiduvife-H891P434/MG</v>
      </c>
      <c r="F3782" s="88">
        <v>47774</v>
      </c>
      <c r="G3782" s="88" t="str" cm="1">
        <f t="array" ref="G378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AND(F3782&gt;= DATE(2026,1,1), F3782&lt;= DATE(2028, 12, 31), J3782&gt;50000), "Pendente e Caro", AND(F3782&gt;= DATE(2026,1,1), F3782&lt;= DATE(2028, 12, 31), J3782&lt;=50000), "Pendente", F3782&gt;= DATE(2029,1,1), "Não prioeitário")</f>
        <v>Não prioeitário</v>
      </c>
      <c r="H3782" s="89">
        <f>YEAR(Tabela1[[#This Row],[Data de Validade]])</f>
        <v>2030</v>
      </c>
      <c r="I3782" s="89">
        <f>MONTH(Tabela1[[#This Row],[Data de Validade]])</f>
        <v>10</v>
      </c>
      <c r="J3782" s="101">
        <v>58579</v>
      </c>
      <c r="K3782" s="87" t="s">
        <v>11</v>
      </c>
      <c r="L3782" s="108"/>
      <c r="M3782" s="108"/>
      <c r="N3782" s="108" t="str">
        <v>P339H873</v>
      </c>
      <c r="O3782" s="108">
        <f t="shared" si="61"/>
        <v>1</v>
      </c>
      <c r="P3782" s="108"/>
      <c r="Q3782"/>
    </row>
    <row r="3783" spans="1:17" x14ac:dyDescent="0.25">
      <c r="A3783" s="89" t="s">
        <v>9681</v>
      </c>
      <c r="B3783" s="87" t="s">
        <v>9682</v>
      </c>
      <c r="C3783" s="87" t="s">
        <v>6</v>
      </c>
      <c r="D3783" s="87" t="str">
        <f>VLOOKUP(Tabela1[[#This Row],[Origem]], 'Perguntas 1 a 24'!$J$28:$K$34, 2, 0)</f>
        <v>Nordeste</v>
      </c>
      <c r="E3783" s="87" t="str">
        <f>Tabela1[[#This Row],[Descrição]]&amp;"-"&amp;Tabela1[[#This Row],[Código]]&amp;"/"&amp;Tabela1[[#This Row],[Origem]]</f>
        <v>Feporedepi-H456P244/MA</v>
      </c>
      <c r="F3783" s="88">
        <v>47774</v>
      </c>
      <c r="G3783" s="88" t="str" cm="1">
        <f t="array" ref="G378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AND(F3783&gt;= DATE(2026,1,1), F3783&lt;= DATE(2028, 12, 31), J3783&gt;50000), "Pendente e Caro", AND(F3783&gt;= DATE(2026,1,1), F3783&lt;= DATE(2028, 12, 31), J3783&lt;=50000), "Pendente", F3783&gt;= DATE(2029,1,1), "Não prioeitário")</f>
        <v>Não prioeitário</v>
      </c>
      <c r="H3783" s="89">
        <f>YEAR(Tabela1[[#This Row],[Data de Validade]])</f>
        <v>2030</v>
      </c>
      <c r="I3783" s="89">
        <f>MONTH(Tabela1[[#This Row],[Data de Validade]])</f>
        <v>10</v>
      </c>
      <c r="J3783" s="101">
        <v>35072</v>
      </c>
      <c r="K3783" s="87" t="s">
        <v>9</v>
      </c>
      <c r="L3783" s="108"/>
      <c r="M3783" s="108"/>
      <c r="N3783" s="108" t="str">
        <v>H618H259</v>
      </c>
      <c r="O3783" s="108">
        <f t="shared" si="61"/>
        <v>1</v>
      </c>
      <c r="P3783" s="108"/>
      <c r="Q3783"/>
    </row>
    <row r="3784" spans="1:17" x14ac:dyDescent="0.25">
      <c r="A3784" s="89" t="s">
        <v>4852</v>
      </c>
      <c r="B3784" s="87" t="s">
        <v>4853</v>
      </c>
      <c r="C3784" s="87" t="s">
        <v>13</v>
      </c>
      <c r="D3784" s="87" t="str">
        <f>VLOOKUP(Tabela1[[#This Row],[Origem]], 'Perguntas 1 a 24'!$J$28:$K$34, 2, 0)</f>
        <v>Sudeste</v>
      </c>
      <c r="E3784" s="87" t="str">
        <f>Tabela1[[#This Row],[Descrição]]&amp;"-"&amp;Tabela1[[#This Row],[Código]]&amp;"/"&amp;Tabela1[[#This Row],[Origem]]</f>
        <v>Pifadicufu-P635H755/SP</v>
      </c>
      <c r="F3784" s="88">
        <v>47774</v>
      </c>
      <c r="G3784" s="88" t="str" cm="1">
        <f t="array" ref="G378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AND(F3784&gt;= DATE(2026,1,1), F3784&lt;= DATE(2028, 12, 31), J3784&gt;50000), "Pendente e Caro", AND(F3784&gt;= DATE(2026,1,1), F3784&lt;= DATE(2028, 12, 31), J3784&lt;=50000), "Pendente", F3784&gt;= DATE(2029,1,1), "Não prioeitário")</f>
        <v>Não prioeitário</v>
      </c>
      <c r="H3784" s="89">
        <f>YEAR(Tabela1[[#This Row],[Data de Validade]])</f>
        <v>2030</v>
      </c>
      <c r="I3784" s="89">
        <f>MONTH(Tabela1[[#This Row],[Data de Validade]])</f>
        <v>10</v>
      </c>
      <c r="J3784" s="101">
        <v>21017</v>
      </c>
      <c r="K3784" s="87" t="s">
        <v>9</v>
      </c>
      <c r="L3784" s="108"/>
      <c r="M3784" s="108"/>
      <c r="N3784" s="108" t="str">
        <v>H631P276</v>
      </c>
      <c r="O3784" s="108">
        <f t="shared" si="61"/>
        <v>1</v>
      </c>
      <c r="P3784" s="108"/>
      <c r="Q3784"/>
    </row>
    <row r="3785" spans="1:17" x14ac:dyDescent="0.25">
      <c r="A3785" s="89" t="s">
        <v>7260</v>
      </c>
      <c r="B3785" s="87" t="s">
        <v>7261</v>
      </c>
      <c r="C3785" s="87" t="s">
        <v>12</v>
      </c>
      <c r="D3785" s="87" t="str">
        <f>VLOOKUP(Tabela1[[#This Row],[Origem]], 'Perguntas 1 a 24'!$J$28:$K$34, 2, 0)</f>
        <v>Sudeste</v>
      </c>
      <c r="E3785" s="87" t="str">
        <f>Tabela1[[#This Row],[Descrição]]&amp;"-"&amp;Tabela1[[#This Row],[Código]]&amp;"/"&amp;Tabela1[[#This Row],[Origem]]</f>
        <v>Regopa-H728P726/RJ</v>
      </c>
      <c r="F3785" s="88">
        <v>47776</v>
      </c>
      <c r="G3785" s="88" t="str" cm="1">
        <f t="array" ref="G378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AND(F3785&gt;= DATE(2026,1,1), F3785&lt;= DATE(2028, 12, 31), J3785&gt;50000), "Pendente e Caro", AND(F3785&gt;= DATE(2026,1,1), F3785&lt;= DATE(2028, 12, 31), J3785&lt;=50000), "Pendente", F3785&gt;= DATE(2029,1,1), "Não prioeitário")</f>
        <v>Não prioeitário</v>
      </c>
      <c r="H3785" s="89">
        <f>YEAR(Tabela1[[#This Row],[Data de Validade]])</f>
        <v>2030</v>
      </c>
      <c r="I3785" s="89">
        <f>MONTH(Tabela1[[#This Row],[Data de Validade]])</f>
        <v>10</v>
      </c>
      <c r="J3785" s="101">
        <v>109487</v>
      </c>
      <c r="K3785" s="87" t="s">
        <v>7</v>
      </c>
      <c r="L3785" s="108"/>
      <c r="M3785" s="108"/>
      <c r="N3785" s="108" t="str">
        <v>P556H324</v>
      </c>
      <c r="O3785" s="108">
        <f t="shared" si="61"/>
        <v>1</v>
      </c>
      <c r="P3785" s="108"/>
      <c r="Q3785"/>
    </row>
    <row r="3786" spans="1:17" x14ac:dyDescent="0.25">
      <c r="A3786" s="89" t="s">
        <v>5534</v>
      </c>
      <c r="B3786" s="87" t="s">
        <v>5535</v>
      </c>
      <c r="C3786" s="87" t="s">
        <v>6</v>
      </c>
      <c r="D3786" s="87" t="str">
        <f>VLOOKUP(Tabela1[[#This Row],[Origem]], 'Perguntas 1 a 24'!$J$28:$K$34, 2, 0)</f>
        <v>Nordeste</v>
      </c>
      <c r="E3786" s="87" t="str">
        <f>Tabela1[[#This Row],[Descrição]]&amp;"-"&amp;Tabela1[[#This Row],[Código]]&amp;"/"&amp;Tabela1[[#This Row],[Origem]]</f>
        <v>Rirapimapi-P463H252/MA</v>
      </c>
      <c r="F3786" s="88">
        <v>47776</v>
      </c>
      <c r="G3786" s="88" t="str" cm="1">
        <f t="array" ref="G378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AND(F3786&gt;= DATE(2026,1,1), F3786&lt;= DATE(2028, 12, 31), J3786&gt;50000), "Pendente e Caro", AND(F3786&gt;= DATE(2026,1,1), F3786&lt;= DATE(2028, 12, 31), J3786&lt;=50000), "Pendente", F3786&gt;= DATE(2029,1,1), "Não prioeitário")</f>
        <v>Não prioeitário</v>
      </c>
      <c r="H3786" s="89">
        <f>YEAR(Tabela1[[#This Row],[Data de Validade]])</f>
        <v>2030</v>
      </c>
      <c r="I3786" s="89">
        <f>MONTH(Tabela1[[#This Row],[Data de Validade]])</f>
        <v>10</v>
      </c>
      <c r="J3786" s="101">
        <v>79098</v>
      </c>
      <c r="K3786" s="87" t="s">
        <v>9</v>
      </c>
      <c r="L3786" s="108"/>
      <c r="M3786" s="108"/>
      <c r="N3786" s="108" t="str">
        <v>H746P959</v>
      </c>
      <c r="O3786" s="108">
        <f t="shared" si="61"/>
        <v>1</v>
      </c>
      <c r="P3786" s="108"/>
      <c r="Q3786"/>
    </row>
    <row r="3787" spans="1:17" x14ac:dyDescent="0.25">
      <c r="A3787" s="89" t="s">
        <v>7490</v>
      </c>
      <c r="B3787" s="87" t="s">
        <v>7491</v>
      </c>
      <c r="C3787" s="87" t="s">
        <v>15</v>
      </c>
      <c r="D3787" s="87" t="str">
        <f>VLOOKUP(Tabela1[[#This Row],[Origem]], 'Perguntas 1 a 24'!$J$28:$K$34, 2, 0)</f>
        <v>Sudeste</v>
      </c>
      <c r="E3787" s="87" t="str">
        <f>Tabela1[[#This Row],[Descrição]]&amp;"-"&amp;Tabela1[[#This Row],[Código]]&amp;"/"&amp;Tabela1[[#This Row],[Origem]]</f>
        <v>Tepuce-P948H843/ES</v>
      </c>
      <c r="F3787" s="88">
        <v>47776</v>
      </c>
      <c r="G3787" s="88" t="str" cm="1">
        <f t="array" ref="G378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AND(F3787&gt;= DATE(2026,1,1), F3787&lt;= DATE(2028, 12, 31), J3787&gt;50000), "Pendente e Caro", AND(F3787&gt;= DATE(2026,1,1), F3787&lt;= DATE(2028, 12, 31), J3787&lt;=50000), "Pendente", F3787&gt;= DATE(2029,1,1), "Não prioeitário")</f>
        <v>Não prioeitário</v>
      </c>
      <c r="H3787" s="89">
        <f>YEAR(Tabela1[[#This Row],[Data de Validade]])</f>
        <v>2030</v>
      </c>
      <c r="I3787" s="89">
        <f>MONTH(Tabela1[[#This Row],[Data de Validade]])</f>
        <v>10</v>
      </c>
      <c r="J3787" s="101">
        <v>42357</v>
      </c>
      <c r="K3787" s="87" t="s">
        <v>9</v>
      </c>
      <c r="L3787" s="108"/>
      <c r="M3787" s="108"/>
      <c r="N3787" s="108" t="str">
        <v>H241P647</v>
      </c>
      <c r="O3787" s="108">
        <f t="shared" si="61"/>
        <v>1</v>
      </c>
      <c r="P3787" s="108"/>
      <c r="Q3787"/>
    </row>
    <row r="3788" spans="1:17" x14ac:dyDescent="0.25">
      <c r="A3788" s="89" t="s">
        <v>6346</v>
      </c>
      <c r="B3788" s="87" t="s">
        <v>6347</v>
      </c>
      <c r="C3788" s="87" t="s">
        <v>13</v>
      </c>
      <c r="D3788" s="87" t="str">
        <f>VLOOKUP(Tabela1[[#This Row],[Origem]], 'Perguntas 1 a 24'!$J$28:$K$34, 2, 0)</f>
        <v>Sudeste</v>
      </c>
      <c r="E3788" s="87" t="str">
        <f>Tabela1[[#This Row],[Descrição]]&amp;"-"&amp;Tabela1[[#This Row],[Código]]&amp;"/"&amp;Tabela1[[#This Row],[Origem]]</f>
        <v>Rapita-P923P688/SP</v>
      </c>
      <c r="F3788" s="88">
        <v>47779</v>
      </c>
      <c r="G3788" s="88" t="str" cm="1">
        <f t="array" ref="G378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AND(F3788&gt;= DATE(2026,1,1), F3788&lt;= DATE(2028, 12, 31), J3788&gt;50000), "Pendente e Caro", AND(F3788&gt;= DATE(2026,1,1), F3788&lt;= DATE(2028, 12, 31), J3788&lt;=50000), "Pendente", F3788&gt;= DATE(2029,1,1), "Não prioeitário")</f>
        <v>Não prioeitário</v>
      </c>
      <c r="H3788" s="89">
        <f>YEAR(Tabela1[[#This Row],[Data de Validade]])</f>
        <v>2030</v>
      </c>
      <c r="I3788" s="89">
        <f>MONTH(Tabela1[[#This Row],[Data de Validade]])</f>
        <v>10</v>
      </c>
      <c r="J3788" s="101">
        <v>115556</v>
      </c>
      <c r="K3788" s="87" t="s">
        <v>7</v>
      </c>
      <c r="L3788" s="108"/>
      <c r="M3788" s="108"/>
      <c r="N3788" s="108" t="str">
        <v>H776H733</v>
      </c>
      <c r="O3788" s="108">
        <f t="shared" si="61"/>
        <v>1</v>
      </c>
      <c r="P3788" s="108"/>
      <c r="Q3788"/>
    </row>
    <row r="3789" spans="1:17" x14ac:dyDescent="0.25">
      <c r="A3789" s="89" t="s">
        <v>10211</v>
      </c>
      <c r="B3789" s="87" t="s">
        <v>10212</v>
      </c>
      <c r="C3789" s="87" t="s">
        <v>16</v>
      </c>
      <c r="D3789" s="87" t="str">
        <f>VLOOKUP(Tabela1[[#This Row],[Origem]], 'Perguntas 1 a 24'!$J$28:$K$34, 2, 0)</f>
        <v>Sudeste</v>
      </c>
      <c r="E3789" s="87" t="str">
        <f>Tabela1[[#This Row],[Descrição]]&amp;"-"&amp;Tabela1[[#This Row],[Código]]&amp;"/"&amp;Tabela1[[#This Row],[Origem]]</f>
        <v>Rotitatimi-H254H999/MG</v>
      </c>
      <c r="F3789" s="88">
        <v>47779</v>
      </c>
      <c r="G3789" s="88" t="str" cm="1">
        <f t="array" ref="G378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AND(F3789&gt;= DATE(2026,1,1), F3789&lt;= DATE(2028, 12, 31), J3789&gt;50000), "Pendente e Caro", AND(F3789&gt;= DATE(2026,1,1), F3789&lt;= DATE(2028, 12, 31), J3789&lt;=50000), "Pendente", F3789&gt;= DATE(2029,1,1), "Não prioeitário")</f>
        <v>Não prioeitário</v>
      </c>
      <c r="H3789" s="89">
        <f>YEAR(Tabela1[[#This Row],[Data de Validade]])</f>
        <v>2030</v>
      </c>
      <c r="I3789" s="89">
        <f>MONTH(Tabela1[[#This Row],[Data de Validade]])</f>
        <v>10</v>
      </c>
      <c r="J3789" s="101">
        <v>85352</v>
      </c>
      <c r="K3789" s="87" t="s">
        <v>14</v>
      </c>
      <c r="L3789" s="108"/>
      <c r="M3789" s="108"/>
      <c r="N3789" s="108" t="str">
        <v>H519P669</v>
      </c>
      <c r="O3789" s="108">
        <f t="shared" si="61"/>
        <v>1</v>
      </c>
      <c r="P3789" s="108"/>
      <c r="Q3789"/>
    </row>
    <row r="3790" spans="1:17" x14ac:dyDescent="0.25">
      <c r="A3790" s="89" t="s">
        <v>10337</v>
      </c>
      <c r="B3790" s="87" t="s">
        <v>10338</v>
      </c>
      <c r="C3790" s="87" t="s">
        <v>12</v>
      </c>
      <c r="D3790" s="87" t="str">
        <f>VLOOKUP(Tabela1[[#This Row],[Origem]], 'Perguntas 1 a 24'!$J$28:$K$34, 2, 0)</f>
        <v>Sudeste</v>
      </c>
      <c r="E3790" s="87" t="str">
        <f>Tabela1[[#This Row],[Descrição]]&amp;"-"&amp;Tabela1[[#This Row],[Código]]&amp;"/"&amp;Tabela1[[#This Row],[Origem]]</f>
        <v>Merele-H955P819/RJ</v>
      </c>
      <c r="F3790" s="88">
        <v>47779</v>
      </c>
      <c r="G3790" s="88" t="str" cm="1">
        <f t="array" ref="G379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AND(F3790&gt;= DATE(2026,1,1), F3790&lt;= DATE(2028, 12, 31), J3790&gt;50000), "Pendente e Caro", AND(F3790&gt;= DATE(2026,1,1), F3790&lt;= DATE(2028, 12, 31), J3790&lt;=50000), "Pendente", F3790&gt;= DATE(2029,1,1), "Não prioeitário")</f>
        <v>Não prioeitário</v>
      </c>
      <c r="H3790" s="89">
        <f>YEAR(Tabela1[[#This Row],[Data de Validade]])</f>
        <v>2030</v>
      </c>
      <c r="I3790" s="89">
        <f>MONTH(Tabela1[[#This Row],[Data de Validade]])</f>
        <v>10</v>
      </c>
      <c r="J3790" s="101">
        <v>71032</v>
      </c>
      <c r="K3790" s="87" t="s">
        <v>14</v>
      </c>
      <c r="L3790" s="108"/>
      <c r="M3790" s="108"/>
      <c r="N3790" s="108" t="str">
        <v>H265H291</v>
      </c>
      <c r="O3790" s="108">
        <f t="shared" si="61"/>
        <v>1</v>
      </c>
      <c r="P3790" s="108"/>
      <c r="Q3790"/>
    </row>
    <row r="3791" spans="1:17" x14ac:dyDescent="0.25">
      <c r="A3791" s="89" t="s">
        <v>6236</v>
      </c>
      <c r="B3791" s="87" t="s">
        <v>6237</v>
      </c>
      <c r="C3791" s="87" t="s">
        <v>15</v>
      </c>
      <c r="D3791" s="87" t="str">
        <f>VLOOKUP(Tabela1[[#This Row],[Origem]], 'Perguntas 1 a 24'!$J$28:$K$34, 2, 0)</f>
        <v>Sudeste</v>
      </c>
      <c r="E3791" s="87" t="str">
        <f>Tabela1[[#This Row],[Descrição]]&amp;"-"&amp;Tabela1[[#This Row],[Código]]&amp;"/"&amp;Tabela1[[#This Row],[Origem]]</f>
        <v>Purarufuci-H462H564/ES</v>
      </c>
      <c r="F3791" s="88">
        <v>47781</v>
      </c>
      <c r="G3791" s="88" t="str" cm="1">
        <f t="array" ref="G379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AND(F3791&gt;= DATE(2026,1,1), F3791&lt;= DATE(2028, 12, 31), J3791&gt;50000), "Pendente e Caro", AND(F3791&gt;= DATE(2026,1,1), F3791&lt;= DATE(2028, 12, 31), J3791&lt;=50000), "Pendente", F3791&gt;= DATE(2029,1,1), "Não prioeitário")</f>
        <v>Não prioeitário</v>
      </c>
      <c r="H3791" s="89">
        <f>YEAR(Tabela1[[#This Row],[Data de Validade]])</f>
        <v>2030</v>
      </c>
      <c r="I3791" s="89">
        <f>MONTH(Tabela1[[#This Row],[Data de Validade]])</f>
        <v>10</v>
      </c>
      <c r="J3791" s="101">
        <v>119016</v>
      </c>
      <c r="K3791" s="87" t="s">
        <v>9</v>
      </c>
      <c r="L3791" s="108"/>
      <c r="M3791" s="108"/>
      <c r="N3791" s="108" t="str">
        <v>P882H391</v>
      </c>
      <c r="O3791" s="108">
        <f t="shared" si="61"/>
        <v>1</v>
      </c>
      <c r="P3791" s="108"/>
      <c r="Q3791"/>
    </row>
    <row r="3792" spans="1:17" x14ac:dyDescent="0.25">
      <c r="A3792" s="89" t="s">
        <v>8292</v>
      </c>
      <c r="B3792" s="87" t="s">
        <v>8293</v>
      </c>
      <c r="C3792" s="87" t="s">
        <v>10</v>
      </c>
      <c r="D3792" s="87" t="str">
        <f>VLOOKUP(Tabela1[[#This Row],[Origem]], 'Perguntas 1 a 24'!$J$28:$K$34, 2, 0)</f>
        <v>Centro-Oeste</v>
      </c>
      <c r="E3792" s="87" t="str">
        <f>Tabela1[[#This Row],[Descrição]]&amp;"-"&amp;Tabela1[[#This Row],[Código]]&amp;"/"&amp;Tabela1[[#This Row],[Origem]]</f>
        <v>Telivida-H774P356/GO</v>
      </c>
      <c r="F3792" s="88">
        <v>47781</v>
      </c>
      <c r="G3792" s="88" t="str" cm="1">
        <f t="array" ref="G379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AND(F3792&gt;= DATE(2026,1,1), F3792&lt;= DATE(2028, 12, 31), J3792&gt;50000), "Pendente e Caro", AND(F3792&gt;= DATE(2026,1,1), F3792&lt;= DATE(2028, 12, 31), J3792&lt;=50000), "Pendente", F3792&gt;= DATE(2029,1,1), "Não prioeitário")</f>
        <v>Não prioeitário</v>
      </c>
      <c r="H3792" s="89">
        <f>YEAR(Tabela1[[#This Row],[Data de Validade]])</f>
        <v>2030</v>
      </c>
      <c r="I3792" s="89">
        <f>MONTH(Tabela1[[#This Row],[Data de Validade]])</f>
        <v>10</v>
      </c>
      <c r="J3792" s="101">
        <v>72583</v>
      </c>
      <c r="K3792" s="87" t="s">
        <v>14</v>
      </c>
      <c r="L3792" s="108"/>
      <c r="M3792" s="108"/>
      <c r="N3792" s="108" t="str">
        <v>P233H844</v>
      </c>
      <c r="O3792" s="108">
        <f t="shared" si="61"/>
        <v>1</v>
      </c>
      <c r="P3792" s="108"/>
      <c r="Q3792"/>
    </row>
    <row r="3793" spans="1:17" x14ac:dyDescent="0.25">
      <c r="A3793" s="89" t="s">
        <v>3802</v>
      </c>
      <c r="B3793" s="87" t="s">
        <v>3803</v>
      </c>
      <c r="C3793" s="87" t="s">
        <v>10</v>
      </c>
      <c r="D3793" s="87" t="str">
        <f>VLOOKUP(Tabela1[[#This Row],[Origem]], 'Perguntas 1 a 24'!$J$28:$K$34, 2, 0)</f>
        <v>Centro-Oeste</v>
      </c>
      <c r="E3793" s="87" t="str">
        <f>Tabela1[[#This Row],[Descrição]]&amp;"-"&amp;Tabela1[[#This Row],[Código]]&amp;"/"&amp;Tabela1[[#This Row],[Origem]]</f>
        <v>Mopadu-H472H571/GO</v>
      </c>
      <c r="F3793" s="88">
        <v>47783</v>
      </c>
      <c r="G3793" s="88" t="str" cm="1">
        <f t="array" ref="G379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AND(F3793&gt;= DATE(2026,1,1), F3793&lt;= DATE(2028, 12, 31), J3793&gt;50000), "Pendente e Caro", AND(F3793&gt;= DATE(2026,1,1), F3793&lt;= DATE(2028, 12, 31), J3793&lt;=50000), "Pendente", F3793&gt;= DATE(2029,1,1), "Não prioeitário")</f>
        <v>Não prioeitário</v>
      </c>
      <c r="H3793" s="89">
        <f>YEAR(Tabela1[[#This Row],[Data de Validade]])</f>
        <v>2030</v>
      </c>
      <c r="I3793" s="89">
        <f>MONTH(Tabela1[[#This Row],[Data de Validade]])</f>
        <v>10</v>
      </c>
      <c r="J3793" s="101">
        <v>109408</v>
      </c>
      <c r="K3793" s="87" t="s">
        <v>14</v>
      </c>
      <c r="L3793" s="108"/>
      <c r="M3793" s="108"/>
      <c r="N3793" s="108" t="str">
        <v>H477P638</v>
      </c>
      <c r="O3793" s="108">
        <f t="shared" si="61"/>
        <v>1</v>
      </c>
      <c r="P3793" s="108"/>
      <c r="Q3793"/>
    </row>
    <row r="3794" spans="1:17" x14ac:dyDescent="0.25">
      <c r="A3794" s="89" t="s">
        <v>11218</v>
      </c>
      <c r="B3794" s="87" t="s">
        <v>11219</v>
      </c>
      <c r="C3794" s="87" t="s">
        <v>10</v>
      </c>
      <c r="D3794" s="87" t="str">
        <f>VLOOKUP(Tabela1[[#This Row],[Origem]], 'Perguntas 1 a 24'!$J$28:$K$34, 2, 0)</f>
        <v>Centro-Oeste</v>
      </c>
      <c r="E3794" s="87" t="str">
        <f>Tabela1[[#This Row],[Descrição]]&amp;"-"&amp;Tabela1[[#This Row],[Código]]&amp;"/"&amp;Tabela1[[#This Row],[Origem]]</f>
        <v>Novopolula-P227H224/GO</v>
      </c>
      <c r="F3794" s="88">
        <v>47784</v>
      </c>
      <c r="G3794" s="88" t="str" cm="1">
        <f t="array" ref="G379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AND(F3794&gt;= DATE(2026,1,1), F3794&lt;= DATE(2028, 12, 31), J3794&gt;50000), "Pendente e Caro", AND(F3794&gt;= DATE(2026,1,1), F3794&lt;= DATE(2028, 12, 31), J3794&lt;=50000), "Pendente", F3794&gt;= DATE(2029,1,1), "Não prioeitário")</f>
        <v>Não prioeitário</v>
      </c>
      <c r="H3794" s="89">
        <f>YEAR(Tabela1[[#This Row],[Data de Validade]])</f>
        <v>2030</v>
      </c>
      <c r="I3794" s="89">
        <f>MONTH(Tabela1[[#This Row],[Data de Validade]])</f>
        <v>10</v>
      </c>
      <c r="J3794" s="101">
        <v>103745</v>
      </c>
      <c r="K3794" s="87" t="s">
        <v>7</v>
      </c>
      <c r="L3794" s="108"/>
      <c r="M3794" s="108"/>
      <c r="N3794" s="108" t="str">
        <v>P144H988</v>
      </c>
      <c r="O3794" s="108">
        <f t="shared" si="61"/>
        <v>1</v>
      </c>
      <c r="P3794" s="108"/>
      <c r="Q3794"/>
    </row>
    <row r="3795" spans="1:17" x14ac:dyDescent="0.25">
      <c r="A3795" s="89" t="s">
        <v>9795</v>
      </c>
      <c r="B3795" s="87" t="s">
        <v>9796</v>
      </c>
      <c r="C3795" s="87" t="s">
        <v>16</v>
      </c>
      <c r="D3795" s="87" t="str">
        <f>VLOOKUP(Tabela1[[#This Row],[Origem]], 'Perguntas 1 a 24'!$J$28:$K$34, 2, 0)</f>
        <v>Sudeste</v>
      </c>
      <c r="E3795" s="87" t="str">
        <f>Tabela1[[#This Row],[Descrição]]&amp;"-"&amp;Tabela1[[#This Row],[Código]]&amp;"/"&amp;Tabela1[[#This Row],[Origem]]</f>
        <v>Pimora-P339H873/MG</v>
      </c>
      <c r="F3795" s="88">
        <v>47784</v>
      </c>
      <c r="G3795" s="88" t="str" cm="1">
        <f t="array" ref="G379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AND(F3795&gt;= DATE(2026,1,1), F3795&lt;= DATE(2028, 12, 31), J3795&gt;50000), "Pendente e Caro", AND(F3795&gt;= DATE(2026,1,1), F3795&lt;= DATE(2028, 12, 31), J3795&lt;=50000), "Pendente", F3795&gt;= DATE(2029,1,1), "Não prioeitário")</f>
        <v>Não prioeitário</v>
      </c>
      <c r="H3795" s="89">
        <f>YEAR(Tabela1[[#This Row],[Data de Validade]])</f>
        <v>2030</v>
      </c>
      <c r="I3795" s="89">
        <f>MONTH(Tabela1[[#This Row],[Data de Validade]])</f>
        <v>10</v>
      </c>
      <c r="J3795" s="101">
        <v>100150</v>
      </c>
      <c r="K3795" s="87" t="s">
        <v>11</v>
      </c>
      <c r="L3795" s="108"/>
      <c r="M3795" s="108"/>
      <c r="N3795" s="108" t="str">
        <v>P442H719</v>
      </c>
      <c r="O3795" s="108">
        <f t="shared" si="61"/>
        <v>1</v>
      </c>
      <c r="P3795" s="108"/>
      <c r="Q3795"/>
    </row>
    <row r="3796" spans="1:17" x14ac:dyDescent="0.25">
      <c r="A3796" s="89" t="s">
        <v>7314</v>
      </c>
      <c r="B3796" s="87" t="s">
        <v>7315</v>
      </c>
      <c r="C3796" s="87" t="s">
        <v>16</v>
      </c>
      <c r="D3796" s="87" t="str">
        <f>VLOOKUP(Tabela1[[#This Row],[Origem]], 'Perguntas 1 a 24'!$J$28:$K$34, 2, 0)</f>
        <v>Sudeste</v>
      </c>
      <c r="E3796" s="87" t="str">
        <f>Tabela1[[#This Row],[Descrição]]&amp;"-"&amp;Tabela1[[#This Row],[Código]]&amp;"/"&amp;Tabela1[[#This Row],[Origem]]</f>
        <v>Tudumafanu-H618H259/MG</v>
      </c>
      <c r="F3796" s="88">
        <v>47784</v>
      </c>
      <c r="G3796" s="88" t="str" cm="1">
        <f t="array" ref="G379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AND(F3796&gt;= DATE(2026,1,1), F3796&lt;= DATE(2028, 12, 31), J3796&gt;50000), "Pendente e Caro", AND(F3796&gt;= DATE(2026,1,1), F3796&lt;= DATE(2028, 12, 31), J3796&lt;=50000), "Pendente", F3796&gt;= DATE(2029,1,1), "Não prioeitário")</f>
        <v>Não prioeitário</v>
      </c>
      <c r="H3796" s="89">
        <f>YEAR(Tabela1[[#This Row],[Data de Validade]])</f>
        <v>2030</v>
      </c>
      <c r="I3796" s="89">
        <f>MONTH(Tabela1[[#This Row],[Data de Validade]])</f>
        <v>10</v>
      </c>
      <c r="J3796" s="101">
        <v>94763</v>
      </c>
      <c r="K3796" s="87" t="s">
        <v>11</v>
      </c>
      <c r="L3796" s="108"/>
      <c r="M3796" s="108"/>
      <c r="N3796" s="108" t="str">
        <v>H333P992</v>
      </c>
      <c r="O3796" s="108">
        <f t="shared" si="61"/>
        <v>1</v>
      </c>
      <c r="P3796" s="108"/>
      <c r="Q3796"/>
    </row>
    <row r="3797" spans="1:17" x14ac:dyDescent="0.25">
      <c r="A3797" s="89" t="s">
        <v>4309</v>
      </c>
      <c r="B3797" s="87" t="s">
        <v>4310</v>
      </c>
      <c r="C3797" s="87" t="s">
        <v>10</v>
      </c>
      <c r="D3797" s="87" t="str">
        <f>VLOOKUP(Tabela1[[#This Row],[Origem]], 'Perguntas 1 a 24'!$J$28:$K$34, 2, 0)</f>
        <v>Centro-Oeste</v>
      </c>
      <c r="E3797" s="87" t="str">
        <f>Tabela1[[#This Row],[Descrição]]&amp;"-"&amp;Tabela1[[#This Row],[Código]]&amp;"/"&amp;Tabela1[[#This Row],[Origem]]</f>
        <v>Cefarudo-H631P276/GO</v>
      </c>
      <c r="F3797" s="88">
        <v>47784</v>
      </c>
      <c r="G3797" s="88" t="str" cm="1">
        <f t="array" ref="G379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AND(F3797&gt;= DATE(2026,1,1), F3797&lt;= DATE(2028, 12, 31), J3797&gt;50000), "Pendente e Caro", AND(F3797&gt;= DATE(2026,1,1), F3797&lt;= DATE(2028, 12, 31), J3797&lt;=50000), "Pendente", F3797&gt;= DATE(2029,1,1), "Não prioeitário")</f>
        <v>Não prioeitário</v>
      </c>
      <c r="H3797" s="89">
        <f>YEAR(Tabela1[[#This Row],[Data de Validade]])</f>
        <v>2030</v>
      </c>
      <c r="I3797" s="89">
        <f>MONTH(Tabela1[[#This Row],[Data de Validade]])</f>
        <v>10</v>
      </c>
      <c r="J3797" s="101">
        <v>23960</v>
      </c>
      <c r="K3797" s="87" t="s">
        <v>9</v>
      </c>
      <c r="L3797" s="108"/>
      <c r="M3797" s="108"/>
      <c r="N3797" s="108" t="str">
        <v>H369H177</v>
      </c>
      <c r="O3797" s="108">
        <f t="shared" si="61"/>
        <v>1</v>
      </c>
      <c r="P3797" s="108"/>
      <c r="Q3797"/>
    </row>
    <row r="3798" spans="1:17" x14ac:dyDescent="0.25">
      <c r="A3798" s="89" t="s">
        <v>9727</v>
      </c>
      <c r="B3798" s="87" t="s">
        <v>9728</v>
      </c>
      <c r="C3798" s="87" t="s">
        <v>12</v>
      </c>
      <c r="D3798" s="87" t="str">
        <f>VLOOKUP(Tabela1[[#This Row],[Origem]], 'Perguntas 1 a 24'!$J$28:$K$34, 2, 0)</f>
        <v>Sudeste</v>
      </c>
      <c r="E3798" s="87" t="str">
        <f>Tabela1[[#This Row],[Descrição]]&amp;"-"&amp;Tabela1[[#This Row],[Código]]&amp;"/"&amp;Tabela1[[#This Row],[Origem]]</f>
        <v>Puretopelo-P556H324/RJ</v>
      </c>
      <c r="F3798" s="88">
        <v>47785</v>
      </c>
      <c r="G3798" s="88" t="str" cm="1">
        <f t="array" ref="G379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AND(F3798&gt;= DATE(2026,1,1), F3798&lt;= DATE(2028, 12, 31), J3798&gt;50000), "Pendente e Caro", AND(F3798&gt;= DATE(2026,1,1), F3798&lt;= DATE(2028, 12, 31), J3798&lt;=50000), "Pendente", F3798&gt;= DATE(2029,1,1), "Não prioeitário")</f>
        <v>Não prioeitário</v>
      </c>
      <c r="H3798" s="89">
        <f>YEAR(Tabela1[[#This Row],[Data de Validade]])</f>
        <v>2030</v>
      </c>
      <c r="I3798" s="89">
        <f>MONTH(Tabela1[[#This Row],[Data de Validade]])</f>
        <v>10</v>
      </c>
      <c r="J3798" s="101">
        <v>91066</v>
      </c>
      <c r="K3798" s="87" t="s">
        <v>11</v>
      </c>
      <c r="L3798" s="108"/>
      <c r="M3798" s="108"/>
      <c r="N3798" s="108" t="str">
        <v>H744H755</v>
      </c>
      <c r="O3798" s="108">
        <f t="shared" si="61"/>
        <v>1</v>
      </c>
      <c r="P3798" s="108"/>
      <c r="Q3798"/>
    </row>
    <row r="3799" spans="1:17" x14ac:dyDescent="0.25">
      <c r="A3799" s="89" t="s">
        <v>4457</v>
      </c>
      <c r="B3799" s="87" t="s">
        <v>4458</v>
      </c>
      <c r="C3799" s="87" t="s">
        <v>10</v>
      </c>
      <c r="D3799" s="87" t="str">
        <f>VLOOKUP(Tabela1[[#This Row],[Origem]], 'Perguntas 1 a 24'!$J$28:$K$34, 2, 0)</f>
        <v>Centro-Oeste</v>
      </c>
      <c r="E3799" s="87" t="str">
        <f>Tabela1[[#This Row],[Descrição]]&amp;"-"&amp;Tabela1[[#This Row],[Código]]&amp;"/"&amp;Tabela1[[#This Row],[Origem]]</f>
        <v>Feponunoro-H746P959/GO</v>
      </c>
      <c r="F3799" s="88">
        <v>47785</v>
      </c>
      <c r="G3799" s="88" t="str" cm="1">
        <f t="array" ref="G379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AND(F3799&gt;= DATE(2026,1,1), F3799&lt;= DATE(2028, 12, 31), J3799&gt;50000), "Pendente e Caro", AND(F3799&gt;= DATE(2026,1,1), F3799&lt;= DATE(2028, 12, 31), J3799&lt;=50000), "Pendente", F3799&gt;= DATE(2029,1,1), "Não prioeitário")</f>
        <v>Não prioeitário</v>
      </c>
      <c r="H3799" s="89">
        <f>YEAR(Tabela1[[#This Row],[Data de Validade]])</f>
        <v>2030</v>
      </c>
      <c r="I3799" s="89">
        <f>MONTH(Tabela1[[#This Row],[Data de Validade]])</f>
        <v>10</v>
      </c>
      <c r="J3799" s="101">
        <v>73119</v>
      </c>
      <c r="K3799" s="87" t="s">
        <v>7</v>
      </c>
      <c r="L3799" s="108"/>
      <c r="M3799" s="108"/>
      <c r="N3799" s="108" t="str">
        <v>P514H711</v>
      </c>
      <c r="O3799" s="108">
        <f t="shared" si="61"/>
        <v>1</v>
      </c>
      <c r="P3799" s="108"/>
      <c r="Q3799"/>
    </row>
    <row r="3800" spans="1:17" x14ac:dyDescent="0.25">
      <c r="A3800" s="89" t="s">
        <v>6624</v>
      </c>
      <c r="B3800" s="87" t="s">
        <v>6625</v>
      </c>
      <c r="C3800" s="87" t="s">
        <v>12</v>
      </c>
      <c r="D3800" s="87" t="str">
        <f>VLOOKUP(Tabela1[[#This Row],[Origem]], 'Perguntas 1 a 24'!$J$28:$K$34, 2, 0)</f>
        <v>Sudeste</v>
      </c>
      <c r="E3800" s="87" t="str">
        <f>Tabela1[[#This Row],[Descrição]]&amp;"-"&amp;Tabela1[[#This Row],[Código]]&amp;"/"&amp;Tabela1[[#This Row],[Origem]]</f>
        <v>Depuladecu-H241P647/RJ</v>
      </c>
      <c r="F3800" s="88">
        <v>47785</v>
      </c>
      <c r="G3800" s="88" t="str" cm="1">
        <f t="array" ref="G380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AND(F3800&gt;= DATE(2026,1,1), F3800&lt;= DATE(2028, 12, 31), J3800&gt;50000), "Pendente e Caro", AND(F3800&gt;= DATE(2026,1,1), F3800&lt;= DATE(2028, 12, 31), J3800&lt;=50000), "Pendente", F3800&gt;= DATE(2029,1,1), "Não prioeitário")</f>
        <v>Não prioeitário</v>
      </c>
      <c r="H3800" s="89">
        <f>YEAR(Tabela1[[#This Row],[Data de Validade]])</f>
        <v>2030</v>
      </c>
      <c r="I3800" s="89">
        <f>MONTH(Tabela1[[#This Row],[Data de Validade]])</f>
        <v>10</v>
      </c>
      <c r="J3800" s="101">
        <v>49989</v>
      </c>
      <c r="K3800" s="87" t="s">
        <v>14</v>
      </c>
      <c r="L3800" s="108"/>
      <c r="M3800" s="108"/>
      <c r="N3800" s="108" t="str">
        <v>H264H964</v>
      </c>
      <c r="O3800" s="108">
        <f t="shared" si="61"/>
        <v>1</v>
      </c>
      <c r="P3800" s="108"/>
      <c r="Q3800"/>
    </row>
    <row r="3801" spans="1:17" x14ac:dyDescent="0.25">
      <c r="A3801" s="89" t="s">
        <v>4804</v>
      </c>
      <c r="B3801" s="87" t="s">
        <v>4805</v>
      </c>
      <c r="C3801" s="87" t="s">
        <v>16</v>
      </c>
      <c r="D3801" s="87" t="str">
        <f>VLOOKUP(Tabela1[[#This Row],[Origem]], 'Perguntas 1 a 24'!$J$28:$K$34, 2, 0)</f>
        <v>Sudeste</v>
      </c>
      <c r="E3801" s="87" t="str">
        <f>Tabela1[[#This Row],[Descrição]]&amp;"-"&amp;Tabela1[[#This Row],[Código]]&amp;"/"&amp;Tabela1[[#This Row],[Origem]]</f>
        <v>Legupanova-H776H733/MG</v>
      </c>
      <c r="F3801" s="88">
        <v>47785</v>
      </c>
      <c r="G3801" s="88" t="str" cm="1">
        <f t="array" ref="G380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AND(F3801&gt;= DATE(2026,1,1), F3801&lt;= DATE(2028, 12, 31), J3801&gt;50000), "Pendente e Caro", AND(F3801&gt;= DATE(2026,1,1), F3801&lt;= DATE(2028, 12, 31), J3801&lt;=50000), "Pendente", F3801&gt;= DATE(2029,1,1), "Não prioeitário")</f>
        <v>Não prioeitário</v>
      </c>
      <c r="H3801" s="89">
        <f>YEAR(Tabela1[[#This Row],[Data de Validade]])</f>
        <v>2030</v>
      </c>
      <c r="I3801" s="89">
        <f>MONTH(Tabela1[[#This Row],[Data de Validade]])</f>
        <v>10</v>
      </c>
      <c r="J3801" s="101">
        <v>30493</v>
      </c>
      <c r="K3801" s="87" t="s">
        <v>9</v>
      </c>
      <c r="L3801" s="108"/>
      <c r="M3801" s="108"/>
      <c r="N3801" s="108" t="str">
        <v>H995H517</v>
      </c>
      <c r="O3801" s="108">
        <f t="shared" si="61"/>
        <v>1</v>
      </c>
      <c r="P3801" s="108"/>
      <c r="Q3801"/>
    </row>
    <row r="3802" spans="1:17" x14ac:dyDescent="0.25">
      <c r="A3802" s="89" t="s">
        <v>10223</v>
      </c>
      <c r="B3802" s="87" t="s">
        <v>10224</v>
      </c>
      <c r="C3802" s="87" t="s">
        <v>12</v>
      </c>
      <c r="D3802" s="87" t="str">
        <f>VLOOKUP(Tabela1[[#This Row],[Origem]], 'Perguntas 1 a 24'!$J$28:$K$34, 2, 0)</f>
        <v>Sudeste</v>
      </c>
      <c r="E3802" s="87" t="str">
        <f>Tabela1[[#This Row],[Descrição]]&amp;"-"&amp;Tabela1[[#This Row],[Código]]&amp;"/"&amp;Tabela1[[#This Row],[Origem]]</f>
        <v>Timica-H519P669/RJ</v>
      </c>
      <c r="F3802" s="88">
        <v>47786</v>
      </c>
      <c r="G3802" s="88" t="str" cm="1">
        <f t="array" ref="G380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AND(F3802&gt;= DATE(2026,1,1), F3802&lt;= DATE(2028, 12, 31), J3802&gt;50000), "Pendente e Caro", AND(F3802&gt;= DATE(2026,1,1), F3802&lt;= DATE(2028, 12, 31), J3802&lt;=50000), "Pendente", F3802&gt;= DATE(2029,1,1), "Não prioeitário")</f>
        <v>Não prioeitário</v>
      </c>
      <c r="H3802" s="89">
        <f>YEAR(Tabela1[[#This Row],[Data de Validade]])</f>
        <v>2030</v>
      </c>
      <c r="I3802" s="89">
        <f>MONTH(Tabela1[[#This Row],[Data de Validade]])</f>
        <v>10</v>
      </c>
      <c r="J3802" s="101">
        <v>114522</v>
      </c>
      <c r="K3802" s="87" t="s">
        <v>11</v>
      </c>
      <c r="L3802" s="108"/>
      <c r="M3802" s="108"/>
      <c r="N3802" s="108" t="str">
        <v>H469H214</v>
      </c>
      <c r="O3802" s="108">
        <f t="shared" si="61"/>
        <v>1</v>
      </c>
      <c r="P3802" s="108"/>
      <c r="Q3802"/>
    </row>
    <row r="3803" spans="1:17" x14ac:dyDescent="0.25">
      <c r="A3803" s="89" t="s">
        <v>10381</v>
      </c>
      <c r="B3803" s="87" t="s">
        <v>10382</v>
      </c>
      <c r="C3803" s="87" t="s">
        <v>12</v>
      </c>
      <c r="D3803" s="87" t="str">
        <f>VLOOKUP(Tabela1[[#This Row],[Origem]], 'Perguntas 1 a 24'!$J$28:$K$34, 2, 0)</f>
        <v>Sudeste</v>
      </c>
      <c r="E3803" s="87" t="str">
        <f>Tabela1[[#This Row],[Descrição]]&amp;"-"&amp;Tabela1[[#This Row],[Código]]&amp;"/"&amp;Tabela1[[#This Row],[Origem]]</f>
        <v>Legepolo-H265H291/RJ</v>
      </c>
      <c r="F3803" s="88">
        <v>47786</v>
      </c>
      <c r="G3803" s="88" t="str" cm="1">
        <f t="array" ref="G380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AND(F3803&gt;= DATE(2026,1,1), F3803&lt;= DATE(2028, 12, 31), J3803&gt;50000), "Pendente e Caro", AND(F3803&gt;= DATE(2026,1,1), F3803&lt;= DATE(2028, 12, 31), J3803&lt;=50000), "Pendente", F3803&gt;= DATE(2029,1,1), "Não prioeitário")</f>
        <v>Não prioeitário</v>
      </c>
      <c r="H3803" s="89">
        <f>YEAR(Tabela1[[#This Row],[Data de Validade]])</f>
        <v>2030</v>
      </c>
      <c r="I3803" s="89">
        <f>MONTH(Tabela1[[#This Row],[Data de Validade]])</f>
        <v>10</v>
      </c>
      <c r="J3803" s="101">
        <v>25833</v>
      </c>
      <c r="K3803" s="87" t="s">
        <v>11</v>
      </c>
      <c r="L3803" s="108"/>
      <c r="M3803" s="108"/>
      <c r="N3803" s="108" t="str">
        <v>H656P417</v>
      </c>
      <c r="O3803" s="108">
        <f t="shared" si="61"/>
        <v>1</v>
      </c>
      <c r="P3803" s="108"/>
      <c r="Q3803"/>
    </row>
    <row r="3804" spans="1:17" x14ac:dyDescent="0.25">
      <c r="A3804" s="89" t="s">
        <v>9425</v>
      </c>
      <c r="B3804" s="87" t="s">
        <v>9426</v>
      </c>
      <c r="C3804" s="87" t="s">
        <v>6</v>
      </c>
      <c r="D3804" s="87" t="str">
        <f>VLOOKUP(Tabela1[[#This Row],[Origem]], 'Perguntas 1 a 24'!$J$28:$K$34, 2, 0)</f>
        <v>Nordeste</v>
      </c>
      <c r="E3804" s="87" t="str">
        <f>Tabela1[[#This Row],[Descrição]]&amp;"-"&amp;Tabela1[[#This Row],[Código]]&amp;"/"&amp;Tabela1[[#This Row],[Origem]]</f>
        <v>Pefuvo-P882H391/MA</v>
      </c>
      <c r="F3804" s="88">
        <v>47787</v>
      </c>
      <c r="G3804" s="88" t="str" cm="1">
        <f t="array" ref="G380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AND(F3804&gt;= DATE(2026,1,1), F3804&lt;= DATE(2028, 12, 31), J3804&gt;50000), "Pendente e Caro", AND(F3804&gt;= DATE(2026,1,1), F3804&lt;= DATE(2028, 12, 31), J3804&lt;=50000), "Pendente", F3804&gt;= DATE(2029,1,1), "Não prioeitário")</f>
        <v>Não prioeitário</v>
      </c>
      <c r="H3804" s="89">
        <f>YEAR(Tabela1[[#This Row],[Data de Validade]])</f>
        <v>2030</v>
      </c>
      <c r="I3804" s="89">
        <f>MONTH(Tabela1[[#This Row],[Data de Validade]])</f>
        <v>10</v>
      </c>
      <c r="J3804" s="101">
        <v>108184</v>
      </c>
      <c r="K3804" s="87" t="s">
        <v>9</v>
      </c>
      <c r="L3804" s="108"/>
      <c r="M3804" s="108"/>
      <c r="N3804" s="108" t="str">
        <v>P739H335</v>
      </c>
      <c r="O3804" s="108">
        <f t="shared" si="61"/>
        <v>1</v>
      </c>
      <c r="P3804" s="108"/>
      <c r="Q3804"/>
    </row>
    <row r="3805" spans="1:17" x14ac:dyDescent="0.25">
      <c r="A3805" s="89" t="s">
        <v>11200</v>
      </c>
      <c r="B3805" s="87" t="s">
        <v>11201</v>
      </c>
      <c r="C3805" s="87" t="s">
        <v>16</v>
      </c>
      <c r="D3805" s="87" t="str">
        <f>VLOOKUP(Tabela1[[#This Row],[Origem]], 'Perguntas 1 a 24'!$J$28:$K$34, 2, 0)</f>
        <v>Sudeste</v>
      </c>
      <c r="E3805" s="87" t="str">
        <f>Tabela1[[#This Row],[Descrição]]&amp;"-"&amp;Tabela1[[#This Row],[Código]]&amp;"/"&amp;Tabela1[[#This Row],[Origem]]</f>
        <v>Pufepula-P233H844/MG</v>
      </c>
      <c r="F3805" s="88">
        <v>47787</v>
      </c>
      <c r="G3805" s="88" t="str" cm="1">
        <f t="array" ref="G380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AND(F3805&gt;= DATE(2026,1,1), F3805&lt;= DATE(2028, 12, 31), J3805&gt;50000), "Pendente e Caro", AND(F3805&gt;= DATE(2026,1,1), F3805&lt;= DATE(2028, 12, 31), J3805&lt;=50000), "Pendente", F3805&gt;= DATE(2029,1,1), "Não prioeitário")</f>
        <v>Não prioeitário</v>
      </c>
      <c r="H3805" s="89">
        <f>YEAR(Tabela1[[#This Row],[Data de Validade]])</f>
        <v>2030</v>
      </c>
      <c r="I3805" s="89">
        <f>MONTH(Tabela1[[#This Row],[Data de Validade]])</f>
        <v>10</v>
      </c>
      <c r="J3805" s="101">
        <v>49506</v>
      </c>
      <c r="K3805" s="87" t="s">
        <v>7</v>
      </c>
      <c r="L3805" s="108"/>
      <c r="M3805" s="108"/>
      <c r="N3805" s="108" t="str">
        <v>H833H316</v>
      </c>
      <c r="O3805" s="108">
        <f t="shared" si="61"/>
        <v>1</v>
      </c>
      <c r="P3805" s="108"/>
      <c r="Q3805"/>
    </row>
    <row r="3806" spans="1:17" x14ac:dyDescent="0.25">
      <c r="A3806" s="89" t="s">
        <v>4912</v>
      </c>
      <c r="B3806" s="87" t="s">
        <v>4913</v>
      </c>
      <c r="C3806" s="87" t="s">
        <v>8</v>
      </c>
      <c r="D3806" s="87" t="str">
        <f>VLOOKUP(Tabela1[[#This Row],[Origem]], 'Perguntas 1 a 24'!$J$28:$K$34, 2, 0)</f>
        <v>Nordeste</v>
      </c>
      <c r="E3806" s="87" t="str">
        <f>Tabela1[[#This Row],[Descrição]]&amp;"-"&amp;Tabela1[[#This Row],[Código]]&amp;"/"&amp;Tabela1[[#This Row],[Origem]]</f>
        <v>Lirepa-H477P638/AL</v>
      </c>
      <c r="F3806" s="88">
        <v>47788</v>
      </c>
      <c r="G3806" s="88" t="str" cm="1">
        <f t="array" ref="G380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AND(F3806&gt;= DATE(2026,1,1), F3806&lt;= DATE(2028, 12, 31), J3806&gt;50000), "Pendente e Caro", AND(F3806&gt;= DATE(2026,1,1), F3806&lt;= DATE(2028, 12, 31), J3806&lt;=50000), "Pendente", F3806&gt;= DATE(2029,1,1), "Não prioeitário")</f>
        <v>Não prioeitário</v>
      </c>
      <c r="H3806" s="89">
        <f>YEAR(Tabela1[[#This Row],[Data de Validade]])</f>
        <v>2030</v>
      </c>
      <c r="I3806" s="89">
        <f>MONTH(Tabela1[[#This Row],[Data de Validade]])</f>
        <v>11</v>
      </c>
      <c r="J3806" s="101">
        <v>74451</v>
      </c>
      <c r="K3806" s="87" t="s">
        <v>14</v>
      </c>
      <c r="L3806" s="108"/>
      <c r="M3806" s="108"/>
      <c r="N3806" s="108" t="str">
        <v>P438P496</v>
      </c>
      <c r="O3806" s="108">
        <f t="shared" si="61"/>
        <v>1</v>
      </c>
      <c r="P3806" s="108"/>
      <c r="Q3806"/>
    </row>
    <row r="3807" spans="1:17" x14ac:dyDescent="0.25">
      <c r="A3807" s="89" t="s">
        <v>4610</v>
      </c>
      <c r="B3807" s="87" t="s">
        <v>4611</v>
      </c>
      <c r="C3807" s="87" t="s">
        <v>12</v>
      </c>
      <c r="D3807" s="87" t="str">
        <f>VLOOKUP(Tabela1[[#This Row],[Origem]], 'Perguntas 1 a 24'!$J$28:$K$34, 2, 0)</f>
        <v>Sudeste</v>
      </c>
      <c r="E3807" s="87" t="str">
        <f>Tabela1[[#This Row],[Descrição]]&amp;"-"&amp;Tabela1[[#This Row],[Código]]&amp;"/"&amp;Tabela1[[#This Row],[Origem]]</f>
        <v>Poceri-P144H988/RJ</v>
      </c>
      <c r="F3807" s="88">
        <v>47789</v>
      </c>
      <c r="G3807" s="88" t="str" cm="1">
        <f t="array" ref="G380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AND(F3807&gt;= DATE(2026,1,1), F3807&lt;= DATE(2028, 12, 31), J3807&gt;50000), "Pendente e Caro", AND(F3807&gt;= DATE(2026,1,1), F3807&lt;= DATE(2028, 12, 31), J3807&lt;=50000), "Pendente", F3807&gt;= DATE(2029,1,1), "Não prioeitário")</f>
        <v>Não prioeitário</v>
      </c>
      <c r="H3807" s="89">
        <f>YEAR(Tabela1[[#This Row],[Data de Validade]])</f>
        <v>2030</v>
      </c>
      <c r="I3807" s="89">
        <f>MONTH(Tabela1[[#This Row],[Data de Validade]])</f>
        <v>11</v>
      </c>
      <c r="J3807" s="101">
        <v>53402</v>
      </c>
      <c r="K3807" s="87" t="s">
        <v>14</v>
      </c>
      <c r="L3807" s="108"/>
      <c r="M3807" s="108"/>
      <c r="N3807" s="108" t="str">
        <v>H364H561</v>
      </c>
      <c r="O3807" s="108">
        <f t="shared" si="61"/>
        <v>1</v>
      </c>
      <c r="P3807" s="108"/>
      <c r="Q3807"/>
    </row>
    <row r="3808" spans="1:17" x14ac:dyDescent="0.25">
      <c r="A3808" s="89" t="s">
        <v>7966</v>
      </c>
      <c r="B3808" s="87" t="s">
        <v>7967</v>
      </c>
      <c r="C3808" s="87" t="s">
        <v>13</v>
      </c>
      <c r="D3808" s="87" t="str">
        <f>VLOOKUP(Tabela1[[#This Row],[Origem]], 'Perguntas 1 a 24'!$J$28:$K$34, 2, 0)</f>
        <v>Sudeste</v>
      </c>
      <c r="E3808" s="87" t="str">
        <f>Tabela1[[#This Row],[Descrição]]&amp;"-"&amp;Tabela1[[#This Row],[Código]]&amp;"/"&amp;Tabela1[[#This Row],[Origem]]</f>
        <v>Nurotafito-P442H719/SP</v>
      </c>
      <c r="F3808" s="88">
        <v>47789</v>
      </c>
      <c r="G3808" s="88" t="str" cm="1">
        <f t="array" ref="G380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AND(F3808&gt;= DATE(2026,1,1), F3808&lt;= DATE(2028, 12, 31), J3808&gt;50000), "Pendente e Caro", AND(F3808&gt;= DATE(2026,1,1), F3808&lt;= DATE(2028, 12, 31), J3808&lt;=50000), "Pendente", F3808&gt;= DATE(2029,1,1), "Não prioeitário")</f>
        <v>Não prioeitário</v>
      </c>
      <c r="H3808" s="89">
        <f>YEAR(Tabela1[[#This Row],[Data de Validade]])</f>
        <v>2030</v>
      </c>
      <c r="I3808" s="89">
        <f>MONTH(Tabela1[[#This Row],[Data de Validade]])</f>
        <v>11</v>
      </c>
      <c r="J3808" s="101">
        <v>43876</v>
      </c>
      <c r="K3808" s="87" t="s">
        <v>14</v>
      </c>
      <c r="L3808" s="108"/>
      <c r="M3808" s="108"/>
      <c r="N3808" s="108" t="str">
        <v>H751H657</v>
      </c>
      <c r="O3808" s="108">
        <f t="shared" si="61"/>
        <v>1</v>
      </c>
      <c r="P3808" s="108"/>
      <c r="Q3808"/>
    </row>
    <row r="3809" spans="1:17" x14ac:dyDescent="0.25">
      <c r="A3809" s="89" t="s">
        <v>5668</v>
      </c>
      <c r="B3809" s="87" t="s">
        <v>5669</v>
      </c>
      <c r="C3809" s="87" t="s">
        <v>13</v>
      </c>
      <c r="D3809" s="87" t="str">
        <f>VLOOKUP(Tabela1[[#This Row],[Origem]], 'Perguntas 1 a 24'!$J$28:$K$34, 2, 0)</f>
        <v>Sudeste</v>
      </c>
      <c r="E3809" s="87" t="str">
        <f>Tabela1[[#This Row],[Descrição]]&amp;"-"&amp;Tabela1[[#This Row],[Código]]&amp;"/"&amp;Tabela1[[#This Row],[Origem]]</f>
        <v>Vinilaceri-H333P992/SP</v>
      </c>
      <c r="F3809" s="88">
        <v>47790</v>
      </c>
      <c r="G3809" s="88" t="str" cm="1">
        <f t="array" ref="G380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AND(F3809&gt;= DATE(2026,1,1), F3809&lt;= DATE(2028, 12, 31), J3809&gt;50000), "Pendente e Caro", AND(F3809&gt;= DATE(2026,1,1), F3809&lt;= DATE(2028, 12, 31), J3809&lt;=50000), "Pendente", F3809&gt;= DATE(2029,1,1), "Não prioeitário")</f>
        <v>Não prioeitário</v>
      </c>
      <c r="H3809" s="89">
        <f>YEAR(Tabela1[[#This Row],[Data de Validade]])</f>
        <v>2030</v>
      </c>
      <c r="I3809" s="89">
        <f>MONTH(Tabela1[[#This Row],[Data de Validade]])</f>
        <v>11</v>
      </c>
      <c r="J3809" s="101">
        <v>99132</v>
      </c>
      <c r="K3809" s="87" t="s">
        <v>14</v>
      </c>
      <c r="L3809" s="108"/>
      <c r="M3809" s="108"/>
      <c r="N3809" s="108" t="str">
        <v>P138P963</v>
      </c>
      <c r="O3809" s="108">
        <f t="shared" si="61"/>
        <v>1</v>
      </c>
      <c r="P3809" s="108"/>
      <c r="Q3809"/>
    </row>
    <row r="3810" spans="1:17" x14ac:dyDescent="0.25">
      <c r="A3810" s="89" t="s">
        <v>10779</v>
      </c>
      <c r="B3810" s="87" t="s">
        <v>10780</v>
      </c>
      <c r="C3810" s="87" t="s">
        <v>15</v>
      </c>
      <c r="D3810" s="87" t="str">
        <f>VLOOKUP(Tabela1[[#This Row],[Origem]], 'Perguntas 1 a 24'!$J$28:$K$34, 2, 0)</f>
        <v>Sudeste</v>
      </c>
      <c r="E3810" s="87" t="str">
        <f>Tabela1[[#This Row],[Descrição]]&amp;"-"&amp;Tabela1[[#This Row],[Código]]&amp;"/"&amp;Tabela1[[#This Row],[Origem]]</f>
        <v>Vicupupa-H369H177/ES</v>
      </c>
      <c r="F3810" s="88">
        <v>47790</v>
      </c>
      <c r="G3810" s="88" t="str" cm="1">
        <f t="array" ref="G381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AND(F3810&gt;= DATE(2026,1,1), F3810&lt;= DATE(2028, 12, 31), J3810&gt;50000), "Pendente e Caro", AND(F3810&gt;= DATE(2026,1,1), F3810&lt;= DATE(2028, 12, 31), J3810&lt;=50000), "Pendente", F3810&gt;= DATE(2029,1,1), "Não prioeitário")</f>
        <v>Não prioeitário</v>
      </c>
      <c r="H3810" s="89">
        <f>YEAR(Tabela1[[#This Row],[Data de Validade]])</f>
        <v>2030</v>
      </c>
      <c r="I3810" s="89">
        <f>MONTH(Tabela1[[#This Row],[Data de Validade]])</f>
        <v>11</v>
      </c>
      <c r="J3810" s="101">
        <v>41359</v>
      </c>
      <c r="K3810" s="87" t="s">
        <v>11</v>
      </c>
      <c r="L3810" s="108"/>
      <c r="M3810" s="108"/>
      <c r="N3810" s="108" t="str">
        <v>P141H731</v>
      </c>
      <c r="O3810" s="108">
        <f t="shared" si="61"/>
        <v>1</v>
      </c>
      <c r="P3810" s="108"/>
      <c r="Q3810"/>
    </row>
    <row r="3811" spans="1:17" x14ac:dyDescent="0.25">
      <c r="A3811" s="89" t="s">
        <v>8440</v>
      </c>
      <c r="B3811" s="87" t="s">
        <v>8441</v>
      </c>
      <c r="C3811" s="87" t="s">
        <v>6</v>
      </c>
      <c r="D3811" s="87" t="str">
        <f>VLOOKUP(Tabela1[[#This Row],[Origem]], 'Perguntas 1 a 24'!$J$28:$K$34, 2, 0)</f>
        <v>Nordeste</v>
      </c>
      <c r="E3811" s="87" t="str">
        <f>Tabela1[[#This Row],[Descrição]]&amp;"-"&amp;Tabela1[[#This Row],[Código]]&amp;"/"&amp;Tabela1[[#This Row],[Origem]]</f>
        <v>Mudepopa-H744H755/MA</v>
      </c>
      <c r="F3811" s="88">
        <v>47791</v>
      </c>
      <c r="G3811" s="88" t="str" cm="1">
        <f t="array" ref="G381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AND(F3811&gt;= DATE(2026,1,1), F3811&lt;= DATE(2028, 12, 31), J3811&gt;50000), "Pendente e Caro", AND(F3811&gt;= DATE(2026,1,1), F3811&lt;= DATE(2028, 12, 31), J3811&lt;=50000), "Pendente", F3811&gt;= DATE(2029,1,1), "Não prioeitário")</f>
        <v>Não prioeitário</v>
      </c>
      <c r="H3811" s="89">
        <f>YEAR(Tabela1[[#This Row],[Data de Validade]])</f>
        <v>2030</v>
      </c>
      <c r="I3811" s="89">
        <f>MONTH(Tabela1[[#This Row],[Data de Validade]])</f>
        <v>11</v>
      </c>
      <c r="J3811" s="101">
        <v>111507</v>
      </c>
      <c r="K3811" s="87" t="s">
        <v>11</v>
      </c>
      <c r="L3811" s="108"/>
      <c r="M3811" s="108"/>
      <c r="N3811" s="108" t="str">
        <v>P441P471</v>
      </c>
      <c r="O3811" s="108">
        <f t="shared" si="61"/>
        <v>1</v>
      </c>
      <c r="P3811" s="108"/>
      <c r="Q3811"/>
    </row>
    <row r="3812" spans="1:17" x14ac:dyDescent="0.25">
      <c r="A3812" s="89" t="s">
        <v>5468</v>
      </c>
      <c r="B3812" s="87" t="s">
        <v>5469</v>
      </c>
      <c r="C3812" s="87" t="s">
        <v>16</v>
      </c>
      <c r="D3812" s="87" t="str">
        <f>VLOOKUP(Tabela1[[#This Row],[Origem]], 'Perguntas 1 a 24'!$J$28:$K$34, 2, 0)</f>
        <v>Sudeste</v>
      </c>
      <c r="E3812" s="87" t="str">
        <f>Tabela1[[#This Row],[Descrição]]&amp;"-"&amp;Tabela1[[#This Row],[Código]]&amp;"/"&amp;Tabela1[[#This Row],[Origem]]</f>
        <v>Gamuvuro-P514H711/MG</v>
      </c>
      <c r="F3812" s="88">
        <v>47796</v>
      </c>
      <c r="G3812" s="88" t="str" cm="1">
        <f t="array" ref="G381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AND(F3812&gt;= DATE(2026,1,1), F3812&lt;= DATE(2028, 12, 31), J3812&gt;50000), "Pendente e Caro", AND(F3812&gt;= DATE(2026,1,1), F3812&lt;= DATE(2028, 12, 31), J3812&lt;=50000), "Pendente", F3812&gt;= DATE(2029,1,1), "Não prioeitário")</f>
        <v>Não prioeitário</v>
      </c>
      <c r="H3812" s="89">
        <f>YEAR(Tabela1[[#This Row],[Data de Validade]])</f>
        <v>2030</v>
      </c>
      <c r="I3812" s="89">
        <f>MONTH(Tabela1[[#This Row],[Data de Validade]])</f>
        <v>11</v>
      </c>
      <c r="J3812" s="101">
        <v>114105</v>
      </c>
      <c r="K3812" s="87" t="s">
        <v>14</v>
      </c>
      <c r="L3812" s="108"/>
      <c r="M3812" s="108"/>
      <c r="N3812" s="108" t="str">
        <v>H111P149</v>
      </c>
      <c r="O3812" s="108">
        <f t="shared" si="61"/>
        <v>1</v>
      </c>
      <c r="P3812" s="108"/>
      <c r="Q3812"/>
    </row>
    <row r="3813" spans="1:17" x14ac:dyDescent="0.25">
      <c r="A3813" s="89" t="s">
        <v>4876</v>
      </c>
      <c r="B3813" s="87" t="s">
        <v>4877</v>
      </c>
      <c r="C3813" s="87" t="s">
        <v>10</v>
      </c>
      <c r="D3813" s="87" t="str">
        <f>VLOOKUP(Tabela1[[#This Row],[Origem]], 'Perguntas 1 a 24'!$J$28:$K$34, 2, 0)</f>
        <v>Centro-Oeste</v>
      </c>
      <c r="E3813" s="87" t="str">
        <f>Tabela1[[#This Row],[Descrição]]&amp;"-"&amp;Tabela1[[#This Row],[Código]]&amp;"/"&amp;Tabela1[[#This Row],[Origem]]</f>
        <v>Porucidafi-H264H964/GO</v>
      </c>
      <c r="F3813" s="88">
        <v>47798</v>
      </c>
      <c r="G3813" s="88" t="str" cm="1">
        <f t="array" ref="G381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AND(F3813&gt;= DATE(2026,1,1), F3813&lt;= DATE(2028, 12, 31), J3813&gt;50000), "Pendente e Caro", AND(F3813&gt;= DATE(2026,1,1), F3813&lt;= DATE(2028, 12, 31), J3813&lt;=50000), "Pendente", F3813&gt;= DATE(2029,1,1), "Não prioeitário")</f>
        <v>Não prioeitário</v>
      </c>
      <c r="H3813" s="89">
        <f>YEAR(Tabela1[[#This Row],[Data de Validade]])</f>
        <v>2030</v>
      </c>
      <c r="I3813" s="89">
        <f>MONTH(Tabela1[[#This Row],[Data de Validade]])</f>
        <v>11</v>
      </c>
      <c r="J3813" s="101">
        <v>29465</v>
      </c>
      <c r="K3813" s="87" t="s">
        <v>9</v>
      </c>
      <c r="L3813" s="108"/>
      <c r="M3813" s="108"/>
      <c r="N3813" s="108" t="str">
        <v>H878H725</v>
      </c>
      <c r="O3813" s="108">
        <f t="shared" si="61"/>
        <v>1</v>
      </c>
      <c r="P3813" s="108"/>
      <c r="Q3813"/>
    </row>
    <row r="3814" spans="1:17" x14ac:dyDescent="0.25">
      <c r="A3814" s="89" t="s">
        <v>8044</v>
      </c>
      <c r="B3814" s="87" t="s">
        <v>8045</v>
      </c>
      <c r="C3814" s="87" t="s">
        <v>6</v>
      </c>
      <c r="D3814" s="87" t="str">
        <f>VLOOKUP(Tabela1[[#This Row],[Origem]], 'Perguntas 1 a 24'!$J$28:$K$34, 2, 0)</f>
        <v>Nordeste</v>
      </c>
      <c r="E3814" s="87" t="str">
        <f>Tabela1[[#This Row],[Descrição]]&amp;"-"&amp;Tabela1[[#This Row],[Código]]&amp;"/"&amp;Tabela1[[#This Row],[Origem]]</f>
        <v>Recoruguli-H995H517/MA</v>
      </c>
      <c r="F3814" s="88">
        <v>47799</v>
      </c>
      <c r="G3814" s="88" t="str" cm="1">
        <f t="array" ref="G381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AND(F3814&gt;= DATE(2026,1,1), F3814&lt;= DATE(2028, 12, 31), J3814&gt;50000), "Pendente e Caro", AND(F3814&gt;= DATE(2026,1,1), F3814&lt;= DATE(2028, 12, 31), J3814&lt;=50000), "Pendente", F3814&gt;= DATE(2029,1,1), "Não prioeitário")</f>
        <v>Não prioeitário</v>
      </c>
      <c r="H3814" s="89">
        <f>YEAR(Tabela1[[#This Row],[Data de Validade]])</f>
        <v>2030</v>
      </c>
      <c r="I3814" s="89">
        <f>MONTH(Tabela1[[#This Row],[Data de Validade]])</f>
        <v>11</v>
      </c>
      <c r="J3814" s="101">
        <v>114686</v>
      </c>
      <c r="K3814" s="87" t="s">
        <v>11</v>
      </c>
      <c r="L3814" s="108"/>
      <c r="M3814" s="108"/>
      <c r="N3814" s="108" t="str">
        <v>H962H791</v>
      </c>
      <c r="O3814" s="108">
        <f t="shared" si="61"/>
        <v>1</v>
      </c>
      <c r="P3814" s="108"/>
      <c r="Q3814"/>
    </row>
    <row r="3815" spans="1:17" x14ac:dyDescent="0.25">
      <c r="A3815" s="89" t="s">
        <v>7702</v>
      </c>
      <c r="B3815" s="87" t="s">
        <v>7703</v>
      </c>
      <c r="C3815" s="87" t="s">
        <v>10</v>
      </c>
      <c r="D3815" s="87" t="str">
        <f>VLOOKUP(Tabela1[[#This Row],[Origem]], 'Perguntas 1 a 24'!$J$28:$K$34, 2, 0)</f>
        <v>Centro-Oeste</v>
      </c>
      <c r="E3815" s="87" t="str">
        <f>Tabela1[[#This Row],[Descrição]]&amp;"-"&amp;Tabela1[[#This Row],[Código]]&amp;"/"&amp;Tabela1[[#This Row],[Origem]]</f>
        <v>Pupenupuci-H469H214/GO</v>
      </c>
      <c r="F3815" s="88">
        <v>47800</v>
      </c>
      <c r="G3815" s="88" t="str" cm="1">
        <f t="array" ref="G381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AND(F3815&gt;= DATE(2026,1,1), F3815&lt;= DATE(2028, 12, 31), J3815&gt;50000), "Pendente e Caro", AND(F3815&gt;= DATE(2026,1,1), F3815&lt;= DATE(2028, 12, 31), J3815&lt;=50000), "Pendente", F3815&gt;= DATE(2029,1,1), "Não prioeitário")</f>
        <v>Não prioeitário</v>
      </c>
      <c r="H3815" s="89">
        <f>YEAR(Tabela1[[#This Row],[Data de Validade]])</f>
        <v>2030</v>
      </c>
      <c r="I3815" s="89">
        <f>MONTH(Tabela1[[#This Row],[Data de Validade]])</f>
        <v>11</v>
      </c>
      <c r="J3815" s="101">
        <v>91577</v>
      </c>
      <c r="K3815" s="87" t="s">
        <v>11</v>
      </c>
      <c r="L3815" s="108"/>
      <c r="M3815" s="108"/>
      <c r="N3815" s="108" t="str">
        <v>P953P924</v>
      </c>
      <c r="O3815" s="108">
        <f t="shared" si="61"/>
        <v>1</v>
      </c>
      <c r="P3815" s="108"/>
      <c r="Q3815"/>
    </row>
    <row r="3816" spans="1:17" x14ac:dyDescent="0.25">
      <c r="A3816" s="89" t="s">
        <v>7730</v>
      </c>
      <c r="B3816" s="87" t="s">
        <v>7731</v>
      </c>
      <c r="C3816" s="87" t="s">
        <v>16</v>
      </c>
      <c r="D3816" s="87" t="str">
        <f>VLOOKUP(Tabela1[[#This Row],[Origem]], 'Perguntas 1 a 24'!$J$28:$K$34, 2, 0)</f>
        <v>Sudeste</v>
      </c>
      <c r="E3816" s="87" t="str">
        <f>Tabela1[[#This Row],[Descrição]]&amp;"-"&amp;Tabela1[[#This Row],[Código]]&amp;"/"&amp;Tabela1[[#This Row],[Origem]]</f>
        <v>Vatini-H656P417/MG</v>
      </c>
      <c r="F3816" s="88">
        <v>47800</v>
      </c>
      <c r="G3816" s="88" t="str" cm="1">
        <f t="array" ref="G381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AND(F3816&gt;= DATE(2026,1,1), F3816&lt;= DATE(2028, 12, 31), J3816&gt;50000), "Pendente e Caro", AND(F3816&gt;= DATE(2026,1,1), F3816&lt;= DATE(2028, 12, 31), J3816&lt;=50000), "Pendente", F3816&gt;= DATE(2029,1,1), "Não prioeitário")</f>
        <v>Não prioeitário</v>
      </c>
      <c r="H3816" s="89">
        <f>YEAR(Tabela1[[#This Row],[Data de Validade]])</f>
        <v>2030</v>
      </c>
      <c r="I3816" s="89">
        <f>MONTH(Tabela1[[#This Row],[Data de Validade]])</f>
        <v>11</v>
      </c>
      <c r="J3816" s="101">
        <v>70852</v>
      </c>
      <c r="K3816" s="87" t="s">
        <v>7</v>
      </c>
      <c r="L3816" s="108"/>
      <c r="M3816" s="108"/>
      <c r="N3816" s="108" t="str">
        <v>P535H895</v>
      </c>
      <c r="O3816" s="108">
        <f t="shared" si="61"/>
        <v>1</v>
      </c>
      <c r="P3816" s="108"/>
      <c r="Q3816"/>
    </row>
    <row r="3817" spans="1:17" x14ac:dyDescent="0.25">
      <c r="A3817" s="89" t="s">
        <v>3914</v>
      </c>
      <c r="B3817" s="87" t="s">
        <v>3915</v>
      </c>
      <c r="C3817" s="87" t="s">
        <v>8</v>
      </c>
      <c r="D3817" s="87" t="str">
        <f>VLOOKUP(Tabela1[[#This Row],[Origem]], 'Perguntas 1 a 24'!$J$28:$K$34, 2, 0)</f>
        <v>Nordeste</v>
      </c>
      <c r="E3817" s="87" t="str">
        <f>Tabela1[[#This Row],[Descrição]]&amp;"-"&amp;Tabela1[[#This Row],[Código]]&amp;"/"&amp;Tabela1[[#This Row],[Origem]]</f>
        <v>Papefe-P739H335/AL</v>
      </c>
      <c r="F3817" s="88">
        <v>47801</v>
      </c>
      <c r="G3817" s="88" t="str" cm="1">
        <f t="array" ref="G381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AND(F3817&gt;= DATE(2026,1,1), F3817&lt;= DATE(2028, 12, 31), J3817&gt;50000), "Pendente e Caro", AND(F3817&gt;= DATE(2026,1,1), F3817&lt;= DATE(2028, 12, 31), J3817&lt;=50000), "Pendente", F3817&gt;= DATE(2029,1,1), "Não prioeitário")</f>
        <v>Não prioeitário</v>
      </c>
      <c r="H3817" s="89">
        <f>YEAR(Tabela1[[#This Row],[Data de Validade]])</f>
        <v>2030</v>
      </c>
      <c r="I3817" s="89">
        <f>MONTH(Tabela1[[#This Row],[Data de Validade]])</f>
        <v>11</v>
      </c>
      <c r="J3817" s="101">
        <v>39961</v>
      </c>
      <c r="K3817" s="87" t="s">
        <v>9</v>
      </c>
      <c r="L3817" s="108"/>
      <c r="M3817" s="108"/>
      <c r="N3817" s="108" t="str">
        <v>P464P755</v>
      </c>
      <c r="O3817" s="108">
        <f t="shared" si="61"/>
        <v>1</v>
      </c>
      <c r="P3817" s="108"/>
      <c r="Q3817"/>
    </row>
    <row r="3818" spans="1:17" x14ac:dyDescent="0.25">
      <c r="A3818" s="89" t="s">
        <v>7558</v>
      </c>
      <c r="B3818" s="87" t="s">
        <v>7559</v>
      </c>
      <c r="C3818" s="87" t="s">
        <v>10</v>
      </c>
      <c r="D3818" s="87" t="str">
        <f>VLOOKUP(Tabela1[[#This Row],[Origem]], 'Perguntas 1 a 24'!$J$28:$K$34, 2, 0)</f>
        <v>Centro-Oeste</v>
      </c>
      <c r="E3818" s="87" t="str">
        <f>Tabela1[[#This Row],[Descrição]]&amp;"-"&amp;Tabela1[[#This Row],[Código]]&amp;"/"&amp;Tabela1[[#This Row],[Origem]]</f>
        <v>Camupe-H833H316/GO</v>
      </c>
      <c r="F3818" s="88">
        <v>47801</v>
      </c>
      <c r="G3818" s="88" t="str" cm="1">
        <f t="array" ref="G381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AND(F3818&gt;= DATE(2026,1,1), F3818&lt;= DATE(2028, 12, 31), J3818&gt;50000), "Pendente e Caro", AND(F3818&gt;= DATE(2026,1,1), F3818&lt;= DATE(2028, 12, 31), J3818&lt;=50000), "Pendente", F3818&gt;= DATE(2029,1,1), "Não prioeitário")</f>
        <v>Não prioeitário</v>
      </c>
      <c r="H3818" s="89">
        <f>YEAR(Tabela1[[#This Row],[Data de Validade]])</f>
        <v>2030</v>
      </c>
      <c r="I3818" s="89">
        <f>MONTH(Tabela1[[#This Row],[Data de Validade]])</f>
        <v>11</v>
      </c>
      <c r="J3818" s="101">
        <v>28134</v>
      </c>
      <c r="K3818" s="87" t="s">
        <v>9</v>
      </c>
      <c r="L3818" s="108"/>
      <c r="M3818" s="108"/>
      <c r="N3818" s="108" t="str">
        <v>H874P213</v>
      </c>
      <c r="O3818" s="108">
        <f t="shared" si="61"/>
        <v>1</v>
      </c>
      <c r="P3818" s="108"/>
      <c r="Q3818"/>
    </row>
    <row r="3819" spans="1:17" x14ac:dyDescent="0.25">
      <c r="A3819" s="89" t="s">
        <v>5870</v>
      </c>
      <c r="B3819" s="87" t="s">
        <v>5871</v>
      </c>
      <c r="C3819" s="87" t="s">
        <v>12</v>
      </c>
      <c r="D3819" s="87" t="str">
        <f>VLOOKUP(Tabela1[[#This Row],[Origem]], 'Perguntas 1 a 24'!$J$28:$K$34, 2, 0)</f>
        <v>Sudeste</v>
      </c>
      <c r="E3819" s="87" t="str">
        <f>Tabela1[[#This Row],[Descrição]]&amp;"-"&amp;Tabela1[[#This Row],[Código]]&amp;"/"&amp;Tabela1[[#This Row],[Origem]]</f>
        <v>Padutafe-P438P496/RJ</v>
      </c>
      <c r="F3819" s="88">
        <v>47802</v>
      </c>
      <c r="G3819" s="88" t="str" cm="1">
        <f t="array" ref="G381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AND(F3819&gt;= DATE(2026,1,1), F3819&lt;= DATE(2028, 12, 31), J3819&gt;50000), "Pendente e Caro", AND(F3819&gt;= DATE(2026,1,1), F3819&lt;= DATE(2028, 12, 31), J3819&lt;=50000), "Pendente", F3819&gt;= DATE(2029,1,1), "Não prioeitário")</f>
        <v>Não prioeitário</v>
      </c>
      <c r="H3819" s="89">
        <f>YEAR(Tabela1[[#This Row],[Data de Validade]])</f>
        <v>2030</v>
      </c>
      <c r="I3819" s="89">
        <f>MONTH(Tabela1[[#This Row],[Data de Validade]])</f>
        <v>11</v>
      </c>
      <c r="J3819" s="101">
        <v>110873</v>
      </c>
      <c r="K3819" s="87" t="s">
        <v>7</v>
      </c>
      <c r="L3819" s="108"/>
      <c r="M3819" s="108"/>
      <c r="N3819" s="108" t="str">
        <v>H236H529</v>
      </c>
      <c r="O3819" s="108">
        <f t="shared" si="61"/>
        <v>1</v>
      </c>
      <c r="P3819" s="108"/>
      <c r="Q3819"/>
    </row>
    <row r="3820" spans="1:17" x14ac:dyDescent="0.25">
      <c r="A3820" s="89" t="s">
        <v>5742</v>
      </c>
      <c r="B3820" s="87" t="s">
        <v>5743</v>
      </c>
      <c r="C3820" s="87" t="s">
        <v>6</v>
      </c>
      <c r="D3820" s="87" t="str">
        <f>VLOOKUP(Tabela1[[#This Row],[Origem]], 'Perguntas 1 a 24'!$J$28:$K$34, 2, 0)</f>
        <v>Nordeste</v>
      </c>
      <c r="E3820" s="87" t="str">
        <f>Tabela1[[#This Row],[Descrição]]&amp;"-"&amp;Tabela1[[#This Row],[Código]]&amp;"/"&amp;Tabela1[[#This Row],[Origem]]</f>
        <v>Pilipopepa-H364H561/MA</v>
      </c>
      <c r="F3820" s="88">
        <v>47802</v>
      </c>
      <c r="G3820" s="88" t="str" cm="1">
        <f t="array" ref="G382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AND(F3820&gt;= DATE(2026,1,1), F3820&lt;= DATE(2028, 12, 31), J3820&gt;50000), "Pendente e Caro", AND(F3820&gt;= DATE(2026,1,1), F3820&lt;= DATE(2028, 12, 31), J3820&lt;=50000), "Pendente", F3820&gt;= DATE(2029,1,1), "Não prioeitário")</f>
        <v>Não prioeitário</v>
      </c>
      <c r="H3820" s="89">
        <f>YEAR(Tabela1[[#This Row],[Data de Validade]])</f>
        <v>2030</v>
      </c>
      <c r="I3820" s="89">
        <f>MONTH(Tabela1[[#This Row],[Data de Validade]])</f>
        <v>11</v>
      </c>
      <c r="J3820" s="101">
        <v>109438</v>
      </c>
      <c r="K3820" s="87" t="s">
        <v>14</v>
      </c>
      <c r="L3820" s="108"/>
      <c r="M3820" s="108"/>
      <c r="N3820" s="108" t="str">
        <v>P359P385</v>
      </c>
      <c r="O3820" s="108">
        <f t="shared" si="61"/>
        <v>1</v>
      </c>
      <c r="P3820" s="108"/>
      <c r="Q3820"/>
    </row>
    <row r="3821" spans="1:17" x14ac:dyDescent="0.25">
      <c r="A3821" s="89" t="s">
        <v>7362</v>
      </c>
      <c r="B3821" s="87" t="s">
        <v>7363</v>
      </c>
      <c r="C3821" s="87" t="s">
        <v>12</v>
      </c>
      <c r="D3821" s="87" t="str">
        <f>VLOOKUP(Tabela1[[#This Row],[Origem]], 'Perguntas 1 a 24'!$J$28:$K$34, 2, 0)</f>
        <v>Sudeste</v>
      </c>
      <c r="E3821" s="87" t="str">
        <f>Tabela1[[#This Row],[Descrição]]&amp;"-"&amp;Tabela1[[#This Row],[Código]]&amp;"/"&amp;Tabela1[[#This Row],[Origem]]</f>
        <v>Vovocanele-H751H657/RJ</v>
      </c>
      <c r="F3821" s="88">
        <v>47802</v>
      </c>
      <c r="G3821" s="88" t="str" cm="1">
        <f t="array" ref="G382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AND(F3821&gt;= DATE(2026,1,1), F3821&lt;= DATE(2028, 12, 31), J3821&gt;50000), "Pendente e Caro", AND(F3821&gt;= DATE(2026,1,1), F3821&lt;= DATE(2028, 12, 31), J3821&lt;=50000), "Pendente", F3821&gt;= DATE(2029,1,1), "Não prioeitário")</f>
        <v>Não prioeitário</v>
      </c>
      <c r="H3821" s="89">
        <f>YEAR(Tabela1[[#This Row],[Data de Validade]])</f>
        <v>2030</v>
      </c>
      <c r="I3821" s="89">
        <f>MONTH(Tabela1[[#This Row],[Data de Validade]])</f>
        <v>11</v>
      </c>
      <c r="J3821" s="101">
        <v>90779</v>
      </c>
      <c r="K3821" s="87" t="s">
        <v>9</v>
      </c>
      <c r="L3821" s="108"/>
      <c r="M3821" s="108"/>
      <c r="N3821" s="108" t="str">
        <v>H962H636</v>
      </c>
      <c r="O3821" s="108">
        <f t="shared" si="61"/>
        <v>1</v>
      </c>
      <c r="P3821" s="108"/>
      <c r="Q3821"/>
    </row>
    <row r="3822" spans="1:17" x14ac:dyDescent="0.25">
      <c r="A3822" s="89" t="s">
        <v>6086</v>
      </c>
      <c r="B3822" s="87" t="s">
        <v>6087</v>
      </c>
      <c r="C3822" s="87" t="s">
        <v>6</v>
      </c>
      <c r="D3822" s="87" t="str">
        <f>VLOOKUP(Tabela1[[#This Row],[Origem]], 'Perguntas 1 a 24'!$J$28:$K$34, 2, 0)</f>
        <v>Nordeste</v>
      </c>
      <c r="E3822" s="87" t="str">
        <f>Tabela1[[#This Row],[Descrição]]&amp;"-"&amp;Tabela1[[#This Row],[Código]]&amp;"/"&amp;Tabela1[[#This Row],[Origem]]</f>
        <v>Vinitapa-P138P963/MA</v>
      </c>
      <c r="F3822" s="88">
        <v>47803</v>
      </c>
      <c r="G3822" s="88" t="str" cm="1">
        <f t="array" ref="G382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AND(F3822&gt;= DATE(2026,1,1), F3822&lt;= DATE(2028, 12, 31), J3822&gt;50000), "Pendente e Caro", AND(F3822&gt;= DATE(2026,1,1), F3822&lt;= DATE(2028, 12, 31), J3822&lt;=50000), "Pendente", F3822&gt;= DATE(2029,1,1), "Não prioeitário")</f>
        <v>Não prioeitário</v>
      </c>
      <c r="H3822" s="89">
        <f>YEAR(Tabela1[[#This Row],[Data de Validade]])</f>
        <v>2030</v>
      </c>
      <c r="I3822" s="89">
        <f>MONTH(Tabela1[[#This Row],[Data de Validade]])</f>
        <v>11</v>
      </c>
      <c r="J3822" s="101">
        <v>117141</v>
      </c>
      <c r="K3822" s="87" t="s">
        <v>7</v>
      </c>
      <c r="L3822" s="108"/>
      <c r="M3822" s="108"/>
      <c r="N3822" s="108" t="str">
        <v>H638P635</v>
      </c>
      <c r="O3822" s="108">
        <f t="shared" si="61"/>
        <v>1</v>
      </c>
      <c r="P3822" s="108"/>
      <c r="Q3822"/>
    </row>
    <row r="3823" spans="1:17" x14ac:dyDescent="0.25">
      <c r="A3823" s="89" t="s">
        <v>6602</v>
      </c>
      <c r="B3823" s="87" t="s">
        <v>6603</v>
      </c>
      <c r="C3823" s="87" t="s">
        <v>10</v>
      </c>
      <c r="D3823" s="87" t="str">
        <f>VLOOKUP(Tabela1[[#This Row],[Origem]], 'Perguntas 1 a 24'!$J$28:$K$34, 2, 0)</f>
        <v>Centro-Oeste</v>
      </c>
      <c r="E3823" s="87" t="str">
        <f>Tabela1[[#This Row],[Descrição]]&amp;"-"&amp;Tabela1[[#This Row],[Código]]&amp;"/"&amp;Tabela1[[#This Row],[Origem]]</f>
        <v>Paruvege-P141H731/GO</v>
      </c>
      <c r="F3823" s="88">
        <v>47803</v>
      </c>
      <c r="G3823" s="88" t="str" cm="1">
        <f t="array" ref="G382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AND(F3823&gt;= DATE(2026,1,1), F3823&lt;= DATE(2028, 12, 31), J3823&gt;50000), "Pendente e Caro", AND(F3823&gt;= DATE(2026,1,1), F3823&lt;= DATE(2028, 12, 31), J3823&lt;=50000), "Pendente", F3823&gt;= DATE(2029,1,1), "Não prioeitário")</f>
        <v>Não prioeitário</v>
      </c>
      <c r="H3823" s="89">
        <f>YEAR(Tabela1[[#This Row],[Data de Validade]])</f>
        <v>2030</v>
      </c>
      <c r="I3823" s="89">
        <f>MONTH(Tabela1[[#This Row],[Data de Validade]])</f>
        <v>11</v>
      </c>
      <c r="J3823" s="101">
        <v>69494</v>
      </c>
      <c r="K3823" s="87" t="s">
        <v>11</v>
      </c>
      <c r="L3823" s="108"/>
      <c r="M3823" s="108"/>
      <c r="N3823" s="108" t="str">
        <v>P464P584</v>
      </c>
      <c r="O3823" s="108">
        <f t="shared" si="61"/>
        <v>1</v>
      </c>
      <c r="P3823" s="108"/>
      <c r="Q3823"/>
    </row>
    <row r="3824" spans="1:17" x14ac:dyDescent="0.25">
      <c r="A3824" s="89" t="s">
        <v>4371</v>
      </c>
      <c r="B3824" s="87" t="s">
        <v>4372</v>
      </c>
      <c r="C3824" s="87" t="s">
        <v>10</v>
      </c>
      <c r="D3824" s="87" t="str">
        <f>VLOOKUP(Tabela1[[#This Row],[Origem]], 'Perguntas 1 a 24'!$J$28:$K$34, 2, 0)</f>
        <v>Centro-Oeste</v>
      </c>
      <c r="E3824" s="87" t="str">
        <f>Tabela1[[#This Row],[Descrição]]&amp;"-"&amp;Tabela1[[#This Row],[Código]]&amp;"/"&amp;Tabela1[[#This Row],[Origem]]</f>
        <v>Duvopo-P441P471/GO</v>
      </c>
      <c r="F3824" s="88">
        <v>47804</v>
      </c>
      <c r="G3824" s="88" t="str" cm="1">
        <f t="array" ref="G382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AND(F3824&gt;= DATE(2026,1,1), F3824&lt;= DATE(2028, 12, 31), J3824&gt;50000), "Pendente e Caro", AND(F3824&gt;= DATE(2026,1,1), F3824&lt;= DATE(2028, 12, 31), J3824&lt;=50000), "Pendente", F3824&gt;= DATE(2029,1,1), "Não prioeitário")</f>
        <v>Não prioeitário</v>
      </c>
      <c r="H3824" s="89">
        <f>YEAR(Tabela1[[#This Row],[Data de Validade]])</f>
        <v>2030</v>
      </c>
      <c r="I3824" s="89">
        <f>MONTH(Tabela1[[#This Row],[Data de Validade]])</f>
        <v>11</v>
      </c>
      <c r="J3824" s="101">
        <v>61561</v>
      </c>
      <c r="K3824" s="87" t="s">
        <v>9</v>
      </c>
      <c r="L3824" s="108"/>
      <c r="M3824" s="108"/>
      <c r="N3824" s="108" t="str">
        <v>P643P538</v>
      </c>
      <c r="O3824" s="108">
        <f t="shared" si="61"/>
        <v>1</v>
      </c>
      <c r="P3824" s="108"/>
      <c r="Q3824"/>
    </row>
    <row r="3825" spans="1:17" x14ac:dyDescent="0.25">
      <c r="A3825" s="89" t="s">
        <v>8176</v>
      </c>
      <c r="B3825" s="87" t="s">
        <v>8177</v>
      </c>
      <c r="C3825" s="87" t="s">
        <v>10</v>
      </c>
      <c r="D3825" s="87" t="str">
        <f>VLOOKUP(Tabela1[[#This Row],[Origem]], 'Perguntas 1 a 24'!$J$28:$K$34, 2, 0)</f>
        <v>Centro-Oeste</v>
      </c>
      <c r="E3825" s="87" t="str">
        <f>Tabela1[[#This Row],[Descrição]]&amp;"-"&amp;Tabela1[[#This Row],[Código]]&amp;"/"&amp;Tabela1[[#This Row],[Origem]]</f>
        <v>Lotopu-H111P149/GO</v>
      </c>
      <c r="F3825" s="88">
        <v>47805</v>
      </c>
      <c r="G3825" s="88" t="str" cm="1">
        <f t="array" ref="G382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AND(F3825&gt;= DATE(2026,1,1), F3825&lt;= DATE(2028, 12, 31), J3825&gt;50000), "Pendente e Caro", AND(F3825&gt;= DATE(2026,1,1), F3825&lt;= DATE(2028, 12, 31), J3825&lt;=50000), "Pendente", F3825&gt;= DATE(2029,1,1), "Não prioeitário")</f>
        <v>Não prioeitário</v>
      </c>
      <c r="H3825" s="89">
        <f>YEAR(Tabela1[[#This Row],[Data de Validade]])</f>
        <v>2030</v>
      </c>
      <c r="I3825" s="89">
        <f>MONTH(Tabela1[[#This Row],[Data de Validade]])</f>
        <v>11</v>
      </c>
      <c r="J3825" s="101">
        <v>101848</v>
      </c>
      <c r="K3825" s="87" t="s">
        <v>9</v>
      </c>
      <c r="L3825" s="108"/>
      <c r="M3825" s="108"/>
      <c r="N3825" s="108" t="str">
        <v>H493H738</v>
      </c>
      <c r="O3825" s="108">
        <f t="shared" si="61"/>
        <v>1</v>
      </c>
      <c r="P3825" s="108"/>
      <c r="Q3825"/>
    </row>
    <row r="3826" spans="1:17" x14ac:dyDescent="0.25">
      <c r="A3826" s="89" t="s">
        <v>6420</v>
      </c>
      <c r="B3826" s="87" t="s">
        <v>6421</v>
      </c>
      <c r="C3826" s="87" t="s">
        <v>12</v>
      </c>
      <c r="D3826" s="87" t="str">
        <f>VLOOKUP(Tabela1[[#This Row],[Origem]], 'Perguntas 1 a 24'!$J$28:$K$34, 2, 0)</f>
        <v>Sudeste</v>
      </c>
      <c r="E3826" s="87" t="str">
        <f>Tabela1[[#This Row],[Descrição]]&amp;"-"&amp;Tabela1[[#This Row],[Código]]&amp;"/"&amp;Tabela1[[#This Row],[Origem]]</f>
        <v>Dunora-H878H725/RJ</v>
      </c>
      <c r="F3826" s="88">
        <v>47805</v>
      </c>
      <c r="G3826" s="88" t="str" cm="1">
        <f t="array" ref="G382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AND(F3826&gt;= DATE(2026,1,1), F3826&lt;= DATE(2028, 12, 31), J3826&gt;50000), "Pendente e Caro", AND(F3826&gt;= DATE(2026,1,1), F3826&lt;= DATE(2028, 12, 31), J3826&lt;=50000), "Pendente", F3826&gt;= DATE(2029,1,1), "Não prioeitário")</f>
        <v>Não prioeitário</v>
      </c>
      <c r="H3826" s="89">
        <f>YEAR(Tabela1[[#This Row],[Data de Validade]])</f>
        <v>2030</v>
      </c>
      <c r="I3826" s="89">
        <f>MONTH(Tabela1[[#This Row],[Data de Validade]])</f>
        <v>11</v>
      </c>
      <c r="J3826" s="101">
        <v>91394</v>
      </c>
      <c r="K3826" s="87" t="s">
        <v>11</v>
      </c>
      <c r="L3826" s="108"/>
      <c r="M3826" s="108"/>
      <c r="N3826" s="108" t="str">
        <v>P577H565</v>
      </c>
      <c r="O3826" s="108">
        <f t="shared" si="61"/>
        <v>1</v>
      </c>
      <c r="P3826" s="108"/>
      <c r="Q3826"/>
    </row>
    <row r="3827" spans="1:17" x14ac:dyDescent="0.25">
      <c r="A3827" s="89" t="s">
        <v>10409</v>
      </c>
      <c r="B3827" s="87" t="s">
        <v>10410</v>
      </c>
      <c r="C3827" s="87" t="s">
        <v>8</v>
      </c>
      <c r="D3827" s="87" t="str">
        <f>VLOOKUP(Tabela1[[#This Row],[Origem]], 'Perguntas 1 a 24'!$J$28:$K$34, 2, 0)</f>
        <v>Nordeste</v>
      </c>
      <c r="E3827" s="87" t="str">
        <f>Tabela1[[#This Row],[Descrição]]&amp;"-"&amp;Tabela1[[#This Row],[Código]]&amp;"/"&amp;Tabela1[[#This Row],[Origem]]</f>
        <v>Teriliro-H962H791/AL</v>
      </c>
      <c r="F3827" s="88">
        <v>47806</v>
      </c>
      <c r="G3827" s="88" t="str" cm="1">
        <f t="array" ref="G382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AND(F3827&gt;= DATE(2026,1,1), F3827&lt;= DATE(2028, 12, 31), J3827&gt;50000), "Pendente e Caro", AND(F3827&gt;= DATE(2026,1,1), F3827&lt;= DATE(2028, 12, 31), J3827&lt;=50000), "Pendente", F3827&gt;= DATE(2029,1,1), "Não prioeitário")</f>
        <v>Não prioeitário</v>
      </c>
      <c r="H3827" s="89">
        <f>YEAR(Tabela1[[#This Row],[Data de Validade]])</f>
        <v>2030</v>
      </c>
      <c r="I3827" s="89">
        <f>MONTH(Tabela1[[#This Row],[Data de Validade]])</f>
        <v>11</v>
      </c>
      <c r="J3827" s="101">
        <v>104802</v>
      </c>
      <c r="K3827" s="87" t="s">
        <v>11</v>
      </c>
      <c r="L3827" s="108"/>
      <c r="M3827" s="108"/>
      <c r="N3827" s="108" t="str">
        <v>H682H513</v>
      </c>
      <c r="O3827" s="108">
        <f t="shared" si="61"/>
        <v>1</v>
      </c>
      <c r="P3827" s="108"/>
      <c r="Q3827"/>
    </row>
    <row r="3828" spans="1:17" x14ac:dyDescent="0.25">
      <c r="A3828" s="89" t="s">
        <v>3820</v>
      </c>
      <c r="B3828" s="87" t="s">
        <v>3821</v>
      </c>
      <c r="C3828" s="87" t="s">
        <v>8</v>
      </c>
      <c r="D3828" s="87" t="str">
        <f>VLOOKUP(Tabela1[[#This Row],[Origem]], 'Perguntas 1 a 24'!$J$28:$K$34, 2, 0)</f>
        <v>Nordeste</v>
      </c>
      <c r="E3828" s="87" t="str">
        <f>Tabela1[[#This Row],[Descrição]]&amp;"-"&amp;Tabela1[[#This Row],[Código]]&amp;"/"&amp;Tabela1[[#This Row],[Origem]]</f>
        <v>Napulu-P953P924/AL</v>
      </c>
      <c r="F3828" s="88">
        <v>47807</v>
      </c>
      <c r="G3828" s="88" t="str" cm="1">
        <f t="array" ref="G382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AND(F3828&gt;= DATE(2026,1,1), F3828&lt;= DATE(2028, 12, 31), J3828&gt;50000), "Pendente e Caro", AND(F3828&gt;= DATE(2026,1,1), F3828&lt;= DATE(2028, 12, 31), J3828&lt;=50000), "Pendente", F3828&gt;= DATE(2029,1,1), "Não prioeitário")</f>
        <v>Não prioeitário</v>
      </c>
      <c r="H3828" s="89">
        <f>YEAR(Tabela1[[#This Row],[Data de Validade]])</f>
        <v>2030</v>
      </c>
      <c r="I3828" s="89">
        <f>MONTH(Tabela1[[#This Row],[Data de Validade]])</f>
        <v>11</v>
      </c>
      <c r="J3828" s="101">
        <v>29322</v>
      </c>
      <c r="K3828" s="87" t="s">
        <v>11</v>
      </c>
      <c r="L3828" s="108"/>
      <c r="M3828" s="108"/>
      <c r="N3828" s="108" t="str">
        <v>P484H525</v>
      </c>
      <c r="O3828" s="108">
        <f t="shared" si="61"/>
        <v>1</v>
      </c>
      <c r="P3828" s="108"/>
      <c r="Q3828"/>
    </row>
    <row r="3829" spans="1:17" x14ac:dyDescent="0.25">
      <c r="A3829" s="89" t="s">
        <v>5458</v>
      </c>
      <c r="B3829" s="87" t="s">
        <v>5459</v>
      </c>
      <c r="C3829" s="87" t="s">
        <v>12</v>
      </c>
      <c r="D3829" s="87" t="str">
        <f>VLOOKUP(Tabela1[[#This Row],[Origem]], 'Perguntas 1 a 24'!$J$28:$K$34, 2, 0)</f>
        <v>Sudeste</v>
      </c>
      <c r="E3829" s="87" t="str">
        <f>Tabela1[[#This Row],[Descrição]]&amp;"-"&amp;Tabela1[[#This Row],[Código]]&amp;"/"&amp;Tabela1[[#This Row],[Origem]]</f>
        <v>Tipipe-P535H895/RJ</v>
      </c>
      <c r="F3829" s="88">
        <v>47808</v>
      </c>
      <c r="G3829" s="88" t="str" cm="1">
        <f t="array" ref="G382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AND(F3829&gt;= DATE(2026,1,1), F3829&lt;= DATE(2028, 12, 31), J3829&gt;50000), "Pendente e Caro", AND(F3829&gt;= DATE(2026,1,1), F3829&lt;= DATE(2028, 12, 31), J3829&lt;=50000), "Pendente", F3829&gt;= DATE(2029,1,1), "Não prioeitário")</f>
        <v>Não prioeitário</v>
      </c>
      <c r="H3829" s="89">
        <f>YEAR(Tabela1[[#This Row],[Data de Validade]])</f>
        <v>2030</v>
      </c>
      <c r="I3829" s="89">
        <f>MONTH(Tabela1[[#This Row],[Data de Validade]])</f>
        <v>11</v>
      </c>
      <c r="J3829" s="101">
        <v>25002</v>
      </c>
      <c r="K3829" s="87" t="s">
        <v>11</v>
      </c>
      <c r="L3829" s="108"/>
      <c r="M3829" s="108"/>
      <c r="N3829" s="108" t="str">
        <v>H384P723</v>
      </c>
      <c r="O3829" s="108">
        <f t="shared" si="61"/>
        <v>1</v>
      </c>
      <c r="P3829" s="108"/>
      <c r="Q3829"/>
    </row>
    <row r="3830" spans="1:17" x14ac:dyDescent="0.25">
      <c r="A3830" s="89" t="s">
        <v>6674</v>
      </c>
      <c r="B3830" s="87" t="s">
        <v>6675</v>
      </c>
      <c r="C3830" s="87" t="s">
        <v>12</v>
      </c>
      <c r="D3830" s="87" t="str">
        <f>VLOOKUP(Tabela1[[#This Row],[Origem]], 'Perguntas 1 a 24'!$J$28:$K$34, 2, 0)</f>
        <v>Sudeste</v>
      </c>
      <c r="E3830" s="87" t="str">
        <f>Tabela1[[#This Row],[Descrição]]&amp;"-"&amp;Tabela1[[#This Row],[Código]]&amp;"/"&amp;Tabela1[[#This Row],[Origem]]</f>
        <v>Romagepira-P464P755/RJ</v>
      </c>
      <c r="F3830" s="88">
        <v>47809</v>
      </c>
      <c r="G3830" s="88" t="str" cm="1">
        <f t="array" ref="G383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AND(F3830&gt;= DATE(2026,1,1), F3830&lt;= DATE(2028, 12, 31), J3830&gt;50000), "Pendente e Caro", AND(F3830&gt;= DATE(2026,1,1), F3830&lt;= DATE(2028, 12, 31), J3830&lt;=50000), "Pendente", F3830&gt;= DATE(2029,1,1), "Não prioeitário")</f>
        <v>Não prioeitário</v>
      </c>
      <c r="H3830" s="89">
        <f>YEAR(Tabela1[[#This Row],[Data de Validade]])</f>
        <v>2030</v>
      </c>
      <c r="I3830" s="89">
        <f>MONTH(Tabela1[[#This Row],[Data de Validade]])</f>
        <v>11</v>
      </c>
      <c r="J3830" s="101">
        <v>84160</v>
      </c>
      <c r="K3830" s="87" t="s">
        <v>9</v>
      </c>
      <c r="L3830" s="108"/>
      <c r="M3830" s="108"/>
      <c r="N3830" s="108" t="str">
        <v>P724P994</v>
      </c>
      <c r="O3830" s="108">
        <f t="shared" si="61"/>
        <v>1</v>
      </c>
      <c r="P3830" s="108"/>
      <c r="Q3830"/>
    </row>
    <row r="3831" spans="1:17" x14ac:dyDescent="0.25">
      <c r="A3831" s="89" t="s">
        <v>10745</v>
      </c>
      <c r="B3831" s="87" t="s">
        <v>10746</v>
      </c>
      <c r="C3831" s="87" t="s">
        <v>12</v>
      </c>
      <c r="D3831" s="87" t="str">
        <f>VLOOKUP(Tabela1[[#This Row],[Origem]], 'Perguntas 1 a 24'!$J$28:$K$34, 2, 0)</f>
        <v>Sudeste</v>
      </c>
      <c r="E3831" s="87" t="str">
        <f>Tabela1[[#This Row],[Descrição]]&amp;"-"&amp;Tabela1[[#This Row],[Código]]&amp;"/"&amp;Tabela1[[#This Row],[Origem]]</f>
        <v>Modupode-H874P213/RJ</v>
      </c>
      <c r="F3831" s="88">
        <v>47809</v>
      </c>
      <c r="G3831" s="88" t="str" cm="1">
        <f t="array" ref="G383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AND(F3831&gt;= DATE(2026,1,1), F3831&lt;= DATE(2028, 12, 31), J3831&gt;50000), "Pendente e Caro", AND(F3831&gt;= DATE(2026,1,1), F3831&lt;= DATE(2028, 12, 31), J3831&lt;=50000), "Pendente", F3831&gt;= DATE(2029,1,1), "Não prioeitário")</f>
        <v>Não prioeitário</v>
      </c>
      <c r="H3831" s="89">
        <f>YEAR(Tabela1[[#This Row],[Data de Validade]])</f>
        <v>2030</v>
      </c>
      <c r="I3831" s="89">
        <f>MONTH(Tabela1[[#This Row],[Data de Validade]])</f>
        <v>11</v>
      </c>
      <c r="J3831" s="101">
        <v>39341</v>
      </c>
      <c r="K3831" s="87" t="s">
        <v>14</v>
      </c>
      <c r="L3831" s="108"/>
      <c r="M3831" s="108"/>
      <c r="N3831" s="108" t="str">
        <v>H596P577</v>
      </c>
      <c r="O3831" s="108">
        <f t="shared" si="61"/>
        <v>1</v>
      </c>
      <c r="P3831" s="108"/>
      <c r="Q3831"/>
    </row>
    <row r="3832" spans="1:17" x14ac:dyDescent="0.25">
      <c r="A3832" s="89" t="s">
        <v>7584</v>
      </c>
      <c r="B3832" s="87" t="s">
        <v>7585</v>
      </c>
      <c r="C3832" s="87" t="s">
        <v>8</v>
      </c>
      <c r="D3832" s="87" t="str">
        <f>VLOOKUP(Tabela1[[#This Row],[Origem]], 'Perguntas 1 a 24'!$J$28:$K$34, 2, 0)</f>
        <v>Nordeste</v>
      </c>
      <c r="E3832" s="87" t="str">
        <f>Tabela1[[#This Row],[Descrição]]&amp;"-"&amp;Tabela1[[#This Row],[Código]]&amp;"/"&amp;Tabela1[[#This Row],[Origem]]</f>
        <v>Depuvo-H236H529/AL</v>
      </c>
      <c r="F3832" s="88">
        <v>47810</v>
      </c>
      <c r="G3832" s="88" t="str" cm="1">
        <f t="array" ref="G383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AND(F3832&gt;= DATE(2026,1,1), F3832&lt;= DATE(2028, 12, 31), J3832&gt;50000), "Pendente e Caro", AND(F3832&gt;= DATE(2026,1,1), F3832&lt;= DATE(2028, 12, 31), J3832&lt;=50000), "Pendente", F3832&gt;= DATE(2029,1,1), "Não prioeitário")</f>
        <v>Não prioeitário</v>
      </c>
      <c r="H3832" s="89">
        <f>YEAR(Tabela1[[#This Row],[Data de Validade]])</f>
        <v>2030</v>
      </c>
      <c r="I3832" s="89">
        <f>MONTH(Tabela1[[#This Row],[Data de Validade]])</f>
        <v>11</v>
      </c>
      <c r="J3832" s="101">
        <v>87631</v>
      </c>
      <c r="K3832" s="87" t="s">
        <v>7</v>
      </c>
      <c r="L3832" s="108"/>
      <c r="M3832" s="108"/>
      <c r="N3832" s="108" t="str">
        <v>H719P191</v>
      </c>
      <c r="O3832" s="108">
        <f t="shared" si="61"/>
        <v>1</v>
      </c>
      <c r="P3832" s="108"/>
      <c r="Q3832"/>
    </row>
    <row r="3833" spans="1:17" x14ac:dyDescent="0.25">
      <c r="A3833" s="89" t="s">
        <v>9893</v>
      </c>
      <c r="B3833" s="87" t="s">
        <v>9894</v>
      </c>
      <c r="C3833" s="87" t="s">
        <v>15</v>
      </c>
      <c r="D3833" s="87" t="str">
        <f>VLOOKUP(Tabela1[[#This Row],[Origem]], 'Perguntas 1 a 24'!$J$28:$K$34, 2, 0)</f>
        <v>Sudeste</v>
      </c>
      <c r="E3833" s="87" t="str">
        <f>Tabela1[[#This Row],[Descrição]]&amp;"-"&amp;Tabela1[[#This Row],[Código]]&amp;"/"&amp;Tabela1[[#This Row],[Origem]]</f>
        <v>Tilipamuru-P359P385/ES</v>
      </c>
      <c r="F3833" s="88">
        <v>47810</v>
      </c>
      <c r="G3833" s="88" t="str" cm="1">
        <f t="array" ref="G383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AND(F3833&gt;= DATE(2026,1,1), F3833&lt;= DATE(2028, 12, 31), J3833&gt;50000), "Pendente e Caro", AND(F3833&gt;= DATE(2026,1,1), F3833&lt;= DATE(2028, 12, 31), J3833&lt;=50000), "Pendente", F3833&gt;= DATE(2029,1,1), "Não prioeitário")</f>
        <v>Não prioeitário</v>
      </c>
      <c r="H3833" s="89">
        <f>YEAR(Tabela1[[#This Row],[Data de Validade]])</f>
        <v>2030</v>
      </c>
      <c r="I3833" s="89">
        <f>MONTH(Tabela1[[#This Row],[Data de Validade]])</f>
        <v>11</v>
      </c>
      <c r="J3833" s="101">
        <v>71363</v>
      </c>
      <c r="K3833" s="87" t="s">
        <v>11</v>
      </c>
      <c r="L3833" s="108"/>
      <c r="M3833" s="108"/>
      <c r="N3833" s="108" t="str">
        <v>H947P779</v>
      </c>
      <c r="O3833" s="108">
        <f t="shared" si="61"/>
        <v>1</v>
      </c>
      <c r="P3833" s="108"/>
      <c r="Q3833"/>
    </row>
    <row r="3834" spans="1:17" x14ac:dyDescent="0.25">
      <c r="A3834" s="89" t="s">
        <v>10053</v>
      </c>
      <c r="B3834" s="87" t="s">
        <v>10054</v>
      </c>
      <c r="C3834" s="87" t="s">
        <v>12</v>
      </c>
      <c r="D3834" s="87" t="str">
        <f>VLOOKUP(Tabela1[[#This Row],[Origem]], 'Perguntas 1 a 24'!$J$28:$K$34, 2, 0)</f>
        <v>Sudeste</v>
      </c>
      <c r="E3834" s="87" t="str">
        <f>Tabela1[[#This Row],[Descrição]]&amp;"-"&amp;Tabela1[[#This Row],[Código]]&amp;"/"&amp;Tabela1[[#This Row],[Origem]]</f>
        <v>Volapa-H962H636/RJ</v>
      </c>
      <c r="F3834" s="88">
        <v>47810</v>
      </c>
      <c r="G3834" s="88" t="str" cm="1">
        <f t="array" ref="G383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AND(F3834&gt;= DATE(2026,1,1), F3834&lt;= DATE(2028, 12, 31), J3834&gt;50000), "Pendente e Caro", AND(F3834&gt;= DATE(2026,1,1), F3834&lt;= DATE(2028, 12, 31), J3834&lt;=50000), "Pendente", F3834&gt;= DATE(2029,1,1), "Não prioeitário")</f>
        <v>Não prioeitário</v>
      </c>
      <c r="H3834" s="89">
        <f>YEAR(Tabela1[[#This Row],[Data de Validade]])</f>
        <v>2030</v>
      </c>
      <c r="I3834" s="89">
        <f>MONTH(Tabela1[[#This Row],[Data de Validade]])</f>
        <v>11</v>
      </c>
      <c r="J3834" s="101">
        <v>54483</v>
      </c>
      <c r="K3834" s="87" t="s">
        <v>11</v>
      </c>
      <c r="L3834" s="108"/>
      <c r="M3834" s="108"/>
      <c r="N3834" s="108" t="str">
        <v>P347H837</v>
      </c>
      <c r="O3834" s="108">
        <f t="shared" si="61"/>
        <v>1</v>
      </c>
      <c r="P3834" s="108"/>
      <c r="Q3834"/>
    </row>
    <row r="3835" spans="1:17" x14ac:dyDescent="0.25">
      <c r="A3835" s="89" t="s">
        <v>11278</v>
      </c>
      <c r="B3835" s="87" t="s">
        <v>11279</v>
      </c>
      <c r="C3835" s="87" t="s">
        <v>10</v>
      </c>
      <c r="D3835" s="87" t="str">
        <f>VLOOKUP(Tabela1[[#This Row],[Origem]], 'Perguntas 1 a 24'!$J$28:$K$34, 2, 0)</f>
        <v>Centro-Oeste</v>
      </c>
      <c r="E3835" s="87" t="str">
        <f>Tabela1[[#This Row],[Descrição]]&amp;"-"&amp;Tabela1[[#This Row],[Código]]&amp;"/"&amp;Tabela1[[#This Row],[Origem]]</f>
        <v>Tepeta-H638P635/GO</v>
      </c>
      <c r="F3835" s="88">
        <v>47811</v>
      </c>
      <c r="G3835" s="88" t="str" cm="1">
        <f t="array" ref="G383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AND(F3835&gt;= DATE(2026,1,1), F3835&lt;= DATE(2028, 12, 31), J3835&gt;50000), "Pendente e Caro", AND(F3835&gt;= DATE(2026,1,1), F3835&lt;= DATE(2028, 12, 31), J3835&lt;=50000), "Pendente", F3835&gt;= DATE(2029,1,1), "Não prioeitário")</f>
        <v>Não prioeitário</v>
      </c>
      <c r="H3835" s="89">
        <f>YEAR(Tabela1[[#This Row],[Data de Validade]])</f>
        <v>2030</v>
      </c>
      <c r="I3835" s="89">
        <f>MONTH(Tabela1[[#This Row],[Data de Validade]])</f>
        <v>11</v>
      </c>
      <c r="J3835" s="101">
        <v>88297</v>
      </c>
      <c r="K3835" s="87" t="s">
        <v>7</v>
      </c>
      <c r="L3835" s="108"/>
      <c r="M3835" s="108"/>
      <c r="N3835" s="108" t="str">
        <v>P563P261</v>
      </c>
      <c r="O3835" s="108">
        <f t="shared" si="61"/>
        <v>1</v>
      </c>
      <c r="P3835" s="108"/>
      <c r="Q3835"/>
    </row>
    <row r="3836" spans="1:17" x14ac:dyDescent="0.25">
      <c r="A3836" s="89" t="s">
        <v>6906</v>
      </c>
      <c r="B3836" s="87" t="s">
        <v>6907</v>
      </c>
      <c r="C3836" s="87" t="s">
        <v>16</v>
      </c>
      <c r="D3836" s="87" t="str">
        <f>VLOOKUP(Tabela1[[#This Row],[Origem]], 'Perguntas 1 a 24'!$J$28:$K$34, 2, 0)</f>
        <v>Sudeste</v>
      </c>
      <c r="E3836" s="87" t="str">
        <f>Tabela1[[#This Row],[Descrição]]&amp;"-"&amp;Tabela1[[#This Row],[Código]]&amp;"/"&amp;Tabela1[[#This Row],[Origem]]</f>
        <v>Rerugepi-P464P584/MG</v>
      </c>
      <c r="F3836" s="88">
        <v>47812</v>
      </c>
      <c r="G3836" s="88" t="str" cm="1">
        <f t="array" ref="G383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AND(F3836&gt;= DATE(2026,1,1), F3836&lt;= DATE(2028, 12, 31), J3836&gt;50000), "Pendente e Caro", AND(F3836&gt;= DATE(2026,1,1), F3836&lt;= DATE(2028, 12, 31), J3836&lt;=50000), "Pendente", F3836&gt;= DATE(2029,1,1), "Não prioeitário")</f>
        <v>Não prioeitário</v>
      </c>
      <c r="H3836" s="89">
        <f>YEAR(Tabela1[[#This Row],[Data de Validade]])</f>
        <v>2030</v>
      </c>
      <c r="I3836" s="89">
        <f>MONTH(Tabela1[[#This Row],[Data de Validade]])</f>
        <v>11</v>
      </c>
      <c r="J3836" s="101">
        <v>70800</v>
      </c>
      <c r="K3836" s="87" t="s">
        <v>14</v>
      </c>
      <c r="L3836" s="108"/>
      <c r="M3836" s="108"/>
      <c r="N3836" s="108" t="str">
        <v>H377H966</v>
      </c>
      <c r="O3836" s="108">
        <f t="shared" si="61"/>
        <v>1</v>
      </c>
      <c r="P3836" s="108"/>
      <c r="Q3836"/>
    </row>
    <row r="3837" spans="1:17" x14ac:dyDescent="0.25">
      <c r="A3837" s="89" t="s">
        <v>4596</v>
      </c>
      <c r="B3837" s="87" t="s">
        <v>4597</v>
      </c>
      <c r="C3837" s="87" t="s">
        <v>10</v>
      </c>
      <c r="D3837" s="87" t="str">
        <f>VLOOKUP(Tabela1[[#This Row],[Origem]], 'Perguntas 1 a 24'!$J$28:$K$34, 2, 0)</f>
        <v>Centro-Oeste</v>
      </c>
      <c r="E3837" s="87" t="str">
        <f>Tabela1[[#This Row],[Descrição]]&amp;"-"&amp;Tabela1[[#This Row],[Código]]&amp;"/"&amp;Tabela1[[#This Row],[Origem]]</f>
        <v>Putunu-P643P538/GO</v>
      </c>
      <c r="F3837" s="88">
        <v>47812</v>
      </c>
      <c r="G3837" s="88" t="str" cm="1">
        <f t="array" ref="G383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AND(F3837&gt;= DATE(2026,1,1), F3837&lt;= DATE(2028, 12, 31), J3837&gt;50000), "Pendente e Caro", AND(F3837&gt;= DATE(2026,1,1), F3837&lt;= DATE(2028, 12, 31), J3837&lt;=50000), "Pendente", F3837&gt;= DATE(2029,1,1), "Não prioeitário")</f>
        <v>Não prioeitário</v>
      </c>
      <c r="H3837" s="89">
        <f>YEAR(Tabela1[[#This Row],[Data de Validade]])</f>
        <v>2030</v>
      </c>
      <c r="I3837" s="89">
        <f>MONTH(Tabela1[[#This Row],[Data de Validade]])</f>
        <v>11</v>
      </c>
      <c r="J3837" s="101">
        <v>36324</v>
      </c>
      <c r="K3837" s="87" t="s">
        <v>7</v>
      </c>
      <c r="L3837" s="108"/>
      <c r="M3837" s="108"/>
      <c r="N3837" s="108" t="str">
        <v>H721P935</v>
      </c>
      <c r="O3837" s="108">
        <f t="shared" si="61"/>
        <v>1</v>
      </c>
      <c r="P3837" s="108"/>
      <c r="Q3837"/>
    </row>
    <row r="3838" spans="1:17" x14ac:dyDescent="0.25">
      <c r="A3838" s="89" t="s">
        <v>9631</v>
      </c>
      <c r="B3838" s="87" t="s">
        <v>9632</v>
      </c>
      <c r="C3838" s="87" t="s">
        <v>8</v>
      </c>
      <c r="D3838" s="87" t="str">
        <f>VLOOKUP(Tabela1[[#This Row],[Origem]], 'Perguntas 1 a 24'!$J$28:$K$34, 2, 0)</f>
        <v>Nordeste</v>
      </c>
      <c r="E3838" s="87" t="str">
        <f>Tabela1[[#This Row],[Descrição]]&amp;"-"&amp;Tabela1[[#This Row],[Código]]&amp;"/"&amp;Tabela1[[#This Row],[Origem]]</f>
        <v>Rupofefu-H493H738/AL</v>
      </c>
      <c r="F3838" s="88">
        <v>47813</v>
      </c>
      <c r="G3838" s="88" t="str" cm="1">
        <f t="array" ref="G383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AND(F3838&gt;= DATE(2026,1,1), F3838&lt;= DATE(2028, 12, 31), J3838&gt;50000), "Pendente e Caro", AND(F3838&gt;= DATE(2026,1,1), F3838&lt;= DATE(2028, 12, 31), J3838&lt;=50000), "Pendente", F3838&gt;= DATE(2029,1,1), "Não prioeitário")</f>
        <v>Não prioeitário</v>
      </c>
      <c r="H3838" s="89">
        <f>YEAR(Tabela1[[#This Row],[Data de Validade]])</f>
        <v>2030</v>
      </c>
      <c r="I3838" s="89">
        <f>MONTH(Tabela1[[#This Row],[Data de Validade]])</f>
        <v>11</v>
      </c>
      <c r="J3838" s="101">
        <v>100185</v>
      </c>
      <c r="K3838" s="87" t="s">
        <v>9</v>
      </c>
      <c r="L3838" s="108"/>
      <c r="M3838" s="108"/>
      <c r="N3838" s="108" t="str">
        <v>P551H135</v>
      </c>
      <c r="O3838" s="108">
        <f t="shared" si="61"/>
        <v>1</v>
      </c>
      <c r="P3838" s="108"/>
      <c r="Q3838"/>
    </row>
    <row r="3839" spans="1:17" x14ac:dyDescent="0.25">
      <c r="A3839" s="89" t="s">
        <v>10121</v>
      </c>
      <c r="B3839" s="87" t="s">
        <v>10122</v>
      </c>
      <c r="C3839" s="87" t="s">
        <v>8</v>
      </c>
      <c r="D3839" s="87" t="str">
        <f>VLOOKUP(Tabela1[[#This Row],[Origem]], 'Perguntas 1 a 24'!$J$28:$K$34, 2, 0)</f>
        <v>Nordeste</v>
      </c>
      <c r="E3839" s="87" t="str">
        <f>Tabela1[[#This Row],[Descrição]]&amp;"-"&amp;Tabela1[[#This Row],[Código]]&amp;"/"&amp;Tabela1[[#This Row],[Origem]]</f>
        <v>Vutarimara-P577H565/AL</v>
      </c>
      <c r="F3839" s="88">
        <v>47813</v>
      </c>
      <c r="G3839" s="88" t="str" cm="1">
        <f t="array" ref="G383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AND(F3839&gt;= DATE(2026,1,1), F3839&lt;= DATE(2028, 12, 31), J3839&gt;50000), "Pendente e Caro", AND(F3839&gt;= DATE(2026,1,1), F3839&lt;= DATE(2028, 12, 31), J3839&lt;=50000), "Pendente", F3839&gt;= DATE(2029,1,1), "Não prioeitário")</f>
        <v>Não prioeitário</v>
      </c>
      <c r="H3839" s="89">
        <f>YEAR(Tabela1[[#This Row],[Data de Validade]])</f>
        <v>2030</v>
      </c>
      <c r="I3839" s="89">
        <f>MONTH(Tabela1[[#This Row],[Data de Validade]])</f>
        <v>11</v>
      </c>
      <c r="J3839" s="101">
        <v>97850</v>
      </c>
      <c r="K3839" s="87" t="s">
        <v>7</v>
      </c>
      <c r="L3839" s="108"/>
      <c r="M3839" s="108"/>
      <c r="N3839" s="108" t="str">
        <v>H429P414</v>
      </c>
      <c r="O3839" s="108">
        <f t="shared" si="61"/>
        <v>1</v>
      </c>
      <c r="P3839" s="108"/>
      <c r="Q3839"/>
    </row>
    <row r="3840" spans="1:17" x14ac:dyDescent="0.25">
      <c r="A3840" s="89" t="s">
        <v>5772</v>
      </c>
      <c r="B3840" s="87" t="s">
        <v>5773</v>
      </c>
      <c r="C3840" s="87" t="s">
        <v>15</v>
      </c>
      <c r="D3840" s="87" t="str">
        <f>VLOOKUP(Tabela1[[#This Row],[Origem]], 'Perguntas 1 a 24'!$J$28:$K$34, 2, 0)</f>
        <v>Sudeste</v>
      </c>
      <c r="E3840" s="87" t="str">
        <f>Tabela1[[#This Row],[Descrição]]&amp;"-"&amp;Tabela1[[#This Row],[Código]]&amp;"/"&amp;Tabela1[[#This Row],[Origem]]</f>
        <v>Dipali-H682H513/ES</v>
      </c>
      <c r="F3840" s="88">
        <v>47813</v>
      </c>
      <c r="G3840" s="88" t="str" cm="1">
        <f t="array" ref="G384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AND(F3840&gt;= DATE(2026,1,1), F3840&lt;= DATE(2028, 12, 31), J3840&gt;50000), "Pendente e Caro", AND(F3840&gt;= DATE(2026,1,1), F3840&lt;= DATE(2028, 12, 31), J3840&lt;=50000), "Pendente", F3840&gt;= DATE(2029,1,1), "Não prioeitário")</f>
        <v>Não prioeitário</v>
      </c>
      <c r="H3840" s="89">
        <f>YEAR(Tabela1[[#This Row],[Data de Validade]])</f>
        <v>2030</v>
      </c>
      <c r="I3840" s="89">
        <f>MONTH(Tabela1[[#This Row],[Data de Validade]])</f>
        <v>11</v>
      </c>
      <c r="J3840" s="101">
        <v>73841</v>
      </c>
      <c r="K3840" s="87" t="s">
        <v>11</v>
      </c>
      <c r="L3840" s="108"/>
      <c r="M3840" s="108"/>
      <c r="N3840" s="108" t="str">
        <v>P182P543</v>
      </c>
      <c r="O3840" s="108">
        <f t="shared" si="61"/>
        <v>1</v>
      </c>
      <c r="P3840" s="108"/>
      <c r="Q3840"/>
    </row>
    <row r="3841" spans="1:17" x14ac:dyDescent="0.25">
      <c r="A3841" s="89" t="s">
        <v>4199</v>
      </c>
      <c r="B3841" s="87" t="s">
        <v>4200</v>
      </c>
      <c r="C3841" s="87" t="s">
        <v>15</v>
      </c>
      <c r="D3841" s="87" t="str">
        <f>VLOOKUP(Tabela1[[#This Row],[Origem]], 'Perguntas 1 a 24'!$J$28:$K$34, 2, 0)</f>
        <v>Sudeste</v>
      </c>
      <c r="E3841" s="87" t="str">
        <f>Tabela1[[#This Row],[Descrição]]&amp;"-"&amp;Tabela1[[#This Row],[Código]]&amp;"/"&amp;Tabela1[[#This Row],[Origem]]</f>
        <v>Litetofadi-P484H525/ES</v>
      </c>
      <c r="F3841" s="88">
        <v>47814</v>
      </c>
      <c r="G3841" s="88" t="str" cm="1">
        <f t="array" ref="G384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AND(F3841&gt;= DATE(2026,1,1), F3841&lt;= DATE(2028, 12, 31), J3841&gt;50000), "Pendente e Caro", AND(F3841&gt;= DATE(2026,1,1), F3841&lt;= DATE(2028, 12, 31), J3841&lt;=50000), "Pendente", F3841&gt;= DATE(2029,1,1), "Não prioeitário")</f>
        <v>Não prioeitário</v>
      </c>
      <c r="H3841" s="89">
        <f>YEAR(Tabela1[[#This Row],[Data de Validade]])</f>
        <v>2030</v>
      </c>
      <c r="I3841" s="89">
        <f>MONTH(Tabela1[[#This Row],[Data de Validade]])</f>
        <v>11</v>
      </c>
      <c r="J3841" s="101">
        <v>74707</v>
      </c>
      <c r="K3841" s="87" t="s">
        <v>11</v>
      </c>
      <c r="L3841" s="108"/>
      <c r="M3841" s="108"/>
      <c r="N3841" s="108" t="str">
        <v>P577P867</v>
      </c>
      <c r="O3841" s="108">
        <f t="shared" si="61"/>
        <v>1</v>
      </c>
      <c r="P3841" s="108"/>
      <c r="Q3841"/>
    </row>
    <row r="3842" spans="1:17" x14ac:dyDescent="0.25">
      <c r="A3842" s="89" t="s">
        <v>8841</v>
      </c>
      <c r="B3842" s="87" t="s">
        <v>8842</v>
      </c>
      <c r="C3842" s="87" t="s">
        <v>10</v>
      </c>
      <c r="D3842" s="87" t="str">
        <f>VLOOKUP(Tabela1[[#This Row],[Origem]], 'Perguntas 1 a 24'!$J$28:$K$34, 2, 0)</f>
        <v>Centro-Oeste</v>
      </c>
      <c r="E3842" s="87" t="str">
        <f>Tabela1[[#This Row],[Descrição]]&amp;"-"&amp;Tabela1[[#This Row],[Código]]&amp;"/"&amp;Tabela1[[#This Row],[Origem]]</f>
        <v>Gometipu-H384P723/GO</v>
      </c>
      <c r="F3842" s="88">
        <v>47814</v>
      </c>
      <c r="G3842" s="88" t="str" cm="1">
        <f t="array" ref="G384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AND(F3842&gt;= DATE(2026,1,1), F3842&lt;= DATE(2028, 12, 31), J3842&gt;50000), "Pendente e Caro", AND(F3842&gt;= DATE(2026,1,1), F3842&lt;= DATE(2028, 12, 31), J3842&lt;=50000), "Pendente", F3842&gt;= DATE(2029,1,1), "Não prioeitário")</f>
        <v>Não prioeitário</v>
      </c>
      <c r="H3842" s="89">
        <f>YEAR(Tabela1[[#This Row],[Data de Validade]])</f>
        <v>2030</v>
      </c>
      <c r="I3842" s="89">
        <f>MONTH(Tabela1[[#This Row],[Data de Validade]])</f>
        <v>11</v>
      </c>
      <c r="J3842" s="101">
        <v>39330</v>
      </c>
      <c r="K3842" s="87" t="s">
        <v>7</v>
      </c>
      <c r="L3842" s="108"/>
      <c r="M3842" s="108"/>
      <c r="N3842" s="108" t="str">
        <v>P461H612</v>
      </c>
      <c r="O3842" s="108">
        <f t="shared" si="61"/>
        <v>1</v>
      </c>
      <c r="P3842" s="108"/>
      <c r="Q3842"/>
    </row>
    <row r="3843" spans="1:17" x14ac:dyDescent="0.25">
      <c r="A3843" s="89" t="s">
        <v>10575</v>
      </c>
      <c r="B3843" s="87" t="s">
        <v>10576</v>
      </c>
      <c r="C3843" s="87" t="s">
        <v>13</v>
      </c>
      <c r="D3843" s="87" t="str">
        <f>VLOOKUP(Tabela1[[#This Row],[Origem]], 'Perguntas 1 a 24'!$J$28:$K$34, 2, 0)</f>
        <v>Sudeste</v>
      </c>
      <c r="E3843" s="87" t="str">
        <f>Tabela1[[#This Row],[Descrição]]&amp;"-"&amp;Tabela1[[#This Row],[Código]]&amp;"/"&amp;Tabela1[[#This Row],[Origem]]</f>
        <v>Cupara-P724P994/SP</v>
      </c>
      <c r="F3843" s="88">
        <v>47815</v>
      </c>
      <c r="G3843" s="88" t="str" cm="1">
        <f t="array" ref="G384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AND(F3843&gt;= DATE(2026,1,1), F3843&lt;= DATE(2028, 12, 31), J3843&gt;50000), "Pendente e Caro", AND(F3843&gt;= DATE(2026,1,1), F3843&lt;= DATE(2028, 12, 31), J3843&lt;=50000), "Pendente", F3843&gt;= DATE(2029,1,1), "Não prioeitário")</f>
        <v>Não prioeitário</v>
      </c>
      <c r="H3843" s="89">
        <f>YEAR(Tabela1[[#This Row],[Data de Validade]])</f>
        <v>2030</v>
      </c>
      <c r="I3843" s="89">
        <f>MONTH(Tabela1[[#This Row],[Data de Validade]])</f>
        <v>11</v>
      </c>
      <c r="J3843" s="101">
        <v>60286</v>
      </c>
      <c r="K3843" s="87" t="s">
        <v>14</v>
      </c>
      <c r="L3843" s="108"/>
      <c r="M3843" s="108"/>
      <c r="N3843" s="108" t="str">
        <v>P276P477</v>
      </c>
      <c r="O3843" s="108">
        <f t="shared" ref="O3843:O3844" si="62">COUNTIFS(B:B,N3843)</f>
        <v>1</v>
      </c>
      <c r="P3843" s="108"/>
      <c r="Q3843"/>
    </row>
    <row r="3844" spans="1:17" x14ac:dyDescent="0.25">
      <c r="A3844" s="89" t="s">
        <v>5024</v>
      </c>
      <c r="B3844" s="87" t="s">
        <v>5025</v>
      </c>
      <c r="C3844" s="87" t="s">
        <v>12</v>
      </c>
      <c r="D3844" s="87" t="str">
        <f>VLOOKUP(Tabela1[[#This Row],[Origem]], 'Perguntas 1 a 24'!$J$28:$K$34, 2, 0)</f>
        <v>Sudeste</v>
      </c>
      <c r="E3844" s="87" t="str">
        <f>Tabela1[[#This Row],[Descrição]]&amp;"-"&amp;Tabela1[[#This Row],[Código]]&amp;"/"&amp;Tabela1[[#This Row],[Origem]]</f>
        <v>Dimuvime-H596P577/RJ</v>
      </c>
      <c r="F3844" s="88">
        <v>47815</v>
      </c>
      <c r="G3844" s="88" t="str" cm="1">
        <f t="array" ref="G384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AND(F3844&gt;= DATE(2026,1,1), F3844&lt;= DATE(2028, 12, 31), J3844&gt;50000), "Pendente e Caro", AND(F3844&gt;= DATE(2026,1,1), F3844&lt;= DATE(2028, 12, 31), J3844&lt;=50000), "Pendente", F3844&gt;= DATE(2029,1,1), "Não prioeitário")</f>
        <v>Não prioeitário</v>
      </c>
      <c r="H3844" s="89">
        <f>YEAR(Tabela1[[#This Row],[Data de Validade]])</f>
        <v>2030</v>
      </c>
      <c r="I3844" s="89">
        <f>MONTH(Tabela1[[#This Row],[Data de Validade]])</f>
        <v>11</v>
      </c>
      <c r="J3844" s="101">
        <v>22548</v>
      </c>
      <c r="K3844" s="87" t="s">
        <v>11</v>
      </c>
      <c r="L3844" s="108"/>
      <c r="M3844" s="108"/>
      <c r="N3844" s="108">
        <v>0</v>
      </c>
      <c r="O3844" s="108">
        <f t="shared" si="62"/>
        <v>0</v>
      </c>
      <c r="P3844" s="108"/>
      <c r="Q3844"/>
    </row>
    <row r="3845" spans="1:17" x14ac:dyDescent="0.25">
      <c r="A3845" s="89" t="s">
        <v>7952</v>
      </c>
      <c r="B3845" s="87" t="s">
        <v>7953</v>
      </c>
      <c r="C3845" s="87" t="s">
        <v>6</v>
      </c>
      <c r="D3845" s="87" t="str">
        <f>VLOOKUP(Tabela1[[#This Row],[Origem]], 'Perguntas 1 a 24'!$J$28:$K$34, 2, 0)</f>
        <v>Nordeste</v>
      </c>
      <c r="E3845" s="87" t="str">
        <f>Tabela1[[#This Row],[Descrição]]&amp;"-"&amp;Tabela1[[#This Row],[Código]]&amp;"/"&amp;Tabela1[[#This Row],[Origem]]</f>
        <v>Ciculi-H719P191/MA</v>
      </c>
      <c r="F3845" s="88">
        <v>47817</v>
      </c>
      <c r="G3845" s="88" t="str" cm="1">
        <f t="array" ref="G384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AND(F3845&gt;= DATE(2026,1,1), F3845&lt;= DATE(2028, 12, 31), J3845&gt;50000), "Pendente e Caro", AND(F3845&gt;= DATE(2026,1,1), F3845&lt;= DATE(2028, 12, 31), J3845&lt;=50000), "Pendente", F3845&gt;= DATE(2029,1,1), "Não prioeitário")</f>
        <v>Não prioeitário</v>
      </c>
      <c r="H3845" s="89">
        <f>YEAR(Tabela1[[#This Row],[Data de Validade]])</f>
        <v>2030</v>
      </c>
      <c r="I3845" s="89">
        <f>MONTH(Tabela1[[#This Row],[Data de Validade]])</f>
        <v>11</v>
      </c>
      <c r="J3845" s="101">
        <v>71304</v>
      </c>
      <c r="K3845" s="87" t="s">
        <v>11</v>
      </c>
      <c r="L3845" s="108"/>
      <c r="M3845" s="108"/>
      <c r="N3845" s="108"/>
      <c r="O3845" s="108"/>
      <c r="P3845" s="108"/>
      <c r="Q3845"/>
    </row>
    <row r="3846" spans="1:17" x14ac:dyDescent="0.25">
      <c r="A3846" s="89" t="s">
        <v>7762</v>
      </c>
      <c r="B3846" s="87" t="s">
        <v>7763</v>
      </c>
      <c r="C3846" s="87" t="s">
        <v>10</v>
      </c>
      <c r="D3846" s="87" t="str">
        <f>VLOOKUP(Tabela1[[#This Row],[Origem]], 'Perguntas 1 a 24'!$J$28:$K$34, 2, 0)</f>
        <v>Centro-Oeste</v>
      </c>
      <c r="E3846" s="87" t="str">
        <f>Tabela1[[#This Row],[Descrição]]&amp;"-"&amp;Tabela1[[#This Row],[Código]]&amp;"/"&amp;Tabela1[[#This Row],[Origem]]</f>
        <v>Togupori-H947P779/GO</v>
      </c>
      <c r="F3846" s="88">
        <v>47817</v>
      </c>
      <c r="G3846" s="88" t="str" cm="1">
        <f t="array" ref="G384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AND(F3846&gt;= DATE(2026,1,1), F3846&lt;= DATE(2028, 12, 31), J3846&gt;50000), "Pendente e Caro", AND(F3846&gt;= DATE(2026,1,1), F3846&lt;= DATE(2028, 12, 31), J3846&lt;=50000), "Pendente", F3846&gt;= DATE(2029,1,1), "Não prioeitário")</f>
        <v>Não prioeitário</v>
      </c>
      <c r="H3846" s="89">
        <f>YEAR(Tabela1[[#This Row],[Data de Validade]])</f>
        <v>2030</v>
      </c>
      <c r="I3846" s="89">
        <f>MONTH(Tabela1[[#This Row],[Data de Validade]])</f>
        <v>11</v>
      </c>
      <c r="J3846" s="101">
        <v>29933</v>
      </c>
      <c r="K3846" s="87" t="s">
        <v>14</v>
      </c>
      <c r="L3846" s="108"/>
      <c r="M3846" s="108"/>
      <c r="N3846" s="108"/>
      <c r="O3846" s="108"/>
      <c r="P3846" s="108"/>
      <c r="Q3846"/>
    </row>
    <row r="3847" spans="1:17" x14ac:dyDescent="0.25">
      <c r="A3847" s="89" t="s">
        <v>3876</v>
      </c>
      <c r="B3847" s="87" t="s">
        <v>3877</v>
      </c>
      <c r="C3847" s="87" t="s">
        <v>6</v>
      </c>
      <c r="D3847" s="87" t="str">
        <f>VLOOKUP(Tabela1[[#This Row],[Origem]], 'Perguntas 1 a 24'!$J$28:$K$34, 2, 0)</f>
        <v>Nordeste</v>
      </c>
      <c r="E3847" s="87" t="str">
        <f>Tabela1[[#This Row],[Descrição]]&amp;"-"&amp;Tabela1[[#This Row],[Código]]&amp;"/"&amp;Tabela1[[#This Row],[Origem]]</f>
        <v>Poputa-P347H837/MA</v>
      </c>
      <c r="F3847" s="88">
        <v>47818</v>
      </c>
      <c r="G3847" s="88" t="str" cm="1">
        <f t="array" ref="G3847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AND(F3847&gt;= DATE(2026,1,1), F3847&lt;= DATE(2028, 12, 31), J3847&gt;50000), "Pendente e Caro", AND(F3847&gt;= DATE(2026,1,1), F3847&lt;= DATE(2028, 12, 31), J3847&lt;=50000), "Pendente", F3847&gt;= DATE(2029,1,1), "Não prioeitário")</f>
        <v>Não prioeitário</v>
      </c>
      <c r="H3847" s="89">
        <f>YEAR(Tabela1[[#This Row],[Data de Validade]])</f>
        <v>2030</v>
      </c>
      <c r="I3847" s="89">
        <f>MONTH(Tabela1[[#This Row],[Data de Validade]])</f>
        <v>12</v>
      </c>
      <c r="J3847" s="101">
        <v>60007</v>
      </c>
      <c r="K3847" s="87" t="s">
        <v>14</v>
      </c>
      <c r="L3847" s="108"/>
      <c r="M3847" s="108"/>
      <c r="N3847" s="108"/>
      <c r="O3847" s="108"/>
      <c r="P3847" s="108"/>
      <c r="Q3847"/>
    </row>
    <row r="3848" spans="1:17" x14ac:dyDescent="0.25">
      <c r="A3848" s="89" t="s">
        <v>4574</v>
      </c>
      <c r="B3848" s="87" t="s">
        <v>4575</v>
      </c>
      <c r="C3848" s="87" t="s">
        <v>16</v>
      </c>
      <c r="D3848" s="87" t="str">
        <f>VLOOKUP(Tabela1[[#This Row],[Origem]], 'Perguntas 1 a 24'!$J$28:$K$34, 2, 0)</f>
        <v>Sudeste</v>
      </c>
      <c r="E3848" s="87" t="str">
        <f>Tabela1[[#This Row],[Descrição]]&amp;"-"&amp;Tabela1[[#This Row],[Código]]&amp;"/"&amp;Tabela1[[#This Row],[Origem]]</f>
        <v>Poruritimi-P563P261/MG</v>
      </c>
      <c r="F3848" s="88">
        <v>47818</v>
      </c>
      <c r="G3848" s="88" t="str" cm="1">
        <f t="array" ref="G3848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AND(F3848&gt;= DATE(2026,1,1), F3848&lt;= DATE(2028, 12, 31), J3848&gt;50000), "Pendente e Caro", AND(F3848&gt;= DATE(2026,1,1), F3848&lt;= DATE(2028, 12, 31), J3848&lt;=50000), "Pendente", F3848&gt;= DATE(2029,1,1), "Não prioeitário")</f>
        <v>Não prioeitário</v>
      </c>
      <c r="H3848" s="89">
        <f>YEAR(Tabela1[[#This Row],[Data de Validade]])</f>
        <v>2030</v>
      </c>
      <c r="I3848" s="89">
        <f>MONTH(Tabela1[[#This Row],[Data de Validade]])</f>
        <v>12</v>
      </c>
      <c r="J3848" s="101">
        <v>54354</v>
      </c>
      <c r="K3848" s="87" t="s">
        <v>14</v>
      </c>
      <c r="L3848" s="108"/>
      <c r="M3848" s="108"/>
      <c r="N3848" s="108"/>
      <c r="O3848" s="108"/>
      <c r="P3848" s="108"/>
      <c r="Q3848"/>
    </row>
    <row r="3849" spans="1:17" x14ac:dyDescent="0.25">
      <c r="A3849" s="89" t="s">
        <v>9155</v>
      </c>
      <c r="B3849" s="87" t="s">
        <v>9156</v>
      </c>
      <c r="C3849" s="87" t="s">
        <v>10</v>
      </c>
      <c r="D3849" s="87" t="str">
        <f>VLOOKUP(Tabela1[[#This Row],[Origem]], 'Perguntas 1 a 24'!$J$28:$K$34, 2, 0)</f>
        <v>Centro-Oeste</v>
      </c>
      <c r="E3849" s="87" t="str">
        <f>Tabela1[[#This Row],[Descrição]]&amp;"-"&amp;Tabela1[[#This Row],[Código]]&amp;"/"&amp;Tabela1[[#This Row],[Origem]]</f>
        <v>Pilipudutu-H377H966/GO</v>
      </c>
      <c r="F3849" s="88">
        <v>47819</v>
      </c>
      <c r="G3849" s="88" t="str" cm="1">
        <f t="array" ref="G3849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AND(F3849&gt;= DATE(2026,1,1), F3849&lt;= DATE(2028, 12, 31), J3849&gt;50000), "Pendente e Caro", AND(F3849&gt;= DATE(2026,1,1), F3849&lt;= DATE(2028, 12, 31), J3849&lt;=50000), "Pendente", F3849&gt;= DATE(2029,1,1), "Não prioeitário")</f>
        <v>Não prioeitário</v>
      </c>
      <c r="H3849" s="89">
        <f>YEAR(Tabela1[[#This Row],[Data de Validade]])</f>
        <v>2030</v>
      </c>
      <c r="I3849" s="89">
        <f>MONTH(Tabela1[[#This Row],[Data de Validade]])</f>
        <v>12</v>
      </c>
      <c r="J3849" s="101">
        <v>85095</v>
      </c>
      <c r="K3849" s="87" t="s">
        <v>11</v>
      </c>
      <c r="L3849" s="108"/>
      <c r="M3849" s="108"/>
      <c r="N3849" s="108"/>
      <c r="O3849" s="108"/>
      <c r="P3849" s="108"/>
      <c r="Q3849"/>
    </row>
    <row r="3850" spans="1:17" x14ac:dyDescent="0.25">
      <c r="A3850" s="89" t="s">
        <v>10879</v>
      </c>
      <c r="B3850" s="87" t="s">
        <v>10880</v>
      </c>
      <c r="C3850" s="87" t="s">
        <v>16</v>
      </c>
      <c r="D3850" s="87" t="str">
        <f>VLOOKUP(Tabela1[[#This Row],[Origem]], 'Perguntas 1 a 24'!$J$28:$K$34, 2, 0)</f>
        <v>Sudeste</v>
      </c>
      <c r="E3850" s="87" t="str">
        <f>Tabela1[[#This Row],[Descrição]]&amp;"-"&amp;Tabela1[[#This Row],[Código]]&amp;"/"&amp;Tabela1[[#This Row],[Origem]]</f>
        <v>Teludife-H721P935/MG</v>
      </c>
      <c r="F3850" s="88">
        <v>47819</v>
      </c>
      <c r="G3850" s="88" t="str" cm="1">
        <f t="array" ref="G3850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AND(F3850&gt;= DATE(2026,1,1), F3850&lt;= DATE(2028, 12, 31), J3850&gt;50000), "Pendente e Caro", AND(F3850&gt;= DATE(2026,1,1), F3850&lt;= DATE(2028, 12, 31), J3850&lt;=50000), "Pendente", F3850&gt;= DATE(2029,1,1), "Não prioeitário")</f>
        <v>Não prioeitário</v>
      </c>
      <c r="H3850" s="89">
        <f>YEAR(Tabela1[[#This Row],[Data de Validade]])</f>
        <v>2030</v>
      </c>
      <c r="I3850" s="89">
        <f>MONTH(Tabela1[[#This Row],[Data de Validade]])</f>
        <v>12</v>
      </c>
      <c r="J3850" s="101">
        <v>80868</v>
      </c>
      <c r="K3850" s="87" t="s">
        <v>11</v>
      </c>
      <c r="L3850" s="108"/>
      <c r="M3850" s="108"/>
      <c r="N3850" s="108"/>
      <c r="O3850" s="108"/>
      <c r="P3850" s="108"/>
      <c r="Q3850"/>
    </row>
    <row r="3851" spans="1:17" x14ac:dyDescent="0.25">
      <c r="A3851" s="89" t="s">
        <v>5370</v>
      </c>
      <c r="B3851" s="87" t="s">
        <v>5371</v>
      </c>
      <c r="C3851" s="87" t="s">
        <v>8</v>
      </c>
      <c r="D3851" s="87" t="str">
        <f>VLOOKUP(Tabela1[[#This Row],[Origem]], 'Perguntas 1 a 24'!$J$28:$K$34, 2, 0)</f>
        <v>Nordeste</v>
      </c>
      <c r="E3851" s="87" t="str">
        <f>Tabela1[[#This Row],[Descrição]]&amp;"-"&amp;Tabela1[[#This Row],[Código]]&amp;"/"&amp;Tabela1[[#This Row],[Origem]]</f>
        <v>Comecope-P551H135/AL</v>
      </c>
      <c r="F3851" s="88">
        <v>47819</v>
      </c>
      <c r="G3851" s="88" t="str" cm="1">
        <f t="array" ref="G3851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AND(F3851&gt;= DATE(2026,1,1), F3851&lt;= DATE(2028, 12, 31), J3851&gt;50000), "Pendente e Caro", AND(F3851&gt;= DATE(2026,1,1), F3851&lt;= DATE(2028, 12, 31), J3851&lt;=50000), "Pendente", F3851&gt;= DATE(2029,1,1), "Não prioeitário")</f>
        <v>Não prioeitário</v>
      </c>
      <c r="H3851" s="89">
        <f>YEAR(Tabela1[[#This Row],[Data de Validade]])</f>
        <v>2030</v>
      </c>
      <c r="I3851" s="89">
        <f>MONTH(Tabela1[[#This Row],[Data de Validade]])</f>
        <v>12</v>
      </c>
      <c r="J3851" s="101">
        <v>47577</v>
      </c>
      <c r="K3851" s="87" t="s">
        <v>9</v>
      </c>
      <c r="L3851" s="108"/>
      <c r="M3851" s="108"/>
      <c r="N3851" s="108"/>
      <c r="O3851" s="108"/>
      <c r="P3851" s="108"/>
      <c r="Q3851"/>
    </row>
    <row r="3852" spans="1:17" x14ac:dyDescent="0.25">
      <c r="A3852" s="89" t="s">
        <v>6810</v>
      </c>
      <c r="B3852" s="87" t="s">
        <v>6811</v>
      </c>
      <c r="C3852" s="87" t="s">
        <v>6</v>
      </c>
      <c r="D3852" s="87" t="str">
        <f>VLOOKUP(Tabela1[[#This Row],[Origem]], 'Perguntas 1 a 24'!$J$28:$K$34, 2, 0)</f>
        <v>Nordeste</v>
      </c>
      <c r="E3852" s="87" t="str">
        <f>Tabela1[[#This Row],[Descrição]]&amp;"-"&amp;Tabela1[[#This Row],[Código]]&amp;"/"&amp;Tabela1[[#This Row],[Origem]]</f>
        <v>Dipumu-H429P414/MA</v>
      </c>
      <c r="F3852" s="88">
        <v>47820</v>
      </c>
      <c r="G3852" s="88" t="str" cm="1">
        <f t="array" ref="G3852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AND(F3852&gt;= DATE(2026,1,1), F3852&lt;= DATE(2028, 12, 31), J3852&gt;50000), "Pendente e Caro", AND(F3852&gt;= DATE(2026,1,1), F3852&lt;= DATE(2028, 12, 31), J3852&lt;=50000), "Pendente", F3852&gt;= DATE(2029,1,1), "Não prioeitário")</f>
        <v>Não prioeitário</v>
      </c>
      <c r="H3852" s="89">
        <f>YEAR(Tabela1[[#This Row],[Data de Validade]])</f>
        <v>2030</v>
      </c>
      <c r="I3852" s="89">
        <f>MONTH(Tabela1[[#This Row],[Data de Validade]])</f>
        <v>12</v>
      </c>
      <c r="J3852" s="101">
        <v>106881</v>
      </c>
      <c r="K3852" s="87" t="s">
        <v>7</v>
      </c>
      <c r="L3852" s="108"/>
      <c r="M3852" s="108"/>
      <c r="N3852" s="108"/>
      <c r="O3852" s="108"/>
      <c r="P3852" s="108"/>
      <c r="Q3852"/>
    </row>
    <row r="3853" spans="1:17" x14ac:dyDescent="0.25">
      <c r="A3853" s="89" t="s">
        <v>5576</v>
      </c>
      <c r="B3853" s="87" t="s">
        <v>5577</v>
      </c>
      <c r="C3853" s="87" t="s">
        <v>16</v>
      </c>
      <c r="D3853" s="87" t="str">
        <f>VLOOKUP(Tabela1[[#This Row],[Origem]], 'Perguntas 1 a 24'!$J$28:$K$34, 2, 0)</f>
        <v>Sudeste</v>
      </c>
      <c r="E3853" s="87" t="str">
        <f>Tabela1[[#This Row],[Descrição]]&amp;"-"&amp;Tabela1[[#This Row],[Código]]&amp;"/"&amp;Tabela1[[#This Row],[Origem]]</f>
        <v>Tapavucome-P182P543/MG</v>
      </c>
      <c r="F3853" s="88">
        <v>47821</v>
      </c>
      <c r="G3853" s="88" t="str" cm="1">
        <f t="array" ref="G3853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AND(F3853&gt;= DATE(2026,1,1), F3853&lt;= DATE(2028, 12, 31), J3853&gt;50000), "Pendente e Caro", AND(F3853&gt;= DATE(2026,1,1), F3853&lt;= DATE(2028, 12, 31), J3853&lt;=50000), "Pendente", F3853&gt;= DATE(2029,1,1), "Não prioeitário")</f>
        <v>Não prioeitário</v>
      </c>
      <c r="H3853" s="89">
        <f>YEAR(Tabela1[[#This Row],[Data de Validade]])</f>
        <v>2030</v>
      </c>
      <c r="I3853" s="89">
        <f>MONTH(Tabela1[[#This Row],[Data de Validade]])</f>
        <v>12</v>
      </c>
      <c r="J3853" s="101">
        <v>77032</v>
      </c>
      <c r="K3853" s="87" t="s">
        <v>14</v>
      </c>
      <c r="L3853" s="108"/>
      <c r="M3853" s="108"/>
      <c r="N3853" s="108"/>
      <c r="O3853" s="108"/>
      <c r="P3853" s="108"/>
      <c r="Q3853"/>
    </row>
    <row r="3854" spans="1:17" x14ac:dyDescent="0.25">
      <c r="A3854" s="89" t="s">
        <v>8024</v>
      </c>
      <c r="B3854" s="87" t="s">
        <v>8025</v>
      </c>
      <c r="C3854" s="87" t="s">
        <v>8</v>
      </c>
      <c r="D3854" s="87" t="str">
        <f>VLOOKUP(Tabela1[[#This Row],[Origem]], 'Perguntas 1 a 24'!$J$28:$K$34, 2, 0)</f>
        <v>Nordeste</v>
      </c>
      <c r="E3854" s="87" t="str">
        <f>Tabela1[[#This Row],[Descrição]]&amp;"-"&amp;Tabela1[[#This Row],[Código]]&amp;"/"&amp;Tabela1[[#This Row],[Origem]]</f>
        <v>Toperuvutu-P577P867/AL</v>
      </c>
      <c r="F3854" s="88">
        <v>47821</v>
      </c>
      <c r="G3854" s="88" t="str" cm="1">
        <f t="array" ref="G3854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AND(F3854&gt;= DATE(2026,1,1), F3854&lt;= DATE(2028, 12, 31), J3854&gt;50000), "Pendente e Caro", AND(F3854&gt;= DATE(2026,1,1), F3854&lt;= DATE(2028, 12, 31), J3854&lt;=50000), "Pendente", F3854&gt;= DATE(2029,1,1), "Não prioeitário")</f>
        <v>Não prioeitário</v>
      </c>
      <c r="H3854" s="89">
        <f>YEAR(Tabela1[[#This Row],[Data de Validade]])</f>
        <v>2030</v>
      </c>
      <c r="I3854" s="89">
        <f>MONTH(Tabela1[[#This Row],[Data de Validade]])</f>
        <v>12</v>
      </c>
      <c r="J3854" s="101">
        <v>39965</v>
      </c>
      <c r="K3854" s="87" t="s">
        <v>7</v>
      </c>
      <c r="L3854" s="108"/>
      <c r="M3854" s="108"/>
      <c r="N3854" s="108"/>
      <c r="O3854" s="108"/>
      <c r="P3854" s="108"/>
      <c r="Q3854"/>
    </row>
    <row r="3855" spans="1:17" x14ac:dyDescent="0.25">
      <c r="A3855" s="89" t="s">
        <v>4086</v>
      </c>
      <c r="B3855" s="87" t="s">
        <v>4087</v>
      </c>
      <c r="C3855" s="87" t="s">
        <v>15</v>
      </c>
      <c r="D3855" s="87" t="str">
        <f>VLOOKUP(Tabela1[[#This Row],[Origem]], 'Perguntas 1 a 24'!$J$28:$K$34, 2, 0)</f>
        <v>Sudeste</v>
      </c>
      <c r="E3855" s="87" t="str">
        <f>Tabela1[[#This Row],[Descrição]]&amp;"-"&amp;Tabela1[[#This Row],[Código]]&amp;"/"&amp;Tabela1[[#This Row],[Origem]]</f>
        <v>Gipuri-P461H612/ES</v>
      </c>
      <c r="F3855" s="88">
        <v>47822</v>
      </c>
      <c r="G3855" s="88" t="str" cm="1">
        <f t="array" ref="G3855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AND(F3855&gt;= DATE(2026,1,1), F3855&lt;= DATE(2028, 12, 31), J3855&gt;50000), "Pendente e Caro", AND(F3855&gt;= DATE(2026,1,1), F3855&lt;= DATE(2028, 12, 31), J3855&lt;=50000), "Pendente", F3855&gt;= DATE(2029,1,1), "Não prioeitário")</f>
        <v>Não prioeitário</v>
      </c>
      <c r="H3855" s="89">
        <f>YEAR(Tabela1[[#This Row],[Data de Validade]])</f>
        <v>2030</v>
      </c>
      <c r="I3855" s="89">
        <f>MONTH(Tabela1[[#This Row],[Data de Validade]])</f>
        <v>12</v>
      </c>
      <c r="J3855" s="101">
        <v>50344</v>
      </c>
      <c r="K3855" s="87" t="s">
        <v>9</v>
      </c>
      <c r="L3855" s="108"/>
      <c r="M3855" s="108"/>
      <c r="N3855" s="108"/>
      <c r="O3855" s="108"/>
      <c r="P3855" s="108"/>
      <c r="Q3855"/>
    </row>
    <row r="3856" spans="1:17" x14ac:dyDescent="0.25">
      <c r="A3856" s="89" t="s">
        <v>6182</v>
      </c>
      <c r="B3856" s="87" t="s">
        <v>6183</v>
      </c>
      <c r="C3856" s="87" t="s">
        <v>15</v>
      </c>
      <c r="D3856" s="87" t="str">
        <f>VLOOKUP(Tabela1[[#This Row],[Origem]], 'Perguntas 1 a 24'!$J$28:$K$34, 2, 0)</f>
        <v>Sudeste</v>
      </c>
      <c r="E3856" s="87" t="str">
        <f>Tabela1[[#This Row],[Descrição]]&amp;"-"&amp;Tabela1[[#This Row],[Código]]&amp;"/"&amp;Tabela1[[#This Row],[Origem]]</f>
        <v>Docimepepo-P276P477/ES</v>
      </c>
      <c r="F3856" s="88">
        <v>47822</v>
      </c>
      <c r="G3856" s="88" t="str" cm="1">
        <f t="array" ref="G3856">_xlfn.IFS(AND(Tabela1[[#This Row],[Data de Validade]]&lt;= DATE(2025, 12, 31), Tabela1[[#This Row],[Custo de Produção]]&gt;50000), "Urgente e Caro", AND(Tabela1[[#This Row],[Data de Validade]]&lt;= DATE(2025, 12, 31), Tabela1[[#This Row],[Custo de Produção]]&lt;= 50000), "Urgente", AND(F3856&gt;= DATE(2026,1,1), F3856&lt;= DATE(2028, 12, 31), J3856&gt;50000), "Pendente e Caro", AND(F3856&gt;= DATE(2026,1,1), F3856&lt;= DATE(2028, 12, 31), J3856&lt;=50000), "Pendente", F3856&gt;= DATE(2029,1,1), "Não prioeitário")</f>
        <v>Não prioeitário</v>
      </c>
      <c r="H3856" s="89">
        <f>YEAR(Tabela1[[#This Row],[Data de Validade]])</f>
        <v>2030</v>
      </c>
      <c r="I3856" s="89">
        <f>MONTH(Tabela1[[#This Row],[Data de Validade]])</f>
        <v>12</v>
      </c>
      <c r="J3856" s="101">
        <v>29585</v>
      </c>
      <c r="K3856" s="87" t="s">
        <v>7</v>
      </c>
      <c r="L3856" s="108"/>
      <c r="M3856" s="108"/>
      <c r="N3856" s="108"/>
      <c r="O3856" s="108"/>
      <c r="P3856" s="108"/>
      <c r="Q3856"/>
    </row>
    <row r="3857" spans="17:17" x14ac:dyDescent="0.25">
      <c r="Q3857"/>
    </row>
  </sheetData>
  <autoFilter ref="N1:O3844" xr:uid="{C79AACDA-4FDC-4DB6-BF1C-1E02A01F8F24}"/>
  <sortState xmlns:xlrd2="http://schemas.microsoft.com/office/spreadsheetml/2017/richdata2" ref="V2:V3855">
    <sortCondition descending="1" ref="V2:V3855"/>
  </sortState>
  <mergeCells count="6">
    <mergeCell ref="S22:V22"/>
    <mergeCell ref="Y8:AB8"/>
    <mergeCell ref="S9:V9"/>
    <mergeCell ref="R5:V5"/>
    <mergeCell ref="U1:Y1"/>
    <mergeCell ref="R1:S1"/>
  </mergeCells>
  <conditionalFormatting sqref="A1:K1048576">
    <cfRule type="expression" dxfId="9" priority="7">
      <formula>$K1="Espanha"</formula>
    </cfRule>
    <cfRule type="expression" dxfId="8" priority="8">
      <formula>$K1= "Austrália"</formula>
    </cfRule>
    <cfRule type="expression" dxfId="7" priority="9">
      <formula>$K1= "Holanda"</formula>
    </cfRule>
    <cfRule type="expression" dxfId="6" priority="10">
      <formula>$K1="Panamá"</formula>
    </cfRule>
  </conditionalFormatting>
  <dataValidations count="3">
    <dataValidation type="list" allowBlank="1" showInputMessage="1" showErrorMessage="1" sqref="S2" xr:uid="{85CDEB03-A561-4632-AA4A-D284A3032B99}">
      <formula1>$K$2:$K$3856</formula1>
    </dataValidation>
    <dataValidation type="list" allowBlank="1" showInputMessage="1" showErrorMessage="1" sqref="S3" xr:uid="{0516C2CE-54F9-4958-A7F0-EBE4EB997CBF}">
      <formula1>$H$2:$H$3856</formula1>
    </dataValidation>
    <dataValidation type="date" operator="greaterThanOrEqual" allowBlank="1" showInputMessage="1" showErrorMessage="1" errorTitle="ATENÇÃO!" error="São só permitidos datas a partir do ano de 2024" sqref="F2:F3856" xr:uid="{F677A25E-E52B-4DEE-B6C6-248476B24707}">
      <formula1>45292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6550F957-6CD2-4ECE-8C67-040875CBBFDE}">
            <x14:iconSet custom="1">
              <x14:cfvo type="percent">
                <xm:f>0</xm:f>
              </x14:cfvo>
              <x14:cfvo type="num">
                <xm:f>50000</xm:f>
              </x14:cfvo>
              <x14:cfvo type="num">
                <xm:f>100000</xm:f>
              </x14:cfvo>
              <x14:cfIcon iconSet="3TrafficLights1" iconId="2"/>
              <x14:cfIcon iconSet="3TrafficLights1" iconId="1"/>
              <x14:cfIcon iconSet="3TrafficLights1" iconId="0"/>
            </x14:iconSet>
          </x14:cfRule>
          <xm:sqref>J1:J1048576</xm:sqref>
        </x14:conditionalFormatting>
      </x14:conditionalFormattings>
    </ext>
    <ext xmlns:x15="http://schemas.microsoft.com/office/spreadsheetml/2010/11/main" uri="{3A4CF648-6AED-40f4-86FF-DC5316D8AED3}">
      <x14:slicerList xmlns:x14="http://schemas.microsoft.com/office/spreadsheetml/2009/9/main">
        <x14:slicer r:id="rId3"/>
      </x14:slicerList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0BD6C-5498-4089-9CF1-B7A2A2FCA887}">
  <sheetPr>
    <tabColor rgb="FF002060"/>
  </sheetPr>
  <dimension ref="B2:V82"/>
  <sheetViews>
    <sheetView showGridLines="0" topLeftCell="A52" zoomScale="115" zoomScaleNormal="115" workbookViewId="0">
      <selection activeCell="J67" sqref="J67:N72"/>
    </sheetView>
  </sheetViews>
  <sheetFormatPr defaultRowHeight="15" x14ac:dyDescent="0.25"/>
  <cols>
    <col min="1" max="1" width="0.5703125" customWidth="1"/>
    <col min="2" max="2" width="6.42578125" customWidth="1"/>
    <col min="3" max="3" width="27.85546875" customWidth="1"/>
    <col min="4" max="6" width="18.42578125" customWidth="1"/>
    <col min="7" max="7" width="11.140625" customWidth="1"/>
    <col min="9" max="9" width="7.5703125" customWidth="1"/>
    <col min="10" max="10" width="19.140625" customWidth="1"/>
    <col min="11" max="11" width="22.42578125" customWidth="1"/>
    <col min="12" max="14" width="19.140625" customWidth="1"/>
    <col min="15" max="15" width="11.28515625" bestFit="1" customWidth="1"/>
  </cols>
  <sheetData>
    <row r="2" spans="3:15" ht="14.45" customHeight="1" x14ac:dyDescent="0.25">
      <c r="C2" s="140" t="s">
        <v>40</v>
      </c>
      <c r="D2" s="140"/>
      <c r="E2" s="140"/>
      <c r="F2" s="140"/>
      <c r="G2" s="140"/>
      <c r="J2" s="136" t="s">
        <v>54</v>
      </c>
      <c r="K2" s="136"/>
      <c r="L2" s="136"/>
      <c r="M2" s="136"/>
      <c r="N2" s="136"/>
    </row>
    <row r="3" spans="3:15" ht="14.45" customHeight="1" x14ac:dyDescent="0.25">
      <c r="C3" s="140"/>
      <c r="D3" s="140"/>
      <c r="E3" s="140"/>
      <c r="F3" s="140"/>
      <c r="G3" s="140"/>
      <c r="J3" s="136"/>
      <c r="K3" s="136"/>
      <c r="L3" s="136"/>
      <c r="M3" s="136"/>
      <c r="N3" s="136"/>
    </row>
    <row r="4" spans="3:15" x14ac:dyDescent="0.25">
      <c r="J4" s="136"/>
      <c r="K4" s="136"/>
      <c r="L4" s="136"/>
      <c r="M4" s="136"/>
      <c r="N4" s="136"/>
    </row>
    <row r="5" spans="3:15" x14ac:dyDescent="0.25">
      <c r="C5" s="136" t="s">
        <v>36</v>
      </c>
      <c r="D5" s="136"/>
      <c r="E5" s="136"/>
      <c r="F5" s="136"/>
      <c r="G5" s="136"/>
      <c r="J5" s="14"/>
      <c r="K5" s="14"/>
      <c r="L5" s="14"/>
      <c r="M5" s="14"/>
      <c r="N5" s="14"/>
    </row>
    <row r="6" spans="3:15" ht="14.45" customHeight="1" x14ac:dyDescent="0.25">
      <c r="C6" s="136"/>
      <c r="D6" s="136"/>
      <c r="E6" s="136"/>
      <c r="F6" s="136"/>
      <c r="G6" s="136"/>
      <c r="J6" s="135" t="s">
        <v>28</v>
      </c>
      <c r="K6" s="135"/>
      <c r="L6" s="135"/>
      <c r="M6" s="135"/>
      <c r="N6" s="135"/>
    </row>
    <row r="7" spans="3:15" x14ac:dyDescent="0.25">
      <c r="C7" s="136"/>
      <c r="D7" s="136"/>
      <c r="E7" s="136"/>
      <c r="F7" s="136"/>
      <c r="G7" s="136"/>
      <c r="J7" s="135"/>
      <c r="K7" s="135"/>
      <c r="L7" s="135"/>
      <c r="M7" s="135"/>
      <c r="N7" s="135"/>
    </row>
    <row r="8" spans="3:15" x14ac:dyDescent="0.25">
      <c r="C8" s="136"/>
      <c r="D8" s="136"/>
      <c r="E8" s="136"/>
      <c r="F8" s="136"/>
      <c r="G8" s="136"/>
      <c r="J8" s="4"/>
      <c r="K8" s="4"/>
      <c r="L8" s="4"/>
      <c r="M8" s="4"/>
      <c r="N8" s="4"/>
    </row>
    <row r="9" spans="3:15" x14ac:dyDescent="0.25">
      <c r="C9" s="13"/>
      <c r="D9" s="13"/>
      <c r="E9" s="13"/>
      <c r="F9" s="13"/>
      <c r="G9" s="13"/>
      <c r="J9" s="137">
        <f>MAX('Base de Dados'!O:O)</f>
        <v>6</v>
      </c>
      <c r="K9" s="138"/>
      <c r="L9" s="138"/>
      <c r="M9" s="138"/>
      <c r="N9" s="139"/>
    </row>
    <row r="10" spans="3:15" x14ac:dyDescent="0.25">
      <c r="C10" s="85"/>
      <c r="D10" s="86"/>
      <c r="E10" t="s">
        <v>37</v>
      </c>
    </row>
    <row r="11" spans="3:15" x14ac:dyDescent="0.25">
      <c r="J11" s="136" t="s">
        <v>67</v>
      </c>
      <c r="K11" s="136"/>
      <c r="L11" s="136"/>
      <c r="M11" s="136"/>
      <c r="N11" s="136"/>
    </row>
    <row r="12" spans="3:15" x14ac:dyDescent="0.25">
      <c r="C12" s="136" t="s">
        <v>38</v>
      </c>
      <c r="D12" s="136"/>
      <c r="E12" s="136"/>
      <c r="F12" s="136"/>
      <c r="G12" s="136"/>
      <c r="J12" s="136"/>
      <c r="K12" s="136"/>
      <c r="L12" s="136"/>
      <c r="M12" s="136"/>
      <c r="N12" s="136"/>
    </row>
    <row r="13" spans="3:15" x14ac:dyDescent="0.25">
      <c r="C13" s="136"/>
      <c r="D13" s="136"/>
      <c r="E13" s="136"/>
      <c r="F13" s="136"/>
      <c r="G13" s="136"/>
      <c r="J13" s="4"/>
      <c r="K13" s="4"/>
      <c r="L13" s="4"/>
      <c r="M13" s="4"/>
    </row>
    <row r="14" spans="3:15" x14ac:dyDescent="0.25">
      <c r="J14" s="7" t="s">
        <v>1</v>
      </c>
      <c r="K14" s="7" t="s">
        <v>3</v>
      </c>
      <c r="L14" s="7" t="s">
        <v>2</v>
      </c>
      <c r="M14" s="7" t="s">
        <v>0</v>
      </c>
      <c r="N14" s="4"/>
    </row>
    <row r="15" spans="3:15" x14ac:dyDescent="0.25">
      <c r="C15" s="92" t="s">
        <v>39</v>
      </c>
      <c r="J15" s="8" t="s">
        <v>19</v>
      </c>
      <c r="K15" s="96">
        <f>_xlfn.XLOOKUP($J15,Tabela1[Código], Tabela1[Data de Validade],"Não",0)</f>
        <v>46319</v>
      </c>
      <c r="L15" s="96" t="str">
        <f>_xlfn.XLOOKUP(J15,'Base de Dados'!B:B, 'Base de Dados'!C:C,"Não",0)</f>
        <v>RJ</v>
      </c>
      <c r="M15" s="96" t="str">
        <f>_xlfn.XLOOKUP($J15, 'Base de Dados'!B:B, 'Base de Dados'!A:A, "Não", 0)</f>
        <v>Malari</v>
      </c>
      <c r="N15" s="114"/>
      <c r="O15" s="1"/>
    </row>
    <row r="16" spans="3:15" x14ac:dyDescent="0.25">
      <c r="J16" s="8" t="s">
        <v>22</v>
      </c>
      <c r="K16" s="96">
        <f>_xlfn.XLOOKUP($J16,Tabela1[Código], Tabela1[Data de Validade],"Não",0)</f>
        <v>47476</v>
      </c>
      <c r="L16" s="96" t="str">
        <f>_xlfn.XLOOKUP(J16,'Base de Dados'!B:B, 'Base de Dados'!C:C,"Não",0)</f>
        <v>RJ</v>
      </c>
      <c r="M16" s="96" t="str">
        <f>_xlfn.XLOOKUP($J16, 'Base de Dados'!B:B, 'Base de Dados'!A:A, "Não", 0)</f>
        <v>Tipafa</v>
      </c>
      <c r="N16" s="114"/>
      <c r="O16" s="1"/>
    </row>
    <row r="17" spans="2:22" x14ac:dyDescent="0.25">
      <c r="C17" s="136" t="s">
        <v>41</v>
      </c>
      <c r="D17" s="136"/>
      <c r="E17" s="136"/>
      <c r="F17" s="136"/>
      <c r="G17" s="136"/>
      <c r="J17" s="8" t="s">
        <v>65</v>
      </c>
      <c r="K17" s="96" t="str">
        <f>_xlfn.XLOOKUP($J17,Tabela1[Código], Tabela1[Data de Validade],"Não",0)</f>
        <v>Não</v>
      </c>
      <c r="L17" s="96" t="str">
        <f>_xlfn.XLOOKUP(J17,'Base de Dados'!B:B, 'Base de Dados'!C:C,"Não",0)</f>
        <v>Não</v>
      </c>
      <c r="M17" s="96" t="str">
        <f>_xlfn.XLOOKUP($J17, 'Base de Dados'!B:B, 'Base de Dados'!A:A, "Não", 0)</f>
        <v>Não</v>
      </c>
      <c r="N17" s="114"/>
      <c r="O17" s="1"/>
    </row>
    <row r="18" spans="2:22" x14ac:dyDescent="0.25">
      <c r="C18" s="136"/>
      <c r="D18" s="136"/>
      <c r="E18" s="136"/>
      <c r="F18" s="136"/>
      <c r="G18" s="136"/>
      <c r="J18" s="8" t="s">
        <v>21</v>
      </c>
      <c r="K18" s="96">
        <f>_xlfn.XLOOKUP($J18,Tabela1[Código], Tabela1[Data de Validade],"Não",0)</f>
        <v>46650</v>
      </c>
      <c r="L18" s="96" t="str">
        <f>_xlfn.XLOOKUP(J18,'Base de Dados'!B:B, 'Base de Dados'!C:C,"Não",0)</f>
        <v>RJ</v>
      </c>
      <c r="M18" s="96" t="str">
        <f>_xlfn.XLOOKUP($J18, 'Base de Dados'!B:B, 'Base de Dados'!A:A, "Não", 0)</f>
        <v>Vetoci</v>
      </c>
      <c r="N18" s="114"/>
      <c r="O18" s="1"/>
    </row>
    <row r="19" spans="2:22" x14ac:dyDescent="0.25">
      <c r="C19" s="136"/>
      <c r="D19" s="136"/>
      <c r="E19" s="136"/>
      <c r="F19" s="136"/>
      <c r="G19" s="136"/>
      <c r="J19" s="8" t="s">
        <v>20</v>
      </c>
      <c r="K19" s="96">
        <f>_xlfn.XLOOKUP($J19,Tabela1[Código], Tabela1[Data de Validade],"Não",0)</f>
        <v>46770</v>
      </c>
      <c r="L19" s="96" t="str">
        <f>_xlfn.XLOOKUP(J19,'Base de Dados'!B:B, 'Base de Dados'!C:C,"Não",0)</f>
        <v>GO</v>
      </c>
      <c r="M19" s="96" t="str">
        <f>_xlfn.XLOOKUP($J19, 'Base de Dados'!B:B, 'Base de Dados'!A:A, "Não", 0)</f>
        <v>Vidipu</v>
      </c>
      <c r="N19" s="114"/>
      <c r="O19" s="1"/>
    </row>
    <row r="20" spans="2:22" ht="14.45" customHeight="1" x14ac:dyDescent="0.25">
      <c r="J20" s="8" t="s">
        <v>66</v>
      </c>
      <c r="K20" s="96" t="str">
        <f>_xlfn.XLOOKUP($J20,Tabela1[Código], Tabela1[Data de Validade],"Não",0)</f>
        <v>Não</v>
      </c>
      <c r="L20" s="96" t="str">
        <f>_xlfn.XLOOKUP(J20,'Base de Dados'!B:B, 'Base de Dados'!C:C,"Não",0)</f>
        <v>Não</v>
      </c>
      <c r="M20" s="96" t="str">
        <f>_xlfn.XLOOKUP($J20, 'Base de Dados'!B:B, 'Base de Dados'!A:A, "Não", 0)</f>
        <v>Não</v>
      </c>
      <c r="N20" s="114"/>
      <c r="O20" s="1"/>
    </row>
    <row r="21" spans="2:22" ht="14.45" customHeight="1" x14ac:dyDescent="0.25">
      <c r="C21" s="136" t="s">
        <v>53</v>
      </c>
      <c r="D21" s="136"/>
      <c r="E21" s="136"/>
      <c r="F21" s="136"/>
      <c r="G21" s="136"/>
      <c r="J21" s="8" t="s">
        <v>17</v>
      </c>
      <c r="K21" s="96">
        <f>_xlfn.XLOOKUP($J21,Tabela1[Código], Tabela1[Data de Validade],"Não",0)</f>
        <v>45758</v>
      </c>
      <c r="L21" s="96" t="str">
        <f>_xlfn.XLOOKUP(J21,'Base de Dados'!B:B, 'Base de Dados'!C:C,"Não",0)</f>
        <v>AL</v>
      </c>
      <c r="M21" s="96" t="str">
        <f>_xlfn.XLOOKUP($J21, 'Base de Dados'!B:B, 'Base de Dados'!A:A, "Não", 0)</f>
        <v>Rurofelupa</v>
      </c>
      <c r="N21" s="114"/>
      <c r="O21" s="1"/>
    </row>
    <row r="22" spans="2:22" x14ac:dyDescent="0.25">
      <c r="C22" s="136"/>
      <c r="D22" s="136"/>
      <c r="E22" s="136"/>
      <c r="F22" s="136"/>
      <c r="G22" s="136"/>
      <c r="J22" s="8" t="s">
        <v>18</v>
      </c>
      <c r="K22" s="96">
        <f>_xlfn.XLOOKUP($J22,Tabela1[Código], Tabela1[Data de Validade],"Não",0)</f>
        <v>46926</v>
      </c>
      <c r="L22" s="96" t="str">
        <f>_xlfn.XLOOKUP(J22,'Base de Dados'!B:B, 'Base de Dados'!C:C,"Não",0)</f>
        <v>GO</v>
      </c>
      <c r="M22" s="96" t="str">
        <f>_xlfn.XLOOKUP($J22, 'Base de Dados'!B:B, 'Base de Dados'!A:A, "Não", 0)</f>
        <v>Favidufere</v>
      </c>
      <c r="N22" s="114"/>
      <c r="O22" s="1"/>
    </row>
    <row r="23" spans="2:22" x14ac:dyDescent="0.25">
      <c r="C23" s="136"/>
      <c r="D23" s="136"/>
      <c r="E23" s="136"/>
      <c r="F23" s="136"/>
      <c r="G23" s="136"/>
      <c r="J23" s="4"/>
      <c r="K23" s="4"/>
      <c r="L23" s="4"/>
      <c r="M23" s="4"/>
      <c r="N23" s="4"/>
    </row>
    <row r="24" spans="2:22" x14ac:dyDescent="0.25">
      <c r="C24" s="92" t="s">
        <v>7</v>
      </c>
      <c r="D24" s="93" t="s">
        <v>9</v>
      </c>
      <c r="E24" s="94" t="s">
        <v>11</v>
      </c>
      <c r="F24" s="95" t="s">
        <v>14</v>
      </c>
      <c r="J24" s="135" t="s">
        <v>56</v>
      </c>
      <c r="K24" s="135"/>
      <c r="L24" s="135"/>
      <c r="M24" s="135"/>
      <c r="N24" s="135"/>
    </row>
    <row r="25" spans="2:22" x14ac:dyDescent="0.25">
      <c r="J25" s="135"/>
      <c r="K25" s="135"/>
      <c r="L25" s="135"/>
      <c r="M25" s="135"/>
      <c r="N25" s="135"/>
    </row>
    <row r="26" spans="2:22" ht="14.45" customHeight="1" x14ac:dyDescent="0.25">
      <c r="C26" s="136" t="s">
        <v>3661</v>
      </c>
      <c r="D26" s="136"/>
      <c r="E26" s="136"/>
      <c r="F26" s="136"/>
      <c r="G26" s="136"/>
      <c r="J26" s="4"/>
      <c r="K26" s="4"/>
      <c r="L26" s="4"/>
      <c r="M26" s="4"/>
      <c r="N26" s="4"/>
    </row>
    <row r="27" spans="2:22" x14ac:dyDescent="0.25">
      <c r="C27" s="136"/>
      <c r="D27" s="136"/>
      <c r="E27" s="136"/>
      <c r="F27" s="136"/>
      <c r="G27" s="136"/>
      <c r="J27" s="8" t="s">
        <v>23</v>
      </c>
      <c r="K27" s="8" t="s">
        <v>24</v>
      </c>
    </row>
    <row r="28" spans="2:22" ht="14.45" customHeight="1" x14ac:dyDescent="0.25">
      <c r="C28" s="136"/>
      <c r="D28" s="136"/>
      <c r="E28" s="136"/>
      <c r="F28" s="136"/>
      <c r="G28" s="136"/>
      <c r="J28" s="5" t="s">
        <v>8</v>
      </c>
      <c r="K28" s="5" t="s">
        <v>25</v>
      </c>
    </row>
    <row r="29" spans="2:22" x14ac:dyDescent="0.25">
      <c r="C29" s="13"/>
      <c r="D29" s="13"/>
      <c r="E29" s="13"/>
      <c r="F29" s="13"/>
      <c r="G29" s="13"/>
      <c r="J29" s="5" t="s">
        <v>15</v>
      </c>
      <c r="K29" s="5" t="s">
        <v>26</v>
      </c>
    </row>
    <row r="30" spans="2:22" ht="14.45" customHeight="1" x14ac:dyDescent="0.25">
      <c r="B30" s="3"/>
      <c r="C30" s="136" t="s">
        <v>49</v>
      </c>
      <c r="D30" s="136"/>
      <c r="E30" s="136"/>
      <c r="F30" s="136"/>
      <c r="G30" s="136"/>
      <c r="H30" s="4"/>
      <c r="J30" s="5" t="s">
        <v>10</v>
      </c>
      <c r="K30" s="5" t="s">
        <v>27</v>
      </c>
      <c r="M30" s="108"/>
      <c r="P30" s="4"/>
      <c r="Q30" s="4"/>
      <c r="R30" s="4"/>
      <c r="S30" s="4"/>
      <c r="T30" s="4"/>
      <c r="U30" s="4"/>
      <c r="V30" s="4"/>
    </row>
    <row r="31" spans="2:22" x14ac:dyDescent="0.25">
      <c r="B31" s="134"/>
      <c r="C31" s="136"/>
      <c r="D31" s="136"/>
      <c r="E31" s="136"/>
      <c r="F31" s="136"/>
      <c r="G31" s="136"/>
      <c r="H31" s="3"/>
      <c r="J31" s="5" t="s">
        <v>6</v>
      </c>
      <c r="K31" s="5" t="s">
        <v>25</v>
      </c>
      <c r="P31" s="3"/>
      <c r="Q31" s="3"/>
      <c r="R31" s="3"/>
      <c r="S31" s="3"/>
      <c r="T31" s="3"/>
      <c r="U31" s="3"/>
      <c r="V31" s="3"/>
    </row>
    <row r="32" spans="2:22" x14ac:dyDescent="0.25">
      <c r="B32" s="134"/>
      <c r="C32" s="13"/>
      <c r="D32" s="13"/>
      <c r="E32" s="13"/>
      <c r="F32" s="13"/>
      <c r="G32" s="13"/>
      <c r="H32" s="4"/>
      <c r="J32" s="5" t="s">
        <v>16</v>
      </c>
      <c r="K32" s="5" t="s">
        <v>26</v>
      </c>
      <c r="P32" s="3"/>
      <c r="Q32" s="3"/>
      <c r="R32" s="3"/>
      <c r="S32" s="3"/>
      <c r="T32" s="3"/>
      <c r="U32" s="3"/>
      <c r="V32" s="3"/>
    </row>
    <row r="33" spans="2:22" x14ac:dyDescent="0.25">
      <c r="B33" s="3"/>
      <c r="C33" s="136" t="s">
        <v>42</v>
      </c>
      <c r="D33" s="136"/>
      <c r="E33" s="136"/>
      <c r="F33" s="136"/>
      <c r="G33" s="136"/>
      <c r="H33" s="4"/>
      <c r="J33" s="5" t="s">
        <v>12</v>
      </c>
      <c r="K33" s="5" t="s">
        <v>26</v>
      </c>
      <c r="P33" s="4"/>
      <c r="Q33" s="4"/>
      <c r="R33" s="4"/>
      <c r="S33" s="4"/>
      <c r="T33" s="4"/>
      <c r="U33" s="4"/>
      <c r="V33" s="4"/>
    </row>
    <row r="34" spans="2:22" x14ac:dyDescent="0.25">
      <c r="C34" s="136"/>
      <c r="D34" s="136"/>
      <c r="E34" s="136"/>
      <c r="F34" s="136"/>
      <c r="G34" s="136"/>
      <c r="H34" s="4"/>
      <c r="J34" s="5" t="s">
        <v>13</v>
      </c>
      <c r="K34" s="5" t="s">
        <v>26</v>
      </c>
      <c r="O34" s="4"/>
    </row>
    <row r="35" spans="2:22" x14ac:dyDescent="0.25">
      <c r="C35" s="136"/>
      <c r="D35" s="136"/>
      <c r="E35" s="136"/>
      <c r="F35" s="136"/>
      <c r="G35" s="136"/>
      <c r="I35" s="4"/>
      <c r="J35" s="4"/>
      <c r="K35" s="4"/>
      <c r="L35" s="4"/>
      <c r="M35" s="4"/>
      <c r="N35" s="4"/>
      <c r="O35" s="3"/>
    </row>
    <row r="36" spans="2:22" x14ac:dyDescent="0.25">
      <c r="B36" s="3"/>
      <c r="H36" s="3"/>
      <c r="I36" s="4"/>
      <c r="J36" s="135" t="s">
        <v>29</v>
      </c>
      <c r="K36" s="135"/>
      <c r="L36" s="135"/>
      <c r="M36" s="135"/>
      <c r="N36" s="135"/>
      <c r="O36" s="4"/>
      <c r="P36" s="3"/>
      <c r="Q36" s="3"/>
      <c r="R36" s="3"/>
      <c r="S36" s="3"/>
      <c r="T36" s="3"/>
      <c r="U36" s="3"/>
      <c r="V36" s="3"/>
    </row>
    <row r="37" spans="2:22" x14ac:dyDescent="0.25">
      <c r="B37" s="3"/>
      <c r="C37" s="18" t="s">
        <v>43</v>
      </c>
      <c r="D37" s="18" t="s">
        <v>44</v>
      </c>
      <c r="E37" s="18" t="s">
        <v>45</v>
      </c>
      <c r="F37" s="18" t="s">
        <v>46</v>
      </c>
      <c r="G37" s="18" t="s">
        <v>47</v>
      </c>
      <c r="H37" s="4"/>
      <c r="J37" s="135"/>
      <c r="K37" s="135"/>
      <c r="L37" s="135"/>
      <c r="M37" s="135"/>
      <c r="N37" s="135"/>
      <c r="O37" s="4"/>
      <c r="P37" s="4"/>
      <c r="Q37" s="4"/>
      <c r="R37" s="4"/>
      <c r="S37" s="4"/>
      <c r="T37" s="4"/>
      <c r="U37" s="4"/>
      <c r="V37" s="4"/>
    </row>
    <row r="38" spans="2:22" x14ac:dyDescent="0.25">
      <c r="B38" s="3"/>
      <c r="C38" s="19">
        <f>SUM('Base de Dados'!J:J)</f>
        <v>272140218</v>
      </c>
      <c r="D38" s="19">
        <f>AVERAGE('Base de Dados'!J:J)</f>
        <v>70594.090272373534</v>
      </c>
      <c r="E38" s="112">
        <f>COUNT('Base de Dados'!J:J)</f>
        <v>3855</v>
      </c>
      <c r="F38" s="19">
        <f>MAX('Base de Dados'!J:J)</f>
        <v>119945</v>
      </c>
      <c r="G38" s="19">
        <f>MIN('Base de Dados'!J:J)</f>
        <v>20044</v>
      </c>
      <c r="H38" s="4"/>
      <c r="I38" s="3"/>
      <c r="K38" s="5" t="s">
        <v>9</v>
      </c>
      <c r="L38" s="5" t="s">
        <v>14</v>
      </c>
      <c r="M38" s="5" t="s">
        <v>7</v>
      </c>
      <c r="N38" s="5" t="s">
        <v>11</v>
      </c>
      <c r="P38" s="4"/>
      <c r="Q38" s="4"/>
      <c r="R38" s="4"/>
      <c r="S38" s="4"/>
      <c r="T38" s="4"/>
      <c r="U38" s="4"/>
      <c r="V38" s="4"/>
    </row>
    <row r="39" spans="2:22" x14ac:dyDescent="0.25">
      <c r="I39" s="4"/>
      <c r="J39" s="5" t="s">
        <v>25</v>
      </c>
      <c r="K39" s="120">
        <f>SUMIFS('Base de Dados'!$J:$J, 'Base de Dados'!$K:$K, 'Perguntas 1 a 24'!K$38,'Base de Dados'!$D:$D, 'Perguntas 1 a 24'!$J39)</f>
        <v>21582443</v>
      </c>
      <c r="L39" s="120">
        <f>SUMIFS('Base de Dados'!$J:$J, 'Base de Dados'!$K:$K, 'Perguntas 1 a 24'!L$38,'Base de Dados'!$D:$D, 'Perguntas 1 a 24'!$J39)</f>
        <v>18432363</v>
      </c>
      <c r="M39" s="120">
        <f>SUMIFS('Base de Dados'!$J:$J, 'Base de Dados'!$K:$K, 'Perguntas 1 a 24'!M$38,'Base de Dados'!$D:$D, 'Perguntas 1 a 24'!$J39)</f>
        <v>19384102</v>
      </c>
      <c r="N39" s="120">
        <f>SUMIFS('Base de Dados'!$J:$J, 'Base de Dados'!$K:$K, 'Perguntas 1 a 24'!N$38,'Base de Dados'!$D:$D, 'Perguntas 1 a 24'!$J39)</f>
        <v>19329788</v>
      </c>
    </row>
    <row r="40" spans="2:22" x14ac:dyDescent="0.25">
      <c r="C40" s="136" t="s">
        <v>48</v>
      </c>
      <c r="D40" s="136"/>
      <c r="E40" s="136"/>
      <c r="F40" s="136"/>
      <c r="G40" s="136"/>
      <c r="I40" s="4"/>
      <c r="J40" s="5" t="s">
        <v>26</v>
      </c>
      <c r="K40" s="120">
        <f>SUMIFS('Base de Dados'!$J:$J, 'Base de Dados'!$K:$K, 'Perguntas 1 a 24'!K$38,'Base de Dados'!$D:$D, 'Perguntas 1 a 24'!$J40)</f>
        <v>37494439</v>
      </c>
      <c r="L40" s="120">
        <f>SUMIFS('Base de Dados'!$J:$J, 'Base de Dados'!$K:$K, 'Perguntas 1 a 24'!L$38,'Base de Dados'!$D:$D, 'Perguntas 1 a 24'!$J40)</f>
        <v>38989407</v>
      </c>
      <c r="M40" s="120">
        <f>SUMIFS('Base de Dados'!$J:$J, 'Base de Dados'!$K:$K, 'Perguntas 1 a 24'!M$38,'Base de Dados'!$D:$D, 'Perguntas 1 a 24'!$J40)</f>
        <v>38539749</v>
      </c>
      <c r="N40" s="120">
        <f>SUMIFS('Base de Dados'!$J:$J, 'Base de Dados'!$K:$K, 'Perguntas 1 a 24'!N$38,'Base de Dados'!$D:$D, 'Perguntas 1 a 24'!$J40)</f>
        <v>37891952</v>
      </c>
      <c r="O40" s="3"/>
    </row>
    <row r="41" spans="2:22" x14ac:dyDescent="0.25">
      <c r="C41" s="136"/>
      <c r="D41" s="136"/>
      <c r="E41" s="136"/>
      <c r="F41" s="136"/>
      <c r="G41" s="136"/>
      <c r="J41" s="5" t="s">
        <v>27</v>
      </c>
      <c r="K41" s="120">
        <f>SUMIFS('Base de Dados'!$J:$J, 'Base de Dados'!$K:$K, 'Perguntas 1 a 24'!K$38,'Base de Dados'!$D:$D, 'Perguntas 1 a 24'!$J41)</f>
        <v>12025755</v>
      </c>
      <c r="L41" s="120">
        <f>SUMIFS('Base de Dados'!$J:$J, 'Base de Dados'!$K:$K, 'Perguntas 1 a 24'!L$38,'Base de Dados'!$D:$D, 'Perguntas 1 a 24'!$J41)</f>
        <v>9401319</v>
      </c>
      <c r="M41" s="120">
        <f>SUMIFS('Base de Dados'!$J:$J, 'Base de Dados'!$K:$K, 'Perguntas 1 a 24'!M$38,'Base de Dados'!$D:$D, 'Perguntas 1 a 24'!$J41)</f>
        <v>9133421</v>
      </c>
      <c r="N41" s="120">
        <f>SUMIFS('Base de Dados'!$J:$J, 'Base de Dados'!$K:$K, 'Perguntas 1 a 24'!N$38,'Base de Dados'!$D:$D, 'Perguntas 1 a 24'!$J41)</f>
        <v>9935480</v>
      </c>
      <c r="O41" s="4"/>
    </row>
    <row r="42" spans="2:22" x14ac:dyDescent="0.25">
      <c r="C42" s="136"/>
      <c r="D42" s="136"/>
      <c r="E42" s="136"/>
      <c r="F42" s="136"/>
      <c r="G42" s="136"/>
      <c r="J42" s="5" t="s">
        <v>30</v>
      </c>
      <c r="K42" s="120">
        <f>SUMIFS('Base de Dados'!$J:$J, 'Base de Dados'!$K:$K, 'Perguntas 1 a 24'!K$38,'Base de Dados'!$D:$D, 'Perguntas 1 a 24'!$J42)</f>
        <v>0</v>
      </c>
      <c r="L42" s="120">
        <f>SUMIFS('Base de Dados'!$J:$J, 'Base de Dados'!$K:$K, 'Perguntas 1 a 24'!L$38,'Base de Dados'!$D:$D, 'Perguntas 1 a 24'!$J42)</f>
        <v>0</v>
      </c>
      <c r="M42" s="120">
        <f>SUMIFS('Base de Dados'!$J:$J, 'Base de Dados'!$K:$K, 'Perguntas 1 a 24'!M$38,'Base de Dados'!$D:$D, 'Perguntas 1 a 24'!$J42)</f>
        <v>0</v>
      </c>
      <c r="N42" s="120">
        <f>SUMIFS('Base de Dados'!$J:$J, 'Base de Dados'!$K:$K, 'Perguntas 1 a 24'!N$38,'Base de Dados'!$D:$D, 'Perguntas 1 a 24'!$J42)</f>
        <v>0</v>
      </c>
      <c r="O42" s="4"/>
    </row>
    <row r="43" spans="2:22" x14ac:dyDescent="0.25">
      <c r="J43" s="121" t="s">
        <v>11355</v>
      </c>
      <c r="K43" s="122">
        <f>SUM(K39:K42)</f>
        <v>71102637</v>
      </c>
      <c r="L43" s="122">
        <f t="shared" ref="L43:N43" si="0">SUM(L39:L42)</f>
        <v>66823089</v>
      </c>
      <c r="M43" s="122">
        <f t="shared" si="0"/>
        <v>67057272</v>
      </c>
      <c r="N43" s="122">
        <f t="shared" si="0"/>
        <v>67157220</v>
      </c>
    </row>
    <row r="44" spans="2:22" x14ac:dyDescent="0.25">
      <c r="C44" s="20" t="s">
        <v>43</v>
      </c>
      <c r="D44" s="18" t="s">
        <v>44</v>
      </c>
      <c r="E44" s="18" t="s">
        <v>45</v>
      </c>
      <c r="F44" s="18" t="s">
        <v>46</v>
      </c>
      <c r="G44" s="18" t="s">
        <v>47</v>
      </c>
      <c r="J44" s="92" t="s">
        <v>31</v>
      </c>
      <c r="K44" s="92"/>
      <c r="L44" s="92"/>
      <c r="M44" s="92"/>
    </row>
    <row r="45" spans="2:22" x14ac:dyDescent="0.25">
      <c r="C45" s="19">
        <f>SUBTOTAL(9, 'Base de Dados'!J:J)</f>
        <v>272140218</v>
      </c>
      <c r="D45" s="19">
        <f>SUBTOTAL(1, 'Base de Dados'!J:J)</f>
        <v>70594.090272373534</v>
      </c>
      <c r="E45" s="110">
        <f>SUBTOTAL(2, 'Base de Dados'!J:J)</f>
        <v>3855</v>
      </c>
      <c r="F45" s="19">
        <f>SUBTOTAL(4, 'Base de Dados'!J:J)</f>
        <v>119945</v>
      </c>
      <c r="G45" s="19">
        <f>SUBTOTAL(5, 'Base de Dados'!J:J)</f>
        <v>20044</v>
      </c>
    </row>
    <row r="46" spans="2:22" x14ac:dyDescent="0.25">
      <c r="C46" s="16"/>
      <c r="J46" s="6" t="s">
        <v>32</v>
      </c>
      <c r="K46" s="6" t="str" cm="1">
        <f t="array" ref="K46">INDEX('Base de Dados'!K:K, MATCH(_xlfn.XLOOKUP(LARGE('Base de Dados'!O:O,1),'Base de Dados'!O:O, 'Base de Dados'!N:N,,0),'Base de Dados'!B:B,0), 0)</f>
        <v>Holanda</v>
      </c>
      <c r="L46" s="4"/>
      <c r="M46" s="4"/>
      <c r="N46" s="4"/>
    </row>
    <row r="47" spans="2:22" ht="14.45" customHeight="1" x14ac:dyDescent="0.25">
      <c r="B47" s="3"/>
      <c r="C47" s="136" t="s">
        <v>50</v>
      </c>
      <c r="D47" s="136"/>
      <c r="E47" s="136"/>
      <c r="F47" s="136"/>
      <c r="G47" s="136"/>
      <c r="H47" s="4"/>
      <c r="I47" s="4"/>
      <c r="J47" s="6" t="s">
        <v>33</v>
      </c>
      <c r="K47" s="6" t="str">
        <f>INDEX(K38:N38, 1, MATCH(LARGE(K43:N43, 1), K43:N43, 0))</f>
        <v>Austrália</v>
      </c>
      <c r="L47" s="3"/>
      <c r="M47" s="3"/>
      <c r="N47" s="3"/>
      <c r="P47" s="4"/>
      <c r="Q47" s="4"/>
      <c r="R47" s="4"/>
      <c r="S47" s="4"/>
      <c r="T47" s="4"/>
      <c r="U47" s="4"/>
      <c r="V47" s="4"/>
    </row>
    <row r="48" spans="2:22" x14ac:dyDescent="0.25">
      <c r="B48" s="3"/>
      <c r="C48" s="136"/>
      <c r="D48" s="136"/>
      <c r="E48" s="136"/>
      <c r="F48" s="136"/>
      <c r="G48" s="136"/>
      <c r="H48" s="3"/>
      <c r="I48" s="3"/>
      <c r="J48" s="4"/>
      <c r="K48" s="4"/>
      <c r="L48" s="4"/>
      <c r="M48" s="4"/>
      <c r="N48" s="4"/>
      <c r="P48" s="3"/>
      <c r="Q48" s="3"/>
      <c r="R48" s="3"/>
      <c r="S48" s="3"/>
      <c r="T48" s="3"/>
      <c r="U48" s="3"/>
      <c r="V48" s="3"/>
    </row>
    <row r="49" spans="2:22" x14ac:dyDescent="0.25">
      <c r="B49" s="3"/>
      <c r="H49" s="4"/>
      <c r="I49" s="4"/>
      <c r="J49" s="135" t="s">
        <v>34</v>
      </c>
      <c r="K49" s="135"/>
      <c r="L49" s="135"/>
      <c r="M49" s="135"/>
      <c r="N49" s="135"/>
      <c r="P49" s="3"/>
      <c r="Q49" s="3"/>
      <c r="R49" s="3"/>
      <c r="S49" s="3"/>
      <c r="T49" s="3"/>
      <c r="U49" s="3"/>
      <c r="V49" s="3"/>
    </row>
    <row r="50" spans="2:22" x14ac:dyDescent="0.25">
      <c r="B50" s="3"/>
      <c r="C50" s="20" t="s">
        <v>43</v>
      </c>
      <c r="D50" s="18" t="s">
        <v>44</v>
      </c>
      <c r="E50" s="18" t="s">
        <v>45</v>
      </c>
      <c r="F50" s="18" t="s">
        <v>46</v>
      </c>
      <c r="G50" s="18" t="s">
        <v>47</v>
      </c>
      <c r="H50" s="4"/>
      <c r="J50" s="135"/>
      <c r="K50" s="135"/>
      <c r="L50" s="135"/>
      <c r="M50" s="135"/>
      <c r="N50" s="135"/>
      <c r="P50" s="4"/>
      <c r="Q50" s="4"/>
      <c r="R50" s="4"/>
      <c r="S50" s="4"/>
      <c r="T50" s="4"/>
      <c r="U50" s="4"/>
      <c r="V50" s="4"/>
    </row>
    <row r="51" spans="2:22" x14ac:dyDescent="0.25">
      <c r="C51" s="19">
        <f>SUMIFS('Base de Dados'!J:J, 'Base de Dados'!C:C, "RJ")</f>
        <v>35615146</v>
      </c>
      <c r="D51" s="19">
        <f>AVERAGEIFS('Base de Dados'!J:J,'Base de Dados'!C:C,"RJ")</f>
        <v>69696.95890410959</v>
      </c>
      <c r="E51" s="111">
        <f>COUNTIFS('Base de Dados'!C:C,"RJ")</f>
        <v>511</v>
      </c>
      <c r="F51" s="19">
        <f>_xlfn.MAXIFS('Base de Dados'!J:J, 'Base de Dados'!C:C,"RJ")</f>
        <v>119698</v>
      </c>
      <c r="G51" s="19">
        <f>_xlfn.MINIFS('Base de Dados'!J:J, 'Base de Dados'!C:C, "RJ")</f>
        <v>20044</v>
      </c>
      <c r="O51" s="4"/>
    </row>
    <row r="52" spans="2:22" x14ac:dyDescent="0.25">
      <c r="J52" s="9" t="s">
        <v>35</v>
      </c>
      <c r="K52" s="10" t="s">
        <v>0</v>
      </c>
      <c r="L52" s="10" t="s">
        <v>1</v>
      </c>
      <c r="M52" s="10" t="s">
        <v>4</v>
      </c>
      <c r="N52" s="10" t="s">
        <v>5</v>
      </c>
      <c r="O52" s="3"/>
    </row>
    <row r="53" spans="2:22" x14ac:dyDescent="0.25">
      <c r="C53" s="136" t="s">
        <v>51</v>
      </c>
      <c r="D53" s="136"/>
      <c r="E53" s="136"/>
      <c r="F53" s="136"/>
      <c r="G53" s="136"/>
      <c r="J53" s="11">
        <v>1</v>
      </c>
      <c r="K53" s="12" t="str" cm="1">
        <f t="array" ref="K53">INDEX('Base de Dados'!$A:$A, MATCH(LARGE('Base de Dados'!$J:$J,$J53), 'Base de Dados'!$J:$J, 0), 0)</f>
        <v>Vutufe</v>
      </c>
      <c r="L53" s="12" t="str" cm="1">
        <f t="array" ref="L53">INDEX('Base de Dados'!B:B, MATCH(LARGE('Base de Dados'!$J:$J,$J53), 'Base de Dados'!$J:$J, 0), 0)</f>
        <v>P873H963</v>
      </c>
      <c r="M53" s="100" cm="1">
        <f t="array" ref="M53">INDEX('Base de Dados'!J:J, MATCH(LARGE('Base de Dados'!$J:$J,$J53), 'Base de Dados'!$J:$J, 0), 0)</f>
        <v>119945</v>
      </c>
      <c r="N53" s="12" t="str" cm="1">
        <f t="array" ref="N53">INDEX('Base de Dados'!K:K, MATCH(LARGE('Base de Dados'!$J:$J,$J53), 'Base de Dados'!$J:$J, 0), 0)</f>
        <v>Panamá</v>
      </c>
      <c r="O53" s="4"/>
    </row>
    <row r="54" spans="2:22" x14ac:dyDescent="0.25">
      <c r="C54" s="136"/>
      <c r="D54" s="136"/>
      <c r="E54" s="136"/>
      <c r="F54" s="136"/>
      <c r="G54" s="136"/>
      <c r="J54" s="11">
        <v>2</v>
      </c>
      <c r="K54" s="12" t="str" cm="1">
        <f t="array" ref="K54">INDEX('Base de Dados'!$A:$A, MATCH(LARGE('Base de Dados'!$J:$J,$J54), 'Base de Dados'!$J:$J, 0), 0)</f>
        <v>Licapiro</v>
      </c>
      <c r="L54" s="12" t="str" cm="1">
        <f t="array" ref="L54">INDEX('Base de Dados'!B:B, MATCH(LARGE('Base de Dados'!$J:$J,$J54), 'Base de Dados'!$J:$J, 0), 0)</f>
        <v>H948H323</v>
      </c>
      <c r="M54" s="100" cm="1">
        <f t="array" ref="M54">INDEX('Base de Dados'!J:J, MATCH(LARGE('Base de Dados'!$J:$J,$J54), 'Base de Dados'!$J:$J, 0), 0)</f>
        <v>119933</v>
      </c>
      <c r="N54" s="12" t="str" cm="1">
        <f t="array" ref="N54">INDEX('Base de Dados'!K:K, MATCH(LARGE('Base de Dados'!$J:$J,$J54), 'Base de Dados'!$J:$J, 0), 0)</f>
        <v>Austrália</v>
      </c>
      <c r="O54" s="4"/>
    </row>
    <row r="55" spans="2:22" x14ac:dyDescent="0.25">
      <c r="J55" s="11">
        <v>3</v>
      </c>
      <c r="K55" s="12" t="str" cm="1">
        <f t="array" ref="K55">INDEX('Base de Dados'!$A:$A, MATCH(LARGE('Base de Dados'!$J:$J,$J55), 'Base de Dados'!$J:$J, 0), 0)</f>
        <v>Gopenemo</v>
      </c>
      <c r="L55" s="12" t="str" cm="1">
        <f t="array" ref="L55">INDEX('Base de Dados'!B:B, MATCH(LARGE('Base de Dados'!$J:$J,$J55), 'Base de Dados'!$J:$J, 0), 0)</f>
        <v>H155P441</v>
      </c>
      <c r="M55" s="100" cm="1">
        <f t="array" ref="M55">INDEX('Base de Dados'!J:J, MATCH(LARGE('Base de Dados'!$J:$J,$J55), 'Base de Dados'!$J:$J, 0), 0)</f>
        <v>119903</v>
      </c>
      <c r="N55" s="12" t="str" cm="1">
        <f t="array" ref="N55">INDEX('Base de Dados'!K:K, MATCH(LARGE('Base de Dados'!$J:$J,$J55), 'Base de Dados'!$J:$J, 0), 0)</f>
        <v>Austrália</v>
      </c>
    </row>
    <row r="56" spans="2:22" x14ac:dyDescent="0.25">
      <c r="C56" s="90" t="s">
        <v>43</v>
      </c>
      <c r="D56" s="90" t="s">
        <v>44</v>
      </c>
      <c r="E56" s="90" t="s">
        <v>45</v>
      </c>
      <c r="F56" s="90" t="s">
        <v>46</v>
      </c>
      <c r="G56" s="90" t="s">
        <v>47</v>
      </c>
      <c r="J56" s="11">
        <v>4</v>
      </c>
      <c r="K56" s="12" t="str" cm="1">
        <f t="array" ref="K56">INDEX('Base de Dados'!$A:$A, MATCH(LARGE('Base de Dados'!$J:$J,$J56), 'Base de Dados'!$J:$J, 0), 0)</f>
        <v>Petitode</v>
      </c>
      <c r="L56" s="12" t="str" cm="1">
        <f t="array" ref="L56">INDEX('Base de Dados'!B:B, MATCH(LARGE('Base de Dados'!$J:$J,$J56), 'Base de Dados'!$J:$J, 0), 0)</f>
        <v>H119P473</v>
      </c>
      <c r="M56" s="100" cm="1">
        <f t="array" ref="M56">INDEX('Base de Dados'!J:J, MATCH(LARGE('Base de Dados'!$J:$J,$J56), 'Base de Dados'!$J:$J, 0), 0)</f>
        <v>119901</v>
      </c>
      <c r="N56" s="12" t="str" cm="1">
        <f t="array" ref="N56">INDEX('Base de Dados'!K:K, MATCH(LARGE('Base de Dados'!$J:$J,$J56), 'Base de Dados'!$J:$J, 0), 0)</f>
        <v>Austrália</v>
      </c>
    </row>
    <row r="57" spans="2:22" ht="14.45" customHeight="1" x14ac:dyDescent="0.25">
      <c r="C57" s="91">
        <f>SUMIFS('Base de Dados'!J:J, 'Base de Dados'!J:J, "&gt;70000")</f>
        <v>187219272</v>
      </c>
      <c r="D57" s="91">
        <f>AVERAGEIFS('Base de Dados'!J:J, 'Base de Dados'!J:J, "&gt;70000")</f>
        <v>94794.568101265817</v>
      </c>
      <c r="E57" s="112">
        <f>COUNTIFS('Base de Dados'!J:J, "&gt;70000")</f>
        <v>1975</v>
      </c>
      <c r="F57" s="91">
        <f>_xlfn.MAXIFS('Base de Dados'!J:J, 'Base de Dados'!J:J, "&gt;70000")</f>
        <v>119945</v>
      </c>
      <c r="G57" s="91">
        <f>_xlfn.MINIFS('Base de Dados'!J:J, 'Base de Dados'!J:J, "&gt;70000")</f>
        <v>70004</v>
      </c>
      <c r="J57" s="11">
        <v>5</v>
      </c>
      <c r="K57" s="12" t="str" cm="1">
        <f t="array" ref="K57">INDEX('Base de Dados'!$A:$A, MATCH(LARGE('Base de Dados'!$J:$J,$J57), 'Base de Dados'!$J:$J, 0), 0)</f>
        <v>Vigopurutu</v>
      </c>
      <c r="L57" s="12" t="str" cm="1">
        <f t="array" ref="L57">INDEX('Base de Dados'!B:B, MATCH(LARGE('Base de Dados'!$J:$J,$J57), 'Base de Dados'!$J:$J, 0), 0)</f>
        <v>H776P365</v>
      </c>
      <c r="M57" s="100" cm="1">
        <f t="array" ref="M57">INDEX('Base de Dados'!J:J, MATCH(LARGE('Base de Dados'!$J:$J,$J57), 'Base de Dados'!$J:$J, 0), 0)</f>
        <v>119889</v>
      </c>
      <c r="N57" s="12" t="str" cm="1">
        <f t="array" ref="N57">INDEX('Base de Dados'!K:K, MATCH(LARGE('Base de Dados'!$J:$J,$J57), 'Base de Dados'!$J:$J, 0), 0)</f>
        <v>Panamá</v>
      </c>
    </row>
    <row r="59" spans="2:22" ht="14.45" customHeight="1" x14ac:dyDescent="0.25">
      <c r="C59" s="136" t="s">
        <v>52</v>
      </c>
      <c r="D59" s="136"/>
      <c r="E59" s="136"/>
      <c r="F59" s="136"/>
      <c r="G59" s="136"/>
      <c r="J59" s="136" t="s">
        <v>73</v>
      </c>
      <c r="K59" s="136"/>
      <c r="L59" s="136"/>
      <c r="M59" s="136"/>
      <c r="N59" s="136"/>
      <c r="P59" s="15"/>
      <c r="Q59" s="15"/>
      <c r="R59" s="15"/>
    </row>
    <row r="60" spans="2:22" x14ac:dyDescent="0.25">
      <c r="C60" s="136"/>
      <c r="D60" s="136"/>
      <c r="E60" s="136"/>
      <c r="F60" s="136"/>
      <c r="G60" s="136"/>
      <c r="J60" s="136"/>
      <c r="K60" s="136"/>
      <c r="L60" s="136"/>
      <c r="M60" s="136"/>
      <c r="N60" s="136"/>
    </row>
    <row r="61" spans="2:22" x14ac:dyDescent="0.25">
      <c r="J61" s="136"/>
      <c r="K61" s="136"/>
      <c r="L61" s="136"/>
      <c r="M61" s="136"/>
      <c r="N61" s="136"/>
    </row>
    <row r="62" spans="2:22" x14ac:dyDescent="0.25">
      <c r="C62" s="90" t="s">
        <v>43</v>
      </c>
      <c r="D62" s="90" t="s">
        <v>44</v>
      </c>
      <c r="E62" s="90" t="s">
        <v>45</v>
      </c>
      <c r="F62" s="90" t="s">
        <v>46</v>
      </c>
      <c r="G62" s="90" t="s">
        <v>47</v>
      </c>
      <c r="J62" s="136"/>
      <c r="K62" s="136"/>
      <c r="L62" s="136"/>
      <c r="M62" s="136"/>
      <c r="N62" s="136"/>
    </row>
    <row r="63" spans="2:22" ht="14.45" customHeight="1" x14ac:dyDescent="0.25">
      <c r="C63" s="91">
        <f>SUMIFS('Base de Dados'!J:J, 'Base de Dados'!F:F, "&gt;="&amp;DATE(2025,1,1), 'Base de Dados'!F:F, "&lt;="&amp;DATE(2027,12,31))</f>
        <v>126160763</v>
      </c>
      <c r="D63" s="112">
        <f>AVERAGEIFS('Base de Dados'!J:J,'Base de Dados'!F:F, "&gt;="&amp;DATE(2025,1,1), 'Base de Dados'!F:F, "&lt;="&amp;DATE(2027, 12, 1))</f>
        <v>71213.864849187928</v>
      </c>
      <c r="E63" s="112">
        <f>COUNTIFS('Base de Dados'!H:H, 2025) + COUNTIFS('Base de Dados'!H:H, 2026)+ COUNTIFS('Base de Dados'!H:H, 2027)</f>
        <v>1773</v>
      </c>
      <c r="F63" s="91">
        <f>_xlfn.MAXIFS('Base de Dados'!J:J, 'Base de Dados'!F:F, "&gt;="&amp;DATE(2025, 1, 1), 'Base de Dados'!F:F, "&lt;="&amp;DATE(2027,12,31))</f>
        <v>119903</v>
      </c>
      <c r="G63" s="91">
        <f>_xlfn.MINIFS('Base de Dados'!J:J, 'Base de Dados'!F:F, "&gt;="&amp;DATE(2025, 1, 1), 'Base de Dados'!F:F, "&lt;="&amp;DATE(2027,12,31))</f>
        <v>20081</v>
      </c>
      <c r="J63" s="136"/>
      <c r="K63" s="136"/>
      <c r="L63" s="136"/>
      <c r="M63" s="136"/>
      <c r="N63" s="136"/>
      <c r="O63" s="15"/>
    </row>
    <row r="65" spans="3:14" ht="14.45" customHeight="1" x14ac:dyDescent="0.25">
      <c r="C65" s="136" t="s">
        <v>3662</v>
      </c>
      <c r="D65" s="136"/>
      <c r="E65" s="136"/>
      <c r="F65" s="136"/>
      <c r="G65" s="136"/>
      <c r="J65" s="17" t="s">
        <v>10</v>
      </c>
      <c r="K65" s="21" t="s">
        <v>7</v>
      </c>
      <c r="L65" s="130">
        <f>SUMIFS('Base de Dados'!J:J,'Base de Dados'!C:C,'Perguntas 1 a 24'!J65,'Base de Dados'!K:K,'Perguntas 1 a 24'!K65)</f>
        <v>9133421</v>
      </c>
    </row>
    <row r="66" spans="3:14" x14ac:dyDescent="0.25">
      <c r="C66" s="136"/>
      <c r="D66" s="136"/>
      <c r="E66" s="136"/>
      <c r="F66" s="136"/>
      <c r="G66" s="136"/>
    </row>
    <row r="67" spans="3:14" ht="14.45" customHeight="1" x14ac:dyDescent="0.25">
      <c r="J67" s="135" t="s">
        <v>68</v>
      </c>
      <c r="K67" s="135"/>
      <c r="L67" s="135"/>
      <c r="M67" s="135"/>
      <c r="N67" s="135"/>
    </row>
    <row r="68" spans="3:14" x14ac:dyDescent="0.25">
      <c r="C68" s="20" t="s">
        <v>43</v>
      </c>
      <c r="D68" s="18" t="s">
        <v>44</v>
      </c>
      <c r="E68" s="18" t="s">
        <v>45</v>
      </c>
      <c r="F68" s="18" t="s">
        <v>46</v>
      </c>
      <c r="G68" s="18" t="s">
        <v>47</v>
      </c>
      <c r="J68" s="135"/>
      <c r="K68" s="135"/>
      <c r="L68" s="135"/>
      <c r="M68" s="135"/>
      <c r="N68" s="135"/>
    </row>
    <row r="69" spans="3:14" x14ac:dyDescent="0.25">
      <c r="C69" s="19">
        <f>SUMIFS('Base de Dados'!J:J, 'Base de Dados'!K:K, "Holanda")</f>
        <v>67057272</v>
      </c>
      <c r="D69" s="19">
        <f>AVERAGEIFS('Base de Dados'!J:J, 'Base de Dados'!K:K, "Holanda")</f>
        <v>69997.152400835068</v>
      </c>
      <c r="E69" s="18">
        <f>COUNTIFS('Base de Dados'!K:K, "Holanda")</f>
        <v>958</v>
      </c>
      <c r="F69" s="19">
        <f>_xlfn.MAXIFS('Base de Dados'!J:J, 'Base de Dados'!K:K, "Holanda")</f>
        <v>119595</v>
      </c>
      <c r="G69" s="19">
        <f>_xlfn.MINIFS('Base de Dados'!J:J, 'Base de Dados'!K:K, "Holanda")</f>
        <v>20081</v>
      </c>
      <c r="J69" s="135"/>
      <c r="K69" s="135"/>
      <c r="L69" s="135"/>
      <c r="M69" s="135"/>
      <c r="N69" s="135"/>
    </row>
    <row r="70" spans="3:14" x14ac:dyDescent="0.25">
      <c r="J70" s="135"/>
      <c r="K70" s="135"/>
      <c r="L70" s="135"/>
      <c r="M70" s="135"/>
      <c r="N70" s="135"/>
    </row>
    <row r="71" spans="3:14" x14ac:dyDescent="0.25">
      <c r="C71" s="136" t="s">
        <v>55</v>
      </c>
      <c r="D71" s="136"/>
      <c r="E71" s="136"/>
      <c r="F71" s="136"/>
      <c r="G71" s="136"/>
      <c r="J71" s="135"/>
      <c r="K71" s="135"/>
      <c r="L71" s="135"/>
      <c r="M71" s="135"/>
      <c r="N71" s="135"/>
    </row>
    <row r="72" spans="3:14" x14ac:dyDescent="0.25">
      <c r="C72" s="136"/>
      <c r="D72" s="136"/>
      <c r="E72" s="136"/>
      <c r="F72" s="136"/>
      <c r="G72" s="136"/>
      <c r="J72" s="135"/>
      <c r="K72" s="135"/>
      <c r="L72" s="135"/>
      <c r="M72" s="135"/>
      <c r="N72" s="135"/>
    </row>
    <row r="73" spans="3:14" x14ac:dyDescent="0.25">
      <c r="C73" s="136"/>
      <c r="D73" s="136"/>
      <c r="E73" s="136"/>
      <c r="F73" s="136"/>
      <c r="G73" s="136"/>
    </row>
    <row r="74" spans="3:14" x14ac:dyDescent="0.25">
      <c r="J74" t="s">
        <v>11358</v>
      </c>
      <c r="K74" t="s">
        <v>11363</v>
      </c>
      <c r="L74" t="s">
        <v>11364</v>
      </c>
    </row>
    <row r="75" spans="3:14" x14ac:dyDescent="0.25">
      <c r="J75" t="s">
        <v>11359</v>
      </c>
      <c r="K75" t="s">
        <v>11363</v>
      </c>
      <c r="L75" t="s">
        <v>11365</v>
      </c>
    </row>
    <row r="76" spans="3:14" x14ac:dyDescent="0.25">
      <c r="J76" t="s">
        <v>11360</v>
      </c>
      <c r="K76" t="s">
        <v>11366</v>
      </c>
      <c r="L76" t="s">
        <v>11367</v>
      </c>
    </row>
    <row r="77" spans="3:14" x14ac:dyDescent="0.25">
      <c r="J77" t="s">
        <v>11361</v>
      </c>
      <c r="K77" t="s">
        <v>11366</v>
      </c>
      <c r="L77" t="s">
        <v>11368</v>
      </c>
    </row>
    <row r="78" spans="3:14" x14ac:dyDescent="0.25">
      <c r="J78" t="s">
        <v>11362</v>
      </c>
      <c r="K78" t="s">
        <v>11369</v>
      </c>
    </row>
    <row r="79" spans="3:14" x14ac:dyDescent="0.25">
      <c r="K79" t="s">
        <v>11357</v>
      </c>
    </row>
    <row r="82" spans="3:7" x14ac:dyDescent="0.25">
      <c r="C82" s="14"/>
      <c r="D82" s="14"/>
      <c r="E82" s="14"/>
      <c r="F82" s="14"/>
      <c r="G82" s="14"/>
    </row>
  </sheetData>
  <mergeCells count="24">
    <mergeCell ref="J59:N63"/>
    <mergeCell ref="C21:G23"/>
    <mergeCell ref="C26:G28"/>
    <mergeCell ref="C71:G73"/>
    <mergeCell ref="C65:G66"/>
    <mergeCell ref="C59:G60"/>
    <mergeCell ref="J67:N72"/>
    <mergeCell ref="J2:N4"/>
    <mergeCell ref="C30:G31"/>
    <mergeCell ref="C40:G42"/>
    <mergeCell ref="C47:G48"/>
    <mergeCell ref="C53:G54"/>
    <mergeCell ref="J6:N7"/>
    <mergeCell ref="J9:N9"/>
    <mergeCell ref="J24:N25"/>
    <mergeCell ref="C5:G8"/>
    <mergeCell ref="C2:G3"/>
    <mergeCell ref="C17:G19"/>
    <mergeCell ref="C12:G13"/>
    <mergeCell ref="B31:B32"/>
    <mergeCell ref="J36:N37"/>
    <mergeCell ref="J49:N50"/>
    <mergeCell ref="C33:G35"/>
    <mergeCell ref="J11:N12"/>
  </mergeCells>
  <dataValidations count="1">
    <dataValidation type="list" allowBlank="1" showInputMessage="1" showErrorMessage="1" sqref="J65" xr:uid="{45BE1067-9BF2-4277-91FC-4DED0AE3C3AD}">
      <formula1>$J$28:$J$34</formula1>
    </dataValidation>
  </dataValidations>
  <pageMargins left="0.511811024" right="0.511811024" top="0.78740157499999996" bottom="0.78740157499999996" header="0.31496062000000002" footer="0.31496062000000002"/>
  <ignoredErrors>
    <ignoredError sqref="L53:L57" formula="1"/>
  </ignoredErrors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60DE3DB7-0D15-486F-9AF8-D2582A7BB0EC}">
          <x14:formula1>
            <xm:f>'Base de Dados'!$K$2:$K$3856</xm:f>
          </x14:formula1>
          <xm:sqref>K65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D72941-2F93-4DC6-9F36-E30F6FD17A4E}">
  <dimension ref="A1:MY80"/>
  <sheetViews>
    <sheetView showGridLines="0" zoomScaleNormal="100" workbookViewId="0">
      <pane xSplit="2" ySplit="2" topLeftCell="MJ3" activePane="bottomRight" state="frozen"/>
      <selection activeCell="W4" sqref="W4"/>
      <selection pane="topRight" activeCell="W4" sqref="W4"/>
      <selection pane="bottomLeft" activeCell="W4" sqref="W4"/>
      <selection pane="bottomRight" activeCell="MT6" sqref="MT6:MX16"/>
    </sheetView>
  </sheetViews>
  <sheetFormatPr defaultRowHeight="15" x14ac:dyDescent="0.25"/>
  <cols>
    <col min="2" max="2" width="26.7109375" bestFit="1" customWidth="1"/>
    <col min="3" max="3" width="9.7109375" bestFit="1" customWidth="1"/>
    <col min="4" max="4" width="10.5703125" bestFit="1" customWidth="1"/>
    <col min="5" max="5" width="10.7109375" bestFit="1" customWidth="1"/>
    <col min="6" max="10" width="10.5703125" bestFit="1" customWidth="1"/>
    <col min="11" max="11" width="11.42578125" bestFit="1" customWidth="1"/>
    <col min="12" max="12" width="9" bestFit="1" customWidth="1"/>
    <col min="13" max="13" width="9.7109375" bestFit="1" customWidth="1"/>
    <col min="14" max="14" width="10.5703125" bestFit="1" customWidth="1"/>
    <col min="15" max="15" width="9.7109375" bestFit="1" customWidth="1"/>
    <col min="16" max="21" width="10.5703125" bestFit="1" customWidth="1"/>
    <col min="22" max="22" width="10.5703125" customWidth="1"/>
    <col min="23" max="26" width="10.5703125" bestFit="1" customWidth="1"/>
    <col min="27" max="27" width="10.5703125" customWidth="1"/>
    <col min="28" max="38" width="10.5703125" bestFit="1" customWidth="1"/>
    <col min="39" max="39" width="11.5703125" bestFit="1" customWidth="1"/>
    <col min="40" max="40" width="11.28515625" bestFit="1" customWidth="1"/>
    <col min="41" max="208" width="11.5703125" bestFit="1" customWidth="1"/>
    <col min="209" max="211" width="12.28515625" bestFit="1" customWidth="1"/>
    <col min="212" max="214" width="10.5703125" bestFit="1" customWidth="1"/>
    <col min="215" max="215" width="11.28515625" bestFit="1" customWidth="1"/>
    <col min="216" max="218" width="10.5703125" bestFit="1" customWidth="1"/>
    <col min="219" max="220" width="11.28515625" bestFit="1" customWidth="1"/>
    <col min="221" max="221" width="10.5703125" bestFit="1" customWidth="1"/>
    <col min="222" max="222" width="11.28515625" bestFit="1" customWidth="1"/>
    <col min="223" max="223" width="10.5703125" bestFit="1" customWidth="1"/>
    <col min="224" max="224" width="11.28515625" bestFit="1" customWidth="1"/>
    <col min="225" max="225" width="9.7109375" bestFit="1" customWidth="1"/>
    <col min="226" max="226" width="10.28515625" bestFit="1" customWidth="1"/>
    <col min="227" max="227" width="9.7109375" bestFit="1" customWidth="1"/>
    <col min="228" max="235" width="10.5703125" bestFit="1" customWidth="1"/>
    <col min="236" max="237" width="11.5703125" bestFit="1" customWidth="1"/>
    <col min="238" max="238" width="12.28515625" bestFit="1" customWidth="1"/>
    <col min="239" max="239" width="11.28515625" bestFit="1" customWidth="1"/>
    <col min="240" max="240" width="10.5703125" bestFit="1" customWidth="1"/>
    <col min="241" max="241" width="12.28515625" bestFit="1" customWidth="1"/>
    <col min="242" max="243" width="11.28515625" bestFit="1" customWidth="1"/>
    <col min="244" max="246" width="10.5703125" bestFit="1" customWidth="1"/>
    <col min="247" max="247" width="11.28515625" bestFit="1" customWidth="1"/>
    <col min="248" max="248" width="10.5703125" bestFit="1" customWidth="1"/>
    <col min="249" max="249" width="11.28515625" bestFit="1" customWidth="1"/>
    <col min="250" max="251" width="10.5703125" bestFit="1" customWidth="1"/>
    <col min="252" max="253" width="11.28515625" bestFit="1" customWidth="1"/>
    <col min="254" max="255" width="10.5703125" bestFit="1" customWidth="1"/>
    <col min="256" max="256" width="11.28515625" bestFit="1" customWidth="1"/>
    <col min="257" max="257" width="9.7109375" bestFit="1" customWidth="1"/>
    <col min="258" max="263" width="11.28515625" bestFit="1" customWidth="1"/>
    <col min="264" max="264" width="10.5703125" bestFit="1" customWidth="1"/>
    <col min="265" max="266" width="9.7109375" bestFit="1" customWidth="1"/>
    <col min="267" max="267" width="11.28515625" bestFit="1" customWidth="1"/>
    <col min="268" max="271" width="10.5703125" bestFit="1" customWidth="1"/>
    <col min="272" max="272" width="11.28515625" bestFit="1" customWidth="1"/>
    <col min="273" max="275" width="11.5703125" bestFit="1" customWidth="1"/>
    <col min="276" max="277" width="11.28515625" bestFit="1" customWidth="1"/>
    <col min="278" max="278" width="10.5703125" bestFit="1" customWidth="1"/>
    <col min="279" max="282" width="11.28515625" bestFit="1" customWidth="1"/>
    <col min="283" max="283" width="10.5703125" bestFit="1" customWidth="1"/>
    <col min="284" max="285" width="11.28515625" bestFit="1" customWidth="1"/>
    <col min="286" max="286" width="10.5703125" bestFit="1" customWidth="1"/>
    <col min="287" max="287" width="11.28515625" bestFit="1" customWidth="1"/>
    <col min="288" max="289" width="10.5703125" bestFit="1" customWidth="1"/>
    <col min="290" max="292" width="11.28515625" bestFit="1" customWidth="1"/>
    <col min="293" max="293" width="10.5703125" bestFit="1" customWidth="1"/>
    <col min="294" max="295" width="11.28515625" bestFit="1" customWidth="1"/>
    <col min="296" max="296" width="10.5703125" bestFit="1" customWidth="1"/>
    <col min="297" max="297" width="11.28515625" bestFit="1" customWidth="1"/>
    <col min="298" max="301" width="10.5703125" bestFit="1" customWidth="1"/>
    <col min="302" max="302" width="11.28515625" bestFit="1" customWidth="1"/>
    <col min="303" max="304" width="11.5703125" bestFit="1" customWidth="1"/>
    <col min="305" max="305" width="12.28515625" bestFit="1" customWidth="1"/>
    <col min="306" max="332" width="11.5703125" bestFit="1" customWidth="1"/>
    <col min="333" max="333" width="12.28515625" bestFit="1" customWidth="1"/>
    <col min="334" max="334" width="11.28515625" bestFit="1" customWidth="1"/>
    <col min="335" max="336" width="10.5703125" bestFit="1" customWidth="1"/>
    <col min="337" max="337" width="11.28515625" bestFit="1" customWidth="1"/>
    <col min="338" max="339" width="10.5703125" bestFit="1" customWidth="1"/>
    <col min="340" max="342" width="11.28515625" bestFit="1" customWidth="1"/>
    <col min="343" max="343" width="11.42578125" bestFit="1" customWidth="1"/>
    <col min="344" max="344" width="11.28515625" bestFit="1" customWidth="1"/>
    <col min="345" max="346" width="10.5703125" bestFit="1" customWidth="1"/>
    <col min="347" max="348" width="11.42578125" bestFit="1" customWidth="1"/>
    <col min="349" max="351" width="10.5703125" bestFit="1" customWidth="1"/>
    <col min="352" max="352" width="11.28515625" bestFit="1" customWidth="1"/>
    <col min="353" max="356" width="10.5703125" bestFit="1" customWidth="1"/>
    <col min="357" max="357" width="11.28515625" bestFit="1" customWidth="1"/>
    <col min="358" max="361" width="10.5703125" bestFit="1" customWidth="1"/>
    <col min="362" max="362" width="11.28515625" bestFit="1" customWidth="1"/>
    <col min="363" max="363" width="11.85546875" bestFit="1" customWidth="1"/>
  </cols>
  <sheetData>
    <row r="1" spans="1:363" ht="15" customHeight="1" x14ac:dyDescent="0.25">
      <c r="A1" s="23"/>
      <c r="B1" s="24"/>
      <c r="C1" s="141">
        <v>43101</v>
      </c>
      <c r="D1" s="142"/>
      <c r="E1" s="142"/>
      <c r="F1" s="142"/>
      <c r="G1" s="143"/>
      <c r="H1" s="141">
        <v>43132</v>
      </c>
      <c r="I1" s="142"/>
      <c r="J1" s="142"/>
      <c r="K1" s="142"/>
      <c r="L1" s="143"/>
      <c r="M1" s="141">
        <v>43160</v>
      </c>
      <c r="N1" s="142"/>
      <c r="O1" s="142"/>
      <c r="P1" s="142"/>
      <c r="Q1" s="143"/>
      <c r="R1" s="141">
        <v>43191</v>
      </c>
      <c r="S1" s="142"/>
      <c r="T1" s="142"/>
      <c r="U1" s="142"/>
      <c r="V1" s="143"/>
      <c r="W1" s="141">
        <v>43221</v>
      </c>
      <c r="X1" s="142"/>
      <c r="Y1" s="142"/>
      <c r="Z1" s="142"/>
      <c r="AA1" s="143"/>
      <c r="AB1" s="141">
        <v>43252</v>
      </c>
      <c r="AC1" s="142"/>
      <c r="AD1" s="142"/>
      <c r="AE1" s="142"/>
      <c r="AF1" s="143"/>
      <c r="AG1" s="141">
        <v>43282</v>
      </c>
      <c r="AH1" s="142"/>
      <c r="AI1" s="142"/>
      <c r="AJ1" s="142"/>
      <c r="AK1" s="143"/>
      <c r="AL1" s="141">
        <v>43313</v>
      </c>
      <c r="AM1" s="142"/>
      <c r="AN1" s="142"/>
      <c r="AO1" s="142"/>
      <c r="AP1" s="143"/>
      <c r="AQ1" s="141">
        <v>43344</v>
      </c>
      <c r="AR1" s="142"/>
      <c r="AS1" s="142"/>
      <c r="AT1" s="142"/>
      <c r="AU1" s="143"/>
      <c r="AV1" s="141">
        <v>43374</v>
      </c>
      <c r="AW1" s="142"/>
      <c r="AX1" s="142"/>
      <c r="AY1" s="142"/>
      <c r="AZ1" s="143"/>
      <c r="BA1" s="141">
        <v>43405</v>
      </c>
      <c r="BB1" s="142"/>
      <c r="BC1" s="142"/>
      <c r="BD1" s="142"/>
      <c r="BE1" s="143"/>
      <c r="BF1" s="141">
        <v>43435</v>
      </c>
      <c r="BG1" s="142"/>
      <c r="BH1" s="142"/>
      <c r="BI1" s="142"/>
      <c r="BJ1" s="143"/>
      <c r="BK1" s="141">
        <v>43466</v>
      </c>
      <c r="BL1" s="142"/>
      <c r="BM1" s="142"/>
      <c r="BN1" s="142"/>
      <c r="BO1" s="143"/>
      <c r="BP1" s="141">
        <v>43497</v>
      </c>
      <c r="BQ1" s="142"/>
      <c r="BR1" s="142"/>
      <c r="BS1" s="142"/>
      <c r="BT1" s="143"/>
      <c r="BU1" s="141">
        <v>43525</v>
      </c>
      <c r="BV1" s="142"/>
      <c r="BW1" s="142"/>
      <c r="BX1" s="142"/>
      <c r="BY1" s="143"/>
      <c r="BZ1" s="141">
        <v>43556</v>
      </c>
      <c r="CA1" s="142"/>
      <c r="CB1" s="142"/>
      <c r="CC1" s="142"/>
      <c r="CD1" s="143"/>
      <c r="CE1" s="141">
        <v>43586</v>
      </c>
      <c r="CF1" s="142"/>
      <c r="CG1" s="142"/>
      <c r="CH1" s="142"/>
      <c r="CI1" s="143"/>
      <c r="CJ1" s="144">
        <v>43617</v>
      </c>
      <c r="CK1" s="145"/>
      <c r="CL1" s="145"/>
      <c r="CM1" s="145"/>
      <c r="CN1" s="145"/>
      <c r="CO1" s="144">
        <v>43647</v>
      </c>
      <c r="CP1" s="145"/>
      <c r="CQ1" s="145"/>
      <c r="CR1" s="145"/>
      <c r="CS1" s="145"/>
      <c r="CT1" s="144">
        <v>43678</v>
      </c>
      <c r="CU1" s="145"/>
      <c r="CV1" s="145"/>
      <c r="CW1" s="145"/>
      <c r="CX1" s="145"/>
      <c r="CY1" s="144">
        <v>43709</v>
      </c>
      <c r="CZ1" s="145"/>
      <c r="DA1" s="145"/>
      <c r="DB1" s="145"/>
      <c r="DC1" s="145"/>
      <c r="DD1" s="144">
        <v>43739</v>
      </c>
      <c r="DE1" s="145"/>
      <c r="DF1" s="145"/>
      <c r="DG1" s="145"/>
      <c r="DH1" s="145"/>
      <c r="DI1" s="144">
        <v>43770</v>
      </c>
      <c r="DJ1" s="145"/>
      <c r="DK1" s="145"/>
      <c r="DL1" s="145"/>
      <c r="DM1" s="145"/>
      <c r="DN1" s="144">
        <v>43800</v>
      </c>
      <c r="DO1" s="145"/>
      <c r="DP1" s="145"/>
      <c r="DQ1" s="145"/>
      <c r="DR1" s="145"/>
      <c r="DS1" s="144">
        <v>43831</v>
      </c>
      <c r="DT1" s="145"/>
      <c r="DU1" s="145"/>
      <c r="DV1" s="145"/>
      <c r="DW1" s="145"/>
      <c r="DX1" s="144">
        <v>43862</v>
      </c>
      <c r="DY1" s="145"/>
      <c r="DZ1" s="145"/>
      <c r="EA1" s="145"/>
      <c r="EB1" s="145"/>
      <c r="EC1" s="146">
        <v>43891</v>
      </c>
      <c r="ED1" s="146"/>
      <c r="EE1" s="146"/>
      <c r="EF1" s="146"/>
      <c r="EG1" s="146"/>
      <c r="EH1" s="145">
        <v>43922</v>
      </c>
      <c r="EI1" s="145"/>
      <c r="EJ1" s="145"/>
      <c r="EK1" s="145"/>
      <c r="EL1" s="145"/>
      <c r="EM1" s="144">
        <v>43952</v>
      </c>
      <c r="EN1" s="145"/>
      <c r="EO1" s="145"/>
      <c r="EP1" s="145"/>
      <c r="EQ1" s="145"/>
      <c r="ER1" s="144">
        <v>43983</v>
      </c>
      <c r="ES1" s="145"/>
      <c r="ET1" s="145"/>
      <c r="EU1" s="145"/>
      <c r="EV1" s="145"/>
      <c r="EW1" s="144">
        <v>44013</v>
      </c>
      <c r="EX1" s="145"/>
      <c r="EY1" s="145"/>
      <c r="EZ1" s="145"/>
      <c r="FA1" s="145"/>
      <c r="FB1" s="144">
        <v>44044</v>
      </c>
      <c r="FC1" s="145"/>
      <c r="FD1" s="145"/>
      <c r="FE1" s="145"/>
      <c r="FF1" s="145"/>
      <c r="FG1" s="144">
        <v>44075</v>
      </c>
      <c r="FH1" s="145"/>
      <c r="FI1" s="145"/>
      <c r="FJ1" s="145"/>
      <c r="FK1" s="145"/>
      <c r="FL1" s="144">
        <v>44105</v>
      </c>
      <c r="FM1" s="145"/>
      <c r="FN1" s="145"/>
      <c r="FO1" s="145"/>
      <c r="FP1" s="145"/>
      <c r="FQ1" s="144">
        <v>44136</v>
      </c>
      <c r="FR1" s="145"/>
      <c r="FS1" s="145"/>
      <c r="FT1" s="145"/>
      <c r="FU1" s="145"/>
      <c r="FV1" s="144">
        <v>44166</v>
      </c>
      <c r="FW1" s="145"/>
      <c r="FX1" s="145"/>
      <c r="FY1" s="145"/>
      <c r="FZ1" s="145"/>
      <c r="GA1" s="144">
        <v>44197</v>
      </c>
      <c r="GB1" s="145"/>
      <c r="GC1" s="145"/>
      <c r="GD1" s="145"/>
      <c r="GE1" s="145"/>
      <c r="GF1" s="144">
        <v>44228</v>
      </c>
      <c r="GG1" s="145"/>
      <c r="GH1" s="145"/>
      <c r="GI1" s="145"/>
      <c r="GJ1" s="145"/>
      <c r="GK1" s="144">
        <v>44256</v>
      </c>
      <c r="GL1" s="145"/>
      <c r="GM1" s="145"/>
      <c r="GN1" s="145"/>
      <c r="GO1" s="145"/>
      <c r="GP1" s="144">
        <v>44287</v>
      </c>
      <c r="GQ1" s="145"/>
      <c r="GR1" s="145"/>
      <c r="GS1" s="145"/>
      <c r="GT1" s="145"/>
      <c r="GU1" s="144">
        <v>44317</v>
      </c>
      <c r="GV1" s="145"/>
      <c r="GW1" s="145"/>
      <c r="GX1" s="145"/>
      <c r="GY1" s="145"/>
      <c r="GZ1" s="144">
        <v>44348</v>
      </c>
      <c r="HA1" s="145"/>
      <c r="HB1" s="145"/>
      <c r="HC1" s="145"/>
      <c r="HD1" s="145"/>
      <c r="HE1" s="144">
        <v>44378</v>
      </c>
      <c r="HF1" s="145"/>
      <c r="HG1" s="145"/>
      <c r="HH1" s="145"/>
      <c r="HI1" s="145"/>
      <c r="HJ1" s="144">
        <v>44409</v>
      </c>
      <c r="HK1" s="145"/>
      <c r="HL1" s="145"/>
      <c r="HM1" s="145"/>
      <c r="HN1" s="145"/>
      <c r="HO1" s="144">
        <v>44440</v>
      </c>
      <c r="HP1" s="145"/>
      <c r="HQ1" s="145"/>
      <c r="HR1" s="145"/>
      <c r="HS1" s="145"/>
      <c r="HT1" s="144">
        <v>44470</v>
      </c>
      <c r="HU1" s="145"/>
      <c r="HV1" s="145"/>
      <c r="HW1" s="145"/>
      <c r="HX1" s="145"/>
      <c r="HY1" s="144">
        <v>44501</v>
      </c>
      <c r="HZ1" s="145"/>
      <c r="IA1" s="145"/>
      <c r="IB1" s="145"/>
      <c r="IC1" s="145"/>
      <c r="ID1" s="144">
        <v>44531</v>
      </c>
      <c r="IE1" s="145"/>
      <c r="IF1" s="145"/>
      <c r="IG1" s="145"/>
      <c r="IH1" s="145"/>
      <c r="II1" s="141">
        <v>44562</v>
      </c>
      <c r="IJ1" s="142"/>
      <c r="IK1" s="142"/>
      <c r="IL1" s="142"/>
      <c r="IM1" s="143"/>
      <c r="IN1" s="141">
        <v>44593</v>
      </c>
      <c r="IO1" s="142"/>
      <c r="IP1" s="142"/>
      <c r="IQ1" s="142"/>
      <c r="IR1" s="143"/>
      <c r="IS1" s="141">
        <v>44621</v>
      </c>
      <c r="IT1" s="142"/>
      <c r="IU1" s="142"/>
      <c r="IV1" s="142"/>
      <c r="IW1" s="143"/>
      <c r="IX1" s="141">
        <v>44652</v>
      </c>
      <c r="IY1" s="142"/>
      <c r="IZ1" s="142"/>
      <c r="JA1" s="142"/>
      <c r="JB1" s="143"/>
      <c r="JC1" s="141">
        <v>44682</v>
      </c>
      <c r="JD1" s="142"/>
      <c r="JE1" s="142"/>
      <c r="JF1" s="142"/>
      <c r="JG1" s="143"/>
      <c r="JH1" s="141">
        <v>44713</v>
      </c>
      <c r="JI1" s="142"/>
      <c r="JJ1" s="142"/>
      <c r="JK1" s="142"/>
      <c r="JL1" s="143"/>
      <c r="JM1" s="141">
        <v>44743</v>
      </c>
      <c r="JN1" s="142"/>
      <c r="JO1" s="142"/>
      <c r="JP1" s="142"/>
      <c r="JQ1" s="143"/>
      <c r="JR1" s="141">
        <v>44774</v>
      </c>
      <c r="JS1" s="142"/>
      <c r="JT1" s="142"/>
      <c r="JU1" s="142"/>
      <c r="JV1" s="143"/>
      <c r="JW1" s="141">
        <v>44805</v>
      </c>
      <c r="JX1" s="142"/>
      <c r="JY1" s="142"/>
      <c r="JZ1" s="142"/>
      <c r="KA1" s="143"/>
      <c r="KB1" s="141">
        <v>44835</v>
      </c>
      <c r="KC1" s="142"/>
      <c r="KD1" s="142"/>
      <c r="KE1" s="142"/>
      <c r="KF1" s="143"/>
      <c r="KG1" s="141">
        <v>44866</v>
      </c>
      <c r="KH1" s="142"/>
      <c r="KI1" s="142"/>
      <c r="KJ1" s="142"/>
      <c r="KK1" s="143"/>
      <c r="KL1" s="141">
        <v>44896</v>
      </c>
      <c r="KM1" s="142"/>
      <c r="KN1" s="142"/>
      <c r="KO1" s="142"/>
      <c r="KP1" s="143"/>
      <c r="KQ1" s="141">
        <v>44927</v>
      </c>
      <c r="KR1" s="142"/>
      <c r="KS1" s="142"/>
      <c r="KT1" s="142"/>
      <c r="KU1" s="143"/>
      <c r="KV1" s="141">
        <v>44958</v>
      </c>
      <c r="KW1" s="142"/>
      <c r="KX1" s="142"/>
      <c r="KY1" s="142"/>
      <c r="KZ1" s="143"/>
      <c r="LA1" s="141">
        <v>44986</v>
      </c>
      <c r="LB1" s="142"/>
      <c r="LC1" s="142"/>
      <c r="LD1" s="142"/>
      <c r="LE1" s="143"/>
      <c r="LF1" s="141">
        <v>45017</v>
      </c>
      <c r="LG1" s="142"/>
      <c r="LH1" s="142"/>
      <c r="LI1" s="142"/>
      <c r="LJ1" s="143"/>
      <c r="LK1" s="141">
        <v>45047</v>
      </c>
      <c r="LL1" s="142"/>
      <c r="LM1" s="142"/>
      <c r="LN1" s="142"/>
      <c r="LO1" s="143"/>
      <c r="LP1" s="141">
        <v>45078</v>
      </c>
      <c r="LQ1" s="142"/>
      <c r="LR1" s="142"/>
      <c r="LS1" s="142"/>
      <c r="LT1" s="143"/>
      <c r="LU1" s="141">
        <v>45108</v>
      </c>
      <c r="LV1" s="142"/>
      <c r="LW1" s="142"/>
      <c r="LX1" s="142"/>
      <c r="LY1" s="143"/>
      <c r="LZ1" s="141">
        <v>45139</v>
      </c>
      <c r="MA1" s="142"/>
      <c r="MB1" s="142"/>
      <c r="MC1" s="142"/>
      <c r="MD1" s="143"/>
      <c r="ME1" s="141">
        <v>45170</v>
      </c>
      <c r="MF1" s="142"/>
      <c r="MG1" s="142"/>
      <c r="MH1" s="142"/>
      <c r="MI1" s="143"/>
      <c r="MJ1" s="141">
        <v>45200</v>
      </c>
      <c r="MK1" s="142"/>
      <c r="ML1" s="142"/>
      <c r="MM1" s="142"/>
      <c r="MN1" s="143"/>
      <c r="MO1" s="141">
        <v>45231</v>
      </c>
      <c r="MP1" s="142"/>
      <c r="MQ1" s="142"/>
      <c r="MR1" s="142"/>
      <c r="MS1" s="143"/>
      <c r="MT1" s="141">
        <v>45261</v>
      </c>
      <c r="MU1" s="142"/>
      <c r="MV1" s="142"/>
      <c r="MW1" s="142"/>
      <c r="MX1" s="143"/>
    </row>
    <row r="2" spans="1:363" x14ac:dyDescent="0.25">
      <c r="A2" s="25"/>
      <c r="B2" s="26" t="s">
        <v>0</v>
      </c>
      <c r="C2" s="27" t="s">
        <v>74</v>
      </c>
      <c r="D2" s="27" t="s">
        <v>75</v>
      </c>
      <c r="E2" s="27" t="s">
        <v>76</v>
      </c>
      <c r="F2" s="27" t="s">
        <v>77</v>
      </c>
      <c r="G2" s="27" t="s">
        <v>78</v>
      </c>
      <c r="H2" s="27" t="s">
        <v>74</v>
      </c>
      <c r="I2" s="27" t="s">
        <v>75</v>
      </c>
      <c r="J2" s="27" t="s">
        <v>76</v>
      </c>
      <c r="K2" s="27" t="s">
        <v>77</v>
      </c>
      <c r="L2" s="27" t="s">
        <v>78</v>
      </c>
      <c r="M2" s="27" t="s">
        <v>74</v>
      </c>
      <c r="N2" s="27" t="s">
        <v>75</v>
      </c>
      <c r="O2" s="27" t="s">
        <v>76</v>
      </c>
      <c r="P2" s="27" t="s">
        <v>77</v>
      </c>
      <c r="Q2" s="27" t="s">
        <v>78</v>
      </c>
      <c r="R2" s="27" t="s">
        <v>74</v>
      </c>
      <c r="S2" s="27" t="s">
        <v>75</v>
      </c>
      <c r="T2" s="27" t="s">
        <v>76</v>
      </c>
      <c r="U2" s="27" t="s">
        <v>77</v>
      </c>
      <c r="V2" s="27" t="s">
        <v>78</v>
      </c>
      <c r="W2" s="27" t="s">
        <v>74</v>
      </c>
      <c r="X2" s="27" t="s">
        <v>75</v>
      </c>
      <c r="Y2" s="27" t="s">
        <v>76</v>
      </c>
      <c r="Z2" s="27" t="s">
        <v>77</v>
      </c>
      <c r="AA2" s="27" t="s">
        <v>78</v>
      </c>
      <c r="AB2" s="27" t="s">
        <v>74</v>
      </c>
      <c r="AC2" s="27" t="s">
        <v>75</v>
      </c>
      <c r="AD2" s="27" t="s">
        <v>76</v>
      </c>
      <c r="AE2" s="27" t="s">
        <v>77</v>
      </c>
      <c r="AF2" s="27" t="s">
        <v>78</v>
      </c>
      <c r="AG2" s="27" t="s">
        <v>74</v>
      </c>
      <c r="AH2" s="27" t="s">
        <v>75</v>
      </c>
      <c r="AI2" s="27" t="s">
        <v>76</v>
      </c>
      <c r="AJ2" s="27" t="s">
        <v>77</v>
      </c>
      <c r="AK2" s="27" t="s">
        <v>78</v>
      </c>
      <c r="AL2" s="27" t="s">
        <v>74</v>
      </c>
      <c r="AM2" s="27" t="s">
        <v>75</v>
      </c>
      <c r="AN2" s="27" t="s">
        <v>76</v>
      </c>
      <c r="AO2" s="27" t="s">
        <v>77</v>
      </c>
      <c r="AP2" s="27" t="s">
        <v>78</v>
      </c>
      <c r="AQ2" s="27" t="s">
        <v>74</v>
      </c>
      <c r="AR2" s="27" t="s">
        <v>75</v>
      </c>
      <c r="AS2" s="27" t="s">
        <v>76</v>
      </c>
      <c r="AT2" s="27" t="s">
        <v>77</v>
      </c>
      <c r="AU2" s="27" t="s">
        <v>78</v>
      </c>
      <c r="AV2" s="27" t="s">
        <v>74</v>
      </c>
      <c r="AW2" s="27" t="s">
        <v>75</v>
      </c>
      <c r="AX2" s="27" t="s">
        <v>76</v>
      </c>
      <c r="AY2" s="27" t="s">
        <v>77</v>
      </c>
      <c r="AZ2" s="27" t="s">
        <v>78</v>
      </c>
      <c r="BA2" s="27" t="s">
        <v>74</v>
      </c>
      <c r="BB2" s="27" t="s">
        <v>75</v>
      </c>
      <c r="BC2" s="27" t="s">
        <v>76</v>
      </c>
      <c r="BD2" s="27" t="s">
        <v>77</v>
      </c>
      <c r="BE2" s="27" t="s">
        <v>78</v>
      </c>
      <c r="BF2" s="27" t="s">
        <v>74</v>
      </c>
      <c r="BG2" s="27" t="s">
        <v>75</v>
      </c>
      <c r="BH2" s="27" t="s">
        <v>76</v>
      </c>
      <c r="BI2" s="27" t="s">
        <v>77</v>
      </c>
      <c r="BJ2" s="27" t="s">
        <v>78</v>
      </c>
      <c r="BK2" s="27" t="s">
        <v>74</v>
      </c>
      <c r="BL2" s="27" t="s">
        <v>75</v>
      </c>
      <c r="BM2" s="27" t="s">
        <v>76</v>
      </c>
      <c r="BN2" s="27" t="s">
        <v>77</v>
      </c>
      <c r="BO2" s="27" t="s">
        <v>78</v>
      </c>
      <c r="BP2" s="27" t="s">
        <v>74</v>
      </c>
      <c r="BQ2" s="27" t="s">
        <v>75</v>
      </c>
      <c r="BR2" s="27" t="s">
        <v>76</v>
      </c>
      <c r="BS2" s="27" t="s">
        <v>77</v>
      </c>
      <c r="BT2" s="27" t="s">
        <v>78</v>
      </c>
      <c r="BU2" s="27" t="s">
        <v>74</v>
      </c>
      <c r="BV2" s="27" t="s">
        <v>75</v>
      </c>
      <c r="BW2" s="27" t="s">
        <v>76</v>
      </c>
      <c r="BX2" s="27" t="s">
        <v>77</v>
      </c>
      <c r="BY2" s="27" t="s">
        <v>78</v>
      </c>
      <c r="BZ2" s="27" t="s">
        <v>74</v>
      </c>
      <c r="CA2" s="27" t="s">
        <v>75</v>
      </c>
      <c r="CB2" s="27" t="s">
        <v>76</v>
      </c>
      <c r="CC2" s="27" t="s">
        <v>77</v>
      </c>
      <c r="CD2" s="27" t="s">
        <v>78</v>
      </c>
      <c r="CE2" s="27" t="s">
        <v>74</v>
      </c>
      <c r="CF2" s="27" t="s">
        <v>75</v>
      </c>
      <c r="CG2" s="27" t="s">
        <v>76</v>
      </c>
      <c r="CH2" s="27" t="s">
        <v>77</v>
      </c>
      <c r="CI2" s="27" t="s">
        <v>78</v>
      </c>
      <c r="CJ2" s="27" t="s">
        <v>74</v>
      </c>
      <c r="CK2" s="27" t="s">
        <v>75</v>
      </c>
      <c r="CL2" s="27" t="s">
        <v>76</v>
      </c>
      <c r="CM2" s="27" t="s">
        <v>77</v>
      </c>
      <c r="CN2" s="27" t="s">
        <v>78</v>
      </c>
      <c r="CO2" s="27" t="s">
        <v>74</v>
      </c>
      <c r="CP2" s="27" t="s">
        <v>75</v>
      </c>
      <c r="CQ2" s="27" t="s">
        <v>76</v>
      </c>
      <c r="CR2" s="27" t="s">
        <v>77</v>
      </c>
      <c r="CS2" s="27" t="s">
        <v>78</v>
      </c>
      <c r="CT2" s="27" t="s">
        <v>74</v>
      </c>
      <c r="CU2" s="27" t="s">
        <v>75</v>
      </c>
      <c r="CV2" s="27" t="s">
        <v>76</v>
      </c>
      <c r="CW2" s="27" t="s">
        <v>77</v>
      </c>
      <c r="CX2" s="27" t="s">
        <v>78</v>
      </c>
      <c r="CY2" s="27" t="s">
        <v>74</v>
      </c>
      <c r="CZ2" s="27" t="s">
        <v>75</v>
      </c>
      <c r="DA2" s="27" t="s">
        <v>76</v>
      </c>
      <c r="DB2" s="27" t="s">
        <v>77</v>
      </c>
      <c r="DC2" s="27" t="s">
        <v>78</v>
      </c>
      <c r="DD2" s="27" t="s">
        <v>74</v>
      </c>
      <c r="DE2" s="27" t="s">
        <v>75</v>
      </c>
      <c r="DF2" s="27" t="s">
        <v>76</v>
      </c>
      <c r="DG2" s="27" t="s">
        <v>77</v>
      </c>
      <c r="DH2" s="27" t="s">
        <v>78</v>
      </c>
      <c r="DI2" s="27" t="s">
        <v>74</v>
      </c>
      <c r="DJ2" s="27" t="s">
        <v>75</v>
      </c>
      <c r="DK2" s="27" t="s">
        <v>76</v>
      </c>
      <c r="DL2" s="27" t="s">
        <v>77</v>
      </c>
      <c r="DM2" s="27" t="s">
        <v>78</v>
      </c>
      <c r="DN2" s="27" t="s">
        <v>74</v>
      </c>
      <c r="DO2" s="27" t="s">
        <v>75</v>
      </c>
      <c r="DP2" s="27" t="s">
        <v>76</v>
      </c>
      <c r="DQ2" s="27" t="s">
        <v>77</v>
      </c>
      <c r="DR2" s="27" t="s">
        <v>78</v>
      </c>
      <c r="DS2" s="27" t="s">
        <v>74</v>
      </c>
      <c r="DT2" s="27" t="s">
        <v>75</v>
      </c>
      <c r="DU2" s="27" t="s">
        <v>76</v>
      </c>
      <c r="DV2" s="27" t="s">
        <v>77</v>
      </c>
      <c r="DW2" s="27" t="s">
        <v>78</v>
      </c>
      <c r="DX2" s="27" t="s">
        <v>74</v>
      </c>
      <c r="DY2" s="27" t="s">
        <v>75</v>
      </c>
      <c r="DZ2" s="27" t="s">
        <v>76</v>
      </c>
      <c r="EA2" s="27" t="s">
        <v>77</v>
      </c>
      <c r="EB2" s="28" t="s">
        <v>78</v>
      </c>
      <c r="EC2" s="27" t="s">
        <v>74</v>
      </c>
      <c r="ED2" s="27" t="s">
        <v>75</v>
      </c>
      <c r="EE2" s="27" t="s">
        <v>76</v>
      </c>
      <c r="EF2" s="27" t="s">
        <v>77</v>
      </c>
      <c r="EG2" s="27" t="s">
        <v>78</v>
      </c>
      <c r="EH2" s="29" t="s">
        <v>74</v>
      </c>
      <c r="EI2" s="27" t="s">
        <v>75</v>
      </c>
      <c r="EJ2" s="27" t="s">
        <v>76</v>
      </c>
      <c r="EK2" s="27" t="s">
        <v>77</v>
      </c>
      <c r="EL2" s="27" t="s">
        <v>78</v>
      </c>
      <c r="EM2" s="27" t="s">
        <v>74</v>
      </c>
      <c r="EN2" s="27" t="s">
        <v>75</v>
      </c>
      <c r="EO2" s="27" t="s">
        <v>76</v>
      </c>
      <c r="EP2" s="27" t="s">
        <v>77</v>
      </c>
      <c r="EQ2" s="27" t="s">
        <v>78</v>
      </c>
      <c r="ER2" s="27" t="s">
        <v>74</v>
      </c>
      <c r="ES2" s="27" t="s">
        <v>75</v>
      </c>
      <c r="ET2" s="27" t="s">
        <v>76</v>
      </c>
      <c r="EU2" s="27" t="s">
        <v>77</v>
      </c>
      <c r="EV2" s="27" t="s">
        <v>78</v>
      </c>
      <c r="EW2" s="27" t="s">
        <v>74</v>
      </c>
      <c r="EX2" s="27" t="s">
        <v>75</v>
      </c>
      <c r="EY2" s="27" t="s">
        <v>76</v>
      </c>
      <c r="EZ2" s="27" t="s">
        <v>77</v>
      </c>
      <c r="FA2" s="27" t="s">
        <v>78</v>
      </c>
      <c r="FB2" s="27" t="s">
        <v>74</v>
      </c>
      <c r="FC2" s="27" t="s">
        <v>75</v>
      </c>
      <c r="FD2" s="27" t="s">
        <v>76</v>
      </c>
      <c r="FE2" s="27" t="s">
        <v>77</v>
      </c>
      <c r="FF2" s="27" t="s">
        <v>78</v>
      </c>
      <c r="FG2" s="27" t="s">
        <v>74</v>
      </c>
      <c r="FH2" s="27" t="s">
        <v>75</v>
      </c>
      <c r="FI2" s="27" t="s">
        <v>76</v>
      </c>
      <c r="FJ2" s="27" t="s">
        <v>77</v>
      </c>
      <c r="FK2" s="27" t="s">
        <v>78</v>
      </c>
      <c r="FL2" s="27" t="s">
        <v>74</v>
      </c>
      <c r="FM2" s="27" t="s">
        <v>75</v>
      </c>
      <c r="FN2" s="27" t="s">
        <v>76</v>
      </c>
      <c r="FO2" s="27" t="s">
        <v>77</v>
      </c>
      <c r="FP2" s="27" t="s">
        <v>78</v>
      </c>
      <c r="FQ2" s="27" t="s">
        <v>74</v>
      </c>
      <c r="FR2" s="27" t="s">
        <v>75</v>
      </c>
      <c r="FS2" s="27" t="s">
        <v>76</v>
      </c>
      <c r="FT2" s="27" t="s">
        <v>77</v>
      </c>
      <c r="FU2" s="27" t="s">
        <v>78</v>
      </c>
      <c r="FV2" s="27" t="s">
        <v>74</v>
      </c>
      <c r="FW2" s="27" t="s">
        <v>75</v>
      </c>
      <c r="FX2" s="27" t="s">
        <v>76</v>
      </c>
      <c r="FY2" s="27" t="s">
        <v>77</v>
      </c>
      <c r="FZ2" s="27" t="s">
        <v>78</v>
      </c>
      <c r="GA2" s="27" t="s">
        <v>74</v>
      </c>
      <c r="GB2" s="27" t="s">
        <v>75</v>
      </c>
      <c r="GC2" s="27" t="s">
        <v>76</v>
      </c>
      <c r="GD2" s="27" t="s">
        <v>77</v>
      </c>
      <c r="GE2" s="27" t="s">
        <v>78</v>
      </c>
      <c r="GF2" s="27" t="s">
        <v>74</v>
      </c>
      <c r="GG2" s="27" t="s">
        <v>75</v>
      </c>
      <c r="GH2" s="27" t="s">
        <v>76</v>
      </c>
      <c r="GI2" s="27" t="s">
        <v>77</v>
      </c>
      <c r="GJ2" s="27" t="s">
        <v>78</v>
      </c>
      <c r="GK2" s="27" t="s">
        <v>74</v>
      </c>
      <c r="GL2" s="27" t="s">
        <v>75</v>
      </c>
      <c r="GM2" s="27" t="s">
        <v>76</v>
      </c>
      <c r="GN2" s="27" t="s">
        <v>77</v>
      </c>
      <c r="GO2" s="27" t="s">
        <v>78</v>
      </c>
      <c r="GP2" s="27" t="s">
        <v>74</v>
      </c>
      <c r="GQ2" s="27" t="s">
        <v>75</v>
      </c>
      <c r="GR2" s="27" t="s">
        <v>76</v>
      </c>
      <c r="GS2" s="27" t="s">
        <v>77</v>
      </c>
      <c r="GT2" s="27" t="s">
        <v>78</v>
      </c>
      <c r="GU2" s="27" t="s">
        <v>74</v>
      </c>
      <c r="GV2" s="27" t="s">
        <v>75</v>
      </c>
      <c r="GW2" s="27" t="s">
        <v>76</v>
      </c>
      <c r="GX2" s="27" t="s">
        <v>77</v>
      </c>
      <c r="GY2" s="27" t="s">
        <v>78</v>
      </c>
      <c r="GZ2" s="27" t="s">
        <v>74</v>
      </c>
      <c r="HA2" s="27" t="s">
        <v>75</v>
      </c>
      <c r="HB2" s="27" t="s">
        <v>76</v>
      </c>
      <c r="HC2" s="27" t="s">
        <v>77</v>
      </c>
      <c r="HD2" s="27" t="s">
        <v>78</v>
      </c>
      <c r="HE2" s="27" t="s">
        <v>74</v>
      </c>
      <c r="HF2" s="27" t="s">
        <v>75</v>
      </c>
      <c r="HG2" s="27" t="s">
        <v>76</v>
      </c>
      <c r="HH2" s="27" t="s">
        <v>77</v>
      </c>
      <c r="HI2" s="27" t="s">
        <v>78</v>
      </c>
      <c r="HJ2" s="27" t="s">
        <v>74</v>
      </c>
      <c r="HK2" s="27" t="s">
        <v>75</v>
      </c>
      <c r="HL2" s="27" t="s">
        <v>76</v>
      </c>
      <c r="HM2" s="27" t="s">
        <v>77</v>
      </c>
      <c r="HN2" s="27" t="s">
        <v>78</v>
      </c>
      <c r="HO2" s="27" t="s">
        <v>74</v>
      </c>
      <c r="HP2" s="27" t="s">
        <v>75</v>
      </c>
      <c r="HQ2" s="27" t="s">
        <v>76</v>
      </c>
      <c r="HR2" s="27" t="s">
        <v>77</v>
      </c>
      <c r="HS2" s="27" t="s">
        <v>78</v>
      </c>
      <c r="HT2" s="27" t="s">
        <v>74</v>
      </c>
      <c r="HU2" s="27" t="s">
        <v>75</v>
      </c>
      <c r="HV2" s="27" t="s">
        <v>76</v>
      </c>
      <c r="HW2" s="27" t="s">
        <v>77</v>
      </c>
      <c r="HX2" s="27" t="s">
        <v>78</v>
      </c>
      <c r="HY2" s="27" t="s">
        <v>74</v>
      </c>
      <c r="HZ2" s="27" t="s">
        <v>75</v>
      </c>
      <c r="IA2" s="27" t="s">
        <v>76</v>
      </c>
      <c r="IB2" s="27" t="s">
        <v>77</v>
      </c>
      <c r="IC2" s="27" t="s">
        <v>78</v>
      </c>
      <c r="ID2" s="27" t="s">
        <v>74</v>
      </c>
      <c r="IE2" s="27" t="s">
        <v>75</v>
      </c>
      <c r="IF2" s="27" t="s">
        <v>76</v>
      </c>
      <c r="IG2" s="27" t="s">
        <v>77</v>
      </c>
      <c r="IH2" s="27" t="s">
        <v>78</v>
      </c>
      <c r="II2" s="27" t="s">
        <v>74</v>
      </c>
      <c r="IJ2" s="27" t="s">
        <v>75</v>
      </c>
      <c r="IK2" s="27" t="s">
        <v>76</v>
      </c>
      <c r="IL2" s="27" t="s">
        <v>77</v>
      </c>
      <c r="IM2" s="27" t="s">
        <v>78</v>
      </c>
      <c r="IN2" s="27" t="s">
        <v>74</v>
      </c>
      <c r="IO2" s="27" t="s">
        <v>75</v>
      </c>
      <c r="IP2" s="27" t="s">
        <v>76</v>
      </c>
      <c r="IQ2" s="27" t="s">
        <v>77</v>
      </c>
      <c r="IR2" s="27" t="s">
        <v>78</v>
      </c>
      <c r="IS2" s="27" t="s">
        <v>74</v>
      </c>
      <c r="IT2" s="27" t="s">
        <v>75</v>
      </c>
      <c r="IU2" s="27" t="s">
        <v>76</v>
      </c>
      <c r="IV2" s="27" t="s">
        <v>77</v>
      </c>
      <c r="IW2" s="27" t="s">
        <v>78</v>
      </c>
      <c r="IX2" s="27" t="s">
        <v>74</v>
      </c>
      <c r="IY2" s="27" t="s">
        <v>75</v>
      </c>
      <c r="IZ2" s="27" t="s">
        <v>76</v>
      </c>
      <c r="JA2" s="27" t="s">
        <v>77</v>
      </c>
      <c r="JB2" s="27" t="s">
        <v>78</v>
      </c>
      <c r="JC2" s="27" t="s">
        <v>74</v>
      </c>
      <c r="JD2" s="27" t="s">
        <v>75</v>
      </c>
      <c r="JE2" s="27" t="s">
        <v>76</v>
      </c>
      <c r="JF2" s="27" t="s">
        <v>77</v>
      </c>
      <c r="JG2" s="27" t="s">
        <v>78</v>
      </c>
      <c r="JH2" s="27" t="s">
        <v>74</v>
      </c>
      <c r="JI2" s="27" t="s">
        <v>75</v>
      </c>
      <c r="JJ2" s="27" t="s">
        <v>76</v>
      </c>
      <c r="JK2" s="27" t="s">
        <v>77</v>
      </c>
      <c r="JL2" s="27" t="s">
        <v>78</v>
      </c>
      <c r="JM2" s="27" t="s">
        <v>74</v>
      </c>
      <c r="JN2" s="27" t="s">
        <v>75</v>
      </c>
      <c r="JO2" s="27" t="s">
        <v>76</v>
      </c>
      <c r="JP2" s="27" t="s">
        <v>77</v>
      </c>
      <c r="JQ2" s="27" t="s">
        <v>78</v>
      </c>
      <c r="JR2" s="27" t="s">
        <v>74</v>
      </c>
      <c r="JS2" s="27" t="s">
        <v>75</v>
      </c>
      <c r="JT2" s="27" t="s">
        <v>76</v>
      </c>
      <c r="JU2" s="27" t="s">
        <v>77</v>
      </c>
      <c r="JV2" s="27" t="s">
        <v>78</v>
      </c>
      <c r="JW2" s="27" t="s">
        <v>74</v>
      </c>
      <c r="JX2" s="27" t="s">
        <v>75</v>
      </c>
      <c r="JY2" s="27" t="s">
        <v>76</v>
      </c>
      <c r="JZ2" s="27" t="s">
        <v>77</v>
      </c>
      <c r="KA2" s="27" t="s">
        <v>78</v>
      </c>
      <c r="KB2" s="27" t="s">
        <v>74</v>
      </c>
      <c r="KC2" s="27" t="s">
        <v>75</v>
      </c>
      <c r="KD2" s="27" t="s">
        <v>76</v>
      </c>
      <c r="KE2" s="27" t="s">
        <v>77</v>
      </c>
      <c r="KF2" s="27" t="s">
        <v>78</v>
      </c>
      <c r="KG2" s="27" t="s">
        <v>74</v>
      </c>
      <c r="KH2" s="27" t="s">
        <v>75</v>
      </c>
      <c r="KI2" s="27" t="s">
        <v>76</v>
      </c>
      <c r="KJ2" s="27" t="s">
        <v>77</v>
      </c>
      <c r="KK2" s="27" t="s">
        <v>78</v>
      </c>
      <c r="KL2" s="27" t="s">
        <v>74</v>
      </c>
      <c r="KM2" s="27" t="s">
        <v>75</v>
      </c>
      <c r="KN2" s="27" t="s">
        <v>76</v>
      </c>
      <c r="KO2" s="27" t="s">
        <v>77</v>
      </c>
      <c r="KP2" s="27" t="s">
        <v>78</v>
      </c>
      <c r="KQ2" s="27" t="s">
        <v>74</v>
      </c>
      <c r="KR2" s="27" t="s">
        <v>75</v>
      </c>
      <c r="KS2" s="27" t="s">
        <v>76</v>
      </c>
      <c r="KT2" s="27" t="s">
        <v>77</v>
      </c>
      <c r="KU2" s="27" t="s">
        <v>78</v>
      </c>
      <c r="KV2" s="27" t="s">
        <v>74</v>
      </c>
      <c r="KW2" s="27" t="s">
        <v>75</v>
      </c>
      <c r="KX2" s="27" t="s">
        <v>76</v>
      </c>
      <c r="KY2" s="27" t="s">
        <v>77</v>
      </c>
      <c r="KZ2" s="27" t="s">
        <v>78</v>
      </c>
      <c r="LA2" s="27" t="s">
        <v>74</v>
      </c>
      <c r="LB2" s="27" t="s">
        <v>75</v>
      </c>
      <c r="LC2" s="27" t="s">
        <v>76</v>
      </c>
      <c r="LD2" s="27" t="s">
        <v>77</v>
      </c>
      <c r="LE2" s="27" t="s">
        <v>78</v>
      </c>
      <c r="LF2" s="27" t="s">
        <v>74</v>
      </c>
      <c r="LG2" s="27" t="s">
        <v>75</v>
      </c>
      <c r="LH2" s="27" t="s">
        <v>76</v>
      </c>
      <c r="LI2" s="27" t="s">
        <v>77</v>
      </c>
      <c r="LJ2" s="27" t="s">
        <v>78</v>
      </c>
      <c r="LK2" s="27" t="s">
        <v>74</v>
      </c>
      <c r="LL2" s="27" t="s">
        <v>75</v>
      </c>
      <c r="LM2" s="27" t="s">
        <v>76</v>
      </c>
      <c r="LN2" s="27" t="s">
        <v>77</v>
      </c>
      <c r="LO2" s="27" t="s">
        <v>78</v>
      </c>
      <c r="LP2" s="27" t="s">
        <v>74</v>
      </c>
      <c r="LQ2" s="27" t="s">
        <v>75</v>
      </c>
      <c r="LR2" s="27" t="s">
        <v>76</v>
      </c>
      <c r="LS2" s="27" t="s">
        <v>77</v>
      </c>
      <c r="LT2" s="27" t="s">
        <v>78</v>
      </c>
      <c r="LU2" s="27" t="s">
        <v>74</v>
      </c>
      <c r="LV2" s="27" t="s">
        <v>75</v>
      </c>
      <c r="LW2" s="27" t="s">
        <v>76</v>
      </c>
      <c r="LX2" s="27" t="s">
        <v>77</v>
      </c>
      <c r="LY2" s="27" t="s">
        <v>78</v>
      </c>
      <c r="LZ2" s="27" t="s">
        <v>74</v>
      </c>
      <c r="MA2" s="27" t="s">
        <v>75</v>
      </c>
      <c r="MB2" s="27" t="s">
        <v>76</v>
      </c>
      <c r="MC2" s="27" t="s">
        <v>77</v>
      </c>
      <c r="MD2" s="27" t="s">
        <v>78</v>
      </c>
      <c r="ME2" s="27" t="s">
        <v>74</v>
      </c>
      <c r="MF2" s="27" t="s">
        <v>75</v>
      </c>
      <c r="MG2" s="27" t="s">
        <v>76</v>
      </c>
      <c r="MH2" s="27" t="s">
        <v>77</v>
      </c>
      <c r="MI2" s="27" t="s">
        <v>78</v>
      </c>
      <c r="MJ2" s="27" t="s">
        <v>74</v>
      </c>
      <c r="MK2" s="27" t="s">
        <v>75</v>
      </c>
      <c r="ML2" s="27" t="s">
        <v>76</v>
      </c>
      <c r="MM2" s="27" t="s">
        <v>77</v>
      </c>
      <c r="MN2" s="27" t="s">
        <v>78</v>
      </c>
      <c r="MO2" s="27" t="s">
        <v>74</v>
      </c>
      <c r="MP2" s="27" t="s">
        <v>75</v>
      </c>
      <c r="MQ2" s="27" t="s">
        <v>76</v>
      </c>
      <c r="MR2" s="27" t="s">
        <v>77</v>
      </c>
      <c r="MS2" s="27" t="s">
        <v>78</v>
      </c>
      <c r="MT2" s="27" t="s">
        <v>74</v>
      </c>
      <c r="MU2" s="27" t="s">
        <v>75</v>
      </c>
      <c r="MV2" s="27" t="s">
        <v>76</v>
      </c>
      <c r="MW2" s="27" t="s">
        <v>77</v>
      </c>
      <c r="MX2" s="27" t="s">
        <v>78</v>
      </c>
    </row>
    <row r="3" spans="1:363" x14ac:dyDescent="0.25">
      <c r="A3" s="147" t="s">
        <v>79</v>
      </c>
      <c r="B3" s="30" t="s">
        <v>80</v>
      </c>
      <c r="C3" s="31"/>
      <c r="D3" s="31">
        <f>1836.79*0.4</f>
        <v>734.71600000000001</v>
      </c>
      <c r="E3" s="31"/>
      <c r="F3" s="31">
        <f>1836.79*0.6-165.31</f>
        <v>936.7639999999999</v>
      </c>
      <c r="G3" s="31"/>
      <c r="H3" s="31"/>
      <c r="I3" s="31">
        <v>734.72</v>
      </c>
      <c r="J3" s="31"/>
      <c r="K3" s="31">
        <v>998.23</v>
      </c>
      <c r="L3" s="31"/>
      <c r="M3" s="31"/>
      <c r="N3" s="31">
        <v>735.72</v>
      </c>
      <c r="O3" s="31"/>
      <c r="P3" s="31">
        <f>859.61-0.08</f>
        <v>859.53</v>
      </c>
      <c r="Q3" s="31"/>
      <c r="R3" s="31"/>
      <c r="S3" s="31">
        <v>734.72</v>
      </c>
      <c r="T3" s="31"/>
      <c r="U3" s="31">
        <v>818.29</v>
      </c>
      <c r="V3" s="31"/>
      <c r="W3" s="31"/>
      <c r="X3" s="31">
        <v>734.72</v>
      </c>
      <c r="Y3" s="31"/>
      <c r="Z3" s="31">
        <v>1018.19</v>
      </c>
      <c r="AA3" s="31"/>
      <c r="AB3" s="31"/>
      <c r="AC3" s="31">
        <v>734.72</v>
      </c>
      <c r="AD3" s="31"/>
      <c r="AE3" s="31">
        <v>942.33</v>
      </c>
      <c r="AF3" s="31"/>
      <c r="AG3" s="31"/>
      <c r="AH3" s="31">
        <v>734.72</v>
      </c>
      <c r="AI3" s="31"/>
      <c r="AJ3" s="31">
        <v>855.94</v>
      </c>
      <c r="AK3" s="31"/>
      <c r="AL3" s="31"/>
      <c r="AM3" s="31">
        <v>734.72</v>
      </c>
      <c r="AN3" s="31"/>
      <c r="AO3" s="31">
        <v>852.27</v>
      </c>
      <c r="AP3" s="31"/>
      <c r="AQ3" s="31"/>
      <c r="AR3" s="31">
        <v>734.72</v>
      </c>
      <c r="AS3" s="31"/>
      <c r="AT3" s="31">
        <v>866.96</v>
      </c>
      <c r="AU3" s="31"/>
      <c r="AV3" s="31"/>
      <c r="AW3" s="31">
        <v>734.72</v>
      </c>
      <c r="AX3" s="31"/>
      <c r="AY3" s="31">
        <v>855.94</v>
      </c>
      <c r="AZ3" s="31"/>
      <c r="BA3" s="31"/>
      <c r="BB3" s="31">
        <v>734.72</v>
      </c>
      <c r="BC3" s="31"/>
      <c r="BD3" s="31">
        <f>2244.85+918.4+866.96</f>
        <v>4030.21</v>
      </c>
      <c r="BE3" s="31"/>
      <c r="BF3" s="31"/>
      <c r="BG3" s="31">
        <v>979.38</v>
      </c>
      <c r="BH3" s="31">
        <v>827.15</v>
      </c>
      <c r="BI3" s="31">
        <v>110.15</v>
      </c>
      <c r="BJ3" s="31"/>
      <c r="BK3" s="31"/>
      <c r="BL3" s="31">
        <v>752.54</v>
      </c>
      <c r="BM3" s="31"/>
      <c r="BN3" s="31">
        <f>821.48+116.34</f>
        <v>937.82</v>
      </c>
      <c r="BO3" s="31"/>
      <c r="BP3" s="31"/>
      <c r="BQ3" s="31">
        <v>752.54</v>
      </c>
      <c r="BR3" s="31"/>
      <c r="BS3" s="31">
        <v>884.25</v>
      </c>
      <c r="BT3" s="31"/>
      <c r="BU3" s="31"/>
      <c r="BV3" s="31">
        <v>752.54</v>
      </c>
      <c r="BW3" s="31">
        <v>0.02</v>
      </c>
      <c r="BX3" s="31">
        <v>884.25</v>
      </c>
      <c r="BY3" s="31"/>
      <c r="BZ3" s="31"/>
      <c r="CA3" s="31"/>
      <c r="CB3" s="31">
        <v>752.54</v>
      </c>
      <c r="CC3" s="31">
        <v>839.25</v>
      </c>
      <c r="CD3" s="31"/>
      <c r="CE3" s="31"/>
      <c r="CF3" s="31">
        <v>752.54</v>
      </c>
      <c r="CG3" s="31"/>
      <c r="CH3" s="31">
        <v>876.72</v>
      </c>
      <c r="CI3" s="31"/>
      <c r="CJ3" s="31"/>
      <c r="CK3" s="31">
        <v>752.54</v>
      </c>
      <c r="CL3" s="31"/>
      <c r="CM3" s="31">
        <v>888.01</v>
      </c>
      <c r="CN3" s="31"/>
      <c r="CO3" s="31"/>
      <c r="CP3" s="31">
        <v>752.54</v>
      </c>
      <c r="CQ3" s="31">
        <v>800</v>
      </c>
      <c r="CR3" s="31">
        <v>847.96</v>
      </c>
      <c r="CS3" s="31"/>
      <c r="CT3" s="31"/>
      <c r="CU3" s="31">
        <v>752.54</v>
      </c>
      <c r="CV3" s="31"/>
      <c r="CW3" s="31">
        <v>876.72</v>
      </c>
      <c r="CX3" s="31"/>
      <c r="CY3" s="31"/>
      <c r="CZ3" s="31">
        <v>752.54</v>
      </c>
      <c r="DA3" s="31"/>
      <c r="DB3" s="31">
        <v>910.58</v>
      </c>
      <c r="DC3" s="31"/>
      <c r="DD3" s="31">
        <v>22.66</v>
      </c>
      <c r="DE3" s="31">
        <v>752.54</v>
      </c>
      <c r="DF3" s="31"/>
      <c r="DG3" s="31">
        <v>872.96</v>
      </c>
      <c r="DH3" s="31"/>
      <c r="DI3" s="31"/>
      <c r="DJ3" s="31">
        <v>752.54</v>
      </c>
      <c r="DK3" s="31"/>
      <c r="DL3" s="31">
        <f>2323.57+1523.52+941.82+971.54+112.32</f>
        <v>5872.7699999999995</v>
      </c>
      <c r="DM3" s="31"/>
      <c r="DN3" s="31"/>
      <c r="DO3" s="31"/>
      <c r="DP3" s="31">
        <v>796.65</v>
      </c>
      <c r="DQ3" s="31"/>
      <c r="DR3" s="31"/>
      <c r="DS3" s="31"/>
      <c r="DT3" s="31">
        <v>777.23</v>
      </c>
      <c r="DU3" s="31"/>
      <c r="DV3" s="31">
        <v>909.36</v>
      </c>
      <c r="DW3" s="31"/>
      <c r="DX3" s="31"/>
      <c r="DY3" s="31">
        <v>777.23</v>
      </c>
      <c r="DZ3" s="31"/>
      <c r="EA3" s="31">
        <v>917.13</v>
      </c>
      <c r="EB3" s="32"/>
      <c r="EC3" s="31"/>
      <c r="ED3" s="31">
        <v>777.23</v>
      </c>
      <c r="EE3" s="31"/>
      <c r="EF3" s="31">
        <v>880.04</v>
      </c>
      <c r="EG3" s="31"/>
      <c r="EH3" s="33">
        <f>11.41+19.88+12.19+9.7+11.17+11.33+11.82+9.3+11.66+10.42+11+10.61+12.89</f>
        <v>153.38</v>
      </c>
      <c r="EI3" s="31">
        <v>777.23</v>
      </c>
      <c r="EJ3" s="31">
        <f>9.3+11.79</f>
        <v>21.09</v>
      </c>
      <c r="EK3" s="31">
        <v>932.81</v>
      </c>
      <c r="EL3" s="31"/>
      <c r="EM3" s="31"/>
      <c r="EN3" s="31">
        <v>777.23</v>
      </c>
      <c r="EO3" s="31"/>
      <c r="EP3" s="31">
        <v>1006.65</v>
      </c>
      <c r="EQ3" s="31"/>
      <c r="ER3" s="31"/>
      <c r="ES3" s="31">
        <v>777.23</v>
      </c>
      <c r="ET3" s="31"/>
      <c r="EU3" s="31">
        <v>1006.65</v>
      </c>
      <c r="EV3" s="31"/>
      <c r="EW3" s="31"/>
      <c r="EX3" s="31">
        <v>777.23</v>
      </c>
      <c r="EY3" s="31"/>
      <c r="EZ3" s="31">
        <v>1006.65</v>
      </c>
      <c r="FA3" s="31"/>
      <c r="FB3" s="31"/>
      <c r="FC3" s="31">
        <v>777.23</v>
      </c>
      <c r="FD3" s="31"/>
      <c r="FE3" s="31">
        <v>1270.3699999999999</v>
      </c>
      <c r="FF3" s="31"/>
      <c r="FG3" s="31"/>
      <c r="FH3" s="31"/>
      <c r="FI3" s="31">
        <v>900.39</v>
      </c>
      <c r="FJ3" s="31">
        <f>(1270.37-123.16)</f>
        <v>1147.2099999999998</v>
      </c>
      <c r="FK3" s="31"/>
      <c r="FL3" s="31"/>
      <c r="FM3" s="31">
        <v>900.39</v>
      </c>
      <c r="FN3" s="31">
        <v>100</v>
      </c>
      <c r="FO3" s="31">
        <f>(1270.37-123.16)</f>
        <v>1147.2099999999998</v>
      </c>
      <c r="FP3" s="31"/>
      <c r="FQ3" s="31"/>
      <c r="FR3" s="31">
        <v>900.39</v>
      </c>
      <c r="FS3" s="31">
        <v>100</v>
      </c>
      <c r="FT3" s="31">
        <f>2730.19+1201.08+4501+1158.58</f>
        <v>9590.85</v>
      </c>
      <c r="FU3" s="31"/>
      <c r="FV3" s="31"/>
      <c r="FW3" s="31"/>
      <c r="FX3" s="31">
        <f>942.89+100</f>
        <v>1042.8899999999999</v>
      </c>
      <c r="FY3" s="31">
        <v>116.48</v>
      </c>
      <c r="FZ3" s="31"/>
      <c r="GA3" s="31"/>
      <c r="GB3" s="31">
        <v>926.86</v>
      </c>
      <c r="GC3" s="31"/>
      <c r="GD3" s="31">
        <v>1178.52</v>
      </c>
      <c r="GE3" s="31"/>
      <c r="GF3" s="31"/>
      <c r="GG3" s="31">
        <v>926.86</v>
      </c>
      <c r="GH3" s="31"/>
      <c r="GI3" s="31">
        <v>1178.52</v>
      </c>
      <c r="GJ3" s="31"/>
      <c r="GK3" s="31">
        <v>100</v>
      </c>
      <c r="GL3" s="31">
        <f>926.86+100</f>
        <v>1026.8600000000001</v>
      </c>
      <c r="GM3" s="31"/>
      <c r="GN3" s="31">
        <v>1253.52</v>
      </c>
      <c r="GO3" s="31"/>
      <c r="GP3" s="31"/>
      <c r="GQ3" s="31">
        <v>926.86</v>
      </c>
      <c r="GR3" s="31">
        <v>100</v>
      </c>
      <c r="GS3" s="31"/>
      <c r="GT3" s="31">
        <v>2747.87</v>
      </c>
      <c r="GU3" s="31"/>
      <c r="GV3" s="31">
        <v>926.86</v>
      </c>
      <c r="GW3" s="31"/>
      <c r="GX3" s="31">
        <v>1178.52</v>
      </c>
      <c r="GY3" s="31"/>
      <c r="GZ3" s="31"/>
      <c r="HA3" s="31"/>
      <c r="HB3" s="31">
        <v>926.86</v>
      </c>
      <c r="HC3" s="31">
        <v>1178.52</v>
      </c>
      <c r="HD3" s="31"/>
      <c r="HE3" s="31"/>
      <c r="HF3" s="31">
        <v>926.86</v>
      </c>
      <c r="HG3" s="31">
        <v>94.2</v>
      </c>
      <c r="HH3" s="31">
        <v>1178.52</v>
      </c>
      <c r="HI3" s="31"/>
      <c r="HJ3" s="31"/>
      <c r="HK3" s="31">
        <v>926.86</v>
      </c>
      <c r="HL3" s="31">
        <v>99.91</v>
      </c>
      <c r="HM3" s="31">
        <v>3791.33</v>
      </c>
      <c r="HN3" s="31"/>
      <c r="HO3" s="31"/>
      <c r="HP3" s="31">
        <v>2400</v>
      </c>
      <c r="HQ3" s="31">
        <v>100</v>
      </c>
      <c r="HR3" s="31">
        <v>2318.19</v>
      </c>
      <c r="HS3" s="31"/>
      <c r="HT3" s="31"/>
      <c r="HU3" s="31">
        <v>2400</v>
      </c>
      <c r="HV3" s="31">
        <v>100</v>
      </c>
      <c r="HW3" s="31">
        <v>2727.45</v>
      </c>
      <c r="HX3" s="31"/>
      <c r="HY3" s="31"/>
      <c r="HZ3" s="31">
        <v>2650.08</v>
      </c>
      <c r="IA3" s="31">
        <v>74.73</v>
      </c>
      <c r="IB3" s="31">
        <f>7057.29+1617.92+564.5+3312.6+5007.04</f>
        <v>17559.349999999999</v>
      </c>
      <c r="IC3" s="31"/>
      <c r="ID3" s="31"/>
      <c r="IE3" s="31"/>
      <c r="IF3" s="31">
        <v>2061.41</v>
      </c>
      <c r="IG3" s="31"/>
      <c r="IH3" s="31"/>
      <c r="II3" s="31">
        <v>100</v>
      </c>
      <c r="IJ3" s="31">
        <v>2650.08</v>
      </c>
      <c r="IK3" s="31"/>
      <c r="IL3" s="31">
        <v>1143.83</v>
      </c>
      <c r="IM3" s="31"/>
      <c r="IN3" s="31"/>
      <c r="IO3" s="31"/>
      <c r="IP3" s="31">
        <v>2650.08</v>
      </c>
      <c r="IQ3" s="31">
        <v>1806.35</v>
      </c>
      <c r="IR3" s="31"/>
      <c r="IS3" s="31"/>
      <c r="IT3" s="31"/>
      <c r="IU3" s="31">
        <v>2650.08</v>
      </c>
      <c r="IV3" s="31">
        <v>1806.35</v>
      </c>
      <c r="IW3" s="31"/>
      <c r="IX3" s="31"/>
      <c r="IY3" s="31">
        <v>2650.08</v>
      </c>
      <c r="IZ3" s="31"/>
      <c r="JA3" s="31">
        <v>1806.35</v>
      </c>
      <c r="JB3" s="31"/>
      <c r="JC3" s="31"/>
      <c r="JD3" s="31">
        <v>8577.9599999999991</v>
      </c>
      <c r="JE3" s="31"/>
      <c r="JF3" s="31"/>
      <c r="JG3" s="31"/>
      <c r="JH3" s="31"/>
      <c r="JI3" s="31"/>
      <c r="JJ3" s="31"/>
      <c r="JK3" s="31">
        <v>4000</v>
      </c>
      <c r="JL3" s="31"/>
      <c r="JM3" s="31"/>
      <c r="JN3" s="31"/>
      <c r="JO3" s="31"/>
      <c r="JP3" s="31"/>
      <c r="JQ3" s="31"/>
      <c r="JR3" s="31"/>
      <c r="JS3" s="31"/>
      <c r="JT3" s="31"/>
      <c r="JU3" s="31"/>
      <c r="JV3" s="31"/>
      <c r="JW3" s="31"/>
      <c r="JX3" s="31"/>
      <c r="JY3" s="31"/>
      <c r="JZ3" s="31"/>
      <c r="KA3" s="31"/>
      <c r="KB3" s="31"/>
      <c r="KC3" s="31"/>
      <c r="KD3" s="31"/>
      <c r="KE3" s="31"/>
      <c r="KF3" s="31"/>
      <c r="KG3" s="31"/>
      <c r="KH3" s="31"/>
      <c r="KI3" s="31"/>
      <c r="KJ3" s="31">
        <v>400</v>
      </c>
      <c r="KK3" s="31"/>
      <c r="KL3" s="31"/>
      <c r="KM3" s="31"/>
      <c r="KN3" s="31"/>
      <c r="KO3" s="31"/>
      <c r="KP3" s="31"/>
      <c r="KQ3" s="31"/>
      <c r="KR3" s="31"/>
      <c r="KS3" s="31"/>
      <c r="KT3" s="31"/>
      <c r="KU3" s="31"/>
      <c r="KV3" s="31"/>
      <c r="KW3" s="31"/>
      <c r="KX3" s="31"/>
      <c r="KY3" s="31"/>
      <c r="KZ3" s="31"/>
      <c r="LA3" s="31"/>
      <c r="LB3" s="31"/>
      <c r="LC3" s="31"/>
      <c r="LD3" s="31"/>
      <c r="LE3" s="31"/>
      <c r="LF3" s="31"/>
      <c r="LG3" s="31"/>
      <c r="LH3" s="31"/>
      <c r="LI3" s="31"/>
      <c r="LJ3" s="31"/>
      <c r="LK3" s="31"/>
      <c r="LL3" s="31"/>
      <c r="LM3" s="31"/>
      <c r="LN3" s="31"/>
      <c r="LO3" s="31"/>
      <c r="LP3" s="31"/>
      <c r="LQ3" s="31"/>
      <c r="LR3" s="31"/>
      <c r="LS3" s="31"/>
      <c r="LT3" s="31"/>
      <c r="LU3" s="31"/>
      <c r="LV3" s="31"/>
      <c r="LW3" s="31"/>
      <c r="LX3" s="31"/>
      <c r="LY3" s="31"/>
      <c r="LZ3" s="31"/>
      <c r="MA3" s="31"/>
      <c r="MB3" s="31"/>
      <c r="MC3" s="31"/>
      <c r="MD3" s="31"/>
      <c r="ME3" s="31"/>
      <c r="MF3" s="31"/>
      <c r="MG3" s="31"/>
      <c r="MH3" s="31"/>
      <c r="MI3" s="31"/>
      <c r="MJ3" s="31"/>
      <c r="MK3" s="31"/>
      <c r="ML3" s="31"/>
      <c r="MM3" s="31"/>
      <c r="MN3" s="31"/>
      <c r="MO3" s="31"/>
      <c r="MP3" s="31"/>
      <c r="MQ3" s="31"/>
      <c r="MR3" s="31"/>
      <c r="MS3" s="31"/>
      <c r="MT3" s="31"/>
      <c r="MU3" s="31"/>
      <c r="MV3" s="31"/>
      <c r="MW3" s="31"/>
      <c r="MX3" s="31"/>
    </row>
    <row r="4" spans="1:363" x14ac:dyDescent="0.25">
      <c r="A4" s="147"/>
      <c r="B4" s="30" t="s">
        <v>81</v>
      </c>
      <c r="C4" s="31"/>
      <c r="D4" s="31">
        <v>800</v>
      </c>
      <c r="E4" s="31"/>
      <c r="F4" s="31"/>
      <c r="G4" s="31"/>
      <c r="H4" s="31"/>
      <c r="I4" s="31"/>
      <c r="J4" s="31"/>
      <c r="K4" s="31">
        <v>1200</v>
      </c>
      <c r="L4" s="31"/>
      <c r="M4" s="31"/>
      <c r="N4" s="31"/>
      <c r="O4" s="31"/>
      <c r="P4" s="31"/>
      <c r="Q4" s="31"/>
      <c r="R4" s="31">
        <v>1200</v>
      </c>
      <c r="S4" s="31"/>
      <c r="T4" s="31"/>
      <c r="U4" s="31"/>
      <c r="V4" s="31"/>
      <c r="W4" s="31"/>
      <c r="X4" s="31">
        <v>1600</v>
      </c>
      <c r="Y4" s="31"/>
      <c r="Z4" s="31"/>
      <c r="AA4" s="31"/>
      <c r="AB4" s="31"/>
      <c r="AC4" s="31">
        <v>800</v>
      </c>
      <c r="AD4" s="31"/>
      <c r="AE4" s="31"/>
      <c r="AF4" s="31"/>
      <c r="AG4" s="31"/>
      <c r="AH4" s="31"/>
      <c r="AI4" s="31">
        <v>1400</v>
      </c>
      <c r="AJ4" s="31"/>
      <c r="AK4" s="31"/>
      <c r="AL4" s="31"/>
      <c r="AM4" s="31">
        <v>1700</v>
      </c>
      <c r="AN4" s="31"/>
      <c r="AO4" s="31"/>
      <c r="AP4" s="31"/>
      <c r="AQ4" s="31"/>
      <c r="AR4" s="31"/>
      <c r="AS4" s="31">
        <v>1700</v>
      </c>
      <c r="AT4" s="31"/>
      <c r="AU4" s="31"/>
      <c r="AV4" s="31"/>
      <c r="AW4" s="31"/>
      <c r="AX4" s="31"/>
      <c r="AY4" s="31">
        <v>700</v>
      </c>
      <c r="AZ4" s="31"/>
      <c r="BA4" s="31"/>
      <c r="BB4" s="31"/>
      <c r="BC4" s="31"/>
      <c r="BD4" s="31">
        <v>1700</v>
      </c>
      <c r="BE4" s="31"/>
      <c r="BF4" s="31"/>
      <c r="BG4" s="31"/>
      <c r="BH4" s="31"/>
      <c r="BI4" s="31"/>
      <c r="BJ4" s="31"/>
      <c r="BK4" s="31"/>
      <c r="BL4" s="31">
        <v>500</v>
      </c>
      <c r="BM4" s="31"/>
      <c r="BN4" s="31"/>
      <c r="BO4" s="31"/>
      <c r="BP4" s="31"/>
      <c r="BQ4" s="31">
        <v>1500</v>
      </c>
      <c r="BR4" s="31"/>
      <c r="BS4" s="31"/>
      <c r="BT4" s="31"/>
      <c r="BU4" s="31"/>
      <c r="BV4" s="31"/>
      <c r="BW4" s="31"/>
      <c r="BX4" s="31">
        <v>800</v>
      </c>
      <c r="BY4" s="31"/>
      <c r="BZ4" s="31"/>
      <c r="CA4" s="31">
        <v>800</v>
      </c>
      <c r="CB4" s="31"/>
      <c r="CC4" s="31"/>
      <c r="CD4" s="31"/>
      <c r="CE4" s="31"/>
      <c r="CF4" s="31">
        <v>1000</v>
      </c>
      <c r="CG4" s="31"/>
      <c r="CH4" s="31"/>
      <c r="CI4" s="31"/>
      <c r="CJ4" s="31"/>
      <c r="CK4" s="31">
        <v>1000</v>
      </c>
      <c r="CL4" s="31"/>
      <c r="CM4" s="31"/>
      <c r="CN4" s="31"/>
      <c r="CO4" s="31"/>
      <c r="CP4" s="31"/>
      <c r="CQ4" s="31"/>
      <c r="CR4" s="31"/>
      <c r="CS4" s="31"/>
      <c r="CT4" s="31"/>
      <c r="CU4" s="31"/>
      <c r="CV4" s="31">
        <v>1000</v>
      </c>
      <c r="CW4" s="31"/>
      <c r="CX4" s="31"/>
      <c r="CY4" s="31"/>
      <c r="CZ4" s="31">
        <v>1000</v>
      </c>
      <c r="DA4" s="31"/>
      <c r="DB4" s="31"/>
      <c r="DC4" s="31"/>
      <c r="DD4" s="31"/>
      <c r="DE4" s="31"/>
      <c r="DF4" s="31"/>
      <c r="DG4" s="31">
        <v>1000</v>
      </c>
      <c r="DH4" s="31"/>
      <c r="DI4" s="31">
        <v>1000</v>
      </c>
      <c r="DJ4" s="31"/>
      <c r="DK4" s="31"/>
      <c r="DL4" s="31"/>
      <c r="DM4" s="31"/>
      <c r="DN4" s="31">
        <v>1000</v>
      </c>
      <c r="DO4" s="31"/>
      <c r="DP4" s="31"/>
      <c r="DQ4" s="31"/>
      <c r="DR4" s="31"/>
      <c r="DS4" s="31"/>
      <c r="DT4" s="31">
        <v>1000</v>
      </c>
      <c r="DU4" s="31"/>
      <c r="DV4" s="31"/>
      <c r="DW4" s="31"/>
      <c r="DX4" s="31"/>
      <c r="DY4" s="31"/>
      <c r="DZ4" s="31">
        <v>1500</v>
      </c>
      <c r="EA4" s="31"/>
      <c r="EB4" s="32"/>
      <c r="EC4" s="31"/>
      <c r="ED4" s="31"/>
      <c r="EE4" s="31"/>
      <c r="EF4" s="31">
        <v>1500</v>
      </c>
      <c r="EG4" s="31"/>
      <c r="EH4" s="33"/>
      <c r="EI4" s="31"/>
      <c r="EJ4" s="31"/>
      <c r="EK4" s="31"/>
      <c r="EL4" s="31"/>
      <c r="EM4" s="31"/>
      <c r="EN4" s="31"/>
      <c r="EO4" s="31"/>
      <c r="EP4" s="31"/>
      <c r="EQ4" s="31"/>
      <c r="ER4" s="31"/>
      <c r="ES4" s="31">
        <v>1150</v>
      </c>
      <c r="ET4" s="31"/>
      <c r="EU4" s="31"/>
      <c r="EV4" s="31"/>
      <c r="EW4" s="31">
        <v>1150</v>
      </c>
      <c r="EX4" s="31"/>
      <c r="EY4" s="31"/>
      <c r="EZ4" s="31"/>
      <c r="FA4" s="31"/>
      <c r="FB4" s="31">
        <v>2000</v>
      </c>
      <c r="FC4" s="31"/>
      <c r="FD4" s="31"/>
      <c r="FE4" s="31"/>
      <c r="FF4" s="31"/>
      <c r="FG4" s="31">
        <v>2000</v>
      </c>
      <c r="FH4" s="31"/>
      <c r="FI4" s="31"/>
      <c r="FJ4" s="31"/>
      <c r="FK4" s="31"/>
      <c r="FL4" s="31">
        <v>2000</v>
      </c>
      <c r="FM4" s="31"/>
      <c r="FN4" s="31"/>
      <c r="FO4" s="31"/>
      <c r="FP4" s="31"/>
      <c r="FQ4" s="31">
        <v>2000</v>
      </c>
      <c r="FR4" s="31"/>
      <c r="FS4" s="31"/>
      <c r="FT4" s="31"/>
      <c r="FU4" s="31"/>
      <c r="FV4" s="31">
        <v>2000</v>
      </c>
      <c r="FW4" s="31"/>
      <c r="FX4" s="31"/>
      <c r="FY4" s="31"/>
      <c r="FZ4" s="31"/>
      <c r="GA4" s="31">
        <v>2000</v>
      </c>
      <c r="GB4" s="31"/>
      <c r="GC4" s="31"/>
      <c r="GD4" s="31"/>
      <c r="GE4" s="31"/>
      <c r="GF4" s="31">
        <v>2000</v>
      </c>
      <c r="GG4" s="31"/>
      <c r="GH4" s="31"/>
      <c r="GI4" s="31"/>
      <c r="GJ4" s="31"/>
      <c r="GK4" s="31">
        <v>2000</v>
      </c>
      <c r="GL4" s="31"/>
      <c r="GM4" s="31"/>
      <c r="GN4" s="31"/>
      <c r="GO4" s="31"/>
      <c r="GP4" s="31">
        <v>2000</v>
      </c>
      <c r="GQ4" s="31"/>
      <c r="GR4" s="31"/>
      <c r="GS4" s="31"/>
      <c r="GT4" s="31"/>
      <c r="GU4" s="31">
        <v>2000</v>
      </c>
      <c r="GV4" s="31"/>
      <c r="GW4" s="31"/>
      <c r="GX4" s="31"/>
      <c r="GY4" s="31"/>
      <c r="GZ4" s="31">
        <v>2000</v>
      </c>
      <c r="HA4" s="31"/>
      <c r="HB4" s="31"/>
      <c r="HC4" s="31"/>
      <c r="HD4" s="31"/>
      <c r="HE4" s="31">
        <v>2000</v>
      </c>
      <c r="HF4" s="31"/>
      <c r="HG4" s="31"/>
      <c r="HH4" s="31"/>
      <c r="HI4" s="31"/>
      <c r="HJ4" s="31">
        <v>2000</v>
      </c>
      <c r="HK4" s="31"/>
      <c r="HL4" s="31"/>
      <c r="HM4" s="31"/>
      <c r="HN4" s="31"/>
      <c r="HO4" s="31">
        <v>2000</v>
      </c>
      <c r="HP4" s="31"/>
      <c r="HQ4" s="31"/>
      <c r="HR4" s="31"/>
      <c r="HS4" s="31"/>
      <c r="HT4" s="31">
        <v>2500</v>
      </c>
      <c r="HU4" s="31"/>
      <c r="HV4" s="31"/>
      <c r="HW4" s="31"/>
      <c r="HX4" s="31"/>
      <c r="HY4" s="31">
        <v>2000</v>
      </c>
      <c r="HZ4" s="31"/>
      <c r="IA4" s="31"/>
      <c r="IB4" s="31"/>
      <c r="IC4" s="31"/>
      <c r="ID4" s="31">
        <v>2000</v>
      </c>
      <c r="IE4" s="31"/>
      <c r="IF4" s="31"/>
      <c r="IG4" s="31"/>
      <c r="IH4" s="31"/>
      <c r="II4" s="31">
        <v>3000</v>
      </c>
      <c r="IJ4" s="31"/>
      <c r="IK4" s="31"/>
      <c r="IL4" s="31"/>
      <c r="IM4" s="31"/>
      <c r="IN4" s="31">
        <v>2000</v>
      </c>
      <c r="IO4" s="31"/>
      <c r="IP4" s="31"/>
      <c r="IQ4" s="31"/>
      <c r="IR4" s="31"/>
      <c r="IS4" s="31">
        <v>2000</v>
      </c>
      <c r="IT4" s="31"/>
      <c r="IU4" s="31"/>
      <c r="IV4" s="31"/>
      <c r="IW4" s="31"/>
      <c r="IX4" s="31">
        <v>3000</v>
      </c>
      <c r="IY4" s="31"/>
      <c r="IZ4" s="31"/>
      <c r="JA4" s="31"/>
      <c r="JB4" s="31"/>
      <c r="JC4" s="31">
        <v>7000</v>
      </c>
      <c r="JD4" s="31"/>
      <c r="JE4" s="31"/>
      <c r="JF4" s="31"/>
      <c r="JG4" s="31"/>
      <c r="JH4" s="31">
        <v>7000</v>
      </c>
      <c r="JI4" s="31"/>
      <c r="JJ4" s="31"/>
      <c r="JK4" s="31"/>
      <c r="JL4" s="31"/>
      <c r="JM4" s="31">
        <v>20000</v>
      </c>
      <c r="JN4" s="31"/>
      <c r="JO4" s="31"/>
      <c r="JP4" s="31"/>
      <c r="JQ4" s="31"/>
      <c r="JR4" s="31">
        <v>7000</v>
      </c>
      <c r="JS4" s="31"/>
      <c r="JT4" s="31"/>
      <c r="JU4" s="31"/>
      <c r="JV4" s="31"/>
      <c r="JW4" s="31">
        <f>7000</f>
        <v>7000</v>
      </c>
      <c r="JX4" s="31"/>
      <c r="JY4" s="31"/>
      <c r="JZ4" s="31"/>
      <c r="KA4" s="31"/>
      <c r="KB4" s="31">
        <v>7000</v>
      </c>
      <c r="KC4" s="31"/>
      <c r="KD4" s="31"/>
      <c r="KE4" s="31"/>
      <c r="KF4" s="31"/>
      <c r="KG4" s="31">
        <v>7000</v>
      </c>
      <c r="KH4" s="31"/>
      <c r="KI4" s="31"/>
      <c r="KJ4" s="31"/>
      <c r="KK4" s="31"/>
      <c r="KL4" s="31">
        <v>7000</v>
      </c>
      <c r="KM4" s="31"/>
      <c r="KN4" s="31"/>
      <c r="KO4" s="31"/>
      <c r="KP4" s="31"/>
      <c r="KQ4" s="31">
        <v>40000</v>
      </c>
      <c r="KR4" s="31"/>
      <c r="KS4" s="31"/>
      <c r="KT4" s="31"/>
      <c r="KU4" s="31"/>
      <c r="KV4" s="31">
        <v>7500</v>
      </c>
      <c r="KW4" s="31"/>
      <c r="KX4" s="31"/>
      <c r="KY4" s="31"/>
      <c r="KZ4" s="31"/>
      <c r="LA4" s="31">
        <v>7500</v>
      </c>
      <c r="LB4" s="31"/>
      <c r="LC4" s="31"/>
      <c r="LD4" s="31"/>
      <c r="LE4" s="31"/>
      <c r="LF4" s="31">
        <v>7500</v>
      </c>
      <c r="LG4" s="31"/>
      <c r="LH4" s="31"/>
      <c r="LI4" s="31"/>
      <c r="LJ4" s="31"/>
      <c r="LK4" s="31">
        <v>7500</v>
      </c>
      <c r="LL4" s="31"/>
      <c r="LM4" s="31"/>
      <c r="LN4" s="31"/>
      <c r="LO4" s="31"/>
      <c r="LP4" s="31">
        <v>7500</v>
      </c>
      <c r="LQ4" s="31"/>
      <c r="LR4" s="31"/>
      <c r="LS4" s="31"/>
      <c r="LT4" s="31"/>
      <c r="LU4" s="31">
        <v>7500</v>
      </c>
      <c r="LV4" s="31"/>
      <c r="LW4" s="31"/>
      <c r="LX4" s="31"/>
      <c r="LY4" s="31"/>
      <c r="LZ4" s="31">
        <v>7500</v>
      </c>
      <c r="MA4" s="31"/>
      <c r="MB4" s="31"/>
      <c r="MC4" s="31"/>
      <c r="MD4" s="31"/>
      <c r="ME4" s="31">
        <v>7500</v>
      </c>
      <c r="MF4" s="31"/>
      <c r="MG4" s="31"/>
      <c r="MH4" s="31"/>
      <c r="MI4" s="31"/>
      <c r="MJ4" s="31">
        <v>7500</v>
      </c>
      <c r="MK4" s="31"/>
      <c r="ML4" s="31"/>
      <c r="MM4" s="31"/>
      <c r="MN4" s="31"/>
      <c r="MO4" s="31">
        <v>7500</v>
      </c>
      <c r="MP4" s="31"/>
      <c r="MQ4" s="31"/>
      <c r="MR4" s="31"/>
      <c r="MS4" s="31"/>
      <c r="MT4" s="31">
        <v>7500</v>
      </c>
      <c r="MU4" s="31"/>
      <c r="MV4" s="31"/>
      <c r="MW4" s="31"/>
      <c r="MX4" s="31"/>
    </row>
    <row r="5" spans="1:363" x14ac:dyDescent="0.25"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34"/>
      <c r="O5" s="34"/>
      <c r="P5" s="34"/>
      <c r="Q5" s="34"/>
      <c r="R5" s="34"/>
      <c r="S5" s="34"/>
      <c r="T5" s="34"/>
      <c r="U5" s="34"/>
      <c r="V5" s="34"/>
      <c r="W5" s="34"/>
      <c r="X5" s="34"/>
      <c r="Y5" s="34"/>
      <c r="Z5" s="34"/>
      <c r="AA5" s="34"/>
      <c r="AB5" s="34"/>
      <c r="AC5" s="34"/>
      <c r="AD5" s="34"/>
      <c r="AE5" s="34"/>
      <c r="AF5" s="34"/>
      <c r="AG5" s="34"/>
      <c r="AH5" s="34"/>
      <c r="AI5" s="34"/>
      <c r="AJ5" s="34"/>
      <c r="AK5" s="34"/>
      <c r="AL5" s="34"/>
      <c r="AM5" s="34"/>
      <c r="AN5" s="34"/>
      <c r="AO5" s="34"/>
      <c r="AP5" s="34"/>
      <c r="AQ5" s="34"/>
      <c r="AR5" s="34"/>
      <c r="AS5" s="34"/>
      <c r="AT5" s="34"/>
      <c r="AU5" s="34"/>
      <c r="AV5" s="34"/>
      <c r="AW5" s="34"/>
      <c r="AX5" s="34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34"/>
      <c r="CE5" s="34"/>
      <c r="CF5" s="34"/>
      <c r="CG5" s="34"/>
      <c r="CH5" s="34"/>
      <c r="CI5" s="34"/>
      <c r="CJ5" s="34"/>
      <c r="CK5" s="34"/>
      <c r="CL5" s="34"/>
      <c r="CM5" s="34"/>
      <c r="CN5" s="34"/>
      <c r="CO5" s="34"/>
      <c r="CP5" s="34"/>
      <c r="CQ5" s="34"/>
      <c r="CR5" s="34"/>
      <c r="CS5" s="34"/>
      <c r="CT5" s="34"/>
      <c r="CU5" s="34"/>
      <c r="CV5" s="34"/>
      <c r="CW5" s="34"/>
      <c r="CX5" s="34"/>
      <c r="CY5" s="34"/>
      <c r="CZ5" s="34"/>
      <c r="DA5" s="34"/>
      <c r="DB5" s="34"/>
      <c r="DC5" s="34"/>
      <c r="DD5" s="34"/>
      <c r="DE5" s="34"/>
      <c r="DF5" s="34"/>
      <c r="DG5" s="34"/>
      <c r="DH5" s="34"/>
      <c r="DI5" s="34"/>
      <c r="DJ5" s="34"/>
      <c r="DK5" s="34"/>
      <c r="DL5" s="34"/>
      <c r="DM5" s="34"/>
      <c r="DN5" s="34"/>
      <c r="DO5" s="34"/>
      <c r="DP5" s="34"/>
      <c r="DQ5" s="34"/>
      <c r="DR5" s="34"/>
      <c r="DS5" s="34"/>
      <c r="DT5" s="34"/>
      <c r="DU5" s="34"/>
      <c r="DV5" s="34"/>
      <c r="DW5" s="34"/>
      <c r="DX5" s="34"/>
      <c r="DY5" s="34"/>
      <c r="DZ5" s="34"/>
      <c r="EA5" s="34"/>
      <c r="EB5" s="34"/>
      <c r="EC5" s="35"/>
      <c r="ED5" s="34"/>
      <c r="EE5" s="34"/>
      <c r="EF5" s="34"/>
      <c r="EG5" s="34"/>
      <c r="EH5" s="35"/>
      <c r="EI5" s="34"/>
      <c r="EJ5" s="34"/>
      <c r="EK5" s="34"/>
      <c r="EL5" s="34"/>
      <c r="EM5" s="34"/>
      <c r="EN5" s="34"/>
      <c r="EO5" s="34"/>
      <c r="EP5" s="34"/>
      <c r="EQ5" s="34"/>
      <c r="ER5" s="34"/>
      <c r="ES5" s="34"/>
      <c r="ET5" s="34"/>
      <c r="EU5" s="34"/>
      <c r="EV5" s="34"/>
      <c r="EW5" s="34"/>
      <c r="EX5" s="34"/>
      <c r="EY5" s="34"/>
      <c r="EZ5" s="34"/>
      <c r="FA5" s="34"/>
      <c r="FB5" s="34"/>
      <c r="FC5" s="34"/>
      <c r="FD5" s="34"/>
      <c r="FE5" s="34"/>
      <c r="FF5" s="34"/>
      <c r="FG5" s="34"/>
      <c r="FH5" s="34"/>
      <c r="FI5" s="34"/>
      <c r="FJ5" s="34"/>
      <c r="FK5" s="34"/>
      <c r="FL5" s="34"/>
      <c r="FM5" s="34"/>
      <c r="FN5" s="34"/>
      <c r="FO5" s="34"/>
      <c r="FP5" s="34"/>
      <c r="FQ5" s="34"/>
      <c r="FR5" s="34"/>
      <c r="FS5" s="34"/>
      <c r="FT5" s="34"/>
      <c r="FU5" s="34"/>
      <c r="FV5" s="34"/>
      <c r="FW5" s="34"/>
      <c r="FX5" s="34"/>
      <c r="FY5" s="34"/>
      <c r="FZ5" s="34"/>
      <c r="GA5" s="34"/>
      <c r="GB5" s="34"/>
      <c r="GC5" s="34"/>
      <c r="GD5" s="34"/>
      <c r="GE5" s="34"/>
      <c r="GF5" s="34"/>
      <c r="GG5" s="34"/>
      <c r="GH5" s="34"/>
      <c r="GI5" s="34"/>
      <c r="GJ5" s="34"/>
      <c r="GK5" s="34"/>
      <c r="GL5" s="34"/>
      <c r="GM5" s="34"/>
      <c r="GN5" s="34"/>
      <c r="GO5" s="34"/>
      <c r="GP5" s="34"/>
      <c r="GQ5" s="34"/>
      <c r="GR5" s="34"/>
      <c r="GS5" s="34"/>
      <c r="GT5" s="34"/>
      <c r="GU5" s="34"/>
      <c r="GV5" s="34"/>
      <c r="GW5" s="34"/>
      <c r="GX5" s="34"/>
      <c r="GY5" s="34"/>
      <c r="GZ5" s="34"/>
      <c r="HA5" s="34"/>
      <c r="HB5" s="34"/>
      <c r="HC5" s="34"/>
      <c r="HD5" s="34"/>
      <c r="HE5" s="34"/>
      <c r="HF5" s="34"/>
      <c r="HG5" s="34"/>
      <c r="HH5" s="34"/>
      <c r="HI5" s="34"/>
      <c r="HJ5" s="34"/>
      <c r="HK5" s="34"/>
      <c r="HL5" s="34"/>
      <c r="HM5" s="34"/>
      <c r="HN5" s="34"/>
      <c r="HO5" s="34"/>
      <c r="HP5" s="34"/>
      <c r="HQ5" s="34"/>
      <c r="HR5" s="34"/>
      <c r="HS5" s="34"/>
      <c r="HT5" s="34"/>
      <c r="HU5" s="34"/>
      <c r="HV5" s="34"/>
      <c r="HW5" s="34"/>
      <c r="HX5" s="34"/>
      <c r="HY5" s="34"/>
      <c r="HZ5" s="34"/>
      <c r="IA5" s="34"/>
      <c r="IB5" s="34"/>
      <c r="IC5" s="34"/>
      <c r="ID5" s="34"/>
      <c r="IE5" s="34"/>
      <c r="IF5" s="34"/>
      <c r="IG5" s="34"/>
      <c r="IH5" s="34"/>
      <c r="II5" s="34"/>
      <c r="IJ5" s="34"/>
      <c r="IK5" s="34"/>
      <c r="IL5" s="34"/>
      <c r="IM5" s="34"/>
      <c r="IN5" s="34"/>
      <c r="IO5" s="34"/>
      <c r="IP5" s="34"/>
      <c r="IQ5" s="34"/>
      <c r="IR5" s="34"/>
      <c r="IS5" s="34"/>
      <c r="IT5" s="34"/>
      <c r="IU5" s="34"/>
      <c r="IV5" s="34"/>
      <c r="IW5" s="34"/>
      <c r="IX5" s="34"/>
      <c r="IY5" s="34"/>
      <c r="IZ5" s="34"/>
      <c r="JA5" s="34"/>
      <c r="JB5" s="34"/>
      <c r="JC5" s="34"/>
      <c r="JD5" s="34"/>
      <c r="JE5" s="34"/>
      <c r="JF5" s="34"/>
      <c r="JG5" s="34"/>
      <c r="JH5" s="34"/>
      <c r="JI5" s="34"/>
      <c r="JJ5" s="34"/>
      <c r="JK5" s="34"/>
      <c r="JL5" s="34"/>
      <c r="JM5" s="34"/>
      <c r="JN5" s="34"/>
      <c r="JO5" s="34"/>
      <c r="JP5" s="34"/>
      <c r="JQ5" s="34"/>
      <c r="JR5" s="34"/>
      <c r="JS5" s="34"/>
      <c r="JT5" s="34"/>
      <c r="JU5" s="34"/>
      <c r="JV5" s="34"/>
      <c r="JW5" s="34"/>
      <c r="JX5" s="34"/>
      <c r="JY5" s="34"/>
      <c r="JZ5" s="34"/>
      <c r="KA5" s="34"/>
      <c r="KB5" s="34"/>
      <c r="KC5" s="34"/>
      <c r="KD5" s="34"/>
      <c r="KE5" s="34"/>
      <c r="KF5" s="34"/>
      <c r="KG5" s="34"/>
      <c r="KH5" s="34"/>
      <c r="KI5" s="34"/>
      <c r="KJ5" s="34"/>
      <c r="KK5" s="34"/>
      <c r="KL5" s="34"/>
      <c r="KM5" s="34"/>
      <c r="KN5" s="34"/>
      <c r="KO5" s="34"/>
      <c r="KP5" s="34"/>
      <c r="KQ5" s="34"/>
      <c r="KR5" s="34"/>
      <c r="KS5" s="34"/>
      <c r="KT5" s="34"/>
      <c r="KU5" s="34"/>
      <c r="KV5" s="34"/>
      <c r="KW5" s="34"/>
      <c r="KX5" s="34"/>
      <c r="KY5" s="34"/>
      <c r="KZ5" s="34"/>
      <c r="LA5" s="34"/>
      <c r="LB5" s="34"/>
      <c r="LC5" s="34"/>
      <c r="LD5" s="34"/>
      <c r="LE5" s="34"/>
      <c r="LF5" s="34"/>
      <c r="LG5" s="34"/>
      <c r="LH5" s="34"/>
      <c r="LI5" s="34"/>
      <c r="LJ5" s="34"/>
      <c r="LK5" s="34"/>
      <c r="LL5" s="34"/>
      <c r="LM5" s="34"/>
      <c r="LN5" s="34"/>
      <c r="LO5" s="34"/>
      <c r="LP5" s="34"/>
      <c r="LQ5" s="34"/>
      <c r="LR5" s="34"/>
      <c r="LS5" s="34"/>
      <c r="LT5" s="34"/>
      <c r="LU5" s="34"/>
      <c r="LV5" s="34"/>
      <c r="LW5" s="34"/>
      <c r="LX5" s="34"/>
      <c r="LY5" s="34"/>
      <c r="LZ5" s="34"/>
      <c r="MA5" s="34"/>
      <c r="MB5" s="34"/>
      <c r="MC5" s="34"/>
      <c r="MD5" s="34"/>
      <c r="ME5" s="34"/>
      <c r="MF5" s="34"/>
      <c r="MG5" s="34"/>
      <c r="MH5" s="34"/>
      <c r="MI5" s="34"/>
      <c r="MJ5" s="34"/>
      <c r="MK5" s="34"/>
      <c r="ML5" s="34"/>
      <c r="MM5" s="34"/>
      <c r="MN5" s="34"/>
      <c r="MO5" s="34"/>
      <c r="MP5" s="34"/>
      <c r="MQ5" s="34"/>
      <c r="MR5" s="34"/>
      <c r="MS5" s="34"/>
      <c r="MT5" s="34"/>
      <c r="MU5" s="34"/>
      <c r="MV5" s="34"/>
      <c r="MW5" s="34"/>
      <c r="MX5" s="34"/>
    </row>
    <row r="6" spans="1:363" x14ac:dyDescent="0.25">
      <c r="A6" s="148" t="s">
        <v>82</v>
      </c>
      <c r="B6" s="36" t="s">
        <v>83</v>
      </c>
      <c r="C6" s="37">
        <v>200</v>
      </c>
      <c r="D6" s="37"/>
      <c r="E6" s="37">
        <f>300</f>
        <v>300</v>
      </c>
      <c r="F6" s="37"/>
      <c r="G6" s="37"/>
      <c r="H6" s="37"/>
      <c r="I6" s="37"/>
      <c r="J6" s="37"/>
      <c r="K6" s="37"/>
      <c r="L6" s="37"/>
      <c r="M6" s="37">
        <v>150</v>
      </c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  <c r="AB6" s="37">
        <v>30</v>
      </c>
      <c r="AC6" s="37"/>
      <c r="AD6" s="37">
        <f>67+50</f>
        <v>117</v>
      </c>
      <c r="AE6" s="37"/>
      <c r="AF6" s="37"/>
      <c r="AG6" s="37"/>
      <c r="AH6" s="37"/>
      <c r="AI6" s="37"/>
      <c r="AJ6" s="37"/>
      <c r="AK6" s="37"/>
      <c r="AL6" s="37"/>
      <c r="AM6" s="37"/>
      <c r="AN6" s="37"/>
      <c r="AO6" s="37"/>
      <c r="AP6" s="37"/>
      <c r="AQ6" s="37"/>
      <c r="AR6" s="37"/>
      <c r="AS6" s="37"/>
      <c r="AT6" s="37"/>
      <c r="AU6" s="37"/>
      <c r="AV6" s="37"/>
      <c r="AW6" s="37"/>
      <c r="AX6" s="37"/>
      <c r="AY6" s="37"/>
      <c r="AZ6" s="37"/>
      <c r="BA6" s="37"/>
      <c r="BB6" s="37"/>
      <c r="BC6" s="37"/>
      <c r="BD6" s="37"/>
      <c r="BE6" s="37"/>
      <c r="BF6" s="37"/>
      <c r="BG6" s="37"/>
      <c r="BH6" s="37"/>
      <c r="BI6" s="37"/>
      <c r="BJ6" s="37"/>
      <c r="BK6" s="37"/>
      <c r="BL6" s="37"/>
      <c r="BM6" s="37"/>
      <c r="BN6" s="37"/>
      <c r="BO6" s="37"/>
      <c r="BP6" s="37"/>
      <c r="BQ6" s="37"/>
      <c r="BR6" s="37"/>
      <c r="BS6" s="37"/>
      <c r="BT6" s="37"/>
      <c r="BU6" s="37"/>
      <c r="BV6" s="37"/>
      <c r="BW6" s="37">
        <f>4+4.6+8.8</f>
        <v>17.399999999999999</v>
      </c>
      <c r="BX6" s="37"/>
      <c r="BY6" s="37"/>
      <c r="BZ6" s="37"/>
      <c r="CA6" s="37">
        <f>51.5</f>
        <v>51.5</v>
      </c>
      <c r="CB6" s="37">
        <v>17.8</v>
      </c>
      <c r="CC6" s="37">
        <f>12+8.25</f>
        <v>20.25</v>
      </c>
      <c r="CD6" s="37"/>
      <c r="CE6" s="37"/>
      <c r="CF6" s="37"/>
      <c r="CG6" s="37"/>
      <c r="CH6" s="37"/>
      <c r="CI6" s="37"/>
      <c r="CJ6" s="37"/>
      <c r="CK6" s="37"/>
      <c r="CL6" s="37">
        <f>70-4.5+5-8.15</f>
        <v>62.35</v>
      </c>
      <c r="CM6" s="37"/>
      <c r="CN6" s="37"/>
      <c r="CO6" s="37"/>
      <c r="CP6" s="37"/>
      <c r="CQ6" s="37"/>
      <c r="CR6" s="37"/>
      <c r="CS6" s="37"/>
      <c r="CT6" s="37"/>
      <c r="CU6" s="37"/>
      <c r="CV6" s="37"/>
      <c r="CW6" s="37"/>
      <c r="CX6" s="37"/>
      <c r="CY6" s="37"/>
      <c r="CZ6" s="37"/>
      <c r="DA6" s="37"/>
      <c r="DB6" s="37"/>
      <c r="DC6" s="37"/>
      <c r="DD6" s="37"/>
      <c r="DE6" s="37"/>
      <c r="DF6" s="37"/>
      <c r="DG6" s="37"/>
      <c r="DH6" s="37"/>
      <c r="DI6" s="37"/>
      <c r="DJ6" s="37"/>
      <c r="DK6" s="37"/>
      <c r="DL6" s="37"/>
      <c r="DM6" s="37"/>
      <c r="DN6" s="37"/>
      <c r="DO6" s="37"/>
      <c r="DP6" s="37"/>
      <c r="DQ6" s="37"/>
      <c r="DR6" s="37"/>
      <c r="DS6" s="37"/>
      <c r="DT6" s="37"/>
      <c r="DU6" s="37"/>
      <c r="DV6" s="37"/>
      <c r="DW6" s="37"/>
      <c r="DX6" s="37"/>
      <c r="DY6" s="37"/>
      <c r="DZ6" s="37"/>
      <c r="EA6" s="37"/>
      <c r="EB6" s="38"/>
      <c r="EC6" s="37"/>
      <c r="ED6" s="37"/>
      <c r="EE6" s="37"/>
      <c r="EF6" s="37"/>
      <c r="EG6" s="37"/>
      <c r="EH6" s="39"/>
      <c r="EI6" s="37"/>
      <c r="EJ6" s="37"/>
      <c r="EK6" s="37"/>
      <c r="EL6" s="37"/>
      <c r="EM6" s="37"/>
      <c r="EN6" s="37"/>
      <c r="EO6" s="37"/>
      <c r="EP6" s="37"/>
      <c r="EQ6" s="37"/>
      <c r="ER6" s="37"/>
      <c r="ES6" s="37"/>
      <c r="ET6" s="37"/>
      <c r="EU6" s="37"/>
      <c r="EV6" s="37"/>
      <c r="EW6" s="37"/>
      <c r="EX6" s="37"/>
      <c r="EY6" s="37"/>
      <c r="EZ6" s="37"/>
      <c r="FA6" s="37"/>
      <c r="FB6" s="37"/>
      <c r="FC6" s="37"/>
      <c r="FD6" s="37"/>
      <c r="FE6" s="37"/>
      <c r="FF6" s="37"/>
      <c r="FG6" s="37"/>
      <c r="FH6" s="37"/>
      <c r="FI6" s="37"/>
      <c r="FJ6" s="37"/>
      <c r="FK6" s="37">
        <v>29.9</v>
      </c>
      <c r="FL6" s="37"/>
      <c r="FM6" s="37"/>
      <c r="FN6" s="37"/>
      <c r="FO6" s="37"/>
      <c r="FP6" s="37">
        <v>29.9</v>
      </c>
      <c r="FQ6" s="37"/>
      <c r="FR6" s="37"/>
      <c r="FS6" s="37"/>
      <c r="FT6" s="37"/>
      <c r="FU6" s="37">
        <v>29.9</v>
      </c>
      <c r="FV6" s="37"/>
      <c r="FW6" s="37"/>
      <c r="FX6" s="37"/>
      <c r="FY6" s="37"/>
      <c r="FZ6" s="37">
        <v>29.9</v>
      </c>
      <c r="GA6" s="37"/>
      <c r="GB6" s="37"/>
      <c r="GC6" s="37"/>
      <c r="GD6" s="37"/>
      <c r="GE6" s="37"/>
      <c r="GF6" s="37"/>
      <c r="GG6" s="37"/>
      <c r="GH6" s="37"/>
      <c r="GI6" s="37"/>
      <c r="GJ6" s="37">
        <v>3.9</v>
      </c>
      <c r="GK6" s="37"/>
      <c r="GL6" s="37"/>
      <c r="GM6" s="37"/>
      <c r="GN6" s="37"/>
      <c r="GO6" s="37">
        <f>29.9*2</f>
        <v>59.8</v>
      </c>
      <c r="GP6" s="37"/>
      <c r="GQ6" s="37"/>
      <c r="GR6" s="37"/>
      <c r="GS6" s="37"/>
      <c r="GT6" s="37"/>
      <c r="GU6" s="37"/>
      <c r="GV6" s="37"/>
      <c r="GW6" s="37"/>
      <c r="GX6" s="37"/>
      <c r="GY6" s="37"/>
      <c r="GZ6" s="37"/>
      <c r="HA6" s="37"/>
      <c r="HB6" s="37"/>
      <c r="HC6" s="37"/>
      <c r="HD6" s="37"/>
      <c r="HE6" s="37"/>
      <c r="HF6" s="37"/>
      <c r="HG6" s="37"/>
      <c r="HH6" s="37"/>
      <c r="HI6" s="37"/>
      <c r="HJ6" s="37"/>
      <c r="HK6" s="37"/>
      <c r="HL6" s="37"/>
      <c r="HM6" s="37"/>
      <c r="HN6" s="37"/>
      <c r="HO6" s="37"/>
      <c r="HP6" s="37"/>
      <c r="HQ6" s="37"/>
      <c r="HR6" s="37"/>
      <c r="HS6" s="37"/>
      <c r="HT6" s="37"/>
      <c r="HU6" s="37"/>
      <c r="HV6" s="37"/>
      <c r="HW6" s="37"/>
      <c r="HX6" s="37"/>
      <c r="HY6" s="37"/>
      <c r="HZ6" s="37"/>
      <c r="IA6" s="37"/>
      <c r="IB6" s="37"/>
      <c r="IC6" s="37"/>
      <c r="ID6" s="37"/>
      <c r="IE6" s="37"/>
      <c r="IF6" s="37"/>
      <c r="IG6" s="37"/>
      <c r="IH6" s="37"/>
      <c r="II6" s="37"/>
      <c r="IJ6" s="37"/>
      <c r="IK6" s="37"/>
      <c r="IL6" s="37"/>
      <c r="IM6" s="37"/>
      <c r="IN6" s="37"/>
      <c r="IO6" s="37"/>
      <c r="IP6" s="37"/>
      <c r="IQ6" s="37"/>
      <c r="IR6" s="37"/>
      <c r="IS6" s="37"/>
      <c r="IT6" s="37"/>
      <c r="IU6" s="37"/>
      <c r="IV6" s="37"/>
      <c r="IW6" s="37"/>
      <c r="IX6" s="37"/>
      <c r="IY6" s="37"/>
      <c r="IZ6" s="37"/>
      <c r="JA6" s="37"/>
      <c r="JB6" s="37"/>
      <c r="JC6" s="37"/>
      <c r="JD6" s="37"/>
      <c r="JE6" s="37"/>
      <c r="JF6" s="37"/>
      <c r="JG6" s="37"/>
      <c r="JH6" s="37"/>
      <c r="JI6" s="37"/>
      <c r="JJ6" s="37"/>
      <c r="JK6" s="37"/>
      <c r="JL6" s="37"/>
      <c r="JM6" s="37"/>
      <c r="JN6" s="37"/>
      <c r="JO6" s="37"/>
      <c r="JP6" s="37"/>
      <c r="JQ6" s="37"/>
      <c r="JR6" s="37"/>
      <c r="JS6" s="37"/>
      <c r="JT6" s="37"/>
      <c r="JU6" s="37"/>
      <c r="JV6" s="37"/>
      <c r="JW6" s="37"/>
      <c r="JX6" s="37"/>
      <c r="JY6" s="37"/>
      <c r="JZ6" s="37"/>
      <c r="KA6" s="37"/>
      <c r="KB6" s="37"/>
      <c r="KC6" s="37"/>
      <c r="KD6" s="37"/>
      <c r="KE6" s="37"/>
      <c r="KF6" s="37"/>
      <c r="KG6" s="37"/>
      <c r="KH6" s="37"/>
      <c r="KI6" s="37"/>
      <c r="KJ6" s="37"/>
      <c r="KK6" s="37"/>
      <c r="KL6" s="37"/>
      <c r="KM6" s="37"/>
      <c r="KN6" s="37"/>
      <c r="KO6" s="37"/>
      <c r="KP6" s="37"/>
      <c r="KQ6" s="37"/>
      <c r="KR6" s="37"/>
      <c r="KS6" s="37"/>
      <c r="KT6" s="37"/>
      <c r="KU6" s="37"/>
      <c r="KV6" s="37"/>
      <c r="KW6" s="37"/>
      <c r="KX6" s="37"/>
      <c r="KY6" s="37"/>
      <c r="KZ6" s="37"/>
      <c r="LA6" s="37"/>
      <c r="LB6" s="37"/>
      <c r="LC6" s="37"/>
      <c r="LD6" s="37"/>
      <c r="LE6" s="37"/>
      <c r="LF6" s="37"/>
      <c r="LG6" s="37"/>
      <c r="LH6" s="37"/>
      <c r="LI6" s="37"/>
      <c r="LJ6" s="37"/>
      <c r="LK6" s="37"/>
      <c r="LL6" s="37"/>
      <c r="LM6" s="37"/>
      <c r="LN6" s="37"/>
      <c r="LO6" s="37"/>
      <c r="LP6" s="37"/>
      <c r="LQ6" s="37"/>
      <c r="LR6" s="37"/>
      <c r="LS6" s="37"/>
      <c r="LT6" s="37"/>
      <c r="LU6" s="37"/>
      <c r="LV6" s="37"/>
      <c r="LW6" s="37"/>
      <c r="LX6" s="37"/>
      <c r="LY6" s="37"/>
      <c r="LZ6" s="37"/>
      <c r="MA6" s="37"/>
      <c r="MB6" s="37"/>
      <c r="MC6" s="37"/>
      <c r="MD6" s="37"/>
      <c r="ME6" s="37"/>
      <c r="MF6" s="37"/>
      <c r="MG6" s="37"/>
      <c r="MH6" s="37"/>
      <c r="MI6" s="37"/>
      <c r="MJ6" s="37"/>
      <c r="MK6" s="37"/>
      <c r="ML6" s="37"/>
      <c r="MM6" s="37"/>
      <c r="MN6" s="37"/>
      <c r="MO6" s="37"/>
      <c r="MP6" s="37"/>
      <c r="MQ6" s="37"/>
      <c r="MR6" s="37"/>
      <c r="MS6" s="37"/>
      <c r="MT6" s="37"/>
      <c r="MU6" s="37"/>
      <c r="MV6" s="37"/>
      <c r="MW6" s="37"/>
      <c r="MX6" s="37"/>
    </row>
    <row r="7" spans="1:363" x14ac:dyDescent="0.25">
      <c r="A7" s="148"/>
      <c r="B7" s="36" t="s">
        <v>84</v>
      </c>
      <c r="C7" s="37"/>
      <c r="D7" s="37">
        <f>7.75+12.52+7.75+8.28+7.93</f>
        <v>44.23</v>
      </c>
      <c r="E7" s="37">
        <f>7+7.75+8.96</f>
        <v>23.71</v>
      </c>
      <c r="F7" s="37"/>
      <c r="G7" s="37"/>
      <c r="H7" s="37">
        <f>7.75+9.15+8.43+8.21+7.75+7.75</f>
        <v>49.04</v>
      </c>
      <c r="I7" s="37">
        <f>7.75+8.4+10.48+10.3</f>
        <v>36.93</v>
      </c>
      <c r="J7" s="37">
        <f>11.94+8.37</f>
        <v>20.309999999999999</v>
      </c>
      <c r="K7" s="37">
        <f>8.97+9.43</f>
        <v>18.399999999999999</v>
      </c>
      <c r="L7" s="37"/>
      <c r="M7" s="37">
        <f>10.14+13.36+8.24+13.08</f>
        <v>44.82</v>
      </c>
      <c r="N7" s="37">
        <f>7.75+8.13+13.58+8.55</f>
        <v>38.010000000000005</v>
      </c>
      <c r="O7" s="37">
        <f>8.42</f>
        <v>8.42</v>
      </c>
      <c r="P7" s="37">
        <f>8.75+7.75+7.75</f>
        <v>24.25</v>
      </c>
      <c r="Q7" s="37"/>
      <c r="R7" s="37">
        <f>8.54+9.73+7.75+12.26+8.07+7.75</f>
        <v>54.1</v>
      </c>
      <c r="S7" s="37">
        <f>7.75*3+8.3+8.23+7.75</f>
        <v>47.53</v>
      </c>
      <c r="T7" s="37">
        <f>7.75*2</f>
        <v>15.5</v>
      </c>
      <c r="U7" s="37">
        <f>8.55+7.75</f>
        <v>16.3</v>
      </c>
      <c r="V7" s="37"/>
      <c r="W7" s="37">
        <f>7.75*5</f>
        <v>38.75</v>
      </c>
      <c r="X7" s="37">
        <f>7.75*4+17+16.31+8.95</f>
        <v>73.260000000000005</v>
      </c>
      <c r="Y7" s="37">
        <f>5*7.75</f>
        <v>38.75</v>
      </c>
      <c r="Z7" s="37">
        <f>7.75*3</f>
        <v>23.25</v>
      </c>
      <c r="AA7" s="37"/>
      <c r="AB7" s="37">
        <f>8.7+8.86+10.07+7.25+7.75+7.75+7.75+7.75+7</f>
        <v>72.88</v>
      </c>
      <c r="AC7" s="37">
        <f>7.75+11.98+7.75</f>
        <v>27.48</v>
      </c>
      <c r="AD7" s="37">
        <f>7.75+9.03</f>
        <v>16.78</v>
      </c>
      <c r="AE7" s="37">
        <v>7.75</v>
      </c>
      <c r="AF7" s="37"/>
      <c r="AG7" s="37"/>
      <c r="AH7" s="37">
        <f>14.3+7.75+18.69+16.96+7.75+7.75+7.75</f>
        <v>80.95</v>
      </c>
      <c r="AI7" s="37">
        <v>7.75</v>
      </c>
      <c r="AJ7" s="37">
        <f>10.23+7.79+10.49+14.64+8.62+7.75+7.75</f>
        <v>67.27</v>
      </c>
      <c r="AK7" s="37"/>
      <c r="AL7" s="37">
        <f>7.75+23.35+10.01+11.95+10.03+15.23+10.55</f>
        <v>88.87</v>
      </c>
      <c r="AM7" s="37">
        <f>9.97+88.62</f>
        <v>98.59</v>
      </c>
      <c r="AN7" s="37">
        <f>24.81+9.97+8.95+7.75</f>
        <v>51.480000000000004</v>
      </c>
      <c r="AO7" s="37">
        <v>19.73</v>
      </c>
      <c r="AP7" s="37"/>
      <c r="AQ7" s="37">
        <f>7.75+12.55+7.75+7.75+11.84</f>
        <v>47.64</v>
      </c>
      <c r="AR7" s="37">
        <f>24.97+29.38+8.25+8.25</f>
        <v>70.849999999999994</v>
      </c>
      <c r="AS7" s="37">
        <f>24.17+27.88+7.75+8</f>
        <v>67.8</v>
      </c>
      <c r="AT7" s="37">
        <f>10.36+7.75</f>
        <v>18.11</v>
      </c>
      <c r="AU7" s="37"/>
      <c r="AV7" s="37">
        <f>7.75+7.81+14.5</f>
        <v>30.06</v>
      </c>
      <c r="AW7" s="37">
        <f>7.75+9.9+7.75</f>
        <v>25.4</v>
      </c>
      <c r="AX7" s="37">
        <f>11.35+8.42+7.73+7.5+50</f>
        <v>85</v>
      </c>
      <c r="AY7" s="37">
        <f>5.6+5.5+7.5+7.75+14.95+6.8+6.1+5.94+12.7</f>
        <v>72.839999999999989</v>
      </c>
      <c r="AZ7" s="37"/>
      <c r="BA7" s="37">
        <f>7.2+6.82+12.2+7.5+7.5</f>
        <v>41.22</v>
      </c>
      <c r="BB7" s="37">
        <f>5.25+6+6+18.16+9</f>
        <v>44.41</v>
      </c>
      <c r="BC7" s="37">
        <f>7.26+6.37+5.62+22.8</f>
        <v>42.05</v>
      </c>
      <c r="BD7" s="37">
        <f>7.5+9.8+8.59+7.5+6.37+9.8</f>
        <v>49.56</v>
      </c>
      <c r="BE7" s="37"/>
      <c r="BF7" s="37"/>
      <c r="BG7" s="37">
        <f>7.5+9.8+19.46+7.5+7.5</f>
        <v>51.760000000000005</v>
      </c>
      <c r="BH7" s="37">
        <f>13.5+12.8+7.5+7.6</f>
        <v>41.4</v>
      </c>
      <c r="BI7" s="37">
        <f>9.3+7.5+8.06+15.42</f>
        <v>40.28</v>
      </c>
      <c r="BJ7" s="37">
        <f>9.8+11.3+10.9</f>
        <v>32</v>
      </c>
      <c r="BK7" s="37">
        <f>7.5+13.46+15+18.26</f>
        <v>54.22</v>
      </c>
      <c r="BL7" s="37"/>
      <c r="BM7" s="37"/>
      <c r="BN7" s="37"/>
      <c r="BO7" s="37">
        <f>7.5+7.5+6.38</f>
        <v>21.38</v>
      </c>
      <c r="BP7" s="37"/>
      <c r="BQ7" s="37">
        <v>3.88</v>
      </c>
      <c r="BR7" s="37">
        <v>13.1</v>
      </c>
      <c r="BS7" s="37">
        <f>7.75+7.5</f>
        <v>15.25</v>
      </c>
      <c r="BT7" s="37">
        <f>7.5+7.5+23.29+8</f>
        <v>46.29</v>
      </c>
      <c r="BU7" s="37"/>
      <c r="BV7" s="37">
        <f>7.69+6.21</f>
        <v>13.9</v>
      </c>
      <c r="BW7" s="37">
        <f>6.21+6.9+6</f>
        <v>19.11</v>
      </c>
      <c r="BX7" s="37"/>
      <c r="BY7" s="37">
        <f>7.5+7.5+9.8+8.3+8+7.8+7.5+7.5+6.37+12.61+6.22+6.21+6.8+9.67+6.21+12.7+7.3</f>
        <v>137.98999999999998</v>
      </c>
      <c r="BZ7" s="37">
        <f>9.8+7.5+6+7.3+8.4</f>
        <v>39</v>
      </c>
      <c r="CA7" s="37">
        <f>5.5+13.1</f>
        <v>18.600000000000001</v>
      </c>
      <c r="CB7" s="37"/>
      <c r="CC7" s="37"/>
      <c r="CD7" s="37">
        <f>10.8+6.21+7.3+7.28+9.6+13.2+13.1+8.74+7.49+6.37+8.4+8.81+7.5+7.5+20.3</f>
        <v>142.6</v>
      </c>
      <c r="CE7" s="37"/>
      <c r="CF7" s="37"/>
      <c r="CG7" s="37"/>
      <c r="CH7" s="37"/>
      <c r="CI7" s="37">
        <f>7.5+7.5+5.27+8.92+7.1+7.29+11.73+6.2+6.2+13.5+6.2+5.35+6.2+8.33+5.35+6.4+5.53+5.35+5.35+10.6+18.19+7.74+13.2+6.2+13.5+12.8</f>
        <v>217.5</v>
      </c>
      <c r="CJ7" s="37">
        <v>6.4</v>
      </c>
      <c r="CK7" s="37"/>
      <c r="CL7" s="37"/>
      <c r="CM7" s="37"/>
      <c r="CN7" s="37">
        <f>6.2+5.35+8.9+8+9.9+13.1+(39.37-25.47)+8+32.69+4.2+13.2+6.2+13.1+6.2+6.2+12.7+6.2+(13.42-7.22)+6.2+12.9+7.5+13.1</f>
        <v>219.93999999999991</v>
      </c>
      <c r="CO7" s="37"/>
      <c r="CP7" s="37"/>
      <c r="CQ7" s="37"/>
      <c r="CR7" s="37"/>
      <c r="CS7" s="37">
        <f>6.2+6.2+6.2+6.7+9.11+6.2+13+20.7+13.5+6.2+22.9+14.2+6.2+6.2+8.4+6.2+6.2+6.2+6.2+6.2+8.1+11.2+6.2+6.2+(54.21-48.01)+6.2+5.44*4+6.57</f>
        <v>255.33999999999986</v>
      </c>
      <c r="CT7" s="37"/>
      <c r="CU7" s="37"/>
      <c r="CV7" s="37"/>
      <c r="CW7" s="37"/>
      <c r="CX7" s="37">
        <f>5.44*5+5.27*3+7.04+12.95+9.48+6+12.98+5.3+5.3+4.8+5.27+5.3+6.64+12.94+6.16+7.38+7.85+5.27+5+6.96+5+5.5+12.7</f>
        <v>198.82999999999998</v>
      </c>
      <c r="CY7" s="37"/>
      <c r="CZ7" s="37"/>
      <c r="DA7" s="37"/>
      <c r="DB7" s="37"/>
      <c r="DC7" s="37">
        <f>4.96+5+5+5.06+12.8+5.78+5+38.9+23.28+21.85+38.55+(5.06+12.06+17.11+8.7+12.48+23.79+19.97)+12.4+9.8+7.27+5+22.66+9.27+10+5.9+15.46+5+11.73+10.45</f>
        <v>390.28999999999996</v>
      </c>
      <c r="DD7" s="37"/>
      <c r="DE7" s="37"/>
      <c r="DF7" s="37"/>
      <c r="DG7" s="37"/>
      <c r="DH7" s="37">
        <f>8.04+5.08+6.64+4+6.64+5.08+7+11.14+5.08+5.09+18.34+5.98+5.98+15.57+5.98+7.47+9.52+5.08+7.32+6+7.4+12.94+5.08+5.08+10.84+5+0.03</f>
        <v>197.40000000000003</v>
      </c>
      <c r="DI7" s="37"/>
      <c r="DJ7" s="37">
        <f>6.4+24.53</f>
        <v>30.93</v>
      </c>
      <c r="DK7" s="37"/>
      <c r="DL7" s="37"/>
      <c r="DM7" s="37">
        <f>5.08+8.64+12.92+17.79+9.48+5.08+9.25+9.17+5.08+12.79+8.36+6.75+10.66+13.22+9.27+5.08+21+6.64+11.42+9+5.98+6.8+22.09+5.2+16.35+10.84+5.98+11.59+8.1+14.5+5+10.28+5.98+9.38+14.46+10.95+19.97+20.2</f>
        <v>400.33</v>
      </c>
      <c r="DN7" s="37"/>
      <c r="DO7" s="37"/>
      <c r="DP7" s="37"/>
      <c r="DQ7" s="37"/>
      <c r="DR7" s="37">
        <f>6.9+13.63+10.9+5.91+5.8+6.12+6.13+2+5+7.5+9.63+10.29+14.68+22.61+5.67+6+8.1+9.5+5.98+9.67+5.79+7.2+6.9</f>
        <v>191.90999999999997</v>
      </c>
      <c r="DS7" s="37"/>
      <c r="DT7" s="37"/>
      <c r="DU7" s="37"/>
      <c r="DV7" s="37"/>
      <c r="DW7" s="37">
        <f>11+8.15+9.49+7.5+12.75+5.79+5.79+5.2+8.39+8.31+5+6.7+5.79+5+5.5+5.79+5.79+5.79+5.98+7+5.79+5.79+5.4+5.82+5+5.8+6.7+((((31.12-17.52))))+8.4+8.4+6.6+4.88+5.79</f>
        <v>228.68</v>
      </c>
      <c r="DX7" s="37"/>
      <c r="DY7" s="37"/>
      <c r="DZ7" s="37"/>
      <c r="EA7" s="37"/>
      <c r="EB7" s="38">
        <f>5.79+10.96+5.84+5.79+5.79+8.5+5.79+9.7+5.61+11.52+14.9+6.96+5+8+11.6+9.5+5.5+7.7+9.2+15.56+5.5+23.45</f>
        <v>198.15999999999997</v>
      </c>
      <c r="EC7" s="37"/>
      <c r="ED7" s="37"/>
      <c r="EE7" s="37">
        <f>5.67+6.8+6.1+19.88+11.41+12.19+11.17+11.33+11.82+6.01+8.29</f>
        <v>110.67000000000002</v>
      </c>
      <c r="EF7" s="37">
        <f>9.3+11.66+11.79</f>
        <v>32.75</v>
      </c>
      <c r="EG7" s="37">
        <f>7.4+7.6+16.5+16.48+6.7+5+11.92+5.67+8.6+11.32+9.3+14+10.2+41.07+10.46+16.67+8+8.49+6.37+9.7+10.42+11+10.61+12.89+5.87+6.3</f>
        <v>288.53999999999996</v>
      </c>
      <c r="EH7" s="39"/>
      <c r="EI7" s="37"/>
      <c r="EJ7" s="37"/>
      <c r="EK7" s="37"/>
      <c r="EL7" s="37">
        <f>9.27+6.22+7.89</f>
        <v>23.38</v>
      </c>
      <c r="EM7" s="37"/>
      <c r="EN7" s="37"/>
      <c r="EO7" s="37"/>
      <c r="EP7" s="37"/>
      <c r="EQ7" s="37">
        <v>93.65</v>
      </c>
      <c r="ER7" s="37"/>
      <c r="ES7" s="37"/>
      <c r="ET7" s="37"/>
      <c r="EU7" s="37"/>
      <c r="EV7" s="37"/>
      <c r="EW7" s="37"/>
      <c r="EX7" s="37"/>
      <c r="EY7" s="37">
        <v>83</v>
      </c>
      <c r="EZ7" s="37"/>
      <c r="FA7" s="37">
        <f>5.58+8.86+5.35+5.35+72.13+79.37+52.68+5.35+5.81</f>
        <v>240.48</v>
      </c>
      <c r="FB7" s="37"/>
      <c r="FC7" s="37"/>
      <c r="FD7" s="37"/>
      <c r="FE7" s="37"/>
      <c r="FF7" s="37">
        <f>16.35+73.59+77.39+5.35+5.81+4.89+5.35+11+5.81+26.64</f>
        <v>232.17999999999995</v>
      </c>
      <c r="FG7" s="37"/>
      <c r="FH7" s="37"/>
      <c r="FI7" s="37"/>
      <c r="FJ7" s="37"/>
      <c r="FK7" s="37"/>
      <c r="FL7" s="37"/>
      <c r="FM7" s="37"/>
      <c r="FN7" s="37"/>
      <c r="FO7" s="37"/>
      <c r="FP7" s="37">
        <f>6.01+9.54+8.93</f>
        <v>24.479999999999997</v>
      </c>
      <c r="FQ7" s="37"/>
      <c r="FR7" s="37"/>
      <c r="FS7" s="37"/>
      <c r="FT7" s="37"/>
      <c r="FU7" s="37"/>
      <c r="FV7" s="37"/>
      <c r="FW7" s="37"/>
      <c r="FX7" s="37"/>
      <c r="FY7" s="37"/>
      <c r="FZ7" s="37"/>
      <c r="GA7" s="37"/>
      <c r="GB7" s="37"/>
      <c r="GC7" s="37"/>
      <c r="GD7" s="37"/>
      <c r="GE7" s="37"/>
      <c r="GF7" s="37"/>
      <c r="GG7" s="37"/>
      <c r="GH7" s="37"/>
      <c r="GI7" s="37"/>
      <c r="GJ7" s="37">
        <f>7.85+18.28+14.39</f>
        <v>40.520000000000003</v>
      </c>
      <c r="GK7" s="37"/>
      <c r="GL7" s="37"/>
      <c r="GM7" s="37"/>
      <c r="GN7" s="37"/>
      <c r="GO7" s="37">
        <v>34.869999999999997</v>
      </c>
      <c r="GP7" s="37"/>
      <c r="GQ7" s="37"/>
      <c r="GR7" s="37"/>
      <c r="GS7" s="37"/>
      <c r="GT7" s="37"/>
      <c r="GU7" s="37"/>
      <c r="GV7" s="37"/>
      <c r="GW7" s="37"/>
      <c r="GX7" s="37">
        <v>200</v>
      </c>
      <c r="GY7" s="37">
        <f>6.81+8.99+8.29+80.77+62.19+45.52+6.22+8.02+5.88+7.18+7+5.88+7.05</f>
        <v>259.8</v>
      </c>
      <c r="GZ7" s="37"/>
      <c r="HA7" s="37"/>
      <c r="HB7" s="37"/>
      <c r="HC7" s="37"/>
      <c r="HD7" s="37">
        <f>9.05+9.1+6.68+15.5+11.92+14.91+5.88+5.88+14.93+7.62+10.99+5.88+8.44+7.21+5.88+8.92+12.92</f>
        <v>161.70999999999995</v>
      </c>
      <c r="HE7" s="37">
        <f>18.94</f>
        <v>18.940000000000001</v>
      </c>
      <c r="HF7" s="37"/>
      <c r="HG7" s="37"/>
      <c r="HH7" s="37"/>
      <c r="HI7" s="37">
        <f>8.91+6.99+10.97+5+19.99+12.92+10.92+6.68+7.9+8.32+14.95+12.98+21.92+7.9+6.68+6.21+6.13+5.49+5.49</f>
        <v>186.35000000000002</v>
      </c>
      <c r="HJ7" s="37"/>
      <c r="HK7" s="37"/>
      <c r="HL7" s="37"/>
      <c r="HM7" s="37"/>
      <c r="HN7" s="37">
        <f>8.56+6.76+12.96+17.91+15+9.15+8.44+6.68+7.53+5.51+6.61+15.95+9.93+54.99+23.98+51.98+54.99+55.96</f>
        <v>372.89</v>
      </c>
      <c r="HO7" s="37"/>
      <c r="HP7" s="37"/>
      <c r="HQ7" s="37"/>
      <c r="HR7" s="37"/>
      <c r="HS7" s="37">
        <f>8.94+8.84+12.94+10.91+50.91+51.94+7.61+8.41+8.73+9.91</f>
        <v>179.14</v>
      </c>
      <c r="HT7" s="37"/>
      <c r="HU7" s="37"/>
      <c r="HV7" s="37"/>
      <c r="HW7" s="37"/>
      <c r="HX7" s="37">
        <f>7.21+11.97+8.93+8.97+8.77+10.94+10.9+8.93+9.95+8.98+9.91+8.84+40.45+51.95+11.95+12.97+13.98+8.95+10.97+11.05+10.96+10.9+64.99+54.93+10.9+8.86+9.99+8.72+9.95+11.95</f>
        <v>478.71999999999997</v>
      </c>
      <c r="HY7" s="37">
        <v>7.51</v>
      </c>
      <c r="HZ7" s="37">
        <f>12.98+16.99+11.94+15.92+11.94</f>
        <v>69.77</v>
      </c>
      <c r="IA7" s="37">
        <f>8.9+10.94+14.96+10.93+12.96+10.97</f>
        <v>69.66</v>
      </c>
      <c r="IB7" s="37">
        <f>13.95+9.94+7.99+9.92+9.62+11.97+9.92+13.94+15.9+9.91</f>
        <v>113.06</v>
      </c>
      <c r="IC7" s="37">
        <f>13.93+52.03+10.94+49.96+10.94+11.99+17.01+10.97+13.91+12.96+14.91+10.97+7.96+10.97+16.91+9.96+10.92+10.98</f>
        <v>298.22000000000003</v>
      </c>
      <c r="ID7" s="37">
        <f>10.98+11.99+13.92+11.99+16.52+9.62+9.76+9.78</f>
        <v>94.560000000000016</v>
      </c>
      <c r="IE7" s="37">
        <f>13.07+14.98+8.95+9.98+12.53+8.97+10.82+8.45</f>
        <v>87.750000000000014</v>
      </c>
      <c r="IF7" s="37">
        <f>13.18+20.34+8.99+12.91+16.9+17.94+16.54+10.94+9.59+20.22</f>
        <v>147.54999999999998</v>
      </c>
      <c r="IG7" s="37">
        <f>9.01+9.4</f>
        <v>18.41</v>
      </c>
      <c r="IH7" s="37">
        <f>9.98+7.96</f>
        <v>17.940000000000001</v>
      </c>
      <c r="II7" s="37">
        <f>9.82+9.4+2+8.66</f>
        <v>29.88</v>
      </c>
      <c r="IJ7" s="37"/>
      <c r="IK7" s="37"/>
      <c r="IL7" s="37"/>
      <c r="IM7" s="37">
        <f>8.45+10.45+10.9+11.71+9.01+9.9+8.91+9.7+8.58+7.84+9.12+7.93+7.57+9.85+10.9+9.95+10.59+10.18+9.11</f>
        <v>180.64999999999998</v>
      </c>
      <c r="IN7" s="37"/>
      <c r="IO7" s="37"/>
      <c r="IP7" s="37"/>
      <c r="IQ7" s="40" t="s">
        <v>85</v>
      </c>
      <c r="IR7" s="37">
        <f>9.96+7.26+7.68+9.4+10.3+10.91+15.93+10.98+13.9+11.19+9.96+11.15+10.9+9.52+10.84+10.54+7.7+9.93+12.08+10.25+9.76+9.88+10.85+8.88</f>
        <v>249.75</v>
      </c>
      <c r="IS7" s="37"/>
      <c r="IT7" s="37"/>
      <c r="IU7" s="37"/>
      <c r="IV7" s="40" t="s">
        <v>85</v>
      </c>
      <c r="IW7" s="37">
        <f>6.43+10.97+10.93+17.94+11.95+11.91+10.97+8.98+9.96+20.2+9.92+10.95+10.93</f>
        <v>152.04</v>
      </c>
      <c r="IX7" s="37"/>
      <c r="IY7" s="37"/>
      <c r="IZ7" s="37"/>
      <c r="JA7" s="40" t="s">
        <v>85</v>
      </c>
      <c r="JB7" s="37">
        <f>20+20.98+11.95+17.97+11.95+9.93+11.92+10.94+9.91+11.92+9.91+9.98+9.05+9.95+10.91+10.93+11.98+9.9+8.7+10.99+29.99+11.95+9.93+16.93+19.98+10.17+9.99</f>
        <v>348.71000000000004</v>
      </c>
      <c r="JC7" s="37"/>
      <c r="JD7" s="37"/>
      <c r="JE7" s="37">
        <f>13.92+13.96+9.99+8.79+8.73+8.91+9.93+11.93+5.73+8.93</f>
        <v>100.82</v>
      </c>
      <c r="JF7" s="40">
        <f>14.96+9.94+((64.96+69.95+65.01+64.96))</f>
        <v>289.77999999999997</v>
      </c>
      <c r="JG7" s="37">
        <f>59.95+65.12+11.95+9.93+10.96+10.97+9.93+8.53+9.28+24.95+((61.67+65.31+64.94+65.18+61.65+65.17+69.99+69.92+69.96+69.9))+19.98+11.91+10.96+9.9+12.97+10.99+16.24+14.91+24.66</f>
        <v>1017.7800000000001</v>
      </c>
      <c r="JH7" s="37">
        <f>8.56+69.98+81.18+69.9+63.7</f>
        <v>293.32000000000005</v>
      </c>
      <c r="JI7" s="37">
        <f>79.92+69.97</f>
        <v>149.88999999999999</v>
      </c>
      <c r="JJ7" s="37"/>
      <c r="JK7" s="40" t="s">
        <v>85</v>
      </c>
      <c r="JL7" s="37"/>
      <c r="JM7" s="37">
        <f>19.97+13.95+12.91+10.95+9.9</f>
        <v>67.680000000000007</v>
      </c>
      <c r="JN7" s="37">
        <f>8.48+8.62</f>
        <v>17.100000000000001</v>
      </c>
      <c r="JO7" s="37"/>
      <c r="JP7" s="40" t="s">
        <v>85</v>
      </c>
      <c r="JQ7" s="37"/>
      <c r="JR7" s="37"/>
      <c r="JS7" s="37"/>
      <c r="JT7" s="37"/>
      <c r="JU7" s="37"/>
      <c r="JV7" s="37">
        <v>50</v>
      </c>
      <c r="JW7" s="37"/>
      <c r="JX7" s="37"/>
      <c r="JY7" s="37"/>
      <c r="JZ7" s="40" t="s">
        <v>85</v>
      </c>
      <c r="KA7" s="37">
        <f>160+200-(318.65)</f>
        <v>41.350000000000023</v>
      </c>
      <c r="KB7" s="37"/>
      <c r="KC7" s="37"/>
      <c r="KD7" s="37"/>
      <c r="KE7" s="40">
        <f>9.38+19.99</f>
        <v>29.369999999999997</v>
      </c>
      <c r="KF7" s="37">
        <f>9.58+10.98</f>
        <v>20.560000000000002</v>
      </c>
      <c r="KG7" s="37"/>
      <c r="KH7" s="37"/>
      <c r="KI7" s="37"/>
      <c r="KJ7" s="40" t="s">
        <v>85</v>
      </c>
      <c r="KK7" s="37">
        <f>10.91+9.97+10.94+29.96+10.95+14.91+69.92</f>
        <v>157.56</v>
      </c>
      <c r="KL7" s="37"/>
      <c r="KM7" s="37"/>
      <c r="KN7" s="37"/>
      <c r="KO7" s="40" t="s">
        <v>85</v>
      </c>
      <c r="KP7" s="37">
        <f>8.97+8.93+10.99+12.95</f>
        <v>41.84</v>
      </c>
      <c r="KQ7" s="37"/>
      <c r="KR7" s="37"/>
      <c r="KS7" s="37"/>
      <c r="KT7" s="40" t="s">
        <v>85</v>
      </c>
      <c r="KU7" s="37">
        <f>-2105.16</f>
        <v>-2105.16</v>
      </c>
      <c r="KV7" s="37"/>
      <c r="KW7" s="37"/>
      <c r="KX7" s="37"/>
      <c r="KY7" s="40" t="s">
        <v>85</v>
      </c>
      <c r="KZ7" s="37"/>
      <c r="LA7" s="37"/>
      <c r="LB7" s="37"/>
      <c r="LC7" s="37"/>
      <c r="LD7" s="40" t="s">
        <v>85</v>
      </c>
      <c r="LE7" s="37"/>
      <c r="LF7" s="37"/>
      <c r="LG7" s="37"/>
      <c r="LH7" s="37">
        <f>8.96</f>
        <v>8.9600000000000009</v>
      </c>
      <c r="LI7" s="40">
        <f>74.92+84.99-90.02</f>
        <v>69.89</v>
      </c>
      <c r="LJ7" s="37"/>
      <c r="LK7" s="37"/>
      <c r="LL7" s="37">
        <f>11.93+9.93</f>
        <v>21.86</v>
      </c>
      <c r="LM7" s="37"/>
      <c r="LN7" s="40" t="s">
        <v>85</v>
      </c>
      <c r="LO7" s="37"/>
      <c r="LP7" s="37"/>
      <c r="LQ7" s="37"/>
      <c r="LR7" s="37"/>
      <c r="LS7" s="40" t="s">
        <v>85</v>
      </c>
      <c r="LT7" s="37"/>
      <c r="LU7" s="37"/>
      <c r="LV7" s="37"/>
      <c r="LW7" s="37"/>
      <c r="LX7" s="40" t="s">
        <v>85</v>
      </c>
      <c r="LY7" s="37"/>
      <c r="LZ7" s="37"/>
      <c r="MA7" s="37"/>
      <c r="MB7" s="37"/>
      <c r="MC7" s="40">
        <f>16.94+59.94+69.91</f>
        <v>146.79</v>
      </c>
      <c r="MD7" s="37">
        <f>150+150+(66.7+66.66*5-8.25)+(33.35+33.33*5-4.13)-612.19</f>
        <v>275.42999999999995</v>
      </c>
      <c r="ME7" s="37"/>
      <c r="MF7" s="37"/>
      <c r="MG7" s="37"/>
      <c r="MH7" s="40" t="s">
        <v>85</v>
      </c>
      <c r="MI7" s="37"/>
      <c r="MJ7" s="37"/>
      <c r="MK7" s="37"/>
      <c r="ML7" s="37"/>
      <c r="MM7" s="40" t="s">
        <v>85</v>
      </c>
      <c r="MN7" s="37">
        <f>(400-8.25)+(300-6.19)+14.43-714.43</f>
        <v>-14.440000000000055</v>
      </c>
      <c r="MO7" s="37"/>
      <c r="MP7" s="37"/>
      <c r="MQ7" s="37"/>
      <c r="MR7" s="40" t="s">
        <v>85</v>
      </c>
      <c r="MS7" s="37">
        <f>29.99+2.1+176.86+85.56+33.03-292.41+79.91+84.98+105.11</f>
        <v>305.12999999999994</v>
      </c>
      <c r="MT7" s="37"/>
      <c r="MU7" s="37"/>
      <c r="MV7" s="37"/>
      <c r="MW7" s="40" t="s">
        <v>85</v>
      </c>
      <c r="MX7" s="37">
        <f>(6.9*3+7.4)</f>
        <v>28.1</v>
      </c>
    </row>
    <row r="8" spans="1:363" x14ac:dyDescent="0.25">
      <c r="A8" s="148"/>
      <c r="B8" s="36" t="s">
        <v>86</v>
      </c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  <c r="Z8" s="37"/>
      <c r="AA8" s="37"/>
      <c r="AB8" s="37"/>
      <c r="AC8" s="37"/>
      <c r="AD8" s="37"/>
      <c r="AE8" s="37"/>
      <c r="AF8" s="37"/>
      <c r="AG8" s="37"/>
      <c r="AH8" s="37"/>
      <c r="AI8" s="37"/>
      <c r="AJ8" s="37"/>
      <c r="AK8" s="37"/>
      <c r="AL8" s="37"/>
      <c r="AM8" s="37"/>
      <c r="AN8" s="37"/>
      <c r="AO8" s="37"/>
      <c r="AP8" s="37"/>
      <c r="AQ8" s="37"/>
      <c r="AR8" s="37"/>
      <c r="AS8" s="37"/>
      <c r="AT8" s="37"/>
      <c r="AU8" s="37"/>
      <c r="AV8" s="37"/>
      <c r="AW8" s="37"/>
      <c r="AX8" s="37"/>
      <c r="AY8" s="37"/>
      <c r="AZ8" s="37"/>
      <c r="BA8" s="37"/>
      <c r="BB8" s="37"/>
      <c r="BC8" s="37"/>
      <c r="BD8" s="37"/>
      <c r="BE8" s="37"/>
      <c r="BF8" s="37"/>
      <c r="BG8" s="37"/>
      <c r="BH8" s="37"/>
      <c r="BI8" s="37"/>
      <c r="BJ8" s="37"/>
      <c r="BK8" s="37"/>
      <c r="BL8" s="37"/>
      <c r="BM8" s="37"/>
      <c r="BN8" s="37"/>
      <c r="BO8" s="37"/>
      <c r="BP8" s="37"/>
      <c r="BQ8" s="37"/>
      <c r="BR8" s="37"/>
      <c r="BS8" s="37"/>
      <c r="BT8" s="37"/>
      <c r="BU8" s="37"/>
      <c r="BV8" s="37"/>
      <c r="BW8" s="37"/>
      <c r="BX8" s="37"/>
      <c r="BY8" s="37"/>
      <c r="BZ8" s="37"/>
      <c r="CA8" s="37"/>
      <c r="CB8" s="37"/>
      <c r="CC8" s="37"/>
      <c r="CD8" s="37"/>
      <c r="CE8" s="37"/>
      <c r="CF8" s="37"/>
      <c r="CG8" s="37"/>
      <c r="CH8" s="37"/>
      <c r="CI8" s="37"/>
      <c r="CJ8" s="37"/>
      <c r="CK8" s="37"/>
      <c r="CL8" s="37"/>
      <c r="CM8" s="37"/>
      <c r="CN8" s="37"/>
      <c r="CO8" s="37"/>
      <c r="CP8" s="37"/>
      <c r="CQ8" s="37"/>
      <c r="CR8" s="37"/>
      <c r="CS8" s="37"/>
      <c r="CT8" s="37"/>
      <c r="CU8" s="37"/>
      <c r="CV8" s="37"/>
      <c r="CW8" s="37"/>
      <c r="CX8" s="37"/>
      <c r="CY8" s="37"/>
      <c r="CZ8" s="37"/>
      <c r="DA8" s="37"/>
      <c r="DB8" s="37"/>
      <c r="DC8" s="37"/>
      <c r="DD8" s="37"/>
      <c r="DE8" s="37"/>
      <c r="DF8" s="37"/>
      <c r="DG8" s="37"/>
      <c r="DH8" s="37"/>
      <c r="DI8" s="37"/>
      <c r="DJ8" s="37"/>
      <c r="DK8" s="37"/>
      <c r="DL8" s="37"/>
      <c r="DM8" s="37"/>
      <c r="DN8" s="37"/>
      <c r="DO8" s="37"/>
      <c r="DP8" s="37"/>
      <c r="DQ8" s="37"/>
      <c r="DR8" s="37"/>
      <c r="DS8" s="37"/>
      <c r="DT8" s="37"/>
      <c r="DU8" s="37"/>
      <c r="DV8" s="37"/>
      <c r="DW8" s="37"/>
      <c r="DX8" s="37"/>
      <c r="DY8" s="37"/>
      <c r="DZ8" s="37"/>
      <c r="EA8" s="37"/>
      <c r="EB8" s="38"/>
      <c r="EC8" s="37"/>
      <c r="ED8" s="37"/>
      <c r="EE8" s="37"/>
      <c r="EF8" s="37"/>
      <c r="EG8" s="37"/>
      <c r="EH8" s="39"/>
      <c r="EI8" s="37"/>
      <c r="EJ8" s="37"/>
      <c r="EK8" s="37"/>
      <c r="EL8" s="37"/>
      <c r="EM8" s="37"/>
      <c r="EN8" s="37"/>
      <c r="EO8" s="37"/>
      <c r="EP8" s="37"/>
      <c r="EQ8" s="37"/>
      <c r="ER8" s="37"/>
      <c r="ES8" s="37"/>
      <c r="ET8" s="37"/>
      <c r="EU8" s="37"/>
      <c r="EV8" s="37"/>
      <c r="EW8" s="37"/>
      <c r="EX8" s="37"/>
      <c r="EY8" s="37"/>
      <c r="EZ8" s="37"/>
      <c r="FA8" s="37"/>
      <c r="FB8" s="37"/>
      <c r="FC8" s="37"/>
      <c r="FD8" s="37"/>
      <c r="FE8" s="37"/>
      <c r="FF8" s="37"/>
      <c r="FG8" s="37"/>
      <c r="FH8" s="37"/>
      <c r="FI8" s="37"/>
      <c r="FJ8" s="37"/>
      <c r="FK8" s="37"/>
      <c r="FL8" s="37"/>
      <c r="FM8" s="37"/>
      <c r="FN8" s="37"/>
      <c r="FO8" s="37"/>
      <c r="FP8" s="37"/>
      <c r="FQ8" s="37"/>
      <c r="FR8" s="37"/>
      <c r="FS8" s="37"/>
      <c r="FT8" s="37"/>
      <c r="FU8" s="37"/>
      <c r="FV8" s="37"/>
      <c r="FW8" s="37"/>
      <c r="FX8" s="37"/>
      <c r="FY8" s="37"/>
      <c r="FZ8" s="37"/>
      <c r="GA8" s="37"/>
      <c r="GB8" s="37"/>
      <c r="GC8" s="37"/>
      <c r="GD8" s="37"/>
      <c r="GE8" s="37"/>
      <c r="GF8" s="37"/>
      <c r="GG8" s="37"/>
      <c r="GH8" s="37"/>
      <c r="GI8" s="37"/>
      <c r="GJ8" s="37"/>
      <c r="GK8" s="37"/>
      <c r="GL8" s="37"/>
      <c r="GM8" s="37"/>
      <c r="GN8" s="37"/>
      <c r="GO8" s="37"/>
      <c r="GP8" s="37"/>
      <c r="GQ8" s="37"/>
      <c r="GR8" s="37"/>
      <c r="GS8" s="37"/>
      <c r="GT8" s="37"/>
      <c r="GU8" s="37"/>
      <c r="GV8" s="37"/>
      <c r="GW8" s="37"/>
      <c r="GX8" s="37"/>
      <c r="GY8" s="37"/>
      <c r="GZ8" s="37"/>
      <c r="HA8" s="37"/>
      <c r="HB8" s="37"/>
      <c r="HC8" s="37"/>
      <c r="HD8" s="37"/>
      <c r="HE8" s="37"/>
      <c r="HF8" s="37"/>
      <c r="HG8" s="37"/>
      <c r="HH8" s="37"/>
      <c r="HI8" s="37"/>
      <c r="HJ8" s="37"/>
      <c r="HK8" s="37"/>
      <c r="HL8" s="37"/>
      <c r="HM8" s="37"/>
      <c r="HN8" s="37"/>
      <c r="HO8" s="37"/>
      <c r="HP8" s="37"/>
      <c r="HQ8" s="37"/>
      <c r="HR8" s="37"/>
      <c r="HS8" s="37"/>
      <c r="HT8" s="37"/>
      <c r="HU8" s="37"/>
      <c r="HV8" s="37"/>
      <c r="HW8" s="37"/>
      <c r="HX8" s="37"/>
      <c r="HY8" s="37"/>
      <c r="HZ8" s="37"/>
      <c r="IA8" s="37"/>
      <c r="IB8" s="37"/>
      <c r="IC8" s="37"/>
      <c r="ID8" s="37"/>
      <c r="IE8" s="37"/>
      <c r="IF8" s="37"/>
      <c r="IG8" s="37"/>
      <c r="IH8" s="37"/>
      <c r="II8" s="37"/>
      <c r="IJ8" s="37"/>
      <c r="IK8" s="37"/>
      <c r="IL8" s="37"/>
      <c r="IM8" s="37"/>
      <c r="IN8" s="37"/>
      <c r="IO8" s="37"/>
      <c r="IP8" s="37"/>
      <c r="IQ8" s="40"/>
      <c r="IR8" s="37"/>
      <c r="IS8" s="37"/>
      <c r="IT8" s="37"/>
      <c r="IU8" s="37"/>
      <c r="IV8" s="40"/>
      <c r="IW8" s="37"/>
      <c r="IX8" s="37"/>
      <c r="IY8" s="37"/>
      <c r="IZ8" s="37"/>
      <c r="JA8" s="40"/>
      <c r="JB8" s="37"/>
      <c r="JC8" s="37"/>
      <c r="JD8" s="37"/>
      <c r="JE8" s="37"/>
      <c r="JF8" s="40"/>
      <c r="JG8" s="37"/>
      <c r="JH8" s="37"/>
      <c r="JI8" s="37"/>
      <c r="JJ8" s="37"/>
      <c r="JK8" s="40"/>
      <c r="JL8" s="37">
        <f>138.9+200+116.73</f>
        <v>455.63</v>
      </c>
      <c r="JM8" s="37">
        <v>141.91999999999999</v>
      </c>
      <c r="JN8" s="37"/>
      <c r="JO8" s="37">
        <v>59.79</v>
      </c>
      <c r="JP8" s="40">
        <f>100+150</f>
        <v>250</v>
      </c>
      <c r="JQ8" s="37">
        <f>347.56+(116.66*11-50.45)+(78.3)+200+54.86+100</f>
        <v>2013.5299999999997</v>
      </c>
      <c r="JR8" s="37"/>
      <c r="JS8" s="37"/>
      <c r="JT8" s="37">
        <f>6</f>
        <v>6</v>
      </c>
      <c r="JU8" s="40">
        <v>100</v>
      </c>
      <c r="JV8" s="37">
        <f>324.31+(69.66)+263.68</f>
        <v>657.65000000000009</v>
      </c>
      <c r="JW8" s="37"/>
      <c r="JX8" s="37"/>
      <c r="JY8" s="37">
        <f>3.5+6</f>
        <v>9.5</v>
      </c>
      <c r="JZ8" s="37">
        <v>11.49</v>
      </c>
      <c r="KA8" s="37">
        <f>324.31+50+209.98+100+16.46</f>
        <v>700.75</v>
      </c>
      <c r="KB8" s="37">
        <v>100</v>
      </c>
      <c r="KC8" s="37"/>
      <c r="KD8" s="37"/>
      <c r="KE8" s="40"/>
      <c r="KF8" s="37">
        <f>324.31+(16.44*5-1.36)+21.94+232.43</f>
        <v>659.52</v>
      </c>
      <c r="KG8" s="37"/>
      <c r="KH8" s="37"/>
      <c r="KI8" s="37"/>
      <c r="KJ8" s="40"/>
      <c r="KK8" s="37">
        <f>237.74+79.9</f>
        <v>317.64</v>
      </c>
      <c r="KL8" s="37"/>
      <c r="KM8" s="37"/>
      <c r="KN8" s="37">
        <v>225.52</v>
      </c>
      <c r="KO8" s="40"/>
      <c r="KP8" s="37">
        <f>324.31+100.1</f>
        <v>424.40999999999997</v>
      </c>
      <c r="KQ8" s="37"/>
      <c r="KR8" s="37">
        <f>2025.24+183.24</f>
        <v>2208.48</v>
      </c>
      <c r="KS8" s="37"/>
      <c r="KT8" s="40">
        <f>100+100</f>
        <v>200</v>
      </c>
      <c r="KU8" s="37">
        <f>405.77+77.44+191.6+95.81</f>
        <v>770.61999999999989</v>
      </c>
      <c r="KV8" s="37"/>
      <c r="KW8" s="37"/>
      <c r="KX8" s="37"/>
      <c r="KY8" s="40">
        <v>150</v>
      </c>
      <c r="KZ8" s="37">
        <f>405.77</f>
        <v>405.77</v>
      </c>
      <c r="LA8" s="37"/>
      <c r="LB8" s="37"/>
      <c r="LC8" s="37">
        <f>50+14</f>
        <v>64</v>
      </c>
      <c r="LD8" s="40">
        <v>50</v>
      </c>
      <c r="LE8" s="37">
        <f>405.77</f>
        <v>405.77</v>
      </c>
      <c r="LF8" s="37">
        <v>183.24</v>
      </c>
      <c r="LG8" s="37"/>
      <c r="LH8" s="37"/>
      <c r="LI8" s="40"/>
      <c r="LJ8" s="37">
        <f>405.77+87.36+97.22+100+97.27</f>
        <v>787.62</v>
      </c>
      <c r="LK8" s="37"/>
      <c r="LL8" s="37">
        <v>53</v>
      </c>
      <c r="LM8" s="37">
        <f>14+6</f>
        <v>20</v>
      </c>
      <c r="LN8" s="40">
        <f>35+45</f>
        <v>80</v>
      </c>
      <c r="LO8" s="37">
        <f>405.77+60+6+(97.27+110+95+50)</f>
        <v>824.04</v>
      </c>
      <c r="LP8" s="37"/>
      <c r="LQ8" s="37"/>
      <c r="LR8" s="37"/>
      <c r="LS8" s="40"/>
      <c r="LT8" s="37">
        <f>405.77+98.07+100</f>
        <v>603.83999999999992</v>
      </c>
      <c r="LU8" s="37"/>
      <c r="LV8" s="37"/>
      <c r="LW8" s="37"/>
      <c r="LX8" s="40">
        <v>4</v>
      </c>
      <c r="LY8" s="37">
        <f>405.77+147.41+74+50+6+15+96.49+6</f>
        <v>800.67</v>
      </c>
      <c r="LZ8" s="37"/>
      <c r="MA8" s="37">
        <v>348.3</v>
      </c>
      <c r="MB8" s="37"/>
      <c r="MC8" s="40">
        <v>15</v>
      </c>
      <c r="MD8" s="37">
        <f>405.77+15+15+150+18+4+93.22</f>
        <v>700.99</v>
      </c>
      <c r="ME8" s="37">
        <f>3+17</f>
        <v>20</v>
      </c>
      <c r="MF8" s="37">
        <v>17</v>
      </c>
      <c r="MG8" s="37">
        <v>58</v>
      </c>
      <c r="MH8" s="40">
        <v>51.2</v>
      </c>
      <c r="MI8" s="37">
        <f>405.77+186.42+6.2</f>
        <v>598.39</v>
      </c>
      <c r="MJ8" s="37">
        <v>58</v>
      </c>
      <c r="MK8" s="37"/>
      <c r="ML8" s="37"/>
      <c r="MM8" s="40">
        <f>74+20</f>
        <v>94</v>
      </c>
      <c r="MN8" s="37">
        <f>405.77+139.82+89.7+95.59</f>
        <v>730.88</v>
      </c>
      <c r="MO8" s="37"/>
      <c r="MP8" s="37"/>
      <c r="MQ8" s="37"/>
      <c r="MR8" s="40"/>
      <c r="MS8" s="37">
        <f>405.77+136.91+6.2</f>
        <v>548.88</v>
      </c>
      <c r="MT8" s="37"/>
      <c r="MU8" s="37"/>
      <c r="MV8" s="37"/>
      <c r="MW8" s="40"/>
      <c r="MX8" s="37">
        <f>405.77</f>
        <v>405.77</v>
      </c>
    </row>
    <row r="9" spans="1:363" x14ac:dyDescent="0.25">
      <c r="A9" s="148"/>
      <c r="B9" s="36" t="s">
        <v>87</v>
      </c>
      <c r="C9" s="37"/>
      <c r="D9" s="37">
        <v>25.5</v>
      </c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>
        <v>40</v>
      </c>
      <c r="T9" s="37"/>
      <c r="U9" s="37"/>
      <c r="V9" s="37"/>
      <c r="W9" s="37"/>
      <c r="X9" s="37"/>
      <c r="Y9" s="37"/>
      <c r="Z9" s="37"/>
      <c r="AA9" s="37"/>
      <c r="AB9" s="37"/>
      <c r="AC9" s="37"/>
      <c r="AD9" s="37"/>
      <c r="AE9" s="37"/>
      <c r="AF9" s="37"/>
      <c r="AG9" s="37"/>
      <c r="AH9" s="37">
        <v>5</v>
      </c>
      <c r="AI9" s="37"/>
      <c r="AJ9" s="37"/>
      <c r="AK9" s="37"/>
      <c r="AL9" s="37"/>
      <c r="AM9" s="37"/>
      <c r="AN9" s="37"/>
      <c r="AO9" s="37"/>
      <c r="AP9" s="37"/>
      <c r="AQ9" s="37"/>
      <c r="AR9" s="37"/>
      <c r="AS9" s="37"/>
      <c r="AT9" s="37">
        <v>400</v>
      </c>
      <c r="AU9" s="37"/>
      <c r="AV9" s="37"/>
      <c r="AW9" s="37">
        <v>69.900000000000006</v>
      </c>
      <c r="AX9" s="37"/>
      <c r="AY9" s="37">
        <v>99.9</v>
      </c>
      <c r="AZ9" s="37"/>
      <c r="BA9" s="37">
        <v>189.8</v>
      </c>
      <c r="BB9" s="37"/>
      <c r="BC9" s="37"/>
      <c r="BD9" s="37"/>
      <c r="BE9" s="37">
        <v>138.75</v>
      </c>
      <c r="BF9" s="37">
        <v>6.98</v>
      </c>
      <c r="BG9" s="37"/>
      <c r="BH9" s="37"/>
      <c r="BI9" s="37"/>
      <c r="BJ9" s="37">
        <f>138.74+36.03</f>
        <v>174.77</v>
      </c>
      <c r="BK9" s="37"/>
      <c r="BL9" s="37"/>
      <c r="BM9" s="37"/>
      <c r="BN9" s="37"/>
      <c r="BO9" s="37">
        <f>67.81+35.99</f>
        <v>103.80000000000001</v>
      </c>
      <c r="BP9" s="37">
        <v>20</v>
      </c>
      <c r="BQ9" s="37"/>
      <c r="BR9" s="37"/>
      <c r="BS9" s="37"/>
      <c r="BT9" s="37">
        <f>67.81+35.99</f>
        <v>103.80000000000001</v>
      </c>
      <c r="BU9" s="37"/>
      <c r="BV9" s="37"/>
      <c r="BW9" s="37">
        <v>5</v>
      </c>
      <c r="BX9" s="37"/>
      <c r="BY9" s="37">
        <v>35.99</v>
      </c>
      <c r="BZ9" s="37"/>
      <c r="CA9" s="37"/>
      <c r="CB9" s="37"/>
      <c r="CC9" s="37"/>
      <c r="CD9" s="37">
        <v>35.99</v>
      </c>
      <c r="CE9" s="37">
        <v>132</v>
      </c>
      <c r="CF9" s="37"/>
      <c r="CG9" s="37"/>
      <c r="CH9" s="37"/>
      <c r="CI9" s="37">
        <v>43.96</v>
      </c>
      <c r="CJ9" s="37"/>
      <c r="CK9" s="37"/>
      <c r="CL9" s="37"/>
      <c r="CM9" s="37">
        <v>99.99</v>
      </c>
      <c r="CN9" s="37"/>
      <c r="CO9" s="37"/>
      <c r="CP9" s="37">
        <v>119.99</v>
      </c>
      <c r="CQ9" s="37"/>
      <c r="CR9" s="37">
        <f>(400-145.7+1.7)</f>
        <v>256</v>
      </c>
      <c r="CS9" s="37">
        <f>24.1+119.9+(116.7/2+45.9)+93.7</f>
        <v>341.95</v>
      </c>
      <c r="CT9" s="37"/>
      <c r="CU9" s="37"/>
      <c r="CV9" s="37"/>
      <c r="CW9" s="37"/>
      <c r="CX9" s="37">
        <f>116.7/2+45.2+15</f>
        <v>118.55000000000001</v>
      </c>
      <c r="CY9" s="37"/>
      <c r="CZ9" s="37"/>
      <c r="DA9" s="37">
        <v>37</v>
      </c>
      <c r="DB9" s="37"/>
      <c r="DC9" s="37">
        <f>45.2+8.99</f>
        <v>54.190000000000005</v>
      </c>
      <c r="DD9" s="37"/>
      <c r="DE9" s="37"/>
      <c r="DF9" s="37"/>
      <c r="DG9" s="37"/>
      <c r="DH9" s="37">
        <f>45.2</f>
        <v>45.2</v>
      </c>
      <c r="DI9" s="37"/>
      <c r="DJ9" s="37"/>
      <c r="DK9" s="37"/>
      <c r="DL9" s="37"/>
      <c r="DM9" s="37"/>
      <c r="DN9" s="37"/>
      <c r="DO9" s="37"/>
      <c r="DP9" s="37"/>
      <c r="DQ9" s="37"/>
      <c r="DR9" s="37"/>
      <c r="DS9" s="37"/>
      <c r="DT9" s="37"/>
      <c r="DU9" s="37"/>
      <c r="DV9" s="37"/>
      <c r="DW9" s="37"/>
      <c r="DX9" s="37"/>
      <c r="DY9" s="37"/>
      <c r="DZ9" s="37">
        <v>25</v>
      </c>
      <c r="EA9" s="37"/>
      <c r="EB9" s="38">
        <v>60.97</v>
      </c>
      <c r="EC9" s="37"/>
      <c r="ED9" s="37"/>
      <c r="EE9" s="37"/>
      <c r="EF9" s="37"/>
      <c r="EG9" s="37"/>
      <c r="EH9" s="39"/>
      <c r="EI9" s="37"/>
      <c r="EJ9" s="37"/>
      <c r="EK9" s="37"/>
      <c r="EL9" s="37"/>
      <c r="EM9" s="37"/>
      <c r="EN9" s="37"/>
      <c r="EO9" s="37"/>
      <c r="EP9" s="37"/>
      <c r="EQ9" s="37"/>
      <c r="ER9" s="37"/>
      <c r="ES9" s="37"/>
      <c r="ET9" s="37"/>
      <c r="EU9" s="37"/>
      <c r="EV9" s="37"/>
      <c r="EW9" s="37"/>
      <c r="EX9" s="37"/>
      <c r="EY9" s="37"/>
      <c r="EZ9" s="37"/>
      <c r="FA9" s="37">
        <v>199.8</v>
      </c>
      <c r="FB9" s="37"/>
      <c r="FC9" s="37"/>
      <c r="FD9" s="37"/>
      <c r="FE9" s="37"/>
      <c r="FF9" s="37">
        <f>(199.8*4-1.53)+42.97+39.9+(33.34+33.33*5-0.64)+(41.34+41.33*2-0.16)</f>
        <v>1203.73</v>
      </c>
      <c r="FG9" s="37"/>
      <c r="FH9" s="37"/>
      <c r="FI9" s="37"/>
      <c r="FJ9" s="37"/>
      <c r="FK9" s="37"/>
      <c r="FL9" s="37"/>
      <c r="FM9" s="37"/>
      <c r="FN9" s="37"/>
      <c r="FO9" s="37"/>
      <c r="FP9" s="37">
        <v>27.5</v>
      </c>
      <c r="FQ9" s="37"/>
      <c r="FR9" s="37"/>
      <c r="FS9" s="37"/>
      <c r="FT9" s="37"/>
      <c r="FU9" s="37"/>
      <c r="FV9" s="37"/>
      <c r="FW9" s="37"/>
      <c r="FX9" s="37">
        <v>73.95</v>
      </c>
      <c r="FY9" s="37"/>
      <c r="FZ9" s="37">
        <f>848.5+29.9</f>
        <v>878.4</v>
      </c>
      <c r="GA9" s="37"/>
      <c r="GB9" s="37"/>
      <c r="GC9" s="37"/>
      <c r="GD9" s="37"/>
      <c r="GE9" s="37">
        <v>848.5</v>
      </c>
      <c r="GF9" s="37"/>
      <c r="GG9" s="37"/>
      <c r="GH9" s="37">
        <f>710.5-100</f>
        <v>610.5</v>
      </c>
      <c r="GI9" s="37"/>
      <c r="GJ9" s="37">
        <f>848.5+99.8</f>
        <v>948.3</v>
      </c>
      <c r="GK9" s="37"/>
      <c r="GL9" s="37"/>
      <c r="GM9" s="37"/>
      <c r="GN9" s="37"/>
      <c r="GO9" s="37"/>
      <c r="GP9" s="37"/>
      <c r="GQ9" s="37"/>
      <c r="GR9" s="37"/>
      <c r="GS9" s="37"/>
      <c r="GT9" s="37"/>
      <c r="GU9" s="37"/>
      <c r="GV9" s="37"/>
      <c r="GW9" s="37"/>
      <c r="GX9" s="37"/>
      <c r="GY9" s="37">
        <f>(142.37+142.33*9-14.17)</f>
        <v>1409.17</v>
      </c>
      <c r="GZ9" s="37"/>
      <c r="HA9" s="37"/>
      <c r="HB9" s="37"/>
      <c r="HC9" s="37"/>
      <c r="HD9" s="37">
        <v>127.48</v>
      </c>
      <c r="HE9" s="37"/>
      <c r="HF9" s="37"/>
      <c r="HG9" s="37"/>
      <c r="HH9" s="37"/>
      <c r="HI9" s="37">
        <v>45.87</v>
      </c>
      <c r="HJ9" s="37"/>
      <c r="HK9" s="37"/>
      <c r="HL9" s="37"/>
      <c r="HM9" s="37"/>
      <c r="HN9" s="37"/>
      <c r="HO9" s="37">
        <f>230+1612</f>
        <v>1842</v>
      </c>
      <c r="HP9" s="37"/>
      <c r="HQ9" s="37"/>
      <c r="HR9" s="37"/>
      <c r="HS9" s="37"/>
      <c r="HT9" s="37"/>
      <c r="HU9" s="37"/>
      <c r="HV9" s="37"/>
      <c r="HW9" s="37"/>
      <c r="HX9" s="37"/>
      <c r="HY9" s="37"/>
      <c r="HZ9" s="37"/>
      <c r="IA9" s="37"/>
      <c r="IB9" s="37"/>
      <c r="IC9" s="37"/>
      <c r="ID9" s="37">
        <v>137.76</v>
      </c>
      <c r="IE9" s="37">
        <v>328</v>
      </c>
      <c r="IF9" s="37">
        <v>117.14</v>
      </c>
      <c r="IG9" s="37"/>
      <c r="IH9" s="37"/>
      <c r="II9" s="37"/>
      <c r="IJ9" s="37"/>
      <c r="IK9" s="37"/>
      <c r="IL9" s="37"/>
      <c r="IM9" s="37"/>
      <c r="IN9" s="37"/>
      <c r="IO9" s="37"/>
      <c r="IP9" s="37">
        <v>170</v>
      </c>
      <c r="IQ9" s="37"/>
      <c r="IR9" s="37"/>
      <c r="IS9" s="37"/>
      <c r="IT9" s="37">
        <f>129.33+436+109</f>
        <v>674.33</v>
      </c>
      <c r="IU9" s="37">
        <v>210.09</v>
      </c>
      <c r="IV9" s="37"/>
      <c r="IW9" s="37"/>
      <c r="IX9" s="37">
        <f>129.33+414</f>
        <v>543.33000000000004</v>
      </c>
      <c r="IY9" s="37"/>
      <c r="IZ9" s="37"/>
      <c r="JA9" s="37"/>
      <c r="JB9" s="37">
        <f>170+92.91+24.27+1.55</f>
        <v>288.72999999999996</v>
      </c>
      <c r="JC9" s="37"/>
      <c r="JD9" s="37">
        <f>81.49+49.6</f>
        <v>131.09</v>
      </c>
      <c r="JE9" s="37"/>
      <c r="JF9" s="37"/>
      <c r="JG9" s="37">
        <f>45.9+168.68</f>
        <v>214.58</v>
      </c>
      <c r="JH9" s="37"/>
      <c r="JI9" s="37">
        <v>30</v>
      </c>
      <c r="JJ9" s="37"/>
      <c r="JK9" s="37"/>
      <c r="JL9" s="37">
        <f>47.9+(43.33+43.32*2-1.01)+(65*10-22.24)</f>
        <v>804.62</v>
      </c>
      <c r="JM9" s="37"/>
      <c r="JN9" s="37"/>
      <c r="JO9" s="37"/>
      <c r="JP9" s="37"/>
      <c r="JQ9" s="37"/>
      <c r="JR9" s="37"/>
      <c r="JS9" s="37"/>
      <c r="JT9" s="37"/>
      <c r="JU9" s="37">
        <f>125.1+279.8</f>
        <v>404.9</v>
      </c>
      <c r="JV9" s="37"/>
      <c r="JW9" s="37"/>
      <c r="JX9" s="37"/>
      <c r="JY9" s="37"/>
      <c r="JZ9" s="37"/>
      <c r="KA9" s="37"/>
      <c r="KB9" s="37"/>
      <c r="KC9" s="37"/>
      <c r="KD9" s="37"/>
      <c r="KE9" s="37"/>
      <c r="KF9" s="37"/>
      <c r="KG9" s="37"/>
      <c r="KH9" s="37"/>
      <c r="KI9" s="37"/>
      <c r="KJ9" s="37"/>
      <c r="KK9" s="37">
        <f>21.95+27.4+69.9</f>
        <v>119.25</v>
      </c>
      <c r="KL9" s="37"/>
      <c r="KM9" s="37"/>
      <c r="KN9" s="37"/>
      <c r="KO9" s="37"/>
      <c r="KP9" s="37">
        <f>77.65*3-1.94+51.9+(70+69.99-0.58)+(65+64.99-0.54)+35.99</f>
        <v>587.7600000000001</v>
      </c>
      <c r="KQ9" s="37"/>
      <c r="KR9" s="37"/>
      <c r="KS9" s="37"/>
      <c r="KT9" s="37"/>
      <c r="KU9" s="37"/>
      <c r="KV9" s="37"/>
      <c r="KW9" s="37"/>
      <c r="KX9" s="37"/>
      <c r="KY9" s="37"/>
      <c r="KZ9" s="37"/>
      <c r="LA9" s="37"/>
      <c r="LB9" s="37"/>
      <c r="LC9" s="37">
        <v>179.7</v>
      </c>
      <c r="LD9" s="37"/>
      <c r="LE9" s="37"/>
      <c r="LF9" s="37"/>
      <c r="LG9" s="37"/>
      <c r="LH9" s="37"/>
      <c r="LI9" s="37">
        <v>84.98</v>
      </c>
      <c r="LJ9" s="37"/>
      <c r="LK9" s="37"/>
      <c r="LL9" s="37">
        <v>104.27</v>
      </c>
      <c r="LM9" s="37">
        <v>49.9</v>
      </c>
      <c r="LN9" s="37"/>
      <c r="LO9" s="37"/>
      <c r="LP9" s="37"/>
      <c r="LQ9" s="37"/>
      <c r="LR9" s="37"/>
      <c r="LS9" s="37"/>
      <c r="LT9" s="37"/>
      <c r="LU9" s="37"/>
      <c r="LV9" s="37"/>
      <c r="LW9" s="37">
        <v>116.1</v>
      </c>
      <c r="LX9" s="37"/>
      <c r="LY9" s="37">
        <v>47.8</v>
      </c>
      <c r="LZ9" s="37"/>
      <c r="MA9" s="37"/>
      <c r="MB9" s="37"/>
      <c r="MC9" s="37">
        <v>279.7</v>
      </c>
      <c r="MD9" s="37">
        <f>47.8+47.99</f>
        <v>95.789999999999992</v>
      </c>
      <c r="ME9" s="37"/>
      <c r="MF9" s="37"/>
      <c r="MG9" s="37"/>
      <c r="MH9" s="37"/>
      <c r="MI9" s="37">
        <v>47.8</v>
      </c>
      <c r="MJ9" s="37"/>
      <c r="MK9" s="37"/>
      <c r="ML9" s="37"/>
      <c r="MM9" s="37"/>
      <c r="MN9" s="37">
        <v>47.8</v>
      </c>
      <c r="MO9" s="37"/>
      <c r="MP9" s="37"/>
      <c r="MQ9" s="37">
        <v>323.7</v>
      </c>
      <c r="MR9" s="37"/>
      <c r="MS9" s="37">
        <f>47.8+69.99+140</f>
        <v>257.78999999999996</v>
      </c>
      <c r="MT9" s="37"/>
      <c r="MU9" s="37"/>
      <c r="MV9" s="37"/>
      <c r="MW9" s="37"/>
      <c r="MX9" s="37">
        <f>(47.8*5-3.96)</f>
        <v>235.04</v>
      </c>
    </row>
    <row r="10" spans="1:363" x14ac:dyDescent="0.25">
      <c r="A10" s="148"/>
      <c r="B10" s="36" t="s">
        <v>88</v>
      </c>
      <c r="C10" s="37"/>
      <c r="D10" s="37"/>
      <c r="E10" s="37"/>
      <c r="F10" s="37"/>
      <c r="G10" s="37"/>
      <c r="H10" s="37">
        <v>89.8</v>
      </c>
      <c r="I10" s="37"/>
      <c r="J10" s="37">
        <v>426.93</v>
      </c>
      <c r="K10" s="37"/>
      <c r="L10" s="37"/>
      <c r="M10" s="37">
        <v>15</v>
      </c>
      <c r="N10" s="37">
        <f>25.9+189.9</f>
        <v>215.8</v>
      </c>
      <c r="O10" s="37"/>
      <c r="P10" s="37">
        <v>30</v>
      </c>
      <c r="Q10" s="37"/>
      <c r="R10" s="37">
        <v>10.36</v>
      </c>
      <c r="S10" s="37"/>
      <c r="T10" s="37"/>
      <c r="U10" s="37"/>
      <c r="V10" s="37"/>
      <c r="W10" s="37">
        <v>10</v>
      </c>
      <c r="X10" s="37"/>
      <c r="Y10" s="37"/>
      <c r="Z10" s="37"/>
      <c r="AA10" s="37"/>
      <c r="AB10" s="37">
        <v>12.29</v>
      </c>
      <c r="AC10" s="37"/>
      <c r="AD10" s="37"/>
      <c r="AE10" s="37">
        <v>20</v>
      </c>
      <c r="AF10" s="37"/>
      <c r="AG10" s="37"/>
      <c r="AH10" s="37">
        <f>49.99+99.9</f>
        <v>149.89000000000001</v>
      </c>
      <c r="AI10" s="37"/>
      <c r="AJ10" s="37"/>
      <c r="AK10" s="37"/>
      <c r="AL10" s="37"/>
      <c r="AM10" s="37">
        <v>30</v>
      </c>
      <c r="AN10" s="37"/>
      <c r="AO10" s="37"/>
      <c r="AP10" s="37"/>
      <c r="AQ10" s="37"/>
      <c r="AR10" s="37"/>
      <c r="AS10" s="37"/>
      <c r="AT10" s="37"/>
      <c r="AU10" s="37"/>
      <c r="AV10" s="37"/>
      <c r="AW10" s="37"/>
      <c r="AX10" s="37"/>
      <c r="AY10" s="37"/>
      <c r="AZ10" s="37"/>
      <c r="BA10" s="37"/>
      <c r="BB10" s="37"/>
      <c r="BC10" s="37"/>
      <c r="BD10" s="37"/>
      <c r="BE10" s="37"/>
      <c r="BF10" s="37"/>
      <c r="BG10" s="37"/>
      <c r="BH10" s="37">
        <f>119.98+119.99+49.99</f>
        <v>289.95999999999998</v>
      </c>
      <c r="BI10" s="37"/>
      <c r="BJ10" s="37"/>
      <c r="BK10" s="37">
        <v>16</v>
      </c>
      <c r="BL10" s="37"/>
      <c r="BM10" s="37"/>
      <c r="BN10" s="37"/>
      <c r="BO10" s="37"/>
      <c r="BP10" s="37"/>
      <c r="BQ10" s="37"/>
      <c r="BR10" s="37"/>
      <c r="BS10" s="37"/>
      <c r="BT10" s="37"/>
      <c r="BU10" s="37"/>
      <c r="BV10" s="37"/>
      <c r="BW10" s="37">
        <v>44</v>
      </c>
      <c r="BX10" s="37"/>
      <c r="BY10" s="37"/>
      <c r="BZ10" s="37"/>
      <c r="CA10" s="37"/>
      <c r="CB10" s="37"/>
      <c r="CC10" s="37"/>
      <c r="CD10" s="37"/>
      <c r="CE10" s="37"/>
      <c r="CF10" s="37"/>
      <c r="CG10" s="37"/>
      <c r="CH10" s="37"/>
      <c r="CI10" s="37"/>
      <c r="CJ10" s="37"/>
      <c r="CK10" s="37"/>
      <c r="CL10" s="37"/>
      <c r="CM10" s="37">
        <v>100</v>
      </c>
      <c r="CN10" s="37">
        <v>99.9</v>
      </c>
      <c r="CO10" s="37"/>
      <c r="CP10" s="37"/>
      <c r="CQ10" s="37"/>
      <c r="CR10" s="37"/>
      <c r="CS10" s="37"/>
      <c r="CT10" s="37"/>
      <c r="CU10" s="37"/>
      <c r="CV10" s="37"/>
      <c r="CW10" s="37"/>
      <c r="CX10" s="37"/>
      <c r="CY10" s="37"/>
      <c r="CZ10" s="37"/>
      <c r="DA10" s="37"/>
      <c r="DB10" s="37"/>
      <c r="DC10" s="37">
        <f>15+59.9+21.99</f>
        <v>96.89</v>
      </c>
      <c r="DD10" s="37"/>
      <c r="DE10" s="37"/>
      <c r="DF10" s="37"/>
      <c r="DG10" s="37"/>
      <c r="DH10" s="37"/>
      <c r="DI10" s="37"/>
      <c r="DJ10" s="37"/>
      <c r="DK10" s="37"/>
      <c r="DL10" s="37"/>
      <c r="DM10" s="37"/>
      <c r="DN10" s="37"/>
      <c r="DO10" s="37"/>
      <c r="DP10" s="37"/>
      <c r="DQ10" s="37"/>
      <c r="DR10" s="37">
        <f>(375.6-1.11)+(82.27+5.25)+247.16+99.98+39.9</f>
        <v>849.05</v>
      </c>
      <c r="DS10" s="37"/>
      <c r="DT10" s="37"/>
      <c r="DU10" s="37"/>
      <c r="DV10" s="37"/>
      <c r="DW10" s="37"/>
      <c r="DX10" s="37"/>
      <c r="DY10" s="37"/>
      <c r="DZ10" s="37"/>
      <c r="EA10" s="37"/>
      <c r="EB10" s="38"/>
      <c r="EC10" s="37"/>
      <c r="ED10" s="37"/>
      <c r="EE10" s="37"/>
      <c r="EF10" s="37"/>
      <c r="EG10" s="37"/>
      <c r="EH10" s="39"/>
      <c r="EI10" s="37"/>
      <c r="EJ10" s="37"/>
      <c r="EK10" s="37"/>
      <c r="EL10" s="37"/>
      <c r="EM10" s="37"/>
      <c r="EN10" s="37"/>
      <c r="EO10" s="37"/>
      <c r="EP10" s="37"/>
      <c r="EQ10" s="41"/>
      <c r="ER10" s="37"/>
      <c r="ES10" s="37"/>
      <c r="ET10" s="37"/>
      <c r="EU10" s="37">
        <v>100</v>
      </c>
      <c r="EV10" s="37"/>
      <c r="EW10" s="37"/>
      <c r="EX10" s="37"/>
      <c r="EY10" s="37"/>
      <c r="EZ10" s="37"/>
      <c r="FA10" s="37">
        <f>(9.99*12-0.94)+(9.43*12-0.84)</f>
        <v>231.26</v>
      </c>
      <c r="FB10" s="37"/>
      <c r="FC10" s="37"/>
      <c r="FD10" s="37"/>
      <c r="FE10" s="37"/>
      <c r="FF10" s="37"/>
      <c r="FG10" s="37"/>
      <c r="FH10" s="37"/>
      <c r="FI10" s="37"/>
      <c r="FJ10" s="37"/>
      <c r="FK10" s="37"/>
      <c r="FL10" s="37"/>
      <c r="FM10" s="37"/>
      <c r="FN10" s="37"/>
      <c r="FO10" s="37"/>
      <c r="FP10" s="37"/>
      <c r="FQ10" s="37"/>
      <c r="FR10" s="37"/>
      <c r="FS10" s="37"/>
      <c r="FT10" s="37"/>
      <c r="FU10" s="37"/>
      <c r="FV10" s="37"/>
      <c r="FW10" s="37"/>
      <c r="FX10" s="37"/>
      <c r="FY10" s="37"/>
      <c r="FZ10" s="37">
        <v>405.37</v>
      </c>
      <c r="GA10" s="37"/>
      <c r="GB10" s="37"/>
      <c r="GC10" s="37"/>
      <c r="GD10" s="37"/>
      <c r="GE10" s="37"/>
      <c r="GF10" s="37"/>
      <c r="GG10" s="37"/>
      <c r="GH10" s="37"/>
      <c r="GI10" s="37"/>
      <c r="GJ10" s="37"/>
      <c r="GK10" s="37"/>
      <c r="GL10" s="37">
        <v>50</v>
      </c>
      <c r="GM10" s="37"/>
      <c r="GN10" s="37"/>
      <c r="GO10" s="37">
        <v>78.47</v>
      </c>
      <c r="GP10" s="37"/>
      <c r="GQ10" s="37"/>
      <c r="GR10" s="37"/>
      <c r="GS10" s="37"/>
      <c r="GT10" s="37"/>
      <c r="GU10" s="37"/>
      <c r="GV10" s="37"/>
      <c r="GW10" s="37"/>
      <c r="GX10" s="37"/>
      <c r="GY10" s="37"/>
      <c r="GZ10" s="37"/>
      <c r="HA10" s="37"/>
      <c r="HB10" s="37"/>
      <c r="HC10" s="37"/>
      <c r="HD10" s="37"/>
      <c r="HE10" s="37"/>
      <c r="HF10" s="37"/>
      <c r="HG10" s="37"/>
      <c r="HH10" s="37"/>
      <c r="HI10" s="37"/>
      <c r="HJ10" s="37"/>
      <c r="HK10" s="37"/>
      <c r="HL10" s="37"/>
      <c r="HM10" s="37"/>
      <c r="HN10" s="37"/>
      <c r="HO10" s="37"/>
      <c r="HP10" s="37"/>
      <c r="HQ10" s="37"/>
      <c r="HR10" s="37"/>
      <c r="HS10" s="37"/>
      <c r="HT10" s="37"/>
      <c r="HU10" s="37"/>
      <c r="HV10" s="37"/>
      <c r="HW10" s="37"/>
      <c r="HX10" s="37"/>
      <c r="HY10" s="37"/>
      <c r="HZ10" s="37"/>
      <c r="IA10" s="37"/>
      <c r="IB10" s="37"/>
      <c r="IC10" s="37"/>
      <c r="ID10" s="37"/>
      <c r="IE10" s="37"/>
      <c r="IF10" s="37"/>
      <c r="IG10" s="37"/>
      <c r="IH10" s="37"/>
      <c r="II10" s="37"/>
      <c r="IJ10" s="37"/>
      <c r="IK10" s="37"/>
      <c r="IL10" s="37"/>
      <c r="IM10" s="37"/>
      <c r="IN10" s="37"/>
      <c r="IO10" s="37"/>
      <c r="IP10" s="37"/>
      <c r="IQ10" s="37"/>
      <c r="IR10" s="37"/>
      <c r="IS10" s="37"/>
      <c r="IT10" s="37"/>
      <c r="IU10" s="37"/>
      <c r="IV10" s="37"/>
      <c r="IW10" s="37"/>
      <c r="IX10" s="37"/>
      <c r="IY10" s="37"/>
      <c r="IZ10" s="37"/>
      <c r="JA10" s="37"/>
      <c r="JB10" s="37"/>
      <c r="JC10" s="37"/>
      <c r="JD10" s="37"/>
      <c r="JE10" s="37"/>
      <c r="JF10" s="37"/>
      <c r="JG10" s="37"/>
      <c r="JH10" s="37"/>
      <c r="JI10" s="37"/>
      <c r="JJ10" s="37"/>
      <c r="JK10" s="37"/>
      <c r="JL10" s="37"/>
      <c r="JM10" s="37"/>
      <c r="JN10" s="37">
        <v>48.94</v>
      </c>
      <c r="JO10" s="37"/>
      <c r="JP10" s="37"/>
      <c r="JQ10" s="37"/>
      <c r="JR10" s="37">
        <v>738.21</v>
      </c>
      <c r="JS10" s="37"/>
      <c r="JT10" s="37"/>
      <c r="JU10" s="37"/>
      <c r="JV10" s="37"/>
      <c r="JW10" s="37"/>
      <c r="JX10" s="37"/>
      <c r="JY10" s="37"/>
      <c r="JZ10" s="37"/>
      <c r="KA10" s="37"/>
      <c r="KB10" s="37"/>
      <c r="KC10" s="37"/>
      <c r="KD10" s="37"/>
      <c r="KE10" s="37"/>
      <c r="KF10" s="37"/>
      <c r="KG10" s="37">
        <v>60</v>
      </c>
      <c r="KH10" s="37"/>
      <c r="KI10" s="37"/>
      <c r="KJ10" s="37"/>
      <c r="KK10" s="37"/>
      <c r="KL10" s="37"/>
      <c r="KM10" s="37"/>
      <c r="KN10" s="37"/>
      <c r="KO10" s="37"/>
      <c r="KP10" s="37"/>
      <c r="KQ10" s="37"/>
      <c r="KR10" s="37"/>
      <c r="KS10" s="37"/>
      <c r="KT10" s="37"/>
      <c r="KU10" s="37"/>
      <c r="KV10" s="37"/>
      <c r="KW10" s="37"/>
      <c r="KX10" s="37"/>
      <c r="KY10" s="37"/>
      <c r="KZ10" s="37"/>
      <c r="LA10" s="37"/>
      <c r="LB10" s="37"/>
      <c r="LC10" s="37"/>
      <c r="LD10" s="37"/>
      <c r="LE10" s="37"/>
      <c r="LF10" s="37"/>
      <c r="LG10" s="37"/>
      <c r="LH10" s="37"/>
      <c r="LI10" s="37"/>
      <c r="LJ10" s="37"/>
      <c r="LK10" s="37"/>
      <c r="LL10" s="37">
        <v>288</v>
      </c>
      <c r="LM10" s="37"/>
      <c r="LN10" s="37"/>
      <c r="LO10" s="37"/>
      <c r="LP10" s="37"/>
      <c r="LQ10" s="37"/>
      <c r="LR10" s="37"/>
      <c r="LS10" s="37"/>
      <c r="LT10" s="37"/>
      <c r="LU10" s="37">
        <v>1094.44</v>
      </c>
      <c r="LV10" s="37"/>
      <c r="LW10" s="37">
        <v>100</v>
      </c>
      <c r="LX10" s="37"/>
      <c r="LY10" s="37"/>
      <c r="LZ10" s="37">
        <v>26.38</v>
      </c>
      <c r="MA10" s="37"/>
      <c r="MB10" s="37"/>
      <c r="MC10" s="37">
        <v>151</v>
      </c>
      <c r="MD10" s="37"/>
      <c r="ME10" s="37"/>
      <c r="MF10" s="37"/>
      <c r="MG10" s="37"/>
      <c r="MH10" s="37"/>
      <c r="MI10" s="37"/>
      <c r="MJ10" s="37"/>
      <c r="MK10" s="37"/>
      <c r="ML10" s="37"/>
      <c r="MM10" s="37"/>
      <c r="MN10" s="37"/>
      <c r="MO10" s="37">
        <v>310.85000000000002</v>
      </c>
      <c r="MP10" s="37"/>
      <c r="MQ10" s="37"/>
      <c r="MR10" s="37"/>
      <c r="MS10" s="37"/>
      <c r="MT10" s="37"/>
      <c r="MU10" s="37"/>
      <c r="MV10" s="37"/>
      <c r="MW10" s="37"/>
      <c r="MX10" s="37"/>
    </row>
    <row r="11" spans="1:363" x14ac:dyDescent="0.25">
      <c r="A11" s="148"/>
      <c r="B11" s="36" t="s">
        <v>89</v>
      </c>
      <c r="C11" s="37"/>
      <c r="D11" s="37">
        <f>12.9+12</f>
        <v>24.9</v>
      </c>
      <c r="E11" s="37">
        <v>38</v>
      </c>
      <c r="F11" s="37">
        <f>14.84</f>
        <v>14.84</v>
      </c>
      <c r="G11" s="37"/>
      <c r="H11" s="37">
        <f>9.9+18.9+17</f>
        <v>45.8</v>
      </c>
      <c r="I11" s="37">
        <v>40</v>
      </c>
      <c r="J11" s="37">
        <v>18.899999999999999</v>
      </c>
      <c r="K11" s="37">
        <f>24.86</f>
        <v>24.86</v>
      </c>
      <c r="L11" s="37"/>
      <c r="M11" s="37">
        <v>17</v>
      </c>
      <c r="N11" s="37">
        <v>20</v>
      </c>
      <c r="O11" s="37">
        <f>45.46+36</f>
        <v>81.460000000000008</v>
      </c>
      <c r="P11" s="37">
        <f>7.89+17</f>
        <v>24.89</v>
      </c>
      <c r="Q11" s="37"/>
      <c r="R11" s="37">
        <f>60+60</f>
        <v>120</v>
      </c>
      <c r="S11" s="37">
        <f>9.45+14.65</f>
        <v>24.1</v>
      </c>
      <c r="T11" s="37">
        <v>17</v>
      </c>
      <c r="U11" s="37">
        <f>31.79+19.98</f>
        <v>51.769999999999996</v>
      </c>
      <c r="V11" s="37"/>
      <c r="W11" s="37">
        <v>120</v>
      </c>
      <c r="X11" s="37">
        <f>17</f>
        <v>17</v>
      </c>
      <c r="Y11" s="37">
        <f>30+23.43</f>
        <v>53.43</v>
      </c>
      <c r="Z11" s="37"/>
      <c r="AA11" s="37"/>
      <c r="AB11" s="37">
        <f>9.45+2.7+17+3.77+3.99</f>
        <v>36.910000000000004</v>
      </c>
      <c r="AC11" s="37">
        <v>16.97</v>
      </c>
      <c r="AD11" s="37">
        <v>15.18</v>
      </c>
      <c r="AE11" s="37">
        <f>27.49+8.55+17+200</f>
        <v>253.04</v>
      </c>
      <c r="AF11" s="37"/>
      <c r="AG11" s="37">
        <v>20</v>
      </c>
      <c r="AH11" s="37">
        <v>7.52</v>
      </c>
      <c r="AI11" s="37">
        <v>30</v>
      </c>
      <c r="AJ11" s="37">
        <f>17+13.58+20</f>
        <v>50.58</v>
      </c>
      <c r="AK11" s="37"/>
      <c r="AL11" s="37"/>
      <c r="AM11" s="37"/>
      <c r="AN11" s="37">
        <v>20</v>
      </c>
      <c r="AO11" s="37">
        <f>20.5</f>
        <v>20.5</v>
      </c>
      <c r="AP11" s="37"/>
      <c r="AQ11" s="37"/>
      <c r="AR11" s="37">
        <f>20+12</f>
        <v>32</v>
      </c>
      <c r="AS11" s="37"/>
      <c r="AT11" s="37">
        <f>20</f>
        <v>20</v>
      </c>
      <c r="AU11" s="37"/>
      <c r="AV11" s="37"/>
      <c r="AW11" s="37">
        <f>12+20</f>
        <v>32</v>
      </c>
      <c r="AX11" s="37"/>
      <c r="AY11" s="37"/>
      <c r="AZ11" s="37"/>
      <c r="BA11" s="37">
        <v>12</v>
      </c>
      <c r="BB11" s="37"/>
      <c r="BC11" s="37">
        <f>31.79</f>
        <v>31.79</v>
      </c>
      <c r="BD11" s="37">
        <f>18.36+20+12</f>
        <v>50.36</v>
      </c>
      <c r="BE11" s="37"/>
      <c r="BF11" s="37"/>
      <c r="BG11" s="37">
        <f>45.96+10.9</f>
        <v>56.86</v>
      </c>
      <c r="BH11" s="37">
        <v>13.98</v>
      </c>
      <c r="BI11" s="37">
        <f>20+7.94</f>
        <v>27.94</v>
      </c>
      <c r="BJ11" s="37"/>
      <c r="BK11" s="37">
        <v>20</v>
      </c>
      <c r="BL11" s="37"/>
      <c r="BM11" s="37">
        <v>20</v>
      </c>
      <c r="BN11" s="37">
        <v>8.99</v>
      </c>
      <c r="BO11" s="37"/>
      <c r="BP11" s="37"/>
      <c r="BQ11" s="37">
        <v>45.51</v>
      </c>
      <c r="BR11" s="37">
        <v>20</v>
      </c>
      <c r="BS11" s="37">
        <v>26.97</v>
      </c>
      <c r="BT11" s="37"/>
      <c r="BU11" s="37">
        <v>14.99</v>
      </c>
      <c r="BV11" s="37">
        <v>2</v>
      </c>
      <c r="BW11" s="37"/>
      <c r="BX11" s="37">
        <f>20</f>
        <v>20</v>
      </c>
      <c r="BY11" s="37"/>
      <c r="BZ11" s="37">
        <v>44.99</v>
      </c>
      <c r="CA11" s="37"/>
      <c r="CB11" s="37"/>
      <c r="CC11" s="37">
        <v>12</v>
      </c>
      <c r="CD11" s="37"/>
      <c r="CE11" s="37">
        <v>44.99</v>
      </c>
      <c r="CF11" s="37"/>
      <c r="CG11" s="37">
        <v>23.97</v>
      </c>
      <c r="CH11" s="37">
        <v>20</v>
      </c>
      <c r="CI11" s="37">
        <v>106.03</v>
      </c>
      <c r="CJ11" s="37">
        <v>44.99</v>
      </c>
      <c r="CK11" s="37"/>
      <c r="CL11" s="37"/>
      <c r="CM11" s="37">
        <f>12+44.99</f>
        <v>56.99</v>
      </c>
      <c r="CN11" s="37"/>
      <c r="CO11" s="37"/>
      <c r="CP11" s="37"/>
      <c r="CQ11" s="37">
        <v>23.27</v>
      </c>
      <c r="CR11" s="37"/>
      <c r="CS11" s="37">
        <v>22</v>
      </c>
      <c r="CT11" s="37">
        <v>44.99</v>
      </c>
      <c r="CU11" s="37"/>
      <c r="CV11" s="37"/>
      <c r="CW11" s="37"/>
      <c r="CX11" s="37"/>
      <c r="CY11" s="37">
        <f>44.99+20</f>
        <v>64.990000000000009</v>
      </c>
      <c r="CZ11" s="37"/>
      <c r="DA11" s="37"/>
      <c r="DB11" s="37"/>
      <c r="DC11" s="37">
        <f>1.96+18.37+(4.29+2.99+34)+9.9</f>
        <v>71.510000000000005</v>
      </c>
      <c r="DD11" s="37">
        <f>44.99+20</f>
        <v>64.990000000000009</v>
      </c>
      <c r="DE11" s="37"/>
      <c r="DF11" s="37"/>
      <c r="DG11" s="37"/>
      <c r="DH11" s="37">
        <f>210+99.9</f>
        <v>309.89999999999998</v>
      </c>
      <c r="DI11" s="37">
        <v>44.99</v>
      </c>
      <c r="DJ11" s="37">
        <f>12+20+22.99</f>
        <v>54.989999999999995</v>
      </c>
      <c r="DK11" s="37"/>
      <c r="DL11" s="37"/>
      <c r="DM11" s="37">
        <f>210+31.95+99.9*2</f>
        <v>441.75</v>
      </c>
      <c r="DN11" s="37">
        <v>44.99</v>
      </c>
      <c r="DO11" s="37"/>
      <c r="DP11" s="37"/>
      <c r="DQ11" s="37"/>
      <c r="DR11" s="37">
        <f>99.9+18.15+23.99</f>
        <v>142.04000000000002</v>
      </c>
      <c r="DS11" s="37">
        <v>44.99</v>
      </c>
      <c r="DT11" s="37">
        <v>107.5</v>
      </c>
      <c r="DU11" s="37">
        <v>12</v>
      </c>
      <c r="DV11" s="37">
        <v>20</v>
      </c>
      <c r="DW11" s="37">
        <f>99.9+9.99+8.97+12</f>
        <v>130.86000000000001</v>
      </c>
      <c r="DX11" s="37">
        <v>44.99</v>
      </c>
      <c r="DY11" s="37">
        <v>29.94</v>
      </c>
      <c r="DZ11" s="37"/>
      <c r="EA11" s="37"/>
      <c r="EB11" s="38">
        <f>5+22+99.9+28.75+8.29+40.2+188.11+20+16.58</f>
        <v>428.83</v>
      </c>
      <c r="EC11" s="37">
        <v>85.97</v>
      </c>
      <c r="ED11" s="37">
        <v>27</v>
      </c>
      <c r="EE11" s="37">
        <f>131+11.96+14.05+10.16+9.17+17.94+36.29+16.54+36.47+74.21</f>
        <v>357.78999999999996</v>
      </c>
      <c r="EF11" s="37">
        <f>21.75+17.31+39.25+37.64+30.9+24.84</f>
        <v>171.69</v>
      </c>
      <c r="EG11" s="37">
        <f>99.9+13.08+48.98+8.78+16.96+3.17+13.08+27.89+20</f>
        <v>251.84000000000003</v>
      </c>
      <c r="EH11" s="39">
        <f>73.88+25.06+123.01+58.7+23.67</f>
        <v>304.32</v>
      </c>
      <c r="EI11" s="37">
        <f>32.58+42.54+44.96+71.71+22.43</f>
        <v>214.22000000000003</v>
      </c>
      <c r="EJ11" s="37">
        <f>30.98+48.35+16.99</f>
        <v>96.32</v>
      </c>
      <c r="EK11" s="37">
        <f>84.78+69.3</f>
        <v>154.07999999999998</v>
      </c>
      <c r="EL11" s="37"/>
      <c r="EM11" s="37">
        <f>47.99+14.03+91.84</f>
        <v>153.86000000000001</v>
      </c>
      <c r="EN11" s="37">
        <v>123.48</v>
      </c>
      <c r="EO11" s="37">
        <v>64.2</v>
      </c>
      <c r="EP11" s="37">
        <v>99.96</v>
      </c>
      <c r="EQ11" s="37">
        <f>10.49+17.38+38.49+18.72</f>
        <v>85.08</v>
      </c>
      <c r="ER11" s="37">
        <v>48.93</v>
      </c>
      <c r="ES11" s="37"/>
      <c r="ET11" s="37"/>
      <c r="EU11" s="37">
        <v>41.02</v>
      </c>
      <c r="EV11" s="37">
        <v>229.49</v>
      </c>
      <c r="EW11" s="37">
        <v>48.93</v>
      </c>
      <c r="EX11" s="37"/>
      <c r="EY11" s="37"/>
      <c r="EZ11" s="37"/>
      <c r="FA11" s="37">
        <f>51.43+1.12+0.17+122.6+51.27+56.1-4.83+0.12+31.87+35.57+73.49+((73.1+58.4))-6.03+40.99+12.7-0.6</f>
        <v>597.47000000000014</v>
      </c>
      <c r="FB11" s="37">
        <v>48.93</v>
      </c>
      <c r="FC11" s="37">
        <v>11.34</v>
      </c>
      <c r="FD11" s="37"/>
      <c r="FE11" s="37"/>
      <c r="FF11" s="37">
        <f>66.08+56+50.98+15.11+22.16</f>
        <v>210.33</v>
      </c>
      <c r="FG11" s="37">
        <v>48.93</v>
      </c>
      <c r="FH11" s="37"/>
      <c r="FI11" s="37"/>
      <c r="FJ11" s="37"/>
      <c r="FK11" s="37">
        <f>94.92+21.24</f>
        <v>116.16</v>
      </c>
      <c r="FL11" s="37">
        <f>48.93+10.52</f>
        <v>59.45</v>
      </c>
      <c r="FM11" s="37">
        <v>42.67</v>
      </c>
      <c r="FN11" s="37"/>
      <c r="FO11" s="37"/>
      <c r="FP11" s="37"/>
      <c r="FQ11" s="37">
        <v>48.93</v>
      </c>
      <c r="FR11" s="37"/>
      <c r="FS11" s="37"/>
      <c r="FT11" s="37"/>
      <c r="FU11" s="37">
        <f>69.13+172.62+109.16</f>
        <v>350.90999999999997</v>
      </c>
      <c r="FV11" s="37">
        <v>48.93</v>
      </c>
      <c r="FW11" s="37"/>
      <c r="FX11" s="37">
        <f>10+23.24</f>
        <v>33.239999999999995</v>
      </c>
      <c r="FY11" s="37"/>
      <c r="FZ11" s="37"/>
      <c r="GA11" s="37">
        <v>48.93</v>
      </c>
      <c r="GB11" s="37">
        <f>8.25+17.98+25.64</f>
        <v>51.870000000000005</v>
      </c>
      <c r="GC11" s="37"/>
      <c r="GD11" s="37"/>
      <c r="GE11" s="37">
        <f>9.42*10-0.54+42.11+37.47</f>
        <v>173.23999999999998</v>
      </c>
      <c r="GF11" s="37">
        <v>48.93</v>
      </c>
      <c r="GG11" s="37"/>
      <c r="GH11" s="37"/>
      <c r="GI11" s="37"/>
      <c r="GJ11" s="37">
        <f>42.99+48.34</f>
        <v>91.330000000000013</v>
      </c>
      <c r="GK11" s="37">
        <f>48.93+10</f>
        <v>58.93</v>
      </c>
      <c r="GL11" s="37"/>
      <c r="GM11" s="37"/>
      <c r="GN11" s="37"/>
      <c r="GO11" s="37">
        <f>26.99+63.97</f>
        <v>90.96</v>
      </c>
      <c r="GP11" s="37">
        <v>49.98</v>
      </c>
      <c r="GQ11" s="37"/>
      <c r="GR11" s="37"/>
      <c r="GS11" s="37"/>
      <c r="GT11" s="37">
        <f>29.92+18.96+21.99+42.09+9.97+44.69+141.55+28.9+49.1+4.38</f>
        <v>391.55</v>
      </c>
      <c r="GU11" s="37">
        <f>49.98+144.51</f>
        <v>194.48999999999998</v>
      </c>
      <c r="GV11" s="37"/>
      <c r="GW11" s="37"/>
      <c r="GX11" s="37"/>
      <c r="GY11" s="37">
        <f>30.4+249.92+190.23+320.78</f>
        <v>791.32999999999993</v>
      </c>
      <c r="GZ11" s="37">
        <f>49.98+175.39+54.51+28.98</f>
        <v>308.86</v>
      </c>
      <c r="HA11" s="37"/>
      <c r="HB11" s="37">
        <f>9.98+115.67+19.6+83.9</f>
        <v>229.15</v>
      </c>
      <c r="HC11" s="37"/>
      <c r="HD11" s="37">
        <f>190.22+36.5+173</f>
        <v>399.72</v>
      </c>
      <c r="HE11" s="37">
        <f>49.98</f>
        <v>49.98</v>
      </c>
      <c r="HF11" s="37"/>
      <c r="HG11" s="37"/>
      <c r="HH11" s="37"/>
      <c r="HI11" s="37">
        <f>(101.27+2.3)+49.21</f>
        <v>152.78</v>
      </c>
      <c r="HJ11" s="37">
        <f>49.98</f>
        <v>49.98</v>
      </c>
      <c r="HK11" s="37"/>
      <c r="HL11" s="37"/>
      <c r="HM11" s="37"/>
      <c r="HN11" s="37">
        <f>49.2+318.01</f>
        <v>367.21</v>
      </c>
      <c r="HO11" s="37">
        <f>49.98</f>
        <v>49.98</v>
      </c>
      <c r="HP11" s="37">
        <v>36.799999999999997</v>
      </c>
      <c r="HQ11" s="37"/>
      <c r="HR11" s="37">
        <v>90.03</v>
      </c>
      <c r="HS11" s="37">
        <f>(49.2*2-0.16)+(45.57+13.2)+90</f>
        <v>247.01</v>
      </c>
      <c r="HT11" s="37">
        <f>49.97+12.06</f>
        <v>62.03</v>
      </c>
      <c r="HU11" s="37">
        <v>4</v>
      </c>
      <c r="HV11" s="37"/>
      <c r="HW11" s="37"/>
      <c r="HX11" s="37">
        <v>174.24</v>
      </c>
      <c r="HY11" s="37">
        <f>49.97+48.5+40.99</f>
        <v>139.46</v>
      </c>
      <c r="HZ11" s="37">
        <v>85.3</v>
      </c>
      <c r="IA11" s="37">
        <f>196.21+11.38+240+83.98+144.29</f>
        <v>675.86</v>
      </c>
      <c r="IB11" s="37">
        <v>201.79</v>
      </c>
      <c r="IC11" s="37">
        <v>133.97</v>
      </c>
      <c r="ID11" s="37">
        <f>49.99+136.99+11.7</f>
        <v>198.68</v>
      </c>
      <c r="IE11" s="37">
        <v>323.64</v>
      </c>
      <c r="IF11" s="37">
        <f>151.89+91.94+140.26+77.96</f>
        <v>462.04999999999995</v>
      </c>
      <c r="IG11" s="37"/>
      <c r="IH11" s="37">
        <v>69.89</v>
      </c>
      <c r="II11" s="37">
        <f>49.99</f>
        <v>49.99</v>
      </c>
      <c r="IJ11" s="37"/>
      <c r="IK11" s="37">
        <v>183.08</v>
      </c>
      <c r="IL11" s="37">
        <f>8+121</f>
        <v>129</v>
      </c>
      <c r="IM11" s="37">
        <f>68.97+64.97+129.47</f>
        <v>263.40999999999997</v>
      </c>
      <c r="IN11" s="37">
        <f>49.99+70+20</f>
        <v>139.99</v>
      </c>
      <c r="IO11" s="37">
        <v>-450</v>
      </c>
      <c r="IP11" s="37"/>
      <c r="IQ11" s="37"/>
      <c r="IR11" s="37">
        <f>156.8+200+126.98+62+205.92</f>
        <v>751.69999999999993</v>
      </c>
      <c r="IS11" s="37">
        <f>49.99</f>
        <v>49.99</v>
      </c>
      <c r="IT11" s="37"/>
      <c r="IU11" s="37"/>
      <c r="IV11" s="37"/>
      <c r="IW11" s="37">
        <v>275.23</v>
      </c>
      <c r="IX11" s="37">
        <v>57.99</v>
      </c>
      <c r="IY11" s="37"/>
      <c r="IZ11" s="37"/>
      <c r="JA11" s="37"/>
      <c r="JB11" s="37"/>
      <c r="JC11" s="37">
        <f>57.99+150</f>
        <v>207.99</v>
      </c>
      <c r="JD11" s="37"/>
      <c r="JE11" s="37"/>
      <c r="JF11" s="37"/>
      <c r="JG11" s="37"/>
      <c r="JH11" s="37">
        <v>57.99</v>
      </c>
      <c r="JI11" s="37">
        <v>127.99</v>
      </c>
      <c r="JJ11" s="37">
        <v>143</v>
      </c>
      <c r="JK11" s="37"/>
      <c r="JL11" s="37">
        <v>144.43</v>
      </c>
      <c r="JM11" s="37">
        <f>58.01+106.06</f>
        <v>164.07</v>
      </c>
      <c r="JN11" s="37">
        <f>142.48+124.49</f>
        <v>266.96999999999997</v>
      </c>
      <c r="JO11" s="37">
        <f>71.66+147.48</f>
        <v>219.14</v>
      </c>
      <c r="JP11" s="37"/>
      <c r="JQ11" s="37">
        <v>198.26</v>
      </c>
      <c r="JR11" s="37">
        <f>58.01+132.5</f>
        <v>190.51</v>
      </c>
      <c r="JS11" s="37">
        <v>17</v>
      </c>
      <c r="JT11" s="37"/>
      <c r="JU11" s="37">
        <f>112.76+29.9</f>
        <v>142.66</v>
      </c>
      <c r="JV11" s="37">
        <v>147.59</v>
      </c>
      <c r="JW11" s="37">
        <f>58.01+8.43</f>
        <v>66.44</v>
      </c>
      <c r="JX11" s="37">
        <v>129.9</v>
      </c>
      <c r="JY11" s="37"/>
      <c r="JZ11" s="37"/>
      <c r="KA11" s="37">
        <f>129.9+(108.32+312.68)</f>
        <v>550.9</v>
      </c>
      <c r="KB11" s="37">
        <f>44.59</f>
        <v>44.59</v>
      </c>
      <c r="KC11" s="37"/>
      <c r="KD11" s="37"/>
      <c r="KE11" s="37">
        <v>124.49</v>
      </c>
      <c r="KF11" s="37">
        <f>129.9+71.22</f>
        <v>201.12</v>
      </c>
      <c r="KG11" s="37">
        <v>49.91</v>
      </c>
      <c r="KH11" s="37"/>
      <c r="KI11" s="37"/>
      <c r="KJ11" s="37"/>
      <c r="KK11" s="37">
        <f>129.9+73.98+360.61+(168.19+11.83+212.65-(168.2+11.83+212.65))</f>
        <v>564.48</v>
      </c>
      <c r="KL11" s="37">
        <f>49.91+45.8</f>
        <v>95.71</v>
      </c>
      <c r="KM11" s="37"/>
      <c r="KN11" s="37">
        <f>109.79+94.6</f>
        <v>204.39</v>
      </c>
      <c r="KO11" s="37"/>
      <c r="KP11" s="37">
        <f>129.9+(288.8+242.95)+217.9+47.47</f>
        <v>927.02</v>
      </c>
      <c r="KQ11" s="37">
        <f>49.91+49.91</f>
        <v>99.82</v>
      </c>
      <c r="KR11" s="37"/>
      <c r="KS11" s="37"/>
      <c r="KT11" s="37"/>
      <c r="KU11" s="37">
        <f>129.9+284.9</f>
        <v>414.79999999999995</v>
      </c>
      <c r="KV11" s="37">
        <f>232.57+149.75</f>
        <v>382.32</v>
      </c>
      <c r="KW11" s="37">
        <f>154.79+272.79</f>
        <v>427.58000000000004</v>
      </c>
      <c r="KX11" s="37">
        <v>28.93</v>
      </c>
      <c r="KY11" s="37">
        <f>83.12+13.28</f>
        <v>96.4</v>
      </c>
      <c r="KZ11" s="37">
        <v>129.9</v>
      </c>
      <c r="LA11" s="37">
        <f>49.91+174.24+96.78</f>
        <v>320.93</v>
      </c>
      <c r="LB11" s="37"/>
      <c r="LC11" s="37">
        <f>86.29+13.91</f>
        <v>100.2</v>
      </c>
      <c r="LD11" s="37">
        <f>41.91</f>
        <v>41.91</v>
      </c>
      <c r="LE11" s="37">
        <v>129.9</v>
      </c>
      <c r="LF11" s="37">
        <f>56.21+(8.79+20.82+28.35)</f>
        <v>114.17</v>
      </c>
      <c r="LG11" s="37">
        <f>43.59+119.07+11.78</f>
        <v>174.44</v>
      </c>
      <c r="LH11" s="37">
        <v>109.41</v>
      </c>
      <c r="LI11" s="37"/>
      <c r="LJ11" s="37">
        <f>129.9+106.96+1.8</f>
        <v>238.66000000000003</v>
      </c>
      <c r="LK11" s="37">
        <v>56.21</v>
      </c>
      <c r="LL11" s="37">
        <f>44.73+55.91</f>
        <v>100.63999999999999</v>
      </c>
      <c r="LM11" s="37">
        <f>60.84+76.49+101.35</f>
        <v>238.67999999999998</v>
      </c>
      <c r="LN11" s="37"/>
      <c r="LO11" s="37">
        <f>129.9+26.38</f>
        <v>156.28</v>
      </c>
      <c r="LP11" s="37">
        <f>56.21+8.44+12+207.34</f>
        <v>283.99</v>
      </c>
      <c r="LQ11" s="37"/>
      <c r="LR11" s="37">
        <v>63.31</v>
      </c>
      <c r="LS11" s="37">
        <f>11.78+9.9</f>
        <v>21.68</v>
      </c>
      <c r="LT11" s="37">
        <f>129.9+46.13+64+46.46</f>
        <v>286.49</v>
      </c>
      <c r="LU11" s="37">
        <f>56.21+97.2+47.17</f>
        <v>200.57999999999998</v>
      </c>
      <c r="LV11" s="37"/>
      <c r="LW11" s="37">
        <v>99.72</v>
      </c>
      <c r="LX11" s="37"/>
      <c r="LY11" s="37">
        <f>129.9+59+167.94</f>
        <v>356.84000000000003</v>
      </c>
      <c r="LZ11" s="37">
        <f>56.21+47.81</f>
        <v>104.02000000000001</v>
      </c>
      <c r="MA11" s="37">
        <v>400.9</v>
      </c>
      <c r="MB11" s="37"/>
      <c r="MC11" s="37">
        <v>34.549999999999997</v>
      </c>
      <c r="MD11" s="37">
        <v>129.9</v>
      </c>
      <c r="ME11" s="37">
        <f>56.21+44.05+71.01</f>
        <v>171.26999999999998</v>
      </c>
      <c r="MF11" s="37">
        <v>317.87</v>
      </c>
      <c r="MG11" s="37">
        <f>128.68+25.62</f>
        <v>154.30000000000001</v>
      </c>
      <c r="MH11" s="37">
        <v>8.15</v>
      </c>
      <c r="MI11" s="37">
        <v>129.9</v>
      </c>
      <c r="MJ11" s="37">
        <f>56.21+38.86</f>
        <v>95.07</v>
      </c>
      <c r="MK11" s="37">
        <f>190.35+43.16</f>
        <v>233.51</v>
      </c>
      <c r="ML11" s="37"/>
      <c r="MM11" s="37">
        <v>78.290000000000006</v>
      </c>
      <c r="MN11" s="37">
        <v>129.9</v>
      </c>
      <c r="MO11" s="37">
        <f>56.21+283.37</f>
        <v>339.58</v>
      </c>
      <c r="MP11" s="37"/>
      <c r="MQ11" s="37">
        <v>85.16</v>
      </c>
      <c r="MR11" s="37"/>
      <c r="MS11" s="37">
        <v>129.9</v>
      </c>
      <c r="MT11" s="37">
        <v>56.21</v>
      </c>
      <c r="MU11" s="37"/>
      <c r="MV11" s="37"/>
      <c r="MW11" s="37">
        <v>500</v>
      </c>
      <c r="MX11" s="37">
        <v>129.9</v>
      </c>
    </row>
    <row r="12" spans="1:363" x14ac:dyDescent="0.25">
      <c r="A12" s="148"/>
      <c r="B12" s="36" t="s">
        <v>90</v>
      </c>
      <c r="C12" s="37">
        <v>7.5</v>
      </c>
      <c r="D12" s="37">
        <v>15</v>
      </c>
      <c r="E12" s="37">
        <v>27.33</v>
      </c>
      <c r="F12" s="37">
        <v>54</v>
      </c>
      <c r="G12" s="37"/>
      <c r="H12" s="37">
        <v>8.5</v>
      </c>
      <c r="I12" s="37">
        <v>19</v>
      </c>
      <c r="J12" s="37">
        <v>0</v>
      </c>
      <c r="K12" s="37">
        <v>3.96</v>
      </c>
      <c r="L12" s="37"/>
      <c r="M12" s="37">
        <v>25.98</v>
      </c>
      <c r="N12" s="37">
        <v>6</v>
      </c>
      <c r="O12" s="37">
        <v>47.8</v>
      </c>
      <c r="P12" s="37">
        <v>39.21</v>
      </c>
      <c r="Q12" s="37"/>
      <c r="R12" s="37">
        <v>9.5</v>
      </c>
      <c r="S12" s="37">
        <v>4</v>
      </c>
      <c r="T12" s="37">
        <v>42.9</v>
      </c>
      <c r="U12" s="37">
        <v>0</v>
      </c>
      <c r="V12" s="37"/>
      <c r="W12" s="37">
        <v>18.5</v>
      </c>
      <c r="X12" s="37">
        <v>10.7</v>
      </c>
      <c r="Y12" s="37">
        <v>168.45</v>
      </c>
      <c r="Z12" s="37">
        <v>7.88</v>
      </c>
      <c r="AA12" s="37"/>
      <c r="AB12" s="37">
        <v>1.3</v>
      </c>
      <c r="AC12" s="37">
        <v>2</v>
      </c>
      <c r="AD12" s="37">
        <v>0</v>
      </c>
      <c r="AE12" s="37">
        <v>3.6</v>
      </c>
      <c r="AF12" s="37"/>
      <c r="AG12" s="37">
        <v>5</v>
      </c>
      <c r="AH12" s="37">
        <v>5</v>
      </c>
      <c r="AI12" s="37">
        <v>0</v>
      </c>
      <c r="AJ12" s="37">
        <v>75.599999999999994</v>
      </c>
      <c r="AK12" s="37"/>
      <c r="AL12" s="37">
        <v>4.5</v>
      </c>
      <c r="AM12" s="37">
        <v>6</v>
      </c>
      <c r="AN12" s="37">
        <v>21.5</v>
      </c>
      <c r="AO12" s="37">
        <v>4</v>
      </c>
      <c r="AP12" s="37"/>
      <c r="AQ12" s="37">
        <v>3</v>
      </c>
      <c r="AR12" s="37">
        <v>25.2</v>
      </c>
      <c r="AS12" s="37">
        <v>24.5</v>
      </c>
      <c r="AT12" s="37">
        <v>2</v>
      </c>
      <c r="AU12" s="37"/>
      <c r="AV12" s="37">
        <v>0</v>
      </c>
      <c r="AW12" s="37">
        <v>18.5</v>
      </c>
      <c r="AX12" s="37">
        <v>82.3</v>
      </c>
      <c r="AY12" s="37">
        <v>62.77</v>
      </c>
      <c r="AZ12" s="37"/>
      <c r="BA12" s="37">
        <v>27</v>
      </c>
      <c r="BB12" s="37">
        <v>0</v>
      </c>
      <c r="BC12" s="37">
        <v>11</v>
      </c>
      <c r="BD12" s="37">
        <v>4.5</v>
      </c>
      <c r="BE12" s="37">
        <v>0</v>
      </c>
      <c r="BF12" s="37">
        <v>0</v>
      </c>
      <c r="BG12" s="37">
        <v>4.5</v>
      </c>
      <c r="BH12" s="37">
        <v>49.309999999999995</v>
      </c>
      <c r="BI12" s="37">
        <v>0</v>
      </c>
      <c r="BJ12" s="37">
        <v>11.8</v>
      </c>
      <c r="BK12" s="37">
        <v>17.899999999999999</v>
      </c>
      <c r="BL12" s="37">
        <v>5</v>
      </c>
      <c r="BM12" s="37">
        <v>44.78</v>
      </c>
      <c r="BN12" s="37">
        <v>81.180000000000007</v>
      </c>
      <c r="BO12" s="37">
        <v>135.94999999999999</v>
      </c>
      <c r="BP12" s="37">
        <v>22.5</v>
      </c>
      <c r="BQ12" s="37">
        <v>0</v>
      </c>
      <c r="BR12" s="37">
        <v>77.569999999999993</v>
      </c>
      <c r="BS12" s="37">
        <v>57.9</v>
      </c>
      <c r="BT12" s="37">
        <v>0</v>
      </c>
      <c r="BU12" s="37">
        <v>29.79</v>
      </c>
      <c r="BV12" s="37">
        <v>4</v>
      </c>
      <c r="BW12" s="37">
        <v>20.25</v>
      </c>
      <c r="BX12" s="37">
        <v>0</v>
      </c>
      <c r="BY12" s="37">
        <v>36.090000000000003</v>
      </c>
      <c r="BZ12" s="37">
        <v>0</v>
      </c>
      <c r="CA12" s="37">
        <v>0</v>
      </c>
      <c r="CB12" s="37">
        <v>12.9</v>
      </c>
      <c r="CC12" s="37">
        <v>0</v>
      </c>
      <c r="CD12" s="37">
        <v>0</v>
      </c>
      <c r="CE12" s="37">
        <v>16</v>
      </c>
      <c r="CF12" s="37">
        <v>12.3</v>
      </c>
      <c r="CG12" s="37">
        <v>10.9</v>
      </c>
      <c r="CH12" s="37">
        <v>102.22999999999999</v>
      </c>
      <c r="CI12" s="37">
        <v>0</v>
      </c>
      <c r="CJ12" s="37">
        <v>33</v>
      </c>
      <c r="CK12" s="37">
        <v>23.58</v>
      </c>
      <c r="CL12" s="37">
        <v>75.259999999999991</v>
      </c>
      <c r="CM12" s="37">
        <v>40.299999999999997</v>
      </c>
      <c r="CN12" s="37">
        <v>0</v>
      </c>
      <c r="CO12" s="37">
        <v>0</v>
      </c>
      <c r="CP12" s="37">
        <v>10.59</v>
      </c>
      <c r="CQ12" s="37">
        <v>0</v>
      </c>
      <c r="CR12" s="37">
        <v>67.610000000000014</v>
      </c>
      <c r="CS12" s="37">
        <v>0</v>
      </c>
      <c r="CT12" s="37">
        <v>26.099999999999998</v>
      </c>
      <c r="CU12" s="37">
        <v>28.490000000000002</v>
      </c>
      <c r="CV12" s="37">
        <v>49.8</v>
      </c>
      <c r="CW12" s="37">
        <v>8</v>
      </c>
      <c r="CX12" s="37">
        <v>281.37999999999994</v>
      </c>
      <c r="CY12" s="37">
        <v>6</v>
      </c>
      <c r="CZ12" s="37">
        <v>5.5</v>
      </c>
      <c r="DA12" s="37">
        <v>0</v>
      </c>
      <c r="DB12" s="37">
        <v>0</v>
      </c>
      <c r="DC12" s="37">
        <v>612.05000000000007</v>
      </c>
      <c r="DD12" s="37">
        <v>66</v>
      </c>
      <c r="DE12" s="37">
        <v>14.5</v>
      </c>
      <c r="DF12" s="37">
        <v>4</v>
      </c>
      <c r="DG12" s="37">
        <v>22.4</v>
      </c>
      <c r="DH12" s="37">
        <v>433.69</v>
      </c>
      <c r="DI12" s="37">
        <v>23.48</v>
      </c>
      <c r="DJ12" s="37">
        <v>12</v>
      </c>
      <c r="DK12" s="37">
        <v>0</v>
      </c>
      <c r="DL12" s="37">
        <v>4</v>
      </c>
      <c r="DM12" s="37">
        <v>330.95000000000005</v>
      </c>
      <c r="DN12" s="37">
        <v>33.6</v>
      </c>
      <c r="DO12" s="37">
        <v>14.98</v>
      </c>
      <c r="DP12" s="37">
        <v>8</v>
      </c>
      <c r="DQ12" s="37">
        <v>0</v>
      </c>
      <c r="DR12" s="37">
        <v>190.42000000000002</v>
      </c>
      <c r="DS12" s="37">
        <v>30.1</v>
      </c>
      <c r="DT12" s="37">
        <v>11.49</v>
      </c>
      <c r="DU12" s="37">
        <v>3</v>
      </c>
      <c r="DV12" s="37">
        <v>5.92</v>
      </c>
      <c r="DW12" s="37">
        <v>221.5</v>
      </c>
      <c r="DX12" s="37">
        <v>4.25</v>
      </c>
      <c r="DY12" s="37">
        <v>22.5</v>
      </c>
      <c r="DZ12" s="37">
        <v>60.1</v>
      </c>
      <c r="EA12" s="37">
        <v>7.24</v>
      </c>
      <c r="EB12" s="37">
        <v>527</v>
      </c>
      <c r="EC12" s="37">
        <v>13</v>
      </c>
      <c r="ED12" s="37">
        <v>16.89</v>
      </c>
      <c r="EE12" s="37">
        <v>46.62</v>
      </c>
      <c r="EF12" s="37">
        <v>71.48</v>
      </c>
      <c r="EG12" s="37">
        <v>309.37</v>
      </c>
      <c r="EH12" s="37"/>
      <c r="EI12" s="37"/>
      <c r="EJ12" s="37"/>
      <c r="EK12" s="37"/>
      <c r="EL12" s="37"/>
      <c r="EM12" s="37"/>
      <c r="EN12" s="37"/>
      <c r="EO12" s="37"/>
      <c r="EP12" s="37"/>
      <c r="EQ12" s="37"/>
      <c r="ER12" s="37"/>
      <c r="ES12" s="37"/>
      <c r="ET12" s="37"/>
      <c r="EU12" s="37"/>
      <c r="EV12" s="37"/>
      <c r="EW12" s="37"/>
      <c r="EX12" s="37"/>
      <c r="EY12" s="37"/>
      <c r="EZ12" s="37"/>
      <c r="FA12" s="37"/>
      <c r="FB12" s="37"/>
      <c r="FC12" s="37"/>
      <c r="FD12" s="37"/>
      <c r="FE12" s="37"/>
      <c r="FF12" s="37"/>
      <c r="FG12" s="37"/>
      <c r="FH12" s="37"/>
      <c r="FI12" s="37"/>
      <c r="FJ12" s="37"/>
      <c r="FK12" s="37"/>
      <c r="FL12" s="37"/>
      <c r="FM12" s="37"/>
      <c r="FN12" s="37"/>
      <c r="FO12" s="37"/>
      <c r="FP12" s="37"/>
      <c r="FQ12" s="37"/>
      <c r="FR12" s="37"/>
      <c r="FS12" s="37"/>
      <c r="FT12" s="37"/>
      <c r="FU12" s="37"/>
      <c r="FV12" s="37"/>
      <c r="FW12" s="37"/>
      <c r="FX12" s="37"/>
      <c r="FY12" s="37"/>
      <c r="FZ12" s="37"/>
      <c r="GA12" s="37"/>
      <c r="GB12" s="37"/>
      <c r="GC12" s="37"/>
      <c r="GD12" s="37"/>
      <c r="GE12" s="37"/>
      <c r="GF12" s="37"/>
      <c r="GG12" s="37"/>
      <c r="GH12" s="37"/>
      <c r="GI12" s="37"/>
      <c r="GJ12" s="37"/>
      <c r="GK12" s="37"/>
      <c r="GL12" s="37"/>
      <c r="GM12" s="37"/>
      <c r="GN12" s="37"/>
      <c r="GO12" s="37"/>
      <c r="GP12" s="37"/>
      <c r="GQ12" s="37"/>
      <c r="GR12" s="37"/>
      <c r="GS12" s="37"/>
      <c r="GT12" s="37"/>
      <c r="GU12" s="37"/>
      <c r="GV12" s="37"/>
      <c r="GW12" s="37"/>
      <c r="GX12" s="37"/>
      <c r="GY12" s="37"/>
      <c r="GZ12" s="37"/>
      <c r="HA12" s="37"/>
      <c r="HB12" s="37"/>
      <c r="HC12" s="37"/>
      <c r="HD12" s="37"/>
      <c r="HE12" s="37"/>
      <c r="HF12" s="37"/>
      <c r="HG12" s="37"/>
      <c r="HH12" s="37"/>
      <c r="HI12" s="37"/>
      <c r="HJ12" s="37"/>
      <c r="HK12" s="37"/>
      <c r="HL12" s="37"/>
      <c r="HM12" s="37"/>
      <c r="HN12" s="37"/>
      <c r="HO12" s="37"/>
      <c r="HP12" s="37"/>
      <c r="HQ12" s="37"/>
      <c r="HR12" s="37"/>
      <c r="HS12" s="37"/>
      <c r="HT12" s="37"/>
      <c r="HU12" s="37"/>
      <c r="HV12" s="37"/>
      <c r="HW12" s="37"/>
      <c r="HX12" s="37"/>
      <c r="HY12" s="37"/>
      <c r="HZ12" s="37"/>
      <c r="IA12" s="37"/>
      <c r="IB12" s="37"/>
      <c r="IC12" s="37"/>
      <c r="ID12" s="37"/>
      <c r="IE12" s="37"/>
      <c r="IF12" s="37"/>
      <c r="IG12" s="37"/>
      <c r="IH12" s="37">
        <v>39.49</v>
      </c>
      <c r="II12" s="37">
        <v>12.5</v>
      </c>
      <c r="IJ12" s="37"/>
      <c r="IK12" s="37">
        <v>16.8</v>
      </c>
      <c r="IL12" s="37"/>
      <c r="IM12" s="37"/>
      <c r="IN12" s="37"/>
      <c r="IO12" s="37">
        <f>19+5.49</f>
        <v>24.490000000000002</v>
      </c>
      <c r="IP12" s="37">
        <v>8</v>
      </c>
      <c r="IQ12" s="37"/>
      <c r="IR12" s="37"/>
      <c r="IS12" s="37"/>
      <c r="IT12" s="37"/>
      <c r="IU12" s="37"/>
      <c r="IV12" s="37"/>
      <c r="IW12" s="37"/>
      <c r="IX12" s="37"/>
      <c r="IY12" s="37"/>
      <c r="IZ12" s="37"/>
      <c r="JA12" s="37"/>
      <c r="JB12" s="37"/>
      <c r="JC12" s="37"/>
      <c r="JD12" s="37"/>
      <c r="JE12" s="37">
        <v>7.9</v>
      </c>
      <c r="JF12" s="37">
        <f>((50))</f>
        <v>50</v>
      </c>
      <c r="JG12" s="37">
        <f>((49.02+46.49+42.73))</f>
        <v>138.24</v>
      </c>
      <c r="JH12" s="37"/>
      <c r="JI12" s="37"/>
      <c r="JJ12" s="37"/>
      <c r="JK12" s="37"/>
      <c r="JL12" s="37"/>
      <c r="JM12" s="37">
        <v>6.7</v>
      </c>
      <c r="JN12" s="37"/>
      <c r="JO12" s="37"/>
      <c r="JP12" s="37"/>
      <c r="JQ12" s="37">
        <f>13.96+32.49</f>
        <v>46.45</v>
      </c>
      <c r="JR12" s="37"/>
      <c r="JS12" s="37"/>
      <c r="JT12" s="37"/>
      <c r="JU12" s="37">
        <v>41.9</v>
      </c>
      <c r="JV12" s="37">
        <v>33.979999999999997</v>
      </c>
      <c r="JW12" s="37">
        <f>32+82.12+(16+45+43+25)+35.9</f>
        <v>279.02</v>
      </c>
      <c r="JX12" s="37"/>
      <c r="JY12" s="37"/>
      <c r="JZ12" s="37"/>
      <c r="KA12" s="37">
        <f>57.75+100+43</f>
        <v>200.75</v>
      </c>
      <c r="KB12" s="37">
        <v>31.8</v>
      </c>
      <c r="KC12" s="37"/>
      <c r="KD12" s="37"/>
      <c r="KE12" s="37"/>
      <c r="KF12" s="37">
        <v>23.98</v>
      </c>
      <c r="KG12" s="37"/>
      <c r="KH12" s="37"/>
      <c r="KI12" s="37"/>
      <c r="KJ12" s="37"/>
      <c r="KK12" s="37">
        <v>47.7</v>
      </c>
      <c r="KL12" s="37"/>
      <c r="KM12" s="37"/>
      <c r="KN12" s="37"/>
      <c r="KO12" s="37"/>
      <c r="KP12" s="37">
        <f>22.5+73.48</f>
        <v>95.98</v>
      </c>
      <c r="KQ12" s="37"/>
      <c r="KR12" s="37">
        <v>16.97</v>
      </c>
      <c r="KS12" s="37">
        <f>17+27.47</f>
        <v>44.47</v>
      </c>
      <c r="KT12" s="37">
        <f>50.89+17.97+34.9</f>
        <v>103.75999999999999</v>
      </c>
      <c r="KU12" s="37">
        <v>36.770000000000003</v>
      </c>
      <c r="KV12" s="37"/>
      <c r="KW12" s="37"/>
      <c r="KX12" s="37">
        <v>16.89</v>
      </c>
      <c r="KY12" s="37">
        <v>46.89</v>
      </c>
      <c r="KZ12" s="37"/>
      <c r="LA12" s="37">
        <f>21.99+22.98+30.5+21.99</f>
        <v>97.46</v>
      </c>
      <c r="LB12" s="37">
        <f>18.99+16.89</f>
        <v>35.879999999999995</v>
      </c>
      <c r="LC12" s="37">
        <v>16.89</v>
      </c>
      <c r="LD12" s="37">
        <f>22.4+18.99+26.98</f>
        <v>68.37</v>
      </c>
      <c r="LE12" s="37"/>
      <c r="LF12" s="37"/>
      <c r="LG12" s="37"/>
      <c r="LH12" s="37"/>
      <c r="LI12" s="37">
        <f>47.98+24+26.5</f>
        <v>98.47999999999999</v>
      </c>
      <c r="LJ12" s="37">
        <f>52.98+45.99+45.99+42.9</f>
        <v>187.86</v>
      </c>
      <c r="LK12" s="37">
        <v>10.35</v>
      </c>
      <c r="LL12" s="37">
        <v>39</v>
      </c>
      <c r="LM12" s="37">
        <f>16.89+62.1+19.5+31.9</f>
        <v>130.39000000000001</v>
      </c>
      <c r="LN12" s="37">
        <v>19.850000000000001</v>
      </c>
      <c r="LO12" s="37">
        <f>(14.9+14)+37.99+50+37.9</f>
        <v>154.79</v>
      </c>
      <c r="LP12" s="37"/>
      <c r="LQ12" s="37">
        <f>20+18.7</f>
        <v>38.700000000000003</v>
      </c>
      <c r="LR12" s="37">
        <v>37.549999999999997</v>
      </c>
      <c r="LS12" s="37">
        <v>30.98</v>
      </c>
      <c r="LT12" s="37">
        <f>47.99+21.98+36.8+36.8+27.89</f>
        <v>171.45999999999998</v>
      </c>
      <c r="LU12" s="37"/>
      <c r="LV12" s="37">
        <v>13</v>
      </c>
      <c r="LW12" s="37"/>
      <c r="LX12" s="37"/>
      <c r="LY12" s="37">
        <f>48.9+38.9+33.79+37.8+8.4+33.89</f>
        <v>201.68</v>
      </c>
      <c r="LZ12" s="37"/>
      <c r="MA12" s="37">
        <f>47.3+10.79</f>
        <v>58.089999999999996</v>
      </c>
      <c r="MB12" s="37"/>
      <c r="MC12" s="37">
        <f>44+21+32.95+38.99+21.5+33.3+7.5+30.9</f>
        <v>230.14000000000001</v>
      </c>
      <c r="MD12" s="37">
        <f>42.99+13.89+37.8+45.8+17.99+30.9+44.8</f>
        <v>234.17000000000002</v>
      </c>
      <c r="ME12" s="37">
        <f>21.65+29.01+30+28.5</f>
        <v>109.16</v>
      </c>
      <c r="MF12" s="37">
        <f>7.99+34.78+26.98+26+42</f>
        <v>137.75</v>
      </c>
      <c r="MG12" s="37">
        <f>21.99+26+37.8</f>
        <v>85.789999999999992</v>
      </c>
      <c r="MH12" s="37">
        <f>32.95+38.9+25.99</f>
        <v>97.839999999999989</v>
      </c>
      <c r="MI12" s="37">
        <f>18.89+38.99</f>
        <v>57.88</v>
      </c>
      <c r="MJ12" s="37">
        <f>37.8+13.9+30+22.9</f>
        <v>104.6</v>
      </c>
      <c r="MK12" s="37"/>
      <c r="ML12" s="37">
        <f>18+10</f>
        <v>28</v>
      </c>
      <c r="MM12" s="37">
        <f>62+25.9</f>
        <v>87.9</v>
      </c>
      <c r="MN12" s="37">
        <f>38.99+18.99+37.8+35.69+13.9+28.89</f>
        <v>174.26</v>
      </c>
      <c r="MO12" s="37">
        <f>19.69+18</f>
        <v>37.69</v>
      </c>
      <c r="MP12" s="37"/>
      <c r="MQ12" s="37"/>
      <c r="MR12" s="37"/>
      <c r="MS12" s="37">
        <f>28.5+20.95+30+46.1+26.99+8.02+37.8+21.99+27.99+9.9+35.5+29.99+35.94+45.42+12.5+46.89+29.4+26+21.99</f>
        <v>541.87</v>
      </c>
      <c r="MT12" s="37">
        <f>15+40</f>
        <v>55</v>
      </c>
      <c r="MU12" s="37"/>
      <c r="MV12" s="37"/>
      <c r="MW12" s="37"/>
      <c r="MX12" s="37">
        <f>22.89+37.9+21.99+64.68</f>
        <v>147.46</v>
      </c>
      <c r="MY12" s="2"/>
    </row>
    <row r="13" spans="1:363" x14ac:dyDescent="0.25">
      <c r="A13" s="148"/>
      <c r="B13" s="36" t="s">
        <v>91</v>
      </c>
      <c r="C13" s="37">
        <v>71</v>
      </c>
      <c r="D13" s="37">
        <v>30.07</v>
      </c>
      <c r="E13" s="37">
        <f>44.4</f>
        <v>44.4</v>
      </c>
      <c r="F13" s="37">
        <v>117.92</v>
      </c>
      <c r="G13" s="37"/>
      <c r="H13" s="37"/>
      <c r="I13" s="37">
        <f>44</f>
        <v>44</v>
      </c>
      <c r="J13" s="37">
        <v>46.26</v>
      </c>
      <c r="K13" s="37"/>
      <c r="L13" s="37"/>
      <c r="M13" s="37">
        <v>18</v>
      </c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>
        <v>15.67</v>
      </c>
      <c r="Z13" s="37"/>
      <c r="AA13" s="37"/>
      <c r="AB13" s="37">
        <v>12</v>
      </c>
      <c r="AC13" s="37"/>
      <c r="AD13" s="37"/>
      <c r="AE13" s="37">
        <v>22</v>
      </c>
      <c r="AF13" s="37"/>
      <c r="AG13" s="37">
        <f>25+25</f>
        <v>50</v>
      </c>
      <c r="AH13" s="37">
        <v>34</v>
      </c>
      <c r="AI13" s="37">
        <f>6+53.82</f>
        <v>59.82</v>
      </c>
      <c r="AJ13" s="37">
        <v>47.96</v>
      </c>
      <c r="AK13" s="37"/>
      <c r="AL13" s="37"/>
      <c r="AM13" s="37"/>
      <c r="AN13" s="37">
        <v>45.3</v>
      </c>
      <c r="AO13" s="37"/>
      <c r="AP13" s="37"/>
      <c r="AQ13" s="37"/>
      <c r="AR13" s="37"/>
      <c r="AS13" s="37"/>
      <c r="AT13" s="37"/>
      <c r="AU13" s="37"/>
      <c r="AV13" s="37"/>
      <c r="AW13" s="37">
        <f>250+20.5+8.5</f>
        <v>279</v>
      </c>
      <c r="AX13" s="37">
        <v>45.78</v>
      </c>
      <c r="AY13" s="37">
        <v>9</v>
      </c>
      <c r="AZ13" s="37"/>
      <c r="BA13" s="37"/>
      <c r="BB13" s="37">
        <v>32.9</v>
      </c>
      <c r="BC13" s="37">
        <v>50</v>
      </c>
      <c r="BD13" s="37"/>
      <c r="BE13" s="37"/>
      <c r="BF13" s="37"/>
      <c r="BG13" s="37">
        <f>65+50</f>
        <v>115</v>
      </c>
      <c r="BH13" s="37">
        <v>75.239999999999995</v>
      </c>
      <c r="BI13" s="37"/>
      <c r="BJ13" s="37"/>
      <c r="BK13" s="37"/>
      <c r="BL13" s="37"/>
      <c r="BM13" s="37"/>
      <c r="BN13" s="37"/>
      <c r="BO13" s="37">
        <v>62.04</v>
      </c>
      <c r="BP13" s="37"/>
      <c r="BQ13" s="37">
        <f>33.29+13.99+24.83-50</f>
        <v>22.11</v>
      </c>
      <c r="BR13" s="37">
        <v>10</v>
      </c>
      <c r="BS13" s="37">
        <f>109.39+22.48+20</f>
        <v>151.87</v>
      </c>
      <c r="BT13" s="37"/>
      <c r="BU13" s="37">
        <v>147.4</v>
      </c>
      <c r="BV13" s="37"/>
      <c r="BW13" s="37"/>
      <c r="BX13" s="37"/>
      <c r="BY13" s="37">
        <v>319.43</v>
      </c>
      <c r="BZ13" s="37"/>
      <c r="CA13" s="37"/>
      <c r="CB13" s="37"/>
      <c r="CC13" s="37"/>
      <c r="CD13" s="37"/>
      <c r="CE13" s="37">
        <v>118.22</v>
      </c>
      <c r="CF13" s="37">
        <v>40.700000000000003</v>
      </c>
      <c r="CG13" s="37"/>
      <c r="CH13" s="37"/>
      <c r="CI13" s="37">
        <v>9.9</v>
      </c>
      <c r="CJ13" s="37"/>
      <c r="CK13" s="37"/>
      <c r="CL13" s="37"/>
      <c r="CM13" s="37"/>
      <c r="CN13" s="37"/>
      <c r="CO13" s="37">
        <v>138.16</v>
      </c>
      <c r="CP13" s="37"/>
      <c r="CQ13" s="37"/>
      <c r="CR13" s="37">
        <f>40.4+20.2+6.7+20+46.82</f>
        <v>134.12</v>
      </c>
      <c r="CS13" s="37">
        <f>80.2+12.5+37+47.19+49.56+(396+12.52+41.69+29.9+7.75+8.05+9.19+6.9+51+8.43+5.7+5.44+8.17)+10</f>
        <v>827.19</v>
      </c>
      <c r="CT13" s="37"/>
      <c r="CU13" s="37"/>
      <c r="CV13" s="37"/>
      <c r="CW13" s="37"/>
      <c r="CX13" s="37">
        <f>97.7+50.33</f>
        <v>148.03</v>
      </c>
      <c r="CY13" s="37">
        <f>(25)</f>
        <v>25</v>
      </c>
      <c r="CZ13" s="37">
        <f>(100)</f>
        <v>100</v>
      </c>
      <c r="DA13" s="37"/>
      <c r="DB13" s="37"/>
      <c r="DC13" s="37">
        <f>(50.1+88+15.25+102.85+135.5+12.5+15+71.9)</f>
        <v>491.1</v>
      </c>
      <c r="DD13" s="37"/>
      <c r="DE13" s="37"/>
      <c r="DF13" s="37">
        <v>3.9</v>
      </c>
      <c r="DG13" s="37"/>
      <c r="DH13" s="37">
        <f>40.43+12.9+63.64</f>
        <v>116.97</v>
      </c>
      <c r="DI13" s="37"/>
      <c r="DJ13" s="37"/>
      <c r="DK13" s="37"/>
      <c r="DL13" s="37"/>
      <c r="DM13" s="37">
        <f>50.38+180</f>
        <v>230.38</v>
      </c>
      <c r="DN13" s="37"/>
      <c r="DO13" s="37"/>
      <c r="DP13" s="37">
        <v>50</v>
      </c>
      <c r="DQ13" s="37"/>
      <c r="DR13" s="37">
        <f>103+78.63+43.45+20+66.82</f>
        <v>311.89999999999998</v>
      </c>
      <c r="DS13" s="37"/>
      <c r="DT13" s="37"/>
      <c r="DU13" s="37"/>
      <c r="DV13" s="37"/>
      <c r="DW13" s="37">
        <f>45.57+61.55+10.45+(41.1*6-1.82)+48+5.9+170.94</f>
        <v>587.19000000000005</v>
      </c>
      <c r="DX13" s="37"/>
      <c r="DY13" s="37"/>
      <c r="DZ13" s="37"/>
      <c r="EA13" s="37"/>
      <c r="EB13" s="38"/>
      <c r="EC13" s="37"/>
      <c r="ED13" s="37"/>
      <c r="EE13" s="37"/>
      <c r="EF13" s="37"/>
      <c r="EG13" s="37">
        <f>22.03+49.91</f>
        <v>71.94</v>
      </c>
      <c r="EH13" s="39"/>
      <c r="EI13" s="37">
        <v>12.99</v>
      </c>
      <c r="EJ13" s="37"/>
      <c r="EK13" s="37">
        <v>9.43</v>
      </c>
      <c r="EL13" s="37">
        <v>297.29999999999995</v>
      </c>
      <c r="EM13" s="37"/>
      <c r="EN13" s="37"/>
      <c r="EO13" s="37"/>
      <c r="EP13" s="37"/>
      <c r="EQ13" s="37">
        <v>27.9</v>
      </c>
      <c r="ER13" s="37"/>
      <c r="ES13" s="37"/>
      <c r="ET13" s="37"/>
      <c r="EU13" s="37"/>
      <c r="EV13" s="37">
        <v>16.89</v>
      </c>
      <c r="EW13" s="37"/>
      <c r="EX13" s="37"/>
      <c r="EY13" s="37"/>
      <c r="EZ13" s="37"/>
      <c r="FA13" s="37"/>
      <c r="FB13" s="37"/>
      <c r="FC13" s="37"/>
      <c r="FD13" s="37"/>
      <c r="FE13" s="37"/>
      <c r="FF13" s="37">
        <v>10.8</v>
      </c>
      <c r="FG13" s="37"/>
      <c r="FH13" s="37"/>
      <c r="FI13" s="37"/>
      <c r="FJ13" s="37"/>
      <c r="FK13" s="37"/>
      <c r="FL13" s="37"/>
      <c r="FM13" s="37"/>
      <c r="FN13" s="37"/>
      <c r="FO13" s="37"/>
      <c r="FP13" s="37">
        <v>93.84</v>
      </c>
      <c r="FQ13" s="37"/>
      <c r="FR13" s="37"/>
      <c r="FS13" s="37"/>
      <c r="FT13" s="37"/>
      <c r="FU13" s="37">
        <f>13.98+97.9+18+12.9</f>
        <v>142.78</v>
      </c>
      <c r="FV13" s="37">
        <f>15+(42+20.11)</f>
        <v>77.11</v>
      </c>
      <c r="FW13" s="37"/>
      <c r="FX13" s="37">
        <v>240</v>
      </c>
      <c r="FY13" s="37">
        <f>16.75+77+39.9+25.48+15</f>
        <v>174.13</v>
      </c>
      <c r="FZ13" s="37"/>
      <c r="GA13" s="37">
        <v>217.9</v>
      </c>
      <c r="GB13" s="37"/>
      <c r="GC13" s="37">
        <f>7+18.98+2+15</f>
        <v>42.980000000000004</v>
      </c>
      <c r="GD13" s="37"/>
      <c r="GE13" s="37">
        <f>14+74.97+48+50+50+28.08+20.9</f>
        <v>285.95</v>
      </c>
      <c r="GF13" s="37"/>
      <c r="GG13" s="37"/>
      <c r="GH13" s="37">
        <f>185.53+13.5</f>
        <v>199.03</v>
      </c>
      <c r="GI13" s="37"/>
      <c r="GJ13" s="37">
        <v>128.96</v>
      </c>
      <c r="GK13" s="37"/>
      <c r="GL13" s="37"/>
      <c r="GM13" s="37">
        <v>15.9</v>
      </c>
      <c r="GN13" s="37"/>
      <c r="GO13" s="37">
        <f>34.9+61.45</f>
        <v>96.35</v>
      </c>
      <c r="GP13" s="37"/>
      <c r="GQ13" s="37">
        <v>19</v>
      </c>
      <c r="GR13" s="37">
        <f>150+22.4</f>
        <v>172.4</v>
      </c>
      <c r="GS13" s="37"/>
      <c r="GT13" s="37">
        <v>237.6</v>
      </c>
      <c r="GU13" s="37"/>
      <c r="GV13" s="37"/>
      <c r="GW13" s="37"/>
      <c r="GX13" s="37"/>
      <c r="GY13" s="37">
        <v>71.290000000000006</v>
      </c>
      <c r="GZ13" s="37"/>
      <c r="HA13" s="37"/>
      <c r="HB13" s="37"/>
      <c r="HC13" s="37"/>
      <c r="HD13" s="37">
        <f>39.9</f>
        <v>39.9</v>
      </c>
      <c r="HE13" s="37"/>
      <c r="HF13" s="37"/>
      <c r="HG13" s="37"/>
      <c r="HH13" s="37"/>
      <c r="HI13" s="37">
        <v>60</v>
      </c>
      <c r="HJ13" s="37"/>
      <c r="HK13" s="37"/>
      <c r="HL13" s="37"/>
      <c r="HM13" s="37"/>
      <c r="HN13" s="37">
        <v>76.010000000000005</v>
      </c>
      <c r="HO13" s="37"/>
      <c r="HP13" s="37"/>
      <c r="HQ13" s="37">
        <v>217.69</v>
      </c>
      <c r="HR13" s="37">
        <v>18.18</v>
      </c>
      <c r="HS13" s="37"/>
      <c r="HT13" s="37">
        <f>135.98+4</f>
        <v>139.97999999999999</v>
      </c>
      <c r="HU13" s="37"/>
      <c r="HV13" s="37">
        <v>188.88</v>
      </c>
      <c r="HW13" s="37">
        <v>73.900000000000006</v>
      </c>
      <c r="HX13" s="37">
        <f>106.3+124.39+39.99+68</f>
        <v>338.68</v>
      </c>
      <c r="HY13" s="37">
        <f>46+32.3</f>
        <v>78.3</v>
      </c>
      <c r="HZ13" s="37"/>
      <c r="IA13" s="37"/>
      <c r="IB13" s="37">
        <v>119.29</v>
      </c>
      <c r="IC13" s="37"/>
      <c r="ID13" s="37"/>
      <c r="IE13" s="37">
        <f>103.49+48.99+82</f>
        <v>234.48</v>
      </c>
      <c r="IF13" s="37">
        <f>84.5</f>
        <v>84.5</v>
      </c>
      <c r="IG13" s="37"/>
      <c r="IH13" s="37"/>
      <c r="II13" s="37"/>
      <c r="IJ13" s="37"/>
      <c r="IK13" s="37">
        <v>19</v>
      </c>
      <c r="IL13" s="37">
        <v>10.9</v>
      </c>
      <c r="IM13" s="37">
        <f>68+40.99+55.49+44.99+50.19+46.89</f>
        <v>306.55</v>
      </c>
      <c r="IN13" s="37"/>
      <c r="IO13" s="37"/>
      <c r="IP13" s="37"/>
      <c r="IQ13" s="37">
        <v>19</v>
      </c>
      <c r="IR13" s="37">
        <f>59.49+84.48</f>
        <v>143.97</v>
      </c>
      <c r="IS13" s="37"/>
      <c r="IT13" s="37"/>
      <c r="IU13" s="37"/>
      <c r="IV13" s="37"/>
      <c r="IW13" s="37">
        <f>154.34+233.41+12+62+49.44+77+91.75+39.19</f>
        <v>719.13000000000011</v>
      </c>
      <c r="IX13" s="37"/>
      <c r="IY13" s="37"/>
      <c r="IZ13" s="37"/>
      <c r="JA13" s="37"/>
      <c r="JB13" s="37">
        <f>109.89+74.99+250+26+48.99</f>
        <v>509.87</v>
      </c>
      <c r="JC13" s="37"/>
      <c r="JD13" s="37"/>
      <c r="JE13" s="37">
        <f>63.89+(168.13-80)+189.48</f>
        <v>341.5</v>
      </c>
      <c r="JF13" s="37">
        <f>145.64+39.9+8+51.49</f>
        <v>245.03</v>
      </c>
      <c r="JG13" s="37">
        <f>33.99+25.88+155.34+32.99+124.49</f>
        <v>372.69</v>
      </c>
      <c r="JH13" s="37">
        <f>114.12+20+83.01</f>
        <v>217.13</v>
      </c>
      <c r="JI13" s="37">
        <v>25.8</v>
      </c>
      <c r="JJ13" s="37"/>
      <c r="JK13" s="37">
        <f>94.99+74.02+44.98</f>
        <v>213.98999999999998</v>
      </c>
      <c r="JL13" s="37">
        <f>54.97+39.9+58.9+12+(16.5+13.9+20+12)</f>
        <v>228.17000000000002</v>
      </c>
      <c r="JM13" s="37">
        <f>200+28.98+84.9</f>
        <v>313.88</v>
      </c>
      <c r="JN13" s="37"/>
      <c r="JO13" s="37">
        <v>55.99</v>
      </c>
      <c r="JP13" s="37"/>
      <c r="JQ13" s="37">
        <f>39.9+100+23.99+39.19+(84.9+47.99)+142</f>
        <v>477.97</v>
      </c>
      <c r="JR13" s="37"/>
      <c r="JS13" s="37">
        <v>73</v>
      </c>
      <c r="JT13" s="37">
        <f>134.7-46-48.5</f>
        <v>40.199999999999989</v>
      </c>
      <c r="JU13" s="37">
        <f>98.5-20+69.93</f>
        <v>148.43</v>
      </c>
      <c r="JV13" s="37">
        <f>39.9+147.89+13+74.79+152.49+79+38.7+13</f>
        <v>558.77</v>
      </c>
      <c r="JW13" s="37">
        <v>73.3</v>
      </c>
      <c r="JX13" s="37"/>
      <c r="JY13" s="37"/>
      <c r="JZ13" s="37"/>
      <c r="KA13" s="37">
        <f>309.12+299.39+13</f>
        <v>621.51</v>
      </c>
      <c r="KB13" s="37"/>
      <c r="KC13" s="37"/>
      <c r="KD13" s="37"/>
      <c r="KE13" s="37">
        <f>38.76+20+13</f>
        <v>71.759999999999991</v>
      </c>
      <c r="KF13" s="37">
        <f>147.48+53.95+147.48-50-6+122.43+(13+6.98+361.26)+46.37</f>
        <v>842.94999999999993</v>
      </c>
      <c r="KG13" s="37">
        <v>170</v>
      </c>
      <c r="KH13" s="37"/>
      <c r="KI13" s="37"/>
      <c r="KJ13" s="37"/>
      <c r="KK13" s="37">
        <f>356.39+57.09+26+35.4+125+(12+13+13)+18+28.38+75.99-19</f>
        <v>741.25</v>
      </c>
      <c r="KL13" s="37">
        <v>31.5</v>
      </c>
      <c r="KM13" s="37">
        <v>99.66</v>
      </c>
      <c r="KN13" s="37"/>
      <c r="KO13" s="37">
        <f>15.5+6+343.86+48.4+17+37</f>
        <v>467.76</v>
      </c>
      <c r="KP13" s="37">
        <f>90+20+25.8+(192.62+85.63-47.47-100)+104.6+13+27.8+71.9</f>
        <v>483.88000000000011</v>
      </c>
      <c r="KQ13" s="37">
        <v>13</v>
      </c>
      <c r="KR13" s="37">
        <f>14+21.25+36.95</f>
        <v>72.2</v>
      </c>
      <c r="KS13" s="37">
        <v>19.8</v>
      </c>
      <c r="KT13" s="37"/>
      <c r="KU13" s="37">
        <f>14+25.8+51+28.8+100+20+10+6+332.31+155+14</f>
        <v>756.91</v>
      </c>
      <c r="KV13" s="37">
        <f>25.68+114+66.99</f>
        <v>206.67000000000002</v>
      </c>
      <c r="KW13" s="37">
        <v>69.900000000000006</v>
      </c>
      <c r="KX13" s="37">
        <f>18+26</f>
        <v>44</v>
      </c>
      <c r="KY13" s="37">
        <f>11.9+11.35</f>
        <v>23.25</v>
      </c>
      <c r="KZ13" s="37"/>
      <c r="LA13" s="37">
        <f>27.88+15.8+114</f>
        <v>157.68</v>
      </c>
      <c r="LB13" s="37">
        <f>146.66</f>
        <v>146.66</v>
      </c>
      <c r="LC13" s="37"/>
      <c r="LD13" s="37"/>
      <c r="LE13" s="37"/>
      <c r="LF13" s="37"/>
      <c r="LG13" s="37"/>
      <c r="LH13" s="37">
        <f>15+132</f>
        <v>147</v>
      </c>
      <c r="LI13" s="37">
        <f>14+23.54+11.9+34</f>
        <v>83.44</v>
      </c>
      <c r="LJ13" s="37">
        <v>16.89</v>
      </c>
      <c r="LK13" s="37">
        <v>52.98</v>
      </c>
      <c r="LL13" s="37">
        <f>19.99+14.95+29.85</f>
        <v>64.789999999999992</v>
      </c>
      <c r="LM13" s="37"/>
      <c r="LN13" s="37">
        <f>47.98+16.4+101.53+16.07</f>
        <v>181.98</v>
      </c>
      <c r="LO13" s="37">
        <f>38.7+(92.45+22.5+26+16.5+16)</f>
        <v>212.14999999999998</v>
      </c>
      <c r="LP13" s="37">
        <v>81.400000000000006</v>
      </c>
      <c r="LQ13" s="37"/>
      <c r="LR13" s="37"/>
      <c r="LS13" s="37">
        <f>126.98+53.79+14</f>
        <v>194.77</v>
      </c>
      <c r="LT13" s="37">
        <f>63.89+35.9+19.8</f>
        <v>119.58999999999999</v>
      </c>
      <c r="LU13" s="37">
        <v>40</v>
      </c>
      <c r="LV13" s="37">
        <f>4+81.26</f>
        <v>85.26</v>
      </c>
      <c r="LW13" s="37"/>
      <c r="LX13" s="37">
        <f>186+18.5</f>
        <v>204.5</v>
      </c>
      <c r="LY13" s="37">
        <f>6+118+45.7+88.32</f>
        <v>258.02</v>
      </c>
      <c r="LZ13" s="37"/>
      <c r="MA13" s="37"/>
      <c r="MB13" s="37">
        <v>248.64</v>
      </c>
      <c r="MC13" s="37">
        <v>29.12</v>
      </c>
      <c r="MD13" s="37">
        <f>219.07+56.18+68.99</f>
        <v>344.24</v>
      </c>
      <c r="ME13" s="37"/>
      <c r="MF13" s="37">
        <v>30.97</v>
      </c>
      <c r="MG13" s="37">
        <v>110</v>
      </c>
      <c r="MH13" s="37">
        <f>74.6+13.4</f>
        <v>88</v>
      </c>
      <c r="MI13" s="37"/>
      <c r="MJ13" s="37"/>
      <c r="MK13" s="37">
        <v>37.18</v>
      </c>
      <c r="ML13" s="37"/>
      <c r="MM13" s="37"/>
      <c r="MN13" s="37"/>
      <c r="MO13" s="37"/>
      <c r="MP13" s="37"/>
      <c r="MQ13" s="37"/>
      <c r="MR13" s="37"/>
      <c r="MS13" s="37">
        <f>314.14+69.9+108.89</f>
        <v>492.92999999999995</v>
      </c>
      <c r="MT13" s="37"/>
      <c r="MU13" s="37"/>
      <c r="MV13" s="37"/>
      <c r="MW13" s="37"/>
      <c r="MX13" s="37">
        <f>114.67+195.94</f>
        <v>310.61</v>
      </c>
    </row>
    <row r="14" spans="1:363" x14ac:dyDescent="0.25">
      <c r="A14" s="148"/>
      <c r="B14" s="36" t="s">
        <v>92</v>
      </c>
      <c r="C14" s="37"/>
      <c r="D14" s="37"/>
      <c r="E14" s="37"/>
      <c r="F14" s="37">
        <v>200</v>
      </c>
      <c r="G14" s="37"/>
      <c r="H14" s="37"/>
      <c r="I14" s="37"/>
      <c r="J14" s="37"/>
      <c r="K14" s="37">
        <f>202+2125.26</f>
        <v>2327.2600000000002</v>
      </c>
      <c r="L14" s="37"/>
      <c r="M14" s="37"/>
      <c r="N14" s="37"/>
      <c r="O14" s="37"/>
      <c r="P14" s="37">
        <v>202</v>
      </c>
      <c r="Q14" s="37"/>
      <c r="R14" s="37"/>
      <c r="S14" s="37"/>
      <c r="T14" s="37"/>
      <c r="U14" s="37">
        <f>202+110</f>
        <v>312</v>
      </c>
      <c r="V14" s="37"/>
      <c r="W14" s="37"/>
      <c r="X14" s="37"/>
      <c r="Y14" s="37"/>
      <c r="Z14" s="37">
        <v>202</v>
      </c>
      <c r="AA14" s="37"/>
      <c r="AB14" s="37"/>
      <c r="AC14" s="37"/>
      <c r="AD14" s="37"/>
      <c r="AE14" s="37">
        <v>202</v>
      </c>
      <c r="AF14" s="37"/>
      <c r="AG14" s="37"/>
      <c r="AH14" s="37"/>
      <c r="AI14" s="37"/>
      <c r="AJ14" s="37">
        <v>202</v>
      </c>
      <c r="AK14" s="37"/>
      <c r="AL14" s="37">
        <v>457.02</v>
      </c>
      <c r="AM14" s="37"/>
      <c r="AN14" s="37">
        <f>1386.18+139.74</f>
        <v>1525.92</v>
      </c>
      <c r="AO14" s="37">
        <v>202</v>
      </c>
      <c r="AP14" s="37"/>
      <c r="AQ14" s="37"/>
      <c r="AR14" s="37"/>
      <c r="AS14" s="37"/>
      <c r="AT14" s="37">
        <f>202+125.74</f>
        <v>327.74</v>
      </c>
      <c r="AU14" s="37"/>
      <c r="AV14" s="37"/>
      <c r="AW14" s="37"/>
      <c r="AX14" s="37"/>
      <c r="AY14" s="37">
        <f>202+125.79</f>
        <v>327.79</v>
      </c>
      <c r="AZ14" s="37"/>
      <c r="BA14" s="37"/>
      <c r="BB14" s="37"/>
      <c r="BC14" s="37"/>
      <c r="BD14" s="37">
        <v>202</v>
      </c>
      <c r="BE14" s="37"/>
      <c r="BF14" s="37"/>
      <c r="BG14" s="37"/>
      <c r="BH14" s="37"/>
      <c r="BI14" s="37">
        <v>202</v>
      </c>
      <c r="BJ14" s="37">
        <f>160+220+115.52</f>
        <v>495.52</v>
      </c>
      <c r="BK14" s="37"/>
      <c r="BL14" s="37">
        <v>190</v>
      </c>
      <c r="BM14" s="37">
        <f>244.28+2267.74</f>
        <v>2512.02</v>
      </c>
      <c r="BN14" s="37">
        <v>202</v>
      </c>
      <c r="BO14" s="37">
        <v>76.239999999999995</v>
      </c>
      <c r="BP14" s="37"/>
      <c r="BQ14" s="37"/>
      <c r="BR14" s="37"/>
      <c r="BS14" s="37">
        <v>202</v>
      </c>
      <c r="BT14" s="37">
        <f>76.24+45.5+98.87-75</f>
        <v>145.61000000000001</v>
      </c>
      <c r="BU14" s="37"/>
      <c r="BV14" s="37"/>
      <c r="BW14" s="37"/>
      <c r="BX14" s="37">
        <v>202</v>
      </c>
      <c r="BY14" s="37">
        <f>(420.13+115.2+30-600)+76.24+71.32</f>
        <v>112.89000000000003</v>
      </c>
      <c r="BZ14" s="37">
        <v>100</v>
      </c>
      <c r="CA14" s="37"/>
      <c r="CB14" s="37"/>
      <c r="CC14" s="37">
        <v>202</v>
      </c>
      <c r="CD14" s="37">
        <f>80.21+71.31</f>
        <v>151.51999999999998</v>
      </c>
      <c r="CE14" s="37"/>
      <c r="CF14" s="37"/>
      <c r="CG14" s="37"/>
      <c r="CH14" s="37"/>
      <c r="CI14" s="37">
        <f>49.28+80.19+71.31+47.27+45.5</f>
        <v>293.55</v>
      </c>
      <c r="CJ14" s="37"/>
      <c r="CK14" s="37"/>
      <c r="CL14" s="37"/>
      <c r="CM14" s="37"/>
      <c r="CN14" s="37">
        <f>80.19+71.2</f>
        <v>151.38999999999999</v>
      </c>
      <c r="CO14" s="37"/>
      <c r="CP14" s="37"/>
      <c r="CQ14" s="37"/>
      <c r="CR14" s="37"/>
      <c r="CS14" s="37">
        <f>71.2+66</f>
        <v>137.19999999999999</v>
      </c>
      <c r="CT14" s="37"/>
      <c r="CU14" s="37"/>
      <c r="CV14" s="37"/>
      <c r="CW14" s="37"/>
      <c r="CX14" s="37">
        <f>71.2+66</f>
        <v>137.19999999999999</v>
      </c>
      <c r="CY14" s="37"/>
      <c r="CZ14" s="37"/>
      <c r="DA14" s="37"/>
      <c r="DB14" s="37"/>
      <c r="DC14" s="37">
        <f>66+275+273.98-600</f>
        <v>14.980000000000018</v>
      </c>
      <c r="DD14" s="37"/>
      <c r="DE14" s="37"/>
      <c r="DF14" s="37"/>
      <c r="DG14" s="37"/>
      <c r="DH14" s="37">
        <f>66+(309.8/2-160)+58.65</f>
        <v>119.55000000000001</v>
      </c>
      <c r="DI14" s="37"/>
      <c r="DJ14" s="37"/>
      <c r="DK14" s="37"/>
      <c r="DL14" s="37"/>
      <c r="DM14" s="37">
        <f>309.8/2+(58.64*5-1.85)+100+147.23</f>
        <v>693.48</v>
      </c>
      <c r="DN14" s="37"/>
      <c r="DO14" s="37"/>
      <c r="DP14" s="37"/>
      <c r="DQ14" s="37"/>
      <c r="DR14" s="37"/>
      <c r="DS14" s="37"/>
      <c r="DT14" s="37"/>
      <c r="DU14" s="37"/>
      <c r="DV14" s="37"/>
      <c r="DW14" s="37">
        <f>(146.32-145)</f>
        <v>1.3199999999999932</v>
      </c>
      <c r="DX14" s="37"/>
      <c r="DY14" s="37"/>
      <c r="DZ14" s="37"/>
      <c r="EA14" s="37"/>
      <c r="EB14" s="38">
        <f>146.31+65</f>
        <v>211.31</v>
      </c>
      <c r="EC14" s="37"/>
      <c r="ED14" s="37"/>
      <c r="EE14" s="37"/>
      <c r="EF14" s="37"/>
      <c r="EG14" s="37">
        <f>64.99+500</f>
        <v>564.99</v>
      </c>
      <c r="EH14" s="39"/>
      <c r="EI14" s="37"/>
      <c r="EJ14" s="37"/>
      <c r="EK14" s="37"/>
      <c r="EL14" s="37">
        <v>500</v>
      </c>
      <c r="EM14" s="37"/>
      <c r="EN14" s="37"/>
      <c r="EO14" s="37"/>
      <c r="EP14" s="37"/>
      <c r="EQ14" s="37">
        <f>500+24</f>
        <v>524</v>
      </c>
      <c r="ER14" s="37"/>
      <c r="ES14" s="37"/>
      <c r="ET14" s="37"/>
      <c r="EU14" s="37"/>
      <c r="EV14" s="37">
        <v>500</v>
      </c>
      <c r="EW14" s="37"/>
      <c r="EX14" s="37"/>
      <c r="EY14" s="37"/>
      <c r="EZ14" s="37"/>
      <c r="FA14" s="37">
        <f>500+24</f>
        <v>524</v>
      </c>
      <c r="FB14" s="37"/>
      <c r="FC14" s="37">
        <v>400</v>
      </c>
      <c r="FD14" s="37"/>
      <c r="FE14" s="37"/>
      <c r="FF14" s="37">
        <f>500+74.97+82.36+(56.67+56.66*2-0.22)+24</f>
        <v>851.1</v>
      </c>
      <c r="FG14" s="37"/>
      <c r="FH14" s="37"/>
      <c r="FI14" s="37"/>
      <c r="FJ14" s="37"/>
      <c r="FK14" s="37">
        <f>500+24</f>
        <v>524</v>
      </c>
      <c r="FL14" s="37"/>
      <c r="FM14" s="37"/>
      <c r="FN14" s="37"/>
      <c r="FO14" s="37"/>
      <c r="FP14" s="37">
        <f>500+24</f>
        <v>524</v>
      </c>
      <c r="FQ14" s="37"/>
      <c r="FR14" s="37"/>
      <c r="FS14" s="37">
        <f>750+400</f>
        <v>1150</v>
      </c>
      <c r="FT14" s="37"/>
      <c r="FU14" s="37">
        <f>500+24</f>
        <v>524</v>
      </c>
      <c r="FV14" s="37"/>
      <c r="FW14" s="37"/>
      <c r="FX14" s="37"/>
      <c r="FY14" s="37"/>
      <c r="FZ14" s="37">
        <f>500+24</f>
        <v>524</v>
      </c>
      <c r="GA14" s="37"/>
      <c r="GB14" s="37"/>
      <c r="GC14" s="37"/>
      <c r="GD14" s="37"/>
      <c r="GE14" s="37">
        <v>24</v>
      </c>
      <c r="GF14" s="37"/>
      <c r="GG14" s="37">
        <v>600</v>
      </c>
      <c r="GH14" s="37"/>
      <c r="GI14" s="37"/>
      <c r="GJ14" s="37">
        <v>24</v>
      </c>
      <c r="GK14" s="37">
        <v>300</v>
      </c>
      <c r="GL14" s="37">
        <v>489.26</v>
      </c>
      <c r="GM14" s="37"/>
      <c r="GN14" s="37"/>
      <c r="GO14" s="37">
        <v>28</v>
      </c>
      <c r="GP14" s="37"/>
      <c r="GQ14" s="37"/>
      <c r="GR14" s="37"/>
      <c r="GS14" s="37"/>
      <c r="GT14" s="37">
        <f>28+147</f>
        <v>175</v>
      </c>
      <c r="GU14" s="37"/>
      <c r="GV14" s="37"/>
      <c r="GW14" s="37"/>
      <c r="GX14" s="37"/>
      <c r="GY14" s="37">
        <f>28+131.5</f>
        <v>159.5</v>
      </c>
      <c r="GZ14" s="37">
        <f>4663.26+500</f>
        <v>5163.26</v>
      </c>
      <c r="HA14" s="37">
        <f>2000+10291.26*2+2718.61+1500</f>
        <v>26801.13</v>
      </c>
      <c r="HB14" s="37">
        <f>500+190+431.06+155.19+3324.8+(750*4+11+4000)+50+1000+300+2000+330.6+216+300</f>
        <v>15808.65</v>
      </c>
      <c r="HC14" s="37">
        <f>79.4+98.95+660.5+1000+140+1300+324.05+35.5+17.7+((1830.03+861.45+928.81+305.29)+(37.54*5+39.42+41.29+44.74+45.05)+(273.43*6+289.46+305.49+334.88+337.55))+1000+(10.5+5.75)+((1974.5+1903.07+770.69+4843.68))+500+808.29+101.87+25.17</f>
        <v>22791.359999999997</v>
      </c>
      <c r="HD14" s="37"/>
      <c r="HE14" s="37"/>
      <c r="HF14" s="37"/>
      <c r="HG14" s="37">
        <f>(18.5+9.7+35.7+68.8)+288.3+1500+500+150</f>
        <v>2571</v>
      </c>
      <c r="HH14" s="37"/>
      <c r="HI14" s="37"/>
      <c r="HJ14" s="37">
        <f>600+7+1000+250+100</f>
        <v>1957</v>
      </c>
      <c r="HK14" s="37">
        <f>62+940+1000+500+135</f>
        <v>2637</v>
      </c>
      <c r="HL14" s="37">
        <f>255+138+1000</f>
        <v>1393</v>
      </c>
      <c r="HM14" s="37"/>
      <c r="HN14" s="37">
        <f>36+180+100.18+386.94+176.55+119.94+248.27</f>
        <v>1247.8800000000001</v>
      </c>
      <c r="HO14" s="37"/>
      <c r="HP14" s="37">
        <f>325+1500+3000</f>
        <v>4825</v>
      </c>
      <c r="HQ14" s="37"/>
      <c r="HR14" s="37">
        <f>982.69+141.5+(25+34+58.5)+232+800</f>
        <v>2273.69</v>
      </c>
      <c r="HS14" s="37"/>
      <c r="HT14" s="37"/>
      <c r="HU14" s="37"/>
      <c r="HV14" s="37"/>
      <c r="HW14" s="37"/>
      <c r="HX14" s="37"/>
      <c r="HY14" s="37"/>
      <c r="HZ14" s="37"/>
      <c r="IA14" s="37"/>
      <c r="IB14" s="37"/>
      <c r="IC14" s="37"/>
      <c r="ID14" s="37">
        <f>600+65+74.5+50+187.06+2000+1914.1+140+295+1500+2000+75+100+210+500+37.8+380+1432+184.1+299+2500+315+2000+480+51.9+870</f>
        <v>18260.46</v>
      </c>
      <c r="IE14" s="37"/>
      <c r="IF14" s="37"/>
      <c r="IG14" s="37">
        <f>149.3+31+2000+((382.01+255.65+389.78+296.25+344.16+322.71+293.5+391.86+326.79+281.16+387.35+281.16+385.31+389.81+273.68+198.43+346.88+290.85+310.06+324.61))+179.87+340+3000+165</f>
        <v>12337.180000000002</v>
      </c>
      <c r="IH14" s="37"/>
      <c r="II14" s="37"/>
      <c r="IJ14" s="37"/>
      <c r="IK14" s="37"/>
      <c r="IL14" s="37"/>
      <c r="IM14" s="37">
        <f>36+39.9+155.61+36.48</f>
        <v>267.99</v>
      </c>
      <c r="IN14" s="37"/>
      <c r="IO14" s="37">
        <f>2000+89.5</f>
        <v>2089.5</v>
      </c>
      <c r="IP14" s="37"/>
      <c r="IQ14" s="37"/>
      <c r="IR14" s="37">
        <f>155.61+36+39.9+100</f>
        <v>331.51</v>
      </c>
      <c r="IS14" s="37">
        <f>652.31+450+2000</f>
        <v>3102.31</v>
      </c>
      <c r="IT14" s="37"/>
      <c r="IU14" s="37">
        <f>310+2000+322.5</f>
        <v>2632.5</v>
      </c>
      <c r="IV14" s="37">
        <f>64+367.5+2000+675</f>
        <v>3106.5</v>
      </c>
      <c r="IW14" s="37">
        <f>36+39.9+155.61</f>
        <v>231.51000000000002</v>
      </c>
      <c r="IX14" s="37">
        <f>450+2000+58.03+795.4+199+1230+347.5+2000</f>
        <v>7079.93</v>
      </c>
      <c r="IY14" s="37">
        <v>2000</v>
      </c>
      <c r="IZ14" s="37">
        <f>2000+20</f>
        <v>2020</v>
      </c>
      <c r="JA14" s="37">
        <v>2000</v>
      </c>
      <c r="JB14" s="37">
        <f>36+39.9+(155.61+155.61-1.12)+194.45+42.9+50.49+(44.62+44.58*11-20.62)+156.28+89.6+167.5</f>
        <v>1601.6</v>
      </c>
      <c r="JC14" s="37">
        <f>880.74+58.03+409.07+325+450+2000+44</f>
        <v>4166.84</v>
      </c>
      <c r="JD14" s="37"/>
      <c r="JE14" s="37"/>
      <c r="JF14" s="37"/>
      <c r="JG14" s="37">
        <f>36+39.9+1033.35+204.35</f>
        <v>1313.6</v>
      </c>
      <c r="JH14" s="37"/>
      <c r="JI14" s="37"/>
      <c r="JJ14" s="37"/>
      <c r="JK14" s="37">
        <f>65.6</f>
        <v>65.599999999999994</v>
      </c>
      <c r="JL14" s="37">
        <f>36+39.9+1033.33+275+63.8</f>
        <v>1448.03</v>
      </c>
      <c r="JM14" s="37">
        <f>450+2000+426.99+162.5+2000</f>
        <v>5039.49</v>
      </c>
      <c r="JN14" s="37">
        <f>837.88+2000+189.1</f>
        <v>3026.98</v>
      </c>
      <c r="JO14" s="37">
        <f>105+2000+126.5+58.03</f>
        <v>2289.5300000000002</v>
      </c>
      <c r="JP14" s="37">
        <f>185+160.86+199+2000</f>
        <v>2544.86</v>
      </c>
      <c r="JQ14" s="37">
        <f>1033.33+36+39.9+482.09</f>
        <v>1591.32</v>
      </c>
      <c r="JR14" s="37">
        <f>58.03+450+332.51+255+2000</f>
        <v>3095.54</v>
      </c>
      <c r="JS14" s="37">
        <v>2000</v>
      </c>
      <c r="JT14" s="37">
        <f>841+269.6+591.2+2000+29.05+1704.66</f>
        <v>5435.51</v>
      </c>
      <c r="JU14" s="37"/>
      <c r="JV14" s="37"/>
      <c r="JW14" s="37"/>
      <c r="JX14" s="37">
        <v>1000</v>
      </c>
      <c r="JY14" s="37">
        <v>1000</v>
      </c>
      <c r="JZ14" s="37">
        <v>500</v>
      </c>
      <c r="KA14" s="37"/>
      <c r="KB14" s="37">
        <f>322.42+500</f>
        <v>822.42000000000007</v>
      </c>
      <c r="KC14" s="37">
        <v>500</v>
      </c>
      <c r="KD14" s="37">
        <v>1000</v>
      </c>
      <c r="KE14" s="37">
        <v>1000</v>
      </c>
      <c r="KF14" s="37"/>
      <c r="KG14" s="37">
        <f>183.47+450+353.21+1000</f>
        <v>1986.68</v>
      </c>
      <c r="KH14" s="37">
        <v>1000</v>
      </c>
      <c r="KI14" s="37">
        <v>1000</v>
      </c>
      <c r="KJ14" s="37">
        <v>1000</v>
      </c>
      <c r="KK14" s="37">
        <f>36+39.9+(61.99+54+61+88.75+88.75)+318.16+50+141.33+12</f>
        <v>951.88</v>
      </c>
      <c r="KL14" s="37">
        <f>450+446.53+134.73+1000+46</f>
        <v>2077.2600000000002</v>
      </c>
      <c r="KM14" s="37"/>
      <c r="KN14" s="37"/>
      <c r="KO14" s="37"/>
      <c r="KP14" s="37"/>
      <c r="KQ14" s="37"/>
      <c r="KR14" s="37">
        <f>454.2+139.9+600</f>
        <v>1194.0999999999999</v>
      </c>
      <c r="KS14" s="37">
        <f>405.19</f>
        <v>405.19</v>
      </c>
      <c r="KT14" s="37"/>
      <c r="KU14" s="37">
        <f>36+39.9+14.9</f>
        <v>90.800000000000011</v>
      </c>
      <c r="KV14" s="37">
        <f>64.88+450</f>
        <v>514.88</v>
      </c>
      <c r="KW14" s="37"/>
      <c r="KX14" s="37"/>
      <c r="KY14" s="37"/>
      <c r="KZ14" s="37">
        <f>36+39.9+14.9+10.45</f>
        <v>101.25000000000001</v>
      </c>
      <c r="LA14" s="37">
        <f>64.88+450+513.84+3660</f>
        <v>4688.72</v>
      </c>
      <c r="LB14" s="37"/>
      <c r="LC14" s="37">
        <v>301.26</v>
      </c>
      <c r="LD14" s="37"/>
      <c r="LE14" s="37">
        <f>36+39.9+19.9</f>
        <v>95.800000000000011</v>
      </c>
      <c r="LF14" s="37">
        <f>64.88+882.56+529.71</f>
        <v>1477.15</v>
      </c>
      <c r="LG14" s="37"/>
      <c r="LH14" s="37"/>
      <c r="LI14" s="37">
        <v>216.31</v>
      </c>
      <c r="LJ14" s="37">
        <f>36+39.9+19.9+(316.25-315)</f>
        <v>97.050000000000011</v>
      </c>
      <c r="LK14" s="37">
        <f>472.32</f>
        <v>472.32</v>
      </c>
      <c r="LL14" s="37"/>
      <c r="LM14" s="37"/>
      <c r="LN14" s="37"/>
      <c r="LO14" s="37">
        <f>36+39.9+19.9+(316.25-315)+241.25</f>
        <v>338.3</v>
      </c>
      <c r="LP14" s="37">
        <f>64.88+204.95+360.15</f>
        <v>629.98</v>
      </c>
      <c r="LQ14" s="37"/>
      <c r="LR14" s="37">
        <v>87.39</v>
      </c>
      <c r="LS14" s="37"/>
      <c r="LT14" s="37">
        <f>36+19.9+(50+69.44+66.34)</f>
        <v>241.68</v>
      </c>
      <c r="LU14" s="37">
        <f>64.88+894.41+286.41+12668.63</f>
        <v>13914.33</v>
      </c>
      <c r="LV14" s="37">
        <f>99.9+859.82</f>
        <v>959.72</v>
      </c>
      <c r="LW14" s="37">
        <f>351.11-352</f>
        <v>-0.88999999999998636</v>
      </c>
      <c r="LX14" s="37"/>
      <c r="LY14" s="37">
        <f>36+19.9+(50+69.44+66.33)</f>
        <v>241.67</v>
      </c>
      <c r="LZ14" s="37"/>
      <c r="MA14" s="37"/>
      <c r="MB14" s="37"/>
      <c r="MC14" s="37"/>
      <c r="MD14" s="37">
        <f>36+19.9+(50+69.44+66.33)</f>
        <v>241.67</v>
      </c>
      <c r="ME14" s="37">
        <f>85.23+136.72+160+15+289.08+(943.9+678.14+201.05)</f>
        <v>2509.12</v>
      </c>
      <c r="MF14" s="37"/>
      <c r="MG14" s="37"/>
      <c r="MH14" s="37">
        <f>202.32+70+180+36</f>
        <v>488.32</v>
      </c>
      <c r="MI14" s="37">
        <f>36+130+37.9</f>
        <v>203.9</v>
      </c>
      <c r="MJ14" s="37">
        <f>85.23+342.85+943.9+678.14+201.05+(306.27+139.98)</f>
        <v>2697.42</v>
      </c>
      <c r="MK14" s="37"/>
      <c r="ML14" s="37"/>
      <c r="MM14" s="37"/>
      <c r="MN14" s="37">
        <f>36+130</f>
        <v>166</v>
      </c>
      <c r="MO14" s="37">
        <f>85.23+379.52+306.26+943.9+678.14+201.05</f>
        <v>2594.1</v>
      </c>
      <c r="MP14" s="37"/>
      <c r="MQ14" s="37"/>
      <c r="MR14" s="37"/>
      <c r="MS14" s="37">
        <f>36+130</f>
        <v>166</v>
      </c>
      <c r="MT14" s="37">
        <f>96.13+377.27+943.9</f>
        <v>1417.3</v>
      </c>
      <c r="MU14" s="37"/>
      <c r="MV14" s="37"/>
      <c r="MW14" s="37"/>
      <c r="MX14" s="37"/>
    </row>
    <row r="15" spans="1:363" x14ac:dyDescent="0.25">
      <c r="A15" s="148"/>
      <c r="B15" s="36" t="s">
        <v>93</v>
      </c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  <c r="Z15" s="37"/>
      <c r="AA15" s="37"/>
      <c r="AB15" s="37"/>
      <c r="AC15" s="37"/>
      <c r="AD15" s="37"/>
      <c r="AE15" s="37"/>
      <c r="AF15" s="37"/>
      <c r="AG15" s="37"/>
      <c r="AH15" s="37"/>
      <c r="AI15" s="37"/>
      <c r="AJ15" s="37"/>
      <c r="AK15" s="37"/>
      <c r="AL15" s="37"/>
      <c r="AM15" s="37"/>
      <c r="AN15" s="37"/>
      <c r="AO15" s="37"/>
      <c r="AP15" s="37"/>
      <c r="AQ15" s="37"/>
      <c r="AR15" s="37"/>
      <c r="AS15" s="37"/>
      <c r="AT15" s="37"/>
      <c r="AU15" s="37"/>
      <c r="AV15" s="37"/>
      <c r="AW15" s="37"/>
      <c r="AX15" s="37"/>
      <c r="AY15" s="37"/>
      <c r="AZ15" s="37"/>
      <c r="BA15" s="37"/>
      <c r="BB15" s="37"/>
      <c r="BC15" s="37"/>
      <c r="BD15" s="37"/>
      <c r="BE15" s="37"/>
      <c r="BF15" s="37"/>
      <c r="BG15" s="37"/>
      <c r="BH15" s="37"/>
      <c r="BI15" s="37"/>
      <c r="BJ15" s="37"/>
      <c r="BK15" s="37"/>
      <c r="BL15" s="37"/>
      <c r="BM15" s="37"/>
      <c r="BN15" s="37"/>
      <c r="BO15" s="37"/>
      <c r="BP15" s="37"/>
      <c r="BQ15" s="37"/>
      <c r="BR15" s="37"/>
      <c r="BS15" s="37"/>
      <c r="BT15" s="37"/>
      <c r="BU15" s="37"/>
      <c r="BV15" s="37"/>
      <c r="BW15" s="37"/>
      <c r="BX15" s="37"/>
      <c r="BY15" s="37"/>
      <c r="BZ15" s="37"/>
      <c r="CA15" s="37"/>
      <c r="CB15" s="37"/>
      <c r="CC15" s="37"/>
      <c r="CD15" s="37"/>
      <c r="CE15" s="37"/>
      <c r="CF15" s="37"/>
      <c r="CG15" s="37"/>
      <c r="CH15" s="37"/>
      <c r="CI15" s="37"/>
      <c r="CJ15" s="37"/>
      <c r="CK15" s="37"/>
      <c r="CL15" s="37"/>
      <c r="CM15" s="37"/>
      <c r="CN15" s="37"/>
      <c r="CO15" s="37"/>
      <c r="CP15" s="37"/>
      <c r="CQ15" s="37"/>
      <c r="CR15" s="37"/>
      <c r="CS15" s="37"/>
      <c r="CT15" s="37"/>
      <c r="CU15" s="37"/>
      <c r="CV15" s="37"/>
      <c r="CW15" s="37"/>
      <c r="CX15" s="37"/>
      <c r="CY15" s="37"/>
      <c r="CZ15" s="37"/>
      <c r="DA15" s="37"/>
      <c r="DB15" s="37"/>
      <c r="DC15" s="37"/>
      <c r="DD15" s="37"/>
      <c r="DE15" s="37"/>
      <c r="DF15" s="37"/>
      <c r="DG15" s="37"/>
      <c r="DH15" s="37"/>
      <c r="DI15" s="37"/>
      <c r="DJ15" s="37"/>
      <c r="DK15" s="37"/>
      <c r="DL15" s="37"/>
      <c r="DM15" s="37"/>
      <c r="DN15" s="37"/>
      <c r="DO15" s="37"/>
      <c r="DP15" s="37"/>
      <c r="DQ15" s="37"/>
      <c r="DR15" s="37"/>
      <c r="DS15" s="37"/>
      <c r="DT15" s="37"/>
      <c r="DU15" s="37"/>
      <c r="DV15" s="37"/>
      <c r="DW15" s="37"/>
      <c r="DX15" s="37"/>
      <c r="DY15" s="37"/>
      <c r="DZ15" s="37"/>
      <c r="EA15" s="37"/>
      <c r="EB15" s="38"/>
      <c r="EC15" s="37"/>
      <c r="ED15" s="37"/>
      <c r="EE15" s="37"/>
      <c r="EF15" s="37"/>
      <c r="EG15" s="37"/>
      <c r="EH15" s="39"/>
      <c r="EI15" s="37"/>
      <c r="EJ15" s="37"/>
      <c r="EK15" s="37"/>
      <c r="EL15" s="37"/>
      <c r="EM15" s="37"/>
      <c r="EN15" s="37"/>
      <c r="EO15" s="37"/>
      <c r="EP15" s="37"/>
      <c r="EQ15" s="37"/>
      <c r="ER15" s="37"/>
      <c r="ES15" s="37"/>
      <c r="ET15" s="37"/>
      <c r="EU15" s="37"/>
      <c r="EV15" s="37"/>
      <c r="EW15" s="37"/>
      <c r="EX15" s="37"/>
      <c r="EY15" s="37"/>
      <c r="EZ15" s="37"/>
      <c r="FA15" s="37"/>
      <c r="FB15" s="37"/>
      <c r="FC15" s="37"/>
      <c r="FD15" s="37"/>
      <c r="FE15" s="37"/>
      <c r="FF15" s="37"/>
      <c r="FG15" s="37"/>
      <c r="FH15" s="37"/>
      <c r="FI15" s="37"/>
      <c r="FJ15" s="37"/>
      <c r="FK15" s="37"/>
      <c r="FL15" s="37"/>
      <c r="FM15" s="37"/>
      <c r="FN15" s="37"/>
      <c r="FO15" s="37"/>
      <c r="FP15" s="37"/>
      <c r="FQ15" s="37"/>
      <c r="FR15" s="37"/>
      <c r="FS15" s="37"/>
      <c r="FT15" s="37"/>
      <c r="FU15" s="37"/>
      <c r="FV15" s="37"/>
      <c r="FW15" s="37"/>
      <c r="FX15" s="37"/>
      <c r="FY15" s="37"/>
      <c r="FZ15" s="37"/>
      <c r="GA15" s="37"/>
      <c r="GB15" s="37"/>
      <c r="GC15" s="37"/>
      <c r="GD15" s="37"/>
      <c r="GE15" s="37"/>
      <c r="GF15" s="37"/>
      <c r="GG15" s="37"/>
      <c r="GH15" s="37"/>
      <c r="GI15" s="37"/>
      <c r="GJ15" s="37"/>
      <c r="GK15" s="37"/>
      <c r="GL15" s="37"/>
      <c r="GM15" s="37"/>
      <c r="GN15" s="37"/>
      <c r="GO15" s="37"/>
      <c r="GP15" s="37"/>
      <c r="GQ15" s="37"/>
      <c r="GR15" s="37"/>
      <c r="GS15" s="37"/>
      <c r="GT15" s="37"/>
      <c r="GU15" s="37"/>
      <c r="GV15" s="37"/>
      <c r="GW15" s="37"/>
      <c r="GX15" s="37"/>
      <c r="GY15" s="37"/>
      <c r="GZ15" s="37"/>
      <c r="HA15" s="37"/>
      <c r="HB15" s="37"/>
      <c r="HC15" s="37"/>
      <c r="HD15" s="37"/>
      <c r="HE15" s="37"/>
      <c r="HF15" s="37"/>
      <c r="HG15" s="37"/>
      <c r="HH15" s="37"/>
      <c r="HI15" s="37"/>
      <c r="HJ15" s="37"/>
      <c r="HK15" s="37"/>
      <c r="HL15" s="37"/>
      <c r="HM15" s="37"/>
      <c r="HN15" s="37"/>
      <c r="HO15" s="37"/>
      <c r="HP15" s="37"/>
      <c r="HQ15" s="37"/>
      <c r="HR15" s="37"/>
      <c r="HS15" s="37"/>
      <c r="HT15" s="37"/>
      <c r="HU15" s="37"/>
      <c r="HV15" s="37"/>
      <c r="HW15" s="37"/>
      <c r="HX15" s="37"/>
      <c r="HY15" s="37"/>
      <c r="HZ15" s="37"/>
      <c r="IA15" s="37"/>
      <c r="IB15" s="37"/>
      <c r="IC15" s="37"/>
      <c r="ID15" s="37"/>
      <c r="IE15" s="37"/>
      <c r="IF15" s="37"/>
      <c r="IG15" s="37"/>
      <c r="IH15" s="37"/>
      <c r="II15" s="37"/>
      <c r="IJ15" s="37"/>
      <c r="IK15" s="37"/>
      <c r="IL15" s="37"/>
      <c r="IM15" s="37"/>
      <c r="IN15" s="37"/>
      <c r="IO15" s="37"/>
      <c r="IP15" s="37"/>
      <c r="IQ15" s="37"/>
      <c r="IR15" s="37"/>
      <c r="IS15" s="37"/>
      <c r="IT15" s="37"/>
      <c r="IU15" s="37"/>
      <c r="IV15" s="37"/>
      <c r="IW15" s="37"/>
      <c r="IX15" s="37"/>
      <c r="IY15" s="37"/>
      <c r="IZ15" s="37"/>
      <c r="JA15" s="37"/>
      <c r="JB15" s="37"/>
      <c r="JC15" s="37"/>
      <c r="JD15" s="37"/>
      <c r="JE15" s="37"/>
      <c r="JF15" s="37"/>
      <c r="JG15" s="37"/>
      <c r="JH15" s="37"/>
      <c r="JI15" s="37"/>
      <c r="JJ15" s="37"/>
      <c r="JK15" s="37"/>
      <c r="JL15" s="37"/>
      <c r="JM15" s="37"/>
      <c r="JN15" s="37"/>
      <c r="JO15" s="37"/>
      <c r="JP15" s="37"/>
      <c r="JQ15" s="37"/>
      <c r="JR15" s="37"/>
      <c r="JS15" s="37"/>
      <c r="JT15" s="37"/>
      <c r="JU15" s="37"/>
      <c r="JV15" s="37"/>
      <c r="JW15" s="37"/>
      <c r="JX15" s="37"/>
      <c r="JY15" s="37"/>
      <c r="JZ15" s="37"/>
      <c r="KA15" s="37"/>
      <c r="KB15" s="37"/>
      <c r="KC15" s="37"/>
      <c r="KD15" s="37"/>
      <c r="KE15" s="37"/>
      <c r="KF15" s="37"/>
      <c r="KG15" s="37"/>
      <c r="KH15" s="37"/>
      <c r="KI15" s="37"/>
      <c r="KJ15" s="37"/>
      <c r="KK15" s="37"/>
      <c r="KL15" s="37"/>
      <c r="KM15" s="37"/>
      <c r="KN15" s="37"/>
      <c r="KO15" s="37"/>
      <c r="KP15" s="37"/>
      <c r="KQ15" s="37">
        <f>1200+586+2400</f>
        <v>4186</v>
      </c>
      <c r="KR15" s="37">
        <f>102.77+273.96+27</f>
        <v>403.72999999999996</v>
      </c>
      <c r="KS15" s="37">
        <f>5823+1529.1+129+20+2741.62</f>
        <v>10242.720000000001</v>
      </c>
      <c r="KT15" s="37">
        <f>109.9+45.68+181.48+23.9+28.9+406.98</f>
        <v>796.83999999999992</v>
      </c>
      <c r="KU15" s="37">
        <f>98.59+(44.74+44.73*3-2.23)+101.8+119.9+23.12+82.62+99.9+58.65+233.87+53.82+210.57+147.95+71.84+61.9+80.38+71.99*2+234.97</f>
        <v>2000.5600000000002</v>
      </c>
      <c r="KV15" s="37">
        <f>1200+586.1</f>
        <v>1786.1</v>
      </c>
      <c r="KW15" s="37">
        <f>25.02+51.5</f>
        <v>76.52</v>
      </c>
      <c r="KX15" s="37"/>
      <c r="KY15" s="37">
        <f>150+20+39.42</f>
        <v>209.42000000000002</v>
      </c>
      <c r="KZ15" s="37">
        <f>171.63+25.02</f>
        <v>196.65</v>
      </c>
      <c r="LA15" s="37">
        <f>1200+679.39+99.9+154.28+129.51</f>
        <v>2263.08</v>
      </c>
      <c r="LB15" s="37"/>
      <c r="LC15" s="37"/>
      <c r="LD15" s="37">
        <v>99.9</v>
      </c>
      <c r="LE15" s="37">
        <v>1143.27</v>
      </c>
      <c r="LF15" s="37">
        <f>1200+679.39+154.28+143.61+68.59</f>
        <v>2245.87</v>
      </c>
      <c r="LG15" s="37"/>
      <c r="LH15" s="37"/>
      <c r="LI15" s="37">
        <v>104.91</v>
      </c>
      <c r="LJ15" s="37">
        <v>908.3</v>
      </c>
      <c r="LK15" s="37">
        <f>1200+679.37+154.28+99.9+177</f>
        <v>2310.5499999999997</v>
      </c>
      <c r="LL15" s="37"/>
      <c r="LM15" s="37">
        <v>70</v>
      </c>
      <c r="LN15" s="37"/>
      <c r="LO15" s="37">
        <f>908.3+37.51</f>
        <v>945.81</v>
      </c>
      <c r="LP15" s="37">
        <f>1200+679.38+154.28+99.9+68.59+127.07</f>
        <v>2329.2200000000003</v>
      </c>
      <c r="LQ15" s="37"/>
      <c r="LR15" s="37"/>
      <c r="LS15" s="37">
        <f>68.33+99.9</f>
        <v>168.23000000000002</v>
      </c>
      <c r="LT15" s="37">
        <v>945.79</v>
      </c>
      <c r="LU15" s="37">
        <f>1200+679.38+154.28+128.25+68.33+68.13+(228.41+232.13)</f>
        <v>2758.91</v>
      </c>
      <c r="LV15" s="37"/>
      <c r="LW15" s="37"/>
      <c r="LX15" s="37">
        <v>99.9</v>
      </c>
      <c r="LY15" s="37">
        <f>945.79+(94.19+92.89+62.43+67.25+24.4+27.35)</f>
        <v>1314.3</v>
      </c>
      <c r="LZ15" s="37">
        <f>1200+679.38+154.28+127.93+68.13</f>
        <v>2229.7200000000003</v>
      </c>
      <c r="MA15" s="37"/>
      <c r="MB15" s="37"/>
      <c r="MC15" s="37">
        <v>99.9</v>
      </c>
      <c r="MD15" s="37">
        <f>945.79+40.4+420+180+(80.29*2-2)+(69.44*2-1.73)+(233.81-0.39)+(37.49*2-0.94)+(10.45*3-0.52)+(50-0.42)+(53.75-0.45)</f>
        <v>2323.09</v>
      </c>
      <c r="ME15" s="37"/>
      <c r="MF15" s="37">
        <f>117+92+260.4+15.77+69.89</f>
        <v>555.05999999999995</v>
      </c>
      <c r="MG15" s="37"/>
      <c r="MH15" s="37">
        <v>99.9</v>
      </c>
      <c r="MI15" s="37">
        <f>21.9+1224.14+(66.99+66.98-0.56)+14.9+43.7</f>
        <v>1438.0500000000004</v>
      </c>
      <c r="MJ15" s="37">
        <f>1200+679.38+154.28+128.59</f>
        <v>2162.25</v>
      </c>
      <c r="MK15" s="37"/>
      <c r="ML15" s="37">
        <v>146.82</v>
      </c>
      <c r="MM15" s="37">
        <v>99.9</v>
      </c>
      <c r="MN15" s="37">
        <f>21.9+14.9+990.33</f>
        <v>1027.1300000000001</v>
      </c>
      <c r="MO15" s="37">
        <f>1200+679.38+154.28+66.13+163.29</f>
        <v>2263.08</v>
      </c>
      <c r="MP15" s="37"/>
      <c r="MQ15" s="37"/>
      <c r="MR15" s="37">
        <v>99.9</v>
      </c>
      <c r="MS15" s="37">
        <f>21.9+14.9+30.93+779.82+(23.85+97.6)</f>
        <v>969</v>
      </c>
      <c r="MT15" s="37">
        <f>1200+679.38+154.28+66.97+145.24</f>
        <v>2245.87</v>
      </c>
      <c r="MU15" s="37"/>
      <c r="MV15" s="37"/>
      <c r="MW15" s="37">
        <v>99.9</v>
      </c>
      <c r="MX15" s="37">
        <f>21.9+14.9+729.64</f>
        <v>766.43999999999994</v>
      </c>
    </row>
    <row r="16" spans="1:363" x14ac:dyDescent="0.25">
      <c r="A16" s="148"/>
      <c r="B16" s="36" t="s">
        <v>94</v>
      </c>
      <c r="C16" s="37">
        <v>24</v>
      </c>
      <c r="D16" s="37">
        <f>4.55</f>
        <v>4.55</v>
      </c>
      <c r="E16" s="37"/>
      <c r="F16" s="37"/>
      <c r="G16" s="37"/>
      <c r="H16" s="37">
        <f>5+4.55</f>
        <v>9.5500000000000007</v>
      </c>
      <c r="I16" s="37"/>
      <c r="J16" s="37">
        <v>1</v>
      </c>
      <c r="K16" s="37"/>
      <c r="L16" s="37"/>
      <c r="M16" s="37">
        <f>4.55+0.35</f>
        <v>4.8999999999999995</v>
      </c>
      <c r="N16" s="37">
        <f>47+7</f>
        <v>54</v>
      </c>
      <c r="O16" s="37"/>
      <c r="P16" s="37">
        <v>15</v>
      </c>
      <c r="Q16" s="37"/>
      <c r="R16" s="37">
        <f>5+4.55</f>
        <v>9.5500000000000007</v>
      </c>
      <c r="S16" s="37"/>
      <c r="T16" s="37"/>
      <c r="U16" s="37">
        <f>0.9*3+15</f>
        <v>17.7</v>
      </c>
      <c r="V16" s="37"/>
      <c r="W16" s="37">
        <f>45+(2.42+0.23+0.07)</f>
        <v>47.72</v>
      </c>
      <c r="X16" s="37">
        <f>4.55+16</f>
        <v>20.55</v>
      </c>
      <c r="Y16" s="37"/>
      <c r="Z16" s="37"/>
      <c r="AA16" s="37"/>
      <c r="AB16" s="37">
        <f>1.09+0.09+12</f>
        <v>13.18</v>
      </c>
      <c r="AC16" s="37">
        <v>20</v>
      </c>
      <c r="AD16" s="37"/>
      <c r="AE16" s="37">
        <v>1.25</v>
      </c>
      <c r="AF16" s="37"/>
      <c r="AG16" s="37"/>
      <c r="AH16" s="37"/>
      <c r="AI16" s="37">
        <f>20+5+20+1.5</f>
        <v>46.5</v>
      </c>
      <c r="AJ16" s="37">
        <f>1+10</f>
        <v>11</v>
      </c>
      <c r="AK16" s="37"/>
      <c r="AL16" s="37">
        <v>0.57999999999999996</v>
      </c>
      <c r="AM16" s="37"/>
      <c r="AN16" s="37"/>
      <c r="AO16" s="37"/>
      <c r="AP16" s="37"/>
      <c r="AQ16" s="37">
        <v>0.05</v>
      </c>
      <c r="AR16" s="37"/>
      <c r="AS16" s="37"/>
      <c r="AT16" s="37"/>
      <c r="AU16" s="37"/>
      <c r="AV16" s="37"/>
      <c r="AW16" s="37"/>
      <c r="AX16" s="37">
        <f>0.9</f>
        <v>0.9</v>
      </c>
      <c r="AY16" s="37"/>
      <c r="AZ16" s="37"/>
      <c r="BA16" s="37">
        <f>0.57+0.03</f>
        <v>0.6</v>
      </c>
      <c r="BB16" s="37"/>
      <c r="BC16" s="37"/>
      <c r="BD16" s="37"/>
      <c r="BE16" s="37"/>
      <c r="BF16" s="37">
        <v>1.04</v>
      </c>
      <c r="BG16" s="37"/>
      <c r="BH16" s="37"/>
      <c r="BI16" s="37"/>
      <c r="BJ16" s="37"/>
      <c r="BK16" s="37">
        <v>7</v>
      </c>
      <c r="BL16" s="37"/>
      <c r="BM16" s="37"/>
      <c r="BN16" s="37"/>
      <c r="BO16" s="37">
        <f>12+39</f>
        <v>51</v>
      </c>
      <c r="BP16" s="37"/>
      <c r="BQ16" s="37"/>
      <c r="BR16" s="37"/>
      <c r="BS16" s="37">
        <v>0.99</v>
      </c>
      <c r="BT16" s="37">
        <v>27.9</v>
      </c>
      <c r="BU16" s="37"/>
      <c r="BV16" s="37"/>
      <c r="BW16" s="37"/>
      <c r="BX16" s="37"/>
      <c r="BY16" s="37">
        <f>27.9+24.74</f>
        <v>52.64</v>
      </c>
      <c r="BZ16" s="37"/>
      <c r="CA16" s="37"/>
      <c r="CB16" s="37"/>
      <c r="CC16" s="37"/>
      <c r="CD16" s="37">
        <v>27.9</v>
      </c>
      <c r="CE16" s="37">
        <v>10</v>
      </c>
      <c r="CF16" s="37">
        <v>0.5</v>
      </c>
      <c r="CG16" s="37"/>
      <c r="CH16" s="37"/>
      <c r="CI16" s="37">
        <v>27.9</v>
      </c>
      <c r="CJ16" s="37">
        <v>0.02</v>
      </c>
      <c r="CK16" s="37"/>
      <c r="CL16" s="37"/>
      <c r="CM16" s="37"/>
      <c r="CN16" s="37">
        <v>27.9</v>
      </c>
      <c r="CO16" s="37"/>
      <c r="CP16" s="37"/>
      <c r="CQ16" s="37"/>
      <c r="CR16" s="37"/>
      <c r="CS16" s="37">
        <v>27.9</v>
      </c>
      <c r="CT16" s="37">
        <v>0.3</v>
      </c>
      <c r="CU16" s="37"/>
      <c r="CV16" s="37"/>
      <c r="CW16" s="37"/>
      <c r="CX16" s="37">
        <v>27.9</v>
      </c>
      <c r="CY16" s="37">
        <f>10.17+0.65</f>
        <v>10.82</v>
      </c>
      <c r="CZ16" s="37"/>
      <c r="DA16" s="37"/>
      <c r="DB16" s="37"/>
      <c r="DC16" s="37">
        <f>10.9+27.9</f>
        <v>38.799999999999997</v>
      </c>
      <c r="DD16" s="37"/>
      <c r="DE16" s="37"/>
      <c r="DF16" s="37"/>
      <c r="DG16" s="37">
        <v>8</v>
      </c>
      <c r="DH16" s="37">
        <f>27.9+13.97</f>
        <v>41.87</v>
      </c>
      <c r="DI16" s="37">
        <v>0.55000000000000004</v>
      </c>
      <c r="DJ16" s="37"/>
      <c r="DK16" s="37"/>
      <c r="DL16" s="37"/>
      <c r="DM16" s="37">
        <v>27.9</v>
      </c>
      <c r="DN16" s="37">
        <v>2.2000000000000002</v>
      </c>
      <c r="DO16" s="37"/>
      <c r="DP16" s="37"/>
      <c r="DQ16" s="37"/>
      <c r="DR16" s="37">
        <v>27.9</v>
      </c>
      <c r="DS16" s="37"/>
      <c r="DT16" s="37"/>
      <c r="DU16" s="37">
        <f>16.32</f>
        <v>16.32</v>
      </c>
      <c r="DV16" s="37"/>
      <c r="DW16" s="37">
        <f>45.7+27.9+0.1</f>
        <v>73.699999999999989</v>
      </c>
      <c r="DX16" s="37"/>
      <c r="DY16" s="37"/>
      <c r="DZ16" s="37"/>
      <c r="EA16" s="37"/>
      <c r="EB16" s="38">
        <f>27.9</f>
        <v>27.9</v>
      </c>
      <c r="EC16" s="37">
        <f>1.57+0.1</f>
        <v>1.6700000000000002</v>
      </c>
      <c r="ED16" s="37"/>
      <c r="EE16" s="37"/>
      <c r="EF16" s="37"/>
      <c r="EG16" s="37">
        <v>27.9</v>
      </c>
      <c r="EH16" s="39">
        <f>1.29+0.11+10</f>
        <v>11.4</v>
      </c>
      <c r="EI16" s="37"/>
      <c r="EJ16" s="37"/>
      <c r="EK16" s="37"/>
      <c r="EL16" s="37">
        <v>32.9</v>
      </c>
      <c r="EM16" s="37"/>
      <c r="EN16" s="37"/>
      <c r="EO16" s="37"/>
      <c r="EP16" s="37"/>
      <c r="EQ16" s="37">
        <f>1.28+32.9</f>
        <v>34.18</v>
      </c>
      <c r="ER16" s="37">
        <v>9.5299999999999994</v>
      </c>
      <c r="ES16" s="37"/>
      <c r="ET16" s="37"/>
      <c r="EU16" s="37">
        <v>13.81</v>
      </c>
      <c r="EV16" s="37">
        <v>56.9</v>
      </c>
      <c r="EW16" s="37"/>
      <c r="EX16" s="37"/>
      <c r="EY16" s="37"/>
      <c r="EZ16" s="37"/>
      <c r="FA16" s="37">
        <f>32.9</f>
        <v>32.9</v>
      </c>
      <c r="FB16" s="37"/>
      <c r="FC16" s="37">
        <v>27</v>
      </c>
      <c r="FD16" s="37"/>
      <c r="FE16" s="37"/>
      <c r="FF16" s="37">
        <f>13.9</f>
        <v>13.9</v>
      </c>
      <c r="FG16" s="37"/>
      <c r="FH16" s="37"/>
      <c r="FI16" s="37"/>
      <c r="FJ16" s="37"/>
      <c r="FK16" s="37">
        <f>(482-481.48-1.04)</f>
        <v>-0.52000000000001823</v>
      </c>
      <c r="FL16" s="37"/>
      <c r="FM16" s="37"/>
      <c r="FN16" s="37"/>
      <c r="FO16" s="37"/>
      <c r="FP16" s="37"/>
      <c r="FQ16" s="37"/>
      <c r="FR16" s="37"/>
      <c r="FS16" s="37"/>
      <c r="FT16" s="37"/>
      <c r="FU16" s="37"/>
      <c r="FV16" s="37"/>
      <c r="FW16" s="37"/>
      <c r="FX16" s="37"/>
      <c r="FY16" s="37"/>
      <c r="FZ16" s="37"/>
      <c r="GA16" s="37"/>
      <c r="GB16" s="37"/>
      <c r="GC16" s="37"/>
      <c r="GD16" s="37"/>
      <c r="GE16" s="37"/>
      <c r="GF16" s="37"/>
      <c r="GG16" s="37"/>
      <c r="GH16" s="37"/>
      <c r="GI16" s="37"/>
      <c r="GJ16" s="37"/>
      <c r="GK16" s="37">
        <f>1.55</f>
        <v>1.55</v>
      </c>
      <c r="GL16" s="37"/>
      <c r="GM16" s="37"/>
      <c r="GN16" s="37"/>
      <c r="GO16" s="37"/>
      <c r="GP16" s="37">
        <f>0.28</f>
        <v>0.28000000000000003</v>
      </c>
      <c r="GQ16" s="37"/>
      <c r="GR16" s="37"/>
      <c r="GS16" s="37"/>
      <c r="GT16" s="37">
        <v>103.24</v>
      </c>
      <c r="GU16" s="37"/>
      <c r="GV16" s="37"/>
      <c r="GW16" s="37">
        <v>313.39</v>
      </c>
      <c r="GX16" s="37">
        <v>2000</v>
      </c>
      <c r="GY16" s="37">
        <v>39.9</v>
      </c>
      <c r="GZ16" s="37">
        <v>0.01</v>
      </c>
      <c r="HA16" s="37"/>
      <c r="HB16" s="37"/>
      <c r="HC16" s="37">
        <f>25</f>
        <v>25</v>
      </c>
      <c r="HD16" s="37"/>
      <c r="HE16" s="37"/>
      <c r="HF16" s="37">
        <v>50</v>
      </c>
      <c r="HG16" s="37"/>
      <c r="HH16" s="37"/>
      <c r="HI16" s="37"/>
      <c r="HJ16" s="37"/>
      <c r="HK16" s="37"/>
      <c r="HL16" s="37">
        <v>62.3</v>
      </c>
      <c r="HM16" s="37"/>
      <c r="HN16" s="37"/>
      <c r="HO16" s="37"/>
      <c r="HP16" s="37"/>
      <c r="HQ16" s="37"/>
      <c r="HR16" s="37"/>
      <c r="HS16" s="37">
        <f>150.27</f>
        <v>150.27000000000001</v>
      </c>
      <c r="HT16" s="37"/>
      <c r="HU16" s="37"/>
      <c r="HV16" s="37">
        <f>140.61+387.6</f>
        <v>528.21</v>
      </c>
      <c r="HW16" s="37">
        <v>507.2</v>
      </c>
      <c r="HX16" s="37"/>
      <c r="HY16" s="37"/>
      <c r="HZ16" s="37"/>
      <c r="IA16" s="37"/>
      <c r="IB16" s="37">
        <f>53.97+60.8</f>
        <v>114.77</v>
      </c>
      <c r="IC16" s="37"/>
      <c r="ID16" s="37">
        <v>28.7</v>
      </c>
      <c r="IE16" s="37">
        <f>60+4.8</f>
        <v>64.8</v>
      </c>
      <c r="IF16" s="37"/>
      <c r="IG16" s="37"/>
      <c r="IH16" s="37"/>
      <c r="II16" s="37">
        <f>(0.16+0.15)</f>
        <v>0.31</v>
      </c>
      <c r="IJ16" s="37"/>
      <c r="IK16" s="37"/>
      <c r="IL16" s="37"/>
      <c r="IM16" s="37"/>
      <c r="IN16" s="37">
        <f>1.64+1.05+0.05</f>
        <v>2.7399999999999998</v>
      </c>
      <c r="IO16" s="37"/>
      <c r="IP16" s="37"/>
      <c r="IQ16" s="37">
        <f>65.6*2</f>
        <v>131.19999999999999</v>
      </c>
      <c r="IR16" s="37"/>
      <c r="IS16" s="37">
        <f>1.39+1.34+0.02</f>
        <v>2.75</v>
      </c>
      <c r="IT16" s="37"/>
      <c r="IU16" s="37"/>
      <c r="IV16" s="37"/>
      <c r="IW16" s="37">
        <v>-383.96</v>
      </c>
      <c r="IX16" s="37"/>
      <c r="IY16" s="37"/>
      <c r="IZ16" s="37"/>
      <c r="JA16" s="37"/>
      <c r="JB16" s="37">
        <f>586.89+63.92+13.33+67.45-144.7-0.01-202</f>
        <v>384.88000000000011</v>
      </c>
      <c r="JC16" s="37"/>
      <c r="JD16" s="37">
        <f>10</f>
        <v>10</v>
      </c>
      <c r="JE16" s="37"/>
      <c r="JF16" s="37"/>
      <c r="JG16" s="37"/>
      <c r="JH16" s="37">
        <f>10</f>
        <v>10</v>
      </c>
      <c r="JI16" s="37">
        <v>15</v>
      </c>
      <c r="JJ16" s="37"/>
      <c r="JK16" s="37"/>
      <c r="JL16" s="37"/>
      <c r="JM16" s="37">
        <f>1.39+0.69+0.02+50+17</f>
        <v>69.099999999999994</v>
      </c>
      <c r="JN16" s="37"/>
      <c r="JO16" s="37"/>
      <c r="JP16" s="37"/>
      <c r="JQ16" s="37"/>
      <c r="JR16" s="37"/>
      <c r="JS16" s="37">
        <f>550+293.47</f>
        <v>843.47</v>
      </c>
      <c r="JT16" s="37"/>
      <c r="JU16" s="37"/>
      <c r="JV16" s="37">
        <f>-550-79+49.2</f>
        <v>-579.79999999999995</v>
      </c>
      <c r="JW16" s="37">
        <f>(17.32-0.87-2.63-4.2-0.68-0.68-21.36-1.74)</f>
        <v>-14.839999999999998</v>
      </c>
      <c r="JX16" s="37">
        <v>15</v>
      </c>
      <c r="JY16" s="37"/>
      <c r="JZ16" s="37"/>
      <c r="KA16" s="37">
        <f>-49.2*2</f>
        <v>-98.4</v>
      </c>
      <c r="KB16" s="37"/>
      <c r="KC16" s="37"/>
      <c r="KD16" s="37"/>
      <c r="KE16" s="37">
        <f>200+20</f>
        <v>220</v>
      </c>
      <c r="KF16" s="37">
        <f>49.2-200-20.55</f>
        <v>-171.35000000000002</v>
      </c>
      <c r="KG16" s="37"/>
      <c r="KH16" s="37"/>
      <c r="KI16" s="37"/>
      <c r="KJ16" s="37">
        <f>17+4</f>
        <v>21</v>
      </c>
      <c r="KK16" s="37">
        <v>0.1</v>
      </c>
      <c r="KL16" s="37">
        <f>3.38+1.51+0.13</f>
        <v>5.0199999999999996</v>
      </c>
      <c r="KM16" s="37">
        <v>40</v>
      </c>
      <c r="KN16" s="37"/>
      <c r="KO16" s="37">
        <v>40</v>
      </c>
      <c r="KP16" s="37">
        <f>-0.41-40</f>
        <v>-40.409999999999997</v>
      </c>
      <c r="KQ16" s="37">
        <f>105.75</f>
        <v>105.75</v>
      </c>
      <c r="KR16" s="37"/>
      <c r="KS16" s="37">
        <f>(328.25-330)</f>
        <v>-1.75</v>
      </c>
      <c r="KT16" s="37"/>
      <c r="KU16" s="37">
        <f>(600.02+143.02-742)+(109.41+3.09-110)+156.16</f>
        <v>159.69999999999996</v>
      </c>
      <c r="KV16" s="37">
        <f>0.26+0.26+1033.12+207.02+52.06</f>
        <v>1292.7199999999998</v>
      </c>
      <c r="KW16" s="37">
        <v>17</v>
      </c>
      <c r="KX16" s="37">
        <f>(116.08-94-22)</f>
        <v>7.9999999999998295E-2</v>
      </c>
      <c r="KY16" s="37">
        <f>(338.86-330)</f>
        <v>8.8600000000000136</v>
      </c>
      <c r="KZ16" s="37">
        <f>-(171.55+25.02+10.45+52.06)</f>
        <v>-259.08000000000004</v>
      </c>
      <c r="LA16" s="37">
        <f>56.98+57.95+17</f>
        <v>131.93</v>
      </c>
      <c r="LB16" s="37"/>
      <c r="LC16" s="37">
        <v>10</v>
      </c>
      <c r="LD16" s="37"/>
      <c r="LE16" s="37">
        <f>-51.98-5+9.93-10</f>
        <v>-57.05</v>
      </c>
      <c r="LF16" s="37">
        <f>(4.83+0.11+1.36)</f>
        <v>6.3000000000000007</v>
      </c>
      <c r="LG16" s="37">
        <v>760.91</v>
      </c>
      <c r="LH16" s="37">
        <f>17+15.89</f>
        <v>32.89</v>
      </c>
      <c r="LI16" s="37">
        <v>100</v>
      </c>
      <c r="LJ16" s="37">
        <f>-760.91-15.89-100</f>
        <v>-876.8</v>
      </c>
      <c r="LK16" s="37">
        <v>0.03</v>
      </c>
      <c r="LL16" s="37">
        <f>(108.06+37.9+110)</f>
        <v>255.96</v>
      </c>
      <c r="LM16" s="37">
        <f>100</f>
        <v>100</v>
      </c>
      <c r="LN16" s="37">
        <f>17+20</f>
        <v>37</v>
      </c>
      <c r="LO16" s="37">
        <f>-108.06-37.9-110-100-45</f>
        <v>-400.96000000000004</v>
      </c>
      <c r="LP16" s="37"/>
      <c r="LQ16" s="37"/>
      <c r="LR16" s="37">
        <f>17+20+3.81</f>
        <v>40.81</v>
      </c>
      <c r="LS16" s="37"/>
      <c r="LT16" s="37">
        <f>316.25-3.81</f>
        <v>312.44</v>
      </c>
      <c r="LU16" s="37"/>
      <c r="LV16" s="37"/>
      <c r="LW16" s="37">
        <v>20</v>
      </c>
      <c r="LX16" s="37"/>
      <c r="LY16" s="37">
        <f>316.25</f>
        <v>316.25</v>
      </c>
      <c r="LZ16" s="37"/>
      <c r="MA16" s="37"/>
      <c r="MB16" s="37">
        <f>1800+20</f>
        <v>1820</v>
      </c>
      <c r="MC16" s="37">
        <f>6.94+355.6+20+200+100-612.19</f>
        <v>70.349999999999909</v>
      </c>
      <c r="MD16" s="37">
        <f>-1800-6.94-355.6-200-100+612.19</f>
        <v>-1850.35</v>
      </c>
      <c r="ME16" s="37">
        <v>6.22</v>
      </c>
      <c r="MF16" s="37">
        <f>58.8+37.7</f>
        <v>96.5</v>
      </c>
      <c r="MG16" s="37"/>
      <c r="MH16" s="37"/>
      <c r="MI16" s="37">
        <f>-6.22-58.8-37.7</f>
        <v>-102.72</v>
      </c>
      <c r="MJ16" s="37">
        <v>20</v>
      </c>
      <c r="MK16" s="37">
        <v>88.17</v>
      </c>
      <c r="ML16" s="37"/>
      <c r="MM16" s="37"/>
      <c r="MN16" s="37"/>
      <c r="MO16" s="37">
        <v>20</v>
      </c>
      <c r="MP16" s="37"/>
      <c r="MQ16" s="37"/>
      <c r="MR16" s="37"/>
      <c r="MS16" s="37">
        <f>5.12+56.31+0.28+3.03+24.53</f>
        <v>89.27</v>
      </c>
      <c r="MT16" s="37">
        <v>20</v>
      </c>
      <c r="MU16" s="37"/>
      <c r="MV16" s="37"/>
      <c r="MW16" s="37"/>
      <c r="MX16" s="37">
        <f>-129.9-14.9</f>
        <v>-144.80000000000001</v>
      </c>
    </row>
    <row r="17" spans="1:363" x14ac:dyDescent="0.25">
      <c r="C17" s="34"/>
      <c r="D17" s="34"/>
      <c r="E17" s="34"/>
      <c r="F17" s="34"/>
      <c r="G17" s="34"/>
      <c r="H17" s="34"/>
      <c r="I17" s="34"/>
      <c r="J17" s="34"/>
      <c r="K17" s="34"/>
      <c r="L17" s="34"/>
      <c r="M17" s="34"/>
      <c r="N17" s="34"/>
      <c r="O17" s="34"/>
      <c r="P17" s="34"/>
      <c r="Q17" s="34"/>
      <c r="R17" s="34"/>
      <c r="S17" s="34"/>
      <c r="T17" s="34"/>
      <c r="U17" s="34"/>
      <c r="V17" s="34"/>
      <c r="W17" s="34"/>
      <c r="X17" s="34"/>
      <c r="Y17" s="34"/>
      <c r="Z17" s="34"/>
      <c r="AA17" s="34"/>
      <c r="AB17" s="34"/>
      <c r="AC17" s="34"/>
      <c r="AD17" s="34"/>
      <c r="AE17" s="34"/>
      <c r="AF17" s="34"/>
      <c r="AG17" s="34"/>
      <c r="AH17" s="34"/>
      <c r="AI17" s="34"/>
      <c r="AJ17" s="34"/>
      <c r="AK17" s="34"/>
      <c r="AL17" s="34"/>
      <c r="AM17" s="34"/>
      <c r="AN17" s="34"/>
      <c r="AO17" s="34"/>
      <c r="AP17" s="34"/>
      <c r="AQ17" s="34"/>
      <c r="AR17" s="34"/>
      <c r="AS17" s="34"/>
      <c r="AT17" s="34"/>
      <c r="AU17" s="34"/>
      <c r="AV17" s="34"/>
      <c r="AW17" s="34"/>
      <c r="AX17" s="34"/>
      <c r="AY17" s="34"/>
      <c r="AZ17" s="34"/>
      <c r="BA17" s="34"/>
      <c r="BB17" s="34"/>
      <c r="BC17" s="34"/>
      <c r="BD17" s="34"/>
      <c r="BE17" s="34"/>
      <c r="BF17" s="34"/>
      <c r="BG17" s="34"/>
      <c r="BH17" s="34"/>
      <c r="BI17" s="34"/>
      <c r="BJ17" s="34"/>
      <c r="BK17" s="34"/>
      <c r="BL17" s="34"/>
      <c r="BM17" s="34"/>
      <c r="BN17" s="34"/>
      <c r="BO17" s="34"/>
      <c r="BP17" s="34"/>
      <c r="BQ17" s="34"/>
      <c r="BR17" s="34"/>
      <c r="BS17" s="34"/>
      <c r="BT17" s="34"/>
      <c r="BU17" s="34"/>
      <c r="BV17" s="34"/>
      <c r="BW17" s="34"/>
      <c r="BX17" s="34"/>
      <c r="BY17" s="34"/>
      <c r="BZ17" s="34"/>
      <c r="CA17" s="34"/>
      <c r="CB17" s="34"/>
      <c r="CC17" s="34"/>
      <c r="CD17" s="34"/>
      <c r="CE17" s="34"/>
      <c r="CF17" s="34"/>
      <c r="CG17" s="34"/>
      <c r="CH17" s="34"/>
      <c r="CI17" s="34"/>
      <c r="CJ17" s="34"/>
      <c r="CK17" s="34"/>
      <c r="CL17" s="34"/>
      <c r="CM17" s="34"/>
      <c r="CN17" s="34"/>
      <c r="CO17" s="34"/>
      <c r="CP17" s="34"/>
      <c r="CQ17" s="34"/>
      <c r="CR17" s="34"/>
      <c r="CS17" s="34"/>
      <c r="CT17" s="34"/>
      <c r="CU17" s="34"/>
      <c r="CV17" s="34"/>
      <c r="CW17" s="34"/>
      <c r="CX17" s="34"/>
      <c r="CY17" s="34"/>
      <c r="CZ17" s="34"/>
      <c r="DA17" s="34"/>
      <c r="DB17" s="34"/>
      <c r="DC17" s="34"/>
      <c r="DD17" s="34"/>
      <c r="DE17" s="34"/>
      <c r="DF17" s="34"/>
      <c r="DG17" s="34"/>
      <c r="DH17" s="34"/>
      <c r="DI17" s="34"/>
      <c r="DJ17" s="34"/>
      <c r="DK17" s="34"/>
      <c r="DL17" s="34"/>
      <c r="DM17" s="34"/>
      <c r="DN17" s="34"/>
      <c r="DO17" s="34"/>
      <c r="DP17" s="34"/>
      <c r="DQ17" s="34"/>
      <c r="DR17" s="34"/>
      <c r="DS17" s="34"/>
      <c r="DT17" s="34"/>
      <c r="DU17" s="34"/>
      <c r="DV17" s="34"/>
      <c r="DW17" s="34"/>
      <c r="DX17" s="34"/>
      <c r="DY17" s="34"/>
      <c r="DZ17" s="34"/>
      <c r="EA17" s="34"/>
      <c r="EB17" s="34"/>
      <c r="EC17" s="35"/>
      <c r="ED17" s="34"/>
      <c r="EE17" s="34"/>
      <c r="EF17" s="34"/>
      <c r="EG17" s="34"/>
      <c r="EH17" s="35"/>
      <c r="EI17" s="34"/>
      <c r="EJ17" s="34"/>
      <c r="EK17" s="34"/>
      <c r="EL17" s="34"/>
      <c r="EM17" s="34"/>
      <c r="EN17" s="34"/>
      <c r="EO17" s="34"/>
      <c r="EP17" s="34"/>
      <c r="EQ17" s="34"/>
      <c r="ER17" s="34"/>
      <c r="ES17" s="34"/>
      <c r="ET17" s="34"/>
      <c r="EU17" s="34"/>
      <c r="EV17" s="34"/>
      <c r="EW17" s="42"/>
      <c r="EX17" s="34"/>
      <c r="EY17" s="34"/>
      <c r="EZ17" s="34"/>
      <c r="FA17" s="34"/>
      <c r="FB17" s="34"/>
      <c r="FC17" s="34"/>
      <c r="FD17" s="34"/>
      <c r="FE17" s="34"/>
      <c r="FF17" s="34"/>
      <c r="FG17" s="34"/>
      <c r="FH17" s="34"/>
      <c r="FI17" s="34"/>
      <c r="FJ17" s="34"/>
      <c r="FK17" s="34"/>
      <c r="FL17" s="34"/>
      <c r="FM17" s="34"/>
      <c r="FN17" s="34"/>
      <c r="FO17" s="34"/>
      <c r="FP17" s="34"/>
      <c r="FQ17" s="34"/>
      <c r="FR17" s="34"/>
      <c r="FS17" s="34"/>
      <c r="FT17" s="34"/>
      <c r="FU17" s="34"/>
      <c r="FV17" s="34"/>
      <c r="FW17" s="34"/>
      <c r="FX17" s="34"/>
      <c r="FY17" s="34"/>
      <c r="FZ17" s="34"/>
      <c r="GA17" s="34"/>
      <c r="GB17" s="34"/>
      <c r="GC17" s="34"/>
      <c r="GD17" s="34"/>
      <c r="GE17" s="34"/>
      <c r="GF17" s="34"/>
      <c r="GG17" s="34"/>
      <c r="GH17" s="34"/>
      <c r="GI17" s="34"/>
      <c r="GJ17" s="34"/>
      <c r="GK17" s="34"/>
      <c r="GL17" s="34"/>
      <c r="GM17" s="34"/>
      <c r="GN17" s="34"/>
      <c r="GO17" s="34"/>
      <c r="GP17" s="34"/>
      <c r="GQ17" s="34"/>
      <c r="GR17" s="34"/>
      <c r="GS17" s="34"/>
      <c r="GT17" s="34"/>
      <c r="GU17" s="34"/>
      <c r="GV17" s="34"/>
      <c r="GW17" s="34"/>
      <c r="GX17" s="34"/>
      <c r="GY17" s="34"/>
      <c r="GZ17" s="34"/>
      <c r="HA17" s="34"/>
      <c r="HB17" s="34"/>
      <c r="HC17" s="34"/>
      <c r="HD17" s="34"/>
      <c r="HE17" s="34"/>
      <c r="HF17" s="34"/>
      <c r="HG17" s="34"/>
      <c r="HH17" s="34"/>
      <c r="HI17" s="34"/>
      <c r="HJ17" s="34"/>
      <c r="HK17" s="34"/>
      <c r="HL17" s="34"/>
      <c r="HM17" s="34"/>
      <c r="HN17" s="34"/>
      <c r="HO17" s="34"/>
      <c r="HP17" s="34"/>
      <c r="HQ17" s="34"/>
      <c r="HR17" s="34"/>
      <c r="HS17" s="34"/>
      <c r="HT17" s="34"/>
      <c r="HU17" s="34"/>
      <c r="HV17" s="34"/>
      <c r="HW17" s="34"/>
      <c r="HX17" s="34"/>
      <c r="HY17" s="34"/>
      <c r="HZ17" s="34"/>
      <c r="IA17" s="34"/>
      <c r="IB17" s="34"/>
      <c r="IC17" s="34"/>
      <c r="ID17" s="34"/>
      <c r="IE17" s="34"/>
      <c r="IF17" s="34"/>
      <c r="IG17" s="34"/>
      <c r="IH17" s="34"/>
      <c r="II17" s="34"/>
      <c r="IJ17" s="34"/>
      <c r="IK17" s="34"/>
      <c r="IL17" s="34"/>
      <c r="IM17" s="34"/>
      <c r="IN17" s="34"/>
      <c r="IO17" s="34"/>
      <c r="IP17" s="34"/>
      <c r="IQ17" s="34"/>
      <c r="IR17" s="34"/>
      <c r="IS17" s="34"/>
      <c r="IT17" s="34"/>
      <c r="IU17" s="34"/>
      <c r="IV17" s="34"/>
      <c r="IW17" s="34"/>
      <c r="IX17" s="34"/>
      <c r="IY17" s="34"/>
      <c r="IZ17" s="34"/>
      <c r="JA17" s="34"/>
      <c r="JB17" s="34"/>
      <c r="JC17" s="34"/>
      <c r="JD17" s="34"/>
      <c r="JE17" s="34"/>
      <c r="JF17" s="34"/>
      <c r="JG17" s="34"/>
      <c r="JH17" s="34"/>
      <c r="JI17" s="34"/>
      <c r="JJ17" s="34"/>
      <c r="JK17" s="34"/>
      <c r="JL17" s="34"/>
      <c r="JM17" s="34"/>
      <c r="JN17" s="34"/>
      <c r="JO17" s="34"/>
      <c r="JP17" s="34"/>
      <c r="JQ17" s="34"/>
      <c r="JR17" s="34"/>
      <c r="JS17" s="34"/>
      <c r="JT17" s="34"/>
      <c r="JU17" s="34"/>
      <c r="JV17" s="34"/>
      <c r="JW17" s="34"/>
      <c r="JX17" s="34"/>
      <c r="JY17" s="34"/>
      <c r="JZ17" s="34"/>
      <c r="KA17" s="34"/>
      <c r="KB17" s="34"/>
      <c r="KC17" s="34"/>
      <c r="KD17" s="34"/>
      <c r="KE17" s="34"/>
      <c r="KF17" s="34"/>
      <c r="KG17" s="34"/>
      <c r="KH17" s="34"/>
      <c r="KI17" s="34"/>
      <c r="KJ17" s="34"/>
      <c r="KK17" s="34"/>
      <c r="KL17" s="34"/>
      <c r="KM17" s="34"/>
      <c r="KN17" s="34"/>
      <c r="KO17" s="34"/>
      <c r="KP17" s="34"/>
      <c r="KQ17" s="34"/>
      <c r="KR17" s="34"/>
      <c r="KS17" s="34"/>
      <c r="KT17" s="34"/>
      <c r="KU17" s="34"/>
      <c r="KV17" s="34"/>
      <c r="KW17" s="34"/>
      <c r="KX17" s="34"/>
      <c r="KY17" s="34"/>
      <c r="KZ17" s="34"/>
      <c r="LA17" s="34"/>
      <c r="LB17" s="34"/>
      <c r="LC17" s="34"/>
      <c r="LD17" s="34"/>
      <c r="LE17" s="34"/>
      <c r="LF17" s="34"/>
      <c r="LG17" s="34"/>
      <c r="LH17" s="34"/>
      <c r="LI17" s="34"/>
      <c r="LJ17" s="34"/>
      <c r="LK17" s="34"/>
      <c r="LL17" s="34"/>
      <c r="LM17" s="34"/>
      <c r="LN17" s="34"/>
      <c r="LO17" s="34"/>
      <c r="LP17" s="34"/>
      <c r="LQ17" s="34"/>
      <c r="LR17" s="34"/>
      <c r="LS17" s="34"/>
      <c r="LT17" s="34"/>
      <c r="LU17" s="34"/>
      <c r="LV17" s="34"/>
      <c r="LW17" s="34"/>
      <c r="LX17" s="34"/>
      <c r="LY17" s="34"/>
      <c r="LZ17" s="34"/>
      <c r="MA17" s="34"/>
      <c r="MB17" s="34"/>
      <c r="MC17" s="34"/>
      <c r="MD17" s="34"/>
      <c r="ME17" s="34"/>
      <c r="MF17" s="34"/>
      <c r="MG17" s="34"/>
      <c r="MH17" s="34"/>
      <c r="MI17" s="34"/>
      <c r="MJ17" s="34"/>
      <c r="MK17" s="34"/>
      <c r="ML17" s="34"/>
      <c r="MM17" s="34"/>
      <c r="MN17" s="34"/>
      <c r="MO17" s="34"/>
      <c r="MP17" s="34"/>
      <c r="MQ17" s="34"/>
      <c r="MR17" s="34"/>
      <c r="MS17" s="34"/>
      <c r="MT17" s="34"/>
      <c r="MU17" s="34"/>
      <c r="MV17" s="34"/>
      <c r="MW17" s="34"/>
      <c r="MX17" s="34"/>
    </row>
    <row r="18" spans="1:363" x14ac:dyDescent="0.25">
      <c r="C18" s="43"/>
      <c r="D18" s="43"/>
      <c r="E18" s="43"/>
      <c r="F18" s="43"/>
      <c r="G18" s="43"/>
      <c r="H18" s="43"/>
      <c r="I18" s="43"/>
      <c r="J18" s="43"/>
      <c r="K18" s="43"/>
      <c r="L18" s="43"/>
      <c r="M18" s="43"/>
      <c r="N18" s="43"/>
      <c r="O18" s="43"/>
      <c r="P18" s="43"/>
      <c r="Q18" s="43"/>
      <c r="R18" s="43"/>
      <c r="S18" s="43"/>
      <c r="T18" s="43"/>
      <c r="U18" s="43"/>
      <c r="V18" s="43"/>
      <c r="W18" s="43"/>
      <c r="X18" s="43"/>
      <c r="Y18" s="43"/>
      <c r="Z18" s="43"/>
      <c r="AA18" s="43"/>
      <c r="AB18" s="43"/>
      <c r="AC18" s="43"/>
      <c r="AD18" s="43"/>
      <c r="AE18" s="43"/>
      <c r="AF18" s="43"/>
      <c r="AG18" s="43"/>
      <c r="AH18" s="43"/>
      <c r="AI18" s="43"/>
      <c r="AJ18" s="43"/>
      <c r="AK18" s="43"/>
      <c r="AL18" s="43"/>
      <c r="AM18" s="43"/>
      <c r="AN18" s="43"/>
      <c r="AO18" s="43"/>
      <c r="AP18" s="43"/>
      <c r="AQ18" s="43"/>
      <c r="AR18" s="43"/>
      <c r="AS18" s="43"/>
      <c r="AT18" s="43"/>
      <c r="AU18" s="43"/>
      <c r="AV18" s="43"/>
      <c r="AW18" s="43"/>
      <c r="AX18" s="43"/>
      <c r="AY18" s="43"/>
      <c r="AZ18" s="43"/>
      <c r="BA18" s="43"/>
      <c r="BB18" s="43"/>
      <c r="BC18" s="43"/>
      <c r="BD18" s="43"/>
      <c r="BE18" s="43"/>
      <c r="BF18" s="43"/>
      <c r="BG18" s="43"/>
      <c r="BH18" s="43"/>
      <c r="BI18" s="43"/>
      <c r="BJ18" s="43"/>
      <c r="BK18" s="43"/>
      <c r="BL18" s="43"/>
      <c r="BM18" s="43"/>
      <c r="BN18" s="43"/>
      <c r="BO18" s="43"/>
      <c r="BP18" s="43"/>
      <c r="BQ18" s="43"/>
      <c r="BR18" s="43"/>
      <c r="BS18" s="43"/>
      <c r="BT18" s="43"/>
      <c r="BU18" s="43"/>
      <c r="BV18" s="43"/>
      <c r="BW18" s="43"/>
      <c r="BX18" s="43"/>
      <c r="BY18" s="43"/>
      <c r="BZ18" s="43"/>
      <c r="CA18" s="43"/>
      <c r="CB18" s="43"/>
      <c r="CC18" s="43"/>
      <c r="CD18" s="43"/>
      <c r="CE18" s="43"/>
      <c r="CF18" s="43"/>
      <c r="CG18" s="43"/>
      <c r="CH18" s="43"/>
      <c r="CI18" s="43"/>
      <c r="CJ18" s="43"/>
      <c r="CK18" s="43"/>
      <c r="CL18" s="43"/>
      <c r="CM18" s="43"/>
      <c r="CN18" s="43"/>
      <c r="CO18" s="43"/>
      <c r="CP18" s="43"/>
      <c r="CQ18" s="43"/>
      <c r="CR18" s="43"/>
      <c r="CS18" s="43"/>
      <c r="CT18" s="43"/>
      <c r="CU18" s="43"/>
      <c r="CV18" s="43"/>
      <c r="CW18" s="43"/>
      <c r="CX18" s="43"/>
      <c r="CY18" s="43"/>
      <c r="CZ18" s="43"/>
      <c r="DA18" s="43"/>
      <c r="DB18" s="43"/>
      <c r="DC18" s="43"/>
      <c r="DD18" s="43"/>
      <c r="DE18" s="43"/>
      <c r="DF18" s="43"/>
      <c r="DG18" s="43"/>
      <c r="DH18" s="43"/>
      <c r="DI18" s="43"/>
      <c r="DJ18" s="43"/>
      <c r="DK18" s="43"/>
      <c r="DL18" s="43"/>
      <c r="DM18" s="43"/>
      <c r="DN18" s="43"/>
      <c r="DO18" s="43"/>
      <c r="DP18" s="43"/>
      <c r="DQ18" s="43"/>
      <c r="DR18" s="43"/>
      <c r="DS18" s="43"/>
      <c r="DT18" s="43"/>
      <c r="DU18" s="43"/>
      <c r="DV18" s="43"/>
      <c r="DW18" s="43"/>
      <c r="DX18" s="43"/>
      <c r="DY18" s="43"/>
      <c r="DZ18" s="43"/>
      <c r="EA18" s="43"/>
      <c r="EB18" s="43"/>
      <c r="EC18" s="44"/>
      <c r="ED18" s="43"/>
      <c r="EE18" s="43"/>
      <c r="EF18" s="43"/>
      <c r="EG18" s="43"/>
      <c r="EH18" s="44"/>
      <c r="EI18" s="43"/>
      <c r="EJ18" s="43"/>
      <c r="EK18" s="43"/>
      <c r="EL18" s="43"/>
      <c r="EM18" s="43"/>
      <c r="EN18" s="43"/>
      <c r="EO18" s="43"/>
      <c r="EP18" s="43"/>
      <c r="EQ18" s="43"/>
      <c r="ER18" s="43"/>
      <c r="ES18" s="43"/>
      <c r="ET18" s="43"/>
      <c r="EU18" s="43"/>
      <c r="EV18" s="43"/>
      <c r="EW18" s="43"/>
      <c r="EX18" s="43"/>
      <c r="EY18" s="43"/>
      <c r="EZ18" s="43"/>
      <c r="FA18" s="43"/>
      <c r="FB18" s="43"/>
      <c r="FC18" s="43"/>
      <c r="FD18" s="43"/>
      <c r="FE18" s="43"/>
      <c r="FF18" s="43"/>
      <c r="FG18" s="43"/>
      <c r="FH18" s="43"/>
      <c r="FI18" s="43"/>
      <c r="FJ18" s="43"/>
      <c r="FK18" s="43"/>
      <c r="FL18" s="43"/>
      <c r="FM18" s="43"/>
      <c r="FN18" s="43"/>
      <c r="FO18" s="43"/>
      <c r="FP18" s="43"/>
      <c r="FQ18" s="43"/>
      <c r="FR18" s="43"/>
      <c r="FS18" s="43"/>
      <c r="FT18" s="43"/>
      <c r="FU18" s="43"/>
      <c r="FV18" s="43"/>
      <c r="FW18" s="43"/>
      <c r="FX18" s="43"/>
      <c r="FY18" s="43"/>
      <c r="FZ18" s="43"/>
      <c r="GA18" s="43"/>
      <c r="GB18" s="43"/>
      <c r="GC18" s="43"/>
      <c r="GD18" s="43"/>
      <c r="GE18" s="43"/>
      <c r="GF18" s="43"/>
      <c r="GG18" s="43"/>
      <c r="GH18" s="43"/>
      <c r="GI18" s="43"/>
      <c r="GJ18" s="43"/>
      <c r="GK18" s="43"/>
      <c r="GL18" s="43"/>
      <c r="GM18" s="43"/>
      <c r="GN18" s="43"/>
      <c r="GO18" s="43"/>
      <c r="GP18" s="43"/>
      <c r="GQ18" s="43"/>
      <c r="GR18" s="43"/>
      <c r="GS18" s="43"/>
      <c r="GT18" s="43"/>
      <c r="GU18" s="43"/>
      <c r="GV18" s="43"/>
      <c r="GW18" s="43"/>
      <c r="GX18" s="43"/>
      <c r="GY18" s="43"/>
      <c r="GZ18" s="43"/>
      <c r="HA18" s="43"/>
      <c r="HB18" s="43"/>
      <c r="HC18" s="43"/>
      <c r="HD18" s="43"/>
      <c r="HE18" s="43"/>
      <c r="HF18" s="43"/>
      <c r="HG18" s="43"/>
      <c r="HH18" s="43"/>
      <c r="HI18" s="43"/>
      <c r="HJ18" s="43"/>
      <c r="HK18" s="43"/>
      <c r="HL18" s="43"/>
      <c r="HM18" s="43"/>
      <c r="HN18" s="43"/>
      <c r="HO18" s="43"/>
      <c r="HP18" s="43"/>
      <c r="HQ18" s="43"/>
      <c r="HR18" s="43"/>
      <c r="HS18" s="43"/>
      <c r="HT18" s="43"/>
      <c r="HU18" s="43"/>
      <c r="HV18" s="43"/>
      <c r="HW18" s="43"/>
      <c r="HX18" s="43"/>
      <c r="HY18" s="43"/>
      <c r="HZ18" s="43"/>
      <c r="IA18" s="43"/>
      <c r="IB18" s="43"/>
      <c r="IC18" s="43"/>
      <c r="ID18" s="43"/>
      <c r="IE18" s="43"/>
      <c r="IF18" s="43"/>
      <c r="IG18" s="43"/>
      <c r="IH18" s="43"/>
      <c r="II18" s="43"/>
      <c r="IJ18" s="43"/>
      <c r="IK18" s="43"/>
      <c r="IL18" s="43"/>
      <c r="IM18" s="43"/>
      <c r="IN18" s="43"/>
      <c r="IO18" s="43"/>
      <c r="IP18" s="43"/>
      <c r="IQ18" s="43"/>
      <c r="IR18" s="43"/>
      <c r="IS18" s="43"/>
      <c r="IT18" s="43"/>
      <c r="IU18" s="43"/>
      <c r="IV18" s="43"/>
      <c r="IW18" s="43"/>
      <c r="IX18" s="43"/>
      <c r="IY18" s="43"/>
      <c r="IZ18" s="43"/>
      <c r="JA18" s="43"/>
      <c r="JB18" s="43"/>
      <c r="JC18" s="43"/>
      <c r="JD18" s="43"/>
      <c r="JE18" s="43"/>
      <c r="JF18" s="43"/>
      <c r="JG18" s="43"/>
      <c r="JH18" s="43"/>
      <c r="JI18" s="43"/>
      <c r="JJ18" s="43"/>
      <c r="JK18" s="43"/>
      <c r="JL18" s="43"/>
      <c r="JM18" s="43"/>
      <c r="JN18" s="43"/>
      <c r="JO18" s="43"/>
      <c r="JP18" s="43"/>
      <c r="JQ18" s="43"/>
      <c r="JR18" s="43"/>
      <c r="JS18" s="43"/>
      <c r="JT18" s="43"/>
      <c r="JU18" s="43"/>
      <c r="JV18" s="43"/>
      <c r="JW18" s="43"/>
      <c r="JX18" s="43"/>
      <c r="JY18" s="43"/>
      <c r="JZ18" s="43"/>
      <c r="KA18" s="43"/>
      <c r="KB18" s="43"/>
      <c r="KC18" s="43"/>
      <c r="KD18" s="43"/>
      <c r="KE18" s="43"/>
      <c r="KF18" s="43"/>
      <c r="KG18" s="43"/>
      <c r="KH18" s="43"/>
      <c r="KI18" s="43"/>
      <c r="KJ18" s="43"/>
      <c r="KK18" s="43"/>
      <c r="KL18" s="43"/>
      <c r="KM18" s="43"/>
      <c r="KN18" s="43"/>
      <c r="KO18" s="43"/>
      <c r="KP18" s="43"/>
      <c r="KQ18" s="43"/>
      <c r="KR18" s="43"/>
      <c r="KS18" s="43"/>
      <c r="KT18" s="43"/>
      <c r="KU18" s="43"/>
      <c r="KV18" s="43"/>
      <c r="KW18" s="43"/>
      <c r="KX18" s="43"/>
      <c r="KY18" s="43"/>
      <c r="KZ18" s="43"/>
      <c r="LA18" s="43"/>
      <c r="LB18" s="43"/>
      <c r="LC18" s="43"/>
      <c r="LD18" s="43"/>
      <c r="LE18" s="43"/>
      <c r="LF18" s="43"/>
      <c r="LG18" s="43"/>
      <c r="LH18" s="43"/>
      <c r="LI18" s="43"/>
      <c r="LJ18" s="43"/>
      <c r="LK18" s="43"/>
      <c r="LL18" s="43"/>
      <c r="LM18" s="43"/>
      <c r="LN18" s="43"/>
      <c r="LO18" s="43"/>
      <c r="LP18" s="43"/>
      <c r="LQ18" s="43"/>
      <c r="LR18" s="43"/>
      <c r="LS18" s="43"/>
      <c r="LT18" s="43"/>
      <c r="LU18" s="43"/>
      <c r="LV18" s="43"/>
      <c r="LW18" s="43"/>
      <c r="LX18" s="43"/>
      <c r="LY18" s="43"/>
      <c r="LZ18" s="43"/>
      <c r="MA18" s="43"/>
      <c r="MB18" s="43"/>
      <c r="MC18" s="43"/>
      <c r="MD18" s="43"/>
      <c r="ME18" s="43"/>
      <c r="MF18" s="43"/>
      <c r="MG18" s="43"/>
      <c r="MH18" s="43"/>
      <c r="MI18" s="43"/>
      <c r="MJ18" s="43"/>
      <c r="MK18" s="43"/>
      <c r="ML18" s="43"/>
      <c r="MM18" s="43"/>
      <c r="MN18" s="43"/>
      <c r="MO18" s="43"/>
      <c r="MP18" s="43"/>
      <c r="MQ18" s="43"/>
      <c r="MR18" s="43"/>
      <c r="MS18" s="43"/>
      <c r="MT18" s="43"/>
      <c r="MU18" s="43"/>
      <c r="MV18" s="43"/>
      <c r="MW18" s="43"/>
      <c r="MX18" s="43"/>
    </row>
    <row r="19" spans="1:363" x14ac:dyDescent="0.25">
      <c r="A19" s="149" t="s">
        <v>95</v>
      </c>
      <c r="B19" s="45" t="s">
        <v>79</v>
      </c>
      <c r="C19" s="46">
        <f>SUBTOTAL(9, C3:C4)</f>
        <v>0</v>
      </c>
      <c r="D19" s="46">
        <f t="shared" ref="D19:BO19" si="0">SUBTOTAL(9, D3:D4)</f>
        <v>1534.7159999999999</v>
      </c>
      <c r="E19" s="46">
        <f t="shared" si="0"/>
        <v>0</v>
      </c>
      <c r="F19" s="46">
        <f t="shared" si="0"/>
        <v>936.7639999999999</v>
      </c>
      <c r="G19" s="46">
        <f t="shared" si="0"/>
        <v>0</v>
      </c>
      <c r="H19" s="46">
        <f t="shared" si="0"/>
        <v>0</v>
      </c>
      <c r="I19" s="46">
        <f t="shared" si="0"/>
        <v>734.72</v>
      </c>
      <c r="J19" s="46">
        <f t="shared" si="0"/>
        <v>0</v>
      </c>
      <c r="K19" s="46">
        <f t="shared" si="0"/>
        <v>2198.23</v>
      </c>
      <c r="L19" s="46">
        <f t="shared" si="0"/>
        <v>0</v>
      </c>
      <c r="M19" s="46">
        <f t="shared" si="0"/>
        <v>0</v>
      </c>
      <c r="N19" s="46">
        <f t="shared" si="0"/>
        <v>735.72</v>
      </c>
      <c r="O19" s="46">
        <f t="shared" si="0"/>
        <v>0</v>
      </c>
      <c r="P19" s="46">
        <f t="shared" si="0"/>
        <v>859.53</v>
      </c>
      <c r="Q19" s="46">
        <f t="shared" si="0"/>
        <v>0</v>
      </c>
      <c r="R19" s="46">
        <f t="shared" si="0"/>
        <v>1200</v>
      </c>
      <c r="S19" s="46">
        <f t="shared" si="0"/>
        <v>734.72</v>
      </c>
      <c r="T19" s="46">
        <f t="shared" si="0"/>
        <v>0</v>
      </c>
      <c r="U19" s="46">
        <f t="shared" si="0"/>
        <v>818.29</v>
      </c>
      <c r="V19" s="46">
        <f t="shared" si="0"/>
        <v>0</v>
      </c>
      <c r="W19" s="46">
        <f t="shared" si="0"/>
        <v>0</v>
      </c>
      <c r="X19" s="46">
        <f t="shared" si="0"/>
        <v>2334.7200000000003</v>
      </c>
      <c r="Y19" s="46">
        <f t="shared" si="0"/>
        <v>0</v>
      </c>
      <c r="Z19" s="46">
        <f t="shared" si="0"/>
        <v>1018.19</v>
      </c>
      <c r="AA19" s="46">
        <f t="shared" si="0"/>
        <v>0</v>
      </c>
      <c r="AB19" s="46">
        <f t="shared" si="0"/>
        <v>0</v>
      </c>
      <c r="AC19" s="46">
        <f t="shared" si="0"/>
        <v>1534.72</v>
      </c>
      <c r="AD19" s="46">
        <f t="shared" si="0"/>
        <v>0</v>
      </c>
      <c r="AE19" s="46">
        <f t="shared" si="0"/>
        <v>942.33</v>
      </c>
      <c r="AF19" s="46">
        <f t="shared" si="0"/>
        <v>0</v>
      </c>
      <c r="AG19" s="46">
        <f t="shared" si="0"/>
        <v>0</v>
      </c>
      <c r="AH19" s="46">
        <f t="shared" si="0"/>
        <v>734.72</v>
      </c>
      <c r="AI19" s="46">
        <f t="shared" si="0"/>
        <v>1400</v>
      </c>
      <c r="AJ19" s="46">
        <f t="shared" si="0"/>
        <v>855.94</v>
      </c>
      <c r="AK19" s="46">
        <f t="shared" si="0"/>
        <v>0</v>
      </c>
      <c r="AL19" s="46">
        <f t="shared" si="0"/>
        <v>0</v>
      </c>
      <c r="AM19" s="46">
        <f t="shared" si="0"/>
        <v>2434.7200000000003</v>
      </c>
      <c r="AN19" s="46">
        <f t="shared" si="0"/>
        <v>0</v>
      </c>
      <c r="AO19" s="46">
        <f t="shared" si="0"/>
        <v>852.27</v>
      </c>
      <c r="AP19" s="46">
        <f t="shared" si="0"/>
        <v>0</v>
      </c>
      <c r="AQ19" s="46">
        <f t="shared" si="0"/>
        <v>0</v>
      </c>
      <c r="AR19" s="46">
        <f t="shared" si="0"/>
        <v>734.72</v>
      </c>
      <c r="AS19" s="46">
        <f t="shared" si="0"/>
        <v>1700</v>
      </c>
      <c r="AT19" s="46">
        <f t="shared" si="0"/>
        <v>866.96</v>
      </c>
      <c r="AU19" s="46">
        <f t="shared" si="0"/>
        <v>0</v>
      </c>
      <c r="AV19" s="46">
        <f t="shared" si="0"/>
        <v>0</v>
      </c>
      <c r="AW19" s="46">
        <f t="shared" si="0"/>
        <v>734.72</v>
      </c>
      <c r="AX19" s="46">
        <f t="shared" si="0"/>
        <v>0</v>
      </c>
      <c r="AY19" s="46">
        <f t="shared" si="0"/>
        <v>1555.94</v>
      </c>
      <c r="AZ19" s="46">
        <f t="shared" si="0"/>
        <v>0</v>
      </c>
      <c r="BA19" s="46">
        <f t="shared" si="0"/>
        <v>0</v>
      </c>
      <c r="BB19" s="46">
        <f t="shared" si="0"/>
        <v>734.72</v>
      </c>
      <c r="BC19" s="46">
        <f t="shared" si="0"/>
        <v>0</v>
      </c>
      <c r="BD19" s="46">
        <f t="shared" si="0"/>
        <v>5730.21</v>
      </c>
      <c r="BE19" s="46">
        <f t="shared" si="0"/>
        <v>0</v>
      </c>
      <c r="BF19" s="46">
        <f t="shared" si="0"/>
        <v>0</v>
      </c>
      <c r="BG19" s="46">
        <f t="shared" si="0"/>
        <v>979.38</v>
      </c>
      <c r="BH19" s="46">
        <f t="shared" si="0"/>
        <v>827.15</v>
      </c>
      <c r="BI19" s="46">
        <f t="shared" si="0"/>
        <v>110.15</v>
      </c>
      <c r="BJ19" s="46">
        <f t="shared" si="0"/>
        <v>0</v>
      </c>
      <c r="BK19" s="46">
        <f t="shared" si="0"/>
        <v>0</v>
      </c>
      <c r="BL19" s="46">
        <f t="shared" si="0"/>
        <v>1252.54</v>
      </c>
      <c r="BM19" s="46">
        <f t="shared" si="0"/>
        <v>0</v>
      </c>
      <c r="BN19" s="46">
        <f t="shared" si="0"/>
        <v>937.82</v>
      </c>
      <c r="BO19" s="46">
        <f t="shared" si="0"/>
        <v>0</v>
      </c>
      <c r="BP19" s="46">
        <f t="shared" ref="BP19:EA19" si="1">SUBTOTAL(9, BP3:BP4)</f>
        <v>0</v>
      </c>
      <c r="BQ19" s="46">
        <f t="shared" si="1"/>
        <v>2252.54</v>
      </c>
      <c r="BR19" s="46">
        <f t="shared" si="1"/>
        <v>0</v>
      </c>
      <c r="BS19" s="46">
        <f t="shared" si="1"/>
        <v>884.25</v>
      </c>
      <c r="BT19" s="46">
        <f t="shared" si="1"/>
        <v>0</v>
      </c>
      <c r="BU19" s="46">
        <f t="shared" si="1"/>
        <v>0</v>
      </c>
      <c r="BV19" s="46">
        <f t="shared" si="1"/>
        <v>752.54</v>
      </c>
      <c r="BW19" s="46">
        <f t="shared" si="1"/>
        <v>0.02</v>
      </c>
      <c r="BX19" s="46">
        <f t="shared" si="1"/>
        <v>1684.25</v>
      </c>
      <c r="BY19" s="46">
        <f t="shared" si="1"/>
        <v>0</v>
      </c>
      <c r="BZ19" s="46">
        <f t="shared" si="1"/>
        <v>0</v>
      </c>
      <c r="CA19" s="46">
        <f t="shared" si="1"/>
        <v>800</v>
      </c>
      <c r="CB19" s="46">
        <f t="shared" si="1"/>
        <v>752.54</v>
      </c>
      <c r="CC19" s="46">
        <f t="shared" si="1"/>
        <v>839.25</v>
      </c>
      <c r="CD19" s="46">
        <f t="shared" si="1"/>
        <v>0</v>
      </c>
      <c r="CE19" s="46">
        <f t="shared" si="1"/>
        <v>0</v>
      </c>
      <c r="CF19" s="46">
        <f t="shared" si="1"/>
        <v>1752.54</v>
      </c>
      <c r="CG19" s="46">
        <f t="shared" si="1"/>
        <v>0</v>
      </c>
      <c r="CH19" s="46">
        <f t="shared" si="1"/>
        <v>876.72</v>
      </c>
      <c r="CI19" s="46">
        <f t="shared" si="1"/>
        <v>0</v>
      </c>
      <c r="CJ19" s="46">
        <f t="shared" si="1"/>
        <v>0</v>
      </c>
      <c r="CK19" s="46">
        <f t="shared" si="1"/>
        <v>1752.54</v>
      </c>
      <c r="CL19" s="46">
        <f t="shared" si="1"/>
        <v>0</v>
      </c>
      <c r="CM19" s="46">
        <f t="shared" si="1"/>
        <v>888.01</v>
      </c>
      <c r="CN19" s="46">
        <f t="shared" si="1"/>
        <v>0</v>
      </c>
      <c r="CO19" s="46">
        <f t="shared" si="1"/>
        <v>0</v>
      </c>
      <c r="CP19" s="46">
        <f t="shared" si="1"/>
        <v>752.54</v>
      </c>
      <c r="CQ19" s="46">
        <f t="shared" si="1"/>
        <v>800</v>
      </c>
      <c r="CR19" s="46">
        <f t="shared" si="1"/>
        <v>847.96</v>
      </c>
      <c r="CS19" s="46">
        <f t="shared" si="1"/>
        <v>0</v>
      </c>
      <c r="CT19" s="46">
        <f t="shared" si="1"/>
        <v>0</v>
      </c>
      <c r="CU19" s="46">
        <f t="shared" si="1"/>
        <v>752.54</v>
      </c>
      <c r="CV19" s="46">
        <f t="shared" si="1"/>
        <v>1000</v>
      </c>
      <c r="CW19" s="46">
        <f t="shared" si="1"/>
        <v>876.72</v>
      </c>
      <c r="CX19" s="46">
        <f t="shared" si="1"/>
        <v>0</v>
      </c>
      <c r="CY19" s="46">
        <f t="shared" si="1"/>
        <v>0</v>
      </c>
      <c r="CZ19" s="46">
        <f t="shared" si="1"/>
        <v>1752.54</v>
      </c>
      <c r="DA19" s="46">
        <f t="shared" si="1"/>
        <v>0</v>
      </c>
      <c r="DB19" s="46">
        <f t="shared" si="1"/>
        <v>910.58</v>
      </c>
      <c r="DC19" s="46">
        <f t="shared" si="1"/>
        <v>0</v>
      </c>
      <c r="DD19" s="46">
        <f t="shared" si="1"/>
        <v>22.66</v>
      </c>
      <c r="DE19" s="46">
        <f t="shared" si="1"/>
        <v>752.54</v>
      </c>
      <c r="DF19" s="46">
        <f t="shared" si="1"/>
        <v>0</v>
      </c>
      <c r="DG19" s="46">
        <f t="shared" si="1"/>
        <v>1872.96</v>
      </c>
      <c r="DH19" s="46">
        <f t="shared" si="1"/>
        <v>0</v>
      </c>
      <c r="DI19" s="46">
        <f t="shared" si="1"/>
        <v>1000</v>
      </c>
      <c r="DJ19" s="46">
        <f t="shared" si="1"/>
        <v>752.54</v>
      </c>
      <c r="DK19" s="46">
        <f t="shared" si="1"/>
        <v>0</v>
      </c>
      <c r="DL19" s="46">
        <f t="shared" si="1"/>
        <v>5872.7699999999995</v>
      </c>
      <c r="DM19" s="46">
        <f t="shared" si="1"/>
        <v>0</v>
      </c>
      <c r="DN19" s="46">
        <f t="shared" si="1"/>
        <v>1000</v>
      </c>
      <c r="DO19" s="46">
        <f t="shared" si="1"/>
        <v>0</v>
      </c>
      <c r="DP19" s="46">
        <f t="shared" si="1"/>
        <v>796.65</v>
      </c>
      <c r="DQ19" s="46">
        <f t="shared" si="1"/>
        <v>0</v>
      </c>
      <c r="DR19" s="46">
        <f t="shared" si="1"/>
        <v>0</v>
      </c>
      <c r="DS19" s="46">
        <f t="shared" si="1"/>
        <v>0</v>
      </c>
      <c r="DT19" s="46">
        <f t="shared" si="1"/>
        <v>1777.23</v>
      </c>
      <c r="DU19" s="46">
        <f t="shared" si="1"/>
        <v>0</v>
      </c>
      <c r="DV19" s="46">
        <f t="shared" si="1"/>
        <v>909.36</v>
      </c>
      <c r="DW19" s="46">
        <f t="shared" si="1"/>
        <v>0</v>
      </c>
      <c r="DX19" s="46">
        <f t="shared" si="1"/>
        <v>0</v>
      </c>
      <c r="DY19" s="46">
        <f t="shared" si="1"/>
        <v>777.23</v>
      </c>
      <c r="DZ19" s="46">
        <f t="shared" si="1"/>
        <v>1500</v>
      </c>
      <c r="EA19" s="46">
        <f t="shared" si="1"/>
        <v>917.13</v>
      </c>
      <c r="EB19" s="46">
        <f t="shared" ref="EB19:GM19" si="2">SUBTOTAL(9, EB3:EB4)</f>
        <v>0</v>
      </c>
      <c r="EC19" s="46">
        <f t="shared" si="2"/>
        <v>0</v>
      </c>
      <c r="ED19" s="46">
        <f t="shared" si="2"/>
        <v>777.23</v>
      </c>
      <c r="EE19" s="46">
        <f t="shared" si="2"/>
        <v>0</v>
      </c>
      <c r="EF19" s="46">
        <f t="shared" si="2"/>
        <v>2380.04</v>
      </c>
      <c r="EG19" s="46">
        <f t="shared" si="2"/>
        <v>0</v>
      </c>
      <c r="EH19" s="46">
        <f t="shared" si="2"/>
        <v>153.38</v>
      </c>
      <c r="EI19" s="46">
        <f t="shared" si="2"/>
        <v>777.23</v>
      </c>
      <c r="EJ19" s="46">
        <f t="shared" si="2"/>
        <v>21.09</v>
      </c>
      <c r="EK19" s="46">
        <f t="shared" si="2"/>
        <v>932.81</v>
      </c>
      <c r="EL19" s="46">
        <f t="shared" si="2"/>
        <v>0</v>
      </c>
      <c r="EM19" s="46">
        <f t="shared" si="2"/>
        <v>0</v>
      </c>
      <c r="EN19" s="46">
        <f t="shared" si="2"/>
        <v>777.23</v>
      </c>
      <c r="EO19" s="46">
        <f t="shared" si="2"/>
        <v>0</v>
      </c>
      <c r="EP19" s="46">
        <f t="shared" si="2"/>
        <v>1006.65</v>
      </c>
      <c r="EQ19" s="46">
        <f t="shared" si="2"/>
        <v>0</v>
      </c>
      <c r="ER19" s="46">
        <f t="shared" si="2"/>
        <v>0</v>
      </c>
      <c r="ES19" s="46">
        <f t="shared" si="2"/>
        <v>1927.23</v>
      </c>
      <c r="ET19" s="46">
        <f t="shared" si="2"/>
        <v>0</v>
      </c>
      <c r="EU19" s="46">
        <f t="shared" si="2"/>
        <v>1006.65</v>
      </c>
      <c r="EV19" s="46">
        <f t="shared" si="2"/>
        <v>0</v>
      </c>
      <c r="EW19" s="46">
        <f t="shared" si="2"/>
        <v>1150</v>
      </c>
      <c r="EX19" s="46">
        <f t="shared" si="2"/>
        <v>777.23</v>
      </c>
      <c r="EY19" s="46">
        <f t="shared" si="2"/>
        <v>0</v>
      </c>
      <c r="EZ19" s="46">
        <f t="shared" si="2"/>
        <v>1006.65</v>
      </c>
      <c r="FA19" s="46">
        <f t="shared" si="2"/>
        <v>0</v>
      </c>
      <c r="FB19" s="46">
        <f t="shared" si="2"/>
        <v>2000</v>
      </c>
      <c r="FC19" s="46">
        <f t="shared" si="2"/>
        <v>777.23</v>
      </c>
      <c r="FD19" s="46">
        <f t="shared" si="2"/>
        <v>0</v>
      </c>
      <c r="FE19" s="46">
        <f t="shared" si="2"/>
        <v>1270.3699999999999</v>
      </c>
      <c r="FF19" s="46">
        <f t="shared" si="2"/>
        <v>0</v>
      </c>
      <c r="FG19" s="46">
        <f t="shared" si="2"/>
        <v>2000</v>
      </c>
      <c r="FH19" s="46">
        <f t="shared" si="2"/>
        <v>0</v>
      </c>
      <c r="FI19" s="46">
        <f t="shared" si="2"/>
        <v>900.39</v>
      </c>
      <c r="FJ19" s="46">
        <f t="shared" si="2"/>
        <v>1147.2099999999998</v>
      </c>
      <c r="FK19" s="46">
        <f t="shared" si="2"/>
        <v>0</v>
      </c>
      <c r="FL19" s="46">
        <f t="shared" si="2"/>
        <v>2000</v>
      </c>
      <c r="FM19" s="46">
        <f t="shared" si="2"/>
        <v>900.39</v>
      </c>
      <c r="FN19" s="46">
        <f t="shared" si="2"/>
        <v>100</v>
      </c>
      <c r="FO19" s="46">
        <f t="shared" si="2"/>
        <v>1147.2099999999998</v>
      </c>
      <c r="FP19" s="46">
        <f t="shared" si="2"/>
        <v>0</v>
      </c>
      <c r="FQ19" s="46">
        <f t="shared" si="2"/>
        <v>2000</v>
      </c>
      <c r="FR19" s="46">
        <f t="shared" si="2"/>
        <v>900.39</v>
      </c>
      <c r="FS19" s="46">
        <f t="shared" si="2"/>
        <v>100</v>
      </c>
      <c r="FT19" s="46">
        <f t="shared" si="2"/>
        <v>9590.85</v>
      </c>
      <c r="FU19" s="46">
        <f t="shared" si="2"/>
        <v>0</v>
      </c>
      <c r="FV19" s="46">
        <f t="shared" si="2"/>
        <v>2000</v>
      </c>
      <c r="FW19" s="46">
        <f t="shared" si="2"/>
        <v>0</v>
      </c>
      <c r="FX19" s="46">
        <f t="shared" si="2"/>
        <v>1042.8899999999999</v>
      </c>
      <c r="FY19" s="46">
        <f t="shared" si="2"/>
        <v>116.48</v>
      </c>
      <c r="FZ19" s="46">
        <f t="shared" si="2"/>
        <v>0</v>
      </c>
      <c r="GA19" s="46">
        <f t="shared" si="2"/>
        <v>2000</v>
      </c>
      <c r="GB19" s="46">
        <f t="shared" si="2"/>
        <v>926.86</v>
      </c>
      <c r="GC19" s="46">
        <f t="shared" si="2"/>
        <v>0</v>
      </c>
      <c r="GD19" s="46">
        <f t="shared" si="2"/>
        <v>1178.52</v>
      </c>
      <c r="GE19" s="46">
        <f t="shared" si="2"/>
        <v>0</v>
      </c>
      <c r="GF19" s="46">
        <f t="shared" si="2"/>
        <v>2000</v>
      </c>
      <c r="GG19" s="46">
        <f t="shared" si="2"/>
        <v>926.86</v>
      </c>
      <c r="GH19" s="46">
        <f t="shared" si="2"/>
        <v>0</v>
      </c>
      <c r="GI19" s="46">
        <f t="shared" si="2"/>
        <v>1178.52</v>
      </c>
      <c r="GJ19" s="46">
        <f t="shared" si="2"/>
        <v>0</v>
      </c>
      <c r="GK19" s="46">
        <f t="shared" si="2"/>
        <v>2100</v>
      </c>
      <c r="GL19" s="46">
        <f t="shared" si="2"/>
        <v>1026.8600000000001</v>
      </c>
      <c r="GM19" s="46">
        <f t="shared" si="2"/>
        <v>0</v>
      </c>
      <c r="GN19" s="46">
        <f t="shared" ref="GN19:IY19" si="3">SUBTOTAL(9, GN3:GN4)</f>
        <v>1253.52</v>
      </c>
      <c r="GO19" s="46">
        <f t="shared" si="3"/>
        <v>0</v>
      </c>
      <c r="GP19" s="46">
        <f t="shared" si="3"/>
        <v>2000</v>
      </c>
      <c r="GQ19" s="46">
        <f t="shared" si="3"/>
        <v>926.86</v>
      </c>
      <c r="GR19" s="46">
        <f t="shared" si="3"/>
        <v>100</v>
      </c>
      <c r="GS19" s="46">
        <f t="shared" si="3"/>
        <v>0</v>
      </c>
      <c r="GT19" s="46">
        <f t="shared" si="3"/>
        <v>2747.87</v>
      </c>
      <c r="GU19" s="46">
        <f t="shared" si="3"/>
        <v>2000</v>
      </c>
      <c r="GV19" s="46">
        <f t="shared" si="3"/>
        <v>926.86</v>
      </c>
      <c r="GW19" s="46">
        <f t="shared" si="3"/>
        <v>0</v>
      </c>
      <c r="GX19" s="46">
        <f t="shared" si="3"/>
        <v>1178.52</v>
      </c>
      <c r="GY19" s="46">
        <f t="shared" si="3"/>
        <v>0</v>
      </c>
      <c r="GZ19" s="46">
        <f t="shared" si="3"/>
        <v>2000</v>
      </c>
      <c r="HA19" s="46">
        <f t="shared" si="3"/>
        <v>0</v>
      </c>
      <c r="HB19" s="46">
        <f t="shared" si="3"/>
        <v>926.86</v>
      </c>
      <c r="HC19" s="46">
        <f t="shared" si="3"/>
        <v>1178.52</v>
      </c>
      <c r="HD19" s="46">
        <f t="shared" si="3"/>
        <v>0</v>
      </c>
      <c r="HE19" s="46">
        <f t="shared" si="3"/>
        <v>2000</v>
      </c>
      <c r="HF19" s="46">
        <f t="shared" si="3"/>
        <v>926.86</v>
      </c>
      <c r="HG19" s="46">
        <f t="shared" si="3"/>
        <v>94.2</v>
      </c>
      <c r="HH19" s="46">
        <f t="shared" si="3"/>
        <v>1178.52</v>
      </c>
      <c r="HI19" s="46">
        <f t="shared" si="3"/>
        <v>0</v>
      </c>
      <c r="HJ19" s="46">
        <f t="shared" si="3"/>
        <v>2000</v>
      </c>
      <c r="HK19" s="46">
        <f t="shared" si="3"/>
        <v>926.86</v>
      </c>
      <c r="HL19" s="46">
        <f t="shared" si="3"/>
        <v>99.91</v>
      </c>
      <c r="HM19" s="46">
        <f t="shared" si="3"/>
        <v>3791.33</v>
      </c>
      <c r="HN19" s="46">
        <f t="shared" si="3"/>
        <v>0</v>
      </c>
      <c r="HO19" s="46">
        <f t="shared" si="3"/>
        <v>2000</v>
      </c>
      <c r="HP19" s="46">
        <f t="shared" si="3"/>
        <v>2400</v>
      </c>
      <c r="HQ19" s="46">
        <f t="shared" si="3"/>
        <v>100</v>
      </c>
      <c r="HR19" s="46">
        <f t="shared" si="3"/>
        <v>2318.19</v>
      </c>
      <c r="HS19" s="46">
        <f t="shared" si="3"/>
        <v>0</v>
      </c>
      <c r="HT19" s="46">
        <f t="shared" si="3"/>
        <v>2500</v>
      </c>
      <c r="HU19" s="46">
        <f t="shared" si="3"/>
        <v>2400</v>
      </c>
      <c r="HV19" s="46">
        <f t="shared" si="3"/>
        <v>100</v>
      </c>
      <c r="HW19" s="46">
        <f t="shared" si="3"/>
        <v>2727.45</v>
      </c>
      <c r="HX19" s="46">
        <f t="shared" si="3"/>
        <v>0</v>
      </c>
      <c r="HY19" s="46">
        <f t="shared" si="3"/>
        <v>2000</v>
      </c>
      <c r="HZ19" s="46">
        <f t="shared" si="3"/>
        <v>2650.08</v>
      </c>
      <c r="IA19" s="46">
        <f t="shared" si="3"/>
        <v>74.73</v>
      </c>
      <c r="IB19" s="46">
        <f t="shared" si="3"/>
        <v>17559.349999999999</v>
      </c>
      <c r="IC19" s="46">
        <f t="shared" si="3"/>
        <v>0</v>
      </c>
      <c r="ID19" s="46">
        <f t="shared" si="3"/>
        <v>2000</v>
      </c>
      <c r="IE19" s="46">
        <f t="shared" si="3"/>
        <v>0</v>
      </c>
      <c r="IF19" s="46">
        <f t="shared" si="3"/>
        <v>2061.41</v>
      </c>
      <c r="IG19" s="46">
        <f t="shared" si="3"/>
        <v>0</v>
      </c>
      <c r="IH19" s="46">
        <f t="shared" si="3"/>
        <v>0</v>
      </c>
      <c r="II19" s="46">
        <f t="shared" si="3"/>
        <v>3100</v>
      </c>
      <c r="IJ19" s="46">
        <f t="shared" si="3"/>
        <v>2650.08</v>
      </c>
      <c r="IK19" s="46">
        <f t="shared" si="3"/>
        <v>0</v>
      </c>
      <c r="IL19" s="46">
        <f t="shared" si="3"/>
        <v>1143.83</v>
      </c>
      <c r="IM19" s="46">
        <f t="shared" si="3"/>
        <v>0</v>
      </c>
      <c r="IN19" s="46">
        <f t="shared" si="3"/>
        <v>2000</v>
      </c>
      <c r="IO19" s="46">
        <f t="shared" si="3"/>
        <v>0</v>
      </c>
      <c r="IP19" s="46">
        <f t="shared" si="3"/>
        <v>2650.08</v>
      </c>
      <c r="IQ19" s="46">
        <f t="shared" si="3"/>
        <v>1806.35</v>
      </c>
      <c r="IR19" s="46">
        <f t="shared" si="3"/>
        <v>0</v>
      </c>
      <c r="IS19" s="46">
        <f t="shared" si="3"/>
        <v>2000</v>
      </c>
      <c r="IT19" s="46">
        <f t="shared" si="3"/>
        <v>0</v>
      </c>
      <c r="IU19" s="46">
        <f t="shared" si="3"/>
        <v>2650.08</v>
      </c>
      <c r="IV19" s="46">
        <f t="shared" si="3"/>
        <v>1806.35</v>
      </c>
      <c r="IW19" s="46">
        <f t="shared" si="3"/>
        <v>0</v>
      </c>
      <c r="IX19" s="46">
        <f t="shared" si="3"/>
        <v>3000</v>
      </c>
      <c r="IY19" s="46">
        <f t="shared" si="3"/>
        <v>2650.08</v>
      </c>
      <c r="IZ19" s="46">
        <f t="shared" ref="IZ19:LK19" si="4">SUBTOTAL(9, IZ3:IZ4)</f>
        <v>0</v>
      </c>
      <c r="JA19" s="46">
        <f t="shared" si="4"/>
        <v>1806.35</v>
      </c>
      <c r="JB19" s="46">
        <f t="shared" si="4"/>
        <v>0</v>
      </c>
      <c r="JC19" s="46">
        <f t="shared" si="4"/>
        <v>7000</v>
      </c>
      <c r="JD19" s="46">
        <f t="shared" si="4"/>
        <v>8577.9599999999991</v>
      </c>
      <c r="JE19" s="46">
        <f t="shared" si="4"/>
        <v>0</v>
      </c>
      <c r="JF19" s="46">
        <f t="shared" si="4"/>
        <v>0</v>
      </c>
      <c r="JG19" s="46">
        <f t="shared" si="4"/>
        <v>0</v>
      </c>
      <c r="JH19" s="46">
        <f t="shared" si="4"/>
        <v>7000</v>
      </c>
      <c r="JI19" s="46">
        <f t="shared" si="4"/>
        <v>0</v>
      </c>
      <c r="JJ19" s="46">
        <f t="shared" si="4"/>
        <v>0</v>
      </c>
      <c r="JK19" s="46">
        <f t="shared" si="4"/>
        <v>4000</v>
      </c>
      <c r="JL19" s="46">
        <f t="shared" si="4"/>
        <v>0</v>
      </c>
      <c r="JM19" s="46">
        <f t="shared" si="4"/>
        <v>20000</v>
      </c>
      <c r="JN19" s="46">
        <f t="shared" si="4"/>
        <v>0</v>
      </c>
      <c r="JO19" s="46">
        <f t="shared" si="4"/>
        <v>0</v>
      </c>
      <c r="JP19" s="46">
        <f t="shared" si="4"/>
        <v>0</v>
      </c>
      <c r="JQ19" s="46">
        <f t="shared" si="4"/>
        <v>0</v>
      </c>
      <c r="JR19" s="46">
        <f t="shared" si="4"/>
        <v>7000</v>
      </c>
      <c r="JS19" s="46">
        <f t="shared" si="4"/>
        <v>0</v>
      </c>
      <c r="JT19" s="46">
        <f t="shared" si="4"/>
        <v>0</v>
      </c>
      <c r="JU19" s="46">
        <f t="shared" si="4"/>
        <v>0</v>
      </c>
      <c r="JV19" s="46">
        <f t="shared" si="4"/>
        <v>0</v>
      </c>
      <c r="JW19" s="46">
        <f t="shared" si="4"/>
        <v>7000</v>
      </c>
      <c r="JX19" s="46">
        <f t="shared" si="4"/>
        <v>0</v>
      </c>
      <c r="JY19" s="46">
        <f t="shared" si="4"/>
        <v>0</v>
      </c>
      <c r="JZ19" s="46">
        <f t="shared" si="4"/>
        <v>0</v>
      </c>
      <c r="KA19" s="46">
        <f t="shared" si="4"/>
        <v>0</v>
      </c>
      <c r="KB19" s="46">
        <f t="shared" si="4"/>
        <v>7000</v>
      </c>
      <c r="KC19" s="46">
        <f t="shared" si="4"/>
        <v>0</v>
      </c>
      <c r="KD19" s="46">
        <f t="shared" si="4"/>
        <v>0</v>
      </c>
      <c r="KE19" s="46">
        <f t="shared" si="4"/>
        <v>0</v>
      </c>
      <c r="KF19" s="46">
        <f t="shared" si="4"/>
        <v>0</v>
      </c>
      <c r="KG19" s="46">
        <f t="shared" si="4"/>
        <v>7000</v>
      </c>
      <c r="KH19" s="46">
        <f t="shared" si="4"/>
        <v>0</v>
      </c>
      <c r="KI19" s="46">
        <f t="shared" si="4"/>
        <v>0</v>
      </c>
      <c r="KJ19" s="46">
        <f t="shared" si="4"/>
        <v>400</v>
      </c>
      <c r="KK19" s="46">
        <f t="shared" si="4"/>
        <v>0</v>
      </c>
      <c r="KL19" s="46">
        <f t="shared" si="4"/>
        <v>7000</v>
      </c>
      <c r="KM19" s="46">
        <f t="shared" si="4"/>
        <v>0</v>
      </c>
      <c r="KN19" s="46">
        <f t="shared" si="4"/>
        <v>0</v>
      </c>
      <c r="KO19" s="46">
        <f t="shared" si="4"/>
        <v>0</v>
      </c>
      <c r="KP19" s="46">
        <f t="shared" si="4"/>
        <v>0</v>
      </c>
      <c r="KQ19" s="46">
        <f t="shared" si="4"/>
        <v>40000</v>
      </c>
      <c r="KR19" s="46">
        <f t="shared" si="4"/>
        <v>0</v>
      </c>
      <c r="KS19" s="46">
        <f t="shared" si="4"/>
        <v>0</v>
      </c>
      <c r="KT19" s="46">
        <f t="shared" si="4"/>
        <v>0</v>
      </c>
      <c r="KU19" s="46">
        <f t="shared" si="4"/>
        <v>0</v>
      </c>
      <c r="KV19" s="46">
        <f t="shared" si="4"/>
        <v>7500</v>
      </c>
      <c r="KW19" s="46">
        <f t="shared" si="4"/>
        <v>0</v>
      </c>
      <c r="KX19" s="46">
        <f t="shared" si="4"/>
        <v>0</v>
      </c>
      <c r="KY19" s="46">
        <f t="shared" si="4"/>
        <v>0</v>
      </c>
      <c r="KZ19" s="46">
        <f t="shared" si="4"/>
        <v>0</v>
      </c>
      <c r="LA19" s="46">
        <f t="shared" si="4"/>
        <v>7500</v>
      </c>
      <c r="LB19" s="46">
        <f t="shared" si="4"/>
        <v>0</v>
      </c>
      <c r="LC19" s="46">
        <f t="shared" si="4"/>
        <v>0</v>
      </c>
      <c r="LD19" s="46">
        <f t="shared" si="4"/>
        <v>0</v>
      </c>
      <c r="LE19" s="46">
        <f t="shared" si="4"/>
        <v>0</v>
      </c>
      <c r="LF19" s="46">
        <f t="shared" si="4"/>
        <v>7500</v>
      </c>
      <c r="LG19" s="46">
        <f t="shared" si="4"/>
        <v>0</v>
      </c>
      <c r="LH19" s="46">
        <f t="shared" si="4"/>
        <v>0</v>
      </c>
      <c r="LI19" s="46">
        <f t="shared" si="4"/>
        <v>0</v>
      </c>
      <c r="LJ19" s="46">
        <f t="shared" si="4"/>
        <v>0</v>
      </c>
      <c r="LK19" s="46">
        <f t="shared" si="4"/>
        <v>7500</v>
      </c>
      <c r="LL19" s="46">
        <f t="shared" ref="LL19:MX19" si="5">SUBTOTAL(9, LL3:LL4)</f>
        <v>0</v>
      </c>
      <c r="LM19" s="46">
        <f t="shared" si="5"/>
        <v>0</v>
      </c>
      <c r="LN19" s="46">
        <f t="shared" si="5"/>
        <v>0</v>
      </c>
      <c r="LO19" s="46">
        <f t="shared" si="5"/>
        <v>0</v>
      </c>
      <c r="LP19" s="46">
        <f t="shared" si="5"/>
        <v>7500</v>
      </c>
      <c r="LQ19" s="46">
        <f t="shared" si="5"/>
        <v>0</v>
      </c>
      <c r="LR19" s="46">
        <f t="shared" si="5"/>
        <v>0</v>
      </c>
      <c r="LS19" s="46">
        <f t="shared" si="5"/>
        <v>0</v>
      </c>
      <c r="LT19" s="46">
        <f t="shared" si="5"/>
        <v>0</v>
      </c>
      <c r="LU19" s="46">
        <f t="shared" si="5"/>
        <v>7500</v>
      </c>
      <c r="LV19" s="46">
        <f t="shared" si="5"/>
        <v>0</v>
      </c>
      <c r="LW19" s="46">
        <f t="shared" si="5"/>
        <v>0</v>
      </c>
      <c r="LX19" s="46">
        <f t="shared" si="5"/>
        <v>0</v>
      </c>
      <c r="LY19" s="46">
        <f t="shared" si="5"/>
        <v>0</v>
      </c>
      <c r="LZ19" s="46">
        <f t="shared" si="5"/>
        <v>7500</v>
      </c>
      <c r="MA19" s="46">
        <f t="shared" si="5"/>
        <v>0</v>
      </c>
      <c r="MB19" s="46">
        <f t="shared" si="5"/>
        <v>0</v>
      </c>
      <c r="MC19" s="46">
        <f t="shared" si="5"/>
        <v>0</v>
      </c>
      <c r="MD19" s="46">
        <f t="shared" si="5"/>
        <v>0</v>
      </c>
      <c r="ME19" s="46">
        <f t="shared" si="5"/>
        <v>7500</v>
      </c>
      <c r="MF19" s="46">
        <f t="shared" si="5"/>
        <v>0</v>
      </c>
      <c r="MG19" s="46">
        <f t="shared" si="5"/>
        <v>0</v>
      </c>
      <c r="MH19" s="46">
        <f t="shared" si="5"/>
        <v>0</v>
      </c>
      <c r="MI19" s="46">
        <f t="shared" si="5"/>
        <v>0</v>
      </c>
      <c r="MJ19" s="46">
        <f t="shared" si="5"/>
        <v>7500</v>
      </c>
      <c r="MK19" s="46">
        <f t="shared" si="5"/>
        <v>0</v>
      </c>
      <c r="ML19" s="46">
        <f t="shared" si="5"/>
        <v>0</v>
      </c>
      <c r="MM19" s="46">
        <f t="shared" si="5"/>
        <v>0</v>
      </c>
      <c r="MN19" s="46">
        <f t="shared" si="5"/>
        <v>0</v>
      </c>
      <c r="MO19" s="46">
        <f t="shared" si="5"/>
        <v>7500</v>
      </c>
      <c r="MP19" s="46">
        <f t="shared" si="5"/>
        <v>0</v>
      </c>
      <c r="MQ19" s="46">
        <f t="shared" si="5"/>
        <v>0</v>
      </c>
      <c r="MR19" s="46">
        <f t="shared" si="5"/>
        <v>0</v>
      </c>
      <c r="MS19" s="46">
        <f t="shared" si="5"/>
        <v>0</v>
      </c>
      <c r="MT19" s="46">
        <f t="shared" si="5"/>
        <v>7500</v>
      </c>
      <c r="MU19" s="46">
        <f t="shared" si="5"/>
        <v>0</v>
      </c>
      <c r="MV19" s="46">
        <f t="shared" si="5"/>
        <v>0</v>
      </c>
      <c r="MW19" s="46">
        <f t="shared" si="5"/>
        <v>0</v>
      </c>
      <c r="MX19" s="46">
        <f t="shared" si="5"/>
        <v>0</v>
      </c>
    </row>
    <row r="20" spans="1:363" x14ac:dyDescent="0.25">
      <c r="A20" s="150"/>
      <c r="B20" s="47" t="s">
        <v>82</v>
      </c>
      <c r="C20" s="48">
        <f>SUBTOTAL(9,C6:C16)*-1</f>
        <v>-302.5</v>
      </c>
      <c r="D20" s="48">
        <f t="shared" ref="D20:BO20" si="6">SUBTOTAL(9,D6:D16)*-1</f>
        <v>-144.25</v>
      </c>
      <c r="E20" s="48">
        <f t="shared" si="6"/>
        <v>-433.43999999999994</v>
      </c>
      <c r="F20" s="48">
        <f t="shared" si="6"/>
        <v>-386.76</v>
      </c>
      <c r="G20" s="48">
        <f t="shared" si="6"/>
        <v>0</v>
      </c>
      <c r="H20" s="48">
        <f t="shared" si="6"/>
        <v>-202.69</v>
      </c>
      <c r="I20" s="48">
        <f t="shared" si="6"/>
        <v>-139.93</v>
      </c>
      <c r="J20" s="48">
        <f t="shared" si="6"/>
        <v>-513.4</v>
      </c>
      <c r="K20" s="48">
        <f t="shared" si="6"/>
        <v>-2374.48</v>
      </c>
      <c r="L20" s="48">
        <f t="shared" si="6"/>
        <v>0</v>
      </c>
      <c r="M20" s="48">
        <f t="shared" si="6"/>
        <v>-275.69999999999993</v>
      </c>
      <c r="N20" s="48">
        <f t="shared" si="6"/>
        <v>-333.81</v>
      </c>
      <c r="O20" s="48">
        <f t="shared" si="6"/>
        <v>-137.68</v>
      </c>
      <c r="P20" s="48">
        <f t="shared" si="6"/>
        <v>-335.35</v>
      </c>
      <c r="Q20" s="48">
        <f t="shared" si="6"/>
        <v>0</v>
      </c>
      <c r="R20" s="48">
        <f t="shared" si="6"/>
        <v>-203.51000000000002</v>
      </c>
      <c r="S20" s="48">
        <f t="shared" si="6"/>
        <v>-115.63</v>
      </c>
      <c r="T20" s="48">
        <f t="shared" si="6"/>
        <v>-75.400000000000006</v>
      </c>
      <c r="U20" s="48">
        <f t="shared" si="6"/>
        <v>-397.77</v>
      </c>
      <c r="V20" s="48">
        <f t="shared" si="6"/>
        <v>0</v>
      </c>
      <c r="W20" s="48">
        <f t="shared" si="6"/>
        <v>-234.97</v>
      </c>
      <c r="X20" s="48">
        <f t="shared" si="6"/>
        <v>-121.51</v>
      </c>
      <c r="Y20" s="48">
        <f t="shared" si="6"/>
        <v>-276.3</v>
      </c>
      <c r="Z20" s="48">
        <f t="shared" si="6"/>
        <v>-233.13</v>
      </c>
      <c r="AA20" s="48">
        <f t="shared" si="6"/>
        <v>0</v>
      </c>
      <c r="AB20" s="48">
        <f t="shared" si="6"/>
        <v>-178.56</v>
      </c>
      <c r="AC20" s="48">
        <f t="shared" si="6"/>
        <v>-66.45</v>
      </c>
      <c r="AD20" s="48">
        <f t="shared" si="6"/>
        <v>-148.96</v>
      </c>
      <c r="AE20" s="48">
        <f t="shared" si="6"/>
        <v>-509.64</v>
      </c>
      <c r="AF20" s="48">
        <f t="shared" si="6"/>
        <v>0</v>
      </c>
      <c r="AG20" s="48">
        <f t="shared" si="6"/>
        <v>-75</v>
      </c>
      <c r="AH20" s="48">
        <f t="shared" si="6"/>
        <v>-282.36</v>
      </c>
      <c r="AI20" s="48">
        <f t="shared" si="6"/>
        <v>-144.07</v>
      </c>
      <c r="AJ20" s="48">
        <f t="shared" si="6"/>
        <v>-454.40999999999997</v>
      </c>
      <c r="AK20" s="48">
        <f t="shared" si="6"/>
        <v>0</v>
      </c>
      <c r="AL20" s="48">
        <f t="shared" si="6"/>
        <v>-550.97</v>
      </c>
      <c r="AM20" s="48">
        <f t="shared" si="6"/>
        <v>-134.59</v>
      </c>
      <c r="AN20" s="48">
        <f t="shared" si="6"/>
        <v>-1664.2</v>
      </c>
      <c r="AO20" s="48">
        <f t="shared" si="6"/>
        <v>-246.23000000000002</v>
      </c>
      <c r="AP20" s="48">
        <f t="shared" si="6"/>
        <v>0</v>
      </c>
      <c r="AQ20" s="48">
        <f t="shared" si="6"/>
        <v>-50.69</v>
      </c>
      <c r="AR20" s="48">
        <f t="shared" si="6"/>
        <v>-128.04999999999998</v>
      </c>
      <c r="AS20" s="48">
        <f t="shared" si="6"/>
        <v>-92.3</v>
      </c>
      <c r="AT20" s="48">
        <f t="shared" si="6"/>
        <v>-767.85</v>
      </c>
      <c r="AU20" s="48">
        <f t="shared" si="6"/>
        <v>0</v>
      </c>
      <c r="AV20" s="48">
        <f t="shared" si="6"/>
        <v>-30.06</v>
      </c>
      <c r="AW20" s="48">
        <f t="shared" si="6"/>
        <v>-424.8</v>
      </c>
      <c r="AX20" s="48">
        <f t="shared" si="6"/>
        <v>-213.98000000000002</v>
      </c>
      <c r="AY20" s="48">
        <f t="shared" si="6"/>
        <v>-572.30000000000007</v>
      </c>
      <c r="AZ20" s="48">
        <f t="shared" si="6"/>
        <v>0</v>
      </c>
      <c r="BA20" s="48">
        <f t="shared" si="6"/>
        <v>-270.62</v>
      </c>
      <c r="BB20" s="48">
        <f t="shared" si="6"/>
        <v>-77.31</v>
      </c>
      <c r="BC20" s="48">
        <f t="shared" si="6"/>
        <v>-134.84</v>
      </c>
      <c r="BD20" s="48">
        <f t="shared" si="6"/>
        <v>-306.42</v>
      </c>
      <c r="BE20" s="48">
        <f t="shared" si="6"/>
        <v>-138.75</v>
      </c>
      <c r="BF20" s="48">
        <f t="shared" si="6"/>
        <v>-8.02</v>
      </c>
      <c r="BG20" s="48">
        <f t="shared" si="6"/>
        <v>-228.12</v>
      </c>
      <c r="BH20" s="48">
        <f t="shared" si="6"/>
        <v>-469.89</v>
      </c>
      <c r="BI20" s="48">
        <f t="shared" si="6"/>
        <v>-270.22000000000003</v>
      </c>
      <c r="BJ20" s="48">
        <f t="shared" si="6"/>
        <v>-714.09</v>
      </c>
      <c r="BK20" s="48">
        <f t="shared" si="6"/>
        <v>-115.12</v>
      </c>
      <c r="BL20" s="48">
        <f t="shared" si="6"/>
        <v>-195</v>
      </c>
      <c r="BM20" s="48">
        <f t="shared" si="6"/>
        <v>-2576.8000000000002</v>
      </c>
      <c r="BN20" s="48">
        <f t="shared" si="6"/>
        <v>-292.17</v>
      </c>
      <c r="BO20" s="48">
        <f t="shared" si="6"/>
        <v>-450.41</v>
      </c>
      <c r="BP20" s="48">
        <f t="shared" ref="BP20:EA20" si="7">SUBTOTAL(9,BP6:BP16)*-1</f>
        <v>-42.5</v>
      </c>
      <c r="BQ20" s="48">
        <f t="shared" si="7"/>
        <v>-71.5</v>
      </c>
      <c r="BR20" s="48">
        <f t="shared" si="7"/>
        <v>-120.66999999999999</v>
      </c>
      <c r="BS20" s="48">
        <f t="shared" si="7"/>
        <v>-454.98</v>
      </c>
      <c r="BT20" s="48">
        <f t="shared" si="7"/>
        <v>-323.60000000000002</v>
      </c>
      <c r="BU20" s="48">
        <f t="shared" si="7"/>
        <v>-192.18</v>
      </c>
      <c r="BV20" s="48">
        <f t="shared" si="7"/>
        <v>-19.899999999999999</v>
      </c>
      <c r="BW20" s="48">
        <f t="shared" si="7"/>
        <v>-105.75999999999999</v>
      </c>
      <c r="BX20" s="48">
        <f t="shared" si="7"/>
        <v>-222</v>
      </c>
      <c r="BY20" s="48">
        <f t="shared" si="7"/>
        <v>-695.03</v>
      </c>
      <c r="BZ20" s="48">
        <f t="shared" si="7"/>
        <v>-183.99</v>
      </c>
      <c r="CA20" s="48">
        <f t="shared" si="7"/>
        <v>-70.099999999999994</v>
      </c>
      <c r="CB20" s="48">
        <f t="shared" si="7"/>
        <v>-30.700000000000003</v>
      </c>
      <c r="CC20" s="48">
        <f t="shared" si="7"/>
        <v>-234.25</v>
      </c>
      <c r="CD20" s="48">
        <f t="shared" si="7"/>
        <v>-358.01</v>
      </c>
      <c r="CE20" s="48">
        <f t="shared" si="7"/>
        <v>-321.21000000000004</v>
      </c>
      <c r="CF20" s="48">
        <f t="shared" si="7"/>
        <v>-53.5</v>
      </c>
      <c r="CG20" s="48">
        <f t="shared" si="7"/>
        <v>-34.869999999999997</v>
      </c>
      <c r="CH20" s="48">
        <f t="shared" si="7"/>
        <v>-122.22999999999999</v>
      </c>
      <c r="CI20" s="48">
        <f t="shared" si="7"/>
        <v>-698.84</v>
      </c>
      <c r="CJ20" s="48">
        <f t="shared" si="7"/>
        <v>-84.41</v>
      </c>
      <c r="CK20" s="48">
        <f t="shared" si="7"/>
        <v>-23.58</v>
      </c>
      <c r="CL20" s="48">
        <f t="shared" si="7"/>
        <v>-137.60999999999999</v>
      </c>
      <c r="CM20" s="48">
        <f t="shared" si="7"/>
        <v>-297.28000000000003</v>
      </c>
      <c r="CN20" s="48">
        <f t="shared" si="7"/>
        <v>-499.12999999999988</v>
      </c>
      <c r="CO20" s="48">
        <f t="shared" si="7"/>
        <v>-138.16</v>
      </c>
      <c r="CP20" s="48">
        <f t="shared" si="7"/>
        <v>-130.57999999999998</v>
      </c>
      <c r="CQ20" s="48">
        <f t="shared" si="7"/>
        <v>-23.27</v>
      </c>
      <c r="CR20" s="48">
        <f t="shared" si="7"/>
        <v>-457.73</v>
      </c>
      <c r="CS20" s="48">
        <f t="shared" si="7"/>
        <v>-1611.5800000000002</v>
      </c>
      <c r="CT20" s="48">
        <f t="shared" si="7"/>
        <v>-71.39</v>
      </c>
      <c r="CU20" s="48">
        <f t="shared" si="7"/>
        <v>-28.490000000000002</v>
      </c>
      <c r="CV20" s="48">
        <f t="shared" si="7"/>
        <v>-49.8</v>
      </c>
      <c r="CW20" s="48">
        <f t="shared" si="7"/>
        <v>-8</v>
      </c>
      <c r="CX20" s="48">
        <f t="shared" si="7"/>
        <v>-911.89</v>
      </c>
      <c r="CY20" s="48">
        <f t="shared" si="7"/>
        <v>-106.81</v>
      </c>
      <c r="CZ20" s="48">
        <f t="shared" si="7"/>
        <v>-105.5</v>
      </c>
      <c r="DA20" s="48">
        <f t="shared" si="7"/>
        <v>-37</v>
      </c>
      <c r="DB20" s="48">
        <f t="shared" si="7"/>
        <v>0</v>
      </c>
      <c r="DC20" s="48">
        <f t="shared" si="7"/>
        <v>-1769.8100000000002</v>
      </c>
      <c r="DD20" s="48">
        <f t="shared" si="7"/>
        <v>-130.99</v>
      </c>
      <c r="DE20" s="48">
        <f t="shared" si="7"/>
        <v>-14.5</v>
      </c>
      <c r="DF20" s="48">
        <f t="shared" si="7"/>
        <v>-7.9</v>
      </c>
      <c r="DG20" s="48">
        <f t="shared" si="7"/>
        <v>-30.4</v>
      </c>
      <c r="DH20" s="48">
        <f t="shared" si="7"/>
        <v>-1264.58</v>
      </c>
      <c r="DI20" s="48">
        <f t="shared" si="7"/>
        <v>-69.02</v>
      </c>
      <c r="DJ20" s="48">
        <f t="shared" si="7"/>
        <v>-97.919999999999987</v>
      </c>
      <c r="DK20" s="48">
        <f t="shared" si="7"/>
        <v>0</v>
      </c>
      <c r="DL20" s="48">
        <f t="shared" si="7"/>
        <v>-4</v>
      </c>
      <c r="DM20" s="48">
        <f t="shared" si="7"/>
        <v>-2124.79</v>
      </c>
      <c r="DN20" s="48">
        <f t="shared" si="7"/>
        <v>-80.790000000000006</v>
      </c>
      <c r="DO20" s="48">
        <f t="shared" si="7"/>
        <v>-14.98</v>
      </c>
      <c r="DP20" s="48">
        <f t="shared" si="7"/>
        <v>-58</v>
      </c>
      <c r="DQ20" s="48">
        <f t="shared" si="7"/>
        <v>0</v>
      </c>
      <c r="DR20" s="48">
        <f t="shared" si="7"/>
        <v>-1713.2200000000003</v>
      </c>
      <c r="DS20" s="48">
        <f t="shared" si="7"/>
        <v>-75.09</v>
      </c>
      <c r="DT20" s="48">
        <f t="shared" si="7"/>
        <v>-118.99</v>
      </c>
      <c r="DU20" s="48">
        <f t="shared" si="7"/>
        <v>-31.32</v>
      </c>
      <c r="DV20" s="48">
        <f t="shared" si="7"/>
        <v>-25.92</v>
      </c>
      <c r="DW20" s="48">
        <f t="shared" si="7"/>
        <v>-1243.25</v>
      </c>
      <c r="DX20" s="48">
        <f t="shared" si="7"/>
        <v>-49.24</v>
      </c>
      <c r="DY20" s="48">
        <f t="shared" si="7"/>
        <v>-52.44</v>
      </c>
      <c r="DZ20" s="48">
        <f t="shared" si="7"/>
        <v>-85.1</v>
      </c>
      <c r="EA20" s="48">
        <f t="shared" si="7"/>
        <v>-7.24</v>
      </c>
      <c r="EB20" s="48">
        <f t="shared" ref="EB20:GM20" si="8">SUBTOTAL(9,EB6:EB16)*-1</f>
        <v>-1454.17</v>
      </c>
      <c r="EC20" s="48">
        <f t="shared" si="8"/>
        <v>-100.64</v>
      </c>
      <c r="ED20" s="48">
        <f t="shared" si="8"/>
        <v>-43.89</v>
      </c>
      <c r="EE20" s="48">
        <f t="shared" si="8"/>
        <v>-515.07999999999993</v>
      </c>
      <c r="EF20" s="48">
        <f t="shared" si="8"/>
        <v>-275.92</v>
      </c>
      <c r="EG20" s="48">
        <f t="shared" si="8"/>
        <v>-1514.5800000000002</v>
      </c>
      <c r="EH20" s="48">
        <f t="shared" si="8"/>
        <v>-315.71999999999997</v>
      </c>
      <c r="EI20" s="48">
        <f t="shared" si="8"/>
        <v>-227.21000000000004</v>
      </c>
      <c r="EJ20" s="48">
        <f t="shared" si="8"/>
        <v>-96.32</v>
      </c>
      <c r="EK20" s="48">
        <f t="shared" si="8"/>
        <v>-163.51</v>
      </c>
      <c r="EL20" s="48">
        <f t="shared" si="8"/>
        <v>-853.57999999999993</v>
      </c>
      <c r="EM20" s="48">
        <f t="shared" si="8"/>
        <v>-153.86000000000001</v>
      </c>
      <c r="EN20" s="48">
        <f t="shared" si="8"/>
        <v>-123.48</v>
      </c>
      <c r="EO20" s="48">
        <f t="shared" si="8"/>
        <v>-64.2</v>
      </c>
      <c r="EP20" s="48">
        <f t="shared" si="8"/>
        <v>-99.96</v>
      </c>
      <c r="EQ20" s="48">
        <f t="shared" si="8"/>
        <v>-764.81</v>
      </c>
      <c r="ER20" s="48">
        <f t="shared" si="8"/>
        <v>-58.46</v>
      </c>
      <c r="ES20" s="48">
        <f t="shared" si="8"/>
        <v>0</v>
      </c>
      <c r="ET20" s="48">
        <f t="shared" si="8"/>
        <v>0</v>
      </c>
      <c r="EU20" s="48">
        <f t="shared" si="8"/>
        <v>-154.83000000000001</v>
      </c>
      <c r="EV20" s="48">
        <f t="shared" si="8"/>
        <v>-803.28</v>
      </c>
      <c r="EW20" s="48">
        <f t="shared" si="8"/>
        <v>-48.93</v>
      </c>
      <c r="EX20" s="48">
        <f t="shared" si="8"/>
        <v>0</v>
      </c>
      <c r="EY20" s="48">
        <f t="shared" si="8"/>
        <v>-83</v>
      </c>
      <c r="EZ20" s="48">
        <f t="shared" si="8"/>
        <v>0</v>
      </c>
      <c r="FA20" s="48">
        <f t="shared" si="8"/>
        <v>-1825.9100000000003</v>
      </c>
      <c r="FB20" s="48">
        <f t="shared" si="8"/>
        <v>-48.93</v>
      </c>
      <c r="FC20" s="48">
        <f t="shared" si="8"/>
        <v>-438.34</v>
      </c>
      <c r="FD20" s="48">
        <f t="shared" si="8"/>
        <v>0</v>
      </c>
      <c r="FE20" s="48">
        <f t="shared" si="8"/>
        <v>0</v>
      </c>
      <c r="FF20" s="48">
        <f t="shared" si="8"/>
        <v>-2522.04</v>
      </c>
      <c r="FG20" s="48">
        <f t="shared" si="8"/>
        <v>-48.93</v>
      </c>
      <c r="FH20" s="48">
        <f t="shared" si="8"/>
        <v>0</v>
      </c>
      <c r="FI20" s="48">
        <f t="shared" si="8"/>
        <v>0</v>
      </c>
      <c r="FJ20" s="48">
        <f t="shared" si="8"/>
        <v>0</v>
      </c>
      <c r="FK20" s="48">
        <f t="shared" si="8"/>
        <v>-669.54</v>
      </c>
      <c r="FL20" s="48">
        <f t="shared" si="8"/>
        <v>-59.45</v>
      </c>
      <c r="FM20" s="48">
        <f t="shared" si="8"/>
        <v>-42.67</v>
      </c>
      <c r="FN20" s="48">
        <f t="shared" si="8"/>
        <v>0</v>
      </c>
      <c r="FO20" s="48">
        <f t="shared" si="8"/>
        <v>0</v>
      </c>
      <c r="FP20" s="48">
        <f t="shared" si="8"/>
        <v>-699.72</v>
      </c>
      <c r="FQ20" s="48">
        <f t="shared" si="8"/>
        <v>-48.93</v>
      </c>
      <c r="FR20" s="48">
        <f t="shared" si="8"/>
        <v>0</v>
      </c>
      <c r="FS20" s="48">
        <f t="shared" si="8"/>
        <v>-1150</v>
      </c>
      <c r="FT20" s="48">
        <f t="shared" si="8"/>
        <v>0</v>
      </c>
      <c r="FU20" s="48">
        <f t="shared" si="8"/>
        <v>-1047.5899999999999</v>
      </c>
      <c r="FV20" s="48">
        <f t="shared" si="8"/>
        <v>-126.03999999999999</v>
      </c>
      <c r="FW20" s="48">
        <f t="shared" si="8"/>
        <v>0</v>
      </c>
      <c r="FX20" s="48">
        <f t="shared" si="8"/>
        <v>-347.19</v>
      </c>
      <c r="FY20" s="48">
        <f t="shared" si="8"/>
        <v>-174.13</v>
      </c>
      <c r="FZ20" s="48">
        <f t="shared" si="8"/>
        <v>-1837.67</v>
      </c>
      <c r="GA20" s="48">
        <f t="shared" si="8"/>
        <v>-266.83</v>
      </c>
      <c r="GB20" s="48">
        <f t="shared" si="8"/>
        <v>-51.870000000000005</v>
      </c>
      <c r="GC20" s="48">
        <f t="shared" si="8"/>
        <v>-42.980000000000004</v>
      </c>
      <c r="GD20" s="48">
        <f t="shared" si="8"/>
        <v>0</v>
      </c>
      <c r="GE20" s="48">
        <f t="shared" si="8"/>
        <v>-1331.69</v>
      </c>
      <c r="GF20" s="48">
        <f t="shared" si="8"/>
        <v>-48.93</v>
      </c>
      <c r="GG20" s="48">
        <f t="shared" si="8"/>
        <v>-600</v>
      </c>
      <c r="GH20" s="48">
        <f t="shared" si="8"/>
        <v>-809.53</v>
      </c>
      <c r="GI20" s="48">
        <f t="shared" si="8"/>
        <v>0</v>
      </c>
      <c r="GJ20" s="48">
        <f t="shared" si="8"/>
        <v>-1237.01</v>
      </c>
      <c r="GK20" s="48">
        <f t="shared" si="8"/>
        <v>-360.48</v>
      </c>
      <c r="GL20" s="48">
        <f t="shared" si="8"/>
        <v>-539.26</v>
      </c>
      <c r="GM20" s="48">
        <f t="shared" si="8"/>
        <v>-15.9</v>
      </c>
      <c r="GN20" s="48">
        <f t="shared" ref="GN20:IY20" si="9">SUBTOTAL(9,GN6:GN16)*-1</f>
        <v>0</v>
      </c>
      <c r="GO20" s="48">
        <f t="shared" si="9"/>
        <v>-388.44999999999993</v>
      </c>
      <c r="GP20" s="48">
        <f t="shared" si="9"/>
        <v>-50.26</v>
      </c>
      <c r="GQ20" s="48">
        <f t="shared" si="9"/>
        <v>-19</v>
      </c>
      <c r="GR20" s="48">
        <f t="shared" si="9"/>
        <v>-172.4</v>
      </c>
      <c r="GS20" s="48">
        <f t="shared" si="9"/>
        <v>0</v>
      </c>
      <c r="GT20" s="48">
        <f t="shared" si="9"/>
        <v>-907.39</v>
      </c>
      <c r="GU20" s="48">
        <f t="shared" si="9"/>
        <v>-194.48999999999998</v>
      </c>
      <c r="GV20" s="48">
        <f t="shared" si="9"/>
        <v>0</v>
      </c>
      <c r="GW20" s="48">
        <f t="shared" si="9"/>
        <v>-313.39</v>
      </c>
      <c r="GX20" s="48">
        <f t="shared" si="9"/>
        <v>-2200</v>
      </c>
      <c r="GY20" s="48">
        <f t="shared" si="9"/>
        <v>-2730.9900000000002</v>
      </c>
      <c r="GZ20" s="48">
        <f t="shared" si="9"/>
        <v>-5472.13</v>
      </c>
      <c r="HA20" s="48">
        <f t="shared" si="9"/>
        <v>-26801.13</v>
      </c>
      <c r="HB20" s="48">
        <f t="shared" si="9"/>
        <v>-16037.8</v>
      </c>
      <c r="HC20" s="48">
        <f t="shared" si="9"/>
        <v>-22816.359999999997</v>
      </c>
      <c r="HD20" s="48">
        <f t="shared" si="9"/>
        <v>-728.81</v>
      </c>
      <c r="HE20" s="48">
        <f t="shared" si="9"/>
        <v>-68.92</v>
      </c>
      <c r="HF20" s="48">
        <f t="shared" si="9"/>
        <v>-50</v>
      </c>
      <c r="HG20" s="48">
        <f t="shared" si="9"/>
        <v>-2571</v>
      </c>
      <c r="HH20" s="48">
        <f t="shared" si="9"/>
        <v>0</v>
      </c>
      <c r="HI20" s="48">
        <f t="shared" si="9"/>
        <v>-445</v>
      </c>
      <c r="HJ20" s="48">
        <f t="shared" si="9"/>
        <v>-2006.98</v>
      </c>
      <c r="HK20" s="48">
        <f t="shared" si="9"/>
        <v>-2637</v>
      </c>
      <c r="HL20" s="48">
        <f t="shared" si="9"/>
        <v>-1455.3</v>
      </c>
      <c r="HM20" s="48">
        <f t="shared" si="9"/>
        <v>0</v>
      </c>
      <c r="HN20" s="48">
        <f t="shared" si="9"/>
        <v>-2063.9899999999998</v>
      </c>
      <c r="HO20" s="48">
        <f t="shared" si="9"/>
        <v>-1891.98</v>
      </c>
      <c r="HP20" s="48">
        <f t="shared" si="9"/>
        <v>-4861.8</v>
      </c>
      <c r="HQ20" s="48">
        <f t="shared" si="9"/>
        <v>-217.69</v>
      </c>
      <c r="HR20" s="48">
        <f t="shared" si="9"/>
        <v>-2381.9</v>
      </c>
      <c r="HS20" s="48">
        <f t="shared" si="9"/>
        <v>-576.41999999999996</v>
      </c>
      <c r="HT20" s="48">
        <f t="shared" si="9"/>
        <v>-202.01</v>
      </c>
      <c r="HU20" s="48">
        <f t="shared" si="9"/>
        <v>-4</v>
      </c>
      <c r="HV20" s="48">
        <f t="shared" si="9"/>
        <v>-717.09</v>
      </c>
      <c r="HW20" s="48">
        <f t="shared" si="9"/>
        <v>-581.1</v>
      </c>
      <c r="HX20" s="48">
        <f t="shared" si="9"/>
        <v>-991.6400000000001</v>
      </c>
      <c r="HY20" s="48">
        <f t="shared" si="9"/>
        <v>-225.26999999999998</v>
      </c>
      <c r="HZ20" s="48">
        <f t="shared" si="9"/>
        <v>-155.07</v>
      </c>
      <c r="IA20" s="48">
        <f t="shared" si="9"/>
        <v>-745.52</v>
      </c>
      <c r="IB20" s="48">
        <f t="shared" si="9"/>
        <v>-548.91000000000008</v>
      </c>
      <c r="IC20" s="48">
        <f t="shared" si="9"/>
        <v>-432.19000000000005</v>
      </c>
      <c r="ID20" s="48">
        <f t="shared" si="9"/>
        <v>-18720.16</v>
      </c>
      <c r="IE20" s="48">
        <f t="shared" si="9"/>
        <v>-1038.67</v>
      </c>
      <c r="IF20" s="48">
        <f t="shared" si="9"/>
        <v>-811.24</v>
      </c>
      <c r="IG20" s="48">
        <f t="shared" si="9"/>
        <v>-12355.590000000002</v>
      </c>
      <c r="IH20" s="48">
        <f t="shared" si="9"/>
        <v>-127.32</v>
      </c>
      <c r="II20" s="48">
        <f t="shared" si="9"/>
        <v>-92.68</v>
      </c>
      <c r="IJ20" s="48">
        <f t="shared" si="9"/>
        <v>0</v>
      </c>
      <c r="IK20" s="48">
        <f t="shared" si="9"/>
        <v>-218.88000000000002</v>
      </c>
      <c r="IL20" s="48">
        <f t="shared" si="9"/>
        <v>-139.9</v>
      </c>
      <c r="IM20" s="48">
        <f t="shared" si="9"/>
        <v>-1018.5999999999999</v>
      </c>
      <c r="IN20" s="48">
        <f t="shared" si="9"/>
        <v>-142.73000000000002</v>
      </c>
      <c r="IO20" s="48">
        <f t="shared" si="9"/>
        <v>-1663.99</v>
      </c>
      <c r="IP20" s="48">
        <f t="shared" si="9"/>
        <v>-178</v>
      </c>
      <c r="IQ20" s="48">
        <f t="shared" si="9"/>
        <v>-150.19999999999999</v>
      </c>
      <c r="IR20" s="48">
        <f t="shared" si="9"/>
        <v>-1476.9299999999998</v>
      </c>
      <c r="IS20" s="48">
        <f t="shared" si="9"/>
        <v>-3155.0499999999997</v>
      </c>
      <c r="IT20" s="48">
        <f t="shared" si="9"/>
        <v>-674.33</v>
      </c>
      <c r="IU20" s="48">
        <f t="shared" si="9"/>
        <v>-2842.59</v>
      </c>
      <c r="IV20" s="48">
        <f t="shared" si="9"/>
        <v>-3106.5</v>
      </c>
      <c r="IW20" s="48">
        <f t="shared" si="9"/>
        <v>-993.95</v>
      </c>
      <c r="IX20" s="48">
        <f t="shared" si="9"/>
        <v>-7681.25</v>
      </c>
      <c r="IY20" s="48">
        <f t="shared" si="9"/>
        <v>-2000</v>
      </c>
      <c r="IZ20" s="48">
        <f t="shared" ref="IZ20:LK20" si="10">SUBTOTAL(9,IZ6:IZ16)*-1</f>
        <v>-2020</v>
      </c>
      <c r="JA20" s="48">
        <f t="shared" si="10"/>
        <v>-2000</v>
      </c>
      <c r="JB20" s="48">
        <f t="shared" si="10"/>
        <v>-3133.79</v>
      </c>
      <c r="JC20" s="48">
        <f t="shared" si="10"/>
        <v>-4374.83</v>
      </c>
      <c r="JD20" s="48">
        <f t="shared" si="10"/>
        <v>-141.09</v>
      </c>
      <c r="JE20" s="48">
        <f t="shared" si="10"/>
        <v>-450.22</v>
      </c>
      <c r="JF20" s="48">
        <f t="shared" si="10"/>
        <v>-584.80999999999995</v>
      </c>
      <c r="JG20" s="48">
        <f t="shared" si="10"/>
        <v>-3056.8900000000003</v>
      </c>
      <c r="JH20" s="48">
        <f t="shared" si="10"/>
        <v>-578.44000000000005</v>
      </c>
      <c r="JI20" s="48">
        <f t="shared" si="10"/>
        <v>-348.68</v>
      </c>
      <c r="JJ20" s="48">
        <f t="shared" si="10"/>
        <v>-143</v>
      </c>
      <c r="JK20" s="48">
        <f t="shared" si="10"/>
        <v>-279.58999999999997</v>
      </c>
      <c r="JL20" s="48">
        <f t="shared" si="10"/>
        <v>-3080.88</v>
      </c>
      <c r="JM20" s="48">
        <f t="shared" si="10"/>
        <v>-5802.84</v>
      </c>
      <c r="JN20" s="48">
        <f t="shared" si="10"/>
        <v>-3359.99</v>
      </c>
      <c r="JO20" s="48">
        <f t="shared" si="10"/>
        <v>-2624.4500000000003</v>
      </c>
      <c r="JP20" s="48">
        <f t="shared" si="10"/>
        <v>-2794.86</v>
      </c>
      <c r="JQ20" s="48">
        <f t="shared" si="10"/>
        <v>-4327.53</v>
      </c>
      <c r="JR20" s="48">
        <f t="shared" si="10"/>
        <v>-4024.26</v>
      </c>
      <c r="JS20" s="48">
        <f t="shared" si="10"/>
        <v>-2933.4700000000003</v>
      </c>
      <c r="JT20" s="48">
        <f t="shared" si="10"/>
        <v>-5481.71</v>
      </c>
      <c r="JU20" s="48">
        <f t="shared" si="10"/>
        <v>-837.88999999999987</v>
      </c>
      <c r="JV20" s="48">
        <f t="shared" si="10"/>
        <v>-868.19000000000028</v>
      </c>
      <c r="JW20" s="48">
        <f t="shared" si="10"/>
        <v>-403.92</v>
      </c>
      <c r="JX20" s="48">
        <f t="shared" si="10"/>
        <v>-1144.9000000000001</v>
      </c>
      <c r="JY20" s="48">
        <f t="shared" si="10"/>
        <v>-1009.5</v>
      </c>
      <c r="JZ20" s="48">
        <f t="shared" si="10"/>
        <v>-511.49</v>
      </c>
      <c r="KA20" s="48">
        <f t="shared" si="10"/>
        <v>-2016.8600000000001</v>
      </c>
      <c r="KB20" s="48">
        <f t="shared" si="10"/>
        <v>-998.81000000000006</v>
      </c>
      <c r="KC20" s="48">
        <f t="shared" si="10"/>
        <v>-500</v>
      </c>
      <c r="KD20" s="48">
        <f t="shared" si="10"/>
        <v>-1000</v>
      </c>
      <c r="KE20" s="48">
        <f t="shared" si="10"/>
        <v>-1445.62</v>
      </c>
      <c r="KF20" s="48">
        <f t="shared" si="10"/>
        <v>-1576.7799999999997</v>
      </c>
      <c r="KG20" s="48">
        <f t="shared" si="10"/>
        <v>-2266.59</v>
      </c>
      <c r="KH20" s="48">
        <f t="shared" si="10"/>
        <v>-1000</v>
      </c>
      <c r="KI20" s="48">
        <f t="shared" si="10"/>
        <v>-1000</v>
      </c>
      <c r="KJ20" s="48">
        <f t="shared" si="10"/>
        <v>-1021</v>
      </c>
      <c r="KK20" s="48">
        <f t="shared" si="10"/>
        <v>-2899.86</v>
      </c>
      <c r="KL20" s="48">
        <f t="shared" si="10"/>
        <v>-2209.4900000000002</v>
      </c>
      <c r="KM20" s="48">
        <f t="shared" si="10"/>
        <v>-139.66</v>
      </c>
      <c r="KN20" s="48">
        <f t="shared" si="10"/>
        <v>-429.90999999999997</v>
      </c>
      <c r="KO20" s="48">
        <f t="shared" si="10"/>
        <v>-507.76</v>
      </c>
      <c r="KP20" s="48">
        <f t="shared" si="10"/>
        <v>-2520.4800000000005</v>
      </c>
      <c r="KQ20" s="48">
        <f t="shared" si="10"/>
        <v>-4404.57</v>
      </c>
      <c r="KR20" s="48">
        <f t="shared" si="10"/>
        <v>-3895.4799999999996</v>
      </c>
      <c r="KS20" s="48">
        <f t="shared" si="10"/>
        <v>-10710.43</v>
      </c>
      <c r="KT20" s="48">
        <f t="shared" si="10"/>
        <v>-1100.5999999999999</v>
      </c>
      <c r="KU20" s="48">
        <f t="shared" si="10"/>
        <v>-2125</v>
      </c>
      <c r="KV20" s="48">
        <f t="shared" si="10"/>
        <v>-4182.6899999999996</v>
      </c>
      <c r="KW20" s="48">
        <f t="shared" si="10"/>
        <v>-591</v>
      </c>
      <c r="KX20" s="48">
        <f t="shared" si="10"/>
        <v>-89.899999999999991</v>
      </c>
      <c r="KY20" s="48">
        <f t="shared" si="10"/>
        <v>-534.82000000000005</v>
      </c>
      <c r="KZ20" s="48">
        <f t="shared" si="10"/>
        <v>-574.4899999999999</v>
      </c>
      <c r="LA20" s="48">
        <f t="shared" si="10"/>
        <v>-7659.8</v>
      </c>
      <c r="LB20" s="48">
        <f t="shared" si="10"/>
        <v>-182.54</v>
      </c>
      <c r="LC20" s="48">
        <f t="shared" si="10"/>
        <v>-672.05</v>
      </c>
      <c r="LD20" s="48">
        <f t="shared" si="10"/>
        <v>-260.18</v>
      </c>
      <c r="LE20" s="48">
        <f t="shared" si="10"/>
        <v>-1717.69</v>
      </c>
      <c r="LF20" s="48">
        <f t="shared" si="10"/>
        <v>-4026.7300000000005</v>
      </c>
      <c r="LG20" s="48">
        <f t="shared" si="10"/>
        <v>-935.34999999999991</v>
      </c>
      <c r="LH20" s="48">
        <f t="shared" si="10"/>
        <v>-298.26</v>
      </c>
      <c r="LI20" s="48">
        <f t="shared" si="10"/>
        <v>-758.00999999999988</v>
      </c>
      <c r="LJ20" s="48">
        <f t="shared" si="10"/>
        <v>-1359.5800000000002</v>
      </c>
      <c r="LK20" s="48">
        <f t="shared" si="10"/>
        <v>-2902.44</v>
      </c>
      <c r="LL20" s="48">
        <f t="shared" ref="LL20:MX20" si="11">SUBTOTAL(9,LL6:LL16)*-1</f>
        <v>-927.52</v>
      </c>
      <c r="LM20" s="48">
        <f t="shared" si="11"/>
        <v>-608.97</v>
      </c>
      <c r="LN20" s="48">
        <f t="shared" si="11"/>
        <v>-318.83</v>
      </c>
      <c r="LO20" s="48">
        <f t="shared" si="11"/>
        <v>-2230.41</v>
      </c>
      <c r="LP20" s="48">
        <f t="shared" si="11"/>
        <v>-3324.59</v>
      </c>
      <c r="LQ20" s="48">
        <f t="shared" si="11"/>
        <v>-38.700000000000003</v>
      </c>
      <c r="LR20" s="48">
        <f t="shared" si="11"/>
        <v>-229.06</v>
      </c>
      <c r="LS20" s="48">
        <f t="shared" si="11"/>
        <v>-415.66</v>
      </c>
      <c r="LT20" s="48">
        <f t="shared" si="11"/>
        <v>-2681.29</v>
      </c>
      <c r="LU20" s="48">
        <f t="shared" si="11"/>
        <v>-18008.260000000002</v>
      </c>
      <c r="LV20" s="48">
        <f t="shared" si="11"/>
        <v>-1057.98</v>
      </c>
      <c r="LW20" s="48">
        <f t="shared" si="11"/>
        <v>-334.93</v>
      </c>
      <c r="LX20" s="48">
        <f t="shared" si="11"/>
        <v>-308.39999999999998</v>
      </c>
      <c r="LY20" s="48">
        <f t="shared" si="11"/>
        <v>-3537.23</v>
      </c>
      <c r="LZ20" s="48">
        <f t="shared" si="11"/>
        <v>-2360.1200000000003</v>
      </c>
      <c r="MA20" s="48">
        <f t="shared" si="11"/>
        <v>-807.29000000000008</v>
      </c>
      <c r="MB20" s="48">
        <f t="shared" si="11"/>
        <v>-2068.64</v>
      </c>
      <c r="MC20" s="48">
        <f t="shared" si="11"/>
        <v>-1056.5499999999997</v>
      </c>
      <c r="MD20" s="48">
        <f t="shared" si="11"/>
        <v>-2494.9300000000007</v>
      </c>
      <c r="ME20" s="48">
        <f t="shared" si="11"/>
        <v>-2815.7699999999995</v>
      </c>
      <c r="MF20" s="48">
        <f t="shared" si="11"/>
        <v>-1155.1500000000001</v>
      </c>
      <c r="MG20" s="48">
        <f t="shared" si="11"/>
        <v>-408.09000000000003</v>
      </c>
      <c r="MH20" s="48">
        <f t="shared" si="11"/>
        <v>-833.41</v>
      </c>
      <c r="MI20" s="48">
        <f t="shared" si="11"/>
        <v>-2373.2000000000003</v>
      </c>
      <c r="MJ20" s="48">
        <f t="shared" si="11"/>
        <v>-5137.34</v>
      </c>
      <c r="MK20" s="48">
        <f t="shared" si="11"/>
        <v>-358.86</v>
      </c>
      <c r="ML20" s="48">
        <f t="shared" si="11"/>
        <v>-174.82</v>
      </c>
      <c r="MM20" s="48">
        <f t="shared" si="11"/>
        <v>-360.09000000000003</v>
      </c>
      <c r="MN20" s="48">
        <f t="shared" si="11"/>
        <v>-2261.5299999999997</v>
      </c>
      <c r="MO20" s="48">
        <f t="shared" si="11"/>
        <v>-5565.3</v>
      </c>
      <c r="MP20" s="48">
        <f t="shared" si="11"/>
        <v>0</v>
      </c>
      <c r="MQ20" s="48">
        <f t="shared" si="11"/>
        <v>-408.86</v>
      </c>
      <c r="MR20" s="48">
        <f t="shared" si="11"/>
        <v>-99.9</v>
      </c>
      <c r="MS20" s="48">
        <f t="shared" si="11"/>
        <v>-3500.77</v>
      </c>
      <c r="MT20" s="48">
        <f t="shared" si="11"/>
        <v>-3794.38</v>
      </c>
      <c r="MU20" s="48">
        <f t="shared" si="11"/>
        <v>0</v>
      </c>
      <c r="MV20" s="48">
        <f t="shared" si="11"/>
        <v>0</v>
      </c>
      <c r="MW20" s="48">
        <f t="shared" si="11"/>
        <v>-599.9</v>
      </c>
      <c r="MX20" s="48">
        <f t="shared" si="11"/>
        <v>-1878.5200000000002</v>
      </c>
      <c r="MY20" s="2"/>
    </row>
    <row r="21" spans="1:363" x14ac:dyDescent="0.25">
      <c r="A21" s="49"/>
      <c r="B21" s="50"/>
      <c r="C21" s="51"/>
      <c r="D21" s="51"/>
      <c r="E21" s="51"/>
      <c r="F21" s="51"/>
      <c r="G21" s="51"/>
      <c r="H21" s="51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1"/>
      <c r="T21" s="51"/>
      <c r="U21" s="51"/>
      <c r="V21" s="51"/>
      <c r="W21" s="51"/>
      <c r="X21" s="51"/>
      <c r="Y21" s="51"/>
      <c r="Z21" s="51"/>
      <c r="AA21" s="51"/>
      <c r="AB21" s="51"/>
      <c r="AC21" s="51"/>
      <c r="AD21" s="51"/>
      <c r="AE21" s="51"/>
      <c r="AF21" s="51"/>
      <c r="AG21" s="51"/>
      <c r="AH21" s="51"/>
      <c r="AI21" s="51"/>
      <c r="AJ21" s="51"/>
      <c r="AK21" s="51"/>
      <c r="AL21" s="51"/>
      <c r="AM21" s="51"/>
      <c r="AN21" s="51"/>
      <c r="AO21" s="51"/>
      <c r="AP21" s="51"/>
      <c r="AQ21" s="51"/>
      <c r="AR21" s="51"/>
      <c r="AS21" s="51"/>
      <c r="AT21" s="51"/>
      <c r="AU21" s="51"/>
      <c r="AV21" s="51"/>
      <c r="AW21" s="51"/>
      <c r="AX21" s="51"/>
      <c r="AY21" s="51"/>
      <c r="AZ21" s="51"/>
      <c r="BA21" s="51"/>
      <c r="BB21" s="51"/>
      <c r="BC21" s="51"/>
      <c r="BD21" s="51"/>
      <c r="BE21" s="51"/>
      <c r="BF21" s="51"/>
      <c r="BG21" s="51"/>
      <c r="BH21" s="51"/>
      <c r="BI21" s="51"/>
      <c r="BJ21" s="51"/>
      <c r="BK21" s="51"/>
      <c r="BL21" s="51"/>
      <c r="BM21" s="51"/>
      <c r="BN21" s="51"/>
      <c r="BO21" s="51"/>
      <c r="BP21" s="51"/>
      <c r="BQ21" s="51"/>
      <c r="BR21" s="51"/>
      <c r="BS21" s="51"/>
      <c r="BT21" s="51"/>
      <c r="BU21" s="51"/>
      <c r="BV21" s="51"/>
      <c r="BW21" s="51"/>
      <c r="BX21" s="51"/>
      <c r="BY21" s="51"/>
      <c r="BZ21" s="51"/>
      <c r="CA21" s="51"/>
      <c r="CB21" s="51"/>
      <c r="CC21" s="51"/>
      <c r="CD21" s="51"/>
      <c r="CE21" s="51"/>
      <c r="CF21" s="51"/>
      <c r="CG21" s="51"/>
      <c r="CH21" s="51"/>
      <c r="CI21" s="51"/>
      <c r="CJ21" s="51"/>
      <c r="CK21" s="51"/>
      <c r="CL21" s="51"/>
      <c r="CM21" s="51"/>
      <c r="CN21" s="51"/>
      <c r="CO21" s="51"/>
      <c r="CP21" s="51"/>
      <c r="CQ21" s="51"/>
      <c r="CR21" s="51"/>
      <c r="CS21" s="51"/>
      <c r="CT21" s="51"/>
      <c r="CU21" s="51"/>
      <c r="CV21" s="51"/>
      <c r="CW21" s="51"/>
      <c r="CX21" s="51"/>
      <c r="CY21" s="51"/>
      <c r="CZ21" s="51"/>
      <c r="DA21" s="51"/>
      <c r="DB21" s="51"/>
      <c r="DC21" s="51"/>
      <c r="DD21" s="51"/>
      <c r="DE21" s="51"/>
      <c r="DF21" s="51"/>
      <c r="DG21" s="51"/>
      <c r="DH21" s="51"/>
      <c r="DI21" s="51"/>
      <c r="DJ21" s="51"/>
      <c r="DK21" s="51"/>
      <c r="DL21" s="51"/>
      <c r="DM21" s="51"/>
      <c r="DN21" s="51"/>
      <c r="DO21" s="51"/>
      <c r="DP21" s="51"/>
      <c r="DQ21" s="51"/>
      <c r="DR21" s="51"/>
      <c r="DS21" s="51"/>
      <c r="DT21" s="51"/>
      <c r="DU21" s="51"/>
      <c r="DV21" s="51"/>
      <c r="DW21" s="51"/>
      <c r="DX21" s="51"/>
      <c r="DY21" s="51"/>
      <c r="DZ21" s="51"/>
      <c r="EA21" s="51"/>
      <c r="EB21" s="51"/>
      <c r="EC21" s="51"/>
      <c r="ED21" s="51"/>
      <c r="EE21" s="51"/>
      <c r="EF21" s="51"/>
      <c r="EG21" s="51"/>
      <c r="EH21" s="51"/>
      <c r="EI21" s="51"/>
      <c r="EJ21" s="51"/>
      <c r="EK21" s="51"/>
      <c r="EL21" s="51"/>
      <c r="EM21" s="51"/>
      <c r="EN21" s="51"/>
      <c r="EO21" s="51"/>
      <c r="EP21" s="51"/>
      <c r="EQ21" s="51"/>
      <c r="ER21" s="51"/>
      <c r="ES21" s="51"/>
      <c r="ET21" s="51"/>
      <c r="EU21" s="51"/>
      <c r="EV21" s="51"/>
      <c r="EW21" s="51"/>
      <c r="EX21" s="51"/>
      <c r="EY21" s="51"/>
      <c r="EZ21" s="51"/>
      <c r="FA21" s="51"/>
      <c r="FB21" s="51"/>
      <c r="FC21" s="51"/>
      <c r="FD21" s="51"/>
      <c r="FE21" s="51"/>
      <c r="FF21" s="51"/>
      <c r="FG21" s="51"/>
      <c r="FH21" s="51"/>
      <c r="FI21" s="51"/>
      <c r="FJ21" s="51"/>
      <c r="FK21" s="51"/>
      <c r="FL21" s="51"/>
      <c r="FM21" s="51"/>
      <c r="FN21" s="51"/>
      <c r="FO21" s="51"/>
      <c r="FP21" s="51"/>
      <c r="FQ21" s="51"/>
      <c r="FR21" s="51"/>
      <c r="FS21" s="51"/>
      <c r="FT21" s="51"/>
      <c r="FU21" s="51"/>
      <c r="FV21" s="51"/>
      <c r="FW21" s="51"/>
      <c r="FX21" s="51"/>
      <c r="FY21" s="51"/>
      <c r="FZ21" s="51"/>
      <c r="GA21" s="51"/>
      <c r="GB21" s="51"/>
      <c r="GC21" s="51"/>
      <c r="GD21" s="51"/>
      <c r="GE21" s="51"/>
      <c r="GF21" s="51"/>
      <c r="GG21" s="51"/>
      <c r="GH21" s="51"/>
      <c r="GI21" s="51"/>
      <c r="GJ21" s="51"/>
      <c r="GK21" s="51"/>
      <c r="GL21" s="51"/>
      <c r="GM21" s="51"/>
      <c r="GN21" s="51"/>
      <c r="GO21" s="51"/>
      <c r="GP21" s="51"/>
      <c r="GQ21" s="51"/>
      <c r="GR21" s="51"/>
      <c r="GS21" s="51"/>
      <c r="GT21" s="51"/>
      <c r="GU21" s="51"/>
      <c r="GV21" s="51"/>
      <c r="GW21" s="51"/>
      <c r="GX21" s="51"/>
      <c r="GY21" s="51"/>
      <c r="GZ21" s="51"/>
      <c r="HA21" s="51"/>
      <c r="HB21" s="51"/>
      <c r="HC21" s="51"/>
      <c r="HD21" s="51"/>
      <c r="HE21" s="51"/>
      <c r="HF21" s="51"/>
      <c r="HG21" s="51"/>
      <c r="HH21" s="51"/>
      <c r="HI21" s="51"/>
      <c r="HJ21" s="51"/>
      <c r="HK21" s="51"/>
      <c r="HL21" s="51"/>
      <c r="HM21" s="51"/>
      <c r="HN21" s="51"/>
      <c r="HO21" s="51"/>
      <c r="HP21" s="51"/>
      <c r="HQ21" s="51"/>
      <c r="HR21" s="51"/>
      <c r="HS21" s="51"/>
      <c r="HT21" s="51"/>
      <c r="HU21" s="51"/>
      <c r="HV21" s="51"/>
      <c r="HW21" s="51"/>
      <c r="HX21" s="51"/>
      <c r="HY21" s="51"/>
      <c r="HZ21" s="51"/>
      <c r="IA21" s="51"/>
      <c r="IB21" s="51"/>
      <c r="IC21" s="51"/>
      <c r="ID21" s="51"/>
      <c r="IE21" s="51"/>
      <c r="IF21" s="51"/>
      <c r="IG21" s="51"/>
      <c r="IH21" s="51"/>
      <c r="II21" s="51"/>
      <c r="IJ21" s="51"/>
      <c r="IK21" s="51"/>
      <c r="IL21" s="51"/>
      <c r="IM21" s="51"/>
      <c r="IN21" s="51"/>
      <c r="IO21" s="51"/>
      <c r="IP21" s="51"/>
      <c r="IQ21" s="51"/>
      <c r="IR21" s="51"/>
      <c r="IS21" s="51"/>
      <c r="IT21" s="51"/>
      <c r="IU21" s="51"/>
      <c r="IV21" s="51"/>
      <c r="IW21" s="51"/>
      <c r="IX21" s="51"/>
      <c r="IY21" s="51"/>
      <c r="IZ21" s="51"/>
      <c r="JA21" s="51"/>
      <c r="JB21" s="51"/>
      <c r="JC21" s="51"/>
      <c r="JD21" s="51"/>
      <c r="JE21" s="51"/>
      <c r="JF21" s="51"/>
      <c r="JG21" s="51"/>
      <c r="JH21" s="51"/>
      <c r="JI21" s="51"/>
      <c r="JJ21" s="51"/>
      <c r="JK21" s="51"/>
      <c r="JL21" s="51"/>
      <c r="JM21" s="51"/>
      <c r="JN21" s="51"/>
      <c r="JO21" s="51"/>
      <c r="JP21" s="51"/>
      <c r="JQ21" s="51"/>
      <c r="JR21" s="51"/>
      <c r="JS21" s="51"/>
      <c r="JT21" s="51"/>
      <c r="JU21" s="51"/>
      <c r="JV21" s="51"/>
      <c r="JW21" s="51"/>
      <c r="JX21" s="51"/>
      <c r="JY21" s="51"/>
      <c r="JZ21" s="51"/>
      <c r="KA21" s="51"/>
      <c r="KB21" s="51"/>
      <c r="KC21" s="51"/>
      <c r="KD21" s="51"/>
      <c r="KE21" s="51"/>
      <c r="KF21" s="51"/>
      <c r="KG21" s="51"/>
      <c r="KH21" s="51"/>
      <c r="KI21" s="51"/>
      <c r="KJ21" s="51"/>
      <c r="KK21" s="51"/>
      <c r="KL21" s="51"/>
      <c r="KM21" s="51"/>
      <c r="KN21" s="51"/>
      <c r="KO21" s="51"/>
      <c r="KP21" s="51"/>
      <c r="KQ21" s="51"/>
      <c r="KR21" s="51"/>
      <c r="KS21" s="51"/>
      <c r="KT21" s="51"/>
      <c r="KU21" s="51"/>
      <c r="KV21" s="51"/>
      <c r="KW21" s="51"/>
      <c r="KX21" s="51"/>
      <c r="KY21" s="51"/>
      <c r="KZ21" s="51"/>
      <c r="LA21" s="51"/>
      <c r="LB21" s="51"/>
      <c r="LC21" s="51"/>
      <c r="LD21" s="51"/>
      <c r="LE21" s="51"/>
      <c r="LF21" s="51"/>
      <c r="LG21" s="51"/>
      <c r="LH21" s="51"/>
      <c r="LI21" s="51"/>
      <c r="LJ21" s="51"/>
      <c r="LK21" s="51"/>
      <c r="LL21" s="51"/>
      <c r="LM21" s="51"/>
      <c r="LN21" s="51"/>
      <c r="LO21" s="51"/>
      <c r="LP21" s="51"/>
      <c r="LQ21" s="51"/>
      <c r="LR21" s="51"/>
      <c r="LS21" s="51"/>
      <c r="LT21" s="51"/>
      <c r="LU21" s="51"/>
      <c r="LV21" s="51"/>
      <c r="LW21" s="51"/>
      <c r="LX21" s="51"/>
      <c r="LY21" s="51"/>
      <c r="LZ21" s="51"/>
      <c r="MA21" s="51"/>
      <c r="MB21" s="51"/>
      <c r="MC21" s="51"/>
      <c r="MD21" s="51"/>
      <c r="ME21" s="51"/>
      <c r="MF21" s="51"/>
      <c r="MG21" s="51"/>
      <c r="MH21" s="51"/>
      <c r="MI21" s="51"/>
      <c r="MJ21" s="51"/>
      <c r="MK21" s="51"/>
      <c r="ML21" s="51"/>
      <c r="MM21" s="51"/>
      <c r="MN21" s="51"/>
      <c r="MO21" s="51"/>
      <c r="MP21" s="51"/>
      <c r="MQ21" s="51"/>
      <c r="MR21" s="51"/>
      <c r="MS21" s="51"/>
      <c r="MT21" s="51"/>
      <c r="MU21" s="51"/>
      <c r="MV21" s="51"/>
      <c r="MW21" s="51"/>
      <c r="MX21" s="51"/>
      <c r="MY21" s="2"/>
    </row>
    <row r="22" spans="1:363" x14ac:dyDescent="0.25">
      <c r="A22" s="151" t="s">
        <v>96</v>
      </c>
      <c r="B22" s="52" t="s">
        <v>97</v>
      </c>
      <c r="C22" s="53">
        <f>SUM(C19:C20)</f>
        <v>-302.5</v>
      </c>
      <c r="D22" s="53">
        <f t="shared" ref="D22:BO22" si="12">SUM(D19:D20)</f>
        <v>1390.4659999999999</v>
      </c>
      <c r="E22" s="53">
        <f t="shared" si="12"/>
        <v>-433.43999999999994</v>
      </c>
      <c r="F22" s="53">
        <f t="shared" si="12"/>
        <v>550.00399999999991</v>
      </c>
      <c r="G22" s="53">
        <f t="shared" si="12"/>
        <v>0</v>
      </c>
      <c r="H22" s="53">
        <f t="shared" si="12"/>
        <v>-202.69</v>
      </c>
      <c r="I22" s="53">
        <f t="shared" si="12"/>
        <v>594.79</v>
      </c>
      <c r="J22" s="53">
        <f t="shared" si="12"/>
        <v>-513.4</v>
      </c>
      <c r="K22" s="53">
        <f t="shared" si="12"/>
        <v>-176.25</v>
      </c>
      <c r="L22" s="53">
        <f t="shared" si="12"/>
        <v>0</v>
      </c>
      <c r="M22" s="53">
        <f t="shared" si="12"/>
        <v>-275.69999999999993</v>
      </c>
      <c r="N22" s="53">
        <f t="shared" si="12"/>
        <v>401.91</v>
      </c>
      <c r="O22" s="53">
        <f t="shared" si="12"/>
        <v>-137.68</v>
      </c>
      <c r="P22" s="53">
        <f t="shared" si="12"/>
        <v>524.17999999999995</v>
      </c>
      <c r="Q22" s="53">
        <f t="shared" ref="E22:BP22" si="13">SUM(Q19:Q20)</f>
        <v>0</v>
      </c>
      <c r="R22" s="53">
        <f t="shared" ref="R22:CC22" si="14">SUM(R19:R20)</f>
        <v>996.49</v>
      </c>
      <c r="S22" s="53">
        <f t="shared" si="14"/>
        <v>619.09</v>
      </c>
      <c r="T22" s="53">
        <f t="shared" si="14"/>
        <v>-75.400000000000006</v>
      </c>
      <c r="U22" s="53">
        <f t="shared" si="14"/>
        <v>420.52</v>
      </c>
      <c r="V22" s="53">
        <f t="shared" si="14"/>
        <v>0</v>
      </c>
      <c r="W22" s="53">
        <f t="shared" si="14"/>
        <v>-234.97</v>
      </c>
      <c r="X22" s="53">
        <f t="shared" si="14"/>
        <v>2213.21</v>
      </c>
      <c r="Y22" s="53">
        <f t="shared" si="14"/>
        <v>-276.3</v>
      </c>
      <c r="Z22" s="53">
        <f t="shared" si="14"/>
        <v>785.06000000000006</v>
      </c>
      <c r="AA22" s="53">
        <f t="shared" si="14"/>
        <v>0</v>
      </c>
      <c r="AB22" s="53">
        <f t="shared" si="14"/>
        <v>-178.56</v>
      </c>
      <c r="AC22" s="53">
        <f t="shared" si="14"/>
        <v>1468.27</v>
      </c>
      <c r="AD22" s="53">
        <f t="shared" si="14"/>
        <v>-148.96</v>
      </c>
      <c r="AE22" s="53">
        <f t="shared" si="14"/>
        <v>432.69000000000005</v>
      </c>
      <c r="AF22" s="53">
        <f t="shared" si="14"/>
        <v>0</v>
      </c>
      <c r="AG22" s="53">
        <f t="shared" si="14"/>
        <v>-75</v>
      </c>
      <c r="AH22" s="53">
        <f t="shared" si="14"/>
        <v>452.36</v>
      </c>
      <c r="AI22" s="53">
        <f t="shared" si="14"/>
        <v>1255.93</v>
      </c>
      <c r="AJ22" s="53">
        <f t="shared" si="14"/>
        <v>401.53000000000009</v>
      </c>
      <c r="AK22" s="53">
        <f t="shared" si="14"/>
        <v>0</v>
      </c>
      <c r="AL22" s="53">
        <f t="shared" si="14"/>
        <v>-550.97</v>
      </c>
      <c r="AM22" s="53">
        <f t="shared" si="14"/>
        <v>2300.13</v>
      </c>
      <c r="AN22" s="53">
        <f t="shared" si="14"/>
        <v>-1664.2</v>
      </c>
      <c r="AO22" s="53">
        <f t="shared" si="14"/>
        <v>606.04</v>
      </c>
      <c r="AP22" s="53">
        <f t="shared" si="14"/>
        <v>0</v>
      </c>
      <c r="AQ22" s="53">
        <f t="shared" si="14"/>
        <v>-50.69</v>
      </c>
      <c r="AR22" s="53">
        <f t="shared" si="14"/>
        <v>606.67000000000007</v>
      </c>
      <c r="AS22" s="53">
        <f t="shared" si="14"/>
        <v>1607.7</v>
      </c>
      <c r="AT22" s="53">
        <f t="shared" si="14"/>
        <v>99.110000000000014</v>
      </c>
      <c r="AU22" s="53">
        <f t="shared" si="14"/>
        <v>0</v>
      </c>
      <c r="AV22" s="53">
        <f t="shared" si="14"/>
        <v>-30.06</v>
      </c>
      <c r="AW22" s="53">
        <f t="shared" si="14"/>
        <v>309.92</v>
      </c>
      <c r="AX22" s="53">
        <f t="shared" si="14"/>
        <v>-213.98000000000002</v>
      </c>
      <c r="AY22" s="53">
        <f t="shared" si="14"/>
        <v>983.64</v>
      </c>
      <c r="AZ22" s="53">
        <f t="shared" si="14"/>
        <v>0</v>
      </c>
      <c r="BA22" s="53">
        <f t="shared" si="14"/>
        <v>-270.62</v>
      </c>
      <c r="BB22" s="53">
        <f t="shared" si="14"/>
        <v>657.41000000000008</v>
      </c>
      <c r="BC22" s="53">
        <f t="shared" si="14"/>
        <v>-134.84</v>
      </c>
      <c r="BD22" s="53">
        <f t="shared" si="14"/>
        <v>5423.79</v>
      </c>
      <c r="BE22" s="53">
        <f t="shared" si="14"/>
        <v>-138.75</v>
      </c>
      <c r="BF22" s="53">
        <f t="shared" si="14"/>
        <v>-8.02</v>
      </c>
      <c r="BG22" s="53">
        <f t="shared" si="14"/>
        <v>751.26</v>
      </c>
      <c r="BH22" s="53">
        <f t="shared" si="14"/>
        <v>357.26</v>
      </c>
      <c r="BI22" s="53">
        <f t="shared" si="14"/>
        <v>-160.07000000000002</v>
      </c>
      <c r="BJ22" s="53">
        <f t="shared" si="14"/>
        <v>-714.09</v>
      </c>
      <c r="BK22" s="53">
        <f t="shared" si="14"/>
        <v>-115.12</v>
      </c>
      <c r="BL22" s="53">
        <f t="shared" si="14"/>
        <v>1057.54</v>
      </c>
      <c r="BM22" s="53">
        <f t="shared" si="14"/>
        <v>-2576.8000000000002</v>
      </c>
      <c r="BN22" s="53">
        <f t="shared" si="14"/>
        <v>645.65000000000009</v>
      </c>
      <c r="BO22" s="53">
        <f t="shared" si="14"/>
        <v>-450.41</v>
      </c>
      <c r="BP22" s="53">
        <f t="shared" si="14"/>
        <v>-42.5</v>
      </c>
      <c r="BQ22" s="53">
        <f t="shared" si="14"/>
        <v>2181.04</v>
      </c>
      <c r="BR22" s="53">
        <f t="shared" si="14"/>
        <v>-120.66999999999999</v>
      </c>
      <c r="BS22" s="53">
        <f t="shared" si="14"/>
        <v>429.27</v>
      </c>
      <c r="BT22" s="53">
        <f t="shared" si="14"/>
        <v>-323.60000000000002</v>
      </c>
      <c r="BU22" s="53">
        <f t="shared" si="14"/>
        <v>-192.18</v>
      </c>
      <c r="BV22" s="53">
        <f t="shared" si="14"/>
        <v>732.64</v>
      </c>
      <c r="BW22" s="53">
        <f t="shared" si="14"/>
        <v>-105.74</v>
      </c>
      <c r="BX22" s="53">
        <f t="shared" si="14"/>
        <v>1462.25</v>
      </c>
      <c r="BY22" s="53">
        <f t="shared" si="14"/>
        <v>-695.03</v>
      </c>
      <c r="BZ22" s="53">
        <f t="shared" si="14"/>
        <v>-183.99</v>
      </c>
      <c r="CA22" s="53">
        <f t="shared" si="14"/>
        <v>729.9</v>
      </c>
      <c r="CB22" s="53">
        <f t="shared" si="14"/>
        <v>721.83999999999992</v>
      </c>
      <c r="CC22" s="53">
        <f t="shared" si="14"/>
        <v>605</v>
      </c>
      <c r="CD22" s="53">
        <f t="shared" ref="CD22:EO22" si="15">SUM(CD19:CD20)</f>
        <v>-358.01</v>
      </c>
      <c r="CE22" s="53">
        <f t="shared" si="15"/>
        <v>-321.21000000000004</v>
      </c>
      <c r="CF22" s="53">
        <f t="shared" si="15"/>
        <v>1699.04</v>
      </c>
      <c r="CG22" s="53">
        <f t="shared" si="15"/>
        <v>-34.869999999999997</v>
      </c>
      <c r="CH22" s="53">
        <f t="shared" si="15"/>
        <v>754.49</v>
      </c>
      <c r="CI22" s="53">
        <f t="shared" si="15"/>
        <v>-698.84</v>
      </c>
      <c r="CJ22" s="53">
        <f t="shared" si="15"/>
        <v>-84.41</v>
      </c>
      <c r="CK22" s="53">
        <f t="shared" si="15"/>
        <v>1728.96</v>
      </c>
      <c r="CL22" s="53">
        <f t="shared" si="15"/>
        <v>-137.60999999999999</v>
      </c>
      <c r="CM22" s="53">
        <f t="shared" si="15"/>
        <v>590.73</v>
      </c>
      <c r="CN22" s="53">
        <f t="shared" si="15"/>
        <v>-499.12999999999988</v>
      </c>
      <c r="CO22" s="53">
        <f t="shared" si="15"/>
        <v>-138.16</v>
      </c>
      <c r="CP22" s="53">
        <f t="shared" si="15"/>
        <v>621.96</v>
      </c>
      <c r="CQ22" s="53">
        <f t="shared" si="15"/>
        <v>776.73</v>
      </c>
      <c r="CR22" s="53">
        <f t="shared" si="15"/>
        <v>390.23</v>
      </c>
      <c r="CS22" s="53">
        <f t="shared" si="15"/>
        <v>-1611.5800000000002</v>
      </c>
      <c r="CT22" s="53">
        <f t="shared" si="15"/>
        <v>-71.39</v>
      </c>
      <c r="CU22" s="53">
        <f t="shared" si="15"/>
        <v>724.05</v>
      </c>
      <c r="CV22" s="53">
        <f t="shared" si="15"/>
        <v>950.2</v>
      </c>
      <c r="CW22" s="53">
        <f t="shared" si="15"/>
        <v>868.72</v>
      </c>
      <c r="CX22" s="53">
        <f t="shared" si="15"/>
        <v>-911.89</v>
      </c>
      <c r="CY22" s="53">
        <f t="shared" si="15"/>
        <v>-106.81</v>
      </c>
      <c r="CZ22" s="53">
        <f t="shared" si="15"/>
        <v>1647.04</v>
      </c>
      <c r="DA22" s="53">
        <f t="shared" si="15"/>
        <v>-37</v>
      </c>
      <c r="DB22" s="53">
        <f t="shared" si="15"/>
        <v>910.58</v>
      </c>
      <c r="DC22" s="53">
        <f t="shared" si="15"/>
        <v>-1769.8100000000002</v>
      </c>
      <c r="DD22" s="53">
        <f t="shared" si="15"/>
        <v>-108.33000000000001</v>
      </c>
      <c r="DE22" s="53">
        <f t="shared" si="15"/>
        <v>738.04</v>
      </c>
      <c r="DF22" s="53">
        <f t="shared" si="15"/>
        <v>-7.9</v>
      </c>
      <c r="DG22" s="53">
        <f t="shared" si="15"/>
        <v>1842.56</v>
      </c>
      <c r="DH22" s="53">
        <f t="shared" si="15"/>
        <v>-1264.58</v>
      </c>
      <c r="DI22" s="53">
        <f t="shared" si="15"/>
        <v>930.98</v>
      </c>
      <c r="DJ22" s="53">
        <f t="shared" si="15"/>
        <v>654.62</v>
      </c>
      <c r="DK22" s="53">
        <f t="shared" si="15"/>
        <v>0</v>
      </c>
      <c r="DL22" s="53">
        <f t="shared" si="15"/>
        <v>5868.7699999999995</v>
      </c>
      <c r="DM22" s="53">
        <f t="shared" si="15"/>
        <v>-2124.79</v>
      </c>
      <c r="DN22" s="53">
        <f t="shared" si="15"/>
        <v>919.21</v>
      </c>
      <c r="DO22" s="53">
        <f t="shared" si="15"/>
        <v>-14.98</v>
      </c>
      <c r="DP22" s="53">
        <f t="shared" si="15"/>
        <v>738.65</v>
      </c>
      <c r="DQ22" s="53">
        <f t="shared" si="15"/>
        <v>0</v>
      </c>
      <c r="DR22" s="53">
        <f t="shared" si="15"/>
        <v>-1713.2200000000003</v>
      </c>
      <c r="DS22" s="53">
        <f t="shared" si="15"/>
        <v>-75.09</v>
      </c>
      <c r="DT22" s="53">
        <f t="shared" si="15"/>
        <v>1658.24</v>
      </c>
      <c r="DU22" s="53">
        <f t="shared" si="15"/>
        <v>-31.32</v>
      </c>
      <c r="DV22" s="53">
        <f t="shared" si="15"/>
        <v>883.44</v>
      </c>
      <c r="DW22" s="53">
        <f t="shared" si="15"/>
        <v>-1243.25</v>
      </c>
      <c r="DX22" s="53">
        <f t="shared" si="15"/>
        <v>-49.24</v>
      </c>
      <c r="DY22" s="53">
        <f t="shared" si="15"/>
        <v>724.79</v>
      </c>
      <c r="DZ22" s="53">
        <f t="shared" si="15"/>
        <v>1414.9</v>
      </c>
      <c r="EA22" s="53">
        <f t="shared" si="15"/>
        <v>909.89</v>
      </c>
      <c r="EB22" s="53">
        <f t="shared" si="15"/>
        <v>-1454.17</v>
      </c>
      <c r="EC22" s="53">
        <f t="shared" si="15"/>
        <v>-100.64</v>
      </c>
      <c r="ED22" s="53">
        <f t="shared" si="15"/>
        <v>733.34</v>
      </c>
      <c r="EE22" s="53">
        <f t="shared" si="15"/>
        <v>-515.07999999999993</v>
      </c>
      <c r="EF22" s="53">
        <f t="shared" si="15"/>
        <v>2104.12</v>
      </c>
      <c r="EG22" s="53">
        <f t="shared" si="15"/>
        <v>-1514.5800000000002</v>
      </c>
      <c r="EH22" s="53">
        <f t="shared" si="15"/>
        <v>-162.33999999999997</v>
      </c>
      <c r="EI22" s="53">
        <f t="shared" si="15"/>
        <v>550.02</v>
      </c>
      <c r="EJ22" s="53">
        <f t="shared" si="15"/>
        <v>-75.22999999999999</v>
      </c>
      <c r="EK22" s="53">
        <f t="shared" si="15"/>
        <v>769.3</v>
      </c>
      <c r="EL22" s="53">
        <f t="shared" si="15"/>
        <v>-853.57999999999993</v>
      </c>
      <c r="EM22" s="53">
        <f t="shared" si="15"/>
        <v>-153.86000000000001</v>
      </c>
      <c r="EN22" s="53">
        <f t="shared" si="15"/>
        <v>653.75</v>
      </c>
      <c r="EO22" s="53">
        <f t="shared" si="15"/>
        <v>-64.2</v>
      </c>
      <c r="EP22" s="53">
        <f t="shared" ref="EP22:HA22" si="16">SUM(EP19:EP20)</f>
        <v>906.68999999999994</v>
      </c>
      <c r="EQ22" s="53">
        <f t="shared" si="16"/>
        <v>-764.81</v>
      </c>
      <c r="ER22" s="53">
        <f t="shared" si="16"/>
        <v>-58.46</v>
      </c>
      <c r="ES22" s="53">
        <f t="shared" si="16"/>
        <v>1927.23</v>
      </c>
      <c r="ET22" s="53">
        <f t="shared" si="16"/>
        <v>0</v>
      </c>
      <c r="EU22" s="53">
        <f t="shared" si="16"/>
        <v>851.81999999999994</v>
      </c>
      <c r="EV22" s="53">
        <f t="shared" si="16"/>
        <v>-803.28</v>
      </c>
      <c r="EW22" s="53">
        <f t="shared" si="16"/>
        <v>1101.07</v>
      </c>
      <c r="EX22" s="53">
        <f t="shared" si="16"/>
        <v>777.23</v>
      </c>
      <c r="EY22" s="53">
        <f t="shared" si="16"/>
        <v>-83</v>
      </c>
      <c r="EZ22" s="53">
        <f t="shared" si="16"/>
        <v>1006.65</v>
      </c>
      <c r="FA22" s="53">
        <f t="shared" si="16"/>
        <v>-1825.9100000000003</v>
      </c>
      <c r="FB22" s="53">
        <f t="shared" si="16"/>
        <v>1951.07</v>
      </c>
      <c r="FC22" s="53">
        <f t="shared" si="16"/>
        <v>338.89000000000004</v>
      </c>
      <c r="FD22" s="53">
        <f t="shared" si="16"/>
        <v>0</v>
      </c>
      <c r="FE22" s="53">
        <f t="shared" si="16"/>
        <v>1270.3699999999999</v>
      </c>
      <c r="FF22" s="53">
        <f t="shared" si="16"/>
        <v>-2522.04</v>
      </c>
      <c r="FG22" s="53">
        <f t="shared" si="16"/>
        <v>1951.07</v>
      </c>
      <c r="FH22" s="53">
        <f t="shared" si="16"/>
        <v>0</v>
      </c>
      <c r="FI22" s="53">
        <f t="shared" si="16"/>
        <v>900.39</v>
      </c>
      <c r="FJ22" s="53">
        <f t="shared" si="16"/>
        <v>1147.2099999999998</v>
      </c>
      <c r="FK22" s="53">
        <f t="shared" si="16"/>
        <v>-669.54</v>
      </c>
      <c r="FL22" s="53">
        <f t="shared" si="16"/>
        <v>1940.55</v>
      </c>
      <c r="FM22" s="53">
        <f t="shared" si="16"/>
        <v>857.72</v>
      </c>
      <c r="FN22" s="53">
        <f t="shared" si="16"/>
        <v>100</v>
      </c>
      <c r="FO22" s="53">
        <f t="shared" si="16"/>
        <v>1147.2099999999998</v>
      </c>
      <c r="FP22" s="53">
        <f t="shared" si="16"/>
        <v>-699.72</v>
      </c>
      <c r="FQ22" s="53">
        <f t="shared" si="16"/>
        <v>1951.07</v>
      </c>
      <c r="FR22" s="53">
        <f t="shared" si="16"/>
        <v>900.39</v>
      </c>
      <c r="FS22" s="53">
        <f t="shared" si="16"/>
        <v>-1050</v>
      </c>
      <c r="FT22" s="53">
        <f t="shared" si="16"/>
        <v>9590.85</v>
      </c>
      <c r="FU22" s="53">
        <f t="shared" si="16"/>
        <v>-1047.5899999999999</v>
      </c>
      <c r="FV22" s="53">
        <f t="shared" si="16"/>
        <v>1873.96</v>
      </c>
      <c r="FW22" s="53">
        <f t="shared" si="16"/>
        <v>0</v>
      </c>
      <c r="FX22" s="53">
        <f t="shared" si="16"/>
        <v>695.69999999999982</v>
      </c>
      <c r="FY22" s="53">
        <f t="shared" si="16"/>
        <v>-57.649999999999991</v>
      </c>
      <c r="FZ22" s="53">
        <f t="shared" si="16"/>
        <v>-1837.67</v>
      </c>
      <c r="GA22" s="53">
        <f t="shared" si="16"/>
        <v>1733.17</v>
      </c>
      <c r="GB22" s="53">
        <f t="shared" si="16"/>
        <v>874.99</v>
      </c>
      <c r="GC22" s="53">
        <f t="shared" si="16"/>
        <v>-42.980000000000004</v>
      </c>
      <c r="GD22" s="53">
        <f t="shared" si="16"/>
        <v>1178.52</v>
      </c>
      <c r="GE22" s="53">
        <f t="shared" si="16"/>
        <v>-1331.69</v>
      </c>
      <c r="GF22" s="53">
        <f t="shared" si="16"/>
        <v>1951.07</v>
      </c>
      <c r="GG22" s="53">
        <f t="shared" si="16"/>
        <v>326.86</v>
      </c>
      <c r="GH22" s="53">
        <f t="shared" si="16"/>
        <v>-809.53</v>
      </c>
      <c r="GI22" s="53">
        <f t="shared" si="16"/>
        <v>1178.52</v>
      </c>
      <c r="GJ22" s="53">
        <f t="shared" si="16"/>
        <v>-1237.01</v>
      </c>
      <c r="GK22" s="53">
        <f t="shared" si="16"/>
        <v>1739.52</v>
      </c>
      <c r="GL22" s="53">
        <f t="shared" si="16"/>
        <v>487.60000000000014</v>
      </c>
      <c r="GM22" s="53">
        <f t="shared" si="16"/>
        <v>-15.9</v>
      </c>
      <c r="GN22" s="53">
        <f t="shared" si="16"/>
        <v>1253.52</v>
      </c>
      <c r="GO22" s="53">
        <f t="shared" si="16"/>
        <v>-388.44999999999993</v>
      </c>
      <c r="GP22" s="53">
        <f t="shared" si="16"/>
        <v>1949.74</v>
      </c>
      <c r="GQ22" s="53">
        <f t="shared" si="16"/>
        <v>907.86</v>
      </c>
      <c r="GR22" s="53">
        <f t="shared" si="16"/>
        <v>-72.400000000000006</v>
      </c>
      <c r="GS22" s="53">
        <f t="shared" si="16"/>
        <v>0</v>
      </c>
      <c r="GT22" s="53">
        <f t="shared" si="16"/>
        <v>1840.48</v>
      </c>
      <c r="GU22" s="53">
        <f t="shared" si="16"/>
        <v>1805.51</v>
      </c>
      <c r="GV22" s="53">
        <f t="shared" si="16"/>
        <v>926.86</v>
      </c>
      <c r="GW22" s="53">
        <f t="shared" si="16"/>
        <v>-313.39</v>
      </c>
      <c r="GX22" s="53">
        <f t="shared" si="16"/>
        <v>-1021.48</v>
      </c>
      <c r="GY22" s="53">
        <f t="shared" si="16"/>
        <v>-2730.9900000000002</v>
      </c>
      <c r="GZ22" s="53">
        <f t="shared" si="16"/>
        <v>-3472.13</v>
      </c>
      <c r="HA22" s="53">
        <f t="shared" si="16"/>
        <v>-26801.13</v>
      </c>
      <c r="HB22" s="53">
        <f t="shared" ref="HB22:JM22" si="17">SUM(HB19:HB20)</f>
        <v>-15110.939999999999</v>
      </c>
      <c r="HC22" s="53">
        <f t="shared" si="17"/>
        <v>-21637.839999999997</v>
      </c>
      <c r="HD22" s="53">
        <f t="shared" si="17"/>
        <v>-728.81</v>
      </c>
      <c r="HE22" s="53">
        <f t="shared" si="17"/>
        <v>1931.08</v>
      </c>
      <c r="HF22" s="53">
        <f t="shared" si="17"/>
        <v>876.86</v>
      </c>
      <c r="HG22" s="53">
        <f t="shared" si="17"/>
        <v>-2476.8000000000002</v>
      </c>
      <c r="HH22" s="53">
        <f t="shared" si="17"/>
        <v>1178.52</v>
      </c>
      <c r="HI22" s="53">
        <f t="shared" si="17"/>
        <v>-445</v>
      </c>
      <c r="HJ22" s="53">
        <f t="shared" si="17"/>
        <v>-6.9800000000000182</v>
      </c>
      <c r="HK22" s="53">
        <f t="shared" si="17"/>
        <v>-1710.1399999999999</v>
      </c>
      <c r="HL22" s="53">
        <f t="shared" si="17"/>
        <v>-1355.3899999999999</v>
      </c>
      <c r="HM22" s="53">
        <f t="shared" si="17"/>
        <v>3791.33</v>
      </c>
      <c r="HN22" s="53">
        <f t="shared" si="17"/>
        <v>-2063.9899999999998</v>
      </c>
      <c r="HO22" s="53">
        <f t="shared" si="17"/>
        <v>108.01999999999998</v>
      </c>
      <c r="HP22" s="53">
        <f t="shared" si="17"/>
        <v>-2461.8000000000002</v>
      </c>
      <c r="HQ22" s="53">
        <f t="shared" si="17"/>
        <v>-117.69</v>
      </c>
      <c r="HR22" s="53">
        <f t="shared" si="17"/>
        <v>-63.710000000000036</v>
      </c>
      <c r="HS22" s="53">
        <f t="shared" si="17"/>
        <v>-576.41999999999996</v>
      </c>
      <c r="HT22" s="53">
        <f t="shared" si="17"/>
        <v>2297.9899999999998</v>
      </c>
      <c r="HU22" s="53">
        <f t="shared" si="17"/>
        <v>2396</v>
      </c>
      <c r="HV22" s="53">
        <f t="shared" si="17"/>
        <v>-617.09</v>
      </c>
      <c r="HW22" s="53">
        <f t="shared" si="17"/>
        <v>2146.35</v>
      </c>
      <c r="HX22" s="53">
        <f t="shared" si="17"/>
        <v>-991.6400000000001</v>
      </c>
      <c r="HY22" s="53">
        <f t="shared" si="17"/>
        <v>1774.73</v>
      </c>
      <c r="HZ22" s="53">
        <f t="shared" si="17"/>
        <v>2495.0099999999998</v>
      </c>
      <c r="IA22" s="53">
        <f t="shared" si="17"/>
        <v>-670.79</v>
      </c>
      <c r="IB22" s="53">
        <f t="shared" si="17"/>
        <v>17010.439999999999</v>
      </c>
      <c r="IC22" s="53">
        <f t="shared" si="17"/>
        <v>-432.19000000000005</v>
      </c>
      <c r="ID22" s="53">
        <f t="shared" si="17"/>
        <v>-16720.16</v>
      </c>
      <c r="IE22" s="53">
        <f t="shared" si="17"/>
        <v>-1038.67</v>
      </c>
      <c r="IF22" s="53">
        <f t="shared" si="17"/>
        <v>1250.1699999999998</v>
      </c>
      <c r="IG22" s="53">
        <f t="shared" si="17"/>
        <v>-12355.590000000002</v>
      </c>
      <c r="IH22" s="53">
        <f t="shared" si="17"/>
        <v>-127.32</v>
      </c>
      <c r="II22" s="53">
        <f t="shared" si="17"/>
        <v>3007.32</v>
      </c>
      <c r="IJ22" s="53">
        <f t="shared" si="17"/>
        <v>2650.08</v>
      </c>
      <c r="IK22" s="53">
        <f t="shared" si="17"/>
        <v>-218.88000000000002</v>
      </c>
      <c r="IL22" s="53">
        <f t="shared" si="17"/>
        <v>1003.93</v>
      </c>
      <c r="IM22" s="53">
        <f t="shared" si="17"/>
        <v>-1018.5999999999999</v>
      </c>
      <c r="IN22" s="53">
        <f t="shared" si="17"/>
        <v>1857.27</v>
      </c>
      <c r="IO22" s="53">
        <f t="shared" si="17"/>
        <v>-1663.99</v>
      </c>
      <c r="IP22" s="53">
        <f t="shared" si="17"/>
        <v>2472.08</v>
      </c>
      <c r="IQ22" s="53">
        <f t="shared" si="17"/>
        <v>1656.1499999999999</v>
      </c>
      <c r="IR22" s="53">
        <f t="shared" si="17"/>
        <v>-1476.9299999999998</v>
      </c>
      <c r="IS22" s="53">
        <f t="shared" si="17"/>
        <v>-1155.0499999999997</v>
      </c>
      <c r="IT22" s="53">
        <f t="shared" si="17"/>
        <v>-674.33</v>
      </c>
      <c r="IU22" s="53">
        <f t="shared" si="17"/>
        <v>-192.51000000000022</v>
      </c>
      <c r="IV22" s="53">
        <f t="shared" si="17"/>
        <v>-1300.1500000000001</v>
      </c>
      <c r="IW22" s="53">
        <f t="shared" si="17"/>
        <v>-993.95</v>
      </c>
      <c r="IX22" s="53">
        <f t="shared" si="17"/>
        <v>-4681.25</v>
      </c>
      <c r="IY22" s="53">
        <f t="shared" si="17"/>
        <v>650.07999999999993</v>
      </c>
      <c r="IZ22" s="53">
        <f t="shared" si="17"/>
        <v>-2020</v>
      </c>
      <c r="JA22" s="53">
        <f t="shared" si="17"/>
        <v>-193.65000000000009</v>
      </c>
      <c r="JB22" s="53">
        <f t="shared" si="17"/>
        <v>-3133.79</v>
      </c>
      <c r="JC22" s="53">
        <f t="shared" si="17"/>
        <v>2625.17</v>
      </c>
      <c r="JD22" s="53">
        <f t="shared" si="17"/>
        <v>8436.869999999999</v>
      </c>
      <c r="JE22" s="53">
        <f t="shared" si="17"/>
        <v>-450.22</v>
      </c>
      <c r="JF22" s="53">
        <f t="shared" si="17"/>
        <v>-584.80999999999995</v>
      </c>
      <c r="JG22" s="53">
        <f t="shared" si="17"/>
        <v>-3056.8900000000003</v>
      </c>
      <c r="JH22" s="53">
        <f t="shared" si="17"/>
        <v>6421.5599999999995</v>
      </c>
      <c r="JI22" s="53">
        <f t="shared" si="17"/>
        <v>-348.68</v>
      </c>
      <c r="JJ22" s="53">
        <f t="shared" si="17"/>
        <v>-143</v>
      </c>
      <c r="JK22" s="53">
        <f t="shared" si="17"/>
        <v>3720.41</v>
      </c>
      <c r="JL22" s="53">
        <f t="shared" si="17"/>
        <v>-3080.88</v>
      </c>
      <c r="JM22" s="53">
        <f t="shared" si="17"/>
        <v>14197.16</v>
      </c>
      <c r="JN22" s="53">
        <f t="shared" ref="JN22:LY22" si="18">SUM(JN19:JN20)</f>
        <v>-3359.99</v>
      </c>
      <c r="JO22" s="53">
        <f t="shared" si="18"/>
        <v>-2624.4500000000003</v>
      </c>
      <c r="JP22" s="53">
        <f t="shared" si="18"/>
        <v>-2794.86</v>
      </c>
      <c r="JQ22" s="53">
        <f t="shared" si="18"/>
        <v>-4327.53</v>
      </c>
      <c r="JR22" s="53">
        <f t="shared" si="18"/>
        <v>2975.74</v>
      </c>
      <c r="JS22" s="53">
        <f t="shared" si="18"/>
        <v>-2933.4700000000003</v>
      </c>
      <c r="JT22" s="53">
        <f t="shared" si="18"/>
        <v>-5481.71</v>
      </c>
      <c r="JU22" s="53">
        <f t="shared" si="18"/>
        <v>-837.88999999999987</v>
      </c>
      <c r="JV22" s="53">
        <f t="shared" si="18"/>
        <v>-868.19000000000028</v>
      </c>
      <c r="JW22" s="53">
        <f t="shared" si="18"/>
        <v>6596.08</v>
      </c>
      <c r="JX22" s="53">
        <f t="shared" si="18"/>
        <v>-1144.9000000000001</v>
      </c>
      <c r="JY22" s="53">
        <f t="shared" si="18"/>
        <v>-1009.5</v>
      </c>
      <c r="JZ22" s="53">
        <f t="shared" si="18"/>
        <v>-511.49</v>
      </c>
      <c r="KA22" s="53">
        <f t="shared" si="18"/>
        <v>-2016.8600000000001</v>
      </c>
      <c r="KB22" s="53">
        <f t="shared" si="18"/>
        <v>6001.19</v>
      </c>
      <c r="KC22" s="53">
        <f t="shared" si="18"/>
        <v>-500</v>
      </c>
      <c r="KD22" s="53">
        <f t="shared" si="18"/>
        <v>-1000</v>
      </c>
      <c r="KE22" s="53">
        <f t="shared" si="18"/>
        <v>-1445.62</v>
      </c>
      <c r="KF22" s="53">
        <f t="shared" si="18"/>
        <v>-1576.7799999999997</v>
      </c>
      <c r="KG22" s="53">
        <f t="shared" si="18"/>
        <v>4733.41</v>
      </c>
      <c r="KH22" s="53">
        <f t="shared" si="18"/>
        <v>-1000</v>
      </c>
      <c r="KI22" s="53">
        <f t="shared" si="18"/>
        <v>-1000</v>
      </c>
      <c r="KJ22" s="53">
        <f t="shared" si="18"/>
        <v>-621</v>
      </c>
      <c r="KK22" s="53">
        <f t="shared" si="18"/>
        <v>-2899.86</v>
      </c>
      <c r="KL22" s="53">
        <f t="shared" si="18"/>
        <v>4790.51</v>
      </c>
      <c r="KM22" s="53">
        <f t="shared" si="18"/>
        <v>-139.66</v>
      </c>
      <c r="KN22" s="53">
        <f t="shared" si="18"/>
        <v>-429.90999999999997</v>
      </c>
      <c r="KO22" s="53">
        <f t="shared" si="18"/>
        <v>-507.76</v>
      </c>
      <c r="KP22" s="53">
        <f t="shared" si="18"/>
        <v>-2520.4800000000005</v>
      </c>
      <c r="KQ22" s="53">
        <f t="shared" si="18"/>
        <v>35595.43</v>
      </c>
      <c r="KR22" s="53">
        <f t="shared" si="18"/>
        <v>-3895.4799999999996</v>
      </c>
      <c r="KS22" s="53">
        <f t="shared" si="18"/>
        <v>-10710.43</v>
      </c>
      <c r="KT22" s="53">
        <f t="shared" si="18"/>
        <v>-1100.5999999999999</v>
      </c>
      <c r="KU22" s="53">
        <f t="shared" si="18"/>
        <v>-2125</v>
      </c>
      <c r="KV22" s="53">
        <f t="shared" si="18"/>
        <v>3317.3100000000004</v>
      </c>
      <c r="KW22" s="53">
        <f t="shared" si="18"/>
        <v>-591</v>
      </c>
      <c r="KX22" s="53">
        <f t="shared" si="18"/>
        <v>-89.899999999999991</v>
      </c>
      <c r="KY22" s="53">
        <f t="shared" si="18"/>
        <v>-534.82000000000005</v>
      </c>
      <c r="KZ22" s="53">
        <f t="shared" si="18"/>
        <v>-574.4899999999999</v>
      </c>
      <c r="LA22" s="53">
        <f t="shared" si="18"/>
        <v>-159.80000000000018</v>
      </c>
      <c r="LB22" s="53">
        <f t="shared" si="18"/>
        <v>-182.54</v>
      </c>
      <c r="LC22" s="53">
        <f t="shared" si="18"/>
        <v>-672.05</v>
      </c>
      <c r="LD22" s="53">
        <f t="shared" si="18"/>
        <v>-260.18</v>
      </c>
      <c r="LE22" s="53">
        <f t="shared" si="18"/>
        <v>-1717.69</v>
      </c>
      <c r="LF22" s="53">
        <f t="shared" si="18"/>
        <v>3473.2699999999995</v>
      </c>
      <c r="LG22" s="53">
        <f t="shared" si="18"/>
        <v>-935.34999999999991</v>
      </c>
      <c r="LH22" s="53">
        <f t="shared" si="18"/>
        <v>-298.26</v>
      </c>
      <c r="LI22" s="53">
        <f t="shared" si="18"/>
        <v>-758.00999999999988</v>
      </c>
      <c r="LJ22" s="53">
        <f t="shared" si="18"/>
        <v>-1359.5800000000002</v>
      </c>
      <c r="LK22" s="53">
        <f t="shared" si="18"/>
        <v>4597.5599999999995</v>
      </c>
      <c r="LL22" s="53">
        <f t="shared" si="18"/>
        <v>-927.52</v>
      </c>
      <c r="LM22" s="53">
        <f t="shared" si="18"/>
        <v>-608.97</v>
      </c>
      <c r="LN22" s="53">
        <f t="shared" si="18"/>
        <v>-318.83</v>
      </c>
      <c r="LO22" s="53">
        <f t="shared" si="18"/>
        <v>-2230.41</v>
      </c>
      <c r="LP22" s="53">
        <f t="shared" si="18"/>
        <v>4175.41</v>
      </c>
      <c r="LQ22" s="53">
        <f t="shared" si="18"/>
        <v>-38.700000000000003</v>
      </c>
      <c r="LR22" s="53">
        <f t="shared" si="18"/>
        <v>-229.06</v>
      </c>
      <c r="LS22" s="53">
        <f t="shared" si="18"/>
        <v>-415.66</v>
      </c>
      <c r="LT22" s="53">
        <f t="shared" si="18"/>
        <v>-2681.29</v>
      </c>
      <c r="LU22" s="53">
        <f t="shared" si="18"/>
        <v>-10508.260000000002</v>
      </c>
      <c r="LV22" s="53">
        <f t="shared" si="18"/>
        <v>-1057.98</v>
      </c>
      <c r="LW22" s="53">
        <f t="shared" si="18"/>
        <v>-334.93</v>
      </c>
      <c r="LX22" s="53">
        <f t="shared" si="18"/>
        <v>-308.39999999999998</v>
      </c>
      <c r="LY22" s="53">
        <f t="shared" si="18"/>
        <v>-3537.23</v>
      </c>
      <c r="LZ22" s="53">
        <f t="shared" ref="LZ22:MX22" si="19">SUM(LZ19:LZ20)</f>
        <v>5139.8799999999992</v>
      </c>
      <c r="MA22" s="53">
        <f t="shared" si="19"/>
        <v>-807.29000000000008</v>
      </c>
      <c r="MB22" s="53">
        <f t="shared" si="19"/>
        <v>-2068.64</v>
      </c>
      <c r="MC22" s="53">
        <f t="shared" si="19"/>
        <v>-1056.5499999999997</v>
      </c>
      <c r="MD22" s="53">
        <f t="shared" si="19"/>
        <v>-2494.9300000000007</v>
      </c>
      <c r="ME22" s="53">
        <f t="shared" si="19"/>
        <v>4684.2300000000005</v>
      </c>
      <c r="MF22" s="53">
        <f t="shared" si="19"/>
        <v>-1155.1500000000001</v>
      </c>
      <c r="MG22" s="53">
        <f t="shared" si="19"/>
        <v>-408.09000000000003</v>
      </c>
      <c r="MH22" s="53">
        <f t="shared" si="19"/>
        <v>-833.41</v>
      </c>
      <c r="MI22" s="53">
        <f t="shared" si="19"/>
        <v>-2373.2000000000003</v>
      </c>
      <c r="MJ22" s="53">
        <f t="shared" si="19"/>
        <v>2362.66</v>
      </c>
      <c r="MK22" s="53">
        <f t="shared" si="19"/>
        <v>-358.86</v>
      </c>
      <c r="ML22" s="53">
        <f t="shared" si="19"/>
        <v>-174.82</v>
      </c>
      <c r="MM22" s="53">
        <f t="shared" si="19"/>
        <v>-360.09000000000003</v>
      </c>
      <c r="MN22" s="53">
        <f t="shared" si="19"/>
        <v>-2261.5299999999997</v>
      </c>
      <c r="MO22" s="53">
        <f t="shared" si="19"/>
        <v>1934.6999999999998</v>
      </c>
      <c r="MP22" s="53">
        <f t="shared" si="19"/>
        <v>0</v>
      </c>
      <c r="MQ22" s="53">
        <f t="shared" si="19"/>
        <v>-408.86</v>
      </c>
      <c r="MR22" s="53">
        <f t="shared" si="19"/>
        <v>-99.9</v>
      </c>
      <c r="MS22" s="53">
        <f t="shared" si="19"/>
        <v>-3500.77</v>
      </c>
      <c r="MT22" s="53">
        <f t="shared" si="19"/>
        <v>3705.62</v>
      </c>
      <c r="MU22" s="53">
        <f t="shared" si="19"/>
        <v>0</v>
      </c>
      <c r="MV22" s="53">
        <f t="shared" si="19"/>
        <v>0</v>
      </c>
      <c r="MW22" s="53">
        <f t="shared" si="19"/>
        <v>-599.9</v>
      </c>
      <c r="MX22" s="53">
        <f t="shared" si="19"/>
        <v>-1878.5200000000002</v>
      </c>
      <c r="MY22" s="2"/>
    </row>
    <row r="23" spans="1:363" x14ac:dyDescent="0.25">
      <c r="A23" s="152"/>
      <c r="B23" s="45" t="s">
        <v>98</v>
      </c>
      <c r="C23" s="46">
        <f>SUM(C22)</f>
        <v>-302.5</v>
      </c>
      <c r="D23" s="46">
        <f t="shared" ref="D23" si="20">C23+D22</f>
        <v>1087.9659999999999</v>
      </c>
      <c r="E23" s="46">
        <f t="shared" ref="E23" si="21">D23+E22</f>
        <v>654.52599999999995</v>
      </c>
      <c r="F23" s="46">
        <f t="shared" ref="F23" si="22">E23+F22</f>
        <v>1204.5299999999997</v>
      </c>
      <c r="G23" s="46">
        <f t="shared" ref="G23" si="23">F23+G22</f>
        <v>1204.5299999999997</v>
      </c>
      <c r="H23" s="46">
        <f t="shared" ref="H23" si="24">G23+H22</f>
        <v>1001.8399999999997</v>
      </c>
      <c r="I23" s="46">
        <f t="shared" ref="I23" si="25">H23+I22</f>
        <v>1596.6299999999997</v>
      </c>
      <c r="J23" s="46">
        <f t="shared" ref="J23" si="26">I23+J22</f>
        <v>1083.2299999999996</v>
      </c>
      <c r="K23" s="46">
        <f t="shared" ref="K23" si="27">J23+K22</f>
        <v>906.97999999999956</v>
      </c>
      <c r="L23" s="46">
        <f t="shared" ref="L23" si="28">K23+L22</f>
        <v>906.97999999999956</v>
      </c>
      <c r="M23" s="46">
        <f t="shared" ref="M23" si="29">L23+M22</f>
        <v>631.27999999999963</v>
      </c>
      <c r="N23" s="46">
        <f t="shared" ref="N23" si="30">M23+N22</f>
        <v>1033.1899999999996</v>
      </c>
      <c r="O23" s="46">
        <f t="shared" ref="O23" si="31">N23+O22</f>
        <v>895.50999999999954</v>
      </c>
      <c r="P23" s="46">
        <f t="shared" ref="P23" si="32">O23+P22</f>
        <v>1419.6899999999996</v>
      </c>
      <c r="Q23" s="46">
        <f t="shared" ref="E23:Q23" si="33">P23+Q22</f>
        <v>1419.6899999999996</v>
      </c>
      <c r="R23" s="46">
        <f t="shared" ref="R23" si="34">Q23+R22</f>
        <v>2416.1799999999994</v>
      </c>
      <c r="S23" s="46">
        <f t="shared" ref="S23" si="35">R23+S22</f>
        <v>3035.2699999999995</v>
      </c>
      <c r="T23" s="46">
        <f t="shared" ref="T23" si="36">S23+T22</f>
        <v>2959.8699999999994</v>
      </c>
      <c r="U23" s="46">
        <f t="shared" ref="U23" si="37">T23+U22</f>
        <v>3380.3899999999994</v>
      </c>
      <c r="V23" s="46">
        <f t="shared" ref="V23" si="38">U23+V22</f>
        <v>3380.3899999999994</v>
      </c>
      <c r="W23" s="46">
        <f t="shared" ref="W23" si="39">V23+W22</f>
        <v>3145.4199999999996</v>
      </c>
      <c r="X23" s="46">
        <f t="shared" ref="X23" si="40">W23+X22</f>
        <v>5358.6299999999992</v>
      </c>
      <c r="Y23" s="46">
        <f t="shared" ref="Y23" si="41">X23+Y22</f>
        <v>5082.329999999999</v>
      </c>
      <c r="Z23" s="46">
        <f t="shared" ref="Z23" si="42">Y23+Z22</f>
        <v>5867.3899999999994</v>
      </c>
      <c r="AA23" s="46">
        <f t="shared" ref="AA23" si="43">Z23+AA22</f>
        <v>5867.3899999999994</v>
      </c>
      <c r="AB23" s="46">
        <f t="shared" ref="AB23" si="44">AA23+AB22</f>
        <v>5688.829999999999</v>
      </c>
      <c r="AC23" s="46">
        <f t="shared" ref="AC23" si="45">AB23+AC22</f>
        <v>7157.0999999999985</v>
      </c>
      <c r="AD23" s="46">
        <f t="shared" ref="AD23" si="46">AC23+AD22</f>
        <v>7008.1399999999985</v>
      </c>
      <c r="AE23" s="46">
        <f t="shared" ref="AE23" si="47">AD23+AE22</f>
        <v>7440.8299999999981</v>
      </c>
      <c r="AF23" s="46">
        <f t="shared" ref="AF23" si="48">AE23+AF22</f>
        <v>7440.8299999999981</v>
      </c>
      <c r="AG23" s="46">
        <f t="shared" ref="AG23" si="49">AF23+AG22</f>
        <v>7365.8299999999981</v>
      </c>
      <c r="AH23" s="46">
        <f t="shared" ref="AH23" si="50">AG23+AH22</f>
        <v>7818.1899999999978</v>
      </c>
      <c r="AI23" s="46">
        <f t="shared" ref="AI23" si="51">AH23+AI22</f>
        <v>9074.1199999999972</v>
      </c>
      <c r="AJ23" s="46">
        <f t="shared" ref="AJ23" si="52">AI23+AJ22</f>
        <v>9475.6499999999978</v>
      </c>
      <c r="AK23" s="46">
        <f t="shared" ref="AK23" si="53">AJ23+AK22</f>
        <v>9475.6499999999978</v>
      </c>
      <c r="AL23" s="46">
        <f t="shared" ref="AL23" si="54">AK23+AL22</f>
        <v>8924.6799999999985</v>
      </c>
      <c r="AM23" s="46">
        <f t="shared" ref="AM23" si="55">AL23+AM22</f>
        <v>11224.809999999998</v>
      </c>
      <c r="AN23" s="46">
        <f t="shared" ref="AN23" si="56">AM23+AN22</f>
        <v>9560.6099999999969</v>
      </c>
      <c r="AO23" s="46">
        <f t="shared" ref="AO23" si="57">AN23+AO22</f>
        <v>10166.649999999998</v>
      </c>
      <c r="AP23" s="46">
        <f t="shared" ref="AP23" si="58">AO23+AP22</f>
        <v>10166.649999999998</v>
      </c>
      <c r="AQ23" s="46">
        <f t="shared" ref="AQ23" si="59">AP23+AQ22</f>
        <v>10115.959999999997</v>
      </c>
      <c r="AR23" s="46">
        <f t="shared" ref="AR23" si="60">AQ23+AR22</f>
        <v>10722.629999999997</v>
      </c>
      <c r="AS23" s="46">
        <f t="shared" ref="AS23" si="61">AR23+AS22</f>
        <v>12330.329999999998</v>
      </c>
      <c r="AT23" s="46">
        <f t="shared" ref="AT23" si="62">AS23+AT22</f>
        <v>12429.439999999999</v>
      </c>
      <c r="AU23" s="46">
        <f t="shared" ref="AU23" si="63">AT23+AU22</f>
        <v>12429.439999999999</v>
      </c>
      <c r="AV23" s="46">
        <f t="shared" ref="AV23" si="64">AU23+AV22</f>
        <v>12399.38</v>
      </c>
      <c r="AW23" s="46">
        <f t="shared" ref="AW23" si="65">AV23+AW22</f>
        <v>12709.3</v>
      </c>
      <c r="AX23" s="46">
        <f t="shared" ref="AX23" si="66">AW23+AX22</f>
        <v>12495.32</v>
      </c>
      <c r="AY23" s="46">
        <f t="shared" ref="AY23" si="67">AX23+AY22</f>
        <v>13478.96</v>
      </c>
      <c r="AZ23" s="46">
        <f t="shared" ref="AZ23" si="68">AY23+AZ22</f>
        <v>13478.96</v>
      </c>
      <c r="BA23" s="46">
        <f t="shared" ref="BA23" si="69">AZ23+BA22</f>
        <v>13208.339999999998</v>
      </c>
      <c r="BB23" s="46">
        <f t="shared" ref="BB23" si="70">BA23+BB22</f>
        <v>13865.749999999998</v>
      </c>
      <c r="BC23" s="46">
        <f t="shared" ref="BC23" si="71">BB23+BC22</f>
        <v>13730.909999999998</v>
      </c>
      <c r="BD23" s="46">
        <f t="shared" ref="BD23" si="72">BC23+BD22</f>
        <v>19154.699999999997</v>
      </c>
      <c r="BE23" s="46">
        <f t="shared" ref="BE23" si="73">BD23+BE22</f>
        <v>19015.949999999997</v>
      </c>
      <c r="BF23" s="46">
        <f t="shared" ref="BF23" si="74">BE23+BF22</f>
        <v>19007.929999999997</v>
      </c>
      <c r="BG23" s="46">
        <f t="shared" ref="BG23" si="75">BF23+BG22</f>
        <v>19759.189999999995</v>
      </c>
      <c r="BH23" s="46">
        <f t="shared" ref="BH23" si="76">BG23+BH22</f>
        <v>20116.449999999993</v>
      </c>
      <c r="BI23" s="46">
        <f t="shared" ref="BI23" si="77">BH23+BI22</f>
        <v>19956.379999999994</v>
      </c>
      <c r="BJ23" s="46">
        <f t="shared" ref="BJ23" si="78">BI23+BJ22</f>
        <v>19242.289999999994</v>
      </c>
      <c r="BK23" s="46">
        <f t="shared" ref="BK23" si="79">BJ23+BK22</f>
        <v>19127.169999999995</v>
      </c>
      <c r="BL23" s="46">
        <f t="shared" ref="BL23" si="80">BK23+BL22</f>
        <v>20184.709999999995</v>
      </c>
      <c r="BM23" s="46">
        <f t="shared" ref="BM23" si="81">BL23+BM22</f>
        <v>17607.909999999996</v>
      </c>
      <c r="BN23" s="46">
        <f t="shared" ref="BN23" si="82">BM23+BN22</f>
        <v>18253.559999999998</v>
      </c>
      <c r="BO23" s="46">
        <f t="shared" ref="BO23" si="83">BN23+BO22</f>
        <v>17803.149999999998</v>
      </c>
      <c r="BP23" s="46">
        <f t="shared" ref="BP23" si="84">BO23+BP22</f>
        <v>17760.649999999998</v>
      </c>
      <c r="BQ23" s="46">
        <f t="shared" ref="BQ23" si="85">BP23+BQ22</f>
        <v>19941.689999999999</v>
      </c>
      <c r="BR23" s="46">
        <f t="shared" ref="BR23" si="86">BQ23+BR22</f>
        <v>19821.02</v>
      </c>
      <c r="BS23" s="46">
        <f t="shared" ref="BS23" si="87">BR23+BS22</f>
        <v>20250.29</v>
      </c>
      <c r="BT23" s="46">
        <f t="shared" ref="BT23" si="88">BS23+BT22</f>
        <v>19926.690000000002</v>
      </c>
      <c r="BU23" s="46">
        <f t="shared" ref="BU23" si="89">BT23+BU22</f>
        <v>19734.510000000002</v>
      </c>
      <c r="BV23" s="46">
        <f t="shared" ref="BV23" si="90">BU23+BV22</f>
        <v>20467.150000000001</v>
      </c>
      <c r="BW23" s="46">
        <f t="shared" ref="BW23" si="91">BV23+BW22</f>
        <v>20361.41</v>
      </c>
      <c r="BX23" s="46">
        <f t="shared" ref="BX23" si="92">BW23+BX22</f>
        <v>21823.66</v>
      </c>
      <c r="BY23" s="46">
        <f t="shared" ref="BY23" si="93">BX23+BY22</f>
        <v>21128.63</v>
      </c>
      <c r="BZ23" s="46">
        <f t="shared" ref="BZ23" si="94">BY23+BZ22</f>
        <v>20944.64</v>
      </c>
      <c r="CA23" s="46">
        <f t="shared" ref="CA23" si="95">BZ23+CA22</f>
        <v>21674.54</v>
      </c>
      <c r="CB23" s="46">
        <f t="shared" ref="CB23" si="96">CA23+CB22</f>
        <v>22396.38</v>
      </c>
      <c r="CC23" s="46">
        <f t="shared" ref="CC23" si="97">CB23+CC22</f>
        <v>23001.38</v>
      </c>
      <c r="CD23" s="46">
        <f t="shared" ref="CD23" si="98">CC23+CD22</f>
        <v>22643.370000000003</v>
      </c>
      <c r="CE23" s="46">
        <f t="shared" ref="CE23" si="99">CD23+CE22</f>
        <v>22322.160000000003</v>
      </c>
      <c r="CF23" s="46">
        <f t="shared" ref="CF23" si="100">CE23+CF22</f>
        <v>24021.200000000004</v>
      </c>
      <c r="CG23" s="46">
        <f t="shared" ref="CG23" si="101">CF23+CG22</f>
        <v>23986.330000000005</v>
      </c>
      <c r="CH23" s="46">
        <f t="shared" ref="CH23" si="102">CG23+CH22</f>
        <v>24740.820000000007</v>
      </c>
      <c r="CI23" s="46">
        <f t="shared" ref="CI23" si="103">CH23+CI22</f>
        <v>24041.980000000007</v>
      </c>
      <c r="CJ23" s="46">
        <f t="shared" ref="CJ23" si="104">CI23+CJ22</f>
        <v>23957.570000000007</v>
      </c>
      <c r="CK23" s="46">
        <f t="shared" ref="CK23" si="105">CJ23+CK22</f>
        <v>25686.530000000006</v>
      </c>
      <c r="CL23" s="46">
        <f t="shared" ref="CL23" si="106">CK23+CL22</f>
        <v>25548.920000000006</v>
      </c>
      <c r="CM23" s="46">
        <f t="shared" ref="CM23" si="107">CL23+CM22</f>
        <v>26139.650000000005</v>
      </c>
      <c r="CN23" s="46">
        <f t="shared" ref="CN23" si="108">CM23+CN22</f>
        <v>25640.520000000004</v>
      </c>
      <c r="CO23" s="46">
        <f t="shared" ref="CO23" si="109">CN23+CO22</f>
        <v>25502.360000000004</v>
      </c>
      <c r="CP23" s="46">
        <f t="shared" ref="CP23" si="110">CO23+CP22</f>
        <v>26124.320000000003</v>
      </c>
      <c r="CQ23" s="46">
        <f t="shared" ref="CQ23" si="111">CP23+CQ22</f>
        <v>26901.050000000003</v>
      </c>
      <c r="CR23" s="46">
        <f t="shared" ref="CR23" si="112">CQ23+CR22</f>
        <v>27291.280000000002</v>
      </c>
      <c r="CS23" s="46">
        <f t="shared" ref="CS23" si="113">CR23+CS22</f>
        <v>25679.7</v>
      </c>
      <c r="CT23" s="46">
        <f t="shared" ref="CT23" si="114">CS23+CT22</f>
        <v>25608.31</v>
      </c>
      <c r="CU23" s="46">
        <f t="shared" ref="CU23" si="115">CT23+CU22</f>
        <v>26332.36</v>
      </c>
      <c r="CV23" s="46">
        <f t="shared" ref="CV23" si="116">CU23+CV22</f>
        <v>27282.560000000001</v>
      </c>
      <c r="CW23" s="46">
        <f t="shared" ref="CW23" si="117">CV23+CW22</f>
        <v>28151.280000000002</v>
      </c>
      <c r="CX23" s="46">
        <f t="shared" ref="CX23" si="118">CW23+CX22</f>
        <v>27239.390000000003</v>
      </c>
      <c r="CY23" s="46">
        <f t="shared" ref="CY23" si="119">CX23+CY22</f>
        <v>27132.58</v>
      </c>
      <c r="CZ23" s="46">
        <f t="shared" ref="CZ23" si="120">CY23+CZ22</f>
        <v>28779.620000000003</v>
      </c>
      <c r="DA23" s="46">
        <f t="shared" ref="DA23" si="121">CZ23+DA22</f>
        <v>28742.620000000003</v>
      </c>
      <c r="DB23" s="46">
        <f t="shared" ref="DB23" si="122">DA23+DB22</f>
        <v>29653.200000000004</v>
      </c>
      <c r="DC23" s="46">
        <f t="shared" ref="DC23" si="123">DB23+DC22</f>
        <v>27883.390000000003</v>
      </c>
      <c r="DD23" s="46">
        <f t="shared" ref="DD23" si="124">DC23+DD22</f>
        <v>27775.06</v>
      </c>
      <c r="DE23" s="46">
        <f t="shared" ref="DE23" si="125">DD23+DE22</f>
        <v>28513.100000000002</v>
      </c>
      <c r="DF23" s="46">
        <f t="shared" ref="DF23" si="126">DE23+DF22</f>
        <v>28505.200000000001</v>
      </c>
      <c r="DG23" s="46">
        <f t="shared" ref="DG23" si="127">DF23+DG22</f>
        <v>30347.760000000002</v>
      </c>
      <c r="DH23" s="46">
        <f t="shared" ref="DH23" si="128">DG23+DH22</f>
        <v>29083.18</v>
      </c>
      <c r="DI23" s="46">
        <f t="shared" ref="DI23" si="129">DH23+DI22</f>
        <v>30014.16</v>
      </c>
      <c r="DJ23" s="46">
        <f t="shared" ref="DJ23" si="130">DI23+DJ22</f>
        <v>30668.78</v>
      </c>
      <c r="DK23" s="46">
        <f t="shared" ref="DK23" si="131">DJ23+DK22</f>
        <v>30668.78</v>
      </c>
      <c r="DL23" s="46">
        <f t="shared" ref="DL23" si="132">DK23+DL22</f>
        <v>36537.549999999996</v>
      </c>
      <c r="DM23" s="46">
        <f t="shared" ref="DM23" si="133">DL23+DM22</f>
        <v>34412.759999999995</v>
      </c>
      <c r="DN23" s="46">
        <f t="shared" ref="DN23" si="134">DM23+DN22</f>
        <v>35331.969999999994</v>
      </c>
      <c r="DO23" s="46">
        <f t="shared" ref="DO23" si="135">DN23+DO22</f>
        <v>35316.989999999991</v>
      </c>
      <c r="DP23" s="46">
        <f t="shared" ref="DP23" si="136">DO23+DP22</f>
        <v>36055.639999999992</v>
      </c>
      <c r="DQ23" s="46">
        <f t="shared" ref="DQ23" si="137">DP23+DQ22</f>
        <v>36055.639999999992</v>
      </c>
      <c r="DR23" s="46">
        <f t="shared" ref="DR23" si="138">DQ23+DR22</f>
        <v>34342.419999999991</v>
      </c>
      <c r="DS23" s="46">
        <f t="shared" ref="DS23" si="139">DR23+DS22</f>
        <v>34267.329999999994</v>
      </c>
      <c r="DT23" s="46">
        <f t="shared" ref="DT23" si="140">DS23+DT22</f>
        <v>35925.569999999992</v>
      </c>
      <c r="DU23" s="46">
        <f t="shared" ref="DU23" si="141">DT23+DU22</f>
        <v>35894.249999999993</v>
      </c>
      <c r="DV23" s="46">
        <f t="shared" ref="DV23" si="142">DU23+DV22</f>
        <v>36777.689999999995</v>
      </c>
      <c r="DW23" s="46">
        <f t="shared" ref="DW23" si="143">DV23+DW22</f>
        <v>35534.439999999995</v>
      </c>
      <c r="DX23" s="46">
        <f t="shared" ref="DX23" si="144">DW23+DX22</f>
        <v>35485.199999999997</v>
      </c>
      <c r="DY23" s="46">
        <f t="shared" ref="DY23" si="145">DX23+DY22</f>
        <v>36209.99</v>
      </c>
      <c r="DZ23" s="46">
        <f t="shared" ref="DZ23" si="146">DY23+DZ22</f>
        <v>37624.89</v>
      </c>
      <c r="EA23" s="46">
        <f t="shared" ref="EA23" si="147">DZ23+EA22</f>
        <v>38534.78</v>
      </c>
      <c r="EB23" s="46">
        <f t="shared" ref="EB23" si="148">EA23+EB22</f>
        <v>37080.61</v>
      </c>
      <c r="EC23" s="46">
        <f t="shared" ref="EC23" si="149">EB23+EC22</f>
        <v>36979.97</v>
      </c>
      <c r="ED23" s="46">
        <f t="shared" ref="ED23" si="150">EC23+ED22</f>
        <v>37713.31</v>
      </c>
      <c r="EE23" s="46">
        <f t="shared" ref="EE23" si="151">ED23+EE22</f>
        <v>37198.229999999996</v>
      </c>
      <c r="EF23" s="46">
        <f t="shared" ref="EF23" si="152">EE23+EF22</f>
        <v>39302.35</v>
      </c>
      <c r="EG23" s="46">
        <f t="shared" ref="EG23" si="153">EF23+EG22</f>
        <v>37787.769999999997</v>
      </c>
      <c r="EH23" s="46">
        <f t="shared" ref="EH23" si="154">EG23+EH22</f>
        <v>37625.43</v>
      </c>
      <c r="EI23" s="46">
        <f t="shared" ref="EI23" si="155">EH23+EI22</f>
        <v>38175.449999999997</v>
      </c>
      <c r="EJ23" s="46">
        <f t="shared" ref="EJ23" si="156">EI23+EJ22</f>
        <v>38100.219999999994</v>
      </c>
      <c r="EK23" s="46">
        <f t="shared" ref="EK23" si="157">EJ23+EK22</f>
        <v>38869.519999999997</v>
      </c>
      <c r="EL23" s="46">
        <f t="shared" ref="EL23" si="158">EK23+EL22</f>
        <v>38015.939999999995</v>
      </c>
      <c r="EM23" s="46">
        <f t="shared" ref="EM23" si="159">EL23+EM22</f>
        <v>37862.079999999994</v>
      </c>
      <c r="EN23" s="46">
        <f t="shared" ref="EN23" si="160">EM23+EN22</f>
        <v>38515.829999999994</v>
      </c>
      <c r="EO23" s="46">
        <f t="shared" ref="EO23" si="161">EN23+EO22</f>
        <v>38451.629999999997</v>
      </c>
      <c r="EP23" s="46">
        <f t="shared" ref="EP23" si="162">EO23+EP22</f>
        <v>39358.32</v>
      </c>
      <c r="EQ23" s="46">
        <f t="shared" ref="EQ23" si="163">EP23+EQ22</f>
        <v>38593.51</v>
      </c>
      <c r="ER23" s="46">
        <f t="shared" ref="ER23" si="164">EQ23+ER22</f>
        <v>38535.050000000003</v>
      </c>
      <c r="ES23" s="46">
        <f t="shared" ref="ES23" si="165">ER23+ES22</f>
        <v>40462.280000000006</v>
      </c>
      <c r="ET23" s="46">
        <f t="shared" ref="ET23" si="166">ES23+ET22</f>
        <v>40462.280000000006</v>
      </c>
      <c r="EU23" s="46">
        <f t="shared" ref="EU23" si="167">ET23+EU22</f>
        <v>41314.100000000006</v>
      </c>
      <c r="EV23" s="46">
        <f t="shared" ref="EV23" si="168">EU23+EV22</f>
        <v>40510.820000000007</v>
      </c>
      <c r="EW23" s="46">
        <f t="shared" ref="EW23" si="169">EV23+EW22</f>
        <v>41611.890000000007</v>
      </c>
      <c r="EX23" s="46">
        <f t="shared" ref="EX23" si="170">EW23+EX22</f>
        <v>42389.12000000001</v>
      </c>
      <c r="EY23" s="46">
        <f t="shared" ref="EY23" si="171">EX23+EY22</f>
        <v>42306.12000000001</v>
      </c>
      <c r="EZ23" s="46">
        <f t="shared" ref="EZ23" si="172">EY23+EZ22</f>
        <v>43312.770000000011</v>
      </c>
      <c r="FA23" s="46">
        <f t="shared" ref="FA23" si="173">EZ23+FA22</f>
        <v>41486.860000000008</v>
      </c>
      <c r="FB23" s="46">
        <f t="shared" ref="FB23" si="174">FA23+FB22</f>
        <v>43437.930000000008</v>
      </c>
      <c r="FC23" s="46">
        <f t="shared" ref="FC23" si="175">FB23+FC22</f>
        <v>43776.820000000007</v>
      </c>
      <c r="FD23" s="46">
        <f t="shared" ref="FD23" si="176">FC23+FD22</f>
        <v>43776.820000000007</v>
      </c>
      <c r="FE23" s="46">
        <f t="shared" ref="FE23" si="177">FD23+FE22</f>
        <v>45047.19000000001</v>
      </c>
      <c r="FF23" s="46">
        <f t="shared" ref="FF23" si="178">FE23+FF22</f>
        <v>42525.150000000009</v>
      </c>
      <c r="FG23" s="46">
        <f t="shared" ref="FG23" si="179">FF23+FG22</f>
        <v>44476.220000000008</v>
      </c>
      <c r="FH23" s="46">
        <f t="shared" ref="FH23" si="180">FG23+FH22</f>
        <v>44476.220000000008</v>
      </c>
      <c r="FI23" s="46">
        <f t="shared" ref="FI23" si="181">FH23+FI22</f>
        <v>45376.610000000008</v>
      </c>
      <c r="FJ23" s="46">
        <f t="shared" ref="FJ23" si="182">FI23+FJ22</f>
        <v>46523.820000000007</v>
      </c>
      <c r="FK23" s="46">
        <f t="shared" ref="FK23" si="183">FJ23+FK22</f>
        <v>45854.280000000006</v>
      </c>
      <c r="FL23" s="46">
        <f t="shared" ref="FL23" si="184">FK23+FL22</f>
        <v>47794.830000000009</v>
      </c>
      <c r="FM23" s="46">
        <f t="shared" ref="FM23" si="185">FL23+FM22</f>
        <v>48652.55000000001</v>
      </c>
      <c r="FN23" s="46">
        <f t="shared" ref="FN23" si="186">FM23+FN22</f>
        <v>48752.55000000001</v>
      </c>
      <c r="FO23" s="46">
        <f t="shared" ref="FO23" si="187">FN23+FO22</f>
        <v>49899.760000000009</v>
      </c>
      <c r="FP23" s="46">
        <f t="shared" ref="FP23" si="188">FO23+FP22</f>
        <v>49200.040000000008</v>
      </c>
      <c r="FQ23" s="46">
        <f t="shared" ref="FQ23" si="189">FP23+FQ22</f>
        <v>51151.110000000008</v>
      </c>
      <c r="FR23" s="46">
        <f t="shared" ref="FR23" si="190">FQ23+FR22</f>
        <v>52051.500000000007</v>
      </c>
      <c r="FS23" s="46">
        <f t="shared" ref="FS23" si="191">FR23+FS22</f>
        <v>51001.500000000007</v>
      </c>
      <c r="FT23" s="46">
        <f t="shared" ref="FT23" si="192">FS23+FT22</f>
        <v>60592.350000000006</v>
      </c>
      <c r="FU23" s="46">
        <f t="shared" ref="FU23" si="193">FT23+FU22</f>
        <v>59544.760000000009</v>
      </c>
      <c r="FV23" s="46">
        <f t="shared" ref="FV23" si="194">FU23+FV22</f>
        <v>61418.720000000008</v>
      </c>
      <c r="FW23" s="46">
        <f t="shared" ref="FW23" si="195">FV23+FW22</f>
        <v>61418.720000000008</v>
      </c>
      <c r="FX23" s="46">
        <f t="shared" ref="FX23" si="196">FW23+FX22</f>
        <v>62114.420000000006</v>
      </c>
      <c r="FY23" s="46">
        <f t="shared" ref="FY23" si="197">FX23+FY22</f>
        <v>62056.770000000004</v>
      </c>
      <c r="FZ23" s="46">
        <f t="shared" ref="FZ23" si="198">FY23+FZ22</f>
        <v>60219.100000000006</v>
      </c>
      <c r="GA23" s="46">
        <f t="shared" ref="GA23" si="199">FZ23+GA22</f>
        <v>61952.270000000004</v>
      </c>
      <c r="GB23" s="46">
        <f t="shared" ref="GB23" si="200">GA23+GB22</f>
        <v>62827.26</v>
      </c>
      <c r="GC23" s="46">
        <f t="shared" ref="GC23" si="201">GB23+GC22</f>
        <v>62784.28</v>
      </c>
      <c r="GD23" s="46">
        <f t="shared" ref="GD23" si="202">GC23+GD22</f>
        <v>63962.799999999996</v>
      </c>
      <c r="GE23" s="46">
        <f t="shared" ref="GE23" si="203">GD23+GE22</f>
        <v>62631.109999999993</v>
      </c>
      <c r="GF23" s="46">
        <f t="shared" ref="GF23" si="204">GE23+GF22</f>
        <v>64582.179999999993</v>
      </c>
      <c r="GG23" s="46">
        <f t="shared" ref="GG23" si="205">GF23+GG22</f>
        <v>64909.039999999994</v>
      </c>
      <c r="GH23" s="46">
        <f t="shared" ref="GH23" si="206">GG23+GH22</f>
        <v>64099.509999999995</v>
      </c>
      <c r="GI23" s="46">
        <f t="shared" ref="GI23" si="207">GH23+GI22</f>
        <v>65278.029999999992</v>
      </c>
      <c r="GJ23" s="46">
        <f t="shared" ref="GJ23" si="208">GI23+GJ22</f>
        <v>64041.01999999999</v>
      </c>
      <c r="GK23" s="46">
        <f t="shared" ref="GK23" si="209">GJ23+GK22</f>
        <v>65780.539999999994</v>
      </c>
      <c r="GL23" s="46">
        <f t="shared" ref="GL23" si="210">GK23+GL22</f>
        <v>66268.14</v>
      </c>
      <c r="GM23" s="46">
        <f t="shared" ref="GM23" si="211">GL23+GM22</f>
        <v>66252.240000000005</v>
      </c>
      <c r="GN23" s="46">
        <f t="shared" ref="GN23" si="212">GM23+GN22</f>
        <v>67505.760000000009</v>
      </c>
      <c r="GO23" s="46">
        <f t="shared" ref="GO23" si="213">GN23+GO22</f>
        <v>67117.310000000012</v>
      </c>
      <c r="GP23" s="46">
        <f t="shared" ref="GP23" si="214">GO23+GP22</f>
        <v>69067.050000000017</v>
      </c>
      <c r="GQ23" s="46">
        <f t="shared" ref="GQ23" si="215">GP23+GQ22</f>
        <v>69974.910000000018</v>
      </c>
      <c r="GR23" s="46">
        <f t="shared" ref="GR23" si="216">GQ23+GR22</f>
        <v>69902.510000000024</v>
      </c>
      <c r="GS23" s="46">
        <f t="shared" ref="GS23" si="217">GR23+GS22</f>
        <v>69902.510000000024</v>
      </c>
      <c r="GT23" s="46">
        <f t="shared" ref="GT23" si="218">GS23+GT22</f>
        <v>71742.99000000002</v>
      </c>
      <c r="GU23" s="46">
        <f t="shared" ref="GU23" si="219">GT23+GU22</f>
        <v>73548.500000000015</v>
      </c>
      <c r="GV23" s="46">
        <f t="shared" ref="GV23" si="220">GU23+GV22</f>
        <v>74475.360000000015</v>
      </c>
      <c r="GW23" s="46">
        <f t="shared" ref="GW23" si="221">GV23+GW22</f>
        <v>74161.970000000016</v>
      </c>
      <c r="GX23" s="46">
        <f t="shared" ref="GX23" si="222">GW23+GX22</f>
        <v>73140.49000000002</v>
      </c>
      <c r="GY23" s="46">
        <f t="shared" ref="GY23" si="223">GX23+GY22</f>
        <v>70409.500000000015</v>
      </c>
      <c r="GZ23" s="46">
        <f t="shared" ref="GZ23" si="224">GY23+GZ22</f>
        <v>66937.37000000001</v>
      </c>
      <c r="HA23" s="46">
        <f t="shared" ref="HA23" si="225">GZ23+HA22</f>
        <v>40136.240000000005</v>
      </c>
      <c r="HB23" s="46">
        <f t="shared" ref="HB23" si="226">HA23+HB22</f>
        <v>25025.300000000007</v>
      </c>
      <c r="HC23" s="46">
        <f t="shared" ref="HC23" si="227">HB23+HC22</f>
        <v>3387.46000000001</v>
      </c>
      <c r="HD23" s="46">
        <f t="shared" ref="HD23" si="228">HC23+HD22</f>
        <v>2658.6500000000101</v>
      </c>
      <c r="HE23" s="46">
        <f t="shared" ref="HE23" si="229">HD23+HE22</f>
        <v>4589.7300000000105</v>
      </c>
      <c r="HF23" s="46">
        <f t="shared" ref="HF23" si="230">HE23+HF22</f>
        <v>5466.5900000000101</v>
      </c>
      <c r="HG23" s="46">
        <f t="shared" ref="HG23" si="231">HF23+HG22</f>
        <v>2989.79000000001</v>
      </c>
      <c r="HH23" s="46">
        <f t="shared" ref="HH23" si="232">HG23+HH22</f>
        <v>4168.3100000000104</v>
      </c>
      <c r="HI23" s="46">
        <f t="shared" ref="HI23" si="233">HH23+HI22</f>
        <v>3723.3100000000104</v>
      </c>
      <c r="HJ23" s="46">
        <f t="shared" ref="HJ23" si="234">HI23+HJ22</f>
        <v>3716.3300000000104</v>
      </c>
      <c r="HK23" s="46">
        <f t="shared" ref="HK23" si="235">HJ23+HK22</f>
        <v>2006.1900000000105</v>
      </c>
      <c r="HL23" s="46">
        <f t="shared" ref="HL23" si="236">HK23+HL22</f>
        <v>650.80000000001064</v>
      </c>
      <c r="HM23" s="46">
        <f t="shared" ref="HM23" si="237">HL23+HM22</f>
        <v>4442.1300000000101</v>
      </c>
      <c r="HN23" s="46">
        <f t="shared" ref="HN23" si="238">HM23+HN22</f>
        <v>2378.1400000000103</v>
      </c>
      <c r="HO23" s="46">
        <f t="shared" ref="HO23" si="239">HN23+HO22</f>
        <v>2486.1600000000103</v>
      </c>
      <c r="HP23" s="46">
        <f t="shared" ref="HP23" si="240">HO23+HP22</f>
        <v>24.360000000010132</v>
      </c>
      <c r="HQ23" s="46">
        <f t="shared" ref="HQ23" si="241">HP23+HQ22</f>
        <v>-93.329999999989866</v>
      </c>
      <c r="HR23" s="46">
        <f t="shared" ref="HR23" si="242">HQ23+HR22</f>
        <v>-157.0399999999899</v>
      </c>
      <c r="HS23" s="46">
        <f t="shared" ref="HS23" si="243">HR23+HS22</f>
        <v>-733.4599999999898</v>
      </c>
      <c r="HT23" s="46">
        <f t="shared" ref="HT23" si="244">HS23+HT22</f>
        <v>1564.53000000001</v>
      </c>
      <c r="HU23" s="46">
        <f t="shared" ref="HU23" si="245">HT23+HU22</f>
        <v>3960.5300000000097</v>
      </c>
      <c r="HV23" s="46">
        <f t="shared" ref="HV23" si="246">HU23+HV22</f>
        <v>3343.4400000000096</v>
      </c>
      <c r="HW23" s="46">
        <f t="shared" ref="HW23" si="247">HV23+HW22</f>
        <v>5489.79000000001</v>
      </c>
      <c r="HX23" s="46">
        <f t="shared" ref="HX23" si="248">HW23+HX22</f>
        <v>4498.1500000000096</v>
      </c>
      <c r="HY23" s="46">
        <f t="shared" ref="HY23" si="249">HX23+HY22</f>
        <v>6272.8800000000101</v>
      </c>
      <c r="HZ23" s="46">
        <f t="shared" ref="HZ23" si="250">HY23+HZ22</f>
        <v>8767.8900000000103</v>
      </c>
      <c r="IA23" s="46">
        <f t="shared" ref="IA23" si="251">HZ23+IA22</f>
        <v>8097.1000000000104</v>
      </c>
      <c r="IB23" s="46">
        <f t="shared" ref="IB23" si="252">IA23+IB22</f>
        <v>25107.540000000008</v>
      </c>
      <c r="IC23" s="46">
        <f t="shared" ref="IC23" si="253">IB23+IC22</f>
        <v>24675.350000000009</v>
      </c>
      <c r="ID23" s="46">
        <f t="shared" ref="ID23" si="254">IC23+ID22</f>
        <v>7955.1900000000096</v>
      </c>
      <c r="IE23" s="46">
        <f t="shared" ref="IE23" si="255">ID23+IE22</f>
        <v>6916.5200000000095</v>
      </c>
      <c r="IF23" s="46">
        <f t="shared" ref="IF23" si="256">IE23+IF22</f>
        <v>8166.6900000000096</v>
      </c>
      <c r="IG23" s="46">
        <f t="shared" ref="IG23" si="257">IF23+IG22</f>
        <v>-4188.8999999999924</v>
      </c>
      <c r="IH23" s="46">
        <f t="shared" ref="IH23" si="258">IG23+IH22</f>
        <v>-4316.2199999999921</v>
      </c>
      <c r="II23" s="46">
        <f t="shared" ref="II23" si="259">IH23+II22</f>
        <v>-1308.8999999999919</v>
      </c>
      <c r="IJ23" s="46">
        <f t="shared" ref="IJ23" si="260">II23+IJ22</f>
        <v>1341.180000000008</v>
      </c>
      <c r="IK23" s="46">
        <f t="shared" ref="IK23" si="261">IJ23+IK22</f>
        <v>1122.3000000000079</v>
      </c>
      <c r="IL23" s="46">
        <f t="shared" ref="IL23" si="262">IK23+IL22</f>
        <v>2126.2300000000077</v>
      </c>
      <c r="IM23" s="46">
        <f t="shared" ref="IM23" si="263">IL23+IM22</f>
        <v>1107.6300000000078</v>
      </c>
      <c r="IN23" s="46">
        <f t="shared" ref="IN23" si="264">IM23+IN22</f>
        <v>2964.9000000000078</v>
      </c>
      <c r="IO23" s="46">
        <f t="shared" ref="IO23" si="265">IN23+IO22</f>
        <v>1300.9100000000078</v>
      </c>
      <c r="IP23" s="46">
        <f t="shared" ref="IP23" si="266">IO23+IP22</f>
        <v>3772.990000000008</v>
      </c>
      <c r="IQ23" s="46">
        <f t="shared" ref="IQ23" si="267">IP23+IQ22</f>
        <v>5429.1400000000076</v>
      </c>
      <c r="IR23" s="46">
        <f t="shared" ref="IR23" si="268">IQ23+IR22</f>
        <v>3952.2100000000078</v>
      </c>
      <c r="IS23" s="46">
        <f t="shared" ref="IS23" si="269">IR23+IS22</f>
        <v>2797.160000000008</v>
      </c>
      <c r="IT23" s="46">
        <f t="shared" ref="IT23" si="270">IS23+IT22</f>
        <v>2122.8300000000081</v>
      </c>
      <c r="IU23" s="46">
        <f t="shared" ref="IU23" si="271">IT23+IU22</f>
        <v>1930.3200000000079</v>
      </c>
      <c r="IV23" s="46">
        <f t="shared" ref="IV23" si="272">IU23+IV22</f>
        <v>630.1700000000078</v>
      </c>
      <c r="IW23" s="46">
        <f t="shared" ref="IW23" si="273">IV23+IW22</f>
        <v>-363.77999999999224</v>
      </c>
      <c r="IX23" s="46">
        <f t="shared" ref="IX23" si="274">IW23+IX22</f>
        <v>-5045.0299999999925</v>
      </c>
      <c r="IY23" s="46">
        <f t="shared" ref="IY23" si="275">IX23+IY22</f>
        <v>-4394.9499999999925</v>
      </c>
      <c r="IZ23" s="46">
        <f t="shared" ref="IZ23" si="276">IY23+IZ22</f>
        <v>-6414.9499999999925</v>
      </c>
      <c r="JA23" s="46">
        <f t="shared" ref="JA23" si="277">IZ23+JA22</f>
        <v>-6608.5999999999931</v>
      </c>
      <c r="JB23" s="46">
        <f t="shared" ref="JB23" si="278">JA23+JB22</f>
        <v>-9742.3899999999921</v>
      </c>
      <c r="JC23" s="46">
        <f t="shared" ref="JC23" si="279">JB23+JC22</f>
        <v>-7117.2199999999921</v>
      </c>
      <c r="JD23" s="46">
        <f t="shared" ref="JD23" si="280">JC23+JD22</f>
        <v>1319.6500000000069</v>
      </c>
      <c r="JE23" s="46">
        <f t="shared" ref="JE23" si="281">JD23+JE22</f>
        <v>869.43000000000688</v>
      </c>
      <c r="JF23" s="46">
        <f t="shared" ref="JF23" si="282">JE23+JF22</f>
        <v>284.62000000000694</v>
      </c>
      <c r="JG23" s="46">
        <f t="shared" ref="JG23" si="283">JF23+JG22</f>
        <v>-2772.2699999999932</v>
      </c>
      <c r="JH23" s="46">
        <f t="shared" ref="JH23" si="284">JG23+JH22</f>
        <v>3649.2900000000063</v>
      </c>
      <c r="JI23" s="46">
        <f t="shared" ref="JI23" si="285">JH23+JI22</f>
        <v>3300.6100000000065</v>
      </c>
      <c r="JJ23" s="46">
        <f t="shared" ref="JJ23" si="286">JI23+JJ22</f>
        <v>3157.6100000000065</v>
      </c>
      <c r="JK23" s="46">
        <f t="shared" ref="JK23" si="287">JJ23+JK22</f>
        <v>6878.0200000000059</v>
      </c>
      <c r="JL23" s="46">
        <f t="shared" ref="JL23" si="288">JK23+JL22</f>
        <v>3797.1400000000058</v>
      </c>
      <c r="JM23" s="46">
        <f t="shared" ref="JM23" si="289">JL23+JM22</f>
        <v>17994.300000000007</v>
      </c>
      <c r="JN23" s="46">
        <f t="shared" ref="JN23" si="290">JM23+JN22</f>
        <v>14634.310000000007</v>
      </c>
      <c r="JO23" s="46">
        <f t="shared" ref="JO23" si="291">JN23+JO22</f>
        <v>12009.860000000006</v>
      </c>
      <c r="JP23" s="46">
        <f t="shared" ref="JP23" si="292">JO23+JP22</f>
        <v>9215.0000000000055</v>
      </c>
      <c r="JQ23" s="46">
        <f t="shared" ref="JQ23" si="293">JP23+JQ22</f>
        <v>4887.4700000000057</v>
      </c>
      <c r="JR23" s="46">
        <f t="shared" ref="JR23" si="294">JQ23+JR22</f>
        <v>7863.2100000000055</v>
      </c>
      <c r="JS23" s="46">
        <f t="shared" ref="JS23" si="295">JR23+JS22</f>
        <v>4929.7400000000052</v>
      </c>
      <c r="JT23" s="46">
        <f t="shared" ref="JT23" si="296">JS23+JT22</f>
        <v>-551.9699999999948</v>
      </c>
      <c r="JU23" s="46">
        <f t="shared" ref="JU23" si="297">JT23+JU22</f>
        <v>-1389.8599999999947</v>
      </c>
      <c r="JV23" s="46">
        <f t="shared" ref="JV23" si="298">JU23+JV22</f>
        <v>-2258.0499999999947</v>
      </c>
      <c r="JW23" s="46">
        <f t="shared" ref="JW23" si="299">JV23+JW22</f>
        <v>4338.0300000000052</v>
      </c>
      <c r="JX23" s="46">
        <f t="shared" ref="JX23" si="300">JW23+JX22</f>
        <v>3193.1300000000051</v>
      </c>
      <c r="JY23" s="46">
        <f t="shared" ref="JY23" si="301">JX23+JY22</f>
        <v>2183.6300000000051</v>
      </c>
      <c r="JZ23" s="46">
        <f t="shared" ref="JZ23" si="302">JY23+JZ22</f>
        <v>1672.1400000000051</v>
      </c>
      <c r="KA23" s="46">
        <f t="shared" ref="KA23" si="303">JZ23+KA22</f>
        <v>-344.71999999999503</v>
      </c>
      <c r="KB23" s="46">
        <f t="shared" ref="KB23" si="304">KA23+KB22</f>
        <v>5656.4700000000048</v>
      </c>
      <c r="KC23" s="46">
        <f t="shared" ref="KC23" si="305">KB23+KC22</f>
        <v>5156.4700000000048</v>
      </c>
      <c r="KD23" s="46">
        <f t="shared" ref="KD23" si="306">KC23+KD22</f>
        <v>4156.4700000000048</v>
      </c>
      <c r="KE23" s="46">
        <f t="shared" ref="KE23" si="307">KD23+KE22</f>
        <v>2710.8500000000049</v>
      </c>
      <c r="KF23" s="46">
        <f t="shared" ref="KF23" si="308">KE23+KF22</f>
        <v>1134.0700000000052</v>
      </c>
      <c r="KG23" s="46">
        <f t="shared" ref="KG23" si="309">KF23+KG22</f>
        <v>5867.480000000005</v>
      </c>
      <c r="KH23" s="46">
        <f t="shared" ref="KH23" si="310">KG23+KH22</f>
        <v>4867.480000000005</v>
      </c>
      <c r="KI23" s="46">
        <f t="shared" ref="KI23" si="311">KH23+KI22</f>
        <v>3867.480000000005</v>
      </c>
      <c r="KJ23" s="46">
        <f t="shared" ref="KJ23" si="312">KI23+KJ22</f>
        <v>3246.480000000005</v>
      </c>
      <c r="KK23" s="46">
        <f t="shared" ref="KK23" si="313">KJ23+KK22</f>
        <v>346.62000000000489</v>
      </c>
      <c r="KL23" s="46">
        <f t="shared" ref="KL23" si="314">KK23+KL22</f>
        <v>5137.1300000000047</v>
      </c>
      <c r="KM23" s="46">
        <f t="shared" ref="KM23" si="315">KL23+KM22</f>
        <v>4997.4700000000048</v>
      </c>
      <c r="KN23" s="46">
        <f t="shared" ref="KN23" si="316">KM23+KN22</f>
        <v>4567.5600000000049</v>
      </c>
      <c r="KO23" s="46">
        <f t="shared" ref="KO23" si="317">KN23+KO22</f>
        <v>4059.8000000000047</v>
      </c>
      <c r="KP23" s="46">
        <f t="shared" ref="KP23" si="318">KO23+KP22</f>
        <v>1539.3200000000043</v>
      </c>
      <c r="KQ23" s="46">
        <f t="shared" ref="KQ23" si="319">KP23+KQ22</f>
        <v>37134.750000000007</v>
      </c>
      <c r="KR23" s="46">
        <f t="shared" ref="KR23" si="320">KQ23+KR22</f>
        <v>33239.270000000004</v>
      </c>
      <c r="KS23" s="46">
        <f t="shared" ref="KS23" si="321">KR23+KS22</f>
        <v>22528.840000000004</v>
      </c>
      <c r="KT23" s="46">
        <f t="shared" ref="KT23" si="322">KS23+KT22</f>
        <v>21428.240000000005</v>
      </c>
      <c r="KU23" s="46">
        <f t="shared" ref="KU23" si="323">KT23+KU22</f>
        <v>19303.240000000005</v>
      </c>
      <c r="KV23" s="46">
        <f t="shared" ref="KV23" si="324">KU23+KV22</f>
        <v>22620.550000000007</v>
      </c>
      <c r="KW23" s="46">
        <f t="shared" ref="KW23" si="325">KV23+KW22</f>
        <v>22029.550000000007</v>
      </c>
      <c r="KX23" s="46">
        <f t="shared" ref="KX23" si="326">KW23+KX22</f>
        <v>21939.650000000005</v>
      </c>
      <c r="KY23" s="46">
        <f t="shared" ref="KY23" si="327">KX23+KY22</f>
        <v>21404.830000000005</v>
      </c>
      <c r="KZ23" s="46">
        <f t="shared" ref="KZ23" si="328">KY23+KZ22</f>
        <v>20830.340000000004</v>
      </c>
      <c r="LA23" s="46">
        <f t="shared" ref="LA23" si="329">KZ23+LA22</f>
        <v>20670.540000000005</v>
      </c>
      <c r="LB23" s="46">
        <f t="shared" ref="LB23" si="330">LA23+LB22</f>
        <v>20488.000000000004</v>
      </c>
      <c r="LC23" s="46">
        <f t="shared" ref="LC23" si="331">LB23+LC22</f>
        <v>19815.950000000004</v>
      </c>
      <c r="LD23" s="46">
        <f t="shared" ref="LD23" si="332">LC23+LD22</f>
        <v>19555.770000000004</v>
      </c>
      <c r="LE23" s="46">
        <f t="shared" ref="LE23" si="333">LD23+LE22</f>
        <v>17838.080000000005</v>
      </c>
      <c r="LF23" s="46">
        <f t="shared" ref="LF23" si="334">LE23+LF22</f>
        <v>21311.350000000006</v>
      </c>
      <c r="LG23" s="46">
        <f t="shared" ref="LG23" si="335">LF23+LG22</f>
        <v>20376.000000000007</v>
      </c>
      <c r="LH23" s="46">
        <f t="shared" ref="LH23" si="336">LG23+LH22</f>
        <v>20077.740000000009</v>
      </c>
      <c r="LI23" s="46">
        <f t="shared" ref="LI23" si="337">LH23+LI22</f>
        <v>19319.73000000001</v>
      </c>
      <c r="LJ23" s="46">
        <f t="shared" ref="LJ23" si="338">LI23+LJ22</f>
        <v>17960.150000000009</v>
      </c>
      <c r="LK23" s="46">
        <f t="shared" ref="LK23" si="339">LJ23+LK22</f>
        <v>22557.710000000006</v>
      </c>
      <c r="LL23" s="46">
        <f t="shared" ref="LL23" si="340">LK23+LL22</f>
        <v>21630.190000000006</v>
      </c>
      <c r="LM23" s="46">
        <f t="shared" ref="LM23" si="341">LL23+LM22</f>
        <v>21021.220000000005</v>
      </c>
      <c r="LN23" s="46">
        <f t="shared" ref="LN23" si="342">LM23+LN22</f>
        <v>20702.390000000003</v>
      </c>
      <c r="LO23" s="46">
        <f t="shared" ref="LO23" si="343">LN23+LO22</f>
        <v>18471.980000000003</v>
      </c>
      <c r="LP23" s="46">
        <f t="shared" ref="LP23" si="344">LO23+LP22</f>
        <v>22647.390000000003</v>
      </c>
      <c r="LQ23" s="46">
        <f t="shared" ref="LQ23" si="345">LP23+LQ22</f>
        <v>22608.690000000002</v>
      </c>
      <c r="LR23" s="46">
        <f t="shared" ref="LR23" si="346">LQ23+LR22</f>
        <v>22379.63</v>
      </c>
      <c r="LS23" s="46">
        <f t="shared" ref="LS23" si="347">LR23+LS22</f>
        <v>21963.97</v>
      </c>
      <c r="LT23" s="46">
        <f t="shared" ref="LT23" si="348">LS23+LT22</f>
        <v>19282.68</v>
      </c>
      <c r="LU23" s="46">
        <f t="shared" ref="LU23" si="349">LT23+LU22</f>
        <v>8774.4199999999983</v>
      </c>
      <c r="LV23" s="46">
        <f t="shared" ref="LV23" si="350">LU23+LV22</f>
        <v>7716.4399999999987</v>
      </c>
      <c r="LW23" s="46">
        <f t="shared" ref="LW23" si="351">LV23+LW22</f>
        <v>7381.5099999999984</v>
      </c>
      <c r="LX23" s="46">
        <f t="shared" ref="LX23" si="352">LW23+LX22</f>
        <v>7073.1099999999988</v>
      </c>
      <c r="LY23" s="46">
        <f t="shared" ref="LY23" si="353">LX23+LY22</f>
        <v>3535.8799999999987</v>
      </c>
      <c r="LZ23" s="46">
        <f t="shared" ref="LZ23" si="354">LY23+LZ22</f>
        <v>8675.7599999999984</v>
      </c>
      <c r="MA23" s="46">
        <f t="shared" ref="MA23" si="355">LZ23+MA22</f>
        <v>7868.4699999999984</v>
      </c>
      <c r="MB23" s="46">
        <f t="shared" ref="MB23" si="356">MA23+MB22</f>
        <v>5799.8299999999981</v>
      </c>
      <c r="MC23" s="46">
        <f t="shared" ref="MC23" si="357">MB23+MC22</f>
        <v>4743.2799999999988</v>
      </c>
      <c r="MD23" s="46">
        <f t="shared" ref="MD23" si="358">MC23+MD22</f>
        <v>2248.3499999999981</v>
      </c>
      <c r="ME23" s="46">
        <f t="shared" ref="ME23" si="359">MD23+ME22</f>
        <v>6932.5799999999981</v>
      </c>
      <c r="MF23" s="46">
        <f t="shared" ref="MF23" si="360">ME23+MF22</f>
        <v>5777.4299999999985</v>
      </c>
      <c r="MG23" s="46">
        <f t="shared" ref="MG23" si="361">MF23+MG22</f>
        <v>5369.3399999999983</v>
      </c>
      <c r="MH23" s="46">
        <f t="shared" ref="MH23" si="362">MG23+MH22</f>
        <v>4535.9299999999985</v>
      </c>
      <c r="MI23" s="46">
        <f t="shared" ref="MI23" si="363">MH23+MI22</f>
        <v>2162.7299999999982</v>
      </c>
      <c r="MJ23" s="46">
        <f t="shared" ref="MJ23" si="364">MI23+MJ22</f>
        <v>4525.3899999999976</v>
      </c>
      <c r="MK23" s="46">
        <f t="shared" ref="MK23" si="365">MJ23+MK22</f>
        <v>4166.5299999999979</v>
      </c>
      <c r="ML23" s="46">
        <f t="shared" ref="ML23" si="366">MK23+ML22</f>
        <v>3991.7099999999978</v>
      </c>
      <c r="MM23" s="46">
        <f t="shared" ref="MM23" si="367">ML23+MM22</f>
        <v>3631.6199999999976</v>
      </c>
      <c r="MN23" s="46">
        <f t="shared" ref="MN23" si="368">MM23+MN22</f>
        <v>1370.0899999999979</v>
      </c>
      <c r="MO23" s="46">
        <f t="shared" ref="MO23" si="369">MN23+MO22</f>
        <v>3304.7899999999977</v>
      </c>
      <c r="MP23" s="46">
        <f t="shared" ref="MP23" si="370">MO23+MP22</f>
        <v>3304.7899999999977</v>
      </c>
      <c r="MQ23" s="46">
        <f t="shared" ref="MQ23" si="371">MP23+MQ22</f>
        <v>2895.9299999999976</v>
      </c>
      <c r="MR23" s="46">
        <f t="shared" ref="MR23" si="372">MQ23+MR22</f>
        <v>2796.0299999999975</v>
      </c>
      <c r="MS23" s="46">
        <f t="shared" ref="MS23" si="373">MR23+MS22</f>
        <v>-704.74000000000251</v>
      </c>
      <c r="MT23" s="46">
        <f t="shared" ref="MT23" si="374">MS23+MT22</f>
        <v>3000.8799999999974</v>
      </c>
      <c r="MU23" s="46">
        <f t="shared" ref="MU23" si="375">MT23+MU22</f>
        <v>3000.8799999999974</v>
      </c>
      <c r="MV23" s="46">
        <f t="shared" ref="MV23" si="376">MU23+MV22</f>
        <v>3000.8799999999974</v>
      </c>
      <c r="MW23" s="46">
        <f t="shared" ref="MW23" si="377">MV23+MW22</f>
        <v>2400.9799999999973</v>
      </c>
      <c r="MX23" s="46">
        <f t="shared" ref="MX23" si="378">MW23+MX22</f>
        <v>522.45999999999708</v>
      </c>
      <c r="MY23" s="2"/>
    </row>
    <row r="24" spans="1:363" x14ac:dyDescent="0.25">
      <c r="DP24" s="34"/>
      <c r="EG24" s="34"/>
      <c r="EY24" s="54"/>
      <c r="EZ24" s="54"/>
      <c r="FA24" s="54"/>
      <c r="FB24" s="54"/>
      <c r="FC24" s="54"/>
      <c r="FD24" s="54"/>
      <c r="FE24" s="54"/>
      <c r="FF24" s="54"/>
      <c r="FG24" s="54"/>
      <c r="HY24" s="2"/>
      <c r="LO24" s="2"/>
    </row>
    <row r="25" spans="1:363" x14ac:dyDescent="0.25">
      <c r="N25" s="34"/>
      <c r="U25" s="34"/>
      <c r="V25" s="34"/>
      <c r="X25" s="34"/>
      <c r="BO25" s="34"/>
      <c r="CQ25" s="2"/>
      <c r="DF25" s="34"/>
      <c r="EB25" s="34"/>
      <c r="EV25" s="34"/>
      <c r="EW25" s="34"/>
      <c r="EX25" s="34"/>
      <c r="EY25" s="34"/>
      <c r="EZ25" s="34"/>
      <c r="FA25" s="34"/>
      <c r="FB25" s="34"/>
      <c r="FC25" s="34"/>
      <c r="FD25" s="34"/>
      <c r="FE25" s="34"/>
      <c r="FF25" s="34"/>
      <c r="FG25" s="34"/>
      <c r="GZ25" s="2"/>
      <c r="HD25" s="2"/>
      <c r="IC25" s="2"/>
      <c r="IH25" s="2"/>
      <c r="IL25" s="2"/>
      <c r="JB25" s="2"/>
      <c r="JC25" s="2"/>
      <c r="JG25" s="54"/>
      <c r="JH25" s="55"/>
      <c r="JL25" s="2"/>
      <c r="JW25" s="2"/>
      <c r="KV25" s="2"/>
      <c r="LA25" s="56"/>
      <c r="LE25" s="2"/>
      <c r="LK25" s="2"/>
      <c r="LN25" s="57"/>
      <c r="LO25" s="2"/>
      <c r="LP25" s="2"/>
      <c r="LT25" s="2"/>
      <c r="LU25" s="2"/>
      <c r="LY25" s="2"/>
      <c r="LZ25" s="2"/>
      <c r="MD25" s="57"/>
      <c r="MN25" s="2"/>
    </row>
    <row r="26" spans="1:363" x14ac:dyDescent="0.25">
      <c r="M26" s="2"/>
      <c r="W26" s="34"/>
      <c r="Y26" s="34"/>
      <c r="AG26" s="58"/>
      <c r="AJ26" s="2"/>
      <c r="AK26" s="2"/>
      <c r="AL26" s="34"/>
      <c r="AQ26" s="34"/>
      <c r="AV26" s="34"/>
      <c r="BF26" s="59"/>
      <c r="BX26" s="34"/>
      <c r="BY26" s="34"/>
      <c r="CD26" s="34"/>
      <c r="CE26" s="34"/>
      <c r="CF26" s="34"/>
      <c r="CQ26" s="2"/>
      <c r="DF26" s="34"/>
      <c r="DG26" s="34"/>
      <c r="DO26" s="34"/>
      <c r="DS26" s="34"/>
      <c r="ET26" s="1"/>
      <c r="EZ26" s="34"/>
      <c r="FA26" s="34"/>
      <c r="FF26" s="34"/>
      <c r="FJ26" s="60"/>
      <c r="FK26" s="34"/>
      <c r="FU26" s="34"/>
      <c r="GD26" s="34"/>
      <c r="GY26" s="2"/>
      <c r="HD26" s="2"/>
      <c r="HI26" s="2"/>
      <c r="HM26" s="2"/>
      <c r="HN26" s="2"/>
      <c r="HR26" s="2"/>
      <c r="HS26" s="2"/>
      <c r="HW26" s="2"/>
      <c r="HX26" s="2"/>
      <c r="IB26" s="2"/>
      <c r="IC26" s="2"/>
      <c r="IH26" s="2"/>
      <c r="IK26" s="2"/>
      <c r="IM26" s="2"/>
      <c r="IN26" s="61"/>
      <c r="IX26" s="2"/>
      <c r="JB26" s="2"/>
      <c r="JG26" s="54"/>
      <c r="JH26" s="55"/>
      <c r="JL26" s="2"/>
      <c r="JV26" s="2"/>
      <c r="JW26" s="2"/>
      <c r="JZ26" s="2"/>
      <c r="KB26" s="2"/>
      <c r="KG26" s="2"/>
      <c r="KJ26" s="2"/>
      <c r="KK26" s="2"/>
      <c r="KU26" s="2"/>
      <c r="KZ26" s="2"/>
      <c r="LA26" s="59"/>
      <c r="LE26" s="34"/>
      <c r="LN26" s="62"/>
      <c r="LO26" s="2"/>
      <c r="LP26" s="2"/>
      <c r="LT26" s="2"/>
      <c r="LY26" s="2"/>
      <c r="MD26" s="62"/>
      <c r="MG26" s="2"/>
      <c r="MM26" s="2"/>
      <c r="MN26" s="2"/>
      <c r="MS26" s="2"/>
      <c r="MX26" s="2"/>
    </row>
    <row r="27" spans="1:363" x14ac:dyDescent="0.25">
      <c r="H27" s="2"/>
      <c r="M27" s="34"/>
      <c r="O27" s="34"/>
      <c r="W27" s="34"/>
      <c r="X27" s="34"/>
      <c r="Y27" s="34"/>
      <c r="Z27" s="2"/>
      <c r="AA27" s="2"/>
      <c r="AG27" s="2"/>
      <c r="AL27" s="34"/>
      <c r="AQ27" s="34"/>
      <c r="AV27" s="34"/>
      <c r="BA27" s="34"/>
      <c r="BU27" s="34"/>
      <c r="BX27" s="34"/>
      <c r="BY27" s="34"/>
      <c r="CE27" s="34"/>
      <c r="CF27" s="34"/>
      <c r="CO27" s="34"/>
      <c r="CQ27" s="2"/>
      <c r="DE27" s="34"/>
      <c r="DS27" s="34"/>
      <c r="EB27" s="34"/>
      <c r="ET27" s="1"/>
      <c r="EU27" s="34"/>
      <c r="FF27" s="34"/>
      <c r="FJ27" s="60"/>
      <c r="FK27" s="2"/>
      <c r="GT27" s="2"/>
      <c r="HD27" s="2"/>
      <c r="HI27" s="2"/>
      <c r="HM27" s="2"/>
      <c r="HN27" s="2"/>
      <c r="HR27" s="63"/>
      <c r="HS27" s="2"/>
      <c r="HT27" s="2"/>
      <c r="HW27" s="2"/>
      <c r="HX27" s="2"/>
      <c r="IB27" s="2"/>
      <c r="IG27" s="2"/>
      <c r="IH27" s="2"/>
      <c r="IJ27" s="61"/>
      <c r="IL27" s="2"/>
      <c r="IM27" s="2"/>
      <c r="IN27" s="2"/>
      <c r="IR27" s="2"/>
      <c r="IV27" s="2"/>
      <c r="IW27" s="2"/>
      <c r="IX27" s="2"/>
      <c r="JG27" s="54"/>
      <c r="JH27" s="55"/>
      <c r="JM27" s="2"/>
      <c r="JN27" s="2"/>
      <c r="JQ27" s="2"/>
      <c r="JV27" s="2"/>
      <c r="JW27" s="2"/>
      <c r="JZ27" s="2"/>
      <c r="KA27" s="2"/>
      <c r="KB27" s="2"/>
      <c r="KK27" s="2"/>
      <c r="KZ27" s="2"/>
      <c r="LA27" s="59"/>
      <c r="LE27" s="2"/>
      <c r="LJ27" s="34"/>
      <c r="LN27" s="57"/>
      <c r="LO27" s="2"/>
      <c r="LT27" s="2"/>
      <c r="LU27" s="2"/>
      <c r="LY27" s="2"/>
      <c r="MD27" s="57"/>
      <c r="MS27" s="2"/>
    </row>
    <row r="28" spans="1:363" x14ac:dyDescent="0.25">
      <c r="D28" s="64"/>
      <c r="H28" s="65" t="s">
        <v>85</v>
      </c>
      <c r="K28" s="34"/>
      <c r="L28" s="34"/>
      <c r="P28" s="34"/>
      <c r="Q28" s="34"/>
      <c r="R28" s="34"/>
      <c r="W28" s="34"/>
      <c r="X28" s="34"/>
      <c r="Z28" s="34"/>
      <c r="AA28" s="34"/>
      <c r="AG28" s="34"/>
      <c r="AL28" s="2"/>
      <c r="AT28" s="34"/>
      <c r="AU28" s="34"/>
      <c r="AV28" s="34"/>
      <c r="BA28" s="34"/>
      <c r="BF28" s="34"/>
      <c r="BX28" s="34"/>
      <c r="BY28" s="34"/>
      <c r="CE28" s="34"/>
      <c r="CF28" s="34"/>
      <c r="CQ28" s="34"/>
      <c r="DE28" s="34"/>
      <c r="DF28" s="34"/>
      <c r="DO28" s="34"/>
      <c r="DQ28" s="34"/>
      <c r="DS28" s="34"/>
      <c r="DW28" s="34"/>
      <c r="EC28" s="34"/>
      <c r="FK28" s="34"/>
      <c r="GY28" s="2"/>
      <c r="HD28" s="2"/>
      <c r="HS28" s="2"/>
      <c r="HX28" s="2"/>
      <c r="HY28" s="2"/>
      <c r="IB28" s="2"/>
      <c r="IK28" s="66"/>
      <c r="IM28" s="2"/>
      <c r="IW28" s="2"/>
      <c r="JB28" s="2"/>
      <c r="JG28" s="54"/>
      <c r="JH28" s="55"/>
      <c r="JR28" s="2"/>
      <c r="LA28" s="59"/>
      <c r="LE28" s="2"/>
      <c r="LO28" s="64"/>
      <c r="LY28" s="67"/>
      <c r="MD28" s="57"/>
      <c r="MH28" s="2"/>
      <c r="MI28" s="2"/>
      <c r="ML28" s="2"/>
    </row>
    <row r="29" spans="1:363" x14ac:dyDescent="0.25">
      <c r="H29" s="34"/>
      <c r="M29" s="34"/>
      <c r="P29" s="34"/>
      <c r="Q29" s="34"/>
      <c r="Y29" s="2"/>
      <c r="BN29" s="34"/>
      <c r="BO29" s="34"/>
      <c r="BP29" s="34"/>
      <c r="CE29" s="34"/>
      <c r="CF29" s="34"/>
      <c r="CG29" s="34"/>
      <c r="CQ29" s="34"/>
      <c r="DG29" s="34"/>
      <c r="DR29" s="34"/>
      <c r="DW29" s="34"/>
      <c r="EP29" s="34"/>
      <c r="FK29" s="34"/>
      <c r="FM29" s="34"/>
      <c r="HD29" s="2"/>
      <c r="HN29" s="2"/>
      <c r="JG29" s="54"/>
      <c r="JH29" s="55"/>
      <c r="LO29" s="68"/>
      <c r="MM29" s="2"/>
      <c r="MN29" s="2"/>
    </row>
    <row r="30" spans="1:363" x14ac:dyDescent="0.25">
      <c r="F30" s="43"/>
      <c r="G30" s="43"/>
      <c r="W30" s="34"/>
      <c r="X30" s="34"/>
      <c r="BF30" s="34"/>
      <c r="BU30" s="34"/>
      <c r="BW30" s="34"/>
      <c r="BX30" s="34"/>
      <c r="BY30" s="34"/>
      <c r="CE30" s="34"/>
      <c r="CF30" s="34"/>
      <c r="CQ30" s="34"/>
      <c r="DE30" s="34"/>
      <c r="DG30" s="2"/>
      <c r="DO30" s="34"/>
      <c r="EC30" s="34"/>
      <c r="EY30" s="34"/>
      <c r="EZ30" s="34"/>
      <c r="FA30" s="34"/>
      <c r="FB30" s="34"/>
      <c r="FC30" s="34"/>
      <c r="FD30" s="34"/>
      <c r="FE30" s="34"/>
      <c r="FF30" s="34"/>
      <c r="FG30" s="34"/>
      <c r="HE30" s="2"/>
      <c r="HX30" s="2"/>
      <c r="HY30" s="2"/>
      <c r="LK30" s="69"/>
      <c r="LO30" s="68"/>
    </row>
    <row r="31" spans="1:363" x14ac:dyDescent="0.25">
      <c r="F31" s="43"/>
      <c r="G31" s="43"/>
      <c r="W31" s="34"/>
      <c r="X31" s="34"/>
      <c r="BF31" s="34"/>
      <c r="BU31" s="34"/>
      <c r="BW31" s="34"/>
      <c r="BX31" s="34"/>
      <c r="BY31" s="34"/>
      <c r="CE31" s="34"/>
      <c r="CF31" s="34"/>
      <c r="CQ31" s="34"/>
      <c r="DE31" s="34"/>
      <c r="DG31" s="2"/>
      <c r="DO31" s="34"/>
      <c r="EC31" s="34"/>
      <c r="EY31" s="34"/>
      <c r="EZ31" s="34"/>
      <c r="FA31" s="34"/>
      <c r="FB31" s="34"/>
      <c r="FC31" s="34"/>
      <c r="FD31" s="34"/>
      <c r="FE31" s="34"/>
      <c r="FF31" s="34"/>
      <c r="FG31" s="34"/>
      <c r="HE31" s="2"/>
      <c r="HX31" s="2"/>
      <c r="HY31" s="2"/>
      <c r="LK31" s="69"/>
      <c r="LO31" s="68"/>
      <c r="MP31" s="3"/>
      <c r="MQ31" s="70"/>
    </row>
    <row r="32" spans="1:363" x14ac:dyDescent="0.25">
      <c r="W32" s="34"/>
      <c r="BF32" s="34"/>
      <c r="BI32" s="34"/>
      <c r="BJ32" s="34"/>
      <c r="BM32" s="34"/>
      <c r="BU32" s="34"/>
      <c r="CQ32" s="34"/>
      <c r="DG32" s="34"/>
      <c r="DO32" s="34"/>
      <c r="DT32" s="71"/>
      <c r="JG32" s="2"/>
      <c r="JR32" s="64"/>
      <c r="KT32" s="1"/>
      <c r="LK32" s="69"/>
      <c r="MP32" s="2"/>
      <c r="MQ32" s="2"/>
      <c r="MR32" s="2"/>
      <c r="MS32" s="2"/>
      <c r="MT32" s="2"/>
      <c r="MU32" s="2"/>
      <c r="MV32" s="2"/>
      <c r="MW32" s="2"/>
      <c r="MX32" s="2"/>
      <c r="MY32" s="2"/>
    </row>
    <row r="33" spans="23:363" x14ac:dyDescent="0.25">
      <c r="BC33" s="34"/>
      <c r="BD33" s="34"/>
      <c r="BE33" s="34"/>
      <c r="BF33" s="34"/>
      <c r="CQ33" s="34"/>
      <c r="DG33" s="34"/>
      <c r="DO33" s="1"/>
      <c r="DT33" s="61"/>
      <c r="KT33" s="1"/>
      <c r="KU33" s="72"/>
      <c r="LK33" s="69"/>
      <c r="LQ33" s="54"/>
      <c r="LR33" s="57"/>
      <c r="LV33" s="55"/>
    </row>
    <row r="34" spans="23:363" x14ac:dyDescent="0.25">
      <c r="BB34" s="34"/>
      <c r="BC34" s="66"/>
      <c r="BD34" s="60"/>
      <c r="BE34" s="60"/>
      <c r="DG34" s="2"/>
      <c r="DO34" s="1"/>
      <c r="GH34" s="2"/>
      <c r="IE34" s="64"/>
      <c r="KT34" s="1"/>
      <c r="LK34" s="69"/>
      <c r="LQ34" s="54"/>
      <c r="LR34" s="57"/>
      <c r="LV34" s="55"/>
      <c r="MP34" s="2"/>
      <c r="MQ34" s="57"/>
      <c r="MR34" s="57"/>
      <c r="MS34" s="57"/>
      <c r="MT34" s="57"/>
      <c r="MU34" s="57"/>
      <c r="MV34" s="57"/>
      <c r="MW34" s="57"/>
      <c r="MX34" s="57"/>
      <c r="MY34" s="57"/>
    </row>
    <row r="35" spans="23:363" x14ac:dyDescent="0.25">
      <c r="BC35" s="34"/>
      <c r="BD35" s="34"/>
      <c r="BE35" s="34"/>
      <c r="DS35" s="34"/>
      <c r="IN35" s="64"/>
      <c r="IO35" s="64"/>
      <c r="IP35" s="64"/>
      <c r="IQ35" s="64"/>
      <c r="IR35" s="64"/>
      <c r="KT35" s="1"/>
      <c r="LK35" s="69"/>
      <c r="LQ35" s="54"/>
      <c r="LR35" s="57"/>
      <c r="LV35" s="55"/>
    </row>
    <row r="36" spans="23:363" x14ac:dyDescent="0.25">
      <c r="W36" s="34"/>
      <c r="BC36" s="34"/>
      <c r="BF36" s="60"/>
      <c r="DS36" s="2"/>
      <c r="IN36" s="64"/>
      <c r="IO36" s="64"/>
      <c r="IP36" s="64"/>
      <c r="IQ36" s="64"/>
      <c r="IR36" s="64"/>
      <c r="LK36" s="69"/>
      <c r="LQ36" s="54"/>
      <c r="LR36" s="57"/>
      <c r="LY36" s="67"/>
      <c r="MP36" s="2"/>
      <c r="MQ36" s="43"/>
      <c r="MR36" s="43"/>
      <c r="MS36" s="43"/>
      <c r="MT36" s="43"/>
      <c r="MU36" s="43"/>
      <c r="MV36" s="43"/>
      <c r="MW36" s="43"/>
      <c r="MX36" s="43"/>
      <c r="MY36" s="43"/>
    </row>
    <row r="37" spans="23:363" x14ac:dyDescent="0.25">
      <c r="BC37" s="34"/>
      <c r="BF37" s="34"/>
      <c r="CG37" s="34"/>
      <c r="EX37" s="34"/>
      <c r="LK37" s="73"/>
      <c r="LQ37" s="54"/>
      <c r="LR37" s="57"/>
    </row>
    <row r="38" spans="23:363" x14ac:dyDescent="0.25">
      <c r="BD38" s="34"/>
      <c r="BE38" s="34"/>
      <c r="DQ38" s="74"/>
      <c r="LK38" s="73"/>
      <c r="LQ38" s="54"/>
      <c r="LR38" s="57"/>
    </row>
    <row r="39" spans="23:363" x14ac:dyDescent="0.25">
      <c r="KN39" s="2"/>
      <c r="LK39" s="73"/>
      <c r="LQ39" s="54"/>
      <c r="LR39" s="57"/>
      <c r="LY39" s="75"/>
    </row>
    <row r="40" spans="23:363" x14ac:dyDescent="0.25">
      <c r="LQ40" s="54"/>
      <c r="LR40" s="57"/>
    </row>
    <row r="41" spans="23:363" x14ac:dyDescent="0.25">
      <c r="BC41" s="66"/>
      <c r="BQ41" s="34"/>
      <c r="BR41" s="34"/>
      <c r="KN41" s="60"/>
      <c r="LQ41" s="54"/>
      <c r="LR41" s="57"/>
    </row>
    <row r="42" spans="23:363" x14ac:dyDescent="0.25">
      <c r="BC42" s="66"/>
      <c r="KN42" s="55"/>
      <c r="LQ42" s="54"/>
      <c r="LR42" s="57"/>
    </row>
    <row r="43" spans="23:363" x14ac:dyDescent="0.25">
      <c r="BC43" s="66"/>
      <c r="KN43" s="55"/>
      <c r="LQ43" s="54"/>
      <c r="LR43" s="57"/>
    </row>
    <row r="44" spans="23:363" x14ac:dyDescent="0.25">
      <c r="BC44" s="66"/>
      <c r="LQ44" s="54"/>
      <c r="LR44" s="57"/>
    </row>
    <row r="45" spans="23:363" x14ac:dyDescent="0.25">
      <c r="BC45" s="66"/>
      <c r="LQ45" s="54"/>
      <c r="LR45" s="57"/>
    </row>
    <row r="46" spans="23:363" x14ac:dyDescent="0.25">
      <c r="DS46" s="34"/>
      <c r="LQ46" s="54"/>
      <c r="LR46" s="57"/>
    </row>
    <row r="47" spans="23:363" x14ac:dyDescent="0.25">
      <c r="DS47" s="64"/>
      <c r="LQ47" s="54"/>
      <c r="LR47" s="57"/>
    </row>
    <row r="48" spans="23:363" x14ac:dyDescent="0.25">
      <c r="BC48" s="34"/>
      <c r="LQ48" s="54"/>
      <c r="LR48" s="57"/>
    </row>
    <row r="49" spans="61:330" x14ac:dyDescent="0.25">
      <c r="LQ49" s="54"/>
      <c r="LR49" s="57"/>
    </row>
    <row r="50" spans="61:330" x14ac:dyDescent="0.25">
      <c r="LQ50" s="54"/>
      <c r="LR50" s="57"/>
    </row>
    <row r="53" spans="61:330" x14ac:dyDescent="0.25">
      <c r="BI53" s="34"/>
      <c r="BJ53" s="34"/>
    </row>
    <row r="71" spans="114:117" x14ac:dyDescent="0.25">
      <c r="DM71" s="64"/>
    </row>
    <row r="80" spans="114:117" x14ac:dyDescent="0.25">
      <c r="DJ80" s="34"/>
    </row>
  </sheetData>
  <mergeCells count="76">
    <mergeCell ref="A3:A4"/>
    <mergeCell ref="A6:A16"/>
    <mergeCell ref="A19:A20"/>
    <mergeCell ref="A22:A23"/>
    <mergeCell ref="LU1:LY1"/>
    <mergeCell ref="KQ1:KU1"/>
    <mergeCell ref="KV1:KZ1"/>
    <mergeCell ref="LA1:LE1"/>
    <mergeCell ref="LF1:LJ1"/>
    <mergeCell ref="LK1:LO1"/>
    <mergeCell ref="LP1:LT1"/>
    <mergeCell ref="JM1:JQ1"/>
    <mergeCell ref="JR1:JV1"/>
    <mergeCell ref="JW1:KA1"/>
    <mergeCell ref="KB1:KF1"/>
    <mergeCell ref="KG1:KK1"/>
    <mergeCell ref="LZ1:MD1"/>
    <mergeCell ref="ME1:MI1"/>
    <mergeCell ref="MJ1:MN1"/>
    <mergeCell ref="MO1:MS1"/>
    <mergeCell ref="MT1:MX1"/>
    <mergeCell ref="KL1:KP1"/>
    <mergeCell ref="II1:IM1"/>
    <mergeCell ref="IN1:IR1"/>
    <mergeCell ref="IS1:IW1"/>
    <mergeCell ref="IX1:JB1"/>
    <mergeCell ref="JC1:JG1"/>
    <mergeCell ref="JH1:JL1"/>
    <mergeCell ref="ID1:IH1"/>
    <mergeCell ref="GA1:GE1"/>
    <mergeCell ref="GF1:GJ1"/>
    <mergeCell ref="GK1:GO1"/>
    <mergeCell ref="GP1:GT1"/>
    <mergeCell ref="GU1:GY1"/>
    <mergeCell ref="GZ1:HD1"/>
    <mergeCell ref="HE1:HI1"/>
    <mergeCell ref="HJ1:HN1"/>
    <mergeCell ref="HO1:HS1"/>
    <mergeCell ref="HT1:HX1"/>
    <mergeCell ref="HY1:IC1"/>
    <mergeCell ref="FV1:FZ1"/>
    <mergeCell ref="DS1:DW1"/>
    <mergeCell ref="DX1:EB1"/>
    <mergeCell ref="EC1:EG1"/>
    <mergeCell ref="EH1:EL1"/>
    <mergeCell ref="EM1:EQ1"/>
    <mergeCell ref="ER1:EV1"/>
    <mergeCell ref="EW1:FA1"/>
    <mergeCell ref="FB1:FF1"/>
    <mergeCell ref="FG1:FK1"/>
    <mergeCell ref="FL1:FP1"/>
    <mergeCell ref="FQ1:FU1"/>
    <mergeCell ref="DN1:DR1"/>
    <mergeCell ref="BK1:BO1"/>
    <mergeCell ref="BP1:BT1"/>
    <mergeCell ref="BU1:BY1"/>
    <mergeCell ref="BZ1:CD1"/>
    <mergeCell ref="CE1:CI1"/>
    <mergeCell ref="CJ1:CN1"/>
    <mergeCell ref="CO1:CS1"/>
    <mergeCell ref="CT1:CX1"/>
    <mergeCell ref="CY1:DC1"/>
    <mergeCell ref="DD1:DH1"/>
    <mergeCell ref="DI1:DM1"/>
    <mergeCell ref="BF1:BJ1"/>
    <mergeCell ref="C1:G1"/>
    <mergeCell ref="H1:L1"/>
    <mergeCell ref="M1:Q1"/>
    <mergeCell ref="R1:V1"/>
    <mergeCell ref="W1:AA1"/>
    <mergeCell ref="AB1:AF1"/>
    <mergeCell ref="AG1:AK1"/>
    <mergeCell ref="AL1:AP1"/>
    <mergeCell ref="AQ1:AU1"/>
    <mergeCell ref="AV1:AZ1"/>
    <mergeCell ref="BA1:BE1"/>
  </mergeCells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C68766-09AA-41B3-A41F-C1E1EEDE92D3}">
  <sheetPr>
    <tabColor rgb="FF002060"/>
  </sheetPr>
  <dimension ref="B2:V78"/>
  <sheetViews>
    <sheetView showGridLines="0" workbookViewId="0">
      <selection activeCell="M17" sqref="M17"/>
    </sheetView>
  </sheetViews>
  <sheetFormatPr defaultRowHeight="15" x14ac:dyDescent="0.25"/>
  <cols>
    <col min="1" max="1" width="2" customWidth="1"/>
    <col min="2" max="2" width="9.140625" style="161"/>
    <col min="3" max="3" width="8.85546875" customWidth="1"/>
    <col min="5" max="5" width="11.85546875" bestFit="1" customWidth="1"/>
    <col min="7" max="11" width="11.5703125" bestFit="1" customWidth="1"/>
    <col min="12" max="13" width="12.5703125" bestFit="1" customWidth="1"/>
  </cols>
  <sheetData>
    <row r="2" spans="2:22" x14ac:dyDescent="0.25">
      <c r="C2" s="136" t="s">
        <v>99</v>
      </c>
      <c r="D2" s="136"/>
      <c r="E2" s="136"/>
      <c r="F2" s="136"/>
      <c r="G2" s="136"/>
      <c r="H2" s="136"/>
      <c r="I2" s="136"/>
      <c r="J2" s="136"/>
      <c r="K2" s="136"/>
      <c r="L2" s="136"/>
      <c r="M2" s="136"/>
      <c r="N2" s="136"/>
      <c r="O2" s="136"/>
      <c r="P2" s="136"/>
      <c r="Q2" s="136"/>
      <c r="R2" s="136"/>
      <c r="S2" s="136"/>
      <c r="T2" s="136"/>
      <c r="U2" s="136"/>
      <c r="V2" s="136"/>
    </row>
    <row r="3" spans="2:22" x14ac:dyDescent="0.25">
      <c r="C3" s="136"/>
      <c r="D3" s="136"/>
      <c r="E3" s="136"/>
      <c r="F3" s="136"/>
      <c r="G3" s="136"/>
      <c r="H3" s="136"/>
      <c r="I3" s="136"/>
      <c r="J3" s="136"/>
      <c r="K3" s="136"/>
      <c r="L3" s="136"/>
      <c r="M3" s="136"/>
      <c r="N3" s="136"/>
      <c r="O3" s="136"/>
      <c r="P3" s="136"/>
      <c r="Q3" s="136"/>
      <c r="R3" s="136"/>
      <c r="S3" s="136"/>
      <c r="T3" s="136"/>
      <c r="U3" s="136"/>
      <c r="V3" s="136"/>
    </row>
    <row r="5" spans="2:22" x14ac:dyDescent="0.25">
      <c r="C5" s="92" t="s">
        <v>100</v>
      </c>
      <c r="D5" s="92"/>
      <c r="E5" s="92"/>
      <c r="F5" s="92"/>
      <c r="G5" s="92"/>
      <c r="H5" s="92"/>
      <c r="I5" s="92"/>
      <c r="J5" s="92"/>
      <c r="K5" s="92"/>
      <c r="L5" s="92"/>
      <c r="M5" s="92"/>
      <c r="N5" s="92"/>
      <c r="O5" s="92"/>
      <c r="P5" s="92"/>
      <c r="Q5" s="92"/>
      <c r="R5" s="92"/>
      <c r="S5" s="92"/>
    </row>
    <row r="7" spans="2:22" x14ac:dyDescent="0.25">
      <c r="B7" s="161">
        <v>0</v>
      </c>
      <c r="C7" s="153">
        <v>2018</v>
      </c>
      <c r="D7" s="5" t="s">
        <v>101</v>
      </c>
      <c r="E7" s="76">
        <f ca="1">SUM(OFFSET('Controle Financeiro'!$C$6:$G$16,0,5*B7))</f>
        <v>1266.95</v>
      </c>
      <c r="G7" s="2"/>
      <c r="H7" s="2"/>
      <c r="I7" s="2"/>
      <c r="J7" s="2"/>
      <c r="K7" s="2"/>
      <c r="L7" s="2"/>
      <c r="M7" s="2"/>
    </row>
    <row r="8" spans="2:22" x14ac:dyDescent="0.25">
      <c r="B8" s="161">
        <v>1</v>
      </c>
      <c r="C8" s="153"/>
      <c r="D8" s="5" t="s">
        <v>102</v>
      </c>
      <c r="E8" s="76">
        <f ca="1">SUM(OFFSET('Controle Financeiro'!$C$6:$G$16,0,5*B8))</f>
        <v>3230.5000000000005</v>
      </c>
    </row>
    <row r="9" spans="2:22" x14ac:dyDescent="0.25">
      <c r="B9" s="161">
        <v>2</v>
      </c>
      <c r="C9" s="153"/>
      <c r="D9" s="5" t="s">
        <v>103</v>
      </c>
      <c r="E9" s="76">
        <f ca="1">SUM(OFFSET('Controle Financeiro'!$C$6:$G$16,0,5*B9))</f>
        <v>1082.54</v>
      </c>
    </row>
    <row r="10" spans="2:22" x14ac:dyDescent="0.25">
      <c r="B10" s="161">
        <v>3</v>
      </c>
      <c r="C10" s="153"/>
      <c r="D10" s="5" t="s">
        <v>104</v>
      </c>
      <c r="E10" s="76">
        <f ca="1">SUM(OFFSET('Controle Financeiro'!$C$6:$G$16,0,5*B10))</f>
        <v>792.31</v>
      </c>
    </row>
    <row r="11" spans="2:22" x14ac:dyDescent="0.25">
      <c r="B11" s="161">
        <v>4</v>
      </c>
      <c r="C11" s="153"/>
      <c r="D11" s="5" t="s">
        <v>105</v>
      </c>
      <c r="E11" s="76">
        <f ca="1">SUM(OFFSET('Controle Financeiro'!$C$6:$G$16,0,5*B11))</f>
        <v>865.90999999999985</v>
      </c>
    </row>
    <row r="12" spans="2:22" x14ac:dyDescent="0.25">
      <c r="B12" s="161">
        <v>5</v>
      </c>
      <c r="C12" s="153"/>
      <c r="D12" s="5" t="s">
        <v>106</v>
      </c>
      <c r="E12" s="76">
        <f ca="1">SUM(OFFSET('Controle Financeiro'!$C$6:$G$16,0,5*B12))</f>
        <v>903.61</v>
      </c>
    </row>
    <row r="13" spans="2:22" x14ac:dyDescent="0.25">
      <c r="B13" s="161">
        <v>6</v>
      </c>
      <c r="C13" s="153"/>
      <c r="D13" s="5" t="s">
        <v>107</v>
      </c>
      <c r="E13" s="76">
        <f ca="1">SUM(OFFSET('Controle Financeiro'!$C$6:$G$16,0,5*B13))</f>
        <v>955.84</v>
      </c>
    </row>
    <row r="14" spans="2:22" x14ac:dyDescent="0.25">
      <c r="B14" s="161">
        <v>7</v>
      </c>
      <c r="C14" s="153"/>
      <c r="D14" s="5" t="s">
        <v>108</v>
      </c>
      <c r="E14" s="76">
        <f ca="1">SUM(OFFSET('Controle Financeiro'!$C$6:$G$16,0,5*B14))</f>
        <v>2595.9899999999998</v>
      </c>
    </row>
    <row r="15" spans="2:22" x14ac:dyDescent="0.25">
      <c r="B15" s="161">
        <v>8</v>
      </c>
      <c r="C15" s="153"/>
      <c r="D15" s="5" t="s">
        <v>109</v>
      </c>
      <c r="E15" s="76">
        <f ca="1">SUM(OFFSET('Controle Financeiro'!$C$6:$G$16,0,5*B15))</f>
        <v>1038.8900000000001</v>
      </c>
    </row>
    <row r="16" spans="2:22" x14ac:dyDescent="0.25">
      <c r="B16" s="161">
        <v>9</v>
      </c>
      <c r="C16" s="153"/>
      <c r="D16" s="5" t="s">
        <v>110</v>
      </c>
      <c r="E16" s="76">
        <f ca="1">SUM(OFFSET('Controle Financeiro'!$C$6:$G$16,0,5*B16))</f>
        <v>1241.1399999999999</v>
      </c>
    </row>
    <row r="17" spans="2:5" x14ac:dyDescent="0.25">
      <c r="B17" s="161">
        <v>10</v>
      </c>
      <c r="C17" s="153"/>
      <c r="D17" s="5" t="s">
        <v>111</v>
      </c>
      <c r="E17" s="76">
        <f ca="1">SUM(OFFSET('Controle Financeiro'!$C$6:$G$16,0,5*B17))</f>
        <v>927.93999999999994</v>
      </c>
    </row>
    <row r="18" spans="2:5" x14ac:dyDescent="0.25">
      <c r="B18" s="161">
        <v>11</v>
      </c>
      <c r="C18" s="153"/>
      <c r="D18" s="5" t="s">
        <v>112</v>
      </c>
      <c r="E18" s="76">
        <f ca="1">SUM(OFFSET('Controle Financeiro'!$C$6:$G$16,0,5*B18))</f>
        <v>1690.34</v>
      </c>
    </row>
    <row r="19" spans="2:5" x14ac:dyDescent="0.25">
      <c r="B19" s="161">
        <v>12</v>
      </c>
      <c r="C19" s="153">
        <v>2019</v>
      </c>
      <c r="D19" s="5" t="s">
        <v>101</v>
      </c>
      <c r="E19" s="76">
        <f ca="1">SUM(OFFSET('Controle Financeiro'!$C$6:$G$16,0,5*B19))</f>
        <v>3629.5</v>
      </c>
    </row>
    <row r="20" spans="2:5" x14ac:dyDescent="0.25">
      <c r="B20" s="161">
        <v>13</v>
      </c>
      <c r="C20" s="153"/>
      <c r="D20" s="5" t="s">
        <v>102</v>
      </c>
      <c r="E20" s="76">
        <f ca="1">SUM(OFFSET('Controle Financeiro'!$C$6:$G$16,0,5*B20))</f>
        <v>1013.25</v>
      </c>
    </row>
    <row r="21" spans="2:5" x14ac:dyDescent="0.25">
      <c r="B21" s="161">
        <v>14</v>
      </c>
      <c r="C21" s="153"/>
      <c r="D21" s="5" t="s">
        <v>103</v>
      </c>
      <c r="E21" s="76">
        <f ca="1">SUM(OFFSET('Controle Financeiro'!$C$6:$G$16,0,5*B21))</f>
        <v>1234.8700000000001</v>
      </c>
    </row>
    <row r="22" spans="2:5" x14ac:dyDescent="0.25">
      <c r="B22" s="161">
        <v>15</v>
      </c>
      <c r="C22" s="153"/>
      <c r="D22" s="5" t="s">
        <v>104</v>
      </c>
      <c r="E22" s="76">
        <f ca="1">SUM(OFFSET('Controle Financeiro'!$C$6:$G$16,0,5*B22))</f>
        <v>877.05</v>
      </c>
    </row>
    <row r="23" spans="2:5" x14ac:dyDescent="0.25">
      <c r="B23" s="161">
        <v>16</v>
      </c>
      <c r="C23" s="153"/>
      <c r="D23" s="5" t="s">
        <v>105</v>
      </c>
      <c r="E23" s="76">
        <f ca="1">SUM(OFFSET('Controle Financeiro'!$C$6:$G$16,0,5*B23))</f>
        <v>1230.6500000000001</v>
      </c>
    </row>
    <row r="24" spans="2:5" x14ac:dyDescent="0.25">
      <c r="B24" s="161">
        <v>17</v>
      </c>
      <c r="C24" s="153"/>
      <c r="D24" s="5" t="s">
        <v>106</v>
      </c>
      <c r="E24" s="76">
        <f ca="1">SUM(OFFSET('Controle Financeiro'!$C$6:$G$16,0,5*B24))</f>
        <v>1042.01</v>
      </c>
    </row>
    <row r="25" spans="2:5" x14ac:dyDescent="0.25">
      <c r="B25" s="161">
        <v>18</v>
      </c>
      <c r="C25" s="153"/>
      <c r="D25" s="5" t="s">
        <v>107</v>
      </c>
      <c r="E25" s="76">
        <f ca="1">SUM(OFFSET('Controle Financeiro'!$C$6:$G$16,0,5*B25))</f>
        <v>2361.3200000000002</v>
      </c>
    </row>
    <row r="26" spans="2:5" x14ac:dyDescent="0.25">
      <c r="B26" s="161">
        <v>19</v>
      </c>
      <c r="C26" s="153"/>
      <c r="D26" s="5" t="s">
        <v>108</v>
      </c>
      <c r="E26" s="76">
        <f ca="1">SUM(OFFSET('Controle Financeiro'!$C$6:$G$16,0,5*B26))</f>
        <v>1069.57</v>
      </c>
    </row>
    <row r="27" spans="2:5" x14ac:dyDescent="0.25">
      <c r="B27" s="161">
        <v>20</v>
      </c>
      <c r="C27" s="153"/>
      <c r="D27" s="5" t="s">
        <v>109</v>
      </c>
      <c r="E27" s="76">
        <f ca="1">SUM(OFFSET('Controle Financeiro'!$C$6:$G$16,0,5*B27))</f>
        <v>2019.12</v>
      </c>
    </row>
    <row r="28" spans="2:5" x14ac:dyDescent="0.25">
      <c r="B28" s="161">
        <v>21</v>
      </c>
      <c r="C28" s="153"/>
      <c r="D28" s="5" t="s">
        <v>110</v>
      </c>
      <c r="E28" s="76">
        <f ca="1">SUM(OFFSET('Controle Financeiro'!$C$6:$G$16,0,5*B28))</f>
        <v>1448.37</v>
      </c>
    </row>
    <row r="29" spans="2:5" x14ac:dyDescent="0.25">
      <c r="B29" s="161">
        <v>22</v>
      </c>
      <c r="C29" s="153"/>
      <c r="D29" s="5" t="s">
        <v>111</v>
      </c>
      <c r="E29" s="76">
        <f ca="1">SUM(OFFSET('Controle Financeiro'!$C$6:$G$16,0,5*B29))</f>
        <v>2295.7300000000005</v>
      </c>
    </row>
    <row r="30" spans="2:5" x14ac:dyDescent="0.25">
      <c r="B30" s="161">
        <v>23</v>
      </c>
      <c r="C30" s="153"/>
      <c r="D30" s="5" t="s">
        <v>112</v>
      </c>
      <c r="E30" s="76">
        <f ca="1">SUM(OFFSET('Controle Financeiro'!$C$6:$G$16,0,5*B30))</f>
        <v>1866.99</v>
      </c>
    </row>
    <row r="31" spans="2:5" x14ac:dyDescent="0.25">
      <c r="B31" s="161">
        <v>24</v>
      </c>
      <c r="C31" s="153">
        <v>2020</v>
      </c>
      <c r="D31" s="5" t="s">
        <v>101</v>
      </c>
      <c r="E31" s="76">
        <f ca="1">SUM(OFFSET('Controle Financeiro'!$C$6:$G$16,0,5*B31))</f>
        <v>1494.57</v>
      </c>
    </row>
    <row r="32" spans="2:5" x14ac:dyDescent="0.25">
      <c r="B32" s="161">
        <v>25</v>
      </c>
      <c r="C32" s="153"/>
      <c r="D32" s="5" t="s">
        <v>102</v>
      </c>
      <c r="E32" s="76">
        <f ca="1">SUM(OFFSET('Controle Financeiro'!$C$6:$G$16,0,5*B32))</f>
        <v>1648.19</v>
      </c>
    </row>
    <row r="33" spans="2:5" x14ac:dyDescent="0.25">
      <c r="B33" s="161">
        <v>26</v>
      </c>
      <c r="C33" s="153"/>
      <c r="D33" s="5" t="s">
        <v>103</v>
      </c>
      <c r="E33" s="76">
        <f ca="1">SUM(OFFSET('Controle Financeiro'!$C$6:$G$16,0,5*B33))</f>
        <v>2450.11</v>
      </c>
    </row>
    <row r="34" spans="2:5" x14ac:dyDescent="0.25">
      <c r="B34" s="161">
        <v>27</v>
      </c>
      <c r="C34" s="153"/>
      <c r="D34" s="5" t="s">
        <v>104</v>
      </c>
      <c r="E34" s="76">
        <f ca="1">SUM(OFFSET('Controle Financeiro'!$C$6:$G$16,0,5*B34))</f>
        <v>1656.3400000000001</v>
      </c>
    </row>
    <row r="35" spans="2:5" x14ac:dyDescent="0.25">
      <c r="B35" s="161">
        <v>28</v>
      </c>
      <c r="C35" s="153"/>
      <c r="D35" s="5" t="s">
        <v>105</v>
      </c>
      <c r="E35" s="76">
        <f ca="1">SUM(OFFSET('Controle Financeiro'!$C$6:$G$16,0,5*B35))</f>
        <v>1206.3100000000002</v>
      </c>
    </row>
    <row r="36" spans="2:5" x14ac:dyDescent="0.25">
      <c r="B36" s="161">
        <v>29</v>
      </c>
      <c r="C36" s="153"/>
      <c r="D36" s="5" t="s">
        <v>106</v>
      </c>
      <c r="E36" s="76">
        <f ca="1">SUM(OFFSET('Controle Financeiro'!$C$6:$G$16,0,5*B36))</f>
        <v>1016.5699999999999</v>
      </c>
    </row>
    <row r="37" spans="2:5" x14ac:dyDescent="0.25">
      <c r="B37" s="161">
        <v>30</v>
      </c>
      <c r="C37" s="153"/>
      <c r="D37" s="5" t="s">
        <v>107</v>
      </c>
      <c r="E37" s="76">
        <f ca="1">SUM(OFFSET('Controle Financeiro'!$C$6:$G$16,0,5*B37))</f>
        <v>1957.8400000000001</v>
      </c>
    </row>
    <row r="38" spans="2:5" x14ac:dyDescent="0.25">
      <c r="B38" s="161">
        <v>31</v>
      </c>
      <c r="C38" s="153"/>
      <c r="D38" s="5" t="s">
        <v>108</v>
      </c>
      <c r="E38" s="76">
        <f ca="1">SUM(OFFSET('Controle Financeiro'!$C$6:$G$16,0,5*B38))</f>
        <v>3009.3099999999995</v>
      </c>
    </row>
    <row r="39" spans="2:5" x14ac:dyDescent="0.25">
      <c r="B39" s="161">
        <v>32</v>
      </c>
      <c r="C39" s="153"/>
      <c r="D39" s="5" t="s">
        <v>109</v>
      </c>
      <c r="E39" s="76">
        <f ca="1">SUM(OFFSET('Controle Financeiro'!$C$6:$G$16,0,5*B39))</f>
        <v>718.47</v>
      </c>
    </row>
    <row r="40" spans="2:5" x14ac:dyDescent="0.25">
      <c r="B40" s="161">
        <v>33</v>
      </c>
      <c r="C40" s="153"/>
      <c r="D40" s="5" t="s">
        <v>110</v>
      </c>
      <c r="E40" s="76">
        <f ca="1">SUM(OFFSET('Controle Financeiro'!$C$6:$G$16,0,5*B40))</f>
        <v>801.84</v>
      </c>
    </row>
    <row r="41" spans="2:5" x14ac:dyDescent="0.25">
      <c r="B41" s="161">
        <v>34</v>
      </c>
      <c r="C41" s="153"/>
      <c r="D41" s="5" t="s">
        <v>111</v>
      </c>
      <c r="E41" s="76">
        <f ca="1">SUM(OFFSET('Controle Financeiro'!$C$6:$G$16,0,5*B41))</f>
        <v>2246.52</v>
      </c>
    </row>
    <row r="42" spans="2:5" x14ac:dyDescent="0.25">
      <c r="B42" s="161">
        <v>35</v>
      </c>
      <c r="C42" s="153"/>
      <c r="D42" s="5" t="s">
        <v>112</v>
      </c>
      <c r="E42" s="76">
        <f ca="1">SUM(OFFSET('Controle Financeiro'!$C$6:$G$16,0,5*B42))</f>
        <v>2485.0299999999997</v>
      </c>
    </row>
    <row r="43" spans="2:5" x14ac:dyDescent="0.25">
      <c r="B43" s="161">
        <v>36</v>
      </c>
      <c r="C43" s="153">
        <v>2021</v>
      </c>
      <c r="D43" s="5" t="s">
        <v>101</v>
      </c>
      <c r="E43" s="76">
        <f ca="1">SUM(OFFSET('Controle Financeiro'!$C$6:$G$16,0,5*B43))</f>
        <v>1693.3700000000001</v>
      </c>
    </row>
    <row r="44" spans="2:5" x14ac:dyDescent="0.25">
      <c r="B44" s="161">
        <v>37</v>
      </c>
      <c r="C44" s="153"/>
      <c r="D44" s="5" t="s">
        <v>102</v>
      </c>
      <c r="E44" s="76">
        <f ca="1">SUM(OFFSET('Controle Financeiro'!$C$6:$G$16,0,5*B44))</f>
        <v>2695.47</v>
      </c>
    </row>
    <row r="45" spans="2:5" x14ac:dyDescent="0.25">
      <c r="B45" s="161">
        <v>38</v>
      </c>
      <c r="C45" s="153"/>
      <c r="D45" s="5" t="s">
        <v>103</v>
      </c>
      <c r="E45" s="76">
        <f ca="1">SUM(OFFSET('Controle Financeiro'!$C$6:$G$16,0,5*B45))</f>
        <v>1304.0899999999999</v>
      </c>
    </row>
    <row r="46" spans="2:5" x14ac:dyDescent="0.25">
      <c r="B46" s="161">
        <v>39</v>
      </c>
      <c r="C46" s="153"/>
      <c r="D46" s="5" t="s">
        <v>104</v>
      </c>
      <c r="E46" s="76">
        <f ca="1">SUM(OFFSET('Controle Financeiro'!$C$6:$G$16,0,5*B46))</f>
        <v>1149.0500000000002</v>
      </c>
    </row>
    <row r="47" spans="2:5" x14ac:dyDescent="0.25">
      <c r="B47" s="161">
        <v>40</v>
      </c>
      <c r="C47" s="153"/>
      <c r="D47" s="5" t="s">
        <v>105</v>
      </c>
      <c r="E47" s="76">
        <f ca="1">SUM(OFFSET('Controle Financeiro'!$C$6:$G$16,0,5*B47))</f>
        <v>5438.869999999999</v>
      </c>
    </row>
    <row r="48" spans="2:5" x14ac:dyDescent="0.25">
      <c r="B48" s="161">
        <v>41</v>
      </c>
      <c r="C48" s="153"/>
      <c r="D48" s="5" t="s">
        <v>106</v>
      </c>
      <c r="E48" s="76">
        <f ca="1">SUM(OFFSET('Controle Financeiro'!$C$6:$G$16,0,5*B48))</f>
        <v>71856.23</v>
      </c>
    </row>
    <row r="49" spans="2:5" x14ac:dyDescent="0.25">
      <c r="B49" s="161">
        <v>42</v>
      </c>
      <c r="C49" s="153"/>
      <c r="D49" s="5" t="s">
        <v>107</v>
      </c>
      <c r="E49" s="76">
        <f ca="1">SUM(OFFSET('Controle Financeiro'!$C$6:$G$16,0,5*B49))</f>
        <v>3134.92</v>
      </c>
    </row>
    <row r="50" spans="2:5" x14ac:dyDescent="0.25">
      <c r="B50" s="161">
        <v>43</v>
      </c>
      <c r="C50" s="153"/>
      <c r="D50" s="5" t="s">
        <v>108</v>
      </c>
      <c r="E50" s="76">
        <f ca="1">SUM(OFFSET('Controle Financeiro'!$C$6:$G$16,0,5*B50))</f>
        <v>8163.27</v>
      </c>
    </row>
    <row r="51" spans="2:5" x14ac:dyDescent="0.25">
      <c r="B51" s="161">
        <v>44</v>
      </c>
      <c r="C51" s="153"/>
      <c r="D51" s="5" t="s">
        <v>109</v>
      </c>
      <c r="E51" s="76">
        <f ca="1">SUM(OFFSET('Controle Financeiro'!$C$6:$G$16,0,5*B51))</f>
        <v>9929.7900000000009</v>
      </c>
    </row>
    <row r="52" spans="2:5" x14ac:dyDescent="0.25">
      <c r="B52" s="161">
        <v>45</v>
      </c>
      <c r="C52" s="153"/>
      <c r="D52" s="5" t="s">
        <v>110</v>
      </c>
      <c r="E52" s="76">
        <f ca="1">SUM(OFFSET('Controle Financeiro'!$C$6:$G$16,0,5*B52))</f>
        <v>2495.84</v>
      </c>
    </row>
    <row r="53" spans="2:5" x14ac:dyDescent="0.25">
      <c r="B53" s="161">
        <v>46</v>
      </c>
      <c r="C53" s="153"/>
      <c r="D53" s="5" t="s">
        <v>111</v>
      </c>
      <c r="E53" s="76">
        <f ca="1">SUM(OFFSET('Controle Financeiro'!$C$6:$G$16,0,5*B53))</f>
        <v>2106.96</v>
      </c>
    </row>
    <row r="54" spans="2:5" x14ac:dyDescent="0.25">
      <c r="B54" s="161">
        <v>47</v>
      </c>
      <c r="C54" s="153"/>
      <c r="D54" s="5" t="s">
        <v>112</v>
      </c>
      <c r="E54" s="76">
        <f ca="1">SUM(OFFSET('Controle Financeiro'!$C$6:$G$16,0,5*B54))</f>
        <v>33052.980000000003</v>
      </c>
    </row>
    <row r="55" spans="2:5" x14ac:dyDescent="0.25">
      <c r="B55" s="161">
        <v>48</v>
      </c>
      <c r="C55" s="153">
        <v>2022</v>
      </c>
      <c r="D55" s="5" t="s">
        <v>101</v>
      </c>
      <c r="E55" s="76">
        <f ca="1">SUM(OFFSET('Controle Financeiro'!$C$6:$G$16,0,5*B55))</f>
        <v>1470.06</v>
      </c>
    </row>
    <row r="56" spans="2:5" x14ac:dyDescent="0.25">
      <c r="B56" s="161">
        <v>49</v>
      </c>
      <c r="C56" s="153"/>
      <c r="D56" s="5" t="s">
        <v>102</v>
      </c>
      <c r="E56" s="76">
        <f ca="1">SUM(OFFSET('Controle Financeiro'!$C$6:$G$16,0,5*B56))</f>
        <v>3611.8499999999995</v>
      </c>
    </row>
    <row r="57" spans="2:5" x14ac:dyDescent="0.25">
      <c r="B57" s="161">
        <v>50</v>
      </c>
      <c r="C57" s="153"/>
      <c r="D57" s="5" t="s">
        <v>103</v>
      </c>
      <c r="E57" s="76">
        <f ca="1">SUM(OFFSET('Controle Financeiro'!$C$6:$G$16,0,5*B57))</f>
        <v>10772.420000000002</v>
      </c>
    </row>
    <row r="58" spans="2:5" x14ac:dyDescent="0.25">
      <c r="B58" s="161">
        <v>51</v>
      </c>
      <c r="C58" s="153"/>
      <c r="D58" s="5" t="s">
        <v>104</v>
      </c>
      <c r="E58" s="76">
        <f ca="1">SUM(OFFSET('Controle Financeiro'!$C$6:$G$16,0,5*B58))</f>
        <v>16835.04</v>
      </c>
    </row>
    <row r="59" spans="2:5" x14ac:dyDescent="0.25">
      <c r="B59" s="161">
        <v>52</v>
      </c>
      <c r="C59" s="153"/>
      <c r="D59" s="5" t="s">
        <v>105</v>
      </c>
      <c r="E59" s="76">
        <f ca="1">SUM(OFFSET('Controle Financeiro'!$C$6:$G$16,0,5*B59))</f>
        <v>8607.84</v>
      </c>
    </row>
    <row r="60" spans="2:5" x14ac:dyDescent="0.25">
      <c r="B60" s="161">
        <v>53</v>
      </c>
      <c r="C60" s="153"/>
      <c r="D60" s="5" t="s">
        <v>106</v>
      </c>
      <c r="E60" s="76">
        <f ca="1">SUM(OFFSET('Controle Financeiro'!$C$6:$G$16,0,5*B60))</f>
        <v>4430.59</v>
      </c>
    </row>
    <row r="61" spans="2:5" x14ac:dyDescent="0.25">
      <c r="B61" s="161">
        <v>54</v>
      </c>
      <c r="C61" s="153"/>
      <c r="D61" s="5" t="s">
        <v>107</v>
      </c>
      <c r="E61" s="76">
        <f ca="1">SUM(OFFSET('Controle Financeiro'!$C$6:$G$16,0,5*B61))</f>
        <v>18909.669999999998</v>
      </c>
    </row>
    <row r="62" spans="2:5" x14ac:dyDescent="0.25">
      <c r="B62" s="161">
        <v>55</v>
      </c>
      <c r="C62" s="153"/>
      <c r="D62" s="5" t="s">
        <v>108</v>
      </c>
      <c r="E62" s="76">
        <f ca="1">SUM(OFFSET('Controle Financeiro'!$C$6:$G$16,0,5*B62))</f>
        <v>14145.52</v>
      </c>
    </row>
    <row r="63" spans="2:5" x14ac:dyDescent="0.25">
      <c r="B63" s="161">
        <v>56</v>
      </c>
      <c r="C63" s="153"/>
      <c r="D63" s="5" t="s">
        <v>109</v>
      </c>
      <c r="E63" s="76">
        <f ca="1">SUM(OFFSET('Controle Financeiro'!$C$6:$G$16,0,5*B63))</f>
        <v>5086.67</v>
      </c>
    </row>
    <row r="64" spans="2:5" x14ac:dyDescent="0.25">
      <c r="B64" s="161">
        <v>57</v>
      </c>
      <c r="C64" s="153"/>
      <c r="D64" s="5" t="s">
        <v>110</v>
      </c>
      <c r="E64" s="76">
        <f ca="1">SUM(OFFSET('Controle Financeiro'!$C$6:$G$16,0,5*B64))</f>
        <v>5521.2099999999991</v>
      </c>
    </row>
    <row r="65" spans="2:5" x14ac:dyDescent="0.25">
      <c r="B65" s="161">
        <v>58</v>
      </c>
      <c r="C65" s="153"/>
      <c r="D65" s="5" t="s">
        <v>111</v>
      </c>
      <c r="E65" s="76">
        <f ca="1">SUM(OFFSET('Controle Financeiro'!$C$6:$G$16,0,5*B65))</f>
        <v>8187.4500000000007</v>
      </c>
    </row>
    <row r="66" spans="2:5" x14ac:dyDescent="0.25">
      <c r="B66" s="161">
        <v>59</v>
      </c>
      <c r="C66" s="153"/>
      <c r="D66" s="5" t="s">
        <v>112</v>
      </c>
      <c r="E66" s="76">
        <f ca="1">SUM(OFFSET('Controle Financeiro'!$C$6:$G$16,0,5*B66))</f>
        <v>5807.3000000000011</v>
      </c>
    </row>
    <row r="67" spans="2:5" x14ac:dyDescent="0.25">
      <c r="B67" s="161">
        <v>60</v>
      </c>
      <c r="C67" s="153">
        <v>2023</v>
      </c>
      <c r="D67" s="5" t="s">
        <v>101</v>
      </c>
      <c r="E67" s="76">
        <f ca="1">SUM(OFFSET('Controle Financeiro'!$C$6:$G$16,0,5*B67))</f>
        <v>22236.080000000002</v>
      </c>
    </row>
    <row r="68" spans="2:5" x14ac:dyDescent="0.25">
      <c r="B68" s="161">
        <v>61</v>
      </c>
      <c r="C68" s="153"/>
      <c r="D68" s="5" t="s">
        <v>102</v>
      </c>
      <c r="E68" s="76">
        <f ca="1">SUM(OFFSET('Controle Financeiro'!$C$6:$G$16,0,5*B68))</f>
        <v>5972.9000000000005</v>
      </c>
    </row>
    <row r="69" spans="2:5" x14ac:dyDescent="0.25">
      <c r="B69" s="161">
        <v>62</v>
      </c>
      <c r="C69" s="153"/>
      <c r="D69" s="5" t="s">
        <v>103</v>
      </c>
      <c r="E69" s="76">
        <f ca="1">SUM(OFFSET('Controle Financeiro'!$C$6:$G$16,0,5*B69))</f>
        <v>10492.260000000004</v>
      </c>
    </row>
    <row r="70" spans="2:5" x14ac:dyDescent="0.25">
      <c r="B70" s="161">
        <v>63</v>
      </c>
      <c r="C70" s="153"/>
      <c r="D70" s="5" t="s">
        <v>104</v>
      </c>
      <c r="E70" s="76">
        <f ca="1">SUM(OFFSET('Controle Financeiro'!$C$6:$G$16,0,5*B70))</f>
        <v>7377.9299999999994</v>
      </c>
    </row>
    <row r="71" spans="2:5" x14ac:dyDescent="0.25">
      <c r="B71" s="161">
        <v>64</v>
      </c>
      <c r="C71" s="153"/>
      <c r="D71" s="5" t="s">
        <v>105</v>
      </c>
      <c r="E71" s="76">
        <f ca="1">SUM(OFFSET('Controle Financeiro'!$C$6:$G$16,0,5*B71))</f>
        <v>6988.1699999999992</v>
      </c>
    </row>
    <row r="72" spans="2:5" x14ac:dyDescent="0.25">
      <c r="B72" s="161">
        <v>65</v>
      </c>
      <c r="C72" s="153"/>
      <c r="D72" s="5" t="s">
        <v>106</v>
      </c>
      <c r="E72" s="76">
        <f ca="1">SUM(OFFSET('Controle Financeiro'!$C$6:$G$16,0,5*B72))</f>
        <v>6689.3</v>
      </c>
    </row>
    <row r="73" spans="2:5" x14ac:dyDescent="0.25">
      <c r="B73" s="161">
        <v>66</v>
      </c>
      <c r="C73" s="153"/>
      <c r="D73" s="5" t="s">
        <v>107</v>
      </c>
      <c r="E73" s="76">
        <f ca="1">SUM(OFFSET('Controle Financeiro'!$C$6:$G$16,0,5*B73))</f>
        <v>23246.799999999999</v>
      </c>
    </row>
    <row r="74" spans="2:5" x14ac:dyDescent="0.25">
      <c r="B74" s="161">
        <v>67</v>
      </c>
      <c r="C74" s="153"/>
      <c r="D74" s="5" t="s">
        <v>108</v>
      </c>
      <c r="E74" s="76">
        <f ca="1">SUM(OFFSET('Controle Financeiro'!$C$6:$G$16,0,5*B74))</f>
        <v>8787.5300000000007</v>
      </c>
    </row>
    <row r="75" spans="2:5" x14ac:dyDescent="0.25">
      <c r="B75" s="161">
        <v>68</v>
      </c>
      <c r="C75" s="153"/>
      <c r="D75" s="5" t="s">
        <v>109</v>
      </c>
      <c r="E75" s="76">
        <f ca="1">SUM(OFFSET('Controle Financeiro'!$C$6:$G$16,0,5*B75))</f>
        <v>7585.6199999999981</v>
      </c>
    </row>
    <row r="76" spans="2:5" x14ac:dyDescent="0.25">
      <c r="B76" s="161">
        <v>69</v>
      </c>
      <c r="C76" s="153"/>
      <c r="D76" s="5" t="s">
        <v>110</v>
      </c>
      <c r="E76" s="76">
        <f ca="1">SUM(OFFSET('Controle Financeiro'!$C$6:$G$16,0,5*B76))</f>
        <v>8292.64</v>
      </c>
    </row>
    <row r="77" spans="2:5" x14ac:dyDescent="0.25">
      <c r="B77" s="161">
        <v>70</v>
      </c>
      <c r="C77" s="153"/>
      <c r="D77" s="5" t="s">
        <v>111</v>
      </c>
      <c r="E77" s="76">
        <f ca="1">SUM(OFFSET('Controle Financeiro'!$C$6:$G$16,0,5*B77))</f>
        <v>9574.83</v>
      </c>
    </row>
    <row r="78" spans="2:5" x14ac:dyDescent="0.25">
      <c r="B78" s="161">
        <v>71</v>
      </c>
      <c r="C78" s="153"/>
      <c r="D78" s="5" t="s">
        <v>112</v>
      </c>
      <c r="E78" s="76">
        <f ca="1">SUM(OFFSET('Controle Financeiro'!$C$6:$G$16,0,5*B78))</f>
        <v>6272.7999999999993</v>
      </c>
    </row>
  </sheetData>
  <mergeCells count="7">
    <mergeCell ref="C67:C78"/>
    <mergeCell ref="C2:V3"/>
    <mergeCell ref="C7:C18"/>
    <mergeCell ref="C19:C30"/>
    <mergeCell ref="C31:C42"/>
    <mergeCell ref="C43:C54"/>
    <mergeCell ref="C55:C66"/>
  </mergeCells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894524-312F-4174-BEEB-A681ECB30A1A}">
  <sheetPr filterMode="1"/>
  <dimension ref="A1:O3500"/>
  <sheetViews>
    <sheetView showGridLines="0" topLeftCell="A2858" workbookViewId="0">
      <selection activeCell="E2642" sqref="E2642:E3076"/>
    </sheetView>
  </sheetViews>
  <sheetFormatPr defaultRowHeight="15" x14ac:dyDescent="0.25"/>
  <cols>
    <col min="1" max="1" width="10.42578125" bestFit="1" customWidth="1"/>
    <col min="2" max="2" width="10.85546875" bestFit="1" customWidth="1"/>
    <col min="3" max="3" width="14" bestFit="1" customWidth="1"/>
    <col min="4" max="4" width="10.28515625" bestFit="1" customWidth="1"/>
    <col min="5" max="5" width="9.42578125" bestFit="1" customWidth="1"/>
    <col min="6" max="6" width="9.140625" bestFit="1" customWidth="1"/>
    <col min="11" max="11" width="11.7109375" bestFit="1" customWidth="1"/>
    <col min="12" max="12" width="16.28515625" style="57" customWidth="1"/>
    <col min="15" max="15" width="20.85546875" style="57" customWidth="1"/>
  </cols>
  <sheetData>
    <row r="1" spans="1:15" x14ac:dyDescent="0.25">
      <c r="A1" s="166" t="s">
        <v>114</v>
      </c>
      <c r="B1" s="167" t="s">
        <v>1</v>
      </c>
      <c r="C1" s="167" t="s">
        <v>115</v>
      </c>
      <c r="D1" s="167" t="s">
        <v>116</v>
      </c>
      <c r="E1" s="167" t="s">
        <v>117</v>
      </c>
      <c r="F1" s="168" t="s">
        <v>33</v>
      </c>
      <c r="K1" s="162" t="s">
        <v>115</v>
      </c>
      <c r="L1" s="163" t="s">
        <v>3648</v>
      </c>
      <c r="N1" s="162" t="s">
        <v>116</v>
      </c>
      <c r="O1" s="163" t="s">
        <v>33</v>
      </c>
    </row>
    <row r="2" spans="1:15" hidden="1" x14ac:dyDescent="0.25">
      <c r="A2" s="169">
        <v>43466</v>
      </c>
      <c r="B2" s="80" t="s">
        <v>140</v>
      </c>
      <c r="C2" s="80" t="s">
        <v>138</v>
      </c>
      <c r="D2" s="80" t="s">
        <v>141</v>
      </c>
      <c r="E2" s="80" t="s">
        <v>131</v>
      </c>
      <c r="F2" s="170">
        <v>180</v>
      </c>
      <c r="K2" s="158" t="str" cm="1">
        <f t="array" ref="K2:K18">_xlfn.UNIQUE(C2:C3500)</f>
        <v>Otávio</v>
      </c>
      <c r="L2" s="164">
        <f>SUMIFS(F:F, C:C, K2)</f>
        <v>21260</v>
      </c>
      <c r="N2" s="174" t="str" cm="1">
        <f t="array" ref="N2:N9">_xlfn.UNIQUE(D2:D3500)</f>
        <v>Calça</v>
      </c>
      <c r="O2" s="176">
        <f>SUMIFS(F:F, D:D, N2, E:E, "Verde")</f>
        <v>15120</v>
      </c>
    </row>
    <row r="3" spans="1:15" hidden="1" x14ac:dyDescent="0.25">
      <c r="A3" s="169">
        <v>43466</v>
      </c>
      <c r="B3" s="80" t="s">
        <v>147</v>
      </c>
      <c r="C3" s="80" t="s">
        <v>148</v>
      </c>
      <c r="D3" s="80" t="s">
        <v>141</v>
      </c>
      <c r="E3" s="80" t="s">
        <v>131</v>
      </c>
      <c r="F3" s="170">
        <v>180</v>
      </c>
      <c r="K3" s="158" t="str">
        <v>Caio</v>
      </c>
      <c r="L3" s="164">
        <f t="shared" ref="L3:L18" si="0">SUMIFS(F:F, C:C, K3)</f>
        <v>20250</v>
      </c>
      <c r="N3" s="174" t="str">
        <v>Camisa</v>
      </c>
      <c r="O3" s="176">
        <f t="shared" ref="O3:O9" si="1">SUMIFS(F:F, D:D, N3, E:E, "Verde")</f>
        <v>14240</v>
      </c>
    </row>
    <row r="4" spans="1:15" hidden="1" x14ac:dyDescent="0.25">
      <c r="A4" s="169">
        <v>43467</v>
      </c>
      <c r="B4" s="80" t="s">
        <v>155</v>
      </c>
      <c r="C4" s="80" t="s">
        <v>119</v>
      </c>
      <c r="D4" s="80" t="s">
        <v>141</v>
      </c>
      <c r="E4" s="80" t="s">
        <v>131</v>
      </c>
      <c r="F4" s="170">
        <v>180</v>
      </c>
      <c r="K4" s="158" t="str">
        <v>Gabriel</v>
      </c>
      <c r="L4" s="164">
        <f t="shared" si="0"/>
        <v>22920</v>
      </c>
      <c r="N4" s="174" t="str">
        <v>Bermuda</v>
      </c>
      <c r="O4" s="176">
        <f t="shared" si="1"/>
        <v>14550</v>
      </c>
    </row>
    <row r="5" spans="1:15" hidden="1" x14ac:dyDescent="0.25">
      <c r="A5" s="169">
        <v>43468</v>
      </c>
      <c r="B5" s="80" t="s">
        <v>166</v>
      </c>
      <c r="C5" s="80" t="s">
        <v>167</v>
      </c>
      <c r="D5" s="80" t="s">
        <v>141</v>
      </c>
      <c r="E5" s="80" t="s">
        <v>131</v>
      </c>
      <c r="F5" s="170">
        <v>180</v>
      </c>
      <c r="K5" s="158" t="str">
        <v>Luan</v>
      </c>
      <c r="L5" s="164">
        <f t="shared" si="0"/>
        <v>19250</v>
      </c>
      <c r="N5" s="174" t="str">
        <v>Camiseta</v>
      </c>
      <c r="O5" s="176">
        <f t="shared" si="1"/>
        <v>9700</v>
      </c>
    </row>
    <row r="6" spans="1:15" hidden="1" x14ac:dyDescent="0.25">
      <c r="A6" s="169">
        <v>43469</v>
      </c>
      <c r="B6" s="80" t="s">
        <v>177</v>
      </c>
      <c r="C6" s="80" t="s">
        <v>129</v>
      </c>
      <c r="D6" s="80" t="s">
        <v>141</v>
      </c>
      <c r="E6" s="80" t="s">
        <v>131</v>
      </c>
      <c r="F6" s="170">
        <v>180</v>
      </c>
      <c r="K6" s="158" t="str">
        <v>Kelly</v>
      </c>
      <c r="L6" s="164">
        <f t="shared" si="0"/>
        <v>21930</v>
      </c>
      <c r="N6" s="174" t="str">
        <v>Chapéu</v>
      </c>
      <c r="O6" s="176">
        <f t="shared" si="1"/>
        <v>7380</v>
      </c>
    </row>
    <row r="7" spans="1:15" hidden="1" x14ac:dyDescent="0.25">
      <c r="A7" s="169">
        <v>43470</v>
      </c>
      <c r="B7" s="80" t="s">
        <v>191</v>
      </c>
      <c r="C7" s="80" t="s">
        <v>119</v>
      </c>
      <c r="D7" s="80" t="s">
        <v>141</v>
      </c>
      <c r="E7" s="80" t="s">
        <v>127</v>
      </c>
      <c r="F7" s="170">
        <v>180</v>
      </c>
      <c r="K7" s="158" t="str">
        <v>Pablo</v>
      </c>
      <c r="L7" s="164">
        <f t="shared" si="0"/>
        <v>24480</v>
      </c>
      <c r="N7" s="174" t="str">
        <v>Saia</v>
      </c>
      <c r="O7" s="176">
        <f t="shared" si="1"/>
        <v>7200</v>
      </c>
    </row>
    <row r="8" spans="1:15" hidden="1" x14ac:dyDescent="0.25">
      <c r="A8" s="169">
        <v>43471</v>
      </c>
      <c r="B8" s="80" t="s">
        <v>199</v>
      </c>
      <c r="C8" s="80" t="s">
        <v>143</v>
      </c>
      <c r="D8" s="80" t="s">
        <v>141</v>
      </c>
      <c r="E8" s="80" t="s">
        <v>134</v>
      </c>
      <c r="F8" s="170">
        <v>180</v>
      </c>
      <c r="K8" s="158" t="str">
        <v>Bernardo</v>
      </c>
      <c r="L8" s="164">
        <f t="shared" si="0"/>
        <v>23860</v>
      </c>
      <c r="N8" s="174" t="str">
        <v>Boné</v>
      </c>
      <c r="O8" s="176">
        <f t="shared" si="1"/>
        <v>4800</v>
      </c>
    </row>
    <row r="9" spans="1:15" hidden="1" x14ac:dyDescent="0.25">
      <c r="A9" s="169">
        <v>43472</v>
      </c>
      <c r="B9" s="80" t="s">
        <v>205</v>
      </c>
      <c r="C9" s="80" t="s">
        <v>138</v>
      </c>
      <c r="D9" s="80" t="s">
        <v>141</v>
      </c>
      <c r="E9" s="80" t="s">
        <v>121</v>
      </c>
      <c r="F9" s="170">
        <v>180</v>
      </c>
      <c r="K9" s="158" t="str">
        <v>Natália</v>
      </c>
      <c r="L9" s="164">
        <f t="shared" si="0"/>
        <v>23380</v>
      </c>
      <c r="N9" s="175" t="str">
        <v>Chinelo</v>
      </c>
      <c r="O9" s="177">
        <f t="shared" si="1"/>
        <v>2640</v>
      </c>
    </row>
    <row r="10" spans="1:15" hidden="1" x14ac:dyDescent="0.25">
      <c r="A10" s="169">
        <v>43473</v>
      </c>
      <c r="B10" s="80" t="s">
        <v>217</v>
      </c>
      <c r="C10" s="80" t="s">
        <v>187</v>
      </c>
      <c r="D10" s="80" t="s">
        <v>141</v>
      </c>
      <c r="E10" s="80" t="s">
        <v>127</v>
      </c>
      <c r="F10" s="170">
        <v>180</v>
      </c>
      <c r="K10" s="158" t="str">
        <v>Rafaela</v>
      </c>
      <c r="L10" s="164">
        <f t="shared" si="0"/>
        <v>23230</v>
      </c>
    </row>
    <row r="11" spans="1:15" hidden="1" x14ac:dyDescent="0.25">
      <c r="A11" s="169">
        <v>43473</v>
      </c>
      <c r="B11" s="80" t="s">
        <v>227</v>
      </c>
      <c r="C11" s="80" t="s">
        <v>152</v>
      </c>
      <c r="D11" s="80" t="s">
        <v>141</v>
      </c>
      <c r="E11" s="80" t="s">
        <v>153</v>
      </c>
      <c r="F11" s="170">
        <v>180</v>
      </c>
      <c r="K11" s="158" t="str">
        <v>Helena</v>
      </c>
      <c r="L11" s="164">
        <f t="shared" si="0"/>
        <v>24290</v>
      </c>
    </row>
    <row r="12" spans="1:15" hidden="1" x14ac:dyDescent="0.25">
      <c r="A12" s="169">
        <v>43473</v>
      </c>
      <c r="B12" s="80" t="s">
        <v>228</v>
      </c>
      <c r="C12" s="80" t="s">
        <v>157</v>
      </c>
      <c r="D12" s="80" t="s">
        <v>141</v>
      </c>
      <c r="E12" s="80" t="s">
        <v>134</v>
      </c>
      <c r="F12" s="170">
        <v>180</v>
      </c>
      <c r="K12" s="158" t="str">
        <v>Iago</v>
      </c>
      <c r="L12" s="164">
        <f t="shared" si="0"/>
        <v>23550</v>
      </c>
    </row>
    <row r="13" spans="1:15" hidden="1" x14ac:dyDescent="0.25">
      <c r="A13" s="169">
        <v>43474</v>
      </c>
      <c r="B13" s="80" t="s">
        <v>233</v>
      </c>
      <c r="C13" s="80" t="s">
        <v>223</v>
      </c>
      <c r="D13" s="80" t="s">
        <v>141</v>
      </c>
      <c r="E13" s="80" t="s">
        <v>121</v>
      </c>
      <c r="F13" s="170">
        <v>180</v>
      </c>
      <c r="K13" s="158" t="str">
        <v>Amanda</v>
      </c>
      <c r="L13" s="164">
        <f t="shared" si="0"/>
        <v>22080</v>
      </c>
    </row>
    <row r="14" spans="1:15" hidden="1" x14ac:dyDescent="0.25">
      <c r="A14" s="169">
        <v>43474</v>
      </c>
      <c r="B14" s="80" t="s">
        <v>237</v>
      </c>
      <c r="C14" s="80" t="s">
        <v>125</v>
      </c>
      <c r="D14" s="80" t="s">
        <v>141</v>
      </c>
      <c r="E14" s="80" t="s">
        <v>153</v>
      </c>
      <c r="F14" s="170">
        <v>180</v>
      </c>
      <c r="K14" s="158" t="str">
        <v>Eduarda</v>
      </c>
      <c r="L14" s="164">
        <f t="shared" si="0"/>
        <v>16750</v>
      </c>
    </row>
    <row r="15" spans="1:15" hidden="1" x14ac:dyDescent="0.25">
      <c r="A15" s="169">
        <v>43476</v>
      </c>
      <c r="B15" s="80" t="s">
        <v>255</v>
      </c>
      <c r="C15" s="80" t="s">
        <v>143</v>
      </c>
      <c r="D15" s="80" t="s">
        <v>141</v>
      </c>
      <c r="E15" s="80" t="s">
        <v>127</v>
      </c>
      <c r="F15" s="170">
        <v>180</v>
      </c>
      <c r="K15" s="158" t="str">
        <v>Fábio</v>
      </c>
      <c r="L15" s="164">
        <f t="shared" si="0"/>
        <v>22790</v>
      </c>
    </row>
    <row r="16" spans="1:15" hidden="1" x14ac:dyDescent="0.25">
      <c r="A16" s="169">
        <v>43476</v>
      </c>
      <c r="B16" s="80" t="s">
        <v>259</v>
      </c>
      <c r="C16" s="80" t="s">
        <v>187</v>
      </c>
      <c r="D16" s="80" t="s">
        <v>141</v>
      </c>
      <c r="E16" s="80" t="s">
        <v>127</v>
      </c>
      <c r="F16" s="170">
        <v>180</v>
      </c>
      <c r="K16" s="158" t="str">
        <v>Daniel</v>
      </c>
      <c r="L16" s="164">
        <f t="shared" si="0"/>
        <v>21820</v>
      </c>
    </row>
    <row r="17" spans="1:12" hidden="1" x14ac:dyDescent="0.25">
      <c r="A17" s="169">
        <v>43478</v>
      </c>
      <c r="B17" s="80" t="s">
        <v>281</v>
      </c>
      <c r="C17" s="80" t="s">
        <v>187</v>
      </c>
      <c r="D17" s="80" t="s">
        <v>141</v>
      </c>
      <c r="E17" s="80" t="s">
        <v>134</v>
      </c>
      <c r="F17" s="170">
        <v>180</v>
      </c>
      <c r="K17" s="158" t="str">
        <v>João</v>
      </c>
      <c r="L17" s="164">
        <f t="shared" si="0"/>
        <v>20880</v>
      </c>
    </row>
    <row r="18" spans="1:12" hidden="1" x14ac:dyDescent="0.25">
      <c r="A18" s="169">
        <v>43479</v>
      </c>
      <c r="B18" s="80" t="s">
        <v>292</v>
      </c>
      <c r="C18" s="80" t="s">
        <v>182</v>
      </c>
      <c r="D18" s="80" t="s">
        <v>141</v>
      </c>
      <c r="E18" s="80" t="s">
        <v>134</v>
      </c>
      <c r="F18" s="170">
        <v>180</v>
      </c>
      <c r="K18" s="159" t="str">
        <v>Marcela</v>
      </c>
      <c r="L18" s="165">
        <f t="shared" si="0"/>
        <v>17890</v>
      </c>
    </row>
    <row r="19" spans="1:12" hidden="1" x14ac:dyDescent="0.25">
      <c r="A19" s="169">
        <v>43480</v>
      </c>
      <c r="B19" s="80" t="s">
        <v>295</v>
      </c>
      <c r="C19" s="80" t="s">
        <v>138</v>
      </c>
      <c r="D19" s="80" t="s">
        <v>141</v>
      </c>
      <c r="E19" s="80" t="s">
        <v>127</v>
      </c>
      <c r="F19" s="170">
        <v>180</v>
      </c>
    </row>
    <row r="20" spans="1:12" hidden="1" x14ac:dyDescent="0.25">
      <c r="A20" s="169">
        <v>43481</v>
      </c>
      <c r="B20" s="80" t="s">
        <v>304</v>
      </c>
      <c r="C20" s="80" t="s">
        <v>125</v>
      </c>
      <c r="D20" s="80" t="s">
        <v>141</v>
      </c>
      <c r="E20" s="80" t="s">
        <v>131</v>
      </c>
      <c r="F20" s="170">
        <v>180</v>
      </c>
    </row>
    <row r="21" spans="1:12" hidden="1" x14ac:dyDescent="0.25">
      <c r="A21" s="169">
        <v>43481</v>
      </c>
      <c r="B21" s="80" t="s">
        <v>312</v>
      </c>
      <c r="C21" s="80" t="s">
        <v>145</v>
      </c>
      <c r="D21" s="80" t="s">
        <v>141</v>
      </c>
      <c r="E21" s="80" t="s">
        <v>127</v>
      </c>
      <c r="F21" s="170">
        <v>180</v>
      </c>
    </row>
    <row r="22" spans="1:12" hidden="1" x14ac:dyDescent="0.25">
      <c r="A22" s="169">
        <v>43482</v>
      </c>
      <c r="B22" s="80" t="s">
        <v>313</v>
      </c>
      <c r="C22" s="80" t="s">
        <v>157</v>
      </c>
      <c r="D22" s="80" t="s">
        <v>141</v>
      </c>
      <c r="E22" s="80" t="s">
        <v>121</v>
      </c>
      <c r="F22" s="170">
        <v>180</v>
      </c>
    </row>
    <row r="23" spans="1:12" hidden="1" x14ac:dyDescent="0.25">
      <c r="A23" s="169">
        <v>43482</v>
      </c>
      <c r="B23" s="80" t="s">
        <v>317</v>
      </c>
      <c r="C23" s="80" t="s">
        <v>125</v>
      </c>
      <c r="D23" s="80" t="s">
        <v>141</v>
      </c>
      <c r="E23" s="80" t="s">
        <v>121</v>
      </c>
      <c r="F23" s="170">
        <v>180</v>
      </c>
    </row>
    <row r="24" spans="1:12" hidden="1" x14ac:dyDescent="0.25">
      <c r="A24" s="169">
        <v>43483</v>
      </c>
      <c r="B24" s="80" t="s">
        <v>325</v>
      </c>
      <c r="C24" s="80" t="s">
        <v>157</v>
      </c>
      <c r="D24" s="80" t="s">
        <v>141</v>
      </c>
      <c r="E24" s="80" t="s">
        <v>153</v>
      </c>
      <c r="F24" s="170">
        <v>180</v>
      </c>
    </row>
    <row r="25" spans="1:12" hidden="1" x14ac:dyDescent="0.25">
      <c r="A25" s="169">
        <v>43483</v>
      </c>
      <c r="B25" s="80" t="s">
        <v>327</v>
      </c>
      <c r="C25" s="80" t="s">
        <v>143</v>
      </c>
      <c r="D25" s="80" t="s">
        <v>141</v>
      </c>
      <c r="E25" s="80" t="s">
        <v>153</v>
      </c>
      <c r="F25" s="170">
        <v>180</v>
      </c>
    </row>
    <row r="26" spans="1:12" hidden="1" x14ac:dyDescent="0.25">
      <c r="A26" s="169">
        <v>43484</v>
      </c>
      <c r="B26" s="80" t="s">
        <v>335</v>
      </c>
      <c r="C26" s="80" t="s">
        <v>152</v>
      </c>
      <c r="D26" s="80" t="s">
        <v>141</v>
      </c>
      <c r="E26" s="80" t="s">
        <v>131</v>
      </c>
      <c r="F26" s="170">
        <v>180</v>
      </c>
    </row>
    <row r="27" spans="1:12" hidden="1" x14ac:dyDescent="0.25">
      <c r="A27" s="169">
        <v>43484</v>
      </c>
      <c r="B27" s="80" t="s">
        <v>343</v>
      </c>
      <c r="C27" s="80" t="s">
        <v>129</v>
      </c>
      <c r="D27" s="80" t="s">
        <v>141</v>
      </c>
      <c r="E27" s="80" t="s">
        <v>127</v>
      </c>
      <c r="F27" s="170">
        <v>180</v>
      </c>
    </row>
    <row r="28" spans="1:12" hidden="1" x14ac:dyDescent="0.25">
      <c r="A28" s="169">
        <v>43486</v>
      </c>
      <c r="B28" s="80" t="s">
        <v>356</v>
      </c>
      <c r="C28" s="80" t="s">
        <v>157</v>
      </c>
      <c r="D28" s="80" t="s">
        <v>141</v>
      </c>
      <c r="E28" s="80" t="s">
        <v>134</v>
      </c>
      <c r="F28" s="170">
        <v>180</v>
      </c>
    </row>
    <row r="29" spans="1:12" hidden="1" x14ac:dyDescent="0.25">
      <c r="A29" s="169">
        <v>43487</v>
      </c>
      <c r="B29" s="80" t="s">
        <v>368</v>
      </c>
      <c r="C29" s="80" t="s">
        <v>164</v>
      </c>
      <c r="D29" s="80" t="s">
        <v>141</v>
      </c>
      <c r="E29" s="80" t="s">
        <v>121</v>
      </c>
      <c r="F29" s="170">
        <v>180</v>
      </c>
    </row>
    <row r="30" spans="1:12" hidden="1" x14ac:dyDescent="0.25">
      <c r="A30" s="169">
        <v>43487</v>
      </c>
      <c r="B30" s="80" t="s">
        <v>371</v>
      </c>
      <c r="C30" s="80" t="s">
        <v>223</v>
      </c>
      <c r="D30" s="80" t="s">
        <v>141</v>
      </c>
      <c r="E30" s="80" t="s">
        <v>127</v>
      </c>
      <c r="F30" s="170">
        <v>180</v>
      </c>
    </row>
    <row r="31" spans="1:12" hidden="1" x14ac:dyDescent="0.25">
      <c r="A31" s="169">
        <v>43488</v>
      </c>
      <c r="B31" s="80" t="s">
        <v>375</v>
      </c>
      <c r="C31" s="80" t="s">
        <v>189</v>
      </c>
      <c r="D31" s="80" t="s">
        <v>141</v>
      </c>
      <c r="E31" s="80" t="s">
        <v>153</v>
      </c>
      <c r="F31" s="170">
        <v>180</v>
      </c>
    </row>
    <row r="32" spans="1:12" hidden="1" x14ac:dyDescent="0.25">
      <c r="A32" s="169">
        <v>43488</v>
      </c>
      <c r="B32" s="80" t="s">
        <v>379</v>
      </c>
      <c r="C32" s="80" t="s">
        <v>125</v>
      </c>
      <c r="D32" s="80" t="s">
        <v>141</v>
      </c>
      <c r="E32" s="80" t="s">
        <v>127</v>
      </c>
      <c r="F32" s="170">
        <v>180</v>
      </c>
    </row>
    <row r="33" spans="1:6" hidden="1" x14ac:dyDescent="0.25">
      <c r="A33" s="169">
        <v>43489</v>
      </c>
      <c r="B33" s="80" t="s">
        <v>384</v>
      </c>
      <c r="C33" s="80" t="s">
        <v>138</v>
      </c>
      <c r="D33" s="80" t="s">
        <v>141</v>
      </c>
      <c r="E33" s="80" t="s">
        <v>121</v>
      </c>
      <c r="F33" s="170">
        <v>180</v>
      </c>
    </row>
    <row r="34" spans="1:6" hidden="1" x14ac:dyDescent="0.25">
      <c r="A34" s="169">
        <v>43489</v>
      </c>
      <c r="B34" s="80" t="s">
        <v>390</v>
      </c>
      <c r="C34" s="80" t="s">
        <v>148</v>
      </c>
      <c r="D34" s="80" t="s">
        <v>141</v>
      </c>
      <c r="E34" s="80" t="s">
        <v>131</v>
      </c>
      <c r="F34" s="170">
        <v>180</v>
      </c>
    </row>
    <row r="35" spans="1:6" hidden="1" x14ac:dyDescent="0.25">
      <c r="A35" s="169">
        <v>43492</v>
      </c>
      <c r="B35" s="80" t="s">
        <v>426</v>
      </c>
      <c r="C35" s="80" t="s">
        <v>164</v>
      </c>
      <c r="D35" s="80" t="s">
        <v>141</v>
      </c>
      <c r="E35" s="80" t="s">
        <v>131</v>
      </c>
      <c r="F35" s="170">
        <v>180</v>
      </c>
    </row>
    <row r="36" spans="1:6" hidden="1" x14ac:dyDescent="0.25">
      <c r="A36" s="169">
        <v>43492</v>
      </c>
      <c r="B36" s="80" t="s">
        <v>428</v>
      </c>
      <c r="C36" s="80" t="s">
        <v>223</v>
      </c>
      <c r="D36" s="80" t="s">
        <v>141</v>
      </c>
      <c r="E36" s="80" t="s">
        <v>153</v>
      </c>
      <c r="F36" s="170">
        <v>180</v>
      </c>
    </row>
    <row r="37" spans="1:6" hidden="1" x14ac:dyDescent="0.25">
      <c r="A37" s="169">
        <v>43492</v>
      </c>
      <c r="B37" s="80" t="s">
        <v>432</v>
      </c>
      <c r="C37" s="80" t="s">
        <v>167</v>
      </c>
      <c r="D37" s="80" t="s">
        <v>141</v>
      </c>
      <c r="E37" s="80" t="s">
        <v>153</v>
      </c>
      <c r="F37" s="170">
        <v>180</v>
      </c>
    </row>
    <row r="38" spans="1:6" hidden="1" x14ac:dyDescent="0.25">
      <c r="A38" s="169">
        <v>43494</v>
      </c>
      <c r="B38" s="80" t="s">
        <v>442</v>
      </c>
      <c r="C38" s="80" t="s">
        <v>157</v>
      </c>
      <c r="D38" s="80" t="s">
        <v>141</v>
      </c>
      <c r="E38" s="80" t="s">
        <v>121</v>
      </c>
      <c r="F38" s="170">
        <v>180</v>
      </c>
    </row>
    <row r="39" spans="1:6" hidden="1" x14ac:dyDescent="0.25">
      <c r="A39" s="169">
        <v>43495</v>
      </c>
      <c r="B39" s="80" t="s">
        <v>450</v>
      </c>
      <c r="C39" s="80" t="s">
        <v>138</v>
      </c>
      <c r="D39" s="80" t="s">
        <v>141</v>
      </c>
      <c r="E39" s="80" t="s">
        <v>153</v>
      </c>
      <c r="F39" s="170">
        <v>180</v>
      </c>
    </row>
    <row r="40" spans="1:6" hidden="1" x14ac:dyDescent="0.25">
      <c r="A40" s="169">
        <v>43496</v>
      </c>
      <c r="B40" s="80" t="s">
        <v>469</v>
      </c>
      <c r="C40" s="80" t="s">
        <v>187</v>
      </c>
      <c r="D40" s="80" t="s">
        <v>141</v>
      </c>
      <c r="E40" s="80" t="s">
        <v>153</v>
      </c>
      <c r="F40" s="170">
        <v>180</v>
      </c>
    </row>
    <row r="41" spans="1:6" hidden="1" x14ac:dyDescent="0.25">
      <c r="A41" s="169">
        <v>43498</v>
      </c>
      <c r="B41" s="80" t="s">
        <v>482</v>
      </c>
      <c r="C41" s="80" t="s">
        <v>129</v>
      </c>
      <c r="D41" s="80" t="s">
        <v>141</v>
      </c>
      <c r="E41" s="80" t="s">
        <v>134</v>
      </c>
      <c r="F41" s="170">
        <v>180</v>
      </c>
    </row>
    <row r="42" spans="1:6" hidden="1" x14ac:dyDescent="0.25">
      <c r="A42" s="169">
        <v>43502</v>
      </c>
      <c r="B42" s="80" t="s">
        <v>505</v>
      </c>
      <c r="C42" s="80" t="s">
        <v>125</v>
      </c>
      <c r="D42" s="80" t="s">
        <v>141</v>
      </c>
      <c r="E42" s="80" t="s">
        <v>131</v>
      </c>
      <c r="F42" s="170">
        <v>180</v>
      </c>
    </row>
    <row r="43" spans="1:6" hidden="1" x14ac:dyDescent="0.25">
      <c r="A43" s="169">
        <v>43502</v>
      </c>
      <c r="B43" s="80" t="s">
        <v>508</v>
      </c>
      <c r="C43" s="80" t="s">
        <v>167</v>
      </c>
      <c r="D43" s="80" t="s">
        <v>141</v>
      </c>
      <c r="E43" s="80" t="s">
        <v>127</v>
      </c>
      <c r="F43" s="170">
        <v>180</v>
      </c>
    </row>
    <row r="44" spans="1:6" hidden="1" x14ac:dyDescent="0.25">
      <c r="A44" s="169">
        <v>43503</v>
      </c>
      <c r="B44" s="80" t="s">
        <v>514</v>
      </c>
      <c r="C44" s="80" t="s">
        <v>129</v>
      </c>
      <c r="D44" s="80" t="s">
        <v>141</v>
      </c>
      <c r="E44" s="80" t="s">
        <v>131</v>
      </c>
      <c r="F44" s="170">
        <v>180</v>
      </c>
    </row>
    <row r="45" spans="1:6" hidden="1" x14ac:dyDescent="0.25">
      <c r="A45" s="169">
        <v>43503</v>
      </c>
      <c r="B45" s="80" t="s">
        <v>521</v>
      </c>
      <c r="C45" s="80" t="s">
        <v>157</v>
      </c>
      <c r="D45" s="80" t="s">
        <v>141</v>
      </c>
      <c r="E45" s="80" t="s">
        <v>121</v>
      </c>
      <c r="F45" s="170">
        <v>180</v>
      </c>
    </row>
    <row r="46" spans="1:6" hidden="1" x14ac:dyDescent="0.25">
      <c r="A46" s="169">
        <v>43506</v>
      </c>
      <c r="B46" s="80" t="s">
        <v>537</v>
      </c>
      <c r="C46" s="80" t="s">
        <v>136</v>
      </c>
      <c r="D46" s="80" t="s">
        <v>141</v>
      </c>
      <c r="E46" s="80" t="s">
        <v>127</v>
      </c>
      <c r="F46" s="170">
        <v>180</v>
      </c>
    </row>
    <row r="47" spans="1:6" hidden="1" x14ac:dyDescent="0.25">
      <c r="A47" s="169">
        <v>43506</v>
      </c>
      <c r="B47" s="80" t="s">
        <v>538</v>
      </c>
      <c r="C47" s="80" t="s">
        <v>187</v>
      </c>
      <c r="D47" s="80" t="s">
        <v>141</v>
      </c>
      <c r="E47" s="80" t="s">
        <v>153</v>
      </c>
      <c r="F47" s="170">
        <v>180</v>
      </c>
    </row>
    <row r="48" spans="1:6" hidden="1" x14ac:dyDescent="0.25">
      <c r="A48" s="169">
        <v>43506</v>
      </c>
      <c r="B48" s="80" t="s">
        <v>542</v>
      </c>
      <c r="C48" s="80" t="s">
        <v>167</v>
      </c>
      <c r="D48" s="80" t="s">
        <v>141</v>
      </c>
      <c r="E48" s="80" t="s">
        <v>121</v>
      </c>
      <c r="F48" s="170">
        <v>180</v>
      </c>
    </row>
    <row r="49" spans="1:6" hidden="1" x14ac:dyDescent="0.25">
      <c r="A49" s="169">
        <v>43506</v>
      </c>
      <c r="B49" s="80" t="s">
        <v>545</v>
      </c>
      <c r="C49" s="80" t="s">
        <v>143</v>
      </c>
      <c r="D49" s="80" t="s">
        <v>141</v>
      </c>
      <c r="E49" s="80" t="s">
        <v>131</v>
      </c>
      <c r="F49" s="170">
        <v>180</v>
      </c>
    </row>
    <row r="50" spans="1:6" hidden="1" x14ac:dyDescent="0.25">
      <c r="A50" s="169">
        <v>43507</v>
      </c>
      <c r="B50" s="80" t="s">
        <v>553</v>
      </c>
      <c r="C50" s="80" t="s">
        <v>123</v>
      </c>
      <c r="D50" s="80" t="s">
        <v>141</v>
      </c>
      <c r="E50" s="80" t="s">
        <v>127</v>
      </c>
      <c r="F50" s="170">
        <v>180</v>
      </c>
    </row>
    <row r="51" spans="1:6" hidden="1" x14ac:dyDescent="0.25">
      <c r="A51" s="169">
        <v>43509</v>
      </c>
      <c r="B51" s="80" t="s">
        <v>565</v>
      </c>
      <c r="C51" s="80" t="s">
        <v>189</v>
      </c>
      <c r="D51" s="80" t="s">
        <v>141</v>
      </c>
      <c r="E51" s="80" t="s">
        <v>131</v>
      </c>
      <c r="F51" s="170">
        <v>180</v>
      </c>
    </row>
    <row r="52" spans="1:6" hidden="1" x14ac:dyDescent="0.25">
      <c r="A52" s="169">
        <v>43509</v>
      </c>
      <c r="B52" s="80" t="s">
        <v>568</v>
      </c>
      <c r="C52" s="80" t="s">
        <v>143</v>
      </c>
      <c r="D52" s="80" t="s">
        <v>141</v>
      </c>
      <c r="E52" s="80" t="s">
        <v>121</v>
      </c>
      <c r="F52" s="170">
        <v>180</v>
      </c>
    </row>
    <row r="53" spans="1:6" hidden="1" x14ac:dyDescent="0.25">
      <c r="A53" s="169">
        <v>43510</v>
      </c>
      <c r="B53" s="80" t="s">
        <v>575</v>
      </c>
      <c r="C53" s="80" t="s">
        <v>145</v>
      </c>
      <c r="D53" s="80" t="s">
        <v>141</v>
      </c>
      <c r="E53" s="80" t="s">
        <v>121</v>
      </c>
      <c r="F53" s="170">
        <v>180</v>
      </c>
    </row>
    <row r="54" spans="1:6" hidden="1" x14ac:dyDescent="0.25">
      <c r="A54" s="169">
        <v>43510</v>
      </c>
      <c r="B54" s="80" t="s">
        <v>577</v>
      </c>
      <c r="C54" s="80" t="s">
        <v>167</v>
      </c>
      <c r="D54" s="80" t="s">
        <v>141</v>
      </c>
      <c r="E54" s="80" t="s">
        <v>127</v>
      </c>
      <c r="F54" s="170">
        <v>180</v>
      </c>
    </row>
    <row r="55" spans="1:6" hidden="1" x14ac:dyDescent="0.25">
      <c r="A55" s="169">
        <v>43511</v>
      </c>
      <c r="B55" s="80" t="s">
        <v>580</v>
      </c>
      <c r="C55" s="80" t="s">
        <v>223</v>
      </c>
      <c r="D55" s="80" t="s">
        <v>141</v>
      </c>
      <c r="E55" s="80" t="s">
        <v>153</v>
      </c>
      <c r="F55" s="170">
        <v>180</v>
      </c>
    </row>
    <row r="56" spans="1:6" hidden="1" x14ac:dyDescent="0.25">
      <c r="A56" s="169">
        <v>43512</v>
      </c>
      <c r="B56" s="80" t="s">
        <v>591</v>
      </c>
      <c r="C56" s="80" t="s">
        <v>148</v>
      </c>
      <c r="D56" s="80" t="s">
        <v>141</v>
      </c>
      <c r="E56" s="80" t="s">
        <v>127</v>
      </c>
      <c r="F56" s="170">
        <v>180</v>
      </c>
    </row>
    <row r="57" spans="1:6" hidden="1" x14ac:dyDescent="0.25">
      <c r="A57" s="169">
        <v>43513</v>
      </c>
      <c r="B57" s="80" t="s">
        <v>597</v>
      </c>
      <c r="C57" s="80" t="s">
        <v>138</v>
      </c>
      <c r="D57" s="80" t="s">
        <v>141</v>
      </c>
      <c r="E57" s="80" t="s">
        <v>121</v>
      </c>
      <c r="F57" s="170">
        <v>180</v>
      </c>
    </row>
    <row r="58" spans="1:6" hidden="1" x14ac:dyDescent="0.25">
      <c r="A58" s="169">
        <v>43514</v>
      </c>
      <c r="B58" s="80" t="s">
        <v>613</v>
      </c>
      <c r="C58" s="80" t="s">
        <v>164</v>
      </c>
      <c r="D58" s="80" t="s">
        <v>141</v>
      </c>
      <c r="E58" s="80" t="s">
        <v>134</v>
      </c>
      <c r="F58" s="170">
        <v>180</v>
      </c>
    </row>
    <row r="59" spans="1:6" hidden="1" x14ac:dyDescent="0.25">
      <c r="A59" s="169">
        <v>43515</v>
      </c>
      <c r="B59" s="80" t="s">
        <v>615</v>
      </c>
      <c r="C59" s="80" t="s">
        <v>187</v>
      </c>
      <c r="D59" s="80" t="s">
        <v>141</v>
      </c>
      <c r="E59" s="80" t="s">
        <v>121</v>
      </c>
      <c r="F59" s="170">
        <v>180</v>
      </c>
    </row>
    <row r="60" spans="1:6" hidden="1" x14ac:dyDescent="0.25">
      <c r="A60" s="169">
        <v>43515</v>
      </c>
      <c r="B60" s="80" t="s">
        <v>623</v>
      </c>
      <c r="C60" s="80" t="s">
        <v>136</v>
      </c>
      <c r="D60" s="80" t="s">
        <v>141</v>
      </c>
      <c r="E60" s="80" t="s">
        <v>153</v>
      </c>
      <c r="F60" s="170">
        <v>180</v>
      </c>
    </row>
    <row r="61" spans="1:6" hidden="1" x14ac:dyDescent="0.25">
      <c r="A61" s="169">
        <v>43516</v>
      </c>
      <c r="B61" s="80" t="s">
        <v>627</v>
      </c>
      <c r="C61" s="80" t="s">
        <v>136</v>
      </c>
      <c r="D61" s="80" t="s">
        <v>141</v>
      </c>
      <c r="E61" s="80" t="s">
        <v>153</v>
      </c>
      <c r="F61" s="170">
        <v>180</v>
      </c>
    </row>
    <row r="62" spans="1:6" hidden="1" x14ac:dyDescent="0.25">
      <c r="A62" s="169">
        <v>43516</v>
      </c>
      <c r="B62" s="80" t="s">
        <v>628</v>
      </c>
      <c r="C62" s="80" t="s">
        <v>189</v>
      </c>
      <c r="D62" s="80" t="s">
        <v>141</v>
      </c>
      <c r="E62" s="80" t="s">
        <v>127</v>
      </c>
      <c r="F62" s="170">
        <v>180</v>
      </c>
    </row>
    <row r="63" spans="1:6" hidden="1" x14ac:dyDescent="0.25">
      <c r="A63" s="169">
        <v>43520</v>
      </c>
      <c r="B63" s="80" t="s">
        <v>674</v>
      </c>
      <c r="C63" s="80" t="s">
        <v>143</v>
      </c>
      <c r="D63" s="80" t="s">
        <v>141</v>
      </c>
      <c r="E63" s="80" t="s">
        <v>121</v>
      </c>
      <c r="F63" s="170">
        <v>180</v>
      </c>
    </row>
    <row r="64" spans="1:6" hidden="1" x14ac:dyDescent="0.25">
      <c r="A64" s="169">
        <v>43523</v>
      </c>
      <c r="B64" s="80" t="s">
        <v>696</v>
      </c>
      <c r="C64" s="80" t="s">
        <v>167</v>
      </c>
      <c r="D64" s="80" t="s">
        <v>141</v>
      </c>
      <c r="E64" s="80" t="s">
        <v>121</v>
      </c>
      <c r="F64" s="170">
        <v>180</v>
      </c>
    </row>
    <row r="65" spans="1:6" hidden="1" x14ac:dyDescent="0.25">
      <c r="A65" s="169">
        <v>43523</v>
      </c>
      <c r="B65" s="80" t="s">
        <v>697</v>
      </c>
      <c r="C65" s="80" t="s">
        <v>123</v>
      </c>
      <c r="D65" s="80" t="s">
        <v>141</v>
      </c>
      <c r="E65" s="80" t="s">
        <v>134</v>
      </c>
      <c r="F65" s="170">
        <v>180</v>
      </c>
    </row>
    <row r="66" spans="1:6" hidden="1" x14ac:dyDescent="0.25">
      <c r="A66" s="169">
        <v>43523</v>
      </c>
      <c r="B66" s="80" t="s">
        <v>703</v>
      </c>
      <c r="C66" s="80" t="s">
        <v>143</v>
      </c>
      <c r="D66" s="80" t="s">
        <v>141</v>
      </c>
      <c r="E66" s="80" t="s">
        <v>121</v>
      </c>
      <c r="F66" s="170">
        <v>180</v>
      </c>
    </row>
    <row r="67" spans="1:6" hidden="1" x14ac:dyDescent="0.25">
      <c r="A67" s="169">
        <v>43523</v>
      </c>
      <c r="B67" s="80" t="s">
        <v>704</v>
      </c>
      <c r="C67" s="80" t="s">
        <v>157</v>
      </c>
      <c r="D67" s="80" t="s">
        <v>141</v>
      </c>
      <c r="E67" s="80" t="s">
        <v>134</v>
      </c>
      <c r="F67" s="170">
        <v>180</v>
      </c>
    </row>
    <row r="68" spans="1:6" hidden="1" x14ac:dyDescent="0.25">
      <c r="A68" s="169">
        <v>43524</v>
      </c>
      <c r="B68" s="80" t="s">
        <v>714</v>
      </c>
      <c r="C68" s="80" t="s">
        <v>129</v>
      </c>
      <c r="D68" s="80" t="s">
        <v>141</v>
      </c>
      <c r="E68" s="80" t="s">
        <v>121</v>
      </c>
      <c r="F68" s="170">
        <v>180</v>
      </c>
    </row>
    <row r="69" spans="1:6" hidden="1" x14ac:dyDescent="0.25">
      <c r="A69" s="169">
        <v>43525</v>
      </c>
      <c r="B69" s="80" t="s">
        <v>716</v>
      </c>
      <c r="C69" s="80" t="s">
        <v>136</v>
      </c>
      <c r="D69" s="80" t="s">
        <v>141</v>
      </c>
      <c r="E69" s="80" t="s">
        <v>127</v>
      </c>
      <c r="F69" s="170">
        <v>180</v>
      </c>
    </row>
    <row r="70" spans="1:6" hidden="1" x14ac:dyDescent="0.25">
      <c r="A70" s="169">
        <v>43525</v>
      </c>
      <c r="B70" s="80" t="s">
        <v>717</v>
      </c>
      <c r="C70" s="80" t="s">
        <v>187</v>
      </c>
      <c r="D70" s="80" t="s">
        <v>141</v>
      </c>
      <c r="E70" s="80" t="s">
        <v>153</v>
      </c>
      <c r="F70" s="170">
        <v>180</v>
      </c>
    </row>
    <row r="71" spans="1:6" hidden="1" x14ac:dyDescent="0.25">
      <c r="A71" s="169">
        <v>43527</v>
      </c>
      <c r="B71" s="80" t="s">
        <v>730</v>
      </c>
      <c r="C71" s="80" t="s">
        <v>152</v>
      </c>
      <c r="D71" s="80" t="s">
        <v>141</v>
      </c>
      <c r="E71" s="80" t="s">
        <v>134</v>
      </c>
      <c r="F71" s="170">
        <v>180</v>
      </c>
    </row>
    <row r="72" spans="1:6" hidden="1" x14ac:dyDescent="0.25">
      <c r="A72" s="169">
        <v>43527</v>
      </c>
      <c r="B72" s="80" t="s">
        <v>731</v>
      </c>
      <c r="C72" s="80" t="s">
        <v>148</v>
      </c>
      <c r="D72" s="80" t="s">
        <v>141</v>
      </c>
      <c r="E72" s="80" t="s">
        <v>121</v>
      </c>
      <c r="F72" s="170">
        <v>180</v>
      </c>
    </row>
    <row r="73" spans="1:6" hidden="1" x14ac:dyDescent="0.25">
      <c r="A73" s="169">
        <v>43527</v>
      </c>
      <c r="B73" s="80" t="s">
        <v>734</v>
      </c>
      <c r="C73" s="80" t="s">
        <v>164</v>
      </c>
      <c r="D73" s="80" t="s">
        <v>141</v>
      </c>
      <c r="E73" s="80" t="s">
        <v>153</v>
      </c>
      <c r="F73" s="170">
        <v>180</v>
      </c>
    </row>
    <row r="74" spans="1:6" hidden="1" x14ac:dyDescent="0.25">
      <c r="A74" s="169">
        <v>43528</v>
      </c>
      <c r="B74" s="80" t="s">
        <v>746</v>
      </c>
      <c r="C74" s="80" t="s">
        <v>167</v>
      </c>
      <c r="D74" s="80" t="s">
        <v>141</v>
      </c>
      <c r="E74" s="80" t="s">
        <v>153</v>
      </c>
      <c r="F74" s="170">
        <v>180</v>
      </c>
    </row>
    <row r="75" spans="1:6" hidden="1" x14ac:dyDescent="0.25">
      <c r="A75" s="169">
        <v>43529</v>
      </c>
      <c r="B75" s="80" t="s">
        <v>749</v>
      </c>
      <c r="C75" s="80" t="s">
        <v>143</v>
      </c>
      <c r="D75" s="80" t="s">
        <v>141</v>
      </c>
      <c r="E75" s="80" t="s">
        <v>127</v>
      </c>
      <c r="F75" s="170">
        <v>180</v>
      </c>
    </row>
    <row r="76" spans="1:6" hidden="1" x14ac:dyDescent="0.25">
      <c r="A76" s="169">
        <v>43529</v>
      </c>
      <c r="B76" s="80" t="s">
        <v>752</v>
      </c>
      <c r="C76" s="80" t="s">
        <v>152</v>
      </c>
      <c r="D76" s="80" t="s">
        <v>141</v>
      </c>
      <c r="E76" s="80" t="s">
        <v>127</v>
      </c>
      <c r="F76" s="170">
        <v>180</v>
      </c>
    </row>
    <row r="77" spans="1:6" hidden="1" x14ac:dyDescent="0.25">
      <c r="A77" s="169">
        <v>43529</v>
      </c>
      <c r="B77" s="80" t="s">
        <v>753</v>
      </c>
      <c r="C77" s="80" t="s">
        <v>152</v>
      </c>
      <c r="D77" s="80" t="s">
        <v>141</v>
      </c>
      <c r="E77" s="80" t="s">
        <v>121</v>
      </c>
      <c r="F77" s="170">
        <v>180</v>
      </c>
    </row>
    <row r="78" spans="1:6" hidden="1" x14ac:dyDescent="0.25">
      <c r="A78" s="169">
        <v>43529</v>
      </c>
      <c r="B78" s="80" t="s">
        <v>756</v>
      </c>
      <c r="C78" s="80" t="s">
        <v>145</v>
      </c>
      <c r="D78" s="80" t="s">
        <v>141</v>
      </c>
      <c r="E78" s="80" t="s">
        <v>121</v>
      </c>
      <c r="F78" s="170">
        <v>180</v>
      </c>
    </row>
    <row r="79" spans="1:6" hidden="1" x14ac:dyDescent="0.25">
      <c r="A79" s="169">
        <v>43529</v>
      </c>
      <c r="B79" s="80" t="s">
        <v>759</v>
      </c>
      <c r="C79" s="80" t="s">
        <v>148</v>
      </c>
      <c r="D79" s="80" t="s">
        <v>141</v>
      </c>
      <c r="E79" s="80" t="s">
        <v>127</v>
      </c>
      <c r="F79" s="170">
        <v>180</v>
      </c>
    </row>
    <row r="80" spans="1:6" hidden="1" x14ac:dyDescent="0.25">
      <c r="A80" s="169">
        <v>43532</v>
      </c>
      <c r="B80" s="80" t="s">
        <v>782</v>
      </c>
      <c r="C80" s="80" t="s">
        <v>164</v>
      </c>
      <c r="D80" s="80" t="s">
        <v>141</v>
      </c>
      <c r="E80" s="80" t="s">
        <v>121</v>
      </c>
      <c r="F80" s="170">
        <v>180</v>
      </c>
    </row>
    <row r="81" spans="1:6" hidden="1" x14ac:dyDescent="0.25">
      <c r="A81" s="169">
        <v>43532</v>
      </c>
      <c r="B81" s="80" t="s">
        <v>783</v>
      </c>
      <c r="C81" s="80" t="s">
        <v>143</v>
      </c>
      <c r="D81" s="80" t="s">
        <v>141</v>
      </c>
      <c r="E81" s="80" t="s">
        <v>153</v>
      </c>
      <c r="F81" s="170">
        <v>180</v>
      </c>
    </row>
    <row r="82" spans="1:6" hidden="1" x14ac:dyDescent="0.25">
      <c r="A82" s="169">
        <v>43534</v>
      </c>
      <c r="B82" s="80" t="s">
        <v>797</v>
      </c>
      <c r="C82" s="80" t="s">
        <v>123</v>
      </c>
      <c r="D82" s="80" t="s">
        <v>141</v>
      </c>
      <c r="E82" s="80" t="s">
        <v>121</v>
      </c>
      <c r="F82" s="170">
        <v>180</v>
      </c>
    </row>
    <row r="83" spans="1:6" hidden="1" x14ac:dyDescent="0.25">
      <c r="A83" s="169">
        <v>43536</v>
      </c>
      <c r="B83" s="80" t="s">
        <v>812</v>
      </c>
      <c r="C83" s="80" t="s">
        <v>223</v>
      </c>
      <c r="D83" s="80" t="s">
        <v>141</v>
      </c>
      <c r="E83" s="80" t="s">
        <v>131</v>
      </c>
      <c r="F83" s="170">
        <v>180</v>
      </c>
    </row>
    <row r="84" spans="1:6" hidden="1" x14ac:dyDescent="0.25">
      <c r="A84" s="169">
        <v>43536</v>
      </c>
      <c r="B84" s="80" t="s">
        <v>814</v>
      </c>
      <c r="C84" s="80" t="s">
        <v>148</v>
      </c>
      <c r="D84" s="80" t="s">
        <v>141</v>
      </c>
      <c r="E84" s="80" t="s">
        <v>121</v>
      </c>
      <c r="F84" s="170">
        <v>180</v>
      </c>
    </row>
    <row r="85" spans="1:6" hidden="1" x14ac:dyDescent="0.25">
      <c r="A85" s="169">
        <v>43537</v>
      </c>
      <c r="B85" s="80" t="s">
        <v>828</v>
      </c>
      <c r="C85" s="80" t="s">
        <v>152</v>
      </c>
      <c r="D85" s="80" t="s">
        <v>141</v>
      </c>
      <c r="E85" s="80" t="s">
        <v>131</v>
      </c>
      <c r="F85" s="170">
        <v>180</v>
      </c>
    </row>
    <row r="86" spans="1:6" hidden="1" x14ac:dyDescent="0.25">
      <c r="A86" s="169">
        <v>43538</v>
      </c>
      <c r="B86" s="80" t="s">
        <v>835</v>
      </c>
      <c r="C86" s="80" t="s">
        <v>182</v>
      </c>
      <c r="D86" s="80" t="s">
        <v>141</v>
      </c>
      <c r="E86" s="80" t="s">
        <v>121</v>
      </c>
      <c r="F86" s="170">
        <v>180</v>
      </c>
    </row>
    <row r="87" spans="1:6" hidden="1" x14ac:dyDescent="0.25">
      <c r="A87" s="169">
        <v>43539</v>
      </c>
      <c r="B87" s="80" t="s">
        <v>845</v>
      </c>
      <c r="C87" s="80" t="s">
        <v>157</v>
      </c>
      <c r="D87" s="80" t="s">
        <v>141</v>
      </c>
      <c r="E87" s="80" t="s">
        <v>153</v>
      </c>
      <c r="F87" s="170">
        <v>180</v>
      </c>
    </row>
    <row r="88" spans="1:6" hidden="1" x14ac:dyDescent="0.25">
      <c r="A88" s="169">
        <v>43539</v>
      </c>
      <c r="B88" s="80" t="s">
        <v>849</v>
      </c>
      <c r="C88" s="80" t="s">
        <v>167</v>
      </c>
      <c r="D88" s="80" t="s">
        <v>141</v>
      </c>
      <c r="E88" s="80" t="s">
        <v>134</v>
      </c>
      <c r="F88" s="170">
        <v>180</v>
      </c>
    </row>
    <row r="89" spans="1:6" hidden="1" x14ac:dyDescent="0.25">
      <c r="A89" s="169">
        <v>43540</v>
      </c>
      <c r="B89" s="80" t="s">
        <v>869</v>
      </c>
      <c r="C89" s="80" t="s">
        <v>145</v>
      </c>
      <c r="D89" s="80" t="s">
        <v>141</v>
      </c>
      <c r="E89" s="80" t="s">
        <v>127</v>
      </c>
      <c r="F89" s="170">
        <v>180</v>
      </c>
    </row>
    <row r="90" spans="1:6" hidden="1" x14ac:dyDescent="0.25">
      <c r="A90" s="169">
        <v>43543</v>
      </c>
      <c r="B90" s="80" t="s">
        <v>888</v>
      </c>
      <c r="C90" s="80" t="s">
        <v>182</v>
      </c>
      <c r="D90" s="80" t="s">
        <v>141</v>
      </c>
      <c r="E90" s="80" t="s">
        <v>134</v>
      </c>
      <c r="F90" s="170">
        <v>180</v>
      </c>
    </row>
    <row r="91" spans="1:6" hidden="1" x14ac:dyDescent="0.25">
      <c r="A91" s="169">
        <v>43544</v>
      </c>
      <c r="B91" s="80" t="s">
        <v>892</v>
      </c>
      <c r="C91" s="80" t="s">
        <v>148</v>
      </c>
      <c r="D91" s="80" t="s">
        <v>141</v>
      </c>
      <c r="E91" s="80" t="s">
        <v>127</v>
      </c>
      <c r="F91" s="170">
        <v>180</v>
      </c>
    </row>
    <row r="92" spans="1:6" hidden="1" x14ac:dyDescent="0.25">
      <c r="A92" s="169">
        <v>43546</v>
      </c>
      <c r="B92" s="80" t="s">
        <v>904</v>
      </c>
      <c r="C92" s="80" t="s">
        <v>136</v>
      </c>
      <c r="D92" s="80" t="s">
        <v>141</v>
      </c>
      <c r="E92" s="80" t="s">
        <v>131</v>
      </c>
      <c r="F92" s="170">
        <v>180</v>
      </c>
    </row>
    <row r="93" spans="1:6" hidden="1" x14ac:dyDescent="0.25">
      <c r="A93" s="169">
        <v>43546</v>
      </c>
      <c r="B93" s="80" t="s">
        <v>912</v>
      </c>
      <c r="C93" s="80" t="s">
        <v>119</v>
      </c>
      <c r="D93" s="80" t="s">
        <v>141</v>
      </c>
      <c r="E93" s="80" t="s">
        <v>121</v>
      </c>
      <c r="F93" s="170">
        <v>180</v>
      </c>
    </row>
    <row r="94" spans="1:6" hidden="1" x14ac:dyDescent="0.25">
      <c r="A94" s="169">
        <v>43547</v>
      </c>
      <c r="B94" s="80" t="s">
        <v>916</v>
      </c>
      <c r="C94" s="80" t="s">
        <v>129</v>
      </c>
      <c r="D94" s="80" t="s">
        <v>141</v>
      </c>
      <c r="E94" s="80" t="s">
        <v>127</v>
      </c>
      <c r="F94" s="170">
        <v>180</v>
      </c>
    </row>
    <row r="95" spans="1:6" hidden="1" x14ac:dyDescent="0.25">
      <c r="A95" s="169">
        <v>43547</v>
      </c>
      <c r="B95" s="80" t="s">
        <v>922</v>
      </c>
      <c r="C95" s="80" t="s">
        <v>123</v>
      </c>
      <c r="D95" s="80" t="s">
        <v>141</v>
      </c>
      <c r="E95" s="80" t="s">
        <v>121</v>
      </c>
      <c r="F95" s="170">
        <v>180</v>
      </c>
    </row>
    <row r="96" spans="1:6" hidden="1" x14ac:dyDescent="0.25">
      <c r="A96" s="169">
        <v>43549</v>
      </c>
      <c r="B96" s="80" t="s">
        <v>943</v>
      </c>
      <c r="C96" s="80" t="s">
        <v>157</v>
      </c>
      <c r="D96" s="80" t="s">
        <v>141</v>
      </c>
      <c r="E96" s="80" t="s">
        <v>134</v>
      </c>
      <c r="F96" s="170">
        <v>180</v>
      </c>
    </row>
    <row r="97" spans="1:6" hidden="1" x14ac:dyDescent="0.25">
      <c r="A97" s="169">
        <v>43549</v>
      </c>
      <c r="B97" s="80" t="s">
        <v>946</v>
      </c>
      <c r="C97" s="80" t="s">
        <v>148</v>
      </c>
      <c r="D97" s="80" t="s">
        <v>141</v>
      </c>
      <c r="E97" s="80" t="s">
        <v>131</v>
      </c>
      <c r="F97" s="170">
        <v>180</v>
      </c>
    </row>
    <row r="98" spans="1:6" hidden="1" x14ac:dyDescent="0.25">
      <c r="A98" s="169">
        <v>43550</v>
      </c>
      <c r="B98" s="80" t="s">
        <v>950</v>
      </c>
      <c r="C98" s="80" t="s">
        <v>152</v>
      </c>
      <c r="D98" s="80" t="s">
        <v>141</v>
      </c>
      <c r="E98" s="80" t="s">
        <v>121</v>
      </c>
      <c r="F98" s="170">
        <v>180</v>
      </c>
    </row>
    <row r="99" spans="1:6" hidden="1" x14ac:dyDescent="0.25">
      <c r="A99" s="169">
        <v>43550</v>
      </c>
      <c r="B99" s="80" t="s">
        <v>952</v>
      </c>
      <c r="C99" s="80" t="s">
        <v>125</v>
      </c>
      <c r="D99" s="80" t="s">
        <v>141</v>
      </c>
      <c r="E99" s="80" t="s">
        <v>153</v>
      </c>
      <c r="F99" s="170">
        <v>180</v>
      </c>
    </row>
    <row r="100" spans="1:6" hidden="1" x14ac:dyDescent="0.25">
      <c r="A100" s="169">
        <v>43552</v>
      </c>
      <c r="B100" s="80" t="s">
        <v>969</v>
      </c>
      <c r="C100" s="80" t="s">
        <v>164</v>
      </c>
      <c r="D100" s="80" t="s">
        <v>141</v>
      </c>
      <c r="E100" s="80" t="s">
        <v>121</v>
      </c>
      <c r="F100" s="170">
        <v>180</v>
      </c>
    </row>
    <row r="101" spans="1:6" hidden="1" x14ac:dyDescent="0.25">
      <c r="A101" s="169">
        <v>43552</v>
      </c>
      <c r="B101" s="80" t="s">
        <v>974</v>
      </c>
      <c r="C101" s="80" t="s">
        <v>143</v>
      </c>
      <c r="D101" s="80" t="s">
        <v>141</v>
      </c>
      <c r="E101" s="80" t="s">
        <v>131</v>
      </c>
      <c r="F101" s="170">
        <v>180</v>
      </c>
    </row>
    <row r="102" spans="1:6" hidden="1" x14ac:dyDescent="0.25">
      <c r="A102" s="169">
        <v>43554</v>
      </c>
      <c r="B102" s="80" t="s">
        <v>981</v>
      </c>
      <c r="C102" s="80" t="s">
        <v>187</v>
      </c>
      <c r="D102" s="80" t="s">
        <v>141</v>
      </c>
      <c r="E102" s="80" t="s">
        <v>131</v>
      </c>
      <c r="F102" s="170">
        <v>180</v>
      </c>
    </row>
    <row r="103" spans="1:6" hidden="1" x14ac:dyDescent="0.25">
      <c r="A103" s="169">
        <v>43555</v>
      </c>
      <c r="B103" s="80" t="s">
        <v>999</v>
      </c>
      <c r="C103" s="80" t="s">
        <v>138</v>
      </c>
      <c r="D103" s="80" t="s">
        <v>141</v>
      </c>
      <c r="E103" s="80" t="s">
        <v>127</v>
      </c>
      <c r="F103" s="170">
        <v>180</v>
      </c>
    </row>
    <row r="104" spans="1:6" hidden="1" x14ac:dyDescent="0.25">
      <c r="A104" s="169">
        <v>43556</v>
      </c>
      <c r="B104" s="80" t="s">
        <v>1004</v>
      </c>
      <c r="C104" s="80" t="s">
        <v>187</v>
      </c>
      <c r="D104" s="80" t="s">
        <v>141</v>
      </c>
      <c r="E104" s="80" t="s">
        <v>131</v>
      </c>
      <c r="F104" s="170">
        <v>180</v>
      </c>
    </row>
    <row r="105" spans="1:6" hidden="1" x14ac:dyDescent="0.25">
      <c r="A105" s="169">
        <v>43556</v>
      </c>
      <c r="B105" s="80" t="s">
        <v>1008</v>
      </c>
      <c r="C105" s="80" t="s">
        <v>119</v>
      </c>
      <c r="D105" s="80" t="s">
        <v>141</v>
      </c>
      <c r="E105" s="80" t="s">
        <v>153</v>
      </c>
      <c r="F105" s="170">
        <v>180</v>
      </c>
    </row>
    <row r="106" spans="1:6" hidden="1" x14ac:dyDescent="0.25">
      <c r="A106" s="169">
        <v>43557</v>
      </c>
      <c r="B106" s="80" t="s">
        <v>1011</v>
      </c>
      <c r="C106" s="80" t="s">
        <v>152</v>
      </c>
      <c r="D106" s="80" t="s">
        <v>141</v>
      </c>
      <c r="E106" s="80" t="s">
        <v>153</v>
      </c>
      <c r="F106" s="170">
        <v>180</v>
      </c>
    </row>
    <row r="107" spans="1:6" hidden="1" x14ac:dyDescent="0.25">
      <c r="A107" s="169">
        <v>43557</v>
      </c>
      <c r="B107" s="80" t="s">
        <v>1012</v>
      </c>
      <c r="C107" s="80" t="s">
        <v>129</v>
      </c>
      <c r="D107" s="80" t="s">
        <v>141</v>
      </c>
      <c r="E107" s="80" t="s">
        <v>134</v>
      </c>
      <c r="F107" s="170">
        <v>180</v>
      </c>
    </row>
    <row r="108" spans="1:6" hidden="1" x14ac:dyDescent="0.25">
      <c r="A108" s="169">
        <v>43557</v>
      </c>
      <c r="B108" s="80" t="s">
        <v>1015</v>
      </c>
      <c r="C108" s="80" t="s">
        <v>223</v>
      </c>
      <c r="D108" s="80" t="s">
        <v>141</v>
      </c>
      <c r="E108" s="80" t="s">
        <v>127</v>
      </c>
      <c r="F108" s="170">
        <v>180</v>
      </c>
    </row>
    <row r="109" spans="1:6" hidden="1" x14ac:dyDescent="0.25">
      <c r="A109" s="169">
        <v>43557</v>
      </c>
      <c r="B109" s="80" t="s">
        <v>1020</v>
      </c>
      <c r="C109" s="80" t="s">
        <v>189</v>
      </c>
      <c r="D109" s="80" t="s">
        <v>141</v>
      </c>
      <c r="E109" s="80" t="s">
        <v>134</v>
      </c>
      <c r="F109" s="170">
        <v>180</v>
      </c>
    </row>
    <row r="110" spans="1:6" hidden="1" x14ac:dyDescent="0.25">
      <c r="A110" s="169">
        <v>43557</v>
      </c>
      <c r="B110" s="80" t="s">
        <v>1021</v>
      </c>
      <c r="C110" s="80" t="s">
        <v>129</v>
      </c>
      <c r="D110" s="80" t="s">
        <v>141</v>
      </c>
      <c r="E110" s="80" t="s">
        <v>121</v>
      </c>
      <c r="F110" s="170">
        <v>180</v>
      </c>
    </row>
    <row r="111" spans="1:6" hidden="1" x14ac:dyDescent="0.25">
      <c r="A111" s="169">
        <v>43557</v>
      </c>
      <c r="B111" s="80" t="s">
        <v>1023</v>
      </c>
      <c r="C111" s="80" t="s">
        <v>143</v>
      </c>
      <c r="D111" s="80" t="s">
        <v>141</v>
      </c>
      <c r="E111" s="80" t="s">
        <v>153</v>
      </c>
      <c r="F111" s="170">
        <v>180</v>
      </c>
    </row>
    <row r="112" spans="1:6" hidden="1" x14ac:dyDescent="0.25">
      <c r="A112" s="169">
        <v>43558</v>
      </c>
      <c r="B112" s="80" t="s">
        <v>1026</v>
      </c>
      <c r="C112" s="80" t="s">
        <v>189</v>
      </c>
      <c r="D112" s="80" t="s">
        <v>141</v>
      </c>
      <c r="E112" s="80" t="s">
        <v>153</v>
      </c>
      <c r="F112" s="170">
        <v>180</v>
      </c>
    </row>
    <row r="113" spans="1:6" hidden="1" x14ac:dyDescent="0.25">
      <c r="A113" s="169">
        <v>43561</v>
      </c>
      <c r="B113" s="80" t="s">
        <v>1062</v>
      </c>
      <c r="C113" s="80" t="s">
        <v>143</v>
      </c>
      <c r="D113" s="80" t="s">
        <v>141</v>
      </c>
      <c r="E113" s="80" t="s">
        <v>153</v>
      </c>
      <c r="F113" s="170">
        <v>180</v>
      </c>
    </row>
    <row r="114" spans="1:6" hidden="1" x14ac:dyDescent="0.25">
      <c r="A114" s="169">
        <v>43566</v>
      </c>
      <c r="B114" s="80" t="s">
        <v>1095</v>
      </c>
      <c r="C114" s="80" t="s">
        <v>136</v>
      </c>
      <c r="D114" s="80" t="s">
        <v>141</v>
      </c>
      <c r="E114" s="80" t="s">
        <v>131</v>
      </c>
      <c r="F114" s="170">
        <v>180</v>
      </c>
    </row>
    <row r="115" spans="1:6" hidden="1" x14ac:dyDescent="0.25">
      <c r="A115" s="169">
        <v>43566</v>
      </c>
      <c r="B115" s="80" t="s">
        <v>1100</v>
      </c>
      <c r="C115" s="80" t="s">
        <v>223</v>
      </c>
      <c r="D115" s="80" t="s">
        <v>141</v>
      </c>
      <c r="E115" s="80" t="s">
        <v>121</v>
      </c>
      <c r="F115" s="170">
        <v>180</v>
      </c>
    </row>
    <row r="116" spans="1:6" hidden="1" x14ac:dyDescent="0.25">
      <c r="A116" s="169">
        <v>43567</v>
      </c>
      <c r="B116" s="80" t="s">
        <v>1102</v>
      </c>
      <c r="C116" s="80" t="s">
        <v>223</v>
      </c>
      <c r="D116" s="80" t="s">
        <v>141</v>
      </c>
      <c r="E116" s="80" t="s">
        <v>134</v>
      </c>
      <c r="F116" s="170">
        <v>180</v>
      </c>
    </row>
    <row r="117" spans="1:6" hidden="1" x14ac:dyDescent="0.25">
      <c r="A117" s="169">
        <v>43567</v>
      </c>
      <c r="B117" s="80" t="s">
        <v>1106</v>
      </c>
      <c r="C117" s="80" t="s">
        <v>119</v>
      </c>
      <c r="D117" s="80" t="s">
        <v>141</v>
      </c>
      <c r="E117" s="80" t="s">
        <v>127</v>
      </c>
      <c r="F117" s="170">
        <v>180</v>
      </c>
    </row>
    <row r="118" spans="1:6" hidden="1" x14ac:dyDescent="0.25">
      <c r="A118" s="169">
        <v>43568</v>
      </c>
      <c r="B118" s="80" t="s">
        <v>1112</v>
      </c>
      <c r="C118" s="80" t="s">
        <v>138</v>
      </c>
      <c r="D118" s="80" t="s">
        <v>141</v>
      </c>
      <c r="E118" s="80" t="s">
        <v>127</v>
      </c>
      <c r="F118" s="170">
        <v>180</v>
      </c>
    </row>
    <row r="119" spans="1:6" hidden="1" x14ac:dyDescent="0.25">
      <c r="A119" s="169">
        <v>43568</v>
      </c>
      <c r="B119" s="80" t="s">
        <v>1122</v>
      </c>
      <c r="C119" s="80" t="s">
        <v>143</v>
      </c>
      <c r="D119" s="80" t="s">
        <v>141</v>
      </c>
      <c r="E119" s="80" t="s">
        <v>134</v>
      </c>
      <c r="F119" s="170">
        <v>180</v>
      </c>
    </row>
    <row r="120" spans="1:6" hidden="1" x14ac:dyDescent="0.25">
      <c r="A120" s="169">
        <v>43570</v>
      </c>
      <c r="B120" s="80" t="s">
        <v>1135</v>
      </c>
      <c r="C120" s="80" t="s">
        <v>182</v>
      </c>
      <c r="D120" s="80" t="s">
        <v>141</v>
      </c>
      <c r="E120" s="80" t="s">
        <v>134</v>
      </c>
      <c r="F120" s="170">
        <v>180</v>
      </c>
    </row>
    <row r="121" spans="1:6" hidden="1" x14ac:dyDescent="0.25">
      <c r="A121" s="169">
        <v>43570</v>
      </c>
      <c r="B121" s="80" t="s">
        <v>1139</v>
      </c>
      <c r="C121" s="80" t="s">
        <v>189</v>
      </c>
      <c r="D121" s="80" t="s">
        <v>141</v>
      </c>
      <c r="E121" s="80" t="s">
        <v>153</v>
      </c>
      <c r="F121" s="170">
        <v>180</v>
      </c>
    </row>
    <row r="122" spans="1:6" hidden="1" x14ac:dyDescent="0.25">
      <c r="A122" s="169">
        <v>43570</v>
      </c>
      <c r="B122" s="80" t="s">
        <v>1140</v>
      </c>
      <c r="C122" s="80" t="s">
        <v>143</v>
      </c>
      <c r="D122" s="80" t="s">
        <v>141</v>
      </c>
      <c r="E122" s="80" t="s">
        <v>121</v>
      </c>
      <c r="F122" s="170">
        <v>180</v>
      </c>
    </row>
    <row r="123" spans="1:6" hidden="1" x14ac:dyDescent="0.25">
      <c r="A123" s="169">
        <v>43571</v>
      </c>
      <c r="B123" s="80" t="s">
        <v>1151</v>
      </c>
      <c r="C123" s="80" t="s">
        <v>125</v>
      </c>
      <c r="D123" s="80" t="s">
        <v>141</v>
      </c>
      <c r="E123" s="80" t="s">
        <v>127</v>
      </c>
      <c r="F123" s="170">
        <v>180</v>
      </c>
    </row>
    <row r="124" spans="1:6" hidden="1" x14ac:dyDescent="0.25">
      <c r="A124" s="169">
        <v>43572</v>
      </c>
      <c r="B124" s="80" t="s">
        <v>1157</v>
      </c>
      <c r="C124" s="80" t="s">
        <v>136</v>
      </c>
      <c r="D124" s="80" t="s">
        <v>141</v>
      </c>
      <c r="E124" s="80" t="s">
        <v>134</v>
      </c>
      <c r="F124" s="170">
        <v>180</v>
      </c>
    </row>
    <row r="125" spans="1:6" hidden="1" x14ac:dyDescent="0.25">
      <c r="A125" s="169">
        <v>43572</v>
      </c>
      <c r="B125" s="80" t="s">
        <v>1161</v>
      </c>
      <c r="C125" s="80" t="s">
        <v>164</v>
      </c>
      <c r="D125" s="80" t="s">
        <v>141</v>
      </c>
      <c r="E125" s="80" t="s">
        <v>127</v>
      </c>
      <c r="F125" s="170">
        <v>180</v>
      </c>
    </row>
    <row r="126" spans="1:6" hidden="1" x14ac:dyDescent="0.25">
      <c r="A126" s="169">
        <v>43574</v>
      </c>
      <c r="B126" s="80" t="s">
        <v>1180</v>
      </c>
      <c r="C126" s="80" t="s">
        <v>138</v>
      </c>
      <c r="D126" s="80" t="s">
        <v>141</v>
      </c>
      <c r="E126" s="80" t="s">
        <v>127</v>
      </c>
      <c r="F126" s="170">
        <v>180</v>
      </c>
    </row>
    <row r="127" spans="1:6" hidden="1" x14ac:dyDescent="0.25">
      <c r="A127" s="169">
        <v>43575</v>
      </c>
      <c r="B127" s="80" t="s">
        <v>1189</v>
      </c>
      <c r="C127" s="80" t="s">
        <v>129</v>
      </c>
      <c r="D127" s="80" t="s">
        <v>141</v>
      </c>
      <c r="E127" s="80" t="s">
        <v>153</v>
      </c>
      <c r="F127" s="170">
        <v>180</v>
      </c>
    </row>
    <row r="128" spans="1:6" hidden="1" x14ac:dyDescent="0.25">
      <c r="A128" s="169">
        <v>43576</v>
      </c>
      <c r="B128" s="80" t="s">
        <v>1194</v>
      </c>
      <c r="C128" s="80" t="s">
        <v>187</v>
      </c>
      <c r="D128" s="80" t="s">
        <v>141</v>
      </c>
      <c r="E128" s="80" t="s">
        <v>153</v>
      </c>
      <c r="F128" s="170">
        <v>180</v>
      </c>
    </row>
    <row r="129" spans="1:6" hidden="1" x14ac:dyDescent="0.25">
      <c r="A129" s="169">
        <v>43577</v>
      </c>
      <c r="B129" s="80" t="s">
        <v>1202</v>
      </c>
      <c r="C129" s="80" t="s">
        <v>129</v>
      </c>
      <c r="D129" s="80" t="s">
        <v>141</v>
      </c>
      <c r="E129" s="80" t="s">
        <v>127</v>
      </c>
      <c r="F129" s="170">
        <v>180</v>
      </c>
    </row>
    <row r="130" spans="1:6" hidden="1" x14ac:dyDescent="0.25">
      <c r="A130" s="169">
        <v>43580</v>
      </c>
      <c r="B130" s="80" t="s">
        <v>1225</v>
      </c>
      <c r="C130" s="80" t="s">
        <v>125</v>
      </c>
      <c r="D130" s="80" t="s">
        <v>141</v>
      </c>
      <c r="E130" s="80" t="s">
        <v>121</v>
      </c>
      <c r="F130" s="170">
        <v>180</v>
      </c>
    </row>
    <row r="131" spans="1:6" hidden="1" x14ac:dyDescent="0.25">
      <c r="A131" s="169">
        <v>43580</v>
      </c>
      <c r="B131" s="80" t="s">
        <v>1233</v>
      </c>
      <c r="C131" s="80" t="s">
        <v>148</v>
      </c>
      <c r="D131" s="80" t="s">
        <v>141</v>
      </c>
      <c r="E131" s="80" t="s">
        <v>121</v>
      </c>
      <c r="F131" s="170">
        <v>180</v>
      </c>
    </row>
    <row r="132" spans="1:6" hidden="1" x14ac:dyDescent="0.25">
      <c r="A132" s="169">
        <v>43580</v>
      </c>
      <c r="B132" s="80" t="s">
        <v>1235</v>
      </c>
      <c r="C132" s="80" t="s">
        <v>123</v>
      </c>
      <c r="D132" s="80" t="s">
        <v>141</v>
      </c>
      <c r="E132" s="80" t="s">
        <v>127</v>
      </c>
      <c r="F132" s="170">
        <v>180</v>
      </c>
    </row>
    <row r="133" spans="1:6" hidden="1" x14ac:dyDescent="0.25">
      <c r="A133" s="169">
        <v>43580</v>
      </c>
      <c r="B133" s="80" t="s">
        <v>1236</v>
      </c>
      <c r="C133" s="80" t="s">
        <v>164</v>
      </c>
      <c r="D133" s="80" t="s">
        <v>141</v>
      </c>
      <c r="E133" s="80" t="s">
        <v>153</v>
      </c>
      <c r="F133" s="170">
        <v>180</v>
      </c>
    </row>
    <row r="134" spans="1:6" hidden="1" x14ac:dyDescent="0.25">
      <c r="A134" s="169">
        <v>43582</v>
      </c>
      <c r="B134" s="80" t="s">
        <v>1246</v>
      </c>
      <c r="C134" s="80" t="s">
        <v>164</v>
      </c>
      <c r="D134" s="80" t="s">
        <v>141</v>
      </c>
      <c r="E134" s="80" t="s">
        <v>127</v>
      </c>
      <c r="F134" s="170">
        <v>180</v>
      </c>
    </row>
    <row r="135" spans="1:6" hidden="1" x14ac:dyDescent="0.25">
      <c r="A135" s="169">
        <v>43582</v>
      </c>
      <c r="B135" s="80" t="s">
        <v>1253</v>
      </c>
      <c r="C135" s="80" t="s">
        <v>164</v>
      </c>
      <c r="D135" s="80" t="s">
        <v>141</v>
      </c>
      <c r="E135" s="80" t="s">
        <v>153</v>
      </c>
      <c r="F135" s="170">
        <v>180</v>
      </c>
    </row>
    <row r="136" spans="1:6" hidden="1" x14ac:dyDescent="0.25">
      <c r="A136" s="169">
        <v>43583</v>
      </c>
      <c r="B136" s="80" t="s">
        <v>1257</v>
      </c>
      <c r="C136" s="80" t="s">
        <v>167</v>
      </c>
      <c r="D136" s="80" t="s">
        <v>141</v>
      </c>
      <c r="E136" s="80" t="s">
        <v>131</v>
      </c>
      <c r="F136" s="170">
        <v>180</v>
      </c>
    </row>
    <row r="137" spans="1:6" hidden="1" x14ac:dyDescent="0.25">
      <c r="A137" s="169">
        <v>43583</v>
      </c>
      <c r="B137" s="80" t="s">
        <v>1261</v>
      </c>
      <c r="C137" s="80" t="s">
        <v>143</v>
      </c>
      <c r="D137" s="80" t="s">
        <v>141</v>
      </c>
      <c r="E137" s="80" t="s">
        <v>131</v>
      </c>
      <c r="F137" s="170">
        <v>180</v>
      </c>
    </row>
    <row r="138" spans="1:6" hidden="1" x14ac:dyDescent="0.25">
      <c r="A138" s="169">
        <v>43583</v>
      </c>
      <c r="B138" s="80" t="s">
        <v>1263</v>
      </c>
      <c r="C138" s="80" t="s">
        <v>187</v>
      </c>
      <c r="D138" s="80" t="s">
        <v>141</v>
      </c>
      <c r="E138" s="80" t="s">
        <v>131</v>
      </c>
      <c r="F138" s="170">
        <v>180</v>
      </c>
    </row>
    <row r="139" spans="1:6" hidden="1" x14ac:dyDescent="0.25">
      <c r="A139" s="169">
        <v>43586</v>
      </c>
      <c r="B139" s="80" t="s">
        <v>1283</v>
      </c>
      <c r="C139" s="80" t="s">
        <v>164</v>
      </c>
      <c r="D139" s="80" t="s">
        <v>141</v>
      </c>
      <c r="E139" s="80" t="s">
        <v>127</v>
      </c>
      <c r="F139" s="170">
        <v>180</v>
      </c>
    </row>
    <row r="140" spans="1:6" hidden="1" x14ac:dyDescent="0.25">
      <c r="A140" s="169">
        <v>43587</v>
      </c>
      <c r="B140" s="80" t="s">
        <v>1294</v>
      </c>
      <c r="C140" s="80" t="s">
        <v>148</v>
      </c>
      <c r="D140" s="80" t="s">
        <v>141</v>
      </c>
      <c r="E140" s="80" t="s">
        <v>127</v>
      </c>
      <c r="F140" s="170">
        <v>180</v>
      </c>
    </row>
    <row r="141" spans="1:6" hidden="1" x14ac:dyDescent="0.25">
      <c r="A141" s="169">
        <v>43588</v>
      </c>
      <c r="B141" s="80" t="s">
        <v>1309</v>
      </c>
      <c r="C141" s="80" t="s">
        <v>138</v>
      </c>
      <c r="D141" s="80" t="s">
        <v>141</v>
      </c>
      <c r="E141" s="80" t="s">
        <v>127</v>
      </c>
      <c r="F141" s="170">
        <v>180</v>
      </c>
    </row>
    <row r="142" spans="1:6" hidden="1" x14ac:dyDescent="0.25">
      <c r="A142" s="169">
        <v>43588</v>
      </c>
      <c r="B142" s="80" t="s">
        <v>1312</v>
      </c>
      <c r="C142" s="80" t="s">
        <v>119</v>
      </c>
      <c r="D142" s="80" t="s">
        <v>141</v>
      </c>
      <c r="E142" s="80" t="s">
        <v>134</v>
      </c>
      <c r="F142" s="170">
        <v>180</v>
      </c>
    </row>
    <row r="143" spans="1:6" hidden="1" x14ac:dyDescent="0.25">
      <c r="A143" s="169">
        <v>43589</v>
      </c>
      <c r="B143" s="80" t="s">
        <v>1318</v>
      </c>
      <c r="C143" s="80" t="s">
        <v>157</v>
      </c>
      <c r="D143" s="80" t="s">
        <v>141</v>
      </c>
      <c r="E143" s="80" t="s">
        <v>131</v>
      </c>
      <c r="F143" s="170">
        <v>180</v>
      </c>
    </row>
    <row r="144" spans="1:6" hidden="1" x14ac:dyDescent="0.25">
      <c r="A144" s="169">
        <v>43589</v>
      </c>
      <c r="B144" s="80" t="s">
        <v>1323</v>
      </c>
      <c r="C144" s="80" t="s">
        <v>145</v>
      </c>
      <c r="D144" s="80" t="s">
        <v>141</v>
      </c>
      <c r="E144" s="80" t="s">
        <v>131</v>
      </c>
      <c r="F144" s="170">
        <v>180</v>
      </c>
    </row>
    <row r="145" spans="1:6" hidden="1" x14ac:dyDescent="0.25">
      <c r="A145" s="169">
        <v>43589</v>
      </c>
      <c r="B145" s="80" t="s">
        <v>1324</v>
      </c>
      <c r="C145" s="80" t="s">
        <v>223</v>
      </c>
      <c r="D145" s="80" t="s">
        <v>141</v>
      </c>
      <c r="E145" s="80" t="s">
        <v>131</v>
      </c>
      <c r="F145" s="170">
        <v>180</v>
      </c>
    </row>
    <row r="146" spans="1:6" hidden="1" x14ac:dyDescent="0.25">
      <c r="A146" s="169">
        <v>43590</v>
      </c>
      <c r="B146" s="80" t="s">
        <v>1331</v>
      </c>
      <c r="C146" s="80" t="s">
        <v>119</v>
      </c>
      <c r="D146" s="80" t="s">
        <v>141</v>
      </c>
      <c r="E146" s="80" t="s">
        <v>127</v>
      </c>
      <c r="F146" s="170">
        <v>180</v>
      </c>
    </row>
    <row r="147" spans="1:6" hidden="1" x14ac:dyDescent="0.25">
      <c r="A147" s="169">
        <v>43591</v>
      </c>
      <c r="B147" s="80" t="s">
        <v>1345</v>
      </c>
      <c r="C147" s="80" t="s">
        <v>129</v>
      </c>
      <c r="D147" s="80" t="s">
        <v>141</v>
      </c>
      <c r="E147" s="80" t="s">
        <v>121</v>
      </c>
      <c r="F147" s="170">
        <v>180</v>
      </c>
    </row>
    <row r="148" spans="1:6" hidden="1" x14ac:dyDescent="0.25">
      <c r="A148" s="169">
        <v>43593</v>
      </c>
      <c r="B148" s="80" t="s">
        <v>1361</v>
      </c>
      <c r="C148" s="80" t="s">
        <v>119</v>
      </c>
      <c r="D148" s="80" t="s">
        <v>141</v>
      </c>
      <c r="E148" s="80" t="s">
        <v>131</v>
      </c>
      <c r="F148" s="170">
        <v>180</v>
      </c>
    </row>
    <row r="149" spans="1:6" hidden="1" x14ac:dyDescent="0.25">
      <c r="A149" s="169">
        <v>43598</v>
      </c>
      <c r="B149" s="80" t="s">
        <v>1407</v>
      </c>
      <c r="C149" s="80" t="s">
        <v>223</v>
      </c>
      <c r="D149" s="80" t="s">
        <v>141</v>
      </c>
      <c r="E149" s="80" t="s">
        <v>134</v>
      </c>
      <c r="F149" s="170">
        <v>180</v>
      </c>
    </row>
    <row r="150" spans="1:6" hidden="1" x14ac:dyDescent="0.25">
      <c r="A150" s="169">
        <v>43599</v>
      </c>
      <c r="B150" s="80" t="s">
        <v>1423</v>
      </c>
      <c r="C150" s="80" t="s">
        <v>223</v>
      </c>
      <c r="D150" s="80" t="s">
        <v>141</v>
      </c>
      <c r="E150" s="80" t="s">
        <v>131</v>
      </c>
      <c r="F150" s="170">
        <v>180</v>
      </c>
    </row>
    <row r="151" spans="1:6" hidden="1" x14ac:dyDescent="0.25">
      <c r="A151" s="169">
        <v>43600</v>
      </c>
      <c r="B151" s="80" t="s">
        <v>1425</v>
      </c>
      <c r="C151" s="80" t="s">
        <v>119</v>
      </c>
      <c r="D151" s="80" t="s">
        <v>141</v>
      </c>
      <c r="E151" s="80" t="s">
        <v>153</v>
      </c>
      <c r="F151" s="170">
        <v>180</v>
      </c>
    </row>
    <row r="152" spans="1:6" hidden="1" x14ac:dyDescent="0.25">
      <c r="A152" s="169">
        <v>43600</v>
      </c>
      <c r="B152" s="80" t="s">
        <v>1427</v>
      </c>
      <c r="C152" s="80" t="s">
        <v>138</v>
      </c>
      <c r="D152" s="80" t="s">
        <v>141</v>
      </c>
      <c r="E152" s="80" t="s">
        <v>153</v>
      </c>
      <c r="F152" s="170">
        <v>180</v>
      </c>
    </row>
    <row r="153" spans="1:6" hidden="1" x14ac:dyDescent="0.25">
      <c r="A153" s="169">
        <v>43600</v>
      </c>
      <c r="B153" s="80" t="s">
        <v>1429</v>
      </c>
      <c r="C153" s="80" t="s">
        <v>152</v>
      </c>
      <c r="D153" s="80" t="s">
        <v>141</v>
      </c>
      <c r="E153" s="80" t="s">
        <v>121</v>
      </c>
      <c r="F153" s="170">
        <v>180</v>
      </c>
    </row>
    <row r="154" spans="1:6" hidden="1" x14ac:dyDescent="0.25">
      <c r="A154" s="169">
        <v>43600</v>
      </c>
      <c r="B154" s="80" t="s">
        <v>1433</v>
      </c>
      <c r="C154" s="80" t="s">
        <v>164</v>
      </c>
      <c r="D154" s="80" t="s">
        <v>141</v>
      </c>
      <c r="E154" s="80" t="s">
        <v>131</v>
      </c>
      <c r="F154" s="170">
        <v>180</v>
      </c>
    </row>
    <row r="155" spans="1:6" hidden="1" x14ac:dyDescent="0.25">
      <c r="A155" s="169">
        <v>43600</v>
      </c>
      <c r="B155" s="80" t="s">
        <v>1435</v>
      </c>
      <c r="C155" s="80" t="s">
        <v>187</v>
      </c>
      <c r="D155" s="80" t="s">
        <v>141</v>
      </c>
      <c r="E155" s="80" t="s">
        <v>131</v>
      </c>
      <c r="F155" s="170">
        <v>180</v>
      </c>
    </row>
    <row r="156" spans="1:6" hidden="1" x14ac:dyDescent="0.25">
      <c r="A156" s="169">
        <v>43601</v>
      </c>
      <c r="B156" s="80" t="s">
        <v>1436</v>
      </c>
      <c r="C156" s="80" t="s">
        <v>187</v>
      </c>
      <c r="D156" s="80" t="s">
        <v>141</v>
      </c>
      <c r="E156" s="80" t="s">
        <v>153</v>
      </c>
      <c r="F156" s="170">
        <v>180</v>
      </c>
    </row>
    <row r="157" spans="1:6" hidden="1" x14ac:dyDescent="0.25">
      <c r="A157" s="169">
        <v>43602</v>
      </c>
      <c r="B157" s="80" t="s">
        <v>1451</v>
      </c>
      <c r="C157" s="80" t="s">
        <v>189</v>
      </c>
      <c r="D157" s="80" t="s">
        <v>141</v>
      </c>
      <c r="E157" s="80" t="s">
        <v>121</v>
      </c>
      <c r="F157" s="170">
        <v>180</v>
      </c>
    </row>
    <row r="158" spans="1:6" hidden="1" x14ac:dyDescent="0.25">
      <c r="A158" s="169">
        <v>43603</v>
      </c>
      <c r="B158" s="80" t="s">
        <v>1456</v>
      </c>
      <c r="C158" s="80" t="s">
        <v>129</v>
      </c>
      <c r="D158" s="80" t="s">
        <v>141</v>
      </c>
      <c r="E158" s="80" t="s">
        <v>134</v>
      </c>
      <c r="F158" s="170">
        <v>180</v>
      </c>
    </row>
    <row r="159" spans="1:6" hidden="1" x14ac:dyDescent="0.25">
      <c r="A159" s="169">
        <v>43603</v>
      </c>
      <c r="B159" s="80" t="s">
        <v>1464</v>
      </c>
      <c r="C159" s="80" t="s">
        <v>123</v>
      </c>
      <c r="D159" s="80" t="s">
        <v>141</v>
      </c>
      <c r="E159" s="80" t="s">
        <v>153</v>
      </c>
      <c r="F159" s="170">
        <v>180</v>
      </c>
    </row>
    <row r="160" spans="1:6" hidden="1" x14ac:dyDescent="0.25">
      <c r="A160" s="169">
        <v>43603</v>
      </c>
      <c r="B160" s="80" t="s">
        <v>1466</v>
      </c>
      <c r="C160" s="80" t="s">
        <v>148</v>
      </c>
      <c r="D160" s="80" t="s">
        <v>141</v>
      </c>
      <c r="E160" s="80" t="s">
        <v>127</v>
      </c>
      <c r="F160" s="170">
        <v>180</v>
      </c>
    </row>
    <row r="161" spans="1:6" hidden="1" x14ac:dyDescent="0.25">
      <c r="A161" s="169">
        <v>43604</v>
      </c>
      <c r="B161" s="80" t="s">
        <v>1475</v>
      </c>
      <c r="C161" s="80" t="s">
        <v>119</v>
      </c>
      <c r="D161" s="80" t="s">
        <v>141</v>
      </c>
      <c r="E161" s="80" t="s">
        <v>127</v>
      </c>
      <c r="F161" s="170">
        <v>180</v>
      </c>
    </row>
    <row r="162" spans="1:6" hidden="1" x14ac:dyDescent="0.25">
      <c r="A162" s="169">
        <v>43604</v>
      </c>
      <c r="B162" s="80" t="s">
        <v>1477</v>
      </c>
      <c r="C162" s="80" t="s">
        <v>143</v>
      </c>
      <c r="D162" s="80" t="s">
        <v>141</v>
      </c>
      <c r="E162" s="80" t="s">
        <v>127</v>
      </c>
      <c r="F162" s="170">
        <v>180</v>
      </c>
    </row>
    <row r="163" spans="1:6" hidden="1" x14ac:dyDescent="0.25">
      <c r="A163" s="169">
        <v>43606</v>
      </c>
      <c r="B163" s="80" t="s">
        <v>1498</v>
      </c>
      <c r="C163" s="80" t="s">
        <v>119</v>
      </c>
      <c r="D163" s="80" t="s">
        <v>141</v>
      </c>
      <c r="E163" s="80" t="s">
        <v>153</v>
      </c>
      <c r="F163" s="170">
        <v>180</v>
      </c>
    </row>
    <row r="164" spans="1:6" hidden="1" x14ac:dyDescent="0.25">
      <c r="A164" s="169">
        <v>43608</v>
      </c>
      <c r="B164" s="80" t="s">
        <v>1522</v>
      </c>
      <c r="C164" s="80" t="s">
        <v>129</v>
      </c>
      <c r="D164" s="80" t="s">
        <v>141</v>
      </c>
      <c r="E164" s="80" t="s">
        <v>131</v>
      </c>
      <c r="F164" s="170">
        <v>180</v>
      </c>
    </row>
    <row r="165" spans="1:6" hidden="1" x14ac:dyDescent="0.25">
      <c r="A165" s="169">
        <v>43608</v>
      </c>
      <c r="B165" s="80" t="s">
        <v>1530</v>
      </c>
      <c r="C165" s="80" t="s">
        <v>187</v>
      </c>
      <c r="D165" s="80" t="s">
        <v>141</v>
      </c>
      <c r="E165" s="80" t="s">
        <v>127</v>
      </c>
      <c r="F165" s="170">
        <v>180</v>
      </c>
    </row>
    <row r="166" spans="1:6" hidden="1" x14ac:dyDescent="0.25">
      <c r="A166" s="169">
        <v>43609</v>
      </c>
      <c r="B166" s="80" t="s">
        <v>1540</v>
      </c>
      <c r="C166" s="80" t="s">
        <v>223</v>
      </c>
      <c r="D166" s="80" t="s">
        <v>141</v>
      </c>
      <c r="E166" s="80" t="s">
        <v>127</v>
      </c>
      <c r="F166" s="170">
        <v>180</v>
      </c>
    </row>
    <row r="167" spans="1:6" hidden="1" x14ac:dyDescent="0.25">
      <c r="A167" s="169">
        <v>43611</v>
      </c>
      <c r="B167" s="80" t="s">
        <v>1552</v>
      </c>
      <c r="C167" s="80" t="s">
        <v>152</v>
      </c>
      <c r="D167" s="80" t="s">
        <v>141</v>
      </c>
      <c r="E167" s="80" t="s">
        <v>127</v>
      </c>
      <c r="F167" s="170">
        <v>180</v>
      </c>
    </row>
    <row r="168" spans="1:6" hidden="1" x14ac:dyDescent="0.25">
      <c r="A168" s="169">
        <v>43611</v>
      </c>
      <c r="B168" s="80" t="s">
        <v>1560</v>
      </c>
      <c r="C168" s="80" t="s">
        <v>189</v>
      </c>
      <c r="D168" s="80" t="s">
        <v>141</v>
      </c>
      <c r="E168" s="80" t="s">
        <v>134</v>
      </c>
      <c r="F168" s="170">
        <v>180</v>
      </c>
    </row>
    <row r="169" spans="1:6" hidden="1" x14ac:dyDescent="0.25">
      <c r="A169" s="169">
        <v>43613</v>
      </c>
      <c r="B169" s="80" t="s">
        <v>1574</v>
      </c>
      <c r="C169" s="80" t="s">
        <v>125</v>
      </c>
      <c r="D169" s="80" t="s">
        <v>141</v>
      </c>
      <c r="E169" s="80" t="s">
        <v>131</v>
      </c>
      <c r="F169" s="170">
        <v>180</v>
      </c>
    </row>
    <row r="170" spans="1:6" hidden="1" x14ac:dyDescent="0.25">
      <c r="A170" s="169">
        <v>43614</v>
      </c>
      <c r="B170" s="80" t="s">
        <v>1586</v>
      </c>
      <c r="C170" s="80" t="s">
        <v>148</v>
      </c>
      <c r="D170" s="80" t="s">
        <v>141</v>
      </c>
      <c r="E170" s="80" t="s">
        <v>121</v>
      </c>
      <c r="F170" s="170">
        <v>180</v>
      </c>
    </row>
    <row r="171" spans="1:6" hidden="1" x14ac:dyDescent="0.25">
      <c r="A171" s="169">
        <v>43614</v>
      </c>
      <c r="B171" s="80" t="s">
        <v>1587</v>
      </c>
      <c r="C171" s="80" t="s">
        <v>119</v>
      </c>
      <c r="D171" s="80" t="s">
        <v>141</v>
      </c>
      <c r="E171" s="80" t="s">
        <v>121</v>
      </c>
      <c r="F171" s="170">
        <v>180</v>
      </c>
    </row>
    <row r="172" spans="1:6" hidden="1" x14ac:dyDescent="0.25">
      <c r="A172" s="169">
        <v>43615</v>
      </c>
      <c r="B172" s="80" t="s">
        <v>1602</v>
      </c>
      <c r="C172" s="80" t="s">
        <v>152</v>
      </c>
      <c r="D172" s="80" t="s">
        <v>141</v>
      </c>
      <c r="E172" s="80" t="s">
        <v>121</v>
      </c>
      <c r="F172" s="170">
        <v>180</v>
      </c>
    </row>
    <row r="173" spans="1:6" hidden="1" x14ac:dyDescent="0.25">
      <c r="A173" s="169">
        <v>43615</v>
      </c>
      <c r="B173" s="80" t="s">
        <v>1603</v>
      </c>
      <c r="C173" s="80" t="s">
        <v>223</v>
      </c>
      <c r="D173" s="80" t="s">
        <v>141</v>
      </c>
      <c r="E173" s="80" t="s">
        <v>153</v>
      </c>
      <c r="F173" s="170">
        <v>180</v>
      </c>
    </row>
    <row r="174" spans="1:6" hidden="1" x14ac:dyDescent="0.25">
      <c r="A174" s="169">
        <v>43618</v>
      </c>
      <c r="B174" s="80" t="s">
        <v>1621</v>
      </c>
      <c r="C174" s="80" t="s">
        <v>119</v>
      </c>
      <c r="D174" s="80" t="s">
        <v>141</v>
      </c>
      <c r="E174" s="80" t="s">
        <v>127</v>
      </c>
      <c r="F174" s="170">
        <v>180</v>
      </c>
    </row>
    <row r="175" spans="1:6" hidden="1" x14ac:dyDescent="0.25">
      <c r="A175" s="169">
        <v>43618</v>
      </c>
      <c r="B175" s="80" t="s">
        <v>1624</v>
      </c>
      <c r="C175" s="80" t="s">
        <v>164</v>
      </c>
      <c r="D175" s="80" t="s">
        <v>141</v>
      </c>
      <c r="E175" s="80" t="s">
        <v>127</v>
      </c>
      <c r="F175" s="170">
        <v>180</v>
      </c>
    </row>
    <row r="176" spans="1:6" hidden="1" x14ac:dyDescent="0.25">
      <c r="A176" s="169">
        <v>43619</v>
      </c>
      <c r="B176" s="80" t="s">
        <v>1630</v>
      </c>
      <c r="C176" s="80" t="s">
        <v>189</v>
      </c>
      <c r="D176" s="80" t="s">
        <v>141</v>
      </c>
      <c r="E176" s="80" t="s">
        <v>127</v>
      </c>
      <c r="F176" s="170">
        <v>180</v>
      </c>
    </row>
    <row r="177" spans="1:6" hidden="1" x14ac:dyDescent="0.25">
      <c r="A177" s="169">
        <v>43619</v>
      </c>
      <c r="B177" s="80" t="s">
        <v>1631</v>
      </c>
      <c r="C177" s="80" t="s">
        <v>143</v>
      </c>
      <c r="D177" s="80" t="s">
        <v>141</v>
      </c>
      <c r="E177" s="80" t="s">
        <v>134</v>
      </c>
      <c r="F177" s="170">
        <v>180</v>
      </c>
    </row>
    <row r="178" spans="1:6" hidden="1" x14ac:dyDescent="0.25">
      <c r="A178" s="169">
        <v>43619</v>
      </c>
      <c r="B178" s="80" t="s">
        <v>1633</v>
      </c>
      <c r="C178" s="80" t="s">
        <v>152</v>
      </c>
      <c r="D178" s="80" t="s">
        <v>141</v>
      </c>
      <c r="E178" s="80" t="s">
        <v>134</v>
      </c>
      <c r="F178" s="170">
        <v>180</v>
      </c>
    </row>
    <row r="179" spans="1:6" hidden="1" x14ac:dyDescent="0.25">
      <c r="A179" s="169">
        <v>43619</v>
      </c>
      <c r="B179" s="80" t="s">
        <v>1636</v>
      </c>
      <c r="C179" s="80" t="s">
        <v>129</v>
      </c>
      <c r="D179" s="80" t="s">
        <v>141</v>
      </c>
      <c r="E179" s="80" t="s">
        <v>131</v>
      </c>
      <c r="F179" s="170">
        <v>180</v>
      </c>
    </row>
    <row r="180" spans="1:6" hidden="1" x14ac:dyDescent="0.25">
      <c r="A180" s="169">
        <v>43621</v>
      </c>
      <c r="B180" s="80" t="s">
        <v>1652</v>
      </c>
      <c r="C180" s="80" t="s">
        <v>143</v>
      </c>
      <c r="D180" s="80" t="s">
        <v>141</v>
      </c>
      <c r="E180" s="80" t="s">
        <v>131</v>
      </c>
      <c r="F180" s="170">
        <v>180</v>
      </c>
    </row>
    <row r="181" spans="1:6" hidden="1" x14ac:dyDescent="0.25">
      <c r="A181" s="169">
        <v>43622</v>
      </c>
      <c r="B181" s="80" t="s">
        <v>1662</v>
      </c>
      <c r="C181" s="80" t="s">
        <v>189</v>
      </c>
      <c r="D181" s="80" t="s">
        <v>141</v>
      </c>
      <c r="E181" s="80" t="s">
        <v>121</v>
      </c>
      <c r="F181" s="170">
        <v>180</v>
      </c>
    </row>
    <row r="182" spans="1:6" hidden="1" x14ac:dyDescent="0.25">
      <c r="A182" s="169">
        <v>43624</v>
      </c>
      <c r="B182" s="80" t="s">
        <v>1683</v>
      </c>
      <c r="C182" s="80" t="s">
        <v>125</v>
      </c>
      <c r="D182" s="80" t="s">
        <v>141</v>
      </c>
      <c r="E182" s="80" t="s">
        <v>134</v>
      </c>
      <c r="F182" s="170">
        <v>180</v>
      </c>
    </row>
    <row r="183" spans="1:6" hidden="1" x14ac:dyDescent="0.25">
      <c r="A183" s="169">
        <v>43624</v>
      </c>
      <c r="B183" s="80" t="s">
        <v>1684</v>
      </c>
      <c r="C183" s="80" t="s">
        <v>138</v>
      </c>
      <c r="D183" s="80" t="s">
        <v>141</v>
      </c>
      <c r="E183" s="80" t="s">
        <v>127</v>
      </c>
      <c r="F183" s="170">
        <v>180</v>
      </c>
    </row>
    <row r="184" spans="1:6" hidden="1" x14ac:dyDescent="0.25">
      <c r="A184" s="169">
        <v>43625</v>
      </c>
      <c r="B184" s="80" t="s">
        <v>1690</v>
      </c>
      <c r="C184" s="80" t="s">
        <v>138</v>
      </c>
      <c r="D184" s="80" t="s">
        <v>141</v>
      </c>
      <c r="E184" s="80" t="s">
        <v>121</v>
      </c>
      <c r="F184" s="170">
        <v>180</v>
      </c>
    </row>
    <row r="185" spans="1:6" hidden="1" x14ac:dyDescent="0.25">
      <c r="A185" s="169">
        <v>43625</v>
      </c>
      <c r="B185" s="80" t="s">
        <v>1692</v>
      </c>
      <c r="C185" s="80" t="s">
        <v>138</v>
      </c>
      <c r="D185" s="80" t="s">
        <v>141</v>
      </c>
      <c r="E185" s="80" t="s">
        <v>121</v>
      </c>
      <c r="F185" s="170">
        <v>180</v>
      </c>
    </row>
    <row r="186" spans="1:6" hidden="1" x14ac:dyDescent="0.25">
      <c r="A186" s="169">
        <v>43625</v>
      </c>
      <c r="B186" s="80" t="s">
        <v>1693</v>
      </c>
      <c r="C186" s="80" t="s">
        <v>119</v>
      </c>
      <c r="D186" s="80" t="s">
        <v>141</v>
      </c>
      <c r="E186" s="80" t="s">
        <v>134</v>
      </c>
      <c r="F186" s="170">
        <v>180</v>
      </c>
    </row>
    <row r="187" spans="1:6" hidden="1" x14ac:dyDescent="0.25">
      <c r="A187" s="169">
        <v>43625</v>
      </c>
      <c r="B187" s="80" t="s">
        <v>1696</v>
      </c>
      <c r="C187" s="80" t="s">
        <v>123</v>
      </c>
      <c r="D187" s="80" t="s">
        <v>141</v>
      </c>
      <c r="E187" s="80" t="s">
        <v>153</v>
      </c>
      <c r="F187" s="170">
        <v>180</v>
      </c>
    </row>
    <row r="188" spans="1:6" hidden="1" x14ac:dyDescent="0.25">
      <c r="A188" s="169">
        <v>43626</v>
      </c>
      <c r="B188" s="80" t="s">
        <v>1701</v>
      </c>
      <c r="C188" s="80" t="s">
        <v>157</v>
      </c>
      <c r="D188" s="80" t="s">
        <v>141</v>
      </c>
      <c r="E188" s="80" t="s">
        <v>131</v>
      </c>
      <c r="F188" s="170">
        <v>180</v>
      </c>
    </row>
    <row r="189" spans="1:6" hidden="1" x14ac:dyDescent="0.25">
      <c r="A189" s="169">
        <v>43626</v>
      </c>
      <c r="B189" s="80" t="s">
        <v>1702</v>
      </c>
      <c r="C189" s="80" t="s">
        <v>152</v>
      </c>
      <c r="D189" s="80" t="s">
        <v>141</v>
      </c>
      <c r="E189" s="80" t="s">
        <v>134</v>
      </c>
      <c r="F189" s="170">
        <v>180</v>
      </c>
    </row>
    <row r="190" spans="1:6" hidden="1" x14ac:dyDescent="0.25">
      <c r="A190" s="169">
        <v>43626</v>
      </c>
      <c r="B190" s="80" t="s">
        <v>1708</v>
      </c>
      <c r="C190" s="80" t="s">
        <v>123</v>
      </c>
      <c r="D190" s="80" t="s">
        <v>141</v>
      </c>
      <c r="E190" s="80" t="s">
        <v>131</v>
      </c>
      <c r="F190" s="170">
        <v>180</v>
      </c>
    </row>
    <row r="191" spans="1:6" hidden="1" x14ac:dyDescent="0.25">
      <c r="A191" s="169">
        <v>43627</v>
      </c>
      <c r="B191" s="80" t="s">
        <v>1715</v>
      </c>
      <c r="C191" s="80" t="s">
        <v>136</v>
      </c>
      <c r="D191" s="80" t="s">
        <v>141</v>
      </c>
      <c r="E191" s="80" t="s">
        <v>131</v>
      </c>
      <c r="F191" s="170">
        <v>180</v>
      </c>
    </row>
    <row r="192" spans="1:6" hidden="1" x14ac:dyDescent="0.25">
      <c r="A192" s="169">
        <v>43627</v>
      </c>
      <c r="B192" s="80" t="s">
        <v>1719</v>
      </c>
      <c r="C192" s="80" t="s">
        <v>119</v>
      </c>
      <c r="D192" s="80" t="s">
        <v>141</v>
      </c>
      <c r="E192" s="80" t="s">
        <v>131</v>
      </c>
      <c r="F192" s="170">
        <v>180</v>
      </c>
    </row>
    <row r="193" spans="1:6" hidden="1" x14ac:dyDescent="0.25">
      <c r="A193" s="169">
        <v>43629</v>
      </c>
      <c r="B193" s="80" t="s">
        <v>1731</v>
      </c>
      <c r="C193" s="80" t="s">
        <v>152</v>
      </c>
      <c r="D193" s="80" t="s">
        <v>141</v>
      </c>
      <c r="E193" s="80" t="s">
        <v>134</v>
      </c>
      <c r="F193" s="170">
        <v>180</v>
      </c>
    </row>
    <row r="194" spans="1:6" hidden="1" x14ac:dyDescent="0.25">
      <c r="A194" s="169">
        <v>43630</v>
      </c>
      <c r="B194" s="80" t="s">
        <v>1744</v>
      </c>
      <c r="C194" s="80" t="s">
        <v>164</v>
      </c>
      <c r="D194" s="80" t="s">
        <v>141</v>
      </c>
      <c r="E194" s="80" t="s">
        <v>153</v>
      </c>
      <c r="F194" s="170">
        <v>180</v>
      </c>
    </row>
    <row r="195" spans="1:6" hidden="1" x14ac:dyDescent="0.25">
      <c r="A195" s="169">
        <v>43631</v>
      </c>
      <c r="B195" s="80" t="s">
        <v>1748</v>
      </c>
      <c r="C195" s="80" t="s">
        <v>136</v>
      </c>
      <c r="D195" s="80" t="s">
        <v>141</v>
      </c>
      <c r="E195" s="80" t="s">
        <v>134</v>
      </c>
      <c r="F195" s="170">
        <v>180</v>
      </c>
    </row>
    <row r="196" spans="1:6" hidden="1" x14ac:dyDescent="0.25">
      <c r="A196" s="169">
        <v>43631</v>
      </c>
      <c r="B196" s="80" t="s">
        <v>1749</v>
      </c>
      <c r="C196" s="80" t="s">
        <v>182</v>
      </c>
      <c r="D196" s="80" t="s">
        <v>141</v>
      </c>
      <c r="E196" s="80" t="s">
        <v>131</v>
      </c>
      <c r="F196" s="170">
        <v>180</v>
      </c>
    </row>
    <row r="197" spans="1:6" hidden="1" x14ac:dyDescent="0.25">
      <c r="A197" s="169">
        <v>43632</v>
      </c>
      <c r="B197" s="80" t="s">
        <v>1763</v>
      </c>
      <c r="C197" s="80" t="s">
        <v>129</v>
      </c>
      <c r="D197" s="80" t="s">
        <v>141</v>
      </c>
      <c r="E197" s="80" t="s">
        <v>127</v>
      </c>
      <c r="F197" s="170">
        <v>180</v>
      </c>
    </row>
    <row r="198" spans="1:6" hidden="1" x14ac:dyDescent="0.25">
      <c r="A198" s="169">
        <v>43632</v>
      </c>
      <c r="B198" s="80" t="s">
        <v>1765</v>
      </c>
      <c r="C198" s="80" t="s">
        <v>143</v>
      </c>
      <c r="D198" s="80" t="s">
        <v>141</v>
      </c>
      <c r="E198" s="80" t="s">
        <v>134</v>
      </c>
      <c r="F198" s="170">
        <v>180</v>
      </c>
    </row>
    <row r="199" spans="1:6" hidden="1" x14ac:dyDescent="0.25">
      <c r="A199" s="169">
        <v>43633</v>
      </c>
      <c r="B199" s="80" t="s">
        <v>1768</v>
      </c>
      <c r="C199" s="80" t="s">
        <v>157</v>
      </c>
      <c r="D199" s="80" t="s">
        <v>141</v>
      </c>
      <c r="E199" s="80" t="s">
        <v>131</v>
      </c>
      <c r="F199" s="170">
        <v>180</v>
      </c>
    </row>
    <row r="200" spans="1:6" hidden="1" x14ac:dyDescent="0.25">
      <c r="A200" s="169">
        <v>43634</v>
      </c>
      <c r="B200" s="80" t="s">
        <v>1780</v>
      </c>
      <c r="C200" s="80" t="s">
        <v>187</v>
      </c>
      <c r="D200" s="80" t="s">
        <v>141</v>
      </c>
      <c r="E200" s="80" t="s">
        <v>134</v>
      </c>
      <c r="F200" s="170">
        <v>180</v>
      </c>
    </row>
    <row r="201" spans="1:6" hidden="1" x14ac:dyDescent="0.25">
      <c r="A201" s="169">
        <v>43635</v>
      </c>
      <c r="B201" s="80" t="s">
        <v>1786</v>
      </c>
      <c r="C201" s="80" t="s">
        <v>148</v>
      </c>
      <c r="D201" s="80" t="s">
        <v>141</v>
      </c>
      <c r="E201" s="80" t="s">
        <v>127</v>
      </c>
      <c r="F201" s="170">
        <v>180</v>
      </c>
    </row>
    <row r="202" spans="1:6" hidden="1" x14ac:dyDescent="0.25">
      <c r="A202" s="169">
        <v>43636</v>
      </c>
      <c r="B202" s="80" t="s">
        <v>1804</v>
      </c>
      <c r="C202" s="80" t="s">
        <v>152</v>
      </c>
      <c r="D202" s="80" t="s">
        <v>141</v>
      </c>
      <c r="E202" s="80" t="s">
        <v>134</v>
      </c>
      <c r="F202" s="170">
        <v>180</v>
      </c>
    </row>
    <row r="203" spans="1:6" hidden="1" x14ac:dyDescent="0.25">
      <c r="A203" s="169">
        <v>43636</v>
      </c>
      <c r="B203" s="80" t="s">
        <v>1805</v>
      </c>
      <c r="C203" s="80" t="s">
        <v>189</v>
      </c>
      <c r="D203" s="80" t="s">
        <v>141</v>
      </c>
      <c r="E203" s="80" t="s">
        <v>121</v>
      </c>
      <c r="F203" s="170">
        <v>180</v>
      </c>
    </row>
    <row r="204" spans="1:6" hidden="1" x14ac:dyDescent="0.25">
      <c r="A204" s="169">
        <v>43637</v>
      </c>
      <c r="B204" s="80" t="s">
        <v>1807</v>
      </c>
      <c r="C204" s="80" t="s">
        <v>129</v>
      </c>
      <c r="D204" s="80" t="s">
        <v>141</v>
      </c>
      <c r="E204" s="80" t="s">
        <v>134</v>
      </c>
      <c r="F204" s="170">
        <v>180</v>
      </c>
    </row>
    <row r="205" spans="1:6" hidden="1" x14ac:dyDescent="0.25">
      <c r="A205" s="169">
        <v>43637</v>
      </c>
      <c r="B205" s="80" t="s">
        <v>1808</v>
      </c>
      <c r="C205" s="80" t="s">
        <v>136</v>
      </c>
      <c r="D205" s="80" t="s">
        <v>141</v>
      </c>
      <c r="E205" s="80" t="s">
        <v>131</v>
      </c>
      <c r="F205" s="170">
        <v>180</v>
      </c>
    </row>
    <row r="206" spans="1:6" hidden="1" x14ac:dyDescent="0.25">
      <c r="A206" s="169">
        <v>43639</v>
      </c>
      <c r="B206" s="80" t="s">
        <v>1826</v>
      </c>
      <c r="C206" s="80" t="s">
        <v>152</v>
      </c>
      <c r="D206" s="80" t="s">
        <v>141</v>
      </c>
      <c r="E206" s="80" t="s">
        <v>134</v>
      </c>
      <c r="F206" s="170">
        <v>180</v>
      </c>
    </row>
    <row r="207" spans="1:6" hidden="1" x14ac:dyDescent="0.25">
      <c r="A207" s="169">
        <v>43640</v>
      </c>
      <c r="B207" s="80" t="s">
        <v>1829</v>
      </c>
      <c r="C207" s="80" t="s">
        <v>182</v>
      </c>
      <c r="D207" s="80" t="s">
        <v>141</v>
      </c>
      <c r="E207" s="80" t="s">
        <v>153</v>
      </c>
      <c r="F207" s="170">
        <v>180</v>
      </c>
    </row>
    <row r="208" spans="1:6" hidden="1" x14ac:dyDescent="0.25">
      <c r="A208" s="169">
        <v>43641</v>
      </c>
      <c r="B208" s="80" t="s">
        <v>1835</v>
      </c>
      <c r="C208" s="80" t="s">
        <v>125</v>
      </c>
      <c r="D208" s="80" t="s">
        <v>141</v>
      </c>
      <c r="E208" s="80" t="s">
        <v>121</v>
      </c>
      <c r="F208" s="170">
        <v>180</v>
      </c>
    </row>
    <row r="209" spans="1:6" hidden="1" x14ac:dyDescent="0.25">
      <c r="A209" s="169">
        <v>43642</v>
      </c>
      <c r="B209" s="80" t="s">
        <v>1842</v>
      </c>
      <c r="C209" s="80" t="s">
        <v>129</v>
      </c>
      <c r="D209" s="80" t="s">
        <v>141</v>
      </c>
      <c r="E209" s="80" t="s">
        <v>127</v>
      </c>
      <c r="F209" s="170">
        <v>180</v>
      </c>
    </row>
    <row r="210" spans="1:6" hidden="1" x14ac:dyDescent="0.25">
      <c r="A210" s="169">
        <v>43642</v>
      </c>
      <c r="B210" s="80" t="s">
        <v>1845</v>
      </c>
      <c r="C210" s="80" t="s">
        <v>157</v>
      </c>
      <c r="D210" s="80" t="s">
        <v>141</v>
      </c>
      <c r="E210" s="80" t="s">
        <v>127</v>
      </c>
      <c r="F210" s="170">
        <v>180</v>
      </c>
    </row>
    <row r="211" spans="1:6" hidden="1" x14ac:dyDescent="0.25">
      <c r="A211" s="169">
        <v>43642</v>
      </c>
      <c r="B211" s="80" t="s">
        <v>1848</v>
      </c>
      <c r="C211" s="80" t="s">
        <v>123</v>
      </c>
      <c r="D211" s="80" t="s">
        <v>141</v>
      </c>
      <c r="E211" s="80" t="s">
        <v>134</v>
      </c>
      <c r="F211" s="170">
        <v>180</v>
      </c>
    </row>
    <row r="212" spans="1:6" hidden="1" x14ac:dyDescent="0.25">
      <c r="A212" s="169">
        <v>43644</v>
      </c>
      <c r="B212" s="80" t="s">
        <v>1858</v>
      </c>
      <c r="C212" s="80" t="s">
        <v>145</v>
      </c>
      <c r="D212" s="80" t="s">
        <v>141</v>
      </c>
      <c r="E212" s="80" t="s">
        <v>131</v>
      </c>
      <c r="F212" s="170">
        <v>180</v>
      </c>
    </row>
    <row r="213" spans="1:6" hidden="1" x14ac:dyDescent="0.25">
      <c r="A213" s="169">
        <v>43644</v>
      </c>
      <c r="B213" s="80" t="s">
        <v>1862</v>
      </c>
      <c r="C213" s="80" t="s">
        <v>157</v>
      </c>
      <c r="D213" s="80" t="s">
        <v>141</v>
      </c>
      <c r="E213" s="80" t="s">
        <v>127</v>
      </c>
      <c r="F213" s="170">
        <v>180</v>
      </c>
    </row>
    <row r="214" spans="1:6" hidden="1" x14ac:dyDescent="0.25">
      <c r="A214" s="169">
        <v>43645</v>
      </c>
      <c r="B214" s="80" t="s">
        <v>1866</v>
      </c>
      <c r="C214" s="80" t="s">
        <v>167</v>
      </c>
      <c r="D214" s="80" t="s">
        <v>141</v>
      </c>
      <c r="E214" s="80" t="s">
        <v>121</v>
      </c>
      <c r="F214" s="170">
        <v>180</v>
      </c>
    </row>
    <row r="215" spans="1:6" hidden="1" x14ac:dyDescent="0.25">
      <c r="A215" s="169">
        <v>43646</v>
      </c>
      <c r="B215" s="80" t="s">
        <v>1875</v>
      </c>
      <c r="C215" s="80" t="s">
        <v>138</v>
      </c>
      <c r="D215" s="80" t="s">
        <v>141</v>
      </c>
      <c r="E215" s="80" t="s">
        <v>131</v>
      </c>
      <c r="F215" s="170">
        <v>180</v>
      </c>
    </row>
    <row r="216" spans="1:6" hidden="1" x14ac:dyDescent="0.25">
      <c r="A216" s="169">
        <v>43646</v>
      </c>
      <c r="B216" s="80" t="s">
        <v>1884</v>
      </c>
      <c r="C216" s="80" t="s">
        <v>187</v>
      </c>
      <c r="D216" s="80" t="s">
        <v>141</v>
      </c>
      <c r="E216" s="80" t="s">
        <v>131</v>
      </c>
      <c r="F216" s="170">
        <v>180</v>
      </c>
    </row>
    <row r="217" spans="1:6" hidden="1" x14ac:dyDescent="0.25">
      <c r="A217" s="169">
        <v>43647</v>
      </c>
      <c r="B217" s="80" t="s">
        <v>1889</v>
      </c>
      <c r="C217" s="80" t="s">
        <v>223</v>
      </c>
      <c r="D217" s="80" t="s">
        <v>141</v>
      </c>
      <c r="E217" s="80" t="s">
        <v>134</v>
      </c>
      <c r="F217" s="170">
        <v>180</v>
      </c>
    </row>
    <row r="218" spans="1:6" hidden="1" x14ac:dyDescent="0.25">
      <c r="A218" s="169">
        <v>43647</v>
      </c>
      <c r="B218" s="80" t="s">
        <v>1894</v>
      </c>
      <c r="C218" s="80" t="s">
        <v>143</v>
      </c>
      <c r="D218" s="80" t="s">
        <v>141</v>
      </c>
      <c r="E218" s="80" t="s">
        <v>121</v>
      </c>
      <c r="F218" s="170">
        <v>180</v>
      </c>
    </row>
    <row r="219" spans="1:6" hidden="1" x14ac:dyDescent="0.25">
      <c r="A219" s="169">
        <v>43649</v>
      </c>
      <c r="B219" s="80" t="s">
        <v>1911</v>
      </c>
      <c r="C219" s="80" t="s">
        <v>143</v>
      </c>
      <c r="D219" s="80" t="s">
        <v>141</v>
      </c>
      <c r="E219" s="80" t="s">
        <v>127</v>
      </c>
      <c r="F219" s="170">
        <v>180</v>
      </c>
    </row>
    <row r="220" spans="1:6" hidden="1" x14ac:dyDescent="0.25">
      <c r="A220" s="169">
        <v>43649</v>
      </c>
      <c r="B220" s="80" t="s">
        <v>1919</v>
      </c>
      <c r="C220" s="80" t="s">
        <v>138</v>
      </c>
      <c r="D220" s="80" t="s">
        <v>141</v>
      </c>
      <c r="E220" s="80" t="s">
        <v>134</v>
      </c>
      <c r="F220" s="170">
        <v>180</v>
      </c>
    </row>
    <row r="221" spans="1:6" hidden="1" x14ac:dyDescent="0.25">
      <c r="A221" s="169">
        <v>43650</v>
      </c>
      <c r="B221" s="80" t="s">
        <v>1929</v>
      </c>
      <c r="C221" s="80" t="s">
        <v>119</v>
      </c>
      <c r="D221" s="80" t="s">
        <v>141</v>
      </c>
      <c r="E221" s="80" t="s">
        <v>153</v>
      </c>
      <c r="F221" s="170">
        <v>180</v>
      </c>
    </row>
    <row r="222" spans="1:6" hidden="1" x14ac:dyDescent="0.25">
      <c r="A222" s="169">
        <v>43651</v>
      </c>
      <c r="B222" s="80" t="s">
        <v>1931</v>
      </c>
      <c r="C222" s="80" t="s">
        <v>145</v>
      </c>
      <c r="D222" s="80" t="s">
        <v>141</v>
      </c>
      <c r="E222" s="80" t="s">
        <v>121</v>
      </c>
      <c r="F222" s="170">
        <v>180</v>
      </c>
    </row>
    <row r="223" spans="1:6" hidden="1" x14ac:dyDescent="0.25">
      <c r="A223" s="169">
        <v>43656</v>
      </c>
      <c r="B223" s="80" t="s">
        <v>1972</v>
      </c>
      <c r="C223" s="80" t="s">
        <v>136</v>
      </c>
      <c r="D223" s="80" t="s">
        <v>141</v>
      </c>
      <c r="E223" s="80" t="s">
        <v>153</v>
      </c>
      <c r="F223" s="170">
        <v>180</v>
      </c>
    </row>
    <row r="224" spans="1:6" hidden="1" x14ac:dyDescent="0.25">
      <c r="A224" s="169">
        <v>43656</v>
      </c>
      <c r="B224" s="80" t="s">
        <v>1976</v>
      </c>
      <c r="C224" s="80" t="s">
        <v>167</v>
      </c>
      <c r="D224" s="80" t="s">
        <v>141</v>
      </c>
      <c r="E224" s="80" t="s">
        <v>127</v>
      </c>
      <c r="F224" s="170">
        <v>180</v>
      </c>
    </row>
    <row r="225" spans="1:6" hidden="1" x14ac:dyDescent="0.25">
      <c r="A225" s="169">
        <v>43657</v>
      </c>
      <c r="B225" s="80" t="s">
        <v>1984</v>
      </c>
      <c r="C225" s="80" t="s">
        <v>187</v>
      </c>
      <c r="D225" s="80" t="s">
        <v>141</v>
      </c>
      <c r="E225" s="80" t="s">
        <v>134</v>
      </c>
      <c r="F225" s="170">
        <v>180</v>
      </c>
    </row>
    <row r="226" spans="1:6" hidden="1" x14ac:dyDescent="0.25">
      <c r="A226" s="169">
        <v>43658</v>
      </c>
      <c r="B226" s="80" t="s">
        <v>1990</v>
      </c>
      <c r="C226" s="80" t="s">
        <v>129</v>
      </c>
      <c r="D226" s="80" t="s">
        <v>141</v>
      </c>
      <c r="E226" s="80" t="s">
        <v>134</v>
      </c>
      <c r="F226" s="170">
        <v>180</v>
      </c>
    </row>
    <row r="227" spans="1:6" hidden="1" x14ac:dyDescent="0.25">
      <c r="A227" s="169">
        <v>43658</v>
      </c>
      <c r="B227" s="80" t="s">
        <v>1997</v>
      </c>
      <c r="C227" s="80" t="s">
        <v>138</v>
      </c>
      <c r="D227" s="80" t="s">
        <v>141</v>
      </c>
      <c r="E227" s="80" t="s">
        <v>121</v>
      </c>
      <c r="F227" s="170">
        <v>180</v>
      </c>
    </row>
    <row r="228" spans="1:6" hidden="1" x14ac:dyDescent="0.25">
      <c r="A228" s="169">
        <v>43659</v>
      </c>
      <c r="B228" s="80" t="s">
        <v>2002</v>
      </c>
      <c r="C228" s="80" t="s">
        <v>164</v>
      </c>
      <c r="D228" s="80" t="s">
        <v>141</v>
      </c>
      <c r="E228" s="80" t="s">
        <v>121</v>
      </c>
      <c r="F228" s="170">
        <v>180</v>
      </c>
    </row>
    <row r="229" spans="1:6" hidden="1" x14ac:dyDescent="0.25">
      <c r="A229" s="169">
        <v>43659</v>
      </c>
      <c r="B229" s="80" t="s">
        <v>2005</v>
      </c>
      <c r="C229" s="80" t="s">
        <v>189</v>
      </c>
      <c r="D229" s="80" t="s">
        <v>141</v>
      </c>
      <c r="E229" s="80" t="s">
        <v>134</v>
      </c>
      <c r="F229" s="170">
        <v>180</v>
      </c>
    </row>
    <row r="230" spans="1:6" hidden="1" x14ac:dyDescent="0.25">
      <c r="A230" s="169">
        <v>43660</v>
      </c>
      <c r="B230" s="80" t="s">
        <v>2018</v>
      </c>
      <c r="C230" s="80" t="s">
        <v>148</v>
      </c>
      <c r="D230" s="80" t="s">
        <v>141</v>
      </c>
      <c r="E230" s="80" t="s">
        <v>131</v>
      </c>
      <c r="F230" s="170">
        <v>180</v>
      </c>
    </row>
    <row r="231" spans="1:6" hidden="1" x14ac:dyDescent="0.25">
      <c r="A231" s="169">
        <v>43662</v>
      </c>
      <c r="B231" s="80" t="s">
        <v>2031</v>
      </c>
      <c r="C231" s="80" t="s">
        <v>138</v>
      </c>
      <c r="D231" s="80" t="s">
        <v>141</v>
      </c>
      <c r="E231" s="80" t="s">
        <v>153</v>
      </c>
      <c r="F231" s="170">
        <v>180</v>
      </c>
    </row>
    <row r="232" spans="1:6" hidden="1" x14ac:dyDescent="0.25">
      <c r="A232" s="169">
        <v>43662</v>
      </c>
      <c r="B232" s="80" t="s">
        <v>2032</v>
      </c>
      <c r="C232" s="80" t="s">
        <v>167</v>
      </c>
      <c r="D232" s="80" t="s">
        <v>141</v>
      </c>
      <c r="E232" s="80" t="s">
        <v>153</v>
      </c>
      <c r="F232" s="170">
        <v>180</v>
      </c>
    </row>
    <row r="233" spans="1:6" hidden="1" x14ac:dyDescent="0.25">
      <c r="A233" s="169">
        <v>43662</v>
      </c>
      <c r="B233" s="80" t="s">
        <v>2039</v>
      </c>
      <c r="C233" s="80" t="s">
        <v>143</v>
      </c>
      <c r="D233" s="80" t="s">
        <v>141</v>
      </c>
      <c r="E233" s="80" t="s">
        <v>134</v>
      </c>
      <c r="F233" s="170">
        <v>180</v>
      </c>
    </row>
    <row r="234" spans="1:6" hidden="1" x14ac:dyDescent="0.25">
      <c r="A234" s="169">
        <v>43663</v>
      </c>
      <c r="B234" s="80" t="s">
        <v>2042</v>
      </c>
      <c r="C234" s="80" t="s">
        <v>125</v>
      </c>
      <c r="D234" s="80" t="s">
        <v>141</v>
      </c>
      <c r="E234" s="80" t="s">
        <v>127</v>
      </c>
      <c r="F234" s="170">
        <v>180</v>
      </c>
    </row>
    <row r="235" spans="1:6" hidden="1" x14ac:dyDescent="0.25">
      <c r="A235" s="169">
        <v>43663</v>
      </c>
      <c r="B235" s="80" t="s">
        <v>2045</v>
      </c>
      <c r="C235" s="80" t="s">
        <v>143</v>
      </c>
      <c r="D235" s="80" t="s">
        <v>141</v>
      </c>
      <c r="E235" s="80" t="s">
        <v>127</v>
      </c>
      <c r="F235" s="170">
        <v>180</v>
      </c>
    </row>
    <row r="236" spans="1:6" hidden="1" x14ac:dyDescent="0.25">
      <c r="A236" s="169">
        <v>43663</v>
      </c>
      <c r="B236" s="80" t="s">
        <v>2047</v>
      </c>
      <c r="C236" s="80" t="s">
        <v>189</v>
      </c>
      <c r="D236" s="80" t="s">
        <v>141</v>
      </c>
      <c r="E236" s="80" t="s">
        <v>134</v>
      </c>
      <c r="F236" s="170">
        <v>180</v>
      </c>
    </row>
    <row r="237" spans="1:6" hidden="1" x14ac:dyDescent="0.25">
      <c r="A237" s="169">
        <v>43665</v>
      </c>
      <c r="B237" s="80" t="s">
        <v>2061</v>
      </c>
      <c r="C237" s="80" t="s">
        <v>157</v>
      </c>
      <c r="D237" s="80" t="s">
        <v>141</v>
      </c>
      <c r="E237" s="80" t="s">
        <v>127</v>
      </c>
      <c r="F237" s="170">
        <v>180</v>
      </c>
    </row>
    <row r="238" spans="1:6" hidden="1" x14ac:dyDescent="0.25">
      <c r="A238" s="169">
        <v>43671</v>
      </c>
      <c r="B238" s="80" t="s">
        <v>2111</v>
      </c>
      <c r="C238" s="80" t="s">
        <v>136</v>
      </c>
      <c r="D238" s="80" t="s">
        <v>141</v>
      </c>
      <c r="E238" s="80" t="s">
        <v>134</v>
      </c>
      <c r="F238" s="170">
        <v>180</v>
      </c>
    </row>
    <row r="239" spans="1:6" hidden="1" x14ac:dyDescent="0.25">
      <c r="A239" s="169">
        <v>43671</v>
      </c>
      <c r="B239" s="80" t="s">
        <v>2121</v>
      </c>
      <c r="C239" s="80" t="s">
        <v>157</v>
      </c>
      <c r="D239" s="80" t="s">
        <v>141</v>
      </c>
      <c r="E239" s="80" t="s">
        <v>127</v>
      </c>
      <c r="F239" s="170">
        <v>180</v>
      </c>
    </row>
    <row r="240" spans="1:6" hidden="1" x14ac:dyDescent="0.25">
      <c r="A240" s="169">
        <v>43672</v>
      </c>
      <c r="B240" s="80" t="s">
        <v>2130</v>
      </c>
      <c r="C240" s="80" t="s">
        <v>123</v>
      </c>
      <c r="D240" s="80" t="s">
        <v>141</v>
      </c>
      <c r="E240" s="80" t="s">
        <v>121</v>
      </c>
      <c r="F240" s="170">
        <v>180</v>
      </c>
    </row>
    <row r="241" spans="1:6" hidden="1" x14ac:dyDescent="0.25">
      <c r="A241" s="169">
        <v>43673</v>
      </c>
      <c r="B241" s="80" t="s">
        <v>2134</v>
      </c>
      <c r="C241" s="80" t="s">
        <v>138</v>
      </c>
      <c r="D241" s="80" t="s">
        <v>141</v>
      </c>
      <c r="E241" s="80" t="s">
        <v>121</v>
      </c>
      <c r="F241" s="170">
        <v>180</v>
      </c>
    </row>
    <row r="242" spans="1:6" hidden="1" x14ac:dyDescent="0.25">
      <c r="A242" s="169">
        <v>43673</v>
      </c>
      <c r="B242" s="80" t="s">
        <v>2135</v>
      </c>
      <c r="C242" s="80" t="s">
        <v>164</v>
      </c>
      <c r="D242" s="80" t="s">
        <v>141</v>
      </c>
      <c r="E242" s="80" t="s">
        <v>153</v>
      </c>
      <c r="F242" s="170">
        <v>180</v>
      </c>
    </row>
    <row r="243" spans="1:6" hidden="1" x14ac:dyDescent="0.25">
      <c r="A243" s="169">
        <v>43674</v>
      </c>
      <c r="B243" s="80" t="s">
        <v>2149</v>
      </c>
      <c r="C243" s="80" t="s">
        <v>152</v>
      </c>
      <c r="D243" s="80" t="s">
        <v>141</v>
      </c>
      <c r="E243" s="80" t="s">
        <v>121</v>
      </c>
      <c r="F243" s="170">
        <v>180</v>
      </c>
    </row>
    <row r="244" spans="1:6" hidden="1" x14ac:dyDescent="0.25">
      <c r="A244" s="169">
        <v>43676</v>
      </c>
      <c r="B244" s="80" t="s">
        <v>2159</v>
      </c>
      <c r="C244" s="80" t="s">
        <v>187</v>
      </c>
      <c r="D244" s="80" t="s">
        <v>141</v>
      </c>
      <c r="E244" s="80" t="s">
        <v>121</v>
      </c>
      <c r="F244" s="170">
        <v>180</v>
      </c>
    </row>
    <row r="245" spans="1:6" hidden="1" x14ac:dyDescent="0.25">
      <c r="A245" s="169">
        <v>43676</v>
      </c>
      <c r="B245" s="80" t="s">
        <v>2165</v>
      </c>
      <c r="C245" s="80" t="s">
        <v>138</v>
      </c>
      <c r="D245" s="80" t="s">
        <v>141</v>
      </c>
      <c r="E245" s="80" t="s">
        <v>127</v>
      </c>
      <c r="F245" s="170">
        <v>180</v>
      </c>
    </row>
    <row r="246" spans="1:6" hidden="1" x14ac:dyDescent="0.25">
      <c r="A246" s="169">
        <v>43677</v>
      </c>
      <c r="B246" s="80" t="s">
        <v>2176</v>
      </c>
      <c r="C246" s="80" t="s">
        <v>136</v>
      </c>
      <c r="D246" s="80" t="s">
        <v>141</v>
      </c>
      <c r="E246" s="80" t="s">
        <v>131</v>
      </c>
      <c r="F246" s="170">
        <v>180</v>
      </c>
    </row>
    <row r="247" spans="1:6" hidden="1" x14ac:dyDescent="0.25">
      <c r="A247" s="169">
        <v>43677</v>
      </c>
      <c r="B247" s="80" t="s">
        <v>2177</v>
      </c>
      <c r="C247" s="80" t="s">
        <v>164</v>
      </c>
      <c r="D247" s="80" t="s">
        <v>141</v>
      </c>
      <c r="E247" s="80" t="s">
        <v>131</v>
      </c>
      <c r="F247" s="170">
        <v>180</v>
      </c>
    </row>
    <row r="248" spans="1:6" hidden="1" x14ac:dyDescent="0.25">
      <c r="A248" s="169">
        <v>43677</v>
      </c>
      <c r="B248" s="80" t="s">
        <v>2178</v>
      </c>
      <c r="C248" s="80" t="s">
        <v>119</v>
      </c>
      <c r="D248" s="80" t="s">
        <v>141</v>
      </c>
      <c r="E248" s="80" t="s">
        <v>134</v>
      </c>
      <c r="F248" s="170">
        <v>180</v>
      </c>
    </row>
    <row r="249" spans="1:6" hidden="1" x14ac:dyDescent="0.25">
      <c r="A249" s="169">
        <v>43677</v>
      </c>
      <c r="B249" s="80" t="s">
        <v>2179</v>
      </c>
      <c r="C249" s="80" t="s">
        <v>119</v>
      </c>
      <c r="D249" s="80" t="s">
        <v>141</v>
      </c>
      <c r="E249" s="80" t="s">
        <v>134</v>
      </c>
      <c r="F249" s="170">
        <v>180</v>
      </c>
    </row>
    <row r="250" spans="1:6" hidden="1" x14ac:dyDescent="0.25">
      <c r="A250" s="169">
        <v>43678</v>
      </c>
      <c r="B250" s="80" t="s">
        <v>2194</v>
      </c>
      <c r="C250" s="80" t="s">
        <v>129</v>
      </c>
      <c r="D250" s="80" t="s">
        <v>141</v>
      </c>
      <c r="E250" s="80" t="s">
        <v>131</v>
      </c>
      <c r="F250" s="170">
        <v>180</v>
      </c>
    </row>
    <row r="251" spans="1:6" hidden="1" x14ac:dyDescent="0.25">
      <c r="A251" s="169">
        <v>43679</v>
      </c>
      <c r="B251" s="80" t="s">
        <v>2198</v>
      </c>
      <c r="C251" s="80" t="s">
        <v>187</v>
      </c>
      <c r="D251" s="80" t="s">
        <v>141</v>
      </c>
      <c r="E251" s="80" t="s">
        <v>153</v>
      </c>
      <c r="F251" s="170">
        <v>180</v>
      </c>
    </row>
    <row r="252" spans="1:6" hidden="1" x14ac:dyDescent="0.25">
      <c r="A252" s="169">
        <v>43680</v>
      </c>
      <c r="B252" s="80" t="s">
        <v>2209</v>
      </c>
      <c r="C252" s="80" t="s">
        <v>145</v>
      </c>
      <c r="D252" s="80" t="s">
        <v>141</v>
      </c>
      <c r="E252" s="80" t="s">
        <v>131</v>
      </c>
      <c r="F252" s="170">
        <v>180</v>
      </c>
    </row>
    <row r="253" spans="1:6" hidden="1" x14ac:dyDescent="0.25">
      <c r="A253" s="169">
        <v>43680</v>
      </c>
      <c r="B253" s="80" t="s">
        <v>2212</v>
      </c>
      <c r="C253" s="80" t="s">
        <v>123</v>
      </c>
      <c r="D253" s="80" t="s">
        <v>141</v>
      </c>
      <c r="E253" s="80" t="s">
        <v>121</v>
      </c>
      <c r="F253" s="170">
        <v>180</v>
      </c>
    </row>
    <row r="254" spans="1:6" hidden="1" x14ac:dyDescent="0.25">
      <c r="A254" s="169">
        <v>43680</v>
      </c>
      <c r="B254" s="80" t="s">
        <v>2215</v>
      </c>
      <c r="C254" s="80" t="s">
        <v>119</v>
      </c>
      <c r="D254" s="80" t="s">
        <v>141</v>
      </c>
      <c r="E254" s="80" t="s">
        <v>134</v>
      </c>
      <c r="F254" s="170">
        <v>180</v>
      </c>
    </row>
    <row r="255" spans="1:6" hidden="1" x14ac:dyDescent="0.25">
      <c r="A255" s="169">
        <v>43681</v>
      </c>
      <c r="B255" s="80" t="s">
        <v>2222</v>
      </c>
      <c r="C255" s="80" t="s">
        <v>138</v>
      </c>
      <c r="D255" s="80" t="s">
        <v>141</v>
      </c>
      <c r="E255" s="80" t="s">
        <v>153</v>
      </c>
      <c r="F255" s="170">
        <v>180</v>
      </c>
    </row>
    <row r="256" spans="1:6" hidden="1" x14ac:dyDescent="0.25">
      <c r="A256" s="169">
        <v>43682</v>
      </c>
      <c r="B256" s="80" t="s">
        <v>2232</v>
      </c>
      <c r="C256" s="80" t="s">
        <v>119</v>
      </c>
      <c r="D256" s="80" t="s">
        <v>141</v>
      </c>
      <c r="E256" s="80" t="s">
        <v>127</v>
      </c>
      <c r="F256" s="170">
        <v>180</v>
      </c>
    </row>
    <row r="257" spans="1:6" hidden="1" x14ac:dyDescent="0.25">
      <c r="A257" s="169">
        <v>43683</v>
      </c>
      <c r="B257" s="80" t="s">
        <v>2242</v>
      </c>
      <c r="C257" s="80" t="s">
        <v>125</v>
      </c>
      <c r="D257" s="80" t="s">
        <v>141</v>
      </c>
      <c r="E257" s="80" t="s">
        <v>121</v>
      </c>
      <c r="F257" s="170">
        <v>180</v>
      </c>
    </row>
    <row r="258" spans="1:6" hidden="1" x14ac:dyDescent="0.25">
      <c r="A258" s="169">
        <v>43685</v>
      </c>
      <c r="B258" s="80" t="s">
        <v>2256</v>
      </c>
      <c r="C258" s="80" t="s">
        <v>148</v>
      </c>
      <c r="D258" s="80" t="s">
        <v>141</v>
      </c>
      <c r="E258" s="80" t="s">
        <v>127</v>
      </c>
      <c r="F258" s="170">
        <v>180</v>
      </c>
    </row>
    <row r="259" spans="1:6" hidden="1" x14ac:dyDescent="0.25">
      <c r="A259" s="169">
        <v>43685</v>
      </c>
      <c r="B259" s="80" t="s">
        <v>2263</v>
      </c>
      <c r="C259" s="80" t="s">
        <v>182</v>
      </c>
      <c r="D259" s="80" t="s">
        <v>141</v>
      </c>
      <c r="E259" s="80" t="s">
        <v>131</v>
      </c>
      <c r="F259" s="170">
        <v>180</v>
      </c>
    </row>
    <row r="260" spans="1:6" hidden="1" x14ac:dyDescent="0.25">
      <c r="A260" s="169">
        <v>43686</v>
      </c>
      <c r="B260" s="80" t="s">
        <v>2267</v>
      </c>
      <c r="C260" s="80" t="s">
        <v>123</v>
      </c>
      <c r="D260" s="80" t="s">
        <v>141</v>
      </c>
      <c r="E260" s="80" t="s">
        <v>134</v>
      </c>
      <c r="F260" s="170">
        <v>180</v>
      </c>
    </row>
    <row r="261" spans="1:6" hidden="1" x14ac:dyDescent="0.25">
      <c r="A261" s="169">
        <v>43686</v>
      </c>
      <c r="B261" s="80" t="s">
        <v>2276</v>
      </c>
      <c r="C261" s="80" t="s">
        <v>145</v>
      </c>
      <c r="D261" s="80" t="s">
        <v>141</v>
      </c>
      <c r="E261" s="80" t="s">
        <v>127</v>
      </c>
      <c r="F261" s="170">
        <v>180</v>
      </c>
    </row>
    <row r="262" spans="1:6" hidden="1" x14ac:dyDescent="0.25">
      <c r="A262" s="169">
        <v>43687</v>
      </c>
      <c r="B262" s="80" t="s">
        <v>2286</v>
      </c>
      <c r="C262" s="80" t="s">
        <v>187</v>
      </c>
      <c r="D262" s="80" t="s">
        <v>141</v>
      </c>
      <c r="E262" s="80" t="s">
        <v>127</v>
      </c>
      <c r="F262" s="170">
        <v>180</v>
      </c>
    </row>
    <row r="263" spans="1:6" hidden="1" x14ac:dyDescent="0.25">
      <c r="A263" s="169">
        <v>43690</v>
      </c>
      <c r="B263" s="80" t="s">
        <v>2306</v>
      </c>
      <c r="C263" s="80" t="s">
        <v>152</v>
      </c>
      <c r="D263" s="80" t="s">
        <v>141</v>
      </c>
      <c r="E263" s="80" t="s">
        <v>134</v>
      </c>
      <c r="F263" s="170">
        <v>180</v>
      </c>
    </row>
    <row r="264" spans="1:6" hidden="1" x14ac:dyDescent="0.25">
      <c r="A264" s="169">
        <v>43691</v>
      </c>
      <c r="B264" s="80" t="s">
        <v>2321</v>
      </c>
      <c r="C264" s="80" t="s">
        <v>157</v>
      </c>
      <c r="D264" s="80" t="s">
        <v>141</v>
      </c>
      <c r="E264" s="80" t="s">
        <v>153</v>
      </c>
      <c r="F264" s="170">
        <v>180</v>
      </c>
    </row>
    <row r="265" spans="1:6" hidden="1" x14ac:dyDescent="0.25">
      <c r="A265" s="169">
        <v>43693</v>
      </c>
      <c r="B265" s="80" t="s">
        <v>2337</v>
      </c>
      <c r="C265" s="80" t="s">
        <v>143</v>
      </c>
      <c r="D265" s="80" t="s">
        <v>141</v>
      </c>
      <c r="E265" s="80" t="s">
        <v>127</v>
      </c>
      <c r="F265" s="170">
        <v>180</v>
      </c>
    </row>
    <row r="266" spans="1:6" hidden="1" x14ac:dyDescent="0.25">
      <c r="A266" s="169">
        <v>43694</v>
      </c>
      <c r="B266" s="80" t="s">
        <v>2350</v>
      </c>
      <c r="C266" s="80" t="s">
        <v>223</v>
      </c>
      <c r="D266" s="80" t="s">
        <v>141</v>
      </c>
      <c r="E266" s="80" t="s">
        <v>153</v>
      </c>
      <c r="F266" s="170">
        <v>180</v>
      </c>
    </row>
    <row r="267" spans="1:6" hidden="1" x14ac:dyDescent="0.25">
      <c r="A267" s="169">
        <v>43694</v>
      </c>
      <c r="B267" s="80" t="s">
        <v>2356</v>
      </c>
      <c r="C267" s="80" t="s">
        <v>129</v>
      </c>
      <c r="D267" s="80" t="s">
        <v>141</v>
      </c>
      <c r="E267" s="80" t="s">
        <v>134</v>
      </c>
      <c r="F267" s="170">
        <v>180</v>
      </c>
    </row>
    <row r="268" spans="1:6" hidden="1" x14ac:dyDescent="0.25">
      <c r="A268" s="169">
        <v>43694</v>
      </c>
      <c r="B268" s="80" t="s">
        <v>2363</v>
      </c>
      <c r="C268" s="80" t="s">
        <v>119</v>
      </c>
      <c r="D268" s="80" t="s">
        <v>141</v>
      </c>
      <c r="E268" s="80" t="s">
        <v>121</v>
      </c>
      <c r="F268" s="170">
        <v>180</v>
      </c>
    </row>
    <row r="269" spans="1:6" hidden="1" x14ac:dyDescent="0.25">
      <c r="A269" s="169">
        <v>43695</v>
      </c>
      <c r="B269" s="80" t="s">
        <v>2371</v>
      </c>
      <c r="C269" s="80" t="s">
        <v>129</v>
      </c>
      <c r="D269" s="80" t="s">
        <v>141</v>
      </c>
      <c r="E269" s="80" t="s">
        <v>127</v>
      </c>
      <c r="F269" s="170">
        <v>180</v>
      </c>
    </row>
    <row r="270" spans="1:6" hidden="1" x14ac:dyDescent="0.25">
      <c r="A270" s="169">
        <v>43695</v>
      </c>
      <c r="B270" s="80" t="s">
        <v>2372</v>
      </c>
      <c r="C270" s="80" t="s">
        <v>187</v>
      </c>
      <c r="D270" s="80" t="s">
        <v>141</v>
      </c>
      <c r="E270" s="80" t="s">
        <v>153</v>
      </c>
      <c r="F270" s="170">
        <v>180</v>
      </c>
    </row>
    <row r="271" spans="1:6" hidden="1" x14ac:dyDescent="0.25">
      <c r="A271" s="169">
        <v>43698</v>
      </c>
      <c r="B271" s="80" t="s">
        <v>2396</v>
      </c>
      <c r="C271" s="80" t="s">
        <v>148</v>
      </c>
      <c r="D271" s="80" t="s">
        <v>141</v>
      </c>
      <c r="E271" s="80" t="s">
        <v>153</v>
      </c>
      <c r="F271" s="170">
        <v>180</v>
      </c>
    </row>
    <row r="272" spans="1:6" hidden="1" x14ac:dyDescent="0.25">
      <c r="A272" s="169">
        <v>43699</v>
      </c>
      <c r="B272" s="80" t="s">
        <v>2397</v>
      </c>
      <c r="C272" s="80" t="s">
        <v>157</v>
      </c>
      <c r="D272" s="80" t="s">
        <v>141</v>
      </c>
      <c r="E272" s="80" t="s">
        <v>121</v>
      </c>
      <c r="F272" s="170">
        <v>180</v>
      </c>
    </row>
    <row r="273" spans="1:6" hidden="1" x14ac:dyDescent="0.25">
      <c r="A273" s="169">
        <v>43701</v>
      </c>
      <c r="B273" s="80" t="s">
        <v>2413</v>
      </c>
      <c r="C273" s="80" t="s">
        <v>136</v>
      </c>
      <c r="D273" s="80" t="s">
        <v>141</v>
      </c>
      <c r="E273" s="80" t="s">
        <v>127</v>
      </c>
      <c r="F273" s="170">
        <v>180</v>
      </c>
    </row>
    <row r="274" spans="1:6" hidden="1" x14ac:dyDescent="0.25">
      <c r="A274" s="169">
        <v>43702</v>
      </c>
      <c r="B274" s="80" t="s">
        <v>2414</v>
      </c>
      <c r="C274" s="80" t="s">
        <v>145</v>
      </c>
      <c r="D274" s="80" t="s">
        <v>141</v>
      </c>
      <c r="E274" s="80" t="s">
        <v>134</v>
      </c>
      <c r="F274" s="170">
        <v>180</v>
      </c>
    </row>
    <row r="275" spans="1:6" hidden="1" x14ac:dyDescent="0.25">
      <c r="A275" s="169">
        <v>43702</v>
      </c>
      <c r="B275" s="80" t="s">
        <v>2416</v>
      </c>
      <c r="C275" s="80" t="s">
        <v>157</v>
      </c>
      <c r="D275" s="80" t="s">
        <v>141</v>
      </c>
      <c r="E275" s="80" t="s">
        <v>134</v>
      </c>
      <c r="F275" s="170">
        <v>180</v>
      </c>
    </row>
    <row r="276" spans="1:6" hidden="1" x14ac:dyDescent="0.25">
      <c r="A276" s="169">
        <v>43702</v>
      </c>
      <c r="B276" s="80" t="s">
        <v>2427</v>
      </c>
      <c r="C276" s="80" t="s">
        <v>189</v>
      </c>
      <c r="D276" s="80" t="s">
        <v>141</v>
      </c>
      <c r="E276" s="80" t="s">
        <v>153</v>
      </c>
      <c r="F276" s="170">
        <v>180</v>
      </c>
    </row>
    <row r="277" spans="1:6" hidden="1" x14ac:dyDescent="0.25">
      <c r="A277" s="169">
        <v>43702</v>
      </c>
      <c r="B277" s="80" t="s">
        <v>2429</v>
      </c>
      <c r="C277" s="80" t="s">
        <v>148</v>
      </c>
      <c r="D277" s="80" t="s">
        <v>141</v>
      </c>
      <c r="E277" s="80" t="s">
        <v>134</v>
      </c>
      <c r="F277" s="170">
        <v>180</v>
      </c>
    </row>
    <row r="278" spans="1:6" hidden="1" x14ac:dyDescent="0.25">
      <c r="A278" s="169">
        <v>43703</v>
      </c>
      <c r="B278" s="80" t="s">
        <v>2431</v>
      </c>
      <c r="C278" s="80" t="s">
        <v>152</v>
      </c>
      <c r="D278" s="80" t="s">
        <v>141</v>
      </c>
      <c r="E278" s="80" t="s">
        <v>153</v>
      </c>
      <c r="F278" s="170">
        <v>180</v>
      </c>
    </row>
    <row r="279" spans="1:6" hidden="1" x14ac:dyDescent="0.25">
      <c r="A279" s="169">
        <v>43703</v>
      </c>
      <c r="B279" s="80" t="s">
        <v>2433</v>
      </c>
      <c r="C279" s="80" t="s">
        <v>164</v>
      </c>
      <c r="D279" s="80" t="s">
        <v>141</v>
      </c>
      <c r="E279" s="80" t="s">
        <v>134</v>
      </c>
      <c r="F279" s="170">
        <v>180</v>
      </c>
    </row>
    <row r="280" spans="1:6" hidden="1" x14ac:dyDescent="0.25">
      <c r="A280" s="169">
        <v>43703</v>
      </c>
      <c r="B280" s="80" t="s">
        <v>2435</v>
      </c>
      <c r="C280" s="80" t="s">
        <v>143</v>
      </c>
      <c r="D280" s="80" t="s">
        <v>141</v>
      </c>
      <c r="E280" s="80" t="s">
        <v>131</v>
      </c>
      <c r="F280" s="170">
        <v>180</v>
      </c>
    </row>
    <row r="281" spans="1:6" hidden="1" x14ac:dyDescent="0.25">
      <c r="A281" s="169">
        <v>43703</v>
      </c>
      <c r="B281" s="80" t="s">
        <v>2437</v>
      </c>
      <c r="C281" s="80" t="s">
        <v>182</v>
      </c>
      <c r="D281" s="80" t="s">
        <v>141</v>
      </c>
      <c r="E281" s="80" t="s">
        <v>131</v>
      </c>
      <c r="F281" s="170">
        <v>180</v>
      </c>
    </row>
    <row r="282" spans="1:6" hidden="1" x14ac:dyDescent="0.25">
      <c r="A282" s="169">
        <v>43703</v>
      </c>
      <c r="B282" s="80" t="s">
        <v>2439</v>
      </c>
      <c r="C282" s="80" t="s">
        <v>125</v>
      </c>
      <c r="D282" s="80" t="s">
        <v>141</v>
      </c>
      <c r="E282" s="80" t="s">
        <v>134</v>
      </c>
      <c r="F282" s="170">
        <v>180</v>
      </c>
    </row>
    <row r="283" spans="1:6" hidden="1" x14ac:dyDescent="0.25">
      <c r="A283" s="169">
        <v>43704</v>
      </c>
      <c r="B283" s="80" t="s">
        <v>2442</v>
      </c>
      <c r="C283" s="80" t="s">
        <v>167</v>
      </c>
      <c r="D283" s="80" t="s">
        <v>141</v>
      </c>
      <c r="E283" s="80" t="s">
        <v>134</v>
      </c>
      <c r="F283" s="170">
        <v>180</v>
      </c>
    </row>
    <row r="284" spans="1:6" hidden="1" x14ac:dyDescent="0.25">
      <c r="A284" s="169">
        <v>43704</v>
      </c>
      <c r="B284" s="80" t="s">
        <v>2449</v>
      </c>
      <c r="C284" s="80" t="s">
        <v>157</v>
      </c>
      <c r="D284" s="80" t="s">
        <v>141</v>
      </c>
      <c r="E284" s="80" t="s">
        <v>121</v>
      </c>
      <c r="F284" s="170">
        <v>180</v>
      </c>
    </row>
    <row r="285" spans="1:6" hidden="1" x14ac:dyDescent="0.25">
      <c r="A285" s="169">
        <v>43705</v>
      </c>
      <c r="B285" s="80" t="s">
        <v>2455</v>
      </c>
      <c r="C285" s="80" t="s">
        <v>182</v>
      </c>
      <c r="D285" s="80" t="s">
        <v>141</v>
      </c>
      <c r="E285" s="80" t="s">
        <v>127</v>
      </c>
      <c r="F285" s="170">
        <v>180</v>
      </c>
    </row>
    <row r="286" spans="1:6" hidden="1" x14ac:dyDescent="0.25">
      <c r="A286" s="169">
        <v>43706</v>
      </c>
      <c r="B286" s="80" t="s">
        <v>2464</v>
      </c>
      <c r="C286" s="80" t="s">
        <v>119</v>
      </c>
      <c r="D286" s="80" t="s">
        <v>141</v>
      </c>
      <c r="E286" s="80" t="s">
        <v>121</v>
      </c>
      <c r="F286" s="170">
        <v>180</v>
      </c>
    </row>
    <row r="287" spans="1:6" hidden="1" x14ac:dyDescent="0.25">
      <c r="A287" s="169">
        <v>43707</v>
      </c>
      <c r="B287" s="80" t="s">
        <v>2481</v>
      </c>
      <c r="C287" s="80" t="s">
        <v>148</v>
      </c>
      <c r="D287" s="80" t="s">
        <v>141</v>
      </c>
      <c r="E287" s="80" t="s">
        <v>134</v>
      </c>
      <c r="F287" s="170">
        <v>180</v>
      </c>
    </row>
    <row r="288" spans="1:6" hidden="1" x14ac:dyDescent="0.25">
      <c r="A288" s="169">
        <v>43708</v>
      </c>
      <c r="B288" s="80" t="s">
        <v>2482</v>
      </c>
      <c r="C288" s="80" t="s">
        <v>125</v>
      </c>
      <c r="D288" s="80" t="s">
        <v>141</v>
      </c>
      <c r="E288" s="80" t="s">
        <v>131</v>
      </c>
      <c r="F288" s="170">
        <v>180</v>
      </c>
    </row>
    <row r="289" spans="1:6" hidden="1" x14ac:dyDescent="0.25">
      <c r="A289" s="169">
        <v>43708</v>
      </c>
      <c r="B289" s="80" t="s">
        <v>2489</v>
      </c>
      <c r="C289" s="80" t="s">
        <v>119</v>
      </c>
      <c r="D289" s="80" t="s">
        <v>141</v>
      </c>
      <c r="E289" s="80" t="s">
        <v>134</v>
      </c>
      <c r="F289" s="170">
        <v>180</v>
      </c>
    </row>
    <row r="290" spans="1:6" hidden="1" x14ac:dyDescent="0.25">
      <c r="A290" s="169">
        <v>43708</v>
      </c>
      <c r="B290" s="80" t="s">
        <v>2491</v>
      </c>
      <c r="C290" s="80" t="s">
        <v>125</v>
      </c>
      <c r="D290" s="80" t="s">
        <v>141</v>
      </c>
      <c r="E290" s="80" t="s">
        <v>131</v>
      </c>
      <c r="F290" s="170">
        <v>180</v>
      </c>
    </row>
    <row r="291" spans="1:6" hidden="1" x14ac:dyDescent="0.25">
      <c r="A291" s="169">
        <v>43711</v>
      </c>
      <c r="B291" s="80" t="s">
        <v>2510</v>
      </c>
      <c r="C291" s="80" t="s">
        <v>123</v>
      </c>
      <c r="D291" s="80" t="s">
        <v>141</v>
      </c>
      <c r="E291" s="80" t="s">
        <v>127</v>
      </c>
      <c r="F291" s="170">
        <v>180</v>
      </c>
    </row>
    <row r="292" spans="1:6" hidden="1" x14ac:dyDescent="0.25">
      <c r="A292" s="169">
        <v>43711</v>
      </c>
      <c r="B292" s="80" t="s">
        <v>2512</v>
      </c>
      <c r="C292" s="80" t="s">
        <v>167</v>
      </c>
      <c r="D292" s="80" t="s">
        <v>141</v>
      </c>
      <c r="E292" s="80" t="s">
        <v>121</v>
      </c>
      <c r="F292" s="170">
        <v>180</v>
      </c>
    </row>
    <row r="293" spans="1:6" hidden="1" x14ac:dyDescent="0.25">
      <c r="A293" s="169">
        <v>43711</v>
      </c>
      <c r="B293" s="80" t="s">
        <v>2516</v>
      </c>
      <c r="C293" s="80" t="s">
        <v>189</v>
      </c>
      <c r="D293" s="80" t="s">
        <v>141</v>
      </c>
      <c r="E293" s="80" t="s">
        <v>153</v>
      </c>
      <c r="F293" s="170">
        <v>180</v>
      </c>
    </row>
    <row r="294" spans="1:6" hidden="1" x14ac:dyDescent="0.25">
      <c r="A294" s="169">
        <v>43714</v>
      </c>
      <c r="B294" s="80" t="s">
        <v>2536</v>
      </c>
      <c r="C294" s="80" t="s">
        <v>189</v>
      </c>
      <c r="D294" s="80" t="s">
        <v>141</v>
      </c>
      <c r="E294" s="80" t="s">
        <v>131</v>
      </c>
      <c r="F294" s="170">
        <v>180</v>
      </c>
    </row>
    <row r="295" spans="1:6" hidden="1" x14ac:dyDescent="0.25">
      <c r="A295" s="169">
        <v>43715</v>
      </c>
      <c r="B295" s="80" t="s">
        <v>2549</v>
      </c>
      <c r="C295" s="80" t="s">
        <v>164</v>
      </c>
      <c r="D295" s="80" t="s">
        <v>141</v>
      </c>
      <c r="E295" s="80" t="s">
        <v>131</v>
      </c>
      <c r="F295" s="170">
        <v>180</v>
      </c>
    </row>
    <row r="296" spans="1:6" hidden="1" x14ac:dyDescent="0.25">
      <c r="A296" s="169">
        <v>43716</v>
      </c>
      <c r="B296" s="80" t="s">
        <v>2553</v>
      </c>
      <c r="C296" s="80" t="s">
        <v>152</v>
      </c>
      <c r="D296" s="80" t="s">
        <v>141</v>
      </c>
      <c r="E296" s="80" t="s">
        <v>121</v>
      </c>
      <c r="F296" s="170">
        <v>180</v>
      </c>
    </row>
    <row r="297" spans="1:6" hidden="1" x14ac:dyDescent="0.25">
      <c r="A297" s="169">
        <v>43719</v>
      </c>
      <c r="B297" s="80" t="s">
        <v>2580</v>
      </c>
      <c r="C297" s="80" t="s">
        <v>143</v>
      </c>
      <c r="D297" s="80" t="s">
        <v>141</v>
      </c>
      <c r="E297" s="80" t="s">
        <v>121</v>
      </c>
      <c r="F297" s="170">
        <v>180</v>
      </c>
    </row>
    <row r="298" spans="1:6" hidden="1" x14ac:dyDescent="0.25">
      <c r="A298" s="169">
        <v>43721</v>
      </c>
      <c r="B298" s="80" t="s">
        <v>2592</v>
      </c>
      <c r="C298" s="80" t="s">
        <v>143</v>
      </c>
      <c r="D298" s="80" t="s">
        <v>141</v>
      </c>
      <c r="E298" s="80" t="s">
        <v>127</v>
      </c>
      <c r="F298" s="170">
        <v>180</v>
      </c>
    </row>
    <row r="299" spans="1:6" hidden="1" x14ac:dyDescent="0.25">
      <c r="A299" s="169">
        <v>43721</v>
      </c>
      <c r="B299" s="80" t="s">
        <v>2600</v>
      </c>
      <c r="C299" s="80" t="s">
        <v>152</v>
      </c>
      <c r="D299" s="80" t="s">
        <v>141</v>
      </c>
      <c r="E299" s="80" t="s">
        <v>134</v>
      </c>
      <c r="F299" s="170">
        <v>180</v>
      </c>
    </row>
    <row r="300" spans="1:6" hidden="1" x14ac:dyDescent="0.25">
      <c r="A300" s="169">
        <v>43722</v>
      </c>
      <c r="B300" s="80" t="s">
        <v>2604</v>
      </c>
      <c r="C300" s="80" t="s">
        <v>157</v>
      </c>
      <c r="D300" s="80" t="s">
        <v>141</v>
      </c>
      <c r="E300" s="80" t="s">
        <v>134</v>
      </c>
      <c r="F300" s="170">
        <v>180</v>
      </c>
    </row>
    <row r="301" spans="1:6" hidden="1" x14ac:dyDescent="0.25">
      <c r="A301" s="169">
        <v>43723</v>
      </c>
      <c r="B301" s="80" t="s">
        <v>2608</v>
      </c>
      <c r="C301" s="80" t="s">
        <v>182</v>
      </c>
      <c r="D301" s="80" t="s">
        <v>141</v>
      </c>
      <c r="E301" s="80" t="s">
        <v>134</v>
      </c>
      <c r="F301" s="170">
        <v>180</v>
      </c>
    </row>
    <row r="302" spans="1:6" hidden="1" x14ac:dyDescent="0.25">
      <c r="A302" s="169">
        <v>43724</v>
      </c>
      <c r="B302" s="80" t="s">
        <v>2616</v>
      </c>
      <c r="C302" s="80" t="s">
        <v>187</v>
      </c>
      <c r="D302" s="80" t="s">
        <v>141</v>
      </c>
      <c r="E302" s="80" t="s">
        <v>121</v>
      </c>
      <c r="F302" s="170">
        <v>180</v>
      </c>
    </row>
    <row r="303" spans="1:6" hidden="1" x14ac:dyDescent="0.25">
      <c r="A303" s="169">
        <v>43725</v>
      </c>
      <c r="B303" s="80" t="s">
        <v>2626</v>
      </c>
      <c r="C303" s="80" t="s">
        <v>138</v>
      </c>
      <c r="D303" s="80" t="s">
        <v>141</v>
      </c>
      <c r="E303" s="80" t="s">
        <v>127</v>
      </c>
      <c r="F303" s="170">
        <v>180</v>
      </c>
    </row>
    <row r="304" spans="1:6" hidden="1" x14ac:dyDescent="0.25">
      <c r="A304" s="169">
        <v>43725</v>
      </c>
      <c r="B304" s="80" t="s">
        <v>2627</v>
      </c>
      <c r="C304" s="80" t="s">
        <v>164</v>
      </c>
      <c r="D304" s="80" t="s">
        <v>141</v>
      </c>
      <c r="E304" s="80" t="s">
        <v>131</v>
      </c>
      <c r="F304" s="170">
        <v>180</v>
      </c>
    </row>
    <row r="305" spans="1:6" hidden="1" x14ac:dyDescent="0.25">
      <c r="A305" s="169">
        <v>43725</v>
      </c>
      <c r="B305" s="80" t="s">
        <v>2629</v>
      </c>
      <c r="C305" s="80" t="s">
        <v>129</v>
      </c>
      <c r="D305" s="80" t="s">
        <v>141</v>
      </c>
      <c r="E305" s="80" t="s">
        <v>127</v>
      </c>
      <c r="F305" s="170">
        <v>180</v>
      </c>
    </row>
    <row r="306" spans="1:6" hidden="1" x14ac:dyDescent="0.25">
      <c r="A306" s="169">
        <v>43725</v>
      </c>
      <c r="B306" s="80" t="s">
        <v>2632</v>
      </c>
      <c r="C306" s="80" t="s">
        <v>164</v>
      </c>
      <c r="D306" s="80" t="s">
        <v>141</v>
      </c>
      <c r="E306" s="80" t="s">
        <v>131</v>
      </c>
      <c r="F306" s="170">
        <v>180</v>
      </c>
    </row>
    <row r="307" spans="1:6" hidden="1" x14ac:dyDescent="0.25">
      <c r="A307" s="169">
        <v>43726</v>
      </c>
      <c r="B307" s="80" t="s">
        <v>2634</v>
      </c>
      <c r="C307" s="80" t="s">
        <v>136</v>
      </c>
      <c r="D307" s="80" t="s">
        <v>141</v>
      </c>
      <c r="E307" s="80" t="s">
        <v>134</v>
      </c>
      <c r="F307" s="170">
        <v>180</v>
      </c>
    </row>
    <row r="308" spans="1:6" hidden="1" x14ac:dyDescent="0.25">
      <c r="A308" s="169">
        <v>43729</v>
      </c>
      <c r="B308" s="80" t="s">
        <v>2668</v>
      </c>
      <c r="C308" s="80" t="s">
        <v>223</v>
      </c>
      <c r="D308" s="80" t="s">
        <v>141</v>
      </c>
      <c r="E308" s="80" t="s">
        <v>121</v>
      </c>
      <c r="F308" s="170">
        <v>180</v>
      </c>
    </row>
    <row r="309" spans="1:6" hidden="1" x14ac:dyDescent="0.25">
      <c r="A309" s="169">
        <v>43729</v>
      </c>
      <c r="B309" s="80" t="s">
        <v>2670</v>
      </c>
      <c r="C309" s="80" t="s">
        <v>138</v>
      </c>
      <c r="D309" s="80" t="s">
        <v>141</v>
      </c>
      <c r="E309" s="80" t="s">
        <v>134</v>
      </c>
      <c r="F309" s="170">
        <v>180</v>
      </c>
    </row>
    <row r="310" spans="1:6" hidden="1" x14ac:dyDescent="0.25">
      <c r="A310" s="169">
        <v>43731</v>
      </c>
      <c r="B310" s="80" t="s">
        <v>2686</v>
      </c>
      <c r="C310" s="80" t="s">
        <v>223</v>
      </c>
      <c r="D310" s="80" t="s">
        <v>141</v>
      </c>
      <c r="E310" s="80" t="s">
        <v>153</v>
      </c>
      <c r="F310" s="170">
        <v>180</v>
      </c>
    </row>
    <row r="311" spans="1:6" hidden="1" x14ac:dyDescent="0.25">
      <c r="A311" s="169">
        <v>43732</v>
      </c>
      <c r="B311" s="80" t="s">
        <v>2697</v>
      </c>
      <c r="C311" s="80" t="s">
        <v>164</v>
      </c>
      <c r="D311" s="80" t="s">
        <v>141</v>
      </c>
      <c r="E311" s="80" t="s">
        <v>134</v>
      </c>
      <c r="F311" s="170">
        <v>180</v>
      </c>
    </row>
    <row r="312" spans="1:6" hidden="1" x14ac:dyDescent="0.25">
      <c r="A312" s="169">
        <v>43733</v>
      </c>
      <c r="B312" s="80" t="s">
        <v>2707</v>
      </c>
      <c r="C312" s="80" t="s">
        <v>187</v>
      </c>
      <c r="D312" s="80" t="s">
        <v>141</v>
      </c>
      <c r="E312" s="80" t="s">
        <v>134</v>
      </c>
      <c r="F312" s="170">
        <v>180</v>
      </c>
    </row>
    <row r="313" spans="1:6" hidden="1" x14ac:dyDescent="0.25">
      <c r="A313" s="169">
        <v>43733</v>
      </c>
      <c r="B313" s="80" t="s">
        <v>2715</v>
      </c>
      <c r="C313" s="80" t="s">
        <v>125</v>
      </c>
      <c r="D313" s="80" t="s">
        <v>141</v>
      </c>
      <c r="E313" s="80" t="s">
        <v>134</v>
      </c>
      <c r="F313" s="170">
        <v>180</v>
      </c>
    </row>
    <row r="314" spans="1:6" hidden="1" x14ac:dyDescent="0.25">
      <c r="A314" s="169">
        <v>43734</v>
      </c>
      <c r="B314" s="80" t="s">
        <v>2719</v>
      </c>
      <c r="C314" s="80" t="s">
        <v>164</v>
      </c>
      <c r="D314" s="80" t="s">
        <v>141</v>
      </c>
      <c r="E314" s="80" t="s">
        <v>153</v>
      </c>
      <c r="F314" s="170">
        <v>180</v>
      </c>
    </row>
    <row r="315" spans="1:6" hidden="1" x14ac:dyDescent="0.25">
      <c r="A315" s="169">
        <v>43734</v>
      </c>
      <c r="B315" s="80" t="s">
        <v>2720</v>
      </c>
      <c r="C315" s="80" t="s">
        <v>189</v>
      </c>
      <c r="D315" s="80" t="s">
        <v>141</v>
      </c>
      <c r="E315" s="80" t="s">
        <v>131</v>
      </c>
      <c r="F315" s="170">
        <v>180</v>
      </c>
    </row>
    <row r="316" spans="1:6" hidden="1" x14ac:dyDescent="0.25">
      <c r="A316" s="169">
        <v>43734</v>
      </c>
      <c r="B316" s="80" t="s">
        <v>2722</v>
      </c>
      <c r="C316" s="80" t="s">
        <v>129</v>
      </c>
      <c r="D316" s="80" t="s">
        <v>141</v>
      </c>
      <c r="E316" s="80" t="s">
        <v>127</v>
      </c>
      <c r="F316" s="170">
        <v>180</v>
      </c>
    </row>
    <row r="317" spans="1:6" hidden="1" x14ac:dyDescent="0.25">
      <c r="A317" s="169">
        <v>43735</v>
      </c>
      <c r="B317" s="80" t="s">
        <v>2737</v>
      </c>
      <c r="C317" s="80" t="s">
        <v>182</v>
      </c>
      <c r="D317" s="80" t="s">
        <v>141</v>
      </c>
      <c r="E317" s="80" t="s">
        <v>153</v>
      </c>
      <c r="F317" s="170">
        <v>180</v>
      </c>
    </row>
    <row r="318" spans="1:6" hidden="1" x14ac:dyDescent="0.25">
      <c r="A318" s="169">
        <v>43737</v>
      </c>
      <c r="B318" s="80" t="s">
        <v>2750</v>
      </c>
      <c r="C318" s="80" t="s">
        <v>164</v>
      </c>
      <c r="D318" s="80" t="s">
        <v>141</v>
      </c>
      <c r="E318" s="80" t="s">
        <v>121</v>
      </c>
      <c r="F318" s="170">
        <v>180</v>
      </c>
    </row>
    <row r="319" spans="1:6" hidden="1" x14ac:dyDescent="0.25">
      <c r="A319" s="169">
        <v>43738</v>
      </c>
      <c r="B319" s="80" t="s">
        <v>2751</v>
      </c>
      <c r="C319" s="80" t="s">
        <v>143</v>
      </c>
      <c r="D319" s="80" t="s">
        <v>141</v>
      </c>
      <c r="E319" s="80" t="s">
        <v>134</v>
      </c>
      <c r="F319" s="170">
        <v>180</v>
      </c>
    </row>
    <row r="320" spans="1:6" hidden="1" x14ac:dyDescent="0.25">
      <c r="A320" s="169">
        <v>43739</v>
      </c>
      <c r="B320" s="80" t="s">
        <v>2758</v>
      </c>
      <c r="C320" s="80" t="s">
        <v>167</v>
      </c>
      <c r="D320" s="80" t="s">
        <v>141</v>
      </c>
      <c r="E320" s="80" t="s">
        <v>127</v>
      </c>
      <c r="F320" s="170">
        <v>180</v>
      </c>
    </row>
    <row r="321" spans="1:6" hidden="1" x14ac:dyDescent="0.25">
      <c r="A321" s="169">
        <v>43742</v>
      </c>
      <c r="B321" s="80" t="s">
        <v>2782</v>
      </c>
      <c r="C321" s="80" t="s">
        <v>138</v>
      </c>
      <c r="D321" s="80" t="s">
        <v>141</v>
      </c>
      <c r="E321" s="80" t="s">
        <v>134</v>
      </c>
      <c r="F321" s="170">
        <v>180</v>
      </c>
    </row>
    <row r="322" spans="1:6" hidden="1" x14ac:dyDescent="0.25">
      <c r="A322" s="169">
        <v>43746</v>
      </c>
      <c r="B322" s="80" t="s">
        <v>2806</v>
      </c>
      <c r="C322" s="80" t="s">
        <v>129</v>
      </c>
      <c r="D322" s="80" t="s">
        <v>141</v>
      </c>
      <c r="E322" s="80" t="s">
        <v>131</v>
      </c>
      <c r="F322" s="170">
        <v>180</v>
      </c>
    </row>
    <row r="323" spans="1:6" hidden="1" x14ac:dyDescent="0.25">
      <c r="A323" s="169">
        <v>43747</v>
      </c>
      <c r="B323" s="80" t="s">
        <v>2816</v>
      </c>
      <c r="C323" s="80" t="s">
        <v>129</v>
      </c>
      <c r="D323" s="80" t="s">
        <v>141</v>
      </c>
      <c r="E323" s="80" t="s">
        <v>127</v>
      </c>
      <c r="F323" s="170">
        <v>180</v>
      </c>
    </row>
    <row r="324" spans="1:6" hidden="1" x14ac:dyDescent="0.25">
      <c r="A324" s="169">
        <v>43747</v>
      </c>
      <c r="B324" s="80" t="s">
        <v>2821</v>
      </c>
      <c r="C324" s="80" t="s">
        <v>145</v>
      </c>
      <c r="D324" s="80" t="s">
        <v>141</v>
      </c>
      <c r="E324" s="80" t="s">
        <v>153</v>
      </c>
      <c r="F324" s="170">
        <v>180</v>
      </c>
    </row>
    <row r="325" spans="1:6" hidden="1" x14ac:dyDescent="0.25">
      <c r="A325" s="169">
        <v>43747</v>
      </c>
      <c r="B325" s="80" t="s">
        <v>2824</v>
      </c>
      <c r="C325" s="80" t="s">
        <v>148</v>
      </c>
      <c r="D325" s="80" t="s">
        <v>141</v>
      </c>
      <c r="E325" s="80" t="s">
        <v>153</v>
      </c>
      <c r="F325" s="170">
        <v>180</v>
      </c>
    </row>
    <row r="326" spans="1:6" hidden="1" x14ac:dyDescent="0.25">
      <c r="A326" s="169">
        <v>43749</v>
      </c>
      <c r="B326" s="80" t="s">
        <v>2839</v>
      </c>
      <c r="C326" s="80" t="s">
        <v>138</v>
      </c>
      <c r="D326" s="80" t="s">
        <v>141</v>
      </c>
      <c r="E326" s="80" t="s">
        <v>131</v>
      </c>
      <c r="F326" s="170">
        <v>180</v>
      </c>
    </row>
    <row r="327" spans="1:6" hidden="1" x14ac:dyDescent="0.25">
      <c r="A327" s="169">
        <v>43750</v>
      </c>
      <c r="B327" s="80" t="s">
        <v>2853</v>
      </c>
      <c r="C327" s="80" t="s">
        <v>164</v>
      </c>
      <c r="D327" s="80" t="s">
        <v>141</v>
      </c>
      <c r="E327" s="80" t="s">
        <v>127</v>
      </c>
      <c r="F327" s="170">
        <v>180</v>
      </c>
    </row>
    <row r="328" spans="1:6" hidden="1" x14ac:dyDescent="0.25">
      <c r="A328" s="169">
        <v>43750</v>
      </c>
      <c r="B328" s="80" t="s">
        <v>2857</v>
      </c>
      <c r="C328" s="80" t="s">
        <v>167</v>
      </c>
      <c r="D328" s="80" t="s">
        <v>141</v>
      </c>
      <c r="E328" s="80" t="s">
        <v>131</v>
      </c>
      <c r="F328" s="170">
        <v>180</v>
      </c>
    </row>
    <row r="329" spans="1:6" hidden="1" x14ac:dyDescent="0.25">
      <c r="A329" s="169">
        <v>43754</v>
      </c>
      <c r="B329" s="80" t="s">
        <v>2899</v>
      </c>
      <c r="C329" s="80" t="s">
        <v>187</v>
      </c>
      <c r="D329" s="80" t="s">
        <v>141</v>
      </c>
      <c r="E329" s="80" t="s">
        <v>121</v>
      </c>
      <c r="F329" s="170">
        <v>180</v>
      </c>
    </row>
    <row r="330" spans="1:6" hidden="1" x14ac:dyDescent="0.25">
      <c r="A330" s="169">
        <v>43755</v>
      </c>
      <c r="B330" s="80" t="s">
        <v>2901</v>
      </c>
      <c r="C330" s="80" t="s">
        <v>119</v>
      </c>
      <c r="D330" s="80" t="s">
        <v>141</v>
      </c>
      <c r="E330" s="80" t="s">
        <v>134</v>
      </c>
      <c r="F330" s="170">
        <v>180</v>
      </c>
    </row>
    <row r="331" spans="1:6" hidden="1" x14ac:dyDescent="0.25">
      <c r="A331" s="169">
        <v>43757</v>
      </c>
      <c r="B331" s="80" t="s">
        <v>2928</v>
      </c>
      <c r="C331" s="80" t="s">
        <v>187</v>
      </c>
      <c r="D331" s="80" t="s">
        <v>141</v>
      </c>
      <c r="E331" s="80" t="s">
        <v>153</v>
      </c>
      <c r="F331" s="170">
        <v>180</v>
      </c>
    </row>
    <row r="332" spans="1:6" hidden="1" x14ac:dyDescent="0.25">
      <c r="A332" s="169">
        <v>43759</v>
      </c>
      <c r="B332" s="80" t="s">
        <v>2948</v>
      </c>
      <c r="C332" s="80" t="s">
        <v>164</v>
      </c>
      <c r="D332" s="80" t="s">
        <v>141</v>
      </c>
      <c r="E332" s="80" t="s">
        <v>127</v>
      </c>
      <c r="F332" s="170">
        <v>180</v>
      </c>
    </row>
    <row r="333" spans="1:6" hidden="1" x14ac:dyDescent="0.25">
      <c r="A333" s="169">
        <v>43761</v>
      </c>
      <c r="B333" s="80" t="s">
        <v>2964</v>
      </c>
      <c r="C333" s="80" t="s">
        <v>136</v>
      </c>
      <c r="D333" s="80" t="s">
        <v>141</v>
      </c>
      <c r="E333" s="80" t="s">
        <v>121</v>
      </c>
      <c r="F333" s="170">
        <v>180</v>
      </c>
    </row>
    <row r="334" spans="1:6" hidden="1" x14ac:dyDescent="0.25">
      <c r="A334" s="169">
        <v>43761</v>
      </c>
      <c r="B334" s="80" t="s">
        <v>2966</v>
      </c>
      <c r="C334" s="80" t="s">
        <v>152</v>
      </c>
      <c r="D334" s="80" t="s">
        <v>141</v>
      </c>
      <c r="E334" s="80" t="s">
        <v>153</v>
      </c>
      <c r="F334" s="170">
        <v>180</v>
      </c>
    </row>
    <row r="335" spans="1:6" hidden="1" x14ac:dyDescent="0.25">
      <c r="A335" s="169">
        <v>43762</v>
      </c>
      <c r="B335" s="80" t="s">
        <v>2975</v>
      </c>
      <c r="C335" s="80" t="s">
        <v>189</v>
      </c>
      <c r="D335" s="80" t="s">
        <v>141</v>
      </c>
      <c r="E335" s="80" t="s">
        <v>131</v>
      </c>
      <c r="F335" s="170">
        <v>180</v>
      </c>
    </row>
    <row r="336" spans="1:6" hidden="1" x14ac:dyDescent="0.25">
      <c r="A336" s="169">
        <v>43763</v>
      </c>
      <c r="B336" s="80" t="s">
        <v>2979</v>
      </c>
      <c r="C336" s="80" t="s">
        <v>125</v>
      </c>
      <c r="D336" s="80" t="s">
        <v>141</v>
      </c>
      <c r="E336" s="80" t="s">
        <v>127</v>
      </c>
      <c r="F336" s="170">
        <v>180</v>
      </c>
    </row>
    <row r="337" spans="1:6" hidden="1" x14ac:dyDescent="0.25">
      <c r="A337" s="169">
        <v>43765</v>
      </c>
      <c r="B337" s="80" t="s">
        <v>3000</v>
      </c>
      <c r="C337" s="80" t="s">
        <v>187</v>
      </c>
      <c r="D337" s="80" t="s">
        <v>141</v>
      </c>
      <c r="E337" s="80" t="s">
        <v>131</v>
      </c>
      <c r="F337" s="170">
        <v>180</v>
      </c>
    </row>
    <row r="338" spans="1:6" hidden="1" x14ac:dyDescent="0.25">
      <c r="A338" s="169">
        <v>43766</v>
      </c>
      <c r="B338" s="80" t="s">
        <v>3013</v>
      </c>
      <c r="C338" s="80" t="s">
        <v>129</v>
      </c>
      <c r="D338" s="80" t="s">
        <v>141</v>
      </c>
      <c r="E338" s="80" t="s">
        <v>121</v>
      </c>
      <c r="F338" s="170">
        <v>180</v>
      </c>
    </row>
    <row r="339" spans="1:6" hidden="1" x14ac:dyDescent="0.25">
      <c r="A339" s="169">
        <v>43766</v>
      </c>
      <c r="B339" s="80" t="s">
        <v>3021</v>
      </c>
      <c r="C339" s="80" t="s">
        <v>145</v>
      </c>
      <c r="D339" s="80" t="s">
        <v>141</v>
      </c>
      <c r="E339" s="80" t="s">
        <v>131</v>
      </c>
      <c r="F339" s="170">
        <v>180</v>
      </c>
    </row>
    <row r="340" spans="1:6" hidden="1" x14ac:dyDescent="0.25">
      <c r="A340" s="169">
        <v>43766</v>
      </c>
      <c r="B340" s="80" t="s">
        <v>3022</v>
      </c>
      <c r="C340" s="80" t="s">
        <v>148</v>
      </c>
      <c r="D340" s="80" t="s">
        <v>141</v>
      </c>
      <c r="E340" s="80" t="s">
        <v>121</v>
      </c>
      <c r="F340" s="170">
        <v>180</v>
      </c>
    </row>
    <row r="341" spans="1:6" hidden="1" x14ac:dyDescent="0.25">
      <c r="A341" s="169">
        <v>43767</v>
      </c>
      <c r="B341" s="80" t="s">
        <v>3029</v>
      </c>
      <c r="C341" s="80" t="s">
        <v>187</v>
      </c>
      <c r="D341" s="80" t="s">
        <v>141</v>
      </c>
      <c r="E341" s="80" t="s">
        <v>131</v>
      </c>
      <c r="F341" s="170">
        <v>180</v>
      </c>
    </row>
    <row r="342" spans="1:6" hidden="1" x14ac:dyDescent="0.25">
      <c r="A342" s="169">
        <v>43768</v>
      </c>
      <c r="B342" s="80" t="s">
        <v>3043</v>
      </c>
      <c r="C342" s="80" t="s">
        <v>123</v>
      </c>
      <c r="D342" s="80" t="s">
        <v>141</v>
      </c>
      <c r="E342" s="80" t="s">
        <v>153</v>
      </c>
      <c r="F342" s="170">
        <v>180</v>
      </c>
    </row>
    <row r="343" spans="1:6" hidden="1" x14ac:dyDescent="0.25">
      <c r="A343" s="169">
        <v>43768</v>
      </c>
      <c r="B343" s="80" t="s">
        <v>3045</v>
      </c>
      <c r="C343" s="80" t="s">
        <v>182</v>
      </c>
      <c r="D343" s="80" t="s">
        <v>141</v>
      </c>
      <c r="E343" s="80" t="s">
        <v>131</v>
      </c>
      <c r="F343" s="170">
        <v>180</v>
      </c>
    </row>
    <row r="344" spans="1:6" hidden="1" x14ac:dyDescent="0.25">
      <c r="A344" s="169">
        <v>43770</v>
      </c>
      <c r="B344" s="80" t="s">
        <v>3052</v>
      </c>
      <c r="C344" s="80" t="s">
        <v>152</v>
      </c>
      <c r="D344" s="80" t="s">
        <v>141</v>
      </c>
      <c r="E344" s="80" t="s">
        <v>121</v>
      </c>
      <c r="F344" s="170">
        <v>180</v>
      </c>
    </row>
    <row r="345" spans="1:6" hidden="1" x14ac:dyDescent="0.25">
      <c r="A345" s="169">
        <v>43770</v>
      </c>
      <c r="B345" s="80" t="s">
        <v>3054</v>
      </c>
      <c r="C345" s="80" t="s">
        <v>119</v>
      </c>
      <c r="D345" s="80" t="s">
        <v>141</v>
      </c>
      <c r="E345" s="80" t="s">
        <v>153</v>
      </c>
      <c r="F345" s="170">
        <v>180</v>
      </c>
    </row>
    <row r="346" spans="1:6" hidden="1" x14ac:dyDescent="0.25">
      <c r="A346" s="169">
        <v>43772</v>
      </c>
      <c r="B346" s="80" t="s">
        <v>3077</v>
      </c>
      <c r="C346" s="80" t="s">
        <v>164</v>
      </c>
      <c r="D346" s="80" t="s">
        <v>141</v>
      </c>
      <c r="E346" s="80" t="s">
        <v>131</v>
      </c>
      <c r="F346" s="170">
        <v>180</v>
      </c>
    </row>
    <row r="347" spans="1:6" hidden="1" x14ac:dyDescent="0.25">
      <c r="A347" s="169">
        <v>43773</v>
      </c>
      <c r="B347" s="80" t="s">
        <v>3086</v>
      </c>
      <c r="C347" s="80" t="s">
        <v>187</v>
      </c>
      <c r="D347" s="80" t="s">
        <v>141</v>
      </c>
      <c r="E347" s="80" t="s">
        <v>127</v>
      </c>
      <c r="F347" s="170">
        <v>180</v>
      </c>
    </row>
    <row r="348" spans="1:6" hidden="1" x14ac:dyDescent="0.25">
      <c r="A348" s="169">
        <v>43773</v>
      </c>
      <c r="B348" s="80" t="s">
        <v>3087</v>
      </c>
      <c r="C348" s="80" t="s">
        <v>223</v>
      </c>
      <c r="D348" s="80" t="s">
        <v>141</v>
      </c>
      <c r="E348" s="80" t="s">
        <v>121</v>
      </c>
      <c r="F348" s="170">
        <v>180</v>
      </c>
    </row>
    <row r="349" spans="1:6" hidden="1" x14ac:dyDescent="0.25">
      <c r="A349" s="169">
        <v>43773</v>
      </c>
      <c r="B349" s="80" t="s">
        <v>3088</v>
      </c>
      <c r="C349" s="80" t="s">
        <v>187</v>
      </c>
      <c r="D349" s="80" t="s">
        <v>141</v>
      </c>
      <c r="E349" s="80" t="s">
        <v>153</v>
      </c>
      <c r="F349" s="170">
        <v>180</v>
      </c>
    </row>
    <row r="350" spans="1:6" hidden="1" x14ac:dyDescent="0.25">
      <c r="A350" s="169">
        <v>43774</v>
      </c>
      <c r="B350" s="80" t="s">
        <v>3100</v>
      </c>
      <c r="C350" s="80" t="s">
        <v>143</v>
      </c>
      <c r="D350" s="80" t="s">
        <v>141</v>
      </c>
      <c r="E350" s="80" t="s">
        <v>127</v>
      </c>
      <c r="F350" s="170">
        <v>180</v>
      </c>
    </row>
    <row r="351" spans="1:6" hidden="1" x14ac:dyDescent="0.25">
      <c r="A351" s="169">
        <v>43775</v>
      </c>
      <c r="B351" s="80" t="s">
        <v>3106</v>
      </c>
      <c r="C351" s="80" t="s">
        <v>129</v>
      </c>
      <c r="D351" s="80" t="s">
        <v>141</v>
      </c>
      <c r="E351" s="80" t="s">
        <v>127</v>
      </c>
      <c r="F351" s="170">
        <v>180</v>
      </c>
    </row>
    <row r="352" spans="1:6" hidden="1" x14ac:dyDescent="0.25">
      <c r="A352" s="169">
        <v>43775</v>
      </c>
      <c r="B352" s="80" t="s">
        <v>3110</v>
      </c>
      <c r="C352" s="80" t="s">
        <v>167</v>
      </c>
      <c r="D352" s="80" t="s">
        <v>141</v>
      </c>
      <c r="E352" s="80" t="s">
        <v>121</v>
      </c>
      <c r="F352" s="170">
        <v>180</v>
      </c>
    </row>
    <row r="353" spans="1:6" hidden="1" x14ac:dyDescent="0.25">
      <c r="A353" s="169">
        <v>43775</v>
      </c>
      <c r="B353" s="80" t="s">
        <v>3113</v>
      </c>
      <c r="C353" s="80" t="s">
        <v>143</v>
      </c>
      <c r="D353" s="80" t="s">
        <v>141</v>
      </c>
      <c r="E353" s="80" t="s">
        <v>153</v>
      </c>
      <c r="F353" s="170">
        <v>180</v>
      </c>
    </row>
    <row r="354" spans="1:6" hidden="1" x14ac:dyDescent="0.25">
      <c r="A354" s="169">
        <v>43775</v>
      </c>
      <c r="B354" s="80" t="s">
        <v>3114</v>
      </c>
      <c r="C354" s="80" t="s">
        <v>189</v>
      </c>
      <c r="D354" s="80" t="s">
        <v>141</v>
      </c>
      <c r="E354" s="80" t="s">
        <v>127</v>
      </c>
      <c r="F354" s="170">
        <v>180</v>
      </c>
    </row>
    <row r="355" spans="1:6" hidden="1" x14ac:dyDescent="0.25">
      <c r="A355" s="169">
        <v>43776</v>
      </c>
      <c r="B355" s="80" t="s">
        <v>3118</v>
      </c>
      <c r="C355" s="80" t="s">
        <v>152</v>
      </c>
      <c r="D355" s="80" t="s">
        <v>141</v>
      </c>
      <c r="E355" s="80" t="s">
        <v>127</v>
      </c>
      <c r="F355" s="170">
        <v>180</v>
      </c>
    </row>
    <row r="356" spans="1:6" hidden="1" x14ac:dyDescent="0.25">
      <c r="A356" s="169">
        <v>43778</v>
      </c>
      <c r="B356" s="80" t="s">
        <v>3132</v>
      </c>
      <c r="C356" s="80" t="s">
        <v>143</v>
      </c>
      <c r="D356" s="80" t="s">
        <v>141</v>
      </c>
      <c r="E356" s="80" t="s">
        <v>134</v>
      </c>
      <c r="F356" s="170">
        <v>180</v>
      </c>
    </row>
    <row r="357" spans="1:6" hidden="1" x14ac:dyDescent="0.25">
      <c r="A357" s="169">
        <v>43778</v>
      </c>
      <c r="B357" s="80" t="s">
        <v>3137</v>
      </c>
      <c r="C357" s="80" t="s">
        <v>123</v>
      </c>
      <c r="D357" s="80" t="s">
        <v>141</v>
      </c>
      <c r="E357" s="80" t="s">
        <v>134</v>
      </c>
      <c r="F357" s="170">
        <v>180</v>
      </c>
    </row>
    <row r="358" spans="1:6" hidden="1" x14ac:dyDescent="0.25">
      <c r="A358" s="169">
        <v>43779</v>
      </c>
      <c r="B358" s="80" t="s">
        <v>3150</v>
      </c>
      <c r="C358" s="80" t="s">
        <v>136</v>
      </c>
      <c r="D358" s="80" t="s">
        <v>141</v>
      </c>
      <c r="E358" s="80" t="s">
        <v>121</v>
      </c>
      <c r="F358" s="170">
        <v>180</v>
      </c>
    </row>
    <row r="359" spans="1:6" hidden="1" x14ac:dyDescent="0.25">
      <c r="A359" s="169">
        <v>43780</v>
      </c>
      <c r="B359" s="80" t="s">
        <v>3164</v>
      </c>
      <c r="C359" s="80" t="s">
        <v>123</v>
      </c>
      <c r="D359" s="80" t="s">
        <v>141</v>
      </c>
      <c r="E359" s="80" t="s">
        <v>131</v>
      </c>
      <c r="F359" s="170">
        <v>180</v>
      </c>
    </row>
    <row r="360" spans="1:6" hidden="1" x14ac:dyDescent="0.25">
      <c r="A360" s="169">
        <v>43780</v>
      </c>
      <c r="B360" s="80" t="s">
        <v>3171</v>
      </c>
      <c r="C360" s="80" t="s">
        <v>164</v>
      </c>
      <c r="D360" s="80" t="s">
        <v>141</v>
      </c>
      <c r="E360" s="80" t="s">
        <v>121</v>
      </c>
      <c r="F360" s="170">
        <v>180</v>
      </c>
    </row>
    <row r="361" spans="1:6" hidden="1" x14ac:dyDescent="0.25">
      <c r="A361" s="169">
        <v>43781</v>
      </c>
      <c r="B361" s="80" t="s">
        <v>3174</v>
      </c>
      <c r="C361" s="80" t="s">
        <v>145</v>
      </c>
      <c r="D361" s="80" t="s">
        <v>141</v>
      </c>
      <c r="E361" s="80" t="s">
        <v>134</v>
      </c>
      <c r="F361" s="170">
        <v>180</v>
      </c>
    </row>
    <row r="362" spans="1:6" hidden="1" x14ac:dyDescent="0.25">
      <c r="A362" s="169">
        <v>43781</v>
      </c>
      <c r="B362" s="80" t="s">
        <v>3178</v>
      </c>
      <c r="C362" s="80" t="s">
        <v>125</v>
      </c>
      <c r="D362" s="80" t="s">
        <v>141</v>
      </c>
      <c r="E362" s="80" t="s">
        <v>134</v>
      </c>
      <c r="F362" s="170">
        <v>180</v>
      </c>
    </row>
    <row r="363" spans="1:6" hidden="1" x14ac:dyDescent="0.25">
      <c r="A363" s="169">
        <v>43782</v>
      </c>
      <c r="B363" s="80" t="s">
        <v>3182</v>
      </c>
      <c r="C363" s="80" t="s">
        <v>152</v>
      </c>
      <c r="D363" s="80" t="s">
        <v>141</v>
      </c>
      <c r="E363" s="80" t="s">
        <v>131</v>
      </c>
      <c r="F363" s="170">
        <v>180</v>
      </c>
    </row>
    <row r="364" spans="1:6" hidden="1" x14ac:dyDescent="0.25">
      <c r="A364" s="169">
        <v>43782</v>
      </c>
      <c r="B364" s="80" t="s">
        <v>3190</v>
      </c>
      <c r="C364" s="80" t="s">
        <v>187</v>
      </c>
      <c r="D364" s="80" t="s">
        <v>141</v>
      </c>
      <c r="E364" s="80" t="s">
        <v>127</v>
      </c>
      <c r="F364" s="170">
        <v>180</v>
      </c>
    </row>
    <row r="365" spans="1:6" hidden="1" x14ac:dyDescent="0.25">
      <c r="A365" s="169">
        <v>43782</v>
      </c>
      <c r="B365" s="80" t="s">
        <v>3191</v>
      </c>
      <c r="C365" s="80" t="s">
        <v>182</v>
      </c>
      <c r="D365" s="80" t="s">
        <v>141</v>
      </c>
      <c r="E365" s="80" t="s">
        <v>153</v>
      </c>
      <c r="F365" s="170">
        <v>180</v>
      </c>
    </row>
    <row r="366" spans="1:6" hidden="1" x14ac:dyDescent="0.25">
      <c r="A366" s="169">
        <v>43783</v>
      </c>
      <c r="B366" s="80" t="s">
        <v>3196</v>
      </c>
      <c r="C366" s="80" t="s">
        <v>182</v>
      </c>
      <c r="D366" s="80" t="s">
        <v>141</v>
      </c>
      <c r="E366" s="80" t="s">
        <v>134</v>
      </c>
      <c r="F366" s="170">
        <v>180</v>
      </c>
    </row>
    <row r="367" spans="1:6" hidden="1" x14ac:dyDescent="0.25">
      <c r="A367" s="169">
        <v>43784</v>
      </c>
      <c r="B367" s="80" t="s">
        <v>3215</v>
      </c>
      <c r="C367" s="80" t="s">
        <v>187</v>
      </c>
      <c r="D367" s="80" t="s">
        <v>141</v>
      </c>
      <c r="E367" s="80" t="s">
        <v>134</v>
      </c>
      <c r="F367" s="170">
        <v>180</v>
      </c>
    </row>
    <row r="368" spans="1:6" hidden="1" x14ac:dyDescent="0.25">
      <c r="A368" s="169">
        <v>43784</v>
      </c>
      <c r="B368" s="80" t="s">
        <v>3220</v>
      </c>
      <c r="C368" s="80" t="s">
        <v>129</v>
      </c>
      <c r="D368" s="80" t="s">
        <v>141</v>
      </c>
      <c r="E368" s="80" t="s">
        <v>121</v>
      </c>
      <c r="F368" s="170">
        <v>180</v>
      </c>
    </row>
    <row r="369" spans="1:6" hidden="1" x14ac:dyDescent="0.25">
      <c r="A369" s="169">
        <v>43786</v>
      </c>
      <c r="B369" s="80" t="s">
        <v>3230</v>
      </c>
      <c r="C369" s="80" t="s">
        <v>119</v>
      </c>
      <c r="D369" s="80" t="s">
        <v>141</v>
      </c>
      <c r="E369" s="80" t="s">
        <v>153</v>
      </c>
      <c r="F369" s="170">
        <v>180</v>
      </c>
    </row>
    <row r="370" spans="1:6" hidden="1" x14ac:dyDescent="0.25">
      <c r="A370" s="169">
        <v>43788</v>
      </c>
      <c r="B370" s="80" t="s">
        <v>3246</v>
      </c>
      <c r="C370" s="80" t="s">
        <v>125</v>
      </c>
      <c r="D370" s="80" t="s">
        <v>141</v>
      </c>
      <c r="E370" s="80" t="s">
        <v>127</v>
      </c>
      <c r="F370" s="170">
        <v>180</v>
      </c>
    </row>
    <row r="371" spans="1:6" hidden="1" x14ac:dyDescent="0.25">
      <c r="A371" s="169">
        <v>43789</v>
      </c>
      <c r="B371" s="80" t="s">
        <v>3248</v>
      </c>
      <c r="C371" s="80" t="s">
        <v>182</v>
      </c>
      <c r="D371" s="80" t="s">
        <v>141</v>
      </c>
      <c r="E371" s="80" t="s">
        <v>131</v>
      </c>
      <c r="F371" s="170">
        <v>180</v>
      </c>
    </row>
    <row r="372" spans="1:6" hidden="1" x14ac:dyDescent="0.25">
      <c r="A372" s="169">
        <v>43789</v>
      </c>
      <c r="B372" s="80" t="s">
        <v>3249</v>
      </c>
      <c r="C372" s="80" t="s">
        <v>148</v>
      </c>
      <c r="D372" s="80" t="s">
        <v>141</v>
      </c>
      <c r="E372" s="80" t="s">
        <v>121</v>
      </c>
      <c r="F372" s="170">
        <v>180</v>
      </c>
    </row>
    <row r="373" spans="1:6" hidden="1" x14ac:dyDescent="0.25">
      <c r="A373" s="169">
        <v>43789</v>
      </c>
      <c r="B373" s="80" t="s">
        <v>3252</v>
      </c>
      <c r="C373" s="80" t="s">
        <v>189</v>
      </c>
      <c r="D373" s="80" t="s">
        <v>141</v>
      </c>
      <c r="E373" s="80" t="s">
        <v>131</v>
      </c>
      <c r="F373" s="170">
        <v>180</v>
      </c>
    </row>
    <row r="374" spans="1:6" hidden="1" x14ac:dyDescent="0.25">
      <c r="A374" s="169">
        <v>43790</v>
      </c>
      <c r="B374" s="80" t="s">
        <v>3258</v>
      </c>
      <c r="C374" s="80" t="s">
        <v>125</v>
      </c>
      <c r="D374" s="80" t="s">
        <v>141</v>
      </c>
      <c r="E374" s="80" t="s">
        <v>153</v>
      </c>
      <c r="F374" s="170">
        <v>180</v>
      </c>
    </row>
    <row r="375" spans="1:6" hidden="1" x14ac:dyDescent="0.25">
      <c r="A375" s="169">
        <v>43790</v>
      </c>
      <c r="B375" s="80" t="s">
        <v>3265</v>
      </c>
      <c r="C375" s="80" t="s">
        <v>152</v>
      </c>
      <c r="D375" s="80" t="s">
        <v>141</v>
      </c>
      <c r="E375" s="80" t="s">
        <v>121</v>
      </c>
      <c r="F375" s="170">
        <v>180</v>
      </c>
    </row>
    <row r="376" spans="1:6" hidden="1" x14ac:dyDescent="0.25">
      <c r="A376" s="169">
        <v>43792</v>
      </c>
      <c r="B376" s="80" t="s">
        <v>3281</v>
      </c>
      <c r="C376" s="80" t="s">
        <v>164</v>
      </c>
      <c r="D376" s="80" t="s">
        <v>141</v>
      </c>
      <c r="E376" s="80" t="s">
        <v>121</v>
      </c>
      <c r="F376" s="170">
        <v>180</v>
      </c>
    </row>
    <row r="377" spans="1:6" hidden="1" x14ac:dyDescent="0.25">
      <c r="A377" s="169">
        <v>43792</v>
      </c>
      <c r="B377" s="80" t="s">
        <v>3284</v>
      </c>
      <c r="C377" s="80" t="s">
        <v>187</v>
      </c>
      <c r="D377" s="80" t="s">
        <v>141</v>
      </c>
      <c r="E377" s="80" t="s">
        <v>131</v>
      </c>
      <c r="F377" s="170">
        <v>180</v>
      </c>
    </row>
    <row r="378" spans="1:6" hidden="1" x14ac:dyDescent="0.25">
      <c r="A378" s="169">
        <v>43792</v>
      </c>
      <c r="B378" s="80" t="s">
        <v>3286</v>
      </c>
      <c r="C378" s="80" t="s">
        <v>129</v>
      </c>
      <c r="D378" s="80" t="s">
        <v>141</v>
      </c>
      <c r="E378" s="80" t="s">
        <v>153</v>
      </c>
      <c r="F378" s="170">
        <v>180</v>
      </c>
    </row>
    <row r="379" spans="1:6" hidden="1" x14ac:dyDescent="0.25">
      <c r="A379" s="169">
        <v>43792</v>
      </c>
      <c r="B379" s="80" t="s">
        <v>3289</v>
      </c>
      <c r="C379" s="80" t="s">
        <v>189</v>
      </c>
      <c r="D379" s="80" t="s">
        <v>141</v>
      </c>
      <c r="E379" s="80" t="s">
        <v>131</v>
      </c>
      <c r="F379" s="170">
        <v>180</v>
      </c>
    </row>
    <row r="380" spans="1:6" hidden="1" x14ac:dyDescent="0.25">
      <c r="A380" s="169">
        <v>43793</v>
      </c>
      <c r="B380" s="80" t="s">
        <v>3291</v>
      </c>
      <c r="C380" s="80" t="s">
        <v>129</v>
      </c>
      <c r="D380" s="80" t="s">
        <v>141</v>
      </c>
      <c r="E380" s="80" t="s">
        <v>127</v>
      </c>
      <c r="F380" s="170">
        <v>180</v>
      </c>
    </row>
    <row r="381" spans="1:6" hidden="1" x14ac:dyDescent="0.25">
      <c r="A381" s="169">
        <v>43793</v>
      </c>
      <c r="B381" s="80" t="s">
        <v>3299</v>
      </c>
      <c r="C381" s="80" t="s">
        <v>187</v>
      </c>
      <c r="D381" s="80" t="s">
        <v>141</v>
      </c>
      <c r="E381" s="80" t="s">
        <v>153</v>
      </c>
      <c r="F381" s="170">
        <v>180</v>
      </c>
    </row>
    <row r="382" spans="1:6" hidden="1" x14ac:dyDescent="0.25">
      <c r="A382" s="169">
        <v>43795</v>
      </c>
      <c r="B382" s="80" t="s">
        <v>3318</v>
      </c>
      <c r="C382" s="80" t="s">
        <v>148</v>
      </c>
      <c r="D382" s="80" t="s">
        <v>141</v>
      </c>
      <c r="E382" s="80" t="s">
        <v>131</v>
      </c>
      <c r="F382" s="170">
        <v>180</v>
      </c>
    </row>
    <row r="383" spans="1:6" hidden="1" x14ac:dyDescent="0.25">
      <c r="A383" s="169">
        <v>43796</v>
      </c>
      <c r="B383" s="80" t="s">
        <v>3322</v>
      </c>
      <c r="C383" s="80" t="s">
        <v>119</v>
      </c>
      <c r="D383" s="80" t="s">
        <v>141</v>
      </c>
      <c r="E383" s="80" t="s">
        <v>131</v>
      </c>
      <c r="F383" s="170">
        <v>180</v>
      </c>
    </row>
    <row r="384" spans="1:6" hidden="1" x14ac:dyDescent="0.25">
      <c r="A384" s="169">
        <v>43796</v>
      </c>
      <c r="B384" s="80" t="s">
        <v>3324</v>
      </c>
      <c r="C384" s="80" t="s">
        <v>145</v>
      </c>
      <c r="D384" s="80" t="s">
        <v>141</v>
      </c>
      <c r="E384" s="80" t="s">
        <v>121</v>
      </c>
      <c r="F384" s="170">
        <v>180</v>
      </c>
    </row>
    <row r="385" spans="1:6" hidden="1" x14ac:dyDescent="0.25">
      <c r="A385" s="169">
        <v>43798</v>
      </c>
      <c r="B385" s="80" t="s">
        <v>3340</v>
      </c>
      <c r="C385" s="80" t="s">
        <v>129</v>
      </c>
      <c r="D385" s="80" t="s">
        <v>141</v>
      </c>
      <c r="E385" s="80" t="s">
        <v>131</v>
      </c>
      <c r="F385" s="170">
        <v>180</v>
      </c>
    </row>
    <row r="386" spans="1:6" hidden="1" x14ac:dyDescent="0.25">
      <c r="A386" s="169">
        <v>43798</v>
      </c>
      <c r="B386" s="80" t="s">
        <v>3344</v>
      </c>
      <c r="C386" s="80" t="s">
        <v>143</v>
      </c>
      <c r="D386" s="80" t="s">
        <v>141</v>
      </c>
      <c r="E386" s="80" t="s">
        <v>134</v>
      </c>
      <c r="F386" s="170">
        <v>180</v>
      </c>
    </row>
    <row r="387" spans="1:6" hidden="1" x14ac:dyDescent="0.25">
      <c r="A387" s="169">
        <v>43799</v>
      </c>
      <c r="B387" s="80" t="s">
        <v>3355</v>
      </c>
      <c r="C387" s="80" t="s">
        <v>164</v>
      </c>
      <c r="D387" s="80" t="s">
        <v>141</v>
      </c>
      <c r="E387" s="80" t="s">
        <v>134</v>
      </c>
      <c r="F387" s="170">
        <v>180</v>
      </c>
    </row>
    <row r="388" spans="1:6" hidden="1" x14ac:dyDescent="0.25">
      <c r="A388" s="169">
        <v>43800</v>
      </c>
      <c r="B388" s="80" t="s">
        <v>3364</v>
      </c>
      <c r="C388" s="80" t="s">
        <v>136</v>
      </c>
      <c r="D388" s="80" t="s">
        <v>141</v>
      </c>
      <c r="E388" s="80" t="s">
        <v>127</v>
      </c>
      <c r="F388" s="170">
        <v>180</v>
      </c>
    </row>
    <row r="389" spans="1:6" hidden="1" x14ac:dyDescent="0.25">
      <c r="A389" s="169">
        <v>43800</v>
      </c>
      <c r="B389" s="80" t="s">
        <v>3368</v>
      </c>
      <c r="C389" s="80" t="s">
        <v>167</v>
      </c>
      <c r="D389" s="80" t="s">
        <v>141</v>
      </c>
      <c r="E389" s="80" t="s">
        <v>121</v>
      </c>
      <c r="F389" s="170">
        <v>180</v>
      </c>
    </row>
    <row r="390" spans="1:6" hidden="1" x14ac:dyDescent="0.25">
      <c r="A390" s="169">
        <v>43802</v>
      </c>
      <c r="B390" s="80" t="s">
        <v>3382</v>
      </c>
      <c r="C390" s="80" t="s">
        <v>119</v>
      </c>
      <c r="D390" s="80" t="s">
        <v>141</v>
      </c>
      <c r="E390" s="80" t="s">
        <v>127</v>
      </c>
      <c r="F390" s="170">
        <v>180</v>
      </c>
    </row>
    <row r="391" spans="1:6" hidden="1" x14ac:dyDescent="0.25">
      <c r="A391" s="169">
        <v>43802</v>
      </c>
      <c r="B391" s="80" t="s">
        <v>3386</v>
      </c>
      <c r="C391" s="80" t="s">
        <v>182</v>
      </c>
      <c r="D391" s="80" t="s">
        <v>141</v>
      </c>
      <c r="E391" s="80" t="s">
        <v>131</v>
      </c>
      <c r="F391" s="170">
        <v>180</v>
      </c>
    </row>
    <row r="392" spans="1:6" hidden="1" x14ac:dyDescent="0.25">
      <c r="A392" s="169">
        <v>43803</v>
      </c>
      <c r="B392" s="80" t="s">
        <v>3396</v>
      </c>
      <c r="C392" s="80" t="s">
        <v>145</v>
      </c>
      <c r="D392" s="80" t="s">
        <v>141</v>
      </c>
      <c r="E392" s="80" t="s">
        <v>134</v>
      </c>
      <c r="F392" s="170">
        <v>180</v>
      </c>
    </row>
    <row r="393" spans="1:6" hidden="1" x14ac:dyDescent="0.25">
      <c r="A393" s="169">
        <v>43803</v>
      </c>
      <c r="B393" s="80" t="s">
        <v>3397</v>
      </c>
      <c r="C393" s="80" t="s">
        <v>157</v>
      </c>
      <c r="D393" s="80" t="s">
        <v>141</v>
      </c>
      <c r="E393" s="80" t="s">
        <v>127</v>
      </c>
      <c r="F393" s="170">
        <v>180</v>
      </c>
    </row>
    <row r="394" spans="1:6" hidden="1" x14ac:dyDescent="0.25">
      <c r="A394" s="169">
        <v>43803</v>
      </c>
      <c r="B394" s="80" t="s">
        <v>3400</v>
      </c>
      <c r="C394" s="80" t="s">
        <v>145</v>
      </c>
      <c r="D394" s="80" t="s">
        <v>141</v>
      </c>
      <c r="E394" s="80" t="s">
        <v>127</v>
      </c>
      <c r="F394" s="170">
        <v>180</v>
      </c>
    </row>
    <row r="395" spans="1:6" hidden="1" x14ac:dyDescent="0.25">
      <c r="A395" s="169">
        <v>43804</v>
      </c>
      <c r="B395" s="80" t="s">
        <v>3407</v>
      </c>
      <c r="C395" s="80" t="s">
        <v>223</v>
      </c>
      <c r="D395" s="80" t="s">
        <v>141</v>
      </c>
      <c r="E395" s="80" t="s">
        <v>127</v>
      </c>
      <c r="F395" s="170">
        <v>180</v>
      </c>
    </row>
    <row r="396" spans="1:6" hidden="1" x14ac:dyDescent="0.25">
      <c r="A396" s="169">
        <v>43806</v>
      </c>
      <c r="B396" s="80" t="s">
        <v>3427</v>
      </c>
      <c r="C396" s="80" t="s">
        <v>152</v>
      </c>
      <c r="D396" s="80" t="s">
        <v>141</v>
      </c>
      <c r="E396" s="80" t="s">
        <v>131</v>
      </c>
      <c r="F396" s="170">
        <v>180</v>
      </c>
    </row>
    <row r="397" spans="1:6" hidden="1" x14ac:dyDescent="0.25">
      <c r="A397" s="169">
        <v>43806</v>
      </c>
      <c r="B397" s="80" t="s">
        <v>3428</v>
      </c>
      <c r="C397" s="80" t="s">
        <v>129</v>
      </c>
      <c r="D397" s="80" t="s">
        <v>141</v>
      </c>
      <c r="E397" s="80" t="s">
        <v>127</v>
      </c>
      <c r="F397" s="170">
        <v>180</v>
      </c>
    </row>
    <row r="398" spans="1:6" hidden="1" x14ac:dyDescent="0.25">
      <c r="A398" s="169">
        <v>43807</v>
      </c>
      <c r="B398" s="80" t="s">
        <v>3433</v>
      </c>
      <c r="C398" s="80" t="s">
        <v>187</v>
      </c>
      <c r="D398" s="80" t="s">
        <v>141</v>
      </c>
      <c r="E398" s="80" t="s">
        <v>121</v>
      </c>
      <c r="F398" s="170">
        <v>180</v>
      </c>
    </row>
    <row r="399" spans="1:6" hidden="1" x14ac:dyDescent="0.25">
      <c r="A399" s="169">
        <v>43807</v>
      </c>
      <c r="B399" s="80" t="s">
        <v>3438</v>
      </c>
      <c r="C399" s="80" t="s">
        <v>187</v>
      </c>
      <c r="D399" s="80" t="s">
        <v>141</v>
      </c>
      <c r="E399" s="80" t="s">
        <v>131</v>
      </c>
      <c r="F399" s="170">
        <v>180</v>
      </c>
    </row>
    <row r="400" spans="1:6" hidden="1" x14ac:dyDescent="0.25">
      <c r="A400" s="169">
        <v>43807</v>
      </c>
      <c r="B400" s="80" t="s">
        <v>3439</v>
      </c>
      <c r="C400" s="80" t="s">
        <v>223</v>
      </c>
      <c r="D400" s="80" t="s">
        <v>141</v>
      </c>
      <c r="E400" s="80" t="s">
        <v>153</v>
      </c>
      <c r="F400" s="170">
        <v>180</v>
      </c>
    </row>
    <row r="401" spans="1:6" hidden="1" x14ac:dyDescent="0.25">
      <c r="A401" s="169">
        <v>43807</v>
      </c>
      <c r="B401" s="80" t="s">
        <v>3440</v>
      </c>
      <c r="C401" s="80" t="s">
        <v>125</v>
      </c>
      <c r="D401" s="80" t="s">
        <v>141</v>
      </c>
      <c r="E401" s="80" t="s">
        <v>134</v>
      </c>
      <c r="F401" s="170">
        <v>180</v>
      </c>
    </row>
    <row r="402" spans="1:6" hidden="1" x14ac:dyDescent="0.25">
      <c r="A402" s="169">
        <v>43807</v>
      </c>
      <c r="B402" s="80" t="s">
        <v>3441</v>
      </c>
      <c r="C402" s="80" t="s">
        <v>187</v>
      </c>
      <c r="D402" s="80" t="s">
        <v>141</v>
      </c>
      <c r="E402" s="80" t="s">
        <v>121</v>
      </c>
      <c r="F402" s="170">
        <v>180</v>
      </c>
    </row>
    <row r="403" spans="1:6" hidden="1" x14ac:dyDescent="0.25">
      <c r="A403" s="169">
        <v>43808</v>
      </c>
      <c r="B403" s="80" t="s">
        <v>3446</v>
      </c>
      <c r="C403" s="80" t="s">
        <v>123</v>
      </c>
      <c r="D403" s="80" t="s">
        <v>141</v>
      </c>
      <c r="E403" s="80" t="s">
        <v>131</v>
      </c>
      <c r="F403" s="170">
        <v>180</v>
      </c>
    </row>
    <row r="404" spans="1:6" hidden="1" x14ac:dyDescent="0.25">
      <c r="A404" s="169">
        <v>43809</v>
      </c>
      <c r="B404" s="80" t="s">
        <v>3448</v>
      </c>
      <c r="C404" s="80" t="s">
        <v>119</v>
      </c>
      <c r="D404" s="80" t="s">
        <v>141</v>
      </c>
      <c r="E404" s="80" t="s">
        <v>121</v>
      </c>
      <c r="F404" s="170">
        <v>180</v>
      </c>
    </row>
    <row r="405" spans="1:6" hidden="1" x14ac:dyDescent="0.25">
      <c r="A405" s="169">
        <v>43810</v>
      </c>
      <c r="B405" s="80" t="s">
        <v>3462</v>
      </c>
      <c r="C405" s="80" t="s">
        <v>167</v>
      </c>
      <c r="D405" s="80" t="s">
        <v>141</v>
      </c>
      <c r="E405" s="80" t="s">
        <v>131</v>
      </c>
      <c r="F405" s="170">
        <v>180</v>
      </c>
    </row>
    <row r="406" spans="1:6" hidden="1" x14ac:dyDescent="0.25">
      <c r="A406" s="169">
        <v>43810</v>
      </c>
      <c r="B406" s="80" t="s">
        <v>3464</v>
      </c>
      <c r="C406" s="80" t="s">
        <v>223</v>
      </c>
      <c r="D406" s="80" t="s">
        <v>141</v>
      </c>
      <c r="E406" s="80" t="s">
        <v>121</v>
      </c>
      <c r="F406" s="170">
        <v>180</v>
      </c>
    </row>
    <row r="407" spans="1:6" hidden="1" x14ac:dyDescent="0.25">
      <c r="A407" s="169">
        <v>43810</v>
      </c>
      <c r="B407" s="80" t="s">
        <v>3465</v>
      </c>
      <c r="C407" s="80" t="s">
        <v>136</v>
      </c>
      <c r="D407" s="80" t="s">
        <v>141</v>
      </c>
      <c r="E407" s="80" t="s">
        <v>127</v>
      </c>
      <c r="F407" s="170">
        <v>180</v>
      </c>
    </row>
    <row r="408" spans="1:6" hidden="1" x14ac:dyDescent="0.25">
      <c r="A408" s="169">
        <v>43811</v>
      </c>
      <c r="B408" s="80" t="s">
        <v>3474</v>
      </c>
      <c r="C408" s="80" t="s">
        <v>164</v>
      </c>
      <c r="D408" s="80" t="s">
        <v>141</v>
      </c>
      <c r="E408" s="80" t="s">
        <v>153</v>
      </c>
      <c r="F408" s="170">
        <v>180</v>
      </c>
    </row>
    <row r="409" spans="1:6" hidden="1" x14ac:dyDescent="0.25">
      <c r="A409" s="169">
        <v>43812</v>
      </c>
      <c r="B409" s="80" t="s">
        <v>3478</v>
      </c>
      <c r="C409" s="80" t="s">
        <v>152</v>
      </c>
      <c r="D409" s="80" t="s">
        <v>141</v>
      </c>
      <c r="E409" s="80" t="s">
        <v>131</v>
      </c>
      <c r="F409" s="170">
        <v>180</v>
      </c>
    </row>
    <row r="410" spans="1:6" hidden="1" x14ac:dyDescent="0.25">
      <c r="A410" s="169">
        <v>43813</v>
      </c>
      <c r="B410" s="80" t="s">
        <v>3483</v>
      </c>
      <c r="C410" s="80" t="s">
        <v>129</v>
      </c>
      <c r="D410" s="80" t="s">
        <v>141</v>
      </c>
      <c r="E410" s="80" t="s">
        <v>153</v>
      </c>
      <c r="F410" s="170">
        <v>180</v>
      </c>
    </row>
    <row r="411" spans="1:6" hidden="1" x14ac:dyDescent="0.25">
      <c r="A411" s="169">
        <v>43813</v>
      </c>
      <c r="B411" s="80" t="s">
        <v>3488</v>
      </c>
      <c r="C411" s="80" t="s">
        <v>152</v>
      </c>
      <c r="D411" s="80" t="s">
        <v>141</v>
      </c>
      <c r="E411" s="80" t="s">
        <v>121</v>
      </c>
      <c r="F411" s="170">
        <v>180</v>
      </c>
    </row>
    <row r="412" spans="1:6" hidden="1" x14ac:dyDescent="0.25">
      <c r="A412" s="169">
        <v>43814</v>
      </c>
      <c r="B412" s="80" t="s">
        <v>3494</v>
      </c>
      <c r="C412" s="80" t="s">
        <v>136</v>
      </c>
      <c r="D412" s="80" t="s">
        <v>141</v>
      </c>
      <c r="E412" s="80" t="s">
        <v>127</v>
      </c>
      <c r="F412" s="170">
        <v>180</v>
      </c>
    </row>
    <row r="413" spans="1:6" hidden="1" x14ac:dyDescent="0.25">
      <c r="A413" s="169">
        <v>43814</v>
      </c>
      <c r="B413" s="80" t="s">
        <v>3495</v>
      </c>
      <c r="C413" s="80" t="s">
        <v>187</v>
      </c>
      <c r="D413" s="80" t="s">
        <v>141</v>
      </c>
      <c r="E413" s="80" t="s">
        <v>127</v>
      </c>
      <c r="F413" s="170">
        <v>180</v>
      </c>
    </row>
    <row r="414" spans="1:6" hidden="1" x14ac:dyDescent="0.25">
      <c r="A414" s="169">
        <v>43816</v>
      </c>
      <c r="B414" s="80" t="s">
        <v>3511</v>
      </c>
      <c r="C414" s="80" t="s">
        <v>148</v>
      </c>
      <c r="D414" s="80" t="s">
        <v>141</v>
      </c>
      <c r="E414" s="80" t="s">
        <v>153</v>
      </c>
      <c r="F414" s="170">
        <v>180</v>
      </c>
    </row>
    <row r="415" spans="1:6" hidden="1" x14ac:dyDescent="0.25">
      <c r="A415" s="169">
        <v>43816</v>
      </c>
      <c r="B415" s="80" t="s">
        <v>3513</v>
      </c>
      <c r="C415" s="80" t="s">
        <v>143</v>
      </c>
      <c r="D415" s="80" t="s">
        <v>141</v>
      </c>
      <c r="E415" s="80" t="s">
        <v>121</v>
      </c>
      <c r="F415" s="170">
        <v>180</v>
      </c>
    </row>
    <row r="416" spans="1:6" hidden="1" x14ac:dyDescent="0.25">
      <c r="A416" s="169">
        <v>43817</v>
      </c>
      <c r="B416" s="80" t="s">
        <v>3516</v>
      </c>
      <c r="C416" s="80" t="s">
        <v>164</v>
      </c>
      <c r="D416" s="80" t="s">
        <v>141</v>
      </c>
      <c r="E416" s="80" t="s">
        <v>153</v>
      </c>
      <c r="F416" s="170">
        <v>180</v>
      </c>
    </row>
    <row r="417" spans="1:6" hidden="1" x14ac:dyDescent="0.25">
      <c r="A417" s="169">
        <v>43819</v>
      </c>
      <c r="B417" s="80" t="s">
        <v>3544</v>
      </c>
      <c r="C417" s="80" t="s">
        <v>182</v>
      </c>
      <c r="D417" s="80" t="s">
        <v>141</v>
      </c>
      <c r="E417" s="80" t="s">
        <v>121</v>
      </c>
      <c r="F417" s="170">
        <v>180</v>
      </c>
    </row>
    <row r="418" spans="1:6" hidden="1" x14ac:dyDescent="0.25">
      <c r="A418" s="169">
        <v>43820</v>
      </c>
      <c r="B418" s="80" t="s">
        <v>3551</v>
      </c>
      <c r="C418" s="80" t="s">
        <v>187</v>
      </c>
      <c r="D418" s="80" t="s">
        <v>141</v>
      </c>
      <c r="E418" s="80" t="s">
        <v>121</v>
      </c>
      <c r="F418" s="170">
        <v>180</v>
      </c>
    </row>
    <row r="419" spans="1:6" hidden="1" x14ac:dyDescent="0.25">
      <c r="A419" s="169">
        <v>43820</v>
      </c>
      <c r="B419" s="80" t="s">
        <v>3553</v>
      </c>
      <c r="C419" s="80" t="s">
        <v>136</v>
      </c>
      <c r="D419" s="80" t="s">
        <v>141</v>
      </c>
      <c r="E419" s="80" t="s">
        <v>153</v>
      </c>
      <c r="F419" s="170">
        <v>180</v>
      </c>
    </row>
    <row r="420" spans="1:6" hidden="1" x14ac:dyDescent="0.25">
      <c r="A420" s="169">
        <v>43820</v>
      </c>
      <c r="B420" s="80" t="s">
        <v>3555</v>
      </c>
      <c r="C420" s="80" t="s">
        <v>148</v>
      </c>
      <c r="D420" s="80" t="s">
        <v>141</v>
      </c>
      <c r="E420" s="80" t="s">
        <v>127</v>
      </c>
      <c r="F420" s="170">
        <v>180</v>
      </c>
    </row>
    <row r="421" spans="1:6" hidden="1" x14ac:dyDescent="0.25">
      <c r="A421" s="169">
        <v>43821</v>
      </c>
      <c r="B421" s="80" t="s">
        <v>3557</v>
      </c>
      <c r="C421" s="80" t="s">
        <v>123</v>
      </c>
      <c r="D421" s="80" t="s">
        <v>141</v>
      </c>
      <c r="E421" s="80" t="s">
        <v>134</v>
      </c>
      <c r="F421" s="170">
        <v>180</v>
      </c>
    </row>
    <row r="422" spans="1:6" hidden="1" x14ac:dyDescent="0.25">
      <c r="A422" s="169">
        <v>43821</v>
      </c>
      <c r="B422" s="80" t="s">
        <v>3559</v>
      </c>
      <c r="C422" s="80" t="s">
        <v>187</v>
      </c>
      <c r="D422" s="80" t="s">
        <v>141</v>
      </c>
      <c r="E422" s="80" t="s">
        <v>121</v>
      </c>
      <c r="F422" s="170">
        <v>180</v>
      </c>
    </row>
    <row r="423" spans="1:6" hidden="1" x14ac:dyDescent="0.25">
      <c r="A423" s="169">
        <v>43821</v>
      </c>
      <c r="B423" s="80" t="s">
        <v>3562</v>
      </c>
      <c r="C423" s="80" t="s">
        <v>125</v>
      </c>
      <c r="D423" s="80" t="s">
        <v>141</v>
      </c>
      <c r="E423" s="80" t="s">
        <v>131</v>
      </c>
      <c r="F423" s="170">
        <v>180</v>
      </c>
    </row>
    <row r="424" spans="1:6" hidden="1" x14ac:dyDescent="0.25">
      <c r="A424" s="169">
        <v>43824</v>
      </c>
      <c r="B424" s="80" t="s">
        <v>3583</v>
      </c>
      <c r="C424" s="80" t="s">
        <v>187</v>
      </c>
      <c r="D424" s="80" t="s">
        <v>141</v>
      </c>
      <c r="E424" s="80" t="s">
        <v>127</v>
      </c>
      <c r="F424" s="170">
        <v>180</v>
      </c>
    </row>
    <row r="425" spans="1:6" hidden="1" x14ac:dyDescent="0.25">
      <c r="A425" s="169">
        <v>43825</v>
      </c>
      <c r="B425" s="80" t="s">
        <v>3594</v>
      </c>
      <c r="C425" s="80" t="s">
        <v>138</v>
      </c>
      <c r="D425" s="80" t="s">
        <v>141</v>
      </c>
      <c r="E425" s="80" t="s">
        <v>134</v>
      </c>
      <c r="F425" s="170">
        <v>180</v>
      </c>
    </row>
    <row r="426" spans="1:6" hidden="1" x14ac:dyDescent="0.25">
      <c r="A426" s="169">
        <v>43825</v>
      </c>
      <c r="B426" s="80" t="s">
        <v>3596</v>
      </c>
      <c r="C426" s="80" t="s">
        <v>187</v>
      </c>
      <c r="D426" s="80" t="s">
        <v>141</v>
      </c>
      <c r="E426" s="80" t="s">
        <v>127</v>
      </c>
      <c r="F426" s="170">
        <v>180</v>
      </c>
    </row>
    <row r="427" spans="1:6" hidden="1" x14ac:dyDescent="0.25">
      <c r="A427" s="169">
        <v>43826</v>
      </c>
      <c r="B427" s="80" t="s">
        <v>3601</v>
      </c>
      <c r="C427" s="80" t="s">
        <v>119</v>
      </c>
      <c r="D427" s="80" t="s">
        <v>141</v>
      </c>
      <c r="E427" s="80" t="s">
        <v>134</v>
      </c>
      <c r="F427" s="170">
        <v>180</v>
      </c>
    </row>
    <row r="428" spans="1:6" hidden="1" x14ac:dyDescent="0.25">
      <c r="A428" s="169">
        <v>43826</v>
      </c>
      <c r="B428" s="80" t="s">
        <v>3602</v>
      </c>
      <c r="C428" s="80" t="s">
        <v>119</v>
      </c>
      <c r="D428" s="80" t="s">
        <v>141</v>
      </c>
      <c r="E428" s="80" t="s">
        <v>153</v>
      </c>
      <c r="F428" s="170">
        <v>180</v>
      </c>
    </row>
    <row r="429" spans="1:6" hidden="1" x14ac:dyDescent="0.25">
      <c r="A429" s="169">
        <v>43826</v>
      </c>
      <c r="B429" s="80" t="s">
        <v>3603</v>
      </c>
      <c r="C429" s="80" t="s">
        <v>152</v>
      </c>
      <c r="D429" s="80" t="s">
        <v>141</v>
      </c>
      <c r="E429" s="80" t="s">
        <v>127</v>
      </c>
      <c r="F429" s="170">
        <v>180</v>
      </c>
    </row>
    <row r="430" spans="1:6" hidden="1" x14ac:dyDescent="0.25">
      <c r="A430" s="169">
        <v>43826</v>
      </c>
      <c r="B430" s="80" t="s">
        <v>3604</v>
      </c>
      <c r="C430" s="80" t="s">
        <v>152</v>
      </c>
      <c r="D430" s="80" t="s">
        <v>141</v>
      </c>
      <c r="E430" s="80" t="s">
        <v>153</v>
      </c>
      <c r="F430" s="170">
        <v>180</v>
      </c>
    </row>
    <row r="431" spans="1:6" hidden="1" x14ac:dyDescent="0.25">
      <c r="A431" s="169">
        <v>43827</v>
      </c>
      <c r="B431" s="80" t="s">
        <v>3608</v>
      </c>
      <c r="C431" s="80" t="s">
        <v>129</v>
      </c>
      <c r="D431" s="80" t="s">
        <v>141</v>
      </c>
      <c r="E431" s="80" t="s">
        <v>127</v>
      </c>
      <c r="F431" s="170">
        <v>180</v>
      </c>
    </row>
    <row r="432" spans="1:6" hidden="1" x14ac:dyDescent="0.25">
      <c r="A432" s="169">
        <v>43827</v>
      </c>
      <c r="B432" s="80" t="s">
        <v>3615</v>
      </c>
      <c r="C432" s="80" t="s">
        <v>125</v>
      </c>
      <c r="D432" s="80" t="s">
        <v>141</v>
      </c>
      <c r="E432" s="80" t="s">
        <v>127</v>
      </c>
      <c r="F432" s="170">
        <v>180</v>
      </c>
    </row>
    <row r="433" spans="1:6" hidden="1" x14ac:dyDescent="0.25">
      <c r="A433" s="169">
        <v>43827</v>
      </c>
      <c r="B433" s="80" t="s">
        <v>3617</v>
      </c>
      <c r="C433" s="80" t="s">
        <v>143</v>
      </c>
      <c r="D433" s="80" t="s">
        <v>141</v>
      </c>
      <c r="E433" s="80" t="s">
        <v>121</v>
      </c>
      <c r="F433" s="170">
        <v>180</v>
      </c>
    </row>
    <row r="434" spans="1:6" hidden="1" x14ac:dyDescent="0.25">
      <c r="A434" s="169">
        <v>43827</v>
      </c>
      <c r="B434" s="80" t="s">
        <v>3618</v>
      </c>
      <c r="C434" s="80" t="s">
        <v>145</v>
      </c>
      <c r="D434" s="80" t="s">
        <v>141</v>
      </c>
      <c r="E434" s="80" t="s">
        <v>127</v>
      </c>
      <c r="F434" s="170">
        <v>180</v>
      </c>
    </row>
    <row r="435" spans="1:6" hidden="1" x14ac:dyDescent="0.25">
      <c r="A435" s="169">
        <v>43827</v>
      </c>
      <c r="B435" s="80" t="s">
        <v>3619</v>
      </c>
      <c r="C435" s="80" t="s">
        <v>157</v>
      </c>
      <c r="D435" s="80" t="s">
        <v>141</v>
      </c>
      <c r="E435" s="80" t="s">
        <v>134</v>
      </c>
      <c r="F435" s="170">
        <v>180</v>
      </c>
    </row>
    <row r="436" spans="1:6" hidden="1" x14ac:dyDescent="0.25">
      <c r="A436" s="169">
        <v>43828</v>
      </c>
      <c r="B436" s="80" t="s">
        <v>3623</v>
      </c>
      <c r="C436" s="80" t="s">
        <v>157</v>
      </c>
      <c r="D436" s="80" t="s">
        <v>141</v>
      </c>
      <c r="E436" s="80" t="s">
        <v>134</v>
      </c>
      <c r="F436" s="170">
        <v>180</v>
      </c>
    </row>
    <row r="437" spans="1:6" hidden="1" x14ac:dyDescent="0.25">
      <c r="A437" s="169">
        <v>43829</v>
      </c>
      <c r="B437" s="80" t="s">
        <v>3635</v>
      </c>
      <c r="C437" s="80" t="s">
        <v>125</v>
      </c>
      <c r="D437" s="80" t="s">
        <v>141</v>
      </c>
      <c r="E437" s="80" t="s">
        <v>121</v>
      </c>
      <c r="F437" s="170">
        <v>180</v>
      </c>
    </row>
    <row r="438" spans="1:6" hidden="1" x14ac:dyDescent="0.25">
      <c r="A438" s="169">
        <v>43830</v>
      </c>
      <c r="B438" s="80" t="s">
        <v>3642</v>
      </c>
      <c r="C438" s="80" t="s">
        <v>223</v>
      </c>
      <c r="D438" s="80" t="s">
        <v>141</v>
      </c>
      <c r="E438" s="80" t="s">
        <v>153</v>
      </c>
      <c r="F438" s="170">
        <v>180</v>
      </c>
    </row>
    <row r="439" spans="1:6" hidden="1" x14ac:dyDescent="0.25">
      <c r="A439" s="169">
        <v>43830</v>
      </c>
      <c r="B439" s="80" t="s">
        <v>3643</v>
      </c>
      <c r="C439" s="80" t="s">
        <v>182</v>
      </c>
      <c r="D439" s="80" t="s">
        <v>141</v>
      </c>
      <c r="E439" s="80" t="s">
        <v>153</v>
      </c>
      <c r="F439" s="170">
        <v>180</v>
      </c>
    </row>
    <row r="440" spans="1:6" hidden="1" x14ac:dyDescent="0.25">
      <c r="A440" s="169">
        <v>43466</v>
      </c>
      <c r="B440" s="80" t="s">
        <v>124</v>
      </c>
      <c r="C440" s="80" t="s">
        <v>125</v>
      </c>
      <c r="D440" s="80" t="s">
        <v>126</v>
      </c>
      <c r="E440" s="80" t="s">
        <v>127</v>
      </c>
      <c r="F440" s="170">
        <v>160</v>
      </c>
    </row>
    <row r="441" spans="1:6" hidden="1" x14ac:dyDescent="0.25">
      <c r="A441" s="169">
        <v>43467</v>
      </c>
      <c r="B441" s="80" t="s">
        <v>154</v>
      </c>
      <c r="C441" s="80" t="s">
        <v>148</v>
      </c>
      <c r="D441" s="80" t="s">
        <v>126</v>
      </c>
      <c r="E441" s="80" t="s">
        <v>134</v>
      </c>
      <c r="F441" s="170">
        <v>160</v>
      </c>
    </row>
    <row r="442" spans="1:6" hidden="1" x14ac:dyDescent="0.25">
      <c r="A442" s="169">
        <v>43468</v>
      </c>
      <c r="B442" s="80" t="s">
        <v>165</v>
      </c>
      <c r="C442" s="80" t="s">
        <v>157</v>
      </c>
      <c r="D442" s="80" t="s">
        <v>126</v>
      </c>
      <c r="E442" s="80" t="s">
        <v>131</v>
      </c>
      <c r="F442" s="170">
        <v>160</v>
      </c>
    </row>
    <row r="443" spans="1:6" hidden="1" x14ac:dyDescent="0.25">
      <c r="A443" s="169">
        <v>43468</v>
      </c>
      <c r="B443" s="80" t="s">
        <v>168</v>
      </c>
      <c r="C443" s="80" t="s">
        <v>152</v>
      </c>
      <c r="D443" s="80" t="s">
        <v>126</v>
      </c>
      <c r="E443" s="80" t="s">
        <v>134</v>
      </c>
      <c r="F443" s="170">
        <v>160</v>
      </c>
    </row>
    <row r="444" spans="1:6" hidden="1" x14ac:dyDescent="0.25">
      <c r="A444" s="169">
        <v>43468</v>
      </c>
      <c r="B444" s="80" t="s">
        <v>170</v>
      </c>
      <c r="C444" s="80" t="s">
        <v>125</v>
      </c>
      <c r="D444" s="80" t="s">
        <v>126</v>
      </c>
      <c r="E444" s="80" t="s">
        <v>131</v>
      </c>
      <c r="F444" s="170">
        <v>160</v>
      </c>
    </row>
    <row r="445" spans="1:6" hidden="1" x14ac:dyDescent="0.25">
      <c r="A445" s="169">
        <v>43468</v>
      </c>
      <c r="B445" s="80" t="s">
        <v>171</v>
      </c>
      <c r="C445" s="80" t="s">
        <v>138</v>
      </c>
      <c r="D445" s="80" t="s">
        <v>126</v>
      </c>
      <c r="E445" s="80" t="s">
        <v>153</v>
      </c>
      <c r="F445" s="170">
        <v>160</v>
      </c>
    </row>
    <row r="446" spans="1:6" hidden="1" x14ac:dyDescent="0.25">
      <c r="A446" s="169">
        <v>43469</v>
      </c>
      <c r="B446" s="80" t="s">
        <v>181</v>
      </c>
      <c r="C446" s="80" t="s">
        <v>182</v>
      </c>
      <c r="D446" s="80" t="s">
        <v>126</v>
      </c>
      <c r="E446" s="80" t="s">
        <v>134</v>
      </c>
      <c r="F446" s="170">
        <v>160</v>
      </c>
    </row>
    <row r="447" spans="1:6" hidden="1" x14ac:dyDescent="0.25">
      <c r="A447" s="169">
        <v>43469</v>
      </c>
      <c r="B447" s="80" t="s">
        <v>183</v>
      </c>
      <c r="C447" s="80" t="s">
        <v>148</v>
      </c>
      <c r="D447" s="80" t="s">
        <v>126</v>
      </c>
      <c r="E447" s="80" t="s">
        <v>153</v>
      </c>
      <c r="F447" s="170">
        <v>160</v>
      </c>
    </row>
    <row r="448" spans="1:6" hidden="1" x14ac:dyDescent="0.25">
      <c r="A448" s="169">
        <v>43469</v>
      </c>
      <c r="B448" s="80" t="s">
        <v>185</v>
      </c>
      <c r="C448" s="80" t="s">
        <v>138</v>
      </c>
      <c r="D448" s="80" t="s">
        <v>126</v>
      </c>
      <c r="E448" s="80" t="s">
        <v>153</v>
      </c>
      <c r="F448" s="170">
        <v>160</v>
      </c>
    </row>
    <row r="449" spans="1:6" hidden="1" x14ac:dyDescent="0.25">
      <c r="A449" s="169">
        <v>43470</v>
      </c>
      <c r="B449" s="80" t="s">
        <v>190</v>
      </c>
      <c r="C449" s="80" t="s">
        <v>136</v>
      </c>
      <c r="D449" s="80" t="s">
        <v>126</v>
      </c>
      <c r="E449" s="80" t="s">
        <v>127</v>
      </c>
      <c r="F449" s="170">
        <v>160</v>
      </c>
    </row>
    <row r="450" spans="1:6" hidden="1" x14ac:dyDescent="0.25">
      <c r="A450" s="169">
        <v>43470</v>
      </c>
      <c r="B450" s="80" t="s">
        <v>192</v>
      </c>
      <c r="C450" s="80" t="s">
        <v>129</v>
      </c>
      <c r="D450" s="80" t="s">
        <v>126</v>
      </c>
      <c r="E450" s="80" t="s">
        <v>134</v>
      </c>
      <c r="F450" s="170">
        <v>160</v>
      </c>
    </row>
    <row r="451" spans="1:6" hidden="1" x14ac:dyDescent="0.25">
      <c r="A451" s="169">
        <v>43472</v>
      </c>
      <c r="B451" s="80" t="s">
        <v>204</v>
      </c>
      <c r="C451" s="80" t="s">
        <v>157</v>
      </c>
      <c r="D451" s="80" t="s">
        <v>126</v>
      </c>
      <c r="E451" s="80" t="s">
        <v>121</v>
      </c>
      <c r="F451" s="170">
        <v>160</v>
      </c>
    </row>
    <row r="452" spans="1:6" hidden="1" x14ac:dyDescent="0.25">
      <c r="A452" s="169">
        <v>43472</v>
      </c>
      <c r="B452" s="80" t="s">
        <v>210</v>
      </c>
      <c r="C452" s="80" t="s">
        <v>138</v>
      </c>
      <c r="D452" s="80" t="s">
        <v>126</v>
      </c>
      <c r="E452" s="80" t="s">
        <v>134</v>
      </c>
      <c r="F452" s="170">
        <v>160</v>
      </c>
    </row>
    <row r="453" spans="1:6" hidden="1" x14ac:dyDescent="0.25">
      <c r="A453" s="169">
        <v>43473</v>
      </c>
      <c r="B453" s="80" t="s">
        <v>220</v>
      </c>
      <c r="C453" s="80" t="s">
        <v>136</v>
      </c>
      <c r="D453" s="80" t="s">
        <v>126</v>
      </c>
      <c r="E453" s="80" t="s">
        <v>127</v>
      </c>
      <c r="F453" s="170">
        <v>160</v>
      </c>
    </row>
    <row r="454" spans="1:6" hidden="1" x14ac:dyDescent="0.25">
      <c r="A454" s="169">
        <v>43473</v>
      </c>
      <c r="B454" s="80" t="s">
        <v>225</v>
      </c>
      <c r="C454" s="80" t="s">
        <v>136</v>
      </c>
      <c r="D454" s="80" t="s">
        <v>126</v>
      </c>
      <c r="E454" s="80" t="s">
        <v>127</v>
      </c>
      <c r="F454" s="170">
        <v>160</v>
      </c>
    </row>
    <row r="455" spans="1:6" hidden="1" x14ac:dyDescent="0.25">
      <c r="A455" s="169">
        <v>43474</v>
      </c>
      <c r="B455" s="80" t="s">
        <v>234</v>
      </c>
      <c r="C455" s="80" t="s">
        <v>152</v>
      </c>
      <c r="D455" s="80" t="s">
        <v>126</v>
      </c>
      <c r="E455" s="80" t="s">
        <v>121</v>
      </c>
      <c r="F455" s="170">
        <v>160</v>
      </c>
    </row>
    <row r="456" spans="1:6" hidden="1" x14ac:dyDescent="0.25">
      <c r="A456" s="169">
        <v>43474</v>
      </c>
      <c r="B456" s="80" t="s">
        <v>236</v>
      </c>
      <c r="C456" s="80" t="s">
        <v>157</v>
      </c>
      <c r="D456" s="80" t="s">
        <v>126</v>
      </c>
      <c r="E456" s="80" t="s">
        <v>131</v>
      </c>
      <c r="F456" s="170">
        <v>160</v>
      </c>
    </row>
    <row r="457" spans="1:6" hidden="1" x14ac:dyDescent="0.25">
      <c r="A457" s="169">
        <v>43475</v>
      </c>
      <c r="B457" s="80" t="s">
        <v>242</v>
      </c>
      <c r="C457" s="80" t="s">
        <v>152</v>
      </c>
      <c r="D457" s="80" t="s">
        <v>126</v>
      </c>
      <c r="E457" s="80" t="s">
        <v>131</v>
      </c>
      <c r="F457" s="170">
        <v>160</v>
      </c>
    </row>
    <row r="458" spans="1:6" hidden="1" x14ac:dyDescent="0.25">
      <c r="A458" s="169">
        <v>43476</v>
      </c>
      <c r="B458" s="80" t="s">
        <v>260</v>
      </c>
      <c r="C458" s="80" t="s">
        <v>138</v>
      </c>
      <c r="D458" s="80" t="s">
        <v>126</v>
      </c>
      <c r="E458" s="80" t="s">
        <v>153</v>
      </c>
      <c r="F458" s="170">
        <v>160</v>
      </c>
    </row>
    <row r="459" spans="1:6" hidden="1" x14ac:dyDescent="0.25">
      <c r="A459" s="169">
        <v>43477</v>
      </c>
      <c r="B459" s="80" t="s">
        <v>266</v>
      </c>
      <c r="C459" s="80" t="s">
        <v>125</v>
      </c>
      <c r="D459" s="80" t="s">
        <v>126</v>
      </c>
      <c r="E459" s="80" t="s">
        <v>121</v>
      </c>
      <c r="F459" s="170">
        <v>160</v>
      </c>
    </row>
    <row r="460" spans="1:6" hidden="1" x14ac:dyDescent="0.25">
      <c r="A460" s="169">
        <v>43477</v>
      </c>
      <c r="B460" s="80" t="s">
        <v>269</v>
      </c>
      <c r="C460" s="80" t="s">
        <v>136</v>
      </c>
      <c r="D460" s="80" t="s">
        <v>126</v>
      </c>
      <c r="E460" s="80" t="s">
        <v>153</v>
      </c>
      <c r="F460" s="170">
        <v>160</v>
      </c>
    </row>
    <row r="461" spans="1:6" hidden="1" x14ac:dyDescent="0.25">
      <c r="A461" s="169">
        <v>43479</v>
      </c>
      <c r="B461" s="80" t="s">
        <v>290</v>
      </c>
      <c r="C461" s="80" t="s">
        <v>143</v>
      </c>
      <c r="D461" s="80" t="s">
        <v>126</v>
      </c>
      <c r="E461" s="80" t="s">
        <v>153</v>
      </c>
      <c r="F461" s="170">
        <v>160</v>
      </c>
    </row>
    <row r="462" spans="1:6" hidden="1" x14ac:dyDescent="0.25">
      <c r="A462" s="169">
        <v>43480</v>
      </c>
      <c r="B462" s="80" t="s">
        <v>297</v>
      </c>
      <c r="C462" s="80" t="s">
        <v>167</v>
      </c>
      <c r="D462" s="80" t="s">
        <v>126</v>
      </c>
      <c r="E462" s="80" t="s">
        <v>134</v>
      </c>
      <c r="F462" s="170">
        <v>160</v>
      </c>
    </row>
    <row r="463" spans="1:6" hidden="1" x14ac:dyDescent="0.25">
      <c r="A463" s="169">
        <v>43481</v>
      </c>
      <c r="B463" s="80" t="s">
        <v>306</v>
      </c>
      <c r="C463" s="80" t="s">
        <v>157</v>
      </c>
      <c r="D463" s="80" t="s">
        <v>126</v>
      </c>
      <c r="E463" s="80" t="s">
        <v>127</v>
      </c>
      <c r="F463" s="170">
        <v>160</v>
      </c>
    </row>
    <row r="464" spans="1:6" hidden="1" x14ac:dyDescent="0.25">
      <c r="A464" s="169">
        <v>43482</v>
      </c>
      <c r="B464" s="80" t="s">
        <v>320</v>
      </c>
      <c r="C464" s="80" t="s">
        <v>129</v>
      </c>
      <c r="D464" s="80" t="s">
        <v>126</v>
      </c>
      <c r="E464" s="80" t="s">
        <v>131</v>
      </c>
      <c r="F464" s="170">
        <v>160</v>
      </c>
    </row>
    <row r="465" spans="1:6" hidden="1" x14ac:dyDescent="0.25">
      <c r="A465" s="169">
        <v>43482</v>
      </c>
      <c r="B465" s="80" t="s">
        <v>323</v>
      </c>
      <c r="C465" s="80" t="s">
        <v>167</v>
      </c>
      <c r="D465" s="80" t="s">
        <v>126</v>
      </c>
      <c r="E465" s="80" t="s">
        <v>153</v>
      </c>
      <c r="F465" s="170">
        <v>160</v>
      </c>
    </row>
    <row r="466" spans="1:6" hidden="1" x14ac:dyDescent="0.25">
      <c r="A466" s="169">
        <v>43484</v>
      </c>
      <c r="B466" s="80" t="s">
        <v>341</v>
      </c>
      <c r="C466" s="80" t="s">
        <v>223</v>
      </c>
      <c r="D466" s="80" t="s">
        <v>126</v>
      </c>
      <c r="E466" s="80" t="s">
        <v>134</v>
      </c>
      <c r="F466" s="170">
        <v>160</v>
      </c>
    </row>
    <row r="467" spans="1:6" hidden="1" x14ac:dyDescent="0.25">
      <c r="A467" s="169">
        <v>43486</v>
      </c>
      <c r="B467" s="80" t="s">
        <v>363</v>
      </c>
      <c r="C467" s="80" t="s">
        <v>119</v>
      </c>
      <c r="D467" s="80" t="s">
        <v>126</v>
      </c>
      <c r="E467" s="80" t="s">
        <v>131</v>
      </c>
      <c r="F467" s="170">
        <v>160</v>
      </c>
    </row>
    <row r="468" spans="1:6" hidden="1" x14ac:dyDescent="0.25">
      <c r="A468" s="169">
        <v>43487</v>
      </c>
      <c r="B468" s="80" t="s">
        <v>365</v>
      </c>
      <c r="C468" s="80" t="s">
        <v>182</v>
      </c>
      <c r="D468" s="80" t="s">
        <v>126</v>
      </c>
      <c r="E468" s="80" t="s">
        <v>121</v>
      </c>
      <c r="F468" s="170">
        <v>160</v>
      </c>
    </row>
    <row r="469" spans="1:6" hidden="1" x14ac:dyDescent="0.25">
      <c r="A469" s="169">
        <v>43488</v>
      </c>
      <c r="B469" s="80" t="s">
        <v>383</v>
      </c>
      <c r="C469" s="80" t="s">
        <v>187</v>
      </c>
      <c r="D469" s="80" t="s">
        <v>126</v>
      </c>
      <c r="E469" s="80" t="s">
        <v>131</v>
      </c>
      <c r="F469" s="170">
        <v>160</v>
      </c>
    </row>
    <row r="470" spans="1:6" hidden="1" x14ac:dyDescent="0.25">
      <c r="A470" s="169">
        <v>43489</v>
      </c>
      <c r="B470" s="80" t="s">
        <v>388</v>
      </c>
      <c r="C470" s="80" t="s">
        <v>189</v>
      </c>
      <c r="D470" s="80" t="s">
        <v>126</v>
      </c>
      <c r="E470" s="80" t="s">
        <v>121</v>
      </c>
      <c r="F470" s="170">
        <v>160</v>
      </c>
    </row>
    <row r="471" spans="1:6" hidden="1" x14ac:dyDescent="0.25">
      <c r="A471" s="169">
        <v>43489</v>
      </c>
      <c r="B471" s="80" t="s">
        <v>391</v>
      </c>
      <c r="C471" s="80" t="s">
        <v>152</v>
      </c>
      <c r="D471" s="80" t="s">
        <v>126</v>
      </c>
      <c r="E471" s="80" t="s">
        <v>153</v>
      </c>
      <c r="F471" s="170">
        <v>160</v>
      </c>
    </row>
    <row r="472" spans="1:6" hidden="1" x14ac:dyDescent="0.25">
      <c r="A472" s="169">
        <v>43490</v>
      </c>
      <c r="B472" s="80" t="s">
        <v>400</v>
      </c>
      <c r="C472" s="80" t="s">
        <v>223</v>
      </c>
      <c r="D472" s="80" t="s">
        <v>126</v>
      </c>
      <c r="E472" s="80" t="s">
        <v>121</v>
      </c>
      <c r="F472" s="170">
        <v>160</v>
      </c>
    </row>
    <row r="473" spans="1:6" hidden="1" x14ac:dyDescent="0.25">
      <c r="A473" s="169">
        <v>43490</v>
      </c>
      <c r="B473" s="80" t="s">
        <v>402</v>
      </c>
      <c r="C473" s="80" t="s">
        <v>125</v>
      </c>
      <c r="D473" s="80" t="s">
        <v>126</v>
      </c>
      <c r="E473" s="80" t="s">
        <v>131</v>
      </c>
      <c r="F473" s="170">
        <v>160</v>
      </c>
    </row>
    <row r="474" spans="1:6" hidden="1" x14ac:dyDescent="0.25">
      <c r="A474" s="169">
        <v>43492</v>
      </c>
      <c r="B474" s="80" t="s">
        <v>423</v>
      </c>
      <c r="C474" s="80" t="s">
        <v>119</v>
      </c>
      <c r="D474" s="80" t="s">
        <v>126</v>
      </c>
      <c r="E474" s="80" t="s">
        <v>121</v>
      </c>
      <c r="F474" s="170">
        <v>160</v>
      </c>
    </row>
    <row r="475" spans="1:6" hidden="1" x14ac:dyDescent="0.25">
      <c r="A475" s="169">
        <v>43494</v>
      </c>
      <c r="B475" s="80" t="s">
        <v>447</v>
      </c>
      <c r="C475" s="80" t="s">
        <v>119</v>
      </c>
      <c r="D475" s="80" t="s">
        <v>126</v>
      </c>
      <c r="E475" s="80" t="s">
        <v>131</v>
      </c>
      <c r="F475" s="170">
        <v>160</v>
      </c>
    </row>
    <row r="476" spans="1:6" hidden="1" x14ac:dyDescent="0.25">
      <c r="A476" s="169">
        <v>43495</v>
      </c>
      <c r="B476" s="80" t="s">
        <v>454</v>
      </c>
      <c r="C476" s="80" t="s">
        <v>167</v>
      </c>
      <c r="D476" s="80" t="s">
        <v>126</v>
      </c>
      <c r="E476" s="80" t="s">
        <v>153</v>
      </c>
      <c r="F476" s="170">
        <v>160</v>
      </c>
    </row>
    <row r="477" spans="1:6" hidden="1" x14ac:dyDescent="0.25">
      <c r="A477" s="169">
        <v>43495</v>
      </c>
      <c r="B477" s="80" t="s">
        <v>456</v>
      </c>
      <c r="C477" s="80" t="s">
        <v>129</v>
      </c>
      <c r="D477" s="80" t="s">
        <v>126</v>
      </c>
      <c r="E477" s="80" t="s">
        <v>121</v>
      </c>
      <c r="F477" s="170">
        <v>160</v>
      </c>
    </row>
    <row r="478" spans="1:6" hidden="1" x14ac:dyDescent="0.25">
      <c r="A478" s="169">
        <v>43500</v>
      </c>
      <c r="B478" s="80" t="s">
        <v>492</v>
      </c>
      <c r="C478" s="80" t="s">
        <v>136</v>
      </c>
      <c r="D478" s="80" t="s">
        <v>126</v>
      </c>
      <c r="E478" s="80" t="s">
        <v>153</v>
      </c>
      <c r="F478" s="170">
        <v>160</v>
      </c>
    </row>
    <row r="479" spans="1:6" hidden="1" x14ac:dyDescent="0.25">
      <c r="A479" s="169">
        <v>43500</v>
      </c>
      <c r="B479" s="80" t="s">
        <v>494</v>
      </c>
      <c r="C479" s="80" t="s">
        <v>182</v>
      </c>
      <c r="D479" s="80" t="s">
        <v>126</v>
      </c>
      <c r="E479" s="80" t="s">
        <v>134</v>
      </c>
      <c r="F479" s="170">
        <v>160</v>
      </c>
    </row>
    <row r="480" spans="1:6" hidden="1" x14ac:dyDescent="0.25">
      <c r="A480" s="169">
        <v>43500</v>
      </c>
      <c r="B480" s="80" t="s">
        <v>495</v>
      </c>
      <c r="C480" s="80" t="s">
        <v>123</v>
      </c>
      <c r="D480" s="80" t="s">
        <v>126</v>
      </c>
      <c r="E480" s="80" t="s">
        <v>121</v>
      </c>
      <c r="F480" s="170">
        <v>160</v>
      </c>
    </row>
    <row r="481" spans="1:6" hidden="1" x14ac:dyDescent="0.25">
      <c r="A481" s="169">
        <v>43501</v>
      </c>
      <c r="B481" s="80" t="s">
        <v>501</v>
      </c>
      <c r="C481" s="80" t="s">
        <v>189</v>
      </c>
      <c r="D481" s="80" t="s">
        <v>126</v>
      </c>
      <c r="E481" s="80" t="s">
        <v>153</v>
      </c>
      <c r="F481" s="170">
        <v>160</v>
      </c>
    </row>
    <row r="482" spans="1:6" hidden="1" x14ac:dyDescent="0.25">
      <c r="A482" s="169">
        <v>43502</v>
      </c>
      <c r="B482" s="80" t="s">
        <v>506</v>
      </c>
      <c r="C482" s="80" t="s">
        <v>187</v>
      </c>
      <c r="D482" s="80" t="s">
        <v>126</v>
      </c>
      <c r="E482" s="80" t="s">
        <v>121</v>
      </c>
      <c r="F482" s="170">
        <v>160</v>
      </c>
    </row>
    <row r="483" spans="1:6" hidden="1" x14ac:dyDescent="0.25">
      <c r="A483" s="169">
        <v>43502</v>
      </c>
      <c r="B483" s="80" t="s">
        <v>507</v>
      </c>
      <c r="C483" s="80" t="s">
        <v>136</v>
      </c>
      <c r="D483" s="80" t="s">
        <v>126</v>
      </c>
      <c r="E483" s="80" t="s">
        <v>127</v>
      </c>
      <c r="F483" s="170">
        <v>160</v>
      </c>
    </row>
    <row r="484" spans="1:6" hidden="1" x14ac:dyDescent="0.25">
      <c r="A484" s="169">
        <v>43505</v>
      </c>
      <c r="B484" s="80" t="s">
        <v>533</v>
      </c>
      <c r="C484" s="80" t="s">
        <v>223</v>
      </c>
      <c r="D484" s="80" t="s">
        <v>126</v>
      </c>
      <c r="E484" s="80" t="s">
        <v>131</v>
      </c>
      <c r="F484" s="170">
        <v>160</v>
      </c>
    </row>
    <row r="485" spans="1:6" hidden="1" x14ac:dyDescent="0.25">
      <c r="A485" s="169">
        <v>43505</v>
      </c>
      <c r="B485" s="80" t="s">
        <v>535</v>
      </c>
      <c r="C485" s="80" t="s">
        <v>145</v>
      </c>
      <c r="D485" s="80" t="s">
        <v>126</v>
      </c>
      <c r="E485" s="80" t="s">
        <v>121</v>
      </c>
      <c r="F485" s="170">
        <v>160</v>
      </c>
    </row>
    <row r="486" spans="1:6" hidden="1" x14ac:dyDescent="0.25">
      <c r="A486" s="169">
        <v>43506</v>
      </c>
      <c r="B486" s="80" t="s">
        <v>544</v>
      </c>
      <c r="C486" s="80" t="s">
        <v>189</v>
      </c>
      <c r="D486" s="80" t="s">
        <v>126</v>
      </c>
      <c r="E486" s="80" t="s">
        <v>131</v>
      </c>
      <c r="F486" s="170">
        <v>160</v>
      </c>
    </row>
    <row r="487" spans="1:6" hidden="1" x14ac:dyDescent="0.25">
      <c r="A487" s="169">
        <v>43508</v>
      </c>
      <c r="B487" s="80" t="s">
        <v>555</v>
      </c>
      <c r="C487" s="80" t="s">
        <v>143</v>
      </c>
      <c r="D487" s="80" t="s">
        <v>126</v>
      </c>
      <c r="E487" s="80" t="s">
        <v>127</v>
      </c>
      <c r="F487" s="170">
        <v>160</v>
      </c>
    </row>
    <row r="488" spans="1:6" hidden="1" x14ac:dyDescent="0.25">
      <c r="A488" s="169">
        <v>43508</v>
      </c>
      <c r="B488" s="80" t="s">
        <v>556</v>
      </c>
      <c r="C488" s="80" t="s">
        <v>182</v>
      </c>
      <c r="D488" s="80" t="s">
        <v>126</v>
      </c>
      <c r="E488" s="80" t="s">
        <v>153</v>
      </c>
      <c r="F488" s="170">
        <v>160</v>
      </c>
    </row>
    <row r="489" spans="1:6" hidden="1" x14ac:dyDescent="0.25">
      <c r="A489" s="169">
        <v>43508</v>
      </c>
      <c r="B489" s="80" t="s">
        <v>559</v>
      </c>
      <c r="C489" s="80" t="s">
        <v>123</v>
      </c>
      <c r="D489" s="80" t="s">
        <v>126</v>
      </c>
      <c r="E489" s="80" t="s">
        <v>153</v>
      </c>
      <c r="F489" s="170">
        <v>160</v>
      </c>
    </row>
    <row r="490" spans="1:6" hidden="1" x14ac:dyDescent="0.25">
      <c r="A490" s="169">
        <v>43510</v>
      </c>
      <c r="B490" s="80" t="s">
        <v>576</v>
      </c>
      <c r="C490" s="80" t="s">
        <v>129</v>
      </c>
      <c r="D490" s="80" t="s">
        <v>126</v>
      </c>
      <c r="E490" s="80" t="s">
        <v>153</v>
      </c>
      <c r="F490" s="170">
        <v>160</v>
      </c>
    </row>
    <row r="491" spans="1:6" hidden="1" x14ac:dyDescent="0.25">
      <c r="A491" s="169">
        <v>43511</v>
      </c>
      <c r="B491" s="80" t="s">
        <v>582</v>
      </c>
      <c r="C491" s="80" t="s">
        <v>138</v>
      </c>
      <c r="D491" s="80" t="s">
        <v>126</v>
      </c>
      <c r="E491" s="80" t="s">
        <v>153</v>
      </c>
      <c r="F491" s="170">
        <v>160</v>
      </c>
    </row>
    <row r="492" spans="1:6" hidden="1" x14ac:dyDescent="0.25">
      <c r="A492" s="169">
        <v>43511</v>
      </c>
      <c r="B492" s="80" t="s">
        <v>584</v>
      </c>
      <c r="C492" s="80" t="s">
        <v>119</v>
      </c>
      <c r="D492" s="80" t="s">
        <v>126</v>
      </c>
      <c r="E492" s="80" t="s">
        <v>131</v>
      </c>
      <c r="F492" s="170">
        <v>160</v>
      </c>
    </row>
    <row r="493" spans="1:6" hidden="1" x14ac:dyDescent="0.25">
      <c r="A493" s="169">
        <v>43511</v>
      </c>
      <c r="B493" s="80" t="s">
        <v>585</v>
      </c>
      <c r="C493" s="80" t="s">
        <v>123</v>
      </c>
      <c r="D493" s="80" t="s">
        <v>126</v>
      </c>
      <c r="E493" s="80" t="s">
        <v>121</v>
      </c>
      <c r="F493" s="170">
        <v>160</v>
      </c>
    </row>
    <row r="494" spans="1:6" hidden="1" x14ac:dyDescent="0.25">
      <c r="A494" s="169">
        <v>43512</v>
      </c>
      <c r="B494" s="80" t="s">
        <v>593</v>
      </c>
      <c r="C494" s="80" t="s">
        <v>164</v>
      </c>
      <c r="D494" s="80" t="s">
        <v>126</v>
      </c>
      <c r="E494" s="80" t="s">
        <v>127</v>
      </c>
      <c r="F494" s="170">
        <v>160</v>
      </c>
    </row>
    <row r="495" spans="1:6" hidden="1" x14ac:dyDescent="0.25">
      <c r="A495" s="169">
        <v>43512</v>
      </c>
      <c r="B495" s="80" t="s">
        <v>595</v>
      </c>
      <c r="C495" s="80" t="s">
        <v>157</v>
      </c>
      <c r="D495" s="80" t="s">
        <v>126</v>
      </c>
      <c r="E495" s="80" t="s">
        <v>134</v>
      </c>
      <c r="F495" s="170">
        <v>160</v>
      </c>
    </row>
    <row r="496" spans="1:6" hidden="1" x14ac:dyDescent="0.25">
      <c r="A496" s="169">
        <v>43514</v>
      </c>
      <c r="B496" s="80" t="s">
        <v>607</v>
      </c>
      <c r="C496" s="80" t="s">
        <v>187</v>
      </c>
      <c r="D496" s="80" t="s">
        <v>126</v>
      </c>
      <c r="E496" s="80" t="s">
        <v>153</v>
      </c>
      <c r="F496" s="170">
        <v>160</v>
      </c>
    </row>
    <row r="497" spans="1:6" hidden="1" x14ac:dyDescent="0.25">
      <c r="A497" s="169">
        <v>43514</v>
      </c>
      <c r="B497" s="80" t="s">
        <v>610</v>
      </c>
      <c r="C497" s="80" t="s">
        <v>167</v>
      </c>
      <c r="D497" s="80" t="s">
        <v>126</v>
      </c>
      <c r="E497" s="80" t="s">
        <v>131</v>
      </c>
      <c r="F497" s="170">
        <v>160</v>
      </c>
    </row>
    <row r="498" spans="1:6" hidden="1" x14ac:dyDescent="0.25">
      <c r="A498" s="169">
        <v>43514</v>
      </c>
      <c r="B498" s="80" t="s">
        <v>612</v>
      </c>
      <c r="C498" s="80" t="s">
        <v>148</v>
      </c>
      <c r="D498" s="80" t="s">
        <v>126</v>
      </c>
      <c r="E498" s="80" t="s">
        <v>127</v>
      </c>
      <c r="F498" s="170">
        <v>160</v>
      </c>
    </row>
    <row r="499" spans="1:6" hidden="1" x14ac:dyDescent="0.25">
      <c r="A499" s="169">
        <v>43516</v>
      </c>
      <c r="B499" s="80" t="s">
        <v>631</v>
      </c>
      <c r="C499" s="80" t="s">
        <v>157</v>
      </c>
      <c r="D499" s="80" t="s">
        <v>126</v>
      </c>
      <c r="E499" s="80" t="s">
        <v>134</v>
      </c>
      <c r="F499" s="170">
        <v>160</v>
      </c>
    </row>
    <row r="500" spans="1:6" hidden="1" x14ac:dyDescent="0.25">
      <c r="A500" s="169">
        <v>43517</v>
      </c>
      <c r="B500" s="80" t="s">
        <v>633</v>
      </c>
      <c r="C500" s="80" t="s">
        <v>187</v>
      </c>
      <c r="D500" s="80" t="s">
        <v>126</v>
      </c>
      <c r="E500" s="80" t="s">
        <v>134</v>
      </c>
      <c r="F500" s="170">
        <v>160</v>
      </c>
    </row>
    <row r="501" spans="1:6" hidden="1" x14ac:dyDescent="0.25">
      <c r="A501" s="169">
        <v>43517</v>
      </c>
      <c r="B501" s="80" t="s">
        <v>636</v>
      </c>
      <c r="C501" s="80" t="s">
        <v>125</v>
      </c>
      <c r="D501" s="80" t="s">
        <v>126</v>
      </c>
      <c r="E501" s="80" t="s">
        <v>153</v>
      </c>
      <c r="F501" s="170">
        <v>160</v>
      </c>
    </row>
    <row r="502" spans="1:6" hidden="1" x14ac:dyDescent="0.25">
      <c r="A502" s="169">
        <v>43519</v>
      </c>
      <c r="B502" s="80" t="s">
        <v>654</v>
      </c>
      <c r="C502" s="80" t="s">
        <v>136</v>
      </c>
      <c r="D502" s="80" t="s">
        <v>126</v>
      </c>
      <c r="E502" s="80" t="s">
        <v>153</v>
      </c>
      <c r="F502" s="170">
        <v>160</v>
      </c>
    </row>
    <row r="503" spans="1:6" hidden="1" x14ac:dyDescent="0.25">
      <c r="A503" s="169">
        <v>43519</v>
      </c>
      <c r="B503" s="80" t="s">
        <v>659</v>
      </c>
      <c r="C503" s="80" t="s">
        <v>152</v>
      </c>
      <c r="D503" s="80" t="s">
        <v>126</v>
      </c>
      <c r="E503" s="80" t="s">
        <v>131</v>
      </c>
      <c r="F503" s="170">
        <v>160</v>
      </c>
    </row>
    <row r="504" spans="1:6" hidden="1" x14ac:dyDescent="0.25">
      <c r="A504" s="169">
        <v>43520</v>
      </c>
      <c r="B504" s="80" t="s">
        <v>671</v>
      </c>
      <c r="C504" s="80" t="s">
        <v>187</v>
      </c>
      <c r="D504" s="80" t="s">
        <v>126</v>
      </c>
      <c r="E504" s="80" t="s">
        <v>134</v>
      </c>
      <c r="F504" s="170">
        <v>160</v>
      </c>
    </row>
    <row r="505" spans="1:6" hidden="1" x14ac:dyDescent="0.25">
      <c r="A505" s="169">
        <v>43521</v>
      </c>
      <c r="B505" s="80" t="s">
        <v>686</v>
      </c>
      <c r="C505" s="80" t="s">
        <v>129</v>
      </c>
      <c r="D505" s="80" t="s">
        <v>126</v>
      </c>
      <c r="E505" s="80" t="s">
        <v>153</v>
      </c>
      <c r="F505" s="170">
        <v>160</v>
      </c>
    </row>
    <row r="506" spans="1:6" hidden="1" x14ac:dyDescent="0.25">
      <c r="A506" s="169">
        <v>43521</v>
      </c>
      <c r="B506" s="80" t="s">
        <v>687</v>
      </c>
      <c r="C506" s="80" t="s">
        <v>167</v>
      </c>
      <c r="D506" s="80" t="s">
        <v>126</v>
      </c>
      <c r="E506" s="80" t="s">
        <v>134</v>
      </c>
      <c r="F506" s="170">
        <v>160</v>
      </c>
    </row>
    <row r="507" spans="1:6" hidden="1" x14ac:dyDescent="0.25">
      <c r="A507" s="169">
        <v>43521</v>
      </c>
      <c r="B507" s="80" t="s">
        <v>688</v>
      </c>
      <c r="C507" s="80" t="s">
        <v>164</v>
      </c>
      <c r="D507" s="80" t="s">
        <v>126</v>
      </c>
      <c r="E507" s="80" t="s">
        <v>134</v>
      </c>
      <c r="F507" s="170">
        <v>160</v>
      </c>
    </row>
    <row r="508" spans="1:6" hidden="1" x14ac:dyDescent="0.25">
      <c r="A508" s="169">
        <v>43521</v>
      </c>
      <c r="B508" s="80" t="s">
        <v>689</v>
      </c>
      <c r="C508" s="80" t="s">
        <v>138</v>
      </c>
      <c r="D508" s="80" t="s">
        <v>126</v>
      </c>
      <c r="E508" s="80" t="s">
        <v>127</v>
      </c>
      <c r="F508" s="170">
        <v>160</v>
      </c>
    </row>
    <row r="509" spans="1:6" hidden="1" x14ac:dyDescent="0.25">
      <c r="A509" s="169">
        <v>43522</v>
      </c>
      <c r="B509" s="80" t="s">
        <v>695</v>
      </c>
      <c r="C509" s="80" t="s">
        <v>123</v>
      </c>
      <c r="D509" s="80" t="s">
        <v>126</v>
      </c>
      <c r="E509" s="80" t="s">
        <v>121</v>
      </c>
      <c r="F509" s="170">
        <v>160</v>
      </c>
    </row>
    <row r="510" spans="1:6" hidden="1" x14ac:dyDescent="0.25">
      <c r="A510" s="169">
        <v>43523</v>
      </c>
      <c r="B510" s="80" t="s">
        <v>698</v>
      </c>
      <c r="C510" s="80" t="s">
        <v>125</v>
      </c>
      <c r="D510" s="80" t="s">
        <v>126</v>
      </c>
      <c r="E510" s="80" t="s">
        <v>134</v>
      </c>
      <c r="F510" s="170">
        <v>160</v>
      </c>
    </row>
    <row r="511" spans="1:6" hidden="1" x14ac:dyDescent="0.25">
      <c r="A511" s="169">
        <v>43524</v>
      </c>
      <c r="B511" s="80" t="s">
        <v>707</v>
      </c>
      <c r="C511" s="80" t="s">
        <v>145</v>
      </c>
      <c r="D511" s="80" t="s">
        <v>126</v>
      </c>
      <c r="E511" s="80" t="s">
        <v>153</v>
      </c>
      <c r="F511" s="170">
        <v>160</v>
      </c>
    </row>
    <row r="512" spans="1:6" hidden="1" x14ac:dyDescent="0.25">
      <c r="A512" s="169">
        <v>43524</v>
      </c>
      <c r="B512" s="80" t="s">
        <v>709</v>
      </c>
      <c r="C512" s="80" t="s">
        <v>167</v>
      </c>
      <c r="D512" s="80" t="s">
        <v>126</v>
      </c>
      <c r="E512" s="80" t="s">
        <v>131</v>
      </c>
      <c r="F512" s="170">
        <v>160</v>
      </c>
    </row>
    <row r="513" spans="1:6" hidden="1" x14ac:dyDescent="0.25">
      <c r="A513" s="169">
        <v>43525</v>
      </c>
      <c r="B513" s="80" t="s">
        <v>718</v>
      </c>
      <c r="C513" s="80" t="s">
        <v>125</v>
      </c>
      <c r="D513" s="80" t="s">
        <v>126</v>
      </c>
      <c r="E513" s="80" t="s">
        <v>127</v>
      </c>
      <c r="F513" s="170">
        <v>160</v>
      </c>
    </row>
    <row r="514" spans="1:6" hidden="1" x14ac:dyDescent="0.25">
      <c r="A514" s="169">
        <v>43525</v>
      </c>
      <c r="B514" s="80" t="s">
        <v>720</v>
      </c>
      <c r="C514" s="80" t="s">
        <v>125</v>
      </c>
      <c r="D514" s="80" t="s">
        <v>126</v>
      </c>
      <c r="E514" s="80" t="s">
        <v>121</v>
      </c>
      <c r="F514" s="170">
        <v>160</v>
      </c>
    </row>
    <row r="515" spans="1:6" hidden="1" x14ac:dyDescent="0.25">
      <c r="A515" s="169">
        <v>43527</v>
      </c>
      <c r="B515" s="80" t="s">
        <v>736</v>
      </c>
      <c r="C515" s="80" t="s">
        <v>167</v>
      </c>
      <c r="D515" s="80" t="s">
        <v>126</v>
      </c>
      <c r="E515" s="80" t="s">
        <v>134</v>
      </c>
      <c r="F515" s="170">
        <v>160</v>
      </c>
    </row>
    <row r="516" spans="1:6" hidden="1" x14ac:dyDescent="0.25">
      <c r="A516" s="169">
        <v>43528</v>
      </c>
      <c r="B516" s="80" t="s">
        <v>738</v>
      </c>
      <c r="C516" s="80" t="s">
        <v>138</v>
      </c>
      <c r="D516" s="80" t="s">
        <v>126</v>
      </c>
      <c r="E516" s="80" t="s">
        <v>134</v>
      </c>
      <c r="F516" s="170">
        <v>160</v>
      </c>
    </row>
    <row r="517" spans="1:6" hidden="1" x14ac:dyDescent="0.25">
      <c r="A517" s="169">
        <v>43528</v>
      </c>
      <c r="B517" s="80" t="s">
        <v>739</v>
      </c>
      <c r="C517" s="80" t="s">
        <v>157</v>
      </c>
      <c r="D517" s="80" t="s">
        <v>126</v>
      </c>
      <c r="E517" s="80" t="s">
        <v>153</v>
      </c>
      <c r="F517" s="170">
        <v>160</v>
      </c>
    </row>
    <row r="518" spans="1:6" hidden="1" x14ac:dyDescent="0.25">
      <c r="A518" s="169">
        <v>43528</v>
      </c>
      <c r="B518" s="80" t="s">
        <v>740</v>
      </c>
      <c r="C518" s="80" t="s">
        <v>145</v>
      </c>
      <c r="D518" s="80" t="s">
        <v>126</v>
      </c>
      <c r="E518" s="80" t="s">
        <v>153</v>
      </c>
      <c r="F518" s="170">
        <v>160</v>
      </c>
    </row>
    <row r="519" spans="1:6" hidden="1" x14ac:dyDescent="0.25">
      <c r="A519" s="169">
        <v>43528</v>
      </c>
      <c r="B519" s="80" t="s">
        <v>743</v>
      </c>
      <c r="C519" s="80" t="s">
        <v>125</v>
      </c>
      <c r="D519" s="80" t="s">
        <v>126</v>
      </c>
      <c r="E519" s="80" t="s">
        <v>134</v>
      </c>
      <c r="F519" s="170">
        <v>160</v>
      </c>
    </row>
    <row r="520" spans="1:6" hidden="1" x14ac:dyDescent="0.25">
      <c r="A520" s="169">
        <v>43528</v>
      </c>
      <c r="B520" s="80" t="s">
        <v>745</v>
      </c>
      <c r="C520" s="80" t="s">
        <v>145</v>
      </c>
      <c r="D520" s="80" t="s">
        <v>126</v>
      </c>
      <c r="E520" s="80" t="s">
        <v>127</v>
      </c>
      <c r="F520" s="170">
        <v>160</v>
      </c>
    </row>
    <row r="521" spans="1:6" hidden="1" x14ac:dyDescent="0.25">
      <c r="A521" s="169">
        <v>43529</v>
      </c>
      <c r="B521" s="80" t="s">
        <v>757</v>
      </c>
      <c r="C521" s="80" t="s">
        <v>187</v>
      </c>
      <c r="D521" s="80" t="s">
        <v>126</v>
      </c>
      <c r="E521" s="80" t="s">
        <v>127</v>
      </c>
      <c r="F521" s="170">
        <v>160</v>
      </c>
    </row>
    <row r="522" spans="1:6" hidden="1" x14ac:dyDescent="0.25">
      <c r="A522" s="169">
        <v>43530</v>
      </c>
      <c r="B522" s="80" t="s">
        <v>760</v>
      </c>
      <c r="C522" s="80" t="s">
        <v>167</v>
      </c>
      <c r="D522" s="80" t="s">
        <v>126</v>
      </c>
      <c r="E522" s="80" t="s">
        <v>131</v>
      </c>
      <c r="F522" s="170">
        <v>160</v>
      </c>
    </row>
    <row r="523" spans="1:6" hidden="1" x14ac:dyDescent="0.25">
      <c r="A523" s="169">
        <v>43531</v>
      </c>
      <c r="B523" s="80" t="s">
        <v>765</v>
      </c>
      <c r="C523" s="80" t="s">
        <v>129</v>
      </c>
      <c r="D523" s="80" t="s">
        <v>126</v>
      </c>
      <c r="E523" s="80" t="s">
        <v>134</v>
      </c>
      <c r="F523" s="170">
        <v>160</v>
      </c>
    </row>
    <row r="524" spans="1:6" hidden="1" x14ac:dyDescent="0.25">
      <c r="A524" s="169">
        <v>43531</v>
      </c>
      <c r="B524" s="80" t="s">
        <v>770</v>
      </c>
      <c r="C524" s="80" t="s">
        <v>167</v>
      </c>
      <c r="D524" s="80" t="s">
        <v>126</v>
      </c>
      <c r="E524" s="80" t="s">
        <v>121</v>
      </c>
      <c r="F524" s="170">
        <v>160</v>
      </c>
    </row>
    <row r="525" spans="1:6" hidden="1" x14ac:dyDescent="0.25">
      <c r="A525" s="169">
        <v>43531</v>
      </c>
      <c r="B525" s="80" t="s">
        <v>771</v>
      </c>
      <c r="C525" s="80" t="s">
        <v>143</v>
      </c>
      <c r="D525" s="80" t="s">
        <v>126</v>
      </c>
      <c r="E525" s="80" t="s">
        <v>131</v>
      </c>
      <c r="F525" s="170">
        <v>160</v>
      </c>
    </row>
    <row r="526" spans="1:6" hidden="1" x14ac:dyDescent="0.25">
      <c r="A526" s="169">
        <v>43532</v>
      </c>
      <c r="B526" s="80" t="s">
        <v>777</v>
      </c>
      <c r="C526" s="80" t="s">
        <v>164</v>
      </c>
      <c r="D526" s="80" t="s">
        <v>126</v>
      </c>
      <c r="E526" s="80" t="s">
        <v>131</v>
      </c>
      <c r="F526" s="170">
        <v>160</v>
      </c>
    </row>
    <row r="527" spans="1:6" hidden="1" x14ac:dyDescent="0.25">
      <c r="A527" s="169">
        <v>43532</v>
      </c>
      <c r="B527" s="80" t="s">
        <v>781</v>
      </c>
      <c r="C527" s="80" t="s">
        <v>119</v>
      </c>
      <c r="D527" s="80" t="s">
        <v>126</v>
      </c>
      <c r="E527" s="80" t="s">
        <v>131</v>
      </c>
      <c r="F527" s="170">
        <v>160</v>
      </c>
    </row>
    <row r="528" spans="1:6" hidden="1" x14ac:dyDescent="0.25">
      <c r="A528" s="169">
        <v>43532</v>
      </c>
      <c r="B528" s="80" t="s">
        <v>784</v>
      </c>
      <c r="C528" s="80" t="s">
        <v>164</v>
      </c>
      <c r="D528" s="80" t="s">
        <v>126</v>
      </c>
      <c r="E528" s="80" t="s">
        <v>127</v>
      </c>
      <c r="F528" s="170">
        <v>160</v>
      </c>
    </row>
    <row r="529" spans="1:6" hidden="1" x14ac:dyDescent="0.25">
      <c r="A529" s="169">
        <v>43533</v>
      </c>
      <c r="B529" s="80" t="s">
        <v>787</v>
      </c>
      <c r="C529" s="80" t="s">
        <v>189</v>
      </c>
      <c r="D529" s="80" t="s">
        <v>126</v>
      </c>
      <c r="E529" s="80" t="s">
        <v>131</v>
      </c>
      <c r="F529" s="170">
        <v>160</v>
      </c>
    </row>
    <row r="530" spans="1:6" hidden="1" x14ac:dyDescent="0.25">
      <c r="A530" s="169">
        <v>43534</v>
      </c>
      <c r="B530" s="80" t="s">
        <v>796</v>
      </c>
      <c r="C530" s="80" t="s">
        <v>182</v>
      </c>
      <c r="D530" s="80" t="s">
        <v>126</v>
      </c>
      <c r="E530" s="80" t="s">
        <v>131</v>
      </c>
      <c r="F530" s="170">
        <v>160</v>
      </c>
    </row>
    <row r="531" spans="1:6" hidden="1" x14ac:dyDescent="0.25">
      <c r="A531" s="169">
        <v>43534</v>
      </c>
      <c r="B531" s="80" t="s">
        <v>798</v>
      </c>
      <c r="C531" s="80" t="s">
        <v>223</v>
      </c>
      <c r="D531" s="80" t="s">
        <v>126</v>
      </c>
      <c r="E531" s="80" t="s">
        <v>134</v>
      </c>
      <c r="F531" s="170">
        <v>160</v>
      </c>
    </row>
    <row r="532" spans="1:6" hidden="1" x14ac:dyDescent="0.25">
      <c r="A532" s="169">
        <v>43534</v>
      </c>
      <c r="B532" s="80" t="s">
        <v>799</v>
      </c>
      <c r="C532" s="80" t="s">
        <v>152</v>
      </c>
      <c r="D532" s="80" t="s">
        <v>126</v>
      </c>
      <c r="E532" s="80" t="s">
        <v>134</v>
      </c>
      <c r="F532" s="170">
        <v>160</v>
      </c>
    </row>
    <row r="533" spans="1:6" hidden="1" x14ac:dyDescent="0.25">
      <c r="A533" s="169">
        <v>43535</v>
      </c>
      <c r="B533" s="80" t="s">
        <v>810</v>
      </c>
      <c r="C533" s="80" t="s">
        <v>138</v>
      </c>
      <c r="D533" s="80" t="s">
        <v>126</v>
      </c>
      <c r="E533" s="80" t="s">
        <v>131</v>
      </c>
      <c r="F533" s="170">
        <v>160</v>
      </c>
    </row>
    <row r="534" spans="1:6" hidden="1" x14ac:dyDescent="0.25">
      <c r="A534" s="169">
        <v>43537</v>
      </c>
      <c r="B534" s="80" t="s">
        <v>825</v>
      </c>
      <c r="C534" s="80" t="s">
        <v>143</v>
      </c>
      <c r="D534" s="80" t="s">
        <v>126</v>
      </c>
      <c r="E534" s="80" t="s">
        <v>121</v>
      </c>
      <c r="F534" s="170">
        <v>160</v>
      </c>
    </row>
    <row r="535" spans="1:6" hidden="1" x14ac:dyDescent="0.25">
      <c r="A535" s="169">
        <v>43538</v>
      </c>
      <c r="B535" s="80" t="s">
        <v>838</v>
      </c>
      <c r="C535" s="80" t="s">
        <v>164</v>
      </c>
      <c r="D535" s="80" t="s">
        <v>126</v>
      </c>
      <c r="E535" s="80" t="s">
        <v>153</v>
      </c>
      <c r="F535" s="170">
        <v>160</v>
      </c>
    </row>
    <row r="536" spans="1:6" hidden="1" x14ac:dyDescent="0.25">
      <c r="A536" s="169">
        <v>43539</v>
      </c>
      <c r="B536" s="80" t="s">
        <v>843</v>
      </c>
      <c r="C536" s="80" t="s">
        <v>164</v>
      </c>
      <c r="D536" s="80" t="s">
        <v>126</v>
      </c>
      <c r="E536" s="80" t="s">
        <v>153</v>
      </c>
      <c r="F536" s="170">
        <v>160</v>
      </c>
    </row>
    <row r="537" spans="1:6" hidden="1" x14ac:dyDescent="0.25">
      <c r="A537" s="169">
        <v>43539</v>
      </c>
      <c r="B537" s="80" t="s">
        <v>844</v>
      </c>
      <c r="C537" s="80" t="s">
        <v>187</v>
      </c>
      <c r="D537" s="80" t="s">
        <v>126</v>
      </c>
      <c r="E537" s="80" t="s">
        <v>127</v>
      </c>
      <c r="F537" s="170">
        <v>160</v>
      </c>
    </row>
    <row r="538" spans="1:6" hidden="1" x14ac:dyDescent="0.25">
      <c r="A538" s="169">
        <v>43539</v>
      </c>
      <c r="B538" s="80" t="s">
        <v>850</v>
      </c>
      <c r="C538" s="80" t="s">
        <v>145</v>
      </c>
      <c r="D538" s="80" t="s">
        <v>126</v>
      </c>
      <c r="E538" s="80" t="s">
        <v>134</v>
      </c>
      <c r="F538" s="170">
        <v>160</v>
      </c>
    </row>
    <row r="539" spans="1:6" hidden="1" x14ac:dyDescent="0.25">
      <c r="A539" s="169">
        <v>43540</v>
      </c>
      <c r="B539" s="80" t="s">
        <v>865</v>
      </c>
      <c r="C539" s="80" t="s">
        <v>167</v>
      </c>
      <c r="D539" s="80" t="s">
        <v>126</v>
      </c>
      <c r="E539" s="80" t="s">
        <v>153</v>
      </c>
      <c r="F539" s="170">
        <v>160</v>
      </c>
    </row>
    <row r="540" spans="1:6" hidden="1" x14ac:dyDescent="0.25">
      <c r="A540" s="169">
        <v>43541</v>
      </c>
      <c r="B540" s="80" t="s">
        <v>870</v>
      </c>
      <c r="C540" s="80" t="s">
        <v>223</v>
      </c>
      <c r="D540" s="80" t="s">
        <v>126</v>
      </c>
      <c r="E540" s="80" t="s">
        <v>153</v>
      </c>
      <c r="F540" s="170">
        <v>160</v>
      </c>
    </row>
    <row r="541" spans="1:6" hidden="1" x14ac:dyDescent="0.25">
      <c r="A541" s="169">
        <v>43543</v>
      </c>
      <c r="B541" s="80" t="s">
        <v>886</v>
      </c>
      <c r="C541" s="80" t="s">
        <v>125</v>
      </c>
      <c r="D541" s="80" t="s">
        <v>126</v>
      </c>
      <c r="E541" s="80" t="s">
        <v>134</v>
      </c>
      <c r="F541" s="170">
        <v>160</v>
      </c>
    </row>
    <row r="542" spans="1:6" hidden="1" x14ac:dyDescent="0.25">
      <c r="A542" s="169">
        <v>43545</v>
      </c>
      <c r="B542" s="80" t="s">
        <v>895</v>
      </c>
      <c r="C542" s="80" t="s">
        <v>136</v>
      </c>
      <c r="D542" s="80" t="s">
        <v>126</v>
      </c>
      <c r="E542" s="80" t="s">
        <v>134</v>
      </c>
      <c r="F542" s="170">
        <v>160</v>
      </c>
    </row>
    <row r="543" spans="1:6" hidden="1" x14ac:dyDescent="0.25">
      <c r="A543" s="169">
        <v>43545</v>
      </c>
      <c r="B543" s="80" t="s">
        <v>899</v>
      </c>
      <c r="C543" s="80" t="s">
        <v>123</v>
      </c>
      <c r="D543" s="80" t="s">
        <v>126</v>
      </c>
      <c r="E543" s="80" t="s">
        <v>153</v>
      </c>
      <c r="F543" s="170">
        <v>160</v>
      </c>
    </row>
    <row r="544" spans="1:6" hidden="1" x14ac:dyDescent="0.25">
      <c r="A544" s="169">
        <v>43546</v>
      </c>
      <c r="B544" s="80" t="s">
        <v>911</v>
      </c>
      <c r="C544" s="80" t="s">
        <v>123</v>
      </c>
      <c r="D544" s="80" t="s">
        <v>126</v>
      </c>
      <c r="E544" s="80" t="s">
        <v>134</v>
      </c>
      <c r="F544" s="170">
        <v>160</v>
      </c>
    </row>
    <row r="545" spans="1:6" hidden="1" x14ac:dyDescent="0.25">
      <c r="A545" s="169">
        <v>43547</v>
      </c>
      <c r="B545" s="80" t="s">
        <v>918</v>
      </c>
      <c r="C545" s="80" t="s">
        <v>164</v>
      </c>
      <c r="D545" s="80" t="s">
        <v>126</v>
      </c>
      <c r="E545" s="80" t="s">
        <v>153</v>
      </c>
      <c r="F545" s="170">
        <v>160</v>
      </c>
    </row>
    <row r="546" spans="1:6" hidden="1" x14ac:dyDescent="0.25">
      <c r="A546" s="169">
        <v>43547</v>
      </c>
      <c r="B546" s="80" t="s">
        <v>925</v>
      </c>
      <c r="C546" s="80" t="s">
        <v>189</v>
      </c>
      <c r="D546" s="80" t="s">
        <v>126</v>
      </c>
      <c r="E546" s="80" t="s">
        <v>134</v>
      </c>
      <c r="F546" s="170">
        <v>160</v>
      </c>
    </row>
    <row r="547" spans="1:6" hidden="1" x14ac:dyDescent="0.25">
      <c r="A547" s="169">
        <v>43547</v>
      </c>
      <c r="B547" s="80" t="s">
        <v>927</v>
      </c>
      <c r="C547" s="80" t="s">
        <v>119</v>
      </c>
      <c r="D547" s="80" t="s">
        <v>126</v>
      </c>
      <c r="E547" s="80" t="s">
        <v>153</v>
      </c>
      <c r="F547" s="170">
        <v>160</v>
      </c>
    </row>
    <row r="548" spans="1:6" hidden="1" x14ac:dyDescent="0.25">
      <c r="A548" s="169">
        <v>43548</v>
      </c>
      <c r="B548" s="80" t="s">
        <v>929</v>
      </c>
      <c r="C548" s="80" t="s">
        <v>157</v>
      </c>
      <c r="D548" s="80" t="s">
        <v>126</v>
      </c>
      <c r="E548" s="80" t="s">
        <v>127</v>
      </c>
      <c r="F548" s="170">
        <v>160</v>
      </c>
    </row>
    <row r="549" spans="1:6" hidden="1" x14ac:dyDescent="0.25">
      <c r="A549" s="169">
        <v>43548</v>
      </c>
      <c r="B549" s="80" t="s">
        <v>936</v>
      </c>
      <c r="C549" s="80" t="s">
        <v>152</v>
      </c>
      <c r="D549" s="80" t="s">
        <v>126</v>
      </c>
      <c r="E549" s="80" t="s">
        <v>153</v>
      </c>
      <c r="F549" s="170">
        <v>160</v>
      </c>
    </row>
    <row r="550" spans="1:6" hidden="1" x14ac:dyDescent="0.25">
      <c r="A550" s="169">
        <v>43550</v>
      </c>
      <c r="B550" s="80" t="s">
        <v>954</v>
      </c>
      <c r="C550" s="80" t="s">
        <v>148</v>
      </c>
      <c r="D550" s="80" t="s">
        <v>126</v>
      </c>
      <c r="E550" s="80" t="s">
        <v>131</v>
      </c>
      <c r="F550" s="170">
        <v>160</v>
      </c>
    </row>
    <row r="551" spans="1:6" hidden="1" x14ac:dyDescent="0.25">
      <c r="A551" s="169">
        <v>43552</v>
      </c>
      <c r="B551" s="80" t="s">
        <v>973</v>
      </c>
      <c r="C551" s="80" t="s">
        <v>123</v>
      </c>
      <c r="D551" s="80" t="s">
        <v>126</v>
      </c>
      <c r="E551" s="80" t="s">
        <v>153</v>
      </c>
      <c r="F551" s="170">
        <v>160</v>
      </c>
    </row>
    <row r="552" spans="1:6" hidden="1" x14ac:dyDescent="0.25">
      <c r="A552" s="169">
        <v>43553</v>
      </c>
      <c r="B552" s="80" t="s">
        <v>978</v>
      </c>
      <c r="C552" s="80" t="s">
        <v>152</v>
      </c>
      <c r="D552" s="80" t="s">
        <v>126</v>
      </c>
      <c r="E552" s="80" t="s">
        <v>127</v>
      </c>
      <c r="F552" s="170">
        <v>160</v>
      </c>
    </row>
    <row r="553" spans="1:6" hidden="1" x14ac:dyDescent="0.25">
      <c r="A553" s="169">
        <v>43554</v>
      </c>
      <c r="B553" s="80" t="s">
        <v>993</v>
      </c>
      <c r="C553" s="80" t="s">
        <v>167</v>
      </c>
      <c r="D553" s="80" t="s">
        <v>126</v>
      </c>
      <c r="E553" s="80" t="s">
        <v>134</v>
      </c>
      <c r="F553" s="170">
        <v>160</v>
      </c>
    </row>
    <row r="554" spans="1:6" hidden="1" x14ac:dyDescent="0.25">
      <c r="A554" s="169">
        <v>43555</v>
      </c>
      <c r="B554" s="80" t="s">
        <v>996</v>
      </c>
      <c r="C554" s="80" t="s">
        <v>138</v>
      </c>
      <c r="D554" s="80" t="s">
        <v>126</v>
      </c>
      <c r="E554" s="80" t="s">
        <v>121</v>
      </c>
      <c r="F554" s="170">
        <v>160</v>
      </c>
    </row>
    <row r="555" spans="1:6" hidden="1" x14ac:dyDescent="0.25">
      <c r="A555" s="169">
        <v>43559</v>
      </c>
      <c r="B555" s="80" t="s">
        <v>1036</v>
      </c>
      <c r="C555" s="80" t="s">
        <v>167</v>
      </c>
      <c r="D555" s="80" t="s">
        <v>126</v>
      </c>
      <c r="E555" s="80" t="s">
        <v>153</v>
      </c>
      <c r="F555" s="170">
        <v>160</v>
      </c>
    </row>
    <row r="556" spans="1:6" hidden="1" x14ac:dyDescent="0.25">
      <c r="A556" s="169">
        <v>43560</v>
      </c>
      <c r="B556" s="80" t="s">
        <v>1048</v>
      </c>
      <c r="C556" s="80" t="s">
        <v>123</v>
      </c>
      <c r="D556" s="80" t="s">
        <v>126</v>
      </c>
      <c r="E556" s="80" t="s">
        <v>134</v>
      </c>
      <c r="F556" s="170">
        <v>160</v>
      </c>
    </row>
    <row r="557" spans="1:6" hidden="1" x14ac:dyDescent="0.25">
      <c r="A557" s="169">
        <v>43560</v>
      </c>
      <c r="B557" s="80" t="s">
        <v>1049</v>
      </c>
      <c r="C557" s="80" t="s">
        <v>123</v>
      </c>
      <c r="D557" s="80" t="s">
        <v>126</v>
      </c>
      <c r="E557" s="80" t="s">
        <v>121</v>
      </c>
      <c r="F557" s="170">
        <v>160</v>
      </c>
    </row>
    <row r="558" spans="1:6" hidden="1" x14ac:dyDescent="0.25">
      <c r="A558" s="169">
        <v>43561</v>
      </c>
      <c r="B558" s="80" t="s">
        <v>1052</v>
      </c>
      <c r="C558" s="80" t="s">
        <v>138</v>
      </c>
      <c r="D558" s="80" t="s">
        <v>126</v>
      </c>
      <c r="E558" s="80" t="s">
        <v>127</v>
      </c>
      <c r="F558" s="170">
        <v>160</v>
      </c>
    </row>
    <row r="559" spans="1:6" hidden="1" x14ac:dyDescent="0.25">
      <c r="A559" s="169">
        <v>43561</v>
      </c>
      <c r="B559" s="80" t="s">
        <v>1053</v>
      </c>
      <c r="C559" s="80" t="s">
        <v>167</v>
      </c>
      <c r="D559" s="80" t="s">
        <v>126</v>
      </c>
      <c r="E559" s="80" t="s">
        <v>153</v>
      </c>
      <c r="F559" s="170">
        <v>160</v>
      </c>
    </row>
    <row r="560" spans="1:6" hidden="1" x14ac:dyDescent="0.25">
      <c r="A560" s="169">
        <v>43561</v>
      </c>
      <c r="B560" s="80" t="s">
        <v>1061</v>
      </c>
      <c r="C560" s="80" t="s">
        <v>189</v>
      </c>
      <c r="D560" s="80" t="s">
        <v>126</v>
      </c>
      <c r="E560" s="80" t="s">
        <v>121</v>
      </c>
      <c r="F560" s="170">
        <v>160</v>
      </c>
    </row>
    <row r="561" spans="1:6" hidden="1" x14ac:dyDescent="0.25">
      <c r="A561" s="169">
        <v>43564</v>
      </c>
      <c r="B561" s="80" t="s">
        <v>1082</v>
      </c>
      <c r="C561" s="80" t="s">
        <v>119</v>
      </c>
      <c r="D561" s="80" t="s">
        <v>126</v>
      </c>
      <c r="E561" s="80" t="s">
        <v>121</v>
      </c>
      <c r="F561" s="170">
        <v>160</v>
      </c>
    </row>
    <row r="562" spans="1:6" hidden="1" x14ac:dyDescent="0.25">
      <c r="A562" s="169">
        <v>43565</v>
      </c>
      <c r="B562" s="80" t="s">
        <v>1088</v>
      </c>
      <c r="C562" s="80" t="s">
        <v>182</v>
      </c>
      <c r="D562" s="80" t="s">
        <v>126</v>
      </c>
      <c r="E562" s="80" t="s">
        <v>121</v>
      </c>
      <c r="F562" s="170">
        <v>160</v>
      </c>
    </row>
    <row r="563" spans="1:6" hidden="1" x14ac:dyDescent="0.25">
      <c r="A563" s="169">
        <v>43565</v>
      </c>
      <c r="B563" s="80" t="s">
        <v>1091</v>
      </c>
      <c r="C563" s="80" t="s">
        <v>223</v>
      </c>
      <c r="D563" s="80" t="s">
        <v>126</v>
      </c>
      <c r="E563" s="80" t="s">
        <v>127</v>
      </c>
      <c r="F563" s="170">
        <v>160</v>
      </c>
    </row>
    <row r="564" spans="1:6" hidden="1" x14ac:dyDescent="0.25">
      <c r="A564" s="169">
        <v>43565</v>
      </c>
      <c r="B564" s="80" t="s">
        <v>1092</v>
      </c>
      <c r="C564" s="80" t="s">
        <v>189</v>
      </c>
      <c r="D564" s="80" t="s">
        <v>126</v>
      </c>
      <c r="E564" s="80" t="s">
        <v>121</v>
      </c>
      <c r="F564" s="170">
        <v>160</v>
      </c>
    </row>
    <row r="565" spans="1:6" hidden="1" x14ac:dyDescent="0.25">
      <c r="A565" s="169">
        <v>43566</v>
      </c>
      <c r="B565" s="80" t="s">
        <v>1096</v>
      </c>
      <c r="C565" s="80" t="s">
        <v>157</v>
      </c>
      <c r="D565" s="80" t="s">
        <v>126</v>
      </c>
      <c r="E565" s="80" t="s">
        <v>131</v>
      </c>
      <c r="F565" s="170">
        <v>160</v>
      </c>
    </row>
    <row r="566" spans="1:6" hidden="1" x14ac:dyDescent="0.25">
      <c r="A566" s="169">
        <v>43566</v>
      </c>
      <c r="B566" s="80" t="s">
        <v>1098</v>
      </c>
      <c r="C566" s="80" t="s">
        <v>123</v>
      </c>
      <c r="D566" s="80" t="s">
        <v>126</v>
      </c>
      <c r="E566" s="80" t="s">
        <v>131</v>
      </c>
      <c r="F566" s="170">
        <v>160</v>
      </c>
    </row>
    <row r="567" spans="1:6" hidden="1" x14ac:dyDescent="0.25">
      <c r="A567" s="169">
        <v>43567</v>
      </c>
      <c r="B567" s="80" t="s">
        <v>1104</v>
      </c>
      <c r="C567" s="80" t="s">
        <v>223</v>
      </c>
      <c r="D567" s="80" t="s">
        <v>126</v>
      </c>
      <c r="E567" s="80" t="s">
        <v>134</v>
      </c>
      <c r="F567" s="170">
        <v>160</v>
      </c>
    </row>
    <row r="568" spans="1:6" hidden="1" x14ac:dyDescent="0.25">
      <c r="A568" s="169">
        <v>43567</v>
      </c>
      <c r="B568" s="80" t="s">
        <v>1105</v>
      </c>
      <c r="C568" s="80" t="s">
        <v>189</v>
      </c>
      <c r="D568" s="80" t="s">
        <v>126</v>
      </c>
      <c r="E568" s="80" t="s">
        <v>121</v>
      </c>
      <c r="F568" s="170">
        <v>160</v>
      </c>
    </row>
    <row r="569" spans="1:6" hidden="1" x14ac:dyDescent="0.25">
      <c r="A569" s="169">
        <v>43568</v>
      </c>
      <c r="B569" s="80" t="s">
        <v>1121</v>
      </c>
      <c r="C569" s="80" t="s">
        <v>187</v>
      </c>
      <c r="D569" s="80" t="s">
        <v>126</v>
      </c>
      <c r="E569" s="80" t="s">
        <v>127</v>
      </c>
      <c r="F569" s="170">
        <v>160</v>
      </c>
    </row>
    <row r="570" spans="1:6" hidden="1" x14ac:dyDescent="0.25">
      <c r="A570" s="169">
        <v>43569</v>
      </c>
      <c r="B570" s="80" t="s">
        <v>1123</v>
      </c>
      <c r="C570" s="80" t="s">
        <v>148</v>
      </c>
      <c r="D570" s="80" t="s">
        <v>126</v>
      </c>
      <c r="E570" s="80" t="s">
        <v>131</v>
      </c>
      <c r="F570" s="170">
        <v>160</v>
      </c>
    </row>
    <row r="571" spans="1:6" hidden="1" x14ac:dyDescent="0.25">
      <c r="A571" s="169">
        <v>43569</v>
      </c>
      <c r="B571" s="80" t="s">
        <v>1128</v>
      </c>
      <c r="C571" s="80" t="s">
        <v>148</v>
      </c>
      <c r="D571" s="80" t="s">
        <v>126</v>
      </c>
      <c r="E571" s="80" t="s">
        <v>131</v>
      </c>
      <c r="F571" s="170">
        <v>160</v>
      </c>
    </row>
    <row r="572" spans="1:6" hidden="1" x14ac:dyDescent="0.25">
      <c r="A572" s="169">
        <v>43569</v>
      </c>
      <c r="B572" s="80" t="s">
        <v>1131</v>
      </c>
      <c r="C572" s="80" t="s">
        <v>136</v>
      </c>
      <c r="D572" s="80" t="s">
        <v>126</v>
      </c>
      <c r="E572" s="80" t="s">
        <v>127</v>
      </c>
      <c r="F572" s="170">
        <v>160</v>
      </c>
    </row>
    <row r="573" spans="1:6" hidden="1" x14ac:dyDescent="0.25">
      <c r="A573" s="169">
        <v>43571</v>
      </c>
      <c r="B573" s="80" t="s">
        <v>1146</v>
      </c>
      <c r="C573" s="80" t="s">
        <v>167</v>
      </c>
      <c r="D573" s="80" t="s">
        <v>126</v>
      </c>
      <c r="E573" s="80" t="s">
        <v>121</v>
      </c>
      <c r="F573" s="170">
        <v>160</v>
      </c>
    </row>
    <row r="574" spans="1:6" hidden="1" x14ac:dyDescent="0.25">
      <c r="A574" s="169">
        <v>43571</v>
      </c>
      <c r="B574" s="80" t="s">
        <v>1148</v>
      </c>
      <c r="C574" s="80" t="s">
        <v>143</v>
      </c>
      <c r="D574" s="80" t="s">
        <v>126</v>
      </c>
      <c r="E574" s="80" t="s">
        <v>127</v>
      </c>
      <c r="F574" s="170">
        <v>160</v>
      </c>
    </row>
    <row r="575" spans="1:6" hidden="1" x14ac:dyDescent="0.25">
      <c r="A575" s="169">
        <v>43571</v>
      </c>
      <c r="B575" s="80" t="s">
        <v>1153</v>
      </c>
      <c r="C575" s="80" t="s">
        <v>125</v>
      </c>
      <c r="D575" s="80" t="s">
        <v>126</v>
      </c>
      <c r="E575" s="80" t="s">
        <v>127</v>
      </c>
      <c r="F575" s="170">
        <v>160</v>
      </c>
    </row>
    <row r="576" spans="1:6" hidden="1" x14ac:dyDescent="0.25">
      <c r="A576" s="169">
        <v>43572</v>
      </c>
      <c r="B576" s="80" t="s">
        <v>1155</v>
      </c>
      <c r="C576" s="80" t="s">
        <v>152</v>
      </c>
      <c r="D576" s="80" t="s">
        <v>126</v>
      </c>
      <c r="E576" s="80" t="s">
        <v>134</v>
      </c>
      <c r="F576" s="170">
        <v>160</v>
      </c>
    </row>
    <row r="577" spans="1:6" hidden="1" x14ac:dyDescent="0.25">
      <c r="A577" s="169">
        <v>43572</v>
      </c>
      <c r="B577" s="80" t="s">
        <v>1164</v>
      </c>
      <c r="C577" s="80" t="s">
        <v>182</v>
      </c>
      <c r="D577" s="80" t="s">
        <v>126</v>
      </c>
      <c r="E577" s="80" t="s">
        <v>153</v>
      </c>
      <c r="F577" s="170">
        <v>160</v>
      </c>
    </row>
    <row r="578" spans="1:6" hidden="1" x14ac:dyDescent="0.25">
      <c r="A578" s="169">
        <v>43573</v>
      </c>
      <c r="B578" s="80" t="s">
        <v>1169</v>
      </c>
      <c r="C578" s="80" t="s">
        <v>167</v>
      </c>
      <c r="D578" s="80" t="s">
        <v>126</v>
      </c>
      <c r="E578" s="80" t="s">
        <v>127</v>
      </c>
      <c r="F578" s="170">
        <v>160</v>
      </c>
    </row>
    <row r="579" spans="1:6" hidden="1" x14ac:dyDescent="0.25">
      <c r="A579" s="169">
        <v>43573</v>
      </c>
      <c r="B579" s="80" t="s">
        <v>1172</v>
      </c>
      <c r="C579" s="80" t="s">
        <v>189</v>
      </c>
      <c r="D579" s="80" t="s">
        <v>126</v>
      </c>
      <c r="E579" s="80" t="s">
        <v>134</v>
      </c>
      <c r="F579" s="170">
        <v>160</v>
      </c>
    </row>
    <row r="580" spans="1:6" hidden="1" x14ac:dyDescent="0.25">
      <c r="A580" s="169">
        <v>43574</v>
      </c>
      <c r="B580" s="80" t="s">
        <v>1175</v>
      </c>
      <c r="C580" s="80" t="s">
        <v>123</v>
      </c>
      <c r="D580" s="80" t="s">
        <v>126</v>
      </c>
      <c r="E580" s="80" t="s">
        <v>134</v>
      </c>
      <c r="F580" s="170">
        <v>160</v>
      </c>
    </row>
    <row r="581" spans="1:6" hidden="1" x14ac:dyDescent="0.25">
      <c r="A581" s="169">
        <v>43575</v>
      </c>
      <c r="B581" s="80" t="s">
        <v>1183</v>
      </c>
      <c r="C581" s="80" t="s">
        <v>148</v>
      </c>
      <c r="D581" s="80" t="s">
        <v>126</v>
      </c>
      <c r="E581" s="80" t="s">
        <v>153</v>
      </c>
      <c r="F581" s="170">
        <v>160</v>
      </c>
    </row>
    <row r="582" spans="1:6" hidden="1" x14ac:dyDescent="0.25">
      <c r="A582" s="169">
        <v>43577</v>
      </c>
      <c r="B582" s="80" t="s">
        <v>1199</v>
      </c>
      <c r="C582" s="80" t="s">
        <v>157</v>
      </c>
      <c r="D582" s="80" t="s">
        <v>126</v>
      </c>
      <c r="E582" s="80" t="s">
        <v>153</v>
      </c>
      <c r="F582" s="170">
        <v>160</v>
      </c>
    </row>
    <row r="583" spans="1:6" hidden="1" x14ac:dyDescent="0.25">
      <c r="A583" s="169">
        <v>43578</v>
      </c>
      <c r="B583" s="80" t="s">
        <v>1211</v>
      </c>
      <c r="C583" s="80" t="s">
        <v>138</v>
      </c>
      <c r="D583" s="80" t="s">
        <v>126</v>
      </c>
      <c r="E583" s="80" t="s">
        <v>134</v>
      </c>
      <c r="F583" s="170">
        <v>160</v>
      </c>
    </row>
    <row r="584" spans="1:6" hidden="1" x14ac:dyDescent="0.25">
      <c r="A584" s="169">
        <v>43578</v>
      </c>
      <c r="B584" s="80" t="s">
        <v>1212</v>
      </c>
      <c r="C584" s="80" t="s">
        <v>167</v>
      </c>
      <c r="D584" s="80" t="s">
        <v>126</v>
      </c>
      <c r="E584" s="80" t="s">
        <v>153</v>
      </c>
      <c r="F584" s="170">
        <v>160</v>
      </c>
    </row>
    <row r="585" spans="1:6" hidden="1" x14ac:dyDescent="0.25">
      <c r="A585" s="169">
        <v>43579</v>
      </c>
      <c r="B585" s="80" t="s">
        <v>1218</v>
      </c>
      <c r="C585" s="80" t="s">
        <v>182</v>
      </c>
      <c r="D585" s="80" t="s">
        <v>126</v>
      </c>
      <c r="E585" s="80" t="s">
        <v>153</v>
      </c>
      <c r="F585" s="170">
        <v>160</v>
      </c>
    </row>
    <row r="586" spans="1:6" hidden="1" x14ac:dyDescent="0.25">
      <c r="A586" s="169">
        <v>43579</v>
      </c>
      <c r="B586" s="80" t="s">
        <v>1222</v>
      </c>
      <c r="C586" s="80" t="s">
        <v>187</v>
      </c>
      <c r="D586" s="80" t="s">
        <v>126</v>
      </c>
      <c r="E586" s="80" t="s">
        <v>153</v>
      </c>
      <c r="F586" s="170">
        <v>160</v>
      </c>
    </row>
    <row r="587" spans="1:6" hidden="1" x14ac:dyDescent="0.25">
      <c r="A587" s="169">
        <v>43580</v>
      </c>
      <c r="B587" s="80" t="s">
        <v>1230</v>
      </c>
      <c r="C587" s="80" t="s">
        <v>145</v>
      </c>
      <c r="D587" s="80" t="s">
        <v>126</v>
      </c>
      <c r="E587" s="80" t="s">
        <v>153</v>
      </c>
      <c r="F587" s="170">
        <v>160</v>
      </c>
    </row>
    <row r="588" spans="1:6" hidden="1" x14ac:dyDescent="0.25">
      <c r="A588" s="169">
        <v>43581</v>
      </c>
      <c r="B588" s="80" t="s">
        <v>1240</v>
      </c>
      <c r="C588" s="80" t="s">
        <v>182</v>
      </c>
      <c r="D588" s="80" t="s">
        <v>126</v>
      </c>
      <c r="E588" s="80" t="s">
        <v>127</v>
      </c>
      <c r="F588" s="170">
        <v>160</v>
      </c>
    </row>
    <row r="589" spans="1:6" hidden="1" x14ac:dyDescent="0.25">
      <c r="A589" s="169">
        <v>43581</v>
      </c>
      <c r="B589" s="80" t="s">
        <v>1245</v>
      </c>
      <c r="C589" s="80" t="s">
        <v>148</v>
      </c>
      <c r="D589" s="80" t="s">
        <v>126</v>
      </c>
      <c r="E589" s="80" t="s">
        <v>131</v>
      </c>
      <c r="F589" s="170">
        <v>160</v>
      </c>
    </row>
    <row r="590" spans="1:6" hidden="1" x14ac:dyDescent="0.25">
      <c r="A590" s="169">
        <v>43582</v>
      </c>
      <c r="B590" s="80" t="s">
        <v>1248</v>
      </c>
      <c r="C590" s="80" t="s">
        <v>152</v>
      </c>
      <c r="D590" s="80" t="s">
        <v>126</v>
      </c>
      <c r="E590" s="80" t="s">
        <v>134</v>
      </c>
      <c r="F590" s="170">
        <v>160</v>
      </c>
    </row>
    <row r="591" spans="1:6" hidden="1" x14ac:dyDescent="0.25">
      <c r="A591" s="169">
        <v>43583</v>
      </c>
      <c r="B591" s="80" t="s">
        <v>1259</v>
      </c>
      <c r="C591" s="80" t="s">
        <v>136</v>
      </c>
      <c r="D591" s="80" t="s">
        <v>126</v>
      </c>
      <c r="E591" s="80" t="s">
        <v>127</v>
      </c>
      <c r="F591" s="170">
        <v>160</v>
      </c>
    </row>
    <row r="592" spans="1:6" hidden="1" x14ac:dyDescent="0.25">
      <c r="A592" s="169">
        <v>43585</v>
      </c>
      <c r="B592" s="80" t="s">
        <v>1278</v>
      </c>
      <c r="C592" s="80" t="s">
        <v>148</v>
      </c>
      <c r="D592" s="80" t="s">
        <v>126</v>
      </c>
      <c r="E592" s="80" t="s">
        <v>134</v>
      </c>
      <c r="F592" s="170">
        <v>160</v>
      </c>
    </row>
    <row r="593" spans="1:6" hidden="1" x14ac:dyDescent="0.25">
      <c r="A593" s="169">
        <v>43585</v>
      </c>
      <c r="B593" s="80" t="s">
        <v>1279</v>
      </c>
      <c r="C593" s="80" t="s">
        <v>129</v>
      </c>
      <c r="D593" s="80" t="s">
        <v>126</v>
      </c>
      <c r="E593" s="80" t="s">
        <v>127</v>
      </c>
      <c r="F593" s="170">
        <v>160</v>
      </c>
    </row>
    <row r="594" spans="1:6" hidden="1" x14ac:dyDescent="0.25">
      <c r="A594" s="169">
        <v>43586</v>
      </c>
      <c r="B594" s="80" t="s">
        <v>1286</v>
      </c>
      <c r="C594" s="80" t="s">
        <v>119</v>
      </c>
      <c r="D594" s="80" t="s">
        <v>126</v>
      </c>
      <c r="E594" s="80" t="s">
        <v>134</v>
      </c>
      <c r="F594" s="170">
        <v>160</v>
      </c>
    </row>
    <row r="595" spans="1:6" hidden="1" x14ac:dyDescent="0.25">
      <c r="A595" s="169">
        <v>43586</v>
      </c>
      <c r="B595" s="80" t="s">
        <v>1287</v>
      </c>
      <c r="C595" s="80" t="s">
        <v>223</v>
      </c>
      <c r="D595" s="80" t="s">
        <v>126</v>
      </c>
      <c r="E595" s="80" t="s">
        <v>134</v>
      </c>
      <c r="F595" s="170">
        <v>160</v>
      </c>
    </row>
    <row r="596" spans="1:6" hidden="1" x14ac:dyDescent="0.25">
      <c r="A596" s="169">
        <v>43587</v>
      </c>
      <c r="B596" s="80" t="s">
        <v>1291</v>
      </c>
      <c r="C596" s="80" t="s">
        <v>223</v>
      </c>
      <c r="D596" s="80" t="s">
        <v>126</v>
      </c>
      <c r="E596" s="80" t="s">
        <v>134</v>
      </c>
      <c r="F596" s="170">
        <v>160</v>
      </c>
    </row>
    <row r="597" spans="1:6" hidden="1" x14ac:dyDescent="0.25">
      <c r="A597" s="169">
        <v>43587</v>
      </c>
      <c r="B597" s="80" t="s">
        <v>1295</v>
      </c>
      <c r="C597" s="80" t="s">
        <v>119</v>
      </c>
      <c r="D597" s="80" t="s">
        <v>126</v>
      </c>
      <c r="E597" s="80" t="s">
        <v>131</v>
      </c>
      <c r="F597" s="170">
        <v>160</v>
      </c>
    </row>
    <row r="598" spans="1:6" hidden="1" x14ac:dyDescent="0.25">
      <c r="A598" s="169">
        <v>43587</v>
      </c>
      <c r="B598" s="80" t="s">
        <v>1302</v>
      </c>
      <c r="C598" s="80" t="s">
        <v>136</v>
      </c>
      <c r="D598" s="80" t="s">
        <v>126</v>
      </c>
      <c r="E598" s="80" t="s">
        <v>127</v>
      </c>
      <c r="F598" s="170">
        <v>160</v>
      </c>
    </row>
    <row r="599" spans="1:6" hidden="1" x14ac:dyDescent="0.25">
      <c r="A599" s="169">
        <v>43587</v>
      </c>
      <c r="B599" s="80" t="s">
        <v>1307</v>
      </c>
      <c r="C599" s="80" t="s">
        <v>189</v>
      </c>
      <c r="D599" s="80" t="s">
        <v>126</v>
      </c>
      <c r="E599" s="80" t="s">
        <v>131</v>
      </c>
      <c r="F599" s="170">
        <v>160</v>
      </c>
    </row>
    <row r="600" spans="1:6" hidden="1" x14ac:dyDescent="0.25">
      <c r="A600" s="169">
        <v>43588</v>
      </c>
      <c r="B600" s="80" t="s">
        <v>1310</v>
      </c>
      <c r="C600" s="80" t="s">
        <v>187</v>
      </c>
      <c r="D600" s="80" t="s">
        <v>126</v>
      </c>
      <c r="E600" s="80" t="s">
        <v>131</v>
      </c>
      <c r="F600" s="170">
        <v>160</v>
      </c>
    </row>
    <row r="601" spans="1:6" hidden="1" x14ac:dyDescent="0.25">
      <c r="A601" s="169">
        <v>43588</v>
      </c>
      <c r="B601" s="80" t="s">
        <v>1311</v>
      </c>
      <c r="C601" s="80" t="s">
        <v>136</v>
      </c>
      <c r="D601" s="80" t="s">
        <v>126</v>
      </c>
      <c r="E601" s="80" t="s">
        <v>153</v>
      </c>
      <c r="F601" s="170">
        <v>160</v>
      </c>
    </row>
    <row r="602" spans="1:6" hidden="1" x14ac:dyDescent="0.25">
      <c r="A602" s="169">
        <v>43588</v>
      </c>
      <c r="B602" s="80" t="s">
        <v>1315</v>
      </c>
      <c r="C602" s="80" t="s">
        <v>187</v>
      </c>
      <c r="D602" s="80" t="s">
        <v>126</v>
      </c>
      <c r="E602" s="80" t="s">
        <v>134</v>
      </c>
      <c r="F602" s="170">
        <v>160</v>
      </c>
    </row>
    <row r="603" spans="1:6" hidden="1" x14ac:dyDescent="0.25">
      <c r="A603" s="169">
        <v>43589</v>
      </c>
      <c r="B603" s="80" t="s">
        <v>1317</v>
      </c>
      <c r="C603" s="80" t="s">
        <v>143</v>
      </c>
      <c r="D603" s="80" t="s">
        <v>126</v>
      </c>
      <c r="E603" s="80" t="s">
        <v>121</v>
      </c>
      <c r="F603" s="170">
        <v>160</v>
      </c>
    </row>
    <row r="604" spans="1:6" hidden="1" x14ac:dyDescent="0.25">
      <c r="A604" s="169">
        <v>43589</v>
      </c>
      <c r="B604" s="80" t="s">
        <v>1319</v>
      </c>
      <c r="C604" s="80" t="s">
        <v>129</v>
      </c>
      <c r="D604" s="80" t="s">
        <v>126</v>
      </c>
      <c r="E604" s="80" t="s">
        <v>134</v>
      </c>
      <c r="F604" s="170">
        <v>160</v>
      </c>
    </row>
    <row r="605" spans="1:6" hidden="1" x14ac:dyDescent="0.25">
      <c r="A605" s="169">
        <v>43589</v>
      </c>
      <c r="B605" s="80" t="s">
        <v>1325</v>
      </c>
      <c r="C605" s="80" t="s">
        <v>187</v>
      </c>
      <c r="D605" s="80" t="s">
        <v>126</v>
      </c>
      <c r="E605" s="80" t="s">
        <v>127</v>
      </c>
      <c r="F605" s="170">
        <v>160</v>
      </c>
    </row>
    <row r="606" spans="1:6" hidden="1" x14ac:dyDescent="0.25">
      <c r="A606" s="169">
        <v>43590</v>
      </c>
      <c r="B606" s="80" t="s">
        <v>1338</v>
      </c>
      <c r="C606" s="80" t="s">
        <v>167</v>
      </c>
      <c r="D606" s="80" t="s">
        <v>126</v>
      </c>
      <c r="E606" s="80" t="s">
        <v>121</v>
      </c>
      <c r="F606" s="170">
        <v>160</v>
      </c>
    </row>
    <row r="607" spans="1:6" hidden="1" x14ac:dyDescent="0.25">
      <c r="A607" s="169">
        <v>43591</v>
      </c>
      <c r="B607" s="80" t="s">
        <v>1340</v>
      </c>
      <c r="C607" s="80" t="s">
        <v>182</v>
      </c>
      <c r="D607" s="80" t="s">
        <v>126</v>
      </c>
      <c r="E607" s="80" t="s">
        <v>127</v>
      </c>
      <c r="F607" s="170">
        <v>160</v>
      </c>
    </row>
    <row r="608" spans="1:6" hidden="1" x14ac:dyDescent="0.25">
      <c r="A608" s="169">
        <v>43591</v>
      </c>
      <c r="B608" s="80" t="s">
        <v>1343</v>
      </c>
      <c r="C608" s="80" t="s">
        <v>145</v>
      </c>
      <c r="D608" s="80" t="s">
        <v>126</v>
      </c>
      <c r="E608" s="80" t="s">
        <v>121</v>
      </c>
      <c r="F608" s="170">
        <v>160</v>
      </c>
    </row>
    <row r="609" spans="1:6" hidden="1" x14ac:dyDescent="0.25">
      <c r="A609" s="169">
        <v>43591</v>
      </c>
      <c r="B609" s="80" t="s">
        <v>1344</v>
      </c>
      <c r="C609" s="80" t="s">
        <v>125</v>
      </c>
      <c r="D609" s="80" t="s">
        <v>126</v>
      </c>
      <c r="E609" s="80" t="s">
        <v>121</v>
      </c>
      <c r="F609" s="170">
        <v>160</v>
      </c>
    </row>
    <row r="610" spans="1:6" hidden="1" x14ac:dyDescent="0.25">
      <c r="A610" s="169">
        <v>43591</v>
      </c>
      <c r="B610" s="80" t="s">
        <v>1349</v>
      </c>
      <c r="C610" s="80" t="s">
        <v>152</v>
      </c>
      <c r="D610" s="80" t="s">
        <v>126</v>
      </c>
      <c r="E610" s="80" t="s">
        <v>153</v>
      </c>
      <c r="F610" s="170">
        <v>160</v>
      </c>
    </row>
    <row r="611" spans="1:6" hidden="1" x14ac:dyDescent="0.25">
      <c r="A611" s="169">
        <v>43592</v>
      </c>
      <c r="B611" s="80" t="s">
        <v>1352</v>
      </c>
      <c r="C611" s="80" t="s">
        <v>187</v>
      </c>
      <c r="D611" s="80" t="s">
        <v>126</v>
      </c>
      <c r="E611" s="80" t="s">
        <v>153</v>
      </c>
      <c r="F611" s="170">
        <v>160</v>
      </c>
    </row>
    <row r="612" spans="1:6" hidden="1" x14ac:dyDescent="0.25">
      <c r="A612" s="169">
        <v>43593</v>
      </c>
      <c r="B612" s="80" t="s">
        <v>1363</v>
      </c>
      <c r="C612" s="80" t="s">
        <v>182</v>
      </c>
      <c r="D612" s="80" t="s">
        <v>126</v>
      </c>
      <c r="E612" s="80" t="s">
        <v>131</v>
      </c>
      <c r="F612" s="170">
        <v>160</v>
      </c>
    </row>
    <row r="613" spans="1:6" hidden="1" x14ac:dyDescent="0.25">
      <c r="A613" s="169">
        <v>43596</v>
      </c>
      <c r="B613" s="80" t="s">
        <v>1388</v>
      </c>
      <c r="C613" s="80" t="s">
        <v>119</v>
      </c>
      <c r="D613" s="80" t="s">
        <v>126</v>
      </c>
      <c r="E613" s="80" t="s">
        <v>121</v>
      </c>
      <c r="F613" s="170">
        <v>160</v>
      </c>
    </row>
    <row r="614" spans="1:6" hidden="1" x14ac:dyDescent="0.25">
      <c r="A614" s="169">
        <v>43597</v>
      </c>
      <c r="B614" s="80" t="s">
        <v>1400</v>
      </c>
      <c r="C614" s="80" t="s">
        <v>138</v>
      </c>
      <c r="D614" s="80" t="s">
        <v>126</v>
      </c>
      <c r="E614" s="80" t="s">
        <v>131</v>
      </c>
      <c r="F614" s="170">
        <v>160</v>
      </c>
    </row>
    <row r="615" spans="1:6" hidden="1" x14ac:dyDescent="0.25">
      <c r="A615" s="169">
        <v>43598</v>
      </c>
      <c r="B615" s="80" t="s">
        <v>1415</v>
      </c>
      <c r="C615" s="80" t="s">
        <v>157</v>
      </c>
      <c r="D615" s="80" t="s">
        <v>126</v>
      </c>
      <c r="E615" s="80" t="s">
        <v>131</v>
      </c>
      <c r="F615" s="170">
        <v>160</v>
      </c>
    </row>
    <row r="616" spans="1:6" hidden="1" x14ac:dyDescent="0.25">
      <c r="A616" s="169">
        <v>43599</v>
      </c>
      <c r="B616" s="80" t="s">
        <v>1417</v>
      </c>
      <c r="C616" s="80" t="s">
        <v>223</v>
      </c>
      <c r="D616" s="80" t="s">
        <v>126</v>
      </c>
      <c r="E616" s="80" t="s">
        <v>127</v>
      </c>
      <c r="F616" s="170">
        <v>160</v>
      </c>
    </row>
    <row r="617" spans="1:6" hidden="1" x14ac:dyDescent="0.25">
      <c r="A617" s="169">
        <v>43599</v>
      </c>
      <c r="B617" s="80" t="s">
        <v>1422</v>
      </c>
      <c r="C617" s="80" t="s">
        <v>138</v>
      </c>
      <c r="D617" s="80" t="s">
        <v>126</v>
      </c>
      <c r="E617" s="80" t="s">
        <v>134</v>
      </c>
      <c r="F617" s="170">
        <v>160</v>
      </c>
    </row>
    <row r="618" spans="1:6" hidden="1" x14ac:dyDescent="0.25">
      <c r="A618" s="169">
        <v>43599</v>
      </c>
      <c r="B618" s="80" t="s">
        <v>1424</v>
      </c>
      <c r="C618" s="80" t="s">
        <v>119</v>
      </c>
      <c r="D618" s="80" t="s">
        <v>126</v>
      </c>
      <c r="E618" s="80" t="s">
        <v>134</v>
      </c>
      <c r="F618" s="170">
        <v>160</v>
      </c>
    </row>
    <row r="619" spans="1:6" hidden="1" x14ac:dyDescent="0.25">
      <c r="A619" s="169">
        <v>43602</v>
      </c>
      <c r="B619" s="80" t="s">
        <v>1450</v>
      </c>
      <c r="C619" s="80" t="s">
        <v>136</v>
      </c>
      <c r="D619" s="80" t="s">
        <v>126</v>
      </c>
      <c r="E619" s="80" t="s">
        <v>131</v>
      </c>
      <c r="F619" s="170">
        <v>160</v>
      </c>
    </row>
    <row r="620" spans="1:6" hidden="1" x14ac:dyDescent="0.25">
      <c r="A620" s="169">
        <v>43603</v>
      </c>
      <c r="B620" s="80" t="s">
        <v>1457</v>
      </c>
      <c r="C620" s="80" t="s">
        <v>152</v>
      </c>
      <c r="D620" s="80" t="s">
        <v>126</v>
      </c>
      <c r="E620" s="80" t="s">
        <v>153</v>
      </c>
      <c r="F620" s="170">
        <v>160</v>
      </c>
    </row>
    <row r="621" spans="1:6" hidden="1" x14ac:dyDescent="0.25">
      <c r="A621" s="169">
        <v>43603</v>
      </c>
      <c r="B621" s="80" t="s">
        <v>1459</v>
      </c>
      <c r="C621" s="80" t="s">
        <v>164</v>
      </c>
      <c r="D621" s="80" t="s">
        <v>126</v>
      </c>
      <c r="E621" s="80" t="s">
        <v>134</v>
      </c>
      <c r="F621" s="170">
        <v>160</v>
      </c>
    </row>
    <row r="622" spans="1:6" hidden="1" x14ac:dyDescent="0.25">
      <c r="A622" s="169">
        <v>43603</v>
      </c>
      <c r="B622" s="80" t="s">
        <v>1461</v>
      </c>
      <c r="C622" s="80" t="s">
        <v>136</v>
      </c>
      <c r="D622" s="80" t="s">
        <v>126</v>
      </c>
      <c r="E622" s="80" t="s">
        <v>121</v>
      </c>
      <c r="F622" s="170">
        <v>160</v>
      </c>
    </row>
    <row r="623" spans="1:6" hidden="1" x14ac:dyDescent="0.25">
      <c r="A623" s="169">
        <v>43603</v>
      </c>
      <c r="B623" s="80" t="s">
        <v>1463</v>
      </c>
      <c r="C623" s="80" t="s">
        <v>129</v>
      </c>
      <c r="D623" s="80" t="s">
        <v>126</v>
      </c>
      <c r="E623" s="80" t="s">
        <v>131</v>
      </c>
      <c r="F623" s="170">
        <v>160</v>
      </c>
    </row>
    <row r="624" spans="1:6" hidden="1" x14ac:dyDescent="0.25">
      <c r="A624" s="169">
        <v>43604</v>
      </c>
      <c r="B624" s="80" t="s">
        <v>1472</v>
      </c>
      <c r="C624" s="80" t="s">
        <v>152</v>
      </c>
      <c r="D624" s="80" t="s">
        <v>126</v>
      </c>
      <c r="E624" s="80" t="s">
        <v>121</v>
      </c>
      <c r="F624" s="170">
        <v>160</v>
      </c>
    </row>
    <row r="625" spans="1:6" hidden="1" x14ac:dyDescent="0.25">
      <c r="A625" s="169">
        <v>43604</v>
      </c>
      <c r="B625" s="80" t="s">
        <v>1474</v>
      </c>
      <c r="C625" s="80" t="s">
        <v>136</v>
      </c>
      <c r="D625" s="80" t="s">
        <v>126</v>
      </c>
      <c r="E625" s="80" t="s">
        <v>127</v>
      </c>
      <c r="F625" s="170">
        <v>160</v>
      </c>
    </row>
    <row r="626" spans="1:6" hidden="1" x14ac:dyDescent="0.25">
      <c r="A626" s="169">
        <v>43605</v>
      </c>
      <c r="B626" s="80" t="s">
        <v>1483</v>
      </c>
      <c r="C626" s="80" t="s">
        <v>223</v>
      </c>
      <c r="D626" s="80" t="s">
        <v>126</v>
      </c>
      <c r="E626" s="80" t="s">
        <v>134</v>
      </c>
      <c r="F626" s="170">
        <v>160</v>
      </c>
    </row>
    <row r="627" spans="1:6" hidden="1" x14ac:dyDescent="0.25">
      <c r="A627" s="169">
        <v>43607</v>
      </c>
      <c r="B627" s="80" t="s">
        <v>1511</v>
      </c>
      <c r="C627" s="80" t="s">
        <v>167</v>
      </c>
      <c r="D627" s="80" t="s">
        <v>126</v>
      </c>
      <c r="E627" s="80" t="s">
        <v>131</v>
      </c>
      <c r="F627" s="170">
        <v>160</v>
      </c>
    </row>
    <row r="628" spans="1:6" hidden="1" x14ac:dyDescent="0.25">
      <c r="A628" s="169">
        <v>43607</v>
      </c>
      <c r="B628" s="80" t="s">
        <v>1514</v>
      </c>
      <c r="C628" s="80" t="s">
        <v>143</v>
      </c>
      <c r="D628" s="80" t="s">
        <v>126</v>
      </c>
      <c r="E628" s="80" t="s">
        <v>131</v>
      </c>
      <c r="F628" s="170">
        <v>160</v>
      </c>
    </row>
    <row r="629" spans="1:6" hidden="1" x14ac:dyDescent="0.25">
      <c r="A629" s="169">
        <v>43608</v>
      </c>
      <c r="B629" s="80" t="s">
        <v>1527</v>
      </c>
      <c r="C629" s="80" t="s">
        <v>148</v>
      </c>
      <c r="D629" s="80" t="s">
        <v>126</v>
      </c>
      <c r="E629" s="80" t="s">
        <v>134</v>
      </c>
      <c r="F629" s="170">
        <v>160</v>
      </c>
    </row>
    <row r="630" spans="1:6" hidden="1" x14ac:dyDescent="0.25">
      <c r="A630" s="169">
        <v>43609</v>
      </c>
      <c r="B630" s="80" t="s">
        <v>1536</v>
      </c>
      <c r="C630" s="80" t="s">
        <v>157</v>
      </c>
      <c r="D630" s="80" t="s">
        <v>126</v>
      </c>
      <c r="E630" s="80" t="s">
        <v>153</v>
      </c>
      <c r="F630" s="170">
        <v>160</v>
      </c>
    </row>
    <row r="631" spans="1:6" hidden="1" x14ac:dyDescent="0.25">
      <c r="A631" s="169">
        <v>43611</v>
      </c>
      <c r="B631" s="80" t="s">
        <v>1559</v>
      </c>
      <c r="C631" s="80" t="s">
        <v>143</v>
      </c>
      <c r="D631" s="80" t="s">
        <v>126</v>
      </c>
      <c r="E631" s="80" t="s">
        <v>153</v>
      </c>
      <c r="F631" s="170">
        <v>160</v>
      </c>
    </row>
    <row r="632" spans="1:6" hidden="1" x14ac:dyDescent="0.25">
      <c r="A632" s="169">
        <v>43611</v>
      </c>
      <c r="B632" s="80" t="s">
        <v>1561</v>
      </c>
      <c r="C632" s="80" t="s">
        <v>223</v>
      </c>
      <c r="D632" s="80" t="s">
        <v>126</v>
      </c>
      <c r="E632" s="80" t="s">
        <v>131</v>
      </c>
      <c r="F632" s="170">
        <v>160</v>
      </c>
    </row>
    <row r="633" spans="1:6" hidden="1" x14ac:dyDescent="0.25">
      <c r="A633" s="169">
        <v>43611</v>
      </c>
      <c r="B633" s="80" t="s">
        <v>1562</v>
      </c>
      <c r="C633" s="80" t="s">
        <v>143</v>
      </c>
      <c r="D633" s="80" t="s">
        <v>126</v>
      </c>
      <c r="E633" s="80" t="s">
        <v>127</v>
      </c>
      <c r="F633" s="170">
        <v>160</v>
      </c>
    </row>
    <row r="634" spans="1:6" hidden="1" x14ac:dyDescent="0.25">
      <c r="A634" s="169">
        <v>43612</v>
      </c>
      <c r="B634" s="80" t="s">
        <v>1565</v>
      </c>
      <c r="C634" s="80" t="s">
        <v>167</v>
      </c>
      <c r="D634" s="80" t="s">
        <v>126</v>
      </c>
      <c r="E634" s="80" t="s">
        <v>134</v>
      </c>
      <c r="F634" s="170">
        <v>160</v>
      </c>
    </row>
    <row r="635" spans="1:6" hidden="1" x14ac:dyDescent="0.25">
      <c r="A635" s="169">
        <v>43613</v>
      </c>
      <c r="B635" s="80" t="s">
        <v>1576</v>
      </c>
      <c r="C635" s="80" t="s">
        <v>119</v>
      </c>
      <c r="D635" s="80" t="s">
        <v>126</v>
      </c>
      <c r="E635" s="80" t="s">
        <v>134</v>
      </c>
      <c r="F635" s="170">
        <v>160</v>
      </c>
    </row>
    <row r="636" spans="1:6" hidden="1" x14ac:dyDescent="0.25">
      <c r="A636" s="169">
        <v>43613</v>
      </c>
      <c r="B636" s="80" t="s">
        <v>1579</v>
      </c>
      <c r="C636" s="80" t="s">
        <v>143</v>
      </c>
      <c r="D636" s="80" t="s">
        <v>126</v>
      </c>
      <c r="E636" s="80" t="s">
        <v>153</v>
      </c>
      <c r="F636" s="170">
        <v>160</v>
      </c>
    </row>
    <row r="637" spans="1:6" hidden="1" x14ac:dyDescent="0.25">
      <c r="A637" s="169">
        <v>43614</v>
      </c>
      <c r="B637" s="80" t="s">
        <v>1588</v>
      </c>
      <c r="C637" s="80" t="s">
        <v>167</v>
      </c>
      <c r="D637" s="80" t="s">
        <v>126</v>
      </c>
      <c r="E637" s="80" t="s">
        <v>134</v>
      </c>
      <c r="F637" s="170">
        <v>160</v>
      </c>
    </row>
    <row r="638" spans="1:6" hidden="1" x14ac:dyDescent="0.25">
      <c r="A638" s="169">
        <v>43614</v>
      </c>
      <c r="B638" s="80" t="s">
        <v>1591</v>
      </c>
      <c r="C638" s="80" t="s">
        <v>136</v>
      </c>
      <c r="D638" s="80" t="s">
        <v>126</v>
      </c>
      <c r="E638" s="80" t="s">
        <v>134</v>
      </c>
      <c r="F638" s="170">
        <v>160</v>
      </c>
    </row>
    <row r="639" spans="1:6" hidden="1" x14ac:dyDescent="0.25">
      <c r="A639" s="169">
        <v>43614</v>
      </c>
      <c r="B639" s="80" t="s">
        <v>1593</v>
      </c>
      <c r="C639" s="80" t="s">
        <v>148</v>
      </c>
      <c r="D639" s="80" t="s">
        <v>126</v>
      </c>
      <c r="E639" s="80" t="s">
        <v>131</v>
      </c>
      <c r="F639" s="170">
        <v>160</v>
      </c>
    </row>
    <row r="640" spans="1:6" hidden="1" x14ac:dyDescent="0.25">
      <c r="A640" s="169">
        <v>43615</v>
      </c>
      <c r="B640" s="80" t="s">
        <v>1598</v>
      </c>
      <c r="C640" s="80" t="s">
        <v>138</v>
      </c>
      <c r="D640" s="80" t="s">
        <v>126</v>
      </c>
      <c r="E640" s="80" t="s">
        <v>134</v>
      </c>
      <c r="F640" s="170">
        <v>160</v>
      </c>
    </row>
    <row r="641" spans="1:6" hidden="1" x14ac:dyDescent="0.25">
      <c r="A641" s="169">
        <v>43615</v>
      </c>
      <c r="B641" s="80" t="s">
        <v>1601</v>
      </c>
      <c r="C641" s="80" t="s">
        <v>148</v>
      </c>
      <c r="D641" s="80" t="s">
        <v>126</v>
      </c>
      <c r="E641" s="80" t="s">
        <v>153</v>
      </c>
      <c r="F641" s="170">
        <v>160</v>
      </c>
    </row>
    <row r="642" spans="1:6" hidden="1" x14ac:dyDescent="0.25">
      <c r="A642" s="169">
        <v>43616</v>
      </c>
      <c r="B642" s="80" t="s">
        <v>1608</v>
      </c>
      <c r="C642" s="80" t="s">
        <v>157</v>
      </c>
      <c r="D642" s="80" t="s">
        <v>126</v>
      </c>
      <c r="E642" s="80" t="s">
        <v>134</v>
      </c>
      <c r="F642" s="170">
        <v>160</v>
      </c>
    </row>
    <row r="643" spans="1:6" hidden="1" x14ac:dyDescent="0.25">
      <c r="A643" s="169">
        <v>43618</v>
      </c>
      <c r="B643" s="80" t="s">
        <v>1619</v>
      </c>
      <c r="C643" s="80" t="s">
        <v>136</v>
      </c>
      <c r="D643" s="80" t="s">
        <v>126</v>
      </c>
      <c r="E643" s="80" t="s">
        <v>127</v>
      </c>
      <c r="F643" s="170">
        <v>160</v>
      </c>
    </row>
    <row r="644" spans="1:6" hidden="1" x14ac:dyDescent="0.25">
      <c r="A644" s="169">
        <v>43618</v>
      </c>
      <c r="B644" s="80" t="s">
        <v>1623</v>
      </c>
      <c r="C644" s="80" t="s">
        <v>223</v>
      </c>
      <c r="D644" s="80" t="s">
        <v>126</v>
      </c>
      <c r="E644" s="80" t="s">
        <v>153</v>
      </c>
      <c r="F644" s="170">
        <v>160</v>
      </c>
    </row>
    <row r="645" spans="1:6" hidden="1" x14ac:dyDescent="0.25">
      <c r="A645" s="169">
        <v>43618</v>
      </c>
      <c r="B645" s="80" t="s">
        <v>1625</v>
      </c>
      <c r="C645" s="80" t="s">
        <v>182</v>
      </c>
      <c r="D645" s="80" t="s">
        <v>126</v>
      </c>
      <c r="E645" s="80" t="s">
        <v>121</v>
      </c>
      <c r="F645" s="170">
        <v>160</v>
      </c>
    </row>
    <row r="646" spans="1:6" hidden="1" x14ac:dyDescent="0.25">
      <c r="A646" s="169">
        <v>43619</v>
      </c>
      <c r="B646" s="80" t="s">
        <v>1628</v>
      </c>
      <c r="C646" s="80" t="s">
        <v>125</v>
      </c>
      <c r="D646" s="80" t="s">
        <v>126</v>
      </c>
      <c r="E646" s="80" t="s">
        <v>131</v>
      </c>
      <c r="F646" s="170">
        <v>160</v>
      </c>
    </row>
    <row r="647" spans="1:6" hidden="1" x14ac:dyDescent="0.25">
      <c r="A647" s="169">
        <v>43620</v>
      </c>
      <c r="B647" s="80" t="s">
        <v>1643</v>
      </c>
      <c r="C647" s="80" t="s">
        <v>167</v>
      </c>
      <c r="D647" s="80" t="s">
        <v>126</v>
      </c>
      <c r="E647" s="80" t="s">
        <v>153</v>
      </c>
      <c r="F647" s="170">
        <v>160</v>
      </c>
    </row>
    <row r="648" spans="1:6" hidden="1" x14ac:dyDescent="0.25">
      <c r="A648" s="169">
        <v>43621</v>
      </c>
      <c r="B648" s="80" t="s">
        <v>1654</v>
      </c>
      <c r="C648" s="80" t="s">
        <v>164</v>
      </c>
      <c r="D648" s="80" t="s">
        <v>126</v>
      </c>
      <c r="E648" s="80" t="s">
        <v>153</v>
      </c>
      <c r="F648" s="170">
        <v>160</v>
      </c>
    </row>
    <row r="649" spans="1:6" hidden="1" x14ac:dyDescent="0.25">
      <c r="A649" s="169">
        <v>43622</v>
      </c>
      <c r="B649" s="80" t="s">
        <v>1657</v>
      </c>
      <c r="C649" s="80" t="s">
        <v>164</v>
      </c>
      <c r="D649" s="80" t="s">
        <v>126</v>
      </c>
      <c r="E649" s="80" t="s">
        <v>134</v>
      </c>
      <c r="F649" s="170">
        <v>160</v>
      </c>
    </row>
    <row r="650" spans="1:6" hidden="1" x14ac:dyDescent="0.25">
      <c r="A650" s="169">
        <v>43622</v>
      </c>
      <c r="B650" s="80" t="s">
        <v>1659</v>
      </c>
      <c r="C650" s="80" t="s">
        <v>157</v>
      </c>
      <c r="D650" s="80" t="s">
        <v>126</v>
      </c>
      <c r="E650" s="80" t="s">
        <v>127</v>
      </c>
      <c r="F650" s="170">
        <v>160</v>
      </c>
    </row>
    <row r="651" spans="1:6" hidden="1" x14ac:dyDescent="0.25">
      <c r="A651" s="169">
        <v>43622</v>
      </c>
      <c r="B651" s="80" t="s">
        <v>1665</v>
      </c>
      <c r="C651" s="80" t="s">
        <v>187</v>
      </c>
      <c r="D651" s="80" t="s">
        <v>126</v>
      </c>
      <c r="E651" s="80" t="s">
        <v>121</v>
      </c>
      <c r="F651" s="170">
        <v>160</v>
      </c>
    </row>
    <row r="652" spans="1:6" hidden="1" x14ac:dyDescent="0.25">
      <c r="A652" s="169">
        <v>43623</v>
      </c>
      <c r="B652" s="80" t="s">
        <v>1667</v>
      </c>
      <c r="C652" s="80" t="s">
        <v>119</v>
      </c>
      <c r="D652" s="80" t="s">
        <v>126</v>
      </c>
      <c r="E652" s="80" t="s">
        <v>153</v>
      </c>
      <c r="F652" s="170">
        <v>160</v>
      </c>
    </row>
    <row r="653" spans="1:6" hidden="1" x14ac:dyDescent="0.25">
      <c r="A653" s="169">
        <v>43623</v>
      </c>
      <c r="B653" s="80" t="s">
        <v>1671</v>
      </c>
      <c r="C653" s="80" t="s">
        <v>143</v>
      </c>
      <c r="D653" s="80" t="s">
        <v>126</v>
      </c>
      <c r="E653" s="80" t="s">
        <v>153</v>
      </c>
      <c r="F653" s="170">
        <v>160</v>
      </c>
    </row>
    <row r="654" spans="1:6" hidden="1" x14ac:dyDescent="0.25">
      <c r="A654" s="169">
        <v>43623</v>
      </c>
      <c r="B654" s="80" t="s">
        <v>1675</v>
      </c>
      <c r="C654" s="80" t="s">
        <v>152</v>
      </c>
      <c r="D654" s="80" t="s">
        <v>126</v>
      </c>
      <c r="E654" s="80" t="s">
        <v>127</v>
      </c>
      <c r="F654" s="170">
        <v>160</v>
      </c>
    </row>
    <row r="655" spans="1:6" hidden="1" x14ac:dyDescent="0.25">
      <c r="A655" s="169">
        <v>43626</v>
      </c>
      <c r="B655" s="80" t="s">
        <v>1703</v>
      </c>
      <c r="C655" s="80" t="s">
        <v>189</v>
      </c>
      <c r="D655" s="80" t="s">
        <v>126</v>
      </c>
      <c r="E655" s="80" t="s">
        <v>127</v>
      </c>
      <c r="F655" s="170">
        <v>160</v>
      </c>
    </row>
    <row r="656" spans="1:6" hidden="1" x14ac:dyDescent="0.25">
      <c r="A656" s="169">
        <v>43626</v>
      </c>
      <c r="B656" s="80" t="s">
        <v>1705</v>
      </c>
      <c r="C656" s="80" t="s">
        <v>136</v>
      </c>
      <c r="D656" s="80" t="s">
        <v>126</v>
      </c>
      <c r="E656" s="80" t="s">
        <v>153</v>
      </c>
      <c r="F656" s="170">
        <v>160</v>
      </c>
    </row>
    <row r="657" spans="1:6" hidden="1" x14ac:dyDescent="0.25">
      <c r="A657" s="169">
        <v>43626</v>
      </c>
      <c r="B657" s="80" t="s">
        <v>1706</v>
      </c>
      <c r="C657" s="80" t="s">
        <v>157</v>
      </c>
      <c r="D657" s="80" t="s">
        <v>126</v>
      </c>
      <c r="E657" s="80" t="s">
        <v>127</v>
      </c>
      <c r="F657" s="170">
        <v>160</v>
      </c>
    </row>
    <row r="658" spans="1:6" hidden="1" x14ac:dyDescent="0.25">
      <c r="A658" s="169">
        <v>43627</v>
      </c>
      <c r="B658" s="80" t="s">
        <v>1712</v>
      </c>
      <c r="C658" s="80" t="s">
        <v>189</v>
      </c>
      <c r="D658" s="80" t="s">
        <v>126</v>
      </c>
      <c r="E658" s="80" t="s">
        <v>121</v>
      </c>
      <c r="F658" s="170">
        <v>160</v>
      </c>
    </row>
    <row r="659" spans="1:6" hidden="1" x14ac:dyDescent="0.25">
      <c r="A659" s="169">
        <v>43628</v>
      </c>
      <c r="B659" s="80" t="s">
        <v>1724</v>
      </c>
      <c r="C659" s="80" t="s">
        <v>143</v>
      </c>
      <c r="D659" s="80" t="s">
        <v>126</v>
      </c>
      <c r="E659" s="80" t="s">
        <v>121</v>
      </c>
      <c r="F659" s="170">
        <v>160</v>
      </c>
    </row>
    <row r="660" spans="1:6" hidden="1" x14ac:dyDescent="0.25">
      <c r="A660" s="169">
        <v>43631</v>
      </c>
      <c r="B660" s="80" t="s">
        <v>1751</v>
      </c>
      <c r="C660" s="80" t="s">
        <v>148</v>
      </c>
      <c r="D660" s="80" t="s">
        <v>126</v>
      </c>
      <c r="E660" s="80" t="s">
        <v>153</v>
      </c>
      <c r="F660" s="170">
        <v>160</v>
      </c>
    </row>
    <row r="661" spans="1:6" hidden="1" x14ac:dyDescent="0.25">
      <c r="A661" s="169">
        <v>43632</v>
      </c>
      <c r="B661" s="80" t="s">
        <v>1757</v>
      </c>
      <c r="C661" s="80" t="s">
        <v>164</v>
      </c>
      <c r="D661" s="80" t="s">
        <v>126</v>
      </c>
      <c r="E661" s="80" t="s">
        <v>121</v>
      </c>
      <c r="F661" s="170">
        <v>160</v>
      </c>
    </row>
    <row r="662" spans="1:6" hidden="1" x14ac:dyDescent="0.25">
      <c r="A662" s="169">
        <v>43632</v>
      </c>
      <c r="B662" s="80" t="s">
        <v>1758</v>
      </c>
      <c r="C662" s="80" t="s">
        <v>138</v>
      </c>
      <c r="D662" s="80" t="s">
        <v>126</v>
      </c>
      <c r="E662" s="80" t="s">
        <v>131</v>
      </c>
      <c r="F662" s="170">
        <v>160</v>
      </c>
    </row>
    <row r="663" spans="1:6" hidden="1" x14ac:dyDescent="0.25">
      <c r="A663" s="169">
        <v>43633</v>
      </c>
      <c r="B663" s="80" t="s">
        <v>1775</v>
      </c>
      <c r="C663" s="80" t="s">
        <v>143</v>
      </c>
      <c r="D663" s="80" t="s">
        <v>126</v>
      </c>
      <c r="E663" s="80" t="s">
        <v>127</v>
      </c>
      <c r="F663" s="170">
        <v>160</v>
      </c>
    </row>
    <row r="664" spans="1:6" hidden="1" x14ac:dyDescent="0.25">
      <c r="A664" s="169">
        <v>43636</v>
      </c>
      <c r="B664" s="80" t="s">
        <v>1798</v>
      </c>
      <c r="C664" s="80" t="s">
        <v>136</v>
      </c>
      <c r="D664" s="80" t="s">
        <v>126</v>
      </c>
      <c r="E664" s="80" t="s">
        <v>127</v>
      </c>
      <c r="F664" s="170">
        <v>160</v>
      </c>
    </row>
    <row r="665" spans="1:6" hidden="1" x14ac:dyDescent="0.25">
      <c r="A665" s="169">
        <v>43638</v>
      </c>
      <c r="B665" s="80" t="s">
        <v>1823</v>
      </c>
      <c r="C665" s="80" t="s">
        <v>167</v>
      </c>
      <c r="D665" s="80" t="s">
        <v>126</v>
      </c>
      <c r="E665" s="80" t="s">
        <v>121</v>
      </c>
      <c r="F665" s="170">
        <v>160</v>
      </c>
    </row>
    <row r="666" spans="1:6" hidden="1" x14ac:dyDescent="0.25">
      <c r="A666" s="169">
        <v>43642</v>
      </c>
      <c r="B666" s="80" t="s">
        <v>1844</v>
      </c>
      <c r="C666" s="80" t="s">
        <v>223</v>
      </c>
      <c r="D666" s="80" t="s">
        <v>126</v>
      </c>
      <c r="E666" s="80" t="s">
        <v>121</v>
      </c>
      <c r="F666" s="170">
        <v>160</v>
      </c>
    </row>
    <row r="667" spans="1:6" hidden="1" x14ac:dyDescent="0.25">
      <c r="A667" s="169">
        <v>43644</v>
      </c>
      <c r="B667" s="80" t="s">
        <v>1860</v>
      </c>
      <c r="C667" s="80" t="s">
        <v>223</v>
      </c>
      <c r="D667" s="80" t="s">
        <v>126</v>
      </c>
      <c r="E667" s="80" t="s">
        <v>134</v>
      </c>
      <c r="F667" s="170">
        <v>160</v>
      </c>
    </row>
    <row r="668" spans="1:6" hidden="1" x14ac:dyDescent="0.25">
      <c r="A668" s="169">
        <v>43644</v>
      </c>
      <c r="B668" s="80" t="s">
        <v>1863</v>
      </c>
      <c r="C668" s="80" t="s">
        <v>148</v>
      </c>
      <c r="D668" s="80" t="s">
        <v>126</v>
      </c>
      <c r="E668" s="80" t="s">
        <v>127</v>
      </c>
      <c r="F668" s="170">
        <v>160</v>
      </c>
    </row>
    <row r="669" spans="1:6" hidden="1" x14ac:dyDescent="0.25">
      <c r="A669" s="169">
        <v>43646</v>
      </c>
      <c r="B669" s="80" t="s">
        <v>1876</v>
      </c>
      <c r="C669" s="80" t="s">
        <v>148</v>
      </c>
      <c r="D669" s="80" t="s">
        <v>126</v>
      </c>
      <c r="E669" s="80" t="s">
        <v>131</v>
      </c>
      <c r="F669" s="170">
        <v>160</v>
      </c>
    </row>
    <row r="670" spans="1:6" hidden="1" x14ac:dyDescent="0.25">
      <c r="A670" s="169">
        <v>43647</v>
      </c>
      <c r="B670" s="80" t="s">
        <v>1895</v>
      </c>
      <c r="C670" s="80" t="s">
        <v>164</v>
      </c>
      <c r="D670" s="80" t="s">
        <v>126</v>
      </c>
      <c r="E670" s="80" t="s">
        <v>153</v>
      </c>
      <c r="F670" s="170">
        <v>160</v>
      </c>
    </row>
    <row r="671" spans="1:6" hidden="1" x14ac:dyDescent="0.25">
      <c r="A671" s="169">
        <v>43649</v>
      </c>
      <c r="B671" s="80" t="s">
        <v>1905</v>
      </c>
      <c r="C671" s="80" t="s">
        <v>129</v>
      </c>
      <c r="D671" s="80" t="s">
        <v>126</v>
      </c>
      <c r="E671" s="80" t="s">
        <v>153</v>
      </c>
      <c r="F671" s="170">
        <v>160</v>
      </c>
    </row>
    <row r="672" spans="1:6" hidden="1" x14ac:dyDescent="0.25">
      <c r="A672" s="169">
        <v>43650</v>
      </c>
      <c r="B672" s="80" t="s">
        <v>1927</v>
      </c>
      <c r="C672" s="80" t="s">
        <v>143</v>
      </c>
      <c r="D672" s="80" t="s">
        <v>126</v>
      </c>
      <c r="E672" s="80" t="s">
        <v>121</v>
      </c>
      <c r="F672" s="170">
        <v>160</v>
      </c>
    </row>
    <row r="673" spans="1:6" hidden="1" x14ac:dyDescent="0.25">
      <c r="A673" s="169">
        <v>43651</v>
      </c>
      <c r="B673" s="80" t="s">
        <v>1933</v>
      </c>
      <c r="C673" s="80" t="s">
        <v>138</v>
      </c>
      <c r="D673" s="80" t="s">
        <v>126</v>
      </c>
      <c r="E673" s="80" t="s">
        <v>153</v>
      </c>
      <c r="F673" s="170">
        <v>160</v>
      </c>
    </row>
    <row r="674" spans="1:6" hidden="1" x14ac:dyDescent="0.25">
      <c r="A674" s="169">
        <v>43652</v>
      </c>
      <c r="B674" s="80" t="s">
        <v>1948</v>
      </c>
      <c r="C674" s="80" t="s">
        <v>187</v>
      </c>
      <c r="D674" s="80" t="s">
        <v>126</v>
      </c>
      <c r="E674" s="80" t="s">
        <v>127</v>
      </c>
      <c r="F674" s="170">
        <v>160</v>
      </c>
    </row>
    <row r="675" spans="1:6" hidden="1" x14ac:dyDescent="0.25">
      <c r="A675" s="169">
        <v>43653</v>
      </c>
      <c r="B675" s="80" t="s">
        <v>1952</v>
      </c>
      <c r="C675" s="80" t="s">
        <v>143</v>
      </c>
      <c r="D675" s="80" t="s">
        <v>126</v>
      </c>
      <c r="E675" s="80" t="s">
        <v>131</v>
      </c>
      <c r="F675" s="170">
        <v>160</v>
      </c>
    </row>
    <row r="676" spans="1:6" hidden="1" x14ac:dyDescent="0.25">
      <c r="A676" s="169">
        <v>43653</v>
      </c>
      <c r="B676" s="80" t="s">
        <v>1960</v>
      </c>
      <c r="C676" s="80" t="s">
        <v>189</v>
      </c>
      <c r="D676" s="80" t="s">
        <v>126</v>
      </c>
      <c r="E676" s="80" t="s">
        <v>153</v>
      </c>
      <c r="F676" s="170">
        <v>160</v>
      </c>
    </row>
    <row r="677" spans="1:6" hidden="1" x14ac:dyDescent="0.25">
      <c r="A677" s="169">
        <v>43656</v>
      </c>
      <c r="B677" s="80" t="s">
        <v>1978</v>
      </c>
      <c r="C677" s="80" t="s">
        <v>189</v>
      </c>
      <c r="D677" s="80" t="s">
        <v>126</v>
      </c>
      <c r="E677" s="80" t="s">
        <v>121</v>
      </c>
      <c r="F677" s="170">
        <v>160</v>
      </c>
    </row>
    <row r="678" spans="1:6" hidden="1" x14ac:dyDescent="0.25">
      <c r="A678" s="169">
        <v>43657</v>
      </c>
      <c r="B678" s="80" t="s">
        <v>1986</v>
      </c>
      <c r="C678" s="80" t="s">
        <v>164</v>
      </c>
      <c r="D678" s="80" t="s">
        <v>126</v>
      </c>
      <c r="E678" s="80" t="s">
        <v>153</v>
      </c>
      <c r="F678" s="170">
        <v>160</v>
      </c>
    </row>
    <row r="679" spans="1:6" hidden="1" x14ac:dyDescent="0.25">
      <c r="A679" s="169">
        <v>43659</v>
      </c>
      <c r="B679" s="80" t="s">
        <v>2003</v>
      </c>
      <c r="C679" s="80" t="s">
        <v>223</v>
      </c>
      <c r="D679" s="80" t="s">
        <v>126</v>
      </c>
      <c r="E679" s="80" t="s">
        <v>153</v>
      </c>
      <c r="F679" s="170">
        <v>160</v>
      </c>
    </row>
    <row r="680" spans="1:6" hidden="1" x14ac:dyDescent="0.25">
      <c r="A680" s="169">
        <v>43659</v>
      </c>
      <c r="B680" s="80" t="s">
        <v>2006</v>
      </c>
      <c r="C680" s="80" t="s">
        <v>164</v>
      </c>
      <c r="D680" s="80" t="s">
        <v>126</v>
      </c>
      <c r="E680" s="80" t="s">
        <v>127</v>
      </c>
      <c r="F680" s="170">
        <v>160</v>
      </c>
    </row>
    <row r="681" spans="1:6" hidden="1" x14ac:dyDescent="0.25">
      <c r="A681" s="169">
        <v>43660</v>
      </c>
      <c r="B681" s="80" t="s">
        <v>2017</v>
      </c>
      <c r="C681" s="80" t="s">
        <v>148</v>
      </c>
      <c r="D681" s="80" t="s">
        <v>126</v>
      </c>
      <c r="E681" s="80" t="s">
        <v>127</v>
      </c>
      <c r="F681" s="170">
        <v>160</v>
      </c>
    </row>
    <row r="682" spans="1:6" hidden="1" x14ac:dyDescent="0.25">
      <c r="A682" s="169">
        <v>43662</v>
      </c>
      <c r="B682" s="80" t="s">
        <v>2038</v>
      </c>
      <c r="C682" s="80" t="s">
        <v>123</v>
      </c>
      <c r="D682" s="80" t="s">
        <v>126</v>
      </c>
      <c r="E682" s="80" t="s">
        <v>153</v>
      </c>
      <c r="F682" s="170">
        <v>160</v>
      </c>
    </row>
    <row r="683" spans="1:6" hidden="1" x14ac:dyDescent="0.25">
      <c r="A683" s="169">
        <v>43664</v>
      </c>
      <c r="B683" s="80" t="s">
        <v>2055</v>
      </c>
      <c r="C683" s="80" t="s">
        <v>129</v>
      </c>
      <c r="D683" s="80" t="s">
        <v>126</v>
      </c>
      <c r="E683" s="80" t="s">
        <v>121</v>
      </c>
      <c r="F683" s="170">
        <v>160</v>
      </c>
    </row>
    <row r="684" spans="1:6" hidden="1" x14ac:dyDescent="0.25">
      <c r="A684" s="169">
        <v>43664</v>
      </c>
      <c r="B684" s="80" t="s">
        <v>2058</v>
      </c>
      <c r="C684" s="80" t="s">
        <v>157</v>
      </c>
      <c r="D684" s="80" t="s">
        <v>126</v>
      </c>
      <c r="E684" s="80" t="s">
        <v>153</v>
      </c>
      <c r="F684" s="170">
        <v>160</v>
      </c>
    </row>
    <row r="685" spans="1:6" hidden="1" x14ac:dyDescent="0.25">
      <c r="A685" s="169">
        <v>43665</v>
      </c>
      <c r="B685" s="80" t="s">
        <v>2060</v>
      </c>
      <c r="C685" s="80" t="s">
        <v>138</v>
      </c>
      <c r="D685" s="80" t="s">
        <v>126</v>
      </c>
      <c r="E685" s="80" t="s">
        <v>134</v>
      </c>
      <c r="F685" s="170">
        <v>160</v>
      </c>
    </row>
    <row r="686" spans="1:6" hidden="1" x14ac:dyDescent="0.25">
      <c r="A686" s="169">
        <v>43666</v>
      </c>
      <c r="B686" s="80" t="s">
        <v>2069</v>
      </c>
      <c r="C686" s="80" t="s">
        <v>157</v>
      </c>
      <c r="D686" s="80" t="s">
        <v>126</v>
      </c>
      <c r="E686" s="80" t="s">
        <v>153</v>
      </c>
      <c r="F686" s="170">
        <v>160</v>
      </c>
    </row>
    <row r="687" spans="1:6" hidden="1" x14ac:dyDescent="0.25">
      <c r="A687" s="169">
        <v>43667</v>
      </c>
      <c r="B687" s="80" t="s">
        <v>2072</v>
      </c>
      <c r="C687" s="80" t="s">
        <v>129</v>
      </c>
      <c r="D687" s="80" t="s">
        <v>126</v>
      </c>
      <c r="E687" s="80" t="s">
        <v>121</v>
      </c>
      <c r="F687" s="170">
        <v>160</v>
      </c>
    </row>
    <row r="688" spans="1:6" hidden="1" x14ac:dyDescent="0.25">
      <c r="A688" s="169">
        <v>43667</v>
      </c>
      <c r="B688" s="80" t="s">
        <v>2076</v>
      </c>
      <c r="C688" s="80" t="s">
        <v>123</v>
      </c>
      <c r="D688" s="80" t="s">
        <v>126</v>
      </c>
      <c r="E688" s="80" t="s">
        <v>121</v>
      </c>
      <c r="F688" s="170">
        <v>160</v>
      </c>
    </row>
    <row r="689" spans="1:6" hidden="1" x14ac:dyDescent="0.25">
      <c r="A689" s="169">
        <v>43667</v>
      </c>
      <c r="B689" s="80" t="s">
        <v>2077</v>
      </c>
      <c r="C689" s="80" t="s">
        <v>129</v>
      </c>
      <c r="D689" s="80" t="s">
        <v>126</v>
      </c>
      <c r="E689" s="80" t="s">
        <v>153</v>
      </c>
      <c r="F689" s="170">
        <v>160</v>
      </c>
    </row>
    <row r="690" spans="1:6" hidden="1" x14ac:dyDescent="0.25">
      <c r="A690" s="169">
        <v>43667</v>
      </c>
      <c r="B690" s="80" t="s">
        <v>2080</v>
      </c>
      <c r="C690" s="80" t="s">
        <v>119</v>
      </c>
      <c r="D690" s="80" t="s">
        <v>126</v>
      </c>
      <c r="E690" s="80" t="s">
        <v>131</v>
      </c>
      <c r="F690" s="170">
        <v>160</v>
      </c>
    </row>
    <row r="691" spans="1:6" hidden="1" x14ac:dyDescent="0.25">
      <c r="A691" s="169">
        <v>43667</v>
      </c>
      <c r="B691" s="80" t="s">
        <v>2081</v>
      </c>
      <c r="C691" s="80" t="s">
        <v>123</v>
      </c>
      <c r="D691" s="80" t="s">
        <v>126</v>
      </c>
      <c r="E691" s="80" t="s">
        <v>121</v>
      </c>
      <c r="F691" s="170">
        <v>160</v>
      </c>
    </row>
    <row r="692" spans="1:6" hidden="1" x14ac:dyDescent="0.25">
      <c r="A692" s="169">
        <v>43669</v>
      </c>
      <c r="B692" s="80" t="s">
        <v>2096</v>
      </c>
      <c r="C692" s="80" t="s">
        <v>143</v>
      </c>
      <c r="D692" s="80" t="s">
        <v>126</v>
      </c>
      <c r="E692" s="80" t="s">
        <v>131</v>
      </c>
      <c r="F692" s="170">
        <v>160</v>
      </c>
    </row>
    <row r="693" spans="1:6" hidden="1" x14ac:dyDescent="0.25">
      <c r="A693" s="169">
        <v>43669</v>
      </c>
      <c r="B693" s="80" t="s">
        <v>2098</v>
      </c>
      <c r="C693" s="80" t="s">
        <v>182</v>
      </c>
      <c r="D693" s="80" t="s">
        <v>126</v>
      </c>
      <c r="E693" s="80" t="s">
        <v>131</v>
      </c>
      <c r="F693" s="170">
        <v>160</v>
      </c>
    </row>
    <row r="694" spans="1:6" hidden="1" x14ac:dyDescent="0.25">
      <c r="A694" s="169">
        <v>43670</v>
      </c>
      <c r="B694" s="80" t="s">
        <v>2103</v>
      </c>
      <c r="C694" s="80" t="s">
        <v>143</v>
      </c>
      <c r="D694" s="80" t="s">
        <v>126</v>
      </c>
      <c r="E694" s="80" t="s">
        <v>134</v>
      </c>
      <c r="F694" s="170">
        <v>160</v>
      </c>
    </row>
    <row r="695" spans="1:6" hidden="1" x14ac:dyDescent="0.25">
      <c r="A695" s="169">
        <v>43671</v>
      </c>
      <c r="B695" s="80" t="s">
        <v>2113</v>
      </c>
      <c r="C695" s="80" t="s">
        <v>143</v>
      </c>
      <c r="D695" s="80" t="s">
        <v>126</v>
      </c>
      <c r="E695" s="80" t="s">
        <v>153</v>
      </c>
      <c r="F695" s="170">
        <v>160</v>
      </c>
    </row>
    <row r="696" spans="1:6" hidden="1" x14ac:dyDescent="0.25">
      <c r="A696" s="169">
        <v>43672</v>
      </c>
      <c r="B696" s="80" t="s">
        <v>2124</v>
      </c>
      <c r="C696" s="80" t="s">
        <v>148</v>
      </c>
      <c r="D696" s="80" t="s">
        <v>126</v>
      </c>
      <c r="E696" s="80" t="s">
        <v>134</v>
      </c>
      <c r="F696" s="170">
        <v>160</v>
      </c>
    </row>
    <row r="697" spans="1:6" hidden="1" x14ac:dyDescent="0.25">
      <c r="A697" s="169">
        <v>43672</v>
      </c>
      <c r="B697" s="80" t="s">
        <v>2132</v>
      </c>
      <c r="C697" s="80" t="s">
        <v>143</v>
      </c>
      <c r="D697" s="80" t="s">
        <v>126</v>
      </c>
      <c r="E697" s="80" t="s">
        <v>127</v>
      </c>
      <c r="F697" s="170">
        <v>160</v>
      </c>
    </row>
    <row r="698" spans="1:6" hidden="1" x14ac:dyDescent="0.25">
      <c r="A698" s="169">
        <v>43673</v>
      </c>
      <c r="B698" s="80" t="s">
        <v>2139</v>
      </c>
      <c r="C698" s="80" t="s">
        <v>145</v>
      </c>
      <c r="D698" s="80" t="s">
        <v>126</v>
      </c>
      <c r="E698" s="80" t="s">
        <v>121</v>
      </c>
      <c r="F698" s="170">
        <v>160</v>
      </c>
    </row>
    <row r="699" spans="1:6" hidden="1" x14ac:dyDescent="0.25">
      <c r="A699" s="169">
        <v>43674</v>
      </c>
      <c r="B699" s="80" t="s">
        <v>2143</v>
      </c>
      <c r="C699" s="80" t="s">
        <v>223</v>
      </c>
      <c r="D699" s="80" t="s">
        <v>126</v>
      </c>
      <c r="E699" s="80" t="s">
        <v>121</v>
      </c>
      <c r="F699" s="170">
        <v>160</v>
      </c>
    </row>
    <row r="700" spans="1:6" hidden="1" x14ac:dyDescent="0.25">
      <c r="A700" s="169">
        <v>43674</v>
      </c>
      <c r="B700" s="80" t="s">
        <v>2152</v>
      </c>
      <c r="C700" s="80" t="s">
        <v>152</v>
      </c>
      <c r="D700" s="80" t="s">
        <v>126</v>
      </c>
      <c r="E700" s="80" t="s">
        <v>131</v>
      </c>
      <c r="F700" s="170">
        <v>160</v>
      </c>
    </row>
    <row r="701" spans="1:6" hidden="1" x14ac:dyDescent="0.25">
      <c r="A701" s="169">
        <v>43676</v>
      </c>
      <c r="B701" s="80" t="s">
        <v>2173</v>
      </c>
      <c r="C701" s="80" t="s">
        <v>152</v>
      </c>
      <c r="D701" s="80" t="s">
        <v>126</v>
      </c>
      <c r="E701" s="80" t="s">
        <v>121</v>
      </c>
      <c r="F701" s="170">
        <v>160</v>
      </c>
    </row>
    <row r="702" spans="1:6" hidden="1" x14ac:dyDescent="0.25">
      <c r="A702" s="169">
        <v>43678</v>
      </c>
      <c r="B702" s="80" t="s">
        <v>2180</v>
      </c>
      <c r="C702" s="80" t="s">
        <v>157</v>
      </c>
      <c r="D702" s="80" t="s">
        <v>126</v>
      </c>
      <c r="E702" s="80" t="s">
        <v>127</v>
      </c>
      <c r="F702" s="170">
        <v>160</v>
      </c>
    </row>
    <row r="703" spans="1:6" hidden="1" x14ac:dyDescent="0.25">
      <c r="A703" s="169">
        <v>43678</v>
      </c>
      <c r="B703" s="80" t="s">
        <v>2181</v>
      </c>
      <c r="C703" s="80" t="s">
        <v>187</v>
      </c>
      <c r="D703" s="80" t="s">
        <v>126</v>
      </c>
      <c r="E703" s="80" t="s">
        <v>134</v>
      </c>
      <c r="F703" s="170">
        <v>160</v>
      </c>
    </row>
    <row r="704" spans="1:6" hidden="1" x14ac:dyDescent="0.25">
      <c r="A704" s="169">
        <v>43678</v>
      </c>
      <c r="B704" s="80" t="s">
        <v>2187</v>
      </c>
      <c r="C704" s="80" t="s">
        <v>164</v>
      </c>
      <c r="D704" s="80" t="s">
        <v>126</v>
      </c>
      <c r="E704" s="80" t="s">
        <v>127</v>
      </c>
      <c r="F704" s="170">
        <v>160</v>
      </c>
    </row>
    <row r="705" spans="1:6" hidden="1" x14ac:dyDescent="0.25">
      <c r="A705" s="169">
        <v>43681</v>
      </c>
      <c r="B705" s="80" t="s">
        <v>2220</v>
      </c>
      <c r="C705" s="80" t="s">
        <v>143</v>
      </c>
      <c r="D705" s="80" t="s">
        <v>126</v>
      </c>
      <c r="E705" s="80" t="s">
        <v>153</v>
      </c>
      <c r="F705" s="170">
        <v>160</v>
      </c>
    </row>
    <row r="706" spans="1:6" hidden="1" x14ac:dyDescent="0.25">
      <c r="A706" s="169">
        <v>43682</v>
      </c>
      <c r="B706" s="80" t="s">
        <v>2230</v>
      </c>
      <c r="C706" s="80" t="s">
        <v>119</v>
      </c>
      <c r="D706" s="80" t="s">
        <v>126</v>
      </c>
      <c r="E706" s="80" t="s">
        <v>121</v>
      </c>
      <c r="F706" s="170">
        <v>160</v>
      </c>
    </row>
    <row r="707" spans="1:6" hidden="1" x14ac:dyDescent="0.25">
      <c r="A707" s="169">
        <v>43683</v>
      </c>
      <c r="B707" s="80" t="s">
        <v>2247</v>
      </c>
      <c r="C707" s="80" t="s">
        <v>187</v>
      </c>
      <c r="D707" s="80" t="s">
        <v>126</v>
      </c>
      <c r="E707" s="80" t="s">
        <v>153</v>
      </c>
      <c r="F707" s="170">
        <v>160</v>
      </c>
    </row>
    <row r="708" spans="1:6" hidden="1" x14ac:dyDescent="0.25">
      <c r="A708" s="169">
        <v>43684</v>
      </c>
      <c r="B708" s="80" t="s">
        <v>2253</v>
      </c>
      <c r="C708" s="80" t="s">
        <v>164</v>
      </c>
      <c r="D708" s="80" t="s">
        <v>126</v>
      </c>
      <c r="E708" s="80" t="s">
        <v>131</v>
      </c>
      <c r="F708" s="170">
        <v>160</v>
      </c>
    </row>
    <row r="709" spans="1:6" hidden="1" x14ac:dyDescent="0.25">
      <c r="A709" s="169">
        <v>43684</v>
      </c>
      <c r="B709" s="80" t="s">
        <v>2255</v>
      </c>
      <c r="C709" s="80" t="s">
        <v>223</v>
      </c>
      <c r="D709" s="80" t="s">
        <v>126</v>
      </c>
      <c r="E709" s="80" t="s">
        <v>121</v>
      </c>
      <c r="F709" s="170">
        <v>160</v>
      </c>
    </row>
    <row r="710" spans="1:6" hidden="1" x14ac:dyDescent="0.25">
      <c r="A710" s="169">
        <v>43685</v>
      </c>
      <c r="B710" s="80" t="s">
        <v>2258</v>
      </c>
      <c r="C710" s="80" t="s">
        <v>223</v>
      </c>
      <c r="D710" s="80" t="s">
        <v>126</v>
      </c>
      <c r="E710" s="80" t="s">
        <v>121</v>
      </c>
      <c r="F710" s="170">
        <v>160</v>
      </c>
    </row>
    <row r="711" spans="1:6" hidden="1" x14ac:dyDescent="0.25">
      <c r="A711" s="169">
        <v>43685</v>
      </c>
      <c r="B711" s="80" t="s">
        <v>2261</v>
      </c>
      <c r="C711" s="80" t="s">
        <v>223</v>
      </c>
      <c r="D711" s="80" t="s">
        <v>126</v>
      </c>
      <c r="E711" s="80" t="s">
        <v>121</v>
      </c>
      <c r="F711" s="170">
        <v>160</v>
      </c>
    </row>
    <row r="712" spans="1:6" hidden="1" x14ac:dyDescent="0.25">
      <c r="A712" s="169">
        <v>43686</v>
      </c>
      <c r="B712" s="80" t="s">
        <v>2265</v>
      </c>
      <c r="C712" s="80" t="s">
        <v>189</v>
      </c>
      <c r="D712" s="80" t="s">
        <v>126</v>
      </c>
      <c r="E712" s="80" t="s">
        <v>121</v>
      </c>
      <c r="F712" s="170">
        <v>160</v>
      </c>
    </row>
    <row r="713" spans="1:6" hidden="1" x14ac:dyDescent="0.25">
      <c r="A713" s="169">
        <v>43686</v>
      </c>
      <c r="B713" s="80" t="s">
        <v>2269</v>
      </c>
      <c r="C713" s="80" t="s">
        <v>223</v>
      </c>
      <c r="D713" s="80" t="s">
        <v>126</v>
      </c>
      <c r="E713" s="80" t="s">
        <v>134</v>
      </c>
      <c r="F713" s="170">
        <v>160</v>
      </c>
    </row>
    <row r="714" spans="1:6" hidden="1" x14ac:dyDescent="0.25">
      <c r="A714" s="169">
        <v>43686</v>
      </c>
      <c r="B714" s="80" t="s">
        <v>2270</v>
      </c>
      <c r="C714" s="80" t="s">
        <v>152</v>
      </c>
      <c r="D714" s="80" t="s">
        <v>126</v>
      </c>
      <c r="E714" s="80" t="s">
        <v>121</v>
      </c>
      <c r="F714" s="170">
        <v>160</v>
      </c>
    </row>
    <row r="715" spans="1:6" hidden="1" x14ac:dyDescent="0.25">
      <c r="A715" s="169">
        <v>43686</v>
      </c>
      <c r="B715" s="80" t="s">
        <v>2275</v>
      </c>
      <c r="C715" s="80" t="s">
        <v>119</v>
      </c>
      <c r="D715" s="80" t="s">
        <v>126</v>
      </c>
      <c r="E715" s="80" t="s">
        <v>127</v>
      </c>
      <c r="F715" s="170">
        <v>160</v>
      </c>
    </row>
    <row r="716" spans="1:6" hidden="1" x14ac:dyDescent="0.25">
      <c r="A716" s="169">
        <v>43687</v>
      </c>
      <c r="B716" s="80" t="s">
        <v>2282</v>
      </c>
      <c r="C716" s="80" t="s">
        <v>123</v>
      </c>
      <c r="D716" s="80" t="s">
        <v>126</v>
      </c>
      <c r="E716" s="80" t="s">
        <v>134</v>
      </c>
      <c r="F716" s="170">
        <v>160</v>
      </c>
    </row>
    <row r="717" spans="1:6" hidden="1" x14ac:dyDescent="0.25">
      <c r="A717" s="169">
        <v>43687</v>
      </c>
      <c r="B717" s="80" t="s">
        <v>2289</v>
      </c>
      <c r="C717" s="80" t="s">
        <v>182</v>
      </c>
      <c r="D717" s="80" t="s">
        <v>126</v>
      </c>
      <c r="E717" s="80" t="s">
        <v>131</v>
      </c>
      <c r="F717" s="170">
        <v>160</v>
      </c>
    </row>
    <row r="718" spans="1:6" hidden="1" x14ac:dyDescent="0.25">
      <c r="A718" s="169">
        <v>43689</v>
      </c>
      <c r="B718" s="80" t="s">
        <v>2296</v>
      </c>
      <c r="C718" s="80" t="s">
        <v>129</v>
      </c>
      <c r="D718" s="80" t="s">
        <v>126</v>
      </c>
      <c r="E718" s="80" t="s">
        <v>131</v>
      </c>
      <c r="F718" s="170">
        <v>160</v>
      </c>
    </row>
    <row r="719" spans="1:6" hidden="1" x14ac:dyDescent="0.25">
      <c r="A719" s="169">
        <v>43690</v>
      </c>
      <c r="B719" s="80" t="s">
        <v>2301</v>
      </c>
      <c r="C719" s="80" t="s">
        <v>157</v>
      </c>
      <c r="D719" s="80" t="s">
        <v>126</v>
      </c>
      <c r="E719" s="80" t="s">
        <v>153</v>
      </c>
      <c r="F719" s="170">
        <v>160</v>
      </c>
    </row>
    <row r="720" spans="1:6" hidden="1" x14ac:dyDescent="0.25">
      <c r="A720" s="169">
        <v>43690</v>
      </c>
      <c r="B720" s="80" t="s">
        <v>2313</v>
      </c>
      <c r="C720" s="80" t="s">
        <v>152</v>
      </c>
      <c r="D720" s="80" t="s">
        <v>126</v>
      </c>
      <c r="E720" s="80" t="s">
        <v>127</v>
      </c>
      <c r="F720" s="170">
        <v>160</v>
      </c>
    </row>
    <row r="721" spans="1:6" hidden="1" x14ac:dyDescent="0.25">
      <c r="A721" s="169">
        <v>43692</v>
      </c>
      <c r="B721" s="80" t="s">
        <v>2330</v>
      </c>
      <c r="C721" s="80" t="s">
        <v>129</v>
      </c>
      <c r="D721" s="80" t="s">
        <v>126</v>
      </c>
      <c r="E721" s="80" t="s">
        <v>127</v>
      </c>
      <c r="F721" s="170">
        <v>160</v>
      </c>
    </row>
    <row r="722" spans="1:6" hidden="1" x14ac:dyDescent="0.25">
      <c r="A722" s="169">
        <v>43692</v>
      </c>
      <c r="B722" s="80" t="s">
        <v>2334</v>
      </c>
      <c r="C722" s="80" t="s">
        <v>152</v>
      </c>
      <c r="D722" s="80" t="s">
        <v>126</v>
      </c>
      <c r="E722" s="80" t="s">
        <v>134</v>
      </c>
      <c r="F722" s="170">
        <v>160</v>
      </c>
    </row>
    <row r="723" spans="1:6" hidden="1" x14ac:dyDescent="0.25">
      <c r="A723" s="169">
        <v>43693</v>
      </c>
      <c r="B723" s="80" t="s">
        <v>2341</v>
      </c>
      <c r="C723" s="80" t="s">
        <v>148</v>
      </c>
      <c r="D723" s="80" t="s">
        <v>126</v>
      </c>
      <c r="E723" s="80" t="s">
        <v>121</v>
      </c>
      <c r="F723" s="170">
        <v>160</v>
      </c>
    </row>
    <row r="724" spans="1:6" hidden="1" x14ac:dyDescent="0.25">
      <c r="A724" s="169">
        <v>43695</v>
      </c>
      <c r="B724" s="80" t="s">
        <v>2365</v>
      </c>
      <c r="C724" s="80" t="s">
        <v>187</v>
      </c>
      <c r="D724" s="80" t="s">
        <v>126</v>
      </c>
      <c r="E724" s="80" t="s">
        <v>131</v>
      </c>
      <c r="F724" s="170">
        <v>160</v>
      </c>
    </row>
    <row r="725" spans="1:6" hidden="1" x14ac:dyDescent="0.25">
      <c r="A725" s="169">
        <v>43697</v>
      </c>
      <c r="B725" s="80" t="s">
        <v>2382</v>
      </c>
      <c r="C725" s="80" t="s">
        <v>145</v>
      </c>
      <c r="D725" s="80" t="s">
        <v>126</v>
      </c>
      <c r="E725" s="80" t="s">
        <v>131</v>
      </c>
      <c r="F725" s="170">
        <v>160</v>
      </c>
    </row>
    <row r="726" spans="1:6" hidden="1" x14ac:dyDescent="0.25">
      <c r="A726" s="169">
        <v>43700</v>
      </c>
      <c r="B726" s="80" t="s">
        <v>2401</v>
      </c>
      <c r="C726" s="80" t="s">
        <v>157</v>
      </c>
      <c r="D726" s="80" t="s">
        <v>126</v>
      </c>
      <c r="E726" s="80" t="s">
        <v>121</v>
      </c>
      <c r="F726" s="170">
        <v>160</v>
      </c>
    </row>
    <row r="727" spans="1:6" hidden="1" x14ac:dyDescent="0.25">
      <c r="A727" s="169">
        <v>43700</v>
      </c>
      <c r="B727" s="80" t="s">
        <v>2402</v>
      </c>
      <c r="C727" s="80" t="s">
        <v>136</v>
      </c>
      <c r="D727" s="80" t="s">
        <v>126</v>
      </c>
      <c r="E727" s="80" t="s">
        <v>127</v>
      </c>
      <c r="F727" s="170">
        <v>160</v>
      </c>
    </row>
    <row r="728" spans="1:6" hidden="1" x14ac:dyDescent="0.25">
      <c r="A728" s="169">
        <v>43700</v>
      </c>
      <c r="B728" s="80" t="s">
        <v>2405</v>
      </c>
      <c r="C728" s="80" t="s">
        <v>125</v>
      </c>
      <c r="D728" s="80" t="s">
        <v>126</v>
      </c>
      <c r="E728" s="80" t="s">
        <v>127</v>
      </c>
      <c r="F728" s="170">
        <v>160</v>
      </c>
    </row>
    <row r="729" spans="1:6" hidden="1" x14ac:dyDescent="0.25">
      <c r="A729" s="169">
        <v>43701</v>
      </c>
      <c r="B729" s="80" t="s">
        <v>2407</v>
      </c>
      <c r="C729" s="80" t="s">
        <v>125</v>
      </c>
      <c r="D729" s="80" t="s">
        <v>126</v>
      </c>
      <c r="E729" s="80" t="s">
        <v>131</v>
      </c>
      <c r="F729" s="170">
        <v>160</v>
      </c>
    </row>
    <row r="730" spans="1:6" hidden="1" x14ac:dyDescent="0.25">
      <c r="A730" s="169">
        <v>43701</v>
      </c>
      <c r="B730" s="80" t="s">
        <v>2410</v>
      </c>
      <c r="C730" s="80" t="s">
        <v>152</v>
      </c>
      <c r="D730" s="80" t="s">
        <v>126</v>
      </c>
      <c r="E730" s="80" t="s">
        <v>131</v>
      </c>
      <c r="F730" s="170">
        <v>160</v>
      </c>
    </row>
    <row r="731" spans="1:6" hidden="1" x14ac:dyDescent="0.25">
      <c r="A731" s="169">
        <v>43702</v>
      </c>
      <c r="B731" s="80" t="s">
        <v>2419</v>
      </c>
      <c r="C731" s="80" t="s">
        <v>157</v>
      </c>
      <c r="D731" s="80" t="s">
        <v>126</v>
      </c>
      <c r="E731" s="80" t="s">
        <v>131</v>
      </c>
      <c r="F731" s="170">
        <v>160</v>
      </c>
    </row>
    <row r="732" spans="1:6" hidden="1" x14ac:dyDescent="0.25">
      <c r="A732" s="169">
        <v>43702</v>
      </c>
      <c r="B732" s="80" t="s">
        <v>2424</v>
      </c>
      <c r="C732" s="80" t="s">
        <v>143</v>
      </c>
      <c r="D732" s="80" t="s">
        <v>126</v>
      </c>
      <c r="E732" s="80" t="s">
        <v>131</v>
      </c>
      <c r="F732" s="170">
        <v>160</v>
      </c>
    </row>
    <row r="733" spans="1:6" hidden="1" x14ac:dyDescent="0.25">
      <c r="A733" s="169">
        <v>43704</v>
      </c>
      <c r="B733" s="80" t="s">
        <v>2447</v>
      </c>
      <c r="C733" s="80" t="s">
        <v>136</v>
      </c>
      <c r="D733" s="80" t="s">
        <v>126</v>
      </c>
      <c r="E733" s="80" t="s">
        <v>131</v>
      </c>
      <c r="F733" s="170">
        <v>160</v>
      </c>
    </row>
    <row r="734" spans="1:6" hidden="1" x14ac:dyDescent="0.25">
      <c r="A734" s="169">
        <v>43705</v>
      </c>
      <c r="B734" s="80" t="s">
        <v>2458</v>
      </c>
      <c r="C734" s="80" t="s">
        <v>164</v>
      </c>
      <c r="D734" s="80" t="s">
        <v>126</v>
      </c>
      <c r="E734" s="80" t="s">
        <v>153</v>
      </c>
      <c r="F734" s="170">
        <v>160</v>
      </c>
    </row>
    <row r="735" spans="1:6" hidden="1" x14ac:dyDescent="0.25">
      <c r="A735" s="169">
        <v>43705</v>
      </c>
      <c r="B735" s="80" t="s">
        <v>2461</v>
      </c>
      <c r="C735" s="80" t="s">
        <v>119</v>
      </c>
      <c r="D735" s="80" t="s">
        <v>126</v>
      </c>
      <c r="E735" s="80" t="s">
        <v>121</v>
      </c>
      <c r="F735" s="170">
        <v>160</v>
      </c>
    </row>
    <row r="736" spans="1:6" hidden="1" x14ac:dyDescent="0.25">
      <c r="A736" s="169">
        <v>43706</v>
      </c>
      <c r="B736" s="80" t="s">
        <v>2465</v>
      </c>
      <c r="C736" s="80" t="s">
        <v>129</v>
      </c>
      <c r="D736" s="80" t="s">
        <v>126</v>
      </c>
      <c r="E736" s="80" t="s">
        <v>153</v>
      </c>
      <c r="F736" s="170">
        <v>160</v>
      </c>
    </row>
    <row r="737" spans="1:6" hidden="1" x14ac:dyDescent="0.25">
      <c r="A737" s="169">
        <v>43707</v>
      </c>
      <c r="B737" s="80" t="s">
        <v>2474</v>
      </c>
      <c r="C737" s="80" t="s">
        <v>123</v>
      </c>
      <c r="D737" s="80" t="s">
        <v>126</v>
      </c>
      <c r="E737" s="80" t="s">
        <v>131</v>
      </c>
      <c r="F737" s="170">
        <v>160</v>
      </c>
    </row>
    <row r="738" spans="1:6" hidden="1" x14ac:dyDescent="0.25">
      <c r="A738" s="169">
        <v>43708</v>
      </c>
      <c r="B738" s="80" t="s">
        <v>2488</v>
      </c>
      <c r="C738" s="80" t="s">
        <v>223</v>
      </c>
      <c r="D738" s="80" t="s">
        <v>126</v>
      </c>
      <c r="E738" s="80" t="s">
        <v>131</v>
      </c>
      <c r="F738" s="170">
        <v>160</v>
      </c>
    </row>
    <row r="739" spans="1:6" hidden="1" x14ac:dyDescent="0.25">
      <c r="A739" s="169">
        <v>43711</v>
      </c>
      <c r="B739" s="80" t="s">
        <v>2518</v>
      </c>
      <c r="C739" s="80" t="s">
        <v>182</v>
      </c>
      <c r="D739" s="80" t="s">
        <v>126</v>
      </c>
      <c r="E739" s="80" t="s">
        <v>127</v>
      </c>
      <c r="F739" s="170">
        <v>160</v>
      </c>
    </row>
    <row r="740" spans="1:6" hidden="1" x14ac:dyDescent="0.25">
      <c r="A740" s="169">
        <v>43712</v>
      </c>
      <c r="B740" s="80" t="s">
        <v>2523</v>
      </c>
      <c r="C740" s="80" t="s">
        <v>145</v>
      </c>
      <c r="D740" s="80" t="s">
        <v>126</v>
      </c>
      <c r="E740" s="80" t="s">
        <v>153</v>
      </c>
      <c r="F740" s="170">
        <v>160</v>
      </c>
    </row>
    <row r="741" spans="1:6" hidden="1" x14ac:dyDescent="0.25">
      <c r="A741" s="169">
        <v>43712</v>
      </c>
      <c r="B741" s="80" t="s">
        <v>2527</v>
      </c>
      <c r="C741" s="80" t="s">
        <v>189</v>
      </c>
      <c r="D741" s="80" t="s">
        <v>126</v>
      </c>
      <c r="E741" s="80" t="s">
        <v>127</v>
      </c>
      <c r="F741" s="170">
        <v>160</v>
      </c>
    </row>
    <row r="742" spans="1:6" hidden="1" x14ac:dyDescent="0.25">
      <c r="A742" s="169">
        <v>43714</v>
      </c>
      <c r="B742" s="80" t="s">
        <v>2539</v>
      </c>
      <c r="C742" s="80" t="s">
        <v>123</v>
      </c>
      <c r="D742" s="80" t="s">
        <v>126</v>
      </c>
      <c r="E742" s="80" t="s">
        <v>121</v>
      </c>
      <c r="F742" s="170">
        <v>160</v>
      </c>
    </row>
    <row r="743" spans="1:6" hidden="1" x14ac:dyDescent="0.25">
      <c r="A743" s="169">
        <v>43715</v>
      </c>
      <c r="B743" s="80" t="s">
        <v>2542</v>
      </c>
      <c r="C743" s="80" t="s">
        <v>125</v>
      </c>
      <c r="D743" s="80" t="s">
        <v>126</v>
      </c>
      <c r="E743" s="80" t="s">
        <v>127</v>
      </c>
      <c r="F743" s="170">
        <v>160</v>
      </c>
    </row>
    <row r="744" spans="1:6" hidden="1" x14ac:dyDescent="0.25">
      <c r="A744" s="169">
        <v>43715</v>
      </c>
      <c r="B744" s="80" t="s">
        <v>2543</v>
      </c>
      <c r="C744" s="80" t="s">
        <v>187</v>
      </c>
      <c r="D744" s="80" t="s">
        <v>126</v>
      </c>
      <c r="E744" s="80" t="s">
        <v>134</v>
      </c>
      <c r="F744" s="170">
        <v>160</v>
      </c>
    </row>
    <row r="745" spans="1:6" hidden="1" x14ac:dyDescent="0.25">
      <c r="A745" s="169">
        <v>43715</v>
      </c>
      <c r="B745" s="80" t="s">
        <v>2544</v>
      </c>
      <c r="C745" s="80" t="s">
        <v>223</v>
      </c>
      <c r="D745" s="80" t="s">
        <v>126</v>
      </c>
      <c r="E745" s="80" t="s">
        <v>131</v>
      </c>
      <c r="F745" s="170">
        <v>160</v>
      </c>
    </row>
    <row r="746" spans="1:6" hidden="1" x14ac:dyDescent="0.25">
      <c r="A746" s="169">
        <v>43716</v>
      </c>
      <c r="B746" s="80" t="s">
        <v>2557</v>
      </c>
      <c r="C746" s="80" t="s">
        <v>143</v>
      </c>
      <c r="D746" s="80" t="s">
        <v>126</v>
      </c>
      <c r="E746" s="80" t="s">
        <v>121</v>
      </c>
      <c r="F746" s="170">
        <v>160</v>
      </c>
    </row>
    <row r="747" spans="1:6" hidden="1" x14ac:dyDescent="0.25">
      <c r="A747" s="169">
        <v>43717</v>
      </c>
      <c r="B747" s="80" t="s">
        <v>2571</v>
      </c>
      <c r="C747" s="80" t="s">
        <v>125</v>
      </c>
      <c r="D747" s="80" t="s">
        <v>126</v>
      </c>
      <c r="E747" s="80" t="s">
        <v>153</v>
      </c>
      <c r="F747" s="170">
        <v>160</v>
      </c>
    </row>
    <row r="748" spans="1:6" hidden="1" x14ac:dyDescent="0.25">
      <c r="A748" s="169">
        <v>43718</v>
      </c>
      <c r="B748" s="80" t="s">
        <v>2574</v>
      </c>
      <c r="C748" s="80" t="s">
        <v>167</v>
      </c>
      <c r="D748" s="80" t="s">
        <v>126</v>
      </c>
      <c r="E748" s="80" t="s">
        <v>153</v>
      </c>
      <c r="F748" s="170">
        <v>160</v>
      </c>
    </row>
    <row r="749" spans="1:6" hidden="1" x14ac:dyDescent="0.25">
      <c r="A749" s="169">
        <v>43719</v>
      </c>
      <c r="B749" s="80" t="s">
        <v>2579</v>
      </c>
      <c r="C749" s="80" t="s">
        <v>138</v>
      </c>
      <c r="D749" s="80" t="s">
        <v>126</v>
      </c>
      <c r="E749" s="80" t="s">
        <v>131</v>
      </c>
      <c r="F749" s="170">
        <v>160</v>
      </c>
    </row>
    <row r="750" spans="1:6" hidden="1" x14ac:dyDescent="0.25">
      <c r="A750" s="169">
        <v>43719</v>
      </c>
      <c r="B750" s="80" t="s">
        <v>2581</v>
      </c>
      <c r="C750" s="80" t="s">
        <v>138</v>
      </c>
      <c r="D750" s="80" t="s">
        <v>126</v>
      </c>
      <c r="E750" s="80" t="s">
        <v>134</v>
      </c>
      <c r="F750" s="170">
        <v>160</v>
      </c>
    </row>
    <row r="751" spans="1:6" hidden="1" x14ac:dyDescent="0.25">
      <c r="A751" s="169">
        <v>43720</v>
      </c>
      <c r="B751" s="80" t="s">
        <v>2584</v>
      </c>
      <c r="C751" s="80" t="s">
        <v>119</v>
      </c>
      <c r="D751" s="80" t="s">
        <v>126</v>
      </c>
      <c r="E751" s="80" t="s">
        <v>127</v>
      </c>
      <c r="F751" s="170">
        <v>160</v>
      </c>
    </row>
    <row r="752" spans="1:6" hidden="1" x14ac:dyDescent="0.25">
      <c r="A752" s="169">
        <v>43722</v>
      </c>
      <c r="B752" s="80" t="s">
        <v>2602</v>
      </c>
      <c r="C752" s="80" t="s">
        <v>189</v>
      </c>
      <c r="D752" s="80" t="s">
        <v>126</v>
      </c>
      <c r="E752" s="80" t="s">
        <v>134</v>
      </c>
      <c r="F752" s="170">
        <v>160</v>
      </c>
    </row>
    <row r="753" spans="1:6" hidden="1" x14ac:dyDescent="0.25">
      <c r="A753" s="169">
        <v>43724</v>
      </c>
      <c r="B753" s="80" t="s">
        <v>2621</v>
      </c>
      <c r="C753" s="80" t="s">
        <v>182</v>
      </c>
      <c r="D753" s="80" t="s">
        <v>126</v>
      </c>
      <c r="E753" s="80" t="s">
        <v>131</v>
      </c>
      <c r="F753" s="170">
        <v>160</v>
      </c>
    </row>
    <row r="754" spans="1:6" hidden="1" x14ac:dyDescent="0.25">
      <c r="A754" s="169">
        <v>43724</v>
      </c>
      <c r="B754" s="80" t="s">
        <v>2624</v>
      </c>
      <c r="C754" s="80" t="s">
        <v>223</v>
      </c>
      <c r="D754" s="80" t="s">
        <v>126</v>
      </c>
      <c r="E754" s="80" t="s">
        <v>121</v>
      </c>
      <c r="F754" s="170">
        <v>160</v>
      </c>
    </row>
    <row r="755" spans="1:6" hidden="1" x14ac:dyDescent="0.25">
      <c r="A755" s="169">
        <v>43726</v>
      </c>
      <c r="B755" s="80" t="s">
        <v>2637</v>
      </c>
      <c r="C755" s="80" t="s">
        <v>119</v>
      </c>
      <c r="D755" s="80" t="s">
        <v>126</v>
      </c>
      <c r="E755" s="80" t="s">
        <v>153</v>
      </c>
      <c r="F755" s="170">
        <v>160</v>
      </c>
    </row>
    <row r="756" spans="1:6" hidden="1" x14ac:dyDescent="0.25">
      <c r="A756" s="169">
        <v>43726</v>
      </c>
      <c r="B756" s="80" t="s">
        <v>2638</v>
      </c>
      <c r="C756" s="80" t="s">
        <v>129</v>
      </c>
      <c r="D756" s="80" t="s">
        <v>126</v>
      </c>
      <c r="E756" s="80" t="s">
        <v>131</v>
      </c>
      <c r="F756" s="170">
        <v>160</v>
      </c>
    </row>
    <row r="757" spans="1:6" hidden="1" x14ac:dyDescent="0.25">
      <c r="A757" s="169">
        <v>43726</v>
      </c>
      <c r="B757" s="80" t="s">
        <v>2641</v>
      </c>
      <c r="C757" s="80" t="s">
        <v>145</v>
      </c>
      <c r="D757" s="80" t="s">
        <v>126</v>
      </c>
      <c r="E757" s="80" t="s">
        <v>131</v>
      </c>
      <c r="F757" s="170">
        <v>160</v>
      </c>
    </row>
    <row r="758" spans="1:6" hidden="1" x14ac:dyDescent="0.25">
      <c r="A758" s="169">
        <v>43727</v>
      </c>
      <c r="B758" s="80" t="s">
        <v>2649</v>
      </c>
      <c r="C758" s="80" t="s">
        <v>143</v>
      </c>
      <c r="D758" s="80" t="s">
        <v>126</v>
      </c>
      <c r="E758" s="80" t="s">
        <v>127</v>
      </c>
      <c r="F758" s="170">
        <v>160</v>
      </c>
    </row>
    <row r="759" spans="1:6" hidden="1" x14ac:dyDescent="0.25">
      <c r="A759" s="169">
        <v>43728</v>
      </c>
      <c r="B759" s="80" t="s">
        <v>2657</v>
      </c>
      <c r="C759" s="80" t="s">
        <v>164</v>
      </c>
      <c r="D759" s="80" t="s">
        <v>126</v>
      </c>
      <c r="E759" s="80" t="s">
        <v>127</v>
      </c>
      <c r="F759" s="170">
        <v>160</v>
      </c>
    </row>
    <row r="760" spans="1:6" hidden="1" x14ac:dyDescent="0.25">
      <c r="A760" s="169">
        <v>43730</v>
      </c>
      <c r="B760" s="80" t="s">
        <v>2673</v>
      </c>
      <c r="C760" s="80" t="s">
        <v>189</v>
      </c>
      <c r="D760" s="80" t="s">
        <v>126</v>
      </c>
      <c r="E760" s="80" t="s">
        <v>131</v>
      </c>
      <c r="F760" s="170">
        <v>160</v>
      </c>
    </row>
    <row r="761" spans="1:6" hidden="1" x14ac:dyDescent="0.25">
      <c r="A761" s="169">
        <v>43730</v>
      </c>
      <c r="B761" s="80" t="s">
        <v>2679</v>
      </c>
      <c r="C761" s="80" t="s">
        <v>152</v>
      </c>
      <c r="D761" s="80" t="s">
        <v>126</v>
      </c>
      <c r="E761" s="80" t="s">
        <v>121</v>
      </c>
      <c r="F761" s="170">
        <v>160</v>
      </c>
    </row>
    <row r="762" spans="1:6" hidden="1" x14ac:dyDescent="0.25">
      <c r="A762" s="169">
        <v>43731</v>
      </c>
      <c r="B762" s="80" t="s">
        <v>2684</v>
      </c>
      <c r="C762" s="80" t="s">
        <v>138</v>
      </c>
      <c r="D762" s="80" t="s">
        <v>126</v>
      </c>
      <c r="E762" s="80" t="s">
        <v>153</v>
      </c>
      <c r="F762" s="170">
        <v>160</v>
      </c>
    </row>
    <row r="763" spans="1:6" hidden="1" x14ac:dyDescent="0.25">
      <c r="A763" s="169">
        <v>43732</v>
      </c>
      <c r="B763" s="80" t="s">
        <v>2693</v>
      </c>
      <c r="C763" s="80" t="s">
        <v>223</v>
      </c>
      <c r="D763" s="80" t="s">
        <v>126</v>
      </c>
      <c r="E763" s="80" t="s">
        <v>131</v>
      </c>
      <c r="F763" s="170">
        <v>160</v>
      </c>
    </row>
    <row r="764" spans="1:6" hidden="1" x14ac:dyDescent="0.25">
      <c r="A764" s="169">
        <v>43732</v>
      </c>
      <c r="B764" s="80" t="s">
        <v>2703</v>
      </c>
      <c r="C764" s="80" t="s">
        <v>136</v>
      </c>
      <c r="D764" s="80" t="s">
        <v>126</v>
      </c>
      <c r="E764" s="80" t="s">
        <v>121</v>
      </c>
      <c r="F764" s="170">
        <v>160</v>
      </c>
    </row>
    <row r="765" spans="1:6" hidden="1" x14ac:dyDescent="0.25">
      <c r="A765" s="169">
        <v>43732</v>
      </c>
      <c r="B765" s="80" t="s">
        <v>2705</v>
      </c>
      <c r="C765" s="80" t="s">
        <v>129</v>
      </c>
      <c r="D765" s="80" t="s">
        <v>126</v>
      </c>
      <c r="E765" s="80" t="s">
        <v>131</v>
      </c>
      <c r="F765" s="170">
        <v>160</v>
      </c>
    </row>
    <row r="766" spans="1:6" hidden="1" x14ac:dyDescent="0.25">
      <c r="A766" s="169">
        <v>43733</v>
      </c>
      <c r="B766" s="80" t="s">
        <v>2708</v>
      </c>
      <c r="C766" s="80" t="s">
        <v>143</v>
      </c>
      <c r="D766" s="80" t="s">
        <v>126</v>
      </c>
      <c r="E766" s="80" t="s">
        <v>134</v>
      </c>
      <c r="F766" s="170">
        <v>160</v>
      </c>
    </row>
    <row r="767" spans="1:6" hidden="1" x14ac:dyDescent="0.25">
      <c r="A767" s="169">
        <v>43734</v>
      </c>
      <c r="B767" s="80" t="s">
        <v>2721</v>
      </c>
      <c r="C767" s="80" t="s">
        <v>187</v>
      </c>
      <c r="D767" s="80" t="s">
        <v>126</v>
      </c>
      <c r="E767" s="80" t="s">
        <v>121</v>
      </c>
      <c r="F767" s="170">
        <v>160</v>
      </c>
    </row>
    <row r="768" spans="1:6" hidden="1" x14ac:dyDescent="0.25">
      <c r="A768" s="169">
        <v>43734</v>
      </c>
      <c r="B768" s="80" t="s">
        <v>2726</v>
      </c>
      <c r="C768" s="80" t="s">
        <v>157</v>
      </c>
      <c r="D768" s="80" t="s">
        <v>126</v>
      </c>
      <c r="E768" s="80" t="s">
        <v>121</v>
      </c>
      <c r="F768" s="170">
        <v>160</v>
      </c>
    </row>
    <row r="769" spans="1:6" hidden="1" x14ac:dyDescent="0.25">
      <c r="A769" s="169">
        <v>43735</v>
      </c>
      <c r="B769" s="80" t="s">
        <v>2734</v>
      </c>
      <c r="C769" s="80" t="s">
        <v>182</v>
      </c>
      <c r="D769" s="80" t="s">
        <v>126</v>
      </c>
      <c r="E769" s="80" t="s">
        <v>134</v>
      </c>
      <c r="F769" s="170">
        <v>160</v>
      </c>
    </row>
    <row r="770" spans="1:6" hidden="1" x14ac:dyDescent="0.25">
      <c r="A770" s="169">
        <v>43736</v>
      </c>
      <c r="B770" s="80" t="s">
        <v>2743</v>
      </c>
      <c r="C770" s="80" t="s">
        <v>119</v>
      </c>
      <c r="D770" s="80" t="s">
        <v>126</v>
      </c>
      <c r="E770" s="80" t="s">
        <v>153</v>
      </c>
      <c r="F770" s="170">
        <v>160</v>
      </c>
    </row>
    <row r="771" spans="1:6" hidden="1" x14ac:dyDescent="0.25">
      <c r="A771" s="169">
        <v>43737</v>
      </c>
      <c r="B771" s="80" t="s">
        <v>2747</v>
      </c>
      <c r="C771" s="80" t="s">
        <v>167</v>
      </c>
      <c r="D771" s="80" t="s">
        <v>126</v>
      </c>
      <c r="E771" s="80" t="s">
        <v>153</v>
      </c>
      <c r="F771" s="170">
        <v>160</v>
      </c>
    </row>
    <row r="772" spans="1:6" hidden="1" x14ac:dyDescent="0.25">
      <c r="A772" s="169">
        <v>43740</v>
      </c>
      <c r="B772" s="80" t="s">
        <v>2770</v>
      </c>
      <c r="C772" s="80" t="s">
        <v>157</v>
      </c>
      <c r="D772" s="80" t="s">
        <v>126</v>
      </c>
      <c r="E772" s="80" t="s">
        <v>127</v>
      </c>
      <c r="F772" s="170">
        <v>160</v>
      </c>
    </row>
    <row r="773" spans="1:6" hidden="1" x14ac:dyDescent="0.25">
      <c r="A773" s="169">
        <v>43741</v>
      </c>
      <c r="B773" s="80" t="s">
        <v>2780</v>
      </c>
      <c r="C773" s="80" t="s">
        <v>164</v>
      </c>
      <c r="D773" s="80" t="s">
        <v>126</v>
      </c>
      <c r="E773" s="80" t="s">
        <v>131</v>
      </c>
      <c r="F773" s="170">
        <v>160</v>
      </c>
    </row>
    <row r="774" spans="1:6" hidden="1" x14ac:dyDescent="0.25">
      <c r="A774" s="169">
        <v>43742</v>
      </c>
      <c r="B774" s="80" t="s">
        <v>2786</v>
      </c>
      <c r="C774" s="80" t="s">
        <v>157</v>
      </c>
      <c r="D774" s="80" t="s">
        <v>126</v>
      </c>
      <c r="E774" s="80" t="s">
        <v>153</v>
      </c>
      <c r="F774" s="170">
        <v>160</v>
      </c>
    </row>
    <row r="775" spans="1:6" hidden="1" x14ac:dyDescent="0.25">
      <c r="A775" s="169">
        <v>43743</v>
      </c>
      <c r="B775" s="80" t="s">
        <v>2789</v>
      </c>
      <c r="C775" s="80" t="s">
        <v>123</v>
      </c>
      <c r="D775" s="80" t="s">
        <v>126</v>
      </c>
      <c r="E775" s="80" t="s">
        <v>131</v>
      </c>
      <c r="F775" s="170">
        <v>160</v>
      </c>
    </row>
    <row r="776" spans="1:6" hidden="1" x14ac:dyDescent="0.25">
      <c r="A776" s="169">
        <v>43744</v>
      </c>
      <c r="B776" s="80" t="s">
        <v>2796</v>
      </c>
      <c r="C776" s="80" t="s">
        <v>136</v>
      </c>
      <c r="D776" s="80" t="s">
        <v>126</v>
      </c>
      <c r="E776" s="80" t="s">
        <v>134</v>
      </c>
      <c r="F776" s="170">
        <v>160</v>
      </c>
    </row>
    <row r="777" spans="1:6" hidden="1" x14ac:dyDescent="0.25">
      <c r="A777" s="169">
        <v>43746</v>
      </c>
      <c r="B777" s="80" t="s">
        <v>2809</v>
      </c>
      <c r="C777" s="80" t="s">
        <v>223</v>
      </c>
      <c r="D777" s="80" t="s">
        <v>126</v>
      </c>
      <c r="E777" s="80" t="s">
        <v>134</v>
      </c>
      <c r="F777" s="170">
        <v>160</v>
      </c>
    </row>
    <row r="778" spans="1:6" hidden="1" x14ac:dyDescent="0.25">
      <c r="A778" s="169">
        <v>43747</v>
      </c>
      <c r="B778" s="80" t="s">
        <v>2820</v>
      </c>
      <c r="C778" s="80" t="s">
        <v>148</v>
      </c>
      <c r="D778" s="80" t="s">
        <v>126</v>
      </c>
      <c r="E778" s="80" t="s">
        <v>121</v>
      </c>
      <c r="F778" s="170">
        <v>160</v>
      </c>
    </row>
    <row r="779" spans="1:6" hidden="1" x14ac:dyDescent="0.25">
      <c r="A779" s="169">
        <v>43748</v>
      </c>
      <c r="B779" s="80" t="s">
        <v>2830</v>
      </c>
      <c r="C779" s="80" t="s">
        <v>164</v>
      </c>
      <c r="D779" s="80" t="s">
        <v>126</v>
      </c>
      <c r="E779" s="80" t="s">
        <v>153</v>
      </c>
      <c r="F779" s="170">
        <v>160</v>
      </c>
    </row>
    <row r="780" spans="1:6" hidden="1" x14ac:dyDescent="0.25">
      <c r="A780" s="169">
        <v>43750</v>
      </c>
      <c r="B780" s="80" t="s">
        <v>2847</v>
      </c>
      <c r="C780" s="80" t="s">
        <v>152</v>
      </c>
      <c r="D780" s="80" t="s">
        <v>126</v>
      </c>
      <c r="E780" s="80" t="s">
        <v>134</v>
      </c>
      <c r="F780" s="170">
        <v>160</v>
      </c>
    </row>
    <row r="781" spans="1:6" hidden="1" x14ac:dyDescent="0.25">
      <c r="A781" s="169">
        <v>43750</v>
      </c>
      <c r="B781" s="80" t="s">
        <v>2851</v>
      </c>
      <c r="C781" s="80" t="s">
        <v>187</v>
      </c>
      <c r="D781" s="80" t="s">
        <v>126</v>
      </c>
      <c r="E781" s="80" t="s">
        <v>131</v>
      </c>
      <c r="F781" s="170">
        <v>160</v>
      </c>
    </row>
    <row r="782" spans="1:6" hidden="1" x14ac:dyDescent="0.25">
      <c r="A782" s="169">
        <v>43750</v>
      </c>
      <c r="B782" s="80" t="s">
        <v>2859</v>
      </c>
      <c r="C782" s="80" t="s">
        <v>119</v>
      </c>
      <c r="D782" s="80" t="s">
        <v>126</v>
      </c>
      <c r="E782" s="80" t="s">
        <v>153</v>
      </c>
      <c r="F782" s="170">
        <v>160</v>
      </c>
    </row>
    <row r="783" spans="1:6" hidden="1" x14ac:dyDescent="0.25">
      <c r="A783" s="169">
        <v>43751</v>
      </c>
      <c r="B783" s="80" t="s">
        <v>2863</v>
      </c>
      <c r="C783" s="80" t="s">
        <v>143</v>
      </c>
      <c r="D783" s="80" t="s">
        <v>126</v>
      </c>
      <c r="E783" s="80" t="s">
        <v>127</v>
      </c>
      <c r="F783" s="170">
        <v>160</v>
      </c>
    </row>
    <row r="784" spans="1:6" hidden="1" x14ac:dyDescent="0.25">
      <c r="A784" s="169">
        <v>43753</v>
      </c>
      <c r="B784" s="80" t="s">
        <v>2880</v>
      </c>
      <c r="C784" s="80" t="s">
        <v>157</v>
      </c>
      <c r="D784" s="80" t="s">
        <v>126</v>
      </c>
      <c r="E784" s="80" t="s">
        <v>134</v>
      </c>
      <c r="F784" s="170">
        <v>160</v>
      </c>
    </row>
    <row r="785" spans="1:6" hidden="1" x14ac:dyDescent="0.25">
      <c r="A785" s="169">
        <v>43753</v>
      </c>
      <c r="B785" s="80" t="s">
        <v>2888</v>
      </c>
      <c r="C785" s="80" t="s">
        <v>145</v>
      </c>
      <c r="D785" s="80" t="s">
        <v>126</v>
      </c>
      <c r="E785" s="80" t="s">
        <v>121</v>
      </c>
      <c r="F785" s="170">
        <v>160</v>
      </c>
    </row>
    <row r="786" spans="1:6" hidden="1" x14ac:dyDescent="0.25">
      <c r="A786" s="169">
        <v>43754</v>
      </c>
      <c r="B786" s="80" t="s">
        <v>2895</v>
      </c>
      <c r="C786" s="80" t="s">
        <v>167</v>
      </c>
      <c r="D786" s="80" t="s">
        <v>126</v>
      </c>
      <c r="E786" s="80" t="s">
        <v>131</v>
      </c>
      <c r="F786" s="170">
        <v>160</v>
      </c>
    </row>
    <row r="787" spans="1:6" hidden="1" x14ac:dyDescent="0.25">
      <c r="A787" s="169">
        <v>43756</v>
      </c>
      <c r="B787" s="80" t="s">
        <v>2913</v>
      </c>
      <c r="C787" s="80" t="s">
        <v>157</v>
      </c>
      <c r="D787" s="80" t="s">
        <v>126</v>
      </c>
      <c r="E787" s="80" t="s">
        <v>134</v>
      </c>
      <c r="F787" s="170">
        <v>160</v>
      </c>
    </row>
    <row r="788" spans="1:6" hidden="1" x14ac:dyDescent="0.25">
      <c r="A788" s="169">
        <v>43758</v>
      </c>
      <c r="B788" s="80" t="s">
        <v>2937</v>
      </c>
      <c r="C788" s="80" t="s">
        <v>223</v>
      </c>
      <c r="D788" s="80" t="s">
        <v>126</v>
      </c>
      <c r="E788" s="80" t="s">
        <v>153</v>
      </c>
      <c r="F788" s="170">
        <v>160</v>
      </c>
    </row>
    <row r="789" spans="1:6" hidden="1" x14ac:dyDescent="0.25">
      <c r="A789" s="169">
        <v>43759</v>
      </c>
      <c r="B789" s="80" t="s">
        <v>2938</v>
      </c>
      <c r="C789" s="80" t="s">
        <v>167</v>
      </c>
      <c r="D789" s="80" t="s">
        <v>126</v>
      </c>
      <c r="E789" s="80" t="s">
        <v>121</v>
      </c>
      <c r="F789" s="170">
        <v>160</v>
      </c>
    </row>
    <row r="790" spans="1:6" hidden="1" x14ac:dyDescent="0.25">
      <c r="A790" s="169">
        <v>43759</v>
      </c>
      <c r="B790" s="80" t="s">
        <v>2943</v>
      </c>
      <c r="C790" s="80" t="s">
        <v>148</v>
      </c>
      <c r="D790" s="80" t="s">
        <v>126</v>
      </c>
      <c r="E790" s="80" t="s">
        <v>121</v>
      </c>
      <c r="F790" s="170">
        <v>160</v>
      </c>
    </row>
    <row r="791" spans="1:6" hidden="1" x14ac:dyDescent="0.25">
      <c r="A791" s="169">
        <v>43763</v>
      </c>
      <c r="B791" s="80" t="s">
        <v>2981</v>
      </c>
      <c r="C791" s="80" t="s">
        <v>143</v>
      </c>
      <c r="D791" s="80" t="s">
        <v>126</v>
      </c>
      <c r="E791" s="80" t="s">
        <v>153</v>
      </c>
      <c r="F791" s="170">
        <v>160</v>
      </c>
    </row>
    <row r="792" spans="1:6" hidden="1" x14ac:dyDescent="0.25">
      <c r="A792" s="169">
        <v>43763</v>
      </c>
      <c r="B792" s="80" t="s">
        <v>2986</v>
      </c>
      <c r="C792" s="80" t="s">
        <v>223</v>
      </c>
      <c r="D792" s="80" t="s">
        <v>126</v>
      </c>
      <c r="E792" s="80" t="s">
        <v>153</v>
      </c>
      <c r="F792" s="170">
        <v>160</v>
      </c>
    </row>
    <row r="793" spans="1:6" hidden="1" x14ac:dyDescent="0.25">
      <c r="A793" s="169">
        <v>43764</v>
      </c>
      <c r="B793" s="80" t="s">
        <v>2987</v>
      </c>
      <c r="C793" s="80" t="s">
        <v>189</v>
      </c>
      <c r="D793" s="80" t="s">
        <v>126</v>
      </c>
      <c r="E793" s="80" t="s">
        <v>121</v>
      </c>
      <c r="F793" s="170">
        <v>160</v>
      </c>
    </row>
    <row r="794" spans="1:6" hidden="1" x14ac:dyDescent="0.25">
      <c r="A794" s="169">
        <v>43764</v>
      </c>
      <c r="B794" s="80" t="s">
        <v>2990</v>
      </c>
      <c r="C794" s="80" t="s">
        <v>152</v>
      </c>
      <c r="D794" s="80" t="s">
        <v>126</v>
      </c>
      <c r="E794" s="80" t="s">
        <v>131</v>
      </c>
      <c r="F794" s="170">
        <v>160</v>
      </c>
    </row>
    <row r="795" spans="1:6" hidden="1" x14ac:dyDescent="0.25">
      <c r="A795" s="169">
        <v>43765</v>
      </c>
      <c r="B795" s="80" t="s">
        <v>2999</v>
      </c>
      <c r="C795" s="80" t="s">
        <v>189</v>
      </c>
      <c r="D795" s="80" t="s">
        <v>126</v>
      </c>
      <c r="E795" s="80" t="s">
        <v>121</v>
      </c>
      <c r="F795" s="170">
        <v>160</v>
      </c>
    </row>
    <row r="796" spans="1:6" hidden="1" x14ac:dyDescent="0.25">
      <c r="A796" s="169">
        <v>43766</v>
      </c>
      <c r="B796" s="80" t="s">
        <v>3012</v>
      </c>
      <c r="C796" s="80" t="s">
        <v>125</v>
      </c>
      <c r="D796" s="80" t="s">
        <v>126</v>
      </c>
      <c r="E796" s="80" t="s">
        <v>134</v>
      </c>
      <c r="F796" s="170">
        <v>160</v>
      </c>
    </row>
    <row r="797" spans="1:6" hidden="1" x14ac:dyDescent="0.25">
      <c r="A797" s="169">
        <v>43766</v>
      </c>
      <c r="B797" s="80" t="s">
        <v>3016</v>
      </c>
      <c r="C797" s="80" t="s">
        <v>138</v>
      </c>
      <c r="D797" s="80" t="s">
        <v>126</v>
      </c>
      <c r="E797" s="80" t="s">
        <v>127</v>
      </c>
      <c r="F797" s="170">
        <v>160</v>
      </c>
    </row>
    <row r="798" spans="1:6" hidden="1" x14ac:dyDescent="0.25">
      <c r="A798" s="169">
        <v>43767</v>
      </c>
      <c r="B798" s="80" t="s">
        <v>3032</v>
      </c>
      <c r="C798" s="80" t="s">
        <v>223</v>
      </c>
      <c r="D798" s="80" t="s">
        <v>126</v>
      </c>
      <c r="E798" s="80" t="s">
        <v>127</v>
      </c>
      <c r="F798" s="170">
        <v>160</v>
      </c>
    </row>
    <row r="799" spans="1:6" hidden="1" x14ac:dyDescent="0.25">
      <c r="A799" s="169">
        <v>43768</v>
      </c>
      <c r="B799" s="80" t="s">
        <v>3038</v>
      </c>
      <c r="C799" s="80" t="s">
        <v>223</v>
      </c>
      <c r="D799" s="80" t="s">
        <v>126</v>
      </c>
      <c r="E799" s="80" t="s">
        <v>153</v>
      </c>
      <c r="F799" s="170">
        <v>160</v>
      </c>
    </row>
    <row r="800" spans="1:6" hidden="1" x14ac:dyDescent="0.25">
      <c r="A800" s="169">
        <v>43768</v>
      </c>
      <c r="B800" s="80" t="s">
        <v>3039</v>
      </c>
      <c r="C800" s="80" t="s">
        <v>164</v>
      </c>
      <c r="D800" s="80" t="s">
        <v>126</v>
      </c>
      <c r="E800" s="80" t="s">
        <v>134</v>
      </c>
      <c r="F800" s="170">
        <v>160</v>
      </c>
    </row>
    <row r="801" spans="1:6" hidden="1" x14ac:dyDescent="0.25">
      <c r="A801" s="169">
        <v>43768</v>
      </c>
      <c r="B801" s="80" t="s">
        <v>3044</v>
      </c>
      <c r="C801" s="80" t="s">
        <v>136</v>
      </c>
      <c r="D801" s="80" t="s">
        <v>126</v>
      </c>
      <c r="E801" s="80" t="s">
        <v>134</v>
      </c>
      <c r="F801" s="170">
        <v>160</v>
      </c>
    </row>
    <row r="802" spans="1:6" hidden="1" x14ac:dyDescent="0.25">
      <c r="A802" s="169">
        <v>43769</v>
      </c>
      <c r="B802" s="80" t="s">
        <v>3050</v>
      </c>
      <c r="C802" s="80" t="s">
        <v>182</v>
      </c>
      <c r="D802" s="80" t="s">
        <v>126</v>
      </c>
      <c r="E802" s="80" t="s">
        <v>121</v>
      </c>
      <c r="F802" s="170">
        <v>160</v>
      </c>
    </row>
    <row r="803" spans="1:6" hidden="1" x14ac:dyDescent="0.25">
      <c r="A803" s="169">
        <v>43770</v>
      </c>
      <c r="B803" s="80" t="s">
        <v>3053</v>
      </c>
      <c r="C803" s="80" t="s">
        <v>145</v>
      </c>
      <c r="D803" s="80" t="s">
        <v>126</v>
      </c>
      <c r="E803" s="80" t="s">
        <v>134</v>
      </c>
      <c r="F803" s="170">
        <v>160</v>
      </c>
    </row>
    <row r="804" spans="1:6" hidden="1" x14ac:dyDescent="0.25">
      <c r="A804" s="169">
        <v>43770</v>
      </c>
      <c r="B804" s="80" t="s">
        <v>3057</v>
      </c>
      <c r="C804" s="80" t="s">
        <v>136</v>
      </c>
      <c r="D804" s="80" t="s">
        <v>126</v>
      </c>
      <c r="E804" s="80" t="s">
        <v>121</v>
      </c>
      <c r="F804" s="170">
        <v>160</v>
      </c>
    </row>
    <row r="805" spans="1:6" hidden="1" x14ac:dyDescent="0.25">
      <c r="A805" s="169">
        <v>43771</v>
      </c>
      <c r="B805" s="80" t="s">
        <v>3063</v>
      </c>
      <c r="C805" s="80" t="s">
        <v>125</v>
      </c>
      <c r="D805" s="80" t="s">
        <v>126</v>
      </c>
      <c r="E805" s="80" t="s">
        <v>134</v>
      </c>
      <c r="F805" s="170">
        <v>160</v>
      </c>
    </row>
    <row r="806" spans="1:6" hidden="1" x14ac:dyDescent="0.25">
      <c r="A806" s="169">
        <v>43772</v>
      </c>
      <c r="B806" s="80" t="s">
        <v>3073</v>
      </c>
      <c r="C806" s="80" t="s">
        <v>164</v>
      </c>
      <c r="D806" s="80" t="s">
        <v>126</v>
      </c>
      <c r="E806" s="80" t="s">
        <v>127</v>
      </c>
      <c r="F806" s="170">
        <v>160</v>
      </c>
    </row>
    <row r="807" spans="1:6" hidden="1" x14ac:dyDescent="0.25">
      <c r="A807" s="169">
        <v>43772</v>
      </c>
      <c r="B807" s="80" t="s">
        <v>3074</v>
      </c>
      <c r="C807" s="80" t="s">
        <v>187</v>
      </c>
      <c r="D807" s="80" t="s">
        <v>126</v>
      </c>
      <c r="E807" s="80" t="s">
        <v>153</v>
      </c>
      <c r="F807" s="170">
        <v>160</v>
      </c>
    </row>
    <row r="808" spans="1:6" hidden="1" x14ac:dyDescent="0.25">
      <c r="A808" s="169">
        <v>43772</v>
      </c>
      <c r="B808" s="80" t="s">
        <v>3075</v>
      </c>
      <c r="C808" s="80" t="s">
        <v>152</v>
      </c>
      <c r="D808" s="80" t="s">
        <v>126</v>
      </c>
      <c r="E808" s="80" t="s">
        <v>153</v>
      </c>
      <c r="F808" s="170">
        <v>160</v>
      </c>
    </row>
    <row r="809" spans="1:6" hidden="1" x14ac:dyDescent="0.25">
      <c r="A809" s="169">
        <v>43774</v>
      </c>
      <c r="B809" s="80" t="s">
        <v>3094</v>
      </c>
      <c r="C809" s="80" t="s">
        <v>125</v>
      </c>
      <c r="D809" s="80" t="s">
        <v>126</v>
      </c>
      <c r="E809" s="80" t="s">
        <v>131</v>
      </c>
      <c r="F809" s="170">
        <v>160</v>
      </c>
    </row>
    <row r="810" spans="1:6" hidden="1" x14ac:dyDescent="0.25">
      <c r="A810" s="169">
        <v>43774</v>
      </c>
      <c r="B810" s="80" t="s">
        <v>3095</v>
      </c>
      <c r="C810" s="80" t="s">
        <v>119</v>
      </c>
      <c r="D810" s="80" t="s">
        <v>126</v>
      </c>
      <c r="E810" s="80" t="s">
        <v>121</v>
      </c>
      <c r="F810" s="170">
        <v>160</v>
      </c>
    </row>
    <row r="811" spans="1:6" hidden="1" x14ac:dyDescent="0.25">
      <c r="A811" s="169">
        <v>43774</v>
      </c>
      <c r="B811" s="80" t="s">
        <v>3097</v>
      </c>
      <c r="C811" s="80" t="s">
        <v>164</v>
      </c>
      <c r="D811" s="80" t="s">
        <v>126</v>
      </c>
      <c r="E811" s="80" t="s">
        <v>134</v>
      </c>
      <c r="F811" s="170">
        <v>160</v>
      </c>
    </row>
    <row r="812" spans="1:6" hidden="1" x14ac:dyDescent="0.25">
      <c r="A812" s="169">
        <v>43776</v>
      </c>
      <c r="B812" s="80" t="s">
        <v>3120</v>
      </c>
      <c r="C812" s="80" t="s">
        <v>187</v>
      </c>
      <c r="D812" s="80" t="s">
        <v>126</v>
      </c>
      <c r="E812" s="80" t="s">
        <v>131</v>
      </c>
      <c r="F812" s="170">
        <v>160</v>
      </c>
    </row>
    <row r="813" spans="1:6" hidden="1" x14ac:dyDescent="0.25">
      <c r="A813" s="169">
        <v>43777</v>
      </c>
      <c r="B813" s="80" t="s">
        <v>3122</v>
      </c>
      <c r="C813" s="80" t="s">
        <v>164</v>
      </c>
      <c r="D813" s="80" t="s">
        <v>126</v>
      </c>
      <c r="E813" s="80" t="s">
        <v>121</v>
      </c>
      <c r="F813" s="170">
        <v>160</v>
      </c>
    </row>
    <row r="814" spans="1:6" hidden="1" x14ac:dyDescent="0.25">
      <c r="A814" s="169">
        <v>43777</v>
      </c>
      <c r="B814" s="80" t="s">
        <v>3125</v>
      </c>
      <c r="C814" s="80" t="s">
        <v>164</v>
      </c>
      <c r="D814" s="80" t="s">
        <v>126</v>
      </c>
      <c r="E814" s="80" t="s">
        <v>134</v>
      </c>
      <c r="F814" s="170">
        <v>160</v>
      </c>
    </row>
    <row r="815" spans="1:6" hidden="1" x14ac:dyDescent="0.25">
      <c r="A815" s="169">
        <v>43777</v>
      </c>
      <c r="B815" s="80" t="s">
        <v>3129</v>
      </c>
      <c r="C815" s="80" t="s">
        <v>187</v>
      </c>
      <c r="D815" s="80" t="s">
        <v>126</v>
      </c>
      <c r="E815" s="80" t="s">
        <v>121</v>
      </c>
      <c r="F815" s="170">
        <v>160</v>
      </c>
    </row>
    <row r="816" spans="1:6" hidden="1" x14ac:dyDescent="0.25">
      <c r="A816" s="169">
        <v>43778</v>
      </c>
      <c r="B816" s="80" t="s">
        <v>3145</v>
      </c>
      <c r="C816" s="80" t="s">
        <v>157</v>
      </c>
      <c r="D816" s="80" t="s">
        <v>126</v>
      </c>
      <c r="E816" s="80" t="s">
        <v>134</v>
      </c>
      <c r="F816" s="170">
        <v>160</v>
      </c>
    </row>
    <row r="817" spans="1:6" hidden="1" x14ac:dyDescent="0.25">
      <c r="A817" s="169">
        <v>43778</v>
      </c>
      <c r="B817" s="80" t="s">
        <v>3148</v>
      </c>
      <c r="C817" s="80" t="s">
        <v>164</v>
      </c>
      <c r="D817" s="80" t="s">
        <v>126</v>
      </c>
      <c r="E817" s="80" t="s">
        <v>153</v>
      </c>
      <c r="F817" s="170">
        <v>160</v>
      </c>
    </row>
    <row r="818" spans="1:6" hidden="1" x14ac:dyDescent="0.25">
      <c r="A818" s="169">
        <v>43779</v>
      </c>
      <c r="B818" s="80" t="s">
        <v>3151</v>
      </c>
      <c r="C818" s="80" t="s">
        <v>152</v>
      </c>
      <c r="D818" s="80" t="s">
        <v>126</v>
      </c>
      <c r="E818" s="80" t="s">
        <v>121</v>
      </c>
      <c r="F818" s="170">
        <v>160</v>
      </c>
    </row>
    <row r="819" spans="1:6" hidden="1" x14ac:dyDescent="0.25">
      <c r="A819" s="169">
        <v>43779</v>
      </c>
      <c r="B819" s="80" t="s">
        <v>3153</v>
      </c>
      <c r="C819" s="80" t="s">
        <v>143</v>
      </c>
      <c r="D819" s="80" t="s">
        <v>126</v>
      </c>
      <c r="E819" s="80" t="s">
        <v>134</v>
      </c>
      <c r="F819" s="170">
        <v>160</v>
      </c>
    </row>
    <row r="820" spans="1:6" hidden="1" x14ac:dyDescent="0.25">
      <c r="A820" s="169">
        <v>43779</v>
      </c>
      <c r="B820" s="80" t="s">
        <v>3154</v>
      </c>
      <c r="C820" s="80" t="s">
        <v>123</v>
      </c>
      <c r="D820" s="80" t="s">
        <v>126</v>
      </c>
      <c r="E820" s="80" t="s">
        <v>153</v>
      </c>
      <c r="F820" s="170">
        <v>160</v>
      </c>
    </row>
    <row r="821" spans="1:6" hidden="1" x14ac:dyDescent="0.25">
      <c r="A821" s="169">
        <v>43780</v>
      </c>
      <c r="B821" s="80" t="s">
        <v>3160</v>
      </c>
      <c r="C821" s="80" t="s">
        <v>189</v>
      </c>
      <c r="D821" s="80" t="s">
        <v>126</v>
      </c>
      <c r="E821" s="80" t="s">
        <v>134</v>
      </c>
      <c r="F821" s="170">
        <v>160</v>
      </c>
    </row>
    <row r="822" spans="1:6" hidden="1" x14ac:dyDescent="0.25">
      <c r="A822" s="169">
        <v>43780</v>
      </c>
      <c r="B822" s="80" t="s">
        <v>3170</v>
      </c>
      <c r="C822" s="80" t="s">
        <v>143</v>
      </c>
      <c r="D822" s="80" t="s">
        <v>126</v>
      </c>
      <c r="E822" s="80" t="s">
        <v>121</v>
      </c>
      <c r="F822" s="170">
        <v>160</v>
      </c>
    </row>
    <row r="823" spans="1:6" hidden="1" x14ac:dyDescent="0.25">
      <c r="A823" s="169">
        <v>43780</v>
      </c>
      <c r="B823" s="80" t="s">
        <v>3172</v>
      </c>
      <c r="C823" s="80" t="s">
        <v>157</v>
      </c>
      <c r="D823" s="80" t="s">
        <v>126</v>
      </c>
      <c r="E823" s="80" t="s">
        <v>127</v>
      </c>
      <c r="F823" s="170">
        <v>160</v>
      </c>
    </row>
    <row r="824" spans="1:6" hidden="1" x14ac:dyDescent="0.25">
      <c r="A824" s="169">
        <v>43781</v>
      </c>
      <c r="B824" s="80" t="s">
        <v>3175</v>
      </c>
      <c r="C824" s="80" t="s">
        <v>129</v>
      </c>
      <c r="D824" s="80" t="s">
        <v>126</v>
      </c>
      <c r="E824" s="80" t="s">
        <v>131</v>
      </c>
      <c r="F824" s="170">
        <v>160</v>
      </c>
    </row>
    <row r="825" spans="1:6" hidden="1" x14ac:dyDescent="0.25">
      <c r="A825" s="169">
        <v>43783</v>
      </c>
      <c r="B825" s="80" t="s">
        <v>3197</v>
      </c>
      <c r="C825" s="80" t="s">
        <v>152</v>
      </c>
      <c r="D825" s="80" t="s">
        <v>126</v>
      </c>
      <c r="E825" s="80" t="s">
        <v>121</v>
      </c>
      <c r="F825" s="170">
        <v>160</v>
      </c>
    </row>
    <row r="826" spans="1:6" hidden="1" x14ac:dyDescent="0.25">
      <c r="A826" s="169">
        <v>43783</v>
      </c>
      <c r="B826" s="80" t="s">
        <v>3200</v>
      </c>
      <c r="C826" s="80" t="s">
        <v>148</v>
      </c>
      <c r="D826" s="80" t="s">
        <v>126</v>
      </c>
      <c r="E826" s="80" t="s">
        <v>127</v>
      </c>
      <c r="F826" s="170">
        <v>160</v>
      </c>
    </row>
    <row r="827" spans="1:6" hidden="1" x14ac:dyDescent="0.25">
      <c r="A827" s="169">
        <v>43783</v>
      </c>
      <c r="B827" s="80" t="s">
        <v>3202</v>
      </c>
      <c r="C827" s="80" t="s">
        <v>125</v>
      </c>
      <c r="D827" s="80" t="s">
        <v>126</v>
      </c>
      <c r="E827" s="80" t="s">
        <v>127</v>
      </c>
      <c r="F827" s="170">
        <v>160</v>
      </c>
    </row>
    <row r="828" spans="1:6" hidden="1" x14ac:dyDescent="0.25">
      <c r="A828" s="169">
        <v>43785</v>
      </c>
      <c r="B828" s="80" t="s">
        <v>3223</v>
      </c>
      <c r="C828" s="80" t="s">
        <v>143</v>
      </c>
      <c r="D828" s="80" t="s">
        <v>126</v>
      </c>
      <c r="E828" s="80" t="s">
        <v>153</v>
      </c>
      <c r="F828" s="170">
        <v>160</v>
      </c>
    </row>
    <row r="829" spans="1:6" hidden="1" x14ac:dyDescent="0.25">
      <c r="A829" s="169">
        <v>43785</v>
      </c>
      <c r="B829" s="80" t="s">
        <v>3224</v>
      </c>
      <c r="C829" s="80" t="s">
        <v>189</v>
      </c>
      <c r="D829" s="80" t="s">
        <v>126</v>
      </c>
      <c r="E829" s="80" t="s">
        <v>121</v>
      </c>
      <c r="F829" s="170">
        <v>160</v>
      </c>
    </row>
    <row r="830" spans="1:6" hidden="1" x14ac:dyDescent="0.25">
      <c r="A830" s="169">
        <v>43787</v>
      </c>
      <c r="B830" s="80" t="s">
        <v>3232</v>
      </c>
      <c r="C830" s="80" t="s">
        <v>136</v>
      </c>
      <c r="D830" s="80" t="s">
        <v>126</v>
      </c>
      <c r="E830" s="80" t="s">
        <v>134</v>
      </c>
      <c r="F830" s="170">
        <v>160</v>
      </c>
    </row>
    <row r="831" spans="1:6" hidden="1" x14ac:dyDescent="0.25">
      <c r="A831" s="169">
        <v>43787</v>
      </c>
      <c r="B831" s="80" t="s">
        <v>3239</v>
      </c>
      <c r="C831" s="80" t="s">
        <v>182</v>
      </c>
      <c r="D831" s="80" t="s">
        <v>126</v>
      </c>
      <c r="E831" s="80" t="s">
        <v>121</v>
      </c>
      <c r="F831" s="170">
        <v>160</v>
      </c>
    </row>
    <row r="832" spans="1:6" hidden="1" x14ac:dyDescent="0.25">
      <c r="A832" s="169">
        <v>43789</v>
      </c>
      <c r="B832" s="80" t="s">
        <v>3251</v>
      </c>
      <c r="C832" s="80" t="s">
        <v>164</v>
      </c>
      <c r="D832" s="80" t="s">
        <v>126</v>
      </c>
      <c r="E832" s="80" t="s">
        <v>127</v>
      </c>
      <c r="F832" s="170">
        <v>160</v>
      </c>
    </row>
    <row r="833" spans="1:6" hidden="1" x14ac:dyDescent="0.25">
      <c r="A833" s="169">
        <v>43792</v>
      </c>
      <c r="B833" s="80" t="s">
        <v>3280</v>
      </c>
      <c r="C833" s="80" t="s">
        <v>119</v>
      </c>
      <c r="D833" s="80" t="s">
        <v>126</v>
      </c>
      <c r="E833" s="80" t="s">
        <v>131</v>
      </c>
      <c r="F833" s="170">
        <v>160</v>
      </c>
    </row>
    <row r="834" spans="1:6" hidden="1" x14ac:dyDescent="0.25">
      <c r="A834" s="169">
        <v>43792</v>
      </c>
      <c r="B834" s="80" t="s">
        <v>3283</v>
      </c>
      <c r="C834" s="80" t="s">
        <v>157</v>
      </c>
      <c r="D834" s="80" t="s">
        <v>126</v>
      </c>
      <c r="E834" s="80" t="s">
        <v>153</v>
      </c>
      <c r="F834" s="170">
        <v>160</v>
      </c>
    </row>
    <row r="835" spans="1:6" hidden="1" x14ac:dyDescent="0.25">
      <c r="A835" s="169">
        <v>43792</v>
      </c>
      <c r="B835" s="80" t="s">
        <v>3290</v>
      </c>
      <c r="C835" s="80" t="s">
        <v>143</v>
      </c>
      <c r="D835" s="80" t="s">
        <v>126</v>
      </c>
      <c r="E835" s="80" t="s">
        <v>134</v>
      </c>
      <c r="F835" s="170">
        <v>160</v>
      </c>
    </row>
    <row r="836" spans="1:6" hidden="1" x14ac:dyDescent="0.25">
      <c r="A836" s="169">
        <v>43793</v>
      </c>
      <c r="B836" s="80" t="s">
        <v>3295</v>
      </c>
      <c r="C836" s="80" t="s">
        <v>152</v>
      </c>
      <c r="D836" s="80" t="s">
        <v>126</v>
      </c>
      <c r="E836" s="80" t="s">
        <v>127</v>
      </c>
      <c r="F836" s="170">
        <v>160</v>
      </c>
    </row>
    <row r="837" spans="1:6" hidden="1" x14ac:dyDescent="0.25">
      <c r="A837" s="169">
        <v>43794</v>
      </c>
      <c r="B837" s="80" t="s">
        <v>3314</v>
      </c>
      <c r="C837" s="80" t="s">
        <v>189</v>
      </c>
      <c r="D837" s="80" t="s">
        <v>126</v>
      </c>
      <c r="E837" s="80" t="s">
        <v>131</v>
      </c>
      <c r="F837" s="170">
        <v>160</v>
      </c>
    </row>
    <row r="838" spans="1:6" hidden="1" x14ac:dyDescent="0.25">
      <c r="A838" s="169">
        <v>43797</v>
      </c>
      <c r="B838" s="80" t="s">
        <v>3333</v>
      </c>
      <c r="C838" s="80" t="s">
        <v>148</v>
      </c>
      <c r="D838" s="80" t="s">
        <v>126</v>
      </c>
      <c r="E838" s="80" t="s">
        <v>153</v>
      </c>
      <c r="F838" s="170">
        <v>160</v>
      </c>
    </row>
    <row r="839" spans="1:6" hidden="1" x14ac:dyDescent="0.25">
      <c r="A839" s="169">
        <v>43798</v>
      </c>
      <c r="B839" s="80" t="s">
        <v>3335</v>
      </c>
      <c r="C839" s="80" t="s">
        <v>143</v>
      </c>
      <c r="D839" s="80" t="s">
        <v>126</v>
      </c>
      <c r="E839" s="80" t="s">
        <v>153</v>
      </c>
      <c r="F839" s="170">
        <v>160</v>
      </c>
    </row>
    <row r="840" spans="1:6" hidden="1" x14ac:dyDescent="0.25">
      <c r="A840" s="169">
        <v>43798</v>
      </c>
      <c r="B840" s="80" t="s">
        <v>3343</v>
      </c>
      <c r="C840" s="80" t="s">
        <v>148</v>
      </c>
      <c r="D840" s="80" t="s">
        <v>126</v>
      </c>
      <c r="E840" s="80" t="s">
        <v>121</v>
      </c>
      <c r="F840" s="170">
        <v>160</v>
      </c>
    </row>
    <row r="841" spans="1:6" hidden="1" x14ac:dyDescent="0.25">
      <c r="A841" s="169">
        <v>43798</v>
      </c>
      <c r="B841" s="80" t="s">
        <v>3345</v>
      </c>
      <c r="C841" s="80" t="s">
        <v>148</v>
      </c>
      <c r="D841" s="80" t="s">
        <v>126</v>
      </c>
      <c r="E841" s="80" t="s">
        <v>121</v>
      </c>
      <c r="F841" s="170">
        <v>160</v>
      </c>
    </row>
    <row r="842" spans="1:6" hidden="1" x14ac:dyDescent="0.25">
      <c r="A842" s="169">
        <v>43799</v>
      </c>
      <c r="B842" s="80" t="s">
        <v>3354</v>
      </c>
      <c r="C842" s="80" t="s">
        <v>182</v>
      </c>
      <c r="D842" s="80" t="s">
        <v>126</v>
      </c>
      <c r="E842" s="80" t="s">
        <v>131</v>
      </c>
      <c r="F842" s="170">
        <v>160</v>
      </c>
    </row>
    <row r="843" spans="1:6" hidden="1" x14ac:dyDescent="0.25">
      <c r="A843" s="169">
        <v>43800</v>
      </c>
      <c r="B843" s="80" t="s">
        <v>3366</v>
      </c>
      <c r="C843" s="80" t="s">
        <v>119</v>
      </c>
      <c r="D843" s="80" t="s">
        <v>126</v>
      </c>
      <c r="E843" s="80" t="s">
        <v>127</v>
      </c>
      <c r="F843" s="170">
        <v>160</v>
      </c>
    </row>
    <row r="844" spans="1:6" hidden="1" x14ac:dyDescent="0.25">
      <c r="A844" s="169">
        <v>43801</v>
      </c>
      <c r="B844" s="80" t="s">
        <v>3375</v>
      </c>
      <c r="C844" s="80" t="s">
        <v>187</v>
      </c>
      <c r="D844" s="80" t="s">
        <v>126</v>
      </c>
      <c r="E844" s="80" t="s">
        <v>153</v>
      </c>
      <c r="F844" s="170">
        <v>160</v>
      </c>
    </row>
    <row r="845" spans="1:6" hidden="1" x14ac:dyDescent="0.25">
      <c r="A845" s="169">
        <v>43802</v>
      </c>
      <c r="B845" s="80" t="s">
        <v>3380</v>
      </c>
      <c r="C845" s="80" t="s">
        <v>223</v>
      </c>
      <c r="D845" s="80" t="s">
        <v>126</v>
      </c>
      <c r="E845" s="80" t="s">
        <v>121</v>
      </c>
      <c r="F845" s="170">
        <v>160</v>
      </c>
    </row>
    <row r="846" spans="1:6" hidden="1" x14ac:dyDescent="0.25">
      <c r="A846" s="169">
        <v>43803</v>
      </c>
      <c r="B846" s="80" t="s">
        <v>3392</v>
      </c>
      <c r="C846" s="80" t="s">
        <v>164</v>
      </c>
      <c r="D846" s="80" t="s">
        <v>126</v>
      </c>
      <c r="E846" s="80" t="s">
        <v>127</v>
      </c>
      <c r="F846" s="170">
        <v>160</v>
      </c>
    </row>
    <row r="847" spans="1:6" hidden="1" x14ac:dyDescent="0.25">
      <c r="A847" s="169">
        <v>43804</v>
      </c>
      <c r="B847" s="80" t="s">
        <v>3405</v>
      </c>
      <c r="C847" s="80" t="s">
        <v>143</v>
      </c>
      <c r="D847" s="80" t="s">
        <v>126</v>
      </c>
      <c r="E847" s="80" t="s">
        <v>127</v>
      </c>
      <c r="F847" s="170">
        <v>160</v>
      </c>
    </row>
    <row r="848" spans="1:6" hidden="1" x14ac:dyDescent="0.25">
      <c r="A848" s="169">
        <v>43805</v>
      </c>
      <c r="B848" s="80" t="s">
        <v>3414</v>
      </c>
      <c r="C848" s="80" t="s">
        <v>164</v>
      </c>
      <c r="D848" s="80" t="s">
        <v>126</v>
      </c>
      <c r="E848" s="80" t="s">
        <v>131</v>
      </c>
      <c r="F848" s="170">
        <v>160</v>
      </c>
    </row>
    <row r="849" spans="1:6" hidden="1" x14ac:dyDescent="0.25">
      <c r="A849" s="169">
        <v>43805</v>
      </c>
      <c r="B849" s="80" t="s">
        <v>3417</v>
      </c>
      <c r="C849" s="80" t="s">
        <v>148</v>
      </c>
      <c r="D849" s="80" t="s">
        <v>126</v>
      </c>
      <c r="E849" s="80" t="s">
        <v>131</v>
      </c>
      <c r="F849" s="170">
        <v>160</v>
      </c>
    </row>
    <row r="850" spans="1:6" hidden="1" x14ac:dyDescent="0.25">
      <c r="A850" s="169">
        <v>43807</v>
      </c>
      <c r="B850" s="80" t="s">
        <v>3436</v>
      </c>
      <c r="C850" s="80" t="s">
        <v>123</v>
      </c>
      <c r="D850" s="80" t="s">
        <v>126</v>
      </c>
      <c r="E850" s="80" t="s">
        <v>131</v>
      </c>
      <c r="F850" s="170">
        <v>160</v>
      </c>
    </row>
    <row r="851" spans="1:6" hidden="1" x14ac:dyDescent="0.25">
      <c r="A851" s="169">
        <v>43809</v>
      </c>
      <c r="B851" s="80" t="s">
        <v>3453</v>
      </c>
      <c r="C851" s="80" t="s">
        <v>164</v>
      </c>
      <c r="D851" s="80" t="s">
        <v>126</v>
      </c>
      <c r="E851" s="80" t="s">
        <v>127</v>
      </c>
      <c r="F851" s="170">
        <v>160</v>
      </c>
    </row>
    <row r="852" spans="1:6" hidden="1" x14ac:dyDescent="0.25">
      <c r="A852" s="169">
        <v>43811</v>
      </c>
      <c r="B852" s="80" t="s">
        <v>3471</v>
      </c>
      <c r="C852" s="80" t="s">
        <v>125</v>
      </c>
      <c r="D852" s="80" t="s">
        <v>126</v>
      </c>
      <c r="E852" s="80" t="s">
        <v>134</v>
      </c>
      <c r="F852" s="170">
        <v>160</v>
      </c>
    </row>
    <row r="853" spans="1:6" hidden="1" x14ac:dyDescent="0.25">
      <c r="A853" s="169">
        <v>43812</v>
      </c>
      <c r="B853" s="80" t="s">
        <v>3477</v>
      </c>
      <c r="C853" s="80" t="s">
        <v>189</v>
      </c>
      <c r="D853" s="80" t="s">
        <v>126</v>
      </c>
      <c r="E853" s="80" t="s">
        <v>153</v>
      </c>
      <c r="F853" s="170">
        <v>160</v>
      </c>
    </row>
    <row r="854" spans="1:6" hidden="1" x14ac:dyDescent="0.25">
      <c r="A854" s="169">
        <v>43813</v>
      </c>
      <c r="B854" s="80" t="s">
        <v>3491</v>
      </c>
      <c r="C854" s="80" t="s">
        <v>152</v>
      </c>
      <c r="D854" s="80" t="s">
        <v>126</v>
      </c>
      <c r="E854" s="80" t="s">
        <v>134</v>
      </c>
      <c r="F854" s="170">
        <v>160</v>
      </c>
    </row>
    <row r="855" spans="1:6" hidden="1" x14ac:dyDescent="0.25">
      <c r="A855" s="169">
        <v>43813</v>
      </c>
      <c r="B855" s="80" t="s">
        <v>3493</v>
      </c>
      <c r="C855" s="80" t="s">
        <v>148</v>
      </c>
      <c r="D855" s="80" t="s">
        <v>126</v>
      </c>
      <c r="E855" s="80" t="s">
        <v>153</v>
      </c>
      <c r="F855" s="170">
        <v>160</v>
      </c>
    </row>
    <row r="856" spans="1:6" hidden="1" x14ac:dyDescent="0.25">
      <c r="A856" s="169">
        <v>43815</v>
      </c>
      <c r="B856" s="80" t="s">
        <v>3500</v>
      </c>
      <c r="C856" s="80" t="s">
        <v>223</v>
      </c>
      <c r="D856" s="80" t="s">
        <v>126</v>
      </c>
      <c r="E856" s="80" t="s">
        <v>131</v>
      </c>
      <c r="F856" s="170">
        <v>160</v>
      </c>
    </row>
    <row r="857" spans="1:6" hidden="1" x14ac:dyDescent="0.25">
      <c r="A857" s="169">
        <v>43816</v>
      </c>
      <c r="B857" s="80" t="s">
        <v>3510</v>
      </c>
      <c r="C857" s="80" t="s">
        <v>182</v>
      </c>
      <c r="D857" s="80" t="s">
        <v>126</v>
      </c>
      <c r="E857" s="80" t="s">
        <v>121</v>
      </c>
      <c r="F857" s="170">
        <v>160</v>
      </c>
    </row>
    <row r="858" spans="1:6" hidden="1" x14ac:dyDescent="0.25">
      <c r="A858" s="169">
        <v>43817</v>
      </c>
      <c r="B858" s="80" t="s">
        <v>3517</v>
      </c>
      <c r="C858" s="80" t="s">
        <v>129</v>
      </c>
      <c r="D858" s="80" t="s">
        <v>126</v>
      </c>
      <c r="E858" s="80" t="s">
        <v>134</v>
      </c>
      <c r="F858" s="170">
        <v>160</v>
      </c>
    </row>
    <row r="859" spans="1:6" hidden="1" x14ac:dyDescent="0.25">
      <c r="A859" s="169">
        <v>43817</v>
      </c>
      <c r="B859" s="80" t="s">
        <v>3520</v>
      </c>
      <c r="C859" s="80" t="s">
        <v>189</v>
      </c>
      <c r="D859" s="80" t="s">
        <v>126</v>
      </c>
      <c r="E859" s="80" t="s">
        <v>121</v>
      </c>
      <c r="F859" s="170">
        <v>160</v>
      </c>
    </row>
    <row r="860" spans="1:6" hidden="1" x14ac:dyDescent="0.25">
      <c r="A860" s="169">
        <v>43817</v>
      </c>
      <c r="B860" s="80" t="s">
        <v>3521</v>
      </c>
      <c r="C860" s="80" t="s">
        <v>148</v>
      </c>
      <c r="D860" s="80" t="s">
        <v>126</v>
      </c>
      <c r="E860" s="80" t="s">
        <v>153</v>
      </c>
      <c r="F860" s="170">
        <v>160</v>
      </c>
    </row>
    <row r="861" spans="1:6" hidden="1" x14ac:dyDescent="0.25">
      <c r="A861" s="169">
        <v>43817</v>
      </c>
      <c r="B861" s="80" t="s">
        <v>3527</v>
      </c>
      <c r="C861" s="80" t="s">
        <v>148</v>
      </c>
      <c r="D861" s="80" t="s">
        <v>126</v>
      </c>
      <c r="E861" s="80" t="s">
        <v>131</v>
      </c>
      <c r="F861" s="170">
        <v>160</v>
      </c>
    </row>
    <row r="862" spans="1:6" hidden="1" x14ac:dyDescent="0.25">
      <c r="A862" s="169">
        <v>43819</v>
      </c>
      <c r="B862" s="80" t="s">
        <v>3539</v>
      </c>
      <c r="C862" s="80" t="s">
        <v>167</v>
      </c>
      <c r="D862" s="80" t="s">
        <v>126</v>
      </c>
      <c r="E862" s="80" t="s">
        <v>131</v>
      </c>
      <c r="F862" s="170">
        <v>160</v>
      </c>
    </row>
    <row r="863" spans="1:6" hidden="1" x14ac:dyDescent="0.25">
      <c r="A863" s="169">
        <v>43821</v>
      </c>
      <c r="B863" s="80" t="s">
        <v>3560</v>
      </c>
      <c r="C863" s="80" t="s">
        <v>189</v>
      </c>
      <c r="D863" s="80" t="s">
        <v>126</v>
      </c>
      <c r="E863" s="80" t="s">
        <v>134</v>
      </c>
      <c r="F863" s="170">
        <v>160</v>
      </c>
    </row>
    <row r="864" spans="1:6" hidden="1" x14ac:dyDescent="0.25">
      <c r="A864" s="169">
        <v>43821</v>
      </c>
      <c r="B864" s="80" t="s">
        <v>3561</v>
      </c>
      <c r="C864" s="80" t="s">
        <v>138</v>
      </c>
      <c r="D864" s="80" t="s">
        <v>126</v>
      </c>
      <c r="E864" s="80" t="s">
        <v>121</v>
      </c>
      <c r="F864" s="170">
        <v>160</v>
      </c>
    </row>
    <row r="865" spans="1:6" hidden="1" x14ac:dyDescent="0.25">
      <c r="A865" s="169">
        <v>43821</v>
      </c>
      <c r="B865" s="80" t="s">
        <v>3563</v>
      </c>
      <c r="C865" s="80" t="s">
        <v>157</v>
      </c>
      <c r="D865" s="80" t="s">
        <v>126</v>
      </c>
      <c r="E865" s="80" t="s">
        <v>134</v>
      </c>
      <c r="F865" s="170">
        <v>160</v>
      </c>
    </row>
    <row r="866" spans="1:6" hidden="1" x14ac:dyDescent="0.25">
      <c r="A866" s="169">
        <v>43823</v>
      </c>
      <c r="B866" s="80" t="s">
        <v>3574</v>
      </c>
      <c r="C866" s="80" t="s">
        <v>119</v>
      </c>
      <c r="D866" s="80" t="s">
        <v>126</v>
      </c>
      <c r="E866" s="80" t="s">
        <v>153</v>
      </c>
      <c r="F866" s="170">
        <v>160</v>
      </c>
    </row>
    <row r="867" spans="1:6" hidden="1" x14ac:dyDescent="0.25">
      <c r="A867" s="169">
        <v>43823</v>
      </c>
      <c r="B867" s="80" t="s">
        <v>3575</v>
      </c>
      <c r="C867" s="80" t="s">
        <v>152</v>
      </c>
      <c r="D867" s="80" t="s">
        <v>126</v>
      </c>
      <c r="E867" s="80" t="s">
        <v>134</v>
      </c>
      <c r="F867" s="170">
        <v>160</v>
      </c>
    </row>
    <row r="868" spans="1:6" hidden="1" x14ac:dyDescent="0.25">
      <c r="A868" s="169">
        <v>43823</v>
      </c>
      <c r="B868" s="80" t="s">
        <v>3579</v>
      </c>
      <c r="C868" s="80" t="s">
        <v>223</v>
      </c>
      <c r="D868" s="80" t="s">
        <v>126</v>
      </c>
      <c r="E868" s="80" t="s">
        <v>131</v>
      </c>
      <c r="F868" s="170">
        <v>160</v>
      </c>
    </row>
    <row r="869" spans="1:6" hidden="1" x14ac:dyDescent="0.25">
      <c r="A869" s="169">
        <v>43823</v>
      </c>
      <c r="B869" s="80" t="s">
        <v>3580</v>
      </c>
      <c r="C869" s="80" t="s">
        <v>187</v>
      </c>
      <c r="D869" s="80" t="s">
        <v>126</v>
      </c>
      <c r="E869" s="80" t="s">
        <v>131</v>
      </c>
      <c r="F869" s="170">
        <v>160</v>
      </c>
    </row>
    <row r="870" spans="1:6" hidden="1" x14ac:dyDescent="0.25">
      <c r="A870" s="169">
        <v>43824</v>
      </c>
      <c r="B870" s="80" t="s">
        <v>3585</v>
      </c>
      <c r="C870" s="80" t="s">
        <v>157</v>
      </c>
      <c r="D870" s="80" t="s">
        <v>126</v>
      </c>
      <c r="E870" s="80" t="s">
        <v>131</v>
      </c>
      <c r="F870" s="170">
        <v>160</v>
      </c>
    </row>
    <row r="871" spans="1:6" hidden="1" x14ac:dyDescent="0.25">
      <c r="A871" s="169">
        <v>43824</v>
      </c>
      <c r="B871" s="80" t="s">
        <v>3588</v>
      </c>
      <c r="C871" s="80" t="s">
        <v>123</v>
      </c>
      <c r="D871" s="80" t="s">
        <v>126</v>
      </c>
      <c r="E871" s="80" t="s">
        <v>153</v>
      </c>
      <c r="F871" s="170">
        <v>160</v>
      </c>
    </row>
    <row r="872" spans="1:6" hidden="1" x14ac:dyDescent="0.25">
      <c r="A872" s="169">
        <v>43825</v>
      </c>
      <c r="B872" s="80" t="s">
        <v>3592</v>
      </c>
      <c r="C872" s="80" t="s">
        <v>164</v>
      </c>
      <c r="D872" s="80" t="s">
        <v>126</v>
      </c>
      <c r="E872" s="80" t="s">
        <v>153</v>
      </c>
      <c r="F872" s="170">
        <v>160</v>
      </c>
    </row>
    <row r="873" spans="1:6" hidden="1" x14ac:dyDescent="0.25">
      <c r="A873" s="169">
        <v>43826</v>
      </c>
      <c r="B873" s="80" t="s">
        <v>3600</v>
      </c>
      <c r="C873" s="80" t="s">
        <v>119</v>
      </c>
      <c r="D873" s="80" t="s">
        <v>126</v>
      </c>
      <c r="E873" s="80" t="s">
        <v>121</v>
      </c>
      <c r="F873" s="170">
        <v>160</v>
      </c>
    </row>
    <row r="874" spans="1:6" hidden="1" x14ac:dyDescent="0.25">
      <c r="A874" s="169">
        <v>43826</v>
      </c>
      <c r="B874" s="80" t="s">
        <v>3605</v>
      </c>
      <c r="C874" s="80" t="s">
        <v>182</v>
      </c>
      <c r="D874" s="80" t="s">
        <v>126</v>
      </c>
      <c r="E874" s="80" t="s">
        <v>131</v>
      </c>
      <c r="F874" s="170">
        <v>160</v>
      </c>
    </row>
    <row r="875" spans="1:6" hidden="1" x14ac:dyDescent="0.25">
      <c r="A875" s="169">
        <v>43827</v>
      </c>
      <c r="B875" s="80" t="s">
        <v>3607</v>
      </c>
      <c r="C875" s="80" t="s">
        <v>182</v>
      </c>
      <c r="D875" s="80" t="s">
        <v>126</v>
      </c>
      <c r="E875" s="80" t="s">
        <v>134</v>
      </c>
      <c r="F875" s="170">
        <v>160</v>
      </c>
    </row>
    <row r="876" spans="1:6" hidden="1" x14ac:dyDescent="0.25">
      <c r="A876" s="169">
        <v>43827</v>
      </c>
      <c r="B876" s="80" t="s">
        <v>3611</v>
      </c>
      <c r="C876" s="80" t="s">
        <v>164</v>
      </c>
      <c r="D876" s="80" t="s">
        <v>126</v>
      </c>
      <c r="E876" s="80" t="s">
        <v>121</v>
      </c>
      <c r="F876" s="170">
        <v>160</v>
      </c>
    </row>
    <row r="877" spans="1:6" hidden="1" x14ac:dyDescent="0.25">
      <c r="A877" s="169">
        <v>43829</v>
      </c>
      <c r="B877" s="80" t="s">
        <v>3637</v>
      </c>
      <c r="C877" s="80" t="s">
        <v>143</v>
      </c>
      <c r="D877" s="80" t="s">
        <v>126</v>
      </c>
      <c r="E877" s="80" t="s">
        <v>121</v>
      </c>
      <c r="F877" s="170">
        <v>160</v>
      </c>
    </row>
    <row r="878" spans="1:6" hidden="1" x14ac:dyDescent="0.25">
      <c r="A878" s="169">
        <v>43830</v>
      </c>
      <c r="B878" s="80" t="s">
        <v>3641</v>
      </c>
      <c r="C878" s="80" t="s">
        <v>145</v>
      </c>
      <c r="D878" s="80" t="s">
        <v>126</v>
      </c>
      <c r="E878" s="80" t="s">
        <v>127</v>
      </c>
      <c r="F878" s="170">
        <v>160</v>
      </c>
    </row>
    <row r="879" spans="1:6" hidden="1" x14ac:dyDescent="0.25">
      <c r="A879" s="169">
        <v>43467</v>
      </c>
      <c r="B879" s="80" t="s">
        <v>158</v>
      </c>
      <c r="C879" s="80" t="s">
        <v>125</v>
      </c>
      <c r="D879" s="80" t="s">
        <v>159</v>
      </c>
      <c r="E879" s="80" t="s">
        <v>127</v>
      </c>
      <c r="F879" s="170">
        <v>150</v>
      </c>
    </row>
    <row r="880" spans="1:6" hidden="1" x14ac:dyDescent="0.25">
      <c r="A880" s="169">
        <v>43468</v>
      </c>
      <c r="B880" s="80" t="s">
        <v>169</v>
      </c>
      <c r="C880" s="80" t="s">
        <v>167</v>
      </c>
      <c r="D880" s="80" t="s">
        <v>159</v>
      </c>
      <c r="E880" s="80" t="s">
        <v>127</v>
      </c>
      <c r="F880" s="170">
        <v>150</v>
      </c>
    </row>
    <row r="881" spans="1:6" hidden="1" x14ac:dyDescent="0.25">
      <c r="A881" s="169">
        <v>43469</v>
      </c>
      <c r="B881" s="80" t="s">
        <v>173</v>
      </c>
      <c r="C881" s="80" t="s">
        <v>138</v>
      </c>
      <c r="D881" s="80" t="s">
        <v>159</v>
      </c>
      <c r="E881" s="80" t="s">
        <v>127</v>
      </c>
      <c r="F881" s="170">
        <v>150</v>
      </c>
    </row>
    <row r="882" spans="1:6" hidden="1" x14ac:dyDescent="0.25">
      <c r="A882" s="169">
        <v>43469</v>
      </c>
      <c r="B882" s="80" t="s">
        <v>180</v>
      </c>
      <c r="C882" s="80" t="s">
        <v>167</v>
      </c>
      <c r="D882" s="80" t="s">
        <v>159</v>
      </c>
      <c r="E882" s="80" t="s">
        <v>134</v>
      </c>
      <c r="F882" s="170">
        <v>150</v>
      </c>
    </row>
    <row r="883" spans="1:6" hidden="1" x14ac:dyDescent="0.25">
      <c r="A883" s="169">
        <v>43470</v>
      </c>
      <c r="B883" s="80" t="s">
        <v>194</v>
      </c>
      <c r="C883" s="80" t="s">
        <v>148</v>
      </c>
      <c r="D883" s="80" t="s">
        <v>159</v>
      </c>
      <c r="E883" s="80" t="s">
        <v>153</v>
      </c>
      <c r="F883" s="170">
        <v>150</v>
      </c>
    </row>
    <row r="884" spans="1:6" hidden="1" x14ac:dyDescent="0.25">
      <c r="A884" s="169">
        <v>43472</v>
      </c>
      <c r="B884" s="80" t="s">
        <v>211</v>
      </c>
      <c r="C884" s="80" t="s">
        <v>125</v>
      </c>
      <c r="D884" s="80" t="s">
        <v>159</v>
      </c>
      <c r="E884" s="80" t="s">
        <v>153</v>
      </c>
      <c r="F884" s="170">
        <v>150</v>
      </c>
    </row>
    <row r="885" spans="1:6" hidden="1" x14ac:dyDescent="0.25">
      <c r="A885" s="169">
        <v>43473</v>
      </c>
      <c r="B885" s="80" t="s">
        <v>221</v>
      </c>
      <c r="C885" s="80" t="s">
        <v>148</v>
      </c>
      <c r="D885" s="80" t="s">
        <v>159</v>
      </c>
      <c r="E885" s="80" t="s">
        <v>134</v>
      </c>
      <c r="F885" s="170">
        <v>150</v>
      </c>
    </row>
    <row r="886" spans="1:6" hidden="1" x14ac:dyDescent="0.25">
      <c r="A886" s="169">
        <v>43474</v>
      </c>
      <c r="B886" s="80" t="s">
        <v>232</v>
      </c>
      <c r="C886" s="80" t="s">
        <v>152</v>
      </c>
      <c r="D886" s="80" t="s">
        <v>159</v>
      </c>
      <c r="E886" s="80" t="s">
        <v>134</v>
      </c>
      <c r="F886" s="170">
        <v>150</v>
      </c>
    </row>
    <row r="887" spans="1:6" hidden="1" x14ac:dyDescent="0.25">
      <c r="A887" s="169">
        <v>43475</v>
      </c>
      <c r="B887" s="80" t="s">
        <v>238</v>
      </c>
      <c r="C887" s="80" t="s">
        <v>167</v>
      </c>
      <c r="D887" s="80" t="s">
        <v>159</v>
      </c>
      <c r="E887" s="80" t="s">
        <v>134</v>
      </c>
      <c r="F887" s="170">
        <v>150</v>
      </c>
    </row>
    <row r="888" spans="1:6" hidden="1" x14ac:dyDescent="0.25">
      <c r="A888" s="169">
        <v>43475</v>
      </c>
      <c r="B888" s="80" t="s">
        <v>239</v>
      </c>
      <c r="C888" s="80" t="s">
        <v>143</v>
      </c>
      <c r="D888" s="80" t="s">
        <v>159</v>
      </c>
      <c r="E888" s="80" t="s">
        <v>153</v>
      </c>
      <c r="F888" s="170">
        <v>150</v>
      </c>
    </row>
    <row r="889" spans="1:6" hidden="1" x14ac:dyDescent="0.25">
      <c r="A889" s="169">
        <v>43475</v>
      </c>
      <c r="B889" s="80" t="s">
        <v>243</v>
      </c>
      <c r="C889" s="80" t="s">
        <v>136</v>
      </c>
      <c r="D889" s="80" t="s">
        <v>159</v>
      </c>
      <c r="E889" s="80" t="s">
        <v>121</v>
      </c>
      <c r="F889" s="170">
        <v>150</v>
      </c>
    </row>
    <row r="890" spans="1:6" hidden="1" x14ac:dyDescent="0.25">
      <c r="A890" s="169">
        <v>43476</v>
      </c>
      <c r="B890" s="80" t="s">
        <v>248</v>
      </c>
      <c r="C890" s="80" t="s">
        <v>167</v>
      </c>
      <c r="D890" s="80" t="s">
        <v>159</v>
      </c>
      <c r="E890" s="80" t="s">
        <v>121</v>
      </c>
      <c r="F890" s="170">
        <v>150</v>
      </c>
    </row>
    <row r="891" spans="1:6" hidden="1" x14ac:dyDescent="0.25">
      <c r="A891" s="169">
        <v>43476</v>
      </c>
      <c r="B891" s="80" t="s">
        <v>249</v>
      </c>
      <c r="C891" s="80" t="s">
        <v>167</v>
      </c>
      <c r="D891" s="80" t="s">
        <v>159</v>
      </c>
      <c r="E891" s="80" t="s">
        <v>121</v>
      </c>
      <c r="F891" s="170">
        <v>150</v>
      </c>
    </row>
    <row r="892" spans="1:6" hidden="1" x14ac:dyDescent="0.25">
      <c r="A892" s="169">
        <v>43477</v>
      </c>
      <c r="B892" s="80" t="s">
        <v>262</v>
      </c>
      <c r="C892" s="80" t="s">
        <v>157</v>
      </c>
      <c r="D892" s="80" t="s">
        <v>159</v>
      </c>
      <c r="E892" s="80" t="s">
        <v>134</v>
      </c>
      <c r="F892" s="170">
        <v>150</v>
      </c>
    </row>
    <row r="893" spans="1:6" hidden="1" x14ac:dyDescent="0.25">
      <c r="A893" s="169">
        <v>43477</v>
      </c>
      <c r="B893" s="80" t="s">
        <v>267</v>
      </c>
      <c r="C893" s="80" t="s">
        <v>157</v>
      </c>
      <c r="D893" s="80" t="s">
        <v>159</v>
      </c>
      <c r="E893" s="80" t="s">
        <v>127</v>
      </c>
      <c r="F893" s="170">
        <v>150</v>
      </c>
    </row>
    <row r="894" spans="1:6" hidden="1" x14ac:dyDescent="0.25">
      <c r="A894" s="169">
        <v>43478</v>
      </c>
      <c r="B894" s="80" t="s">
        <v>274</v>
      </c>
      <c r="C894" s="80" t="s">
        <v>129</v>
      </c>
      <c r="D894" s="80" t="s">
        <v>159</v>
      </c>
      <c r="E894" s="80" t="s">
        <v>127</v>
      </c>
      <c r="F894" s="170">
        <v>150</v>
      </c>
    </row>
    <row r="895" spans="1:6" hidden="1" x14ac:dyDescent="0.25">
      <c r="A895" s="169">
        <v>43478</v>
      </c>
      <c r="B895" s="80" t="s">
        <v>276</v>
      </c>
      <c r="C895" s="80" t="s">
        <v>223</v>
      </c>
      <c r="D895" s="80" t="s">
        <v>159</v>
      </c>
      <c r="E895" s="80" t="s">
        <v>121</v>
      </c>
      <c r="F895" s="170">
        <v>150</v>
      </c>
    </row>
    <row r="896" spans="1:6" hidden="1" x14ac:dyDescent="0.25">
      <c r="A896" s="169">
        <v>43478</v>
      </c>
      <c r="B896" s="80" t="s">
        <v>278</v>
      </c>
      <c r="C896" s="80" t="s">
        <v>136</v>
      </c>
      <c r="D896" s="80" t="s">
        <v>159</v>
      </c>
      <c r="E896" s="80" t="s">
        <v>153</v>
      </c>
      <c r="F896" s="170">
        <v>150</v>
      </c>
    </row>
    <row r="897" spans="1:6" hidden="1" x14ac:dyDescent="0.25">
      <c r="A897" s="169">
        <v>43479</v>
      </c>
      <c r="B897" s="80" t="s">
        <v>283</v>
      </c>
      <c r="C897" s="80" t="s">
        <v>125</v>
      </c>
      <c r="D897" s="80" t="s">
        <v>159</v>
      </c>
      <c r="E897" s="80" t="s">
        <v>134</v>
      </c>
      <c r="F897" s="170">
        <v>150</v>
      </c>
    </row>
    <row r="898" spans="1:6" hidden="1" x14ac:dyDescent="0.25">
      <c r="A898" s="169">
        <v>43479</v>
      </c>
      <c r="B898" s="80" t="s">
        <v>284</v>
      </c>
      <c r="C898" s="80" t="s">
        <v>143</v>
      </c>
      <c r="D898" s="80" t="s">
        <v>159</v>
      </c>
      <c r="E898" s="80" t="s">
        <v>127</v>
      </c>
      <c r="F898" s="170">
        <v>150</v>
      </c>
    </row>
    <row r="899" spans="1:6" hidden="1" x14ac:dyDescent="0.25">
      <c r="A899" s="169">
        <v>43480</v>
      </c>
      <c r="B899" s="80" t="s">
        <v>293</v>
      </c>
      <c r="C899" s="80" t="s">
        <v>152</v>
      </c>
      <c r="D899" s="80" t="s">
        <v>159</v>
      </c>
      <c r="E899" s="80" t="s">
        <v>127</v>
      </c>
      <c r="F899" s="170">
        <v>150</v>
      </c>
    </row>
    <row r="900" spans="1:6" hidden="1" x14ac:dyDescent="0.25">
      <c r="A900" s="169">
        <v>43481</v>
      </c>
      <c r="B900" s="80" t="s">
        <v>307</v>
      </c>
      <c r="C900" s="80" t="s">
        <v>157</v>
      </c>
      <c r="D900" s="80" t="s">
        <v>159</v>
      </c>
      <c r="E900" s="80" t="s">
        <v>153</v>
      </c>
      <c r="F900" s="170">
        <v>150</v>
      </c>
    </row>
    <row r="901" spans="1:6" hidden="1" x14ac:dyDescent="0.25">
      <c r="A901" s="169">
        <v>43482</v>
      </c>
      <c r="B901" s="80" t="s">
        <v>316</v>
      </c>
      <c r="C901" s="80" t="s">
        <v>138</v>
      </c>
      <c r="D901" s="80" t="s">
        <v>159</v>
      </c>
      <c r="E901" s="80" t="s">
        <v>121</v>
      </c>
      <c r="F901" s="170">
        <v>150</v>
      </c>
    </row>
    <row r="902" spans="1:6" hidden="1" x14ac:dyDescent="0.25">
      <c r="A902" s="169">
        <v>43483</v>
      </c>
      <c r="B902" s="80" t="s">
        <v>328</v>
      </c>
      <c r="C902" s="80" t="s">
        <v>187</v>
      </c>
      <c r="D902" s="80" t="s">
        <v>159</v>
      </c>
      <c r="E902" s="80" t="s">
        <v>127</v>
      </c>
      <c r="F902" s="170">
        <v>150</v>
      </c>
    </row>
    <row r="903" spans="1:6" hidden="1" x14ac:dyDescent="0.25">
      <c r="A903" s="169">
        <v>43483</v>
      </c>
      <c r="B903" s="80" t="s">
        <v>331</v>
      </c>
      <c r="C903" s="80" t="s">
        <v>143</v>
      </c>
      <c r="D903" s="80" t="s">
        <v>159</v>
      </c>
      <c r="E903" s="80" t="s">
        <v>127</v>
      </c>
      <c r="F903" s="170">
        <v>150</v>
      </c>
    </row>
    <row r="904" spans="1:6" hidden="1" x14ac:dyDescent="0.25">
      <c r="A904" s="169">
        <v>43484</v>
      </c>
      <c r="B904" s="80" t="s">
        <v>336</v>
      </c>
      <c r="C904" s="80" t="s">
        <v>145</v>
      </c>
      <c r="D904" s="80" t="s">
        <v>159</v>
      </c>
      <c r="E904" s="80" t="s">
        <v>127</v>
      </c>
      <c r="F904" s="170">
        <v>150</v>
      </c>
    </row>
    <row r="905" spans="1:6" hidden="1" x14ac:dyDescent="0.25">
      <c r="A905" s="169">
        <v>43485</v>
      </c>
      <c r="B905" s="80" t="s">
        <v>346</v>
      </c>
      <c r="C905" s="80" t="s">
        <v>182</v>
      </c>
      <c r="D905" s="80" t="s">
        <v>159</v>
      </c>
      <c r="E905" s="80" t="s">
        <v>121</v>
      </c>
      <c r="F905" s="170">
        <v>150</v>
      </c>
    </row>
    <row r="906" spans="1:6" hidden="1" x14ac:dyDescent="0.25">
      <c r="A906" s="169">
        <v>43486</v>
      </c>
      <c r="B906" s="80" t="s">
        <v>357</v>
      </c>
      <c r="C906" s="80" t="s">
        <v>223</v>
      </c>
      <c r="D906" s="80" t="s">
        <v>159</v>
      </c>
      <c r="E906" s="80" t="s">
        <v>153</v>
      </c>
      <c r="F906" s="170">
        <v>150</v>
      </c>
    </row>
    <row r="907" spans="1:6" hidden="1" x14ac:dyDescent="0.25">
      <c r="A907" s="169">
        <v>43486</v>
      </c>
      <c r="B907" s="80" t="s">
        <v>361</v>
      </c>
      <c r="C907" s="80" t="s">
        <v>189</v>
      </c>
      <c r="D907" s="80" t="s">
        <v>159</v>
      </c>
      <c r="E907" s="80" t="s">
        <v>131</v>
      </c>
      <c r="F907" s="170">
        <v>150</v>
      </c>
    </row>
    <row r="908" spans="1:6" hidden="1" x14ac:dyDescent="0.25">
      <c r="A908" s="169">
        <v>43486</v>
      </c>
      <c r="B908" s="80" t="s">
        <v>362</v>
      </c>
      <c r="C908" s="80" t="s">
        <v>157</v>
      </c>
      <c r="D908" s="80" t="s">
        <v>159</v>
      </c>
      <c r="E908" s="80" t="s">
        <v>134</v>
      </c>
      <c r="F908" s="170">
        <v>150</v>
      </c>
    </row>
    <row r="909" spans="1:6" hidden="1" x14ac:dyDescent="0.25">
      <c r="A909" s="169">
        <v>43487</v>
      </c>
      <c r="B909" s="80" t="s">
        <v>367</v>
      </c>
      <c r="C909" s="80" t="s">
        <v>119</v>
      </c>
      <c r="D909" s="80" t="s">
        <v>159</v>
      </c>
      <c r="E909" s="80" t="s">
        <v>131</v>
      </c>
      <c r="F909" s="170">
        <v>150</v>
      </c>
    </row>
    <row r="910" spans="1:6" hidden="1" x14ac:dyDescent="0.25">
      <c r="A910" s="169">
        <v>43487</v>
      </c>
      <c r="B910" s="80" t="s">
        <v>370</v>
      </c>
      <c r="C910" s="80" t="s">
        <v>129</v>
      </c>
      <c r="D910" s="80" t="s">
        <v>159</v>
      </c>
      <c r="E910" s="80" t="s">
        <v>134</v>
      </c>
      <c r="F910" s="170">
        <v>150</v>
      </c>
    </row>
    <row r="911" spans="1:6" hidden="1" x14ac:dyDescent="0.25">
      <c r="A911" s="169">
        <v>43487</v>
      </c>
      <c r="B911" s="80" t="s">
        <v>372</v>
      </c>
      <c r="C911" s="80" t="s">
        <v>164</v>
      </c>
      <c r="D911" s="80" t="s">
        <v>159</v>
      </c>
      <c r="E911" s="80" t="s">
        <v>127</v>
      </c>
      <c r="F911" s="170">
        <v>150</v>
      </c>
    </row>
    <row r="912" spans="1:6" hidden="1" x14ac:dyDescent="0.25">
      <c r="A912" s="169">
        <v>43488</v>
      </c>
      <c r="B912" s="80" t="s">
        <v>376</v>
      </c>
      <c r="C912" s="80" t="s">
        <v>136</v>
      </c>
      <c r="D912" s="80" t="s">
        <v>159</v>
      </c>
      <c r="E912" s="80" t="s">
        <v>121</v>
      </c>
      <c r="F912" s="170">
        <v>150</v>
      </c>
    </row>
    <row r="913" spans="1:6" hidden="1" x14ac:dyDescent="0.25">
      <c r="A913" s="169">
        <v>43489</v>
      </c>
      <c r="B913" s="80" t="s">
        <v>385</v>
      </c>
      <c r="C913" s="80" t="s">
        <v>129</v>
      </c>
      <c r="D913" s="80" t="s">
        <v>159</v>
      </c>
      <c r="E913" s="80" t="s">
        <v>134</v>
      </c>
      <c r="F913" s="170">
        <v>150</v>
      </c>
    </row>
    <row r="914" spans="1:6" hidden="1" x14ac:dyDescent="0.25">
      <c r="A914" s="169">
        <v>43489</v>
      </c>
      <c r="B914" s="80" t="s">
        <v>393</v>
      </c>
      <c r="C914" s="80" t="s">
        <v>167</v>
      </c>
      <c r="D914" s="80" t="s">
        <v>159</v>
      </c>
      <c r="E914" s="80" t="s">
        <v>131</v>
      </c>
      <c r="F914" s="170">
        <v>150</v>
      </c>
    </row>
    <row r="915" spans="1:6" hidden="1" x14ac:dyDescent="0.25">
      <c r="A915" s="169">
        <v>43489</v>
      </c>
      <c r="B915" s="80" t="s">
        <v>394</v>
      </c>
      <c r="C915" s="80" t="s">
        <v>152</v>
      </c>
      <c r="D915" s="80" t="s">
        <v>159</v>
      </c>
      <c r="E915" s="80" t="s">
        <v>127</v>
      </c>
      <c r="F915" s="170">
        <v>150</v>
      </c>
    </row>
    <row r="916" spans="1:6" hidden="1" x14ac:dyDescent="0.25">
      <c r="A916" s="169">
        <v>43490</v>
      </c>
      <c r="B916" s="80" t="s">
        <v>401</v>
      </c>
      <c r="C916" s="80" t="s">
        <v>152</v>
      </c>
      <c r="D916" s="80" t="s">
        <v>159</v>
      </c>
      <c r="E916" s="80" t="s">
        <v>134</v>
      </c>
      <c r="F916" s="170">
        <v>150</v>
      </c>
    </row>
    <row r="917" spans="1:6" hidden="1" x14ac:dyDescent="0.25">
      <c r="A917" s="169">
        <v>43490</v>
      </c>
      <c r="B917" s="80" t="s">
        <v>403</v>
      </c>
      <c r="C917" s="80" t="s">
        <v>119</v>
      </c>
      <c r="D917" s="80" t="s">
        <v>159</v>
      </c>
      <c r="E917" s="80" t="s">
        <v>127</v>
      </c>
      <c r="F917" s="170">
        <v>150</v>
      </c>
    </row>
    <row r="918" spans="1:6" hidden="1" x14ac:dyDescent="0.25">
      <c r="A918" s="169">
        <v>43490</v>
      </c>
      <c r="B918" s="80" t="s">
        <v>406</v>
      </c>
      <c r="C918" s="80" t="s">
        <v>123</v>
      </c>
      <c r="D918" s="80" t="s">
        <v>159</v>
      </c>
      <c r="E918" s="80" t="s">
        <v>131</v>
      </c>
      <c r="F918" s="170">
        <v>150</v>
      </c>
    </row>
    <row r="919" spans="1:6" hidden="1" x14ac:dyDescent="0.25">
      <c r="A919" s="169">
        <v>43490</v>
      </c>
      <c r="B919" s="80" t="s">
        <v>408</v>
      </c>
      <c r="C919" s="80" t="s">
        <v>157</v>
      </c>
      <c r="D919" s="80" t="s">
        <v>159</v>
      </c>
      <c r="E919" s="80" t="s">
        <v>153</v>
      </c>
      <c r="F919" s="170">
        <v>150</v>
      </c>
    </row>
    <row r="920" spans="1:6" hidden="1" x14ac:dyDescent="0.25">
      <c r="A920" s="169">
        <v>43490</v>
      </c>
      <c r="B920" s="80" t="s">
        <v>409</v>
      </c>
      <c r="C920" s="80" t="s">
        <v>157</v>
      </c>
      <c r="D920" s="80" t="s">
        <v>159</v>
      </c>
      <c r="E920" s="80" t="s">
        <v>127</v>
      </c>
      <c r="F920" s="170">
        <v>150</v>
      </c>
    </row>
    <row r="921" spans="1:6" hidden="1" x14ac:dyDescent="0.25">
      <c r="A921" s="169">
        <v>43490</v>
      </c>
      <c r="B921" s="80" t="s">
        <v>411</v>
      </c>
      <c r="C921" s="80" t="s">
        <v>164</v>
      </c>
      <c r="D921" s="80" t="s">
        <v>159</v>
      </c>
      <c r="E921" s="80" t="s">
        <v>127</v>
      </c>
      <c r="F921" s="170">
        <v>150</v>
      </c>
    </row>
    <row r="922" spans="1:6" hidden="1" x14ac:dyDescent="0.25">
      <c r="A922" s="169">
        <v>43490</v>
      </c>
      <c r="B922" s="80" t="s">
        <v>412</v>
      </c>
      <c r="C922" s="80" t="s">
        <v>138</v>
      </c>
      <c r="D922" s="80" t="s">
        <v>159</v>
      </c>
      <c r="E922" s="80" t="s">
        <v>127</v>
      </c>
      <c r="F922" s="170">
        <v>150</v>
      </c>
    </row>
    <row r="923" spans="1:6" hidden="1" x14ac:dyDescent="0.25">
      <c r="A923" s="169">
        <v>43491</v>
      </c>
      <c r="B923" s="80" t="s">
        <v>414</v>
      </c>
      <c r="C923" s="80" t="s">
        <v>125</v>
      </c>
      <c r="D923" s="80" t="s">
        <v>159</v>
      </c>
      <c r="E923" s="80" t="s">
        <v>127</v>
      </c>
      <c r="F923" s="170">
        <v>150</v>
      </c>
    </row>
    <row r="924" spans="1:6" hidden="1" x14ac:dyDescent="0.25">
      <c r="A924" s="169">
        <v>43492</v>
      </c>
      <c r="B924" s="80" t="s">
        <v>422</v>
      </c>
      <c r="C924" s="80" t="s">
        <v>138</v>
      </c>
      <c r="D924" s="80" t="s">
        <v>159</v>
      </c>
      <c r="E924" s="80" t="s">
        <v>153</v>
      </c>
      <c r="F924" s="170">
        <v>150</v>
      </c>
    </row>
    <row r="925" spans="1:6" hidden="1" x14ac:dyDescent="0.25">
      <c r="A925" s="169">
        <v>43492</v>
      </c>
      <c r="B925" s="80" t="s">
        <v>425</v>
      </c>
      <c r="C925" s="80" t="s">
        <v>182</v>
      </c>
      <c r="D925" s="80" t="s">
        <v>159</v>
      </c>
      <c r="E925" s="80" t="s">
        <v>121</v>
      </c>
      <c r="F925" s="170">
        <v>150</v>
      </c>
    </row>
    <row r="926" spans="1:6" hidden="1" x14ac:dyDescent="0.25">
      <c r="A926" s="169">
        <v>43492</v>
      </c>
      <c r="B926" s="80" t="s">
        <v>431</v>
      </c>
      <c r="C926" s="80" t="s">
        <v>129</v>
      </c>
      <c r="D926" s="80" t="s">
        <v>159</v>
      </c>
      <c r="E926" s="80" t="s">
        <v>153</v>
      </c>
      <c r="F926" s="170">
        <v>150</v>
      </c>
    </row>
    <row r="927" spans="1:6" hidden="1" x14ac:dyDescent="0.25">
      <c r="A927" s="169">
        <v>43493</v>
      </c>
      <c r="B927" s="80" t="s">
        <v>436</v>
      </c>
      <c r="C927" s="80" t="s">
        <v>138</v>
      </c>
      <c r="D927" s="80" t="s">
        <v>159</v>
      </c>
      <c r="E927" s="80" t="s">
        <v>131</v>
      </c>
      <c r="F927" s="170">
        <v>150</v>
      </c>
    </row>
    <row r="928" spans="1:6" hidden="1" x14ac:dyDescent="0.25">
      <c r="A928" s="169">
        <v>43494</v>
      </c>
      <c r="B928" s="80" t="s">
        <v>444</v>
      </c>
      <c r="C928" s="80" t="s">
        <v>138</v>
      </c>
      <c r="D928" s="80" t="s">
        <v>159</v>
      </c>
      <c r="E928" s="80" t="s">
        <v>134</v>
      </c>
      <c r="F928" s="170">
        <v>150</v>
      </c>
    </row>
    <row r="929" spans="1:6" hidden="1" x14ac:dyDescent="0.25">
      <c r="A929" s="169">
        <v>43494</v>
      </c>
      <c r="B929" s="80" t="s">
        <v>445</v>
      </c>
      <c r="C929" s="80" t="s">
        <v>152</v>
      </c>
      <c r="D929" s="80" t="s">
        <v>159</v>
      </c>
      <c r="E929" s="80" t="s">
        <v>127</v>
      </c>
      <c r="F929" s="170">
        <v>150</v>
      </c>
    </row>
    <row r="930" spans="1:6" hidden="1" x14ac:dyDescent="0.25">
      <c r="A930" s="169">
        <v>43495</v>
      </c>
      <c r="B930" s="80" t="s">
        <v>449</v>
      </c>
      <c r="C930" s="80" t="s">
        <v>145</v>
      </c>
      <c r="D930" s="80" t="s">
        <v>159</v>
      </c>
      <c r="E930" s="80" t="s">
        <v>131</v>
      </c>
      <c r="F930" s="170">
        <v>150</v>
      </c>
    </row>
    <row r="931" spans="1:6" hidden="1" x14ac:dyDescent="0.25">
      <c r="A931" s="169">
        <v>43495</v>
      </c>
      <c r="B931" s="80" t="s">
        <v>458</v>
      </c>
      <c r="C931" s="80" t="s">
        <v>167</v>
      </c>
      <c r="D931" s="80" t="s">
        <v>159</v>
      </c>
      <c r="E931" s="80" t="s">
        <v>121</v>
      </c>
      <c r="F931" s="170">
        <v>150</v>
      </c>
    </row>
    <row r="932" spans="1:6" hidden="1" x14ac:dyDescent="0.25">
      <c r="A932" s="169">
        <v>43495</v>
      </c>
      <c r="B932" s="80" t="s">
        <v>461</v>
      </c>
      <c r="C932" s="80" t="s">
        <v>182</v>
      </c>
      <c r="D932" s="80" t="s">
        <v>159</v>
      </c>
      <c r="E932" s="80" t="s">
        <v>153</v>
      </c>
      <c r="F932" s="170">
        <v>150</v>
      </c>
    </row>
    <row r="933" spans="1:6" hidden="1" x14ac:dyDescent="0.25">
      <c r="A933" s="169">
        <v>43495</v>
      </c>
      <c r="B933" s="80" t="s">
        <v>463</v>
      </c>
      <c r="C933" s="80" t="s">
        <v>129</v>
      </c>
      <c r="D933" s="80" t="s">
        <v>159</v>
      </c>
      <c r="E933" s="80" t="s">
        <v>131</v>
      </c>
      <c r="F933" s="170">
        <v>150</v>
      </c>
    </row>
    <row r="934" spans="1:6" hidden="1" x14ac:dyDescent="0.25">
      <c r="A934" s="169">
        <v>43497</v>
      </c>
      <c r="B934" s="80" t="s">
        <v>472</v>
      </c>
      <c r="C934" s="80" t="s">
        <v>148</v>
      </c>
      <c r="D934" s="80" t="s">
        <v>159</v>
      </c>
      <c r="E934" s="80" t="s">
        <v>134</v>
      </c>
      <c r="F934" s="170">
        <v>150</v>
      </c>
    </row>
    <row r="935" spans="1:6" hidden="1" x14ac:dyDescent="0.25">
      <c r="A935" s="169">
        <v>43498</v>
      </c>
      <c r="B935" s="80" t="s">
        <v>475</v>
      </c>
      <c r="C935" s="80" t="s">
        <v>123</v>
      </c>
      <c r="D935" s="80" t="s">
        <v>159</v>
      </c>
      <c r="E935" s="80" t="s">
        <v>127</v>
      </c>
      <c r="F935" s="170">
        <v>150</v>
      </c>
    </row>
    <row r="936" spans="1:6" hidden="1" x14ac:dyDescent="0.25">
      <c r="A936" s="169">
        <v>43498</v>
      </c>
      <c r="B936" s="80" t="s">
        <v>476</v>
      </c>
      <c r="C936" s="80" t="s">
        <v>143</v>
      </c>
      <c r="D936" s="80" t="s">
        <v>159</v>
      </c>
      <c r="E936" s="80" t="s">
        <v>127</v>
      </c>
      <c r="F936" s="170">
        <v>150</v>
      </c>
    </row>
    <row r="937" spans="1:6" hidden="1" x14ac:dyDescent="0.25">
      <c r="A937" s="169">
        <v>43499</v>
      </c>
      <c r="B937" s="80" t="s">
        <v>483</v>
      </c>
      <c r="C937" s="80" t="s">
        <v>125</v>
      </c>
      <c r="D937" s="80" t="s">
        <v>159</v>
      </c>
      <c r="E937" s="80" t="s">
        <v>131</v>
      </c>
      <c r="F937" s="170">
        <v>150</v>
      </c>
    </row>
    <row r="938" spans="1:6" hidden="1" x14ac:dyDescent="0.25">
      <c r="A938" s="169">
        <v>43499</v>
      </c>
      <c r="B938" s="80" t="s">
        <v>484</v>
      </c>
      <c r="C938" s="80" t="s">
        <v>145</v>
      </c>
      <c r="D938" s="80" t="s">
        <v>159</v>
      </c>
      <c r="E938" s="80" t="s">
        <v>134</v>
      </c>
      <c r="F938" s="170">
        <v>150</v>
      </c>
    </row>
    <row r="939" spans="1:6" hidden="1" x14ac:dyDescent="0.25">
      <c r="A939" s="169">
        <v>43500</v>
      </c>
      <c r="B939" s="80" t="s">
        <v>491</v>
      </c>
      <c r="C939" s="80" t="s">
        <v>148</v>
      </c>
      <c r="D939" s="80" t="s">
        <v>159</v>
      </c>
      <c r="E939" s="80" t="s">
        <v>134</v>
      </c>
      <c r="F939" s="170">
        <v>150</v>
      </c>
    </row>
    <row r="940" spans="1:6" hidden="1" x14ac:dyDescent="0.25">
      <c r="A940" s="169">
        <v>43502</v>
      </c>
      <c r="B940" s="80" t="s">
        <v>504</v>
      </c>
      <c r="C940" s="80" t="s">
        <v>136</v>
      </c>
      <c r="D940" s="80" t="s">
        <v>159</v>
      </c>
      <c r="E940" s="80" t="s">
        <v>134</v>
      </c>
      <c r="F940" s="170">
        <v>150</v>
      </c>
    </row>
    <row r="941" spans="1:6" hidden="1" x14ac:dyDescent="0.25">
      <c r="A941" s="169">
        <v>43502</v>
      </c>
      <c r="B941" s="80" t="s">
        <v>511</v>
      </c>
      <c r="C941" s="80" t="s">
        <v>123</v>
      </c>
      <c r="D941" s="80" t="s">
        <v>159</v>
      </c>
      <c r="E941" s="80" t="s">
        <v>134</v>
      </c>
      <c r="F941" s="170">
        <v>150</v>
      </c>
    </row>
    <row r="942" spans="1:6" hidden="1" x14ac:dyDescent="0.25">
      <c r="A942" s="169">
        <v>43505</v>
      </c>
      <c r="B942" s="80" t="s">
        <v>528</v>
      </c>
      <c r="C942" s="80" t="s">
        <v>189</v>
      </c>
      <c r="D942" s="80" t="s">
        <v>159</v>
      </c>
      <c r="E942" s="80" t="s">
        <v>121</v>
      </c>
      <c r="F942" s="170">
        <v>150</v>
      </c>
    </row>
    <row r="943" spans="1:6" hidden="1" x14ac:dyDescent="0.25">
      <c r="A943" s="169">
        <v>43505</v>
      </c>
      <c r="B943" s="80" t="s">
        <v>529</v>
      </c>
      <c r="C943" s="80" t="s">
        <v>164</v>
      </c>
      <c r="D943" s="80" t="s">
        <v>159</v>
      </c>
      <c r="E943" s="80" t="s">
        <v>131</v>
      </c>
      <c r="F943" s="170">
        <v>150</v>
      </c>
    </row>
    <row r="944" spans="1:6" hidden="1" x14ac:dyDescent="0.25">
      <c r="A944" s="169">
        <v>43505</v>
      </c>
      <c r="B944" s="80" t="s">
        <v>532</v>
      </c>
      <c r="C944" s="80" t="s">
        <v>157</v>
      </c>
      <c r="D944" s="80" t="s">
        <v>159</v>
      </c>
      <c r="E944" s="80" t="s">
        <v>131</v>
      </c>
      <c r="F944" s="170">
        <v>150</v>
      </c>
    </row>
    <row r="945" spans="1:6" hidden="1" x14ac:dyDescent="0.25">
      <c r="A945" s="169">
        <v>43506</v>
      </c>
      <c r="B945" s="80" t="s">
        <v>546</v>
      </c>
      <c r="C945" s="80" t="s">
        <v>138</v>
      </c>
      <c r="D945" s="80" t="s">
        <v>159</v>
      </c>
      <c r="E945" s="80" t="s">
        <v>131</v>
      </c>
      <c r="F945" s="170">
        <v>150</v>
      </c>
    </row>
    <row r="946" spans="1:6" hidden="1" x14ac:dyDescent="0.25">
      <c r="A946" s="169">
        <v>43507</v>
      </c>
      <c r="B946" s="80" t="s">
        <v>548</v>
      </c>
      <c r="C946" s="80" t="s">
        <v>119</v>
      </c>
      <c r="D946" s="80" t="s">
        <v>159</v>
      </c>
      <c r="E946" s="80" t="s">
        <v>131</v>
      </c>
      <c r="F946" s="170">
        <v>150</v>
      </c>
    </row>
    <row r="947" spans="1:6" hidden="1" x14ac:dyDescent="0.25">
      <c r="A947" s="169">
        <v>43507</v>
      </c>
      <c r="B947" s="80" t="s">
        <v>550</v>
      </c>
      <c r="C947" s="80" t="s">
        <v>148</v>
      </c>
      <c r="D947" s="80" t="s">
        <v>159</v>
      </c>
      <c r="E947" s="80" t="s">
        <v>121</v>
      </c>
      <c r="F947" s="170">
        <v>150</v>
      </c>
    </row>
    <row r="948" spans="1:6" hidden="1" x14ac:dyDescent="0.25">
      <c r="A948" s="169">
        <v>43508</v>
      </c>
      <c r="B948" s="80" t="s">
        <v>557</v>
      </c>
      <c r="C948" s="80" t="s">
        <v>187</v>
      </c>
      <c r="D948" s="80" t="s">
        <v>159</v>
      </c>
      <c r="E948" s="80" t="s">
        <v>131</v>
      </c>
      <c r="F948" s="170">
        <v>150</v>
      </c>
    </row>
    <row r="949" spans="1:6" hidden="1" x14ac:dyDescent="0.25">
      <c r="A949" s="169">
        <v>43508</v>
      </c>
      <c r="B949" s="80" t="s">
        <v>560</v>
      </c>
      <c r="C949" s="80" t="s">
        <v>119</v>
      </c>
      <c r="D949" s="80" t="s">
        <v>159</v>
      </c>
      <c r="E949" s="80" t="s">
        <v>153</v>
      </c>
      <c r="F949" s="170">
        <v>150</v>
      </c>
    </row>
    <row r="950" spans="1:6" hidden="1" x14ac:dyDescent="0.25">
      <c r="A950" s="169">
        <v>43514</v>
      </c>
      <c r="B950" s="80" t="s">
        <v>606</v>
      </c>
      <c r="C950" s="80" t="s">
        <v>164</v>
      </c>
      <c r="D950" s="80" t="s">
        <v>159</v>
      </c>
      <c r="E950" s="80" t="s">
        <v>153</v>
      </c>
      <c r="F950" s="170">
        <v>150</v>
      </c>
    </row>
    <row r="951" spans="1:6" hidden="1" x14ac:dyDescent="0.25">
      <c r="A951" s="169">
        <v>43514</v>
      </c>
      <c r="B951" s="80" t="s">
        <v>611</v>
      </c>
      <c r="C951" s="80" t="s">
        <v>125</v>
      </c>
      <c r="D951" s="80" t="s">
        <v>159</v>
      </c>
      <c r="E951" s="80" t="s">
        <v>153</v>
      </c>
      <c r="F951" s="170">
        <v>150</v>
      </c>
    </row>
    <row r="952" spans="1:6" hidden="1" x14ac:dyDescent="0.25">
      <c r="A952" s="169">
        <v>43514</v>
      </c>
      <c r="B952" s="80" t="s">
        <v>614</v>
      </c>
      <c r="C952" s="80" t="s">
        <v>187</v>
      </c>
      <c r="D952" s="80" t="s">
        <v>159</v>
      </c>
      <c r="E952" s="80" t="s">
        <v>127</v>
      </c>
      <c r="F952" s="170">
        <v>150</v>
      </c>
    </row>
    <row r="953" spans="1:6" hidden="1" x14ac:dyDescent="0.25">
      <c r="A953" s="169">
        <v>43517</v>
      </c>
      <c r="B953" s="80" t="s">
        <v>640</v>
      </c>
      <c r="C953" s="80" t="s">
        <v>136</v>
      </c>
      <c r="D953" s="80" t="s">
        <v>159</v>
      </c>
      <c r="E953" s="80" t="s">
        <v>127</v>
      </c>
      <c r="F953" s="170">
        <v>150</v>
      </c>
    </row>
    <row r="954" spans="1:6" hidden="1" x14ac:dyDescent="0.25">
      <c r="A954" s="169">
        <v>43517</v>
      </c>
      <c r="B954" s="80" t="s">
        <v>643</v>
      </c>
      <c r="C954" s="80" t="s">
        <v>157</v>
      </c>
      <c r="D954" s="80" t="s">
        <v>159</v>
      </c>
      <c r="E954" s="80" t="s">
        <v>121</v>
      </c>
      <c r="F954" s="170">
        <v>150</v>
      </c>
    </row>
    <row r="955" spans="1:6" hidden="1" x14ac:dyDescent="0.25">
      <c r="A955" s="169">
        <v>43519</v>
      </c>
      <c r="B955" s="80" t="s">
        <v>656</v>
      </c>
      <c r="C955" s="80" t="s">
        <v>187</v>
      </c>
      <c r="D955" s="80" t="s">
        <v>159</v>
      </c>
      <c r="E955" s="80" t="s">
        <v>127</v>
      </c>
      <c r="F955" s="170">
        <v>150</v>
      </c>
    </row>
    <row r="956" spans="1:6" hidden="1" x14ac:dyDescent="0.25">
      <c r="A956" s="169">
        <v>43519</v>
      </c>
      <c r="B956" s="80" t="s">
        <v>658</v>
      </c>
      <c r="C956" s="80" t="s">
        <v>138</v>
      </c>
      <c r="D956" s="80" t="s">
        <v>159</v>
      </c>
      <c r="E956" s="80" t="s">
        <v>153</v>
      </c>
      <c r="F956" s="170">
        <v>150</v>
      </c>
    </row>
    <row r="957" spans="1:6" hidden="1" x14ac:dyDescent="0.25">
      <c r="A957" s="169">
        <v>43519</v>
      </c>
      <c r="B957" s="80" t="s">
        <v>661</v>
      </c>
      <c r="C957" s="80" t="s">
        <v>189</v>
      </c>
      <c r="D957" s="80" t="s">
        <v>159</v>
      </c>
      <c r="E957" s="80" t="s">
        <v>131</v>
      </c>
      <c r="F957" s="170">
        <v>150</v>
      </c>
    </row>
    <row r="958" spans="1:6" hidden="1" x14ac:dyDescent="0.25">
      <c r="A958" s="169">
        <v>43519</v>
      </c>
      <c r="B958" s="80" t="s">
        <v>663</v>
      </c>
      <c r="C958" s="80" t="s">
        <v>164</v>
      </c>
      <c r="D958" s="80" t="s">
        <v>159</v>
      </c>
      <c r="E958" s="80" t="s">
        <v>127</v>
      </c>
      <c r="F958" s="170">
        <v>150</v>
      </c>
    </row>
    <row r="959" spans="1:6" hidden="1" x14ac:dyDescent="0.25">
      <c r="A959" s="169">
        <v>43523</v>
      </c>
      <c r="B959" s="80" t="s">
        <v>699</v>
      </c>
      <c r="C959" s="80" t="s">
        <v>119</v>
      </c>
      <c r="D959" s="80" t="s">
        <v>159</v>
      </c>
      <c r="E959" s="80" t="s">
        <v>127</v>
      </c>
      <c r="F959" s="170">
        <v>150</v>
      </c>
    </row>
    <row r="960" spans="1:6" hidden="1" x14ac:dyDescent="0.25">
      <c r="A960" s="169">
        <v>43524</v>
      </c>
      <c r="B960" s="80" t="s">
        <v>706</v>
      </c>
      <c r="C960" s="80" t="s">
        <v>136</v>
      </c>
      <c r="D960" s="80" t="s">
        <v>159</v>
      </c>
      <c r="E960" s="80" t="s">
        <v>153</v>
      </c>
      <c r="F960" s="170">
        <v>150</v>
      </c>
    </row>
    <row r="961" spans="1:6" hidden="1" x14ac:dyDescent="0.25">
      <c r="A961" s="169">
        <v>43524</v>
      </c>
      <c r="B961" s="80" t="s">
        <v>708</v>
      </c>
      <c r="C961" s="80" t="s">
        <v>136</v>
      </c>
      <c r="D961" s="80" t="s">
        <v>159</v>
      </c>
      <c r="E961" s="80" t="s">
        <v>134</v>
      </c>
      <c r="F961" s="170">
        <v>150</v>
      </c>
    </row>
    <row r="962" spans="1:6" hidden="1" x14ac:dyDescent="0.25">
      <c r="A962" s="169">
        <v>43524</v>
      </c>
      <c r="B962" s="80" t="s">
        <v>710</v>
      </c>
      <c r="C962" s="80" t="s">
        <v>136</v>
      </c>
      <c r="D962" s="80" t="s">
        <v>159</v>
      </c>
      <c r="E962" s="80" t="s">
        <v>153</v>
      </c>
      <c r="F962" s="170">
        <v>150</v>
      </c>
    </row>
    <row r="963" spans="1:6" hidden="1" x14ac:dyDescent="0.25">
      <c r="A963" s="169">
        <v>43525</v>
      </c>
      <c r="B963" s="80" t="s">
        <v>726</v>
      </c>
      <c r="C963" s="80" t="s">
        <v>143</v>
      </c>
      <c r="D963" s="80" t="s">
        <v>159</v>
      </c>
      <c r="E963" s="80" t="s">
        <v>127</v>
      </c>
      <c r="F963" s="170">
        <v>150</v>
      </c>
    </row>
    <row r="964" spans="1:6" hidden="1" x14ac:dyDescent="0.25">
      <c r="A964" s="169">
        <v>43528</v>
      </c>
      <c r="B964" s="80" t="s">
        <v>742</v>
      </c>
      <c r="C964" s="80" t="s">
        <v>125</v>
      </c>
      <c r="D964" s="80" t="s">
        <v>159</v>
      </c>
      <c r="E964" s="80" t="s">
        <v>127</v>
      </c>
      <c r="F964" s="170">
        <v>150</v>
      </c>
    </row>
    <row r="965" spans="1:6" hidden="1" x14ac:dyDescent="0.25">
      <c r="A965" s="169">
        <v>43529</v>
      </c>
      <c r="B965" s="80" t="s">
        <v>751</v>
      </c>
      <c r="C965" s="80" t="s">
        <v>223</v>
      </c>
      <c r="D965" s="80" t="s">
        <v>159</v>
      </c>
      <c r="E965" s="80" t="s">
        <v>127</v>
      </c>
      <c r="F965" s="170">
        <v>150</v>
      </c>
    </row>
    <row r="966" spans="1:6" hidden="1" x14ac:dyDescent="0.25">
      <c r="A966" s="169">
        <v>43529</v>
      </c>
      <c r="B966" s="80" t="s">
        <v>758</v>
      </c>
      <c r="C966" s="80" t="s">
        <v>223</v>
      </c>
      <c r="D966" s="80" t="s">
        <v>159</v>
      </c>
      <c r="E966" s="80" t="s">
        <v>131</v>
      </c>
      <c r="F966" s="170">
        <v>150</v>
      </c>
    </row>
    <row r="967" spans="1:6" hidden="1" x14ac:dyDescent="0.25">
      <c r="A967" s="169">
        <v>43530</v>
      </c>
      <c r="B967" s="80" t="s">
        <v>764</v>
      </c>
      <c r="C967" s="80" t="s">
        <v>152</v>
      </c>
      <c r="D967" s="80" t="s">
        <v>159</v>
      </c>
      <c r="E967" s="80" t="s">
        <v>131</v>
      </c>
      <c r="F967" s="170">
        <v>150</v>
      </c>
    </row>
    <row r="968" spans="1:6" hidden="1" x14ac:dyDescent="0.25">
      <c r="A968" s="169">
        <v>43531</v>
      </c>
      <c r="B968" s="80" t="s">
        <v>768</v>
      </c>
      <c r="C968" s="80" t="s">
        <v>125</v>
      </c>
      <c r="D968" s="80" t="s">
        <v>159</v>
      </c>
      <c r="E968" s="80" t="s">
        <v>134</v>
      </c>
      <c r="F968" s="170">
        <v>150</v>
      </c>
    </row>
    <row r="969" spans="1:6" hidden="1" x14ac:dyDescent="0.25">
      <c r="A969" s="169">
        <v>43532</v>
      </c>
      <c r="B969" s="80" t="s">
        <v>786</v>
      </c>
      <c r="C969" s="80" t="s">
        <v>143</v>
      </c>
      <c r="D969" s="80" t="s">
        <v>159</v>
      </c>
      <c r="E969" s="80" t="s">
        <v>134</v>
      </c>
      <c r="F969" s="170">
        <v>150</v>
      </c>
    </row>
    <row r="970" spans="1:6" hidden="1" x14ac:dyDescent="0.25">
      <c r="A970" s="169">
        <v>43533</v>
      </c>
      <c r="B970" s="80" t="s">
        <v>790</v>
      </c>
      <c r="C970" s="80" t="s">
        <v>138</v>
      </c>
      <c r="D970" s="80" t="s">
        <v>159</v>
      </c>
      <c r="E970" s="80" t="s">
        <v>127</v>
      </c>
      <c r="F970" s="170">
        <v>150</v>
      </c>
    </row>
    <row r="971" spans="1:6" hidden="1" x14ac:dyDescent="0.25">
      <c r="A971" s="169">
        <v>43534</v>
      </c>
      <c r="B971" s="80" t="s">
        <v>801</v>
      </c>
      <c r="C971" s="80" t="s">
        <v>152</v>
      </c>
      <c r="D971" s="80" t="s">
        <v>159</v>
      </c>
      <c r="E971" s="80" t="s">
        <v>134</v>
      </c>
      <c r="F971" s="170">
        <v>150</v>
      </c>
    </row>
    <row r="972" spans="1:6" hidden="1" x14ac:dyDescent="0.25">
      <c r="A972" s="169">
        <v>43534</v>
      </c>
      <c r="B972" s="80" t="s">
        <v>802</v>
      </c>
      <c r="C972" s="80" t="s">
        <v>189</v>
      </c>
      <c r="D972" s="80" t="s">
        <v>159</v>
      </c>
      <c r="E972" s="80" t="s">
        <v>153</v>
      </c>
      <c r="F972" s="170">
        <v>150</v>
      </c>
    </row>
    <row r="973" spans="1:6" hidden="1" x14ac:dyDescent="0.25">
      <c r="A973" s="169">
        <v>43535</v>
      </c>
      <c r="B973" s="80" t="s">
        <v>804</v>
      </c>
      <c r="C973" s="80" t="s">
        <v>138</v>
      </c>
      <c r="D973" s="80" t="s">
        <v>159</v>
      </c>
      <c r="E973" s="80" t="s">
        <v>131</v>
      </c>
      <c r="F973" s="170">
        <v>150</v>
      </c>
    </row>
    <row r="974" spans="1:6" hidden="1" x14ac:dyDescent="0.25">
      <c r="A974" s="169">
        <v>43536</v>
      </c>
      <c r="B974" s="80" t="s">
        <v>811</v>
      </c>
      <c r="C974" s="80" t="s">
        <v>189</v>
      </c>
      <c r="D974" s="80" t="s">
        <v>159</v>
      </c>
      <c r="E974" s="80" t="s">
        <v>134</v>
      </c>
      <c r="F974" s="170">
        <v>150</v>
      </c>
    </row>
    <row r="975" spans="1:6" hidden="1" x14ac:dyDescent="0.25">
      <c r="A975" s="169">
        <v>43536</v>
      </c>
      <c r="B975" s="80" t="s">
        <v>816</v>
      </c>
      <c r="C975" s="80" t="s">
        <v>143</v>
      </c>
      <c r="D975" s="80" t="s">
        <v>159</v>
      </c>
      <c r="E975" s="80" t="s">
        <v>153</v>
      </c>
      <c r="F975" s="170">
        <v>150</v>
      </c>
    </row>
    <row r="976" spans="1:6" hidden="1" x14ac:dyDescent="0.25">
      <c r="A976" s="169">
        <v>43536</v>
      </c>
      <c r="B976" s="80" t="s">
        <v>821</v>
      </c>
      <c r="C976" s="80" t="s">
        <v>187</v>
      </c>
      <c r="D976" s="80" t="s">
        <v>159</v>
      </c>
      <c r="E976" s="80" t="s">
        <v>131</v>
      </c>
      <c r="F976" s="170">
        <v>150</v>
      </c>
    </row>
    <row r="977" spans="1:6" hidden="1" x14ac:dyDescent="0.25">
      <c r="A977" s="169">
        <v>43537</v>
      </c>
      <c r="B977" s="80" t="s">
        <v>830</v>
      </c>
      <c r="C977" s="80" t="s">
        <v>138</v>
      </c>
      <c r="D977" s="80" t="s">
        <v>159</v>
      </c>
      <c r="E977" s="80" t="s">
        <v>127</v>
      </c>
      <c r="F977" s="170">
        <v>150</v>
      </c>
    </row>
    <row r="978" spans="1:6" hidden="1" x14ac:dyDescent="0.25">
      <c r="A978" s="169">
        <v>43537</v>
      </c>
      <c r="B978" s="80" t="s">
        <v>831</v>
      </c>
      <c r="C978" s="80" t="s">
        <v>223</v>
      </c>
      <c r="D978" s="80" t="s">
        <v>159</v>
      </c>
      <c r="E978" s="80" t="s">
        <v>153</v>
      </c>
      <c r="F978" s="170">
        <v>150</v>
      </c>
    </row>
    <row r="979" spans="1:6" hidden="1" x14ac:dyDescent="0.25">
      <c r="A979" s="169">
        <v>43538</v>
      </c>
      <c r="B979" s="80" t="s">
        <v>836</v>
      </c>
      <c r="C979" s="80" t="s">
        <v>138</v>
      </c>
      <c r="D979" s="80" t="s">
        <v>159</v>
      </c>
      <c r="E979" s="80" t="s">
        <v>134</v>
      </c>
      <c r="F979" s="170">
        <v>150</v>
      </c>
    </row>
    <row r="980" spans="1:6" hidden="1" x14ac:dyDescent="0.25">
      <c r="A980" s="169">
        <v>43539</v>
      </c>
      <c r="B980" s="80" t="s">
        <v>841</v>
      </c>
      <c r="C980" s="80" t="s">
        <v>182</v>
      </c>
      <c r="D980" s="80" t="s">
        <v>159</v>
      </c>
      <c r="E980" s="80" t="s">
        <v>134</v>
      </c>
      <c r="F980" s="170">
        <v>150</v>
      </c>
    </row>
    <row r="981" spans="1:6" hidden="1" x14ac:dyDescent="0.25">
      <c r="A981" s="169">
        <v>43539</v>
      </c>
      <c r="B981" s="80" t="s">
        <v>842</v>
      </c>
      <c r="C981" s="80" t="s">
        <v>129</v>
      </c>
      <c r="D981" s="80" t="s">
        <v>159</v>
      </c>
      <c r="E981" s="80" t="s">
        <v>121</v>
      </c>
      <c r="F981" s="170">
        <v>150</v>
      </c>
    </row>
    <row r="982" spans="1:6" hidden="1" x14ac:dyDescent="0.25">
      <c r="A982" s="169">
        <v>43539</v>
      </c>
      <c r="B982" s="80" t="s">
        <v>851</v>
      </c>
      <c r="C982" s="80" t="s">
        <v>143</v>
      </c>
      <c r="D982" s="80" t="s">
        <v>159</v>
      </c>
      <c r="E982" s="80" t="s">
        <v>153</v>
      </c>
      <c r="F982" s="170">
        <v>150</v>
      </c>
    </row>
    <row r="983" spans="1:6" hidden="1" x14ac:dyDescent="0.25">
      <c r="A983" s="169">
        <v>43540</v>
      </c>
      <c r="B983" s="80" t="s">
        <v>859</v>
      </c>
      <c r="C983" s="80" t="s">
        <v>125</v>
      </c>
      <c r="D983" s="80" t="s">
        <v>159</v>
      </c>
      <c r="E983" s="80" t="s">
        <v>134</v>
      </c>
      <c r="F983" s="170">
        <v>150</v>
      </c>
    </row>
    <row r="984" spans="1:6" hidden="1" x14ac:dyDescent="0.25">
      <c r="A984" s="169">
        <v>43541</v>
      </c>
      <c r="B984" s="80" t="s">
        <v>873</v>
      </c>
      <c r="C984" s="80" t="s">
        <v>152</v>
      </c>
      <c r="D984" s="80" t="s">
        <v>159</v>
      </c>
      <c r="E984" s="80" t="s">
        <v>121</v>
      </c>
      <c r="F984" s="170">
        <v>150</v>
      </c>
    </row>
    <row r="985" spans="1:6" hidden="1" x14ac:dyDescent="0.25">
      <c r="A985" s="169">
        <v>43542</v>
      </c>
      <c r="B985" s="80" t="s">
        <v>883</v>
      </c>
      <c r="C985" s="80" t="s">
        <v>167</v>
      </c>
      <c r="D985" s="80" t="s">
        <v>159</v>
      </c>
      <c r="E985" s="80" t="s">
        <v>121</v>
      </c>
      <c r="F985" s="170">
        <v>150</v>
      </c>
    </row>
    <row r="986" spans="1:6" hidden="1" x14ac:dyDescent="0.25">
      <c r="A986" s="169">
        <v>43544</v>
      </c>
      <c r="B986" s="80" t="s">
        <v>893</v>
      </c>
      <c r="C986" s="80" t="s">
        <v>189</v>
      </c>
      <c r="D986" s="80" t="s">
        <v>159</v>
      </c>
      <c r="E986" s="80" t="s">
        <v>134</v>
      </c>
      <c r="F986" s="170">
        <v>150</v>
      </c>
    </row>
    <row r="987" spans="1:6" hidden="1" x14ac:dyDescent="0.25">
      <c r="A987" s="169">
        <v>43546</v>
      </c>
      <c r="B987" s="80" t="s">
        <v>907</v>
      </c>
      <c r="C987" s="80" t="s">
        <v>167</v>
      </c>
      <c r="D987" s="80" t="s">
        <v>159</v>
      </c>
      <c r="E987" s="80" t="s">
        <v>127</v>
      </c>
      <c r="F987" s="170">
        <v>150</v>
      </c>
    </row>
    <row r="988" spans="1:6" hidden="1" x14ac:dyDescent="0.25">
      <c r="A988" s="169">
        <v>43547</v>
      </c>
      <c r="B988" s="80" t="s">
        <v>920</v>
      </c>
      <c r="C988" s="80" t="s">
        <v>187</v>
      </c>
      <c r="D988" s="80" t="s">
        <v>159</v>
      </c>
      <c r="E988" s="80" t="s">
        <v>121</v>
      </c>
      <c r="F988" s="170">
        <v>150</v>
      </c>
    </row>
    <row r="989" spans="1:6" hidden="1" x14ac:dyDescent="0.25">
      <c r="A989" s="169">
        <v>43547</v>
      </c>
      <c r="B989" s="80" t="s">
        <v>924</v>
      </c>
      <c r="C989" s="80" t="s">
        <v>119</v>
      </c>
      <c r="D989" s="80" t="s">
        <v>159</v>
      </c>
      <c r="E989" s="80" t="s">
        <v>121</v>
      </c>
      <c r="F989" s="170">
        <v>150</v>
      </c>
    </row>
    <row r="990" spans="1:6" hidden="1" x14ac:dyDescent="0.25">
      <c r="A990" s="169">
        <v>43548</v>
      </c>
      <c r="B990" s="80" t="s">
        <v>935</v>
      </c>
      <c r="C990" s="80" t="s">
        <v>143</v>
      </c>
      <c r="D990" s="80" t="s">
        <v>159</v>
      </c>
      <c r="E990" s="80" t="s">
        <v>131</v>
      </c>
      <c r="F990" s="170">
        <v>150</v>
      </c>
    </row>
    <row r="991" spans="1:6" hidden="1" x14ac:dyDescent="0.25">
      <c r="A991" s="169">
        <v>43549</v>
      </c>
      <c r="B991" s="80" t="s">
        <v>941</v>
      </c>
      <c r="C991" s="80" t="s">
        <v>189</v>
      </c>
      <c r="D991" s="80" t="s">
        <v>159</v>
      </c>
      <c r="E991" s="80" t="s">
        <v>127</v>
      </c>
      <c r="F991" s="170">
        <v>150</v>
      </c>
    </row>
    <row r="992" spans="1:6" hidden="1" x14ac:dyDescent="0.25">
      <c r="A992" s="169">
        <v>43549</v>
      </c>
      <c r="B992" s="80" t="s">
        <v>948</v>
      </c>
      <c r="C992" s="80" t="s">
        <v>152</v>
      </c>
      <c r="D992" s="80" t="s">
        <v>159</v>
      </c>
      <c r="E992" s="80" t="s">
        <v>127</v>
      </c>
      <c r="F992" s="170">
        <v>150</v>
      </c>
    </row>
    <row r="993" spans="1:6" hidden="1" x14ac:dyDescent="0.25">
      <c r="A993" s="169">
        <v>43551</v>
      </c>
      <c r="B993" s="80" t="s">
        <v>958</v>
      </c>
      <c r="C993" s="80" t="s">
        <v>164</v>
      </c>
      <c r="D993" s="80" t="s">
        <v>159</v>
      </c>
      <c r="E993" s="80" t="s">
        <v>127</v>
      </c>
      <c r="F993" s="170">
        <v>150</v>
      </c>
    </row>
    <row r="994" spans="1:6" hidden="1" x14ac:dyDescent="0.25">
      <c r="A994" s="169">
        <v>43551</v>
      </c>
      <c r="B994" s="80" t="s">
        <v>964</v>
      </c>
      <c r="C994" s="80" t="s">
        <v>125</v>
      </c>
      <c r="D994" s="80" t="s">
        <v>159</v>
      </c>
      <c r="E994" s="80" t="s">
        <v>121</v>
      </c>
      <c r="F994" s="170">
        <v>150</v>
      </c>
    </row>
    <row r="995" spans="1:6" hidden="1" x14ac:dyDescent="0.25">
      <c r="A995" s="169">
        <v>43552</v>
      </c>
      <c r="B995" s="80" t="s">
        <v>970</v>
      </c>
      <c r="C995" s="80" t="s">
        <v>157</v>
      </c>
      <c r="D995" s="80" t="s">
        <v>159</v>
      </c>
      <c r="E995" s="80" t="s">
        <v>127</v>
      </c>
      <c r="F995" s="170">
        <v>150</v>
      </c>
    </row>
    <row r="996" spans="1:6" hidden="1" x14ac:dyDescent="0.25">
      <c r="A996" s="169">
        <v>43557</v>
      </c>
      <c r="B996" s="80" t="s">
        <v>1019</v>
      </c>
      <c r="C996" s="80" t="s">
        <v>157</v>
      </c>
      <c r="D996" s="80" t="s">
        <v>159</v>
      </c>
      <c r="E996" s="80" t="s">
        <v>121</v>
      </c>
      <c r="F996" s="170">
        <v>150</v>
      </c>
    </row>
    <row r="997" spans="1:6" hidden="1" x14ac:dyDescent="0.25">
      <c r="A997" s="169">
        <v>43560</v>
      </c>
      <c r="B997" s="80" t="s">
        <v>1044</v>
      </c>
      <c r="C997" s="80" t="s">
        <v>138</v>
      </c>
      <c r="D997" s="80" t="s">
        <v>159</v>
      </c>
      <c r="E997" s="80" t="s">
        <v>127</v>
      </c>
      <c r="F997" s="170">
        <v>150</v>
      </c>
    </row>
    <row r="998" spans="1:6" hidden="1" x14ac:dyDescent="0.25">
      <c r="A998" s="169">
        <v>43560</v>
      </c>
      <c r="B998" s="80" t="s">
        <v>1045</v>
      </c>
      <c r="C998" s="80" t="s">
        <v>157</v>
      </c>
      <c r="D998" s="80" t="s">
        <v>159</v>
      </c>
      <c r="E998" s="80" t="s">
        <v>153</v>
      </c>
      <c r="F998" s="170">
        <v>150</v>
      </c>
    </row>
    <row r="999" spans="1:6" hidden="1" x14ac:dyDescent="0.25">
      <c r="A999" s="169">
        <v>43561</v>
      </c>
      <c r="B999" s="80" t="s">
        <v>1057</v>
      </c>
      <c r="C999" s="80" t="s">
        <v>148</v>
      </c>
      <c r="D999" s="80" t="s">
        <v>159</v>
      </c>
      <c r="E999" s="80" t="s">
        <v>127</v>
      </c>
      <c r="F999" s="170">
        <v>150</v>
      </c>
    </row>
    <row r="1000" spans="1:6" hidden="1" x14ac:dyDescent="0.25">
      <c r="A1000" s="169">
        <v>43562</v>
      </c>
      <c r="B1000" s="80" t="s">
        <v>1066</v>
      </c>
      <c r="C1000" s="80" t="s">
        <v>136</v>
      </c>
      <c r="D1000" s="80" t="s">
        <v>159</v>
      </c>
      <c r="E1000" s="80" t="s">
        <v>121</v>
      </c>
      <c r="F1000" s="170">
        <v>150</v>
      </c>
    </row>
    <row r="1001" spans="1:6" hidden="1" x14ac:dyDescent="0.25">
      <c r="A1001" s="169">
        <v>43562</v>
      </c>
      <c r="B1001" s="80" t="s">
        <v>1070</v>
      </c>
      <c r="C1001" s="80" t="s">
        <v>157</v>
      </c>
      <c r="D1001" s="80" t="s">
        <v>159</v>
      </c>
      <c r="E1001" s="80" t="s">
        <v>134</v>
      </c>
      <c r="F1001" s="170">
        <v>150</v>
      </c>
    </row>
    <row r="1002" spans="1:6" hidden="1" x14ac:dyDescent="0.25">
      <c r="A1002" s="169">
        <v>43562</v>
      </c>
      <c r="B1002" s="80" t="s">
        <v>1072</v>
      </c>
      <c r="C1002" s="80" t="s">
        <v>152</v>
      </c>
      <c r="D1002" s="80" t="s">
        <v>159</v>
      </c>
      <c r="E1002" s="80" t="s">
        <v>127</v>
      </c>
      <c r="F1002" s="170">
        <v>150</v>
      </c>
    </row>
    <row r="1003" spans="1:6" hidden="1" x14ac:dyDescent="0.25">
      <c r="A1003" s="169">
        <v>43563</v>
      </c>
      <c r="B1003" s="80" t="s">
        <v>1075</v>
      </c>
      <c r="C1003" s="80" t="s">
        <v>152</v>
      </c>
      <c r="D1003" s="80" t="s">
        <v>159</v>
      </c>
      <c r="E1003" s="80" t="s">
        <v>127</v>
      </c>
      <c r="F1003" s="170">
        <v>150</v>
      </c>
    </row>
    <row r="1004" spans="1:6" hidden="1" x14ac:dyDescent="0.25">
      <c r="A1004" s="169">
        <v>43565</v>
      </c>
      <c r="B1004" s="80" t="s">
        <v>1087</v>
      </c>
      <c r="C1004" s="80" t="s">
        <v>123</v>
      </c>
      <c r="D1004" s="80" t="s">
        <v>159</v>
      </c>
      <c r="E1004" s="80" t="s">
        <v>134</v>
      </c>
      <c r="F1004" s="170">
        <v>150</v>
      </c>
    </row>
    <row r="1005" spans="1:6" hidden="1" x14ac:dyDescent="0.25">
      <c r="A1005" s="169">
        <v>43567</v>
      </c>
      <c r="B1005" s="80" t="s">
        <v>1103</v>
      </c>
      <c r="C1005" s="80" t="s">
        <v>138</v>
      </c>
      <c r="D1005" s="80" t="s">
        <v>159</v>
      </c>
      <c r="E1005" s="80" t="s">
        <v>131</v>
      </c>
      <c r="F1005" s="170">
        <v>150</v>
      </c>
    </row>
    <row r="1006" spans="1:6" hidden="1" x14ac:dyDescent="0.25">
      <c r="A1006" s="169">
        <v>43568</v>
      </c>
      <c r="B1006" s="80" t="s">
        <v>1114</v>
      </c>
      <c r="C1006" s="80" t="s">
        <v>123</v>
      </c>
      <c r="D1006" s="80" t="s">
        <v>159</v>
      </c>
      <c r="E1006" s="80" t="s">
        <v>127</v>
      </c>
      <c r="F1006" s="170">
        <v>150</v>
      </c>
    </row>
    <row r="1007" spans="1:6" hidden="1" x14ac:dyDescent="0.25">
      <c r="A1007" s="169">
        <v>43568</v>
      </c>
      <c r="B1007" s="80" t="s">
        <v>1117</v>
      </c>
      <c r="C1007" s="80" t="s">
        <v>148</v>
      </c>
      <c r="D1007" s="80" t="s">
        <v>159</v>
      </c>
      <c r="E1007" s="80" t="s">
        <v>121</v>
      </c>
      <c r="F1007" s="170">
        <v>150</v>
      </c>
    </row>
    <row r="1008" spans="1:6" hidden="1" x14ac:dyDescent="0.25">
      <c r="A1008" s="169">
        <v>43569</v>
      </c>
      <c r="B1008" s="80" t="s">
        <v>1133</v>
      </c>
      <c r="C1008" s="80" t="s">
        <v>125</v>
      </c>
      <c r="D1008" s="80" t="s">
        <v>159</v>
      </c>
      <c r="E1008" s="80" t="s">
        <v>127</v>
      </c>
      <c r="F1008" s="170">
        <v>150</v>
      </c>
    </row>
    <row r="1009" spans="1:6" hidden="1" x14ac:dyDescent="0.25">
      <c r="A1009" s="169">
        <v>43570</v>
      </c>
      <c r="B1009" s="80" t="s">
        <v>1137</v>
      </c>
      <c r="C1009" s="80" t="s">
        <v>123</v>
      </c>
      <c r="D1009" s="80" t="s">
        <v>159</v>
      </c>
      <c r="E1009" s="80" t="s">
        <v>127</v>
      </c>
      <c r="F1009" s="170">
        <v>150</v>
      </c>
    </row>
    <row r="1010" spans="1:6" hidden="1" x14ac:dyDescent="0.25">
      <c r="A1010" s="169">
        <v>43570</v>
      </c>
      <c r="B1010" s="80" t="s">
        <v>1138</v>
      </c>
      <c r="C1010" s="80" t="s">
        <v>157</v>
      </c>
      <c r="D1010" s="80" t="s">
        <v>159</v>
      </c>
      <c r="E1010" s="80" t="s">
        <v>131</v>
      </c>
      <c r="F1010" s="170">
        <v>150</v>
      </c>
    </row>
    <row r="1011" spans="1:6" hidden="1" x14ac:dyDescent="0.25">
      <c r="A1011" s="169">
        <v>43570</v>
      </c>
      <c r="B1011" s="80" t="s">
        <v>1144</v>
      </c>
      <c r="C1011" s="80" t="s">
        <v>123</v>
      </c>
      <c r="D1011" s="80" t="s">
        <v>159</v>
      </c>
      <c r="E1011" s="80" t="s">
        <v>153</v>
      </c>
      <c r="F1011" s="170">
        <v>150</v>
      </c>
    </row>
    <row r="1012" spans="1:6" hidden="1" x14ac:dyDescent="0.25">
      <c r="A1012" s="169">
        <v>43571</v>
      </c>
      <c r="B1012" s="80" t="s">
        <v>1150</v>
      </c>
      <c r="C1012" s="80" t="s">
        <v>164</v>
      </c>
      <c r="D1012" s="80" t="s">
        <v>159</v>
      </c>
      <c r="E1012" s="80" t="s">
        <v>131</v>
      </c>
      <c r="F1012" s="170">
        <v>150</v>
      </c>
    </row>
    <row r="1013" spans="1:6" hidden="1" x14ac:dyDescent="0.25">
      <c r="A1013" s="169">
        <v>43572</v>
      </c>
      <c r="B1013" s="80" t="s">
        <v>1158</v>
      </c>
      <c r="C1013" s="80" t="s">
        <v>129</v>
      </c>
      <c r="D1013" s="80" t="s">
        <v>159</v>
      </c>
      <c r="E1013" s="80" t="s">
        <v>127</v>
      </c>
      <c r="F1013" s="170">
        <v>150</v>
      </c>
    </row>
    <row r="1014" spans="1:6" hidden="1" x14ac:dyDescent="0.25">
      <c r="A1014" s="169">
        <v>43572</v>
      </c>
      <c r="B1014" s="80" t="s">
        <v>1160</v>
      </c>
      <c r="C1014" s="80" t="s">
        <v>189</v>
      </c>
      <c r="D1014" s="80" t="s">
        <v>159</v>
      </c>
      <c r="E1014" s="80" t="s">
        <v>131</v>
      </c>
      <c r="F1014" s="170">
        <v>150</v>
      </c>
    </row>
    <row r="1015" spans="1:6" hidden="1" x14ac:dyDescent="0.25">
      <c r="A1015" s="169">
        <v>43572</v>
      </c>
      <c r="B1015" s="80" t="s">
        <v>1162</v>
      </c>
      <c r="C1015" s="80" t="s">
        <v>152</v>
      </c>
      <c r="D1015" s="80" t="s">
        <v>159</v>
      </c>
      <c r="E1015" s="80" t="s">
        <v>127</v>
      </c>
      <c r="F1015" s="170">
        <v>150</v>
      </c>
    </row>
    <row r="1016" spans="1:6" hidden="1" x14ac:dyDescent="0.25">
      <c r="A1016" s="169">
        <v>43572</v>
      </c>
      <c r="B1016" s="80" t="s">
        <v>1163</v>
      </c>
      <c r="C1016" s="80" t="s">
        <v>187</v>
      </c>
      <c r="D1016" s="80" t="s">
        <v>159</v>
      </c>
      <c r="E1016" s="80" t="s">
        <v>153</v>
      </c>
      <c r="F1016" s="170">
        <v>150</v>
      </c>
    </row>
    <row r="1017" spans="1:6" hidden="1" x14ac:dyDescent="0.25">
      <c r="A1017" s="169">
        <v>43573</v>
      </c>
      <c r="B1017" s="80" t="s">
        <v>1170</v>
      </c>
      <c r="C1017" s="80" t="s">
        <v>129</v>
      </c>
      <c r="D1017" s="80" t="s">
        <v>159</v>
      </c>
      <c r="E1017" s="80" t="s">
        <v>153</v>
      </c>
      <c r="F1017" s="170">
        <v>150</v>
      </c>
    </row>
    <row r="1018" spans="1:6" hidden="1" x14ac:dyDescent="0.25">
      <c r="A1018" s="169">
        <v>43573</v>
      </c>
      <c r="B1018" s="80" t="s">
        <v>1173</v>
      </c>
      <c r="C1018" s="80" t="s">
        <v>125</v>
      </c>
      <c r="D1018" s="80" t="s">
        <v>159</v>
      </c>
      <c r="E1018" s="80" t="s">
        <v>121</v>
      </c>
      <c r="F1018" s="170">
        <v>150</v>
      </c>
    </row>
    <row r="1019" spans="1:6" hidden="1" x14ac:dyDescent="0.25">
      <c r="A1019" s="169">
        <v>43576</v>
      </c>
      <c r="B1019" s="80" t="s">
        <v>1193</v>
      </c>
      <c r="C1019" s="80" t="s">
        <v>157</v>
      </c>
      <c r="D1019" s="80" t="s">
        <v>159</v>
      </c>
      <c r="E1019" s="80" t="s">
        <v>131</v>
      </c>
      <c r="F1019" s="170">
        <v>150</v>
      </c>
    </row>
    <row r="1020" spans="1:6" hidden="1" x14ac:dyDescent="0.25">
      <c r="A1020" s="169">
        <v>43576</v>
      </c>
      <c r="B1020" s="80" t="s">
        <v>1198</v>
      </c>
      <c r="C1020" s="80" t="s">
        <v>187</v>
      </c>
      <c r="D1020" s="80" t="s">
        <v>159</v>
      </c>
      <c r="E1020" s="80" t="s">
        <v>121</v>
      </c>
      <c r="F1020" s="170">
        <v>150</v>
      </c>
    </row>
    <row r="1021" spans="1:6" hidden="1" x14ac:dyDescent="0.25">
      <c r="A1021" s="169">
        <v>43577</v>
      </c>
      <c r="B1021" s="80" t="s">
        <v>1200</v>
      </c>
      <c r="C1021" s="80" t="s">
        <v>125</v>
      </c>
      <c r="D1021" s="80" t="s">
        <v>159</v>
      </c>
      <c r="E1021" s="80" t="s">
        <v>131</v>
      </c>
      <c r="F1021" s="170">
        <v>150</v>
      </c>
    </row>
    <row r="1022" spans="1:6" hidden="1" x14ac:dyDescent="0.25">
      <c r="A1022" s="169">
        <v>43577</v>
      </c>
      <c r="B1022" s="80" t="s">
        <v>1203</v>
      </c>
      <c r="C1022" s="80" t="s">
        <v>119</v>
      </c>
      <c r="D1022" s="80" t="s">
        <v>159</v>
      </c>
      <c r="E1022" s="80" t="s">
        <v>121</v>
      </c>
      <c r="F1022" s="170">
        <v>150</v>
      </c>
    </row>
    <row r="1023" spans="1:6" hidden="1" x14ac:dyDescent="0.25">
      <c r="A1023" s="169">
        <v>43579</v>
      </c>
      <c r="B1023" s="80" t="s">
        <v>1214</v>
      </c>
      <c r="C1023" s="80" t="s">
        <v>223</v>
      </c>
      <c r="D1023" s="80" t="s">
        <v>159</v>
      </c>
      <c r="E1023" s="80" t="s">
        <v>127</v>
      </c>
      <c r="F1023" s="170">
        <v>150</v>
      </c>
    </row>
    <row r="1024" spans="1:6" hidden="1" x14ac:dyDescent="0.25">
      <c r="A1024" s="169">
        <v>43579</v>
      </c>
      <c r="B1024" s="80" t="s">
        <v>1223</v>
      </c>
      <c r="C1024" s="80" t="s">
        <v>223</v>
      </c>
      <c r="D1024" s="80" t="s">
        <v>159</v>
      </c>
      <c r="E1024" s="80" t="s">
        <v>131</v>
      </c>
      <c r="F1024" s="170">
        <v>150</v>
      </c>
    </row>
    <row r="1025" spans="1:6" hidden="1" x14ac:dyDescent="0.25">
      <c r="A1025" s="169">
        <v>43579</v>
      </c>
      <c r="B1025" s="80" t="s">
        <v>1224</v>
      </c>
      <c r="C1025" s="80" t="s">
        <v>223</v>
      </c>
      <c r="D1025" s="80" t="s">
        <v>159</v>
      </c>
      <c r="E1025" s="80" t="s">
        <v>153</v>
      </c>
      <c r="F1025" s="170">
        <v>150</v>
      </c>
    </row>
    <row r="1026" spans="1:6" hidden="1" x14ac:dyDescent="0.25">
      <c r="A1026" s="169">
        <v>43580</v>
      </c>
      <c r="B1026" s="80" t="s">
        <v>1228</v>
      </c>
      <c r="C1026" s="80" t="s">
        <v>164</v>
      </c>
      <c r="D1026" s="80" t="s">
        <v>159</v>
      </c>
      <c r="E1026" s="80" t="s">
        <v>127</v>
      </c>
      <c r="F1026" s="170">
        <v>150</v>
      </c>
    </row>
    <row r="1027" spans="1:6" hidden="1" x14ac:dyDescent="0.25">
      <c r="A1027" s="169">
        <v>43581</v>
      </c>
      <c r="B1027" s="80" t="s">
        <v>1238</v>
      </c>
      <c r="C1027" s="80" t="s">
        <v>152</v>
      </c>
      <c r="D1027" s="80" t="s">
        <v>159</v>
      </c>
      <c r="E1027" s="80" t="s">
        <v>153</v>
      </c>
      <c r="F1027" s="170">
        <v>150</v>
      </c>
    </row>
    <row r="1028" spans="1:6" hidden="1" x14ac:dyDescent="0.25">
      <c r="A1028" s="169">
        <v>43581</v>
      </c>
      <c r="B1028" s="80" t="s">
        <v>1244</v>
      </c>
      <c r="C1028" s="80" t="s">
        <v>136</v>
      </c>
      <c r="D1028" s="80" t="s">
        <v>159</v>
      </c>
      <c r="E1028" s="80" t="s">
        <v>121</v>
      </c>
      <c r="F1028" s="170">
        <v>150</v>
      </c>
    </row>
    <row r="1029" spans="1:6" hidden="1" x14ac:dyDescent="0.25">
      <c r="A1029" s="169">
        <v>43582</v>
      </c>
      <c r="B1029" s="80" t="s">
        <v>1247</v>
      </c>
      <c r="C1029" s="80" t="s">
        <v>129</v>
      </c>
      <c r="D1029" s="80" t="s">
        <v>159</v>
      </c>
      <c r="E1029" s="80" t="s">
        <v>134</v>
      </c>
      <c r="F1029" s="170">
        <v>150</v>
      </c>
    </row>
    <row r="1030" spans="1:6" hidden="1" x14ac:dyDescent="0.25">
      <c r="A1030" s="169">
        <v>43583</v>
      </c>
      <c r="B1030" s="80" t="s">
        <v>1262</v>
      </c>
      <c r="C1030" s="80" t="s">
        <v>125</v>
      </c>
      <c r="D1030" s="80" t="s">
        <v>159</v>
      </c>
      <c r="E1030" s="80" t="s">
        <v>121</v>
      </c>
      <c r="F1030" s="170">
        <v>150</v>
      </c>
    </row>
    <row r="1031" spans="1:6" hidden="1" x14ac:dyDescent="0.25">
      <c r="A1031" s="169">
        <v>43585</v>
      </c>
      <c r="B1031" s="80" t="s">
        <v>1272</v>
      </c>
      <c r="C1031" s="80" t="s">
        <v>119</v>
      </c>
      <c r="D1031" s="80" t="s">
        <v>159</v>
      </c>
      <c r="E1031" s="80" t="s">
        <v>153</v>
      </c>
      <c r="F1031" s="170">
        <v>150</v>
      </c>
    </row>
    <row r="1032" spans="1:6" hidden="1" x14ac:dyDescent="0.25">
      <c r="A1032" s="169">
        <v>43585</v>
      </c>
      <c r="B1032" s="80" t="s">
        <v>1276</v>
      </c>
      <c r="C1032" s="80" t="s">
        <v>189</v>
      </c>
      <c r="D1032" s="80" t="s">
        <v>159</v>
      </c>
      <c r="E1032" s="80" t="s">
        <v>127</v>
      </c>
      <c r="F1032" s="170">
        <v>150</v>
      </c>
    </row>
    <row r="1033" spans="1:6" hidden="1" x14ac:dyDescent="0.25">
      <c r="A1033" s="169">
        <v>43587</v>
      </c>
      <c r="B1033" s="80" t="s">
        <v>1292</v>
      </c>
      <c r="C1033" s="80" t="s">
        <v>152</v>
      </c>
      <c r="D1033" s="80" t="s">
        <v>159</v>
      </c>
      <c r="E1033" s="80" t="s">
        <v>121</v>
      </c>
      <c r="F1033" s="170">
        <v>150</v>
      </c>
    </row>
    <row r="1034" spans="1:6" hidden="1" x14ac:dyDescent="0.25">
      <c r="A1034" s="169">
        <v>43587</v>
      </c>
      <c r="B1034" s="80" t="s">
        <v>1293</v>
      </c>
      <c r="C1034" s="80" t="s">
        <v>187</v>
      </c>
      <c r="D1034" s="80" t="s">
        <v>159</v>
      </c>
      <c r="E1034" s="80" t="s">
        <v>134</v>
      </c>
      <c r="F1034" s="170">
        <v>150</v>
      </c>
    </row>
    <row r="1035" spans="1:6" hidden="1" x14ac:dyDescent="0.25">
      <c r="A1035" s="169">
        <v>43587</v>
      </c>
      <c r="B1035" s="80" t="s">
        <v>1296</v>
      </c>
      <c r="C1035" s="80" t="s">
        <v>129</v>
      </c>
      <c r="D1035" s="80" t="s">
        <v>159</v>
      </c>
      <c r="E1035" s="80" t="s">
        <v>131</v>
      </c>
      <c r="F1035" s="170">
        <v>150</v>
      </c>
    </row>
    <row r="1036" spans="1:6" hidden="1" x14ac:dyDescent="0.25">
      <c r="A1036" s="169">
        <v>43587</v>
      </c>
      <c r="B1036" s="80" t="s">
        <v>1299</v>
      </c>
      <c r="C1036" s="80" t="s">
        <v>148</v>
      </c>
      <c r="D1036" s="80" t="s">
        <v>159</v>
      </c>
      <c r="E1036" s="80" t="s">
        <v>134</v>
      </c>
      <c r="F1036" s="170">
        <v>150</v>
      </c>
    </row>
    <row r="1037" spans="1:6" hidden="1" x14ac:dyDescent="0.25">
      <c r="A1037" s="169">
        <v>43589</v>
      </c>
      <c r="B1037" s="80" t="s">
        <v>1321</v>
      </c>
      <c r="C1037" s="80" t="s">
        <v>189</v>
      </c>
      <c r="D1037" s="80" t="s">
        <v>159</v>
      </c>
      <c r="E1037" s="80" t="s">
        <v>153</v>
      </c>
      <c r="F1037" s="170">
        <v>150</v>
      </c>
    </row>
    <row r="1038" spans="1:6" hidden="1" x14ac:dyDescent="0.25">
      <c r="A1038" s="169">
        <v>43589</v>
      </c>
      <c r="B1038" s="80" t="s">
        <v>1322</v>
      </c>
      <c r="C1038" s="80" t="s">
        <v>125</v>
      </c>
      <c r="D1038" s="80" t="s">
        <v>159</v>
      </c>
      <c r="E1038" s="80" t="s">
        <v>131</v>
      </c>
      <c r="F1038" s="170">
        <v>150</v>
      </c>
    </row>
    <row r="1039" spans="1:6" hidden="1" x14ac:dyDescent="0.25">
      <c r="A1039" s="169">
        <v>43590</v>
      </c>
      <c r="B1039" s="80" t="s">
        <v>1332</v>
      </c>
      <c r="C1039" s="80" t="s">
        <v>145</v>
      </c>
      <c r="D1039" s="80" t="s">
        <v>159</v>
      </c>
      <c r="E1039" s="80" t="s">
        <v>131</v>
      </c>
      <c r="F1039" s="170">
        <v>150</v>
      </c>
    </row>
    <row r="1040" spans="1:6" hidden="1" x14ac:dyDescent="0.25">
      <c r="A1040" s="169">
        <v>43590</v>
      </c>
      <c r="B1040" s="80" t="s">
        <v>1335</v>
      </c>
      <c r="C1040" s="80" t="s">
        <v>157</v>
      </c>
      <c r="D1040" s="80" t="s">
        <v>159</v>
      </c>
      <c r="E1040" s="80" t="s">
        <v>121</v>
      </c>
      <c r="F1040" s="170">
        <v>150</v>
      </c>
    </row>
    <row r="1041" spans="1:6" hidden="1" x14ac:dyDescent="0.25">
      <c r="A1041" s="169">
        <v>43591</v>
      </c>
      <c r="B1041" s="80" t="s">
        <v>1348</v>
      </c>
      <c r="C1041" s="80" t="s">
        <v>125</v>
      </c>
      <c r="D1041" s="80" t="s">
        <v>159</v>
      </c>
      <c r="E1041" s="80" t="s">
        <v>134</v>
      </c>
      <c r="F1041" s="170">
        <v>150</v>
      </c>
    </row>
    <row r="1042" spans="1:6" hidden="1" x14ac:dyDescent="0.25">
      <c r="A1042" s="169">
        <v>43593</v>
      </c>
      <c r="B1042" s="80" t="s">
        <v>1362</v>
      </c>
      <c r="C1042" s="80" t="s">
        <v>129</v>
      </c>
      <c r="D1042" s="80" t="s">
        <v>159</v>
      </c>
      <c r="E1042" s="80" t="s">
        <v>153</v>
      </c>
      <c r="F1042" s="170">
        <v>150</v>
      </c>
    </row>
    <row r="1043" spans="1:6" hidden="1" x14ac:dyDescent="0.25">
      <c r="A1043" s="169">
        <v>43595</v>
      </c>
      <c r="B1043" s="80" t="s">
        <v>1379</v>
      </c>
      <c r="C1043" s="80" t="s">
        <v>164</v>
      </c>
      <c r="D1043" s="80" t="s">
        <v>159</v>
      </c>
      <c r="E1043" s="80" t="s">
        <v>131</v>
      </c>
      <c r="F1043" s="170">
        <v>150</v>
      </c>
    </row>
    <row r="1044" spans="1:6" hidden="1" x14ac:dyDescent="0.25">
      <c r="A1044" s="169">
        <v>43595</v>
      </c>
      <c r="B1044" s="80" t="s">
        <v>1382</v>
      </c>
      <c r="C1044" s="80" t="s">
        <v>187</v>
      </c>
      <c r="D1044" s="80" t="s">
        <v>159</v>
      </c>
      <c r="E1044" s="80" t="s">
        <v>134</v>
      </c>
      <c r="F1044" s="170">
        <v>150</v>
      </c>
    </row>
    <row r="1045" spans="1:6" hidden="1" x14ac:dyDescent="0.25">
      <c r="A1045" s="169">
        <v>43595</v>
      </c>
      <c r="B1045" s="80" t="s">
        <v>1383</v>
      </c>
      <c r="C1045" s="80" t="s">
        <v>182</v>
      </c>
      <c r="D1045" s="80" t="s">
        <v>159</v>
      </c>
      <c r="E1045" s="80" t="s">
        <v>134</v>
      </c>
      <c r="F1045" s="170">
        <v>150</v>
      </c>
    </row>
    <row r="1046" spans="1:6" hidden="1" x14ac:dyDescent="0.25">
      <c r="A1046" s="169">
        <v>43596</v>
      </c>
      <c r="B1046" s="80" t="s">
        <v>1394</v>
      </c>
      <c r="C1046" s="80" t="s">
        <v>157</v>
      </c>
      <c r="D1046" s="80" t="s">
        <v>159</v>
      </c>
      <c r="E1046" s="80" t="s">
        <v>127</v>
      </c>
      <c r="F1046" s="170">
        <v>150</v>
      </c>
    </row>
    <row r="1047" spans="1:6" hidden="1" x14ac:dyDescent="0.25">
      <c r="A1047" s="169">
        <v>43598</v>
      </c>
      <c r="B1047" s="80" t="s">
        <v>1408</v>
      </c>
      <c r="C1047" s="80" t="s">
        <v>143</v>
      </c>
      <c r="D1047" s="80" t="s">
        <v>159</v>
      </c>
      <c r="E1047" s="80" t="s">
        <v>134</v>
      </c>
      <c r="F1047" s="170">
        <v>150</v>
      </c>
    </row>
    <row r="1048" spans="1:6" hidden="1" x14ac:dyDescent="0.25">
      <c r="A1048" s="169">
        <v>43598</v>
      </c>
      <c r="B1048" s="80" t="s">
        <v>1410</v>
      </c>
      <c r="C1048" s="80" t="s">
        <v>123</v>
      </c>
      <c r="D1048" s="80" t="s">
        <v>159</v>
      </c>
      <c r="E1048" s="80" t="s">
        <v>127</v>
      </c>
      <c r="F1048" s="170">
        <v>150</v>
      </c>
    </row>
    <row r="1049" spans="1:6" hidden="1" x14ac:dyDescent="0.25">
      <c r="A1049" s="169">
        <v>43598</v>
      </c>
      <c r="B1049" s="80" t="s">
        <v>1411</v>
      </c>
      <c r="C1049" s="80" t="s">
        <v>148</v>
      </c>
      <c r="D1049" s="80" t="s">
        <v>159</v>
      </c>
      <c r="E1049" s="80" t="s">
        <v>153</v>
      </c>
      <c r="F1049" s="170">
        <v>150</v>
      </c>
    </row>
    <row r="1050" spans="1:6" hidden="1" x14ac:dyDescent="0.25">
      <c r="A1050" s="169">
        <v>43598</v>
      </c>
      <c r="B1050" s="80" t="s">
        <v>1413</v>
      </c>
      <c r="C1050" s="80" t="s">
        <v>145</v>
      </c>
      <c r="D1050" s="80" t="s">
        <v>159</v>
      </c>
      <c r="E1050" s="80" t="s">
        <v>153</v>
      </c>
      <c r="F1050" s="170">
        <v>150</v>
      </c>
    </row>
    <row r="1051" spans="1:6" hidden="1" x14ac:dyDescent="0.25">
      <c r="A1051" s="169">
        <v>43599</v>
      </c>
      <c r="B1051" s="80" t="s">
        <v>1419</v>
      </c>
      <c r="C1051" s="80" t="s">
        <v>189</v>
      </c>
      <c r="D1051" s="80" t="s">
        <v>159</v>
      </c>
      <c r="E1051" s="80" t="s">
        <v>127</v>
      </c>
      <c r="F1051" s="170">
        <v>150</v>
      </c>
    </row>
    <row r="1052" spans="1:6" hidden="1" x14ac:dyDescent="0.25">
      <c r="A1052" s="169">
        <v>43599</v>
      </c>
      <c r="B1052" s="80" t="s">
        <v>1421</v>
      </c>
      <c r="C1052" s="80" t="s">
        <v>148</v>
      </c>
      <c r="D1052" s="80" t="s">
        <v>159</v>
      </c>
      <c r="E1052" s="80" t="s">
        <v>134</v>
      </c>
      <c r="F1052" s="170">
        <v>150</v>
      </c>
    </row>
    <row r="1053" spans="1:6" hidden="1" x14ac:dyDescent="0.25">
      <c r="A1053" s="169">
        <v>43600</v>
      </c>
      <c r="B1053" s="80" t="s">
        <v>1428</v>
      </c>
      <c r="C1053" s="80" t="s">
        <v>223</v>
      </c>
      <c r="D1053" s="80" t="s">
        <v>159</v>
      </c>
      <c r="E1053" s="80" t="s">
        <v>131</v>
      </c>
      <c r="F1053" s="170">
        <v>150</v>
      </c>
    </row>
    <row r="1054" spans="1:6" hidden="1" x14ac:dyDescent="0.25">
      <c r="A1054" s="169">
        <v>43600</v>
      </c>
      <c r="B1054" s="80" t="s">
        <v>1430</v>
      </c>
      <c r="C1054" s="80" t="s">
        <v>223</v>
      </c>
      <c r="D1054" s="80" t="s">
        <v>159</v>
      </c>
      <c r="E1054" s="80" t="s">
        <v>121</v>
      </c>
      <c r="F1054" s="170">
        <v>150</v>
      </c>
    </row>
    <row r="1055" spans="1:6" hidden="1" x14ac:dyDescent="0.25">
      <c r="A1055" s="169">
        <v>43600</v>
      </c>
      <c r="B1055" s="80" t="s">
        <v>1434</v>
      </c>
      <c r="C1055" s="80" t="s">
        <v>143</v>
      </c>
      <c r="D1055" s="80" t="s">
        <v>159</v>
      </c>
      <c r="E1055" s="80" t="s">
        <v>127</v>
      </c>
      <c r="F1055" s="170">
        <v>150</v>
      </c>
    </row>
    <row r="1056" spans="1:6" hidden="1" x14ac:dyDescent="0.25">
      <c r="A1056" s="169">
        <v>43601</v>
      </c>
      <c r="B1056" s="80" t="s">
        <v>1441</v>
      </c>
      <c r="C1056" s="80" t="s">
        <v>223</v>
      </c>
      <c r="D1056" s="80" t="s">
        <v>159</v>
      </c>
      <c r="E1056" s="80" t="s">
        <v>127</v>
      </c>
      <c r="F1056" s="170">
        <v>150</v>
      </c>
    </row>
    <row r="1057" spans="1:6" hidden="1" x14ac:dyDescent="0.25">
      <c r="A1057" s="169">
        <v>43601</v>
      </c>
      <c r="B1057" s="80" t="s">
        <v>1443</v>
      </c>
      <c r="C1057" s="80" t="s">
        <v>152</v>
      </c>
      <c r="D1057" s="80" t="s">
        <v>159</v>
      </c>
      <c r="E1057" s="80" t="s">
        <v>127</v>
      </c>
      <c r="F1057" s="170">
        <v>150</v>
      </c>
    </row>
    <row r="1058" spans="1:6" hidden="1" x14ac:dyDescent="0.25">
      <c r="A1058" s="169">
        <v>43603</v>
      </c>
      <c r="B1058" s="80" t="s">
        <v>1460</v>
      </c>
      <c r="C1058" s="80" t="s">
        <v>148</v>
      </c>
      <c r="D1058" s="80" t="s">
        <v>159</v>
      </c>
      <c r="E1058" s="80" t="s">
        <v>127</v>
      </c>
      <c r="F1058" s="170">
        <v>150</v>
      </c>
    </row>
    <row r="1059" spans="1:6" hidden="1" x14ac:dyDescent="0.25">
      <c r="A1059" s="169">
        <v>43604</v>
      </c>
      <c r="B1059" s="80" t="s">
        <v>1471</v>
      </c>
      <c r="C1059" s="80" t="s">
        <v>187</v>
      </c>
      <c r="D1059" s="80" t="s">
        <v>159</v>
      </c>
      <c r="E1059" s="80" t="s">
        <v>153</v>
      </c>
      <c r="F1059" s="170">
        <v>150</v>
      </c>
    </row>
    <row r="1060" spans="1:6" hidden="1" x14ac:dyDescent="0.25">
      <c r="A1060" s="169">
        <v>43604</v>
      </c>
      <c r="B1060" s="80" t="s">
        <v>1473</v>
      </c>
      <c r="C1060" s="80" t="s">
        <v>152</v>
      </c>
      <c r="D1060" s="80" t="s">
        <v>159</v>
      </c>
      <c r="E1060" s="80" t="s">
        <v>121</v>
      </c>
      <c r="F1060" s="170">
        <v>150</v>
      </c>
    </row>
    <row r="1061" spans="1:6" hidden="1" x14ac:dyDescent="0.25">
      <c r="A1061" s="169">
        <v>43604</v>
      </c>
      <c r="B1061" s="80" t="s">
        <v>1476</v>
      </c>
      <c r="C1061" s="80" t="s">
        <v>157</v>
      </c>
      <c r="D1061" s="80" t="s">
        <v>159</v>
      </c>
      <c r="E1061" s="80" t="s">
        <v>153</v>
      </c>
      <c r="F1061" s="170">
        <v>150</v>
      </c>
    </row>
    <row r="1062" spans="1:6" hidden="1" x14ac:dyDescent="0.25">
      <c r="A1062" s="169">
        <v>43606</v>
      </c>
      <c r="B1062" s="80" t="s">
        <v>1491</v>
      </c>
      <c r="C1062" s="80" t="s">
        <v>125</v>
      </c>
      <c r="D1062" s="80" t="s">
        <v>159</v>
      </c>
      <c r="E1062" s="80" t="s">
        <v>131</v>
      </c>
      <c r="F1062" s="170">
        <v>150</v>
      </c>
    </row>
    <row r="1063" spans="1:6" hidden="1" x14ac:dyDescent="0.25">
      <c r="A1063" s="169">
        <v>43606</v>
      </c>
      <c r="B1063" s="80" t="s">
        <v>1496</v>
      </c>
      <c r="C1063" s="80" t="s">
        <v>167</v>
      </c>
      <c r="D1063" s="80" t="s">
        <v>159</v>
      </c>
      <c r="E1063" s="80" t="s">
        <v>127</v>
      </c>
      <c r="F1063" s="170">
        <v>150</v>
      </c>
    </row>
    <row r="1064" spans="1:6" hidden="1" x14ac:dyDescent="0.25">
      <c r="A1064" s="169">
        <v>43606</v>
      </c>
      <c r="B1064" s="80" t="s">
        <v>1502</v>
      </c>
      <c r="C1064" s="80" t="s">
        <v>119</v>
      </c>
      <c r="D1064" s="80" t="s">
        <v>159</v>
      </c>
      <c r="E1064" s="80" t="s">
        <v>134</v>
      </c>
      <c r="F1064" s="170">
        <v>150</v>
      </c>
    </row>
    <row r="1065" spans="1:6" hidden="1" x14ac:dyDescent="0.25">
      <c r="A1065" s="169">
        <v>43606</v>
      </c>
      <c r="B1065" s="80" t="s">
        <v>1504</v>
      </c>
      <c r="C1065" s="80" t="s">
        <v>223</v>
      </c>
      <c r="D1065" s="80" t="s">
        <v>159</v>
      </c>
      <c r="E1065" s="80" t="s">
        <v>127</v>
      </c>
      <c r="F1065" s="170">
        <v>150</v>
      </c>
    </row>
    <row r="1066" spans="1:6" hidden="1" x14ac:dyDescent="0.25">
      <c r="A1066" s="169">
        <v>43609</v>
      </c>
      <c r="B1066" s="80" t="s">
        <v>1535</v>
      </c>
      <c r="C1066" s="80" t="s">
        <v>125</v>
      </c>
      <c r="D1066" s="80" t="s">
        <v>159</v>
      </c>
      <c r="E1066" s="80" t="s">
        <v>131</v>
      </c>
      <c r="F1066" s="170">
        <v>150</v>
      </c>
    </row>
    <row r="1067" spans="1:6" hidden="1" x14ac:dyDescent="0.25">
      <c r="A1067" s="169">
        <v>43609</v>
      </c>
      <c r="B1067" s="80" t="s">
        <v>1537</v>
      </c>
      <c r="C1067" s="80" t="s">
        <v>123</v>
      </c>
      <c r="D1067" s="80" t="s">
        <v>159</v>
      </c>
      <c r="E1067" s="80" t="s">
        <v>121</v>
      </c>
      <c r="F1067" s="170">
        <v>150</v>
      </c>
    </row>
    <row r="1068" spans="1:6" hidden="1" x14ac:dyDescent="0.25">
      <c r="A1068" s="169">
        <v>43611</v>
      </c>
      <c r="B1068" s="80" t="s">
        <v>1556</v>
      </c>
      <c r="C1068" s="80" t="s">
        <v>167</v>
      </c>
      <c r="D1068" s="80" t="s">
        <v>159</v>
      </c>
      <c r="E1068" s="80" t="s">
        <v>121</v>
      </c>
      <c r="F1068" s="170">
        <v>150</v>
      </c>
    </row>
    <row r="1069" spans="1:6" hidden="1" x14ac:dyDescent="0.25">
      <c r="A1069" s="169">
        <v>43611</v>
      </c>
      <c r="B1069" s="80" t="s">
        <v>1558</v>
      </c>
      <c r="C1069" s="80" t="s">
        <v>148</v>
      </c>
      <c r="D1069" s="80" t="s">
        <v>159</v>
      </c>
      <c r="E1069" s="80" t="s">
        <v>131</v>
      </c>
      <c r="F1069" s="170">
        <v>150</v>
      </c>
    </row>
    <row r="1070" spans="1:6" hidden="1" x14ac:dyDescent="0.25">
      <c r="A1070" s="169">
        <v>43613</v>
      </c>
      <c r="B1070" s="80" t="s">
        <v>1575</v>
      </c>
      <c r="C1070" s="80" t="s">
        <v>125</v>
      </c>
      <c r="D1070" s="80" t="s">
        <v>159</v>
      </c>
      <c r="E1070" s="80" t="s">
        <v>153</v>
      </c>
      <c r="F1070" s="170">
        <v>150</v>
      </c>
    </row>
    <row r="1071" spans="1:6" hidden="1" x14ac:dyDescent="0.25">
      <c r="A1071" s="169">
        <v>43614</v>
      </c>
      <c r="B1071" s="80" t="s">
        <v>1585</v>
      </c>
      <c r="C1071" s="80" t="s">
        <v>223</v>
      </c>
      <c r="D1071" s="80" t="s">
        <v>159</v>
      </c>
      <c r="E1071" s="80" t="s">
        <v>121</v>
      </c>
      <c r="F1071" s="170">
        <v>150</v>
      </c>
    </row>
    <row r="1072" spans="1:6" hidden="1" x14ac:dyDescent="0.25">
      <c r="A1072" s="169">
        <v>43614</v>
      </c>
      <c r="B1072" s="80" t="s">
        <v>1589</v>
      </c>
      <c r="C1072" s="80" t="s">
        <v>223</v>
      </c>
      <c r="D1072" s="80" t="s">
        <v>159</v>
      </c>
      <c r="E1072" s="80" t="s">
        <v>134</v>
      </c>
      <c r="F1072" s="170">
        <v>150</v>
      </c>
    </row>
    <row r="1073" spans="1:6" hidden="1" x14ac:dyDescent="0.25">
      <c r="A1073" s="169">
        <v>43614</v>
      </c>
      <c r="B1073" s="80" t="s">
        <v>1595</v>
      </c>
      <c r="C1073" s="80" t="s">
        <v>125</v>
      </c>
      <c r="D1073" s="80" t="s">
        <v>159</v>
      </c>
      <c r="E1073" s="80" t="s">
        <v>121</v>
      </c>
      <c r="F1073" s="170">
        <v>150</v>
      </c>
    </row>
    <row r="1074" spans="1:6" hidden="1" x14ac:dyDescent="0.25">
      <c r="A1074" s="169">
        <v>43617</v>
      </c>
      <c r="B1074" s="80" t="s">
        <v>1614</v>
      </c>
      <c r="C1074" s="80" t="s">
        <v>152</v>
      </c>
      <c r="D1074" s="80" t="s">
        <v>159</v>
      </c>
      <c r="E1074" s="80" t="s">
        <v>127</v>
      </c>
      <c r="F1074" s="170">
        <v>150</v>
      </c>
    </row>
    <row r="1075" spans="1:6" hidden="1" x14ac:dyDescent="0.25">
      <c r="A1075" s="169">
        <v>43618</v>
      </c>
      <c r="B1075" s="80" t="s">
        <v>1617</v>
      </c>
      <c r="C1075" s="80" t="s">
        <v>125</v>
      </c>
      <c r="D1075" s="80" t="s">
        <v>159</v>
      </c>
      <c r="E1075" s="80" t="s">
        <v>121</v>
      </c>
      <c r="F1075" s="170">
        <v>150</v>
      </c>
    </row>
    <row r="1076" spans="1:6" hidden="1" x14ac:dyDescent="0.25">
      <c r="A1076" s="169">
        <v>43618</v>
      </c>
      <c r="B1076" s="80" t="s">
        <v>1618</v>
      </c>
      <c r="C1076" s="80" t="s">
        <v>157</v>
      </c>
      <c r="D1076" s="80" t="s">
        <v>159</v>
      </c>
      <c r="E1076" s="80" t="s">
        <v>127</v>
      </c>
      <c r="F1076" s="170">
        <v>150</v>
      </c>
    </row>
    <row r="1077" spans="1:6" hidden="1" x14ac:dyDescent="0.25">
      <c r="A1077" s="169">
        <v>43619</v>
      </c>
      <c r="B1077" s="80" t="s">
        <v>1632</v>
      </c>
      <c r="C1077" s="80" t="s">
        <v>182</v>
      </c>
      <c r="D1077" s="80" t="s">
        <v>159</v>
      </c>
      <c r="E1077" s="80" t="s">
        <v>121</v>
      </c>
      <c r="F1077" s="170">
        <v>150</v>
      </c>
    </row>
    <row r="1078" spans="1:6" hidden="1" x14ac:dyDescent="0.25">
      <c r="A1078" s="169">
        <v>43619</v>
      </c>
      <c r="B1078" s="80" t="s">
        <v>1634</v>
      </c>
      <c r="C1078" s="80" t="s">
        <v>148</v>
      </c>
      <c r="D1078" s="80" t="s">
        <v>159</v>
      </c>
      <c r="E1078" s="80" t="s">
        <v>153</v>
      </c>
      <c r="F1078" s="170">
        <v>150</v>
      </c>
    </row>
    <row r="1079" spans="1:6" hidden="1" x14ac:dyDescent="0.25">
      <c r="A1079" s="169">
        <v>43620</v>
      </c>
      <c r="B1079" s="80" t="s">
        <v>1645</v>
      </c>
      <c r="C1079" s="80" t="s">
        <v>182</v>
      </c>
      <c r="D1079" s="80" t="s">
        <v>159</v>
      </c>
      <c r="E1079" s="80" t="s">
        <v>134</v>
      </c>
      <c r="F1079" s="170">
        <v>150</v>
      </c>
    </row>
    <row r="1080" spans="1:6" hidden="1" x14ac:dyDescent="0.25">
      <c r="A1080" s="169">
        <v>43620</v>
      </c>
      <c r="B1080" s="80" t="s">
        <v>1647</v>
      </c>
      <c r="C1080" s="80" t="s">
        <v>164</v>
      </c>
      <c r="D1080" s="80" t="s">
        <v>159</v>
      </c>
      <c r="E1080" s="80" t="s">
        <v>121</v>
      </c>
      <c r="F1080" s="170">
        <v>150</v>
      </c>
    </row>
    <row r="1081" spans="1:6" hidden="1" x14ac:dyDescent="0.25">
      <c r="A1081" s="169">
        <v>43621</v>
      </c>
      <c r="B1081" s="80" t="s">
        <v>1651</v>
      </c>
      <c r="C1081" s="80" t="s">
        <v>125</v>
      </c>
      <c r="D1081" s="80" t="s">
        <v>159</v>
      </c>
      <c r="E1081" s="80" t="s">
        <v>134</v>
      </c>
      <c r="F1081" s="170">
        <v>150</v>
      </c>
    </row>
    <row r="1082" spans="1:6" hidden="1" x14ac:dyDescent="0.25">
      <c r="A1082" s="169">
        <v>43622</v>
      </c>
      <c r="B1082" s="80" t="s">
        <v>1660</v>
      </c>
      <c r="C1082" s="80" t="s">
        <v>167</v>
      </c>
      <c r="D1082" s="80" t="s">
        <v>159</v>
      </c>
      <c r="E1082" s="80" t="s">
        <v>121</v>
      </c>
      <c r="F1082" s="170">
        <v>150</v>
      </c>
    </row>
    <row r="1083" spans="1:6" hidden="1" x14ac:dyDescent="0.25">
      <c r="A1083" s="169">
        <v>43623</v>
      </c>
      <c r="B1083" s="80" t="s">
        <v>1668</v>
      </c>
      <c r="C1083" s="80" t="s">
        <v>123</v>
      </c>
      <c r="D1083" s="80" t="s">
        <v>159</v>
      </c>
      <c r="E1083" s="80" t="s">
        <v>131</v>
      </c>
      <c r="F1083" s="170">
        <v>150</v>
      </c>
    </row>
    <row r="1084" spans="1:6" hidden="1" x14ac:dyDescent="0.25">
      <c r="A1084" s="169">
        <v>43623</v>
      </c>
      <c r="B1084" s="80" t="s">
        <v>1673</v>
      </c>
      <c r="C1084" s="80" t="s">
        <v>143</v>
      </c>
      <c r="D1084" s="80" t="s">
        <v>159</v>
      </c>
      <c r="E1084" s="80" t="s">
        <v>153</v>
      </c>
      <c r="F1084" s="170">
        <v>150</v>
      </c>
    </row>
    <row r="1085" spans="1:6" hidden="1" x14ac:dyDescent="0.25">
      <c r="A1085" s="169">
        <v>43624</v>
      </c>
      <c r="B1085" s="80" t="s">
        <v>1680</v>
      </c>
      <c r="C1085" s="80" t="s">
        <v>182</v>
      </c>
      <c r="D1085" s="80" t="s">
        <v>159</v>
      </c>
      <c r="E1085" s="80" t="s">
        <v>121</v>
      </c>
      <c r="F1085" s="170">
        <v>150</v>
      </c>
    </row>
    <row r="1086" spans="1:6" hidden="1" x14ac:dyDescent="0.25">
      <c r="A1086" s="169">
        <v>43624</v>
      </c>
      <c r="B1086" s="80" t="s">
        <v>1687</v>
      </c>
      <c r="C1086" s="80" t="s">
        <v>119</v>
      </c>
      <c r="D1086" s="80" t="s">
        <v>159</v>
      </c>
      <c r="E1086" s="80" t="s">
        <v>134</v>
      </c>
      <c r="F1086" s="170">
        <v>150</v>
      </c>
    </row>
    <row r="1087" spans="1:6" hidden="1" x14ac:dyDescent="0.25">
      <c r="A1087" s="169">
        <v>43625</v>
      </c>
      <c r="B1087" s="80" t="s">
        <v>1698</v>
      </c>
      <c r="C1087" s="80" t="s">
        <v>125</v>
      </c>
      <c r="D1087" s="80" t="s">
        <v>159</v>
      </c>
      <c r="E1087" s="80" t="s">
        <v>121</v>
      </c>
      <c r="F1087" s="170">
        <v>150</v>
      </c>
    </row>
    <row r="1088" spans="1:6" hidden="1" x14ac:dyDescent="0.25">
      <c r="A1088" s="169">
        <v>43626</v>
      </c>
      <c r="B1088" s="80" t="s">
        <v>1704</v>
      </c>
      <c r="C1088" s="80" t="s">
        <v>145</v>
      </c>
      <c r="D1088" s="80" t="s">
        <v>159</v>
      </c>
      <c r="E1088" s="80" t="s">
        <v>153</v>
      </c>
      <c r="F1088" s="170">
        <v>150</v>
      </c>
    </row>
    <row r="1089" spans="1:6" hidden="1" x14ac:dyDescent="0.25">
      <c r="A1089" s="169">
        <v>43627</v>
      </c>
      <c r="B1089" s="80" t="s">
        <v>1714</v>
      </c>
      <c r="C1089" s="80" t="s">
        <v>182</v>
      </c>
      <c r="D1089" s="80" t="s">
        <v>159</v>
      </c>
      <c r="E1089" s="80" t="s">
        <v>127</v>
      </c>
      <c r="F1089" s="170">
        <v>150</v>
      </c>
    </row>
    <row r="1090" spans="1:6" hidden="1" x14ac:dyDescent="0.25">
      <c r="A1090" s="169">
        <v>43629</v>
      </c>
      <c r="B1090" s="80" t="s">
        <v>1732</v>
      </c>
      <c r="C1090" s="80" t="s">
        <v>189</v>
      </c>
      <c r="D1090" s="80" t="s">
        <v>159</v>
      </c>
      <c r="E1090" s="80" t="s">
        <v>134</v>
      </c>
      <c r="F1090" s="170">
        <v>150</v>
      </c>
    </row>
    <row r="1091" spans="1:6" hidden="1" x14ac:dyDescent="0.25">
      <c r="A1091" s="169">
        <v>43629</v>
      </c>
      <c r="B1091" s="80" t="s">
        <v>1733</v>
      </c>
      <c r="C1091" s="80" t="s">
        <v>187</v>
      </c>
      <c r="D1091" s="80" t="s">
        <v>159</v>
      </c>
      <c r="E1091" s="80" t="s">
        <v>127</v>
      </c>
      <c r="F1091" s="170">
        <v>150</v>
      </c>
    </row>
    <row r="1092" spans="1:6" hidden="1" x14ac:dyDescent="0.25">
      <c r="A1092" s="169">
        <v>43629</v>
      </c>
      <c r="B1092" s="80" t="s">
        <v>1734</v>
      </c>
      <c r="C1092" s="80" t="s">
        <v>223</v>
      </c>
      <c r="D1092" s="80" t="s">
        <v>159</v>
      </c>
      <c r="E1092" s="80" t="s">
        <v>153</v>
      </c>
      <c r="F1092" s="170">
        <v>150</v>
      </c>
    </row>
    <row r="1093" spans="1:6" hidden="1" x14ac:dyDescent="0.25">
      <c r="A1093" s="169">
        <v>43630</v>
      </c>
      <c r="B1093" s="80" t="s">
        <v>1740</v>
      </c>
      <c r="C1093" s="80" t="s">
        <v>152</v>
      </c>
      <c r="D1093" s="80" t="s">
        <v>159</v>
      </c>
      <c r="E1093" s="80" t="s">
        <v>121</v>
      </c>
      <c r="F1093" s="170">
        <v>150</v>
      </c>
    </row>
    <row r="1094" spans="1:6" hidden="1" x14ac:dyDescent="0.25">
      <c r="A1094" s="169">
        <v>43630</v>
      </c>
      <c r="B1094" s="80" t="s">
        <v>1743</v>
      </c>
      <c r="C1094" s="80" t="s">
        <v>157</v>
      </c>
      <c r="D1094" s="80" t="s">
        <v>159</v>
      </c>
      <c r="E1094" s="80" t="s">
        <v>121</v>
      </c>
      <c r="F1094" s="170">
        <v>150</v>
      </c>
    </row>
    <row r="1095" spans="1:6" hidden="1" x14ac:dyDescent="0.25">
      <c r="A1095" s="169">
        <v>43630</v>
      </c>
      <c r="B1095" s="80" t="s">
        <v>1745</v>
      </c>
      <c r="C1095" s="80" t="s">
        <v>138</v>
      </c>
      <c r="D1095" s="80" t="s">
        <v>159</v>
      </c>
      <c r="E1095" s="80" t="s">
        <v>153</v>
      </c>
      <c r="F1095" s="170">
        <v>150</v>
      </c>
    </row>
    <row r="1096" spans="1:6" hidden="1" x14ac:dyDescent="0.25">
      <c r="A1096" s="169">
        <v>43633</v>
      </c>
      <c r="B1096" s="80" t="s">
        <v>1769</v>
      </c>
      <c r="C1096" s="80" t="s">
        <v>164</v>
      </c>
      <c r="D1096" s="80" t="s">
        <v>159</v>
      </c>
      <c r="E1096" s="80" t="s">
        <v>131</v>
      </c>
      <c r="F1096" s="170">
        <v>150</v>
      </c>
    </row>
    <row r="1097" spans="1:6" hidden="1" x14ac:dyDescent="0.25">
      <c r="A1097" s="169">
        <v>43633</v>
      </c>
      <c r="B1097" s="80" t="s">
        <v>1772</v>
      </c>
      <c r="C1097" s="80" t="s">
        <v>143</v>
      </c>
      <c r="D1097" s="80" t="s">
        <v>159</v>
      </c>
      <c r="E1097" s="80" t="s">
        <v>134</v>
      </c>
      <c r="F1097" s="170">
        <v>150</v>
      </c>
    </row>
    <row r="1098" spans="1:6" hidden="1" x14ac:dyDescent="0.25">
      <c r="A1098" s="169">
        <v>43634</v>
      </c>
      <c r="B1098" s="80" t="s">
        <v>1779</v>
      </c>
      <c r="C1098" s="80" t="s">
        <v>138</v>
      </c>
      <c r="D1098" s="80" t="s">
        <v>159</v>
      </c>
      <c r="E1098" s="80" t="s">
        <v>121</v>
      </c>
      <c r="F1098" s="170">
        <v>150</v>
      </c>
    </row>
    <row r="1099" spans="1:6" hidden="1" x14ac:dyDescent="0.25">
      <c r="A1099" s="169">
        <v>43635</v>
      </c>
      <c r="B1099" s="80" t="s">
        <v>1791</v>
      </c>
      <c r="C1099" s="80" t="s">
        <v>125</v>
      </c>
      <c r="D1099" s="80" t="s">
        <v>159</v>
      </c>
      <c r="E1099" s="80" t="s">
        <v>153</v>
      </c>
      <c r="F1099" s="170">
        <v>150</v>
      </c>
    </row>
    <row r="1100" spans="1:6" hidden="1" x14ac:dyDescent="0.25">
      <c r="A1100" s="169">
        <v>43635</v>
      </c>
      <c r="B1100" s="80" t="s">
        <v>1792</v>
      </c>
      <c r="C1100" s="80" t="s">
        <v>138</v>
      </c>
      <c r="D1100" s="80" t="s">
        <v>159</v>
      </c>
      <c r="E1100" s="80" t="s">
        <v>121</v>
      </c>
      <c r="F1100" s="170">
        <v>150</v>
      </c>
    </row>
    <row r="1101" spans="1:6" hidden="1" x14ac:dyDescent="0.25">
      <c r="A1101" s="169">
        <v>43635</v>
      </c>
      <c r="B1101" s="80" t="s">
        <v>1793</v>
      </c>
      <c r="C1101" s="80" t="s">
        <v>187</v>
      </c>
      <c r="D1101" s="80" t="s">
        <v>159</v>
      </c>
      <c r="E1101" s="80" t="s">
        <v>153</v>
      </c>
      <c r="F1101" s="170">
        <v>150</v>
      </c>
    </row>
    <row r="1102" spans="1:6" hidden="1" x14ac:dyDescent="0.25">
      <c r="A1102" s="169">
        <v>43636</v>
      </c>
      <c r="B1102" s="80" t="s">
        <v>1801</v>
      </c>
      <c r="C1102" s="80" t="s">
        <v>189</v>
      </c>
      <c r="D1102" s="80" t="s">
        <v>159</v>
      </c>
      <c r="E1102" s="80" t="s">
        <v>127</v>
      </c>
      <c r="F1102" s="170">
        <v>150</v>
      </c>
    </row>
    <row r="1103" spans="1:6" hidden="1" x14ac:dyDescent="0.25">
      <c r="A1103" s="169">
        <v>43641</v>
      </c>
      <c r="B1103" s="80" t="s">
        <v>1834</v>
      </c>
      <c r="C1103" s="80" t="s">
        <v>143</v>
      </c>
      <c r="D1103" s="80" t="s">
        <v>159</v>
      </c>
      <c r="E1103" s="80" t="s">
        <v>153</v>
      </c>
      <c r="F1103" s="170">
        <v>150</v>
      </c>
    </row>
    <row r="1104" spans="1:6" hidden="1" x14ac:dyDescent="0.25">
      <c r="A1104" s="169">
        <v>43642</v>
      </c>
      <c r="B1104" s="80" t="s">
        <v>1840</v>
      </c>
      <c r="C1104" s="80" t="s">
        <v>148</v>
      </c>
      <c r="D1104" s="80" t="s">
        <v>159</v>
      </c>
      <c r="E1104" s="80" t="s">
        <v>131</v>
      </c>
      <c r="F1104" s="170">
        <v>150</v>
      </c>
    </row>
    <row r="1105" spans="1:6" hidden="1" x14ac:dyDescent="0.25">
      <c r="A1105" s="169">
        <v>43642</v>
      </c>
      <c r="B1105" s="80" t="s">
        <v>1841</v>
      </c>
      <c r="C1105" s="80" t="s">
        <v>223</v>
      </c>
      <c r="D1105" s="80" t="s">
        <v>159</v>
      </c>
      <c r="E1105" s="80" t="s">
        <v>127</v>
      </c>
      <c r="F1105" s="170">
        <v>150</v>
      </c>
    </row>
    <row r="1106" spans="1:6" hidden="1" x14ac:dyDescent="0.25">
      <c r="A1106" s="169">
        <v>43642</v>
      </c>
      <c r="B1106" s="80" t="s">
        <v>1846</v>
      </c>
      <c r="C1106" s="80" t="s">
        <v>182</v>
      </c>
      <c r="D1106" s="80" t="s">
        <v>159</v>
      </c>
      <c r="E1106" s="80" t="s">
        <v>153</v>
      </c>
      <c r="F1106" s="170">
        <v>150</v>
      </c>
    </row>
    <row r="1107" spans="1:6" hidden="1" x14ac:dyDescent="0.25">
      <c r="A1107" s="169">
        <v>43643</v>
      </c>
      <c r="B1107" s="80" t="s">
        <v>1853</v>
      </c>
      <c r="C1107" s="80" t="s">
        <v>167</v>
      </c>
      <c r="D1107" s="80" t="s">
        <v>159</v>
      </c>
      <c r="E1107" s="80" t="s">
        <v>153</v>
      </c>
      <c r="F1107" s="170">
        <v>150</v>
      </c>
    </row>
    <row r="1108" spans="1:6" hidden="1" x14ac:dyDescent="0.25">
      <c r="A1108" s="169">
        <v>43644</v>
      </c>
      <c r="B1108" s="80" t="s">
        <v>1856</v>
      </c>
      <c r="C1108" s="80" t="s">
        <v>164</v>
      </c>
      <c r="D1108" s="80" t="s">
        <v>159</v>
      </c>
      <c r="E1108" s="80" t="s">
        <v>121</v>
      </c>
      <c r="F1108" s="170">
        <v>150</v>
      </c>
    </row>
    <row r="1109" spans="1:6" hidden="1" x14ac:dyDescent="0.25">
      <c r="A1109" s="169">
        <v>43644</v>
      </c>
      <c r="B1109" s="80" t="s">
        <v>1861</v>
      </c>
      <c r="C1109" s="80" t="s">
        <v>143</v>
      </c>
      <c r="D1109" s="80" t="s">
        <v>159</v>
      </c>
      <c r="E1109" s="80" t="s">
        <v>153</v>
      </c>
      <c r="F1109" s="170">
        <v>150</v>
      </c>
    </row>
    <row r="1110" spans="1:6" hidden="1" x14ac:dyDescent="0.25">
      <c r="A1110" s="169">
        <v>43645</v>
      </c>
      <c r="B1110" s="80" t="s">
        <v>1865</v>
      </c>
      <c r="C1110" s="80" t="s">
        <v>138</v>
      </c>
      <c r="D1110" s="80" t="s">
        <v>159</v>
      </c>
      <c r="E1110" s="80" t="s">
        <v>127</v>
      </c>
      <c r="F1110" s="170">
        <v>150</v>
      </c>
    </row>
    <row r="1111" spans="1:6" hidden="1" x14ac:dyDescent="0.25">
      <c r="A1111" s="169">
        <v>43645</v>
      </c>
      <c r="B1111" s="80" t="s">
        <v>1868</v>
      </c>
      <c r="C1111" s="80" t="s">
        <v>138</v>
      </c>
      <c r="D1111" s="80" t="s">
        <v>159</v>
      </c>
      <c r="E1111" s="80" t="s">
        <v>121</v>
      </c>
      <c r="F1111" s="170">
        <v>150</v>
      </c>
    </row>
    <row r="1112" spans="1:6" hidden="1" x14ac:dyDescent="0.25">
      <c r="A1112" s="169">
        <v>43646</v>
      </c>
      <c r="B1112" s="80" t="s">
        <v>1883</v>
      </c>
      <c r="C1112" s="80" t="s">
        <v>187</v>
      </c>
      <c r="D1112" s="80" t="s">
        <v>159</v>
      </c>
      <c r="E1112" s="80" t="s">
        <v>131</v>
      </c>
      <c r="F1112" s="170">
        <v>150</v>
      </c>
    </row>
    <row r="1113" spans="1:6" hidden="1" x14ac:dyDescent="0.25">
      <c r="A1113" s="169">
        <v>43647</v>
      </c>
      <c r="B1113" s="80" t="s">
        <v>1893</v>
      </c>
      <c r="C1113" s="80" t="s">
        <v>145</v>
      </c>
      <c r="D1113" s="80" t="s">
        <v>159</v>
      </c>
      <c r="E1113" s="80" t="s">
        <v>134</v>
      </c>
      <c r="F1113" s="170">
        <v>150</v>
      </c>
    </row>
    <row r="1114" spans="1:6" hidden="1" x14ac:dyDescent="0.25">
      <c r="A1114" s="169">
        <v>43648</v>
      </c>
      <c r="B1114" s="80" t="s">
        <v>1899</v>
      </c>
      <c r="C1114" s="80" t="s">
        <v>157</v>
      </c>
      <c r="D1114" s="80" t="s">
        <v>159</v>
      </c>
      <c r="E1114" s="80" t="s">
        <v>153</v>
      </c>
      <c r="F1114" s="170">
        <v>150</v>
      </c>
    </row>
    <row r="1115" spans="1:6" hidden="1" x14ac:dyDescent="0.25">
      <c r="A1115" s="169">
        <v>43648</v>
      </c>
      <c r="B1115" s="80" t="s">
        <v>1903</v>
      </c>
      <c r="C1115" s="80" t="s">
        <v>157</v>
      </c>
      <c r="D1115" s="80" t="s">
        <v>159</v>
      </c>
      <c r="E1115" s="80" t="s">
        <v>121</v>
      </c>
      <c r="F1115" s="170">
        <v>150</v>
      </c>
    </row>
    <row r="1116" spans="1:6" hidden="1" x14ac:dyDescent="0.25">
      <c r="A1116" s="169">
        <v>43649</v>
      </c>
      <c r="B1116" s="80" t="s">
        <v>1906</v>
      </c>
      <c r="C1116" s="80" t="s">
        <v>138</v>
      </c>
      <c r="D1116" s="80" t="s">
        <v>159</v>
      </c>
      <c r="E1116" s="80" t="s">
        <v>134</v>
      </c>
      <c r="F1116" s="170">
        <v>150</v>
      </c>
    </row>
    <row r="1117" spans="1:6" hidden="1" x14ac:dyDescent="0.25">
      <c r="A1117" s="169">
        <v>43649</v>
      </c>
      <c r="B1117" s="80" t="s">
        <v>1914</v>
      </c>
      <c r="C1117" s="80" t="s">
        <v>123</v>
      </c>
      <c r="D1117" s="80" t="s">
        <v>159</v>
      </c>
      <c r="E1117" s="80" t="s">
        <v>131</v>
      </c>
      <c r="F1117" s="170">
        <v>150</v>
      </c>
    </row>
    <row r="1118" spans="1:6" hidden="1" x14ac:dyDescent="0.25">
      <c r="A1118" s="169">
        <v>43649</v>
      </c>
      <c r="B1118" s="80" t="s">
        <v>1920</v>
      </c>
      <c r="C1118" s="80" t="s">
        <v>223</v>
      </c>
      <c r="D1118" s="80" t="s">
        <v>159</v>
      </c>
      <c r="E1118" s="80" t="s">
        <v>127</v>
      </c>
      <c r="F1118" s="170">
        <v>150</v>
      </c>
    </row>
    <row r="1119" spans="1:6" hidden="1" x14ac:dyDescent="0.25">
      <c r="A1119" s="169">
        <v>43650</v>
      </c>
      <c r="B1119" s="80" t="s">
        <v>1926</v>
      </c>
      <c r="C1119" s="80" t="s">
        <v>182</v>
      </c>
      <c r="D1119" s="80" t="s">
        <v>159</v>
      </c>
      <c r="E1119" s="80" t="s">
        <v>127</v>
      </c>
      <c r="F1119" s="170">
        <v>150</v>
      </c>
    </row>
    <row r="1120" spans="1:6" hidden="1" x14ac:dyDescent="0.25">
      <c r="A1120" s="169">
        <v>43651</v>
      </c>
      <c r="B1120" s="80" t="s">
        <v>1939</v>
      </c>
      <c r="C1120" s="80" t="s">
        <v>157</v>
      </c>
      <c r="D1120" s="80" t="s">
        <v>159</v>
      </c>
      <c r="E1120" s="80" t="s">
        <v>134</v>
      </c>
      <c r="F1120" s="170">
        <v>150</v>
      </c>
    </row>
    <row r="1121" spans="1:6" hidden="1" x14ac:dyDescent="0.25">
      <c r="A1121" s="169">
        <v>43652</v>
      </c>
      <c r="B1121" s="80" t="s">
        <v>1942</v>
      </c>
      <c r="C1121" s="80" t="s">
        <v>223</v>
      </c>
      <c r="D1121" s="80" t="s">
        <v>159</v>
      </c>
      <c r="E1121" s="80" t="s">
        <v>121</v>
      </c>
      <c r="F1121" s="170">
        <v>150</v>
      </c>
    </row>
    <row r="1122" spans="1:6" hidden="1" x14ac:dyDescent="0.25">
      <c r="A1122" s="169">
        <v>43653</v>
      </c>
      <c r="B1122" s="80" t="s">
        <v>1961</v>
      </c>
      <c r="C1122" s="80" t="s">
        <v>125</v>
      </c>
      <c r="D1122" s="80" t="s">
        <v>159</v>
      </c>
      <c r="E1122" s="80" t="s">
        <v>131</v>
      </c>
      <c r="F1122" s="170">
        <v>150</v>
      </c>
    </row>
    <row r="1123" spans="1:6" hidden="1" x14ac:dyDescent="0.25">
      <c r="A1123" s="169">
        <v>43654</v>
      </c>
      <c r="B1123" s="80" t="s">
        <v>1963</v>
      </c>
      <c r="C1123" s="80" t="s">
        <v>187</v>
      </c>
      <c r="D1123" s="80" t="s">
        <v>159</v>
      </c>
      <c r="E1123" s="80" t="s">
        <v>121</v>
      </c>
      <c r="F1123" s="170">
        <v>150</v>
      </c>
    </row>
    <row r="1124" spans="1:6" hidden="1" x14ac:dyDescent="0.25">
      <c r="A1124" s="169">
        <v>43654</v>
      </c>
      <c r="B1124" s="80" t="s">
        <v>1964</v>
      </c>
      <c r="C1124" s="80" t="s">
        <v>138</v>
      </c>
      <c r="D1124" s="80" t="s">
        <v>159</v>
      </c>
      <c r="E1124" s="80" t="s">
        <v>127</v>
      </c>
      <c r="F1124" s="170">
        <v>150</v>
      </c>
    </row>
    <row r="1125" spans="1:6" hidden="1" x14ac:dyDescent="0.25">
      <c r="A1125" s="169">
        <v>43654</v>
      </c>
      <c r="B1125" s="80" t="s">
        <v>1965</v>
      </c>
      <c r="C1125" s="80" t="s">
        <v>145</v>
      </c>
      <c r="D1125" s="80" t="s">
        <v>159</v>
      </c>
      <c r="E1125" s="80" t="s">
        <v>153</v>
      </c>
      <c r="F1125" s="170">
        <v>150</v>
      </c>
    </row>
    <row r="1126" spans="1:6" hidden="1" x14ac:dyDescent="0.25">
      <c r="A1126" s="169">
        <v>43656</v>
      </c>
      <c r="B1126" s="80" t="s">
        <v>1975</v>
      </c>
      <c r="C1126" s="80" t="s">
        <v>223</v>
      </c>
      <c r="D1126" s="80" t="s">
        <v>159</v>
      </c>
      <c r="E1126" s="80" t="s">
        <v>153</v>
      </c>
      <c r="F1126" s="170">
        <v>150</v>
      </c>
    </row>
    <row r="1127" spans="1:6" hidden="1" x14ac:dyDescent="0.25">
      <c r="A1127" s="169">
        <v>43657</v>
      </c>
      <c r="B1127" s="80" t="s">
        <v>1980</v>
      </c>
      <c r="C1127" s="80" t="s">
        <v>123</v>
      </c>
      <c r="D1127" s="80" t="s">
        <v>159</v>
      </c>
      <c r="E1127" s="80" t="s">
        <v>134</v>
      </c>
      <c r="F1127" s="170">
        <v>150</v>
      </c>
    </row>
    <row r="1128" spans="1:6" hidden="1" x14ac:dyDescent="0.25">
      <c r="A1128" s="169">
        <v>43657</v>
      </c>
      <c r="B1128" s="80" t="s">
        <v>1983</v>
      </c>
      <c r="C1128" s="80" t="s">
        <v>136</v>
      </c>
      <c r="D1128" s="80" t="s">
        <v>159</v>
      </c>
      <c r="E1128" s="80" t="s">
        <v>127</v>
      </c>
      <c r="F1128" s="170">
        <v>150</v>
      </c>
    </row>
    <row r="1129" spans="1:6" hidden="1" x14ac:dyDescent="0.25">
      <c r="A1129" s="169">
        <v>43657</v>
      </c>
      <c r="B1129" s="80" t="s">
        <v>1987</v>
      </c>
      <c r="C1129" s="80" t="s">
        <v>145</v>
      </c>
      <c r="D1129" s="80" t="s">
        <v>159</v>
      </c>
      <c r="E1129" s="80" t="s">
        <v>121</v>
      </c>
      <c r="F1129" s="170">
        <v>150</v>
      </c>
    </row>
    <row r="1130" spans="1:6" hidden="1" x14ac:dyDescent="0.25">
      <c r="A1130" s="169">
        <v>43658</v>
      </c>
      <c r="B1130" s="80" t="s">
        <v>1993</v>
      </c>
      <c r="C1130" s="80" t="s">
        <v>138</v>
      </c>
      <c r="D1130" s="80" t="s">
        <v>159</v>
      </c>
      <c r="E1130" s="80" t="s">
        <v>121</v>
      </c>
      <c r="F1130" s="170">
        <v>150</v>
      </c>
    </row>
    <row r="1131" spans="1:6" hidden="1" x14ac:dyDescent="0.25">
      <c r="A1131" s="169">
        <v>43658</v>
      </c>
      <c r="B1131" s="80" t="s">
        <v>1995</v>
      </c>
      <c r="C1131" s="80" t="s">
        <v>125</v>
      </c>
      <c r="D1131" s="80" t="s">
        <v>159</v>
      </c>
      <c r="E1131" s="80" t="s">
        <v>134</v>
      </c>
      <c r="F1131" s="170">
        <v>150</v>
      </c>
    </row>
    <row r="1132" spans="1:6" hidden="1" x14ac:dyDescent="0.25">
      <c r="A1132" s="169">
        <v>43659</v>
      </c>
      <c r="B1132" s="80" t="s">
        <v>1998</v>
      </c>
      <c r="C1132" s="80" t="s">
        <v>187</v>
      </c>
      <c r="D1132" s="80" t="s">
        <v>159</v>
      </c>
      <c r="E1132" s="80" t="s">
        <v>131</v>
      </c>
      <c r="F1132" s="170">
        <v>150</v>
      </c>
    </row>
    <row r="1133" spans="1:6" hidden="1" x14ac:dyDescent="0.25">
      <c r="A1133" s="169">
        <v>43659</v>
      </c>
      <c r="B1133" s="80" t="s">
        <v>1999</v>
      </c>
      <c r="C1133" s="80" t="s">
        <v>167</v>
      </c>
      <c r="D1133" s="80" t="s">
        <v>159</v>
      </c>
      <c r="E1133" s="80" t="s">
        <v>121</v>
      </c>
      <c r="F1133" s="170">
        <v>150</v>
      </c>
    </row>
    <row r="1134" spans="1:6" hidden="1" x14ac:dyDescent="0.25">
      <c r="A1134" s="169">
        <v>43659</v>
      </c>
      <c r="B1134" s="80" t="s">
        <v>2009</v>
      </c>
      <c r="C1134" s="80" t="s">
        <v>167</v>
      </c>
      <c r="D1134" s="80" t="s">
        <v>159</v>
      </c>
      <c r="E1134" s="80" t="s">
        <v>127</v>
      </c>
      <c r="F1134" s="170">
        <v>150</v>
      </c>
    </row>
    <row r="1135" spans="1:6" hidden="1" x14ac:dyDescent="0.25">
      <c r="A1135" s="169">
        <v>43659</v>
      </c>
      <c r="B1135" s="80" t="s">
        <v>2012</v>
      </c>
      <c r="C1135" s="80" t="s">
        <v>138</v>
      </c>
      <c r="D1135" s="80" t="s">
        <v>159</v>
      </c>
      <c r="E1135" s="80" t="s">
        <v>121</v>
      </c>
      <c r="F1135" s="170">
        <v>150</v>
      </c>
    </row>
    <row r="1136" spans="1:6" hidden="1" x14ac:dyDescent="0.25">
      <c r="A1136" s="169">
        <v>43660</v>
      </c>
      <c r="B1136" s="80" t="s">
        <v>2016</v>
      </c>
      <c r="C1136" s="80" t="s">
        <v>148</v>
      </c>
      <c r="D1136" s="80" t="s">
        <v>159</v>
      </c>
      <c r="E1136" s="80" t="s">
        <v>134</v>
      </c>
      <c r="F1136" s="170">
        <v>150</v>
      </c>
    </row>
    <row r="1137" spans="1:6" hidden="1" x14ac:dyDescent="0.25">
      <c r="A1137" s="169">
        <v>43661</v>
      </c>
      <c r="B1137" s="80" t="s">
        <v>2020</v>
      </c>
      <c r="C1137" s="80" t="s">
        <v>145</v>
      </c>
      <c r="D1137" s="80" t="s">
        <v>159</v>
      </c>
      <c r="E1137" s="80" t="s">
        <v>153</v>
      </c>
      <c r="F1137" s="170">
        <v>150</v>
      </c>
    </row>
    <row r="1138" spans="1:6" hidden="1" x14ac:dyDescent="0.25">
      <c r="A1138" s="169">
        <v>43662</v>
      </c>
      <c r="B1138" s="80" t="s">
        <v>2035</v>
      </c>
      <c r="C1138" s="80" t="s">
        <v>157</v>
      </c>
      <c r="D1138" s="80" t="s">
        <v>159</v>
      </c>
      <c r="E1138" s="80" t="s">
        <v>134</v>
      </c>
      <c r="F1138" s="170">
        <v>150</v>
      </c>
    </row>
    <row r="1139" spans="1:6" hidden="1" x14ac:dyDescent="0.25">
      <c r="A1139" s="169">
        <v>43663</v>
      </c>
      <c r="B1139" s="80" t="s">
        <v>2040</v>
      </c>
      <c r="C1139" s="80" t="s">
        <v>125</v>
      </c>
      <c r="D1139" s="80" t="s">
        <v>159</v>
      </c>
      <c r="E1139" s="80" t="s">
        <v>134</v>
      </c>
      <c r="F1139" s="170">
        <v>150</v>
      </c>
    </row>
    <row r="1140" spans="1:6" hidden="1" x14ac:dyDescent="0.25">
      <c r="A1140" s="169">
        <v>43664</v>
      </c>
      <c r="B1140" s="80" t="s">
        <v>2048</v>
      </c>
      <c r="C1140" s="80" t="s">
        <v>119</v>
      </c>
      <c r="D1140" s="80" t="s">
        <v>159</v>
      </c>
      <c r="E1140" s="80" t="s">
        <v>134</v>
      </c>
      <c r="F1140" s="170">
        <v>150</v>
      </c>
    </row>
    <row r="1141" spans="1:6" hidden="1" x14ac:dyDescent="0.25">
      <c r="A1141" s="169">
        <v>43665</v>
      </c>
      <c r="B1141" s="80" t="s">
        <v>2063</v>
      </c>
      <c r="C1141" s="80" t="s">
        <v>167</v>
      </c>
      <c r="D1141" s="80" t="s">
        <v>159</v>
      </c>
      <c r="E1141" s="80" t="s">
        <v>134</v>
      </c>
      <c r="F1141" s="170">
        <v>150</v>
      </c>
    </row>
    <row r="1142" spans="1:6" hidden="1" x14ac:dyDescent="0.25">
      <c r="A1142" s="169">
        <v>43666</v>
      </c>
      <c r="B1142" s="80" t="s">
        <v>2066</v>
      </c>
      <c r="C1142" s="80" t="s">
        <v>164</v>
      </c>
      <c r="D1142" s="80" t="s">
        <v>159</v>
      </c>
      <c r="E1142" s="80" t="s">
        <v>153</v>
      </c>
      <c r="F1142" s="170">
        <v>150</v>
      </c>
    </row>
    <row r="1143" spans="1:6" hidden="1" x14ac:dyDescent="0.25">
      <c r="A1143" s="169">
        <v>43666</v>
      </c>
      <c r="B1143" s="80" t="s">
        <v>2067</v>
      </c>
      <c r="C1143" s="80" t="s">
        <v>182</v>
      </c>
      <c r="D1143" s="80" t="s">
        <v>159</v>
      </c>
      <c r="E1143" s="80" t="s">
        <v>127</v>
      </c>
      <c r="F1143" s="170">
        <v>150</v>
      </c>
    </row>
    <row r="1144" spans="1:6" hidden="1" x14ac:dyDescent="0.25">
      <c r="A1144" s="169">
        <v>43667</v>
      </c>
      <c r="B1144" s="80" t="s">
        <v>2075</v>
      </c>
      <c r="C1144" s="80" t="s">
        <v>189</v>
      </c>
      <c r="D1144" s="80" t="s">
        <v>159</v>
      </c>
      <c r="E1144" s="80" t="s">
        <v>121</v>
      </c>
      <c r="F1144" s="170">
        <v>150</v>
      </c>
    </row>
    <row r="1145" spans="1:6" hidden="1" x14ac:dyDescent="0.25">
      <c r="A1145" s="169">
        <v>43667</v>
      </c>
      <c r="B1145" s="80" t="s">
        <v>2078</v>
      </c>
      <c r="C1145" s="80" t="s">
        <v>157</v>
      </c>
      <c r="D1145" s="80" t="s">
        <v>159</v>
      </c>
      <c r="E1145" s="80" t="s">
        <v>127</v>
      </c>
      <c r="F1145" s="170">
        <v>150</v>
      </c>
    </row>
    <row r="1146" spans="1:6" hidden="1" x14ac:dyDescent="0.25">
      <c r="A1146" s="169">
        <v>43668</v>
      </c>
      <c r="B1146" s="80" t="s">
        <v>2086</v>
      </c>
      <c r="C1146" s="80" t="s">
        <v>152</v>
      </c>
      <c r="D1146" s="80" t="s">
        <v>159</v>
      </c>
      <c r="E1146" s="80" t="s">
        <v>127</v>
      </c>
      <c r="F1146" s="170">
        <v>150</v>
      </c>
    </row>
    <row r="1147" spans="1:6" hidden="1" x14ac:dyDescent="0.25">
      <c r="A1147" s="169">
        <v>43669</v>
      </c>
      <c r="B1147" s="80" t="s">
        <v>2099</v>
      </c>
      <c r="C1147" s="80" t="s">
        <v>125</v>
      </c>
      <c r="D1147" s="80" t="s">
        <v>159</v>
      </c>
      <c r="E1147" s="80" t="s">
        <v>153</v>
      </c>
      <c r="F1147" s="170">
        <v>150</v>
      </c>
    </row>
    <row r="1148" spans="1:6" hidden="1" x14ac:dyDescent="0.25">
      <c r="A1148" s="169">
        <v>43670</v>
      </c>
      <c r="B1148" s="80" t="s">
        <v>2109</v>
      </c>
      <c r="C1148" s="80" t="s">
        <v>145</v>
      </c>
      <c r="D1148" s="80" t="s">
        <v>159</v>
      </c>
      <c r="E1148" s="80" t="s">
        <v>134</v>
      </c>
      <c r="F1148" s="170">
        <v>150</v>
      </c>
    </row>
    <row r="1149" spans="1:6" hidden="1" x14ac:dyDescent="0.25">
      <c r="A1149" s="169">
        <v>43672</v>
      </c>
      <c r="B1149" s="80" t="s">
        <v>2125</v>
      </c>
      <c r="C1149" s="80" t="s">
        <v>125</v>
      </c>
      <c r="D1149" s="80" t="s">
        <v>159</v>
      </c>
      <c r="E1149" s="80" t="s">
        <v>121</v>
      </c>
      <c r="F1149" s="170">
        <v>150</v>
      </c>
    </row>
    <row r="1150" spans="1:6" hidden="1" x14ac:dyDescent="0.25">
      <c r="A1150" s="169">
        <v>43674</v>
      </c>
      <c r="B1150" s="80" t="s">
        <v>2146</v>
      </c>
      <c r="C1150" s="80" t="s">
        <v>167</v>
      </c>
      <c r="D1150" s="80" t="s">
        <v>159</v>
      </c>
      <c r="E1150" s="80" t="s">
        <v>121</v>
      </c>
      <c r="F1150" s="170">
        <v>150</v>
      </c>
    </row>
    <row r="1151" spans="1:6" hidden="1" x14ac:dyDescent="0.25">
      <c r="A1151" s="169">
        <v>43675</v>
      </c>
      <c r="B1151" s="80" t="s">
        <v>2157</v>
      </c>
      <c r="C1151" s="80" t="s">
        <v>189</v>
      </c>
      <c r="D1151" s="80" t="s">
        <v>159</v>
      </c>
      <c r="E1151" s="80" t="s">
        <v>134</v>
      </c>
      <c r="F1151" s="170">
        <v>150</v>
      </c>
    </row>
    <row r="1152" spans="1:6" hidden="1" x14ac:dyDescent="0.25">
      <c r="A1152" s="169">
        <v>43676</v>
      </c>
      <c r="B1152" s="80" t="s">
        <v>2161</v>
      </c>
      <c r="C1152" s="80" t="s">
        <v>136</v>
      </c>
      <c r="D1152" s="80" t="s">
        <v>159</v>
      </c>
      <c r="E1152" s="80" t="s">
        <v>134</v>
      </c>
      <c r="F1152" s="170">
        <v>150</v>
      </c>
    </row>
    <row r="1153" spans="1:6" hidden="1" x14ac:dyDescent="0.25">
      <c r="A1153" s="169">
        <v>43676</v>
      </c>
      <c r="B1153" s="80" t="s">
        <v>2167</v>
      </c>
      <c r="C1153" s="80" t="s">
        <v>143</v>
      </c>
      <c r="D1153" s="80" t="s">
        <v>159</v>
      </c>
      <c r="E1153" s="80" t="s">
        <v>127</v>
      </c>
      <c r="F1153" s="170">
        <v>150</v>
      </c>
    </row>
    <row r="1154" spans="1:6" hidden="1" x14ac:dyDescent="0.25">
      <c r="A1154" s="169">
        <v>43676</v>
      </c>
      <c r="B1154" s="80" t="s">
        <v>2168</v>
      </c>
      <c r="C1154" s="80" t="s">
        <v>223</v>
      </c>
      <c r="D1154" s="80" t="s">
        <v>159</v>
      </c>
      <c r="E1154" s="80" t="s">
        <v>134</v>
      </c>
      <c r="F1154" s="170">
        <v>150</v>
      </c>
    </row>
    <row r="1155" spans="1:6" hidden="1" x14ac:dyDescent="0.25">
      <c r="A1155" s="169">
        <v>43676</v>
      </c>
      <c r="B1155" s="80" t="s">
        <v>2169</v>
      </c>
      <c r="C1155" s="80" t="s">
        <v>125</v>
      </c>
      <c r="D1155" s="80" t="s">
        <v>159</v>
      </c>
      <c r="E1155" s="80" t="s">
        <v>121</v>
      </c>
      <c r="F1155" s="170">
        <v>150</v>
      </c>
    </row>
    <row r="1156" spans="1:6" hidden="1" x14ac:dyDescent="0.25">
      <c r="A1156" s="169">
        <v>43676</v>
      </c>
      <c r="B1156" s="80" t="s">
        <v>2171</v>
      </c>
      <c r="C1156" s="80" t="s">
        <v>119</v>
      </c>
      <c r="D1156" s="80" t="s">
        <v>159</v>
      </c>
      <c r="E1156" s="80" t="s">
        <v>121</v>
      </c>
      <c r="F1156" s="170">
        <v>150</v>
      </c>
    </row>
    <row r="1157" spans="1:6" hidden="1" x14ac:dyDescent="0.25">
      <c r="A1157" s="169">
        <v>43678</v>
      </c>
      <c r="B1157" s="80" t="s">
        <v>2186</v>
      </c>
      <c r="C1157" s="80" t="s">
        <v>129</v>
      </c>
      <c r="D1157" s="80" t="s">
        <v>159</v>
      </c>
      <c r="E1157" s="80" t="s">
        <v>127</v>
      </c>
      <c r="F1157" s="170">
        <v>150</v>
      </c>
    </row>
    <row r="1158" spans="1:6" hidden="1" x14ac:dyDescent="0.25">
      <c r="A1158" s="169">
        <v>43678</v>
      </c>
      <c r="B1158" s="80" t="s">
        <v>2189</v>
      </c>
      <c r="C1158" s="80" t="s">
        <v>223</v>
      </c>
      <c r="D1158" s="80" t="s">
        <v>159</v>
      </c>
      <c r="E1158" s="80" t="s">
        <v>127</v>
      </c>
      <c r="F1158" s="170">
        <v>150</v>
      </c>
    </row>
    <row r="1159" spans="1:6" hidden="1" x14ac:dyDescent="0.25">
      <c r="A1159" s="169">
        <v>43679</v>
      </c>
      <c r="B1159" s="80" t="s">
        <v>2203</v>
      </c>
      <c r="C1159" s="80" t="s">
        <v>152</v>
      </c>
      <c r="D1159" s="80" t="s">
        <v>159</v>
      </c>
      <c r="E1159" s="80" t="s">
        <v>127</v>
      </c>
      <c r="F1159" s="170">
        <v>150</v>
      </c>
    </row>
    <row r="1160" spans="1:6" hidden="1" x14ac:dyDescent="0.25">
      <c r="A1160" s="169">
        <v>43681</v>
      </c>
      <c r="B1160" s="80" t="s">
        <v>2216</v>
      </c>
      <c r="C1160" s="80" t="s">
        <v>143</v>
      </c>
      <c r="D1160" s="80" t="s">
        <v>159</v>
      </c>
      <c r="E1160" s="80" t="s">
        <v>134</v>
      </c>
      <c r="F1160" s="170">
        <v>150</v>
      </c>
    </row>
    <row r="1161" spans="1:6" hidden="1" x14ac:dyDescent="0.25">
      <c r="A1161" s="169">
        <v>43682</v>
      </c>
      <c r="B1161" s="80" t="s">
        <v>2227</v>
      </c>
      <c r="C1161" s="80" t="s">
        <v>187</v>
      </c>
      <c r="D1161" s="80" t="s">
        <v>159</v>
      </c>
      <c r="E1161" s="80" t="s">
        <v>121</v>
      </c>
      <c r="F1161" s="170">
        <v>150</v>
      </c>
    </row>
    <row r="1162" spans="1:6" hidden="1" x14ac:dyDescent="0.25">
      <c r="A1162" s="169">
        <v>43682</v>
      </c>
      <c r="B1162" s="80" t="s">
        <v>2229</v>
      </c>
      <c r="C1162" s="80" t="s">
        <v>182</v>
      </c>
      <c r="D1162" s="80" t="s">
        <v>159</v>
      </c>
      <c r="E1162" s="80" t="s">
        <v>121</v>
      </c>
      <c r="F1162" s="170">
        <v>150</v>
      </c>
    </row>
    <row r="1163" spans="1:6" hidden="1" x14ac:dyDescent="0.25">
      <c r="A1163" s="169">
        <v>43683</v>
      </c>
      <c r="B1163" s="80" t="s">
        <v>2235</v>
      </c>
      <c r="C1163" s="80" t="s">
        <v>223</v>
      </c>
      <c r="D1163" s="80" t="s">
        <v>159</v>
      </c>
      <c r="E1163" s="80" t="s">
        <v>153</v>
      </c>
      <c r="F1163" s="170">
        <v>150</v>
      </c>
    </row>
    <row r="1164" spans="1:6" hidden="1" x14ac:dyDescent="0.25">
      <c r="A1164" s="169">
        <v>43683</v>
      </c>
      <c r="B1164" s="80" t="s">
        <v>2236</v>
      </c>
      <c r="C1164" s="80" t="s">
        <v>125</v>
      </c>
      <c r="D1164" s="80" t="s">
        <v>159</v>
      </c>
      <c r="E1164" s="80" t="s">
        <v>134</v>
      </c>
      <c r="F1164" s="170">
        <v>150</v>
      </c>
    </row>
    <row r="1165" spans="1:6" hidden="1" x14ac:dyDescent="0.25">
      <c r="A1165" s="169">
        <v>43683</v>
      </c>
      <c r="B1165" s="80" t="s">
        <v>2240</v>
      </c>
      <c r="C1165" s="80" t="s">
        <v>148</v>
      </c>
      <c r="D1165" s="80" t="s">
        <v>159</v>
      </c>
      <c r="E1165" s="80" t="s">
        <v>134</v>
      </c>
      <c r="F1165" s="170">
        <v>150</v>
      </c>
    </row>
    <row r="1166" spans="1:6" hidden="1" x14ac:dyDescent="0.25">
      <c r="A1166" s="169">
        <v>43683</v>
      </c>
      <c r="B1166" s="80" t="s">
        <v>2243</v>
      </c>
      <c r="C1166" s="80" t="s">
        <v>123</v>
      </c>
      <c r="D1166" s="80" t="s">
        <v>159</v>
      </c>
      <c r="E1166" s="80" t="s">
        <v>127</v>
      </c>
      <c r="F1166" s="170">
        <v>150</v>
      </c>
    </row>
    <row r="1167" spans="1:6" hidden="1" x14ac:dyDescent="0.25">
      <c r="A1167" s="169">
        <v>43683</v>
      </c>
      <c r="B1167" s="80" t="s">
        <v>2246</v>
      </c>
      <c r="C1167" s="80" t="s">
        <v>129</v>
      </c>
      <c r="D1167" s="80" t="s">
        <v>159</v>
      </c>
      <c r="E1167" s="80" t="s">
        <v>131</v>
      </c>
      <c r="F1167" s="170">
        <v>150</v>
      </c>
    </row>
    <row r="1168" spans="1:6" hidden="1" x14ac:dyDescent="0.25">
      <c r="A1168" s="169">
        <v>43683</v>
      </c>
      <c r="B1168" s="80" t="s">
        <v>2248</v>
      </c>
      <c r="C1168" s="80" t="s">
        <v>152</v>
      </c>
      <c r="D1168" s="80" t="s">
        <v>159</v>
      </c>
      <c r="E1168" s="80" t="s">
        <v>131</v>
      </c>
      <c r="F1168" s="170">
        <v>150</v>
      </c>
    </row>
    <row r="1169" spans="1:6" hidden="1" x14ac:dyDescent="0.25">
      <c r="A1169" s="169">
        <v>43686</v>
      </c>
      <c r="B1169" s="80" t="s">
        <v>2271</v>
      </c>
      <c r="C1169" s="80" t="s">
        <v>148</v>
      </c>
      <c r="D1169" s="80" t="s">
        <v>159</v>
      </c>
      <c r="E1169" s="80" t="s">
        <v>153</v>
      </c>
      <c r="F1169" s="170">
        <v>150</v>
      </c>
    </row>
    <row r="1170" spans="1:6" hidden="1" x14ac:dyDescent="0.25">
      <c r="A1170" s="169">
        <v>43688</v>
      </c>
      <c r="B1170" s="80" t="s">
        <v>2291</v>
      </c>
      <c r="C1170" s="80" t="s">
        <v>138</v>
      </c>
      <c r="D1170" s="80" t="s">
        <v>159</v>
      </c>
      <c r="E1170" s="80" t="s">
        <v>134</v>
      </c>
      <c r="F1170" s="170">
        <v>150</v>
      </c>
    </row>
    <row r="1171" spans="1:6" hidden="1" x14ac:dyDescent="0.25">
      <c r="A1171" s="169">
        <v>43690</v>
      </c>
      <c r="B1171" s="80" t="s">
        <v>2316</v>
      </c>
      <c r="C1171" s="80" t="s">
        <v>223</v>
      </c>
      <c r="D1171" s="80" t="s">
        <v>159</v>
      </c>
      <c r="E1171" s="80" t="s">
        <v>134</v>
      </c>
      <c r="F1171" s="170">
        <v>150</v>
      </c>
    </row>
    <row r="1172" spans="1:6" hidden="1" x14ac:dyDescent="0.25">
      <c r="A1172" s="169">
        <v>43692</v>
      </c>
      <c r="B1172" s="80" t="s">
        <v>2323</v>
      </c>
      <c r="C1172" s="80" t="s">
        <v>136</v>
      </c>
      <c r="D1172" s="80" t="s">
        <v>159</v>
      </c>
      <c r="E1172" s="80" t="s">
        <v>127</v>
      </c>
      <c r="F1172" s="170">
        <v>150</v>
      </c>
    </row>
    <row r="1173" spans="1:6" hidden="1" x14ac:dyDescent="0.25">
      <c r="A1173" s="169">
        <v>43692</v>
      </c>
      <c r="B1173" s="80" t="s">
        <v>2325</v>
      </c>
      <c r="C1173" s="80" t="s">
        <v>164</v>
      </c>
      <c r="D1173" s="80" t="s">
        <v>159</v>
      </c>
      <c r="E1173" s="80" t="s">
        <v>153</v>
      </c>
      <c r="F1173" s="170">
        <v>150</v>
      </c>
    </row>
    <row r="1174" spans="1:6" hidden="1" x14ac:dyDescent="0.25">
      <c r="A1174" s="169">
        <v>43692</v>
      </c>
      <c r="B1174" s="80" t="s">
        <v>2327</v>
      </c>
      <c r="C1174" s="80" t="s">
        <v>138</v>
      </c>
      <c r="D1174" s="80" t="s">
        <v>159</v>
      </c>
      <c r="E1174" s="80" t="s">
        <v>134</v>
      </c>
      <c r="F1174" s="170">
        <v>150</v>
      </c>
    </row>
    <row r="1175" spans="1:6" hidden="1" x14ac:dyDescent="0.25">
      <c r="A1175" s="169">
        <v>43692</v>
      </c>
      <c r="B1175" s="80" t="s">
        <v>2332</v>
      </c>
      <c r="C1175" s="80" t="s">
        <v>145</v>
      </c>
      <c r="D1175" s="80" t="s">
        <v>159</v>
      </c>
      <c r="E1175" s="80" t="s">
        <v>134</v>
      </c>
      <c r="F1175" s="170">
        <v>150</v>
      </c>
    </row>
    <row r="1176" spans="1:6" hidden="1" x14ac:dyDescent="0.25">
      <c r="A1176" s="169">
        <v>43692</v>
      </c>
      <c r="B1176" s="80" t="s">
        <v>2333</v>
      </c>
      <c r="C1176" s="80" t="s">
        <v>123</v>
      </c>
      <c r="D1176" s="80" t="s">
        <v>159</v>
      </c>
      <c r="E1176" s="80" t="s">
        <v>121</v>
      </c>
      <c r="F1176" s="170">
        <v>150</v>
      </c>
    </row>
    <row r="1177" spans="1:6" hidden="1" x14ac:dyDescent="0.25">
      <c r="A1177" s="169">
        <v>43693</v>
      </c>
      <c r="B1177" s="80" t="s">
        <v>2338</v>
      </c>
      <c r="C1177" s="80" t="s">
        <v>145</v>
      </c>
      <c r="D1177" s="80" t="s">
        <v>159</v>
      </c>
      <c r="E1177" s="80" t="s">
        <v>134</v>
      </c>
      <c r="F1177" s="170">
        <v>150</v>
      </c>
    </row>
    <row r="1178" spans="1:6" hidden="1" x14ac:dyDescent="0.25">
      <c r="A1178" s="169">
        <v>43693</v>
      </c>
      <c r="B1178" s="80" t="s">
        <v>2339</v>
      </c>
      <c r="C1178" s="80" t="s">
        <v>157</v>
      </c>
      <c r="D1178" s="80" t="s">
        <v>159</v>
      </c>
      <c r="E1178" s="80" t="s">
        <v>153</v>
      </c>
      <c r="F1178" s="170">
        <v>150</v>
      </c>
    </row>
    <row r="1179" spans="1:6" hidden="1" x14ac:dyDescent="0.25">
      <c r="A1179" s="169">
        <v>43693</v>
      </c>
      <c r="B1179" s="80" t="s">
        <v>2340</v>
      </c>
      <c r="C1179" s="80" t="s">
        <v>187</v>
      </c>
      <c r="D1179" s="80" t="s">
        <v>159</v>
      </c>
      <c r="E1179" s="80" t="s">
        <v>131</v>
      </c>
      <c r="F1179" s="170">
        <v>150</v>
      </c>
    </row>
    <row r="1180" spans="1:6" hidden="1" x14ac:dyDescent="0.25">
      <c r="A1180" s="169">
        <v>43693</v>
      </c>
      <c r="B1180" s="80" t="s">
        <v>2342</v>
      </c>
      <c r="C1180" s="80" t="s">
        <v>182</v>
      </c>
      <c r="D1180" s="80" t="s">
        <v>159</v>
      </c>
      <c r="E1180" s="80" t="s">
        <v>134</v>
      </c>
      <c r="F1180" s="170">
        <v>150</v>
      </c>
    </row>
    <row r="1181" spans="1:6" hidden="1" x14ac:dyDescent="0.25">
      <c r="A1181" s="169">
        <v>43693</v>
      </c>
      <c r="B1181" s="80" t="s">
        <v>2348</v>
      </c>
      <c r="C1181" s="80" t="s">
        <v>145</v>
      </c>
      <c r="D1181" s="80" t="s">
        <v>159</v>
      </c>
      <c r="E1181" s="80" t="s">
        <v>121</v>
      </c>
      <c r="F1181" s="170">
        <v>150</v>
      </c>
    </row>
    <row r="1182" spans="1:6" hidden="1" x14ac:dyDescent="0.25">
      <c r="A1182" s="169">
        <v>43696</v>
      </c>
      <c r="B1182" s="80" t="s">
        <v>2375</v>
      </c>
      <c r="C1182" s="80" t="s">
        <v>143</v>
      </c>
      <c r="D1182" s="80" t="s">
        <v>159</v>
      </c>
      <c r="E1182" s="80" t="s">
        <v>131</v>
      </c>
      <c r="F1182" s="170">
        <v>150</v>
      </c>
    </row>
    <row r="1183" spans="1:6" hidden="1" x14ac:dyDescent="0.25">
      <c r="A1183" s="169">
        <v>43697</v>
      </c>
      <c r="B1183" s="80" t="s">
        <v>2389</v>
      </c>
      <c r="C1183" s="80" t="s">
        <v>143</v>
      </c>
      <c r="D1183" s="80" t="s">
        <v>159</v>
      </c>
      <c r="E1183" s="80" t="s">
        <v>127</v>
      </c>
      <c r="F1183" s="170">
        <v>150</v>
      </c>
    </row>
    <row r="1184" spans="1:6" hidden="1" x14ac:dyDescent="0.25">
      <c r="A1184" s="169">
        <v>43698</v>
      </c>
      <c r="B1184" s="80" t="s">
        <v>2392</v>
      </c>
      <c r="C1184" s="80" t="s">
        <v>125</v>
      </c>
      <c r="D1184" s="80" t="s">
        <v>159</v>
      </c>
      <c r="E1184" s="80" t="s">
        <v>153</v>
      </c>
      <c r="F1184" s="170">
        <v>150</v>
      </c>
    </row>
    <row r="1185" spans="1:6" hidden="1" x14ac:dyDescent="0.25">
      <c r="A1185" s="169">
        <v>43702</v>
      </c>
      <c r="B1185" s="80" t="s">
        <v>2426</v>
      </c>
      <c r="C1185" s="80" t="s">
        <v>129</v>
      </c>
      <c r="D1185" s="80" t="s">
        <v>159</v>
      </c>
      <c r="E1185" s="80" t="s">
        <v>127</v>
      </c>
      <c r="F1185" s="170">
        <v>150</v>
      </c>
    </row>
    <row r="1186" spans="1:6" hidden="1" x14ac:dyDescent="0.25">
      <c r="A1186" s="169">
        <v>43703</v>
      </c>
      <c r="B1186" s="80" t="s">
        <v>2436</v>
      </c>
      <c r="C1186" s="80" t="s">
        <v>187</v>
      </c>
      <c r="D1186" s="80" t="s">
        <v>159</v>
      </c>
      <c r="E1186" s="80" t="s">
        <v>134</v>
      </c>
      <c r="F1186" s="170">
        <v>150</v>
      </c>
    </row>
    <row r="1187" spans="1:6" hidden="1" x14ac:dyDescent="0.25">
      <c r="A1187" s="169">
        <v>43704</v>
      </c>
      <c r="B1187" s="80" t="s">
        <v>2441</v>
      </c>
      <c r="C1187" s="80" t="s">
        <v>123</v>
      </c>
      <c r="D1187" s="80" t="s">
        <v>159</v>
      </c>
      <c r="E1187" s="80" t="s">
        <v>131</v>
      </c>
      <c r="F1187" s="170">
        <v>150</v>
      </c>
    </row>
    <row r="1188" spans="1:6" hidden="1" x14ac:dyDescent="0.25">
      <c r="A1188" s="169">
        <v>43704</v>
      </c>
      <c r="B1188" s="80" t="s">
        <v>2446</v>
      </c>
      <c r="C1188" s="80" t="s">
        <v>123</v>
      </c>
      <c r="D1188" s="80" t="s">
        <v>159</v>
      </c>
      <c r="E1188" s="80" t="s">
        <v>134</v>
      </c>
      <c r="F1188" s="170">
        <v>150</v>
      </c>
    </row>
    <row r="1189" spans="1:6" hidden="1" x14ac:dyDescent="0.25">
      <c r="A1189" s="169">
        <v>43705</v>
      </c>
      <c r="B1189" s="80" t="s">
        <v>2453</v>
      </c>
      <c r="C1189" s="80" t="s">
        <v>123</v>
      </c>
      <c r="D1189" s="80" t="s">
        <v>159</v>
      </c>
      <c r="E1189" s="80" t="s">
        <v>121</v>
      </c>
      <c r="F1189" s="170">
        <v>150</v>
      </c>
    </row>
    <row r="1190" spans="1:6" hidden="1" x14ac:dyDescent="0.25">
      <c r="A1190" s="169">
        <v>43705</v>
      </c>
      <c r="B1190" s="80" t="s">
        <v>2457</v>
      </c>
      <c r="C1190" s="80" t="s">
        <v>125</v>
      </c>
      <c r="D1190" s="80" t="s">
        <v>159</v>
      </c>
      <c r="E1190" s="80" t="s">
        <v>127</v>
      </c>
      <c r="F1190" s="170">
        <v>150</v>
      </c>
    </row>
    <row r="1191" spans="1:6" hidden="1" x14ac:dyDescent="0.25">
      <c r="A1191" s="169">
        <v>43705</v>
      </c>
      <c r="B1191" s="80" t="s">
        <v>2462</v>
      </c>
      <c r="C1191" s="80" t="s">
        <v>157</v>
      </c>
      <c r="D1191" s="80" t="s">
        <v>159</v>
      </c>
      <c r="E1191" s="80" t="s">
        <v>127</v>
      </c>
      <c r="F1191" s="170">
        <v>150</v>
      </c>
    </row>
    <row r="1192" spans="1:6" hidden="1" x14ac:dyDescent="0.25">
      <c r="A1192" s="169">
        <v>43706</v>
      </c>
      <c r="B1192" s="80" t="s">
        <v>2466</v>
      </c>
      <c r="C1192" s="80" t="s">
        <v>223</v>
      </c>
      <c r="D1192" s="80" t="s">
        <v>159</v>
      </c>
      <c r="E1192" s="80" t="s">
        <v>121</v>
      </c>
      <c r="F1192" s="170">
        <v>150</v>
      </c>
    </row>
    <row r="1193" spans="1:6" hidden="1" x14ac:dyDescent="0.25">
      <c r="A1193" s="169">
        <v>43706</v>
      </c>
      <c r="B1193" s="80" t="s">
        <v>2472</v>
      </c>
      <c r="C1193" s="80" t="s">
        <v>129</v>
      </c>
      <c r="D1193" s="80" t="s">
        <v>159</v>
      </c>
      <c r="E1193" s="80" t="s">
        <v>127</v>
      </c>
      <c r="F1193" s="170">
        <v>150</v>
      </c>
    </row>
    <row r="1194" spans="1:6" hidden="1" x14ac:dyDescent="0.25">
      <c r="A1194" s="169">
        <v>43707</v>
      </c>
      <c r="B1194" s="80" t="s">
        <v>2478</v>
      </c>
      <c r="C1194" s="80" t="s">
        <v>187</v>
      </c>
      <c r="D1194" s="80" t="s">
        <v>159</v>
      </c>
      <c r="E1194" s="80" t="s">
        <v>121</v>
      </c>
      <c r="F1194" s="170">
        <v>150</v>
      </c>
    </row>
    <row r="1195" spans="1:6" hidden="1" x14ac:dyDescent="0.25">
      <c r="A1195" s="169">
        <v>43709</v>
      </c>
      <c r="B1195" s="80" t="s">
        <v>2492</v>
      </c>
      <c r="C1195" s="80" t="s">
        <v>187</v>
      </c>
      <c r="D1195" s="80" t="s">
        <v>159</v>
      </c>
      <c r="E1195" s="80" t="s">
        <v>127</v>
      </c>
      <c r="F1195" s="170">
        <v>150</v>
      </c>
    </row>
    <row r="1196" spans="1:6" hidden="1" x14ac:dyDescent="0.25">
      <c r="A1196" s="169">
        <v>43709</v>
      </c>
      <c r="B1196" s="80" t="s">
        <v>2494</v>
      </c>
      <c r="C1196" s="80" t="s">
        <v>145</v>
      </c>
      <c r="D1196" s="80" t="s">
        <v>159</v>
      </c>
      <c r="E1196" s="80" t="s">
        <v>153</v>
      </c>
      <c r="F1196" s="170">
        <v>150</v>
      </c>
    </row>
    <row r="1197" spans="1:6" hidden="1" x14ac:dyDescent="0.25">
      <c r="A1197" s="169">
        <v>43709</v>
      </c>
      <c r="B1197" s="80" t="s">
        <v>2499</v>
      </c>
      <c r="C1197" s="80" t="s">
        <v>129</v>
      </c>
      <c r="D1197" s="80" t="s">
        <v>159</v>
      </c>
      <c r="E1197" s="80" t="s">
        <v>153</v>
      </c>
      <c r="F1197" s="170">
        <v>150</v>
      </c>
    </row>
    <row r="1198" spans="1:6" hidden="1" x14ac:dyDescent="0.25">
      <c r="A1198" s="169">
        <v>43710</v>
      </c>
      <c r="B1198" s="80" t="s">
        <v>2502</v>
      </c>
      <c r="C1198" s="80" t="s">
        <v>119</v>
      </c>
      <c r="D1198" s="80" t="s">
        <v>159</v>
      </c>
      <c r="E1198" s="80" t="s">
        <v>121</v>
      </c>
      <c r="F1198" s="170">
        <v>150</v>
      </c>
    </row>
    <row r="1199" spans="1:6" hidden="1" x14ac:dyDescent="0.25">
      <c r="A1199" s="169">
        <v>43710</v>
      </c>
      <c r="B1199" s="80" t="s">
        <v>2506</v>
      </c>
      <c r="C1199" s="80" t="s">
        <v>182</v>
      </c>
      <c r="D1199" s="80" t="s">
        <v>159</v>
      </c>
      <c r="E1199" s="80" t="s">
        <v>121</v>
      </c>
      <c r="F1199" s="170">
        <v>150</v>
      </c>
    </row>
    <row r="1200" spans="1:6" hidden="1" x14ac:dyDescent="0.25">
      <c r="A1200" s="169">
        <v>43710</v>
      </c>
      <c r="B1200" s="80" t="s">
        <v>2507</v>
      </c>
      <c r="C1200" s="80" t="s">
        <v>164</v>
      </c>
      <c r="D1200" s="80" t="s">
        <v>159</v>
      </c>
      <c r="E1200" s="80" t="s">
        <v>127</v>
      </c>
      <c r="F1200" s="170">
        <v>150</v>
      </c>
    </row>
    <row r="1201" spans="1:6" hidden="1" x14ac:dyDescent="0.25">
      <c r="A1201" s="169">
        <v>43710</v>
      </c>
      <c r="B1201" s="80" t="s">
        <v>2509</v>
      </c>
      <c r="C1201" s="80" t="s">
        <v>123</v>
      </c>
      <c r="D1201" s="80" t="s">
        <v>159</v>
      </c>
      <c r="E1201" s="80" t="s">
        <v>153</v>
      </c>
      <c r="F1201" s="170">
        <v>150</v>
      </c>
    </row>
    <row r="1202" spans="1:6" hidden="1" x14ac:dyDescent="0.25">
      <c r="A1202" s="169">
        <v>43711</v>
      </c>
      <c r="B1202" s="80" t="s">
        <v>2519</v>
      </c>
      <c r="C1202" s="80" t="s">
        <v>136</v>
      </c>
      <c r="D1202" s="80" t="s">
        <v>159</v>
      </c>
      <c r="E1202" s="80" t="s">
        <v>131</v>
      </c>
      <c r="F1202" s="170">
        <v>150</v>
      </c>
    </row>
    <row r="1203" spans="1:6" hidden="1" x14ac:dyDescent="0.25">
      <c r="A1203" s="169">
        <v>43713</v>
      </c>
      <c r="B1203" s="80" t="s">
        <v>2529</v>
      </c>
      <c r="C1203" s="80" t="s">
        <v>148</v>
      </c>
      <c r="D1203" s="80" t="s">
        <v>159</v>
      </c>
      <c r="E1203" s="80" t="s">
        <v>121</v>
      </c>
      <c r="F1203" s="170">
        <v>150</v>
      </c>
    </row>
    <row r="1204" spans="1:6" hidden="1" x14ac:dyDescent="0.25">
      <c r="A1204" s="169">
        <v>43714</v>
      </c>
      <c r="B1204" s="80" t="s">
        <v>2534</v>
      </c>
      <c r="C1204" s="80" t="s">
        <v>223</v>
      </c>
      <c r="D1204" s="80" t="s">
        <v>159</v>
      </c>
      <c r="E1204" s="80" t="s">
        <v>134</v>
      </c>
      <c r="F1204" s="170">
        <v>150</v>
      </c>
    </row>
    <row r="1205" spans="1:6" hidden="1" x14ac:dyDescent="0.25">
      <c r="A1205" s="169">
        <v>43715</v>
      </c>
      <c r="B1205" s="80" t="s">
        <v>2548</v>
      </c>
      <c r="C1205" s="80" t="s">
        <v>123</v>
      </c>
      <c r="D1205" s="80" t="s">
        <v>159</v>
      </c>
      <c r="E1205" s="80" t="s">
        <v>134</v>
      </c>
      <c r="F1205" s="170">
        <v>150</v>
      </c>
    </row>
    <row r="1206" spans="1:6" hidden="1" x14ac:dyDescent="0.25">
      <c r="A1206" s="169">
        <v>43715</v>
      </c>
      <c r="B1206" s="80" t="s">
        <v>2550</v>
      </c>
      <c r="C1206" s="80" t="s">
        <v>167</v>
      </c>
      <c r="D1206" s="80" t="s">
        <v>159</v>
      </c>
      <c r="E1206" s="80" t="s">
        <v>131</v>
      </c>
      <c r="F1206" s="170">
        <v>150</v>
      </c>
    </row>
    <row r="1207" spans="1:6" hidden="1" x14ac:dyDescent="0.25">
      <c r="A1207" s="169">
        <v>43716</v>
      </c>
      <c r="B1207" s="80" t="s">
        <v>2551</v>
      </c>
      <c r="C1207" s="80" t="s">
        <v>125</v>
      </c>
      <c r="D1207" s="80" t="s">
        <v>159</v>
      </c>
      <c r="E1207" s="80" t="s">
        <v>131</v>
      </c>
      <c r="F1207" s="170">
        <v>150</v>
      </c>
    </row>
    <row r="1208" spans="1:6" hidden="1" x14ac:dyDescent="0.25">
      <c r="A1208" s="169">
        <v>43716</v>
      </c>
      <c r="B1208" s="80" t="s">
        <v>2556</v>
      </c>
      <c r="C1208" s="80" t="s">
        <v>119</v>
      </c>
      <c r="D1208" s="80" t="s">
        <v>159</v>
      </c>
      <c r="E1208" s="80" t="s">
        <v>131</v>
      </c>
      <c r="F1208" s="170">
        <v>150</v>
      </c>
    </row>
    <row r="1209" spans="1:6" hidden="1" x14ac:dyDescent="0.25">
      <c r="A1209" s="169">
        <v>43716</v>
      </c>
      <c r="B1209" s="80" t="s">
        <v>2560</v>
      </c>
      <c r="C1209" s="80" t="s">
        <v>138</v>
      </c>
      <c r="D1209" s="80" t="s">
        <v>159</v>
      </c>
      <c r="E1209" s="80" t="s">
        <v>134</v>
      </c>
      <c r="F1209" s="170">
        <v>150</v>
      </c>
    </row>
    <row r="1210" spans="1:6" hidden="1" x14ac:dyDescent="0.25">
      <c r="A1210" s="169">
        <v>43717</v>
      </c>
      <c r="B1210" s="80" t="s">
        <v>2561</v>
      </c>
      <c r="C1210" s="80" t="s">
        <v>143</v>
      </c>
      <c r="D1210" s="80" t="s">
        <v>159</v>
      </c>
      <c r="E1210" s="80" t="s">
        <v>127</v>
      </c>
      <c r="F1210" s="170">
        <v>150</v>
      </c>
    </row>
    <row r="1211" spans="1:6" hidden="1" x14ac:dyDescent="0.25">
      <c r="A1211" s="169">
        <v>43718</v>
      </c>
      <c r="B1211" s="80" t="s">
        <v>2573</v>
      </c>
      <c r="C1211" s="80" t="s">
        <v>138</v>
      </c>
      <c r="D1211" s="80" t="s">
        <v>159</v>
      </c>
      <c r="E1211" s="80" t="s">
        <v>153</v>
      </c>
      <c r="F1211" s="170">
        <v>150</v>
      </c>
    </row>
    <row r="1212" spans="1:6" hidden="1" x14ac:dyDescent="0.25">
      <c r="A1212" s="169">
        <v>43718</v>
      </c>
      <c r="B1212" s="80" t="s">
        <v>2578</v>
      </c>
      <c r="C1212" s="80" t="s">
        <v>189</v>
      </c>
      <c r="D1212" s="80" t="s">
        <v>159</v>
      </c>
      <c r="E1212" s="80" t="s">
        <v>134</v>
      </c>
      <c r="F1212" s="170">
        <v>150</v>
      </c>
    </row>
    <row r="1213" spans="1:6" hidden="1" x14ac:dyDescent="0.25">
      <c r="A1213" s="169">
        <v>43720</v>
      </c>
      <c r="B1213" s="80" t="s">
        <v>2585</v>
      </c>
      <c r="C1213" s="80" t="s">
        <v>125</v>
      </c>
      <c r="D1213" s="80" t="s">
        <v>159</v>
      </c>
      <c r="E1213" s="80" t="s">
        <v>127</v>
      </c>
      <c r="F1213" s="170">
        <v>150</v>
      </c>
    </row>
    <row r="1214" spans="1:6" hidden="1" x14ac:dyDescent="0.25">
      <c r="A1214" s="169">
        <v>43720</v>
      </c>
      <c r="B1214" s="80" t="s">
        <v>2586</v>
      </c>
      <c r="C1214" s="80" t="s">
        <v>182</v>
      </c>
      <c r="D1214" s="80" t="s">
        <v>159</v>
      </c>
      <c r="E1214" s="80" t="s">
        <v>127</v>
      </c>
      <c r="F1214" s="170">
        <v>150</v>
      </c>
    </row>
    <row r="1215" spans="1:6" hidden="1" x14ac:dyDescent="0.25">
      <c r="A1215" s="169">
        <v>43720</v>
      </c>
      <c r="B1215" s="80" t="s">
        <v>2587</v>
      </c>
      <c r="C1215" s="80" t="s">
        <v>145</v>
      </c>
      <c r="D1215" s="80" t="s">
        <v>159</v>
      </c>
      <c r="E1215" s="80" t="s">
        <v>131</v>
      </c>
      <c r="F1215" s="170">
        <v>150</v>
      </c>
    </row>
    <row r="1216" spans="1:6" hidden="1" x14ac:dyDescent="0.25">
      <c r="A1216" s="169">
        <v>43720</v>
      </c>
      <c r="B1216" s="80" t="s">
        <v>2588</v>
      </c>
      <c r="C1216" s="80" t="s">
        <v>138</v>
      </c>
      <c r="D1216" s="80" t="s">
        <v>159</v>
      </c>
      <c r="E1216" s="80" t="s">
        <v>121</v>
      </c>
      <c r="F1216" s="170">
        <v>150</v>
      </c>
    </row>
    <row r="1217" spans="1:6" hidden="1" x14ac:dyDescent="0.25">
      <c r="A1217" s="169">
        <v>43721</v>
      </c>
      <c r="B1217" s="80" t="s">
        <v>2593</v>
      </c>
      <c r="C1217" s="80" t="s">
        <v>123</v>
      </c>
      <c r="D1217" s="80" t="s">
        <v>159</v>
      </c>
      <c r="E1217" s="80" t="s">
        <v>131</v>
      </c>
      <c r="F1217" s="170">
        <v>150</v>
      </c>
    </row>
    <row r="1218" spans="1:6" hidden="1" x14ac:dyDescent="0.25">
      <c r="A1218" s="169">
        <v>43721</v>
      </c>
      <c r="B1218" s="80" t="s">
        <v>2598</v>
      </c>
      <c r="C1218" s="80" t="s">
        <v>136</v>
      </c>
      <c r="D1218" s="80" t="s">
        <v>159</v>
      </c>
      <c r="E1218" s="80" t="s">
        <v>153</v>
      </c>
      <c r="F1218" s="170">
        <v>150</v>
      </c>
    </row>
    <row r="1219" spans="1:6" hidden="1" x14ac:dyDescent="0.25">
      <c r="A1219" s="169">
        <v>43723</v>
      </c>
      <c r="B1219" s="80" t="s">
        <v>2612</v>
      </c>
      <c r="C1219" s="80" t="s">
        <v>164</v>
      </c>
      <c r="D1219" s="80" t="s">
        <v>159</v>
      </c>
      <c r="E1219" s="80" t="s">
        <v>121</v>
      </c>
      <c r="F1219" s="170">
        <v>150</v>
      </c>
    </row>
    <row r="1220" spans="1:6" hidden="1" x14ac:dyDescent="0.25">
      <c r="A1220" s="169">
        <v>43724</v>
      </c>
      <c r="B1220" s="80" t="s">
        <v>2613</v>
      </c>
      <c r="C1220" s="80" t="s">
        <v>145</v>
      </c>
      <c r="D1220" s="80" t="s">
        <v>159</v>
      </c>
      <c r="E1220" s="80" t="s">
        <v>127</v>
      </c>
      <c r="F1220" s="170">
        <v>150</v>
      </c>
    </row>
    <row r="1221" spans="1:6" hidden="1" x14ac:dyDescent="0.25">
      <c r="A1221" s="169">
        <v>43724</v>
      </c>
      <c r="B1221" s="80" t="s">
        <v>2614</v>
      </c>
      <c r="C1221" s="80" t="s">
        <v>125</v>
      </c>
      <c r="D1221" s="80" t="s">
        <v>159</v>
      </c>
      <c r="E1221" s="80" t="s">
        <v>127</v>
      </c>
      <c r="F1221" s="170">
        <v>150</v>
      </c>
    </row>
    <row r="1222" spans="1:6" hidden="1" x14ac:dyDescent="0.25">
      <c r="A1222" s="169">
        <v>43724</v>
      </c>
      <c r="B1222" s="80" t="s">
        <v>2617</v>
      </c>
      <c r="C1222" s="80" t="s">
        <v>145</v>
      </c>
      <c r="D1222" s="80" t="s">
        <v>159</v>
      </c>
      <c r="E1222" s="80" t="s">
        <v>131</v>
      </c>
      <c r="F1222" s="170">
        <v>150</v>
      </c>
    </row>
    <row r="1223" spans="1:6" hidden="1" x14ac:dyDescent="0.25">
      <c r="A1223" s="169">
        <v>43724</v>
      </c>
      <c r="B1223" s="80" t="s">
        <v>2620</v>
      </c>
      <c r="C1223" s="80" t="s">
        <v>136</v>
      </c>
      <c r="D1223" s="80" t="s">
        <v>159</v>
      </c>
      <c r="E1223" s="80" t="s">
        <v>127</v>
      </c>
      <c r="F1223" s="170">
        <v>150</v>
      </c>
    </row>
    <row r="1224" spans="1:6" hidden="1" x14ac:dyDescent="0.25">
      <c r="A1224" s="169">
        <v>43724</v>
      </c>
      <c r="B1224" s="80" t="s">
        <v>2622</v>
      </c>
      <c r="C1224" s="80" t="s">
        <v>152</v>
      </c>
      <c r="D1224" s="80" t="s">
        <v>159</v>
      </c>
      <c r="E1224" s="80" t="s">
        <v>134</v>
      </c>
      <c r="F1224" s="170">
        <v>150</v>
      </c>
    </row>
    <row r="1225" spans="1:6" hidden="1" x14ac:dyDescent="0.25">
      <c r="A1225" s="169">
        <v>43724</v>
      </c>
      <c r="B1225" s="80" t="s">
        <v>2623</v>
      </c>
      <c r="C1225" s="80" t="s">
        <v>119</v>
      </c>
      <c r="D1225" s="80" t="s">
        <v>159</v>
      </c>
      <c r="E1225" s="80" t="s">
        <v>134</v>
      </c>
      <c r="F1225" s="170">
        <v>150</v>
      </c>
    </row>
    <row r="1226" spans="1:6" hidden="1" x14ac:dyDescent="0.25">
      <c r="A1226" s="169">
        <v>43728</v>
      </c>
      <c r="B1226" s="80" t="s">
        <v>2654</v>
      </c>
      <c r="C1226" s="80" t="s">
        <v>187</v>
      </c>
      <c r="D1226" s="80" t="s">
        <v>159</v>
      </c>
      <c r="E1226" s="80" t="s">
        <v>131</v>
      </c>
      <c r="F1226" s="170">
        <v>150</v>
      </c>
    </row>
    <row r="1227" spans="1:6" hidden="1" x14ac:dyDescent="0.25">
      <c r="A1227" s="169">
        <v>43728</v>
      </c>
      <c r="B1227" s="80" t="s">
        <v>2656</v>
      </c>
      <c r="C1227" s="80" t="s">
        <v>143</v>
      </c>
      <c r="D1227" s="80" t="s">
        <v>159</v>
      </c>
      <c r="E1227" s="80" t="s">
        <v>127</v>
      </c>
      <c r="F1227" s="170">
        <v>150</v>
      </c>
    </row>
    <row r="1228" spans="1:6" hidden="1" x14ac:dyDescent="0.25">
      <c r="A1228" s="169">
        <v>43728</v>
      </c>
      <c r="B1228" s="80" t="s">
        <v>2659</v>
      </c>
      <c r="C1228" s="80" t="s">
        <v>189</v>
      </c>
      <c r="D1228" s="80" t="s">
        <v>159</v>
      </c>
      <c r="E1228" s="80" t="s">
        <v>127</v>
      </c>
      <c r="F1228" s="170">
        <v>150</v>
      </c>
    </row>
    <row r="1229" spans="1:6" hidden="1" x14ac:dyDescent="0.25">
      <c r="A1229" s="169">
        <v>43730</v>
      </c>
      <c r="B1229" s="80" t="s">
        <v>2672</v>
      </c>
      <c r="C1229" s="80" t="s">
        <v>136</v>
      </c>
      <c r="D1229" s="80" t="s">
        <v>159</v>
      </c>
      <c r="E1229" s="80" t="s">
        <v>134</v>
      </c>
      <c r="F1229" s="170">
        <v>150</v>
      </c>
    </row>
    <row r="1230" spans="1:6" hidden="1" x14ac:dyDescent="0.25">
      <c r="A1230" s="169">
        <v>43730</v>
      </c>
      <c r="B1230" s="80" t="s">
        <v>2674</v>
      </c>
      <c r="C1230" s="80" t="s">
        <v>189</v>
      </c>
      <c r="D1230" s="80" t="s">
        <v>159</v>
      </c>
      <c r="E1230" s="80" t="s">
        <v>134</v>
      </c>
      <c r="F1230" s="170">
        <v>150</v>
      </c>
    </row>
    <row r="1231" spans="1:6" hidden="1" x14ac:dyDescent="0.25">
      <c r="A1231" s="169">
        <v>43730</v>
      </c>
      <c r="B1231" s="80" t="s">
        <v>2678</v>
      </c>
      <c r="C1231" s="80" t="s">
        <v>189</v>
      </c>
      <c r="D1231" s="80" t="s">
        <v>159</v>
      </c>
      <c r="E1231" s="80" t="s">
        <v>134</v>
      </c>
      <c r="F1231" s="170">
        <v>150</v>
      </c>
    </row>
    <row r="1232" spans="1:6" hidden="1" x14ac:dyDescent="0.25">
      <c r="A1232" s="169">
        <v>43731</v>
      </c>
      <c r="B1232" s="80" t="s">
        <v>2681</v>
      </c>
      <c r="C1232" s="80" t="s">
        <v>148</v>
      </c>
      <c r="D1232" s="80" t="s">
        <v>159</v>
      </c>
      <c r="E1232" s="80" t="s">
        <v>131</v>
      </c>
      <c r="F1232" s="170">
        <v>150</v>
      </c>
    </row>
    <row r="1233" spans="1:6" hidden="1" x14ac:dyDescent="0.25">
      <c r="A1233" s="169">
        <v>43731</v>
      </c>
      <c r="B1233" s="80" t="s">
        <v>2683</v>
      </c>
      <c r="C1233" s="80" t="s">
        <v>189</v>
      </c>
      <c r="D1233" s="80" t="s">
        <v>159</v>
      </c>
      <c r="E1233" s="80" t="s">
        <v>131</v>
      </c>
      <c r="F1233" s="170">
        <v>150</v>
      </c>
    </row>
    <row r="1234" spans="1:6" hidden="1" x14ac:dyDescent="0.25">
      <c r="A1234" s="169">
        <v>43732</v>
      </c>
      <c r="B1234" s="80" t="s">
        <v>2695</v>
      </c>
      <c r="C1234" s="80" t="s">
        <v>223</v>
      </c>
      <c r="D1234" s="80" t="s">
        <v>159</v>
      </c>
      <c r="E1234" s="80" t="s">
        <v>121</v>
      </c>
      <c r="F1234" s="170">
        <v>150</v>
      </c>
    </row>
    <row r="1235" spans="1:6" hidden="1" x14ac:dyDescent="0.25">
      <c r="A1235" s="169">
        <v>43733</v>
      </c>
      <c r="B1235" s="80" t="s">
        <v>2716</v>
      </c>
      <c r="C1235" s="80" t="s">
        <v>152</v>
      </c>
      <c r="D1235" s="80" t="s">
        <v>159</v>
      </c>
      <c r="E1235" s="80" t="s">
        <v>153</v>
      </c>
      <c r="F1235" s="170">
        <v>150</v>
      </c>
    </row>
    <row r="1236" spans="1:6" hidden="1" x14ac:dyDescent="0.25">
      <c r="A1236" s="169">
        <v>43733</v>
      </c>
      <c r="B1236" s="80" t="s">
        <v>2718</v>
      </c>
      <c r="C1236" s="80" t="s">
        <v>148</v>
      </c>
      <c r="D1236" s="80" t="s">
        <v>159</v>
      </c>
      <c r="E1236" s="80" t="s">
        <v>121</v>
      </c>
      <c r="F1236" s="170">
        <v>150</v>
      </c>
    </row>
    <row r="1237" spans="1:6" hidden="1" x14ac:dyDescent="0.25">
      <c r="A1237" s="169">
        <v>43735</v>
      </c>
      <c r="B1237" s="80" t="s">
        <v>2732</v>
      </c>
      <c r="C1237" s="80" t="s">
        <v>145</v>
      </c>
      <c r="D1237" s="80" t="s">
        <v>159</v>
      </c>
      <c r="E1237" s="80" t="s">
        <v>127</v>
      </c>
      <c r="F1237" s="170">
        <v>150</v>
      </c>
    </row>
    <row r="1238" spans="1:6" hidden="1" x14ac:dyDescent="0.25">
      <c r="A1238" s="169">
        <v>43735</v>
      </c>
      <c r="B1238" s="80" t="s">
        <v>2736</v>
      </c>
      <c r="C1238" s="80" t="s">
        <v>148</v>
      </c>
      <c r="D1238" s="80" t="s">
        <v>159</v>
      </c>
      <c r="E1238" s="80" t="s">
        <v>127</v>
      </c>
      <c r="F1238" s="170">
        <v>150</v>
      </c>
    </row>
    <row r="1239" spans="1:6" hidden="1" x14ac:dyDescent="0.25">
      <c r="A1239" s="169">
        <v>43740</v>
      </c>
      <c r="B1239" s="80" t="s">
        <v>2772</v>
      </c>
      <c r="C1239" s="80" t="s">
        <v>223</v>
      </c>
      <c r="D1239" s="80" t="s">
        <v>159</v>
      </c>
      <c r="E1239" s="80" t="s">
        <v>134</v>
      </c>
      <c r="F1239" s="170">
        <v>150</v>
      </c>
    </row>
    <row r="1240" spans="1:6" hidden="1" x14ac:dyDescent="0.25">
      <c r="A1240" s="169">
        <v>43741</v>
      </c>
      <c r="B1240" s="80" t="s">
        <v>2779</v>
      </c>
      <c r="C1240" s="80" t="s">
        <v>182</v>
      </c>
      <c r="D1240" s="80" t="s">
        <v>159</v>
      </c>
      <c r="E1240" s="80" t="s">
        <v>153</v>
      </c>
      <c r="F1240" s="170">
        <v>150</v>
      </c>
    </row>
    <row r="1241" spans="1:6" hidden="1" x14ac:dyDescent="0.25">
      <c r="A1241" s="169">
        <v>43742</v>
      </c>
      <c r="B1241" s="80" t="s">
        <v>2784</v>
      </c>
      <c r="C1241" s="80" t="s">
        <v>119</v>
      </c>
      <c r="D1241" s="80" t="s">
        <v>159</v>
      </c>
      <c r="E1241" s="80" t="s">
        <v>127</v>
      </c>
      <c r="F1241" s="170">
        <v>150</v>
      </c>
    </row>
    <row r="1242" spans="1:6" hidden="1" x14ac:dyDescent="0.25">
      <c r="A1242" s="169">
        <v>43742</v>
      </c>
      <c r="B1242" s="80" t="s">
        <v>2785</v>
      </c>
      <c r="C1242" s="80" t="s">
        <v>129</v>
      </c>
      <c r="D1242" s="80" t="s">
        <v>159</v>
      </c>
      <c r="E1242" s="80" t="s">
        <v>153</v>
      </c>
      <c r="F1242" s="170">
        <v>150</v>
      </c>
    </row>
    <row r="1243" spans="1:6" hidden="1" x14ac:dyDescent="0.25">
      <c r="A1243" s="169">
        <v>43744</v>
      </c>
      <c r="B1243" s="80" t="s">
        <v>2791</v>
      </c>
      <c r="C1243" s="80" t="s">
        <v>136</v>
      </c>
      <c r="D1243" s="80" t="s">
        <v>159</v>
      </c>
      <c r="E1243" s="80" t="s">
        <v>127</v>
      </c>
      <c r="F1243" s="170">
        <v>150</v>
      </c>
    </row>
    <row r="1244" spans="1:6" hidden="1" x14ac:dyDescent="0.25">
      <c r="A1244" s="169">
        <v>43744</v>
      </c>
      <c r="B1244" s="80" t="s">
        <v>2793</v>
      </c>
      <c r="C1244" s="80" t="s">
        <v>148</v>
      </c>
      <c r="D1244" s="80" t="s">
        <v>159</v>
      </c>
      <c r="E1244" s="80" t="s">
        <v>153</v>
      </c>
      <c r="F1244" s="170">
        <v>150</v>
      </c>
    </row>
    <row r="1245" spans="1:6" hidden="1" x14ac:dyDescent="0.25">
      <c r="A1245" s="169">
        <v>43744</v>
      </c>
      <c r="B1245" s="80" t="s">
        <v>2794</v>
      </c>
      <c r="C1245" s="80" t="s">
        <v>223</v>
      </c>
      <c r="D1245" s="80" t="s">
        <v>159</v>
      </c>
      <c r="E1245" s="80" t="s">
        <v>127</v>
      </c>
      <c r="F1245" s="170">
        <v>150</v>
      </c>
    </row>
    <row r="1246" spans="1:6" hidden="1" x14ac:dyDescent="0.25">
      <c r="A1246" s="169">
        <v>43745</v>
      </c>
      <c r="B1246" s="80" t="s">
        <v>2799</v>
      </c>
      <c r="C1246" s="80" t="s">
        <v>167</v>
      </c>
      <c r="D1246" s="80" t="s">
        <v>159</v>
      </c>
      <c r="E1246" s="80" t="s">
        <v>134</v>
      </c>
      <c r="F1246" s="170">
        <v>150</v>
      </c>
    </row>
    <row r="1247" spans="1:6" hidden="1" x14ac:dyDescent="0.25">
      <c r="A1247" s="169">
        <v>43745</v>
      </c>
      <c r="B1247" s="80" t="s">
        <v>2800</v>
      </c>
      <c r="C1247" s="80" t="s">
        <v>143</v>
      </c>
      <c r="D1247" s="80" t="s">
        <v>159</v>
      </c>
      <c r="E1247" s="80" t="s">
        <v>134</v>
      </c>
      <c r="F1247" s="170">
        <v>150</v>
      </c>
    </row>
    <row r="1248" spans="1:6" hidden="1" x14ac:dyDescent="0.25">
      <c r="A1248" s="169">
        <v>43745</v>
      </c>
      <c r="B1248" s="80" t="s">
        <v>2802</v>
      </c>
      <c r="C1248" s="80" t="s">
        <v>189</v>
      </c>
      <c r="D1248" s="80" t="s">
        <v>159</v>
      </c>
      <c r="E1248" s="80" t="s">
        <v>131</v>
      </c>
      <c r="F1248" s="170">
        <v>150</v>
      </c>
    </row>
    <row r="1249" spans="1:6" hidden="1" x14ac:dyDescent="0.25">
      <c r="A1249" s="169">
        <v>43748</v>
      </c>
      <c r="B1249" s="80" t="s">
        <v>2827</v>
      </c>
      <c r="C1249" s="80" t="s">
        <v>223</v>
      </c>
      <c r="D1249" s="80" t="s">
        <v>159</v>
      </c>
      <c r="E1249" s="80" t="s">
        <v>121</v>
      </c>
      <c r="F1249" s="170">
        <v>150</v>
      </c>
    </row>
    <row r="1250" spans="1:6" hidden="1" x14ac:dyDescent="0.25">
      <c r="A1250" s="169">
        <v>43748</v>
      </c>
      <c r="B1250" s="80" t="s">
        <v>2828</v>
      </c>
      <c r="C1250" s="80" t="s">
        <v>125</v>
      </c>
      <c r="D1250" s="80" t="s">
        <v>159</v>
      </c>
      <c r="E1250" s="80" t="s">
        <v>127</v>
      </c>
      <c r="F1250" s="170">
        <v>150</v>
      </c>
    </row>
    <row r="1251" spans="1:6" hidden="1" x14ac:dyDescent="0.25">
      <c r="A1251" s="169">
        <v>43748</v>
      </c>
      <c r="B1251" s="80" t="s">
        <v>2834</v>
      </c>
      <c r="C1251" s="80" t="s">
        <v>223</v>
      </c>
      <c r="D1251" s="80" t="s">
        <v>159</v>
      </c>
      <c r="E1251" s="80" t="s">
        <v>153</v>
      </c>
      <c r="F1251" s="170">
        <v>150</v>
      </c>
    </row>
    <row r="1252" spans="1:6" hidden="1" x14ac:dyDescent="0.25">
      <c r="A1252" s="169">
        <v>43749</v>
      </c>
      <c r="B1252" s="80" t="s">
        <v>2838</v>
      </c>
      <c r="C1252" s="80" t="s">
        <v>152</v>
      </c>
      <c r="D1252" s="80" t="s">
        <v>159</v>
      </c>
      <c r="E1252" s="80" t="s">
        <v>127</v>
      </c>
      <c r="F1252" s="170">
        <v>150</v>
      </c>
    </row>
    <row r="1253" spans="1:6" hidden="1" x14ac:dyDescent="0.25">
      <c r="A1253" s="169">
        <v>43750</v>
      </c>
      <c r="B1253" s="80" t="s">
        <v>2849</v>
      </c>
      <c r="C1253" s="80" t="s">
        <v>123</v>
      </c>
      <c r="D1253" s="80" t="s">
        <v>159</v>
      </c>
      <c r="E1253" s="80" t="s">
        <v>121</v>
      </c>
      <c r="F1253" s="170">
        <v>150</v>
      </c>
    </row>
    <row r="1254" spans="1:6" hidden="1" x14ac:dyDescent="0.25">
      <c r="A1254" s="169">
        <v>43750</v>
      </c>
      <c r="B1254" s="80" t="s">
        <v>2855</v>
      </c>
      <c r="C1254" s="80" t="s">
        <v>148</v>
      </c>
      <c r="D1254" s="80" t="s">
        <v>159</v>
      </c>
      <c r="E1254" s="80" t="s">
        <v>121</v>
      </c>
      <c r="F1254" s="170">
        <v>150</v>
      </c>
    </row>
    <row r="1255" spans="1:6" hidden="1" x14ac:dyDescent="0.25">
      <c r="A1255" s="169">
        <v>43750</v>
      </c>
      <c r="B1255" s="80" t="s">
        <v>2861</v>
      </c>
      <c r="C1255" s="80" t="s">
        <v>148</v>
      </c>
      <c r="D1255" s="80" t="s">
        <v>159</v>
      </c>
      <c r="E1255" s="80" t="s">
        <v>153</v>
      </c>
      <c r="F1255" s="170">
        <v>150</v>
      </c>
    </row>
    <row r="1256" spans="1:6" hidden="1" x14ac:dyDescent="0.25">
      <c r="A1256" s="169">
        <v>43751</v>
      </c>
      <c r="B1256" s="80" t="s">
        <v>2864</v>
      </c>
      <c r="C1256" s="80" t="s">
        <v>189</v>
      </c>
      <c r="D1256" s="80" t="s">
        <v>159</v>
      </c>
      <c r="E1256" s="80" t="s">
        <v>134</v>
      </c>
      <c r="F1256" s="170">
        <v>150</v>
      </c>
    </row>
    <row r="1257" spans="1:6" hidden="1" x14ac:dyDescent="0.25">
      <c r="A1257" s="169">
        <v>43751</v>
      </c>
      <c r="B1257" s="80" t="s">
        <v>2865</v>
      </c>
      <c r="C1257" s="80" t="s">
        <v>164</v>
      </c>
      <c r="D1257" s="80" t="s">
        <v>159</v>
      </c>
      <c r="E1257" s="80" t="s">
        <v>121</v>
      </c>
      <c r="F1257" s="170">
        <v>150</v>
      </c>
    </row>
    <row r="1258" spans="1:6" hidden="1" x14ac:dyDescent="0.25">
      <c r="A1258" s="169">
        <v>43751</v>
      </c>
      <c r="B1258" s="80" t="s">
        <v>2868</v>
      </c>
      <c r="C1258" s="80" t="s">
        <v>189</v>
      </c>
      <c r="D1258" s="80" t="s">
        <v>159</v>
      </c>
      <c r="E1258" s="80" t="s">
        <v>134</v>
      </c>
      <c r="F1258" s="170">
        <v>150</v>
      </c>
    </row>
    <row r="1259" spans="1:6" hidden="1" x14ac:dyDescent="0.25">
      <c r="A1259" s="169">
        <v>43752</v>
      </c>
      <c r="B1259" s="80" t="s">
        <v>2873</v>
      </c>
      <c r="C1259" s="80" t="s">
        <v>138</v>
      </c>
      <c r="D1259" s="80" t="s">
        <v>159</v>
      </c>
      <c r="E1259" s="80" t="s">
        <v>121</v>
      </c>
      <c r="F1259" s="170">
        <v>150</v>
      </c>
    </row>
    <row r="1260" spans="1:6" hidden="1" x14ac:dyDescent="0.25">
      <c r="A1260" s="169">
        <v>43752</v>
      </c>
      <c r="B1260" s="80" t="s">
        <v>2876</v>
      </c>
      <c r="C1260" s="80" t="s">
        <v>129</v>
      </c>
      <c r="D1260" s="80" t="s">
        <v>159</v>
      </c>
      <c r="E1260" s="80" t="s">
        <v>131</v>
      </c>
      <c r="F1260" s="170">
        <v>150</v>
      </c>
    </row>
    <row r="1261" spans="1:6" hidden="1" x14ac:dyDescent="0.25">
      <c r="A1261" s="169">
        <v>43753</v>
      </c>
      <c r="B1261" s="80" t="s">
        <v>2889</v>
      </c>
      <c r="C1261" s="80" t="s">
        <v>189</v>
      </c>
      <c r="D1261" s="80" t="s">
        <v>159</v>
      </c>
      <c r="E1261" s="80" t="s">
        <v>134</v>
      </c>
      <c r="F1261" s="170">
        <v>150</v>
      </c>
    </row>
    <row r="1262" spans="1:6" hidden="1" x14ac:dyDescent="0.25">
      <c r="A1262" s="169">
        <v>43754</v>
      </c>
      <c r="B1262" s="80" t="s">
        <v>2893</v>
      </c>
      <c r="C1262" s="80" t="s">
        <v>182</v>
      </c>
      <c r="D1262" s="80" t="s">
        <v>159</v>
      </c>
      <c r="E1262" s="80" t="s">
        <v>127</v>
      </c>
      <c r="F1262" s="170">
        <v>150</v>
      </c>
    </row>
    <row r="1263" spans="1:6" hidden="1" x14ac:dyDescent="0.25">
      <c r="A1263" s="169">
        <v>43755</v>
      </c>
      <c r="B1263" s="80" t="s">
        <v>2906</v>
      </c>
      <c r="C1263" s="80" t="s">
        <v>138</v>
      </c>
      <c r="D1263" s="80" t="s">
        <v>159</v>
      </c>
      <c r="E1263" s="80" t="s">
        <v>127</v>
      </c>
      <c r="F1263" s="170">
        <v>150</v>
      </c>
    </row>
    <row r="1264" spans="1:6" hidden="1" x14ac:dyDescent="0.25">
      <c r="A1264" s="169">
        <v>43755</v>
      </c>
      <c r="B1264" s="80" t="s">
        <v>2908</v>
      </c>
      <c r="C1264" s="80" t="s">
        <v>164</v>
      </c>
      <c r="D1264" s="80" t="s">
        <v>159</v>
      </c>
      <c r="E1264" s="80" t="s">
        <v>153</v>
      </c>
      <c r="F1264" s="170">
        <v>150</v>
      </c>
    </row>
    <row r="1265" spans="1:6" hidden="1" x14ac:dyDescent="0.25">
      <c r="A1265" s="169">
        <v>43755</v>
      </c>
      <c r="B1265" s="80" t="s">
        <v>2909</v>
      </c>
      <c r="C1265" s="80" t="s">
        <v>164</v>
      </c>
      <c r="D1265" s="80" t="s">
        <v>159</v>
      </c>
      <c r="E1265" s="80" t="s">
        <v>134</v>
      </c>
      <c r="F1265" s="170">
        <v>150</v>
      </c>
    </row>
    <row r="1266" spans="1:6" hidden="1" x14ac:dyDescent="0.25">
      <c r="A1266" s="169">
        <v>43756</v>
      </c>
      <c r="B1266" s="80" t="s">
        <v>2915</v>
      </c>
      <c r="C1266" s="80" t="s">
        <v>148</v>
      </c>
      <c r="D1266" s="80" t="s">
        <v>159</v>
      </c>
      <c r="E1266" s="80" t="s">
        <v>131</v>
      </c>
      <c r="F1266" s="170">
        <v>150</v>
      </c>
    </row>
    <row r="1267" spans="1:6" hidden="1" x14ac:dyDescent="0.25">
      <c r="A1267" s="169">
        <v>43757</v>
      </c>
      <c r="B1267" s="80" t="s">
        <v>2926</v>
      </c>
      <c r="C1267" s="80" t="s">
        <v>143</v>
      </c>
      <c r="D1267" s="80" t="s">
        <v>159</v>
      </c>
      <c r="E1267" s="80" t="s">
        <v>134</v>
      </c>
      <c r="F1267" s="170">
        <v>150</v>
      </c>
    </row>
    <row r="1268" spans="1:6" hidden="1" x14ac:dyDescent="0.25">
      <c r="A1268" s="169">
        <v>43757</v>
      </c>
      <c r="B1268" s="80" t="s">
        <v>2927</v>
      </c>
      <c r="C1268" s="80" t="s">
        <v>123</v>
      </c>
      <c r="D1268" s="80" t="s">
        <v>159</v>
      </c>
      <c r="E1268" s="80" t="s">
        <v>153</v>
      </c>
      <c r="F1268" s="170">
        <v>150</v>
      </c>
    </row>
    <row r="1269" spans="1:6" hidden="1" x14ac:dyDescent="0.25">
      <c r="A1269" s="169">
        <v>43762</v>
      </c>
      <c r="B1269" s="80" t="s">
        <v>2967</v>
      </c>
      <c r="C1269" s="80" t="s">
        <v>182</v>
      </c>
      <c r="D1269" s="80" t="s">
        <v>159</v>
      </c>
      <c r="E1269" s="80" t="s">
        <v>134</v>
      </c>
      <c r="F1269" s="170">
        <v>150</v>
      </c>
    </row>
    <row r="1270" spans="1:6" hidden="1" x14ac:dyDescent="0.25">
      <c r="A1270" s="169">
        <v>43762</v>
      </c>
      <c r="B1270" s="80" t="s">
        <v>2969</v>
      </c>
      <c r="C1270" s="80" t="s">
        <v>123</v>
      </c>
      <c r="D1270" s="80" t="s">
        <v>159</v>
      </c>
      <c r="E1270" s="80" t="s">
        <v>127</v>
      </c>
      <c r="F1270" s="170">
        <v>150</v>
      </c>
    </row>
    <row r="1271" spans="1:6" hidden="1" x14ac:dyDescent="0.25">
      <c r="A1271" s="169">
        <v>43764</v>
      </c>
      <c r="B1271" s="80" t="s">
        <v>2989</v>
      </c>
      <c r="C1271" s="80" t="s">
        <v>138</v>
      </c>
      <c r="D1271" s="80" t="s">
        <v>159</v>
      </c>
      <c r="E1271" s="80" t="s">
        <v>153</v>
      </c>
      <c r="F1271" s="170">
        <v>150</v>
      </c>
    </row>
    <row r="1272" spans="1:6" hidden="1" x14ac:dyDescent="0.25">
      <c r="A1272" s="169">
        <v>43764</v>
      </c>
      <c r="B1272" s="80" t="s">
        <v>2993</v>
      </c>
      <c r="C1272" s="80" t="s">
        <v>157</v>
      </c>
      <c r="D1272" s="80" t="s">
        <v>159</v>
      </c>
      <c r="E1272" s="80" t="s">
        <v>134</v>
      </c>
      <c r="F1272" s="170">
        <v>150</v>
      </c>
    </row>
    <row r="1273" spans="1:6" hidden="1" x14ac:dyDescent="0.25">
      <c r="A1273" s="169">
        <v>43764</v>
      </c>
      <c r="B1273" s="80" t="s">
        <v>2995</v>
      </c>
      <c r="C1273" s="80" t="s">
        <v>138</v>
      </c>
      <c r="D1273" s="80" t="s">
        <v>159</v>
      </c>
      <c r="E1273" s="80" t="s">
        <v>121</v>
      </c>
      <c r="F1273" s="170">
        <v>150</v>
      </c>
    </row>
    <row r="1274" spans="1:6" hidden="1" x14ac:dyDescent="0.25">
      <c r="A1274" s="169">
        <v>43766</v>
      </c>
      <c r="B1274" s="80" t="s">
        <v>3014</v>
      </c>
      <c r="C1274" s="80" t="s">
        <v>123</v>
      </c>
      <c r="D1274" s="80" t="s">
        <v>159</v>
      </c>
      <c r="E1274" s="80" t="s">
        <v>121</v>
      </c>
      <c r="F1274" s="170">
        <v>150</v>
      </c>
    </row>
    <row r="1275" spans="1:6" hidden="1" x14ac:dyDescent="0.25">
      <c r="A1275" s="169">
        <v>43766</v>
      </c>
      <c r="B1275" s="80" t="s">
        <v>3015</v>
      </c>
      <c r="C1275" s="80" t="s">
        <v>189</v>
      </c>
      <c r="D1275" s="80" t="s">
        <v>159</v>
      </c>
      <c r="E1275" s="80" t="s">
        <v>153</v>
      </c>
      <c r="F1275" s="170">
        <v>150</v>
      </c>
    </row>
    <row r="1276" spans="1:6" hidden="1" x14ac:dyDescent="0.25">
      <c r="A1276" s="169">
        <v>43767</v>
      </c>
      <c r="B1276" s="80" t="s">
        <v>3028</v>
      </c>
      <c r="C1276" s="80" t="s">
        <v>129</v>
      </c>
      <c r="D1276" s="80" t="s">
        <v>159</v>
      </c>
      <c r="E1276" s="80" t="s">
        <v>131</v>
      </c>
      <c r="F1276" s="170">
        <v>150</v>
      </c>
    </row>
    <row r="1277" spans="1:6" hidden="1" x14ac:dyDescent="0.25">
      <c r="A1277" s="169">
        <v>43767</v>
      </c>
      <c r="B1277" s="80" t="s">
        <v>3033</v>
      </c>
      <c r="C1277" s="80" t="s">
        <v>187</v>
      </c>
      <c r="D1277" s="80" t="s">
        <v>159</v>
      </c>
      <c r="E1277" s="80" t="s">
        <v>121</v>
      </c>
      <c r="F1277" s="170">
        <v>150</v>
      </c>
    </row>
    <row r="1278" spans="1:6" hidden="1" x14ac:dyDescent="0.25">
      <c r="A1278" s="169">
        <v>43767</v>
      </c>
      <c r="B1278" s="80" t="s">
        <v>3036</v>
      </c>
      <c r="C1278" s="80" t="s">
        <v>157</v>
      </c>
      <c r="D1278" s="80" t="s">
        <v>159</v>
      </c>
      <c r="E1278" s="80" t="s">
        <v>153</v>
      </c>
      <c r="F1278" s="170">
        <v>150</v>
      </c>
    </row>
    <row r="1279" spans="1:6" hidden="1" x14ac:dyDescent="0.25">
      <c r="A1279" s="169">
        <v>43771</v>
      </c>
      <c r="B1279" s="80" t="s">
        <v>3061</v>
      </c>
      <c r="C1279" s="80" t="s">
        <v>136</v>
      </c>
      <c r="D1279" s="80" t="s">
        <v>159</v>
      </c>
      <c r="E1279" s="80" t="s">
        <v>131</v>
      </c>
      <c r="F1279" s="170">
        <v>150</v>
      </c>
    </row>
    <row r="1280" spans="1:6" hidden="1" x14ac:dyDescent="0.25">
      <c r="A1280" s="169">
        <v>43772</v>
      </c>
      <c r="B1280" s="80" t="s">
        <v>3068</v>
      </c>
      <c r="C1280" s="80" t="s">
        <v>143</v>
      </c>
      <c r="D1280" s="80" t="s">
        <v>159</v>
      </c>
      <c r="E1280" s="80" t="s">
        <v>121</v>
      </c>
      <c r="F1280" s="170">
        <v>150</v>
      </c>
    </row>
    <row r="1281" spans="1:6" hidden="1" x14ac:dyDescent="0.25">
      <c r="A1281" s="169">
        <v>43774</v>
      </c>
      <c r="B1281" s="80" t="s">
        <v>3096</v>
      </c>
      <c r="C1281" s="80" t="s">
        <v>223</v>
      </c>
      <c r="D1281" s="80" t="s">
        <v>159</v>
      </c>
      <c r="E1281" s="80" t="s">
        <v>131</v>
      </c>
      <c r="F1281" s="170">
        <v>150</v>
      </c>
    </row>
    <row r="1282" spans="1:6" hidden="1" x14ac:dyDescent="0.25">
      <c r="A1282" s="169">
        <v>43774</v>
      </c>
      <c r="B1282" s="80" t="s">
        <v>3102</v>
      </c>
      <c r="C1282" s="80" t="s">
        <v>223</v>
      </c>
      <c r="D1282" s="80" t="s">
        <v>159</v>
      </c>
      <c r="E1282" s="80" t="s">
        <v>131</v>
      </c>
      <c r="F1282" s="170">
        <v>150</v>
      </c>
    </row>
    <row r="1283" spans="1:6" hidden="1" x14ac:dyDescent="0.25">
      <c r="A1283" s="169">
        <v>43774</v>
      </c>
      <c r="B1283" s="80" t="s">
        <v>3104</v>
      </c>
      <c r="C1283" s="80" t="s">
        <v>182</v>
      </c>
      <c r="D1283" s="80" t="s">
        <v>159</v>
      </c>
      <c r="E1283" s="80" t="s">
        <v>127</v>
      </c>
      <c r="F1283" s="170">
        <v>150</v>
      </c>
    </row>
    <row r="1284" spans="1:6" hidden="1" x14ac:dyDescent="0.25">
      <c r="A1284" s="169">
        <v>43774</v>
      </c>
      <c r="B1284" s="80" t="s">
        <v>3105</v>
      </c>
      <c r="C1284" s="80" t="s">
        <v>152</v>
      </c>
      <c r="D1284" s="80" t="s">
        <v>159</v>
      </c>
      <c r="E1284" s="80" t="s">
        <v>121</v>
      </c>
      <c r="F1284" s="170">
        <v>150</v>
      </c>
    </row>
    <row r="1285" spans="1:6" hidden="1" x14ac:dyDescent="0.25">
      <c r="A1285" s="169">
        <v>43775</v>
      </c>
      <c r="B1285" s="80" t="s">
        <v>3107</v>
      </c>
      <c r="C1285" s="80" t="s">
        <v>223</v>
      </c>
      <c r="D1285" s="80" t="s">
        <v>159</v>
      </c>
      <c r="E1285" s="80" t="s">
        <v>127</v>
      </c>
      <c r="F1285" s="170">
        <v>150</v>
      </c>
    </row>
    <row r="1286" spans="1:6" hidden="1" x14ac:dyDescent="0.25">
      <c r="A1286" s="169">
        <v>43776</v>
      </c>
      <c r="B1286" s="80" t="s">
        <v>3117</v>
      </c>
      <c r="C1286" s="80" t="s">
        <v>167</v>
      </c>
      <c r="D1286" s="80" t="s">
        <v>159</v>
      </c>
      <c r="E1286" s="80" t="s">
        <v>134</v>
      </c>
      <c r="F1286" s="170">
        <v>150</v>
      </c>
    </row>
    <row r="1287" spans="1:6" hidden="1" x14ac:dyDescent="0.25">
      <c r="A1287" s="169">
        <v>43777</v>
      </c>
      <c r="B1287" s="80" t="s">
        <v>3130</v>
      </c>
      <c r="C1287" s="80" t="s">
        <v>152</v>
      </c>
      <c r="D1287" s="80" t="s">
        <v>159</v>
      </c>
      <c r="E1287" s="80" t="s">
        <v>153</v>
      </c>
      <c r="F1287" s="170">
        <v>150</v>
      </c>
    </row>
    <row r="1288" spans="1:6" hidden="1" x14ac:dyDescent="0.25">
      <c r="A1288" s="169">
        <v>43778</v>
      </c>
      <c r="B1288" s="80" t="s">
        <v>3136</v>
      </c>
      <c r="C1288" s="80" t="s">
        <v>125</v>
      </c>
      <c r="D1288" s="80" t="s">
        <v>159</v>
      </c>
      <c r="E1288" s="80" t="s">
        <v>131</v>
      </c>
      <c r="F1288" s="170">
        <v>150</v>
      </c>
    </row>
    <row r="1289" spans="1:6" hidden="1" x14ac:dyDescent="0.25">
      <c r="A1289" s="169">
        <v>43778</v>
      </c>
      <c r="B1289" s="80" t="s">
        <v>3138</v>
      </c>
      <c r="C1289" s="80" t="s">
        <v>123</v>
      </c>
      <c r="D1289" s="80" t="s">
        <v>159</v>
      </c>
      <c r="E1289" s="80" t="s">
        <v>153</v>
      </c>
      <c r="F1289" s="170">
        <v>150</v>
      </c>
    </row>
    <row r="1290" spans="1:6" hidden="1" x14ac:dyDescent="0.25">
      <c r="A1290" s="169">
        <v>43778</v>
      </c>
      <c r="B1290" s="80" t="s">
        <v>3144</v>
      </c>
      <c r="C1290" s="80" t="s">
        <v>182</v>
      </c>
      <c r="D1290" s="80" t="s">
        <v>159</v>
      </c>
      <c r="E1290" s="80" t="s">
        <v>131</v>
      </c>
      <c r="F1290" s="170">
        <v>150</v>
      </c>
    </row>
    <row r="1291" spans="1:6" hidden="1" x14ac:dyDescent="0.25">
      <c r="A1291" s="169">
        <v>43778</v>
      </c>
      <c r="B1291" s="80" t="s">
        <v>3146</v>
      </c>
      <c r="C1291" s="80" t="s">
        <v>145</v>
      </c>
      <c r="D1291" s="80" t="s">
        <v>159</v>
      </c>
      <c r="E1291" s="80" t="s">
        <v>131</v>
      </c>
      <c r="F1291" s="170">
        <v>150</v>
      </c>
    </row>
    <row r="1292" spans="1:6" hidden="1" x14ac:dyDescent="0.25">
      <c r="A1292" s="169">
        <v>43780</v>
      </c>
      <c r="B1292" s="80" t="s">
        <v>3162</v>
      </c>
      <c r="C1292" s="80" t="s">
        <v>119</v>
      </c>
      <c r="D1292" s="80" t="s">
        <v>159</v>
      </c>
      <c r="E1292" s="80" t="s">
        <v>153</v>
      </c>
      <c r="F1292" s="170">
        <v>150</v>
      </c>
    </row>
    <row r="1293" spans="1:6" hidden="1" x14ac:dyDescent="0.25">
      <c r="A1293" s="169">
        <v>43782</v>
      </c>
      <c r="B1293" s="80" t="s">
        <v>3185</v>
      </c>
      <c r="C1293" s="80" t="s">
        <v>223</v>
      </c>
      <c r="D1293" s="80" t="s">
        <v>159</v>
      </c>
      <c r="E1293" s="80" t="s">
        <v>121</v>
      </c>
      <c r="F1293" s="170">
        <v>150</v>
      </c>
    </row>
    <row r="1294" spans="1:6" hidden="1" x14ac:dyDescent="0.25">
      <c r="A1294" s="169">
        <v>43782</v>
      </c>
      <c r="B1294" s="80" t="s">
        <v>3186</v>
      </c>
      <c r="C1294" s="80" t="s">
        <v>143</v>
      </c>
      <c r="D1294" s="80" t="s">
        <v>159</v>
      </c>
      <c r="E1294" s="80" t="s">
        <v>121</v>
      </c>
      <c r="F1294" s="170">
        <v>150</v>
      </c>
    </row>
    <row r="1295" spans="1:6" hidden="1" x14ac:dyDescent="0.25">
      <c r="A1295" s="169">
        <v>43783</v>
      </c>
      <c r="B1295" s="80" t="s">
        <v>3199</v>
      </c>
      <c r="C1295" s="80" t="s">
        <v>143</v>
      </c>
      <c r="D1295" s="80" t="s">
        <v>159</v>
      </c>
      <c r="E1295" s="80" t="s">
        <v>127</v>
      </c>
      <c r="F1295" s="170">
        <v>150</v>
      </c>
    </row>
    <row r="1296" spans="1:6" hidden="1" x14ac:dyDescent="0.25">
      <c r="A1296" s="169">
        <v>43784</v>
      </c>
      <c r="B1296" s="80" t="s">
        <v>3211</v>
      </c>
      <c r="C1296" s="80" t="s">
        <v>187</v>
      </c>
      <c r="D1296" s="80" t="s">
        <v>159</v>
      </c>
      <c r="E1296" s="80" t="s">
        <v>131</v>
      </c>
      <c r="F1296" s="170">
        <v>150</v>
      </c>
    </row>
    <row r="1297" spans="1:6" hidden="1" x14ac:dyDescent="0.25">
      <c r="A1297" s="169">
        <v>43784</v>
      </c>
      <c r="B1297" s="80" t="s">
        <v>3214</v>
      </c>
      <c r="C1297" s="80" t="s">
        <v>145</v>
      </c>
      <c r="D1297" s="80" t="s">
        <v>159</v>
      </c>
      <c r="E1297" s="80" t="s">
        <v>121</v>
      </c>
      <c r="F1297" s="170">
        <v>150</v>
      </c>
    </row>
    <row r="1298" spans="1:6" hidden="1" x14ac:dyDescent="0.25">
      <c r="A1298" s="169">
        <v>43788</v>
      </c>
      <c r="B1298" s="80" t="s">
        <v>3241</v>
      </c>
      <c r="C1298" s="80" t="s">
        <v>145</v>
      </c>
      <c r="D1298" s="80" t="s">
        <v>159</v>
      </c>
      <c r="E1298" s="80" t="s">
        <v>153</v>
      </c>
      <c r="F1298" s="170">
        <v>150</v>
      </c>
    </row>
    <row r="1299" spans="1:6" hidden="1" x14ac:dyDescent="0.25">
      <c r="A1299" s="169">
        <v>43788</v>
      </c>
      <c r="B1299" s="80" t="s">
        <v>3244</v>
      </c>
      <c r="C1299" s="80" t="s">
        <v>123</v>
      </c>
      <c r="D1299" s="80" t="s">
        <v>159</v>
      </c>
      <c r="E1299" s="80" t="s">
        <v>127</v>
      </c>
      <c r="F1299" s="170">
        <v>150</v>
      </c>
    </row>
    <row r="1300" spans="1:6" hidden="1" x14ac:dyDescent="0.25">
      <c r="A1300" s="169">
        <v>43789</v>
      </c>
      <c r="B1300" s="80" t="s">
        <v>3253</v>
      </c>
      <c r="C1300" s="80" t="s">
        <v>138</v>
      </c>
      <c r="D1300" s="80" t="s">
        <v>159</v>
      </c>
      <c r="E1300" s="80" t="s">
        <v>127</v>
      </c>
      <c r="F1300" s="170">
        <v>150</v>
      </c>
    </row>
    <row r="1301" spans="1:6" hidden="1" x14ac:dyDescent="0.25">
      <c r="A1301" s="169">
        <v>43789</v>
      </c>
      <c r="B1301" s="80" t="s">
        <v>3255</v>
      </c>
      <c r="C1301" s="80" t="s">
        <v>157</v>
      </c>
      <c r="D1301" s="80" t="s">
        <v>159</v>
      </c>
      <c r="E1301" s="80" t="s">
        <v>134</v>
      </c>
      <c r="F1301" s="170">
        <v>150</v>
      </c>
    </row>
    <row r="1302" spans="1:6" hidden="1" x14ac:dyDescent="0.25">
      <c r="A1302" s="169">
        <v>43791</v>
      </c>
      <c r="B1302" s="80" t="s">
        <v>3267</v>
      </c>
      <c r="C1302" s="80" t="s">
        <v>189</v>
      </c>
      <c r="D1302" s="80" t="s">
        <v>159</v>
      </c>
      <c r="E1302" s="80" t="s">
        <v>131</v>
      </c>
      <c r="F1302" s="170">
        <v>150</v>
      </c>
    </row>
    <row r="1303" spans="1:6" hidden="1" x14ac:dyDescent="0.25">
      <c r="A1303" s="169">
        <v>43791</v>
      </c>
      <c r="B1303" s="80" t="s">
        <v>3273</v>
      </c>
      <c r="C1303" s="80" t="s">
        <v>125</v>
      </c>
      <c r="D1303" s="80" t="s">
        <v>159</v>
      </c>
      <c r="E1303" s="80" t="s">
        <v>121</v>
      </c>
      <c r="F1303" s="170">
        <v>150</v>
      </c>
    </row>
    <row r="1304" spans="1:6" hidden="1" x14ac:dyDescent="0.25">
      <c r="A1304" s="169">
        <v>43791</v>
      </c>
      <c r="B1304" s="80" t="s">
        <v>3274</v>
      </c>
      <c r="C1304" s="80" t="s">
        <v>119</v>
      </c>
      <c r="D1304" s="80" t="s">
        <v>159</v>
      </c>
      <c r="E1304" s="80" t="s">
        <v>131</v>
      </c>
      <c r="F1304" s="170">
        <v>150</v>
      </c>
    </row>
    <row r="1305" spans="1:6" hidden="1" x14ac:dyDescent="0.25">
      <c r="A1305" s="169">
        <v>43794</v>
      </c>
      <c r="B1305" s="80" t="s">
        <v>3309</v>
      </c>
      <c r="C1305" s="80" t="s">
        <v>182</v>
      </c>
      <c r="D1305" s="80" t="s">
        <v>159</v>
      </c>
      <c r="E1305" s="80" t="s">
        <v>131</v>
      </c>
      <c r="F1305" s="170">
        <v>150</v>
      </c>
    </row>
    <row r="1306" spans="1:6" hidden="1" x14ac:dyDescent="0.25">
      <c r="A1306" s="169">
        <v>43794</v>
      </c>
      <c r="B1306" s="80" t="s">
        <v>3310</v>
      </c>
      <c r="C1306" s="80" t="s">
        <v>143</v>
      </c>
      <c r="D1306" s="80" t="s">
        <v>159</v>
      </c>
      <c r="E1306" s="80" t="s">
        <v>127</v>
      </c>
      <c r="F1306" s="170">
        <v>150</v>
      </c>
    </row>
    <row r="1307" spans="1:6" hidden="1" x14ac:dyDescent="0.25">
      <c r="A1307" s="169">
        <v>43796</v>
      </c>
      <c r="B1307" s="80" t="s">
        <v>3323</v>
      </c>
      <c r="C1307" s="80" t="s">
        <v>167</v>
      </c>
      <c r="D1307" s="80" t="s">
        <v>159</v>
      </c>
      <c r="E1307" s="80" t="s">
        <v>153</v>
      </c>
      <c r="F1307" s="170">
        <v>150</v>
      </c>
    </row>
    <row r="1308" spans="1:6" hidden="1" x14ac:dyDescent="0.25">
      <c r="A1308" s="169">
        <v>43796</v>
      </c>
      <c r="B1308" s="80" t="s">
        <v>3328</v>
      </c>
      <c r="C1308" s="80" t="s">
        <v>138</v>
      </c>
      <c r="D1308" s="80" t="s">
        <v>159</v>
      </c>
      <c r="E1308" s="80" t="s">
        <v>153</v>
      </c>
      <c r="F1308" s="170">
        <v>150</v>
      </c>
    </row>
    <row r="1309" spans="1:6" hidden="1" x14ac:dyDescent="0.25">
      <c r="A1309" s="169">
        <v>43797</v>
      </c>
      <c r="B1309" s="80" t="s">
        <v>3330</v>
      </c>
      <c r="C1309" s="80" t="s">
        <v>136</v>
      </c>
      <c r="D1309" s="80" t="s">
        <v>159</v>
      </c>
      <c r="E1309" s="80" t="s">
        <v>127</v>
      </c>
      <c r="F1309" s="170">
        <v>150</v>
      </c>
    </row>
    <row r="1310" spans="1:6" hidden="1" x14ac:dyDescent="0.25">
      <c r="A1310" s="169">
        <v>43797</v>
      </c>
      <c r="B1310" s="80" t="s">
        <v>3331</v>
      </c>
      <c r="C1310" s="80" t="s">
        <v>119</v>
      </c>
      <c r="D1310" s="80" t="s">
        <v>159</v>
      </c>
      <c r="E1310" s="80" t="s">
        <v>134</v>
      </c>
      <c r="F1310" s="170">
        <v>150</v>
      </c>
    </row>
    <row r="1311" spans="1:6" hidden="1" x14ac:dyDescent="0.25">
      <c r="A1311" s="169">
        <v>43799</v>
      </c>
      <c r="B1311" s="80" t="s">
        <v>3348</v>
      </c>
      <c r="C1311" s="80" t="s">
        <v>148</v>
      </c>
      <c r="D1311" s="80" t="s">
        <v>159</v>
      </c>
      <c r="E1311" s="80" t="s">
        <v>134</v>
      </c>
      <c r="F1311" s="170">
        <v>150</v>
      </c>
    </row>
    <row r="1312" spans="1:6" hidden="1" x14ac:dyDescent="0.25">
      <c r="A1312" s="169">
        <v>43800</v>
      </c>
      <c r="B1312" s="80" t="s">
        <v>3362</v>
      </c>
      <c r="C1312" s="80" t="s">
        <v>148</v>
      </c>
      <c r="D1312" s="80" t="s">
        <v>159</v>
      </c>
      <c r="E1312" s="80" t="s">
        <v>121</v>
      </c>
      <c r="F1312" s="170">
        <v>150</v>
      </c>
    </row>
    <row r="1313" spans="1:6" hidden="1" x14ac:dyDescent="0.25">
      <c r="A1313" s="169">
        <v>43801</v>
      </c>
      <c r="B1313" s="80" t="s">
        <v>3371</v>
      </c>
      <c r="C1313" s="80" t="s">
        <v>182</v>
      </c>
      <c r="D1313" s="80" t="s">
        <v>159</v>
      </c>
      <c r="E1313" s="80" t="s">
        <v>134</v>
      </c>
      <c r="F1313" s="170">
        <v>150</v>
      </c>
    </row>
    <row r="1314" spans="1:6" hidden="1" x14ac:dyDescent="0.25">
      <c r="A1314" s="169">
        <v>43801</v>
      </c>
      <c r="B1314" s="80" t="s">
        <v>3374</v>
      </c>
      <c r="C1314" s="80" t="s">
        <v>187</v>
      </c>
      <c r="D1314" s="80" t="s">
        <v>159</v>
      </c>
      <c r="E1314" s="80" t="s">
        <v>131</v>
      </c>
      <c r="F1314" s="170">
        <v>150</v>
      </c>
    </row>
    <row r="1315" spans="1:6" hidden="1" x14ac:dyDescent="0.25">
      <c r="A1315" s="169">
        <v>43802</v>
      </c>
      <c r="B1315" s="80" t="s">
        <v>3381</v>
      </c>
      <c r="C1315" s="80" t="s">
        <v>143</v>
      </c>
      <c r="D1315" s="80" t="s">
        <v>159</v>
      </c>
      <c r="E1315" s="80" t="s">
        <v>131</v>
      </c>
      <c r="F1315" s="170">
        <v>150</v>
      </c>
    </row>
    <row r="1316" spans="1:6" hidden="1" x14ac:dyDescent="0.25">
      <c r="A1316" s="169">
        <v>43804</v>
      </c>
      <c r="B1316" s="80" t="s">
        <v>3401</v>
      </c>
      <c r="C1316" s="80" t="s">
        <v>125</v>
      </c>
      <c r="D1316" s="80" t="s">
        <v>159</v>
      </c>
      <c r="E1316" s="80" t="s">
        <v>121</v>
      </c>
      <c r="F1316" s="170">
        <v>150</v>
      </c>
    </row>
    <row r="1317" spans="1:6" hidden="1" x14ac:dyDescent="0.25">
      <c r="A1317" s="169">
        <v>43804</v>
      </c>
      <c r="B1317" s="80" t="s">
        <v>3404</v>
      </c>
      <c r="C1317" s="80" t="s">
        <v>143</v>
      </c>
      <c r="D1317" s="80" t="s">
        <v>159</v>
      </c>
      <c r="E1317" s="80" t="s">
        <v>121</v>
      </c>
      <c r="F1317" s="170">
        <v>150</v>
      </c>
    </row>
    <row r="1318" spans="1:6" hidden="1" x14ac:dyDescent="0.25">
      <c r="A1318" s="169">
        <v>43805</v>
      </c>
      <c r="B1318" s="80" t="s">
        <v>3415</v>
      </c>
      <c r="C1318" s="80" t="s">
        <v>119</v>
      </c>
      <c r="D1318" s="80" t="s">
        <v>159</v>
      </c>
      <c r="E1318" s="80" t="s">
        <v>127</v>
      </c>
      <c r="F1318" s="170">
        <v>150</v>
      </c>
    </row>
    <row r="1319" spans="1:6" hidden="1" x14ac:dyDescent="0.25">
      <c r="A1319" s="169">
        <v>43806</v>
      </c>
      <c r="B1319" s="80" t="s">
        <v>3424</v>
      </c>
      <c r="C1319" s="80" t="s">
        <v>182</v>
      </c>
      <c r="D1319" s="80" t="s">
        <v>159</v>
      </c>
      <c r="E1319" s="80" t="s">
        <v>131</v>
      </c>
      <c r="F1319" s="170">
        <v>150</v>
      </c>
    </row>
    <row r="1320" spans="1:6" hidden="1" x14ac:dyDescent="0.25">
      <c r="A1320" s="169">
        <v>43807</v>
      </c>
      <c r="B1320" s="80" t="s">
        <v>3431</v>
      </c>
      <c r="C1320" s="80" t="s">
        <v>119</v>
      </c>
      <c r="D1320" s="80" t="s">
        <v>159</v>
      </c>
      <c r="E1320" s="80" t="s">
        <v>134</v>
      </c>
      <c r="F1320" s="170">
        <v>150</v>
      </c>
    </row>
    <row r="1321" spans="1:6" hidden="1" x14ac:dyDescent="0.25">
      <c r="A1321" s="169">
        <v>43807</v>
      </c>
      <c r="B1321" s="80" t="s">
        <v>3434</v>
      </c>
      <c r="C1321" s="80" t="s">
        <v>125</v>
      </c>
      <c r="D1321" s="80" t="s">
        <v>159</v>
      </c>
      <c r="E1321" s="80" t="s">
        <v>134</v>
      </c>
      <c r="F1321" s="170">
        <v>150</v>
      </c>
    </row>
    <row r="1322" spans="1:6" hidden="1" x14ac:dyDescent="0.25">
      <c r="A1322" s="169">
        <v>43807</v>
      </c>
      <c r="B1322" s="80" t="s">
        <v>3437</v>
      </c>
      <c r="C1322" s="80" t="s">
        <v>136</v>
      </c>
      <c r="D1322" s="80" t="s">
        <v>159</v>
      </c>
      <c r="E1322" s="80" t="s">
        <v>127</v>
      </c>
      <c r="F1322" s="170">
        <v>150</v>
      </c>
    </row>
    <row r="1323" spans="1:6" hidden="1" x14ac:dyDescent="0.25">
      <c r="A1323" s="169">
        <v>43808</v>
      </c>
      <c r="B1323" s="80" t="s">
        <v>3447</v>
      </c>
      <c r="C1323" s="80" t="s">
        <v>187</v>
      </c>
      <c r="D1323" s="80" t="s">
        <v>159</v>
      </c>
      <c r="E1323" s="80" t="s">
        <v>121</v>
      </c>
      <c r="F1323" s="170">
        <v>150</v>
      </c>
    </row>
    <row r="1324" spans="1:6" hidden="1" x14ac:dyDescent="0.25">
      <c r="A1324" s="169">
        <v>43811</v>
      </c>
      <c r="B1324" s="80" t="s">
        <v>3467</v>
      </c>
      <c r="C1324" s="80" t="s">
        <v>182</v>
      </c>
      <c r="D1324" s="80" t="s">
        <v>159</v>
      </c>
      <c r="E1324" s="80" t="s">
        <v>121</v>
      </c>
      <c r="F1324" s="170">
        <v>150</v>
      </c>
    </row>
    <row r="1325" spans="1:6" hidden="1" x14ac:dyDescent="0.25">
      <c r="A1325" s="169">
        <v>43811</v>
      </c>
      <c r="B1325" s="80" t="s">
        <v>3473</v>
      </c>
      <c r="C1325" s="80" t="s">
        <v>125</v>
      </c>
      <c r="D1325" s="80" t="s">
        <v>159</v>
      </c>
      <c r="E1325" s="80" t="s">
        <v>127</v>
      </c>
      <c r="F1325" s="170">
        <v>150</v>
      </c>
    </row>
    <row r="1326" spans="1:6" hidden="1" x14ac:dyDescent="0.25">
      <c r="A1326" s="169">
        <v>43811</v>
      </c>
      <c r="B1326" s="80" t="s">
        <v>3476</v>
      </c>
      <c r="C1326" s="80" t="s">
        <v>119</v>
      </c>
      <c r="D1326" s="80" t="s">
        <v>159</v>
      </c>
      <c r="E1326" s="80" t="s">
        <v>121</v>
      </c>
      <c r="F1326" s="170">
        <v>150</v>
      </c>
    </row>
    <row r="1327" spans="1:6" hidden="1" x14ac:dyDescent="0.25">
      <c r="A1327" s="169">
        <v>43813</v>
      </c>
      <c r="B1327" s="80" t="s">
        <v>3486</v>
      </c>
      <c r="C1327" s="80" t="s">
        <v>187</v>
      </c>
      <c r="D1327" s="80" t="s">
        <v>159</v>
      </c>
      <c r="E1327" s="80" t="s">
        <v>127</v>
      </c>
      <c r="F1327" s="170">
        <v>150</v>
      </c>
    </row>
    <row r="1328" spans="1:6" hidden="1" x14ac:dyDescent="0.25">
      <c r="A1328" s="169">
        <v>43813</v>
      </c>
      <c r="B1328" s="80" t="s">
        <v>3487</v>
      </c>
      <c r="C1328" s="80" t="s">
        <v>136</v>
      </c>
      <c r="D1328" s="80" t="s">
        <v>159</v>
      </c>
      <c r="E1328" s="80" t="s">
        <v>134</v>
      </c>
      <c r="F1328" s="170">
        <v>150</v>
      </c>
    </row>
    <row r="1329" spans="1:6" hidden="1" x14ac:dyDescent="0.25">
      <c r="A1329" s="169">
        <v>43813</v>
      </c>
      <c r="B1329" s="80" t="s">
        <v>3489</v>
      </c>
      <c r="C1329" s="80" t="s">
        <v>152</v>
      </c>
      <c r="D1329" s="80" t="s">
        <v>159</v>
      </c>
      <c r="E1329" s="80" t="s">
        <v>153</v>
      </c>
      <c r="F1329" s="170">
        <v>150</v>
      </c>
    </row>
    <row r="1330" spans="1:6" hidden="1" x14ac:dyDescent="0.25">
      <c r="A1330" s="169">
        <v>43814</v>
      </c>
      <c r="B1330" s="80" t="s">
        <v>3499</v>
      </c>
      <c r="C1330" s="80" t="s">
        <v>143</v>
      </c>
      <c r="D1330" s="80" t="s">
        <v>159</v>
      </c>
      <c r="E1330" s="80" t="s">
        <v>153</v>
      </c>
      <c r="F1330" s="170">
        <v>150</v>
      </c>
    </row>
    <row r="1331" spans="1:6" hidden="1" x14ac:dyDescent="0.25">
      <c r="A1331" s="169">
        <v>43815</v>
      </c>
      <c r="B1331" s="80" t="s">
        <v>3502</v>
      </c>
      <c r="C1331" s="80" t="s">
        <v>138</v>
      </c>
      <c r="D1331" s="80" t="s">
        <v>159</v>
      </c>
      <c r="E1331" s="80" t="s">
        <v>131</v>
      </c>
      <c r="F1331" s="170">
        <v>150</v>
      </c>
    </row>
    <row r="1332" spans="1:6" hidden="1" x14ac:dyDescent="0.25">
      <c r="A1332" s="169">
        <v>43815</v>
      </c>
      <c r="B1332" s="80" t="s">
        <v>3507</v>
      </c>
      <c r="C1332" s="80" t="s">
        <v>167</v>
      </c>
      <c r="D1332" s="80" t="s">
        <v>159</v>
      </c>
      <c r="E1332" s="80" t="s">
        <v>121</v>
      </c>
      <c r="F1332" s="170">
        <v>150</v>
      </c>
    </row>
    <row r="1333" spans="1:6" hidden="1" x14ac:dyDescent="0.25">
      <c r="A1333" s="169">
        <v>43817</v>
      </c>
      <c r="B1333" s="80" t="s">
        <v>3518</v>
      </c>
      <c r="C1333" s="80" t="s">
        <v>148</v>
      </c>
      <c r="D1333" s="80" t="s">
        <v>159</v>
      </c>
      <c r="E1333" s="80" t="s">
        <v>134</v>
      </c>
      <c r="F1333" s="170">
        <v>150</v>
      </c>
    </row>
    <row r="1334" spans="1:6" hidden="1" x14ac:dyDescent="0.25">
      <c r="A1334" s="169">
        <v>43817</v>
      </c>
      <c r="B1334" s="80" t="s">
        <v>3523</v>
      </c>
      <c r="C1334" s="80" t="s">
        <v>157</v>
      </c>
      <c r="D1334" s="80" t="s">
        <v>159</v>
      </c>
      <c r="E1334" s="80" t="s">
        <v>131</v>
      </c>
      <c r="F1334" s="170">
        <v>150</v>
      </c>
    </row>
    <row r="1335" spans="1:6" hidden="1" x14ac:dyDescent="0.25">
      <c r="A1335" s="169">
        <v>43818</v>
      </c>
      <c r="B1335" s="80" t="s">
        <v>3528</v>
      </c>
      <c r="C1335" s="80" t="s">
        <v>119</v>
      </c>
      <c r="D1335" s="80" t="s">
        <v>159</v>
      </c>
      <c r="E1335" s="80" t="s">
        <v>153</v>
      </c>
      <c r="F1335" s="170">
        <v>150</v>
      </c>
    </row>
    <row r="1336" spans="1:6" hidden="1" x14ac:dyDescent="0.25">
      <c r="A1336" s="169">
        <v>43819</v>
      </c>
      <c r="B1336" s="80" t="s">
        <v>3545</v>
      </c>
      <c r="C1336" s="80" t="s">
        <v>145</v>
      </c>
      <c r="D1336" s="80" t="s">
        <v>159</v>
      </c>
      <c r="E1336" s="80" t="s">
        <v>153</v>
      </c>
      <c r="F1336" s="170">
        <v>150</v>
      </c>
    </row>
    <row r="1337" spans="1:6" hidden="1" x14ac:dyDescent="0.25">
      <c r="A1337" s="169">
        <v>43820</v>
      </c>
      <c r="B1337" s="80" t="s">
        <v>3549</v>
      </c>
      <c r="C1337" s="80" t="s">
        <v>157</v>
      </c>
      <c r="D1337" s="80" t="s">
        <v>159</v>
      </c>
      <c r="E1337" s="80" t="s">
        <v>134</v>
      </c>
      <c r="F1337" s="170">
        <v>150</v>
      </c>
    </row>
    <row r="1338" spans="1:6" hidden="1" x14ac:dyDescent="0.25">
      <c r="A1338" s="169">
        <v>43820</v>
      </c>
      <c r="B1338" s="80" t="s">
        <v>3550</v>
      </c>
      <c r="C1338" s="80" t="s">
        <v>125</v>
      </c>
      <c r="D1338" s="80" t="s">
        <v>159</v>
      </c>
      <c r="E1338" s="80" t="s">
        <v>121</v>
      </c>
      <c r="F1338" s="170">
        <v>150</v>
      </c>
    </row>
    <row r="1339" spans="1:6" hidden="1" x14ac:dyDescent="0.25">
      <c r="A1339" s="169">
        <v>43820</v>
      </c>
      <c r="B1339" s="80" t="s">
        <v>3552</v>
      </c>
      <c r="C1339" s="80" t="s">
        <v>157</v>
      </c>
      <c r="D1339" s="80" t="s">
        <v>159</v>
      </c>
      <c r="E1339" s="80" t="s">
        <v>121</v>
      </c>
      <c r="F1339" s="170">
        <v>150</v>
      </c>
    </row>
    <row r="1340" spans="1:6" hidden="1" x14ac:dyDescent="0.25">
      <c r="A1340" s="169">
        <v>43821</v>
      </c>
      <c r="B1340" s="80" t="s">
        <v>3566</v>
      </c>
      <c r="C1340" s="80" t="s">
        <v>182</v>
      </c>
      <c r="D1340" s="80" t="s">
        <v>159</v>
      </c>
      <c r="E1340" s="80" t="s">
        <v>121</v>
      </c>
      <c r="F1340" s="170">
        <v>150</v>
      </c>
    </row>
    <row r="1341" spans="1:6" hidden="1" x14ac:dyDescent="0.25">
      <c r="A1341" s="169">
        <v>43822</v>
      </c>
      <c r="B1341" s="80" t="s">
        <v>3569</v>
      </c>
      <c r="C1341" s="80" t="s">
        <v>223</v>
      </c>
      <c r="D1341" s="80" t="s">
        <v>159</v>
      </c>
      <c r="E1341" s="80" t="s">
        <v>153</v>
      </c>
      <c r="F1341" s="170">
        <v>150</v>
      </c>
    </row>
    <row r="1342" spans="1:6" hidden="1" x14ac:dyDescent="0.25">
      <c r="A1342" s="169">
        <v>43823</v>
      </c>
      <c r="B1342" s="80" t="s">
        <v>3577</v>
      </c>
      <c r="C1342" s="80" t="s">
        <v>157</v>
      </c>
      <c r="D1342" s="80" t="s">
        <v>159</v>
      </c>
      <c r="E1342" s="80" t="s">
        <v>121</v>
      </c>
      <c r="F1342" s="170">
        <v>150</v>
      </c>
    </row>
    <row r="1343" spans="1:6" hidden="1" x14ac:dyDescent="0.25">
      <c r="A1343" s="169">
        <v>43824</v>
      </c>
      <c r="B1343" s="80" t="s">
        <v>3584</v>
      </c>
      <c r="C1343" s="80" t="s">
        <v>182</v>
      </c>
      <c r="D1343" s="80" t="s">
        <v>159</v>
      </c>
      <c r="E1343" s="80" t="s">
        <v>121</v>
      </c>
      <c r="F1343" s="170">
        <v>150</v>
      </c>
    </row>
    <row r="1344" spans="1:6" hidden="1" x14ac:dyDescent="0.25">
      <c r="A1344" s="169">
        <v>43824</v>
      </c>
      <c r="B1344" s="80" t="s">
        <v>3589</v>
      </c>
      <c r="C1344" s="80" t="s">
        <v>129</v>
      </c>
      <c r="D1344" s="80" t="s">
        <v>159</v>
      </c>
      <c r="E1344" s="80" t="s">
        <v>131</v>
      </c>
      <c r="F1344" s="170">
        <v>150</v>
      </c>
    </row>
    <row r="1345" spans="1:6" hidden="1" x14ac:dyDescent="0.25">
      <c r="A1345" s="169">
        <v>43824</v>
      </c>
      <c r="B1345" s="80" t="s">
        <v>3590</v>
      </c>
      <c r="C1345" s="80" t="s">
        <v>119</v>
      </c>
      <c r="D1345" s="80" t="s">
        <v>159</v>
      </c>
      <c r="E1345" s="80" t="s">
        <v>121</v>
      </c>
      <c r="F1345" s="170">
        <v>150</v>
      </c>
    </row>
    <row r="1346" spans="1:6" hidden="1" x14ac:dyDescent="0.25">
      <c r="A1346" s="169">
        <v>43828</v>
      </c>
      <c r="B1346" s="80" t="s">
        <v>3622</v>
      </c>
      <c r="C1346" s="80" t="s">
        <v>152</v>
      </c>
      <c r="D1346" s="80" t="s">
        <v>159</v>
      </c>
      <c r="E1346" s="80" t="s">
        <v>134</v>
      </c>
      <c r="F1346" s="170">
        <v>150</v>
      </c>
    </row>
    <row r="1347" spans="1:6" hidden="1" x14ac:dyDescent="0.25">
      <c r="A1347" s="169">
        <v>43829</v>
      </c>
      <c r="B1347" s="80" t="s">
        <v>3631</v>
      </c>
      <c r="C1347" s="80" t="s">
        <v>145</v>
      </c>
      <c r="D1347" s="80" t="s">
        <v>159</v>
      </c>
      <c r="E1347" s="80" t="s">
        <v>153</v>
      </c>
      <c r="F1347" s="170">
        <v>150</v>
      </c>
    </row>
    <row r="1348" spans="1:6" hidden="1" x14ac:dyDescent="0.25">
      <c r="A1348" s="169">
        <v>43829</v>
      </c>
      <c r="B1348" s="80" t="s">
        <v>3638</v>
      </c>
      <c r="C1348" s="80" t="s">
        <v>129</v>
      </c>
      <c r="D1348" s="80" t="s">
        <v>159</v>
      </c>
      <c r="E1348" s="80" t="s">
        <v>127</v>
      </c>
      <c r="F1348" s="170">
        <v>150</v>
      </c>
    </row>
    <row r="1349" spans="1:6" hidden="1" x14ac:dyDescent="0.25">
      <c r="A1349" s="169">
        <v>43830</v>
      </c>
      <c r="B1349" s="80" t="s">
        <v>3645</v>
      </c>
      <c r="C1349" s="80" t="s">
        <v>189</v>
      </c>
      <c r="D1349" s="80" t="s">
        <v>159</v>
      </c>
      <c r="E1349" s="80" t="s">
        <v>121</v>
      </c>
      <c r="F1349" s="170">
        <v>150</v>
      </c>
    </row>
    <row r="1350" spans="1:6" hidden="1" x14ac:dyDescent="0.25">
      <c r="A1350" s="169">
        <v>43466</v>
      </c>
      <c r="B1350" s="80" t="s">
        <v>128</v>
      </c>
      <c r="C1350" s="80" t="s">
        <v>129</v>
      </c>
      <c r="D1350" s="80" t="s">
        <v>130</v>
      </c>
      <c r="E1350" s="80" t="s">
        <v>131</v>
      </c>
      <c r="F1350" s="170">
        <v>100</v>
      </c>
    </row>
    <row r="1351" spans="1:6" hidden="1" x14ac:dyDescent="0.25">
      <c r="A1351" s="169">
        <v>43466</v>
      </c>
      <c r="B1351" s="80" t="s">
        <v>135</v>
      </c>
      <c r="C1351" s="80" t="s">
        <v>136</v>
      </c>
      <c r="D1351" s="80" t="s">
        <v>130</v>
      </c>
      <c r="E1351" s="80" t="s">
        <v>121</v>
      </c>
      <c r="F1351" s="170">
        <v>100</v>
      </c>
    </row>
    <row r="1352" spans="1:6" hidden="1" x14ac:dyDescent="0.25">
      <c r="A1352" s="169">
        <v>43466</v>
      </c>
      <c r="B1352" s="80" t="s">
        <v>149</v>
      </c>
      <c r="C1352" s="80" t="s">
        <v>119</v>
      </c>
      <c r="D1352" s="80" t="s">
        <v>130</v>
      </c>
      <c r="E1352" s="80" t="s">
        <v>134</v>
      </c>
      <c r="F1352" s="170">
        <v>100</v>
      </c>
    </row>
    <row r="1353" spans="1:6" hidden="1" x14ac:dyDescent="0.25">
      <c r="A1353" s="169">
        <v>43467</v>
      </c>
      <c r="B1353" s="80" t="s">
        <v>150</v>
      </c>
      <c r="C1353" s="80" t="s">
        <v>143</v>
      </c>
      <c r="D1353" s="80" t="s">
        <v>130</v>
      </c>
      <c r="E1353" s="80" t="s">
        <v>134</v>
      </c>
      <c r="F1353" s="170">
        <v>100</v>
      </c>
    </row>
    <row r="1354" spans="1:6" hidden="1" x14ac:dyDescent="0.25">
      <c r="A1354" s="169">
        <v>43467</v>
      </c>
      <c r="B1354" s="80" t="s">
        <v>151</v>
      </c>
      <c r="C1354" s="80" t="s">
        <v>152</v>
      </c>
      <c r="D1354" s="80" t="s">
        <v>130</v>
      </c>
      <c r="E1354" s="80" t="s">
        <v>153</v>
      </c>
      <c r="F1354" s="170">
        <v>100</v>
      </c>
    </row>
    <row r="1355" spans="1:6" hidden="1" x14ac:dyDescent="0.25">
      <c r="A1355" s="169">
        <v>43467</v>
      </c>
      <c r="B1355" s="80" t="s">
        <v>156</v>
      </c>
      <c r="C1355" s="80" t="s">
        <v>157</v>
      </c>
      <c r="D1355" s="80" t="s">
        <v>130</v>
      </c>
      <c r="E1355" s="80" t="s">
        <v>121</v>
      </c>
      <c r="F1355" s="170">
        <v>100</v>
      </c>
    </row>
    <row r="1356" spans="1:6" hidden="1" x14ac:dyDescent="0.25">
      <c r="A1356" s="169">
        <v>43467</v>
      </c>
      <c r="B1356" s="80" t="s">
        <v>160</v>
      </c>
      <c r="C1356" s="80" t="s">
        <v>136</v>
      </c>
      <c r="D1356" s="80" t="s">
        <v>130</v>
      </c>
      <c r="E1356" s="80" t="s">
        <v>127</v>
      </c>
      <c r="F1356" s="170">
        <v>100</v>
      </c>
    </row>
    <row r="1357" spans="1:6" hidden="1" x14ac:dyDescent="0.25">
      <c r="A1357" s="169">
        <v>43468</v>
      </c>
      <c r="B1357" s="80" t="s">
        <v>172</v>
      </c>
      <c r="C1357" s="80" t="s">
        <v>136</v>
      </c>
      <c r="D1357" s="80" t="s">
        <v>130</v>
      </c>
      <c r="E1357" s="80" t="s">
        <v>127</v>
      </c>
      <c r="F1357" s="170">
        <v>100</v>
      </c>
    </row>
    <row r="1358" spans="1:6" hidden="1" x14ac:dyDescent="0.25">
      <c r="A1358" s="169">
        <v>43472</v>
      </c>
      <c r="B1358" s="80" t="s">
        <v>206</v>
      </c>
      <c r="C1358" s="80" t="s">
        <v>145</v>
      </c>
      <c r="D1358" s="80" t="s">
        <v>130</v>
      </c>
      <c r="E1358" s="80" t="s">
        <v>134</v>
      </c>
      <c r="F1358" s="170">
        <v>100</v>
      </c>
    </row>
    <row r="1359" spans="1:6" hidden="1" x14ac:dyDescent="0.25">
      <c r="A1359" s="169">
        <v>43472</v>
      </c>
      <c r="B1359" s="80" t="s">
        <v>212</v>
      </c>
      <c r="C1359" s="80" t="s">
        <v>167</v>
      </c>
      <c r="D1359" s="80" t="s">
        <v>130</v>
      </c>
      <c r="E1359" s="80" t="s">
        <v>153</v>
      </c>
      <c r="F1359" s="170">
        <v>100</v>
      </c>
    </row>
    <row r="1360" spans="1:6" hidden="1" x14ac:dyDescent="0.25">
      <c r="A1360" s="169">
        <v>43472</v>
      </c>
      <c r="B1360" s="80" t="s">
        <v>213</v>
      </c>
      <c r="C1360" s="80" t="s">
        <v>138</v>
      </c>
      <c r="D1360" s="80" t="s">
        <v>130</v>
      </c>
      <c r="E1360" s="80" t="s">
        <v>134</v>
      </c>
      <c r="F1360" s="170">
        <v>100</v>
      </c>
    </row>
    <row r="1361" spans="1:6" hidden="1" x14ac:dyDescent="0.25">
      <c r="A1361" s="169">
        <v>43473</v>
      </c>
      <c r="B1361" s="80" t="s">
        <v>219</v>
      </c>
      <c r="C1361" s="80" t="s">
        <v>123</v>
      </c>
      <c r="D1361" s="80" t="s">
        <v>130</v>
      </c>
      <c r="E1361" s="80" t="s">
        <v>131</v>
      </c>
      <c r="F1361" s="170">
        <v>100</v>
      </c>
    </row>
    <row r="1362" spans="1:6" hidden="1" x14ac:dyDescent="0.25">
      <c r="A1362" s="169">
        <v>43475</v>
      </c>
      <c r="B1362" s="80" t="s">
        <v>241</v>
      </c>
      <c r="C1362" s="80" t="s">
        <v>157</v>
      </c>
      <c r="D1362" s="80" t="s">
        <v>130</v>
      </c>
      <c r="E1362" s="80" t="s">
        <v>134</v>
      </c>
      <c r="F1362" s="170">
        <v>100</v>
      </c>
    </row>
    <row r="1363" spans="1:6" hidden="1" x14ac:dyDescent="0.25">
      <c r="A1363" s="169">
        <v>43475</v>
      </c>
      <c r="B1363" s="80" t="s">
        <v>244</v>
      </c>
      <c r="C1363" s="80" t="s">
        <v>119</v>
      </c>
      <c r="D1363" s="80" t="s">
        <v>130</v>
      </c>
      <c r="E1363" s="80" t="s">
        <v>127</v>
      </c>
      <c r="F1363" s="170">
        <v>100</v>
      </c>
    </row>
    <row r="1364" spans="1:6" hidden="1" x14ac:dyDescent="0.25">
      <c r="A1364" s="169">
        <v>43476</v>
      </c>
      <c r="B1364" s="80" t="s">
        <v>251</v>
      </c>
      <c r="C1364" s="80" t="s">
        <v>182</v>
      </c>
      <c r="D1364" s="80" t="s">
        <v>130</v>
      </c>
      <c r="E1364" s="80" t="s">
        <v>134</v>
      </c>
      <c r="F1364" s="170">
        <v>100</v>
      </c>
    </row>
    <row r="1365" spans="1:6" hidden="1" x14ac:dyDescent="0.25">
      <c r="A1365" s="169">
        <v>43476</v>
      </c>
      <c r="B1365" s="80" t="s">
        <v>252</v>
      </c>
      <c r="C1365" s="80" t="s">
        <v>138</v>
      </c>
      <c r="D1365" s="80" t="s">
        <v>130</v>
      </c>
      <c r="E1365" s="80" t="s">
        <v>131</v>
      </c>
      <c r="F1365" s="170">
        <v>100</v>
      </c>
    </row>
    <row r="1366" spans="1:6" hidden="1" x14ac:dyDescent="0.25">
      <c r="A1366" s="169">
        <v>43476</v>
      </c>
      <c r="B1366" s="80" t="s">
        <v>254</v>
      </c>
      <c r="C1366" s="80" t="s">
        <v>138</v>
      </c>
      <c r="D1366" s="80" t="s">
        <v>130</v>
      </c>
      <c r="E1366" s="80" t="s">
        <v>131</v>
      </c>
      <c r="F1366" s="170">
        <v>100</v>
      </c>
    </row>
    <row r="1367" spans="1:6" hidden="1" x14ac:dyDescent="0.25">
      <c r="A1367" s="169">
        <v>43476</v>
      </c>
      <c r="B1367" s="80" t="s">
        <v>257</v>
      </c>
      <c r="C1367" s="80" t="s">
        <v>123</v>
      </c>
      <c r="D1367" s="80" t="s">
        <v>130</v>
      </c>
      <c r="E1367" s="80" t="s">
        <v>134</v>
      </c>
      <c r="F1367" s="170">
        <v>100</v>
      </c>
    </row>
    <row r="1368" spans="1:6" hidden="1" x14ac:dyDescent="0.25">
      <c r="A1368" s="169">
        <v>43477</v>
      </c>
      <c r="B1368" s="80" t="s">
        <v>265</v>
      </c>
      <c r="C1368" s="80" t="s">
        <v>119</v>
      </c>
      <c r="D1368" s="80" t="s">
        <v>130</v>
      </c>
      <c r="E1368" s="80" t="s">
        <v>127</v>
      </c>
      <c r="F1368" s="170">
        <v>100</v>
      </c>
    </row>
    <row r="1369" spans="1:6" hidden="1" x14ac:dyDescent="0.25">
      <c r="A1369" s="169">
        <v>43477</v>
      </c>
      <c r="B1369" s="80" t="s">
        <v>270</v>
      </c>
      <c r="C1369" s="80" t="s">
        <v>136</v>
      </c>
      <c r="D1369" s="80" t="s">
        <v>130</v>
      </c>
      <c r="E1369" s="80" t="s">
        <v>134</v>
      </c>
      <c r="F1369" s="170">
        <v>100</v>
      </c>
    </row>
    <row r="1370" spans="1:6" hidden="1" x14ac:dyDescent="0.25">
      <c r="A1370" s="169">
        <v>43478</v>
      </c>
      <c r="B1370" s="80" t="s">
        <v>272</v>
      </c>
      <c r="C1370" s="80" t="s">
        <v>148</v>
      </c>
      <c r="D1370" s="80" t="s">
        <v>130</v>
      </c>
      <c r="E1370" s="80" t="s">
        <v>131</v>
      </c>
      <c r="F1370" s="170">
        <v>100</v>
      </c>
    </row>
    <row r="1371" spans="1:6" hidden="1" x14ac:dyDescent="0.25">
      <c r="A1371" s="169">
        <v>43478</v>
      </c>
      <c r="B1371" s="80" t="s">
        <v>279</v>
      </c>
      <c r="C1371" s="80" t="s">
        <v>164</v>
      </c>
      <c r="D1371" s="80" t="s">
        <v>130</v>
      </c>
      <c r="E1371" s="80" t="s">
        <v>127</v>
      </c>
      <c r="F1371" s="170">
        <v>100</v>
      </c>
    </row>
    <row r="1372" spans="1:6" hidden="1" x14ac:dyDescent="0.25">
      <c r="A1372" s="169">
        <v>43479</v>
      </c>
      <c r="B1372" s="80" t="s">
        <v>291</v>
      </c>
      <c r="C1372" s="80" t="s">
        <v>167</v>
      </c>
      <c r="D1372" s="80" t="s">
        <v>130</v>
      </c>
      <c r="E1372" s="80" t="s">
        <v>131</v>
      </c>
      <c r="F1372" s="170">
        <v>100</v>
      </c>
    </row>
    <row r="1373" spans="1:6" hidden="1" x14ac:dyDescent="0.25">
      <c r="A1373" s="169">
        <v>43480</v>
      </c>
      <c r="B1373" s="80" t="s">
        <v>296</v>
      </c>
      <c r="C1373" s="80" t="s">
        <v>157</v>
      </c>
      <c r="D1373" s="80" t="s">
        <v>130</v>
      </c>
      <c r="E1373" s="80" t="s">
        <v>121</v>
      </c>
      <c r="F1373" s="170">
        <v>100</v>
      </c>
    </row>
    <row r="1374" spans="1:6" hidden="1" x14ac:dyDescent="0.25">
      <c r="A1374" s="169">
        <v>43480</v>
      </c>
      <c r="B1374" s="80" t="s">
        <v>302</v>
      </c>
      <c r="C1374" s="80" t="s">
        <v>129</v>
      </c>
      <c r="D1374" s="80" t="s">
        <v>130</v>
      </c>
      <c r="E1374" s="80" t="s">
        <v>134</v>
      </c>
      <c r="F1374" s="170">
        <v>100</v>
      </c>
    </row>
    <row r="1375" spans="1:6" hidden="1" x14ac:dyDescent="0.25">
      <c r="A1375" s="169">
        <v>43481</v>
      </c>
      <c r="B1375" s="80" t="s">
        <v>305</v>
      </c>
      <c r="C1375" s="80" t="s">
        <v>119</v>
      </c>
      <c r="D1375" s="80" t="s">
        <v>130</v>
      </c>
      <c r="E1375" s="80" t="s">
        <v>121</v>
      </c>
      <c r="F1375" s="170">
        <v>100</v>
      </c>
    </row>
    <row r="1376" spans="1:6" hidden="1" x14ac:dyDescent="0.25">
      <c r="A1376" s="169">
        <v>43482</v>
      </c>
      <c r="B1376" s="80" t="s">
        <v>321</v>
      </c>
      <c r="C1376" s="80" t="s">
        <v>136</v>
      </c>
      <c r="D1376" s="80" t="s">
        <v>130</v>
      </c>
      <c r="E1376" s="80" t="s">
        <v>134</v>
      </c>
      <c r="F1376" s="170">
        <v>100</v>
      </c>
    </row>
    <row r="1377" spans="1:6" hidden="1" x14ac:dyDescent="0.25">
      <c r="A1377" s="169">
        <v>43484</v>
      </c>
      <c r="B1377" s="80" t="s">
        <v>340</v>
      </c>
      <c r="C1377" s="80" t="s">
        <v>152</v>
      </c>
      <c r="D1377" s="80" t="s">
        <v>130</v>
      </c>
      <c r="E1377" s="80" t="s">
        <v>153</v>
      </c>
      <c r="F1377" s="170">
        <v>100</v>
      </c>
    </row>
    <row r="1378" spans="1:6" hidden="1" x14ac:dyDescent="0.25">
      <c r="A1378" s="169">
        <v>43485</v>
      </c>
      <c r="B1378" s="80" t="s">
        <v>349</v>
      </c>
      <c r="C1378" s="80" t="s">
        <v>129</v>
      </c>
      <c r="D1378" s="80" t="s">
        <v>130</v>
      </c>
      <c r="E1378" s="80" t="s">
        <v>121</v>
      </c>
      <c r="F1378" s="170">
        <v>100</v>
      </c>
    </row>
    <row r="1379" spans="1:6" hidden="1" x14ac:dyDescent="0.25">
      <c r="A1379" s="169">
        <v>43486</v>
      </c>
      <c r="B1379" s="80" t="s">
        <v>355</v>
      </c>
      <c r="C1379" s="80" t="s">
        <v>119</v>
      </c>
      <c r="D1379" s="80" t="s">
        <v>130</v>
      </c>
      <c r="E1379" s="80" t="s">
        <v>134</v>
      </c>
      <c r="F1379" s="170">
        <v>100</v>
      </c>
    </row>
    <row r="1380" spans="1:6" hidden="1" x14ac:dyDescent="0.25">
      <c r="A1380" s="169">
        <v>43486</v>
      </c>
      <c r="B1380" s="80" t="s">
        <v>359</v>
      </c>
      <c r="C1380" s="80" t="s">
        <v>189</v>
      </c>
      <c r="D1380" s="80" t="s">
        <v>130</v>
      </c>
      <c r="E1380" s="80" t="s">
        <v>153</v>
      </c>
      <c r="F1380" s="170">
        <v>100</v>
      </c>
    </row>
    <row r="1381" spans="1:6" hidden="1" x14ac:dyDescent="0.25">
      <c r="A1381" s="169">
        <v>43488</v>
      </c>
      <c r="B1381" s="80" t="s">
        <v>381</v>
      </c>
      <c r="C1381" s="80" t="s">
        <v>119</v>
      </c>
      <c r="D1381" s="80" t="s">
        <v>130</v>
      </c>
      <c r="E1381" s="80" t="s">
        <v>127</v>
      </c>
      <c r="F1381" s="170">
        <v>100</v>
      </c>
    </row>
    <row r="1382" spans="1:6" hidden="1" x14ac:dyDescent="0.25">
      <c r="A1382" s="169">
        <v>43488</v>
      </c>
      <c r="B1382" s="80" t="s">
        <v>382</v>
      </c>
      <c r="C1382" s="80" t="s">
        <v>157</v>
      </c>
      <c r="D1382" s="80" t="s">
        <v>130</v>
      </c>
      <c r="E1382" s="80" t="s">
        <v>153</v>
      </c>
      <c r="F1382" s="170">
        <v>100</v>
      </c>
    </row>
    <row r="1383" spans="1:6" hidden="1" x14ac:dyDescent="0.25">
      <c r="A1383" s="169">
        <v>43489</v>
      </c>
      <c r="B1383" s="80" t="s">
        <v>392</v>
      </c>
      <c r="C1383" s="80" t="s">
        <v>187</v>
      </c>
      <c r="D1383" s="80" t="s">
        <v>130</v>
      </c>
      <c r="E1383" s="80" t="s">
        <v>134</v>
      </c>
      <c r="F1383" s="170">
        <v>100</v>
      </c>
    </row>
    <row r="1384" spans="1:6" hidden="1" x14ac:dyDescent="0.25">
      <c r="A1384" s="169">
        <v>43490</v>
      </c>
      <c r="B1384" s="80" t="s">
        <v>399</v>
      </c>
      <c r="C1384" s="80" t="s">
        <v>152</v>
      </c>
      <c r="D1384" s="80" t="s">
        <v>130</v>
      </c>
      <c r="E1384" s="80" t="s">
        <v>131</v>
      </c>
      <c r="F1384" s="170">
        <v>100</v>
      </c>
    </row>
    <row r="1385" spans="1:6" hidden="1" x14ac:dyDescent="0.25">
      <c r="A1385" s="169">
        <v>43490</v>
      </c>
      <c r="B1385" s="80" t="s">
        <v>407</v>
      </c>
      <c r="C1385" s="80" t="s">
        <v>189</v>
      </c>
      <c r="D1385" s="80" t="s">
        <v>130</v>
      </c>
      <c r="E1385" s="80" t="s">
        <v>153</v>
      </c>
      <c r="F1385" s="170">
        <v>100</v>
      </c>
    </row>
    <row r="1386" spans="1:6" hidden="1" x14ac:dyDescent="0.25">
      <c r="A1386" s="169">
        <v>43491</v>
      </c>
      <c r="B1386" s="80" t="s">
        <v>416</v>
      </c>
      <c r="C1386" s="80" t="s">
        <v>167</v>
      </c>
      <c r="D1386" s="80" t="s">
        <v>130</v>
      </c>
      <c r="E1386" s="80" t="s">
        <v>127</v>
      </c>
      <c r="F1386" s="170">
        <v>100</v>
      </c>
    </row>
    <row r="1387" spans="1:6" hidden="1" x14ac:dyDescent="0.25">
      <c r="A1387" s="169">
        <v>43491</v>
      </c>
      <c r="B1387" s="80" t="s">
        <v>417</v>
      </c>
      <c r="C1387" s="80" t="s">
        <v>125</v>
      </c>
      <c r="D1387" s="80" t="s">
        <v>130</v>
      </c>
      <c r="E1387" s="80" t="s">
        <v>121</v>
      </c>
      <c r="F1387" s="170">
        <v>100</v>
      </c>
    </row>
    <row r="1388" spans="1:6" hidden="1" x14ac:dyDescent="0.25">
      <c r="A1388" s="169">
        <v>43491</v>
      </c>
      <c r="B1388" s="80" t="s">
        <v>420</v>
      </c>
      <c r="C1388" s="80" t="s">
        <v>129</v>
      </c>
      <c r="D1388" s="80" t="s">
        <v>130</v>
      </c>
      <c r="E1388" s="80" t="s">
        <v>127</v>
      </c>
      <c r="F1388" s="170">
        <v>100</v>
      </c>
    </row>
    <row r="1389" spans="1:6" hidden="1" x14ac:dyDescent="0.25">
      <c r="A1389" s="169">
        <v>43492</v>
      </c>
      <c r="B1389" s="80" t="s">
        <v>429</v>
      </c>
      <c r="C1389" s="80" t="s">
        <v>143</v>
      </c>
      <c r="D1389" s="80" t="s">
        <v>130</v>
      </c>
      <c r="E1389" s="80" t="s">
        <v>153</v>
      </c>
      <c r="F1389" s="170">
        <v>100</v>
      </c>
    </row>
    <row r="1390" spans="1:6" hidden="1" x14ac:dyDescent="0.25">
      <c r="A1390" s="169">
        <v>43493</v>
      </c>
      <c r="B1390" s="80" t="s">
        <v>434</v>
      </c>
      <c r="C1390" s="80" t="s">
        <v>223</v>
      </c>
      <c r="D1390" s="80" t="s">
        <v>130</v>
      </c>
      <c r="E1390" s="80" t="s">
        <v>153</v>
      </c>
      <c r="F1390" s="170">
        <v>100</v>
      </c>
    </row>
    <row r="1391" spans="1:6" hidden="1" x14ac:dyDescent="0.25">
      <c r="A1391" s="169">
        <v>43494</v>
      </c>
      <c r="B1391" s="80" t="s">
        <v>446</v>
      </c>
      <c r="C1391" s="80" t="s">
        <v>223</v>
      </c>
      <c r="D1391" s="80" t="s">
        <v>130</v>
      </c>
      <c r="E1391" s="80" t="s">
        <v>134</v>
      </c>
      <c r="F1391" s="170">
        <v>100</v>
      </c>
    </row>
    <row r="1392" spans="1:6" hidden="1" x14ac:dyDescent="0.25">
      <c r="A1392" s="169">
        <v>43495</v>
      </c>
      <c r="B1392" s="80" t="s">
        <v>452</v>
      </c>
      <c r="C1392" s="80" t="s">
        <v>123</v>
      </c>
      <c r="D1392" s="80" t="s">
        <v>130</v>
      </c>
      <c r="E1392" s="80" t="s">
        <v>153</v>
      </c>
      <c r="F1392" s="170">
        <v>100</v>
      </c>
    </row>
    <row r="1393" spans="1:6" hidden="1" x14ac:dyDescent="0.25">
      <c r="A1393" s="169">
        <v>43495</v>
      </c>
      <c r="B1393" s="80" t="s">
        <v>455</v>
      </c>
      <c r="C1393" s="80" t="s">
        <v>148</v>
      </c>
      <c r="D1393" s="80" t="s">
        <v>130</v>
      </c>
      <c r="E1393" s="80" t="s">
        <v>131</v>
      </c>
      <c r="F1393" s="170">
        <v>100</v>
      </c>
    </row>
    <row r="1394" spans="1:6" hidden="1" x14ac:dyDescent="0.25">
      <c r="A1394" s="169">
        <v>43496</v>
      </c>
      <c r="B1394" s="80" t="s">
        <v>464</v>
      </c>
      <c r="C1394" s="80" t="s">
        <v>138</v>
      </c>
      <c r="D1394" s="80" t="s">
        <v>130</v>
      </c>
      <c r="E1394" s="80" t="s">
        <v>134</v>
      </c>
      <c r="F1394" s="170">
        <v>100</v>
      </c>
    </row>
    <row r="1395" spans="1:6" hidden="1" x14ac:dyDescent="0.25">
      <c r="A1395" s="169">
        <v>43496</v>
      </c>
      <c r="B1395" s="80" t="s">
        <v>468</v>
      </c>
      <c r="C1395" s="80" t="s">
        <v>189</v>
      </c>
      <c r="D1395" s="80" t="s">
        <v>130</v>
      </c>
      <c r="E1395" s="80" t="s">
        <v>153</v>
      </c>
      <c r="F1395" s="170">
        <v>100</v>
      </c>
    </row>
    <row r="1396" spans="1:6" hidden="1" x14ac:dyDescent="0.25">
      <c r="A1396" s="169">
        <v>43497</v>
      </c>
      <c r="B1396" s="80" t="s">
        <v>473</v>
      </c>
      <c r="C1396" s="80" t="s">
        <v>143</v>
      </c>
      <c r="D1396" s="80" t="s">
        <v>130</v>
      </c>
      <c r="E1396" s="80" t="s">
        <v>131</v>
      </c>
      <c r="F1396" s="170">
        <v>100</v>
      </c>
    </row>
    <row r="1397" spans="1:6" hidden="1" x14ac:dyDescent="0.25">
      <c r="A1397" s="169">
        <v>43498</v>
      </c>
      <c r="B1397" s="80" t="s">
        <v>478</v>
      </c>
      <c r="C1397" s="80" t="s">
        <v>145</v>
      </c>
      <c r="D1397" s="80" t="s">
        <v>130</v>
      </c>
      <c r="E1397" s="80" t="s">
        <v>131</v>
      </c>
      <c r="F1397" s="170">
        <v>100</v>
      </c>
    </row>
    <row r="1398" spans="1:6" hidden="1" x14ac:dyDescent="0.25">
      <c r="A1398" s="169">
        <v>43499</v>
      </c>
      <c r="B1398" s="80" t="s">
        <v>488</v>
      </c>
      <c r="C1398" s="80" t="s">
        <v>182</v>
      </c>
      <c r="D1398" s="80" t="s">
        <v>130</v>
      </c>
      <c r="E1398" s="80" t="s">
        <v>153</v>
      </c>
      <c r="F1398" s="170">
        <v>100</v>
      </c>
    </row>
    <row r="1399" spans="1:6" hidden="1" x14ac:dyDescent="0.25">
      <c r="A1399" s="169">
        <v>43499</v>
      </c>
      <c r="B1399" s="80" t="s">
        <v>489</v>
      </c>
      <c r="C1399" s="80" t="s">
        <v>125</v>
      </c>
      <c r="D1399" s="80" t="s">
        <v>130</v>
      </c>
      <c r="E1399" s="80" t="s">
        <v>127</v>
      </c>
      <c r="F1399" s="170">
        <v>100</v>
      </c>
    </row>
    <row r="1400" spans="1:6" hidden="1" x14ac:dyDescent="0.25">
      <c r="A1400" s="169">
        <v>43503</v>
      </c>
      <c r="B1400" s="80" t="s">
        <v>516</v>
      </c>
      <c r="C1400" s="80" t="s">
        <v>136</v>
      </c>
      <c r="D1400" s="80" t="s">
        <v>130</v>
      </c>
      <c r="E1400" s="80" t="s">
        <v>127</v>
      </c>
      <c r="F1400" s="170">
        <v>100</v>
      </c>
    </row>
    <row r="1401" spans="1:6" hidden="1" x14ac:dyDescent="0.25">
      <c r="A1401" s="169">
        <v>43503</v>
      </c>
      <c r="B1401" s="80" t="s">
        <v>517</v>
      </c>
      <c r="C1401" s="80" t="s">
        <v>152</v>
      </c>
      <c r="D1401" s="80" t="s">
        <v>130</v>
      </c>
      <c r="E1401" s="80" t="s">
        <v>121</v>
      </c>
      <c r="F1401" s="170">
        <v>100</v>
      </c>
    </row>
    <row r="1402" spans="1:6" hidden="1" x14ac:dyDescent="0.25">
      <c r="A1402" s="169">
        <v>43504</v>
      </c>
      <c r="B1402" s="80" t="s">
        <v>523</v>
      </c>
      <c r="C1402" s="80" t="s">
        <v>189</v>
      </c>
      <c r="D1402" s="80" t="s">
        <v>130</v>
      </c>
      <c r="E1402" s="80" t="s">
        <v>134</v>
      </c>
      <c r="F1402" s="170">
        <v>100</v>
      </c>
    </row>
    <row r="1403" spans="1:6" hidden="1" x14ac:dyDescent="0.25">
      <c r="A1403" s="169">
        <v>43504</v>
      </c>
      <c r="B1403" s="80" t="s">
        <v>525</v>
      </c>
      <c r="C1403" s="80" t="s">
        <v>119</v>
      </c>
      <c r="D1403" s="80" t="s">
        <v>130</v>
      </c>
      <c r="E1403" s="80" t="s">
        <v>153</v>
      </c>
      <c r="F1403" s="170">
        <v>100</v>
      </c>
    </row>
    <row r="1404" spans="1:6" hidden="1" x14ac:dyDescent="0.25">
      <c r="A1404" s="169">
        <v>43505</v>
      </c>
      <c r="B1404" s="80" t="s">
        <v>531</v>
      </c>
      <c r="C1404" s="80" t="s">
        <v>223</v>
      </c>
      <c r="D1404" s="80" t="s">
        <v>130</v>
      </c>
      <c r="E1404" s="80" t="s">
        <v>134</v>
      </c>
      <c r="F1404" s="170">
        <v>100</v>
      </c>
    </row>
    <row r="1405" spans="1:6" hidden="1" x14ac:dyDescent="0.25">
      <c r="A1405" s="169">
        <v>43506</v>
      </c>
      <c r="B1405" s="80" t="s">
        <v>543</v>
      </c>
      <c r="C1405" s="80" t="s">
        <v>129</v>
      </c>
      <c r="D1405" s="80" t="s">
        <v>130</v>
      </c>
      <c r="E1405" s="80" t="s">
        <v>134</v>
      </c>
      <c r="F1405" s="170">
        <v>100</v>
      </c>
    </row>
    <row r="1406" spans="1:6" hidden="1" x14ac:dyDescent="0.25">
      <c r="A1406" s="169">
        <v>43507</v>
      </c>
      <c r="B1406" s="80" t="s">
        <v>549</v>
      </c>
      <c r="C1406" s="80" t="s">
        <v>223</v>
      </c>
      <c r="D1406" s="80" t="s">
        <v>130</v>
      </c>
      <c r="E1406" s="80" t="s">
        <v>127</v>
      </c>
      <c r="F1406" s="170">
        <v>100</v>
      </c>
    </row>
    <row r="1407" spans="1:6" hidden="1" x14ac:dyDescent="0.25">
      <c r="A1407" s="169">
        <v>43508</v>
      </c>
      <c r="B1407" s="80" t="s">
        <v>561</v>
      </c>
      <c r="C1407" s="80" t="s">
        <v>164</v>
      </c>
      <c r="D1407" s="80" t="s">
        <v>130</v>
      </c>
      <c r="E1407" s="80" t="s">
        <v>153</v>
      </c>
      <c r="F1407" s="170">
        <v>100</v>
      </c>
    </row>
    <row r="1408" spans="1:6" hidden="1" x14ac:dyDescent="0.25">
      <c r="A1408" s="169">
        <v>43509</v>
      </c>
      <c r="B1408" s="80" t="s">
        <v>567</v>
      </c>
      <c r="C1408" s="80" t="s">
        <v>119</v>
      </c>
      <c r="D1408" s="80" t="s">
        <v>130</v>
      </c>
      <c r="E1408" s="80" t="s">
        <v>131</v>
      </c>
      <c r="F1408" s="170">
        <v>100</v>
      </c>
    </row>
    <row r="1409" spans="1:6" hidden="1" x14ac:dyDescent="0.25">
      <c r="A1409" s="169">
        <v>43510</v>
      </c>
      <c r="B1409" s="80" t="s">
        <v>573</v>
      </c>
      <c r="C1409" s="80" t="s">
        <v>167</v>
      </c>
      <c r="D1409" s="80" t="s">
        <v>130</v>
      </c>
      <c r="E1409" s="80" t="s">
        <v>134</v>
      </c>
      <c r="F1409" s="170">
        <v>100</v>
      </c>
    </row>
    <row r="1410" spans="1:6" hidden="1" x14ac:dyDescent="0.25">
      <c r="A1410" s="169">
        <v>43510</v>
      </c>
      <c r="B1410" s="80" t="s">
        <v>574</v>
      </c>
      <c r="C1410" s="80" t="s">
        <v>119</v>
      </c>
      <c r="D1410" s="80" t="s">
        <v>130</v>
      </c>
      <c r="E1410" s="80" t="s">
        <v>127</v>
      </c>
      <c r="F1410" s="170">
        <v>100</v>
      </c>
    </row>
    <row r="1411" spans="1:6" hidden="1" x14ac:dyDescent="0.25">
      <c r="A1411" s="169">
        <v>43511</v>
      </c>
      <c r="B1411" s="80" t="s">
        <v>578</v>
      </c>
      <c r="C1411" s="80" t="s">
        <v>157</v>
      </c>
      <c r="D1411" s="80" t="s">
        <v>130</v>
      </c>
      <c r="E1411" s="80" t="s">
        <v>121</v>
      </c>
      <c r="F1411" s="170">
        <v>100</v>
      </c>
    </row>
    <row r="1412" spans="1:6" hidden="1" x14ac:dyDescent="0.25">
      <c r="A1412" s="169">
        <v>43512</v>
      </c>
      <c r="B1412" s="80" t="s">
        <v>590</v>
      </c>
      <c r="C1412" s="80" t="s">
        <v>167</v>
      </c>
      <c r="D1412" s="80" t="s">
        <v>130</v>
      </c>
      <c r="E1412" s="80" t="s">
        <v>131</v>
      </c>
      <c r="F1412" s="170">
        <v>100</v>
      </c>
    </row>
    <row r="1413" spans="1:6" hidden="1" x14ac:dyDescent="0.25">
      <c r="A1413" s="169">
        <v>43512</v>
      </c>
      <c r="B1413" s="80" t="s">
        <v>592</v>
      </c>
      <c r="C1413" s="80" t="s">
        <v>152</v>
      </c>
      <c r="D1413" s="80" t="s">
        <v>130</v>
      </c>
      <c r="E1413" s="80" t="s">
        <v>121</v>
      </c>
      <c r="F1413" s="170">
        <v>100</v>
      </c>
    </row>
    <row r="1414" spans="1:6" hidden="1" x14ac:dyDescent="0.25">
      <c r="A1414" s="169">
        <v>43513</v>
      </c>
      <c r="B1414" s="80" t="s">
        <v>596</v>
      </c>
      <c r="C1414" s="80" t="s">
        <v>123</v>
      </c>
      <c r="D1414" s="80" t="s">
        <v>130</v>
      </c>
      <c r="E1414" s="80" t="s">
        <v>134</v>
      </c>
      <c r="F1414" s="170">
        <v>100</v>
      </c>
    </row>
    <row r="1415" spans="1:6" hidden="1" x14ac:dyDescent="0.25">
      <c r="A1415" s="169">
        <v>43513</v>
      </c>
      <c r="B1415" s="80" t="s">
        <v>602</v>
      </c>
      <c r="C1415" s="80" t="s">
        <v>138</v>
      </c>
      <c r="D1415" s="80" t="s">
        <v>130</v>
      </c>
      <c r="E1415" s="80" t="s">
        <v>131</v>
      </c>
      <c r="F1415" s="170">
        <v>100</v>
      </c>
    </row>
    <row r="1416" spans="1:6" hidden="1" x14ac:dyDescent="0.25">
      <c r="A1416" s="169">
        <v>43514</v>
      </c>
      <c r="B1416" s="80" t="s">
        <v>604</v>
      </c>
      <c r="C1416" s="80" t="s">
        <v>167</v>
      </c>
      <c r="D1416" s="80" t="s">
        <v>130</v>
      </c>
      <c r="E1416" s="80" t="s">
        <v>121</v>
      </c>
      <c r="F1416" s="170">
        <v>100</v>
      </c>
    </row>
    <row r="1417" spans="1:6" hidden="1" x14ac:dyDescent="0.25">
      <c r="A1417" s="169">
        <v>43514</v>
      </c>
      <c r="B1417" s="80" t="s">
        <v>609</v>
      </c>
      <c r="C1417" s="80" t="s">
        <v>123</v>
      </c>
      <c r="D1417" s="80" t="s">
        <v>130</v>
      </c>
      <c r="E1417" s="80" t="s">
        <v>134</v>
      </c>
      <c r="F1417" s="170">
        <v>100</v>
      </c>
    </row>
    <row r="1418" spans="1:6" hidden="1" x14ac:dyDescent="0.25">
      <c r="A1418" s="169">
        <v>43515</v>
      </c>
      <c r="B1418" s="80" t="s">
        <v>619</v>
      </c>
      <c r="C1418" s="80" t="s">
        <v>187</v>
      </c>
      <c r="D1418" s="80" t="s">
        <v>130</v>
      </c>
      <c r="E1418" s="80" t="s">
        <v>134</v>
      </c>
      <c r="F1418" s="170">
        <v>100</v>
      </c>
    </row>
    <row r="1419" spans="1:6" hidden="1" x14ac:dyDescent="0.25">
      <c r="A1419" s="169">
        <v>43515</v>
      </c>
      <c r="B1419" s="80" t="s">
        <v>622</v>
      </c>
      <c r="C1419" s="80" t="s">
        <v>164</v>
      </c>
      <c r="D1419" s="80" t="s">
        <v>130</v>
      </c>
      <c r="E1419" s="80" t="s">
        <v>121</v>
      </c>
      <c r="F1419" s="170">
        <v>100</v>
      </c>
    </row>
    <row r="1420" spans="1:6" hidden="1" x14ac:dyDescent="0.25">
      <c r="A1420" s="169">
        <v>43515</v>
      </c>
      <c r="B1420" s="80" t="s">
        <v>626</v>
      </c>
      <c r="C1420" s="80" t="s">
        <v>187</v>
      </c>
      <c r="D1420" s="80" t="s">
        <v>130</v>
      </c>
      <c r="E1420" s="80" t="s">
        <v>153</v>
      </c>
      <c r="F1420" s="170">
        <v>100</v>
      </c>
    </row>
    <row r="1421" spans="1:6" hidden="1" x14ac:dyDescent="0.25">
      <c r="A1421" s="169">
        <v>43516</v>
      </c>
      <c r="B1421" s="80" t="s">
        <v>629</v>
      </c>
      <c r="C1421" s="80" t="s">
        <v>189</v>
      </c>
      <c r="D1421" s="80" t="s">
        <v>130</v>
      </c>
      <c r="E1421" s="80" t="s">
        <v>134</v>
      </c>
      <c r="F1421" s="170">
        <v>100</v>
      </c>
    </row>
    <row r="1422" spans="1:6" hidden="1" x14ac:dyDescent="0.25">
      <c r="A1422" s="169">
        <v>43518</v>
      </c>
      <c r="B1422" s="80" t="s">
        <v>648</v>
      </c>
      <c r="C1422" s="80" t="s">
        <v>152</v>
      </c>
      <c r="D1422" s="80" t="s">
        <v>130</v>
      </c>
      <c r="E1422" s="80" t="s">
        <v>131</v>
      </c>
      <c r="F1422" s="170">
        <v>100</v>
      </c>
    </row>
    <row r="1423" spans="1:6" hidden="1" x14ac:dyDescent="0.25">
      <c r="A1423" s="169">
        <v>43518</v>
      </c>
      <c r="B1423" s="80" t="s">
        <v>650</v>
      </c>
      <c r="C1423" s="80" t="s">
        <v>223</v>
      </c>
      <c r="D1423" s="80" t="s">
        <v>130</v>
      </c>
      <c r="E1423" s="80" t="s">
        <v>134</v>
      </c>
      <c r="F1423" s="170">
        <v>100</v>
      </c>
    </row>
    <row r="1424" spans="1:6" hidden="1" x14ac:dyDescent="0.25">
      <c r="A1424" s="169">
        <v>43519</v>
      </c>
      <c r="B1424" s="80" t="s">
        <v>665</v>
      </c>
      <c r="C1424" s="80" t="s">
        <v>187</v>
      </c>
      <c r="D1424" s="80" t="s">
        <v>130</v>
      </c>
      <c r="E1424" s="80" t="s">
        <v>127</v>
      </c>
      <c r="F1424" s="170">
        <v>100</v>
      </c>
    </row>
    <row r="1425" spans="1:6" hidden="1" x14ac:dyDescent="0.25">
      <c r="A1425" s="169">
        <v>43520</v>
      </c>
      <c r="B1425" s="80" t="s">
        <v>669</v>
      </c>
      <c r="C1425" s="80" t="s">
        <v>182</v>
      </c>
      <c r="D1425" s="80" t="s">
        <v>130</v>
      </c>
      <c r="E1425" s="80" t="s">
        <v>134</v>
      </c>
      <c r="F1425" s="170">
        <v>100</v>
      </c>
    </row>
    <row r="1426" spans="1:6" hidden="1" x14ac:dyDescent="0.25">
      <c r="A1426" s="169">
        <v>43521</v>
      </c>
      <c r="B1426" s="80" t="s">
        <v>678</v>
      </c>
      <c r="C1426" s="80" t="s">
        <v>189</v>
      </c>
      <c r="D1426" s="80" t="s">
        <v>130</v>
      </c>
      <c r="E1426" s="80" t="s">
        <v>134</v>
      </c>
      <c r="F1426" s="170">
        <v>100</v>
      </c>
    </row>
    <row r="1427" spans="1:6" hidden="1" x14ac:dyDescent="0.25">
      <c r="A1427" s="169">
        <v>43521</v>
      </c>
      <c r="B1427" s="80" t="s">
        <v>680</v>
      </c>
      <c r="C1427" s="80" t="s">
        <v>148</v>
      </c>
      <c r="D1427" s="80" t="s">
        <v>130</v>
      </c>
      <c r="E1427" s="80" t="s">
        <v>131</v>
      </c>
      <c r="F1427" s="170">
        <v>100</v>
      </c>
    </row>
    <row r="1428" spans="1:6" hidden="1" x14ac:dyDescent="0.25">
      <c r="A1428" s="169">
        <v>43521</v>
      </c>
      <c r="B1428" s="80" t="s">
        <v>685</v>
      </c>
      <c r="C1428" s="80" t="s">
        <v>189</v>
      </c>
      <c r="D1428" s="80" t="s">
        <v>130</v>
      </c>
      <c r="E1428" s="80" t="s">
        <v>121</v>
      </c>
      <c r="F1428" s="170">
        <v>100</v>
      </c>
    </row>
    <row r="1429" spans="1:6" hidden="1" x14ac:dyDescent="0.25">
      <c r="A1429" s="169">
        <v>43524</v>
      </c>
      <c r="B1429" s="80" t="s">
        <v>711</v>
      </c>
      <c r="C1429" s="80" t="s">
        <v>143</v>
      </c>
      <c r="D1429" s="80" t="s">
        <v>130</v>
      </c>
      <c r="E1429" s="80" t="s">
        <v>131</v>
      </c>
      <c r="F1429" s="170">
        <v>100</v>
      </c>
    </row>
    <row r="1430" spans="1:6" hidden="1" x14ac:dyDescent="0.25">
      <c r="A1430" s="169">
        <v>43524</v>
      </c>
      <c r="B1430" s="80" t="s">
        <v>712</v>
      </c>
      <c r="C1430" s="80" t="s">
        <v>129</v>
      </c>
      <c r="D1430" s="80" t="s">
        <v>130</v>
      </c>
      <c r="E1430" s="80" t="s">
        <v>127</v>
      </c>
      <c r="F1430" s="170">
        <v>100</v>
      </c>
    </row>
    <row r="1431" spans="1:6" hidden="1" x14ac:dyDescent="0.25">
      <c r="A1431" s="169">
        <v>43525</v>
      </c>
      <c r="B1431" s="80" t="s">
        <v>721</v>
      </c>
      <c r="C1431" s="80" t="s">
        <v>182</v>
      </c>
      <c r="D1431" s="80" t="s">
        <v>130</v>
      </c>
      <c r="E1431" s="80" t="s">
        <v>153</v>
      </c>
      <c r="F1431" s="170">
        <v>100</v>
      </c>
    </row>
    <row r="1432" spans="1:6" hidden="1" x14ac:dyDescent="0.25">
      <c r="A1432" s="169">
        <v>43531</v>
      </c>
      <c r="B1432" s="80" t="s">
        <v>769</v>
      </c>
      <c r="C1432" s="80" t="s">
        <v>148</v>
      </c>
      <c r="D1432" s="80" t="s">
        <v>130</v>
      </c>
      <c r="E1432" s="80" t="s">
        <v>121</v>
      </c>
      <c r="F1432" s="170">
        <v>100</v>
      </c>
    </row>
    <row r="1433" spans="1:6" hidden="1" x14ac:dyDescent="0.25">
      <c r="A1433" s="169">
        <v>43531</v>
      </c>
      <c r="B1433" s="80" t="s">
        <v>776</v>
      </c>
      <c r="C1433" s="80" t="s">
        <v>157</v>
      </c>
      <c r="D1433" s="80" t="s">
        <v>130</v>
      </c>
      <c r="E1433" s="80" t="s">
        <v>127</v>
      </c>
      <c r="F1433" s="170">
        <v>100</v>
      </c>
    </row>
    <row r="1434" spans="1:6" hidden="1" x14ac:dyDescent="0.25">
      <c r="A1434" s="169">
        <v>43532</v>
      </c>
      <c r="B1434" s="80" t="s">
        <v>780</v>
      </c>
      <c r="C1434" s="80" t="s">
        <v>119</v>
      </c>
      <c r="D1434" s="80" t="s">
        <v>130</v>
      </c>
      <c r="E1434" s="80" t="s">
        <v>134</v>
      </c>
      <c r="F1434" s="170">
        <v>100</v>
      </c>
    </row>
    <row r="1435" spans="1:6" hidden="1" x14ac:dyDescent="0.25">
      <c r="A1435" s="169">
        <v>43533</v>
      </c>
      <c r="B1435" s="80" t="s">
        <v>794</v>
      </c>
      <c r="C1435" s="80" t="s">
        <v>123</v>
      </c>
      <c r="D1435" s="80" t="s">
        <v>130</v>
      </c>
      <c r="E1435" s="80" t="s">
        <v>127</v>
      </c>
      <c r="F1435" s="170">
        <v>100</v>
      </c>
    </row>
    <row r="1436" spans="1:6" hidden="1" x14ac:dyDescent="0.25">
      <c r="A1436" s="169">
        <v>43536</v>
      </c>
      <c r="B1436" s="80" t="s">
        <v>815</v>
      </c>
      <c r="C1436" s="80" t="s">
        <v>143</v>
      </c>
      <c r="D1436" s="80" t="s">
        <v>130</v>
      </c>
      <c r="E1436" s="80" t="s">
        <v>134</v>
      </c>
      <c r="F1436" s="170">
        <v>100</v>
      </c>
    </row>
    <row r="1437" spans="1:6" hidden="1" x14ac:dyDescent="0.25">
      <c r="A1437" s="169">
        <v>43537</v>
      </c>
      <c r="B1437" s="80" t="s">
        <v>824</v>
      </c>
      <c r="C1437" s="80" t="s">
        <v>125</v>
      </c>
      <c r="D1437" s="80" t="s">
        <v>130</v>
      </c>
      <c r="E1437" s="80" t="s">
        <v>153</v>
      </c>
      <c r="F1437" s="170">
        <v>100</v>
      </c>
    </row>
    <row r="1438" spans="1:6" hidden="1" x14ac:dyDescent="0.25">
      <c r="A1438" s="169">
        <v>43537</v>
      </c>
      <c r="B1438" s="80" t="s">
        <v>826</v>
      </c>
      <c r="C1438" s="80" t="s">
        <v>182</v>
      </c>
      <c r="D1438" s="80" t="s">
        <v>130</v>
      </c>
      <c r="E1438" s="80" t="s">
        <v>131</v>
      </c>
      <c r="F1438" s="170">
        <v>100</v>
      </c>
    </row>
    <row r="1439" spans="1:6" hidden="1" x14ac:dyDescent="0.25">
      <c r="A1439" s="169">
        <v>43537</v>
      </c>
      <c r="B1439" s="80" t="s">
        <v>832</v>
      </c>
      <c r="C1439" s="80" t="s">
        <v>187</v>
      </c>
      <c r="D1439" s="80" t="s">
        <v>130</v>
      </c>
      <c r="E1439" s="80" t="s">
        <v>131</v>
      </c>
      <c r="F1439" s="170">
        <v>100</v>
      </c>
    </row>
    <row r="1440" spans="1:6" hidden="1" x14ac:dyDescent="0.25">
      <c r="A1440" s="169">
        <v>43537</v>
      </c>
      <c r="B1440" s="80" t="s">
        <v>833</v>
      </c>
      <c r="C1440" s="80" t="s">
        <v>167</v>
      </c>
      <c r="D1440" s="80" t="s">
        <v>130</v>
      </c>
      <c r="E1440" s="80" t="s">
        <v>153</v>
      </c>
      <c r="F1440" s="170">
        <v>100</v>
      </c>
    </row>
    <row r="1441" spans="1:6" hidden="1" x14ac:dyDescent="0.25">
      <c r="A1441" s="169">
        <v>43540</v>
      </c>
      <c r="B1441" s="80" t="s">
        <v>853</v>
      </c>
      <c r="C1441" s="80" t="s">
        <v>138</v>
      </c>
      <c r="D1441" s="80" t="s">
        <v>130</v>
      </c>
      <c r="E1441" s="80" t="s">
        <v>131</v>
      </c>
      <c r="F1441" s="170">
        <v>100</v>
      </c>
    </row>
    <row r="1442" spans="1:6" hidden="1" x14ac:dyDescent="0.25">
      <c r="A1442" s="169">
        <v>43540</v>
      </c>
      <c r="B1442" s="80" t="s">
        <v>854</v>
      </c>
      <c r="C1442" s="80" t="s">
        <v>187</v>
      </c>
      <c r="D1442" s="80" t="s">
        <v>130</v>
      </c>
      <c r="E1442" s="80" t="s">
        <v>121</v>
      </c>
      <c r="F1442" s="170">
        <v>100</v>
      </c>
    </row>
    <row r="1443" spans="1:6" hidden="1" x14ac:dyDescent="0.25">
      <c r="A1443" s="169">
        <v>43540</v>
      </c>
      <c r="B1443" s="80" t="s">
        <v>855</v>
      </c>
      <c r="C1443" s="80" t="s">
        <v>125</v>
      </c>
      <c r="D1443" s="80" t="s">
        <v>130</v>
      </c>
      <c r="E1443" s="80" t="s">
        <v>153</v>
      </c>
      <c r="F1443" s="170">
        <v>100</v>
      </c>
    </row>
    <row r="1444" spans="1:6" hidden="1" x14ac:dyDescent="0.25">
      <c r="A1444" s="169">
        <v>43540</v>
      </c>
      <c r="B1444" s="80" t="s">
        <v>856</v>
      </c>
      <c r="C1444" s="80" t="s">
        <v>223</v>
      </c>
      <c r="D1444" s="80" t="s">
        <v>130</v>
      </c>
      <c r="E1444" s="80" t="s">
        <v>127</v>
      </c>
      <c r="F1444" s="170">
        <v>100</v>
      </c>
    </row>
    <row r="1445" spans="1:6" hidden="1" x14ac:dyDescent="0.25">
      <c r="A1445" s="169">
        <v>43540</v>
      </c>
      <c r="B1445" s="80" t="s">
        <v>858</v>
      </c>
      <c r="C1445" s="80" t="s">
        <v>125</v>
      </c>
      <c r="D1445" s="80" t="s">
        <v>130</v>
      </c>
      <c r="E1445" s="80" t="s">
        <v>131</v>
      </c>
      <c r="F1445" s="170">
        <v>100</v>
      </c>
    </row>
    <row r="1446" spans="1:6" hidden="1" x14ac:dyDescent="0.25">
      <c r="A1446" s="169">
        <v>43540</v>
      </c>
      <c r="B1446" s="80" t="s">
        <v>861</v>
      </c>
      <c r="C1446" s="80" t="s">
        <v>129</v>
      </c>
      <c r="D1446" s="80" t="s">
        <v>130</v>
      </c>
      <c r="E1446" s="80" t="s">
        <v>134</v>
      </c>
      <c r="F1446" s="170">
        <v>100</v>
      </c>
    </row>
    <row r="1447" spans="1:6" hidden="1" x14ac:dyDescent="0.25">
      <c r="A1447" s="169">
        <v>43541</v>
      </c>
      <c r="B1447" s="80" t="s">
        <v>876</v>
      </c>
      <c r="C1447" s="80" t="s">
        <v>187</v>
      </c>
      <c r="D1447" s="80" t="s">
        <v>130</v>
      </c>
      <c r="E1447" s="80" t="s">
        <v>131</v>
      </c>
      <c r="F1447" s="170">
        <v>100</v>
      </c>
    </row>
    <row r="1448" spans="1:6" hidden="1" x14ac:dyDescent="0.25">
      <c r="A1448" s="169">
        <v>43541</v>
      </c>
      <c r="B1448" s="80" t="s">
        <v>877</v>
      </c>
      <c r="C1448" s="80" t="s">
        <v>223</v>
      </c>
      <c r="D1448" s="80" t="s">
        <v>130</v>
      </c>
      <c r="E1448" s="80" t="s">
        <v>134</v>
      </c>
      <c r="F1448" s="170">
        <v>100</v>
      </c>
    </row>
    <row r="1449" spans="1:6" hidden="1" x14ac:dyDescent="0.25">
      <c r="A1449" s="169">
        <v>43542</v>
      </c>
      <c r="B1449" s="80" t="s">
        <v>878</v>
      </c>
      <c r="C1449" s="80" t="s">
        <v>152</v>
      </c>
      <c r="D1449" s="80" t="s">
        <v>130</v>
      </c>
      <c r="E1449" s="80" t="s">
        <v>121</v>
      </c>
      <c r="F1449" s="170">
        <v>100</v>
      </c>
    </row>
    <row r="1450" spans="1:6" hidden="1" x14ac:dyDescent="0.25">
      <c r="A1450" s="169">
        <v>43543</v>
      </c>
      <c r="B1450" s="80" t="s">
        <v>887</v>
      </c>
      <c r="C1450" s="80" t="s">
        <v>164</v>
      </c>
      <c r="D1450" s="80" t="s">
        <v>130</v>
      </c>
      <c r="E1450" s="80" t="s">
        <v>153</v>
      </c>
      <c r="F1450" s="170">
        <v>100</v>
      </c>
    </row>
    <row r="1451" spans="1:6" hidden="1" x14ac:dyDescent="0.25">
      <c r="A1451" s="169">
        <v>43544</v>
      </c>
      <c r="B1451" s="80" t="s">
        <v>894</v>
      </c>
      <c r="C1451" s="80" t="s">
        <v>189</v>
      </c>
      <c r="D1451" s="80" t="s">
        <v>130</v>
      </c>
      <c r="E1451" s="80" t="s">
        <v>127</v>
      </c>
      <c r="F1451" s="170">
        <v>100</v>
      </c>
    </row>
    <row r="1452" spans="1:6" hidden="1" x14ac:dyDescent="0.25">
      <c r="A1452" s="169">
        <v>43545</v>
      </c>
      <c r="B1452" s="80" t="s">
        <v>897</v>
      </c>
      <c r="C1452" s="80" t="s">
        <v>164</v>
      </c>
      <c r="D1452" s="80" t="s">
        <v>130</v>
      </c>
      <c r="E1452" s="80" t="s">
        <v>131</v>
      </c>
      <c r="F1452" s="170">
        <v>100</v>
      </c>
    </row>
    <row r="1453" spans="1:6" hidden="1" x14ac:dyDescent="0.25">
      <c r="A1453" s="169">
        <v>43545</v>
      </c>
      <c r="B1453" s="80" t="s">
        <v>901</v>
      </c>
      <c r="C1453" s="80" t="s">
        <v>136</v>
      </c>
      <c r="D1453" s="80" t="s">
        <v>130</v>
      </c>
      <c r="E1453" s="80" t="s">
        <v>121</v>
      </c>
      <c r="F1453" s="170">
        <v>100</v>
      </c>
    </row>
    <row r="1454" spans="1:6" hidden="1" x14ac:dyDescent="0.25">
      <c r="A1454" s="169">
        <v>43546</v>
      </c>
      <c r="B1454" s="80" t="s">
        <v>906</v>
      </c>
      <c r="C1454" s="80" t="s">
        <v>157</v>
      </c>
      <c r="D1454" s="80" t="s">
        <v>130</v>
      </c>
      <c r="E1454" s="80" t="s">
        <v>153</v>
      </c>
      <c r="F1454" s="170">
        <v>100</v>
      </c>
    </row>
    <row r="1455" spans="1:6" hidden="1" x14ac:dyDescent="0.25">
      <c r="A1455" s="169">
        <v>43546</v>
      </c>
      <c r="B1455" s="80" t="s">
        <v>908</v>
      </c>
      <c r="C1455" s="80" t="s">
        <v>136</v>
      </c>
      <c r="D1455" s="80" t="s">
        <v>130</v>
      </c>
      <c r="E1455" s="80" t="s">
        <v>153</v>
      </c>
      <c r="F1455" s="170">
        <v>100</v>
      </c>
    </row>
    <row r="1456" spans="1:6" hidden="1" x14ac:dyDescent="0.25">
      <c r="A1456" s="169">
        <v>43547</v>
      </c>
      <c r="B1456" s="80" t="s">
        <v>915</v>
      </c>
      <c r="C1456" s="80" t="s">
        <v>148</v>
      </c>
      <c r="D1456" s="80" t="s">
        <v>130</v>
      </c>
      <c r="E1456" s="80" t="s">
        <v>153</v>
      </c>
      <c r="F1456" s="170">
        <v>100</v>
      </c>
    </row>
    <row r="1457" spans="1:6" hidden="1" x14ac:dyDescent="0.25">
      <c r="A1457" s="169">
        <v>43548</v>
      </c>
      <c r="B1457" s="80" t="s">
        <v>933</v>
      </c>
      <c r="C1457" s="80" t="s">
        <v>157</v>
      </c>
      <c r="D1457" s="80" t="s">
        <v>130</v>
      </c>
      <c r="E1457" s="80" t="s">
        <v>127</v>
      </c>
      <c r="F1457" s="170">
        <v>100</v>
      </c>
    </row>
    <row r="1458" spans="1:6" hidden="1" x14ac:dyDescent="0.25">
      <c r="A1458" s="169">
        <v>43550</v>
      </c>
      <c r="B1458" s="80" t="s">
        <v>951</v>
      </c>
      <c r="C1458" s="80" t="s">
        <v>143</v>
      </c>
      <c r="D1458" s="80" t="s">
        <v>130</v>
      </c>
      <c r="E1458" s="80" t="s">
        <v>153</v>
      </c>
      <c r="F1458" s="170">
        <v>100</v>
      </c>
    </row>
    <row r="1459" spans="1:6" hidden="1" x14ac:dyDescent="0.25">
      <c r="A1459" s="169">
        <v>43552</v>
      </c>
      <c r="B1459" s="80" t="s">
        <v>966</v>
      </c>
      <c r="C1459" s="80" t="s">
        <v>152</v>
      </c>
      <c r="D1459" s="80" t="s">
        <v>130</v>
      </c>
      <c r="E1459" s="80" t="s">
        <v>131</v>
      </c>
      <c r="F1459" s="170">
        <v>100</v>
      </c>
    </row>
    <row r="1460" spans="1:6" hidden="1" x14ac:dyDescent="0.25">
      <c r="A1460" s="169">
        <v>43553</v>
      </c>
      <c r="B1460" s="80" t="s">
        <v>977</v>
      </c>
      <c r="C1460" s="80" t="s">
        <v>152</v>
      </c>
      <c r="D1460" s="80" t="s">
        <v>130</v>
      </c>
      <c r="E1460" s="80" t="s">
        <v>127</v>
      </c>
      <c r="F1460" s="170">
        <v>100</v>
      </c>
    </row>
    <row r="1461" spans="1:6" hidden="1" x14ac:dyDescent="0.25">
      <c r="A1461" s="169">
        <v>43554</v>
      </c>
      <c r="B1461" s="80" t="s">
        <v>991</v>
      </c>
      <c r="C1461" s="80" t="s">
        <v>157</v>
      </c>
      <c r="D1461" s="80" t="s">
        <v>130</v>
      </c>
      <c r="E1461" s="80" t="s">
        <v>131</v>
      </c>
      <c r="F1461" s="170">
        <v>100</v>
      </c>
    </row>
    <row r="1462" spans="1:6" hidden="1" x14ac:dyDescent="0.25">
      <c r="A1462" s="169">
        <v>43555</v>
      </c>
      <c r="B1462" s="80" t="s">
        <v>1000</v>
      </c>
      <c r="C1462" s="80" t="s">
        <v>145</v>
      </c>
      <c r="D1462" s="80" t="s">
        <v>130</v>
      </c>
      <c r="E1462" s="80" t="s">
        <v>131</v>
      </c>
      <c r="F1462" s="170">
        <v>100</v>
      </c>
    </row>
    <row r="1463" spans="1:6" hidden="1" x14ac:dyDescent="0.25">
      <c r="A1463" s="169">
        <v>43556</v>
      </c>
      <c r="B1463" s="80" t="s">
        <v>1007</v>
      </c>
      <c r="C1463" s="80" t="s">
        <v>125</v>
      </c>
      <c r="D1463" s="80" t="s">
        <v>130</v>
      </c>
      <c r="E1463" s="80" t="s">
        <v>134</v>
      </c>
      <c r="F1463" s="170">
        <v>100</v>
      </c>
    </row>
    <row r="1464" spans="1:6" hidden="1" x14ac:dyDescent="0.25">
      <c r="A1464" s="169">
        <v>43557</v>
      </c>
      <c r="B1464" s="80" t="s">
        <v>1024</v>
      </c>
      <c r="C1464" s="80" t="s">
        <v>138</v>
      </c>
      <c r="D1464" s="80" t="s">
        <v>130</v>
      </c>
      <c r="E1464" s="80" t="s">
        <v>121</v>
      </c>
      <c r="F1464" s="170">
        <v>100</v>
      </c>
    </row>
    <row r="1465" spans="1:6" hidden="1" x14ac:dyDescent="0.25">
      <c r="A1465" s="169">
        <v>43558</v>
      </c>
      <c r="B1465" s="80" t="s">
        <v>1028</v>
      </c>
      <c r="C1465" s="80" t="s">
        <v>223</v>
      </c>
      <c r="D1465" s="80" t="s">
        <v>130</v>
      </c>
      <c r="E1465" s="80" t="s">
        <v>134</v>
      </c>
      <c r="F1465" s="170">
        <v>100</v>
      </c>
    </row>
    <row r="1466" spans="1:6" hidden="1" x14ac:dyDescent="0.25">
      <c r="A1466" s="169">
        <v>43559</v>
      </c>
      <c r="B1466" s="80" t="s">
        <v>1039</v>
      </c>
      <c r="C1466" s="80" t="s">
        <v>143</v>
      </c>
      <c r="D1466" s="80" t="s">
        <v>130</v>
      </c>
      <c r="E1466" s="80" t="s">
        <v>121</v>
      </c>
      <c r="F1466" s="170">
        <v>100</v>
      </c>
    </row>
    <row r="1467" spans="1:6" hidden="1" x14ac:dyDescent="0.25">
      <c r="A1467" s="169">
        <v>43561</v>
      </c>
      <c r="B1467" s="80" t="s">
        <v>1056</v>
      </c>
      <c r="C1467" s="80" t="s">
        <v>223</v>
      </c>
      <c r="D1467" s="80" t="s">
        <v>130</v>
      </c>
      <c r="E1467" s="80" t="s">
        <v>127</v>
      </c>
      <c r="F1467" s="170">
        <v>100</v>
      </c>
    </row>
    <row r="1468" spans="1:6" hidden="1" x14ac:dyDescent="0.25">
      <c r="A1468" s="169">
        <v>43561</v>
      </c>
      <c r="B1468" s="80" t="s">
        <v>1060</v>
      </c>
      <c r="C1468" s="80" t="s">
        <v>182</v>
      </c>
      <c r="D1468" s="80" t="s">
        <v>130</v>
      </c>
      <c r="E1468" s="80" t="s">
        <v>153</v>
      </c>
      <c r="F1468" s="170">
        <v>100</v>
      </c>
    </row>
    <row r="1469" spans="1:6" hidden="1" x14ac:dyDescent="0.25">
      <c r="A1469" s="169">
        <v>43562</v>
      </c>
      <c r="B1469" s="80" t="s">
        <v>1065</v>
      </c>
      <c r="C1469" s="80" t="s">
        <v>152</v>
      </c>
      <c r="D1469" s="80" t="s">
        <v>130</v>
      </c>
      <c r="E1469" s="80" t="s">
        <v>131</v>
      </c>
      <c r="F1469" s="170">
        <v>100</v>
      </c>
    </row>
    <row r="1470" spans="1:6" hidden="1" x14ac:dyDescent="0.25">
      <c r="A1470" s="169">
        <v>43562</v>
      </c>
      <c r="B1470" s="80" t="s">
        <v>1071</v>
      </c>
      <c r="C1470" s="80" t="s">
        <v>164</v>
      </c>
      <c r="D1470" s="80" t="s">
        <v>130</v>
      </c>
      <c r="E1470" s="80" t="s">
        <v>121</v>
      </c>
      <c r="F1470" s="170">
        <v>100</v>
      </c>
    </row>
    <row r="1471" spans="1:6" hidden="1" x14ac:dyDescent="0.25">
      <c r="A1471" s="169">
        <v>43563</v>
      </c>
      <c r="B1471" s="80" t="s">
        <v>1074</v>
      </c>
      <c r="C1471" s="80" t="s">
        <v>167</v>
      </c>
      <c r="D1471" s="80" t="s">
        <v>130</v>
      </c>
      <c r="E1471" s="80" t="s">
        <v>153</v>
      </c>
      <c r="F1471" s="170">
        <v>100</v>
      </c>
    </row>
    <row r="1472" spans="1:6" hidden="1" x14ac:dyDescent="0.25">
      <c r="A1472" s="169">
        <v>43564</v>
      </c>
      <c r="B1472" s="80" t="s">
        <v>1081</v>
      </c>
      <c r="C1472" s="80" t="s">
        <v>187</v>
      </c>
      <c r="D1472" s="80" t="s">
        <v>130</v>
      </c>
      <c r="E1472" s="80" t="s">
        <v>121</v>
      </c>
      <c r="F1472" s="170">
        <v>100</v>
      </c>
    </row>
    <row r="1473" spans="1:6" hidden="1" x14ac:dyDescent="0.25">
      <c r="A1473" s="169">
        <v>43564</v>
      </c>
      <c r="B1473" s="80" t="s">
        <v>1083</v>
      </c>
      <c r="C1473" s="80" t="s">
        <v>152</v>
      </c>
      <c r="D1473" s="80" t="s">
        <v>130</v>
      </c>
      <c r="E1473" s="80" t="s">
        <v>121</v>
      </c>
      <c r="F1473" s="170">
        <v>100</v>
      </c>
    </row>
    <row r="1474" spans="1:6" hidden="1" x14ac:dyDescent="0.25">
      <c r="A1474" s="169">
        <v>43564</v>
      </c>
      <c r="B1474" s="80" t="s">
        <v>1084</v>
      </c>
      <c r="C1474" s="80" t="s">
        <v>189</v>
      </c>
      <c r="D1474" s="80" t="s">
        <v>130</v>
      </c>
      <c r="E1474" s="80" t="s">
        <v>134</v>
      </c>
      <c r="F1474" s="170">
        <v>100</v>
      </c>
    </row>
    <row r="1475" spans="1:6" hidden="1" x14ac:dyDescent="0.25">
      <c r="A1475" s="169">
        <v>43567</v>
      </c>
      <c r="B1475" s="80" t="s">
        <v>1101</v>
      </c>
      <c r="C1475" s="80" t="s">
        <v>123</v>
      </c>
      <c r="D1475" s="80" t="s">
        <v>130</v>
      </c>
      <c r="E1475" s="80" t="s">
        <v>127</v>
      </c>
      <c r="F1475" s="170">
        <v>100</v>
      </c>
    </row>
    <row r="1476" spans="1:6" hidden="1" x14ac:dyDescent="0.25">
      <c r="A1476" s="169">
        <v>43567</v>
      </c>
      <c r="B1476" s="80" t="s">
        <v>1107</v>
      </c>
      <c r="C1476" s="80" t="s">
        <v>129</v>
      </c>
      <c r="D1476" s="80" t="s">
        <v>130</v>
      </c>
      <c r="E1476" s="80" t="s">
        <v>131</v>
      </c>
      <c r="F1476" s="170">
        <v>100</v>
      </c>
    </row>
    <row r="1477" spans="1:6" hidden="1" x14ac:dyDescent="0.25">
      <c r="A1477" s="169">
        <v>43568</v>
      </c>
      <c r="B1477" s="80" t="s">
        <v>1115</v>
      </c>
      <c r="C1477" s="80" t="s">
        <v>136</v>
      </c>
      <c r="D1477" s="80" t="s">
        <v>130</v>
      </c>
      <c r="E1477" s="80" t="s">
        <v>131</v>
      </c>
      <c r="F1477" s="170">
        <v>100</v>
      </c>
    </row>
    <row r="1478" spans="1:6" hidden="1" x14ac:dyDescent="0.25">
      <c r="A1478" s="169">
        <v>43568</v>
      </c>
      <c r="B1478" s="80" t="s">
        <v>1118</v>
      </c>
      <c r="C1478" s="80" t="s">
        <v>223</v>
      </c>
      <c r="D1478" s="80" t="s">
        <v>130</v>
      </c>
      <c r="E1478" s="80" t="s">
        <v>127</v>
      </c>
      <c r="F1478" s="170">
        <v>100</v>
      </c>
    </row>
    <row r="1479" spans="1:6" hidden="1" x14ac:dyDescent="0.25">
      <c r="A1479" s="169">
        <v>43568</v>
      </c>
      <c r="B1479" s="80" t="s">
        <v>1119</v>
      </c>
      <c r="C1479" s="80" t="s">
        <v>182</v>
      </c>
      <c r="D1479" s="80" t="s">
        <v>130</v>
      </c>
      <c r="E1479" s="80" t="s">
        <v>153</v>
      </c>
      <c r="F1479" s="170">
        <v>100</v>
      </c>
    </row>
    <row r="1480" spans="1:6" hidden="1" x14ac:dyDescent="0.25">
      <c r="A1480" s="169">
        <v>43568</v>
      </c>
      <c r="B1480" s="80" t="s">
        <v>1120</v>
      </c>
      <c r="C1480" s="80" t="s">
        <v>145</v>
      </c>
      <c r="D1480" s="80" t="s">
        <v>130</v>
      </c>
      <c r="E1480" s="80" t="s">
        <v>127</v>
      </c>
      <c r="F1480" s="170">
        <v>100</v>
      </c>
    </row>
    <row r="1481" spans="1:6" hidden="1" x14ac:dyDescent="0.25">
      <c r="A1481" s="169">
        <v>43569</v>
      </c>
      <c r="B1481" s="80" t="s">
        <v>1132</v>
      </c>
      <c r="C1481" s="80" t="s">
        <v>143</v>
      </c>
      <c r="D1481" s="80" t="s">
        <v>130</v>
      </c>
      <c r="E1481" s="80" t="s">
        <v>121</v>
      </c>
      <c r="F1481" s="170">
        <v>100</v>
      </c>
    </row>
    <row r="1482" spans="1:6" hidden="1" x14ac:dyDescent="0.25">
      <c r="A1482" s="169">
        <v>43569</v>
      </c>
      <c r="B1482" s="80" t="s">
        <v>1134</v>
      </c>
      <c r="C1482" s="80" t="s">
        <v>187</v>
      </c>
      <c r="D1482" s="80" t="s">
        <v>130</v>
      </c>
      <c r="E1482" s="80" t="s">
        <v>121</v>
      </c>
      <c r="F1482" s="170">
        <v>100</v>
      </c>
    </row>
    <row r="1483" spans="1:6" hidden="1" x14ac:dyDescent="0.25">
      <c r="A1483" s="169">
        <v>43570</v>
      </c>
      <c r="B1483" s="80" t="s">
        <v>1142</v>
      </c>
      <c r="C1483" s="80" t="s">
        <v>129</v>
      </c>
      <c r="D1483" s="80" t="s">
        <v>130</v>
      </c>
      <c r="E1483" s="80" t="s">
        <v>127</v>
      </c>
      <c r="F1483" s="170">
        <v>100</v>
      </c>
    </row>
    <row r="1484" spans="1:6" hidden="1" x14ac:dyDescent="0.25">
      <c r="A1484" s="169">
        <v>43570</v>
      </c>
      <c r="B1484" s="80" t="s">
        <v>1143</v>
      </c>
      <c r="C1484" s="80" t="s">
        <v>182</v>
      </c>
      <c r="D1484" s="80" t="s">
        <v>130</v>
      </c>
      <c r="E1484" s="80" t="s">
        <v>121</v>
      </c>
      <c r="F1484" s="170">
        <v>100</v>
      </c>
    </row>
    <row r="1485" spans="1:6" hidden="1" x14ac:dyDescent="0.25">
      <c r="A1485" s="169">
        <v>43571</v>
      </c>
      <c r="B1485" s="80" t="s">
        <v>1152</v>
      </c>
      <c r="C1485" s="80" t="s">
        <v>136</v>
      </c>
      <c r="D1485" s="80" t="s">
        <v>130</v>
      </c>
      <c r="E1485" s="80" t="s">
        <v>153</v>
      </c>
      <c r="F1485" s="170">
        <v>100</v>
      </c>
    </row>
    <row r="1486" spans="1:6" hidden="1" x14ac:dyDescent="0.25">
      <c r="A1486" s="169">
        <v>43572</v>
      </c>
      <c r="B1486" s="80" t="s">
        <v>1154</v>
      </c>
      <c r="C1486" s="80" t="s">
        <v>143</v>
      </c>
      <c r="D1486" s="80" t="s">
        <v>130</v>
      </c>
      <c r="E1486" s="80" t="s">
        <v>121</v>
      </c>
      <c r="F1486" s="170">
        <v>100</v>
      </c>
    </row>
    <row r="1487" spans="1:6" hidden="1" x14ac:dyDescent="0.25">
      <c r="A1487" s="169">
        <v>43573</v>
      </c>
      <c r="B1487" s="80" t="s">
        <v>1165</v>
      </c>
      <c r="C1487" s="80" t="s">
        <v>125</v>
      </c>
      <c r="D1487" s="80" t="s">
        <v>130</v>
      </c>
      <c r="E1487" s="80" t="s">
        <v>121</v>
      </c>
      <c r="F1487" s="170">
        <v>100</v>
      </c>
    </row>
    <row r="1488" spans="1:6" hidden="1" x14ac:dyDescent="0.25">
      <c r="A1488" s="169">
        <v>43573</v>
      </c>
      <c r="B1488" s="80" t="s">
        <v>1168</v>
      </c>
      <c r="C1488" s="80" t="s">
        <v>167</v>
      </c>
      <c r="D1488" s="80" t="s">
        <v>130</v>
      </c>
      <c r="E1488" s="80" t="s">
        <v>134</v>
      </c>
      <c r="F1488" s="170">
        <v>100</v>
      </c>
    </row>
    <row r="1489" spans="1:6" hidden="1" x14ac:dyDescent="0.25">
      <c r="A1489" s="169">
        <v>43574</v>
      </c>
      <c r="B1489" s="80" t="s">
        <v>1178</v>
      </c>
      <c r="C1489" s="80" t="s">
        <v>189</v>
      </c>
      <c r="D1489" s="80" t="s">
        <v>130</v>
      </c>
      <c r="E1489" s="80" t="s">
        <v>131</v>
      </c>
      <c r="F1489" s="170">
        <v>100</v>
      </c>
    </row>
    <row r="1490" spans="1:6" hidden="1" x14ac:dyDescent="0.25">
      <c r="A1490" s="169">
        <v>43574</v>
      </c>
      <c r="B1490" s="80" t="s">
        <v>1181</v>
      </c>
      <c r="C1490" s="80" t="s">
        <v>164</v>
      </c>
      <c r="D1490" s="80" t="s">
        <v>130</v>
      </c>
      <c r="E1490" s="80" t="s">
        <v>134</v>
      </c>
      <c r="F1490" s="170">
        <v>100</v>
      </c>
    </row>
    <row r="1491" spans="1:6" hidden="1" x14ac:dyDescent="0.25">
      <c r="A1491" s="169">
        <v>43575</v>
      </c>
      <c r="B1491" s="80" t="s">
        <v>1184</v>
      </c>
      <c r="C1491" s="80" t="s">
        <v>223</v>
      </c>
      <c r="D1491" s="80" t="s">
        <v>130</v>
      </c>
      <c r="E1491" s="80" t="s">
        <v>127</v>
      </c>
      <c r="F1491" s="170">
        <v>100</v>
      </c>
    </row>
    <row r="1492" spans="1:6" hidden="1" x14ac:dyDescent="0.25">
      <c r="A1492" s="169">
        <v>43575</v>
      </c>
      <c r="B1492" s="80" t="s">
        <v>1185</v>
      </c>
      <c r="C1492" s="80" t="s">
        <v>189</v>
      </c>
      <c r="D1492" s="80" t="s">
        <v>130</v>
      </c>
      <c r="E1492" s="80" t="s">
        <v>131</v>
      </c>
      <c r="F1492" s="170">
        <v>100</v>
      </c>
    </row>
    <row r="1493" spans="1:6" hidden="1" x14ac:dyDescent="0.25">
      <c r="A1493" s="169">
        <v>43577</v>
      </c>
      <c r="B1493" s="80" t="s">
        <v>1204</v>
      </c>
      <c r="C1493" s="80" t="s">
        <v>129</v>
      </c>
      <c r="D1493" s="80" t="s">
        <v>130</v>
      </c>
      <c r="E1493" s="80" t="s">
        <v>121</v>
      </c>
      <c r="F1493" s="170">
        <v>100</v>
      </c>
    </row>
    <row r="1494" spans="1:6" hidden="1" x14ac:dyDescent="0.25">
      <c r="A1494" s="169">
        <v>43577</v>
      </c>
      <c r="B1494" s="80" t="s">
        <v>1206</v>
      </c>
      <c r="C1494" s="80" t="s">
        <v>119</v>
      </c>
      <c r="D1494" s="80" t="s">
        <v>130</v>
      </c>
      <c r="E1494" s="80" t="s">
        <v>127</v>
      </c>
      <c r="F1494" s="170">
        <v>100</v>
      </c>
    </row>
    <row r="1495" spans="1:6" hidden="1" x14ac:dyDescent="0.25">
      <c r="A1495" s="169">
        <v>43579</v>
      </c>
      <c r="B1495" s="80" t="s">
        <v>1216</v>
      </c>
      <c r="C1495" s="80" t="s">
        <v>119</v>
      </c>
      <c r="D1495" s="80" t="s">
        <v>130</v>
      </c>
      <c r="E1495" s="80" t="s">
        <v>153</v>
      </c>
      <c r="F1495" s="170">
        <v>100</v>
      </c>
    </row>
    <row r="1496" spans="1:6" hidden="1" x14ac:dyDescent="0.25">
      <c r="A1496" s="169">
        <v>43581</v>
      </c>
      <c r="B1496" s="80" t="s">
        <v>1239</v>
      </c>
      <c r="C1496" s="80" t="s">
        <v>182</v>
      </c>
      <c r="D1496" s="80" t="s">
        <v>130</v>
      </c>
      <c r="E1496" s="80" t="s">
        <v>153</v>
      </c>
      <c r="F1496" s="170">
        <v>100</v>
      </c>
    </row>
    <row r="1497" spans="1:6" hidden="1" x14ac:dyDescent="0.25">
      <c r="A1497" s="169">
        <v>43581</v>
      </c>
      <c r="B1497" s="80" t="s">
        <v>1242</v>
      </c>
      <c r="C1497" s="80" t="s">
        <v>182</v>
      </c>
      <c r="D1497" s="80" t="s">
        <v>130</v>
      </c>
      <c r="E1497" s="80" t="s">
        <v>127</v>
      </c>
      <c r="F1497" s="170">
        <v>100</v>
      </c>
    </row>
    <row r="1498" spans="1:6" hidden="1" x14ac:dyDescent="0.25">
      <c r="A1498" s="169">
        <v>43582</v>
      </c>
      <c r="B1498" s="80" t="s">
        <v>1251</v>
      </c>
      <c r="C1498" s="80" t="s">
        <v>187</v>
      </c>
      <c r="D1498" s="80" t="s">
        <v>130</v>
      </c>
      <c r="E1498" s="80" t="s">
        <v>134</v>
      </c>
      <c r="F1498" s="170">
        <v>100</v>
      </c>
    </row>
    <row r="1499" spans="1:6" hidden="1" x14ac:dyDescent="0.25">
      <c r="A1499" s="169">
        <v>43582</v>
      </c>
      <c r="B1499" s="80" t="s">
        <v>1252</v>
      </c>
      <c r="C1499" s="80" t="s">
        <v>145</v>
      </c>
      <c r="D1499" s="80" t="s">
        <v>130</v>
      </c>
      <c r="E1499" s="80" t="s">
        <v>134</v>
      </c>
      <c r="F1499" s="170">
        <v>100</v>
      </c>
    </row>
    <row r="1500" spans="1:6" hidden="1" x14ac:dyDescent="0.25">
      <c r="A1500" s="169">
        <v>43583</v>
      </c>
      <c r="B1500" s="80" t="s">
        <v>1254</v>
      </c>
      <c r="C1500" s="80" t="s">
        <v>145</v>
      </c>
      <c r="D1500" s="80" t="s">
        <v>130</v>
      </c>
      <c r="E1500" s="80" t="s">
        <v>127</v>
      </c>
      <c r="F1500" s="170">
        <v>100</v>
      </c>
    </row>
    <row r="1501" spans="1:6" hidden="1" x14ac:dyDescent="0.25">
      <c r="A1501" s="169">
        <v>43583</v>
      </c>
      <c r="B1501" s="80" t="s">
        <v>1260</v>
      </c>
      <c r="C1501" s="80" t="s">
        <v>189</v>
      </c>
      <c r="D1501" s="80" t="s">
        <v>130</v>
      </c>
      <c r="E1501" s="80" t="s">
        <v>134</v>
      </c>
      <c r="F1501" s="170">
        <v>100</v>
      </c>
    </row>
    <row r="1502" spans="1:6" hidden="1" x14ac:dyDescent="0.25">
      <c r="A1502" s="169">
        <v>43586</v>
      </c>
      <c r="B1502" s="80" t="s">
        <v>1282</v>
      </c>
      <c r="C1502" s="80" t="s">
        <v>136</v>
      </c>
      <c r="D1502" s="80" t="s">
        <v>130</v>
      </c>
      <c r="E1502" s="80" t="s">
        <v>131</v>
      </c>
      <c r="F1502" s="170">
        <v>100</v>
      </c>
    </row>
    <row r="1503" spans="1:6" hidden="1" x14ac:dyDescent="0.25">
      <c r="A1503" s="169">
        <v>43587</v>
      </c>
      <c r="B1503" s="80" t="s">
        <v>1290</v>
      </c>
      <c r="C1503" s="80" t="s">
        <v>152</v>
      </c>
      <c r="D1503" s="80" t="s">
        <v>130</v>
      </c>
      <c r="E1503" s="80" t="s">
        <v>134</v>
      </c>
      <c r="F1503" s="170">
        <v>100</v>
      </c>
    </row>
    <row r="1504" spans="1:6" hidden="1" x14ac:dyDescent="0.25">
      <c r="A1504" s="169">
        <v>43588</v>
      </c>
      <c r="B1504" s="80" t="s">
        <v>1313</v>
      </c>
      <c r="C1504" s="80" t="s">
        <v>157</v>
      </c>
      <c r="D1504" s="80" t="s">
        <v>130</v>
      </c>
      <c r="E1504" s="80" t="s">
        <v>134</v>
      </c>
      <c r="F1504" s="170">
        <v>100</v>
      </c>
    </row>
    <row r="1505" spans="1:6" hidden="1" x14ac:dyDescent="0.25">
      <c r="A1505" s="169">
        <v>43589</v>
      </c>
      <c r="B1505" s="80" t="s">
        <v>1326</v>
      </c>
      <c r="C1505" s="80" t="s">
        <v>143</v>
      </c>
      <c r="D1505" s="80" t="s">
        <v>130</v>
      </c>
      <c r="E1505" s="80" t="s">
        <v>127</v>
      </c>
      <c r="F1505" s="170">
        <v>100</v>
      </c>
    </row>
    <row r="1506" spans="1:6" hidden="1" x14ac:dyDescent="0.25">
      <c r="A1506" s="169">
        <v>43589</v>
      </c>
      <c r="B1506" s="80" t="s">
        <v>1328</v>
      </c>
      <c r="C1506" s="80" t="s">
        <v>125</v>
      </c>
      <c r="D1506" s="80" t="s">
        <v>130</v>
      </c>
      <c r="E1506" s="80" t="s">
        <v>131</v>
      </c>
      <c r="F1506" s="170">
        <v>100</v>
      </c>
    </row>
    <row r="1507" spans="1:6" hidden="1" x14ac:dyDescent="0.25">
      <c r="A1507" s="169">
        <v>43591</v>
      </c>
      <c r="B1507" s="80" t="s">
        <v>1341</v>
      </c>
      <c r="C1507" s="80" t="s">
        <v>182</v>
      </c>
      <c r="D1507" s="80" t="s">
        <v>130</v>
      </c>
      <c r="E1507" s="80" t="s">
        <v>121</v>
      </c>
      <c r="F1507" s="170">
        <v>100</v>
      </c>
    </row>
    <row r="1508" spans="1:6" hidden="1" x14ac:dyDescent="0.25">
      <c r="A1508" s="169">
        <v>43591</v>
      </c>
      <c r="B1508" s="80" t="s">
        <v>1342</v>
      </c>
      <c r="C1508" s="80" t="s">
        <v>119</v>
      </c>
      <c r="D1508" s="80" t="s">
        <v>130</v>
      </c>
      <c r="E1508" s="80" t="s">
        <v>153</v>
      </c>
      <c r="F1508" s="170">
        <v>100</v>
      </c>
    </row>
    <row r="1509" spans="1:6" hidden="1" x14ac:dyDescent="0.25">
      <c r="A1509" s="169">
        <v>43592</v>
      </c>
      <c r="B1509" s="80" t="s">
        <v>1350</v>
      </c>
      <c r="C1509" s="80" t="s">
        <v>223</v>
      </c>
      <c r="D1509" s="80" t="s">
        <v>130</v>
      </c>
      <c r="E1509" s="80" t="s">
        <v>153</v>
      </c>
      <c r="F1509" s="170">
        <v>100</v>
      </c>
    </row>
    <row r="1510" spans="1:6" hidden="1" x14ac:dyDescent="0.25">
      <c r="A1510" s="169">
        <v>43593</v>
      </c>
      <c r="B1510" s="80" t="s">
        <v>1360</v>
      </c>
      <c r="C1510" s="80" t="s">
        <v>145</v>
      </c>
      <c r="D1510" s="80" t="s">
        <v>130</v>
      </c>
      <c r="E1510" s="80" t="s">
        <v>153</v>
      </c>
      <c r="F1510" s="170">
        <v>100</v>
      </c>
    </row>
    <row r="1511" spans="1:6" hidden="1" x14ac:dyDescent="0.25">
      <c r="A1511" s="169">
        <v>43593</v>
      </c>
      <c r="B1511" s="80" t="s">
        <v>1368</v>
      </c>
      <c r="C1511" s="80" t="s">
        <v>125</v>
      </c>
      <c r="D1511" s="80" t="s">
        <v>130</v>
      </c>
      <c r="E1511" s="80" t="s">
        <v>127</v>
      </c>
      <c r="F1511" s="170">
        <v>100</v>
      </c>
    </row>
    <row r="1512" spans="1:6" hidden="1" x14ac:dyDescent="0.25">
      <c r="A1512" s="169">
        <v>43594</v>
      </c>
      <c r="B1512" s="80" t="s">
        <v>1371</v>
      </c>
      <c r="C1512" s="80" t="s">
        <v>129</v>
      </c>
      <c r="D1512" s="80" t="s">
        <v>130</v>
      </c>
      <c r="E1512" s="80" t="s">
        <v>153</v>
      </c>
      <c r="F1512" s="170">
        <v>100</v>
      </c>
    </row>
    <row r="1513" spans="1:6" hidden="1" x14ac:dyDescent="0.25">
      <c r="A1513" s="169">
        <v>43594</v>
      </c>
      <c r="B1513" s="80" t="s">
        <v>1375</v>
      </c>
      <c r="C1513" s="80" t="s">
        <v>157</v>
      </c>
      <c r="D1513" s="80" t="s">
        <v>130</v>
      </c>
      <c r="E1513" s="80" t="s">
        <v>131</v>
      </c>
      <c r="F1513" s="170">
        <v>100</v>
      </c>
    </row>
    <row r="1514" spans="1:6" hidden="1" x14ac:dyDescent="0.25">
      <c r="A1514" s="169">
        <v>43595</v>
      </c>
      <c r="B1514" s="80" t="s">
        <v>1385</v>
      </c>
      <c r="C1514" s="80" t="s">
        <v>164</v>
      </c>
      <c r="D1514" s="80" t="s">
        <v>130</v>
      </c>
      <c r="E1514" s="80" t="s">
        <v>121</v>
      </c>
      <c r="F1514" s="170">
        <v>100</v>
      </c>
    </row>
    <row r="1515" spans="1:6" hidden="1" x14ac:dyDescent="0.25">
      <c r="A1515" s="169">
        <v>43596</v>
      </c>
      <c r="B1515" s="80" t="s">
        <v>1387</v>
      </c>
      <c r="C1515" s="80" t="s">
        <v>223</v>
      </c>
      <c r="D1515" s="80" t="s">
        <v>130</v>
      </c>
      <c r="E1515" s="80" t="s">
        <v>127</v>
      </c>
      <c r="F1515" s="170">
        <v>100</v>
      </c>
    </row>
    <row r="1516" spans="1:6" hidden="1" x14ac:dyDescent="0.25">
      <c r="A1516" s="169">
        <v>43596</v>
      </c>
      <c r="B1516" s="80" t="s">
        <v>1391</v>
      </c>
      <c r="C1516" s="80" t="s">
        <v>125</v>
      </c>
      <c r="D1516" s="80" t="s">
        <v>130</v>
      </c>
      <c r="E1516" s="80" t="s">
        <v>153</v>
      </c>
      <c r="F1516" s="170">
        <v>100</v>
      </c>
    </row>
    <row r="1517" spans="1:6" hidden="1" x14ac:dyDescent="0.25">
      <c r="A1517" s="169">
        <v>43596</v>
      </c>
      <c r="B1517" s="80" t="s">
        <v>1393</v>
      </c>
      <c r="C1517" s="80" t="s">
        <v>152</v>
      </c>
      <c r="D1517" s="80" t="s">
        <v>130</v>
      </c>
      <c r="E1517" s="80" t="s">
        <v>121</v>
      </c>
      <c r="F1517" s="170">
        <v>100</v>
      </c>
    </row>
    <row r="1518" spans="1:6" hidden="1" x14ac:dyDescent="0.25">
      <c r="A1518" s="169">
        <v>43597</v>
      </c>
      <c r="B1518" s="80" t="s">
        <v>1403</v>
      </c>
      <c r="C1518" s="80" t="s">
        <v>182</v>
      </c>
      <c r="D1518" s="80" t="s">
        <v>130</v>
      </c>
      <c r="E1518" s="80" t="s">
        <v>121</v>
      </c>
      <c r="F1518" s="170">
        <v>100</v>
      </c>
    </row>
    <row r="1519" spans="1:6" hidden="1" x14ac:dyDescent="0.25">
      <c r="A1519" s="169">
        <v>43598</v>
      </c>
      <c r="B1519" s="80" t="s">
        <v>1409</v>
      </c>
      <c r="C1519" s="80" t="s">
        <v>129</v>
      </c>
      <c r="D1519" s="80" t="s">
        <v>130</v>
      </c>
      <c r="E1519" s="80" t="s">
        <v>131</v>
      </c>
      <c r="F1519" s="170">
        <v>100</v>
      </c>
    </row>
    <row r="1520" spans="1:6" hidden="1" x14ac:dyDescent="0.25">
      <c r="A1520" s="169">
        <v>43598</v>
      </c>
      <c r="B1520" s="80" t="s">
        <v>1414</v>
      </c>
      <c r="C1520" s="80" t="s">
        <v>119</v>
      </c>
      <c r="D1520" s="80" t="s">
        <v>130</v>
      </c>
      <c r="E1520" s="80" t="s">
        <v>134</v>
      </c>
      <c r="F1520" s="170">
        <v>100</v>
      </c>
    </row>
    <row r="1521" spans="1:6" hidden="1" x14ac:dyDescent="0.25">
      <c r="A1521" s="169">
        <v>43600</v>
      </c>
      <c r="B1521" s="80" t="s">
        <v>1432</v>
      </c>
      <c r="C1521" s="80" t="s">
        <v>138</v>
      </c>
      <c r="D1521" s="80" t="s">
        <v>130</v>
      </c>
      <c r="E1521" s="80" t="s">
        <v>131</v>
      </c>
      <c r="F1521" s="170">
        <v>100</v>
      </c>
    </row>
    <row r="1522" spans="1:6" hidden="1" x14ac:dyDescent="0.25">
      <c r="A1522" s="169">
        <v>43601</v>
      </c>
      <c r="B1522" s="80" t="s">
        <v>1438</v>
      </c>
      <c r="C1522" s="80" t="s">
        <v>223</v>
      </c>
      <c r="D1522" s="80" t="s">
        <v>130</v>
      </c>
      <c r="E1522" s="80" t="s">
        <v>121</v>
      </c>
      <c r="F1522" s="170">
        <v>100</v>
      </c>
    </row>
    <row r="1523" spans="1:6" hidden="1" x14ac:dyDescent="0.25">
      <c r="A1523" s="169">
        <v>43602</v>
      </c>
      <c r="B1523" s="80" t="s">
        <v>1446</v>
      </c>
      <c r="C1523" s="80" t="s">
        <v>136</v>
      </c>
      <c r="D1523" s="80" t="s">
        <v>130</v>
      </c>
      <c r="E1523" s="80" t="s">
        <v>131</v>
      </c>
      <c r="F1523" s="170">
        <v>100</v>
      </c>
    </row>
    <row r="1524" spans="1:6" hidden="1" x14ac:dyDescent="0.25">
      <c r="A1524" s="169">
        <v>43602</v>
      </c>
      <c r="B1524" s="80" t="s">
        <v>1448</v>
      </c>
      <c r="C1524" s="80" t="s">
        <v>187</v>
      </c>
      <c r="D1524" s="80" t="s">
        <v>130</v>
      </c>
      <c r="E1524" s="80" t="s">
        <v>127</v>
      </c>
      <c r="F1524" s="170">
        <v>100</v>
      </c>
    </row>
    <row r="1525" spans="1:6" hidden="1" x14ac:dyDescent="0.25">
      <c r="A1525" s="169">
        <v>43602</v>
      </c>
      <c r="B1525" s="80" t="s">
        <v>1452</v>
      </c>
      <c r="C1525" s="80" t="s">
        <v>152</v>
      </c>
      <c r="D1525" s="80" t="s">
        <v>130</v>
      </c>
      <c r="E1525" s="80" t="s">
        <v>153</v>
      </c>
      <c r="F1525" s="170">
        <v>100</v>
      </c>
    </row>
    <row r="1526" spans="1:6" hidden="1" x14ac:dyDescent="0.25">
      <c r="A1526" s="169">
        <v>43603</v>
      </c>
      <c r="B1526" s="80" t="s">
        <v>1454</v>
      </c>
      <c r="C1526" s="80" t="s">
        <v>152</v>
      </c>
      <c r="D1526" s="80" t="s">
        <v>130</v>
      </c>
      <c r="E1526" s="80" t="s">
        <v>127</v>
      </c>
      <c r="F1526" s="170">
        <v>100</v>
      </c>
    </row>
    <row r="1527" spans="1:6" hidden="1" x14ac:dyDescent="0.25">
      <c r="A1527" s="169">
        <v>43603</v>
      </c>
      <c r="B1527" s="80" t="s">
        <v>1455</v>
      </c>
      <c r="C1527" s="80" t="s">
        <v>187</v>
      </c>
      <c r="D1527" s="80" t="s">
        <v>130</v>
      </c>
      <c r="E1527" s="80" t="s">
        <v>127</v>
      </c>
      <c r="F1527" s="170">
        <v>100</v>
      </c>
    </row>
    <row r="1528" spans="1:6" hidden="1" x14ac:dyDescent="0.25">
      <c r="A1528" s="169">
        <v>43603</v>
      </c>
      <c r="B1528" s="80" t="s">
        <v>1462</v>
      </c>
      <c r="C1528" s="80" t="s">
        <v>157</v>
      </c>
      <c r="D1528" s="80" t="s">
        <v>130</v>
      </c>
      <c r="E1528" s="80" t="s">
        <v>127</v>
      </c>
      <c r="F1528" s="170">
        <v>100</v>
      </c>
    </row>
    <row r="1529" spans="1:6" hidden="1" x14ac:dyDescent="0.25">
      <c r="A1529" s="169">
        <v>43603</v>
      </c>
      <c r="B1529" s="80" t="s">
        <v>1465</v>
      </c>
      <c r="C1529" s="80" t="s">
        <v>223</v>
      </c>
      <c r="D1529" s="80" t="s">
        <v>130</v>
      </c>
      <c r="E1529" s="80" t="s">
        <v>127</v>
      </c>
      <c r="F1529" s="170">
        <v>100</v>
      </c>
    </row>
    <row r="1530" spans="1:6" hidden="1" x14ac:dyDescent="0.25">
      <c r="A1530" s="169">
        <v>43604</v>
      </c>
      <c r="B1530" s="80" t="s">
        <v>1468</v>
      </c>
      <c r="C1530" s="80" t="s">
        <v>119</v>
      </c>
      <c r="D1530" s="80" t="s">
        <v>130</v>
      </c>
      <c r="E1530" s="80" t="s">
        <v>131</v>
      </c>
      <c r="F1530" s="170">
        <v>100</v>
      </c>
    </row>
    <row r="1531" spans="1:6" hidden="1" x14ac:dyDescent="0.25">
      <c r="A1531" s="169">
        <v>43604</v>
      </c>
      <c r="B1531" s="80" t="s">
        <v>1480</v>
      </c>
      <c r="C1531" s="80" t="s">
        <v>119</v>
      </c>
      <c r="D1531" s="80" t="s">
        <v>130</v>
      </c>
      <c r="E1531" s="80" t="s">
        <v>127</v>
      </c>
      <c r="F1531" s="170">
        <v>100</v>
      </c>
    </row>
    <row r="1532" spans="1:6" hidden="1" x14ac:dyDescent="0.25">
      <c r="A1532" s="169">
        <v>43604</v>
      </c>
      <c r="B1532" s="80" t="s">
        <v>1481</v>
      </c>
      <c r="C1532" s="80" t="s">
        <v>182</v>
      </c>
      <c r="D1532" s="80" t="s">
        <v>130</v>
      </c>
      <c r="E1532" s="80" t="s">
        <v>121</v>
      </c>
      <c r="F1532" s="170">
        <v>100</v>
      </c>
    </row>
    <row r="1533" spans="1:6" hidden="1" x14ac:dyDescent="0.25">
      <c r="A1533" s="169">
        <v>43605</v>
      </c>
      <c r="B1533" s="80" t="s">
        <v>1489</v>
      </c>
      <c r="C1533" s="80" t="s">
        <v>189</v>
      </c>
      <c r="D1533" s="80" t="s">
        <v>130</v>
      </c>
      <c r="E1533" s="80" t="s">
        <v>127</v>
      </c>
      <c r="F1533" s="170">
        <v>100</v>
      </c>
    </row>
    <row r="1534" spans="1:6" hidden="1" x14ac:dyDescent="0.25">
      <c r="A1534" s="169">
        <v>43606</v>
      </c>
      <c r="B1534" s="80" t="s">
        <v>1500</v>
      </c>
      <c r="C1534" s="80" t="s">
        <v>167</v>
      </c>
      <c r="D1534" s="80" t="s">
        <v>130</v>
      </c>
      <c r="E1534" s="80" t="s">
        <v>127</v>
      </c>
      <c r="F1534" s="170">
        <v>100</v>
      </c>
    </row>
    <row r="1535" spans="1:6" hidden="1" x14ac:dyDescent="0.25">
      <c r="A1535" s="169">
        <v>43607</v>
      </c>
      <c r="B1535" s="80" t="s">
        <v>1516</v>
      </c>
      <c r="C1535" s="80" t="s">
        <v>136</v>
      </c>
      <c r="D1535" s="80" t="s">
        <v>130</v>
      </c>
      <c r="E1535" s="80" t="s">
        <v>131</v>
      </c>
      <c r="F1535" s="170">
        <v>100</v>
      </c>
    </row>
    <row r="1536" spans="1:6" hidden="1" x14ac:dyDescent="0.25">
      <c r="A1536" s="169">
        <v>43608</v>
      </c>
      <c r="B1536" s="80" t="s">
        <v>1523</v>
      </c>
      <c r="C1536" s="80" t="s">
        <v>138</v>
      </c>
      <c r="D1536" s="80" t="s">
        <v>130</v>
      </c>
      <c r="E1536" s="80" t="s">
        <v>153</v>
      </c>
      <c r="F1536" s="170">
        <v>100</v>
      </c>
    </row>
    <row r="1537" spans="1:6" hidden="1" x14ac:dyDescent="0.25">
      <c r="A1537" s="169">
        <v>43609</v>
      </c>
      <c r="B1537" s="80" t="s">
        <v>1541</v>
      </c>
      <c r="C1537" s="80" t="s">
        <v>129</v>
      </c>
      <c r="D1537" s="80" t="s">
        <v>130</v>
      </c>
      <c r="E1537" s="80" t="s">
        <v>153</v>
      </c>
      <c r="F1537" s="170">
        <v>100</v>
      </c>
    </row>
    <row r="1538" spans="1:6" hidden="1" x14ac:dyDescent="0.25">
      <c r="A1538" s="169">
        <v>43613</v>
      </c>
      <c r="B1538" s="80" t="s">
        <v>1571</v>
      </c>
      <c r="C1538" s="80" t="s">
        <v>187</v>
      </c>
      <c r="D1538" s="80" t="s">
        <v>130</v>
      </c>
      <c r="E1538" s="80" t="s">
        <v>127</v>
      </c>
      <c r="F1538" s="170">
        <v>100</v>
      </c>
    </row>
    <row r="1539" spans="1:6" hidden="1" x14ac:dyDescent="0.25">
      <c r="A1539" s="169">
        <v>43614</v>
      </c>
      <c r="B1539" s="80" t="s">
        <v>1594</v>
      </c>
      <c r="C1539" s="80" t="s">
        <v>138</v>
      </c>
      <c r="D1539" s="80" t="s">
        <v>130</v>
      </c>
      <c r="E1539" s="80" t="s">
        <v>131</v>
      </c>
      <c r="F1539" s="170">
        <v>100</v>
      </c>
    </row>
    <row r="1540" spans="1:6" hidden="1" x14ac:dyDescent="0.25">
      <c r="A1540" s="169">
        <v>43615</v>
      </c>
      <c r="B1540" s="80" t="s">
        <v>1597</v>
      </c>
      <c r="C1540" s="80" t="s">
        <v>125</v>
      </c>
      <c r="D1540" s="80" t="s">
        <v>130</v>
      </c>
      <c r="E1540" s="80" t="s">
        <v>127</v>
      </c>
      <c r="F1540" s="170">
        <v>100</v>
      </c>
    </row>
    <row r="1541" spans="1:6" hidden="1" x14ac:dyDescent="0.25">
      <c r="A1541" s="169">
        <v>43615</v>
      </c>
      <c r="B1541" s="80" t="s">
        <v>1600</v>
      </c>
      <c r="C1541" s="80" t="s">
        <v>136</v>
      </c>
      <c r="D1541" s="80" t="s">
        <v>130</v>
      </c>
      <c r="E1541" s="80" t="s">
        <v>121</v>
      </c>
      <c r="F1541" s="170">
        <v>100</v>
      </c>
    </row>
    <row r="1542" spans="1:6" hidden="1" x14ac:dyDescent="0.25">
      <c r="A1542" s="169">
        <v>43617</v>
      </c>
      <c r="B1542" s="80" t="s">
        <v>1610</v>
      </c>
      <c r="C1542" s="80" t="s">
        <v>145</v>
      </c>
      <c r="D1542" s="80" t="s">
        <v>130</v>
      </c>
      <c r="E1542" s="80" t="s">
        <v>134</v>
      </c>
      <c r="F1542" s="170">
        <v>100</v>
      </c>
    </row>
    <row r="1543" spans="1:6" hidden="1" x14ac:dyDescent="0.25">
      <c r="A1543" s="169">
        <v>43618</v>
      </c>
      <c r="B1543" s="80" t="s">
        <v>1620</v>
      </c>
      <c r="C1543" s="80" t="s">
        <v>119</v>
      </c>
      <c r="D1543" s="80" t="s">
        <v>130</v>
      </c>
      <c r="E1543" s="80" t="s">
        <v>121</v>
      </c>
      <c r="F1543" s="170">
        <v>100</v>
      </c>
    </row>
    <row r="1544" spans="1:6" hidden="1" x14ac:dyDescent="0.25">
      <c r="A1544" s="169">
        <v>43619</v>
      </c>
      <c r="B1544" s="80" t="s">
        <v>1635</v>
      </c>
      <c r="C1544" s="80" t="s">
        <v>189</v>
      </c>
      <c r="D1544" s="80" t="s">
        <v>130</v>
      </c>
      <c r="E1544" s="80" t="s">
        <v>121</v>
      </c>
      <c r="F1544" s="170">
        <v>100</v>
      </c>
    </row>
    <row r="1545" spans="1:6" hidden="1" x14ac:dyDescent="0.25">
      <c r="A1545" s="169">
        <v>43619</v>
      </c>
      <c r="B1545" s="80" t="s">
        <v>1638</v>
      </c>
      <c r="C1545" s="80" t="s">
        <v>187</v>
      </c>
      <c r="D1545" s="80" t="s">
        <v>130</v>
      </c>
      <c r="E1545" s="80" t="s">
        <v>134</v>
      </c>
      <c r="F1545" s="170">
        <v>100</v>
      </c>
    </row>
    <row r="1546" spans="1:6" hidden="1" x14ac:dyDescent="0.25">
      <c r="A1546" s="169">
        <v>43620</v>
      </c>
      <c r="B1546" s="80" t="s">
        <v>1640</v>
      </c>
      <c r="C1546" s="80" t="s">
        <v>148</v>
      </c>
      <c r="D1546" s="80" t="s">
        <v>130</v>
      </c>
      <c r="E1546" s="80" t="s">
        <v>131</v>
      </c>
      <c r="F1546" s="170">
        <v>100</v>
      </c>
    </row>
    <row r="1547" spans="1:6" hidden="1" x14ac:dyDescent="0.25">
      <c r="A1547" s="169">
        <v>43620</v>
      </c>
      <c r="B1547" s="80" t="s">
        <v>1644</v>
      </c>
      <c r="C1547" s="80" t="s">
        <v>167</v>
      </c>
      <c r="D1547" s="80" t="s">
        <v>130</v>
      </c>
      <c r="E1547" s="80" t="s">
        <v>131</v>
      </c>
      <c r="F1547" s="170">
        <v>100</v>
      </c>
    </row>
    <row r="1548" spans="1:6" hidden="1" x14ac:dyDescent="0.25">
      <c r="A1548" s="169">
        <v>43620</v>
      </c>
      <c r="B1548" s="80" t="s">
        <v>1646</v>
      </c>
      <c r="C1548" s="80" t="s">
        <v>164</v>
      </c>
      <c r="D1548" s="80" t="s">
        <v>130</v>
      </c>
      <c r="E1548" s="80" t="s">
        <v>121</v>
      </c>
      <c r="F1548" s="170">
        <v>100</v>
      </c>
    </row>
    <row r="1549" spans="1:6" hidden="1" x14ac:dyDescent="0.25">
      <c r="A1549" s="169">
        <v>43621</v>
      </c>
      <c r="B1549" s="80" t="s">
        <v>1649</v>
      </c>
      <c r="C1549" s="80" t="s">
        <v>148</v>
      </c>
      <c r="D1549" s="80" t="s">
        <v>130</v>
      </c>
      <c r="E1549" s="80" t="s">
        <v>121</v>
      </c>
      <c r="F1549" s="170">
        <v>100</v>
      </c>
    </row>
    <row r="1550" spans="1:6" hidden="1" x14ac:dyDescent="0.25">
      <c r="A1550" s="169">
        <v>43621</v>
      </c>
      <c r="B1550" s="80" t="s">
        <v>1650</v>
      </c>
      <c r="C1550" s="80" t="s">
        <v>129</v>
      </c>
      <c r="D1550" s="80" t="s">
        <v>130</v>
      </c>
      <c r="E1550" s="80" t="s">
        <v>131</v>
      </c>
      <c r="F1550" s="170">
        <v>100</v>
      </c>
    </row>
    <row r="1551" spans="1:6" hidden="1" x14ac:dyDescent="0.25">
      <c r="A1551" s="169">
        <v>43622</v>
      </c>
      <c r="B1551" s="80" t="s">
        <v>1658</v>
      </c>
      <c r="C1551" s="80" t="s">
        <v>129</v>
      </c>
      <c r="D1551" s="80" t="s">
        <v>130</v>
      </c>
      <c r="E1551" s="80" t="s">
        <v>134</v>
      </c>
      <c r="F1551" s="170">
        <v>100</v>
      </c>
    </row>
    <row r="1552" spans="1:6" hidden="1" x14ac:dyDescent="0.25">
      <c r="A1552" s="169">
        <v>43622</v>
      </c>
      <c r="B1552" s="80" t="s">
        <v>1661</v>
      </c>
      <c r="C1552" s="80" t="s">
        <v>187</v>
      </c>
      <c r="D1552" s="80" t="s">
        <v>130</v>
      </c>
      <c r="E1552" s="80" t="s">
        <v>127</v>
      </c>
      <c r="F1552" s="170">
        <v>100</v>
      </c>
    </row>
    <row r="1553" spans="1:6" hidden="1" x14ac:dyDescent="0.25">
      <c r="A1553" s="169">
        <v>43622</v>
      </c>
      <c r="B1553" s="80" t="s">
        <v>1663</v>
      </c>
      <c r="C1553" s="80" t="s">
        <v>187</v>
      </c>
      <c r="D1553" s="80" t="s">
        <v>130</v>
      </c>
      <c r="E1553" s="80" t="s">
        <v>127</v>
      </c>
      <c r="F1553" s="170">
        <v>100</v>
      </c>
    </row>
    <row r="1554" spans="1:6" hidden="1" x14ac:dyDescent="0.25">
      <c r="A1554" s="169">
        <v>43622</v>
      </c>
      <c r="B1554" s="80" t="s">
        <v>1666</v>
      </c>
      <c r="C1554" s="80" t="s">
        <v>182</v>
      </c>
      <c r="D1554" s="80" t="s">
        <v>130</v>
      </c>
      <c r="E1554" s="80" t="s">
        <v>153</v>
      </c>
      <c r="F1554" s="170">
        <v>100</v>
      </c>
    </row>
    <row r="1555" spans="1:6" hidden="1" x14ac:dyDescent="0.25">
      <c r="A1555" s="169">
        <v>43623</v>
      </c>
      <c r="B1555" s="80" t="s">
        <v>1670</v>
      </c>
      <c r="C1555" s="80" t="s">
        <v>182</v>
      </c>
      <c r="D1555" s="80" t="s">
        <v>130</v>
      </c>
      <c r="E1555" s="80" t="s">
        <v>134</v>
      </c>
      <c r="F1555" s="170">
        <v>100</v>
      </c>
    </row>
    <row r="1556" spans="1:6" hidden="1" x14ac:dyDescent="0.25">
      <c r="A1556" s="169">
        <v>43623</v>
      </c>
      <c r="B1556" s="80" t="s">
        <v>1674</v>
      </c>
      <c r="C1556" s="80" t="s">
        <v>223</v>
      </c>
      <c r="D1556" s="80" t="s">
        <v>130</v>
      </c>
      <c r="E1556" s="80" t="s">
        <v>153</v>
      </c>
      <c r="F1556" s="170">
        <v>100</v>
      </c>
    </row>
    <row r="1557" spans="1:6" hidden="1" x14ac:dyDescent="0.25">
      <c r="A1557" s="169">
        <v>43624</v>
      </c>
      <c r="B1557" s="80" t="s">
        <v>1679</v>
      </c>
      <c r="C1557" s="80" t="s">
        <v>123</v>
      </c>
      <c r="D1557" s="80" t="s">
        <v>130</v>
      </c>
      <c r="E1557" s="80" t="s">
        <v>153</v>
      </c>
      <c r="F1557" s="170">
        <v>100</v>
      </c>
    </row>
    <row r="1558" spans="1:6" hidden="1" x14ac:dyDescent="0.25">
      <c r="A1558" s="169">
        <v>43624</v>
      </c>
      <c r="B1558" s="80" t="s">
        <v>1682</v>
      </c>
      <c r="C1558" s="80" t="s">
        <v>157</v>
      </c>
      <c r="D1558" s="80" t="s">
        <v>130</v>
      </c>
      <c r="E1558" s="80" t="s">
        <v>134</v>
      </c>
      <c r="F1558" s="170">
        <v>100</v>
      </c>
    </row>
    <row r="1559" spans="1:6" hidden="1" x14ac:dyDescent="0.25">
      <c r="A1559" s="169">
        <v>43625</v>
      </c>
      <c r="B1559" s="80" t="s">
        <v>1691</v>
      </c>
      <c r="C1559" s="80" t="s">
        <v>125</v>
      </c>
      <c r="D1559" s="80" t="s">
        <v>130</v>
      </c>
      <c r="E1559" s="80" t="s">
        <v>131</v>
      </c>
      <c r="F1559" s="170">
        <v>100</v>
      </c>
    </row>
    <row r="1560" spans="1:6" hidden="1" x14ac:dyDescent="0.25">
      <c r="A1560" s="169">
        <v>43626</v>
      </c>
      <c r="B1560" s="80" t="s">
        <v>1707</v>
      </c>
      <c r="C1560" s="80" t="s">
        <v>182</v>
      </c>
      <c r="D1560" s="80" t="s">
        <v>130</v>
      </c>
      <c r="E1560" s="80" t="s">
        <v>134</v>
      </c>
      <c r="F1560" s="170">
        <v>100</v>
      </c>
    </row>
    <row r="1561" spans="1:6" hidden="1" x14ac:dyDescent="0.25">
      <c r="A1561" s="169">
        <v>43629</v>
      </c>
      <c r="B1561" s="80" t="s">
        <v>1729</v>
      </c>
      <c r="C1561" s="80" t="s">
        <v>164</v>
      </c>
      <c r="D1561" s="80" t="s">
        <v>130</v>
      </c>
      <c r="E1561" s="80" t="s">
        <v>153</v>
      </c>
      <c r="F1561" s="170">
        <v>100</v>
      </c>
    </row>
    <row r="1562" spans="1:6" hidden="1" x14ac:dyDescent="0.25">
      <c r="A1562" s="169">
        <v>43631</v>
      </c>
      <c r="B1562" s="80" t="s">
        <v>1755</v>
      </c>
      <c r="C1562" s="80" t="s">
        <v>182</v>
      </c>
      <c r="D1562" s="80" t="s">
        <v>130</v>
      </c>
      <c r="E1562" s="80" t="s">
        <v>131</v>
      </c>
      <c r="F1562" s="170">
        <v>100</v>
      </c>
    </row>
    <row r="1563" spans="1:6" hidden="1" x14ac:dyDescent="0.25">
      <c r="A1563" s="169">
        <v>43633</v>
      </c>
      <c r="B1563" s="80" t="s">
        <v>1771</v>
      </c>
      <c r="C1563" s="80" t="s">
        <v>125</v>
      </c>
      <c r="D1563" s="80" t="s">
        <v>130</v>
      </c>
      <c r="E1563" s="80" t="s">
        <v>127</v>
      </c>
      <c r="F1563" s="170">
        <v>100</v>
      </c>
    </row>
    <row r="1564" spans="1:6" hidden="1" x14ac:dyDescent="0.25">
      <c r="A1564" s="169">
        <v>43634</v>
      </c>
      <c r="B1564" s="80" t="s">
        <v>1782</v>
      </c>
      <c r="C1564" s="80" t="s">
        <v>223</v>
      </c>
      <c r="D1564" s="80" t="s">
        <v>130</v>
      </c>
      <c r="E1564" s="80" t="s">
        <v>134</v>
      </c>
      <c r="F1564" s="170">
        <v>100</v>
      </c>
    </row>
    <row r="1565" spans="1:6" hidden="1" x14ac:dyDescent="0.25">
      <c r="A1565" s="169">
        <v>43634</v>
      </c>
      <c r="B1565" s="80" t="s">
        <v>1783</v>
      </c>
      <c r="C1565" s="80" t="s">
        <v>138</v>
      </c>
      <c r="D1565" s="80" t="s">
        <v>130</v>
      </c>
      <c r="E1565" s="80" t="s">
        <v>131</v>
      </c>
      <c r="F1565" s="170">
        <v>100</v>
      </c>
    </row>
    <row r="1566" spans="1:6" hidden="1" x14ac:dyDescent="0.25">
      <c r="A1566" s="169">
        <v>43635</v>
      </c>
      <c r="B1566" s="80" t="s">
        <v>1785</v>
      </c>
      <c r="C1566" s="80" t="s">
        <v>129</v>
      </c>
      <c r="D1566" s="80" t="s">
        <v>130</v>
      </c>
      <c r="E1566" s="80" t="s">
        <v>134</v>
      </c>
      <c r="F1566" s="170">
        <v>100</v>
      </c>
    </row>
    <row r="1567" spans="1:6" hidden="1" x14ac:dyDescent="0.25">
      <c r="A1567" s="169">
        <v>43636</v>
      </c>
      <c r="B1567" s="80" t="s">
        <v>1796</v>
      </c>
      <c r="C1567" s="80" t="s">
        <v>164</v>
      </c>
      <c r="D1567" s="80" t="s">
        <v>130</v>
      </c>
      <c r="E1567" s="80" t="s">
        <v>153</v>
      </c>
      <c r="F1567" s="170">
        <v>100</v>
      </c>
    </row>
    <row r="1568" spans="1:6" hidden="1" x14ac:dyDescent="0.25">
      <c r="A1568" s="169">
        <v>43637</v>
      </c>
      <c r="B1568" s="80" t="s">
        <v>1812</v>
      </c>
      <c r="C1568" s="80" t="s">
        <v>187</v>
      </c>
      <c r="D1568" s="80" t="s">
        <v>130</v>
      </c>
      <c r="E1568" s="80" t="s">
        <v>131</v>
      </c>
      <c r="F1568" s="170">
        <v>100</v>
      </c>
    </row>
    <row r="1569" spans="1:6" hidden="1" x14ac:dyDescent="0.25">
      <c r="A1569" s="169">
        <v>43639</v>
      </c>
      <c r="B1569" s="80" t="s">
        <v>1824</v>
      </c>
      <c r="C1569" s="80" t="s">
        <v>119</v>
      </c>
      <c r="D1569" s="80" t="s">
        <v>130</v>
      </c>
      <c r="E1569" s="80" t="s">
        <v>121</v>
      </c>
      <c r="F1569" s="170">
        <v>100</v>
      </c>
    </row>
    <row r="1570" spans="1:6" hidden="1" x14ac:dyDescent="0.25">
      <c r="A1570" s="169">
        <v>43640</v>
      </c>
      <c r="B1570" s="80" t="s">
        <v>1831</v>
      </c>
      <c r="C1570" s="80" t="s">
        <v>152</v>
      </c>
      <c r="D1570" s="80" t="s">
        <v>130</v>
      </c>
      <c r="E1570" s="80" t="s">
        <v>134</v>
      </c>
      <c r="F1570" s="170">
        <v>100</v>
      </c>
    </row>
    <row r="1571" spans="1:6" hidden="1" x14ac:dyDescent="0.25">
      <c r="A1571" s="169">
        <v>43641</v>
      </c>
      <c r="B1571" s="80" t="s">
        <v>1836</v>
      </c>
      <c r="C1571" s="80" t="s">
        <v>143</v>
      </c>
      <c r="D1571" s="80" t="s">
        <v>130</v>
      </c>
      <c r="E1571" s="80" t="s">
        <v>127</v>
      </c>
      <c r="F1571" s="170">
        <v>100</v>
      </c>
    </row>
    <row r="1572" spans="1:6" hidden="1" x14ac:dyDescent="0.25">
      <c r="A1572" s="169">
        <v>43641</v>
      </c>
      <c r="B1572" s="80" t="s">
        <v>1837</v>
      </c>
      <c r="C1572" s="80" t="s">
        <v>138</v>
      </c>
      <c r="D1572" s="80" t="s">
        <v>130</v>
      </c>
      <c r="E1572" s="80" t="s">
        <v>134</v>
      </c>
      <c r="F1572" s="170">
        <v>100</v>
      </c>
    </row>
    <row r="1573" spans="1:6" hidden="1" x14ac:dyDescent="0.25">
      <c r="A1573" s="169">
        <v>43642</v>
      </c>
      <c r="B1573" s="80" t="s">
        <v>1847</v>
      </c>
      <c r="C1573" s="80" t="s">
        <v>167</v>
      </c>
      <c r="D1573" s="80" t="s">
        <v>130</v>
      </c>
      <c r="E1573" s="80" t="s">
        <v>121</v>
      </c>
      <c r="F1573" s="170">
        <v>100</v>
      </c>
    </row>
    <row r="1574" spans="1:6" hidden="1" x14ac:dyDescent="0.25">
      <c r="A1574" s="169">
        <v>43643</v>
      </c>
      <c r="B1574" s="80" t="s">
        <v>1854</v>
      </c>
      <c r="C1574" s="80" t="s">
        <v>136</v>
      </c>
      <c r="D1574" s="80" t="s">
        <v>130</v>
      </c>
      <c r="E1574" s="80" t="s">
        <v>127</v>
      </c>
      <c r="F1574" s="170">
        <v>100</v>
      </c>
    </row>
    <row r="1575" spans="1:6" hidden="1" x14ac:dyDescent="0.25">
      <c r="A1575" s="169">
        <v>43645</v>
      </c>
      <c r="B1575" s="80" t="s">
        <v>1864</v>
      </c>
      <c r="C1575" s="80" t="s">
        <v>223</v>
      </c>
      <c r="D1575" s="80" t="s">
        <v>130</v>
      </c>
      <c r="E1575" s="80" t="s">
        <v>153</v>
      </c>
      <c r="F1575" s="170">
        <v>100</v>
      </c>
    </row>
    <row r="1576" spans="1:6" hidden="1" x14ac:dyDescent="0.25">
      <c r="A1576" s="169">
        <v>43646</v>
      </c>
      <c r="B1576" s="80" t="s">
        <v>1881</v>
      </c>
      <c r="C1576" s="80" t="s">
        <v>119</v>
      </c>
      <c r="D1576" s="80" t="s">
        <v>130</v>
      </c>
      <c r="E1576" s="80" t="s">
        <v>134</v>
      </c>
      <c r="F1576" s="170">
        <v>100</v>
      </c>
    </row>
    <row r="1577" spans="1:6" hidden="1" x14ac:dyDescent="0.25">
      <c r="A1577" s="169">
        <v>43647</v>
      </c>
      <c r="B1577" s="80" t="s">
        <v>1888</v>
      </c>
      <c r="C1577" s="80" t="s">
        <v>145</v>
      </c>
      <c r="D1577" s="80" t="s">
        <v>130</v>
      </c>
      <c r="E1577" s="80" t="s">
        <v>121</v>
      </c>
      <c r="F1577" s="170">
        <v>100</v>
      </c>
    </row>
    <row r="1578" spans="1:6" hidden="1" x14ac:dyDescent="0.25">
      <c r="A1578" s="169">
        <v>43648</v>
      </c>
      <c r="B1578" s="80" t="s">
        <v>1898</v>
      </c>
      <c r="C1578" s="80" t="s">
        <v>143</v>
      </c>
      <c r="D1578" s="80" t="s">
        <v>130</v>
      </c>
      <c r="E1578" s="80" t="s">
        <v>127</v>
      </c>
      <c r="F1578" s="170">
        <v>100</v>
      </c>
    </row>
    <row r="1579" spans="1:6" hidden="1" x14ac:dyDescent="0.25">
      <c r="A1579" s="169">
        <v>43649</v>
      </c>
      <c r="B1579" s="80" t="s">
        <v>1912</v>
      </c>
      <c r="C1579" s="80" t="s">
        <v>157</v>
      </c>
      <c r="D1579" s="80" t="s">
        <v>130</v>
      </c>
      <c r="E1579" s="80" t="s">
        <v>134</v>
      </c>
      <c r="F1579" s="170">
        <v>100</v>
      </c>
    </row>
    <row r="1580" spans="1:6" hidden="1" x14ac:dyDescent="0.25">
      <c r="A1580" s="169">
        <v>43649</v>
      </c>
      <c r="B1580" s="80" t="s">
        <v>1916</v>
      </c>
      <c r="C1580" s="80" t="s">
        <v>157</v>
      </c>
      <c r="D1580" s="80" t="s">
        <v>130</v>
      </c>
      <c r="E1580" s="80" t="s">
        <v>131</v>
      </c>
      <c r="F1580" s="170">
        <v>100</v>
      </c>
    </row>
    <row r="1581" spans="1:6" hidden="1" x14ac:dyDescent="0.25">
      <c r="A1581" s="169">
        <v>43649</v>
      </c>
      <c r="B1581" s="80" t="s">
        <v>1918</v>
      </c>
      <c r="C1581" s="80" t="s">
        <v>167</v>
      </c>
      <c r="D1581" s="80" t="s">
        <v>130</v>
      </c>
      <c r="E1581" s="80" t="s">
        <v>121</v>
      </c>
      <c r="F1581" s="170">
        <v>100</v>
      </c>
    </row>
    <row r="1582" spans="1:6" hidden="1" x14ac:dyDescent="0.25">
      <c r="A1582" s="169">
        <v>43650</v>
      </c>
      <c r="B1582" s="80" t="s">
        <v>1924</v>
      </c>
      <c r="C1582" s="80" t="s">
        <v>123</v>
      </c>
      <c r="D1582" s="80" t="s">
        <v>130</v>
      </c>
      <c r="E1582" s="80" t="s">
        <v>131</v>
      </c>
      <c r="F1582" s="170">
        <v>100</v>
      </c>
    </row>
    <row r="1583" spans="1:6" hidden="1" x14ac:dyDescent="0.25">
      <c r="A1583" s="169">
        <v>43650</v>
      </c>
      <c r="B1583" s="80" t="s">
        <v>1925</v>
      </c>
      <c r="C1583" s="80" t="s">
        <v>157</v>
      </c>
      <c r="D1583" s="80" t="s">
        <v>130</v>
      </c>
      <c r="E1583" s="80" t="s">
        <v>121</v>
      </c>
      <c r="F1583" s="170">
        <v>100</v>
      </c>
    </row>
    <row r="1584" spans="1:6" hidden="1" x14ac:dyDescent="0.25">
      <c r="A1584" s="169">
        <v>43650</v>
      </c>
      <c r="B1584" s="80" t="s">
        <v>1928</v>
      </c>
      <c r="C1584" s="80" t="s">
        <v>152</v>
      </c>
      <c r="D1584" s="80" t="s">
        <v>130</v>
      </c>
      <c r="E1584" s="80" t="s">
        <v>131</v>
      </c>
      <c r="F1584" s="170">
        <v>100</v>
      </c>
    </row>
    <row r="1585" spans="1:6" hidden="1" x14ac:dyDescent="0.25">
      <c r="A1585" s="169">
        <v>43651</v>
      </c>
      <c r="B1585" s="80" t="s">
        <v>1932</v>
      </c>
      <c r="C1585" s="80" t="s">
        <v>189</v>
      </c>
      <c r="D1585" s="80" t="s">
        <v>130</v>
      </c>
      <c r="E1585" s="80" t="s">
        <v>121</v>
      </c>
      <c r="F1585" s="170">
        <v>100</v>
      </c>
    </row>
    <row r="1586" spans="1:6" hidden="1" x14ac:dyDescent="0.25">
      <c r="A1586" s="169">
        <v>43652</v>
      </c>
      <c r="B1586" s="80" t="s">
        <v>1943</v>
      </c>
      <c r="C1586" s="80" t="s">
        <v>182</v>
      </c>
      <c r="D1586" s="80" t="s">
        <v>130</v>
      </c>
      <c r="E1586" s="80" t="s">
        <v>127</v>
      </c>
      <c r="F1586" s="170">
        <v>100</v>
      </c>
    </row>
    <row r="1587" spans="1:6" hidden="1" x14ac:dyDescent="0.25">
      <c r="A1587" s="169">
        <v>43652</v>
      </c>
      <c r="B1587" s="80" t="s">
        <v>1947</v>
      </c>
      <c r="C1587" s="80" t="s">
        <v>164</v>
      </c>
      <c r="D1587" s="80" t="s">
        <v>130</v>
      </c>
      <c r="E1587" s="80" t="s">
        <v>121</v>
      </c>
      <c r="F1587" s="170">
        <v>100</v>
      </c>
    </row>
    <row r="1588" spans="1:6" hidden="1" x14ac:dyDescent="0.25">
      <c r="A1588" s="169">
        <v>43653</v>
      </c>
      <c r="B1588" s="80" t="s">
        <v>1950</v>
      </c>
      <c r="C1588" s="80" t="s">
        <v>223</v>
      </c>
      <c r="D1588" s="80" t="s">
        <v>130</v>
      </c>
      <c r="E1588" s="80" t="s">
        <v>134</v>
      </c>
      <c r="F1588" s="170">
        <v>100</v>
      </c>
    </row>
    <row r="1589" spans="1:6" hidden="1" x14ac:dyDescent="0.25">
      <c r="A1589" s="169">
        <v>43653</v>
      </c>
      <c r="B1589" s="80" t="s">
        <v>1953</v>
      </c>
      <c r="C1589" s="80" t="s">
        <v>138</v>
      </c>
      <c r="D1589" s="80" t="s">
        <v>130</v>
      </c>
      <c r="E1589" s="80" t="s">
        <v>127</v>
      </c>
      <c r="F1589" s="170">
        <v>100</v>
      </c>
    </row>
    <row r="1590" spans="1:6" hidden="1" x14ac:dyDescent="0.25">
      <c r="A1590" s="169">
        <v>43653</v>
      </c>
      <c r="B1590" s="80" t="s">
        <v>1955</v>
      </c>
      <c r="C1590" s="80" t="s">
        <v>157</v>
      </c>
      <c r="D1590" s="80" t="s">
        <v>130</v>
      </c>
      <c r="E1590" s="80" t="s">
        <v>153</v>
      </c>
      <c r="F1590" s="170">
        <v>100</v>
      </c>
    </row>
    <row r="1591" spans="1:6" hidden="1" x14ac:dyDescent="0.25">
      <c r="A1591" s="169">
        <v>43653</v>
      </c>
      <c r="B1591" s="80" t="s">
        <v>1956</v>
      </c>
      <c r="C1591" s="80" t="s">
        <v>136</v>
      </c>
      <c r="D1591" s="80" t="s">
        <v>130</v>
      </c>
      <c r="E1591" s="80" t="s">
        <v>127</v>
      </c>
      <c r="F1591" s="170">
        <v>100</v>
      </c>
    </row>
    <row r="1592" spans="1:6" hidden="1" x14ac:dyDescent="0.25">
      <c r="A1592" s="169">
        <v>43653</v>
      </c>
      <c r="B1592" s="80" t="s">
        <v>1958</v>
      </c>
      <c r="C1592" s="80" t="s">
        <v>148</v>
      </c>
      <c r="D1592" s="80" t="s">
        <v>130</v>
      </c>
      <c r="E1592" s="80" t="s">
        <v>131</v>
      </c>
      <c r="F1592" s="170">
        <v>100</v>
      </c>
    </row>
    <row r="1593" spans="1:6" hidden="1" x14ac:dyDescent="0.25">
      <c r="A1593" s="169">
        <v>43653</v>
      </c>
      <c r="B1593" s="80" t="s">
        <v>1959</v>
      </c>
      <c r="C1593" s="80" t="s">
        <v>138</v>
      </c>
      <c r="D1593" s="80" t="s">
        <v>130</v>
      </c>
      <c r="E1593" s="80" t="s">
        <v>121</v>
      </c>
      <c r="F1593" s="170">
        <v>100</v>
      </c>
    </row>
    <row r="1594" spans="1:6" hidden="1" x14ac:dyDescent="0.25">
      <c r="A1594" s="169">
        <v>43654</v>
      </c>
      <c r="B1594" s="80" t="s">
        <v>1966</v>
      </c>
      <c r="C1594" s="80" t="s">
        <v>167</v>
      </c>
      <c r="D1594" s="80" t="s">
        <v>130</v>
      </c>
      <c r="E1594" s="80" t="s">
        <v>153</v>
      </c>
      <c r="F1594" s="170">
        <v>100</v>
      </c>
    </row>
    <row r="1595" spans="1:6" hidden="1" x14ac:dyDescent="0.25">
      <c r="A1595" s="169">
        <v>43655</v>
      </c>
      <c r="B1595" s="80" t="s">
        <v>1968</v>
      </c>
      <c r="C1595" s="80" t="s">
        <v>167</v>
      </c>
      <c r="D1595" s="80" t="s">
        <v>130</v>
      </c>
      <c r="E1595" s="80" t="s">
        <v>134</v>
      </c>
      <c r="F1595" s="170">
        <v>100</v>
      </c>
    </row>
    <row r="1596" spans="1:6" hidden="1" x14ac:dyDescent="0.25">
      <c r="A1596" s="169">
        <v>43657</v>
      </c>
      <c r="B1596" s="80" t="s">
        <v>1982</v>
      </c>
      <c r="C1596" s="80" t="s">
        <v>182</v>
      </c>
      <c r="D1596" s="80" t="s">
        <v>130</v>
      </c>
      <c r="E1596" s="80" t="s">
        <v>134</v>
      </c>
      <c r="F1596" s="170">
        <v>100</v>
      </c>
    </row>
    <row r="1597" spans="1:6" hidden="1" x14ac:dyDescent="0.25">
      <c r="A1597" s="169">
        <v>43658</v>
      </c>
      <c r="B1597" s="80" t="s">
        <v>1992</v>
      </c>
      <c r="C1597" s="80" t="s">
        <v>164</v>
      </c>
      <c r="D1597" s="80" t="s">
        <v>130</v>
      </c>
      <c r="E1597" s="80" t="s">
        <v>134</v>
      </c>
      <c r="F1597" s="170">
        <v>100</v>
      </c>
    </row>
    <row r="1598" spans="1:6" hidden="1" x14ac:dyDescent="0.25">
      <c r="A1598" s="169">
        <v>43658</v>
      </c>
      <c r="B1598" s="80" t="s">
        <v>1996</v>
      </c>
      <c r="C1598" s="80" t="s">
        <v>138</v>
      </c>
      <c r="D1598" s="80" t="s">
        <v>130</v>
      </c>
      <c r="E1598" s="80" t="s">
        <v>153</v>
      </c>
      <c r="F1598" s="170">
        <v>100</v>
      </c>
    </row>
    <row r="1599" spans="1:6" hidden="1" x14ac:dyDescent="0.25">
      <c r="A1599" s="169">
        <v>43660</v>
      </c>
      <c r="B1599" s="80" t="s">
        <v>2015</v>
      </c>
      <c r="C1599" s="80" t="s">
        <v>123</v>
      </c>
      <c r="D1599" s="80" t="s">
        <v>130</v>
      </c>
      <c r="E1599" s="80" t="s">
        <v>134</v>
      </c>
      <c r="F1599" s="170">
        <v>100</v>
      </c>
    </row>
    <row r="1600" spans="1:6" hidden="1" x14ac:dyDescent="0.25">
      <c r="A1600" s="169">
        <v>43661</v>
      </c>
      <c r="B1600" s="80" t="s">
        <v>2025</v>
      </c>
      <c r="C1600" s="80" t="s">
        <v>143</v>
      </c>
      <c r="D1600" s="80" t="s">
        <v>130</v>
      </c>
      <c r="E1600" s="80" t="s">
        <v>127</v>
      </c>
      <c r="F1600" s="170">
        <v>100</v>
      </c>
    </row>
    <row r="1601" spans="1:6" hidden="1" x14ac:dyDescent="0.25">
      <c r="A1601" s="169">
        <v>43662</v>
      </c>
      <c r="B1601" s="80" t="s">
        <v>2037</v>
      </c>
      <c r="C1601" s="80" t="s">
        <v>129</v>
      </c>
      <c r="D1601" s="80" t="s">
        <v>130</v>
      </c>
      <c r="E1601" s="80" t="s">
        <v>127</v>
      </c>
      <c r="F1601" s="170">
        <v>100</v>
      </c>
    </row>
    <row r="1602" spans="1:6" hidden="1" x14ac:dyDescent="0.25">
      <c r="A1602" s="169">
        <v>43663</v>
      </c>
      <c r="B1602" s="80" t="s">
        <v>2044</v>
      </c>
      <c r="C1602" s="80" t="s">
        <v>125</v>
      </c>
      <c r="D1602" s="80" t="s">
        <v>130</v>
      </c>
      <c r="E1602" s="80" t="s">
        <v>121</v>
      </c>
      <c r="F1602" s="170">
        <v>100</v>
      </c>
    </row>
    <row r="1603" spans="1:6" hidden="1" x14ac:dyDescent="0.25">
      <c r="A1603" s="169">
        <v>43663</v>
      </c>
      <c r="B1603" s="80" t="s">
        <v>2046</v>
      </c>
      <c r="C1603" s="80" t="s">
        <v>129</v>
      </c>
      <c r="D1603" s="80" t="s">
        <v>130</v>
      </c>
      <c r="E1603" s="80" t="s">
        <v>121</v>
      </c>
      <c r="F1603" s="170">
        <v>100</v>
      </c>
    </row>
    <row r="1604" spans="1:6" hidden="1" x14ac:dyDescent="0.25">
      <c r="A1604" s="169">
        <v>43664</v>
      </c>
      <c r="B1604" s="80" t="s">
        <v>2049</v>
      </c>
      <c r="C1604" s="80" t="s">
        <v>138</v>
      </c>
      <c r="D1604" s="80" t="s">
        <v>130</v>
      </c>
      <c r="E1604" s="80" t="s">
        <v>153</v>
      </c>
      <c r="F1604" s="170">
        <v>100</v>
      </c>
    </row>
    <row r="1605" spans="1:6" hidden="1" x14ac:dyDescent="0.25">
      <c r="A1605" s="169">
        <v>43664</v>
      </c>
      <c r="B1605" s="80" t="s">
        <v>2054</v>
      </c>
      <c r="C1605" s="80" t="s">
        <v>164</v>
      </c>
      <c r="D1605" s="80" t="s">
        <v>130</v>
      </c>
      <c r="E1605" s="80" t="s">
        <v>134</v>
      </c>
      <c r="F1605" s="170">
        <v>100</v>
      </c>
    </row>
    <row r="1606" spans="1:6" hidden="1" x14ac:dyDescent="0.25">
      <c r="A1606" s="169">
        <v>43666</v>
      </c>
      <c r="B1606" s="80" t="s">
        <v>2065</v>
      </c>
      <c r="C1606" s="80" t="s">
        <v>136</v>
      </c>
      <c r="D1606" s="80" t="s">
        <v>130</v>
      </c>
      <c r="E1606" s="80" t="s">
        <v>134</v>
      </c>
      <c r="F1606" s="170">
        <v>100</v>
      </c>
    </row>
    <row r="1607" spans="1:6" hidden="1" x14ac:dyDescent="0.25">
      <c r="A1607" s="169">
        <v>43667</v>
      </c>
      <c r="B1607" s="80" t="s">
        <v>2074</v>
      </c>
      <c r="C1607" s="80" t="s">
        <v>164</v>
      </c>
      <c r="D1607" s="80" t="s">
        <v>130</v>
      </c>
      <c r="E1607" s="80" t="s">
        <v>134</v>
      </c>
      <c r="F1607" s="170">
        <v>100</v>
      </c>
    </row>
    <row r="1608" spans="1:6" hidden="1" x14ac:dyDescent="0.25">
      <c r="A1608" s="169">
        <v>43668</v>
      </c>
      <c r="B1608" s="80" t="s">
        <v>2083</v>
      </c>
      <c r="C1608" s="80" t="s">
        <v>125</v>
      </c>
      <c r="D1608" s="80" t="s">
        <v>130</v>
      </c>
      <c r="E1608" s="80" t="s">
        <v>127</v>
      </c>
      <c r="F1608" s="170">
        <v>100</v>
      </c>
    </row>
    <row r="1609" spans="1:6" hidden="1" x14ac:dyDescent="0.25">
      <c r="A1609" s="169">
        <v>43668</v>
      </c>
      <c r="B1609" s="80" t="s">
        <v>2091</v>
      </c>
      <c r="C1609" s="80" t="s">
        <v>148</v>
      </c>
      <c r="D1609" s="80" t="s">
        <v>130</v>
      </c>
      <c r="E1609" s="80" t="s">
        <v>131</v>
      </c>
      <c r="F1609" s="170">
        <v>100</v>
      </c>
    </row>
    <row r="1610" spans="1:6" hidden="1" x14ac:dyDescent="0.25">
      <c r="A1610" s="169">
        <v>43669</v>
      </c>
      <c r="B1610" s="80" t="s">
        <v>2093</v>
      </c>
      <c r="C1610" s="80" t="s">
        <v>157</v>
      </c>
      <c r="D1610" s="80" t="s">
        <v>130</v>
      </c>
      <c r="E1610" s="80" t="s">
        <v>153</v>
      </c>
      <c r="F1610" s="170">
        <v>100</v>
      </c>
    </row>
    <row r="1611" spans="1:6" hidden="1" x14ac:dyDescent="0.25">
      <c r="A1611" s="169">
        <v>43669</v>
      </c>
      <c r="B1611" s="80" t="s">
        <v>2095</v>
      </c>
      <c r="C1611" s="80" t="s">
        <v>123</v>
      </c>
      <c r="D1611" s="80" t="s">
        <v>130</v>
      </c>
      <c r="E1611" s="80" t="s">
        <v>153</v>
      </c>
      <c r="F1611" s="170">
        <v>100</v>
      </c>
    </row>
    <row r="1612" spans="1:6" hidden="1" x14ac:dyDescent="0.25">
      <c r="A1612" s="169">
        <v>43670</v>
      </c>
      <c r="B1612" s="80" t="s">
        <v>2104</v>
      </c>
      <c r="C1612" s="80" t="s">
        <v>152</v>
      </c>
      <c r="D1612" s="80" t="s">
        <v>130</v>
      </c>
      <c r="E1612" s="80" t="s">
        <v>127</v>
      </c>
      <c r="F1612" s="170">
        <v>100</v>
      </c>
    </row>
    <row r="1613" spans="1:6" hidden="1" x14ac:dyDescent="0.25">
      <c r="A1613" s="169">
        <v>43670</v>
      </c>
      <c r="B1613" s="80" t="s">
        <v>2108</v>
      </c>
      <c r="C1613" s="80" t="s">
        <v>143</v>
      </c>
      <c r="D1613" s="80" t="s">
        <v>130</v>
      </c>
      <c r="E1613" s="80" t="s">
        <v>153</v>
      </c>
      <c r="F1613" s="170">
        <v>100</v>
      </c>
    </row>
    <row r="1614" spans="1:6" hidden="1" x14ac:dyDescent="0.25">
      <c r="A1614" s="169">
        <v>43671</v>
      </c>
      <c r="B1614" s="80" t="s">
        <v>2115</v>
      </c>
      <c r="C1614" s="80" t="s">
        <v>157</v>
      </c>
      <c r="D1614" s="80" t="s">
        <v>130</v>
      </c>
      <c r="E1614" s="80" t="s">
        <v>153</v>
      </c>
      <c r="F1614" s="170">
        <v>100</v>
      </c>
    </row>
    <row r="1615" spans="1:6" hidden="1" x14ac:dyDescent="0.25">
      <c r="A1615" s="169">
        <v>43671</v>
      </c>
      <c r="B1615" s="80" t="s">
        <v>2123</v>
      </c>
      <c r="C1615" s="80" t="s">
        <v>143</v>
      </c>
      <c r="D1615" s="80" t="s">
        <v>130</v>
      </c>
      <c r="E1615" s="80" t="s">
        <v>121</v>
      </c>
      <c r="F1615" s="170">
        <v>100</v>
      </c>
    </row>
    <row r="1616" spans="1:6" hidden="1" x14ac:dyDescent="0.25">
      <c r="A1616" s="169">
        <v>43672</v>
      </c>
      <c r="B1616" s="80" t="s">
        <v>2127</v>
      </c>
      <c r="C1616" s="80" t="s">
        <v>143</v>
      </c>
      <c r="D1616" s="80" t="s">
        <v>130</v>
      </c>
      <c r="E1616" s="80" t="s">
        <v>127</v>
      </c>
      <c r="F1616" s="170">
        <v>100</v>
      </c>
    </row>
    <row r="1617" spans="1:6" hidden="1" x14ac:dyDescent="0.25">
      <c r="A1617" s="169">
        <v>43672</v>
      </c>
      <c r="B1617" s="80" t="s">
        <v>2131</v>
      </c>
      <c r="C1617" s="80" t="s">
        <v>223</v>
      </c>
      <c r="D1617" s="80" t="s">
        <v>130</v>
      </c>
      <c r="E1617" s="80" t="s">
        <v>134</v>
      </c>
      <c r="F1617" s="170">
        <v>100</v>
      </c>
    </row>
    <row r="1618" spans="1:6" hidden="1" x14ac:dyDescent="0.25">
      <c r="A1618" s="169">
        <v>43674</v>
      </c>
      <c r="B1618" s="80" t="s">
        <v>2142</v>
      </c>
      <c r="C1618" s="80" t="s">
        <v>125</v>
      </c>
      <c r="D1618" s="80" t="s">
        <v>130</v>
      </c>
      <c r="E1618" s="80" t="s">
        <v>134</v>
      </c>
      <c r="F1618" s="170">
        <v>100</v>
      </c>
    </row>
    <row r="1619" spans="1:6" hidden="1" x14ac:dyDescent="0.25">
      <c r="A1619" s="169">
        <v>43674</v>
      </c>
      <c r="B1619" s="80" t="s">
        <v>2147</v>
      </c>
      <c r="C1619" s="80" t="s">
        <v>182</v>
      </c>
      <c r="D1619" s="80" t="s">
        <v>130</v>
      </c>
      <c r="E1619" s="80" t="s">
        <v>131</v>
      </c>
      <c r="F1619" s="170">
        <v>100</v>
      </c>
    </row>
    <row r="1620" spans="1:6" hidden="1" x14ac:dyDescent="0.25">
      <c r="A1620" s="169">
        <v>43676</v>
      </c>
      <c r="B1620" s="80" t="s">
        <v>2162</v>
      </c>
      <c r="C1620" s="80" t="s">
        <v>138</v>
      </c>
      <c r="D1620" s="80" t="s">
        <v>130</v>
      </c>
      <c r="E1620" s="80" t="s">
        <v>134</v>
      </c>
      <c r="F1620" s="170">
        <v>100</v>
      </c>
    </row>
    <row r="1621" spans="1:6" hidden="1" x14ac:dyDescent="0.25">
      <c r="A1621" s="169">
        <v>43676</v>
      </c>
      <c r="B1621" s="80" t="s">
        <v>2172</v>
      </c>
      <c r="C1621" s="80" t="s">
        <v>223</v>
      </c>
      <c r="D1621" s="80" t="s">
        <v>130</v>
      </c>
      <c r="E1621" s="80" t="s">
        <v>127</v>
      </c>
      <c r="F1621" s="170">
        <v>100</v>
      </c>
    </row>
    <row r="1622" spans="1:6" hidden="1" x14ac:dyDescent="0.25">
      <c r="A1622" s="169">
        <v>43678</v>
      </c>
      <c r="B1622" s="80" t="s">
        <v>2183</v>
      </c>
      <c r="C1622" s="80" t="s">
        <v>167</v>
      </c>
      <c r="D1622" s="80" t="s">
        <v>130</v>
      </c>
      <c r="E1622" s="80" t="s">
        <v>131</v>
      </c>
      <c r="F1622" s="170">
        <v>100</v>
      </c>
    </row>
    <row r="1623" spans="1:6" hidden="1" x14ac:dyDescent="0.25">
      <c r="A1623" s="169">
        <v>43678</v>
      </c>
      <c r="B1623" s="80" t="s">
        <v>2191</v>
      </c>
      <c r="C1623" s="80" t="s">
        <v>164</v>
      </c>
      <c r="D1623" s="80" t="s">
        <v>130</v>
      </c>
      <c r="E1623" s="80" t="s">
        <v>153</v>
      </c>
      <c r="F1623" s="170">
        <v>100</v>
      </c>
    </row>
    <row r="1624" spans="1:6" hidden="1" x14ac:dyDescent="0.25">
      <c r="A1624" s="169">
        <v>43678</v>
      </c>
      <c r="B1624" s="80" t="s">
        <v>2193</v>
      </c>
      <c r="C1624" s="80" t="s">
        <v>136</v>
      </c>
      <c r="D1624" s="80" t="s">
        <v>130</v>
      </c>
      <c r="E1624" s="80" t="s">
        <v>134</v>
      </c>
      <c r="F1624" s="170">
        <v>100</v>
      </c>
    </row>
    <row r="1625" spans="1:6" hidden="1" x14ac:dyDescent="0.25">
      <c r="A1625" s="169">
        <v>43678</v>
      </c>
      <c r="B1625" s="80" t="s">
        <v>2195</v>
      </c>
      <c r="C1625" s="80" t="s">
        <v>145</v>
      </c>
      <c r="D1625" s="80" t="s">
        <v>130</v>
      </c>
      <c r="E1625" s="80" t="s">
        <v>121</v>
      </c>
      <c r="F1625" s="170">
        <v>100</v>
      </c>
    </row>
    <row r="1626" spans="1:6" hidden="1" x14ac:dyDescent="0.25">
      <c r="A1626" s="169">
        <v>43680</v>
      </c>
      <c r="B1626" s="80" t="s">
        <v>2213</v>
      </c>
      <c r="C1626" s="80" t="s">
        <v>143</v>
      </c>
      <c r="D1626" s="80" t="s">
        <v>130</v>
      </c>
      <c r="E1626" s="80" t="s">
        <v>131</v>
      </c>
      <c r="F1626" s="170">
        <v>100</v>
      </c>
    </row>
    <row r="1627" spans="1:6" hidden="1" x14ac:dyDescent="0.25">
      <c r="A1627" s="169">
        <v>43681</v>
      </c>
      <c r="B1627" s="80" t="s">
        <v>2217</v>
      </c>
      <c r="C1627" s="80" t="s">
        <v>123</v>
      </c>
      <c r="D1627" s="80" t="s">
        <v>130</v>
      </c>
      <c r="E1627" s="80" t="s">
        <v>121</v>
      </c>
      <c r="F1627" s="170">
        <v>100</v>
      </c>
    </row>
    <row r="1628" spans="1:6" hidden="1" x14ac:dyDescent="0.25">
      <c r="A1628" s="169">
        <v>43686</v>
      </c>
      <c r="B1628" s="80" t="s">
        <v>2278</v>
      </c>
      <c r="C1628" s="80" t="s">
        <v>143</v>
      </c>
      <c r="D1628" s="80" t="s">
        <v>130</v>
      </c>
      <c r="E1628" s="80" t="s">
        <v>131</v>
      </c>
      <c r="F1628" s="170">
        <v>100</v>
      </c>
    </row>
    <row r="1629" spans="1:6" hidden="1" x14ac:dyDescent="0.25">
      <c r="A1629" s="169">
        <v>43686</v>
      </c>
      <c r="B1629" s="80" t="s">
        <v>2280</v>
      </c>
      <c r="C1629" s="80" t="s">
        <v>119</v>
      </c>
      <c r="D1629" s="80" t="s">
        <v>130</v>
      </c>
      <c r="E1629" s="80" t="s">
        <v>153</v>
      </c>
      <c r="F1629" s="170">
        <v>100</v>
      </c>
    </row>
    <row r="1630" spans="1:6" hidden="1" x14ac:dyDescent="0.25">
      <c r="A1630" s="169">
        <v>43687</v>
      </c>
      <c r="B1630" s="80" t="s">
        <v>2285</v>
      </c>
      <c r="C1630" s="80" t="s">
        <v>223</v>
      </c>
      <c r="D1630" s="80" t="s">
        <v>130</v>
      </c>
      <c r="E1630" s="80" t="s">
        <v>121</v>
      </c>
      <c r="F1630" s="170">
        <v>100</v>
      </c>
    </row>
    <row r="1631" spans="1:6" hidden="1" x14ac:dyDescent="0.25">
      <c r="A1631" s="169">
        <v>43689</v>
      </c>
      <c r="B1631" s="80" t="s">
        <v>2298</v>
      </c>
      <c r="C1631" s="80" t="s">
        <v>189</v>
      </c>
      <c r="D1631" s="80" t="s">
        <v>130</v>
      </c>
      <c r="E1631" s="80" t="s">
        <v>131</v>
      </c>
      <c r="F1631" s="170">
        <v>100</v>
      </c>
    </row>
    <row r="1632" spans="1:6" hidden="1" x14ac:dyDescent="0.25">
      <c r="A1632" s="169">
        <v>43690</v>
      </c>
      <c r="B1632" s="80" t="s">
        <v>2302</v>
      </c>
      <c r="C1632" s="80" t="s">
        <v>119</v>
      </c>
      <c r="D1632" s="80" t="s">
        <v>130</v>
      </c>
      <c r="E1632" s="80" t="s">
        <v>131</v>
      </c>
      <c r="F1632" s="170">
        <v>100</v>
      </c>
    </row>
    <row r="1633" spans="1:6" hidden="1" x14ac:dyDescent="0.25">
      <c r="A1633" s="169">
        <v>43690</v>
      </c>
      <c r="B1633" s="80" t="s">
        <v>2311</v>
      </c>
      <c r="C1633" s="80" t="s">
        <v>187</v>
      </c>
      <c r="D1633" s="80" t="s">
        <v>130</v>
      </c>
      <c r="E1633" s="80" t="s">
        <v>134</v>
      </c>
      <c r="F1633" s="170">
        <v>100</v>
      </c>
    </row>
    <row r="1634" spans="1:6" hidden="1" x14ac:dyDescent="0.25">
      <c r="A1634" s="169">
        <v>43691</v>
      </c>
      <c r="B1634" s="80" t="s">
        <v>2319</v>
      </c>
      <c r="C1634" s="80" t="s">
        <v>223</v>
      </c>
      <c r="D1634" s="80" t="s">
        <v>130</v>
      </c>
      <c r="E1634" s="80" t="s">
        <v>134</v>
      </c>
      <c r="F1634" s="170">
        <v>100</v>
      </c>
    </row>
    <row r="1635" spans="1:6" hidden="1" x14ac:dyDescent="0.25">
      <c r="A1635" s="169">
        <v>43691</v>
      </c>
      <c r="B1635" s="80" t="s">
        <v>2320</v>
      </c>
      <c r="C1635" s="80" t="s">
        <v>143</v>
      </c>
      <c r="D1635" s="80" t="s">
        <v>130</v>
      </c>
      <c r="E1635" s="80" t="s">
        <v>127</v>
      </c>
      <c r="F1635" s="170">
        <v>100</v>
      </c>
    </row>
    <row r="1636" spans="1:6" hidden="1" x14ac:dyDescent="0.25">
      <c r="A1636" s="169">
        <v>43692</v>
      </c>
      <c r="B1636" s="80" t="s">
        <v>2322</v>
      </c>
      <c r="C1636" s="80" t="s">
        <v>129</v>
      </c>
      <c r="D1636" s="80" t="s">
        <v>130</v>
      </c>
      <c r="E1636" s="80" t="s">
        <v>127</v>
      </c>
      <c r="F1636" s="170">
        <v>100</v>
      </c>
    </row>
    <row r="1637" spans="1:6" hidden="1" x14ac:dyDescent="0.25">
      <c r="A1637" s="169">
        <v>43692</v>
      </c>
      <c r="B1637" s="80" t="s">
        <v>2324</v>
      </c>
      <c r="C1637" s="80" t="s">
        <v>152</v>
      </c>
      <c r="D1637" s="80" t="s">
        <v>130</v>
      </c>
      <c r="E1637" s="80" t="s">
        <v>121</v>
      </c>
      <c r="F1637" s="170">
        <v>100</v>
      </c>
    </row>
    <row r="1638" spans="1:6" hidden="1" x14ac:dyDescent="0.25">
      <c r="A1638" s="169">
        <v>43693</v>
      </c>
      <c r="B1638" s="80" t="s">
        <v>2343</v>
      </c>
      <c r="C1638" s="80" t="s">
        <v>182</v>
      </c>
      <c r="D1638" s="80" t="s">
        <v>130</v>
      </c>
      <c r="E1638" s="80" t="s">
        <v>131</v>
      </c>
      <c r="F1638" s="170">
        <v>100</v>
      </c>
    </row>
    <row r="1639" spans="1:6" hidden="1" x14ac:dyDescent="0.25">
      <c r="A1639" s="169">
        <v>43694</v>
      </c>
      <c r="B1639" s="80" t="s">
        <v>2351</v>
      </c>
      <c r="C1639" s="80" t="s">
        <v>182</v>
      </c>
      <c r="D1639" s="80" t="s">
        <v>130</v>
      </c>
      <c r="E1639" s="80" t="s">
        <v>121</v>
      </c>
      <c r="F1639" s="170">
        <v>100</v>
      </c>
    </row>
    <row r="1640" spans="1:6" hidden="1" x14ac:dyDescent="0.25">
      <c r="A1640" s="169">
        <v>43694</v>
      </c>
      <c r="B1640" s="80" t="s">
        <v>2357</v>
      </c>
      <c r="C1640" s="80" t="s">
        <v>125</v>
      </c>
      <c r="D1640" s="80" t="s">
        <v>130</v>
      </c>
      <c r="E1640" s="80" t="s">
        <v>131</v>
      </c>
      <c r="F1640" s="170">
        <v>100</v>
      </c>
    </row>
    <row r="1641" spans="1:6" hidden="1" x14ac:dyDescent="0.25">
      <c r="A1641" s="169">
        <v>43694</v>
      </c>
      <c r="B1641" s="80" t="s">
        <v>2361</v>
      </c>
      <c r="C1641" s="80" t="s">
        <v>164</v>
      </c>
      <c r="D1641" s="80" t="s">
        <v>130</v>
      </c>
      <c r="E1641" s="80" t="s">
        <v>134</v>
      </c>
      <c r="F1641" s="170">
        <v>100</v>
      </c>
    </row>
    <row r="1642" spans="1:6" hidden="1" x14ac:dyDescent="0.25">
      <c r="A1642" s="169">
        <v>43695</v>
      </c>
      <c r="B1642" s="80" t="s">
        <v>2369</v>
      </c>
      <c r="C1642" s="80" t="s">
        <v>136</v>
      </c>
      <c r="D1642" s="80" t="s">
        <v>130</v>
      </c>
      <c r="E1642" s="80" t="s">
        <v>153</v>
      </c>
      <c r="F1642" s="170">
        <v>100</v>
      </c>
    </row>
    <row r="1643" spans="1:6" hidden="1" x14ac:dyDescent="0.25">
      <c r="A1643" s="169">
        <v>43696</v>
      </c>
      <c r="B1643" s="80" t="s">
        <v>2377</v>
      </c>
      <c r="C1643" s="80" t="s">
        <v>136</v>
      </c>
      <c r="D1643" s="80" t="s">
        <v>130</v>
      </c>
      <c r="E1643" s="80" t="s">
        <v>127</v>
      </c>
      <c r="F1643" s="170">
        <v>100</v>
      </c>
    </row>
    <row r="1644" spans="1:6" hidden="1" x14ac:dyDescent="0.25">
      <c r="A1644" s="169">
        <v>43697</v>
      </c>
      <c r="B1644" s="80" t="s">
        <v>2381</v>
      </c>
      <c r="C1644" s="80" t="s">
        <v>223</v>
      </c>
      <c r="D1644" s="80" t="s">
        <v>130</v>
      </c>
      <c r="E1644" s="80" t="s">
        <v>134</v>
      </c>
      <c r="F1644" s="170">
        <v>100</v>
      </c>
    </row>
    <row r="1645" spans="1:6" hidden="1" x14ac:dyDescent="0.25">
      <c r="A1645" s="169">
        <v>43697</v>
      </c>
      <c r="B1645" s="80" t="s">
        <v>2387</v>
      </c>
      <c r="C1645" s="80" t="s">
        <v>187</v>
      </c>
      <c r="D1645" s="80" t="s">
        <v>130</v>
      </c>
      <c r="E1645" s="80" t="s">
        <v>131</v>
      </c>
      <c r="F1645" s="170">
        <v>100</v>
      </c>
    </row>
    <row r="1646" spans="1:6" hidden="1" x14ac:dyDescent="0.25">
      <c r="A1646" s="169">
        <v>43697</v>
      </c>
      <c r="B1646" s="80" t="s">
        <v>2388</v>
      </c>
      <c r="C1646" s="80" t="s">
        <v>157</v>
      </c>
      <c r="D1646" s="80" t="s">
        <v>130</v>
      </c>
      <c r="E1646" s="80" t="s">
        <v>134</v>
      </c>
      <c r="F1646" s="170">
        <v>100</v>
      </c>
    </row>
    <row r="1647" spans="1:6" hidden="1" x14ac:dyDescent="0.25">
      <c r="A1647" s="169">
        <v>43699</v>
      </c>
      <c r="B1647" s="80" t="s">
        <v>2398</v>
      </c>
      <c r="C1647" s="80" t="s">
        <v>187</v>
      </c>
      <c r="D1647" s="80" t="s">
        <v>130</v>
      </c>
      <c r="E1647" s="80" t="s">
        <v>127</v>
      </c>
      <c r="F1647" s="170">
        <v>100</v>
      </c>
    </row>
    <row r="1648" spans="1:6" hidden="1" x14ac:dyDescent="0.25">
      <c r="A1648" s="169">
        <v>43700</v>
      </c>
      <c r="B1648" s="80" t="s">
        <v>2403</v>
      </c>
      <c r="C1648" s="80" t="s">
        <v>129</v>
      </c>
      <c r="D1648" s="80" t="s">
        <v>130</v>
      </c>
      <c r="E1648" s="80" t="s">
        <v>153</v>
      </c>
      <c r="F1648" s="170">
        <v>100</v>
      </c>
    </row>
    <row r="1649" spans="1:6" hidden="1" x14ac:dyDescent="0.25">
      <c r="A1649" s="169">
        <v>43701</v>
      </c>
      <c r="B1649" s="80" t="s">
        <v>2408</v>
      </c>
      <c r="C1649" s="80" t="s">
        <v>136</v>
      </c>
      <c r="D1649" s="80" t="s">
        <v>130</v>
      </c>
      <c r="E1649" s="80" t="s">
        <v>134</v>
      </c>
      <c r="F1649" s="170">
        <v>100</v>
      </c>
    </row>
    <row r="1650" spans="1:6" hidden="1" x14ac:dyDescent="0.25">
      <c r="A1650" s="169">
        <v>43705</v>
      </c>
      <c r="B1650" s="80" t="s">
        <v>2454</v>
      </c>
      <c r="C1650" s="80" t="s">
        <v>119</v>
      </c>
      <c r="D1650" s="80" t="s">
        <v>130</v>
      </c>
      <c r="E1650" s="80" t="s">
        <v>127</v>
      </c>
      <c r="F1650" s="170">
        <v>100</v>
      </c>
    </row>
    <row r="1651" spans="1:6" hidden="1" x14ac:dyDescent="0.25">
      <c r="A1651" s="169">
        <v>43707</v>
      </c>
      <c r="B1651" s="80" t="s">
        <v>2475</v>
      </c>
      <c r="C1651" s="80" t="s">
        <v>129</v>
      </c>
      <c r="D1651" s="80" t="s">
        <v>130</v>
      </c>
      <c r="E1651" s="80" t="s">
        <v>131</v>
      </c>
      <c r="F1651" s="170">
        <v>100</v>
      </c>
    </row>
    <row r="1652" spans="1:6" hidden="1" x14ac:dyDescent="0.25">
      <c r="A1652" s="169">
        <v>43707</v>
      </c>
      <c r="B1652" s="80" t="s">
        <v>2479</v>
      </c>
      <c r="C1652" s="80" t="s">
        <v>138</v>
      </c>
      <c r="D1652" s="80" t="s">
        <v>130</v>
      </c>
      <c r="E1652" s="80" t="s">
        <v>153</v>
      </c>
      <c r="F1652" s="170">
        <v>100</v>
      </c>
    </row>
    <row r="1653" spans="1:6" hidden="1" x14ac:dyDescent="0.25">
      <c r="A1653" s="169">
        <v>43708</v>
      </c>
      <c r="B1653" s="80" t="s">
        <v>2487</v>
      </c>
      <c r="C1653" s="80" t="s">
        <v>138</v>
      </c>
      <c r="D1653" s="80" t="s">
        <v>130</v>
      </c>
      <c r="E1653" s="80" t="s">
        <v>153</v>
      </c>
      <c r="F1653" s="170">
        <v>100</v>
      </c>
    </row>
    <row r="1654" spans="1:6" hidden="1" x14ac:dyDescent="0.25">
      <c r="A1654" s="169">
        <v>43709</v>
      </c>
      <c r="B1654" s="80" t="s">
        <v>2495</v>
      </c>
      <c r="C1654" s="80" t="s">
        <v>152</v>
      </c>
      <c r="D1654" s="80" t="s">
        <v>130</v>
      </c>
      <c r="E1654" s="80" t="s">
        <v>153</v>
      </c>
      <c r="F1654" s="170">
        <v>100</v>
      </c>
    </row>
    <row r="1655" spans="1:6" hidden="1" x14ac:dyDescent="0.25">
      <c r="A1655" s="169">
        <v>43709</v>
      </c>
      <c r="B1655" s="80" t="s">
        <v>2500</v>
      </c>
      <c r="C1655" s="80" t="s">
        <v>145</v>
      </c>
      <c r="D1655" s="80" t="s">
        <v>130</v>
      </c>
      <c r="E1655" s="80" t="s">
        <v>131</v>
      </c>
      <c r="F1655" s="170">
        <v>100</v>
      </c>
    </row>
    <row r="1656" spans="1:6" hidden="1" x14ac:dyDescent="0.25">
      <c r="A1656" s="169">
        <v>43710</v>
      </c>
      <c r="B1656" s="80" t="s">
        <v>2504</v>
      </c>
      <c r="C1656" s="80" t="s">
        <v>152</v>
      </c>
      <c r="D1656" s="80" t="s">
        <v>130</v>
      </c>
      <c r="E1656" s="80" t="s">
        <v>121</v>
      </c>
      <c r="F1656" s="170">
        <v>100</v>
      </c>
    </row>
    <row r="1657" spans="1:6" hidden="1" x14ac:dyDescent="0.25">
      <c r="A1657" s="169">
        <v>43710</v>
      </c>
      <c r="B1657" s="80" t="s">
        <v>2508</v>
      </c>
      <c r="C1657" s="80" t="s">
        <v>187</v>
      </c>
      <c r="D1657" s="80" t="s">
        <v>130</v>
      </c>
      <c r="E1657" s="80" t="s">
        <v>153</v>
      </c>
      <c r="F1657" s="170">
        <v>100</v>
      </c>
    </row>
    <row r="1658" spans="1:6" hidden="1" x14ac:dyDescent="0.25">
      <c r="A1658" s="169">
        <v>43711</v>
      </c>
      <c r="B1658" s="80" t="s">
        <v>2514</v>
      </c>
      <c r="C1658" s="80" t="s">
        <v>152</v>
      </c>
      <c r="D1658" s="80" t="s">
        <v>130</v>
      </c>
      <c r="E1658" s="80" t="s">
        <v>131</v>
      </c>
      <c r="F1658" s="170">
        <v>100</v>
      </c>
    </row>
    <row r="1659" spans="1:6" hidden="1" x14ac:dyDescent="0.25">
      <c r="A1659" s="169">
        <v>43711</v>
      </c>
      <c r="B1659" s="80" t="s">
        <v>2515</v>
      </c>
      <c r="C1659" s="80" t="s">
        <v>143</v>
      </c>
      <c r="D1659" s="80" t="s">
        <v>130</v>
      </c>
      <c r="E1659" s="80" t="s">
        <v>131</v>
      </c>
      <c r="F1659" s="170">
        <v>100</v>
      </c>
    </row>
    <row r="1660" spans="1:6" hidden="1" x14ac:dyDescent="0.25">
      <c r="A1660" s="169">
        <v>43714</v>
      </c>
      <c r="B1660" s="80" t="s">
        <v>2535</v>
      </c>
      <c r="C1660" s="80" t="s">
        <v>123</v>
      </c>
      <c r="D1660" s="80" t="s">
        <v>130</v>
      </c>
      <c r="E1660" s="80" t="s">
        <v>153</v>
      </c>
      <c r="F1660" s="170">
        <v>100</v>
      </c>
    </row>
    <row r="1661" spans="1:6" hidden="1" x14ac:dyDescent="0.25">
      <c r="A1661" s="169">
        <v>43716</v>
      </c>
      <c r="B1661" s="80" t="s">
        <v>2552</v>
      </c>
      <c r="C1661" s="80" t="s">
        <v>138</v>
      </c>
      <c r="D1661" s="80" t="s">
        <v>130</v>
      </c>
      <c r="E1661" s="80" t="s">
        <v>121</v>
      </c>
      <c r="F1661" s="170">
        <v>100</v>
      </c>
    </row>
    <row r="1662" spans="1:6" hidden="1" x14ac:dyDescent="0.25">
      <c r="A1662" s="169">
        <v>43716</v>
      </c>
      <c r="B1662" s="80" t="s">
        <v>2554</v>
      </c>
      <c r="C1662" s="80" t="s">
        <v>145</v>
      </c>
      <c r="D1662" s="80" t="s">
        <v>130</v>
      </c>
      <c r="E1662" s="80" t="s">
        <v>131</v>
      </c>
      <c r="F1662" s="170">
        <v>100</v>
      </c>
    </row>
    <row r="1663" spans="1:6" hidden="1" x14ac:dyDescent="0.25">
      <c r="A1663" s="169">
        <v>43717</v>
      </c>
      <c r="B1663" s="80" t="s">
        <v>2565</v>
      </c>
      <c r="C1663" s="80" t="s">
        <v>182</v>
      </c>
      <c r="D1663" s="80" t="s">
        <v>130</v>
      </c>
      <c r="E1663" s="80" t="s">
        <v>153</v>
      </c>
      <c r="F1663" s="170">
        <v>100</v>
      </c>
    </row>
    <row r="1664" spans="1:6" hidden="1" x14ac:dyDescent="0.25">
      <c r="A1664" s="169">
        <v>43718</v>
      </c>
      <c r="B1664" s="80" t="s">
        <v>2572</v>
      </c>
      <c r="C1664" s="80" t="s">
        <v>187</v>
      </c>
      <c r="D1664" s="80" t="s">
        <v>130</v>
      </c>
      <c r="E1664" s="80" t="s">
        <v>134</v>
      </c>
      <c r="F1664" s="170">
        <v>100</v>
      </c>
    </row>
    <row r="1665" spans="1:6" hidden="1" x14ac:dyDescent="0.25">
      <c r="A1665" s="169">
        <v>43718</v>
      </c>
      <c r="B1665" s="80" t="s">
        <v>2575</v>
      </c>
      <c r="C1665" s="80" t="s">
        <v>157</v>
      </c>
      <c r="D1665" s="80" t="s">
        <v>130</v>
      </c>
      <c r="E1665" s="80" t="s">
        <v>153</v>
      </c>
      <c r="F1665" s="170">
        <v>100</v>
      </c>
    </row>
    <row r="1666" spans="1:6" hidden="1" x14ac:dyDescent="0.25">
      <c r="A1666" s="169">
        <v>43718</v>
      </c>
      <c r="B1666" s="80" t="s">
        <v>2576</v>
      </c>
      <c r="C1666" s="80" t="s">
        <v>223</v>
      </c>
      <c r="D1666" s="80" t="s">
        <v>130</v>
      </c>
      <c r="E1666" s="80" t="s">
        <v>131</v>
      </c>
      <c r="F1666" s="170">
        <v>100</v>
      </c>
    </row>
    <row r="1667" spans="1:6" hidden="1" x14ac:dyDescent="0.25">
      <c r="A1667" s="169">
        <v>43719</v>
      </c>
      <c r="B1667" s="80" t="s">
        <v>2582</v>
      </c>
      <c r="C1667" s="80" t="s">
        <v>119</v>
      </c>
      <c r="D1667" s="80" t="s">
        <v>130</v>
      </c>
      <c r="E1667" s="80" t="s">
        <v>153</v>
      </c>
      <c r="F1667" s="170">
        <v>100</v>
      </c>
    </row>
    <row r="1668" spans="1:6" hidden="1" x14ac:dyDescent="0.25">
      <c r="A1668" s="169">
        <v>43721</v>
      </c>
      <c r="B1668" s="80" t="s">
        <v>2601</v>
      </c>
      <c r="C1668" s="80" t="s">
        <v>125</v>
      </c>
      <c r="D1668" s="80" t="s">
        <v>130</v>
      </c>
      <c r="E1668" s="80" t="s">
        <v>127</v>
      </c>
      <c r="F1668" s="170">
        <v>100</v>
      </c>
    </row>
    <row r="1669" spans="1:6" hidden="1" x14ac:dyDescent="0.25">
      <c r="A1669" s="169">
        <v>43722</v>
      </c>
      <c r="B1669" s="80" t="s">
        <v>2603</v>
      </c>
      <c r="C1669" s="80" t="s">
        <v>145</v>
      </c>
      <c r="D1669" s="80" t="s">
        <v>130</v>
      </c>
      <c r="E1669" s="80" t="s">
        <v>127</v>
      </c>
      <c r="F1669" s="170">
        <v>100</v>
      </c>
    </row>
    <row r="1670" spans="1:6" hidden="1" x14ac:dyDescent="0.25">
      <c r="A1670" s="169">
        <v>43726</v>
      </c>
      <c r="B1670" s="80" t="s">
        <v>2635</v>
      </c>
      <c r="C1670" s="80" t="s">
        <v>157</v>
      </c>
      <c r="D1670" s="80" t="s">
        <v>130</v>
      </c>
      <c r="E1670" s="80" t="s">
        <v>131</v>
      </c>
      <c r="F1670" s="170">
        <v>100</v>
      </c>
    </row>
    <row r="1671" spans="1:6" hidden="1" x14ac:dyDescent="0.25">
      <c r="A1671" s="169">
        <v>43726</v>
      </c>
      <c r="B1671" s="80" t="s">
        <v>2643</v>
      </c>
      <c r="C1671" s="80" t="s">
        <v>182</v>
      </c>
      <c r="D1671" s="80" t="s">
        <v>130</v>
      </c>
      <c r="E1671" s="80" t="s">
        <v>131</v>
      </c>
      <c r="F1671" s="170">
        <v>100</v>
      </c>
    </row>
    <row r="1672" spans="1:6" hidden="1" x14ac:dyDescent="0.25">
      <c r="A1672" s="169">
        <v>43727</v>
      </c>
      <c r="B1672" s="80" t="s">
        <v>2644</v>
      </c>
      <c r="C1672" s="80" t="s">
        <v>123</v>
      </c>
      <c r="D1672" s="80" t="s">
        <v>130</v>
      </c>
      <c r="E1672" s="80" t="s">
        <v>121</v>
      </c>
      <c r="F1672" s="170">
        <v>100</v>
      </c>
    </row>
    <row r="1673" spans="1:6" hidden="1" x14ac:dyDescent="0.25">
      <c r="A1673" s="169">
        <v>43727</v>
      </c>
      <c r="B1673" s="80" t="s">
        <v>2650</v>
      </c>
      <c r="C1673" s="80" t="s">
        <v>167</v>
      </c>
      <c r="D1673" s="80" t="s">
        <v>130</v>
      </c>
      <c r="E1673" s="80" t="s">
        <v>131</v>
      </c>
      <c r="F1673" s="170">
        <v>100</v>
      </c>
    </row>
    <row r="1674" spans="1:6" hidden="1" x14ac:dyDescent="0.25">
      <c r="A1674" s="169">
        <v>43729</v>
      </c>
      <c r="B1674" s="80" t="s">
        <v>2665</v>
      </c>
      <c r="C1674" s="80" t="s">
        <v>119</v>
      </c>
      <c r="D1674" s="80" t="s">
        <v>130</v>
      </c>
      <c r="E1674" s="80" t="s">
        <v>127</v>
      </c>
      <c r="F1674" s="170">
        <v>100</v>
      </c>
    </row>
    <row r="1675" spans="1:6" hidden="1" x14ac:dyDescent="0.25">
      <c r="A1675" s="169">
        <v>43730</v>
      </c>
      <c r="B1675" s="80" t="s">
        <v>2675</v>
      </c>
      <c r="C1675" s="80" t="s">
        <v>129</v>
      </c>
      <c r="D1675" s="80" t="s">
        <v>130</v>
      </c>
      <c r="E1675" s="80" t="s">
        <v>153</v>
      </c>
      <c r="F1675" s="170">
        <v>100</v>
      </c>
    </row>
    <row r="1676" spans="1:6" hidden="1" x14ac:dyDescent="0.25">
      <c r="A1676" s="169">
        <v>43731</v>
      </c>
      <c r="B1676" s="80" t="s">
        <v>2689</v>
      </c>
      <c r="C1676" s="80" t="s">
        <v>129</v>
      </c>
      <c r="D1676" s="80" t="s">
        <v>130</v>
      </c>
      <c r="E1676" s="80" t="s">
        <v>134</v>
      </c>
      <c r="F1676" s="170">
        <v>100</v>
      </c>
    </row>
    <row r="1677" spans="1:6" hidden="1" x14ac:dyDescent="0.25">
      <c r="A1677" s="169">
        <v>43732</v>
      </c>
      <c r="B1677" s="80" t="s">
        <v>2701</v>
      </c>
      <c r="C1677" s="80" t="s">
        <v>145</v>
      </c>
      <c r="D1677" s="80" t="s">
        <v>130</v>
      </c>
      <c r="E1677" s="80" t="s">
        <v>121</v>
      </c>
      <c r="F1677" s="170">
        <v>100</v>
      </c>
    </row>
    <row r="1678" spans="1:6" hidden="1" x14ac:dyDescent="0.25">
      <c r="A1678" s="169">
        <v>43732</v>
      </c>
      <c r="B1678" s="80" t="s">
        <v>2706</v>
      </c>
      <c r="C1678" s="80" t="s">
        <v>138</v>
      </c>
      <c r="D1678" s="80" t="s">
        <v>130</v>
      </c>
      <c r="E1678" s="80" t="s">
        <v>153</v>
      </c>
      <c r="F1678" s="170">
        <v>100</v>
      </c>
    </row>
    <row r="1679" spans="1:6" hidden="1" x14ac:dyDescent="0.25">
      <c r="A1679" s="169">
        <v>43735</v>
      </c>
      <c r="B1679" s="80" t="s">
        <v>2728</v>
      </c>
      <c r="C1679" s="80" t="s">
        <v>129</v>
      </c>
      <c r="D1679" s="80" t="s">
        <v>130</v>
      </c>
      <c r="E1679" s="80" t="s">
        <v>134</v>
      </c>
      <c r="F1679" s="170">
        <v>100</v>
      </c>
    </row>
    <row r="1680" spans="1:6" hidden="1" x14ac:dyDescent="0.25">
      <c r="A1680" s="169">
        <v>43735</v>
      </c>
      <c r="B1680" s="80" t="s">
        <v>2729</v>
      </c>
      <c r="C1680" s="80" t="s">
        <v>136</v>
      </c>
      <c r="D1680" s="80" t="s">
        <v>130</v>
      </c>
      <c r="E1680" s="80" t="s">
        <v>134</v>
      </c>
      <c r="F1680" s="170">
        <v>100</v>
      </c>
    </row>
    <row r="1681" spans="1:6" hidden="1" x14ac:dyDescent="0.25">
      <c r="A1681" s="169">
        <v>43735</v>
      </c>
      <c r="B1681" s="80" t="s">
        <v>2730</v>
      </c>
      <c r="C1681" s="80" t="s">
        <v>223</v>
      </c>
      <c r="D1681" s="80" t="s">
        <v>130</v>
      </c>
      <c r="E1681" s="80" t="s">
        <v>153</v>
      </c>
      <c r="F1681" s="170">
        <v>100</v>
      </c>
    </row>
    <row r="1682" spans="1:6" hidden="1" x14ac:dyDescent="0.25">
      <c r="A1682" s="169">
        <v>43735</v>
      </c>
      <c r="B1682" s="80" t="s">
        <v>2731</v>
      </c>
      <c r="C1682" s="80" t="s">
        <v>119</v>
      </c>
      <c r="D1682" s="80" t="s">
        <v>130</v>
      </c>
      <c r="E1682" s="80" t="s">
        <v>153</v>
      </c>
      <c r="F1682" s="170">
        <v>100</v>
      </c>
    </row>
    <row r="1683" spans="1:6" hidden="1" x14ac:dyDescent="0.25">
      <c r="A1683" s="169">
        <v>43735</v>
      </c>
      <c r="B1683" s="80" t="s">
        <v>2739</v>
      </c>
      <c r="C1683" s="80" t="s">
        <v>136</v>
      </c>
      <c r="D1683" s="80" t="s">
        <v>130</v>
      </c>
      <c r="E1683" s="80" t="s">
        <v>127</v>
      </c>
      <c r="F1683" s="170">
        <v>100</v>
      </c>
    </row>
    <row r="1684" spans="1:6" hidden="1" x14ac:dyDescent="0.25">
      <c r="A1684" s="169">
        <v>43739</v>
      </c>
      <c r="B1684" s="80" t="s">
        <v>2761</v>
      </c>
      <c r="C1684" s="80" t="s">
        <v>182</v>
      </c>
      <c r="D1684" s="80" t="s">
        <v>130</v>
      </c>
      <c r="E1684" s="80" t="s">
        <v>127</v>
      </c>
      <c r="F1684" s="170">
        <v>100</v>
      </c>
    </row>
    <row r="1685" spans="1:6" hidden="1" x14ac:dyDescent="0.25">
      <c r="A1685" s="169">
        <v>43739</v>
      </c>
      <c r="B1685" s="80" t="s">
        <v>2762</v>
      </c>
      <c r="C1685" s="80" t="s">
        <v>157</v>
      </c>
      <c r="D1685" s="80" t="s">
        <v>130</v>
      </c>
      <c r="E1685" s="80" t="s">
        <v>121</v>
      </c>
      <c r="F1685" s="170">
        <v>100</v>
      </c>
    </row>
    <row r="1686" spans="1:6" hidden="1" x14ac:dyDescent="0.25">
      <c r="A1686" s="169">
        <v>43740</v>
      </c>
      <c r="B1686" s="80" t="s">
        <v>2765</v>
      </c>
      <c r="C1686" s="80" t="s">
        <v>123</v>
      </c>
      <c r="D1686" s="80" t="s">
        <v>130</v>
      </c>
      <c r="E1686" s="80" t="s">
        <v>134</v>
      </c>
      <c r="F1686" s="170">
        <v>100</v>
      </c>
    </row>
    <row r="1687" spans="1:6" hidden="1" x14ac:dyDescent="0.25">
      <c r="A1687" s="169">
        <v>43740</v>
      </c>
      <c r="B1687" s="80" t="s">
        <v>2768</v>
      </c>
      <c r="C1687" s="80" t="s">
        <v>136</v>
      </c>
      <c r="D1687" s="80" t="s">
        <v>130</v>
      </c>
      <c r="E1687" s="80" t="s">
        <v>127</v>
      </c>
      <c r="F1687" s="170">
        <v>100</v>
      </c>
    </row>
    <row r="1688" spans="1:6" hidden="1" x14ac:dyDescent="0.25">
      <c r="A1688" s="169">
        <v>43742</v>
      </c>
      <c r="B1688" s="80" t="s">
        <v>2781</v>
      </c>
      <c r="C1688" s="80" t="s">
        <v>164</v>
      </c>
      <c r="D1688" s="80" t="s">
        <v>130</v>
      </c>
      <c r="E1688" s="80" t="s">
        <v>153</v>
      </c>
      <c r="F1688" s="170">
        <v>100</v>
      </c>
    </row>
    <row r="1689" spans="1:6" hidden="1" x14ac:dyDescent="0.25">
      <c r="A1689" s="169">
        <v>43742</v>
      </c>
      <c r="B1689" s="80" t="s">
        <v>2783</v>
      </c>
      <c r="C1689" s="80" t="s">
        <v>148</v>
      </c>
      <c r="D1689" s="80" t="s">
        <v>130</v>
      </c>
      <c r="E1689" s="80" t="s">
        <v>153</v>
      </c>
      <c r="F1689" s="170">
        <v>100</v>
      </c>
    </row>
    <row r="1690" spans="1:6" hidden="1" x14ac:dyDescent="0.25">
      <c r="A1690" s="169">
        <v>43743</v>
      </c>
      <c r="B1690" s="80" t="s">
        <v>2787</v>
      </c>
      <c r="C1690" s="80" t="s">
        <v>145</v>
      </c>
      <c r="D1690" s="80" t="s">
        <v>130</v>
      </c>
      <c r="E1690" s="80" t="s">
        <v>131</v>
      </c>
      <c r="F1690" s="170">
        <v>100</v>
      </c>
    </row>
    <row r="1691" spans="1:6" hidden="1" x14ac:dyDescent="0.25">
      <c r="A1691" s="169">
        <v>43743</v>
      </c>
      <c r="B1691" s="80" t="s">
        <v>2790</v>
      </c>
      <c r="C1691" s="80" t="s">
        <v>164</v>
      </c>
      <c r="D1691" s="80" t="s">
        <v>130</v>
      </c>
      <c r="E1691" s="80" t="s">
        <v>131</v>
      </c>
      <c r="F1691" s="170">
        <v>100</v>
      </c>
    </row>
    <row r="1692" spans="1:6" hidden="1" x14ac:dyDescent="0.25">
      <c r="A1692" s="169">
        <v>43746</v>
      </c>
      <c r="B1692" s="80" t="s">
        <v>2808</v>
      </c>
      <c r="C1692" s="80" t="s">
        <v>143</v>
      </c>
      <c r="D1692" s="80" t="s">
        <v>130</v>
      </c>
      <c r="E1692" s="80" t="s">
        <v>127</v>
      </c>
      <c r="F1692" s="170">
        <v>100</v>
      </c>
    </row>
    <row r="1693" spans="1:6" hidden="1" x14ac:dyDescent="0.25">
      <c r="A1693" s="169">
        <v>43746</v>
      </c>
      <c r="B1693" s="80" t="s">
        <v>2812</v>
      </c>
      <c r="C1693" s="80" t="s">
        <v>187</v>
      </c>
      <c r="D1693" s="80" t="s">
        <v>130</v>
      </c>
      <c r="E1693" s="80" t="s">
        <v>134</v>
      </c>
      <c r="F1693" s="170">
        <v>100</v>
      </c>
    </row>
    <row r="1694" spans="1:6" hidden="1" x14ac:dyDescent="0.25">
      <c r="A1694" s="169">
        <v>43751</v>
      </c>
      <c r="B1694" s="80" t="s">
        <v>2870</v>
      </c>
      <c r="C1694" s="80" t="s">
        <v>129</v>
      </c>
      <c r="D1694" s="80" t="s">
        <v>130</v>
      </c>
      <c r="E1694" s="80" t="s">
        <v>127</v>
      </c>
      <c r="F1694" s="170">
        <v>100</v>
      </c>
    </row>
    <row r="1695" spans="1:6" hidden="1" x14ac:dyDescent="0.25">
      <c r="A1695" s="169">
        <v>43754</v>
      </c>
      <c r="B1695" s="80" t="s">
        <v>2896</v>
      </c>
      <c r="C1695" s="80" t="s">
        <v>148</v>
      </c>
      <c r="D1695" s="80" t="s">
        <v>130</v>
      </c>
      <c r="E1695" s="80" t="s">
        <v>121</v>
      </c>
      <c r="F1695" s="170">
        <v>100</v>
      </c>
    </row>
    <row r="1696" spans="1:6" hidden="1" x14ac:dyDescent="0.25">
      <c r="A1696" s="169">
        <v>43756</v>
      </c>
      <c r="B1696" s="80" t="s">
        <v>2911</v>
      </c>
      <c r="C1696" s="80" t="s">
        <v>148</v>
      </c>
      <c r="D1696" s="80" t="s">
        <v>130</v>
      </c>
      <c r="E1696" s="80" t="s">
        <v>131</v>
      </c>
      <c r="F1696" s="170">
        <v>100</v>
      </c>
    </row>
    <row r="1697" spans="1:6" hidden="1" x14ac:dyDescent="0.25">
      <c r="A1697" s="169">
        <v>43756</v>
      </c>
      <c r="B1697" s="80" t="s">
        <v>2914</v>
      </c>
      <c r="C1697" s="80" t="s">
        <v>136</v>
      </c>
      <c r="D1697" s="80" t="s">
        <v>130</v>
      </c>
      <c r="E1697" s="80" t="s">
        <v>134</v>
      </c>
      <c r="F1697" s="170">
        <v>100</v>
      </c>
    </row>
    <row r="1698" spans="1:6" hidden="1" x14ac:dyDescent="0.25">
      <c r="A1698" s="169">
        <v>43756</v>
      </c>
      <c r="B1698" s="80" t="s">
        <v>2918</v>
      </c>
      <c r="C1698" s="80" t="s">
        <v>152</v>
      </c>
      <c r="D1698" s="80" t="s">
        <v>130</v>
      </c>
      <c r="E1698" s="80" t="s">
        <v>121</v>
      </c>
      <c r="F1698" s="170">
        <v>100</v>
      </c>
    </row>
    <row r="1699" spans="1:6" hidden="1" x14ac:dyDescent="0.25">
      <c r="A1699" s="169">
        <v>43756</v>
      </c>
      <c r="B1699" s="80" t="s">
        <v>2920</v>
      </c>
      <c r="C1699" s="80" t="s">
        <v>223</v>
      </c>
      <c r="D1699" s="80" t="s">
        <v>130</v>
      </c>
      <c r="E1699" s="80" t="s">
        <v>134</v>
      </c>
      <c r="F1699" s="170">
        <v>100</v>
      </c>
    </row>
    <row r="1700" spans="1:6" hidden="1" x14ac:dyDescent="0.25">
      <c r="A1700" s="169">
        <v>43757</v>
      </c>
      <c r="B1700" s="80" t="s">
        <v>2929</v>
      </c>
      <c r="C1700" s="80" t="s">
        <v>157</v>
      </c>
      <c r="D1700" s="80" t="s">
        <v>130</v>
      </c>
      <c r="E1700" s="80" t="s">
        <v>134</v>
      </c>
      <c r="F1700" s="170">
        <v>100</v>
      </c>
    </row>
    <row r="1701" spans="1:6" hidden="1" x14ac:dyDescent="0.25">
      <c r="A1701" s="169">
        <v>43758</v>
      </c>
      <c r="B1701" s="80" t="s">
        <v>2930</v>
      </c>
      <c r="C1701" s="80" t="s">
        <v>157</v>
      </c>
      <c r="D1701" s="80" t="s">
        <v>130</v>
      </c>
      <c r="E1701" s="80" t="s">
        <v>134</v>
      </c>
      <c r="F1701" s="170">
        <v>100</v>
      </c>
    </row>
    <row r="1702" spans="1:6" hidden="1" x14ac:dyDescent="0.25">
      <c r="A1702" s="169">
        <v>43758</v>
      </c>
      <c r="B1702" s="80" t="s">
        <v>2932</v>
      </c>
      <c r="C1702" s="80" t="s">
        <v>223</v>
      </c>
      <c r="D1702" s="80" t="s">
        <v>130</v>
      </c>
      <c r="E1702" s="80" t="s">
        <v>127</v>
      </c>
      <c r="F1702" s="170">
        <v>100</v>
      </c>
    </row>
    <row r="1703" spans="1:6" hidden="1" x14ac:dyDescent="0.25">
      <c r="A1703" s="169">
        <v>43758</v>
      </c>
      <c r="B1703" s="80" t="s">
        <v>2936</v>
      </c>
      <c r="C1703" s="80" t="s">
        <v>164</v>
      </c>
      <c r="D1703" s="80" t="s">
        <v>130</v>
      </c>
      <c r="E1703" s="80" t="s">
        <v>121</v>
      </c>
      <c r="F1703" s="170">
        <v>100</v>
      </c>
    </row>
    <row r="1704" spans="1:6" hidden="1" x14ac:dyDescent="0.25">
      <c r="A1704" s="169">
        <v>43759</v>
      </c>
      <c r="B1704" s="80" t="s">
        <v>2941</v>
      </c>
      <c r="C1704" s="80" t="s">
        <v>187</v>
      </c>
      <c r="D1704" s="80" t="s">
        <v>130</v>
      </c>
      <c r="E1704" s="80" t="s">
        <v>153</v>
      </c>
      <c r="F1704" s="170">
        <v>100</v>
      </c>
    </row>
    <row r="1705" spans="1:6" hidden="1" x14ac:dyDescent="0.25">
      <c r="A1705" s="169">
        <v>43759</v>
      </c>
      <c r="B1705" s="80" t="s">
        <v>2942</v>
      </c>
      <c r="C1705" s="80" t="s">
        <v>152</v>
      </c>
      <c r="D1705" s="80" t="s">
        <v>130</v>
      </c>
      <c r="E1705" s="80" t="s">
        <v>121</v>
      </c>
      <c r="F1705" s="170">
        <v>100</v>
      </c>
    </row>
    <row r="1706" spans="1:6" hidden="1" x14ac:dyDescent="0.25">
      <c r="A1706" s="169">
        <v>43759</v>
      </c>
      <c r="B1706" s="80" t="s">
        <v>2949</v>
      </c>
      <c r="C1706" s="80" t="s">
        <v>189</v>
      </c>
      <c r="D1706" s="80" t="s">
        <v>130</v>
      </c>
      <c r="E1706" s="80" t="s">
        <v>131</v>
      </c>
      <c r="F1706" s="170">
        <v>100</v>
      </c>
    </row>
    <row r="1707" spans="1:6" hidden="1" x14ac:dyDescent="0.25">
      <c r="A1707" s="169">
        <v>43760</v>
      </c>
      <c r="B1707" s="80" t="s">
        <v>2957</v>
      </c>
      <c r="C1707" s="80" t="s">
        <v>152</v>
      </c>
      <c r="D1707" s="80" t="s">
        <v>130</v>
      </c>
      <c r="E1707" s="80" t="s">
        <v>121</v>
      </c>
      <c r="F1707" s="170">
        <v>100</v>
      </c>
    </row>
    <row r="1708" spans="1:6" hidden="1" x14ac:dyDescent="0.25">
      <c r="A1708" s="169">
        <v>43760</v>
      </c>
      <c r="B1708" s="80" t="s">
        <v>2960</v>
      </c>
      <c r="C1708" s="80" t="s">
        <v>152</v>
      </c>
      <c r="D1708" s="80" t="s">
        <v>130</v>
      </c>
      <c r="E1708" s="80" t="s">
        <v>131</v>
      </c>
      <c r="F1708" s="170">
        <v>100</v>
      </c>
    </row>
    <row r="1709" spans="1:6" hidden="1" x14ac:dyDescent="0.25">
      <c r="A1709" s="169">
        <v>43762</v>
      </c>
      <c r="B1709" s="80" t="s">
        <v>2968</v>
      </c>
      <c r="C1709" s="80" t="s">
        <v>143</v>
      </c>
      <c r="D1709" s="80" t="s">
        <v>130</v>
      </c>
      <c r="E1709" s="80" t="s">
        <v>131</v>
      </c>
      <c r="F1709" s="170">
        <v>100</v>
      </c>
    </row>
    <row r="1710" spans="1:6" hidden="1" x14ac:dyDescent="0.25">
      <c r="A1710" s="169">
        <v>43762</v>
      </c>
      <c r="B1710" s="80" t="s">
        <v>2972</v>
      </c>
      <c r="C1710" s="80" t="s">
        <v>119</v>
      </c>
      <c r="D1710" s="80" t="s">
        <v>130</v>
      </c>
      <c r="E1710" s="80" t="s">
        <v>127</v>
      </c>
      <c r="F1710" s="170">
        <v>100</v>
      </c>
    </row>
    <row r="1711" spans="1:6" hidden="1" x14ac:dyDescent="0.25">
      <c r="A1711" s="169">
        <v>43763</v>
      </c>
      <c r="B1711" s="80" t="s">
        <v>2982</v>
      </c>
      <c r="C1711" s="80" t="s">
        <v>138</v>
      </c>
      <c r="D1711" s="80" t="s">
        <v>130</v>
      </c>
      <c r="E1711" s="80" t="s">
        <v>121</v>
      </c>
      <c r="F1711" s="170">
        <v>100</v>
      </c>
    </row>
    <row r="1712" spans="1:6" hidden="1" x14ac:dyDescent="0.25">
      <c r="A1712" s="169">
        <v>43763</v>
      </c>
      <c r="B1712" s="80" t="s">
        <v>2983</v>
      </c>
      <c r="C1712" s="80" t="s">
        <v>187</v>
      </c>
      <c r="D1712" s="80" t="s">
        <v>130</v>
      </c>
      <c r="E1712" s="80" t="s">
        <v>127</v>
      </c>
      <c r="F1712" s="170">
        <v>100</v>
      </c>
    </row>
    <row r="1713" spans="1:6" hidden="1" x14ac:dyDescent="0.25">
      <c r="A1713" s="169">
        <v>43764</v>
      </c>
      <c r="B1713" s="80" t="s">
        <v>2992</v>
      </c>
      <c r="C1713" s="80" t="s">
        <v>189</v>
      </c>
      <c r="D1713" s="80" t="s">
        <v>130</v>
      </c>
      <c r="E1713" s="80" t="s">
        <v>153</v>
      </c>
      <c r="F1713" s="170">
        <v>100</v>
      </c>
    </row>
    <row r="1714" spans="1:6" hidden="1" x14ac:dyDescent="0.25">
      <c r="A1714" s="169">
        <v>43764</v>
      </c>
      <c r="B1714" s="80" t="s">
        <v>2994</v>
      </c>
      <c r="C1714" s="80" t="s">
        <v>167</v>
      </c>
      <c r="D1714" s="80" t="s">
        <v>130</v>
      </c>
      <c r="E1714" s="80" t="s">
        <v>134</v>
      </c>
      <c r="F1714" s="170">
        <v>100</v>
      </c>
    </row>
    <row r="1715" spans="1:6" hidden="1" x14ac:dyDescent="0.25">
      <c r="A1715" s="169">
        <v>43765</v>
      </c>
      <c r="B1715" s="80" t="s">
        <v>3002</v>
      </c>
      <c r="C1715" s="80" t="s">
        <v>187</v>
      </c>
      <c r="D1715" s="80" t="s">
        <v>130</v>
      </c>
      <c r="E1715" s="80" t="s">
        <v>134</v>
      </c>
      <c r="F1715" s="170">
        <v>100</v>
      </c>
    </row>
    <row r="1716" spans="1:6" hidden="1" x14ac:dyDescent="0.25">
      <c r="A1716" s="169">
        <v>43766</v>
      </c>
      <c r="B1716" s="80" t="s">
        <v>3011</v>
      </c>
      <c r="C1716" s="80" t="s">
        <v>223</v>
      </c>
      <c r="D1716" s="80" t="s">
        <v>130</v>
      </c>
      <c r="E1716" s="80" t="s">
        <v>121</v>
      </c>
      <c r="F1716" s="170">
        <v>100</v>
      </c>
    </row>
    <row r="1717" spans="1:6" hidden="1" x14ac:dyDescent="0.25">
      <c r="A1717" s="169">
        <v>43766</v>
      </c>
      <c r="B1717" s="80" t="s">
        <v>3024</v>
      </c>
      <c r="C1717" s="80" t="s">
        <v>157</v>
      </c>
      <c r="D1717" s="80" t="s">
        <v>130</v>
      </c>
      <c r="E1717" s="80" t="s">
        <v>134</v>
      </c>
      <c r="F1717" s="170">
        <v>100</v>
      </c>
    </row>
    <row r="1718" spans="1:6" hidden="1" x14ac:dyDescent="0.25">
      <c r="A1718" s="169">
        <v>43767</v>
      </c>
      <c r="B1718" s="80" t="s">
        <v>3035</v>
      </c>
      <c r="C1718" s="80" t="s">
        <v>164</v>
      </c>
      <c r="D1718" s="80" t="s">
        <v>130</v>
      </c>
      <c r="E1718" s="80" t="s">
        <v>153</v>
      </c>
      <c r="F1718" s="170">
        <v>100</v>
      </c>
    </row>
    <row r="1719" spans="1:6" hidden="1" x14ac:dyDescent="0.25">
      <c r="A1719" s="169">
        <v>43767</v>
      </c>
      <c r="B1719" s="80" t="s">
        <v>3037</v>
      </c>
      <c r="C1719" s="80" t="s">
        <v>157</v>
      </c>
      <c r="D1719" s="80" t="s">
        <v>130</v>
      </c>
      <c r="E1719" s="80" t="s">
        <v>153</v>
      </c>
      <c r="F1719" s="170">
        <v>100</v>
      </c>
    </row>
    <row r="1720" spans="1:6" hidden="1" x14ac:dyDescent="0.25">
      <c r="A1720" s="169">
        <v>43768</v>
      </c>
      <c r="B1720" s="80" t="s">
        <v>3041</v>
      </c>
      <c r="C1720" s="80" t="s">
        <v>123</v>
      </c>
      <c r="D1720" s="80" t="s">
        <v>130</v>
      </c>
      <c r="E1720" s="80" t="s">
        <v>121</v>
      </c>
      <c r="F1720" s="170">
        <v>100</v>
      </c>
    </row>
    <row r="1721" spans="1:6" hidden="1" x14ac:dyDescent="0.25">
      <c r="A1721" s="169">
        <v>43769</v>
      </c>
      <c r="B1721" s="80" t="s">
        <v>3049</v>
      </c>
      <c r="C1721" s="80" t="s">
        <v>189</v>
      </c>
      <c r="D1721" s="80" t="s">
        <v>130</v>
      </c>
      <c r="E1721" s="80" t="s">
        <v>131</v>
      </c>
      <c r="F1721" s="170">
        <v>100</v>
      </c>
    </row>
    <row r="1722" spans="1:6" hidden="1" x14ac:dyDescent="0.25">
      <c r="A1722" s="169">
        <v>43769</v>
      </c>
      <c r="B1722" s="80" t="s">
        <v>3051</v>
      </c>
      <c r="C1722" s="80" t="s">
        <v>189</v>
      </c>
      <c r="D1722" s="80" t="s">
        <v>130</v>
      </c>
      <c r="E1722" s="80" t="s">
        <v>121</v>
      </c>
      <c r="F1722" s="170">
        <v>100</v>
      </c>
    </row>
    <row r="1723" spans="1:6" hidden="1" x14ac:dyDescent="0.25">
      <c r="A1723" s="169">
        <v>43770</v>
      </c>
      <c r="B1723" s="80" t="s">
        <v>3060</v>
      </c>
      <c r="C1723" s="80" t="s">
        <v>136</v>
      </c>
      <c r="D1723" s="80" t="s">
        <v>130</v>
      </c>
      <c r="E1723" s="80" t="s">
        <v>121</v>
      </c>
      <c r="F1723" s="170">
        <v>100</v>
      </c>
    </row>
    <row r="1724" spans="1:6" hidden="1" x14ac:dyDescent="0.25">
      <c r="A1724" s="169">
        <v>43771</v>
      </c>
      <c r="B1724" s="80" t="s">
        <v>3064</v>
      </c>
      <c r="C1724" s="80" t="s">
        <v>152</v>
      </c>
      <c r="D1724" s="80" t="s">
        <v>130</v>
      </c>
      <c r="E1724" s="80" t="s">
        <v>153</v>
      </c>
      <c r="F1724" s="170">
        <v>100</v>
      </c>
    </row>
    <row r="1725" spans="1:6" hidden="1" x14ac:dyDescent="0.25">
      <c r="A1725" s="169">
        <v>43771</v>
      </c>
      <c r="B1725" s="80" t="s">
        <v>3066</v>
      </c>
      <c r="C1725" s="80" t="s">
        <v>143</v>
      </c>
      <c r="D1725" s="80" t="s">
        <v>130</v>
      </c>
      <c r="E1725" s="80" t="s">
        <v>131</v>
      </c>
      <c r="F1725" s="170">
        <v>100</v>
      </c>
    </row>
    <row r="1726" spans="1:6" hidden="1" x14ac:dyDescent="0.25">
      <c r="A1726" s="169">
        <v>43772</v>
      </c>
      <c r="B1726" s="80" t="s">
        <v>3072</v>
      </c>
      <c r="C1726" s="80" t="s">
        <v>182</v>
      </c>
      <c r="D1726" s="80" t="s">
        <v>130</v>
      </c>
      <c r="E1726" s="80" t="s">
        <v>153</v>
      </c>
      <c r="F1726" s="170">
        <v>100</v>
      </c>
    </row>
    <row r="1727" spans="1:6" hidden="1" x14ac:dyDescent="0.25">
      <c r="A1727" s="169">
        <v>43773</v>
      </c>
      <c r="B1727" s="80" t="s">
        <v>3090</v>
      </c>
      <c r="C1727" s="80" t="s">
        <v>148</v>
      </c>
      <c r="D1727" s="80" t="s">
        <v>130</v>
      </c>
      <c r="E1727" s="80" t="s">
        <v>131</v>
      </c>
      <c r="F1727" s="170">
        <v>100</v>
      </c>
    </row>
    <row r="1728" spans="1:6" hidden="1" x14ac:dyDescent="0.25">
      <c r="A1728" s="169">
        <v>43773</v>
      </c>
      <c r="B1728" s="80" t="s">
        <v>3092</v>
      </c>
      <c r="C1728" s="80" t="s">
        <v>136</v>
      </c>
      <c r="D1728" s="80" t="s">
        <v>130</v>
      </c>
      <c r="E1728" s="80" t="s">
        <v>121</v>
      </c>
      <c r="F1728" s="170">
        <v>100</v>
      </c>
    </row>
    <row r="1729" spans="1:6" hidden="1" x14ac:dyDescent="0.25">
      <c r="A1729" s="169">
        <v>43774</v>
      </c>
      <c r="B1729" s="80" t="s">
        <v>3103</v>
      </c>
      <c r="C1729" s="80" t="s">
        <v>157</v>
      </c>
      <c r="D1729" s="80" t="s">
        <v>130</v>
      </c>
      <c r="E1729" s="80" t="s">
        <v>134</v>
      </c>
      <c r="F1729" s="170">
        <v>100</v>
      </c>
    </row>
    <row r="1730" spans="1:6" hidden="1" x14ac:dyDescent="0.25">
      <c r="A1730" s="169">
        <v>43775</v>
      </c>
      <c r="B1730" s="80" t="s">
        <v>3109</v>
      </c>
      <c r="C1730" s="80" t="s">
        <v>136</v>
      </c>
      <c r="D1730" s="80" t="s">
        <v>130</v>
      </c>
      <c r="E1730" s="80" t="s">
        <v>153</v>
      </c>
      <c r="F1730" s="170">
        <v>100</v>
      </c>
    </row>
    <row r="1731" spans="1:6" hidden="1" x14ac:dyDescent="0.25">
      <c r="A1731" s="169">
        <v>43775</v>
      </c>
      <c r="B1731" s="80" t="s">
        <v>3115</v>
      </c>
      <c r="C1731" s="80" t="s">
        <v>167</v>
      </c>
      <c r="D1731" s="80" t="s">
        <v>130</v>
      </c>
      <c r="E1731" s="80" t="s">
        <v>131</v>
      </c>
      <c r="F1731" s="170">
        <v>100</v>
      </c>
    </row>
    <row r="1732" spans="1:6" hidden="1" x14ac:dyDescent="0.25">
      <c r="A1732" s="169">
        <v>43778</v>
      </c>
      <c r="B1732" s="80" t="s">
        <v>3143</v>
      </c>
      <c r="C1732" s="80" t="s">
        <v>182</v>
      </c>
      <c r="D1732" s="80" t="s">
        <v>130</v>
      </c>
      <c r="E1732" s="80" t="s">
        <v>134</v>
      </c>
      <c r="F1732" s="170">
        <v>100</v>
      </c>
    </row>
    <row r="1733" spans="1:6" hidden="1" x14ac:dyDescent="0.25">
      <c r="A1733" s="169">
        <v>43780</v>
      </c>
      <c r="B1733" s="80" t="s">
        <v>3167</v>
      </c>
      <c r="C1733" s="80" t="s">
        <v>123</v>
      </c>
      <c r="D1733" s="80" t="s">
        <v>130</v>
      </c>
      <c r="E1733" s="80" t="s">
        <v>121</v>
      </c>
      <c r="F1733" s="170">
        <v>100</v>
      </c>
    </row>
    <row r="1734" spans="1:6" hidden="1" x14ac:dyDescent="0.25">
      <c r="A1734" s="169">
        <v>43781</v>
      </c>
      <c r="B1734" s="80" t="s">
        <v>3181</v>
      </c>
      <c r="C1734" s="80" t="s">
        <v>119</v>
      </c>
      <c r="D1734" s="80" t="s">
        <v>130</v>
      </c>
      <c r="E1734" s="80" t="s">
        <v>127</v>
      </c>
      <c r="F1734" s="170">
        <v>100</v>
      </c>
    </row>
    <row r="1735" spans="1:6" hidden="1" x14ac:dyDescent="0.25">
      <c r="A1735" s="169">
        <v>43783</v>
      </c>
      <c r="B1735" s="80" t="s">
        <v>3198</v>
      </c>
      <c r="C1735" s="80" t="s">
        <v>125</v>
      </c>
      <c r="D1735" s="80" t="s">
        <v>130</v>
      </c>
      <c r="E1735" s="80" t="s">
        <v>134</v>
      </c>
      <c r="F1735" s="170">
        <v>100</v>
      </c>
    </row>
    <row r="1736" spans="1:6" hidden="1" x14ac:dyDescent="0.25">
      <c r="A1736" s="169">
        <v>43783</v>
      </c>
      <c r="B1736" s="80" t="s">
        <v>3206</v>
      </c>
      <c r="C1736" s="80" t="s">
        <v>143</v>
      </c>
      <c r="D1736" s="80" t="s">
        <v>130</v>
      </c>
      <c r="E1736" s="80" t="s">
        <v>127</v>
      </c>
      <c r="F1736" s="170">
        <v>100</v>
      </c>
    </row>
    <row r="1737" spans="1:6" hidden="1" x14ac:dyDescent="0.25">
      <c r="A1737" s="169">
        <v>43784</v>
      </c>
      <c r="B1737" s="80" t="s">
        <v>3209</v>
      </c>
      <c r="C1737" s="80" t="s">
        <v>189</v>
      </c>
      <c r="D1737" s="80" t="s">
        <v>130</v>
      </c>
      <c r="E1737" s="80" t="s">
        <v>127</v>
      </c>
      <c r="F1737" s="170">
        <v>100</v>
      </c>
    </row>
    <row r="1738" spans="1:6" hidden="1" x14ac:dyDescent="0.25">
      <c r="A1738" s="169">
        <v>43784</v>
      </c>
      <c r="B1738" s="80" t="s">
        <v>3212</v>
      </c>
      <c r="C1738" s="80" t="s">
        <v>136</v>
      </c>
      <c r="D1738" s="80" t="s">
        <v>130</v>
      </c>
      <c r="E1738" s="80" t="s">
        <v>134</v>
      </c>
      <c r="F1738" s="170">
        <v>100</v>
      </c>
    </row>
    <row r="1739" spans="1:6" hidden="1" x14ac:dyDescent="0.25">
      <c r="A1739" s="169">
        <v>43784</v>
      </c>
      <c r="B1739" s="80" t="s">
        <v>3213</v>
      </c>
      <c r="C1739" s="80" t="s">
        <v>145</v>
      </c>
      <c r="D1739" s="80" t="s">
        <v>130</v>
      </c>
      <c r="E1739" s="80" t="s">
        <v>134</v>
      </c>
      <c r="F1739" s="170">
        <v>100</v>
      </c>
    </row>
    <row r="1740" spans="1:6" hidden="1" x14ac:dyDescent="0.25">
      <c r="A1740" s="169">
        <v>43784</v>
      </c>
      <c r="B1740" s="80" t="s">
        <v>3217</v>
      </c>
      <c r="C1740" s="80" t="s">
        <v>189</v>
      </c>
      <c r="D1740" s="80" t="s">
        <v>130</v>
      </c>
      <c r="E1740" s="80" t="s">
        <v>127</v>
      </c>
      <c r="F1740" s="170">
        <v>100</v>
      </c>
    </row>
    <row r="1741" spans="1:6" hidden="1" x14ac:dyDescent="0.25">
      <c r="A1741" s="169">
        <v>43784</v>
      </c>
      <c r="B1741" s="80" t="s">
        <v>3218</v>
      </c>
      <c r="C1741" s="80" t="s">
        <v>152</v>
      </c>
      <c r="D1741" s="80" t="s">
        <v>130</v>
      </c>
      <c r="E1741" s="80" t="s">
        <v>134</v>
      </c>
      <c r="F1741" s="170">
        <v>100</v>
      </c>
    </row>
    <row r="1742" spans="1:6" hidden="1" x14ac:dyDescent="0.25">
      <c r="A1742" s="169">
        <v>43787</v>
      </c>
      <c r="B1742" s="80" t="s">
        <v>3236</v>
      </c>
      <c r="C1742" s="80" t="s">
        <v>182</v>
      </c>
      <c r="D1742" s="80" t="s">
        <v>130</v>
      </c>
      <c r="E1742" s="80" t="s">
        <v>121</v>
      </c>
      <c r="F1742" s="170">
        <v>100</v>
      </c>
    </row>
    <row r="1743" spans="1:6" hidden="1" x14ac:dyDescent="0.25">
      <c r="A1743" s="169">
        <v>43790</v>
      </c>
      <c r="B1743" s="80" t="s">
        <v>3260</v>
      </c>
      <c r="C1743" s="80" t="s">
        <v>152</v>
      </c>
      <c r="D1743" s="80" t="s">
        <v>130</v>
      </c>
      <c r="E1743" s="80" t="s">
        <v>121</v>
      </c>
      <c r="F1743" s="170">
        <v>100</v>
      </c>
    </row>
    <row r="1744" spans="1:6" hidden="1" x14ac:dyDescent="0.25">
      <c r="A1744" s="169">
        <v>43790</v>
      </c>
      <c r="B1744" s="80" t="s">
        <v>3264</v>
      </c>
      <c r="C1744" s="80" t="s">
        <v>164</v>
      </c>
      <c r="D1744" s="80" t="s">
        <v>130</v>
      </c>
      <c r="E1744" s="80" t="s">
        <v>121</v>
      </c>
      <c r="F1744" s="170">
        <v>100</v>
      </c>
    </row>
    <row r="1745" spans="1:6" hidden="1" x14ac:dyDescent="0.25">
      <c r="A1745" s="169">
        <v>43791</v>
      </c>
      <c r="B1745" s="80" t="s">
        <v>3269</v>
      </c>
      <c r="C1745" s="80" t="s">
        <v>138</v>
      </c>
      <c r="D1745" s="80" t="s">
        <v>130</v>
      </c>
      <c r="E1745" s="80" t="s">
        <v>131</v>
      </c>
      <c r="F1745" s="170">
        <v>100</v>
      </c>
    </row>
    <row r="1746" spans="1:6" hidden="1" x14ac:dyDescent="0.25">
      <c r="A1746" s="169">
        <v>43791</v>
      </c>
      <c r="B1746" s="80" t="s">
        <v>3272</v>
      </c>
      <c r="C1746" s="80" t="s">
        <v>164</v>
      </c>
      <c r="D1746" s="80" t="s">
        <v>130</v>
      </c>
      <c r="E1746" s="80" t="s">
        <v>121</v>
      </c>
      <c r="F1746" s="170">
        <v>100</v>
      </c>
    </row>
    <row r="1747" spans="1:6" hidden="1" x14ac:dyDescent="0.25">
      <c r="A1747" s="169">
        <v>43791</v>
      </c>
      <c r="B1747" s="80" t="s">
        <v>3276</v>
      </c>
      <c r="C1747" s="80" t="s">
        <v>119</v>
      </c>
      <c r="D1747" s="80" t="s">
        <v>130</v>
      </c>
      <c r="E1747" s="80" t="s">
        <v>127</v>
      </c>
      <c r="F1747" s="170">
        <v>100</v>
      </c>
    </row>
    <row r="1748" spans="1:6" hidden="1" x14ac:dyDescent="0.25">
      <c r="A1748" s="169">
        <v>43792</v>
      </c>
      <c r="B1748" s="80" t="s">
        <v>3279</v>
      </c>
      <c r="C1748" s="80" t="s">
        <v>182</v>
      </c>
      <c r="D1748" s="80" t="s">
        <v>130</v>
      </c>
      <c r="E1748" s="80" t="s">
        <v>127</v>
      </c>
      <c r="F1748" s="170">
        <v>100</v>
      </c>
    </row>
    <row r="1749" spans="1:6" hidden="1" x14ac:dyDescent="0.25">
      <c r="A1749" s="169">
        <v>43792</v>
      </c>
      <c r="B1749" s="80" t="s">
        <v>3285</v>
      </c>
      <c r="C1749" s="80" t="s">
        <v>148</v>
      </c>
      <c r="D1749" s="80" t="s">
        <v>130</v>
      </c>
      <c r="E1749" s="80" t="s">
        <v>153</v>
      </c>
      <c r="F1749" s="170">
        <v>100</v>
      </c>
    </row>
    <row r="1750" spans="1:6" hidden="1" x14ac:dyDescent="0.25">
      <c r="A1750" s="169">
        <v>43793</v>
      </c>
      <c r="B1750" s="80" t="s">
        <v>3292</v>
      </c>
      <c r="C1750" s="80" t="s">
        <v>119</v>
      </c>
      <c r="D1750" s="80" t="s">
        <v>130</v>
      </c>
      <c r="E1750" s="80" t="s">
        <v>153</v>
      </c>
      <c r="F1750" s="170">
        <v>100</v>
      </c>
    </row>
    <row r="1751" spans="1:6" hidden="1" x14ac:dyDescent="0.25">
      <c r="A1751" s="169">
        <v>43793</v>
      </c>
      <c r="B1751" s="80" t="s">
        <v>3294</v>
      </c>
      <c r="C1751" s="80" t="s">
        <v>152</v>
      </c>
      <c r="D1751" s="80" t="s">
        <v>130</v>
      </c>
      <c r="E1751" s="80" t="s">
        <v>153</v>
      </c>
      <c r="F1751" s="170">
        <v>100</v>
      </c>
    </row>
    <row r="1752" spans="1:6" hidden="1" x14ac:dyDescent="0.25">
      <c r="A1752" s="169">
        <v>43793</v>
      </c>
      <c r="B1752" s="80" t="s">
        <v>3297</v>
      </c>
      <c r="C1752" s="80" t="s">
        <v>129</v>
      </c>
      <c r="D1752" s="80" t="s">
        <v>130</v>
      </c>
      <c r="E1752" s="80" t="s">
        <v>153</v>
      </c>
      <c r="F1752" s="170">
        <v>100</v>
      </c>
    </row>
    <row r="1753" spans="1:6" hidden="1" x14ac:dyDescent="0.25">
      <c r="A1753" s="169">
        <v>43794</v>
      </c>
      <c r="B1753" s="80" t="s">
        <v>3313</v>
      </c>
      <c r="C1753" s="80" t="s">
        <v>152</v>
      </c>
      <c r="D1753" s="80" t="s">
        <v>130</v>
      </c>
      <c r="E1753" s="80" t="s">
        <v>153</v>
      </c>
      <c r="F1753" s="170">
        <v>100</v>
      </c>
    </row>
    <row r="1754" spans="1:6" hidden="1" x14ac:dyDescent="0.25">
      <c r="A1754" s="169">
        <v>43794</v>
      </c>
      <c r="B1754" s="80" t="s">
        <v>3315</v>
      </c>
      <c r="C1754" s="80" t="s">
        <v>182</v>
      </c>
      <c r="D1754" s="80" t="s">
        <v>130</v>
      </c>
      <c r="E1754" s="80" t="s">
        <v>127</v>
      </c>
      <c r="F1754" s="170">
        <v>100</v>
      </c>
    </row>
    <row r="1755" spans="1:6" hidden="1" x14ac:dyDescent="0.25">
      <c r="A1755" s="169">
        <v>43798</v>
      </c>
      <c r="B1755" s="80" t="s">
        <v>3337</v>
      </c>
      <c r="C1755" s="80" t="s">
        <v>148</v>
      </c>
      <c r="D1755" s="80" t="s">
        <v>130</v>
      </c>
      <c r="E1755" s="80" t="s">
        <v>131</v>
      </c>
      <c r="F1755" s="170">
        <v>100</v>
      </c>
    </row>
    <row r="1756" spans="1:6" hidden="1" x14ac:dyDescent="0.25">
      <c r="A1756" s="169">
        <v>43798</v>
      </c>
      <c r="B1756" s="80" t="s">
        <v>3339</v>
      </c>
      <c r="C1756" s="80" t="s">
        <v>223</v>
      </c>
      <c r="D1756" s="80" t="s">
        <v>130</v>
      </c>
      <c r="E1756" s="80" t="s">
        <v>131</v>
      </c>
      <c r="F1756" s="170">
        <v>100</v>
      </c>
    </row>
    <row r="1757" spans="1:6" hidden="1" x14ac:dyDescent="0.25">
      <c r="A1757" s="169">
        <v>43799</v>
      </c>
      <c r="B1757" s="80" t="s">
        <v>3347</v>
      </c>
      <c r="C1757" s="80" t="s">
        <v>125</v>
      </c>
      <c r="D1757" s="80" t="s">
        <v>130</v>
      </c>
      <c r="E1757" s="80" t="s">
        <v>134</v>
      </c>
      <c r="F1757" s="170">
        <v>100</v>
      </c>
    </row>
    <row r="1758" spans="1:6" hidden="1" x14ac:dyDescent="0.25">
      <c r="A1758" s="169">
        <v>43800</v>
      </c>
      <c r="B1758" s="80" t="s">
        <v>3365</v>
      </c>
      <c r="C1758" s="80" t="s">
        <v>138</v>
      </c>
      <c r="D1758" s="80" t="s">
        <v>130</v>
      </c>
      <c r="E1758" s="80" t="s">
        <v>131</v>
      </c>
      <c r="F1758" s="170">
        <v>100</v>
      </c>
    </row>
    <row r="1759" spans="1:6" hidden="1" x14ac:dyDescent="0.25">
      <c r="A1759" s="169">
        <v>43801</v>
      </c>
      <c r="B1759" s="80" t="s">
        <v>3370</v>
      </c>
      <c r="C1759" s="80" t="s">
        <v>182</v>
      </c>
      <c r="D1759" s="80" t="s">
        <v>130</v>
      </c>
      <c r="E1759" s="80" t="s">
        <v>134</v>
      </c>
      <c r="F1759" s="170">
        <v>100</v>
      </c>
    </row>
    <row r="1760" spans="1:6" hidden="1" x14ac:dyDescent="0.25">
      <c r="A1760" s="169">
        <v>43801</v>
      </c>
      <c r="B1760" s="80" t="s">
        <v>3373</v>
      </c>
      <c r="C1760" s="80" t="s">
        <v>164</v>
      </c>
      <c r="D1760" s="80" t="s">
        <v>130</v>
      </c>
      <c r="E1760" s="80" t="s">
        <v>127</v>
      </c>
      <c r="F1760" s="170">
        <v>100</v>
      </c>
    </row>
    <row r="1761" spans="1:6" hidden="1" x14ac:dyDescent="0.25">
      <c r="A1761" s="169">
        <v>43802</v>
      </c>
      <c r="B1761" s="80" t="s">
        <v>3383</v>
      </c>
      <c r="C1761" s="80" t="s">
        <v>152</v>
      </c>
      <c r="D1761" s="80" t="s">
        <v>130</v>
      </c>
      <c r="E1761" s="80" t="s">
        <v>131</v>
      </c>
      <c r="F1761" s="170">
        <v>100</v>
      </c>
    </row>
    <row r="1762" spans="1:6" hidden="1" x14ac:dyDescent="0.25">
      <c r="A1762" s="169">
        <v>43802</v>
      </c>
      <c r="B1762" s="80" t="s">
        <v>3388</v>
      </c>
      <c r="C1762" s="80" t="s">
        <v>182</v>
      </c>
      <c r="D1762" s="80" t="s">
        <v>130</v>
      </c>
      <c r="E1762" s="80" t="s">
        <v>153</v>
      </c>
      <c r="F1762" s="170">
        <v>100</v>
      </c>
    </row>
    <row r="1763" spans="1:6" hidden="1" x14ac:dyDescent="0.25">
      <c r="A1763" s="169">
        <v>43803</v>
      </c>
      <c r="B1763" s="80" t="s">
        <v>3398</v>
      </c>
      <c r="C1763" s="80" t="s">
        <v>143</v>
      </c>
      <c r="D1763" s="80" t="s">
        <v>130</v>
      </c>
      <c r="E1763" s="80" t="s">
        <v>153</v>
      </c>
      <c r="F1763" s="170">
        <v>100</v>
      </c>
    </row>
    <row r="1764" spans="1:6" hidden="1" x14ac:dyDescent="0.25">
      <c r="A1764" s="169">
        <v>43804</v>
      </c>
      <c r="B1764" s="80" t="s">
        <v>3411</v>
      </c>
      <c r="C1764" s="80" t="s">
        <v>148</v>
      </c>
      <c r="D1764" s="80" t="s">
        <v>130</v>
      </c>
      <c r="E1764" s="80" t="s">
        <v>134</v>
      </c>
      <c r="F1764" s="170">
        <v>100</v>
      </c>
    </row>
    <row r="1765" spans="1:6" hidden="1" x14ac:dyDescent="0.25">
      <c r="A1765" s="169">
        <v>43805</v>
      </c>
      <c r="B1765" s="80" t="s">
        <v>3418</v>
      </c>
      <c r="C1765" s="80" t="s">
        <v>152</v>
      </c>
      <c r="D1765" s="80" t="s">
        <v>130</v>
      </c>
      <c r="E1765" s="80" t="s">
        <v>131</v>
      </c>
      <c r="F1765" s="170">
        <v>100</v>
      </c>
    </row>
    <row r="1766" spans="1:6" hidden="1" x14ac:dyDescent="0.25">
      <c r="A1766" s="169">
        <v>43807</v>
      </c>
      <c r="B1766" s="80" t="s">
        <v>3430</v>
      </c>
      <c r="C1766" s="80" t="s">
        <v>129</v>
      </c>
      <c r="D1766" s="80" t="s">
        <v>130</v>
      </c>
      <c r="E1766" s="80" t="s">
        <v>121</v>
      </c>
      <c r="F1766" s="170">
        <v>100</v>
      </c>
    </row>
    <row r="1767" spans="1:6" hidden="1" x14ac:dyDescent="0.25">
      <c r="A1767" s="169">
        <v>43808</v>
      </c>
      <c r="B1767" s="80" t="s">
        <v>3442</v>
      </c>
      <c r="C1767" s="80" t="s">
        <v>164</v>
      </c>
      <c r="D1767" s="80" t="s">
        <v>130</v>
      </c>
      <c r="E1767" s="80" t="s">
        <v>121</v>
      </c>
      <c r="F1767" s="170">
        <v>100</v>
      </c>
    </row>
    <row r="1768" spans="1:6" hidden="1" x14ac:dyDescent="0.25">
      <c r="A1768" s="169">
        <v>43808</v>
      </c>
      <c r="B1768" s="80" t="s">
        <v>3444</v>
      </c>
      <c r="C1768" s="80" t="s">
        <v>167</v>
      </c>
      <c r="D1768" s="80" t="s">
        <v>130</v>
      </c>
      <c r="E1768" s="80" t="s">
        <v>127</v>
      </c>
      <c r="F1768" s="170">
        <v>100</v>
      </c>
    </row>
    <row r="1769" spans="1:6" hidden="1" x14ac:dyDescent="0.25">
      <c r="A1769" s="169">
        <v>43809</v>
      </c>
      <c r="B1769" s="80" t="s">
        <v>3449</v>
      </c>
      <c r="C1769" s="80" t="s">
        <v>123</v>
      </c>
      <c r="D1769" s="80" t="s">
        <v>130</v>
      </c>
      <c r="E1769" s="80" t="s">
        <v>153</v>
      </c>
      <c r="F1769" s="170">
        <v>100</v>
      </c>
    </row>
    <row r="1770" spans="1:6" hidden="1" x14ac:dyDescent="0.25">
      <c r="A1770" s="169">
        <v>43809</v>
      </c>
      <c r="B1770" s="80" t="s">
        <v>3454</v>
      </c>
      <c r="C1770" s="80" t="s">
        <v>223</v>
      </c>
      <c r="D1770" s="80" t="s">
        <v>130</v>
      </c>
      <c r="E1770" s="80" t="s">
        <v>134</v>
      </c>
      <c r="F1770" s="170">
        <v>100</v>
      </c>
    </row>
    <row r="1771" spans="1:6" hidden="1" x14ac:dyDescent="0.25">
      <c r="A1771" s="169">
        <v>43810</v>
      </c>
      <c r="B1771" s="80" t="s">
        <v>3460</v>
      </c>
      <c r="C1771" s="80" t="s">
        <v>182</v>
      </c>
      <c r="D1771" s="80" t="s">
        <v>130</v>
      </c>
      <c r="E1771" s="80" t="s">
        <v>153</v>
      </c>
      <c r="F1771" s="170">
        <v>100</v>
      </c>
    </row>
    <row r="1772" spans="1:6" hidden="1" x14ac:dyDescent="0.25">
      <c r="A1772" s="169">
        <v>43811</v>
      </c>
      <c r="B1772" s="80" t="s">
        <v>3475</v>
      </c>
      <c r="C1772" s="80" t="s">
        <v>129</v>
      </c>
      <c r="D1772" s="80" t="s">
        <v>130</v>
      </c>
      <c r="E1772" s="80" t="s">
        <v>127</v>
      </c>
      <c r="F1772" s="170">
        <v>100</v>
      </c>
    </row>
    <row r="1773" spans="1:6" hidden="1" x14ac:dyDescent="0.25">
      <c r="A1773" s="169">
        <v>43812</v>
      </c>
      <c r="B1773" s="80" t="s">
        <v>3480</v>
      </c>
      <c r="C1773" s="80" t="s">
        <v>123</v>
      </c>
      <c r="D1773" s="80" t="s">
        <v>130</v>
      </c>
      <c r="E1773" s="80" t="s">
        <v>134</v>
      </c>
      <c r="F1773" s="170">
        <v>100</v>
      </c>
    </row>
    <row r="1774" spans="1:6" hidden="1" x14ac:dyDescent="0.25">
      <c r="A1774" s="169">
        <v>43813</v>
      </c>
      <c r="B1774" s="80" t="s">
        <v>3492</v>
      </c>
      <c r="C1774" s="80" t="s">
        <v>152</v>
      </c>
      <c r="D1774" s="80" t="s">
        <v>130</v>
      </c>
      <c r="E1774" s="80" t="s">
        <v>134</v>
      </c>
      <c r="F1774" s="170">
        <v>100</v>
      </c>
    </row>
    <row r="1775" spans="1:6" hidden="1" x14ac:dyDescent="0.25">
      <c r="A1775" s="169">
        <v>43815</v>
      </c>
      <c r="B1775" s="80" t="s">
        <v>3508</v>
      </c>
      <c r="C1775" s="80" t="s">
        <v>157</v>
      </c>
      <c r="D1775" s="80" t="s">
        <v>130</v>
      </c>
      <c r="E1775" s="80" t="s">
        <v>127</v>
      </c>
      <c r="F1775" s="170">
        <v>100</v>
      </c>
    </row>
    <row r="1776" spans="1:6" hidden="1" x14ac:dyDescent="0.25">
      <c r="A1776" s="169">
        <v>43816</v>
      </c>
      <c r="B1776" s="80" t="s">
        <v>3515</v>
      </c>
      <c r="C1776" s="80" t="s">
        <v>157</v>
      </c>
      <c r="D1776" s="80" t="s">
        <v>130</v>
      </c>
      <c r="E1776" s="80" t="s">
        <v>127</v>
      </c>
      <c r="F1776" s="170">
        <v>100</v>
      </c>
    </row>
    <row r="1777" spans="1:6" hidden="1" x14ac:dyDescent="0.25">
      <c r="A1777" s="169">
        <v>43817</v>
      </c>
      <c r="B1777" s="80" t="s">
        <v>3525</v>
      </c>
      <c r="C1777" s="80" t="s">
        <v>143</v>
      </c>
      <c r="D1777" s="80" t="s">
        <v>130</v>
      </c>
      <c r="E1777" s="80" t="s">
        <v>127</v>
      </c>
      <c r="F1777" s="170">
        <v>100</v>
      </c>
    </row>
    <row r="1778" spans="1:6" hidden="1" x14ac:dyDescent="0.25">
      <c r="A1778" s="169">
        <v>43818</v>
      </c>
      <c r="B1778" s="80" t="s">
        <v>3529</v>
      </c>
      <c r="C1778" s="80" t="s">
        <v>143</v>
      </c>
      <c r="D1778" s="80" t="s">
        <v>130</v>
      </c>
      <c r="E1778" s="80" t="s">
        <v>153</v>
      </c>
      <c r="F1778" s="170">
        <v>100</v>
      </c>
    </row>
    <row r="1779" spans="1:6" hidden="1" x14ac:dyDescent="0.25">
      <c r="A1779" s="169">
        <v>43819</v>
      </c>
      <c r="B1779" s="80" t="s">
        <v>3541</v>
      </c>
      <c r="C1779" s="80" t="s">
        <v>125</v>
      </c>
      <c r="D1779" s="80" t="s">
        <v>130</v>
      </c>
      <c r="E1779" s="80" t="s">
        <v>134</v>
      </c>
      <c r="F1779" s="170">
        <v>100</v>
      </c>
    </row>
    <row r="1780" spans="1:6" hidden="1" x14ac:dyDescent="0.25">
      <c r="A1780" s="169">
        <v>43819</v>
      </c>
      <c r="B1780" s="80" t="s">
        <v>3546</v>
      </c>
      <c r="C1780" s="80" t="s">
        <v>189</v>
      </c>
      <c r="D1780" s="80" t="s">
        <v>130</v>
      </c>
      <c r="E1780" s="80" t="s">
        <v>153</v>
      </c>
      <c r="F1780" s="170">
        <v>100</v>
      </c>
    </row>
    <row r="1781" spans="1:6" hidden="1" x14ac:dyDescent="0.25">
      <c r="A1781" s="169">
        <v>43821</v>
      </c>
      <c r="B1781" s="80" t="s">
        <v>3567</v>
      </c>
      <c r="C1781" s="80" t="s">
        <v>157</v>
      </c>
      <c r="D1781" s="80" t="s">
        <v>130</v>
      </c>
      <c r="E1781" s="80" t="s">
        <v>127</v>
      </c>
      <c r="F1781" s="170">
        <v>100</v>
      </c>
    </row>
    <row r="1782" spans="1:6" hidden="1" x14ac:dyDescent="0.25">
      <c r="A1782" s="169">
        <v>43821</v>
      </c>
      <c r="B1782" s="80" t="s">
        <v>3568</v>
      </c>
      <c r="C1782" s="80" t="s">
        <v>119</v>
      </c>
      <c r="D1782" s="80" t="s">
        <v>130</v>
      </c>
      <c r="E1782" s="80" t="s">
        <v>121</v>
      </c>
      <c r="F1782" s="170">
        <v>100</v>
      </c>
    </row>
    <row r="1783" spans="1:6" hidden="1" x14ac:dyDescent="0.25">
      <c r="A1783" s="169">
        <v>43823</v>
      </c>
      <c r="B1783" s="80" t="s">
        <v>3571</v>
      </c>
      <c r="C1783" s="80" t="s">
        <v>148</v>
      </c>
      <c r="D1783" s="80" t="s">
        <v>130</v>
      </c>
      <c r="E1783" s="80" t="s">
        <v>153</v>
      </c>
      <c r="F1783" s="170">
        <v>100</v>
      </c>
    </row>
    <row r="1784" spans="1:6" hidden="1" x14ac:dyDescent="0.25">
      <c r="A1784" s="169">
        <v>43825</v>
      </c>
      <c r="B1784" s="80" t="s">
        <v>3599</v>
      </c>
      <c r="C1784" s="80" t="s">
        <v>187</v>
      </c>
      <c r="D1784" s="80" t="s">
        <v>130</v>
      </c>
      <c r="E1784" s="80" t="s">
        <v>121</v>
      </c>
      <c r="F1784" s="170">
        <v>100</v>
      </c>
    </row>
    <row r="1785" spans="1:6" hidden="1" x14ac:dyDescent="0.25">
      <c r="A1785" s="169">
        <v>43827</v>
      </c>
      <c r="B1785" s="80" t="s">
        <v>3606</v>
      </c>
      <c r="C1785" s="80" t="s">
        <v>182</v>
      </c>
      <c r="D1785" s="80" t="s">
        <v>130</v>
      </c>
      <c r="E1785" s="80" t="s">
        <v>121</v>
      </c>
      <c r="F1785" s="170">
        <v>100</v>
      </c>
    </row>
    <row r="1786" spans="1:6" hidden="1" x14ac:dyDescent="0.25">
      <c r="A1786" s="169">
        <v>43827</v>
      </c>
      <c r="B1786" s="80" t="s">
        <v>3620</v>
      </c>
      <c r="C1786" s="80" t="s">
        <v>187</v>
      </c>
      <c r="D1786" s="80" t="s">
        <v>130</v>
      </c>
      <c r="E1786" s="80" t="s">
        <v>131</v>
      </c>
      <c r="F1786" s="170">
        <v>100</v>
      </c>
    </row>
    <row r="1787" spans="1:6" hidden="1" x14ac:dyDescent="0.25">
      <c r="A1787" s="169">
        <v>43828</v>
      </c>
      <c r="B1787" s="80" t="s">
        <v>3625</v>
      </c>
      <c r="C1787" s="80" t="s">
        <v>125</v>
      </c>
      <c r="D1787" s="80" t="s">
        <v>130</v>
      </c>
      <c r="E1787" s="80" t="s">
        <v>134</v>
      </c>
      <c r="F1787" s="170">
        <v>100</v>
      </c>
    </row>
    <row r="1788" spans="1:6" hidden="1" x14ac:dyDescent="0.25">
      <c r="A1788" s="169">
        <v>43829</v>
      </c>
      <c r="B1788" s="80" t="s">
        <v>3636</v>
      </c>
      <c r="C1788" s="80" t="s">
        <v>164</v>
      </c>
      <c r="D1788" s="80" t="s">
        <v>130</v>
      </c>
      <c r="E1788" s="80" t="s">
        <v>121</v>
      </c>
      <c r="F1788" s="170">
        <v>100</v>
      </c>
    </row>
    <row r="1789" spans="1:6" hidden="1" x14ac:dyDescent="0.25">
      <c r="A1789" s="169">
        <v>43830</v>
      </c>
      <c r="B1789" s="80" t="s">
        <v>3644</v>
      </c>
      <c r="C1789" s="80" t="s">
        <v>164</v>
      </c>
      <c r="D1789" s="80" t="s">
        <v>130</v>
      </c>
      <c r="E1789" s="80" t="s">
        <v>121</v>
      </c>
      <c r="F1789" s="170">
        <v>100</v>
      </c>
    </row>
    <row r="1790" spans="1:6" hidden="1" x14ac:dyDescent="0.25">
      <c r="A1790" s="169">
        <v>43466</v>
      </c>
      <c r="B1790" s="80" t="s">
        <v>118</v>
      </c>
      <c r="C1790" s="80" t="s">
        <v>119</v>
      </c>
      <c r="D1790" s="80" t="s">
        <v>120</v>
      </c>
      <c r="E1790" s="80" t="s">
        <v>121</v>
      </c>
      <c r="F1790" s="170">
        <v>90</v>
      </c>
    </row>
    <row r="1791" spans="1:6" hidden="1" x14ac:dyDescent="0.25">
      <c r="A1791" s="169">
        <v>43466</v>
      </c>
      <c r="B1791" s="80" t="s">
        <v>122</v>
      </c>
      <c r="C1791" s="80" t="s">
        <v>123</v>
      </c>
      <c r="D1791" s="80" t="s">
        <v>120</v>
      </c>
      <c r="E1791" s="80" t="s">
        <v>121</v>
      </c>
      <c r="F1791" s="170">
        <v>90</v>
      </c>
    </row>
    <row r="1792" spans="1:6" hidden="1" x14ac:dyDescent="0.25">
      <c r="A1792" s="169">
        <v>43467</v>
      </c>
      <c r="B1792" s="80" t="s">
        <v>161</v>
      </c>
      <c r="C1792" s="80" t="s">
        <v>143</v>
      </c>
      <c r="D1792" s="80" t="s">
        <v>120</v>
      </c>
      <c r="E1792" s="80" t="s">
        <v>121</v>
      </c>
      <c r="F1792" s="170">
        <v>90</v>
      </c>
    </row>
    <row r="1793" spans="1:6" hidden="1" x14ac:dyDescent="0.25">
      <c r="A1793" s="169">
        <v>43470</v>
      </c>
      <c r="B1793" s="80" t="s">
        <v>193</v>
      </c>
      <c r="C1793" s="80" t="s">
        <v>123</v>
      </c>
      <c r="D1793" s="80" t="s">
        <v>120</v>
      </c>
      <c r="E1793" s="80" t="s">
        <v>153</v>
      </c>
      <c r="F1793" s="170">
        <v>90</v>
      </c>
    </row>
    <row r="1794" spans="1:6" hidden="1" x14ac:dyDescent="0.25">
      <c r="A1794" s="169">
        <v>43471</v>
      </c>
      <c r="B1794" s="80" t="s">
        <v>197</v>
      </c>
      <c r="C1794" s="80" t="s">
        <v>189</v>
      </c>
      <c r="D1794" s="80" t="s">
        <v>120</v>
      </c>
      <c r="E1794" s="80" t="s">
        <v>131</v>
      </c>
      <c r="F1794" s="170">
        <v>90</v>
      </c>
    </row>
    <row r="1795" spans="1:6" hidden="1" x14ac:dyDescent="0.25">
      <c r="A1795" s="169">
        <v>43471</v>
      </c>
      <c r="B1795" s="80" t="s">
        <v>200</v>
      </c>
      <c r="C1795" s="80" t="s">
        <v>125</v>
      </c>
      <c r="D1795" s="80" t="s">
        <v>120</v>
      </c>
      <c r="E1795" s="80" t="s">
        <v>127</v>
      </c>
      <c r="F1795" s="170">
        <v>90</v>
      </c>
    </row>
    <row r="1796" spans="1:6" hidden="1" x14ac:dyDescent="0.25">
      <c r="A1796" s="169">
        <v>43472</v>
      </c>
      <c r="B1796" s="80" t="s">
        <v>207</v>
      </c>
      <c r="C1796" s="80" t="s">
        <v>189</v>
      </c>
      <c r="D1796" s="80" t="s">
        <v>120</v>
      </c>
      <c r="E1796" s="80" t="s">
        <v>134</v>
      </c>
      <c r="F1796" s="170">
        <v>90</v>
      </c>
    </row>
    <row r="1797" spans="1:6" hidden="1" x14ac:dyDescent="0.25">
      <c r="A1797" s="169">
        <v>43473</v>
      </c>
      <c r="B1797" s="80" t="s">
        <v>218</v>
      </c>
      <c r="C1797" s="80" t="s">
        <v>189</v>
      </c>
      <c r="D1797" s="80" t="s">
        <v>120</v>
      </c>
      <c r="E1797" s="80" t="s">
        <v>153</v>
      </c>
      <c r="F1797" s="170">
        <v>90</v>
      </c>
    </row>
    <row r="1798" spans="1:6" hidden="1" x14ac:dyDescent="0.25">
      <c r="A1798" s="169">
        <v>43473</v>
      </c>
      <c r="B1798" s="80" t="s">
        <v>222</v>
      </c>
      <c r="C1798" s="80" t="s">
        <v>223</v>
      </c>
      <c r="D1798" s="80" t="s">
        <v>120</v>
      </c>
      <c r="E1798" s="80" t="s">
        <v>121</v>
      </c>
      <c r="F1798" s="170">
        <v>90</v>
      </c>
    </row>
    <row r="1799" spans="1:6" hidden="1" x14ac:dyDescent="0.25">
      <c r="A1799" s="169">
        <v>43474</v>
      </c>
      <c r="B1799" s="80" t="s">
        <v>231</v>
      </c>
      <c r="C1799" s="80" t="s">
        <v>125</v>
      </c>
      <c r="D1799" s="80" t="s">
        <v>120</v>
      </c>
      <c r="E1799" s="80" t="s">
        <v>121</v>
      </c>
      <c r="F1799" s="170">
        <v>90</v>
      </c>
    </row>
    <row r="1800" spans="1:6" hidden="1" x14ac:dyDescent="0.25">
      <c r="A1800" s="169">
        <v>43475</v>
      </c>
      <c r="B1800" s="80" t="s">
        <v>246</v>
      </c>
      <c r="C1800" s="80" t="s">
        <v>157</v>
      </c>
      <c r="D1800" s="80" t="s">
        <v>120</v>
      </c>
      <c r="E1800" s="80" t="s">
        <v>127</v>
      </c>
      <c r="F1800" s="170">
        <v>90</v>
      </c>
    </row>
    <row r="1801" spans="1:6" hidden="1" x14ac:dyDescent="0.25">
      <c r="A1801" s="169">
        <v>43477</v>
      </c>
      <c r="B1801" s="80" t="s">
        <v>261</v>
      </c>
      <c r="C1801" s="80" t="s">
        <v>145</v>
      </c>
      <c r="D1801" s="80" t="s">
        <v>120</v>
      </c>
      <c r="E1801" s="80" t="s">
        <v>121</v>
      </c>
      <c r="F1801" s="170">
        <v>90</v>
      </c>
    </row>
    <row r="1802" spans="1:6" hidden="1" x14ac:dyDescent="0.25">
      <c r="A1802" s="169">
        <v>43477</v>
      </c>
      <c r="B1802" s="80" t="s">
        <v>268</v>
      </c>
      <c r="C1802" s="80" t="s">
        <v>143</v>
      </c>
      <c r="D1802" s="80" t="s">
        <v>120</v>
      </c>
      <c r="E1802" s="80" t="s">
        <v>134</v>
      </c>
      <c r="F1802" s="170">
        <v>90</v>
      </c>
    </row>
    <row r="1803" spans="1:6" hidden="1" x14ac:dyDescent="0.25">
      <c r="A1803" s="169">
        <v>43478</v>
      </c>
      <c r="B1803" s="80" t="s">
        <v>275</v>
      </c>
      <c r="C1803" s="80" t="s">
        <v>125</v>
      </c>
      <c r="D1803" s="80" t="s">
        <v>120</v>
      </c>
      <c r="E1803" s="80" t="s">
        <v>131</v>
      </c>
      <c r="F1803" s="170">
        <v>90</v>
      </c>
    </row>
    <row r="1804" spans="1:6" hidden="1" x14ac:dyDescent="0.25">
      <c r="A1804" s="169">
        <v>43478</v>
      </c>
      <c r="B1804" s="80" t="s">
        <v>277</v>
      </c>
      <c r="C1804" s="80" t="s">
        <v>164</v>
      </c>
      <c r="D1804" s="80" t="s">
        <v>120</v>
      </c>
      <c r="E1804" s="80" t="s">
        <v>134</v>
      </c>
      <c r="F1804" s="170">
        <v>90</v>
      </c>
    </row>
    <row r="1805" spans="1:6" hidden="1" x14ac:dyDescent="0.25">
      <c r="A1805" s="169">
        <v>43478</v>
      </c>
      <c r="B1805" s="80" t="s">
        <v>280</v>
      </c>
      <c r="C1805" s="80" t="s">
        <v>164</v>
      </c>
      <c r="D1805" s="80" t="s">
        <v>120</v>
      </c>
      <c r="E1805" s="80" t="s">
        <v>121</v>
      </c>
      <c r="F1805" s="170">
        <v>90</v>
      </c>
    </row>
    <row r="1806" spans="1:6" hidden="1" x14ac:dyDescent="0.25">
      <c r="A1806" s="169">
        <v>43480</v>
      </c>
      <c r="B1806" s="80" t="s">
        <v>299</v>
      </c>
      <c r="C1806" s="80" t="s">
        <v>223</v>
      </c>
      <c r="D1806" s="80" t="s">
        <v>120</v>
      </c>
      <c r="E1806" s="80" t="s">
        <v>134</v>
      </c>
      <c r="F1806" s="170">
        <v>90</v>
      </c>
    </row>
    <row r="1807" spans="1:6" hidden="1" x14ac:dyDescent="0.25">
      <c r="A1807" s="169">
        <v>43481</v>
      </c>
      <c r="B1807" s="80" t="s">
        <v>308</v>
      </c>
      <c r="C1807" s="80" t="s">
        <v>143</v>
      </c>
      <c r="D1807" s="80" t="s">
        <v>120</v>
      </c>
      <c r="E1807" s="80" t="s">
        <v>127</v>
      </c>
      <c r="F1807" s="170">
        <v>90</v>
      </c>
    </row>
    <row r="1808" spans="1:6" hidden="1" x14ac:dyDescent="0.25">
      <c r="A1808" s="169">
        <v>43482</v>
      </c>
      <c r="B1808" s="80" t="s">
        <v>315</v>
      </c>
      <c r="C1808" s="80" t="s">
        <v>182</v>
      </c>
      <c r="D1808" s="80" t="s">
        <v>120</v>
      </c>
      <c r="E1808" s="80" t="s">
        <v>134</v>
      </c>
      <c r="F1808" s="170">
        <v>90</v>
      </c>
    </row>
    <row r="1809" spans="1:6" hidden="1" x14ac:dyDescent="0.25">
      <c r="A1809" s="169">
        <v>43482</v>
      </c>
      <c r="B1809" s="80" t="s">
        <v>322</v>
      </c>
      <c r="C1809" s="80" t="s">
        <v>164</v>
      </c>
      <c r="D1809" s="80" t="s">
        <v>120</v>
      </c>
      <c r="E1809" s="80" t="s">
        <v>131</v>
      </c>
      <c r="F1809" s="170">
        <v>90</v>
      </c>
    </row>
    <row r="1810" spans="1:6" hidden="1" x14ac:dyDescent="0.25">
      <c r="A1810" s="169">
        <v>43483</v>
      </c>
      <c r="B1810" s="80" t="s">
        <v>329</v>
      </c>
      <c r="C1810" s="80" t="s">
        <v>152</v>
      </c>
      <c r="D1810" s="80" t="s">
        <v>120</v>
      </c>
      <c r="E1810" s="80" t="s">
        <v>134</v>
      </c>
      <c r="F1810" s="170">
        <v>90</v>
      </c>
    </row>
    <row r="1811" spans="1:6" hidden="1" x14ac:dyDescent="0.25">
      <c r="A1811" s="169">
        <v>43484</v>
      </c>
      <c r="B1811" s="80" t="s">
        <v>333</v>
      </c>
      <c r="C1811" s="80" t="s">
        <v>164</v>
      </c>
      <c r="D1811" s="80" t="s">
        <v>120</v>
      </c>
      <c r="E1811" s="80" t="s">
        <v>134</v>
      </c>
      <c r="F1811" s="170">
        <v>90</v>
      </c>
    </row>
    <row r="1812" spans="1:6" hidden="1" x14ac:dyDescent="0.25">
      <c r="A1812" s="169">
        <v>43484</v>
      </c>
      <c r="B1812" s="80" t="s">
        <v>338</v>
      </c>
      <c r="C1812" s="80" t="s">
        <v>145</v>
      </c>
      <c r="D1812" s="80" t="s">
        <v>120</v>
      </c>
      <c r="E1812" s="80" t="s">
        <v>127</v>
      </c>
      <c r="F1812" s="170">
        <v>90</v>
      </c>
    </row>
    <row r="1813" spans="1:6" hidden="1" x14ac:dyDescent="0.25">
      <c r="A1813" s="169">
        <v>43485</v>
      </c>
      <c r="B1813" s="80" t="s">
        <v>350</v>
      </c>
      <c r="C1813" s="80" t="s">
        <v>123</v>
      </c>
      <c r="D1813" s="80" t="s">
        <v>120</v>
      </c>
      <c r="E1813" s="80" t="s">
        <v>121</v>
      </c>
      <c r="F1813" s="170">
        <v>90</v>
      </c>
    </row>
    <row r="1814" spans="1:6" hidden="1" x14ac:dyDescent="0.25">
      <c r="A1814" s="169">
        <v>43485</v>
      </c>
      <c r="B1814" s="80" t="s">
        <v>354</v>
      </c>
      <c r="C1814" s="80" t="s">
        <v>145</v>
      </c>
      <c r="D1814" s="80" t="s">
        <v>120</v>
      </c>
      <c r="E1814" s="80" t="s">
        <v>153</v>
      </c>
      <c r="F1814" s="170">
        <v>90</v>
      </c>
    </row>
    <row r="1815" spans="1:6" hidden="1" x14ac:dyDescent="0.25">
      <c r="A1815" s="169">
        <v>43486</v>
      </c>
      <c r="B1815" s="80" t="s">
        <v>360</v>
      </c>
      <c r="C1815" s="80" t="s">
        <v>119</v>
      </c>
      <c r="D1815" s="80" t="s">
        <v>120</v>
      </c>
      <c r="E1815" s="80" t="s">
        <v>134</v>
      </c>
      <c r="F1815" s="170">
        <v>90</v>
      </c>
    </row>
    <row r="1816" spans="1:6" hidden="1" x14ac:dyDescent="0.25">
      <c r="A1816" s="169">
        <v>43487</v>
      </c>
      <c r="B1816" s="80" t="s">
        <v>364</v>
      </c>
      <c r="C1816" s="80" t="s">
        <v>152</v>
      </c>
      <c r="D1816" s="80" t="s">
        <v>120</v>
      </c>
      <c r="E1816" s="80" t="s">
        <v>127</v>
      </c>
      <c r="F1816" s="170">
        <v>90</v>
      </c>
    </row>
    <row r="1817" spans="1:6" hidden="1" x14ac:dyDescent="0.25">
      <c r="A1817" s="169">
        <v>43490</v>
      </c>
      <c r="B1817" s="80" t="s">
        <v>405</v>
      </c>
      <c r="C1817" s="80" t="s">
        <v>182</v>
      </c>
      <c r="D1817" s="80" t="s">
        <v>120</v>
      </c>
      <c r="E1817" s="80" t="s">
        <v>127</v>
      </c>
      <c r="F1817" s="170">
        <v>90</v>
      </c>
    </row>
    <row r="1818" spans="1:6" hidden="1" x14ac:dyDescent="0.25">
      <c r="A1818" s="169">
        <v>43492</v>
      </c>
      <c r="B1818" s="80" t="s">
        <v>430</v>
      </c>
      <c r="C1818" s="80" t="s">
        <v>152</v>
      </c>
      <c r="D1818" s="80" t="s">
        <v>120</v>
      </c>
      <c r="E1818" s="80" t="s">
        <v>121</v>
      </c>
      <c r="F1818" s="170">
        <v>90</v>
      </c>
    </row>
    <row r="1819" spans="1:6" hidden="1" x14ac:dyDescent="0.25">
      <c r="A1819" s="169">
        <v>43493</v>
      </c>
      <c r="B1819" s="80" t="s">
        <v>437</v>
      </c>
      <c r="C1819" s="80" t="s">
        <v>189</v>
      </c>
      <c r="D1819" s="80" t="s">
        <v>120</v>
      </c>
      <c r="E1819" s="80" t="s">
        <v>127</v>
      </c>
      <c r="F1819" s="170">
        <v>90</v>
      </c>
    </row>
    <row r="1820" spans="1:6" hidden="1" x14ac:dyDescent="0.25">
      <c r="A1820" s="169">
        <v>43493</v>
      </c>
      <c r="B1820" s="80" t="s">
        <v>438</v>
      </c>
      <c r="C1820" s="80" t="s">
        <v>129</v>
      </c>
      <c r="D1820" s="80" t="s">
        <v>120</v>
      </c>
      <c r="E1820" s="80" t="s">
        <v>131</v>
      </c>
      <c r="F1820" s="170">
        <v>90</v>
      </c>
    </row>
    <row r="1821" spans="1:6" hidden="1" x14ac:dyDescent="0.25">
      <c r="A1821" s="169">
        <v>43493</v>
      </c>
      <c r="B1821" s="80" t="s">
        <v>439</v>
      </c>
      <c r="C1821" s="80" t="s">
        <v>167</v>
      </c>
      <c r="D1821" s="80" t="s">
        <v>120</v>
      </c>
      <c r="E1821" s="80" t="s">
        <v>127</v>
      </c>
      <c r="F1821" s="170">
        <v>90</v>
      </c>
    </row>
    <row r="1822" spans="1:6" hidden="1" x14ac:dyDescent="0.25">
      <c r="A1822" s="169">
        <v>43494</v>
      </c>
      <c r="B1822" s="80" t="s">
        <v>443</v>
      </c>
      <c r="C1822" s="80" t="s">
        <v>145</v>
      </c>
      <c r="D1822" s="80" t="s">
        <v>120</v>
      </c>
      <c r="E1822" s="80" t="s">
        <v>153</v>
      </c>
      <c r="F1822" s="170">
        <v>90</v>
      </c>
    </row>
    <row r="1823" spans="1:6" hidden="1" x14ac:dyDescent="0.25">
      <c r="A1823" s="169">
        <v>43495</v>
      </c>
      <c r="B1823" s="80" t="s">
        <v>453</v>
      </c>
      <c r="C1823" s="80" t="s">
        <v>182</v>
      </c>
      <c r="D1823" s="80" t="s">
        <v>120</v>
      </c>
      <c r="E1823" s="80" t="s">
        <v>134</v>
      </c>
      <c r="F1823" s="170">
        <v>90</v>
      </c>
    </row>
    <row r="1824" spans="1:6" hidden="1" x14ac:dyDescent="0.25">
      <c r="A1824" s="169">
        <v>43495</v>
      </c>
      <c r="B1824" s="80" t="s">
        <v>457</v>
      </c>
      <c r="C1824" s="80" t="s">
        <v>189</v>
      </c>
      <c r="D1824" s="80" t="s">
        <v>120</v>
      </c>
      <c r="E1824" s="80" t="s">
        <v>127</v>
      </c>
      <c r="F1824" s="170">
        <v>90</v>
      </c>
    </row>
    <row r="1825" spans="1:6" hidden="1" x14ac:dyDescent="0.25">
      <c r="A1825" s="169">
        <v>43496</v>
      </c>
      <c r="B1825" s="80" t="s">
        <v>467</v>
      </c>
      <c r="C1825" s="80" t="s">
        <v>145</v>
      </c>
      <c r="D1825" s="80" t="s">
        <v>120</v>
      </c>
      <c r="E1825" s="80" t="s">
        <v>153</v>
      </c>
      <c r="F1825" s="170">
        <v>90</v>
      </c>
    </row>
    <row r="1826" spans="1:6" hidden="1" x14ac:dyDescent="0.25">
      <c r="A1826" s="169">
        <v>43503</v>
      </c>
      <c r="B1826" s="80" t="s">
        <v>520</v>
      </c>
      <c r="C1826" s="80" t="s">
        <v>136</v>
      </c>
      <c r="D1826" s="80" t="s">
        <v>120</v>
      </c>
      <c r="E1826" s="80" t="s">
        <v>134</v>
      </c>
      <c r="F1826" s="170">
        <v>90</v>
      </c>
    </row>
    <row r="1827" spans="1:6" hidden="1" x14ac:dyDescent="0.25">
      <c r="A1827" s="169">
        <v>43504</v>
      </c>
      <c r="B1827" s="80" t="s">
        <v>524</v>
      </c>
      <c r="C1827" s="80" t="s">
        <v>182</v>
      </c>
      <c r="D1827" s="80" t="s">
        <v>120</v>
      </c>
      <c r="E1827" s="80" t="s">
        <v>127</v>
      </c>
      <c r="F1827" s="170">
        <v>90</v>
      </c>
    </row>
    <row r="1828" spans="1:6" hidden="1" x14ac:dyDescent="0.25">
      <c r="A1828" s="169">
        <v>43504</v>
      </c>
      <c r="B1828" s="80" t="s">
        <v>526</v>
      </c>
      <c r="C1828" s="80" t="s">
        <v>152</v>
      </c>
      <c r="D1828" s="80" t="s">
        <v>120</v>
      </c>
      <c r="E1828" s="80" t="s">
        <v>153</v>
      </c>
      <c r="F1828" s="170">
        <v>90</v>
      </c>
    </row>
    <row r="1829" spans="1:6" hidden="1" x14ac:dyDescent="0.25">
      <c r="A1829" s="169">
        <v>43506</v>
      </c>
      <c r="B1829" s="80" t="s">
        <v>539</v>
      </c>
      <c r="C1829" s="80" t="s">
        <v>148</v>
      </c>
      <c r="D1829" s="80" t="s">
        <v>120</v>
      </c>
      <c r="E1829" s="80" t="s">
        <v>134</v>
      </c>
      <c r="F1829" s="170">
        <v>90</v>
      </c>
    </row>
    <row r="1830" spans="1:6" hidden="1" x14ac:dyDescent="0.25">
      <c r="A1830" s="169">
        <v>43508</v>
      </c>
      <c r="B1830" s="80" t="s">
        <v>558</v>
      </c>
      <c r="C1830" s="80" t="s">
        <v>125</v>
      </c>
      <c r="D1830" s="80" t="s">
        <v>120</v>
      </c>
      <c r="E1830" s="80" t="s">
        <v>127</v>
      </c>
      <c r="F1830" s="170">
        <v>90</v>
      </c>
    </row>
    <row r="1831" spans="1:6" hidden="1" x14ac:dyDescent="0.25">
      <c r="A1831" s="169">
        <v>43508</v>
      </c>
      <c r="B1831" s="80" t="s">
        <v>564</v>
      </c>
      <c r="C1831" s="80" t="s">
        <v>223</v>
      </c>
      <c r="D1831" s="80" t="s">
        <v>120</v>
      </c>
      <c r="E1831" s="80" t="s">
        <v>153</v>
      </c>
      <c r="F1831" s="170">
        <v>90</v>
      </c>
    </row>
    <row r="1832" spans="1:6" hidden="1" x14ac:dyDescent="0.25">
      <c r="A1832" s="169">
        <v>43509</v>
      </c>
      <c r="B1832" s="80" t="s">
        <v>570</v>
      </c>
      <c r="C1832" s="80" t="s">
        <v>187</v>
      </c>
      <c r="D1832" s="80" t="s">
        <v>120</v>
      </c>
      <c r="E1832" s="80" t="s">
        <v>153</v>
      </c>
      <c r="F1832" s="170">
        <v>90</v>
      </c>
    </row>
    <row r="1833" spans="1:6" hidden="1" x14ac:dyDescent="0.25">
      <c r="A1833" s="169">
        <v>43510</v>
      </c>
      <c r="B1833" s="80" t="s">
        <v>571</v>
      </c>
      <c r="C1833" s="80" t="s">
        <v>187</v>
      </c>
      <c r="D1833" s="80" t="s">
        <v>120</v>
      </c>
      <c r="E1833" s="80" t="s">
        <v>121</v>
      </c>
      <c r="F1833" s="170">
        <v>90</v>
      </c>
    </row>
    <row r="1834" spans="1:6" hidden="1" x14ac:dyDescent="0.25">
      <c r="A1834" s="169">
        <v>43512</v>
      </c>
      <c r="B1834" s="80" t="s">
        <v>587</v>
      </c>
      <c r="C1834" s="80" t="s">
        <v>145</v>
      </c>
      <c r="D1834" s="80" t="s">
        <v>120</v>
      </c>
      <c r="E1834" s="80" t="s">
        <v>121</v>
      </c>
      <c r="F1834" s="170">
        <v>90</v>
      </c>
    </row>
    <row r="1835" spans="1:6" hidden="1" x14ac:dyDescent="0.25">
      <c r="A1835" s="169">
        <v>43513</v>
      </c>
      <c r="B1835" s="80" t="s">
        <v>598</v>
      </c>
      <c r="C1835" s="80" t="s">
        <v>125</v>
      </c>
      <c r="D1835" s="80" t="s">
        <v>120</v>
      </c>
      <c r="E1835" s="80" t="s">
        <v>127</v>
      </c>
      <c r="F1835" s="170">
        <v>90</v>
      </c>
    </row>
    <row r="1836" spans="1:6" hidden="1" x14ac:dyDescent="0.25">
      <c r="A1836" s="169">
        <v>43515</v>
      </c>
      <c r="B1836" s="80" t="s">
        <v>618</v>
      </c>
      <c r="C1836" s="80" t="s">
        <v>152</v>
      </c>
      <c r="D1836" s="80" t="s">
        <v>120</v>
      </c>
      <c r="E1836" s="80" t="s">
        <v>131</v>
      </c>
      <c r="F1836" s="170">
        <v>90</v>
      </c>
    </row>
    <row r="1837" spans="1:6" hidden="1" x14ac:dyDescent="0.25">
      <c r="A1837" s="169">
        <v>43515</v>
      </c>
      <c r="B1837" s="80" t="s">
        <v>625</v>
      </c>
      <c r="C1837" s="80" t="s">
        <v>143</v>
      </c>
      <c r="D1837" s="80" t="s">
        <v>120</v>
      </c>
      <c r="E1837" s="80" t="s">
        <v>131</v>
      </c>
      <c r="F1837" s="170">
        <v>90</v>
      </c>
    </row>
    <row r="1838" spans="1:6" hidden="1" x14ac:dyDescent="0.25">
      <c r="A1838" s="169">
        <v>43517</v>
      </c>
      <c r="B1838" s="80" t="s">
        <v>634</v>
      </c>
      <c r="C1838" s="80" t="s">
        <v>182</v>
      </c>
      <c r="D1838" s="80" t="s">
        <v>120</v>
      </c>
      <c r="E1838" s="80" t="s">
        <v>134</v>
      </c>
      <c r="F1838" s="170">
        <v>90</v>
      </c>
    </row>
    <row r="1839" spans="1:6" hidden="1" x14ac:dyDescent="0.25">
      <c r="A1839" s="169">
        <v>43517</v>
      </c>
      <c r="B1839" s="80" t="s">
        <v>637</v>
      </c>
      <c r="C1839" s="80" t="s">
        <v>182</v>
      </c>
      <c r="D1839" s="80" t="s">
        <v>120</v>
      </c>
      <c r="E1839" s="80" t="s">
        <v>153</v>
      </c>
      <c r="F1839" s="170">
        <v>90</v>
      </c>
    </row>
    <row r="1840" spans="1:6" hidden="1" x14ac:dyDescent="0.25">
      <c r="A1840" s="169">
        <v>43517</v>
      </c>
      <c r="B1840" s="80" t="s">
        <v>644</v>
      </c>
      <c r="C1840" s="80" t="s">
        <v>164</v>
      </c>
      <c r="D1840" s="80" t="s">
        <v>120</v>
      </c>
      <c r="E1840" s="80" t="s">
        <v>153</v>
      </c>
      <c r="F1840" s="170">
        <v>90</v>
      </c>
    </row>
    <row r="1841" spans="1:6" hidden="1" x14ac:dyDescent="0.25">
      <c r="A1841" s="169">
        <v>43518</v>
      </c>
      <c r="B1841" s="80" t="s">
        <v>647</v>
      </c>
      <c r="C1841" s="80" t="s">
        <v>143</v>
      </c>
      <c r="D1841" s="80" t="s">
        <v>120</v>
      </c>
      <c r="E1841" s="80" t="s">
        <v>121</v>
      </c>
      <c r="F1841" s="170">
        <v>90</v>
      </c>
    </row>
    <row r="1842" spans="1:6" hidden="1" x14ac:dyDescent="0.25">
      <c r="A1842" s="169">
        <v>43518</v>
      </c>
      <c r="B1842" s="80" t="s">
        <v>651</v>
      </c>
      <c r="C1842" s="80" t="s">
        <v>157</v>
      </c>
      <c r="D1842" s="80" t="s">
        <v>120</v>
      </c>
      <c r="E1842" s="80" t="s">
        <v>131</v>
      </c>
      <c r="F1842" s="170">
        <v>90</v>
      </c>
    </row>
    <row r="1843" spans="1:6" hidden="1" x14ac:dyDescent="0.25">
      <c r="A1843" s="169">
        <v>43519</v>
      </c>
      <c r="B1843" s="80" t="s">
        <v>657</v>
      </c>
      <c r="C1843" s="80" t="s">
        <v>129</v>
      </c>
      <c r="D1843" s="80" t="s">
        <v>120</v>
      </c>
      <c r="E1843" s="80" t="s">
        <v>121</v>
      </c>
      <c r="F1843" s="170">
        <v>90</v>
      </c>
    </row>
    <row r="1844" spans="1:6" hidden="1" x14ac:dyDescent="0.25">
      <c r="A1844" s="169">
        <v>43519</v>
      </c>
      <c r="B1844" s="80" t="s">
        <v>660</v>
      </c>
      <c r="C1844" s="80" t="s">
        <v>189</v>
      </c>
      <c r="D1844" s="80" t="s">
        <v>120</v>
      </c>
      <c r="E1844" s="80" t="s">
        <v>153</v>
      </c>
      <c r="F1844" s="170">
        <v>90</v>
      </c>
    </row>
    <row r="1845" spans="1:6" hidden="1" x14ac:dyDescent="0.25">
      <c r="A1845" s="169">
        <v>43519</v>
      </c>
      <c r="B1845" s="80" t="s">
        <v>662</v>
      </c>
      <c r="C1845" s="80" t="s">
        <v>182</v>
      </c>
      <c r="D1845" s="80" t="s">
        <v>120</v>
      </c>
      <c r="E1845" s="80" t="s">
        <v>121</v>
      </c>
      <c r="F1845" s="170">
        <v>90</v>
      </c>
    </row>
    <row r="1846" spans="1:6" hidden="1" x14ac:dyDescent="0.25">
      <c r="A1846" s="169">
        <v>43521</v>
      </c>
      <c r="B1846" s="80" t="s">
        <v>682</v>
      </c>
      <c r="C1846" s="80" t="s">
        <v>119</v>
      </c>
      <c r="D1846" s="80" t="s">
        <v>120</v>
      </c>
      <c r="E1846" s="80" t="s">
        <v>121</v>
      </c>
      <c r="F1846" s="170">
        <v>90</v>
      </c>
    </row>
    <row r="1847" spans="1:6" hidden="1" x14ac:dyDescent="0.25">
      <c r="A1847" s="169">
        <v>43521</v>
      </c>
      <c r="B1847" s="80" t="s">
        <v>683</v>
      </c>
      <c r="C1847" s="80" t="s">
        <v>167</v>
      </c>
      <c r="D1847" s="80" t="s">
        <v>120</v>
      </c>
      <c r="E1847" s="80" t="s">
        <v>153</v>
      </c>
      <c r="F1847" s="170">
        <v>90</v>
      </c>
    </row>
    <row r="1848" spans="1:6" hidden="1" x14ac:dyDescent="0.25">
      <c r="A1848" s="169">
        <v>43523</v>
      </c>
      <c r="B1848" s="80" t="s">
        <v>701</v>
      </c>
      <c r="C1848" s="80" t="s">
        <v>119</v>
      </c>
      <c r="D1848" s="80" t="s">
        <v>120</v>
      </c>
      <c r="E1848" s="80" t="s">
        <v>153</v>
      </c>
      <c r="F1848" s="170">
        <v>90</v>
      </c>
    </row>
    <row r="1849" spans="1:6" hidden="1" x14ac:dyDescent="0.25">
      <c r="A1849" s="169">
        <v>43525</v>
      </c>
      <c r="B1849" s="80" t="s">
        <v>723</v>
      </c>
      <c r="C1849" s="80" t="s">
        <v>164</v>
      </c>
      <c r="D1849" s="80" t="s">
        <v>120</v>
      </c>
      <c r="E1849" s="80" t="s">
        <v>127</v>
      </c>
      <c r="F1849" s="170">
        <v>90</v>
      </c>
    </row>
    <row r="1850" spans="1:6" hidden="1" x14ac:dyDescent="0.25">
      <c r="A1850" s="169">
        <v>43525</v>
      </c>
      <c r="B1850" s="80" t="s">
        <v>725</v>
      </c>
      <c r="C1850" s="80" t="s">
        <v>223</v>
      </c>
      <c r="D1850" s="80" t="s">
        <v>120</v>
      </c>
      <c r="E1850" s="80" t="s">
        <v>127</v>
      </c>
      <c r="F1850" s="170">
        <v>90</v>
      </c>
    </row>
    <row r="1851" spans="1:6" hidden="1" x14ac:dyDescent="0.25">
      <c r="A1851" s="169">
        <v>43525</v>
      </c>
      <c r="B1851" s="80" t="s">
        <v>727</v>
      </c>
      <c r="C1851" s="80" t="s">
        <v>125</v>
      </c>
      <c r="D1851" s="80" t="s">
        <v>120</v>
      </c>
      <c r="E1851" s="80" t="s">
        <v>131</v>
      </c>
      <c r="F1851" s="170">
        <v>90</v>
      </c>
    </row>
    <row r="1852" spans="1:6" hidden="1" x14ac:dyDescent="0.25">
      <c r="A1852" s="169">
        <v>43527</v>
      </c>
      <c r="B1852" s="80" t="s">
        <v>729</v>
      </c>
      <c r="C1852" s="80" t="s">
        <v>123</v>
      </c>
      <c r="D1852" s="80" t="s">
        <v>120</v>
      </c>
      <c r="E1852" s="80" t="s">
        <v>153</v>
      </c>
      <c r="F1852" s="170">
        <v>90</v>
      </c>
    </row>
    <row r="1853" spans="1:6" hidden="1" x14ac:dyDescent="0.25">
      <c r="A1853" s="169">
        <v>43528</v>
      </c>
      <c r="B1853" s="80" t="s">
        <v>737</v>
      </c>
      <c r="C1853" s="80" t="s">
        <v>167</v>
      </c>
      <c r="D1853" s="80" t="s">
        <v>120</v>
      </c>
      <c r="E1853" s="80" t="s">
        <v>134</v>
      </c>
      <c r="F1853" s="170">
        <v>90</v>
      </c>
    </row>
    <row r="1854" spans="1:6" hidden="1" x14ac:dyDescent="0.25">
      <c r="A1854" s="169">
        <v>43528</v>
      </c>
      <c r="B1854" s="80" t="s">
        <v>744</v>
      </c>
      <c r="C1854" s="80" t="s">
        <v>145</v>
      </c>
      <c r="D1854" s="80" t="s">
        <v>120</v>
      </c>
      <c r="E1854" s="80" t="s">
        <v>121</v>
      </c>
      <c r="F1854" s="170">
        <v>90</v>
      </c>
    </row>
    <row r="1855" spans="1:6" hidden="1" x14ac:dyDescent="0.25">
      <c r="A1855" s="169">
        <v>43531</v>
      </c>
      <c r="B1855" s="80" t="s">
        <v>772</v>
      </c>
      <c r="C1855" s="80" t="s">
        <v>143</v>
      </c>
      <c r="D1855" s="80" t="s">
        <v>120</v>
      </c>
      <c r="E1855" s="80" t="s">
        <v>153</v>
      </c>
      <c r="F1855" s="170">
        <v>90</v>
      </c>
    </row>
    <row r="1856" spans="1:6" hidden="1" x14ac:dyDescent="0.25">
      <c r="A1856" s="169">
        <v>43531</v>
      </c>
      <c r="B1856" s="80" t="s">
        <v>775</v>
      </c>
      <c r="C1856" s="80" t="s">
        <v>136</v>
      </c>
      <c r="D1856" s="80" t="s">
        <v>120</v>
      </c>
      <c r="E1856" s="80" t="s">
        <v>134</v>
      </c>
      <c r="F1856" s="170">
        <v>90</v>
      </c>
    </row>
    <row r="1857" spans="1:6" hidden="1" x14ac:dyDescent="0.25">
      <c r="A1857" s="169">
        <v>43532</v>
      </c>
      <c r="B1857" s="80" t="s">
        <v>785</v>
      </c>
      <c r="C1857" s="80" t="s">
        <v>189</v>
      </c>
      <c r="D1857" s="80" t="s">
        <v>120</v>
      </c>
      <c r="E1857" s="80" t="s">
        <v>121</v>
      </c>
      <c r="F1857" s="170">
        <v>90</v>
      </c>
    </row>
    <row r="1858" spans="1:6" hidden="1" x14ac:dyDescent="0.25">
      <c r="A1858" s="169">
        <v>43533</v>
      </c>
      <c r="B1858" s="80" t="s">
        <v>789</v>
      </c>
      <c r="C1858" s="80" t="s">
        <v>157</v>
      </c>
      <c r="D1858" s="80" t="s">
        <v>120</v>
      </c>
      <c r="E1858" s="80" t="s">
        <v>131</v>
      </c>
      <c r="F1858" s="170">
        <v>90</v>
      </c>
    </row>
    <row r="1859" spans="1:6" hidden="1" x14ac:dyDescent="0.25">
      <c r="A1859" s="169">
        <v>43535</v>
      </c>
      <c r="B1859" s="80" t="s">
        <v>807</v>
      </c>
      <c r="C1859" s="80" t="s">
        <v>143</v>
      </c>
      <c r="D1859" s="80" t="s">
        <v>120</v>
      </c>
      <c r="E1859" s="80" t="s">
        <v>121</v>
      </c>
      <c r="F1859" s="170">
        <v>90</v>
      </c>
    </row>
    <row r="1860" spans="1:6" hidden="1" x14ac:dyDescent="0.25">
      <c r="A1860" s="169">
        <v>43535</v>
      </c>
      <c r="B1860" s="80" t="s">
        <v>808</v>
      </c>
      <c r="C1860" s="80" t="s">
        <v>152</v>
      </c>
      <c r="D1860" s="80" t="s">
        <v>120</v>
      </c>
      <c r="E1860" s="80" t="s">
        <v>153</v>
      </c>
      <c r="F1860" s="170">
        <v>90</v>
      </c>
    </row>
    <row r="1861" spans="1:6" hidden="1" x14ac:dyDescent="0.25">
      <c r="A1861" s="169">
        <v>43538</v>
      </c>
      <c r="B1861" s="80" t="s">
        <v>837</v>
      </c>
      <c r="C1861" s="80" t="s">
        <v>143</v>
      </c>
      <c r="D1861" s="80" t="s">
        <v>120</v>
      </c>
      <c r="E1861" s="80" t="s">
        <v>131</v>
      </c>
      <c r="F1861" s="170">
        <v>90</v>
      </c>
    </row>
    <row r="1862" spans="1:6" hidden="1" x14ac:dyDescent="0.25">
      <c r="A1862" s="169">
        <v>43538</v>
      </c>
      <c r="B1862" s="80" t="s">
        <v>839</v>
      </c>
      <c r="C1862" s="80" t="s">
        <v>145</v>
      </c>
      <c r="D1862" s="80" t="s">
        <v>120</v>
      </c>
      <c r="E1862" s="80" t="s">
        <v>127</v>
      </c>
      <c r="F1862" s="170">
        <v>90</v>
      </c>
    </row>
    <row r="1863" spans="1:6" hidden="1" x14ac:dyDescent="0.25">
      <c r="A1863" s="169">
        <v>43539</v>
      </c>
      <c r="B1863" s="80" t="s">
        <v>847</v>
      </c>
      <c r="C1863" s="80" t="s">
        <v>125</v>
      </c>
      <c r="D1863" s="80" t="s">
        <v>120</v>
      </c>
      <c r="E1863" s="80" t="s">
        <v>121</v>
      </c>
      <c r="F1863" s="170">
        <v>90</v>
      </c>
    </row>
    <row r="1864" spans="1:6" hidden="1" x14ac:dyDescent="0.25">
      <c r="A1864" s="169">
        <v>43539</v>
      </c>
      <c r="B1864" s="80" t="s">
        <v>852</v>
      </c>
      <c r="C1864" s="80" t="s">
        <v>125</v>
      </c>
      <c r="D1864" s="80" t="s">
        <v>120</v>
      </c>
      <c r="E1864" s="80" t="s">
        <v>127</v>
      </c>
      <c r="F1864" s="170">
        <v>90</v>
      </c>
    </row>
    <row r="1865" spans="1:6" hidden="1" x14ac:dyDescent="0.25">
      <c r="A1865" s="169">
        <v>43540</v>
      </c>
      <c r="B1865" s="80" t="s">
        <v>860</v>
      </c>
      <c r="C1865" s="80" t="s">
        <v>145</v>
      </c>
      <c r="D1865" s="80" t="s">
        <v>120</v>
      </c>
      <c r="E1865" s="80" t="s">
        <v>153</v>
      </c>
      <c r="F1865" s="170">
        <v>90</v>
      </c>
    </row>
    <row r="1866" spans="1:6" hidden="1" x14ac:dyDescent="0.25">
      <c r="A1866" s="169">
        <v>43540</v>
      </c>
      <c r="B1866" s="80" t="s">
        <v>863</v>
      </c>
      <c r="C1866" s="80" t="s">
        <v>129</v>
      </c>
      <c r="D1866" s="80" t="s">
        <v>120</v>
      </c>
      <c r="E1866" s="80" t="s">
        <v>153</v>
      </c>
      <c r="F1866" s="170">
        <v>90</v>
      </c>
    </row>
    <row r="1867" spans="1:6" hidden="1" x14ac:dyDescent="0.25">
      <c r="A1867" s="169">
        <v>43540</v>
      </c>
      <c r="B1867" s="80" t="s">
        <v>866</v>
      </c>
      <c r="C1867" s="80" t="s">
        <v>223</v>
      </c>
      <c r="D1867" s="80" t="s">
        <v>120</v>
      </c>
      <c r="E1867" s="80" t="s">
        <v>131</v>
      </c>
      <c r="F1867" s="170">
        <v>90</v>
      </c>
    </row>
    <row r="1868" spans="1:6" hidden="1" x14ac:dyDescent="0.25">
      <c r="A1868" s="169">
        <v>43541</v>
      </c>
      <c r="B1868" s="80" t="s">
        <v>872</v>
      </c>
      <c r="C1868" s="80" t="s">
        <v>223</v>
      </c>
      <c r="D1868" s="80" t="s">
        <v>120</v>
      </c>
      <c r="E1868" s="80" t="s">
        <v>153</v>
      </c>
      <c r="F1868" s="170">
        <v>90</v>
      </c>
    </row>
    <row r="1869" spans="1:6" hidden="1" x14ac:dyDescent="0.25">
      <c r="A1869" s="169">
        <v>43542</v>
      </c>
      <c r="B1869" s="80" t="s">
        <v>880</v>
      </c>
      <c r="C1869" s="80" t="s">
        <v>119</v>
      </c>
      <c r="D1869" s="80" t="s">
        <v>120</v>
      </c>
      <c r="E1869" s="80" t="s">
        <v>121</v>
      </c>
      <c r="F1869" s="170">
        <v>90</v>
      </c>
    </row>
    <row r="1870" spans="1:6" hidden="1" x14ac:dyDescent="0.25">
      <c r="A1870" s="169">
        <v>43543</v>
      </c>
      <c r="B1870" s="80" t="s">
        <v>884</v>
      </c>
      <c r="C1870" s="80" t="s">
        <v>138</v>
      </c>
      <c r="D1870" s="80" t="s">
        <v>120</v>
      </c>
      <c r="E1870" s="80" t="s">
        <v>131</v>
      </c>
      <c r="F1870" s="170">
        <v>90</v>
      </c>
    </row>
    <row r="1871" spans="1:6" hidden="1" x14ac:dyDescent="0.25">
      <c r="A1871" s="169">
        <v>43543</v>
      </c>
      <c r="B1871" s="80" t="s">
        <v>889</v>
      </c>
      <c r="C1871" s="80" t="s">
        <v>157</v>
      </c>
      <c r="D1871" s="80" t="s">
        <v>120</v>
      </c>
      <c r="E1871" s="80" t="s">
        <v>127</v>
      </c>
      <c r="F1871" s="170">
        <v>90</v>
      </c>
    </row>
    <row r="1872" spans="1:6" hidden="1" x14ac:dyDescent="0.25">
      <c r="A1872" s="169">
        <v>43543</v>
      </c>
      <c r="B1872" s="80" t="s">
        <v>890</v>
      </c>
      <c r="C1872" s="80" t="s">
        <v>136</v>
      </c>
      <c r="D1872" s="80" t="s">
        <v>120</v>
      </c>
      <c r="E1872" s="80" t="s">
        <v>121</v>
      </c>
      <c r="F1872" s="170">
        <v>90</v>
      </c>
    </row>
    <row r="1873" spans="1:6" hidden="1" x14ac:dyDescent="0.25">
      <c r="A1873" s="169">
        <v>43547</v>
      </c>
      <c r="B1873" s="80" t="s">
        <v>921</v>
      </c>
      <c r="C1873" s="80" t="s">
        <v>152</v>
      </c>
      <c r="D1873" s="80" t="s">
        <v>120</v>
      </c>
      <c r="E1873" s="80" t="s">
        <v>134</v>
      </c>
      <c r="F1873" s="170">
        <v>90</v>
      </c>
    </row>
    <row r="1874" spans="1:6" hidden="1" x14ac:dyDescent="0.25">
      <c r="A1874" s="169">
        <v>43548</v>
      </c>
      <c r="B1874" s="80" t="s">
        <v>934</v>
      </c>
      <c r="C1874" s="80" t="s">
        <v>164</v>
      </c>
      <c r="D1874" s="80" t="s">
        <v>120</v>
      </c>
      <c r="E1874" s="80" t="s">
        <v>131</v>
      </c>
      <c r="F1874" s="170">
        <v>90</v>
      </c>
    </row>
    <row r="1875" spans="1:6" hidden="1" x14ac:dyDescent="0.25">
      <c r="A1875" s="169">
        <v>43548</v>
      </c>
      <c r="B1875" s="80" t="s">
        <v>937</v>
      </c>
      <c r="C1875" s="80" t="s">
        <v>129</v>
      </c>
      <c r="D1875" s="80" t="s">
        <v>120</v>
      </c>
      <c r="E1875" s="80" t="s">
        <v>153</v>
      </c>
      <c r="F1875" s="170">
        <v>90</v>
      </c>
    </row>
    <row r="1876" spans="1:6" hidden="1" x14ac:dyDescent="0.25">
      <c r="A1876" s="169">
        <v>43549</v>
      </c>
      <c r="B1876" s="80" t="s">
        <v>942</v>
      </c>
      <c r="C1876" s="80" t="s">
        <v>136</v>
      </c>
      <c r="D1876" s="80" t="s">
        <v>120</v>
      </c>
      <c r="E1876" s="80" t="s">
        <v>134</v>
      </c>
      <c r="F1876" s="170">
        <v>90</v>
      </c>
    </row>
    <row r="1877" spans="1:6" hidden="1" x14ac:dyDescent="0.25">
      <c r="A1877" s="169">
        <v>43549</v>
      </c>
      <c r="B1877" s="80" t="s">
        <v>947</v>
      </c>
      <c r="C1877" s="80" t="s">
        <v>123</v>
      </c>
      <c r="D1877" s="80" t="s">
        <v>120</v>
      </c>
      <c r="E1877" s="80" t="s">
        <v>131</v>
      </c>
      <c r="F1877" s="170">
        <v>90</v>
      </c>
    </row>
    <row r="1878" spans="1:6" hidden="1" x14ac:dyDescent="0.25">
      <c r="A1878" s="169">
        <v>43550</v>
      </c>
      <c r="B1878" s="80" t="s">
        <v>953</v>
      </c>
      <c r="C1878" s="80" t="s">
        <v>136</v>
      </c>
      <c r="D1878" s="80" t="s">
        <v>120</v>
      </c>
      <c r="E1878" s="80" t="s">
        <v>127</v>
      </c>
      <c r="F1878" s="170">
        <v>90</v>
      </c>
    </row>
    <row r="1879" spans="1:6" hidden="1" x14ac:dyDescent="0.25">
      <c r="A1879" s="169">
        <v>43551</v>
      </c>
      <c r="B1879" s="80" t="s">
        <v>955</v>
      </c>
      <c r="C1879" s="80" t="s">
        <v>189</v>
      </c>
      <c r="D1879" s="80" t="s">
        <v>120</v>
      </c>
      <c r="E1879" s="80" t="s">
        <v>131</v>
      </c>
      <c r="F1879" s="170">
        <v>90</v>
      </c>
    </row>
    <row r="1880" spans="1:6" hidden="1" x14ac:dyDescent="0.25">
      <c r="A1880" s="169">
        <v>43551</v>
      </c>
      <c r="B1880" s="80" t="s">
        <v>960</v>
      </c>
      <c r="C1880" s="80" t="s">
        <v>148</v>
      </c>
      <c r="D1880" s="80" t="s">
        <v>120</v>
      </c>
      <c r="E1880" s="80" t="s">
        <v>127</v>
      </c>
      <c r="F1880" s="170">
        <v>90</v>
      </c>
    </row>
    <row r="1881" spans="1:6" hidden="1" x14ac:dyDescent="0.25">
      <c r="A1881" s="169">
        <v>43552</v>
      </c>
      <c r="B1881" s="80" t="s">
        <v>967</v>
      </c>
      <c r="C1881" s="80" t="s">
        <v>167</v>
      </c>
      <c r="D1881" s="80" t="s">
        <v>120</v>
      </c>
      <c r="E1881" s="80" t="s">
        <v>121</v>
      </c>
      <c r="F1881" s="170">
        <v>90</v>
      </c>
    </row>
    <row r="1882" spans="1:6" hidden="1" x14ac:dyDescent="0.25">
      <c r="A1882" s="169">
        <v>43552</v>
      </c>
      <c r="B1882" s="80" t="s">
        <v>971</v>
      </c>
      <c r="C1882" s="80" t="s">
        <v>138</v>
      </c>
      <c r="D1882" s="80" t="s">
        <v>120</v>
      </c>
      <c r="E1882" s="80" t="s">
        <v>127</v>
      </c>
      <c r="F1882" s="170">
        <v>90</v>
      </c>
    </row>
    <row r="1883" spans="1:6" hidden="1" x14ac:dyDescent="0.25">
      <c r="A1883" s="169">
        <v>43552</v>
      </c>
      <c r="B1883" s="80" t="s">
        <v>975</v>
      </c>
      <c r="C1883" s="80" t="s">
        <v>138</v>
      </c>
      <c r="D1883" s="80" t="s">
        <v>120</v>
      </c>
      <c r="E1883" s="80" t="s">
        <v>121</v>
      </c>
      <c r="F1883" s="170">
        <v>90</v>
      </c>
    </row>
    <row r="1884" spans="1:6" hidden="1" x14ac:dyDescent="0.25">
      <c r="A1884" s="169">
        <v>43553</v>
      </c>
      <c r="B1884" s="80" t="s">
        <v>980</v>
      </c>
      <c r="C1884" s="80" t="s">
        <v>189</v>
      </c>
      <c r="D1884" s="80" t="s">
        <v>120</v>
      </c>
      <c r="E1884" s="80" t="s">
        <v>121</v>
      </c>
      <c r="F1884" s="170">
        <v>90</v>
      </c>
    </row>
    <row r="1885" spans="1:6" hidden="1" x14ac:dyDescent="0.25">
      <c r="A1885" s="169">
        <v>43554</v>
      </c>
      <c r="B1885" s="80" t="s">
        <v>983</v>
      </c>
      <c r="C1885" s="80" t="s">
        <v>119</v>
      </c>
      <c r="D1885" s="80" t="s">
        <v>120</v>
      </c>
      <c r="E1885" s="80" t="s">
        <v>127</v>
      </c>
      <c r="F1885" s="170">
        <v>90</v>
      </c>
    </row>
    <row r="1886" spans="1:6" hidden="1" x14ac:dyDescent="0.25">
      <c r="A1886" s="169">
        <v>43554</v>
      </c>
      <c r="B1886" s="80" t="s">
        <v>984</v>
      </c>
      <c r="C1886" s="80" t="s">
        <v>129</v>
      </c>
      <c r="D1886" s="80" t="s">
        <v>120</v>
      </c>
      <c r="E1886" s="80" t="s">
        <v>134</v>
      </c>
      <c r="F1886" s="170">
        <v>90</v>
      </c>
    </row>
    <row r="1887" spans="1:6" hidden="1" x14ac:dyDescent="0.25">
      <c r="A1887" s="169">
        <v>43555</v>
      </c>
      <c r="B1887" s="80" t="s">
        <v>1003</v>
      </c>
      <c r="C1887" s="80" t="s">
        <v>182</v>
      </c>
      <c r="D1887" s="80" t="s">
        <v>120</v>
      </c>
      <c r="E1887" s="80" t="s">
        <v>131</v>
      </c>
      <c r="F1887" s="170">
        <v>90</v>
      </c>
    </row>
    <row r="1888" spans="1:6" hidden="1" x14ac:dyDescent="0.25">
      <c r="A1888" s="169">
        <v>43556</v>
      </c>
      <c r="B1888" s="80" t="s">
        <v>1006</v>
      </c>
      <c r="C1888" s="80" t="s">
        <v>182</v>
      </c>
      <c r="D1888" s="80" t="s">
        <v>120</v>
      </c>
      <c r="E1888" s="80" t="s">
        <v>134</v>
      </c>
      <c r="F1888" s="170">
        <v>90</v>
      </c>
    </row>
    <row r="1889" spans="1:6" hidden="1" x14ac:dyDescent="0.25">
      <c r="A1889" s="169">
        <v>43557</v>
      </c>
      <c r="B1889" s="80" t="s">
        <v>1017</v>
      </c>
      <c r="C1889" s="80" t="s">
        <v>138</v>
      </c>
      <c r="D1889" s="80" t="s">
        <v>120</v>
      </c>
      <c r="E1889" s="80" t="s">
        <v>127</v>
      </c>
      <c r="F1889" s="170">
        <v>90</v>
      </c>
    </row>
    <row r="1890" spans="1:6" hidden="1" x14ac:dyDescent="0.25">
      <c r="A1890" s="169">
        <v>43557</v>
      </c>
      <c r="B1890" s="80" t="s">
        <v>1022</v>
      </c>
      <c r="C1890" s="80" t="s">
        <v>187</v>
      </c>
      <c r="D1890" s="80" t="s">
        <v>120</v>
      </c>
      <c r="E1890" s="80" t="s">
        <v>121</v>
      </c>
      <c r="F1890" s="170">
        <v>90</v>
      </c>
    </row>
    <row r="1891" spans="1:6" hidden="1" x14ac:dyDescent="0.25">
      <c r="A1891" s="169">
        <v>43558</v>
      </c>
      <c r="B1891" s="80" t="s">
        <v>1027</v>
      </c>
      <c r="C1891" s="80" t="s">
        <v>119</v>
      </c>
      <c r="D1891" s="80" t="s">
        <v>120</v>
      </c>
      <c r="E1891" s="80" t="s">
        <v>134</v>
      </c>
      <c r="F1891" s="170">
        <v>90</v>
      </c>
    </row>
    <row r="1892" spans="1:6" hidden="1" x14ac:dyDescent="0.25">
      <c r="A1892" s="169">
        <v>43559</v>
      </c>
      <c r="B1892" s="80" t="s">
        <v>1038</v>
      </c>
      <c r="C1892" s="80" t="s">
        <v>129</v>
      </c>
      <c r="D1892" s="80" t="s">
        <v>120</v>
      </c>
      <c r="E1892" s="80" t="s">
        <v>131</v>
      </c>
      <c r="F1892" s="170">
        <v>90</v>
      </c>
    </row>
    <row r="1893" spans="1:6" hidden="1" x14ac:dyDescent="0.25">
      <c r="A1893" s="169">
        <v>43559</v>
      </c>
      <c r="B1893" s="80" t="s">
        <v>1040</v>
      </c>
      <c r="C1893" s="80" t="s">
        <v>167</v>
      </c>
      <c r="D1893" s="80" t="s">
        <v>120</v>
      </c>
      <c r="E1893" s="80" t="s">
        <v>121</v>
      </c>
      <c r="F1893" s="170">
        <v>90</v>
      </c>
    </row>
    <row r="1894" spans="1:6" hidden="1" x14ac:dyDescent="0.25">
      <c r="A1894" s="169">
        <v>43560</v>
      </c>
      <c r="B1894" s="80" t="s">
        <v>1046</v>
      </c>
      <c r="C1894" s="80" t="s">
        <v>157</v>
      </c>
      <c r="D1894" s="80" t="s">
        <v>120</v>
      </c>
      <c r="E1894" s="80" t="s">
        <v>153</v>
      </c>
      <c r="F1894" s="170">
        <v>90</v>
      </c>
    </row>
    <row r="1895" spans="1:6" hidden="1" x14ac:dyDescent="0.25">
      <c r="A1895" s="169">
        <v>43560</v>
      </c>
      <c r="B1895" s="80" t="s">
        <v>1047</v>
      </c>
      <c r="C1895" s="80" t="s">
        <v>164</v>
      </c>
      <c r="D1895" s="80" t="s">
        <v>120</v>
      </c>
      <c r="E1895" s="80" t="s">
        <v>131</v>
      </c>
      <c r="F1895" s="170">
        <v>90</v>
      </c>
    </row>
    <row r="1896" spans="1:6" hidden="1" x14ac:dyDescent="0.25">
      <c r="A1896" s="169">
        <v>43561</v>
      </c>
      <c r="B1896" s="80" t="s">
        <v>1054</v>
      </c>
      <c r="C1896" s="80" t="s">
        <v>119</v>
      </c>
      <c r="D1896" s="80" t="s">
        <v>120</v>
      </c>
      <c r="E1896" s="80" t="s">
        <v>134</v>
      </c>
      <c r="F1896" s="170">
        <v>90</v>
      </c>
    </row>
    <row r="1897" spans="1:6" hidden="1" x14ac:dyDescent="0.25">
      <c r="A1897" s="169">
        <v>43561</v>
      </c>
      <c r="B1897" s="80" t="s">
        <v>1063</v>
      </c>
      <c r="C1897" s="80" t="s">
        <v>182</v>
      </c>
      <c r="D1897" s="80" t="s">
        <v>120</v>
      </c>
      <c r="E1897" s="80" t="s">
        <v>127</v>
      </c>
      <c r="F1897" s="170">
        <v>90</v>
      </c>
    </row>
    <row r="1898" spans="1:6" hidden="1" x14ac:dyDescent="0.25">
      <c r="A1898" s="169">
        <v>43561</v>
      </c>
      <c r="B1898" s="80" t="s">
        <v>1064</v>
      </c>
      <c r="C1898" s="80" t="s">
        <v>189</v>
      </c>
      <c r="D1898" s="80" t="s">
        <v>120</v>
      </c>
      <c r="E1898" s="80" t="s">
        <v>153</v>
      </c>
      <c r="F1898" s="170">
        <v>90</v>
      </c>
    </row>
    <row r="1899" spans="1:6" hidden="1" x14ac:dyDescent="0.25">
      <c r="A1899" s="169">
        <v>43563</v>
      </c>
      <c r="B1899" s="80" t="s">
        <v>1077</v>
      </c>
      <c r="C1899" s="80" t="s">
        <v>136</v>
      </c>
      <c r="D1899" s="80" t="s">
        <v>120</v>
      </c>
      <c r="E1899" s="80" t="s">
        <v>153</v>
      </c>
      <c r="F1899" s="170">
        <v>90</v>
      </c>
    </row>
    <row r="1900" spans="1:6" hidden="1" x14ac:dyDescent="0.25">
      <c r="A1900" s="169">
        <v>43563</v>
      </c>
      <c r="B1900" s="80" t="s">
        <v>1078</v>
      </c>
      <c r="C1900" s="80" t="s">
        <v>125</v>
      </c>
      <c r="D1900" s="80" t="s">
        <v>120</v>
      </c>
      <c r="E1900" s="80" t="s">
        <v>131</v>
      </c>
      <c r="F1900" s="170">
        <v>90</v>
      </c>
    </row>
    <row r="1901" spans="1:6" hidden="1" x14ac:dyDescent="0.25">
      <c r="A1901" s="169">
        <v>43564</v>
      </c>
      <c r="B1901" s="80" t="s">
        <v>1080</v>
      </c>
      <c r="C1901" s="80" t="s">
        <v>182</v>
      </c>
      <c r="D1901" s="80" t="s">
        <v>120</v>
      </c>
      <c r="E1901" s="80" t="s">
        <v>127</v>
      </c>
      <c r="F1901" s="170">
        <v>90</v>
      </c>
    </row>
    <row r="1902" spans="1:6" hidden="1" x14ac:dyDescent="0.25">
      <c r="A1902" s="169">
        <v>43565</v>
      </c>
      <c r="B1902" s="80" t="s">
        <v>1090</v>
      </c>
      <c r="C1902" s="80" t="s">
        <v>223</v>
      </c>
      <c r="D1902" s="80" t="s">
        <v>120</v>
      </c>
      <c r="E1902" s="80" t="s">
        <v>134</v>
      </c>
      <c r="F1902" s="170">
        <v>90</v>
      </c>
    </row>
    <row r="1903" spans="1:6" hidden="1" x14ac:dyDescent="0.25">
      <c r="A1903" s="169">
        <v>43566</v>
      </c>
      <c r="B1903" s="80" t="s">
        <v>1097</v>
      </c>
      <c r="C1903" s="80" t="s">
        <v>119</v>
      </c>
      <c r="D1903" s="80" t="s">
        <v>120</v>
      </c>
      <c r="E1903" s="80" t="s">
        <v>131</v>
      </c>
      <c r="F1903" s="170">
        <v>90</v>
      </c>
    </row>
    <row r="1904" spans="1:6" hidden="1" x14ac:dyDescent="0.25">
      <c r="A1904" s="169">
        <v>43570</v>
      </c>
      <c r="B1904" s="80" t="s">
        <v>1136</v>
      </c>
      <c r="C1904" s="80" t="s">
        <v>125</v>
      </c>
      <c r="D1904" s="80" t="s">
        <v>120</v>
      </c>
      <c r="E1904" s="80" t="s">
        <v>134</v>
      </c>
      <c r="F1904" s="170">
        <v>90</v>
      </c>
    </row>
    <row r="1905" spans="1:6" hidden="1" x14ac:dyDescent="0.25">
      <c r="A1905" s="169">
        <v>43570</v>
      </c>
      <c r="B1905" s="80" t="s">
        <v>1145</v>
      </c>
      <c r="C1905" s="80" t="s">
        <v>119</v>
      </c>
      <c r="D1905" s="80" t="s">
        <v>120</v>
      </c>
      <c r="E1905" s="80" t="s">
        <v>153</v>
      </c>
      <c r="F1905" s="170">
        <v>90</v>
      </c>
    </row>
    <row r="1906" spans="1:6" hidden="1" x14ac:dyDescent="0.25">
      <c r="A1906" s="169">
        <v>43571</v>
      </c>
      <c r="B1906" s="80" t="s">
        <v>1149</v>
      </c>
      <c r="C1906" s="80" t="s">
        <v>182</v>
      </c>
      <c r="D1906" s="80" t="s">
        <v>120</v>
      </c>
      <c r="E1906" s="80" t="s">
        <v>153</v>
      </c>
      <c r="F1906" s="170">
        <v>90</v>
      </c>
    </row>
    <row r="1907" spans="1:6" hidden="1" x14ac:dyDescent="0.25">
      <c r="A1907" s="169">
        <v>43572</v>
      </c>
      <c r="B1907" s="80" t="s">
        <v>1156</v>
      </c>
      <c r="C1907" s="80" t="s">
        <v>187</v>
      </c>
      <c r="D1907" s="80" t="s">
        <v>120</v>
      </c>
      <c r="E1907" s="80" t="s">
        <v>131</v>
      </c>
      <c r="F1907" s="170">
        <v>90</v>
      </c>
    </row>
    <row r="1908" spans="1:6" hidden="1" x14ac:dyDescent="0.25">
      <c r="A1908" s="169">
        <v>43573</v>
      </c>
      <c r="B1908" s="80" t="s">
        <v>1166</v>
      </c>
      <c r="C1908" s="80" t="s">
        <v>182</v>
      </c>
      <c r="D1908" s="80" t="s">
        <v>120</v>
      </c>
      <c r="E1908" s="80" t="s">
        <v>131</v>
      </c>
      <c r="F1908" s="170">
        <v>90</v>
      </c>
    </row>
    <row r="1909" spans="1:6" hidden="1" x14ac:dyDescent="0.25">
      <c r="A1909" s="169">
        <v>43573</v>
      </c>
      <c r="B1909" s="80" t="s">
        <v>1167</v>
      </c>
      <c r="C1909" s="80" t="s">
        <v>136</v>
      </c>
      <c r="D1909" s="80" t="s">
        <v>120</v>
      </c>
      <c r="E1909" s="80" t="s">
        <v>134</v>
      </c>
      <c r="F1909" s="170">
        <v>90</v>
      </c>
    </row>
    <row r="1910" spans="1:6" hidden="1" x14ac:dyDescent="0.25">
      <c r="A1910" s="169">
        <v>43574</v>
      </c>
      <c r="B1910" s="80" t="s">
        <v>1179</v>
      </c>
      <c r="C1910" s="80" t="s">
        <v>167</v>
      </c>
      <c r="D1910" s="80" t="s">
        <v>120</v>
      </c>
      <c r="E1910" s="80" t="s">
        <v>127</v>
      </c>
      <c r="F1910" s="170">
        <v>90</v>
      </c>
    </row>
    <row r="1911" spans="1:6" hidden="1" x14ac:dyDescent="0.25">
      <c r="A1911" s="169">
        <v>43579</v>
      </c>
      <c r="B1911" s="80" t="s">
        <v>1219</v>
      </c>
      <c r="C1911" s="80" t="s">
        <v>189</v>
      </c>
      <c r="D1911" s="80" t="s">
        <v>120</v>
      </c>
      <c r="E1911" s="80" t="s">
        <v>127</v>
      </c>
      <c r="F1911" s="170">
        <v>90</v>
      </c>
    </row>
    <row r="1912" spans="1:6" hidden="1" x14ac:dyDescent="0.25">
      <c r="A1912" s="169">
        <v>43580</v>
      </c>
      <c r="B1912" s="80" t="s">
        <v>1227</v>
      </c>
      <c r="C1912" s="80" t="s">
        <v>136</v>
      </c>
      <c r="D1912" s="80" t="s">
        <v>120</v>
      </c>
      <c r="E1912" s="80" t="s">
        <v>127</v>
      </c>
      <c r="F1912" s="170">
        <v>90</v>
      </c>
    </row>
    <row r="1913" spans="1:6" hidden="1" x14ac:dyDescent="0.25">
      <c r="A1913" s="169">
        <v>43581</v>
      </c>
      <c r="B1913" s="80" t="s">
        <v>1243</v>
      </c>
      <c r="C1913" s="80" t="s">
        <v>145</v>
      </c>
      <c r="D1913" s="80" t="s">
        <v>120</v>
      </c>
      <c r="E1913" s="80" t="s">
        <v>131</v>
      </c>
      <c r="F1913" s="170">
        <v>90</v>
      </c>
    </row>
    <row r="1914" spans="1:6" hidden="1" x14ac:dyDescent="0.25">
      <c r="A1914" s="169">
        <v>43583</v>
      </c>
      <c r="B1914" s="80" t="s">
        <v>1256</v>
      </c>
      <c r="C1914" s="80" t="s">
        <v>138</v>
      </c>
      <c r="D1914" s="80" t="s">
        <v>120</v>
      </c>
      <c r="E1914" s="80" t="s">
        <v>134</v>
      </c>
      <c r="F1914" s="170">
        <v>90</v>
      </c>
    </row>
    <row r="1915" spans="1:6" hidden="1" x14ac:dyDescent="0.25">
      <c r="A1915" s="169">
        <v>43584</v>
      </c>
      <c r="B1915" s="80" t="s">
        <v>1265</v>
      </c>
      <c r="C1915" s="80" t="s">
        <v>157</v>
      </c>
      <c r="D1915" s="80" t="s">
        <v>120</v>
      </c>
      <c r="E1915" s="80" t="s">
        <v>127</v>
      </c>
      <c r="F1915" s="170">
        <v>90</v>
      </c>
    </row>
    <row r="1916" spans="1:6" hidden="1" x14ac:dyDescent="0.25">
      <c r="A1916" s="169">
        <v>43584</v>
      </c>
      <c r="B1916" s="80" t="s">
        <v>1266</v>
      </c>
      <c r="C1916" s="80" t="s">
        <v>167</v>
      </c>
      <c r="D1916" s="80" t="s">
        <v>120</v>
      </c>
      <c r="E1916" s="80" t="s">
        <v>153</v>
      </c>
      <c r="F1916" s="170">
        <v>90</v>
      </c>
    </row>
    <row r="1917" spans="1:6" hidden="1" x14ac:dyDescent="0.25">
      <c r="A1917" s="169">
        <v>43584</v>
      </c>
      <c r="B1917" s="80" t="s">
        <v>1269</v>
      </c>
      <c r="C1917" s="80" t="s">
        <v>148</v>
      </c>
      <c r="D1917" s="80" t="s">
        <v>120</v>
      </c>
      <c r="E1917" s="80" t="s">
        <v>131</v>
      </c>
      <c r="F1917" s="170">
        <v>90</v>
      </c>
    </row>
    <row r="1918" spans="1:6" hidden="1" x14ac:dyDescent="0.25">
      <c r="A1918" s="169">
        <v>43584</v>
      </c>
      <c r="B1918" s="80" t="s">
        <v>1270</v>
      </c>
      <c r="C1918" s="80" t="s">
        <v>182</v>
      </c>
      <c r="D1918" s="80" t="s">
        <v>120</v>
      </c>
      <c r="E1918" s="80" t="s">
        <v>127</v>
      </c>
      <c r="F1918" s="170">
        <v>90</v>
      </c>
    </row>
    <row r="1919" spans="1:6" hidden="1" x14ac:dyDescent="0.25">
      <c r="A1919" s="169">
        <v>43585</v>
      </c>
      <c r="B1919" s="80" t="s">
        <v>1274</v>
      </c>
      <c r="C1919" s="80" t="s">
        <v>223</v>
      </c>
      <c r="D1919" s="80" t="s">
        <v>120</v>
      </c>
      <c r="E1919" s="80" t="s">
        <v>134</v>
      </c>
      <c r="F1919" s="170">
        <v>90</v>
      </c>
    </row>
    <row r="1920" spans="1:6" hidden="1" x14ac:dyDescent="0.25">
      <c r="A1920" s="169">
        <v>43586</v>
      </c>
      <c r="B1920" s="80" t="s">
        <v>1285</v>
      </c>
      <c r="C1920" s="80" t="s">
        <v>223</v>
      </c>
      <c r="D1920" s="80" t="s">
        <v>120</v>
      </c>
      <c r="E1920" s="80" t="s">
        <v>153</v>
      </c>
      <c r="F1920" s="170">
        <v>90</v>
      </c>
    </row>
    <row r="1921" spans="1:6" hidden="1" x14ac:dyDescent="0.25">
      <c r="A1921" s="169">
        <v>43587</v>
      </c>
      <c r="B1921" s="80" t="s">
        <v>1300</v>
      </c>
      <c r="C1921" s="80" t="s">
        <v>157</v>
      </c>
      <c r="D1921" s="80" t="s">
        <v>120</v>
      </c>
      <c r="E1921" s="80" t="s">
        <v>134</v>
      </c>
      <c r="F1921" s="170">
        <v>90</v>
      </c>
    </row>
    <row r="1922" spans="1:6" hidden="1" x14ac:dyDescent="0.25">
      <c r="A1922" s="169">
        <v>43587</v>
      </c>
      <c r="B1922" s="80" t="s">
        <v>1308</v>
      </c>
      <c r="C1922" s="80" t="s">
        <v>187</v>
      </c>
      <c r="D1922" s="80" t="s">
        <v>120</v>
      </c>
      <c r="E1922" s="80" t="s">
        <v>131</v>
      </c>
      <c r="F1922" s="170">
        <v>90</v>
      </c>
    </row>
    <row r="1923" spans="1:6" hidden="1" x14ac:dyDescent="0.25">
      <c r="A1923" s="169">
        <v>43588</v>
      </c>
      <c r="B1923" s="80" t="s">
        <v>1314</v>
      </c>
      <c r="C1923" s="80" t="s">
        <v>125</v>
      </c>
      <c r="D1923" s="80" t="s">
        <v>120</v>
      </c>
      <c r="E1923" s="80" t="s">
        <v>131</v>
      </c>
      <c r="F1923" s="170">
        <v>90</v>
      </c>
    </row>
    <row r="1924" spans="1:6" hidden="1" x14ac:dyDescent="0.25">
      <c r="A1924" s="169">
        <v>43588</v>
      </c>
      <c r="B1924" s="80" t="s">
        <v>1316</v>
      </c>
      <c r="C1924" s="80" t="s">
        <v>136</v>
      </c>
      <c r="D1924" s="80" t="s">
        <v>120</v>
      </c>
      <c r="E1924" s="80" t="s">
        <v>127</v>
      </c>
      <c r="F1924" s="170">
        <v>90</v>
      </c>
    </row>
    <row r="1925" spans="1:6" hidden="1" x14ac:dyDescent="0.25">
      <c r="A1925" s="169">
        <v>43592</v>
      </c>
      <c r="B1925" s="80" t="s">
        <v>1353</v>
      </c>
      <c r="C1925" s="80" t="s">
        <v>189</v>
      </c>
      <c r="D1925" s="80" t="s">
        <v>120</v>
      </c>
      <c r="E1925" s="80" t="s">
        <v>121</v>
      </c>
      <c r="F1925" s="170">
        <v>90</v>
      </c>
    </row>
    <row r="1926" spans="1:6" hidden="1" x14ac:dyDescent="0.25">
      <c r="A1926" s="169">
        <v>43592</v>
      </c>
      <c r="B1926" s="80" t="s">
        <v>1355</v>
      </c>
      <c r="C1926" s="80" t="s">
        <v>223</v>
      </c>
      <c r="D1926" s="80" t="s">
        <v>120</v>
      </c>
      <c r="E1926" s="80" t="s">
        <v>121</v>
      </c>
      <c r="F1926" s="170">
        <v>90</v>
      </c>
    </row>
    <row r="1927" spans="1:6" hidden="1" x14ac:dyDescent="0.25">
      <c r="A1927" s="169">
        <v>43594</v>
      </c>
      <c r="B1927" s="80" t="s">
        <v>1369</v>
      </c>
      <c r="C1927" s="80" t="s">
        <v>182</v>
      </c>
      <c r="D1927" s="80" t="s">
        <v>120</v>
      </c>
      <c r="E1927" s="80" t="s">
        <v>127</v>
      </c>
      <c r="F1927" s="170">
        <v>90</v>
      </c>
    </row>
    <row r="1928" spans="1:6" hidden="1" x14ac:dyDescent="0.25">
      <c r="A1928" s="169">
        <v>43594</v>
      </c>
      <c r="B1928" s="80" t="s">
        <v>1372</v>
      </c>
      <c r="C1928" s="80" t="s">
        <v>189</v>
      </c>
      <c r="D1928" s="80" t="s">
        <v>120</v>
      </c>
      <c r="E1928" s="80" t="s">
        <v>127</v>
      </c>
      <c r="F1928" s="170">
        <v>90</v>
      </c>
    </row>
    <row r="1929" spans="1:6" hidden="1" x14ac:dyDescent="0.25">
      <c r="A1929" s="169">
        <v>43594</v>
      </c>
      <c r="B1929" s="80" t="s">
        <v>1374</v>
      </c>
      <c r="C1929" s="80" t="s">
        <v>182</v>
      </c>
      <c r="D1929" s="80" t="s">
        <v>120</v>
      </c>
      <c r="E1929" s="80" t="s">
        <v>131</v>
      </c>
      <c r="F1929" s="170">
        <v>90</v>
      </c>
    </row>
    <row r="1930" spans="1:6" hidden="1" x14ac:dyDescent="0.25">
      <c r="A1930" s="169">
        <v>43595</v>
      </c>
      <c r="B1930" s="80" t="s">
        <v>1384</v>
      </c>
      <c r="C1930" s="80" t="s">
        <v>136</v>
      </c>
      <c r="D1930" s="80" t="s">
        <v>120</v>
      </c>
      <c r="E1930" s="80" t="s">
        <v>127</v>
      </c>
      <c r="F1930" s="170">
        <v>90</v>
      </c>
    </row>
    <row r="1931" spans="1:6" hidden="1" x14ac:dyDescent="0.25">
      <c r="A1931" s="169">
        <v>43597</v>
      </c>
      <c r="B1931" s="80" t="s">
        <v>1401</v>
      </c>
      <c r="C1931" s="80" t="s">
        <v>145</v>
      </c>
      <c r="D1931" s="80" t="s">
        <v>120</v>
      </c>
      <c r="E1931" s="80" t="s">
        <v>127</v>
      </c>
      <c r="F1931" s="170">
        <v>90</v>
      </c>
    </row>
    <row r="1932" spans="1:6" hidden="1" x14ac:dyDescent="0.25">
      <c r="A1932" s="169">
        <v>43597</v>
      </c>
      <c r="B1932" s="80" t="s">
        <v>1402</v>
      </c>
      <c r="C1932" s="80" t="s">
        <v>136</v>
      </c>
      <c r="D1932" s="80" t="s">
        <v>120</v>
      </c>
      <c r="E1932" s="80" t="s">
        <v>127</v>
      </c>
      <c r="F1932" s="170">
        <v>90</v>
      </c>
    </row>
    <row r="1933" spans="1:6" hidden="1" x14ac:dyDescent="0.25">
      <c r="A1933" s="169">
        <v>43598</v>
      </c>
      <c r="B1933" s="80" t="s">
        <v>1405</v>
      </c>
      <c r="C1933" s="80" t="s">
        <v>189</v>
      </c>
      <c r="D1933" s="80" t="s">
        <v>120</v>
      </c>
      <c r="E1933" s="80" t="s">
        <v>121</v>
      </c>
      <c r="F1933" s="170">
        <v>90</v>
      </c>
    </row>
    <row r="1934" spans="1:6" hidden="1" x14ac:dyDescent="0.25">
      <c r="A1934" s="169">
        <v>43598</v>
      </c>
      <c r="B1934" s="80" t="s">
        <v>1416</v>
      </c>
      <c r="C1934" s="80" t="s">
        <v>223</v>
      </c>
      <c r="D1934" s="80" t="s">
        <v>120</v>
      </c>
      <c r="E1934" s="80" t="s">
        <v>121</v>
      </c>
      <c r="F1934" s="170">
        <v>90</v>
      </c>
    </row>
    <row r="1935" spans="1:6" hidden="1" x14ac:dyDescent="0.25">
      <c r="A1935" s="169">
        <v>43601</v>
      </c>
      <c r="B1935" s="80" t="s">
        <v>1439</v>
      </c>
      <c r="C1935" s="80" t="s">
        <v>164</v>
      </c>
      <c r="D1935" s="80" t="s">
        <v>120</v>
      </c>
      <c r="E1935" s="80" t="s">
        <v>153</v>
      </c>
      <c r="F1935" s="170">
        <v>90</v>
      </c>
    </row>
    <row r="1936" spans="1:6" hidden="1" x14ac:dyDescent="0.25">
      <c r="A1936" s="169">
        <v>43602</v>
      </c>
      <c r="B1936" s="80" t="s">
        <v>1453</v>
      </c>
      <c r="C1936" s="80" t="s">
        <v>123</v>
      </c>
      <c r="D1936" s="80" t="s">
        <v>120</v>
      </c>
      <c r="E1936" s="80" t="s">
        <v>127</v>
      </c>
      <c r="F1936" s="170">
        <v>90</v>
      </c>
    </row>
    <row r="1937" spans="1:6" hidden="1" x14ac:dyDescent="0.25">
      <c r="A1937" s="169">
        <v>43604</v>
      </c>
      <c r="B1937" s="80" t="s">
        <v>1470</v>
      </c>
      <c r="C1937" s="80" t="s">
        <v>223</v>
      </c>
      <c r="D1937" s="80" t="s">
        <v>120</v>
      </c>
      <c r="E1937" s="80" t="s">
        <v>134</v>
      </c>
      <c r="F1937" s="170">
        <v>90</v>
      </c>
    </row>
    <row r="1938" spans="1:6" hidden="1" x14ac:dyDescent="0.25">
      <c r="A1938" s="169">
        <v>43604</v>
      </c>
      <c r="B1938" s="80" t="s">
        <v>1479</v>
      </c>
      <c r="C1938" s="80" t="s">
        <v>189</v>
      </c>
      <c r="D1938" s="80" t="s">
        <v>120</v>
      </c>
      <c r="E1938" s="80" t="s">
        <v>134</v>
      </c>
      <c r="F1938" s="170">
        <v>90</v>
      </c>
    </row>
    <row r="1939" spans="1:6" hidden="1" x14ac:dyDescent="0.25">
      <c r="A1939" s="169">
        <v>43605</v>
      </c>
      <c r="B1939" s="80" t="s">
        <v>1487</v>
      </c>
      <c r="C1939" s="80" t="s">
        <v>129</v>
      </c>
      <c r="D1939" s="80" t="s">
        <v>120</v>
      </c>
      <c r="E1939" s="80" t="s">
        <v>121</v>
      </c>
      <c r="F1939" s="170">
        <v>90</v>
      </c>
    </row>
    <row r="1940" spans="1:6" hidden="1" x14ac:dyDescent="0.25">
      <c r="A1940" s="169">
        <v>43605</v>
      </c>
      <c r="B1940" s="80" t="s">
        <v>1488</v>
      </c>
      <c r="C1940" s="80" t="s">
        <v>119</v>
      </c>
      <c r="D1940" s="80" t="s">
        <v>120</v>
      </c>
      <c r="E1940" s="80" t="s">
        <v>131</v>
      </c>
      <c r="F1940" s="170">
        <v>90</v>
      </c>
    </row>
    <row r="1941" spans="1:6" hidden="1" x14ac:dyDescent="0.25">
      <c r="A1941" s="169">
        <v>43606</v>
      </c>
      <c r="B1941" s="80" t="s">
        <v>1493</v>
      </c>
      <c r="C1941" s="80" t="s">
        <v>189</v>
      </c>
      <c r="D1941" s="80" t="s">
        <v>120</v>
      </c>
      <c r="E1941" s="80" t="s">
        <v>127</v>
      </c>
      <c r="F1941" s="170">
        <v>90</v>
      </c>
    </row>
    <row r="1942" spans="1:6" hidden="1" x14ac:dyDescent="0.25">
      <c r="A1942" s="169">
        <v>43606</v>
      </c>
      <c r="B1942" s="80" t="s">
        <v>1497</v>
      </c>
      <c r="C1942" s="80" t="s">
        <v>138</v>
      </c>
      <c r="D1942" s="80" t="s">
        <v>120</v>
      </c>
      <c r="E1942" s="80" t="s">
        <v>127</v>
      </c>
      <c r="F1942" s="170">
        <v>90</v>
      </c>
    </row>
    <row r="1943" spans="1:6" hidden="1" x14ac:dyDescent="0.25">
      <c r="A1943" s="169">
        <v>43606</v>
      </c>
      <c r="B1943" s="80" t="s">
        <v>1506</v>
      </c>
      <c r="C1943" s="80" t="s">
        <v>145</v>
      </c>
      <c r="D1943" s="80" t="s">
        <v>120</v>
      </c>
      <c r="E1943" s="80" t="s">
        <v>134</v>
      </c>
      <c r="F1943" s="170">
        <v>90</v>
      </c>
    </row>
    <row r="1944" spans="1:6" hidden="1" x14ac:dyDescent="0.25">
      <c r="A1944" s="169">
        <v>43607</v>
      </c>
      <c r="B1944" s="80" t="s">
        <v>1507</v>
      </c>
      <c r="C1944" s="80" t="s">
        <v>148</v>
      </c>
      <c r="D1944" s="80" t="s">
        <v>120</v>
      </c>
      <c r="E1944" s="80" t="s">
        <v>127</v>
      </c>
      <c r="F1944" s="170">
        <v>90</v>
      </c>
    </row>
    <row r="1945" spans="1:6" hidden="1" x14ac:dyDescent="0.25">
      <c r="A1945" s="169">
        <v>43607</v>
      </c>
      <c r="B1945" s="80" t="s">
        <v>1509</v>
      </c>
      <c r="C1945" s="80" t="s">
        <v>164</v>
      </c>
      <c r="D1945" s="80" t="s">
        <v>120</v>
      </c>
      <c r="E1945" s="80" t="s">
        <v>121</v>
      </c>
      <c r="F1945" s="170">
        <v>90</v>
      </c>
    </row>
    <row r="1946" spans="1:6" hidden="1" x14ac:dyDescent="0.25">
      <c r="A1946" s="169">
        <v>43607</v>
      </c>
      <c r="B1946" s="80" t="s">
        <v>1510</v>
      </c>
      <c r="C1946" s="80" t="s">
        <v>182</v>
      </c>
      <c r="D1946" s="80" t="s">
        <v>120</v>
      </c>
      <c r="E1946" s="80" t="s">
        <v>153</v>
      </c>
      <c r="F1946" s="170">
        <v>90</v>
      </c>
    </row>
    <row r="1947" spans="1:6" hidden="1" x14ac:dyDescent="0.25">
      <c r="A1947" s="169">
        <v>43607</v>
      </c>
      <c r="B1947" s="80" t="s">
        <v>1512</v>
      </c>
      <c r="C1947" s="80" t="s">
        <v>157</v>
      </c>
      <c r="D1947" s="80" t="s">
        <v>120</v>
      </c>
      <c r="E1947" s="80" t="s">
        <v>127</v>
      </c>
      <c r="F1947" s="170">
        <v>90</v>
      </c>
    </row>
    <row r="1948" spans="1:6" hidden="1" x14ac:dyDescent="0.25">
      <c r="A1948" s="169">
        <v>43608</v>
      </c>
      <c r="B1948" s="80" t="s">
        <v>1524</v>
      </c>
      <c r="C1948" s="80" t="s">
        <v>167</v>
      </c>
      <c r="D1948" s="80" t="s">
        <v>120</v>
      </c>
      <c r="E1948" s="80" t="s">
        <v>131</v>
      </c>
      <c r="F1948" s="170">
        <v>90</v>
      </c>
    </row>
    <row r="1949" spans="1:6" hidden="1" x14ac:dyDescent="0.25">
      <c r="A1949" s="169">
        <v>43608</v>
      </c>
      <c r="B1949" s="80" t="s">
        <v>1525</v>
      </c>
      <c r="C1949" s="80" t="s">
        <v>148</v>
      </c>
      <c r="D1949" s="80" t="s">
        <v>120</v>
      </c>
      <c r="E1949" s="80" t="s">
        <v>153</v>
      </c>
      <c r="F1949" s="170">
        <v>90</v>
      </c>
    </row>
    <row r="1950" spans="1:6" hidden="1" x14ac:dyDescent="0.25">
      <c r="A1950" s="169">
        <v>43609</v>
      </c>
      <c r="B1950" s="80" t="s">
        <v>1533</v>
      </c>
      <c r="C1950" s="80" t="s">
        <v>223</v>
      </c>
      <c r="D1950" s="80" t="s">
        <v>120</v>
      </c>
      <c r="E1950" s="80" t="s">
        <v>153</v>
      </c>
      <c r="F1950" s="170">
        <v>90</v>
      </c>
    </row>
    <row r="1951" spans="1:6" hidden="1" x14ac:dyDescent="0.25">
      <c r="A1951" s="169">
        <v>43610</v>
      </c>
      <c r="B1951" s="80" t="s">
        <v>1547</v>
      </c>
      <c r="C1951" s="80" t="s">
        <v>167</v>
      </c>
      <c r="D1951" s="80" t="s">
        <v>120</v>
      </c>
      <c r="E1951" s="80" t="s">
        <v>131</v>
      </c>
      <c r="F1951" s="170">
        <v>90</v>
      </c>
    </row>
    <row r="1952" spans="1:6" hidden="1" x14ac:dyDescent="0.25">
      <c r="A1952" s="169">
        <v>43610</v>
      </c>
      <c r="B1952" s="80" t="s">
        <v>1548</v>
      </c>
      <c r="C1952" s="80" t="s">
        <v>148</v>
      </c>
      <c r="D1952" s="80" t="s">
        <v>120</v>
      </c>
      <c r="E1952" s="80" t="s">
        <v>127</v>
      </c>
      <c r="F1952" s="170">
        <v>90</v>
      </c>
    </row>
    <row r="1953" spans="1:6" hidden="1" x14ac:dyDescent="0.25">
      <c r="A1953" s="169">
        <v>43611</v>
      </c>
      <c r="B1953" s="80" t="s">
        <v>1550</v>
      </c>
      <c r="C1953" s="80" t="s">
        <v>189</v>
      </c>
      <c r="D1953" s="80" t="s">
        <v>120</v>
      </c>
      <c r="E1953" s="80" t="s">
        <v>134</v>
      </c>
      <c r="F1953" s="170">
        <v>90</v>
      </c>
    </row>
    <row r="1954" spans="1:6" hidden="1" x14ac:dyDescent="0.25">
      <c r="A1954" s="169">
        <v>43611</v>
      </c>
      <c r="B1954" s="80" t="s">
        <v>1555</v>
      </c>
      <c r="C1954" s="80" t="s">
        <v>223</v>
      </c>
      <c r="D1954" s="80" t="s">
        <v>120</v>
      </c>
      <c r="E1954" s="80" t="s">
        <v>121</v>
      </c>
      <c r="F1954" s="170">
        <v>90</v>
      </c>
    </row>
    <row r="1955" spans="1:6" hidden="1" x14ac:dyDescent="0.25">
      <c r="A1955" s="169">
        <v>43611</v>
      </c>
      <c r="B1955" s="80" t="s">
        <v>1557</v>
      </c>
      <c r="C1955" s="80" t="s">
        <v>123</v>
      </c>
      <c r="D1955" s="80" t="s">
        <v>120</v>
      </c>
      <c r="E1955" s="80" t="s">
        <v>131</v>
      </c>
      <c r="F1955" s="170">
        <v>90</v>
      </c>
    </row>
    <row r="1956" spans="1:6" hidden="1" x14ac:dyDescent="0.25">
      <c r="A1956" s="169">
        <v>43612</v>
      </c>
      <c r="B1956" s="80" t="s">
        <v>1563</v>
      </c>
      <c r="C1956" s="80" t="s">
        <v>187</v>
      </c>
      <c r="D1956" s="80" t="s">
        <v>120</v>
      </c>
      <c r="E1956" s="80" t="s">
        <v>134</v>
      </c>
      <c r="F1956" s="170">
        <v>90</v>
      </c>
    </row>
    <row r="1957" spans="1:6" hidden="1" x14ac:dyDescent="0.25">
      <c r="A1957" s="169">
        <v>43613</v>
      </c>
      <c r="B1957" s="80" t="s">
        <v>1569</v>
      </c>
      <c r="C1957" s="80" t="s">
        <v>148</v>
      </c>
      <c r="D1957" s="80" t="s">
        <v>120</v>
      </c>
      <c r="E1957" s="80" t="s">
        <v>131</v>
      </c>
      <c r="F1957" s="170">
        <v>90</v>
      </c>
    </row>
    <row r="1958" spans="1:6" hidden="1" x14ac:dyDescent="0.25">
      <c r="A1958" s="169">
        <v>43613</v>
      </c>
      <c r="B1958" s="80" t="s">
        <v>1572</v>
      </c>
      <c r="C1958" s="80" t="s">
        <v>182</v>
      </c>
      <c r="D1958" s="80" t="s">
        <v>120</v>
      </c>
      <c r="E1958" s="80" t="s">
        <v>153</v>
      </c>
      <c r="F1958" s="170">
        <v>90</v>
      </c>
    </row>
    <row r="1959" spans="1:6" hidden="1" x14ac:dyDescent="0.25">
      <c r="A1959" s="169">
        <v>43613</v>
      </c>
      <c r="B1959" s="80" t="s">
        <v>1573</v>
      </c>
      <c r="C1959" s="80" t="s">
        <v>145</v>
      </c>
      <c r="D1959" s="80" t="s">
        <v>120</v>
      </c>
      <c r="E1959" s="80" t="s">
        <v>134</v>
      </c>
      <c r="F1959" s="170">
        <v>90</v>
      </c>
    </row>
    <row r="1960" spans="1:6" hidden="1" x14ac:dyDescent="0.25">
      <c r="A1960" s="169">
        <v>43613</v>
      </c>
      <c r="B1960" s="80" t="s">
        <v>1577</v>
      </c>
      <c r="C1960" s="80" t="s">
        <v>223</v>
      </c>
      <c r="D1960" s="80" t="s">
        <v>120</v>
      </c>
      <c r="E1960" s="80" t="s">
        <v>134</v>
      </c>
      <c r="F1960" s="170">
        <v>90</v>
      </c>
    </row>
    <row r="1961" spans="1:6" hidden="1" x14ac:dyDescent="0.25">
      <c r="A1961" s="169">
        <v>43614</v>
      </c>
      <c r="B1961" s="80" t="s">
        <v>1581</v>
      </c>
      <c r="C1961" s="80" t="s">
        <v>187</v>
      </c>
      <c r="D1961" s="80" t="s">
        <v>120</v>
      </c>
      <c r="E1961" s="80" t="s">
        <v>153</v>
      </c>
      <c r="F1961" s="170">
        <v>90</v>
      </c>
    </row>
    <row r="1962" spans="1:6" hidden="1" x14ac:dyDescent="0.25">
      <c r="A1962" s="169">
        <v>43614</v>
      </c>
      <c r="B1962" s="80" t="s">
        <v>1583</v>
      </c>
      <c r="C1962" s="80" t="s">
        <v>123</v>
      </c>
      <c r="D1962" s="80" t="s">
        <v>120</v>
      </c>
      <c r="E1962" s="80" t="s">
        <v>134</v>
      </c>
      <c r="F1962" s="170">
        <v>90</v>
      </c>
    </row>
    <row r="1963" spans="1:6" hidden="1" x14ac:dyDescent="0.25">
      <c r="A1963" s="169">
        <v>43614</v>
      </c>
      <c r="B1963" s="80" t="s">
        <v>1592</v>
      </c>
      <c r="C1963" s="80" t="s">
        <v>123</v>
      </c>
      <c r="D1963" s="80" t="s">
        <v>120</v>
      </c>
      <c r="E1963" s="80" t="s">
        <v>131</v>
      </c>
      <c r="F1963" s="170">
        <v>90</v>
      </c>
    </row>
    <row r="1964" spans="1:6" hidden="1" x14ac:dyDescent="0.25">
      <c r="A1964" s="169">
        <v>43615</v>
      </c>
      <c r="B1964" s="80" t="s">
        <v>1604</v>
      </c>
      <c r="C1964" s="80" t="s">
        <v>157</v>
      </c>
      <c r="D1964" s="80" t="s">
        <v>120</v>
      </c>
      <c r="E1964" s="80" t="s">
        <v>121</v>
      </c>
      <c r="F1964" s="170">
        <v>90</v>
      </c>
    </row>
    <row r="1965" spans="1:6" hidden="1" x14ac:dyDescent="0.25">
      <c r="A1965" s="169">
        <v>43616</v>
      </c>
      <c r="B1965" s="80" t="s">
        <v>1609</v>
      </c>
      <c r="C1965" s="80" t="s">
        <v>189</v>
      </c>
      <c r="D1965" s="80" t="s">
        <v>120</v>
      </c>
      <c r="E1965" s="80" t="s">
        <v>121</v>
      </c>
      <c r="F1965" s="170">
        <v>90</v>
      </c>
    </row>
    <row r="1966" spans="1:6" hidden="1" x14ac:dyDescent="0.25">
      <c r="A1966" s="169">
        <v>43621</v>
      </c>
      <c r="B1966" s="80" t="s">
        <v>1655</v>
      </c>
      <c r="C1966" s="80" t="s">
        <v>136</v>
      </c>
      <c r="D1966" s="80" t="s">
        <v>120</v>
      </c>
      <c r="E1966" s="80" t="s">
        <v>153</v>
      </c>
      <c r="F1966" s="170">
        <v>90</v>
      </c>
    </row>
    <row r="1967" spans="1:6" hidden="1" x14ac:dyDescent="0.25">
      <c r="A1967" s="169">
        <v>43623</v>
      </c>
      <c r="B1967" s="80" t="s">
        <v>1669</v>
      </c>
      <c r="C1967" s="80" t="s">
        <v>223</v>
      </c>
      <c r="D1967" s="80" t="s">
        <v>120</v>
      </c>
      <c r="E1967" s="80" t="s">
        <v>127</v>
      </c>
      <c r="F1967" s="170">
        <v>90</v>
      </c>
    </row>
    <row r="1968" spans="1:6" hidden="1" x14ac:dyDescent="0.25">
      <c r="A1968" s="169">
        <v>43624</v>
      </c>
      <c r="B1968" s="80" t="s">
        <v>1677</v>
      </c>
      <c r="C1968" s="80" t="s">
        <v>189</v>
      </c>
      <c r="D1968" s="80" t="s">
        <v>120</v>
      </c>
      <c r="E1968" s="80" t="s">
        <v>131</v>
      </c>
      <c r="F1968" s="170">
        <v>90</v>
      </c>
    </row>
    <row r="1969" spans="1:6" hidden="1" x14ac:dyDescent="0.25">
      <c r="A1969" s="169">
        <v>43624</v>
      </c>
      <c r="B1969" s="80" t="s">
        <v>1685</v>
      </c>
      <c r="C1969" s="80" t="s">
        <v>145</v>
      </c>
      <c r="D1969" s="80" t="s">
        <v>120</v>
      </c>
      <c r="E1969" s="80" t="s">
        <v>127</v>
      </c>
      <c r="F1969" s="170">
        <v>90</v>
      </c>
    </row>
    <row r="1970" spans="1:6" hidden="1" x14ac:dyDescent="0.25">
      <c r="A1970" s="169">
        <v>43624</v>
      </c>
      <c r="B1970" s="80" t="s">
        <v>1686</v>
      </c>
      <c r="C1970" s="80" t="s">
        <v>145</v>
      </c>
      <c r="D1970" s="80" t="s">
        <v>120</v>
      </c>
      <c r="E1970" s="80" t="s">
        <v>127</v>
      </c>
      <c r="F1970" s="170">
        <v>90</v>
      </c>
    </row>
    <row r="1971" spans="1:6" hidden="1" x14ac:dyDescent="0.25">
      <c r="A1971" s="169">
        <v>43625</v>
      </c>
      <c r="B1971" s="80" t="s">
        <v>1689</v>
      </c>
      <c r="C1971" s="80" t="s">
        <v>145</v>
      </c>
      <c r="D1971" s="80" t="s">
        <v>120</v>
      </c>
      <c r="E1971" s="80" t="s">
        <v>127</v>
      </c>
      <c r="F1971" s="170">
        <v>90</v>
      </c>
    </row>
    <row r="1972" spans="1:6" hidden="1" x14ac:dyDescent="0.25">
      <c r="A1972" s="169">
        <v>43625</v>
      </c>
      <c r="B1972" s="80" t="s">
        <v>1697</v>
      </c>
      <c r="C1972" s="80" t="s">
        <v>136</v>
      </c>
      <c r="D1972" s="80" t="s">
        <v>120</v>
      </c>
      <c r="E1972" s="80" t="s">
        <v>134</v>
      </c>
      <c r="F1972" s="170">
        <v>90</v>
      </c>
    </row>
    <row r="1973" spans="1:6" hidden="1" x14ac:dyDescent="0.25">
      <c r="A1973" s="169">
        <v>43626</v>
      </c>
      <c r="B1973" s="80" t="s">
        <v>1700</v>
      </c>
      <c r="C1973" s="80" t="s">
        <v>123</v>
      </c>
      <c r="D1973" s="80" t="s">
        <v>120</v>
      </c>
      <c r="E1973" s="80" t="s">
        <v>127</v>
      </c>
      <c r="F1973" s="170">
        <v>90</v>
      </c>
    </row>
    <row r="1974" spans="1:6" hidden="1" x14ac:dyDescent="0.25">
      <c r="A1974" s="169">
        <v>43626</v>
      </c>
      <c r="B1974" s="80" t="s">
        <v>1709</v>
      </c>
      <c r="C1974" s="80" t="s">
        <v>182</v>
      </c>
      <c r="D1974" s="80" t="s">
        <v>120</v>
      </c>
      <c r="E1974" s="80" t="s">
        <v>131</v>
      </c>
      <c r="F1974" s="170">
        <v>90</v>
      </c>
    </row>
    <row r="1975" spans="1:6" hidden="1" x14ac:dyDescent="0.25">
      <c r="A1975" s="169">
        <v>43626</v>
      </c>
      <c r="B1975" s="80" t="s">
        <v>1711</v>
      </c>
      <c r="C1975" s="80" t="s">
        <v>148</v>
      </c>
      <c r="D1975" s="80" t="s">
        <v>120</v>
      </c>
      <c r="E1975" s="80" t="s">
        <v>131</v>
      </c>
      <c r="F1975" s="170">
        <v>90</v>
      </c>
    </row>
    <row r="1976" spans="1:6" hidden="1" x14ac:dyDescent="0.25">
      <c r="A1976" s="169">
        <v>43627</v>
      </c>
      <c r="B1976" s="80" t="s">
        <v>1716</v>
      </c>
      <c r="C1976" s="80" t="s">
        <v>136</v>
      </c>
      <c r="D1976" s="80" t="s">
        <v>120</v>
      </c>
      <c r="E1976" s="80" t="s">
        <v>127</v>
      </c>
      <c r="F1976" s="170">
        <v>90</v>
      </c>
    </row>
    <row r="1977" spans="1:6" hidden="1" x14ac:dyDescent="0.25">
      <c r="A1977" s="169">
        <v>43627</v>
      </c>
      <c r="B1977" s="80" t="s">
        <v>1721</v>
      </c>
      <c r="C1977" s="80" t="s">
        <v>145</v>
      </c>
      <c r="D1977" s="80" t="s">
        <v>120</v>
      </c>
      <c r="E1977" s="80" t="s">
        <v>134</v>
      </c>
      <c r="F1977" s="170">
        <v>90</v>
      </c>
    </row>
    <row r="1978" spans="1:6" hidden="1" x14ac:dyDescent="0.25">
      <c r="A1978" s="169">
        <v>43629</v>
      </c>
      <c r="B1978" s="80" t="s">
        <v>1730</v>
      </c>
      <c r="C1978" s="80" t="s">
        <v>187</v>
      </c>
      <c r="D1978" s="80" t="s">
        <v>120</v>
      </c>
      <c r="E1978" s="80" t="s">
        <v>127</v>
      </c>
      <c r="F1978" s="170">
        <v>90</v>
      </c>
    </row>
    <row r="1979" spans="1:6" hidden="1" x14ac:dyDescent="0.25">
      <c r="A1979" s="169">
        <v>43629</v>
      </c>
      <c r="B1979" s="80" t="s">
        <v>1736</v>
      </c>
      <c r="C1979" s="80" t="s">
        <v>164</v>
      </c>
      <c r="D1979" s="80" t="s">
        <v>120</v>
      </c>
      <c r="E1979" s="80" t="s">
        <v>153</v>
      </c>
      <c r="F1979" s="170">
        <v>90</v>
      </c>
    </row>
    <row r="1980" spans="1:6" hidden="1" x14ac:dyDescent="0.25">
      <c r="A1980" s="169">
        <v>43630</v>
      </c>
      <c r="B1980" s="80" t="s">
        <v>1739</v>
      </c>
      <c r="C1980" s="80" t="s">
        <v>129</v>
      </c>
      <c r="D1980" s="80" t="s">
        <v>120</v>
      </c>
      <c r="E1980" s="80" t="s">
        <v>121</v>
      </c>
      <c r="F1980" s="170">
        <v>90</v>
      </c>
    </row>
    <row r="1981" spans="1:6" hidden="1" x14ac:dyDescent="0.25">
      <c r="A1981" s="169">
        <v>43631</v>
      </c>
      <c r="B1981" s="80" t="s">
        <v>1754</v>
      </c>
      <c r="C1981" s="80" t="s">
        <v>189</v>
      </c>
      <c r="D1981" s="80" t="s">
        <v>120</v>
      </c>
      <c r="E1981" s="80" t="s">
        <v>121</v>
      </c>
      <c r="F1981" s="170">
        <v>90</v>
      </c>
    </row>
    <row r="1982" spans="1:6" hidden="1" x14ac:dyDescent="0.25">
      <c r="A1982" s="169">
        <v>43632</v>
      </c>
      <c r="B1982" s="80" t="s">
        <v>1759</v>
      </c>
      <c r="C1982" s="80" t="s">
        <v>157</v>
      </c>
      <c r="D1982" s="80" t="s">
        <v>120</v>
      </c>
      <c r="E1982" s="80" t="s">
        <v>127</v>
      </c>
      <c r="F1982" s="170">
        <v>90</v>
      </c>
    </row>
    <row r="1983" spans="1:6" hidden="1" x14ac:dyDescent="0.25">
      <c r="A1983" s="169">
        <v>43632</v>
      </c>
      <c r="B1983" s="80" t="s">
        <v>1764</v>
      </c>
      <c r="C1983" s="80" t="s">
        <v>187</v>
      </c>
      <c r="D1983" s="80" t="s">
        <v>120</v>
      </c>
      <c r="E1983" s="80" t="s">
        <v>153</v>
      </c>
      <c r="F1983" s="170">
        <v>90</v>
      </c>
    </row>
    <row r="1984" spans="1:6" hidden="1" x14ac:dyDescent="0.25">
      <c r="A1984" s="169">
        <v>43632</v>
      </c>
      <c r="B1984" s="80" t="s">
        <v>1767</v>
      </c>
      <c r="C1984" s="80" t="s">
        <v>189</v>
      </c>
      <c r="D1984" s="80" t="s">
        <v>120</v>
      </c>
      <c r="E1984" s="80" t="s">
        <v>127</v>
      </c>
      <c r="F1984" s="170">
        <v>90</v>
      </c>
    </row>
    <row r="1985" spans="1:6" hidden="1" x14ac:dyDescent="0.25">
      <c r="A1985" s="169">
        <v>43633</v>
      </c>
      <c r="B1985" s="80" t="s">
        <v>1774</v>
      </c>
      <c r="C1985" s="80" t="s">
        <v>119</v>
      </c>
      <c r="D1985" s="80" t="s">
        <v>120</v>
      </c>
      <c r="E1985" s="80" t="s">
        <v>121</v>
      </c>
      <c r="F1985" s="170">
        <v>90</v>
      </c>
    </row>
    <row r="1986" spans="1:6" hidden="1" x14ac:dyDescent="0.25">
      <c r="A1986" s="169">
        <v>43633</v>
      </c>
      <c r="B1986" s="80" t="s">
        <v>1776</v>
      </c>
      <c r="C1986" s="80" t="s">
        <v>145</v>
      </c>
      <c r="D1986" s="80" t="s">
        <v>120</v>
      </c>
      <c r="E1986" s="80" t="s">
        <v>153</v>
      </c>
      <c r="F1986" s="170">
        <v>90</v>
      </c>
    </row>
    <row r="1987" spans="1:6" hidden="1" x14ac:dyDescent="0.25">
      <c r="A1987" s="169">
        <v>43635</v>
      </c>
      <c r="B1987" s="80" t="s">
        <v>1794</v>
      </c>
      <c r="C1987" s="80" t="s">
        <v>189</v>
      </c>
      <c r="D1987" s="80" t="s">
        <v>120</v>
      </c>
      <c r="E1987" s="80" t="s">
        <v>121</v>
      </c>
      <c r="F1987" s="170">
        <v>90</v>
      </c>
    </row>
    <row r="1988" spans="1:6" hidden="1" x14ac:dyDescent="0.25">
      <c r="A1988" s="169">
        <v>43638</v>
      </c>
      <c r="B1988" s="80" t="s">
        <v>1815</v>
      </c>
      <c r="C1988" s="80" t="s">
        <v>182</v>
      </c>
      <c r="D1988" s="80" t="s">
        <v>120</v>
      </c>
      <c r="E1988" s="80" t="s">
        <v>131</v>
      </c>
      <c r="F1988" s="170">
        <v>90</v>
      </c>
    </row>
    <row r="1989" spans="1:6" hidden="1" x14ac:dyDescent="0.25">
      <c r="A1989" s="169">
        <v>43638</v>
      </c>
      <c r="B1989" s="80" t="s">
        <v>1817</v>
      </c>
      <c r="C1989" s="80" t="s">
        <v>223</v>
      </c>
      <c r="D1989" s="80" t="s">
        <v>120</v>
      </c>
      <c r="E1989" s="80" t="s">
        <v>134</v>
      </c>
      <c r="F1989" s="170">
        <v>90</v>
      </c>
    </row>
    <row r="1990" spans="1:6" hidden="1" x14ac:dyDescent="0.25">
      <c r="A1990" s="169">
        <v>43639</v>
      </c>
      <c r="B1990" s="80" t="s">
        <v>1827</v>
      </c>
      <c r="C1990" s="80" t="s">
        <v>125</v>
      </c>
      <c r="D1990" s="80" t="s">
        <v>120</v>
      </c>
      <c r="E1990" s="80" t="s">
        <v>131</v>
      </c>
      <c r="F1990" s="170">
        <v>90</v>
      </c>
    </row>
    <row r="1991" spans="1:6" hidden="1" x14ac:dyDescent="0.25">
      <c r="A1991" s="169">
        <v>43641</v>
      </c>
      <c r="B1991" s="80" t="s">
        <v>1832</v>
      </c>
      <c r="C1991" s="80" t="s">
        <v>125</v>
      </c>
      <c r="D1991" s="80" t="s">
        <v>120</v>
      </c>
      <c r="E1991" s="80" t="s">
        <v>121</v>
      </c>
      <c r="F1991" s="170">
        <v>90</v>
      </c>
    </row>
    <row r="1992" spans="1:6" hidden="1" x14ac:dyDescent="0.25">
      <c r="A1992" s="169">
        <v>43643</v>
      </c>
      <c r="B1992" s="80" t="s">
        <v>1852</v>
      </c>
      <c r="C1992" s="80" t="s">
        <v>123</v>
      </c>
      <c r="D1992" s="80" t="s">
        <v>120</v>
      </c>
      <c r="E1992" s="80" t="s">
        <v>131</v>
      </c>
      <c r="F1992" s="170">
        <v>90</v>
      </c>
    </row>
    <row r="1993" spans="1:6" hidden="1" x14ac:dyDescent="0.25">
      <c r="A1993" s="169">
        <v>43644</v>
      </c>
      <c r="B1993" s="80" t="s">
        <v>1857</v>
      </c>
      <c r="C1993" s="80" t="s">
        <v>143</v>
      </c>
      <c r="D1993" s="80" t="s">
        <v>120</v>
      </c>
      <c r="E1993" s="80" t="s">
        <v>134</v>
      </c>
      <c r="F1993" s="170">
        <v>90</v>
      </c>
    </row>
    <row r="1994" spans="1:6" hidden="1" x14ac:dyDescent="0.25">
      <c r="A1994" s="169">
        <v>43645</v>
      </c>
      <c r="B1994" s="80" t="s">
        <v>1870</v>
      </c>
      <c r="C1994" s="80" t="s">
        <v>119</v>
      </c>
      <c r="D1994" s="80" t="s">
        <v>120</v>
      </c>
      <c r="E1994" s="80" t="s">
        <v>134</v>
      </c>
      <c r="F1994" s="170">
        <v>90</v>
      </c>
    </row>
    <row r="1995" spans="1:6" hidden="1" x14ac:dyDescent="0.25">
      <c r="A1995" s="169">
        <v>43646</v>
      </c>
      <c r="B1995" s="80" t="s">
        <v>1879</v>
      </c>
      <c r="C1995" s="80" t="s">
        <v>189</v>
      </c>
      <c r="D1995" s="80" t="s">
        <v>120</v>
      </c>
      <c r="E1995" s="80" t="s">
        <v>153</v>
      </c>
      <c r="F1995" s="170">
        <v>90</v>
      </c>
    </row>
    <row r="1996" spans="1:6" hidden="1" x14ac:dyDescent="0.25">
      <c r="A1996" s="169">
        <v>43646</v>
      </c>
      <c r="B1996" s="80" t="s">
        <v>1885</v>
      </c>
      <c r="C1996" s="80" t="s">
        <v>119</v>
      </c>
      <c r="D1996" s="80" t="s">
        <v>120</v>
      </c>
      <c r="E1996" s="80" t="s">
        <v>127</v>
      </c>
      <c r="F1996" s="170">
        <v>90</v>
      </c>
    </row>
    <row r="1997" spans="1:6" hidden="1" x14ac:dyDescent="0.25">
      <c r="A1997" s="169">
        <v>43646</v>
      </c>
      <c r="B1997" s="80" t="s">
        <v>1886</v>
      </c>
      <c r="C1997" s="80" t="s">
        <v>138</v>
      </c>
      <c r="D1997" s="80" t="s">
        <v>120</v>
      </c>
      <c r="E1997" s="80" t="s">
        <v>134</v>
      </c>
      <c r="F1997" s="170">
        <v>90</v>
      </c>
    </row>
    <row r="1998" spans="1:6" hidden="1" x14ac:dyDescent="0.25">
      <c r="A1998" s="169">
        <v>43648</v>
      </c>
      <c r="B1998" s="80" t="s">
        <v>1901</v>
      </c>
      <c r="C1998" s="80" t="s">
        <v>167</v>
      </c>
      <c r="D1998" s="80" t="s">
        <v>120</v>
      </c>
      <c r="E1998" s="80" t="s">
        <v>121</v>
      </c>
      <c r="F1998" s="170">
        <v>90</v>
      </c>
    </row>
    <row r="1999" spans="1:6" hidden="1" x14ac:dyDescent="0.25">
      <c r="A1999" s="169">
        <v>43649</v>
      </c>
      <c r="B1999" s="80" t="s">
        <v>1915</v>
      </c>
      <c r="C1999" s="80" t="s">
        <v>167</v>
      </c>
      <c r="D1999" s="80" t="s">
        <v>120</v>
      </c>
      <c r="E1999" s="80" t="s">
        <v>134</v>
      </c>
      <c r="F1999" s="170">
        <v>90</v>
      </c>
    </row>
    <row r="2000" spans="1:6" hidden="1" x14ac:dyDescent="0.25">
      <c r="A2000" s="169">
        <v>43650</v>
      </c>
      <c r="B2000" s="80" t="s">
        <v>1922</v>
      </c>
      <c r="C2000" s="80" t="s">
        <v>145</v>
      </c>
      <c r="D2000" s="80" t="s">
        <v>120</v>
      </c>
      <c r="E2000" s="80" t="s">
        <v>127</v>
      </c>
      <c r="F2000" s="170">
        <v>90</v>
      </c>
    </row>
    <row r="2001" spans="1:6" hidden="1" x14ac:dyDescent="0.25">
      <c r="A2001" s="169">
        <v>43651</v>
      </c>
      <c r="B2001" s="80" t="s">
        <v>1934</v>
      </c>
      <c r="C2001" s="80" t="s">
        <v>129</v>
      </c>
      <c r="D2001" s="80" t="s">
        <v>120</v>
      </c>
      <c r="E2001" s="80" t="s">
        <v>153</v>
      </c>
      <c r="F2001" s="170">
        <v>90</v>
      </c>
    </row>
    <row r="2002" spans="1:6" hidden="1" x14ac:dyDescent="0.25">
      <c r="A2002" s="169">
        <v>43651</v>
      </c>
      <c r="B2002" s="80" t="s">
        <v>1935</v>
      </c>
      <c r="C2002" s="80" t="s">
        <v>129</v>
      </c>
      <c r="D2002" s="80" t="s">
        <v>120</v>
      </c>
      <c r="E2002" s="80" t="s">
        <v>153</v>
      </c>
      <c r="F2002" s="170">
        <v>90</v>
      </c>
    </row>
    <row r="2003" spans="1:6" hidden="1" x14ac:dyDescent="0.25">
      <c r="A2003" s="169">
        <v>43651</v>
      </c>
      <c r="B2003" s="80" t="s">
        <v>1936</v>
      </c>
      <c r="C2003" s="80" t="s">
        <v>143</v>
      </c>
      <c r="D2003" s="80" t="s">
        <v>120</v>
      </c>
      <c r="E2003" s="80" t="s">
        <v>131</v>
      </c>
      <c r="F2003" s="170">
        <v>90</v>
      </c>
    </row>
    <row r="2004" spans="1:6" hidden="1" x14ac:dyDescent="0.25">
      <c r="A2004" s="169">
        <v>43652</v>
      </c>
      <c r="B2004" s="80" t="s">
        <v>1945</v>
      </c>
      <c r="C2004" s="80" t="s">
        <v>123</v>
      </c>
      <c r="D2004" s="80" t="s">
        <v>120</v>
      </c>
      <c r="E2004" s="80" t="s">
        <v>121</v>
      </c>
      <c r="F2004" s="170">
        <v>90</v>
      </c>
    </row>
    <row r="2005" spans="1:6" hidden="1" x14ac:dyDescent="0.25">
      <c r="A2005" s="169">
        <v>43653</v>
      </c>
      <c r="B2005" s="80" t="s">
        <v>1951</v>
      </c>
      <c r="C2005" s="80" t="s">
        <v>164</v>
      </c>
      <c r="D2005" s="80" t="s">
        <v>120</v>
      </c>
      <c r="E2005" s="80" t="s">
        <v>134</v>
      </c>
      <c r="F2005" s="170">
        <v>90</v>
      </c>
    </row>
    <row r="2006" spans="1:6" hidden="1" x14ac:dyDescent="0.25">
      <c r="A2006" s="169">
        <v>43656</v>
      </c>
      <c r="B2006" s="80" t="s">
        <v>1970</v>
      </c>
      <c r="C2006" s="80" t="s">
        <v>152</v>
      </c>
      <c r="D2006" s="80" t="s">
        <v>120</v>
      </c>
      <c r="E2006" s="80" t="s">
        <v>134</v>
      </c>
      <c r="F2006" s="170">
        <v>90</v>
      </c>
    </row>
    <row r="2007" spans="1:6" hidden="1" x14ac:dyDescent="0.25">
      <c r="A2007" s="169">
        <v>43656</v>
      </c>
      <c r="B2007" s="80" t="s">
        <v>1974</v>
      </c>
      <c r="C2007" s="80" t="s">
        <v>182</v>
      </c>
      <c r="D2007" s="80" t="s">
        <v>120</v>
      </c>
      <c r="E2007" s="80" t="s">
        <v>153</v>
      </c>
      <c r="F2007" s="170">
        <v>90</v>
      </c>
    </row>
    <row r="2008" spans="1:6" hidden="1" x14ac:dyDescent="0.25">
      <c r="A2008" s="169">
        <v>43657</v>
      </c>
      <c r="B2008" s="80" t="s">
        <v>1981</v>
      </c>
      <c r="C2008" s="80" t="s">
        <v>145</v>
      </c>
      <c r="D2008" s="80" t="s">
        <v>120</v>
      </c>
      <c r="E2008" s="80" t="s">
        <v>131</v>
      </c>
      <c r="F2008" s="170">
        <v>90</v>
      </c>
    </row>
    <row r="2009" spans="1:6" hidden="1" x14ac:dyDescent="0.25">
      <c r="A2009" s="169">
        <v>43657</v>
      </c>
      <c r="B2009" s="80" t="s">
        <v>1985</v>
      </c>
      <c r="C2009" s="80" t="s">
        <v>143</v>
      </c>
      <c r="D2009" s="80" t="s">
        <v>120</v>
      </c>
      <c r="E2009" s="80" t="s">
        <v>127</v>
      </c>
      <c r="F2009" s="170">
        <v>90</v>
      </c>
    </row>
    <row r="2010" spans="1:6" hidden="1" x14ac:dyDescent="0.25">
      <c r="A2010" s="169">
        <v>43657</v>
      </c>
      <c r="B2010" s="80" t="s">
        <v>1989</v>
      </c>
      <c r="C2010" s="80" t="s">
        <v>157</v>
      </c>
      <c r="D2010" s="80" t="s">
        <v>120</v>
      </c>
      <c r="E2010" s="80" t="s">
        <v>153</v>
      </c>
      <c r="F2010" s="170">
        <v>90</v>
      </c>
    </row>
    <row r="2011" spans="1:6" hidden="1" x14ac:dyDescent="0.25">
      <c r="A2011" s="169">
        <v>43658</v>
      </c>
      <c r="B2011" s="80" t="s">
        <v>1991</v>
      </c>
      <c r="C2011" s="80" t="s">
        <v>223</v>
      </c>
      <c r="D2011" s="80" t="s">
        <v>120</v>
      </c>
      <c r="E2011" s="80" t="s">
        <v>134</v>
      </c>
      <c r="F2011" s="170">
        <v>90</v>
      </c>
    </row>
    <row r="2012" spans="1:6" hidden="1" x14ac:dyDescent="0.25">
      <c r="A2012" s="169">
        <v>43659</v>
      </c>
      <c r="B2012" s="80" t="s">
        <v>2000</v>
      </c>
      <c r="C2012" s="80" t="s">
        <v>148</v>
      </c>
      <c r="D2012" s="80" t="s">
        <v>120</v>
      </c>
      <c r="E2012" s="80" t="s">
        <v>153</v>
      </c>
      <c r="F2012" s="170">
        <v>90</v>
      </c>
    </row>
    <row r="2013" spans="1:6" hidden="1" x14ac:dyDescent="0.25">
      <c r="A2013" s="169">
        <v>43659</v>
      </c>
      <c r="B2013" s="80" t="s">
        <v>2004</v>
      </c>
      <c r="C2013" s="80" t="s">
        <v>167</v>
      </c>
      <c r="D2013" s="80" t="s">
        <v>120</v>
      </c>
      <c r="E2013" s="80" t="s">
        <v>127</v>
      </c>
      <c r="F2013" s="170">
        <v>90</v>
      </c>
    </row>
    <row r="2014" spans="1:6" hidden="1" x14ac:dyDescent="0.25">
      <c r="A2014" s="169">
        <v>43659</v>
      </c>
      <c r="B2014" s="80" t="s">
        <v>2010</v>
      </c>
      <c r="C2014" s="80" t="s">
        <v>129</v>
      </c>
      <c r="D2014" s="80" t="s">
        <v>120</v>
      </c>
      <c r="E2014" s="80" t="s">
        <v>131</v>
      </c>
      <c r="F2014" s="170">
        <v>90</v>
      </c>
    </row>
    <row r="2015" spans="1:6" hidden="1" x14ac:dyDescent="0.25">
      <c r="A2015" s="169">
        <v>43661</v>
      </c>
      <c r="B2015" s="80" t="s">
        <v>2019</v>
      </c>
      <c r="C2015" s="80" t="s">
        <v>145</v>
      </c>
      <c r="D2015" s="80" t="s">
        <v>120</v>
      </c>
      <c r="E2015" s="80" t="s">
        <v>121</v>
      </c>
      <c r="F2015" s="170">
        <v>90</v>
      </c>
    </row>
    <row r="2016" spans="1:6" hidden="1" x14ac:dyDescent="0.25">
      <c r="A2016" s="169">
        <v>43661</v>
      </c>
      <c r="B2016" s="80" t="s">
        <v>2022</v>
      </c>
      <c r="C2016" s="80" t="s">
        <v>189</v>
      </c>
      <c r="D2016" s="80" t="s">
        <v>120</v>
      </c>
      <c r="E2016" s="80" t="s">
        <v>121</v>
      </c>
      <c r="F2016" s="170">
        <v>90</v>
      </c>
    </row>
    <row r="2017" spans="1:6" hidden="1" x14ac:dyDescent="0.25">
      <c r="A2017" s="169">
        <v>43661</v>
      </c>
      <c r="B2017" s="80" t="s">
        <v>2023</v>
      </c>
      <c r="C2017" s="80" t="s">
        <v>148</v>
      </c>
      <c r="D2017" s="80" t="s">
        <v>120</v>
      </c>
      <c r="E2017" s="80" t="s">
        <v>134</v>
      </c>
      <c r="F2017" s="170">
        <v>90</v>
      </c>
    </row>
    <row r="2018" spans="1:6" hidden="1" x14ac:dyDescent="0.25">
      <c r="A2018" s="169">
        <v>43662</v>
      </c>
      <c r="B2018" s="80" t="s">
        <v>2030</v>
      </c>
      <c r="C2018" s="80" t="s">
        <v>152</v>
      </c>
      <c r="D2018" s="80" t="s">
        <v>120</v>
      </c>
      <c r="E2018" s="80" t="s">
        <v>134</v>
      </c>
      <c r="F2018" s="170">
        <v>90</v>
      </c>
    </row>
    <row r="2019" spans="1:6" hidden="1" x14ac:dyDescent="0.25">
      <c r="A2019" s="169">
        <v>43663</v>
      </c>
      <c r="B2019" s="80" t="s">
        <v>2043</v>
      </c>
      <c r="C2019" s="80" t="s">
        <v>182</v>
      </c>
      <c r="D2019" s="80" t="s">
        <v>120</v>
      </c>
      <c r="E2019" s="80" t="s">
        <v>134</v>
      </c>
      <c r="F2019" s="170">
        <v>90</v>
      </c>
    </row>
    <row r="2020" spans="1:6" hidden="1" x14ac:dyDescent="0.25">
      <c r="A2020" s="169">
        <v>43664</v>
      </c>
      <c r="B2020" s="80" t="s">
        <v>2050</v>
      </c>
      <c r="C2020" s="80" t="s">
        <v>119</v>
      </c>
      <c r="D2020" s="80" t="s">
        <v>120</v>
      </c>
      <c r="E2020" s="80" t="s">
        <v>153</v>
      </c>
      <c r="F2020" s="170">
        <v>90</v>
      </c>
    </row>
    <row r="2021" spans="1:6" hidden="1" x14ac:dyDescent="0.25">
      <c r="A2021" s="169">
        <v>43664</v>
      </c>
      <c r="B2021" s="80" t="s">
        <v>2051</v>
      </c>
      <c r="C2021" s="80" t="s">
        <v>182</v>
      </c>
      <c r="D2021" s="80" t="s">
        <v>120</v>
      </c>
      <c r="E2021" s="80" t="s">
        <v>121</v>
      </c>
      <c r="F2021" s="170">
        <v>90</v>
      </c>
    </row>
    <row r="2022" spans="1:6" hidden="1" x14ac:dyDescent="0.25">
      <c r="A2022" s="169">
        <v>43664</v>
      </c>
      <c r="B2022" s="80" t="s">
        <v>2053</v>
      </c>
      <c r="C2022" s="80" t="s">
        <v>187</v>
      </c>
      <c r="D2022" s="80" t="s">
        <v>120</v>
      </c>
      <c r="E2022" s="80" t="s">
        <v>131</v>
      </c>
      <c r="F2022" s="170">
        <v>90</v>
      </c>
    </row>
    <row r="2023" spans="1:6" hidden="1" x14ac:dyDescent="0.25">
      <c r="A2023" s="169">
        <v>43664</v>
      </c>
      <c r="B2023" s="80" t="s">
        <v>2057</v>
      </c>
      <c r="C2023" s="80" t="s">
        <v>125</v>
      </c>
      <c r="D2023" s="80" t="s">
        <v>120</v>
      </c>
      <c r="E2023" s="80" t="s">
        <v>121</v>
      </c>
      <c r="F2023" s="170">
        <v>90</v>
      </c>
    </row>
    <row r="2024" spans="1:6" hidden="1" x14ac:dyDescent="0.25">
      <c r="A2024" s="169">
        <v>43666</v>
      </c>
      <c r="B2024" s="80" t="s">
        <v>2070</v>
      </c>
      <c r="C2024" s="80" t="s">
        <v>123</v>
      </c>
      <c r="D2024" s="80" t="s">
        <v>120</v>
      </c>
      <c r="E2024" s="80" t="s">
        <v>134</v>
      </c>
      <c r="F2024" s="170">
        <v>90</v>
      </c>
    </row>
    <row r="2025" spans="1:6" hidden="1" x14ac:dyDescent="0.25">
      <c r="A2025" s="169">
        <v>43667</v>
      </c>
      <c r="B2025" s="80" t="s">
        <v>2082</v>
      </c>
      <c r="C2025" s="80" t="s">
        <v>187</v>
      </c>
      <c r="D2025" s="80" t="s">
        <v>120</v>
      </c>
      <c r="E2025" s="80" t="s">
        <v>131</v>
      </c>
      <c r="F2025" s="170">
        <v>90</v>
      </c>
    </row>
    <row r="2026" spans="1:6" hidden="1" x14ac:dyDescent="0.25">
      <c r="A2026" s="169">
        <v>43668</v>
      </c>
      <c r="B2026" s="80" t="s">
        <v>2084</v>
      </c>
      <c r="C2026" s="80" t="s">
        <v>164</v>
      </c>
      <c r="D2026" s="80" t="s">
        <v>120</v>
      </c>
      <c r="E2026" s="80" t="s">
        <v>134</v>
      </c>
      <c r="F2026" s="170">
        <v>90</v>
      </c>
    </row>
    <row r="2027" spans="1:6" hidden="1" x14ac:dyDescent="0.25">
      <c r="A2027" s="169">
        <v>43668</v>
      </c>
      <c r="B2027" s="80" t="s">
        <v>2085</v>
      </c>
      <c r="C2027" s="80" t="s">
        <v>187</v>
      </c>
      <c r="D2027" s="80" t="s">
        <v>120</v>
      </c>
      <c r="E2027" s="80" t="s">
        <v>153</v>
      </c>
      <c r="F2027" s="170">
        <v>90</v>
      </c>
    </row>
    <row r="2028" spans="1:6" hidden="1" x14ac:dyDescent="0.25">
      <c r="A2028" s="169">
        <v>43668</v>
      </c>
      <c r="B2028" s="80" t="s">
        <v>2087</v>
      </c>
      <c r="C2028" s="80" t="s">
        <v>145</v>
      </c>
      <c r="D2028" s="80" t="s">
        <v>120</v>
      </c>
      <c r="E2028" s="80" t="s">
        <v>131</v>
      </c>
      <c r="F2028" s="170">
        <v>90</v>
      </c>
    </row>
    <row r="2029" spans="1:6" hidden="1" x14ac:dyDescent="0.25">
      <c r="A2029" s="169">
        <v>43668</v>
      </c>
      <c r="B2029" s="80" t="s">
        <v>2090</v>
      </c>
      <c r="C2029" s="80" t="s">
        <v>145</v>
      </c>
      <c r="D2029" s="80" t="s">
        <v>120</v>
      </c>
      <c r="E2029" s="80" t="s">
        <v>127</v>
      </c>
      <c r="F2029" s="170">
        <v>90</v>
      </c>
    </row>
    <row r="2030" spans="1:6" hidden="1" x14ac:dyDescent="0.25">
      <c r="A2030" s="169">
        <v>43668</v>
      </c>
      <c r="B2030" s="80" t="s">
        <v>2092</v>
      </c>
      <c r="C2030" s="80" t="s">
        <v>129</v>
      </c>
      <c r="D2030" s="80" t="s">
        <v>120</v>
      </c>
      <c r="E2030" s="80" t="s">
        <v>121</v>
      </c>
      <c r="F2030" s="170">
        <v>90</v>
      </c>
    </row>
    <row r="2031" spans="1:6" hidden="1" x14ac:dyDescent="0.25">
      <c r="A2031" s="169">
        <v>43670</v>
      </c>
      <c r="B2031" s="80" t="s">
        <v>2107</v>
      </c>
      <c r="C2031" s="80" t="s">
        <v>129</v>
      </c>
      <c r="D2031" s="80" t="s">
        <v>120</v>
      </c>
      <c r="E2031" s="80" t="s">
        <v>121</v>
      </c>
      <c r="F2031" s="170">
        <v>90</v>
      </c>
    </row>
    <row r="2032" spans="1:6" hidden="1" x14ac:dyDescent="0.25">
      <c r="A2032" s="169">
        <v>43671</v>
      </c>
      <c r="B2032" s="80" t="s">
        <v>2114</v>
      </c>
      <c r="C2032" s="80" t="s">
        <v>125</v>
      </c>
      <c r="D2032" s="80" t="s">
        <v>120</v>
      </c>
      <c r="E2032" s="80" t="s">
        <v>121</v>
      </c>
      <c r="F2032" s="170">
        <v>90</v>
      </c>
    </row>
    <row r="2033" spans="1:6" hidden="1" x14ac:dyDescent="0.25">
      <c r="A2033" s="169">
        <v>43671</v>
      </c>
      <c r="B2033" s="80" t="s">
        <v>2119</v>
      </c>
      <c r="C2033" s="80" t="s">
        <v>136</v>
      </c>
      <c r="D2033" s="80" t="s">
        <v>120</v>
      </c>
      <c r="E2033" s="80" t="s">
        <v>153</v>
      </c>
      <c r="F2033" s="170">
        <v>90</v>
      </c>
    </row>
    <row r="2034" spans="1:6" hidden="1" x14ac:dyDescent="0.25">
      <c r="A2034" s="169">
        <v>43671</v>
      </c>
      <c r="B2034" s="80" t="s">
        <v>2122</v>
      </c>
      <c r="C2034" s="80" t="s">
        <v>152</v>
      </c>
      <c r="D2034" s="80" t="s">
        <v>120</v>
      </c>
      <c r="E2034" s="80" t="s">
        <v>131</v>
      </c>
      <c r="F2034" s="170">
        <v>90</v>
      </c>
    </row>
    <row r="2035" spans="1:6" hidden="1" x14ac:dyDescent="0.25">
      <c r="A2035" s="169">
        <v>43672</v>
      </c>
      <c r="B2035" s="80" t="s">
        <v>2133</v>
      </c>
      <c r="C2035" s="80" t="s">
        <v>189</v>
      </c>
      <c r="D2035" s="80" t="s">
        <v>120</v>
      </c>
      <c r="E2035" s="80" t="s">
        <v>153</v>
      </c>
      <c r="F2035" s="170">
        <v>90</v>
      </c>
    </row>
    <row r="2036" spans="1:6" hidden="1" x14ac:dyDescent="0.25">
      <c r="A2036" s="169">
        <v>43673</v>
      </c>
      <c r="B2036" s="80" t="s">
        <v>2140</v>
      </c>
      <c r="C2036" s="80" t="s">
        <v>119</v>
      </c>
      <c r="D2036" s="80" t="s">
        <v>120</v>
      </c>
      <c r="E2036" s="80" t="s">
        <v>153</v>
      </c>
      <c r="F2036" s="170">
        <v>90</v>
      </c>
    </row>
    <row r="2037" spans="1:6" hidden="1" x14ac:dyDescent="0.25">
      <c r="A2037" s="169">
        <v>43676</v>
      </c>
      <c r="B2037" s="80" t="s">
        <v>2160</v>
      </c>
      <c r="C2037" s="80" t="s">
        <v>187</v>
      </c>
      <c r="D2037" s="80" t="s">
        <v>120</v>
      </c>
      <c r="E2037" s="80" t="s">
        <v>127</v>
      </c>
      <c r="F2037" s="170">
        <v>90</v>
      </c>
    </row>
    <row r="2038" spans="1:6" hidden="1" x14ac:dyDescent="0.25">
      <c r="A2038" s="169">
        <v>43676</v>
      </c>
      <c r="B2038" s="80" t="s">
        <v>2163</v>
      </c>
      <c r="C2038" s="80" t="s">
        <v>223</v>
      </c>
      <c r="D2038" s="80" t="s">
        <v>120</v>
      </c>
      <c r="E2038" s="80" t="s">
        <v>121</v>
      </c>
      <c r="F2038" s="170">
        <v>90</v>
      </c>
    </row>
    <row r="2039" spans="1:6" hidden="1" x14ac:dyDescent="0.25">
      <c r="A2039" s="169">
        <v>43676</v>
      </c>
      <c r="B2039" s="80" t="s">
        <v>2166</v>
      </c>
      <c r="C2039" s="80" t="s">
        <v>129</v>
      </c>
      <c r="D2039" s="80" t="s">
        <v>120</v>
      </c>
      <c r="E2039" s="80" t="s">
        <v>153</v>
      </c>
      <c r="F2039" s="170">
        <v>90</v>
      </c>
    </row>
    <row r="2040" spans="1:6" hidden="1" x14ac:dyDescent="0.25">
      <c r="A2040" s="169">
        <v>43678</v>
      </c>
      <c r="B2040" s="80" t="s">
        <v>2188</v>
      </c>
      <c r="C2040" s="80" t="s">
        <v>125</v>
      </c>
      <c r="D2040" s="80" t="s">
        <v>120</v>
      </c>
      <c r="E2040" s="80" t="s">
        <v>153</v>
      </c>
      <c r="F2040" s="170">
        <v>90</v>
      </c>
    </row>
    <row r="2041" spans="1:6" hidden="1" x14ac:dyDescent="0.25">
      <c r="A2041" s="169">
        <v>43678</v>
      </c>
      <c r="B2041" s="80" t="s">
        <v>2192</v>
      </c>
      <c r="C2041" s="80" t="s">
        <v>123</v>
      </c>
      <c r="D2041" s="80" t="s">
        <v>120</v>
      </c>
      <c r="E2041" s="80" t="s">
        <v>131</v>
      </c>
      <c r="F2041" s="170">
        <v>90</v>
      </c>
    </row>
    <row r="2042" spans="1:6" hidden="1" x14ac:dyDescent="0.25">
      <c r="A2042" s="169">
        <v>43679</v>
      </c>
      <c r="B2042" s="80" t="s">
        <v>2204</v>
      </c>
      <c r="C2042" s="80" t="s">
        <v>164</v>
      </c>
      <c r="D2042" s="80" t="s">
        <v>120</v>
      </c>
      <c r="E2042" s="80" t="s">
        <v>153</v>
      </c>
      <c r="F2042" s="170">
        <v>90</v>
      </c>
    </row>
    <row r="2043" spans="1:6" hidden="1" x14ac:dyDescent="0.25">
      <c r="A2043" s="169">
        <v>43680</v>
      </c>
      <c r="B2043" s="80" t="s">
        <v>2205</v>
      </c>
      <c r="C2043" s="80" t="s">
        <v>164</v>
      </c>
      <c r="D2043" s="80" t="s">
        <v>120</v>
      </c>
      <c r="E2043" s="80" t="s">
        <v>127</v>
      </c>
      <c r="F2043" s="170">
        <v>90</v>
      </c>
    </row>
    <row r="2044" spans="1:6" hidden="1" x14ac:dyDescent="0.25">
      <c r="A2044" s="169">
        <v>43680</v>
      </c>
      <c r="B2044" s="80" t="s">
        <v>2208</v>
      </c>
      <c r="C2044" s="80" t="s">
        <v>164</v>
      </c>
      <c r="D2044" s="80" t="s">
        <v>120</v>
      </c>
      <c r="E2044" s="80" t="s">
        <v>131</v>
      </c>
      <c r="F2044" s="170">
        <v>90</v>
      </c>
    </row>
    <row r="2045" spans="1:6" hidden="1" x14ac:dyDescent="0.25">
      <c r="A2045" s="169">
        <v>43681</v>
      </c>
      <c r="B2045" s="80" t="s">
        <v>2219</v>
      </c>
      <c r="C2045" s="80" t="s">
        <v>182</v>
      </c>
      <c r="D2045" s="80" t="s">
        <v>120</v>
      </c>
      <c r="E2045" s="80" t="s">
        <v>121</v>
      </c>
      <c r="F2045" s="170">
        <v>90</v>
      </c>
    </row>
    <row r="2046" spans="1:6" hidden="1" x14ac:dyDescent="0.25">
      <c r="A2046" s="169">
        <v>43682</v>
      </c>
      <c r="B2046" s="80" t="s">
        <v>2223</v>
      </c>
      <c r="C2046" s="80" t="s">
        <v>223</v>
      </c>
      <c r="D2046" s="80" t="s">
        <v>120</v>
      </c>
      <c r="E2046" s="80" t="s">
        <v>131</v>
      </c>
      <c r="F2046" s="170">
        <v>90</v>
      </c>
    </row>
    <row r="2047" spans="1:6" hidden="1" x14ac:dyDescent="0.25">
      <c r="A2047" s="169">
        <v>43682</v>
      </c>
      <c r="B2047" s="80" t="s">
        <v>2224</v>
      </c>
      <c r="C2047" s="80" t="s">
        <v>223</v>
      </c>
      <c r="D2047" s="80" t="s">
        <v>120</v>
      </c>
      <c r="E2047" s="80" t="s">
        <v>131</v>
      </c>
      <c r="F2047" s="170">
        <v>90</v>
      </c>
    </row>
    <row r="2048" spans="1:6" hidden="1" x14ac:dyDescent="0.25">
      <c r="A2048" s="169">
        <v>43682</v>
      </c>
      <c r="B2048" s="80" t="s">
        <v>2226</v>
      </c>
      <c r="C2048" s="80" t="s">
        <v>136</v>
      </c>
      <c r="D2048" s="80" t="s">
        <v>120</v>
      </c>
      <c r="E2048" s="80" t="s">
        <v>153</v>
      </c>
      <c r="F2048" s="170">
        <v>90</v>
      </c>
    </row>
    <row r="2049" spans="1:6" hidden="1" x14ac:dyDescent="0.25">
      <c r="A2049" s="169">
        <v>43684</v>
      </c>
      <c r="B2049" s="80" t="s">
        <v>2251</v>
      </c>
      <c r="C2049" s="80" t="s">
        <v>138</v>
      </c>
      <c r="D2049" s="80" t="s">
        <v>120</v>
      </c>
      <c r="E2049" s="80" t="s">
        <v>153</v>
      </c>
      <c r="F2049" s="170">
        <v>90</v>
      </c>
    </row>
    <row r="2050" spans="1:6" hidden="1" x14ac:dyDescent="0.25">
      <c r="A2050" s="169">
        <v>43685</v>
      </c>
      <c r="B2050" s="80" t="s">
        <v>2260</v>
      </c>
      <c r="C2050" s="80" t="s">
        <v>164</v>
      </c>
      <c r="D2050" s="80" t="s">
        <v>120</v>
      </c>
      <c r="E2050" s="80" t="s">
        <v>131</v>
      </c>
      <c r="F2050" s="170">
        <v>90</v>
      </c>
    </row>
    <row r="2051" spans="1:6" hidden="1" x14ac:dyDescent="0.25">
      <c r="A2051" s="169">
        <v>43686</v>
      </c>
      <c r="B2051" s="80" t="s">
        <v>2268</v>
      </c>
      <c r="C2051" s="80" t="s">
        <v>189</v>
      </c>
      <c r="D2051" s="80" t="s">
        <v>120</v>
      </c>
      <c r="E2051" s="80" t="s">
        <v>131</v>
      </c>
      <c r="F2051" s="170">
        <v>90</v>
      </c>
    </row>
    <row r="2052" spans="1:6" hidden="1" x14ac:dyDescent="0.25">
      <c r="A2052" s="169">
        <v>43686</v>
      </c>
      <c r="B2052" s="80" t="s">
        <v>2272</v>
      </c>
      <c r="C2052" s="80" t="s">
        <v>152</v>
      </c>
      <c r="D2052" s="80" t="s">
        <v>120</v>
      </c>
      <c r="E2052" s="80" t="s">
        <v>127</v>
      </c>
      <c r="F2052" s="170">
        <v>90</v>
      </c>
    </row>
    <row r="2053" spans="1:6" hidden="1" x14ac:dyDescent="0.25">
      <c r="A2053" s="169">
        <v>43686</v>
      </c>
      <c r="B2053" s="80" t="s">
        <v>2273</v>
      </c>
      <c r="C2053" s="80" t="s">
        <v>119</v>
      </c>
      <c r="D2053" s="80" t="s">
        <v>120</v>
      </c>
      <c r="E2053" s="80" t="s">
        <v>121</v>
      </c>
      <c r="F2053" s="170">
        <v>90</v>
      </c>
    </row>
    <row r="2054" spans="1:6" hidden="1" x14ac:dyDescent="0.25">
      <c r="A2054" s="169">
        <v>43687</v>
      </c>
      <c r="B2054" s="80" t="s">
        <v>2284</v>
      </c>
      <c r="C2054" s="80" t="s">
        <v>123</v>
      </c>
      <c r="D2054" s="80" t="s">
        <v>120</v>
      </c>
      <c r="E2054" s="80" t="s">
        <v>121</v>
      </c>
      <c r="F2054" s="170">
        <v>90</v>
      </c>
    </row>
    <row r="2055" spans="1:6" hidden="1" x14ac:dyDescent="0.25">
      <c r="A2055" s="169">
        <v>43688</v>
      </c>
      <c r="B2055" s="80" t="s">
        <v>2290</v>
      </c>
      <c r="C2055" s="80" t="s">
        <v>143</v>
      </c>
      <c r="D2055" s="80" t="s">
        <v>120</v>
      </c>
      <c r="E2055" s="80" t="s">
        <v>153</v>
      </c>
      <c r="F2055" s="170">
        <v>90</v>
      </c>
    </row>
    <row r="2056" spans="1:6" hidden="1" x14ac:dyDescent="0.25">
      <c r="A2056" s="169">
        <v>43688</v>
      </c>
      <c r="B2056" s="80" t="s">
        <v>2294</v>
      </c>
      <c r="C2056" s="80" t="s">
        <v>152</v>
      </c>
      <c r="D2056" s="80" t="s">
        <v>120</v>
      </c>
      <c r="E2056" s="80" t="s">
        <v>131</v>
      </c>
      <c r="F2056" s="170">
        <v>90</v>
      </c>
    </row>
    <row r="2057" spans="1:6" hidden="1" x14ac:dyDescent="0.25">
      <c r="A2057" s="169">
        <v>43690</v>
      </c>
      <c r="B2057" s="80" t="s">
        <v>2303</v>
      </c>
      <c r="C2057" s="80" t="s">
        <v>189</v>
      </c>
      <c r="D2057" s="80" t="s">
        <v>120</v>
      </c>
      <c r="E2057" s="80" t="s">
        <v>121</v>
      </c>
      <c r="F2057" s="170">
        <v>90</v>
      </c>
    </row>
    <row r="2058" spans="1:6" hidden="1" x14ac:dyDescent="0.25">
      <c r="A2058" s="169">
        <v>43690</v>
      </c>
      <c r="B2058" s="80" t="s">
        <v>2308</v>
      </c>
      <c r="C2058" s="80" t="s">
        <v>157</v>
      </c>
      <c r="D2058" s="80" t="s">
        <v>120</v>
      </c>
      <c r="E2058" s="80" t="s">
        <v>134</v>
      </c>
      <c r="F2058" s="170">
        <v>90</v>
      </c>
    </row>
    <row r="2059" spans="1:6" hidden="1" x14ac:dyDescent="0.25">
      <c r="A2059" s="169">
        <v>43692</v>
      </c>
      <c r="B2059" s="80" t="s">
        <v>2329</v>
      </c>
      <c r="C2059" s="80" t="s">
        <v>189</v>
      </c>
      <c r="D2059" s="80" t="s">
        <v>120</v>
      </c>
      <c r="E2059" s="80" t="s">
        <v>121</v>
      </c>
      <c r="F2059" s="170">
        <v>90</v>
      </c>
    </row>
    <row r="2060" spans="1:6" hidden="1" x14ac:dyDescent="0.25">
      <c r="A2060" s="169">
        <v>43693</v>
      </c>
      <c r="B2060" s="80" t="s">
        <v>2346</v>
      </c>
      <c r="C2060" s="80" t="s">
        <v>167</v>
      </c>
      <c r="D2060" s="80" t="s">
        <v>120</v>
      </c>
      <c r="E2060" s="80" t="s">
        <v>134</v>
      </c>
      <c r="F2060" s="170">
        <v>90</v>
      </c>
    </row>
    <row r="2061" spans="1:6" hidden="1" x14ac:dyDescent="0.25">
      <c r="A2061" s="169">
        <v>43694</v>
      </c>
      <c r="B2061" s="80" t="s">
        <v>2358</v>
      </c>
      <c r="C2061" s="80" t="s">
        <v>145</v>
      </c>
      <c r="D2061" s="80" t="s">
        <v>120</v>
      </c>
      <c r="E2061" s="80" t="s">
        <v>131</v>
      </c>
      <c r="F2061" s="170">
        <v>90</v>
      </c>
    </row>
    <row r="2062" spans="1:6" hidden="1" x14ac:dyDescent="0.25">
      <c r="A2062" s="169">
        <v>43694</v>
      </c>
      <c r="B2062" s="80" t="s">
        <v>2364</v>
      </c>
      <c r="C2062" s="80" t="s">
        <v>138</v>
      </c>
      <c r="D2062" s="80" t="s">
        <v>120</v>
      </c>
      <c r="E2062" s="80" t="s">
        <v>134</v>
      </c>
      <c r="F2062" s="170">
        <v>90</v>
      </c>
    </row>
    <row r="2063" spans="1:6" hidden="1" x14ac:dyDescent="0.25">
      <c r="A2063" s="169">
        <v>43696</v>
      </c>
      <c r="B2063" s="80" t="s">
        <v>2378</v>
      </c>
      <c r="C2063" s="80" t="s">
        <v>164</v>
      </c>
      <c r="D2063" s="80" t="s">
        <v>120</v>
      </c>
      <c r="E2063" s="80" t="s">
        <v>121</v>
      </c>
      <c r="F2063" s="170">
        <v>90</v>
      </c>
    </row>
    <row r="2064" spans="1:6" hidden="1" x14ac:dyDescent="0.25">
      <c r="A2064" s="169">
        <v>43702</v>
      </c>
      <c r="B2064" s="80" t="s">
        <v>2415</v>
      </c>
      <c r="C2064" s="80" t="s">
        <v>182</v>
      </c>
      <c r="D2064" s="80" t="s">
        <v>120</v>
      </c>
      <c r="E2064" s="80" t="s">
        <v>121</v>
      </c>
      <c r="F2064" s="170">
        <v>90</v>
      </c>
    </row>
    <row r="2065" spans="1:6" hidden="1" x14ac:dyDescent="0.25">
      <c r="A2065" s="169">
        <v>43702</v>
      </c>
      <c r="B2065" s="80" t="s">
        <v>2420</v>
      </c>
      <c r="C2065" s="80" t="s">
        <v>136</v>
      </c>
      <c r="D2065" s="80" t="s">
        <v>120</v>
      </c>
      <c r="E2065" s="80" t="s">
        <v>134</v>
      </c>
      <c r="F2065" s="170">
        <v>90</v>
      </c>
    </row>
    <row r="2066" spans="1:6" hidden="1" x14ac:dyDescent="0.25">
      <c r="A2066" s="169">
        <v>43702</v>
      </c>
      <c r="B2066" s="80" t="s">
        <v>2421</v>
      </c>
      <c r="C2066" s="80" t="s">
        <v>157</v>
      </c>
      <c r="D2066" s="80" t="s">
        <v>120</v>
      </c>
      <c r="E2066" s="80" t="s">
        <v>153</v>
      </c>
      <c r="F2066" s="170">
        <v>90</v>
      </c>
    </row>
    <row r="2067" spans="1:6" hidden="1" x14ac:dyDescent="0.25">
      <c r="A2067" s="169">
        <v>43702</v>
      </c>
      <c r="B2067" s="80" t="s">
        <v>2428</v>
      </c>
      <c r="C2067" s="80" t="s">
        <v>129</v>
      </c>
      <c r="D2067" s="80" t="s">
        <v>120</v>
      </c>
      <c r="E2067" s="80" t="s">
        <v>121</v>
      </c>
      <c r="F2067" s="170">
        <v>90</v>
      </c>
    </row>
    <row r="2068" spans="1:6" hidden="1" x14ac:dyDescent="0.25">
      <c r="A2068" s="169">
        <v>43703</v>
      </c>
      <c r="B2068" s="80" t="s">
        <v>2430</v>
      </c>
      <c r="C2068" s="80" t="s">
        <v>125</v>
      </c>
      <c r="D2068" s="80" t="s">
        <v>120</v>
      </c>
      <c r="E2068" s="80" t="s">
        <v>131</v>
      </c>
      <c r="F2068" s="170">
        <v>90</v>
      </c>
    </row>
    <row r="2069" spans="1:6" hidden="1" x14ac:dyDescent="0.25">
      <c r="A2069" s="169">
        <v>43703</v>
      </c>
      <c r="B2069" s="80" t="s">
        <v>2432</v>
      </c>
      <c r="C2069" s="80" t="s">
        <v>189</v>
      </c>
      <c r="D2069" s="80" t="s">
        <v>120</v>
      </c>
      <c r="E2069" s="80" t="s">
        <v>131</v>
      </c>
      <c r="F2069" s="170">
        <v>90</v>
      </c>
    </row>
    <row r="2070" spans="1:6" hidden="1" x14ac:dyDescent="0.25">
      <c r="A2070" s="169">
        <v>43703</v>
      </c>
      <c r="B2070" s="80" t="s">
        <v>2434</v>
      </c>
      <c r="C2070" s="80" t="s">
        <v>148</v>
      </c>
      <c r="D2070" s="80" t="s">
        <v>120</v>
      </c>
      <c r="E2070" s="80" t="s">
        <v>131</v>
      </c>
      <c r="F2070" s="170">
        <v>90</v>
      </c>
    </row>
    <row r="2071" spans="1:6" hidden="1" x14ac:dyDescent="0.25">
      <c r="A2071" s="169">
        <v>43703</v>
      </c>
      <c r="B2071" s="80" t="s">
        <v>2438</v>
      </c>
      <c r="C2071" s="80" t="s">
        <v>129</v>
      </c>
      <c r="D2071" s="80" t="s">
        <v>120</v>
      </c>
      <c r="E2071" s="80" t="s">
        <v>153</v>
      </c>
      <c r="F2071" s="170">
        <v>90</v>
      </c>
    </row>
    <row r="2072" spans="1:6" hidden="1" x14ac:dyDescent="0.25">
      <c r="A2072" s="169">
        <v>43705</v>
      </c>
      <c r="B2072" s="80" t="s">
        <v>2456</v>
      </c>
      <c r="C2072" s="80" t="s">
        <v>125</v>
      </c>
      <c r="D2072" s="80" t="s">
        <v>120</v>
      </c>
      <c r="E2072" s="80" t="s">
        <v>121</v>
      </c>
      <c r="F2072" s="170">
        <v>90</v>
      </c>
    </row>
    <row r="2073" spans="1:6" hidden="1" x14ac:dyDescent="0.25">
      <c r="A2073" s="169">
        <v>43706</v>
      </c>
      <c r="B2073" s="80" t="s">
        <v>2468</v>
      </c>
      <c r="C2073" s="80" t="s">
        <v>145</v>
      </c>
      <c r="D2073" s="80" t="s">
        <v>120</v>
      </c>
      <c r="E2073" s="80" t="s">
        <v>153</v>
      </c>
      <c r="F2073" s="170">
        <v>90</v>
      </c>
    </row>
    <row r="2074" spans="1:6" hidden="1" x14ac:dyDescent="0.25">
      <c r="A2074" s="169">
        <v>43706</v>
      </c>
      <c r="B2074" s="80" t="s">
        <v>2471</v>
      </c>
      <c r="C2074" s="80" t="s">
        <v>164</v>
      </c>
      <c r="D2074" s="80" t="s">
        <v>120</v>
      </c>
      <c r="E2074" s="80" t="s">
        <v>121</v>
      </c>
      <c r="F2074" s="170">
        <v>90</v>
      </c>
    </row>
    <row r="2075" spans="1:6" hidden="1" x14ac:dyDescent="0.25">
      <c r="A2075" s="169">
        <v>43707</v>
      </c>
      <c r="B2075" s="80" t="s">
        <v>2480</v>
      </c>
      <c r="C2075" s="80" t="s">
        <v>182</v>
      </c>
      <c r="D2075" s="80" t="s">
        <v>120</v>
      </c>
      <c r="E2075" s="80" t="s">
        <v>127</v>
      </c>
      <c r="F2075" s="170">
        <v>90</v>
      </c>
    </row>
    <row r="2076" spans="1:6" hidden="1" x14ac:dyDescent="0.25">
      <c r="A2076" s="169">
        <v>43708</v>
      </c>
      <c r="B2076" s="80" t="s">
        <v>2485</v>
      </c>
      <c r="C2076" s="80" t="s">
        <v>145</v>
      </c>
      <c r="D2076" s="80" t="s">
        <v>120</v>
      </c>
      <c r="E2076" s="80" t="s">
        <v>153</v>
      </c>
      <c r="F2076" s="170">
        <v>90</v>
      </c>
    </row>
    <row r="2077" spans="1:6" hidden="1" x14ac:dyDescent="0.25">
      <c r="A2077" s="169">
        <v>43708</v>
      </c>
      <c r="B2077" s="80" t="s">
        <v>2486</v>
      </c>
      <c r="C2077" s="80" t="s">
        <v>125</v>
      </c>
      <c r="D2077" s="80" t="s">
        <v>120</v>
      </c>
      <c r="E2077" s="80" t="s">
        <v>153</v>
      </c>
      <c r="F2077" s="170">
        <v>90</v>
      </c>
    </row>
    <row r="2078" spans="1:6" hidden="1" x14ac:dyDescent="0.25">
      <c r="A2078" s="169">
        <v>43708</v>
      </c>
      <c r="B2078" s="80" t="s">
        <v>2490</v>
      </c>
      <c r="C2078" s="80" t="s">
        <v>143</v>
      </c>
      <c r="D2078" s="80" t="s">
        <v>120</v>
      </c>
      <c r="E2078" s="80" t="s">
        <v>121</v>
      </c>
      <c r="F2078" s="170">
        <v>90</v>
      </c>
    </row>
    <row r="2079" spans="1:6" hidden="1" x14ac:dyDescent="0.25">
      <c r="A2079" s="169">
        <v>43709</v>
      </c>
      <c r="B2079" s="80" t="s">
        <v>2497</v>
      </c>
      <c r="C2079" s="80" t="s">
        <v>189</v>
      </c>
      <c r="D2079" s="80" t="s">
        <v>120</v>
      </c>
      <c r="E2079" s="80" t="s">
        <v>121</v>
      </c>
      <c r="F2079" s="170">
        <v>90</v>
      </c>
    </row>
    <row r="2080" spans="1:6" hidden="1" x14ac:dyDescent="0.25">
      <c r="A2080" s="169">
        <v>43710</v>
      </c>
      <c r="B2080" s="80" t="s">
        <v>2501</v>
      </c>
      <c r="C2080" s="80" t="s">
        <v>119</v>
      </c>
      <c r="D2080" s="80" t="s">
        <v>120</v>
      </c>
      <c r="E2080" s="80" t="s">
        <v>121</v>
      </c>
      <c r="F2080" s="170">
        <v>90</v>
      </c>
    </row>
    <row r="2081" spans="1:6" hidden="1" x14ac:dyDescent="0.25">
      <c r="A2081" s="169">
        <v>43710</v>
      </c>
      <c r="B2081" s="80" t="s">
        <v>2505</v>
      </c>
      <c r="C2081" s="80" t="s">
        <v>157</v>
      </c>
      <c r="D2081" s="80" t="s">
        <v>120</v>
      </c>
      <c r="E2081" s="80" t="s">
        <v>131</v>
      </c>
      <c r="F2081" s="170">
        <v>90</v>
      </c>
    </row>
    <row r="2082" spans="1:6" hidden="1" x14ac:dyDescent="0.25">
      <c r="A2082" s="169">
        <v>43711</v>
      </c>
      <c r="B2082" s="80" t="s">
        <v>2513</v>
      </c>
      <c r="C2082" s="80" t="s">
        <v>164</v>
      </c>
      <c r="D2082" s="80" t="s">
        <v>120</v>
      </c>
      <c r="E2082" s="80" t="s">
        <v>134</v>
      </c>
      <c r="F2082" s="170">
        <v>90</v>
      </c>
    </row>
    <row r="2083" spans="1:6" hidden="1" x14ac:dyDescent="0.25">
      <c r="A2083" s="169">
        <v>43711</v>
      </c>
      <c r="B2083" s="80" t="s">
        <v>2522</v>
      </c>
      <c r="C2083" s="80" t="s">
        <v>136</v>
      </c>
      <c r="D2083" s="80" t="s">
        <v>120</v>
      </c>
      <c r="E2083" s="80" t="s">
        <v>134</v>
      </c>
      <c r="F2083" s="170">
        <v>90</v>
      </c>
    </row>
    <row r="2084" spans="1:6" hidden="1" x14ac:dyDescent="0.25">
      <c r="A2084" s="169">
        <v>43712</v>
      </c>
      <c r="B2084" s="80" t="s">
        <v>2525</v>
      </c>
      <c r="C2084" s="80" t="s">
        <v>164</v>
      </c>
      <c r="D2084" s="80" t="s">
        <v>120</v>
      </c>
      <c r="E2084" s="80" t="s">
        <v>127</v>
      </c>
      <c r="F2084" s="170">
        <v>90</v>
      </c>
    </row>
    <row r="2085" spans="1:6" hidden="1" x14ac:dyDescent="0.25">
      <c r="A2085" s="169">
        <v>43713</v>
      </c>
      <c r="B2085" s="80" t="s">
        <v>2530</v>
      </c>
      <c r="C2085" s="80" t="s">
        <v>182</v>
      </c>
      <c r="D2085" s="80" t="s">
        <v>120</v>
      </c>
      <c r="E2085" s="80" t="s">
        <v>153</v>
      </c>
      <c r="F2085" s="170">
        <v>90</v>
      </c>
    </row>
    <row r="2086" spans="1:6" hidden="1" x14ac:dyDescent="0.25">
      <c r="A2086" s="169">
        <v>43714</v>
      </c>
      <c r="B2086" s="80" t="s">
        <v>2540</v>
      </c>
      <c r="C2086" s="80" t="s">
        <v>136</v>
      </c>
      <c r="D2086" s="80" t="s">
        <v>120</v>
      </c>
      <c r="E2086" s="80" t="s">
        <v>131</v>
      </c>
      <c r="F2086" s="170">
        <v>90</v>
      </c>
    </row>
    <row r="2087" spans="1:6" hidden="1" x14ac:dyDescent="0.25">
      <c r="A2087" s="169">
        <v>43715</v>
      </c>
      <c r="B2087" s="80" t="s">
        <v>2541</v>
      </c>
      <c r="C2087" s="80" t="s">
        <v>189</v>
      </c>
      <c r="D2087" s="80" t="s">
        <v>120</v>
      </c>
      <c r="E2087" s="80" t="s">
        <v>153</v>
      </c>
      <c r="F2087" s="170">
        <v>90</v>
      </c>
    </row>
    <row r="2088" spans="1:6" hidden="1" x14ac:dyDescent="0.25">
      <c r="A2088" s="169">
        <v>43716</v>
      </c>
      <c r="B2088" s="80" t="s">
        <v>2555</v>
      </c>
      <c r="C2088" s="80" t="s">
        <v>148</v>
      </c>
      <c r="D2088" s="80" t="s">
        <v>120</v>
      </c>
      <c r="E2088" s="80" t="s">
        <v>121</v>
      </c>
      <c r="F2088" s="170">
        <v>90</v>
      </c>
    </row>
    <row r="2089" spans="1:6" hidden="1" x14ac:dyDescent="0.25">
      <c r="A2089" s="169">
        <v>43717</v>
      </c>
      <c r="B2089" s="80" t="s">
        <v>2566</v>
      </c>
      <c r="C2089" s="80" t="s">
        <v>143</v>
      </c>
      <c r="D2089" s="80" t="s">
        <v>120</v>
      </c>
      <c r="E2089" s="80" t="s">
        <v>131</v>
      </c>
      <c r="F2089" s="170">
        <v>90</v>
      </c>
    </row>
    <row r="2090" spans="1:6" hidden="1" x14ac:dyDescent="0.25">
      <c r="A2090" s="169">
        <v>43719</v>
      </c>
      <c r="B2090" s="80" t="s">
        <v>2583</v>
      </c>
      <c r="C2090" s="80" t="s">
        <v>145</v>
      </c>
      <c r="D2090" s="80" t="s">
        <v>120</v>
      </c>
      <c r="E2090" s="80" t="s">
        <v>153</v>
      </c>
      <c r="F2090" s="170">
        <v>90</v>
      </c>
    </row>
    <row r="2091" spans="1:6" hidden="1" x14ac:dyDescent="0.25">
      <c r="A2091" s="169">
        <v>43721</v>
      </c>
      <c r="B2091" s="80" t="s">
        <v>2596</v>
      </c>
      <c r="C2091" s="80" t="s">
        <v>143</v>
      </c>
      <c r="D2091" s="80" t="s">
        <v>120</v>
      </c>
      <c r="E2091" s="80" t="s">
        <v>127</v>
      </c>
      <c r="F2091" s="170">
        <v>90</v>
      </c>
    </row>
    <row r="2092" spans="1:6" hidden="1" x14ac:dyDescent="0.25">
      <c r="A2092" s="169">
        <v>43722</v>
      </c>
      <c r="B2092" s="80" t="s">
        <v>2605</v>
      </c>
      <c r="C2092" s="80" t="s">
        <v>189</v>
      </c>
      <c r="D2092" s="80" t="s">
        <v>120</v>
      </c>
      <c r="E2092" s="80" t="s">
        <v>134</v>
      </c>
      <c r="F2092" s="170">
        <v>90</v>
      </c>
    </row>
    <row r="2093" spans="1:6" hidden="1" x14ac:dyDescent="0.25">
      <c r="A2093" s="169">
        <v>43724</v>
      </c>
      <c r="B2093" s="80" t="s">
        <v>2618</v>
      </c>
      <c r="C2093" s="80" t="s">
        <v>223</v>
      </c>
      <c r="D2093" s="80" t="s">
        <v>120</v>
      </c>
      <c r="E2093" s="80" t="s">
        <v>131</v>
      </c>
      <c r="F2093" s="170">
        <v>90</v>
      </c>
    </row>
    <row r="2094" spans="1:6" hidden="1" x14ac:dyDescent="0.25">
      <c r="A2094" s="169">
        <v>43724</v>
      </c>
      <c r="B2094" s="80" t="s">
        <v>2619</v>
      </c>
      <c r="C2094" s="80" t="s">
        <v>164</v>
      </c>
      <c r="D2094" s="80" t="s">
        <v>120</v>
      </c>
      <c r="E2094" s="80" t="s">
        <v>127</v>
      </c>
      <c r="F2094" s="170">
        <v>90</v>
      </c>
    </row>
    <row r="2095" spans="1:6" hidden="1" x14ac:dyDescent="0.25">
      <c r="A2095" s="169">
        <v>43725</v>
      </c>
      <c r="B2095" s="80" t="s">
        <v>2631</v>
      </c>
      <c r="C2095" s="80" t="s">
        <v>138</v>
      </c>
      <c r="D2095" s="80" t="s">
        <v>120</v>
      </c>
      <c r="E2095" s="80" t="s">
        <v>121</v>
      </c>
      <c r="F2095" s="170">
        <v>90</v>
      </c>
    </row>
    <row r="2096" spans="1:6" hidden="1" x14ac:dyDescent="0.25">
      <c r="A2096" s="169">
        <v>43726</v>
      </c>
      <c r="B2096" s="80" t="s">
        <v>2639</v>
      </c>
      <c r="C2096" s="80" t="s">
        <v>138</v>
      </c>
      <c r="D2096" s="80" t="s">
        <v>120</v>
      </c>
      <c r="E2096" s="80" t="s">
        <v>134</v>
      </c>
      <c r="F2096" s="170">
        <v>90</v>
      </c>
    </row>
    <row r="2097" spans="1:6" hidden="1" x14ac:dyDescent="0.25">
      <c r="A2097" s="169">
        <v>43726</v>
      </c>
      <c r="B2097" s="80" t="s">
        <v>2640</v>
      </c>
      <c r="C2097" s="80" t="s">
        <v>129</v>
      </c>
      <c r="D2097" s="80" t="s">
        <v>120</v>
      </c>
      <c r="E2097" s="80" t="s">
        <v>131</v>
      </c>
      <c r="F2097" s="170">
        <v>90</v>
      </c>
    </row>
    <row r="2098" spans="1:6" hidden="1" x14ac:dyDescent="0.25">
      <c r="A2098" s="169">
        <v>43727</v>
      </c>
      <c r="B2098" s="80" t="s">
        <v>2648</v>
      </c>
      <c r="C2098" s="80" t="s">
        <v>145</v>
      </c>
      <c r="D2098" s="80" t="s">
        <v>120</v>
      </c>
      <c r="E2098" s="80" t="s">
        <v>131</v>
      </c>
      <c r="F2098" s="170">
        <v>90</v>
      </c>
    </row>
    <row r="2099" spans="1:6" hidden="1" x14ac:dyDescent="0.25">
      <c r="A2099" s="169">
        <v>43728</v>
      </c>
      <c r="B2099" s="80" t="s">
        <v>2655</v>
      </c>
      <c r="C2099" s="80" t="s">
        <v>187</v>
      </c>
      <c r="D2099" s="80" t="s">
        <v>120</v>
      </c>
      <c r="E2099" s="80" t="s">
        <v>127</v>
      </c>
      <c r="F2099" s="170">
        <v>90</v>
      </c>
    </row>
    <row r="2100" spans="1:6" hidden="1" x14ac:dyDescent="0.25">
      <c r="A2100" s="169">
        <v>43728</v>
      </c>
      <c r="B2100" s="80" t="s">
        <v>2658</v>
      </c>
      <c r="C2100" s="80" t="s">
        <v>119</v>
      </c>
      <c r="D2100" s="80" t="s">
        <v>120</v>
      </c>
      <c r="E2100" s="80" t="s">
        <v>134</v>
      </c>
      <c r="F2100" s="170">
        <v>90</v>
      </c>
    </row>
    <row r="2101" spans="1:6" hidden="1" x14ac:dyDescent="0.25">
      <c r="A2101" s="169">
        <v>43728</v>
      </c>
      <c r="B2101" s="80" t="s">
        <v>2661</v>
      </c>
      <c r="C2101" s="80" t="s">
        <v>143</v>
      </c>
      <c r="D2101" s="80" t="s">
        <v>120</v>
      </c>
      <c r="E2101" s="80" t="s">
        <v>127</v>
      </c>
      <c r="F2101" s="170">
        <v>90</v>
      </c>
    </row>
    <row r="2102" spans="1:6" hidden="1" x14ac:dyDescent="0.25">
      <c r="A2102" s="169">
        <v>43729</v>
      </c>
      <c r="B2102" s="80" t="s">
        <v>2671</v>
      </c>
      <c r="C2102" s="80" t="s">
        <v>182</v>
      </c>
      <c r="D2102" s="80" t="s">
        <v>120</v>
      </c>
      <c r="E2102" s="80" t="s">
        <v>153</v>
      </c>
      <c r="F2102" s="170">
        <v>90</v>
      </c>
    </row>
    <row r="2103" spans="1:6" hidden="1" x14ac:dyDescent="0.25">
      <c r="A2103" s="169">
        <v>43730</v>
      </c>
      <c r="B2103" s="80" t="s">
        <v>2677</v>
      </c>
      <c r="C2103" s="80" t="s">
        <v>145</v>
      </c>
      <c r="D2103" s="80" t="s">
        <v>120</v>
      </c>
      <c r="E2103" s="80" t="s">
        <v>131</v>
      </c>
      <c r="F2103" s="170">
        <v>90</v>
      </c>
    </row>
    <row r="2104" spans="1:6" hidden="1" x14ac:dyDescent="0.25">
      <c r="A2104" s="169">
        <v>43731</v>
      </c>
      <c r="B2104" s="80" t="s">
        <v>2688</v>
      </c>
      <c r="C2104" s="80" t="s">
        <v>148</v>
      </c>
      <c r="D2104" s="80" t="s">
        <v>120</v>
      </c>
      <c r="E2104" s="80" t="s">
        <v>127</v>
      </c>
      <c r="F2104" s="170">
        <v>90</v>
      </c>
    </row>
    <row r="2105" spans="1:6" hidden="1" x14ac:dyDescent="0.25">
      <c r="A2105" s="169">
        <v>43732</v>
      </c>
      <c r="B2105" s="80" t="s">
        <v>2694</v>
      </c>
      <c r="C2105" s="80" t="s">
        <v>136</v>
      </c>
      <c r="D2105" s="80" t="s">
        <v>120</v>
      </c>
      <c r="E2105" s="80" t="s">
        <v>121</v>
      </c>
      <c r="F2105" s="170">
        <v>90</v>
      </c>
    </row>
    <row r="2106" spans="1:6" hidden="1" x14ac:dyDescent="0.25">
      <c r="A2106" s="169">
        <v>43732</v>
      </c>
      <c r="B2106" s="80" t="s">
        <v>2700</v>
      </c>
      <c r="C2106" s="80" t="s">
        <v>136</v>
      </c>
      <c r="D2106" s="80" t="s">
        <v>120</v>
      </c>
      <c r="E2106" s="80" t="s">
        <v>134</v>
      </c>
      <c r="F2106" s="170">
        <v>90</v>
      </c>
    </row>
    <row r="2107" spans="1:6" hidden="1" x14ac:dyDescent="0.25">
      <c r="A2107" s="169">
        <v>43732</v>
      </c>
      <c r="B2107" s="80" t="s">
        <v>2702</v>
      </c>
      <c r="C2107" s="80" t="s">
        <v>119</v>
      </c>
      <c r="D2107" s="80" t="s">
        <v>120</v>
      </c>
      <c r="E2107" s="80" t="s">
        <v>121</v>
      </c>
      <c r="F2107" s="170">
        <v>90</v>
      </c>
    </row>
    <row r="2108" spans="1:6" hidden="1" x14ac:dyDescent="0.25">
      <c r="A2108" s="169">
        <v>43733</v>
      </c>
      <c r="B2108" s="80" t="s">
        <v>2710</v>
      </c>
      <c r="C2108" s="80" t="s">
        <v>145</v>
      </c>
      <c r="D2108" s="80" t="s">
        <v>120</v>
      </c>
      <c r="E2108" s="80" t="s">
        <v>131</v>
      </c>
      <c r="F2108" s="170">
        <v>90</v>
      </c>
    </row>
    <row r="2109" spans="1:6" hidden="1" x14ac:dyDescent="0.25">
      <c r="A2109" s="169">
        <v>43733</v>
      </c>
      <c r="B2109" s="80" t="s">
        <v>2717</v>
      </c>
      <c r="C2109" s="80" t="s">
        <v>129</v>
      </c>
      <c r="D2109" s="80" t="s">
        <v>120</v>
      </c>
      <c r="E2109" s="80" t="s">
        <v>127</v>
      </c>
      <c r="F2109" s="170">
        <v>90</v>
      </c>
    </row>
    <row r="2110" spans="1:6" hidden="1" x14ac:dyDescent="0.25">
      <c r="A2110" s="169">
        <v>43736</v>
      </c>
      <c r="B2110" s="80" t="s">
        <v>2741</v>
      </c>
      <c r="C2110" s="80" t="s">
        <v>167</v>
      </c>
      <c r="D2110" s="80" t="s">
        <v>120</v>
      </c>
      <c r="E2110" s="80" t="s">
        <v>134</v>
      </c>
      <c r="F2110" s="170">
        <v>90</v>
      </c>
    </row>
    <row r="2111" spans="1:6" hidden="1" x14ac:dyDescent="0.25">
      <c r="A2111" s="169">
        <v>43739</v>
      </c>
      <c r="B2111" s="80" t="s">
        <v>2757</v>
      </c>
      <c r="C2111" s="80" t="s">
        <v>138</v>
      </c>
      <c r="D2111" s="80" t="s">
        <v>120</v>
      </c>
      <c r="E2111" s="80" t="s">
        <v>153</v>
      </c>
      <c r="F2111" s="170">
        <v>90</v>
      </c>
    </row>
    <row r="2112" spans="1:6" hidden="1" x14ac:dyDescent="0.25">
      <c r="A2112" s="169">
        <v>43740</v>
      </c>
      <c r="B2112" s="80" t="s">
        <v>2767</v>
      </c>
      <c r="C2112" s="80" t="s">
        <v>123</v>
      </c>
      <c r="D2112" s="80" t="s">
        <v>120</v>
      </c>
      <c r="E2112" s="80" t="s">
        <v>134</v>
      </c>
      <c r="F2112" s="170">
        <v>90</v>
      </c>
    </row>
    <row r="2113" spans="1:6" hidden="1" x14ac:dyDescent="0.25">
      <c r="A2113" s="169">
        <v>43741</v>
      </c>
      <c r="B2113" s="80" t="s">
        <v>2775</v>
      </c>
      <c r="C2113" s="80" t="s">
        <v>123</v>
      </c>
      <c r="D2113" s="80" t="s">
        <v>120</v>
      </c>
      <c r="E2113" s="80" t="s">
        <v>131</v>
      </c>
      <c r="F2113" s="170">
        <v>90</v>
      </c>
    </row>
    <row r="2114" spans="1:6" hidden="1" x14ac:dyDescent="0.25">
      <c r="A2114" s="169">
        <v>43745</v>
      </c>
      <c r="B2114" s="80" t="s">
        <v>2803</v>
      </c>
      <c r="C2114" s="80" t="s">
        <v>187</v>
      </c>
      <c r="D2114" s="80" t="s">
        <v>120</v>
      </c>
      <c r="E2114" s="80" t="s">
        <v>127</v>
      </c>
      <c r="F2114" s="170">
        <v>90</v>
      </c>
    </row>
    <row r="2115" spans="1:6" hidden="1" x14ac:dyDescent="0.25">
      <c r="A2115" s="169">
        <v>43745</v>
      </c>
      <c r="B2115" s="80" t="s">
        <v>2804</v>
      </c>
      <c r="C2115" s="80" t="s">
        <v>145</v>
      </c>
      <c r="D2115" s="80" t="s">
        <v>120</v>
      </c>
      <c r="E2115" s="80" t="s">
        <v>153</v>
      </c>
      <c r="F2115" s="170">
        <v>90</v>
      </c>
    </row>
    <row r="2116" spans="1:6" hidden="1" x14ac:dyDescent="0.25">
      <c r="A2116" s="169">
        <v>43745</v>
      </c>
      <c r="B2116" s="80" t="s">
        <v>2805</v>
      </c>
      <c r="C2116" s="80" t="s">
        <v>145</v>
      </c>
      <c r="D2116" s="80" t="s">
        <v>120</v>
      </c>
      <c r="E2116" s="80" t="s">
        <v>153</v>
      </c>
      <c r="F2116" s="170">
        <v>90</v>
      </c>
    </row>
    <row r="2117" spans="1:6" hidden="1" x14ac:dyDescent="0.25">
      <c r="A2117" s="169">
        <v>43746</v>
      </c>
      <c r="B2117" s="80" t="s">
        <v>2811</v>
      </c>
      <c r="C2117" s="80" t="s">
        <v>167</v>
      </c>
      <c r="D2117" s="80" t="s">
        <v>120</v>
      </c>
      <c r="E2117" s="80" t="s">
        <v>121</v>
      </c>
      <c r="F2117" s="170">
        <v>90</v>
      </c>
    </row>
    <row r="2118" spans="1:6" hidden="1" x14ac:dyDescent="0.25">
      <c r="A2118" s="169">
        <v>43747</v>
      </c>
      <c r="B2118" s="80" t="s">
        <v>2813</v>
      </c>
      <c r="C2118" s="80" t="s">
        <v>189</v>
      </c>
      <c r="D2118" s="80" t="s">
        <v>120</v>
      </c>
      <c r="E2118" s="80" t="s">
        <v>134</v>
      </c>
      <c r="F2118" s="170">
        <v>90</v>
      </c>
    </row>
    <row r="2119" spans="1:6" hidden="1" x14ac:dyDescent="0.25">
      <c r="A2119" s="169">
        <v>43748</v>
      </c>
      <c r="B2119" s="80" t="s">
        <v>2825</v>
      </c>
      <c r="C2119" s="80" t="s">
        <v>136</v>
      </c>
      <c r="D2119" s="80" t="s">
        <v>120</v>
      </c>
      <c r="E2119" s="80" t="s">
        <v>153</v>
      </c>
      <c r="F2119" s="170">
        <v>90</v>
      </c>
    </row>
    <row r="2120" spans="1:6" hidden="1" x14ac:dyDescent="0.25">
      <c r="A2120" s="169">
        <v>43750</v>
      </c>
      <c r="B2120" s="80" t="s">
        <v>2848</v>
      </c>
      <c r="C2120" s="80" t="s">
        <v>145</v>
      </c>
      <c r="D2120" s="80" t="s">
        <v>120</v>
      </c>
      <c r="E2120" s="80" t="s">
        <v>153</v>
      </c>
      <c r="F2120" s="170">
        <v>90</v>
      </c>
    </row>
    <row r="2121" spans="1:6" hidden="1" x14ac:dyDescent="0.25">
      <c r="A2121" s="169">
        <v>43750</v>
      </c>
      <c r="B2121" s="80" t="s">
        <v>2860</v>
      </c>
      <c r="C2121" s="80" t="s">
        <v>189</v>
      </c>
      <c r="D2121" s="80" t="s">
        <v>120</v>
      </c>
      <c r="E2121" s="80" t="s">
        <v>127</v>
      </c>
      <c r="F2121" s="170">
        <v>90</v>
      </c>
    </row>
    <row r="2122" spans="1:6" hidden="1" x14ac:dyDescent="0.25">
      <c r="A2122" s="169">
        <v>43752</v>
      </c>
      <c r="B2122" s="80" t="s">
        <v>2875</v>
      </c>
      <c r="C2122" s="80" t="s">
        <v>119</v>
      </c>
      <c r="D2122" s="80" t="s">
        <v>120</v>
      </c>
      <c r="E2122" s="80" t="s">
        <v>127</v>
      </c>
      <c r="F2122" s="170">
        <v>90</v>
      </c>
    </row>
    <row r="2123" spans="1:6" hidden="1" x14ac:dyDescent="0.25">
      <c r="A2123" s="169">
        <v>43753</v>
      </c>
      <c r="B2123" s="80" t="s">
        <v>2881</v>
      </c>
      <c r="C2123" s="80" t="s">
        <v>223</v>
      </c>
      <c r="D2123" s="80" t="s">
        <v>120</v>
      </c>
      <c r="E2123" s="80" t="s">
        <v>121</v>
      </c>
      <c r="F2123" s="170">
        <v>90</v>
      </c>
    </row>
    <row r="2124" spans="1:6" hidden="1" x14ac:dyDescent="0.25">
      <c r="A2124" s="169">
        <v>43753</v>
      </c>
      <c r="B2124" s="80" t="s">
        <v>2887</v>
      </c>
      <c r="C2124" s="80" t="s">
        <v>138</v>
      </c>
      <c r="D2124" s="80" t="s">
        <v>120</v>
      </c>
      <c r="E2124" s="80" t="s">
        <v>121</v>
      </c>
      <c r="F2124" s="170">
        <v>90</v>
      </c>
    </row>
    <row r="2125" spans="1:6" hidden="1" x14ac:dyDescent="0.25">
      <c r="A2125" s="169">
        <v>43754</v>
      </c>
      <c r="B2125" s="80" t="s">
        <v>2890</v>
      </c>
      <c r="C2125" s="80" t="s">
        <v>187</v>
      </c>
      <c r="D2125" s="80" t="s">
        <v>120</v>
      </c>
      <c r="E2125" s="80" t="s">
        <v>121</v>
      </c>
      <c r="F2125" s="170">
        <v>90</v>
      </c>
    </row>
    <row r="2126" spans="1:6" hidden="1" x14ac:dyDescent="0.25">
      <c r="A2126" s="169">
        <v>43754</v>
      </c>
      <c r="B2126" s="80" t="s">
        <v>2894</v>
      </c>
      <c r="C2126" s="80" t="s">
        <v>125</v>
      </c>
      <c r="D2126" s="80" t="s">
        <v>120</v>
      </c>
      <c r="E2126" s="80" t="s">
        <v>131</v>
      </c>
      <c r="F2126" s="170">
        <v>90</v>
      </c>
    </row>
    <row r="2127" spans="1:6" hidden="1" x14ac:dyDescent="0.25">
      <c r="A2127" s="169">
        <v>43755</v>
      </c>
      <c r="B2127" s="80" t="s">
        <v>2903</v>
      </c>
      <c r="C2127" s="80" t="s">
        <v>143</v>
      </c>
      <c r="D2127" s="80" t="s">
        <v>120</v>
      </c>
      <c r="E2127" s="80" t="s">
        <v>153</v>
      </c>
      <c r="F2127" s="170">
        <v>90</v>
      </c>
    </row>
    <row r="2128" spans="1:6" hidden="1" x14ac:dyDescent="0.25">
      <c r="A2128" s="169">
        <v>43756</v>
      </c>
      <c r="B2128" s="80" t="s">
        <v>2916</v>
      </c>
      <c r="C2128" s="80" t="s">
        <v>164</v>
      </c>
      <c r="D2128" s="80" t="s">
        <v>120</v>
      </c>
      <c r="E2128" s="80" t="s">
        <v>153</v>
      </c>
      <c r="F2128" s="170">
        <v>90</v>
      </c>
    </row>
    <row r="2129" spans="1:6" hidden="1" x14ac:dyDescent="0.25">
      <c r="A2129" s="169">
        <v>43756</v>
      </c>
      <c r="B2129" s="80" t="s">
        <v>2919</v>
      </c>
      <c r="C2129" s="80" t="s">
        <v>143</v>
      </c>
      <c r="D2129" s="80" t="s">
        <v>120</v>
      </c>
      <c r="E2129" s="80" t="s">
        <v>134</v>
      </c>
      <c r="F2129" s="170">
        <v>90</v>
      </c>
    </row>
    <row r="2130" spans="1:6" hidden="1" x14ac:dyDescent="0.25">
      <c r="A2130" s="169">
        <v>43756</v>
      </c>
      <c r="B2130" s="80" t="s">
        <v>2922</v>
      </c>
      <c r="C2130" s="80" t="s">
        <v>189</v>
      </c>
      <c r="D2130" s="80" t="s">
        <v>120</v>
      </c>
      <c r="E2130" s="80" t="s">
        <v>153</v>
      </c>
      <c r="F2130" s="170">
        <v>90</v>
      </c>
    </row>
    <row r="2131" spans="1:6" hidden="1" x14ac:dyDescent="0.25">
      <c r="A2131" s="169">
        <v>43757</v>
      </c>
      <c r="B2131" s="80" t="s">
        <v>2924</v>
      </c>
      <c r="C2131" s="80" t="s">
        <v>138</v>
      </c>
      <c r="D2131" s="80" t="s">
        <v>120</v>
      </c>
      <c r="E2131" s="80" t="s">
        <v>121</v>
      </c>
      <c r="F2131" s="170">
        <v>90</v>
      </c>
    </row>
    <row r="2132" spans="1:6" hidden="1" x14ac:dyDescent="0.25">
      <c r="A2132" s="169">
        <v>43757</v>
      </c>
      <c r="B2132" s="80" t="s">
        <v>2925</v>
      </c>
      <c r="C2132" s="80" t="s">
        <v>182</v>
      </c>
      <c r="D2132" s="80" t="s">
        <v>120</v>
      </c>
      <c r="E2132" s="80" t="s">
        <v>153</v>
      </c>
      <c r="F2132" s="170">
        <v>90</v>
      </c>
    </row>
    <row r="2133" spans="1:6" hidden="1" x14ac:dyDescent="0.25">
      <c r="A2133" s="169">
        <v>43758</v>
      </c>
      <c r="B2133" s="80" t="s">
        <v>2931</v>
      </c>
      <c r="C2133" s="80" t="s">
        <v>125</v>
      </c>
      <c r="D2133" s="80" t="s">
        <v>120</v>
      </c>
      <c r="E2133" s="80" t="s">
        <v>153</v>
      </c>
      <c r="F2133" s="170">
        <v>90</v>
      </c>
    </row>
    <row r="2134" spans="1:6" hidden="1" x14ac:dyDescent="0.25">
      <c r="A2134" s="169">
        <v>43758</v>
      </c>
      <c r="B2134" s="80" t="s">
        <v>2935</v>
      </c>
      <c r="C2134" s="80" t="s">
        <v>145</v>
      </c>
      <c r="D2134" s="80" t="s">
        <v>120</v>
      </c>
      <c r="E2134" s="80" t="s">
        <v>131</v>
      </c>
      <c r="F2134" s="170">
        <v>90</v>
      </c>
    </row>
    <row r="2135" spans="1:6" hidden="1" x14ac:dyDescent="0.25">
      <c r="A2135" s="169">
        <v>43759</v>
      </c>
      <c r="B2135" s="80" t="s">
        <v>2939</v>
      </c>
      <c r="C2135" s="80" t="s">
        <v>125</v>
      </c>
      <c r="D2135" s="80" t="s">
        <v>120</v>
      </c>
      <c r="E2135" s="80" t="s">
        <v>153</v>
      </c>
      <c r="F2135" s="170">
        <v>90</v>
      </c>
    </row>
    <row r="2136" spans="1:6" hidden="1" x14ac:dyDescent="0.25">
      <c r="A2136" s="169">
        <v>43759</v>
      </c>
      <c r="B2136" s="80" t="s">
        <v>2944</v>
      </c>
      <c r="C2136" s="80" t="s">
        <v>138</v>
      </c>
      <c r="D2136" s="80" t="s">
        <v>120</v>
      </c>
      <c r="E2136" s="80" t="s">
        <v>127</v>
      </c>
      <c r="F2136" s="170">
        <v>90</v>
      </c>
    </row>
    <row r="2137" spans="1:6" hidden="1" x14ac:dyDescent="0.25">
      <c r="A2137" s="169">
        <v>43760</v>
      </c>
      <c r="B2137" s="80" t="s">
        <v>2952</v>
      </c>
      <c r="C2137" s="80" t="s">
        <v>182</v>
      </c>
      <c r="D2137" s="80" t="s">
        <v>120</v>
      </c>
      <c r="E2137" s="80" t="s">
        <v>134</v>
      </c>
      <c r="F2137" s="170">
        <v>90</v>
      </c>
    </row>
    <row r="2138" spans="1:6" hidden="1" x14ac:dyDescent="0.25">
      <c r="A2138" s="169">
        <v>43760</v>
      </c>
      <c r="B2138" s="80" t="s">
        <v>2956</v>
      </c>
      <c r="C2138" s="80" t="s">
        <v>187</v>
      </c>
      <c r="D2138" s="80" t="s">
        <v>120</v>
      </c>
      <c r="E2138" s="80" t="s">
        <v>134</v>
      </c>
      <c r="F2138" s="170">
        <v>90</v>
      </c>
    </row>
    <row r="2139" spans="1:6" hidden="1" x14ac:dyDescent="0.25">
      <c r="A2139" s="169">
        <v>43760</v>
      </c>
      <c r="B2139" s="80" t="s">
        <v>2959</v>
      </c>
      <c r="C2139" s="80" t="s">
        <v>152</v>
      </c>
      <c r="D2139" s="80" t="s">
        <v>120</v>
      </c>
      <c r="E2139" s="80" t="s">
        <v>134</v>
      </c>
      <c r="F2139" s="170">
        <v>90</v>
      </c>
    </row>
    <row r="2140" spans="1:6" hidden="1" x14ac:dyDescent="0.25">
      <c r="A2140" s="169">
        <v>43762</v>
      </c>
      <c r="B2140" s="80" t="s">
        <v>2971</v>
      </c>
      <c r="C2140" s="80" t="s">
        <v>136</v>
      </c>
      <c r="D2140" s="80" t="s">
        <v>120</v>
      </c>
      <c r="E2140" s="80" t="s">
        <v>127</v>
      </c>
      <c r="F2140" s="170">
        <v>90</v>
      </c>
    </row>
    <row r="2141" spans="1:6" hidden="1" x14ac:dyDescent="0.25">
      <c r="A2141" s="169">
        <v>43762</v>
      </c>
      <c r="B2141" s="80" t="s">
        <v>2978</v>
      </c>
      <c r="C2141" s="80" t="s">
        <v>157</v>
      </c>
      <c r="D2141" s="80" t="s">
        <v>120</v>
      </c>
      <c r="E2141" s="80" t="s">
        <v>153</v>
      </c>
      <c r="F2141" s="170">
        <v>90</v>
      </c>
    </row>
    <row r="2142" spans="1:6" hidden="1" x14ac:dyDescent="0.25">
      <c r="A2142" s="169">
        <v>43764</v>
      </c>
      <c r="B2142" s="80" t="s">
        <v>2997</v>
      </c>
      <c r="C2142" s="80" t="s">
        <v>157</v>
      </c>
      <c r="D2142" s="80" t="s">
        <v>120</v>
      </c>
      <c r="E2142" s="80" t="s">
        <v>127</v>
      </c>
      <c r="F2142" s="170">
        <v>90</v>
      </c>
    </row>
    <row r="2143" spans="1:6" hidden="1" x14ac:dyDescent="0.25">
      <c r="A2143" s="169">
        <v>43764</v>
      </c>
      <c r="B2143" s="80" t="s">
        <v>2998</v>
      </c>
      <c r="C2143" s="80" t="s">
        <v>167</v>
      </c>
      <c r="D2143" s="80" t="s">
        <v>120</v>
      </c>
      <c r="E2143" s="80" t="s">
        <v>121</v>
      </c>
      <c r="F2143" s="170">
        <v>90</v>
      </c>
    </row>
    <row r="2144" spans="1:6" hidden="1" x14ac:dyDescent="0.25">
      <c r="A2144" s="169">
        <v>43765</v>
      </c>
      <c r="B2144" s="80" t="s">
        <v>3003</v>
      </c>
      <c r="C2144" s="80" t="s">
        <v>119</v>
      </c>
      <c r="D2144" s="80" t="s">
        <v>120</v>
      </c>
      <c r="E2144" s="80" t="s">
        <v>134</v>
      </c>
      <c r="F2144" s="170">
        <v>90</v>
      </c>
    </row>
    <row r="2145" spans="1:6" hidden="1" x14ac:dyDescent="0.25">
      <c r="A2145" s="169">
        <v>43767</v>
      </c>
      <c r="B2145" s="80" t="s">
        <v>3034</v>
      </c>
      <c r="C2145" s="80" t="s">
        <v>187</v>
      </c>
      <c r="D2145" s="80" t="s">
        <v>120</v>
      </c>
      <c r="E2145" s="80" t="s">
        <v>153</v>
      </c>
      <c r="F2145" s="170">
        <v>90</v>
      </c>
    </row>
    <row r="2146" spans="1:6" hidden="1" x14ac:dyDescent="0.25">
      <c r="A2146" s="169">
        <v>43769</v>
      </c>
      <c r="B2146" s="80" t="s">
        <v>3047</v>
      </c>
      <c r="C2146" s="80" t="s">
        <v>189</v>
      </c>
      <c r="D2146" s="80" t="s">
        <v>120</v>
      </c>
      <c r="E2146" s="80" t="s">
        <v>121</v>
      </c>
      <c r="F2146" s="170">
        <v>90</v>
      </c>
    </row>
    <row r="2147" spans="1:6" hidden="1" x14ac:dyDescent="0.25">
      <c r="A2147" s="169">
        <v>43770</v>
      </c>
      <c r="B2147" s="80" t="s">
        <v>3056</v>
      </c>
      <c r="C2147" s="80" t="s">
        <v>164</v>
      </c>
      <c r="D2147" s="80" t="s">
        <v>120</v>
      </c>
      <c r="E2147" s="80" t="s">
        <v>131</v>
      </c>
      <c r="F2147" s="170">
        <v>90</v>
      </c>
    </row>
    <row r="2148" spans="1:6" hidden="1" x14ac:dyDescent="0.25">
      <c r="A2148" s="169">
        <v>43771</v>
      </c>
      <c r="B2148" s="80" t="s">
        <v>3065</v>
      </c>
      <c r="C2148" s="80" t="s">
        <v>123</v>
      </c>
      <c r="D2148" s="80" t="s">
        <v>120</v>
      </c>
      <c r="E2148" s="80" t="s">
        <v>131</v>
      </c>
      <c r="F2148" s="170">
        <v>90</v>
      </c>
    </row>
    <row r="2149" spans="1:6" hidden="1" x14ac:dyDescent="0.25">
      <c r="A2149" s="169">
        <v>43773</v>
      </c>
      <c r="B2149" s="80" t="s">
        <v>3081</v>
      </c>
      <c r="C2149" s="80" t="s">
        <v>143</v>
      </c>
      <c r="D2149" s="80" t="s">
        <v>120</v>
      </c>
      <c r="E2149" s="80" t="s">
        <v>121</v>
      </c>
      <c r="F2149" s="170">
        <v>90</v>
      </c>
    </row>
    <row r="2150" spans="1:6" hidden="1" x14ac:dyDescent="0.25">
      <c r="A2150" s="169">
        <v>43776</v>
      </c>
      <c r="B2150" s="80" t="s">
        <v>3116</v>
      </c>
      <c r="C2150" s="80" t="s">
        <v>148</v>
      </c>
      <c r="D2150" s="80" t="s">
        <v>120</v>
      </c>
      <c r="E2150" s="80" t="s">
        <v>153</v>
      </c>
      <c r="F2150" s="170">
        <v>90</v>
      </c>
    </row>
    <row r="2151" spans="1:6" hidden="1" x14ac:dyDescent="0.25">
      <c r="A2151" s="169">
        <v>43776</v>
      </c>
      <c r="B2151" s="80" t="s">
        <v>3119</v>
      </c>
      <c r="C2151" s="80" t="s">
        <v>187</v>
      </c>
      <c r="D2151" s="80" t="s">
        <v>120</v>
      </c>
      <c r="E2151" s="80" t="s">
        <v>134</v>
      </c>
      <c r="F2151" s="170">
        <v>90</v>
      </c>
    </row>
    <row r="2152" spans="1:6" hidden="1" x14ac:dyDescent="0.25">
      <c r="A2152" s="169">
        <v>43777</v>
      </c>
      <c r="B2152" s="80" t="s">
        <v>3128</v>
      </c>
      <c r="C2152" s="80" t="s">
        <v>148</v>
      </c>
      <c r="D2152" s="80" t="s">
        <v>120</v>
      </c>
      <c r="E2152" s="80" t="s">
        <v>134</v>
      </c>
      <c r="F2152" s="170">
        <v>90</v>
      </c>
    </row>
    <row r="2153" spans="1:6" hidden="1" x14ac:dyDescent="0.25">
      <c r="A2153" s="169">
        <v>43778</v>
      </c>
      <c r="B2153" s="80" t="s">
        <v>3139</v>
      </c>
      <c r="C2153" s="80" t="s">
        <v>119</v>
      </c>
      <c r="D2153" s="80" t="s">
        <v>120</v>
      </c>
      <c r="E2153" s="80" t="s">
        <v>131</v>
      </c>
      <c r="F2153" s="170">
        <v>90</v>
      </c>
    </row>
    <row r="2154" spans="1:6" hidden="1" x14ac:dyDescent="0.25">
      <c r="A2154" s="169">
        <v>43778</v>
      </c>
      <c r="B2154" s="80" t="s">
        <v>3142</v>
      </c>
      <c r="C2154" s="80" t="s">
        <v>157</v>
      </c>
      <c r="D2154" s="80" t="s">
        <v>120</v>
      </c>
      <c r="E2154" s="80" t="s">
        <v>153</v>
      </c>
      <c r="F2154" s="170">
        <v>90</v>
      </c>
    </row>
    <row r="2155" spans="1:6" hidden="1" x14ac:dyDescent="0.25">
      <c r="A2155" s="169">
        <v>43779</v>
      </c>
      <c r="B2155" s="80" t="s">
        <v>3155</v>
      </c>
      <c r="C2155" s="80" t="s">
        <v>148</v>
      </c>
      <c r="D2155" s="80" t="s">
        <v>120</v>
      </c>
      <c r="E2155" s="80" t="s">
        <v>121</v>
      </c>
      <c r="F2155" s="170">
        <v>90</v>
      </c>
    </row>
    <row r="2156" spans="1:6" hidden="1" x14ac:dyDescent="0.25">
      <c r="A2156" s="169">
        <v>43780</v>
      </c>
      <c r="B2156" s="80" t="s">
        <v>3163</v>
      </c>
      <c r="C2156" s="80" t="s">
        <v>119</v>
      </c>
      <c r="D2156" s="80" t="s">
        <v>120</v>
      </c>
      <c r="E2156" s="80" t="s">
        <v>134</v>
      </c>
      <c r="F2156" s="170">
        <v>90</v>
      </c>
    </row>
    <row r="2157" spans="1:6" hidden="1" x14ac:dyDescent="0.25">
      <c r="A2157" s="169">
        <v>43780</v>
      </c>
      <c r="B2157" s="80" t="s">
        <v>3166</v>
      </c>
      <c r="C2157" s="80" t="s">
        <v>125</v>
      </c>
      <c r="D2157" s="80" t="s">
        <v>120</v>
      </c>
      <c r="E2157" s="80" t="s">
        <v>121</v>
      </c>
      <c r="F2157" s="170">
        <v>90</v>
      </c>
    </row>
    <row r="2158" spans="1:6" hidden="1" x14ac:dyDescent="0.25">
      <c r="A2158" s="169">
        <v>43781</v>
      </c>
      <c r="B2158" s="80" t="s">
        <v>3177</v>
      </c>
      <c r="C2158" s="80" t="s">
        <v>143</v>
      </c>
      <c r="D2158" s="80" t="s">
        <v>120</v>
      </c>
      <c r="E2158" s="80" t="s">
        <v>153</v>
      </c>
      <c r="F2158" s="170">
        <v>90</v>
      </c>
    </row>
    <row r="2159" spans="1:6" hidden="1" x14ac:dyDescent="0.25">
      <c r="A2159" s="169">
        <v>43782</v>
      </c>
      <c r="B2159" s="80" t="s">
        <v>3189</v>
      </c>
      <c r="C2159" s="80" t="s">
        <v>129</v>
      </c>
      <c r="D2159" s="80" t="s">
        <v>120</v>
      </c>
      <c r="E2159" s="80" t="s">
        <v>127</v>
      </c>
      <c r="F2159" s="170">
        <v>90</v>
      </c>
    </row>
    <row r="2160" spans="1:6" hidden="1" x14ac:dyDescent="0.25">
      <c r="A2160" s="169">
        <v>43783</v>
      </c>
      <c r="B2160" s="80" t="s">
        <v>3201</v>
      </c>
      <c r="C2160" s="80" t="s">
        <v>119</v>
      </c>
      <c r="D2160" s="80" t="s">
        <v>120</v>
      </c>
      <c r="E2160" s="80" t="s">
        <v>127</v>
      </c>
      <c r="F2160" s="170">
        <v>90</v>
      </c>
    </row>
    <row r="2161" spans="1:6" hidden="1" x14ac:dyDescent="0.25">
      <c r="A2161" s="169">
        <v>43783</v>
      </c>
      <c r="B2161" s="80" t="s">
        <v>3205</v>
      </c>
      <c r="C2161" s="80" t="s">
        <v>167</v>
      </c>
      <c r="D2161" s="80" t="s">
        <v>120</v>
      </c>
      <c r="E2161" s="80" t="s">
        <v>121</v>
      </c>
      <c r="F2161" s="170">
        <v>90</v>
      </c>
    </row>
    <row r="2162" spans="1:6" hidden="1" x14ac:dyDescent="0.25">
      <c r="A2162" s="169">
        <v>43784</v>
      </c>
      <c r="B2162" s="80" t="s">
        <v>3210</v>
      </c>
      <c r="C2162" s="80" t="s">
        <v>125</v>
      </c>
      <c r="D2162" s="80" t="s">
        <v>120</v>
      </c>
      <c r="E2162" s="80" t="s">
        <v>153</v>
      </c>
      <c r="F2162" s="170">
        <v>90</v>
      </c>
    </row>
    <row r="2163" spans="1:6" hidden="1" x14ac:dyDescent="0.25">
      <c r="A2163" s="169">
        <v>43784</v>
      </c>
      <c r="B2163" s="80" t="s">
        <v>3216</v>
      </c>
      <c r="C2163" s="80" t="s">
        <v>182</v>
      </c>
      <c r="D2163" s="80" t="s">
        <v>120</v>
      </c>
      <c r="E2163" s="80" t="s">
        <v>131</v>
      </c>
      <c r="F2163" s="170">
        <v>90</v>
      </c>
    </row>
    <row r="2164" spans="1:6" hidden="1" x14ac:dyDescent="0.25">
      <c r="A2164" s="169">
        <v>43785</v>
      </c>
      <c r="B2164" s="80" t="s">
        <v>3221</v>
      </c>
      <c r="C2164" s="80" t="s">
        <v>187</v>
      </c>
      <c r="D2164" s="80" t="s">
        <v>120</v>
      </c>
      <c r="E2164" s="80" t="s">
        <v>153</v>
      </c>
      <c r="F2164" s="170">
        <v>90</v>
      </c>
    </row>
    <row r="2165" spans="1:6" hidden="1" x14ac:dyDescent="0.25">
      <c r="A2165" s="169">
        <v>43787</v>
      </c>
      <c r="B2165" s="80" t="s">
        <v>3235</v>
      </c>
      <c r="C2165" s="80" t="s">
        <v>152</v>
      </c>
      <c r="D2165" s="80" t="s">
        <v>120</v>
      </c>
      <c r="E2165" s="80" t="s">
        <v>153</v>
      </c>
      <c r="F2165" s="170">
        <v>90</v>
      </c>
    </row>
    <row r="2166" spans="1:6" hidden="1" x14ac:dyDescent="0.25">
      <c r="A2166" s="169">
        <v>43787</v>
      </c>
      <c r="B2166" s="80" t="s">
        <v>3238</v>
      </c>
      <c r="C2166" s="80" t="s">
        <v>125</v>
      </c>
      <c r="D2166" s="80" t="s">
        <v>120</v>
      </c>
      <c r="E2166" s="80" t="s">
        <v>121</v>
      </c>
      <c r="F2166" s="170">
        <v>90</v>
      </c>
    </row>
    <row r="2167" spans="1:6" hidden="1" x14ac:dyDescent="0.25">
      <c r="A2167" s="169">
        <v>43788</v>
      </c>
      <c r="B2167" s="80" t="s">
        <v>3243</v>
      </c>
      <c r="C2167" s="80" t="s">
        <v>164</v>
      </c>
      <c r="D2167" s="80" t="s">
        <v>120</v>
      </c>
      <c r="E2167" s="80" t="s">
        <v>131</v>
      </c>
      <c r="F2167" s="170">
        <v>90</v>
      </c>
    </row>
    <row r="2168" spans="1:6" hidden="1" x14ac:dyDescent="0.25">
      <c r="A2168" s="169">
        <v>43789</v>
      </c>
      <c r="B2168" s="80" t="s">
        <v>3254</v>
      </c>
      <c r="C2168" s="80" t="s">
        <v>164</v>
      </c>
      <c r="D2168" s="80" t="s">
        <v>120</v>
      </c>
      <c r="E2168" s="80" t="s">
        <v>153</v>
      </c>
      <c r="F2168" s="170">
        <v>90</v>
      </c>
    </row>
    <row r="2169" spans="1:6" hidden="1" x14ac:dyDescent="0.25">
      <c r="A2169" s="169">
        <v>43790</v>
      </c>
      <c r="B2169" s="80" t="s">
        <v>3259</v>
      </c>
      <c r="C2169" s="80" t="s">
        <v>167</v>
      </c>
      <c r="D2169" s="80" t="s">
        <v>120</v>
      </c>
      <c r="E2169" s="80" t="s">
        <v>127</v>
      </c>
      <c r="F2169" s="170">
        <v>90</v>
      </c>
    </row>
    <row r="2170" spans="1:6" hidden="1" x14ac:dyDescent="0.25">
      <c r="A2170" s="169">
        <v>43793</v>
      </c>
      <c r="B2170" s="80" t="s">
        <v>3296</v>
      </c>
      <c r="C2170" s="80" t="s">
        <v>152</v>
      </c>
      <c r="D2170" s="80" t="s">
        <v>120</v>
      </c>
      <c r="E2170" s="80" t="s">
        <v>121</v>
      </c>
      <c r="F2170" s="170">
        <v>90</v>
      </c>
    </row>
    <row r="2171" spans="1:6" hidden="1" x14ac:dyDescent="0.25">
      <c r="A2171" s="169">
        <v>43793</v>
      </c>
      <c r="B2171" s="80" t="s">
        <v>3301</v>
      </c>
      <c r="C2171" s="80" t="s">
        <v>129</v>
      </c>
      <c r="D2171" s="80" t="s">
        <v>120</v>
      </c>
      <c r="E2171" s="80" t="s">
        <v>134</v>
      </c>
      <c r="F2171" s="170">
        <v>90</v>
      </c>
    </row>
    <row r="2172" spans="1:6" hidden="1" x14ac:dyDescent="0.25">
      <c r="A2172" s="169">
        <v>43794</v>
      </c>
      <c r="B2172" s="80" t="s">
        <v>3304</v>
      </c>
      <c r="C2172" s="80" t="s">
        <v>136</v>
      </c>
      <c r="D2172" s="80" t="s">
        <v>120</v>
      </c>
      <c r="E2172" s="80" t="s">
        <v>127</v>
      </c>
      <c r="F2172" s="170">
        <v>90</v>
      </c>
    </row>
    <row r="2173" spans="1:6" hidden="1" x14ac:dyDescent="0.25">
      <c r="A2173" s="169">
        <v>43794</v>
      </c>
      <c r="B2173" s="80" t="s">
        <v>3305</v>
      </c>
      <c r="C2173" s="80" t="s">
        <v>223</v>
      </c>
      <c r="D2173" s="80" t="s">
        <v>120</v>
      </c>
      <c r="E2173" s="80" t="s">
        <v>121</v>
      </c>
      <c r="F2173" s="170">
        <v>90</v>
      </c>
    </row>
    <row r="2174" spans="1:6" hidden="1" x14ac:dyDescent="0.25">
      <c r="A2174" s="169">
        <v>43794</v>
      </c>
      <c r="B2174" s="80" t="s">
        <v>3312</v>
      </c>
      <c r="C2174" s="80" t="s">
        <v>148</v>
      </c>
      <c r="D2174" s="80" t="s">
        <v>120</v>
      </c>
      <c r="E2174" s="80" t="s">
        <v>134</v>
      </c>
      <c r="F2174" s="170">
        <v>90</v>
      </c>
    </row>
    <row r="2175" spans="1:6" hidden="1" x14ac:dyDescent="0.25">
      <c r="A2175" s="169">
        <v>43796</v>
      </c>
      <c r="B2175" s="80" t="s">
        <v>3329</v>
      </c>
      <c r="C2175" s="80" t="s">
        <v>182</v>
      </c>
      <c r="D2175" s="80" t="s">
        <v>120</v>
      </c>
      <c r="E2175" s="80" t="s">
        <v>134</v>
      </c>
      <c r="F2175" s="170">
        <v>90</v>
      </c>
    </row>
    <row r="2176" spans="1:6" hidden="1" x14ac:dyDescent="0.25">
      <c r="A2176" s="169">
        <v>43797</v>
      </c>
      <c r="B2176" s="80" t="s">
        <v>3334</v>
      </c>
      <c r="C2176" s="80" t="s">
        <v>129</v>
      </c>
      <c r="D2176" s="80" t="s">
        <v>120</v>
      </c>
      <c r="E2176" s="80" t="s">
        <v>131</v>
      </c>
      <c r="F2176" s="170">
        <v>90</v>
      </c>
    </row>
    <row r="2177" spans="1:6" hidden="1" x14ac:dyDescent="0.25">
      <c r="A2177" s="169">
        <v>43799</v>
      </c>
      <c r="B2177" s="80" t="s">
        <v>3350</v>
      </c>
      <c r="C2177" s="80" t="s">
        <v>138</v>
      </c>
      <c r="D2177" s="80" t="s">
        <v>120</v>
      </c>
      <c r="E2177" s="80" t="s">
        <v>131</v>
      </c>
      <c r="F2177" s="170">
        <v>90</v>
      </c>
    </row>
    <row r="2178" spans="1:6" hidden="1" x14ac:dyDescent="0.25">
      <c r="A2178" s="169">
        <v>43799</v>
      </c>
      <c r="B2178" s="80" t="s">
        <v>3351</v>
      </c>
      <c r="C2178" s="80" t="s">
        <v>167</v>
      </c>
      <c r="D2178" s="80" t="s">
        <v>120</v>
      </c>
      <c r="E2178" s="80" t="s">
        <v>121</v>
      </c>
      <c r="F2178" s="170">
        <v>90</v>
      </c>
    </row>
    <row r="2179" spans="1:6" hidden="1" x14ac:dyDescent="0.25">
      <c r="A2179" s="169">
        <v>43800</v>
      </c>
      <c r="B2179" s="80" t="s">
        <v>3357</v>
      </c>
      <c r="C2179" s="80" t="s">
        <v>129</v>
      </c>
      <c r="D2179" s="80" t="s">
        <v>120</v>
      </c>
      <c r="E2179" s="80" t="s">
        <v>131</v>
      </c>
      <c r="F2179" s="170">
        <v>90</v>
      </c>
    </row>
    <row r="2180" spans="1:6" hidden="1" x14ac:dyDescent="0.25">
      <c r="A2180" s="169">
        <v>43800</v>
      </c>
      <c r="B2180" s="80" t="s">
        <v>3367</v>
      </c>
      <c r="C2180" s="80" t="s">
        <v>123</v>
      </c>
      <c r="D2180" s="80" t="s">
        <v>120</v>
      </c>
      <c r="E2180" s="80" t="s">
        <v>131</v>
      </c>
      <c r="F2180" s="170">
        <v>90</v>
      </c>
    </row>
    <row r="2181" spans="1:6" hidden="1" x14ac:dyDescent="0.25">
      <c r="A2181" s="169">
        <v>43802</v>
      </c>
      <c r="B2181" s="80" t="s">
        <v>3384</v>
      </c>
      <c r="C2181" s="80" t="s">
        <v>157</v>
      </c>
      <c r="D2181" s="80" t="s">
        <v>120</v>
      </c>
      <c r="E2181" s="80" t="s">
        <v>134</v>
      </c>
      <c r="F2181" s="170">
        <v>90</v>
      </c>
    </row>
    <row r="2182" spans="1:6" hidden="1" x14ac:dyDescent="0.25">
      <c r="A2182" s="169">
        <v>43802</v>
      </c>
      <c r="B2182" s="80" t="s">
        <v>3389</v>
      </c>
      <c r="C2182" s="80" t="s">
        <v>189</v>
      </c>
      <c r="D2182" s="80" t="s">
        <v>120</v>
      </c>
      <c r="E2182" s="80" t="s">
        <v>127</v>
      </c>
      <c r="F2182" s="170">
        <v>90</v>
      </c>
    </row>
    <row r="2183" spans="1:6" hidden="1" x14ac:dyDescent="0.25">
      <c r="A2183" s="169">
        <v>43804</v>
      </c>
      <c r="B2183" s="80" t="s">
        <v>3410</v>
      </c>
      <c r="C2183" s="80" t="s">
        <v>187</v>
      </c>
      <c r="D2183" s="80" t="s">
        <v>120</v>
      </c>
      <c r="E2183" s="80" t="s">
        <v>121</v>
      </c>
      <c r="F2183" s="170">
        <v>90</v>
      </c>
    </row>
    <row r="2184" spans="1:6" hidden="1" x14ac:dyDescent="0.25">
      <c r="A2184" s="169">
        <v>43806</v>
      </c>
      <c r="B2184" s="80" t="s">
        <v>3420</v>
      </c>
      <c r="C2184" s="80" t="s">
        <v>189</v>
      </c>
      <c r="D2184" s="80" t="s">
        <v>120</v>
      </c>
      <c r="E2184" s="80" t="s">
        <v>121</v>
      </c>
      <c r="F2184" s="170">
        <v>90</v>
      </c>
    </row>
    <row r="2185" spans="1:6" hidden="1" x14ac:dyDescent="0.25">
      <c r="A2185" s="169">
        <v>43806</v>
      </c>
      <c r="B2185" s="80" t="s">
        <v>3423</v>
      </c>
      <c r="C2185" s="80" t="s">
        <v>143</v>
      </c>
      <c r="D2185" s="80" t="s">
        <v>120</v>
      </c>
      <c r="E2185" s="80" t="s">
        <v>134</v>
      </c>
      <c r="F2185" s="170">
        <v>90</v>
      </c>
    </row>
    <row r="2186" spans="1:6" hidden="1" x14ac:dyDescent="0.25">
      <c r="A2186" s="169">
        <v>43806</v>
      </c>
      <c r="B2186" s="80" t="s">
        <v>3425</v>
      </c>
      <c r="C2186" s="80" t="s">
        <v>148</v>
      </c>
      <c r="D2186" s="80" t="s">
        <v>120</v>
      </c>
      <c r="E2186" s="80" t="s">
        <v>134</v>
      </c>
      <c r="F2186" s="170">
        <v>90</v>
      </c>
    </row>
    <row r="2187" spans="1:6" hidden="1" x14ac:dyDescent="0.25">
      <c r="A2187" s="169">
        <v>43807</v>
      </c>
      <c r="B2187" s="80" t="s">
        <v>3435</v>
      </c>
      <c r="C2187" s="80" t="s">
        <v>125</v>
      </c>
      <c r="D2187" s="80" t="s">
        <v>120</v>
      </c>
      <c r="E2187" s="80" t="s">
        <v>121</v>
      </c>
      <c r="F2187" s="170">
        <v>90</v>
      </c>
    </row>
    <row r="2188" spans="1:6" hidden="1" x14ac:dyDescent="0.25">
      <c r="A2188" s="169">
        <v>43808</v>
      </c>
      <c r="B2188" s="80" t="s">
        <v>3443</v>
      </c>
      <c r="C2188" s="80" t="s">
        <v>152</v>
      </c>
      <c r="D2188" s="80" t="s">
        <v>120</v>
      </c>
      <c r="E2188" s="80" t="s">
        <v>134</v>
      </c>
      <c r="F2188" s="170">
        <v>90</v>
      </c>
    </row>
    <row r="2189" spans="1:6" hidden="1" x14ac:dyDescent="0.25">
      <c r="A2189" s="169">
        <v>43809</v>
      </c>
      <c r="B2189" s="80" t="s">
        <v>3457</v>
      </c>
      <c r="C2189" s="80" t="s">
        <v>145</v>
      </c>
      <c r="D2189" s="80" t="s">
        <v>120</v>
      </c>
      <c r="E2189" s="80" t="s">
        <v>121</v>
      </c>
      <c r="F2189" s="170">
        <v>90</v>
      </c>
    </row>
    <row r="2190" spans="1:6" hidden="1" x14ac:dyDescent="0.25">
      <c r="A2190" s="169">
        <v>43811</v>
      </c>
      <c r="B2190" s="80" t="s">
        <v>3468</v>
      </c>
      <c r="C2190" s="80" t="s">
        <v>129</v>
      </c>
      <c r="D2190" s="80" t="s">
        <v>120</v>
      </c>
      <c r="E2190" s="80" t="s">
        <v>134</v>
      </c>
      <c r="F2190" s="170">
        <v>90</v>
      </c>
    </row>
    <row r="2191" spans="1:6" hidden="1" x14ac:dyDescent="0.25">
      <c r="A2191" s="169">
        <v>43812</v>
      </c>
      <c r="B2191" s="80" t="s">
        <v>3482</v>
      </c>
      <c r="C2191" s="80" t="s">
        <v>187</v>
      </c>
      <c r="D2191" s="80" t="s">
        <v>120</v>
      </c>
      <c r="E2191" s="80" t="s">
        <v>153</v>
      </c>
      <c r="F2191" s="170">
        <v>90</v>
      </c>
    </row>
    <row r="2192" spans="1:6" hidden="1" x14ac:dyDescent="0.25">
      <c r="A2192" s="169">
        <v>43813</v>
      </c>
      <c r="B2192" s="80" t="s">
        <v>3490</v>
      </c>
      <c r="C2192" s="80" t="s">
        <v>223</v>
      </c>
      <c r="D2192" s="80" t="s">
        <v>120</v>
      </c>
      <c r="E2192" s="80" t="s">
        <v>127</v>
      </c>
      <c r="F2192" s="170">
        <v>90</v>
      </c>
    </row>
    <row r="2193" spans="1:6" hidden="1" x14ac:dyDescent="0.25">
      <c r="A2193" s="169">
        <v>43815</v>
      </c>
      <c r="B2193" s="80" t="s">
        <v>3503</v>
      </c>
      <c r="C2193" s="80" t="s">
        <v>129</v>
      </c>
      <c r="D2193" s="80" t="s">
        <v>120</v>
      </c>
      <c r="E2193" s="80" t="s">
        <v>134</v>
      </c>
      <c r="F2193" s="170">
        <v>90</v>
      </c>
    </row>
    <row r="2194" spans="1:6" hidden="1" x14ac:dyDescent="0.25">
      <c r="A2194" s="169">
        <v>43816</v>
      </c>
      <c r="B2194" s="80" t="s">
        <v>3514</v>
      </c>
      <c r="C2194" s="80" t="s">
        <v>167</v>
      </c>
      <c r="D2194" s="80" t="s">
        <v>120</v>
      </c>
      <c r="E2194" s="80" t="s">
        <v>131</v>
      </c>
      <c r="F2194" s="170">
        <v>90</v>
      </c>
    </row>
    <row r="2195" spans="1:6" hidden="1" x14ac:dyDescent="0.25">
      <c r="A2195" s="169">
        <v>43818</v>
      </c>
      <c r="B2195" s="80" t="s">
        <v>3530</v>
      </c>
      <c r="C2195" s="80" t="s">
        <v>223</v>
      </c>
      <c r="D2195" s="80" t="s">
        <v>120</v>
      </c>
      <c r="E2195" s="80" t="s">
        <v>127</v>
      </c>
      <c r="F2195" s="170">
        <v>90</v>
      </c>
    </row>
    <row r="2196" spans="1:6" hidden="1" x14ac:dyDescent="0.25">
      <c r="A2196" s="169">
        <v>43818</v>
      </c>
      <c r="B2196" s="80" t="s">
        <v>3535</v>
      </c>
      <c r="C2196" s="80" t="s">
        <v>148</v>
      </c>
      <c r="D2196" s="80" t="s">
        <v>120</v>
      </c>
      <c r="E2196" s="80" t="s">
        <v>134</v>
      </c>
      <c r="F2196" s="170">
        <v>90</v>
      </c>
    </row>
    <row r="2197" spans="1:6" hidden="1" x14ac:dyDescent="0.25">
      <c r="A2197" s="169">
        <v>43818</v>
      </c>
      <c r="B2197" s="80" t="s">
        <v>3536</v>
      </c>
      <c r="C2197" s="80" t="s">
        <v>143</v>
      </c>
      <c r="D2197" s="80" t="s">
        <v>120</v>
      </c>
      <c r="E2197" s="80" t="s">
        <v>131</v>
      </c>
      <c r="F2197" s="170">
        <v>90</v>
      </c>
    </row>
    <row r="2198" spans="1:6" hidden="1" x14ac:dyDescent="0.25">
      <c r="A2198" s="169">
        <v>43820</v>
      </c>
      <c r="B2198" s="80" t="s">
        <v>3554</v>
      </c>
      <c r="C2198" s="80" t="s">
        <v>187</v>
      </c>
      <c r="D2198" s="80" t="s">
        <v>120</v>
      </c>
      <c r="E2198" s="80" t="s">
        <v>134</v>
      </c>
      <c r="F2198" s="170">
        <v>90</v>
      </c>
    </row>
    <row r="2199" spans="1:6" hidden="1" x14ac:dyDescent="0.25">
      <c r="A2199" s="169">
        <v>43821</v>
      </c>
      <c r="B2199" s="80" t="s">
        <v>3564</v>
      </c>
      <c r="C2199" s="80" t="s">
        <v>187</v>
      </c>
      <c r="D2199" s="80" t="s">
        <v>120</v>
      </c>
      <c r="E2199" s="80" t="s">
        <v>121</v>
      </c>
      <c r="F2199" s="170">
        <v>90</v>
      </c>
    </row>
    <row r="2200" spans="1:6" hidden="1" x14ac:dyDescent="0.25">
      <c r="A2200" s="169">
        <v>43822</v>
      </c>
      <c r="B2200" s="80" t="s">
        <v>3570</v>
      </c>
      <c r="C2200" s="80" t="s">
        <v>129</v>
      </c>
      <c r="D2200" s="80" t="s">
        <v>120</v>
      </c>
      <c r="E2200" s="80" t="s">
        <v>121</v>
      </c>
      <c r="F2200" s="170">
        <v>90</v>
      </c>
    </row>
    <row r="2201" spans="1:6" hidden="1" x14ac:dyDescent="0.25">
      <c r="A2201" s="169">
        <v>43824</v>
      </c>
      <c r="B2201" s="80" t="s">
        <v>3586</v>
      </c>
      <c r="C2201" s="80" t="s">
        <v>167</v>
      </c>
      <c r="D2201" s="80" t="s">
        <v>120</v>
      </c>
      <c r="E2201" s="80" t="s">
        <v>131</v>
      </c>
      <c r="F2201" s="170">
        <v>90</v>
      </c>
    </row>
    <row r="2202" spans="1:6" hidden="1" x14ac:dyDescent="0.25">
      <c r="A2202" s="169">
        <v>43824</v>
      </c>
      <c r="B2202" s="80" t="s">
        <v>3587</v>
      </c>
      <c r="C2202" s="80" t="s">
        <v>182</v>
      </c>
      <c r="D2202" s="80" t="s">
        <v>120</v>
      </c>
      <c r="E2202" s="80" t="s">
        <v>131</v>
      </c>
      <c r="F2202" s="170">
        <v>90</v>
      </c>
    </row>
    <row r="2203" spans="1:6" hidden="1" x14ac:dyDescent="0.25">
      <c r="A2203" s="169">
        <v>43825</v>
      </c>
      <c r="B2203" s="80" t="s">
        <v>3597</v>
      </c>
      <c r="C2203" s="80" t="s">
        <v>148</v>
      </c>
      <c r="D2203" s="80" t="s">
        <v>120</v>
      </c>
      <c r="E2203" s="80" t="s">
        <v>131</v>
      </c>
      <c r="F2203" s="170">
        <v>90</v>
      </c>
    </row>
    <row r="2204" spans="1:6" hidden="1" x14ac:dyDescent="0.25">
      <c r="A2204" s="169">
        <v>43827</v>
      </c>
      <c r="B2204" s="80" t="s">
        <v>3613</v>
      </c>
      <c r="C2204" s="80" t="s">
        <v>189</v>
      </c>
      <c r="D2204" s="80" t="s">
        <v>120</v>
      </c>
      <c r="E2204" s="80" t="s">
        <v>121</v>
      </c>
      <c r="F2204" s="170">
        <v>90</v>
      </c>
    </row>
    <row r="2205" spans="1:6" hidden="1" x14ac:dyDescent="0.25">
      <c r="A2205" s="169">
        <v>43827</v>
      </c>
      <c r="B2205" s="80" t="s">
        <v>3616</v>
      </c>
      <c r="C2205" s="80" t="s">
        <v>145</v>
      </c>
      <c r="D2205" s="80" t="s">
        <v>120</v>
      </c>
      <c r="E2205" s="80" t="s">
        <v>134</v>
      </c>
      <c r="F2205" s="170">
        <v>90</v>
      </c>
    </row>
    <row r="2206" spans="1:6" hidden="1" x14ac:dyDescent="0.25">
      <c r="A2206" s="169">
        <v>43828</v>
      </c>
      <c r="B2206" s="80" t="s">
        <v>3621</v>
      </c>
      <c r="C2206" s="80" t="s">
        <v>119</v>
      </c>
      <c r="D2206" s="80" t="s">
        <v>120</v>
      </c>
      <c r="E2206" s="80" t="s">
        <v>121</v>
      </c>
      <c r="F2206" s="170">
        <v>90</v>
      </c>
    </row>
    <row r="2207" spans="1:6" hidden="1" x14ac:dyDescent="0.25">
      <c r="A2207" s="169">
        <v>43828</v>
      </c>
      <c r="B2207" s="80" t="s">
        <v>3626</v>
      </c>
      <c r="C2207" s="80" t="s">
        <v>152</v>
      </c>
      <c r="D2207" s="80" t="s">
        <v>120</v>
      </c>
      <c r="E2207" s="80" t="s">
        <v>153</v>
      </c>
      <c r="F2207" s="170">
        <v>90</v>
      </c>
    </row>
    <row r="2208" spans="1:6" hidden="1" x14ac:dyDescent="0.25">
      <c r="A2208" s="169">
        <v>43829</v>
      </c>
      <c r="B2208" s="80" t="s">
        <v>3632</v>
      </c>
      <c r="C2208" s="80" t="s">
        <v>129</v>
      </c>
      <c r="D2208" s="80" t="s">
        <v>120</v>
      </c>
      <c r="E2208" s="80" t="s">
        <v>153</v>
      </c>
      <c r="F2208" s="170">
        <v>90</v>
      </c>
    </row>
    <row r="2209" spans="1:6" hidden="1" x14ac:dyDescent="0.25">
      <c r="A2209" s="169">
        <v>43829</v>
      </c>
      <c r="B2209" s="80" t="s">
        <v>3634</v>
      </c>
      <c r="C2209" s="80" t="s">
        <v>143</v>
      </c>
      <c r="D2209" s="80" t="s">
        <v>120</v>
      </c>
      <c r="E2209" s="80" t="s">
        <v>131</v>
      </c>
      <c r="F2209" s="170">
        <v>90</v>
      </c>
    </row>
    <row r="2210" spans="1:6" hidden="1" x14ac:dyDescent="0.25">
      <c r="A2210" s="169">
        <v>43830</v>
      </c>
      <c r="B2210" s="80" t="s">
        <v>3646</v>
      </c>
      <c r="C2210" s="80" t="s">
        <v>164</v>
      </c>
      <c r="D2210" s="80" t="s">
        <v>120</v>
      </c>
      <c r="E2210" s="80" t="s">
        <v>131</v>
      </c>
      <c r="F2210" s="170">
        <v>90</v>
      </c>
    </row>
    <row r="2211" spans="1:6" hidden="1" x14ac:dyDescent="0.25">
      <c r="A2211" s="169">
        <v>43466</v>
      </c>
      <c r="B2211" s="80" t="s">
        <v>137</v>
      </c>
      <c r="C2211" s="80" t="s">
        <v>138</v>
      </c>
      <c r="D2211" s="80" t="s">
        <v>139</v>
      </c>
      <c r="E2211" s="80" t="s">
        <v>134</v>
      </c>
      <c r="F2211" s="170">
        <v>80</v>
      </c>
    </row>
    <row r="2212" spans="1:6" hidden="1" x14ac:dyDescent="0.25">
      <c r="A2212" s="169">
        <v>43467</v>
      </c>
      <c r="B2212" s="80" t="s">
        <v>162</v>
      </c>
      <c r="C2212" s="80" t="s">
        <v>119</v>
      </c>
      <c r="D2212" s="80" t="s">
        <v>139</v>
      </c>
      <c r="E2212" s="80" t="s">
        <v>153</v>
      </c>
      <c r="F2212" s="170">
        <v>80</v>
      </c>
    </row>
    <row r="2213" spans="1:6" hidden="1" x14ac:dyDescent="0.25">
      <c r="A2213" s="169">
        <v>43469</v>
      </c>
      <c r="B2213" s="80" t="s">
        <v>175</v>
      </c>
      <c r="C2213" s="80" t="s">
        <v>167</v>
      </c>
      <c r="D2213" s="80" t="s">
        <v>139</v>
      </c>
      <c r="E2213" s="80" t="s">
        <v>127</v>
      </c>
      <c r="F2213" s="170">
        <v>80</v>
      </c>
    </row>
    <row r="2214" spans="1:6" hidden="1" x14ac:dyDescent="0.25">
      <c r="A2214" s="169">
        <v>43469</v>
      </c>
      <c r="B2214" s="80" t="s">
        <v>176</v>
      </c>
      <c r="C2214" s="80" t="s">
        <v>167</v>
      </c>
      <c r="D2214" s="80" t="s">
        <v>139</v>
      </c>
      <c r="E2214" s="80" t="s">
        <v>127</v>
      </c>
      <c r="F2214" s="170">
        <v>80</v>
      </c>
    </row>
    <row r="2215" spans="1:6" hidden="1" x14ac:dyDescent="0.25">
      <c r="A2215" s="169">
        <v>43469</v>
      </c>
      <c r="B2215" s="80" t="s">
        <v>178</v>
      </c>
      <c r="C2215" s="80" t="s">
        <v>145</v>
      </c>
      <c r="D2215" s="80" t="s">
        <v>139</v>
      </c>
      <c r="E2215" s="80" t="s">
        <v>121</v>
      </c>
      <c r="F2215" s="170">
        <v>80</v>
      </c>
    </row>
    <row r="2216" spans="1:6" hidden="1" x14ac:dyDescent="0.25">
      <c r="A2216" s="169">
        <v>43470</v>
      </c>
      <c r="B2216" s="80" t="s">
        <v>186</v>
      </c>
      <c r="C2216" s="80" t="s">
        <v>187</v>
      </c>
      <c r="D2216" s="80" t="s">
        <v>139</v>
      </c>
      <c r="E2216" s="80" t="s">
        <v>127</v>
      </c>
      <c r="F2216" s="170">
        <v>80</v>
      </c>
    </row>
    <row r="2217" spans="1:6" hidden="1" x14ac:dyDescent="0.25">
      <c r="A2217" s="169">
        <v>43470</v>
      </c>
      <c r="B2217" s="80" t="s">
        <v>188</v>
      </c>
      <c r="C2217" s="80" t="s">
        <v>189</v>
      </c>
      <c r="D2217" s="80" t="s">
        <v>139</v>
      </c>
      <c r="E2217" s="80" t="s">
        <v>134</v>
      </c>
      <c r="F2217" s="170">
        <v>80</v>
      </c>
    </row>
    <row r="2218" spans="1:6" hidden="1" x14ac:dyDescent="0.25">
      <c r="A2218" s="169">
        <v>43471</v>
      </c>
      <c r="B2218" s="80" t="s">
        <v>196</v>
      </c>
      <c r="C2218" s="80" t="s">
        <v>125</v>
      </c>
      <c r="D2218" s="80" t="s">
        <v>139</v>
      </c>
      <c r="E2218" s="80" t="s">
        <v>121</v>
      </c>
      <c r="F2218" s="170">
        <v>80</v>
      </c>
    </row>
    <row r="2219" spans="1:6" hidden="1" x14ac:dyDescent="0.25">
      <c r="A2219" s="169">
        <v>43471</v>
      </c>
      <c r="B2219" s="80" t="s">
        <v>201</v>
      </c>
      <c r="C2219" s="80" t="s">
        <v>125</v>
      </c>
      <c r="D2219" s="80" t="s">
        <v>139</v>
      </c>
      <c r="E2219" s="80" t="s">
        <v>127</v>
      </c>
      <c r="F2219" s="170">
        <v>80</v>
      </c>
    </row>
    <row r="2220" spans="1:6" hidden="1" x14ac:dyDescent="0.25">
      <c r="A2220" s="169">
        <v>43473</v>
      </c>
      <c r="B2220" s="80" t="s">
        <v>216</v>
      </c>
      <c r="C2220" s="80" t="s">
        <v>136</v>
      </c>
      <c r="D2220" s="80" t="s">
        <v>139</v>
      </c>
      <c r="E2220" s="80" t="s">
        <v>131</v>
      </c>
      <c r="F2220" s="170">
        <v>80</v>
      </c>
    </row>
    <row r="2221" spans="1:6" hidden="1" x14ac:dyDescent="0.25">
      <c r="A2221" s="169">
        <v>43474</v>
      </c>
      <c r="B2221" s="80" t="s">
        <v>230</v>
      </c>
      <c r="C2221" s="80" t="s">
        <v>119</v>
      </c>
      <c r="D2221" s="80" t="s">
        <v>139</v>
      </c>
      <c r="E2221" s="80" t="s">
        <v>131</v>
      </c>
      <c r="F2221" s="170">
        <v>80</v>
      </c>
    </row>
    <row r="2222" spans="1:6" hidden="1" x14ac:dyDescent="0.25">
      <c r="A2222" s="169">
        <v>43476</v>
      </c>
      <c r="B2222" s="80" t="s">
        <v>250</v>
      </c>
      <c r="C2222" s="80" t="s">
        <v>182</v>
      </c>
      <c r="D2222" s="80" t="s">
        <v>139</v>
      </c>
      <c r="E2222" s="80" t="s">
        <v>153</v>
      </c>
      <c r="F2222" s="170">
        <v>80</v>
      </c>
    </row>
    <row r="2223" spans="1:6" hidden="1" x14ac:dyDescent="0.25">
      <c r="A2223" s="169">
        <v>43476</v>
      </c>
      <c r="B2223" s="80" t="s">
        <v>253</v>
      </c>
      <c r="C2223" s="80" t="s">
        <v>223</v>
      </c>
      <c r="D2223" s="80" t="s">
        <v>139</v>
      </c>
      <c r="E2223" s="80" t="s">
        <v>134</v>
      </c>
      <c r="F2223" s="170">
        <v>80</v>
      </c>
    </row>
    <row r="2224" spans="1:6" hidden="1" x14ac:dyDescent="0.25">
      <c r="A2224" s="169">
        <v>43476</v>
      </c>
      <c r="B2224" s="80" t="s">
        <v>256</v>
      </c>
      <c r="C2224" s="80" t="s">
        <v>223</v>
      </c>
      <c r="D2224" s="80" t="s">
        <v>139</v>
      </c>
      <c r="E2224" s="80" t="s">
        <v>134</v>
      </c>
      <c r="F2224" s="170">
        <v>80</v>
      </c>
    </row>
    <row r="2225" spans="1:6" hidden="1" x14ac:dyDescent="0.25">
      <c r="A2225" s="169">
        <v>43476</v>
      </c>
      <c r="B2225" s="80" t="s">
        <v>258</v>
      </c>
      <c r="C2225" s="80" t="s">
        <v>187</v>
      </c>
      <c r="D2225" s="80" t="s">
        <v>139</v>
      </c>
      <c r="E2225" s="80" t="s">
        <v>121</v>
      </c>
      <c r="F2225" s="170">
        <v>80</v>
      </c>
    </row>
    <row r="2226" spans="1:6" hidden="1" x14ac:dyDescent="0.25">
      <c r="A2226" s="169">
        <v>43477</v>
      </c>
      <c r="B2226" s="80" t="s">
        <v>263</v>
      </c>
      <c r="C2226" s="80" t="s">
        <v>167</v>
      </c>
      <c r="D2226" s="80" t="s">
        <v>139</v>
      </c>
      <c r="E2226" s="80" t="s">
        <v>121</v>
      </c>
      <c r="F2226" s="170">
        <v>80</v>
      </c>
    </row>
    <row r="2227" spans="1:6" hidden="1" x14ac:dyDescent="0.25">
      <c r="A2227" s="169">
        <v>43478</v>
      </c>
      <c r="B2227" s="80" t="s">
        <v>273</v>
      </c>
      <c r="C2227" s="80" t="s">
        <v>157</v>
      </c>
      <c r="D2227" s="80" t="s">
        <v>139</v>
      </c>
      <c r="E2227" s="80" t="s">
        <v>121</v>
      </c>
      <c r="F2227" s="170">
        <v>80</v>
      </c>
    </row>
    <row r="2228" spans="1:6" hidden="1" x14ac:dyDescent="0.25">
      <c r="A2228" s="169">
        <v>43479</v>
      </c>
      <c r="B2228" s="80" t="s">
        <v>285</v>
      </c>
      <c r="C2228" s="80" t="s">
        <v>167</v>
      </c>
      <c r="D2228" s="80" t="s">
        <v>139</v>
      </c>
      <c r="E2228" s="80" t="s">
        <v>134</v>
      </c>
      <c r="F2228" s="170">
        <v>80</v>
      </c>
    </row>
    <row r="2229" spans="1:6" hidden="1" x14ac:dyDescent="0.25">
      <c r="A2229" s="169">
        <v>43480</v>
      </c>
      <c r="B2229" s="80" t="s">
        <v>300</v>
      </c>
      <c r="C2229" s="80" t="s">
        <v>129</v>
      </c>
      <c r="D2229" s="80" t="s">
        <v>139</v>
      </c>
      <c r="E2229" s="80" t="s">
        <v>134</v>
      </c>
      <c r="F2229" s="170">
        <v>80</v>
      </c>
    </row>
    <row r="2230" spans="1:6" hidden="1" x14ac:dyDescent="0.25">
      <c r="A2230" s="169">
        <v>43480</v>
      </c>
      <c r="B2230" s="80" t="s">
        <v>301</v>
      </c>
      <c r="C2230" s="80" t="s">
        <v>136</v>
      </c>
      <c r="D2230" s="80" t="s">
        <v>139</v>
      </c>
      <c r="E2230" s="80" t="s">
        <v>134</v>
      </c>
      <c r="F2230" s="170">
        <v>80</v>
      </c>
    </row>
    <row r="2231" spans="1:6" hidden="1" x14ac:dyDescent="0.25">
      <c r="A2231" s="169">
        <v>43481</v>
      </c>
      <c r="B2231" s="80" t="s">
        <v>303</v>
      </c>
      <c r="C2231" s="80" t="s">
        <v>167</v>
      </c>
      <c r="D2231" s="80" t="s">
        <v>139</v>
      </c>
      <c r="E2231" s="80" t="s">
        <v>131</v>
      </c>
      <c r="F2231" s="170">
        <v>80</v>
      </c>
    </row>
    <row r="2232" spans="1:6" hidden="1" x14ac:dyDescent="0.25">
      <c r="A2232" s="169">
        <v>43482</v>
      </c>
      <c r="B2232" s="80" t="s">
        <v>319</v>
      </c>
      <c r="C2232" s="80" t="s">
        <v>187</v>
      </c>
      <c r="D2232" s="80" t="s">
        <v>139</v>
      </c>
      <c r="E2232" s="80" t="s">
        <v>127</v>
      </c>
      <c r="F2232" s="170">
        <v>80</v>
      </c>
    </row>
    <row r="2233" spans="1:6" hidden="1" x14ac:dyDescent="0.25">
      <c r="A2233" s="169">
        <v>43484</v>
      </c>
      <c r="B2233" s="80" t="s">
        <v>339</v>
      </c>
      <c r="C2233" s="80" t="s">
        <v>187</v>
      </c>
      <c r="D2233" s="80" t="s">
        <v>139</v>
      </c>
      <c r="E2233" s="80" t="s">
        <v>121</v>
      </c>
      <c r="F2233" s="170">
        <v>80</v>
      </c>
    </row>
    <row r="2234" spans="1:6" hidden="1" x14ac:dyDescent="0.25">
      <c r="A2234" s="169">
        <v>43485</v>
      </c>
      <c r="B2234" s="80" t="s">
        <v>353</v>
      </c>
      <c r="C2234" s="80" t="s">
        <v>223</v>
      </c>
      <c r="D2234" s="80" t="s">
        <v>139</v>
      </c>
      <c r="E2234" s="80" t="s">
        <v>127</v>
      </c>
      <c r="F2234" s="170">
        <v>80</v>
      </c>
    </row>
    <row r="2235" spans="1:6" hidden="1" x14ac:dyDescent="0.25">
      <c r="A2235" s="169">
        <v>43489</v>
      </c>
      <c r="B2235" s="80" t="s">
        <v>387</v>
      </c>
      <c r="C2235" s="80" t="s">
        <v>223</v>
      </c>
      <c r="D2235" s="80" t="s">
        <v>139</v>
      </c>
      <c r="E2235" s="80" t="s">
        <v>131</v>
      </c>
      <c r="F2235" s="170">
        <v>80</v>
      </c>
    </row>
    <row r="2236" spans="1:6" hidden="1" x14ac:dyDescent="0.25">
      <c r="A2236" s="169">
        <v>43490</v>
      </c>
      <c r="B2236" s="80" t="s">
        <v>395</v>
      </c>
      <c r="C2236" s="80" t="s">
        <v>148</v>
      </c>
      <c r="D2236" s="80" t="s">
        <v>139</v>
      </c>
      <c r="E2236" s="80" t="s">
        <v>127</v>
      </c>
      <c r="F2236" s="170">
        <v>80</v>
      </c>
    </row>
    <row r="2237" spans="1:6" hidden="1" x14ac:dyDescent="0.25">
      <c r="A2237" s="169">
        <v>43490</v>
      </c>
      <c r="B2237" s="80" t="s">
        <v>397</v>
      </c>
      <c r="C2237" s="80" t="s">
        <v>129</v>
      </c>
      <c r="D2237" s="80" t="s">
        <v>139</v>
      </c>
      <c r="E2237" s="80" t="s">
        <v>134</v>
      </c>
      <c r="F2237" s="170">
        <v>80</v>
      </c>
    </row>
    <row r="2238" spans="1:6" hidden="1" x14ac:dyDescent="0.25">
      <c r="A2238" s="169">
        <v>43490</v>
      </c>
      <c r="B2238" s="80" t="s">
        <v>410</v>
      </c>
      <c r="C2238" s="80" t="s">
        <v>189</v>
      </c>
      <c r="D2238" s="80" t="s">
        <v>139</v>
      </c>
      <c r="E2238" s="80" t="s">
        <v>127</v>
      </c>
      <c r="F2238" s="170">
        <v>80</v>
      </c>
    </row>
    <row r="2239" spans="1:6" hidden="1" x14ac:dyDescent="0.25">
      <c r="A2239" s="169">
        <v>43491</v>
      </c>
      <c r="B2239" s="80" t="s">
        <v>415</v>
      </c>
      <c r="C2239" s="80" t="s">
        <v>182</v>
      </c>
      <c r="D2239" s="80" t="s">
        <v>139</v>
      </c>
      <c r="E2239" s="80" t="s">
        <v>131</v>
      </c>
      <c r="F2239" s="170">
        <v>80</v>
      </c>
    </row>
    <row r="2240" spans="1:6" hidden="1" x14ac:dyDescent="0.25">
      <c r="A2240" s="169">
        <v>43492</v>
      </c>
      <c r="B2240" s="80" t="s">
        <v>421</v>
      </c>
      <c r="C2240" s="80" t="s">
        <v>157</v>
      </c>
      <c r="D2240" s="80" t="s">
        <v>139</v>
      </c>
      <c r="E2240" s="80" t="s">
        <v>131</v>
      </c>
      <c r="F2240" s="170">
        <v>80</v>
      </c>
    </row>
    <row r="2241" spans="1:6" hidden="1" x14ac:dyDescent="0.25">
      <c r="A2241" s="169">
        <v>43492</v>
      </c>
      <c r="B2241" s="80" t="s">
        <v>424</v>
      </c>
      <c r="C2241" s="80" t="s">
        <v>138</v>
      </c>
      <c r="D2241" s="80" t="s">
        <v>139</v>
      </c>
      <c r="E2241" s="80" t="s">
        <v>153</v>
      </c>
      <c r="F2241" s="170">
        <v>80</v>
      </c>
    </row>
    <row r="2242" spans="1:6" hidden="1" x14ac:dyDescent="0.25">
      <c r="A2242" s="169">
        <v>43492</v>
      </c>
      <c r="B2242" s="80" t="s">
        <v>427</v>
      </c>
      <c r="C2242" s="80" t="s">
        <v>138</v>
      </c>
      <c r="D2242" s="80" t="s">
        <v>139</v>
      </c>
      <c r="E2242" s="80" t="s">
        <v>127</v>
      </c>
      <c r="F2242" s="170">
        <v>80</v>
      </c>
    </row>
    <row r="2243" spans="1:6" hidden="1" x14ac:dyDescent="0.25">
      <c r="A2243" s="169">
        <v>43492</v>
      </c>
      <c r="B2243" s="80" t="s">
        <v>433</v>
      </c>
      <c r="C2243" s="80" t="s">
        <v>167</v>
      </c>
      <c r="D2243" s="80" t="s">
        <v>139</v>
      </c>
      <c r="E2243" s="80" t="s">
        <v>134</v>
      </c>
      <c r="F2243" s="170">
        <v>80</v>
      </c>
    </row>
    <row r="2244" spans="1:6" hidden="1" x14ac:dyDescent="0.25">
      <c r="A2244" s="169">
        <v>43493</v>
      </c>
      <c r="B2244" s="80" t="s">
        <v>435</v>
      </c>
      <c r="C2244" s="80" t="s">
        <v>138</v>
      </c>
      <c r="D2244" s="80" t="s">
        <v>139</v>
      </c>
      <c r="E2244" s="80" t="s">
        <v>153</v>
      </c>
      <c r="F2244" s="170">
        <v>80</v>
      </c>
    </row>
    <row r="2245" spans="1:6" hidden="1" x14ac:dyDescent="0.25">
      <c r="A2245" s="169">
        <v>43494</v>
      </c>
      <c r="B2245" s="80" t="s">
        <v>440</v>
      </c>
      <c r="C2245" s="80" t="s">
        <v>129</v>
      </c>
      <c r="D2245" s="80" t="s">
        <v>139</v>
      </c>
      <c r="E2245" s="80" t="s">
        <v>153</v>
      </c>
      <c r="F2245" s="170">
        <v>80</v>
      </c>
    </row>
    <row r="2246" spans="1:6" hidden="1" x14ac:dyDescent="0.25">
      <c r="A2246" s="169">
        <v>43495</v>
      </c>
      <c r="B2246" s="80" t="s">
        <v>459</v>
      </c>
      <c r="C2246" s="80" t="s">
        <v>223</v>
      </c>
      <c r="D2246" s="80" t="s">
        <v>139</v>
      </c>
      <c r="E2246" s="80" t="s">
        <v>153</v>
      </c>
      <c r="F2246" s="170">
        <v>80</v>
      </c>
    </row>
    <row r="2247" spans="1:6" hidden="1" x14ac:dyDescent="0.25">
      <c r="A2247" s="169">
        <v>43496</v>
      </c>
      <c r="B2247" s="80" t="s">
        <v>466</v>
      </c>
      <c r="C2247" s="80" t="s">
        <v>164</v>
      </c>
      <c r="D2247" s="80" t="s">
        <v>139</v>
      </c>
      <c r="E2247" s="80" t="s">
        <v>121</v>
      </c>
      <c r="F2247" s="170">
        <v>80</v>
      </c>
    </row>
    <row r="2248" spans="1:6" hidden="1" x14ac:dyDescent="0.25">
      <c r="A2248" s="169">
        <v>43498</v>
      </c>
      <c r="B2248" s="80" t="s">
        <v>477</v>
      </c>
      <c r="C2248" s="80" t="s">
        <v>223</v>
      </c>
      <c r="D2248" s="80" t="s">
        <v>139</v>
      </c>
      <c r="E2248" s="80" t="s">
        <v>153</v>
      </c>
      <c r="F2248" s="170">
        <v>80</v>
      </c>
    </row>
    <row r="2249" spans="1:6" hidden="1" x14ac:dyDescent="0.25">
      <c r="A2249" s="169">
        <v>43498</v>
      </c>
      <c r="B2249" s="80" t="s">
        <v>479</v>
      </c>
      <c r="C2249" s="80" t="s">
        <v>157</v>
      </c>
      <c r="D2249" s="80" t="s">
        <v>139</v>
      </c>
      <c r="E2249" s="80" t="s">
        <v>134</v>
      </c>
      <c r="F2249" s="170">
        <v>80</v>
      </c>
    </row>
    <row r="2250" spans="1:6" hidden="1" x14ac:dyDescent="0.25">
      <c r="A2250" s="169">
        <v>43499</v>
      </c>
      <c r="B2250" s="80" t="s">
        <v>486</v>
      </c>
      <c r="C2250" s="80" t="s">
        <v>223</v>
      </c>
      <c r="D2250" s="80" t="s">
        <v>139</v>
      </c>
      <c r="E2250" s="80" t="s">
        <v>127</v>
      </c>
      <c r="F2250" s="170">
        <v>80</v>
      </c>
    </row>
    <row r="2251" spans="1:6" hidden="1" x14ac:dyDescent="0.25">
      <c r="A2251" s="169">
        <v>43499</v>
      </c>
      <c r="B2251" s="80" t="s">
        <v>487</v>
      </c>
      <c r="C2251" s="80" t="s">
        <v>157</v>
      </c>
      <c r="D2251" s="80" t="s">
        <v>139</v>
      </c>
      <c r="E2251" s="80" t="s">
        <v>153</v>
      </c>
      <c r="F2251" s="170">
        <v>80</v>
      </c>
    </row>
    <row r="2252" spans="1:6" hidden="1" x14ac:dyDescent="0.25">
      <c r="A2252" s="169">
        <v>43499</v>
      </c>
      <c r="B2252" s="80" t="s">
        <v>490</v>
      </c>
      <c r="C2252" s="80" t="s">
        <v>138</v>
      </c>
      <c r="D2252" s="80" t="s">
        <v>139</v>
      </c>
      <c r="E2252" s="80" t="s">
        <v>127</v>
      </c>
      <c r="F2252" s="170">
        <v>80</v>
      </c>
    </row>
    <row r="2253" spans="1:6" hidden="1" x14ac:dyDescent="0.25">
      <c r="A2253" s="169">
        <v>43500</v>
      </c>
      <c r="B2253" s="80" t="s">
        <v>493</v>
      </c>
      <c r="C2253" s="80" t="s">
        <v>187</v>
      </c>
      <c r="D2253" s="80" t="s">
        <v>139</v>
      </c>
      <c r="E2253" s="80" t="s">
        <v>131</v>
      </c>
      <c r="F2253" s="170">
        <v>80</v>
      </c>
    </row>
    <row r="2254" spans="1:6" hidden="1" x14ac:dyDescent="0.25">
      <c r="A2254" s="169">
        <v>43501</v>
      </c>
      <c r="B2254" s="80" t="s">
        <v>497</v>
      </c>
      <c r="C2254" s="80" t="s">
        <v>119</v>
      </c>
      <c r="D2254" s="80" t="s">
        <v>139</v>
      </c>
      <c r="E2254" s="80" t="s">
        <v>153</v>
      </c>
      <c r="F2254" s="170">
        <v>80</v>
      </c>
    </row>
    <row r="2255" spans="1:6" hidden="1" x14ac:dyDescent="0.25">
      <c r="A2255" s="169">
        <v>43501</v>
      </c>
      <c r="B2255" s="80" t="s">
        <v>503</v>
      </c>
      <c r="C2255" s="80" t="s">
        <v>187</v>
      </c>
      <c r="D2255" s="80" t="s">
        <v>139</v>
      </c>
      <c r="E2255" s="80" t="s">
        <v>131</v>
      </c>
      <c r="F2255" s="170">
        <v>80</v>
      </c>
    </row>
    <row r="2256" spans="1:6" hidden="1" x14ac:dyDescent="0.25">
      <c r="A2256" s="169">
        <v>43503</v>
      </c>
      <c r="B2256" s="80" t="s">
        <v>515</v>
      </c>
      <c r="C2256" s="80" t="s">
        <v>167</v>
      </c>
      <c r="D2256" s="80" t="s">
        <v>139</v>
      </c>
      <c r="E2256" s="80" t="s">
        <v>153</v>
      </c>
      <c r="F2256" s="170">
        <v>80</v>
      </c>
    </row>
    <row r="2257" spans="1:6" hidden="1" x14ac:dyDescent="0.25">
      <c r="A2257" s="169">
        <v>43503</v>
      </c>
      <c r="B2257" s="80" t="s">
        <v>519</v>
      </c>
      <c r="C2257" s="80" t="s">
        <v>167</v>
      </c>
      <c r="D2257" s="80" t="s">
        <v>139</v>
      </c>
      <c r="E2257" s="80" t="s">
        <v>134</v>
      </c>
      <c r="F2257" s="170">
        <v>80</v>
      </c>
    </row>
    <row r="2258" spans="1:6" hidden="1" x14ac:dyDescent="0.25">
      <c r="A2258" s="169">
        <v>43505</v>
      </c>
      <c r="B2258" s="80" t="s">
        <v>530</v>
      </c>
      <c r="C2258" s="80" t="s">
        <v>123</v>
      </c>
      <c r="D2258" s="80" t="s">
        <v>139</v>
      </c>
      <c r="E2258" s="80" t="s">
        <v>134</v>
      </c>
      <c r="F2258" s="170">
        <v>80</v>
      </c>
    </row>
    <row r="2259" spans="1:6" hidden="1" x14ac:dyDescent="0.25">
      <c r="A2259" s="169">
        <v>43505</v>
      </c>
      <c r="B2259" s="80" t="s">
        <v>536</v>
      </c>
      <c r="C2259" s="80" t="s">
        <v>136</v>
      </c>
      <c r="D2259" s="80" t="s">
        <v>139</v>
      </c>
      <c r="E2259" s="80" t="s">
        <v>127</v>
      </c>
      <c r="F2259" s="170">
        <v>80</v>
      </c>
    </row>
    <row r="2260" spans="1:6" hidden="1" x14ac:dyDescent="0.25">
      <c r="A2260" s="169">
        <v>43506</v>
      </c>
      <c r="B2260" s="80" t="s">
        <v>541</v>
      </c>
      <c r="C2260" s="80" t="s">
        <v>136</v>
      </c>
      <c r="D2260" s="80" t="s">
        <v>139</v>
      </c>
      <c r="E2260" s="80" t="s">
        <v>121</v>
      </c>
      <c r="F2260" s="170">
        <v>80</v>
      </c>
    </row>
    <row r="2261" spans="1:6" hidden="1" x14ac:dyDescent="0.25">
      <c r="A2261" s="169">
        <v>43511</v>
      </c>
      <c r="B2261" s="80" t="s">
        <v>581</v>
      </c>
      <c r="C2261" s="80" t="s">
        <v>182</v>
      </c>
      <c r="D2261" s="80" t="s">
        <v>139</v>
      </c>
      <c r="E2261" s="80" t="s">
        <v>134</v>
      </c>
      <c r="F2261" s="170">
        <v>80</v>
      </c>
    </row>
    <row r="2262" spans="1:6" hidden="1" x14ac:dyDescent="0.25">
      <c r="A2262" s="169">
        <v>43511</v>
      </c>
      <c r="B2262" s="80" t="s">
        <v>586</v>
      </c>
      <c r="C2262" s="80" t="s">
        <v>148</v>
      </c>
      <c r="D2262" s="80" t="s">
        <v>139</v>
      </c>
      <c r="E2262" s="80" t="s">
        <v>121</v>
      </c>
      <c r="F2262" s="170">
        <v>80</v>
      </c>
    </row>
    <row r="2263" spans="1:6" hidden="1" x14ac:dyDescent="0.25">
      <c r="A2263" s="169">
        <v>43513</v>
      </c>
      <c r="B2263" s="80" t="s">
        <v>599</v>
      </c>
      <c r="C2263" s="80" t="s">
        <v>125</v>
      </c>
      <c r="D2263" s="80" t="s">
        <v>139</v>
      </c>
      <c r="E2263" s="80" t="s">
        <v>127</v>
      </c>
      <c r="F2263" s="170">
        <v>80</v>
      </c>
    </row>
    <row r="2264" spans="1:6" hidden="1" x14ac:dyDescent="0.25">
      <c r="A2264" s="169">
        <v>43513</v>
      </c>
      <c r="B2264" s="80" t="s">
        <v>600</v>
      </c>
      <c r="C2264" s="80" t="s">
        <v>119</v>
      </c>
      <c r="D2264" s="80" t="s">
        <v>139</v>
      </c>
      <c r="E2264" s="80" t="s">
        <v>134</v>
      </c>
      <c r="F2264" s="170">
        <v>80</v>
      </c>
    </row>
    <row r="2265" spans="1:6" hidden="1" x14ac:dyDescent="0.25">
      <c r="A2265" s="169">
        <v>43514</v>
      </c>
      <c r="B2265" s="80" t="s">
        <v>603</v>
      </c>
      <c r="C2265" s="80" t="s">
        <v>157</v>
      </c>
      <c r="D2265" s="80" t="s">
        <v>139</v>
      </c>
      <c r="E2265" s="80" t="s">
        <v>127</v>
      </c>
      <c r="F2265" s="170">
        <v>80</v>
      </c>
    </row>
    <row r="2266" spans="1:6" hidden="1" x14ac:dyDescent="0.25">
      <c r="A2266" s="169">
        <v>43515</v>
      </c>
      <c r="B2266" s="80" t="s">
        <v>620</v>
      </c>
      <c r="C2266" s="80" t="s">
        <v>152</v>
      </c>
      <c r="D2266" s="80" t="s">
        <v>139</v>
      </c>
      <c r="E2266" s="80" t="s">
        <v>153</v>
      </c>
      <c r="F2266" s="170">
        <v>80</v>
      </c>
    </row>
    <row r="2267" spans="1:6" hidden="1" x14ac:dyDescent="0.25">
      <c r="A2267" s="169">
        <v>43515</v>
      </c>
      <c r="B2267" s="80" t="s">
        <v>621</v>
      </c>
      <c r="C2267" s="80" t="s">
        <v>119</v>
      </c>
      <c r="D2267" s="80" t="s">
        <v>139</v>
      </c>
      <c r="E2267" s="80" t="s">
        <v>131</v>
      </c>
      <c r="F2267" s="170">
        <v>80</v>
      </c>
    </row>
    <row r="2268" spans="1:6" hidden="1" x14ac:dyDescent="0.25">
      <c r="A2268" s="169">
        <v>43516</v>
      </c>
      <c r="B2268" s="80" t="s">
        <v>632</v>
      </c>
      <c r="C2268" s="80" t="s">
        <v>136</v>
      </c>
      <c r="D2268" s="80" t="s">
        <v>139</v>
      </c>
      <c r="E2268" s="80" t="s">
        <v>131</v>
      </c>
      <c r="F2268" s="170">
        <v>80</v>
      </c>
    </row>
    <row r="2269" spans="1:6" hidden="1" x14ac:dyDescent="0.25">
      <c r="A2269" s="169">
        <v>43517</v>
      </c>
      <c r="B2269" s="80" t="s">
        <v>646</v>
      </c>
      <c r="C2269" s="80" t="s">
        <v>125</v>
      </c>
      <c r="D2269" s="80" t="s">
        <v>139</v>
      </c>
      <c r="E2269" s="80" t="s">
        <v>121</v>
      </c>
      <c r="F2269" s="170">
        <v>80</v>
      </c>
    </row>
    <row r="2270" spans="1:6" hidden="1" x14ac:dyDescent="0.25">
      <c r="A2270" s="169">
        <v>43518</v>
      </c>
      <c r="B2270" s="80" t="s">
        <v>652</v>
      </c>
      <c r="C2270" s="80" t="s">
        <v>125</v>
      </c>
      <c r="D2270" s="80" t="s">
        <v>139</v>
      </c>
      <c r="E2270" s="80" t="s">
        <v>121</v>
      </c>
      <c r="F2270" s="170">
        <v>80</v>
      </c>
    </row>
    <row r="2271" spans="1:6" hidden="1" x14ac:dyDescent="0.25">
      <c r="A2271" s="169">
        <v>43520</v>
      </c>
      <c r="B2271" s="80" t="s">
        <v>667</v>
      </c>
      <c r="C2271" s="80" t="s">
        <v>138</v>
      </c>
      <c r="D2271" s="80" t="s">
        <v>139</v>
      </c>
      <c r="E2271" s="80" t="s">
        <v>121</v>
      </c>
      <c r="F2271" s="170">
        <v>80</v>
      </c>
    </row>
    <row r="2272" spans="1:6" hidden="1" x14ac:dyDescent="0.25">
      <c r="A2272" s="169">
        <v>43520</v>
      </c>
      <c r="B2272" s="80" t="s">
        <v>670</v>
      </c>
      <c r="C2272" s="80" t="s">
        <v>164</v>
      </c>
      <c r="D2272" s="80" t="s">
        <v>139</v>
      </c>
      <c r="E2272" s="80" t="s">
        <v>127</v>
      </c>
      <c r="F2272" s="170">
        <v>80</v>
      </c>
    </row>
    <row r="2273" spans="1:6" hidden="1" x14ac:dyDescent="0.25">
      <c r="A2273" s="169">
        <v>43520</v>
      </c>
      <c r="B2273" s="80" t="s">
        <v>672</v>
      </c>
      <c r="C2273" s="80" t="s">
        <v>125</v>
      </c>
      <c r="D2273" s="80" t="s">
        <v>139</v>
      </c>
      <c r="E2273" s="80" t="s">
        <v>131</v>
      </c>
      <c r="F2273" s="170">
        <v>80</v>
      </c>
    </row>
    <row r="2274" spans="1:6" hidden="1" x14ac:dyDescent="0.25">
      <c r="A2274" s="169">
        <v>43521</v>
      </c>
      <c r="B2274" s="80" t="s">
        <v>677</v>
      </c>
      <c r="C2274" s="80" t="s">
        <v>157</v>
      </c>
      <c r="D2274" s="80" t="s">
        <v>139</v>
      </c>
      <c r="E2274" s="80" t="s">
        <v>127</v>
      </c>
      <c r="F2274" s="170">
        <v>80</v>
      </c>
    </row>
    <row r="2275" spans="1:6" hidden="1" x14ac:dyDescent="0.25">
      <c r="A2275" s="169">
        <v>43521</v>
      </c>
      <c r="B2275" s="80" t="s">
        <v>681</v>
      </c>
      <c r="C2275" s="80" t="s">
        <v>187</v>
      </c>
      <c r="D2275" s="80" t="s">
        <v>139</v>
      </c>
      <c r="E2275" s="80" t="s">
        <v>134</v>
      </c>
      <c r="F2275" s="170">
        <v>80</v>
      </c>
    </row>
    <row r="2276" spans="1:6" hidden="1" x14ac:dyDescent="0.25">
      <c r="A2276" s="169">
        <v>43522</v>
      </c>
      <c r="B2276" s="80" t="s">
        <v>690</v>
      </c>
      <c r="C2276" s="80" t="s">
        <v>167</v>
      </c>
      <c r="D2276" s="80" t="s">
        <v>139</v>
      </c>
      <c r="E2276" s="80" t="s">
        <v>127</v>
      </c>
      <c r="F2276" s="170">
        <v>80</v>
      </c>
    </row>
    <row r="2277" spans="1:6" hidden="1" x14ac:dyDescent="0.25">
      <c r="A2277" s="169">
        <v>43523</v>
      </c>
      <c r="B2277" s="80" t="s">
        <v>702</v>
      </c>
      <c r="C2277" s="80" t="s">
        <v>164</v>
      </c>
      <c r="D2277" s="80" t="s">
        <v>139</v>
      </c>
      <c r="E2277" s="80" t="s">
        <v>153</v>
      </c>
      <c r="F2277" s="170">
        <v>80</v>
      </c>
    </row>
    <row r="2278" spans="1:6" hidden="1" x14ac:dyDescent="0.25">
      <c r="A2278" s="169">
        <v>43523</v>
      </c>
      <c r="B2278" s="80" t="s">
        <v>705</v>
      </c>
      <c r="C2278" s="80" t="s">
        <v>189</v>
      </c>
      <c r="D2278" s="80" t="s">
        <v>139</v>
      </c>
      <c r="E2278" s="80" t="s">
        <v>127</v>
      </c>
      <c r="F2278" s="170">
        <v>80</v>
      </c>
    </row>
    <row r="2279" spans="1:6" hidden="1" x14ac:dyDescent="0.25">
      <c r="A2279" s="169">
        <v>43524</v>
      </c>
      <c r="B2279" s="80" t="s">
        <v>713</v>
      </c>
      <c r="C2279" s="80" t="s">
        <v>157</v>
      </c>
      <c r="D2279" s="80" t="s">
        <v>139</v>
      </c>
      <c r="E2279" s="80" t="s">
        <v>127</v>
      </c>
      <c r="F2279" s="170">
        <v>80</v>
      </c>
    </row>
    <row r="2280" spans="1:6" hidden="1" x14ac:dyDescent="0.25">
      <c r="A2280" s="169">
        <v>43525</v>
      </c>
      <c r="B2280" s="80" t="s">
        <v>715</v>
      </c>
      <c r="C2280" s="80" t="s">
        <v>157</v>
      </c>
      <c r="D2280" s="80" t="s">
        <v>139</v>
      </c>
      <c r="E2280" s="80" t="s">
        <v>127</v>
      </c>
      <c r="F2280" s="170">
        <v>80</v>
      </c>
    </row>
    <row r="2281" spans="1:6" hidden="1" x14ac:dyDescent="0.25">
      <c r="A2281" s="169">
        <v>43525</v>
      </c>
      <c r="B2281" s="80" t="s">
        <v>719</v>
      </c>
      <c r="C2281" s="80" t="s">
        <v>167</v>
      </c>
      <c r="D2281" s="80" t="s">
        <v>139</v>
      </c>
      <c r="E2281" s="80" t="s">
        <v>131</v>
      </c>
      <c r="F2281" s="170">
        <v>80</v>
      </c>
    </row>
    <row r="2282" spans="1:6" hidden="1" x14ac:dyDescent="0.25">
      <c r="A2282" s="169">
        <v>43525</v>
      </c>
      <c r="B2282" s="80" t="s">
        <v>722</v>
      </c>
      <c r="C2282" s="80" t="s">
        <v>164</v>
      </c>
      <c r="D2282" s="80" t="s">
        <v>139</v>
      </c>
      <c r="E2282" s="80" t="s">
        <v>121</v>
      </c>
      <c r="F2282" s="170">
        <v>80</v>
      </c>
    </row>
    <row r="2283" spans="1:6" hidden="1" x14ac:dyDescent="0.25">
      <c r="A2283" s="169">
        <v>43526</v>
      </c>
      <c r="B2283" s="80" t="s">
        <v>728</v>
      </c>
      <c r="C2283" s="80" t="s">
        <v>129</v>
      </c>
      <c r="D2283" s="80" t="s">
        <v>139</v>
      </c>
      <c r="E2283" s="80" t="s">
        <v>131</v>
      </c>
      <c r="F2283" s="170">
        <v>80</v>
      </c>
    </row>
    <row r="2284" spans="1:6" hidden="1" x14ac:dyDescent="0.25">
      <c r="A2284" s="169">
        <v>43527</v>
      </c>
      <c r="B2284" s="80" t="s">
        <v>732</v>
      </c>
      <c r="C2284" s="80" t="s">
        <v>164</v>
      </c>
      <c r="D2284" s="80" t="s">
        <v>139</v>
      </c>
      <c r="E2284" s="80" t="s">
        <v>153</v>
      </c>
      <c r="F2284" s="170">
        <v>80</v>
      </c>
    </row>
    <row r="2285" spans="1:6" hidden="1" x14ac:dyDescent="0.25">
      <c r="A2285" s="169">
        <v>43527</v>
      </c>
      <c r="B2285" s="80" t="s">
        <v>735</v>
      </c>
      <c r="C2285" s="80" t="s">
        <v>123</v>
      </c>
      <c r="D2285" s="80" t="s">
        <v>139</v>
      </c>
      <c r="E2285" s="80" t="s">
        <v>134</v>
      </c>
      <c r="F2285" s="170">
        <v>80</v>
      </c>
    </row>
    <row r="2286" spans="1:6" hidden="1" x14ac:dyDescent="0.25">
      <c r="A2286" s="169">
        <v>43528</v>
      </c>
      <c r="B2286" s="80" t="s">
        <v>747</v>
      </c>
      <c r="C2286" s="80" t="s">
        <v>125</v>
      </c>
      <c r="D2286" s="80" t="s">
        <v>139</v>
      </c>
      <c r="E2286" s="80" t="s">
        <v>121</v>
      </c>
      <c r="F2286" s="170">
        <v>80</v>
      </c>
    </row>
    <row r="2287" spans="1:6" hidden="1" x14ac:dyDescent="0.25">
      <c r="A2287" s="169">
        <v>43529</v>
      </c>
      <c r="B2287" s="80" t="s">
        <v>748</v>
      </c>
      <c r="C2287" s="80" t="s">
        <v>119</v>
      </c>
      <c r="D2287" s="80" t="s">
        <v>139</v>
      </c>
      <c r="E2287" s="80" t="s">
        <v>134</v>
      </c>
      <c r="F2287" s="170">
        <v>80</v>
      </c>
    </row>
    <row r="2288" spans="1:6" hidden="1" x14ac:dyDescent="0.25">
      <c r="A2288" s="169">
        <v>43529</v>
      </c>
      <c r="B2288" s="80" t="s">
        <v>755</v>
      </c>
      <c r="C2288" s="80" t="s">
        <v>136</v>
      </c>
      <c r="D2288" s="80" t="s">
        <v>139</v>
      </c>
      <c r="E2288" s="80" t="s">
        <v>127</v>
      </c>
      <c r="F2288" s="170">
        <v>80</v>
      </c>
    </row>
    <row r="2289" spans="1:6" hidden="1" x14ac:dyDescent="0.25">
      <c r="A2289" s="169">
        <v>43530</v>
      </c>
      <c r="B2289" s="80" t="s">
        <v>763</v>
      </c>
      <c r="C2289" s="80" t="s">
        <v>187</v>
      </c>
      <c r="D2289" s="80" t="s">
        <v>139</v>
      </c>
      <c r="E2289" s="80" t="s">
        <v>134</v>
      </c>
      <c r="F2289" s="170">
        <v>80</v>
      </c>
    </row>
    <row r="2290" spans="1:6" hidden="1" x14ac:dyDescent="0.25">
      <c r="A2290" s="169">
        <v>43531</v>
      </c>
      <c r="B2290" s="80" t="s">
        <v>766</v>
      </c>
      <c r="C2290" s="80" t="s">
        <v>182</v>
      </c>
      <c r="D2290" s="80" t="s">
        <v>139</v>
      </c>
      <c r="E2290" s="80" t="s">
        <v>134</v>
      </c>
      <c r="F2290" s="170">
        <v>80</v>
      </c>
    </row>
    <row r="2291" spans="1:6" hidden="1" x14ac:dyDescent="0.25">
      <c r="A2291" s="169">
        <v>43532</v>
      </c>
      <c r="B2291" s="80" t="s">
        <v>778</v>
      </c>
      <c r="C2291" s="80" t="s">
        <v>189</v>
      </c>
      <c r="D2291" s="80" t="s">
        <v>139</v>
      </c>
      <c r="E2291" s="80" t="s">
        <v>121</v>
      </c>
      <c r="F2291" s="170">
        <v>80</v>
      </c>
    </row>
    <row r="2292" spans="1:6" hidden="1" x14ac:dyDescent="0.25">
      <c r="A2292" s="169">
        <v>43532</v>
      </c>
      <c r="B2292" s="80" t="s">
        <v>779</v>
      </c>
      <c r="C2292" s="80" t="s">
        <v>129</v>
      </c>
      <c r="D2292" s="80" t="s">
        <v>139</v>
      </c>
      <c r="E2292" s="80" t="s">
        <v>121</v>
      </c>
      <c r="F2292" s="170">
        <v>80</v>
      </c>
    </row>
    <row r="2293" spans="1:6" hidden="1" x14ac:dyDescent="0.25">
      <c r="A2293" s="169">
        <v>43533</v>
      </c>
      <c r="B2293" s="80" t="s">
        <v>788</v>
      </c>
      <c r="C2293" s="80" t="s">
        <v>148</v>
      </c>
      <c r="D2293" s="80" t="s">
        <v>139</v>
      </c>
      <c r="E2293" s="80" t="s">
        <v>153</v>
      </c>
      <c r="F2293" s="170">
        <v>80</v>
      </c>
    </row>
    <row r="2294" spans="1:6" hidden="1" x14ac:dyDescent="0.25">
      <c r="A2294" s="169">
        <v>43533</v>
      </c>
      <c r="B2294" s="80" t="s">
        <v>792</v>
      </c>
      <c r="C2294" s="80" t="s">
        <v>143</v>
      </c>
      <c r="D2294" s="80" t="s">
        <v>139</v>
      </c>
      <c r="E2294" s="80" t="s">
        <v>127</v>
      </c>
      <c r="F2294" s="170">
        <v>80</v>
      </c>
    </row>
    <row r="2295" spans="1:6" hidden="1" x14ac:dyDescent="0.25">
      <c r="A2295" s="169">
        <v>43534</v>
      </c>
      <c r="B2295" s="80" t="s">
        <v>795</v>
      </c>
      <c r="C2295" s="80" t="s">
        <v>187</v>
      </c>
      <c r="D2295" s="80" t="s">
        <v>139</v>
      </c>
      <c r="E2295" s="80" t="s">
        <v>153</v>
      </c>
      <c r="F2295" s="170">
        <v>80</v>
      </c>
    </row>
    <row r="2296" spans="1:6" hidden="1" x14ac:dyDescent="0.25">
      <c r="A2296" s="169">
        <v>43540</v>
      </c>
      <c r="B2296" s="80" t="s">
        <v>857</v>
      </c>
      <c r="C2296" s="80" t="s">
        <v>129</v>
      </c>
      <c r="D2296" s="80" t="s">
        <v>139</v>
      </c>
      <c r="E2296" s="80" t="s">
        <v>134</v>
      </c>
      <c r="F2296" s="170">
        <v>80</v>
      </c>
    </row>
    <row r="2297" spans="1:6" hidden="1" x14ac:dyDescent="0.25">
      <c r="A2297" s="169">
        <v>43540</v>
      </c>
      <c r="B2297" s="80" t="s">
        <v>862</v>
      </c>
      <c r="C2297" s="80" t="s">
        <v>157</v>
      </c>
      <c r="D2297" s="80" t="s">
        <v>139</v>
      </c>
      <c r="E2297" s="80" t="s">
        <v>121</v>
      </c>
      <c r="F2297" s="170">
        <v>80</v>
      </c>
    </row>
    <row r="2298" spans="1:6" hidden="1" x14ac:dyDescent="0.25">
      <c r="A2298" s="169">
        <v>43541</v>
      </c>
      <c r="B2298" s="80" t="s">
        <v>874</v>
      </c>
      <c r="C2298" s="80" t="s">
        <v>152</v>
      </c>
      <c r="D2298" s="80" t="s">
        <v>139</v>
      </c>
      <c r="E2298" s="80" t="s">
        <v>131</v>
      </c>
      <c r="F2298" s="170">
        <v>80</v>
      </c>
    </row>
    <row r="2299" spans="1:6" hidden="1" x14ac:dyDescent="0.25">
      <c r="A2299" s="169">
        <v>43541</v>
      </c>
      <c r="B2299" s="80" t="s">
        <v>875</v>
      </c>
      <c r="C2299" s="80" t="s">
        <v>187</v>
      </c>
      <c r="D2299" s="80" t="s">
        <v>139</v>
      </c>
      <c r="E2299" s="80" t="s">
        <v>134</v>
      </c>
      <c r="F2299" s="170">
        <v>80</v>
      </c>
    </row>
    <row r="2300" spans="1:6" hidden="1" x14ac:dyDescent="0.25">
      <c r="A2300" s="169">
        <v>43542</v>
      </c>
      <c r="B2300" s="80" t="s">
        <v>879</v>
      </c>
      <c r="C2300" s="80" t="s">
        <v>148</v>
      </c>
      <c r="D2300" s="80" t="s">
        <v>139</v>
      </c>
      <c r="E2300" s="80" t="s">
        <v>127</v>
      </c>
      <c r="F2300" s="170">
        <v>80</v>
      </c>
    </row>
    <row r="2301" spans="1:6" hidden="1" x14ac:dyDescent="0.25">
      <c r="A2301" s="169">
        <v>43542</v>
      </c>
      <c r="B2301" s="80" t="s">
        <v>882</v>
      </c>
      <c r="C2301" s="80" t="s">
        <v>157</v>
      </c>
      <c r="D2301" s="80" t="s">
        <v>139</v>
      </c>
      <c r="E2301" s="80" t="s">
        <v>127</v>
      </c>
      <c r="F2301" s="170">
        <v>80</v>
      </c>
    </row>
    <row r="2302" spans="1:6" hidden="1" x14ac:dyDescent="0.25">
      <c r="A2302" s="169">
        <v>43546</v>
      </c>
      <c r="B2302" s="80" t="s">
        <v>905</v>
      </c>
      <c r="C2302" s="80" t="s">
        <v>125</v>
      </c>
      <c r="D2302" s="80" t="s">
        <v>139</v>
      </c>
      <c r="E2302" s="80" t="s">
        <v>131</v>
      </c>
      <c r="F2302" s="170">
        <v>80</v>
      </c>
    </row>
    <row r="2303" spans="1:6" hidden="1" x14ac:dyDescent="0.25">
      <c r="A2303" s="169">
        <v>43546</v>
      </c>
      <c r="B2303" s="80" t="s">
        <v>914</v>
      </c>
      <c r="C2303" s="80" t="s">
        <v>189</v>
      </c>
      <c r="D2303" s="80" t="s">
        <v>139</v>
      </c>
      <c r="E2303" s="80" t="s">
        <v>131</v>
      </c>
      <c r="F2303" s="170">
        <v>80</v>
      </c>
    </row>
    <row r="2304" spans="1:6" hidden="1" x14ac:dyDescent="0.25">
      <c r="A2304" s="169">
        <v>43547</v>
      </c>
      <c r="B2304" s="80" t="s">
        <v>919</v>
      </c>
      <c r="C2304" s="80" t="s">
        <v>125</v>
      </c>
      <c r="D2304" s="80" t="s">
        <v>139</v>
      </c>
      <c r="E2304" s="80" t="s">
        <v>127</v>
      </c>
      <c r="F2304" s="170">
        <v>80</v>
      </c>
    </row>
    <row r="2305" spans="1:6" hidden="1" x14ac:dyDescent="0.25">
      <c r="A2305" s="169">
        <v>43547</v>
      </c>
      <c r="B2305" s="80" t="s">
        <v>923</v>
      </c>
      <c r="C2305" s="80" t="s">
        <v>167</v>
      </c>
      <c r="D2305" s="80" t="s">
        <v>139</v>
      </c>
      <c r="E2305" s="80" t="s">
        <v>131</v>
      </c>
      <c r="F2305" s="170">
        <v>80</v>
      </c>
    </row>
    <row r="2306" spans="1:6" hidden="1" x14ac:dyDescent="0.25">
      <c r="A2306" s="169">
        <v>43551</v>
      </c>
      <c r="B2306" s="80" t="s">
        <v>963</v>
      </c>
      <c r="C2306" s="80" t="s">
        <v>164</v>
      </c>
      <c r="D2306" s="80" t="s">
        <v>139</v>
      </c>
      <c r="E2306" s="80" t="s">
        <v>127</v>
      </c>
      <c r="F2306" s="170">
        <v>80</v>
      </c>
    </row>
    <row r="2307" spans="1:6" hidden="1" x14ac:dyDescent="0.25">
      <c r="A2307" s="169">
        <v>43552</v>
      </c>
      <c r="B2307" s="80" t="s">
        <v>965</v>
      </c>
      <c r="C2307" s="80" t="s">
        <v>123</v>
      </c>
      <c r="D2307" s="80" t="s">
        <v>139</v>
      </c>
      <c r="E2307" s="80" t="s">
        <v>153</v>
      </c>
      <c r="F2307" s="170">
        <v>80</v>
      </c>
    </row>
    <row r="2308" spans="1:6" hidden="1" x14ac:dyDescent="0.25">
      <c r="A2308" s="169">
        <v>43552</v>
      </c>
      <c r="B2308" s="80" t="s">
        <v>972</v>
      </c>
      <c r="C2308" s="80" t="s">
        <v>167</v>
      </c>
      <c r="D2308" s="80" t="s">
        <v>139</v>
      </c>
      <c r="E2308" s="80" t="s">
        <v>121</v>
      </c>
      <c r="F2308" s="170">
        <v>80</v>
      </c>
    </row>
    <row r="2309" spans="1:6" hidden="1" x14ac:dyDescent="0.25">
      <c r="A2309" s="169">
        <v>43553</v>
      </c>
      <c r="B2309" s="80" t="s">
        <v>976</v>
      </c>
      <c r="C2309" s="80" t="s">
        <v>182</v>
      </c>
      <c r="D2309" s="80" t="s">
        <v>139</v>
      </c>
      <c r="E2309" s="80" t="s">
        <v>127</v>
      </c>
      <c r="F2309" s="170">
        <v>80</v>
      </c>
    </row>
    <row r="2310" spans="1:6" hidden="1" x14ac:dyDescent="0.25">
      <c r="A2310" s="169">
        <v>43554</v>
      </c>
      <c r="B2310" s="80" t="s">
        <v>990</v>
      </c>
      <c r="C2310" s="80" t="s">
        <v>138</v>
      </c>
      <c r="D2310" s="80" t="s">
        <v>139</v>
      </c>
      <c r="E2310" s="80" t="s">
        <v>121</v>
      </c>
      <c r="F2310" s="170">
        <v>80</v>
      </c>
    </row>
    <row r="2311" spans="1:6" hidden="1" x14ac:dyDescent="0.25">
      <c r="A2311" s="169">
        <v>43554</v>
      </c>
      <c r="B2311" s="80" t="s">
        <v>992</v>
      </c>
      <c r="C2311" s="80" t="s">
        <v>123</v>
      </c>
      <c r="D2311" s="80" t="s">
        <v>139</v>
      </c>
      <c r="E2311" s="80" t="s">
        <v>121</v>
      </c>
      <c r="F2311" s="170">
        <v>80</v>
      </c>
    </row>
    <row r="2312" spans="1:6" hidden="1" x14ac:dyDescent="0.25">
      <c r="A2312" s="169">
        <v>43554</v>
      </c>
      <c r="B2312" s="80" t="s">
        <v>994</v>
      </c>
      <c r="C2312" s="80" t="s">
        <v>152</v>
      </c>
      <c r="D2312" s="80" t="s">
        <v>139</v>
      </c>
      <c r="E2312" s="80" t="s">
        <v>131</v>
      </c>
      <c r="F2312" s="170">
        <v>80</v>
      </c>
    </row>
    <row r="2313" spans="1:6" hidden="1" x14ac:dyDescent="0.25">
      <c r="A2313" s="169">
        <v>43555</v>
      </c>
      <c r="B2313" s="80" t="s">
        <v>998</v>
      </c>
      <c r="C2313" s="80" t="s">
        <v>145</v>
      </c>
      <c r="D2313" s="80" t="s">
        <v>139</v>
      </c>
      <c r="E2313" s="80" t="s">
        <v>121</v>
      </c>
      <c r="F2313" s="170">
        <v>80</v>
      </c>
    </row>
    <row r="2314" spans="1:6" hidden="1" x14ac:dyDescent="0.25">
      <c r="A2314" s="169">
        <v>43556</v>
      </c>
      <c r="B2314" s="80" t="s">
        <v>1005</v>
      </c>
      <c r="C2314" s="80" t="s">
        <v>125</v>
      </c>
      <c r="D2314" s="80" t="s">
        <v>139</v>
      </c>
      <c r="E2314" s="80" t="s">
        <v>134</v>
      </c>
      <c r="F2314" s="170">
        <v>80</v>
      </c>
    </row>
    <row r="2315" spans="1:6" hidden="1" x14ac:dyDescent="0.25">
      <c r="A2315" s="169">
        <v>43557</v>
      </c>
      <c r="B2315" s="80" t="s">
        <v>1010</v>
      </c>
      <c r="C2315" s="80" t="s">
        <v>167</v>
      </c>
      <c r="D2315" s="80" t="s">
        <v>139</v>
      </c>
      <c r="E2315" s="80" t="s">
        <v>153</v>
      </c>
      <c r="F2315" s="170">
        <v>80</v>
      </c>
    </row>
    <row r="2316" spans="1:6" hidden="1" x14ac:dyDescent="0.25">
      <c r="A2316" s="169">
        <v>43557</v>
      </c>
      <c r="B2316" s="80" t="s">
        <v>1013</v>
      </c>
      <c r="C2316" s="80" t="s">
        <v>145</v>
      </c>
      <c r="D2316" s="80" t="s">
        <v>139</v>
      </c>
      <c r="E2316" s="80" t="s">
        <v>153</v>
      </c>
      <c r="F2316" s="170">
        <v>80</v>
      </c>
    </row>
    <row r="2317" spans="1:6" hidden="1" x14ac:dyDescent="0.25">
      <c r="A2317" s="169">
        <v>43557</v>
      </c>
      <c r="B2317" s="80" t="s">
        <v>1018</v>
      </c>
      <c r="C2317" s="80" t="s">
        <v>148</v>
      </c>
      <c r="D2317" s="80" t="s">
        <v>139</v>
      </c>
      <c r="E2317" s="80" t="s">
        <v>131</v>
      </c>
      <c r="F2317" s="170">
        <v>80</v>
      </c>
    </row>
    <row r="2318" spans="1:6" hidden="1" x14ac:dyDescent="0.25">
      <c r="A2318" s="169">
        <v>43558</v>
      </c>
      <c r="B2318" s="80" t="s">
        <v>1030</v>
      </c>
      <c r="C2318" s="80" t="s">
        <v>223</v>
      </c>
      <c r="D2318" s="80" t="s">
        <v>139</v>
      </c>
      <c r="E2318" s="80" t="s">
        <v>121</v>
      </c>
      <c r="F2318" s="170">
        <v>80</v>
      </c>
    </row>
    <row r="2319" spans="1:6" hidden="1" x14ac:dyDescent="0.25">
      <c r="A2319" s="169">
        <v>43558</v>
      </c>
      <c r="B2319" s="80" t="s">
        <v>1032</v>
      </c>
      <c r="C2319" s="80" t="s">
        <v>157</v>
      </c>
      <c r="D2319" s="80" t="s">
        <v>139</v>
      </c>
      <c r="E2319" s="80" t="s">
        <v>121</v>
      </c>
      <c r="F2319" s="170">
        <v>80</v>
      </c>
    </row>
    <row r="2320" spans="1:6" hidden="1" x14ac:dyDescent="0.25">
      <c r="A2320" s="169">
        <v>43558</v>
      </c>
      <c r="B2320" s="80" t="s">
        <v>1034</v>
      </c>
      <c r="C2320" s="80" t="s">
        <v>123</v>
      </c>
      <c r="D2320" s="80" t="s">
        <v>139</v>
      </c>
      <c r="E2320" s="80" t="s">
        <v>134</v>
      </c>
      <c r="F2320" s="170">
        <v>80</v>
      </c>
    </row>
    <row r="2321" spans="1:6" hidden="1" x14ac:dyDescent="0.25">
      <c r="A2321" s="169">
        <v>43559</v>
      </c>
      <c r="B2321" s="80" t="s">
        <v>1037</v>
      </c>
      <c r="C2321" s="80" t="s">
        <v>143</v>
      </c>
      <c r="D2321" s="80" t="s">
        <v>139</v>
      </c>
      <c r="E2321" s="80" t="s">
        <v>153</v>
      </c>
      <c r="F2321" s="170">
        <v>80</v>
      </c>
    </row>
    <row r="2322" spans="1:6" hidden="1" x14ac:dyDescent="0.25">
      <c r="A2322" s="169">
        <v>43561</v>
      </c>
      <c r="B2322" s="80" t="s">
        <v>1051</v>
      </c>
      <c r="C2322" s="80" t="s">
        <v>129</v>
      </c>
      <c r="D2322" s="80" t="s">
        <v>139</v>
      </c>
      <c r="E2322" s="80" t="s">
        <v>131</v>
      </c>
      <c r="F2322" s="170">
        <v>80</v>
      </c>
    </row>
    <row r="2323" spans="1:6" hidden="1" x14ac:dyDescent="0.25">
      <c r="A2323" s="169">
        <v>43561</v>
      </c>
      <c r="B2323" s="80" t="s">
        <v>1059</v>
      </c>
      <c r="C2323" s="80" t="s">
        <v>164</v>
      </c>
      <c r="D2323" s="80" t="s">
        <v>139</v>
      </c>
      <c r="E2323" s="80" t="s">
        <v>131</v>
      </c>
      <c r="F2323" s="170">
        <v>80</v>
      </c>
    </row>
    <row r="2324" spans="1:6" hidden="1" x14ac:dyDescent="0.25">
      <c r="A2324" s="169">
        <v>43562</v>
      </c>
      <c r="B2324" s="80" t="s">
        <v>1067</v>
      </c>
      <c r="C2324" s="80" t="s">
        <v>138</v>
      </c>
      <c r="D2324" s="80" t="s">
        <v>139</v>
      </c>
      <c r="E2324" s="80" t="s">
        <v>153</v>
      </c>
      <c r="F2324" s="170">
        <v>80</v>
      </c>
    </row>
    <row r="2325" spans="1:6" hidden="1" x14ac:dyDescent="0.25">
      <c r="A2325" s="169">
        <v>43562</v>
      </c>
      <c r="B2325" s="80" t="s">
        <v>1069</v>
      </c>
      <c r="C2325" s="80" t="s">
        <v>145</v>
      </c>
      <c r="D2325" s="80" t="s">
        <v>139</v>
      </c>
      <c r="E2325" s="80" t="s">
        <v>131</v>
      </c>
      <c r="F2325" s="170">
        <v>80</v>
      </c>
    </row>
    <row r="2326" spans="1:6" hidden="1" x14ac:dyDescent="0.25">
      <c r="A2326" s="169">
        <v>43563</v>
      </c>
      <c r="B2326" s="80" t="s">
        <v>1073</v>
      </c>
      <c r="C2326" s="80" t="s">
        <v>129</v>
      </c>
      <c r="D2326" s="80" t="s">
        <v>139</v>
      </c>
      <c r="E2326" s="80" t="s">
        <v>153</v>
      </c>
      <c r="F2326" s="170">
        <v>80</v>
      </c>
    </row>
    <row r="2327" spans="1:6" hidden="1" x14ac:dyDescent="0.25">
      <c r="A2327" s="169">
        <v>43564</v>
      </c>
      <c r="B2327" s="80" t="s">
        <v>1079</v>
      </c>
      <c r="C2327" s="80" t="s">
        <v>136</v>
      </c>
      <c r="D2327" s="80" t="s">
        <v>139</v>
      </c>
      <c r="E2327" s="80" t="s">
        <v>131</v>
      </c>
      <c r="F2327" s="170">
        <v>80</v>
      </c>
    </row>
    <row r="2328" spans="1:6" hidden="1" x14ac:dyDescent="0.25">
      <c r="A2328" s="169">
        <v>43568</v>
      </c>
      <c r="B2328" s="80" t="s">
        <v>1113</v>
      </c>
      <c r="C2328" s="80" t="s">
        <v>182</v>
      </c>
      <c r="D2328" s="80" t="s">
        <v>139</v>
      </c>
      <c r="E2328" s="80" t="s">
        <v>153</v>
      </c>
      <c r="F2328" s="170">
        <v>80</v>
      </c>
    </row>
    <row r="2329" spans="1:6" hidden="1" x14ac:dyDescent="0.25">
      <c r="A2329" s="169">
        <v>43568</v>
      </c>
      <c r="B2329" s="80" t="s">
        <v>1116</v>
      </c>
      <c r="C2329" s="80" t="s">
        <v>182</v>
      </c>
      <c r="D2329" s="80" t="s">
        <v>139</v>
      </c>
      <c r="E2329" s="80" t="s">
        <v>134</v>
      </c>
      <c r="F2329" s="170">
        <v>80</v>
      </c>
    </row>
    <row r="2330" spans="1:6" hidden="1" x14ac:dyDescent="0.25">
      <c r="A2330" s="169">
        <v>43569</v>
      </c>
      <c r="B2330" s="80" t="s">
        <v>1124</v>
      </c>
      <c r="C2330" s="80" t="s">
        <v>125</v>
      </c>
      <c r="D2330" s="80" t="s">
        <v>139</v>
      </c>
      <c r="E2330" s="80" t="s">
        <v>127</v>
      </c>
      <c r="F2330" s="170">
        <v>80</v>
      </c>
    </row>
    <row r="2331" spans="1:6" hidden="1" x14ac:dyDescent="0.25">
      <c r="A2331" s="169">
        <v>43570</v>
      </c>
      <c r="B2331" s="80" t="s">
        <v>1141</v>
      </c>
      <c r="C2331" s="80" t="s">
        <v>125</v>
      </c>
      <c r="D2331" s="80" t="s">
        <v>139</v>
      </c>
      <c r="E2331" s="80" t="s">
        <v>131</v>
      </c>
      <c r="F2331" s="170">
        <v>80</v>
      </c>
    </row>
    <row r="2332" spans="1:6" hidden="1" x14ac:dyDescent="0.25">
      <c r="A2332" s="169">
        <v>43572</v>
      </c>
      <c r="B2332" s="80" t="s">
        <v>1159</v>
      </c>
      <c r="C2332" s="80" t="s">
        <v>123</v>
      </c>
      <c r="D2332" s="80" t="s">
        <v>139</v>
      </c>
      <c r="E2332" s="80" t="s">
        <v>134</v>
      </c>
      <c r="F2332" s="170">
        <v>80</v>
      </c>
    </row>
    <row r="2333" spans="1:6" hidden="1" x14ac:dyDescent="0.25">
      <c r="A2333" s="169">
        <v>43575</v>
      </c>
      <c r="B2333" s="80" t="s">
        <v>1188</v>
      </c>
      <c r="C2333" s="80" t="s">
        <v>143</v>
      </c>
      <c r="D2333" s="80" t="s">
        <v>139</v>
      </c>
      <c r="E2333" s="80" t="s">
        <v>121</v>
      </c>
      <c r="F2333" s="170">
        <v>80</v>
      </c>
    </row>
    <row r="2334" spans="1:6" hidden="1" x14ac:dyDescent="0.25">
      <c r="A2334" s="169">
        <v>43577</v>
      </c>
      <c r="B2334" s="80" t="s">
        <v>1201</v>
      </c>
      <c r="C2334" s="80" t="s">
        <v>189</v>
      </c>
      <c r="D2334" s="80" t="s">
        <v>139</v>
      </c>
      <c r="E2334" s="80" t="s">
        <v>127</v>
      </c>
      <c r="F2334" s="170">
        <v>80</v>
      </c>
    </row>
    <row r="2335" spans="1:6" hidden="1" x14ac:dyDescent="0.25">
      <c r="A2335" s="169">
        <v>43578</v>
      </c>
      <c r="B2335" s="80" t="s">
        <v>1208</v>
      </c>
      <c r="C2335" s="80" t="s">
        <v>119</v>
      </c>
      <c r="D2335" s="80" t="s">
        <v>139</v>
      </c>
      <c r="E2335" s="80" t="s">
        <v>134</v>
      </c>
      <c r="F2335" s="170">
        <v>80</v>
      </c>
    </row>
    <row r="2336" spans="1:6" hidden="1" x14ac:dyDescent="0.25">
      <c r="A2336" s="169">
        <v>43579</v>
      </c>
      <c r="B2336" s="80" t="s">
        <v>1215</v>
      </c>
      <c r="C2336" s="80" t="s">
        <v>125</v>
      </c>
      <c r="D2336" s="80" t="s">
        <v>139</v>
      </c>
      <c r="E2336" s="80" t="s">
        <v>131</v>
      </c>
      <c r="F2336" s="170">
        <v>80</v>
      </c>
    </row>
    <row r="2337" spans="1:6" hidden="1" x14ac:dyDescent="0.25">
      <c r="A2337" s="169">
        <v>43579</v>
      </c>
      <c r="B2337" s="80" t="s">
        <v>1220</v>
      </c>
      <c r="C2337" s="80" t="s">
        <v>164</v>
      </c>
      <c r="D2337" s="80" t="s">
        <v>139</v>
      </c>
      <c r="E2337" s="80" t="s">
        <v>127</v>
      </c>
      <c r="F2337" s="170">
        <v>80</v>
      </c>
    </row>
    <row r="2338" spans="1:6" hidden="1" x14ac:dyDescent="0.25">
      <c r="A2338" s="169">
        <v>43580</v>
      </c>
      <c r="B2338" s="80" t="s">
        <v>1231</v>
      </c>
      <c r="C2338" s="80" t="s">
        <v>119</v>
      </c>
      <c r="D2338" s="80" t="s">
        <v>139</v>
      </c>
      <c r="E2338" s="80" t="s">
        <v>131</v>
      </c>
      <c r="F2338" s="170">
        <v>80</v>
      </c>
    </row>
    <row r="2339" spans="1:6" hidden="1" x14ac:dyDescent="0.25">
      <c r="A2339" s="169">
        <v>43581</v>
      </c>
      <c r="B2339" s="80" t="s">
        <v>1237</v>
      </c>
      <c r="C2339" s="80" t="s">
        <v>189</v>
      </c>
      <c r="D2339" s="80" t="s">
        <v>139</v>
      </c>
      <c r="E2339" s="80" t="s">
        <v>131</v>
      </c>
      <c r="F2339" s="170">
        <v>80</v>
      </c>
    </row>
    <row r="2340" spans="1:6" hidden="1" x14ac:dyDescent="0.25">
      <c r="A2340" s="169">
        <v>43581</v>
      </c>
      <c r="B2340" s="80" t="s">
        <v>1241</v>
      </c>
      <c r="C2340" s="80" t="s">
        <v>136</v>
      </c>
      <c r="D2340" s="80" t="s">
        <v>139</v>
      </c>
      <c r="E2340" s="80" t="s">
        <v>134</v>
      </c>
      <c r="F2340" s="170">
        <v>80</v>
      </c>
    </row>
    <row r="2341" spans="1:6" hidden="1" x14ac:dyDescent="0.25">
      <c r="A2341" s="169">
        <v>43582</v>
      </c>
      <c r="B2341" s="80" t="s">
        <v>1250</v>
      </c>
      <c r="C2341" s="80" t="s">
        <v>136</v>
      </c>
      <c r="D2341" s="80" t="s">
        <v>139</v>
      </c>
      <c r="E2341" s="80" t="s">
        <v>153</v>
      </c>
      <c r="F2341" s="170">
        <v>80</v>
      </c>
    </row>
    <row r="2342" spans="1:6" hidden="1" x14ac:dyDescent="0.25">
      <c r="A2342" s="169">
        <v>43583</v>
      </c>
      <c r="B2342" s="80" t="s">
        <v>1255</v>
      </c>
      <c r="C2342" s="80" t="s">
        <v>157</v>
      </c>
      <c r="D2342" s="80" t="s">
        <v>139</v>
      </c>
      <c r="E2342" s="80" t="s">
        <v>127</v>
      </c>
      <c r="F2342" s="170">
        <v>80</v>
      </c>
    </row>
    <row r="2343" spans="1:6" hidden="1" x14ac:dyDescent="0.25">
      <c r="A2343" s="169">
        <v>43584</v>
      </c>
      <c r="B2343" s="80" t="s">
        <v>1264</v>
      </c>
      <c r="C2343" s="80" t="s">
        <v>145</v>
      </c>
      <c r="D2343" s="80" t="s">
        <v>139</v>
      </c>
      <c r="E2343" s="80" t="s">
        <v>131</v>
      </c>
      <c r="F2343" s="170">
        <v>80</v>
      </c>
    </row>
    <row r="2344" spans="1:6" hidden="1" x14ac:dyDescent="0.25">
      <c r="A2344" s="169">
        <v>43584</v>
      </c>
      <c r="B2344" s="80" t="s">
        <v>1268</v>
      </c>
      <c r="C2344" s="80" t="s">
        <v>223</v>
      </c>
      <c r="D2344" s="80" t="s">
        <v>139</v>
      </c>
      <c r="E2344" s="80" t="s">
        <v>153</v>
      </c>
      <c r="F2344" s="170">
        <v>80</v>
      </c>
    </row>
    <row r="2345" spans="1:6" hidden="1" x14ac:dyDescent="0.25">
      <c r="A2345" s="169">
        <v>43585</v>
      </c>
      <c r="B2345" s="80" t="s">
        <v>1273</v>
      </c>
      <c r="C2345" s="80" t="s">
        <v>143</v>
      </c>
      <c r="D2345" s="80" t="s">
        <v>139</v>
      </c>
      <c r="E2345" s="80" t="s">
        <v>134</v>
      </c>
      <c r="F2345" s="170">
        <v>80</v>
      </c>
    </row>
    <row r="2346" spans="1:6" hidden="1" x14ac:dyDescent="0.25">
      <c r="A2346" s="169">
        <v>43585</v>
      </c>
      <c r="B2346" s="80" t="s">
        <v>1275</v>
      </c>
      <c r="C2346" s="80" t="s">
        <v>119</v>
      </c>
      <c r="D2346" s="80" t="s">
        <v>139</v>
      </c>
      <c r="E2346" s="80" t="s">
        <v>153</v>
      </c>
      <c r="F2346" s="170">
        <v>80</v>
      </c>
    </row>
    <row r="2347" spans="1:6" hidden="1" x14ac:dyDescent="0.25">
      <c r="A2347" s="169">
        <v>43585</v>
      </c>
      <c r="B2347" s="80" t="s">
        <v>1277</v>
      </c>
      <c r="C2347" s="80" t="s">
        <v>164</v>
      </c>
      <c r="D2347" s="80" t="s">
        <v>139</v>
      </c>
      <c r="E2347" s="80" t="s">
        <v>153</v>
      </c>
      <c r="F2347" s="170">
        <v>80</v>
      </c>
    </row>
    <row r="2348" spans="1:6" hidden="1" x14ac:dyDescent="0.25">
      <c r="A2348" s="169">
        <v>43586</v>
      </c>
      <c r="B2348" s="80" t="s">
        <v>1288</v>
      </c>
      <c r="C2348" s="80" t="s">
        <v>143</v>
      </c>
      <c r="D2348" s="80" t="s">
        <v>139</v>
      </c>
      <c r="E2348" s="80" t="s">
        <v>153</v>
      </c>
      <c r="F2348" s="170">
        <v>80</v>
      </c>
    </row>
    <row r="2349" spans="1:6" hidden="1" x14ac:dyDescent="0.25">
      <c r="A2349" s="169">
        <v>43587</v>
      </c>
      <c r="B2349" s="80" t="s">
        <v>1298</v>
      </c>
      <c r="C2349" s="80" t="s">
        <v>138</v>
      </c>
      <c r="D2349" s="80" t="s">
        <v>139</v>
      </c>
      <c r="E2349" s="80" t="s">
        <v>127</v>
      </c>
      <c r="F2349" s="170">
        <v>80</v>
      </c>
    </row>
    <row r="2350" spans="1:6" hidden="1" x14ac:dyDescent="0.25">
      <c r="A2350" s="169">
        <v>43587</v>
      </c>
      <c r="B2350" s="80" t="s">
        <v>1303</v>
      </c>
      <c r="C2350" s="80" t="s">
        <v>136</v>
      </c>
      <c r="D2350" s="80" t="s">
        <v>139</v>
      </c>
      <c r="E2350" s="80" t="s">
        <v>153</v>
      </c>
      <c r="F2350" s="170">
        <v>80</v>
      </c>
    </row>
    <row r="2351" spans="1:6" hidden="1" x14ac:dyDescent="0.25">
      <c r="A2351" s="169">
        <v>43589</v>
      </c>
      <c r="B2351" s="80" t="s">
        <v>1320</v>
      </c>
      <c r="C2351" s="80" t="s">
        <v>189</v>
      </c>
      <c r="D2351" s="80" t="s">
        <v>139</v>
      </c>
      <c r="E2351" s="80" t="s">
        <v>131</v>
      </c>
      <c r="F2351" s="170">
        <v>80</v>
      </c>
    </row>
    <row r="2352" spans="1:6" hidden="1" x14ac:dyDescent="0.25">
      <c r="A2352" s="169">
        <v>43590</v>
      </c>
      <c r="B2352" s="80" t="s">
        <v>1333</v>
      </c>
      <c r="C2352" s="80" t="s">
        <v>119</v>
      </c>
      <c r="D2352" s="80" t="s">
        <v>139</v>
      </c>
      <c r="E2352" s="80" t="s">
        <v>127</v>
      </c>
      <c r="F2352" s="170">
        <v>80</v>
      </c>
    </row>
    <row r="2353" spans="1:6" hidden="1" x14ac:dyDescent="0.25">
      <c r="A2353" s="169">
        <v>43592</v>
      </c>
      <c r="B2353" s="80" t="s">
        <v>1359</v>
      </c>
      <c r="C2353" s="80" t="s">
        <v>138</v>
      </c>
      <c r="D2353" s="80" t="s">
        <v>139</v>
      </c>
      <c r="E2353" s="80" t="s">
        <v>153</v>
      </c>
      <c r="F2353" s="170">
        <v>80</v>
      </c>
    </row>
    <row r="2354" spans="1:6" hidden="1" x14ac:dyDescent="0.25">
      <c r="A2354" s="169">
        <v>43593</v>
      </c>
      <c r="B2354" s="80" t="s">
        <v>1364</v>
      </c>
      <c r="C2354" s="80" t="s">
        <v>136</v>
      </c>
      <c r="D2354" s="80" t="s">
        <v>139</v>
      </c>
      <c r="E2354" s="80" t="s">
        <v>121</v>
      </c>
      <c r="F2354" s="170">
        <v>80</v>
      </c>
    </row>
    <row r="2355" spans="1:6" hidden="1" x14ac:dyDescent="0.25">
      <c r="A2355" s="169">
        <v>43594</v>
      </c>
      <c r="B2355" s="80" t="s">
        <v>1370</v>
      </c>
      <c r="C2355" s="80" t="s">
        <v>189</v>
      </c>
      <c r="D2355" s="80" t="s">
        <v>139</v>
      </c>
      <c r="E2355" s="80" t="s">
        <v>153</v>
      </c>
      <c r="F2355" s="170">
        <v>80</v>
      </c>
    </row>
    <row r="2356" spans="1:6" hidden="1" x14ac:dyDescent="0.25">
      <c r="A2356" s="169">
        <v>43595</v>
      </c>
      <c r="B2356" s="80" t="s">
        <v>1381</v>
      </c>
      <c r="C2356" s="80" t="s">
        <v>167</v>
      </c>
      <c r="D2356" s="80" t="s">
        <v>139</v>
      </c>
      <c r="E2356" s="80" t="s">
        <v>153</v>
      </c>
      <c r="F2356" s="170">
        <v>80</v>
      </c>
    </row>
    <row r="2357" spans="1:6" hidden="1" x14ac:dyDescent="0.25">
      <c r="A2357" s="169">
        <v>43596</v>
      </c>
      <c r="B2357" s="80" t="s">
        <v>1390</v>
      </c>
      <c r="C2357" s="80" t="s">
        <v>143</v>
      </c>
      <c r="D2357" s="80" t="s">
        <v>139</v>
      </c>
      <c r="E2357" s="80" t="s">
        <v>131</v>
      </c>
      <c r="F2357" s="170">
        <v>80</v>
      </c>
    </row>
    <row r="2358" spans="1:6" hidden="1" x14ac:dyDescent="0.25">
      <c r="A2358" s="169">
        <v>43597</v>
      </c>
      <c r="B2358" s="80" t="s">
        <v>1395</v>
      </c>
      <c r="C2358" s="80" t="s">
        <v>119</v>
      </c>
      <c r="D2358" s="80" t="s">
        <v>139</v>
      </c>
      <c r="E2358" s="80" t="s">
        <v>127</v>
      </c>
      <c r="F2358" s="170">
        <v>80</v>
      </c>
    </row>
    <row r="2359" spans="1:6" hidden="1" x14ac:dyDescent="0.25">
      <c r="A2359" s="169">
        <v>43597</v>
      </c>
      <c r="B2359" s="80" t="s">
        <v>1396</v>
      </c>
      <c r="C2359" s="80" t="s">
        <v>152</v>
      </c>
      <c r="D2359" s="80" t="s">
        <v>139</v>
      </c>
      <c r="E2359" s="80" t="s">
        <v>121</v>
      </c>
      <c r="F2359" s="170">
        <v>80</v>
      </c>
    </row>
    <row r="2360" spans="1:6" hidden="1" x14ac:dyDescent="0.25">
      <c r="A2360" s="169">
        <v>43597</v>
      </c>
      <c r="B2360" s="80" t="s">
        <v>1399</v>
      </c>
      <c r="C2360" s="80" t="s">
        <v>187</v>
      </c>
      <c r="D2360" s="80" t="s">
        <v>139</v>
      </c>
      <c r="E2360" s="80" t="s">
        <v>127</v>
      </c>
      <c r="F2360" s="170">
        <v>80</v>
      </c>
    </row>
    <row r="2361" spans="1:6" hidden="1" x14ac:dyDescent="0.25">
      <c r="A2361" s="169">
        <v>43597</v>
      </c>
      <c r="B2361" s="80" t="s">
        <v>1404</v>
      </c>
      <c r="C2361" s="80" t="s">
        <v>119</v>
      </c>
      <c r="D2361" s="80" t="s">
        <v>139</v>
      </c>
      <c r="E2361" s="80" t="s">
        <v>153</v>
      </c>
      <c r="F2361" s="170">
        <v>80</v>
      </c>
    </row>
    <row r="2362" spans="1:6" hidden="1" x14ac:dyDescent="0.25">
      <c r="A2362" s="169">
        <v>43598</v>
      </c>
      <c r="B2362" s="80" t="s">
        <v>1412</v>
      </c>
      <c r="C2362" s="80" t="s">
        <v>167</v>
      </c>
      <c r="D2362" s="80" t="s">
        <v>139</v>
      </c>
      <c r="E2362" s="80" t="s">
        <v>127</v>
      </c>
      <c r="F2362" s="170">
        <v>80</v>
      </c>
    </row>
    <row r="2363" spans="1:6" hidden="1" x14ac:dyDescent="0.25">
      <c r="A2363" s="169">
        <v>43600</v>
      </c>
      <c r="B2363" s="80" t="s">
        <v>1426</v>
      </c>
      <c r="C2363" s="80" t="s">
        <v>189</v>
      </c>
      <c r="D2363" s="80" t="s">
        <v>139</v>
      </c>
      <c r="E2363" s="80" t="s">
        <v>153</v>
      </c>
      <c r="F2363" s="170">
        <v>80</v>
      </c>
    </row>
    <row r="2364" spans="1:6" hidden="1" x14ac:dyDescent="0.25">
      <c r="A2364" s="169">
        <v>43601</v>
      </c>
      <c r="B2364" s="80" t="s">
        <v>1445</v>
      </c>
      <c r="C2364" s="80" t="s">
        <v>148</v>
      </c>
      <c r="D2364" s="80" t="s">
        <v>139</v>
      </c>
      <c r="E2364" s="80" t="s">
        <v>127</v>
      </c>
      <c r="F2364" s="170">
        <v>80</v>
      </c>
    </row>
    <row r="2365" spans="1:6" hidden="1" x14ac:dyDescent="0.25">
      <c r="A2365" s="169">
        <v>43602</v>
      </c>
      <c r="B2365" s="80" t="s">
        <v>1449</v>
      </c>
      <c r="C2365" s="80" t="s">
        <v>138</v>
      </c>
      <c r="D2365" s="80" t="s">
        <v>139</v>
      </c>
      <c r="E2365" s="80" t="s">
        <v>134</v>
      </c>
      <c r="F2365" s="170">
        <v>80</v>
      </c>
    </row>
    <row r="2366" spans="1:6" hidden="1" x14ac:dyDescent="0.25">
      <c r="A2366" s="169">
        <v>43603</v>
      </c>
      <c r="B2366" s="80" t="s">
        <v>1458</v>
      </c>
      <c r="C2366" s="80" t="s">
        <v>123</v>
      </c>
      <c r="D2366" s="80" t="s">
        <v>139</v>
      </c>
      <c r="E2366" s="80" t="s">
        <v>134</v>
      </c>
      <c r="F2366" s="170">
        <v>80</v>
      </c>
    </row>
    <row r="2367" spans="1:6" hidden="1" x14ac:dyDescent="0.25">
      <c r="A2367" s="169">
        <v>43604</v>
      </c>
      <c r="B2367" s="80" t="s">
        <v>1478</v>
      </c>
      <c r="C2367" s="80" t="s">
        <v>119</v>
      </c>
      <c r="D2367" s="80" t="s">
        <v>139</v>
      </c>
      <c r="E2367" s="80" t="s">
        <v>121</v>
      </c>
      <c r="F2367" s="170">
        <v>80</v>
      </c>
    </row>
    <row r="2368" spans="1:6" hidden="1" x14ac:dyDescent="0.25">
      <c r="A2368" s="169">
        <v>43605</v>
      </c>
      <c r="B2368" s="80" t="s">
        <v>1486</v>
      </c>
      <c r="C2368" s="80" t="s">
        <v>164</v>
      </c>
      <c r="D2368" s="80" t="s">
        <v>139</v>
      </c>
      <c r="E2368" s="80" t="s">
        <v>121</v>
      </c>
      <c r="F2368" s="170">
        <v>80</v>
      </c>
    </row>
    <row r="2369" spans="1:6" hidden="1" x14ac:dyDescent="0.25">
      <c r="A2369" s="169">
        <v>43606</v>
      </c>
      <c r="B2369" s="80" t="s">
        <v>1495</v>
      </c>
      <c r="C2369" s="80" t="s">
        <v>145</v>
      </c>
      <c r="D2369" s="80" t="s">
        <v>139</v>
      </c>
      <c r="E2369" s="80" t="s">
        <v>153</v>
      </c>
      <c r="F2369" s="170">
        <v>80</v>
      </c>
    </row>
    <row r="2370" spans="1:6" hidden="1" x14ac:dyDescent="0.25">
      <c r="A2370" s="169">
        <v>43606</v>
      </c>
      <c r="B2370" s="80" t="s">
        <v>1503</v>
      </c>
      <c r="C2370" s="80" t="s">
        <v>182</v>
      </c>
      <c r="D2370" s="80" t="s">
        <v>139</v>
      </c>
      <c r="E2370" s="80" t="s">
        <v>131</v>
      </c>
      <c r="F2370" s="170">
        <v>80</v>
      </c>
    </row>
    <row r="2371" spans="1:6" hidden="1" x14ac:dyDescent="0.25">
      <c r="A2371" s="169">
        <v>43607</v>
      </c>
      <c r="B2371" s="80" t="s">
        <v>1515</v>
      </c>
      <c r="C2371" s="80" t="s">
        <v>182</v>
      </c>
      <c r="D2371" s="80" t="s">
        <v>139</v>
      </c>
      <c r="E2371" s="80" t="s">
        <v>134</v>
      </c>
      <c r="F2371" s="170">
        <v>80</v>
      </c>
    </row>
    <row r="2372" spans="1:6" hidden="1" x14ac:dyDescent="0.25">
      <c r="A2372" s="169">
        <v>43607</v>
      </c>
      <c r="B2372" s="80" t="s">
        <v>1517</v>
      </c>
      <c r="C2372" s="80" t="s">
        <v>148</v>
      </c>
      <c r="D2372" s="80" t="s">
        <v>139</v>
      </c>
      <c r="E2372" s="80" t="s">
        <v>134</v>
      </c>
      <c r="F2372" s="170">
        <v>80</v>
      </c>
    </row>
    <row r="2373" spans="1:6" hidden="1" x14ac:dyDescent="0.25">
      <c r="A2373" s="169">
        <v>43608</v>
      </c>
      <c r="B2373" s="80" t="s">
        <v>1521</v>
      </c>
      <c r="C2373" s="80" t="s">
        <v>143</v>
      </c>
      <c r="D2373" s="80" t="s">
        <v>139</v>
      </c>
      <c r="E2373" s="80" t="s">
        <v>127</v>
      </c>
      <c r="F2373" s="170">
        <v>80</v>
      </c>
    </row>
    <row r="2374" spans="1:6" hidden="1" x14ac:dyDescent="0.25">
      <c r="A2374" s="169">
        <v>43608</v>
      </c>
      <c r="B2374" s="80" t="s">
        <v>1526</v>
      </c>
      <c r="C2374" s="80" t="s">
        <v>145</v>
      </c>
      <c r="D2374" s="80" t="s">
        <v>139</v>
      </c>
      <c r="E2374" s="80" t="s">
        <v>131</v>
      </c>
      <c r="F2374" s="170">
        <v>80</v>
      </c>
    </row>
    <row r="2375" spans="1:6" hidden="1" x14ac:dyDescent="0.25">
      <c r="A2375" s="169">
        <v>43608</v>
      </c>
      <c r="B2375" s="80" t="s">
        <v>1529</v>
      </c>
      <c r="C2375" s="80" t="s">
        <v>123</v>
      </c>
      <c r="D2375" s="80" t="s">
        <v>139</v>
      </c>
      <c r="E2375" s="80" t="s">
        <v>121</v>
      </c>
      <c r="F2375" s="170">
        <v>80</v>
      </c>
    </row>
    <row r="2376" spans="1:6" hidden="1" x14ac:dyDescent="0.25">
      <c r="A2376" s="169">
        <v>43609</v>
      </c>
      <c r="B2376" s="80" t="s">
        <v>1531</v>
      </c>
      <c r="C2376" s="80" t="s">
        <v>148</v>
      </c>
      <c r="D2376" s="80" t="s">
        <v>139</v>
      </c>
      <c r="E2376" s="80" t="s">
        <v>121</v>
      </c>
      <c r="F2376" s="170">
        <v>80</v>
      </c>
    </row>
    <row r="2377" spans="1:6" hidden="1" x14ac:dyDescent="0.25">
      <c r="A2377" s="169">
        <v>43611</v>
      </c>
      <c r="B2377" s="80" t="s">
        <v>1551</v>
      </c>
      <c r="C2377" s="80" t="s">
        <v>143</v>
      </c>
      <c r="D2377" s="80" t="s">
        <v>139</v>
      </c>
      <c r="E2377" s="80" t="s">
        <v>131</v>
      </c>
      <c r="F2377" s="170">
        <v>80</v>
      </c>
    </row>
    <row r="2378" spans="1:6" hidden="1" x14ac:dyDescent="0.25">
      <c r="A2378" s="169">
        <v>43612</v>
      </c>
      <c r="B2378" s="80" t="s">
        <v>1568</v>
      </c>
      <c r="C2378" s="80" t="s">
        <v>164</v>
      </c>
      <c r="D2378" s="80" t="s">
        <v>139</v>
      </c>
      <c r="E2378" s="80" t="s">
        <v>121</v>
      </c>
      <c r="F2378" s="170">
        <v>80</v>
      </c>
    </row>
    <row r="2379" spans="1:6" hidden="1" x14ac:dyDescent="0.25">
      <c r="A2379" s="169">
        <v>43614</v>
      </c>
      <c r="B2379" s="80" t="s">
        <v>1582</v>
      </c>
      <c r="C2379" s="80" t="s">
        <v>129</v>
      </c>
      <c r="D2379" s="80" t="s">
        <v>139</v>
      </c>
      <c r="E2379" s="80" t="s">
        <v>153</v>
      </c>
      <c r="F2379" s="170">
        <v>80</v>
      </c>
    </row>
    <row r="2380" spans="1:6" hidden="1" x14ac:dyDescent="0.25">
      <c r="A2380" s="169">
        <v>43614</v>
      </c>
      <c r="B2380" s="80" t="s">
        <v>1590</v>
      </c>
      <c r="C2380" s="80" t="s">
        <v>145</v>
      </c>
      <c r="D2380" s="80" t="s">
        <v>139</v>
      </c>
      <c r="E2380" s="80" t="s">
        <v>131</v>
      </c>
      <c r="F2380" s="170">
        <v>80</v>
      </c>
    </row>
    <row r="2381" spans="1:6" hidden="1" x14ac:dyDescent="0.25">
      <c r="A2381" s="169">
        <v>43615</v>
      </c>
      <c r="B2381" s="80" t="s">
        <v>1599</v>
      </c>
      <c r="C2381" s="80" t="s">
        <v>223</v>
      </c>
      <c r="D2381" s="80" t="s">
        <v>139</v>
      </c>
      <c r="E2381" s="80" t="s">
        <v>153</v>
      </c>
      <c r="F2381" s="170">
        <v>80</v>
      </c>
    </row>
    <row r="2382" spans="1:6" hidden="1" x14ac:dyDescent="0.25">
      <c r="A2382" s="169">
        <v>43616</v>
      </c>
      <c r="B2382" s="80" t="s">
        <v>1607</v>
      </c>
      <c r="C2382" s="80" t="s">
        <v>182</v>
      </c>
      <c r="D2382" s="80" t="s">
        <v>139</v>
      </c>
      <c r="E2382" s="80" t="s">
        <v>134</v>
      </c>
      <c r="F2382" s="170">
        <v>80</v>
      </c>
    </row>
    <row r="2383" spans="1:6" hidden="1" x14ac:dyDescent="0.25">
      <c r="A2383" s="169">
        <v>43617</v>
      </c>
      <c r="B2383" s="80" t="s">
        <v>1611</v>
      </c>
      <c r="C2383" s="80" t="s">
        <v>164</v>
      </c>
      <c r="D2383" s="80" t="s">
        <v>139</v>
      </c>
      <c r="E2383" s="80" t="s">
        <v>127</v>
      </c>
      <c r="F2383" s="170">
        <v>80</v>
      </c>
    </row>
    <row r="2384" spans="1:6" hidden="1" x14ac:dyDescent="0.25">
      <c r="A2384" s="169">
        <v>43617</v>
      </c>
      <c r="B2384" s="80" t="s">
        <v>1613</v>
      </c>
      <c r="C2384" s="80" t="s">
        <v>223</v>
      </c>
      <c r="D2384" s="80" t="s">
        <v>139</v>
      </c>
      <c r="E2384" s="80" t="s">
        <v>121</v>
      </c>
      <c r="F2384" s="170">
        <v>80</v>
      </c>
    </row>
    <row r="2385" spans="1:6" hidden="1" x14ac:dyDescent="0.25">
      <c r="A2385" s="169">
        <v>43618</v>
      </c>
      <c r="B2385" s="80" t="s">
        <v>1616</v>
      </c>
      <c r="C2385" s="80" t="s">
        <v>152</v>
      </c>
      <c r="D2385" s="80" t="s">
        <v>139</v>
      </c>
      <c r="E2385" s="80" t="s">
        <v>134</v>
      </c>
      <c r="F2385" s="170">
        <v>80</v>
      </c>
    </row>
    <row r="2386" spans="1:6" hidden="1" x14ac:dyDescent="0.25">
      <c r="A2386" s="169">
        <v>43619</v>
      </c>
      <c r="B2386" s="80" t="s">
        <v>1629</v>
      </c>
      <c r="C2386" s="80" t="s">
        <v>145</v>
      </c>
      <c r="D2386" s="80" t="s">
        <v>139</v>
      </c>
      <c r="E2386" s="80" t="s">
        <v>121</v>
      </c>
      <c r="F2386" s="170">
        <v>80</v>
      </c>
    </row>
    <row r="2387" spans="1:6" hidden="1" x14ac:dyDescent="0.25">
      <c r="A2387" s="169">
        <v>43620</v>
      </c>
      <c r="B2387" s="80" t="s">
        <v>1641</v>
      </c>
      <c r="C2387" s="80" t="s">
        <v>223</v>
      </c>
      <c r="D2387" s="80" t="s">
        <v>139</v>
      </c>
      <c r="E2387" s="80" t="s">
        <v>153</v>
      </c>
      <c r="F2387" s="170">
        <v>80</v>
      </c>
    </row>
    <row r="2388" spans="1:6" hidden="1" x14ac:dyDescent="0.25">
      <c r="A2388" s="169">
        <v>43620</v>
      </c>
      <c r="B2388" s="80" t="s">
        <v>1642</v>
      </c>
      <c r="C2388" s="80" t="s">
        <v>157</v>
      </c>
      <c r="D2388" s="80" t="s">
        <v>139</v>
      </c>
      <c r="E2388" s="80" t="s">
        <v>134</v>
      </c>
      <c r="F2388" s="170">
        <v>80</v>
      </c>
    </row>
    <row r="2389" spans="1:6" hidden="1" x14ac:dyDescent="0.25">
      <c r="A2389" s="169">
        <v>43620</v>
      </c>
      <c r="B2389" s="80" t="s">
        <v>1648</v>
      </c>
      <c r="C2389" s="80" t="s">
        <v>152</v>
      </c>
      <c r="D2389" s="80" t="s">
        <v>139</v>
      </c>
      <c r="E2389" s="80" t="s">
        <v>131</v>
      </c>
      <c r="F2389" s="170">
        <v>80</v>
      </c>
    </row>
    <row r="2390" spans="1:6" hidden="1" x14ac:dyDescent="0.25">
      <c r="A2390" s="169">
        <v>43621</v>
      </c>
      <c r="B2390" s="80" t="s">
        <v>1656</v>
      </c>
      <c r="C2390" s="80" t="s">
        <v>136</v>
      </c>
      <c r="D2390" s="80" t="s">
        <v>139</v>
      </c>
      <c r="E2390" s="80" t="s">
        <v>121</v>
      </c>
      <c r="F2390" s="170">
        <v>80</v>
      </c>
    </row>
    <row r="2391" spans="1:6" hidden="1" x14ac:dyDescent="0.25">
      <c r="A2391" s="169">
        <v>43624</v>
      </c>
      <c r="B2391" s="80" t="s">
        <v>1678</v>
      </c>
      <c r="C2391" s="80" t="s">
        <v>138</v>
      </c>
      <c r="D2391" s="80" t="s">
        <v>139</v>
      </c>
      <c r="E2391" s="80" t="s">
        <v>153</v>
      </c>
      <c r="F2391" s="170">
        <v>80</v>
      </c>
    </row>
    <row r="2392" spans="1:6" hidden="1" x14ac:dyDescent="0.25">
      <c r="A2392" s="169">
        <v>43625</v>
      </c>
      <c r="B2392" s="80" t="s">
        <v>1694</v>
      </c>
      <c r="C2392" s="80" t="s">
        <v>129</v>
      </c>
      <c r="D2392" s="80" t="s">
        <v>139</v>
      </c>
      <c r="E2392" s="80" t="s">
        <v>127</v>
      </c>
      <c r="F2392" s="170">
        <v>80</v>
      </c>
    </row>
    <row r="2393" spans="1:6" hidden="1" x14ac:dyDescent="0.25">
      <c r="A2393" s="169">
        <v>43628</v>
      </c>
      <c r="B2393" s="80" t="s">
        <v>1723</v>
      </c>
      <c r="C2393" s="80" t="s">
        <v>167</v>
      </c>
      <c r="D2393" s="80" t="s">
        <v>139</v>
      </c>
      <c r="E2393" s="80" t="s">
        <v>127</v>
      </c>
      <c r="F2393" s="170">
        <v>80</v>
      </c>
    </row>
    <row r="2394" spans="1:6" hidden="1" x14ac:dyDescent="0.25">
      <c r="A2394" s="169">
        <v>43628</v>
      </c>
      <c r="B2394" s="80" t="s">
        <v>1727</v>
      </c>
      <c r="C2394" s="80" t="s">
        <v>129</v>
      </c>
      <c r="D2394" s="80" t="s">
        <v>139</v>
      </c>
      <c r="E2394" s="80" t="s">
        <v>121</v>
      </c>
      <c r="F2394" s="170">
        <v>80</v>
      </c>
    </row>
    <row r="2395" spans="1:6" hidden="1" x14ac:dyDescent="0.25">
      <c r="A2395" s="169">
        <v>43629</v>
      </c>
      <c r="B2395" s="80" t="s">
        <v>1735</v>
      </c>
      <c r="C2395" s="80" t="s">
        <v>189</v>
      </c>
      <c r="D2395" s="80" t="s">
        <v>139</v>
      </c>
      <c r="E2395" s="80" t="s">
        <v>153</v>
      </c>
      <c r="F2395" s="170">
        <v>80</v>
      </c>
    </row>
    <row r="2396" spans="1:6" hidden="1" x14ac:dyDescent="0.25">
      <c r="A2396" s="169">
        <v>43630</v>
      </c>
      <c r="B2396" s="80" t="s">
        <v>1738</v>
      </c>
      <c r="C2396" s="80" t="s">
        <v>164</v>
      </c>
      <c r="D2396" s="80" t="s">
        <v>139</v>
      </c>
      <c r="E2396" s="80" t="s">
        <v>134</v>
      </c>
      <c r="F2396" s="170">
        <v>80</v>
      </c>
    </row>
    <row r="2397" spans="1:6" hidden="1" x14ac:dyDescent="0.25">
      <c r="A2397" s="169">
        <v>43630</v>
      </c>
      <c r="B2397" s="80" t="s">
        <v>1746</v>
      </c>
      <c r="C2397" s="80" t="s">
        <v>223</v>
      </c>
      <c r="D2397" s="80" t="s">
        <v>139</v>
      </c>
      <c r="E2397" s="80" t="s">
        <v>121</v>
      </c>
      <c r="F2397" s="170">
        <v>80</v>
      </c>
    </row>
    <row r="2398" spans="1:6" hidden="1" x14ac:dyDescent="0.25">
      <c r="A2398" s="169">
        <v>43631</v>
      </c>
      <c r="B2398" s="80" t="s">
        <v>1750</v>
      </c>
      <c r="C2398" s="80" t="s">
        <v>189</v>
      </c>
      <c r="D2398" s="80" t="s">
        <v>139</v>
      </c>
      <c r="E2398" s="80" t="s">
        <v>153</v>
      </c>
      <c r="F2398" s="170">
        <v>80</v>
      </c>
    </row>
    <row r="2399" spans="1:6" hidden="1" x14ac:dyDescent="0.25">
      <c r="A2399" s="169">
        <v>43631</v>
      </c>
      <c r="B2399" s="80" t="s">
        <v>1752</v>
      </c>
      <c r="C2399" s="80" t="s">
        <v>157</v>
      </c>
      <c r="D2399" s="80" t="s">
        <v>139</v>
      </c>
      <c r="E2399" s="80" t="s">
        <v>131</v>
      </c>
      <c r="F2399" s="170">
        <v>80</v>
      </c>
    </row>
    <row r="2400" spans="1:6" hidden="1" x14ac:dyDescent="0.25">
      <c r="A2400" s="169">
        <v>43632</v>
      </c>
      <c r="B2400" s="80" t="s">
        <v>1761</v>
      </c>
      <c r="C2400" s="80" t="s">
        <v>223</v>
      </c>
      <c r="D2400" s="80" t="s">
        <v>139</v>
      </c>
      <c r="E2400" s="80" t="s">
        <v>121</v>
      </c>
      <c r="F2400" s="170">
        <v>80</v>
      </c>
    </row>
    <row r="2401" spans="1:6" hidden="1" x14ac:dyDescent="0.25">
      <c r="A2401" s="169">
        <v>43632</v>
      </c>
      <c r="B2401" s="80" t="s">
        <v>1766</v>
      </c>
      <c r="C2401" s="80" t="s">
        <v>129</v>
      </c>
      <c r="D2401" s="80" t="s">
        <v>139</v>
      </c>
      <c r="E2401" s="80" t="s">
        <v>121</v>
      </c>
      <c r="F2401" s="170">
        <v>80</v>
      </c>
    </row>
    <row r="2402" spans="1:6" hidden="1" x14ac:dyDescent="0.25">
      <c r="A2402" s="169">
        <v>43633</v>
      </c>
      <c r="B2402" s="80" t="s">
        <v>1770</v>
      </c>
      <c r="C2402" s="80" t="s">
        <v>119</v>
      </c>
      <c r="D2402" s="80" t="s">
        <v>139</v>
      </c>
      <c r="E2402" s="80" t="s">
        <v>127</v>
      </c>
      <c r="F2402" s="170">
        <v>80</v>
      </c>
    </row>
    <row r="2403" spans="1:6" hidden="1" x14ac:dyDescent="0.25">
      <c r="A2403" s="169">
        <v>43635</v>
      </c>
      <c r="B2403" s="80" t="s">
        <v>1790</v>
      </c>
      <c r="C2403" s="80" t="s">
        <v>223</v>
      </c>
      <c r="D2403" s="80" t="s">
        <v>139</v>
      </c>
      <c r="E2403" s="80" t="s">
        <v>127</v>
      </c>
      <c r="F2403" s="170">
        <v>80</v>
      </c>
    </row>
    <row r="2404" spans="1:6" hidden="1" x14ac:dyDescent="0.25">
      <c r="A2404" s="169">
        <v>43635</v>
      </c>
      <c r="B2404" s="80" t="s">
        <v>1795</v>
      </c>
      <c r="C2404" s="80" t="s">
        <v>187</v>
      </c>
      <c r="D2404" s="80" t="s">
        <v>139</v>
      </c>
      <c r="E2404" s="80" t="s">
        <v>131</v>
      </c>
      <c r="F2404" s="170">
        <v>80</v>
      </c>
    </row>
    <row r="2405" spans="1:6" hidden="1" x14ac:dyDescent="0.25">
      <c r="A2405" s="169">
        <v>43637</v>
      </c>
      <c r="B2405" s="80" t="s">
        <v>1806</v>
      </c>
      <c r="C2405" s="80" t="s">
        <v>223</v>
      </c>
      <c r="D2405" s="80" t="s">
        <v>139</v>
      </c>
      <c r="E2405" s="80" t="s">
        <v>131</v>
      </c>
      <c r="F2405" s="170">
        <v>80</v>
      </c>
    </row>
    <row r="2406" spans="1:6" hidden="1" x14ac:dyDescent="0.25">
      <c r="A2406" s="169">
        <v>43637</v>
      </c>
      <c r="B2406" s="80" t="s">
        <v>1811</v>
      </c>
      <c r="C2406" s="80" t="s">
        <v>167</v>
      </c>
      <c r="D2406" s="80" t="s">
        <v>139</v>
      </c>
      <c r="E2406" s="80" t="s">
        <v>121</v>
      </c>
      <c r="F2406" s="170">
        <v>80</v>
      </c>
    </row>
    <row r="2407" spans="1:6" hidden="1" x14ac:dyDescent="0.25">
      <c r="A2407" s="169">
        <v>43638</v>
      </c>
      <c r="B2407" s="80" t="s">
        <v>1814</v>
      </c>
      <c r="C2407" s="80" t="s">
        <v>143</v>
      </c>
      <c r="D2407" s="80" t="s">
        <v>139</v>
      </c>
      <c r="E2407" s="80" t="s">
        <v>134</v>
      </c>
      <c r="F2407" s="170">
        <v>80</v>
      </c>
    </row>
    <row r="2408" spans="1:6" hidden="1" x14ac:dyDescent="0.25">
      <c r="A2408" s="169">
        <v>43638</v>
      </c>
      <c r="B2408" s="80" t="s">
        <v>1818</v>
      </c>
      <c r="C2408" s="80" t="s">
        <v>136</v>
      </c>
      <c r="D2408" s="80" t="s">
        <v>139</v>
      </c>
      <c r="E2408" s="80" t="s">
        <v>131</v>
      </c>
      <c r="F2408" s="170">
        <v>80</v>
      </c>
    </row>
    <row r="2409" spans="1:6" hidden="1" x14ac:dyDescent="0.25">
      <c r="A2409" s="169">
        <v>43638</v>
      </c>
      <c r="B2409" s="80" t="s">
        <v>1819</v>
      </c>
      <c r="C2409" s="80" t="s">
        <v>182</v>
      </c>
      <c r="D2409" s="80" t="s">
        <v>139</v>
      </c>
      <c r="E2409" s="80" t="s">
        <v>127</v>
      </c>
      <c r="F2409" s="170">
        <v>80</v>
      </c>
    </row>
    <row r="2410" spans="1:6" hidden="1" x14ac:dyDescent="0.25">
      <c r="A2410" s="169">
        <v>43638</v>
      </c>
      <c r="B2410" s="80" t="s">
        <v>1822</v>
      </c>
      <c r="C2410" s="80" t="s">
        <v>136</v>
      </c>
      <c r="D2410" s="80" t="s">
        <v>139</v>
      </c>
      <c r="E2410" s="80" t="s">
        <v>127</v>
      </c>
      <c r="F2410" s="170">
        <v>80</v>
      </c>
    </row>
    <row r="2411" spans="1:6" hidden="1" x14ac:dyDescent="0.25">
      <c r="A2411" s="169">
        <v>43641</v>
      </c>
      <c r="B2411" s="80" t="s">
        <v>1838</v>
      </c>
      <c r="C2411" s="80" t="s">
        <v>157</v>
      </c>
      <c r="D2411" s="80" t="s">
        <v>139</v>
      </c>
      <c r="E2411" s="80" t="s">
        <v>134</v>
      </c>
      <c r="F2411" s="170">
        <v>80</v>
      </c>
    </row>
    <row r="2412" spans="1:6" hidden="1" x14ac:dyDescent="0.25">
      <c r="A2412" s="169">
        <v>43642</v>
      </c>
      <c r="B2412" s="80" t="s">
        <v>1839</v>
      </c>
      <c r="C2412" s="80" t="s">
        <v>145</v>
      </c>
      <c r="D2412" s="80" t="s">
        <v>139</v>
      </c>
      <c r="E2412" s="80" t="s">
        <v>121</v>
      </c>
      <c r="F2412" s="170">
        <v>80</v>
      </c>
    </row>
    <row r="2413" spans="1:6" hidden="1" x14ac:dyDescent="0.25">
      <c r="A2413" s="169">
        <v>43642</v>
      </c>
      <c r="B2413" s="80" t="s">
        <v>1843</v>
      </c>
      <c r="C2413" s="80" t="s">
        <v>125</v>
      </c>
      <c r="D2413" s="80" t="s">
        <v>139</v>
      </c>
      <c r="E2413" s="80" t="s">
        <v>153</v>
      </c>
      <c r="F2413" s="170">
        <v>80</v>
      </c>
    </row>
    <row r="2414" spans="1:6" hidden="1" x14ac:dyDescent="0.25">
      <c r="A2414" s="169">
        <v>43642</v>
      </c>
      <c r="B2414" s="80" t="s">
        <v>1851</v>
      </c>
      <c r="C2414" s="80" t="s">
        <v>157</v>
      </c>
      <c r="D2414" s="80" t="s">
        <v>139</v>
      </c>
      <c r="E2414" s="80" t="s">
        <v>131</v>
      </c>
      <c r="F2414" s="170">
        <v>80</v>
      </c>
    </row>
    <row r="2415" spans="1:6" hidden="1" x14ac:dyDescent="0.25">
      <c r="A2415" s="169">
        <v>43644</v>
      </c>
      <c r="B2415" s="80" t="s">
        <v>1859</v>
      </c>
      <c r="C2415" s="80" t="s">
        <v>148</v>
      </c>
      <c r="D2415" s="80" t="s">
        <v>139</v>
      </c>
      <c r="E2415" s="80" t="s">
        <v>121</v>
      </c>
      <c r="F2415" s="170">
        <v>80</v>
      </c>
    </row>
    <row r="2416" spans="1:6" hidden="1" x14ac:dyDescent="0.25">
      <c r="A2416" s="169">
        <v>43645</v>
      </c>
      <c r="B2416" s="80" t="s">
        <v>1869</v>
      </c>
      <c r="C2416" s="80" t="s">
        <v>148</v>
      </c>
      <c r="D2416" s="80" t="s">
        <v>139</v>
      </c>
      <c r="E2416" s="80" t="s">
        <v>134</v>
      </c>
      <c r="F2416" s="170">
        <v>80</v>
      </c>
    </row>
    <row r="2417" spans="1:6" hidden="1" x14ac:dyDescent="0.25">
      <c r="A2417" s="169">
        <v>43647</v>
      </c>
      <c r="B2417" s="80" t="s">
        <v>1887</v>
      </c>
      <c r="C2417" s="80" t="s">
        <v>164</v>
      </c>
      <c r="D2417" s="80" t="s">
        <v>139</v>
      </c>
      <c r="E2417" s="80" t="s">
        <v>127</v>
      </c>
      <c r="F2417" s="170">
        <v>80</v>
      </c>
    </row>
    <row r="2418" spans="1:6" hidden="1" x14ac:dyDescent="0.25">
      <c r="A2418" s="169">
        <v>43647</v>
      </c>
      <c r="B2418" s="80" t="s">
        <v>1890</v>
      </c>
      <c r="C2418" s="80" t="s">
        <v>123</v>
      </c>
      <c r="D2418" s="80" t="s">
        <v>139</v>
      </c>
      <c r="E2418" s="80" t="s">
        <v>153</v>
      </c>
      <c r="F2418" s="170">
        <v>80</v>
      </c>
    </row>
    <row r="2419" spans="1:6" hidden="1" x14ac:dyDescent="0.25">
      <c r="A2419" s="169">
        <v>43647</v>
      </c>
      <c r="B2419" s="80" t="s">
        <v>1892</v>
      </c>
      <c r="C2419" s="80" t="s">
        <v>148</v>
      </c>
      <c r="D2419" s="80" t="s">
        <v>139</v>
      </c>
      <c r="E2419" s="80" t="s">
        <v>131</v>
      </c>
      <c r="F2419" s="170">
        <v>80</v>
      </c>
    </row>
    <row r="2420" spans="1:6" hidden="1" x14ac:dyDescent="0.25">
      <c r="A2420" s="169">
        <v>43647</v>
      </c>
      <c r="B2420" s="80" t="s">
        <v>1896</v>
      </c>
      <c r="C2420" s="80" t="s">
        <v>167</v>
      </c>
      <c r="D2420" s="80" t="s">
        <v>139</v>
      </c>
      <c r="E2420" s="80" t="s">
        <v>131</v>
      </c>
      <c r="F2420" s="170">
        <v>80</v>
      </c>
    </row>
    <row r="2421" spans="1:6" hidden="1" x14ac:dyDescent="0.25">
      <c r="A2421" s="169">
        <v>43647</v>
      </c>
      <c r="B2421" s="80" t="s">
        <v>1897</v>
      </c>
      <c r="C2421" s="80" t="s">
        <v>143</v>
      </c>
      <c r="D2421" s="80" t="s">
        <v>139</v>
      </c>
      <c r="E2421" s="80" t="s">
        <v>131</v>
      </c>
      <c r="F2421" s="170">
        <v>80</v>
      </c>
    </row>
    <row r="2422" spans="1:6" hidden="1" x14ac:dyDescent="0.25">
      <c r="A2422" s="169">
        <v>43648</v>
      </c>
      <c r="B2422" s="80" t="s">
        <v>1902</v>
      </c>
      <c r="C2422" s="80" t="s">
        <v>119</v>
      </c>
      <c r="D2422" s="80" t="s">
        <v>139</v>
      </c>
      <c r="E2422" s="80" t="s">
        <v>131</v>
      </c>
      <c r="F2422" s="170">
        <v>80</v>
      </c>
    </row>
    <row r="2423" spans="1:6" hidden="1" x14ac:dyDescent="0.25">
      <c r="A2423" s="169">
        <v>43649</v>
      </c>
      <c r="B2423" s="80" t="s">
        <v>1907</v>
      </c>
      <c r="C2423" s="80" t="s">
        <v>223</v>
      </c>
      <c r="D2423" s="80" t="s">
        <v>139</v>
      </c>
      <c r="E2423" s="80" t="s">
        <v>134</v>
      </c>
      <c r="F2423" s="170">
        <v>80</v>
      </c>
    </row>
    <row r="2424" spans="1:6" hidden="1" x14ac:dyDescent="0.25">
      <c r="A2424" s="169">
        <v>43649</v>
      </c>
      <c r="B2424" s="80" t="s">
        <v>1908</v>
      </c>
      <c r="C2424" s="80" t="s">
        <v>167</v>
      </c>
      <c r="D2424" s="80" t="s">
        <v>139</v>
      </c>
      <c r="E2424" s="80" t="s">
        <v>127</v>
      </c>
      <c r="F2424" s="170">
        <v>80</v>
      </c>
    </row>
    <row r="2425" spans="1:6" hidden="1" x14ac:dyDescent="0.25">
      <c r="A2425" s="169">
        <v>43649</v>
      </c>
      <c r="B2425" s="80" t="s">
        <v>1913</v>
      </c>
      <c r="C2425" s="80" t="s">
        <v>138</v>
      </c>
      <c r="D2425" s="80" t="s">
        <v>139</v>
      </c>
      <c r="E2425" s="80" t="s">
        <v>131</v>
      </c>
      <c r="F2425" s="170">
        <v>80</v>
      </c>
    </row>
    <row r="2426" spans="1:6" hidden="1" x14ac:dyDescent="0.25">
      <c r="A2426" s="169">
        <v>43649</v>
      </c>
      <c r="B2426" s="80" t="s">
        <v>1917</v>
      </c>
      <c r="C2426" s="80" t="s">
        <v>157</v>
      </c>
      <c r="D2426" s="80" t="s">
        <v>139</v>
      </c>
      <c r="E2426" s="80" t="s">
        <v>131</v>
      </c>
      <c r="F2426" s="170">
        <v>80</v>
      </c>
    </row>
    <row r="2427" spans="1:6" hidden="1" x14ac:dyDescent="0.25">
      <c r="A2427" s="169">
        <v>43650</v>
      </c>
      <c r="B2427" s="80" t="s">
        <v>1921</v>
      </c>
      <c r="C2427" s="80" t="s">
        <v>129</v>
      </c>
      <c r="D2427" s="80" t="s">
        <v>139</v>
      </c>
      <c r="E2427" s="80" t="s">
        <v>134</v>
      </c>
      <c r="F2427" s="170">
        <v>80</v>
      </c>
    </row>
    <row r="2428" spans="1:6" hidden="1" x14ac:dyDescent="0.25">
      <c r="A2428" s="169">
        <v>43651</v>
      </c>
      <c r="B2428" s="80" t="s">
        <v>1930</v>
      </c>
      <c r="C2428" s="80" t="s">
        <v>123</v>
      </c>
      <c r="D2428" s="80" t="s">
        <v>139</v>
      </c>
      <c r="E2428" s="80" t="s">
        <v>134</v>
      </c>
      <c r="F2428" s="170">
        <v>80</v>
      </c>
    </row>
    <row r="2429" spans="1:6" hidden="1" x14ac:dyDescent="0.25">
      <c r="A2429" s="169">
        <v>43653</v>
      </c>
      <c r="B2429" s="80" t="s">
        <v>1954</v>
      </c>
      <c r="C2429" s="80" t="s">
        <v>123</v>
      </c>
      <c r="D2429" s="80" t="s">
        <v>139</v>
      </c>
      <c r="E2429" s="80" t="s">
        <v>127</v>
      </c>
      <c r="F2429" s="170">
        <v>80</v>
      </c>
    </row>
    <row r="2430" spans="1:6" hidden="1" x14ac:dyDescent="0.25">
      <c r="A2430" s="169">
        <v>43653</v>
      </c>
      <c r="B2430" s="80" t="s">
        <v>1962</v>
      </c>
      <c r="C2430" s="80" t="s">
        <v>148</v>
      </c>
      <c r="D2430" s="80" t="s">
        <v>139</v>
      </c>
      <c r="E2430" s="80" t="s">
        <v>131</v>
      </c>
      <c r="F2430" s="170">
        <v>80</v>
      </c>
    </row>
    <row r="2431" spans="1:6" hidden="1" x14ac:dyDescent="0.25">
      <c r="A2431" s="169">
        <v>43656</v>
      </c>
      <c r="B2431" s="80" t="s">
        <v>1977</v>
      </c>
      <c r="C2431" s="80" t="s">
        <v>182</v>
      </c>
      <c r="D2431" s="80" t="s">
        <v>139</v>
      </c>
      <c r="E2431" s="80" t="s">
        <v>131</v>
      </c>
      <c r="F2431" s="170">
        <v>80</v>
      </c>
    </row>
    <row r="2432" spans="1:6" hidden="1" x14ac:dyDescent="0.25">
      <c r="A2432" s="169">
        <v>43659</v>
      </c>
      <c r="B2432" s="80" t="s">
        <v>2007</v>
      </c>
      <c r="C2432" s="80" t="s">
        <v>167</v>
      </c>
      <c r="D2432" s="80" t="s">
        <v>139</v>
      </c>
      <c r="E2432" s="80" t="s">
        <v>134</v>
      </c>
      <c r="F2432" s="170">
        <v>80</v>
      </c>
    </row>
    <row r="2433" spans="1:6" hidden="1" x14ac:dyDescent="0.25">
      <c r="A2433" s="169">
        <v>43661</v>
      </c>
      <c r="B2433" s="80" t="s">
        <v>2021</v>
      </c>
      <c r="C2433" s="80" t="s">
        <v>136</v>
      </c>
      <c r="D2433" s="80" t="s">
        <v>139</v>
      </c>
      <c r="E2433" s="80" t="s">
        <v>131</v>
      </c>
      <c r="F2433" s="170">
        <v>80</v>
      </c>
    </row>
    <row r="2434" spans="1:6" hidden="1" x14ac:dyDescent="0.25">
      <c r="A2434" s="169">
        <v>43662</v>
      </c>
      <c r="B2434" s="80" t="s">
        <v>2028</v>
      </c>
      <c r="C2434" s="80" t="s">
        <v>167</v>
      </c>
      <c r="D2434" s="80" t="s">
        <v>139</v>
      </c>
      <c r="E2434" s="80" t="s">
        <v>121</v>
      </c>
      <c r="F2434" s="170">
        <v>80</v>
      </c>
    </row>
    <row r="2435" spans="1:6" hidden="1" x14ac:dyDescent="0.25">
      <c r="A2435" s="169">
        <v>43662</v>
      </c>
      <c r="B2435" s="80" t="s">
        <v>2036</v>
      </c>
      <c r="C2435" s="80" t="s">
        <v>125</v>
      </c>
      <c r="D2435" s="80" t="s">
        <v>139</v>
      </c>
      <c r="E2435" s="80" t="s">
        <v>121</v>
      </c>
      <c r="F2435" s="170">
        <v>80</v>
      </c>
    </row>
    <row r="2436" spans="1:6" hidden="1" x14ac:dyDescent="0.25">
      <c r="A2436" s="169">
        <v>43663</v>
      </c>
      <c r="B2436" s="80" t="s">
        <v>2041</v>
      </c>
      <c r="C2436" s="80" t="s">
        <v>143</v>
      </c>
      <c r="D2436" s="80" t="s">
        <v>139</v>
      </c>
      <c r="E2436" s="80" t="s">
        <v>153</v>
      </c>
      <c r="F2436" s="170">
        <v>80</v>
      </c>
    </row>
    <row r="2437" spans="1:6" hidden="1" x14ac:dyDescent="0.25">
      <c r="A2437" s="169">
        <v>43665</v>
      </c>
      <c r="B2437" s="80" t="s">
        <v>2062</v>
      </c>
      <c r="C2437" s="80" t="s">
        <v>123</v>
      </c>
      <c r="D2437" s="80" t="s">
        <v>139</v>
      </c>
      <c r="E2437" s="80" t="s">
        <v>153</v>
      </c>
      <c r="F2437" s="170">
        <v>80</v>
      </c>
    </row>
    <row r="2438" spans="1:6" hidden="1" x14ac:dyDescent="0.25">
      <c r="A2438" s="169">
        <v>43665</v>
      </c>
      <c r="B2438" s="80" t="s">
        <v>2064</v>
      </c>
      <c r="C2438" s="80" t="s">
        <v>129</v>
      </c>
      <c r="D2438" s="80" t="s">
        <v>139</v>
      </c>
      <c r="E2438" s="80" t="s">
        <v>134</v>
      </c>
      <c r="F2438" s="170">
        <v>80</v>
      </c>
    </row>
    <row r="2439" spans="1:6" hidden="1" x14ac:dyDescent="0.25">
      <c r="A2439" s="169">
        <v>43667</v>
      </c>
      <c r="B2439" s="80" t="s">
        <v>2079</v>
      </c>
      <c r="C2439" s="80" t="s">
        <v>152</v>
      </c>
      <c r="D2439" s="80" t="s">
        <v>139</v>
      </c>
      <c r="E2439" s="80" t="s">
        <v>134</v>
      </c>
      <c r="F2439" s="170">
        <v>80</v>
      </c>
    </row>
    <row r="2440" spans="1:6" hidden="1" x14ac:dyDescent="0.25">
      <c r="A2440" s="169">
        <v>43668</v>
      </c>
      <c r="B2440" s="80" t="s">
        <v>2088</v>
      </c>
      <c r="C2440" s="80" t="s">
        <v>143</v>
      </c>
      <c r="D2440" s="80" t="s">
        <v>139</v>
      </c>
      <c r="E2440" s="80" t="s">
        <v>127</v>
      </c>
      <c r="F2440" s="170">
        <v>80</v>
      </c>
    </row>
    <row r="2441" spans="1:6" hidden="1" x14ac:dyDescent="0.25">
      <c r="A2441" s="169">
        <v>43669</v>
      </c>
      <c r="B2441" s="80" t="s">
        <v>2097</v>
      </c>
      <c r="C2441" s="80" t="s">
        <v>119</v>
      </c>
      <c r="D2441" s="80" t="s">
        <v>139</v>
      </c>
      <c r="E2441" s="80" t="s">
        <v>134</v>
      </c>
      <c r="F2441" s="170">
        <v>80</v>
      </c>
    </row>
    <row r="2442" spans="1:6" hidden="1" x14ac:dyDescent="0.25">
      <c r="A2442" s="169">
        <v>43669</v>
      </c>
      <c r="B2442" s="80" t="s">
        <v>2100</v>
      </c>
      <c r="C2442" s="80" t="s">
        <v>182</v>
      </c>
      <c r="D2442" s="80" t="s">
        <v>139</v>
      </c>
      <c r="E2442" s="80" t="s">
        <v>134</v>
      </c>
      <c r="F2442" s="170">
        <v>80</v>
      </c>
    </row>
    <row r="2443" spans="1:6" hidden="1" x14ac:dyDescent="0.25">
      <c r="A2443" s="169">
        <v>43670</v>
      </c>
      <c r="B2443" s="80" t="s">
        <v>2101</v>
      </c>
      <c r="C2443" s="80" t="s">
        <v>182</v>
      </c>
      <c r="D2443" s="80" t="s">
        <v>139</v>
      </c>
      <c r="E2443" s="80" t="s">
        <v>121</v>
      </c>
      <c r="F2443" s="170">
        <v>80</v>
      </c>
    </row>
    <row r="2444" spans="1:6" hidden="1" x14ac:dyDescent="0.25">
      <c r="A2444" s="169">
        <v>43670</v>
      </c>
      <c r="B2444" s="80" t="s">
        <v>2102</v>
      </c>
      <c r="C2444" s="80" t="s">
        <v>182</v>
      </c>
      <c r="D2444" s="80" t="s">
        <v>139</v>
      </c>
      <c r="E2444" s="80" t="s">
        <v>121</v>
      </c>
      <c r="F2444" s="170">
        <v>80</v>
      </c>
    </row>
    <row r="2445" spans="1:6" hidden="1" x14ac:dyDescent="0.25">
      <c r="A2445" s="169">
        <v>43671</v>
      </c>
      <c r="B2445" s="80" t="s">
        <v>2116</v>
      </c>
      <c r="C2445" s="80" t="s">
        <v>119</v>
      </c>
      <c r="D2445" s="80" t="s">
        <v>139</v>
      </c>
      <c r="E2445" s="80" t="s">
        <v>153</v>
      </c>
      <c r="F2445" s="170">
        <v>80</v>
      </c>
    </row>
    <row r="2446" spans="1:6" hidden="1" x14ac:dyDescent="0.25">
      <c r="A2446" s="169">
        <v>43672</v>
      </c>
      <c r="B2446" s="80" t="s">
        <v>2129</v>
      </c>
      <c r="C2446" s="80" t="s">
        <v>182</v>
      </c>
      <c r="D2446" s="80" t="s">
        <v>139</v>
      </c>
      <c r="E2446" s="80" t="s">
        <v>131</v>
      </c>
      <c r="F2446" s="170">
        <v>80</v>
      </c>
    </row>
    <row r="2447" spans="1:6" hidden="1" x14ac:dyDescent="0.25">
      <c r="A2447" s="169">
        <v>43674</v>
      </c>
      <c r="B2447" s="80" t="s">
        <v>2148</v>
      </c>
      <c r="C2447" s="80" t="s">
        <v>129</v>
      </c>
      <c r="D2447" s="80" t="s">
        <v>139</v>
      </c>
      <c r="E2447" s="80" t="s">
        <v>121</v>
      </c>
      <c r="F2447" s="170">
        <v>80</v>
      </c>
    </row>
    <row r="2448" spans="1:6" hidden="1" x14ac:dyDescent="0.25">
      <c r="A2448" s="169">
        <v>43674</v>
      </c>
      <c r="B2448" s="80" t="s">
        <v>2150</v>
      </c>
      <c r="C2448" s="80" t="s">
        <v>143</v>
      </c>
      <c r="D2448" s="80" t="s">
        <v>139</v>
      </c>
      <c r="E2448" s="80" t="s">
        <v>131</v>
      </c>
      <c r="F2448" s="170">
        <v>80</v>
      </c>
    </row>
    <row r="2449" spans="1:6" hidden="1" x14ac:dyDescent="0.25">
      <c r="A2449" s="169">
        <v>43674</v>
      </c>
      <c r="B2449" s="80" t="s">
        <v>2151</v>
      </c>
      <c r="C2449" s="80" t="s">
        <v>125</v>
      </c>
      <c r="D2449" s="80" t="s">
        <v>139</v>
      </c>
      <c r="E2449" s="80" t="s">
        <v>121</v>
      </c>
      <c r="F2449" s="170">
        <v>80</v>
      </c>
    </row>
    <row r="2450" spans="1:6" hidden="1" x14ac:dyDescent="0.25">
      <c r="A2450" s="169">
        <v>43675</v>
      </c>
      <c r="B2450" s="80" t="s">
        <v>2153</v>
      </c>
      <c r="C2450" s="80" t="s">
        <v>125</v>
      </c>
      <c r="D2450" s="80" t="s">
        <v>139</v>
      </c>
      <c r="E2450" s="80" t="s">
        <v>127</v>
      </c>
      <c r="F2450" s="170">
        <v>80</v>
      </c>
    </row>
    <row r="2451" spans="1:6" hidden="1" x14ac:dyDescent="0.25">
      <c r="A2451" s="169">
        <v>43677</v>
      </c>
      <c r="B2451" s="80" t="s">
        <v>2174</v>
      </c>
      <c r="C2451" s="80" t="s">
        <v>125</v>
      </c>
      <c r="D2451" s="80" t="s">
        <v>139</v>
      </c>
      <c r="E2451" s="80" t="s">
        <v>134</v>
      </c>
      <c r="F2451" s="170">
        <v>80</v>
      </c>
    </row>
    <row r="2452" spans="1:6" hidden="1" x14ac:dyDescent="0.25">
      <c r="A2452" s="169">
        <v>43677</v>
      </c>
      <c r="B2452" s="80" t="s">
        <v>2175</v>
      </c>
      <c r="C2452" s="80" t="s">
        <v>157</v>
      </c>
      <c r="D2452" s="80" t="s">
        <v>139</v>
      </c>
      <c r="E2452" s="80" t="s">
        <v>121</v>
      </c>
      <c r="F2452" s="170">
        <v>80</v>
      </c>
    </row>
    <row r="2453" spans="1:6" hidden="1" x14ac:dyDescent="0.25">
      <c r="A2453" s="169">
        <v>43678</v>
      </c>
      <c r="B2453" s="80" t="s">
        <v>2182</v>
      </c>
      <c r="C2453" s="80" t="s">
        <v>152</v>
      </c>
      <c r="D2453" s="80" t="s">
        <v>139</v>
      </c>
      <c r="E2453" s="80" t="s">
        <v>153</v>
      </c>
      <c r="F2453" s="170">
        <v>80</v>
      </c>
    </row>
    <row r="2454" spans="1:6" hidden="1" x14ac:dyDescent="0.25">
      <c r="A2454" s="169">
        <v>43678</v>
      </c>
      <c r="B2454" s="80" t="s">
        <v>2196</v>
      </c>
      <c r="C2454" s="80" t="s">
        <v>167</v>
      </c>
      <c r="D2454" s="80" t="s">
        <v>139</v>
      </c>
      <c r="E2454" s="80" t="s">
        <v>127</v>
      </c>
      <c r="F2454" s="170">
        <v>80</v>
      </c>
    </row>
    <row r="2455" spans="1:6" hidden="1" x14ac:dyDescent="0.25">
      <c r="A2455" s="169">
        <v>43679</v>
      </c>
      <c r="B2455" s="80" t="s">
        <v>2197</v>
      </c>
      <c r="C2455" s="80" t="s">
        <v>136</v>
      </c>
      <c r="D2455" s="80" t="s">
        <v>139</v>
      </c>
      <c r="E2455" s="80" t="s">
        <v>121</v>
      </c>
      <c r="F2455" s="170">
        <v>80</v>
      </c>
    </row>
    <row r="2456" spans="1:6" hidden="1" x14ac:dyDescent="0.25">
      <c r="A2456" s="169">
        <v>43679</v>
      </c>
      <c r="B2456" s="80" t="s">
        <v>2199</v>
      </c>
      <c r="C2456" s="80" t="s">
        <v>164</v>
      </c>
      <c r="D2456" s="80" t="s">
        <v>139</v>
      </c>
      <c r="E2456" s="80" t="s">
        <v>153</v>
      </c>
      <c r="F2456" s="170">
        <v>80</v>
      </c>
    </row>
    <row r="2457" spans="1:6" hidden="1" x14ac:dyDescent="0.25">
      <c r="A2457" s="169">
        <v>43680</v>
      </c>
      <c r="B2457" s="80" t="s">
        <v>2211</v>
      </c>
      <c r="C2457" s="80" t="s">
        <v>138</v>
      </c>
      <c r="D2457" s="80" t="s">
        <v>139</v>
      </c>
      <c r="E2457" s="80" t="s">
        <v>127</v>
      </c>
      <c r="F2457" s="170">
        <v>80</v>
      </c>
    </row>
    <row r="2458" spans="1:6" hidden="1" x14ac:dyDescent="0.25">
      <c r="A2458" s="169">
        <v>43682</v>
      </c>
      <c r="B2458" s="80" t="s">
        <v>2228</v>
      </c>
      <c r="C2458" s="80" t="s">
        <v>152</v>
      </c>
      <c r="D2458" s="80" t="s">
        <v>139</v>
      </c>
      <c r="E2458" s="80" t="s">
        <v>127</v>
      </c>
      <c r="F2458" s="170">
        <v>80</v>
      </c>
    </row>
    <row r="2459" spans="1:6" hidden="1" x14ac:dyDescent="0.25">
      <c r="A2459" s="169">
        <v>43683</v>
      </c>
      <c r="B2459" s="80" t="s">
        <v>2237</v>
      </c>
      <c r="C2459" s="80" t="s">
        <v>119</v>
      </c>
      <c r="D2459" s="80" t="s">
        <v>139</v>
      </c>
      <c r="E2459" s="80" t="s">
        <v>131</v>
      </c>
      <c r="F2459" s="170">
        <v>80</v>
      </c>
    </row>
    <row r="2460" spans="1:6" hidden="1" x14ac:dyDescent="0.25">
      <c r="A2460" s="169">
        <v>43683</v>
      </c>
      <c r="B2460" s="80" t="s">
        <v>2241</v>
      </c>
      <c r="C2460" s="80" t="s">
        <v>157</v>
      </c>
      <c r="D2460" s="80" t="s">
        <v>139</v>
      </c>
      <c r="E2460" s="80" t="s">
        <v>153</v>
      </c>
      <c r="F2460" s="170">
        <v>80</v>
      </c>
    </row>
    <row r="2461" spans="1:6" hidden="1" x14ac:dyDescent="0.25">
      <c r="A2461" s="169">
        <v>43683</v>
      </c>
      <c r="B2461" s="80" t="s">
        <v>2245</v>
      </c>
      <c r="C2461" s="80" t="s">
        <v>123</v>
      </c>
      <c r="D2461" s="80" t="s">
        <v>139</v>
      </c>
      <c r="E2461" s="80" t="s">
        <v>131</v>
      </c>
      <c r="F2461" s="170">
        <v>80</v>
      </c>
    </row>
    <row r="2462" spans="1:6" hidden="1" x14ac:dyDescent="0.25">
      <c r="A2462" s="169">
        <v>43684</v>
      </c>
      <c r="B2462" s="80" t="s">
        <v>2250</v>
      </c>
      <c r="C2462" s="80" t="s">
        <v>145</v>
      </c>
      <c r="D2462" s="80" t="s">
        <v>139</v>
      </c>
      <c r="E2462" s="80" t="s">
        <v>131</v>
      </c>
      <c r="F2462" s="170">
        <v>80</v>
      </c>
    </row>
    <row r="2463" spans="1:6" hidden="1" x14ac:dyDescent="0.25">
      <c r="A2463" s="169">
        <v>43685</v>
      </c>
      <c r="B2463" s="80" t="s">
        <v>2264</v>
      </c>
      <c r="C2463" s="80" t="s">
        <v>119</v>
      </c>
      <c r="D2463" s="80" t="s">
        <v>139</v>
      </c>
      <c r="E2463" s="80" t="s">
        <v>134</v>
      </c>
      <c r="F2463" s="170">
        <v>80</v>
      </c>
    </row>
    <row r="2464" spans="1:6" hidden="1" x14ac:dyDescent="0.25">
      <c r="A2464" s="169">
        <v>43687</v>
      </c>
      <c r="B2464" s="80" t="s">
        <v>2281</v>
      </c>
      <c r="C2464" s="80" t="s">
        <v>123</v>
      </c>
      <c r="D2464" s="80" t="s">
        <v>139</v>
      </c>
      <c r="E2464" s="80" t="s">
        <v>153</v>
      </c>
      <c r="F2464" s="170">
        <v>80</v>
      </c>
    </row>
    <row r="2465" spans="1:6" hidden="1" x14ac:dyDescent="0.25">
      <c r="A2465" s="169">
        <v>43687</v>
      </c>
      <c r="B2465" s="80" t="s">
        <v>2287</v>
      </c>
      <c r="C2465" s="80" t="s">
        <v>157</v>
      </c>
      <c r="D2465" s="80" t="s">
        <v>139</v>
      </c>
      <c r="E2465" s="80" t="s">
        <v>134</v>
      </c>
      <c r="F2465" s="170">
        <v>80</v>
      </c>
    </row>
    <row r="2466" spans="1:6" hidden="1" x14ac:dyDescent="0.25">
      <c r="A2466" s="169">
        <v>43687</v>
      </c>
      <c r="B2466" s="80" t="s">
        <v>2288</v>
      </c>
      <c r="C2466" s="80" t="s">
        <v>182</v>
      </c>
      <c r="D2466" s="80" t="s">
        <v>139</v>
      </c>
      <c r="E2466" s="80" t="s">
        <v>131</v>
      </c>
      <c r="F2466" s="170">
        <v>80</v>
      </c>
    </row>
    <row r="2467" spans="1:6" hidden="1" x14ac:dyDescent="0.25">
      <c r="A2467" s="169">
        <v>43689</v>
      </c>
      <c r="B2467" s="80" t="s">
        <v>2295</v>
      </c>
      <c r="C2467" s="80" t="s">
        <v>167</v>
      </c>
      <c r="D2467" s="80" t="s">
        <v>139</v>
      </c>
      <c r="E2467" s="80" t="s">
        <v>153</v>
      </c>
      <c r="F2467" s="170">
        <v>80</v>
      </c>
    </row>
    <row r="2468" spans="1:6" hidden="1" x14ac:dyDescent="0.25">
      <c r="A2468" s="169">
        <v>43690</v>
      </c>
      <c r="B2468" s="80" t="s">
        <v>2309</v>
      </c>
      <c r="C2468" s="80" t="s">
        <v>136</v>
      </c>
      <c r="D2468" s="80" t="s">
        <v>139</v>
      </c>
      <c r="E2468" s="80" t="s">
        <v>134</v>
      </c>
      <c r="F2468" s="170">
        <v>80</v>
      </c>
    </row>
    <row r="2469" spans="1:6" hidden="1" x14ac:dyDescent="0.25">
      <c r="A2469" s="169">
        <v>43690</v>
      </c>
      <c r="B2469" s="80" t="s">
        <v>2314</v>
      </c>
      <c r="C2469" s="80" t="s">
        <v>189</v>
      </c>
      <c r="D2469" s="80" t="s">
        <v>139</v>
      </c>
      <c r="E2469" s="80" t="s">
        <v>131</v>
      </c>
      <c r="F2469" s="170">
        <v>80</v>
      </c>
    </row>
    <row r="2470" spans="1:6" hidden="1" x14ac:dyDescent="0.25">
      <c r="A2470" s="169">
        <v>43691</v>
      </c>
      <c r="B2470" s="80" t="s">
        <v>2317</v>
      </c>
      <c r="C2470" s="80" t="s">
        <v>123</v>
      </c>
      <c r="D2470" s="80" t="s">
        <v>139</v>
      </c>
      <c r="E2470" s="80" t="s">
        <v>153</v>
      </c>
      <c r="F2470" s="170">
        <v>80</v>
      </c>
    </row>
    <row r="2471" spans="1:6" hidden="1" x14ac:dyDescent="0.25">
      <c r="A2471" s="169">
        <v>43692</v>
      </c>
      <c r="B2471" s="80" t="s">
        <v>2328</v>
      </c>
      <c r="C2471" s="80" t="s">
        <v>223</v>
      </c>
      <c r="D2471" s="80" t="s">
        <v>139</v>
      </c>
      <c r="E2471" s="80" t="s">
        <v>131</v>
      </c>
      <c r="F2471" s="170">
        <v>80</v>
      </c>
    </row>
    <row r="2472" spans="1:6" hidden="1" x14ac:dyDescent="0.25">
      <c r="A2472" s="169">
        <v>43693</v>
      </c>
      <c r="B2472" s="80" t="s">
        <v>2336</v>
      </c>
      <c r="C2472" s="80" t="s">
        <v>223</v>
      </c>
      <c r="D2472" s="80" t="s">
        <v>139</v>
      </c>
      <c r="E2472" s="80" t="s">
        <v>131</v>
      </c>
      <c r="F2472" s="170">
        <v>80</v>
      </c>
    </row>
    <row r="2473" spans="1:6" hidden="1" x14ac:dyDescent="0.25">
      <c r="A2473" s="169">
        <v>43694</v>
      </c>
      <c r="B2473" s="80" t="s">
        <v>2355</v>
      </c>
      <c r="C2473" s="80" t="s">
        <v>136</v>
      </c>
      <c r="D2473" s="80" t="s">
        <v>139</v>
      </c>
      <c r="E2473" s="80" t="s">
        <v>134</v>
      </c>
      <c r="F2473" s="170">
        <v>80</v>
      </c>
    </row>
    <row r="2474" spans="1:6" hidden="1" x14ac:dyDescent="0.25">
      <c r="A2474" s="169">
        <v>43694</v>
      </c>
      <c r="B2474" s="80" t="s">
        <v>2360</v>
      </c>
      <c r="C2474" s="80" t="s">
        <v>164</v>
      </c>
      <c r="D2474" s="80" t="s">
        <v>139</v>
      </c>
      <c r="E2474" s="80" t="s">
        <v>134</v>
      </c>
      <c r="F2474" s="170">
        <v>80</v>
      </c>
    </row>
    <row r="2475" spans="1:6" hidden="1" x14ac:dyDescent="0.25">
      <c r="A2475" s="169">
        <v>43695</v>
      </c>
      <c r="B2475" s="80" t="s">
        <v>2370</v>
      </c>
      <c r="C2475" s="80" t="s">
        <v>125</v>
      </c>
      <c r="D2475" s="80" t="s">
        <v>139</v>
      </c>
      <c r="E2475" s="80" t="s">
        <v>127</v>
      </c>
      <c r="F2475" s="170">
        <v>80</v>
      </c>
    </row>
    <row r="2476" spans="1:6" hidden="1" x14ac:dyDescent="0.25">
      <c r="A2476" s="169">
        <v>43697</v>
      </c>
      <c r="B2476" s="80" t="s">
        <v>2379</v>
      </c>
      <c r="C2476" s="80" t="s">
        <v>125</v>
      </c>
      <c r="D2476" s="80" t="s">
        <v>139</v>
      </c>
      <c r="E2476" s="80" t="s">
        <v>134</v>
      </c>
      <c r="F2476" s="170">
        <v>80</v>
      </c>
    </row>
    <row r="2477" spans="1:6" hidden="1" x14ac:dyDescent="0.25">
      <c r="A2477" s="169">
        <v>43697</v>
      </c>
      <c r="B2477" s="80" t="s">
        <v>2380</v>
      </c>
      <c r="C2477" s="80" t="s">
        <v>145</v>
      </c>
      <c r="D2477" s="80" t="s">
        <v>139</v>
      </c>
      <c r="E2477" s="80" t="s">
        <v>121</v>
      </c>
      <c r="F2477" s="170">
        <v>80</v>
      </c>
    </row>
    <row r="2478" spans="1:6" hidden="1" x14ac:dyDescent="0.25">
      <c r="A2478" s="169">
        <v>43697</v>
      </c>
      <c r="B2478" s="80" t="s">
        <v>2384</v>
      </c>
      <c r="C2478" s="80" t="s">
        <v>182</v>
      </c>
      <c r="D2478" s="80" t="s">
        <v>139</v>
      </c>
      <c r="E2478" s="80" t="s">
        <v>121</v>
      </c>
      <c r="F2478" s="170">
        <v>80</v>
      </c>
    </row>
    <row r="2479" spans="1:6" hidden="1" x14ac:dyDescent="0.25">
      <c r="A2479" s="169">
        <v>43697</v>
      </c>
      <c r="B2479" s="80" t="s">
        <v>2385</v>
      </c>
      <c r="C2479" s="80" t="s">
        <v>145</v>
      </c>
      <c r="D2479" s="80" t="s">
        <v>139</v>
      </c>
      <c r="E2479" s="80" t="s">
        <v>153</v>
      </c>
      <c r="F2479" s="170">
        <v>80</v>
      </c>
    </row>
    <row r="2480" spans="1:6" hidden="1" x14ac:dyDescent="0.25">
      <c r="A2480" s="169">
        <v>43697</v>
      </c>
      <c r="B2480" s="80" t="s">
        <v>2386</v>
      </c>
      <c r="C2480" s="80" t="s">
        <v>189</v>
      </c>
      <c r="D2480" s="80" t="s">
        <v>139</v>
      </c>
      <c r="E2480" s="80" t="s">
        <v>121</v>
      </c>
      <c r="F2480" s="170">
        <v>80</v>
      </c>
    </row>
    <row r="2481" spans="1:6" hidden="1" x14ac:dyDescent="0.25">
      <c r="A2481" s="169">
        <v>43698</v>
      </c>
      <c r="B2481" s="80" t="s">
        <v>2395</v>
      </c>
      <c r="C2481" s="80" t="s">
        <v>152</v>
      </c>
      <c r="D2481" s="80" t="s">
        <v>139</v>
      </c>
      <c r="E2481" s="80" t="s">
        <v>121</v>
      </c>
      <c r="F2481" s="170">
        <v>80</v>
      </c>
    </row>
    <row r="2482" spans="1:6" hidden="1" x14ac:dyDescent="0.25">
      <c r="A2482" s="169">
        <v>43701</v>
      </c>
      <c r="B2482" s="80" t="s">
        <v>2412</v>
      </c>
      <c r="C2482" s="80" t="s">
        <v>125</v>
      </c>
      <c r="D2482" s="80" t="s">
        <v>139</v>
      </c>
      <c r="E2482" s="80" t="s">
        <v>127</v>
      </c>
      <c r="F2482" s="170">
        <v>80</v>
      </c>
    </row>
    <row r="2483" spans="1:6" hidden="1" x14ac:dyDescent="0.25">
      <c r="A2483" s="169">
        <v>43702</v>
      </c>
      <c r="B2483" s="80" t="s">
        <v>2417</v>
      </c>
      <c r="C2483" s="80" t="s">
        <v>152</v>
      </c>
      <c r="D2483" s="80" t="s">
        <v>139</v>
      </c>
      <c r="E2483" s="80" t="s">
        <v>131</v>
      </c>
      <c r="F2483" s="170">
        <v>80</v>
      </c>
    </row>
    <row r="2484" spans="1:6" hidden="1" x14ac:dyDescent="0.25">
      <c r="A2484" s="169">
        <v>43702</v>
      </c>
      <c r="B2484" s="80" t="s">
        <v>2418</v>
      </c>
      <c r="C2484" s="80" t="s">
        <v>129</v>
      </c>
      <c r="D2484" s="80" t="s">
        <v>139</v>
      </c>
      <c r="E2484" s="80" t="s">
        <v>134</v>
      </c>
      <c r="F2484" s="170">
        <v>80</v>
      </c>
    </row>
    <row r="2485" spans="1:6" hidden="1" x14ac:dyDescent="0.25">
      <c r="A2485" s="169">
        <v>43702</v>
      </c>
      <c r="B2485" s="80" t="s">
        <v>2423</v>
      </c>
      <c r="C2485" s="80" t="s">
        <v>167</v>
      </c>
      <c r="D2485" s="80" t="s">
        <v>139</v>
      </c>
      <c r="E2485" s="80" t="s">
        <v>153</v>
      </c>
      <c r="F2485" s="170">
        <v>80</v>
      </c>
    </row>
    <row r="2486" spans="1:6" hidden="1" x14ac:dyDescent="0.25">
      <c r="A2486" s="169">
        <v>43703</v>
      </c>
      <c r="B2486" s="80" t="s">
        <v>2440</v>
      </c>
      <c r="C2486" s="80" t="s">
        <v>187</v>
      </c>
      <c r="D2486" s="80" t="s">
        <v>139</v>
      </c>
      <c r="E2486" s="80" t="s">
        <v>127</v>
      </c>
      <c r="F2486" s="170">
        <v>80</v>
      </c>
    </row>
    <row r="2487" spans="1:6" hidden="1" x14ac:dyDescent="0.25">
      <c r="A2487" s="169">
        <v>43704</v>
      </c>
      <c r="B2487" s="80" t="s">
        <v>2443</v>
      </c>
      <c r="C2487" s="80" t="s">
        <v>164</v>
      </c>
      <c r="D2487" s="80" t="s">
        <v>139</v>
      </c>
      <c r="E2487" s="80" t="s">
        <v>131</v>
      </c>
      <c r="F2487" s="170">
        <v>80</v>
      </c>
    </row>
    <row r="2488" spans="1:6" hidden="1" x14ac:dyDescent="0.25">
      <c r="A2488" s="169">
        <v>43704</v>
      </c>
      <c r="B2488" s="80" t="s">
        <v>2444</v>
      </c>
      <c r="C2488" s="80" t="s">
        <v>189</v>
      </c>
      <c r="D2488" s="80" t="s">
        <v>139</v>
      </c>
      <c r="E2488" s="80" t="s">
        <v>131</v>
      </c>
      <c r="F2488" s="170">
        <v>80</v>
      </c>
    </row>
    <row r="2489" spans="1:6" hidden="1" x14ac:dyDescent="0.25">
      <c r="A2489" s="169">
        <v>43705</v>
      </c>
      <c r="B2489" s="80" t="s">
        <v>2459</v>
      </c>
      <c r="C2489" s="80" t="s">
        <v>182</v>
      </c>
      <c r="D2489" s="80" t="s">
        <v>139</v>
      </c>
      <c r="E2489" s="80" t="s">
        <v>127</v>
      </c>
      <c r="F2489" s="170">
        <v>80</v>
      </c>
    </row>
    <row r="2490" spans="1:6" hidden="1" x14ac:dyDescent="0.25">
      <c r="A2490" s="169">
        <v>43705</v>
      </c>
      <c r="B2490" s="80" t="s">
        <v>2460</v>
      </c>
      <c r="C2490" s="80" t="s">
        <v>145</v>
      </c>
      <c r="D2490" s="80" t="s">
        <v>139</v>
      </c>
      <c r="E2490" s="80" t="s">
        <v>127</v>
      </c>
      <c r="F2490" s="170">
        <v>80</v>
      </c>
    </row>
    <row r="2491" spans="1:6" hidden="1" x14ac:dyDescent="0.25">
      <c r="A2491" s="169">
        <v>43706</v>
      </c>
      <c r="B2491" s="80" t="s">
        <v>2463</v>
      </c>
      <c r="C2491" s="80" t="s">
        <v>187</v>
      </c>
      <c r="D2491" s="80" t="s">
        <v>139</v>
      </c>
      <c r="E2491" s="80" t="s">
        <v>121</v>
      </c>
      <c r="F2491" s="170">
        <v>80</v>
      </c>
    </row>
    <row r="2492" spans="1:6" hidden="1" x14ac:dyDescent="0.25">
      <c r="A2492" s="169">
        <v>43707</v>
      </c>
      <c r="B2492" s="80" t="s">
        <v>2476</v>
      </c>
      <c r="C2492" s="80" t="s">
        <v>119</v>
      </c>
      <c r="D2492" s="80" t="s">
        <v>139</v>
      </c>
      <c r="E2492" s="80" t="s">
        <v>131</v>
      </c>
      <c r="F2492" s="170">
        <v>80</v>
      </c>
    </row>
    <row r="2493" spans="1:6" hidden="1" x14ac:dyDescent="0.25">
      <c r="A2493" s="169">
        <v>43711</v>
      </c>
      <c r="B2493" s="80" t="s">
        <v>2511</v>
      </c>
      <c r="C2493" s="80" t="s">
        <v>129</v>
      </c>
      <c r="D2493" s="80" t="s">
        <v>139</v>
      </c>
      <c r="E2493" s="80" t="s">
        <v>121</v>
      </c>
      <c r="F2493" s="170">
        <v>80</v>
      </c>
    </row>
    <row r="2494" spans="1:6" hidden="1" x14ac:dyDescent="0.25">
      <c r="A2494" s="169">
        <v>43711</v>
      </c>
      <c r="B2494" s="80" t="s">
        <v>2521</v>
      </c>
      <c r="C2494" s="80" t="s">
        <v>136</v>
      </c>
      <c r="D2494" s="80" t="s">
        <v>139</v>
      </c>
      <c r="E2494" s="80" t="s">
        <v>153</v>
      </c>
      <c r="F2494" s="170">
        <v>80</v>
      </c>
    </row>
    <row r="2495" spans="1:6" hidden="1" x14ac:dyDescent="0.25">
      <c r="A2495" s="169">
        <v>43712</v>
      </c>
      <c r="B2495" s="80" t="s">
        <v>2524</v>
      </c>
      <c r="C2495" s="80" t="s">
        <v>145</v>
      </c>
      <c r="D2495" s="80" t="s">
        <v>139</v>
      </c>
      <c r="E2495" s="80" t="s">
        <v>153</v>
      </c>
      <c r="F2495" s="170">
        <v>80</v>
      </c>
    </row>
    <row r="2496" spans="1:6" hidden="1" x14ac:dyDescent="0.25">
      <c r="A2496" s="169">
        <v>43712</v>
      </c>
      <c r="B2496" s="80" t="s">
        <v>2528</v>
      </c>
      <c r="C2496" s="80" t="s">
        <v>189</v>
      </c>
      <c r="D2496" s="80" t="s">
        <v>139</v>
      </c>
      <c r="E2496" s="80" t="s">
        <v>134</v>
      </c>
      <c r="F2496" s="170">
        <v>80</v>
      </c>
    </row>
    <row r="2497" spans="1:6" hidden="1" x14ac:dyDescent="0.25">
      <c r="A2497" s="169">
        <v>43715</v>
      </c>
      <c r="B2497" s="80" t="s">
        <v>2546</v>
      </c>
      <c r="C2497" s="80" t="s">
        <v>148</v>
      </c>
      <c r="D2497" s="80" t="s">
        <v>139</v>
      </c>
      <c r="E2497" s="80" t="s">
        <v>121</v>
      </c>
      <c r="F2497" s="170">
        <v>80</v>
      </c>
    </row>
    <row r="2498" spans="1:6" hidden="1" x14ac:dyDescent="0.25">
      <c r="A2498" s="169">
        <v>43717</v>
      </c>
      <c r="B2498" s="80" t="s">
        <v>2562</v>
      </c>
      <c r="C2498" s="80" t="s">
        <v>189</v>
      </c>
      <c r="D2498" s="80" t="s">
        <v>139</v>
      </c>
      <c r="E2498" s="80" t="s">
        <v>153</v>
      </c>
      <c r="F2498" s="170">
        <v>80</v>
      </c>
    </row>
    <row r="2499" spans="1:6" hidden="1" x14ac:dyDescent="0.25">
      <c r="A2499" s="169">
        <v>43717</v>
      </c>
      <c r="B2499" s="80" t="s">
        <v>2564</v>
      </c>
      <c r="C2499" s="80" t="s">
        <v>148</v>
      </c>
      <c r="D2499" s="80" t="s">
        <v>139</v>
      </c>
      <c r="E2499" s="80" t="s">
        <v>121</v>
      </c>
      <c r="F2499" s="170">
        <v>80</v>
      </c>
    </row>
    <row r="2500" spans="1:6" hidden="1" x14ac:dyDescent="0.25">
      <c r="A2500" s="169">
        <v>43717</v>
      </c>
      <c r="B2500" s="80" t="s">
        <v>2567</v>
      </c>
      <c r="C2500" s="80" t="s">
        <v>129</v>
      </c>
      <c r="D2500" s="80" t="s">
        <v>139</v>
      </c>
      <c r="E2500" s="80" t="s">
        <v>121</v>
      </c>
      <c r="F2500" s="170">
        <v>80</v>
      </c>
    </row>
    <row r="2501" spans="1:6" hidden="1" x14ac:dyDescent="0.25">
      <c r="A2501" s="169">
        <v>43717</v>
      </c>
      <c r="B2501" s="80" t="s">
        <v>2568</v>
      </c>
      <c r="C2501" s="80" t="s">
        <v>145</v>
      </c>
      <c r="D2501" s="80" t="s">
        <v>139</v>
      </c>
      <c r="E2501" s="80" t="s">
        <v>134</v>
      </c>
      <c r="F2501" s="170">
        <v>80</v>
      </c>
    </row>
    <row r="2502" spans="1:6" hidden="1" x14ac:dyDescent="0.25">
      <c r="A2502" s="169">
        <v>43717</v>
      </c>
      <c r="B2502" s="80" t="s">
        <v>2570</v>
      </c>
      <c r="C2502" s="80" t="s">
        <v>123</v>
      </c>
      <c r="D2502" s="80" t="s">
        <v>139</v>
      </c>
      <c r="E2502" s="80" t="s">
        <v>134</v>
      </c>
      <c r="F2502" s="170">
        <v>80</v>
      </c>
    </row>
    <row r="2503" spans="1:6" hidden="1" x14ac:dyDescent="0.25">
      <c r="A2503" s="169">
        <v>43720</v>
      </c>
      <c r="B2503" s="80" t="s">
        <v>2590</v>
      </c>
      <c r="C2503" s="80" t="s">
        <v>189</v>
      </c>
      <c r="D2503" s="80" t="s">
        <v>139</v>
      </c>
      <c r="E2503" s="80" t="s">
        <v>127</v>
      </c>
      <c r="F2503" s="170">
        <v>80</v>
      </c>
    </row>
    <row r="2504" spans="1:6" hidden="1" x14ac:dyDescent="0.25">
      <c r="A2504" s="169">
        <v>43721</v>
      </c>
      <c r="B2504" s="80" t="s">
        <v>2599</v>
      </c>
      <c r="C2504" s="80" t="s">
        <v>119</v>
      </c>
      <c r="D2504" s="80" t="s">
        <v>139</v>
      </c>
      <c r="E2504" s="80" t="s">
        <v>127</v>
      </c>
      <c r="F2504" s="170">
        <v>80</v>
      </c>
    </row>
    <row r="2505" spans="1:6" hidden="1" x14ac:dyDescent="0.25">
      <c r="A2505" s="169">
        <v>43723</v>
      </c>
      <c r="B2505" s="80" t="s">
        <v>2609</v>
      </c>
      <c r="C2505" s="80" t="s">
        <v>119</v>
      </c>
      <c r="D2505" s="80" t="s">
        <v>139</v>
      </c>
      <c r="E2505" s="80" t="s">
        <v>121</v>
      </c>
      <c r="F2505" s="170">
        <v>80</v>
      </c>
    </row>
    <row r="2506" spans="1:6" hidden="1" x14ac:dyDescent="0.25">
      <c r="A2506" s="169">
        <v>43723</v>
      </c>
      <c r="B2506" s="80" t="s">
        <v>2611</v>
      </c>
      <c r="C2506" s="80" t="s">
        <v>138</v>
      </c>
      <c r="D2506" s="80" t="s">
        <v>139</v>
      </c>
      <c r="E2506" s="80" t="s">
        <v>131</v>
      </c>
      <c r="F2506" s="170">
        <v>80</v>
      </c>
    </row>
    <row r="2507" spans="1:6" hidden="1" x14ac:dyDescent="0.25">
      <c r="A2507" s="169">
        <v>43724</v>
      </c>
      <c r="B2507" s="80" t="s">
        <v>2615</v>
      </c>
      <c r="C2507" s="80" t="s">
        <v>119</v>
      </c>
      <c r="D2507" s="80" t="s">
        <v>139</v>
      </c>
      <c r="E2507" s="80" t="s">
        <v>131</v>
      </c>
      <c r="F2507" s="170">
        <v>80</v>
      </c>
    </row>
    <row r="2508" spans="1:6" hidden="1" x14ac:dyDescent="0.25">
      <c r="A2508" s="169">
        <v>43724</v>
      </c>
      <c r="B2508" s="80" t="s">
        <v>2625</v>
      </c>
      <c r="C2508" s="80" t="s">
        <v>182</v>
      </c>
      <c r="D2508" s="80" t="s">
        <v>139</v>
      </c>
      <c r="E2508" s="80" t="s">
        <v>134</v>
      </c>
      <c r="F2508" s="170">
        <v>80</v>
      </c>
    </row>
    <row r="2509" spans="1:6" hidden="1" x14ac:dyDescent="0.25">
      <c r="A2509" s="169">
        <v>43725</v>
      </c>
      <c r="B2509" s="80" t="s">
        <v>2630</v>
      </c>
      <c r="C2509" s="80" t="s">
        <v>119</v>
      </c>
      <c r="D2509" s="80" t="s">
        <v>139</v>
      </c>
      <c r="E2509" s="80" t="s">
        <v>121</v>
      </c>
      <c r="F2509" s="170">
        <v>80</v>
      </c>
    </row>
    <row r="2510" spans="1:6" hidden="1" x14ac:dyDescent="0.25">
      <c r="A2510" s="169">
        <v>43726</v>
      </c>
      <c r="B2510" s="80" t="s">
        <v>2642</v>
      </c>
      <c r="C2510" s="80" t="s">
        <v>152</v>
      </c>
      <c r="D2510" s="80" t="s">
        <v>139</v>
      </c>
      <c r="E2510" s="80" t="s">
        <v>127</v>
      </c>
      <c r="F2510" s="170">
        <v>80</v>
      </c>
    </row>
    <row r="2511" spans="1:6" hidden="1" x14ac:dyDescent="0.25">
      <c r="A2511" s="169">
        <v>43727</v>
      </c>
      <c r="B2511" s="80" t="s">
        <v>2647</v>
      </c>
      <c r="C2511" s="80" t="s">
        <v>145</v>
      </c>
      <c r="D2511" s="80" t="s">
        <v>139</v>
      </c>
      <c r="E2511" s="80" t="s">
        <v>134</v>
      </c>
      <c r="F2511" s="170">
        <v>80</v>
      </c>
    </row>
    <row r="2512" spans="1:6" hidden="1" x14ac:dyDescent="0.25">
      <c r="A2512" s="169">
        <v>43728</v>
      </c>
      <c r="B2512" s="80" t="s">
        <v>2653</v>
      </c>
      <c r="C2512" s="80" t="s">
        <v>129</v>
      </c>
      <c r="D2512" s="80" t="s">
        <v>139</v>
      </c>
      <c r="E2512" s="80" t="s">
        <v>121</v>
      </c>
      <c r="F2512" s="170">
        <v>80</v>
      </c>
    </row>
    <row r="2513" spans="1:6" hidden="1" x14ac:dyDescent="0.25">
      <c r="A2513" s="169">
        <v>43728</v>
      </c>
      <c r="B2513" s="80" t="s">
        <v>2660</v>
      </c>
      <c r="C2513" s="80" t="s">
        <v>189</v>
      </c>
      <c r="D2513" s="80" t="s">
        <v>139</v>
      </c>
      <c r="E2513" s="80" t="s">
        <v>131</v>
      </c>
      <c r="F2513" s="170">
        <v>80</v>
      </c>
    </row>
    <row r="2514" spans="1:6" hidden="1" x14ac:dyDescent="0.25">
      <c r="A2514" s="169">
        <v>43728</v>
      </c>
      <c r="B2514" s="80" t="s">
        <v>2662</v>
      </c>
      <c r="C2514" s="80" t="s">
        <v>138</v>
      </c>
      <c r="D2514" s="80" t="s">
        <v>139</v>
      </c>
      <c r="E2514" s="80" t="s">
        <v>127</v>
      </c>
      <c r="F2514" s="170">
        <v>80</v>
      </c>
    </row>
    <row r="2515" spans="1:6" hidden="1" x14ac:dyDescent="0.25">
      <c r="A2515" s="169">
        <v>43729</v>
      </c>
      <c r="B2515" s="80" t="s">
        <v>2669</v>
      </c>
      <c r="C2515" s="80" t="s">
        <v>157</v>
      </c>
      <c r="D2515" s="80" t="s">
        <v>139</v>
      </c>
      <c r="E2515" s="80" t="s">
        <v>121</v>
      </c>
      <c r="F2515" s="170">
        <v>80</v>
      </c>
    </row>
    <row r="2516" spans="1:6" hidden="1" x14ac:dyDescent="0.25">
      <c r="A2516" s="169">
        <v>43730</v>
      </c>
      <c r="B2516" s="80" t="s">
        <v>2676</v>
      </c>
      <c r="C2516" s="80" t="s">
        <v>123</v>
      </c>
      <c r="D2516" s="80" t="s">
        <v>139</v>
      </c>
      <c r="E2516" s="80" t="s">
        <v>153</v>
      </c>
      <c r="F2516" s="170">
        <v>80</v>
      </c>
    </row>
    <row r="2517" spans="1:6" hidden="1" x14ac:dyDescent="0.25">
      <c r="A2517" s="169">
        <v>43731</v>
      </c>
      <c r="B2517" s="80" t="s">
        <v>2687</v>
      </c>
      <c r="C2517" s="80" t="s">
        <v>164</v>
      </c>
      <c r="D2517" s="80" t="s">
        <v>139</v>
      </c>
      <c r="E2517" s="80" t="s">
        <v>131</v>
      </c>
      <c r="F2517" s="170">
        <v>80</v>
      </c>
    </row>
    <row r="2518" spans="1:6" hidden="1" x14ac:dyDescent="0.25">
      <c r="A2518" s="169">
        <v>43732</v>
      </c>
      <c r="B2518" s="80" t="s">
        <v>2696</v>
      </c>
      <c r="C2518" s="80" t="s">
        <v>189</v>
      </c>
      <c r="D2518" s="80" t="s">
        <v>139</v>
      </c>
      <c r="E2518" s="80" t="s">
        <v>121</v>
      </c>
      <c r="F2518" s="170">
        <v>80</v>
      </c>
    </row>
    <row r="2519" spans="1:6" hidden="1" x14ac:dyDescent="0.25">
      <c r="A2519" s="169">
        <v>43732</v>
      </c>
      <c r="B2519" s="80" t="s">
        <v>2698</v>
      </c>
      <c r="C2519" s="80" t="s">
        <v>189</v>
      </c>
      <c r="D2519" s="80" t="s">
        <v>139</v>
      </c>
      <c r="E2519" s="80" t="s">
        <v>153</v>
      </c>
      <c r="F2519" s="170">
        <v>80</v>
      </c>
    </row>
    <row r="2520" spans="1:6" hidden="1" x14ac:dyDescent="0.25">
      <c r="A2520" s="169">
        <v>43732</v>
      </c>
      <c r="B2520" s="80" t="s">
        <v>2699</v>
      </c>
      <c r="C2520" s="80" t="s">
        <v>152</v>
      </c>
      <c r="D2520" s="80" t="s">
        <v>139</v>
      </c>
      <c r="E2520" s="80" t="s">
        <v>121</v>
      </c>
      <c r="F2520" s="170">
        <v>80</v>
      </c>
    </row>
    <row r="2521" spans="1:6" hidden="1" x14ac:dyDescent="0.25">
      <c r="A2521" s="169">
        <v>43733</v>
      </c>
      <c r="B2521" s="80" t="s">
        <v>2709</v>
      </c>
      <c r="C2521" s="80" t="s">
        <v>223</v>
      </c>
      <c r="D2521" s="80" t="s">
        <v>139</v>
      </c>
      <c r="E2521" s="80" t="s">
        <v>127</v>
      </c>
      <c r="F2521" s="170">
        <v>80</v>
      </c>
    </row>
    <row r="2522" spans="1:6" hidden="1" x14ac:dyDescent="0.25">
      <c r="A2522" s="169">
        <v>43735</v>
      </c>
      <c r="B2522" s="80" t="s">
        <v>2733</v>
      </c>
      <c r="C2522" s="80" t="s">
        <v>187</v>
      </c>
      <c r="D2522" s="80" t="s">
        <v>139</v>
      </c>
      <c r="E2522" s="80" t="s">
        <v>131</v>
      </c>
      <c r="F2522" s="170">
        <v>80</v>
      </c>
    </row>
    <row r="2523" spans="1:6" hidden="1" x14ac:dyDescent="0.25">
      <c r="A2523" s="169">
        <v>43736</v>
      </c>
      <c r="B2523" s="80" t="s">
        <v>2742</v>
      </c>
      <c r="C2523" s="80" t="s">
        <v>182</v>
      </c>
      <c r="D2523" s="80" t="s">
        <v>139</v>
      </c>
      <c r="E2523" s="80" t="s">
        <v>134</v>
      </c>
      <c r="F2523" s="170">
        <v>80</v>
      </c>
    </row>
    <row r="2524" spans="1:6" hidden="1" x14ac:dyDescent="0.25">
      <c r="A2524" s="169">
        <v>43737</v>
      </c>
      <c r="B2524" s="80" t="s">
        <v>2745</v>
      </c>
      <c r="C2524" s="80" t="s">
        <v>119</v>
      </c>
      <c r="D2524" s="80" t="s">
        <v>139</v>
      </c>
      <c r="E2524" s="80" t="s">
        <v>131</v>
      </c>
      <c r="F2524" s="170">
        <v>80</v>
      </c>
    </row>
    <row r="2525" spans="1:6" hidden="1" x14ac:dyDescent="0.25">
      <c r="A2525" s="169">
        <v>43737</v>
      </c>
      <c r="B2525" s="80" t="s">
        <v>2746</v>
      </c>
      <c r="C2525" s="80" t="s">
        <v>143</v>
      </c>
      <c r="D2525" s="80" t="s">
        <v>139</v>
      </c>
      <c r="E2525" s="80" t="s">
        <v>134</v>
      </c>
      <c r="F2525" s="170">
        <v>80</v>
      </c>
    </row>
    <row r="2526" spans="1:6" hidden="1" x14ac:dyDescent="0.25">
      <c r="A2526" s="169">
        <v>43737</v>
      </c>
      <c r="B2526" s="80" t="s">
        <v>2748</v>
      </c>
      <c r="C2526" s="80" t="s">
        <v>119</v>
      </c>
      <c r="D2526" s="80" t="s">
        <v>139</v>
      </c>
      <c r="E2526" s="80" t="s">
        <v>121</v>
      </c>
      <c r="F2526" s="170">
        <v>80</v>
      </c>
    </row>
    <row r="2527" spans="1:6" hidden="1" x14ac:dyDescent="0.25">
      <c r="A2527" s="169">
        <v>43738</v>
      </c>
      <c r="B2527" s="80" t="s">
        <v>2752</v>
      </c>
      <c r="C2527" s="80" t="s">
        <v>182</v>
      </c>
      <c r="D2527" s="80" t="s">
        <v>139</v>
      </c>
      <c r="E2527" s="80" t="s">
        <v>134</v>
      </c>
      <c r="F2527" s="170">
        <v>80</v>
      </c>
    </row>
    <row r="2528" spans="1:6" hidden="1" x14ac:dyDescent="0.25">
      <c r="A2528" s="169">
        <v>43738</v>
      </c>
      <c r="B2528" s="80" t="s">
        <v>2755</v>
      </c>
      <c r="C2528" s="80" t="s">
        <v>119</v>
      </c>
      <c r="D2528" s="80" t="s">
        <v>139</v>
      </c>
      <c r="E2528" s="80" t="s">
        <v>121</v>
      </c>
      <c r="F2528" s="170">
        <v>80</v>
      </c>
    </row>
    <row r="2529" spans="1:6" hidden="1" x14ac:dyDescent="0.25">
      <c r="A2529" s="169">
        <v>43738</v>
      </c>
      <c r="B2529" s="80" t="s">
        <v>2756</v>
      </c>
      <c r="C2529" s="80" t="s">
        <v>145</v>
      </c>
      <c r="D2529" s="80" t="s">
        <v>139</v>
      </c>
      <c r="E2529" s="80" t="s">
        <v>127</v>
      </c>
      <c r="F2529" s="170">
        <v>80</v>
      </c>
    </row>
    <row r="2530" spans="1:6" hidden="1" x14ac:dyDescent="0.25">
      <c r="A2530" s="169">
        <v>43739</v>
      </c>
      <c r="B2530" s="80" t="s">
        <v>2763</v>
      </c>
      <c r="C2530" s="80" t="s">
        <v>129</v>
      </c>
      <c r="D2530" s="80" t="s">
        <v>139</v>
      </c>
      <c r="E2530" s="80" t="s">
        <v>121</v>
      </c>
      <c r="F2530" s="170">
        <v>80</v>
      </c>
    </row>
    <row r="2531" spans="1:6" hidden="1" x14ac:dyDescent="0.25">
      <c r="A2531" s="169">
        <v>43740</v>
      </c>
      <c r="B2531" s="80" t="s">
        <v>2764</v>
      </c>
      <c r="C2531" s="80" t="s">
        <v>182</v>
      </c>
      <c r="D2531" s="80" t="s">
        <v>139</v>
      </c>
      <c r="E2531" s="80" t="s">
        <v>134</v>
      </c>
      <c r="F2531" s="170">
        <v>80</v>
      </c>
    </row>
    <row r="2532" spans="1:6" hidden="1" x14ac:dyDescent="0.25">
      <c r="A2532" s="169">
        <v>43740</v>
      </c>
      <c r="B2532" s="80" t="s">
        <v>2769</v>
      </c>
      <c r="C2532" s="80" t="s">
        <v>223</v>
      </c>
      <c r="D2532" s="80" t="s">
        <v>139</v>
      </c>
      <c r="E2532" s="80" t="s">
        <v>153</v>
      </c>
      <c r="F2532" s="170">
        <v>80</v>
      </c>
    </row>
    <row r="2533" spans="1:6" hidden="1" x14ac:dyDescent="0.25">
      <c r="A2533" s="169">
        <v>43740</v>
      </c>
      <c r="B2533" s="80" t="s">
        <v>2773</v>
      </c>
      <c r="C2533" s="80" t="s">
        <v>145</v>
      </c>
      <c r="D2533" s="80" t="s">
        <v>139</v>
      </c>
      <c r="E2533" s="80" t="s">
        <v>153</v>
      </c>
      <c r="F2533" s="170">
        <v>80</v>
      </c>
    </row>
    <row r="2534" spans="1:6" hidden="1" x14ac:dyDescent="0.25">
      <c r="A2534" s="169">
        <v>43743</v>
      </c>
      <c r="B2534" s="80" t="s">
        <v>2788</v>
      </c>
      <c r="C2534" s="80" t="s">
        <v>167</v>
      </c>
      <c r="D2534" s="80" t="s">
        <v>139</v>
      </c>
      <c r="E2534" s="80" t="s">
        <v>131</v>
      </c>
      <c r="F2534" s="170">
        <v>80</v>
      </c>
    </row>
    <row r="2535" spans="1:6" hidden="1" x14ac:dyDescent="0.25">
      <c r="A2535" s="169">
        <v>43745</v>
      </c>
      <c r="B2535" s="80" t="s">
        <v>2797</v>
      </c>
      <c r="C2535" s="80" t="s">
        <v>125</v>
      </c>
      <c r="D2535" s="80" t="s">
        <v>139</v>
      </c>
      <c r="E2535" s="80" t="s">
        <v>121</v>
      </c>
      <c r="F2535" s="170">
        <v>80</v>
      </c>
    </row>
    <row r="2536" spans="1:6" hidden="1" x14ac:dyDescent="0.25">
      <c r="A2536" s="169">
        <v>43745</v>
      </c>
      <c r="B2536" s="80" t="s">
        <v>2798</v>
      </c>
      <c r="C2536" s="80" t="s">
        <v>189</v>
      </c>
      <c r="D2536" s="80" t="s">
        <v>139</v>
      </c>
      <c r="E2536" s="80" t="s">
        <v>121</v>
      </c>
      <c r="F2536" s="170">
        <v>80</v>
      </c>
    </row>
    <row r="2537" spans="1:6" hidden="1" x14ac:dyDescent="0.25">
      <c r="A2537" s="169">
        <v>43746</v>
      </c>
      <c r="B2537" s="80" t="s">
        <v>2807</v>
      </c>
      <c r="C2537" s="80" t="s">
        <v>129</v>
      </c>
      <c r="D2537" s="80" t="s">
        <v>139</v>
      </c>
      <c r="E2537" s="80" t="s">
        <v>127</v>
      </c>
      <c r="F2537" s="170">
        <v>80</v>
      </c>
    </row>
    <row r="2538" spans="1:6" hidden="1" x14ac:dyDescent="0.25">
      <c r="A2538" s="169">
        <v>43747</v>
      </c>
      <c r="B2538" s="80" t="s">
        <v>2817</v>
      </c>
      <c r="C2538" s="80" t="s">
        <v>182</v>
      </c>
      <c r="D2538" s="80" t="s">
        <v>139</v>
      </c>
      <c r="E2538" s="80" t="s">
        <v>134</v>
      </c>
      <c r="F2538" s="170">
        <v>80</v>
      </c>
    </row>
    <row r="2539" spans="1:6" hidden="1" x14ac:dyDescent="0.25">
      <c r="A2539" s="169">
        <v>43747</v>
      </c>
      <c r="B2539" s="80" t="s">
        <v>2819</v>
      </c>
      <c r="C2539" s="80" t="s">
        <v>136</v>
      </c>
      <c r="D2539" s="80" t="s">
        <v>139</v>
      </c>
      <c r="E2539" s="80" t="s">
        <v>127</v>
      </c>
      <c r="F2539" s="170">
        <v>80</v>
      </c>
    </row>
    <row r="2540" spans="1:6" hidden="1" x14ac:dyDescent="0.25">
      <c r="A2540" s="169">
        <v>43748</v>
      </c>
      <c r="B2540" s="80" t="s">
        <v>2826</v>
      </c>
      <c r="C2540" s="80" t="s">
        <v>143</v>
      </c>
      <c r="D2540" s="80" t="s">
        <v>139</v>
      </c>
      <c r="E2540" s="80" t="s">
        <v>153</v>
      </c>
      <c r="F2540" s="170">
        <v>80</v>
      </c>
    </row>
    <row r="2541" spans="1:6" hidden="1" x14ac:dyDescent="0.25">
      <c r="A2541" s="169">
        <v>43748</v>
      </c>
      <c r="B2541" s="80" t="s">
        <v>2829</v>
      </c>
      <c r="C2541" s="80" t="s">
        <v>189</v>
      </c>
      <c r="D2541" s="80" t="s">
        <v>139</v>
      </c>
      <c r="E2541" s="80" t="s">
        <v>127</v>
      </c>
      <c r="F2541" s="170">
        <v>80</v>
      </c>
    </row>
    <row r="2542" spans="1:6" hidden="1" x14ac:dyDescent="0.25">
      <c r="A2542" s="169">
        <v>43749</v>
      </c>
      <c r="B2542" s="80" t="s">
        <v>2835</v>
      </c>
      <c r="C2542" s="80" t="s">
        <v>148</v>
      </c>
      <c r="D2542" s="80" t="s">
        <v>139</v>
      </c>
      <c r="E2542" s="80" t="s">
        <v>127</v>
      </c>
      <c r="F2542" s="170">
        <v>80</v>
      </c>
    </row>
    <row r="2543" spans="1:6" hidden="1" x14ac:dyDescent="0.25">
      <c r="A2543" s="169">
        <v>43749</v>
      </c>
      <c r="B2543" s="80" t="s">
        <v>2843</v>
      </c>
      <c r="C2543" s="80" t="s">
        <v>182</v>
      </c>
      <c r="D2543" s="80" t="s">
        <v>139</v>
      </c>
      <c r="E2543" s="80" t="s">
        <v>134</v>
      </c>
      <c r="F2543" s="170">
        <v>80</v>
      </c>
    </row>
    <row r="2544" spans="1:6" hidden="1" x14ac:dyDescent="0.25">
      <c r="A2544" s="169">
        <v>43750</v>
      </c>
      <c r="B2544" s="80" t="s">
        <v>2856</v>
      </c>
      <c r="C2544" s="80" t="s">
        <v>123</v>
      </c>
      <c r="D2544" s="80" t="s">
        <v>139</v>
      </c>
      <c r="E2544" s="80" t="s">
        <v>131</v>
      </c>
      <c r="F2544" s="170">
        <v>80</v>
      </c>
    </row>
    <row r="2545" spans="1:6" hidden="1" x14ac:dyDescent="0.25">
      <c r="A2545" s="169">
        <v>43750</v>
      </c>
      <c r="B2545" s="80" t="s">
        <v>2858</v>
      </c>
      <c r="C2545" s="80" t="s">
        <v>157</v>
      </c>
      <c r="D2545" s="80" t="s">
        <v>139</v>
      </c>
      <c r="E2545" s="80" t="s">
        <v>134</v>
      </c>
      <c r="F2545" s="170">
        <v>80</v>
      </c>
    </row>
    <row r="2546" spans="1:6" hidden="1" x14ac:dyDescent="0.25">
      <c r="A2546" s="169">
        <v>43751</v>
      </c>
      <c r="B2546" s="80" t="s">
        <v>2866</v>
      </c>
      <c r="C2546" s="80" t="s">
        <v>157</v>
      </c>
      <c r="D2546" s="80" t="s">
        <v>139</v>
      </c>
      <c r="E2546" s="80" t="s">
        <v>153</v>
      </c>
      <c r="F2546" s="170">
        <v>80</v>
      </c>
    </row>
    <row r="2547" spans="1:6" hidden="1" x14ac:dyDescent="0.25">
      <c r="A2547" s="169">
        <v>43751</v>
      </c>
      <c r="B2547" s="80" t="s">
        <v>2869</v>
      </c>
      <c r="C2547" s="80" t="s">
        <v>138</v>
      </c>
      <c r="D2547" s="80" t="s">
        <v>139</v>
      </c>
      <c r="E2547" s="80" t="s">
        <v>127</v>
      </c>
      <c r="F2547" s="170">
        <v>80</v>
      </c>
    </row>
    <row r="2548" spans="1:6" hidden="1" x14ac:dyDescent="0.25">
      <c r="A2548" s="169">
        <v>43752</v>
      </c>
      <c r="B2548" s="80" t="s">
        <v>2874</v>
      </c>
      <c r="C2548" s="80" t="s">
        <v>148</v>
      </c>
      <c r="D2548" s="80" t="s">
        <v>139</v>
      </c>
      <c r="E2548" s="80" t="s">
        <v>153</v>
      </c>
      <c r="F2548" s="170">
        <v>80</v>
      </c>
    </row>
    <row r="2549" spans="1:6" hidden="1" x14ac:dyDescent="0.25">
      <c r="A2549" s="169">
        <v>43753</v>
      </c>
      <c r="B2549" s="80" t="s">
        <v>2882</v>
      </c>
      <c r="C2549" s="80" t="s">
        <v>119</v>
      </c>
      <c r="D2549" s="80" t="s">
        <v>139</v>
      </c>
      <c r="E2549" s="80" t="s">
        <v>121</v>
      </c>
      <c r="F2549" s="170">
        <v>80</v>
      </c>
    </row>
    <row r="2550" spans="1:6" hidden="1" x14ac:dyDescent="0.25">
      <c r="A2550" s="169">
        <v>43753</v>
      </c>
      <c r="B2550" s="80" t="s">
        <v>2886</v>
      </c>
      <c r="C2550" s="80" t="s">
        <v>138</v>
      </c>
      <c r="D2550" s="80" t="s">
        <v>139</v>
      </c>
      <c r="E2550" s="80" t="s">
        <v>153</v>
      </c>
      <c r="F2550" s="170">
        <v>80</v>
      </c>
    </row>
    <row r="2551" spans="1:6" hidden="1" x14ac:dyDescent="0.25">
      <c r="A2551" s="169">
        <v>43754</v>
      </c>
      <c r="B2551" s="80" t="s">
        <v>2897</v>
      </c>
      <c r="C2551" s="80" t="s">
        <v>223</v>
      </c>
      <c r="D2551" s="80" t="s">
        <v>139</v>
      </c>
      <c r="E2551" s="80" t="s">
        <v>134</v>
      </c>
      <c r="F2551" s="170">
        <v>80</v>
      </c>
    </row>
    <row r="2552" spans="1:6" hidden="1" x14ac:dyDescent="0.25">
      <c r="A2552" s="169">
        <v>43755</v>
      </c>
      <c r="B2552" s="80" t="s">
        <v>2905</v>
      </c>
      <c r="C2552" s="80" t="s">
        <v>187</v>
      </c>
      <c r="D2552" s="80" t="s">
        <v>139</v>
      </c>
      <c r="E2552" s="80" t="s">
        <v>127</v>
      </c>
      <c r="F2552" s="170">
        <v>80</v>
      </c>
    </row>
    <row r="2553" spans="1:6" hidden="1" x14ac:dyDescent="0.25">
      <c r="A2553" s="169">
        <v>43756</v>
      </c>
      <c r="B2553" s="80" t="s">
        <v>2921</v>
      </c>
      <c r="C2553" s="80" t="s">
        <v>125</v>
      </c>
      <c r="D2553" s="80" t="s">
        <v>139</v>
      </c>
      <c r="E2553" s="80" t="s">
        <v>153</v>
      </c>
      <c r="F2553" s="170">
        <v>80</v>
      </c>
    </row>
    <row r="2554" spans="1:6" hidden="1" x14ac:dyDescent="0.25">
      <c r="A2554" s="169">
        <v>43758</v>
      </c>
      <c r="B2554" s="80" t="s">
        <v>2934</v>
      </c>
      <c r="C2554" s="80" t="s">
        <v>152</v>
      </c>
      <c r="D2554" s="80" t="s">
        <v>139</v>
      </c>
      <c r="E2554" s="80" t="s">
        <v>127</v>
      </c>
      <c r="F2554" s="170">
        <v>80</v>
      </c>
    </row>
    <row r="2555" spans="1:6" hidden="1" x14ac:dyDescent="0.25">
      <c r="A2555" s="169">
        <v>43759</v>
      </c>
      <c r="B2555" s="80" t="s">
        <v>2945</v>
      </c>
      <c r="C2555" s="80" t="s">
        <v>157</v>
      </c>
      <c r="D2555" s="80" t="s">
        <v>139</v>
      </c>
      <c r="E2555" s="80" t="s">
        <v>131</v>
      </c>
      <c r="F2555" s="170">
        <v>80</v>
      </c>
    </row>
    <row r="2556" spans="1:6" hidden="1" x14ac:dyDescent="0.25">
      <c r="A2556" s="169">
        <v>43760</v>
      </c>
      <c r="B2556" s="80" t="s">
        <v>2951</v>
      </c>
      <c r="C2556" s="80" t="s">
        <v>143</v>
      </c>
      <c r="D2556" s="80" t="s">
        <v>139</v>
      </c>
      <c r="E2556" s="80" t="s">
        <v>134</v>
      </c>
      <c r="F2556" s="170">
        <v>80</v>
      </c>
    </row>
    <row r="2557" spans="1:6" hidden="1" x14ac:dyDescent="0.25">
      <c r="A2557" s="169">
        <v>43760</v>
      </c>
      <c r="B2557" s="80" t="s">
        <v>2954</v>
      </c>
      <c r="C2557" s="80" t="s">
        <v>164</v>
      </c>
      <c r="D2557" s="80" t="s">
        <v>139</v>
      </c>
      <c r="E2557" s="80" t="s">
        <v>127</v>
      </c>
      <c r="F2557" s="170">
        <v>80</v>
      </c>
    </row>
    <row r="2558" spans="1:6" hidden="1" x14ac:dyDescent="0.25">
      <c r="A2558" s="169">
        <v>43762</v>
      </c>
      <c r="B2558" s="80" t="s">
        <v>2970</v>
      </c>
      <c r="C2558" s="80" t="s">
        <v>167</v>
      </c>
      <c r="D2558" s="80" t="s">
        <v>139</v>
      </c>
      <c r="E2558" s="80" t="s">
        <v>134</v>
      </c>
      <c r="F2558" s="170">
        <v>80</v>
      </c>
    </row>
    <row r="2559" spans="1:6" hidden="1" x14ac:dyDescent="0.25">
      <c r="A2559" s="169">
        <v>43763</v>
      </c>
      <c r="B2559" s="80" t="s">
        <v>2984</v>
      </c>
      <c r="C2559" s="80" t="s">
        <v>182</v>
      </c>
      <c r="D2559" s="80" t="s">
        <v>139</v>
      </c>
      <c r="E2559" s="80" t="s">
        <v>153</v>
      </c>
      <c r="F2559" s="170">
        <v>80</v>
      </c>
    </row>
    <row r="2560" spans="1:6" hidden="1" x14ac:dyDescent="0.25">
      <c r="A2560" s="169">
        <v>43765</v>
      </c>
      <c r="B2560" s="80" t="s">
        <v>3001</v>
      </c>
      <c r="C2560" s="80" t="s">
        <v>125</v>
      </c>
      <c r="D2560" s="80" t="s">
        <v>139</v>
      </c>
      <c r="E2560" s="80" t="s">
        <v>134</v>
      </c>
      <c r="F2560" s="170">
        <v>80</v>
      </c>
    </row>
    <row r="2561" spans="1:6" hidden="1" x14ac:dyDescent="0.25">
      <c r="A2561" s="169">
        <v>43765</v>
      </c>
      <c r="B2561" s="80" t="s">
        <v>3004</v>
      </c>
      <c r="C2561" s="80" t="s">
        <v>157</v>
      </c>
      <c r="D2561" s="80" t="s">
        <v>139</v>
      </c>
      <c r="E2561" s="80" t="s">
        <v>153</v>
      </c>
      <c r="F2561" s="170">
        <v>80</v>
      </c>
    </row>
    <row r="2562" spans="1:6" hidden="1" x14ac:dyDescent="0.25">
      <c r="A2562" s="169">
        <v>43765</v>
      </c>
      <c r="B2562" s="80" t="s">
        <v>3008</v>
      </c>
      <c r="C2562" s="80" t="s">
        <v>123</v>
      </c>
      <c r="D2562" s="80" t="s">
        <v>139</v>
      </c>
      <c r="E2562" s="80" t="s">
        <v>121</v>
      </c>
      <c r="F2562" s="170">
        <v>80</v>
      </c>
    </row>
    <row r="2563" spans="1:6" hidden="1" x14ac:dyDescent="0.25">
      <c r="A2563" s="169">
        <v>43766</v>
      </c>
      <c r="B2563" s="80" t="s">
        <v>3020</v>
      </c>
      <c r="C2563" s="80" t="s">
        <v>148</v>
      </c>
      <c r="D2563" s="80" t="s">
        <v>139</v>
      </c>
      <c r="E2563" s="80" t="s">
        <v>134</v>
      </c>
      <c r="F2563" s="170">
        <v>80</v>
      </c>
    </row>
    <row r="2564" spans="1:6" hidden="1" x14ac:dyDescent="0.25">
      <c r="A2564" s="169">
        <v>43766</v>
      </c>
      <c r="B2564" s="80" t="s">
        <v>3027</v>
      </c>
      <c r="C2564" s="80" t="s">
        <v>164</v>
      </c>
      <c r="D2564" s="80" t="s">
        <v>139</v>
      </c>
      <c r="E2564" s="80" t="s">
        <v>134</v>
      </c>
      <c r="F2564" s="170">
        <v>80</v>
      </c>
    </row>
    <row r="2565" spans="1:6" hidden="1" x14ac:dyDescent="0.25">
      <c r="A2565" s="169">
        <v>43769</v>
      </c>
      <c r="B2565" s="80" t="s">
        <v>3046</v>
      </c>
      <c r="C2565" s="80" t="s">
        <v>152</v>
      </c>
      <c r="D2565" s="80" t="s">
        <v>139</v>
      </c>
      <c r="E2565" s="80" t="s">
        <v>153</v>
      </c>
      <c r="F2565" s="170">
        <v>80</v>
      </c>
    </row>
    <row r="2566" spans="1:6" hidden="1" x14ac:dyDescent="0.25">
      <c r="A2566" s="169">
        <v>43772</v>
      </c>
      <c r="B2566" s="80" t="s">
        <v>3076</v>
      </c>
      <c r="C2566" s="80" t="s">
        <v>148</v>
      </c>
      <c r="D2566" s="80" t="s">
        <v>139</v>
      </c>
      <c r="E2566" s="80" t="s">
        <v>121</v>
      </c>
      <c r="F2566" s="170">
        <v>80</v>
      </c>
    </row>
    <row r="2567" spans="1:6" hidden="1" x14ac:dyDescent="0.25">
      <c r="A2567" s="169">
        <v>43772</v>
      </c>
      <c r="B2567" s="80" t="s">
        <v>3079</v>
      </c>
      <c r="C2567" s="80" t="s">
        <v>129</v>
      </c>
      <c r="D2567" s="80" t="s">
        <v>139</v>
      </c>
      <c r="E2567" s="80" t="s">
        <v>127</v>
      </c>
      <c r="F2567" s="170">
        <v>80</v>
      </c>
    </row>
    <row r="2568" spans="1:6" hidden="1" x14ac:dyDescent="0.25">
      <c r="A2568" s="169">
        <v>43774</v>
      </c>
      <c r="B2568" s="80" t="s">
        <v>3093</v>
      </c>
      <c r="C2568" s="80" t="s">
        <v>123</v>
      </c>
      <c r="D2568" s="80" t="s">
        <v>139</v>
      </c>
      <c r="E2568" s="80" t="s">
        <v>134</v>
      </c>
      <c r="F2568" s="170">
        <v>80</v>
      </c>
    </row>
    <row r="2569" spans="1:6" hidden="1" x14ac:dyDescent="0.25">
      <c r="A2569" s="169">
        <v>43774</v>
      </c>
      <c r="B2569" s="80" t="s">
        <v>3098</v>
      </c>
      <c r="C2569" s="80" t="s">
        <v>182</v>
      </c>
      <c r="D2569" s="80" t="s">
        <v>139</v>
      </c>
      <c r="E2569" s="80" t="s">
        <v>121</v>
      </c>
      <c r="F2569" s="170">
        <v>80</v>
      </c>
    </row>
    <row r="2570" spans="1:6" hidden="1" x14ac:dyDescent="0.25">
      <c r="A2570" s="169">
        <v>43775</v>
      </c>
      <c r="B2570" s="80" t="s">
        <v>3111</v>
      </c>
      <c r="C2570" s="80" t="s">
        <v>223</v>
      </c>
      <c r="D2570" s="80" t="s">
        <v>139</v>
      </c>
      <c r="E2570" s="80" t="s">
        <v>153</v>
      </c>
      <c r="F2570" s="170">
        <v>80</v>
      </c>
    </row>
    <row r="2571" spans="1:6" hidden="1" x14ac:dyDescent="0.25">
      <c r="A2571" s="169">
        <v>43776</v>
      </c>
      <c r="B2571" s="80" t="s">
        <v>3121</v>
      </c>
      <c r="C2571" s="80" t="s">
        <v>145</v>
      </c>
      <c r="D2571" s="80" t="s">
        <v>139</v>
      </c>
      <c r="E2571" s="80" t="s">
        <v>153</v>
      </c>
      <c r="F2571" s="170">
        <v>80</v>
      </c>
    </row>
    <row r="2572" spans="1:6" hidden="1" x14ac:dyDescent="0.25">
      <c r="A2572" s="169">
        <v>43777</v>
      </c>
      <c r="B2572" s="80" t="s">
        <v>3123</v>
      </c>
      <c r="C2572" s="80" t="s">
        <v>129</v>
      </c>
      <c r="D2572" s="80" t="s">
        <v>139</v>
      </c>
      <c r="E2572" s="80" t="s">
        <v>121</v>
      </c>
      <c r="F2572" s="170">
        <v>80</v>
      </c>
    </row>
    <row r="2573" spans="1:6" hidden="1" x14ac:dyDescent="0.25">
      <c r="A2573" s="169">
        <v>43778</v>
      </c>
      <c r="B2573" s="80" t="s">
        <v>3141</v>
      </c>
      <c r="C2573" s="80" t="s">
        <v>182</v>
      </c>
      <c r="D2573" s="80" t="s">
        <v>139</v>
      </c>
      <c r="E2573" s="80" t="s">
        <v>127</v>
      </c>
      <c r="F2573" s="170">
        <v>80</v>
      </c>
    </row>
    <row r="2574" spans="1:6" hidden="1" x14ac:dyDescent="0.25">
      <c r="A2574" s="169">
        <v>43778</v>
      </c>
      <c r="B2574" s="80" t="s">
        <v>3147</v>
      </c>
      <c r="C2574" s="80" t="s">
        <v>187</v>
      </c>
      <c r="D2574" s="80" t="s">
        <v>139</v>
      </c>
      <c r="E2574" s="80" t="s">
        <v>121</v>
      </c>
      <c r="F2574" s="170">
        <v>80</v>
      </c>
    </row>
    <row r="2575" spans="1:6" hidden="1" x14ac:dyDescent="0.25">
      <c r="A2575" s="169">
        <v>43779</v>
      </c>
      <c r="B2575" s="80" t="s">
        <v>3149</v>
      </c>
      <c r="C2575" s="80" t="s">
        <v>145</v>
      </c>
      <c r="D2575" s="80" t="s">
        <v>139</v>
      </c>
      <c r="E2575" s="80" t="s">
        <v>153</v>
      </c>
      <c r="F2575" s="170">
        <v>80</v>
      </c>
    </row>
    <row r="2576" spans="1:6" hidden="1" x14ac:dyDescent="0.25">
      <c r="A2576" s="169">
        <v>43779</v>
      </c>
      <c r="B2576" s="80" t="s">
        <v>3152</v>
      </c>
      <c r="C2576" s="80" t="s">
        <v>157</v>
      </c>
      <c r="D2576" s="80" t="s">
        <v>139</v>
      </c>
      <c r="E2576" s="80" t="s">
        <v>131</v>
      </c>
      <c r="F2576" s="170">
        <v>80</v>
      </c>
    </row>
    <row r="2577" spans="1:6" hidden="1" x14ac:dyDescent="0.25">
      <c r="A2577" s="169">
        <v>43779</v>
      </c>
      <c r="B2577" s="80" t="s">
        <v>3157</v>
      </c>
      <c r="C2577" s="80" t="s">
        <v>148</v>
      </c>
      <c r="D2577" s="80" t="s">
        <v>139</v>
      </c>
      <c r="E2577" s="80" t="s">
        <v>127</v>
      </c>
      <c r="F2577" s="170">
        <v>80</v>
      </c>
    </row>
    <row r="2578" spans="1:6" hidden="1" x14ac:dyDescent="0.25">
      <c r="A2578" s="169">
        <v>43780</v>
      </c>
      <c r="B2578" s="80" t="s">
        <v>3169</v>
      </c>
      <c r="C2578" s="80" t="s">
        <v>152</v>
      </c>
      <c r="D2578" s="80" t="s">
        <v>139</v>
      </c>
      <c r="E2578" s="80" t="s">
        <v>131</v>
      </c>
      <c r="F2578" s="170">
        <v>80</v>
      </c>
    </row>
    <row r="2579" spans="1:6" hidden="1" x14ac:dyDescent="0.25">
      <c r="A2579" s="169">
        <v>43782</v>
      </c>
      <c r="B2579" s="80" t="s">
        <v>3183</v>
      </c>
      <c r="C2579" s="80" t="s">
        <v>182</v>
      </c>
      <c r="D2579" s="80" t="s">
        <v>139</v>
      </c>
      <c r="E2579" s="80" t="s">
        <v>127</v>
      </c>
      <c r="F2579" s="170">
        <v>80</v>
      </c>
    </row>
    <row r="2580" spans="1:6" hidden="1" x14ac:dyDescent="0.25">
      <c r="A2580" s="169">
        <v>43782</v>
      </c>
      <c r="B2580" s="80" t="s">
        <v>3184</v>
      </c>
      <c r="C2580" s="80" t="s">
        <v>143</v>
      </c>
      <c r="D2580" s="80" t="s">
        <v>139</v>
      </c>
      <c r="E2580" s="80" t="s">
        <v>153</v>
      </c>
      <c r="F2580" s="170">
        <v>80</v>
      </c>
    </row>
    <row r="2581" spans="1:6" hidden="1" x14ac:dyDescent="0.25">
      <c r="A2581" s="169">
        <v>43782</v>
      </c>
      <c r="B2581" s="80" t="s">
        <v>3187</v>
      </c>
      <c r="C2581" s="80" t="s">
        <v>164</v>
      </c>
      <c r="D2581" s="80" t="s">
        <v>139</v>
      </c>
      <c r="E2581" s="80" t="s">
        <v>153</v>
      </c>
      <c r="F2581" s="170">
        <v>80</v>
      </c>
    </row>
    <row r="2582" spans="1:6" hidden="1" x14ac:dyDescent="0.25">
      <c r="A2582" s="169">
        <v>43782</v>
      </c>
      <c r="B2582" s="80" t="s">
        <v>3188</v>
      </c>
      <c r="C2582" s="80" t="s">
        <v>164</v>
      </c>
      <c r="D2582" s="80" t="s">
        <v>139</v>
      </c>
      <c r="E2582" s="80" t="s">
        <v>121</v>
      </c>
      <c r="F2582" s="170">
        <v>80</v>
      </c>
    </row>
    <row r="2583" spans="1:6" hidden="1" x14ac:dyDescent="0.25">
      <c r="A2583" s="169">
        <v>43783</v>
      </c>
      <c r="B2583" s="80" t="s">
        <v>3193</v>
      </c>
      <c r="C2583" s="80" t="s">
        <v>152</v>
      </c>
      <c r="D2583" s="80" t="s">
        <v>139</v>
      </c>
      <c r="E2583" s="80" t="s">
        <v>127</v>
      </c>
      <c r="F2583" s="170">
        <v>80</v>
      </c>
    </row>
    <row r="2584" spans="1:6" hidden="1" x14ac:dyDescent="0.25">
      <c r="A2584" s="169">
        <v>43783</v>
      </c>
      <c r="B2584" s="80" t="s">
        <v>3194</v>
      </c>
      <c r="C2584" s="80" t="s">
        <v>187</v>
      </c>
      <c r="D2584" s="80" t="s">
        <v>139</v>
      </c>
      <c r="E2584" s="80" t="s">
        <v>153</v>
      </c>
      <c r="F2584" s="170">
        <v>80</v>
      </c>
    </row>
    <row r="2585" spans="1:6" hidden="1" x14ac:dyDescent="0.25">
      <c r="A2585" s="169">
        <v>43783</v>
      </c>
      <c r="B2585" s="80" t="s">
        <v>3195</v>
      </c>
      <c r="C2585" s="80" t="s">
        <v>182</v>
      </c>
      <c r="D2585" s="80" t="s">
        <v>139</v>
      </c>
      <c r="E2585" s="80" t="s">
        <v>127</v>
      </c>
      <c r="F2585" s="170">
        <v>80</v>
      </c>
    </row>
    <row r="2586" spans="1:6" hidden="1" x14ac:dyDescent="0.25">
      <c r="A2586" s="169">
        <v>43783</v>
      </c>
      <c r="B2586" s="80" t="s">
        <v>3203</v>
      </c>
      <c r="C2586" s="80" t="s">
        <v>182</v>
      </c>
      <c r="D2586" s="80" t="s">
        <v>139</v>
      </c>
      <c r="E2586" s="80" t="s">
        <v>153</v>
      </c>
      <c r="F2586" s="170">
        <v>80</v>
      </c>
    </row>
    <row r="2587" spans="1:6" hidden="1" x14ac:dyDescent="0.25">
      <c r="A2587" s="169">
        <v>43783</v>
      </c>
      <c r="B2587" s="80" t="s">
        <v>3204</v>
      </c>
      <c r="C2587" s="80" t="s">
        <v>223</v>
      </c>
      <c r="D2587" s="80" t="s">
        <v>139</v>
      </c>
      <c r="E2587" s="80" t="s">
        <v>127</v>
      </c>
      <c r="F2587" s="170">
        <v>80</v>
      </c>
    </row>
    <row r="2588" spans="1:6" hidden="1" x14ac:dyDescent="0.25">
      <c r="A2588" s="169">
        <v>43784</v>
      </c>
      <c r="B2588" s="80" t="s">
        <v>3219</v>
      </c>
      <c r="C2588" s="80" t="s">
        <v>223</v>
      </c>
      <c r="D2588" s="80" t="s">
        <v>139</v>
      </c>
      <c r="E2588" s="80" t="s">
        <v>134</v>
      </c>
      <c r="F2588" s="170">
        <v>80</v>
      </c>
    </row>
    <row r="2589" spans="1:6" hidden="1" x14ac:dyDescent="0.25">
      <c r="A2589" s="169">
        <v>43785</v>
      </c>
      <c r="B2589" s="80" t="s">
        <v>3222</v>
      </c>
      <c r="C2589" s="80" t="s">
        <v>119</v>
      </c>
      <c r="D2589" s="80" t="s">
        <v>139</v>
      </c>
      <c r="E2589" s="80" t="s">
        <v>131</v>
      </c>
      <c r="F2589" s="170">
        <v>80</v>
      </c>
    </row>
    <row r="2590" spans="1:6" hidden="1" x14ac:dyDescent="0.25">
      <c r="A2590" s="169">
        <v>43787</v>
      </c>
      <c r="B2590" s="80" t="s">
        <v>3231</v>
      </c>
      <c r="C2590" s="80" t="s">
        <v>157</v>
      </c>
      <c r="D2590" s="80" t="s">
        <v>139</v>
      </c>
      <c r="E2590" s="80" t="s">
        <v>134</v>
      </c>
      <c r="F2590" s="170">
        <v>80</v>
      </c>
    </row>
    <row r="2591" spans="1:6" hidden="1" x14ac:dyDescent="0.25">
      <c r="A2591" s="169">
        <v>43787</v>
      </c>
      <c r="B2591" s="80" t="s">
        <v>3233</v>
      </c>
      <c r="C2591" s="80" t="s">
        <v>123</v>
      </c>
      <c r="D2591" s="80" t="s">
        <v>139</v>
      </c>
      <c r="E2591" s="80" t="s">
        <v>131</v>
      </c>
      <c r="F2591" s="170">
        <v>80</v>
      </c>
    </row>
    <row r="2592" spans="1:6" hidden="1" x14ac:dyDescent="0.25">
      <c r="A2592" s="169">
        <v>43788</v>
      </c>
      <c r="B2592" s="80" t="s">
        <v>3245</v>
      </c>
      <c r="C2592" s="80" t="s">
        <v>167</v>
      </c>
      <c r="D2592" s="80" t="s">
        <v>139</v>
      </c>
      <c r="E2592" s="80" t="s">
        <v>131</v>
      </c>
      <c r="F2592" s="170">
        <v>80</v>
      </c>
    </row>
    <row r="2593" spans="1:6" hidden="1" x14ac:dyDescent="0.25">
      <c r="A2593" s="169">
        <v>43790</v>
      </c>
      <c r="B2593" s="80" t="s">
        <v>3257</v>
      </c>
      <c r="C2593" s="80" t="s">
        <v>123</v>
      </c>
      <c r="D2593" s="80" t="s">
        <v>139</v>
      </c>
      <c r="E2593" s="80" t="s">
        <v>121</v>
      </c>
      <c r="F2593" s="170">
        <v>80</v>
      </c>
    </row>
    <row r="2594" spans="1:6" hidden="1" x14ac:dyDescent="0.25">
      <c r="A2594" s="169">
        <v>43791</v>
      </c>
      <c r="B2594" s="80" t="s">
        <v>3270</v>
      </c>
      <c r="C2594" s="80" t="s">
        <v>138</v>
      </c>
      <c r="D2594" s="80" t="s">
        <v>139</v>
      </c>
      <c r="E2594" s="80" t="s">
        <v>134</v>
      </c>
      <c r="F2594" s="170">
        <v>80</v>
      </c>
    </row>
    <row r="2595" spans="1:6" hidden="1" x14ac:dyDescent="0.25">
      <c r="A2595" s="169">
        <v>43792</v>
      </c>
      <c r="B2595" s="80" t="s">
        <v>3282</v>
      </c>
      <c r="C2595" s="80" t="s">
        <v>187</v>
      </c>
      <c r="D2595" s="80" t="s">
        <v>139</v>
      </c>
      <c r="E2595" s="80" t="s">
        <v>153</v>
      </c>
      <c r="F2595" s="170">
        <v>80</v>
      </c>
    </row>
    <row r="2596" spans="1:6" hidden="1" x14ac:dyDescent="0.25">
      <c r="A2596" s="169">
        <v>43793</v>
      </c>
      <c r="B2596" s="80" t="s">
        <v>3293</v>
      </c>
      <c r="C2596" s="80" t="s">
        <v>143</v>
      </c>
      <c r="D2596" s="80" t="s">
        <v>139</v>
      </c>
      <c r="E2596" s="80" t="s">
        <v>134</v>
      </c>
      <c r="F2596" s="170">
        <v>80</v>
      </c>
    </row>
    <row r="2597" spans="1:6" hidden="1" x14ac:dyDescent="0.25">
      <c r="A2597" s="169">
        <v>43793</v>
      </c>
      <c r="B2597" s="80" t="s">
        <v>3298</v>
      </c>
      <c r="C2597" s="80" t="s">
        <v>148</v>
      </c>
      <c r="D2597" s="80" t="s">
        <v>139</v>
      </c>
      <c r="E2597" s="80" t="s">
        <v>131</v>
      </c>
      <c r="F2597" s="170">
        <v>80</v>
      </c>
    </row>
    <row r="2598" spans="1:6" hidden="1" x14ac:dyDescent="0.25">
      <c r="A2598" s="169">
        <v>43794</v>
      </c>
      <c r="B2598" s="80" t="s">
        <v>3302</v>
      </c>
      <c r="C2598" s="80" t="s">
        <v>187</v>
      </c>
      <c r="D2598" s="80" t="s">
        <v>139</v>
      </c>
      <c r="E2598" s="80" t="s">
        <v>131</v>
      </c>
      <c r="F2598" s="170">
        <v>80</v>
      </c>
    </row>
    <row r="2599" spans="1:6" hidden="1" x14ac:dyDescent="0.25">
      <c r="A2599" s="169">
        <v>43794</v>
      </c>
      <c r="B2599" s="80" t="s">
        <v>3306</v>
      </c>
      <c r="C2599" s="80" t="s">
        <v>167</v>
      </c>
      <c r="D2599" s="80" t="s">
        <v>139</v>
      </c>
      <c r="E2599" s="80" t="s">
        <v>127</v>
      </c>
      <c r="F2599" s="170">
        <v>80</v>
      </c>
    </row>
    <row r="2600" spans="1:6" hidden="1" x14ac:dyDescent="0.25">
      <c r="A2600" s="169">
        <v>43794</v>
      </c>
      <c r="B2600" s="80" t="s">
        <v>3307</v>
      </c>
      <c r="C2600" s="80" t="s">
        <v>164</v>
      </c>
      <c r="D2600" s="80" t="s">
        <v>139</v>
      </c>
      <c r="E2600" s="80" t="s">
        <v>121</v>
      </c>
      <c r="F2600" s="170">
        <v>80</v>
      </c>
    </row>
    <row r="2601" spans="1:6" hidden="1" x14ac:dyDescent="0.25">
      <c r="A2601" s="169">
        <v>43794</v>
      </c>
      <c r="B2601" s="80" t="s">
        <v>3308</v>
      </c>
      <c r="C2601" s="80" t="s">
        <v>119</v>
      </c>
      <c r="D2601" s="80" t="s">
        <v>139</v>
      </c>
      <c r="E2601" s="80" t="s">
        <v>127</v>
      </c>
      <c r="F2601" s="170">
        <v>80</v>
      </c>
    </row>
    <row r="2602" spans="1:6" hidden="1" x14ac:dyDescent="0.25">
      <c r="A2602" s="169">
        <v>43795</v>
      </c>
      <c r="B2602" s="80" t="s">
        <v>3316</v>
      </c>
      <c r="C2602" s="80" t="s">
        <v>223</v>
      </c>
      <c r="D2602" s="80" t="s">
        <v>139</v>
      </c>
      <c r="E2602" s="80" t="s">
        <v>153</v>
      </c>
      <c r="F2602" s="170">
        <v>80</v>
      </c>
    </row>
    <row r="2603" spans="1:6" hidden="1" x14ac:dyDescent="0.25">
      <c r="A2603" s="169">
        <v>43795</v>
      </c>
      <c r="B2603" s="80" t="s">
        <v>3317</v>
      </c>
      <c r="C2603" s="80" t="s">
        <v>189</v>
      </c>
      <c r="D2603" s="80" t="s">
        <v>139</v>
      </c>
      <c r="E2603" s="80" t="s">
        <v>134</v>
      </c>
      <c r="F2603" s="170">
        <v>80</v>
      </c>
    </row>
    <row r="2604" spans="1:6" hidden="1" x14ac:dyDescent="0.25">
      <c r="A2604" s="169">
        <v>43798</v>
      </c>
      <c r="B2604" s="80" t="s">
        <v>3336</v>
      </c>
      <c r="C2604" s="80" t="s">
        <v>167</v>
      </c>
      <c r="D2604" s="80" t="s">
        <v>139</v>
      </c>
      <c r="E2604" s="80" t="s">
        <v>121</v>
      </c>
      <c r="F2604" s="170">
        <v>80</v>
      </c>
    </row>
    <row r="2605" spans="1:6" hidden="1" x14ac:dyDescent="0.25">
      <c r="A2605" s="169">
        <v>43798</v>
      </c>
      <c r="B2605" s="80" t="s">
        <v>3338</v>
      </c>
      <c r="C2605" s="80" t="s">
        <v>136</v>
      </c>
      <c r="D2605" s="80" t="s">
        <v>139</v>
      </c>
      <c r="E2605" s="80" t="s">
        <v>134</v>
      </c>
      <c r="F2605" s="170">
        <v>80</v>
      </c>
    </row>
    <row r="2606" spans="1:6" hidden="1" x14ac:dyDescent="0.25">
      <c r="A2606" s="169">
        <v>43798</v>
      </c>
      <c r="B2606" s="80" t="s">
        <v>3341</v>
      </c>
      <c r="C2606" s="80" t="s">
        <v>143</v>
      </c>
      <c r="D2606" s="80" t="s">
        <v>139</v>
      </c>
      <c r="E2606" s="80" t="s">
        <v>134</v>
      </c>
      <c r="F2606" s="170">
        <v>80</v>
      </c>
    </row>
    <row r="2607" spans="1:6" hidden="1" x14ac:dyDescent="0.25">
      <c r="A2607" s="169">
        <v>43799</v>
      </c>
      <c r="B2607" s="80" t="s">
        <v>3353</v>
      </c>
      <c r="C2607" s="80" t="s">
        <v>138</v>
      </c>
      <c r="D2607" s="80" t="s">
        <v>139</v>
      </c>
      <c r="E2607" s="80" t="s">
        <v>131</v>
      </c>
      <c r="F2607" s="170">
        <v>80</v>
      </c>
    </row>
    <row r="2608" spans="1:6" hidden="1" x14ac:dyDescent="0.25">
      <c r="A2608" s="169">
        <v>43799</v>
      </c>
      <c r="B2608" s="80" t="s">
        <v>3356</v>
      </c>
      <c r="C2608" s="80" t="s">
        <v>157</v>
      </c>
      <c r="D2608" s="80" t="s">
        <v>139</v>
      </c>
      <c r="E2608" s="80" t="s">
        <v>134</v>
      </c>
      <c r="F2608" s="170">
        <v>80</v>
      </c>
    </row>
    <row r="2609" spans="1:6" hidden="1" x14ac:dyDescent="0.25">
      <c r="A2609" s="169">
        <v>43800</v>
      </c>
      <c r="B2609" s="80" t="s">
        <v>3358</v>
      </c>
      <c r="C2609" s="80" t="s">
        <v>119</v>
      </c>
      <c r="D2609" s="80" t="s">
        <v>139</v>
      </c>
      <c r="E2609" s="80" t="s">
        <v>121</v>
      </c>
      <c r="F2609" s="170">
        <v>80</v>
      </c>
    </row>
    <row r="2610" spans="1:6" hidden="1" x14ac:dyDescent="0.25">
      <c r="A2610" s="169">
        <v>43800</v>
      </c>
      <c r="B2610" s="80" t="s">
        <v>3360</v>
      </c>
      <c r="C2610" s="80" t="s">
        <v>129</v>
      </c>
      <c r="D2610" s="80" t="s">
        <v>139</v>
      </c>
      <c r="E2610" s="80" t="s">
        <v>127</v>
      </c>
      <c r="F2610" s="170">
        <v>80</v>
      </c>
    </row>
    <row r="2611" spans="1:6" hidden="1" x14ac:dyDescent="0.25">
      <c r="A2611" s="169">
        <v>43800</v>
      </c>
      <c r="B2611" s="80" t="s">
        <v>3363</v>
      </c>
      <c r="C2611" s="80" t="s">
        <v>189</v>
      </c>
      <c r="D2611" s="80" t="s">
        <v>139</v>
      </c>
      <c r="E2611" s="80" t="s">
        <v>134</v>
      </c>
      <c r="F2611" s="170">
        <v>80</v>
      </c>
    </row>
    <row r="2612" spans="1:6" hidden="1" x14ac:dyDescent="0.25">
      <c r="A2612" s="169">
        <v>43801</v>
      </c>
      <c r="B2612" s="80" t="s">
        <v>3372</v>
      </c>
      <c r="C2612" s="80" t="s">
        <v>187</v>
      </c>
      <c r="D2612" s="80" t="s">
        <v>139</v>
      </c>
      <c r="E2612" s="80" t="s">
        <v>153</v>
      </c>
      <c r="F2612" s="170">
        <v>80</v>
      </c>
    </row>
    <row r="2613" spans="1:6" hidden="1" x14ac:dyDescent="0.25">
      <c r="A2613" s="169">
        <v>43801</v>
      </c>
      <c r="B2613" s="80" t="s">
        <v>3377</v>
      </c>
      <c r="C2613" s="80" t="s">
        <v>145</v>
      </c>
      <c r="D2613" s="80" t="s">
        <v>139</v>
      </c>
      <c r="E2613" s="80" t="s">
        <v>121</v>
      </c>
      <c r="F2613" s="170">
        <v>80</v>
      </c>
    </row>
    <row r="2614" spans="1:6" hidden="1" x14ac:dyDescent="0.25">
      <c r="A2614" s="169">
        <v>43802</v>
      </c>
      <c r="B2614" s="80" t="s">
        <v>3379</v>
      </c>
      <c r="C2614" s="80" t="s">
        <v>148</v>
      </c>
      <c r="D2614" s="80" t="s">
        <v>139</v>
      </c>
      <c r="E2614" s="80" t="s">
        <v>134</v>
      </c>
      <c r="F2614" s="170">
        <v>80</v>
      </c>
    </row>
    <row r="2615" spans="1:6" hidden="1" x14ac:dyDescent="0.25">
      <c r="A2615" s="169">
        <v>43802</v>
      </c>
      <c r="B2615" s="80" t="s">
        <v>3385</v>
      </c>
      <c r="C2615" s="80" t="s">
        <v>189</v>
      </c>
      <c r="D2615" s="80" t="s">
        <v>139</v>
      </c>
      <c r="E2615" s="80" t="s">
        <v>121</v>
      </c>
      <c r="F2615" s="170">
        <v>80</v>
      </c>
    </row>
    <row r="2616" spans="1:6" hidden="1" x14ac:dyDescent="0.25">
      <c r="A2616" s="169">
        <v>43803</v>
      </c>
      <c r="B2616" s="80" t="s">
        <v>3394</v>
      </c>
      <c r="C2616" s="80" t="s">
        <v>136</v>
      </c>
      <c r="D2616" s="80" t="s">
        <v>139</v>
      </c>
      <c r="E2616" s="80" t="s">
        <v>153</v>
      </c>
      <c r="F2616" s="170">
        <v>80</v>
      </c>
    </row>
    <row r="2617" spans="1:6" hidden="1" x14ac:dyDescent="0.25">
      <c r="A2617" s="169">
        <v>43804</v>
      </c>
      <c r="B2617" s="80" t="s">
        <v>3403</v>
      </c>
      <c r="C2617" s="80" t="s">
        <v>167</v>
      </c>
      <c r="D2617" s="80" t="s">
        <v>139</v>
      </c>
      <c r="E2617" s="80" t="s">
        <v>127</v>
      </c>
      <c r="F2617" s="170">
        <v>80</v>
      </c>
    </row>
    <row r="2618" spans="1:6" hidden="1" x14ac:dyDescent="0.25">
      <c r="A2618" s="169">
        <v>43804</v>
      </c>
      <c r="B2618" s="80" t="s">
        <v>3406</v>
      </c>
      <c r="C2618" s="80" t="s">
        <v>136</v>
      </c>
      <c r="D2618" s="80" t="s">
        <v>139</v>
      </c>
      <c r="E2618" s="80" t="s">
        <v>134</v>
      </c>
      <c r="F2618" s="170">
        <v>80</v>
      </c>
    </row>
    <row r="2619" spans="1:6" hidden="1" x14ac:dyDescent="0.25">
      <c r="A2619" s="169">
        <v>43806</v>
      </c>
      <c r="B2619" s="80" t="s">
        <v>3422</v>
      </c>
      <c r="C2619" s="80" t="s">
        <v>123</v>
      </c>
      <c r="D2619" s="80" t="s">
        <v>139</v>
      </c>
      <c r="E2619" s="80" t="s">
        <v>153</v>
      </c>
      <c r="F2619" s="170">
        <v>80</v>
      </c>
    </row>
    <row r="2620" spans="1:6" hidden="1" x14ac:dyDescent="0.25">
      <c r="A2620" s="169">
        <v>43809</v>
      </c>
      <c r="B2620" s="80" t="s">
        <v>3451</v>
      </c>
      <c r="C2620" s="80" t="s">
        <v>138</v>
      </c>
      <c r="D2620" s="80" t="s">
        <v>139</v>
      </c>
      <c r="E2620" s="80" t="s">
        <v>131</v>
      </c>
      <c r="F2620" s="170">
        <v>80</v>
      </c>
    </row>
    <row r="2621" spans="1:6" hidden="1" x14ac:dyDescent="0.25">
      <c r="A2621" s="169">
        <v>43809</v>
      </c>
      <c r="B2621" s="80" t="s">
        <v>3455</v>
      </c>
      <c r="C2621" s="80" t="s">
        <v>123</v>
      </c>
      <c r="D2621" s="80" t="s">
        <v>139</v>
      </c>
      <c r="E2621" s="80" t="s">
        <v>127</v>
      </c>
      <c r="F2621" s="170">
        <v>80</v>
      </c>
    </row>
    <row r="2622" spans="1:6" hidden="1" x14ac:dyDescent="0.25">
      <c r="A2622" s="169">
        <v>43809</v>
      </c>
      <c r="B2622" s="80" t="s">
        <v>3458</v>
      </c>
      <c r="C2622" s="80" t="s">
        <v>138</v>
      </c>
      <c r="D2622" s="80" t="s">
        <v>139</v>
      </c>
      <c r="E2622" s="80" t="s">
        <v>127</v>
      </c>
      <c r="F2622" s="170">
        <v>80</v>
      </c>
    </row>
    <row r="2623" spans="1:6" hidden="1" x14ac:dyDescent="0.25">
      <c r="A2623" s="169">
        <v>43812</v>
      </c>
      <c r="B2623" s="80" t="s">
        <v>3479</v>
      </c>
      <c r="C2623" s="80" t="s">
        <v>125</v>
      </c>
      <c r="D2623" s="80" t="s">
        <v>139</v>
      </c>
      <c r="E2623" s="80" t="s">
        <v>131</v>
      </c>
      <c r="F2623" s="170">
        <v>80</v>
      </c>
    </row>
    <row r="2624" spans="1:6" hidden="1" x14ac:dyDescent="0.25">
      <c r="A2624" s="169">
        <v>43812</v>
      </c>
      <c r="B2624" s="80" t="s">
        <v>3481</v>
      </c>
      <c r="C2624" s="80" t="s">
        <v>136</v>
      </c>
      <c r="D2624" s="80" t="s">
        <v>139</v>
      </c>
      <c r="E2624" s="80" t="s">
        <v>153</v>
      </c>
      <c r="F2624" s="170">
        <v>80</v>
      </c>
    </row>
    <row r="2625" spans="1:6" hidden="1" x14ac:dyDescent="0.25">
      <c r="A2625" s="169">
        <v>43813</v>
      </c>
      <c r="B2625" s="80" t="s">
        <v>3484</v>
      </c>
      <c r="C2625" s="80" t="s">
        <v>148</v>
      </c>
      <c r="D2625" s="80" t="s">
        <v>139</v>
      </c>
      <c r="E2625" s="80" t="s">
        <v>121</v>
      </c>
      <c r="F2625" s="170">
        <v>80</v>
      </c>
    </row>
    <row r="2626" spans="1:6" hidden="1" x14ac:dyDescent="0.25">
      <c r="A2626" s="169">
        <v>43813</v>
      </c>
      <c r="B2626" s="80" t="s">
        <v>3485</v>
      </c>
      <c r="C2626" s="80" t="s">
        <v>152</v>
      </c>
      <c r="D2626" s="80" t="s">
        <v>139</v>
      </c>
      <c r="E2626" s="80" t="s">
        <v>131</v>
      </c>
      <c r="F2626" s="170">
        <v>80</v>
      </c>
    </row>
    <row r="2627" spans="1:6" hidden="1" x14ac:dyDescent="0.25">
      <c r="A2627" s="169">
        <v>43815</v>
      </c>
      <c r="B2627" s="80" t="s">
        <v>3501</v>
      </c>
      <c r="C2627" s="80" t="s">
        <v>167</v>
      </c>
      <c r="D2627" s="80" t="s">
        <v>139</v>
      </c>
      <c r="E2627" s="80" t="s">
        <v>134</v>
      </c>
      <c r="F2627" s="170">
        <v>80</v>
      </c>
    </row>
    <row r="2628" spans="1:6" hidden="1" x14ac:dyDescent="0.25">
      <c r="A2628" s="169">
        <v>43815</v>
      </c>
      <c r="B2628" s="80" t="s">
        <v>3506</v>
      </c>
      <c r="C2628" s="80" t="s">
        <v>167</v>
      </c>
      <c r="D2628" s="80" t="s">
        <v>139</v>
      </c>
      <c r="E2628" s="80" t="s">
        <v>153</v>
      </c>
      <c r="F2628" s="170">
        <v>80</v>
      </c>
    </row>
    <row r="2629" spans="1:6" hidden="1" x14ac:dyDescent="0.25">
      <c r="A2629" s="169">
        <v>43815</v>
      </c>
      <c r="B2629" s="80" t="s">
        <v>3509</v>
      </c>
      <c r="C2629" s="80" t="s">
        <v>167</v>
      </c>
      <c r="D2629" s="80" t="s">
        <v>139</v>
      </c>
      <c r="E2629" s="80" t="s">
        <v>134</v>
      </c>
      <c r="F2629" s="170">
        <v>80</v>
      </c>
    </row>
    <row r="2630" spans="1:6" hidden="1" x14ac:dyDescent="0.25">
      <c r="A2630" s="169">
        <v>43818</v>
      </c>
      <c r="B2630" s="80" t="s">
        <v>3531</v>
      </c>
      <c r="C2630" s="80" t="s">
        <v>138</v>
      </c>
      <c r="D2630" s="80" t="s">
        <v>139</v>
      </c>
      <c r="E2630" s="80" t="s">
        <v>131</v>
      </c>
      <c r="F2630" s="170">
        <v>80</v>
      </c>
    </row>
    <row r="2631" spans="1:6" hidden="1" x14ac:dyDescent="0.25">
      <c r="A2631" s="169">
        <v>43818</v>
      </c>
      <c r="B2631" s="80" t="s">
        <v>3532</v>
      </c>
      <c r="C2631" s="80" t="s">
        <v>167</v>
      </c>
      <c r="D2631" s="80" t="s">
        <v>139</v>
      </c>
      <c r="E2631" s="80" t="s">
        <v>121</v>
      </c>
      <c r="F2631" s="170">
        <v>80</v>
      </c>
    </row>
    <row r="2632" spans="1:6" hidden="1" x14ac:dyDescent="0.25">
      <c r="A2632" s="169">
        <v>43818</v>
      </c>
      <c r="B2632" s="80" t="s">
        <v>3533</v>
      </c>
      <c r="C2632" s="80" t="s">
        <v>138</v>
      </c>
      <c r="D2632" s="80" t="s">
        <v>139</v>
      </c>
      <c r="E2632" s="80" t="s">
        <v>153</v>
      </c>
      <c r="F2632" s="170">
        <v>80</v>
      </c>
    </row>
    <row r="2633" spans="1:6" hidden="1" x14ac:dyDescent="0.25">
      <c r="A2633" s="169">
        <v>43819</v>
      </c>
      <c r="B2633" s="80" t="s">
        <v>3542</v>
      </c>
      <c r="C2633" s="80" t="s">
        <v>138</v>
      </c>
      <c r="D2633" s="80" t="s">
        <v>139</v>
      </c>
      <c r="E2633" s="80" t="s">
        <v>121</v>
      </c>
      <c r="F2633" s="170">
        <v>80</v>
      </c>
    </row>
    <row r="2634" spans="1:6" hidden="1" x14ac:dyDescent="0.25">
      <c r="A2634" s="169">
        <v>43821</v>
      </c>
      <c r="B2634" s="80" t="s">
        <v>3558</v>
      </c>
      <c r="C2634" s="80" t="s">
        <v>125</v>
      </c>
      <c r="D2634" s="80" t="s">
        <v>139</v>
      </c>
      <c r="E2634" s="80" t="s">
        <v>134</v>
      </c>
      <c r="F2634" s="170">
        <v>80</v>
      </c>
    </row>
    <row r="2635" spans="1:6" hidden="1" x14ac:dyDescent="0.25">
      <c r="A2635" s="169">
        <v>43821</v>
      </c>
      <c r="B2635" s="80" t="s">
        <v>3565</v>
      </c>
      <c r="C2635" s="80" t="s">
        <v>182</v>
      </c>
      <c r="D2635" s="80" t="s">
        <v>139</v>
      </c>
      <c r="E2635" s="80" t="s">
        <v>134</v>
      </c>
      <c r="F2635" s="170">
        <v>80</v>
      </c>
    </row>
    <row r="2636" spans="1:6" hidden="1" x14ac:dyDescent="0.25">
      <c r="A2636" s="169">
        <v>43823</v>
      </c>
      <c r="B2636" s="80" t="s">
        <v>3572</v>
      </c>
      <c r="C2636" s="80" t="s">
        <v>164</v>
      </c>
      <c r="D2636" s="80" t="s">
        <v>139</v>
      </c>
      <c r="E2636" s="80" t="s">
        <v>134</v>
      </c>
      <c r="F2636" s="170">
        <v>80</v>
      </c>
    </row>
    <row r="2637" spans="1:6" hidden="1" x14ac:dyDescent="0.25">
      <c r="A2637" s="169">
        <v>43824</v>
      </c>
      <c r="B2637" s="80" t="s">
        <v>3581</v>
      </c>
      <c r="C2637" s="80" t="s">
        <v>157</v>
      </c>
      <c r="D2637" s="80" t="s">
        <v>139</v>
      </c>
      <c r="E2637" s="80" t="s">
        <v>153</v>
      </c>
      <c r="F2637" s="170">
        <v>80</v>
      </c>
    </row>
    <row r="2638" spans="1:6" hidden="1" x14ac:dyDescent="0.25">
      <c r="A2638" s="169">
        <v>43825</v>
      </c>
      <c r="B2638" s="80" t="s">
        <v>3595</v>
      </c>
      <c r="C2638" s="80" t="s">
        <v>164</v>
      </c>
      <c r="D2638" s="80" t="s">
        <v>139</v>
      </c>
      <c r="E2638" s="80" t="s">
        <v>121</v>
      </c>
      <c r="F2638" s="170">
        <v>80</v>
      </c>
    </row>
    <row r="2639" spans="1:6" hidden="1" x14ac:dyDescent="0.25">
      <c r="A2639" s="169">
        <v>43828</v>
      </c>
      <c r="B2639" s="80" t="s">
        <v>3624</v>
      </c>
      <c r="C2639" s="80" t="s">
        <v>136</v>
      </c>
      <c r="D2639" s="80" t="s">
        <v>139</v>
      </c>
      <c r="E2639" s="80" t="s">
        <v>153</v>
      </c>
      <c r="F2639" s="170">
        <v>80</v>
      </c>
    </row>
    <row r="2640" spans="1:6" hidden="1" x14ac:dyDescent="0.25">
      <c r="A2640" s="169">
        <v>43828</v>
      </c>
      <c r="B2640" s="80" t="s">
        <v>3630</v>
      </c>
      <c r="C2640" s="80" t="s">
        <v>189</v>
      </c>
      <c r="D2640" s="80" t="s">
        <v>139</v>
      </c>
      <c r="E2640" s="80" t="s">
        <v>127</v>
      </c>
      <c r="F2640" s="170">
        <v>80</v>
      </c>
    </row>
    <row r="2641" spans="1:6" hidden="1" x14ac:dyDescent="0.25">
      <c r="A2641" s="169">
        <v>43829</v>
      </c>
      <c r="B2641" s="80" t="s">
        <v>3639</v>
      </c>
      <c r="C2641" s="80" t="s">
        <v>152</v>
      </c>
      <c r="D2641" s="80" t="s">
        <v>139</v>
      </c>
      <c r="E2641" s="80" t="s">
        <v>121</v>
      </c>
      <c r="F2641" s="170">
        <v>80</v>
      </c>
    </row>
    <row r="2642" spans="1:6" x14ac:dyDescent="0.25">
      <c r="A2642" s="169">
        <v>43466</v>
      </c>
      <c r="B2642" s="80" t="s">
        <v>144</v>
      </c>
      <c r="C2642" s="80" t="s">
        <v>145</v>
      </c>
      <c r="D2642" s="80" t="s">
        <v>146</v>
      </c>
      <c r="E2642" s="80" t="s">
        <v>121</v>
      </c>
      <c r="F2642" s="170">
        <v>50</v>
      </c>
    </row>
    <row r="2643" spans="1:6" x14ac:dyDescent="0.25">
      <c r="A2643" s="169">
        <v>43469</v>
      </c>
      <c r="B2643" s="80" t="s">
        <v>174</v>
      </c>
      <c r="C2643" s="80" t="s">
        <v>167</v>
      </c>
      <c r="D2643" s="80" t="s">
        <v>146</v>
      </c>
      <c r="E2643" s="80" t="s">
        <v>121</v>
      </c>
      <c r="F2643" s="170">
        <v>50</v>
      </c>
    </row>
    <row r="2644" spans="1:6" hidden="1" x14ac:dyDescent="0.25">
      <c r="A2644" s="169">
        <v>43469</v>
      </c>
      <c r="B2644" s="80" t="s">
        <v>179</v>
      </c>
      <c r="C2644" s="80" t="s">
        <v>138</v>
      </c>
      <c r="D2644" s="80" t="s">
        <v>146</v>
      </c>
      <c r="E2644" s="80" t="s">
        <v>131</v>
      </c>
      <c r="F2644" s="170">
        <v>50</v>
      </c>
    </row>
    <row r="2645" spans="1:6" x14ac:dyDescent="0.25">
      <c r="A2645" s="169">
        <v>43469</v>
      </c>
      <c r="B2645" s="80" t="s">
        <v>184</v>
      </c>
      <c r="C2645" s="80" t="s">
        <v>152</v>
      </c>
      <c r="D2645" s="80" t="s">
        <v>146</v>
      </c>
      <c r="E2645" s="80" t="s">
        <v>121</v>
      </c>
      <c r="F2645" s="170">
        <v>50</v>
      </c>
    </row>
    <row r="2646" spans="1:6" hidden="1" x14ac:dyDescent="0.25">
      <c r="A2646" s="169">
        <v>43471</v>
      </c>
      <c r="B2646" s="80" t="s">
        <v>195</v>
      </c>
      <c r="C2646" s="80" t="s">
        <v>125</v>
      </c>
      <c r="D2646" s="80" t="s">
        <v>146</v>
      </c>
      <c r="E2646" s="80" t="s">
        <v>127</v>
      </c>
      <c r="F2646" s="170">
        <v>50</v>
      </c>
    </row>
    <row r="2647" spans="1:6" x14ac:dyDescent="0.25">
      <c r="A2647" s="169">
        <v>43471</v>
      </c>
      <c r="B2647" s="80" t="s">
        <v>198</v>
      </c>
      <c r="C2647" s="80" t="s">
        <v>187</v>
      </c>
      <c r="D2647" s="80" t="s">
        <v>146</v>
      </c>
      <c r="E2647" s="80" t="s">
        <v>121</v>
      </c>
      <c r="F2647" s="170">
        <v>50</v>
      </c>
    </row>
    <row r="2648" spans="1:6" hidden="1" x14ac:dyDescent="0.25">
      <c r="A2648" s="169">
        <v>43471</v>
      </c>
      <c r="B2648" s="80" t="s">
        <v>202</v>
      </c>
      <c r="C2648" s="80" t="s">
        <v>148</v>
      </c>
      <c r="D2648" s="80" t="s">
        <v>146</v>
      </c>
      <c r="E2648" s="80" t="s">
        <v>134</v>
      </c>
      <c r="F2648" s="170">
        <v>50</v>
      </c>
    </row>
    <row r="2649" spans="1:6" hidden="1" x14ac:dyDescent="0.25">
      <c r="A2649" s="169">
        <v>43471</v>
      </c>
      <c r="B2649" s="80" t="s">
        <v>203</v>
      </c>
      <c r="C2649" s="80" t="s">
        <v>182</v>
      </c>
      <c r="D2649" s="80" t="s">
        <v>146</v>
      </c>
      <c r="E2649" s="80" t="s">
        <v>153</v>
      </c>
      <c r="F2649" s="170">
        <v>50</v>
      </c>
    </row>
    <row r="2650" spans="1:6" hidden="1" x14ac:dyDescent="0.25">
      <c r="A2650" s="169">
        <v>43472</v>
      </c>
      <c r="B2650" s="80" t="s">
        <v>208</v>
      </c>
      <c r="C2650" s="80" t="s">
        <v>123</v>
      </c>
      <c r="D2650" s="80" t="s">
        <v>146</v>
      </c>
      <c r="E2650" s="80" t="s">
        <v>153</v>
      </c>
      <c r="F2650" s="170">
        <v>50</v>
      </c>
    </row>
    <row r="2651" spans="1:6" hidden="1" x14ac:dyDescent="0.25">
      <c r="A2651" s="169">
        <v>43472</v>
      </c>
      <c r="B2651" s="80" t="s">
        <v>214</v>
      </c>
      <c r="C2651" s="80" t="s">
        <v>136</v>
      </c>
      <c r="D2651" s="80" t="s">
        <v>146</v>
      </c>
      <c r="E2651" s="80" t="s">
        <v>127</v>
      </c>
      <c r="F2651" s="170">
        <v>50</v>
      </c>
    </row>
    <row r="2652" spans="1:6" hidden="1" x14ac:dyDescent="0.25">
      <c r="A2652" s="169">
        <v>43472</v>
      </c>
      <c r="B2652" s="80" t="s">
        <v>215</v>
      </c>
      <c r="C2652" s="80" t="s">
        <v>182</v>
      </c>
      <c r="D2652" s="80" t="s">
        <v>146</v>
      </c>
      <c r="E2652" s="80" t="s">
        <v>131</v>
      </c>
      <c r="F2652" s="170">
        <v>50</v>
      </c>
    </row>
    <row r="2653" spans="1:6" hidden="1" x14ac:dyDescent="0.25">
      <c r="A2653" s="169">
        <v>43473</v>
      </c>
      <c r="B2653" s="80" t="s">
        <v>226</v>
      </c>
      <c r="C2653" s="80" t="s">
        <v>157</v>
      </c>
      <c r="D2653" s="80" t="s">
        <v>146</v>
      </c>
      <c r="E2653" s="80" t="s">
        <v>131</v>
      </c>
      <c r="F2653" s="170">
        <v>50</v>
      </c>
    </row>
    <row r="2654" spans="1:6" x14ac:dyDescent="0.25">
      <c r="A2654" s="169">
        <v>43474</v>
      </c>
      <c r="B2654" s="80" t="s">
        <v>235</v>
      </c>
      <c r="C2654" s="80" t="s">
        <v>138</v>
      </c>
      <c r="D2654" s="80" t="s">
        <v>146</v>
      </c>
      <c r="E2654" s="80" t="s">
        <v>121</v>
      </c>
      <c r="F2654" s="170">
        <v>50</v>
      </c>
    </row>
    <row r="2655" spans="1:6" hidden="1" x14ac:dyDescent="0.25">
      <c r="A2655" s="169">
        <v>43475</v>
      </c>
      <c r="B2655" s="80" t="s">
        <v>240</v>
      </c>
      <c r="C2655" s="80" t="s">
        <v>119</v>
      </c>
      <c r="D2655" s="80" t="s">
        <v>146</v>
      </c>
      <c r="E2655" s="80" t="s">
        <v>134</v>
      </c>
      <c r="F2655" s="170">
        <v>50</v>
      </c>
    </row>
    <row r="2656" spans="1:6" hidden="1" x14ac:dyDescent="0.25">
      <c r="A2656" s="169">
        <v>43475</v>
      </c>
      <c r="B2656" s="80" t="s">
        <v>245</v>
      </c>
      <c r="C2656" s="80" t="s">
        <v>167</v>
      </c>
      <c r="D2656" s="80" t="s">
        <v>146</v>
      </c>
      <c r="E2656" s="80" t="s">
        <v>134</v>
      </c>
      <c r="F2656" s="170">
        <v>50</v>
      </c>
    </row>
    <row r="2657" spans="1:6" hidden="1" x14ac:dyDescent="0.25">
      <c r="A2657" s="169">
        <v>43477</v>
      </c>
      <c r="B2657" s="80" t="s">
        <v>264</v>
      </c>
      <c r="C2657" s="80" t="s">
        <v>223</v>
      </c>
      <c r="D2657" s="80" t="s">
        <v>146</v>
      </c>
      <c r="E2657" s="80" t="s">
        <v>134</v>
      </c>
      <c r="F2657" s="170">
        <v>50</v>
      </c>
    </row>
    <row r="2658" spans="1:6" hidden="1" x14ac:dyDescent="0.25">
      <c r="A2658" s="169">
        <v>43477</v>
      </c>
      <c r="B2658" s="80" t="s">
        <v>271</v>
      </c>
      <c r="C2658" s="80" t="s">
        <v>157</v>
      </c>
      <c r="D2658" s="80" t="s">
        <v>146</v>
      </c>
      <c r="E2658" s="80" t="s">
        <v>131</v>
      </c>
      <c r="F2658" s="170">
        <v>50</v>
      </c>
    </row>
    <row r="2659" spans="1:6" hidden="1" x14ac:dyDescent="0.25">
      <c r="A2659" s="169">
        <v>43479</v>
      </c>
      <c r="B2659" s="80" t="s">
        <v>286</v>
      </c>
      <c r="C2659" s="80" t="s">
        <v>129</v>
      </c>
      <c r="D2659" s="80" t="s">
        <v>146</v>
      </c>
      <c r="E2659" s="80" t="s">
        <v>153</v>
      </c>
      <c r="F2659" s="170">
        <v>50</v>
      </c>
    </row>
    <row r="2660" spans="1:6" hidden="1" x14ac:dyDescent="0.25">
      <c r="A2660" s="169">
        <v>43479</v>
      </c>
      <c r="B2660" s="80" t="s">
        <v>287</v>
      </c>
      <c r="C2660" s="80" t="s">
        <v>138</v>
      </c>
      <c r="D2660" s="80" t="s">
        <v>146</v>
      </c>
      <c r="E2660" s="80" t="s">
        <v>153</v>
      </c>
      <c r="F2660" s="170">
        <v>50</v>
      </c>
    </row>
    <row r="2661" spans="1:6" x14ac:dyDescent="0.25">
      <c r="A2661" s="169">
        <v>43479</v>
      </c>
      <c r="B2661" s="80" t="s">
        <v>289</v>
      </c>
      <c r="C2661" s="80" t="s">
        <v>148</v>
      </c>
      <c r="D2661" s="80" t="s">
        <v>146</v>
      </c>
      <c r="E2661" s="80" t="s">
        <v>121</v>
      </c>
      <c r="F2661" s="170">
        <v>50</v>
      </c>
    </row>
    <row r="2662" spans="1:6" hidden="1" x14ac:dyDescent="0.25">
      <c r="A2662" s="169">
        <v>43480</v>
      </c>
      <c r="B2662" s="80" t="s">
        <v>294</v>
      </c>
      <c r="C2662" s="80" t="s">
        <v>148</v>
      </c>
      <c r="D2662" s="80" t="s">
        <v>146</v>
      </c>
      <c r="E2662" s="80" t="s">
        <v>131</v>
      </c>
      <c r="F2662" s="170">
        <v>50</v>
      </c>
    </row>
    <row r="2663" spans="1:6" hidden="1" x14ac:dyDescent="0.25">
      <c r="A2663" s="169">
        <v>43481</v>
      </c>
      <c r="B2663" s="80" t="s">
        <v>309</v>
      </c>
      <c r="C2663" s="80" t="s">
        <v>143</v>
      </c>
      <c r="D2663" s="80" t="s">
        <v>146</v>
      </c>
      <c r="E2663" s="80" t="s">
        <v>153</v>
      </c>
      <c r="F2663" s="170">
        <v>50</v>
      </c>
    </row>
    <row r="2664" spans="1:6" hidden="1" x14ac:dyDescent="0.25">
      <c r="A2664" s="169">
        <v>43481</v>
      </c>
      <c r="B2664" s="80" t="s">
        <v>310</v>
      </c>
      <c r="C2664" s="80" t="s">
        <v>143</v>
      </c>
      <c r="D2664" s="80" t="s">
        <v>146</v>
      </c>
      <c r="E2664" s="80" t="s">
        <v>153</v>
      </c>
      <c r="F2664" s="170">
        <v>50</v>
      </c>
    </row>
    <row r="2665" spans="1:6" hidden="1" x14ac:dyDescent="0.25">
      <c r="A2665" s="169">
        <v>43481</v>
      </c>
      <c r="B2665" s="80" t="s">
        <v>311</v>
      </c>
      <c r="C2665" s="80" t="s">
        <v>136</v>
      </c>
      <c r="D2665" s="80" t="s">
        <v>146</v>
      </c>
      <c r="E2665" s="80" t="s">
        <v>131</v>
      </c>
      <c r="F2665" s="170">
        <v>50</v>
      </c>
    </row>
    <row r="2666" spans="1:6" hidden="1" x14ac:dyDescent="0.25">
      <c r="A2666" s="169">
        <v>43483</v>
      </c>
      <c r="B2666" s="80" t="s">
        <v>324</v>
      </c>
      <c r="C2666" s="80" t="s">
        <v>123</v>
      </c>
      <c r="D2666" s="80" t="s">
        <v>146</v>
      </c>
      <c r="E2666" s="80" t="s">
        <v>131</v>
      </c>
      <c r="F2666" s="170">
        <v>50</v>
      </c>
    </row>
    <row r="2667" spans="1:6" x14ac:dyDescent="0.25">
      <c r="A2667" s="169">
        <v>43483</v>
      </c>
      <c r="B2667" s="80" t="s">
        <v>326</v>
      </c>
      <c r="C2667" s="80" t="s">
        <v>223</v>
      </c>
      <c r="D2667" s="80" t="s">
        <v>146</v>
      </c>
      <c r="E2667" s="80" t="s">
        <v>121</v>
      </c>
      <c r="F2667" s="170">
        <v>50</v>
      </c>
    </row>
    <row r="2668" spans="1:6" hidden="1" x14ac:dyDescent="0.25">
      <c r="A2668" s="169">
        <v>43483</v>
      </c>
      <c r="B2668" s="80" t="s">
        <v>330</v>
      </c>
      <c r="C2668" s="80" t="s">
        <v>152</v>
      </c>
      <c r="D2668" s="80" t="s">
        <v>146</v>
      </c>
      <c r="E2668" s="80" t="s">
        <v>153</v>
      </c>
      <c r="F2668" s="170">
        <v>50</v>
      </c>
    </row>
    <row r="2669" spans="1:6" hidden="1" x14ac:dyDescent="0.25">
      <c r="A2669" s="169">
        <v>43484</v>
      </c>
      <c r="B2669" s="80" t="s">
        <v>334</v>
      </c>
      <c r="C2669" s="80" t="s">
        <v>123</v>
      </c>
      <c r="D2669" s="80" t="s">
        <v>146</v>
      </c>
      <c r="E2669" s="80" t="s">
        <v>134</v>
      </c>
      <c r="F2669" s="170">
        <v>50</v>
      </c>
    </row>
    <row r="2670" spans="1:6" hidden="1" x14ac:dyDescent="0.25">
      <c r="A2670" s="169">
        <v>43484</v>
      </c>
      <c r="B2670" s="80" t="s">
        <v>337</v>
      </c>
      <c r="C2670" s="80" t="s">
        <v>129</v>
      </c>
      <c r="D2670" s="80" t="s">
        <v>146</v>
      </c>
      <c r="E2670" s="80" t="s">
        <v>127</v>
      </c>
      <c r="F2670" s="170">
        <v>50</v>
      </c>
    </row>
    <row r="2671" spans="1:6" x14ac:dyDescent="0.25">
      <c r="A2671" s="169">
        <v>43484</v>
      </c>
      <c r="B2671" s="80" t="s">
        <v>342</v>
      </c>
      <c r="C2671" s="80" t="s">
        <v>143</v>
      </c>
      <c r="D2671" s="80" t="s">
        <v>146</v>
      </c>
      <c r="E2671" s="80" t="s">
        <v>121</v>
      </c>
      <c r="F2671" s="170">
        <v>50</v>
      </c>
    </row>
    <row r="2672" spans="1:6" hidden="1" x14ac:dyDescent="0.25">
      <c r="A2672" s="169">
        <v>43484</v>
      </c>
      <c r="B2672" s="80" t="s">
        <v>344</v>
      </c>
      <c r="C2672" s="80" t="s">
        <v>125</v>
      </c>
      <c r="D2672" s="80" t="s">
        <v>146</v>
      </c>
      <c r="E2672" s="80" t="s">
        <v>134</v>
      </c>
      <c r="F2672" s="170">
        <v>50</v>
      </c>
    </row>
    <row r="2673" spans="1:6" hidden="1" x14ac:dyDescent="0.25">
      <c r="A2673" s="169">
        <v>43485</v>
      </c>
      <c r="B2673" s="80" t="s">
        <v>347</v>
      </c>
      <c r="C2673" s="80" t="s">
        <v>164</v>
      </c>
      <c r="D2673" s="80" t="s">
        <v>146</v>
      </c>
      <c r="E2673" s="80" t="s">
        <v>131</v>
      </c>
      <c r="F2673" s="170">
        <v>50</v>
      </c>
    </row>
    <row r="2674" spans="1:6" x14ac:dyDescent="0.25">
      <c r="A2674" s="169">
        <v>43485</v>
      </c>
      <c r="B2674" s="80" t="s">
        <v>351</v>
      </c>
      <c r="C2674" s="80" t="s">
        <v>136</v>
      </c>
      <c r="D2674" s="80" t="s">
        <v>146</v>
      </c>
      <c r="E2674" s="80" t="s">
        <v>121</v>
      </c>
      <c r="F2674" s="170">
        <v>50</v>
      </c>
    </row>
    <row r="2675" spans="1:6" hidden="1" x14ac:dyDescent="0.25">
      <c r="A2675" s="169">
        <v>43485</v>
      </c>
      <c r="B2675" s="80" t="s">
        <v>352</v>
      </c>
      <c r="C2675" s="80" t="s">
        <v>145</v>
      </c>
      <c r="D2675" s="80" t="s">
        <v>146</v>
      </c>
      <c r="E2675" s="80" t="s">
        <v>127</v>
      </c>
      <c r="F2675" s="170">
        <v>50</v>
      </c>
    </row>
    <row r="2676" spans="1:6" hidden="1" x14ac:dyDescent="0.25">
      <c r="A2676" s="169">
        <v>43487</v>
      </c>
      <c r="B2676" s="80" t="s">
        <v>366</v>
      </c>
      <c r="C2676" s="80" t="s">
        <v>148</v>
      </c>
      <c r="D2676" s="80" t="s">
        <v>146</v>
      </c>
      <c r="E2676" s="80" t="s">
        <v>127</v>
      </c>
      <c r="F2676" s="170">
        <v>50</v>
      </c>
    </row>
    <row r="2677" spans="1:6" hidden="1" x14ac:dyDescent="0.25">
      <c r="A2677" s="169">
        <v>43487</v>
      </c>
      <c r="B2677" s="80" t="s">
        <v>369</v>
      </c>
      <c r="C2677" s="80" t="s">
        <v>136</v>
      </c>
      <c r="D2677" s="80" t="s">
        <v>146</v>
      </c>
      <c r="E2677" s="80" t="s">
        <v>134</v>
      </c>
      <c r="F2677" s="170">
        <v>50</v>
      </c>
    </row>
    <row r="2678" spans="1:6" hidden="1" x14ac:dyDescent="0.25">
      <c r="A2678" s="169">
        <v>43487</v>
      </c>
      <c r="B2678" s="80" t="s">
        <v>373</v>
      </c>
      <c r="C2678" s="80" t="s">
        <v>187</v>
      </c>
      <c r="D2678" s="80" t="s">
        <v>146</v>
      </c>
      <c r="E2678" s="80" t="s">
        <v>127</v>
      </c>
      <c r="F2678" s="170">
        <v>50</v>
      </c>
    </row>
    <row r="2679" spans="1:6" hidden="1" x14ac:dyDescent="0.25">
      <c r="A2679" s="169">
        <v>43487</v>
      </c>
      <c r="B2679" s="80" t="s">
        <v>374</v>
      </c>
      <c r="C2679" s="80" t="s">
        <v>189</v>
      </c>
      <c r="D2679" s="80" t="s">
        <v>146</v>
      </c>
      <c r="E2679" s="80" t="s">
        <v>131</v>
      </c>
      <c r="F2679" s="170">
        <v>50</v>
      </c>
    </row>
    <row r="2680" spans="1:6" hidden="1" x14ac:dyDescent="0.25">
      <c r="A2680" s="169">
        <v>43489</v>
      </c>
      <c r="B2680" s="80" t="s">
        <v>389</v>
      </c>
      <c r="C2680" s="80" t="s">
        <v>129</v>
      </c>
      <c r="D2680" s="80" t="s">
        <v>146</v>
      </c>
      <c r="E2680" s="80" t="s">
        <v>134</v>
      </c>
      <c r="F2680" s="170">
        <v>50</v>
      </c>
    </row>
    <row r="2681" spans="1:6" x14ac:dyDescent="0.25">
      <c r="A2681" s="169">
        <v>43490</v>
      </c>
      <c r="B2681" s="80" t="s">
        <v>413</v>
      </c>
      <c r="C2681" s="80" t="s">
        <v>148</v>
      </c>
      <c r="D2681" s="80" t="s">
        <v>146</v>
      </c>
      <c r="E2681" s="80" t="s">
        <v>121</v>
      </c>
      <c r="F2681" s="170">
        <v>50</v>
      </c>
    </row>
    <row r="2682" spans="1:6" hidden="1" x14ac:dyDescent="0.25">
      <c r="A2682" s="169">
        <v>43491</v>
      </c>
      <c r="B2682" s="80" t="s">
        <v>419</v>
      </c>
      <c r="C2682" s="80" t="s">
        <v>223</v>
      </c>
      <c r="D2682" s="80" t="s">
        <v>146</v>
      </c>
      <c r="E2682" s="80" t="s">
        <v>131</v>
      </c>
      <c r="F2682" s="170">
        <v>50</v>
      </c>
    </row>
    <row r="2683" spans="1:6" hidden="1" x14ac:dyDescent="0.25">
      <c r="A2683" s="169">
        <v>43495</v>
      </c>
      <c r="B2683" s="80" t="s">
        <v>451</v>
      </c>
      <c r="C2683" s="80" t="s">
        <v>223</v>
      </c>
      <c r="D2683" s="80" t="s">
        <v>146</v>
      </c>
      <c r="E2683" s="80" t="s">
        <v>153</v>
      </c>
      <c r="F2683" s="170">
        <v>50</v>
      </c>
    </row>
    <row r="2684" spans="1:6" x14ac:dyDescent="0.25">
      <c r="A2684" s="169">
        <v>43497</v>
      </c>
      <c r="B2684" s="80" t="s">
        <v>471</v>
      </c>
      <c r="C2684" s="80" t="s">
        <v>145</v>
      </c>
      <c r="D2684" s="80" t="s">
        <v>146</v>
      </c>
      <c r="E2684" s="80" t="s">
        <v>121</v>
      </c>
      <c r="F2684" s="170">
        <v>50</v>
      </c>
    </row>
    <row r="2685" spans="1:6" hidden="1" x14ac:dyDescent="0.25">
      <c r="A2685" s="169">
        <v>43497</v>
      </c>
      <c r="B2685" s="80" t="s">
        <v>474</v>
      </c>
      <c r="C2685" s="80" t="s">
        <v>143</v>
      </c>
      <c r="D2685" s="80" t="s">
        <v>146</v>
      </c>
      <c r="E2685" s="80" t="s">
        <v>127</v>
      </c>
      <c r="F2685" s="170">
        <v>50</v>
      </c>
    </row>
    <row r="2686" spans="1:6" hidden="1" x14ac:dyDescent="0.25">
      <c r="A2686" s="169">
        <v>43498</v>
      </c>
      <c r="B2686" s="80" t="s">
        <v>480</v>
      </c>
      <c r="C2686" s="80" t="s">
        <v>136</v>
      </c>
      <c r="D2686" s="80" t="s">
        <v>146</v>
      </c>
      <c r="E2686" s="80" t="s">
        <v>127</v>
      </c>
      <c r="F2686" s="170">
        <v>50</v>
      </c>
    </row>
    <row r="2687" spans="1:6" hidden="1" x14ac:dyDescent="0.25">
      <c r="A2687" s="169">
        <v>43498</v>
      </c>
      <c r="B2687" s="80" t="s">
        <v>481</v>
      </c>
      <c r="C2687" s="80" t="s">
        <v>129</v>
      </c>
      <c r="D2687" s="80" t="s">
        <v>146</v>
      </c>
      <c r="E2687" s="80" t="s">
        <v>127</v>
      </c>
      <c r="F2687" s="170">
        <v>50</v>
      </c>
    </row>
    <row r="2688" spans="1:6" hidden="1" x14ac:dyDescent="0.25">
      <c r="A2688" s="169">
        <v>43501</v>
      </c>
      <c r="B2688" s="80" t="s">
        <v>498</v>
      </c>
      <c r="C2688" s="80" t="s">
        <v>187</v>
      </c>
      <c r="D2688" s="80" t="s">
        <v>146</v>
      </c>
      <c r="E2688" s="80" t="s">
        <v>131</v>
      </c>
      <c r="F2688" s="170">
        <v>50</v>
      </c>
    </row>
    <row r="2689" spans="1:6" hidden="1" x14ac:dyDescent="0.25">
      <c r="A2689" s="169">
        <v>43501</v>
      </c>
      <c r="B2689" s="80" t="s">
        <v>500</v>
      </c>
      <c r="C2689" s="80" t="s">
        <v>136</v>
      </c>
      <c r="D2689" s="80" t="s">
        <v>146</v>
      </c>
      <c r="E2689" s="80" t="s">
        <v>153</v>
      </c>
      <c r="F2689" s="170">
        <v>50</v>
      </c>
    </row>
    <row r="2690" spans="1:6" hidden="1" x14ac:dyDescent="0.25">
      <c r="A2690" s="169">
        <v>43501</v>
      </c>
      <c r="B2690" s="80" t="s">
        <v>502</v>
      </c>
      <c r="C2690" s="80" t="s">
        <v>138</v>
      </c>
      <c r="D2690" s="80" t="s">
        <v>146</v>
      </c>
      <c r="E2690" s="80" t="s">
        <v>134</v>
      </c>
      <c r="F2690" s="170">
        <v>50</v>
      </c>
    </row>
    <row r="2691" spans="1:6" hidden="1" x14ac:dyDescent="0.25">
      <c r="A2691" s="169">
        <v>43502</v>
      </c>
      <c r="B2691" s="80" t="s">
        <v>509</v>
      </c>
      <c r="C2691" s="80" t="s">
        <v>152</v>
      </c>
      <c r="D2691" s="80" t="s">
        <v>146</v>
      </c>
      <c r="E2691" s="80" t="s">
        <v>153</v>
      </c>
      <c r="F2691" s="170">
        <v>50</v>
      </c>
    </row>
    <row r="2692" spans="1:6" x14ac:dyDescent="0.25">
      <c r="A2692" s="169">
        <v>43502</v>
      </c>
      <c r="B2692" s="80" t="s">
        <v>510</v>
      </c>
      <c r="C2692" s="80" t="s">
        <v>125</v>
      </c>
      <c r="D2692" s="80" t="s">
        <v>146</v>
      </c>
      <c r="E2692" s="80" t="s">
        <v>121</v>
      </c>
      <c r="F2692" s="170">
        <v>50</v>
      </c>
    </row>
    <row r="2693" spans="1:6" hidden="1" x14ac:dyDescent="0.25">
      <c r="A2693" s="169">
        <v>43504</v>
      </c>
      <c r="B2693" s="80" t="s">
        <v>522</v>
      </c>
      <c r="C2693" s="80" t="s">
        <v>223</v>
      </c>
      <c r="D2693" s="80" t="s">
        <v>146</v>
      </c>
      <c r="E2693" s="80" t="s">
        <v>131</v>
      </c>
      <c r="F2693" s="170">
        <v>50</v>
      </c>
    </row>
    <row r="2694" spans="1:6" hidden="1" x14ac:dyDescent="0.25">
      <c r="A2694" s="169">
        <v>43506</v>
      </c>
      <c r="B2694" s="80" t="s">
        <v>540</v>
      </c>
      <c r="C2694" s="80" t="s">
        <v>189</v>
      </c>
      <c r="D2694" s="80" t="s">
        <v>146</v>
      </c>
      <c r="E2694" s="80" t="s">
        <v>131</v>
      </c>
      <c r="F2694" s="170">
        <v>50</v>
      </c>
    </row>
    <row r="2695" spans="1:6" hidden="1" x14ac:dyDescent="0.25">
      <c r="A2695" s="169">
        <v>43507</v>
      </c>
      <c r="B2695" s="80" t="s">
        <v>547</v>
      </c>
      <c r="C2695" s="80" t="s">
        <v>167</v>
      </c>
      <c r="D2695" s="80" t="s">
        <v>146</v>
      </c>
      <c r="E2695" s="80" t="s">
        <v>127</v>
      </c>
      <c r="F2695" s="170">
        <v>50</v>
      </c>
    </row>
    <row r="2696" spans="1:6" hidden="1" x14ac:dyDescent="0.25">
      <c r="A2696" s="169">
        <v>43507</v>
      </c>
      <c r="B2696" s="80" t="s">
        <v>552</v>
      </c>
      <c r="C2696" s="80" t="s">
        <v>143</v>
      </c>
      <c r="D2696" s="80" t="s">
        <v>146</v>
      </c>
      <c r="E2696" s="80" t="s">
        <v>127</v>
      </c>
      <c r="F2696" s="170">
        <v>50</v>
      </c>
    </row>
    <row r="2697" spans="1:6" hidden="1" x14ac:dyDescent="0.25">
      <c r="A2697" s="169">
        <v>43508</v>
      </c>
      <c r="B2697" s="80" t="s">
        <v>563</v>
      </c>
      <c r="C2697" s="80" t="s">
        <v>182</v>
      </c>
      <c r="D2697" s="80" t="s">
        <v>146</v>
      </c>
      <c r="E2697" s="80" t="s">
        <v>134</v>
      </c>
      <c r="F2697" s="170">
        <v>50</v>
      </c>
    </row>
    <row r="2698" spans="1:6" hidden="1" x14ac:dyDescent="0.25">
      <c r="A2698" s="169">
        <v>43509</v>
      </c>
      <c r="B2698" s="80" t="s">
        <v>566</v>
      </c>
      <c r="C2698" s="80" t="s">
        <v>129</v>
      </c>
      <c r="D2698" s="80" t="s">
        <v>146</v>
      </c>
      <c r="E2698" s="80" t="s">
        <v>153</v>
      </c>
      <c r="F2698" s="170">
        <v>50</v>
      </c>
    </row>
    <row r="2699" spans="1:6" hidden="1" x14ac:dyDescent="0.25">
      <c r="A2699" s="169">
        <v>43509</v>
      </c>
      <c r="B2699" s="80" t="s">
        <v>569</v>
      </c>
      <c r="C2699" s="80" t="s">
        <v>182</v>
      </c>
      <c r="D2699" s="80" t="s">
        <v>146</v>
      </c>
      <c r="E2699" s="80" t="s">
        <v>131</v>
      </c>
      <c r="F2699" s="170">
        <v>50</v>
      </c>
    </row>
    <row r="2700" spans="1:6" hidden="1" x14ac:dyDescent="0.25">
      <c r="A2700" s="169">
        <v>43510</v>
      </c>
      <c r="B2700" s="80" t="s">
        <v>572</v>
      </c>
      <c r="C2700" s="80" t="s">
        <v>152</v>
      </c>
      <c r="D2700" s="80" t="s">
        <v>146</v>
      </c>
      <c r="E2700" s="80" t="s">
        <v>131</v>
      </c>
      <c r="F2700" s="170">
        <v>50</v>
      </c>
    </row>
    <row r="2701" spans="1:6" x14ac:dyDescent="0.25">
      <c r="A2701" s="169">
        <v>43512</v>
      </c>
      <c r="B2701" s="80" t="s">
        <v>588</v>
      </c>
      <c r="C2701" s="80" t="s">
        <v>182</v>
      </c>
      <c r="D2701" s="80" t="s">
        <v>146</v>
      </c>
      <c r="E2701" s="80" t="s">
        <v>121</v>
      </c>
      <c r="F2701" s="170">
        <v>50</v>
      </c>
    </row>
    <row r="2702" spans="1:6" hidden="1" x14ac:dyDescent="0.25">
      <c r="A2702" s="169">
        <v>43512</v>
      </c>
      <c r="B2702" s="80" t="s">
        <v>589</v>
      </c>
      <c r="C2702" s="80" t="s">
        <v>143</v>
      </c>
      <c r="D2702" s="80" t="s">
        <v>146</v>
      </c>
      <c r="E2702" s="80" t="s">
        <v>127</v>
      </c>
      <c r="F2702" s="170">
        <v>50</v>
      </c>
    </row>
    <row r="2703" spans="1:6" x14ac:dyDescent="0.25">
      <c r="A2703" s="169">
        <v>43512</v>
      </c>
      <c r="B2703" s="80" t="s">
        <v>594</v>
      </c>
      <c r="C2703" s="80" t="s">
        <v>136</v>
      </c>
      <c r="D2703" s="80" t="s">
        <v>146</v>
      </c>
      <c r="E2703" s="80" t="s">
        <v>121</v>
      </c>
      <c r="F2703" s="170">
        <v>50</v>
      </c>
    </row>
    <row r="2704" spans="1:6" hidden="1" x14ac:dyDescent="0.25">
      <c r="A2704" s="169">
        <v>43514</v>
      </c>
      <c r="B2704" s="80" t="s">
        <v>608</v>
      </c>
      <c r="C2704" s="80" t="s">
        <v>138</v>
      </c>
      <c r="D2704" s="80" t="s">
        <v>146</v>
      </c>
      <c r="E2704" s="80" t="s">
        <v>153</v>
      </c>
      <c r="F2704" s="170">
        <v>50</v>
      </c>
    </row>
    <row r="2705" spans="1:6" hidden="1" x14ac:dyDescent="0.25">
      <c r="A2705" s="169">
        <v>43515</v>
      </c>
      <c r="B2705" s="80" t="s">
        <v>617</v>
      </c>
      <c r="C2705" s="80" t="s">
        <v>167</v>
      </c>
      <c r="D2705" s="80" t="s">
        <v>146</v>
      </c>
      <c r="E2705" s="80" t="s">
        <v>134</v>
      </c>
      <c r="F2705" s="170">
        <v>50</v>
      </c>
    </row>
    <row r="2706" spans="1:6" hidden="1" x14ac:dyDescent="0.25">
      <c r="A2706" s="169">
        <v>43515</v>
      </c>
      <c r="B2706" s="80" t="s">
        <v>624</v>
      </c>
      <c r="C2706" s="80" t="s">
        <v>129</v>
      </c>
      <c r="D2706" s="80" t="s">
        <v>146</v>
      </c>
      <c r="E2706" s="80" t="s">
        <v>127</v>
      </c>
      <c r="F2706" s="170">
        <v>50</v>
      </c>
    </row>
    <row r="2707" spans="1:6" hidden="1" x14ac:dyDescent="0.25">
      <c r="A2707" s="169">
        <v>43517</v>
      </c>
      <c r="B2707" s="80" t="s">
        <v>639</v>
      </c>
      <c r="C2707" s="80" t="s">
        <v>167</v>
      </c>
      <c r="D2707" s="80" t="s">
        <v>146</v>
      </c>
      <c r="E2707" s="80" t="s">
        <v>134</v>
      </c>
      <c r="F2707" s="170">
        <v>50</v>
      </c>
    </row>
    <row r="2708" spans="1:6" hidden="1" x14ac:dyDescent="0.25">
      <c r="A2708" s="169">
        <v>43517</v>
      </c>
      <c r="B2708" s="80" t="s">
        <v>641</v>
      </c>
      <c r="C2708" s="80" t="s">
        <v>123</v>
      </c>
      <c r="D2708" s="80" t="s">
        <v>146</v>
      </c>
      <c r="E2708" s="80" t="s">
        <v>134</v>
      </c>
      <c r="F2708" s="170">
        <v>50</v>
      </c>
    </row>
    <row r="2709" spans="1:6" hidden="1" x14ac:dyDescent="0.25">
      <c r="A2709" s="169">
        <v>43517</v>
      </c>
      <c r="B2709" s="80" t="s">
        <v>642</v>
      </c>
      <c r="C2709" s="80" t="s">
        <v>138</v>
      </c>
      <c r="D2709" s="80" t="s">
        <v>146</v>
      </c>
      <c r="E2709" s="80" t="s">
        <v>131</v>
      </c>
      <c r="F2709" s="170">
        <v>50</v>
      </c>
    </row>
    <row r="2710" spans="1:6" hidden="1" x14ac:dyDescent="0.25">
      <c r="A2710" s="169">
        <v>43519</v>
      </c>
      <c r="B2710" s="80" t="s">
        <v>664</v>
      </c>
      <c r="C2710" s="80" t="s">
        <v>187</v>
      </c>
      <c r="D2710" s="80" t="s">
        <v>146</v>
      </c>
      <c r="E2710" s="80" t="s">
        <v>127</v>
      </c>
      <c r="F2710" s="170">
        <v>50</v>
      </c>
    </row>
    <row r="2711" spans="1:6" hidden="1" x14ac:dyDescent="0.25">
      <c r="A2711" s="169">
        <v>43522</v>
      </c>
      <c r="B2711" s="80" t="s">
        <v>691</v>
      </c>
      <c r="C2711" s="80" t="s">
        <v>182</v>
      </c>
      <c r="D2711" s="80" t="s">
        <v>146</v>
      </c>
      <c r="E2711" s="80" t="s">
        <v>134</v>
      </c>
      <c r="F2711" s="170">
        <v>50</v>
      </c>
    </row>
    <row r="2712" spans="1:6" hidden="1" x14ac:dyDescent="0.25">
      <c r="A2712" s="169">
        <v>43522</v>
      </c>
      <c r="B2712" s="80" t="s">
        <v>694</v>
      </c>
      <c r="C2712" s="80" t="s">
        <v>136</v>
      </c>
      <c r="D2712" s="80" t="s">
        <v>146</v>
      </c>
      <c r="E2712" s="80" t="s">
        <v>134</v>
      </c>
      <c r="F2712" s="170">
        <v>50</v>
      </c>
    </row>
    <row r="2713" spans="1:6" hidden="1" x14ac:dyDescent="0.25">
      <c r="A2713" s="169">
        <v>43525</v>
      </c>
      <c r="B2713" s="80" t="s">
        <v>724</v>
      </c>
      <c r="C2713" s="80" t="s">
        <v>152</v>
      </c>
      <c r="D2713" s="80" t="s">
        <v>146</v>
      </c>
      <c r="E2713" s="80" t="s">
        <v>127</v>
      </c>
      <c r="F2713" s="170">
        <v>50</v>
      </c>
    </row>
    <row r="2714" spans="1:6" x14ac:dyDescent="0.25">
      <c r="A2714" s="169">
        <v>43528</v>
      </c>
      <c r="B2714" s="80" t="s">
        <v>741</v>
      </c>
      <c r="C2714" s="80" t="s">
        <v>143</v>
      </c>
      <c r="D2714" s="80" t="s">
        <v>146</v>
      </c>
      <c r="E2714" s="80" t="s">
        <v>121</v>
      </c>
      <c r="F2714" s="170">
        <v>50</v>
      </c>
    </row>
    <row r="2715" spans="1:6" hidden="1" x14ac:dyDescent="0.25">
      <c r="A2715" s="169">
        <v>43529</v>
      </c>
      <c r="B2715" s="80" t="s">
        <v>750</v>
      </c>
      <c r="C2715" s="80" t="s">
        <v>223</v>
      </c>
      <c r="D2715" s="80" t="s">
        <v>146</v>
      </c>
      <c r="E2715" s="80" t="s">
        <v>153</v>
      </c>
      <c r="F2715" s="170">
        <v>50</v>
      </c>
    </row>
    <row r="2716" spans="1:6" hidden="1" x14ac:dyDescent="0.25">
      <c r="A2716" s="169">
        <v>43529</v>
      </c>
      <c r="B2716" s="80" t="s">
        <v>754</v>
      </c>
      <c r="C2716" s="80" t="s">
        <v>145</v>
      </c>
      <c r="D2716" s="80" t="s">
        <v>146</v>
      </c>
      <c r="E2716" s="80" t="s">
        <v>127</v>
      </c>
      <c r="F2716" s="170">
        <v>50</v>
      </c>
    </row>
    <row r="2717" spans="1:6" hidden="1" x14ac:dyDescent="0.25">
      <c r="A2717" s="169">
        <v>43530</v>
      </c>
      <c r="B2717" s="80" t="s">
        <v>761</v>
      </c>
      <c r="C2717" s="80" t="s">
        <v>189</v>
      </c>
      <c r="D2717" s="80" t="s">
        <v>146</v>
      </c>
      <c r="E2717" s="80" t="s">
        <v>131</v>
      </c>
      <c r="F2717" s="170">
        <v>50</v>
      </c>
    </row>
    <row r="2718" spans="1:6" hidden="1" x14ac:dyDescent="0.25">
      <c r="A2718" s="169">
        <v>43533</v>
      </c>
      <c r="B2718" s="80" t="s">
        <v>793</v>
      </c>
      <c r="C2718" s="80" t="s">
        <v>125</v>
      </c>
      <c r="D2718" s="80" t="s">
        <v>146</v>
      </c>
      <c r="E2718" s="80" t="s">
        <v>134</v>
      </c>
      <c r="F2718" s="170">
        <v>50</v>
      </c>
    </row>
    <row r="2719" spans="1:6" hidden="1" x14ac:dyDescent="0.25">
      <c r="A2719" s="169">
        <v>43535</v>
      </c>
      <c r="B2719" s="80" t="s">
        <v>805</v>
      </c>
      <c r="C2719" s="80" t="s">
        <v>148</v>
      </c>
      <c r="D2719" s="80" t="s">
        <v>146</v>
      </c>
      <c r="E2719" s="80" t="s">
        <v>127</v>
      </c>
      <c r="F2719" s="170">
        <v>50</v>
      </c>
    </row>
    <row r="2720" spans="1:6" hidden="1" x14ac:dyDescent="0.25">
      <c r="A2720" s="169">
        <v>43536</v>
      </c>
      <c r="B2720" s="80" t="s">
        <v>813</v>
      </c>
      <c r="C2720" s="80" t="s">
        <v>138</v>
      </c>
      <c r="D2720" s="80" t="s">
        <v>146</v>
      </c>
      <c r="E2720" s="80" t="s">
        <v>131</v>
      </c>
      <c r="F2720" s="170">
        <v>50</v>
      </c>
    </row>
    <row r="2721" spans="1:6" hidden="1" x14ac:dyDescent="0.25">
      <c r="A2721" s="169">
        <v>43536</v>
      </c>
      <c r="B2721" s="80" t="s">
        <v>817</v>
      </c>
      <c r="C2721" s="80" t="s">
        <v>125</v>
      </c>
      <c r="D2721" s="80" t="s">
        <v>146</v>
      </c>
      <c r="E2721" s="80" t="s">
        <v>127</v>
      </c>
      <c r="F2721" s="170">
        <v>50</v>
      </c>
    </row>
    <row r="2722" spans="1:6" hidden="1" x14ac:dyDescent="0.25">
      <c r="A2722" s="169">
        <v>43536</v>
      </c>
      <c r="B2722" s="80" t="s">
        <v>818</v>
      </c>
      <c r="C2722" s="80" t="s">
        <v>148</v>
      </c>
      <c r="D2722" s="80" t="s">
        <v>146</v>
      </c>
      <c r="E2722" s="80" t="s">
        <v>131</v>
      </c>
      <c r="F2722" s="170">
        <v>50</v>
      </c>
    </row>
    <row r="2723" spans="1:6" x14ac:dyDescent="0.25">
      <c r="A2723" s="169">
        <v>43536</v>
      </c>
      <c r="B2723" s="80" t="s">
        <v>822</v>
      </c>
      <c r="C2723" s="80" t="s">
        <v>164</v>
      </c>
      <c r="D2723" s="80" t="s">
        <v>146</v>
      </c>
      <c r="E2723" s="80" t="s">
        <v>121</v>
      </c>
      <c r="F2723" s="170">
        <v>50</v>
      </c>
    </row>
    <row r="2724" spans="1:6" hidden="1" x14ac:dyDescent="0.25">
      <c r="A2724" s="169">
        <v>43537</v>
      </c>
      <c r="B2724" s="80" t="s">
        <v>823</v>
      </c>
      <c r="C2724" s="80" t="s">
        <v>223</v>
      </c>
      <c r="D2724" s="80" t="s">
        <v>146</v>
      </c>
      <c r="E2724" s="80" t="s">
        <v>153</v>
      </c>
      <c r="F2724" s="170">
        <v>50</v>
      </c>
    </row>
    <row r="2725" spans="1:6" hidden="1" x14ac:dyDescent="0.25">
      <c r="A2725" s="169">
        <v>43537</v>
      </c>
      <c r="B2725" s="80" t="s">
        <v>829</v>
      </c>
      <c r="C2725" s="80" t="s">
        <v>152</v>
      </c>
      <c r="D2725" s="80" t="s">
        <v>146</v>
      </c>
      <c r="E2725" s="80" t="s">
        <v>153</v>
      </c>
      <c r="F2725" s="170">
        <v>50</v>
      </c>
    </row>
    <row r="2726" spans="1:6" hidden="1" x14ac:dyDescent="0.25">
      <c r="A2726" s="169">
        <v>43539</v>
      </c>
      <c r="B2726" s="80" t="s">
        <v>846</v>
      </c>
      <c r="C2726" s="80" t="s">
        <v>148</v>
      </c>
      <c r="D2726" s="80" t="s">
        <v>146</v>
      </c>
      <c r="E2726" s="80" t="s">
        <v>127</v>
      </c>
      <c r="F2726" s="170">
        <v>50</v>
      </c>
    </row>
    <row r="2727" spans="1:6" hidden="1" x14ac:dyDescent="0.25">
      <c r="A2727" s="169">
        <v>43539</v>
      </c>
      <c r="B2727" s="80" t="s">
        <v>848</v>
      </c>
      <c r="C2727" s="80" t="s">
        <v>157</v>
      </c>
      <c r="D2727" s="80" t="s">
        <v>146</v>
      </c>
      <c r="E2727" s="80" t="s">
        <v>131</v>
      </c>
      <c r="F2727" s="170">
        <v>50</v>
      </c>
    </row>
    <row r="2728" spans="1:6" hidden="1" x14ac:dyDescent="0.25">
      <c r="A2728" s="169">
        <v>43540</v>
      </c>
      <c r="B2728" s="80" t="s">
        <v>864</v>
      </c>
      <c r="C2728" s="80" t="s">
        <v>164</v>
      </c>
      <c r="D2728" s="80" t="s">
        <v>146</v>
      </c>
      <c r="E2728" s="80" t="s">
        <v>134</v>
      </c>
      <c r="F2728" s="170">
        <v>50</v>
      </c>
    </row>
    <row r="2729" spans="1:6" x14ac:dyDescent="0.25">
      <c r="A2729" s="169">
        <v>43540</v>
      </c>
      <c r="B2729" s="80" t="s">
        <v>868</v>
      </c>
      <c r="C2729" s="80" t="s">
        <v>136</v>
      </c>
      <c r="D2729" s="80" t="s">
        <v>146</v>
      </c>
      <c r="E2729" s="80" t="s">
        <v>121</v>
      </c>
      <c r="F2729" s="170">
        <v>50</v>
      </c>
    </row>
    <row r="2730" spans="1:6" hidden="1" x14ac:dyDescent="0.25">
      <c r="A2730" s="169">
        <v>43542</v>
      </c>
      <c r="B2730" s="80" t="s">
        <v>881</v>
      </c>
      <c r="C2730" s="80" t="s">
        <v>167</v>
      </c>
      <c r="D2730" s="80" t="s">
        <v>146</v>
      </c>
      <c r="E2730" s="80" t="s">
        <v>134</v>
      </c>
      <c r="F2730" s="170">
        <v>50</v>
      </c>
    </row>
    <row r="2731" spans="1:6" hidden="1" x14ac:dyDescent="0.25">
      <c r="A2731" s="169">
        <v>43543</v>
      </c>
      <c r="B2731" s="80" t="s">
        <v>885</v>
      </c>
      <c r="C2731" s="80" t="s">
        <v>189</v>
      </c>
      <c r="D2731" s="80" t="s">
        <v>146</v>
      </c>
      <c r="E2731" s="80" t="s">
        <v>127</v>
      </c>
      <c r="F2731" s="170">
        <v>50</v>
      </c>
    </row>
    <row r="2732" spans="1:6" hidden="1" x14ac:dyDescent="0.25">
      <c r="A2732" s="169">
        <v>43544</v>
      </c>
      <c r="B2732" s="80" t="s">
        <v>891</v>
      </c>
      <c r="C2732" s="80" t="s">
        <v>123</v>
      </c>
      <c r="D2732" s="80" t="s">
        <v>146</v>
      </c>
      <c r="E2732" s="80" t="s">
        <v>131</v>
      </c>
      <c r="F2732" s="170">
        <v>50</v>
      </c>
    </row>
    <row r="2733" spans="1:6" hidden="1" x14ac:dyDescent="0.25">
      <c r="A2733" s="169">
        <v>43545</v>
      </c>
      <c r="B2733" s="80" t="s">
        <v>898</v>
      </c>
      <c r="C2733" s="80" t="s">
        <v>145</v>
      </c>
      <c r="D2733" s="80" t="s">
        <v>146</v>
      </c>
      <c r="E2733" s="80" t="s">
        <v>127</v>
      </c>
      <c r="F2733" s="170">
        <v>50</v>
      </c>
    </row>
    <row r="2734" spans="1:6" hidden="1" x14ac:dyDescent="0.25">
      <c r="A2734" s="169">
        <v>43545</v>
      </c>
      <c r="B2734" s="80" t="s">
        <v>902</v>
      </c>
      <c r="C2734" s="80" t="s">
        <v>152</v>
      </c>
      <c r="D2734" s="80" t="s">
        <v>146</v>
      </c>
      <c r="E2734" s="80" t="s">
        <v>153</v>
      </c>
      <c r="F2734" s="170">
        <v>50</v>
      </c>
    </row>
    <row r="2735" spans="1:6" hidden="1" x14ac:dyDescent="0.25">
      <c r="A2735" s="169">
        <v>43546</v>
      </c>
      <c r="B2735" s="80" t="s">
        <v>910</v>
      </c>
      <c r="C2735" s="80" t="s">
        <v>152</v>
      </c>
      <c r="D2735" s="80" t="s">
        <v>146</v>
      </c>
      <c r="E2735" s="80" t="s">
        <v>153</v>
      </c>
      <c r="F2735" s="170">
        <v>50</v>
      </c>
    </row>
    <row r="2736" spans="1:6" hidden="1" x14ac:dyDescent="0.25">
      <c r="A2736" s="169">
        <v>43548</v>
      </c>
      <c r="B2736" s="80" t="s">
        <v>928</v>
      </c>
      <c r="C2736" s="80" t="s">
        <v>123</v>
      </c>
      <c r="D2736" s="80" t="s">
        <v>146</v>
      </c>
      <c r="E2736" s="80" t="s">
        <v>131</v>
      </c>
      <c r="F2736" s="170">
        <v>50</v>
      </c>
    </row>
    <row r="2737" spans="1:6" hidden="1" x14ac:dyDescent="0.25">
      <c r="A2737" s="169">
        <v>43548</v>
      </c>
      <c r="B2737" s="80" t="s">
        <v>930</v>
      </c>
      <c r="C2737" s="80" t="s">
        <v>157</v>
      </c>
      <c r="D2737" s="80" t="s">
        <v>146</v>
      </c>
      <c r="E2737" s="80" t="s">
        <v>134</v>
      </c>
      <c r="F2737" s="170">
        <v>50</v>
      </c>
    </row>
    <row r="2738" spans="1:6" hidden="1" x14ac:dyDescent="0.25">
      <c r="A2738" s="169">
        <v>43548</v>
      </c>
      <c r="B2738" s="80" t="s">
        <v>931</v>
      </c>
      <c r="C2738" s="80" t="s">
        <v>223</v>
      </c>
      <c r="D2738" s="80" t="s">
        <v>146</v>
      </c>
      <c r="E2738" s="80" t="s">
        <v>153</v>
      </c>
      <c r="F2738" s="170">
        <v>50</v>
      </c>
    </row>
    <row r="2739" spans="1:6" hidden="1" x14ac:dyDescent="0.25">
      <c r="A2739" s="169">
        <v>43548</v>
      </c>
      <c r="B2739" s="80" t="s">
        <v>939</v>
      </c>
      <c r="C2739" s="80" t="s">
        <v>223</v>
      </c>
      <c r="D2739" s="80" t="s">
        <v>146</v>
      </c>
      <c r="E2739" s="80" t="s">
        <v>134</v>
      </c>
      <c r="F2739" s="170">
        <v>50</v>
      </c>
    </row>
    <row r="2740" spans="1:6" hidden="1" x14ac:dyDescent="0.25">
      <c r="A2740" s="169">
        <v>43549</v>
      </c>
      <c r="B2740" s="80" t="s">
        <v>945</v>
      </c>
      <c r="C2740" s="80" t="s">
        <v>189</v>
      </c>
      <c r="D2740" s="80" t="s">
        <v>146</v>
      </c>
      <c r="E2740" s="80" t="s">
        <v>131</v>
      </c>
      <c r="F2740" s="170">
        <v>50</v>
      </c>
    </row>
    <row r="2741" spans="1:6" hidden="1" x14ac:dyDescent="0.25">
      <c r="A2741" s="169">
        <v>43551</v>
      </c>
      <c r="B2741" s="80" t="s">
        <v>957</v>
      </c>
      <c r="C2741" s="80" t="s">
        <v>129</v>
      </c>
      <c r="D2741" s="80" t="s">
        <v>146</v>
      </c>
      <c r="E2741" s="80" t="s">
        <v>131</v>
      </c>
      <c r="F2741" s="170">
        <v>50</v>
      </c>
    </row>
    <row r="2742" spans="1:6" x14ac:dyDescent="0.25">
      <c r="A2742" s="169">
        <v>43552</v>
      </c>
      <c r="B2742" s="80" t="s">
        <v>968</v>
      </c>
      <c r="C2742" s="80" t="s">
        <v>152</v>
      </c>
      <c r="D2742" s="80" t="s">
        <v>146</v>
      </c>
      <c r="E2742" s="80" t="s">
        <v>121</v>
      </c>
      <c r="F2742" s="170">
        <v>50</v>
      </c>
    </row>
    <row r="2743" spans="1:6" x14ac:dyDescent="0.25">
      <c r="A2743" s="169">
        <v>43554</v>
      </c>
      <c r="B2743" s="80" t="s">
        <v>985</v>
      </c>
      <c r="C2743" s="80" t="s">
        <v>125</v>
      </c>
      <c r="D2743" s="80" t="s">
        <v>146</v>
      </c>
      <c r="E2743" s="80" t="s">
        <v>121</v>
      </c>
      <c r="F2743" s="170">
        <v>50</v>
      </c>
    </row>
    <row r="2744" spans="1:6" hidden="1" x14ac:dyDescent="0.25">
      <c r="A2744" s="169">
        <v>43554</v>
      </c>
      <c r="B2744" s="80" t="s">
        <v>986</v>
      </c>
      <c r="C2744" s="80" t="s">
        <v>148</v>
      </c>
      <c r="D2744" s="80" t="s">
        <v>146</v>
      </c>
      <c r="E2744" s="80" t="s">
        <v>153</v>
      </c>
      <c r="F2744" s="170">
        <v>50</v>
      </c>
    </row>
    <row r="2745" spans="1:6" hidden="1" x14ac:dyDescent="0.25">
      <c r="A2745" s="169">
        <v>43554</v>
      </c>
      <c r="B2745" s="80" t="s">
        <v>988</v>
      </c>
      <c r="C2745" s="80" t="s">
        <v>223</v>
      </c>
      <c r="D2745" s="80" t="s">
        <v>146</v>
      </c>
      <c r="E2745" s="80" t="s">
        <v>134</v>
      </c>
      <c r="F2745" s="170">
        <v>50</v>
      </c>
    </row>
    <row r="2746" spans="1:6" x14ac:dyDescent="0.25">
      <c r="A2746" s="169">
        <v>43557</v>
      </c>
      <c r="B2746" s="80" t="s">
        <v>1016</v>
      </c>
      <c r="C2746" s="80" t="s">
        <v>145</v>
      </c>
      <c r="D2746" s="80" t="s">
        <v>146</v>
      </c>
      <c r="E2746" s="80" t="s">
        <v>121</v>
      </c>
      <c r="F2746" s="170">
        <v>50</v>
      </c>
    </row>
    <row r="2747" spans="1:6" hidden="1" x14ac:dyDescent="0.25">
      <c r="A2747" s="169">
        <v>43558</v>
      </c>
      <c r="B2747" s="80" t="s">
        <v>1025</v>
      </c>
      <c r="C2747" s="80" t="s">
        <v>148</v>
      </c>
      <c r="D2747" s="80" t="s">
        <v>146</v>
      </c>
      <c r="E2747" s="80" t="s">
        <v>153</v>
      </c>
      <c r="F2747" s="170">
        <v>50</v>
      </c>
    </row>
    <row r="2748" spans="1:6" hidden="1" x14ac:dyDescent="0.25">
      <c r="A2748" s="169">
        <v>43558</v>
      </c>
      <c r="B2748" s="80" t="s">
        <v>1029</v>
      </c>
      <c r="C2748" s="80" t="s">
        <v>129</v>
      </c>
      <c r="D2748" s="80" t="s">
        <v>146</v>
      </c>
      <c r="E2748" s="80" t="s">
        <v>127</v>
      </c>
      <c r="F2748" s="170">
        <v>50</v>
      </c>
    </row>
    <row r="2749" spans="1:6" hidden="1" x14ac:dyDescent="0.25">
      <c r="A2749" s="169">
        <v>43558</v>
      </c>
      <c r="B2749" s="80" t="s">
        <v>1031</v>
      </c>
      <c r="C2749" s="80" t="s">
        <v>145</v>
      </c>
      <c r="D2749" s="80" t="s">
        <v>146</v>
      </c>
      <c r="E2749" s="80" t="s">
        <v>131</v>
      </c>
      <c r="F2749" s="170">
        <v>50</v>
      </c>
    </row>
    <row r="2750" spans="1:6" x14ac:dyDescent="0.25">
      <c r="A2750" s="169">
        <v>43558</v>
      </c>
      <c r="B2750" s="80" t="s">
        <v>1033</v>
      </c>
      <c r="C2750" s="80" t="s">
        <v>157</v>
      </c>
      <c r="D2750" s="80" t="s">
        <v>146</v>
      </c>
      <c r="E2750" s="80" t="s">
        <v>121</v>
      </c>
      <c r="F2750" s="170">
        <v>50</v>
      </c>
    </row>
    <row r="2751" spans="1:6" hidden="1" x14ac:dyDescent="0.25">
      <c r="A2751" s="169">
        <v>43559</v>
      </c>
      <c r="B2751" s="80" t="s">
        <v>1042</v>
      </c>
      <c r="C2751" s="80" t="s">
        <v>119</v>
      </c>
      <c r="D2751" s="80" t="s">
        <v>146</v>
      </c>
      <c r="E2751" s="80" t="s">
        <v>153</v>
      </c>
      <c r="F2751" s="170">
        <v>50</v>
      </c>
    </row>
    <row r="2752" spans="1:6" hidden="1" x14ac:dyDescent="0.25">
      <c r="A2752" s="169">
        <v>43559</v>
      </c>
      <c r="B2752" s="80" t="s">
        <v>1043</v>
      </c>
      <c r="C2752" s="80" t="s">
        <v>143</v>
      </c>
      <c r="D2752" s="80" t="s">
        <v>146</v>
      </c>
      <c r="E2752" s="80" t="s">
        <v>134</v>
      </c>
      <c r="F2752" s="170">
        <v>50</v>
      </c>
    </row>
    <row r="2753" spans="1:6" hidden="1" x14ac:dyDescent="0.25">
      <c r="A2753" s="169">
        <v>43562</v>
      </c>
      <c r="B2753" s="80" t="s">
        <v>1068</v>
      </c>
      <c r="C2753" s="80" t="s">
        <v>223</v>
      </c>
      <c r="D2753" s="80" t="s">
        <v>146</v>
      </c>
      <c r="E2753" s="80" t="s">
        <v>153</v>
      </c>
      <c r="F2753" s="170">
        <v>50</v>
      </c>
    </row>
    <row r="2754" spans="1:6" x14ac:dyDescent="0.25">
      <c r="A2754" s="169">
        <v>43564</v>
      </c>
      <c r="B2754" s="80" t="s">
        <v>1086</v>
      </c>
      <c r="C2754" s="80" t="s">
        <v>145</v>
      </c>
      <c r="D2754" s="80" t="s">
        <v>146</v>
      </c>
      <c r="E2754" s="80" t="s">
        <v>121</v>
      </c>
      <c r="F2754" s="170">
        <v>50</v>
      </c>
    </row>
    <row r="2755" spans="1:6" hidden="1" x14ac:dyDescent="0.25">
      <c r="A2755" s="169">
        <v>43566</v>
      </c>
      <c r="B2755" s="80" t="s">
        <v>1099</v>
      </c>
      <c r="C2755" s="80" t="s">
        <v>167</v>
      </c>
      <c r="D2755" s="80" t="s">
        <v>146</v>
      </c>
      <c r="E2755" s="80" t="s">
        <v>127</v>
      </c>
      <c r="F2755" s="170">
        <v>50</v>
      </c>
    </row>
    <row r="2756" spans="1:6" hidden="1" x14ac:dyDescent="0.25">
      <c r="A2756" s="169">
        <v>43567</v>
      </c>
      <c r="B2756" s="80" t="s">
        <v>1108</v>
      </c>
      <c r="C2756" s="80" t="s">
        <v>129</v>
      </c>
      <c r="D2756" s="80" t="s">
        <v>146</v>
      </c>
      <c r="E2756" s="80" t="s">
        <v>153</v>
      </c>
      <c r="F2756" s="170">
        <v>50</v>
      </c>
    </row>
    <row r="2757" spans="1:6" x14ac:dyDescent="0.25">
      <c r="A2757" s="169">
        <v>43568</v>
      </c>
      <c r="B2757" s="80" t="s">
        <v>1110</v>
      </c>
      <c r="C2757" s="80" t="s">
        <v>123</v>
      </c>
      <c r="D2757" s="80" t="s">
        <v>146</v>
      </c>
      <c r="E2757" s="80" t="s">
        <v>121</v>
      </c>
      <c r="F2757" s="170">
        <v>50</v>
      </c>
    </row>
    <row r="2758" spans="1:6" hidden="1" x14ac:dyDescent="0.25">
      <c r="A2758" s="169">
        <v>43568</v>
      </c>
      <c r="B2758" s="80" t="s">
        <v>1111</v>
      </c>
      <c r="C2758" s="80" t="s">
        <v>145</v>
      </c>
      <c r="D2758" s="80" t="s">
        <v>146</v>
      </c>
      <c r="E2758" s="80" t="s">
        <v>131</v>
      </c>
      <c r="F2758" s="170">
        <v>50</v>
      </c>
    </row>
    <row r="2759" spans="1:6" x14ac:dyDescent="0.25">
      <c r="A2759" s="169">
        <v>43569</v>
      </c>
      <c r="B2759" s="80" t="s">
        <v>1125</v>
      </c>
      <c r="C2759" s="80" t="s">
        <v>125</v>
      </c>
      <c r="D2759" s="80" t="s">
        <v>146</v>
      </c>
      <c r="E2759" s="80" t="s">
        <v>121</v>
      </c>
      <c r="F2759" s="170">
        <v>50</v>
      </c>
    </row>
    <row r="2760" spans="1:6" hidden="1" x14ac:dyDescent="0.25">
      <c r="A2760" s="169">
        <v>43569</v>
      </c>
      <c r="B2760" s="80" t="s">
        <v>1130</v>
      </c>
      <c r="C2760" s="80" t="s">
        <v>182</v>
      </c>
      <c r="D2760" s="80" t="s">
        <v>146</v>
      </c>
      <c r="E2760" s="80" t="s">
        <v>131</v>
      </c>
      <c r="F2760" s="170">
        <v>50</v>
      </c>
    </row>
    <row r="2761" spans="1:6" hidden="1" x14ac:dyDescent="0.25">
      <c r="A2761" s="169">
        <v>43574</v>
      </c>
      <c r="B2761" s="80" t="s">
        <v>1177</v>
      </c>
      <c r="C2761" s="80" t="s">
        <v>125</v>
      </c>
      <c r="D2761" s="80" t="s">
        <v>146</v>
      </c>
      <c r="E2761" s="80" t="s">
        <v>134</v>
      </c>
      <c r="F2761" s="170">
        <v>50</v>
      </c>
    </row>
    <row r="2762" spans="1:6" hidden="1" x14ac:dyDescent="0.25">
      <c r="A2762" s="169">
        <v>43575</v>
      </c>
      <c r="B2762" s="80" t="s">
        <v>1186</v>
      </c>
      <c r="C2762" s="80" t="s">
        <v>123</v>
      </c>
      <c r="D2762" s="80" t="s">
        <v>146</v>
      </c>
      <c r="E2762" s="80" t="s">
        <v>153</v>
      </c>
      <c r="F2762" s="170">
        <v>50</v>
      </c>
    </row>
    <row r="2763" spans="1:6" hidden="1" x14ac:dyDescent="0.25">
      <c r="A2763" s="169">
        <v>43575</v>
      </c>
      <c r="B2763" s="80" t="s">
        <v>1187</v>
      </c>
      <c r="C2763" s="80" t="s">
        <v>136</v>
      </c>
      <c r="D2763" s="80" t="s">
        <v>146</v>
      </c>
      <c r="E2763" s="80" t="s">
        <v>127</v>
      </c>
      <c r="F2763" s="170">
        <v>50</v>
      </c>
    </row>
    <row r="2764" spans="1:6" hidden="1" x14ac:dyDescent="0.25">
      <c r="A2764" s="169">
        <v>43575</v>
      </c>
      <c r="B2764" s="80" t="s">
        <v>1190</v>
      </c>
      <c r="C2764" s="80" t="s">
        <v>129</v>
      </c>
      <c r="D2764" s="80" t="s">
        <v>146</v>
      </c>
      <c r="E2764" s="80" t="s">
        <v>131</v>
      </c>
      <c r="F2764" s="170">
        <v>50</v>
      </c>
    </row>
    <row r="2765" spans="1:6" hidden="1" x14ac:dyDescent="0.25">
      <c r="A2765" s="169">
        <v>43575</v>
      </c>
      <c r="B2765" s="80" t="s">
        <v>1191</v>
      </c>
      <c r="C2765" s="80" t="s">
        <v>182</v>
      </c>
      <c r="D2765" s="80" t="s">
        <v>146</v>
      </c>
      <c r="E2765" s="80" t="s">
        <v>134</v>
      </c>
      <c r="F2765" s="170">
        <v>50</v>
      </c>
    </row>
    <row r="2766" spans="1:6" hidden="1" x14ac:dyDescent="0.25">
      <c r="A2766" s="169">
        <v>43576</v>
      </c>
      <c r="B2766" s="80" t="s">
        <v>1197</v>
      </c>
      <c r="C2766" s="80" t="s">
        <v>167</v>
      </c>
      <c r="D2766" s="80" t="s">
        <v>146</v>
      </c>
      <c r="E2766" s="80" t="s">
        <v>153</v>
      </c>
      <c r="F2766" s="170">
        <v>50</v>
      </c>
    </row>
    <row r="2767" spans="1:6" hidden="1" x14ac:dyDescent="0.25">
      <c r="A2767" s="169">
        <v>43579</v>
      </c>
      <c r="B2767" s="80" t="s">
        <v>1213</v>
      </c>
      <c r="C2767" s="80" t="s">
        <v>167</v>
      </c>
      <c r="D2767" s="80" t="s">
        <v>146</v>
      </c>
      <c r="E2767" s="80" t="s">
        <v>127</v>
      </c>
      <c r="F2767" s="170">
        <v>50</v>
      </c>
    </row>
    <row r="2768" spans="1:6" hidden="1" x14ac:dyDescent="0.25">
      <c r="A2768" s="169">
        <v>43579</v>
      </c>
      <c r="B2768" s="80" t="s">
        <v>1217</v>
      </c>
      <c r="C2768" s="80" t="s">
        <v>189</v>
      </c>
      <c r="D2768" s="80" t="s">
        <v>146</v>
      </c>
      <c r="E2768" s="80" t="s">
        <v>153</v>
      </c>
      <c r="F2768" s="170">
        <v>50</v>
      </c>
    </row>
    <row r="2769" spans="1:6" hidden="1" x14ac:dyDescent="0.25">
      <c r="A2769" s="169">
        <v>43580</v>
      </c>
      <c r="B2769" s="80" t="s">
        <v>1226</v>
      </c>
      <c r="C2769" s="80" t="s">
        <v>148</v>
      </c>
      <c r="D2769" s="80" t="s">
        <v>146</v>
      </c>
      <c r="E2769" s="80" t="s">
        <v>153</v>
      </c>
      <c r="F2769" s="170">
        <v>50</v>
      </c>
    </row>
    <row r="2770" spans="1:6" x14ac:dyDescent="0.25">
      <c r="A2770" s="169">
        <v>43582</v>
      </c>
      <c r="B2770" s="80" t="s">
        <v>1249</v>
      </c>
      <c r="C2770" s="80" t="s">
        <v>125</v>
      </c>
      <c r="D2770" s="80" t="s">
        <v>146</v>
      </c>
      <c r="E2770" s="80" t="s">
        <v>121</v>
      </c>
      <c r="F2770" s="170">
        <v>50</v>
      </c>
    </row>
    <row r="2771" spans="1:6" hidden="1" x14ac:dyDescent="0.25">
      <c r="A2771" s="169">
        <v>43583</v>
      </c>
      <c r="B2771" s="80" t="s">
        <v>1258</v>
      </c>
      <c r="C2771" s="80" t="s">
        <v>152</v>
      </c>
      <c r="D2771" s="80" t="s">
        <v>146</v>
      </c>
      <c r="E2771" s="80" t="s">
        <v>131</v>
      </c>
      <c r="F2771" s="170">
        <v>50</v>
      </c>
    </row>
    <row r="2772" spans="1:6" hidden="1" x14ac:dyDescent="0.25">
      <c r="A2772" s="169">
        <v>43584</v>
      </c>
      <c r="B2772" s="80" t="s">
        <v>1271</v>
      </c>
      <c r="C2772" s="80" t="s">
        <v>189</v>
      </c>
      <c r="D2772" s="80" t="s">
        <v>146</v>
      </c>
      <c r="E2772" s="80" t="s">
        <v>134</v>
      </c>
      <c r="F2772" s="170">
        <v>50</v>
      </c>
    </row>
    <row r="2773" spans="1:6" hidden="1" x14ac:dyDescent="0.25">
      <c r="A2773" s="169">
        <v>43586</v>
      </c>
      <c r="B2773" s="80" t="s">
        <v>1281</v>
      </c>
      <c r="C2773" s="80" t="s">
        <v>143</v>
      </c>
      <c r="D2773" s="80" t="s">
        <v>146</v>
      </c>
      <c r="E2773" s="80" t="s">
        <v>127</v>
      </c>
      <c r="F2773" s="170">
        <v>50</v>
      </c>
    </row>
    <row r="2774" spans="1:6" x14ac:dyDescent="0.25">
      <c r="A2774" s="169">
        <v>43587</v>
      </c>
      <c r="B2774" s="80" t="s">
        <v>1297</v>
      </c>
      <c r="C2774" s="80" t="s">
        <v>189</v>
      </c>
      <c r="D2774" s="80" t="s">
        <v>146</v>
      </c>
      <c r="E2774" s="80" t="s">
        <v>121</v>
      </c>
      <c r="F2774" s="170">
        <v>50</v>
      </c>
    </row>
    <row r="2775" spans="1:6" hidden="1" x14ac:dyDescent="0.25">
      <c r="A2775" s="169">
        <v>43587</v>
      </c>
      <c r="B2775" s="80" t="s">
        <v>1301</v>
      </c>
      <c r="C2775" s="80" t="s">
        <v>129</v>
      </c>
      <c r="D2775" s="80" t="s">
        <v>146</v>
      </c>
      <c r="E2775" s="80" t="s">
        <v>153</v>
      </c>
      <c r="F2775" s="170">
        <v>50</v>
      </c>
    </row>
    <row r="2776" spans="1:6" hidden="1" x14ac:dyDescent="0.25">
      <c r="A2776" s="169">
        <v>43587</v>
      </c>
      <c r="B2776" s="80" t="s">
        <v>1304</v>
      </c>
      <c r="C2776" s="80" t="s">
        <v>152</v>
      </c>
      <c r="D2776" s="80" t="s">
        <v>146</v>
      </c>
      <c r="E2776" s="80" t="s">
        <v>153</v>
      </c>
      <c r="F2776" s="170">
        <v>50</v>
      </c>
    </row>
    <row r="2777" spans="1:6" x14ac:dyDescent="0.25">
      <c r="A2777" s="169">
        <v>43587</v>
      </c>
      <c r="B2777" s="80" t="s">
        <v>1305</v>
      </c>
      <c r="C2777" s="80" t="s">
        <v>152</v>
      </c>
      <c r="D2777" s="80" t="s">
        <v>146</v>
      </c>
      <c r="E2777" s="80" t="s">
        <v>121</v>
      </c>
      <c r="F2777" s="170">
        <v>50</v>
      </c>
    </row>
    <row r="2778" spans="1:6" hidden="1" x14ac:dyDescent="0.25">
      <c r="A2778" s="169">
        <v>43587</v>
      </c>
      <c r="B2778" s="80" t="s">
        <v>1306</v>
      </c>
      <c r="C2778" s="80" t="s">
        <v>223</v>
      </c>
      <c r="D2778" s="80" t="s">
        <v>146</v>
      </c>
      <c r="E2778" s="80" t="s">
        <v>153</v>
      </c>
      <c r="F2778" s="170">
        <v>50</v>
      </c>
    </row>
    <row r="2779" spans="1:6" hidden="1" x14ac:dyDescent="0.25">
      <c r="A2779" s="169">
        <v>43589</v>
      </c>
      <c r="B2779" s="80" t="s">
        <v>1327</v>
      </c>
      <c r="C2779" s="80" t="s">
        <v>223</v>
      </c>
      <c r="D2779" s="80" t="s">
        <v>146</v>
      </c>
      <c r="E2779" s="80" t="s">
        <v>153</v>
      </c>
      <c r="F2779" s="170">
        <v>50</v>
      </c>
    </row>
    <row r="2780" spans="1:6" hidden="1" x14ac:dyDescent="0.25">
      <c r="A2780" s="169">
        <v>43589</v>
      </c>
      <c r="B2780" s="80" t="s">
        <v>1329</v>
      </c>
      <c r="C2780" s="80" t="s">
        <v>152</v>
      </c>
      <c r="D2780" s="80" t="s">
        <v>146</v>
      </c>
      <c r="E2780" s="80" t="s">
        <v>131</v>
      </c>
      <c r="F2780" s="170">
        <v>50</v>
      </c>
    </row>
    <row r="2781" spans="1:6" hidden="1" x14ac:dyDescent="0.25">
      <c r="A2781" s="169">
        <v>43590</v>
      </c>
      <c r="B2781" s="80" t="s">
        <v>1334</v>
      </c>
      <c r="C2781" s="80" t="s">
        <v>223</v>
      </c>
      <c r="D2781" s="80" t="s">
        <v>146</v>
      </c>
      <c r="E2781" s="80" t="s">
        <v>131</v>
      </c>
      <c r="F2781" s="170">
        <v>50</v>
      </c>
    </row>
    <row r="2782" spans="1:6" hidden="1" x14ac:dyDescent="0.25">
      <c r="A2782" s="169">
        <v>43591</v>
      </c>
      <c r="B2782" s="80" t="s">
        <v>1346</v>
      </c>
      <c r="C2782" s="80" t="s">
        <v>123</v>
      </c>
      <c r="D2782" s="80" t="s">
        <v>146</v>
      </c>
      <c r="E2782" s="80" t="s">
        <v>134</v>
      </c>
      <c r="F2782" s="170">
        <v>50</v>
      </c>
    </row>
    <row r="2783" spans="1:6" hidden="1" x14ac:dyDescent="0.25">
      <c r="A2783" s="169">
        <v>43592</v>
      </c>
      <c r="B2783" s="80" t="s">
        <v>1354</v>
      </c>
      <c r="C2783" s="80" t="s">
        <v>164</v>
      </c>
      <c r="D2783" s="80" t="s">
        <v>146</v>
      </c>
      <c r="E2783" s="80" t="s">
        <v>131</v>
      </c>
      <c r="F2783" s="170">
        <v>50</v>
      </c>
    </row>
    <row r="2784" spans="1:6" hidden="1" x14ac:dyDescent="0.25">
      <c r="A2784" s="169">
        <v>43592</v>
      </c>
      <c r="B2784" s="80" t="s">
        <v>1356</v>
      </c>
      <c r="C2784" s="80" t="s">
        <v>136</v>
      </c>
      <c r="D2784" s="80" t="s">
        <v>146</v>
      </c>
      <c r="E2784" s="80" t="s">
        <v>131</v>
      </c>
      <c r="F2784" s="170">
        <v>50</v>
      </c>
    </row>
    <row r="2785" spans="1:6" hidden="1" x14ac:dyDescent="0.25">
      <c r="A2785" s="169">
        <v>43592</v>
      </c>
      <c r="B2785" s="80" t="s">
        <v>1357</v>
      </c>
      <c r="C2785" s="80" t="s">
        <v>136</v>
      </c>
      <c r="D2785" s="80" t="s">
        <v>146</v>
      </c>
      <c r="E2785" s="80" t="s">
        <v>134</v>
      </c>
      <c r="F2785" s="170">
        <v>50</v>
      </c>
    </row>
    <row r="2786" spans="1:6" hidden="1" x14ac:dyDescent="0.25">
      <c r="A2786" s="169">
        <v>43593</v>
      </c>
      <c r="B2786" s="80" t="s">
        <v>1366</v>
      </c>
      <c r="C2786" s="80" t="s">
        <v>129</v>
      </c>
      <c r="D2786" s="80" t="s">
        <v>146</v>
      </c>
      <c r="E2786" s="80" t="s">
        <v>131</v>
      </c>
      <c r="F2786" s="170">
        <v>50</v>
      </c>
    </row>
    <row r="2787" spans="1:6" hidden="1" x14ac:dyDescent="0.25">
      <c r="A2787" s="169">
        <v>43594</v>
      </c>
      <c r="B2787" s="80" t="s">
        <v>1378</v>
      </c>
      <c r="C2787" s="80" t="s">
        <v>136</v>
      </c>
      <c r="D2787" s="80" t="s">
        <v>146</v>
      </c>
      <c r="E2787" s="80" t="s">
        <v>134</v>
      </c>
      <c r="F2787" s="170">
        <v>50</v>
      </c>
    </row>
    <row r="2788" spans="1:6" hidden="1" x14ac:dyDescent="0.25">
      <c r="A2788" s="169">
        <v>43595</v>
      </c>
      <c r="B2788" s="80" t="s">
        <v>1380</v>
      </c>
      <c r="C2788" s="80" t="s">
        <v>125</v>
      </c>
      <c r="D2788" s="80" t="s">
        <v>146</v>
      </c>
      <c r="E2788" s="80" t="s">
        <v>153</v>
      </c>
      <c r="F2788" s="170">
        <v>50</v>
      </c>
    </row>
    <row r="2789" spans="1:6" x14ac:dyDescent="0.25">
      <c r="A2789" s="169">
        <v>43596</v>
      </c>
      <c r="B2789" s="80" t="s">
        <v>1389</v>
      </c>
      <c r="C2789" s="80" t="s">
        <v>189</v>
      </c>
      <c r="D2789" s="80" t="s">
        <v>146</v>
      </c>
      <c r="E2789" s="80" t="s">
        <v>121</v>
      </c>
      <c r="F2789" s="170">
        <v>50</v>
      </c>
    </row>
    <row r="2790" spans="1:6" hidden="1" x14ac:dyDescent="0.25">
      <c r="A2790" s="169">
        <v>43596</v>
      </c>
      <c r="B2790" s="80" t="s">
        <v>1392</v>
      </c>
      <c r="C2790" s="80" t="s">
        <v>143</v>
      </c>
      <c r="D2790" s="80" t="s">
        <v>146</v>
      </c>
      <c r="E2790" s="80" t="s">
        <v>127</v>
      </c>
      <c r="F2790" s="170">
        <v>50</v>
      </c>
    </row>
    <row r="2791" spans="1:6" hidden="1" x14ac:dyDescent="0.25">
      <c r="A2791" s="169">
        <v>43598</v>
      </c>
      <c r="B2791" s="80" t="s">
        <v>1406</v>
      </c>
      <c r="C2791" s="80" t="s">
        <v>143</v>
      </c>
      <c r="D2791" s="80" t="s">
        <v>146</v>
      </c>
      <c r="E2791" s="80" t="s">
        <v>127</v>
      </c>
      <c r="F2791" s="170">
        <v>50</v>
      </c>
    </row>
    <row r="2792" spans="1:6" hidden="1" x14ac:dyDescent="0.25">
      <c r="A2792" s="169">
        <v>43599</v>
      </c>
      <c r="B2792" s="80" t="s">
        <v>1418</v>
      </c>
      <c r="C2792" s="80" t="s">
        <v>138</v>
      </c>
      <c r="D2792" s="80" t="s">
        <v>146</v>
      </c>
      <c r="E2792" s="80" t="s">
        <v>127</v>
      </c>
      <c r="F2792" s="170">
        <v>50</v>
      </c>
    </row>
    <row r="2793" spans="1:6" hidden="1" x14ac:dyDescent="0.25">
      <c r="A2793" s="169">
        <v>43599</v>
      </c>
      <c r="B2793" s="80" t="s">
        <v>1420</v>
      </c>
      <c r="C2793" s="80" t="s">
        <v>152</v>
      </c>
      <c r="D2793" s="80" t="s">
        <v>146</v>
      </c>
      <c r="E2793" s="80" t="s">
        <v>153</v>
      </c>
      <c r="F2793" s="170">
        <v>50</v>
      </c>
    </row>
    <row r="2794" spans="1:6" hidden="1" x14ac:dyDescent="0.25">
      <c r="A2794" s="169">
        <v>43601</v>
      </c>
      <c r="B2794" s="80" t="s">
        <v>1442</v>
      </c>
      <c r="C2794" s="80" t="s">
        <v>129</v>
      </c>
      <c r="D2794" s="80" t="s">
        <v>146</v>
      </c>
      <c r="E2794" s="80" t="s">
        <v>134</v>
      </c>
      <c r="F2794" s="170">
        <v>50</v>
      </c>
    </row>
    <row r="2795" spans="1:6" hidden="1" x14ac:dyDescent="0.25">
      <c r="A2795" s="169">
        <v>43601</v>
      </c>
      <c r="B2795" s="80" t="s">
        <v>1444</v>
      </c>
      <c r="C2795" s="80" t="s">
        <v>164</v>
      </c>
      <c r="D2795" s="80" t="s">
        <v>146</v>
      </c>
      <c r="E2795" s="80" t="s">
        <v>131</v>
      </c>
      <c r="F2795" s="170">
        <v>50</v>
      </c>
    </row>
    <row r="2796" spans="1:6" hidden="1" x14ac:dyDescent="0.25">
      <c r="A2796" s="169">
        <v>43604</v>
      </c>
      <c r="B2796" s="80" t="s">
        <v>1467</v>
      </c>
      <c r="C2796" s="80" t="s">
        <v>189</v>
      </c>
      <c r="D2796" s="80" t="s">
        <v>146</v>
      </c>
      <c r="E2796" s="80" t="s">
        <v>127</v>
      </c>
      <c r="F2796" s="170">
        <v>50</v>
      </c>
    </row>
    <row r="2797" spans="1:6" hidden="1" x14ac:dyDescent="0.25">
      <c r="A2797" s="169">
        <v>43605</v>
      </c>
      <c r="B2797" s="80" t="s">
        <v>1484</v>
      </c>
      <c r="C2797" s="80" t="s">
        <v>143</v>
      </c>
      <c r="D2797" s="80" t="s">
        <v>146</v>
      </c>
      <c r="E2797" s="80" t="s">
        <v>127</v>
      </c>
      <c r="F2797" s="170">
        <v>50</v>
      </c>
    </row>
    <row r="2798" spans="1:6" hidden="1" x14ac:dyDescent="0.25">
      <c r="A2798" s="169">
        <v>43605</v>
      </c>
      <c r="B2798" s="80" t="s">
        <v>1485</v>
      </c>
      <c r="C2798" s="80" t="s">
        <v>125</v>
      </c>
      <c r="D2798" s="80" t="s">
        <v>146</v>
      </c>
      <c r="E2798" s="80" t="s">
        <v>127</v>
      </c>
      <c r="F2798" s="170">
        <v>50</v>
      </c>
    </row>
    <row r="2799" spans="1:6" hidden="1" x14ac:dyDescent="0.25">
      <c r="A2799" s="169">
        <v>43606</v>
      </c>
      <c r="B2799" s="80" t="s">
        <v>1492</v>
      </c>
      <c r="C2799" s="80" t="s">
        <v>143</v>
      </c>
      <c r="D2799" s="80" t="s">
        <v>146</v>
      </c>
      <c r="E2799" s="80" t="s">
        <v>134</v>
      </c>
      <c r="F2799" s="170">
        <v>50</v>
      </c>
    </row>
    <row r="2800" spans="1:6" hidden="1" x14ac:dyDescent="0.25">
      <c r="A2800" s="169">
        <v>43607</v>
      </c>
      <c r="B2800" s="80" t="s">
        <v>1513</v>
      </c>
      <c r="C2800" s="80" t="s">
        <v>148</v>
      </c>
      <c r="D2800" s="80" t="s">
        <v>146</v>
      </c>
      <c r="E2800" s="80" t="s">
        <v>131</v>
      </c>
      <c r="F2800" s="170">
        <v>50</v>
      </c>
    </row>
    <row r="2801" spans="1:6" hidden="1" x14ac:dyDescent="0.25">
      <c r="A2801" s="169">
        <v>43608</v>
      </c>
      <c r="B2801" s="80" t="s">
        <v>1520</v>
      </c>
      <c r="C2801" s="80" t="s">
        <v>164</v>
      </c>
      <c r="D2801" s="80" t="s">
        <v>146</v>
      </c>
      <c r="E2801" s="80" t="s">
        <v>131</v>
      </c>
      <c r="F2801" s="170">
        <v>50</v>
      </c>
    </row>
    <row r="2802" spans="1:6" hidden="1" x14ac:dyDescent="0.25">
      <c r="A2802" s="169">
        <v>43608</v>
      </c>
      <c r="B2802" s="80" t="s">
        <v>1528</v>
      </c>
      <c r="C2802" s="80" t="s">
        <v>164</v>
      </c>
      <c r="D2802" s="80" t="s">
        <v>146</v>
      </c>
      <c r="E2802" s="80" t="s">
        <v>131</v>
      </c>
      <c r="F2802" s="170">
        <v>50</v>
      </c>
    </row>
    <row r="2803" spans="1:6" hidden="1" x14ac:dyDescent="0.25">
      <c r="A2803" s="169">
        <v>43609</v>
      </c>
      <c r="B2803" s="80" t="s">
        <v>1538</v>
      </c>
      <c r="C2803" s="80" t="s">
        <v>143</v>
      </c>
      <c r="D2803" s="80" t="s">
        <v>146</v>
      </c>
      <c r="E2803" s="80" t="s">
        <v>127</v>
      </c>
      <c r="F2803" s="170">
        <v>50</v>
      </c>
    </row>
    <row r="2804" spans="1:6" hidden="1" x14ac:dyDescent="0.25">
      <c r="A2804" s="169">
        <v>43609</v>
      </c>
      <c r="B2804" s="80" t="s">
        <v>1543</v>
      </c>
      <c r="C2804" s="80" t="s">
        <v>136</v>
      </c>
      <c r="D2804" s="80" t="s">
        <v>146</v>
      </c>
      <c r="E2804" s="80" t="s">
        <v>153</v>
      </c>
      <c r="F2804" s="170">
        <v>50</v>
      </c>
    </row>
    <row r="2805" spans="1:6" hidden="1" x14ac:dyDescent="0.25">
      <c r="A2805" s="169">
        <v>43610</v>
      </c>
      <c r="B2805" s="80" t="s">
        <v>1545</v>
      </c>
      <c r="C2805" s="80" t="s">
        <v>223</v>
      </c>
      <c r="D2805" s="80" t="s">
        <v>146</v>
      </c>
      <c r="E2805" s="80" t="s">
        <v>127</v>
      </c>
      <c r="F2805" s="170">
        <v>50</v>
      </c>
    </row>
    <row r="2806" spans="1:6" hidden="1" x14ac:dyDescent="0.25">
      <c r="A2806" s="169">
        <v>43612</v>
      </c>
      <c r="B2806" s="80" t="s">
        <v>1564</v>
      </c>
      <c r="C2806" s="80" t="s">
        <v>119</v>
      </c>
      <c r="D2806" s="80" t="s">
        <v>146</v>
      </c>
      <c r="E2806" s="80" t="s">
        <v>134</v>
      </c>
      <c r="F2806" s="170">
        <v>50</v>
      </c>
    </row>
    <row r="2807" spans="1:6" hidden="1" x14ac:dyDescent="0.25">
      <c r="A2807" s="169">
        <v>43613</v>
      </c>
      <c r="B2807" s="80" t="s">
        <v>1570</v>
      </c>
      <c r="C2807" s="80" t="s">
        <v>182</v>
      </c>
      <c r="D2807" s="80" t="s">
        <v>146</v>
      </c>
      <c r="E2807" s="80" t="s">
        <v>131</v>
      </c>
      <c r="F2807" s="170">
        <v>50</v>
      </c>
    </row>
    <row r="2808" spans="1:6" hidden="1" x14ac:dyDescent="0.25">
      <c r="A2808" s="169">
        <v>43613</v>
      </c>
      <c r="B2808" s="80" t="s">
        <v>1578</v>
      </c>
      <c r="C2808" s="80" t="s">
        <v>223</v>
      </c>
      <c r="D2808" s="80" t="s">
        <v>146</v>
      </c>
      <c r="E2808" s="80" t="s">
        <v>131</v>
      </c>
      <c r="F2808" s="170">
        <v>50</v>
      </c>
    </row>
    <row r="2809" spans="1:6" x14ac:dyDescent="0.25">
      <c r="A2809" s="169">
        <v>43614</v>
      </c>
      <c r="B2809" s="80" t="s">
        <v>1580</v>
      </c>
      <c r="C2809" s="80" t="s">
        <v>223</v>
      </c>
      <c r="D2809" s="80" t="s">
        <v>146</v>
      </c>
      <c r="E2809" s="80" t="s">
        <v>121</v>
      </c>
      <c r="F2809" s="170">
        <v>50</v>
      </c>
    </row>
    <row r="2810" spans="1:6" hidden="1" x14ac:dyDescent="0.25">
      <c r="A2810" s="169">
        <v>43614</v>
      </c>
      <c r="B2810" s="80" t="s">
        <v>1584</v>
      </c>
      <c r="C2810" s="80" t="s">
        <v>119</v>
      </c>
      <c r="D2810" s="80" t="s">
        <v>146</v>
      </c>
      <c r="E2810" s="80" t="s">
        <v>134</v>
      </c>
      <c r="F2810" s="170">
        <v>50</v>
      </c>
    </row>
    <row r="2811" spans="1:6" hidden="1" x14ac:dyDescent="0.25">
      <c r="A2811" s="169">
        <v>43616</v>
      </c>
      <c r="B2811" s="80" t="s">
        <v>1605</v>
      </c>
      <c r="C2811" s="80" t="s">
        <v>145</v>
      </c>
      <c r="D2811" s="80" t="s">
        <v>146</v>
      </c>
      <c r="E2811" s="80" t="s">
        <v>127</v>
      </c>
      <c r="F2811" s="170">
        <v>50</v>
      </c>
    </row>
    <row r="2812" spans="1:6" x14ac:dyDescent="0.25">
      <c r="A2812" s="169">
        <v>43616</v>
      </c>
      <c r="B2812" s="80" t="s">
        <v>1606</v>
      </c>
      <c r="C2812" s="80" t="s">
        <v>152</v>
      </c>
      <c r="D2812" s="80" t="s">
        <v>146</v>
      </c>
      <c r="E2812" s="80" t="s">
        <v>121</v>
      </c>
      <c r="F2812" s="170">
        <v>50</v>
      </c>
    </row>
    <row r="2813" spans="1:6" hidden="1" x14ac:dyDescent="0.25">
      <c r="A2813" s="169">
        <v>43617</v>
      </c>
      <c r="B2813" s="80" t="s">
        <v>1612</v>
      </c>
      <c r="C2813" s="80" t="s">
        <v>136</v>
      </c>
      <c r="D2813" s="80" t="s">
        <v>146</v>
      </c>
      <c r="E2813" s="80" t="s">
        <v>134</v>
      </c>
      <c r="F2813" s="170">
        <v>50</v>
      </c>
    </row>
    <row r="2814" spans="1:6" hidden="1" x14ac:dyDescent="0.25">
      <c r="A2814" s="169">
        <v>43618</v>
      </c>
      <c r="B2814" s="80" t="s">
        <v>1627</v>
      </c>
      <c r="C2814" s="80" t="s">
        <v>189</v>
      </c>
      <c r="D2814" s="80" t="s">
        <v>146</v>
      </c>
      <c r="E2814" s="80" t="s">
        <v>131</v>
      </c>
      <c r="F2814" s="170">
        <v>50</v>
      </c>
    </row>
    <row r="2815" spans="1:6" hidden="1" x14ac:dyDescent="0.25">
      <c r="A2815" s="169">
        <v>43620</v>
      </c>
      <c r="B2815" s="80" t="s">
        <v>1639</v>
      </c>
      <c r="C2815" s="80" t="s">
        <v>136</v>
      </c>
      <c r="D2815" s="80" t="s">
        <v>146</v>
      </c>
      <c r="E2815" s="80" t="s">
        <v>134</v>
      </c>
      <c r="F2815" s="170">
        <v>50</v>
      </c>
    </row>
    <row r="2816" spans="1:6" hidden="1" x14ac:dyDescent="0.25">
      <c r="A2816" s="169">
        <v>43623</v>
      </c>
      <c r="B2816" s="80" t="s">
        <v>1672</v>
      </c>
      <c r="C2816" s="80" t="s">
        <v>123</v>
      </c>
      <c r="D2816" s="80" t="s">
        <v>146</v>
      </c>
      <c r="E2816" s="80" t="s">
        <v>134</v>
      </c>
      <c r="F2816" s="170">
        <v>50</v>
      </c>
    </row>
    <row r="2817" spans="1:6" hidden="1" x14ac:dyDescent="0.25">
      <c r="A2817" s="169">
        <v>43625</v>
      </c>
      <c r="B2817" s="80" t="s">
        <v>1695</v>
      </c>
      <c r="C2817" s="80" t="s">
        <v>189</v>
      </c>
      <c r="D2817" s="80" t="s">
        <v>146</v>
      </c>
      <c r="E2817" s="80" t="s">
        <v>153</v>
      </c>
      <c r="F2817" s="170">
        <v>50</v>
      </c>
    </row>
    <row r="2818" spans="1:6" x14ac:dyDescent="0.25">
      <c r="A2818" s="169">
        <v>43626</v>
      </c>
      <c r="B2818" s="80" t="s">
        <v>1710</v>
      </c>
      <c r="C2818" s="80" t="s">
        <v>138</v>
      </c>
      <c r="D2818" s="80" t="s">
        <v>146</v>
      </c>
      <c r="E2818" s="80" t="s">
        <v>121</v>
      </c>
      <c r="F2818" s="170">
        <v>50</v>
      </c>
    </row>
    <row r="2819" spans="1:6" hidden="1" x14ac:dyDescent="0.25">
      <c r="A2819" s="169">
        <v>43627</v>
      </c>
      <c r="B2819" s="80" t="s">
        <v>1717</v>
      </c>
      <c r="C2819" s="80" t="s">
        <v>119</v>
      </c>
      <c r="D2819" s="80" t="s">
        <v>146</v>
      </c>
      <c r="E2819" s="80" t="s">
        <v>131</v>
      </c>
      <c r="F2819" s="170">
        <v>50</v>
      </c>
    </row>
    <row r="2820" spans="1:6" hidden="1" x14ac:dyDescent="0.25">
      <c r="A2820" s="169">
        <v>43628</v>
      </c>
      <c r="B2820" s="80" t="s">
        <v>1722</v>
      </c>
      <c r="C2820" s="80" t="s">
        <v>223</v>
      </c>
      <c r="D2820" s="80" t="s">
        <v>146</v>
      </c>
      <c r="E2820" s="80" t="s">
        <v>134</v>
      </c>
      <c r="F2820" s="170">
        <v>50</v>
      </c>
    </row>
    <row r="2821" spans="1:6" hidden="1" x14ac:dyDescent="0.25">
      <c r="A2821" s="169">
        <v>43628</v>
      </c>
      <c r="B2821" s="80" t="s">
        <v>1725</v>
      </c>
      <c r="C2821" s="80" t="s">
        <v>136</v>
      </c>
      <c r="D2821" s="80" t="s">
        <v>146</v>
      </c>
      <c r="E2821" s="80" t="s">
        <v>153</v>
      </c>
      <c r="F2821" s="170">
        <v>50</v>
      </c>
    </row>
    <row r="2822" spans="1:6" hidden="1" x14ac:dyDescent="0.25">
      <c r="A2822" s="169">
        <v>43629</v>
      </c>
      <c r="B2822" s="80" t="s">
        <v>1728</v>
      </c>
      <c r="C2822" s="80" t="s">
        <v>189</v>
      </c>
      <c r="D2822" s="80" t="s">
        <v>146</v>
      </c>
      <c r="E2822" s="80" t="s">
        <v>127</v>
      </c>
      <c r="F2822" s="170">
        <v>50</v>
      </c>
    </row>
    <row r="2823" spans="1:6" hidden="1" x14ac:dyDescent="0.25">
      <c r="A2823" s="169">
        <v>43630</v>
      </c>
      <c r="B2823" s="80" t="s">
        <v>1741</v>
      </c>
      <c r="C2823" s="80" t="s">
        <v>123</v>
      </c>
      <c r="D2823" s="80" t="s">
        <v>146</v>
      </c>
      <c r="E2823" s="80" t="s">
        <v>134</v>
      </c>
      <c r="F2823" s="170">
        <v>50</v>
      </c>
    </row>
    <row r="2824" spans="1:6" hidden="1" x14ac:dyDescent="0.25">
      <c r="A2824" s="169">
        <v>43630</v>
      </c>
      <c r="B2824" s="80" t="s">
        <v>1747</v>
      </c>
      <c r="C2824" s="80" t="s">
        <v>125</v>
      </c>
      <c r="D2824" s="80" t="s">
        <v>146</v>
      </c>
      <c r="E2824" s="80" t="s">
        <v>131</v>
      </c>
      <c r="F2824" s="170">
        <v>50</v>
      </c>
    </row>
    <row r="2825" spans="1:6" x14ac:dyDescent="0.25">
      <c r="A2825" s="169">
        <v>43632</v>
      </c>
      <c r="B2825" s="80" t="s">
        <v>1760</v>
      </c>
      <c r="C2825" s="80" t="s">
        <v>129</v>
      </c>
      <c r="D2825" s="80" t="s">
        <v>146</v>
      </c>
      <c r="E2825" s="80" t="s">
        <v>121</v>
      </c>
      <c r="F2825" s="170">
        <v>50</v>
      </c>
    </row>
    <row r="2826" spans="1:6" hidden="1" x14ac:dyDescent="0.25">
      <c r="A2826" s="169">
        <v>43633</v>
      </c>
      <c r="B2826" s="80" t="s">
        <v>1777</v>
      </c>
      <c r="C2826" s="80" t="s">
        <v>125</v>
      </c>
      <c r="D2826" s="80" t="s">
        <v>146</v>
      </c>
      <c r="E2826" s="80" t="s">
        <v>134</v>
      </c>
      <c r="F2826" s="170">
        <v>50</v>
      </c>
    </row>
    <row r="2827" spans="1:6" hidden="1" x14ac:dyDescent="0.25">
      <c r="A2827" s="169">
        <v>43634</v>
      </c>
      <c r="B2827" s="80" t="s">
        <v>1784</v>
      </c>
      <c r="C2827" s="80" t="s">
        <v>223</v>
      </c>
      <c r="D2827" s="80" t="s">
        <v>146</v>
      </c>
      <c r="E2827" s="80" t="s">
        <v>127</v>
      </c>
      <c r="F2827" s="170">
        <v>50</v>
      </c>
    </row>
    <row r="2828" spans="1:6" hidden="1" x14ac:dyDescent="0.25">
      <c r="A2828" s="169">
        <v>43635</v>
      </c>
      <c r="B2828" s="80" t="s">
        <v>1788</v>
      </c>
      <c r="C2828" s="80" t="s">
        <v>119</v>
      </c>
      <c r="D2828" s="80" t="s">
        <v>146</v>
      </c>
      <c r="E2828" s="80" t="s">
        <v>131</v>
      </c>
      <c r="F2828" s="170">
        <v>50</v>
      </c>
    </row>
    <row r="2829" spans="1:6" x14ac:dyDescent="0.25">
      <c r="A2829" s="169">
        <v>43636</v>
      </c>
      <c r="B2829" s="80" t="s">
        <v>1797</v>
      </c>
      <c r="C2829" s="80" t="s">
        <v>152</v>
      </c>
      <c r="D2829" s="80" t="s">
        <v>146</v>
      </c>
      <c r="E2829" s="80" t="s">
        <v>121</v>
      </c>
      <c r="F2829" s="170">
        <v>50</v>
      </c>
    </row>
    <row r="2830" spans="1:6" x14ac:dyDescent="0.25">
      <c r="A2830" s="169">
        <v>43636</v>
      </c>
      <c r="B2830" s="80" t="s">
        <v>1799</v>
      </c>
      <c r="C2830" s="80" t="s">
        <v>129</v>
      </c>
      <c r="D2830" s="80" t="s">
        <v>146</v>
      </c>
      <c r="E2830" s="80" t="s">
        <v>121</v>
      </c>
      <c r="F2830" s="170">
        <v>50</v>
      </c>
    </row>
    <row r="2831" spans="1:6" hidden="1" x14ac:dyDescent="0.25">
      <c r="A2831" s="169">
        <v>43636</v>
      </c>
      <c r="B2831" s="80" t="s">
        <v>1800</v>
      </c>
      <c r="C2831" s="80" t="s">
        <v>129</v>
      </c>
      <c r="D2831" s="80" t="s">
        <v>146</v>
      </c>
      <c r="E2831" s="80" t="s">
        <v>153</v>
      </c>
      <c r="F2831" s="170">
        <v>50</v>
      </c>
    </row>
    <row r="2832" spans="1:6" hidden="1" x14ac:dyDescent="0.25">
      <c r="A2832" s="169">
        <v>43637</v>
      </c>
      <c r="B2832" s="80" t="s">
        <v>1810</v>
      </c>
      <c r="C2832" s="80" t="s">
        <v>187</v>
      </c>
      <c r="D2832" s="80" t="s">
        <v>146</v>
      </c>
      <c r="E2832" s="80" t="s">
        <v>134</v>
      </c>
      <c r="F2832" s="170">
        <v>50</v>
      </c>
    </row>
    <row r="2833" spans="1:6" x14ac:dyDescent="0.25">
      <c r="A2833" s="169">
        <v>43637</v>
      </c>
      <c r="B2833" s="80" t="s">
        <v>1813</v>
      </c>
      <c r="C2833" s="80" t="s">
        <v>136</v>
      </c>
      <c r="D2833" s="80" t="s">
        <v>146</v>
      </c>
      <c r="E2833" s="80" t="s">
        <v>121</v>
      </c>
      <c r="F2833" s="170">
        <v>50</v>
      </c>
    </row>
    <row r="2834" spans="1:6" hidden="1" x14ac:dyDescent="0.25">
      <c r="A2834" s="169">
        <v>43638</v>
      </c>
      <c r="B2834" s="80" t="s">
        <v>1820</v>
      </c>
      <c r="C2834" s="80" t="s">
        <v>138</v>
      </c>
      <c r="D2834" s="80" t="s">
        <v>146</v>
      </c>
      <c r="E2834" s="80" t="s">
        <v>153</v>
      </c>
      <c r="F2834" s="170">
        <v>50</v>
      </c>
    </row>
    <row r="2835" spans="1:6" x14ac:dyDescent="0.25">
      <c r="A2835" s="169">
        <v>43638</v>
      </c>
      <c r="B2835" s="80" t="s">
        <v>1821</v>
      </c>
      <c r="C2835" s="80" t="s">
        <v>182</v>
      </c>
      <c r="D2835" s="80" t="s">
        <v>146</v>
      </c>
      <c r="E2835" s="80" t="s">
        <v>121</v>
      </c>
      <c r="F2835" s="170">
        <v>50</v>
      </c>
    </row>
    <row r="2836" spans="1:6" hidden="1" x14ac:dyDescent="0.25">
      <c r="A2836" s="169">
        <v>43639</v>
      </c>
      <c r="B2836" s="80" t="s">
        <v>1825</v>
      </c>
      <c r="C2836" s="80" t="s">
        <v>223</v>
      </c>
      <c r="D2836" s="80" t="s">
        <v>146</v>
      </c>
      <c r="E2836" s="80" t="s">
        <v>131</v>
      </c>
      <c r="F2836" s="170">
        <v>50</v>
      </c>
    </row>
    <row r="2837" spans="1:6" hidden="1" x14ac:dyDescent="0.25">
      <c r="A2837" s="169">
        <v>43639</v>
      </c>
      <c r="B2837" s="80" t="s">
        <v>1828</v>
      </c>
      <c r="C2837" s="80" t="s">
        <v>136</v>
      </c>
      <c r="D2837" s="80" t="s">
        <v>146</v>
      </c>
      <c r="E2837" s="80" t="s">
        <v>127</v>
      </c>
      <c r="F2837" s="170">
        <v>50</v>
      </c>
    </row>
    <row r="2838" spans="1:6" hidden="1" x14ac:dyDescent="0.25">
      <c r="A2838" s="169">
        <v>43641</v>
      </c>
      <c r="B2838" s="80" t="s">
        <v>1833</v>
      </c>
      <c r="C2838" s="80" t="s">
        <v>136</v>
      </c>
      <c r="D2838" s="80" t="s">
        <v>146</v>
      </c>
      <c r="E2838" s="80" t="s">
        <v>134</v>
      </c>
      <c r="F2838" s="170">
        <v>50</v>
      </c>
    </row>
    <row r="2839" spans="1:6" hidden="1" x14ac:dyDescent="0.25">
      <c r="A2839" s="169">
        <v>43644</v>
      </c>
      <c r="B2839" s="80" t="s">
        <v>1855</v>
      </c>
      <c r="C2839" s="80" t="s">
        <v>138</v>
      </c>
      <c r="D2839" s="80" t="s">
        <v>146</v>
      </c>
      <c r="E2839" s="80" t="s">
        <v>134</v>
      </c>
      <c r="F2839" s="170">
        <v>50</v>
      </c>
    </row>
    <row r="2840" spans="1:6" hidden="1" x14ac:dyDescent="0.25">
      <c r="A2840" s="169">
        <v>43645</v>
      </c>
      <c r="B2840" s="80" t="s">
        <v>1871</v>
      </c>
      <c r="C2840" s="80" t="s">
        <v>136</v>
      </c>
      <c r="D2840" s="80" t="s">
        <v>146</v>
      </c>
      <c r="E2840" s="80" t="s">
        <v>134</v>
      </c>
      <c r="F2840" s="170">
        <v>50</v>
      </c>
    </row>
    <row r="2841" spans="1:6" hidden="1" x14ac:dyDescent="0.25">
      <c r="A2841" s="169">
        <v>43645</v>
      </c>
      <c r="B2841" s="80" t="s">
        <v>1872</v>
      </c>
      <c r="C2841" s="80" t="s">
        <v>123</v>
      </c>
      <c r="D2841" s="80" t="s">
        <v>146</v>
      </c>
      <c r="E2841" s="80" t="s">
        <v>131</v>
      </c>
      <c r="F2841" s="170">
        <v>50</v>
      </c>
    </row>
    <row r="2842" spans="1:6" x14ac:dyDescent="0.25">
      <c r="A2842" s="169">
        <v>43645</v>
      </c>
      <c r="B2842" s="80" t="s">
        <v>1873</v>
      </c>
      <c r="C2842" s="80" t="s">
        <v>187</v>
      </c>
      <c r="D2842" s="80" t="s">
        <v>146</v>
      </c>
      <c r="E2842" s="80" t="s">
        <v>121</v>
      </c>
      <c r="F2842" s="170">
        <v>50</v>
      </c>
    </row>
    <row r="2843" spans="1:6" hidden="1" x14ac:dyDescent="0.25">
      <c r="A2843" s="169">
        <v>43645</v>
      </c>
      <c r="B2843" s="80" t="s">
        <v>1874</v>
      </c>
      <c r="C2843" s="80" t="s">
        <v>123</v>
      </c>
      <c r="D2843" s="80" t="s">
        <v>146</v>
      </c>
      <c r="E2843" s="80" t="s">
        <v>131</v>
      </c>
      <c r="F2843" s="170">
        <v>50</v>
      </c>
    </row>
    <row r="2844" spans="1:6" hidden="1" x14ac:dyDescent="0.25">
      <c r="A2844" s="169">
        <v>43646</v>
      </c>
      <c r="B2844" s="80" t="s">
        <v>1878</v>
      </c>
      <c r="C2844" s="80" t="s">
        <v>164</v>
      </c>
      <c r="D2844" s="80" t="s">
        <v>146</v>
      </c>
      <c r="E2844" s="80" t="s">
        <v>134</v>
      </c>
      <c r="F2844" s="170">
        <v>50</v>
      </c>
    </row>
    <row r="2845" spans="1:6" hidden="1" x14ac:dyDescent="0.25">
      <c r="A2845" s="169">
        <v>43647</v>
      </c>
      <c r="B2845" s="80" t="s">
        <v>1891</v>
      </c>
      <c r="C2845" s="80" t="s">
        <v>164</v>
      </c>
      <c r="D2845" s="80" t="s">
        <v>146</v>
      </c>
      <c r="E2845" s="80" t="s">
        <v>134</v>
      </c>
      <c r="F2845" s="170">
        <v>50</v>
      </c>
    </row>
    <row r="2846" spans="1:6" hidden="1" x14ac:dyDescent="0.25">
      <c r="A2846" s="169">
        <v>43648</v>
      </c>
      <c r="B2846" s="80" t="s">
        <v>1900</v>
      </c>
      <c r="C2846" s="80" t="s">
        <v>152</v>
      </c>
      <c r="D2846" s="80" t="s">
        <v>146</v>
      </c>
      <c r="E2846" s="80" t="s">
        <v>153</v>
      </c>
      <c r="F2846" s="170">
        <v>50</v>
      </c>
    </row>
    <row r="2847" spans="1:6" hidden="1" x14ac:dyDescent="0.25">
      <c r="A2847" s="169">
        <v>43648</v>
      </c>
      <c r="B2847" s="80" t="s">
        <v>1904</v>
      </c>
      <c r="C2847" s="80" t="s">
        <v>119</v>
      </c>
      <c r="D2847" s="80" t="s">
        <v>146</v>
      </c>
      <c r="E2847" s="80" t="s">
        <v>134</v>
      </c>
      <c r="F2847" s="170">
        <v>50</v>
      </c>
    </row>
    <row r="2848" spans="1:6" x14ac:dyDescent="0.25">
      <c r="A2848" s="169">
        <v>43649</v>
      </c>
      <c r="B2848" s="80" t="s">
        <v>1909</v>
      </c>
      <c r="C2848" s="80" t="s">
        <v>182</v>
      </c>
      <c r="D2848" s="80" t="s">
        <v>146</v>
      </c>
      <c r="E2848" s="80" t="s">
        <v>121</v>
      </c>
      <c r="F2848" s="170">
        <v>50</v>
      </c>
    </row>
    <row r="2849" spans="1:6" hidden="1" x14ac:dyDescent="0.25">
      <c r="A2849" s="169">
        <v>43650</v>
      </c>
      <c r="B2849" s="80" t="s">
        <v>1923</v>
      </c>
      <c r="C2849" s="80" t="s">
        <v>223</v>
      </c>
      <c r="D2849" s="80" t="s">
        <v>146</v>
      </c>
      <c r="E2849" s="80" t="s">
        <v>134</v>
      </c>
      <c r="F2849" s="170">
        <v>50</v>
      </c>
    </row>
    <row r="2850" spans="1:6" hidden="1" x14ac:dyDescent="0.25">
      <c r="A2850" s="169">
        <v>43651</v>
      </c>
      <c r="B2850" s="80" t="s">
        <v>1938</v>
      </c>
      <c r="C2850" s="80" t="s">
        <v>157</v>
      </c>
      <c r="D2850" s="80" t="s">
        <v>146</v>
      </c>
      <c r="E2850" s="80" t="s">
        <v>153</v>
      </c>
      <c r="F2850" s="170">
        <v>50</v>
      </c>
    </row>
    <row r="2851" spans="1:6" hidden="1" x14ac:dyDescent="0.25">
      <c r="A2851" s="169">
        <v>43652</v>
      </c>
      <c r="B2851" s="80" t="s">
        <v>1940</v>
      </c>
      <c r="C2851" s="80" t="s">
        <v>157</v>
      </c>
      <c r="D2851" s="80" t="s">
        <v>146</v>
      </c>
      <c r="E2851" s="80" t="s">
        <v>127</v>
      </c>
      <c r="F2851" s="170">
        <v>50</v>
      </c>
    </row>
    <row r="2852" spans="1:6" hidden="1" x14ac:dyDescent="0.25">
      <c r="A2852" s="169">
        <v>43653</v>
      </c>
      <c r="B2852" s="80" t="s">
        <v>1949</v>
      </c>
      <c r="C2852" s="80" t="s">
        <v>223</v>
      </c>
      <c r="D2852" s="80" t="s">
        <v>146</v>
      </c>
      <c r="E2852" s="80" t="s">
        <v>131</v>
      </c>
      <c r="F2852" s="170">
        <v>50</v>
      </c>
    </row>
    <row r="2853" spans="1:6" hidden="1" x14ac:dyDescent="0.25">
      <c r="A2853" s="169">
        <v>43655</v>
      </c>
      <c r="B2853" s="80" t="s">
        <v>1969</v>
      </c>
      <c r="C2853" s="80" t="s">
        <v>143</v>
      </c>
      <c r="D2853" s="80" t="s">
        <v>146</v>
      </c>
      <c r="E2853" s="80" t="s">
        <v>131</v>
      </c>
      <c r="F2853" s="170">
        <v>50</v>
      </c>
    </row>
    <row r="2854" spans="1:6" hidden="1" x14ac:dyDescent="0.25">
      <c r="A2854" s="169">
        <v>43656</v>
      </c>
      <c r="B2854" s="80" t="s">
        <v>1971</v>
      </c>
      <c r="C2854" s="80" t="s">
        <v>125</v>
      </c>
      <c r="D2854" s="80" t="s">
        <v>146</v>
      </c>
      <c r="E2854" s="80" t="s">
        <v>153</v>
      </c>
      <c r="F2854" s="170">
        <v>50</v>
      </c>
    </row>
    <row r="2855" spans="1:6" hidden="1" x14ac:dyDescent="0.25">
      <c r="A2855" s="169">
        <v>43656</v>
      </c>
      <c r="B2855" s="80" t="s">
        <v>1979</v>
      </c>
      <c r="C2855" s="80" t="s">
        <v>164</v>
      </c>
      <c r="D2855" s="80" t="s">
        <v>146</v>
      </c>
      <c r="E2855" s="80" t="s">
        <v>131</v>
      </c>
      <c r="F2855" s="170">
        <v>50</v>
      </c>
    </row>
    <row r="2856" spans="1:6" hidden="1" x14ac:dyDescent="0.25">
      <c r="A2856" s="169">
        <v>43657</v>
      </c>
      <c r="B2856" s="80" t="s">
        <v>1988</v>
      </c>
      <c r="C2856" s="80" t="s">
        <v>129</v>
      </c>
      <c r="D2856" s="80" t="s">
        <v>146</v>
      </c>
      <c r="E2856" s="80" t="s">
        <v>131</v>
      </c>
      <c r="F2856" s="170">
        <v>50</v>
      </c>
    </row>
    <row r="2857" spans="1:6" hidden="1" x14ac:dyDescent="0.25">
      <c r="A2857" s="169">
        <v>43659</v>
      </c>
      <c r="B2857" s="80" t="s">
        <v>2001</v>
      </c>
      <c r="C2857" s="80" t="s">
        <v>157</v>
      </c>
      <c r="D2857" s="80" t="s">
        <v>146</v>
      </c>
      <c r="E2857" s="80" t="s">
        <v>134</v>
      </c>
      <c r="F2857" s="170">
        <v>50</v>
      </c>
    </row>
    <row r="2858" spans="1:6" x14ac:dyDescent="0.25">
      <c r="A2858" s="169">
        <v>43659</v>
      </c>
      <c r="B2858" s="80" t="s">
        <v>2008</v>
      </c>
      <c r="C2858" s="80" t="s">
        <v>143</v>
      </c>
      <c r="D2858" s="80" t="s">
        <v>146</v>
      </c>
      <c r="E2858" s="80" t="s">
        <v>121</v>
      </c>
      <c r="F2858" s="170">
        <v>50</v>
      </c>
    </row>
    <row r="2859" spans="1:6" hidden="1" x14ac:dyDescent="0.25">
      <c r="A2859" s="169">
        <v>43660</v>
      </c>
      <c r="B2859" s="80" t="s">
        <v>2014</v>
      </c>
      <c r="C2859" s="80" t="s">
        <v>164</v>
      </c>
      <c r="D2859" s="80" t="s">
        <v>146</v>
      </c>
      <c r="E2859" s="80" t="s">
        <v>134</v>
      </c>
      <c r="F2859" s="170">
        <v>50</v>
      </c>
    </row>
    <row r="2860" spans="1:6" hidden="1" x14ac:dyDescent="0.25">
      <c r="A2860" s="169">
        <v>43661</v>
      </c>
      <c r="B2860" s="80" t="s">
        <v>2026</v>
      </c>
      <c r="C2860" s="80" t="s">
        <v>189</v>
      </c>
      <c r="D2860" s="80" t="s">
        <v>146</v>
      </c>
      <c r="E2860" s="80" t="s">
        <v>131</v>
      </c>
      <c r="F2860" s="170">
        <v>50</v>
      </c>
    </row>
    <row r="2861" spans="1:6" hidden="1" x14ac:dyDescent="0.25">
      <c r="A2861" s="169">
        <v>43661</v>
      </c>
      <c r="B2861" s="80" t="s">
        <v>2027</v>
      </c>
      <c r="C2861" s="80" t="s">
        <v>136</v>
      </c>
      <c r="D2861" s="80" t="s">
        <v>146</v>
      </c>
      <c r="E2861" s="80" t="s">
        <v>153</v>
      </c>
      <c r="F2861" s="170">
        <v>50</v>
      </c>
    </row>
    <row r="2862" spans="1:6" hidden="1" x14ac:dyDescent="0.25">
      <c r="A2862" s="169">
        <v>43662</v>
      </c>
      <c r="B2862" s="80" t="s">
        <v>2029</v>
      </c>
      <c r="C2862" s="80" t="s">
        <v>148</v>
      </c>
      <c r="D2862" s="80" t="s">
        <v>146</v>
      </c>
      <c r="E2862" s="80" t="s">
        <v>131</v>
      </c>
      <c r="F2862" s="170">
        <v>50</v>
      </c>
    </row>
    <row r="2863" spans="1:6" hidden="1" x14ac:dyDescent="0.25">
      <c r="A2863" s="169">
        <v>43662</v>
      </c>
      <c r="B2863" s="80" t="s">
        <v>2034</v>
      </c>
      <c r="C2863" s="80" t="s">
        <v>189</v>
      </c>
      <c r="D2863" s="80" t="s">
        <v>146</v>
      </c>
      <c r="E2863" s="80" t="s">
        <v>127</v>
      </c>
      <c r="F2863" s="170">
        <v>50</v>
      </c>
    </row>
    <row r="2864" spans="1:6" hidden="1" x14ac:dyDescent="0.25">
      <c r="A2864" s="169">
        <v>43664</v>
      </c>
      <c r="B2864" s="80" t="s">
        <v>2052</v>
      </c>
      <c r="C2864" s="80" t="s">
        <v>157</v>
      </c>
      <c r="D2864" s="80" t="s">
        <v>146</v>
      </c>
      <c r="E2864" s="80" t="s">
        <v>134</v>
      </c>
      <c r="F2864" s="170">
        <v>50</v>
      </c>
    </row>
    <row r="2865" spans="1:6" hidden="1" x14ac:dyDescent="0.25">
      <c r="A2865" s="169">
        <v>43664</v>
      </c>
      <c r="B2865" s="80" t="s">
        <v>2056</v>
      </c>
      <c r="C2865" s="80" t="s">
        <v>152</v>
      </c>
      <c r="D2865" s="80" t="s">
        <v>146</v>
      </c>
      <c r="E2865" s="80" t="s">
        <v>127</v>
      </c>
      <c r="F2865" s="170">
        <v>50</v>
      </c>
    </row>
    <row r="2866" spans="1:6" hidden="1" x14ac:dyDescent="0.25">
      <c r="A2866" s="169">
        <v>43664</v>
      </c>
      <c r="B2866" s="80" t="s">
        <v>2059</v>
      </c>
      <c r="C2866" s="80" t="s">
        <v>148</v>
      </c>
      <c r="D2866" s="80" t="s">
        <v>146</v>
      </c>
      <c r="E2866" s="80" t="s">
        <v>127</v>
      </c>
      <c r="F2866" s="170">
        <v>50</v>
      </c>
    </row>
    <row r="2867" spans="1:6" hidden="1" x14ac:dyDescent="0.25">
      <c r="A2867" s="169">
        <v>43666</v>
      </c>
      <c r="B2867" s="80" t="s">
        <v>2068</v>
      </c>
      <c r="C2867" s="80" t="s">
        <v>125</v>
      </c>
      <c r="D2867" s="80" t="s">
        <v>146</v>
      </c>
      <c r="E2867" s="80" t="s">
        <v>134</v>
      </c>
      <c r="F2867" s="170">
        <v>50</v>
      </c>
    </row>
    <row r="2868" spans="1:6" hidden="1" x14ac:dyDescent="0.25">
      <c r="A2868" s="169">
        <v>43667</v>
      </c>
      <c r="B2868" s="80" t="s">
        <v>2071</v>
      </c>
      <c r="C2868" s="80" t="s">
        <v>125</v>
      </c>
      <c r="D2868" s="80" t="s">
        <v>146</v>
      </c>
      <c r="E2868" s="80" t="s">
        <v>131</v>
      </c>
      <c r="F2868" s="170">
        <v>50</v>
      </c>
    </row>
    <row r="2869" spans="1:6" hidden="1" x14ac:dyDescent="0.25">
      <c r="A2869" s="169">
        <v>43669</v>
      </c>
      <c r="B2869" s="80" t="s">
        <v>2094</v>
      </c>
      <c r="C2869" s="80" t="s">
        <v>129</v>
      </c>
      <c r="D2869" s="80" t="s">
        <v>146</v>
      </c>
      <c r="E2869" s="80" t="s">
        <v>134</v>
      </c>
      <c r="F2869" s="170">
        <v>50</v>
      </c>
    </row>
    <row r="2870" spans="1:6" hidden="1" x14ac:dyDescent="0.25">
      <c r="A2870" s="169">
        <v>43670</v>
      </c>
      <c r="B2870" s="80" t="s">
        <v>2106</v>
      </c>
      <c r="C2870" s="80" t="s">
        <v>164</v>
      </c>
      <c r="D2870" s="80" t="s">
        <v>146</v>
      </c>
      <c r="E2870" s="80" t="s">
        <v>127</v>
      </c>
      <c r="F2870" s="170">
        <v>50</v>
      </c>
    </row>
    <row r="2871" spans="1:6" hidden="1" x14ac:dyDescent="0.25">
      <c r="A2871" s="169">
        <v>43671</v>
      </c>
      <c r="B2871" s="80" t="s">
        <v>2118</v>
      </c>
      <c r="C2871" s="80" t="s">
        <v>157</v>
      </c>
      <c r="D2871" s="80" t="s">
        <v>146</v>
      </c>
      <c r="E2871" s="80" t="s">
        <v>127</v>
      </c>
      <c r="F2871" s="170">
        <v>50</v>
      </c>
    </row>
    <row r="2872" spans="1:6" hidden="1" x14ac:dyDescent="0.25">
      <c r="A2872" s="169">
        <v>43672</v>
      </c>
      <c r="B2872" s="80" t="s">
        <v>2126</v>
      </c>
      <c r="C2872" s="80" t="s">
        <v>145</v>
      </c>
      <c r="D2872" s="80" t="s">
        <v>146</v>
      </c>
      <c r="E2872" s="80" t="s">
        <v>131</v>
      </c>
      <c r="F2872" s="170">
        <v>50</v>
      </c>
    </row>
    <row r="2873" spans="1:6" hidden="1" x14ac:dyDescent="0.25">
      <c r="A2873" s="169">
        <v>43673</v>
      </c>
      <c r="B2873" s="80" t="s">
        <v>2136</v>
      </c>
      <c r="C2873" s="80" t="s">
        <v>157</v>
      </c>
      <c r="D2873" s="80" t="s">
        <v>146</v>
      </c>
      <c r="E2873" s="80" t="s">
        <v>127</v>
      </c>
      <c r="F2873" s="170">
        <v>50</v>
      </c>
    </row>
    <row r="2874" spans="1:6" hidden="1" x14ac:dyDescent="0.25">
      <c r="A2874" s="169">
        <v>43673</v>
      </c>
      <c r="B2874" s="80" t="s">
        <v>2137</v>
      </c>
      <c r="C2874" s="80" t="s">
        <v>143</v>
      </c>
      <c r="D2874" s="80" t="s">
        <v>146</v>
      </c>
      <c r="E2874" s="80" t="s">
        <v>131</v>
      </c>
      <c r="F2874" s="170">
        <v>50</v>
      </c>
    </row>
    <row r="2875" spans="1:6" hidden="1" x14ac:dyDescent="0.25">
      <c r="A2875" s="169">
        <v>43674</v>
      </c>
      <c r="B2875" s="80" t="s">
        <v>2141</v>
      </c>
      <c r="C2875" s="80" t="s">
        <v>145</v>
      </c>
      <c r="D2875" s="80" t="s">
        <v>146</v>
      </c>
      <c r="E2875" s="80" t="s">
        <v>127</v>
      </c>
      <c r="F2875" s="170">
        <v>50</v>
      </c>
    </row>
    <row r="2876" spans="1:6" hidden="1" x14ac:dyDescent="0.25">
      <c r="A2876" s="169">
        <v>43674</v>
      </c>
      <c r="B2876" s="80" t="s">
        <v>2144</v>
      </c>
      <c r="C2876" s="80" t="s">
        <v>157</v>
      </c>
      <c r="D2876" s="80" t="s">
        <v>146</v>
      </c>
      <c r="E2876" s="80" t="s">
        <v>153</v>
      </c>
      <c r="F2876" s="170">
        <v>50</v>
      </c>
    </row>
    <row r="2877" spans="1:6" hidden="1" x14ac:dyDescent="0.25">
      <c r="A2877" s="169">
        <v>43674</v>
      </c>
      <c r="B2877" s="80" t="s">
        <v>2145</v>
      </c>
      <c r="C2877" s="80" t="s">
        <v>164</v>
      </c>
      <c r="D2877" s="80" t="s">
        <v>146</v>
      </c>
      <c r="E2877" s="80" t="s">
        <v>134</v>
      </c>
      <c r="F2877" s="170">
        <v>50</v>
      </c>
    </row>
    <row r="2878" spans="1:6" hidden="1" x14ac:dyDescent="0.25">
      <c r="A2878" s="169">
        <v>43675</v>
      </c>
      <c r="B2878" s="80" t="s">
        <v>2156</v>
      </c>
      <c r="C2878" s="80" t="s">
        <v>189</v>
      </c>
      <c r="D2878" s="80" t="s">
        <v>146</v>
      </c>
      <c r="E2878" s="80" t="s">
        <v>153</v>
      </c>
      <c r="F2878" s="170">
        <v>50</v>
      </c>
    </row>
    <row r="2879" spans="1:6" hidden="1" x14ac:dyDescent="0.25">
      <c r="A2879" s="169">
        <v>43675</v>
      </c>
      <c r="B2879" s="80" t="s">
        <v>2158</v>
      </c>
      <c r="C2879" s="80" t="s">
        <v>143</v>
      </c>
      <c r="D2879" s="80" t="s">
        <v>146</v>
      </c>
      <c r="E2879" s="80" t="s">
        <v>131</v>
      </c>
      <c r="F2879" s="170">
        <v>50</v>
      </c>
    </row>
    <row r="2880" spans="1:6" hidden="1" x14ac:dyDescent="0.25">
      <c r="A2880" s="169">
        <v>43676</v>
      </c>
      <c r="B2880" s="80" t="s">
        <v>2164</v>
      </c>
      <c r="C2880" s="80" t="s">
        <v>164</v>
      </c>
      <c r="D2880" s="80" t="s">
        <v>146</v>
      </c>
      <c r="E2880" s="80" t="s">
        <v>153</v>
      </c>
      <c r="F2880" s="170">
        <v>50</v>
      </c>
    </row>
    <row r="2881" spans="1:6" hidden="1" x14ac:dyDescent="0.25">
      <c r="A2881" s="169">
        <v>43678</v>
      </c>
      <c r="B2881" s="80" t="s">
        <v>2185</v>
      </c>
      <c r="C2881" s="80" t="s">
        <v>123</v>
      </c>
      <c r="D2881" s="80" t="s">
        <v>146</v>
      </c>
      <c r="E2881" s="80" t="s">
        <v>134</v>
      </c>
      <c r="F2881" s="170">
        <v>50</v>
      </c>
    </row>
    <row r="2882" spans="1:6" hidden="1" x14ac:dyDescent="0.25">
      <c r="A2882" s="169">
        <v>43679</v>
      </c>
      <c r="B2882" s="80" t="s">
        <v>2201</v>
      </c>
      <c r="C2882" s="80" t="s">
        <v>182</v>
      </c>
      <c r="D2882" s="80" t="s">
        <v>146</v>
      </c>
      <c r="E2882" s="80" t="s">
        <v>131</v>
      </c>
      <c r="F2882" s="170">
        <v>50</v>
      </c>
    </row>
    <row r="2883" spans="1:6" x14ac:dyDescent="0.25">
      <c r="A2883" s="169">
        <v>43680</v>
      </c>
      <c r="B2883" s="80" t="s">
        <v>2207</v>
      </c>
      <c r="C2883" s="80" t="s">
        <v>164</v>
      </c>
      <c r="D2883" s="80" t="s">
        <v>146</v>
      </c>
      <c r="E2883" s="80" t="s">
        <v>121</v>
      </c>
      <c r="F2883" s="170">
        <v>50</v>
      </c>
    </row>
    <row r="2884" spans="1:6" hidden="1" x14ac:dyDescent="0.25">
      <c r="A2884" s="169">
        <v>43680</v>
      </c>
      <c r="B2884" s="80" t="s">
        <v>2214</v>
      </c>
      <c r="C2884" s="80" t="s">
        <v>223</v>
      </c>
      <c r="D2884" s="80" t="s">
        <v>146</v>
      </c>
      <c r="E2884" s="80" t="s">
        <v>131</v>
      </c>
      <c r="F2884" s="170">
        <v>50</v>
      </c>
    </row>
    <row r="2885" spans="1:6" hidden="1" x14ac:dyDescent="0.25">
      <c r="A2885" s="169">
        <v>43681</v>
      </c>
      <c r="B2885" s="80" t="s">
        <v>2218</v>
      </c>
      <c r="C2885" s="80" t="s">
        <v>152</v>
      </c>
      <c r="D2885" s="80" t="s">
        <v>146</v>
      </c>
      <c r="E2885" s="80" t="s">
        <v>131</v>
      </c>
      <c r="F2885" s="170">
        <v>50</v>
      </c>
    </row>
    <row r="2886" spans="1:6" hidden="1" x14ac:dyDescent="0.25">
      <c r="A2886" s="169">
        <v>43682</v>
      </c>
      <c r="B2886" s="80" t="s">
        <v>2231</v>
      </c>
      <c r="C2886" s="80" t="s">
        <v>129</v>
      </c>
      <c r="D2886" s="80" t="s">
        <v>146</v>
      </c>
      <c r="E2886" s="80" t="s">
        <v>134</v>
      </c>
      <c r="F2886" s="170">
        <v>50</v>
      </c>
    </row>
    <row r="2887" spans="1:6" hidden="1" x14ac:dyDescent="0.25">
      <c r="A2887" s="169">
        <v>43683</v>
      </c>
      <c r="B2887" s="80" t="s">
        <v>2234</v>
      </c>
      <c r="C2887" s="80" t="s">
        <v>143</v>
      </c>
      <c r="D2887" s="80" t="s">
        <v>146</v>
      </c>
      <c r="E2887" s="80" t="s">
        <v>131</v>
      </c>
      <c r="F2887" s="170">
        <v>50</v>
      </c>
    </row>
    <row r="2888" spans="1:6" hidden="1" x14ac:dyDescent="0.25">
      <c r="A2888" s="169">
        <v>43683</v>
      </c>
      <c r="B2888" s="80" t="s">
        <v>2244</v>
      </c>
      <c r="C2888" s="80" t="s">
        <v>182</v>
      </c>
      <c r="D2888" s="80" t="s">
        <v>146</v>
      </c>
      <c r="E2888" s="80" t="s">
        <v>153</v>
      </c>
      <c r="F2888" s="170">
        <v>50</v>
      </c>
    </row>
    <row r="2889" spans="1:6" hidden="1" x14ac:dyDescent="0.25">
      <c r="A2889" s="169">
        <v>43684</v>
      </c>
      <c r="B2889" s="80" t="s">
        <v>2252</v>
      </c>
      <c r="C2889" s="80" t="s">
        <v>167</v>
      </c>
      <c r="D2889" s="80" t="s">
        <v>146</v>
      </c>
      <c r="E2889" s="80" t="s">
        <v>134</v>
      </c>
      <c r="F2889" s="170">
        <v>50</v>
      </c>
    </row>
    <row r="2890" spans="1:6" hidden="1" x14ac:dyDescent="0.25">
      <c r="A2890" s="169">
        <v>43684</v>
      </c>
      <c r="B2890" s="80" t="s">
        <v>2254</v>
      </c>
      <c r="C2890" s="80" t="s">
        <v>152</v>
      </c>
      <c r="D2890" s="80" t="s">
        <v>146</v>
      </c>
      <c r="E2890" s="80" t="s">
        <v>134</v>
      </c>
      <c r="F2890" s="170">
        <v>50</v>
      </c>
    </row>
    <row r="2891" spans="1:6" hidden="1" x14ac:dyDescent="0.25">
      <c r="A2891" s="169">
        <v>43685</v>
      </c>
      <c r="B2891" s="80" t="s">
        <v>2257</v>
      </c>
      <c r="C2891" s="80" t="s">
        <v>223</v>
      </c>
      <c r="D2891" s="80" t="s">
        <v>146</v>
      </c>
      <c r="E2891" s="80" t="s">
        <v>131</v>
      </c>
      <c r="F2891" s="170">
        <v>50</v>
      </c>
    </row>
    <row r="2892" spans="1:6" hidden="1" x14ac:dyDescent="0.25">
      <c r="A2892" s="169">
        <v>43685</v>
      </c>
      <c r="B2892" s="80" t="s">
        <v>2259</v>
      </c>
      <c r="C2892" s="80" t="s">
        <v>152</v>
      </c>
      <c r="D2892" s="80" t="s">
        <v>146</v>
      </c>
      <c r="E2892" s="80" t="s">
        <v>127</v>
      </c>
      <c r="F2892" s="170">
        <v>50</v>
      </c>
    </row>
    <row r="2893" spans="1:6" hidden="1" x14ac:dyDescent="0.25">
      <c r="A2893" s="169">
        <v>43686</v>
      </c>
      <c r="B2893" s="80" t="s">
        <v>2274</v>
      </c>
      <c r="C2893" s="80" t="s">
        <v>138</v>
      </c>
      <c r="D2893" s="80" t="s">
        <v>146</v>
      </c>
      <c r="E2893" s="80" t="s">
        <v>127</v>
      </c>
      <c r="F2893" s="170">
        <v>50</v>
      </c>
    </row>
    <row r="2894" spans="1:6" hidden="1" x14ac:dyDescent="0.25">
      <c r="A2894" s="169">
        <v>43687</v>
      </c>
      <c r="B2894" s="80" t="s">
        <v>2283</v>
      </c>
      <c r="C2894" s="80" t="s">
        <v>187</v>
      </c>
      <c r="D2894" s="80" t="s">
        <v>146</v>
      </c>
      <c r="E2894" s="80" t="s">
        <v>127</v>
      </c>
      <c r="F2894" s="170">
        <v>50</v>
      </c>
    </row>
    <row r="2895" spans="1:6" hidden="1" x14ac:dyDescent="0.25">
      <c r="A2895" s="169">
        <v>43688</v>
      </c>
      <c r="B2895" s="80" t="s">
        <v>2292</v>
      </c>
      <c r="C2895" s="80" t="s">
        <v>182</v>
      </c>
      <c r="D2895" s="80" t="s">
        <v>146</v>
      </c>
      <c r="E2895" s="80" t="s">
        <v>134</v>
      </c>
      <c r="F2895" s="170">
        <v>50</v>
      </c>
    </row>
    <row r="2896" spans="1:6" x14ac:dyDescent="0.25">
      <c r="A2896" s="169">
        <v>43689</v>
      </c>
      <c r="B2896" s="80" t="s">
        <v>2297</v>
      </c>
      <c r="C2896" s="80" t="s">
        <v>129</v>
      </c>
      <c r="D2896" s="80" t="s">
        <v>146</v>
      </c>
      <c r="E2896" s="80" t="s">
        <v>121</v>
      </c>
      <c r="F2896" s="170">
        <v>50</v>
      </c>
    </row>
    <row r="2897" spans="1:6" hidden="1" x14ac:dyDescent="0.25">
      <c r="A2897" s="169">
        <v>43690</v>
      </c>
      <c r="B2897" s="80" t="s">
        <v>2300</v>
      </c>
      <c r="C2897" s="80" t="s">
        <v>223</v>
      </c>
      <c r="D2897" s="80" t="s">
        <v>146</v>
      </c>
      <c r="E2897" s="80" t="s">
        <v>127</v>
      </c>
      <c r="F2897" s="170">
        <v>50</v>
      </c>
    </row>
    <row r="2898" spans="1:6" hidden="1" x14ac:dyDescent="0.25">
      <c r="A2898" s="169">
        <v>43690</v>
      </c>
      <c r="B2898" s="80" t="s">
        <v>2304</v>
      </c>
      <c r="C2898" s="80" t="s">
        <v>152</v>
      </c>
      <c r="D2898" s="80" t="s">
        <v>146</v>
      </c>
      <c r="E2898" s="80" t="s">
        <v>127</v>
      </c>
      <c r="F2898" s="170">
        <v>50</v>
      </c>
    </row>
    <row r="2899" spans="1:6" x14ac:dyDescent="0.25">
      <c r="A2899" s="169">
        <v>43690</v>
      </c>
      <c r="B2899" s="80" t="s">
        <v>2305</v>
      </c>
      <c r="C2899" s="80" t="s">
        <v>138</v>
      </c>
      <c r="D2899" s="80" t="s">
        <v>146</v>
      </c>
      <c r="E2899" s="80" t="s">
        <v>121</v>
      </c>
      <c r="F2899" s="170">
        <v>50</v>
      </c>
    </row>
    <row r="2900" spans="1:6" hidden="1" x14ac:dyDescent="0.25">
      <c r="A2900" s="169">
        <v>43690</v>
      </c>
      <c r="B2900" s="80" t="s">
        <v>2310</v>
      </c>
      <c r="C2900" s="80" t="s">
        <v>136</v>
      </c>
      <c r="D2900" s="80" t="s">
        <v>146</v>
      </c>
      <c r="E2900" s="80" t="s">
        <v>131</v>
      </c>
      <c r="F2900" s="170">
        <v>50</v>
      </c>
    </row>
    <row r="2901" spans="1:6" hidden="1" x14ac:dyDescent="0.25">
      <c r="A2901" s="169">
        <v>43691</v>
      </c>
      <c r="B2901" s="80" t="s">
        <v>2318</v>
      </c>
      <c r="C2901" s="80" t="s">
        <v>138</v>
      </c>
      <c r="D2901" s="80" t="s">
        <v>146</v>
      </c>
      <c r="E2901" s="80" t="s">
        <v>127</v>
      </c>
      <c r="F2901" s="170">
        <v>50</v>
      </c>
    </row>
    <row r="2902" spans="1:6" hidden="1" x14ac:dyDescent="0.25">
      <c r="A2902" s="169">
        <v>43692</v>
      </c>
      <c r="B2902" s="80" t="s">
        <v>2326</v>
      </c>
      <c r="C2902" s="80" t="s">
        <v>136</v>
      </c>
      <c r="D2902" s="80" t="s">
        <v>146</v>
      </c>
      <c r="E2902" s="80" t="s">
        <v>127</v>
      </c>
      <c r="F2902" s="170">
        <v>50</v>
      </c>
    </row>
    <row r="2903" spans="1:6" hidden="1" x14ac:dyDescent="0.25">
      <c r="A2903" s="169">
        <v>43692</v>
      </c>
      <c r="B2903" s="80" t="s">
        <v>2331</v>
      </c>
      <c r="C2903" s="80" t="s">
        <v>148</v>
      </c>
      <c r="D2903" s="80" t="s">
        <v>146</v>
      </c>
      <c r="E2903" s="80" t="s">
        <v>134</v>
      </c>
      <c r="F2903" s="170">
        <v>50</v>
      </c>
    </row>
    <row r="2904" spans="1:6" hidden="1" x14ac:dyDescent="0.25">
      <c r="A2904" s="169">
        <v>43693</v>
      </c>
      <c r="B2904" s="80" t="s">
        <v>2344</v>
      </c>
      <c r="C2904" s="80" t="s">
        <v>167</v>
      </c>
      <c r="D2904" s="80" t="s">
        <v>146</v>
      </c>
      <c r="E2904" s="80" t="s">
        <v>127</v>
      </c>
      <c r="F2904" s="170">
        <v>50</v>
      </c>
    </row>
    <row r="2905" spans="1:6" hidden="1" x14ac:dyDescent="0.25">
      <c r="A2905" s="169">
        <v>43694</v>
      </c>
      <c r="B2905" s="80" t="s">
        <v>2349</v>
      </c>
      <c r="C2905" s="80" t="s">
        <v>187</v>
      </c>
      <c r="D2905" s="80" t="s">
        <v>146</v>
      </c>
      <c r="E2905" s="80" t="s">
        <v>153</v>
      </c>
      <c r="F2905" s="170">
        <v>50</v>
      </c>
    </row>
    <row r="2906" spans="1:6" hidden="1" x14ac:dyDescent="0.25">
      <c r="A2906" s="169">
        <v>43694</v>
      </c>
      <c r="B2906" s="80" t="s">
        <v>2352</v>
      </c>
      <c r="C2906" s="80" t="s">
        <v>187</v>
      </c>
      <c r="D2906" s="80" t="s">
        <v>146</v>
      </c>
      <c r="E2906" s="80" t="s">
        <v>127</v>
      </c>
      <c r="F2906" s="170">
        <v>50</v>
      </c>
    </row>
    <row r="2907" spans="1:6" hidden="1" x14ac:dyDescent="0.25">
      <c r="A2907" s="169">
        <v>43694</v>
      </c>
      <c r="B2907" s="80" t="s">
        <v>2354</v>
      </c>
      <c r="C2907" s="80" t="s">
        <v>143</v>
      </c>
      <c r="D2907" s="80" t="s">
        <v>146</v>
      </c>
      <c r="E2907" s="80" t="s">
        <v>131</v>
      </c>
      <c r="F2907" s="170">
        <v>50</v>
      </c>
    </row>
    <row r="2908" spans="1:6" hidden="1" x14ac:dyDescent="0.25">
      <c r="A2908" s="169">
        <v>43694</v>
      </c>
      <c r="B2908" s="80" t="s">
        <v>2362</v>
      </c>
      <c r="C2908" s="80" t="s">
        <v>167</v>
      </c>
      <c r="D2908" s="80" t="s">
        <v>146</v>
      </c>
      <c r="E2908" s="80" t="s">
        <v>131</v>
      </c>
      <c r="F2908" s="170">
        <v>50</v>
      </c>
    </row>
    <row r="2909" spans="1:6" x14ac:dyDescent="0.25">
      <c r="A2909" s="169">
        <v>43695</v>
      </c>
      <c r="B2909" s="80" t="s">
        <v>2368</v>
      </c>
      <c r="C2909" s="80" t="s">
        <v>123</v>
      </c>
      <c r="D2909" s="80" t="s">
        <v>146</v>
      </c>
      <c r="E2909" s="80" t="s">
        <v>121</v>
      </c>
      <c r="F2909" s="170">
        <v>50</v>
      </c>
    </row>
    <row r="2910" spans="1:6" hidden="1" x14ac:dyDescent="0.25">
      <c r="A2910" s="169">
        <v>43696</v>
      </c>
      <c r="B2910" s="80" t="s">
        <v>2373</v>
      </c>
      <c r="C2910" s="80" t="s">
        <v>129</v>
      </c>
      <c r="D2910" s="80" t="s">
        <v>146</v>
      </c>
      <c r="E2910" s="80" t="s">
        <v>127</v>
      </c>
      <c r="F2910" s="170">
        <v>50</v>
      </c>
    </row>
    <row r="2911" spans="1:6" hidden="1" x14ac:dyDescent="0.25">
      <c r="A2911" s="169">
        <v>43698</v>
      </c>
      <c r="B2911" s="80" t="s">
        <v>2394</v>
      </c>
      <c r="C2911" s="80" t="s">
        <v>182</v>
      </c>
      <c r="D2911" s="80" t="s">
        <v>146</v>
      </c>
      <c r="E2911" s="80" t="s">
        <v>153</v>
      </c>
      <c r="F2911" s="170">
        <v>50</v>
      </c>
    </row>
    <row r="2912" spans="1:6" hidden="1" x14ac:dyDescent="0.25">
      <c r="A2912" s="169">
        <v>43699</v>
      </c>
      <c r="B2912" s="80" t="s">
        <v>2400</v>
      </c>
      <c r="C2912" s="80" t="s">
        <v>143</v>
      </c>
      <c r="D2912" s="80" t="s">
        <v>146</v>
      </c>
      <c r="E2912" s="80" t="s">
        <v>131</v>
      </c>
      <c r="F2912" s="170">
        <v>50</v>
      </c>
    </row>
    <row r="2913" spans="1:6" x14ac:dyDescent="0.25">
      <c r="A2913" s="169">
        <v>43701</v>
      </c>
      <c r="B2913" s="80" t="s">
        <v>2409</v>
      </c>
      <c r="C2913" s="80" t="s">
        <v>129</v>
      </c>
      <c r="D2913" s="80" t="s">
        <v>146</v>
      </c>
      <c r="E2913" s="80" t="s">
        <v>121</v>
      </c>
      <c r="F2913" s="170">
        <v>50</v>
      </c>
    </row>
    <row r="2914" spans="1:6" hidden="1" x14ac:dyDescent="0.25">
      <c r="A2914" s="169">
        <v>43701</v>
      </c>
      <c r="B2914" s="80" t="s">
        <v>2411</v>
      </c>
      <c r="C2914" s="80" t="s">
        <v>123</v>
      </c>
      <c r="D2914" s="80" t="s">
        <v>146</v>
      </c>
      <c r="E2914" s="80" t="s">
        <v>153</v>
      </c>
      <c r="F2914" s="170">
        <v>50</v>
      </c>
    </row>
    <row r="2915" spans="1:6" hidden="1" x14ac:dyDescent="0.25">
      <c r="A2915" s="169">
        <v>43702</v>
      </c>
      <c r="B2915" s="80" t="s">
        <v>2425</v>
      </c>
      <c r="C2915" s="80" t="s">
        <v>143</v>
      </c>
      <c r="D2915" s="80" t="s">
        <v>146</v>
      </c>
      <c r="E2915" s="80" t="s">
        <v>134</v>
      </c>
      <c r="F2915" s="170">
        <v>50</v>
      </c>
    </row>
    <row r="2916" spans="1:6" hidden="1" x14ac:dyDescent="0.25">
      <c r="A2916" s="169">
        <v>43704</v>
      </c>
      <c r="B2916" s="80" t="s">
        <v>2448</v>
      </c>
      <c r="C2916" s="80" t="s">
        <v>164</v>
      </c>
      <c r="D2916" s="80" t="s">
        <v>146</v>
      </c>
      <c r="E2916" s="80" t="s">
        <v>153</v>
      </c>
      <c r="F2916" s="170">
        <v>50</v>
      </c>
    </row>
    <row r="2917" spans="1:6" hidden="1" x14ac:dyDescent="0.25">
      <c r="A2917" s="169">
        <v>43705</v>
      </c>
      <c r="B2917" s="80" t="s">
        <v>2450</v>
      </c>
      <c r="C2917" s="80" t="s">
        <v>164</v>
      </c>
      <c r="D2917" s="80" t="s">
        <v>146</v>
      </c>
      <c r="E2917" s="80" t="s">
        <v>153</v>
      </c>
      <c r="F2917" s="170">
        <v>50</v>
      </c>
    </row>
    <row r="2918" spans="1:6" hidden="1" x14ac:dyDescent="0.25">
      <c r="A2918" s="169">
        <v>43705</v>
      </c>
      <c r="B2918" s="80" t="s">
        <v>2452</v>
      </c>
      <c r="C2918" s="80" t="s">
        <v>223</v>
      </c>
      <c r="D2918" s="80" t="s">
        <v>146</v>
      </c>
      <c r="E2918" s="80" t="s">
        <v>134</v>
      </c>
      <c r="F2918" s="170">
        <v>50</v>
      </c>
    </row>
    <row r="2919" spans="1:6" hidden="1" x14ac:dyDescent="0.25">
      <c r="A2919" s="169">
        <v>43706</v>
      </c>
      <c r="B2919" s="80" t="s">
        <v>2467</v>
      </c>
      <c r="C2919" s="80" t="s">
        <v>143</v>
      </c>
      <c r="D2919" s="80" t="s">
        <v>146</v>
      </c>
      <c r="E2919" s="80" t="s">
        <v>127</v>
      </c>
      <c r="F2919" s="170">
        <v>50</v>
      </c>
    </row>
    <row r="2920" spans="1:6" hidden="1" x14ac:dyDescent="0.25">
      <c r="A2920" s="169">
        <v>43706</v>
      </c>
      <c r="B2920" s="80" t="s">
        <v>2469</v>
      </c>
      <c r="C2920" s="80" t="s">
        <v>187</v>
      </c>
      <c r="D2920" s="80" t="s">
        <v>146</v>
      </c>
      <c r="E2920" s="80" t="s">
        <v>127</v>
      </c>
      <c r="F2920" s="170">
        <v>50</v>
      </c>
    </row>
    <row r="2921" spans="1:6" hidden="1" x14ac:dyDescent="0.25">
      <c r="A2921" s="169">
        <v>43708</v>
      </c>
      <c r="B2921" s="80" t="s">
        <v>2484</v>
      </c>
      <c r="C2921" s="80" t="s">
        <v>145</v>
      </c>
      <c r="D2921" s="80" t="s">
        <v>146</v>
      </c>
      <c r="E2921" s="80" t="s">
        <v>134</v>
      </c>
      <c r="F2921" s="170">
        <v>50</v>
      </c>
    </row>
    <row r="2922" spans="1:6" hidden="1" x14ac:dyDescent="0.25">
      <c r="A2922" s="169">
        <v>43709</v>
      </c>
      <c r="B2922" s="80" t="s">
        <v>2496</v>
      </c>
      <c r="C2922" s="80" t="s">
        <v>138</v>
      </c>
      <c r="D2922" s="80" t="s">
        <v>146</v>
      </c>
      <c r="E2922" s="80" t="s">
        <v>131</v>
      </c>
      <c r="F2922" s="170">
        <v>50</v>
      </c>
    </row>
    <row r="2923" spans="1:6" hidden="1" x14ac:dyDescent="0.25">
      <c r="A2923" s="169">
        <v>43709</v>
      </c>
      <c r="B2923" s="80" t="s">
        <v>2498</v>
      </c>
      <c r="C2923" s="80" t="s">
        <v>148</v>
      </c>
      <c r="D2923" s="80" t="s">
        <v>146</v>
      </c>
      <c r="E2923" s="80" t="s">
        <v>127</v>
      </c>
      <c r="F2923" s="170">
        <v>50</v>
      </c>
    </row>
    <row r="2924" spans="1:6" hidden="1" x14ac:dyDescent="0.25">
      <c r="A2924" s="169">
        <v>43710</v>
      </c>
      <c r="B2924" s="80" t="s">
        <v>2503</v>
      </c>
      <c r="C2924" s="80" t="s">
        <v>167</v>
      </c>
      <c r="D2924" s="80" t="s">
        <v>146</v>
      </c>
      <c r="E2924" s="80" t="s">
        <v>134</v>
      </c>
      <c r="F2924" s="170">
        <v>50</v>
      </c>
    </row>
    <row r="2925" spans="1:6" hidden="1" x14ac:dyDescent="0.25">
      <c r="A2925" s="169">
        <v>43713</v>
      </c>
      <c r="B2925" s="80" t="s">
        <v>2531</v>
      </c>
      <c r="C2925" s="80" t="s">
        <v>157</v>
      </c>
      <c r="D2925" s="80" t="s">
        <v>146</v>
      </c>
      <c r="E2925" s="80" t="s">
        <v>131</v>
      </c>
      <c r="F2925" s="170">
        <v>50</v>
      </c>
    </row>
    <row r="2926" spans="1:6" hidden="1" x14ac:dyDescent="0.25">
      <c r="A2926" s="169">
        <v>43715</v>
      </c>
      <c r="B2926" s="80" t="s">
        <v>2545</v>
      </c>
      <c r="C2926" s="80" t="s">
        <v>123</v>
      </c>
      <c r="D2926" s="80" t="s">
        <v>146</v>
      </c>
      <c r="E2926" s="80" t="s">
        <v>134</v>
      </c>
      <c r="F2926" s="170">
        <v>50</v>
      </c>
    </row>
    <row r="2927" spans="1:6" hidden="1" x14ac:dyDescent="0.25">
      <c r="A2927" s="169">
        <v>43715</v>
      </c>
      <c r="B2927" s="80" t="s">
        <v>2547</v>
      </c>
      <c r="C2927" s="80" t="s">
        <v>167</v>
      </c>
      <c r="D2927" s="80" t="s">
        <v>146</v>
      </c>
      <c r="E2927" s="80" t="s">
        <v>134</v>
      </c>
      <c r="F2927" s="170">
        <v>50</v>
      </c>
    </row>
    <row r="2928" spans="1:6" hidden="1" x14ac:dyDescent="0.25">
      <c r="A2928" s="169">
        <v>43716</v>
      </c>
      <c r="B2928" s="80" t="s">
        <v>2558</v>
      </c>
      <c r="C2928" s="80" t="s">
        <v>152</v>
      </c>
      <c r="D2928" s="80" t="s">
        <v>146</v>
      </c>
      <c r="E2928" s="80" t="s">
        <v>153</v>
      </c>
      <c r="F2928" s="170">
        <v>50</v>
      </c>
    </row>
    <row r="2929" spans="1:6" hidden="1" x14ac:dyDescent="0.25">
      <c r="A2929" s="169">
        <v>43716</v>
      </c>
      <c r="B2929" s="80" t="s">
        <v>2559</v>
      </c>
      <c r="C2929" s="80" t="s">
        <v>187</v>
      </c>
      <c r="D2929" s="80" t="s">
        <v>146</v>
      </c>
      <c r="E2929" s="80" t="s">
        <v>153</v>
      </c>
      <c r="F2929" s="170">
        <v>50</v>
      </c>
    </row>
    <row r="2930" spans="1:6" hidden="1" x14ac:dyDescent="0.25">
      <c r="A2930" s="169">
        <v>43717</v>
      </c>
      <c r="B2930" s="80" t="s">
        <v>2569</v>
      </c>
      <c r="C2930" s="80" t="s">
        <v>152</v>
      </c>
      <c r="D2930" s="80" t="s">
        <v>146</v>
      </c>
      <c r="E2930" s="80" t="s">
        <v>134</v>
      </c>
      <c r="F2930" s="170">
        <v>50</v>
      </c>
    </row>
    <row r="2931" spans="1:6" hidden="1" x14ac:dyDescent="0.25">
      <c r="A2931" s="169">
        <v>43720</v>
      </c>
      <c r="B2931" s="80" t="s">
        <v>2589</v>
      </c>
      <c r="C2931" s="80" t="s">
        <v>138</v>
      </c>
      <c r="D2931" s="80" t="s">
        <v>146</v>
      </c>
      <c r="E2931" s="80" t="s">
        <v>131</v>
      </c>
      <c r="F2931" s="170">
        <v>50</v>
      </c>
    </row>
    <row r="2932" spans="1:6" hidden="1" x14ac:dyDescent="0.25">
      <c r="A2932" s="169">
        <v>43721</v>
      </c>
      <c r="B2932" s="80" t="s">
        <v>2591</v>
      </c>
      <c r="C2932" s="80" t="s">
        <v>148</v>
      </c>
      <c r="D2932" s="80" t="s">
        <v>146</v>
      </c>
      <c r="E2932" s="80" t="s">
        <v>134</v>
      </c>
      <c r="F2932" s="170">
        <v>50</v>
      </c>
    </row>
    <row r="2933" spans="1:6" hidden="1" x14ac:dyDescent="0.25">
      <c r="A2933" s="169">
        <v>43721</v>
      </c>
      <c r="B2933" s="80" t="s">
        <v>2594</v>
      </c>
      <c r="C2933" s="80" t="s">
        <v>182</v>
      </c>
      <c r="D2933" s="80" t="s">
        <v>146</v>
      </c>
      <c r="E2933" s="80" t="s">
        <v>134</v>
      </c>
      <c r="F2933" s="170">
        <v>50</v>
      </c>
    </row>
    <row r="2934" spans="1:6" hidden="1" x14ac:dyDescent="0.25">
      <c r="A2934" s="169">
        <v>43721</v>
      </c>
      <c r="B2934" s="80" t="s">
        <v>2597</v>
      </c>
      <c r="C2934" s="80" t="s">
        <v>187</v>
      </c>
      <c r="D2934" s="80" t="s">
        <v>146</v>
      </c>
      <c r="E2934" s="80" t="s">
        <v>131</v>
      </c>
      <c r="F2934" s="170">
        <v>50</v>
      </c>
    </row>
    <row r="2935" spans="1:6" hidden="1" x14ac:dyDescent="0.25">
      <c r="A2935" s="169">
        <v>43722</v>
      </c>
      <c r="B2935" s="80" t="s">
        <v>2606</v>
      </c>
      <c r="C2935" s="80" t="s">
        <v>143</v>
      </c>
      <c r="D2935" s="80" t="s">
        <v>146</v>
      </c>
      <c r="E2935" s="80" t="s">
        <v>127</v>
      </c>
      <c r="F2935" s="170">
        <v>50</v>
      </c>
    </row>
    <row r="2936" spans="1:6" hidden="1" x14ac:dyDescent="0.25">
      <c r="A2936" s="169">
        <v>43723</v>
      </c>
      <c r="B2936" s="80" t="s">
        <v>2607</v>
      </c>
      <c r="C2936" s="80" t="s">
        <v>167</v>
      </c>
      <c r="D2936" s="80" t="s">
        <v>146</v>
      </c>
      <c r="E2936" s="80" t="s">
        <v>153</v>
      </c>
      <c r="F2936" s="170">
        <v>50</v>
      </c>
    </row>
    <row r="2937" spans="1:6" hidden="1" x14ac:dyDescent="0.25">
      <c r="A2937" s="169">
        <v>43726</v>
      </c>
      <c r="B2937" s="80" t="s">
        <v>2633</v>
      </c>
      <c r="C2937" s="80" t="s">
        <v>223</v>
      </c>
      <c r="D2937" s="80" t="s">
        <v>146</v>
      </c>
      <c r="E2937" s="80" t="s">
        <v>153</v>
      </c>
      <c r="F2937" s="170">
        <v>50</v>
      </c>
    </row>
    <row r="2938" spans="1:6" hidden="1" x14ac:dyDescent="0.25">
      <c r="A2938" s="169">
        <v>43726</v>
      </c>
      <c r="B2938" s="80" t="s">
        <v>2636</v>
      </c>
      <c r="C2938" s="80" t="s">
        <v>125</v>
      </c>
      <c r="D2938" s="80" t="s">
        <v>146</v>
      </c>
      <c r="E2938" s="80" t="s">
        <v>131</v>
      </c>
      <c r="F2938" s="170">
        <v>50</v>
      </c>
    </row>
    <row r="2939" spans="1:6" hidden="1" x14ac:dyDescent="0.25">
      <c r="A2939" s="169">
        <v>43727</v>
      </c>
      <c r="B2939" s="80" t="s">
        <v>2645</v>
      </c>
      <c r="C2939" s="80" t="s">
        <v>157</v>
      </c>
      <c r="D2939" s="80" t="s">
        <v>146</v>
      </c>
      <c r="E2939" s="80" t="s">
        <v>134</v>
      </c>
      <c r="F2939" s="170">
        <v>50</v>
      </c>
    </row>
    <row r="2940" spans="1:6" hidden="1" x14ac:dyDescent="0.25">
      <c r="A2940" s="169">
        <v>43727</v>
      </c>
      <c r="B2940" s="80" t="s">
        <v>2646</v>
      </c>
      <c r="C2940" s="80" t="s">
        <v>152</v>
      </c>
      <c r="D2940" s="80" t="s">
        <v>146</v>
      </c>
      <c r="E2940" s="80" t="s">
        <v>127</v>
      </c>
      <c r="F2940" s="170">
        <v>50</v>
      </c>
    </row>
    <row r="2941" spans="1:6" hidden="1" x14ac:dyDescent="0.25">
      <c r="A2941" s="169">
        <v>43727</v>
      </c>
      <c r="B2941" s="80" t="s">
        <v>2651</v>
      </c>
      <c r="C2941" s="80" t="s">
        <v>182</v>
      </c>
      <c r="D2941" s="80" t="s">
        <v>146</v>
      </c>
      <c r="E2941" s="80" t="s">
        <v>134</v>
      </c>
      <c r="F2941" s="170">
        <v>50</v>
      </c>
    </row>
    <row r="2942" spans="1:6" hidden="1" x14ac:dyDescent="0.25">
      <c r="A2942" s="169">
        <v>43728</v>
      </c>
      <c r="B2942" s="80" t="s">
        <v>2652</v>
      </c>
      <c r="C2942" s="80" t="s">
        <v>136</v>
      </c>
      <c r="D2942" s="80" t="s">
        <v>146</v>
      </c>
      <c r="E2942" s="80" t="s">
        <v>131</v>
      </c>
      <c r="F2942" s="170">
        <v>50</v>
      </c>
    </row>
    <row r="2943" spans="1:6" hidden="1" x14ac:dyDescent="0.25">
      <c r="A2943" s="169">
        <v>43728</v>
      </c>
      <c r="B2943" s="80" t="s">
        <v>2663</v>
      </c>
      <c r="C2943" s="80" t="s">
        <v>123</v>
      </c>
      <c r="D2943" s="80" t="s">
        <v>146</v>
      </c>
      <c r="E2943" s="80" t="s">
        <v>131</v>
      </c>
      <c r="F2943" s="170">
        <v>50</v>
      </c>
    </row>
    <row r="2944" spans="1:6" hidden="1" x14ac:dyDescent="0.25">
      <c r="A2944" s="169">
        <v>43729</v>
      </c>
      <c r="B2944" s="80" t="s">
        <v>2664</v>
      </c>
      <c r="C2944" s="80" t="s">
        <v>189</v>
      </c>
      <c r="D2944" s="80" t="s">
        <v>146</v>
      </c>
      <c r="E2944" s="80" t="s">
        <v>153</v>
      </c>
      <c r="F2944" s="170">
        <v>50</v>
      </c>
    </row>
    <row r="2945" spans="1:6" hidden="1" x14ac:dyDescent="0.25">
      <c r="A2945" s="169">
        <v>43729</v>
      </c>
      <c r="B2945" s="80" t="s">
        <v>2666</v>
      </c>
      <c r="C2945" s="80" t="s">
        <v>157</v>
      </c>
      <c r="D2945" s="80" t="s">
        <v>146</v>
      </c>
      <c r="E2945" s="80" t="s">
        <v>127</v>
      </c>
      <c r="F2945" s="170">
        <v>50</v>
      </c>
    </row>
    <row r="2946" spans="1:6" x14ac:dyDescent="0.25">
      <c r="A2946" s="169">
        <v>43729</v>
      </c>
      <c r="B2946" s="80" t="s">
        <v>2667</v>
      </c>
      <c r="C2946" s="80" t="s">
        <v>182</v>
      </c>
      <c r="D2946" s="80" t="s">
        <v>146</v>
      </c>
      <c r="E2946" s="80" t="s">
        <v>121</v>
      </c>
      <c r="F2946" s="170">
        <v>50</v>
      </c>
    </row>
    <row r="2947" spans="1:6" hidden="1" x14ac:dyDescent="0.25">
      <c r="A2947" s="169">
        <v>43731</v>
      </c>
      <c r="B2947" s="80" t="s">
        <v>2680</v>
      </c>
      <c r="C2947" s="80" t="s">
        <v>167</v>
      </c>
      <c r="D2947" s="80" t="s">
        <v>146</v>
      </c>
      <c r="E2947" s="80" t="s">
        <v>153</v>
      </c>
      <c r="F2947" s="170">
        <v>50</v>
      </c>
    </row>
    <row r="2948" spans="1:6" hidden="1" x14ac:dyDescent="0.25">
      <c r="A2948" s="169">
        <v>43731</v>
      </c>
      <c r="B2948" s="80" t="s">
        <v>2682</v>
      </c>
      <c r="C2948" s="80" t="s">
        <v>125</v>
      </c>
      <c r="D2948" s="80" t="s">
        <v>146</v>
      </c>
      <c r="E2948" s="80" t="s">
        <v>134</v>
      </c>
      <c r="F2948" s="170">
        <v>50</v>
      </c>
    </row>
    <row r="2949" spans="1:6" hidden="1" x14ac:dyDescent="0.25">
      <c r="A2949" s="169">
        <v>43731</v>
      </c>
      <c r="B2949" s="80" t="s">
        <v>2685</v>
      </c>
      <c r="C2949" s="80" t="s">
        <v>138</v>
      </c>
      <c r="D2949" s="80" t="s">
        <v>146</v>
      </c>
      <c r="E2949" s="80" t="s">
        <v>127</v>
      </c>
      <c r="F2949" s="170">
        <v>50</v>
      </c>
    </row>
    <row r="2950" spans="1:6" hidden="1" x14ac:dyDescent="0.25">
      <c r="A2950" s="169">
        <v>43731</v>
      </c>
      <c r="B2950" s="80" t="s">
        <v>2691</v>
      </c>
      <c r="C2950" s="80" t="s">
        <v>136</v>
      </c>
      <c r="D2950" s="80" t="s">
        <v>146</v>
      </c>
      <c r="E2950" s="80" t="s">
        <v>134</v>
      </c>
      <c r="F2950" s="170">
        <v>50</v>
      </c>
    </row>
    <row r="2951" spans="1:6" hidden="1" x14ac:dyDescent="0.25">
      <c r="A2951" s="169">
        <v>43733</v>
      </c>
      <c r="B2951" s="80" t="s">
        <v>2713</v>
      </c>
      <c r="C2951" s="80" t="s">
        <v>157</v>
      </c>
      <c r="D2951" s="80" t="s">
        <v>146</v>
      </c>
      <c r="E2951" s="80" t="s">
        <v>153</v>
      </c>
      <c r="F2951" s="170">
        <v>50</v>
      </c>
    </row>
    <row r="2952" spans="1:6" x14ac:dyDescent="0.25">
      <c r="A2952" s="169">
        <v>43734</v>
      </c>
      <c r="B2952" s="80" t="s">
        <v>2723</v>
      </c>
      <c r="C2952" s="80" t="s">
        <v>119</v>
      </c>
      <c r="D2952" s="80" t="s">
        <v>146</v>
      </c>
      <c r="E2952" s="80" t="s">
        <v>121</v>
      </c>
      <c r="F2952" s="170">
        <v>50</v>
      </c>
    </row>
    <row r="2953" spans="1:6" hidden="1" x14ac:dyDescent="0.25">
      <c r="A2953" s="169">
        <v>43734</v>
      </c>
      <c r="B2953" s="80" t="s">
        <v>2727</v>
      </c>
      <c r="C2953" s="80" t="s">
        <v>136</v>
      </c>
      <c r="D2953" s="80" t="s">
        <v>146</v>
      </c>
      <c r="E2953" s="80" t="s">
        <v>134</v>
      </c>
      <c r="F2953" s="170">
        <v>50</v>
      </c>
    </row>
    <row r="2954" spans="1:6" hidden="1" x14ac:dyDescent="0.25">
      <c r="A2954" s="169">
        <v>43735</v>
      </c>
      <c r="B2954" s="80" t="s">
        <v>2738</v>
      </c>
      <c r="C2954" s="80" t="s">
        <v>223</v>
      </c>
      <c r="D2954" s="80" t="s">
        <v>146</v>
      </c>
      <c r="E2954" s="80" t="s">
        <v>131</v>
      </c>
      <c r="F2954" s="170">
        <v>50</v>
      </c>
    </row>
    <row r="2955" spans="1:6" hidden="1" x14ac:dyDescent="0.25">
      <c r="A2955" s="169">
        <v>43736</v>
      </c>
      <c r="B2955" s="80" t="s">
        <v>2744</v>
      </c>
      <c r="C2955" s="80" t="s">
        <v>119</v>
      </c>
      <c r="D2955" s="80" t="s">
        <v>146</v>
      </c>
      <c r="E2955" s="80" t="s">
        <v>153</v>
      </c>
      <c r="F2955" s="170">
        <v>50</v>
      </c>
    </row>
    <row r="2956" spans="1:6" hidden="1" x14ac:dyDescent="0.25">
      <c r="A2956" s="169">
        <v>43738</v>
      </c>
      <c r="B2956" s="80" t="s">
        <v>2754</v>
      </c>
      <c r="C2956" s="80" t="s">
        <v>182</v>
      </c>
      <c r="D2956" s="80" t="s">
        <v>146</v>
      </c>
      <c r="E2956" s="80" t="s">
        <v>127</v>
      </c>
      <c r="F2956" s="170">
        <v>50</v>
      </c>
    </row>
    <row r="2957" spans="1:6" x14ac:dyDescent="0.25">
      <c r="A2957" s="169">
        <v>43739</v>
      </c>
      <c r="B2957" s="80" t="s">
        <v>2759</v>
      </c>
      <c r="C2957" s="80" t="s">
        <v>123</v>
      </c>
      <c r="D2957" s="80" t="s">
        <v>146</v>
      </c>
      <c r="E2957" s="80" t="s">
        <v>121</v>
      </c>
      <c r="F2957" s="170">
        <v>50</v>
      </c>
    </row>
    <row r="2958" spans="1:6" hidden="1" x14ac:dyDescent="0.25">
      <c r="A2958" s="169">
        <v>43739</v>
      </c>
      <c r="B2958" s="80" t="s">
        <v>2760</v>
      </c>
      <c r="C2958" s="80" t="s">
        <v>182</v>
      </c>
      <c r="D2958" s="80" t="s">
        <v>146</v>
      </c>
      <c r="E2958" s="80" t="s">
        <v>153</v>
      </c>
      <c r="F2958" s="170">
        <v>50</v>
      </c>
    </row>
    <row r="2959" spans="1:6" hidden="1" x14ac:dyDescent="0.25">
      <c r="A2959" s="169">
        <v>43741</v>
      </c>
      <c r="B2959" s="80" t="s">
        <v>2774</v>
      </c>
      <c r="C2959" s="80" t="s">
        <v>157</v>
      </c>
      <c r="D2959" s="80" t="s">
        <v>146</v>
      </c>
      <c r="E2959" s="80" t="s">
        <v>127</v>
      </c>
      <c r="F2959" s="170">
        <v>50</v>
      </c>
    </row>
    <row r="2960" spans="1:6" x14ac:dyDescent="0.25">
      <c r="A2960" s="169">
        <v>43741</v>
      </c>
      <c r="B2960" s="80" t="s">
        <v>2777</v>
      </c>
      <c r="C2960" s="80" t="s">
        <v>148</v>
      </c>
      <c r="D2960" s="80" t="s">
        <v>146</v>
      </c>
      <c r="E2960" s="80" t="s">
        <v>121</v>
      </c>
      <c r="F2960" s="170">
        <v>50</v>
      </c>
    </row>
    <row r="2961" spans="1:6" hidden="1" x14ac:dyDescent="0.25">
      <c r="A2961" s="169">
        <v>43741</v>
      </c>
      <c r="B2961" s="80" t="s">
        <v>2778</v>
      </c>
      <c r="C2961" s="80" t="s">
        <v>138</v>
      </c>
      <c r="D2961" s="80" t="s">
        <v>146</v>
      </c>
      <c r="E2961" s="80" t="s">
        <v>134</v>
      </c>
      <c r="F2961" s="170">
        <v>50</v>
      </c>
    </row>
    <row r="2962" spans="1:6" hidden="1" x14ac:dyDescent="0.25">
      <c r="A2962" s="169">
        <v>43744</v>
      </c>
      <c r="B2962" s="80" t="s">
        <v>2795</v>
      </c>
      <c r="C2962" s="80" t="s">
        <v>157</v>
      </c>
      <c r="D2962" s="80" t="s">
        <v>146</v>
      </c>
      <c r="E2962" s="80" t="s">
        <v>127</v>
      </c>
      <c r="F2962" s="170">
        <v>50</v>
      </c>
    </row>
    <row r="2963" spans="1:6" hidden="1" x14ac:dyDescent="0.25">
      <c r="A2963" s="169">
        <v>43746</v>
      </c>
      <c r="B2963" s="80" t="s">
        <v>2810</v>
      </c>
      <c r="C2963" s="80" t="s">
        <v>123</v>
      </c>
      <c r="D2963" s="80" t="s">
        <v>146</v>
      </c>
      <c r="E2963" s="80" t="s">
        <v>153</v>
      </c>
      <c r="F2963" s="170">
        <v>50</v>
      </c>
    </row>
    <row r="2964" spans="1:6" hidden="1" x14ac:dyDescent="0.25">
      <c r="A2964" s="169">
        <v>43747</v>
      </c>
      <c r="B2964" s="80" t="s">
        <v>2818</v>
      </c>
      <c r="C2964" s="80" t="s">
        <v>129</v>
      </c>
      <c r="D2964" s="80" t="s">
        <v>146</v>
      </c>
      <c r="E2964" s="80" t="s">
        <v>134</v>
      </c>
      <c r="F2964" s="170">
        <v>50</v>
      </c>
    </row>
    <row r="2965" spans="1:6" hidden="1" x14ac:dyDescent="0.25">
      <c r="A2965" s="169">
        <v>43748</v>
      </c>
      <c r="B2965" s="80" t="s">
        <v>2833</v>
      </c>
      <c r="C2965" s="80" t="s">
        <v>125</v>
      </c>
      <c r="D2965" s="80" t="s">
        <v>146</v>
      </c>
      <c r="E2965" s="80" t="s">
        <v>131</v>
      </c>
      <c r="F2965" s="170">
        <v>50</v>
      </c>
    </row>
    <row r="2966" spans="1:6" x14ac:dyDescent="0.25">
      <c r="A2966" s="169">
        <v>43749</v>
      </c>
      <c r="B2966" s="80" t="s">
        <v>2837</v>
      </c>
      <c r="C2966" s="80" t="s">
        <v>167</v>
      </c>
      <c r="D2966" s="80" t="s">
        <v>146</v>
      </c>
      <c r="E2966" s="80" t="s">
        <v>121</v>
      </c>
      <c r="F2966" s="170">
        <v>50</v>
      </c>
    </row>
    <row r="2967" spans="1:6" hidden="1" x14ac:dyDescent="0.25">
      <c r="A2967" s="169">
        <v>43749</v>
      </c>
      <c r="B2967" s="80" t="s">
        <v>2841</v>
      </c>
      <c r="C2967" s="80" t="s">
        <v>145</v>
      </c>
      <c r="D2967" s="80" t="s">
        <v>146</v>
      </c>
      <c r="E2967" s="80" t="s">
        <v>134</v>
      </c>
      <c r="F2967" s="170">
        <v>50</v>
      </c>
    </row>
    <row r="2968" spans="1:6" x14ac:dyDescent="0.25">
      <c r="A2968" s="169">
        <v>43749</v>
      </c>
      <c r="B2968" s="80" t="s">
        <v>2845</v>
      </c>
      <c r="C2968" s="80" t="s">
        <v>145</v>
      </c>
      <c r="D2968" s="80" t="s">
        <v>146</v>
      </c>
      <c r="E2968" s="80" t="s">
        <v>121</v>
      </c>
      <c r="F2968" s="170">
        <v>50</v>
      </c>
    </row>
    <row r="2969" spans="1:6" x14ac:dyDescent="0.25">
      <c r="A2969" s="169">
        <v>43749</v>
      </c>
      <c r="B2969" s="80" t="s">
        <v>2846</v>
      </c>
      <c r="C2969" s="80" t="s">
        <v>187</v>
      </c>
      <c r="D2969" s="80" t="s">
        <v>146</v>
      </c>
      <c r="E2969" s="80" t="s">
        <v>121</v>
      </c>
      <c r="F2969" s="170">
        <v>50</v>
      </c>
    </row>
    <row r="2970" spans="1:6" hidden="1" x14ac:dyDescent="0.25">
      <c r="A2970" s="169">
        <v>43750</v>
      </c>
      <c r="B2970" s="80" t="s">
        <v>2852</v>
      </c>
      <c r="C2970" s="80" t="s">
        <v>223</v>
      </c>
      <c r="D2970" s="80" t="s">
        <v>146</v>
      </c>
      <c r="E2970" s="80" t="s">
        <v>153</v>
      </c>
      <c r="F2970" s="170">
        <v>50</v>
      </c>
    </row>
    <row r="2971" spans="1:6" hidden="1" x14ac:dyDescent="0.25">
      <c r="A2971" s="169">
        <v>43752</v>
      </c>
      <c r="B2971" s="80" t="s">
        <v>2878</v>
      </c>
      <c r="C2971" s="80" t="s">
        <v>138</v>
      </c>
      <c r="D2971" s="80" t="s">
        <v>146</v>
      </c>
      <c r="E2971" s="80" t="s">
        <v>127</v>
      </c>
      <c r="F2971" s="170">
        <v>50</v>
      </c>
    </row>
    <row r="2972" spans="1:6" hidden="1" x14ac:dyDescent="0.25">
      <c r="A2972" s="169">
        <v>43753</v>
      </c>
      <c r="B2972" s="80" t="s">
        <v>2883</v>
      </c>
      <c r="C2972" s="80" t="s">
        <v>182</v>
      </c>
      <c r="D2972" s="80" t="s">
        <v>146</v>
      </c>
      <c r="E2972" s="80" t="s">
        <v>127</v>
      </c>
      <c r="F2972" s="170">
        <v>50</v>
      </c>
    </row>
    <row r="2973" spans="1:6" hidden="1" x14ac:dyDescent="0.25">
      <c r="A2973" s="169">
        <v>43753</v>
      </c>
      <c r="B2973" s="80" t="s">
        <v>2884</v>
      </c>
      <c r="C2973" s="80" t="s">
        <v>164</v>
      </c>
      <c r="D2973" s="80" t="s">
        <v>146</v>
      </c>
      <c r="E2973" s="80" t="s">
        <v>127</v>
      </c>
      <c r="F2973" s="170">
        <v>50</v>
      </c>
    </row>
    <row r="2974" spans="1:6" hidden="1" x14ac:dyDescent="0.25">
      <c r="A2974" s="169">
        <v>43754</v>
      </c>
      <c r="B2974" s="80" t="s">
        <v>2891</v>
      </c>
      <c r="C2974" s="80" t="s">
        <v>136</v>
      </c>
      <c r="D2974" s="80" t="s">
        <v>146</v>
      </c>
      <c r="E2974" s="80" t="s">
        <v>131</v>
      </c>
      <c r="F2974" s="170">
        <v>50</v>
      </c>
    </row>
    <row r="2975" spans="1:6" hidden="1" x14ac:dyDescent="0.25">
      <c r="A2975" s="169">
        <v>43754</v>
      </c>
      <c r="B2975" s="80" t="s">
        <v>2892</v>
      </c>
      <c r="C2975" s="80" t="s">
        <v>129</v>
      </c>
      <c r="D2975" s="80" t="s">
        <v>146</v>
      </c>
      <c r="E2975" s="80" t="s">
        <v>134</v>
      </c>
      <c r="F2975" s="170">
        <v>50</v>
      </c>
    </row>
    <row r="2976" spans="1:6" x14ac:dyDescent="0.25">
      <c r="A2976" s="169">
        <v>43755</v>
      </c>
      <c r="B2976" s="80" t="s">
        <v>2907</v>
      </c>
      <c r="C2976" s="80" t="s">
        <v>138</v>
      </c>
      <c r="D2976" s="80" t="s">
        <v>146</v>
      </c>
      <c r="E2976" s="80" t="s">
        <v>121</v>
      </c>
      <c r="F2976" s="170">
        <v>50</v>
      </c>
    </row>
    <row r="2977" spans="1:6" hidden="1" x14ac:dyDescent="0.25">
      <c r="A2977" s="169">
        <v>43756</v>
      </c>
      <c r="B2977" s="80" t="s">
        <v>2917</v>
      </c>
      <c r="C2977" s="80" t="s">
        <v>182</v>
      </c>
      <c r="D2977" s="80" t="s">
        <v>146</v>
      </c>
      <c r="E2977" s="80" t="s">
        <v>134</v>
      </c>
      <c r="F2977" s="170">
        <v>50</v>
      </c>
    </row>
    <row r="2978" spans="1:6" x14ac:dyDescent="0.25">
      <c r="A2978" s="169">
        <v>43757</v>
      </c>
      <c r="B2978" s="80" t="s">
        <v>2923</v>
      </c>
      <c r="C2978" s="80" t="s">
        <v>129</v>
      </c>
      <c r="D2978" s="80" t="s">
        <v>146</v>
      </c>
      <c r="E2978" s="80" t="s">
        <v>121</v>
      </c>
      <c r="F2978" s="170">
        <v>50</v>
      </c>
    </row>
    <row r="2979" spans="1:6" x14ac:dyDescent="0.25">
      <c r="A2979" s="169">
        <v>43758</v>
      </c>
      <c r="B2979" s="80" t="s">
        <v>2933</v>
      </c>
      <c r="C2979" s="80" t="s">
        <v>164</v>
      </c>
      <c r="D2979" s="80" t="s">
        <v>146</v>
      </c>
      <c r="E2979" s="80" t="s">
        <v>121</v>
      </c>
      <c r="F2979" s="170">
        <v>50</v>
      </c>
    </row>
    <row r="2980" spans="1:6" x14ac:dyDescent="0.25">
      <c r="A2980" s="169">
        <v>43759</v>
      </c>
      <c r="B2980" s="80" t="s">
        <v>2946</v>
      </c>
      <c r="C2980" s="80" t="s">
        <v>187</v>
      </c>
      <c r="D2980" s="80" t="s">
        <v>146</v>
      </c>
      <c r="E2980" s="80" t="s">
        <v>121</v>
      </c>
      <c r="F2980" s="170">
        <v>50</v>
      </c>
    </row>
    <row r="2981" spans="1:6" hidden="1" x14ac:dyDescent="0.25">
      <c r="A2981" s="169">
        <v>43760</v>
      </c>
      <c r="B2981" s="80" t="s">
        <v>2950</v>
      </c>
      <c r="C2981" s="80" t="s">
        <v>223</v>
      </c>
      <c r="D2981" s="80" t="s">
        <v>146</v>
      </c>
      <c r="E2981" s="80" t="s">
        <v>153</v>
      </c>
      <c r="F2981" s="170">
        <v>50</v>
      </c>
    </row>
    <row r="2982" spans="1:6" hidden="1" x14ac:dyDescent="0.25">
      <c r="A2982" s="169">
        <v>43761</v>
      </c>
      <c r="B2982" s="80" t="s">
        <v>2961</v>
      </c>
      <c r="C2982" s="80" t="s">
        <v>148</v>
      </c>
      <c r="D2982" s="80" t="s">
        <v>146</v>
      </c>
      <c r="E2982" s="80" t="s">
        <v>134</v>
      </c>
      <c r="F2982" s="170">
        <v>50</v>
      </c>
    </row>
    <row r="2983" spans="1:6" hidden="1" x14ac:dyDescent="0.25">
      <c r="A2983" s="169">
        <v>43761</v>
      </c>
      <c r="B2983" s="80" t="s">
        <v>2962</v>
      </c>
      <c r="C2983" s="80" t="s">
        <v>136</v>
      </c>
      <c r="D2983" s="80" t="s">
        <v>146</v>
      </c>
      <c r="E2983" s="80" t="s">
        <v>153</v>
      </c>
      <c r="F2983" s="170">
        <v>50</v>
      </c>
    </row>
    <row r="2984" spans="1:6" x14ac:dyDescent="0.25">
      <c r="A2984" s="169">
        <v>43761</v>
      </c>
      <c r="B2984" s="80" t="s">
        <v>2963</v>
      </c>
      <c r="C2984" s="80" t="s">
        <v>152</v>
      </c>
      <c r="D2984" s="80" t="s">
        <v>146</v>
      </c>
      <c r="E2984" s="80" t="s">
        <v>121</v>
      </c>
      <c r="F2984" s="170">
        <v>50</v>
      </c>
    </row>
    <row r="2985" spans="1:6" hidden="1" x14ac:dyDescent="0.25">
      <c r="A2985" s="169">
        <v>43761</v>
      </c>
      <c r="B2985" s="80" t="s">
        <v>2965</v>
      </c>
      <c r="C2985" s="80" t="s">
        <v>119</v>
      </c>
      <c r="D2985" s="80" t="s">
        <v>146</v>
      </c>
      <c r="E2985" s="80" t="s">
        <v>131</v>
      </c>
      <c r="F2985" s="170">
        <v>50</v>
      </c>
    </row>
    <row r="2986" spans="1:6" hidden="1" x14ac:dyDescent="0.25">
      <c r="A2986" s="169">
        <v>43762</v>
      </c>
      <c r="B2986" s="80" t="s">
        <v>2976</v>
      </c>
      <c r="C2986" s="80" t="s">
        <v>187</v>
      </c>
      <c r="D2986" s="80" t="s">
        <v>146</v>
      </c>
      <c r="E2986" s="80" t="s">
        <v>131</v>
      </c>
      <c r="F2986" s="170">
        <v>50</v>
      </c>
    </row>
    <row r="2987" spans="1:6" hidden="1" x14ac:dyDescent="0.25">
      <c r="A2987" s="169">
        <v>43762</v>
      </c>
      <c r="B2987" s="80" t="s">
        <v>2977</v>
      </c>
      <c r="C2987" s="80" t="s">
        <v>187</v>
      </c>
      <c r="D2987" s="80" t="s">
        <v>146</v>
      </c>
      <c r="E2987" s="80" t="s">
        <v>127</v>
      </c>
      <c r="F2987" s="170">
        <v>50</v>
      </c>
    </row>
    <row r="2988" spans="1:6" x14ac:dyDescent="0.25">
      <c r="A2988" s="169">
        <v>43763</v>
      </c>
      <c r="B2988" s="80" t="s">
        <v>2985</v>
      </c>
      <c r="C2988" s="80" t="s">
        <v>125</v>
      </c>
      <c r="D2988" s="80" t="s">
        <v>146</v>
      </c>
      <c r="E2988" s="80" t="s">
        <v>121</v>
      </c>
      <c r="F2988" s="170">
        <v>50</v>
      </c>
    </row>
    <row r="2989" spans="1:6" hidden="1" x14ac:dyDescent="0.25">
      <c r="A2989" s="169">
        <v>43764</v>
      </c>
      <c r="B2989" s="80" t="s">
        <v>2991</v>
      </c>
      <c r="C2989" s="80" t="s">
        <v>138</v>
      </c>
      <c r="D2989" s="80" t="s">
        <v>146</v>
      </c>
      <c r="E2989" s="80" t="s">
        <v>134</v>
      </c>
      <c r="F2989" s="170">
        <v>50</v>
      </c>
    </row>
    <row r="2990" spans="1:6" hidden="1" x14ac:dyDescent="0.25">
      <c r="A2990" s="169">
        <v>43764</v>
      </c>
      <c r="B2990" s="80" t="s">
        <v>2996</v>
      </c>
      <c r="C2990" s="80" t="s">
        <v>157</v>
      </c>
      <c r="D2990" s="80" t="s">
        <v>146</v>
      </c>
      <c r="E2990" s="80" t="s">
        <v>153</v>
      </c>
      <c r="F2990" s="170">
        <v>50</v>
      </c>
    </row>
    <row r="2991" spans="1:6" x14ac:dyDescent="0.25">
      <c r="A2991" s="169">
        <v>43765</v>
      </c>
      <c r="B2991" s="80" t="s">
        <v>3006</v>
      </c>
      <c r="C2991" s="80" t="s">
        <v>148</v>
      </c>
      <c r="D2991" s="80" t="s">
        <v>146</v>
      </c>
      <c r="E2991" s="80" t="s">
        <v>121</v>
      </c>
      <c r="F2991" s="170">
        <v>50</v>
      </c>
    </row>
    <row r="2992" spans="1:6" x14ac:dyDescent="0.25">
      <c r="A2992" s="169">
        <v>43765</v>
      </c>
      <c r="B2992" s="80" t="s">
        <v>3009</v>
      </c>
      <c r="C2992" s="80" t="s">
        <v>138</v>
      </c>
      <c r="D2992" s="80" t="s">
        <v>146</v>
      </c>
      <c r="E2992" s="80" t="s">
        <v>121</v>
      </c>
      <c r="F2992" s="170">
        <v>50</v>
      </c>
    </row>
    <row r="2993" spans="1:6" hidden="1" x14ac:dyDescent="0.25">
      <c r="A2993" s="169">
        <v>43765</v>
      </c>
      <c r="B2993" s="80" t="s">
        <v>3010</v>
      </c>
      <c r="C2993" s="80" t="s">
        <v>125</v>
      </c>
      <c r="D2993" s="80" t="s">
        <v>146</v>
      </c>
      <c r="E2993" s="80" t="s">
        <v>131</v>
      </c>
      <c r="F2993" s="170">
        <v>50</v>
      </c>
    </row>
    <row r="2994" spans="1:6" hidden="1" x14ac:dyDescent="0.25">
      <c r="A2994" s="169">
        <v>43766</v>
      </c>
      <c r="B2994" s="80" t="s">
        <v>3017</v>
      </c>
      <c r="C2994" s="80" t="s">
        <v>167</v>
      </c>
      <c r="D2994" s="80" t="s">
        <v>146</v>
      </c>
      <c r="E2994" s="80" t="s">
        <v>134</v>
      </c>
      <c r="F2994" s="170">
        <v>50</v>
      </c>
    </row>
    <row r="2995" spans="1:6" hidden="1" x14ac:dyDescent="0.25">
      <c r="A2995" s="169">
        <v>43767</v>
      </c>
      <c r="B2995" s="80" t="s">
        <v>3030</v>
      </c>
      <c r="C2995" s="80" t="s">
        <v>129</v>
      </c>
      <c r="D2995" s="80" t="s">
        <v>146</v>
      </c>
      <c r="E2995" s="80" t="s">
        <v>134</v>
      </c>
      <c r="F2995" s="170">
        <v>50</v>
      </c>
    </row>
    <row r="2996" spans="1:6" x14ac:dyDescent="0.25">
      <c r="A2996" s="169">
        <v>43767</v>
      </c>
      <c r="B2996" s="80" t="s">
        <v>3031</v>
      </c>
      <c r="C2996" s="80" t="s">
        <v>138</v>
      </c>
      <c r="D2996" s="80" t="s">
        <v>146</v>
      </c>
      <c r="E2996" s="80" t="s">
        <v>121</v>
      </c>
      <c r="F2996" s="170">
        <v>50</v>
      </c>
    </row>
    <row r="2997" spans="1:6" hidden="1" x14ac:dyDescent="0.25">
      <c r="A2997" s="169">
        <v>43768</v>
      </c>
      <c r="B2997" s="80" t="s">
        <v>3042</v>
      </c>
      <c r="C2997" s="80" t="s">
        <v>157</v>
      </c>
      <c r="D2997" s="80" t="s">
        <v>146</v>
      </c>
      <c r="E2997" s="80" t="s">
        <v>153</v>
      </c>
      <c r="F2997" s="170">
        <v>50</v>
      </c>
    </row>
    <row r="2998" spans="1:6" hidden="1" x14ac:dyDescent="0.25">
      <c r="A2998" s="169">
        <v>43769</v>
      </c>
      <c r="B2998" s="80" t="s">
        <v>3048</v>
      </c>
      <c r="C2998" s="80" t="s">
        <v>157</v>
      </c>
      <c r="D2998" s="80" t="s">
        <v>146</v>
      </c>
      <c r="E2998" s="80" t="s">
        <v>127</v>
      </c>
      <c r="F2998" s="170">
        <v>50</v>
      </c>
    </row>
    <row r="2999" spans="1:6" hidden="1" x14ac:dyDescent="0.25">
      <c r="A2999" s="169">
        <v>43770</v>
      </c>
      <c r="B2999" s="80" t="s">
        <v>3055</v>
      </c>
      <c r="C2999" s="80" t="s">
        <v>125</v>
      </c>
      <c r="D2999" s="80" t="s">
        <v>146</v>
      </c>
      <c r="E2999" s="80" t="s">
        <v>131</v>
      </c>
      <c r="F2999" s="170">
        <v>50</v>
      </c>
    </row>
    <row r="3000" spans="1:6" hidden="1" x14ac:dyDescent="0.25">
      <c r="A3000" s="169">
        <v>43771</v>
      </c>
      <c r="B3000" s="80" t="s">
        <v>3067</v>
      </c>
      <c r="C3000" s="80" t="s">
        <v>119</v>
      </c>
      <c r="D3000" s="80" t="s">
        <v>146</v>
      </c>
      <c r="E3000" s="80" t="s">
        <v>127</v>
      </c>
      <c r="F3000" s="170">
        <v>50</v>
      </c>
    </row>
    <row r="3001" spans="1:6" x14ac:dyDescent="0.25">
      <c r="A3001" s="169">
        <v>43772</v>
      </c>
      <c r="B3001" s="80" t="s">
        <v>3069</v>
      </c>
      <c r="C3001" s="80" t="s">
        <v>164</v>
      </c>
      <c r="D3001" s="80" t="s">
        <v>146</v>
      </c>
      <c r="E3001" s="80" t="s">
        <v>121</v>
      </c>
      <c r="F3001" s="170">
        <v>50</v>
      </c>
    </row>
    <row r="3002" spans="1:6" hidden="1" x14ac:dyDescent="0.25">
      <c r="A3002" s="169">
        <v>43772</v>
      </c>
      <c r="B3002" s="80" t="s">
        <v>3070</v>
      </c>
      <c r="C3002" s="80" t="s">
        <v>189</v>
      </c>
      <c r="D3002" s="80" t="s">
        <v>146</v>
      </c>
      <c r="E3002" s="80" t="s">
        <v>134</v>
      </c>
      <c r="F3002" s="170">
        <v>50</v>
      </c>
    </row>
    <row r="3003" spans="1:6" hidden="1" x14ac:dyDescent="0.25">
      <c r="A3003" s="169">
        <v>43772</v>
      </c>
      <c r="B3003" s="80" t="s">
        <v>3071</v>
      </c>
      <c r="C3003" s="80" t="s">
        <v>182</v>
      </c>
      <c r="D3003" s="80" t="s">
        <v>146</v>
      </c>
      <c r="E3003" s="80" t="s">
        <v>131</v>
      </c>
      <c r="F3003" s="170">
        <v>50</v>
      </c>
    </row>
    <row r="3004" spans="1:6" x14ac:dyDescent="0.25">
      <c r="A3004" s="169">
        <v>43773</v>
      </c>
      <c r="B3004" s="80" t="s">
        <v>3091</v>
      </c>
      <c r="C3004" s="80" t="s">
        <v>223</v>
      </c>
      <c r="D3004" s="80" t="s">
        <v>146</v>
      </c>
      <c r="E3004" s="80" t="s">
        <v>121</v>
      </c>
      <c r="F3004" s="170">
        <v>50</v>
      </c>
    </row>
    <row r="3005" spans="1:6" hidden="1" x14ac:dyDescent="0.25">
      <c r="A3005" s="169">
        <v>43774</v>
      </c>
      <c r="B3005" s="80" t="s">
        <v>3099</v>
      </c>
      <c r="C3005" s="80" t="s">
        <v>129</v>
      </c>
      <c r="D3005" s="80" t="s">
        <v>146</v>
      </c>
      <c r="E3005" s="80" t="s">
        <v>153</v>
      </c>
      <c r="F3005" s="170">
        <v>50</v>
      </c>
    </row>
    <row r="3006" spans="1:6" hidden="1" x14ac:dyDescent="0.25">
      <c r="A3006" s="169">
        <v>43774</v>
      </c>
      <c r="B3006" s="80" t="s">
        <v>3101</v>
      </c>
      <c r="C3006" s="80" t="s">
        <v>123</v>
      </c>
      <c r="D3006" s="80" t="s">
        <v>146</v>
      </c>
      <c r="E3006" s="80" t="s">
        <v>131</v>
      </c>
      <c r="F3006" s="170">
        <v>50</v>
      </c>
    </row>
    <row r="3007" spans="1:6" hidden="1" x14ac:dyDescent="0.25">
      <c r="A3007" s="169">
        <v>43777</v>
      </c>
      <c r="B3007" s="80" t="s">
        <v>3124</v>
      </c>
      <c r="C3007" s="80" t="s">
        <v>167</v>
      </c>
      <c r="D3007" s="80" t="s">
        <v>146</v>
      </c>
      <c r="E3007" s="80" t="s">
        <v>127</v>
      </c>
      <c r="F3007" s="170">
        <v>50</v>
      </c>
    </row>
    <row r="3008" spans="1:6" hidden="1" x14ac:dyDescent="0.25">
      <c r="A3008" s="169">
        <v>43777</v>
      </c>
      <c r="B3008" s="80" t="s">
        <v>3131</v>
      </c>
      <c r="C3008" s="80" t="s">
        <v>223</v>
      </c>
      <c r="D3008" s="80" t="s">
        <v>146</v>
      </c>
      <c r="E3008" s="80" t="s">
        <v>131</v>
      </c>
      <c r="F3008" s="170">
        <v>50</v>
      </c>
    </row>
    <row r="3009" spans="1:6" hidden="1" x14ac:dyDescent="0.25">
      <c r="A3009" s="169">
        <v>43778</v>
      </c>
      <c r="B3009" s="80" t="s">
        <v>3134</v>
      </c>
      <c r="C3009" s="80" t="s">
        <v>143</v>
      </c>
      <c r="D3009" s="80" t="s">
        <v>146</v>
      </c>
      <c r="E3009" s="80" t="s">
        <v>131</v>
      </c>
      <c r="F3009" s="170">
        <v>50</v>
      </c>
    </row>
    <row r="3010" spans="1:6" x14ac:dyDescent="0.25">
      <c r="A3010" s="169">
        <v>43778</v>
      </c>
      <c r="B3010" s="80" t="s">
        <v>3140</v>
      </c>
      <c r="C3010" s="80" t="s">
        <v>223</v>
      </c>
      <c r="D3010" s="80" t="s">
        <v>146</v>
      </c>
      <c r="E3010" s="80" t="s">
        <v>121</v>
      </c>
      <c r="F3010" s="170">
        <v>50</v>
      </c>
    </row>
    <row r="3011" spans="1:6" hidden="1" x14ac:dyDescent="0.25">
      <c r="A3011" s="169">
        <v>43779</v>
      </c>
      <c r="B3011" s="80" t="s">
        <v>3158</v>
      </c>
      <c r="C3011" s="80" t="s">
        <v>143</v>
      </c>
      <c r="D3011" s="80" t="s">
        <v>146</v>
      </c>
      <c r="E3011" s="80" t="s">
        <v>153</v>
      </c>
      <c r="F3011" s="170">
        <v>50</v>
      </c>
    </row>
    <row r="3012" spans="1:6" hidden="1" x14ac:dyDescent="0.25">
      <c r="A3012" s="169">
        <v>43779</v>
      </c>
      <c r="B3012" s="80" t="s">
        <v>3159</v>
      </c>
      <c r="C3012" s="80" t="s">
        <v>129</v>
      </c>
      <c r="D3012" s="80" t="s">
        <v>146</v>
      </c>
      <c r="E3012" s="80" t="s">
        <v>153</v>
      </c>
      <c r="F3012" s="170">
        <v>50</v>
      </c>
    </row>
    <row r="3013" spans="1:6" hidden="1" x14ac:dyDescent="0.25">
      <c r="A3013" s="169">
        <v>43780</v>
      </c>
      <c r="B3013" s="80" t="s">
        <v>3168</v>
      </c>
      <c r="C3013" s="80" t="s">
        <v>148</v>
      </c>
      <c r="D3013" s="80" t="s">
        <v>146</v>
      </c>
      <c r="E3013" s="80" t="s">
        <v>153</v>
      </c>
      <c r="F3013" s="170">
        <v>50</v>
      </c>
    </row>
    <row r="3014" spans="1:6" hidden="1" x14ac:dyDescent="0.25">
      <c r="A3014" s="169">
        <v>43781</v>
      </c>
      <c r="B3014" s="80" t="s">
        <v>3173</v>
      </c>
      <c r="C3014" s="80" t="s">
        <v>152</v>
      </c>
      <c r="D3014" s="80" t="s">
        <v>146</v>
      </c>
      <c r="E3014" s="80" t="s">
        <v>127</v>
      </c>
      <c r="F3014" s="170">
        <v>50</v>
      </c>
    </row>
    <row r="3015" spans="1:6" x14ac:dyDescent="0.25">
      <c r="A3015" s="169">
        <v>43781</v>
      </c>
      <c r="B3015" s="80" t="s">
        <v>3176</v>
      </c>
      <c r="C3015" s="80" t="s">
        <v>119</v>
      </c>
      <c r="D3015" s="80" t="s">
        <v>146</v>
      </c>
      <c r="E3015" s="80" t="s">
        <v>121</v>
      </c>
      <c r="F3015" s="170">
        <v>50</v>
      </c>
    </row>
    <row r="3016" spans="1:6" hidden="1" x14ac:dyDescent="0.25">
      <c r="A3016" s="169">
        <v>43781</v>
      </c>
      <c r="B3016" s="80" t="s">
        <v>3180</v>
      </c>
      <c r="C3016" s="80" t="s">
        <v>148</v>
      </c>
      <c r="D3016" s="80" t="s">
        <v>146</v>
      </c>
      <c r="E3016" s="80" t="s">
        <v>134</v>
      </c>
      <c r="F3016" s="170">
        <v>50</v>
      </c>
    </row>
    <row r="3017" spans="1:6" x14ac:dyDescent="0.25">
      <c r="A3017" s="169">
        <v>43784</v>
      </c>
      <c r="B3017" s="80" t="s">
        <v>3207</v>
      </c>
      <c r="C3017" s="80" t="s">
        <v>187</v>
      </c>
      <c r="D3017" s="80" t="s">
        <v>146</v>
      </c>
      <c r="E3017" s="80" t="s">
        <v>121</v>
      </c>
      <c r="F3017" s="170">
        <v>50</v>
      </c>
    </row>
    <row r="3018" spans="1:6" hidden="1" x14ac:dyDescent="0.25">
      <c r="A3018" s="169">
        <v>43784</v>
      </c>
      <c r="B3018" s="80" t="s">
        <v>3208</v>
      </c>
      <c r="C3018" s="80" t="s">
        <v>136</v>
      </c>
      <c r="D3018" s="80" t="s">
        <v>146</v>
      </c>
      <c r="E3018" s="80" t="s">
        <v>131</v>
      </c>
      <c r="F3018" s="170">
        <v>50</v>
      </c>
    </row>
    <row r="3019" spans="1:6" hidden="1" x14ac:dyDescent="0.25">
      <c r="A3019" s="169">
        <v>43785</v>
      </c>
      <c r="B3019" s="80" t="s">
        <v>3225</v>
      </c>
      <c r="C3019" s="80" t="s">
        <v>129</v>
      </c>
      <c r="D3019" s="80" t="s">
        <v>146</v>
      </c>
      <c r="E3019" s="80" t="s">
        <v>131</v>
      </c>
      <c r="F3019" s="170">
        <v>50</v>
      </c>
    </row>
    <row r="3020" spans="1:6" hidden="1" x14ac:dyDescent="0.25">
      <c r="A3020" s="169">
        <v>43785</v>
      </c>
      <c r="B3020" s="80" t="s">
        <v>3226</v>
      </c>
      <c r="C3020" s="80" t="s">
        <v>123</v>
      </c>
      <c r="D3020" s="80" t="s">
        <v>146</v>
      </c>
      <c r="E3020" s="80" t="s">
        <v>134</v>
      </c>
      <c r="F3020" s="170">
        <v>50</v>
      </c>
    </row>
    <row r="3021" spans="1:6" x14ac:dyDescent="0.25">
      <c r="A3021" s="169">
        <v>43786</v>
      </c>
      <c r="B3021" s="80" t="s">
        <v>3229</v>
      </c>
      <c r="C3021" s="80" t="s">
        <v>157</v>
      </c>
      <c r="D3021" s="80" t="s">
        <v>146</v>
      </c>
      <c r="E3021" s="80" t="s">
        <v>121</v>
      </c>
      <c r="F3021" s="170">
        <v>50</v>
      </c>
    </row>
    <row r="3022" spans="1:6" hidden="1" x14ac:dyDescent="0.25">
      <c r="A3022" s="169">
        <v>43787</v>
      </c>
      <c r="B3022" s="80" t="s">
        <v>3234</v>
      </c>
      <c r="C3022" s="80" t="s">
        <v>136</v>
      </c>
      <c r="D3022" s="80" t="s">
        <v>146</v>
      </c>
      <c r="E3022" s="80" t="s">
        <v>131</v>
      </c>
      <c r="F3022" s="170">
        <v>50</v>
      </c>
    </row>
    <row r="3023" spans="1:6" hidden="1" x14ac:dyDescent="0.25">
      <c r="A3023" s="169">
        <v>43788</v>
      </c>
      <c r="B3023" s="80" t="s">
        <v>3242</v>
      </c>
      <c r="C3023" s="80" t="s">
        <v>123</v>
      </c>
      <c r="D3023" s="80" t="s">
        <v>146</v>
      </c>
      <c r="E3023" s="80" t="s">
        <v>153</v>
      </c>
      <c r="F3023" s="170">
        <v>50</v>
      </c>
    </row>
    <row r="3024" spans="1:6" hidden="1" x14ac:dyDescent="0.25">
      <c r="A3024" s="169">
        <v>43789</v>
      </c>
      <c r="B3024" s="80" t="s">
        <v>3247</v>
      </c>
      <c r="C3024" s="80" t="s">
        <v>138</v>
      </c>
      <c r="D3024" s="80" t="s">
        <v>146</v>
      </c>
      <c r="E3024" s="80" t="s">
        <v>127</v>
      </c>
      <c r="F3024" s="170">
        <v>50</v>
      </c>
    </row>
    <row r="3025" spans="1:6" hidden="1" x14ac:dyDescent="0.25">
      <c r="A3025" s="169">
        <v>43789</v>
      </c>
      <c r="B3025" s="80" t="s">
        <v>3256</v>
      </c>
      <c r="C3025" s="80" t="s">
        <v>143</v>
      </c>
      <c r="D3025" s="80" t="s">
        <v>146</v>
      </c>
      <c r="E3025" s="80" t="s">
        <v>131</v>
      </c>
      <c r="F3025" s="170">
        <v>50</v>
      </c>
    </row>
    <row r="3026" spans="1:6" hidden="1" x14ac:dyDescent="0.25">
      <c r="A3026" s="169">
        <v>43790</v>
      </c>
      <c r="B3026" s="80" t="s">
        <v>3261</v>
      </c>
      <c r="C3026" s="80" t="s">
        <v>129</v>
      </c>
      <c r="D3026" s="80" t="s">
        <v>146</v>
      </c>
      <c r="E3026" s="80" t="s">
        <v>127</v>
      </c>
      <c r="F3026" s="170">
        <v>50</v>
      </c>
    </row>
    <row r="3027" spans="1:6" hidden="1" x14ac:dyDescent="0.25">
      <c r="A3027" s="169">
        <v>43790</v>
      </c>
      <c r="B3027" s="80" t="s">
        <v>3262</v>
      </c>
      <c r="C3027" s="80" t="s">
        <v>164</v>
      </c>
      <c r="D3027" s="80" t="s">
        <v>146</v>
      </c>
      <c r="E3027" s="80" t="s">
        <v>134</v>
      </c>
      <c r="F3027" s="170">
        <v>50</v>
      </c>
    </row>
    <row r="3028" spans="1:6" hidden="1" x14ac:dyDescent="0.25">
      <c r="A3028" s="169">
        <v>43790</v>
      </c>
      <c r="B3028" s="80" t="s">
        <v>3263</v>
      </c>
      <c r="C3028" s="80" t="s">
        <v>129</v>
      </c>
      <c r="D3028" s="80" t="s">
        <v>146</v>
      </c>
      <c r="E3028" s="80" t="s">
        <v>134</v>
      </c>
      <c r="F3028" s="170">
        <v>50</v>
      </c>
    </row>
    <row r="3029" spans="1:6" x14ac:dyDescent="0.25">
      <c r="A3029" s="169">
        <v>43791</v>
      </c>
      <c r="B3029" s="80" t="s">
        <v>3271</v>
      </c>
      <c r="C3029" s="80" t="s">
        <v>187</v>
      </c>
      <c r="D3029" s="80" t="s">
        <v>146</v>
      </c>
      <c r="E3029" s="80" t="s">
        <v>121</v>
      </c>
      <c r="F3029" s="170">
        <v>50</v>
      </c>
    </row>
    <row r="3030" spans="1:6" hidden="1" x14ac:dyDescent="0.25">
      <c r="A3030" s="169">
        <v>43791</v>
      </c>
      <c r="B3030" s="80" t="s">
        <v>3275</v>
      </c>
      <c r="C3030" s="80" t="s">
        <v>129</v>
      </c>
      <c r="D3030" s="80" t="s">
        <v>146</v>
      </c>
      <c r="E3030" s="80" t="s">
        <v>131</v>
      </c>
      <c r="F3030" s="170">
        <v>50</v>
      </c>
    </row>
    <row r="3031" spans="1:6" hidden="1" x14ac:dyDescent="0.25">
      <c r="A3031" s="169">
        <v>43792</v>
      </c>
      <c r="B3031" s="80" t="s">
        <v>3278</v>
      </c>
      <c r="C3031" s="80" t="s">
        <v>187</v>
      </c>
      <c r="D3031" s="80" t="s">
        <v>146</v>
      </c>
      <c r="E3031" s="80" t="s">
        <v>153</v>
      </c>
      <c r="F3031" s="170">
        <v>50</v>
      </c>
    </row>
    <row r="3032" spans="1:6" hidden="1" x14ac:dyDescent="0.25">
      <c r="A3032" s="169">
        <v>43792</v>
      </c>
      <c r="B3032" s="80" t="s">
        <v>3288</v>
      </c>
      <c r="C3032" s="80" t="s">
        <v>182</v>
      </c>
      <c r="D3032" s="80" t="s">
        <v>146</v>
      </c>
      <c r="E3032" s="80" t="s">
        <v>134</v>
      </c>
      <c r="F3032" s="170">
        <v>50</v>
      </c>
    </row>
    <row r="3033" spans="1:6" hidden="1" x14ac:dyDescent="0.25">
      <c r="A3033" s="169">
        <v>43794</v>
      </c>
      <c r="B3033" s="80" t="s">
        <v>3303</v>
      </c>
      <c r="C3033" s="80" t="s">
        <v>164</v>
      </c>
      <c r="D3033" s="80" t="s">
        <v>146</v>
      </c>
      <c r="E3033" s="80" t="s">
        <v>153</v>
      </c>
      <c r="F3033" s="170">
        <v>50</v>
      </c>
    </row>
    <row r="3034" spans="1:6" hidden="1" x14ac:dyDescent="0.25">
      <c r="A3034" s="169">
        <v>43795</v>
      </c>
      <c r="B3034" s="80" t="s">
        <v>3319</v>
      </c>
      <c r="C3034" s="80" t="s">
        <v>136</v>
      </c>
      <c r="D3034" s="80" t="s">
        <v>146</v>
      </c>
      <c r="E3034" s="80" t="s">
        <v>153</v>
      </c>
      <c r="F3034" s="170">
        <v>50</v>
      </c>
    </row>
    <row r="3035" spans="1:6" x14ac:dyDescent="0.25">
      <c r="A3035" s="169">
        <v>43796</v>
      </c>
      <c r="B3035" s="80" t="s">
        <v>3320</v>
      </c>
      <c r="C3035" s="80" t="s">
        <v>182</v>
      </c>
      <c r="D3035" s="80" t="s">
        <v>146</v>
      </c>
      <c r="E3035" s="80" t="s">
        <v>121</v>
      </c>
      <c r="F3035" s="170">
        <v>50</v>
      </c>
    </row>
    <row r="3036" spans="1:6" hidden="1" x14ac:dyDescent="0.25">
      <c r="A3036" s="169">
        <v>43796</v>
      </c>
      <c r="B3036" s="80" t="s">
        <v>3326</v>
      </c>
      <c r="C3036" s="80" t="s">
        <v>119</v>
      </c>
      <c r="D3036" s="80" t="s">
        <v>146</v>
      </c>
      <c r="E3036" s="80" t="s">
        <v>131</v>
      </c>
      <c r="F3036" s="170">
        <v>50</v>
      </c>
    </row>
    <row r="3037" spans="1:6" x14ac:dyDescent="0.25">
      <c r="A3037" s="169">
        <v>43797</v>
      </c>
      <c r="B3037" s="80" t="s">
        <v>3332</v>
      </c>
      <c r="C3037" s="80" t="s">
        <v>152</v>
      </c>
      <c r="D3037" s="80" t="s">
        <v>146</v>
      </c>
      <c r="E3037" s="80" t="s">
        <v>121</v>
      </c>
      <c r="F3037" s="170">
        <v>50</v>
      </c>
    </row>
    <row r="3038" spans="1:6" hidden="1" x14ac:dyDescent="0.25">
      <c r="A3038" s="169">
        <v>43798</v>
      </c>
      <c r="B3038" s="80" t="s">
        <v>3342</v>
      </c>
      <c r="C3038" s="80" t="s">
        <v>143</v>
      </c>
      <c r="D3038" s="80" t="s">
        <v>146</v>
      </c>
      <c r="E3038" s="80" t="s">
        <v>134</v>
      </c>
      <c r="F3038" s="170">
        <v>50</v>
      </c>
    </row>
    <row r="3039" spans="1:6" hidden="1" x14ac:dyDescent="0.25">
      <c r="A3039" s="169">
        <v>43800</v>
      </c>
      <c r="B3039" s="80" t="s">
        <v>3359</v>
      </c>
      <c r="C3039" s="80" t="s">
        <v>189</v>
      </c>
      <c r="D3039" s="80" t="s">
        <v>146</v>
      </c>
      <c r="E3039" s="80" t="s">
        <v>134</v>
      </c>
      <c r="F3039" s="170">
        <v>50</v>
      </c>
    </row>
    <row r="3040" spans="1:6" hidden="1" x14ac:dyDescent="0.25">
      <c r="A3040" s="169">
        <v>43800</v>
      </c>
      <c r="B3040" s="80" t="s">
        <v>3361</v>
      </c>
      <c r="C3040" s="80" t="s">
        <v>182</v>
      </c>
      <c r="D3040" s="80" t="s">
        <v>146</v>
      </c>
      <c r="E3040" s="80" t="s">
        <v>127</v>
      </c>
      <c r="F3040" s="170">
        <v>50</v>
      </c>
    </row>
    <row r="3041" spans="1:6" hidden="1" x14ac:dyDescent="0.25">
      <c r="A3041" s="169">
        <v>43800</v>
      </c>
      <c r="B3041" s="80" t="s">
        <v>3369</v>
      </c>
      <c r="C3041" s="80" t="s">
        <v>157</v>
      </c>
      <c r="D3041" s="80" t="s">
        <v>146</v>
      </c>
      <c r="E3041" s="80" t="s">
        <v>127</v>
      </c>
      <c r="F3041" s="170">
        <v>50</v>
      </c>
    </row>
    <row r="3042" spans="1:6" hidden="1" x14ac:dyDescent="0.25">
      <c r="A3042" s="169">
        <v>43802</v>
      </c>
      <c r="B3042" s="80" t="s">
        <v>3387</v>
      </c>
      <c r="C3042" s="80" t="s">
        <v>143</v>
      </c>
      <c r="D3042" s="80" t="s">
        <v>146</v>
      </c>
      <c r="E3042" s="80" t="s">
        <v>153</v>
      </c>
      <c r="F3042" s="170">
        <v>50</v>
      </c>
    </row>
    <row r="3043" spans="1:6" hidden="1" x14ac:dyDescent="0.25">
      <c r="A3043" s="169">
        <v>43802</v>
      </c>
      <c r="B3043" s="80" t="s">
        <v>3390</v>
      </c>
      <c r="C3043" s="80" t="s">
        <v>148</v>
      </c>
      <c r="D3043" s="80" t="s">
        <v>146</v>
      </c>
      <c r="E3043" s="80" t="s">
        <v>153</v>
      </c>
      <c r="F3043" s="170">
        <v>50</v>
      </c>
    </row>
    <row r="3044" spans="1:6" hidden="1" x14ac:dyDescent="0.25">
      <c r="A3044" s="169">
        <v>43803</v>
      </c>
      <c r="B3044" s="80" t="s">
        <v>3393</v>
      </c>
      <c r="C3044" s="80" t="s">
        <v>129</v>
      </c>
      <c r="D3044" s="80" t="s">
        <v>146</v>
      </c>
      <c r="E3044" s="80" t="s">
        <v>153</v>
      </c>
      <c r="F3044" s="170">
        <v>50</v>
      </c>
    </row>
    <row r="3045" spans="1:6" hidden="1" x14ac:dyDescent="0.25">
      <c r="A3045" s="169">
        <v>43803</v>
      </c>
      <c r="B3045" s="80" t="s">
        <v>3395</v>
      </c>
      <c r="C3045" s="80" t="s">
        <v>125</v>
      </c>
      <c r="D3045" s="80" t="s">
        <v>146</v>
      </c>
      <c r="E3045" s="80" t="s">
        <v>131</v>
      </c>
      <c r="F3045" s="170">
        <v>50</v>
      </c>
    </row>
    <row r="3046" spans="1:6" hidden="1" x14ac:dyDescent="0.25">
      <c r="A3046" s="169">
        <v>43804</v>
      </c>
      <c r="B3046" s="80" t="s">
        <v>3408</v>
      </c>
      <c r="C3046" s="80" t="s">
        <v>164</v>
      </c>
      <c r="D3046" s="80" t="s">
        <v>146</v>
      </c>
      <c r="E3046" s="80" t="s">
        <v>134</v>
      </c>
      <c r="F3046" s="170">
        <v>50</v>
      </c>
    </row>
    <row r="3047" spans="1:6" hidden="1" x14ac:dyDescent="0.25">
      <c r="A3047" s="169">
        <v>43804</v>
      </c>
      <c r="B3047" s="80" t="s">
        <v>3409</v>
      </c>
      <c r="C3047" s="80" t="s">
        <v>152</v>
      </c>
      <c r="D3047" s="80" t="s">
        <v>146</v>
      </c>
      <c r="E3047" s="80" t="s">
        <v>153</v>
      </c>
      <c r="F3047" s="170">
        <v>50</v>
      </c>
    </row>
    <row r="3048" spans="1:6" hidden="1" x14ac:dyDescent="0.25">
      <c r="A3048" s="169">
        <v>43804</v>
      </c>
      <c r="B3048" s="80" t="s">
        <v>3412</v>
      </c>
      <c r="C3048" s="80" t="s">
        <v>182</v>
      </c>
      <c r="D3048" s="80" t="s">
        <v>146</v>
      </c>
      <c r="E3048" s="80" t="s">
        <v>131</v>
      </c>
      <c r="F3048" s="170">
        <v>50</v>
      </c>
    </row>
    <row r="3049" spans="1:6" hidden="1" x14ac:dyDescent="0.25">
      <c r="A3049" s="169">
        <v>43805</v>
      </c>
      <c r="B3049" s="80" t="s">
        <v>3413</v>
      </c>
      <c r="C3049" s="80" t="s">
        <v>129</v>
      </c>
      <c r="D3049" s="80" t="s">
        <v>146</v>
      </c>
      <c r="E3049" s="80" t="s">
        <v>153</v>
      </c>
      <c r="F3049" s="170">
        <v>50</v>
      </c>
    </row>
    <row r="3050" spans="1:6" x14ac:dyDescent="0.25">
      <c r="A3050" s="169">
        <v>43805</v>
      </c>
      <c r="B3050" s="80" t="s">
        <v>3416</v>
      </c>
      <c r="C3050" s="80" t="s">
        <v>152</v>
      </c>
      <c r="D3050" s="80" t="s">
        <v>146</v>
      </c>
      <c r="E3050" s="80" t="s">
        <v>121</v>
      </c>
      <c r="F3050" s="170">
        <v>50</v>
      </c>
    </row>
    <row r="3051" spans="1:6" hidden="1" x14ac:dyDescent="0.25">
      <c r="A3051" s="169">
        <v>43805</v>
      </c>
      <c r="B3051" s="80" t="s">
        <v>3419</v>
      </c>
      <c r="C3051" s="80" t="s">
        <v>145</v>
      </c>
      <c r="D3051" s="80" t="s">
        <v>146</v>
      </c>
      <c r="E3051" s="80" t="s">
        <v>131</v>
      </c>
      <c r="F3051" s="170">
        <v>50</v>
      </c>
    </row>
    <row r="3052" spans="1:6" hidden="1" x14ac:dyDescent="0.25">
      <c r="A3052" s="169">
        <v>43806</v>
      </c>
      <c r="B3052" s="80" t="s">
        <v>3421</v>
      </c>
      <c r="C3052" s="80" t="s">
        <v>182</v>
      </c>
      <c r="D3052" s="80" t="s">
        <v>146</v>
      </c>
      <c r="E3052" s="80" t="s">
        <v>131</v>
      </c>
      <c r="F3052" s="170">
        <v>50</v>
      </c>
    </row>
    <row r="3053" spans="1:6" hidden="1" x14ac:dyDescent="0.25">
      <c r="A3053" s="169">
        <v>43806</v>
      </c>
      <c r="B3053" s="80" t="s">
        <v>3426</v>
      </c>
      <c r="C3053" s="80" t="s">
        <v>125</v>
      </c>
      <c r="D3053" s="80" t="s">
        <v>146</v>
      </c>
      <c r="E3053" s="80" t="s">
        <v>131</v>
      </c>
      <c r="F3053" s="170">
        <v>50</v>
      </c>
    </row>
    <row r="3054" spans="1:6" hidden="1" x14ac:dyDescent="0.25">
      <c r="A3054" s="169">
        <v>43809</v>
      </c>
      <c r="B3054" s="80" t="s">
        <v>3450</v>
      </c>
      <c r="C3054" s="80" t="s">
        <v>125</v>
      </c>
      <c r="D3054" s="80" t="s">
        <v>146</v>
      </c>
      <c r="E3054" s="80" t="s">
        <v>127</v>
      </c>
      <c r="F3054" s="170">
        <v>50</v>
      </c>
    </row>
    <row r="3055" spans="1:6" x14ac:dyDescent="0.25">
      <c r="A3055" s="169">
        <v>43809</v>
      </c>
      <c r="B3055" s="80" t="s">
        <v>3456</v>
      </c>
      <c r="C3055" s="80" t="s">
        <v>123</v>
      </c>
      <c r="D3055" s="80" t="s">
        <v>146</v>
      </c>
      <c r="E3055" s="80" t="s">
        <v>121</v>
      </c>
      <c r="F3055" s="170">
        <v>50</v>
      </c>
    </row>
    <row r="3056" spans="1:6" hidden="1" x14ac:dyDescent="0.25">
      <c r="A3056" s="169">
        <v>43811</v>
      </c>
      <c r="B3056" s="80" t="s">
        <v>3469</v>
      </c>
      <c r="C3056" s="80" t="s">
        <v>119</v>
      </c>
      <c r="D3056" s="80" t="s">
        <v>146</v>
      </c>
      <c r="E3056" s="80" t="s">
        <v>127</v>
      </c>
      <c r="F3056" s="170">
        <v>50</v>
      </c>
    </row>
    <row r="3057" spans="1:6" hidden="1" x14ac:dyDescent="0.25">
      <c r="A3057" s="169">
        <v>43811</v>
      </c>
      <c r="B3057" s="80" t="s">
        <v>3470</v>
      </c>
      <c r="C3057" s="80" t="s">
        <v>136</v>
      </c>
      <c r="D3057" s="80" t="s">
        <v>146</v>
      </c>
      <c r="E3057" s="80" t="s">
        <v>131</v>
      </c>
      <c r="F3057" s="170">
        <v>50</v>
      </c>
    </row>
    <row r="3058" spans="1:6" hidden="1" x14ac:dyDescent="0.25">
      <c r="A3058" s="169">
        <v>43811</v>
      </c>
      <c r="B3058" s="80" t="s">
        <v>3472</v>
      </c>
      <c r="C3058" s="80" t="s">
        <v>136</v>
      </c>
      <c r="D3058" s="80" t="s">
        <v>146</v>
      </c>
      <c r="E3058" s="80" t="s">
        <v>131</v>
      </c>
      <c r="F3058" s="170">
        <v>50</v>
      </c>
    </row>
    <row r="3059" spans="1:6" hidden="1" x14ac:dyDescent="0.25">
      <c r="A3059" s="169">
        <v>43814</v>
      </c>
      <c r="B3059" s="80" t="s">
        <v>3496</v>
      </c>
      <c r="C3059" s="80" t="s">
        <v>129</v>
      </c>
      <c r="D3059" s="80" t="s">
        <v>146</v>
      </c>
      <c r="E3059" s="80" t="s">
        <v>134</v>
      </c>
      <c r="F3059" s="170">
        <v>50</v>
      </c>
    </row>
    <row r="3060" spans="1:6" hidden="1" x14ac:dyDescent="0.25">
      <c r="A3060" s="169">
        <v>43817</v>
      </c>
      <c r="B3060" s="80" t="s">
        <v>3519</v>
      </c>
      <c r="C3060" s="80" t="s">
        <v>125</v>
      </c>
      <c r="D3060" s="80" t="s">
        <v>146</v>
      </c>
      <c r="E3060" s="80" t="s">
        <v>134</v>
      </c>
      <c r="F3060" s="170">
        <v>50</v>
      </c>
    </row>
    <row r="3061" spans="1:6" hidden="1" x14ac:dyDescent="0.25">
      <c r="A3061" s="169">
        <v>43817</v>
      </c>
      <c r="B3061" s="80" t="s">
        <v>3524</v>
      </c>
      <c r="C3061" s="80" t="s">
        <v>167</v>
      </c>
      <c r="D3061" s="80" t="s">
        <v>146</v>
      </c>
      <c r="E3061" s="80" t="s">
        <v>127</v>
      </c>
      <c r="F3061" s="170">
        <v>50</v>
      </c>
    </row>
    <row r="3062" spans="1:6" hidden="1" x14ac:dyDescent="0.25">
      <c r="A3062" s="169">
        <v>43817</v>
      </c>
      <c r="B3062" s="80" t="s">
        <v>3526</v>
      </c>
      <c r="C3062" s="80" t="s">
        <v>119</v>
      </c>
      <c r="D3062" s="80" t="s">
        <v>146</v>
      </c>
      <c r="E3062" s="80" t="s">
        <v>153</v>
      </c>
      <c r="F3062" s="170">
        <v>50</v>
      </c>
    </row>
    <row r="3063" spans="1:6" hidden="1" x14ac:dyDescent="0.25">
      <c r="A3063" s="169">
        <v>43819</v>
      </c>
      <c r="B3063" s="80" t="s">
        <v>3537</v>
      </c>
      <c r="C3063" s="80" t="s">
        <v>148</v>
      </c>
      <c r="D3063" s="80" t="s">
        <v>146</v>
      </c>
      <c r="E3063" s="80" t="s">
        <v>127</v>
      </c>
      <c r="F3063" s="170">
        <v>50</v>
      </c>
    </row>
    <row r="3064" spans="1:6" hidden="1" x14ac:dyDescent="0.25">
      <c r="A3064" s="169">
        <v>43819</v>
      </c>
      <c r="B3064" s="80" t="s">
        <v>3538</v>
      </c>
      <c r="C3064" s="80" t="s">
        <v>148</v>
      </c>
      <c r="D3064" s="80" t="s">
        <v>146</v>
      </c>
      <c r="E3064" s="80" t="s">
        <v>131</v>
      </c>
      <c r="F3064" s="170">
        <v>50</v>
      </c>
    </row>
    <row r="3065" spans="1:6" hidden="1" x14ac:dyDescent="0.25">
      <c r="A3065" s="169">
        <v>43819</v>
      </c>
      <c r="B3065" s="80" t="s">
        <v>3540</v>
      </c>
      <c r="C3065" s="80" t="s">
        <v>119</v>
      </c>
      <c r="D3065" s="80" t="s">
        <v>146</v>
      </c>
      <c r="E3065" s="80" t="s">
        <v>127</v>
      </c>
      <c r="F3065" s="170">
        <v>50</v>
      </c>
    </row>
    <row r="3066" spans="1:6" x14ac:dyDescent="0.25">
      <c r="A3066" s="169">
        <v>43819</v>
      </c>
      <c r="B3066" s="80" t="s">
        <v>3543</v>
      </c>
      <c r="C3066" s="80" t="s">
        <v>152</v>
      </c>
      <c r="D3066" s="80" t="s">
        <v>146</v>
      </c>
      <c r="E3066" s="80" t="s">
        <v>121</v>
      </c>
      <c r="F3066" s="170">
        <v>50</v>
      </c>
    </row>
    <row r="3067" spans="1:6" hidden="1" x14ac:dyDescent="0.25">
      <c r="A3067" s="169">
        <v>43820</v>
      </c>
      <c r="B3067" s="80" t="s">
        <v>3556</v>
      </c>
      <c r="C3067" s="80" t="s">
        <v>123</v>
      </c>
      <c r="D3067" s="80" t="s">
        <v>146</v>
      </c>
      <c r="E3067" s="80" t="s">
        <v>127</v>
      </c>
      <c r="F3067" s="170">
        <v>50</v>
      </c>
    </row>
    <row r="3068" spans="1:6" hidden="1" x14ac:dyDescent="0.25">
      <c r="A3068" s="169">
        <v>43823</v>
      </c>
      <c r="B3068" s="80" t="s">
        <v>3573</v>
      </c>
      <c r="C3068" s="80" t="s">
        <v>189</v>
      </c>
      <c r="D3068" s="80" t="s">
        <v>146</v>
      </c>
      <c r="E3068" s="80" t="s">
        <v>134</v>
      </c>
      <c r="F3068" s="170">
        <v>50</v>
      </c>
    </row>
    <row r="3069" spans="1:6" hidden="1" x14ac:dyDescent="0.25">
      <c r="A3069" s="169">
        <v>43823</v>
      </c>
      <c r="B3069" s="80" t="s">
        <v>3576</v>
      </c>
      <c r="C3069" s="80" t="s">
        <v>129</v>
      </c>
      <c r="D3069" s="80" t="s">
        <v>146</v>
      </c>
      <c r="E3069" s="80" t="s">
        <v>134</v>
      </c>
      <c r="F3069" s="170">
        <v>50</v>
      </c>
    </row>
    <row r="3070" spans="1:6" hidden="1" x14ac:dyDescent="0.25">
      <c r="A3070" s="169">
        <v>43824</v>
      </c>
      <c r="B3070" s="80" t="s">
        <v>3582</v>
      </c>
      <c r="C3070" s="80" t="s">
        <v>148</v>
      </c>
      <c r="D3070" s="80" t="s">
        <v>146</v>
      </c>
      <c r="E3070" s="80" t="s">
        <v>131</v>
      </c>
      <c r="F3070" s="170">
        <v>50</v>
      </c>
    </row>
    <row r="3071" spans="1:6" hidden="1" x14ac:dyDescent="0.25">
      <c r="A3071" s="169">
        <v>43825</v>
      </c>
      <c r="B3071" s="80" t="s">
        <v>3591</v>
      </c>
      <c r="C3071" s="80" t="s">
        <v>136</v>
      </c>
      <c r="D3071" s="80" t="s">
        <v>146</v>
      </c>
      <c r="E3071" s="80" t="s">
        <v>127</v>
      </c>
      <c r="F3071" s="170">
        <v>50</v>
      </c>
    </row>
    <row r="3072" spans="1:6" hidden="1" x14ac:dyDescent="0.25">
      <c r="A3072" s="169">
        <v>43827</v>
      </c>
      <c r="B3072" s="80" t="s">
        <v>3609</v>
      </c>
      <c r="C3072" s="80" t="s">
        <v>136</v>
      </c>
      <c r="D3072" s="80" t="s">
        <v>146</v>
      </c>
      <c r="E3072" s="80" t="s">
        <v>153</v>
      </c>
      <c r="F3072" s="170">
        <v>50</v>
      </c>
    </row>
    <row r="3073" spans="1:6" hidden="1" x14ac:dyDescent="0.25">
      <c r="A3073" s="169">
        <v>43827</v>
      </c>
      <c r="B3073" s="80" t="s">
        <v>3610</v>
      </c>
      <c r="C3073" s="80" t="s">
        <v>123</v>
      </c>
      <c r="D3073" s="80" t="s">
        <v>146</v>
      </c>
      <c r="E3073" s="80" t="s">
        <v>153</v>
      </c>
      <c r="F3073" s="170">
        <v>50</v>
      </c>
    </row>
    <row r="3074" spans="1:6" hidden="1" x14ac:dyDescent="0.25">
      <c r="A3074" s="169">
        <v>43827</v>
      </c>
      <c r="B3074" s="80" t="s">
        <v>3614</v>
      </c>
      <c r="C3074" s="80" t="s">
        <v>138</v>
      </c>
      <c r="D3074" s="80" t="s">
        <v>146</v>
      </c>
      <c r="E3074" s="80" t="s">
        <v>131</v>
      </c>
      <c r="F3074" s="170">
        <v>50</v>
      </c>
    </row>
    <row r="3075" spans="1:6" hidden="1" x14ac:dyDescent="0.25">
      <c r="A3075" s="169">
        <v>43828</v>
      </c>
      <c r="B3075" s="80" t="s">
        <v>3627</v>
      </c>
      <c r="C3075" s="80" t="s">
        <v>189</v>
      </c>
      <c r="D3075" s="80" t="s">
        <v>146</v>
      </c>
      <c r="E3075" s="80" t="s">
        <v>134</v>
      </c>
      <c r="F3075" s="170">
        <v>50</v>
      </c>
    </row>
    <row r="3076" spans="1:6" x14ac:dyDescent="0.25">
      <c r="A3076" s="169">
        <v>43828</v>
      </c>
      <c r="B3076" s="80" t="s">
        <v>3629</v>
      </c>
      <c r="C3076" s="80" t="s">
        <v>125</v>
      </c>
      <c r="D3076" s="80" t="s">
        <v>146</v>
      </c>
      <c r="E3076" s="80" t="s">
        <v>121</v>
      </c>
      <c r="F3076" s="170">
        <v>50</v>
      </c>
    </row>
    <row r="3077" spans="1:6" hidden="1" x14ac:dyDescent="0.25">
      <c r="A3077" s="169">
        <v>43829</v>
      </c>
      <c r="B3077" s="80" t="s">
        <v>3633</v>
      </c>
      <c r="C3077" s="80" t="s">
        <v>123</v>
      </c>
      <c r="D3077" s="80" t="s">
        <v>146</v>
      </c>
      <c r="E3077" s="80" t="s">
        <v>127</v>
      </c>
      <c r="F3077" s="170">
        <v>50</v>
      </c>
    </row>
    <row r="3078" spans="1:6" hidden="1" x14ac:dyDescent="0.25">
      <c r="A3078" s="169">
        <v>43829</v>
      </c>
      <c r="B3078" s="80" t="s">
        <v>3640</v>
      </c>
      <c r="C3078" s="80" t="s">
        <v>187</v>
      </c>
      <c r="D3078" s="80" t="s">
        <v>146</v>
      </c>
      <c r="E3078" s="80" t="s">
        <v>134</v>
      </c>
      <c r="F3078" s="170">
        <v>50</v>
      </c>
    </row>
    <row r="3079" spans="1:6" hidden="1" x14ac:dyDescent="0.25">
      <c r="A3079" s="169">
        <v>43466</v>
      </c>
      <c r="B3079" s="80" t="s">
        <v>132</v>
      </c>
      <c r="C3079" s="80" t="s">
        <v>123</v>
      </c>
      <c r="D3079" s="80" t="s">
        <v>133</v>
      </c>
      <c r="E3079" s="80" t="s">
        <v>134</v>
      </c>
      <c r="F3079" s="170">
        <v>30</v>
      </c>
    </row>
    <row r="3080" spans="1:6" hidden="1" x14ac:dyDescent="0.25">
      <c r="A3080" s="169">
        <v>43466</v>
      </c>
      <c r="B3080" s="80" t="s">
        <v>142</v>
      </c>
      <c r="C3080" s="80" t="s">
        <v>143</v>
      </c>
      <c r="D3080" s="80" t="s">
        <v>133</v>
      </c>
      <c r="E3080" s="80" t="s">
        <v>131</v>
      </c>
      <c r="F3080" s="170">
        <v>30</v>
      </c>
    </row>
    <row r="3081" spans="1:6" hidden="1" x14ac:dyDescent="0.25">
      <c r="A3081" s="169">
        <v>43468</v>
      </c>
      <c r="B3081" s="80" t="s">
        <v>163</v>
      </c>
      <c r="C3081" s="80" t="s">
        <v>164</v>
      </c>
      <c r="D3081" s="80" t="s">
        <v>133</v>
      </c>
      <c r="E3081" s="80" t="s">
        <v>127</v>
      </c>
      <c r="F3081" s="170">
        <v>30</v>
      </c>
    </row>
    <row r="3082" spans="1:6" hidden="1" x14ac:dyDescent="0.25">
      <c r="A3082" s="169">
        <v>43472</v>
      </c>
      <c r="B3082" s="80" t="s">
        <v>209</v>
      </c>
      <c r="C3082" s="80" t="s">
        <v>164</v>
      </c>
      <c r="D3082" s="80" t="s">
        <v>133</v>
      </c>
      <c r="E3082" s="80" t="s">
        <v>121</v>
      </c>
      <c r="F3082" s="170">
        <v>30</v>
      </c>
    </row>
    <row r="3083" spans="1:6" hidden="1" x14ac:dyDescent="0.25">
      <c r="A3083" s="169">
        <v>43473</v>
      </c>
      <c r="B3083" s="80" t="s">
        <v>224</v>
      </c>
      <c r="C3083" s="80" t="s">
        <v>157</v>
      </c>
      <c r="D3083" s="80" t="s">
        <v>133</v>
      </c>
      <c r="E3083" s="80" t="s">
        <v>121</v>
      </c>
      <c r="F3083" s="170">
        <v>30</v>
      </c>
    </row>
    <row r="3084" spans="1:6" hidden="1" x14ac:dyDescent="0.25">
      <c r="A3084" s="169">
        <v>43474</v>
      </c>
      <c r="B3084" s="80" t="s">
        <v>229</v>
      </c>
      <c r="C3084" s="80" t="s">
        <v>157</v>
      </c>
      <c r="D3084" s="80" t="s">
        <v>133</v>
      </c>
      <c r="E3084" s="80" t="s">
        <v>121</v>
      </c>
      <c r="F3084" s="170">
        <v>30</v>
      </c>
    </row>
    <row r="3085" spans="1:6" hidden="1" x14ac:dyDescent="0.25">
      <c r="A3085" s="169">
        <v>43476</v>
      </c>
      <c r="B3085" s="80" t="s">
        <v>247</v>
      </c>
      <c r="C3085" s="80" t="s">
        <v>187</v>
      </c>
      <c r="D3085" s="80" t="s">
        <v>133</v>
      </c>
      <c r="E3085" s="80" t="s">
        <v>153</v>
      </c>
      <c r="F3085" s="170">
        <v>30</v>
      </c>
    </row>
    <row r="3086" spans="1:6" hidden="1" x14ac:dyDescent="0.25">
      <c r="A3086" s="169">
        <v>43478</v>
      </c>
      <c r="B3086" s="80" t="s">
        <v>282</v>
      </c>
      <c r="C3086" s="80" t="s">
        <v>119</v>
      </c>
      <c r="D3086" s="80" t="s">
        <v>133</v>
      </c>
      <c r="E3086" s="80" t="s">
        <v>131</v>
      </c>
      <c r="F3086" s="170">
        <v>30</v>
      </c>
    </row>
    <row r="3087" spans="1:6" hidden="1" x14ac:dyDescent="0.25">
      <c r="A3087" s="169">
        <v>43479</v>
      </c>
      <c r="B3087" s="80" t="s">
        <v>288</v>
      </c>
      <c r="C3087" s="80" t="s">
        <v>152</v>
      </c>
      <c r="D3087" s="80" t="s">
        <v>133</v>
      </c>
      <c r="E3087" s="80" t="s">
        <v>153</v>
      </c>
      <c r="F3087" s="170">
        <v>30</v>
      </c>
    </row>
    <row r="3088" spans="1:6" hidden="1" x14ac:dyDescent="0.25">
      <c r="A3088" s="169">
        <v>43480</v>
      </c>
      <c r="B3088" s="80" t="s">
        <v>298</v>
      </c>
      <c r="C3088" s="80" t="s">
        <v>182</v>
      </c>
      <c r="D3088" s="80" t="s">
        <v>133</v>
      </c>
      <c r="E3088" s="80" t="s">
        <v>134</v>
      </c>
      <c r="F3088" s="170">
        <v>30</v>
      </c>
    </row>
    <row r="3089" spans="1:6" hidden="1" x14ac:dyDescent="0.25">
      <c r="A3089" s="169">
        <v>43482</v>
      </c>
      <c r="B3089" s="80" t="s">
        <v>314</v>
      </c>
      <c r="C3089" s="80" t="s">
        <v>119</v>
      </c>
      <c r="D3089" s="80" t="s">
        <v>133</v>
      </c>
      <c r="E3089" s="80" t="s">
        <v>127</v>
      </c>
      <c r="F3089" s="170">
        <v>30</v>
      </c>
    </row>
    <row r="3090" spans="1:6" hidden="1" x14ac:dyDescent="0.25">
      <c r="A3090" s="169">
        <v>43482</v>
      </c>
      <c r="B3090" s="80" t="s">
        <v>318</v>
      </c>
      <c r="C3090" s="80" t="s">
        <v>189</v>
      </c>
      <c r="D3090" s="80" t="s">
        <v>133</v>
      </c>
      <c r="E3090" s="80" t="s">
        <v>127</v>
      </c>
      <c r="F3090" s="170">
        <v>30</v>
      </c>
    </row>
    <row r="3091" spans="1:6" hidden="1" x14ac:dyDescent="0.25">
      <c r="A3091" s="169">
        <v>43483</v>
      </c>
      <c r="B3091" s="80" t="s">
        <v>332</v>
      </c>
      <c r="C3091" s="80" t="s">
        <v>136</v>
      </c>
      <c r="D3091" s="80" t="s">
        <v>133</v>
      </c>
      <c r="E3091" s="80" t="s">
        <v>153</v>
      </c>
      <c r="F3091" s="170">
        <v>30</v>
      </c>
    </row>
    <row r="3092" spans="1:6" hidden="1" x14ac:dyDescent="0.25">
      <c r="A3092" s="169">
        <v>43485</v>
      </c>
      <c r="B3092" s="80" t="s">
        <v>345</v>
      </c>
      <c r="C3092" s="80" t="s">
        <v>129</v>
      </c>
      <c r="D3092" s="80" t="s">
        <v>133</v>
      </c>
      <c r="E3092" s="80" t="s">
        <v>131</v>
      </c>
      <c r="F3092" s="170">
        <v>30</v>
      </c>
    </row>
    <row r="3093" spans="1:6" hidden="1" x14ac:dyDescent="0.25">
      <c r="A3093" s="169">
        <v>43485</v>
      </c>
      <c r="B3093" s="80" t="s">
        <v>348</v>
      </c>
      <c r="C3093" s="80" t="s">
        <v>223</v>
      </c>
      <c r="D3093" s="80" t="s">
        <v>133</v>
      </c>
      <c r="E3093" s="80" t="s">
        <v>134</v>
      </c>
      <c r="F3093" s="170">
        <v>30</v>
      </c>
    </row>
    <row r="3094" spans="1:6" hidden="1" x14ac:dyDescent="0.25">
      <c r="A3094" s="169">
        <v>43486</v>
      </c>
      <c r="B3094" s="80" t="s">
        <v>358</v>
      </c>
      <c r="C3094" s="80" t="s">
        <v>129</v>
      </c>
      <c r="D3094" s="80" t="s">
        <v>133</v>
      </c>
      <c r="E3094" s="80" t="s">
        <v>153</v>
      </c>
      <c r="F3094" s="170">
        <v>30</v>
      </c>
    </row>
    <row r="3095" spans="1:6" hidden="1" x14ac:dyDescent="0.25">
      <c r="A3095" s="169">
        <v>43488</v>
      </c>
      <c r="B3095" s="80" t="s">
        <v>377</v>
      </c>
      <c r="C3095" s="80" t="s">
        <v>119</v>
      </c>
      <c r="D3095" s="80" t="s">
        <v>133</v>
      </c>
      <c r="E3095" s="80" t="s">
        <v>121</v>
      </c>
      <c r="F3095" s="170">
        <v>30</v>
      </c>
    </row>
    <row r="3096" spans="1:6" hidden="1" x14ac:dyDescent="0.25">
      <c r="A3096" s="169">
        <v>43488</v>
      </c>
      <c r="B3096" s="80" t="s">
        <v>378</v>
      </c>
      <c r="C3096" s="80" t="s">
        <v>182</v>
      </c>
      <c r="D3096" s="80" t="s">
        <v>133</v>
      </c>
      <c r="E3096" s="80" t="s">
        <v>153</v>
      </c>
      <c r="F3096" s="170">
        <v>30</v>
      </c>
    </row>
    <row r="3097" spans="1:6" hidden="1" x14ac:dyDescent="0.25">
      <c r="A3097" s="169">
        <v>43488</v>
      </c>
      <c r="B3097" s="80" t="s">
        <v>380</v>
      </c>
      <c r="C3097" s="80" t="s">
        <v>148</v>
      </c>
      <c r="D3097" s="80" t="s">
        <v>133</v>
      </c>
      <c r="E3097" s="80" t="s">
        <v>153</v>
      </c>
      <c r="F3097" s="170">
        <v>30</v>
      </c>
    </row>
    <row r="3098" spans="1:6" hidden="1" x14ac:dyDescent="0.25">
      <c r="A3098" s="169">
        <v>43489</v>
      </c>
      <c r="B3098" s="80" t="s">
        <v>386</v>
      </c>
      <c r="C3098" s="80" t="s">
        <v>167</v>
      </c>
      <c r="D3098" s="80" t="s">
        <v>133</v>
      </c>
      <c r="E3098" s="80" t="s">
        <v>127</v>
      </c>
      <c r="F3098" s="170">
        <v>30</v>
      </c>
    </row>
    <row r="3099" spans="1:6" hidden="1" x14ac:dyDescent="0.25">
      <c r="A3099" s="169">
        <v>43490</v>
      </c>
      <c r="B3099" s="80" t="s">
        <v>396</v>
      </c>
      <c r="C3099" s="80" t="s">
        <v>164</v>
      </c>
      <c r="D3099" s="80" t="s">
        <v>133</v>
      </c>
      <c r="E3099" s="80" t="s">
        <v>134</v>
      </c>
      <c r="F3099" s="170">
        <v>30</v>
      </c>
    </row>
    <row r="3100" spans="1:6" hidden="1" x14ac:dyDescent="0.25">
      <c r="A3100" s="169">
        <v>43490</v>
      </c>
      <c r="B3100" s="80" t="s">
        <v>398</v>
      </c>
      <c r="C3100" s="80" t="s">
        <v>148</v>
      </c>
      <c r="D3100" s="80" t="s">
        <v>133</v>
      </c>
      <c r="E3100" s="80" t="s">
        <v>127</v>
      </c>
      <c r="F3100" s="170">
        <v>30</v>
      </c>
    </row>
    <row r="3101" spans="1:6" hidden="1" x14ac:dyDescent="0.25">
      <c r="A3101" s="169">
        <v>43490</v>
      </c>
      <c r="B3101" s="80" t="s">
        <v>404</v>
      </c>
      <c r="C3101" s="80" t="s">
        <v>125</v>
      </c>
      <c r="D3101" s="80" t="s">
        <v>133</v>
      </c>
      <c r="E3101" s="80" t="s">
        <v>121</v>
      </c>
      <c r="F3101" s="170">
        <v>30</v>
      </c>
    </row>
    <row r="3102" spans="1:6" hidden="1" x14ac:dyDescent="0.25">
      <c r="A3102" s="169">
        <v>43491</v>
      </c>
      <c r="B3102" s="80" t="s">
        <v>418</v>
      </c>
      <c r="C3102" s="80" t="s">
        <v>189</v>
      </c>
      <c r="D3102" s="80" t="s">
        <v>133</v>
      </c>
      <c r="E3102" s="80" t="s">
        <v>127</v>
      </c>
      <c r="F3102" s="170">
        <v>30</v>
      </c>
    </row>
    <row r="3103" spans="1:6" hidden="1" x14ac:dyDescent="0.25">
      <c r="A3103" s="169">
        <v>43494</v>
      </c>
      <c r="B3103" s="80" t="s">
        <v>441</v>
      </c>
      <c r="C3103" s="80" t="s">
        <v>138</v>
      </c>
      <c r="D3103" s="80" t="s">
        <v>133</v>
      </c>
      <c r="E3103" s="80" t="s">
        <v>134</v>
      </c>
      <c r="F3103" s="170">
        <v>30</v>
      </c>
    </row>
    <row r="3104" spans="1:6" hidden="1" x14ac:dyDescent="0.25">
      <c r="A3104" s="169">
        <v>43494</v>
      </c>
      <c r="B3104" s="80" t="s">
        <v>448</v>
      </c>
      <c r="C3104" s="80" t="s">
        <v>129</v>
      </c>
      <c r="D3104" s="80" t="s">
        <v>133</v>
      </c>
      <c r="E3104" s="80" t="s">
        <v>121</v>
      </c>
      <c r="F3104" s="170">
        <v>30</v>
      </c>
    </row>
    <row r="3105" spans="1:6" hidden="1" x14ac:dyDescent="0.25">
      <c r="A3105" s="169">
        <v>43495</v>
      </c>
      <c r="B3105" s="80" t="s">
        <v>460</v>
      </c>
      <c r="C3105" s="80" t="s">
        <v>189</v>
      </c>
      <c r="D3105" s="80" t="s">
        <v>133</v>
      </c>
      <c r="E3105" s="80" t="s">
        <v>121</v>
      </c>
      <c r="F3105" s="170">
        <v>30</v>
      </c>
    </row>
    <row r="3106" spans="1:6" hidden="1" x14ac:dyDescent="0.25">
      <c r="A3106" s="169">
        <v>43495</v>
      </c>
      <c r="B3106" s="80" t="s">
        <v>462</v>
      </c>
      <c r="C3106" s="80" t="s">
        <v>145</v>
      </c>
      <c r="D3106" s="80" t="s">
        <v>133</v>
      </c>
      <c r="E3106" s="80" t="s">
        <v>131</v>
      </c>
      <c r="F3106" s="170">
        <v>30</v>
      </c>
    </row>
    <row r="3107" spans="1:6" hidden="1" x14ac:dyDescent="0.25">
      <c r="A3107" s="169">
        <v>43496</v>
      </c>
      <c r="B3107" s="80" t="s">
        <v>465</v>
      </c>
      <c r="C3107" s="80" t="s">
        <v>157</v>
      </c>
      <c r="D3107" s="80" t="s">
        <v>133</v>
      </c>
      <c r="E3107" s="80" t="s">
        <v>134</v>
      </c>
      <c r="F3107" s="170">
        <v>30</v>
      </c>
    </row>
    <row r="3108" spans="1:6" hidden="1" x14ac:dyDescent="0.25">
      <c r="A3108" s="169">
        <v>43497</v>
      </c>
      <c r="B3108" s="80" t="s">
        <v>470</v>
      </c>
      <c r="C3108" s="80" t="s">
        <v>119</v>
      </c>
      <c r="D3108" s="80" t="s">
        <v>133</v>
      </c>
      <c r="E3108" s="80" t="s">
        <v>127</v>
      </c>
      <c r="F3108" s="170">
        <v>30</v>
      </c>
    </row>
    <row r="3109" spans="1:6" hidden="1" x14ac:dyDescent="0.25">
      <c r="A3109" s="169">
        <v>43499</v>
      </c>
      <c r="B3109" s="80" t="s">
        <v>485</v>
      </c>
      <c r="C3109" s="80" t="s">
        <v>189</v>
      </c>
      <c r="D3109" s="80" t="s">
        <v>133</v>
      </c>
      <c r="E3109" s="80" t="s">
        <v>153</v>
      </c>
      <c r="F3109" s="170">
        <v>30</v>
      </c>
    </row>
    <row r="3110" spans="1:6" hidden="1" x14ac:dyDescent="0.25">
      <c r="A3110" s="169">
        <v>43500</v>
      </c>
      <c r="B3110" s="80" t="s">
        <v>496</v>
      </c>
      <c r="C3110" s="80" t="s">
        <v>187</v>
      </c>
      <c r="D3110" s="80" t="s">
        <v>133</v>
      </c>
      <c r="E3110" s="80" t="s">
        <v>127</v>
      </c>
      <c r="F3110" s="170">
        <v>30</v>
      </c>
    </row>
    <row r="3111" spans="1:6" hidden="1" x14ac:dyDescent="0.25">
      <c r="A3111" s="169">
        <v>43501</v>
      </c>
      <c r="B3111" s="80" t="s">
        <v>499</v>
      </c>
      <c r="C3111" s="80" t="s">
        <v>223</v>
      </c>
      <c r="D3111" s="80" t="s">
        <v>133</v>
      </c>
      <c r="E3111" s="80" t="s">
        <v>131</v>
      </c>
      <c r="F3111" s="170">
        <v>30</v>
      </c>
    </row>
    <row r="3112" spans="1:6" hidden="1" x14ac:dyDescent="0.25">
      <c r="A3112" s="169">
        <v>43503</v>
      </c>
      <c r="B3112" s="80" t="s">
        <v>512</v>
      </c>
      <c r="C3112" s="80" t="s">
        <v>123</v>
      </c>
      <c r="D3112" s="80" t="s">
        <v>133</v>
      </c>
      <c r="E3112" s="80" t="s">
        <v>127</v>
      </c>
      <c r="F3112" s="170">
        <v>30</v>
      </c>
    </row>
    <row r="3113" spans="1:6" hidden="1" x14ac:dyDescent="0.25">
      <c r="A3113" s="169">
        <v>43503</v>
      </c>
      <c r="B3113" s="80" t="s">
        <v>513</v>
      </c>
      <c r="C3113" s="80" t="s">
        <v>119</v>
      </c>
      <c r="D3113" s="80" t="s">
        <v>133</v>
      </c>
      <c r="E3113" s="80" t="s">
        <v>121</v>
      </c>
      <c r="F3113" s="170">
        <v>30</v>
      </c>
    </row>
    <row r="3114" spans="1:6" hidden="1" x14ac:dyDescent="0.25">
      <c r="A3114" s="169">
        <v>43503</v>
      </c>
      <c r="B3114" s="80" t="s">
        <v>518</v>
      </c>
      <c r="C3114" s="80" t="s">
        <v>129</v>
      </c>
      <c r="D3114" s="80" t="s">
        <v>133</v>
      </c>
      <c r="E3114" s="80" t="s">
        <v>134</v>
      </c>
      <c r="F3114" s="170">
        <v>30</v>
      </c>
    </row>
    <row r="3115" spans="1:6" hidden="1" x14ac:dyDescent="0.25">
      <c r="A3115" s="169">
        <v>43504</v>
      </c>
      <c r="B3115" s="80" t="s">
        <v>527</v>
      </c>
      <c r="C3115" s="80" t="s">
        <v>125</v>
      </c>
      <c r="D3115" s="80" t="s">
        <v>133</v>
      </c>
      <c r="E3115" s="80" t="s">
        <v>153</v>
      </c>
      <c r="F3115" s="170">
        <v>30</v>
      </c>
    </row>
    <row r="3116" spans="1:6" hidden="1" x14ac:dyDescent="0.25">
      <c r="A3116" s="169">
        <v>43505</v>
      </c>
      <c r="B3116" s="80" t="s">
        <v>534</v>
      </c>
      <c r="C3116" s="80" t="s">
        <v>136</v>
      </c>
      <c r="D3116" s="80" t="s">
        <v>133</v>
      </c>
      <c r="E3116" s="80" t="s">
        <v>127</v>
      </c>
      <c r="F3116" s="170">
        <v>30</v>
      </c>
    </row>
    <row r="3117" spans="1:6" hidden="1" x14ac:dyDescent="0.25">
      <c r="A3117" s="169">
        <v>43507</v>
      </c>
      <c r="B3117" s="80" t="s">
        <v>551</v>
      </c>
      <c r="C3117" s="80" t="s">
        <v>152</v>
      </c>
      <c r="D3117" s="80" t="s">
        <v>133</v>
      </c>
      <c r="E3117" s="80" t="s">
        <v>127</v>
      </c>
      <c r="F3117" s="170">
        <v>30</v>
      </c>
    </row>
    <row r="3118" spans="1:6" hidden="1" x14ac:dyDescent="0.25">
      <c r="A3118" s="169">
        <v>43508</v>
      </c>
      <c r="B3118" s="80" t="s">
        <v>554</v>
      </c>
      <c r="C3118" s="80" t="s">
        <v>164</v>
      </c>
      <c r="D3118" s="80" t="s">
        <v>133</v>
      </c>
      <c r="E3118" s="80" t="s">
        <v>121</v>
      </c>
      <c r="F3118" s="170">
        <v>30</v>
      </c>
    </row>
    <row r="3119" spans="1:6" hidden="1" x14ac:dyDescent="0.25">
      <c r="A3119" s="169">
        <v>43508</v>
      </c>
      <c r="B3119" s="80" t="s">
        <v>562</v>
      </c>
      <c r="C3119" s="80" t="s">
        <v>167</v>
      </c>
      <c r="D3119" s="80" t="s">
        <v>133</v>
      </c>
      <c r="E3119" s="80" t="s">
        <v>121</v>
      </c>
      <c r="F3119" s="170">
        <v>30</v>
      </c>
    </row>
    <row r="3120" spans="1:6" hidden="1" x14ac:dyDescent="0.25">
      <c r="A3120" s="169">
        <v>43511</v>
      </c>
      <c r="B3120" s="80" t="s">
        <v>579</v>
      </c>
      <c r="C3120" s="80" t="s">
        <v>182</v>
      </c>
      <c r="D3120" s="80" t="s">
        <v>133</v>
      </c>
      <c r="E3120" s="80" t="s">
        <v>131</v>
      </c>
      <c r="F3120" s="170">
        <v>30</v>
      </c>
    </row>
    <row r="3121" spans="1:6" hidden="1" x14ac:dyDescent="0.25">
      <c r="A3121" s="169">
        <v>43511</v>
      </c>
      <c r="B3121" s="80" t="s">
        <v>583</v>
      </c>
      <c r="C3121" s="80" t="s">
        <v>223</v>
      </c>
      <c r="D3121" s="80" t="s">
        <v>133</v>
      </c>
      <c r="E3121" s="80" t="s">
        <v>134</v>
      </c>
      <c r="F3121" s="170">
        <v>30</v>
      </c>
    </row>
    <row r="3122" spans="1:6" hidden="1" x14ac:dyDescent="0.25">
      <c r="A3122" s="169">
        <v>43513</v>
      </c>
      <c r="B3122" s="80" t="s">
        <v>601</v>
      </c>
      <c r="C3122" s="80" t="s">
        <v>136</v>
      </c>
      <c r="D3122" s="80" t="s">
        <v>133</v>
      </c>
      <c r="E3122" s="80" t="s">
        <v>153</v>
      </c>
      <c r="F3122" s="170">
        <v>30</v>
      </c>
    </row>
    <row r="3123" spans="1:6" hidden="1" x14ac:dyDescent="0.25">
      <c r="A3123" s="169">
        <v>43514</v>
      </c>
      <c r="B3123" s="80" t="s">
        <v>605</v>
      </c>
      <c r="C3123" s="80" t="s">
        <v>157</v>
      </c>
      <c r="D3123" s="80" t="s">
        <v>133</v>
      </c>
      <c r="E3123" s="80" t="s">
        <v>131</v>
      </c>
      <c r="F3123" s="170">
        <v>30</v>
      </c>
    </row>
    <row r="3124" spans="1:6" hidden="1" x14ac:dyDescent="0.25">
      <c r="A3124" s="169">
        <v>43515</v>
      </c>
      <c r="B3124" s="80" t="s">
        <v>616</v>
      </c>
      <c r="C3124" s="80" t="s">
        <v>119</v>
      </c>
      <c r="D3124" s="80" t="s">
        <v>133</v>
      </c>
      <c r="E3124" s="80" t="s">
        <v>153</v>
      </c>
      <c r="F3124" s="170">
        <v>30</v>
      </c>
    </row>
    <row r="3125" spans="1:6" hidden="1" x14ac:dyDescent="0.25">
      <c r="A3125" s="169">
        <v>43516</v>
      </c>
      <c r="B3125" s="80" t="s">
        <v>630</v>
      </c>
      <c r="C3125" s="80" t="s">
        <v>123</v>
      </c>
      <c r="D3125" s="80" t="s">
        <v>133</v>
      </c>
      <c r="E3125" s="80" t="s">
        <v>121</v>
      </c>
      <c r="F3125" s="170">
        <v>30</v>
      </c>
    </row>
    <row r="3126" spans="1:6" hidden="1" x14ac:dyDescent="0.25">
      <c r="A3126" s="169">
        <v>43517</v>
      </c>
      <c r="B3126" s="80" t="s">
        <v>635</v>
      </c>
      <c r="C3126" s="80" t="s">
        <v>164</v>
      </c>
      <c r="D3126" s="80" t="s">
        <v>133</v>
      </c>
      <c r="E3126" s="80" t="s">
        <v>131</v>
      </c>
      <c r="F3126" s="170">
        <v>30</v>
      </c>
    </row>
    <row r="3127" spans="1:6" hidden="1" x14ac:dyDescent="0.25">
      <c r="A3127" s="169">
        <v>43517</v>
      </c>
      <c r="B3127" s="80" t="s">
        <v>638</v>
      </c>
      <c r="C3127" s="80" t="s">
        <v>143</v>
      </c>
      <c r="D3127" s="80" t="s">
        <v>133</v>
      </c>
      <c r="E3127" s="80" t="s">
        <v>153</v>
      </c>
      <c r="F3127" s="170">
        <v>30</v>
      </c>
    </row>
    <row r="3128" spans="1:6" hidden="1" x14ac:dyDescent="0.25">
      <c r="A3128" s="169">
        <v>43517</v>
      </c>
      <c r="B3128" s="80" t="s">
        <v>645</v>
      </c>
      <c r="C3128" s="80" t="s">
        <v>138</v>
      </c>
      <c r="D3128" s="80" t="s">
        <v>133</v>
      </c>
      <c r="E3128" s="80" t="s">
        <v>121</v>
      </c>
      <c r="F3128" s="170">
        <v>30</v>
      </c>
    </row>
    <row r="3129" spans="1:6" hidden="1" x14ac:dyDescent="0.25">
      <c r="A3129" s="169">
        <v>43518</v>
      </c>
      <c r="B3129" s="80" t="s">
        <v>649</v>
      </c>
      <c r="C3129" s="80" t="s">
        <v>152</v>
      </c>
      <c r="D3129" s="80" t="s">
        <v>133</v>
      </c>
      <c r="E3129" s="80" t="s">
        <v>153</v>
      </c>
      <c r="F3129" s="170">
        <v>30</v>
      </c>
    </row>
    <row r="3130" spans="1:6" hidden="1" x14ac:dyDescent="0.25">
      <c r="A3130" s="169">
        <v>43518</v>
      </c>
      <c r="B3130" s="80" t="s">
        <v>653</v>
      </c>
      <c r="C3130" s="80" t="s">
        <v>187</v>
      </c>
      <c r="D3130" s="80" t="s">
        <v>133</v>
      </c>
      <c r="E3130" s="80" t="s">
        <v>134</v>
      </c>
      <c r="F3130" s="170">
        <v>30</v>
      </c>
    </row>
    <row r="3131" spans="1:6" hidden="1" x14ac:dyDescent="0.25">
      <c r="A3131" s="169">
        <v>43519</v>
      </c>
      <c r="B3131" s="80" t="s">
        <v>655</v>
      </c>
      <c r="C3131" s="80" t="s">
        <v>125</v>
      </c>
      <c r="D3131" s="80" t="s">
        <v>133</v>
      </c>
      <c r="E3131" s="80" t="s">
        <v>121</v>
      </c>
      <c r="F3131" s="170">
        <v>30</v>
      </c>
    </row>
    <row r="3132" spans="1:6" hidden="1" x14ac:dyDescent="0.25">
      <c r="A3132" s="169">
        <v>43520</v>
      </c>
      <c r="B3132" s="80" t="s">
        <v>666</v>
      </c>
      <c r="C3132" s="80" t="s">
        <v>143</v>
      </c>
      <c r="D3132" s="80" t="s">
        <v>133</v>
      </c>
      <c r="E3132" s="80" t="s">
        <v>153</v>
      </c>
      <c r="F3132" s="170">
        <v>30</v>
      </c>
    </row>
    <row r="3133" spans="1:6" hidden="1" x14ac:dyDescent="0.25">
      <c r="A3133" s="169">
        <v>43520</v>
      </c>
      <c r="B3133" s="80" t="s">
        <v>668</v>
      </c>
      <c r="C3133" s="80" t="s">
        <v>157</v>
      </c>
      <c r="D3133" s="80" t="s">
        <v>133</v>
      </c>
      <c r="E3133" s="80" t="s">
        <v>134</v>
      </c>
      <c r="F3133" s="170">
        <v>30</v>
      </c>
    </row>
    <row r="3134" spans="1:6" hidden="1" x14ac:dyDescent="0.25">
      <c r="A3134" s="169">
        <v>43520</v>
      </c>
      <c r="B3134" s="80" t="s">
        <v>673</v>
      </c>
      <c r="C3134" s="80" t="s">
        <v>148</v>
      </c>
      <c r="D3134" s="80" t="s">
        <v>133</v>
      </c>
      <c r="E3134" s="80" t="s">
        <v>134</v>
      </c>
      <c r="F3134" s="170">
        <v>30</v>
      </c>
    </row>
    <row r="3135" spans="1:6" hidden="1" x14ac:dyDescent="0.25">
      <c r="A3135" s="169">
        <v>43520</v>
      </c>
      <c r="B3135" s="80" t="s">
        <v>675</v>
      </c>
      <c r="C3135" s="80" t="s">
        <v>189</v>
      </c>
      <c r="D3135" s="80" t="s">
        <v>133</v>
      </c>
      <c r="E3135" s="80" t="s">
        <v>127</v>
      </c>
      <c r="F3135" s="170">
        <v>30</v>
      </c>
    </row>
    <row r="3136" spans="1:6" hidden="1" x14ac:dyDescent="0.25">
      <c r="A3136" s="169">
        <v>43520</v>
      </c>
      <c r="B3136" s="80" t="s">
        <v>676</v>
      </c>
      <c r="C3136" s="80" t="s">
        <v>167</v>
      </c>
      <c r="D3136" s="80" t="s">
        <v>133</v>
      </c>
      <c r="E3136" s="80" t="s">
        <v>153</v>
      </c>
      <c r="F3136" s="170">
        <v>30</v>
      </c>
    </row>
    <row r="3137" spans="1:6" hidden="1" x14ac:dyDescent="0.25">
      <c r="A3137" s="169">
        <v>43521</v>
      </c>
      <c r="B3137" s="80" t="s">
        <v>679</v>
      </c>
      <c r="C3137" s="80" t="s">
        <v>119</v>
      </c>
      <c r="D3137" s="80" t="s">
        <v>133</v>
      </c>
      <c r="E3137" s="80" t="s">
        <v>134</v>
      </c>
      <c r="F3137" s="170">
        <v>30</v>
      </c>
    </row>
    <row r="3138" spans="1:6" hidden="1" x14ac:dyDescent="0.25">
      <c r="A3138" s="169">
        <v>43521</v>
      </c>
      <c r="B3138" s="80" t="s">
        <v>684</v>
      </c>
      <c r="C3138" s="80" t="s">
        <v>143</v>
      </c>
      <c r="D3138" s="80" t="s">
        <v>133</v>
      </c>
      <c r="E3138" s="80" t="s">
        <v>153</v>
      </c>
      <c r="F3138" s="170">
        <v>30</v>
      </c>
    </row>
    <row r="3139" spans="1:6" hidden="1" x14ac:dyDescent="0.25">
      <c r="A3139" s="169">
        <v>43522</v>
      </c>
      <c r="B3139" s="80" t="s">
        <v>692</v>
      </c>
      <c r="C3139" s="80" t="s">
        <v>125</v>
      </c>
      <c r="D3139" s="80" t="s">
        <v>133</v>
      </c>
      <c r="E3139" s="80" t="s">
        <v>131</v>
      </c>
      <c r="F3139" s="170">
        <v>30</v>
      </c>
    </row>
    <row r="3140" spans="1:6" hidden="1" x14ac:dyDescent="0.25">
      <c r="A3140" s="169">
        <v>43522</v>
      </c>
      <c r="B3140" s="80" t="s">
        <v>693</v>
      </c>
      <c r="C3140" s="80" t="s">
        <v>167</v>
      </c>
      <c r="D3140" s="80" t="s">
        <v>133</v>
      </c>
      <c r="E3140" s="80" t="s">
        <v>153</v>
      </c>
      <c r="F3140" s="170">
        <v>30</v>
      </c>
    </row>
    <row r="3141" spans="1:6" hidden="1" x14ac:dyDescent="0.25">
      <c r="A3141" s="169">
        <v>43523</v>
      </c>
      <c r="B3141" s="80" t="s">
        <v>700</v>
      </c>
      <c r="C3141" s="80" t="s">
        <v>129</v>
      </c>
      <c r="D3141" s="80" t="s">
        <v>133</v>
      </c>
      <c r="E3141" s="80" t="s">
        <v>127</v>
      </c>
      <c r="F3141" s="170">
        <v>30</v>
      </c>
    </row>
    <row r="3142" spans="1:6" hidden="1" x14ac:dyDescent="0.25">
      <c r="A3142" s="169">
        <v>43527</v>
      </c>
      <c r="B3142" s="80" t="s">
        <v>733</v>
      </c>
      <c r="C3142" s="80" t="s">
        <v>136</v>
      </c>
      <c r="D3142" s="80" t="s">
        <v>133</v>
      </c>
      <c r="E3142" s="80" t="s">
        <v>121</v>
      </c>
      <c r="F3142" s="170">
        <v>30</v>
      </c>
    </row>
    <row r="3143" spans="1:6" hidden="1" x14ac:dyDescent="0.25">
      <c r="A3143" s="169">
        <v>43530</v>
      </c>
      <c r="B3143" s="80" t="s">
        <v>762</v>
      </c>
      <c r="C3143" s="80" t="s">
        <v>119</v>
      </c>
      <c r="D3143" s="80" t="s">
        <v>133</v>
      </c>
      <c r="E3143" s="80" t="s">
        <v>131</v>
      </c>
      <c r="F3143" s="170">
        <v>30</v>
      </c>
    </row>
    <row r="3144" spans="1:6" hidden="1" x14ac:dyDescent="0.25">
      <c r="A3144" s="169">
        <v>43531</v>
      </c>
      <c r="B3144" s="80" t="s">
        <v>767</v>
      </c>
      <c r="C3144" s="80" t="s">
        <v>164</v>
      </c>
      <c r="D3144" s="80" t="s">
        <v>133</v>
      </c>
      <c r="E3144" s="80" t="s">
        <v>121</v>
      </c>
      <c r="F3144" s="170">
        <v>30</v>
      </c>
    </row>
    <row r="3145" spans="1:6" hidden="1" x14ac:dyDescent="0.25">
      <c r="A3145" s="169">
        <v>43531</v>
      </c>
      <c r="B3145" s="80" t="s">
        <v>773</v>
      </c>
      <c r="C3145" s="80" t="s">
        <v>164</v>
      </c>
      <c r="D3145" s="80" t="s">
        <v>133</v>
      </c>
      <c r="E3145" s="80" t="s">
        <v>131</v>
      </c>
      <c r="F3145" s="170">
        <v>30</v>
      </c>
    </row>
    <row r="3146" spans="1:6" hidden="1" x14ac:dyDescent="0.25">
      <c r="A3146" s="169">
        <v>43531</v>
      </c>
      <c r="B3146" s="80" t="s">
        <v>774</v>
      </c>
      <c r="C3146" s="80" t="s">
        <v>223</v>
      </c>
      <c r="D3146" s="80" t="s">
        <v>133</v>
      </c>
      <c r="E3146" s="80" t="s">
        <v>121</v>
      </c>
      <c r="F3146" s="170">
        <v>30</v>
      </c>
    </row>
    <row r="3147" spans="1:6" hidden="1" x14ac:dyDescent="0.25">
      <c r="A3147" s="169">
        <v>43533</v>
      </c>
      <c r="B3147" s="80" t="s">
        <v>791</v>
      </c>
      <c r="C3147" s="80" t="s">
        <v>187</v>
      </c>
      <c r="D3147" s="80" t="s">
        <v>133</v>
      </c>
      <c r="E3147" s="80" t="s">
        <v>131</v>
      </c>
      <c r="F3147" s="170">
        <v>30</v>
      </c>
    </row>
    <row r="3148" spans="1:6" hidden="1" x14ac:dyDescent="0.25">
      <c r="A3148" s="169">
        <v>43534</v>
      </c>
      <c r="B3148" s="80" t="s">
        <v>800</v>
      </c>
      <c r="C3148" s="80" t="s">
        <v>119</v>
      </c>
      <c r="D3148" s="80" t="s">
        <v>133</v>
      </c>
      <c r="E3148" s="80" t="s">
        <v>131</v>
      </c>
      <c r="F3148" s="170">
        <v>30</v>
      </c>
    </row>
    <row r="3149" spans="1:6" hidden="1" x14ac:dyDescent="0.25">
      <c r="A3149" s="169">
        <v>43535</v>
      </c>
      <c r="B3149" s="80" t="s">
        <v>803</v>
      </c>
      <c r="C3149" s="80" t="s">
        <v>138</v>
      </c>
      <c r="D3149" s="80" t="s">
        <v>133</v>
      </c>
      <c r="E3149" s="80" t="s">
        <v>121</v>
      </c>
      <c r="F3149" s="170">
        <v>30</v>
      </c>
    </row>
    <row r="3150" spans="1:6" hidden="1" x14ac:dyDescent="0.25">
      <c r="A3150" s="169">
        <v>43535</v>
      </c>
      <c r="B3150" s="80" t="s">
        <v>806</v>
      </c>
      <c r="C3150" s="80" t="s">
        <v>123</v>
      </c>
      <c r="D3150" s="80" t="s">
        <v>133</v>
      </c>
      <c r="E3150" s="80" t="s">
        <v>153</v>
      </c>
      <c r="F3150" s="170">
        <v>30</v>
      </c>
    </row>
    <row r="3151" spans="1:6" hidden="1" x14ac:dyDescent="0.25">
      <c r="A3151" s="169">
        <v>43535</v>
      </c>
      <c r="B3151" s="80" t="s">
        <v>809</v>
      </c>
      <c r="C3151" s="80" t="s">
        <v>143</v>
      </c>
      <c r="D3151" s="80" t="s">
        <v>133</v>
      </c>
      <c r="E3151" s="80" t="s">
        <v>134</v>
      </c>
      <c r="F3151" s="170">
        <v>30</v>
      </c>
    </row>
    <row r="3152" spans="1:6" hidden="1" x14ac:dyDescent="0.25">
      <c r="A3152" s="169">
        <v>43536</v>
      </c>
      <c r="B3152" s="80" t="s">
        <v>819</v>
      </c>
      <c r="C3152" s="80" t="s">
        <v>143</v>
      </c>
      <c r="D3152" s="80" t="s">
        <v>133</v>
      </c>
      <c r="E3152" s="80" t="s">
        <v>134</v>
      </c>
      <c r="F3152" s="170">
        <v>30</v>
      </c>
    </row>
    <row r="3153" spans="1:6" hidden="1" x14ac:dyDescent="0.25">
      <c r="A3153" s="169">
        <v>43536</v>
      </c>
      <c r="B3153" s="80" t="s">
        <v>820</v>
      </c>
      <c r="C3153" s="80" t="s">
        <v>164</v>
      </c>
      <c r="D3153" s="80" t="s">
        <v>133</v>
      </c>
      <c r="E3153" s="80" t="s">
        <v>127</v>
      </c>
      <c r="F3153" s="170">
        <v>30</v>
      </c>
    </row>
    <row r="3154" spans="1:6" hidden="1" x14ac:dyDescent="0.25">
      <c r="A3154" s="169">
        <v>43537</v>
      </c>
      <c r="B3154" s="80" t="s">
        <v>827</v>
      </c>
      <c r="C3154" s="80" t="s">
        <v>119</v>
      </c>
      <c r="D3154" s="80" t="s">
        <v>133</v>
      </c>
      <c r="E3154" s="80" t="s">
        <v>127</v>
      </c>
      <c r="F3154" s="170">
        <v>30</v>
      </c>
    </row>
    <row r="3155" spans="1:6" hidden="1" x14ac:dyDescent="0.25">
      <c r="A3155" s="169">
        <v>43537</v>
      </c>
      <c r="B3155" s="80" t="s">
        <v>834</v>
      </c>
      <c r="C3155" s="80" t="s">
        <v>148</v>
      </c>
      <c r="D3155" s="80" t="s">
        <v>133</v>
      </c>
      <c r="E3155" s="80" t="s">
        <v>127</v>
      </c>
      <c r="F3155" s="170">
        <v>30</v>
      </c>
    </row>
    <row r="3156" spans="1:6" hidden="1" x14ac:dyDescent="0.25">
      <c r="A3156" s="169">
        <v>43539</v>
      </c>
      <c r="B3156" s="80" t="s">
        <v>840</v>
      </c>
      <c r="C3156" s="80" t="s">
        <v>148</v>
      </c>
      <c r="D3156" s="80" t="s">
        <v>133</v>
      </c>
      <c r="E3156" s="80" t="s">
        <v>131</v>
      </c>
      <c r="F3156" s="170">
        <v>30</v>
      </c>
    </row>
    <row r="3157" spans="1:6" hidden="1" x14ac:dyDescent="0.25">
      <c r="A3157" s="169">
        <v>43540</v>
      </c>
      <c r="B3157" s="80" t="s">
        <v>867</v>
      </c>
      <c r="C3157" s="80" t="s">
        <v>148</v>
      </c>
      <c r="D3157" s="80" t="s">
        <v>133</v>
      </c>
      <c r="E3157" s="80" t="s">
        <v>121</v>
      </c>
      <c r="F3157" s="170">
        <v>30</v>
      </c>
    </row>
    <row r="3158" spans="1:6" hidden="1" x14ac:dyDescent="0.25">
      <c r="A3158" s="169">
        <v>43541</v>
      </c>
      <c r="B3158" s="80" t="s">
        <v>871</v>
      </c>
      <c r="C3158" s="80" t="s">
        <v>119</v>
      </c>
      <c r="D3158" s="80" t="s">
        <v>133</v>
      </c>
      <c r="E3158" s="80" t="s">
        <v>121</v>
      </c>
      <c r="F3158" s="170">
        <v>30</v>
      </c>
    </row>
    <row r="3159" spans="1:6" hidden="1" x14ac:dyDescent="0.25">
      <c r="A3159" s="169">
        <v>43545</v>
      </c>
      <c r="B3159" s="80" t="s">
        <v>896</v>
      </c>
      <c r="C3159" s="80" t="s">
        <v>119</v>
      </c>
      <c r="D3159" s="80" t="s">
        <v>133</v>
      </c>
      <c r="E3159" s="80" t="s">
        <v>121</v>
      </c>
      <c r="F3159" s="170">
        <v>30</v>
      </c>
    </row>
    <row r="3160" spans="1:6" hidden="1" x14ac:dyDescent="0.25">
      <c r="A3160" s="169">
        <v>43545</v>
      </c>
      <c r="B3160" s="80" t="s">
        <v>900</v>
      </c>
      <c r="C3160" s="80" t="s">
        <v>125</v>
      </c>
      <c r="D3160" s="80" t="s">
        <v>133</v>
      </c>
      <c r="E3160" s="80" t="s">
        <v>153</v>
      </c>
      <c r="F3160" s="170">
        <v>30</v>
      </c>
    </row>
    <row r="3161" spans="1:6" hidden="1" x14ac:dyDescent="0.25">
      <c r="A3161" s="169">
        <v>43545</v>
      </c>
      <c r="B3161" s="80" t="s">
        <v>903</v>
      </c>
      <c r="C3161" s="80" t="s">
        <v>125</v>
      </c>
      <c r="D3161" s="80" t="s">
        <v>133</v>
      </c>
      <c r="E3161" s="80" t="s">
        <v>121</v>
      </c>
      <c r="F3161" s="170">
        <v>30</v>
      </c>
    </row>
    <row r="3162" spans="1:6" hidden="1" x14ac:dyDescent="0.25">
      <c r="A3162" s="169">
        <v>43546</v>
      </c>
      <c r="B3162" s="80" t="s">
        <v>909</v>
      </c>
      <c r="C3162" s="80" t="s">
        <v>223</v>
      </c>
      <c r="D3162" s="80" t="s">
        <v>133</v>
      </c>
      <c r="E3162" s="80" t="s">
        <v>153</v>
      </c>
      <c r="F3162" s="170">
        <v>30</v>
      </c>
    </row>
    <row r="3163" spans="1:6" hidden="1" x14ac:dyDescent="0.25">
      <c r="A3163" s="169">
        <v>43546</v>
      </c>
      <c r="B3163" s="80" t="s">
        <v>913</v>
      </c>
      <c r="C3163" s="80" t="s">
        <v>143</v>
      </c>
      <c r="D3163" s="80" t="s">
        <v>133</v>
      </c>
      <c r="E3163" s="80" t="s">
        <v>121</v>
      </c>
      <c r="F3163" s="170">
        <v>30</v>
      </c>
    </row>
    <row r="3164" spans="1:6" hidden="1" x14ac:dyDescent="0.25">
      <c r="A3164" s="169">
        <v>43547</v>
      </c>
      <c r="B3164" s="80" t="s">
        <v>917</v>
      </c>
      <c r="C3164" s="80" t="s">
        <v>125</v>
      </c>
      <c r="D3164" s="80" t="s">
        <v>133</v>
      </c>
      <c r="E3164" s="80" t="s">
        <v>127</v>
      </c>
      <c r="F3164" s="170">
        <v>30</v>
      </c>
    </row>
    <row r="3165" spans="1:6" hidden="1" x14ac:dyDescent="0.25">
      <c r="A3165" s="169">
        <v>43547</v>
      </c>
      <c r="B3165" s="80" t="s">
        <v>926</v>
      </c>
      <c r="C3165" s="80" t="s">
        <v>152</v>
      </c>
      <c r="D3165" s="80" t="s">
        <v>133</v>
      </c>
      <c r="E3165" s="80" t="s">
        <v>127</v>
      </c>
      <c r="F3165" s="170">
        <v>30</v>
      </c>
    </row>
    <row r="3166" spans="1:6" hidden="1" x14ac:dyDescent="0.25">
      <c r="A3166" s="169">
        <v>43548</v>
      </c>
      <c r="B3166" s="80" t="s">
        <v>932</v>
      </c>
      <c r="C3166" s="80" t="s">
        <v>125</v>
      </c>
      <c r="D3166" s="80" t="s">
        <v>133</v>
      </c>
      <c r="E3166" s="80" t="s">
        <v>131</v>
      </c>
      <c r="F3166" s="170">
        <v>30</v>
      </c>
    </row>
    <row r="3167" spans="1:6" hidden="1" x14ac:dyDescent="0.25">
      <c r="A3167" s="169">
        <v>43548</v>
      </c>
      <c r="B3167" s="80" t="s">
        <v>938</v>
      </c>
      <c r="C3167" s="80" t="s">
        <v>148</v>
      </c>
      <c r="D3167" s="80" t="s">
        <v>133</v>
      </c>
      <c r="E3167" s="80" t="s">
        <v>153</v>
      </c>
      <c r="F3167" s="170">
        <v>30</v>
      </c>
    </row>
    <row r="3168" spans="1:6" hidden="1" x14ac:dyDescent="0.25">
      <c r="A3168" s="169">
        <v>43549</v>
      </c>
      <c r="B3168" s="80" t="s">
        <v>940</v>
      </c>
      <c r="C3168" s="80" t="s">
        <v>157</v>
      </c>
      <c r="D3168" s="80" t="s">
        <v>133</v>
      </c>
      <c r="E3168" s="80" t="s">
        <v>131</v>
      </c>
      <c r="F3168" s="170">
        <v>30</v>
      </c>
    </row>
    <row r="3169" spans="1:6" hidden="1" x14ac:dyDescent="0.25">
      <c r="A3169" s="169">
        <v>43549</v>
      </c>
      <c r="B3169" s="80" t="s">
        <v>944</v>
      </c>
      <c r="C3169" s="80" t="s">
        <v>136</v>
      </c>
      <c r="D3169" s="80" t="s">
        <v>133</v>
      </c>
      <c r="E3169" s="80" t="s">
        <v>134</v>
      </c>
      <c r="F3169" s="170">
        <v>30</v>
      </c>
    </row>
    <row r="3170" spans="1:6" hidden="1" x14ac:dyDescent="0.25">
      <c r="A3170" s="169">
        <v>43550</v>
      </c>
      <c r="B3170" s="80" t="s">
        <v>949</v>
      </c>
      <c r="C3170" s="80" t="s">
        <v>157</v>
      </c>
      <c r="D3170" s="80" t="s">
        <v>133</v>
      </c>
      <c r="E3170" s="80" t="s">
        <v>153</v>
      </c>
      <c r="F3170" s="170">
        <v>30</v>
      </c>
    </row>
    <row r="3171" spans="1:6" hidden="1" x14ac:dyDescent="0.25">
      <c r="A3171" s="169">
        <v>43551</v>
      </c>
      <c r="B3171" s="80" t="s">
        <v>956</v>
      </c>
      <c r="C3171" s="80" t="s">
        <v>164</v>
      </c>
      <c r="D3171" s="80" t="s">
        <v>133</v>
      </c>
      <c r="E3171" s="80" t="s">
        <v>127</v>
      </c>
      <c r="F3171" s="170">
        <v>30</v>
      </c>
    </row>
    <row r="3172" spans="1:6" hidden="1" x14ac:dyDescent="0.25">
      <c r="A3172" s="169">
        <v>43551</v>
      </c>
      <c r="B3172" s="80" t="s">
        <v>959</v>
      </c>
      <c r="C3172" s="80" t="s">
        <v>189</v>
      </c>
      <c r="D3172" s="80" t="s">
        <v>133</v>
      </c>
      <c r="E3172" s="80" t="s">
        <v>121</v>
      </c>
      <c r="F3172" s="170">
        <v>30</v>
      </c>
    </row>
    <row r="3173" spans="1:6" hidden="1" x14ac:dyDescent="0.25">
      <c r="A3173" s="169">
        <v>43551</v>
      </c>
      <c r="B3173" s="80" t="s">
        <v>961</v>
      </c>
      <c r="C3173" s="80" t="s">
        <v>164</v>
      </c>
      <c r="D3173" s="80" t="s">
        <v>133</v>
      </c>
      <c r="E3173" s="80" t="s">
        <v>127</v>
      </c>
      <c r="F3173" s="170">
        <v>30</v>
      </c>
    </row>
    <row r="3174" spans="1:6" hidden="1" x14ac:dyDescent="0.25">
      <c r="A3174" s="169">
        <v>43551</v>
      </c>
      <c r="B3174" s="80" t="s">
        <v>962</v>
      </c>
      <c r="C3174" s="80" t="s">
        <v>152</v>
      </c>
      <c r="D3174" s="80" t="s">
        <v>133</v>
      </c>
      <c r="E3174" s="80" t="s">
        <v>131</v>
      </c>
      <c r="F3174" s="170">
        <v>30</v>
      </c>
    </row>
    <row r="3175" spans="1:6" hidden="1" x14ac:dyDescent="0.25">
      <c r="A3175" s="169">
        <v>43553</v>
      </c>
      <c r="B3175" s="80" t="s">
        <v>979</v>
      </c>
      <c r="C3175" s="80" t="s">
        <v>189</v>
      </c>
      <c r="D3175" s="80" t="s">
        <v>133</v>
      </c>
      <c r="E3175" s="80" t="s">
        <v>131</v>
      </c>
      <c r="F3175" s="170">
        <v>30</v>
      </c>
    </row>
    <row r="3176" spans="1:6" hidden="1" x14ac:dyDescent="0.25">
      <c r="A3176" s="169">
        <v>43554</v>
      </c>
      <c r="B3176" s="80" t="s">
        <v>982</v>
      </c>
      <c r="C3176" s="80" t="s">
        <v>187</v>
      </c>
      <c r="D3176" s="80" t="s">
        <v>133</v>
      </c>
      <c r="E3176" s="80" t="s">
        <v>131</v>
      </c>
      <c r="F3176" s="170">
        <v>30</v>
      </c>
    </row>
    <row r="3177" spans="1:6" hidden="1" x14ac:dyDescent="0.25">
      <c r="A3177" s="169">
        <v>43554</v>
      </c>
      <c r="B3177" s="80" t="s">
        <v>987</v>
      </c>
      <c r="C3177" s="80" t="s">
        <v>189</v>
      </c>
      <c r="D3177" s="80" t="s">
        <v>133</v>
      </c>
      <c r="E3177" s="80" t="s">
        <v>131</v>
      </c>
      <c r="F3177" s="170">
        <v>30</v>
      </c>
    </row>
    <row r="3178" spans="1:6" hidden="1" x14ac:dyDescent="0.25">
      <c r="A3178" s="169">
        <v>43554</v>
      </c>
      <c r="B3178" s="80" t="s">
        <v>989</v>
      </c>
      <c r="C3178" s="80" t="s">
        <v>152</v>
      </c>
      <c r="D3178" s="80" t="s">
        <v>133</v>
      </c>
      <c r="E3178" s="80" t="s">
        <v>131</v>
      </c>
      <c r="F3178" s="170">
        <v>30</v>
      </c>
    </row>
    <row r="3179" spans="1:6" hidden="1" x14ac:dyDescent="0.25">
      <c r="A3179" s="169">
        <v>43554</v>
      </c>
      <c r="B3179" s="80" t="s">
        <v>995</v>
      </c>
      <c r="C3179" s="80" t="s">
        <v>182</v>
      </c>
      <c r="D3179" s="80" t="s">
        <v>133</v>
      </c>
      <c r="E3179" s="80" t="s">
        <v>121</v>
      </c>
      <c r="F3179" s="170">
        <v>30</v>
      </c>
    </row>
    <row r="3180" spans="1:6" hidden="1" x14ac:dyDescent="0.25">
      <c r="A3180" s="169">
        <v>43555</v>
      </c>
      <c r="B3180" s="80" t="s">
        <v>997</v>
      </c>
      <c r="C3180" s="80" t="s">
        <v>164</v>
      </c>
      <c r="D3180" s="80" t="s">
        <v>133</v>
      </c>
      <c r="E3180" s="80" t="s">
        <v>134</v>
      </c>
      <c r="F3180" s="170">
        <v>30</v>
      </c>
    </row>
    <row r="3181" spans="1:6" hidden="1" x14ac:dyDescent="0.25">
      <c r="A3181" s="169">
        <v>43555</v>
      </c>
      <c r="B3181" s="80" t="s">
        <v>1001</v>
      </c>
      <c r="C3181" s="80" t="s">
        <v>152</v>
      </c>
      <c r="D3181" s="80" t="s">
        <v>133</v>
      </c>
      <c r="E3181" s="80" t="s">
        <v>131</v>
      </c>
      <c r="F3181" s="170">
        <v>30</v>
      </c>
    </row>
    <row r="3182" spans="1:6" hidden="1" x14ac:dyDescent="0.25">
      <c r="A3182" s="169">
        <v>43555</v>
      </c>
      <c r="B3182" s="80" t="s">
        <v>1002</v>
      </c>
      <c r="C3182" s="80" t="s">
        <v>189</v>
      </c>
      <c r="D3182" s="80" t="s">
        <v>133</v>
      </c>
      <c r="E3182" s="80" t="s">
        <v>131</v>
      </c>
      <c r="F3182" s="170">
        <v>30</v>
      </c>
    </row>
    <row r="3183" spans="1:6" hidden="1" x14ac:dyDescent="0.25">
      <c r="A3183" s="169">
        <v>43556</v>
      </c>
      <c r="B3183" s="80" t="s">
        <v>1009</v>
      </c>
      <c r="C3183" s="80" t="s">
        <v>125</v>
      </c>
      <c r="D3183" s="80" t="s">
        <v>133</v>
      </c>
      <c r="E3183" s="80" t="s">
        <v>121</v>
      </c>
      <c r="F3183" s="170">
        <v>30</v>
      </c>
    </row>
    <row r="3184" spans="1:6" hidden="1" x14ac:dyDescent="0.25">
      <c r="A3184" s="169">
        <v>43557</v>
      </c>
      <c r="B3184" s="80" t="s">
        <v>1014</v>
      </c>
      <c r="C3184" s="80" t="s">
        <v>138</v>
      </c>
      <c r="D3184" s="80" t="s">
        <v>133</v>
      </c>
      <c r="E3184" s="80" t="s">
        <v>131</v>
      </c>
      <c r="F3184" s="170">
        <v>30</v>
      </c>
    </row>
    <row r="3185" spans="1:6" hidden="1" x14ac:dyDescent="0.25">
      <c r="A3185" s="169">
        <v>43559</v>
      </c>
      <c r="B3185" s="80" t="s">
        <v>1035</v>
      </c>
      <c r="C3185" s="80" t="s">
        <v>187</v>
      </c>
      <c r="D3185" s="80" t="s">
        <v>133</v>
      </c>
      <c r="E3185" s="80" t="s">
        <v>127</v>
      </c>
      <c r="F3185" s="170">
        <v>30</v>
      </c>
    </row>
    <row r="3186" spans="1:6" hidden="1" x14ac:dyDescent="0.25">
      <c r="A3186" s="169">
        <v>43559</v>
      </c>
      <c r="B3186" s="80" t="s">
        <v>1041</v>
      </c>
      <c r="C3186" s="80" t="s">
        <v>152</v>
      </c>
      <c r="D3186" s="80" t="s">
        <v>133</v>
      </c>
      <c r="E3186" s="80" t="s">
        <v>153</v>
      </c>
      <c r="F3186" s="170">
        <v>30</v>
      </c>
    </row>
    <row r="3187" spans="1:6" hidden="1" x14ac:dyDescent="0.25">
      <c r="A3187" s="169">
        <v>43560</v>
      </c>
      <c r="B3187" s="80" t="s">
        <v>1050</v>
      </c>
      <c r="C3187" s="80" t="s">
        <v>167</v>
      </c>
      <c r="D3187" s="80" t="s">
        <v>133</v>
      </c>
      <c r="E3187" s="80" t="s">
        <v>131</v>
      </c>
      <c r="F3187" s="170">
        <v>30</v>
      </c>
    </row>
    <row r="3188" spans="1:6" hidden="1" x14ac:dyDescent="0.25">
      <c r="A3188" s="169">
        <v>43561</v>
      </c>
      <c r="B3188" s="80" t="s">
        <v>1055</v>
      </c>
      <c r="C3188" s="80" t="s">
        <v>152</v>
      </c>
      <c r="D3188" s="80" t="s">
        <v>133</v>
      </c>
      <c r="E3188" s="80" t="s">
        <v>121</v>
      </c>
      <c r="F3188" s="170">
        <v>30</v>
      </c>
    </row>
    <row r="3189" spans="1:6" hidden="1" x14ac:dyDescent="0.25">
      <c r="A3189" s="169">
        <v>43561</v>
      </c>
      <c r="B3189" s="80" t="s">
        <v>1058</v>
      </c>
      <c r="C3189" s="80" t="s">
        <v>129</v>
      </c>
      <c r="D3189" s="80" t="s">
        <v>133</v>
      </c>
      <c r="E3189" s="80" t="s">
        <v>134</v>
      </c>
      <c r="F3189" s="170">
        <v>30</v>
      </c>
    </row>
    <row r="3190" spans="1:6" hidden="1" x14ac:dyDescent="0.25">
      <c r="A3190" s="169">
        <v>43563</v>
      </c>
      <c r="B3190" s="80" t="s">
        <v>1076</v>
      </c>
      <c r="C3190" s="80" t="s">
        <v>152</v>
      </c>
      <c r="D3190" s="80" t="s">
        <v>133</v>
      </c>
      <c r="E3190" s="80" t="s">
        <v>121</v>
      </c>
      <c r="F3190" s="170">
        <v>30</v>
      </c>
    </row>
    <row r="3191" spans="1:6" hidden="1" x14ac:dyDescent="0.25">
      <c r="A3191" s="169">
        <v>43564</v>
      </c>
      <c r="B3191" s="80" t="s">
        <v>1085</v>
      </c>
      <c r="C3191" s="80" t="s">
        <v>157</v>
      </c>
      <c r="D3191" s="80" t="s">
        <v>133</v>
      </c>
      <c r="E3191" s="80" t="s">
        <v>134</v>
      </c>
      <c r="F3191" s="170">
        <v>30</v>
      </c>
    </row>
    <row r="3192" spans="1:6" hidden="1" x14ac:dyDescent="0.25">
      <c r="A3192" s="169">
        <v>43565</v>
      </c>
      <c r="B3192" s="80" t="s">
        <v>1089</v>
      </c>
      <c r="C3192" s="80" t="s">
        <v>125</v>
      </c>
      <c r="D3192" s="80" t="s">
        <v>133</v>
      </c>
      <c r="E3192" s="80" t="s">
        <v>131</v>
      </c>
      <c r="F3192" s="170">
        <v>30</v>
      </c>
    </row>
    <row r="3193" spans="1:6" hidden="1" x14ac:dyDescent="0.25">
      <c r="A3193" s="169">
        <v>43565</v>
      </c>
      <c r="B3193" s="80" t="s">
        <v>1093</v>
      </c>
      <c r="C3193" s="80" t="s">
        <v>152</v>
      </c>
      <c r="D3193" s="80" t="s">
        <v>133</v>
      </c>
      <c r="E3193" s="80" t="s">
        <v>134</v>
      </c>
      <c r="F3193" s="170">
        <v>30</v>
      </c>
    </row>
    <row r="3194" spans="1:6" hidden="1" x14ac:dyDescent="0.25">
      <c r="A3194" s="169">
        <v>43565</v>
      </c>
      <c r="B3194" s="80" t="s">
        <v>1094</v>
      </c>
      <c r="C3194" s="80" t="s">
        <v>125</v>
      </c>
      <c r="D3194" s="80" t="s">
        <v>133</v>
      </c>
      <c r="E3194" s="80" t="s">
        <v>121</v>
      </c>
      <c r="F3194" s="170">
        <v>30</v>
      </c>
    </row>
    <row r="3195" spans="1:6" hidden="1" x14ac:dyDescent="0.25">
      <c r="A3195" s="169">
        <v>43568</v>
      </c>
      <c r="B3195" s="80" t="s">
        <v>1109</v>
      </c>
      <c r="C3195" s="80" t="s">
        <v>187</v>
      </c>
      <c r="D3195" s="80" t="s">
        <v>133</v>
      </c>
      <c r="E3195" s="80" t="s">
        <v>134</v>
      </c>
      <c r="F3195" s="170">
        <v>30</v>
      </c>
    </row>
    <row r="3196" spans="1:6" hidden="1" x14ac:dyDescent="0.25">
      <c r="A3196" s="169">
        <v>43569</v>
      </c>
      <c r="B3196" s="80" t="s">
        <v>1126</v>
      </c>
      <c r="C3196" s="80" t="s">
        <v>164</v>
      </c>
      <c r="D3196" s="80" t="s">
        <v>133</v>
      </c>
      <c r="E3196" s="80" t="s">
        <v>153</v>
      </c>
      <c r="F3196" s="170">
        <v>30</v>
      </c>
    </row>
    <row r="3197" spans="1:6" hidden="1" x14ac:dyDescent="0.25">
      <c r="A3197" s="169">
        <v>43569</v>
      </c>
      <c r="B3197" s="80" t="s">
        <v>1127</v>
      </c>
      <c r="C3197" s="80" t="s">
        <v>138</v>
      </c>
      <c r="D3197" s="80" t="s">
        <v>133</v>
      </c>
      <c r="E3197" s="80" t="s">
        <v>127</v>
      </c>
      <c r="F3197" s="170">
        <v>30</v>
      </c>
    </row>
    <row r="3198" spans="1:6" hidden="1" x14ac:dyDescent="0.25">
      <c r="A3198" s="169">
        <v>43569</v>
      </c>
      <c r="B3198" s="80" t="s">
        <v>1129</v>
      </c>
      <c r="C3198" s="80" t="s">
        <v>182</v>
      </c>
      <c r="D3198" s="80" t="s">
        <v>133</v>
      </c>
      <c r="E3198" s="80" t="s">
        <v>121</v>
      </c>
      <c r="F3198" s="170">
        <v>30</v>
      </c>
    </row>
    <row r="3199" spans="1:6" hidden="1" x14ac:dyDescent="0.25">
      <c r="A3199" s="169">
        <v>43571</v>
      </c>
      <c r="B3199" s="80" t="s">
        <v>1147</v>
      </c>
      <c r="C3199" s="80" t="s">
        <v>182</v>
      </c>
      <c r="D3199" s="80" t="s">
        <v>133</v>
      </c>
      <c r="E3199" s="80" t="s">
        <v>134</v>
      </c>
      <c r="F3199" s="170">
        <v>30</v>
      </c>
    </row>
    <row r="3200" spans="1:6" hidden="1" x14ac:dyDescent="0.25">
      <c r="A3200" s="169">
        <v>43573</v>
      </c>
      <c r="B3200" s="80" t="s">
        <v>1171</v>
      </c>
      <c r="C3200" s="80" t="s">
        <v>136</v>
      </c>
      <c r="D3200" s="80" t="s">
        <v>133</v>
      </c>
      <c r="E3200" s="80" t="s">
        <v>127</v>
      </c>
      <c r="F3200" s="170">
        <v>30</v>
      </c>
    </row>
    <row r="3201" spans="1:6" hidden="1" x14ac:dyDescent="0.25">
      <c r="A3201" s="169">
        <v>43573</v>
      </c>
      <c r="B3201" s="80" t="s">
        <v>1174</v>
      </c>
      <c r="C3201" s="80" t="s">
        <v>167</v>
      </c>
      <c r="D3201" s="80" t="s">
        <v>133</v>
      </c>
      <c r="E3201" s="80" t="s">
        <v>127</v>
      </c>
      <c r="F3201" s="170">
        <v>30</v>
      </c>
    </row>
    <row r="3202" spans="1:6" hidden="1" x14ac:dyDescent="0.25">
      <c r="A3202" s="169">
        <v>43574</v>
      </c>
      <c r="B3202" s="80" t="s">
        <v>1176</v>
      </c>
      <c r="C3202" s="80" t="s">
        <v>223</v>
      </c>
      <c r="D3202" s="80" t="s">
        <v>133</v>
      </c>
      <c r="E3202" s="80" t="s">
        <v>121</v>
      </c>
      <c r="F3202" s="170">
        <v>30</v>
      </c>
    </row>
    <row r="3203" spans="1:6" hidden="1" x14ac:dyDescent="0.25">
      <c r="A3203" s="169">
        <v>43574</v>
      </c>
      <c r="B3203" s="80" t="s">
        <v>1182</v>
      </c>
      <c r="C3203" s="80" t="s">
        <v>125</v>
      </c>
      <c r="D3203" s="80" t="s">
        <v>133</v>
      </c>
      <c r="E3203" s="80" t="s">
        <v>153</v>
      </c>
      <c r="F3203" s="170">
        <v>30</v>
      </c>
    </row>
    <row r="3204" spans="1:6" hidden="1" x14ac:dyDescent="0.25">
      <c r="A3204" s="169">
        <v>43575</v>
      </c>
      <c r="B3204" s="80" t="s">
        <v>1192</v>
      </c>
      <c r="C3204" s="80" t="s">
        <v>157</v>
      </c>
      <c r="D3204" s="80" t="s">
        <v>133</v>
      </c>
      <c r="E3204" s="80" t="s">
        <v>121</v>
      </c>
      <c r="F3204" s="170">
        <v>30</v>
      </c>
    </row>
    <row r="3205" spans="1:6" hidden="1" x14ac:dyDescent="0.25">
      <c r="A3205" s="169">
        <v>43576</v>
      </c>
      <c r="B3205" s="80" t="s">
        <v>1195</v>
      </c>
      <c r="C3205" s="80" t="s">
        <v>223</v>
      </c>
      <c r="D3205" s="80" t="s">
        <v>133</v>
      </c>
      <c r="E3205" s="80" t="s">
        <v>131</v>
      </c>
      <c r="F3205" s="170">
        <v>30</v>
      </c>
    </row>
    <row r="3206" spans="1:6" hidden="1" x14ac:dyDescent="0.25">
      <c r="A3206" s="169">
        <v>43576</v>
      </c>
      <c r="B3206" s="80" t="s">
        <v>1196</v>
      </c>
      <c r="C3206" s="80" t="s">
        <v>138</v>
      </c>
      <c r="D3206" s="80" t="s">
        <v>133</v>
      </c>
      <c r="E3206" s="80" t="s">
        <v>131</v>
      </c>
      <c r="F3206" s="170">
        <v>30</v>
      </c>
    </row>
    <row r="3207" spans="1:6" hidden="1" x14ac:dyDescent="0.25">
      <c r="A3207" s="169">
        <v>43577</v>
      </c>
      <c r="B3207" s="80" t="s">
        <v>1205</v>
      </c>
      <c r="C3207" s="80" t="s">
        <v>136</v>
      </c>
      <c r="D3207" s="80" t="s">
        <v>133</v>
      </c>
      <c r="E3207" s="80" t="s">
        <v>121</v>
      </c>
      <c r="F3207" s="170">
        <v>30</v>
      </c>
    </row>
    <row r="3208" spans="1:6" hidden="1" x14ac:dyDescent="0.25">
      <c r="A3208" s="169">
        <v>43577</v>
      </c>
      <c r="B3208" s="80" t="s">
        <v>1207</v>
      </c>
      <c r="C3208" s="80" t="s">
        <v>152</v>
      </c>
      <c r="D3208" s="80" t="s">
        <v>133</v>
      </c>
      <c r="E3208" s="80" t="s">
        <v>134</v>
      </c>
      <c r="F3208" s="170">
        <v>30</v>
      </c>
    </row>
    <row r="3209" spans="1:6" hidden="1" x14ac:dyDescent="0.25">
      <c r="A3209" s="169">
        <v>43578</v>
      </c>
      <c r="B3209" s="80" t="s">
        <v>1209</v>
      </c>
      <c r="C3209" s="80" t="s">
        <v>182</v>
      </c>
      <c r="D3209" s="80" t="s">
        <v>133</v>
      </c>
      <c r="E3209" s="80" t="s">
        <v>131</v>
      </c>
      <c r="F3209" s="170">
        <v>30</v>
      </c>
    </row>
    <row r="3210" spans="1:6" hidden="1" x14ac:dyDescent="0.25">
      <c r="A3210" s="169">
        <v>43578</v>
      </c>
      <c r="B3210" s="80" t="s">
        <v>1210</v>
      </c>
      <c r="C3210" s="80" t="s">
        <v>223</v>
      </c>
      <c r="D3210" s="80" t="s">
        <v>133</v>
      </c>
      <c r="E3210" s="80" t="s">
        <v>131</v>
      </c>
      <c r="F3210" s="170">
        <v>30</v>
      </c>
    </row>
    <row r="3211" spans="1:6" hidden="1" x14ac:dyDescent="0.25">
      <c r="A3211" s="169">
        <v>43579</v>
      </c>
      <c r="B3211" s="80" t="s">
        <v>1221</v>
      </c>
      <c r="C3211" s="80" t="s">
        <v>148</v>
      </c>
      <c r="D3211" s="80" t="s">
        <v>133</v>
      </c>
      <c r="E3211" s="80" t="s">
        <v>121</v>
      </c>
      <c r="F3211" s="170">
        <v>30</v>
      </c>
    </row>
    <row r="3212" spans="1:6" hidden="1" x14ac:dyDescent="0.25">
      <c r="A3212" s="169">
        <v>43580</v>
      </c>
      <c r="B3212" s="80" t="s">
        <v>1229</v>
      </c>
      <c r="C3212" s="80" t="s">
        <v>143</v>
      </c>
      <c r="D3212" s="80" t="s">
        <v>133</v>
      </c>
      <c r="E3212" s="80" t="s">
        <v>121</v>
      </c>
      <c r="F3212" s="170">
        <v>30</v>
      </c>
    </row>
    <row r="3213" spans="1:6" hidden="1" x14ac:dyDescent="0.25">
      <c r="A3213" s="169">
        <v>43580</v>
      </c>
      <c r="B3213" s="80" t="s">
        <v>1232</v>
      </c>
      <c r="C3213" s="80" t="s">
        <v>152</v>
      </c>
      <c r="D3213" s="80" t="s">
        <v>133</v>
      </c>
      <c r="E3213" s="80" t="s">
        <v>153</v>
      </c>
      <c r="F3213" s="170">
        <v>30</v>
      </c>
    </row>
    <row r="3214" spans="1:6" hidden="1" x14ac:dyDescent="0.25">
      <c r="A3214" s="169">
        <v>43580</v>
      </c>
      <c r="B3214" s="80" t="s">
        <v>1234</v>
      </c>
      <c r="C3214" s="80" t="s">
        <v>157</v>
      </c>
      <c r="D3214" s="80" t="s">
        <v>133</v>
      </c>
      <c r="E3214" s="80" t="s">
        <v>121</v>
      </c>
      <c r="F3214" s="170">
        <v>30</v>
      </c>
    </row>
    <row r="3215" spans="1:6" hidden="1" x14ac:dyDescent="0.25">
      <c r="A3215" s="169">
        <v>43584</v>
      </c>
      <c r="B3215" s="80" t="s">
        <v>1267</v>
      </c>
      <c r="C3215" s="80" t="s">
        <v>148</v>
      </c>
      <c r="D3215" s="80" t="s">
        <v>133</v>
      </c>
      <c r="E3215" s="80" t="s">
        <v>127</v>
      </c>
      <c r="F3215" s="170">
        <v>30</v>
      </c>
    </row>
    <row r="3216" spans="1:6" hidden="1" x14ac:dyDescent="0.25">
      <c r="A3216" s="169">
        <v>43585</v>
      </c>
      <c r="B3216" s="80" t="s">
        <v>1280</v>
      </c>
      <c r="C3216" s="80" t="s">
        <v>223</v>
      </c>
      <c r="D3216" s="80" t="s">
        <v>133</v>
      </c>
      <c r="E3216" s="80" t="s">
        <v>131</v>
      </c>
      <c r="F3216" s="170">
        <v>30</v>
      </c>
    </row>
    <row r="3217" spans="1:6" hidden="1" x14ac:dyDescent="0.25">
      <c r="A3217" s="169">
        <v>43586</v>
      </c>
      <c r="B3217" s="80" t="s">
        <v>1284</v>
      </c>
      <c r="C3217" s="80" t="s">
        <v>182</v>
      </c>
      <c r="D3217" s="80" t="s">
        <v>133</v>
      </c>
      <c r="E3217" s="80" t="s">
        <v>134</v>
      </c>
      <c r="F3217" s="170">
        <v>30</v>
      </c>
    </row>
    <row r="3218" spans="1:6" hidden="1" x14ac:dyDescent="0.25">
      <c r="A3218" s="169">
        <v>43586</v>
      </c>
      <c r="B3218" s="80" t="s">
        <v>1289</v>
      </c>
      <c r="C3218" s="80" t="s">
        <v>136</v>
      </c>
      <c r="D3218" s="80" t="s">
        <v>133</v>
      </c>
      <c r="E3218" s="80" t="s">
        <v>121</v>
      </c>
      <c r="F3218" s="170">
        <v>30</v>
      </c>
    </row>
    <row r="3219" spans="1:6" hidden="1" x14ac:dyDescent="0.25">
      <c r="A3219" s="169">
        <v>43590</v>
      </c>
      <c r="B3219" s="80" t="s">
        <v>1330</v>
      </c>
      <c r="C3219" s="80" t="s">
        <v>119</v>
      </c>
      <c r="D3219" s="80" t="s">
        <v>133</v>
      </c>
      <c r="E3219" s="80" t="s">
        <v>127</v>
      </c>
      <c r="F3219" s="170">
        <v>30</v>
      </c>
    </row>
    <row r="3220" spans="1:6" hidden="1" x14ac:dyDescent="0.25">
      <c r="A3220" s="169">
        <v>43590</v>
      </c>
      <c r="B3220" s="80" t="s">
        <v>1336</v>
      </c>
      <c r="C3220" s="80" t="s">
        <v>148</v>
      </c>
      <c r="D3220" s="80" t="s">
        <v>133</v>
      </c>
      <c r="E3220" s="80" t="s">
        <v>121</v>
      </c>
      <c r="F3220" s="170">
        <v>30</v>
      </c>
    </row>
    <row r="3221" spans="1:6" hidden="1" x14ac:dyDescent="0.25">
      <c r="A3221" s="169">
        <v>43590</v>
      </c>
      <c r="B3221" s="80" t="s">
        <v>1337</v>
      </c>
      <c r="C3221" s="80" t="s">
        <v>157</v>
      </c>
      <c r="D3221" s="80" t="s">
        <v>133</v>
      </c>
      <c r="E3221" s="80" t="s">
        <v>131</v>
      </c>
      <c r="F3221" s="170">
        <v>30</v>
      </c>
    </row>
    <row r="3222" spans="1:6" hidden="1" x14ac:dyDescent="0.25">
      <c r="A3222" s="169">
        <v>43590</v>
      </c>
      <c r="B3222" s="80" t="s">
        <v>1339</v>
      </c>
      <c r="C3222" s="80" t="s">
        <v>223</v>
      </c>
      <c r="D3222" s="80" t="s">
        <v>133</v>
      </c>
      <c r="E3222" s="80" t="s">
        <v>127</v>
      </c>
      <c r="F3222" s="170">
        <v>30</v>
      </c>
    </row>
    <row r="3223" spans="1:6" hidden="1" x14ac:dyDescent="0.25">
      <c r="A3223" s="169">
        <v>43591</v>
      </c>
      <c r="B3223" s="80" t="s">
        <v>1347</v>
      </c>
      <c r="C3223" s="80" t="s">
        <v>125</v>
      </c>
      <c r="D3223" s="80" t="s">
        <v>133</v>
      </c>
      <c r="E3223" s="80" t="s">
        <v>134</v>
      </c>
      <c r="F3223" s="170">
        <v>30</v>
      </c>
    </row>
    <row r="3224" spans="1:6" hidden="1" x14ac:dyDescent="0.25">
      <c r="A3224" s="169">
        <v>43592</v>
      </c>
      <c r="B3224" s="80" t="s">
        <v>1351</v>
      </c>
      <c r="C3224" s="80" t="s">
        <v>164</v>
      </c>
      <c r="D3224" s="80" t="s">
        <v>133</v>
      </c>
      <c r="E3224" s="80" t="s">
        <v>131</v>
      </c>
      <c r="F3224" s="170">
        <v>30</v>
      </c>
    </row>
    <row r="3225" spans="1:6" hidden="1" x14ac:dyDescent="0.25">
      <c r="A3225" s="169">
        <v>43592</v>
      </c>
      <c r="B3225" s="80" t="s">
        <v>1358</v>
      </c>
      <c r="C3225" s="80" t="s">
        <v>125</v>
      </c>
      <c r="D3225" s="80" t="s">
        <v>133</v>
      </c>
      <c r="E3225" s="80" t="s">
        <v>121</v>
      </c>
      <c r="F3225" s="170">
        <v>30</v>
      </c>
    </row>
    <row r="3226" spans="1:6" hidden="1" x14ac:dyDescent="0.25">
      <c r="A3226" s="169">
        <v>43593</v>
      </c>
      <c r="B3226" s="80" t="s">
        <v>1365</v>
      </c>
      <c r="C3226" s="80" t="s">
        <v>189</v>
      </c>
      <c r="D3226" s="80" t="s">
        <v>133</v>
      </c>
      <c r="E3226" s="80" t="s">
        <v>127</v>
      </c>
      <c r="F3226" s="170">
        <v>30</v>
      </c>
    </row>
    <row r="3227" spans="1:6" hidden="1" x14ac:dyDescent="0.25">
      <c r="A3227" s="169">
        <v>43593</v>
      </c>
      <c r="B3227" s="80" t="s">
        <v>1367</v>
      </c>
      <c r="C3227" s="80" t="s">
        <v>123</v>
      </c>
      <c r="D3227" s="80" t="s">
        <v>133</v>
      </c>
      <c r="E3227" s="80" t="s">
        <v>127</v>
      </c>
      <c r="F3227" s="170">
        <v>30</v>
      </c>
    </row>
    <row r="3228" spans="1:6" hidden="1" x14ac:dyDescent="0.25">
      <c r="A3228" s="169">
        <v>43594</v>
      </c>
      <c r="B3228" s="80" t="s">
        <v>1373</v>
      </c>
      <c r="C3228" s="80" t="s">
        <v>157</v>
      </c>
      <c r="D3228" s="80" t="s">
        <v>133</v>
      </c>
      <c r="E3228" s="80" t="s">
        <v>134</v>
      </c>
      <c r="F3228" s="170">
        <v>30</v>
      </c>
    </row>
    <row r="3229" spans="1:6" hidden="1" x14ac:dyDescent="0.25">
      <c r="A3229" s="169">
        <v>43594</v>
      </c>
      <c r="B3229" s="80" t="s">
        <v>1376</v>
      </c>
      <c r="C3229" s="80" t="s">
        <v>152</v>
      </c>
      <c r="D3229" s="80" t="s">
        <v>133</v>
      </c>
      <c r="E3229" s="80" t="s">
        <v>121</v>
      </c>
      <c r="F3229" s="170">
        <v>30</v>
      </c>
    </row>
    <row r="3230" spans="1:6" hidden="1" x14ac:dyDescent="0.25">
      <c r="A3230" s="169">
        <v>43594</v>
      </c>
      <c r="B3230" s="80" t="s">
        <v>1377</v>
      </c>
      <c r="C3230" s="80" t="s">
        <v>136</v>
      </c>
      <c r="D3230" s="80" t="s">
        <v>133</v>
      </c>
      <c r="E3230" s="80" t="s">
        <v>121</v>
      </c>
      <c r="F3230" s="170">
        <v>30</v>
      </c>
    </row>
    <row r="3231" spans="1:6" hidden="1" x14ac:dyDescent="0.25">
      <c r="A3231" s="169">
        <v>43595</v>
      </c>
      <c r="B3231" s="80" t="s">
        <v>1386</v>
      </c>
      <c r="C3231" s="80" t="s">
        <v>182</v>
      </c>
      <c r="D3231" s="80" t="s">
        <v>133</v>
      </c>
      <c r="E3231" s="80" t="s">
        <v>121</v>
      </c>
      <c r="F3231" s="170">
        <v>30</v>
      </c>
    </row>
    <row r="3232" spans="1:6" hidden="1" x14ac:dyDescent="0.25">
      <c r="A3232" s="169">
        <v>43597</v>
      </c>
      <c r="B3232" s="80" t="s">
        <v>1397</v>
      </c>
      <c r="C3232" s="80" t="s">
        <v>167</v>
      </c>
      <c r="D3232" s="80" t="s">
        <v>133</v>
      </c>
      <c r="E3232" s="80" t="s">
        <v>121</v>
      </c>
      <c r="F3232" s="170">
        <v>30</v>
      </c>
    </row>
    <row r="3233" spans="1:6" hidden="1" x14ac:dyDescent="0.25">
      <c r="A3233" s="169">
        <v>43597</v>
      </c>
      <c r="B3233" s="80" t="s">
        <v>1398</v>
      </c>
      <c r="C3233" s="80" t="s">
        <v>187</v>
      </c>
      <c r="D3233" s="80" t="s">
        <v>133</v>
      </c>
      <c r="E3233" s="80" t="s">
        <v>127</v>
      </c>
      <c r="F3233" s="170">
        <v>30</v>
      </c>
    </row>
    <row r="3234" spans="1:6" hidden="1" x14ac:dyDescent="0.25">
      <c r="A3234" s="169">
        <v>43600</v>
      </c>
      <c r="B3234" s="80" t="s">
        <v>1431</v>
      </c>
      <c r="C3234" s="80" t="s">
        <v>157</v>
      </c>
      <c r="D3234" s="80" t="s">
        <v>133</v>
      </c>
      <c r="E3234" s="80" t="s">
        <v>153</v>
      </c>
      <c r="F3234" s="170">
        <v>30</v>
      </c>
    </row>
    <row r="3235" spans="1:6" hidden="1" x14ac:dyDescent="0.25">
      <c r="A3235" s="169">
        <v>43601</v>
      </c>
      <c r="B3235" s="80" t="s">
        <v>1437</v>
      </c>
      <c r="C3235" s="80" t="s">
        <v>119</v>
      </c>
      <c r="D3235" s="80" t="s">
        <v>133</v>
      </c>
      <c r="E3235" s="80" t="s">
        <v>121</v>
      </c>
      <c r="F3235" s="170">
        <v>30</v>
      </c>
    </row>
    <row r="3236" spans="1:6" hidden="1" x14ac:dyDescent="0.25">
      <c r="A3236" s="169">
        <v>43601</v>
      </c>
      <c r="B3236" s="80" t="s">
        <v>1440</v>
      </c>
      <c r="C3236" s="80" t="s">
        <v>157</v>
      </c>
      <c r="D3236" s="80" t="s">
        <v>133</v>
      </c>
      <c r="E3236" s="80" t="s">
        <v>121</v>
      </c>
      <c r="F3236" s="170">
        <v>30</v>
      </c>
    </row>
    <row r="3237" spans="1:6" hidden="1" x14ac:dyDescent="0.25">
      <c r="A3237" s="169">
        <v>43602</v>
      </c>
      <c r="B3237" s="80" t="s">
        <v>1447</v>
      </c>
      <c r="C3237" s="80" t="s">
        <v>138</v>
      </c>
      <c r="D3237" s="80" t="s">
        <v>133</v>
      </c>
      <c r="E3237" s="80" t="s">
        <v>121</v>
      </c>
      <c r="F3237" s="170">
        <v>30</v>
      </c>
    </row>
    <row r="3238" spans="1:6" hidden="1" x14ac:dyDescent="0.25">
      <c r="A3238" s="169">
        <v>43604</v>
      </c>
      <c r="B3238" s="80" t="s">
        <v>1469</v>
      </c>
      <c r="C3238" s="80" t="s">
        <v>152</v>
      </c>
      <c r="D3238" s="80" t="s">
        <v>133</v>
      </c>
      <c r="E3238" s="80" t="s">
        <v>131</v>
      </c>
      <c r="F3238" s="170">
        <v>30</v>
      </c>
    </row>
    <row r="3239" spans="1:6" hidden="1" x14ac:dyDescent="0.25">
      <c r="A3239" s="169">
        <v>43605</v>
      </c>
      <c r="B3239" s="80" t="s">
        <v>1482</v>
      </c>
      <c r="C3239" s="80" t="s">
        <v>129</v>
      </c>
      <c r="D3239" s="80" t="s">
        <v>133</v>
      </c>
      <c r="E3239" s="80" t="s">
        <v>121</v>
      </c>
      <c r="F3239" s="170">
        <v>30</v>
      </c>
    </row>
    <row r="3240" spans="1:6" hidden="1" x14ac:dyDescent="0.25">
      <c r="A3240" s="169">
        <v>43605</v>
      </c>
      <c r="B3240" s="80" t="s">
        <v>1490</v>
      </c>
      <c r="C3240" s="80" t="s">
        <v>138</v>
      </c>
      <c r="D3240" s="80" t="s">
        <v>133</v>
      </c>
      <c r="E3240" s="80" t="s">
        <v>134</v>
      </c>
      <c r="F3240" s="170">
        <v>30</v>
      </c>
    </row>
    <row r="3241" spans="1:6" hidden="1" x14ac:dyDescent="0.25">
      <c r="A3241" s="169">
        <v>43606</v>
      </c>
      <c r="B3241" s="80" t="s">
        <v>1494</v>
      </c>
      <c r="C3241" s="80" t="s">
        <v>157</v>
      </c>
      <c r="D3241" s="80" t="s">
        <v>133</v>
      </c>
      <c r="E3241" s="80" t="s">
        <v>134</v>
      </c>
      <c r="F3241" s="170">
        <v>30</v>
      </c>
    </row>
    <row r="3242" spans="1:6" hidden="1" x14ac:dyDescent="0.25">
      <c r="A3242" s="169">
        <v>43606</v>
      </c>
      <c r="B3242" s="80" t="s">
        <v>1499</v>
      </c>
      <c r="C3242" s="80" t="s">
        <v>143</v>
      </c>
      <c r="D3242" s="80" t="s">
        <v>133</v>
      </c>
      <c r="E3242" s="80" t="s">
        <v>134</v>
      </c>
      <c r="F3242" s="170">
        <v>30</v>
      </c>
    </row>
    <row r="3243" spans="1:6" hidden="1" x14ac:dyDescent="0.25">
      <c r="A3243" s="169">
        <v>43606</v>
      </c>
      <c r="B3243" s="80" t="s">
        <v>1501</v>
      </c>
      <c r="C3243" s="80" t="s">
        <v>164</v>
      </c>
      <c r="D3243" s="80" t="s">
        <v>133</v>
      </c>
      <c r="E3243" s="80" t="s">
        <v>127</v>
      </c>
      <c r="F3243" s="170">
        <v>30</v>
      </c>
    </row>
    <row r="3244" spans="1:6" hidden="1" x14ac:dyDescent="0.25">
      <c r="A3244" s="169">
        <v>43606</v>
      </c>
      <c r="B3244" s="80" t="s">
        <v>1505</v>
      </c>
      <c r="C3244" s="80" t="s">
        <v>152</v>
      </c>
      <c r="D3244" s="80" t="s">
        <v>133</v>
      </c>
      <c r="E3244" s="80" t="s">
        <v>134</v>
      </c>
      <c r="F3244" s="170">
        <v>30</v>
      </c>
    </row>
    <row r="3245" spans="1:6" hidden="1" x14ac:dyDescent="0.25">
      <c r="A3245" s="169">
        <v>43607</v>
      </c>
      <c r="B3245" s="80" t="s">
        <v>1508</v>
      </c>
      <c r="C3245" s="80" t="s">
        <v>187</v>
      </c>
      <c r="D3245" s="80" t="s">
        <v>133</v>
      </c>
      <c r="E3245" s="80" t="s">
        <v>131</v>
      </c>
      <c r="F3245" s="170">
        <v>30</v>
      </c>
    </row>
    <row r="3246" spans="1:6" hidden="1" x14ac:dyDescent="0.25">
      <c r="A3246" s="169">
        <v>43608</v>
      </c>
      <c r="B3246" s="80" t="s">
        <v>1518</v>
      </c>
      <c r="C3246" s="80" t="s">
        <v>136</v>
      </c>
      <c r="D3246" s="80" t="s">
        <v>133</v>
      </c>
      <c r="E3246" s="80" t="s">
        <v>121</v>
      </c>
      <c r="F3246" s="170">
        <v>30</v>
      </c>
    </row>
    <row r="3247" spans="1:6" hidden="1" x14ac:dyDescent="0.25">
      <c r="A3247" s="169">
        <v>43608</v>
      </c>
      <c r="B3247" s="80" t="s">
        <v>1519</v>
      </c>
      <c r="C3247" s="80" t="s">
        <v>189</v>
      </c>
      <c r="D3247" s="80" t="s">
        <v>133</v>
      </c>
      <c r="E3247" s="80" t="s">
        <v>134</v>
      </c>
      <c r="F3247" s="170">
        <v>30</v>
      </c>
    </row>
    <row r="3248" spans="1:6" hidden="1" x14ac:dyDescent="0.25">
      <c r="A3248" s="169">
        <v>43609</v>
      </c>
      <c r="B3248" s="80" t="s">
        <v>1532</v>
      </c>
      <c r="C3248" s="80" t="s">
        <v>129</v>
      </c>
      <c r="D3248" s="80" t="s">
        <v>133</v>
      </c>
      <c r="E3248" s="80" t="s">
        <v>127</v>
      </c>
      <c r="F3248" s="170">
        <v>30</v>
      </c>
    </row>
    <row r="3249" spans="1:6" hidden="1" x14ac:dyDescent="0.25">
      <c r="A3249" s="169">
        <v>43609</v>
      </c>
      <c r="B3249" s="80" t="s">
        <v>1534</v>
      </c>
      <c r="C3249" s="80" t="s">
        <v>223</v>
      </c>
      <c r="D3249" s="80" t="s">
        <v>133</v>
      </c>
      <c r="E3249" s="80" t="s">
        <v>153</v>
      </c>
      <c r="F3249" s="170">
        <v>30</v>
      </c>
    </row>
    <row r="3250" spans="1:6" hidden="1" x14ac:dyDescent="0.25">
      <c r="A3250" s="169">
        <v>43609</v>
      </c>
      <c r="B3250" s="80" t="s">
        <v>1539</v>
      </c>
      <c r="C3250" s="80" t="s">
        <v>143</v>
      </c>
      <c r="D3250" s="80" t="s">
        <v>133</v>
      </c>
      <c r="E3250" s="80" t="s">
        <v>131</v>
      </c>
      <c r="F3250" s="170">
        <v>30</v>
      </c>
    </row>
    <row r="3251" spans="1:6" hidden="1" x14ac:dyDescent="0.25">
      <c r="A3251" s="169">
        <v>43609</v>
      </c>
      <c r="B3251" s="80" t="s">
        <v>1542</v>
      </c>
      <c r="C3251" s="80" t="s">
        <v>182</v>
      </c>
      <c r="D3251" s="80" t="s">
        <v>133</v>
      </c>
      <c r="E3251" s="80" t="s">
        <v>121</v>
      </c>
      <c r="F3251" s="170">
        <v>30</v>
      </c>
    </row>
    <row r="3252" spans="1:6" hidden="1" x14ac:dyDescent="0.25">
      <c r="A3252" s="169">
        <v>43610</v>
      </c>
      <c r="B3252" s="80" t="s">
        <v>1544</v>
      </c>
      <c r="C3252" s="80" t="s">
        <v>138</v>
      </c>
      <c r="D3252" s="80" t="s">
        <v>133</v>
      </c>
      <c r="E3252" s="80" t="s">
        <v>131</v>
      </c>
      <c r="F3252" s="170">
        <v>30</v>
      </c>
    </row>
    <row r="3253" spans="1:6" hidden="1" x14ac:dyDescent="0.25">
      <c r="A3253" s="169">
        <v>43610</v>
      </c>
      <c r="B3253" s="80" t="s">
        <v>1546</v>
      </c>
      <c r="C3253" s="80" t="s">
        <v>145</v>
      </c>
      <c r="D3253" s="80" t="s">
        <v>133</v>
      </c>
      <c r="E3253" s="80" t="s">
        <v>153</v>
      </c>
      <c r="F3253" s="170">
        <v>30</v>
      </c>
    </row>
    <row r="3254" spans="1:6" hidden="1" x14ac:dyDescent="0.25">
      <c r="A3254" s="169">
        <v>43610</v>
      </c>
      <c r="B3254" s="80" t="s">
        <v>1549</v>
      </c>
      <c r="C3254" s="80" t="s">
        <v>182</v>
      </c>
      <c r="D3254" s="80" t="s">
        <v>133</v>
      </c>
      <c r="E3254" s="80" t="s">
        <v>127</v>
      </c>
      <c r="F3254" s="170">
        <v>30</v>
      </c>
    </row>
    <row r="3255" spans="1:6" hidden="1" x14ac:dyDescent="0.25">
      <c r="A3255" s="169">
        <v>43611</v>
      </c>
      <c r="B3255" s="80" t="s">
        <v>1553</v>
      </c>
      <c r="C3255" s="80" t="s">
        <v>119</v>
      </c>
      <c r="D3255" s="80" t="s">
        <v>133</v>
      </c>
      <c r="E3255" s="80" t="s">
        <v>131</v>
      </c>
      <c r="F3255" s="170">
        <v>30</v>
      </c>
    </row>
    <row r="3256" spans="1:6" hidden="1" x14ac:dyDescent="0.25">
      <c r="A3256" s="169">
        <v>43611</v>
      </c>
      <c r="B3256" s="80" t="s">
        <v>1554</v>
      </c>
      <c r="C3256" s="80" t="s">
        <v>125</v>
      </c>
      <c r="D3256" s="80" t="s">
        <v>133</v>
      </c>
      <c r="E3256" s="80" t="s">
        <v>121</v>
      </c>
      <c r="F3256" s="170">
        <v>30</v>
      </c>
    </row>
    <row r="3257" spans="1:6" hidden="1" x14ac:dyDescent="0.25">
      <c r="A3257" s="169">
        <v>43612</v>
      </c>
      <c r="B3257" s="80" t="s">
        <v>1566</v>
      </c>
      <c r="C3257" s="80" t="s">
        <v>167</v>
      </c>
      <c r="D3257" s="80" t="s">
        <v>133</v>
      </c>
      <c r="E3257" s="80" t="s">
        <v>131</v>
      </c>
      <c r="F3257" s="170">
        <v>30</v>
      </c>
    </row>
    <row r="3258" spans="1:6" hidden="1" x14ac:dyDescent="0.25">
      <c r="A3258" s="169">
        <v>43612</v>
      </c>
      <c r="B3258" s="80" t="s">
        <v>1567</v>
      </c>
      <c r="C3258" s="80" t="s">
        <v>125</v>
      </c>
      <c r="D3258" s="80" t="s">
        <v>133</v>
      </c>
      <c r="E3258" s="80" t="s">
        <v>131</v>
      </c>
      <c r="F3258" s="170">
        <v>30</v>
      </c>
    </row>
    <row r="3259" spans="1:6" hidden="1" x14ac:dyDescent="0.25">
      <c r="A3259" s="169">
        <v>43615</v>
      </c>
      <c r="B3259" s="80" t="s">
        <v>1596</v>
      </c>
      <c r="C3259" s="80" t="s">
        <v>145</v>
      </c>
      <c r="D3259" s="80" t="s">
        <v>133</v>
      </c>
      <c r="E3259" s="80" t="s">
        <v>153</v>
      </c>
      <c r="F3259" s="170">
        <v>30</v>
      </c>
    </row>
    <row r="3260" spans="1:6" hidden="1" x14ac:dyDescent="0.25">
      <c r="A3260" s="169">
        <v>43618</v>
      </c>
      <c r="B3260" s="80" t="s">
        <v>1615</v>
      </c>
      <c r="C3260" s="80" t="s">
        <v>145</v>
      </c>
      <c r="D3260" s="80" t="s">
        <v>133</v>
      </c>
      <c r="E3260" s="80" t="s">
        <v>121</v>
      </c>
      <c r="F3260" s="170">
        <v>30</v>
      </c>
    </row>
    <row r="3261" spans="1:6" hidden="1" x14ac:dyDescent="0.25">
      <c r="A3261" s="169">
        <v>43618</v>
      </c>
      <c r="B3261" s="80" t="s">
        <v>1622</v>
      </c>
      <c r="C3261" s="80" t="s">
        <v>223</v>
      </c>
      <c r="D3261" s="80" t="s">
        <v>133</v>
      </c>
      <c r="E3261" s="80" t="s">
        <v>131</v>
      </c>
      <c r="F3261" s="170">
        <v>30</v>
      </c>
    </row>
    <row r="3262" spans="1:6" hidden="1" x14ac:dyDescent="0.25">
      <c r="A3262" s="169">
        <v>43618</v>
      </c>
      <c r="B3262" s="80" t="s">
        <v>1626</v>
      </c>
      <c r="C3262" s="80" t="s">
        <v>129</v>
      </c>
      <c r="D3262" s="80" t="s">
        <v>133</v>
      </c>
      <c r="E3262" s="80" t="s">
        <v>153</v>
      </c>
      <c r="F3262" s="170">
        <v>30</v>
      </c>
    </row>
    <row r="3263" spans="1:6" hidden="1" x14ac:dyDescent="0.25">
      <c r="A3263" s="169">
        <v>43619</v>
      </c>
      <c r="B3263" s="80" t="s">
        <v>1637</v>
      </c>
      <c r="C3263" s="80" t="s">
        <v>129</v>
      </c>
      <c r="D3263" s="80" t="s">
        <v>133</v>
      </c>
      <c r="E3263" s="80" t="s">
        <v>121</v>
      </c>
      <c r="F3263" s="170">
        <v>30</v>
      </c>
    </row>
    <row r="3264" spans="1:6" hidden="1" x14ac:dyDescent="0.25">
      <c r="A3264" s="169">
        <v>43621</v>
      </c>
      <c r="B3264" s="80" t="s">
        <v>1653</v>
      </c>
      <c r="C3264" s="80" t="s">
        <v>189</v>
      </c>
      <c r="D3264" s="80" t="s">
        <v>133</v>
      </c>
      <c r="E3264" s="80" t="s">
        <v>121</v>
      </c>
      <c r="F3264" s="170">
        <v>30</v>
      </c>
    </row>
    <row r="3265" spans="1:6" hidden="1" x14ac:dyDescent="0.25">
      <c r="A3265" s="169">
        <v>43622</v>
      </c>
      <c r="B3265" s="80" t="s">
        <v>1664</v>
      </c>
      <c r="C3265" s="80" t="s">
        <v>138</v>
      </c>
      <c r="D3265" s="80" t="s">
        <v>133</v>
      </c>
      <c r="E3265" s="80" t="s">
        <v>127</v>
      </c>
      <c r="F3265" s="170">
        <v>30</v>
      </c>
    </row>
    <row r="3266" spans="1:6" hidden="1" x14ac:dyDescent="0.25">
      <c r="A3266" s="169">
        <v>43623</v>
      </c>
      <c r="B3266" s="80" t="s">
        <v>1676</v>
      </c>
      <c r="C3266" s="80" t="s">
        <v>164</v>
      </c>
      <c r="D3266" s="80" t="s">
        <v>133</v>
      </c>
      <c r="E3266" s="80" t="s">
        <v>127</v>
      </c>
      <c r="F3266" s="170">
        <v>30</v>
      </c>
    </row>
    <row r="3267" spans="1:6" hidden="1" x14ac:dyDescent="0.25">
      <c r="A3267" s="169">
        <v>43624</v>
      </c>
      <c r="B3267" s="80" t="s">
        <v>1681</v>
      </c>
      <c r="C3267" s="80" t="s">
        <v>143</v>
      </c>
      <c r="D3267" s="80" t="s">
        <v>133</v>
      </c>
      <c r="E3267" s="80" t="s">
        <v>127</v>
      </c>
      <c r="F3267" s="170">
        <v>30</v>
      </c>
    </row>
    <row r="3268" spans="1:6" hidden="1" x14ac:dyDescent="0.25">
      <c r="A3268" s="169">
        <v>43625</v>
      </c>
      <c r="B3268" s="80" t="s">
        <v>1688</v>
      </c>
      <c r="C3268" s="80" t="s">
        <v>152</v>
      </c>
      <c r="D3268" s="80" t="s">
        <v>133</v>
      </c>
      <c r="E3268" s="80" t="s">
        <v>153</v>
      </c>
      <c r="F3268" s="170">
        <v>30</v>
      </c>
    </row>
    <row r="3269" spans="1:6" hidden="1" x14ac:dyDescent="0.25">
      <c r="A3269" s="169">
        <v>43626</v>
      </c>
      <c r="B3269" s="80" t="s">
        <v>1699</v>
      </c>
      <c r="C3269" s="80" t="s">
        <v>125</v>
      </c>
      <c r="D3269" s="80" t="s">
        <v>133</v>
      </c>
      <c r="E3269" s="80" t="s">
        <v>153</v>
      </c>
      <c r="F3269" s="170">
        <v>30</v>
      </c>
    </row>
    <row r="3270" spans="1:6" hidden="1" x14ac:dyDescent="0.25">
      <c r="A3270" s="169">
        <v>43627</v>
      </c>
      <c r="B3270" s="80" t="s">
        <v>1713</v>
      </c>
      <c r="C3270" s="80" t="s">
        <v>152</v>
      </c>
      <c r="D3270" s="80" t="s">
        <v>133</v>
      </c>
      <c r="E3270" s="80" t="s">
        <v>127</v>
      </c>
      <c r="F3270" s="170">
        <v>30</v>
      </c>
    </row>
    <row r="3271" spans="1:6" hidden="1" x14ac:dyDescent="0.25">
      <c r="A3271" s="169">
        <v>43627</v>
      </c>
      <c r="B3271" s="80" t="s">
        <v>1718</v>
      </c>
      <c r="C3271" s="80" t="s">
        <v>182</v>
      </c>
      <c r="D3271" s="80" t="s">
        <v>133</v>
      </c>
      <c r="E3271" s="80" t="s">
        <v>153</v>
      </c>
      <c r="F3271" s="170">
        <v>30</v>
      </c>
    </row>
    <row r="3272" spans="1:6" hidden="1" x14ac:dyDescent="0.25">
      <c r="A3272" s="169">
        <v>43627</v>
      </c>
      <c r="B3272" s="80" t="s">
        <v>1720</v>
      </c>
      <c r="C3272" s="80" t="s">
        <v>187</v>
      </c>
      <c r="D3272" s="80" t="s">
        <v>133</v>
      </c>
      <c r="E3272" s="80" t="s">
        <v>127</v>
      </c>
      <c r="F3272" s="170">
        <v>30</v>
      </c>
    </row>
    <row r="3273" spans="1:6" hidden="1" x14ac:dyDescent="0.25">
      <c r="A3273" s="169">
        <v>43628</v>
      </c>
      <c r="B3273" s="80" t="s">
        <v>1726</v>
      </c>
      <c r="C3273" s="80" t="s">
        <v>119</v>
      </c>
      <c r="D3273" s="80" t="s">
        <v>133</v>
      </c>
      <c r="E3273" s="80" t="s">
        <v>131</v>
      </c>
      <c r="F3273" s="170">
        <v>30</v>
      </c>
    </row>
    <row r="3274" spans="1:6" hidden="1" x14ac:dyDescent="0.25">
      <c r="A3274" s="169">
        <v>43629</v>
      </c>
      <c r="B3274" s="80" t="s">
        <v>1737</v>
      </c>
      <c r="C3274" s="80" t="s">
        <v>164</v>
      </c>
      <c r="D3274" s="80" t="s">
        <v>133</v>
      </c>
      <c r="E3274" s="80" t="s">
        <v>127</v>
      </c>
      <c r="F3274" s="170">
        <v>30</v>
      </c>
    </row>
    <row r="3275" spans="1:6" hidden="1" x14ac:dyDescent="0.25">
      <c r="A3275" s="169">
        <v>43630</v>
      </c>
      <c r="B3275" s="80" t="s">
        <v>1742</v>
      </c>
      <c r="C3275" s="80" t="s">
        <v>119</v>
      </c>
      <c r="D3275" s="80" t="s">
        <v>133</v>
      </c>
      <c r="E3275" s="80" t="s">
        <v>134</v>
      </c>
      <c r="F3275" s="170">
        <v>30</v>
      </c>
    </row>
    <row r="3276" spans="1:6" hidden="1" x14ac:dyDescent="0.25">
      <c r="A3276" s="169">
        <v>43631</v>
      </c>
      <c r="B3276" s="80" t="s">
        <v>1753</v>
      </c>
      <c r="C3276" s="80" t="s">
        <v>157</v>
      </c>
      <c r="D3276" s="80" t="s">
        <v>133</v>
      </c>
      <c r="E3276" s="80" t="s">
        <v>127</v>
      </c>
      <c r="F3276" s="170">
        <v>30</v>
      </c>
    </row>
    <row r="3277" spans="1:6" hidden="1" x14ac:dyDescent="0.25">
      <c r="A3277" s="169">
        <v>43631</v>
      </c>
      <c r="B3277" s="80" t="s">
        <v>1756</v>
      </c>
      <c r="C3277" s="80" t="s">
        <v>129</v>
      </c>
      <c r="D3277" s="80" t="s">
        <v>133</v>
      </c>
      <c r="E3277" s="80" t="s">
        <v>131</v>
      </c>
      <c r="F3277" s="170">
        <v>30</v>
      </c>
    </row>
    <row r="3278" spans="1:6" hidden="1" x14ac:dyDescent="0.25">
      <c r="A3278" s="169">
        <v>43632</v>
      </c>
      <c r="B3278" s="80" t="s">
        <v>1762</v>
      </c>
      <c r="C3278" s="80" t="s">
        <v>157</v>
      </c>
      <c r="D3278" s="80" t="s">
        <v>133</v>
      </c>
      <c r="E3278" s="80" t="s">
        <v>131</v>
      </c>
      <c r="F3278" s="170">
        <v>30</v>
      </c>
    </row>
    <row r="3279" spans="1:6" hidden="1" x14ac:dyDescent="0.25">
      <c r="A3279" s="169">
        <v>43633</v>
      </c>
      <c r="B3279" s="80" t="s">
        <v>1773</v>
      </c>
      <c r="C3279" s="80" t="s">
        <v>145</v>
      </c>
      <c r="D3279" s="80" t="s">
        <v>133</v>
      </c>
      <c r="E3279" s="80" t="s">
        <v>153</v>
      </c>
      <c r="F3279" s="170">
        <v>30</v>
      </c>
    </row>
    <row r="3280" spans="1:6" hidden="1" x14ac:dyDescent="0.25">
      <c r="A3280" s="169">
        <v>43633</v>
      </c>
      <c r="B3280" s="80" t="s">
        <v>1778</v>
      </c>
      <c r="C3280" s="80" t="s">
        <v>143</v>
      </c>
      <c r="D3280" s="80" t="s">
        <v>133</v>
      </c>
      <c r="E3280" s="80" t="s">
        <v>134</v>
      </c>
      <c r="F3280" s="170">
        <v>30</v>
      </c>
    </row>
    <row r="3281" spans="1:6" hidden="1" x14ac:dyDescent="0.25">
      <c r="A3281" s="169">
        <v>43634</v>
      </c>
      <c r="B3281" s="80" t="s">
        <v>1781</v>
      </c>
      <c r="C3281" s="80" t="s">
        <v>136</v>
      </c>
      <c r="D3281" s="80" t="s">
        <v>133</v>
      </c>
      <c r="E3281" s="80" t="s">
        <v>134</v>
      </c>
      <c r="F3281" s="170">
        <v>30</v>
      </c>
    </row>
    <row r="3282" spans="1:6" hidden="1" x14ac:dyDescent="0.25">
      <c r="A3282" s="169">
        <v>43635</v>
      </c>
      <c r="B3282" s="80" t="s">
        <v>1787</v>
      </c>
      <c r="C3282" s="80" t="s">
        <v>136</v>
      </c>
      <c r="D3282" s="80" t="s">
        <v>133</v>
      </c>
      <c r="E3282" s="80" t="s">
        <v>127</v>
      </c>
      <c r="F3282" s="170">
        <v>30</v>
      </c>
    </row>
    <row r="3283" spans="1:6" hidden="1" x14ac:dyDescent="0.25">
      <c r="A3283" s="169">
        <v>43635</v>
      </c>
      <c r="B3283" s="80" t="s">
        <v>1789</v>
      </c>
      <c r="C3283" s="80" t="s">
        <v>182</v>
      </c>
      <c r="D3283" s="80" t="s">
        <v>133</v>
      </c>
      <c r="E3283" s="80" t="s">
        <v>131</v>
      </c>
      <c r="F3283" s="170">
        <v>30</v>
      </c>
    </row>
    <row r="3284" spans="1:6" hidden="1" x14ac:dyDescent="0.25">
      <c r="A3284" s="169">
        <v>43636</v>
      </c>
      <c r="B3284" s="80" t="s">
        <v>1802</v>
      </c>
      <c r="C3284" s="80" t="s">
        <v>223</v>
      </c>
      <c r="D3284" s="80" t="s">
        <v>133</v>
      </c>
      <c r="E3284" s="80" t="s">
        <v>153</v>
      </c>
      <c r="F3284" s="170">
        <v>30</v>
      </c>
    </row>
    <row r="3285" spans="1:6" hidden="1" x14ac:dyDescent="0.25">
      <c r="A3285" s="169">
        <v>43636</v>
      </c>
      <c r="B3285" s="80" t="s">
        <v>1803</v>
      </c>
      <c r="C3285" s="80" t="s">
        <v>136</v>
      </c>
      <c r="D3285" s="80" t="s">
        <v>133</v>
      </c>
      <c r="E3285" s="80" t="s">
        <v>131</v>
      </c>
      <c r="F3285" s="170">
        <v>30</v>
      </c>
    </row>
    <row r="3286" spans="1:6" hidden="1" x14ac:dyDescent="0.25">
      <c r="A3286" s="169">
        <v>43637</v>
      </c>
      <c r="B3286" s="80" t="s">
        <v>1809</v>
      </c>
      <c r="C3286" s="80" t="s">
        <v>125</v>
      </c>
      <c r="D3286" s="80" t="s">
        <v>133</v>
      </c>
      <c r="E3286" s="80" t="s">
        <v>131</v>
      </c>
      <c r="F3286" s="170">
        <v>30</v>
      </c>
    </row>
    <row r="3287" spans="1:6" hidden="1" x14ac:dyDescent="0.25">
      <c r="A3287" s="169">
        <v>43638</v>
      </c>
      <c r="B3287" s="80" t="s">
        <v>1816</v>
      </c>
      <c r="C3287" s="80" t="s">
        <v>145</v>
      </c>
      <c r="D3287" s="80" t="s">
        <v>133</v>
      </c>
      <c r="E3287" s="80" t="s">
        <v>121</v>
      </c>
      <c r="F3287" s="170">
        <v>30</v>
      </c>
    </row>
    <row r="3288" spans="1:6" hidden="1" x14ac:dyDescent="0.25">
      <c r="A3288" s="169">
        <v>43640</v>
      </c>
      <c r="B3288" s="80" t="s">
        <v>1830</v>
      </c>
      <c r="C3288" s="80" t="s">
        <v>223</v>
      </c>
      <c r="D3288" s="80" t="s">
        <v>133</v>
      </c>
      <c r="E3288" s="80" t="s">
        <v>153</v>
      </c>
      <c r="F3288" s="170">
        <v>30</v>
      </c>
    </row>
    <row r="3289" spans="1:6" hidden="1" x14ac:dyDescent="0.25">
      <c r="A3289" s="169">
        <v>43642</v>
      </c>
      <c r="B3289" s="80" t="s">
        <v>1849</v>
      </c>
      <c r="C3289" s="80" t="s">
        <v>148</v>
      </c>
      <c r="D3289" s="80" t="s">
        <v>133</v>
      </c>
      <c r="E3289" s="80" t="s">
        <v>127</v>
      </c>
      <c r="F3289" s="170">
        <v>30</v>
      </c>
    </row>
    <row r="3290" spans="1:6" hidden="1" x14ac:dyDescent="0.25">
      <c r="A3290" s="169">
        <v>43642</v>
      </c>
      <c r="B3290" s="80" t="s">
        <v>1850</v>
      </c>
      <c r="C3290" s="80" t="s">
        <v>136</v>
      </c>
      <c r="D3290" s="80" t="s">
        <v>133</v>
      </c>
      <c r="E3290" s="80" t="s">
        <v>131</v>
      </c>
      <c r="F3290" s="170">
        <v>30</v>
      </c>
    </row>
    <row r="3291" spans="1:6" hidden="1" x14ac:dyDescent="0.25">
      <c r="A3291" s="169">
        <v>43645</v>
      </c>
      <c r="B3291" s="80" t="s">
        <v>1867</v>
      </c>
      <c r="C3291" s="80" t="s">
        <v>189</v>
      </c>
      <c r="D3291" s="80" t="s">
        <v>133</v>
      </c>
      <c r="E3291" s="80" t="s">
        <v>131</v>
      </c>
      <c r="F3291" s="170">
        <v>30</v>
      </c>
    </row>
    <row r="3292" spans="1:6" hidden="1" x14ac:dyDescent="0.25">
      <c r="A3292" s="169">
        <v>43646</v>
      </c>
      <c r="B3292" s="80" t="s">
        <v>1877</v>
      </c>
      <c r="C3292" s="80" t="s">
        <v>119</v>
      </c>
      <c r="D3292" s="80" t="s">
        <v>133</v>
      </c>
      <c r="E3292" s="80" t="s">
        <v>153</v>
      </c>
      <c r="F3292" s="170">
        <v>30</v>
      </c>
    </row>
    <row r="3293" spans="1:6" hidden="1" x14ac:dyDescent="0.25">
      <c r="A3293" s="169">
        <v>43646</v>
      </c>
      <c r="B3293" s="80" t="s">
        <v>1880</v>
      </c>
      <c r="C3293" s="80" t="s">
        <v>143</v>
      </c>
      <c r="D3293" s="80" t="s">
        <v>133</v>
      </c>
      <c r="E3293" s="80" t="s">
        <v>134</v>
      </c>
      <c r="F3293" s="170">
        <v>30</v>
      </c>
    </row>
    <row r="3294" spans="1:6" hidden="1" x14ac:dyDescent="0.25">
      <c r="A3294" s="169">
        <v>43646</v>
      </c>
      <c r="B3294" s="80" t="s">
        <v>1882</v>
      </c>
      <c r="C3294" s="80" t="s">
        <v>167</v>
      </c>
      <c r="D3294" s="80" t="s">
        <v>133</v>
      </c>
      <c r="E3294" s="80" t="s">
        <v>127</v>
      </c>
      <c r="F3294" s="170">
        <v>30</v>
      </c>
    </row>
    <row r="3295" spans="1:6" hidden="1" x14ac:dyDescent="0.25">
      <c r="A3295" s="169">
        <v>43649</v>
      </c>
      <c r="B3295" s="80" t="s">
        <v>1910</v>
      </c>
      <c r="C3295" s="80" t="s">
        <v>125</v>
      </c>
      <c r="D3295" s="80" t="s">
        <v>133</v>
      </c>
      <c r="E3295" s="80" t="s">
        <v>134</v>
      </c>
      <c r="F3295" s="170">
        <v>30</v>
      </c>
    </row>
    <row r="3296" spans="1:6" hidden="1" x14ac:dyDescent="0.25">
      <c r="A3296" s="169">
        <v>43651</v>
      </c>
      <c r="B3296" s="80" t="s">
        <v>1937</v>
      </c>
      <c r="C3296" s="80" t="s">
        <v>123</v>
      </c>
      <c r="D3296" s="80" t="s">
        <v>133</v>
      </c>
      <c r="E3296" s="80" t="s">
        <v>134</v>
      </c>
      <c r="F3296" s="170">
        <v>30</v>
      </c>
    </row>
    <row r="3297" spans="1:6" hidden="1" x14ac:dyDescent="0.25">
      <c r="A3297" s="169">
        <v>43652</v>
      </c>
      <c r="B3297" s="80" t="s">
        <v>1941</v>
      </c>
      <c r="C3297" s="80" t="s">
        <v>143</v>
      </c>
      <c r="D3297" s="80" t="s">
        <v>133</v>
      </c>
      <c r="E3297" s="80" t="s">
        <v>131</v>
      </c>
      <c r="F3297" s="170">
        <v>30</v>
      </c>
    </row>
    <row r="3298" spans="1:6" hidden="1" x14ac:dyDescent="0.25">
      <c r="A3298" s="169">
        <v>43652</v>
      </c>
      <c r="B3298" s="80" t="s">
        <v>1944</v>
      </c>
      <c r="C3298" s="80" t="s">
        <v>138</v>
      </c>
      <c r="D3298" s="80" t="s">
        <v>133</v>
      </c>
      <c r="E3298" s="80" t="s">
        <v>121</v>
      </c>
      <c r="F3298" s="170">
        <v>30</v>
      </c>
    </row>
    <row r="3299" spans="1:6" hidden="1" x14ac:dyDescent="0.25">
      <c r="A3299" s="169">
        <v>43652</v>
      </c>
      <c r="B3299" s="80" t="s">
        <v>1946</v>
      </c>
      <c r="C3299" s="80" t="s">
        <v>187</v>
      </c>
      <c r="D3299" s="80" t="s">
        <v>133</v>
      </c>
      <c r="E3299" s="80" t="s">
        <v>134</v>
      </c>
      <c r="F3299" s="170">
        <v>30</v>
      </c>
    </row>
    <row r="3300" spans="1:6" hidden="1" x14ac:dyDescent="0.25">
      <c r="A3300" s="169">
        <v>43653</v>
      </c>
      <c r="B3300" s="80" t="s">
        <v>1957</v>
      </c>
      <c r="C3300" s="80" t="s">
        <v>182</v>
      </c>
      <c r="D3300" s="80" t="s">
        <v>133</v>
      </c>
      <c r="E3300" s="80" t="s">
        <v>153</v>
      </c>
      <c r="F3300" s="170">
        <v>30</v>
      </c>
    </row>
    <row r="3301" spans="1:6" hidden="1" x14ac:dyDescent="0.25">
      <c r="A3301" s="169">
        <v>43655</v>
      </c>
      <c r="B3301" s="80" t="s">
        <v>1967</v>
      </c>
      <c r="C3301" s="80" t="s">
        <v>167</v>
      </c>
      <c r="D3301" s="80" t="s">
        <v>133</v>
      </c>
      <c r="E3301" s="80" t="s">
        <v>121</v>
      </c>
      <c r="F3301" s="170">
        <v>30</v>
      </c>
    </row>
    <row r="3302" spans="1:6" hidden="1" x14ac:dyDescent="0.25">
      <c r="A3302" s="169">
        <v>43656</v>
      </c>
      <c r="B3302" s="80" t="s">
        <v>1973</v>
      </c>
      <c r="C3302" s="80" t="s">
        <v>189</v>
      </c>
      <c r="D3302" s="80" t="s">
        <v>133</v>
      </c>
      <c r="E3302" s="80" t="s">
        <v>121</v>
      </c>
      <c r="F3302" s="170">
        <v>30</v>
      </c>
    </row>
    <row r="3303" spans="1:6" hidden="1" x14ac:dyDescent="0.25">
      <c r="A3303" s="169">
        <v>43658</v>
      </c>
      <c r="B3303" s="80" t="s">
        <v>1994</v>
      </c>
      <c r="C3303" s="80" t="s">
        <v>152</v>
      </c>
      <c r="D3303" s="80" t="s">
        <v>133</v>
      </c>
      <c r="E3303" s="80" t="s">
        <v>131</v>
      </c>
      <c r="F3303" s="170">
        <v>30</v>
      </c>
    </row>
    <row r="3304" spans="1:6" hidden="1" x14ac:dyDescent="0.25">
      <c r="A3304" s="169">
        <v>43659</v>
      </c>
      <c r="B3304" s="80" t="s">
        <v>2011</v>
      </c>
      <c r="C3304" s="80" t="s">
        <v>125</v>
      </c>
      <c r="D3304" s="80" t="s">
        <v>133</v>
      </c>
      <c r="E3304" s="80" t="s">
        <v>134</v>
      </c>
      <c r="F3304" s="170">
        <v>30</v>
      </c>
    </row>
    <row r="3305" spans="1:6" hidden="1" x14ac:dyDescent="0.25">
      <c r="A3305" s="169">
        <v>43660</v>
      </c>
      <c r="B3305" s="80" t="s">
        <v>2013</v>
      </c>
      <c r="C3305" s="80" t="s">
        <v>145</v>
      </c>
      <c r="D3305" s="80" t="s">
        <v>133</v>
      </c>
      <c r="E3305" s="80" t="s">
        <v>131</v>
      </c>
      <c r="F3305" s="170">
        <v>30</v>
      </c>
    </row>
    <row r="3306" spans="1:6" hidden="1" x14ac:dyDescent="0.25">
      <c r="A3306" s="169">
        <v>43661</v>
      </c>
      <c r="B3306" s="80" t="s">
        <v>2024</v>
      </c>
      <c r="C3306" s="80" t="s">
        <v>148</v>
      </c>
      <c r="D3306" s="80" t="s">
        <v>133</v>
      </c>
      <c r="E3306" s="80" t="s">
        <v>121</v>
      </c>
      <c r="F3306" s="170">
        <v>30</v>
      </c>
    </row>
    <row r="3307" spans="1:6" hidden="1" x14ac:dyDescent="0.25">
      <c r="A3307" s="169">
        <v>43662</v>
      </c>
      <c r="B3307" s="80" t="s">
        <v>2033</v>
      </c>
      <c r="C3307" s="80" t="s">
        <v>189</v>
      </c>
      <c r="D3307" s="80" t="s">
        <v>133</v>
      </c>
      <c r="E3307" s="80" t="s">
        <v>127</v>
      </c>
      <c r="F3307" s="170">
        <v>30</v>
      </c>
    </row>
    <row r="3308" spans="1:6" hidden="1" x14ac:dyDescent="0.25">
      <c r="A3308" s="169">
        <v>43667</v>
      </c>
      <c r="B3308" s="80" t="s">
        <v>2073</v>
      </c>
      <c r="C3308" s="80" t="s">
        <v>182</v>
      </c>
      <c r="D3308" s="80" t="s">
        <v>133</v>
      </c>
      <c r="E3308" s="80" t="s">
        <v>153</v>
      </c>
      <c r="F3308" s="170">
        <v>30</v>
      </c>
    </row>
    <row r="3309" spans="1:6" hidden="1" x14ac:dyDescent="0.25">
      <c r="A3309" s="169">
        <v>43668</v>
      </c>
      <c r="B3309" s="80" t="s">
        <v>2089</v>
      </c>
      <c r="C3309" s="80" t="s">
        <v>167</v>
      </c>
      <c r="D3309" s="80" t="s">
        <v>133</v>
      </c>
      <c r="E3309" s="80" t="s">
        <v>127</v>
      </c>
      <c r="F3309" s="170">
        <v>30</v>
      </c>
    </row>
    <row r="3310" spans="1:6" hidden="1" x14ac:dyDescent="0.25">
      <c r="A3310" s="169">
        <v>43670</v>
      </c>
      <c r="B3310" s="80" t="s">
        <v>2105</v>
      </c>
      <c r="C3310" s="80" t="s">
        <v>119</v>
      </c>
      <c r="D3310" s="80" t="s">
        <v>133</v>
      </c>
      <c r="E3310" s="80" t="s">
        <v>127</v>
      </c>
      <c r="F3310" s="170">
        <v>30</v>
      </c>
    </row>
    <row r="3311" spans="1:6" hidden="1" x14ac:dyDescent="0.25">
      <c r="A3311" s="169">
        <v>43671</v>
      </c>
      <c r="B3311" s="80" t="s">
        <v>2110</v>
      </c>
      <c r="C3311" s="80" t="s">
        <v>187</v>
      </c>
      <c r="D3311" s="80" t="s">
        <v>133</v>
      </c>
      <c r="E3311" s="80" t="s">
        <v>153</v>
      </c>
      <c r="F3311" s="170">
        <v>30</v>
      </c>
    </row>
    <row r="3312" spans="1:6" hidden="1" x14ac:dyDescent="0.25">
      <c r="A3312" s="169">
        <v>43671</v>
      </c>
      <c r="B3312" s="80" t="s">
        <v>2112</v>
      </c>
      <c r="C3312" s="80" t="s">
        <v>182</v>
      </c>
      <c r="D3312" s="80" t="s">
        <v>133</v>
      </c>
      <c r="E3312" s="80" t="s">
        <v>134</v>
      </c>
      <c r="F3312" s="170">
        <v>30</v>
      </c>
    </row>
    <row r="3313" spans="1:6" hidden="1" x14ac:dyDescent="0.25">
      <c r="A3313" s="169">
        <v>43671</v>
      </c>
      <c r="B3313" s="80" t="s">
        <v>2117</v>
      </c>
      <c r="C3313" s="80" t="s">
        <v>167</v>
      </c>
      <c r="D3313" s="80" t="s">
        <v>133</v>
      </c>
      <c r="E3313" s="80" t="s">
        <v>131</v>
      </c>
      <c r="F3313" s="170">
        <v>30</v>
      </c>
    </row>
    <row r="3314" spans="1:6" hidden="1" x14ac:dyDescent="0.25">
      <c r="A3314" s="169">
        <v>43671</v>
      </c>
      <c r="B3314" s="80" t="s">
        <v>2120</v>
      </c>
      <c r="C3314" s="80" t="s">
        <v>152</v>
      </c>
      <c r="D3314" s="80" t="s">
        <v>133</v>
      </c>
      <c r="E3314" s="80" t="s">
        <v>134</v>
      </c>
      <c r="F3314" s="170">
        <v>30</v>
      </c>
    </row>
    <row r="3315" spans="1:6" hidden="1" x14ac:dyDescent="0.25">
      <c r="A3315" s="169">
        <v>43672</v>
      </c>
      <c r="B3315" s="80" t="s">
        <v>2128</v>
      </c>
      <c r="C3315" s="80" t="s">
        <v>148</v>
      </c>
      <c r="D3315" s="80" t="s">
        <v>133</v>
      </c>
      <c r="E3315" s="80" t="s">
        <v>134</v>
      </c>
      <c r="F3315" s="170">
        <v>30</v>
      </c>
    </row>
    <row r="3316" spans="1:6" hidden="1" x14ac:dyDescent="0.25">
      <c r="A3316" s="169">
        <v>43673</v>
      </c>
      <c r="B3316" s="80" t="s">
        <v>2138</v>
      </c>
      <c r="C3316" s="80" t="s">
        <v>125</v>
      </c>
      <c r="D3316" s="80" t="s">
        <v>133</v>
      </c>
      <c r="E3316" s="80" t="s">
        <v>131</v>
      </c>
      <c r="F3316" s="170">
        <v>30</v>
      </c>
    </row>
    <row r="3317" spans="1:6" hidden="1" x14ac:dyDescent="0.25">
      <c r="A3317" s="169">
        <v>43675</v>
      </c>
      <c r="B3317" s="80" t="s">
        <v>2154</v>
      </c>
      <c r="C3317" s="80" t="s">
        <v>152</v>
      </c>
      <c r="D3317" s="80" t="s">
        <v>133</v>
      </c>
      <c r="E3317" s="80" t="s">
        <v>121</v>
      </c>
      <c r="F3317" s="170">
        <v>30</v>
      </c>
    </row>
    <row r="3318" spans="1:6" hidden="1" x14ac:dyDescent="0.25">
      <c r="A3318" s="169">
        <v>43675</v>
      </c>
      <c r="B3318" s="80" t="s">
        <v>2155</v>
      </c>
      <c r="C3318" s="80" t="s">
        <v>148</v>
      </c>
      <c r="D3318" s="80" t="s">
        <v>133</v>
      </c>
      <c r="E3318" s="80" t="s">
        <v>127</v>
      </c>
      <c r="F3318" s="170">
        <v>30</v>
      </c>
    </row>
    <row r="3319" spans="1:6" hidden="1" x14ac:dyDescent="0.25">
      <c r="A3319" s="169">
        <v>43676</v>
      </c>
      <c r="B3319" s="80" t="s">
        <v>2170</v>
      </c>
      <c r="C3319" s="80" t="s">
        <v>143</v>
      </c>
      <c r="D3319" s="80" t="s">
        <v>133</v>
      </c>
      <c r="E3319" s="80" t="s">
        <v>121</v>
      </c>
      <c r="F3319" s="170">
        <v>30</v>
      </c>
    </row>
    <row r="3320" spans="1:6" hidden="1" x14ac:dyDescent="0.25">
      <c r="A3320" s="169">
        <v>43678</v>
      </c>
      <c r="B3320" s="80" t="s">
        <v>2184</v>
      </c>
      <c r="C3320" s="80" t="s">
        <v>125</v>
      </c>
      <c r="D3320" s="80" t="s">
        <v>133</v>
      </c>
      <c r="E3320" s="80" t="s">
        <v>131</v>
      </c>
      <c r="F3320" s="170">
        <v>30</v>
      </c>
    </row>
    <row r="3321" spans="1:6" hidden="1" x14ac:dyDescent="0.25">
      <c r="A3321" s="169">
        <v>43678</v>
      </c>
      <c r="B3321" s="80" t="s">
        <v>2190</v>
      </c>
      <c r="C3321" s="80" t="s">
        <v>123</v>
      </c>
      <c r="D3321" s="80" t="s">
        <v>133</v>
      </c>
      <c r="E3321" s="80" t="s">
        <v>121</v>
      </c>
      <c r="F3321" s="170">
        <v>30</v>
      </c>
    </row>
    <row r="3322" spans="1:6" hidden="1" x14ac:dyDescent="0.25">
      <c r="A3322" s="169">
        <v>43679</v>
      </c>
      <c r="B3322" s="80" t="s">
        <v>2200</v>
      </c>
      <c r="C3322" s="80" t="s">
        <v>157</v>
      </c>
      <c r="D3322" s="80" t="s">
        <v>133</v>
      </c>
      <c r="E3322" s="80" t="s">
        <v>127</v>
      </c>
      <c r="F3322" s="170">
        <v>30</v>
      </c>
    </row>
    <row r="3323" spans="1:6" hidden="1" x14ac:dyDescent="0.25">
      <c r="A3323" s="169">
        <v>43679</v>
      </c>
      <c r="B3323" s="80" t="s">
        <v>2202</v>
      </c>
      <c r="C3323" s="80" t="s">
        <v>143</v>
      </c>
      <c r="D3323" s="80" t="s">
        <v>133</v>
      </c>
      <c r="E3323" s="80" t="s">
        <v>131</v>
      </c>
      <c r="F3323" s="170">
        <v>30</v>
      </c>
    </row>
    <row r="3324" spans="1:6" hidden="1" x14ac:dyDescent="0.25">
      <c r="A3324" s="169">
        <v>43680</v>
      </c>
      <c r="B3324" s="80" t="s">
        <v>2206</v>
      </c>
      <c r="C3324" s="80" t="s">
        <v>136</v>
      </c>
      <c r="D3324" s="80" t="s">
        <v>133</v>
      </c>
      <c r="E3324" s="80" t="s">
        <v>134</v>
      </c>
      <c r="F3324" s="170">
        <v>30</v>
      </c>
    </row>
    <row r="3325" spans="1:6" hidden="1" x14ac:dyDescent="0.25">
      <c r="A3325" s="169">
        <v>43680</v>
      </c>
      <c r="B3325" s="80" t="s">
        <v>2210</v>
      </c>
      <c r="C3325" s="80" t="s">
        <v>187</v>
      </c>
      <c r="D3325" s="80" t="s">
        <v>133</v>
      </c>
      <c r="E3325" s="80" t="s">
        <v>127</v>
      </c>
      <c r="F3325" s="170">
        <v>30</v>
      </c>
    </row>
    <row r="3326" spans="1:6" hidden="1" x14ac:dyDescent="0.25">
      <c r="A3326" s="169">
        <v>43681</v>
      </c>
      <c r="B3326" s="80" t="s">
        <v>2221</v>
      </c>
      <c r="C3326" s="80" t="s">
        <v>136</v>
      </c>
      <c r="D3326" s="80" t="s">
        <v>133</v>
      </c>
      <c r="E3326" s="80" t="s">
        <v>153</v>
      </c>
      <c r="F3326" s="170">
        <v>30</v>
      </c>
    </row>
    <row r="3327" spans="1:6" hidden="1" x14ac:dyDescent="0.25">
      <c r="A3327" s="169">
        <v>43682</v>
      </c>
      <c r="B3327" s="80" t="s">
        <v>2225</v>
      </c>
      <c r="C3327" s="80" t="s">
        <v>182</v>
      </c>
      <c r="D3327" s="80" t="s">
        <v>133</v>
      </c>
      <c r="E3327" s="80" t="s">
        <v>131</v>
      </c>
      <c r="F3327" s="170">
        <v>30</v>
      </c>
    </row>
    <row r="3328" spans="1:6" hidden="1" x14ac:dyDescent="0.25">
      <c r="A3328" s="169">
        <v>43683</v>
      </c>
      <c r="B3328" s="80" t="s">
        <v>2233</v>
      </c>
      <c r="C3328" s="80" t="s">
        <v>119</v>
      </c>
      <c r="D3328" s="80" t="s">
        <v>133</v>
      </c>
      <c r="E3328" s="80" t="s">
        <v>131</v>
      </c>
      <c r="F3328" s="170">
        <v>30</v>
      </c>
    </row>
    <row r="3329" spans="1:6" hidden="1" x14ac:dyDescent="0.25">
      <c r="A3329" s="169">
        <v>43683</v>
      </c>
      <c r="B3329" s="80" t="s">
        <v>2238</v>
      </c>
      <c r="C3329" s="80" t="s">
        <v>189</v>
      </c>
      <c r="D3329" s="80" t="s">
        <v>133</v>
      </c>
      <c r="E3329" s="80" t="s">
        <v>121</v>
      </c>
      <c r="F3329" s="170">
        <v>30</v>
      </c>
    </row>
    <row r="3330" spans="1:6" hidden="1" x14ac:dyDescent="0.25">
      <c r="A3330" s="169">
        <v>43683</v>
      </c>
      <c r="B3330" s="80" t="s">
        <v>2239</v>
      </c>
      <c r="C3330" s="80" t="s">
        <v>182</v>
      </c>
      <c r="D3330" s="80" t="s">
        <v>133</v>
      </c>
      <c r="E3330" s="80" t="s">
        <v>134</v>
      </c>
      <c r="F3330" s="170">
        <v>30</v>
      </c>
    </row>
    <row r="3331" spans="1:6" hidden="1" x14ac:dyDescent="0.25">
      <c r="A3331" s="169">
        <v>43684</v>
      </c>
      <c r="B3331" s="80" t="s">
        <v>2249</v>
      </c>
      <c r="C3331" s="80" t="s">
        <v>129</v>
      </c>
      <c r="D3331" s="80" t="s">
        <v>133</v>
      </c>
      <c r="E3331" s="80" t="s">
        <v>121</v>
      </c>
      <c r="F3331" s="170">
        <v>30</v>
      </c>
    </row>
    <row r="3332" spans="1:6" hidden="1" x14ac:dyDescent="0.25">
      <c r="A3332" s="169">
        <v>43685</v>
      </c>
      <c r="B3332" s="80" t="s">
        <v>2262</v>
      </c>
      <c r="C3332" s="80" t="s">
        <v>119</v>
      </c>
      <c r="D3332" s="80" t="s">
        <v>133</v>
      </c>
      <c r="E3332" s="80" t="s">
        <v>121</v>
      </c>
      <c r="F3332" s="170">
        <v>30</v>
      </c>
    </row>
    <row r="3333" spans="1:6" hidden="1" x14ac:dyDescent="0.25">
      <c r="A3333" s="169">
        <v>43686</v>
      </c>
      <c r="B3333" s="80" t="s">
        <v>2266</v>
      </c>
      <c r="C3333" s="80" t="s">
        <v>145</v>
      </c>
      <c r="D3333" s="80" t="s">
        <v>133</v>
      </c>
      <c r="E3333" s="80" t="s">
        <v>127</v>
      </c>
      <c r="F3333" s="170">
        <v>30</v>
      </c>
    </row>
    <row r="3334" spans="1:6" hidden="1" x14ac:dyDescent="0.25">
      <c r="A3334" s="169">
        <v>43686</v>
      </c>
      <c r="B3334" s="80" t="s">
        <v>2277</v>
      </c>
      <c r="C3334" s="80" t="s">
        <v>145</v>
      </c>
      <c r="D3334" s="80" t="s">
        <v>133</v>
      </c>
      <c r="E3334" s="80" t="s">
        <v>153</v>
      </c>
      <c r="F3334" s="170">
        <v>30</v>
      </c>
    </row>
    <row r="3335" spans="1:6" hidden="1" x14ac:dyDescent="0.25">
      <c r="A3335" s="169">
        <v>43686</v>
      </c>
      <c r="B3335" s="80" t="s">
        <v>2279</v>
      </c>
      <c r="C3335" s="80" t="s">
        <v>164</v>
      </c>
      <c r="D3335" s="80" t="s">
        <v>133</v>
      </c>
      <c r="E3335" s="80" t="s">
        <v>131</v>
      </c>
      <c r="F3335" s="170">
        <v>30</v>
      </c>
    </row>
    <row r="3336" spans="1:6" hidden="1" x14ac:dyDescent="0.25">
      <c r="A3336" s="169">
        <v>43688</v>
      </c>
      <c r="B3336" s="80" t="s">
        <v>2293</v>
      </c>
      <c r="C3336" s="80" t="s">
        <v>164</v>
      </c>
      <c r="D3336" s="80" t="s">
        <v>133</v>
      </c>
      <c r="E3336" s="80" t="s">
        <v>134</v>
      </c>
      <c r="F3336" s="170">
        <v>30</v>
      </c>
    </row>
    <row r="3337" spans="1:6" hidden="1" x14ac:dyDescent="0.25">
      <c r="A3337" s="169">
        <v>43690</v>
      </c>
      <c r="B3337" s="80" t="s">
        <v>2299</v>
      </c>
      <c r="C3337" s="80" t="s">
        <v>187</v>
      </c>
      <c r="D3337" s="80" t="s">
        <v>133</v>
      </c>
      <c r="E3337" s="80" t="s">
        <v>131</v>
      </c>
      <c r="F3337" s="170">
        <v>30</v>
      </c>
    </row>
    <row r="3338" spans="1:6" hidden="1" x14ac:dyDescent="0.25">
      <c r="A3338" s="169">
        <v>43690</v>
      </c>
      <c r="B3338" s="80" t="s">
        <v>2307</v>
      </c>
      <c r="C3338" s="80" t="s">
        <v>148</v>
      </c>
      <c r="D3338" s="80" t="s">
        <v>133</v>
      </c>
      <c r="E3338" s="80" t="s">
        <v>121</v>
      </c>
      <c r="F3338" s="170">
        <v>30</v>
      </c>
    </row>
    <row r="3339" spans="1:6" hidden="1" x14ac:dyDescent="0.25">
      <c r="A3339" s="169">
        <v>43690</v>
      </c>
      <c r="B3339" s="80" t="s">
        <v>2312</v>
      </c>
      <c r="C3339" s="80" t="s">
        <v>138</v>
      </c>
      <c r="D3339" s="80" t="s">
        <v>133</v>
      </c>
      <c r="E3339" s="80" t="s">
        <v>121</v>
      </c>
      <c r="F3339" s="170">
        <v>30</v>
      </c>
    </row>
    <row r="3340" spans="1:6" hidden="1" x14ac:dyDescent="0.25">
      <c r="A3340" s="169">
        <v>43690</v>
      </c>
      <c r="B3340" s="80" t="s">
        <v>2315</v>
      </c>
      <c r="C3340" s="80" t="s">
        <v>223</v>
      </c>
      <c r="D3340" s="80" t="s">
        <v>133</v>
      </c>
      <c r="E3340" s="80" t="s">
        <v>134</v>
      </c>
      <c r="F3340" s="170">
        <v>30</v>
      </c>
    </row>
    <row r="3341" spans="1:6" hidden="1" x14ac:dyDescent="0.25">
      <c r="A3341" s="169">
        <v>43693</v>
      </c>
      <c r="B3341" s="80" t="s">
        <v>2335</v>
      </c>
      <c r="C3341" s="80" t="s">
        <v>143</v>
      </c>
      <c r="D3341" s="80" t="s">
        <v>133</v>
      </c>
      <c r="E3341" s="80" t="s">
        <v>127</v>
      </c>
      <c r="F3341" s="170">
        <v>30</v>
      </c>
    </row>
    <row r="3342" spans="1:6" hidden="1" x14ac:dyDescent="0.25">
      <c r="A3342" s="169">
        <v>43693</v>
      </c>
      <c r="B3342" s="80" t="s">
        <v>2345</v>
      </c>
      <c r="C3342" s="80" t="s">
        <v>145</v>
      </c>
      <c r="D3342" s="80" t="s">
        <v>133</v>
      </c>
      <c r="E3342" s="80" t="s">
        <v>121</v>
      </c>
      <c r="F3342" s="170">
        <v>30</v>
      </c>
    </row>
    <row r="3343" spans="1:6" hidden="1" x14ac:dyDescent="0.25">
      <c r="A3343" s="169">
        <v>43693</v>
      </c>
      <c r="B3343" s="80" t="s">
        <v>2347</v>
      </c>
      <c r="C3343" s="80" t="s">
        <v>157</v>
      </c>
      <c r="D3343" s="80" t="s">
        <v>133</v>
      </c>
      <c r="E3343" s="80" t="s">
        <v>121</v>
      </c>
      <c r="F3343" s="170">
        <v>30</v>
      </c>
    </row>
    <row r="3344" spans="1:6" hidden="1" x14ac:dyDescent="0.25">
      <c r="A3344" s="169">
        <v>43694</v>
      </c>
      <c r="B3344" s="80" t="s">
        <v>2353</v>
      </c>
      <c r="C3344" s="80" t="s">
        <v>164</v>
      </c>
      <c r="D3344" s="80" t="s">
        <v>133</v>
      </c>
      <c r="E3344" s="80" t="s">
        <v>134</v>
      </c>
      <c r="F3344" s="170">
        <v>30</v>
      </c>
    </row>
    <row r="3345" spans="1:6" hidden="1" x14ac:dyDescent="0.25">
      <c r="A3345" s="169">
        <v>43694</v>
      </c>
      <c r="B3345" s="80" t="s">
        <v>2359</v>
      </c>
      <c r="C3345" s="80" t="s">
        <v>143</v>
      </c>
      <c r="D3345" s="80" t="s">
        <v>133</v>
      </c>
      <c r="E3345" s="80" t="s">
        <v>134</v>
      </c>
      <c r="F3345" s="170">
        <v>30</v>
      </c>
    </row>
    <row r="3346" spans="1:6" hidden="1" x14ac:dyDescent="0.25">
      <c r="A3346" s="169">
        <v>43695</v>
      </c>
      <c r="B3346" s="80" t="s">
        <v>2366</v>
      </c>
      <c r="C3346" s="80" t="s">
        <v>189</v>
      </c>
      <c r="D3346" s="80" t="s">
        <v>133</v>
      </c>
      <c r="E3346" s="80" t="s">
        <v>127</v>
      </c>
      <c r="F3346" s="170">
        <v>30</v>
      </c>
    </row>
    <row r="3347" spans="1:6" hidden="1" x14ac:dyDescent="0.25">
      <c r="A3347" s="169">
        <v>43695</v>
      </c>
      <c r="B3347" s="80" t="s">
        <v>2367</v>
      </c>
      <c r="C3347" s="80" t="s">
        <v>136</v>
      </c>
      <c r="D3347" s="80" t="s">
        <v>133</v>
      </c>
      <c r="E3347" s="80" t="s">
        <v>153</v>
      </c>
      <c r="F3347" s="170">
        <v>30</v>
      </c>
    </row>
    <row r="3348" spans="1:6" hidden="1" x14ac:dyDescent="0.25">
      <c r="A3348" s="169">
        <v>43696</v>
      </c>
      <c r="B3348" s="80" t="s">
        <v>2374</v>
      </c>
      <c r="C3348" s="80" t="s">
        <v>187</v>
      </c>
      <c r="D3348" s="80" t="s">
        <v>133</v>
      </c>
      <c r="E3348" s="80" t="s">
        <v>127</v>
      </c>
      <c r="F3348" s="170">
        <v>30</v>
      </c>
    </row>
    <row r="3349" spans="1:6" hidden="1" x14ac:dyDescent="0.25">
      <c r="A3349" s="169">
        <v>43696</v>
      </c>
      <c r="B3349" s="80" t="s">
        <v>2376</v>
      </c>
      <c r="C3349" s="80" t="s">
        <v>125</v>
      </c>
      <c r="D3349" s="80" t="s">
        <v>133</v>
      </c>
      <c r="E3349" s="80" t="s">
        <v>121</v>
      </c>
      <c r="F3349" s="170">
        <v>30</v>
      </c>
    </row>
    <row r="3350" spans="1:6" hidden="1" x14ac:dyDescent="0.25">
      <c r="A3350" s="169">
        <v>43697</v>
      </c>
      <c r="B3350" s="80" t="s">
        <v>2383</v>
      </c>
      <c r="C3350" s="80" t="s">
        <v>119</v>
      </c>
      <c r="D3350" s="80" t="s">
        <v>133</v>
      </c>
      <c r="E3350" s="80" t="s">
        <v>121</v>
      </c>
      <c r="F3350" s="170">
        <v>30</v>
      </c>
    </row>
    <row r="3351" spans="1:6" hidden="1" x14ac:dyDescent="0.25">
      <c r="A3351" s="169">
        <v>43697</v>
      </c>
      <c r="B3351" s="80" t="s">
        <v>2390</v>
      </c>
      <c r="C3351" s="80" t="s">
        <v>136</v>
      </c>
      <c r="D3351" s="80" t="s">
        <v>133</v>
      </c>
      <c r="E3351" s="80" t="s">
        <v>121</v>
      </c>
      <c r="F3351" s="170">
        <v>30</v>
      </c>
    </row>
    <row r="3352" spans="1:6" hidden="1" x14ac:dyDescent="0.25">
      <c r="A3352" s="169">
        <v>43698</v>
      </c>
      <c r="B3352" s="80" t="s">
        <v>2391</v>
      </c>
      <c r="C3352" s="80" t="s">
        <v>157</v>
      </c>
      <c r="D3352" s="80" t="s">
        <v>133</v>
      </c>
      <c r="E3352" s="80" t="s">
        <v>121</v>
      </c>
      <c r="F3352" s="170">
        <v>30</v>
      </c>
    </row>
    <row r="3353" spans="1:6" hidden="1" x14ac:dyDescent="0.25">
      <c r="A3353" s="169">
        <v>43698</v>
      </c>
      <c r="B3353" s="80" t="s">
        <v>2393</v>
      </c>
      <c r="C3353" s="80" t="s">
        <v>129</v>
      </c>
      <c r="D3353" s="80" t="s">
        <v>133</v>
      </c>
      <c r="E3353" s="80" t="s">
        <v>127</v>
      </c>
      <c r="F3353" s="170">
        <v>30</v>
      </c>
    </row>
    <row r="3354" spans="1:6" hidden="1" x14ac:dyDescent="0.25">
      <c r="A3354" s="169">
        <v>43699</v>
      </c>
      <c r="B3354" s="80" t="s">
        <v>2399</v>
      </c>
      <c r="C3354" s="80" t="s">
        <v>125</v>
      </c>
      <c r="D3354" s="80" t="s">
        <v>133</v>
      </c>
      <c r="E3354" s="80" t="s">
        <v>153</v>
      </c>
      <c r="F3354" s="170">
        <v>30</v>
      </c>
    </row>
    <row r="3355" spans="1:6" hidden="1" x14ac:dyDescent="0.25">
      <c r="A3355" s="169">
        <v>43700</v>
      </c>
      <c r="B3355" s="80" t="s">
        <v>2404</v>
      </c>
      <c r="C3355" s="80" t="s">
        <v>167</v>
      </c>
      <c r="D3355" s="80" t="s">
        <v>133</v>
      </c>
      <c r="E3355" s="80" t="s">
        <v>134</v>
      </c>
      <c r="F3355" s="170">
        <v>30</v>
      </c>
    </row>
    <row r="3356" spans="1:6" hidden="1" x14ac:dyDescent="0.25">
      <c r="A3356" s="169">
        <v>43701</v>
      </c>
      <c r="B3356" s="80" t="s">
        <v>2406</v>
      </c>
      <c r="C3356" s="80" t="s">
        <v>138</v>
      </c>
      <c r="D3356" s="80" t="s">
        <v>133</v>
      </c>
      <c r="E3356" s="80" t="s">
        <v>127</v>
      </c>
      <c r="F3356" s="170">
        <v>30</v>
      </c>
    </row>
    <row r="3357" spans="1:6" hidden="1" x14ac:dyDescent="0.25">
      <c r="A3357" s="169">
        <v>43702</v>
      </c>
      <c r="B3357" s="80" t="s">
        <v>2422</v>
      </c>
      <c r="C3357" s="80" t="s">
        <v>143</v>
      </c>
      <c r="D3357" s="80" t="s">
        <v>133</v>
      </c>
      <c r="E3357" s="80" t="s">
        <v>134</v>
      </c>
      <c r="F3357" s="170">
        <v>30</v>
      </c>
    </row>
    <row r="3358" spans="1:6" hidden="1" x14ac:dyDescent="0.25">
      <c r="A3358" s="169">
        <v>43704</v>
      </c>
      <c r="B3358" s="80" t="s">
        <v>2445</v>
      </c>
      <c r="C3358" s="80" t="s">
        <v>189</v>
      </c>
      <c r="D3358" s="80" t="s">
        <v>133</v>
      </c>
      <c r="E3358" s="80" t="s">
        <v>121</v>
      </c>
      <c r="F3358" s="170">
        <v>30</v>
      </c>
    </row>
    <row r="3359" spans="1:6" hidden="1" x14ac:dyDescent="0.25">
      <c r="A3359" s="169">
        <v>43705</v>
      </c>
      <c r="B3359" s="80" t="s">
        <v>2451</v>
      </c>
      <c r="C3359" s="80" t="s">
        <v>164</v>
      </c>
      <c r="D3359" s="80" t="s">
        <v>133</v>
      </c>
      <c r="E3359" s="80" t="s">
        <v>134</v>
      </c>
      <c r="F3359" s="170">
        <v>30</v>
      </c>
    </row>
    <row r="3360" spans="1:6" hidden="1" x14ac:dyDescent="0.25">
      <c r="A3360" s="169">
        <v>43706</v>
      </c>
      <c r="B3360" s="80" t="s">
        <v>2470</v>
      </c>
      <c r="C3360" s="80" t="s">
        <v>223</v>
      </c>
      <c r="D3360" s="80" t="s">
        <v>133</v>
      </c>
      <c r="E3360" s="80" t="s">
        <v>127</v>
      </c>
      <c r="F3360" s="170">
        <v>30</v>
      </c>
    </row>
    <row r="3361" spans="1:6" hidden="1" x14ac:dyDescent="0.25">
      <c r="A3361" s="169">
        <v>43707</v>
      </c>
      <c r="B3361" s="80" t="s">
        <v>2473</v>
      </c>
      <c r="C3361" s="80" t="s">
        <v>148</v>
      </c>
      <c r="D3361" s="80" t="s">
        <v>133</v>
      </c>
      <c r="E3361" s="80" t="s">
        <v>134</v>
      </c>
      <c r="F3361" s="170">
        <v>30</v>
      </c>
    </row>
    <row r="3362" spans="1:6" hidden="1" x14ac:dyDescent="0.25">
      <c r="A3362" s="169">
        <v>43707</v>
      </c>
      <c r="B3362" s="80" t="s">
        <v>2477</v>
      </c>
      <c r="C3362" s="80" t="s">
        <v>187</v>
      </c>
      <c r="D3362" s="80" t="s">
        <v>133</v>
      </c>
      <c r="E3362" s="80" t="s">
        <v>127</v>
      </c>
      <c r="F3362" s="170">
        <v>30</v>
      </c>
    </row>
    <row r="3363" spans="1:6" hidden="1" x14ac:dyDescent="0.25">
      <c r="A3363" s="169">
        <v>43708</v>
      </c>
      <c r="B3363" s="80" t="s">
        <v>2483</v>
      </c>
      <c r="C3363" s="80" t="s">
        <v>138</v>
      </c>
      <c r="D3363" s="80" t="s">
        <v>133</v>
      </c>
      <c r="E3363" s="80" t="s">
        <v>134</v>
      </c>
      <c r="F3363" s="170">
        <v>30</v>
      </c>
    </row>
    <row r="3364" spans="1:6" hidden="1" x14ac:dyDescent="0.25">
      <c r="A3364" s="169">
        <v>43709</v>
      </c>
      <c r="B3364" s="80" t="s">
        <v>2493</v>
      </c>
      <c r="C3364" s="80" t="s">
        <v>125</v>
      </c>
      <c r="D3364" s="80" t="s">
        <v>133</v>
      </c>
      <c r="E3364" s="80" t="s">
        <v>121</v>
      </c>
      <c r="F3364" s="170">
        <v>30</v>
      </c>
    </row>
    <row r="3365" spans="1:6" hidden="1" x14ac:dyDescent="0.25">
      <c r="A3365" s="169">
        <v>43711</v>
      </c>
      <c r="B3365" s="80" t="s">
        <v>2517</v>
      </c>
      <c r="C3365" s="80" t="s">
        <v>167</v>
      </c>
      <c r="D3365" s="80" t="s">
        <v>133</v>
      </c>
      <c r="E3365" s="80" t="s">
        <v>121</v>
      </c>
      <c r="F3365" s="170">
        <v>30</v>
      </c>
    </row>
    <row r="3366" spans="1:6" hidden="1" x14ac:dyDescent="0.25">
      <c r="A3366" s="169">
        <v>43711</v>
      </c>
      <c r="B3366" s="80" t="s">
        <v>2520</v>
      </c>
      <c r="C3366" s="80" t="s">
        <v>152</v>
      </c>
      <c r="D3366" s="80" t="s">
        <v>133</v>
      </c>
      <c r="E3366" s="80" t="s">
        <v>134</v>
      </c>
      <c r="F3366" s="170">
        <v>30</v>
      </c>
    </row>
    <row r="3367" spans="1:6" hidden="1" x14ac:dyDescent="0.25">
      <c r="A3367" s="169">
        <v>43712</v>
      </c>
      <c r="B3367" s="80" t="s">
        <v>2526</v>
      </c>
      <c r="C3367" s="80" t="s">
        <v>189</v>
      </c>
      <c r="D3367" s="80" t="s">
        <v>133</v>
      </c>
      <c r="E3367" s="80" t="s">
        <v>134</v>
      </c>
      <c r="F3367" s="170">
        <v>30</v>
      </c>
    </row>
    <row r="3368" spans="1:6" hidden="1" x14ac:dyDescent="0.25">
      <c r="A3368" s="169">
        <v>43713</v>
      </c>
      <c r="B3368" s="80" t="s">
        <v>2532</v>
      </c>
      <c r="C3368" s="80" t="s">
        <v>125</v>
      </c>
      <c r="D3368" s="80" t="s">
        <v>133</v>
      </c>
      <c r="E3368" s="80" t="s">
        <v>153</v>
      </c>
      <c r="F3368" s="170">
        <v>30</v>
      </c>
    </row>
    <row r="3369" spans="1:6" hidden="1" x14ac:dyDescent="0.25">
      <c r="A3369" s="169">
        <v>43713</v>
      </c>
      <c r="B3369" s="80" t="s">
        <v>2533</v>
      </c>
      <c r="C3369" s="80" t="s">
        <v>164</v>
      </c>
      <c r="D3369" s="80" t="s">
        <v>133</v>
      </c>
      <c r="E3369" s="80" t="s">
        <v>153</v>
      </c>
      <c r="F3369" s="170">
        <v>30</v>
      </c>
    </row>
    <row r="3370" spans="1:6" hidden="1" x14ac:dyDescent="0.25">
      <c r="A3370" s="169">
        <v>43714</v>
      </c>
      <c r="B3370" s="80" t="s">
        <v>2537</v>
      </c>
      <c r="C3370" s="80" t="s">
        <v>119</v>
      </c>
      <c r="D3370" s="80" t="s">
        <v>133</v>
      </c>
      <c r="E3370" s="80" t="s">
        <v>153</v>
      </c>
      <c r="F3370" s="170">
        <v>30</v>
      </c>
    </row>
    <row r="3371" spans="1:6" hidden="1" x14ac:dyDescent="0.25">
      <c r="A3371" s="169">
        <v>43714</v>
      </c>
      <c r="B3371" s="80" t="s">
        <v>2538</v>
      </c>
      <c r="C3371" s="80" t="s">
        <v>119</v>
      </c>
      <c r="D3371" s="80" t="s">
        <v>133</v>
      </c>
      <c r="E3371" s="80" t="s">
        <v>127</v>
      </c>
      <c r="F3371" s="170">
        <v>30</v>
      </c>
    </row>
    <row r="3372" spans="1:6" hidden="1" x14ac:dyDescent="0.25">
      <c r="A3372" s="169">
        <v>43717</v>
      </c>
      <c r="B3372" s="80" t="s">
        <v>2563</v>
      </c>
      <c r="C3372" s="80" t="s">
        <v>143</v>
      </c>
      <c r="D3372" s="80" t="s">
        <v>133</v>
      </c>
      <c r="E3372" s="80" t="s">
        <v>127</v>
      </c>
      <c r="F3372" s="170">
        <v>30</v>
      </c>
    </row>
    <row r="3373" spans="1:6" hidden="1" x14ac:dyDescent="0.25">
      <c r="A3373" s="169">
        <v>43718</v>
      </c>
      <c r="B3373" s="80" t="s">
        <v>2577</v>
      </c>
      <c r="C3373" s="80" t="s">
        <v>129</v>
      </c>
      <c r="D3373" s="80" t="s">
        <v>133</v>
      </c>
      <c r="E3373" s="80" t="s">
        <v>134</v>
      </c>
      <c r="F3373" s="170">
        <v>30</v>
      </c>
    </row>
    <row r="3374" spans="1:6" hidden="1" x14ac:dyDescent="0.25">
      <c r="A3374" s="169">
        <v>43721</v>
      </c>
      <c r="B3374" s="80" t="s">
        <v>2595</v>
      </c>
      <c r="C3374" s="80" t="s">
        <v>143</v>
      </c>
      <c r="D3374" s="80" t="s">
        <v>133</v>
      </c>
      <c r="E3374" s="80" t="s">
        <v>134</v>
      </c>
      <c r="F3374" s="170">
        <v>30</v>
      </c>
    </row>
    <row r="3375" spans="1:6" hidden="1" x14ac:dyDescent="0.25">
      <c r="A3375" s="169">
        <v>43723</v>
      </c>
      <c r="B3375" s="80" t="s">
        <v>2610</v>
      </c>
      <c r="C3375" s="80" t="s">
        <v>182</v>
      </c>
      <c r="D3375" s="80" t="s">
        <v>133</v>
      </c>
      <c r="E3375" s="80" t="s">
        <v>121</v>
      </c>
      <c r="F3375" s="170">
        <v>30</v>
      </c>
    </row>
    <row r="3376" spans="1:6" hidden="1" x14ac:dyDescent="0.25">
      <c r="A3376" s="169">
        <v>43725</v>
      </c>
      <c r="B3376" s="80" t="s">
        <v>2628</v>
      </c>
      <c r="C3376" s="80" t="s">
        <v>152</v>
      </c>
      <c r="D3376" s="80" t="s">
        <v>133</v>
      </c>
      <c r="E3376" s="80" t="s">
        <v>134</v>
      </c>
      <c r="F3376" s="170">
        <v>30</v>
      </c>
    </row>
    <row r="3377" spans="1:6" hidden="1" x14ac:dyDescent="0.25">
      <c r="A3377" s="169">
        <v>43731</v>
      </c>
      <c r="B3377" s="80" t="s">
        <v>2690</v>
      </c>
      <c r="C3377" s="80" t="s">
        <v>157</v>
      </c>
      <c r="D3377" s="80" t="s">
        <v>133</v>
      </c>
      <c r="E3377" s="80" t="s">
        <v>127</v>
      </c>
      <c r="F3377" s="170">
        <v>30</v>
      </c>
    </row>
    <row r="3378" spans="1:6" hidden="1" x14ac:dyDescent="0.25">
      <c r="A3378" s="169">
        <v>43731</v>
      </c>
      <c r="B3378" s="80" t="s">
        <v>2692</v>
      </c>
      <c r="C3378" s="80" t="s">
        <v>119</v>
      </c>
      <c r="D3378" s="80" t="s">
        <v>133</v>
      </c>
      <c r="E3378" s="80" t="s">
        <v>121</v>
      </c>
      <c r="F3378" s="170">
        <v>30</v>
      </c>
    </row>
    <row r="3379" spans="1:6" hidden="1" x14ac:dyDescent="0.25">
      <c r="A3379" s="169">
        <v>43732</v>
      </c>
      <c r="B3379" s="80" t="s">
        <v>2704</v>
      </c>
      <c r="C3379" s="80" t="s">
        <v>123</v>
      </c>
      <c r="D3379" s="80" t="s">
        <v>133</v>
      </c>
      <c r="E3379" s="80" t="s">
        <v>134</v>
      </c>
      <c r="F3379" s="170">
        <v>30</v>
      </c>
    </row>
    <row r="3380" spans="1:6" hidden="1" x14ac:dyDescent="0.25">
      <c r="A3380" s="169">
        <v>43733</v>
      </c>
      <c r="B3380" s="80" t="s">
        <v>2711</v>
      </c>
      <c r="C3380" s="80" t="s">
        <v>145</v>
      </c>
      <c r="D3380" s="80" t="s">
        <v>133</v>
      </c>
      <c r="E3380" s="80" t="s">
        <v>134</v>
      </c>
      <c r="F3380" s="170">
        <v>30</v>
      </c>
    </row>
    <row r="3381" spans="1:6" hidden="1" x14ac:dyDescent="0.25">
      <c r="A3381" s="169">
        <v>43733</v>
      </c>
      <c r="B3381" s="80" t="s">
        <v>2712</v>
      </c>
      <c r="C3381" s="80" t="s">
        <v>136</v>
      </c>
      <c r="D3381" s="80" t="s">
        <v>133</v>
      </c>
      <c r="E3381" s="80" t="s">
        <v>153</v>
      </c>
      <c r="F3381" s="170">
        <v>30</v>
      </c>
    </row>
    <row r="3382" spans="1:6" hidden="1" x14ac:dyDescent="0.25">
      <c r="A3382" s="169">
        <v>43733</v>
      </c>
      <c r="B3382" s="80" t="s">
        <v>2714</v>
      </c>
      <c r="C3382" s="80" t="s">
        <v>138</v>
      </c>
      <c r="D3382" s="80" t="s">
        <v>133</v>
      </c>
      <c r="E3382" s="80" t="s">
        <v>153</v>
      </c>
      <c r="F3382" s="170">
        <v>30</v>
      </c>
    </row>
    <row r="3383" spans="1:6" hidden="1" x14ac:dyDescent="0.25">
      <c r="A3383" s="169">
        <v>43734</v>
      </c>
      <c r="B3383" s="80" t="s">
        <v>2724</v>
      </c>
      <c r="C3383" s="80" t="s">
        <v>152</v>
      </c>
      <c r="D3383" s="80" t="s">
        <v>133</v>
      </c>
      <c r="E3383" s="80" t="s">
        <v>127</v>
      </c>
      <c r="F3383" s="170">
        <v>30</v>
      </c>
    </row>
    <row r="3384" spans="1:6" hidden="1" x14ac:dyDescent="0.25">
      <c r="A3384" s="169">
        <v>43734</v>
      </c>
      <c r="B3384" s="80" t="s">
        <v>2725</v>
      </c>
      <c r="C3384" s="80" t="s">
        <v>125</v>
      </c>
      <c r="D3384" s="80" t="s">
        <v>133</v>
      </c>
      <c r="E3384" s="80" t="s">
        <v>127</v>
      </c>
      <c r="F3384" s="170">
        <v>30</v>
      </c>
    </row>
    <row r="3385" spans="1:6" hidden="1" x14ac:dyDescent="0.25">
      <c r="A3385" s="169">
        <v>43735</v>
      </c>
      <c r="B3385" s="80" t="s">
        <v>2735</v>
      </c>
      <c r="C3385" s="80" t="s">
        <v>148</v>
      </c>
      <c r="D3385" s="80" t="s">
        <v>133</v>
      </c>
      <c r="E3385" s="80" t="s">
        <v>134</v>
      </c>
      <c r="F3385" s="170">
        <v>30</v>
      </c>
    </row>
    <row r="3386" spans="1:6" hidden="1" x14ac:dyDescent="0.25">
      <c r="A3386" s="169">
        <v>43735</v>
      </c>
      <c r="B3386" s="80" t="s">
        <v>2740</v>
      </c>
      <c r="C3386" s="80" t="s">
        <v>152</v>
      </c>
      <c r="D3386" s="80" t="s">
        <v>133</v>
      </c>
      <c r="E3386" s="80" t="s">
        <v>134</v>
      </c>
      <c r="F3386" s="170">
        <v>30</v>
      </c>
    </row>
    <row r="3387" spans="1:6" hidden="1" x14ac:dyDescent="0.25">
      <c r="A3387" s="169">
        <v>43737</v>
      </c>
      <c r="B3387" s="80" t="s">
        <v>2749</v>
      </c>
      <c r="C3387" s="80" t="s">
        <v>136</v>
      </c>
      <c r="D3387" s="80" t="s">
        <v>133</v>
      </c>
      <c r="E3387" s="80" t="s">
        <v>134</v>
      </c>
      <c r="F3387" s="170">
        <v>30</v>
      </c>
    </row>
    <row r="3388" spans="1:6" hidden="1" x14ac:dyDescent="0.25">
      <c r="A3388" s="169">
        <v>43738</v>
      </c>
      <c r="B3388" s="80" t="s">
        <v>2753</v>
      </c>
      <c r="C3388" s="80" t="s">
        <v>182</v>
      </c>
      <c r="D3388" s="80" t="s">
        <v>133</v>
      </c>
      <c r="E3388" s="80" t="s">
        <v>134</v>
      </c>
      <c r="F3388" s="170">
        <v>30</v>
      </c>
    </row>
    <row r="3389" spans="1:6" hidden="1" x14ac:dyDescent="0.25">
      <c r="A3389" s="169">
        <v>43740</v>
      </c>
      <c r="B3389" s="80" t="s">
        <v>2766</v>
      </c>
      <c r="C3389" s="80" t="s">
        <v>125</v>
      </c>
      <c r="D3389" s="80" t="s">
        <v>133</v>
      </c>
      <c r="E3389" s="80" t="s">
        <v>121</v>
      </c>
      <c r="F3389" s="170">
        <v>30</v>
      </c>
    </row>
    <row r="3390" spans="1:6" hidden="1" x14ac:dyDescent="0.25">
      <c r="A3390" s="169">
        <v>43740</v>
      </c>
      <c r="B3390" s="80" t="s">
        <v>2771</v>
      </c>
      <c r="C3390" s="80" t="s">
        <v>143</v>
      </c>
      <c r="D3390" s="80" t="s">
        <v>133</v>
      </c>
      <c r="E3390" s="80" t="s">
        <v>127</v>
      </c>
      <c r="F3390" s="170">
        <v>30</v>
      </c>
    </row>
    <row r="3391" spans="1:6" hidden="1" x14ac:dyDescent="0.25">
      <c r="A3391" s="169">
        <v>43741</v>
      </c>
      <c r="B3391" s="80" t="s">
        <v>2776</v>
      </c>
      <c r="C3391" s="80" t="s">
        <v>167</v>
      </c>
      <c r="D3391" s="80" t="s">
        <v>133</v>
      </c>
      <c r="E3391" s="80" t="s">
        <v>131</v>
      </c>
      <c r="F3391" s="170">
        <v>30</v>
      </c>
    </row>
    <row r="3392" spans="1:6" hidden="1" x14ac:dyDescent="0.25">
      <c r="A3392" s="169">
        <v>43744</v>
      </c>
      <c r="B3392" s="80" t="s">
        <v>2792</v>
      </c>
      <c r="C3392" s="80" t="s">
        <v>138</v>
      </c>
      <c r="D3392" s="80" t="s">
        <v>133</v>
      </c>
      <c r="E3392" s="80" t="s">
        <v>127</v>
      </c>
      <c r="F3392" s="170">
        <v>30</v>
      </c>
    </row>
    <row r="3393" spans="1:6" hidden="1" x14ac:dyDescent="0.25">
      <c r="A3393" s="169">
        <v>43745</v>
      </c>
      <c r="B3393" s="80" t="s">
        <v>2801</v>
      </c>
      <c r="C3393" s="80" t="s">
        <v>125</v>
      </c>
      <c r="D3393" s="80" t="s">
        <v>133</v>
      </c>
      <c r="E3393" s="80" t="s">
        <v>131</v>
      </c>
      <c r="F3393" s="170">
        <v>30</v>
      </c>
    </row>
    <row r="3394" spans="1:6" hidden="1" x14ac:dyDescent="0.25">
      <c r="A3394" s="169">
        <v>43747</v>
      </c>
      <c r="B3394" s="80" t="s">
        <v>2814</v>
      </c>
      <c r="C3394" s="80" t="s">
        <v>123</v>
      </c>
      <c r="D3394" s="80" t="s">
        <v>133</v>
      </c>
      <c r="E3394" s="80" t="s">
        <v>121</v>
      </c>
      <c r="F3394" s="170">
        <v>30</v>
      </c>
    </row>
    <row r="3395" spans="1:6" hidden="1" x14ac:dyDescent="0.25">
      <c r="A3395" s="169">
        <v>43747</v>
      </c>
      <c r="B3395" s="80" t="s">
        <v>2815</v>
      </c>
      <c r="C3395" s="80" t="s">
        <v>152</v>
      </c>
      <c r="D3395" s="80" t="s">
        <v>133</v>
      </c>
      <c r="E3395" s="80" t="s">
        <v>127</v>
      </c>
      <c r="F3395" s="170">
        <v>30</v>
      </c>
    </row>
    <row r="3396" spans="1:6" hidden="1" x14ac:dyDescent="0.25">
      <c r="A3396" s="169">
        <v>43747</v>
      </c>
      <c r="B3396" s="80" t="s">
        <v>2822</v>
      </c>
      <c r="C3396" s="80" t="s">
        <v>148</v>
      </c>
      <c r="D3396" s="80" t="s">
        <v>133</v>
      </c>
      <c r="E3396" s="80" t="s">
        <v>121</v>
      </c>
      <c r="F3396" s="170">
        <v>30</v>
      </c>
    </row>
    <row r="3397" spans="1:6" hidden="1" x14ac:dyDescent="0.25">
      <c r="A3397" s="169">
        <v>43747</v>
      </c>
      <c r="B3397" s="80" t="s">
        <v>2823</v>
      </c>
      <c r="C3397" s="80" t="s">
        <v>145</v>
      </c>
      <c r="D3397" s="80" t="s">
        <v>133</v>
      </c>
      <c r="E3397" s="80" t="s">
        <v>121</v>
      </c>
      <c r="F3397" s="170">
        <v>30</v>
      </c>
    </row>
    <row r="3398" spans="1:6" hidden="1" x14ac:dyDescent="0.25">
      <c r="A3398" s="169">
        <v>43748</v>
      </c>
      <c r="B3398" s="80" t="s">
        <v>2831</v>
      </c>
      <c r="C3398" s="80" t="s">
        <v>129</v>
      </c>
      <c r="D3398" s="80" t="s">
        <v>133</v>
      </c>
      <c r="E3398" s="80" t="s">
        <v>134</v>
      </c>
      <c r="F3398" s="170">
        <v>30</v>
      </c>
    </row>
    <row r="3399" spans="1:6" hidden="1" x14ac:dyDescent="0.25">
      <c r="A3399" s="169">
        <v>43748</v>
      </c>
      <c r="B3399" s="80" t="s">
        <v>2832</v>
      </c>
      <c r="C3399" s="80" t="s">
        <v>189</v>
      </c>
      <c r="D3399" s="80" t="s">
        <v>133</v>
      </c>
      <c r="E3399" s="80" t="s">
        <v>121</v>
      </c>
      <c r="F3399" s="170">
        <v>30</v>
      </c>
    </row>
    <row r="3400" spans="1:6" hidden="1" x14ac:dyDescent="0.25">
      <c r="A3400" s="169">
        <v>43749</v>
      </c>
      <c r="B3400" s="80" t="s">
        <v>2836</v>
      </c>
      <c r="C3400" s="80" t="s">
        <v>187</v>
      </c>
      <c r="D3400" s="80" t="s">
        <v>133</v>
      </c>
      <c r="E3400" s="80" t="s">
        <v>127</v>
      </c>
      <c r="F3400" s="170">
        <v>30</v>
      </c>
    </row>
    <row r="3401" spans="1:6" hidden="1" x14ac:dyDescent="0.25">
      <c r="A3401" s="169">
        <v>43749</v>
      </c>
      <c r="B3401" s="80" t="s">
        <v>2840</v>
      </c>
      <c r="C3401" s="80" t="s">
        <v>167</v>
      </c>
      <c r="D3401" s="80" t="s">
        <v>133</v>
      </c>
      <c r="E3401" s="80" t="s">
        <v>153</v>
      </c>
      <c r="F3401" s="170">
        <v>30</v>
      </c>
    </row>
    <row r="3402" spans="1:6" hidden="1" x14ac:dyDescent="0.25">
      <c r="A3402" s="169">
        <v>43749</v>
      </c>
      <c r="B3402" s="80" t="s">
        <v>2842</v>
      </c>
      <c r="C3402" s="80" t="s">
        <v>125</v>
      </c>
      <c r="D3402" s="80" t="s">
        <v>133</v>
      </c>
      <c r="E3402" s="80" t="s">
        <v>153</v>
      </c>
      <c r="F3402" s="170">
        <v>30</v>
      </c>
    </row>
    <row r="3403" spans="1:6" hidden="1" x14ac:dyDescent="0.25">
      <c r="A3403" s="169">
        <v>43749</v>
      </c>
      <c r="B3403" s="80" t="s">
        <v>2844</v>
      </c>
      <c r="C3403" s="80" t="s">
        <v>187</v>
      </c>
      <c r="D3403" s="80" t="s">
        <v>133</v>
      </c>
      <c r="E3403" s="80" t="s">
        <v>131</v>
      </c>
      <c r="F3403" s="170">
        <v>30</v>
      </c>
    </row>
    <row r="3404" spans="1:6" hidden="1" x14ac:dyDescent="0.25">
      <c r="A3404" s="169">
        <v>43750</v>
      </c>
      <c r="B3404" s="80" t="s">
        <v>2850</v>
      </c>
      <c r="C3404" s="80" t="s">
        <v>129</v>
      </c>
      <c r="D3404" s="80" t="s">
        <v>133</v>
      </c>
      <c r="E3404" s="80" t="s">
        <v>127</v>
      </c>
      <c r="F3404" s="170">
        <v>30</v>
      </c>
    </row>
    <row r="3405" spans="1:6" hidden="1" x14ac:dyDescent="0.25">
      <c r="A3405" s="169">
        <v>43750</v>
      </c>
      <c r="B3405" s="80" t="s">
        <v>2854</v>
      </c>
      <c r="C3405" s="80" t="s">
        <v>148</v>
      </c>
      <c r="D3405" s="80" t="s">
        <v>133</v>
      </c>
      <c r="E3405" s="80" t="s">
        <v>134</v>
      </c>
      <c r="F3405" s="170">
        <v>30</v>
      </c>
    </row>
    <row r="3406" spans="1:6" hidden="1" x14ac:dyDescent="0.25">
      <c r="A3406" s="169">
        <v>43751</v>
      </c>
      <c r="B3406" s="80" t="s">
        <v>2862</v>
      </c>
      <c r="C3406" s="80" t="s">
        <v>157</v>
      </c>
      <c r="D3406" s="80" t="s">
        <v>133</v>
      </c>
      <c r="E3406" s="80" t="s">
        <v>153</v>
      </c>
      <c r="F3406" s="170">
        <v>30</v>
      </c>
    </row>
    <row r="3407" spans="1:6" hidden="1" x14ac:dyDescent="0.25">
      <c r="A3407" s="169">
        <v>43751</v>
      </c>
      <c r="B3407" s="80" t="s">
        <v>2867</v>
      </c>
      <c r="C3407" s="80" t="s">
        <v>164</v>
      </c>
      <c r="D3407" s="80" t="s">
        <v>133</v>
      </c>
      <c r="E3407" s="80" t="s">
        <v>153</v>
      </c>
      <c r="F3407" s="170">
        <v>30</v>
      </c>
    </row>
    <row r="3408" spans="1:6" hidden="1" x14ac:dyDescent="0.25">
      <c r="A3408" s="169">
        <v>43751</v>
      </c>
      <c r="B3408" s="80" t="s">
        <v>2871</v>
      </c>
      <c r="C3408" s="80" t="s">
        <v>123</v>
      </c>
      <c r="D3408" s="80" t="s">
        <v>133</v>
      </c>
      <c r="E3408" s="80" t="s">
        <v>134</v>
      </c>
      <c r="F3408" s="170">
        <v>30</v>
      </c>
    </row>
    <row r="3409" spans="1:6" hidden="1" x14ac:dyDescent="0.25">
      <c r="A3409" s="169">
        <v>43751</v>
      </c>
      <c r="B3409" s="80" t="s">
        <v>2872</v>
      </c>
      <c r="C3409" s="80" t="s">
        <v>189</v>
      </c>
      <c r="D3409" s="80" t="s">
        <v>133</v>
      </c>
      <c r="E3409" s="80" t="s">
        <v>121</v>
      </c>
      <c r="F3409" s="170">
        <v>30</v>
      </c>
    </row>
    <row r="3410" spans="1:6" hidden="1" x14ac:dyDescent="0.25">
      <c r="A3410" s="169">
        <v>43752</v>
      </c>
      <c r="B3410" s="80" t="s">
        <v>2877</v>
      </c>
      <c r="C3410" s="80" t="s">
        <v>152</v>
      </c>
      <c r="D3410" s="80" t="s">
        <v>133</v>
      </c>
      <c r="E3410" s="80" t="s">
        <v>131</v>
      </c>
      <c r="F3410" s="170">
        <v>30</v>
      </c>
    </row>
    <row r="3411" spans="1:6" hidden="1" x14ac:dyDescent="0.25">
      <c r="A3411" s="169">
        <v>43752</v>
      </c>
      <c r="B3411" s="80" t="s">
        <v>2879</v>
      </c>
      <c r="C3411" s="80" t="s">
        <v>125</v>
      </c>
      <c r="D3411" s="80" t="s">
        <v>133</v>
      </c>
      <c r="E3411" s="80" t="s">
        <v>121</v>
      </c>
      <c r="F3411" s="170">
        <v>30</v>
      </c>
    </row>
    <row r="3412" spans="1:6" hidden="1" x14ac:dyDescent="0.25">
      <c r="A3412" s="169">
        <v>43753</v>
      </c>
      <c r="B3412" s="80" t="s">
        <v>2885</v>
      </c>
      <c r="C3412" s="80" t="s">
        <v>129</v>
      </c>
      <c r="D3412" s="80" t="s">
        <v>133</v>
      </c>
      <c r="E3412" s="80" t="s">
        <v>121</v>
      </c>
      <c r="F3412" s="170">
        <v>30</v>
      </c>
    </row>
    <row r="3413" spans="1:6" hidden="1" x14ac:dyDescent="0.25">
      <c r="A3413" s="169">
        <v>43754</v>
      </c>
      <c r="B3413" s="80" t="s">
        <v>2898</v>
      </c>
      <c r="C3413" s="80" t="s">
        <v>189</v>
      </c>
      <c r="D3413" s="80" t="s">
        <v>133</v>
      </c>
      <c r="E3413" s="80" t="s">
        <v>131</v>
      </c>
      <c r="F3413" s="170">
        <v>30</v>
      </c>
    </row>
    <row r="3414" spans="1:6" hidden="1" x14ac:dyDescent="0.25">
      <c r="A3414" s="169">
        <v>43755</v>
      </c>
      <c r="B3414" s="80" t="s">
        <v>2900</v>
      </c>
      <c r="C3414" s="80" t="s">
        <v>136</v>
      </c>
      <c r="D3414" s="80" t="s">
        <v>133</v>
      </c>
      <c r="E3414" s="80" t="s">
        <v>121</v>
      </c>
      <c r="F3414" s="170">
        <v>30</v>
      </c>
    </row>
    <row r="3415" spans="1:6" hidden="1" x14ac:dyDescent="0.25">
      <c r="A3415" s="169">
        <v>43755</v>
      </c>
      <c r="B3415" s="80" t="s">
        <v>2902</v>
      </c>
      <c r="C3415" s="80" t="s">
        <v>152</v>
      </c>
      <c r="D3415" s="80" t="s">
        <v>133</v>
      </c>
      <c r="E3415" s="80" t="s">
        <v>134</v>
      </c>
      <c r="F3415" s="170">
        <v>30</v>
      </c>
    </row>
    <row r="3416" spans="1:6" hidden="1" x14ac:dyDescent="0.25">
      <c r="A3416" s="169">
        <v>43755</v>
      </c>
      <c r="B3416" s="80" t="s">
        <v>2904</v>
      </c>
      <c r="C3416" s="80" t="s">
        <v>123</v>
      </c>
      <c r="D3416" s="80" t="s">
        <v>133</v>
      </c>
      <c r="E3416" s="80" t="s">
        <v>153</v>
      </c>
      <c r="F3416" s="170">
        <v>30</v>
      </c>
    </row>
    <row r="3417" spans="1:6" hidden="1" x14ac:dyDescent="0.25">
      <c r="A3417" s="169">
        <v>43755</v>
      </c>
      <c r="B3417" s="80" t="s">
        <v>2910</v>
      </c>
      <c r="C3417" s="80" t="s">
        <v>167</v>
      </c>
      <c r="D3417" s="80" t="s">
        <v>133</v>
      </c>
      <c r="E3417" s="80" t="s">
        <v>134</v>
      </c>
      <c r="F3417" s="170">
        <v>30</v>
      </c>
    </row>
    <row r="3418" spans="1:6" hidden="1" x14ac:dyDescent="0.25">
      <c r="A3418" s="169">
        <v>43756</v>
      </c>
      <c r="B3418" s="80" t="s">
        <v>2912</v>
      </c>
      <c r="C3418" s="80" t="s">
        <v>148</v>
      </c>
      <c r="D3418" s="80" t="s">
        <v>133</v>
      </c>
      <c r="E3418" s="80" t="s">
        <v>153</v>
      </c>
      <c r="F3418" s="170">
        <v>30</v>
      </c>
    </row>
    <row r="3419" spans="1:6" hidden="1" x14ac:dyDescent="0.25">
      <c r="A3419" s="169">
        <v>43759</v>
      </c>
      <c r="B3419" s="80" t="s">
        <v>2940</v>
      </c>
      <c r="C3419" s="80" t="s">
        <v>148</v>
      </c>
      <c r="D3419" s="80" t="s">
        <v>133</v>
      </c>
      <c r="E3419" s="80" t="s">
        <v>153</v>
      </c>
      <c r="F3419" s="170">
        <v>30</v>
      </c>
    </row>
    <row r="3420" spans="1:6" hidden="1" x14ac:dyDescent="0.25">
      <c r="A3420" s="169">
        <v>43759</v>
      </c>
      <c r="B3420" s="80" t="s">
        <v>2947</v>
      </c>
      <c r="C3420" s="80" t="s">
        <v>157</v>
      </c>
      <c r="D3420" s="80" t="s">
        <v>133</v>
      </c>
      <c r="E3420" s="80" t="s">
        <v>153</v>
      </c>
      <c r="F3420" s="170">
        <v>30</v>
      </c>
    </row>
    <row r="3421" spans="1:6" hidden="1" x14ac:dyDescent="0.25">
      <c r="A3421" s="169">
        <v>43760</v>
      </c>
      <c r="B3421" s="80" t="s">
        <v>2953</v>
      </c>
      <c r="C3421" s="80" t="s">
        <v>125</v>
      </c>
      <c r="D3421" s="80" t="s">
        <v>133</v>
      </c>
      <c r="E3421" s="80" t="s">
        <v>153</v>
      </c>
      <c r="F3421" s="170">
        <v>30</v>
      </c>
    </row>
    <row r="3422" spans="1:6" hidden="1" x14ac:dyDescent="0.25">
      <c r="A3422" s="169">
        <v>43760</v>
      </c>
      <c r="B3422" s="80" t="s">
        <v>2955</v>
      </c>
      <c r="C3422" s="80" t="s">
        <v>136</v>
      </c>
      <c r="D3422" s="80" t="s">
        <v>133</v>
      </c>
      <c r="E3422" s="80" t="s">
        <v>121</v>
      </c>
      <c r="F3422" s="170">
        <v>30</v>
      </c>
    </row>
    <row r="3423" spans="1:6" hidden="1" x14ac:dyDescent="0.25">
      <c r="A3423" s="169">
        <v>43760</v>
      </c>
      <c r="B3423" s="80" t="s">
        <v>2958</v>
      </c>
      <c r="C3423" s="80" t="s">
        <v>157</v>
      </c>
      <c r="D3423" s="80" t="s">
        <v>133</v>
      </c>
      <c r="E3423" s="80" t="s">
        <v>153</v>
      </c>
      <c r="F3423" s="170">
        <v>30</v>
      </c>
    </row>
    <row r="3424" spans="1:6" hidden="1" x14ac:dyDescent="0.25">
      <c r="A3424" s="169">
        <v>43762</v>
      </c>
      <c r="B3424" s="80" t="s">
        <v>2973</v>
      </c>
      <c r="C3424" s="80" t="s">
        <v>119</v>
      </c>
      <c r="D3424" s="80" t="s">
        <v>133</v>
      </c>
      <c r="E3424" s="80" t="s">
        <v>121</v>
      </c>
      <c r="F3424" s="170">
        <v>30</v>
      </c>
    </row>
    <row r="3425" spans="1:6" hidden="1" x14ac:dyDescent="0.25">
      <c r="A3425" s="169">
        <v>43762</v>
      </c>
      <c r="B3425" s="80" t="s">
        <v>2974</v>
      </c>
      <c r="C3425" s="80" t="s">
        <v>138</v>
      </c>
      <c r="D3425" s="80" t="s">
        <v>133</v>
      </c>
      <c r="E3425" s="80" t="s">
        <v>127</v>
      </c>
      <c r="F3425" s="170">
        <v>30</v>
      </c>
    </row>
    <row r="3426" spans="1:6" hidden="1" x14ac:dyDescent="0.25">
      <c r="A3426" s="169">
        <v>43763</v>
      </c>
      <c r="B3426" s="80" t="s">
        <v>2980</v>
      </c>
      <c r="C3426" s="80" t="s">
        <v>138</v>
      </c>
      <c r="D3426" s="80" t="s">
        <v>133</v>
      </c>
      <c r="E3426" s="80" t="s">
        <v>134</v>
      </c>
      <c r="F3426" s="170">
        <v>30</v>
      </c>
    </row>
    <row r="3427" spans="1:6" hidden="1" x14ac:dyDescent="0.25">
      <c r="A3427" s="169">
        <v>43764</v>
      </c>
      <c r="B3427" s="80" t="s">
        <v>2988</v>
      </c>
      <c r="C3427" s="80" t="s">
        <v>167</v>
      </c>
      <c r="D3427" s="80" t="s">
        <v>133</v>
      </c>
      <c r="E3427" s="80" t="s">
        <v>131</v>
      </c>
      <c r="F3427" s="170">
        <v>30</v>
      </c>
    </row>
    <row r="3428" spans="1:6" hidden="1" x14ac:dyDescent="0.25">
      <c r="A3428" s="169">
        <v>43765</v>
      </c>
      <c r="B3428" s="80" t="s">
        <v>3005</v>
      </c>
      <c r="C3428" s="80" t="s">
        <v>138</v>
      </c>
      <c r="D3428" s="80" t="s">
        <v>133</v>
      </c>
      <c r="E3428" s="80" t="s">
        <v>153</v>
      </c>
      <c r="F3428" s="170">
        <v>30</v>
      </c>
    </row>
    <row r="3429" spans="1:6" hidden="1" x14ac:dyDescent="0.25">
      <c r="A3429" s="169">
        <v>43765</v>
      </c>
      <c r="B3429" s="80" t="s">
        <v>3007</v>
      </c>
      <c r="C3429" s="80" t="s">
        <v>138</v>
      </c>
      <c r="D3429" s="80" t="s">
        <v>133</v>
      </c>
      <c r="E3429" s="80" t="s">
        <v>127</v>
      </c>
      <c r="F3429" s="170">
        <v>30</v>
      </c>
    </row>
    <row r="3430" spans="1:6" hidden="1" x14ac:dyDescent="0.25">
      <c r="A3430" s="169">
        <v>43766</v>
      </c>
      <c r="B3430" s="80" t="s">
        <v>3018</v>
      </c>
      <c r="C3430" s="80" t="s">
        <v>157</v>
      </c>
      <c r="D3430" s="80" t="s">
        <v>133</v>
      </c>
      <c r="E3430" s="80" t="s">
        <v>131</v>
      </c>
      <c r="F3430" s="170">
        <v>30</v>
      </c>
    </row>
    <row r="3431" spans="1:6" hidden="1" x14ac:dyDescent="0.25">
      <c r="A3431" s="169">
        <v>43766</v>
      </c>
      <c r="B3431" s="80" t="s">
        <v>3019</v>
      </c>
      <c r="C3431" s="80" t="s">
        <v>143</v>
      </c>
      <c r="D3431" s="80" t="s">
        <v>133</v>
      </c>
      <c r="E3431" s="80" t="s">
        <v>127</v>
      </c>
      <c r="F3431" s="170">
        <v>30</v>
      </c>
    </row>
    <row r="3432" spans="1:6" hidden="1" x14ac:dyDescent="0.25">
      <c r="A3432" s="169">
        <v>43766</v>
      </c>
      <c r="B3432" s="80" t="s">
        <v>3023</v>
      </c>
      <c r="C3432" s="80" t="s">
        <v>123</v>
      </c>
      <c r="D3432" s="80" t="s">
        <v>133</v>
      </c>
      <c r="E3432" s="80" t="s">
        <v>131</v>
      </c>
      <c r="F3432" s="170">
        <v>30</v>
      </c>
    </row>
    <row r="3433" spans="1:6" hidden="1" x14ac:dyDescent="0.25">
      <c r="A3433" s="169">
        <v>43766</v>
      </c>
      <c r="B3433" s="80" t="s">
        <v>3025</v>
      </c>
      <c r="C3433" s="80" t="s">
        <v>189</v>
      </c>
      <c r="D3433" s="80" t="s">
        <v>133</v>
      </c>
      <c r="E3433" s="80" t="s">
        <v>134</v>
      </c>
      <c r="F3433" s="170">
        <v>30</v>
      </c>
    </row>
    <row r="3434" spans="1:6" hidden="1" x14ac:dyDescent="0.25">
      <c r="A3434" s="169">
        <v>43766</v>
      </c>
      <c r="B3434" s="80" t="s">
        <v>3026</v>
      </c>
      <c r="C3434" s="80" t="s">
        <v>148</v>
      </c>
      <c r="D3434" s="80" t="s">
        <v>133</v>
      </c>
      <c r="E3434" s="80" t="s">
        <v>131</v>
      </c>
      <c r="F3434" s="170">
        <v>30</v>
      </c>
    </row>
    <row r="3435" spans="1:6" hidden="1" x14ac:dyDescent="0.25">
      <c r="A3435" s="169">
        <v>43768</v>
      </c>
      <c r="B3435" s="80" t="s">
        <v>3040</v>
      </c>
      <c r="C3435" s="80" t="s">
        <v>123</v>
      </c>
      <c r="D3435" s="80" t="s">
        <v>133</v>
      </c>
      <c r="E3435" s="80" t="s">
        <v>131</v>
      </c>
      <c r="F3435" s="170">
        <v>30</v>
      </c>
    </row>
    <row r="3436" spans="1:6" hidden="1" x14ac:dyDescent="0.25">
      <c r="A3436" s="169">
        <v>43770</v>
      </c>
      <c r="B3436" s="80" t="s">
        <v>3058</v>
      </c>
      <c r="C3436" s="80" t="s">
        <v>164</v>
      </c>
      <c r="D3436" s="80" t="s">
        <v>133</v>
      </c>
      <c r="E3436" s="80" t="s">
        <v>131</v>
      </c>
      <c r="F3436" s="170">
        <v>30</v>
      </c>
    </row>
    <row r="3437" spans="1:6" hidden="1" x14ac:dyDescent="0.25">
      <c r="A3437" s="169">
        <v>43770</v>
      </c>
      <c r="B3437" s="80" t="s">
        <v>3059</v>
      </c>
      <c r="C3437" s="80" t="s">
        <v>167</v>
      </c>
      <c r="D3437" s="80" t="s">
        <v>133</v>
      </c>
      <c r="E3437" s="80" t="s">
        <v>127</v>
      </c>
      <c r="F3437" s="170">
        <v>30</v>
      </c>
    </row>
    <row r="3438" spans="1:6" hidden="1" x14ac:dyDescent="0.25">
      <c r="A3438" s="169">
        <v>43771</v>
      </c>
      <c r="B3438" s="80" t="s">
        <v>3062</v>
      </c>
      <c r="C3438" s="80" t="s">
        <v>138</v>
      </c>
      <c r="D3438" s="80" t="s">
        <v>133</v>
      </c>
      <c r="E3438" s="80" t="s">
        <v>134</v>
      </c>
      <c r="F3438" s="170">
        <v>30</v>
      </c>
    </row>
    <row r="3439" spans="1:6" hidden="1" x14ac:dyDescent="0.25">
      <c r="A3439" s="169">
        <v>43772</v>
      </c>
      <c r="B3439" s="80" t="s">
        <v>3078</v>
      </c>
      <c r="C3439" s="80" t="s">
        <v>152</v>
      </c>
      <c r="D3439" s="80" t="s">
        <v>133</v>
      </c>
      <c r="E3439" s="80" t="s">
        <v>127</v>
      </c>
      <c r="F3439" s="170">
        <v>30</v>
      </c>
    </row>
    <row r="3440" spans="1:6" hidden="1" x14ac:dyDescent="0.25">
      <c r="A3440" s="169">
        <v>43773</v>
      </c>
      <c r="B3440" s="80" t="s">
        <v>3080</v>
      </c>
      <c r="C3440" s="80" t="s">
        <v>157</v>
      </c>
      <c r="D3440" s="80" t="s">
        <v>133</v>
      </c>
      <c r="E3440" s="80" t="s">
        <v>131</v>
      </c>
      <c r="F3440" s="170">
        <v>30</v>
      </c>
    </row>
    <row r="3441" spans="1:6" hidden="1" x14ac:dyDescent="0.25">
      <c r="A3441" s="169">
        <v>43773</v>
      </c>
      <c r="B3441" s="80" t="s">
        <v>3082</v>
      </c>
      <c r="C3441" s="80" t="s">
        <v>187</v>
      </c>
      <c r="D3441" s="80" t="s">
        <v>133</v>
      </c>
      <c r="E3441" s="80" t="s">
        <v>131</v>
      </c>
      <c r="F3441" s="170">
        <v>30</v>
      </c>
    </row>
    <row r="3442" spans="1:6" hidden="1" x14ac:dyDescent="0.25">
      <c r="A3442" s="169">
        <v>43773</v>
      </c>
      <c r="B3442" s="80" t="s">
        <v>3083</v>
      </c>
      <c r="C3442" s="80" t="s">
        <v>119</v>
      </c>
      <c r="D3442" s="80" t="s">
        <v>133</v>
      </c>
      <c r="E3442" s="80" t="s">
        <v>134</v>
      </c>
      <c r="F3442" s="170">
        <v>30</v>
      </c>
    </row>
    <row r="3443" spans="1:6" hidden="1" x14ac:dyDescent="0.25">
      <c r="A3443" s="169">
        <v>43773</v>
      </c>
      <c r="B3443" s="80" t="s">
        <v>3084</v>
      </c>
      <c r="C3443" s="80" t="s">
        <v>123</v>
      </c>
      <c r="D3443" s="80" t="s">
        <v>133</v>
      </c>
      <c r="E3443" s="80" t="s">
        <v>131</v>
      </c>
      <c r="F3443" s="170">
        <v>30</v>
      </c>
    </row>
    <row r="3444" spans="1:6" hidden="1" x14ac:dyDescent="0.25">
      <c r="A3444" s="169">
        <v>43773</v>
      </c>
      <c r="B3444" s="80" t="s">
        <v>3085</v>
      </c>
      <c r="C3444" s="80" t="s">
        <v>189</v>
      </c>
      <c r="D3444" s="80" t="s">
        <v>133</v>
      </c>
      <c r="E3444" s="80" t="s">
        <v>131</v>
      </c>
      <c r="F3444" s="170">
        <v>30</v>
      </c>
    </row>
    <row r="3445" spans="1:6" hidden="1" x14ac:dyDescent="0.25">
      <c r="A3445" s="169">
        <v>43773</v>
      </c>
      <c r="B3445" s="80" t="s">
        <v>3089</v>
      </c>
      <c r="C3445" s="80" t="s">
        <v>143</v>
      </c>
      <c r="D3445" s="80" t="s">
        <v>133</v>
      </c>
      <c r="E3445" s="80" t="s">
        <v>134</v>
      </c>
      <c r="F3445" s="170">
        <v>30</v>
      </c>
    </row>
    <row r="3446" spans="1:6" hidden="1" x14ac:dyDescent="0.25">
      <c r="A3446" s="169">
        <v>43775</v>
      </c>
      <c r="B3446" s="80" t="s">
        <v>3108</v>
      </c>
      <c r="C3446" s="80" t="s">
        <v>136</v>
      </c>
      <c r="D3446" s="80" t="s">
        <v>133</v>
      </c>
      <c r="E3446" s="80" t="s">
        <v>131</v>
      </c>
      <c r="F3446" s="170">
        <v>30</v>
      </c>
    </row>
    <row r="3447" spans="1:6" hidden="1" x14ac:dyDescent="0.25">
      <c r="A3447" s="169">
        <v>43775</v>
      </c>
      <c r="B3447" s="80" t="s">
        <v>3112</v>
      </c>
      <c r="C3447" s="80" t="s">
        <v>164</v>
      </c>
      <c r="D3447" s="80" t="s">
        <v>133</v>
      </c>
      <c r="E3447" s="80" t="s">
        <v>131</v>
      </c>
      <c r="F3447" s="170">
        <v>30</v>
      </c>
    </row>
    <row r="3448" spans="1:6" hidden="1" x14ac:dyDescent="0.25">
      <c r="A3448" s="169">
        <v>43777</v>
      </c>
      <c r="B3448" s="80" t="s">
        <v>3126</v>
      </c>
      <c r="C3448" s="80" t="s">
        <v>152</v>
      </c>
      <c r="D3448" s="80" t="s">
        <v>133</v>
      </c>
      <c r="E3448" s="80" t="s">
        <v>134</v>
      </c>
      <c r="F3448" s="170">
        <v>30</v>
      </c>
    </row>
    <row r="3449" spans="1:6" hidden="1" x14ac:dyDescent="0.25">
      <c r="A3449" s="169">
        <v>43777</v>
      </c>
      <c r="B3449" s="80" t="s">
        <v>3127</v>
      </c>
      <c r="C3449" s="80" t="s">
        <v>138</v>
      </c>
      <c r="D3449" s="80" t="s">
        <v>133</v>
      </c>
      <c r="E3449" s="80" t="s">
        <v>153</v>
      </c>
      <c r="F3449" s="170">
        <v>30</v>
      </c>
    </row>
    <row r="3450" spans="1:6" hidden="1" x14ac:dyDescent="0.25">
      <c r="A3450" s="169">
        <v>43778</v>
      </c>
      <c r="B3450" s="80" t="s">
        <v>3133</v>
      </c>
      <c r="C3450" s="80" t="s">
        <v>189</v>
      </c>
      <c r="D3450" s="80" t="s">
        <v>133</v>
      </c>
      <c r="E3450" s="80" t="s">
        <v>127</v>
      </c>
      <c r="F3450" s="170">
        <v>30</v>
      </c>
    </row>
    <row r="3451" spans="1:6" hidden="1" x14ac:dyDescent="0.25">
      <c r="A3451" s="169">
        <v>43778</v>
      </c>
      <c r="B3451" s="80" t="s">
        <v>3135</v>
      </c>
      <c r="C3451" s="80" t="s">
        <v>164</v>
      </c>
      <c r="D3451" s="80" t="s">
        <v>133</v>
      </c>
      <c r="E3451" s="80" t="s">
        <v>127</v>
      </c>
      <c r="F3451" s="170">
        <v>30</v>
      </c>
    </row>
    <row r="3452" spans="1:6" hidden="1" x14ac:dyDescent="0.25">
      <c r="A3452" s="169">
        <v>43779</v>
      </c>
      <c r="B3452" s="80" t="s">
        <v>3156</v>
      </c>
      <c r="C3452" s="80" t="s">
        <v>119</v>
      </c>
      <c r="D3452" s="80" t="s">
        <v>133</v>
      </c>
      <c r="E3452" s="80" t="s">
        <v>131</v>
      </c>
      <c r="F3452" s="170">
        <v>30</v>
      </c>
    </row>
    <row r="3453" spans="1:6" hidden="1" x14ac:dyDescent="0.25">
      <c r="A3453" s="169">
        <v>43780</v>
      </c>
      <c r="B3453" s="80" t="s">
        <v>3161</v>
      </c>
      <c r="C3453" s="80" t="s">
        <v>138</v>
      </c>
      <c r="D3453" s="80" t="s">
        <v>133</v>
      </c>
      <c r="E3453" s="80" t="s">
        <v>121</v>
      </c>
      <c r="F3453" s="170">
        <v>30</v>
      </c>
    </row>
    <row r="3454" spans="1:6" hidden="1" x14ac:dyDescent="0.25">
      <c r="A3454" s="169">
        <v>43780</v>
      </c>
      <c r="B3454" s="80" t="s">
        <v>3165</v>
      </c>
      <c r="C3454" s="80" t="s">
        <v>152</v>
      </c>
      <c r="D3454" s="80" t="s">
        <v>133</v>
      </c>
      <c r="E3454" s="80" t="s">
        <v>153</v>
      </c>
      <c r="F3454" s="170">
        <v>30</v>
      </c>
    </row>
    <row r="3455" spans="1:6" hidden="1" x14ac:dyDescent="0.25">
      <c r="A3455" s="169">
        <v>43781</v>
      </c>
      <c r="B3455" s="80" t="s">
        <v>3179</v>
      </c>
      <c r="C3455" s="80" t="s">
        <v>136</v>
      </c>
      <c r="D3455" s="80" t="s">
        <v>133</v>
      </c>
      <c r="E3455" s="80" t="s">
        <v>134</v>
      </c>
      <c r="F3455" s="170">
        <v>30</v>
      </c>
    </row>
    <row r="3456" spans="1:6" hidden="1" x14ac:dyDescent="0.25">
      <c r="A3456" s="169">
        <v>43782</v>
      </c>
      <c r="B3456" s="80" t="s">
        <v>3192</v>
      </c>
      <c r="C3456" s="80" t="s">
        <v>123</v>
      </c>
      <c r="D3456" s="80" t="s">
        <v>133</v>
      </c>
      <c r="E3456" s="80" t="s">
        <v>134</v>
      </c>
      <c r="F3456" s="170">
        <v>30</v>
      </c>
    </row>
    <row r="3457" spans="1:6" hidden="1" x14ac:dyDescent="0.25">
      <c r="A3457" s="169">
        <v>43786</v>
      </c>
      <c r="B3457" s="80" t="s">
        <v>3227</v>
      </c>
      <c r="C3457" s="80" t="s">
        <v>182</v>
      </c>
      <c r="D3457" s="80" t="s">
        <v>133</v>
      </c>
      <c r="E3457" s="80" t="s">
        <v>121</v>
      </c>
      <c r="F3457" s="170">
        <v>30</v>
      </c>
    </row>
    <row r="3458" spans="1:6" hidden="1" x14ac:dyDescent="0.25">
      <c r="A3458" s="169">
        <v>43786</v>
      </c>
      <c r="B3458" s="80" t="s">
        <v>3228</v>
      </c>
      <c r="C3458" s="80" t="s">
        <v>143</v>
      </c>
      <c r="D3458" s="80" t="s">
        <v>133</v>
      </c>
      <c r="E3458" s="80" t="s">
        <v>131</v>
      </c>
      <c r="F3458" s="170">
        <v>30</v>
      </c>
    </row>
    <row r="3459" spans="1:6" hidden="1" x14ac:dyDescent="0.25">
      <c r="A3459" s="169">
        <v>43787</v>
      </c>
      <c r="B3459" s="80" t="s">
        <v>3237</v>
      </c>
      <c r="C3459" s="80" t="s">
        <v>129</v>
      </c>
      <c r="D3459" s="80" t="s">
        <v>133</v>
      </c>
      <c r="E3459" s="80" t="s">
        <v>134</v>
      </c>
      <c r="F3459" s="170">
        <v>30</v>
      </c>
    </row>
    <row r="3460" spans="1:6" hidden="1" x14ac:dyDescent="0.25">
      <c r="A3460" s="169">
        <v>43788</v>
      </c>
      <c r="B3460" s="80" t="s">
        <v>3240</v>
      </c>
      <c r="C3460" s="80" t="s">
        <v>182</v>
      </c>
      <c r="D3460" s="80" t="s">
        <v>133</v>
      </c>
      <c r="E3460" s="80" t="s">
        <v>121</v>
      </c>
      <c r="F3460" s="170">
        <v>30</v>
      </c>
    </row>
    <row r="3461" spans="1:6" hidden="1" x14ac:dyDescent="0.25">
      <c r="A3461" s="169">
        <v>43789</v>
      </c>
      <c r="B3461" s="80" t="s">
        <v>3250</v>
      </c>
      <c r="C3461" s="80" t="s">
        <v>187</v>
      </c>
      <c r="D3461" s="80" t="s">
        <v>133</v>
      </c>
      <c r="E3461" s="80" t="s">
        <v>153</v>
      </c>
      <c r="F3461" s="170">
        <v>30</v>
      </c>
    </row>
    <row r="3462" spans="1:6" hidden="1" x14ac:dyDescent="0.25">
      <c r="A3462" s="169">
        <v>43790</v>
      </c>
      <c r="B3462" s="80" t="s">
        <v>3266</v>
      </c>
      <c r="C3462" s="80" t="s">
        <v>119</v>
      </c>
      <c r="D3462" s="80" t="s">
        <v>133</v>
      </c>
      <c r="E3462" s="80" t="s">
        <v>134</v>
      </c>
      <c r="F3462" s="170">
        <v>30</v>
      </c>
    </row>
    <row r="3463" spans="1:6" hidden="1" x14ac:dyDescent="0.25">
      <c r="A3463" s="169">
        <v>43791</v>
      </c>
      <c r="B3463" s="80" t="s">
        <v>3268</v>
      </c>
      <c r="C3463" s="80" t="s">
        <v>182</v>
      </c>
      <c r="D3463" s="80" t="s">
        <v>133</v>
      </c>
      <c r="E3463" s="80" t="s">
        <v>134</v>
      </c>
      <c r="F3463" s="170">
        <v>30</v>
      </c>
    </row>
    <row r="3464" spans="1:6" hidden="1" x14ac:dyDescent="0.25">
      <c r="A3464" s="169">
        <v>43791</v>
      </c>
      <c r="B3464" s="80" t="s">
        <v>3277</v>
      </c>
      <c r="C3464" s="80" t="s">
        <v>143</v>
      </c>
      <c r="D3464" s="80" t="s">
        <v>133</v>
      </c>
      <c r="E3464" s="80" t="s">
        <v>131</v>
      </c>
      <c r="F3464" s="170">
        <v>30</v>
      </c>
    </row>
    <row r="3465" spans="1:6" hidden="1" x14ac:dyDescent="0.25">
      <c r="A3465" s="169">
        <v>43792</v>
      </c>
      <c r="B3465" s="80" t="s">
        <v>3287</v>
      </c>
      <c r="C3465" s="80" t="s">
        <v>119</v>
      </c>
      <c r="D3465" s="80" t="s">
        <v>133</v>
      </c>
      <c r="E3465" s="80" t="s">
        <v>134</v>
      </c>
      <c r="F3465" s="170">
        <v>30</v>
      </c>
    </row>
    <row r="3466" spans="1:6" hidden="1" x14ac:dyDescent="0.25">
      <c r="A3466" s="169">
        <v>43793</v>
      </c>
      <c r="B3466" s="80" t="s">
        <v>3300</v>
      </c>
      <c r="C3466" s="80" t="s">
        <v>164</v>
      </c>
      <c r="D3466" s="80" t="s">
        <v>133</v>
      </c>
      <c r="E3466" s="80" t="s">
        <v>127</v>
      </c>
      <c r="F3466" s="170">
        <v>30</v>
      </c>
    </row>
    <row r="3467" spans="1:6" hidden="1" x14ac:dyDescent="0.25">
      <c r="A3467" s="169">
        <v>43794</v>
      </c>
      <c r="B3467" s="80" t="s">
        <v>3311</v>
      </c>
      <c r="C3467" s="80" t="s">
        <v>138</v>
      </c>
      <c r="D3467" s="80" t="s">
        <v>133</v>
      </c>
      <c r="E3467" s="80" t="s">
        <v>127</v>
      </c>
      <c r="F3467" s="170">
        <v>30</v>
      </c>
    </row>
    <row r="3468" spans="1:6" hidden="1" x14ac:dyDescent="0.25">
      <c r="A3468" s="169">
        <v>43796</v>
      </c>
      <c r="B3468" s="80" t="s">
        <v>3321</v>
      </c>
      <c r="C3468" s="80" t="s">
        <v>223</v>
      </c>
      <c r="D3468" s="80" t="s">
        <v>133</v>
      </c>
      <c r="E3468" s="80" t="s">
        <v>127</v>
      </c>
      <c r="F3468" s="170">
        <v>30</v>
      </c>
    </row>
    <row r="3469" spans="1:6" hidden="1" x14ac:dyDescent="0.25">
      <c r="A3469" s="169">
        <v>43796</v>
      </c>
      <c r="B3469" s="80" t="s">
        <v>3325</v>
      </c>
      <c r="C3469" s="80" t="s">
        <v>189</v>
      </c>
      <c r="D3469" s="80" t="s">
        <v>133</v>
      </c>
      <c r="E3469" s="80" t="s">
        <v>121</v>
      </c>
      <c r="F3469" s="170">
        <v>30</v>
      </c>
    </row>
    <row r="3470" spans="1:6" hidden="1" x14ac:dyDescent="0.25">
      <c r="A3470" s="169">
        <v>43796</v>
      </c>
      <c r="B3470" s="80" t="s">
        <v>3327</v>
      </c>
      <c r="C3470" s="80" t="s">
        <v>145</v>
      </c>
      <c r="D3470" s="80" t="s">
        <v>133</v>
      </c>
      <c r="E3470" s="80" t="s">
        <v>134</v>
      </c>
      <c r="F3470" s="170">
        <v>30</v>
      </c>
    </row>
    <row r="3471" spans="1:6" hidden="1" x14ac:dyDescent="0.25">
      <c r="A3471" s="169">
        <v>43799</v>
      </c>
      <c r="B3471" s="80" t="s">
        <v>3346</v>
      </c>
      <c r="C3471" s="80" t="s">
        <v>125</v>
      </c>
      <c r="D3471" s="80" t="s">
        <v>133</v>
      </c>
      <c r="E3471" s="80" t="s">
        <v>153</v>
      </c>
      <c r="F3471" s="170">
        <v>30</v>
      </c>
    </row>
    <row r="3472" spans="1:6" hidden="1" x14ac:dyDescent="0.25">
      <c r="A3472" s="169">
        <v>43799</v>
      </c>
      <c r="B3472" s="80" t="s">
        <v>3349</v>
      </c>
      <c r="C3472" s="80" t="s">
        <v>145</v>
      </c>
      <c r="D3472" s="80" t="s">
        <v>133</v>
      </c>
      <c r="E3472" s="80" t="s">
        <v>134</v>
      </c>
      <c r="F3472" s="170">
        <v>30</v>
      </c>
    </row>
    <row r="3473" spans="1:6" hidden="1" x14ac:dyDescent="0.25">
      <c r="A3473" s="169">
        <v>43799</v>
      </c>
      <c r="B3473" s="80" t="s">
        <v>3352</v>
      </c>
      <c r="C3473" s="80" t="s">
        <v>182</v>
      </c>
      <c r="D3473" s="80" t="s">
        <v>133</v>
      </c>
      <c r="E3473" s="80" t="s">
        <v>131</v>
      </c>
      <c r="F3473" s="170">
        <v>30</v>
      </c>
    </row>
    <row r="3474" spans="1:6" hidden="1" x14ac:dyDescent="0.25">
      <c r="A3474" s="169">
        <v>43801</v>
      </c>
      <c r="B3474" s="80" t="s">
        <v>3376</v>
      </c>
      <c r="C3474" s="80" t="s">
        <v>152</v>
      </c>
      <c r="D3474" s="80" t="s">
        <v>133</v>
      </c>
      <c r="E3474" s="80" t="s">
        <v>121</v>
      </c>
      <c r="F3474" s="170">
        <v>30</v>
      </c>
    </row>
    <row r="3475" spans="1:6" hidden="1" x14ac:dyDescent="0.25">
      <c r="A3475" s="169">
        <v>43802</v>
      </c>
      <c r="B3475" s="80" t="s">
        <v>3378</v>
      </c>
      <c r="C3475" s="80" t="s">
        <v>182</v>
      </c>
      <c r="D3475" s="80" t="s">
        <v>133</v>
      </c>
      <c r="E3475" s="80" t="s">
        <v>127</v>
      </c>
      <c r="F3475" s="170">
        <v>30</v>
      </c>
    </row>
    <row r="3476" spans="1:6" hidden="1" x14ac:dyDescent="0.25">
      <c r="A3476" s="169">
        <v>43803</v>
      </c>
      <c r="B3476" s="80" t="s">
        <v>3391</v>
      </c>
      <c r="C3476" s="80" t="s">
        <v>119</v>
      </c>
      <c r="D3476" s="80" t="s">
        <v>133</v>
      </c>
      <c r="E3476" s="80" t="s">
        <v>121</v>
      </c>
      <c r="F3476" s="170">
        <v>30</v>
      </c>
    </row>
    <row r="3477" spans="1:6" hidden="1" x14ac:dyDescent="0.25">
      <c r="A3477" s="169">
        <v>43803</v>
      </c>
      <c r="B3477" s="80" t="s">
        <v>3399</v>
      </c>
      <c r="C3477" s="80" t="s">
        <v>136</v>
      </c>
      <c r="D3477" s="80" t="s">
        <v>133</v>
      </c>
      <c r="E3477" s="80" t="s">
        <v>134</v>
      </c>
      <c r="F3477" s="170">
        <v>30</v>
      </c>
    </row>
    <row r="3478" spans="1:6" hidden="1" x14ac:dyDescent="0.25">
      <c r="A3478" s="169">
        <v>43804</v>
      </c>
      <c r="B3478" s="80" t="s">
        <v>3402</v>
      </c>
      <c r="C3478" s="80" t="s">
        <v>143</v>
      </c>
      <c r="D3478" s="80" t="s">
        <v>133</v>
      </c>
      <c r="E3478" s="80" t="s">
        <v>134</v>
      </c>
      <c r="F3478" s="170">
        <v>30</v>
      </c>
    </row>
    <row r="3479" spans="1:6" hidden="1" x14ac:dyDescent="0.25">
      <c r="A3479" s="169">
        <v>43807</v>
      </c>
      <c r="B3479" s="80" t="s">
        <v>3429</v>
      </c>
      <c r="C3479" s="80" t="s">
        <v>167</v>
      </c>
      <c r="D3479" s="80" t="s">
        <v>133</v>
      </c>
      <c r="E3479" s="80" t="s">
        <v>127</v>
      </c>
      <c r="F3479" s="170">
        <v>30</v>
      </c>
    </row>
    <row r="3480" spans="1:6" hidden="1" x14ac:dyDescent="0.25">
      <c r="A3480" s="169">
        <v>43807</v>
      </c>
      <c r="B3480" s="80" t="s">
        <v>3432</v>
      </c>
      <c r="C3480" s="80" t="s">
        <v>157</v>
      </c>
      <c r="D3480" s="80" t="s">
        <v>133</v>
      </c>
      <c r="E3480" s="80" t="s">
        <v>153</v>
      </c>
      <c r="F3480" s="170">
        <v>30</v>
      </c>
    </row>
    <row r="3481" spans="1:6" hidden="1" x14ac:dyDescent="0.25">
      <c r="A3481" s="169">
        <v>43808</v>
      </c>
      <c r="B3481" s="80" t="s">
        <v>3445</v>
      </c>
      <c r="C3481" s="80" t="s">
        <v>125</v>
      </c>
      <c r="D3481" s="80" t="s">
        <v>133</v>
      </c>
      <c r="E3481" s="80" t="s">
        <v>153</v>
      </c>
      <c r="F3481" s="170">
        <v>30</v>
      </c>
    </row>
    <row r="3482" spans="1:6" hidden="1" x14ac:dyDescent="0.25">
      <c r="A3482" s="169">
        <v>43809</v>
      </c>
      <c r="B3482" s="80" t="s">
        <v>3452</v>
      </c>
      <c r="C3482" s="80" t="s">
        <v>143</v>
      </c>
      <c r="D3482" s="80" t="s">
        <v>133</v>
      </c>
      <c r="E3482" s="80" t="s">
        <v>131</v>
      </c>
      <c r="F3482" s="170">
        <v>30</v>
      </c>
    </row>
    <row r="3483" spans="1:6" hidden="1" x14ac:dyDescent="0.25">
      <c r="A3483" s="169">
        <v>43809</v>
      </c>
      <c r="B3483" s="80" t="s">
        <v>3459</v>
      </c>
      <c r="C3483" s="80" t="s">
        <v>223</v>
      </c>
      <c r="D3483" s="80" t="s">
        <v>133</v>
      </c>
      <c r="E3483" s="80" t="s">
        <v>131</v>
      </c>
      <c r="F3483" s="170">
        <v>30</v>
      </c>
    </row>
    <row r="3484" spans="1:6" hidden="1" x14ac:dyDescent="0.25">
      <c r="A3484" s="169">
        <v>43810</v>
      </c>
      <c r="B3484" s="80" t="s">
        <v>3461</v>
      </c>
      <c r="C3484" s="80" t="s">
        <v>223</v>
      </c>
      <c r="D3484" s="80" t="s">
        <v>133</v>
      </c>
      <c r="E3484" s="80" t="s">
        <v>121</v>
      </c>
      <c r="F3484" s="170">
        <v>30</v>
      </c>
    </row>
    <row r="3485" spans="1:6" hidden="1" x14ac:dyDescent="0.25">
      <c r="A3485" s="169">
        <v>43810</v>
      </c>
      <c r="B3485" s="80" t="s">
        <v>3463</v>
      </c>
      <c r="C3485" s="80" t="s">
        <v>123</v>
      </c>
      <c r="D3485" s="80" t="s">
        <v>133</v>
      </c>
      <c r="E3485" s="80" t="s">
        <v>127</v>
      </c>
      <c r="F3485" s="170">
        <v>30</v>
      </c>
    </row>
    <row r="3486" spans="1:6" hidden="1" x14ac:dyDescent="0.25">
      <c r="A3486" s="169">
        <v>43810</v>
      </c>
      <c r="B3486" s="80" t="s">
        <v>3466</v>
      </c>
      <c r="C3486" s="80" t="s">
        <v>125</v>
      </c>
      <c r="D3486" s="80" t="s">
        <v>133</v>
      </c>
      <c r="E3486" s="80" t="s">
        <v>153</v>
      </c>
      <c r="F3486" s="170">
        <v>30</v>
      </c>
    </row>
    <row r="3487" spans="1:6" hidden="1" x14ac:dyDescent="0.25">
      <c r="A3487" s="169">
        <v>43814</v>
      </c>
      <c r="B3487" s="80" t="s">
        <v>3497</v>
      </c>
      <c r="C3487" s="80" t="s">
        <v>123</v>
      </c>
      <c r="D3487" s="80" t="s">
        <v>133</v>
      </c>
      <c r="E3487" s="80" t="s">
        <v>134</v>
      </c>
      <c r="F3487" s="170">
        <v>30</v>
      </c>
    </row>
    <row r="3488" spans="1:6" hidden="1" x14ac:dyDescent="0.25">
      <c r="A3488" s="169">
        <v>43814</v>
      </c>
      <c r="B3488" s="80" t="s">
        <v>3498</v>
      </c>
      <c r="C3488" s="80" t="s">
        <v>125</v>
      </c>
      <c r="D3488" s="80" t="s">
        <v>133</v>
      </c>
      <c r="E3488" s="80" t="s">
        <v>134</v>
      </c>
      <c r="F3488" s="170">
        <v>30</v>
      </c>
    </row>
    <row r="3489" spans="1:6" hidden="1" x14ac:dyDescent="0.25">
      <c r="A3489" s="169">
        <v>43815</v>
      </c>
      <c r="B3489" s="80" t="s">
        <v>3504</v>
      </c>
      <c r="C3489" s="80" t="s">
        <v>148</v>
      </c>
      <c r="D3489" s="80" t="s">
        <v>133</v>
      </c>
      <c r="E3489" s="80" t="s">
        <v>127</v>
      </c>
      <c r="F3489" s="170">
        <v>30</v>
      </c>
    </row>
    <row r="3490" spans="1:6" hidden="1" x14ac:dyDescent="0.25">
      <c r="A3490" s="169">
        <v>43815</v>
      </c>
      <c r="B3490" s="80" t="s">
        <v>3505</v>
      </c>
      <c r="C3490" s="80" t="s">
        <v>129</v>
      </c>
      <c r="D3490" s="80" t="s">
        <v>133</v>
      </c>
      <c r="E3490" s="80" t="s">
        <v>134</v>
      </c>
      <c r="F3490" s="170">
        <v>30</v>
      </c>
    </row>
    <row r="3491" spans="1:6" hidden="1" x14ac:dyDescent="0.25">
      <c r="A3491" s="169">
        <v>43816</v>
      </c>
      <c r="B3491" s="80" t="s">
        <v>3512</v>
      </c>
      <c r="C3491" s="80" t="s">
        <v>129</v>
      </c>
      <c r="D3491" s="80" t="s">
        <v>133</v>
      </c>
      <c r="E3491" s="80" t="s">
        <v>153</v>
      </c>
      <c r="F3491" s="170">
        <v>30</v>
      </c>
    </row>
    <row r="3492" spans="1:6" hidden="1" x14ac:dyDescent="0.25">
      <c r="A3492" s="169">
        <v>43817</v>
      </c>
      <c r="B3492" s="80" t="s">
        <v>3522</v>
      </c>
      <c r="C3492" s="80" t="s">
        <v>189</v>
      </c>
      <c r="D3492" s="80" t="s">
        <v>133</v>
      </c>
      <c r="E3492" s="80" t="s">
        <v>153</v>
      </c>
      <c r="F3492" s="170">
        <v>30</v>
      </c>
    </row>
    <row r="3493" spans="1:6" hidden="1" x14ac:dyDescent="0.25">
      <c r="A3493" s="169">
        <v>43818</v>
      </c>
      <c r="B3493" s="80" t="s">
        <v>3534</v>
      </c>
      <c r="C3493" s="80" t="s">
        <v>145</v>
      </c>
      <c r="D3493" s="80" t="s">
        <v>133</v>
      </c>
      <c r="E3493" s="80" t="s">
        <v>127</v>
      </c>
      <c r="F3493" s="170">
        <v>30</v>
      </c>
    </row>
    <row r="3494" spans="1:6" hidden="1" x14ac:dyDescent="0.25">
      <c r="A3494" s="169">
        <v>43819</v>
      </c>
      <c r="B3494" s="80" t="s">
        <v>3547</v>
      </c>
      <c r="C3494" s="80" t="s">
        <v>223</v>
      </c>
      <c r="D3494" s="80" t="s">
        <v>133</v>
      </c>
      <c r="E3494" s="80" t="s">
        <v>127</v>
      </c>
      <c r="F3494" s="170">
        <v>30</v>
      </c>
    </row>
    <row r="3495" spans="1:6" hidden="1" x14ac:dyDescent="0.25">
      <c r="A3495" s="169">
        <v>43820</v>
      </c>
      <c r="B3495" s="80" t="s">
        <v>3548</v>
      </c>
      <c r="C3495" s="80" t="s">
        <v>119</v>
      </c>
      <c r="D3495" s="80" t="s">
        <v>133</v>
      </c>
      <c r="E3495" s="80" t="s">
        <v>127</v>
      </c>
      <c r="F3495" s="170">
        <v>30</v>
      </c>
    </row>
    <row r="3496" spans="1:6" hidden="1" x14ac:dyDescent="0.25">
      <c r="A3496" s="169">
        <v>43823</v>
      </c>
      <c r="B3496" s="80" t="s">
        <v>3578</v>
      </c>
      <c r="C3496" s="80" t="s">
        <v>182</v>
      </c>
      <c r="D3496" s="80" t="s">
        <v>133</v>
      </c>
      <c r="E3496" s="80" t="s">
        <v>121</v>
      </c>
      <c r="F3496" s="170">
        <v>30</v>
      </c>
    </row>
    <row r="3497" spans="1:6" hidden="1" x14ac:dyDescent="0.25">
      <c r="A3497" s="169">
        <v>43825</v>
      </c>
      <c r="B3497" s="80" t="s">
        <v>3593</v>
      </c>
      <c r="C3497" s="80" t="s">
        <v>136</v>
      </c>
      <c r="D3497" s="80" t="s">
        <v>133</v>
      </c>
      <c r="E3497" s="80" t="s">
        <v>131</v>
      </c>
      <c r="F3497" s="170">
        <v>30</v>
      </c>
    </row>
    <row r="3498" spans="1:6" hidden="1" x14ac:dyDescent="0.25">
      <c r="A3498" s="169">
        <v>43825</v>
      </c>
      <c r="B3498" s="80" t="s">
        <v>3598</v>
      </c>
      <c r="C3498" s="80" t="s">
        <v>223</v>
      </c>
      <c r="D3498" s="80" t="s">
        <v>133</v>
      </c>
      <c r="E3498" s="80" t="s">
        <v>127</v>
      </c>
      <c r="F3498" s="170">
        <v>30</v>
      </c>
    </row>
    <row r="3499" spans="1:6" hidden="1" x14ac:dyDescent="0.25">
      <c r="A3499" s="169">
        <v>43827</v>
      </c>
      <c r="B3499" s="80" t="s">
        <v>3612</v>
      </c>
      <c r="C3499" s="80" t="s">
        <v>125</v>
      </c>
      <c r="D3499" s="80" t="s">
        <v>133</v>
      </c>
      <c r="E3499" s="80" t="s">
        <v>134</v>
      </c>
      <c r="F3499" s="170">
        <v>30</v>
      </c>
    </row>
    <row r="3500" spans="1:6" hidden="1" x14ac:dyDescent="0.25">
      <c r="A3500" s="171">
        <v>43828</v>
      </c>
      <c r="B3500" s="160" t="s">
        <v>3628</v>
      </c>
      <c r="C3500" s="160" t="s">
        <v>187</v>
      </c>
      <c r="D3500" s="160" t="s">
        <v>133</v>
      </c>
      <c r="E3500" s="160" t="s">
        <v>121</v>
      </c>
      <c r="F3500" s="172">
        <v>30</v>
      </c>
    </row>
  </sheetData>
  <autoFilter ref="A1:F3500" xr:uid="{DE894524-312F-4174-BEEB-A681ECB30A1A}">
    <filterColumn colId="3">
      <filters>
        <filter val="Boné"/>
      </filters>
    </filterColumn>
    <filterColumn colId="4">
      <filters>
        <filter val="Azul"/>
      </filters>
    </filterColumn>
  </autoFilter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622F2F-EDA3-4C09-91EE-9DA114E2AF80}">
  <sheetPr>
    <tabColor rgb="FF002060"/>
  </sheetPr>
  <dimension ref="B2:U82"/>
  <sheetViews>
    <sheetView showGridLines="0" tabSelected="1" zoomScaleNormal="100" workbookViewId="0">
      <selection activeCell="M16" sqref="M16"/>
    </sheetView>
  </sheetViews>
  <sheetFormatPr defaultRowHeight="15" x14ac:dyDescent="0.25"/>
  <cols>
    <col min="1" max="1" width="0.5703125" customWidth="1"/>
    <col min="2" max="2" width="10.28515625" customWidth="1"/>
    <col min="3" max="3" width="11.42578125" customWidth="1"/>
    <col min="4" max="4" width="24.7109375" customWidth="1"/>
    <col min="5" max="5" width="26.85546875" customWidth="1"/>
    <col min="6" max="6" width="11.140625" customWidth="1"/>
    <col min="8" max="8" width="7.5703125" customWidth="1"/>
    <col min="9" max="13" width="19.140625" customWidth="1"/>
  </cols>
  <sheetData>
    <row r="2" spans="3:13" ht="14.45" customHeight="1" x14ac:dyDescent="0.25">
      <c r="C2" s="92" t="s">
        <v>3650</v>
      </c>
      <c r="D2" s="92"/>
      <c r="E2" s="92"/>
      <c r="I2" s="136" t="s">
        <v>3655</v>
      </c>
      <c r="J2" s="136"/>
      <c r="K2" s="136"/>
      <c r="L2" s="14"/>
      <c r="M2" s="14"/>
    </row>
    <row r="3" spans="3:13" ht="14.45" customHeight="1" x14ac:dyDescent="0.25">
      <c r="I3" s="14"/>
      <c r="J3" s="14"/>
      <c r="K3" s="14"/>
      <c r="L3" s="14"/>
      <c r="M3" s="14"/>
    </row>
    <row r="4" spans="3:13" x14ac:dyDescent="0.25">
      <c r="C4" s="77" t="s">
        <v>3647</v>
      </c>
      <c r="D4" s="77" t="s">
        <v>115</v>
      </c>
      <c r="E4" s="77" t="s">
        <v>3648</v>
      </c>
      <c r="I4" s="154" t="s">
        <v>3651</v>
      </c>
      <c r="J4" s="154"/>
      <c r="K4" s="154"/>
      <c r="L4" s="154"/>
      <c r="M4" s="14"/>
    </row>
    <row r="5" spans="3:13" x14ac:dyDescent="0.25">
      <c r="C5" s="10">
        <v>1</v>
      </c>
      <c r="D5" s="10" t="str" cm="1">
        <f t="array" ref="D5">INDEX('Base Vendas'!K:K, MATCH(LARGE('Base Vendas'!$L:$L,$C5), 'Base Vendas'!$L:$L,0),0)</f>
        <v>Pablo</v>
      </c>
      <c r="E5" s="173">
        <f>_xlfn.XLOOKUP(LARGE('Base Vendas'!$L:$L,C5), 'Base Vendas'!$L:$L, 'Base Vendas'!$L:$L,,0)</f>
        <v>24480</v>
      </c>
      <c r="I5" s="178">
        <v>3499</v>
      </c>
      <c r="J5" s="178"/>
      <c r="K5" s="178"/>
      <c r="L5" s="178"/>
      <c r="M5" s="14"/>
    </row>
    <row r="6" spans="3:13" ht="14.45" customHeight="1" x14ac:dyDescent="0.25">
      <c r="C6" s="10">
        <v>2</v>
      </c>
      <c r="D6" s="79" t="str" cm="1">
        <f t="array" ref="D6">INDEX('Base Vendas'!K:K, MATCH(LARGE('Base Vendas'!$L:$L,$C6), 'Base Vendas'!$L:$L,0),0)</f>
        <v>Helena</v>
      </c>
      <c r="E6" s="173">
        <f>_xlfn.XLOOKUP(LARGE('Base Vendas'!$L:$L,C6), 'Base Vendas'!$L:$L, 'Base Vendas'!$L:$L,,0)</f>
        <v>24290</v>
      </c>
    </row>
    <row r="7" spans="3:13" x14ac:dyDescent="0.25">
      <c r="C7" s="10">
        <v>3</v>
      </c>
      <c r="D7" s="79" t="str" cm="1">
        <f t="array" ref="D7">INDEX('Base Vendas'!K:K, MATCH(LARGE('Base Vendas'!$L:$L,$C7), 'Base Vendas'!$L:$L,0),0)</f>
        <v>Bernardo</v>
      </c>
      <c r="E7" s="173">
        <f>_xlfn.XLOOKUP(LARGE('Base Vendas'!$L:$L,C7), 'Base Vendas'!$L:$L, 'Base Vendas'!$L:$L,,0)</f>
        <v>23860</v>
      </c>
      <c r="I7" s="154" t="s">
        <v>3652</v>
      </c>
      <c r="J7" s="154"/>
      <c r="K7" s="154"/>
      <c r="L7" s="154"/>
    </row>
    <row r="8" spans="3:13" x14ac:dyDescent="0.25">
      <c r="C8" s="10">
        <v>4</v>
      </c>
      <c r="D8" s="79" t="str" cm="1">
        <f t="array" ref="D8">INDEX('Base Vendas'!K:K, MATCH(LARGE('Base Vendas'!$L:$L,$C8), 'Base Vendas'!$L:$L,0),0)</f>
        <v>Iago</v>
      </c>
      <c r="E8" s="173">
        <f>_xlfn.XLOOKUP(LARGE('Base Vendas'!$L:$L,C8), 'Base Vendas'!$L:$L, 'Base Vendas'!$L:$L,,0)</f>
        <v>23550</v>
      </c>
      <c r="I8" s="178">
        <v>440</v>
      </c>
      <c r="J8" s="178"/>
      <c r="K8" s="178"/>
      <c r="L8" s="178"/>
    </row>
    <row r="9" spans="3:13" x14ac:dyDescent="0.25">
      <c r="C9" s="10">
        <v>5</v>
      </c>
      <c r="D9" s="79" t="str" cm="1">
        <f t="array" ref="D9">INDEX('Base Vendas'!K:K, MATCH(LARGE('Base Vendas'!$L:$L,$C9), 'Base Vendas'!$L:$L,0),0)</f>
        <v>Natália</v>
      </c>
      <c r="E9" s="173">
        <f>_xlfn.XLOOKUP(LARGE('Base Vendas'!$L:$L,C9), 'Base Vendas'!$L:$L, 'Base Vendas'!$L:$L,,0)</f>
        <v>23380</v>
      </c>
    </row>
    <row r="10" spans="3:13" x14ac:dyDescent="0.25">
      <c r="I10" s="154" t="s">
        <v>3653</v>
      </c>
      <c r="J10" s="154"/>
      <c r="K10" s="154"/>
      <c r="L10" s="154"/>
    </row>
    <row r="11" spans="3:13" ht="14.45" customHeight="1" x14ac:dyDescent="0.25">
      <c r="I11" s="178">
        <v>73</v>
      </c>
      <c r="J11" s="178"/>
      <c r="K11" s="178"/>
      <c r="L11" s="178"/>
    </row>
    <row r="12" spans="3:13" x14ac:dyDescent="0.25">
      <c r="C12" s="92" t="s">
        <v>3649</v>
      </c>
      <c r="D12" s="92"/>
      <c r="E12" s="92"/>
    </row>
    <row r="14" spans="3:13" x14ac:dyDescent="0.25">
      <c r="C14" s="77" t="s">
        <v>3647</v>
      </c>
      <c r="D14" s="77" t="s">
        <v>116</v>
      </c>
      <c r="E14" s="77" t="s">
        <v>3648</v>
      </c>
      <c r="I14" s="92" t="s">
        <v>3654</v>
      </c>
      <c r="J14" s="92"/>
      <c r="K14" s="92"/>
    </row>
    <row r="15" spans="3:13" x14ac:dyDescent="0.25">
      <c r="C15" s="10">
        <v>1</v>
      </c>
      <c r="D15" s="10" t="str">
        <f>_xlfn.XLOOKUP(E15,'Base Vendas'!O:O,'Base Vendas'!N:N,,0)</f>
        <v>Calça</v>
      </c>
      <c r="E15" s="173">
        <f>LARGE('Base Vendas'!O:O,'Perguntas 27 a 30 - Vendas'!C15)</f>
        <v>15120</v>
      </c>
    </row>
    <row r="16" spans="3:13" x14ac:dyDescent="0.25">
      <c r="C16" s="10">
        <v>2</v>
      </c>
      <c r="D16" s="79" t="str">
        <f>_xlfn.XLOOKUP(E16,'Base Vendas'!O:O,'Base Vendas'!N:N,,0)</f>
        <v>Bermuda</v>
      </c>
      <c r="E16" s="173">
        <f>LARGE('Base Vendas'!O:O,'Perguntas 27 a 30 - Vendas'!C16)</f>
        <v>14550</v>
      </c>
      <c r="I16" s="155" t="s">
        <v>3656</v>
      </c>
      <c r="J16" s="155"/>
      <c r="K16" s="155"/>
      <c r="L16" s="155"/>
    </row>
    <row r="17" spans="2:21" x14ac:dyDescent="0.25">
      <c r="C17" s="10">
        <v>3</v>
      </c>
      <c r="D17" s="79" t="str">
        <f>_xlfn.XLOOKUP(E17,'Base Vendas'!O:O,'Base Vendas'!N:N,,0)</f>
        <v>Camisa</v>
      </c>
      <c r="E17" s="173">
        <f>LARGE('Base Vendas'!O:O,'Perguntas 27 a 30 - Vendas'!C17)</f>
        <v>14240</v>
      </c>
      <c r="I17" s="157">
        <f>SUMIFS('Base Vendas'!F:F,'Base Vendas'!E:E, "Amarela")</f>
        <v>71260</v>
      </c>
      <c r="J17" s="157"/>
      <c r="K17" s="157"/>
      <c r="L17" s="157"/>
    </row>
    <row r="19" spans="2:21" x14ac:dyDescent="0.25">
      <c r="I19" s="155" t="s">
        <v>3657</v>
      </c>
      <c r="J19" s="155"/>
      <c r="K19" s="155"/>
      <c r="L19" s="155"/>
    </row>
    <row r="20" spans="2:21" ht="14.45" customHeight="1" x14ac:dyDescent="0.25">
      <c r="I20" s="157">
        <f>SUMIFS('Base Vendas'!F:F, 'Base Vendas'!D:D, "Saia", 'Base Vendas'!E:E, "Vermelha")</f>
        <v>6800</v>
      </c>
      <c r="J20" s="157"/>
      <c r="K20" s="157"/>
      <c r="L20" s="157"/>
    </row>
    <row r="21" spans="2:21" ht="14.45" customHeight="1" x14ac:dyDescent="0.25"/>
    <row r="22" spans="2:21" x14ac:dyDescent="0.25">
      <c r="I22" s="155" t="s">
        <v>3658</v>
      </c>
      <c r="J22" s="155"/>
      <c r="K22" s="155"/>
      <c r="L22" s="155"/>
    </row>
    <row r="23" spans="2:21" x14ac:dyDescent="0.25">
      <c r="I23" s="156" t="str" cm="1">
        <f t="array" ref="I23">INDEX('Base Vendas'!C:C, MATCH("N5E6Q9S3", 'Base Vendas'!B:B, 0), 0)</f>
        <v>Pablo</v>
      </c>
      <c r="J23" s="156"/>
      <c r="K23" s="156"/>
      <c r="L23" s="156"/>
    </row>
    <row r="24" spans="2:21" ht="14.45" customHeight="1" x14ac:dyDescent="0.25"/>
    <row r="26" spans="2:21" ht="14.45" customHeight="1" x14ac:dyDescent="0.25"/>
    <row r="28" spans="2:21" ht="14.45" customHeight="1" x14ac:dyDescent="0.25"/>
    <row r="30" spans="2:21" ht="14.45" customHeight="1" x14ac:dyDescent="0.25">
      <c r="B30" s="3"/>
      <c r="G30" s="4"/>
      <c r="O30" s="4"/>
      <c r="P30" s="4"/>
      <c r="Q30" s="4"/>
      <c r="R30" s="4"/>
      <c r="S30" s="4"/>
      <c r="T30" s="4"/>
      <c r="U30" s="4"/>
    </row>
    <row r="31" spans="2:21" x14ac:dyDescent="0.25">
      <c r="B31" s="134"/>
      <c r="G31" s="3"/>
      <c r="O31" s="3"/>
      <c r="P31" s="3"/>
      <c r="Q31" s="3"/>
      <c r="R31" s="3"/>
      <c r="S31" s="3"/>
      <c r="T31" s="3"/>
      <c r="U31" s="3"/>
    </row>
    <row r="32" spans="2:21" x14ac:dyDescent="0.25">
      <c r="B32" s="134"/>
      <c r="G32" s="4"/>
      <c r="O32" s="3"/>
      <c r="P32" s="3"/>
      <c r="Q32" s="3"/>
      <c r="R32" s="3"/>
      <c r="S32" s="3"/>
      <c r="T32" s="3"/>
      <c r="U32" s="3"/>
    </row>
    <row r="33" spans="2:21" x14ac:dyDescent="0.25">
      <c r="B33" s="3"/>
      <c r="G33" s="4"/>
      <c r="O33" s="4"/>
      <c r="P33" s="4"/>
      <c r="Q33" s="4"/>
      <c r="R33" s="4"/>
      <c r="S33" s="4"/>
      <c r="T33" s="4"/>
      <c r="U33" s="4"/>
    </row>
    <row r="34" spans="2:21" x14ac:dyDescent="0.25">
      <c r="G34" s="4"/>
      <c r="N34" s="4"/>
    </row>
    <row r="35" spans="2:21" x14ac:dyDescent="0.25">
      <c r="H35" s="4"/>
      <c r="N35" s="3"/>
    </row>
    <row r="36" spans="2:21" ht="14.45" customHeight="1" x14ac:dyDescent="0.25">
      <c r="B36" s="3"/>
      <c r="G36" s="3"/>
      <c r="H36" s="4"/>
      <c r="N36" s="4"/>
      <c r="O36" s="3"/>
      <c r="P36" s="3"/>
      <c r="Q36" s="3"/>
      <c r="R36" s="3"/>
      <c r="S36" s="3"/>
      <c r="T36" s="3"/>
      <c r="U36" s="3"/>
    </row>
    <row r="37" spans="2:21" x14ac:dyDescent="0.25">
      <c r="B37" s="3"/>
      <c r="G37" s="4"/>
      <c r="N37" s="4"/>
      <c r="O37" s="4"/>
      <c r="P37" s="4"/>
      <c r="Q37" s="4"/>
      <c r="R37" s="4"/>
      <c r="S37" s="4"/>
      <c r="T37" s="4"/>
      <c r="U37" s="4"/>
    </row>
    <row r="38" spans="2:21" x14ac:dyDescent="0.25">
      <c r="B38" s="3"/>
      <c r="G38" s="4"/>
      <c r="H38" s="3"/>
      <c r="O38" s="4"/>
      <c r="P38" s="4"/>
      <c r="Q38" s="4"/>
      <c r="R38" s="4"/>
      <c r="S38" s="4"/>
      <c r="T38" s="4"/>
      <c r="U38" s="4"/>
    </row>
    <row r="39" spans="2:21" x14ac:dyDescent="0.25">
      <c r="H39" s="4"/>
    </row>
    <row r="40" spans="2:21" x14ac:dyDescent="0.25">
      <c r="H40" s="4"/>
      <c r="N40" s="3"/>
    </row>
    <row r="41" spans="2:21" x14ac:dyDescent="0.25">
      <c r="N41" s="4"/>
    </row>
    <row r="42" spans="2:21" x14ac:dyDescent="0.25">
      <c r="N42" s="4"/>
    </row>
    <row r="47" spans="2:21" ht="14.45" customHeight="1" x14ac:dyDescent="0.25">
      <c r="B47" s="3"/>
      <c r="G47" s="4"/>
      <c r="H47" s="4"/>
      <c r="O47" s="4"/>
      <c r="P47" s="4"/>
      <c r="Q47" s="4"/>
      <c r="R47" s="4"/>
      <c r="S47" s="4"/>
      <c r="T47" s="4"/>
      <c r="U47" s="4"/>
    </row>
    <row r="48" spans="2:21" x14ac:dyDescent="0.25">
      <c r="B48" s="3"/>
      <c r="G48" s="3"/>
      <c r="H48" s="3"/>
      <c r="O48" s="3"/>
      <c r="P48" s="3"/>
      <c r="Q48" s="3"/>
      <c r="R48" s="3"/>
      <c r="S48" s="3"/>
      <c r="T48" s="3"/>
      <c r="U48" s="3"/>
    </row>
    <row r="49" spans="2:21" ht="14.45" customHeight="1" x14ac:dyDescent="0.25">
      <c r="B49" s="3"/>
      <c r="G49" s="4"/>
      <c r="H49" s="4"/>
      <c r="O49" s="3"/>
      <c r="P49" s="3"/>
      <c r="Q49" s="3"/>
      <c r="R49" s="3"/>
      <c r="S49" s="3"/>
      <c r="T49" s="3"/>
      <c r="U49" s="3"/>
    </row>
    <row r="50" spans="2:21" x14ac:dyDescent="0.25">
      <c r="B50" s="3"/>
      <c r="G50" s="4"/>
      <c r="O50" s="4"/>
      <c r="P50" s="4"/>
      <c r="Q50" s="4"/>
      <c r="R50" s="4"/>
      <c r="S50" s="4"/>
      <c r="T50" s="4"/>
      <c r="U50" s="4"/>
    </row>
    <row r="51" spans="2:21" x14ac:dyDescent="0.25">
      <c r="N51" s="4"/>
    </row>
    <row r="52" spans="2:21" x14ac:dyDescent="0.25">
      <c r="N52" s="3"/>
    </row>
    <row r="53" spans="2:21" x14ac:dyDescent="0.25">
      <c r="N53" s="4"/>
    </row>
    <row r="54" spans="2:21" x14ac:dyDescent="0.25">
      <c r="N54" s="4"/>
    </row>
    <row r="57" spans="2:21" ht="14.45" customHeight="1" x14ac:dyDescent="0.25"/>
    <row r="59" spans="2:21" ht="14.45" customHeight="1" x14ac:dyDescent="0.25">
      <c r="O59" s="15"/>
      <c r="P59" s="15"/>
      <c r="Q59" s="15"/>
    </row>
    <row r="63" spans="2:21" ht="14.45" customHeight="1" x14ac:dyDescent="0.25">
      <c r="N63" s="15"/>
    </row>
    <row r="65" ht="14.45" customHeight="1" x14ac:dyDescent="0.25"/>
    <row r="67" ht="14.45" customHeight="1" x14ac:dyDescent="0.25"/>
    <row r="82" spans="3:6" x14ac:dyDescent="0.25">
      <c r="C82" s="14"/>
      <c r="D82" s="14"/>
      <c r="E82" s="14"/>
      <c r="F82" s="14"/>
    </row>
  </sheetData>
  <mergeCells count="14">
    <mergeCell ref="I2:K2"/>
    <mergeCell ref="I4:L4"/>
    <mergeCell ref="I7:L7"/>
    <mergeCell ref="I10:L10"/>
    <mergeCell ref="B31:B32"/>
    <mergeCell ref="I22:L22"/>
    <mergeCell ref="I23:L23"/>
    <mergeCell ref="I17:L17"/>
    <mergeCell ref="I5:L5"/>
    <mergeCell ref="I11:L11"/>
    <mergeCell ref="I16:L16"/>
    <mergeCell ref="I19:L19"/>
    <mergeCell ref="I20:L20"/>
    <mergeCell ref="I8:L8"/>
  </mergeCells>
  <conditionalFormatting sqref="I5">
    <cfRule type="cellIs" dxfId="5" priority="6" operator="equal">
      <formula>3499</formula>
    </cfRule>
  </conditionalFormatting>
  <conditionalFormatting sqref="I8">
    <cfRule type="cellIs" dxfId="4" priority="5" operator="equal">
      <formula>440</formula>
    </cfRule>
  </conditionalFormatting>
  <conditionalFormatting sqref="I11">
    <cfRule type="cellIs" dxfId="3" priority="4" operator="equal">
      <formula>73</formula>
    </cfRule>
  </conditionalFormatting>
  <conditionalFormatting sqref="I17">
    <cfRule type="cellIs" dxfId="2" priority="3" operator="equal">
      <formula>71260</formula>
    </cfRule>
  </conditionalFormatting>
  <conditionalFormatting sqref="I20">
    <cfRule type="cellIs" dxfId="1" priority="2" operator="equal">
      <formula>6800</formula>
    </cfRule>
  </conditionalFormatting>
  <conditionalFormatting sqref="I23">
    <cfRule type="cellIs" dxfId="0" priority="1" operator="equal">
      <formula>"Pablo"</formula>
    </cfRule>
  </conditionalFormatting>
  <pageMargins left="0.511811024" right="0.511811024" top="0.78740157499999996" bottom="0.78740157499999996" header="0.31496062000000002" footer="0.31496062000000002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B51EDF1D-428D-4C14-BE61-C7E20CE3BD6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7</vt:i4>
      </vt:variant>
    </vt:vector>
  </HeadingPairs>
  <TitlesOfParts>
    <vt:vector size="7" baseType="lpstr">
      <vt:lpstr>Comece Aqui</vt:lpstr>
      <vt:lpstr>Base de Dados</vt:lpstr>
      <vt:lpstr>Perguntas 1 a 24</vt:lpstr>
      <vt:lpstr>Controle Financeiro</vt:lpstr>
      <vt:lpstr>Perguntas 25 e 26 - Financeiro</vt:lpstr>
      <vt:lpstr>Base Vendas</vt:lpstr>
      <vt:lpstr>Perguntas 27 a 30 - Vendas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Alfredo Araujo</dc:creator>
  <cp:lastModifiedBy>matheus neri</cp:lastModifiedBy>
  <dcterms:created xsi:type="dcterms:W3CDTF">2023-11-29T20:52:59Z</dcterms:created>
  <dcterms:modified xsi:type="dcterms:W3CDTF">2026-04-10T12:54:13Z</dcterms:modified>
</cp:coreProperties>
</file>